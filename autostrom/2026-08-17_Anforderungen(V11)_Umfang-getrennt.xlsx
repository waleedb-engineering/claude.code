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Filter" sheetId="3" state="visible" r:id="rId5"/>
    <sheet name="Auswertung" sheetId="4" state="visible" r:id="rId6"/>
    <sheet name="Komponenten" sheetId="5" state="visible" r:id="rId7"/>
    <sheet name="Organigramm" sheetId="6" state="visible" r:id="rId8"/>
    <sheet name="Lesehilf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<sst xmlns="http://schemas.openxmlformats.org/spreadsheetml/2006/main" count="15756" uniqueCount="6323">
  <si>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</si>
  <si>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</si>
  <si>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</si>
  <si>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</si>
  <si>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</si>
  <si>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</si>
  <si>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</si>
  <si>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</si>
  <si>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</si>
  <si>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</si>
  <si>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</si>
  <si>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</si>
  <si>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</si>
  <si>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</si>
  <si>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</si>
  <si>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</si>
  <si>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</si>
  <si>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</si>
  <si>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</si>
  <si>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im betrachteten Umfang</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</si>
  <si>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</si>
  <si>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</si>
  <si>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</si>
  <si>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</si>
  <si>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</si>
  <si>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</si>
  <si>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</si>
  <si>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</si>
  <si>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</si>
  <si>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</si>
  <si>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</si>
  <si>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</si>
  <si>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</si>
  <si>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</si>
  <si>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</si>
  <si>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</si>
  <si>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</si>
  <si>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Umfang</t>
  </si>
  <si>
    <t xml:space="preserve">Filter-Rang</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</si>
  <si>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</si>
  <si>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</si>
  <si>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</si>
  <si>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</si>
  <si>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</si>
  <si>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</si>
  <si>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</si>
  <si>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</si>
  <si>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</si>
  <si>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außerhalb</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</si>
  <si>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</si>
  <si>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</si>
  <si>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</si>
  <si>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</si>
  <si>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</si>
  <si>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</si>
  <si>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</si>
  <si>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</si>
  <si>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</si>
  <si>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</si>
  <si>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</si>
  <si>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</si>
  <si>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</si>
  <si>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</si>
  <si>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</si>
  <si>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</si>
  <si>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im Umfang</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</si>
  <si>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</si>
  <si>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</si>
  <si>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</si>
  <si>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</si>
  <si>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</si>
  <si>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</si>
  <si>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</si>
  <si>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</si>
  <si>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</si>
  <si>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</si>
  <si>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</si>
  <si>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</si>
  <si>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</si>
  <si>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</si>
  <si>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</si>
  <si>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</si>
  <si>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</si>
  <si>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</si>
  <si>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</si>
  <si>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</si>
  <si>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</si>
  <si>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</si>
  <si>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</si>
  <si>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</si>
  <si>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</si>
  <si>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</si>
  <si>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</si>
  <si>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</si>
  <si>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</si>
  <si>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</si>
  <si>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</si>
  <si>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</si>
  <si>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</si>
  <si>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</si>
  <si>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</si>
  <si>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</si>
  <si>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</si>
  <si>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</si>
  <si>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</si>
  <si>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</si>
  <si>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</si>
  <si>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</si>
  <si>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</si>
  <si>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</si>
  <si>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</si>
  <si>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</si>
  <si>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</si>
  <si>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</si>
  <si>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</si>
  <si>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</si>
  <si>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</si>
  <si>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</si>
  <si>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</si>
  <si>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</si>
  <si>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</si>
  <si>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</si>
  <si>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</si>
  <si>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</si>
  <si>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</si>
  <si>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</si>
  <si>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</si>
  <si>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</si>
  <si>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</si>
  <si>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</si>
  <si>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</si>
  <si>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</si>
  <si>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</si>
  <si>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</si>
  <si>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</si>
  <si>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</si>
  <si>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</si>
  <si>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</si>
  <si>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</si>
  <si>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</si>
  <si>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</si>
  <si>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</si>
  <si>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</si>
  <si>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</si>
  <si>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</si>
  <si>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</si>
  <si>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</si>
  <si>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</si>
  <si>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</si>
  <si>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</si>
  <si>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</si>
  <si>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trifft nicht zu</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</si>
  <si>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</si>
  <si>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</si>
  <si>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</si>
  <si>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</si>
  <si>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</si>
  <si>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</si>
  <si>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</si>
  <si>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</si>
  <si>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</si>
  <si>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</si>
  <si>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</si>
  <si>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</si>
  <si>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</si>
  <si>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</si>
  <si>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</si>
  <si>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</si>
  <si>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</si>
  <si>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</si>
  <si>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</si>
  <si>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</si>
  <si>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</si>
  <si>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</si>
  <si>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</si>
  <si>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</si>
  <si>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</si>
  <si>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</si>
  <si>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</si>
  <si>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</si>
  <si>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</si>
  <si>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</si>
  <si>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</si>
  <si>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</si>
  <si>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</si>
  <si>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</si>
  <si>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</si>
  <si>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</si>
  <si>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</si>
  <si>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</si>
  <si>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</si>
  <si>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</si>
  <si>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</si>
  <si>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</si>
  <si>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</si>
  <si>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</si>
  <si>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</si>
  <si>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</si>
  <si>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</si>
  <si>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</si>
  <si>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</si>
  <si>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</si>
  <si>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</si>
  <si>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</si>
  <si>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</si>
  <si>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</si>
  <si>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</si>
  <si>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</si>
  <si>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</si>
  <si>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</si>
  <si>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</si>
  <si>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</si>
  <si>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</si>
  <si>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</si>
  <si>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</si>
  <si>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</si>
  <si>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</si>
  <si>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</si>
  <si>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</si>
  <si>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</si>
  <si>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</si>
  <si>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</si>
  <si>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</si>
  <si>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</si>
  <si>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</si>
  <si>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</si>
  <si>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</si>
  <si>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</si>
  <si>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</si>
  <si>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</si>
  <si>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</si>
  <si>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</si>
  <si>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</si>
  <si>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</si>
  <si>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</si>
  <si>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</si>
  <si>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</si>
  <si>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</si>
  <si>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</si>
  <si>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</si>
  <si>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</si>
  <si>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</si>
  <si>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</si>
  <si>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</si>
  <si>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</si>
  <si>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</si>
  <si>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</si>
  <si>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</si>
  <si>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</si>
  <si>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</si>
  <si>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</si>
  <si>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</si>
  <si>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</si>
  <si>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</si>
  <si>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</si>
  <si>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</si>
  <si>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</si>
  <si>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</si>
  <si>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</si>
  <si>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</si>
  <si>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</si>
  <si>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</si>
  <si>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</si>
  <si>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</si>
  <si>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</si>
  <si>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</si>
  <si>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</si>
  <si>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</si>
  <si>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</si>
  <si>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</si>
  <si>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</si>
  <si>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</si>
  <si>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</si>
  <si>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</si>
  <si>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</si>
  <si>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</si>
  <si>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</si>
  <si>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</si>
  <si>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</si>
  <si>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</si>
  <si>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</si>
  <si>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</si>
  <si>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</si>
  <si>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</si>
  <si>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</si>
  <si>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</si>
  <si>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</si>
  <si>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</si>
  <si>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</si>
  <si>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</si>
  <si>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</si>
  <si>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</si>
  <si>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</si>
  <si>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</si>
  <si>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</si>
  <si>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</si>
  <si>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</si>
  <si>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</si>
  <si>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</si>
  <si>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</si>
  <si>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</si>
  <si>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</si>
  <si>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</si>
  <si>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</si>
  <si>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</si>
  <si>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</si>
  <si>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</si>
  <si>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</si>
  <si>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</si>
  <si>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</si>
  <si>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</si>
  <si>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</si>
  <si>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</si>
  <si>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</si>
  <si>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</si>
  <si>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</si>
  <si>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</si>
  <si>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</si>
  <si>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</si>
  <si>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</si>
  <si>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</si>
  <si>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</si>
  <si>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</si>
  <si>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</si>
  <si>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</si>
  <si>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</si>
  <si>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</si>
  <si>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</si>
  <si>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</si>
  <si>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</si>
  <si>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</si>
  <si>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</si>
  <si>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</si>
  <si>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</si>
  <si>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</si>
  <si>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</si>
  <si>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</si>
  <si>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</si>
  <si>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</si>
  <si>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</si>
  <si>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</si>
  <si>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</si>
  <si>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</si>
  <si>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</si>
  <si>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</si>
  <si>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</si>
  <si>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</si>
  <si>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</si>
  <si>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</si>
  <si>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</si>
  <si>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</si>
  <si>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</si>
  <si>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</si>
  <si>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</si>
  <si>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</si>
  <si>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</si>
  <si>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</si>
  <si>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</si>
  <si>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</si>
  <si>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</si>
  <si>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</si>
  <si>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</si>
  <si>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</si>
  <si>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</si>
  <si>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</si>
  <si>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</si>
  <si>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</si>
  <si>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</si>
  <si>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</si>
  <si>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</si>
  <si>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</si>
  <si>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</si>
  <si>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</si>
  <si>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</si>
  <si>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</si>
  <si>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</si>
  <si>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</si>
  <si>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</si>
  <si>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</si>
  <si>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</si>
  <si>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</si>
  <si>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</si>
  <si>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</si>
  <si>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</si>
  <si>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</si>
  <si>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</si>
  <si>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</si>
  <si>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</si>
  <si>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</si>
  <si>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</si>
  <si>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</si>
  <si>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</si>
  <si>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</si>
  <si>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</si>
  <si>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</si>
  <si>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</si>
  <si>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</si>
  <si>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</si>
  <si>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</si>
  <si>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</si>
  <si>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</si>
  <si>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</si>
  <si>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</si>
  <si>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</si>
  <si>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</si>
  <si>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</si>
  <si>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</si>
  <si>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</si>
  <si>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</si>
  <si>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</si>
  <si>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</si>
  <si>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</si>
  <si>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</si>
  <si>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</si>
  <si>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</si>
  <si>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</si>
  <si>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</si>
  <si>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</si>
  <si>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</si>
  <si>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</si>
  <si>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</si>
  <si>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</si>
  <si>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</si>
  <si>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</si>
  <si>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</si>
  <si>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</si>
  <si>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</si>
  <si>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</si>
  <si>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</si>
  <si>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</si>
  <si>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</si>
  <si>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</si>
  <si>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</si>
  <si>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</si>
  <si>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</si>
  <si>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</si>
  <si>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</si>
  <si>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</si>
  <si>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</si>
  <si>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</si>
  <si>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</si>
  <si>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</si>
  <si>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</si>
  <si>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</si>
  <si>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</si>
  <si>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</si>
  <si>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</si>
  <si>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</si>
  <si>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</si>
  <si>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</si>
  <si>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</si>
  <si>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</si>
  <si>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</si>
  <si>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</si>
  <si>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</si>
  <si>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</si>
  <si>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</si>
  <si>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</si>
  <si>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</si>
  <si>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</si>
  <si>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</si>
  <si>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</si>
  <si>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</si>
  <si>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</si>
  <si>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</si>
  <si>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</si>
  <si>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</si>
  <si>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</si>
  <si>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</si>
  <si>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</si>
  <si>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</si>
  <si>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</si>
  <si>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</si>
  <si>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</si>
  <si>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</si>
  <si>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</si>
  <si>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</si>
  <si>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</si>
  <si>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</si>
  <si>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</si>
  <si>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</si>
  <si>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</si>
  <si>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</si>
  <si>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</si>
  <si>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</si>
  <si>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</si>
  <si>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</si>
  <si>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</si>
  <si>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</si>
  <si>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</si>
  <si>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</si>
  <si>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</si>
  <si>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</si>
  <si>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</si>
  <si>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</si>
  <si>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</si>
  <si>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</si>
  <si>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</si>
  <si>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</si>
  <si>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</si>
  <si>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</si>
  <si>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</si>
  <si>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</si>
  <si>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</si>
  <si>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</si>
  <si>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</si>
  <si>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</si>
  <si>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</si>
  <si>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</si>
  <si>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</si>
  <si>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</si>
  <si>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</si>
  <si>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</si>
  <si>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</si>
  <si>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</si>
  <si>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</si>
  <si>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</si>
  <si>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</si>
  <si>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</si>
  <si>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</si>
  <si>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</si>
  <si>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</si>
  <si>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</si>
  <si>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</si>
  <si>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</si>
  <si>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</si>
  <si>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</si>
  <si>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</si>
  <si>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</si>
  <si>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</si>
  <si>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</si>
  <si>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</si>
  <si>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</si>
  <si>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</si>
  <si>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</si>
  <si>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</si>
  <si>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</si>
  <si>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</si>
  <si>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</si>
  <si>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</si>
  <si>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</si>
  <si>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</si>
  <si>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</si>
  <si>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</si>
  <si>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</si>
  <si>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</si>
  <si>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</si>
  <si>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</si>
  <si>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</si>
  <si>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</si>
  <si>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</si>
  <si>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</si>
  <si>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</si>
  <si>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</si>
  <si>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</si>
  <si>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</si>
  <si>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</si>
  <si>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</si>
  <si>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</si>
  <si>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</si>
  <si>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</si>
  <si>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</si>
  <si>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</si>
  <si>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</si>
  <si>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</si>
  <si>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</si>
  <si>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</si>
  <si>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</si>
  <si>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</si>
  <si>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</si>
  <si>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</si>
  <si>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</si>
  <si>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</si>
  <si>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</si>
  <si>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</si>
  <si>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</si>
  <si>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</si>
  <si>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</si>
  <si>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</si>
  <si>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</si>
  <si>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</si>
  <si>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</si>
  <si>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</si>
  <si>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</si>
  <si>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</si>
  <si>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</si>
  <si>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</si>
  <si>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</si>
  <si>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</si>
  <si>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</si>
  <si>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</si>
  <si>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</si>
  <si>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</si>
  <si>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</si>
  <si>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</si>
  <si>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</si>
  <si>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</si>
  <si>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</si>
  <si>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</si>
  <si>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</si>
  <si>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</si>
  <si>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</si>
  <si>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</si>
  <si>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</si>
  <si>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</si>
  <si>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</si>
  <si>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</si>
  <si>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</si>
  <si>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</si>
  <si>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</si>
  <si>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</si>
  <si>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</si>
  <si>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</si>
  <si>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</si>
  <si>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</si>
  <si>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</si>
  <si>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</si>
  <si>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</si>
  <si>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</si>
  <si>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</si>
  <si>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</si>
  <si>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</si>
  <si>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</si>
  <si>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</si>
  <si>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</si>
  <si>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</si>
  <si>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</si>
  <si>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</si>
  <si>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</si>
  <si>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</si>
  <si>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</si>
  <si>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</si>
  <si>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</si>
  <si>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</si>
  <si>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</si>
  <si>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</si>
  <si>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</si>
  <si>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</si>
  <si>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</si>
  <si>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</si>
  <si>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</si>
  <si>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</si>
  <si>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</si>
  <si>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</si>
  <si>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</si>
  <si>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</si>
  <si>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</si>
  <si>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</si>
  <si>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</si>
  <si>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</si>
  <si>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</si>
  <si>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</si>
  <si>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</si>
  <si>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</si>
  <si>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</si>
  <si>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</si>
  <si>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</si>
  <si>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</si>
  <si>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</si>
  <si>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</si>
  <si>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</si>
  <si>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</si>
  <si>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</si>
  <si>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</si>
  <si>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</si>
  <si>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</si>
  <si>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</si>
  <si>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</si>
  <si>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</si>
  <si>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</si>
  <si>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</si>
  <si>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</si>
  <si>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</si>
  <si>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</si>
  <si>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</si>
  <si>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</si>
  <si>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</si>
  <si>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</si>
  <si>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</si>
  <si>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</si>
  <si>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</si>
  <si>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</si>
  <si>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</si>
  <si>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</si>
  <si>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</si>
  <si>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</si>
  <si>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</si>
  <si>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</si>
  <si>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</si>
  <si>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</si>
  <si>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</si>
  <si>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</si>
  <si>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</si>
  <si>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</si>
  <si>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</si>
  <si>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</si>
  <si>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</si>
  <si>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</si>
  <si>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</si>
  <si>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</si>
  <si>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</si>
  <si>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</si>
  <si>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</si>
  <si>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</si>
  <si>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</si>
  <si>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</si>
  <si>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</si>
  <si>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</si>
  <si>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</si>
  <si>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</si>
  <si>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</si>
  <si>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</si>
  <si>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</si>
  <si>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</si>
  <si>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</si>
  <si>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</si>
  <si>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</si>
  <si>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</si>
  <si>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</si>
  <si>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</si>
  <si>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</si>
  <si>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</si>
  <si>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</si>
  <si>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</si>
  <si>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</si>
  <si>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</si>
  <si>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</si>
  <si>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</si>
  <si>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</si>
  <si>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</si>
  <si>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</si>
  <si>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</si>
  <si>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</si>
  <si>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</si>
  <si>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</si>
  <si>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</si>
  <si>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</si>
  <si>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</si>
  <si>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</si>
  <si>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</si>
  <si>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</si>
  <si>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</si>
  <si>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</si>
  <si>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</si>
  <si>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</si>
  <si>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</si>
  <si>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</si>
  <si>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</si>
  <si>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</si>
  <si>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</si>
  <si>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</si>
  <si>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</si>
  <si>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</si>
  <si>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</si>
  <si>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</si>
  <si>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</si>
  <si>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</si>
  <si>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</si>
  <si>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</si>
  <si>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</si>
  <si>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</si>
  <si>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</si>
  <si>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</si>
  <si>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</si>
  <si>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</si>
  <si>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</si>
  <si>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</si>
  <si>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</si>
  <si>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</si>
  <si>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</si>
  <si>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</si>
  <si>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</si>
  <si>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</si>
  <si>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</si>
  <si>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</si>
  <si>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</si>
  <si>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</si>
  <si>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</si>
  <si>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</si>
  <si>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</si>
  <si>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</si>
  <si>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</si>
  <si>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</si>
  <si>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</si>
  <si>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</si>
  <si>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</si>
  <si>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</si>
  <si>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</si>
  <si>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</si>
  <si>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</si>
  <si>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</si>
  <si>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</si>
  <si>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</si>
  <si>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</si>
  <si>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</si>
  <si>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</si>
  <si>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</si>
  <si>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</si>
  <si>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</si>
  <si>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</si>
  <si>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</si>
  <si>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</si>
  <si>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</si>
  <si>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</si>
  <si>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</si>
  <si>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</si>
  <si>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</si>
  <si>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</si>
  <si>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</si>
  <si>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</si>
  <si>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</si>
  <si>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</si>
  <si>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</si>
  <si>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</si>
  <si>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</si>
  <si>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</si>
  <si>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</si>
  <si>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</si>
  <si>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</si>
  <si>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</si>
  <si>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</si>
  <si>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</si>
  <si>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</si>
  <si>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</si>
  <si>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</si>
  <si>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</si>
  <si>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</si>
  <si>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</si>
  <si>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</si>
  <si>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</si>
  <si>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</si>
  <si>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</si>
  <si>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</si>
  <si>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</si>
  <si>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</si>
  <si>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</si>
  <si>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</si>
  <si>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</si>
  <si>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</si>
  <si>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</si>
  <si>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</si>
  <si>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</si>
  <si>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</si>
  <si>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</si>
  <si>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</si>
  <si>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</si>
  <si>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</si>
  <si>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</si>
  <si>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</si>
  <si>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</si>
  <si>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</si>
  <si>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</si>
  <si>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</si>
  <si>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</si>
  <si>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</si>
  <si>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</si>
  <si>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</si>
  <si>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</si>
  <si>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</si>
  <si>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</si>
  <si>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</si>
  <si>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</si>
  <si>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</si>
  <si>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</si>
  <si>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</si>
  <si>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</si>
  <si>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</si>
  <si>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</si>
  <si>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</si>
  <si>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</si>
  <si>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</si>
  <si>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</si>
  <si>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</si>
  <si>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</si>
  <si>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</si>
  <si>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</si>
  <si>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</si>
  <si>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</si>
  <si>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</si>
  <si>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</si>
  <si>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</si>
  <si>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</si>
  <si>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</si>
  <si>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</si>
  <si>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</si>
  <si>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</si>
  <si>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</si>
  <si>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</si>
  <si>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</si>
  <si>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</si>
  <si>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</si>
  <si>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</si>
  <si>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</si>
  <si>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</si>
  <si>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</si>
  <si>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</si>
  <si>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</si>
  <si>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</si>
  <si>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</si>
  <si>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</si>
  <si>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</si>
  <si>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</si>
  <si>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</si>
  <si>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</si>
  <si>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</si>
  <si>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</si>
  <si>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</si>
  <si>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</si>
  <si>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</si>
  <si>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</si>
  <si>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</si>
  <si>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</si>
  <si>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</si>
  <si>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</si>
  <si>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</si>
  <si>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</si>
  <si>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</si>
  <si>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</si>
  <si>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</si>
  <si>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</si>
  <si>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</si>
  <si>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</si>
  <si>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</si>
  <si>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</si>
  <si>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</si>
  <si>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</si>
  <si>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</si>
  <si>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</si>
  <si>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</si>
  <si>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</si>
  <si>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</si>
  <si>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</si>
  <si>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</si>
  <si>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</si>
  <si>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</si>
  <si>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</si>
  <si>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</si>
  <si>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</si>
  <si>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</si>
  <si>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</si>
  <si>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</si>
  <si>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</si>
  <si>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</si>
  <si>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</si>
  <si>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</si>
  <si>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</si>
  <si>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</si>
  <si>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</si>
  <si>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</si>
  <si>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</si>
  <si>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</si>
  <si>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</si>
  <si>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</si>
  <si>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</si>
  <si>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</si>
  <si>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</si>
  <si>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</si>
  <si>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</si>
  <si>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</si>
  <si>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</si>
  <si>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</si>
  <si>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</si>
  <si>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</si>
  <si>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</si>
  <si>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</si>
  <si>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</si>
  <si>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</si>
  <si>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</si>
  <si>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</si>
  <si>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</si>
  <si>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</si>
  <si>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</si>
  <si>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</si>
  <si>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</si>
  <si>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</si>
  <si>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</si>
  <si>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</si>
  <si>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</si>
  <si>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</si>
  <si>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</si>
  <si>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</si>
  <si>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</si>
  <si>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</si>
  <si>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</si>
  <si>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</si>
  <si>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</si>
  <si>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</si>
  <si>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</si>
  <si>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</si>
  <si>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</si>
  <si>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</si>
  <si>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</si>
  <si>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</si>
  <si>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</si>
  <si>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</si>
  <si>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</si>
  <si>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</si>
  <si>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</si>
  <si>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</si>
  <si>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</si>
  <si>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</si>
  <si>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</si>
  <si>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</si>
  <si>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</si>
  <si>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</si>
  <si>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</si>
  <si>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</si>
  <si>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</si>
  <si>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</si>
  <si>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</si>
  <si>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</si>
  <si>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</si>
  <si>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</si>
  <si>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</si>
  <si>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</si>
  <si>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</si>
  <si>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</si>
  <si>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</si>
  <si>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</si>
  <si>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</si>
  <si>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</si>
  <si>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</si>
  <si>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</si>
  <si>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</si>
  <si>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</si>
  <si>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</si>
  <si>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</si>
  <si>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</si>
  <si>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</si>
  <si>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</si>
  <si>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</si>
  <si>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</si>
  <si>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</si>
  <si>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</si>
  <si>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</si>
  <si>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</si>
  <si>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</si>
  <si>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</si>
  <si>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</si>
  <si>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</si>
  <si>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</si>
  <si>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</si>
  <si>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</si>
  <si>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</si>
  <si>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</si>
  <si>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</si>
  <si>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</si>
  <si>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</si>
  <si>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</si>
  <si>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</si>
  <si>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</si>
  <si>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</si>
  <si>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</si>
  <si>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</si>
  <si>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</si>
  <si>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</si>
  <si>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</si>
  <si>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</si>
  <si>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</si>
  <si>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</si>
  <si>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</si>
  <si>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</si>
  <si>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</si>
  <si>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</si>
  <si>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</si>
  <si>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</si>
  <si>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</si>
  <si>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</si>
  <si>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</si>
  <si>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</si>
  <si>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</si>
  <si>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</si>
  <si>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</si>
  <si>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</si>
  <si>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</si>
  <si>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</si>
  <si>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</si>
  <si>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</si>
  <si>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</si>
  <si>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</si>
  <si>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</si>
  <si>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</si>
  <si>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</si>
  <si>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</si>
  <si>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</si>
  <si>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</si>
  <si>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</si>
  <si>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</si>
  <si>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</si>
  <si>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</si>
  <si>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</si>
  <si>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</si>
  <si>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</si>
  <si>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</si>
  <si>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</si>
  <si>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</si>
  <si>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</si>
  <si>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</si>
  <si>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</si>
  <si>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</si>
  <si>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</si>
  <si>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</si>
  <si>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</si>
  <si>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</si>
  <si>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</si>
  <si>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</si>
  <si>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</si>
  <si>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</si>
  <si>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</si>
  <si>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</si>
  <si>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</si>
  <si>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</si>
  <si>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</si>
  <si>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</si>
  <si>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</si>
  <si>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</si>
  <si>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</si>
  <si>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</si>
  <si>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</si>
  <si>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</si>
  <si>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</si>
  <si>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</si>
  <si>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</si>
  <si>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</si>
  <si>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</si>
  <si>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</si>
  <si>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</si>
  <si>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</si>
  <si>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</si>
  <si>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</si>
  <si>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</si>
  <si>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</si>
  <si>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</si>
  <si>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</si>
  <si>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</si>
  <si>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</si>
  <si>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</si>
  <si>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</si>
  <si>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</si>
  <si>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</si>
  <si>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</si>
  <si>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</si>
  <si>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</si>
  <si>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</si>
  <si>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</si>
  <si>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</si>
  <si>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</si>
  <si>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</si>
  <si>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</si>
  <si>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</si>
  <si>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</si>
  <si>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</si>
  <si>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</si>
  <si>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</si>
  <si>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</si>
  <si>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</si>
  <si>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</si>
  <si>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</si>
  <si>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</si>
  <si>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</si>
  <si>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</si>
  <si>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</si>
  <si>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</si>
  <si>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</si>
  <si>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</si>
  <si>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</si>
  <si>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</si>
  <si>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</si>
  <si>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</si>
  <si>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</si>
  <si>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</si>
  <si>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</si>
  <si>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</si>
  <si>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</si>
  <si>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</si>
  <si>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</si>
  <si>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</si>
  <si>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</si>
  <si>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</si>
  <si>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</si>
  <si>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</si>
  <si>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</si>
  <si>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</si>
  <si>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</si>
  <si>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</si>
  <si>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</si>
  <si>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</si>
  <si>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</si>
  <si>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</si>
  <si>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</si>
  <si>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</si>
  <si>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</si>
  <si>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</si>
  <si>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</si>
  <si>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</si>
  <si>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</si>
  <si>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</si>
  <si>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</si>
  <si>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</si>
  <si>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</si>
  <si>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</si>
  <si>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</si>
  <si>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</si>
  <si>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</si>
  <si>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</si>
  <si>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</si>
  <si>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</si>
  <si>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</si>
  <si>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</si>
  <si>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</si>
  <si>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</si>
  <si>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</si>
  <si>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</si>
  <si>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</si>
  <si>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</si>
  <si>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</si>
  <si>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</si>
  <si>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</si>
  <si>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</si>
  <si>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</si>
  <si>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</si>
  <si>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</si>
  <si>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</si>
  <si>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</si>
  <si>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</si>
  <si>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</si>
  <si>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</si>
  <si>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</si>
  <si>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</si>
  <si>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</si>
  <si>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</si>
  <si>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</si>
  <si>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</si>
  <si>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</si>
  <si>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</si>
  <si>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</si>
  <si>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</si>
  <si>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</si>
  <si>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</si>
  <si>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</si>
  <si>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</si>
  <si>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</si>
  <si>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</si>
  <si>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</si>
  <si>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</si>
  <si>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</si>
  <si>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</si>
  <si>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</si>
  <si>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</si>
  <si>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</si>
  <si>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</si>
  <si>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</si>
  <si>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</si>
  <si>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</si>
  <si>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</si>
  <si>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</si>
  <si>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</si>
  <si>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</si>
  <si>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</si>
  <si>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</si>
  <si>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</si>
  <si>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</si>
  <si>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</si>
  <si>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</si>
  <si>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</si>
  <si>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</si>
  <si>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</si>
  <si>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</si>
  <si>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</si>
  <si>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</si>
  <si>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</si>
  <si>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</si>
  <si>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</si>
  <si>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</si>
  <si>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</si>
  <si>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</si>
  <si>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</si>
  <si>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</si>
  <si>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</si>
  <si>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</si>
  <si>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</si>
  <si>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</si>
  <si>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</si>
  <si>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</si>
  <si>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</si>
  <si>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</si>
  <si>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</si>
  <si>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</si>
  <si>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</si>
  <si>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</si>
  <si>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</si>
  <si>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</si>
  <si>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</si>
  <si>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</si>
  <si>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</si>
  <si>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</si>
  <si>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</si>
  <si>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</si>
  <si>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</si>
  <si>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</si>
  <si>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</si>
  <si>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</si>
  <si>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</si>
  <si>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</si>
  <si>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</si>
  <si>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</si>
  <si>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</si>
  <si>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</si>
  <si>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</si>
  <si>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</si>
  <si>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</si>
  <si>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</si>
  <si>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</si>
  <si>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</si>
  <si>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</si>
  <si>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</si>
  <si>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</si>
  <si>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</si>
  <si>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</si>
  <si>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</si>
  <si>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</si>
  <si>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</si>
  <si>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</si>
  <si>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</si>
  <si>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</si>
  <si>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</si>
  <si>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</si>
  <si>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</si>
  <si>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</si>
  <si>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</si>
  <si>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</si>
  <si>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</si>
  <si>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</si>
  <si>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</si>
  <si>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</si>
  <si>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</si>
  <si>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</si>
  <si>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</si>
  <si>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</si>
  <si>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</si>
  <si>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</si>
  <si>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</si>
  <si>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</si>
  <si>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</si>
  <si>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</si>
  <si>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</si>
  <si>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</si>
  <si>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</si>
  <si>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</si>
  <si>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</si>
  <si>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</si>
  <si>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</si>
  <si>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</si>
  <si>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</si>
  <si>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</si>
  <si>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</si>
  <si>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</si>
  <si>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</si>
  <si>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</si>
  <si>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</si>
  <si>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</si>
  <si>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</si>
  <si>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</si>
  <si>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</si>
  <si>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</si>
  <si>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</si>
  <si>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</si>
  <si>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</si>
  <si>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</si>
  <si>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</si>
  <si>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</si>
  <si>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</si>
  <si>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</si>
  <si>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</si>
  <si>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</si>
  <si>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</si>
  <si>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</si>
  <si>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</si>
  <si>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</si>
  <si>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</si>
  <si>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</si>
  <si>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</si>
  <si>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</si>
  <si>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</si>
  <si>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</si>
  <si>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</si>
  <si>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</si>
  <si>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</si>
  <si>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</si>
  <si>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</si>
  <si>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</si>
  <si>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</si>
  <si>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</si>
  <si>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</si>
  <si>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</si>
  <si>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</si>
  <si>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</si>
  <si>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</si>
  <si>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</si>
  <si>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</si>
  <si>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</si>
  <si>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</si>
  <si>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</si>
  <si>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</si>
  <si>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</si>
  <si>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</si>
  <si>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</si>
  <si>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</si>
  <si>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</si>
  <si>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</si>
  <si>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</si>
  <si>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</si>
  <si>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</si>
  <si>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</si>
  <si>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</si>
  <si>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</si>
  <si>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</si>
  <si>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</si>
  <si>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</si>
  <si>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</si>
  <si>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</si>
  <si>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</si>
  <si>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</si>
  <si>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</si>
  <si>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</si>
  <si>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</si>
  <si>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</si>
  <si>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</si>
  <si>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</si>
  <si>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</si>
  <si>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</si>
  <si>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</si>
  <si>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</si>
  <si>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</si>
  <si>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</si>
  <si>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</si>
  <si>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</si>
  <si>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</si>
  <si>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</si>
  <si>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</si>
  <si>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</si>
  <si>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</si>
  <si>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</si>
  <si>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</si>
  <si>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</si>
  <si>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</si>
  <si>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</si>
  <si>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</si>
  <si>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</si>
  <si>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</si>
  <si>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</si>
  <si>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</si>
  <si>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</si>
  <si>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</si>
  <si>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</si>
  <si>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</si>
  <si>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</si>
  <si>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</si>
  <si>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</si>
  <si>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</si>
  <si>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</si>
  <si>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</si>
  <si>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</si>
  <si>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</si>
  <si>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</si>
  <si>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</si>
  <si>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</si>
  <si>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</si>
  <si>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</si>
  <si>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</si>
  <si>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</si>
  <si>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</si>
  <si>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</si>
  <si>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</si>
  <si>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</si>
  <si>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</si>
  <si>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</si>
  <si>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</si>
  <si>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</si>
  <si>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</si>
  <si>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</si>
  <si>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</si>
  <si>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</si>
  <si>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</si>
  <si>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</si>
  <si>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</si>
  <si>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</si>
  <si>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</si>
  <si>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</si>
  <si>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</si>
  <si>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</si>
  <si>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</si>
  <si>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</si>
  <si>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</si>
  <si>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</si>
  <si>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</si>
  <si>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</si>
  <si>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</si>
  <si>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</si>
  <si>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</si>
  <si>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</si>
  <si>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</si>
  <si>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</si>
  <si>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</si>
  <si>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</si>
  <si>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</si>
  <si>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</si>
  <si>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</si>
  <si>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</si>
  <si>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</si>
  <si>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</si>
  <si>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</si>
  <si>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</si>
  <si>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</si>
  <si>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</si>
  <si>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</si>
  <si>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</si>
  <si>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</si>
  <si>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</si>
  <si>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</si>
  <si>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</si>
  <si>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</si>
  <si>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</si>
  <si>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</si>
  <si>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</si>
  <si>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</si>
  <si>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</si>
  <si>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</si>
  <si>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</si>
  <si>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</si>
  <si>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</si>
  <si>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</si>
  <si>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</si>
  <si>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</si>
  <si>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</si>
  <si>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</si>
  <si>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</si>
  <si>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</si>
  <si>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</si>
  <si>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</si>
  <si>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</si>
  <si>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</si>
  <si>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</si>
  <si>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</si>
  <si>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</si>
  <si>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</si>
  <si>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</si>
  <si>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</si>
  <si>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</si>
  <si>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</si>
  <si>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</si>
  <si>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</si>
  <si>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</si>
  <si>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</si>
  <si>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</si>
  <si>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</si>
  <si>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</si>
  <si>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</si>
  <si>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</si>
  <si>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</si>
  <si>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</si>
  <si>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</si>
  <si>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</si>
  <si>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</si>
  <si>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</si>
  <si>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</si>
  <si>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</si>
  <si>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</si>
  <si>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</si>
  <si>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</si>
  <si>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</si>
  <si>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</si>
  <si>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</si>
  <si>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</si>
  <si>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</si>
  <si>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</si>
  <si>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</si>
  <si>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</si>
  <si>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</si>
  <si>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</si>
  <si>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</si>
  <si>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</si>
  <si>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</si>
  <si>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</si>
  <si>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</si>
  <si>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</si>
  <si>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</si>
  <si>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</si>
  <si>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</si>
  <si>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</si>
  <si>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</si>
  <si>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</si>
  <si>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</si>
  <si>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</si>
  <si>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</si>
  <si>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</si>
  <si>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</si>
  <si>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</si>
  <si>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</si>
  <si>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</si>
  <si>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</si>
  <si>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</si>
  <si>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</si>
  <si>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</si>
  <si>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</si>
  <si>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</si>
  <si>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</si>
  <si>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</si>
  <si>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</si>
  <si>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</si>
  <si>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</si>
  <si>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</si>
  <si>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</si>
  <si>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</si>
  <si>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</si>
  <si>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</si>
  <si>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</si>
  <si>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</si>
  <si>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</si>
  <si>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</si>
  <si>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</si>
  <si>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</si>
  <si>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</si>
  <si>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</si>
  <si>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</si>
  <si>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</si>
  <si>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</si>
  <si>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</si>
  <si>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</si>
  <si>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</si>
  <si>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</si>
  <si>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</si>
  <si>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</si>
  <si>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</si>
  <si>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</si>
  <si>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</si>
  <si>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</si>
  <si>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</si>
  <si>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</si>
  <si>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</si>
  <si>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</si>
  <si>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</si>
  <si>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</si>
  <si>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</si>
  <si>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</si>
  <si>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</si>
  <si>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</si>
  <si>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</si>
  <si>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</si>
  <si>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</si>
  <si>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</si>
  <si>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</si>
  <si>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</si>
  <si>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</si>
  <si>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</si>
  <si>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</si>
  <si>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</si>
  <si>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</si>
  <si>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</si>
  <si>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</si>
  <si>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</si>
  <si>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</si>
  <si>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</si>
  <si>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</si>
  <si>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</si>
  <si>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</si>
  <si>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</si>
  <si>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</si>
  <si>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</si>
  <si>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</si>
  <si>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</si>
  <si>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</si>
  <si>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</si>
  <si>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</si>
  <si>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</si>
  <si>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</si>
  <si>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</si>
  <si>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</si>
  <si>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</si>
  <si>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</si>
  <si>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</si>
  <si>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</si>
  <si>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</si>
  <si>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</si>
  <si>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</si>
  <si>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</si>
  <si>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</si>
  <si>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</si>
  <si>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</si>
  <si>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</si>
  <si>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</si>
  <si>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</si>
  <si>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</si>
  <si>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</si>
  <si>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</si>
  <si>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</si>
  <si>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</si>
  <si>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</si>
  <si>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</si>
  <si>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</si>
  <si>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</si>
  <si>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</si>
  <si>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</si>
  <si>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</si>
  <si>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</si>
  <si>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</si>
  <si>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</si>
  <si>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</si>
  <si>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</si>
  <si>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</si>
  <si>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</si>
  <si>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</si>
  <si>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</si>
  <si>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</si>
  <si>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</si>
  <si>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</si>
  <si>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</si>
  <si>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</si>
  <si>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</si>
  <si>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</si>
  <si>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</si>
  <si>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</si>
  <si>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</si>
  <si>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</si>
  <si>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</si>
  <si>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</si>
  <si>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</si>
  <si>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</si>
  <si>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</si>
  <si>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</si>
  <si>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</si>
  <si>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</si>
  <si>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</si>
  <si>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</si>
  <si>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</si>
  <si>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</si>
  <si>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</si>
  <si>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</si>
  <si>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</si>
  <si>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</si>
  <si>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</si>
  <si>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</si>
  <si>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</si>
  <si>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</si>
  <si>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</si>
  <si>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</si>
  <si>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</si>
  <si>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</si>
  <si>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</si>
  <si>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</si>
  <si>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</si>
  <si>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</si>
  <si>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</si>
  <si>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</si>
  <si>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</si>
  <si>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</si>
  <si>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</si>
  <si>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</si>
  <si>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</si>
  <si>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</si>
  <si>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</si>
  <si>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</si>
  <si>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</si>
  <si>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</si>
  <si>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</si>
  <si>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</si>
  <si>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</si>
  <si>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</si>
  <si>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</si>
  <si>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</si>
  <si>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</si>
  <si>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</si>
  <si>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</si>
  <si>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</si>
  <si>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</si>
  <si>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</si>
  <si>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</si>
  <si>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</si>
  <si>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</si>
  <si>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</si>
  <si>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</si>
  <si>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</si>
  <si>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</si>
  <si>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</si>
  <si>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</si>
  <si>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</si>
  <si>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</si>
  <si>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</si>
  <si>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</si>
  <si>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</si>
  <si>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</si>
  <si>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</si>
  <si>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</si>
  <si>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</si>
  <si>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</si>
  <si>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</si>
  <si>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</si>
  <si>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</si>
  <si>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</si>
  <si>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</si>
  <si>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</si>
  <si>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</si>
  <si>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</si>
  <si>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</si>
  <si>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</si>
  <si>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</si>
  <si>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</si>
  <si>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</si>
  <si>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</si>
  <si>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</si>
  <si>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</si>
  <si>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</si>
  <si>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</si>
  <si>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</si>
  <si>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</si>
  <si>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</si>
  <si>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</si>
  <si>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</si>
  <si>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</si>
  <si>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</si>
  <si>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</si>
  <si>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</si>
  <si>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</si>
  <si>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</si>
  <si>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</si>
  <si>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</si>
  <si>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</si>
  <si>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</si>
  <si>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</si>
  <si>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</si>
  <si>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</si>
  <si>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</si>
  <si>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</si>
  <si>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</si>
  <si>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</si>
  <si>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</si>
  <si>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</si>
  <si>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</si>
  <si>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</si>
  <si>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</si>
  <si>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</si>
  <si>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</si>
  <si>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</si>
  <si>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</si>
  <si>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</si>
  <si>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</si>
  <si>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</si>
  <si>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</si>
  <si>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</si>
  <si>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</si>
  <si>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</si>
  <si>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</si>
  <si>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</si>
  <si>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</si>
  <si>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</si>
  <si>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</si>
  <si>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</si>
  <si>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</si>
  <si>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</si>
  <si>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</si>
  <si>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</si>
  <si>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</si>
  <si>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</si>
  <si>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</si>
  <si>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</si>
  <si>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</si>
  <si>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</si>
  <si>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</si>
  <si>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</si>
  <si>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</si>
  <si>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</si>
  <si>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</si>
  <si>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</si>
  <si>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</si>
  <si>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</si>
  <si>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</si>
  <si>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</si>
  <si>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</si>
  <si>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</si>
  <si>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</si>
  <si>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</si>
  <si>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</si>
  <si>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</si>
  <si>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</si>
  <si>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</si>
  <si>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</si>
  <si>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</si>
  <si>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</si>
  <si>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</si>
  <si>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</si>
  <si>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</si>
  <si>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</si>
  <si>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</si>
  <si>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</si>
  <si>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</si>
  <si>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</si>
  <si>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</si>
  <si>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</si>
  <si>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</si>
  <si>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</si>
  <si>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</si>
  <si>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</si>
  <si>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</si>
  <si>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</si>
  <si>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</si>
  <si>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</si>
  <si>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</si>
  <si>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</si>
  <si>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</si>
  <si>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</si>
  <si>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</si>
  <si>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</si>
  <si>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</si>
  <si>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</si>
  <si>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</si>
  <si>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</si>
  <si>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</si>
  <si>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</si>
  <si>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</si>
  <si>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</si>
  <si>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</si>
  <si>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</si>
  <si>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</si>
  <si>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</si>
  <si>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</si>
  <si>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</si>
  <si>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</si>
  <si>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</si>
  <si>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</si>
  <si>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</si>
  <si>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</si>
  <si>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</si>
  <si>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</si>
  <si>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</si>
  <si>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</si>
  <si>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</si>
  <si>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</si>
  <si>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</si>
  <si>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</si>
  <si>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</si>
  <si>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</si>
  <si>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</si>
  <si>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</si>
  <si>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</si>
  <si>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</si>
  <si>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</si>
  <si>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</si>
  <si>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</si>
  <si>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</si>
  <si>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</si>
  <si>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</si>
  <si>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</si>
  <si>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</si>
  <si>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</si>
  <si>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</si>
  <si>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</si>
  <si>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</si>
  <si>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</si>
  <si>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</si>
  <si>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</si>
  <si>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</si>
  <si>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</si>
  <si>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</si>
  <si>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</si>
  <si>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</si>
  <si>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</si>
  <si>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</si>
  <si>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</si>
  <si>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</si>
  <si>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</si>
  <si>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</si>
  <si>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</si>
  <si>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</si>
  <si>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</si>
  <si>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</si>
  <si>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</si>
  <si>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</si>
  <si>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</si>
  <si>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</si>
  <si>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</si>
  <si>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</si>
  <si>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</si>
  <si>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</si>
  <si>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</si>
  <si>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</si>
  <si>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</si>
  <si>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</si>
  <si>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</si>
  <si>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</si>
  <si>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</si>
  <si>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</si>
  <si>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</si>
  <si>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</si>
  <si>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</si>
  <si>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</si>
  <si>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</si>
  <si>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</si>
  <si>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</si>
  <si>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</si>
  <si>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</si>
  <si>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</si>
  <si>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</si>
  <si>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</si>
  <si>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</si>
  <si>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</si>
  <si>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</si>
  <si>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</si>
  <si>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</si>
  <si>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</si>
  <si>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</si>
  <si>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</si>
  <si>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</si>
  <si>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</si>
  <si>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</si>
  <si>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</si>
  <si>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</si>
  <si>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</si>
  <si>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</si>
  <si>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</si>
  <si>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</si>
  <si>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</si>
  <si>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</si>
  <si>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</si>
  <si>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</si>
  <si>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</si>
  <si>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</si>
  <si>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</si>
  <si>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</si>
  <si>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</si>
  <si>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</si>
  <si>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</si>
  <si>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</si>
  <si>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</si>
  <si>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</si>
  <si>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</si>
  <si>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</si>
  <si>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</si>
  <si>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</si>
  <si>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</si>
  <si>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</si>
  <si>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</si>
  <si>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</si>
  <si>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</si>
  <si>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</si>
  <si>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</si>
  <si>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</si>
  <si>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</si>
  <si>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</si>
  <si>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</si>
  <si>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</si>
  <si>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</si>
  <si>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</si>
  <si>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</si>
  <si>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</si>
  <si>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</si>
  <si>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</si>
  <si>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</si>
  <si>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</si>
  <si>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</si>
  <si>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</si>
  <si>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</si>
  <si>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</si>
  <si>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</si>
  <si>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</si>
  <si>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</si>
  <si>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</si>
  <si>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</si>
  <si>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</si>
  <si>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</si>
  <si>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</si>
  <si>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</si>
  <si>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</si>
  <si>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</si>
  <si>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</si>
  <si>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</si>
  <si>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</si>
  <si>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</si>
  <si>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</si>
  <si>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</si>
  <si>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</si>
  <si>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</si>
  <si>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</si>
  <si>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</si>
  <si>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</si>
  <si>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</si>
  <si>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</si>
  <si>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</si>
  <si>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</si>
  <si>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</si>
  <si>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</si>
  <si>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</si>
  <si>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</si>
  <si>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</si>
  <si>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</si>
  <si>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</si>
  <si>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</si>
  <si>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</si>
  <si>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</si>
  <si>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</si>
  <si>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</si>
  <si>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</si>
  <si>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</si>
  <si>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</si>
  <si>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</si>
  <si>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</si>
  <si>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</si>
  <si>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</si>
  <si>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</si>
  <si>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</si>
  <si>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</si>
  <si>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</si>
  <si>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</si>
  <si>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</si>
  <si>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</si>
  <si>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</si>
  <si>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</si>
  <si>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</si>
  <si>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</si>
  <si>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</si>
  <si>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</si>
  <si>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</si>
  <si>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</si>
  <si>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</si>
  <si>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</si>
  <si>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</si>
  <si>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</si>
  <si>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</si>
  <si>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</si>
  <si>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</si>
  <si>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</si>
  <si>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</si>
  <si>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</si>
  <si>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</si>
  <si>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</si>
  <si>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</si>
  <si>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</si>
  <si>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</si>
  <si>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</si>
  <si>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</si>
  <si>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</si>
  <si>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</si>
  <si>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</si>
  <si>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</si>
  <si>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</si>
  <si>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</si>
  <si>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</si>
  <si>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</si>
  <si>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</si>
  <si>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</si>
  <si>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</si>
  <si>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</si>
  <si>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</si>
  <si>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</si>
  <si>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</si>
  <si>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</si>
  <si>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</si>
  <si>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</si>
  <si>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</si>
  <si>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</si>
  <si>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</si>
  <si>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</si>
  <si>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</si>
  <si>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</si>
  <si>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</si>
  <si>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</si>
  <si>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</si>
  <si>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</si>
  <si>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</si>
  <si>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</si>
  <si>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</si>
  <si>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</si>
  <si>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</si>
  <si>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</si>
  <si>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</si>
  <si>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</si>
  <si>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</si>
  <si>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</si>
  <si>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</si>
  <si>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</si>
  <si>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</si>
  <si>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</si>
  <si>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</si>
  <si>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</si>
  <si>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</si>
  <si>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</si>
  <si>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</si>
  <si>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</si>
  <si>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</si>
  <si>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</si>
  <si>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</si>
  <si>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</si>
  <si>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</si>
  <si>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</si>
  <si>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</si>
  <si>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</si>
  <si>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</si>
  <si>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</si>
  <si>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</si>
  <si>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</si>
  <si>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</si>
  <si>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</si>
  <si>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</si>
  <si>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</si>
  <si>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</si>
  <si>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</si>
  <si>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</si>
  <si>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</si>
  <si>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</si>
  <si>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</si>
  <si>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</si>
  <si>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</si>
  <si>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</si>
  <si>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</si>
  <si>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</si>
  <si>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</si>
  <si>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</si>
  <si>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</si>
  <si>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</si>
  <si>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</si>
  <si>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</si>
  <si>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</si>
  <si>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</si>
  <si>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</si>
  <si>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</si>
  <si>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</si>
  <si>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</si>
  <si>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</si>
  <si>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</si>
  <si>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</si>
  <si>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</si>
  <si>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</si>
  <si>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</si>
  <si>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</si>
  <si>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</si>
  <si>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</si>
  <si>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</si>
  <si>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</si>
  <si>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</si>
  <si>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</si>
  <si>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</si>
  <si>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</si>
  <si>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</si>
  <si>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</si>
  <si>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</si>
  <si>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</si>
  <si>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</si>
  <si>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</si>
  <si>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</si>
  <si>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</si>
  <si>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</si>
  <si>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</si>
  <si>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</si>
  <si>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</si>
  <si>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</si>
  <si>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</si>
  <si>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</si>
  <si>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</si>
  <si>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</si>
  <si>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</si>
  <si>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</si>
  <si>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</si>
  <si>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</si>
  <si>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</si>
  <si>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</si>
  <si>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</si>
  <si>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</si>
  <si>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</si>
  <si>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</si>
  <si>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</si>
  <si>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</si>
  <si>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</si>
  <si>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</si>
  <si>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</si>
  <si>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</si>
  <si>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</si>
  <si>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</si>
  <si>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</si>
  <si>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</si>
  <si>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</si>
  <si>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</si>
  <si>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</si>
  <si>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</si>
  <si>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</si>
  <si>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</si>
  <si>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</si>
  <si>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</si>
  <si>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</si>
  <si>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</si>
  <si>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</si>
  <si>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</si>
  <si>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</si>
  <si>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</si>
  <si>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</si>
  <si>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</si>
  <si>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</si>
  <si>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</si>
  <si>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</si>
  <si>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</si>
  <si>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</si>
  <si>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</si>
  <si>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</si>
  <si>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</si>
  <si>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</si>
  <si>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</si>
  <si>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</si>
  <si>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</si>
  <si>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</si>
  <si>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</si>
  <si>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</si>
  <si>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</si>
  <si>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</si>
  <si>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</si>
  <si>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</si>
  <si>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</si>
  <si>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</si>
  <si>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</si>
  <si>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</si>
  <si>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</si>
  <si>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</si>
  <si>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</si>
  <si>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</si>
  <si>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</si>
  <si>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</si>
  <si>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</si>
  <si>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</si>
  <si>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</si>
  <si>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</si>
  <si>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</si>
  <si>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</si>
  <si>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</si>
  <si>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</si>
  <si>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</si>
  <si>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</si>
  <si>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</si>
  <si>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</si>
  <si>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</si>
  <si>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</si>
  <si>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</si>
  <si>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</si>
  <si>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</si>
  <si>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</si>
  <si>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</si>
  <si>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</si>
  <si>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</si>
  <si>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</si>
  <si>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</si>
  <si>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</si>
  <si>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</si>
  <si>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</si>
  <si>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</si>
  <si>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</si>
  <si>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</si>
  <si>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</si>
  <si>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</si>
  <si>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</si>
  <si>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</si>
  <si>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</si>
  <si>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</si>
  <si>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</si>
  <si>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</si>
  <si>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</si>
  <si>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</si>
  <si>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</si>
  <si>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</si>
  <si>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</si>
  <si>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</si>
  <si>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</si>
  <si>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</si>
  <si>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</si>
  <si>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</si>
  <si>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</si>
  <si>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</si>
  <si>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</si>
  <si>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</si>
  <si>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</si>
  <si>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</si>
  <si>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</si>
  <si>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</si>
  <si>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</si>
  <si>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</si>
  <si>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</si>
  <si>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</si>
  <si>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</si>
  <si>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</si>
  <si>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</si>
  <si>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</si>
  <si>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</si>
  <si>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</si>
  <si>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</si>
  <si>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</si>
  <si>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</si>
  <si>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</si>
  <si>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</si>
  <si>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</si>
  <si>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</si>
  <si>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</si>
  <si>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</si>
  <si>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</si>
  <si>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</si>
  <si>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</si>
  <si>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</si>
  <si>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</si>
  <si>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</si>
  <si>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</si>
  <si>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</si>
  <si>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</si>
  <si>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</si>
  <si>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</si>
  <si>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</si>
  <si>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</si>
  <si>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</si>
  <si>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</si>
  <si>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</si>
  <si>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</si>
  <si>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</si>
  <si>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</si>
  <si>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</si>
  <si>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</si>
  <si>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</si>
  <si>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</si>
  <si>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</si>
  <si>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</si>
  <si>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</si>
  <si>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</si>
  <si>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</si>
  <si>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</si>
  <si>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</si>
  <si>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</si>
  <si>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</si>
  <si>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</si>
  <si>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</si>
  <si>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</si>
  <si>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</si>
  <si>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</si>
  <si>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</si>
  <si>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</si>
  <si>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</si>
  <si>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</si>
  <si>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</si>
  <si>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</si>
  <si>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</si>
  <si>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</si>
  <si>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</si>
  <si>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</si>
  <si>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</si>
  <si>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</si>
  <si>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</si>
  <si>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</si>
  <si>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</si>
  <si>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</si>
  <si>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</si>
  <si>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</si>
  <si>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</si>
  <si>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</si>
  <si>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</si>
  <si>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</si>
  <si>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</si>
  <si>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</si>
  <si>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</si>
  <si>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</si>
  <si>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</si>
  <si>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</si>
  <si>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</si>
  <si>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</si>
  <si>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</si>
  <si>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</si>
  <si>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</si>
  <si>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</si>
  <si>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</si>
  <si>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</si>
  <si>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</si>
  <si>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</si>
  <si>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</si>
  <si>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</si>
  <si>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</si>
  <si>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</si>
  <si>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</si>
  <si>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</si>
  <si>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</si>
  <si>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</si>
  <si>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</si>
  <si>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</si>
  <si>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</si>
  <si>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</si>
  <si>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</si>
  <si>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</si>
  <si>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</si>
  <si>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</si>
  <si>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</si>
  <si>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</si>
  <si>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</si>
  <si>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</si>
  <si>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</si>
  <si>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</si>
  <si>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</si>
  <si>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</si>
  <si>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</si>
  <si>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</si>
  <si>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</si>
  <si>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</si>
  <si>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</si>
  <si>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</si>
  <si>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</si>
  <si>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</si>
  <si>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</si>
  <si>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</si>
  <si>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</si>
  <si>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</si>
  <si>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</si>
  <si>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</si>
  <si>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</si>
  <si>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</si>
  <si>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</si>
  <si>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</si>
  <si>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</si>
  <si>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</si>
  <si>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</si>
  <si>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</si>
  <si>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</si>
  <si>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</si>
  <si>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</si>
  <si>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</si>
  <si>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</si>
  <si>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</si>
  <si>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</si>
  <si>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</si>
  <si>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</si>
  <si>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</si>
  <si>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</si>
  <si>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</si>
  <si>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</si>
  <si>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</si>
  <si>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</si>
  <si>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</si>
  <si>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</si>
  <si>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</si>
  <si>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</si>
  <si>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</si>
  <si>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</si>
  <si>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</si>
  <si>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</si>
  <si>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</si>
  <si>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</si>
  <si>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</si>
  <si>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</si>
  <si>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</si>
  <si>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</si>
  <si>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</si>
  <si>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</si>
  <si>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</si>
  <si>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</si>
  <si>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</si>
  <si>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</si>
  <si>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</si>
  <si>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</si>
  <si>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</si>
  <si>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</si>
  <si>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</si>
  <si>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</si>
  <si>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</si>
  <si>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</si>
  <si>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</si>
  <si>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</si>
  <si>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</si>
  <si>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</si>
  <si>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</si>
  <si>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</si>
  <si>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</si>
  <si>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</si>
  <si>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</si>
  <si>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</si>
  <si>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</si>
  <si>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</si>
  <si>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</si>
  <si>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</si>
  <si>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</si>
  <si>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</si>
  <si>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</si>
  <si>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</si>
  <si>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</si>
  <si>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</si>
  <si>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</si>
  <si>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</si>
  <si>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</si>
  <si>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</si>
  <si>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</si>
  <si>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</si>
  <si>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</si>
  <si>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</si>
  <si>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</si>
  <si>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</si>
  <si>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</si>
  <si>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</si>
  <si>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</si>
  <si>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</si>
  <si>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</si>
  <si>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</si>
  <si>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</si>
  <si>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</si>
  <si>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</si>
  <si>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</si>
  <si>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</si>
  <si>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</si>
  <si>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</si>
  <si>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</si>
  <si>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</si>
  <si>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</si>
  <si>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</si>
  <si>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</si>
  <si>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</si>
  <si>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</si>
  <si>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</si>
  <si>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</si>
  <si>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</si>
  <si>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</si>
  <si>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</si>
  <si>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</si>
  <si>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</si>
  <si>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</si>
  <si>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</si>
  <si>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</si>
  <si>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</si>
  <si>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</si>
  <si>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</si>
  <si>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</si>
  <si>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</si>
  <si>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</si>
  <si>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</si>
  <si>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</si>
  <si>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</si>
  <si>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</si>
  <si>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</si>
  <si>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</si>
  <si>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</si>
  <si>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</si>
  <si>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</si>
  <si>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</si>
  <si>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</si>
  <si>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</si>
  <si>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</si>
  <si>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</si>
  <si>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</si>
  <si>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</si>
  <si>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</si>
  <si>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</si>
  <si>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</si>
  <si>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</si>
  <si>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</si>
  <si>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</si>
  <si>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</si>
  <si>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</si>
  <si>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</si>
  <si>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</si>
  <si>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</si>
  <si>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</si>
  <si>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</si>
  <si>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</si>
  <si>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</si>
  <si>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</si>
  <si>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</si>
  <si>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</si>
  <si>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</si>
  <si>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</si>
  <si>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</si>
  <si>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</si>
  <si>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</si>
  <si>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</si>
  <si>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</si>
  <si>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</si>
  <si>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</si>
  <si>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</si>
  <si>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</si>
  <si>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</si>
  <si>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</si>
  <si>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</si>
  <si>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</si>
  <si>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</si>
  <si>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</si>
  <si>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</si>
  <si>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</si>
  <si>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</si>
  <si>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</si>
  <si>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</si>
  <si>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</si>
  <si>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</si>
  <si>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</si>
  <si>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</si>
  <si>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</si>
  <si>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</si>
  <si>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</si>
  <si>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</si>
  <si>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</si>
  <si>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</si>
  <si>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</si>
  <si>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</si>
  <si>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</si>
  <si>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</si>
  <si>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</si>
  <si>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</si>
  <si>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</si>
  <si>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</si>
  <si>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</si>
  <si>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</si>
  <si>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</si>
  <si>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</si>
  <si>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</si>
  <si>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</si>
  <si>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</si>
  <si>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</si>
  <si>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</si>
  <si>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</si>
  <si>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</si>
  <si>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</si>
  <si>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</si>
  <si>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</si>
  <si>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</si>
  <si>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</si>
  <si>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</si>
  <si>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</si>
  <si>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</si>
  <si>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</si>
  <si>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</si>
  <si>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</si>
  <si>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</si>
  <si>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</si>
  <si>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</si>
  <si>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</si>
  <si>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</si>
  <si>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</si>
  <si>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</si>
  <si>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</si>
  <si>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</si>
  <si>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</si>
  <si>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</si>
  <si>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</si>
  <si>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</si>
  <si>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</si>
  <si>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</si>
  <si>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</si>
  <si>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</si>
  <si>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</si>
  <si>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</si>
  <si>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</si>
  <si>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</si>
  <si>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</si>
  <si>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</si>
  <si>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</si>
  <si>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</si>
  <si>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</si>
  <si>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</si>
  <si>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</si>
  <si>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</si>
  <si>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</si>
  <si>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</si>
  <si>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</si>
  <si>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</si>
  <si>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</si>
  <si>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</si>
  <si>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</si>
  <si>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</si>
  <si>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</si>
  <si>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</si>
  <si>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</si>
  <si>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</si>
  <si>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</si>
  <si>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</si>
  <si>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</si>
  <si>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</si>
  <si>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</si>
  <si>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</si>
  <si>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</si>
  <si>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</si>
  <si>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</si>
  <si>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</si>
  <si>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</si>
  <si>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</si>
  <si>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</si>
  <si>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</si>
  <si>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</si>
  <si>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</si>
  <si>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</si>
  <si>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</si>
  <si>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</si>
  <si>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</si>
  <si>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</si>
  <si>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</si>
  <si>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</si>
  <si>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</si>
  <si>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</si>
  <si>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</si>
  <si>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</si>
  <si>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</si>
  <si>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</si>
  <si>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</si>
  <si>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</si>
  <si>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</si>
  <si>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</si>
  <si>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</si>
  <si>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</si>
  <si>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</si>
  <si>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</si>
  <si>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</si>
  <si>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</si>
  <si>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</si>
  <si>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</si>
  <si>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</si>
  <si>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</si>
  <si>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</si>
  <si>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</si>
  <si>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</si>
  <si>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</si>
  <si>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</si>
  <si>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</si>
  <si>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</si>
  <si>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</si>
  <si>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</si>
  <si>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</si>
  <si>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</si>
  <si>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</si>
  <si>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</si>
  <si>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</si>
  <si>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</si>
  <si>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</si>
  <si>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</si>
  <si>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</si>
  <si>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</si>
  <si>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</si>
  <si>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</si>
  <si>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</si>
  <si>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</si>
  <si>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</si>
  <si>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</si>
  <si>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</si>
  <si>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</si>
  <si>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</si>
  <si>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</si>
  <si>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</si>
  <si>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</si>
  <si>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</si>
  <si>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</si>
  <si>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</si>
  <si>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</si>
  <si>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</si>
  <si>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</si>
  <si>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</si>
  <si>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</si>
  <si>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</si>
  <si>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</si>
  <si>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</si>
  <si>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</si>
  <si>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</si>
  <si>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</si>
  <si>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</si>
  <si>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</si>
  <si>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</si>
  <si>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</si>
  <si>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</si>
  <si>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</si>
  <si>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</si>
  <si>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</si>
  <si>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</si>
  <si>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</si>
  <si>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</si>
  <si>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</si>
  <si>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</si>
  <si>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</si>
  <si>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</si>
  <si>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</si>
  <si>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</si>
  <si>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</si>
  <si>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</si>
  <si>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</si>
  <si>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</si>
  <si>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</si>
  <si>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</si>
  <si>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</si>
  <si>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</si>
  <si>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</si>
  <si>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</si>
  <si>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</si>
  <si>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</si>
  <si>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</si>
  <si>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</si>
  <si>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</si>
  <si>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</si>
  <si>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</si>
  <si>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</si>
  <si>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</si>
  <si>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</si>
  <si>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</si>
  <si>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</si>
  <si>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</si>
  <si>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</si>
  <si>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</si>
  <si>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</si>
  <si>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</si>
  <si>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</si>
  <si>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</si>
  <si>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</si>
  <si>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</si>
  <si>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</si>
  <si>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</si>
  <si>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</si>
  <si>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</si>
  <si>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</si>
  <si>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</si>
  <si>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</si>
  <si>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</si>
  <si>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</si>
  <si>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</si>
  <si>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</si>
  <si>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</si>
  <si>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</si>
  <si>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</si>
  <si>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</si>
  <si>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</si>
  <si>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</si>
  <si>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</si>
  <si>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</si>
  <si>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</si>
  <si>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</si>
  <si>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</si>
  <si>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</si>
  <si>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</si>
  <si>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</si>
  <si>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</si>
  <si>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</si>
  <si>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</si>
  <si>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</si>
  <si>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</si>
  <si>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</si>
  <si>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</si>
  <si>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</si>
  <si>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</si>
  <si>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</si>
  <si>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</si>
  <si>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</si>
  <si>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</si>
  <si>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</si>
  <si>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</si>
  <si>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</si>
  <si>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</si>
  <si>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</si>
  <si>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</si>
  <si>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</si>
  <si>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</si>
  <si>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</si>
  <si>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</si>
  <si>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</si>
  <si>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</si>
  <si>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</si>
  <si>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</si>
  <si>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</si>
  <si>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</si>
  <si>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</si>
  <si>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</si>
  <si>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</si>
  <si>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</si>
  <si>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</si>
  <si>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</si>
  <si>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</si>
  <si>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</si>
  <si>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</si>
  <si>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</si>
  <si>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</si>
  <si>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</si>
  <si>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</si>
  <si>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</si>
  <si>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</si>
  <si>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</si>
  <si>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</si>
  <si>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</si>
  <si>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</si>
  <si>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</si>
  <si>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</si>
  <si>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</si>
  <si>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</si>
  <si>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</si>
  <si>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</si>
  <si>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</si>
  <si>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</si>
  <si>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</si>
  <si>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</si>
  <si>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</si>
  <si>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</si>
  <si>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</si>
  <si>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</si>
  <si>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</si>
  <si>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</si>
  <si>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</si>
  <si>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</si>
  <si>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</si>
  <si>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</si>
  <si>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</si>
  <si>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</si>
  <si>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</si>
  <si>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</si>
  <si>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</si>
  <si>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</si>
  <si>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</si>
  <si>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</si>
  <si>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</si>
  <si>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</si>
  <si>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</si>
  <si>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</si>
  <si>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</si>
  <si>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</si>
  <si>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</si>
  <si>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</si>
  <si>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</si>
  <si>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</si>
  <si>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</si>
  <si>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</si>
  <si>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</si>
  <si>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</si>
  <si>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</si>
  <si>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</si>
  <si>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</si>
  <si>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</si>
  <si>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</si>
  <si>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</si>
  <si>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</si>
  <si>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</si>
  <si>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</si>
  <si>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</si>
  <si>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</si>
  <si>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</si>
  <si>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</si>
  <si>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</si>
  <si>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</si>
  <si>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</si>
  <si>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</si>
  <si>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</si>
  <si>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</si>
  <si>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</si>
  <si>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</si>
  <si>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</si>
  <si>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</si>
  <si>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</si>
  <si>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</si>
  <si>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</si>
  <si>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</si>
  <si>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</si>
  <si>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</si>
  <si>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</si>
  <si>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</si>
  <si>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</si>
  <si>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</si>
  <si>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</si>
  <si>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</si>
  <si>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</si>
  <si>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</si>
  <si>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</si>
  <si>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</si>
  <si>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</si>
  <si>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</si>
  <si>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</si>
  <si>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</si>
  <si>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</si>
  <si>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</si>
  <si>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</si>
  <si>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</si>
  <si>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</si>
  <si>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</si>
  <si>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</si>
  <si>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</si>
  <si>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</si>
  <si>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</si>
  <si>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</si>
  <si>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</si>
  <si>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</si>
  <si>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</si>
  <si>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</si>
  <si>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</si>
  <si>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</si>
  <si>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</si>
  <si>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</si>
  <si>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</si>
  <si>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</si>
  <si>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</si>
  <si>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</si>
  <si>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</si>
  <si>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</si>
  <si>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</si>
  <si>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</si>
  <si>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</si>
  <si>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</si>
  <si>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</si>
  <si>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</si>
  <si>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</si>
  <si>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</si>
  <si>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</si>
  <si>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</si>
  <si>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</si>
  <si>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</si>
  <si>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</si>
  <si>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</si>
  <si>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</si>
  <si>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</si>
  <si>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</si>
  <si>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</si>
  <si>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</si>
  <si>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</si>
  <si>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</si>
  <si>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</si>
  <si>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</si>
  <si>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</si>
  <si>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</si>
  <si>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</si>
  <si>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</si>
  <si>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</si>
  <si>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</si>
  <si>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</si>
  <si>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</si>
  <si>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</si>
  <si>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</si>
  <si>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</si>
  <si>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</si>
  <si>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</si>
  <si>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</si>
  <si>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</si>
  <si>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</si>
  <si>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</si>
  <si>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</si>
  <si>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</si>
  <si>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</si>
  <si>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</si>
  <si>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</si>
  <si>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</si>
  <si>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</si>
  <si>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</si>
  <si>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</si>
  <si>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</si>
  <si>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</si>
  <si>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</si>
  <si>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</si>
  <si>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</si>
  <si>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</si>
  <si>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</si>
  <si>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</si>
  <si>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</si>
  <si>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</si>
  <si>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</si>
  <si>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</si>
  <si>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</si>
  <si>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</si>
  <si>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</si>
  <si>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</si>
  <si>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</si>
  <si>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</si>
  <si>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</si>
  <si>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</si>
  <si>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</si>
  <si>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</si>
  <si>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</si>
  <si>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</si>
  <si>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</si>
  <si>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</si>
  <si>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</si>
  <si>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</si>
  <si>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</si>
  <si>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</si>
  <si>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</si>
  <si>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</si>
  <si>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</si>
  <si>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</si>
  <si>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</si>
  <si>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</si>
  <si>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</si>
  <si>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</si>
  <si>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</si>
  <si>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</si>
  <si>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</si>
  <si>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</si>
  <si>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</si>
  <si>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</si>
  <si>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</si>
  <si>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</si>
  <si>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</si>
  <si>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</si>
  <si>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</si>
  <si>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</si>
  <si>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</si>
  <si>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</si>
  <si>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</si>
  <si>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</si>
  <si>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</si>
  <si>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</si>
  <si>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</si>
  <si>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</si>
  <si>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</si>
  <si>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</si>
  <si>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</si>
  <si>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</si>
  <si>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</si>
  <si>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</si>
  <si>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</si>
  <si>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</si>
  <si>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</si>
  <si>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</si>
  <si>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</si>
  <si>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</si>
  <si>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</si>
  <si>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</si>
  <si>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</si>
  <si>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</si>
  <si>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</si>
  <si>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</si>
  <si>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</si>
  <si>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</si>
  <si>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</si>
  <si>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</si>
  <si>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</si>
  <si>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</si>
  <si>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</si>
  <si>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</si>
  <si>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</si>
  <si>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</si>
  <si>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</si>
  <si>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</si>
  <si>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</si>
  <si>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</si>
  <si>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</si>
  <si>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</si>
  <si>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</si>
  <si>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</si>
  <si>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</si>
  <si>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</si>
  <si>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</si>
  <si>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</si>
  <si>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</si>
  <si>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</si>
  <si>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</si>
  <si>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</si>
  <si>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</si>
  <si>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</si>
  <si>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</si>
  <si>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</si>
  <si>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</si>
  <si>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</si>
  <si>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</si>
  <si>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</si>
  <si>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</si>
  <si>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</si>
  <si>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</si>
  <si>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</si>
  <si>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</si>
  <si>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</si>
  <si>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</si>
  <si>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</si>
  <si>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</si>
  <si>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</si>
  <si>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</si>
  <si>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</si>
  <si>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</si>
  <si>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</si>
  <si>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</si>
  <si>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</si>
  <si>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</si>
  <si>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</si>
  <si>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</si>
  <si>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</si>
  <si>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</si>
  <si>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</si>
  <si>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</si>
  <si>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</si>
  <si>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</si>
  <si>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</si>
  <si>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</si>
  <si>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</si>
  <si>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</si>
  <si>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</si>
  <si>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</si>
  <si>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</si>
  <si>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</si>
  <si>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</si>
  <si>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</si>
  <si>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</si>
  <si>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</si>
  <si>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</si>
  <si>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</si>
  <si>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</si>
  <si>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</si>
  <si>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</si>
  <si>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</si>
  <si>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</si>
  <si>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</si>
  <si>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</si>
  <si>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</si>
  <si>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</si>
  <si>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</si>
  <si>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</si>
  <si>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</si>
  <si>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</si>
  <si>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</si>
  <si>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</si>
  <si>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</si>
  <si>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</si>
  <si>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</si>
  <si>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</si>
  <si>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</si>
  <si>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</si>
  <si>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</si>
  <si>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</si>
  <si>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</si>
  <si>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</si>
  <si>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</si>
  <si>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</si>
  <si>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</si>
  <si>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</si>
  <si>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</si>
  <si>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</si>
  <si>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</si>
  <si>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</si>
  <si>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</si>
  <si>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</si>
  <si>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</si>
  <si>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</si>
  <si>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</si>
  <si>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</si>
  <si>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</si>
  <si>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</si>
  <si>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</si>
  <si>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</si>
  <si>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</si>
  <si>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</si>
  <si>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</si>
  <si>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</si>
  <si>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</si>
  <si>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</si>
  <si>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</si>
  <si>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</si>
  <si>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</si>
  <si>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</si>
  <si>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</si>
  <si>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</si>
  <si>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</si>
  <si>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</si>
  <si>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</si>
  <si>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</si>
  <si>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</si>
  <si>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</si>
  <si>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</si>
  <si>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</si>
  <si>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</si>
  <si>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</si>
  <si>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</si>
  <si>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</si>
  <si>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</si>
  <si>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</si>
  <si>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</si>
  <si>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</si>
  <si>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</si>
  <si>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</si>
  <si>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</si>
  <si>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</si>
  <si>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</si>
  <si>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</si>
  <si>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</si>
  <si>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</si>
  <si>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</si>
  <si>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</si>
  <si>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</si>
  <si>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</si>
  <si>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</si>
  <si>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</si>
  <si>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</si>
  <si>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</si>
  <si>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</si>
  <si>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</si>
  <si>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</si>
  <si>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</si>
  <si>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</si>
  <si>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</si>
  <si>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</si>
  <si>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</si>
  <si>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</si>
  <si>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</si>
  <si>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</si>
  <si>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</si>
  <si>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</si>
  <si>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</si>
  <si>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</si>
  <si>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</si>
  <si>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</si>
  <si>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</si>
  <si>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</si>
  <si>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</si>
  <si>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</si>
  <si>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</si>
  <si>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</si>
  <si>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</si>
  <si>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</si>
  <si>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</si>
  <si>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</si>
  <si>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</si>
  <si>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</si>
  <si>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</si>
  <si>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</si>
  <si>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</si>
  <si>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</si>
  <si>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</si>
  <si>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</si>
  <si>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</si>
  <si>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</si>
  <si>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</si>
  <si>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</si>
  <si>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</si>
  <si>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</si>
  <si>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</si>
  <si>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</si>
  <si>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</si>
  <si>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</si>
  <si>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</si>
  <si>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</si>
  <si>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</si>
  <si>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</si>
  <si>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</si>
  <si>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</si>
  <si>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</si>
  <si>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</si>
  <si>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</si>
  <si>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</si>
  <si>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</si>
  <si>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</si>
  <si>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</si>
  <si>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</si>
  <si>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</si>
  <si>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</si>
  <si>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</si>
  <si>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</si>
  <si>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</si>
  <si>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</si>
  <si>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</si>
  <si>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</si>
  <si>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</si>
  <si>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</si>
  <si>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</si>
  <si>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</si>
  <si>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</si>
  <si>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</si>
  <si>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</si>
  <si>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</si>
  <si>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</si>
  <si>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</si>
  <si>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</si>
  <si>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</si>
  <si>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</si>
  <si>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</si>
  <si>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</si>
  <si>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</si>
  <si>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</si>
  <si>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</si>
  <si>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</si>
  <si>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</si>
  <si>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</si>
  <si>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</si>
  <si>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</si>
  <si>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</si>
  <si>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</si>
  <si>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</si>
  <si>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</si>
  <si>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</si>
  <si>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</si>
  <si>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</si>
  <si>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</si>
  <si>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</si>
  <si>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</si>
  <si>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</si>
  <si>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</si>
  <si>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</si>
  <si>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</si>
  <si>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</si>
  <si>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</si>
  <si>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</si>
  <si>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</si>
  <si>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</si>
  <si>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</si>
  <si>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</si>
  <si>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</si>
  <si>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</si>
  <si>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</si>
  <si>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</si>
  <si>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</si>
  <si>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</si>
  <si>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</si>
  <si>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</si>
  <si>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</si>
  <si>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</si>
  <si>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</si>
  <si>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</si>
  <si>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</si>
  <si>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</si>
  <si>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</si>
  <si>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</si>
  <si>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</si>
  <si>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</si>
  <si>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</si>
  <si>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</si>
  <si>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</si>
  <si>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</si>
  <si>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</si>
  <si>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</si>
  <si>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</si>
  <si>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</si>
  <si>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</si>
  <si>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</si>
  <si>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</si>
  <si>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</si>
  <si>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</si>
  <si>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</si>
  <si>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</si>
  <si>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</si>
  <si>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</si>
  <si>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</si>
  <si>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</si>
  <si>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</si>
  <si>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</si>
  <si>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</si>
  <si>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</si>
  <si>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</si>
  <si>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</si>
  <si>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</si>
  <si>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</si>
  <si>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</si>
  <si>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</si>
  <si>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</si>
  <si>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</si>
  <si>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</si>
  <si>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</si>
  <si>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</si>
  <si>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</si>
  <si>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</si>
  <si>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</si>
  <si>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</si>
  <si>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</si>
  <si>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</si>
  <si>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</si>
  <si>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</si>
  <si>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</si>
  <si>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</si>
  <si>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</si>
  <si>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</si>
  <si>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</si>
  <si>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</si>
  <si>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</si>
  <si>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</si>
  <si>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</si>
  <si>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</si>
  <si>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</si>
  <si>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</si>
  <si>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</si>
  <si>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</si>
  <si>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</si>
  <si>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</si>
  <si>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</si>
  <si>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</si>
  <si>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</si>
  <si>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</si>
  <si>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</si>
  <si>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</si>
  <si>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</si>
  <si>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</si>
  <si>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</si>
  <si>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</si>
  <si>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</si>
  <si>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</si>
  <si>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</si>
  <si>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</si>
  <si>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</si>
  <si>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</si>
  <si>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</si>
  <si>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</si>
  <si>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</si>
  <si>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</si>
  <si>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</si>
  <si>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</si>
  <si>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</si>
  <si>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</si>
  <si>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</si>
  <si>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</si>
  <si>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</si>
  <si>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</si>
  <si>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</si>
  <si>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</si>
  <si>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</si>
  <si>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</si>
  <si>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</si>
  <si>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</si>
  <si>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</si>
  <si>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</si>
  <si>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</si>
  <si>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</si>
  <si>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</si>
  <si>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</si>
  <si>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</si>
  <si>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</si>
  <si>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</si>
  <si>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</si>
  <si>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</si>
  <si>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</si>
  <si>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</si>
  <si>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</si>
  <si>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</si>
  <si>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</si>
  <si>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</si>
  <si>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</si>
  <si>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</si>
  <si>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</si>
  <si>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</si>
  <si>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</si>
  <si>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</si>
  <si>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</si>
  <si>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</si>
  <si>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</si>
  <si>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</si>
  <si>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</si>
  <si>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</si>
  <si>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</si>
  <si>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</si>
  <si>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</si>
  <si>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</si>
  <si>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</si>
  <si>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</si>
  <si>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</si>
  <si>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</si>
  <si>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</si>
  <si>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</si>
  <si>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</si>
  <si>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</si>
  <si>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</si>
  <si>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</si>
  <si>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</si>
  <si>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</si>
  <si>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</si>
  <si>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</si>
  <si>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</si>
  <si>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</si>
  <si>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</si>
  <si>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</si>
  <si>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</si>
  <si>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</si>
  <si>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</si>
  <si>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</si>
  <si>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</si>
  <si>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</si>
  <si>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</si>
  <si>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</si>
  <si>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</si>
  <si>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</si>
  <si>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</si>
  <si>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</si>
  <si>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</si>
  <si>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</si>
  <si>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</si>
  <si>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</si>
  <si>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</si>
  <si>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</si>
  <si>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</si>
  <si>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</si>
  <si>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</si>
  <si>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</si>
  <si>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</si>
  <si>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</si>
  <si>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</si>
  <si>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</si>
  <si>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</si>
  <si>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</si>
  <si>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</si>
  <si>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</si>
  <si>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</si>
  <si>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</si>
  <si>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</si>
  <si>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</si>
  <si>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</si>
  <si>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</si>
  <si>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</si>
  <si>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</si>
  <si>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</si>
  <si>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</si>
  <si>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</si>
  <si>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</si>
  <si>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</si>
  <si>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</si>
  <si>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</si>
  <si>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</si>
  <si>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</si>
  <si>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</si>
  <si>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</si>
  <si>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</si>
  <si>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</si>
  <si>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</si>
  <si>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</si>
  <si>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</si>
  <si>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</si>
  <si>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</si>
  <si>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</si>
  <si>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</si>
  <si>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</si>
  <si>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</si>
  <si>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</si>
  <si>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</si>
  <si>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</si>
  <si>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</si>
  <si>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</si>
  <si>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</si>
  <si>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</si>
  <si>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</si>
  <si>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</si>
  <si>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</si>
  <si>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</si>
  <si>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</si>
  <si>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</si>
  <si>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</si>
  <si>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</si>
  <si>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</si>
  <si>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</si>
  <si>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</si>
  <si>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</si>
  <si>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</si>
  <si>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</si>
  <si>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</si>
  <si>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</si>
  <si>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</si>
  <si>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</si>
  <si>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</si>
  <si>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</si>
  <si>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</si>
  <si>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</si>
  <si>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</si>
  <si>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</si>
  <si>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</si>
  <si>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</si>
  <si>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</si>
  <si>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</si>
  <si>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</si>
  <si>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</si>
  <si>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</si>
  <si>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</si>
  <si>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</si>
  <si>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</si>
  <si>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</si>
  <si>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</si>
  <si>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</si>
  <si>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</si>
  <si>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</si>
  <si>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</si>
  <si>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</si>
  <si>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</si>
  <si>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</si>
  <si>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</si>
  <si>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</si>
  <si>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</si>
  <si>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</si>
  <si>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</si>
  <si>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</si>
  <si>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</si>
  <si>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</si>
  <si>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</si>
  <si>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</si>
  <si>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</si>
  <si>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</si>
  <si>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</si>
  <si>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</si>
  <si>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</si>
  <si>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</si>
  <si>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</si>
  <si>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</si>
  <si>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</si>
  <si>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</si>
  <si>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</si>
  <si>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</si>
  <si>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</si>
  <si>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</si>
  <si>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</si>
  <si>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</si>
  <si>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</si>
  <si>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</si>
  <si>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</si>
  <si>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</si>
  <si>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</si>
  <si>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</si>
  <si>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</si>
  <si>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</si>
  <si>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</si>
  <si>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</si>
  <si>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</si>
  <si>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</si>
  <si>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</si>
  <si>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</si>
  <si>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</si>
  <si>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</si>
  <si>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</si>
  <si>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</si>
  <si>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</si>
  <si>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</si>
  <si>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</si>
  <si>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</si>
  <si>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</si>
  <si>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</si>
  <si>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</si>
  <si>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</si>
  <si>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</si>
  <si>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</si>
  <si>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</si>
  <si>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</si>
  <si>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</si>
  <si>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</si>
  <si>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</si>
  <si>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</si>
  <si>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</si>
  <si>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</si>
  <si>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</si>
  <si>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</si>
  <si>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</si>
  <si>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</si>
  <si>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</si>
  <si>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</si>
  <si>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</si>
  <si>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</si>
  <si>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</si>
  <si>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</si>
  <si>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</si>
  <si>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</si>
  <si>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</si>
  <si>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</si>
  <si>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</si>
  <si>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</si>
  <si>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</si>
  <si>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</si>
  <si>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</si>
  <si>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</si>
  <si>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</si>
  <si>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</si>
  <si>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</si>
  <si>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</si>
  <si>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</si>
  <si>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</si>
  <si>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</si>
  <si>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</si>
  <si>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</si>
  <si>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</si>
  <si>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</si>
  <si>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</si>
  <si>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</si>
  <si>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</si>
  <si>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</si>
  <si>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</si>
  <si>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</si>
  <si>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</si>
  <si>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</si>
  <si>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</si>
  <si>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</si>
  <si>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</si>
  <si>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</si>
  <si>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</si>
  <si>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</si>
  <si>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</si>
  <si>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</si>
  <si>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</si>
  <si>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</si>
  <si>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</si>
  <si>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</si>
  <si>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</si>
  <si>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</si>
  <si>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</si>
  <si>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</si>
  <si>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</si>
  <si>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</si>
  <si>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</si>
  <si>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</si>
  <si>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</si>
  <si>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</si>
  <si>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</si>
  <si>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</si>
  <si>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</si>
  <si>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</si>
  <si>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</si>
  <si>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</si>
  <si>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</si>
  <si>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</si>
  <si>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</si>
  <si>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</si>
  <si>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</si>
  <si>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</si>
  <si>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</si>
  <si>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</si>
  <si>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</si>
  <si>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</si>
  <si>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</si>
  <si>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</si>
  <si>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</si>
  <si>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</si>
  <si>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</si>
  <si>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</si>
  <si>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</si>
  <si>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</si>
  <si>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</si>
  <si>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</si>
  <si>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</si>
  <si>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</si>
  <si>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</si>
  <si>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</si>
  <si>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</si>
  <si>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</si>
  <si>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</si>
  <si>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</si>
  <si>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</si>
  <si>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</si>
  <si>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</si>
  <si>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</si>
  <si>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</si>
  <si>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</si>
  <si>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</si>
  <si>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</si>
  <si>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</si>
  <si>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</si>
  <si>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</si>
  <si>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</si>
  <si>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</si>
  <si>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</si>
  <si>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</si>
  <si>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</si>
  <si>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</si>
  <si>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</si>
  <si>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</si>
  <si>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</si>
  <si>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</si>
  <si>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</si>
  <si>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</si>
  <si>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</si>
  <si>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</si>
  <si>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</si>
  <si>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</si>
  <si>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</si>
  <si>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</si>
  <si>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</si>
  <si>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</si>
  <si>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</si>
  <si>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</si>
  <si>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</si>
  <si>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</si>
  <si>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</si>
  <si>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</si>
  <si>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</si>
  <si>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</si>
  <si>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</si>
  <si>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</si>
  <si>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</si>
  <si>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</si>
  <si>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</si>
  <si>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</si>
  <si>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</si>
  <si>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</si>
  <si>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</si>
  <si>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</si>
  <si>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</si>
  <si>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</si>
  <si>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</si>
  <si>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</si>
  <si>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</si>
  <si>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</si>
  <si>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</si>
  <si>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</si>
  <si>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</si>
  <si>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</si>
  <si>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</si>
  <si>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</si>
  <si>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</si>
  <si>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</si>
  <si>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</si>
  <si>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</si>
  <si>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</si>
  <si>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</si>
  <si>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</si>
  <si>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</si>
  <si>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</si>
  <si>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</si>
  <si>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</si>
  <si>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</si>
  <si>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</si>
  <si>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</si>
  <si>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</si>
  <si>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</si>
  <si>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</si>
  <si>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</si>
  <si>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</si>
  <si>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</si>
  <si>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</si>
  <si>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</si>
  <si>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</si>
  <si>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</si>
  <si>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</si>
  <si>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</si>
  <si>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</si>
  <si>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</si>
  <si>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</si>
  <si>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</si>
  <si>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</si>
  <si>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</si>
  <si>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</si>
  <si>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</si>
  <si>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</si>
  <si>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</si>
  <si>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</si>
  <si>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</si>
  <si>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</si>
  <si>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</si>
  <si>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</si>
  <si>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</si>
  <si>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</si>
  <si>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</si>
  <si>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</si>
  <si>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</si>
  <si>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</si>
  <si>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</si>
  <si>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</si>
  <si>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</si>
  <si>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</si>
  <si>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</si>
  <si>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</si>
  <si>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</si>
  <si>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</si>
  <si>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</si>
  <si>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</si>
  <si>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</si>
  <si>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</si>
  <si>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</si>
  <si>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</si>
  <si>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</si>
  <si>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</si>
  <si>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</si>
  <si>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</si>
  <si>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</si>
  <si>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</si>
  <si>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</si>
  <si>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</si>
  <si>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</si>
  <si>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</si>
  <si>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</si>
  <si>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</si>
  <si>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</si>
  <si>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</si>
  <si>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</si>
  <si>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</si>
  <si>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</si>
  <si>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</si>
  <si>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</si>
  <si>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</si>
  <si>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</si>
  <si>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</si>
  <si>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</si>
  <si>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</si>
  <si>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</si>
  <si>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</si>
  <si>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</si>
  <si>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</si>
  <si>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</si>
  <si>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</si>
  <si>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</si>
  <si>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</si>
  <si>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</si>
  <si>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</si>
  <si>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</si>
  <si>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</si>
  <si>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</si>
  <si>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</si>
  <si>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</si>
  <si>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</si>
  <si>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</si>
  <si>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</si>
  <si>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</si>
  <si>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</si>
  <si>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</si>
  <si>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</si>
  <si>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</si>
  <si>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</si>
  <si>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</si>
  <si>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</si>
  <si>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</si>
  <si>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</si>
  <si>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</si>
  <si>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</si>
  <si>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</si>
  <si>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</si>
  <si>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</si>
  <si>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</si>
  <si>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</si>
  <si>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</si>
  <si>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</si>
  <si>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</si>
  <si>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</si>
  <si>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</si>
  <si>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</si>
  <si>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</si>
  <si>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</si>
  <si>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</si>
  <si>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</si>
  <si>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</si>
  <si>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</si>
  <si>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</si>
  <si>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</si>
  <si>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</si>
  <si>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</si>
  <si>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</si>
  <si>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</si>
  <si>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</si>
  <si>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</si>
  <si>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</si>
  <si>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</si>
  <si>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</si>
  <si>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</si>
  <si>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</si>
  <si>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</si>
  <si>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</si>
  <si>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</si>
  <si>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</si>
  <si>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</si>
  <si>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</si>
  <si>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</si>
  <si>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</si>
  <si>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</si>
  <si>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</si>
  <si>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</si>
  <si>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</si>
  <si>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</si>
  <si>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</si>
  <si>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</si>
  <si>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</si>
  <si>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</si>
  <si>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</si>
  <si>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</si>
  <si>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</si>
  <si>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</si>
  <si>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</si>
  <si>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</si>
  <si>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</si>
  <si>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</si>
  <si>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</si>
  <si>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</si>
  <si>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</si>
  <si>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</si>
  <si>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</si>
  <si>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</si>
  <si>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</si>
  <si>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</si>
  <si>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</si>
  <si>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</si>
  <si>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</si>
  <si>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</si>
  <si>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</si>
  <si>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</si>
  <si>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</si>
  <si>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</si>
  <si>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</si>
  <si>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</si>
  <si>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</si>
  <si>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</si>
  <si>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</si>
  <si>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</si>
  <si>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</si>
  <si>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</si>
  <si>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</si>
  <si>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</si>
  <si>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</si>
  <si>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</si>
  <si>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</si>
  <si>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</si>
  <si>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</si>
  <si>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</si>
  <si>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</si>
  <si>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</si>
  <si>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</si>
  <si>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</si>
  <si>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</si>
  <si>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</si>
  <si>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</si>
  <si>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</si>
  <si>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</si>
  <si>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</si>
  <si>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</si>
  <si>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</si>
  <si>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</si>
  <si>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</si>
  <si>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</si>
  <si>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</si>
  <si>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</si>
  <si>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</si>
  <si>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</si>
  <si>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</si>
  <si>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</si>
  <si>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</si>
  <si>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</si>
  <si>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</si>
  <si>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</si>
  <si>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</si>
  <si>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</si>
  <si>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</si>
  <si>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</si>
  <si>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</si>
  <si>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</si>
  <si>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</si>
  <si>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</si>
  <si>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</si>
  <si>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</si>
  <si>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</si>
  <si>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</si>
  <si>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</si>
  <si>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</si>
  <si>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</si>
  <si>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</si>
  <si>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</si>
  <si>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</si>
  <si>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</si>
  <si>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</si>
  <si>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</si>
  <si>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</si>
  <si>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</si>
  <si>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</si>
  <si>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</si>
  <si>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</si>
  <si>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</si>
  <si>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</si>
  <si>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</si>
  <si>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</si>
  <si>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</si>
  <si>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</si>
  <si>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</si>
  <si>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</si>
  <si>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</si>
  <si>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</si>
  <si>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</si>
  <si>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</si>
  <si>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</si>
  <si>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</si>
  <si>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</si>
  <si>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</si>
  <si>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</si>
  <si>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</si>
  <si>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</si>
  <si>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</si>
  <si>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</si>
  <si>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</si>
  <si>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</si>
  <si>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</si>
  <si>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</si>
  <si>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</si>
  <si>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</si>
  <si>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</si>
  <si>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</si>
  <si>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</si>
  <si>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</si>
  <si>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</si>
  <si>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</si>
  <si>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</si>
  <si>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</si>
  <si>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</si>
  <si>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</si>
  <si>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</si>
  <si>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</si>
  <si>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</si>
  <si>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</si>
  <si>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</si>
  <si>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</si>
  <si>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</si>
  <si>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</si>
  <si>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</si>
  <si>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</si>
  <si>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</si>
  <si>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</si>
  <si>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</si>
  <si>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</si>
  <si>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</si>
  <si>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</si>
  <si>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</si>
  <si>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</si>
  <si>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</si>
  <si>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</si>
  <si>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</si>
  <si>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</si>
  <si>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</si>
  <si>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</si>
  <si>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</si>
  <si>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</si>
  <si>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</si>
  <si>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</si>
  <si>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</si>
  <si>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</si>
  <si>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</si>
  <si>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</si>
  <si>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</si>
  <si>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</si>
  <si>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</si>
  <si>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</si>
  <si>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</si>
  <si>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</si>
  <si>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</si>
  <si>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</si>
  <si>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</si>
  <si>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</si>
  <si>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</si>
  <si>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</si>
  <si>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</si>
  <si>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</si>
  <si>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</si>
  <si>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</si>
  <si>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</si>
  <si>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</si>
  <si>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</si>
  <si>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</si>
  <si>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</si>
  <si>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</si>
  <si>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</si>
  <si>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</si>
  <si>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</si>
  <si>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</si>
  <si>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</si>
  <si>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</si>
  <si>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</si>
  <si>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</si>
  <si>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</si>
  <si>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</si>
  <si>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</si>
  <si>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</si>
  <si>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</si>
  <si>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</si>
  <si>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</si>
  <si>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</si>
  <si>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</si>
  <si>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</si>
  <si>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</si>
  <si>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</si>
  <si>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</si>
  <si>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</si>
  <si>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</si>
  <si>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</si>
  <si>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</si>
  <si>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</si>
  <si>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</si>
  <si>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</si>
  <si>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</si>
  <si>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</si>
  <si>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</si>
  <si>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</si>
  <si>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</si>
  <si>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</si>
  <si>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</si>
  <si>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</si>
  <si>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</si>
  <si>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</si>
  <si>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</si>
  <si>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</si>
  <si>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</si>
  <si>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</si>
  <si>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</si>
  <si>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</si>
  <si>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</si>
  <si>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</si>
  <si>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</si>
  <si>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</si>
  <si>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</si>
  <si>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</si>
  <si>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</si>
  <si>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</si>
  <si>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</si>
  <si>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</si>
  <si>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</si>
  <si>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</si>
  <si>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</si>
  <si>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</si>
  <si>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</si>
  <si>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</si>
  <si>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</si>
  <si>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</si>
  <si>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</si>
  <si>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</si>
  <si>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</si>
  <si>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</si>
  <si>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</si>
  <si>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</si>
  <si>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</si>
  <si>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</si>
  <si>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</si>
  <si>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</si>
  <si>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</si>
  <si>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</si>
  <si>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</si>
  <si>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</si>
  <si>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</si>
  <si>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</si>
  <si>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</si>
  <si>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</si>
  <si>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</si>
  <si>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</si>
  <si>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</si>
  <si>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</si>
  <si>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</si>
  <si>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</si>
  <si>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</si>
  <si>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</si>
  <si>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</si>
  <si>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</si>
  <si>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</si>
  <si>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</si>
  <si>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</si>
  <si>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</si>
  <si>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</si>
  <si>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</si>
  <si>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</si>
  <si>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</si>
  <si>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</si>
  <si>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</si>
  <si>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</si>
  <si>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</si>
  <si>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</si>
  <si>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</si>
  <si>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</si>
  <si>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</si>
  <si>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</si>
  <si>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</si>
  <si>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</si>
  <si>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</si>
  <si>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</si>
  <si>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</si>
  <si>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</si>
  <si>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</si>
  <si>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</si>
  <si>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</si>
  <si>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</si>
  <si>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</si>
  <si>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</si>
  <si>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</si>
  <si>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</si>
  <si>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</si>
  <si>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</si>
  <si>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</si>
  <si>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</si>
  <si>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</si>
  <si>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</si>
  <si>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</si>
  <si>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</si>
  <si>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</si>
  <si>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</si>
  <si>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</si>
  <si>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</si>
  <si>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</si>
  <si>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</si>
  <si>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</si>
  <si>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</si>
  <si>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</si>
  <si>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</si>
  <si>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</si>
  <si>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</si>
  <si>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</si>
  <si>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</si>
  <si>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</si>
  <si>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</si>
  <si>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</si>
  <si>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</si>
  <si>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</si>
  <si>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</si>
  <si>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</si>
  <si>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</si>
  <si>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</si>
  <si>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</si>
  <si>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</si>
  <si>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</si>
  <si>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</si>
  <si>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</si>
  <si>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</si>
  <si>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</si>
  <si>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</si>
  <si>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</si>
  <si>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</si>
  <si>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</si>
  <si>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</si>
  <si>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</si>
  <si>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</si>
  <si>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</si>
  <si>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</si>
  <si>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</si>
  <si>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</si>
  <si>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</si>
  <si>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</si>
  <si>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</si>
  <si>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</si>
  <si>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</si>
  <si>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</si>
  <si>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</si>
  <si>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</si>
  <si>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</si>
  <si>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</si>
  <si>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</si>
  <si>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</si>
  <si>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</si>
  <si>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</si>
  <si>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</si>
  <si>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</si>
  <si>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</si>
  <si>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</si>
  <si>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</si>
  <si>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</si>
  <si>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</si>
  <si>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</si>
  <si>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</si>
  <si>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</si>
  <si>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</si>
  <si>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</si>
  <si>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</si>
  <si>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</si>
  <si>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</si>
  <si>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</si>
  <si>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</si>
  <si>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</si>
  <si>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</si>
  <si>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</si>
  <si>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</si>
  <si>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</si>
  <si>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</si>
  <si>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</si>
  <si>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</si>
  <si>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</si>
  <si>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</si>
  <si>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</si>
  <si>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</si>
  <si>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</si>
  <si>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</si>
  <si>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</si>
  <si>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</si>
  <si>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</si>
  <si>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</si>
  <si>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</si>
  <si>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</si>
  <si>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</si>
  <si>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</si>
  <si>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</si>
  <si>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</si>
  <si>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</si>
  <si>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</si>
  <si>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</si>
  <si>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</si>
  <si>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</si>
  <si>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</si>
  <si>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</si>
  <si>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</si>
  <si>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</si>
  <si>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</si>
  <si>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</si>
  <si>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</si>
  <si>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</si>
  <si>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</si>
  <si>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</si>
  <si>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</si>
  <si>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</si>
  <si>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</si>
  <si>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</si>
  <si>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</si>
  <si>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</si>
  <si>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</si>
  <si>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</si>
  <si>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</si>
  <si>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</si>
  <si>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</si>
  <si>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</si>
  <si>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</si>
  <si>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</si>
  <si>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</si>
  <si>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</si>
  <si>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</si>
  <si>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</si>
  <si>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</si>
  <si>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</si>
  <si>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</si>
  <si>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</si>
  <si>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</si>
  <si>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</si>
  <si>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</si>
  <si>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</si>
  <si>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</si>
  <si>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</si>
  <si>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</si>
  <si>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</si>
  <si>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</si>
  <si>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</si>
  <si>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</si>
  <si>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</si>
  <si>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</si>
  <si>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</si>
  <si>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</si>
  <si>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</si>
  <si>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</si>
  <si>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</si>
  <si>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</si>
  <si>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</si>
  <si>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</si>
  <si>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</si>
  <si>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</si>
  <si>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</si>
  <si>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</si>
  <si>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</si>
  <si>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</si>
  <si>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</si>
  <si>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</si>
  <si>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</si>
  <si>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</si>
  <si>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</si>
  <si>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</si>
  <si>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</si>
  <si>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</si>
  <si>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</si>
  <si>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</si>
  <si>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</si>
  <si>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</si>
  <si>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</si>
  <si>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</si>
  <si>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</si>
  <si>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</si>
  <si>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</si>
  <si>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</si>
  <si>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</si>
  <si>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</si>
  <si>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</si>
  <si>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</si>
  <si>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</si>
  <si>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</si>
  <si>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</si>
  <si>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</si>
  <si>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</si>
  <si>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</si>
  <si>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</si>
  <si>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</si>
  <si>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</si>
  <si>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</si>
  <si>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</si>
  <si>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</si>
  <si>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</si>
  <si>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</si>
  <si>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</si>
  <si>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</si>
  <si>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</si>
  <si>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</si>
  <si>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</si>
  <si>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</si>
  <si>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</si>
  <si>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</si>
  <si>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</si>
  <si>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</si>
  <si>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</si>
  <si>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</si>
  <si>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</si>
  <si>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</si>
  <si>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</si>
  <si>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</si>
  <si>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</si>
  <si>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</si>
  <si>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</si>
  <si>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</si>
  <si>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</si>
  <si>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</si>
  <si>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</si>
  <si>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</si>
  <si>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</si>
  <si>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</si>
  <si>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</si>
  <si>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</si>
  <si>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</si>
  <si>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</si>
  <si>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</si>
  <si>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</si>
  <si>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</si>
  <si>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</si>
  <si>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</si>
  <si>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</si>
  <si>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</si>
  <si>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</si>
  <si>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</si>
  <si>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</si>
  <si>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</si>
  <si>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</si>
  <si>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</si>
  <si>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</si>
  <si>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</si>
  <si>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</si>
  <si>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</si>
  <si>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</si>
  <si>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</si>
  <si>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</si>
  <si>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</si>
  <si>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</si>
  <si>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</si>
  <si>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</si>
  <si>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</si>
  <si>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</si>
  <si>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</si>
  <si>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</si>
  <si>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</si>
  <si>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</si>
  <si>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</si>
  <si>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</si>
  <si>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</si>
  <si>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</si>
  <si>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</si>
  <si>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</si>
  <si>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</si>
  <si>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</si>
  <si>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</si>
  <si>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</si>
  <si>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</si>
  <si>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</si>
  <si>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</si>
  <si>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</si>
  <si>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</si>
  <si>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</si>
  <si>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</si>
  <si>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</si>
  <si>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</si>
  <si>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</si>
  <si>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</si>
  <si>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</si>
  <si>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</si>
  <si>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</si>
  <si>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</si>
  <si>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</si>
  <si>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</si>
  <si>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</si>
  <si>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</si>
  <si>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</si>
  <si>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</si>
  <si>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</si>
  <si>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</si>
  <si>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</si>
  <si>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</si>
  <si>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</si>
  <si>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</si>
  <si>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</si>
  <si>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</si>
  <si>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</si>
  <si>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</si>
  <si>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</si>
  <si>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</si>
  <si>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</si>
  <si>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</si>
  <si>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</si>
  <si>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</si>
  <si>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</si>
  <si>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</si>
  <si>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</si>
  <si>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</si>
  <si>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</si>
  <si>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</si>
  <si>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</si>
  <si>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</si>
  <si>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</si>
  <si>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</si>
  <si>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</si>
  <si>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</si>
  <si>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</si>
  <si>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</si>
  <si>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</si>
  <si>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</si>
  <si>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</si>
  <si>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</si>
  <si>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</si>
  <si>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</si>
  <si>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</si>
  <si>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</si>
  <si>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</si>
  <si>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</si>
  <si>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</si>
  <si>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</si>
  <si>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</si>
  <si>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</si>
  <si>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</si>
  <si>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</si>
  <si>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</si>
  <si>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</si>
  <si>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</si>
  <si>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</si>
  <si>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</si>
  <si>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</si>
  <si>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</si>
  <si>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</si>
  <si>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</si>
  <si>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</si>
  <si>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</si>
  <si>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</si>
  <si>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</si>
  <si>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</si>
  <si>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</si>
  <si>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</si>
  <si>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</si>
  <si>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</si>
  <si>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</si>
  <si>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</si>
  <si>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</si>
  <si>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</si>
  <si>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</si>
  <si>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</si>
  <si>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</si>
  <si>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</si>
  <si>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</si>
  <si>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</si>
  <si>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</si>
  <si>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</si>
  <si>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</si>
  <si>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</si>
  <si>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</si>
  <si>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</si>
  <si>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</si>
  <si>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</si>
  <si>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</si>
  <si>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</si>
  <si>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</si>
  <si>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</si>
  <si>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</si>
  <si>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</si>
  <si>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</si>
  <si>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</si>
  <si>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</si>
  <si>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</si>
  <si>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</si>
  <si>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</si>
  <si>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</si>
  <si>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</si>
  <si>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</si>
  <si>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</si>
  <si>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</si>
  <si>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</si>
  <si>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</si>
  <si>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</si>
  <si>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</si>
  <si>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</si>
  <si>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</si>
  <si>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</si>
  <si>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</si>
  <si>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</si>
  <si>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</si>
  <si>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</si>
  <si>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</si>
  <si>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</si>
  <si>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</si>
  <si>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</si>
  <si>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</si>
  <si>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</si>
  <si>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</si>
  <si>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</si>
  <si>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</si>
  <si>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</si>
  <si>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</si>
  <si>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</si>
  <si>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</si>
  <si>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</si>
  <si>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</si>
  <si>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</si>
  <si>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</si>
  <si>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</si>
  <si>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</si>
  <si>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</si>
  <si>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</si>
  <si>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</si>
  <si>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</si>
  <si>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</si>
  <si>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</si>
  <si>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</si>
  <si>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</si>
  <si>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</si>
  <si>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</si>
  <si>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</si>
  <si>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</si>
  <si>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</si>
  <si>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</si>
  <si>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</si>
  <si>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</si>
  <si>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</si>
  <si>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</si>
  <si>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</si>
  <si>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</si>
  <si>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</si>
  <si>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</si>
  <si>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</si>
  <si>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</si>
  <si>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</si>
  <si>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</si>
  <si>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</si>
  <si>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</si>
  <si>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</si>
  <si>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</si>
  <si>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</si>
  <si>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</si>
  <si>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</si>
  <si>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</si>
  <si>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</si>
  <si>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</si>
  <si>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</si>
  <si>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</si>
  <si>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</si>
  <si>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</si>
  <si>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</si>
  <si>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</si>
  <si>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</si>
  <si>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</si>
  <si>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</si>
  <si>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</si>
  <si>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</si>
  <si>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</si>
  <si>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</si>
  <si>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</si>
  <si>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</si>
  <si>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</si>
  <si>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</si>
  <si>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</si>
  <si>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</si>
  <si>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</si>
  <si>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</si>
  <si>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</si>
  <si>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</si>
  <si>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</si>
  <si>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</si>
  <si>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</si>
  <si>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</si>
  <si>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</si>
  <si>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</si>
  <si>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</si>
  <si>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</si>
  <si>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</si>
  <si>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</si>
  <si>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</si>
  <si>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</si>
  <si>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</si>
  <si>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</si>
  <si>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</si>
  <si>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</si>
  <si>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</si>
  <si>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</si>
  <si>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</si>
  <si>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</si>
  <si>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</si>
  <si>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</si>
  <si>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</si>
  <si>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</si>
  <si>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</si>
  <si>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</si>
  <si>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</si>
  <si>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</si>
  <si>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</si>
  <si>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</si>
  <si>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</si>
  <si>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</si>
  <si>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</si>
  <si>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</si>
  <si>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</si>
  <si>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</si>
  <si>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</si>
  <si>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</si>
  <si>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</si>
  <si>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</si>
  <si>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</si>
  <si>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</si>
  <si>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</si>
  <si>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</si>
  <si>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</si>
  <si>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</si>
  <si>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</si>
  <si>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</si>
  <si>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</si>
  <si>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</si>
  <si>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</si>
  <si>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</si>
  <si>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</si>
  <si>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</si>
  <si>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</si>
  <si>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</si>
  <si>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</si>
  <si>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</si>
  <si>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</si>
  <si>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</si>
  <si>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</si>
  <si>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</si>
  <si>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</si>
  <si>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</si>
  <si>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</si>
  <si>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</si>
  <si>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</si>
  <si>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</si>
  <si>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</si>
  <si>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</si>
  <si>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</si>
  <si>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</si>
  <si>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</si>
  <si>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</si>
  <si>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</si>
  <si>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</si>
  <si>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</si>
  <si>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</si>
  <si>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</si>
  <si>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</si>
  <si>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</si>
  <si>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</si>
  <si>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</si>
  <si>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</si>
  <si>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</si>
  <si>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</si>
  <si>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</si>
  <si>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</si>
  <si>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</si>
  <si>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</si>
  <si>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</si>
  <si>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</si>
  <si>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</si>
  <si>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</si>
  <si>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</si>
  <si>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</si>
  <si>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</si>
  <si>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</si>
  <si>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</si>
  <si>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</si>
  <si>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</si>
  <si>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</si>
  <si>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</si>
  <si>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</si>
  <si>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</si>
  <si>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</si>
  <si>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</si>
  <si>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</si>
  <si>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</si>
  <si>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</si>
  <si>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</si>
  <si>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</si>
  <si>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</si>
  <si>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</si>
  <si>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</si>
  <si>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</si>
  <si>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</si>
  <si>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</si>
  <si>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</si>
  <si>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</si>
  <si>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</si>
  <si>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</si>
  <si>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</si>
  <si>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</si>
  <si>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</si>
  <si>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</si>
  <si>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</si>
  <si>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</si>
  <si>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</si>
  <si>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</si>
  <si>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</si>
  <si>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</si>
  <si>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</si>
  <si>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</si>
  <si>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</si>
  <si>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</si>
  <si>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</si>
  <si>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</si>
  <si>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</si>
  <si>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</si>
  <si>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</si>
  <si>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</si>
  <si>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</si>
  <si>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</si>
  <si>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</si>
  <si>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</si>
  <si>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</si>
  <si>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</si>
  <si>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</si>
  <si>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</si>
  <si>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</si>
  <si>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</si>
  <si>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</si>
  <si>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</si>
  <si>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</si>
  <si>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</si>
  <si>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</si>
  <si>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</si>
  <si>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</si>
  <si>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</si>
  <si>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</si>
  <si>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</si>
  <si>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</si>
  <si>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</si>
  <si>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</si>
  <si>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</si>
  <si>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</si>
  <si>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</si>
  <si>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</si>
  <si>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</si>
  <si>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</si>
  <si>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</si>
  <si>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</si>
  <si>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</si>
  <si>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</si>
  <si>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</si>
  <si>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</si>
  <si>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</si>
  <si>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</si>
  <si>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</si>
  <si>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</si>
  <si>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</si>
  <si>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</si>
  <si>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</si>
  <si>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</si>
  <si>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</si>
  <si>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</si>
  <si>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</si>
  <si>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</si>
  <si>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</si>
  <si>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</si>
  <si>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</si>
  <si>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</si>
  <si>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</si>
  <si>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</si>
  <si>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</si>
  <si>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</si>
  <si>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</si>
  <si>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</si>
  <si>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</si>
  <si>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</si>
  <si>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</si>
  <si>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</si>
  <si>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</si>
  <si>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</si>
  <si>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</si>
  <si>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</si>
  <si>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</si>
  <si>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</si>
  <si>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</si>
  <si>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</si>
  <si>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</si>
  <si>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</si>
  <si>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</si>
  <si>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</si>
  <si>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</si>
  <si>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</si>
  <si>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</si>
  <si>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</si>
  <si>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</si>
  <si>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</si>
  <si>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</si>
  <si>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</si>
  <si>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</si>
  <si>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</si>
  <si>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</si>
  <si>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</si>
  <si>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</si>
  <si>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</si>
  <si>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</si>
  <si>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</si>
  <si>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</si>
  <si>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</si>
  <si>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</si>
  <si>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</si>
  <si>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</si>
  <si>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</si>
  <si>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</si>
  <si>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</si>
  <si>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</si>
  <si>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</si>
  <si>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</si>
  <si>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</si>
  <si>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</si>
  <si>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</si>
  <si>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</si>
  <si>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</si>
  <si>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</si>
  <si>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</si>
  <si>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</si>
  <si>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</si>
  <si>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</si>
  <si>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</si>
  <si>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</si>
  <si>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</si>
  <si>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</si>
  <si>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</si>
  <si>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</si>
  <si>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</si>
  <si>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</si>
  <si>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</si>
  <si>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</si>
  <si>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</si>
  <si>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</si>
  <si>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</si>
  <si>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</si>
  <si>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</si>
  <si>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</si>
  <si>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</si>
  <si>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</si>
  <si>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</si>
  <si>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</si>
  <si>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</si>
  <si>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</si>
  <si>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</si>
  <si>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</si>
  <si>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</si>
  <si>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</si>
  <si>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</si>
  <si>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</si>
  <si>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</si>
  <si>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</si>
  <si>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</si>
  <si>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</si>
  <si>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</si>
  <si>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</si>
  <si>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</si>
  <si>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</si>
  <si>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</si>
  <si>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</si>
  <si>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</si>
  <si>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</si>
  <si>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</si>
  <si>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</si>
  <si>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</si>
  <si>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</si>
  <si>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</si>
  <si>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</si>
  <si>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</si>
  <si>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</si>
  <si>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</si>
  <si>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</si>
  <si>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</si>
  <si>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</si>
  <si>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</si>
  <si>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</si>
  <si>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</si>
  <si>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</si>
  <si>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</si>
  <si>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</si>
  <si>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</si>
  <si>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</si>
  <si>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</si>
  <si>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</si>
  <si>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</si>
  <si>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</si>
  <si>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</si>
  <si>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</si>
  <si>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</si>
  <si>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</si>
  <si>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</si>
  <si>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</si>
  <si>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</si>
  <si>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</si>
  <si>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</si>
  <si>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</si>
  <si>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</si>
  <si>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</si>
  <si>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</si>
  <si>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</si>
  <si>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</si>
  <si>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</si>
  <si>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</si>
  <si>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</si>
  <si>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</si>
  <si>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</si>
  <si>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</si>
  <si>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</si>
  <si>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</si>
  <si>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</si>
  <si>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</si>
  <si>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</si>
  <si>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</si>
  <si>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</si>
  <si>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</si>
  <si>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</si>
  <si>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</si>
  <si>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</si>
  <si>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</si>
  <si>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</si>
  <si>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</si>
  <si>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</si>
  <si>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</si>
  <si>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</si>
  <si>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</si>
  <si>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</si>
  <si>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</si>
  <si>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</si>
  <si>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</si>
  <si>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</si>
  <si>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</si>
  <si>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</si>
  <si>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</si>
  <si>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</si>
  <si>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</si>
  <si>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</si>
  <si>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</si>
  <si>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</si>
  <si>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</si>
  <si>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</si>
  <si>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</si>
  <si>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</si>
  <si>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</si>
  <si>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</si>
  <si>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</si>
  <si>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</si>
  <si>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</si>
  <si>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</si>
  <si>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</si>
  <si>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</si>
  <si>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</si>
  <si>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</si>
  <si>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</si>
  <si>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</si>
  <si>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</si>
  <si>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</si>
  <si>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</si>
  <si>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</si>
  <si>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</si>
  <si>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</si>
  <si>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</si>
  <si>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</si>
  <si>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</si>
  <si>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</si>
  <si>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</si>
  <si>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</si>
  <si>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</si>
  <si>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</si>
  <si>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</si>
  <si>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</si>
  <si>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</si>
  <si>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</si>
  <si>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</si>
  <si>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</si>
  <si>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</si>
  <si>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</si>
  <si>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</si>
  <si>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</si>
  <si>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</si>
  <si>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</si>
  <si>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</si>
  <si>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</si>
  <si>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</si>
  <si>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</si>
  <si>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</si>
  <si>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</si>
  <si>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</si>
  <si>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</si>
  <si>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</si>
  <si>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</si>
  <si>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</si>
  <si>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</si>
  <si>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</si>
  <si>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</si>
  <si>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</si>
  <si>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</si>
  <si>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</si>
  <si>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</si>
  <si>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</si>
  <si>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</si>
  <si>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</si>
  <si>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</si>
  <si>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</si>
  <si>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</si>
  <si>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</si>
  <si>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</si>
  <si>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</si>
  <si>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</si>
  <si>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</si>
  <si>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</si>
  <si>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</si>
  <si>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</si>
  <si>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</si>
  <si>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</si>
  <si>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</si>
  <si>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</si>
  <si>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</si>
  <si>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</si>
  <si>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</si>
  <si>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</si>
  <si>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</si>
  <si>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</si>
  <si>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</si>
  <si>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</si>
  <si>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</si>
  <si>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</si>
  <si>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</si>
  <si>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</si>
  <si>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</si>
  <si>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</si>
  <si>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</si>
  <si>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</si>
  <si>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</si>
  <si>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</si>
  <si>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</si>
  <si>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</si>
  <si>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</si>
  <si>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</si>
  <si>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</si>
  <si>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</si>
  <si>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</si>
  <si>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</si>
  <si>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</si>
  <si>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</si>
  <si>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</si>
  <si>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</si>
  <si>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</si>
  <si>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</si>
  <si>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</si>
  <si>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</si>
  <si>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</si>
  <si>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</si>
  <si>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</si>
  <si>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</si>
  <si>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</si>
  <si>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</si>
  <si>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</si>
  <si>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</si>
  <si>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</si>
  <si>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</si>
  <si>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</si>
  <si>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</si>
  <si>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</si>
  <si>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</si>
  <si>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</si>
  <si>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</si>
  <si>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</si>
  <si>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</si>
  <si>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</si>
  <si>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</si>
  <si>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</si>
  <si>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</si>
  <si>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</si>
  <si>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</si>
  <si>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</si>
  <si>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</si>
  <si>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</si>
  <si>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</si>
  <si>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</si>
  <si>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</si>
  <si>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</si>
  <si>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</si>
  <si>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</si>
  <si>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</si>
  <si>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</si>
  <si>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</si>
  <si>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</si>
  <si>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</si>
  <si>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</si>
  <si>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</si>
  <si>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</si>
  <si>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</si>
  <si>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</si>
  <si>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</si>
  <si>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</si>
  <si>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</si>
  <si>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</si>
  <si>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</si>
  <si>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</si>
  <si>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</si>
  <si>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</si>
  <si>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</si>
  <si>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</si>
  <si>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</si>
  <si>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</si>
  <si>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</si>
  <si>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</si>
  <si>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</si>
  <si>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</si>
  <si>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</si>
  <si>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</si>
  <si>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</si>
  <si>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</si>
  <si>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</si>
  <si>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</si>
  <si>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</si>
  <si>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</si>
  <si>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</si>
  <si>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</si>
  <si>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</si>
  <si>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</si>
  <si>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</si>
  <si>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</si>
  <si>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</si>
  <si>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</si>
  <si>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</si>
  <si>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</si>
  <si>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</si>
  <si>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</si>
  <si>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</si>
  <si>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</si>
  <si>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</si>
  <si>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</si>
  <si>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</si>
  <si>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</si>
  <si>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</si>
  <si>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</si>
  <si>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</si>
  <si>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</si>
  <si>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</si>
  <si>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</si>
  <si>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</si>
  <si>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</si>
  <si>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</si>
  <si>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</si>
  <si>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</si>
  <si>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</si>
  <si>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</si>
  <si>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</si>
  <si>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</si>
  <si>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</si>
  <si>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</si>
  <si>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</si>
  <si>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</si>
  <si>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</si>
  <si>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</si>
  <si>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</si>
  <si>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</si>
  <si>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</si>
  <si>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</si>
  <si>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</si>
  <si>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</si>
  <si>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</si>
  <si>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</si>
  <si>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</si>
  <si>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</si>
  <si>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</si>
  <si>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</si>
  <si>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</si>
  <si>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</si>
  <si>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</si>
  <si>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</si>
  <si>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</si>
  <si>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</si>
  <si>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</si>
  <si>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</si>
  <si>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</si>
  <si>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</si>
  <si>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</si>
  <si>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</si>
  <si>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</si>
  <si>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</si>
  <si>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</si>
  <si>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</si>
  <si>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</si>
  <si>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</si>
  <si>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</si>
  <si>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</si>
  <si>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</si>
  <si>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</si>
  <si>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</si>
  <si>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</si>
  <si>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</si>
  <si>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</si>
  <si>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</si>
  <si>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</si>
  <si>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</si>
  <si>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</si>
  <si>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</si>
  <si>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</si>
  <si>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</si>
  <si>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</si>
  <si>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</si>
  <si>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</si>
  <si>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</si>
  <si>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</si>
  <si>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</si>
  <si>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</si>
  <si>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</si>
  <si>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</si>
  <si>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</si>
  <si>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</si>
  <si>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</si>
  <si>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</si>
  <si>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</si>
  <si>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</si>
  <si>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</si>
  <si>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</si>
  <si>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</si>
  <si>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</si>
  <si>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</si>
  <si>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</si>
  <si>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</si>
  <si>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</si>
  <si>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</si>
  <si>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</si>
  <si>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</si>
  <si>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</si>
  <si>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</si>
  <si>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</si>
  <si>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</si>
  <si>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</si>
  <si>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</si>
  <si>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</si>
  <si>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</si>
  <si>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</si>
  <si>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</si>
  <si>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</si>
  <si>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</si>
  <si>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</si>
  <si>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</si>
  <si>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</si>
  <si>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</si>
  <si>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</si>
  <si>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</si>
  <si>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</si>
  <si>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</si>
  <si>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</si>
  <si>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</si>
  <si>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</si>
  <si>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</si>
  <si>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</si>
  <si>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</si>
  <si>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</si>
  <si>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</si>
  <si>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</si>
  <si>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</si>
  <si>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</si>
  <si>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</si>
  <si>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</si>
  <si>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</si>
  <si>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</si>
  <si>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</si>
  <si>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</si>
  <si>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</si>
  <si>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</si>
  <si>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</si>
  <si>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</si>
  <si>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</si>
  <si>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</si>
  <si>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</si>
  <si>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</si>
  <si>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</si>
  <si>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</si>
  <si>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</si>
  <si>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</si>
  <si>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</si>
  <si>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</si>
  <si>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</si>
  <si>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</si>
  <si>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</si>
  <si>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</si>
  <si>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</si>
  <si>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</si>
  <si>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</si>
  <si>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</si>
  <si>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</si>
  <si>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</si>
  <si>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</si>
  <si>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</si>
  <si>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</si>
  <si>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</si>
  <si>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</si>
  <si>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</si>
  <si>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</si>
  <si>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</si>
  <si>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</si>
  <si>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</si>
  <si>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</si>
  <si>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</si>
  <si>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</si>
  <si>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</si>
  <si>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</si>
  <si>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</si>
  <si>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</si>
  <si>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</si>
  <si>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</si>
  <si>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</si>
  <si>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</si>
  <si>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</si>
  <si>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</si>
  <si>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</si>
  <si>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</si>
  <si>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</si>
  <si>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</si>
  <si>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</si>
  <si>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</si>
  <si>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</si>
  <si>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</si>
  <si>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</si>
  <si>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</si>
  <si>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</si>
  <si>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</si>
  <si>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</si>
  <si>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</si>
  <si>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</si>
  <si>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</si>
  <si>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</si>
  <si>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</si>
  <si>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</si>
  <si>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</si>
  <si>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</si>
  <si>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</si>
  <si>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</si>
  <si>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</si>
  <si>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</si>
  <si>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</si>
  <si>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</si>
  <si>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</si>
  <si>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</si>
  <si>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</si>
  <si>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</si>
  <si>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</si>
  <si>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</si>
  <si>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</si>
  <si>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</si>
  <si>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</si>
  <si>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</si>
  <si>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</si>
  <si>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</si>
  <si>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</si>
  <si>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</si>
  <si>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</si>
  <si>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</si>
  <si>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</si>
  <si>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</si>
  <si>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</si>
  <si>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</si>
  <si>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</si>
  <si>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</si>
  <si>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</si>
  <si>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</si>
  <si>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</si>
  <si>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</si>
  <si>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</si>
  <si>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</si>
  <si>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</si>
  <si>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</si>
  <si>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</si>
  <si>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</si>
  <si>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</si>
  <si>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</si>
  <si>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</si>
  <si>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</si>
  <si>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</si>
  <si>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</si>
  <si>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</si>
  <si>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</si>
  <si>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</si>
  <si>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</si>
  <si>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</si>
  <si>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</si>
  <si>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</si>
  <si>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</si>
  <si>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</si>
  <si>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</si>
  <si>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</si>
  <si>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</si>
  <si>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</si>
  <si>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</si>
  <si>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</si>
  <si>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</si>
  <si>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</si>
  <si>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</si>
  <si>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</si>
  <si>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</si>
  <si>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</si>
  <si>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</si>
  <si>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</si>
  <si>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</si>
  <si>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</si>
  <si>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</si>
  <si>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</si>
  <si>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</si>
  <si>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</si>
  <si>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</si>
  <si>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</si>
  <si>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</si>
  <si>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</si>
  <si>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</si>
  <si>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</si>
  <si>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</si>
  <si>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</si>
  <si>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</si>
  <si>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</si>
  <si>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</si>
  <si>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</si>
  <si>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</si>
  <si>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</si>
  <si>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</si>
  <si>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</si>
  <si>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</si>
  <si>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</si>
  <si>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</si>
  <si>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</si>
  <si>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</si>
  <si>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</si>
  <si>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</si>
  <si>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</si>
  <si>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</si>
  <si>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</si>
  <si>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</si>
  <si>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</si>
  <si>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</si>
  <si>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</si>
  <si>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</si>
  <si>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</si>
  <si>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</si>
  <si>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</si>
  <si>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</si>
  <si>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</si>
  <si>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</si>
  <si>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</si>
  <si>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</si>
  <si>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</si>
  <si>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</si>
  <si>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</si>
  <si>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</si>
  <si>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</si>
  <si>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</si>
  <si>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</si>
  <si>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</si>
  <si>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</si>
  <si>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</si>
  <si>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</si>
  <si>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</si>
  <si>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</si>
  <si>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</si>
  <si>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</si>
  <si>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</si>
  <si>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</si>
  <si>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</si>
  <si>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</si>
  <si>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</si>
  <si>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</si>
  <si>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</si>
  <si>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</si>
  <si>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</si>
  <si>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</si>
  <si>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</si>
  <si>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</si>
  <si>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</si>
  <si>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</si>
  <si>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</si>
  <si>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</si>
  <si>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</si>
  <si>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</si>
  <si>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</si>
  <si>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</si>
  <si>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</si>
  <si>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</si>
  <si>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</si>
  <si>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</si>
  <si>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</si>
  <si>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</si>
  <si>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</si>
  <si>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</si>
  <si>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</si>
  <si>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</si>
  <si>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</si>
  <si>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</si>
  <si>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</si>
  <si>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</si>
  <si>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</si>
  <si>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</si>
  <si>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</si>
  <si>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</si>
  <si>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</si>
  <si>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</si>
  <si>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</si>
  <si>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</si>
  <si>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</si>
  <si>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</si>
  <si>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</si>
  <si>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</si>
  <si>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</si>
  <si>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</si>
  <si>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</si>
  <si>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</si>
  <si>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</si>
  <si>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</si>
  <si>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</si>
  <si>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</si>
  <si>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</si>
  <si>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</si>
  <si>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</si>
  <si>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</si>
  <si>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</si>
  <si>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</si>
  <si>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</si>
  <si>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</si>
  <si>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</si>
  <si>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</si>
  <si>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</si>
  <si>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</si>
  <si>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</si>
  <si>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</si>
  <si>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</si>
  <si>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</si>
  <si>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</si>
  <si>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</si>
  <si>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</si>
  <si>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</si>
  <si>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</si>
  <si>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</si>
  <si>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</si>
  <si>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</si>
  <si>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</si>
  <si>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</si>
  <si>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</si>
  <si>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</si>
  <si>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</si>
  <si>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</si>
  <si>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</si>
  <si>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</si>
  <si>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</si>
  <si>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</si>
  <si>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</si>
  <si>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</si>
  <si>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</si>
  <si>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</si>
  <si>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</si>
  <si>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</si>
  <si>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</si>
  <si>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</si>
  <si>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</si>
  <si>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</si>
  <si>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</si>
  <si>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</si>
  <si>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</si>
  <si>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</si>
  <si>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</si>
  <si>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</si>
  <si>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</si>
  <si>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</si>
  <si>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</si>
  <si>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</si>
  <si>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</si>
  <si>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</si>
  <si>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</si>
  <si>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</si>
  <si>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</si>
  <si>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</si>
  <si>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</si>
  <si>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</si>
  <si>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</si>
  <si>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</si>
  <si>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</si>
  <si>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</si>
  <si>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</si>
  <si>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</si>
  <si>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</si>
  <si>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</si>
  <si>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</si>
  <si>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</si>
  <si>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</si>
  <si>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</si>
  <si>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</si>
  <si>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</si>
  <si>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</si>
  <si>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</si>
  <si>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</si>
  <si>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</si>
  <si>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</si>
  <si>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</si>
  <si>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</si>
  <si>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</si>
  <si>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</si>
  <si>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</si>
  <si>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</si>
  <si>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</si>
  <si>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</si>
  <si>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</si>
  <si>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</si>
  <si>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</si>
  <si>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</si>
  <si>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</si>
  <si>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</si>
  <si>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</si>
  <si>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</si>
  <si>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</si>
  <si>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</si>
  <si>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</si>
  <si>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</si>
  <si>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</si>
  <si>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</si>
  <si>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</si>
  <si>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</si>
  <si>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</si>
  <si>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</si>
  <si>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</si>
  <si>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</si>
  <si>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</si>
  <si>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</si>
  <si>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</si>
  <si>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</si>
  <si>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</si>
  <si>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</si>
  <si>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</si>
  <si>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</si>
  <si>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</si>
  <si>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</si>
  <si>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</si>
  <si>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</si>
  <si>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</si>
  <si>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</si>
  <si>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</si>
  <si>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</si>
  <si>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</si>
  <si>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</si>
  <si>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</si>
  <si>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</si>
  <si>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</si>
  <si>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</si>
  <si>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</si>
  <si>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</si>
  <si>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</si>
  <si>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</si>
  <si>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</si>
  <si>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</si>
  <si>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</si>
  <si>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</si>
  <si>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</si>
  <si>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</si>
  <si>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</si>
  <si>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</si>
  <si>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</si>
  <si>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</si>
  <si>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</si>
  <si>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</si>
  <si>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</si>
  <si>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</si>
  <si>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</si>
  <si>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</si>
  <si>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</si>
  <si>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</si>
  <si>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</si>
  <si>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</si>
  <si>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</si>
  <si>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</si>
  <si>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</si>
  <si>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</si>
  <si>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</si>
  <si>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</si>
  <si>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</si>
  <si>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</si>
  <si>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</si>
  <si>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</si>
  <si>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</si>
  <si>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</si>
  <si>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</si>
  <si>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</si>
  <si>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</si>
  <si>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</si>
  <si>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</si>
  <si>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</si>
  <si>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</si>
  <si>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</si>
  <si>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</si>
  <si>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</si>
  <si>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</si>
  <si>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</si>
  <si>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</si>
  <si>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</si>
  <si>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</si>
  <si>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</si>
  <si>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</si>
  <si>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</si>
  <si>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</si>
  <si>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</si>
  <si>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</si>
  <si>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</si>
  <si>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</si>
  <si>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</si>
  <si>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</si>
  <si>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</si>
  <si>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</si>
  <si>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</si>
  <si>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</si>
  <si>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</si>
  <si>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</si>
  <si>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</si>
  <si>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</si>
  <si>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</si>
  <si>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</si>
  <si>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</si>
  <si>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</si>
  <si>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</si>
  <si>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</si>
  <si>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</si>
  <si>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</si>
  <si>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</si>
  <si>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</si>
  <si>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</si>
  <si>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</si>
  <si>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</si>
  <si>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</si>
  <si>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</si>
  <si>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</si>
  <si>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</si>
  <si>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</si>
  <si>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</si>
  <si>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</si>
  <si>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</si>
  <si>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</si>
  <si>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</si>
  <si>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</si>
  <si>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</si>
  <si>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</si>
  <si>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</si>
  <si>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</si>
  <si>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</si>
  <si>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</si>
  <si>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</si>
  <si>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</si>
  <si>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</si>
  <si>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</si>
  <si>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</si>
  <si>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</si>
  <si>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</si>
  <si>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</si>
  <si>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</si>
  <si>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</si>
  <si>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</si>
  <si>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</si>
  <si>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</si>
  <si>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</si>
  <si>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</si>
  <si>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</si>
  <si>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</si>
  <si>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</si>
  <si>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</si>
  <si>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</si>
  <si>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</si>
  <si>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</si>
  <si>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</si>
  <si>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</si>
  <si>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</si>
  <si>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</si>
  <si>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</si>
  <si>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</si>
  <si>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</si>
  <si>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</si>
  <si>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</si>
  <si>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</si>
  <si>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</si>
  <si>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</si>
  <si>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</si>
  <si>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</si>
  <si>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</si>
  <si>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</si>
  <si>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</si>
  <si>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</si>
  <si>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</si>
  <si>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</si>
  <si>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</si>
  <si>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</si>
  <si>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</si>
  <si>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</si>
  <si>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</si>
  <si>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</si>
  <si>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</si>
  <si>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</si>
  <si>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</si>
  <si>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</si>
  <si>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</si>
  <si>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</si>
  <si>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</si>
  <si>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</si>
  <si>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</si>
  <si>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</si>
  <si>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</si>
  <si>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</si>
  <si>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</si>
  <si>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</si>
  <si>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</si>
  <si>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</si>
  <si>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</si>
  <si>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</si>
  <si>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</si>
  <si>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</si>
  <si>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</si>
  <si>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</si>
  <si>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</si>
  <si>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</si>
  <si>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</si>
  <si>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</si>
  <si>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</si>
  <si>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</si>
  <si>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</si>
  <si>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</si>
  <si>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</si>
  <si>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</si>
  <si>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</si>
  <si>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</si>
  <si>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</si>
  <si>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</si>
  <si>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</si>
  <si>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</si>
  <si>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</si>
  <si>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</si>
  <si>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</si>
  <si>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</si>
  <si>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</si>
  <si>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</si>
  <si>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</si>
  <si>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</si>
  <si>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</si>
  <si>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</si>
  <si>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</si>
  <si>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</si>
  <si>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</si>
  <si>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</si>
  <si>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</si>
  <si>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</si>
  <si>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</si>
  <si>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</si>
  <si>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</si>
  <si>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</si>
  <si>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</si>
  <si>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</si>
  <si>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</si>
  <si>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</si>
  <si>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</si>
  <si>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</si>
  <si>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</si>
  <si>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</si>
  <si>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</si>
  <si>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</si>
  <si>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</si>
  <si>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</si>
  <si>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</si>
  <si>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</si>
  <si>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</si>
  <si>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</si>
  <si>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</si>
  <si>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</si>
  <si>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</si>
  <si>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</si>
  <si>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</si>
  <si>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</si>
  <si>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</si>
  <si>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</si>
  <si>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</si>
  <si>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</si>
  <si>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</si>
  <si>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</si>
  <si>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</si>
  <si>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</si>
  <si>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Filter – Anforderungen gezielt anzeigen</t>
  </si>
  <si>
    <t xml:space="preserve">Auswahllisten (Grundlage der Dropdowns)</t>
  </si>
  <si>
    <t xml:space="preserve">Auswahl in den gelben Feldern treffen; die Liste unten aktualisiert sich sofort. „(alle)“ lässt das Feld unberücksichtigt. Komponente und Partner suchen als Teiltext, finden also auch Mehrfachzuordnungen. Gepflegt wird weiterhin nur im Register „Anforderungen“.</t>
  </si>
  <si>
    <t xml:space="preserve">(alle)</t>
  </si>
  <si>
    <t xml:space="preserve">Komponente</t>
  </si>
  <si>
    <t xml:space="preserve">Suchbegriff</t>
  </si>
  <si>
    <t xml:space="preserve">Der Suchbegriff wirkt auf Kernaussage und Originaltext. „(alle)“ lässt ein Feld unberücksichtigt; Komponente und Partner suchen als Teiltext.</t>
  </si>
  <si>
    <t xml:space="preserve">WWL</t>
  </si>
  <si>
    <t xml:space="preserve">Treffer</t>
  </si>
  <si>
    <t xml:space="preserve">Angezeigt werden die ersten 300 Treffer. Bei mehr Treffern die Auswahl weiter eingrenzen.</t>
  </si>
  <si>
    <t xml:space="preserve">Originaltext</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</si>
  <si>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</si>
  <si>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</si>
  <si>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</si>
  <si>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</si>
  <si>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</si>
  <si>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</si>
  <si>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</si>
  <si>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</si>
  <si>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</si>
  <si>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</si>
  <si>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</si>
  <si>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</si>
  <si>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</si>
  <si>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</si>
  <si>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</si>
  <si>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</si>
  <si>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</si>
  <si>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</si>
  <si>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</si>
  <si>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</si>
  <si>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</si>
  <si>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</si>
  <si>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</si>
  <si>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</si>
  <si>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</si>
  <si>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</si>
  <si>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</si>
  <si>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</si>
  <si>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</si>
  <si>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</si>
  <si>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</si>
  <si>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Bemerkung / Schnittstelle</t>
  </si>
  <si>
    <t xml:space="preserve">LIS</t>
  </si>
  <si>
    <t xml:space="preserve">SmartInfra</t>
  </si>
  <si>
    <t xml:space="preserve">AUP</t>
  </si>
  <si>
    <t xml:space="preserve">CAME</t>
  </si>
  <si>
    <t xml:space="preserve">Schnittstelle</t>
  </si>
  <si>
    <t xml:space="preserve">Schnittstelle: zählt Anforderungen, die alle genannten Komponenten betreffen.</t>
  </si>
  <si>
    <t xml:space="preserve">Das Organigramm liegt im eigenen Reiter „Organigramm“. Es rechnet vollständig aus dieser Tabelle.</t>
  </si>
  <si>
    <t xml:space="preserve">Organigramm – Vergabe- und Komponentenstruktur</t>
  </si>
  <si>
    <t xml:space="preserve">SmartInfra → Vergabeeinheit → Partner → Art → Komponente. Jede Box ist mit einer Formelzelle in Spalte Z verknüpft und aktualisiert sich automatisch aus dem Reiter „Komponenten“. Gepflegt wird ausschließlich dort.</t>
  </si>
  <si>
    <t xml:space="preserve">Textquellen der Boxen (Formeln – bitte nicht löschen)</t>
  </si>
  <si>
    <t xml:space="preserve">Statusansicht – dieselbe Struktur, Farbe folgt dem Komponentenstatus</t>
  </si>
  <si>
    <t xml:space="preserve">Legende Statusfarben</t>
  </si>
  <si>
    <t xml:space="preserve">keine Anforderungen</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</si>
  <si>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</si>
  <si>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</si>
  <si>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</si>
  <si>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</si>
  <si>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</si>
  <si>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</si>
  <si>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</si>
  <si>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</si>
  <si>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</si>
  <si>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</si>
  <si>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</si>
  <si>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</si>
  <si>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</si>
  <si>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</si>
  <si>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</si>
  <si>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</si>
  <si>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</si>
  <si>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</si>
  <si>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</si>
  <si>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</si>
  <si>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</si>
  <si>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</si>
  <si>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</si>
  <si>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</si>
  <si>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</si>
  <si>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</si>
  <si>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</si>
  <si>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</si>
  <si>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</si>
  <si>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</si>
  <si>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</si>
  <si>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</si>
  <si>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</si>
  <si>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</si>
  <si>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</si>
  <si>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</si>
  <si>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</si>
  <si>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</si>
  <si>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</si>
  <si>
    <t xml:space="preserve">Filter</t>
  </si>
  <si>
    <t xml:space="preserve">Eigener Reiter zum gezielten Anzeigen: Status, Dokument, Themenfeld, Komponente, Partner und Freitext. Die Trefferliste rechnet sich aus dem Register und wird dort nicht gepflegt.</t>
  </si>
  <si>
    <t xml:space="preserve">Trennt die Frage „gehört das zu unserem Paket?" von der Frage „ist das überhaupt eine Anforderung?". „im Umfang“ = betrifft Schranken, Kennzeichenerfassung oder dynamische Anzeige. Der Status bleibt davon unberührt und bildet weiterhin nur den Erfüllungsprozess ab.</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</si>
</sst>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52">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8"/>
      <color rgb="FF808080"/>
      <name val="Arial"/>
      <family val="0"/>
      <charset val="1"/>
    </font>
    <font>
      <sz val="10"/>
      <name val="Calibri"/>
      <family val="2"/>
      <charset val="1"/>
    </font>
    <font>
      <b val="true"/>
      <sz val="16"/>
      <color rgb="FF1F3864"/>
      <name val="Arial"/>
      <family val="0"/>
      <charset val="1"/>
    </font>
    <font>
      <b val="true"/>
      <sz val="9"/>
      <color rgb="FF808080"/>
      <name val="Arial"/>
      <family val="0"/>
      <charset val="1"/>
    </font>
    <font>
      <sz val="9"/>
      <color rgb="FF808080"/>
      <name val="Arial"/>
      <family val="0"/>
      <charset val="1"/>
    </font>
    <font>
      <b val="true"/>
      <sz val="9"/>
      <color rgb="FF1F4E78"/>
      <name val="Arial"/>
      <family val="0"/>
      <charset val="1"/>
    </font>
    <font>
      <sz val="10"/>
      <name val="Arial"/>
      <family val="0"/>
      <charset val="1"/>
    </font>
    <font>
      <i val="true"/>
      <sz val="8"/>
      <color rgb="FF808080"/>
      <name val="Arial"/>
      <family val="0"/>
      <charset val="1"/>
    </font>
    <font>
      <b val="true"/>
      <sz val="14"/>
      <color rgb="FF1F3864"/>
      <name val="Arial"/>
      <family val="0"/>
      <charset val="1"/>
    </font>
    <font>
      <b val="true"/>
      <sz val="10"/>
      <name val="Arial"/>
      <family val="0"/>
      <charset val="1"/>
    </font>
    <font>
      <b val="true"/>
      <sz val="10"/>
      <color rgb="FFFFFFFF"/>
      <name val="Arial"/>
      <family val="0"/>
      <charset val="1"/>
    </font>
    <font>
      <sz val="9"/>
      <name val="Arial"/>
      <family val="0"/>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i val="true"/>
      <sz val="10"/>
      <color rgb="FF808080"/>
      <name val="Arial"/>
      <family val="0"/>
      <charset val="1"/>
    </font>
    <font>
      <b val="true"/>
      <sz val="9"/>
      <color rgb="FF808080"/>
      <name val="Arial"/>
      <family val="2"/>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b val="true"/>
      <sz val="12"/>
      <color rgb="FF1F3864"/>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DEDED"/>
      </patternFill>
    </fill>
    <fill>
      <patternFill patternType="solid">
        <fgColor rgb="FFD9EAF7"/>
        <bgColor rgb="FFDDEBF7"/>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0" fillId="9" borderId="0" xfId="0" applyFont="true" applyBorder="false" applyAlignment="true" applyProtection="false">
      <alignment horizontal="general" vertical="top" textRotation="0" wrapText="true" indent="0" shrinkToFit="false"/>
      <protection locked="true" hidden="false"/>
    </xf>
    <xf numFmtId="168" fontId="20"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9" borderId="1" xfId="0" applyFont="true" applyBorder="true" applyAlignment="true" applyProtection="false">
      <alignment horizontal="general" vertical="center"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false" applyProtection="false">
      <alignment horizontal="general" vertical="bottom"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8" fontId="3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2"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true" applyAlignment="true" applyProtection="false">
      <alignment horizontal="general" vertical="center" textRotation="0" wrapText="true" indent="0" shrinkToFit="false"/>
      <protection locked="true" hidden="false"/>
    </xf>
    <xf numFmtId="164" fontId="35"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36" fillId="10" borderId="1" xfId="0" applyFont="true" applyBorder="true" applyAlignment="true" applyProtection="false">
      <alignment horizontal="left" vertical="center" textRotation="0" wrapText="true" indent="0" shrinkToFit="false"/>
      <protection locked="true" hidden="false"/>
    </xf>
    <xf numFmtId="169" fontId="36" fillId="12" borderId="1" xfId="0" applyFont="true" applyBorder="true" applyAlignment="true" applyProtection="false">
      <alignment horizontal="center" vertical="center" textRotation="0" wrapText="true" indent="0" shrinkToFit="false"/>
      <protection locked="true" hidden="false"/>
    </xf>
    <xf numFmtId="164" fontId="37" fillId="12" borderId="1" xfId="0" applyFont="true" applyBorder="true" applyAlignment="true" applyProtection="false">
      <alignment horizontal="center" vertical="center" textRotation="0" wrapText="true" indent="0" shrinkToFit="false"/>
      <protection locked="true" hidden="false"/>
    </xf>
    <xf numFmtId="164" fontId="36" fillId="12" borderId="1"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left" vertical="center" textRotation="0" wrapText="tru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13" borderId="1" xfId="0" applyFont="true" applyBorder="true" applyAlignment="true" applyProtection="false">
      <alignment horizontal="center" vertical="center" textRotation="0" wrapText="false" indent="0" shrinkToFit="false"/>
      <protection locked="true" hidden="false"/>
    </xf>
    <xf numFmtId="164" fontId="44" fillId="14" borderId="1" xfId="0" applyFont="true" applyBorder="true" applyAlignment="true" applyProtection="false">
      <alignment horizontal="center" vertical="center" textRotation="0" wrapText="false" indent="0" shrinkToFit="false"/>
      <protection locked="true" hidden="false"/>
    </xf>
    <xf numFmtId="164" fontId="44" fillId="6" borderId="1" xfId="0" applyFont="true" applyBorder="true" applyAlignment="true" applyProtection="false">
      <alignment horizontal="center" vertical="center" textRotation="0" wrapText="false" indent="0" shrinkToFit="false"/>
      <protection locked="true" hidden="false"/>
    </xf>
    <xf numFmtId="164" fontId="44" fillId="15" borderId="1" xfId="0" applyFont="true" applyBorder="true" applyAlignment="true" applyProtection="false">
      <alignment horizontal="center" vertical="center" textRotation="0" wrapText="false" indent="0" shrinkToFit="false"/>
      <protection locked="true" hidden="false"/>
    </xf>
    <xf numFmtId="164" fontId="44" fillId="1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5" fillId="0" borderId="0" xfId="0" applyFont="true" applyBorder="true" applyAlignment="tru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left" vertical="center" textRotation="0" wrapText="tru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30" fillId="13" borderId="1" xfId="0" applyFont="true" applyBorder="true" applyAlignment="true" applyProtection="false">
      <alignment horizontal="center" vertical="center" textRotation="0" wrapText="false" indent="0" shrinkToFit="false"/>
      <protection locked="true" hidden="false"/>
    </xf>
    <xf numFmtId="164" fontId="30" fillId="14"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center" vertical="center" textRotation="0" wrapText="false" indent="0" shrinkToFit="false"/>
      <protection locked="true" hidden="false"/>
    </xf>
    <xf numFmtId="164" fontId="30" fillId="15" borderId="1" xfId="0" applyFont="true" applyBorder="true" applyAlignment="true" applyProtection="false">
      <alignment horizontal="center" vertical="center" textRotation="0" wrapText="false" indent="0" shrinkToFit="false"/>
      <protection locked="true" hidden="false"/>
    </xf>
    <xf numFmtId="164" fontId="30" fillId="10" borderId="1" xfId="0" applyFont="true" applyBorder="true" applyAlignment="true" applyProtection="false">
      <alignment horizontal="center" vertical="center" textRotation="0" wrapText="false" indent="0" shrinkToFit="false"/>
      <protection locked="true" hidden="false"/>
    </xf>
    <xf numFmtId="164" fontId="49" fillId="3" borderId="0" xfId="0" applyFont="true" applyBorder="true" applyAlignment="true" applyProtection="false">
      <alignment horizontal="general" vertical="bottom" textRotation="0" wrapText="false" indent="0" shrinkToFit="false"/>
      <protection locked="true" hidden="false"/>
    </xf>
    <xf numFmtId="164" fontId="50"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51"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808080"/>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ont>
        <color rgb="FF808080"/>
      </font>
      <fill>
        <patternFill>
          <bgColor rgb="FFF2F2F2"/>
        </patternFill>
      </fill>
    </dxf>
    <dxf>
      <font>
        <b val="1"/>
        <color rgb="FF1F4E78"/>
      </font>
      <fill>
        <patternFill>
          <bgColor rgb="FFDDEBF7"/>
        </patternFill>
      </fill>
    </dxf>
    <dxf>
      <font>
        <color rgb="FF9C6500"/>
      </font>
      <fill>
        <patternFill>
          <bgColor rgb="FFEDEDED"/>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2EFDA"/>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2F2F2"/>
      <rgbColor rgb="FF1F4E78"/>
      <rgbColor rgb="FFBDD7EE"/>
      <rgbColor rgb="FF000080"/>
      <rgbColor rgb="FFFF00FF"/>
      <rgbColor rgb="FFE7E6E6"/>
      <rgbColor rgb="FF00FFFF"/>
      <rgbColor rgb="FF800080"/>
      <rgbColor rgb="FF800000"/>
      <rgbColor rgb="FF008080"/>
      <rgbColor rgb="FF0000FF"/>
      <rgbColor rgb="FF00CCFF"/>
      <rgbColor rgb="FFDDEBF7"/>
      <rgbColor rgb="FFE2F0D9"/>
      <rgbColor rgb="FFFCE4D6"/>
      <rgbColor rgb="FFCCCCCC"/>
      <rgbColor rgb="FFD9E2F3"/>
      <rgbColor rgb="FFD9D9D9"/>
      <rgbColor rgb="FFF4CCCC"/>
      <rgbColor rgb="FF2E75B6"/>
      <rgbColor rgb="FF33CCCC"/>
      <rgbColor rgb="FFF5F7FA"/>
      <rgbColor rgb="FFEDEDED"/>
      <rgbColor rgb="FFFF9900"/>
      <rgbColor rgb="FFFF6600"/>
      <rgbColor rgb="FF666666"/>
      <rgbColor rgb="FF878787"/>
      <rgbColor rgb="FF1F3864"/>
      <rgbColor rgb="FF4F81BD"/>
      <rgbColor rgb="FF003300"/>
      <rgbColor rgb="FF555555"/>
      <rgbColor rgb="FF9C5700"/>
      <rgbColor rgb="FF9C6500"/>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74604245"/>
        <c:axId val="5670989"/>
      </c:barChart>
      <c:catAx>
        <c:axId val="7460424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670989"/>
        <c:crosses val="autoZero"/>
        <c:auto val="1"/>
        <c:lblAlgn val="ctr"/>
        <c:lblOffset val="100"/>
        <c:noMultiLvlLbl val="0"/>
      </c:catAx>
      <c:valAx>
        <c:axId val="567098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460424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44635427"/>
        <c:axId val="85186715"/>
      </c:barChart>
      <c:catAx>
        <c:axId val="4463542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5186715"/>
        <c:crosses val="autoZero"/>
        <c:auto val="1"/>
        <c:lblAlgn val="ctr"/>
        <c:lblOffset val="100"/>
        <c:noMultiLvlLbl val="0"/>
      </c:catAx>
      <c:valAx>
        <c:axId val="8518671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44635427"/>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9</xdr:col>
      <xdr:colOff>811440</xdr:colOff>
      <xdr:row>17</xdr:row>
      <xdr:rowOff>186480</xdr:rowOff>
    </xdr:to>
    <xdr:graphicFrame>
      <xdr:nvGraphicFramePr>
        <xdr:cNvPr id="0" name="Chart 1"/>
        <xdr:cNvGraphicFramePr/>
      </xdr:nvGraphicFramePr>
      <xdr:xfrm>
        <a:off x="5435640" y="866880"/>
        <a:ext cx="5688360" cy="2662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16</xdr:col>
      <xdr:colOff>812160</xdr:colOff>
      <xdr:row>19</xdr:row>
      <xdr:rowOff>15480</xdr:rowOff>
    </xdr:to>
    <xdr:graphicFrame>
      <xdr:nvGraphicFramePr>
        <xdr:cNvPr id="1" name="Chart 2"/>
        <xdr:cNvGraphicFramePr/>
      </xdr:nvGraphicFramePr>
      <xdr:xfrm>
        <a:off x="11125080" y="866880"/>
        <a:ext cx="5689080" cy="300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793750"/>
    <xdr:ext cx="2857500" cy="495300"/>
    <xdr:sp macro="" textlink="Organigramm!$Z$4">
      <xdr:nvSpPr>
        <xdr:cNvPr id="2" name="Organigramm 2"/>
        <xdr:cNvSpPr/>
      </xdr:nvSpPr>
      <xdr:spPr>
        <a:xfrm>
          <a:off x="5753100" y="79375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612899"/>
    <xdr:ext cx="2476500" cy="457200"/>
    <xdr:sp macro="" textlink="Organigramm!$Z$5">
      <xdr:nvSpPr>
        <xdr:cNvPr id="3" name="Organigramm 3"/>
        <xdr:cNvSpPr/>
      </xdr:nvSpPr>
      <xdr:spPr>
        <a:xfrm>
          <a:off x="-228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612899"/>
    <xdr:ext cx="2476500" cy="457200"/>
    <xdr:sp macro="" textlink="Organigramm!$Z$6">
      <xdr:nvSpPr>
        <xdr:cNvPr id="4" name="Organigramm 4"/>
        <xdr:cNvSpPr/>
      </xdr:nvSpPr>
      <xdr:spPr>
        <a:xfrm>
          <a:off x="1828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612899"/>
    <xdr:ext cx="2476500" cy="457200"/>
    <xdr:sp macro="" textlink="Organigramm!$Z$7">
      <xdr:nvSpPr>
        <xdr:cNvPr id="5" name="Organigramm 5"/>
        <xdr:cNvSpPr/>
      </xdr:nvSpPr>
      <xdr:spPr>
        <a:xfrm>
          <a:off x="5943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612899"/>
    <xdr:ext cx="2476500" cy="457200"/>
    <xdr:sp macro="" textlink="Organigramm!$Z$8">
      <xdr:nvSpPr>
        <xdr:cNvPr id="6" name="Organigramm 6"/>
        <xdr:cNvSpPr/>
      </xdr:nvSpPr>
      <xdr:spPr>
        <a:xfrm>
          <a:off x="100584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612899"/>
    <xdr:ext cx="2476500" cy="457200"/>
    <xdr:sp macro="" textlink="Organigramm!$Z$9">
      <xdr:nvSpPr>
        <xdr:cNvPr id="7" name="Organigramm 7"/>
        <xdr:cNvSpPr/>
      </xdr:nvSpPr>
      <xdr:spPr>
        <a:xfrm>
          <a:off x="12115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2374900"/>
    <xdr:ext cx="1905000" cy="457200"/>
    <xdr:sp macro="" textlink="Organigramm!$Z$10">
      <xdr:nvSpPr>
        <xdr:cNvPr id="8" name="Organigramm 8"/>
        <xdr:cNvSpPr/>
      </xdr:nvSpPr>
      <xdr:spPr>
        <a:xfrm>
          <a:off x="57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2374900"/>
    <xdr:ext cx="1905000" cy="457200"/>
    <xdr:sp macro="" textlink="Organigramm!$Z$11">
      <xdr:nvSpPr>
        <xdr:cNvPr id="9" name="Organigramm 9"/>
        <xdr:cNvSpPr/>
      </xdr:nvSpPr>
      <xdr:spPr>
        <a:xfrm>
          <a:off x="2114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2374900"/>
    <xdr:ext cx="1905000" cy="457200"/>
    <xdr:sp macro="" textlink="Organigramm!$Z$12">
      <xdr:nvSpPr>
        <xdr:cNvPr id="10" name="Organigramm 10"/>
        <xdr:cNvSpPr/>
      </xdr:nvSpPr>
      <xdr:spPr>
        <a:xfrm>
          <a:off x="41719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2374900"/>
    <xdr:ext cx="1905000" cy="457200"/>
    <xdr:sp macro="" textlink="Organigramm!$Z$13">
      <xdr:nvSpPr>
        <xdr:cNvPr id="11" name="Organigramm 11"/>
        <xdr:cNvSpPr/>
      </xdr:nvSpPr>
      <xdr:spPr>
        <a:xfrm>
          <a:off x="62293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2374900"/>
    <xdr:ext cx="1905000" cy="457200"/>
    <xdr:sp macro="" textlink="Organigramm!$Z$14">
      <xdr:nvSpPr>
        <xdr:cNvPr id="12" name="Organigramm 12"/>
        <xdr:cNvSpPr/>
      </xdr:nvSpPr>
      <xdr:spPr>
        <a:xfrm>
          <a:off x="82867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2374900"/>
    <xdr:ext cx="1905000" cy="457200"/>
    <xdr:sp macro="" textlink="Organigramm!$Z$15">
      <xdr:nvSpPr>
        <xdr:cNvPr id="13" name="Organigramm 13"/>
        <xdr:cNvSpPr/>
      </xdr:nvSpPr>
      <xdr:spPr>
        <a:xfrm>
          <a:off x="10344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2374900"/>
    <xdr:ext cx="1905000" cy="457200"/>
    <xdr:sp macro="" textlink="Organigramm!$Z$16">
      <xdr:nvSpPr>
        <xdr:cNvPr id="14" name="Organigramm 14"/>
        <xdr:cNvSpPr/>
      </xdr:nvSpPr>
      <xdr:spPr>
        <a:xfrm>
          <a:off x="12401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3136900"/>
    <xdr:ext cx="1524000" cy="304800"/>
    <xdr:sp macro="" textlink="Organigramm!$Z$17">
      <xdr:nvSpPr>
        <xdr:cNvPr id="15" name="Organigramm 15"/>
        <xdr:cNvSpPr/>
      </xdr:nvSpPr>
      <xdr:spPr>
        <a:xfrm>
          <a:off x="247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3136900"/>
    <xdr:ext cx="1524000" cy="304800"/>
    <xdr:sp macro="" textlink="Organigramm!$Z$18">
      <xdr:nvSpPr>
        <xdr:cNvPr id="16" name="Organigramm 16"/>
        <xdr:cNvSpPr/>
      </xdr:nvSpPr>
      <xdr:spPr>
        <a:xfrm>
          <a:off x="2305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3136900"/>
    <xdr:ext cx="1524000" cy="304800"/>
    <xdr:sp macro="" textlink="Organigramm!$Z$19">
      <xdr:nvSpPr>
        <xdr:cNvPr id="17" name="Organigramm 17"/>
        <xdr:cNvSpPr/>
      </xdr:nvSpPr>
      <xdr:spPr>
        <a:xfrm>
          <a:off x="43624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3136900"/>
    <xdr:ext cx="1524000" cy="304800"/>
    <xdr:sp macro="" textlink="Organigramm!$Z$20">
      <xdr:nvSpPr>
        <xdr:cNvPr id="18" name="Organigramm 18"/>
        <xdr:cNvSpPr/>
      </xdr:nvSpPr>
      <xdr:spPr>
        <a:xfrm>
          <a:off x="64198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3136900"/>
    <xdr:ext cx="1524000" cy="304800"/>
    <xdr:sp macro="" textlink="Organigramm!$Z$21">
      <xdr:nvSpPr>
        <xdr:cNvPr id="19" name="Organigramm 19"/>
        <xdr:cNvSpPr/>
      </xdr:nvSpPr>
      <xdr:spPr>
        <a:xfrm>
          <a:off x="84772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3136900"/>
    <xdr:ext cx="1524000" cy="304800"/>
    <xdr:sp macro="" textlink="Organigramm!$Z$22">
      <xdr:nvSpPr>
        <xdr:cNvPr id="20" name="Organigramm 20"/>
        <xdr:cNvSpPr/>
      </xdr:nvSpPr>
      <xdr:spPr>
        <a:xfrm>
          <a:off x="10534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3136900"/>
    <xdr:ext cx="1524000" cy="304800"/>
    <xdr:sp macro="" textlink="Organigramm!$Z$23">
      <xdr:nvSpPr>
        <xdr:cNvPr id="21" name="Organigramm 21"/>
        <xdr:cNvSpPr/>
      </xdr:nvSpPr>
      <xdr:spPr>
        <a:xfrm>
          <a:off x="12592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3670300"/>
    <xdr:ext cx="1676400" cy="666750"/>
    <xdr:sp macro="" textlink="Organigramm!$Z$24">
      <xdr:nvSpPr>
        <xdr:cNvPr id="22" name="Organigramm 22"/>
        <xdr:cNvSpPr/>
      </xdr:nvSpPr>
      <xdr:spPr>
        <a:xfrm>
          <a:off x="2857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3670300"/>
    <xdr:ext cx="1676400" cy="666750"/>
    <xdr:sp macro="" textlink="Organigramm!$Z$25">
      <xdr:nvSpPr>
        <xdr:cNvPr id="23" name="Organigramm 23"/>
        <xdr:cNvSpPr/>
      </xdr:nvSpPr>
      <xdr:spPr>
        <a:xfrm>
          <a:off x="2343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4432300"/>
    <xdr:ext cx="1676400" cy="666750"/>
    <xdr:sp macro="" textlink="Organigramm!$Z$26">
      <xdr:nvSpPr>
        <xdr:cNvPr id="24" name="Organigramm 24"/>
        <xdr:cNvSpPr/>
      </xdr:nvSpPr>
      <xdr:spPr>
        <a:xfrm>
          <a:off x="2343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5194299"/>
    <xdr:ext cx="1676400" cy="666750"/>
    <xdr:sp macro="" textlink="Organigramm!$Z$27">
      <xdr:nvSpPr>
        <xdr:cNvPr id="25" name="Organigramm 25"/>
        <xdr:cNvSpPr/>
      </xdr:nvSpPr>
      <xdr:spPr>
        <a:xfrm>
          <a:off x="2343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erfasst</a:t>
          </a:fld>
        </a:p>
      </xdr:txBody>
    </xdr:sp>
    <xdr:clientData/>
  </xdr:absoluteAnchor>
  <xdr:absoluteAnchor>
    <xdr:pos x="2343150" y="5956299"/>
    <xdr:ext cx="1676400" cy="666750"/>
    <xdr:sp macro="" textlink="Organigramm!$Z$28">
      <xdr:nvSpPr>
        <xdr:cNvPr id="26" name="Organigramm 26"/>
        <xdr:cNvSpPr/>
      </xdr:nvSpPr>
      <xdr:spPr>
        <a:xfrm>
          <a:off x="2343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3670300"/>
    <xdr:ext cx="1676400" cy="666750"/>
    <xdr:sp macro="" textlink="Organigramm!$Z$29">
      <xdr:nvSpPr>
        <xdr:cNvPr id="27" name="Organigramm 27"/>
        <xdr:cNvSpPr/>
      </xdr:nvSpPr>
      <xdr:spPr>
        <a:xfrm>
          <a:off x="44005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4432300"/>
    <xdr:ext cx="1676400" cy="666750"/>
    <xdr:sp macro="" textlink="Organigramm!$Z$30">
      <xdr:nvSpPr>
        <xdr:cNvPr id="28" name="Organigramm 28"/>
        <xdr:cNvSpPr/>
      </xdr:nvSpPr>
      <xdr:spPr>
        <a:xfrm>
          <a:off x="44005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3670300"/>
    <xdr:ext cx="1676400" cy="666750"/>
    <xdr:sp macro="" textlink="Organigramm!$Z$31">
      <xdr:nvSpPr>
        <xdr:cNvPr id="29" name="Organigramm 29"/>
        <xdr:cNvSpPr/>
      </xdr:nvSpPr>
      <xdr:spPr>
        <a:xfrm>
          <a:off x="64579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4432300"/>
    <xdr:ext cx="1676400" cy="666750"/>
    <xdr:sp macro="" textlink="Organigramm!$Z$32">
      <xdr:nvSpPr>
        <xdr:cNvPr id="30" name="Organigramm 30"/>
        <xdr:cNvSpPr/>
      </xdr:nvSpPr>
      <xdr:spPr>
        <a:xfrm>
          <a:off x="64579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5194299"/>
    <xdr:ext cx="1676400" cy="666750"/>
    <xdr:sp macro="" textlink="Organigramm!$Z$33">
      <xdr:nvSpPr>
        <xdr:cNvPr id="31" name="Organigramm 31"/>
        <xdr:cNvSpPr/>
      </xdr:nvSpPr>
      <xdr:spPr>
        <a:xfrm>
          <a:off x="64579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5956299"/>
    <xdr:ext cx="1676400" cy="666750"/>
    <xdr:sp macro="" textlink="Organigramm!$Z$34">
      <xdr:nvSpPr>
        <xdr:cNvPr id="32" name="Organigramm 32"/>
        <xdr:cNvSpPr/>
      </xdr:nvSpPr>
      <xdr:spPr>
        <a:xfrm>
          <a:off x="64579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6718299"/>
    <xdr:ext cx="1676400" cy="666750"/>
    <xdr:sp macro="" textlink="Organigramm!$Z$35">
      <xdr:nvSpPr>
        <xdr:cNvPr id="33" name="Organigramm 33"/>
        <xdr:cNvSpPr/>
      </xdr:nvSpPr>
      <xdr:spPr>
        <a:xfrm>
          <a:off x="6457950" y="6718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3670300"/>
    <xdr:ext cx="1676400" cy="666750"/>
    <xdr:sp macro="" textlink="Organigramm!$Z$36">
      <xdr:nvSpPr>
        <xdr:cNvPr id="34" name="Organigramm 34"/>
        <xdr:cNvSpPr/>
      </xdr:nvSpPr>
      <xdr:spPr>
        <a:xfrm>
          <a:off x="85153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3670300"/>
    <xdr:ext cx="1676400" cy="666750"/>
    <xdr:sp macro="" textlink="Organigramm!$Z$37">
      <xdr:nvSpPr>
        <xdr:cNvPr id="35" name="Organigramm 35"/>
        <xdr:cNvSpPr/>
      </xdr:nvSpPr>
      <xdr:spPr>
        <a:xfrm>
          <a:off x="105727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11 Anforderungen · 0/11 erfüllt
Status: erfasst</a:t>
          </a:fld>
        </a:p>
      </xdr:txBody>
    </xdr:sp>
    <xdr:clientData/>
  </xdr:absoluteAnchor>
  <xdr:absoluteAnchor>
    <xdr:pos x="12630150" y="3670300"/>
    <xdr:ext cx="1676400" cy="666750"/>
    <xdr:sp macro="" textlink="Organigramm!$Z$38">
      <xdr:nvSpPr>
        <xdr:cNvPr id="36" name="Organigramm 36"/>
        <xdr:cNvSpPr/>
      </xdr:nvSpPr>
      <xdr:spPr>
        <a:xfrm>
          <a:off x="12630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4432300"/>
    <xdr:ext cx="1676400" cy="666750"/>
    <xdr:sp macro="" textlink="Organigramm!$Z$39">
      <xdr:nvSpPr>
        <xdr:cNvPr id="37" name="Organigramm 37"/>
        <xdr:cNvSpPr/>
      </xdr:nvSpPr>
      <xdr:spPr>
        <a:xfrm>
          <a:off x="12630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5194299"/>
    <xdr:ext cx="1676400" cy="666750"/>
    <xdr:sp macro="" textlink="Organigramm!$Z$40">
      <xdr:nvSpPr>
        <xdr:cNvPr id="38" name="Organigramm 38"/>
        <xdr:cNvSpPr/>
      </xdr:nvSpPr>
      <xdr:spPr>
        <a:xfrm>
          <a:off x="12630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5956299"/>
    <xdr:ext cx="1676400" cy="666750"/>
    <xdr:sp macro="" textlink="Organigramm!$Z$41">
      <xdr:nvSpPr>
        <xdr:cNvPr id="39" name="Organigramm 39"/>
        <xdr:cNvSpPr/>
      </xdr:nvSpPr>
      <xdr:spPr>
        <a:xfrm>
          <a:off x="12630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89049"/>
    <xdr:ext cx="19050" cy="161925"/>
    <xdr:sp macro="">
      <xdr:nvSpPr>
        <xdr:cNvPr id="40" name="Verbinder 40"/>
        <xdr:cNvSpPr/>
      </xdr:nvSpPr>
      <xdr:spPr>
        <a:xfrm>
          <a:off x="7172325" y="1289049"/>
          <a:ext cx="19050" cy="161925"/>
        </a:xfrm>
        <a:prstGeom prst="rect">
          <a:avLst/>
        </a:prstGeom>
        <a:solidFill>
          <a:srgbClr val="8EA9DB"/>
        </a:solidFill>
        <a:ln>
          <a:noFill/>
        </a:ln>
      </xdr:spPr>
      <xdr:txBody>
        <a:bodyPr/>
        <a:lstStyle/>
        <a:p>
          <a:endParaRPr lang="de-DE"/>
        </a:p>
      </xdr:txBody>
    </xdr:sp>
    <xdr:clientData/>
  </xdr:absoluteAnchor>
  <xdr:absoluteAnchor>
    <xdr:pos x="1009650" y="1441449"/>
    <xdr:ext cx="12344400" cy="19050"/>
    <xdr:sp macro="">
      <xdr:nvSpPr>
        <xdr:cNvPr id="41" name="Verbinder 41"/>
        <xdr:cNvSpPr/>
      </xdr:nvSpPr>
      <xdr:spPr>
        <a:xfrm>
          <a:off x="1009650" y="1441449"/>
          <a:ext cx="12344400" cy="19050"/>
        </a:xfrm>
        <a:prstGeom prst="rect">
          <a:avLst/>
        </a:prstGeom>
        <a:solidFill>
          <a:srgbClr val="8EA9DB"/>
        </a:solidFill>
        <a:ln>
          <a:noFill/>
        </a:ln>
      </xdr:spPr>
      <xdr:txBody>
        <a:bodyPr/>
        <a:lstStyle/>
        <a:p>
          <a:endParaRPr lang="de-DE"/>
        </a:p>
      </xdr:txBody>
    </xdr:sp>
    <xdr:clientData/>
  </xdr:absoluteAnchor>
  <xdr:absoluteAnchor>
    <xdr:pos x="1000125" y="1450974"/>
    <xdr:ext cx="19050" cy="161925"/>
    <xdr:sp macro="">
      <xdr:nvSpPr>
        <xdr:cNvPr id="42" name="Verbinder 42"/>
        <xdr:cNvSpPr/>
      </xdr:nvSpPr>
      <xdr:spPr>
        <a:xfrm>
          <a:off x="1000125" y="1450974"/>
          <a:ext cx="19050" cy="161925"/>
        </a:xfrm>
        <a:prstGeom prst="rect">
          <a:avLst/>
        </a:prstGeom>
        <a:solidFill>
          <a:srgbClr val="8EA9DB"/>
        </a:solidFill>
        <a:ln>
          <a:noFill/>
        </a:ln>
      </xdr:spPr>
      <xdr:txBody>
        <a:bodyPr/>
        <a:lstStyle/>
        <a:p>
          <a:endParaRPr lang="de-DE"/>
        </a:p>
      </xdr:txBody>
    </xdr:sp>
    <xdr:clientData/>
  </xdr:absoluteAnchor>
  <xdr:absoluteAnchor>
    <xdr:pos x="3057525" y="1450974"/>
    <xdr:ext cx="19050" cy="161925"/>
    <xdr:sp macro="">
      <xdr:nvSpPr>
        <xdr:cNvPr id="43" name="Verbinder 43"/>
        <xdr:cNvSpPr/>
      </xdr:nvSpPr>
      <xdr:spPr>
        <a:xfrm>
          <a:off x="3057525" y="1450974"/>
          <a:ext cx="19050" cy="161925"/>
        </a:xfrm>
        <a:prstGeom prst="rect">
          <a:avLst/>
        </a:prstGeom>
        <a:solidFill>
          <a:srgbClr val="8EA9DB"/>
        </a:solidFill>
        <a:ln>
          <a:noFill/>
        </a:ln>
      </xdr:spPr>
      <xdr:txBody>
        <a:bodyPr/>
        <a:lstStyle/>
        <a:p>
          <a:endParaRPr lang="de-DE"/>
        </a:p>
      </xdr:txBody>
    </xdr:sp>
    <xdr:clientData/>
  </xdr:absoluteAnchor>
  <xdr:absoluteAnchor>
    <xdr:pos x="7172325" y="1450974"/>
    <xdr:ext cx="19050" cy="161925"/>
    <xdr:sp macro="">
      <xdr:nvSpPr>
        <xdr:cNvPr id="44" name="Verbinder 44"/>
        <xdr:cNvSpPr/>
      </xdr:nvSpPr>
      <xdr:spPr>
        <a:xfrm>
          <a:off x="7172325" y="1450974"/>
          <a:ext cx="19050" cy="161925"/>
        </a:xfrm>
        <a:prstGeom prst="rect">
          <a:avLst/>
        </a:prstGeom>
        <a:solidFill>
          <a:srgbClr val="8EA9DB"/>
        </a:solidFill>
        <a:ln>
          <a:noFill/>
        </a:ln>
      </xdr:spPr>
      <xdr:txBody>
        <a:bodyPr/>
        <a:lstStyle/>
        <a:p>
          <a:endParaRPr lang="de-DE"/>
        </a:p>
      </xdr:txBody>
    </xdr:sp>
    <xdr:clientData/>
  </xdr:absoluteAnchor>
  <xdr:absoluteAnchor>
    <xdr:pos x="11287125" y="1450974"/>
    <xdr:ext cx="19050" cy="161925"/>
    <xdr:sp macro="">
      <xdr:nvSpPr>
        <xdr:cNvPr id="45" name="Verbinder 45"/>
        <xdr:cNvSpPr/>
      </xdr:nvSpPr>
      <xdr:spPr>
        <a:xfrm>
          <a:off x="11287125" y="1450974"/>
          <a:ext cx="19050" cy="161925"/>
        </a:xfrm>
        <a:prstGeom prst="rect">
          <a:avLst/>
        </a:prstGeom>
        <a:solidFill>
          <a:srgbClr val="8EA9DB"/>
        </a:solidFill>
        <a:ln>
          <a:noFill/>
        </a:ln>
      </xdr:spPr>
      <xdr:txBody>
        <a:bodyPr/>
        <a:lstStyle/>
        <a:p>
          <a:endParaRPr lang="de-DE"/>
        </a:p>
      </xdr:txBody>
    </xdr:sp>
    <xdr:clientData/>
  </xdr:absoluteAnchor>
  <xdr:absoluteAnchor>
    <xdr:pos x="13344525" y="1450974"/>
    <xdr:ext cx="19050" cy="161925"/>
    <xdr:sp macro="">
      <xdr:nvSpPr>
        <xdr:cNvPr id="46" name="Verbinder 46"/>
        <xdr:cNvSpPr/>
      </xdr:nvSpPr>
      <xdr:spPr>
        <a:xfrm>
          <a:off x="13344525" y="1450974"/>
          <a:ext cx="19050" cy="161925"/>
        </a:xfrm>
        <a:prstGeom prst="rect">
          <a:avLst/>
        </a:prstGeom>
        <a:solidFill>
          <a:srgbClr val="8EA9DB"/>
        </a:solidFill>
        <a:ln>
          <a:noFill/>
        </a:ln>
      </xdr:spPr>
      <xdr:txBody>
        <a:bodyPr/>
        <a:lstStyle/>
        <a:p>
          <a:endParaRPr lang="de-DE"/>
        </a:p>
      </xdr:txBody>
    </xdr:sp>
    <xdr:clientData/>
  </xdr:absoluteAnchor>
  <xdr:absoluteAnchor>
    <xdr:pos x="1000125" y="2070099"/>
    <xdr:ext cx="19050" cy="152400"/>
    <xdr:sp macro="">
      <xdr:nvSpPr>
        <xdr:cNvPr id="47" name="Verbinder 47"/>
        <xdr:cNvSpPr/>
      </xdr:nvSpPr>
      <xdr:spPr>
        <a:xfrm>
          <a:off x="1000125" y="2070099"/>
          <a:ext cx="19050" cy="152400"/>
        </a:xfrm>
        <a:prstGeom prst="rect">
          <a:avLst/>
        </a:prstGeom>
        <a:solidFill>
          <a:srgbClr val="8EA9DB"/>
        </a:solidFill>
        <a:ln>
          <a:noFill/>
        </a:ln>
      </xdr:spPr>
      <xdr:txBody>
        <a:bodyPr/>
        <a:lstStyle/>
        <a:p>
          <a:endParaRPr lang="de-DE"/>
        </a:p>
      </xdr:txBody>
    </xdr:sp>
    <xdr:clientData/>
  </xdr:absoluteAnchor>
  <xdr:absoluteAnchor>
    <xdr:pos x="1000125" y="2222500"/>
    <xdr:ext cx="19050" cy="152400"/>
    <xdr:sp macro="">
      <xdr:nvSpPr>
        <xdr:cNvPr id="48" name="Verbinder 48"/>
        <xdr:cNvSpPr/>
      </xdr:nvSpPr>
      <xdr:spPr>
        <a:xfrm>
          <a:off x="1000125" y="2222500"/>
          <a:ext cx="19050" cy="152400"/>
        </a:xfrm>
        <a:prstGeom prst="rect">
          <a:avLst/>
        </a:prstGeom>
        <a:solidFill>
          <a:srgbClr val="8EA9DB"/>
        </a:solidFill>
        <a:ln>
          <a:noFill/>
        </a:ln>
      </xdr:spPr>
      <xdr:txBody>
        <a:bodyPr/>
        <a:lstStyle/>
        <a:p>
          <a:endParaRPr lang="de-DE"/>
        </a:p>
      </xdr:txBody>
    </xdr:sp>
    <xdr:clientData/>
  </xdr:absoluteAnchor>
  <xdr:absoluteAnchor>
    <xdr:pos x="3057525" y="2070099"/>
    <xdr:ext cx="19050" cy="152400"/>
    <xdr:sp macro="">
      <xdr:nvSpPr>
        <xdr:cNvPr id="49" name="Verbinder 49"/>
        <xdr:cNvSpPr/>
      </xdr:nvSpPr>
      <xdr:spPr>
        <a:xfrm>
          <a:off x="3057525" y="2070099"/>
          <a:ext cx="19050" cy="152400"/>
        </a:xfrm>
        <a:prstGeom prst="rect">
          <a:avLst/>
        </a:prstGeom>
        <a:solidFill>
          <a:srgbClr val="8EA9DB"/>
        </a:solidFill>
        <a:ln>
          <a:noFill/>
        </a:ln>
      </xdr:spPr>
      <xdr:txBody>
        <a:bodyPr/>
        <a:lstStyle/>
        <a:p>
          <a:endParaRPr lang="de-DE"/>
        </a:p>
      </xdr:txBody>
    </xdr:sp>
    <xdr:clientData/>
  </xdr:absoluteAnchor>
  <xdr:absoluteAnchor>
    <xdr:pos x="3057525" y="2222500"/>
    <xdr:ext cx="19050" cy="152400"/>
    <xdr:sp macro="">
      <xdr:nvSpPr>
        <xdr:cNvPr id="50" name="Verbinder 50"/>
        <xdr:cNvSpPr/>
      </xdr:nvSpPr>
      <xdr:spPr>
        <a:xfrm>
          <a:off x="30575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070099"/>
    <xdr:ext cx="19050" cy="152400"/>
    <xdr:sp macro="">
      <xdr:nvSpPr>
        <xdr:cNvPr id="51" name="Verbinder 51"/>
        <xdr:cNvSpPr/>
      </xdr:nvSpPr>
      <xdr:spPr>
        <a:xfrm>
          <a:off x="7172325" y="2070099"/>
          <a:ext cx="19050" cy="152400"/>
        </a:xfrm>
        <a:prstGeom prst="rect">
          <a:avLst/>
        </a:prstGeom>
        <a:solidFill>
          <a:srgbClr val="8EA9DB"/>
        </a:solidFill>
        <a:ln>
          <a:noFill/>
        </a:ln>
      </xdr:spPr>
      <xdr:txBody>
        <a:bodyPr/>
        <a:lstStyle/>
        <a:p>
          <a:endParaRPr lang="de-DE"/>
        </a:p>
      </xdr:txBody>
    </xdr:sp>
    <xdr:clientData/>
  </xdr:absoluteAnchor>
  <xdr:absoluteAnchor>
    <xdr:pos x="5124450" y="2212975"/>
    <xdr:ext cx="4114800" cy="19050"/>
    <xdr:sp macro="">
      <xdr:nvSpPr>
        <xdr:cNvPr id="52" name="Verbinder 52"/>
        <xdr:cNvSpPr/>
      </xdr:nvSpPr>
      <xdr:spPr>
        <a:xfrm>
          <a:off x="5124450" y="2212975"/>
          <a:ext cx="4114800" cy="19050"/>
        </a:xfrm>
        <a:prstGeom prst="rect">
          <a:avLst/>
        </a:prstGeom>
        <a:solidFill>
          <a:srgbClr val="8EA9DB"/>
        </a:solidFill>
        <a:ln>
          <a:noFill/>
        </a:ln>
      </xdr:spPr>
      <xdr:txBody>
        <a:bodyPr/>
        <a:lstStyle/>
        <a:p>
          <a:endParaRPr lang="de-DE"/>
        </a:p>
      </xdr:txBody>
    </xdr:sp>
    <xdr:clientData/>
  </xdr:absoluteAnchor>
  <xdr:absoluteAnchor>
    <xdr:pos x="5114925" y="2222500"/>
    <xdr:ext cx="19050" cy="152400"/>
    <xdr:sp macro="">
      <xdr:nvSpPr>
        <xdr:cNvPr id="53" name="Verbinder 53"/>
        <xdr:cNvSpPr/>
      </xdr:nvSpPr>
      <xdr:spPr>
        <a:xfrm>
          <a:off x="51149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222500"/>
    <xdr:ext cx="19050" cy="152400"/>
    <xdr:sp macro="">
      <xdr:nvSpPr>
        <xdr:cNvPr id="54" name="Verbinder 54"/>
        <xdr:cNvSpPr/>
      </xdr:nvSpPr>
      <xdr:spPr>
        <a:xfrm>
          <a:off x="7172325" y="2222500"/>
          <a:ext cx="19050" cy="152400"/>
        </a:xfrm>
        <a:prstGeom prst="rect">
          <a:avLst/>
        </a:prstGeom>
        <a:solidFill>
          <a:srgbClr val="8EA9DB"/>
        </a:solidFill>
        <a:ln>
          <a:noFill/>
        </a:ln>
      </xdr:spPr>
      <xdr:txBody>
        <a:bodyPr/>
        <a:lstStyle/>
        <a:p>
          <a:endParaRPr lang="de-DE"/>
        </a:p>
      </xdr:txBody>
    </xdr:sp>
    <xdr:clientData/>
  </xdr:absoluteAnchor>
  <xdr:absoluteAnchor>
    <xdr:pos x="9229725" y="2222500"/>
    <xdr:ext cx="19050" cy="152400"/>
    <xdr:sp macro="">
      <xdr:nvSpPr>
        <xdr:cNvPr id="55" name="Verbinder 55"/>
        <xdr:cNvSpPr/>
      </xdr:nvSpPr>
      <xdr:spPr>
        <a:xfrm>
          <a:off x="9229725" y="2222500"/>
          <a:ext cx="19050" cy="152400"/>
        </a:xfrm>
        <a:prstGeom prst="rect">
          <a:avLst/>
        </a:prstGeom>
        <a:solidFill>
          <a:srgbClr val="8EA9DB"/>
        </a:solidFill>
        <a:ln>
          <a:noFill/>
        </a:ln>
      </xdr:spPr>
      <xdr:txBody>
        <a:bodyPr/>
        <a:lstStyle/>
        <a:p>
          <a:endParaRPr lang="de-DE"/>
        </a:p>
      </xdr:txBody>
    </xdr:sp>
    <xdr:clientData/>
  </xdr:absoluteAnchor>
  <xdr:absoluteAnchor>
    <xdr:pos x="11287125" y="2070099"/>
    <xdr:ext cx="19050" cy="152400"/>
    <xdr:sp macro="">
      <xdr:nvSpPr>
        <xdr:cNvPr id="56" name="Verbinder 56"/>
        <xdr:cNvSpPr/>
      </xdr:nvSpPr>
      <xdr:spPr>
        <a:xfrm>
          <a:off x="11287125" y="2070099"/>
          <a:ext cx="19050" cy="152400"/>
        </a:xfrm>
        <a:prstGeom prst="rect">
          <a:avLst/>
        </a:prstGeom>
        <a:solidFill>
          <a:srgbClr val="8EA9DB"/>
        </a:solidFill>
        <a:ln>
          <a:noFill/>
        </a:ln>
      </xdr:spPr>
      <xdr:txBody>
        <a:bodyPr/>
        <a:lstStyle/>
        <a:p>
          <a:endParaRPr lang="de-DE"/>
        </a:p>
      </xdr:txBody>
    </xdr:sp>
    <xdr:clientData/>
  </xdr:absoluteAnchor>
  <xdr:absoluteAnchor>
    <xdr:pos x="11287125" y="2222500"/>
    <xdr:ext cx="19050" cy="152400"/>
    <xdr:sp macro="">
      <xdr:nvSpPr>
        <xdr:cNvPr id="57" name="Verbinder 57"/>
        <xdr:cNvSpPr/>
      </xdr:nvSpPr>
      <xdr:spPr>
        <a:xfrm>
          <a:off x="11287125" y="2222500"/>
          <a:ext cx="19050" cy="152400"/>
        </a:xfrm>
        <a:prstGeom prst="rect">
          <a:avLst/>
        </a:prstGeom>
        <a:solidFill>
          <a:srgbClr val="8EA9DB"/>
        </a:solidFill>
        <a:ln>
          <a:noFill/>
        </a:ln>
      </xdr:spPr>
      <xdr:txBody>
        <a:bodyPr/>
        <a:lstStyle/>
        <a:p>
          <a:endParaRPr lang="de-DE"/>
        </a:p>
      </xdr:txBody>
    </xdr:sp>
    <xdr:clientData/>
  </xdr:absoluteAnchor>
  <xdr:absoluteAnchor>
    <xdr:pos x="13344525" y="2070099"/>
    <xdr:ext cx="19050" cy="152400"/>
    <xdr:sp macro="">
      <xdr:nvSpPr>
        <xdr:cNvPr id="58" name="Verbinder 58"/>
        <xdr:cNvSpPr/>
      </xdr:nvSpPr>
      <xdr:spPr>
        <a:xfrm>
          <a:off x="13344525" y="2070099"/>
          <a:ext cx="19050" cy="152400"/>
        </a:xfrm>
        <a:prstGeom prst="rect">
          <a:avLst/>
        </a:prstGeom>
        <a:solidFill>
          <a:srgbClr val="8EA9DB"/>
        </a:solidFill>
        <a:ln>
          <a:noFill/>
        </a:ln>
      </xdr:spPr>
      <xdr:txBody>
        <a:bodyPr/>
        <a:lstStyle/>
        <a:p>
          <a:endParaRPr lang="de-DE"/>
        </a:p>
      </xdr:txBody>
    </xdr:sp>
    <xdr:clientData/>
  </xdr:absoluteAnchor>
  <xdr:absoluteAnchor>
    <xdr:pos x="13344525" y="2222500"/>
    <xdr:ext cx="19050" cy="152400"/>
    <xdr:sp macro="">
      <xdr:nvSpPr>
        <xdr:cNvPr id="59" name="Verbinder 59"/>
        <xdr:cNvSpPr/>
      </xdr:nvSpPr>
      <xdr:spPr>
        <a:xfrm>
          <a:off x="13344525" y="2222500"/>
          <a:ext cx="19050" cy="152400"/>
        </a:xfrm>
        <a:prstGeom prst="rect">
          <a:avLst/>
        </a:prstGeom>
        <a:solidFill>
          <a:srgbClr val="8EA9DB"/>
        </a:solidFill>
        <a:ln>
          <a:noFill/>
        </a:ln>
      </xdr:spPr>
      <xdr:txBody>
        <a:bodyPr/>
        <a:lstStyle/>
        <a:p>
          <a:endParaRPr lang="de-DE"/>
        </a:p>
      </xdr:txBody>
    </xdr:sp>
    <xdr:clientData/>
  </xdr:absoluteAnchor>
  <xdr:absoluteAnchor>
    <xdr:pos x="1000125" y="2832100"/>
    <xdr:ext cx="19050" cy="152400"/>
    <xdr:sp macro="">
      <xdr:nvSpPr>
        <xdr:cNvPr id="60" name="Verbinder 60"/>
        <xdr:cNvSpPr/>
      </xdr:nvSpPr>
      <xdr:spPr>
        <a:xfrm>
          <a:off x="1000125" y="2832100"/>
          <a:ext cx="19050" cy="152400"/>
        </a:xfrm>
        <a:prstGeom prst="rect">
          <a:avLst/>
        </a:prstGeom>
        <a:solidFill>
          <a:srgbClr val="8EA9DB"/>
        </a:solidFill>
        <a:ln>
          <a:noFill/>
        </a:ln>
      </xdr:spPr>
      <xdr:txBody>
        <a:bodyPr/>
        <a:lstStyle/>
        <a:p>
          <a:endParaRPr lang="de-DE"/>
        </a:p>
      </xdr:txBody>
    </xdr:sp>
    <xdr:clientData/>
  </xdr:absoluteAnchor>
  <xdr:absoluteAnchor>
    <xdr:pos x="1000125" y="2984500"/>
    <xdr:ext cx="19050" cy="152400"/>
    <xdr:sp macro="">
      <xdr:nvSpPr>
        <xdr:cNvPr id="61" name="Verbinder 61"/>
        <xdr:cNvSpPr/>
      </xdr:nvSpPr>
      <xdr:spPr>
        <a:xfrm>
          <a:off x="1000125" y="2984500"/>
          <a:ext cx="19050" cy="152400"/>
        </a:xfrm>
        <a:prstGeom prst="rect">
          <a:avLst/>
        </a:prstGeom>
        <a:solidFill>
          <a:srgbClr val="8EA9DB"/>
        </a:solidFill>
        <a:ln>
          <a:noFill/>
        </a:ln>
      </xdr:spPr>
      <xdr:txBody>
        <a:bodyPr/>
        <a:lstStyle/>
        <a:p>
          <a:endParaRPr lang="de-DE"/>
        </a:p>
      </xdr:txBody>
    </xdr:sp>
    <xdr:clientData/>
  </xdr:absoluteAnchor>
  <xdr:absoluteAnchor>
    <xdr:pos x="3057525" y="2832100"/>
    <xdr:ext cx="19050" cy="152400"/>
    <xdr:sp macro="">
      <xdr:nvSpPr>
        <xdr:cNvPr id="62" name="Verbinder 62"/>
        <xdr:cNvSpPr/>
      </xdr:nvSpPr>
      <xdr:spPr>
        <a:xfrm>
          <a:off x="3057525" y="2832100"/>
          <a:ext cx="19050" cy="152400"/>
        </a:xfrm>
        <a:prstGeom prst="rect">
          <a:avLst/>
        </a:prstGeom>
        <a:solidFill>
          <a:srgbClr val="8EA9DB"/>
        </a:solidFill>
        <a:ln>
          <a:noFill/>
        </a:ln>
      </xdr:spPr>
      <xdr:txBody>
        <a:bodyPr/>
        <a:lstStyle/>
        <a:p>
          <a:endParaRPr lang="de-DE"/>
        </a:p>
      </xdr:txBody>
    </xdr:sp>
    <xdr:clientData/>
  </xdr:absoluteAnchor>
  <xdr:absoluteAnchor>
    <xdr:pos x="3057525" y="2984500"/>
    <xdr:ext cx="19050" cy="152400"/>
    <xdr:sp macro="">
      <xdr:nvSpPr>
        <xdr:cNvPr id="63" name="Verbinder 63"/>
        <xdr:cNvSpPr/>
      </xdr:nvSpPr>
      <xdr:spPr>
        <a:xfrm>
          <a:off x="3057525" y="2984500"/>
          <a:ext cx="19050" cy="152400"/>
        </a:xfrm>
        <a:prstGeom prst="rect">
          <a:avLst/>
        </a:prstGeom>
        <a:solidFill>
          <a:srgbClr val="8EA9DB"/>
        </a:solidFill>
        <a:ln>
          <a:noFill/>
        </a:ln>
      </xdr:spPr>
      <xdr:txBody>
        <a:bodyPr/>
        <a:lstStyle/>
        <a:p>
          <a:endParaRPr lang="de-DE"/>
        </a:p>
      </xdr:txBody>
    </xdr:sp>
    <xdr:clientData/>
  </xdr:absoluteAnchor>
  <xdr:absoluteAnchor>
    <xdr:pos x="5114925" y="2832100"/>
    <xdr:ext cx="19050" cy="152400"/>
    <xdr:sp macro="">
      <xdr:nvSpPr>
        <xdr:cNvPr id="64" name="Verbinder 64"/>
        <xdr:cNvSpPr/>
      </xdr:nvSpPr>
      <xdr:spPr>
        <a:xfrm>
          <a:off x="5114925" y="2832100"/>
          <a:ext cx="19050" cy="152400"/>
        </a:xfrm>
        <a:prstGeom prst="rect">
          <a:avLst/>
        </a:prstGeom>
        <a:solidFill>
          <a:srgbClr val="8EA9DB"/>
        </a:solidFill>
        <a:ln>
          <a:noFill/>
        </a:ln>
      </xdr:spPr>
      <xdr:txBody>
        <a:bodyPr/>
        <a:lstStyle/>
        <a:p>
          <a:endParaRPr lang="de-DE"/>
        </a:p>
      </xdr:txBody>
    </xdr:sp>
    <xdr:clientData/>
  </xdr:absoluteAnchor>
  <xdr:absoluteAnchor>
    <xdr:pos x="5114925" y="2984500"/>
    <xdr:ext cx="19050" cy="152400"/>
    <xdr:sp macro="">
      <xdr:nvSpPr>
        <xdr:cNvPr id="65" name="Verbinder 65"/>
        <xdr:cNvSpPr/>
      </xdr:nvSpPr>
      <xdr:spPr>
        <a:xfrm>
          <a:off x="5114925" y="2984500"/>
          <a:ext cx="19050" cy="152400"/>
        </a:xfrm>
        <a:prstGeom prst="rect">
          <a:avLst/>
        </a:prstGeom>
        <a:solidFill>
          <a:srgbClr val="8EA9DB"/>
        </a:solidFill>
        <a:ln>
          <a:noFill/>
        </a:ln>
      </xdr:spPr>
      <xdr:txBody>
        <a:bodyPr/>
        <a:lstStyle/>
        <a:p>
          <a:endParaRPr lang="de-DE"/>
        </a:p>
      </xdr:txBody>
    </xdr:sp>
    <xdr:clientData/>
  </xdr:absoluteAnchor>
  <xdr:absoluteAnchor>
    <xdr:pos x="7172325" y="2832100"/>
    <xdr:ext cx="19050" cy="152400"/>
    <xdr:sp macro="">
      <xdr:nvSpPr>
        <xdr:cNvPr id="66" name="Verbinder 66"/>
        <xdr:cNvSpPr/>
      </xdr:nvSpPr>
      <xdr:spPr>
        <a:xfrm>
          <a:off x="7172325" y="2832100"/>
          <a:ext cx="19050" cy="152400"/>
        </a:xfrm>
        <a:prstGeom prst="rect">
          <a:avLst/>
        </a:prstGeom>
        <a:solidFill>
          <a:srgbClr val="8EA9DB"/>
        </a:solidFill>
        <a:ln>
          <a:noFill/>
        </a:ln>
      </xdr:spPr>
      <xdr:txBody>
        <a:bodyPr/>
        <a:lstStyle/>
        <a:p>
          <a:endParaRPr lang="de-DE"/>
        </a:p>
      </xdr:txBody>
    </xdr:sp>
    <xdr:clientData/>
  </xdr:absoluteAnchor>
  <xdr:absoluteAnchor>
    <xdr:pos x="7172325" y="2984500"/>
    <xdr:ext cx="19050" cy="152400"/>
    <xdr:sp macro="">
      <xdr:nvSpPr>
        <xdr:cNvPr id="67" name="Verbinder 67"/>
        <xdr:cNvSpPr/>
      </xdr:nvSpPr>
      <xdr:spPr>
        <a:xfrm>
          <a:off x="7172325" y="2984500"/>
          <a:ext cx="19050" cy="152400"/>
        </a:xfrm>
        <a:prstGeom prst="rect">
          <a:avLst/>
        </a:prstGeom>
        <a:solidFill>
          <a:srgbClr val="8EA9DB"/>
        </a:solidFill>
        <a:ln>
          <a:noFill/>
        </a:ln>
      </xdr:spPr>
      <xdr:txBody>
        <a:bodyPr/>
        <a:lstStyle/>
        <a:p>
          <a:endParaRPr lang="de-DE"/>
        </a:p>
      </xdr:txBody>
    </xdr:sp>
    <xdr:clientData/>
  </xdr:absoluteAnchor>
  <xdr:absoluteAnchor>
    <xdr:pos x="9229725" y="2832100"/>
    <xdr:ext cx="19050" cy="152400"/>
    <xdr:sp macro="">
      <xdr:nvSpPr>
        <xdr:cNvPr id="68" name="Verbinder 68"/>
        <xdr:cNvSpPr/>
      </xdr:nvSpPr>
      <xdr:spPr>
        <a:xfrm>
          <a:off x="9229725" y="2832100"/>
          <a:ext cx="19050" cy="152400"/>
        </a:xfrm>
        <a:prstGeom prst="rect">
          <a:avLst/>
        </a:prstGeom>
        <a:solidFill>
          <a:srgbClr val="8EA9DB"/>
        </a:solidFill>
        <a:ln>
          <a:noFill/>
        </a:ln>
      </xdr:spPr>
      <xdr:txBody>
        <a:bodyPr/>
        <a:lstStyle/>
        <a:p>
          <a:endParaRPr lang="de-DE"/>
        </a:p>
      </xdr:txBody>
    </xdr:sp>
    <xdr:clientData/>
  </xdr:absoluteAnchor>
  <xdr:absoluteAnchor>
    <xdr:pos x="9229725" y="2984500"/>
    <xdr:ext cx="19050" cy="152400"/>
    <xdr:sp macro="">
      <xdr:nvSpPr>
        <xdr:cNvPr id="69" name="Verbinder 69"/>
        <xdr:cNvSpPr/>
      </xdr:nvSpPr>
      <xdr:spPr>
        <a:xfrm>
          <a:off x="9229725" y="2984500"/>
          <a:ext cx="19050" cy="152400"/>
        </a:xfrm>
        <a:prstGeom prst="rect">
          <a:avLst/>
        </a:prstGeom>
        <a:solidFill>
          <a:srgbClr val="8EA9DB"/>
        </a:solidFill>
        <a:ln>
          <a:noFill/>
        </a:ln>
      </xdr:spPr>
      <xdr:txBody>
        <a:bodyPr/>
        <a:lstStyle/>
        <a:p>
          <a:endParaRPr lang="de-DE"/>
        </a:p>
      </xdr:txBody>
    </xdr:sp>
    <xdr:clientData/>
  </xdr:absoluteAnchor>
  <xdr:absoluteAnchor>
    <xdr:pos x="11287125" y="2832100"/>
    <xdr:ext cx="19050" cy="152400"/>
    <xdr:sp macro="">
      <xdr:nvSpPr>
        <xdr:cNvPr id="70" name="Verbinder 70"/>
        <xdr:cNvSpPr/>
      </xdr:nvSpPr>
      <xdr:spPr>
        <a:xfrm>
          <a:off x="11287125" y="2832100"/>
          <a:ext cx="19050" cy="152400"/>
        </a:xfrm>
        <a:prstGeom prst="rect">
          <a:avLst/>
        </a:prstGeom>
        <a:solidFill>
          <a:srgbClr val="8EA9DB"/>
        </a:solidFill>
        <a:ln>
          <a:noFill/>
        </a:ln>
      </xdr:spPr>
      <xdr:txBody>
        <a:bodyPr/>
        <a:lstStyle/>
        <a:p>
          <a:endParaRPr lang="de-DE"/>
        </a:p>
      </xdr:txBody>
    </xdr:sp>
    <xdr:clientData/>
  </xdr:absoluteAnchor>
  <xdr:absoluteAnchor>
    <xdr:pos x="11287125" y="2984500"/>
    <xdr:ext cx="19050" cy="152400"/>
    <xdr:sp macro="">
      <xdr:nvSpPr>
        <xdr:cNvPr id="71" name="Verbinder 71"/>
        <xdr:cNvSpPr/>
      </xdr:nvSpPr>
      <xdr:spPr>
        <a:xfrm>
          <a:off x="11287125" y="2984500"/>
          <a:ext cx="19050" cy="152400"/>
        </a:xfrm>
        <a:prstGeom prst="rect">
          <a:avLst/>
        </a:prstGeom>
        <a:solidFill>
          <a:srgbClr val="8EA9DB"/>
        </a:solidFill>
        <a:ln>
          <a:noFill/>
        </a:ln>
      </xdr:spPr>
      <xdr:txBody>
        <a:bodyPr/>
        <a:lstStyle/>
        <a:p>
          <a:endParaRPr lang="de-DE"/>
        </a:p>
      </xdr:txBody>
    </xdr:sp>
    <xdr:clientData/>
  </xdr:absoluteAnchor>
  <xdr:absoluteAnchor>
    <xdr:pos x="13344525" y="2832100"/>
    <xdr:ext cx="19050" cy="152400"/>
    <xdr:sp macro="">
      <xdr:nvSpPr>
        <xdr:cNvPr id="72" name="Verbinder 72"/>
        <xdr:cNvSpPr/>
      </xdr:nvSpPr>
      <xdr:spPr>
        <a:xfrm>
          <a:off x="13344525" y="2832100"/>
          <a:ext cx="19050" cy="152400"/>
        </a:xfrm>
        <a:prstGeom prst="rect">
          <a:avLst/>
        </a:prstGeom>
        <a:solidFill>
          <a:srgbClr val="8EA9DB"/>
        </a:solidFill>
        <a:ln>
          <a:noFill/>
        </a:ln>
      </xdr:spPr>
      <xdr:txBody>
        <a:bodyPr/>
        <a:lstStyle/>
        <a:p>
          <a:endParaRPr lang="de-DE"/>
        </a:p>
      </xdr:txBody>
    </xdr:sp>
    <xdr:clientData/>
  </xdr:absoluteAnchor>
  <xdr:absoluteAnchor>
    <xdr:pos x="13344525" y="2984500"/>
    <xdr:ext cx="19050" cy="152400"/>
    <xdr:sp macro="">
      <xdr:nvSpPr>
        <xdr:cNvPr id="73" name="Verbinder 73"/>
        <xdr:cNvSpPr/>
      </xdr:nvSpPr>
      <xdr:spPr>
        <a:xfrm>
          <a:off x="13344525" y="2984500"/>
          <a:ext cx="19050" cy="152400"/>
        </a:xfrm>
        <a:prstGeom prst="rect">
          <a:avLst/>
        </a:prstGeom>
        <a:solidFill>
          <a:srgbClr val="8EA9DB"/>
        </a:solidFill>
        <a:ln>
          <a:noFill/>
        </a:ln>
      </xdr:spPr>
      <xdr:txBody>
        <a:bodyPr/>
        <a:lstStyle/>
        <a:p>
          <a:endParaRPr lang="de-DE"/>
        </a:p>
      </xdr:txBody>
    </xdr:sp>
    <xdr:clientData/>
  </xdr:absoluteAnchor>
  <xdr:absoluteAnchor>
    <xdr:pos x="161925" y="3441700"/>
    <xdr:ext cx="19050" cy="561975"/>
    <xdr:sp macro="">
      <xdr:nvSpPr>
        <xdr:cNvPr id="74" name="Verbinder 74"/>
        <xdr:cNvSpPr/>
      </xdr:nvSpPr>
      <xdr:spPr>
        <a:xfrm>
          <a:off x="161925" y="3441700"/>
          <a:ext cx="19050" cy="561975"/>
        </a:xfrm>
        <a:prstGeom prst="rect">
          <a:avLst/>
        </a:prstGeom>
        <a:solidFill>
          <a:srgbClr val="8EA9DB"/>
        </a:solidFill>
        <a:ln>
          <a:noFill/>
        </a:ln>
      </xdr:spPr>
      <xdr:txBody>
        <a:bodyPr/>
        <a:lstStyle/>
        <a:p>
          <a:endParaRPr lang="de-DE"/>
        </a:p>
      </xdr:txBody>
    </xdr:sp>
    <xdr:clientData/>
  </xdr:absoluteAnchor>
  <xdr:absoluteAnchor>
    <xdr:pos x="171450" y="3994150"/>
    <xdr:ext cx="114300" cy="19050"/>
    <xdr:sp macro="">
      <xdr:nvSpPr>
        <xdr:cNvPr id="75" name="Verbinder 75"/>
        <xdr:cNvSpPr/>
      </xdr:nvSpPr>
      <xdr:spPr>
        <a:xfrm>
          <a:off x="171450" y="3994150"/>
          <a:ext cx="114300" cy="19050"/>
        </a:xfrm>
        <a:prstGeom prst="rect">
          <a:avLst/>
        </a:prstGeom>
        <a:solidFill>
          <a:srgbClr val="8EA9DB"/>
        </a:solidFill>
        <a:ln>
          <a:noFill/>
        </a:ln>
      </xdr:spPr>
      <xdr:txBody>
        <a:bodyPr/>
        <a:lstStyle/>
        <a:p>
          <a:endParaRPr lang="de-DE"/>
        </a:p>
      </xdr:txBody>
    </xdr:sp>
    <xdr:clientData/>
  </xdr:absoluteAnchor>
  <xdr:absoluteAnchor>
    <xdr:pos x="2219325" y="3441700"/>
    <xdr:ext cx="19050" cy="2847974"/>
    <xdr:sp macro="">
      <xdr:nvSpPr>
        <xdr:cNvPr id="76" name="Verbinder 76"/>
        <xdr:cNvSpPr/>
      </xdr:nvSpPr>
      <xdr:spPr>
        <a:xfrm>
          <a:off x="2219325" y="3441700"/>
          <a:ext cx="19050" cy="2847974"/>
        </a:xfrm>
        <a:prstGeom prst="rect">
          <a:avLst/>
        </a:prstGeom>
        <a:solidFill>
          <a:srgbClr val="8EA9DB"/>
        </a:solidFill>
        <a:ln>
          <a:noFill/>
        </a:ln>
      </xdr:spPr>
      <xdr:txBody>
        <a:bodyPr/>
        <a:lstStyle/>
        <a:p>
          <a:endParaRPr lang="de-DE"/>
        </a:p>
      </xdr:txBody>
    </xdr:sp>
    <xdr:clientData/>
  </xdr:absoluteAnchor>
  <xdr:absoluteAnchor>
    <xdr:pos x="2228850" y="3994150"/>
    <xdr:ext cx="114300" cy="19050"/>
    <xdr:sp macro="">
      <xdr:nvSpPr>
        <xdr:cNvPr id="77" name="Verbinder 77"/>
        <xdr:cNvSpPr/>
      </xdr:nvSpPr>
      <xdr:spPr>
        <a:xfrm>
          <a:off x="2228850" y="3994150"/>
          <a:ext cx="114300" cy="19050"/>
        </a:xfrm>
        <a:prstGeom prst="rect">
          <a:avLst/>
        </a:prstGeom>
        <a:solidFill>
          <a:srgbClr val="8EA9DB"/>
        </a:solidFill>
        <a:ln>
          <a:noFill/>
        </a:ln>
      </xdr:spPr>
      <xdr:txBody>
        <a:bodyPr/>
        <a:lstStyle/>
        <a:p>
          <a:endParaRPr lang="de-DE"/>
        </a:p>
      </xdr:txBody>
    </xdr:sp>
    <xdr:clientData/>
  </xdr:absoluteAnchor>
  <xdr:absoluteAnchor>
    <xdr:pos x="2228850" y="4756150"/>
    <xdr:ext cx="114300" cy="19050"/>
    <xdr:sp macro="">
      <xdr:nvSpPr>
        <xdr:cNvPr id="78" name="Verbinder 78"/>
        <xdr:cNvSpPr/>
      </xdr:nvSpPr>
      <xdr:spPr>
        <a:xfrm>
          <a:off x="2228850" y="4756150"/>
          <a:ext cx="114300" cy="19050"/>
        </a:xfrm>
        <a:prstGeom prst="rect">
          <a:avLst/>
        </a:prstGeom>
        <a:solidFill>
          <a:srgbClr val="8EA9DB"/>
        </a:solidFill>
        <a:ln>
          <a:noFill/>
        </a:ln>
      </xdr:spPr>
      <xdr:txBody>
        <a:bodyPr/>
        <a:lstStyle/>
        <a:p>
          <a:endParaRPr lang="de-DE"/>
        </a:p>
      </xdr:txBody>
    </xdr:sp>
    <xdr:clientData/>
  </xdr:absoluteAnchor>
  <xdr:absoluteAnchor>
    <xdr:pos x="2228850" y="5518149"/>
    <xdr:ext cx="114300" cy="19050"/>
    <xdr:sp macro="">
      <xdr:nvSpPr>
        <xdr:cNvPr id="79" name="Verbinder 79"/>
        <xdr:cNvSpPr/>
      </xdr:nvSpPr>
      <xdr:spPr>
        <a:xfrm>
          <a:off x="2228850" y="5518149"/>
          <a:ext cx="114300" cy="19050"/>
        </a:xfrm>
        <a:prstGeom prst="rect">
          <a:avLst/>
        </a:prstGeom>
        <a:solidFill>
          <a:srgbClr val="8EA9DB"/>
        </a:solidFill>
        <a:ln>
          <a:noFill/>
        </a:ln>
      </xdr:spPr>
      <xdr:txBody>
        <a:bodyPr/>
        <a:lstStyle/>
        <a:p>
          <a:endParaRPr lang="de-DE"/>
        </a:p>
      </xdr:txBody>
    </xdr:sp>
    <xdr:clientData/>
  </xdr:absoluteAnchor>
  <xdr:absoluteAnchor>
    <xdr:pos x="2228850" y="6280149"/>
    <xdr:ext cx="114300" cy="19050"/>
    <xdr:sp macro="">
      <xdr:nvSpPr>
        <xdr:cNvPr id="80" name="Verbinder 80"/>
        <xdr:cNvSpPr/>
      </xdr:nvSpPr>
      <xdr:spPr>
        <a:xfrm>
          <a:off x="2228850" y="6280149"/>
          <a:ext cx="114300" cy="19050"/>
        </a:xfrm>
        <a:prstGeom prst="rect">
          <a:avLst/>
        </a:prstGeom>
        <a:solidFill>
          <a:srgbClr val="8EA9DB"/>
        </a:solidFill>
        <a:ln>
          <a:noFill/>
        </a:ln>
      </xdr:spPr>
      <xdr:txBody>
        <a:bodyPr/>
        <a:lstStyle/>
        <a:p>
          <a:endParaRPr lang="de-DE"/>
        </a:p>
      </xdr:txBody>
    </xdr:sp>
    <xdr:clientData/>
  </xdr:absoluteAnchor>
  <xdr:absoluteAnchor>
    <xdr:pos x="4276725" y="3441700"/>
    <xdr:ext cx="19050" cy="1323975"/>
    <xdr:sp macro="">
      <xdr:nvSpPr>
        <xdr:cNvPr id="81" name="Verbinder 81"/>
        <xdr:cNvSpPr/>
      </xdr:nvSpPr>
      <xdr:spPr>
        <a:xfrm>
          <a:off x="4276725" y="3441700"/>
          <a:ext cx="19050" cy="1323975"/>
        </a:xfrm>
        <a:prstGeom prst="rect">
          <a:avLst/>
        </a:prstGeom>
        <a:solidFill>
          <a:srgbClr val="8EA9DB"/>
        </a:solidFill>
        <a:ln>
          <a:noFill/>
        </a:ln>
      </xdr:spPr>
      <xdr:txBody>
        <a:bodyPr/>
        <a:lstStyle/>
        <a:p>
          <a:endParaRPr lang="de-DE"/>
        </a:p>
      </xdr:txBody>
    </xdr:sp>
    <xdr:clientData/>
  </xdr:absoluteAnchor>
  <xdr:absoluteAnchor>
    <xdr:pos x="4286250" y="3994150"/>
    <xdr:ext cx="114300" cy="19050"/>
    <xdr:sp macro="">
      <xdr:nvSpPr>
        <xdr:cNvPr id="82" name="Verbinder 82"/>
        <xdr:cNvSpPr/>
      </xdr:nvSpPr>
      <xdr:spPr>
        <a:xfrm>
          <a:off x="4286250" y="3994150"/>
          <a:ext cx="114300" cy="19050"/>
        </a:xfrm>
        <a:prstGeom prst="rect">
          <a:avLst/>
        </a:prstGeom>
        <a:solidFill>
          <a:srgbClr val="8EA9DB"/>
        </a:solidFill>
        <a:ln>
          <a:noFill/>
        </a:ln>
      </xdr:spPr>
      <xdr:txBody>
        <a:bodyPr/>
        <a:lstStyle/>
        <a:p>
          <a:endParaRPr lang="de-DE"/>
        </a:p>
      </xdr:txBody>
    </xdr:sp>
    <xdr:clientData/>
  </xdr:absoluteAnchor>
  <xdr:absoluteAnchor>
    <xdr:pos x="4286250" y="4756150"/>
    <xdr:ext cx="114300" cy="19050"/>
    <xdr:sp macro="">
      <xdr:nvSpPr>
        <xdr:cNvPr id="83" name="Verbinder 83"/>
        <xdr:cNvSpPr/>
      </xdr:nvSpPr>
      <xdr:spPr>
        <a:xfrm>
          <a:off x="4286250" y="4756150"/>
          <a:ext cx="114300" cy="19050"/>
        </a:xfrm>
        <a:prstGeom prst="rect">
          <a:avLst/>
        </a:prstGeom>
        <a:solidFill>
          <a:srgbClr val="8EA9DB"/>
        </a:solidFill>
        <a:ln>
          <a:noFill/>
        </a:ln>
      </xdr:spPr>
      <xdr:txBody>
        <a:bodyPr/>
        <a:lstStyle/>
        <a:p>
          <a:endParaRPr lang="de-DE"/>
        </a:p>
      </xdr:txBody>
    </xdr:sp>
    <xdr:clientData/>
  </xdr:absoluteAnchor>
  <xdr:absoluteAnchor>
    <xdr:pos x="6334125" y="3441700"/>
    <xdr:ext cx="19050" cy="3609974"/>
    <xdr:sp macro="">
      <xdr:nvSpPr>
        <xdr:cNvPr id="84" name="Verbinder 84"/>
        <xdr:cNvSpPr/>
      </xdr:nvSpPr>
      <xdr:spPr>
        <a:xfrm>
          <a:off x="6334125" y="3441700"/>
          <a:ext cx="19050" cy="3609974"/>
        </a:xfrm>
        <a:prstGeom prst="rect">
          <a:avLst/>
        </a:prstGeom>
        <a:solidFill>
          <a:srgbClr val="8EA9DB"/>
        </a:solidFill>
        <a:ln>
          <a:noFill/>
        </a:ln>
      </xdr:spPr>
      <xdr:txBody>
        <a:bodyPr/>
        <a:lstStyle/>
        <a:p>
          <a:endParaRPr lang="de-DE"/>
        </a:p>
      </xdr:txBody>
    </xdr:sp>
    <xdr:clientData/>
  </xdr:absoluteAnchor>
  <xdr:absoluteAnchor>
    <xdr:pos x="6343650" y="3994150"/>
    <xdr:ext cx="114300" cy="19050"/>
    <xdr:sp macro="">
      <xdr:nvSpPr>
        <xdr:cNvPr id="85" name="Verbinder 85"/>
        <xdr:cNvSpPr/>
      </xdr:nvSpPr>
      <xdr:spPr>
        <a:xfrm>
          <a:off x="6343650" y="3994150"/>
          <a:ext cx="114300" cy="19050"/>
        </a:xfrm>
        <a:prstGeom prst="rect">
          <a:avLst/>
        </a:prstGeom>
        <a:solidFill>
          <a:srgbClr val="8EA9DB"/>
        </a:solidFill>
        <a:ln>
          <a:noFill/>
        </a:ln>
      </xdr:spPr>
      <xdr:txBody>
        <a:bodyPr/>
        <a:lstStyle/>
        <a:p>
          <a:endParaRPr lang="de-DE"/>
        </a:p>
      </xdr:txBody>
    </xdr:sp>
    <xdr:clientData/>
  </xdr:absoluteAnchor>
  <xdr:absoluteAnchor>
    <xdr:pos x="6343650" y="4756150"/>
    <xdr:ext cx="114300" cy="19050"/>
    <xdr:sp macro="">
      <xdr:nvSpPr>
        <xdr:cNvPr id="86" name="Verbinder 86"/>
        <xdr:cNvSpPr/>
      </xdr:nvSpPr>
      <xdr:spPr>
        <a:xfrm>
          <a:off x="6343650" y="4756150"/>
          <a:ext cx="114300" cy="19050"/>
        </a:xfrm>
        <a:prstGeom prst="rect">
          <a:avLst/>
        </a:prstGeom>
        <a:solidFill>
          <a:srgbClr val="8EA9DB"/>
        </a:solidFill>
        <a:ln>
          <a:noFill/>
        </a:ln>
      </xdr:spPr>
      <xdr:txBody>
        <a:bodyPr/>
        <a:lstStyle/>
        <a:p>
          <a:endParaRPr lang="de-DE"/>
        </a:p>
      </xdr:txBody>
    </xdr:sp>
    <xdr:clientData/>
  </xdr:absoluteAnchor>
  <xdr:absoluteAnchor>
    <xdr:pos x="6343650" y="5518149"/>
    <xdr:ext cx="114300" cy="19050"/>
    <xdr:sp macro="">
      <xdr:nvSpPr>
        <xdr:cNvPr id="87" name="Verbinder 87"/>
        <xdr:cNvSpPr/>
      </xdr:nvSpPr>
      <xdr:spPr>
        <a:xfrm>
          <a:off x="6343650" y="5518149"/>
          <a:ext cx="114300" cy="19050"/>
        </a:xfrm>
        <a:prstGeom prst="rect">
          <a:avLst/>
        </a:prstGeom>
        <a:solidFill>
          <a:srgbClr val="8EA9DB"/>
        </a:solidFill>
        <a:ln>
          <a:noFill/>
        </a:ln>
      </xdr:spPr>
      <xdr:txBody>
        <a:bodyPr/>
        <a:lstStyle/>
        <a:p>
          <a:endParaRPr lang="de-DE"/>
        </a:p>
      </xdr:txBody>
    </xdr:sp>
    <xdr:clientData/>
  </xdr:absoluteAnchor>
  <xdr:absoluteAnchor>
    <xdr:pos x="6343650" y="6280149"/>
    <xdr:ext cx="114300" cy="19050"/>
    <xdr:sp macro="">
      <xdr:nvSpPr>
        <xdr:cNvPr id="88" name="Verbinder 88"/>
        <xdr:cNvSpPr/>
      </xdr:nvSpPr>
      <xdr:spPr>
        <a:xfrm>
          <a:off x="6343650" y="6280149"/>
          <a:ext cx="114300" cy="19050"/>
        </a:xfrm>
        <a:prstGeom prst="rect">
          <a:avLst/>
        </a:prstGeom>
        <a:solidFill>
          <a:srgbClr val="8EA9DB"/>
        </a:solidFill>
        <a:ln>
          <a:noFill/>
        </a:ln>
      </xdr:spPr>
      <xdr:txBody>
        <a:bodyPr/>
        <a:lstStyle/>
        <a:p>
          <a:endParaRPr lang="de-DE"/>
        </a:p>
      </xdr:txBody>
    </xdr:sp>
    <xdr:clientData/>
  </xdr:absoluteAnchor>
  <xdr:absoluteAnchor>
    <xdr:pos x="6343650" y="7042149"/>
    <xdr:ext cx="114300" cy="19050"/>
    <xdr:sp macro="">
      <xdr:nvSpPr>
        <xdr:cNvPr id="89" name="Verbinder 89"/>
        <xdr:cNvSpPr/>
      </xdr:nvSpPr>
      <xdr:spPr>
        <a:xfrm>
          <a:off x="6343650" y="7042149"/>
          <a:ext cx="114300" cy="19050"/>
        </a:xfrm>
        <a:prstGeom prst="rect">
          <a:avLst/>
        </a:prstGeom>
        <a:solidFill>
          <a:srgbClr val="8EA9DB"/>
        </a:solidFill>
        <a:ln>
          <a:noFill/>
        </a:ln>
      </xdr:spPr>
      <xdr:txBody>
        <a:bodyPr/>
        <a:lstStyle/>
        <a:p>
          <a:endParaRPr lang="de-DE"/>
        </a:p>
      </xdr:txBody>
    </xdr:sp>
    <xdr:clientData/>
  </xdr:absoluteAnchor>
  <xdr:absoluteAnchor>
    <xdr:pos x="8391525" y="3441700"/>
    <xdr:ext cx="19050" cy="561975"/>
    <xdr:sp macro="">
      <xdr:nvSpPr>
        <xdr:cNvPr id="90" name="Verbinder 90"/>
        <xdr:cNvSpPr/>
      </xdr:nvSpPr>
      <xdr:spPr>
        <a:xfrm>
          <a:off x="8391525" y="3441700"/>
          <a:ext cx="19050" cy="561975"/>
        </a:xfrm>
        <a:prstGeom prst="rect">
          <a:avLst/>
        </a:prstGeom>
        <a:solidFill>
          <a:srgbClr val="8EA9DB"/>
        </a:solidFill>
        <a:ln>
          <a:noFill/>
        </a:ln>
      </xdr:spPr>
      <xdr:txBody>
        <a:bodyPr/>
        <a:lstStyle/>
        <a:p>
          <a:endParaRPr lang="de-DE"/>
        </a:p>
      </xdr:txBody>
    </xdr:sp>
    <xdr:clientData/>
  </xdr:absoluteAnchor>
  <xdr:absoluteAnchor>
    <xdr:pos x="8401050" y="3994150"/>
    <xdr:ext cx="114300" cy="19050"/>
    <xdr:sp macro="">
      <xdr:nvSpPr>
        <xdr:cNvPr id="91" name="Verbinder 91"/>
        <xdr:cNvSpPr/>
      </xdr:nvSpPr>
      <xdr:spPr>
        <a:xfrm>
          <a:off x="8401050" y="3994150"/>
          <a:ext cx="114300" cy="19050"/>
        </a:xfrm>
        <a:prstGeom prst="rect">
          <a:avLst/>
        </a:prstGeom>
        <a:solidFill>
          <a:srgbClr val="8EA9DB"/>
        </a:solidFill>
        <a:ln>
          <a:noFill/>
        </a:ln>
      </xdr:spPr>
      <xdr:txBody>
        <a:bodyPr/>
        <a:lstStyle/>
        <a:p>
          <a:endParaRPr lang="de-DE"/>
        </a:p>
      </xdr:txBody>
    </xdr:sp>
    <xdr:clientData/>
  </xdr:absoluteAnchor>
  <xdr:absoluteAnchor>
    <xdr:pos x="10448925" y="3441700"/>
    <xdr:ext cx="19050" cy="561975"/>
    <xdr:sp macro="">
      <xdr:nvSpPr>
        <xdr:cNvPr id="92" name="Verbinder 92"/>
        <xdr:cNvSpPr/>
      </xdr:nvSpPr>
      <xdr:spPr>
        <a:xfrm>
          <a:off x="10448925" y="3441700"/>
          <a:ext cx="19050" cy="561975"/>
        </a:xfrm>
        <a:prstGeom prst="rect">
          <a:avLst/>
        </a:prstGeom>
        <a:solidFill>
          <a:srgbClr val="8EA9DB"/>
        </a:solidFill>
        <a:ln>
          <a:noFill/>
        </a:ln>
      </xdr:spPr>
      <xdr:txBody>
        <a:bodyPr/>
        <a:lstStyle/>
        <a:p>
          <a:endParaRPr lang="de-DE"/>
        </a:p>
      </xdr:txBody>
    </xdr:sp>
    <xdr:clientData/>
  </xdr:absoluteAnchor>
  <xdr:absoluteAnchor>
    <xdr:pos x="10458450" y="3994150"/>
    <xdr:ext cx="114300" cy="19050"/>
    <xdr:sp macro="">
      <xdr:nvSpPr>
        <xdr:cNvPr id="93" name="Verbinder 93"/>
        <xdr:cNvSpPr/>
      </xdr:nvSpPr>
      <xdr:spPr>
        <a:xfrm>
          <a:off x="10458450" y="3994150"/>
          <a:ext cx="114300" cy="19050"/>
        </a:xfrm>
        <a:prstGeom prst="rect">
          <a:avLst/>
        </a:prstGeom>
        <a:solidFill>
          <a:srgbClr val="8EA9DB"/>
        </a:solidFill>
        <a:ln>
          <a:noFill/>
        </a:ln>
      </xdr:spPr>
      <xdr:txBody>
        <a:bodyPr/>
        <a:lstStyle/>
        <a:p>
          <a:endParaRPr lang="de-DE"/>
        </a:p>
      </xdr:txBody>
    </xdr:sp>
    <xdr:clientData/>
  </xdr:absoluteAnchor>
  <xdr:absoluteAnchor>
    <xdr:pos x="12506325" y="3441700"/>
    <xdr:ext cx="19050" cy="2847974"/>
    <xdr:sp macro="">
      <xdr:nvSpPr>
        <xdr:cNvPr id="94" name="Verbinder 94"/>
        <xdr:cNvSpPr/>
      </xdr:nvSpPr>
      <xdr:spPr>
        <a:xfrm>
          <a:off x="12506325" y="3441700"/>
          <a:ext cx="19050" cy="2847974"/>
        </a:xfrm>
        <a:prstGeom prst="rect">
          <a:avLst/>
        </a:prstGeom>
        <a:solidFill>
          <a:srgbClr val="8EA9DB"/>
        </a:solidFill>
        <a:ln>
          <a:noFill/>
        </a:ln>
      </xdr:spPr>
      <xdr:txBody>
        <a:bodyPr/>
        <a:lstStyle/>
        <a:p>
          <a:endParaRPr lang="de-DE"/>
        </a:p>
      </xdr:txBody>
    </xdr:sp>
    <xdr:clientData/>
  </xdr:absoluteAnchor>
  <xdr:absoluteAnchor>
    <xdr:pos x="12515850" y="3994150"/>
    <xdr:ext cx="114300" cy="19050"/>
    <xdr:sp macro="">
      <xdr:nvSpPr>
        <xdr:cNvPr id="95" name="Verbinder 95"/>
        <xdr:cNvSpPr/>
      </xdr:nvSpPr>
      <xdr:spPr>
        <a:xfrm>
          <a:off x="12515850" y="3994150"/>
          <a:ext cx="114300" cy="19050"/>
        </a:xfrm>
        <a:prstGeom prst="rect">
          <a:avLst/>
        </a:prstGeom>
        <a:solidFill>
          <a:srgbClr val="8EA9DB"/>
        </a:solidFill>
        <a:ln>
          <a:noFill/>
        </a:ln>
      </xdr:spPr>
      <xdr:txBody>
        <a:bodyPr/>
        <a:lstStyle/>
        <a:p>
          <a:endParaRPr lang="de-DE"/>
        </a:p>
      </xdr:txBody>
    </xdr:sp>
    <xdr:clientData/>
  </xdr:absoluteAnchor>
  <xdr:absoluteAnchor>
    <xdr:pos x="12515850" y="4756150"/>
    <xdr:ext cx="114300" cy="19050"/>
    <xdr:sp macro="">
      <xdr:nvSpPr>
        <xdr:cNvPr id="96" name="Verbinder 96"/>
        <xdr:cNvSpPr/>
      </xdr:nvSpPr>
      <xdr:spPr>
        <a:xfrm>
          <a:off x="12515850" y="4756150"/>
          <a:ext cx="114300" cy="19050"/>
        </a:xfrm>
        <a:prstGeom prst="rect">
          <a:avLst/>
        </a:prstGeom>
        <a:solidFill>
          <a:srgbClr val="8EA9DB"/>
        </a:solidFill>
        <a:ln>
          <a:noFill/>
        </a:ln>
      </xdr:spPr>
      <xdr:txBody>
        <a:bodyPr/>
        <a:lstStyle/>
        <a:p>
          <a:endParaRPr lang="de-DE"/>
        </a:p>
      </xdr:txBody>
    </xdr:sp>
    <xdr:clientData/>
  </xdr:absoluteAnchor>
  <xdr:absoluteAnchor>
    <xdr:pos x="12515850" y="5518149"/>
    <xdr:ext cx="114300" cy="19050"/>
    <xdr:sp macro="">
      <xdr:nvSpPr>
        <xdr:cNvPr id="97" name="Verbinder 97"/>
        <xdr:cNvSpPr/>
      </xdr:nvSpPr>
      <xdr:spPr>
        <a:xfrm>
          <a:off x="12515850" y="5518149"/>
          <a:ext cx="114300" cy="19050"/>
        </a:xfrm>
        <a:prstGeom prst="rect">
          <a:avLst/>
        </a:prstGeom>
        <a:solidFill>
          <a:srgbClr val="8EA9DB"/>
        </a:solidFill>
        <a:ln>
          <a:noFill/>
        </a:ln>
      </xdr:spPr>
      <xdr:txBody>
        <a:bodyPr/>
        <a:lstStyle/>
        <a:p>
          <a:endParaRPr lang="de-DE"/>
        </a:p>
      </xdr:txBody>
    </xdr:sp>
    <xdr:clientData/>
  </xdr:absoluteAnchor>
  <xdr:absoluteAnchor>
    <xdr:pos x="12515850" y="6280149"/>
    <xdr:ext cx="114300" cy="19050"/>
    <xdr:sp macro="">
      <xdr:nvSpPr>
        <xdr:cNvPr id="98" name="Verbinder 98"/>
        <xdr:cNvSpPr/>
      </xdr:nvSpPr>
      <xdr:spPr>
        <a:xfrm>
          <a:off x="12515850" y="6280149"/>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N1388" headerRowCount="1" totalsRowCount="0" totalsRowShown="0">
  <tableColumns count="13">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 id="13" name="Umfa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1211</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158</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0.00816993464052288</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row r="20" customFormat="false" ht="15" hidden="false" customHeight="true" outlineLevel="0" collapsed="false">
      <c r="A20" s="18" t="s">
        <v>19</v>
      </c>
      <c r="B20" s="20" t="n">
        <f aca="false">COUNTIF(Anforderungen!$N$7:$N$2000,"im Umfang")</f>
        <v>62</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14"/>
    <col collapsed="false" customWidth="true" hidden="true" outlineLevel="0" max="15" min="15" style="1" width="6.71"/>
    <col collapsed="false" customWidth="true" hidden="false" outlineLevel="0" max="16" min="16" style="21" width="255.71"/>
  </cols>
  <sheetData>
    <row r="1" customFormat="false" ht="30" hidden="false" customHeight="true" outlineLevel="0" collapsed="false">
      <c r="A1" s="22" t="s">
        <v>20</v>
      </c>
      <c r="B1" s="22"/>
      <c r="C1" s="22"/>
      <c r="D1" s="22"/>
      <c r="E1" s="22"/>
      <c r="F1" s="22"/>
      <c r="G1" s="22"/>
      <c r="H1" s="22"/>
      <c r="I1" s="23"/>
      <c r="J1" s="22"/>
      <c r="K1" s="22"/>
      <c r="L1" s="22"/>
      <c r="M1" s="22"/>
    </row>
    <row r="2" customFormat="false" ht="15" hidden="false" customHeight="true" outlineLevel="0" collapsed="false">
      <c r="A2" s="24" t="s">
        <v>21</v>
      </c>
      <c r="C2" s="25"/>
      <c r="D2" s="25"/>
      <c r="E2" s="25"/>
      <c r="F2" s="25"/>
      <c r="G2" s="25"/>
      <c r="H2" s="25"/>
      <c r="I2" s="25"/>
      <c r="J2" s="25"/>
      <c r="K2" s="25"/>
      <c r="L2" s="25"/>
      <c r="M2" s="25"/>
    </row>
    <row r="3" customFormat="false" ht="15" hidden="false" customHeight="true" outlineLevel="0" collapsed="false">
      <c r="A3" s="24" t="s">
        <v>22</v>
      </c>
      <c r="C3" s="25"/>
      <c r="D3" s="25"/>
      <c r="E3" s="25"/>
      <c r="F3" s="25"/>
      <c r="G3" s="25"/>
      <c r="H3" s="25"/>
      <c r="I3" s="25"/>
      <c r="J3" s="25"/>
      <c r="K3" s="25"/>
      <c r="L3" s="25"/>
      <c r="M3" s="25"/>
    </row>
    <row r="5" customFormat="false" ht="15" hidden="false" customHeight="true" outlineLevel="0" collapsed="false">
      <c r="B5" s="26" t="s">
        <v>23</v>
      </c>
      <c r="C5" s="26"/>
      <c r="D5" s="26"/>
      <c r="E5" s="26"/>
      <c r="F5" s="26"/>
      <c r="G5" s="26"/>
      <c r="H5" s="26"/>
      <c r="I5" s="26"/>
      <c r="J5" s="26"/>
      <c r="K5" s="27" t="s">
        <v>24</v>
      </c>
      <c r="L5" s="27"/>
      <c r="M5" s="27"/>
    </row>
    <row r="6" customFormat="false" ht="31.5" hidden="false" customHeight="true" outlineLevel="0" collapsed="false">
      <c r="B6" s="28" t="s">
        <v>25</v>
      </c>
      <c r="C6" s="28" t="s">
        <v>26</v>
      </c>
      <c r="D6" s="28" t="s">
        <v>27</v>
      </c>
      <c r="E6" s="28" t="s">
        <v>28</v>
      </c>
      <c r="F6" s="28" t="s">
        <v>29</v>
      </c>
      <c r="G6" s="28" t="s">
        <v>30</v>
      </c>
      <c r="H6" s="28" t="s">
        <v>31</v>
      </c>
      <c r="I6" s="28" t="s">
        <v>32</v>
      </c>
      <c r="J6" s="28" t="s">
        <v>33</v>
      </c>
      <c r="K6" s="28" t="s">
        <v>34</v>
      </c>
      <c r="L6" s="28" t="s">
        <v>35</v>
      </c>
      <c r="M6" s="28" t="s">
        <v>36</v>
      </c>
      <c r="N6" s="28" t="s">
        <v>37</v>
      </c>
      <c r="O6" s="29" t="s">
        <v>38</v>
      </c>
    </row>
    <row r="7" customFormat="false" ht="51" hidden="false" customHeight="true" outlineLevel="0" collapsed="false">
      <c r="B7" s="30" t="s">
        <v>39</v>
      </c>
      <c r="C7" s="30" t="s">
        <v>40</v>
      </c>
      <c r="D7" s="30" t="s">
        <v>41</v>
      </c>
      <c r="E7" s="30" t="s">
        <v>42</v>
      </c>
      <c r="F7" s="30" t="s">
        <v>43</v>
      </c>
      <c r="G7" s="30" t="s">
        <v>44</v>
      </c>
      <c r="H7" s="30"/>
      <c r="I7" s="30" t="s">
        <v>45</v>
      </c>
      <c r="J7" s="30" t="s">
        <v>46</v>
      </c>
      <c r="K7" s="31" t="s">
        <v>47</v>
      </c>
      <c r="L7" s="32"/>
      <c r="M7" s="33"/>
      <c r="N7" s="30" t="s">
        <v>48</v>
      </c>
      <c r="O7" s="1" t="n">
        <f aca="false">IF($B7="",0,IF(AND(OR(Filter!$B$5="(alle)",$N7=Filter!$B$5),OR(Filter!$E$5="(alle)",$K7=Filter!$E$5),OR(Filter!$H$5="(alle)",$C7=Filter!$H$5),OR(Filter!$B$7="(alle)",$E7=Filter!$B$7),OR(Filter!$E$7="(alle)",ISNUMBER(SEARCH(Filter!$E$7,$J7))),OR(Filter!$H$7="(alle)",ISNUMBER(SEARCH(Filter!$H$7,$I7))),OR(Filter!$B$9="",ISNUMBER(SEARCH(Filter!$B$9,$F7&amp;" "&amp;$G7)))),COUNTIF($O$6:$O6,"&gt;0")+1,0))</f>
        <v>1</v>
      </c>
    </row>
    <row r="8" customFormat="false" ht="38.25" hidden="false" customHeight="true" outlineLevel="0" collapsed="false">
      <c r="B8" s="30" t="s">
        <v>49</v>
      </c>
      <c r="C8" s="30" t="s">
        <v>40</v>
      </c>
      <c r="D8" s="30" t="s">
        <v>50</v>
      </c>
      <c r="E8" s="30" t="s">
        <v>42</v>
      </c>
      <c r="F8" s="30" t="s">
        <v>51</v>
      </c>
      <c r="G8" s="30" t="s">
        <v>52</v>
      </c>
      <c r="H8" s="30"/>
      <c r="I8" s="30" t="s">
        <v>45</v>
      </c>
      <c r="J8" s="30" t="s">
        <v>46</v>
      </c>
      <c r="K8" s="31" t="s">
        <v>47</v>
      </c>
      <c r="L8" s="32"/>
      <c r="M8" s="30"/>
      <c r="N8" s="30" t="s">
        <v>48</v>
      </c>
      <c r="O8" s="1" t="n">
        <f aca="false">IF($B8="",0,IF(AND(OR(Filter!$B$5="(alle)",$N8=Filter!$B$5),OR(Filter!$E$5="(alle)",$K8=Filter!$E$5),OR(Filter!$H$5="(alle)",$C8=Filter!$H$5),OR(Filter!$B$7="(alle)",$E8=Filter!$B$7),OR(Filter!$E$7="(alle)",ISNUMBER(SEARCH(Filter!$E$7,$J8))),OR(Filter!$H$7="(alle)",ISNUMBER(SEARCH(Filter!$H$7,$I8))),OR(Filter!$B$9="",ISNUMBER(SEARCH(Filter!$B$9,$F8&amp;" "&amp;$G8)))),COUNTIF($O$6:$O7,"&gt;0")+1,0))</f>
        <v>2</v>
      </c>
    </row>
    <row r="9" customFormat="false" ht="25.5" hidden="false" customHeight="true" outlineLevel="0" collapsed="false">
      <c r="B9" s="30" t="s">
        <v>53</v>
      </c>
      <c r="C9" s="30" t="s">
        <v>40</v>
      </c>
      <c r="D9" s="30" t="s">
        <v>54</v>
      </c>
      <c r="E9" s="30" t="s">
        <v>42</v>
      </c>
      <c r="F9" s="30" t="s">
        <v>51</v>
      </c>
      <c r="G9" s="30" t="s">
        <v>55</v>
      </c>
      <c r="H9" s="30"/>
      <c r="I9" s="30" t="s">
        <v>45</v>
      </c>
      <c r="J9" s="30" t="s">
        <v>56</v>
      </c>
      <c r="K9" s="31" t="s">
        <v>47</v>
      </c>
      <c r="L9" s="32"/>
      <c r="M9" s="30"/>
      <c r="N9" s="30" t="s">
        <v>48</v>
      </c>
      <c r="O9" s="1" t="n">
        <f aca="false">IF($B9="",0,IF(AND(OR(Filter!$B$5="(alle)",$N9=Filter!$B$5),OR(Filter!$E$5="(alle)",$K9=Filter!$E$5),OR(Filter!$H$5="(alle)",$C9=Filter!$H$5),OR(Filter!$B$7="(alle)",$E9=Filter!$B$7),OR(Filter!$E$7="(alle)",ISNUMBER(SEARCH(Filter!$E$7,$J9))),OR(Filter!$H$7="(alle)",ISNUMBER(SEARCH(Filter!$H$7,$I9))),OR(Filter!$B$9="",ISNUMBER(SEARCH(Filter!$B$9,$F9&amp;" "&amp;$G9)))),COUNTIF($O$6:$O8,"&gt;0")+1,0))</f>
        <v>3</v>
      </c>
    </row>
    <row r="10" customFormat="false" ht="63.75" hidden="false" customHeight="true" outlineLevel="0" collapsed="false">
      <c r="B10" s="30" t="s">
        <v>57</v>
      </c>
      <c r="C10" s="30" t="s">
        <v>40</v>
      </c>
      <c r="D10" s="30" t="s">
        <v>58</v>
      </c>
      <c r="E10" s="30" t="s">
        <v>42</v>
      </c>
      <c r="F10" s="30" t="s">
        <v>59</v>
      </c>
      <c r="G10" s="30" t="s">
        <v>60</v>
      </c>
      <c r="H10" s="30"/>
      <c r="I10" s="30" t="s">
        <v>45</v>
      </c>
      <c r="J10" s="30" t="s">
        <v>46</v>
      </c>
      <c r="K10" s="31" t="s">
        <v>47</v>
      </c>
      <c r="L10" s="32"/>
      <c r="M10" s="30"/>
      <c r="N10" s="30" t="s">
        <v>48</v>
      </c>
      <c r="O10" s="1" t="n">
        <f aca="false">IF($B10="",0,IF(AND(OR(Filter!$B$5="(alle)",$N10=Filter!$B$5),OR(Filter!$E$5="(alle)",$K10=Filter!$E$5),OR(Filter!$H$5="(alle)",$C10=Filter!$H$5),OR(Filter!$B$7="(alle)",$E10=Filter!$B$7),OR(Filter!$E$7="(alle)",ISNUMBER(SEARCH(Filter!$E$7,$J10))),OR(Filter!$H$7="(alle)",ISNUMBER(SEARCH(Filter!$H$7,$I10))),OR(Filter!$B$9="",ISNUMBER(SEARCH(Filter!$B$9,$F10&amp;" "&amp;$G10)))),COUNTIF($O$6:$O9,"&gt;0")+1,0))</f>
        <v>4</v>
      </c>
    </row>
    <row r="11" customFormat="false" ht="76.5" hidden="false" customHeight="true" outlineLevel="0" collapsed="false">
      <c r="B11" s="30" t="s">
        <v>61</v>
      </c>
      <c r="C11" s="30" t="s">
        <v>40</v>
      </c>
      <c r="D11" s="30" t="s">
        <v>62</v>
      </c>
      <c r="E11" s="30" t="s">
        <v>42</v>
      </c>
      <c r="F11" s="30" t="s">
        <v>63</v>
      </c>
      <c r="G11" s="30" t="s">
        <v>64</v>
      </c>
      <c r="H11" s="30"/>
      <c r="I11" s="30" t="s">
        <v>45</v>
      </c>
      <c r="J11" s="30" t="s">
        <v>46</v>
      </c>
      <c r="K11" s="31" t="s">
        <v>47</v>
      </c>
      <c r="L11" s="32"/>
      <c r="M11" s="30"/>
      <c r="N11" s="30" t="s">
        <v>65</v>
      </c>
      <c r="O11" s="1" t="n">
        <f aca="false">IF($B11="",0,IF(AND(OR(Filter!$B$5="(alle)",$N11=Filter!$B$5),OR(Filter!$E$5="(alle)",$K11=Filter!$E$5),OR(Filter!$H$5="(alle)",$C11=Filter!$H$5),OR(Filter!$B$7="(alle)",$E11=Filter!$B$7),OR(Filter!$E$7="(alle)",ISNUMBER(SEARCH(Filter!$E$7,$J11))),OR(Filter!$H$7="(alle)",ISNUMBER(SEARCH(Filter!$H$7,$I11))),OR(Filter!$B$9="",ISNUMBER(SEARCH(Filter!$B$9,$F11&amp;" "&amp;$G11)))),COUNTIF($O$6:$O10,"&gt;0")+1,0))</f>
        <v>5</v>
      </c>
    </row>
    <row r="12" customFormat="false" ht="63.75" hidden="false" customHeight="true" outlineLevel="0" collapsed="false">
      <c r="B12" s="30" t="s">
        <v>66</v>
      </c>
      <c r="C12" s="30" t="s">
        <v>40</v>
      </c>
      <c r="D12" s="30" t="s">
        <v>67</v>
      </c>
      <c r="E12" s="30" t="s">
        <v>42</v>
      </c>
      <c r="F12" s="30" t="s">
        <v>68</v>
      </c>
      <c r="G12" s="30" t="s">
        <v>69</v>
      </c>
      <c r="H12" s="30"/>
      <c r="I12" s="30" t="s">
        <v>45</v>
      </c>
      <c r="J12" s="30" t="s">
        <v>70</v>
      </c>
      <c r="K12" s="31" t="s">
        <v>47</v>
      </c>
      <c r="L12" s="32"/>
      <c r="M12" s="30"/>
      <c r="N12" s="30" t="s">
        <v>48</v>
      </c>
      <c r="O12" s="1" t="n">
        <f aca="false">IF($B12="",0,IF(AND(OR(Filter!$B$5="(alle)",$N12=Filter!$B$5),OR(Filter!$E$5="(alle)",$K12=Filter!$E$5),OR(Filter!$H$5="(alle)",$C12=Filter!$H$5),OR(Filter!$B$7="(alle)",$E12=Filter!$B$7),OR(Filter!$E$7="(alle)",ISNUMBER(SEARCH(Filter!$E$7,$J12))),OR(Filter!$H$7="(alle)",ISNUMBER(SEARCH(Filter!$H$7,$I12))),OR(Filter!$B$9="",ISNUMBER(SEARCH(Filter!$B$9,$F12&amp;" "&amp;$G12)))),COUNTIF($O$6:$O11,"&gt;0")+1,0))</f>
        <v>6</v>
      </c>
    </row>
    <row r="13" customFormat="false" ht="25.5" hidden="false" customHeight="true" outlineLevel="0" collapsed="false">
      <c r="B13" s="30" t="s">
        <v>71</v>
      </c>
      <c r="C13" s="30" t="s">
        <v>40</v>
      </c>
      <c r="D13" s="30" t="s">
        <v>72</v>
      </c>
      <c r="E13" s="30" t="s">
        <v>42</v>
      </c>
      <c r="F13" s="30" t="s">
        <v>73</v>
      </c>
      <c r="G13" s="30" t="s">
        <v>74</v>
      </c>
      <c r="H13" s="30"/>
      <c r="I13" s="30" t="s">
        <v>45</v>
      </c>
      <c r="J13" s="30" t="s">
        <v>46</v>
      </c>
      <c r="K13" s="31" t="s">
        <v>47</v>
      </c>
      <c r="L13" s="32"/>
      <c r="M13" s="30"/>
      <c r="N13" s="30" t="s">
        <v>48</v>
      </c>
      <c r="O13" s="1" t="n">
        <f aca="false">IF($B13="",0,IF(AND(OR(Filter!$B$5="(alle)",$N13=Filter!$B$5),OR(Filter!$E$5="(alle)",$K13=Filter!$E$5),OR(Filter!$H$5="(alle)",$C13=Filter!$H$5),OR(Filter!$B$7="(alle)",$E13=Filter!$B$7),OR(Filter!$E$7="(alle)",ISNUMBER(SEARCH(Filter!$E$7,$J13))),OR(Filter!$H$7="(alle)",ISNUMBER(SEARCH(Filter!$H$7,$I13))),OR(Filter!$B$9="",ISNUMBER(SEARCH(Filter!$B$9,$F13&amp;" "&amp;$G13)))),COUNTIF($O$6:$O12,"&gt;0")+1,0))</f>
        <v>7</v>
      </c>
    </row>
    <row r="14" customFormat="false" ht="25.5" hidden="false" customHeight="true" outlineLevel="0" collapsed="false">
      <c r="B14" s="30" t="s">
        <v>75</v>
      </c>
      <c r="C14" s="30" t="s">
        <v>40</v>
      </c>
      <c r="D14" s="30" t="s">
        <v>76</v>
      </c>
      <c r="E14" s="30" t="s">
        <v>42</v>
      </c>
      <c r="F14" s="30" t="s">
        <v>77</v>
      </c>
      <c r="G14" s="30" t="s">
        <v>78</v>
      </c>
      <c r="H14" s="30"/>
      <c r="I14" s="30" t="s">
        <v>45</v>
      </c>
      <c r="J14" s="30" t="s">
        <v>46</v>
      </c>
      <c r="K14" s="31" t="s">
        <v>47</v>
      </c>
      <c r="L14" s="32"/>
      <c r="M14" s="30"/>
      <c r="N14" s="30" t="s">
        <v>48</v>
      </c>
      <c r="O14" s="1" t="n">
        <f aca="false">IF($B14="",0,IF(AND(OR(Filter!$B$5="(alle)",$N14=Filter!$B$5),OR(Filter!$E$5="(alle)",$K14=Filter!$E$5),OR(Filter!$H$5="(alle)",$C14=Filter!$H$5),OR(Filter!$B$7="(alle)",$E14=Filter!$B$7),OR(Filter!$E$7="(alle)",ISNUMBER(SEARCH(Filter!$E$7,$J14))),OR(Filter!$H$7="(alle)",ISNUMBER(SEARCH(Filter!$H$7,$I14))),OR(Filter!$B$9="",ISNUMBER(SEARCH(Filter!$B$9,$F14&amp;" "&amp;$G14)))),COUNTIF($O$6:$O13,"&gt;0")+1,0))</f>
        <v>8</v>
      </c>
    </row>
    <row r="15" customFormat="false" ht="38.25" hidden="false" customHeight="true" outlineLevel="0" collapsed="false">
      <c r="B15" s="30" t="s">
        <v>79</v>
      </c>
      <c r="C15" s="30" t="s">
        <v>40</v>
      </c>
      <c r="D15" s="30" t="s">
        <v>80</v>
      </c>
      <c r="E15" s="30" t="s">
        <v>81</v>
      </c>
      <c r="F15" s="30" t="s">
        <v>82</v>
      </c>
      <c r="G15" s="30" t="s">
        <v>83</v>
      </c>
      <c r="H15" s="30" t="s">
        <v>84</v>
      </c>
      <c r="I15" s="30" t="s">
        <v>85</v>
      </c>
      <c r="J15" s="30" t="s">
        <v>86</v>
      </c>
      <c r="K15" s="31" t="s">
        <v>47</v>
      </c>
      <c r="L15" s="32"/>
      <c r="M15" s="30"/>
      <c r="N15" s="30" t="s">
        <v>65</v>
      </c>
      <c r="O15" s="1" t="n">
        <f aca="false">IF($B15="",0,IF(AND(OR(Filter!$B$5="(alle)",$N15=Filter!$B$5),OR(Filter!$E$5="(alle)",$K15=Filter!$E$5),OR(Filter!$H$5="(alle)",$C15=Filter!$H$5),OR(Filter!$B$7="(alle)",$E15=Filter!$B$7),OR(Filter!$E$7="(alle)",ISNUMBER(SEARCH(Filter!$E$7,$J15))),OR(Filter!$H$7="(alle)",ISNUMBER(SEARCH(Filter!$H$7,$I15))),OR(Filter!$B$9="",ISNUMBER(SEARCH(Filter!$B$9,$F15&amp;" "&amp;$G15)))),COUNTIF($O$6:$O14,"&gt;0")+1,0))</f>
        <v>9</v>
      </c>
    </row>
    <row r="16" customFormat="false" ht="76.5" hidden="false" customHeight="true" outlineLevel="0" collapsed="false">
      <c r="B16" s="30" t="s">
        <v>87</v>
      </c>
      <c r="C16" s="30" t="s">
        <v>40</v>
      </c>
      <c r="D16" s="30" t="s">
        <v>88</v>
      </c>
      <c r="E16" s="30" t="s">
        <v>42</v>
      </c>
      <c r="F16" s="30" t="s">
        <v>89</v>
      </c>
      <c r="G16" s="30" t="s">
        <v>90</v>
      </c>
      <c r="H16" s="30" t="s">
        <v>91</v>
      </c>
      <c r="I16" s="30" t="s">
        <v>45</v>
      </c>
      <c r="J16" s="30" t="s">
        <v>46</v>
      </c>
      <c r="K16" s="31" t="s">
        <v>47</v>
      </c>
      <c r="L16" s="32"/>
      <c r="M16" s="30"/>
      <c r="N16" s="30" t="s">
        <v>65</v>
      </c>
      <c r="O16" s="1" t="n">
        <f aca="false">IF($B16="",0,IF(AND(OR(Filter!$B$5="(alle)",$N16=Filter!$B$5),OR(Filter!$E$5="(alle)",$K16=Filter!$E$5),OR(Filter!$H$5="(alle)",$C16=Filter!$H$5),OR(Filter!$B$7="(alle)",$E16=Filter!$B$7),OR(Filter!$E$7="(alle)",ISNUMBER(SEARCH(Filter!$E$7,$J16))),OR(Filter!$H$7="(alle)",ISNUMBER(SEARCH(Filter!$H$7,$I16))),OR(Filter!$B$9="",ISNUMBER(SEARCH(Filter!$B$9,$F16&amp;" "&amp;$G16)))),COUNTIF($O$6:$O15,"&gt;0")+1,0))</f>
        <v>10</v>
      </c>
    </row>
    <row r="17" customFormat="false" ht="38.25" hidden="false" customHeight="true" outlineLevel="0" collapsed="false">
      <c r="B17" s="30" t="s">
        <v>92</v>
      </c>
      <c r="C17" s="30" t="s">
        <v>40</v>
      </c>
      <c r="D17" s="30" t="s">
        <v>93</v>
      </c>
      <c r="E17" s="30" t="s">
        <v>94</v>
      </c>
      <c r="F17" s="30" t="s">
        <v>95</v>
      </c>
      <c r="G17" s="30" t="s">
        <v>96</v>
      </c>
      <c r="H17" s="30" t="s">
        <v>97</v>
      </c>
      <c r="I17" s="30" t="s">
        <v>98</v>
      </c>
      <c r="J17" s="30" t="s">
        <v>99</v>
      </c>
      <c r="K17" s="31" t="s">
        <v>47</v>
      </c>
      <c r="L17" s="32"/>
      <c r="M17" s="30"/>
      <c r="N17" s="30" t="s">
        <v>65</v>
      </c>
      <c r="O17" s="1" t="n">
        <f aca="false">IF($B17="",0,IF(AND(OR(Filter!$B$5="(alle)",$N17=Filter!$B$5),OR(Filter!$E$5="(alle)",$K17=Filter!$E$5),OR(Filter!$H$5="(alle)",$C17=Filter!$H$5),OR(Filter!$B$7="(alle)",$E17=Filter!$B$7),OR(Filter!$E$7="(alle)",ISNUMBER(SEARCH(Filter!$E$7,$J17))),OR(Filter!$H$7="(alle)",ISNUMBER(SEARCH(Filter!$H$7,$I17))),OR(Filter!$B$9="",ISNUMBER(SEARCH(Filter!$B$9,$F17&amp;" "&amp;$G17)))),COUNTIF($O$6:$O16,"&gt;0")+1,0))</f>
        <v>11</v>
      </c>
    </row>
    <row r="18" customFormat="false" ht="51" hidden="false" customHeight="true" outlineLevel="0" collapsed="false">
      <c r="B18" s="30" t="s">
        <v>100</v>
      </c>
      <c r="C18" s="30" t="s">
        <v>40</v>
      </c>
      <c r="D18" s="30" t="s">
        <v>101</v>
      </c>
      <c r="E18" s="30" t="s">
        <v>102</v>
      </c>
      <c r="F18" s="30" t="s">
        <v>103</v>
      </c>
      <c r="G18" s="30" t="s">
        <v>104</v>
      </c>
      <c r="H18" s="30" t="s">
        <v>105</v>
      </c>
      <c r="I18" s="30" t="s">
        <v>45</v>
      </c>
      <c r="J18" s="30" t="s">
        <v>46</v>
      </c>
      <c r="K18" s="31" t="s">
        <v>47</v>
      </c>
      <c r="L18" s="32"/>
      <c r="M18" s="30"/>
      <c r="N18" s="30" t="s">
        <v>48</v>
      </c>
      <c r="O18" s="1" t="n">
        <f aca="false">IF($B18="",0,IF(AND(OR(Filter!$B$5="(alle)",$N18=Filter!$B$5),OR(Filter!$E$5="(alle)",$K18=Filter!$E$5),OR(Filter!$H$5="(alle)",$C18=Filter!$H$5),OR(Filter!$B$7="(alle)",$E18=Filter!$B$7),OR(Filter!$E$7="(alle)",ISNUMBER(SEARCH(Filter!$E$7,$J18))),OR(Filter!$H$7="(alle)",ISNUMBER(SEARCH(Filter!$H$7,$I18))),OR(Filter!$B$9="",ISNUMBER(SEARCH(Filter!$B$9,$F18&amp;" "&amp;$G18)))),COUNTIF($O$6:$O17,"&gt;0")+1,0))</f>
        <v>12</v>
      </c>
    </row>
    <row r="19" customFormat="false" ht="15" hidden="false" customHeight="true" outlineLevel="0" collapsed="false">
      <c r="B19" s="30" t="s">
        <v>106</v>
      </c>
      <c r="C19" s="30" t="s">
        <v>40</v>
      </c>
      <c r="D19" s="30" t="s">
        <v>107</v>
      </c>
      <c r="E19" s="30" t="s">
        <v>102</v>
      </c>
      <c r="F19" s="30" t="s">
        <v>108</v>
      </c>
      <c r="G19" s="30" t="s">
        <v>109</v>
      </c>
      <c r="H19" s="30" t="s">
        <v>105</v>
      </c>
      <c r="I19" s="30" t="s">
        <v>45</v>
      </c>
      <c r="J19" s="30" t="s">
        <v>46</v>
      </c>
      <c r="K19" s="31" t="s">
        <v>47</v>
      </c>
      <c r="L19" s="32"/>
      <c r="M19" s="30"/>
      <c r="N19" s="30" t="s">
        <v>48</v>
      </c>
      <c r="O19" s="1" t="n">
        <f aca="false">IF($B19="",0,IF(AND(OR(Filter!$B$5="(alle)",$N19=Filter!$B$5),OR(Filter!$E$5="(alle)",$K19=Filter!$E$5),OR(Filter!$H$5="(alle)",$C19=Filter!$H$5),OR(Filter!$B$7="(alle)",$E19=Filter!$B$7),OR(Filter!$E$7="(alle)",ISNUMBER(SEARCH(Filter!$E$7,$J19))),OR(Filter!$H$7="(alle)",ISNUMBER(SEARCH(Filter!$H$7,$I19))),OR(Filter!$B$9="",ISNUMBER(SEARCH(Filter!$B$9,$F19&amp;" "&amp;$G19)))),COUNTIF($O$6:$O18,"&gt;0")+1,0))</f>
        <v>13</v>
      </c>
    </row>
    <row r="20" customFormat="false" ht="25.5" hidden="false" customHeight="true" outlineLevel="0" collapsed="false">
      <c r="B20" s="30" t="s">
        <v>110</v>
      </c>
      <c r="C20" s="30" t="s">
        <v>40</v>
      </c>
      <c r="D20" s="30" t="s">
        <v>111</v>
      </c>
      <c r="E20" s="30" t="s">
        <v>102</v>
      </c>
      <c r="F20" s="30" t="s">
        <v>112</v>
      </c>
      <c r="G20" s="30" t="s">
        <v>113</v>
      </c>
      <c r="H20" s="30" t="s">
        <v>105</v>
      </c>
      <c r="I20" s="30" t="s">
        <v>45</v>
      </c>
      <c r="J20" s="30" t="s">
        <v>46</v>
      </c>
      <c r="K20" s="31" t="s">
        <v>47</v>
      </c>
      <c r="L20" s="32"/>
      <c r="M20" s="30"/>
      <c r="N20" s="30" t="s">
        <v>48</v>
      </c>
      <c r="O20" s="1" t="n">
        <f aca="false">IF($B20="",0,IF(AND(OR(Filter!$B$5="(alle)",$N20=Filter!$B$5),OR(Filter!$E$5="(alle)",$K20=Filter!$E$5),OR(Filter!$H$5="(alle)",$C20=Filter!$H$5),OR(Filter!$B$7="(alle)",$E20=Filter!$B$7),OR(Filter!$E$7="(alle)",ISNUMBER(SEARCH(Filter!$E$7,$J20))),OR(Filter!$H$7="(alle)",ISNUMBER(SEARCH(Filter!$H$7,$I20))),OR(Filter!$B$9="",ISNUMBER(SEARCH(Filter!$B$9,$F20&amp;" "&amp;$G20)))),COUNTIF($O$6:$O19,"&gt;0")+1,0))</f>
        <v>14</v>
      </c>
    </row>
    <row r="21" customFormat="false" ht="76.5" hidden="false" customHeight="true" outlineLevel="0" collapsed="false">
      <c r="B21" s="30" t="s">
        <v>114</v>
      </c>
      <c r="C21" s="30" t="s">
        <v>40</v>
      </c>
      <c r="D21" s="30" t="s">
        <v>115</v>
      </c>
      <c r="E21" s="30" t="s">
        <v>102</v>
      </c>
      <c r="F21" s="30" t="s">
        <v>116</v>
      </c>
      <c r="G21" s="30" t="s">
        <v>117</v>
      </c>
      <c r="H21" s="30" t="s">
        <v>118</v>
      </c>
      <c r="I21" s="30" t="s">
        <v>45</v>
      </c>
      <c r="J21" s="30" t="s">
        <v>46</v>
      </c>
      <c r="K21" s="31" t="s">
        <v>47</v>
      </c>
      <c r="L21" s="32"/>
      <c r="M21" s="30"/>
      <c r="N21" s="30" t="s">
        <v>48</v>
      </c>
      <c r="O21" s="1" t="n">
        <f aca="false">IF($B21="",0,IF(AND(OR(Filter!$B$5="(alle)",$N21=Filter!$B$5),OR(Filter!$E$5="(alle)",$K21=Filter!$E$5),OR(Filter!$H$5="(alle)",$C21=Filter!$H$5),OR(Filter!$B$7="(alle)",$E21=Filter!$B$7),OR(Filter!$E$7="(alle)",ISNUMBER(SEARCH(Filter!$E$7,$J21))),OR(Filter!$H$7="(alle)",ISNUMBER(SEARCH(Filter!$H$7,$I21))),OR(Filter!$B$9="",ISNUMBER(SEARCH(Filter!$B$9,$F21&amp;" "&amp;$G21)))),COUNTIF($O$6:$O20,"&gt;0")+1,0))</f>
        <v>15</v>
      </c>
    </row>
    <row r="22" customFormat="false" ht="38.25" hidden="false" customHeight="true" outlineLevel="0" collapsed="false">
      <c r="B22" s="30" t="s">
        <v>119</v>
      </c>
      <c r="C22" s="30" t="s">
        <v>40</v>
      </c>
      <c r="D22" s="30" t="s">
        <v>120</v>
      </c>
      <c r="E22" s="30" t="s">
        <v>102</v>
      </c>
      <c r="F22" s="30" t="s">
        <v>121</v>
      </c>
      <c r="G22" s="30" t="s">
        <v>122</v>
      </c>
      <c r="H22" s="30"/>
      <c r="I22" s="30" t="s">
        <v>45</v>
      </c>
      <c r="J22" s="30" t="s">
        <v>46</v>
      </c>
      <c r="K22" s="31" t="s">
        <v>47</v>
      </c>
      <c r="L22" s="32"/>
      <c r="M22" s="30"/>
      <c r="N22" s="30" t="s">
        <v>48</v>
      </c>
      <c r="O22" s="1" t="n">
        <f aca="false">IF($B22="",0,IF(AND(OR(Filter!$B$5="(alle)",$N22=Filter!$B$5),OR(Filter!$E$5="(alle)",$K22=Filter!$E$5),OR(Filter!$H$5="(alle)",$C22=Filter!$H$5),OR(Filter!$B$7="(alle)",$E22=Filter!$B$7),OR(Filter!$E$7="(alle)",ISNUMBER(SEARCH(Filter!$E$7,$J22))),OR(Filter!$H$7="(alle)",ISNUMBER(SEARCH(Filter!$H$7,$I22))),OR(Filter!$B$9="",ISNUMBER(SEARCH(Filter!$B$9,$F22&amp;" "&amp;$G22)))),COUNTIF($O$6:$O21,"&gt;0")+1,0))</f>
        <v>16</v>
      </c>
    </row>
    <row r="23" customFormat="false" ht="51" hidden="false" customHeight="true" outlineLevel="0" collapsed="false">
      <c r="B23" s="30" t="s">
        <v>123</v>
      </c>
      <c r="C23" s="30" t="s">
        <v>40</v>
      </c>
      <c r="D23" s="30" t="s">
        <v>124</v>
      </c>
      <c r="E23" s="30" t="s">
        <v>102</v>
      </c>
      <c r="F23" s="30" t="s">
        <v>125</v>
      </c>
      <c r="G23" s="30" t="s">
        <v>126</v>
      </c>
      <c r="H23" s="30"/>
      <c r="I23" s="30" t="s">
        <v>98</v>
      </c>
      <c r="J23" s="30" t="s">
        <v>127</v>
      </c>
      <c r="K23" s="31" t="s">
        <v>47</v>
      </c>
      <c r="L23" s="32"/>
      <c r="M23" s="30"/>
      <c r="N23" s="30" t="s">
        <v>48</v>
      </c>
      <c r="O23" s="1" t="n">
        <f aca="false">IF($B23="",0,IF(AND(OR(Filter!$B$5="(alle)",$N23=Filter!$B$5),OR(Filter!$E$5="(alle)",$K23=Filter!$E$5),OR(Filter!$H$5="(alle)",$C23=Filter!$H$5),OR(Filter!$B$7="(alle)",$E23=Filter!$B$7),OR(Filter!$E$7="(alle)",ISNUMBER(SEARCH(Filter!$E$7,$J23))),OR(Filter!$H$7="(alle)",ISNUMBER(SEARCH(Filter!$H$7,$I23))),OR(Filter!$B$9="",ISNUMBER(SEARCH(Filter!$B$9,$F23&amp;" "&amp;$G23)))),COUNTIF($O$6:$O22,"&gt;0")+1,0))</f>
        <v>17</v>
      </c>
    </row>
    <row r="24" customFormat="false" ht="89.25" hidden="false" customHeight="true" outlineLevel="0" collapsed="false">
      <c r="B24" s="30" t="s">
        <v>128</v>
      </c>
      <c r="C24" s="30" t="s">
        <v>40</v>
      </c>
      <c r="D24" s="30" t="s">
        <v>129</v>
      </c>
      <c r="E24" s="30" t="s">
        <v>102</v>
      </c>
      <c r="F24" s="30" t="s">
        <v>130</v>
      </c>
      <c r="G24" s="30" t="s">
        <v>131</v>
      </c>
      <c r="H24" s="30" t="s">
        <v>132</v>
      </c>
      <c r="I24" s="30" t="s">
        <v>45</v>
      </c>
      <c r="J24" s="30" t="s">
        <v>46</v>
      </c>
      <c r="K24" s="31" t="s">
        <v>47</v>
      </c>
      <c r="L24" s="32"/>
      <c r="M24" s="30"/>
      <c r="N24" s="30" t="s">
        <v>48</v>
      </c>
      <c r="O24" s="1" t="n">
        <f aca="false">IF($B24="",0,IF(AND(OR(Filter!$B$5="(alle)",$N24=Filter!$B$5),OR(Filter!$E$5="(alle)",$K24=Filter!$E$5),OR(Filter!$H$5="(alle)",$C24=Filter!$H$5),OR(Filter!$B$7="(alle)",$E24=Filter!$B$7),OR(Filter!$E$7="(alle)",ISNUMBER(SEARCH(Filter!$E$7,$J24))),OR(Filter!$H$7="(alle)",ISNUMBER(SEARCH(Filter!$H$7,$I24))),OR(Filter!$B$9="",ISNUMBER(SEARCH(Filter!$B$9,$F24&amp;" "&amp;$G24)))),COUNTIF($O$6:$O23,"&gt;0")+1,0))</f>
        <v>18</v>
      </c>
    </row>
    <row r="25" customFormat="false" ht="51" hidden="false" customHeight="true" outlineLevel="0" collapsed="false">
      <c r="B25" s="30" t="s">
        <v>133</v>
      </c>
      <c r="C25" s="30" t="s">
        <v>40</v>
      </c>
      <c r="D25" s="30" t="s">
        <v>134</v>
      </c>
      <c r="E25" s="30" t="s">
        <v>102</v>
      </c>
      <c r="F25" s="30" t="s">
        <v>135</v>
      </c>
      <c r="G25" s="30" t="s">
        <v>136</v>
      </c>
      <c r="H25" s="30"/>
      <c r="I25" s="30" t="s">
        <v>45</v>
      </c>
      <c r="J25" s="30" t="s">
        <v>70</v>
      </c>
      <c r="K25" s="31" t="s">
        <v>47</v>
      </c>
      <c r="L25" s="32"/>
      <c r="M25" s="30"/>
      <c r="N25" s="30" t="s">
        <v>48</v>
      </c>
      <c r="O25" s="1" t="n">
        <f aca="false">IF($B25="",0,IF(AND(OR(Filter!$B$5="(alle)",$N25=Filter!$B$5),OR(Filter!$E$5="(alle)",$K25=Filter!$E$5),OR(Filter!$H$5="(alle)",$C25=Filter!$H$5),OR(Filter!$B$7="(alle)",$E25=Filter!$B$7),OR(Filter!$E$7="(alle)",ISNUMBER(SEARCH(Filter!$E$7,$J25))),OR(Filter!$H$7="(alle)",ISNUMBER(SEARCH(Filter!$H$7,$I25))),OR(Filter!$B$9="",ISNUMBER(SEARCH(Filter!$B$9,$F25&amp;" "&amp;$G25)))),COUNTIF($O$6:$O24,"&gt;0")+1,0))</f>
        <v>19</v>
      </c>
    </row>
    <row r="26" customFormat="false" ht="89.25" hidden="false" customHeight="true" outlineLevel="0" collapsed="false">
      <c r="B26" s="30" t="s">
        <v>137</v>
      </c>
      <c r="C26" s="30" t="s">
        <v>40</v>
      </c>
      <c r="D26" s="30" t="s">
        <v>138</v>
      </c>
      <c r="E26" s="30" t="s">
        <v>102</v>
      </c>
      <c r="F26" s="30" t="s">
        <v>139</v>
      </c>
      <c r="G26" s="30" t="s">
        <v>140</v>
      </c>
      <c r="H26" s="30"/>
      <c r="I26" s="30" t="s">
        <v>45</v>
      </c>
      <c r="J26" s="30" t="s">
        <v>70</v>
      </c>
      <c r="K26" s="31" t="s">
        <v>47</v>
      </c>
      <c r="L26" s="32"/>
      <c r="M26" s="30"/>
      <c r="N26" s="30" t="s">
        <v>48</v>
      </c>
      <c r="O26" s="1" t="n">
        <f aca="false">IF($B26="",0,IF(AND(OR(Filter!$B$5="(alle)",$N26=Filter!$B$5),OR(Filter!$E$5="(alle)",$K26=Filter!$E$5),OR(Filter!$H$5="(alle)",$C26=Filter!$H$5),OR(Filter!$B$7="(alle)",$E26=Filter!$B$7),OR(Filter!$E$7="(alle)",ISNUMBER(SEARCH(Filter!$E$7,$J26))),OR(Filter!$H$7="(alle)",ISNUMBER(SEARCH(Filter!$H$7,$I26))),OR(Filter!$B$9="",ISNUMBER(SEARCH(Filter!$B$9,$F26&amp;" "&amp;$G26)))),COUNTIF($O$6:$O25,"&gt;0")+1,0))</f>
        <v>20</v>
      </c>
    </row>
    <row r="27" customFormat="false" ht="89.25" hidden="false" customHeight="true" outlineLevel="0" collapsed="false">
      <c r="B27" s="30" t="s">
        <v>141</v>
      </c>
      <c r="C27" s="30" t="s">
        <v>40</v>
      </c>
      <c r="D27" s="30" t="s">
        <v>142</v>
      </c>
      <c r="E27" s="30" t="s">
        <v>102</v>
      </c>
      <c r="F27" s="30" t="s">
        <v>143</v>
      </c>
      <c r="G27" s="30" t="s">
        <v>144</v>
      </c>
      <c r="H27" s="30"/>
      <c r="I27" s="30" t="s">
        <v>45</v>
      </c>
      <c r="J27" s="30" t="s">
        <v>70</v>
      </c>
      <c r="K27" s="31" t="s">
        <v>47</v>
      </c>
      <c r="L27" s="32"/>
      <c r="M27" s="30"/>
      <c r="N27" s="30" t="s">
        <v>48</v>
      </c>
      <c r="O27" s="1" t="n">
        <f aca="false">IF($B27="",0,IF(AND(OR(Filter!$B$5="(alle)",$N27=Filter!$B$5),OR(Filter!$E$5="(alle)",$K27=Filter!$E$5),OR(Filter!$H$5="(alle)",$C27=Filter!$H$5),OR(Filter!$B$7="(alle)",$E27=Filter!$B$7),OR(Filter!$E$7="(alle)",ISNUMBER(SEARCH(Filter!$E$7,$J27))),OR(Filter!$H$7="(alle)",ISNUMBER(SEARCH(Filter!$H$7,$I27))),OR(Filter!$B$9="",ISNUMBER(SEARCH(Filter!$B$9,$F27&amp;" "&amp;$G27)))),COUNTIF($O$6:$O26,"&gt;0")+1,0))</f>
        <v>21</v>
      </c>
    </row>
    <row r="28" customFormat="false" ht="63.75" hidden="false" customHeight="true" outlineLevel="0" collapsed="false">
      <c r="B28" s="30" t="s">
        <v>145</v>
      </c>
      <c r="C28" s="30" t="s">
        <v>40</v>
      </c>
      <c r="D28" s="30" t="s">
        <v>146</v>
      </c>
      <c r="E28" s="30" t="s">
        <v>102</v>
      </c>
      <c r="F28" s="30" t="s">
        <v>147</v>
      </c>
      <c r="G28" s="30" t="s">
        <v>148</v>
      </c>
      <c r="H28" s="30" t="s">
        <v>149</v>
      </c>
      <c r="I28" s="30" t="s">
        <v>45</v>
      </c>
      <c r="J28" s="30" t="s">
        <v>150</v>
      </c>
      <c r="K28" s="31" t="s">
        <v>151</v>
      </c>
      <c r="L28" s="32" t="n">
        <v>46259</v>
      </c>
      <c r="M28" s="30" t="s">
        <v>152</v>
      </c>
      <c r="N28" s="30" t="s">
        <v>48</v>
      </c>
      <c r="O28" s="1" t="n">
        <f aca="false">IF($B28="",0,IF(AND(OR(Filter!$B$5="(alle)",$N28=Filter!$B$5),OR(Filter!$E$5="(alle)",$K28=Filter!$E$5),OR(Filter!$H$5="(alle)",$C28=Filter!$H$5),OR(Filter!$B$7="(alle)",$E28=Filter!$B$7),OR(Filter!$E$7="(alle)",ISNUMBER(SEARCH(Filter!$E$7,$J28))),OR(Filter!$H$7="(alle)",ISNUMBER(SEARCH(Filter!$H$7,$I28))),OR(Filter!$B$9="",ISNUMBER(SEARCH(Filter!$B$9,$F28&amp;" "&amp;$G28)))),COUNTIF($O$6:$O27,"&gt;0")+1,0))</f>
        <v>22</v>
      </c>
    </row>
    <row r="29" customFormat="false" ht="63.75" hidden="false" customHeight="true" outlineLevel="0" collapsed="false">
      <c r="B29" s="30" t="s">
        <v>153</v>
      </c>
      <c r="C29" s="30" t="s">
        <v>40</v>
      </c>
      <c r="D29" s="30" t="s">
        <v>154</v>
      </c>
      <c r="E29" s="30" t="s">
        <v>155</v>
      </c>
      <c r="F29" s="30" t="s">
        <v>156</v>
      </c>
      <c r="G29" s="30" t="s">
        <v>157</v>
      </c>
      <c r="H29" s="30"/>
      <c r="I29" s="30" t="s">
        <v>158</v>
      </c>
      <c r="J29" s="30" t="s">
        <v>159</v>
      </c>
      <c r="K29" s="31" t="s">
        <v>151</v>
      </c>
      <c r="L29" s="32" t="n">
        <v>46260</v>
      </c>
      <c r="M29" s="30" t="s">
        <v>160</v>
      </c>
      <c r="N29" s="30" t="s">
        <v>48</v>
      </c>
      <c r="O29" s="1" t="n">
        <f aca="false">IF($B29="",0,IF(AND(OR(Filter!$B$5="(alle)",$N29=Filter!$B$5),OR(Filter!$E$5="(alle)",$K29=Filter!$E$5),OR(Filter!$H$5="(alle)",$C29=Filter!$H$5),OR(Filter!$B$7="(alle)",$E29=Filter!$B$7),OR(Filter!$E$7="(alle)",ISNUMBER(SEARCH(Filter!$E$7,$J29))),OR(Filter!$H$7="(alle)",ISNUMBER(SEARCH(Filter!$H$7,$I29))),OR(Filter!$B$9="",ISNUMBER(SEARCH(Filter!$B$9,$F29&amp;" "&amp;$G29)))),COUNTIF($O$6:$O28,"&gt;0")+1,0))</f>
        <v>23</v>
      </c>
    </row>
    <row r="30" customFormat="false" ht="89.25" hidden="false" customHeight="true" outlineLevel="0" collapsed="false">
      <c r="B30" s="30" t="s">
        <v>161</v>
      </c>
      <c r="C30" s="30" t="s">
        <v>40</v>
      </c>
      <c r="D30" s="30" t="s">
        <v>162</v>
      </c>
      <c r="E30" s="30" t="s">
        <v>155</v>
      </c>
      <c r="F30" s="30" t="s">
        <v>163</v>
      </c>
      <c r="G30" s="30" t="s">
        <v>164</v>
      </c>
      <c r="H30" s="30" t="s">
        <v>165</v>
      </c>
      <c r="I30" s="30" t="s">
        <v>98</v>
      </c>
      <c r="J30" s="30" t="s">
        <v>166</v>
      </c>
      <c r="K30" s="31" t="s">
        <v>167</v>
      </c>
      <c r="L30" s="32" t="n">
        <v>46259</v>
      </c>
      <c r="M30" s="30" t="s">
        <v>168</v>
      </c>
      <c r="N30" s="30" t="s">
        <v>65</v>
      </c>
      <c r="O30" s="1" t="n">
        <f aca="false">IF($B30="",0,IF(AND(OR(Filter!$B$5="(alle)",$N30=Filter!$B$5),OR(Filter!$E$5="(alle)",$K30=Filter!$E$5),OR(Filter!$H$5="(alle)",$C30=Filter!$H$5),OR(Filter!$B$7="(alle)",$E30=Filter!$B$7),OR(Filter!$E$7="(alle)",ISNUMBER(SEARCH(Filter!$E$7,$J30))),OR(Filter!$H$7="(alle)",ISNUMBER(SEARCH(Filter!$H$7,$I30))),OR(Filter!$B$9="",ISNUMBER(SEARCH(Filter!$B$9,$F30&amp;" "&amp;$G30)))),COUNTIF($O$6:$O29,"&gt;0")+1,0))</f>
        <v>24</v>
      </c>
    </row>
    <row r="31" customFormat="false" ht="25.5" hidden="false" customHeight="true" outlineLevel="0" collapsed="false">
      <c r="B31" s="30" t="s">
        <v>169</v>
      </c>
      <c r="C31" s="30" t="s">
        <v>40</v>
      </c>
      <c r="D31" s="30" t="s">
        <v>170</v>
      </c>
      <c r="E31" s="30" t="s">
        <v>42</v>
      </c>
      <c r="F31" s="30" t="s">
        <v>171</v>
      </c>
      <c r="G31" s="30" t="s">
        <v>172</v>
      </c>
      <c r="H31" s="30" t="s">
        <v>173</v>
      </c>
      <c r="I31" s="30" t="s">
        <v>174</v>
      </c>
      <c r="J31" s="30" t="s">
        <v>56</v>
      </c>
      <c r="K31" s="31" t="s">
        <v>175</v>
      </c>
      <c r="L31" s="32"/>
      <c r="M31" s="30"/>
      <c r="N31" s="30" t="s">
        <v>48</v>
      </c>
      <c r="O31" s="1" t="n">
        <f aca="false">IF($B31="",0,IF(AND(OR(Filter!$B$5="(alle)",$N31=Filter!$B$5),OR(Filter!$E$5="(alle)",$K31=Filter!$E$5),OR(Filter!$H$5="(alle)",$C31=Filter!$H$5),OR(Filter!$B$7="(alle)",$E31=Filter!$B$7),OR(Filter!$E$7="(alle)",ISNUMBER(SEARCH(Filter!$E$7,$J31))),OR(Filter!$H$7="(alle)",ISNUMBER(SEARCH(Filter!$H$7,$I31))),OR(Filter!$B$9="",ISNUMBER(SEARCH(Filter!$B$9,$F31&amp;" "&amp;$G31)))),COUNTIF($O$6:$O30,"&gt;0")+1,0))</f>
        <v>25</v>
      </c>
    </row>
    <row r="32" customFormat="false" ht="15" hidden="false" customHeight="true" outlineLevel="0" collapsed="false">
      <c r="B32" s="30" t="s">
        <v>176</v>
      </c>
      <c r="C32" s="30" t="s">
        <v>177</v>
      </c>
      <c r="D32" s="30" t="s">
        <v>178</v>
      </c>
      <c r="E32" s="30" t="s">
        <v>81</v>
      </c>
      <c r="F32" s="30" t="s">
        <v>179</v>
      </c>
      <c r="G32" s="30" t="s">
        <v>180</v>
      </c>
      <c r="H32" s="30"/>
      <c r="I32" s="30" t="s">
        <v>85</v>
      </c>
      <c r="J32" s="30" t="s">
        <v>86</v>
      </c>
      <c r="K32" s="31" t="s">
        <v>47</v>
      </c>
      <c r="L32" s="32" t="n">
        <v>46259</v>
      </c>
      <c r="M32" s="30" t="s">
        <v>181</v>
      </c>
      <c r="N32" s="30" t="s">
        <v>65</v>
      </c>
      <c r="O32" s="1" t="n">
        <f aca="false">IF($B32="",0,IF(AND(OR(Filter!$B$5="(alle)",$N32=Filter!$B$5),OR(Filter!$E$5="(alle)",$K32=Filter!$E$5),OR(Filter!$H$5="(alle)",$C32=Filter!$H$5),OR(Filter!$B$7="(alle)",$E32=Filter!$B$7),OR(Filter!$E$7="(alle)",ISNUMBER(SEARCH(Filter!$E$7,$J32))),OR(Filter!$H$7="(alle)",ISNUMBER(SEARCH(Filter!$H$7,$I32))),OR(Filter!$B$9="",ISNUMBER(SEARCH(Filter!$B$9,$F32&amp;" "&amp;$G32)))),COUNTIF($O$6:$O31,"&gt;0")+1,0))</f>
        <v>26</v>
      </c>
    </row>
    <row r="33" customFormat="false" ht="51" hidden="false" customHeight="true" outlineLevel="0" collapsed="false">
      <c r="B33" s="30" t="s">
        <v>182</v>
      </c>
      <c r="C33" s="30" t="s">
        <v>177</v>
      </c>
      <c r="D33" s="30" t="s">
        <v>183</v>
      </c>
      <c r="E33" s="30" t="s">
        <v>81</v>
      </c>
      <c r="F33" s="30" t="s">
        <v>184</v>
      </c>
      <c r="G33" s="30" t="s">
        <v>185</v>
      </c>
      <c r="H33" s="30" t="s">
        <v>186</v>
      </c>
      <c r="I33" s="30" t="s">
        <v>85</v>
      </c>
      <c r="J33" s="30" t="s">
        <v>86</v>
      </c>
      <c r="K33" s="31" t="s">
        <v>167</v>
      </c>
      <c r="L33" s="32" t="n">
        <v>46259</v>
      </c>
      <c r="M33" s="30" t="s">
        <v>187</v>
      </c>
      <c r="N33" s="30" t="s">
        <v>65</v>
      </c>
      <c r="O33" s="1" t="n">
        <f aca="false">IF($B33="",0,IF(AND(OR(Filter!$B$5="(alle)",$N33=Filter!$B$5),OR(Filter!$E$5="(alle)",$K33=Filter!$E$5),OR(Filter!$H$5="(alle)",$C33=Filter!$H$5),OR(Filter!$B$7="(alle)",$E33=Filter!$B$7),OR(Filter!$E$7="(alle)",ISNUMBER(SEARCH(Filter!$E$7,$J33))),OR(Filter!$H$7="(alle)",ISNUMBER(SEARCH(Filter!$H$7,$I33))),OR(Filter!$B$9="",ISNUMBER(SEARCH(Filter!$B$9,$F33&amp;" "&amp;$G33)))),COUNTIF($O$6:$O32,"&gt;0")+1,0))</f>
        <v>27</v>
      </c>
    </row>
    <row r="34" customFormat="false" ht="216.75" hidden="false" customHeight="true" outlineLevel="0" collapsed="false">
      <c r="B34" s="30" t="s">
        <v>188</v>
      </c>
      <c r="C34" s="30" t="s">
        <v>177</v>
      </c>
      <c r="D34" s="30" t="s">
        <v>189</v>
      </c>
      <c r="E34" s="30" t="s">
        <v>190</v>
      </c>
      <c r="F34" s="30" t="s">
        <v>191</v>
      </c>
      <c r="G34" s="30" t="s">
        <v>192</v>
      </c>
      <c r="H34" s="30" t="s">
        <v>193</v>
      </c>
      <c r="I34" s="30" t="s">
        <v>98</v>
      </c>
      <c r="J34" s="30" t="s">
        <v>194</v>
      </c>
      <c r="K34" s="31" t="s">
        <v>167</v>
      </c>
      <c r="L34" s="32" t="n">
        <v>46259</v>
      </c>
      <c r="M34" s="30" t="s">
        <v>195</v>
      </c>
      <c r="N34" s="30" t="s">
        <v>65</v>
      </c>
      <c r="O34" s="1" t="n">
        <f aca="false">IF($B34="",0,IF(AND(OR(Filter!$B$5="(alle)",$N34=Filter!$B$5),OR(Filter!$E$5="(alle)",$K34=Filter!$E$5),OR(Filter!$H$5="(alle)",$C34=Filter!$H$5),OR(Filter!$B$7="(alle)",$E34=Filter!$B$7),OR(Filter!$E$7="(alle)",ISNUMBER(SEARCH(Filter!$E$7,$J34))),OR(Filter!$H$7="(alle)",ISNUMBER(SEARCH(Filter!$H$7,$I34))),OR(Filter!$B$9="",ISNUMBER(SEARCH(Filter!$B$9,$F34&amp;" "&amp;$G34)))),COUNTIF($O$6:$O33,"&gt;0")+1,0))</f>
        <v>28</v>
      </c>
    </row>
    <row r="35" customFormat="false" ht="204" hidden="false" customHeight="true" outlineLevel="0" collapsed="false">
      <c r="B35" s="30" t="s">
        <v>196</v>
      </c>
      <c r="C35" s="30" t="s">
        <v>177</v>
      </c>
      <c r="D35" s="30" t="s">
        <v>197</v>
      </c>
      <c r="E35" s="30" t="s">
        <v>81</v>
      </c>
      <c r="F35" s="30"/>
      <c r="G35" s="30" t="s">
        <v>198</v>
      </c>
      <c r="H35" s="30" t="s">
        <v>199</v>
      </c>
      <c r="I35" s="30" t="s">
        <v>200</v>
      </c>
      <c r="J35" s="30" t="s">
        <v>86</v>
      </c>
      <c r="K35" s="31" t="s">
        <v>167</v>
      </c>
      <c r="L35" s="32" t="n">
        <v>46260</v>
      </c>
      <c r="M35" s="30" t="s">
        <v>201</v>
      </c>
      <c r="N35" s="30" t="s">
        <v>65</v>
      </c>
      <c r="O35" s="1" t="n">
        <f aca="false">IF($B35="",0,IF(AND(OR(Filter!$B$5="(alle)",$N35=Filter!$B$5),OR(Filter!$E$5="(alle)",$K35=Filter!$E$5),OR(Filter!$H$5="(alle)",$C35=Filter!$H$5),OR(Filter!$B$7="(alle)",$E35=Filter!$B$7),OR(Filter!$E$7="(alle)",ISNUMBER(SEARCH(Filter!$E$7,$J35))),OR(Filter!$H$7="(alle)",ISNUMBER(SEARCH(Filter!$H$7,$I35))),OR(Filter!$B$9="",ISNUMBER(SEARCH(Filter!$B$9,$F35&amp;" "&amp;$G35)))),COUNTIF($O$6:$O34,"&gt;0")+1,0))</f>
        <v>29</v>
      </c>
    </row>
    <row r="36" customFormat="false" ht="331.5" hidden="false" customHeight="true" outlineLevel="0" collapsed="false">
      <c r="B36" s="30" t="s">
        <v>202</v>
      </c>
      <c r="C36" s="30" t="s">
        <v>177</v>
      </c>
      <c r="D36" s="30" t="s">
        <v>203</v>
      </c>
      <c r="E36" s="30" t="s">
        <v>81</v>
      </c>
      <c r="F36" s="30"/>
      <c r="G36" s="30" t="s">
        <v>204</v>
      </c>
      <c r="H36" s="30" t="s">
        <v>205</v>
      </c>
      <c r="I36" s="30" t="s">
        <v>174</v>
      </c>
      <c r="J36" s="30" t="s">
        <v>206</v>
      </c>
      <c r="K36" s="31" t="s">
        <v>151</v>
      </c>
      <c r="L36" s="32" t="n">
        <v>45894</v>
      </c>
      <c r="M36" s="30" t="s">
        <v>207</v>
      </c>
      <c r="N36" s="30" t="s">
        <v>65</v>
      </c>
      <c r="O36" s="1" t="n">
        <f aca="false">IF($B36="",0,IF(AND(OR(Filter!$B$5="(alle)",$N36=Filter!$B$5),OR(Filter!$E$5="(alle)",$K36=Filter!$E$5),OR(Filter!$H$5="(alle)",$C36=Filter!$H$5),OR(Filter!$B$7="(alle)",$E36=Filter!$B$7),OR(Filter!$E$7="(alle)",ISNUMBER(SEARCH(Filter!$E$7,$J36))),OR(Filter!$H$7="(alle)",ISNUMBER(SEARCH(Filter!$H$7,$I36))),OR(Filter!$B$9="",ISNUMBER(SEARCH(Filter!$B$9,$F36&amp;" "&amp;$G36)))),COUNTIF($O$6:$O35,"&gt;0")+1,0))</f>
        <v>30</v>
      </c>
    </row>
    <row r="37" customFormat="false" ht="15" hidden="false" customHeight="true" outlineLevel="0" collapsed="false">
      <c r="B37" s="30" t="s">
        <v>208</v>
      </c>
      <c r="C37" s="30" t="s">
        <v>177</v>
      </c>
      <c r="D37" s="30" t="s">
        <v>209</v>
      </c>
      <c r="E37" s="30" t="s">
        <v>210</v>
      </c>
      <c r="F37" s="30"/>
      <c r="G37" s="30" t="s">
        <v>211</v>
      </c>
      <c r="H37" s="30" t="s">
        <v>212</v>
      </c>
      <c r="I37" s="30" t="s">
        <v>174</v>
      </c>
      <c r="J37" s="30" t="s">
        <v>206</v>
      </c>
      <c r="K37" s="31" t="s">
        <v>175</v>
      </c>
      <c r="L37" s="32"/>
      <c r="M37" s="30"/>
      <c r="N37" s="30" t="s">
        <v>48</v>
      </c>
      <c r="O37" s="1" t="n">
        <f aca="false">IF($B37="",0,IF(AND(OR(Filter!$B$5="(alle)",$N37=Filter!$B$5),OR(Filter!$E$5="(alle)",$K37=Filter!$E$5),OR(Filter!$H$5="(alle)",$C37=Filter!$H$5),OR(Filter!$B$7="(alle)",$E37=Filter!$B$7),OR(Filter!$E$7="(alle)",ISNUMBER(SEARCH(Filter!$E$7,$J37))),OR(Filter!$H$7="(alle)",ISNUMBER(SEARCH(Filter!$H$7,$I37))),OR(Filter!$B$9="",ISNUMBER(SEARCH(Filter!$B$9,$F37&amp;" "&amp;$G37)))),COUNTIF($O$6:$O36,"&gt;0")+1,0))</f>
        <v>31</v>
      </c>
    </row>
    <row r="38" customFormat="false" ht="25.5" hidden="false" customHeight="true" outlineLevel="0" collapsed="false">
      <c r="B38" s="30" t="s">
        <v>213</v>
      </c>
      <c r="C38" s="30" t="s">
        <v>177</v>
      </c>
      <c r="D38" s="30" t="s">
        <v>214</v>
      </c>
      <c r="E38" s="30" t="s">
        <v>210</v>
      </c>
      <c r="F38" s="30"/>
      <c r="G38" s="30" t="s">
        <v>215</v>
      </c>
      <c r="H38" s="30" t="s">
        <v>216</v>
      </c>
      <c r="I38" s="30" t="s">
        <v>174</v>
      </c>
      <c r="J38" s="30" t="s">
        <v>206</v>
      </c>
      <c r="K38" s="31" t="s">
        <v>175</v>
      </c>
      <c r="L38" s="32"/>
      <c r="M38" s="30"/>
      <c r="N38" s="30" t="s">
        <v>48</v>
      </c>
      <c r="O38" s="1" t="n">
        <f aca="false">IF($B38="",0,IF(AND(OR(Filter!$B$5="(alle)",$N38=Filter!$B$5),OR(Filter!$E$5="(alle)",$K38=Filter!$E$5),OR(Filter!$H$5="(alle)",$C38=Filter!$H$5),OR(Filter!$B$7="(alle)",$E38=Filter!$B$7),OR(Filter!$E$7="(alle)",ISNUMBER(SEARCH(Filter!$E$7,$J38))),OR(Filter!$H$7="(alle)",ISNUMBER(SEARCH(Filter!$H$7,$I38))),OR(Filter!$B$9="",ISNUMBER(SEARCH(Filter!$B$9,$F38&amp;" "&amp;$G38)))),COUNTIF($O$6:$O37,"&gt;0")+1,0))</f>
        <v>32</v>
      </c>
    </row>
    <row r="39" customFormat="false" ht="140.25" hidden="false" customHeight="true" outlineLevel="0" collapsed="false">
      <c r="B39" s="30" t="s">
        <v>217</v>
      </c>
      <c r="C39" s="30" t="s">
        <v>218</v>
      </c>
      <c r="D39" s="30" t="s">
        <v>219</v>
      </c>
      <c r="E39" s="30" t="s">
        <v>94</v>
      </c>
      <c r="F39" s="30" t="s">
        <v>220</v>
      </c>
      <c r="G39" s="30" t="s">
        <v>221</v>
      </c>
      <c r="H39" s="30" t="s">
        <v>222</v>
      </c>
      <c r="I39" s="30" t="s">
        <v>98</v>
      </c>
      <c r="J39" s="30" t="s">
        <v>99</v>
      </c>
      <c r="K39" s="31" t="s">
        <v>47</v>
      </c>
      <c r="L39" s="32"/>
      <c r="M39" s="30"/>
      <c r="N39" s="30" t="s">
        <v>65</v>
      </c>
      <c r="O39" s="1" t="n">
        <f aca="false">IF($B39="",0,IF(AND(OR(Filter!$B$5="(alle)",$N39=Filter!$B$5),OR(Filter!$E$5="(alle)",$K39=Filter!$E$5),OR(Filter!$H$5="(alle)",$C39=Filter!$H$5),OR(Filter!$B$7="(alle)",$E39=Filter!$B$7),OR(Filter!$E$7="(alle)",ISNUMBER(SEARCH(Filter!$E$7,$J39))),OR(Filter!$H$7="(alle)",ISNUMBER(SEARCH(Filter!$H$7,$I39))),OR(Filter!$B$9="",ISNUMBER(SEARCH(Filter!$B$9,$F39&amp;" "&amp;$G39)))),COUNTIF($O$6:$O38,"&gt;0")+1,0))</f>
        <v>33</v>
      </c>
    </row>
    <row r="40" customFormat="false" ht="38.25" hidden="false" customHeight="true" outlineLevel="0" collapsed="false">
      <c r="B40" s="30" t="s">
        <v>223</v>
      </c>
      <c r="C40" s="30" t="s">
        <v>218</v>
      </c>
      <c r="D40" s="30" t="s">
        <v>224</v>
      </c>
      <c r="E40" s="30" t="s">
        <v>225</v>
      </c>
      <c r="F40" s="30" t="s">
        <v>226</v>
      </c>
      <c r="G40" s="30" t="s">
        <v>227</v>
      </c>
      <c r="H40" s="30" t="s">
        <v>228</v>
      </c>
      <c r="I40" s="30" t="s">
        <v>229</v>
      </c>
      <c r="J40" s="30" t="s">
        <v>225</v>
      </c>
      <c r="K40" s="31" t="s">
        <v>167</v>
      </c>
      <c r="L40" s="32" t="n">
        <v>46259</v>
      </c>
      <c r="M40" s="30" t="s">
        <v>230</v>
      </c>
      <c r="N40" s="30" t="s">
        <v>48</v>
      </c>
      <c r="O40" s="1" t="n">
        <f aca="false">IF($B40="",0,IF(AND(OR(Filter!$B$5="(alle)",$N40=Filter!$B$5),OR(Filter!$E$5="(alle)",$K40=Filter!$E$5),OR(Filter!$H$5="(alle)",$C40=Filter!$H$5),OR(Filter!$B$7="(alle)",$E40=Filter!$B$7),OR(Filter!$E$7="(alle)",ISNUMBER(SEARCH(Filter!$E$7,$J40))),OR(Filter!$H$7="(alle)",ISNUMBER(SEARCH(Filter!$H$7,$I40))),OR(Filter!$B$9="",ISNUMBER(SEARCH(Filter!$B$9,$F40&amp;" "&amp;$G40)))),COUNTIF($O$6:$O39,"&gt;0")+1,0))</f>
        <v>34</v>
      </c>
    </row>
    <row r="41" customFormat="false" ht="51" hidden="false" customHeight="true" outlineLevel="0" collapsed="false">
      <c r="B41" s="30" t="s">
        <v>231</v>
      </c>
      <c r="C41" s="30" t="s">
        <v>218</v>
      </c>
      <c r="D41" s="30" t="s">
        <v>232</v>
      </c>
      <c r="E41" s="30" t="s">
        <v>225</v>
      </c>
      <c r="F41" s="30" t="s">
        <v>233</v>
      </c>
      <c r="G41" s="30" t="s">
        <v>234</v>
      </c>
      <c r="H41" s="30" t="s">
        <v>235</v>
      </c>
      <c r="I41" s="30" t="s">
        <v>98</v>
      </c>
      <c r="J41" s="30" t="s">
        <v>236</v>
      </c>
      <c r="K41" s="31" t="s">
        <v>47</v>
      </c>
      <c r="L41" s="32"/>
      <c r="M41" s="30"/>
      <c r="N41" s="30" t="s">
        <v>65</v>
      </c>
      <c r="O41" s="1" t="n">
        <f aca="false">IF($B41="",0,IF(AND(OR(Filter!$B$5="(alle)",$N41=Filter!$B$5),OR(Filter!$E$5="(alle)",$K41=Filter!$E$5),OR(Filter!$H$5="(alle)",$C41=Filter!$H$5),OR(Filter!$B$7="(alle)",$E41=Filter!$B$7),OR(Filter!$E$7="(alle)",ISNUMBER(SEARCH(Filter!$E$7,$J41))),OR(Filter!$H$7="(alle)",ISNUMBER(SEARCH(Filter!$H$7,$I41))),OR(Filter!$B$9="",ISNUMBER(SEARCH(Filter!$B$9,$F41&amp;" "&amp;$G41)))),COUNTIF($O$6:$O40,"&gt;0")+1,0))</f>
        <v>35</v>
      </c>
    </row>
    <row r="42" customFormat="false" ht="38.25" hidden="false" customHeight="true" outlineLevel="0" collapsed="false">
      <c r="B42" s="30" t="s">
        <v>237</v>
      </c>
      <c r="C42" s="30" t="s">
        <v>218</v>
      </c>
      <c r="D42" s="30" t="s">
        <v>238</v>
      </c>
      <c r="E42" s="30" t="s">
        <v>81</v>
      </c>
      <c r="F42" s="30" t="s">
        <v>239</v>
      </c>
      <c r="G42" s="30" t="s">
        <v>240</v>
      </c>
      <c r="H42" s="30"/>
      <c r="I42" s="30" t="s">
        <v>85</v>
      </c>
      <c r="J42" s="30" t="s">
        <v>84</v>
      </c>
      <c r="K42" s="31" t="s">
        <v>167</v>
      </c>
      <c r="L42" s="32" t="n">
        <v>46259</v>
      </c>
      <c r="M42" s="30" t="s">
        <v>241</v>
      </c>
      <c r="N42" s="30" t="s">
        <v>65</v>
      </c>
      <c r="O42" s="1" t="n">
        <f aca="false">IF($B42="",0,IF(AND(OR(Filter!$B$5="(alle)",$N42=Filter!$B$5),OR(Filter!$E$5="(alle)",$K42=Filter!$E$5),OR(Filter!$H$5="(alle)",$C42=Filter!$H$5),OR(Filter!$B$7="(alle)",$E42=Filter!$B$7),OR(Filter!$E$7="(alle)",ISNUMBER(SEARCH(Filter!$E$7,$J42))),OR(Filter!$H$7="(alle)",ISNUMBER(SEARCH(Filter!$H$7,$I42))),OR(Filter!$B$9="",ISNUMBER(SEARCH(Filter!$B$9,$F42&amp;" "&amp;$G42)))),COUNTIF($O$6:$O41,"&gt;0")+1,0))</f>
        <v>36</v>
      </c>
    </row>
    <row r="43" customFormat="false" ht="38.25" hidden="false" customHeight="true" outlineLevel="0" collapsed="false">
      <c r="B43" s="30" t="s">
        <v>242</v>
      </c>
      <c r="C43" s="30" t="s">
        <v>218</v>
      </c>
      <c r="D43" s="30" t="s">
        <v>243</v>
      </c>
      <c r="E43" s="30" t="s">
        <v>81</v>
      </c>
      <c r="F43" s="30" t="s">
        <v>244</v>
      </c>
      <c r="G43" s="30" t="s">
        <v>245</v>
      </c>
      <c r="H43" s="30" t="s">
        <v>246</v>
      </c>
      <c r="I43" s="30" t="s">
        <v>98</v>
      </c>
      <c r="J43" s="30" t="s">
        <v>99</v>
      </c>
      <c r="K43" s="31" t="s">
        <v>167</v>
      </c>
      <c r="L43" s="32" t="n">
        <v>46259</v>
      </c>
      <c r="M43" s="30" t="s">
        <v>247</v>
      </c>
      <c r="N43" s="30" t="s">
        <v>65</v>
      </c>
      <c r="O43" s="1" t="n">
        <f aca="false">IF($B43="",0,IF(AND(OR(Filter!$B$5="(alle)",$N43=Filter!$B$5),OR(Filter!$E$5="(alle)",$K43=Filter!$E$5),OR(Filter!$H$5="(alle)",$C43=Filter!$H$5),OR(Filter!$B$7="(alle)",$E43=Filter!$B$7),OR(Filter!$E$7="(alle)",ISNUMBER(SEARCH(Filter!$E$7,$J43))),OR(Filter!$H$7="(alle)",ISNUMBER(SEARCH(Filter!$H$7,$I43))),OR(Filter!$B$9="",ISNUMBER(SEARCH(Filter!$B$9,$F43&amp;" "&amp;$G43)))),COUNTIF($O$6:$O42,"&gt;0")+1,0))</f>
        <v>37</v>
      </c>
    </row>
    <row r="44" customFormat="false" ht="25.5" hidden="false" customHeight="true" outlineLevel="0" collapsed="false">
      <c r="B44" s="30" t="s">
        <v>248</v>
      </c>
      <c r="C44" s="30" t="s">
        <v>218</v>
      </c>
      <c r="D44" s="30" t="s">
        <v>249</v>
      </c>
      <c r="E44" s="30" t="s">
        <v>81</v>
      </c>
      <c r="F44" s="30" t="s">
        <v>250</v>
      </c>
      <c r="G44" s="30" t="s">
        <v>251</v>
      </c>
      <c r="H44" s="30" t="s">
        <v>252</v>
      </c>
      <c r="I44" s="30" t="s">
        <v>229</v>
      </c>
      <c r="J44" s="30" t="s">
        <v>84</v>
      </c>
      <c r="K44" s="31" t="s">
        <v>167</v>
      </c>
      <c r="L44" s="32" t="n">
        <v>46259</v>
      </c>
      <c r="M44" s="30" t="s">
        <v>253</v>
      </c>
      <c r="N44" s="30" t="s">
        <v>65</v>
      </c>
      <c r="O44" s="1" t="n">
        <f aca="false">IF($B44="",0,IF(AND(OR(Filter!$B$5="(alle)",$N44=Filter!$B$5),OR(Filter!$E$5="(alle)",$K44=Filter!$E$5),OR(Filter!$H$5="(alle)",$C44=Filter!$H$5),OR(Filter!$B$7="(alle)",$E44=Filter!$B$7),OR(Filter!$E$7="(alle)",ISNUMBER(SEARCH(Filter!$E$7,$J44))),OR(Filter!$H$7="(alle)",ISNUMBER(SEARCH(Filter!$H$7,$I44))),OR(Filter!$B$9="",ISNUMBER(SEARCH(Filter!$B$9,$F44&amp;" "&amp;$G44)))),COUNTIF($O$6:$O43,"&gt;0")+1,0))</f>
        <v>38</v>
      </c>
    </row>
    <row r="45" customFormat="false" ht="38.25" hidden="false" customHeight="true" outlineLevel="0" collapsed="false">
      <c r="B45" s="30" t="s">
        <v>254</v>
      </c>
      <c r="C45" s="30" t="s">
        <v>218</v>
      </c>
      <c r="D45" s="30" t="s">
        <v>255</v>
      </c>
      <c r="E45" s="30" t="s">
        <v>81</v>
      </c>
      <c r="F45" s="30" t="s">
        <v>256</v>
      </c>
      <c r="G45" s="30" t="s">
        <v>257</v>
      </c>
      <c r="H45" s="30" t="s">
        <v>258</v>
      </c>
      <c r="I45" s="30" t="s">
        <v>85</v>
      </c>
      <c r="J45" s="30" t="s">
        <v>84</v>
      </c>
      <c r="K45" s="31" t="s">
        <v>167</v>
      </c>
      <c r="L45" s="32" t="n">
        <v>46259</v>
      </c>
      <c r="M45" s="30" t="s">
        <v>259</v>
      </c>
      <c r="N45" s="30" t="s">
        <v>65</v>
      </c>
      <c r="O45" s="1" t="n">
        <f aca="false">IF($B45="",0,IF(AND(OR(Filter!$B$5="(alle)",$N45=Filter!$B$5),OR(Filter!$E$5="(alle)",$K45=Filter!$E$5),OR(Filter!$H$5="(alle)",$C45=Filter!$H$5),OR(Filter!$B$7="(alle)",$E45=Filter!$B$7),OR(Filter!$E$7="(alle)",ISNUMBER(SEARCH(Filter!$E$7,$J45))),OR(Filter!$H$7="(alle)",ISNUMBER(SEARCH(Filter!$H$7,$I45))),OR(Filter!$B$9="",ISNUMBER(SEARCH(Filter!$B$9,$F45&amp;" "&amp;$G45)))),COUNTIF($O$6:$O44,"&gt;0")+1,0))</f>
        <v>39</v>
      </c>
    </row>
    <row r="46" customFormat="false" ht="165.75" hidden="false" customHeight="true" outlineLevel="0" collapsed="false">
      <c r="B46" s="30" t="s">
        <v>260</v>
      </c>
      <c r="C46" s="30" t="s">
        <v>218</v>
      </c>
      <c r="D46" s="30" t="s">
        <v>261</v>
      </c>
      <c r="E46" s="30" t="s">
        <v>190</v>
      </c>
      <c r="F46" s="30" t="s">
        <v>262</v>
      </c>
      <c r="G46" s="30" t="s">
        <v>263</v>
      </c>
      <c r="H46" s="30" t="s">
        <v>264</v>
      </c>
      <c r="I46" s="30" t="s">
        <v>45</v>
      </c>
      <c r="J46" s="30" t="s">
        <v>265</v>
      </c>
      <c r="K46" s="31" t="s">
        <v>167</v>
      </c>
      <c r="L46" s="32" t="n">
        <v>46259</v>
      </c>
      <c r="M46" s="30" t="s">
        <v>266</v>
      </c>
      <c r="N46" s="30" t="s">
        <v>65</v>
      </c>
      <c r="O46" s="1" t="n">
        <f aca="false">IF($B46="",0,IF(AND(OR(Filter!$B$5="(alle)",$N46=Filter!$B$5),OR(Filter!$E$5="(alle)",$K46=Filter!$E$5),OR(Filter!$H$5="(alle)",$C46=Filter!$H$5),OR(Filter!$B$7="(alle)",$E46=Filter!$B$7),OR(Filter!$E$7="(alle)",ISNUMBER(SEARCH(Filter!$E$7,$J46))),OR(Filter!$H$7="(alle)",ISNUMBER(SEARCH(Filter!$H$7,$I46))),OR(Filter!$B$9="",ISNUMBER(SEARCH(Filter!$B$9,$F46&amp;" "&amp;$G46)))),COUNTIF($O$6:$O45,"&gt;0")+1,0))</f>
        <v>40</v>
      </c>
    </row>
    <row r="47" customFormat="false" ht="25.5" hidden="false" customHeight="true" outlineLevel="0" collapsed="false">
      <c r="B47" s="30" t="s">
        <v>267</v>
      </c>
      <c r="C47" s="30" t="s">
        <v>268</v>
      </c>
      <c r="D47" s="30" t="s">
        <v>269</v>
      </c>
      <c r="E47" s="30" t="s">
        <v>270</v>
      </c>
      <c r="F47" s="30" t="s">
        <v>271</v>
      </c>
      <c r="G47" s="30" t="s">
        <v>272</v>
      </c>
      <c r="H47" s="30" t="s">
        <v>273</v>
      </c>
      <c r="I47" s="30" t="s">
        <v>45</v>
      </c>
      <c r="J47" s="30" t="s">
        <v>274</v>
      </c>
      <c r="K47" s="31" t="s">
        <v>47</v>
      </c>
      <c r="L47" s="32"/>
      <c r="M47" s="30"/>
      <c r="N47" s="30" t="s">
        <v>48</v>
      </c>
      <c r="O47" s="1" t="n">
        <f aca="false">IF($B47="",0,IF(AND(OR(Filter!$B$5="(alle)",$N47=Filter!$B$5),OR(Filter!$E$5="(alle)",$K47=Filter!$E$5),OR(Filter!$H$5="(alle)",$C47=Filter!$H$5),OR(Filter!$B$7="(alle)",$E47=Filter!$B$7),OR(Filter!$E$7="(alle)",ISNUMBER(SEARCH(Filter!$E$7,$J47))),OR(Filter!$H$7="(alle)",ISNUMBER(SEARCH(Filter!$H$7,$I47))),OR(Filter!$B$9="",ISNUMBER(SEARCH(Filter!$B$9,$F47&amp;" "&amp;$G47)))),COUNTIF($O$6:$O46,"&gt;0")+1,0))</f>
        <v>41</v>
      </c>
    </row>
    <row r="48" customFormat="false" ht="25.5" hidden="false" customHeight="true" outlineLevel="0" collapsed="false">
      <c r="B48" s="30" t="s">
        <v>275</v>
      </c>
      <c r="C48" s="30" t="s">
        <v>268</v>
      </c>
      <c r="D48" s="30" t="s">
        <v>276</v>
      </c>
      <c r="E48" s="30" t="s">
        <v>270</v>
      </c>
      <c r="F48" s="30" t="s">
        <v>271</v>
      </c>
      <c r="G48" s="30" t="s">
        <v>277</v>
      </c>
      <c r="H48" s="30" t="s">
        <v>278</v>
      </c>
      <c r="I48" s="30" t="s">
        <v>45</v>
      </c>
      <c r="J48" s="30" t="s">
        <v>274</v>
      </c>
      <c r="K48" s="31" t="s">
        <v>47</v>
      </c>
      <c r="L48" s="32"/>
      <c r="M48" s="30"/>
      <c r="N48" s="30" t="s">
        <v>48</v>
      </c>
      <c r="O48" s="1" t="n">
        <f aca="false">IF($B48="",0,IF(AND(OR(Filter!$B$5="(alle)",$N48=Filter!$B$5),OR(Filter!$E$5="(alle)",$K48=Filter!$E$5),OR(Filter!$H$5="(alle)",$C48=Filter!$H$5),OR(Filter!$B$7="(alle)",$E48=Filter!$B$7),OR(Filter!$E$7="(alle)",ISNUMBER(SEARCH(Filter!$E$7,$J48))),OR(Filter!$H$7="(alle)",ISNUMBER(SEARCH(Filter!$H$7,$I48))),OR(Filter!$B$9="",ISNUMBER(SEARCH(Filter!$B$9,$F48&amp;" "&amp;$G48)))),COUNTIF($O$6:$O47,"&gt;0")+1,0))</f>
        <v>42</v>
      </c>
    </row>
    <row r="49" customFormat="false" ht="89.25" hidden="false" customHeight="true" outlineLevel="0" collapsed="false">
      <c r="B49" s="30" t="s">
        <v>279</v>
      </c>
      <c r="C49" s="30" t="s">
        <v>280</v>
      </c>
      <c r="D49" s="30" t="s">
        <v>281</v>
      </c>
      <c r="E49" s="30" t="s">
        <v>42</v>
      </c>
      <c r="F49" s="30" t="s">
        <v>282</v>
      </c>
      <c r="G49" s="30" t="s">
        <v>283</v>
      </c>
      <c r="H49" s="30" t="s">
        <v>284</v>
      </c>
      <c r="I49" s="30" t="s">
        <v>45</v>
      </c>
      <c r="J49" s="30" t="s">
        <v>46</v>
      </c>
      <c r="K49" s="31" t="s">
        <v>47</v>
      </c>
      <c r="L49" s="32"/>
      <c r="M49" s="33"/>
      <c r="N49" s="30" t="s">
        <v>48</v>
      </c>
      <c r="O49" s="1" t="n">
        <f aca="false">IF($B49="",0,IF(AND(OR(Filter!$B$5="(alle)",$N49=Filter!$B$5),OR(Filter!$E$5="(alle)",$K49=Filter!$E$5),OR(Filter!$H$5="(alle)",$C49=Filter!$H$5),OR(Filter!$B$7="(alle)",$E49=Filter!$B$7),OR(Filter!$E$7="(alle)",ISNUMBER(SEARCH(Filter!$E$7,$J49))),OR(Filter!$H$7="(alle)",ISNUMBER(SEARCH(Filter!$H$7,$I49))),OR(Filter!$B$9="",ISNUMBER(SEARCH(Filter!$B$9,$F49&amp;" "&amp;$G49)))),COUNTIF($O$6:$O48,"&gt;0")+1,0))</f>
        <v>43</v>
      </c>
    </row>
    <row r="50" customFormat="false" ht="51" hidden="false" customHeight="true" outlineLevel="0" collapsed="false">
      <c r="B50" s="30" t="s">
        <v>285</v>
      </c>
      <c r="C50" s="30" t="s">
        <v>286</v>
      </c>
      <c r="D50" s="30" t="s">
        <v>287</v>
      </c>
      <c r="E50" s="30" t="s">
        <v>225</v>
      </c>
      <c r="F50" s="30" t="s">
        <v>226</v>
      </c>
      <c r="G50" s="30" t="s">
        <v>288</v>
      </c>
      <c r="H50" s="30" t="s">
        <v>289</v>
      </c>
      <c r="I50" s="30" t="s">
        <v>290</v>
      </c>
      <c r="J50" s="30" t="s">
        <v>225</v>
      </c>
      <c r="K50" s="31" t="s">
        <v>47</v>
      </c>
      <c r="L50" s="32"/>
      <c r="M50" s="30"/>
      <c r="N50" s="30" t="s">
        <v>65</v>
      </c>
      <c r="O50" s="1" t="n">
        <f aca="false">IF($B50="",0,IF(AND(OR(Filter!$B$5="(alle)",$N50=Filter!$B$5),OR(Filter!$E$5="(alle)",$K50=Filter!$E$5),OR(Filter!$H$5="(alle)",$C50=Filter!$H$5),OR(Filter!$B$7="(alle)",$E50=Filter!$B$7),OR(Filter!$E$7="(alle)",ISNUMBER(SEARCH(Filter!$E$7,$J50))),OR(Filter!$H$7="(alle)",ISNUMBER(SEARCH(Filter!$H$7,$I50))),OR(Filter!$B$9="",ISNUMBER(SEARCH(Filter!$B$9,$F50&amp;" "&amp;$G50)))),COUNTIF($O$6:$O49,"&gt;0")+1,0))</f>
        <v>44</v>
      </c>
    </row>
    <row r="51" customFormat="false" ht="102" hidden="false" customHeight="true" outlineLevel="0" collapsed="false">
      <c r="B51" s="30" t="s">
        <v>291</v>
      </c>
      <c r="C51" s="30" t="s">
        <v>286</v>
      </c>
      <c r="D51" s="30" t="s">
        <v>292</v>
      </c>
      <c r="E51" s="30" t="s">
        <v>42</v>
      </c>
      <c r="F51" s="30" t="s">
        <v>293</v>
      </c>
      <c r="G51" s="30" t="s">
        <v>294</v>
      </c>
      <c r="H51" s="30" t="s">
        <v>295</v>
      </c>
      <c r="I51" s="30" t="s">
        <v>45</v>
      </c>
      <c r="J51" s="30" t="s">
        <v>46</v>
      </c>
      <c r="K51" s="31" t="s">
        <v>47</v>
      </c>
      <c r="L51" s="32"/>
      <c r="M51" s="30"/>
      <c r="N51" s="30" t="s">
        <v>48</v>
      </c>
      <c r="O51" s="1" t="n">
        <f aca="false">IF($B51="",0,IF(AND(OR(Filter!$B$5="(alle)",$N51=Filter!$B$5),OR(Filter!$E$5="(alle)",$K51=Filter!$E$5),OR(Filter!$H$5="(alle)",$C51=Filter!$H$5),OR(Filter!$B$7="(alle)",$E51=Filter!$B$7),OR(Filter!$E$7="(alle)",ISNUMBER(SEARCH(Filter!$E$7,$J51))),OR(Filter!$H$7="(alle)",ISNUMBER(SEARCH(Filter!$H$7,$I51))),OR(Filter!$B$9="",ISNUMBER(SEARCH(Filter!$B$9,$F51&amp;" "&amp;$G51)))),COUNTIF($O$6:$O50,"&gt;0")+1,0))</f>
        <v>45</v>
      </c>
    </row>
    <row r="52" customFormat="false" ht="89.25" hidden="false" customHeight="true" outlineLevel="0" collapsed="false">
      <c r="B52" s="30" t="s">
        <v>296</v>
      </c>
      <c r="C52" s="30" t="s">
        <v>286</v>
      </c>
      <c r="D52" s="30" t="s">
        <v>297</v>
      </c>
      <c r="E52" s="30" t="s">
        <v>42</v>
      </c>
      <c r="F52" s="30" t="s">
        <v>298</v>
      </c>
      <c r="G52" s="30" t="s">
        <v>299</v>
      </c>
      <c r="H52" s="30" t="s">
        <v>300</v>
      </c>
      <c r="I52" s="30" t="s">
        <v>301</v>
      </c>
      <c r="J52" s="30" t="s">
        <v>56</v>
      </c>
      <c r="K52" s="31" t="s">
        <v>47</v>
      </c>
      <c r="L52" s="32"/>
      <c r="M52" s="30"/>
      <c r="N52" s="30" t="s">
        <v>48</v>
      </c>
      <c r="O52" s="1" t="n">
        <f aca="false">IF($B52="",0,IF(AND(OR(Filter!$B$5="(alle)",$N52=Filter!$B$5),OR(Filter!$E$5="(alle)",$K52=Filter!$E$5),OR(Filter!$H$5="(alle)",$C52=Filter!$H$5),OR(Filter!$B$7="(alle)",$E52=Filter!$B$7),OR(Filter!$E$7="(alle)",ISNUMBER(SEARCH(Filter!$E$7,$J52))),OR(Filter!$H$7="(alle)",ISNUMBER(SEARCH(Filter!$H$7,$I52))),OR(Filter!$B$9="",ISNUMBER(SEARCH(Filter!$B$9,$F52&amp;" "&amp;$G52)))),COUNTIF($O$6:$O51,"&gt;0")+1,0))</f>
        <v>46</v>
      </c>
    </row>
    <row r="53" customFormat="false" ht="140.25" hidden="false" customHeight="true" outlineLevel="0" collapsed="false">
      <c r="B53" s="30" t="s">
        <v>302</v>
      </c>
      <c r="C53" s="30" t="s">
        <v>286</v>
      </c>
      <c r="D53" s="30" t="s">
        <v>303</v>
      </c>
      <c r="E53" s="30" t="s">
        <v>102</v>
      </c>
      <c r="F53" s="30"/>
      <c r="G53" s="30" t="s">
        <v>304</v>
      </c>
      <c r="H53" s="30" t="s">
        <v>305</v>
      </c>
      <c r="I53" s="30" t="s">
        <v>306</v>
      </c>
      <c r="J53" s="30" t="s">
        <v>206</v>
      </c>
      <c r="K53" s="31" t="s">
        <v>47</v>
      </c>
      <c r="L53" s="32"/>
      <c r="M53" s="30"/>
      <c r="N53" s="30" t="s">
        <v>48</v>
      </c>
      <c r="O53" s="1" t="n">
        <f aca="false">IF($B53="",0,IF(AND(OR(Filter!$B$5="(alle)",$N53=Filter!$B$5),OR(Filter!$E$5="(alle)",$K53=Filter!$E$5),OR(Filter!$H$5="(alle)",$C53=Filter!$H$5),OR(Filter!$B$7="(alle)",$E53=Filter!$B$7),OR(Filter!$E$7="(alle)",ISNUMBER(SEARCH(Filter!$E$7,$J53))),OR(Filter!$H$7="(alle)",ISNUMBER(SEARCH(Filter!$H$7,$I53))),OR(Filter!$B$9="",ISNUMBER(SEARCH(Filter!$B$9,$F53&amp;" "&amp;$G53)))),COUNTIF($O$6:$O52,"&gt;0")+1,0))</f>
        <v>47</v>
      </c>
    </row>
    <row r="54" customFormat="false" ht="76.5" hidden="false" customHeight="true" outlineLevel="0" collapsed="false">
      <c r="B54" s="30" t="s">
        <v>307</v>
      </c>
      <c r="C54" s="30" t="s">
        <v>286</v>
      </c>
      <c r="D54" s="30" t="s">
        <v>308</v>
      </c>
      <c r="E54" s="30" t="s">
        <v>102</v>
      </c>
      <c r="F54" s="30"/>
      <c r="G54" s="30" t="s">
        <v>309</v>
      </c>
      <c r="H54" s="30" t="s">
        <v>310</v>
      </c>
      <c r="I54" s="30" t="s">
        <v>306</v>
      </c>
      <c r="J54" s="30" t="s">
        <v>206</v>
      </c>
      <c r="K54" s="31" t="s">
        <v>47</v>
      </c>
      <c r="L54" s="32"/>
      <c r="M54" s="30"/>
      <c r="N54" s="30" t="s">
        <v>48</v>
      </c>
      <c r="O54" s="1" t="n">
        <f aca="false">IF($B54="",0,IF(AND(OR(Filter!$B$5="(alle)",$N54=Filter!$B$5),OR(Filter!$E$5="(alle)",$K54=Filter!$E$5),OR(Filter!$H$5="(alle)",$C54=Filter!$H$5),OR(Filter!$B$7="(alle)",$E54=Filter!$B$7),OR(Filter!$E$7="(alle)",ISNUMBER(SEARCH(Filter!$E$7,$J54))),OR(Filter!$H$7="(alle)",ISNUMBER(SEARCH(Filter!$H$7,$I54))),OR(Filter!$B$9="",ISNUMBER(SEARCH(Filter!$B$9,$F54&amp;" "&amp;$G54)))),COUNTIF($O$6:$O53,"&gt;0")+1,0))</f>
        <v>48</v>
      </c>
    </row>
    <row r="55" customFormat="false" ht="114.75" hidden="false" customHeight="true" outlineLevel="0" collapsed="false">
      <c r="B55" s="30" t="s">
        <v>311</v>
      </c>
      <c r="C55" s="30" t="s">
        <v>286</v>
      </c>
      <c r="D55" s="30" t="s">
        <v>312</v>
      </c>
      <c r="E55" s="30" t="s">
        <v>42</v>
      </c>
      <c r="F55" s="30"/>
      <c r="G55" s="30" t="s">
        <v>313</v>
      </c>
      <c r="H55" s="30" t="s">
        <v>310</v>
      </c>
      <c r="I55" s="30" t="s">
        <v>306</v>
      </c>
      <c r="J55" s="30" t="s">
        <v>206</v>
      </c>
      <c r="K55" s="31" t="s">
        <v>47</v>
      </c>
      <c r="L55" s="32"/>
      <c r="M55" s="30"/>
      <c r="N55" s="30" t="s">
        <v>48</v>
      </c>
      <c r="O55" s="1" t="n">
        <f aca="false">IF($B55="",0,IF(AND(OR(Filter!$B$5="(alle)",$N55=Filter!$B$5),OR(Filter!$E$5="(alle)",$K55=Filter!$E$5),OR(Filter!$H$5="(alle)",$C55=Filter!$H$5),OR(Filter!$B$7="(alle)",$E55=Filter!$B$7),OR(Filter!$E$7="(alle)",ISNUMBER(SEARCH(Filter!$E$7,$J55))),OR(Filter!$H$7="(alle)",ISNUMBER(SEARCH(Filter!$H$7,$I55))),OR(Filter!$B$9="",ISNUMBER(SEARCH(Filter!$B$9,$F55&amp;" "&amp;$G55)))),COUNTIF($O$6:$O54,"&gt;0")+1,0))</f>
        <v>49</v>
      </c>
    </row>
    <row r="56" customFormat="false" ht="178.5" hidden="false" customHeight="true" outlineLevel="0" collapsed="false">
      <c r="B56" s="30" t="s">
        <v>314</v>
      </c>
      <c r="C56" s="30" t="s">
        <v>286</v>
      </c>
      <c r="D56" s="30" t="s">
        <v>315</v>
      </c>
      <c r="E56" s="30" t="s">
        <v>42</v>
      </c>
      <c r="F56" s="30" t="s">
        <v>316</v>
      </c>
      <c r="G56" s="30" t="s">
        <v>317</v>
      </c>
      <c r="H56" s="30" t="s">
        <v>318</v>
      </c>
      <c r="I56" s="30" t="s">
        <v>45</v>
      </c>
      <c r="J56" s="30" t="s">
        <v>46</v>
      </c>
      <c r="K56" s="31" t="s">
        <v>47</v>
      </c>
      <c r="L56" s="32"/>
      <c r="M56" s="30"/>
      <c r="N56" s="30" t="s">
        <v>48</v>
      </c>
      <c r="O56" s="1" t="n">
        <f aca="false">IF($B56="",0,IF(AND(OR(Filter!$B$5="(alle)",$N56=Filter!$B$5),OR(Filter!$E$5="(alle)",$K56=Filter!$E$5),OR(Filter!$H$5="(alle)",$C56=Filter!$H$5),OR(Filter!$B$7="(alle)",$E56=Filter!$B$7),OR(Filter!$E$7="(alle)",ISNUMBER(SEARCH(Filter!$E$7,$J56))),OR(Filter!$H$7="(alle)",ISNUMBER(SEARCH(Filter!$H$7,$I56))),OR(Filter!$B$9="",ISNUMBER(SEARCH(Filter!$B$9,$F56&amp;" "&amp;$G56)))),COUNTIF($O$6:$O55,"&gt;0")+1,0))</f>
        <v>50</v>
      </c>
    </row>
    <row r="57" customFormat="false" ht="178.5" hidden="false" customHeight="true" outlineLevel="0" collapsed="false">
      <c r="B57" s="30" t="s">
        <v>319</v>
      </c>
      <c r="C57" s="30" t="s">
        <v>286</v>
      </c>
      <c r="D57" s="30" t="s">
        <v>320</v>
      </c>
      <c r="E57" s="30" t="s">
        <v>42</v>
      </c>
      <c r="F57" s="30" t="s">
        <v>321</v>
      </c>
      <c r="G57" s="30" t="s">
        <v>322</v>
      </c>
      <c r="H57" s="30" t="s">
        <v>323</v>
      </c>
      <c r="I57" s="30" t="s">
        <v>301</v>
      </c>
      <c r="J57" s="30" t="s">
        <v>301</v>
      </c>
      <c r="K57" s="31" t="s">
        <v>47</v>
      </c>
      <c r="L57" s="32"/>
      <c r="M57" s="30"/>
      <c r="N57" s="30" t="s">
        <v>48</v>
      </c>
      <c r="O57" s="1" t="n">
        <f aca="false">IF($B57="",0,IF(AND(OR(Filter!$B$5="(alle)",$N57=Filter!$B$5),OR(Filter!$E$5="(alle)",$K57=Filter!$E$5),OR(Filter!$H$5="(alle)",$C57=Filter!$H$5),OR(Filter!$B$7="(alle)",$E57=Filter!$B$7),OR(Filter!$E$7="(alle)",ISNUMBER(SEARCH(Filter!$E$7,$J57))),OR(Filter!$H$7="(alle)",ISNUMBER(SEARCH(Filter!$H$7,$I57))),OR(Filter!$B$9="",ISNUMBER(SEARCH(Filter!$B$9,$F57&amp;" "&amp;$G57)))),COUNTIF($O$6:$O56,"&gt;0")+1,0))</f>
        <v>51</v>
      </c>
    </row>
    <row r="58" customFormat="false" ht="76.5" hidden="false" customHeight="true" outlineLevel="0" collapsed="false">
      <c r="B58" s="30" t="s">
        <v>324</v>
      </c>
      <c r="C58" s="30" t="s">
        <v>286</v>
      </c>
      <c r="D58" s="30" t="s">
        <v>325</v>
      </c>
      <c r="E58" s="30" t="s">
        <v>42</v>
      </c>
      <c r="F58" s="30" t="s">
        <v>326</v>
      </c>
      <c r="G58" s="30" t="s">
        <v>327</v>
      </c>
      <c r="H58" s="30" t="s">
        <v>328</v>
      </c>
      <c r="I58" s="30" t="s">
        <v>45</v>
      </c>
      <c r="J58" s="30" t="s">
        <v>46</v>
      </c>
      <c r="K58" s="31" t="s">
        <v>47</v>
      </c>
      <c r="L58" s="32"/>
      <c r="M58" s="30"/>
      <c r="N58" s="30" t="s">
        <v>48</v>
      </c>
      <c r="O58" s="1" t="n">
        <f aca="false">IF($B58="",0,IF(AND(OR(Filter!$B$5="(alle)",$N58=Filter!$B$5),OR(Filter!$E$5="(alle)",$K58=Filter!$E$5),OR(Filter!$H$5="(alle)",$C58=Filter!$H$5),OR(Filter!$B$7="(alle)",$E58=Filter!$B$7),OR(Filter!$E$7="(alle)",ISNUMBER(SEARCH(Filter!$E$7,$J58))),OR(Filter!$H$7="(alle)",ISNUMBER(SEARCH(Filter!$H$7,$I58))),OR(Filter!$B$9="",ISNUMBER(SEARCH(Filter!$B$9,$F58&amp;" "&amp;$G58)))),COUNTIF($O$6:$O57,"&gt;0")+1,0))</f>
        <v>52</v>
      </c>
    </row>
    <row r="59" customFormat="false" ht="114.75" hidden="false" customHeight="true" outlineLevel="0" collapsed="false">
      <c r="B59" s="30" t="s">
        <v>329</v>
      </c>
      <c r="C59" s="30" t="s">
        <v>286</v>
      </c>
      <c r="D59" s="30" t="s">
        <v>330</v>
      </c>
      <c r="E59" s="30" t="s">
        <v>331</v>
      </c>
      <c r="F59" s="30" t="s">
        <v>332</v>
      </c>
      <c r="G59" s="30" t="s">
        <v>333</v>
      </c>
      <c r="H59" s="30" t="s">
        <v>334</v>
      </c>
      <c r="I59" s="30" t="s">
        <v>174</v>
      </c>
      <c r="J59" s="30" t="s">
        <v>206</v>
      </c>
      <c r="K59" s="31" t="s">
        <v>151</v>
      </c>
      <c r="L59" s="32"/>
      <c r="M59" s="30"/>
      <c r="N59" s="30" t="s">
        <v>48</v>
      </c>
      <c r="O59" s="1" t="n">
        <f aca="false">IF($B59="",0,IF(AND(OR(Filter!$B$5="(alle)",$N59=Filter!$B$5),OR(Filter!$E$5="(alle)",$K59=Filter!$E$5),OR(Filter!$H$5="(alle)",$C59=Filter!$H$5),OR(Filter!$B$7="(alle)",$E59=Filter!$B$7),OR(Filter!$E$7="(alle)",ISNUMBER(SEARCH(Filter!$E$7,$J59))),OR(Filter!$H$7="(alle)",ISNUMBER(SEARCH(Filter!$H$7,$I59))),OR(Filter!$B$9="",ISNUMBER(SEARCH(Filter!$B$9,$F59&amp;" "&amp;$G59)))),COUNTIF($O$6:$O58,"&gt;0")+1,0))</f>
        <v>53</v>
      </c>
    </row>
    <row r="60" customFormat="false" ht="76.5" hidden="false" customHeight="true" outlineLevel="0" collapsed="false">
      <c r="B60" s="30" t="s">
        <v>335</v>
      </c>
      <c r="C60" s="30" t="s">
        <v>286</v>
      </c>
      <c r="D60" s="30" t="s">
        <v>336</v>
      </c>
      <c r="E60" s="30" t="s">
        <v>190</v>
      </c>
      <c r="F60" s="30" t="s">
        <v>337</v>
      </c>
      <c r="G60" s="30" t="s">
        <v>338</v>
      </c>
      <c r="H60" s="30" t="s">
        <v>339</v>
      </c>
      <c r="I60" s="30" t="s">
        <v>340</v>
      </c>
      <c r="J60" s="30" t="s">
        <v>341</v>
      </c>
      <c r="K60" s="31" t="s">
        <v>47</v>
      </c>
      <c r="L60" s="32"/>
      <c r="M60" s="30"/>
      <c r="N60" s="30" t="s">
        <v>48</v>
      </c>
      <c r="O60" s="1" t="n">
        <f aca="false">IF($B60="",0,IF(AND(OR(Filter!$B$5="(alle)",$N60=Filter!$B$5),OR(Filter!$E$5="(alle)",$K60=Filter!$E$5),OR(Filter!$H$5="(alle)",$C60=Filter!$H$5),OR(Filter!$B$7="(alle)",$E60=Filter!$B$7),OR(Filter!$E$7="(alle)",ISNUMBER(SEARCH(Filter!$E$7,$J60))),OR(Filter!$H$7="(alle)",ISNUMBER(SEARCH(Filter!$H$7,$I60))),OR(Filter!$B$9="",ISNUMBER(SEARCH(Filter!$B$9,$F60&amp;" "&amp;$G60)))),COUNTIF($O$6:$O59,"&gt;0")+1,0))</f>
        <v>54</v>
      </c>
    </row>
    <row r="61" customFormat="false" ht="76.5" hidden="false" customHeight="true" outlineLevel="0" collapsed="false">
      <c r="B61" s="30" t="s">
        <v>342</v>
      </c>
      <c r="C61" s="30" t="s">
        <v>286</v>
      </c>
      <c r="D61" s="30" t="s">
        <v>343</v>
      </c>
      <c r="E61" s="30" t="s">
        <v>344</v>
      </c>
      <c r="F61" s="30" t="s">
        <v>345</v>
      </c>
      <c r="G61" s="30" t="s">
        <v>346</v>
      </c>
      <c r="H61" s="30" t="s">
        <v>347</v>
      </c>
      <c r="I61" s="30" t="s">
        <v>306</v>
      </c>
      <c r="J61" s="30" t="s">
        <v>206</v>
      </c>
      <c r="K61" s="31" t="s">
        <v>47</v>
      </c>
      <c r="L61" s="32"/>
      <c r="M61" s="30"/>
      <c r="N61" s="30" t="s">
        <v>48</v>
      </c>
      <c r="O61" s="1" t="n">
        <f aca="false">IF($B61="",0,IF(AND(OR(Filter!$B$5="(alle)",$N61=Filter!$B$5),OR(Filter!$E$5="(alle)",$K61=Filter!$E$5),OR(Filter!$H$5="(alle)",$C61=Filter!$H$5),OR(Filter!$B$7="(alle)",$E61=Filter!$B$7),OR(Filter!$E$7="(alle)",ISNUMBER(SEARCH(Filter!$E$7,$J61))),OR(Filter!$H$7="(alle)",ISNUMBER(SEARCH(Filter!$H$7,$I61))),OR(Filter!$B$9="",ISNUMBER(SEARCH(Filter!$B$9,$F61&amp;" "&amp;$G61)))),COUNTIF($O$6:$O60,"&gt;0")+1,0))</f>
        <v>55</v>
      </c>
    </row>
    <row r="62" customFormat="false" ht="102" hidden="false" customHeight="true" outlineLevel="0" collapsed="false">
      <c r="B62" s="30" t="s">
        <v>348</v>
      </c>
      <c r="C62" s="30" t="s">
        <v>286</v>
      </c>
      <c r="D62" s="30" t="s">
        <v>349</v>
      </c>
      <c r="E62" s="30" t="s">
        <v>344</v>
      </c>
      <c r="F62" s="30" t="s">
        <v>350</v>
      </c>
      <c r="G62" s="30" t="s">
        <v>351</v>
      </c>
      <c r="H62" s="30" t="s">
        <v>352</v>
      </c>
      <c r="I62" s="30" t="s">
        <v>306</v>
      </c>
      <c r="J62" s="30" t="s">
        <v>206</v>
      </c>
      <c r="K62" s="31" t="s">
        <v>47</v>
      </c>
      <c r="L62" s="32"/>
      <c r="M62" s="30"/>
      <c r="N62" s="30" t="s">
        <v>48</v>
      </c>
      <c r="O62" s="1" t="n">
        <f aca="false">IF($B62="",0,IF(AND(OR(Filter!$B$5="(alle)",$N62=Filter!$B$5),OR(Filter!$E$5="(alle)",$K62=Filter!$E$5),OR(Filter!$H$5="(alle)",$C62=Filter!$H$5),OR(Filter!$B$7="(alle)",$E62=Filter!$B$7),OR(Filter!$E$7="(alle)",ISNUMBER(SEARCH(Filter!$E$7,$J62))),OR(Filter!$H$7="(alle)",ISNUMBER(SEARCH(Filter!$H$7,$I62))),OR(Filter!$B$9="",ISNUMBER(SEARCH(Filter!$B$9,$F62&amp;" "&amp;$G62)))),COUNTIF($O$6:$O61,"&gt;0")+1,0))</f>
        <v>56</v>
      </c>
    </row>
    <row r="63" customFormat="false" ht="191.25" hidden="false" customHeight="true" outlineLevel="0" collapsed="false">
      <c r="B63" s="30" t="s">
        <v>353</v>
      </c>
      <c r="C63" s="30" t="s">
        <v>286</v>
      </c>
      <c r="D63" s="30" t="s">
        <v>354</v>
      </c>
      <c r="E63" s="30" t="s">
        <v>355</v>
      </c>
      <c r="F63" s="30" t="s">
        <v>356</v>
      </c>
      <c r="G63" s="30" t="s">
        <v>357</v>
      </c>
      <c r="H63" s="30" t="s">
        <v>358</v>
      </c>
      <c r="I63" s="30" t="s">
        <v>306</v>
      </c>
      <c r="J63" s="30" t="s">
        <v>206</v>
      </c>
      <c r="K63" s="31" t="s">
        <v>47</v>
      </c>
      <c r="L63" s="32"/>
      <c r="M63" s="30"/>
      <c r="N63" s="30" t="s">
        <v>48</v>
      </c>
      <c r="O63" s="1" t="n">
        <f aca="false">IF($B63="",0,IF(AND(OR(Filter!$B$5="(alle)",$N63=Filter!$B$5),OR(Filter!$E$5="(alle)",$K63=Filter!$E$5),OR(Filter!$H$5="(alle)",$C63=Filter!$H$5),OR(Filter!$B$7="(alle)",$E63=Filter!$B$7),OR(Filter!$E$7="(alle)",ISNUMBER(SEARCH(Filter!$E$7,$J63))),OR(Filter!$H$7="(alle)",ISNUMBER(SEARCH(Filter!$H$7,$I63))),OR(Filter!$B$9="",ISNUMBER(SEARCH(Filter!$B$9,$F63&amp;" "&amp;$G63)))),COUNTIF($O$6:$O62,"&gt;0")+1,0))</f>
        <v>57</v>
      </c>
    </row>
    <row r="64" customFormat="false" ht="191.25" hidden="false" customHeight="true" outlineLevel="0" collapsed="false">
      <c r="B64" s="30" t="s">
        <v>359</v>
      </c>
      <c r="C64" s="30" t="s">
        <v>286</v>
      </c>
      <c r="D64" s="30" t="s">
        <v>360</v>
      </c>
      <c r="E64" s="30" t="s">
        <v>361</v>
      </c>
      <c r="F64" s="30" t="s">
        <v>362</v>
      </c>
      <c r="G64" s="30" t="s">
        <v>363</v>
      </c>
      <c r="H64" s="30" t="s">
        <v>364</v>
      </c>
      <c r="I64" s="30" t="s">
        <v>306</v>
      </c>
      <c r="J64" s="30" t="s">
        <v>206</v>
      </c>
      <c r="K64" s="31" t="s">
        <v>47</v>
      </c>
      <c r="L64" s="32"/>
      <c r="M64" s="30"/>
      <c r="N64" s="30" t="s">
        <v>48</v>
      </c>
      <c r="O64" s="1" t="n">
        <f aca="false">IF($B64="",0,IF(AND(OR(Filter!$B$5="(alle)",$N64=Filter!$B$5),OR(Filter!$E$5="(alle)",$K64=Filter!$E$5),OR(Filter!$H$5="(alle)",$C64=Filter!$H$5),OR(Filter!$B$7="(alle)",$E64=Filter!$B$7),OR(Filter!$E$7="(alle)",ISNUMBER(SEARCH(Filter!$E$7,$J64))),OR(Filter!$H$7="(alle)",ISNUMBER(SEARCH(Filter!$H$7,$I64))),OR(Filter!$B$9="",ISNUMBER(SEARCH(Filter!$B$9,$F64&amp;" "&amp;$G64)))),COUNTIF($O$6:$O63,"&gt;0")+1,0))</f>
        <v>58</v>
      </c>
    </row>
    <row r="65" customFormat="false" ht="89.25" hidden="false" customHeight="true" outlineLevel="0" collapsed="false">
      <c r="B65" s="30" t="s">
        <v>365</v>
      </c>
      <c r="C65" s="30" t="s">
        <v>286</v>
      </c>
      <c r="D65" s="30" t="s">
        <v>366</v>
      </c>
      <c r="E65" s="30" t="s">
        <v>331</v>
      </c>
      <c r="F65" s="30" t="s">
        <v>367</v>
      </c>
      <c r="G65" s="30" t="s">
        <v>368</v>
      </c>
      <c r="H65" s="30" t="s">
        <v>369</v>
      </c>
      <c r="I65" s="30" t="s">
        <v>306</v>
      </c>
      <c r="J65" s="30" t="s">
        <v>206</v>
      </c>
      <c r="K65" s="31" t="s">
        <v>151</v>
      </c>
      <c r="L65" s="32"/>
      <c r="M65" s="30" t="s">
        <v>370</v>
      </c>
      <c r="N65" s="30" t="s">
        <v>48</v>
      </c>
      <c r="O65" s="1" t="n">
        <f aca="false">IF($B65="",0,IF(AND(OR(Filter!$B$5="(alle)",$N65=Filter!$B$5),OR(Filter!$E$5="(alle)",$K65=Filter!$E$5),OR(Filter!$H$5="(alle)",$C65=Filter!$H$5),OR(Filter!$B$7="(alle)",$E65=Filter!$B$7),OR(Filter!$E$7="(alle)",ISNUMBER(SEARCH(Filter!$E$7,$J65))),OR(Filter!$H$7="(alle)",ISNUMBER(SEARCH(Filter!$H$7,$I65))),OR(Filter!$B$9="",ISNUMBER(SEARCH(Filter!$B$9,$F65&amp;" "&amp;$G65)))),COUNTIF($O$6:$O64,"&gt;0")+1,0))</f>
        <v>59</v>
      </c>
    </row>
    <row r="66" customFormat="false" ht="204" hidden="false" customHeight="true" outlineLevel="0" collapsed="false">
      <c r="B66" s="30" t="s">
        <v>371</v>
      </c>
      <c r="C66" s="30" t="s">
        <v>286</v>
      </c>
      <c r="D66" s="30" t="s">
        <v>372</v>
      </c>
      <c r="E66" s="30" t="s">
        <v>331</v>
      </c>
      <c r="F66" s="30" t="s">
        <v>373</v>
      </c>
      <c r="G66" s="30" t="s">
        <v>374</v>
      </c>
      <c r="H66" s="30" t="s">
        <v>375</v>
      </c>
      <c r="I66" s="30" t="s">
        <v>306</v>
      </c>
      <c r="J66" s="30" t="s">
        <v>206</v>
      </c>
      <c r="K66" s="31" t="s">
        <v>151</v>
      </c>
      <c r="L66" s="32"/>
      <c r="M66" s="30" t="s">
        <v>370</v>
      </c>
      <c r="N66" s="30" t="s">
        <v>48</v>
      </c>
      <c r="O66" s="1" t="n">
        <f aca="false">IF($B66="",0,IF(AND(OR(Filter!$B$5="(alle)",$N66=Filter!$B$5),OR(Filter!$E$5="(alle)",$K66=Filter!$E$5),OR(Filter!$H$5="(alle)",$C66=Filter!$H$5),OR(Filter!$B$7="(alle)",$E66=Filter!$B$7),OR(Filter!$E$7="(alle)",ISNUMBER(SEARCH(Filter!$E$7,$J66))),OR(Filter!$H$7="(alle)",ISNUMBER(SEARCH(Filter!$H$7,$I66))),OR(Filter!$B$9="",ISNUMBER(SEARCH(Filter!$B$9,$F66&amp;" "&amp;$G66)))),COUNTIF($O$6:$O65,"&gt;0")+1,0))</f>
        <v>60</v>
      </c>
    </row>
    <row r="67" customFormat="false" ht="178.5" hidden="false" customHeight="true" outlineLevel="0" collapsed="false">
      <c r="B67" s="30" t="s">
        <v>376</v>
      </c>
      <c r="C67" s="30" t="s">
        <v>286</v>
      </c>
      <c r="D67" s="30" t="s">
        <v>377</v>
      </c>
      <c r="E67" s="30" t="s">
        <v>361</v>
      </c>
      <c r="F67" s="30" t="s">
        <v>378</v>
      </c>
      <c r="G67" s="30" t="s">
        <v>379</v>
      </c>
      <c r="H67" s="30" t="s">
        <v>380</v>
      </c>
      <c r="I67" s="30" t="s">
        <v>45</v>
      </c>
      <c r="J67" s="30" t="s">
        <v>46</v>
      </c>
      <c r="K67" s="31" t="s">
        <v>47</v>
      </c>
      <c r="L67" s="32"/>
      <c r="M67" s="30"/>
      <c r="N67" s="30" t="s">
        <v>48</v>
      </c>
      <c r="O67" s="1" t="n">
        <f aca="false">IF($B67="",0,IF(AND(OR(Filter!$B$5="(alle)",$N67=Filter!$B$5),OR(Filter!$E$5="(alle)",$K67=Filter!$E$5),OR(Filter!$H$5="(alle)",$C67=Filter!$H$5),OR(Filter!$B$7="(alle)",$E67=Filter!$B$7),OR(Filter!$E$7="(alle)",ISNUMBER(SEARCH(Filter!$E$7,$J67))),OR(Filter!$H$7="(alle)",ISNUMBER(SEARCH(Filter!$H$7,$I67))),OR(Filter!$B$9="",ISNUMBER(SEARCH(Filter!$B$9,$F67&amp;" "&amp;$G67)))),COUNTIF($O$6:$O66,"&gt;0")+1,0))</f>
        <v>61</v>
      </c>
    </row>
    <row r="68" customFormat="false" ht="140.25" hidden="false" customHeight="true" outlineLevel="0" collapsed="false">
      <c r="B68" s="30" t="s">
        <v>381</v>
      </c>
      <c r="C68" s="30" t="s">
        <v>286</v>
      </c>
      <c r="D68" s="30" t="s">
        <v>382</v>
      </c>
      <c r="E68" s="30" t="s">
        <v>331</v>
      </c>
      <c r="F68" s="30" t="s">
        <v>383</v>
      </c>
      <c r="G68" s="30" t="s">
        <v>384</v>
      </c>
      <c r="H68" s="30" t="s">
        <v>385</v>
      </c>
      <c r="I68" s="30" t="s">
        <v>306</v>
      </c>
      <c r="J68" s="30" t="s">
        <v>206</v>
      </c>
      <c r="K68" s="31" t="s">
        <v>151</v>
      </c>
      <c r="L68" s="32"/>
      <c r="M68" s="30" t="s">
        <v>370</v>
      </c>
      <c r="N68" s="30" t="s">
        <v>48</v>
      </c>
      <c r="O68" s="1" t="n">
        <f aca="false">IF($B68="",0,IF(AND(OR(Filter!$B$5="(alle)",$N68=Filter!$B$5),OR(Filter!$E$5="(alle)",$K68=Filter!$E$5),OR(Filter!$H$5="(alle)",$C68=Filter!$H$5),OR(Filter!$B$7="(alle)",$E68=Filter!$B$7),OR(Filter!$E$7="(alle)",ISNUMBER(SEARCH(Filter!$E$7,$J68))),OR(Filter!$H$7="(alle)",ISNUMBER(SEARCH(Filter!$H$7,$I68))),OR(Filter!$B$9="",ISNUMBER(SEARCH(Filter!$B$9,$F68&amp;" "&amp;$G68)))),COUNTIF($O$6:$O67,"&gt;0")+1,0))</f>
        <v>62</v>
      </c>
    </row>
    <row r="69" customFormat="false" ht="51" hidden="false" customHeight="true" outlineLevel="0" collapsed="false">
      <c r="B69" s="30" t="s">
        <v>386</v>
      </c>
      <c r="C69" s="30" t="s">
        <v>286</v>
      </c>
      <c r="D69" s="30" t="s">
        <v>387</v>
      </c>
      <c r="E69" s="30" t="s">
        <v>361</v>
      </c>
      <c r="F69" s="30" t="s">
        <v>388</v>
      </c>
      <c r="G69" s="30" t="s">
        <v>389</v>
      </c>
      <c r="H69" s="30" t="s">
        <v>390</v>
      </c>
      <c r="I69" s="30" t="s">
        <v>306</v>
      </c>
      <c r="J69" s="30" t="s">
        <v>206</v>
      </c>
      <c r="K69" s="31" t="s">
        <v>151</v>
      </c>
      <c r="L69" s="32"/>
      <c r="M69" s="30" t="s">
        <v>391</v>
      </c>
      <c r="N69" s="30" t="s">
        <v>48</v>
      </c>
      <c r="O69" s="1" t="n">
        <f aca="false">IF($B69="",0,IF(AND(OR(Filter!$B$5="(alle)",$N69=Filter!$B$5),OR(Filter!$E$5="(alle)",$K69=Filter!$E$5),OR(Filter!$H$5="(alle)",$C69=Filter!$H$5),OR(Filter!$B$7="(alle)",$E69=Filter!$B$7),OR(Filter!$E$7="(alle)",ISNUMBER(SEARCH(Filter!$E$7,$J69))),OR(Filter!$H$7="(alle)",ISNUMBER(SEARCH(Filter!$H$7,$I69))),OR(Filter!$B$9="",ISNUMBER(SEARCH(Filter!$B$9,$F69&amp;" "&amp;$G69)))),COUNTIF($O$6:$O68,"&gt;0")+1,0))</f>
        <v>63</v>
      </c>
    </row>
    <row r="70" customFormat="false" ht="76.5" hidden="false" customHeight="true" outlineLevel="0" collapsed="false">
      <c r="B70" s="30" t="s">
        <v>392</v>
      </c>
      <c r="C70" s="30" t="s">
        <v>286</v>
      </c>
      <c r="D70" s="30" t="s">
        <v>393</v>
      </c>
      <c r="E70" s="30" t="s">
        <v>210</v>
      </c>
      <c r="F70" s="30" t="s">
        <v>394</v>
      </c>
      <c r="G70" s="30" t="s">
        <v>395</v>
      </c>
      <c r="H70" s="30" t="s">
        <v>396</v>
      </c>
      <c r="I70" s="30" t="s">
        <v>306</v>
      </c>
      <c r="J70" s="30" t="s">
        <v>206</v>
      </c>
      <c r="K70" s="31" t="s">
        <v>47</v>
      </c>
      <c r="L70" s="32"/>
      <c r="M70" s="30"/>
      <c r="N70" s="30" t="s">
        <v>48</v>
      </c>
      <c r="O70" s="1" t="n">
        <f aca="false">IF($B70="",0,IF(AND(OR(Filter!$B$5="(alle)",$N70=Filter!$B$5),OR(Filter!$E$5="(alle)",$K70=Filter!$E$5),OR(Filter!$H$5="(alle)",$C70=Filter!$H$5),OR(Filter!$B$7="(alle)",$E70=Filter!$B$7),OR(Filter!$E$7="(alle)",ISNUMBER(SEARCH(Filter!$E$7,$J70))),OR(Filter!$H$7="(alle)",ISNUMBER(SEARCH(Filter!$H$7,$I70))),OR(Filter!$B$9="",ISNUMBER(SEARCH(Filter!$B$9,$F70&amp;" "&amp;$G70)))),COUNTIF($O$6:$O69,"&gt;0")+1,0))</f>
        <v>64</v>
      </c>
    </row>
    <row r="71" customFormat="false" ht="38.25" hidden="false" customHeight="true" outlineLevel="0" collapsed="false">
      <c r="B71" s="30" t="s">
        <v>397</v>
      </c>
      <c r="C71" s="30" t="s">
        <v>286</v>
      </c>
      <c r="D71" s="30" t="s">
        <v>398</v>
      </c>
      <c r="E71" s="30" t="s">
        <v>331</v>
      </c>
      <c r="F71" s="30" t="s">
        <v>399</v>
      </c>
      <c r="G71" s="30" t="s">
        <v>400</v>
      </c>
      <c r="H71" s="30" t="s">
        <v>401</v>
      </c>
      <c r="I71" s="30" t="s">
        <v>306</v>
      </c>
      <c r="J71" s="30" t="s">
        <v>206</v>
      </c>
      <c r="K71" s="31" t="s">
        <v>151</v>
      </c>
      <c r="L71" s="32"/>
      <c r="M71" s="30" t="s">
        <v>402</v>
      </c>
      <c r="N71" s="30" t="s">
        <v>48</v>
      </c>
      <c r="O71" s="1" t="n">
        <f aca="false">IF($B71="",0,IF(AND(OR(Filter!$B$5="(alle)",$N71=Filter!$B$5),OR(Filter!$E$5="(alle)",$K71=Filter!$E$5),OR(Filter!$H$5="(alle)",$C71=Filter!$H$5),OR(Filter!$B$7="(alle)",$E71=Filter!$B$7),OR(Filter!$E$7="(alle)",ISNUMBER(SEARCH(Filter!$E$7,$J71))),OR(Filter!$H$7="(alle)",ISNUMBER(SEARCH(Filter!$H$7,$I71))),OR(Filter!$B$9="",ISNUMBER(SEARCH(Filter!$B$9,$F71&amp;" "&amp;$G71)))),COUNTIF($O$6:$O70,"&gt;0")+1,0))</f>
        <v>65</v>
      </c>
    </row>
    <row r="72" customFormat="false" ht="89.25" hidden="false" customHeight="true" outlineLevel="0" collapsed="false">
      <c r="B72" s="30" t="s">
        <v>403</v>
      </c>
      <c r="C72" s="30" t="s">
        <v>286</v>
      </c>
      <c r="D72" s="30" t="s">
        <v>404</v>
      </c>
      <c r="E72" s="30" t="s">
        <v>42</v>
      </c>
      <c r="F72" s="30" t="s">
        <v>405</v>
      </c>
      <c r="G72" s="30" t="s">
        <v>406</v>
      </c>
      <c r="H72" s="30" t="s">
        <v>407</v>
      </c>
      <c r="I72" s="30" t="s">
        <v>45</v>
      </c>
      <c r="J72" s="30" t="s">
        <v>46</v>
      </c>
      <c r="K72" s="31" t="s">
        <v>47</v>
      </c>
      <c r="L72" s="32"/>
      <c r="M72" s="30"/>
      <c r="N72" s="30" t="s">
        <v>48</v>
      </c>
      <c r="O72" s="1" t="n">
        <f aca="false">IF($B72="",0,IF(AND(OR(Filter!$B$5="(alle)",$N72=Filter!$B$5),OR(Filter!$E$5="(alle)",$K72=Filter!$E$5),OR(Filter!$H$5="(alle)",$C72=Filter!$H$5),OR(Filter!$B$7="(alle)",$E72=Filter!$B$7),OR(Filter!$E$7="(alle)",ISNUMBER(SEARCH(Filter!$E$7,$J72))),OR(Filter!$H$7="(alle)",ISNUMBER(SEARCH(Filter!$H$7,$I72))),OR(Filter!$B$9="",ISNUMBER(SEARCH(Filter!$B$9,$F72&amp;" "&amp;$G72)))),COUNTIF($O$6:$O71,"&gt;0")+1,0))</f>
        <v>66</v>
      </c>
    </row>
    <row r="73" customFormat="false" ht="76.5" hidden="false" customHeight="true" outlineLevel="0" collapsed="false">
      <c r="B73" s="30" t="s">
        <v>408</v>
      </c>
      <c r="C73" s="30" t="s">
        <v>286</v>
      </c>
      <c r="D73" s="30" t="s">
        <v>409</v>
      </c>
      <c r="E73" s="30" t="s">
        <v>361</v>
      </c>
      <c r="F73" s="30" t="s">
        <v>410</v>
      </c>
      <c r="G73" s="30" t="s">
        <v>411</v>
      </c>
      <c r="H73" s="30" t="s">
        <v>412</v>
      </c>
      <c r="I73" s="30" t="s">
        <v>306</v>
      </c>
      <c r="J73" s="30" t="s">
        <v>206</v>
      </c>
      <c r="K73" s="31" t="s">
        <v>47</v>
      </c>
      <c r="L73" s="32"/>
      <c r="M73" s="30"/>
      <c r="N73" s="30" t="s">
        <v>48</v>
      </c>
      <c r="O73" s="1" t="n">
        <f aca="false">IF($B73="",0,IF(AND(OR(Filter!$B$5="(alle)",$N73=Filter!$B$5),OR(Filter!$E$5="(alle)",$K73=Filter!$E$5),OR(Filter!$H$5="(alle)",$C73=Filter!$H$5),OR(Filter!$B$7="(alle)",$E73=Filter!$B$7),OR(Filter!$E$7="(alle)",ISNUMBER(SEARCH(Filter!$E$7,$J73))),OR(Filter!$H$7="(alle)",ISNUMBER(SEARCH(Filter!$H$7,$I73))),OR(Filter!$B$9="",ISNUMBER(SEARCH(Filter!$B$9,$F73&amp;" "&amp;$G73)))),COUNTIF($O$6:$O72,"&gt;0")+1,0))</f>
        <v>67</v>
      </c>
    </row>
    <row r="74" customFormat="false" ht="204" hidden="false" customHeight="true" outlineLevel="0" collapsed="false">
      <c r="B74" s="30" t="s">
        <v>413</v>
      </c>
      <c r="C74" s="30" t="s">
        <v>286</v>
      </c>
      <c r="D74" s="30" t="s">
        <v>414</v>
      </c>
      <c r="E74" s="30" t="s">
        <v>361</v>
      </c>
      <c r="F74" s="30" t="s">
        <v>415</v>
      </c>
      <c r="G74" s="30" t="s">
        <v>416</v>
      </c>
      <c r="H74" s="30" t="s">
        <v>417</v>
      </c>
      <c r="I74" s="30" t="s">
        <v>306</v>
      </c>
      <c r="J74" s="30" t="s">
        <v>206</v>
      </c>
      <c r="K74" s="31" t="s">
        <v>47</v>
      </c>
      <c r="L74" s="32"/>
      <c r="M74" s="30"/>
      <c r="N74" s="30" t="s">
        <v>48</v>
      </c>
      <c r="O74" s="1" t="n">
        <f aca="false">IF($B74="",0,IF(AND(OR(Filter!$B$5="(alle)",$N74=Filter!$B$5),OR(Filter!$E$5="(alle)",$K74=Filter!$E$5),OR(Filter!$H$5="(alle)",$C74=Filter!$H$5),OR(Filter!$B$7="(alle)",$E74=Filter!$B$7),OR(Filter!$E$7="(alle)",ISNUMBER(SEARCH(Filter!$E$7,$J74))),OR(Filter!$H$7="(alle)",ISNUMBER(SEARCH(Filter!$H$7,$I74))),OR(Filter!$B$9="",ISNUMBER(SEARCH(Filter!$B$9,$F74&amp;" "&amp;$G74)))),COUNTIF($O$6:$O73,"&gt;0")+1,0))</f>
        <v>68</v>
      </c>
    </row>
    <row r="75" customFormat="false" ht="114.75" hidden="false" customHeight="true" outlineLevel="0" collapsed="false">
      <c r="B75" s="30" t="s">
        <v>418</v>
      </c>
      <c r="C75" s="30" t="s">
        <v>286</v>
      </c>
      <c r="D75" s="30" t="s">
        <v>419</v>
      </c>
      <c r="E75" s="30" t="s">
        <v>361</v>
      </c>
      <c r="F75" s="30" t="s">
        <v>420</v>
      </c>
      <c r="G75" s="30" t="s">
        <v>421</v>
      </c>
      <c r="H75" s="30" t="s">
        <v>422</v>
      </c>
      <c r="I75" s="30" t="s">
        <v>306</v>
      </c>
      <c r="J75" s="30" t="s">
        <v>206</v>
      </c>
      <c r="K75" s="31" t="s">
        <v>151</v>
      </c>
      <c r="L75" s="32"/>
      <c r="M75" s="30"/>
      <c r="N75" s="30" t="s">
        <v>48</v>
      </c>
      <c r="O75" s="1" t="n">
        <f aca="false">IF($B75="",0,IF(AND(OR(Filter!$B$5="(alle)",$N75=Filter!$B$5),OR(Filter!$E$5="(alle)",$K75=Filter!$E$5),OR(Filter!$H$5="(alle)",$C75=Filter!$H$5),OR(Filter!$B$7="(alle)",$E75=Filter!$B$7),OR(Filter!$E$7="(alle)",ISNUMBER(SEARCH(Filter!$E$7,$J75))),OR(Filter!$H$7="(alle)",ISNUMBER(SEARCH(Filter!$H$7,$I75))),OR(Filter!$B$9="",ISNUMBER(SEARCH(Filter!$B$9,$F75&amp;" "&amp;$G75)))),COUNTIF($O$6:$O74,"&gt;0")+1,0))</f>
        <v>69</v>
      </c>
    </row>
    <row r="76" customFormat="false" ht="89.25" hidden="false" customHeight="true" outlineLevel="0" collapsed="false">
      <c r="B76" s="30" t="s">
        <v>423</v>
      </c>
      <c r="C76" s="30" t="s">
        <v>286</v>
      </c>
      <c r="D76" s="30" t="s">
        <v>424</v>
      </c>
      <c r="E76" s="30" t="s">
        <v>102</v>
      </c>
      <c r="F76" s="30" t="s">
        <v>425</v>
      </c>
      <c r="G76" s="30" t="s">
        <v>426</v>
      </c>
      <c r="H76" s="30" t="s">
        <v>427</v>
      </c>
      <c r="I76" s="30" t="s">
        <v>45</v>
      </c>
      <c r="J76" s="30" t="s">
        <v>70</v>
      </c>
      <c r="K76" s="31" t="s">
        <v>47</v>
      </c>
      <c r="L76" s="32"/>
      <c r="M76" s="30"/>
      <c r="N76" s="30" t="s">
        <v>48</v>
      </c>
      <c r="O76" s="1" t="n">
        <f aca="false">IF($B76="",0,IF(AND(OR(Filter!$B$5="(alle)",$N76=Filter!$B$5),OR(Filter!$E$5="(alle)",$K76=Filter!$E$5),OR(Filter!$H$5="(alle)",$C76=Filter!$H$5),OR(Filter!$B$7="(alle)",$E76=Filter!$B$7),OR(Filter!$E$7="(alle)",ISNUMBER(SEARCH(Filter!$E$7,$J76))),OR(Filter!$H$7="(alle)",ISNUMBER(SEARCH(Filter!$H$7,$I76))),OR(Filter!$B$9="",ISNUMBER(SEARCH(Filter!$B$9,$F76&amp;" "&amp;$G76)))),COUNTIF($O$6:$O75,"&gt;0")+1,0))</f>
        <v>70</v>
      </c>
    </row>
    <row r="77" customFormat="false" ht="89.25" hidden="false" customHeight="true" outlineLevel="0" collapsed="false">
      <c r="B77" s="30" t="s">
        <v>428</v>
      </c>
      <c r="C77" s="30" t="s">
        <v>286</v>
      </c>
      <c r="D77" s="30" t="s">
        <v>429</v>
      </c>
      <c r="E77" s="30" t="s">
        <v>344</v>
      </c>
      <c r="F77" s="30" t="s">
        <v>430</v>
      </c>
      <c r="G77" s="30" t="s">
        <v>431</v>
      </c>
      <c r="H77" s="30" t="s">
        <v>432</v>
      </c>
      <c r="I77" s="30" t="s">
        <v>306</v>
      </c>
      <c r="J77" s="30" t="s">
        <v>206</v>
      </c>
      <c r="K77" s="31" t="s">
        <v>47</v>
      </c>
      <c r="L77" s="32"/>
      <c r="M77" s="30"/>
      <c r="N77" s="30" t="s">
        <v>48</v>
      </c>
      <c r="O77" s="1" t="n">
        <f aca="false">IF($B77="",0,IF(AND(OR(Filter!$B$5="(alle)",$N77=Filter!$B$5),OR(Filter!$E$5="(alle)",$K77=Filter!$E$5),OR(Filter!$H$5="(alle)",$C77=Filter!$H$5),OR(Filter!$B$7="(alle)",$E77=Filter!$B$7),OR(Filter!$E$7="(alle)",ISNUMBER(SEARCH(Filter!$E$7,$J77))),OR(Filter!$H$7="(alle)",ISNUMBER(SEARCH(Filter!$H$7,$I77))),OR(Filter!$B$9="",ISNUMBER(SEARCH(Filter!$B$9,$F77&amp;" "&amp;$G77)))),COUNTIF($O$6:$O76,"&gt;0")+1,0))</f>
        <v>71</v>
      </c>
    </row>
    <row r="78" customFormat="false" ht="38.25" hidden="false" customHeight="true" outlineLevel="0" collapsed="false">
      <c r="B78" s="30" t="s">
        <v>433</v>
      </c>
      <c r="C78" s="30" t="s">
        <v>286</v>
      </c>
      <c r="D78" s="30" t="s">
        <v>434</v>
      </c>
      <c r="E78" s="30" t="s">
        <v>344</v>
      </c>
      <c r="F78" s="30" t="s">
        <v>435</v>
      </c>
      <c r="G78" s="30" t="s">
        <v>436</v>
      </c>
      <c r="H78" s="30" t="s">
        <v>437</v>
      </c>
      <c r="I78" s="30" t="s">
        <v>306</v>
      </c>
      <c r="J78" s="30" t="s">
        <v>206</v>
      </c>
      <c r="K78" s="31" t="s">
        <v>151</v>
      </c>
      <c r="L78" s="32"/>
      <c r="M78" s="30" t="s">
        <v>438</v>
      </c>
      <c r="N78" s="30" t="s">
        <v>48</v>
      </c>
      <c r="O78" s="1" t="n">
        <f aca="false">IF($B78="",0,IF(AND(OR(Filter!$B$5="(alle)",$N78=Filter!$B$5),OR(Filter!$E$5="(alle)",$K78=Filter!$E$5),OR(Filter!$H$5="(alle)",$C78=Filter!$H$5),OR(Filter!$B$7="(alle)",$E78=Filter!$B$7),OR(Filter!$E$7="(alle)",ISNUMBER(SEARCH(Filter!$E$7,$J78))),OR(Filter!$H$7="(alle)",ISNUMBER(SEARCH(Filter!$H$7,$I78))),OR(Filter!$B$9="",ISNUMBER(SEARCH(Filter!$B$9,$F78&amp;" "&amp;$G78)))),COUNTIF($O$6:$O77,"&gt;0")+1,0))</f>
        <v>72</v>
      </c>
    </row>
    <row r="79" customFormat="false" ht="63.75" hidden="false" customHeight="true" outlineLevel="0" collapsed="false">
      <c r="B79" s="30" t="s">
        <v>439</v>
      </c>
      <c r="C79" s="30" t="s">
        <v>286</v>
      </c>
      <c r="D79" s="30" t="s">
        <v>440</v>
      </c>
      <c r="E79" s="30" t="s">
        <v>344</v>
      </c>
      <c r="F79" s="30" t="s">
        <v>441</v>
      </c>
      <c r="G79" s="30" t="s">
        <v>442</v>
      </c>
      <c r="H79" s="30" t="s">
        <v>443</v>
      </c>
      <c r="I79" s="30" t="s">
        <v>306</v>
      </c>
      <c r="J79" s="30" t="s">
        <v>206</v>
      </c>
      <c r="K79" s="31" t="s">
        <v>47</v>
      </c>
      <c r="L79" s="32"/>
      <c r="M79" s="30"/>
      <c r="N79" s="30" t="s">
        <v>48</v>
      </c>
      <c r="O79" s="1" t="n">
        <f aca="false">IF($B79="",0,IF(AND(OR(Filter!$B$5="(alle)",$N79=Filter!$B$5),OR(Filter!$E$5="(alle)",$K79=Filter!$E$5),OR(Filter!$H$5="(alle)",$C79=Filter!$H$5),OR(Filter!$B$7="(alle)",$E79=Filter!$B$7),OR(Filter!$E$7="(alle)",ISNUMBER(SEARCH(Filter!$E$7,$J79))),OR(Filter!$H$7="(alle)",ISNUMBER(SEARCH(Filter!$H$7,$I79))),OR(Filter!$B$9="",ISNUMBER(SEARCH(Filter!$B$9,$F79&amp;" "&amp;$G79)))),COUNTIF($O$6:$O78,"&gt;0")+1,0))</f>
        <v>73</v>
      </c>
    </row>
    <row r="80" customFormat="false" ht="102" hidden="false" customHeight="true" outlineLevel="0" collapsed="false">
      <c r="B80" s="30" t="s">
        <v>444</v>
      </c>
      <c r="C80" s="30" t="s">
        <v>286</v>
      </c>
      <c r="D80" s="30" t="s">
        <v>445</v>
      </c>
      <c r="E80" s="30" t="s">
        <v>210</v>
      </c>
      <c r="F80" s="30" t="s">
        <v>446</v>
      </c>
      <c r="G80" s="30" t="s">
        <v>447</v>
      </c>
      <c r="H80" s="30" t="s">
        <v>448</v>
      </c>
      <c r="I80" s="30" t="s">
        <v>306</v>
      </c>
      <c r="J80" s="30" t="s">
        <v>206</v>
      </c>
      <c r="K80" s="31" t="s">
        <v>47</v>
      </c>
      <c r="L80" s="32"/>
      <c r="M80" s="30"/>
      <c r="N80" s="30" t="s">
        <v>48</v>
      </c>
      <c r="O80" s="1" t="n">
        <f aca="false">IF($B80="",0,IF(AND(OR(Filter!$B$5="(alle)",$N80=Filter!$B$5),OR(Filter!$E$5="(alle)",$K80=Filter!$E$5),OR(Filter!$H$5="(alle)",$C80=Filter!$H$5),OR(Filter!$B$7="(alle)",$E80=Filter!$B$7),OR(Filter!$E$7="(alle)",ISNUMBER(SEARCH(Filter!$E$7,$J80))),OR(Filter!$H$7="(alle)",ISNUMBER(SEARCH(Filter!$H$7,$I80))),OR(Filter!$B$9="",ISNUMBER(SEARCH(Filter!$B$9,$F80&amp;" "&amp;$G80)))),COUNTIF($O$6:$O79,"&gt;0")+1,0))</f>
        <v>74</v>
      </c>
    </row>
    <row r="81" customFormat="false" ht="51" hidden="false" customHeight="true" outlineLevel="0" collapsed="false">
      <c r="B81" s="30" t="s">
        <v>449</v>
      </c>
      <c r="C81" s="30" t="s">
        <v>286</v>
      </c>
      <c r="D81" s="30" t="s">
        <v>450</v>
      </c>
      <c r="E81" s="30" t="s">
        <v>355</v>
      </c>
      <c r="F81" s="30" t="s">
        <v>451</v>
      </c>
      <c r="G81" s="30" t="s">
        <v>452</v>
      </c>
      <c r="H81" s="30" t="s">
        <v>453</v>
      </c>
      <c r="I81" s="30" t="s">
        <v>306</v>
      </c>
      <c r="J81" s="30" t="s">
        <v>206</v>
      </c>
      <c r="K81" s="31" t="s">
        <v>47</v>
      </c>
      <c r="L81" s="32"/>
      <c r="M81" s="30"/>
      <c r="N81" s="30" t="s">
        <v>48</v>
      </c>
      <c r="O81" s="1" t="n">
        <f aca="false">IF($B81="",0,IF(AND(OR(Filter!$B$5="(alle)",$N81=Filter!$B$5),OR(Filter!$E$5="(alle)",$K81=Filter!$E$5),OR(Filter!$H$5="(alle)",$C81=Filter!$H$5),OR(Filter!$B$7="(alle)",$E81=Filter!$B$7),OR(Filter!$E$7="(alle)",ISNUMBER(SEARCH(Filter!$E$7,$J81))),OR(Filter!$H$7="(alle)",ISNUMBER(SEARCH(Filter!$H$7,$I81))),OR(Filter!$B$9="",ISNUMBER(SEARCH(Filter!$B$9,$F81&amp;" "&amp;$G81)))),COUNTIF($O$6:$O80,"&gt;0")+1,0))</f>
        <v>75</v>
      </c>
    </row>
    <row r="82" customFormat="false" ht="140.25" hidden="false" customHeight="true" outlineLevel="0" collapsed="false">
      <c r="B82" s="30" t="s">
        <v>454</v>
      </c>
      <c r="C82" s="30" t="s">
        <v>286</v>
      </c>
      <c r="D82" s="30" t="s">
        <v>455</v>
      </c>
      <c r="E82" s="30" t="s">
        <v>344</v>
      </c>
      <c r="F82" s="30" t="s">
        <v>456</v>
      </c>
      <c r="G82" s="30" t="s">
        <v>457</v>
      </c>
      <c r="H82" s="30" t="s">
        <v>458</v>
      </c>
      <c r="I82" s="30" t="s">
        <v>306</v>
      </c>
      <c r="J82" s="30" t="s">
        <v>206</v>
      </c>
      <c r="K82" s="31" t="s">
        <v>47</v>
      </c>
      <c r="L82" s="32"/>
      <c r="M82" s="30"/>
      <c r="N82" s="30" t="s">
        <v>48</v>
      </c>
      <c r="O82" s="1" t="n">
        <f aca="false">IF($B82="",0,IF(AND(OR(Filter!$B$5="(alle)",$N82=Filter!$B$5),OR(Filter!$E$5="(alle)",$K82=Filter!$E$5),OR(Filter!$H$5="(alle)",$C82=Filter!$H$5),OR(Filter!$B$7="(alle)",$E82=Filter!$B$7),OR(Filter!$E$7="(alle)",ISNUMBER(SEARCH(Filter!$E$7,$J82))),OR(Filter!$H$7="(alle)",ISNUMBER(SEARCH(Filter!$H$7,$I82))),OR(Filter!$B$9="",ISNUMBER(SEARCH(Filter!$B$9,$F82&amp;" "&amp;$G82)))),COUNTIF($O$6:$O81,"&gt;0")+1,0))</f>
        <v>76</v>
      </c>
    </row>
    <row r="83" customFormat="false" ht="63.75" hidden="false" customHeight="true" outlineLevel="0" collapsed="false">
      <c r="B83" s="30" t="s">
        <v>459</v>
      </c>
      <c r="C83" s="30" t="s">
        <v>286</v>
      </c>
      <c r="D83" s="30" t="s">
        <v>460</v>
      </c>
      <c r="E83" s="30" t="s">
        <v>42</v>
      </c>
      <c r="F83" s="30" t="s">
        <v>461</v>
      </c>
      <c r="G83" s="30" t="s">
        <v>462</v>
      </c>
      <c r="H83" s="30" t="s">
        <v>463</v>
      </c>
      <c r="I83" s="30" t="s">
        <v>464</v>
      </c>
      <c r="J83" s="30" t="s">
        <v>465</v>
      </c>
      <c r="K83" s="31" t="s">
        <v>47</v>
      </c>
      <c r="L83" s="32"/>
      <c r="M83" s="30"/>
      <c r="N83" s="30" t="s">
        <v>48</v>
      </c>
      <c r="O83" s="1" t="n">
        <f aca="false">IF($B83="",0,IF(AND(OR(Filter!$B$5="(alle)",$N83=Filter!$B$5),OR(Filter!$E$5="(alle)",$K83=Filter!$E$5),OR(Filter!$H$5="(alle)",$C83=Filter!$H$5),OR(Filter!$B$7="(alle)",$E83=Filter!$B$7),OR(Filter!$E$7="(alle)",ISNUMBER(SEARCH(Filter!$E$7,$J83))),OR(Filter!$H$7="(alle)",ISNUMBER(SEARCH(Filter!$H$7,$I83))),OR(Filter!$B$9="",ISNUMBER(SEARCH(Filter!$B$9,$F83&amp;" "&amp;$G83)))),COUNTIF($O$6:$O82,"&gt;0")+1,0))</f>
        <v>77</v>
      </c>
    </row>
    <row r="84" customFormat="false" ht="63.75" hidden="false" customHeight="true" outlineLevel="0" collapsed="false">
      <c r="B84" s="30" t="s">
        <v>466</v>
      </c>
      <c r="C84" s="30" t="s">
        <v>286</v>
      </c>
      <c r="D84" s="30" t="s">
        <v>467</v>
      </c>
      <c r="E84" s="30" t="s">
        <v>331</v>
      </c>
      <c r="F84" s="30" t="s">
        <v>468</v>
      </c>
      <c r="G84" s="30" t="s">
        <v>469</v>
      </c>
      <c r="H84" s="30" t="s">
        <v>470</v>
      </c>
      <c r="I84" s="30" t="s">
        <v>306</v>
      </c>
      <c r="J84" s="30" t="s">
        <v>206</v>
      </c>
      <c r="K84" s="31" t="s">
        <v>151</v>
      </c>
      <c r="L84" s="32"/>
      <c r="M84" s="30" t="s">
        <v>370</v>
      </c>
      <c r="N84" s="30" t="s">
        <v>48</v>
      </c>
      <c r="O84" s="1" t="n">
        <f aca="false">IF($B84="",0,IF(AND(OR(Filter!$B$5="(alle)",$N84=Filter!$B$5),OR(Filter!$E$5="(alle)",$K84=Filter!$E$5),OR(Filter!$H$5="(alle)",$C84=Filter!$H$5),OR(Filter!$B$7="(alle)",$E84=Filter!$B$7),OR(Filter!$E$7="(alle)",ISNUMBER(SEARCH(Filter!$E$7,$J84))),OR(Filter!$H$7="(alle)",ISNUMBER(SEARCH(Filter!$H$7,$I84))),OR(Filter!$B$9="",ISNUMBER(SEARCH(Filter!$B$9,$F84&amp;" "&amp;$G84)))),COUNTIF($O$6:$O83,"&gt;0")+1,0))</f>
        <v>78</v>
      </c>
    </row>
    <row r="85" customFormat="false" ht="76.5" hidden="false" customHeight="true" outlineLevel="0" collapsed="false">
      <c r="B85" s="30" t="s">
        <v>471</v>
      </c>
      <c r="C85" s="30" t="s">
        <v>286</v>
      </c>
      <c r="D85" s="30" t="s">
        <v>472</v>
      </c>
      <c r="E85" s="30" t="s">
        <v>355</v>
      </c>
      <c r="F85" s="30" t="s">
        <v>473</v>
      </c>
      <c r="G85" s="30" t="s">
        <v>474</v>
      </c>
      <c r="H85" s="30" t="s">
        <v>475</v>
      </c>
      <c r="I85" s="30" t="s">
        <v>476</v>
      </c>
      <c r="J85" s="30" t="s">
        <v>476</v>
      </c>
      <c r="K85" s="31" t="s">
        <v>47</v>
      </c>
      <c r="L85" s="32"/>
      <c r="M85" s="30"/>
      <c r="N85" s="30" t="s">
        <v>48</v>
      </c>
      <c r="O85" s="1" t="n">
        <f aca="false">IF($B85="",0,IF(AND(OR(Filter!$B$5="(alle)",$N85=Filter!$B$5),OR(Filter!$E$5="(alle)",$K85=Filter!$E$5),OR(Filter!$H$5="(alle)",$C85=Filter!$H$5),OR(Filter!$B$7="(alle)",$E85=Filter!$B$7),OR(Filter!$E$7="(alle)",ISNUMBER(SEARCH(Filter!$E$7,$J85))),OR(Filter!$H$7="(alle)",ISNUMBER(SEARCH(Filter!$H$7,$I85))),OR(Filter!$B$9="",ISNUMBER(SEARCH(Filter!$B$9,$F85&amp;" "&amp;$G85)))),COUNTIF($O$6:$O84,"&gt;0")+1,0))</f>
        <v>79</v>
      </c>
    </row>
    <row r="86" customFormat="false" ht="63.75" hidden="false" customHeight="true" outlineLevel="0" collapsed="false">
      <c r="B86" s="30" t="s">
        <v>477</v>
      </c>
      <c r="C86" s="30" t="s">
        <v>286</v>
      </c>
      <c r="D86" s="30" t="s">
        <v>478</v>
      </c>
      <c r="E86" s="30" t="s">
        <v>361</v>
      </c>
      <c r="F86" s="30" t="s">
        <v>479</v>
      </c>
      <c r="G86" s="30" t="s">
        <v>480</v>
      </c>
      <c r="H86" s="30" t="s">
        <v>481</v>
      </c>
      <c r="I86" s="30" t="s">
        <v>306</v>
      </c>
      <c r="J86" s="30" t="s">
        <v>206</v>
      </c>
      <c r="K86" s="31" t="s">
        <v>47</v>
      </c>
      <c r="L86" s="32"/>
      <c r="M86" s="30"/>
      <c r="N86" s="30" t="s">
        <v>48</v>
      </c>
      <c r="O86" s="1" t="n">
        <f aca="false">IF($B86="",0,IF(AND(OR(Filter!$B$5="(alle)",$N86=Filter!$B$5),OR(Filter!$E$5="(alle)",$K86=Filter!$E$5),OR(Filter!$H$5="(alle)",$C86=Filter!$H$5),OR(Filter!$B$7="(alle)",$E86=Filter!$B$7),OR(Filter!$E$7="(alle)",ISNUMBER(SEARCH(Filter!$E$7,$J86))),OR(Filter!$H$7="(alle)",ISNUMBER(SEARCH(Filter!$H$7,$I86))),OR(Filter!$B$9="",ISNUMBER(SEARCH(Filter!$B$9,$F86&amp;" "&amp;$G86)))),COUNTIF($O$6:$O85,"&gt;0")+1,0))</f>
        <v>80</v>
      </c>
    </row>
    <row r="87" customFormat="false" ht="51" hidden="false" customHeight="true" outlineLevel="0" collapsed="false">
      <c r="B87" s="30" t="s">
        <v>482</v>
      </c>
      <c r="C87" s="30" t="s">
        <v>286</v>
      </c>
      <c r="D87" s="30" t="s">
        <v>483</v>
      </c>
      <c r="E87" s="30" t="s">
        <v>344</v>
      </c>
      <c r="F87" s="30" t="s">
        <v>484</v>
      </c>
      <c r="G87" s="30" t="s">
        <v>485</v>
      </c>
      <c r="H87" s="30" t="s">
        <v>486</v>
      </c>
      <c r="I87" s="30" t="s">
        <v>306</v>
      </c>
      <c r="J87" s="30" t="s">
        <v>206</v>
      </c>
      <c r="K87" s="31" t="s">
        <v>47</v>
      </c>
      <c r="L87" s="32"/>
      <c r="M87" s="30"/>
      <c r="N87" s="30" t="s">
        <v>48</v>
      </c>
      <c r="O87" s="1" t="n">
        <f aca="false">IF($B87="",0,IF(AND(OR(Filter!$B$5="(alle)",$N87=Filter!$B$5),OR(Filter!$E$5="(alle)",$K87=Filter!$E$5),OR(Filter!$H$5="(alle)",$C87=Filter!$H$5),OR(Filter!$B$7="(alle)",$E87=Filter!$B$7),OR(Filter!$E$7="(alle)",ISNUMBER(SEARCH(Filter!$E$7,$J87))),OR(Filter!$H$7="(alle)",ISNUMBER(SEARCH(Filter!$H$7,$I87))),OR(Filter!$B$9="",ISNUMBER(SEARCH(Filter!$B$9,$F87&amp;" "&amp;$G87)))),COUNTIF($O$6:$O86,"&gt;0")+1,0))</f>
        <v>81</v>
      </c>
    </row>
    <row r="88" customFormat="false" ht="89.25" hidden="false" customHeight="true" outlineLevel="0" collapsed="false">
      <c r="B88" s="30" t="s">
        <v>487</v>
      </c>
      <c r="C88" s="30" t="s">
        <v>286</v>
      </c>
      <c r="D88" s="30" t="s">
        <v>488</v>
      </c>
      <c r="E88" s="30" t="s">
        <v>361</v>
      </c>
      <c r="F88" s="30" t="s">
        <v>489</v>
      </c>
      <c r="G88" s="30" t="s">
        <v>490</v>
      </c>
      <c r="H88" s="30" t="s">
        <v>491</v>
      </c>
      <c r="I88" s="30" t="s">
        <v>306</v>
      </c>
      <c r="J88" s="30" t="s">
        <v>206</v>
      </c>
      <c r="K88" s="31" t="s">
        <v>47</v>
      </c>
      <c r="L88" s="32"/>
      <c r="M88" s="30"/>
      <c r="N88" s="30" t="s">
        <v>48</v>
      </c>
      <c r="O88" s="1" t="n">
        <f aca="false">IF($B88="",0,IF(AND(OR(Filter!$B$5="(alle)",$N88=Filter!$B$5),OR(Filter!$E$5="(alle)",$K88=Filter!$E$5),OR(Filter!$H$5="(alle)",$C88=Filter!$H$5),OR(Filter!$B$7="(alle)",$E88=Filter!$B$7),OR(Filter!$E$7="(alle)",ISNUMBER(SEARCH(Filter!$E$7,$J88))),OR(Filter!$H$7="(alle)",ISNUMBER(SEARCH(Filter!$H$7,$I88))),OR(Filter!$B$9="",ISNUMBER(SEARCH(Filter!$B$9,$F88&amp;" "&amp;$G88)))),COUNTIF($O$6:$O87,"&gt;0")+1,0))</f>
        <v>82</v>
      </c>
    </row>
    <row r="89" customFormat="false" ht="140.25" hidden="false" customHeight="true" outlineLevel="0" collapsed="false">
      <c r="B89" s="30" t="s">
        <v>492</v>
      </c>
      <c r="C89" s="30" t="s">
        <v>286</v>
      </c>
      <c r="D89" s="30" t="s">
        <v>493</v>
      </c>
      <c r="E89" s="30" t="s">
        <v>355</v>
      </c>
      <c r="F89" s="30" t="s">
        <v>494</v>
      </c>
      <c r="G89" s="30" t="s">
        <v>495</v>
      </c>
      <c r="H89" s="30" t="s">
        <v>496</v>
      </c>
      <c r="I89" s="30" t="s">
        <v>476</v>
      </c>
      <c r="J89" s="30" t="s">
        <v>476</v>
      </c>
      <c r="K89" s="31" t="s">
        <v>47</v>
      </c>
      <c r="L89" s="32"/>
      <c r="M89" s="30"/>
      <c r="N89" s="30" t="s">
        <v>48</v>
      </c>
      <c r="O89" s="1" t="n">
        <f aca="false">IF($B89="",0,IF(AND(OR(Filter!$B$5="(alle)",$N89=Filter!$B$5),OR(Filter!$E$5="(alle)",$K89=Filter!$E$5),OR(Filter!$H$5="(alle)",$C89=Filter!$H$5),OR(Filter!$B$7="(alle)",$E89=Filter!$B$7),OR(Filter!$E$7="(alle)",ISNUMBER(SEARCH(Filter!$E$7,$J89))),OR(Filter!$H$7="(alle)",ISNUMBER(SEARCH(Filter!$H$7,$I89))),OR(Filter!$B$9="",ISNUMBER(SEARCH(Filter!$B$9,$F89&amp;" "&amp;$G89)))),COUNTIF($O$6:$O88,"&gt;0")+1,0))</f>
        <v>83</v>
      </c>
    </row>
    <row r="90" customFormat="false" ht="51" hidden="false" customHeight="true" outlineLevel="0" collapsed="false">
      <c r="B90" s="30" t="s">
        <v>497</v>
      </c>
      <c r="C90" s="30" t="s">
        <v>286</v>
      </c>
      <c r="D90" s="30" t="s">
        <v>498</v>
      </c>
      <c r="E90" s="30" t="s">
        <v>361</v>
      </c>
      <c r="F90" s="30" t="s">
        <v>499</v>
      </c>
      <c r="G90" s="30" t="s">
        <v>500</v>
      </c>
      <c r="H90" s="30" t="s">
        <v>501</v>
      </c>
      <c r="I90" s="30" t="s">
        <v>158</v>
      </c>
      <c r="J90" s="30" t="s">
        <v>159</v>
      </c>
      <c r="K90" s="31" t="s">
        <v>47</v>
      </c>
      <c r="L90" s="32"/>
      <c r="M90" s="30"/>
      <c r="N90" s="30" t="s">
        <v>48</v>
      </c>
      <c r="O90" s="1" t="n">
        <f aca="false">IF($B90="",0,IF(AND(OR(Filter!$B$5="(alle)",$N90=Filter!$B$5),OR(Filter!$E$5="(alle)",$K90=Filter!$E$5),OR(Filter!$H$5="(alle)",$C90=Filter!$H$5),OR(Filter!$B$7="(alle)",$E90=Filter!$B$7),OR(Filter!$E$7="(alle)",ISNUMBER(SEARCH(Filter!$E$7,$J90))),OR(Filter!$H$7="(alle)",ISNUMBER(SEARCH(Filter!$H$7,$I90))),OR(Filter!$B$9="",ISNUMBER(SEARCH(Filter!$B$9,$F90&amp;" "&amp;$G90)))),COUNTIF($O$6:$O89,"&gt;0")+1,0))</f>
        <v>84</v>
      </c>
    </row>
    <row r="91" customFormat="false" ht="216.75" hidden="false" customHeight="true" outlineLevel="0" collapsed="false">
      <c r="B91" s="30" t="s">
        <v>502</v>
      </c>
      <c r="C91" s="30" t="s">
        <v>286</v>
      </c>
      <c r="D91" s="30" t="s">
        <v>503</v>
      </c>
      <c r="E91" s="30" t="s">
        <v>42</v>
      </c>
      <c r="F91" s="30" t="s">
        <v>504</v>
      </c>
      <c r="G91" s="30" t="s">
        <v>505</v>
      </c>
      <c r="H91" s="30" t="s">
        <v>506</v>
      </c>
      <c r="I91" s="30" t="s">
        <v>98</v>
      </c>
      <c r="J91" s="30" t="s">
        <v>507</v>
      </c>
      <c r="K91" s="31" t="s">
        <v>47</v>
      </c>
      <c r="L91" s="32"/>
      <c r="M91" s="30"/>
      <c r="N91" s="30" t="s">
        <v>65</v>
      </c>
      <c r="O91" s="1" t="n">
        <f aca="false">IF($B91="",0,IF(AND(OR(Filter!$B$5="(alle)",$N91=Filter!$B$5),OR(Filter!$E$5="(alle)",$K91=Filter!$E$5),OR(Filter!$H$5="(alle)",$C91=Filter!$H$5),OR(Filter!$B$7="(alle)",$E91=Filter!$B$7),OR(Filter!$E$7="(alle)",ISNUMBER(SEARCH(Filter!$E$7,$J91))),OR(Filter!$H$7="(alle)",ISNUMBER(SEARCH(Filter!$H$7,$I91))),OR(Filter!$B$9="",ISNUMBER(SEARCH(Filter!$B$9,$F91&amp;" "&amp;$G91)))),COUNTIF($O$6:$O90,"&gt;0")+1,0))</f>
        <v>85</v>
      </c>
    </row>
    <row r="92" customFormat="false" ht="204" hidden="false" customHeight="true" outlineLevel="0" collapsed="false">
      <c r="B92" s="30" t="s">
        <v>508</v>
      </c>
      <c r="C92" s="30" t="s">
        <v>286</v>
      </c>
      <c r="D92" s="30" t="s">
        <v>509</v>
      </c>
      <c r="E92" s="30" t="s">
        <v>355</v>
      </c>
      <c r="F92" s="30" t="s">
        <v>510</v>
      </c>
      <c r="G92" s="30" t="s">
        <v>511</v>
      </c>
      <c r="H92" s="30" t="s">
        <v>512</v>
      </c>
      <c r="I92" s="30" t="s">
        <v>306</v>
      </c>
      <c r="J92" s="30" t="s">
        <v>206</v>
      </c>
      <c r="K92" s="31" t="s">
        <v>47</v>
      </c>
      <c r="L92" s="32"/>
      <c r="M92" s="30"/>
      <c r="N92" s="30" t="s">
        <v>48</v>
      </c>
      <c r="O92" s="1" t="n">
        <f aca="false">IF($B92="",0,IF(AND(OR(Filter!$B$5="(alle)",$N92=Filter!$B$5),OR(Filter!$E$5="(alle)",$K92=Filter!$E$5),OR(Filter!$H$5="(alle)",$C92=Filter!$H$5),OR(Filter!$B$7="(alle)",$E92=Filter!$B$7),OR(Filter!$E$7="(alle)",ISNUMBER(SEARCH(Filter!$E$7,$J92))),OR(Filter!$H$7="(alle)",ISNUMBER(SEARCH(Filter!$H$7,$I92))),OR(Filter!$B$9="",ISNUMBER(SEARCH(Filter!$B$9,$F92&amp;" "&amp;$G92)))),COUNTIF($O$6:$O91,"&gt;0")+1,0))</f>
        <v>86</v>
      </c>
    </row>
    <row r="93" customFormat="false" ht="102" hidden="false" customHeight="true" outlineLevel="0" collapsed="false">
      <c r="B93" s="30" t="s">
        <v>513</v>
      </c>
      <c r="C93" s="30" t="s">
        <v>286</v>
      </c>
      <c r="D93" s="30" t="s">
        <v>514</v>
      </c>
      <c r="E93" s="30" t="s">
        <v>361</v>
      </c>
      <c r="F93" s="30" t="s">
        <v>515</v>
      </c>
      <c r="G93" s="30" t="s">
        <v>516</v>
      </c>
      <c r="H93" s="30" t="s">
        <v>517</v>
      </c>
      <c r="I93" s="30" t="s">
        <v>306</v>
      </c>
      <c r="J93" s="30" t="s">
        <v>206</v>
      </c>
      <c r="K93" s="31" t="s">
        <v>47</v>
      </c>
      <c r="L93" s="32"/>
      <c r="M93" s="30"/>
      <c r="N93" s="30" t="s">
        <v>48</v>
      </c>
      <c r="O93" s="1" t="n">
        <f aca="false">IF($B93="",0,IF(AND(OR(Filter!$B$5="(alle)",$N93=Filter!$B$5),OR(Filter!$E$5="(alle)",$K93=Filter!$E$5),OR(Filter!$H$5="(alle)",$C93=Filter!$H$5),OR(Filter!$B$7="(alle)",$E93=Filter!$B$7),OR(Filter!$E$7="(alle)",ISNUMBER(SEARCH(Filter!$E$7,$J93))),OR(Filter!$H$7="(alle)",ISNUMBER(SEARCH(Filter!$H$7,$I93))),OR(Filter!$B$9="",ISNUMBER(SEARCH(Filter!$B$9,$F93&amp;" "&amp;$G93)))),COUNTIF($O$6:$O92,"&gt;0")+1,0))</f>
        <v>87</v>
      </c>
    </row>
    <row r="94" customFormat="false" ht="89.25" hidden="false" customHeight="true" outlineLevel="0" collapsed="false">
      <c r="B94" s="30" t="s">
        <v>518</v>
      </c>
      <c r="C94" s="30" t="s">
        <v>286</v>
      </c>
      <c r="D94" s="30" t="s">
        <v>519</v>
      </c>
      <c r="E94" s="30" t="s">
        <v>355</v>
      </c>
      <c r="F94" s="30" t="s">
        <v>520</v>
      </c>
      <c r="G94" s="30" t="s">
        <v>521</v>
      </c>
      <c r="H94" s="30" t="s">
        <v>522</v>
      </c>
      <c r="I94" s="30" t="s">
        <v>306</v>
      </c>
      <c r="J94" s="30" t="s">
        <v>206</v>
      </c>
      <c r="K94" s="31" t="s">
        <v>47</v>
      </c>
      <c r="L94" s="32"/>
      <c r="M94" s="30"/>
      <c r="N94" s="30" t="s">
        <v>48</v>
      </c>
      <c r="O94" s="1" t="n">
        <f aca="false">IF($B94="",0,IF(AND(OR(Filter!$B$5="(alle)",$N94=Filter!$B$5),OR(Filter!$E$5="(alle)",$K94=Filter!$E$5),OR(Filter!$H$5="(alle)",$C94=Filter!$H$5),OR(Filter!$B$7="(alle)",$E94=Filter!$B$7),OR(Filter!$E$7="(alle)",ISNUMBER(SEARCH(Filter!$E$7,$J94))),OR(Filter!$H$7="(alle)",ISNUMBER(SEARCH(Filter!$H$7,$I94))),OR(Filter!$B$9="",ISNUMBER(SEARCH(Filter!$B$9,$F94&amp;" "&amp;$G94)))),COUNTIF($O$6:$O93,"&gt;0")+1,0))</f>
        <v>88</v>
      </c>
    </row>
    <row r="95" customFormat="false" ht="63.75" hidden="false" customHeight="true" outlineLevel="0" collapsed="false">
      <c r="B95" s="30" t="s">
        <v>523</v>
      </c>
      <c r="C95" s="30" t="s">
        <v>286</v>
      </c>
      <c r="D95" s="30" t="s">
        <v>524</v>
      </c>
      <c r="E95" s="30" t="s">
        <v>331</v>
      </c>
      <c r="F95" s="30" t="s">
        <v>525</v>
      </c>
      <c r="G95" s="30" t="s">
        <v>526</v>
      </c>
      <c r="H95" s="30" t="s">
        <v>527</v>
      </c>
      <c r="I95" s="30" t="s">
        <v>306</v>
      </c>
      <c r="J95" s="30" t="s">
        <v>206</v>
      </c>
      <c r="K95" s="31" t="s">
        <v>151</v>
      </c>
      <c r="L95" s="32"/>
      <c r="M95" s="30" t="s">
        <v>370</v>
      </c>
      <c r="N95" s="30" t="s">
        <v>48</v>
      </c>
      <c r="O95" s="1" t="n">
        <f aca="false">IF($B95="",0,IF(AND(OR(Filter!$B$5="(alle)",$N95=Filter!$B$5),OR(Filter!$E$5="(alle)",$K95=Filter!$E$5),OR(Filter!$H$5="(alle)",$C95=Filter!$H$5),OR(Filter!$B$7="(alle)",$E95=Filter!$B$7),OR(Filter!$E$7="(alle)",ISNUMBER(SEARCH(Filter!$E$7,$J95))),OR(Filter!$H$7="(alle)",ISNUMBER(SEARCH(Filter!$H$7,$I95))),OR(Filter!$B$9="",ISNUMBER(SEARCH(Filter!$B$9,$F95&amp;" "&amp;$G95)))),COUNTIF($O$6:$O94,"&gt;0")+1,0))</f>
        <v>89</v>
      </c>
    </row>
    <row r="96" customFormat="false" ht="76.5" hidden="false" customHeight="true" outlineLevel="0" collapsed="false">
      <c r="B96" s="30" t="s">
        <v>528</v>
      </c>
      <c r="C96" s="30" t="s">
        <v>286</v>
      </c>
      <c r="D96" s="30" t="s">
        <v>529</v>
      </c>
      <c r="E96" s="30" t="s">
        <v>331</v>
      </c>
      <c r="F96" s="30" t="s">
        <v>530</v>
      </c>
      <c r="G96" s="30" t="s">
        <v>531</v>
      </c>
      <c r="H96" s="30" t="s">
        <v>532</v>
      </c>
      <c r="I96" s="30" t="s">
        <v>306</v>
      </c>
      <c r="J96" s="30" t="s">
        <v>206</v>
      </c>
      <c r="K96" s="31" t="s">
        <v>151</v>
      </c>
      <c r="L96" s="32"/>
      <c r="M96" s="30" t="s">
        <v>370</v>
      </c>
      <c r="N96" s="30" t="s">
        <v>48</v>
      </c>
      <c r="O96" s="1" t="n">
        <f aca="false">IF($B96="",0,IF(AND(OR(Filter!$B$5="(alle)",$N96=Filter!$B$5),OR(Filter!$E$5="(alle)",$K96=Filter!$E$5),OR(Filter!$H$5="(alle)",$C96=Filter!$H$5),OR(Filter!$B$7="(alle)",$E96=Filter!$B$7),OR(Filter!$E$7="(alle)",ISNUMBER(SEARCH(Filter!$E$7,$J96))),OR(Filter!$H$7="(alle)",ISNUMBER(SEARCH(Filter!$H$7,$I96))),OR(Filter!$B$9="",ISNUMBER(SEARCH(Filter!$B$9,$F96&amp;" "&amp;$G96)))),COUNTIF($O$6:$O95,"&gt;0")+1,0))</f>
        <v>90</v>
      </c>
    </row>
    <row r="97" customFormat="false" ht="63.75" hidden="false" customHeight="true" outlineLevel="0" collapsed="false">
      <c r="B97" s="30" t="s">
        <v>533</v>
      </c>
      <c r="C97" s="30" t="s">
        <v>286</v>
      </c>
      <c r="D97" s="30" t="s">
        <v>534</v>
      </c>
      <c r="E97" s="30" t="s">
        <v>361</v>
      </c>
      <c r="F97" s="30" t="s">
        <v>535</v>
      </c>
      <c r="G97" s="30" t="s">
        <v>536</v>
      </c>
      <c r="H97" s="30" t="s">
        <v>537</v>
      </c>
      <c r="I97" s="30" t="s">
        <v>306</v>
      </c>
      <c r="J97" s="30" t="s">
        <v>206</v>
      </c>
      <c r="K97" s="31" t="s">
        <v>47</v>
      </c>
      <c r="L97" s="32"/>
      <c r="M97" s="30"/>
      <c r="N97" s="30" t="s">
        <v>48</v>
      </c>
      <c r="O97" s="1" t="n">
        <f aca="false">IF($B97="",0,IF(AND(OR(Filter!$B$5="(alle)",$N97=Filter!$B$5),OR(Filter!$E$5="(alle)",$K97=Filter!$E$5),OR(Filter!$H$5="(alle)",$C97=Filter!$H$5),OR(Filter!$B$7="(alle)",$E97=Filter!$B$7),OR(Filter!$E$7="(alle)",ISNUMBER(SEARCH(Filter!$E$7,$J97))),OR(Filter!$H$7="(alle)",ISNUMBER(SEARCH(Filter!$H$7,$I97))),OR(Filter!$B$9="",ISNUMBER(SEARCH(Filter!$B$9,$F97&amp;" "&amp;$G97)))),COUNTIF($O$6:$O96,"&gt;0")+1,0))</f>
        <v>91</v>
      </c>
    </row>
    <row r="98" customFormat="false" ht="76.5" hidden="false" customHeight="true" outlineLevel="0" collapsed="false">
      <c r="B98" s="30" t="s">
        <v>538</v>
      </c>
      <c r="C98" s="30" t="s">
        <v>286</v>
      </c>
      <c r="D98" s="30" t="s">
        <v>539</v>
      </c>
      <c r="E98" s="30" t="s">
        <v>102</v>
      </c>
      <c r="F98" s="30" t="s">
        <v>540</v>
      </c>
      <c r="G98" s="30" t="s">
        <v>541</v>
      </c>
      <c r="H98" s="30" t="s">
        <v>542</v>
      </c>
      <c r="I98" s="30" t="s">
        <v>543</v>
      </c>
      <c r="J98" s="30" t="s">
        <v>544</v>
      </c>
      <c r="K98" s="31" t="s">
        <v>47</v>
      </c>
      <c r="L98" s="32"/>
      <c r="M98" s="30"/>
      <c r="N98" s="30" t="s">
        <v>48</v>
      </c>
      <c r="O98" s="1" t="n">
        <f aca="false">IF($B98="",0,IF(AND(OR(Filter!$B$5="(alle)",$N98=Filter!$B$5),OR(Filter!$E$5="(alle)",$K98=Filter!$E$5),OR(Filter!$H$5="(alle)",$C98=Filter!$H$5),OR(Filter!$B$7="(alle)",$E98=Filter!$B$7),OR(Filter!$E$7="(alle)",ISNUMBER(SEARCH(Filter!$E$7,$J98))),OR(Filter!$H$7="(alle)",ISNUMBER(SEARCH(Filter!$H$7,$I98))),OR(Filter!$B$9="",ISNUMBER(SEARCH(Filter!$B$9,$F98&amp;" "&amp;$G98)))),COUNTIF($O$6:$O97,"&gt;0")+1,0))</f>
        <v>92</v>
      </c>
    </row>
    <row r="99" customFormat="false" ht="63.75" hidden="false" customHeight="true" outlineLevel="0" collapsed="false">
      <c r="B99" s="30" t="s">
        <v>545</v>
      </c>
      <c r="C99" s="30" t="s">
        <v>286</v>
      </c>
      <c r="D99" s="30" t="s">
        <v>546</v>
      </c>
      <c r="E99" s="30" t="s">
        <v>547</v>
      </c>
      <c r="F99" s="30" t="s">
        <v>548</v>
      </c>
      <c r="G99" s="30" t="s">
        <v>549</v>
      </c>
      <c r="H99" s="30" t="s">
        <v>550</v>
      </c>
      <c r="I99" s="30" t="s">
        <v>476</v>
      </c>
      <c r="J99" s="30" t="s">
        <v>476</v>
      </c>
      <c r="K99" s="31" t="s">
        <v>47</v>
      </c>
      <c r="L99" s="32"/>
      <c r="M99" s="30"/>
      <c r="N99" s="30" t="s">
        <v>48</v>
      </c>
      <c r="O99" s="1" t="n">
        <f aca="false">IF($B99="",0,IF(AND(OR(Filter!$B$5="(alle)",$N99=Filter!$B$5),OR(Filter!$E$5="(alle)",$K99=Filter!$E$5),OR(Filter!$H$5="(alle)",$C99=Filter!$H$5),OR(Filter!$B$7="(alle)",$E99=Filter!$B$7),OR(Filter!$E$7="(alle)",ISNUMBER(SEARCH(Filter!$E$7,$J99))),OR(Filter!$H$7="(alle)",ISNUMBER(SEARCH(Filter!$H$7,$I99))),OR(Filter!$B$9="",ISNUMBER(SEARCH(Filter!$B$9,$F99&amp;" "&amp;$G99)))),COUNTIF($O$6:$O98,"&gt;0")+1,0))</f>
        <v>93</v>
      </c>
    </row>
    <row r="100" customFormat="false" ht="76.5" hidden="false" customHeight="true" outlineLevel="0" collapsed="false">
      <c r="B100" s="30" t="s">
        <v>551</v>
      </c>
      <c r="C100" s="30" t="s">
        <v>286</v>
      </c>
      <c r="D100" s="30" t="s">
        <v>552</v>
      </c>
      <c r="E100" s="30" t="s">
        <v>210</v>
      </c>
      <c r="F100" s="30" t="s">
        <v>553</v>
      </c>
      <c r="G100" s="30" t="s">
        <v>554</v>
      </c>
      <c r="H100" s="30" t="s">
        <v>555</v>
      </c>
      <c r="I100" s="30" t="s">
        <v>306</v>
      </c>
      <c r="J100" s="30" t="s">
        <v>206</v>
      </c>
      <c r="K100" s="31" t="s">
        <v>47</v>
      </c>
      <c r="L100" s="32"/>
      <c r="M100" s="30"/>
      <c r="N100" s="30" t="s">
        <v>48</v>
      </c>
      <c r="O100" s="1" t="n">
        <f aca="false">IF($B100="",0,IF(AND(OR(Filter!$B$5="(alle)",$N100=Filter!$B$5),OR(Filter!$E$5="(alle)",$K100=Filter!$E$5),OR(Filter!$H$5="(alle)",$C100=Filter!$H$5),OR(Filter!$B$7="(alle)",$E100=Filter!$B$7),OR(Filter!$E$7="(alle)",ISNUMBER(SEARCH(Filter!$E$7,$J100))),OR(Filter!$H$7="(alle)",ISNUMBER(SEARCH(Filter!$H$7,$I100))),OR(Filter!$B$9="",ISNUMBER(SEARCH(Filter!$B$9,$F100&amp;" "&amp;$G100)))),COUNTIF($O$6:$O99,"&gt;0")+1,0))</f>
        <v>94</v>
      </c>
    </row>
    <row r="101" customFormat="false" ht="51" hidden="false" customHeight="true" outlineLevel="0" collapsed="false">
      <c r="B101" s="30" t="s">
        <v>556</v>
      </c>
      <c r="C101" s="30" t="s">
        <v>286</v>
      </c>
      <c r="D101" s="30" t="s">
        <v>557</v>
      </c>
      <c r="E101" s="30" t="s">
        <v>355</v>
      </c>
      <c r="F101" s="30" t="s">
        <v>558</v>
      </c>
      <c r="G101" s="30" t="s">
        <v>559</v>
      </c>
      <c r="H101" s="30" t="s">
        <v>560</v>
      </c>
      <c r="I101" s="30" t="s">
        <v>306</v>
      </c>
      <c r="J101" s="30" t="s">
        <v>206</v>
      </c>
      <c r="K101" s="31" t="s">
        <v>47</v>
      </c>
      <c r="L101" s="32"/>
      <c r="M101" s="30"/>
      <c r="N101" s="30" t="s">
        <v>48</v>
      </c>
      <c r="O101" s="1" t="n">
        <f aca="false">IF($B101="",0,IF(AND(OR(Filter!$B$5="(alle)",$N101=Filter!$B$5),OR(Filter!$E$5="(alle)",$K101=Filter!$E$5),OR(Filter!$H$5="(alle)",$C101=Filter!$H$5),OR(Filter!$B$7="(alle)",$E101=Filter!$B$7),OR(Filter!$E$7="(alle)",ISNUMBER(SEARCH(Filter!$E$7,$J101))),OR(Filter!$H$7="(alle)",ISNUMBER(SEARCH(Filter!$H$7,$I101))),OR(Filter!$B$9="",ISNUMBER(SEARCH(Filter!$B$9,$F101&amp;" "&amp;$G101)))),COUNTIF($O$6:$O100,"&gt;0")+1,0))</f>
        <v>95</v>
      </c>
    </row>
    <row r="102" customFormat="false" ht="51" hidden="false" customHeight="true" outlineLevel="0" collapsed="false">
      <c r="B102" s="30" t="s">
        <v>561</v>
      </c>
      <c r="C102" s="30" t="s">
        <v>286</v>
      </c>
      <c r="D102" s="30" t="s">
        <v>562</v>
      </c>
      <c r="E102" s="30" t="s">
        <v>331</v>
      </c>
      <c r="F102" s="30" t="s">
        <v>563</v>
      </c>
      <c r="G102" s="30" t="s">
        <v>564</v>
      </c>
      <c r="H102" s="30" t="s">
        <v>565</v>
      </c>
      <c r="I102" s="30" t="s">
        <v>306</v>
      </c>
      <c r="J102" s="30" t="s">
        <v>206</v>
      </c>
      <c r="K102" s="31" t="s">
        <v>151</v>
      </c>
      <c r="L102" s="32"/>
      <c r="M102" s="30" t="s">
        <v>370</v>
      </c>
      <c r="N102" s="30" t="s">
        <v>48</v>
      </c>
      <c r="O102" s="1" t="n">
        <f aca="false">IF($B102="",0,IF(AND(OR(Filter!$B$5="(alle)",$N102=Filter!$B$5),OR(Filter!$E$5="(alle)",$K102=Filter!$E$5),OR(Filter!$H$5="(alle)",$C102=Filter!$H$5),OR(Filter!$B$7="(alle)",$E102=Filter!$B$7),OR(Filter!$E$7="(alle)",ISNUMBER(SEARCH(Filter!$E$7,$J102))),OR(Filter!$H$7="(alle)",ISNUMBER(SEARCH(Filter!$H$7,$I102))),OR(Filter!$B$9="",ISNUMBER(SEARCH(Filter!$B$9,$F102&amp;" "&amp;$G102)))),COUNTIF($O$6:$O101,"&gt;0")+1,0))</f>
        <v>96</v>
      </c>
    </row>
    <row r="103" customFormat="false" ht="140.25" hidden="false" customHeight="true" outlineLevel="0" collapsed="false">
      <c r="B103" s="30" t="s">
        <v>566</v>
      </c>
      <c r="C103" s="30" t="s">
        <v>286</v>
      </c>
      <c r="D103" s="30" t="s">
        <v>567</v>
      </c>
      <c r="E103" s="30" t="s">
        <v>361</v>
      </c>
      <c r="F103" s="30" t="s">
        <v>568</v>
      </c>
      <c r="G103" s="30" t="s">
        <v>569</v>
      </c>
      <c r="H103" s="30" t="s">
        <v>570</v>
      </c>
      <c r="I103" s="30" t="s">
        <v>306</v>
      </c>
      <c r="J103" s="30" t="s">
        <v>206</v>
      </c>
      <c r="K103" s="31" t="s">
        <v>47</v>
      </c>
      <c r="L103" s="32"/>
      <c r="M103" s="30"/>
      <c r="N103" s="30" t="s">
        <v>48</v>
      </c>
      <c r="O103" s="1" t="n">
        <f aca="false">IF($B103="",0,IF(AND(OR(Filter!$B$5="(alle)",$N103=Filter!$B$5),OR(Filter!$E$5="(alle)",$K103=Filter!$E$5),OR(Filter!$H$5="(alle)",$C103=Filter!$H$5),OR(Filter!$B$7="(alle)",$E103=Filter!$B$7),OR(Filter!$E$7="(alle)",ISNUMBER(SEARCH(Filter!$E$7,$J103))),OR(Filter!$H$7="(alle)",ISNUMBER(SEARCH(Filter!$H$7,$I103))),OR(Filter!$B$9="",ISNUMBER(SEARCH(Filter!$B$9,$F103&amp;" "&amp;$G103)))),COUNTIF($O$6:$O102,"&gt;0")+1,0))</f>
        <v>97</v>
      </c>
    </row>
    <row r="104" customFormat="false" ht="89.25" hidden="false" customHeight="true" outlineLevel="0" collapsed="false">
      <c r="B104" s="30" t="s">
        <v>571</v>
      </c>
      <c r="C104" s="30" t="s">
        <v>286</v>
      </c>
      <c r="D104" s="30" t="s">
        <v>572</v>
      </c>
      <c r="E104" s="30" t="s">
        <v>361</v>
      </c>
      <c r="F104" s="30" t="s">
        <v>573</v>
      </c>
      <c r="G104" s="30" t="s">
        <v>574</v>
      </c>
      <c r="H104" s="30" t="s">
        <v>575</v>
      </c>
      <c r="I104" s="30" t="s">
        <v>306</v>
      </c>
      <c r="J104" s="30" t="s">
        <v>206</v>
      </c>
      <c r="K104" s="31" t="s">
        <v>47</v>
      </c>
      <c r="L104" s="32"/>
      <c r="M104" s="30"/>
      <c r="N104" s="30" t="s">
        <v>48</v>
      </c>
      <c r="O104" s="1" t="n">
        <f aca="false">IF($B104="",0,IF(AND(OR(Filter!$B$5="(alle)",$N104=Filter!$B$5),OR(Filter!$E$5="(alle)",$K104=Filter!$E$5),OR(Filter!$H$5="(alle)",$C104=Filter!$H$5),OR(Filter!$B$7="(alle)",$E104=Filter!$B$7),OR(Filter!$E$7="(alle)",ISNUMBER(SEARCH(Filter!$E$7,$J104))),OR(Filter!$H$7="(alle)",ISNUMBER(SEARCH(Filter!$H$7,$I104))),OR(Filter!$B$9="",ISNUMBER(SEARCH(Filter!$B$9,$F104&amp;" "&amp;$G104)))),COUNTIF($O$6:$O103,"&gt;0")+1,0))</f>
        <v>98</v>
      </c>
    </row>
    <row r="105" customFormat="false" ht="76.5" hidden="false" customHeight="true" outlineLevel="0" collapsed="false">
      <c r="B105" s="30" t="s">
        <v>576</v>
      </c>
      <c r="C105" s="30" t="s">
        <v>286</v>
      </c>
      <c r="D105" s="30" t="s">
        <v>577</v>
      </c>
      <c r="E105" s="30" t="s">
        <v>361</v>
      </c>
      <c r="F105" s="30" t="s">
        <v>578</v>
      </c>
      <c r="G105" s="30" t="s">
        <v>579</v>
      </c>
      <c r="H105" s="30" t="s">
        <v>580</v>
      </c>
      <c r="I105" s="30" t="s">
        <v>306</v>
      </c>
      <c r="J105" s="30" t="s">
        <v>206</v>
      </c>
      <c r="K105" s="31" t="s">
        <v>47</v>
      </c>
      <c r="L105" s="32"/>
      <c r="M105" s="30"/>
      <c r="N105" s="30" t="s">
        <v>48</v>
      </c>
      <c r="O105" s="1" t="n">
        <f aca="false">IF($B105="",0,IF(AND(OR(Filter!$B$5="(alle)",$N105=Filter!$B$5),OR(Filter!$E$5="(alle)",$K105=Filter!$E$5),OR(Filter!$H$5="(alle)",$C105=Filter!$H$5),OR(Filter!$B$7="(alle)",$E105=Filter!$B$7),OR(Filter!$E$7="(alle)",ISNUMBER(SEARCH(Filter!$E$7,$J105))),OR(Filter!$H$7="(alle)",ISNUMBER(SEARCH(Filter!$H$7,$I105))),OR(Filter!$B$9="",ISNUMBER(SEARCH(Filter!$B$9,$F105&amp;" "&amp;$G105)))),COUNTIF($O$6:$O104,"&gt;0")+1,0))</f>
        <v>99</v>
      </c>
    </row>
    <row r="106" customFormat="false" ht="153" hidden="false" customHeight="true" outlineLevel="0" collapsed="false">
      <c r="B106" s="30" t="s">
        <v>581</v>
      </c>
      <c r="C106" s="30" t="s">
        <v>286</v>
      </c>
      <c r="D106" s="30" t="s">
        <v>582</v>
      </c>
      <c r="E106" s="30" t="s">
        <v>361</v>
      </c>
      <c r="F106" s="30" t="s">
        <v>583</v>
      </c>
      <c r="G106" s="30" t="s">
        <v>584</v>
      </c>
      <c r="H106" s="30" t="s">
        <v>585</v>
      </c>
      <c r="I106" s="30" t="s">
        <v>306</v>
      </c>
      <c r="J106" s="30" t="s">
        <v>206</v>
      </c>
      <c r="K106" s="31" t="s">
        <v>47</v>
      </c>
      <c r="L106" s="32"/>
      <c r="M106" s="30"/>
      <c r="N106" s="30" t="s">
        <v>48</v>
      </c>
      <c r="O106" s="1" t="n">
        <f aca="false">IF($B106="",0,IF(AND(OR(Filter!$B$5="(alle)",$N106=Filter!$B$5),OR(Filter!$E$5="(alle)",$K106=Filter!$E$5),OR(Filter!$H$5="(alle)",$C106=Filter!$H$5),OR(Filter!$B$7="(alle)",$E106=Filter!$B$7),OR(Filter!$E$7="(alle)",ISNUMBER(SEARCH(Filter!$E$7,$J106))),OR(Filter!$H$7="(alle)",ISNUMBER(SEARCH(Filter!$H$7,$I106))),OR(Filter!$B$9="",ISNUMBER(SEARCH(Filter!$B$9,$F106&amp;" "&amp;$G106)))),COUNTIF($O$6:$O105,"&gt;0")+1,0))</f>
        <v>100</v>
      </c>
    </row>
    <row r="107" customFormat="false" ht="38.25" hidden="false" customHeight="true" outlineLevel="0" collapsed="false">
      <c r="B107" s="30" t="s">
        <v>586</v>
      </c>
      <c r="C107" s="30" t="s">
        <v>286</v>
      </c>
      <c r="D107" s="30" t="s">
        <v>587</v>
      </c>
      <c r="E107" s="30" t="s">
        <v>344</v>
      </c>
      <c r="F107" s="30" t="s">
        <v>588</v>
      </c>
      <c r="G107" s="30" t="s">
        <v>589</v>
      </c>
      <c r="H107" s="30" t="s">
        <v>590</v>
      </c>
      <c r="I107" s="30" t="s">
        <v>306</v>
      </c>
      <c r="J107" s="30" t="s">
        <v>206</v>
      </c>
      <c r="K107" s="31" t="s">
        <v>47</v>
      </c>
      <c r="L107" s="32"/>
      <c r="M107" s="30"/>
      <c r="N107" s="30" t="s">
        <v>48</v>
      </c>
      <c r="O107" s="1" t="n">
        <f aca="false">IF($B107="",0,IF(AND(OR(Filter!$B$5="(alle)",$N107=Filter!$B$5),OR(Filter!$E$5="(alle)",$K107=Filter!$E$5),OR(Filter!$H$5="(alle)",$C107=Filter!$H$5),OR(Filter!$B$7="(alle)",$E107=Filter!$B$7),OR(Filter!$E$7="(alle)",ISNUMBER(SEARCH(Filter!$E$7,$J107))),OR(Filter!$H$7="(alle)",ISNUMBER(SEARCH(Filter!$H$7,$I107))),OR(Filter!$B$9="",ISNUMBER(SEARCH(Filter!$B$9,$F107&amp;" "&amp;$G107)))),COUNTIF($O$6:$O106,"&gt;0")+1,0))</f>
        <v>101</v>
      </c>
    </row>
    <row r="108" customFormat="false" ht="153" hidden="false" customHeight="true" outlineLevel="0" collapsed="false">
      <c r="B108" s="30" t="s">
        <v>591</v>
      </c>
      <c r="C108" s="30" t="s">
        <v>286</v>
      </c>
      <c r="D108" s="30" t="s">
        <v>592</v>
      </c>
      <c r="E108" s="30" t="s">
        <v>344</v>
      </c>
      <c r="F108" s="30" t="s">
        <v>593</v>
      </c>
      <c r="G108" s="30" t="s">
        <v>594</v>
      </c>
      <c r="H108" s="30" t="s">
        <v>595</v>
      </c>
      <c r="I108" s="30" t="s">
        <v>306</v>
      </c>
      <c r="J108" s="30" t="s">
        <v>206</v>
      </c>
      <c r="K108" s="31" t="s">
        <v>47</v>
      </c>
      <c r="L108" s="32"/>
      <c r="M108" s="30"/>
      <c r="N108" s="30" t="s">
        <v>48</v>
      </c>
      <c r="O108" s="1" t="n">
        <f aca="false">IF($B108="",0,IF(AND(OR(Filter!$B$5="(alle)",$N108=Filter!$B$5),OR(Filter!$E$5="(alle)",$K108=Filter!$E$5),OR(Filter!$H$5="(alle)",$C108=Filter!$H$5),OR(Filter!$B$7="(alle)",$E108=Filter!$B$7),OR(Filter!$E$7="(alle)",ISNUMBER(SEARCH(Filter!$E$7,$J108))),OR(Filter!$H$7="(alle)",ISNUMBER(SEARCH(Filter!$H$7,$I108))),OR(Filter!$B$9="",ISNUMBER(SEARCH(Filter!$B$9,$F108&amp;" "&amp;$G108)))),COUNTIF($O$6:$O107,"&gt;0")+1,0))</f>
        <v>102</v>
      </c>
    </row>
    <row r="109" customFormat="false" ht="178.5" hidden="false" customHeight="true" outlineLevel="0" collapsed="false">
      <c r="B109" s="30" t="s">
        <v>596</v>
      </c>
      <c r="C109" s="30" t="s">
        <v>286</v>
      </c>
      <c r="D109" s="30" t="s">
        <v>597</v>
      </c>
      <c r="E109" s="30" t="s">
        <v>94</v>
      </c>
      <c r="F109" s="30" t="s">
        <v>598</v>
      </c>
      <c r="G109" s="30" t="s">
        <v>599</v>
      </c>
      <c r="H109" s="30" t="s">
        <v>600</v>
      </c>
      <c r="I109" s="30" t="s">
        <v>45</v>
      </c>
      <c r="J109" s="30" t="s">
        <v>601</v>
      </c>
      <c r="K109" s="31" t="s">
        <v>47</v>
      </c>
      <c r="L109" s="32"/>
      <c r="M109" s="30"/>
      <c r="N109" s="30" t="s">
        <v>48</v>
      </c>
      <c r="O109" s="1" t="n">
        <f aca="false">IF($B109="",0,IF(AND(OR(Filter!$B$5="(alle)",$N109=Filter!$B$5),OR(Filter!$E$5="(alle)",$K109=Filter!$E$5),OR(Filter!$H$5="(alle)",$C109=Filter!$H$5),OR(Filter!$B$7="(alle)",$E109=Filter!$B$7),OR(Filter!$E$7="(alle)",ISNUMBER(SEARCH(Filter!$E$7,$J109))),OR(Filter!$H$7="(alle)",ISNUMBER(SEARCH(Filter!$H$7,$I109))),OR(Filter!$B$9="",ISNUMBER(SEARCH(Filter!$B$9,$F109&amp;" "&amp;$G109)))),COUNTIF($O$6:$O108,"&gt;0")+1,0))</f>
        <v>103</v>
      </c>
    </row>
    <row r="110" customFormat="false" ht="102" hidden="false" customHeight="true" outlineLevel="0" collapsed="false">
      <c r="B110" s="30" t="s">
        <v>602</v>
      </c>
      <c r="C110" s="30" t="s">
        <v>286</v>
      </c>
      <c r="D110" s="30" t="s">
        <v>603</v>
      </c>
      <c r="E110" s="30" t="s">
        <v>604</v>
      </c>
      <c r="F110" s="30" t="s">
        <v>605</v>
      </c>
      <c r="G110" s="30" t="s">
        <v>606</v>
      </c>
      <c r="H110" s="30" t="s">
        <v>607</v>
      </c>
      <c r="I110" s="30" t="s">
        <v>158</v>
      </c>
      <c r="J110" s="30" t="s">
        <v>159</v>
      </c>
      <c r="K110" s="31" t="s">
        <v>47</v>
      </c>
      <c r="L110" s="32"/>
      <c r="M110" s="30"/>
      <c r="N110" s="30" t="s">
        <v>48</v>
      </c>
      <c r="O110" s="1" t="n">
        <f aca="false">IF($B110="",0,IF(AND(OR(Filter!$B$5="(alle)",$N110=Filter!$B$5),OR(Filter!$E$5="(alle)",$K110=Filter!$E$5),OR(Filter!$H$5="(alle)",$C110=Filter!$H$5),OR(Filter!$B$7="(alle)",$E110=Filter!$B$7),OR(Filter!$E$7="(alle)",ISNUMBER(SEARCH(Filter!$E$7,$J110))),OR(Filter!$H$7="(alle)",ISNUMBER(SEARCH(Filter!$H$7,$I110))),OR(Filter!$B$9="",ISNUMBER(SEARCH(Filter!$B$9,$F110&amp;" "&amp;$G110)))),COUNTIF($O$6:$O109,"&gt;0")+1,0))</f>
        <v>104</v>
      </c>
    </row>
    <row r="111" customFormat="false" ht="165.75" hidden="false" customHeight="true" outlineLevel="0" collapsed="false">
      <c r="B111" s="30" t="s">
        <v>608</v>
      </c>
      <c r="C111" s="30" t="s">
        <v>286</v>
      </c>
      <c r="D111" s="30" t="s">
        <v>609</v>
      </c>
      <c r="E111" s="30" t="s">
        <v>361</v>
      </c>
      <c r="F111" s="30" t="s">
        <v>610</v>
      </c>
      <c r="G111" s="30" t="s">
        <v>611</v>
      </c>
      <c r="H111" s="30" t="s">
        <v>612</v>
      </c>
      <c r="I111" s="30" t="s">
        <v>306</v>
      </c>
      <c r="J111" s="30" t="s">
        <v>206</v>
      </c>
      <c r="K111" s="31" t="s">
        <v>47</v>
      </c>
      <c r="L111" s="32"/>
      <c r="M111" s="30"/>
      <c r="N111" s="30" t="s">
        <v>48</v>
      </c>
      <c r="O111" s="1" t="n">
        <f aca="false">IF($B111="",0,IF(AND(OR(Filter!$B$5="(alle)",$N111=Filter!$B$5),OR(Filter!$E$5="(alle)",$K111=Filter!$E$5),OR(Filter!$H$5="(alle)",$C111=Filter!$H$5),OR(Filter!$B$7="(alle)",$E111=Filter!$B$7),OR(Filter!$E$7="(alle)",ISNUMBER(SEARCH(Filter!$E$7,$J111))),OR(Filter!$H$7="(alle)",ISNUMBER(SEARCH(Filter!$H$7,$I111))),OR(Filter!$B$9="",ISNUMBER(SEARCH(Filter!$B$9,$F111&amp;" "&amp;$G111)))),COUNTIF($O$6:$O110,"&gt;0")+1,0))</f>
        <v>105</v>
      </c>
    </row>
    <row r="112" customFormat="false" ht="102" hidden="false" customHeight="true" outlineLevel="0" collapsed="false">
      <c r="B112" s="30" t="s">
        <v>613</v>
      </c>
      <c r="C112" s="30" t="s">
        <v>286</v>
      </c>
      <c r="D112" s="30" t="s">
        <v>614</v>
      </c>
      <c r="E112" s="30" t="s">
        <v>361</v>
      </c>
      <c r="F112" s="30" t="s">
        <v>615</v>
      </c>
      <c r="G112" s="30" t="s">
        <v>616</v>
      </c>
      <c r="H112" s="30" t="s">
        <v>617</v>
      </c>
      <c r="I112" s="30" t="s">
        <v>306</v>
      </c>
      <c r="J112" s="30" t="s">
        <v>206</v>
      </c>
      <c r="K112" s="31" t="s">
        <v>47</v>
      </c>
      <c r="L112" s="32"/>
      <c r="M112" s="30"/>
      <c r="N112" s="30" t="s">
        <v>48</v>
      </c>
      <c r="O112" s="1" t="n">
        <f aca="false">IF($B112="",0,IF(AND(OR(Filter!$B$5="(alle)",$N112=Filter!$B$5),OR(Filter!$E$5="(alle)",$K112=Filter!$E$5),OR(Filter!$H$5="(alle)",$C112=Filter!$H$5),OR(Filter!$B$7="(alle)",$E112=Filter!$B$7),OR(Filter!$E$7="(alle)",ISNUMBER(SEARCH(Filter!$E$7,$J112))),OR(Filter!$H$7="(alle)",ISNUMBER(SEARCH(Filter!$H$7,$I112))),OR(Filter!$B$9="",ISNUMBER(SEARCH(Filter!$B$9,$F112&amp;" "&amp;$G112)))),COUNTIF($O$6:$O111,"&gt;0")+1,0))</f>
        <v>106</v>
      </c>
    </row>
    <row r="113" customFormat="false" ht="25.5" hidden="false" customHeight="true" outlineLevel="0" collapsed="false">
      <c r="B113" s="30" t="s">
        <v>618</v>
      </c>
      <c r="C113" s="30" t="s">
        <v>286</v>
      </c>
      <c r="D113" s="30" t="s">
        <v>619</v>
      </c>
      <c r="E113" s="30" t="s">
        <v>210</v>
      </c>
      <c r="F113" s="30" t="s">
        <v>620</v>
      </c>
      <c r="G113" s="30" t="s">
        <v>621</v>
      </c>
      <c r="H113" s="30" t="s">
        <v>622</v>
      </c>
      <c r="I113" s="30" t="s">
        <v>306</v>
      </c>
      <c r="J113" s="30" t="s">
        <v>206</v>
      </c>
      <c r="K113" s="31" t="s">
        <v>151</v>
      </c>
      <c r="L113" s="32"/>
      <c r="M113" s="30" t="s">
        <v>623</v>
      </c>
      <c r="N113" s="30" t="s">
        <v>48</v>
      </c>
      <c r="O113" s="1" t="n">
        <f aca="false">IF($B113="",0,IF(AND(OR(Filter!$B$5="(alle)",$N113=Filter!$B$5),OR(Filter!$E$5="(alle)",$K113=Filter!$E$5),OR(Filter!$H$5="(alle)",$C113=Filter!$H$5),OR(Filter!$B$7="(alle)",$E113=Filter!$B$7),OR(Filter!$E$7="(alle)",ISNUMBER(SEARCH(Filter!$E$7,$J113))),OR(Filter!$H$7="(alle)",ISNUMBER(SEARCH(Filter!$H$7,$I113))),OR(Filter!$B$9="",ISNUMBER(SEARCH(Filter!$B$9,$F113&amp;" "&amp;$G113)))),COUNTIF($O$6:$O112,"&gt;0")+1,0))</f>
        <v>107</v>
      </c>
    </row>
    <row r="114" customFormat="false" ht="38.25" hidden="false" customHeight="true" outlineLevel="0" collapsed="false">
      <c r="B114" s="30" t="s">
        <v>624</v>
      </c>
      <c r="C114" s="30" t="s">
        <v>286</v>
      </c>
      <c r="D114" s="30" t="s">
        <v>625</v>
      </c>
      <c r="E114" s="30" t="s">
        <v>331</v>
      </c>
      <c r="F114" s="30" t="s">
        <v>626</v>
      </c>
      <c r="G114" s="30" t="s">
        <v>627</v>
      </c>
      <c r="H114" s="30" t="s">
        <v>628</v>
      </c>
      <c r="I114" s="30" t="s">
        <v>306</v>
      </c>
      <c r="J114" s="30" t="s">
        <v>206</v>
      </c>
      <c r="K114" s="31" t="s">
        <v>151</v>
      </c>
      <c r="L114" s="32"/>
      <c r="M114" s="30" t="s">
        <v>629</v>
      </c>
      <c r="N114" s="30" t="s">
        <v>48</v>
      </c>
      <c r="O114" s="1" t="n">
        <f aca="false">IF($B114="",0,IF(AND(OR(Filter!$B$5="(alle)",$N114=Filter!$B$5),OR(Filter!$E$5="(alle)",$K114=Filter!$E$5),OR(Filter!$H$5="(alle)",$C114=Filter!$H$5),OR(Filter!$B$7="(alle)",$E114=Filter!$B$7),OR(Filter!$E$7="(alle)",ISNUMBER(SEARCH(Filter!$E$7,$J114))),OR(Filter!$H$7="(alle)",ISNUMBER(SEARCH(Filter!$H$7,$I114))),OR(Filter!$B$9="",ISNUMBER(SEARCH(Filter!$B$9,$F114&amp;" "&amp;$G114)))),COUNTIF($O$6:$O113,"&gt;0")+1,0))</f>
        <v>108</v>
      </c>
    </row>
    <row r="115" customFormat="false" ht="63.75" hidden="false" customHeight="true" outlineLevel="0" collapsed="false">
      <c r="B115" s="30" t="s">
        <v>630</v>
      </c>
      <c r="C115" s="30" t="s">
        <v>286</v>
      </c>
      <c r="D115" s="30" t="s">
        <v>631</v>
      </c>
      <c r="E115" s="30" t="s">
        <v>355</v>
      </c>
      <c r="F115" s="30" t="s">
        <v>632</v>
      </c>
      <c r="G115" s="30" t="s">
        <v>633</v>
      </c>
      <c r="H115" s="30" t="s">
        <v>634</v>
      </c>
      <c r="I115" s="30" t="s">
        <v>306</v>
      </c>
      <c r="J115" s="30" t="s">
        <v>206</v>
      </c>
      <c r="K115" s="31" t="s">
        <v>47</v>
      </c>
      <c r="L115" s="32"/>
      <c r="M115" s="30"/>
      <c r="N115" s="30" t="s">
        <v>48</v>
      </c>
      <c r="O115" s="1" t="n">
        <f aca="false">IF($B115="",0,IF(AND(OR(Filter!$B$5="(alle)",$N115=Filter!$B$5),OR(Filter!$E$5="(alle)",$K115=Filter!$E$5),OR(Filter!$H$5="(alle)",$C115=Filter!$H$5),OR(Filter!$B$7="(alle)",$E115=Filter!$B$7),OR(Filter!$E$7="(alle)",ISNUMBER(SEARCH(Filter!$E$7,$J115))),OR(Filter!$H$7="(alle)",ISNUMBER(SEARCH(Filter!$H$7,$I115))),OR(Filter!$B$9="",ISNUMBER(SEARCH(Filter!$B$9,$F115&amp;" "&amp;$G115)))),COUNTIF($O$6:$O114,"&gt;0")+1,0))</f>
        <v>109</v>
      </c>
    </row>
    <row r="116" customFormat="false" ht="127.5" hidden="false" customHeight="true" outlineLevel="0" collapsed="false">
      <c r="B116" s="30" t="s">
        <v>635</v>
      </c>
      <c r="C116" s="30" t="s">
        <v>286</v>
      </c>
      <c r="D116" s="30" t="s">
        <v>636</v>
      </c>
      <c r="E116" s="30" t="s">
        <v>102</v>
      </c>
      <c r="F116" s="30" t="s">
        <v>637</v>
      </c>
      <c r="G116" s="30" t="s">
        <v>638</v>
      </c>
      <c r="H116" s="30" t="s">
        <v>639</v>
      </c>
      <c r="I116" s="30" t="s">
        <v>45</v>
      </c>
      <c r="J116" s="30" t="s">
        <v>70</v>
      </c>
      <c r="K116" s="31" t="s">
        <v>47</v>
      </c>
      <c r="L116" s="32"/>
      <c r="M116" s="30"/>
      <c r="N116" s="30" t="s">
        <v>48</v>
      </c>
      <c r="O116" s="1" t="n">
        <f aca="false">IF($B116="",0,IF(AND(OR(Filter!$B$5="(alle)",$N116=Filter!$B$5),OR(Filter!$E$5="(alle)",$K116=Filter!$E$5),OR(Filter!$H$5="(alle)",$C116=Filter!$H$5),OR(Filter!$B$7="(alle)",$E116=Filter!$B$7),OR(Filter!$E$7="(alle)",ISNUMBER(SEARCH(Filter!$E$7,$J116))),OR(Filter!$H$7="(alle)",ISNUMBER(SEARCH(Filter!$H$7,$I116))),OR(Filter!$B$9="",ISNUMBER(SEARCH(Filter!$B$9,$F116&amp;" "&amp;$G116)))),COUNTIF($O$6:$O115,"&gt;0")+1,0))</f>
        <v>110</v>
      </c>
    </row>
    <row r="117" customFormat="false" ht="178.5" hidden="false" customHeight="true" outlineLevel="0" collapsed="false">
      <c r="B117" s="30" t="s">
        <v>640</v>
      </c>
      <c r="C117" s="30" t="s">
        <v>286</v>
      </c>
      <c r="D117" s="30" t="s">
        <v>641</v>
      </c>
      <c r="E117" s="30" t="s">
        <v>361</v>
      </c>
      <c r="F117" s="30" t="s">
        <v>642</v>
      </c>
      <c r="G117" s="30" t="s">
        <v>643</v>
      </c>
      <c r="H117" s="30" t="s">
        <v>644</v>
      </c>
      <c r="I117" s="30" t="s">
        <v>306</v>
      </c>
      <c r="J117" s="30" t="s">
        <v>206</v>
      </c>
      <c r="K117" s="31" t="s">
        <v>47</v>
      </c>
      <c r="L117" s="32"/>
      <c r="M117" s="30"/>
      <c r="N117" s="30" t="s">
        <v>48</v>
      </c>
      <c r="O117" s="1" t="n">
        <f aca="false">IF($B117="",0,IF(AND(OR(Filter!$B$5="(alle)",$N117=Filter!$B$5),OR(Filter!$E$5="(alle)",$K117=Filter!$E$5),OR(Filter!$H$5="(alle)",$C117=Filter!$H$5),OR(Filter!$B$7="(alle)",$E117=Filter!$B$7),OR(Filter!$E$7="(alle)",ISNUMBER(SEARCH(Filter!$E$7,$J117))),OR(Filter!$H$7="(alle)",ISNUMBER(SEARCH(Filter!$H$7,$I117))),OR(Filter!$B$9="",ISNUMBER(SEARCH(Filter!$B$9,$F117&amp;" "&amp;$G117)))),COUNTIF($O$6:$O116,"&gt;0")+1,0))</f>
        <v>111</v>
      </c>
    </row>
    <row r="118" customFormat="false" ht="165.75" hidden="false" customHeight="true" outlineLevel="0" collapsed="false">
      <c r="B118" s="30" t="s">
        <v>645</v>
      </c>
      <c r="C118" s="30" t="s">
        <v>286</v>
      </c>
      <c r="D118" s="30" t="s">
        <v>646</v>
      </c>
      <c r="E118" s="30" t="s">
        <v>361</v>
      </c>
      <c r="F118" s="30" t="s">
        <v>647</v>
      </c>
      <c r="G118" s="30" t="s">
        <v>648</v>
      </c>
      <c r="H118" s="30" t="s">
        <v>649</v>
      </c>
      <c r="I118" s="30" t="s">
        <v>306</v>
      </c>
      <c r="J118" s="30" t="s">
        <v>206</v>
      </c>
      <c r="K118" s="31" t="s">
        <v>47</v>
      </c>
      <c r="L118" s="32"/>
      <c r="M118" s="30"/>
      <c r="N118" s="30" t="s">
        <v>48</v>
      </c>
      <c r="O118" s="1" t="n">
        <f aca="false">IF($B118="",0,IF(AND(OR(Filter!$B$5="(alle)",$N118=Filter!$B$5),OR(Filter!$E$5="(alle)",$K118=Filter!$E$5),OR(Filter!$H$5="(alle)",$C118=Filter!$H$5),OR(Filter!$B$7="(alle)",$E118=Filter!$B$7),OR(Filter!$E$7="(alle)",ISNUMBER(SEARCH(Filter!$E$7,$J118))),OR(Filter!$H$7="(alle)",ISNUMBER(SEARCH(Filter!$H$7,$I118))),OR(Filter!$B$9="",ISNUMBER(SEARCH(Filter!$B$9,$F118&amp;" "&amp;$G118)))),COUNTIF($O$6:$O117,"&gt;0")+1,0))</f>
        <v>112</v>
      </c>
    </row>
    <row r="119" customFormat="false" ht="38.25" hidden="false" customHeight="true" outlineLevel="0" collapsed="false">
      <c r="B119" s="30" t="s">
        <v>650</v>
      </c>
      <c r="C119" s="30" t="s">
        <v>286</v>
      </c>
      <c r="D119" s="30" t="s">
        <v>651</v>
      </c>
      <c r="E119" s="30" t="s">
        <v>361</v>
      </c>
      <c r="F119" s="30" t="s">
        <v>652</v>
      </c>
      <c r="G119" s="30" t="s">
        <v>653</v>
      </c>
      <c r="H119" s="30" t="s">
        <v>654</v>
      </c>
      <c r="I119" s="30" t="s">
        <v>158</v>
      </c>
      <c r="J119" s="30" t="s">
        <v>159</v>
      </c>
      <c r="K119" s="31" t="s">
        <v>47</v>
      </c>
      <c r="L119" s="32"/>
      <c r="M119" s="30"/>
      <c r="N119" s="30" t="s">
        <v>48</v>
      </c>
      <c r="O119" s="1" t="n">
        <f aca="false">IF($B119="",0,IF(AND(OR(Filter!$B$5="(alle)",$N119=Filter!$B$5),OR(Filter!$E$5="(alle)",$K119=Filter!$E$5),OR(Filter!$H$5="(alle)",$C119=Filter!$H$5),OR(Filter!$B$7="(alle)",$E119=Filter!$B$7),OR(Filter!$E$7="(alle)",ISNUMBER(SEARCH(Filter!$E$7,$J119))),OR(Filter!$H$7="(alle)",ISNUMBER(SEARCH(Filter!$H$7,$I119))),OR(Filter!$B$9="",ISNUMBER(SEARCH(Filter!$B$9,$F119&amp;" "&amp;$G119)))),COUNTIF($O$6:$O118,"&gt;0")+1,0))</f>
        <v>113</v>
      </c>
    </row>
    <row r="120" customFormat="false" ht="127.5" hidden="false" customHeight="true" outlineLevel="0" collapsed="false">
      <c r="B120" s="30" t="s">
        <v>655</v>
      </c>
      <c r="C120" s="30" t="s">
        <v>286</v>
      </c>
      <c r="D120" s="30" t="s">
        <v>656</v>
      </c>
      <c r="E120" s="30" t="s">
        <v>361</v>
      </c>
      <c r="F120" s="30" t="s">
        <v>657</v>
      </c>
      <c r="G120" s="30" t="s">
        <v>658</v>
      </c>
      <c r="H120" s="30" t="s">
        <v>659</v>
      </c>
      <c r="I120" s="30" t="s">
        <v>306</v>
      </c>
      <c r="J120" s="30" t="s">
        <v>206</v>
      </c>
      <c r="K120" s="31" t="s">
        <v>47</v>
      </c>
      <c r="L120" s="32"/>
      <c r="M120" s="30"/>
      <c r="N120" s="30" t="s">
        <v>48</v>
      </c>
      <c r="O120" s="1" t="n">
        <f aca="false">IF($B120="",0,IF(AND(OR(Filter!$B$5="(alle)",$N120=Filter!$B$5),OR(Filter!$E$5="(alle)",$K120=Filter!$E$5),OR(Filter!$H$5="(alle)",$C120=Filter!$H$5),OR(Filter!$B$7="(alle)",$E120=Filter!$B$7),OR(Filter!$E$7="(alle)",ISNUMBER(SEARCH(Filter!$E$7,$J120))),OR(Filter!$H$7="(alle)",ISNUMBER(SEARCH(Filter!$H$7,$I120))),OR(Filter!$B$9="",ISNUMBER(SEARCH(Filter!$B$9,$F120&amp;" "&amp;$G120)))),COUNTIF($O$6:$O119,"&gt;0")+1,0))</f>
        <v>114</v>
      </c>
    </row>
    <row r="121" customFormat="false" ht="89.25" hidden="false" customHeight="true" outlineLevel="0" collapsed="false">
      <c r="B121" s="30" t="s">
        <v>660</v>
      </c>
      <c r="C121" s="30" t="s">
        <v>286</v>
      </c>
      <c r="D121" s="30" t="s">
        <v>661</v>
      </c>
      <c r="E121" s="30" t="s">
        <v>361</v>
      </c>
      <c r="F121" s="30" t="s">
        <v>662</v>
      </c>
      <c r="G121" s="30" t="s">
        <v>663</v>
      </c>
      <c r="H121" s="30" t="s">
        <v>664</v>
      </c>
      <c r="I121" s="30" t="s">
        <v>306</v>
      </c>
      <c r="J121" s="30" t="s">
        <v>206</v>
      </c>
      <c r="K121" s="31" t="s">
        <v>47</v>
      </c>
      <c r="L121" s="32"/>
      <c r="M121" s="30"/>
      <c r="N121" s="30" t="s">
        <v>48</v>
      </c>
      <c r="O121" s="1" t="n">
        <f aca="false">IF($B121="",0,IF(AND(OR(Filter!$B$5="(alle)",$N121=Filter!$B$5),OR(Filter!$E$5="(alle)",$K121=Filter!$E$5),OR(Filter!$H$5="(alle)",$C121=Filter!$H$5),OR(Filter!$B$7="(alle)",$E121=Filter!$B$7),OR(Filter!$E$7="(alle)",ISNUMBER(SEARCH(Filter!$E$7,$J121))),OR(Filter!$H$7="(alle)",ISNUMBER(SEARCH(Filter!$H$7,$I121))),OR(Filter!$B$9="",ISNUMBER(SEARCH(Filter!$B$9,$F121&amp;" "&amp;$G121)))),COUNTIF($O$6:$O120,"&gt;0")+1,0))</f>
        <v>115</v>
      </c>
    </row>
    <row r="122" customFormat="false" ht="89.25" hidden="false" customHeight="true" outlineLevel="0" collapsed="false">
      <c r="B122" s="30" t="s">
        <v>665</v>
      </c>
      <c r="C122" s="30" t="s">
        <v>286</v>
      </c>
      <c r="D122" s="30" t="s">
        <v>666</v>
      </c>
      <c r="E122" s="30" t="s">
        <v>355</v>
      </c>
      <c r="F122" s="30" t="s">
        <v>667</v>
      </c>
      <c r="G122" s="30" t="s">
        <v>668</v>
      </c>
      <c r="H122" s="30" t="s">
        <v>669</v>
      </c>
      <c r="I122" s="30" t="s">
        <v>306</v>
      </c>
      <c r="J122" s="30" t="s">
        <v>206</v>
      </c>
      <c r="K122" s="31" t="s">
        <v>47</v>
      </c>
      <c r="L122" s="32"/>
      <c r="M122" s="30"/>
      <c r="N122" s="30" t="s">
        <v>48</v>
      </c>
      <c r="O122" s="1" t="n">
        <f aca="false">IF($B122="",0,IF(AND(OR(Filter!$B$5="(alle)",$N122=Filter!$B$5),OR(Filter!$E$5="(alle)",$K122=Filter!$E$5),OR(Filter!$H$5="(alle)",$C122=Filter!$H$5),OR(Filter!$B$7="(alle)",$E122=Filter!$B$7),OR(Filter!$E$7="(alle)",ISNUMBER(SEARCH(Filter!$E$7,$J122))),OR(Filter!$H$7="(alle)",ISNUMBER(SEARCH(Filter!$H$7,$I122))),OR(Filter!$B$9="",ISNUMBER(SEARCH(Filter!$B$9,$F122&amp;" "&amp;$G122)))),COUNTIF($O$6:$O121,"&gt;0")+1,0))</f>
        <v>116</v>
      </c>
    </row>
    <row r="123" customFormat="false" ht="63.75" hidden="false" customHeight="true" outlineLevel="0" collapsed="false">
      <c r="B123" s="30" t="s">
        <v>670</v>
      </c>
      <c r="C123" s="30" t="s">
        <v>286</v>
      </c>
      <c r="D123" s="30" t="s">
        <v>671</v>
      </c>
      <c r="E123" s="30" t="s">
        <v>361</v>
      </c>
      <c r="F123" s="30" t="s">
        <v>672</v>
      </c>
      <c r="G123" s="30" t="s">
        <v>673</v>
      </c>
      <c r="H123" s="30" t="s">
        <v>674</v>
      </c>
      <c r="I123" s="30" t="s">
        <v>306</v>
      </c>
      <c r="J123" s="30" t="s">
        <v>206</v>
      </c>
      <c r="K123" s="31" t="s">
        <v>47</v>
      </c>
      <c r="L123" s="32"/>
      <c r="M123" s="30"/>
      <c r="N123" s="30" t="s">
        <v>48</v>
      </c>
      <c r="O123" s="1" t="n">
        <f aca="false">IF($B123="",0,IF(AND(OR(Filter!$B$5="(alle)",$N123=Filter!$B$5),OR(Filter!$E$5="(alle)",$K123=Filter!$E$5),OR(Filter!$H$5="(alle)",$C123=Filter!$H$5),OR(Filter!$B$7="(alle)",$E123=Filter!$B$7),OR(Filter!$E$7="(alle)",ISNUMBER(SEARCH(Filter!$E$7,$J123))),OR(Filter!$H$7="(alle)",ISNUMBER(SEARCH(Filter!$H$7,$I123))),OR(Filter!$B$9="",ISNUMBER(SEARCH(Filter!$B$9,$F123&amp;" "&amp;$G123)))),COUNTIF($O$6:$O122,"&gt;0")+1,0))</f>
        <v>117</v>
      </c>
    </row>
    <row r="124" customFormat="false" ht="38.25" hidden="false" customHeight="true" outlineLevel="0" collapsed="false">
      <c r="B124" s="30" t="s">
        <v>675</v>
      </c>
      <c r="C124" s="30" t="s">
        <v>286</v>
      </c>
      <c r="D124" s="30" t="s">
        <v>676</v>
      </c>
      <c r="E124" s="30" t="s">
        <v>361</v>
      </c>
      <c r="F124" s="30" t="s">
        <v>677</v>
      </c>
      <c r="G124" s="30" t="s">
        <v>678</v>
      </c>
      <c r="H124" s="30" t="s">
        <v>679</v>
      </c>
      <c r="I124" s="30" t="s">
        <v>306</v>
      </c>
      <c r="J124" s="30" t="s">
        <v>206</v>
      </c>
      <c r="K124" s="31" t="s">
        <v>151</v>
      </c>
      <c r="L124" s="32"/>
      <c r="M124" s="30" t="s">
        <v>680</v>
      </c>
      <c r="N124" s="30" t="s">
        <v>48</v>
      </c>
      <c r="O124" s="1" t="n">
        <f aca="false">IF($B124="",0,IF(AND(OR(Filter!$B$5="(alle)",$N124=Filter!$B$5),OR(Filter!$E$5="(alle)",$K124=Filter!$E$5),OR(Filter!$H$5="(alle)",$C124=Filter!$H$5),OR(Filter!$B$7="(alle)",$E124=Filter!$B$7),OR(Filter!$E$7="(alle)",ISNUMBER(SEARCH(Filter!$E$7,$J124))),OR(Filter!$H$7="(alle)",ISNUMBER(SEARCH(Filter!$H$7,$I124))),OR(Filter!$B$9="",ISNUMBER(SEARCH(Filter!$B$9,$F124&amp;" "&amp;$G124)))),COUNTIF($O$6:$O123,"&gt;0")+1,0))</f>
        <v>118</v>
      </c>
    </row>
    <row r="125" customFormat="false" ht="63.75" hidden="false" customHeight="true" outlineLevel="0" collapsed="false">
      <c r="B125" s="30" t="s">
        <v>681</v>
      </c>
      <c r="C125" s="30" t="s">
        <v>286</v>
      </c>
      <c r="D125" s="30" t="s">
        <v>682</v>
      </c>
      <c r="E125" s="30" t="s">
        <v>361</v>
      </c>
      <c r="F125" s="30" t="s">
        <v>683</v>
      </c>
      <c r="G125" s="30" t="s">
        <v>684</v>
      </c>
      <c r="H125" s="30" t="s">
        <v>685</v>
      </c>
      <c r="I125" s="30" t="s">
        <v>306</v>
      </c>
      <c r="J125" s="30" t="s">
        <v>206</v>
      </c>
      <c r="K125" s="31" t="s">
        <v>47</v>
      </c>
      <c r="L125" s="32"/>
      <c r="M125" s="30"/>
      <c r="N125" s="30" t="s">
        <v>48</v>
      </c>
      <c r="O125" s="1" t="n">
        <f aca="false">IF($B125="",0,IF(AND(OR(Filter!$B$5="(alle)",$N125=Filter!$B$5),OR(Filter!$E$5="(alle)",$K125=Filter!$E$5),OR(Filter!$H$5="(alle)",$C125=Filter!$H$5),OR(Filter!$B$7="(alle)",$E125=Filter!$B$7),OR(Filter!$E$7="(alle)",ISNUMBER(SEARCH(Filter!$E$7,$J125))),OR(Filter!$H$7="(alle)",ISNUMBER(SEARCH(Filter!$H$7,$I125))),OR(Filter!$B$9="",ISNUMBER(SEARCH(Filter!$B$9,$F125&amp;" "&amp;$G125)))),COUNTIF($O$6:$O124,"&gt;0")+1,0))</f>
        <v>119</v>
      </c>
    </row>
    <row r="126" customFormat="false" ht="63.75" hidden="false" customHeight="true" outlineLevel="0" collapsed="false">
      <c r="B126" s="30" t="s">
        <v>686</v>
      </c>
      <c r="C126" s="30" t="s">
        <v>286</v>
      </c>
      <c r="D126" s="30" t="s">
        <v>687</v>
      </c>
      <c r="E126" s="30" t="s">
        <v>102</v>
      </c>
      <c r="F126" s="30" t="s">
        <v>688</v>
      </c>
      <c r="G126" s="30" t="s">
        <v>689</v>
      </c>
      <c r="H126" s="30" t="s">
        <v>690</v>
      </c>
      <c r="I126" s="30" t="s">
        <v>45</v>
      </c>
      <c r="J126" s="30" t="s">
        <v>70</v>
      </c>
      <c r="K126" s="31" t="s">
        <v>47</v>
      </c>
      <c r="L126" s="32"/>
      <c r="M126" s="30"/>
      <c r="N126" s="30" t="s">
        <v>48</v>
      </c>
      <c r="O126" s="1" t="n">
        <f aca="false">IF($B126="",0,IF(AND(OR(Filter!$B$5="(alle)",$N126=Filter!$B$5),OR(Filter!$E$5="(alle)",$K126=Filter!$E$5),OR(Filter!$H$5="(alle)",$C126=Filter!$H$5),OR(Filter!$B$7="(alle)",$E126=Filter!$B$7),OR(Filter!$E$7="(alle)",ISNUMBER(SEARCH(Filter!$E$7,$J126))),OR(Filter!$H$7="(alle)",ISNUMBER(SEARCH(Filter!$H$7,$I126))),OR(Filter!$B$9="",ISNUMBER(SEARCH(Filter!$B$9,$F126&amp;" "&amp;$G126)))),COUNTIF($O$6:$O125,"&gt;0")+1,0))</f>
        <v>120</v>
      </c>
    </row>
    <row r="127" customFormat="false" ht="344.25" hidden="false" customHeight="true" outlineLevel="0" collapsed="false">
      <c r="B127" s="30" t="s">
        <v>691</v>
      </c>
      <c r="C127" s="30" t="s">
        <v>286</v>
      </c>
      <c r="D127" s="30" t="s">
        <v>692</v>
      </c>
      <c r="E127" s="30" t="s">
        <v>361</v>
      </c>
      <c r="F127" s="30" t="s">
        <v>693</v>
      </c>
      <c r="G127" s="30" t="s">
        <v>694</v>
      </c>
      <c r="H127" s="30" t="s">
        <v>695</v>
      </c>
      <c r="I127" s="30" t="s">
        <v>158</v>
      </c>
      <c r="J127" s="30" t="s">
        <v>159</v>
      </c>
      <c r="K127" s="31" t="s">
        <v>47</v>
      </c>
      <c r="L127" s="32"/>
      <c r="M127" s="30"/>
      <c r="N127" s="30" t="s">
        <v>48</v>
      </c>
      <c r="O127" s="1" t="n">
        <f aca="false">IF($B127="",0,IF(AND(OR(Filter!$B$5="(alle)",$N127=Filter!$B$5),OR(Filter!$E$5="(alle)",$K127=Filter!$E$5),OR(Filter!$H$5="(alle)",$C127=Filter!$H$5),OR(Filter!$B$7="(alle)",$E127=Filter!$B$7),OR(Filter!$E$7="(alle)",ISNUMBER(SEARCH(Filter!$E$7,$J127))),OR(Filter!$H$7="(alle)",ISNUMBER(SEARCH(Filter!$H$7,$I127))),OR(Filter!$B$9="",ISNUMBER(SEARCH(Filter!$B$9,$F127&amp;" "&amp;$G127)))),COUNTIF($O$6:$O126,"&gt;0")+1,0))</f>
        <v>121</v>
      </c>
    </row>
    <row r="128" customFormat="false" ht="127.5" hidden="false" customHeight="true" outlineLevel="0" collapsed="false">
      <c r="B128" s="30" t="s">
        <v>696</v>
      </c>
      <c r="C128" s="30" t="s">
        <v>286</v>
      </c>
      <c r="D128" s="30" t="s">
        <v>697</v>
      </c>
      <c r="E128" s="30" t="s">
        <v>604</v>
      </c>
      <c r="F128" s="30" t="s">
        <v>698</v>
      </c>
      <c r="G128" s="30" t="s">
        <v>699</v>
      </c>
      <c r="H128" s="30" t="s">
        <v>700</v>
      </c>
      <c r="I128" s="30" t="s">
        <v>476</v>
      </c>
      <c r="J128" s="30" t="s">
        <v>476</v>
      </c>
      <c r="K128" s="31" t="s">
        <v>47</v>
      </c>
      <c r="L128" s="32"/>
      <c r="M128" s="30"/>
      <c r="N128" s="30" t="s">
        <v>48</v>
      </c>
      <c r="O128" s="1" t="n">
        <f aca="false">IF($B128="",0,IF(AND(OR(Filter!$B$5="(alle)",$N128=Filter!$B$5),OR(Filter!$E$5="(alle)",$K128=Filter!$E$5),OR(Filter!$H$5="(alle)",$C128=Filter!$H$5),OR(Filter!$B$7="(alle)",$E128=Filter!$B$7),OR(Filter!$E$7="(alle)",ISNUMBER(SEARCH(Filter!$E$7,$J128))),OR(Filter!$H$7="(alle)",ISNUMBER(SEARCH(Filter!$H$7,$I128))),OR(Filter!$B$9="",ISNUMBER(SEARCH(Filter!$B$9,$F128&amp;" "&amp;$G128)))),COUNTIF($O$6:$O127,"&gt;0")+1,0))</f>
        <v>122</v>
      </c>
    </row>
    <row r="129" customFormat="false" ht="63.75" hidden="false" customHeight="true" outlineLevel="0" collapsed="false">
      <c r="B129" s="30" t="s">
        <v>701</v>
      </c>
      <c r="C129" s="30" t="s">
        <v>286</v>
      </c>
      <c r="D129" s="30" t="s">
        <v>702</v>
      </c>
      <c r="E129" s="30" t="s">
        <v>344</v>
      </c>
      <c r="F129" s="30" t="s">
        <v>703</v>
      </c>
      <c r="G129" s="30" t="s">
        <v>704</v>
      </c>
      <c r="H129" s="30" t="s">
        <v>705</v>
      </c>
      <c r="I129" s="30" t="s">
        <v>306</v>
      </c>
      <c r="J129" s="30" t="s">
        <v>206</v>
      </c>
      <c r="K129" s="31" t="s">
        <v>47</v>
      </c>
      <c r="L129" s="32"/>
      <c r="M129" s="30"/>
      <c r="N129" s="30" t="s">
        <v>48</v>
      </c>
      <c r="O129" s="1" t="n">
        <f aca="false">IF($B129="",0,IF(AND(OR(Filter!$B$5="(alle)",$N129=Filter!$B$5),OR(Filter!$E$5="(alle)",$K129=Filter!$E$5),OR(Filter!$H$5="(alle)",$C129=Filter!$H$5),OR(Filter!$B$7="(alle)",$E129=Filter!$B$7),OR(Filter!$E$7="(alle)",ISNUMBER(SEARCH(Filter!$E$7,$J129))),OR(Filter!$H$7="(alle)",ISNUMBER(SEARCH(Filter!$H$7,$I129))),OR(Filter!$B$9="",ISNUMBER(SEARCH(Filter!$B$9,$F129&amp;" "&amp;$G129)))),COUNTIF($O$6:$O128,"&gt;0")+1,0))</f>
        <v>123</v>
      </c>
    </row>
    <row r="130" customFormat="false" ht="140.25" hidden="false" customHeight="true" outlineLevel="0" collapsed="false">
      <c r="B130" s="30" t="s">
        <v>706</v>
      </c>
      <c r="C130" s="30" t="s">
        <v>286</v>
      </c>
      <c r="D130" s="30" t="s">
        <v>707</v>
      </c>
      <c r="E130" s="30" t="s">
        <v>355</v>
      </c>
      <c r="F130" s="30" t="s">
        <v>708</v>
      </c>
      <c r="G130" s="30" t="s">
        <v>709</v>
      </c>
      <c r="H130" s="30" t="s">
        <v>710</v>
      </c>
      <c r="I130" s="30" t="s">
        <v>158</v>
      </c>
      <c r="J130" s="30" t="s">
        <v>159</v>
      </c>
      <c r="K130" s="31" t="s">
        <v>47</v>
      </c>
      <c r="L130" s="32"/>
      <c r="M130" s="30"/>
      <c r="N130" s="30" t="s">
        <v>48</v>
      </c>
      <c r="O130" s="1" t="n">
        <f aca="false">IF($B130="",0,IF(AND(OR(Filter!$B$5="(alle)",$N130=Filter!$B$5),OR(Filter!$E$5="(alle)",$K130=Filter!$E$5),OR(Filter!$H$5="(alle)",$C130=Filter!$H$5),OR(Filter!$B$7="(alle)",$E130=Filter!$B$7),OR(Filter!$E$7="(alle)",ISNUMBER(SEARCH(Filter!$E$7,$J130))),OR(Filter!$H$7="(alle)",ISNUMBER(SEARCH(Filter!$H$7,$I130))),OR(Filter!$B$9="",ISNUMBER(SEARCH(Filter!$B$9,$F130&amp;" "&amp;$G130)))),COUNTIF($O$6:$O129,"&gt;0")+1,0))</f>
        <v>124</v>
      </c>
    </row>
    <row r="131" customFormat="false" ht="76.5" hidden="false" customHeight="true" outlineLevel="0" collapsed="false">
      <c r="B131" s="30" t="s">
        <v>711</v>
      </c>
      <c r="C131" s="30" t="s">
        <v>286</v>
      </c>
      <c r="D131" s="30" t="s">
        <v>712</v>
      </c>
      <c r="E131" s="30" t="s">
        <v>355</v>
      </c>
      <c r="F131" s="30" t="s">
        <v>713</v>
      </c>
      <c r="G131" s="30" t="s">
        <v>714</v>
      </c>
      <c r="H131" s="30" t="s">
        <v>715</v>
      </c>
      <c r="I131" s="30" t="s">
        <v>306</v>
      </c>
      <c r="J131" s="30" t="s">
        <v>206</v>
      </c>
      <c r="K131" s="31" t="s">
        <v>47</v>
      </c>
      <c r="L131" s="32"/>
      <c r="M131" s="30"/>
      <c r="N131" s="30" t="s">
        <v>48</v>
      </c>
      <c r="O131" s="1" t="n">
        <f aca="false">IF($B131="",0,IF(AND(OR(Filter!$B$5="(alle)",$N131=Filter!$B$5),OR(Filter!$E$5="(alle)",$K131=Filter!$E$5),OR(Filter!$H$5="(alle)",$C131=Filter!$H$5),OR(Filter!$B$7="(alle)",$E131=Filter!$B$7),OR(Filter!$E$7="(alle)",ISNUMBER(SEARCH(Filter!$E$7,$J131))),OR(Filter!$H$7="(alle)",ISNUMBER(SEARCH(Filter!$H$7,$I131))),OR(Filter!$B$9="",ISNUMBER(SEARCH(Filter!$B$9,$F131&amp;" "&amp;$G131)))),COUNTIF($O$6:$O130,"&gt;0")+1,0))</f>
        <v>125</v>
      </c>
    </row>
    <row r="132" customFormat="false" ht="25.5" hidden="false" customHeight="true" outlineLevel="0" collapsed="false">
      <c r="B132" s="30" t="s">
        <v>716</v>
      </c>
      <c r="C132" s="30" t="s">
        <v>286</v>
      </c>
      <c r="D132" s="30" t="s">
        <v>717</v>
      </c>
      <c r="E132" s="30" t="s">
        <v>331</v>
      </c>
      <c r="F132" s="30" t="s">
        <v>718</v>
      </c>
      <c r="G132" s="30" t="s">
        <v>719</v>
      </c>
      <c r="H132" s="30" t="s">
        <v>720</v>
      </c>
      <c r="I132" s="30" t="s">
        <v>306</v>
      </c>
      <c r="J132" s="30" t="s">
        <v>206</v>
      </c>
      <c r="K132" s="31" t="s">
        <v>151</v>
      </c>
      <c r="L132" s="32"/>
      <c r="M132" s="30" t="s">
        <v>721</v>
      </c>
      <c r="N132" s="30" t="s">
        <v>48</v>
      </c>
      <c r="O132" s="1" t="n">
        <f aca="false">IF($B132="",0,IF(AND(OR(Filter!$B$5="(alle)",$N132=Filter!$B$5),OR(Filter!$E$5="(alle)",$K132=Filter!$E$5),OR(Filter!$H$5="(alle)",$C132=Filter!$H$5),OR(Filter!$B$7="(alle)",$E132=Filter!$B$7),OR(Filter!$E$7="(alle)",ISNUMBER(SEARCH(Filter!$E$7,$J132))),OR(Filter!$H$7="(alle)",ISNUMBER(SEARCH(Filter!$H$7,$I132))),OR(Filter!$B$9="",ISNUMBER(SEARCH(Filter!$B$9,$F132&amp;" "&amp;$G132)))),COUNTIF($O$6:$O131,"&gt;0")+1,0))</f>
        <v>126</v>
      </c>
    </row>
    <row r="133" customFormat="false" ht="76.5" hidden="false" customHeight="true" outlineLevel="0" collapsed="false">
      <c r="B133" s="30" t="s">
        <v>722</v>
      </c>
      <c r="C133" s="30" t="s">
        <v>286</v>
      </c>
      <c r="D133" s="30" t="s">
        <v>723</v>
      </c>
      <c r="E133" s="30" t="s">
        <v>210</v>
      </c>
      <c r="F133" s="30" t="s">
        <v>724</v>
      </c>
      <c r="G133" s="30" t="s">
        <v>725</v>
      </c>
      <c r="H133" s="30" t="s">
        <v>726</v>
      </c>
      <c r="I133" s="30" t="s">
        <v>306</v>
      </c>
      <c r="J133" s="30" t="s">
        <v>206</v>
      </c>
      <c r="K133" s="31" t="s">
        <v>47</v>
      </c>
      <c r="L133" s="32"/>
      <c r="M133" s="30"/>
      <c r="N133" s="30" t="s">
        <v>48</v>
      </c>
      <c r="O133" s="1" t="n">
        <f aca="false">IF($B133="",0,IF(AND(OR(Filter!$B$5="(alle)",$N133=Filter!$B$5),OR(Filter!$E$5="(alle)",$K133=Filter!$E$5),OR(Filter!$H$5="(alle)",$C133=Filter!$H$5),OR(Filter!$B$7="(alle)",$E133=Filter!$B$7),OR(Filter!$E$7="(alle)",ISNUMBER(SEARCH(Filter!$E$7,$J133))),OR(Filter!$H$7="(alle)",ISNUMBER(SEARCH(Filter!$H$7,$I133))),OR(Filter!$B$9="",ISNUMBER(SEARCH(Filter!$B$9,$F133&amp;" "&amp;$G133)))),COUNTIF($O$6:$O132,"&gt;0")+1,0))</f>
        <v>127</v>
      </c>
    </row>
    <row r="134" customFormat="false" ht="63.75" hidden="false" customHeight="true" outlineLevel="0" collapsed="false">
      <c r="B134" s="30" t="s">
        <v>727</v>
      </c>
      <c r="C134" s="30" t="s">
        <v>286</v>
      </c>
      <c r="D134" s="30" t="s">
        <v>728</v>
      </c>
      <c r="E134" s="30" t="s">
        <v>361</v>
      </c>
      <c r="F134" s="30" t="s">
        <v>729</v>
      </c>
      <c r="G134" s="30" t="s">
        <v>730</v>
      </c>
      <c r="H134" s="30" t="s">
        <v>731</v>
      </c>
      <c r="I134" s="30" t="s">
        <v>306</v>
      </c>
      <c r="J134" s="30" t="s">
        <v>206</v>
      </c>
      <c r="K134" s="31" t="s">
        <v>47</v>
      </c>
      <c r="L134" s="32"/>
      <c r="M134" s="30"/>
      <c r="N134" s="30" t="s">
        <v>48</v>
      </c>
      <c r="O134" s="1" t="n">
        <f aca="false">IF($B134="",0,IF(AND(OR(Filter!$B$5="(alle)",$N134=Filter!$B$5),OR(Filter!$E$5="(alle)",$K134=Filter!$E$5),OR(Filter!$H$5="(alle)",$C134=Filter!$H$5),OR(Filter!$B$7="(alle)",$E134=Filter!$B$7),OR(Filter!$E$7="(alle)",ISNUMBER(SEARCH(Filter!$E$7,$J134))),OR(Filter!$H$7="(alle)",ISNUMBER(SEARCH(Filter!$H$7,$I134))),OR(Filter!$B$9="",ISNUMBER(SEARCH(Filter!$B$9,$F134&amp;" "&amp;$G134)))),COUNTIF($O$6:$O133,"&gt;0")+1,0))</f>
        <v>128</v>
      </c>
    </row>
    <row r="135" customFormat="false" ht="89.25" hidden="false" customHeight="true" outlineLevel="0" collapsed="false">
      <c r="B135" s="30" t="s">
        <v>732</v>
      </c>
      <c r="C135" s="30" t="s">
        <v>286</v>
      </c>
      <c r="D135" s="30" t="s">
        <v>733</v>
      </c>
      <c r="E135" s="30" t="s">
        <v>361</v>
      </c>
      <c r="F135" s="30" t="s">
        <v>734</v>
      </c>
      <c r="G135" s="30" t="s">
        <v>735</v>
      </c>
      <c r="H135" s="30" t="s">
        <v>736</v>
      </c>
      <c r="I135" s="30" t="s">
        <v>306</v>
      </c>
      <c r="J135" s="30" t="s">
        <v>206</v>
      </c>
      <c r="K135" s="31" t="s">
        <v>47</v>
      </c>
      <c r="L135" s="32"/>
      <c r="M135" s="30"/>
      <c r="N135" s="30" t="s">
        <v>48</v>
      </c>
      <c r="O135" s="1" t="n">
        <f aca="false">IF($B135="",0,IF(AND(OR(Filter!$B$5="(alle)",$N135=Filter!$B$5),OR(Filter!$E$5="(alle)",$K135=Filter!$E$5),OR(Filter!$H$5="(alle)",$C135=Filter!$H$5),OR(Filter!$B$7="(alle)",$E135=Filter!$B$7),OR(Filter!$E$7="(alle)",ISNUMBER(SEARCH(Filter!$E$7,$J135))),OR(Filter!$H$7="(alle)",ISNUMBER(SEARCH(Filter!$H$7,$I135))),OR(Filter!$B$9="",ISNUMBER(SEARCH(Filter!$B$9,$F135&amp;" "&amp;$G135)))),COUNTIF($O$6:$O134,"&gt;0")+1,0))</f>
        <v>129</v>
      </c>
    </row>
    <row r="136" customFormat="false" ht="89.25" hidden="false" customHeight="true" outlineLevel="0" collapsed="false">
      <c r="B136" s="30" t="s">
        <v>737</v>
      </c>
      <c r="C136" s="30" t="s">
        <v>286</v>
      </c>
      <c r="D136" s="30" t="s">
        <v>738</v>
      </c>
      <c r="E136" s="30" t="s">
        <v>355</v>
      </c>
      <c r="F136" s="30" t="s">
        <v>739</v>
      </c>
      <c r="G136" s="30" t="s">
        <v>740</v>
      </c>
      <c r="H136" s="30" t="s">
        <v>741</v>
      </c>
      <c r="I136" s="30" t="s">
        <v>306</v>
      </c>
      <c r="J136" s="30" t="s">
        <v>206</v>
      </c>
      <c r="K136" s="31" t="s">
        <v>47</v>
      </c>
      <c r="L136" s="32"/>
      <c r="M136" s="30"/>
      <c r="N136" s="30" t="s">
        <v>48</v>
      </c>
      <c r="O136" s="1" t="n">
        <f aca="false">IF($B136="",0,IF(AND(OR(Filter!$B$5="(alle)",$N136=Filter!$B$5),OR(Filter!$E$5="(alle)",$K136=Filter!$E$5),OR(Filter!$H$5="(alle)",$C136=Filter!$H$5),OR(Filter!$B$7="(alle)",$E136=Filter!$B$7),OR(Filter!$E$7="(alle)",ISNUMBER(SEARCH(Filter!$E$7,$J136))),OR(Filter!$H$7="(alle)",ISNUMBER(SEARCH(Filter!$H$7,$I136))),OR(Filter!$B$9="",ISNUMBER(SEARCH(Filter!$B$9,$F136&amp;" "&amp;$G136)))),COUNTIF($O$6:$O135,"&gt;0")+1,0))</f>
        <v>130</v>
      </c>
    </row>
    <row r="137" customFormat="false" ht="127.5" hidden="false" customHeight="true" outlineLevel="0" collapsed="false">
      <c r="B137" s="30" t="s">
        <v>742</v>
      </c>
      <c r="C137" s="30" t="s">
        <v>286</v>
      </c>
      <c r="D137" s="30" t="s">
        <v>743</v>
      </c>
      <c r="E137" s="30" t="s">
        <v>344</v>
      </c>
      <c r="F137" s="30" t="s">
        <v>744</v>
      </c>
      <c r="G137" s="30" t="s">
        <v>745</v>
      </c>
      <c r="H137" s="30" t="s">
        <v>746</v>
      </c>
      <c r="I137" s="30" t="s">
        <v>306</v>
      </c>
      <c r="J137" s="30" t="s">
        <v>206</v>
      </c>
      <c r="K137" s="31" t="s">
        <v>47</v>
      </c>
      <c r="L137" s="32"/>
      <c r="M137" s="30"/>
      <c r="N137" s="30" t="s">
        <v>48</v>
      </c>
      <c r="O137" s="1" t="n">
        <f aca="false">IF($B137="",0,IF(AND(OR(Filter!$B$5="(alle)",$N137=Filter!$B$5),OR(Filter!$E$5="(alle)",$K137=Filter!$E$5),OR(Filter!$H$5="(alle)",$C137=Filter!$H$5),OR(Filter!$B$7="(alle)",$E137=Filter!$B$7),OR(Filter!$E$7="(alle)",ISNUMBER(SEARCH(Filter!$E$7,$J137))),OR(Filter!$H$7="(alle)",ISNUMBER(SEARCH(Filter!$H$7,$I137))),OR(Filter!$B$9="",ISNUMBER(SEARCH(Filter!$B$9,$F137&amp;" "&amp;$G137)))),COUNTIF($O$6:$O136,"&gt;0")+1,0))</f>
        <v>131</v>
      </c>
    </row>
    <row r="138" customFormat="false" ht="63.75" hidden="false" customHeight="true" outlineLevel="0" collapsed="false">
      <c r="B138" s="30" t="s">
        <v>747</v>
      </c>
      <c r="C138" s="30" t="s">
        <v>286</v>
      </c>
      <c r="D138" s="30" t="s">
        <v>748</v>
      </c>
      <c r="E138" s="30" t="s">
        <v>604</v>
      </c>
      <c r="F138" s="30" t="s">
        <v>749</v>
      </c>
      <c r="G138" s="30" t="s">
        <v>750</v>
      </c>
      <c r="H138" s="30" t="s">
        <v>751</v>
      </c>
      <c r="I138" s="30" t="s">
        <v>476</v>
      </c>
      <c r="J138" s="30" t="s">
        <v>476</v>
      </c>
      <c r="K138" s="31" t="s">
        <v>47</v>
      </c>
      <c r="L138" s="32"/>
      <c r="M138" s="30"/>
      <c r="N138" s="30" t="s">
        <v>48</v>
      </c>
      <c r="O138" s="1" t="n">
        <f aca="false">IF($B138="",0,IF(AND(OR(Filter!$B$5="(alle)",$N138=Filter!$B$5),OR(Filter!$E$5="(alle)",$K138=Filter!$E$5),OR(Filter!$H$5="(alle)",$C138=Filter!$H$5),OR(Filter!$B$7="(alle)",$E138=Filter!$B$7),OR(Filter!$E$7="(alle)",ISNUMBER(SEARCH(Filter!$E$7,$J138))),OR(Filter!$H$7="(alle)",ISNUMBER(SEARCH(Filter!$H$7,$I138))),OR(Filter!$B$9="",ISNUMBER(SEARCH(Filter!$B$9,$F138&amp;" "&amp;$G138)))),COUNTIF($O$6:$O137,"&gt;0")+1,0))</f>
        <v>132</v>
      </c>
    </row>
    <row r="139" customFormat="false" ht="280.5" hidden="false" customHeight="true" outlineLevel="0" collapsed="false">
      <c r="B139" s="30" t="s">
        <v>752</v>
      </c>
      <c r="C139" s="30" t="s">
        <v>286</v>
      </c>
      <c r="D139" s="30" t="s">
        <v>753</v>
      </c>
      <c r="E139" s="30" t="s">
        <v>155</v>
      </c>
      <c r="F139" s="30" t="s">
        <v>754</v>
      </c>
      <c r="G139" s="30" t="s">
        <v>755</v>
      </c>
      <c r="H139" s="30" t="s">
        <v>756</v>
      </c>
      <c r="I139" s="30" t="s">
        <v>476</v>
      </c>
      <c r="J139" s="30" t="s">
        <v>476</v>
      </c>
      <c r="K139" s="31" t="s">
        <v>47</v>
      </c>
      <c r="L139" s="32"/>
      <c r="M139" s="30"/>
      <c r="N139" s="30" t="s">
        <v>48</v>
      </c>
      <c r="O139" s="1" t="n">
        <f aca="false">IF($B139="",0,IF(AND(OR(Filter!$B$5="(alle)",$N139=Filter!$B$5),OR(Filter!$E$5="(alle)",$K139=Filter!$E$5),OR(Filter!$H$5="(alle)",$C139=Filter!$H$5),OR(Filter!$B$7="(alle)",$E139=Filter!$B$7),OR(Filter!$E$7="(alle)",ISNUMBER(SEARCH(Filter!$E$7,$J139))),OR(Filter!$H$7="(alle)",ISNUMBER(SEARCH(Filter!$H$7,$I139))),OR(Filter!$B$9="",ISNUMBER(SEARCH(Filter!$B$9,$F139&amp;" "&amp;$G139)))),COUNTIF($O$6:$O138,"&gt;0")+1,0))</f>
        <v>133</v>
      </c>
    </row>
    <row r="140" customFormat="false" ht="102" hidden="false" customHeight="true" outlineLevel="0" collapsed="false">
      <c r="B140" s="30" t="s">
        <v>757</v>
      </c>
      <c r="C140" s="30" t="s">
        <v>286</v>
      </c>
      <c r="D140" s="30" t="s">
        <v>758</v>
      </c>
      <c r="E140" s="30" t="s">
        <v>604</v>
      </c>
      <c r="F140" s="30" t="s">
        <v>759</v>
      </c>
      <c r="G140" s="30" t="s">
        <v>760</v>
      </c>
      <c r="H140" s="30" t="s">
        <v>761</v>
      </c>
      <c r="I140" s="30" t="s">
        <v>476</v>
      </c>
      <c r="J140" s="30" t="s">
        <v>476</v>
      </c>
      <c r="K140" s="31" t="s">
        <v>47</v>
      </c>
      <c r="L140" s="32"/>
      <c r="M140" s="30"/>
      <c r="N140" s="30" t="s">
        <v>48</v>
      </c>
      <c r="O140" s="1" t="n">
        <f aca="false">IF($B140="",0,IF(AND(OR(Filter!$B$5="(alle)",$N140=Filter!$B$5),OR(Filter!$E$5="(alle)",$K140=Filter!$E$5),OR(Filter!$H$5="(alle)",$C140=Filter!$H$5),OR(Filter!$B$7="(alle)",$E140=Filter!$B$7),OR(Filter!$E$7="(alle)",ISNUMBER(SEARCH(Filter!$E$7,$J140))),OR(Filter!$H$7="(alle)",ISNUMBER(SEARCH(Filter!$H$7,$I140))),OR(Filter!$B$9="",ISNUMBER(SEARCH(Filter!$B$9,$F140&amp;" "&amp;$G140)))),COUNTIF($O$6:$O139,"&gt;0")+1,0))</f>
        <v>134</v>
      </c>
    </row>
    <row r="141" customFormat="false" ht="140.25" hidden="false" customHeight="true" outlineLevel="0" collapsed="false">
      <c r="B141" s="30" t="s">
        <v>762</v>
      </c>
      <c r="C141" s="30" t="s">
        <v>286</v>
      </c>
      <c r="D141" s="30" t="s">
        <v>763</v>
      </c>
      <c r="E141" s="30" t="s">
        <v>42</v>
      </c>
      <c r="F141" s="30" t="s">
        <v>764</v>
      </c>
      <c r="G141" s="30" t="s">
        <v>765</v>
      </c>
      <c r="H141" s="30" t="s">
        <v>766</v>
      </c>
      <c r="I141" s="30" t="s">
        <v>464</v>
      </c>
      <c r="J141" s="30" t="s">
        <v>767</v>
      </c>
      <c r="K141" s="31" t="s">
        <v>47</v>
      </c>
      <c r="L141" s="32"/>
      <c r="M141" s="30"/>
      <c r="N141" s="30" t="s">
        <v>48</v>
      </c>
      <c r="O141" s="1" t="n">
        <f aca="false">IF($B141="",0,IF(AND(OR(Filter!$B$5="(alle)",$N141=Filter!$B$5),OR(Filter!$E$5="(alle)",$K141=Filter!$E$5),OR(Filter!$H$5="(alle)",$C141=Filter!$H$5),OR(Filter!$B$7="(alle)",$E141=Filter!$B$7),OR(Filter!$E$7="(alle)",ISNUMBER(SEARCH(Filter!$E$7,$J141))),OR(Filter!$H$7="(alle)",ISNUMBER(SEARCH(Filter!$H$7,$I141))),OR(Filter!$B$9="",ISNUMBER(SEARCH(Filter!$B$9,$F141&amp;" "&amp;$G141)))),COUNTIF($O$6:$O140,"&gt;0")+1,0))</f>
        <v>135</v>
      </c>
    </row>
    <row r="142" customFormat="false" ht="102" hidden="false" customHeight="true" outlineLevel="0" collapsed="false">
      <c r="B142" s="30" t="s">
        <v>768</v>
      </c>
      <c r="C142" s="30" t="s">
        <v>286</v>
      </c>
      <c r="D142" s="30" t="s">
        <v>769</v>
      </c>
      <c r="E142" s="30" t="s">
        <v>344</v>
      </c>
      <c r="F142" s="30" t="s">
        <v>770</v>
      </c>
      <c r="G142" s="30" t="s">
        <v>771</v>
      </c>
      <c r="H142" s="30" t="s">
        <v>772</v>
      </c>
      <c r="I142" s="30" t="s">
        <v>306</v>
      </c>
      <c r="J142" s="30" t="s">
        <v>206</v>
      </c>
      <c r="K142" s="31" t="s">
        <v>47</v>
      </c>
      <c r="L142" s="32"/>
      <c r="M142" s="30"/>
      <c r="N142" s="30" t="s">
        <v>48</v>
      </c>
      <c r="O142" s="1" t="n">
        <f aca="false">IF($B142="",0,IF(AND(OR(Filter!$B$5="(alle)",$N142=Filter!$B$5),OR(Filter!$E$5="(alle)",$K142=Filter!$E$5),OR(Filter!$H$5="(alle)",$C142=Filter!$H$5),OR(Filter!$B$7="(alle)",$E142=Filter!$B$7),OR(Filter!$E$7="(alle)",ISNUMBER(SEARCH(Filter!$E$7,$J142))),OR(Filter!$H$7="(alle)",ISNUMBER(SEARCH(Filter!$H$7,$I142))),OR(Filter!$B$9="",ISNUMBER(SEARCH(Filter!$B$9,$F142&amp;" "&amp;$G142)))),COUNTIF($O$6:$O141,"&gt;0")+1,0))</f>
        <v>136</v>
      </c>
    </row>
    <row r="143" customFormat="false" ht="38.25" hidden="false" customHeight="true" outlineLevel="0" collapsed="false">
      <c r="B143" s="30" t="s">
        <v>773</v>
      </c>
      <c r="C143" s="30" t="s">
        <v>286</v>
      </c>
      <c r="D143" s="30" t="s">
        <v>774</v>
      </c>
      <c r="E143" s="30" t="s">
        <v>361</v>
      </c>
      <c r="F143" s="30" t="s">
        <v>775</v>
      </c>
      <c r="G143" s="30" t="s">
        <v>776</v>
      </c>
      <c r="H143" s="30" t="s">
        <v>777</v>
      </c>
      <c r="I143" s="30" t="s">
        <v>306</v>
      </c>
      <c r="J143" s="30" t="s">
        <v>206</v>
      </c>
      <c r="K143" s="31" t="s">
        <v>47</v>
      </c>
      <c r="L143" s="32"/>
      <c r="M143" s="30"/>
      <c r="N143" s="30" t="s">
        <v>48</v>
      </c>
      <c r="O143" s="1" t="n">
        <f aca="false">IF($B143="",0,IF(AND(OR(Filter!$B$5="(alle)",$N143=Filter!$B$5),OR(Filter!$E$5="(alle)",$K143=Filter!$E$5),OR(Filter!$H$5="(alle)",$C143=Filter!$H$5),OR(Filter!$B$7="(alle)",$E143=Filter!$B$7),OR(Filter!$E$7="(alle)",ISNUMBER(SEARCH(Filter!$E$7,$J143))),OR(Filter!$H$7="(alle)",ISNUMBER(SEARCH(Filter!$H$7,$I143))),OR(Filter!$B$9="",ISNUMBER(SEARCH(Filter!$B$9,$F143&amp;" "&amp;$G143)))),COUNTIF($O$6:$O142,"&gt;0")+1,0))</f>
        <v>137</v>
      </c>
    </row>
    <row r="144" customFormat="false" ht="38.25" hidden="false" customHeight="true" outlineLevel="0" collapsed="false">
      <c r="B144" s="30" t="s">
        <v>778</v>
      </c>
      <c r="C144" s="30" t="s">
        <v>286</v>
      </c>
      <c r="D144" s="30" t="s">
        <v>779</v>
      </c>
      <c r="E144" s="30" t="s">
        <v>331</v>
      </c>
      <c r="F144" s="30" t="s">
        <v>780</v>
      </c>
      <c r="G144" s="30" t="s">
        <v>781</v>
      </c>
      <c r="H144" s="30" t="s">
        <v>782</v>
      </c>
      <c r="I144" s="30" t="s">
        <v>306</v>
      </c>
      <c r="J144" s="30" t="s">
        <v>206</v>
      </c>
      <c r="K144" s="31" t="s">
        <v>151</v>
      </c>
      <c r="L144" s="32"/>
      <c r="M144" s="30" t="s">
        <v>370</v>
      </c>
      <c r="N144" s="30" t="s">
        <v>48</v>
      </c>
      <c r="O144" s="1" t="n">
        <f aca="false">IF($B144="",0,IF(AND(OR(Filter!$B$5="(alle)",$N144=Filter!$B$5),OR(Filter!$E$5="(alle)",$K144=Filter!$E$5),OR(Filter!$H$5="(alle)",$C144=Filter!$H$5),OR(Filter!$B$7="(alle)",$E144=Filter!$B$7),OR(Filter!$E$7="(alle)",ISNUMBER(SEARCH(Filter!$E$7,$J144))),OR(Filter!$H$7="(alle)",ISNUMBER(SEARCH(Filter!$H$7,$I144))),OR(Filter!$B$9="",ISNUMBER(SEARCH(Filter!$B$9,$F144&amp;" "&amp;$G144)))),COUNTIF($O$6:$O143,"&gt;0")+1,0))</f>
        <v>138</v>
      </c>
    </row>
    <row r="145" customFormat="false" ht="369.75" hidden="false" customHeight="true" outlineLevel="0" collapsed="false">
      <c r="B145" s="30" t="s">
        <v>783</v>
      </c>
      <c r="C145" s="30" t="s">
        <v>286</v>
      </c>
      <c r="D145" s="30" t="s">
        <v>784</v>
      </c>
      <c r="E145" s="30" t="s">
        <v>210</v>
      </c>
      <c r="F145" s="30" t="s">
        <v>785</v>
      </c>
      <c r="G145" s="30" t="s">
        <v>786</v>
      </c>
      <c r="H145" s="30" t="s">
        <v>787</v>
      </c>
      <c r="I145" s="30" t="s">
        <v>306</v>
      </c>
      <c r="J145" s="30" t="s">
        <v>206</v>
      </c>
      <c r="K145" s="31" t="s">
        <v>47</v>
      </c>
      <c r="L145" s="32"/>
      <c r="M145" s="30"/>
      <c r="N145" s="30" t="s">
        <v>48</v>
      </c>
      <c r="O145" s="1" t="n">
        <f aca="false">IF($B145="",0,IF(AND(OR(Filter!$B$5="(alle)",$N145=Filter!$B$5),OR(Filter!$E$5="(alle)",$K145=Filter!$E$5),OR(Filter!$H$5="(alle)",$C145=Filter!$H$5),OR(Filter!$B$7="(alle)",$E145=Filter!$B$7),OR(Filter!$E$7="(alle)",ISNUMBER(SEARCH(Filter!$E$7,$J145))),OR(Filter!$H$7="(alle)",ISNUMBER(SEARCH(Filter!$H$7,$I145))),OR(Filter!$B$9="",ISNUMBER(SEARCH(Filter!$B$9,$F145&amp;" "&amp;$G145)))),COUNTIF($O$6:$O144,"&gt;0")+1,0))</f>
        <v>139</v>
      </c>
    </row>
    <row r="146" customFormat="false" ht="51" hidden="false" customHeight="true" outlineLevel="0" collapsed="false">
      <c r="B146" s="30" t="s">
        <v>788</v>
      </c>
      <c r="C146" s="30" t="s">
        <v>286</v>
      </c>
      <c r="D146" s="30" t="s">
        <v>789</v>
      </c>
      <c r="E146" s="30" t="s">
        <v>331</v>
      </c>
      <c r="F146" s="30" t="s">
        <v>790</v>
      </c>
      <c r="G146" s="30" t="s">
        <v>791</v>
      </c>
      <c r="H146" s="30" t="s">
        <v>792</v>
      </c>
      <c r="I146" s="30" t="s">
        <v>306</v>
      </c>
      <c r="J146" s="30" t="s">
        <v>206</v>
      </c>
      <c r="K146" s="31" t="s">
        <v>151</v>
      </c>
      <c r="L146" s="32"/>
      <c r="M146" s="30" t="s">
        <v>370</v>
      </c>
      <c r="N146" s="30" t="s">
        <v>48</v>
      </c>
      <c r="O146" s="1" t="n">
        <f aca="false">IF($B146="",0,IF(AND(OR(Filter!$B$5="(alle)",$N146=Filter!$B$5),OR(Filter!$E$5="(alle)",$K146=Filter!$E$5),OR(Filter!$H$5="(alle)",$C146=Filter!$H$5),OR(Filter!$B$7="(alle)",$E146=Filter!$B$7),OR(Filter!$E$7="(alle)",ISNUMBER(SEARCH(Filter!$E$7,$J146))),OR(Filter!$H$7="(alle)",ISNUMBER(SEARCH(Filter!$H$7,$I146))),OR(Filter!$B$9="",ISNUMBER(SEARCH(Filter!$B$9,$F146&amp;" "&amp;$G146)))),COUNTIF($O$6:$O145,"&gt;0")+1,0))</f>
        <v>140</v>
      </c>
    </row>
    <row r="147" customFormat="false" ht="89.25" hidden="false" customHeight="true" outlineLevel="0" collapsed="false">
      <c r="B147" s="30" t="s">
        <v>793</v>
      </c>
      <c r="C147" s="30" t="s">
        <v>286</v>
      </c>
      <c r="D147" s="30" t="s">
        <v>794</v>
      </c>
      <c r="E147" s="30" t="s">
        <v>361</v>
      </c>
      <c r="F147" s="30" t="s">
        <v>795</v>
      </c>
      <c r="G147" s="30" t="s">
        <v>796</v>
      </c>
      <c r="H147" s="30" t="s">
        <v>797</v>
      </c>
      <c r="I147" s="30" t="s">
        <v>306</v>
      </c>
      <c r="J147" s="30" t="s">
        <v>206</v>
      </c>
      <c r="K147" s="31" t="s">
        <v>47</v>
      </c>
      <c r="L147" s="32"/>
      <c r="M147" s="30"/>
      <c r="N147" s="30" t="s">
        <v>48</v>
      </c>
      <c r="O147" s="1" t="n">
        <f aca="false">IF($B147="",0,IF(AND(OR(Filter!$B$5="(alle)",$N147=Filter!$B$5),OR(Filter!$E$5="(alle)",$K147=Filter!$E$5),OR(Filter!$H$5="(alle)",$C147=Filter!$H$5),OR(Filter!$B$7="(alle)",$E147=Filter!$B$7),OR(Filter!$E$7="(alle)",ISNUMBER(SEARCH(Filter!$E$7,$J147))),OR(Filter!$H$7="(alle)",ISNUMBER(SEARCH(Filter!$H$7,$I147))),OR(Filter!$B$9="",ISNUMBER(SEARCH(Filter!$B$9,$F147&amp;" "&amp;$G147)))),COUNTIF($O$6:$O146,"&gt;0")+1,0))</f>
        <v>141</v>
      </c>
    </row>
    <row r="148" customFormat="false" ht="178.5" hidden="false" customHeight="true" outlineLevel="0" collapsed="false">
      <c r="B148" s="30" t="s">
        <v>798</v>
      </c>
      <c r="C148" s="30" t="s">
        <v>286</v>
      </c>
      <c r="D148" s="30" t="s">
        <v>799</v>
      </c>
      <c r="E148" s="30" t="s">
        <v>42</v>
      </c>
      <c r="F148" s="30" t="s">
        <v>800</v>
      </c>
      <c r="G148" s="30" t="s">
        <v>801</v>
      </c>
      <c r="H148" s="30" t="s">
        <v>802</v>
      </c>
      <c r="I148" s="30" t="s">
        <v>45</v>
      </c>
      <c r="J148" s="30" t="s">
        <v>46</v>
      </c>
      <c r="K148" s="31" t="s">
        <v>47</v>
      </c>
      <c r="L148" s="32"/>
      <c r="M148" s="30"/>
      <c r="N148" s="30" t="s">
        <v>48</v>
      </c>
      <c r="O148" s="1" t="n">
        <f aca="false">IF($B148="",0,IF(AND(OR(Filter!$B$5="(alle)",$N148=Filter!$B$5),OR(Filter!$E$5="(alle)",$K148=Filter!$E$5),OR(Filter!$H$5="(alle)",$C148=Filter!$H$5),OR(Filter!$B$7="(alle)",$E148=Filter!$B$7),OR(Filter!$E$7="(alle)",ISNUMBER(SEARCH(Filter!$E$7,$J148))),OR(Filter!$H$7="(alle)",ISNUMBER(SEARCH(Filter!$H$7,$I148))),OR(Filter!$B$9="",ISNUMBER(SEARCH(Filter!$B$9,$F148&amp;" "&amp;$G148)))),COUNTIF($O$6:$O147,"&gt;0")+1,0))</f>
        <v>142</v>
      </c>
    </row>
    <row r="149" customFormat="false" ht="76.5" hidden="false" customHeight="true" outlineLevel="0" collapsed="false">
      <c r="B149" s="30" t="s">
        <v>803</v>
      </c>
      <c r="C149" s="30" t="s">
        <v>286</v>
      </c>
      <c r="D149" s="30" t="s">
        <v>804</v>
      </c>
      <c r="E149" s="30" t="s">
        <v>331</v>
      </c>
      <c r="F149" s="30" t="s">
        <v>805</v>
      </c>
      <c r="G149" s="30" t="s">
        <v>806</v>
      </c>
      <c r="H149" s="30" t="s">
        <v>807</v>
      </c>
      <c r="I149" s="30" t="s">
        <v>290</v>
      </c>
      <c r="J149" s="30" t="s">
        <v>808</v>
      </c>
      <c r="K149" s="31" t="s">
        <v>47</v>
      </c>
      <c r="L149" s="32"/>
      <c r="M149" s="30"/>
      <c r="N149" s="30" t="s">
        <v>48</v>
      </c>
      <c r="O149" s="1" t="n">
        <f aca="false">IF($B149="",0,IF(AND(OR(Filter!$B$5="(alle)",$N149=Filter!$B$5),OR(Filter!$E$5="(alle)",$K149=Filter!$E$5),OR(Filter!$H$5="(alle)",$C149=Filter!$H$5),OR(Filter!$B$7="(alle)",$E149=Filter!$B$7),OR(Filter!$E$7="(alle)",ISNUMBER(SEARCH(Filter!$E$7,$J149))),OR(Filter!$H$7="(alle)",ISNUMBER(SEARCH(Filter!$H$7,$I149))),OR(Filter!$B$9="",ISNUMBER(SEARCH(Filter!$B$9,$F149&amp;" "&amp;$G149)))),COUNTIF($O$6:$O148,"&gt;0")+1,0))</f>
        <v>143</v>
      </c>
    </row>
    <row r="150" customFormat="false" ht="51" hidden="false" customHeight="true" outlineLevel="0" collapsed="false">
      <c r="B150" s="30" t="s">
        <v>809</v>
      </c>
      <c r="C150" s="30" t="s">
        <v>286</v>
      </c>
      <c r="D150" s="30" t="s">
        <v>810</v>
      </c>
      <c r="E150" s="30" t="s">
        <v>547</v>
      </c>
      <c r="F150" s="30" t="s">
        <v>811</v>
      </c>
      <c r="G150" s="30" t="s">
        <v>812</v>
      </c>
      <c r="H150" s="30" t="s">
        <v>813</v>
      </c>
      <c r="I150" s="30" t="s">
        <v>290</v>
      </c>
      <c r="J150" s="30" t="s">
        <v>225</v>
      </c>
      <c r="K150" s="31" t="s">
        <v>47</v>
      </c>
      <c r="L150" s="32"/>
      <c r="M150" s="30"/>
      <c r="N150" s="30" t="s">
        <v>48</v>
      </c>
      <c r="O150" s="1" t="n">
        <f aca="false">IF($B150="",0,IF(AND(OR(Filter!$B$5="(alle)",$N150=Filter!$B$5),OR(Filter!$E$5="(alle)",$K150=Filter!$E$5),OR(Filter!$H$5="(alle)",$C150=Filter!$H$5),OR(Filter!$B$7="(alle)",$E150=Filter!$B$7),OR(Filter!$E$7="(alle)",ISNUMBER(SEARCH(Filter!$E$7,$J150))),OR(Filter!$H$7="(alle)",ISNUMBER(SEARCH(Filter!$H$7,$I150))),OR(Filter!$B$9="",ISNUMBER(SEARCH(Filter!$B$9,$F150&amp;" "&amp;$G150)))),COUNTIF($O$6:$O149,"&gt;0")+1,0))</f>
        <v>144</v>
      </c>
    </row>
    <row r="151" customFormat="false" ht="38.25" hidden="false" customHeight="true" outlineLevel="0" collapsed="false">
      <c r="B151" s="30" t="s">
        <v>814</v>
      </c>
      <c r="C151" s="30" t="s">
        <v>286</v>
      </c>
      <c r="D151" s="30" t="s">
        <v>815</v>
      </c>
      <c r="E151" s="30" t="s">
        <v>331</v>
      </c>
      <c r="F151" s="30" t="s">
        <v>816</v>
      </c>
      <c r="G151" s="30" t="s">
        <v>817</v>
      </c>
      <c r="H151" s="30" t="s">
        <v>818</v>
      </c>
      <c r="I151" s="30" t="s">
        <v>306</v>
      </c>
      <c r="J151" s="30" t="s">
        <v>206</v>
      </c>
      <c r="K151" s="31" t="s">
        <v>151</v>
      </c>
      <c r="L151" s="32"/>
      <c r="M151" s="30" t="s">
        <v>370</v>
      </c>
      <c r="N151" s="30" t="s">
        <v>48</v>
      </c>
      <c r="O151" s="1" t="n">
        <f aca="false">IF($B151="",0,IF(AND(OR(Filter!$B$5="(alle)",$N151=Filter!$B$5),OR(Filter!$E$5="(alle)",$K151=Filter!$E$5),OR(Filter!$H$5="(alle)",$C151=Filter!$H$5),OR(Filter!$B$7="(alle)",$E151=Filter!$B$7),OR(Filter!$E$7="(alle)",ISNUMBER(SEARCH(Filter!$E$7,$J151))),OR(Filter!$H$7="(alle)",ISNUMBER(SEARCH(Filter!$H$7,$I151))),OR(Filter!$B$9="",ISNUMBER(SEARCH(Filter!$B$9,$F151&amp;" "&amp;$G151)))),COUNTIF($O$6:$O150,"&gt;0")+1,0))</f>
        <v>145</v>
      </c>
    </row>
    <row r="152" customFormat="false" ht="51" hidden="false" customHeight="true" outlineLevel="0" collapsed="false">
      <c r="B152" s="30" t="s">
        <v>819</v>
      </c>
      <c r="C152" s="30" t="s">
        <v>286</v>
      </c>
      <c r="D152" s="30" t="s">
        <v>820</v>
      </c>
      <c r="E152" s="30" t="s">
        <v>361</v>
      </c>
      <c r="F152" s="30" t="s">
        <v>821</v>
      </c>
      <c r="G152" s="30" t="s">
        <v>822</v>
      </c>
      <c r="H152" s="30" t="s">
        <v>823</v>
      </c>
      <c r="I152" s="30" t="s">
        <v>306</v>
      </c>
      <c r="J152" s="30" t="s">
        <v>206</v>
      </c>
      <c r="K152" s="31" t="s">
        <v>47</v>
      </c>
      <c r="L152" s="32"/>
      <c r="M152" s="30"/>
      <c r="N152" s="30" t="s">
        <v>48</v>
      </c>
      <c r="O152" s="1" t="n">
        <f aca="false">IF($B152="",0,IF(AND(OR(Filter!$B$5="(alle)",$N152=Filter!$B$5),OR(Filter!$E$5="(alle)",$K152=Filter!$E$5),OR(Filter!$H$5="(alle)",$C152=Filter!$H$5),OR(Filter!$B$7="(alle)",$E152=Filter!$B$7),OR(Filter!$E$7="(alle)",ISNUMBER(SEARCH(Filter!$E$7,$J152))),OR(Filter!$H$7="(alle)",ISNUMBER(SEARCH(Filter!$H$7,$I152))),OR(Filter!$B$9="",ISNUMBER(SEARCH(Filter!$B$9,$F152&amp;" "&amp;$G152)))),COUNTIF($O$6:$O151,"&gt;0")+1,0))</f>
        <v>146</v>
      </c>
    </row>
    <row r="153" customFormat="false" ht="63.75" hidden="false" customHeight="true" outlineLevel="0" collapsed="false">
      <c r="B153" s="30" t="s">
        <v>824</v>
      </c>
      <c r="C153" s="30" t="s">
        <v>286</v>
      </c>
      <c r="D153" s="30" t="s">
        <v>825</v>
      </c>
      <c r="E153" s="30" t="s">
        <v>361</v>
      </c>
      <c r="F153" s="30" t="s">
        <v>826</v>
      </c>
      <c r="G153" s="30" t="s">
        <v>827</v>
      </c>
      <c r="H153" s="30" t="s">
        <v>828</v>
      </c>
      <c r="I153" s="30" t="s">
        <v>306</v>
      </c>
      <c r="J153" s="30" t="s">
        <v>206</v>
      </c>
      <c r="K153" s="31" t="s">
        <v>151</v>
      </c>
      <c r="L153" s="32"/>
      <c r="M153" s="30" t="s">
        <v>829</v>
      </c>
      <c r="N153" s="30" t="s">
        <v>48</v>
      </c>
      <c r="O153" s="1" t="n">
        <f aca="false">IF($B153="",0,IF(AND(OR(Filter!$B$5="(alle)",$N153=Filter!$B$5),OR(Filter!$E$5="(alle)",$K153=Filter!$E$5),OR(Filter!$H$5="(alle)",$C153=Filter!$H$5),OR(Filter!$B$7="(alle)",$E153=Filter!$B$7),OR(Filter!$E$7="(alle)",ISNUMBER(SEARCH(Filter!$E$7,$J153))),OR(Filter!$H$7="(alle)",ISNUMBER(SEARCH(Filter!$H$7,$I153))),OR(Filter!$B$9="",ISNUMBER(SEARCH(Filter!$B$9,$F153&amp;" "&amp;$G153)))),COUNTIF($O$6:$O152,"&gt;0")+1,0))</f>
        <v>147</v>
      </c>
    </row>
    <row r="154" customFormat="false" ht="191.25" hidden="false" customHeight="true" outlineLevel="0" collapsed="false">
      <c r="B154" s="30" t="s">
        <v>830</v>
      </c>
      <c r="C154" s="30" t="s">
        <v>286</v>
      </c>
      <c r="D154" s="30" t="s">
        <v>831</v>
      </c>
      <c r="E154" s="30" t="s">
        <v>42</v>
      </c>
      <c r="F154" s="30" t="s">
        <v>832</v>
      </c>
      <c r="G154" s="30" t="s">
        <v>833</v>
      </c>
      <c r="H154" s="30" t="s">
        <v>834</v>
      </c>
      <c r="I154" s="30" t="s">
        <v>835</v>
      </c>
      <c r="J154" s="30" t="s">
        <v>836</v>
      </c>
      <c r="K154" s="31" t="s">
        <v>47</v>
      </c>
      <c r="L154" s="32"/>
      <c r="M154" s="30"/>
      <c r="N154" s="30" t="s">
        <v>65</v>
      </c>
      <c r="O154" s="1" t="n">
        <f aca="false">IF($B154="",0,IF(AND(OR(Filter!$B$5="(alle)",$N154=Filter!$B$5),OR(Filter!$E$5="(alle)",$K154=Filter!$E$5),OR(Filter!$H$5="(alle)",$C154=Filter!$H$5),OR(Filter!$B$7="(alle)",$E154=Filter!$B$7),OR(Filter!$E$7="(alle)",ISNUMBER(SEARCH(Filter!$E$7,$J154))),OR(Filter!$H$7="(alle)",ISNUMBER(SEARCH(Filter!$H$7,$I154))),OR(Filter!$B$9="",ISNUMBER(SEARCH(Filter!$B$9,$F154&amp;" "&amp;$G154)))),COUNTIF($O$6:$O153,"&gt;0")+1,0))</f>
        <v>148</v>
      </c>
    </row>
    <row r="155" customFormat="false" ht="76.5" hidden="false" customHeight="true" outlineLevel="0" collapsed="false">
      <c r="B155" s="30" t="s">
        <v>837</v>
      </c>
      <c r="C155" s="30" t="s">
        <v>286</v>
      </c>
      <c r="D155" s="30" t="s">
        <v>838</v>
      </c>
      <c r="E155" s="30" t="s">
        <v>355</v>
      </c>
      <c r="F155" s="30" t="s">
        <v>839</v>
      </c>
      <c r="G155" s="30" t="s">
        <v>840</v>
      </c>
      <c r="H155" s="30" t="s">
        <v>841</v>
      </c>
      <c r="I155" s="30" t="s">
        <v>306</v>
      </c>
      <c r="J155" s="30" t="s">
        <v>206</v>
      </c>
      <c r="K155" s="31" t="s">
        <v>47</v>
      </c>
      <c r="L155" s="32"/>
      <c r="M155" s="30"/>
      <c r="N155" s="30" t="s">
        <v>48</v>
      </c>
      <c r="O155" s="1" t="n">
        <f aca="false">IF($B155="",0,IF(AND(OR(Filter!$B$5="(alle)",$N155=Filter!$B$5),OR(Filter!$E$5="(alle)",$K155=Filter!$E$5),OR(Filter!$H$5="(alle)",$C155=Filter!$H$5),OR(Filter!$B$7="(alle)",$E155=Filter!$B$7),OR(Filter!$E$7="(alle)",ISNUMBER(SEARCH(Filter!$E$7,$J155))),OR(Filter!$H$7="(alle)",ISNUMBER(SEARCH(Filter!$H$7,$I155))),OR(Filter!$B$9="",ISNUMBER(SEARCH(Filter!$B$9,$F155&amp;" "&amp;$G155)))),COUNTIF($O$6:$O154,"&gt;0")+1,0))</f>
        <v>149</v>
      </c>
    </row>
    <row r="156" customFormat="false" ht="63.75" hidden="false" customHeight="true" outlineLevel="0" collapsed="false">
      <c r="B156" s="30" t="s">
        <v>842</v>
      </c>
      <c r="C156" s="30" t="s">
        <v>286</v>
      </c>
      <c r="D156" s="30" t="s">
        <v>843</v>
      </c>
      <c r="E156" s="30" t="s">
        <v>210</v>
      </c>
      <c r="F156" s="30" t="s">
        <v>844</v>
      </c>
      <c r="G156" s="30" t="s">
        <v>845</v>
      </c>
      <c r="H156" s="30" t="s">
        <v>846</v>
      </c>
      <c r="I156" s="30" t="s">
        <v>306</v>
      </c>
      <c r="J156" s="30" t="s">
        <v>206</v>
      </c>
      <c r="K156" s="31" t="s">
        <v>151</v>
      </c>
      <c r="L156" s="32"/>
      <c r="M156" s="30" t="s">
        <v>847</v>
      </c>
      <c r="N156" s="30" t="s">
        <v>48</v>
      </c>
      <c r="O156" s="1" t="n">
        <f aca="false">IF($B156="",0,IF(AND(OR(Filter!$B$5="(alle)",$N156=Filter!$B$5),OR(Filter!$E$5="(alle)",$K156=Filter!$E$5),OR(Filter!$H$5="(alle)",$C156=Filter!$H$5),OR(Filter!$B$7="(alle)",$E156=Filter!$B$7),OR(Filter!$E$7="(alle)",ISNUMBER(SEARCH(Filter!$E$7,$J156))),OR(Filter!$H$7="(alle)",ISNUMBER(SEARCH(Filter!$H$7,$I156))),OR(Filter!$B$9="",ISNUMBER(SEARCH(Filter!$B$9,$F156&amp;" "&amp;$G156)))),COUNTIF($O$6:$O155,"&gt;0")+1,0))</f>
        <v>150</v>
      </c>
    </row>
    <row r="157" customFormat="false" ht="409.5" hidden="false" customHeight="true" outlineLevel="0" collapsed="false">
      <c r="B157" s="30" t="s">
        <v>848</v>
      </c>
      <c r="C157" s="30" t="s">
        <v>286</v>
      </c>
      <c r="D157" s="30" t="s">
        <v>849</v>
      </c>
      <c r="E157" s="30" t="s">
        <v>210</v>
      </c>
      <c r="F157" s="30" t="s">
        <v>850</v>
      </c>
      <c r="G157" s="30" t="s">
        <v>851</v>
      </c>
      <c r="H157" s="30" t="s">
        <v>852</v>
      </c>
      <c r="I157" s="30" t="s">
        <v>306</v>
      </c>
      <c r="J157" s="30" t="s">
        <v>206</v>
      </c>
      <c r="K157" s="31" t="s">
        <v>47</v>
      </c>
      <c r="L157" s="32"/>
      <c r="M157" s="30"/>
      <c r="N157" s="30" t="s">
        <v>48</v>
      </c>
      <c r="O157" s="1" t="n">
        <f aca="false">IF($B157="",0,IF(AND(OR(Filter!$B$5="(alle)",$N157=Filter!$B$5),OR(Filter!$E$5="(alle)",$K157=Filter!$E$5),OR(Filter!$H$5="(alle)",$C157=Filter!$H$5),OR(Filter!$B$7="(alle)",$E157=Filter!$B$7),OR(Filter!$E$7="(alle)",ISNUMBER(SEARCH(Filter!$E$7,$J157))),OR(Filter!$H$7="(alle)",ISNUMBER(SEARCH(Filter!$H$7,$I157))),OR(Filter!$B$9="",ISNUMBER(SEARCH(Filter!$B$9,$F157&amp;" "&amp;$G157)))),COUNTIF($O$6:$O156,"&gt;0")+1,0))</f>
        <v>151</v>
      </c>
    </row>
    <row r="158" customFormat="false" ht="114.75" hidden="false" customHeight="true" outlineLevel="0" collapsed="false">
      <c r="B158" s="30" t="s">
        <v>853</v>
      </c>
      <c r="C158" s="30" t="s">
        <v>286</v>
      </c>
      <c r="D158" s="30" t="s">
        <v>854</v>
      </c>
      <c r="E158" s="30" t="s">
        <v>344</v>
      </c>
      <c r="F158" s="30" t="s">
        <v>855</v>
      </c>
      <c r="G158" s="30" t="s">
        <v>856</v>
      </c>
      <c r="H158" s="30" t="s">
        <v>857</v>
      </c>
      <c r="I158" s="30" t="s">
        <v>306</v>
      </c>
      <c r="J158" s="30" t="s">
        <v>206</v>
      </c>
      <c r="K158" s="31" t="s">
        <v>47</v>
      </c>
      <c r="L158" s="32"/>
      <c r="M158" s="30"/>
      <c r="N158" s="30" t="s">
        <v>48</v>
      </c>
      <c r="O158" s="1" t="n">
        <f aca="false">IF($B158="",0,IF(AND(OR(Filter!$B$5="(alle)",$N158=Filter!$B$5),OR(Filter!$E$5="(alle)",$K158=Filter!$E$5),OR(Filter!$H$5="(alle)",$C158=Filter!$H$5),OR(Filter!$B$7="(alle)",$E158=Filter!$B$7),OR(Filter!$E$7="(alle)",ISNUMBER(SEARCH(Filter!$E$7,$J158))),OR(Filter!$H$7="(alle)",ISNUMBER(SEARCH(Filter!$H$7,$I158))),OR(Filter!$B$9="",ISNUMBER(SEARCH(Filter!$B$9,$F158&amp;" "&amp;$G158)))),COUNTIF($O$6:$O157,"&gt;0")+1,0))</f>
        <v>152</v>
      </c>
    </row>
    <row r="159" customFormat="false" ht="89.25" hidden="false" customHeight="true" outlineLevel="0" collapsed="false">
      <c r="B159" s="30" t="s">
        <v>858</v>
      </c>
      <c r="C159" s="30" t="s">
        <v>286</v>
      </c>
      <c r="D159" s="30" t="s">
        <v>859</v>
      </c>
      <c r="E159" s="30" t="s">
        <v>344</v>
      </c>
      <c r="F159" s="30" t="s">
        <v>860</v>
      </c>
      <c r="G159" s="30" t="s">
        <v>861</v>
      </c>
      <c r="H159" s="30" t="s">
        <v>862</v>
      </c>
      <c r="I159" s="30" t="s">
        <v>306</v>
      </c>
      <c r="J159" s="30" t="s">
        <v>206</v>
      </c>
      <c r="K159" s="31" t="s">
        <v>47</v>
      </c>
      <c r="L159" s="32"/>
      <c r="M159" s="30"/>
      <c r="N159" s="30" t="s">
        <v>48</v>
      </c>
      <c r="O159" s="1" t="n">
        <f aca="false">IF($B159="",0,IF(AND(OR(Filter!$B$5="(alle)",$N159=Filter!$B$5),OR(Filter!$E$5="(alle)",$K159=Filter!$E$5),OR(Filter!$H$5="(alle)",$C159=Filter!$H$5),OR(Filter!$B$7="(alle)",$E159=Filter!$B$7),OR(Filter!$E$7="(alle)",ISNUMBER(SEARCH(Filter!$E$7,$J159))),OR(Filter!$H$7="(alle)",ISNUMBER(SEARCH(Filter!$H$7,$I159))),OR(Filter!$B$9="",ISNUMBER(SEARCH(Filter!$B$9,$F159&amp;" "&amp;$G159)))),COUNTIF($O$6:$O158,"&gt;0")+1,0))</f>
        <v>153</v>
      </c>
    </row>
    <row r="160" customFormat="false" ht="51" hidden="false" customHeight="true" outlineLevel="0" collapsed="false">
      <c r="B160" s="30" t="s">
        <v>863</v>
      </c>
      <c r="C160" s="30" t="s">
        <v>286</v>
      </c>
      <c r="D160" s="30" t="s">
        <v>864</v>
      </c>
      <c r="E160" s="30" t="s">
        <v>42</v>
      </c>
      <c r="F160" s="30" t="s">
        <v>865</v>
      </c>
      <c r="G160" s="30" t="s">
        <v>866</v>
      </c>
      <c r="H160" s="30" t="s">
        <v>867</v>
      </c>
      <c r="I160" s="30" t="s">
        <v>45</v>
      </c>
      <c r="J160" s="30" t="s">
        <v>46</v>
      </c>
      <c r="K160" s="31" t="s">
        <v>47</v>
      </c>
      <c r="L160" s="32"/>
      <c r="M160" s="30"/>
      <c r="N160" s="30" t="s">
        <v>48</v>
      </c>
      <c r="O160" s="1" t="n">
        <f aca="false">IF($B160="",0,IF(AND(OR(Filter!$B$5="(alle)",$N160=Filter!$B$5),OR(Filter!$E$5="(alle)",$K160=Filter!$E$5),OR(Filter!$H$5="(alle)",$C160=Filter!$H$5),OR(Filter!$B$7="(alle)",$E160=Filter!$B$7),OR(Filter!$E$7="(alle)",ISNUMBER(SEARCH(Filter!$E$7,$J160))),OR(Filter!$H$7="(alle)",ISNUMBER(SEARCH(Filter!$H$7,$I160))),OR(Filter!$B$9="",ISNUMBER(SEARCH(Filter!$B$9,$F160&amp;" "&amp;$G160)))),COUNTIF($O$6:$O159,"&gt;0")+1,0))</f>
        <v>154</v>
      </c>
    </row>
    <row r="161" customFormat="false" ht="76.5" hidden="false" customHeight="true" outlineLevel="0" collapsed="false">
      <c r="B161" s="30" t="s">
        <v>868</v>
      </c>
      <c r="C161" s="30" t="s">
        <v>286</v>
      </c>
      <c r="D161" s="30" t="s">
        <v>869</v>
      </c>
      <c r="E161" s="30" t="s">
        <v>42</v>
      </c>
      <c r="F161" s="30" t="s">
        <v>870</v>
      </c>
      <c r="G161" s="30" t="s">
        <v>871</v>
      </c>
      <c r="H161" s="30" t="s">
        <v>872</v>
      </c>
      <c r="I161" s="30" t="s">
        <v>45</v>
      </c>
      <c r="J161" s="30" t="s">
        <v>46</v>
      </c>
      <c r="K161" s="31" t="s">
        <v>47</v>
      </c>
      <c r="L161" s="32"/>
      <c r="M161" s="30"/>
      <c r="N161" s="30" t="s">
        <v>48</v>
      </c>
      <c r="O161" s="1" t="n">
        <f aca="false">IF($B161="",0,IF(AND(OR(Filter!$B$5="(alle)",$N161=Filter!$B$5),OR(Filter!$E$5="(alle)",$K161=Filter!$E$5),OR(Filter!$H$5="(alle)",$C161=Filter!$H$5),OR(Filter!$B$7="(alle)",$E161=Filter!$B$7),OR(Filter!$E$7="(alle)",ISNUMBER(SEARCH(Filter!$E$7,$J161))),OR(Filter!$H$7="(alle)",ISNUMBER(SEARCH(Filter!$H$7,$I161))),OR(Filter!$B$9="",ISNUMBER(SEARCH(Filter!$B$9,$F161&amp;" "&amp;$G161)))),COUNTIF($O$6:$O160,"&gt;0")+1,0))</f>
        <v>155</v>
      </c>
    </row>
    <row r="162" customFormat="false" ht="63.75" hidden="false" customHeight="true" outlineLevel="0" collapsed="false">
      <c r="B162" s="30" t="s">
        <v>873</v>
      </c>
      <c r="C162" s="30" t="s">
        <v>286</v>
      </c>
      <c r="D162" s="30" t="s">
        <v>874</v>
      </c>
      <c r="E162" s="30" t="s">
        <v>361</v>
      </c>
      <c r="F162" s="30" t="s">
        <v>875</v>
      </c>
      <c r="G162" s="30" t="s">
        <v>876</v>
      </c>
      <c r="H162" s="30" t="s">
        <v>877</v>
      </c>
      <c r="I162" s="30" t="s">
        <v>306</v>
      </c>
      <c r="J162" s="30" t="s">
        <v>206</v>
      </c>
      <c r="K162" s="31" t="s">
        <v>47</v>
      </c>
      <c r="L162" s="32"/>
      <c r="M162" s="30"/>
      <c r="N162" s="30" t="s">
        <v>48</v>
      </c>
      <c r="O162" s="1" t="n">
        <f aca="false">IF($B162="",0,IF(AND(OR(Filter!$B$5="(alle)",$N162=Filter!$B$5),OR(Filter!$E$5="(alle)",$K162=Filter!$E$5),OR(Filter!$H$5="(alle)",$C162=Filter!$H$5),OR(Filter!$B$7="(alle)",$E162=Filter!$B$7),OR(Filter!$E$7="(alle)",ISNUMBER(SEARCH(Filter!$E$7,$J162))),OR(Filter!$H$7="(alle)",ISNUMBER(SEARCH(Filter!$H$7,$I162))),OR(Filter!$B$9="",ISNUMBER(SEARCH(Filter!$B$9,$F162&amp;" "&amp;$G162)))),COUNTIF($O$6:$O161,"&gt;0")+1,0))</f>
        <v>156</v>
      </c>
    </row>
    <row r="163" customFormat="false" ht="102" hidden="false" customHeight="true" outlineLevel="0" collapsed="false">
      <c r="B163" s="30" t="s">
        <v>878</v>
      </c>
      <c r="C163" s="30" t="s">
        <v>286</v>
      </c>
      <c r="D163" s="30" t="s">
        <v>879</v>
      </c>
      <c r="E163" s="30" t="s">
        <v>355</v>
      </c>
      <c r="F163" s="30" t="s">
        <v>880</v>
      </c>
      <c r="G163" s="30" t="s">
        <v>881</v>
      </c>
      <c r="H163" s="30" t="s">
        <v>882</v>
      </c>
      <c r="I163" s="30" t="s">
        <v>306</v>
      </c>
      <c r="J163" s="30" t="s">
        <v>206</v>
      </c>
      <c r="K163" s="31" t="s">
        <v>47</v>
      </c>
      <c r="L163" s="32"/>
      <c r="M163" s="30"/>
      <c r="N163" s="30" t="s">
        <v>48</v>
      </c>
      <c r="O163" s="1" t="n">
        <f aca="false">IF($B163="",0,IF(AND(OR(Filter!$B$5="(alle)",$N163=Filter!$B$5),OR(Filter!$E$5="(alle)",$K163=Filter!$E$5),OR(Filter!$H$5="(alle)",$C163=Filter!$H$5),OR(Filter!$B$7="(alle)",$E163=Filter!$B$7),OR(Filter!$E$7="(alle)",ISNUMBER(SEARCH(Filter!$E$7,$J163))),OR(Filter!$H$7="(alle)",ISNUMBER(SEARCH(Filter!$H$7,$I163))),OR(Filter!$B$9="",ISNUMBER(SEARCH(Filter!$B$9,$F163&amp;" "&amp;$G163)))),COUNTIF($O$6:$O162,"&gt;0")+1,0))</f>
        <v>157</v>
      </c>
    </row>
    <row r="164" customFormat="false" ht="114.75" hidden="false" customHeight="true" outlineLevel="0" collapsed="false">
      <c r="B164" s="30" t="s">
        <v>883</v>
      </c>
      <c r="C164" s="30" t="s">
        <v>286</v>
      </c>
      <c r="D164" s="30" t="s">
        <v>884</v>
      </c>
      <c r="E164" s="30" t="s">
        <v>355</v>
      </c>
      <c r="F164" s="30" t="s">
        <v>885</v>
      </c>
      <c r="G164" s="30" t="s">
        <v>886</v>
      </c>
      <c r="H164" s="30" t="s">
        <v>887</v>
      </c>
      <c r="I164" s="30" t="s">
        <v>306</v>
      </c>
      <c r="J164" s="30" t="s">
        <v>206</v>
      </c>
      <c r="K164" s="31" t="s">
        <v>47</v>
      </c>
      <c r="L164" s="32"/>
      <c r="M164" s="30"/>
      <c r="N164" s="30" t="s">
        <v>48</v>
      </c>
      <c r="O164" s="1" t="n">
        <f aca="false">IF($B164="",0,IF(AND(OR(Filter!$B$5="(alle)",$N164=Filter!$B$5),OR(Filter!$E$5="(alle)",$K164=Filter!$E$5),OR(Filter!$H$5="(alle)",$C164=Filter!$H$5),OR(Filter!$B$7="(alle)",$E164=Filter!$B$7),OR(Filter!$E$7="(alle)",ISNUMBER(SEARCH(Filter!$E$7,$J164))),OR(Filter!$H$7="(alle)",ISNUMBER(SEARCH(Filter!$H$7,$I164))),OR(Filter!$B$9="",ISNUMBER(SEARCH(Filter!$B$9,$F164&amp;" "&amp;$G164)))),COUNTIF($O$6:$O163,"&gt;0")+1,0))</f>
        <v>158</v>
      </c>
    </row>
    <row r="165" customFormat="false" ht="242.25" hidden="false" customHeight="true" outlineLevel="0" collapsed="false">
      <c r="B165" s="30" t="s">
        <v>888</v>
      </c>
      <c r="C165" s="30" t="s">
        <v>286</v>
      </c>
      <c r="D165" s="30" t="s">
        <v>889</v>
      </c>
      <c r="E165" s="30" t="s">
        <v>355</v>
      </c>
      <c r="F165" s="30" t="s">
        <v>890</v>
      </c>
      <c r="G165" s="30" t="s">
        <v>891</v>
      </c>
      <c r="H165" s="30" t="s">
        <v>892</v>
      </c>
      <c r="I165" s="30" t="s">
        <v>306</v>
      </c>
      <c r="J165" s="30" t="s">
        <v>206</v>
      </c>
      <c r="K165" s="31" t="s">
        <v>47</v>
      </c>
      <c r="L165" s="32"/>
      <c r="M165" s="30"/>
      <c r="N165" s="30" t="s">
        <v>48</v>
      </c>
      <c r="O165" s="1" t="n">
        <f aca="false">IF($B165="",0,IF(AND(OR(Filter!$B$5="(alle)",$N165=Filter!$B$5),OR(Filter!$E$5="(alle)",$K165=Filter!$E$5),OR(Filter!$H$5="(alle)",$C165=Filter!$H$5),OR(Filter!$B$7="(alle)",$E165=Filter!$B$7),OR(Filter!$E$7="(alle)",ISNUMBER(SEARCH(Filter!$E$7,$J165))),OR(Filter!$H$7="(alle)",ISNUMBER(SEARCH(Filter!$H$7,$I165))),OR(Filter!$B$9="",ISNUMBER(SEARCH(Filter!$B$9,$F165&amp;" "&amp;$G165)))),COUNTIF($O$6:$O164,"&gt;0")+1,0))</f>
        <v>159</v>
      </c>
    </row>
    <row r="166" customFormat="false" ht="38.25" hidden="false" customHeight="true" outlineLevel="0" collapsed="false">
      <c r="B166" s="30" t="s">
        <v>893</v>
      </c>
      <c r="C166" s="30" t="s">
        <v>286</v>
      </c>
      <c r="D166" s="30" t="s">
        <v>894</v>
      </c>
      <c r="E166" s="30" t="s">
        <v>344</v>
      </c>
      <c r="F166" s="30" t="s">
        <v>895</v>
      </c>
      <c r="G166" s="30" t="s">
        <v>896</v>
      </c>
      <c r="H166" s="30" t="s">
        <v>897</v>
      </c>
      <c r="I166" s="30" t="s">
        <v>306</v>
      </c>
      <c r="J166" s="30" t="s">
        <v>206</v>
      </c>
      <c r="K166" s="31" t="s">
        <v>47</v>
      </c>
      <c r="L166" s="32"/>
      <c r="M166" s="30"/>
      <c r="N166" s="30" t="s">
        <v>48</v>
      </c>
      <c r="O166" s="1" t="n">
        <f aca="false">IF($B166="",0,IF(AND(OR(Filter!$B$5="(alle)",$N166=Filter!$B$5),OR(Filter!$E$5="(alle)",$K166=Filter!$E$5),OR(Filter!$H$5="(alle)",$C166=Filter!$H$5),OR(Filter!$B$7="(alle)",$E166=Filter!$B$7),OR(Filter!$E$7="(alle)",ISNUMBER(SEARCH(Filter!$E$7,$J166))),OR(Filter!$H$7="(alle)",ISNUMBER(SEARCH(Filter!$H$7,$I166))),OR(Filter!$B$9="",ISNUMBER(SEARCH(Filter!$B$9,$F166&amp;" "&amp;$G166)))),COUNTIF($O$6:$O165,"&gt;0")+1,0))</f>
        <v>160</v>
      </c>
    </row>
    <row r="167" customFormat="false" ht="76.5" hidden="false" customHeight="true" outlineLevel="0" collapsed="false">
      <c r="B167" s="30" t="s">
        <v>898</v>
      </c>
      <c r="C167" s="30" t="s">
        <v>286</v>
      </c>
      <c r="D167" s="30" t="s">
        <v>899</v>
      </c>
      <c r="E167" s="30" t="s">
        <v>94</v>
      </c>
      <c r="F167" s="30" t="s">
        <v>900</v>
      </c>
      <c r="G167" s="30" t="s">
        <v>901</v>
      </c>
      <c r="H167" s="30" t="s">
        <v>902</v>
      </c>
      <c r="I167" s="30" t="s">
        <v>45</v>
      </c>
      <c r="J167" s="30" t="s">
        <v>265</v>
      </c>
      <c r="K167" s="31" t="s">
        <v>47</v>
      </c>
      <c r="L167" s="32"/>
      <c r="M167" s="30"/>
      <c r="N167" s="30" t="s">
        <v>48</v>
      </c>
      <c r="O167" s="1" t="n">
        <f aca="false">IF($B167="",0,IF(AND(OR(Filter!$B$5="(alle)",$N167=Filter!$B$5),OR(Filter!$E$5="(alle)",$K167=Filter!$E$5),OR(Filter!$H$5="(alle)",$C167=Filter!$H$5),OR(Filter!$B$7="(alle)",$E167=Filter!$B$7),OR(Filter!$E$7="(alle)",ISNUMBER(SEARCH(Filter!$E$7,$J167))),OR(Filter!$H$7="(alle)",ISNUMBER(SEARCH(Filter!$H$7,$I167))),OR(Filter!$B$9="",ISNUMBER(SEARCH(Filter!$B$9,$F167&amp;" "&amp;$G167)))),COUNTIF($O$6:$O166,"&gt;0")+1,0))</f>
        <v>161</v>
      </c>
    </row>
    <row r="168" customFormat="false" ht="102" hidden="false" customHeight="true" outlineLevel="0" collapsed="false">
      <c r="B168" s="30" t="s">
        <v>903</v>
      </c>
      <c r="C168" s="30" t="s">
        <v>286</v>
      </c>
      <c r="D168" s="30" t="s">
        <v>904</v>
      </c>
      <c r="E168" s="30" t="s">
        <v>155</v>
      </c>
      <c r="F168" s="30" t="s">
        <v>905</v>
      </c>
      <c r="G168" s="30" t="s">
        <v>906</v>
      </c>
      <c r="H168" s="30" t="s">
        <v>907</v>
      </c>
      <c r="I168" s="30" t="s">
        <v>476</v>
      </c>
      <c r="J168" s="30" t="s">
        <v>476</v>
      </c>
      <c r="K168" s="31" t="s">
        <v>47</v>
      </c>
      <c r="L168" s="32"/>
      <c r="M168" s="30"/>
      <c r="N168" s="30" t="s">
        <v>48</v>
      </c>
      <c r="O168" s="1" t="n">
        <f aca="false">IF($B168="",0,IF(AND(OR(Filter!$B$5="(alle)",$N168=Filter!$B$5),OR(Filter!$E$5="(alle)",$K168=Filter!$E$5),OR(Filter!$H$5="(alle)",$C168=Filter!$H$5),OR(Filter!$B$7="(alle)",$E168=Filter!$B$7),OR(Filter!$E$7="(alle)",ISNUMBER(SEARCH(Filter!$E$7,$J168))),OR(Filter!$H$7="(alle)",ISNUMBER(SEARCH(Filter!$H$7,$I168))),OR(Filter!$B$9="",ISNUMBER(SEARCH(Filter!$B$9,$F168&amp;" "&amp;$G168)))),COUNTIF($O$6:$O167,"&gt;0")+1,0))</f>
        <v>162</v>
      </c>
    </row>
    <row r="169" customFormat="false" ht="63.75" hidden="false" customHeight="true" outlineLevel="0" collapsed="false">
      <c r="B169" s="30" t="s">
        <v>908</v>
      </c>
      <c r="C169" s="30" t="s">
        <v>286</v>
      </c>
      <c r="D169" s="30" t="s">
        <v>909</v>
      </c>
      <c r="E169" s="30" t="s">
        <v>361</v>
      </c>
      <c r="F169" s="30" t="s">
        <v>910</v>
      </c>
      <c r="G169" s="30" t="s">
        <v>911</v>
      </c>
      <c r="H169" s="30" t="s">
        <v>912</v>
      </c>
      <c r="I169" s="30" t="s">
        <v>306</v>
      </c>
      <c r="J169" s="30" t="s">
        <v>206</v>
      </c>
      <c r="K169" s="31" t="s">
        <v>47</v>
      </c>
      <c r="L169" s="32"/>
      <c r="M169" s="30"/>
      <c r="N169" s="30" t="s">
        <v>48</v>
      </c>
      <c r="O169" s="1" t="n">
        <f aca="false">IF($B169="",0,IF(AND(OR(Filter!$B$5="(alle)",$N169=Filter!$B$5),OR(Filter!$E$5="(alle)",$K169=Filter!$E$5),OR(Filter!$H$5="(alle)",$C169=Filter!$H$5),OR(Filter!$B$7="(alle)",$E169=Filter!$B$7),OR(Filter!$E$7="(alle)",ISNUMBER(SEARCH(Filter!$E$7,$J169))),OR(Filter!$H$7="(alle)",ISNUMBER(SEARCH(Filter!$H$7,$I169))),OR(Filter!$B$9="",ISNUMBER(SEARCH(Filter!$B$9,$F169&amp;" "&amp;$G169)))),COUNTIF($O$6:$O168,"&gt;0")+1,0))</f>
        <v>163</v>
      </c>
    </row>
    <row r="170" customFormat="false" ht="51" hidden="false" customHeight="true" outlineLevel="0" collapsed="false">
      <c r="B170" s="30" t="s">
        <v>913</v>
      </c>
      <c r="C170" s="30" t="s">
        <v>286</v>
      </c>
      <c r="D170" s="30" t="s">
        <v>914</v>
      </c>
      <c r="E170" s="30" t="s">
        <v>355</v>
      </c>
      <c r="F170" s="30" t="s">
        <v>915</v>
      </c>
      <c r="G170" s="30" t="s">
        <v>916</v>
      </c>
      <c r="H170" s="30" t="s">
        <v>917</v>
      </c>
      <c r="I170" s="30" t="s">
        <v>306</v>
      </c>
      <c r="J170" s="30" t="s">
        <v>206</v>
      </c>
      <c r="K170" s="31" t="s">
        <v>47</v>
      </c>
      <c r="L170" s="32"/>
      <c r="M170" s="30"/>
      <c r="N170" s="30" t="s">
        <v>48</v>
      </c>
      <c r="O170" s="1" t="n">
        <f aca="false">IF($B170="",0,IF(AND(OR(Filter!$B$5="(alle)",$N170=Filter!$B$5),OR(Filter!$E$5="(alle)",$K170=Filter!$E$5),OR(Filter!$H$5="(alle)",$C170=Filter!$H$5),OR(Filter!$B$7="(alle)",$E170=Filter!$B$7),OR(Filter!$E$7="(alle)",ISNUMBER(SEARCH(Filter!$E$7,$J170))),OR(Filter!$H$7="(alle)",ISNUMBER(SEARCH(Filter!$H$7,$I170))),OR(Filter!$B$9="",ISNUMBER(SEARCH(Filter!$B$9,$F170&amp;" "&amp;$G170)))),COUNTIF($O$6:$O169,"&gt;0")+1,0))</f>
        <v>164</v>
      </c>
    </row>
    <row r="171" customFormat="false" ht="89.25" hidden="false" customHeight="true" outlineLevel="0" collapsed="false">
      <c r="B171" s="30" t="s">
        <v>918</v>
      </c>
      <c r="C171" s="30" t="s">
        <v>286</v>
      </c>
      <c r="D171" s="30" t="s">
        <v>919</v>
      </c>
      <c r="E171" s="30" t="s">
        <v>355</v>
      </c>
      <c r="F171" s="30" t="s">
        <v>920</v>
      </c>
      <c r="G171" s="30" t="s">
        <v>921</v>
      </c>
      <c r="H171" s="30" t="s">
        <v>922</v>
      </c>
      <c r="I171" s="30" t="s">
        <v>306</v>
      </c>
      <c r="J171" s="30" t="s">
        <v>206</v>
      </c>
      <c r="K171" s="31" t="s">
        <v>47</v>
      </c>
      <c r="L171" s="32"/>
      <c r="M171" s="30"/>
      <c r="N171" s="30" t="s">
        <v>48</v>
      </c>
      <c r="O171" s="1" t="n">
        <f aca="false">IF($B171="",0,IF(AND(OR(Filter!$B$5="(alle)",$N171=Filter!$B$5),OR(Filter!$E$5="(alle)",$K171=Filter!$E$5),OR(Filter!$H$5="(alle)",$C171=Filter!$H$5),OR(Filter!$B$7="(alle)",$E171=Filter!$B$7),OR(Filter!$E$7="(alle)",ISNUMBER(SEARCH(Filter!$E$7,$J171))),OR(Filter!$H$7="(alle)",ISNUMBER(SEARCH(Filter!$H$7,$I171))),OR(Filter!$B$9="",ISNUMBER(SEARCH(Filter!$B$9,$F171&amp;" "&amp;$G171)))),COUNTIF($O$6:$O170,"&gt;0")+1,0))</f>
        <v>165</v>
      </c>
    </row>
    <row r="172" customFormat="false" ht="102" hidden="false" customHeight="true" outlineLevel="0" collapsed="false">
      <c r="B172" s="30" t="s">
        <v>923</v>
      </c>
      <c r="C172" s="30" t="s">
        <v>286</v>
      </c>
      <c r="D172" s="30" t="s">
        <v>924</v>
      </c>
      <c r="E172" s="30" t="s">
        <v>604</v>
      </c>
      <c r="F172" s="30" t="s">
        <v>925</v>
      </c>
      <c r="G172" s="30" t="s">
        <v>926</v>
      </c>
      <c r="H172" s="30" t="s">
        <v>927</v>
      </c>
      <c r="I172" s="30" t="s">
        <v>476</v>
      </c>
      <c r="J172" s="30" t="s">
        <v>476</v>
      </c>
      <c r="K172" s="31" t="s">
        <v>47</v>
      </c>
      <c r="L172" s="32"/>
      <c r="M172" s="30"/>
      <c r="N172" s="30" t="s">
        <v>48</v>
      </c>
      <c r="O172" s="1" t="n">
        <f aca="false">IF($B172="",0,IF(AND(OR(Filter!$B$5="(alle)",$N172=Filter!$B$5),OR(Filter!$E$5="(alle)",$K172=Filter!$E$5),OR(Filter!$H$5="(alle)",$C172=Filter!$H$5),OR(Filter!$B$7="(alle)",$E172=Filter!$B$7),OR(Filter!$E$7="(alle)",ISNUMBER(SEARCH(Filter!$E$7,$J172))),OR(Filter!$H$7="(alle)",ISNUMBER(SEARCH(Filter!$H$7,$I172))),OR(Filter!$B$9="",ISNUMBER(SEARCH(Filter!$B$9,$F172&amp;" "&amp;$G172)))),COUNTIF($O$6:$O171,"&gt;0")+1,0))</f>
        <v>166</v>
      </c>
    </row>
    <row r="173" customFormat="false" ht="76.5" hidden="false" customHeight="true" outlineLevel="0" collapsed="false">
      <c r="B173" s="30" t="s">
        <v>928</v>
      </c>
      <c r="C173" s="30" t="s">
        <v>286</v>
      </c>
      <c r="D173" s="30" t="s">
        <v>929</v>
      </c>
      <c r="E173" s="30" t="s">
        <v>344</v>
      </c>
      <c r="F173" s="30" t="s">
        <v>930</v>
      </c>
      <c r="G173" s="30" t="s">
        <v>931</v>
      </c>
      <c r="H173" s="30" t="s">
        <v>932</v>
      </c>
      <c r="I173" s="30" t="s">
        <v>306</v>
      </c>
      <c r="J173" s="30" t="s">
        <v>206</v>
      </c>
      <c r="K173" s="31" t="s">
        <v>47</v>
      </c>
      <c r="L173" s="32"/>
      <c r="M173" s="30"/>
      <c r="N173" s="30" t="s">
        <v>48</v>
      </c>
      <c r="O173" s="1" t="n">
        <f aca="false">IF($B173="",0,IF(AND(OR(Filter!$B$5="(alle)",$N173=Filter!$B$5),OR(Filter!$E$5="(alle)",$K173=Filter!$E$5),OR(Filter!$H$5="(alle)",$C173=Filter!$H$5),OR(Filter!$B$7="(alle)",$E173=Filter!$B$7),OR(Filter!$E$7="(alle)",ISNUMBER(SEARCH(Filter!$E$7,$J173))),OR(Filter!$H$7="(alle)",ISNUMBER(SEARCH(Filter!$H$7,$I173))),OR(Filter!$B$9="",ISNUMBER(SEARCH(Filter!$B$9,$F173&amp;" "&amp;$G173)))),COUNTIF($O$6:$O172,"&gt;0")+1,0))</f>
        <v>167</v>
      </c>
    </row>
    <row r="174" customFormat="false" ht="242.25" hidden="false" customHeight="true" outlineLevel="0" collapsed="false">
      <c r="B174" s="30" t="s">
        <v>933</v>
      </c>
      <c r="C174" s="30" t="s">
        <v>286</v>
      </c>
      <c r="D174" s="30" t="s">
        <v>934</v>
      </c>
      <c r="E174" s="30" t="s">
        <v>210</v>
      </c>
      <c r="F174" s="30" t="s">
        <v>935</v>
      </c>
      <c r="G174" s="30" t="s">
        <v>936</v>
      </c>
      <c r="H174" s="30" t="s">
        <v>937</v>
      </c>
      <c r="I174" s="30" t="s">
        <v>306</v>
      </c>
      <c r="J174" s="30" t="s">
        <v>206</v>
      </c>
      <c r="K174" s="31" t="s">
        <v>47</v>
      </c>
      <c r="L174" s="32"/>
      <c r="M174" s="30"/>
      <c r="N174" s="30" t="s">
        <v>48</v>
      </c>
      <c r="O174" s="1" t="n">
        <f aca="false">IF($B174="",0,IF(AND(OR(Filter!$B$5="(alle)",$N174=Filter!$B$5),OR(Filter!$E$5="(alle)",$K174=Filter!$E$5),OR(Filter!$H$5="(alle)",$C174=Filter!$H$5),OR(Filter!$B$7="(alle)",$E174=Filter!$B$7),OR(Filter!$E$7="(alle)",ISNUMBER(SEARCH(Filter!$E$7,$J174))),OR(Filter!$H$7="(alle)",ISNUMBER(SEARCH(Filter!$H$7,$I174))),OR(Filter!$B$9="",ISNUMBER(SEARCH(Filter!$B$9,$F174&amp;" "&amp;$G174)))),COUNTIF($O$6:$O173,"&gt;0")+1,0))</f>
        <v>168</v>
      </c>
    </row>
    <row r="175" customFormat="false" ht="63.75" hidden="false" customHeight="true" outlineLevel="0" collapsed="false">
      <c r="B175" s="30" t="s">
        <v>938</v>
      </c>
      <c r="C175" s="30" t="s">
        <v>286</v>
      </c>
      <c r="D175" s="30" t="s">
        <v>939</v>
      </c>
      <c r="E175" s="30" t="s">
        <v>361</v>
      </c>
      <c r="F175" s="30" t="s">
        <v>940</v>
      </c>
      <c r="G175" s="30" t="s">
        <v>941</v>
      </c>
      <c r="H175" s="30" t="s">
        <v>942</v>
      </c>
      <c r="I175" s="30" t="s">
        <v>306</v>
      </c>
      <c r="J175" s="30" t="s">
        <v>206</v>
      </c>
      <c r="K175" s="31" t="s">
        <v>47</v>
      </c>
      <c r="L175" s="32"/>
      <c r="M175" s="30"/>
      <c r="N175" s="30" t="s">
        <v>48</v>
      </c>
      <c r="O175" s="1" t="n">
        <f aca="false">IF($B175="",0,IF(AND(OR(Filter!$B$5="(alle)",$N175=Filter!$B$5),OR(Filter!$E$5="(alle)",$K175=Filter!$E$5),OR(Filter!$H$5="(alle)",$C175=Filter!$H$5),OR(Filter!$B$7="(alle)",$E175=Filter!$B$7),OR(Filter!$E$7="(alle)",ISNUMBER(SEARCH(Filter!$E$7,$J175))),OR(Filter!$H$7="(alle)",ISNUMBER(SEARCH(Filter!$H$7,$I175))),OR(Filter!$B$9="",ISNUMBER(SEARCH(Filter!$B$9,$F175&amp;" "&amp;$G175)))),COUNTIF($O$6:$O174,"&gt;0")+1,0))</f>
        <v>169</v>
      </c>
    </row>
    <row r="176" customFormat="false" ht="102" hidden="false" customHeight="true" outlineLevel="0" collapsed="false">
      <c r="B176" s="30" t="s">
        <v>943</v>
      </c>
      <c r="C176" s="30" t="s">
        <v>286</v>
      </c>
      <c r="D176" s="30" t="s">
        <v>944</v>
      </c>
      <c r="E176" s="30" t="s">
        <v>361</v>
      </c>
      <c r="F176" s="30" t="s">
        <v>945</v>
      </c>
      <c r="G176" s="30" t="s">
        <v>946</v>
      </c>
      <c r="H176" s="30" t="s">
        <v>947</v>
      </c>
      <c r="I176" s="30" t="s">
        <v>306</v>
      </c>
      <c r="J176" s="30" t="s">
        <v>206</v>
      </c>
      <c r="K176" s="31" t="s">
        <v>47</v>
      </c>
      <c r="L176" s="32"/>
      <c r="M176" s="30"/>
      <c r="N176" s="30" t="s">
        <v>48</v>
      </c>
      <c r="O176" s="1" t="n">
        <f aca="false">IF($B176="",0,IF(AND(OR(Filter!$B$5="(alle)",$N176=Filter!$B$5),OR(Filter!$E$5="(alle)",$K176=Filter!$E$5),OR(Filter!$H$5="(alle)",$C176=Filter!$H$5),OR(Filter!$B$7="(alle)",$E176=Filter!$B$7),OR(Filter!$E$7="(alle)",ISNUMBER(SEARCH(Filter!$E$7,$J176))),OR(Filter!$H$7="(alle)",ISNUMBER(SEARCH(Filter!$H$7,$I176))),OR(Filter!$B$9="",ISNUMBER(SEARCH(Filter!$B$9,$F176&amp;" "&amp;$G176)))),COUNTIF($O$6:$O175,"&gt;0")+1,0))</f>
        <v>170</v>
      </c>
    </row>
    <row r="177" customFormat="false" ht="114.75" hidden="false" customHeight="true" outlineLevel="0" collapsed="false">
      <c r="B177" s="30" t="s">
        <v>948</v>
      </c>
      <c r="C177" s="30" t="s">
        <v>286</v>
      </c>
      <c r="D177" s="30" t="s">
        <v>949</v>
      </c>
      <c r="E177" s="30" t="s">
        <v>604</v>
      </c>
      <c r="F177" s="30" t="s">
        <v>950</v>
      </c>
      <c r="G177" s="30" t="s">
        <v>951</v>
      </c>
      <c r="H177" s="30" t="s">
        <v>952</v>
      </c>
      <c r="I177" s="30" t="s">
        <v>476</v>
      </c>
      <c r="J177" s="30" t="s">
        <v>476</v>
      </c>
      <c r="K177" s="31" t="s">
        <v>47</v>
      </c>
      <c r="L177" s="32"/>
      <c r="M177" s="30"/>
      <c r="N177" s="30" t="s">
        <v>48</v>
      </c>
      <c r="O177" s="1" t="n">
        <f aca="false">IF($B177="",0,IF(AND(OR(Filter!$B$5="(alle)",$N177=Filter!$B$5),OR(Filter!$E$5="(alle)",$K177=Filter!$E$5),OR(Filter!$H$5="(alle)",$C177=Filter!$H$5),OR(Filter!$B$7="(alle)",$E177=Filter!$B$7),OR(Filter!$E$7="(alle)",ISNUMBER(SEARCH(Filter!$E$7,$J177))),OR(Filter!$H$7="(alle)",ISNUMBER(SEARCH(Filter!$H$7,$I177))),OR(Filter!$B$9="",ISNUMBER(SEARCH(Filter!$B$9,$F177&amp;" "&amp;$G177)))),COUNTIF($O$6:$O176,"&gt;0")+1,0))</f>
        <v>171</v>
      </c>
    </row>
    <row r="178" customFormat="false" ht="51" hidden="false" customHeight="true" outlineLevel="0" collapsed="false">
      <c r="B178" s="30" t="s">
        <v>953</v>
      </c>
      <c r="C178" s="30" t="s">
        <v>286</v>
      </c>
      <c r="D178" s="30" t="s">
        <v>954</v>
      </c>
      <c r="E178" s="30" t="s">
        <v>361</v>
      </c>
      <c r="F178" s="30" t="s">
        <v>955</v>
      </c>
      <c r="G178" s="30" t="s">
        <v>956</v>
      </c>
      <c r="H178" s="30" t="s">
        <v>957</v>
      </c>
      <c r="I178" s="30" t="s">
        <v>306</v>
      </c>
      <c r="J178" s="30" t="s">
        <v>206</v>
      </c>
      <c r="K178" s="31" t="s">
        <v>151</v>
      </c>
      <c r="L178" s="32"/>
      <c r="M178" s="30" t="s">
        <v>958</v>
      </c>
      <c r="N178" s="30" t="s">
        <v>48</v>
      </c>
      <c r="O178" s="1" t="n">
        <f aca="false">IF($B178="",0,IF(AND(OR(Filter!$B$5="(alle)",$N178=Filter!$B$5),OR(Filter!$E$5="(alle)",$K178=Filter!$E$5),OR(Filter!$H$5="(alle)",$C178=Filter!$H$5),OR(Filter!$B$7="(alle)",$E178=Filter!$B$7),OR(Filter!$E$7="(alle)",ISNUMBER(SEARCH(Filter!$E$7,$J178))),OR(Filter!$H$7="(alle)",ISNUMBER(SEARCH(Filter!$H$7,$I178))),OR(Filter!$B$9="",ISNUMBER(SEARCH(Filter!$B$9,$F178&amp;" "&amp;$G178)))),COUNTIF($O$6:$O177,"&gt;0")+1,0))</f>
        <v>172</v>
      </c>
    </row>
    <row r="179" customFormat="false" ht="114.75" hidden="false" customHeight="true" outlineLevel="0" collapsed="false">
      <c r="B179" s="30" t="s">
        <v>959</v>
      </c>
      <c r="C179" s="30" t="s">
        <v>286</v>
      </c>
      <c r="D179" s="30" t="s">
        <v>960</v>
      </c>
      <c r="E179" s="30" t="s">
        <v>344</v>
      </c>
      <c r="F179" s="30" t="s">
        <v>961</v>
      </c>
      <c r="G179" s="30" t="s">
        <v>962</v>
      </c>
      <c r="H179" s="30" t="s">
        <v>963</v>
      </c>
      <c r="I179" s="30" t="s">
        <v>306</v>
      </c>
      <c r="J179" s="30" t="s">
        <v>206</v>
      </c>
      <c r="K179" s="31" t="s">
        <v>47</v>
      </c>
      <c r="L179" s="32"/>
      <c r="M179" s="30"/>
      <c r="N179" s="30" t="s">
        <v>48</v>
      </c>
      <c r="O179" s="1" t="n">
        <f aca="false">IF($B179="",0,IF(AND(OR(Filter!$B$5="(alle)",$N179=Filter!$B$5),OR(Filter!$E$5="(alle)",$K179=Filter!$E$5),OR(Filter!$H$5="(alle)",$C179=Filter!$H$5),OR(Filter!$B$7="(alle)",$E179=Filter!$B$7),OR(Filter!$E$7="(alle)",ISNUMBER(SEARCH(Filter!$E$7,$J179))),OR(Filter!$H$7="(alle)",ISNUMBER(SEARCH(Filter!$H$7,$I179))),OR(Filter!$B$9="",ISNUMBER(SEARCH(Filter!$B$9,$F179&amp;" "&amp;$G179)))),COUNTIF($O$6:$O178,"&gt;0")+1,0))</f>
        <v>173</v>
      </c>
    </row>
    <row r="180" customFormat="false" ht="153" hidden="false" customHeight="true" outlineLevel="0" collapsed="false">
      <c r="B180" s="30" t="s">
        <v>964</v>
      </c>
      <c r="C180" s="30" t="s">
        <v>286</v>
      </c>
      <c r="D180" s="30" t="s">
        <v>965</v>
      </c>
      <c r="E180" s="30" t="s">
        <v>155</v>
      </c>
      <c r="F180" s="30" t="s">
        <v>966</v>
      </c>
      <c r="G180" s="30" t="s">
        <v>967</v>
      </c>
      <c r="H180" s="30" t="s">
        <v>968</v>
      </c>
      <c r="I180" s="30" t="s">
        <v>476</v>
      </c>
      <c r="J180" s="30" t="s">
        <v>476</v>
      </c>
      <c r="K180" s="31" t="s">
        <v>47</v>
      </c>
      <c r="L180" s="32"/>
      <c r="M180" s="30"/>
      <c r="N180" s="30" t="s">
        <v>48</v>
      </c>
      <c r="O180" s="1" t="n">
        <f aca="false">IF($B180="",0,IF(AND(OR(Filter!$B$5="(alle)",$N180=Filter!$B$5),OR(Filter!$E$5="(alle)",$K180=Filter!$E$5),OR(Filter!$H$5="(alle)",$C180=Filter!$H$5),OR(Filter!$B$7="(alle)",$E180=Filter!$B$7),OR(Filter!$E$7="(alle)",ISNUMBER(SEARCH(Filter!$E$7,$J180))),OR(Filter!$H$7="(alle)",ISNUMBER(SEARCH(Filter!$H$7,$I180))),OR(Filter!$B$9="",ISNUMBER(SEARCH(Filter!$B$9,$F180&amp;" "&amp;$G180)))),COUNTIF($O$6:$O179,"&gt;0")+1,0))</f>
        <v>174</v>
      </c>
    </row>
    <row r="181" customFormat="false" ht="140.25" hidden="false" customHeight="true" outlineLevel="0" collapsed="false">
      <c r="B181" s="30" t="s">
        <v>969</v>
      </c>
      <c r="C181" s="30" t="s">
        <v>286</v>
      </c>
      <c r="D181" s="30" t="s">
        <v>970</v>
      </c>
      <c r="E181" s="30" t="s">
        <v>604</v>
      </c>
      <c r="F181" s="30" t="s">
        <v>971</v>
      </c>
      <c r="G181" s="30" t="s">
        <v>972</v>
      </c>
      <c r="H181" s="30" t="s">
        <v>973</v>
      </c>
      <c r="I181" s="30" t="s">
        <v>476</v>
      </c>
      <c r="J181" s="30" t="s">
        <v>476</v>
      </c>
      <c r="K181" s="31" t="s">
        <v>47</v>
      </c>
      <c r="L181" s="32"/>
      <c r="M181" s="30"/>
      <c r="N181" s="30" t="s">
        <v>48</v>
      </c>
      <c r="O181" s="1" t="n">
        <f aca="false">IF($B181="",0,IF(AND(OR(Filter!$B$5="(alle)",$N181=Filter!$B$5),OR(Filter!$E$5="(alle)",$K181=Filter!$E$5),OR(Filter!$H$5="(alle)",$C181=Filter!$H$5),OR(Filter!$B$7="(alle)",$E181=Filter!$B$7),OR(Filter!$E$7="(alle)",ISNUMBER(SEARCH(Filter!$E$7,$J181))),OR(Filter!$H$7="(alle)",ISNUMBER(SEARCH(Filter!$H$7,$I181))),OR(Filter!$B$9="",ISNUMBER(SEARCH(Filter!$B$9,$F181&amp;" "&amp;$G181)))),COUNTIF($O$6:$O180,"&gt;0")+1,0))</f>
        <v>175</v>
      </c>
    </row>
    <row r="182" customFormat="false" ht="102" hidden="false" customHeight="true" outlineLevel="0" collapsed="false">
      <c r="B182" s="30" t="s">
        <v>974</v>
      </c>
      <c r="C182" s="30" t="s">
        <v>286</v>
      </c>
      <c r="D182" s="30" t="s">
        <v>975</v>
      </c>
      <c r="E182" s="30" t="s">
        <v>344</v>
      </c>
      <c r="F182" s="30" t="s">
        <v>976</v>
      </c>
      <c r="G182" s="30" t="s">
        <v>977</v>
      </c>
      <c r="H182" s="30" t="s">
        <v>978</v>
      </c>
      <c r="I182" s="30" t="s">
        <v>306</v>
      </c>
      <c r="J182" s="30" t="s">
        <v>206</v>
      </c>
      <c r="K182" s="31" t="s">
        <v>47</v>
      </c>
      <c r="L182" s="32"/>
      <c r="M182" s="30"/>
      <c r="N182" s="30" t="s">
        <v>48</v>
      </c>
      <c r="O182" s="1" t="n">
        <f aca="false">IF($B182="",0,IF(AND(OR(Filter!$B$5="(alle)",$N182=Filter!$B$5),OR(Filter!$E$5="(alle)",$K182=Filter!$E$5),OR(Filter!$H$5="(alle)",$C182=Filter!$H$5),OR(Filter!$B$7="(alle)",$E182=Filter!$B$7),OR(Filter!$E$7="(alle)",ISNUMBER(SEARCH(Filter!$E$7,$J182))),OR(Filter!$H$7="(alle)",ISNUMBER(SEARCH(Filter!$H$7,$I182))),OR(Filter!$B$9="",ISNUMBER(SEARCH(Filter!$B$9,$F182&amp;" "&amp;$G182)))),COUNTIF($O$6:$O181,"&gt;0")+1,0))</f>
        <v>176</v>
      </c>
    </row>
    <row r="183" customFormat="false" ht="63.75" hidden="false" customHeight="true" outlineLevel="0" collapsed="false">
      <c r="B183" s="30" t="s">
        <v>979</v>
      </c>
      <c r="C183" s="30" t="s">
        <v>286</v>
      </c>
      <c r="D183" s="30" t="s">
        <v>980</v>
      </c>
      <c r="E183" s="30" t="s">
        <v>42</v>
      </c>
      <c r="F183" s="30" t="s">
        <v>981</v>
      </c>
      <c r="G183" s="30" t="s">
        <v>982</v>
      </c>
      <c r="H183" s="30" t="s">
        <v>983</v>
      </c>
      <c r="I183" s="30" t="s">
        <v>464</v>
      </c>
      <c r="J183" s="30" t="s">
        <v>767</v>
      </c>
      <c r="K183" s="31" t="s">
        <v>47</v>
      </c>
      <c r="L183" s="32"/>
      <c r="M183" s="30"/>
      <c r="N183" s="30" t="s">
        <v>48</v>
      </c>
      <c r="O183" s="1" t="n">
        <f aca="false">IF($B183="",0,IF(AND(OR(Filter!$B$5="(alle)",$N183=Filter!$B$5),OR(Filter!$E$5="(alle)",$K183=Filter!$E$5),OR(Filter!$H$5="(alle)",$C183=Filter!$H$5),OR(Filter!$B$7="(alle)",$E183=Filter!$B$7),OR(Filter!$E$7="(alle)",ISNUMBER(SEARCH(Filter!$E$7,$J183))),OR(Filter!$H$7="(alle)",ISNUMBER(SEARCH(Filter!$H$7,$I183))),OR(Filter!$B$9="",ISNUMBER(SEARCH(Filter!$B$9,$F183&amp;" "&amp;$G183)))),COUNTIF($O$6:$O182,"&gt;0")+1,0))</f>
        <v>177</v>
      </c>
    </row>
    <row r="184" customFormat="false" ht="89.25" hidden="false" customHeight="true" outlineLevel="0" collapsed="false">
      <c r="B184" s="30" t="s">
        <v>984</v>
      </c>
      <c r="C184" s="30" t="s">
        <v>286</v>
      </c>
      <c r="D184" s="30" t="s">
        <v>985</v>
      </c>
      <c r="E184" s="30" t="s">
        <v>94</v>
      </c>
      <c r="F184" s="30" t="s">
        <v>986</v>
      </c>
      <c r="G184" s="30" t="s">
        <v>987</v>
      </c>
      <c r="H184" s="30" t="s">
        <v>988</v>
      </c>
      <c r="I184" s="30" t="s">
        <v>45</v>
      </c>
      <c r="J184" s="30" t="s">
        <v>989</v>
      </c>
      <c r="K184" s="31" t="s">
        <v>47</v>
      </c>
      <c r="L184" s="32"/>
      <c r="M184" s="30"/>
      <c r="N184" s="30" t="s">
        <v>48</v>
      </c>
      <c r="O184" s="1" t="n">
        <f aca="false">IF($B184="",0,IF(AND(OR(Filter!$B$5="(alle)",$N184=Filter!$B$5),OR(Filter!$E$5="(alle)",$K184=Filter!$E$5),OR(Filter!$H$5="(alle)",$C184=Filter!$H$5),OR(Filter!$B$7="(alle)",$E184=Filter!$B$7),OR(Filter!$E$7="(alle)",ISNUMBER(SEARCH(Filter!$E$7,$J184))),OR(Filter!$H$7="(alle)",ISNUMBER(SEARCH(Filter!$H$7,$I184))),OR(Filter!$B$9="",ISNUMBER(SEARCH(Filter!$B$9,$F184&amp;" "&amp;$G184)))),COUNTIF($O$6:$O183,"&gt;0")+1,0))</f>
        <v>178</v>
      </c>
    </row>
    <row r="185" customFormat="false" ht="165.75" hidden="false" customHeight="true" outlineLevel="0" collapsed="false">
      <c r="B185" s="30" t="s">
        <v>990</v>
      </c>
      <c r="C185" s="30" t="s">
        <v>286</v>
      </c>
      <c r="D185" s="30" t="s">
        <v>991</v>
      </c>
      <c r="E185" s="30" t="s">
        <v>331</v>
      </c>
      <c r="F185" s="30" t="s">
        <v>992</v>
      </c>
      <c r="G185" s="30" t="s">
        <v>993</v>
      </c>
      <c r="H185" s="30" t="s">
        <v>994</v>
      </c>
      <c r="I185" s="30" t="s">
        <v>306</v>
      </c>
      <c r="J185" s="30" t="s">
        <v>206</v>
      </c>
      <c r="K185" s="31" t="s">
        <v>151</v>
      </c>
      <c r="L185" s="32"/>
      <c r="M185" s="30" t="s">
        <v>370</v>
      </c>
      <c r="N185" s="30" t="s">
        <v>48</v>
      </c>
      <c r="O185" s="1" t="n">
        <f aca="false">IF($B185="",0,IF(AND(OR(Filter!$B$5="(alle)",$N185=Filter!$B$5),OR(Filter!$E$5="(alle)",$K185=Filter!$E$5),OR(Filter!$H$5="(alle)",$C185=Filter!$H$5),OR(Filter!$B$7="(alle)",$E185=Filter!$B$7),OR(Filter!$E$7="(alle)",ISNUMBER(SEARCH(Filter!$E$7,$J185))),OR(Filter!$H$7="(alle)",ISNUMBER(SEARCH(Filter!$H$7,$I185))),OR(Filter!$B$9="",ISNUMBER(SEARCH(Filter!$B$9,$F185&amp;" "&amp;$G185)))),COUNTIF($O$6:$O184,"&gt;0")+1,0))</f>
        <v>179</v>
      </c>
    </row>
    <row r="186" customFormat="false" ht="51" hidden="false" customHeight="true" outlineLevel="0" collapsed="false">
      <c r="B186" s="30" t="s">
        <v>995</v>
      </c>
      <c r="C186" s="30" t="s">
        <v>286</v>
      </c>
      <c r="D186" s="30" t="s">
        <v>996</v>
      </c>
      <c r="E186" s="30" t="s">
        <v>331</v>
      </c>
      <c r="F186" s="30" t="s">
        <v>997</v>
      </c>
      <c r="G186" s="30" t="s">
        <v>998</v>
      </c>
      <c r="H186" s="30" t="s">
        <v>999</v>
      </c>
      <c r="I186" s="30" t="s">
        <v>306</v>
      </c>
      <c r="J186" s="30" t="s">
        <v>206</v>
      </c>
      <c r="K186" s="31" t="s">
        <v>151</v>
      </c>
      <c r="L186" s="32"/>
      <c r="M186" s="30" t="s">
        <v>370</v>
      </c>
      <c r="N186" s="30" t="s">
        <v>48</v>
      </c>
      <c r="O186" s="1" t="n">
        <f aca="false">IF($B186="",0,IF(AND(OR(Filter!$B$5="(alle)",$N186=Filter!$B$5),OR(Filter!$E$5="(alle)",$K186=Filter!$E$5),OR(Filter!$H$5="(alle)",$C186=Filter!$H$5),OR(Filter!$B$7="(alle)",$E186=Filter!$B$7),OR(Filter!$E$7="(alle)",ISNUMBER(SEARCH(Filter!$E$7,$J186))),OR(Filter!$H$7="(alle)",ISNUMBER(SEARCH(Filter!$H$7,$I186))),OR(Filter!$B$9="",ISNUMBER(SEARCH(Filter!$B$9,$F186&amp;" "&amp;$G186)))),COUNTIF($O$6:$O185,"&gt;0")+1,0))</f>
        <v>180</v>
      </c>
    </row>
    <row r="187" customFormat="false" ht="63.75" hidden="false" customHeight="true" outlineLevel="0" collapsed="false">
      <c r="B187" s="30" t="s">
        <v>1000</v>
      </c>
      <c r="C187" s="30" t="s">
        <v>286</v>
      </c>
      <c r="D187" s="30" t="s">
        <v>1001</v>
      </c>
      <c r="E187" s="30" t="s">
        <v>361</v>
      </c>
      <c r="F187" s="30" t="s">
        <v>1002</v>
      </c>
      <c r="G187" s="30" t="s">
        <v>1003</v>
      </c>
      <c r="H187" s="30" t="s">
        <v>1004</v>
      </c>
      <c r="I187" s="30" t="s">
        <v>306</v>
      </c>
      <c r="J187" s="30" t="s">
        <v>206</v>
      </c>
      <c r="K187" s="31" t="s">
        <v>47</v>
      </c>
      <c r="L187" s="32"/>
      <c r="M187" s="30"/>
      <c r="N187" s="30" t="s">
        <v>48</v>
      </c>
      <c r="O187" s="1" t="n">
        <f aca="false">IF($B187="",0,IF(AND(OR(Filter!$B$5="(alle)",$N187=Filter!$B$5),OR(Filter!$E$5="(alle)",$K187=Filter!$E$5),OR(Filter!$H$5="(alle)",$C187=Filter!$H$5),OR(Filter!$B$7="(alle)",$E187=Filter!$B$7),OR(Filter!$E$7="(alle)",ISNUMBER(SEARCH(Filter!$E$7,$J187))),OR(Filter!$H$7="(alle)",ISNUMBER(SEARCH(Filter!$H$7,$I187))),OR(Filter!$B$9="",ISNUMBER(SEARCH(Filter!$B$9,$F187&amp;" "&amp;$G187)))),COUNTIF($O$6:$O186,"&gt;0")+1,0))</f>
        <v>181</v>
      </c>
    </row>
    <row r="188" customFormat="false" ht="63.75" hidden="false" customHeight="true" outlineLevel="0" collapsed="false">
      <c r="B188" s="30" t="s">
        <v>1005</v>
      </c>
      <c r="C188" s="30" t="s">
        <v>286</v>
      </c>
      <c r="D188" s="30" t="s">
        <v>1006</v>
      </c>
      <c r="E188" s="30" t="s">
        <v>344</v>
      </c>
      <c r="F188" s="30" t="s">
        <v>1007</v>
      </c>
      <c r="G188" s="30" t="s">
        <v>1008</v>
      </c>
      <c r="H188" s="30" t="s">
        <v>1009</v>
      </c>
      <c r="I188" s="30" t="s">
        <v>306</v>
      </c>
      <c r="J188" s="30" t="s">
        <v>206</v>
      </c>
      <c r="K188" s="31" t="s">
        <v>47</v>
      </c>
      <c r="L188" s="32"/>
      <c r="M188" s="30"/>
      <c r="N188" s="30" t="s">
        <v>48</v>
      </c>
      <c r="O188" s="1" t="n">
        <f aca="false">IF($B188="",0,IF(AND(OR(Filter!$B$5="(alle)",$N188=Filter!$B$5),OR(Filter!$E$5="(alle)",$K188=Filter!$E$5),OR(Filter!$H$5="(alle)",$C188=Filter!$H$5),OR(Filter!$B$7="(alle)",$E188=Filter!$B$7),OR(Filter!$E$7="(alle)",ISNUMBER(SEARCH(Filter!$E$7,$J188))),OR(Filter!$H$7="(alle)",ISNUMBER(SEARCH(Filter!$H$7,$I188))),OR(Filter!$B$9="",ISNUMBER(SEARCH(Filter!$B$9,$F188&amp;" "&amp;$G188)))),COUNTIF($O$6:$O187,"&gt;0")+1,0))</f>
        <v>182</v>
      </c>
    </row>
    <row r="189" customFormat="false" ht="63.75" hidden="false" customHeight="true" outlineLevel="0" collapsed="false">
      <c r="B189" s="30" t="s">
        <v>1010</v>
      </c>
      <c r="C189" s="30" t="s">
        <v>286</v>
      </c>
      <c r="D189" s="30" t="s">
        <v>1011</v>
      </c>
      <c r="E189" s="30" t="s">
        <v>344</v>
      </c>
      <c r="F189" s="30" t="s">
        <v>1012</v>
      </c>
      <c r="G189" s="30" t="s">
        <v>1013</v>
      </c>
      <c r="H189" s="30" t="s">
        <v>1014</v>
      </c>
      <c r="I189" s="30" t="s">
        <v>306</v>
      </c>
      <c r="J189" s="30" t="s">
        <v>206</v>
      </c>
      <c r="K189" s="31" t="s">
        <v>47</v>
      </c>
      <c r="L189" s="32"/>
      <c r="M189" s="30"/>
      <c r="N189" s="30" t="s">
        <v>48</v>
      </c>
      <c r="O189" s="1" t="n">
        <f aca="false">IF($B189="",0,IF(AND(OR(Filter!$B$5="(alle)",$N189=Filter!$B$5),OR(Filter!$E$5="(alle)",$K189=Filter!$E$5),OR(Filter!$H$5="(alle)",$C189=Filter!$H$5),OR(Filter!$B$7="(alle)",$E189=Filter!$B$7),OR(Filter!$E$7="(alle)",ISNUMBER(SEARCH(Filter!$E$7,$J189))),OR(Filter!$H$7="(alle)",ISNUMBER(SEARCH(Filter!$H$7,$I189))),OR(Filter!$B$9="",ISNUMBER(SEARCH(Filter!$B$9,$F189&amp;" "&amp;$G189)))),COUNTIF($O$6:$O188,"&gt;0")+1,0))</f>
        <v>183</v>
      </c>
    </row>
    <row r="190" customFormat="false" ht="76.5" hidden="false" customHeight="true" outlineLevel="0" collapsed="false">
      <c r="B190" s="30" t="s">
        <v>1015</v>
      </c>
      <c r="C190" s="30" t="s">
        <v>286</v>
      </c>
      <c r="D190" s="30" t="s">
        <v>1016</v>
      </c>
      <c r="E190" s="30" t="s">
        <v>344</v>
      </c>
      <c r="F190" s="30" t="s">
        <v>1017</v>
      </c>
      <c r="G190" s="30" t="s">
        <v>1018</v>
      </c>
      <c r="H190" s="30" t="s">
        <v>1019</v>
      </c>
      <c r="I190" s="30" t="s">
        <v>306</v>
      </c>
      <c r="J190" s="30" t="s">
        <v>206</v>
      </c>
      <c r="K190" s="31" t="s">
        <v>47</v>
      </c>
      <c r="L190" s="32"/>
      <c r="M190" s="30"/>
      <c r="N190" s="30" t="s">
        <v>48</v>
      </c>
      <c r="O190" s="1" t="n">
        <f aca="false">IF($B190="",0,IF(AND(OR(Filter!$B$5="(alle)",$N190=Filter!$B$5),OR(Filter!$E$5="(alle)",$K190=Filter!$E$5),OR(Filter!$H$5="(alle)",$C190=Filter!$H$5),OR(Filter!$B$7="(alle)",$E190=Filter!$B$7),OR(Filter!$E$7="(alle)",ISNUMBER(SEARCH(Filter!$E$7,$J190))),OR(Filter!$H$7="(alle)",ISNUMBER(SEARCH(Filter!$H$7,$I190))),OR(Filter!$B$9="",ISNUMBER(SEARCH(Filter!$B$9,$F190&amp;" "&amp;$G190)))),COUNTIF($O$6:$O189,"&gt;0")+1,0))</f>
        <v>184</v>
      </c>
    </row>
    <row r="191" customFormat="false" ht="114.75" hidden="false" customHeight="true" outlineLevel="0" collapsed="false">
      <c r="B191" s="30" t="s">
        <v>1020</v>
      </c>
      <c r="C191" s="30" t="s">
        <v>286</v>
      </c>
      <c r="D191" s="30" t="s">
        <v>1021</v>
      </c>
      <c r="E191" s="30" t="s">
        <v>361</v>
      </c>
      <c r="F191" s="30" t="s">
        <v>1022</v>
      </c>
      <c r="G191" s="30" t="s">
        <v>1023</v>
      </c>
      <c r="H191" s="30" t="s">
        <v>1024</v>
      </c>
      <c r="I191" s="30" t="s">
        <v>306</v>
      </c>
      <c r="J191" s="30" t="s">
        <v>206</v>
      </c>
      <c r="K191" s="31" t="s">
        <v>47</v>
      </c>
      <c r="L191" s="32"/>
      <c r="M191" s="30"/>
      <c r="N191" s="30" t="s">
        <v>48</v>
      </c>
      <c r="O191" s="1" t="n">
        <f aca="false">IF($B191="",0,IF(AND(OR(Filter!$B$5="(alle)",$N191=Filter!$B$5),OR(Filter!$E$5="(alle)",$K191=Filter!$E$5),OR(Filter!$H$5="(alle)",$C191=Filter!$H$5),OR(Filter!$B$7="(alle)",$E191=Filter!$B$7),OR(Filter!$E$7="(alle)",ISNUMBER(SEARCH(Filter!$E$7,$J191))),OR(Filter!$H$7="(alle)",ISNUMBER(SEARCH(Filter!$H$7,$I191))),OR(Filter!$B$9="",ISNUMBER(SEARCH(Filter!$B$9,$F191&amp;" "&amp;$G191)))),COUNTIF($O$6:$O190,"&gt;0")+1,0))</f>
        <v>185</v>
      </c>
    </row>
    <row r="192" customFormat="false" ht="51" hidden="false" customHeight="true" outlineLevel="0" collapsed="false">
      <c r="B192" s="30" t="s">
        <v>1025</v>
      </c>
      <c r="C192" s="30" t="s">
        <v>286</v>
      </c>
      <c r="D192" s="30" t="s">
        <v>1026</v>
      </c>
      <c r="E192" s="30" t="s">
        <v>331</v>
      </c>
      <c r="F192" s="30" t="s">
        <v>1027</v>
      </c>
      <c r="G192" s="30" t="s">
        <v>1028</v>
      </c>
      <c r="H192" s="30" t="s">
        <v>1029</v>
      </c>
      <c r="I192" s="30" t="s">
        <v>306</v>
      </c>
      <c r="J192" s="30" t="s">
        <v>206</v>
      </c>
      <c r="K192" s="31" t="s">
        <v>151</v>
      </c>
      <c r="L192" s="32"/>
      <c r="M192" s="30" t="s">
        <v>1030</v>
      </c>
      <c r="N192" s="30" t="s">
        <v>48</v>
      </c>
      <c r="O192" s="1" t="n">
        <f aca="false">IF($B192="",0,IF(AND(OR(Filter!$B$5="(alle)",$N192=Filter!$B$5),OR(Filter!$E$5="(alle)",$K192=Filter!$E$5),OR(Filter!$H$5="(alle)",$C192=Filter!$H$5),OR(Filter!$B$7="(alle)",$E192=Filter!$B$7),OR(Filter!$E$7="(alle)",ISNUMBER(SEARCH(Filter!$E$7,$J192))),OR(Filter!$H$7="(alle)",ISNUMBER(SEARCH(Filter!$H$7,$I192))),OR(Filter!$B$9="",ISNUMBER(SEARCH(Filter!$B$9,$F192&amp;" "&amp;$G192)))),COUNTIF($O$6:$O191,"&gt;0")+1,0))</f>
        <v>186</v>
      </c>
    </row>
    <row r="193" customFormat="false" ht="63.75" hidden="false" customHeight="true" outlineLevel="0" collapsed="false">
      <c r="B193" s="30" t="s">
        <v>1031</v>
      </c>
      <c r="C193" s="30" t="s">
        <v>286</v>
      </c>
      <c r="D193" s="30" t="s">
        <v>1032</v>
      </c>
      <c r="E193" s="30" t="s">
        <v>344</v>
      </c>
      <c r="F193" s="30" t="s">
        <v>1033</v>
      </c>
      <c r="G193" s="30" t="s">
        <v>1034</v>
      </c>
      <c r="H193" s="30" t="s">
        <v>1035</v>
      </c>
      <c r="I193" s="30" t="s">
        <v>306</v>
      </c>
      <c r="J193" s="30" t="s">
        <v>206</v>
      </c>
      <c r="K193" s="31" t="s">
        <v>47</v>
      </c>
      <c r="L193" s="32"/>
      <c r="M193" s="30"/>
      <c r="N193" s="30" t="s">
        <v>48</v>
      </c>
      <c r="O193" s="1" t="n">
        <f aca="false">IF($B193="",0,IF(AND(OR(Filter!$B$5="(alle)",$N193=Filter!$B$5),OR(Filter!$E$5="(alle)",$K193=Filter!$E$5),OR(Filter!$H$5="(alle)",$C193=Filter!$H$5),OR(Filter!$B$7="(alle)",$E193=Filter!$B$7),OR(Filter!$E$7="(alle)",ISNUMBER(SEARCH(Filter!$E$7,$J193))),OR(Filter!$H$7="(alle)",ISNUMBER(SEARCH(Filter!$H$7,$I193))),OR(Filter!$B$9="",ISNUMBER(SEARCH(Filter!$B$9,$F193&amp;" "&amp;$G193)))),COUNTIF($O$6:$O192,"&gt;0")+1,0))</f>
        <v>187</v>
      </c>
    </row>
    <row r="194" customFormat="false" ht="127.5" hidden="false" customHeight="true" outlineLevel="0" collapsed="false">
      <c r="B194" s="30" t="s">
        <v>1036</v>
      </c>
      <c r="C194" s="30" t="s">
        <v>286</v>
      </c>
      <c r="D194" s="30" t="s">
        <v>1037</v>
      </c>
      <c r="E194" s="30" t="s">
        <v>344</v>
      </c>
      <c r="F194" s="30" t="s">
        <v>1038</v>
      </c>
      <c r="G194" s="30" t="s">
        <v>1039</v>
      </c>
      <c r="H194" s="30" t="s">
        <v>1040</v>
      </c>
      <c r="I194" s="30" t="s">
        <v>306</v>
      </c>
      <c r="J194" s="30" t="s">
        <v>206</v>
      </c>
      <c r="K194" s="31" t="s">
        <v>47</v>
      </c>
      <c r="L194" s="32"/>
      <c r="M194" s="30"/>
      <c r="N194" s="30" t="s">
        <v>48</v>
      </c>
      <c r="O194" s="1" t="n">
        <f aca="false">IF($B194="",0,IF(AND(OR(Filter!$B$5="(alle)",$N194=Filter!$B$5),OR(Filter!$E$5="(alle)",$K194=Filter!$E$5),OR(Filter!$H$5="(alle)",$C194=Filter!$H$5),OR(Filter!$B$7="(alle)",$E194=Filter!$B$7),OR(Filter!$E$7="(alle)",ISNUMBER(SEARCH(Filter!$E$7,$J194))),OR(Filter!$H$7="(alle)",ISNUMBER(SEARCH(Filter!$H$7,$I194))),OR(Filter!$B$9="",ISNUMBER(SEARCH(Filter!$B$9,$F194&amp;" "&amp;$G194)))),COUNTIF($O$6:$O193,"&gt;0")+1,0))</f>
        <v>188</v>
      </c>
    </row>
    <row r="195" customFormat="false" ht="76.5" hidden="false" customHeight="true" outlineLevel="0" collapsed="false">
      <c r="B195" s="30" t="s">
        <v>1041</v>
      </c>
      <c r="C195" s="30" t="s">
        <v>286</v>
      </c>
      <c r="D195" s="30" t="s">
        <v>1042</v>
      </c>
      <c r="E195" s="30" t="s">
        <v>344</v>
      </c>
      <c r="F195" s="30" t="s">
        <v>1043</v>
      </c>
      <c r="G195" s="30" t="s">
        <v>1044</v>
      </c>
      <c r="H195" s="30" t="s">
        <v>1045</v>
      </c>
      <c r="I195" s="30" t="s">
        <v>306</v>
      </c>
      <c r="J195" s="30" t="s">
        <v>206</v>
      </c>
      <c r="K195" s="31" t="s">
        <v>47</v>
      </c>
      <c r="L195" s="32"/>
      <c r="M195" s="30"/>
      <c r="N195" s="30" t="s">
        <v>48</v>
      </c>
      <c r="O195" s="1" t="n">
        <f aca="false">IF($B195="",0,IF(AND(OR(Filter!$B$5="(alle)",$N195=Filter!$B$5),OR(Filter!$E$5="(alle)",$K195=Filter!$E$5),OR(Filter!$H$5="(alle)",$C195=Filter!$H$5),OR(Filter!$B$7="(alle)",$E195=Filter!$B$7),OR(Filter!$E$7="(alle)",ISNUMBER(SEARCH(Filter!$E$7,$J195))),OR(Filter!$H$7="(alle)",ISNUMBER(SEARCH(Filter!$H$7,$I195))),OR(Filter!$B$9="",ISNUMBER(SEARCH(Filter!$B$9,$F195&amp;" "&amp;$G195)))),COUNTIF($O$6:$O194,"&gt;0")+1,0))</f>
        <v>189</v>
      </c>
    </row>
    <row r="196" customFormat="false" ht="102" hidden="false" customHeight="true" outlineLevel="0" collapsed="false">
      <c r="B196" s="30" t="s">
        <v>1046</v>
      </c>
      <c r="C196" s="30" t="s">
        <v>286</v>
      </c>
      <c r="D196" s="30" t="s">
        <v>1047</v>
      </c>
      <c r="E196" s="30" t="s">
        <v>361</v>
      </c>
      <c r="F196" s="30" t="s">
        <v>1048</v>
      </c>
      <c r="G196" s="30" t="s">
        <v>1049</v>
      </c>
      <c r="H196" s="30" t="s">
        <v>1050</v>
      </c>
      <c r="I196" s="30" t="s">
        <v>306</v>
      </c>
      <c r="J196" s="30" t="s">
        <v>206</v>
      </c>
      <c r="K196" s="31" t="s">
        <v>47</v>
      </c>
      <c r="L196" s="32"/>
      <c r="M196" s="30"/>
      <c r="N196" s="30" t="s">
        <v>48</v>
      </c>
      <c r="O196" s="1" t="n">
        <f aca="false">IF($B196="",0,IF(AND(OR(Filter!$B$5="(alle)",$N196=Filter!$B$5),OR(Filter!$E$5="(alle)",$K196=Filter!$E$5),OR(Filter!$H$5="(alle)",$C196=Filter!$H$5),OR(Filter!$B$7="(alle)",$E196=Filter!$B$7),OR(Filter!$E$7="(alle)",ISNUMBER(SEARCH(Filter!$E$7,$J196))),OR(Filter!$H$7="(alle)",ISNUMBER(SEARCH(Filter!$H$7,$I196))),OR(Filter!$B$9="",ISNUMBER(SEARCH(Filter!$B$9,$F196&amp;" "&amp;$G196)))),COUNTIF($O$6:$O195,"&gt;0")+1,0))</f>
        <v>190</v>
      </c>
    </row>
    <row r="197" customFormat="false" ht="89.25" hidden="false" customHeight="true" outlineLevel="0" collapsed="false">
      <c r="B197" s="30" t="s">
        <v>1051</v>
      </c>
      <c r="C197" s="30" t="s">
        <v>286</v>
      </c>
      <c r="D197" s="30" t="s">
        <v>1052</v>
      </c>
      <c r="E197" s="30" t="s">
        <v>604</v>
      </c>
      <c r="F197" s="30" t="s">
        <v>1053</v>
      </c>
      <c r="G197" s="30" t="s">
        <v>1054</v>
      </c>
      <c r="H197" s="30" t="s">
        <v>1055</v>
      </c>
      <c r="I197" s="30" t="s">
        <v>476</v>
      </c>
      <c r="J197" s="30" t="s">
        <v>476</v>
      </c>
      <c r="K197" s="31" t="s">
        <v>47</v>
      </c>
      <c r="L197" s="32"/>
      <c r="M197" s="30"/>
      <c r="N197" s="30" t="s">
        <v>48</v>
      </c>
      <c r="O197" s="1" t="n">
        <f aca="false">IF($B197="",0,IF(AND(OR(Filter!$B$5="(alle)",$N197=Filter!$B$5),OR(Filter!$E$5="(alle)",$K197=Filter!$E$5),OR(Filter!$H$5="(alle)",$C197=Filter!$H$5),OR(Filter!$B$7="(alle)",$E197=Filter!$B$7),OR(Filter!$E$7="(alle)",ISNUMBER(SEARCH(Filter!$E$7,$J197))),OR(Filter!$H$7="(alle)",ISNUMBER(SEARCH(Filter!$H$7,$I197))),OR(Filter!$B$9="",ISNUMBER(SEARCH(Filter!$B$9,$F197&amp;" "&amp;$G197)))),COUNTIF($O$6:$O196,"&gt;0")+1,0))</f>
        <v>191</v>
      </c>
    </row>
    <row r="198" customFormat="false" ht="191.25" hidden="false" customHeight="true" outlineLevel="0" collapsed="false">
      <c r="B198" s="30" t="s">
        <v>1056</v>
      </c>
      <c r="C198" s="30" t="s">
        <v>286</v>
      </c>
      <c r="D198" s="30" t="s">
        <v>1057</v>
      </c>
      <c r="E198" s="30" t="s">
        <v>604</v>
      </c>
      <c r="F198" s="30" t="s">
        <v>1058</v>
      </c>
      <c r="G198" s="30" t="s">
        <v>1059</v>
      </c>
      <c r="H198" s="30" t="s">
        <v>1060</v>
      </c>
      <c r="I198" s="30" t="s">
        <v>476</v>
      </c>
      <c r="J198" s="30" t="s">
        <v>476</v>
      </c>
      <c r="K198" s="31" t="s">
        <v>47</v>
      </c>
      <c r="L198" s="32"/>
      <c r="M198" s="30"/>
      <c r="N198" s="30" t="s">
        <v>48</v>
      </c>
      <c r="O198" s="1" t="n">
        <f aca="false">IF($B198="",0,IF(AND(OR(Filter!$B$5="(alle)",$N198=Filter!$B$5),OR(Filter!$E$5="(alle)",$K198=Filter!$E$5),OR(Filter!$H$5="(alle)",$C198=Filter!$H$5),OR(Filter!$B$7="(alle)",$E198=Filter!$B$7),OR(Filter!$E$7="(alle)",ISNUMBER(SEARCH(Filter!$E$7,$J198))),OR(Filter!$H$7="(alle)",ISNUMBER(SEARCH(Filter!$H$7,$I198))),OR(Filter!$B$9="",ISNUMBER(SEARCH(Filter!$B$9,$F198&amp;" "&amp;$G198)))),COUNTIF($O$6:$O197,"&gt;0")+1,0))</f>
        <v>192</v>
      </c>
    </row>
    <row r="199" customFormat="false" ht="178.5" hidden="false" customHeight="true" outlineLevel="0" collapsed="false">
      <c r="B199" s="30" t="s">
        <v>1061</v>
      </c>
      <c r="C199" s="30" t="s">
        <v>286</v>
      </c>
      <c r="D199" s="30" t="s">
        <v>1062</v>
      </c>
      <c r="E199" s="30" t="s">
        <v>361</v>
      </c>
      <c r="F199" s="30" t="s">
        <v>1063</v>
      </c>
      <c r="G199" s="30" t="s">
        <v>1064</v>
      </c>
      <c r="H199" s="30" t="s">
        <v>1065</v>
      </c>
      <c r="I199" s="30" t="s">
        <v>306</v>
      </c>
      <c r="J199" s="30" t="s">
        <v>206</v>
      </c>
      <c r="K199" s="31" t="s">
        <v>47</v>
      </c>
      <c r="L199" s="32"/>
      <c r="M199" s="30"/>
      <c r="N199" s="30" t="s">
        <v>48</v>
      </c>
      <c r="O199" s="1" t="n">
        <f aca="false">IF($B199="",0,IF(AND(OR(Filter!$B$5="(alle)",$N199=Filter!$B$5),OR(Filter!$E$5="(alle)",$K199=Filter!$E$5),OR(Filter!$H$5="(alle)",$C199=Filter!$H$5),OR(Filter!$B$7="(alle)",$E199=Filter!$B$7),OR(Filter!$E$7="(alle)",ISNUMBER(SEARCH(Filter!$E$7,$J199))),OR(Filter!$H$7="(alle)",ISNUMBER(SEARCH(Filter!$H$7,$I199))),OR(Filter!$B$9="",ISNUMBER(SEARCH(Filter!$B$9,$F199&amp;" "&amp;$G199)))),COUNTIF($O$6:$O198,"&gt;0")+1,0))</f>
        <v>193</v>
      </c>
    </row>
    <row r="200" customFormat="false" ht="63.75" hidden="false" customHeight="true" outlineLevel="0" collapsed="false">
      <c r="B200" s="30" t="s">
        <v>1066</v>
      </c>
      <c r="C200" s="30" t="s">
        <v>286</v>
      </c>
      <c r="D200" s="30" t="s">
        <v>1067</v>
      </c>
      <c r="E200" s="30" t="s">
        <v>361</v>
      </c>
      <c r="F200" s="30" t="s">
        <v>1068</v>
      </c>
      <c r="G200" s="30" t="s">
        <v>1069</v>
      </c>
      <c r="H200" s="30" t="s">
        <v>1070</v>
      </c>
      <c r="I200" s="30" t="s">
        <v>306</v>
      </c>
      <c r="J200" s="30" t="s">
        <v>206</v>
      </c>
      <c r="K200" s="31" t="s">
        <v>151</v>
      </c>
      <c r="L200" s="32"/>
      <c r="M200" s="30" t="s">
        <v>1071</v>
      </c>
      <c r="N200" s="30" t="s">
        <v>48</v>
      </c>
      <c r="O200" s="1" t="n">
        <f aca="false">IF($B200="",0,IF(AND(OR(Filter!$B$5="(alle)",$N200=Filter!$B$5),OR(Filter!$E$5="(alle)",$K200=Filter!$E$5),OR(Filter!$H$5="(alle)",$C200=Filter!$H$5),OR(Filter!$B$7="(alle)",$E200=Filter!$B$7),OR(Filter!$E$7="(alle)",ISNUMBER(SEARCH(Filter!$E$7,$J200))),OR(Filter!$H$7="(alle)",ISNUMBER(SEARCH(Filter!$H$7,$I200))),OR(Filter!$B$9="",ISNUMBER(SEARCH(Filter!$B$9,$F200&amp;" "&amp;$G200)))),COUNTIF($O$6:$O199,"&gt;0")+1,0))</f>
        <v>194</v>
      </c>
    </row>
    <row r="201" customFormat="false" ht="114.75" hidden="false" customHeight="true" outlineLevel="0" collapsed="false">
      <c r="B201" s="30" t="s">
        <v>1072</v>
      </c>
      <c r="C201" s="30" t="s">
        <v>286</v>
      </c>
      <c r="D201" s="30" t="s">
        <v>1073</v>
      </c>
      <c r="E201" s="30" t="s">
        <v>344</v>
      </c>
      <c r="F201" s="30" t="s">
        <v>1074</v>
      </c>
      <c r="G201" s="30" t="s">
        <v>1075</v>
      </c>
      <c r="H201" s="30" t="s">
        <v>1076</v>
      </c>
      <c r="I201" s="30" t="s">
        <v>306</v>
      </c>
      <c r="J201" s="30" t="s">
        <v>206</v>
      </c>
      <c r="K201" s="31" t="s">
        <v>47</v>
      </c>
      <c r="L201" s="32"/>
      <c r="M201" s="30"/>
      <c r="N201" s="30" t="s">
        <v>48</v>
      </c>
      <c r="O201" s="1" t="n">
        <f aca="false">IF($B201="",0,IF(AND(OR(Filter!$B$5="(alle)",$N201=Filter!$B$5),OR(Filter!$E$5="(alle)",$K201=Filter!$E$5),OR(Filter!$H$5="(alle)",$C201=Filter!$H$5),OR(Filter!$B$7="(alle)",$E201=Filter!$B$7),OR(Filter!$E$7="(alle)",ISNUMBER(SEARCH(Filter!$E$7,$J201))),OR(Filter!$H$7="(alle)",ISNUMBER(SEARCH(Filter!$H$7,$I201))),OR(Filter!$B$9="",ISNUMBER(SEARCH(Filter!$B$9,$F201&amp;" "&amp;$G201)))),COUNTIF($O$6:$O200,"&gt;0")+1,0))</f>
        <v>195</v>
      </c>
    </row>
    <row r="202" customFormat="false" ht="76.5" hidden="false" customHeight="true" outlineLevel="0" collapsed="false">
      <c r="B202" s="30" t="s">
        <v>1077</v>
      </c>
      <c r="C202" s="30" t="s">
        <v>286</v>
      </c>
      <c r="D202" s="30" t="s">
        <v>1078</v>
      </c>
      <c r="E202" s="30" t="s">
        <v>42</v>
      </c>
      <c r="F202" s="30" t="s">
        <v>1079</v>
      </c>
      <c r="G202" s="30" t="s">
        <v>1080</v>
      </c>
      <c r="H202" s="30" t="s">
        <v>1081</v>
      </c>
      <c r="I202" s="30" t="s">
        <v>45</v>
      </c>
      <c r="J202" s="30" t="s">
        <v>46</v>
      </c>
      <c r="K202" s="31" t="s">
        <v>47</v>
      </c>
      <c r="L202" s="32"/>
      <c r="M202" s="30"/>
      <c r="N202" s="30" t="s">
        <v>48</v>
      </c>
      <c r="O202" s="1" t="n">
        <f aca="false">IF($B202="",0,IF(AND(OR(Filter!$B$5="(alle)",$N202=Filter!$B$5),OR(Filter!$E$5="(alle)",$K202=Filter!$E$5),OR(Filter!$H$5="(alle)",$C202=Filter!$H$5),OR(Filter!$B$7="(alle)",$E202=Filter!$B$7),OR(Filter!$E$7="(alle)",ISNUMBER(SEARCH(Filter!$E$7,$J202))),OR(Filter!$H$7="(alle)",ISNUMBER(SEARCH(Filter!$H$7,$I202))),OR(Filter!$B$9="",ISNUMBER(SEARCH(Filter!$B$9,$F202&amp;" "&amp;$G202)))),COUNTIF($O$6:$O201,"&gt;0")+1,0))</f>
        <v>196</v>
      </c>
    </row>
    <row r="203" customFormat="false" ht="178.5" hidden="false" customHeight="true" outlineLevel="0" collapsed="false">
      <c r="B203" s="30" t="s">
        <v>1082</v>
      </c>
      <c r="C203" s="30" t="s">
        <v>286</v>
      </c>
      <c r="D203" s="30" t="s">
        <v>1083</v>
      </c>
      <c r="E203" s="30" t="s">
        <v>361</v>
      </c>
      <c r="F203" s="30" t="s">
        <v>1084</v>
      </c>
      <c r="G203" s="30" t="s">
        <v>1085</v>
      </c>
      <c r="H203" s="30" t="s">
        <v>1086</v>
      </c>
      <c r="I203" s="30" t="s">
        <v>306</v>
      </c>
      <c r="J203" s="30" t="s">
        <v>206</v>
      </c>
      <c r="K203" s="31" t="s">
        <v>47</v>
      </c>
      <c r="L203" s="32"/>
      <c r="M203" s="30"/>
      <c r="N203" s="30" t="s">
        <v>48</v>
      </c>
      <c r="O203" s="1" t="n">
        <f aca="false">IF($B203="",0,IF(AND(OR(Filter!$B$5="(alle)",$N203=Filter!$B$5),OR(Filter!$E$5="(alle)",$K203=Filter!$E$5),OR(Filter!$H$5="(alle)",$C203=Filter!$H$5),OR(Filter!$B$7="(alle)",$E203=Filter!$B$7),OR(Filter!$E$7="(alle)",ISNUMBER(SEARCH(Filter!$E$7,$J203))),OR(Filter!$H$7="(alle)",ISNUMBER(SEARCH(Filter!$H$7,$I203))),OR(Filter!$B$9="",ISNUMBER(SEARCH(Filter!$B$9,$F203&amp;" "&amp;$G203)))),COUNTIF($O$6:$O202,"&gt;0")+1,0))</f>
        <v>197</v>
      </c>
    </row>
    <row r="204" customFormat="false" ht="153" hidden="false" customHeight="true" outlineLevel="0" collapsed="false">
      <c r="B204" s="30" t="s">
        <v>1087</v>
      </c>
      <c r="C204" s="30" t="s">
        <v>286</v>
      </c>
      <c r="D204" s="30" t="s">
        <v>1088</v>
      </c>
      <c r="E204" s="30" t="s">
        <v>355</v>
      </c>
      <c r="F204" s="30" t="s">
        <v>1089</v>
      </c>
      <c r="G204" s="30" t="s">
        <v>1090</v>
      </c>
      <c r="H204" s="30" t="s">
        <v>1091</v>
      </c>
      <c r="I204" s="30" t="s">
        <v>306</v>
      </c>
      <c r="J204" s="30" t="s">
        <v>206</v>
      </c>
      <c r="K204" s="31" t="s">
        <v>47</v>
      </c>
      <c r="L204" s="32"/>
      <c r="M204" s="30"/>
      <c r="N204" s="30" t="s">
        <v>48</v>
      </c>
      <c r="O204" s="1" t="n">
        <f aca="false">IF($B204="",0,IF(AND(OR(Filter!$B$5="(alle)",$N204=Filter!$B$5),OR(Filter!$E$5="(alle)",$K204=Filter!$E$5),OR(Filter!$H$5="(alle)",$C204=Filter!$H$5),OR(Filter!$B$7="(alle)",$E204=Filter!$B$7),OR(Filter!$E$7="(alle)",ISNUMBER(SEARCH(Filter!$E$7,$J204))),OR(Filter!$H$7="(alle)",ISNUMBER(SEARCH(Filter!$H$7,$I204))),OR(Filter!$B$9="",ISNUMBER(SEARCH(Filter!$B$9,$F204&amp;" "&amp;$G204)))),COUNTIF($O$6:$O203,"&gt;0")+1,0))</f>
        <v>198</v>
      </c>
    </row>
    <row r="205" customFormat="false" ht="76.5" hidden="false" customHeight="true" outlineLevel="0" collapsed="false">
      <c r="B205" s="30" t="s">
        <v>1092</v>
      </c>
      <c r="C205" s="30" t="s">
        <v>286</v>
      </c>
      <c r="D205" s="30" t="s">
        <v>1093</v>
      </c>
      <c r="E205" s="30" t="s">
        <v>361</v>
      </c>
      <c r="F205" s="30" t="s">
        <v>1094</v>
      </c>
      <c r="G205" s="30" t="s">
        <v>1095</v>
      </c>
      <c r="H205" s="30" t="s">
        <v>1096</v>
      </c>
      <c r="I205" s="30" t="s">
        <v>306</v>
      </c>
      <c r="J205" s="30" t="s">
        <v>206</v>
      </c>
      <c r="K205" s="31" t="s">
        <v>47</v>
      </c>
      <c r="L205" s="32"/>
      <c r="M205" s="30"/>
      <c r="N205" s="30" t="s">
        <v>48</v>
      </c>
      <c r="O205" s="1" t="n">
        <f aca="false">IF($B205="",0,IF(AND(OR(Filter!$B$5="(alle)",$N205=Filter!$B$5),OR(Filter!$E$5="(alle)",$K205=Filter!$E$5),OR(Filter!$H$5="(alle)",$C205=Filter!$H$5),OR(Filter!$B$7="(alle)",$E205=Filter!$B$7),OR(Filter!$E$7="(alle)",ISNUMBER(SEARCH(Filter!$E$7,$J205))),OR(Filter!$H$7="(alle)",ISNUMBER(SEARCH(Filter!$H$7,$I205))),OR(Filter!$B$9="",ISNUMBER(SEARCH(Filter!$B$9,$F205&amp;" "&amp;$G205)))),COUNTIF($O$6:$O204,"&gt;0")+1,0))</f>
        <v>199</v>
      </c>
    </row>
    <row r="206" customFormat="false" ht="63.75" hidden="false" customHeight="true" outlineLevel="0" collapsed="false">
      <c r="B206" s="30" t="s">
        <v>1097</v>
      </c>
      <c r="C206" s="30" t="s">
        <v>286</v>
      </c>
      <c r="D206" s="30" t="s">
        <v>1098</v>
      </c>
      <c r="E206" s="30" t="s">
        <v>361</v>
      </c>
      <c r="F206" s="30" t="s">
        <v>1094</v>
      </c>
      <c r="G206" s="30" t="s">
        <v>1099</v>
      </c>
      <c r="H206" s="30" t="s">
        <v>1096</v>
      </c>
      <c r="I206" s="30" t="s">
        <v>306</v>
      </c>
      <c r="J206" s="30" t="s">
        <v>206</v>
      </c>
      <c r="K206" s="31" t="s">
        <v>47</v>
      </c>
      <c r="L206" s="32"/>
      <c r="M206" s="30"/>
      <c r="N206" s="30" t="s">
        <v>48</v>
      </c>
      <c r="O206" s="1" t="n">
        <f aca="false">IF($B206="",0,IF(AND(OR(Filter!$B$5="(alle)",$N206=Filter!$B$5),OR(Filter!$E$5="(alle)",$K206=Filter!$E$5),OR(Filter!$H$5="(alle)",$C206=Filter!$H$5),OR(Filter!$B$7="(alle)",$E206=Filter!$B$7),OR(Filter!$E$7="(alle)",ISNUMBER(SEARCH(Filter!$E$7,$J206))),OR(Filter!$H$7="(alle)",ISNUMBER(SEARCH(Filter!$H$7,$I206))),OR(Filter!$B$9="",ISNUMBER(SEARCH(Filter!$B$9,$F206&amp;" "&amp;$G206)))),COUNTIF($O$6:$O205,"&gt;0")+1,0))</f>
        <v>200</v>
      </c>
    </row>
    <row r="207" customFormat="false" ht="63.75" hidden="false" customHeight="true" outlineLevel="0" collapsed="false">
      <c r="B207" s="30" t="s">
        <v>1100</v>
      </c>
      <c r="C207" s="30" t="s">
        <v>286</v>
      </c>
      <c r="D207" s="30" t="s">
        <v>1101</v>
      </c>
      <c r="E207" s="30" t="s">
        <v>361</v>
      </c>
      <c r="F207" s="30" t="s">
        <v>1094</v>
      </c>
      <c r="G207" s="30" t="s">
        <v>1102</v>
      </c>
      <c r="H207" s="30" t="s">
        <v>1096</v>
      </c>
      <c r="I207" s="30" t="s">
        <v>306</v>
      </c>
      <c r="J207" s="30" t="s">
        <v>206</v>
      </c>
      <c r="K207" s="31" t="s">
        <v>47</v>
      </c>
      <c r="L207" s="32"/>
      <c r="M207" s="30"/>
      <c r="N207" s="30" t="s">
        <v>48</v>
      </c>
      <c r="O207" s="1" t="n">
        <f aca="false">IF($B207="",0,IF(AND(OR(Filter!$B$5="(alle)",$N207=Filter!$B$5),OR(Filter!$E$5="(alle)",$K207=Filter!$E$5),OR(Filter!$H$5="(alle)",$C207=Filter!$H$5),OR(Filter!$B$7="(alle)",$E207=Filter!$B$7),OR(Filter!$E$7="(alle)",ISNUMBER(SEARCH(Filter!$E$7,$J207))),OR(Filter!$H$7="(alle)",ISNUMBER(SEARCH(Filter!$H$7,$I207))),OR(Filter!$B$9="",ISNUMBER(SEARCH(Filter!$B$9,$F207&amp;" "&amp;$G207)))),COUNTIF($O$6:$O206,"&gt;0")+1,0))</f>
        <v>201</v>
      </c>
    </row>
    <row r="208" customFormat="false" ht="63.75" hidden="false" customHeight="true" outlineLevel="0" collapsed="false">
      <c r="B208" s="30" t="s">
        <v>1103</v>
      </c>
      <c r="C208" s="30" t="s">
        <v>286</v>
      </c>
      <c r="D208" s="30" t="s">
        <v>1104</v>
      </c>
      <c r="E208" s="30" t="s">
        <v>361</v>
      </c>
      <c r="F208" s="30" t="s">
        <v>1094</v>
      </c>
      <c r="G208" s="30" t="s">
        <v>1105</v>
      </c>
      <c r="H208" s="30" t="s">
        <v>1096</v>
      </c>
      <c r="I208" s="30" t="s">
        <v>306</v>
      </c>
      <c r="J208" s="30" t="s">
        <v>206</v>
      </c>
      <c r="K208" s="31" t="s">
        <v>47</v>
      </c>
      <c r="L208" s="32"/>
      <c r="M208" s="30"/>
      <c r="N208" s="30" t="s">
        <v>48</v>
      </c>
      <c r="O208" s="1" t="n">
        <f aca="false">IF($B208="",0,IF(AND(OR(Filter!$B$5="(alle)",$N208=Filter!$B$5),OR(Filter!$E$5="(alle)",$K208=Filter!$E$5),OR(Filter!$H$5="(alle)",$C208=Filter!$H$5),OR(Filter!$B$7="(alle)",$E208=Filter!$B$7),OR(Filter!$E$7="(alle)",ISNUMBER(SEARCH(Filter!$E$7,$J208))),OR(Filter!$H$7="(alle)",ISNUMBER(SEARCH(Filter!$H$7,$I208))),OR(Filter!$B$9="",ISNUMBER(SEARCH(Filter!$B$9,$F208&amp;" "&amp;$G208)))),COUNTIF($O$6:$O207,"&gt;0")+1,0))</f>
        <v>202</v>
      </c>
    </row>
    <row r="209" customFormat="false" ht="89.25" hidden="false" customHeight="true" outlineLevel="0" collapsed="false">
      <c r="B209" s="30" t="s">
        <v>1106</v>
      </c>
      <c r="C209" s="30" t="s">
        <v>286</v>
      </c>
      <c r="D209" s="30" t="s">
        <v>1107</v>
      </c>
      <c r="E209" s="30" t="s">
        <v>361</v>
      </c>
      <c r="F209" s="30" t="s">
        <v>1108</v>
      </c>
      <c r="G209" s="30" t="s">
        <v>1109</v>
      </c>
      <c r="H209" s="30" t="s">
        <v>1110</v>
      </c>
      <c r="I209" s="30" t="s">
        <v>306</v>
      </c>
      <c r="J209" s="30" t="s">
        <v>206</v>
      </c>
      <c r="K209" s="31" t="s">
        <v>47</v>
      </c>
      <c r="L209" s="32"/>
      <c r="M209" s="30"/>
      <c r="N209" s="30" t="s">
        <v>48</v>
      </c>
      <c r="O209" s="1" t="n">
        <f aca="false">IF($B209="",0,IF(AND(OR(Filter!$B$5="(alle)",$N209=Filter!$B$5),OR(Filter!$E$5="(alle)",$K209=Filter!$E$5),OR(Filter!$H$5="(alle)",$C209=Filter!$H$5),OR(Filter!$B$7="(alle)",$E209=Filter!$B$7),OR(Filter!$E$7="(alle)",ISNUMBER(SEARCH(Filter!$E$7,$J209))),OR(Filter!$H$7="(alle)",ISNUMBER(SEARCH(Filter!$H$7,$I209))),OR(Filter!$B$9="",ISNUMBER(SEARCH(Filter!$B$9,$F209&amp;" "&amp;$G209)))),COUNTIF($O$6:$O208,"&gt;0")+1,0))</f>
        <v>203</v>
      </c>
    </row>
    <row r="210" customFormat="false" ht="63.75" hidden="false" customHeight="true" outlineLevel="0" collapsed="false">
      <c r="B210" s="30" t="s">
        <v>1111</v>
      </c>
      <c r="C210" s="30" t="s">
        <v>286</v>
      </c>
      <c r="D210" s="30" t="s">
        <v>1112</v>
      </c>
      <c r="E210" s="30" t="s">
        <v>361</v>
      </c>
      <c r="F210" s="30" t="s">
        <v>1094</v>
      </c>
      <c r="G210" s="30" t="s">
        <v>1113</v>
      </c>
      <c r="H210" s="30" t="s">
        <v>1096</v>
      </c>
      <c r="I210" s="30" t="s">
        <v>306</v>
      </c>
      <c r="J210" s="30" t="s">
        <v>206</v>
      </c>
      <c r="K210" s="31" t="s">
        <v>47</v>
      </c>
      <c r="L210" s="32"/>
      <c r="M210" s="30"/>
      <c r="N210" s="30" t="s">
        <v>48</v>
      </c>
      <c r="O210" s="1" t="n">
        <f aca="false">IF($B210="",0,IF(AND(OR(Filter!$B$5="(alle)",$N210=Filter!$B$5),OR(Filter!$E$5="(alle)",$K210=Filter!$E$5),OR(Filter!$H$5="(alle)",$C210=Filter!$H$5),OR(Filter!$B$7="(alle)",$E210=Filter!$B$7),OR(Filter!$E$7="(alle)",ISNUMBER(SEARCH(Filter!$E$7,$J210))),OR(Filter!$H$7="(alle)",ISNUMBER(SEARCH(Filter!$H$7,$I210))),OR(Filter!$B$9="",ISNUMBER(SEARCH(Filter!$B$9,$F210&amp;" "&amp;$G210)))),COUNTIF($O$6:$O209,"&gt;0")+1,0))</f>
        <v>204</v>
      </c>
    </row>
    <row r="211" customFormat="false" ht="140.25" hidden="false" customHeight="true" outlineLevel="0" collapsed="false">
      <c r="B211" s="30" t="s">
        <v>1114</v>
      </c>
      <c r="C211" s="30" t="s">
        <v>286</v>
      </c>
      <c r="D211" s="30" t="s">
        <v>1115</v>
      </c>
      <c r="E211" s="30" t="s">
        <v>210</v>
      </c>
      <c r="F211" s="30" t="s">
        <v>1116</v>
      </c>
      <c r="G211" s="30" t="s">
        <v>1117</v>
      </c>
      <c r="H211" s="30" t="s">
        <v>1118</v>
      </c>
      <c r="I211" s="30" t="s">
        <v>306</v>
      </c>
      <c r="J211" s="30" t="s">
        <v>206</v>
      </c>
      <c r="K211" s="31" t="s">
        <v>47</v>
      </c>
      <c r="L211" s="32"/>
      <c r="M211" s="30"/>
      <c r="N211" s="30" t="s">
        <v>48</v>
      </c>
      <c r="O211" s="1" t="n">
        <f aca="false">IF($B211="",0,IF(AND(OR(Filter!$B$5="(alle)",$N211=Filter!$B$5),OR(Filter!$E$5="(alle)",$K211=Filter!$E$5),OR(Filter!$H$5="(alle)",$C211=Filter!$H$5),OR(Filter!$B$7="(alle)",$E211=Filter!$B$7),OR(Filter!$E$7="(alle)",ISNUMBER(SEARCH(Filter!$E$7,$J211))),OR(Filter!$H$7="(alle)",ISNUMBER(SEARCH(Filter!$H$7,$I211))),OR(Filter!$B$9="",ISNUMBER(SEARCH(Filter!$B$9,$F211&amp;" "&amp;$G211)))),COUNTIF($O$6:$O210,"&gt;0")+1,0))</f>
        <v>205</v>
      </c>
    </row>
    <row r="212" customFormat="false" ht="38.25" hidden="false" customHeight="true" outlineLevel="0" collapsed="false">
      <c r="B212" s="30" t="s">
        <v>1119</v>
      </c>
      <c r="C212" s="30" t="s">
        <v>286</v>
      </c>
      <c r="D212" s="30" t="s">
        <v>1120</v>
      </c>
      <c r="E212" s="30" t="s">
        <v>190</v>
      </c>
      <c r="F212" s="30" t="s">
        <v>1121</v>
      </c>
      <c r="G212" s="30" t="s">
        <v>1122</v>
      </c>
      <c r="H212" s="30" t="s">
        <v>1123</v>
      </c>
      <c r="I212" s="30" t="s">
        <v>340</v>
      </c>
      <c r="J212" s="30" t="s">
        <v>341</v>
      </c>
      <c r="K212" s="31" t="s">
        <v>151</v>
      </c>
      <c r="L212" s="32"/>
      <c r="M212" s="30" t="s">
        <v>1124</v>
      </c>
      <c r="N212" s="30" t="s">
        <v>48</v>
      </c>
      <c r="O212" s="1" t="n">
        <f aca="false">IF($B212="",0,IF(AND(OR(Filter!$B$5="(alle)",$N212=Filter!$B$5),OR(Filter!$E$5="(alle)",$K212=Filter!$E$5),OR(Filter!$H$5="(alle)",$C212=Filter!$H$5),OR(Filter!$B$7="(alle)",$E212=Filter!$B$7),OR(Filter!$E$7="(alle)",ISNUMBER(SEARCH(Filter!$E$7,$J212))),OR(Filter!$H$7="(alle)",ISNUMBER(SEARCH(Filter!$H$7,$I212))),OR(Filter!$B$9="",ISNUMBER(SEARCH(Filter!$B$9,$F212&amp;" "&amp;$G212)))),COUNTIF($O$6:$O211,"&gt;0")+1,0))</f>
        <v>206</v>
      </c>
    </row>
    <row r="213" customFormat="false" ht="76.5" hidden="false" customHeight="true" outlineLevel="0" collapsed="false">
      <c r="B213" s="30" t="s">
        <v>1125</v>
      </c>
      <c r="C213" s="30" t="s">
        <v>286</v>
      </c>
      <c r="D213" s="30" t="s">
        <v>1126</v>
      </c>
      <c r="E213" s="30" t="s">
        <v>361</v>
      </c>
      <c r="F213" s="30" t="s">
        <v>1127</v>
      </c>
      <c r="G213" s="30" t="s">
        <v>1128</v>
      </c>
      <c r="H213" s="30" t="s">
        <v>1129</v>
      </c>
      <c r="I213" s="30" t="s">
        <v>306</v>
      </c>
      <c r="J213" s="30" t="s">
        <v>206</v>
      </c>
      <c r="K213" s="31" t="s">
        <v>47</v>
      </c>
      <c r="L213" s="32"/>
      <c r="M213" s="30"/>
      <c r="N213" s="30" t="s">
        <v>48</v>
      </c>
      <c r="O213" s="1" t="n">
        <f aca="false">IF($B213="",0,IF(AND(OR(Filter!$B$5="(alle)",$N213=Filter!$B$5),OR(Filter!$E$5="(alle)",$K213=Filter!$E$5),OR(Filter!$H$5="(alle)",$C213=Filter!$H$5),OR(Filter!$B$7="(alle)",$E213=Filter!$B$7),OR(Filter!$E$7="(alle)",ISNUMBER(SEARCH(Filter!$E$7,$J213))),OR(Filter!$H$7="(alle)",ISNUMBER(SEARCH(Filter!$H$7,$I213))),OR(Filter!$B$9="",ISNUMBER(SEARCH(Filter!$B$9,$F213&amp;" "&amp;$G213)))),COUNTIF($O$6:$O212,"&gt;0")+1,0))</f>
        <v>207</v>
      </c>
    </row>
    <row r="214" customFormat="false" ht="127.5" hidden="false" customHeight="true" outlineLevel="0" collapsed="false">
      <c r="B214" s="30" t="s">
        <v>1130</v>
      </c>
      <c r="C214" s="30" t="s">
        <v>286</v>
      </c>
      <c r="D214" s="30" t="s">
        <v>1131</v>
      </c>
      <c r="E214" s="30" t="s">
        <v>361</v>
      </c>
      <c r="F214" s="30" t="s">
        <v>1132</v>
      </c>
      <c r="G214" s="30" t="s">
        <v>1133</v>
      </c>
      <c r="H214" s="30" t="s">
        <v>1134</v>
      </c>
      <c r="I214" s="30" t="s">
        <v>306</v>
      </c>
      <c r="J214" s="30" t="s">
        <v>206</v>
      </c>
      <c r="K214" s="31" t="s">
        <v>47</v>
      </c>
      <c r="L214" s="32"/>
      <c r="M214" s="30"/>
      <c r="N214" s="30" t="s">
        <v>48</v>
      </c>
      <c r="O214" s="1" t="n">
        <f aca="false">IF($B214="",0,IF(AND(OR(Filter!$B$5="(alle)",$N214=Filter!$B$5),OR(Filter!$E$5="(alle)",$K214=Filter!$E$5),OR(Filter!$H$5="(alle)",$C214=Filter!$H$5),OR(Filter!$B$7="(alle)",$E214=Filter!$B$7),OR(Filter!$E$7="(alle)",ISNUMBER(SEARCH(Filter!$E$7,$J214))),OR(Filter!$H$7="(alle)",ISNUMBER(SEARCH(Filter!$H$7,$I214))),OR(Filter!$B$9="",ISNUMBER(SEARCH(Filter!$B$9,$F214&amp;" "&amp;$G214)))),COUNTIF($O$6:$O213,"&gt;0")+1,0))</f>
        <v>208</v>
      </c>
    </row>
    <row r="215" customFormat="false" ht="38.25" hidden="false" customHeight="true" outlineLevel="0" collapsed="false">
      <c r="B215" s="30" t="s">
        <v>1135</v>
      </c>
      <c r="C215" s="30" t="s">
        <v>286</v>
      </c>
      <c r="D215" s="30" t="s">
        <v>1136</v>
      </c>
      <c r="E215" s="30" t="s">
        <v>331</v>
      </c>
      <c r="F215" s="30" t="s">
        <v>1137</v>
      </c>
      <c r="G215" s="30" t="s">
        <v>1138</v>
      </c>
      <c r="H215" s="30" t="s">
        <v>1139</v>
      </c>
      <c r="I215" s="30" t="s">
        <v>306</v>
      </c>
      <c r="J215" s="30" t="s">
        <v>206</v>
      </c>
      <c r="K215" s="31" t="s">
        <v>151</v>
      </c>
      <c r="L215" s="32"/>
      <c r="M215" s="30" t="s">
        <v>1140</v>
      </c>
      <c r="N215" s="30" t="s">
        <v>48</v>
      </c>
      <c r="O215" s="1" t="n">
        <f aca="false">IF($B215="",0,IF(AND(OR(Filter!$B$5="(alle)",$N215=Filter!$B$5),OR(Filter!$E$5="(alle)",$K215=Filter!$E$5),OR(Filter!$H$5="(alle)",$C215=Filter!$H$5),OR(Filter!$B$7="(alle)",$E215=Filter!$B$7),OR(Filter!$E$7="(alle)",ISNUMBER(SEARCH(Filter!$E$7,$J215))),OR(Filter!$H$7="(alle)",ISNUMBER(SEARCH(Filter!$H$7,$I215))),OR(Filter!$B$9="",ISNUMBER(SEARCH(Filter!$B$9,$F215&amp;" "&amp;$G215)))),COUNTIF($O$6:$O214,"&gt;0")+1,0))</f>
        <v>209</v>
      </c>
    </row>
    <row r="216" customFormat="false" ht="318.75" hidden="false" customHeight="true" outlineLevel="0" collapsed="false">
      <c r="B216" s="30" t="s">
        <v>1141</v>
      </c>
      <c r="C216" s="30" t="s">
        <v>286</v>
      </c>
      <c r="D216" s="30" t="s">
        <v>1142</v>
      </c>
      <c r="E216" s="30" t="s">
        <v>355</v>
      </c>
      <c r="F216" s="30" t="s">
        <v>1143</v>
      </c>
      <c r="G216" s="30" t="s">
        <v>1144</v>
      </c>
      <c r="H216" s="30" t="s">
        <v>1145</v>
      </c>
      <c r="I216" s="30" t="s">
        <v>306</v>
      </c>
      <c r="J216" s="30" t="s">
        <v>206</v>
      </c>
      <c r="K216" s="31" t="s">
        <v>47</v>
      </c>
      <c r="L216" s="32"/>
      <c r="M216" s="30"/>
      <c r="N216" s="30" t="s">
        <v>48</v>
      </c>
      <c r="O216" s="1" t="n">
        <f aca="false">IF($B216="",0,IF(AND(OR(Filter!$B$5="(alle)",$N216=Filter!$B$5),OR(Filter!$E$5="(alle)",$K216=Filter!$E$5),OR(Filter!$H$5="(alle)",$C216=Filter!$H$5),OR(Filter!$B$7="(alle)",$E216=Filter!$B$7),OR(Filter!$E$7="(alle)",ISNUMBER(SEARCH(Filter!$E$7,$J216))),OR(Filter!$H$7="(alle)",ISNUMBER(SEARCH(Filter!$H$7,$I216))),OR(Filter!$B$9="",ISNUMBER(SEARCH(Filter!$B$9,$F216&amp;" "&amp;$G216)))),COUNTIF($O$6:$O215,"&gt;0")+1,0))</f>
        <v>210</v>
      </c>
    </row>
    <row r="217" customFormat="false" ht="114.75" hidden="false" customHeight="true" outlineLevel="0" collapsed="false">
      <c r="B217" s="30" t="s">
        <v>1146</v>
      </c>
      <c r="C217" s="30" t="s">
        <v>286</v>
      </c>
      <c r="D217" s="30" t="s">
        <v>1147</v>
      </c>
      <c r="E217" s="30" t="s">
        <v>361</v>
      </c>
      <c r="F217" s="30" t="s">
        <v>1148</v>
      </c>
      <c r="G217" s="30" t="s">
        <v>1149</v>
      </c>
      <c r="H217" s="30" t="s">
        <v>1150</v>
      </c>
      <c r="I217" s="30" t="s">
        <v>158</v>
      </c>
      <c r="J217" s="30" t="s">
        <v>159</v>
      </c>
      <c r="K217" s="31" t="s">
        <v>47</v>
      </c>
      <c r="L217" s="32"/>
      <c r="M217" s="30"/>
      <c r="N217" s="30" t="s">
        <v>48</v>
      </c>
      <c r="O217" s="1" t="n">
        <f aca="false">IF($B217="",0,IF(AND(OR(Filter!$B$5="(alle)",$N217=Filter!$B$5),OR(Filter!$E$5="(alle)",$K217=Filter!$E$5),OR(Filter!$H$5="(alle)",$C217=Filter!$H$5),OR(Filter!$B$7="(alle)",$E217=Filter!$B$7),OR(Filter!$E$7="(alle)",ISNUMBER(SEARCH(Filter!$E$7,$J217))),OR(Filter!$H$7="(alle)",ISNUMBER(SEARCH(Filter!$H$7,$I217))),OR(Filter!$B$9="",ISNUMBER(SEARCH(Filter!$B$9,$F217&amp;" "&amp;$G217)))),COUNTIF($O$6:$O216,"&gt;0")+1,0))</f>
        <v>211</v>
      </c>
    </row>
    <row r="218" customFormat="false" ht="63.75" hidden="false" customHeight="true" outlineLevel="0" collapsed="false">
      <c r="B218" s="30" t="s">
        <v>1151</v>
      </c>
      <c r="C218" s="30" t="s">
        <v>286</v>
      </c>
      <c r="D218" s="30" t="s">
        <v>1152</v>
      </c>
      <c r="E218" s="30" t="s">
        <v>355</v>
      </c>
      <c r="F218" s="30" t="s">
        <v>1153</v>
      </c>
      <c r="G218" s="30" t="s">
        <v>1154</v>
      </c>
      <c r="H218" s="30" t="s">
        <v>1155</v>
      </c>
      <c r="I218" s="30" t="s">
        <v>306</v>
      </c>
      <c r="J218" s="30" t="s">
        <v>206</v>
      </c>
      <c r="K218" s="31" t="s">
        <v>47</v>
      </c>
      <c r="L218" s="32"/>
      <c r="M218" s="30"/>
      <c r="N218" s="30" t="s">
        <v>48</v>
      </c>
      <c r="O218" s="1" t="n">
        <f aca="false">IF($B218="",0,IF(AND(OR(Filter!$B$5="(alle)",$N218=Filter!$B$5),OR(Filter!$E$5="(alle)",$K218=Filter!$E$5),OR(Filter!$H$5="(alle)",$C218=Filter!$H$5),OR(Filter!$B$7="(alle)",$E218=Filter!$B$7),OR(Filter!$E$7="(alle)",ISNUMBER(SEARCH(Filter!$E$7,$J218))),OR(Filter!$H$7="(alle)",ISNUMBER(SEARCH(Filter!$H$7,$I218))),OR(Filter!$B$9="",ISNUMBER(SEARCH(Filter!$B$9,$F218&amp;" "&amp;$G218)))),COUNTIF($O$6:$O217,"&gt;0")+1,0))</f>
        <v>212</v>
      </c>
    </row>
    <row r="219" customFormat="false" ht="89.25" hidden="false" customHeight="true" outlineLevel="0" collapsed="false">
      <c r="B219" s="30" t="s">
        <v>1156</v>
      </c>
      <c r="C219" s="30" t="s">
        <v>286</v>
      </c>
      <c r="D219" s="30" t="s">
        <v>1157</v>
      </c>
      <c r="E219" s="30" t="s">
        <v>604</v>
      </c>
      <c r="F219" s="30" t="s">
        <v>1158</v>
      </c>
      <c r="G219" s="30" t="s">
        <v>1159</v>
      </c>
      <c r="H219" s="30" t="s">
        <v>1160</v>
      </c>
      <c r="I219" s="30" t="s">
        <v>158</v>
      </c>
      <c r="J219" s="30" t="s">
        <v>159</v>
      </c>
      <c r="K219" s="31" t="s">
        <v>47</v>
      </c>
      <c r="L219" s="32"/>
      <c r="M219" s="30"/>
      <c r="N219" s="30" t="s">
        <v>48</v>
      </c>
      <c r="O219" s="1" t="n">
        <f aca="false">IF($B219="",0,IF(AND(OR(Filter!$B$5="(alle)",$N219=Filter!$B$5),OR(Filter!$E$5="(alle)",$K219=Filter!$E$5),OR(Filter!$H$5="(alle)",$C219=Filter!$H$5),OR(Filter!$B$7="(alle)",$E219=Filter!$B$7),OR(Filter!$E$7="(alle)",ISNUMBER(SEARCH(Filter!$E$7,$J219))),OR(Filter!$H$7="(alle)",ISNUMBER(SEARCH(Filter!$H$7,$I219))),OR(Filter!$B$9="",ISNUMBER(SEARCH(Filter!$B$9,$F219&amp;" "&amp;$G219)))),COUNTIF($O$6:$O218,"&gt;0")+1,0))</f>
        <v>213</v>
      </c>
    </row>
    <row r="220" customFormat="false" ht="76.5" hidden="false" customHeight="true" outlineLevel="0" collapsed="false">
      <c r="B220" s="30" t="s">
        <v>1161</v>
      </c>
      <c r="C220" s="30" t="s">
        <v>286</v>
      </c>
      <c r="D220" s="30" t="s">
        <v>1162</v>
      </c>
      <c r="E220" s="30" t="s">
        <v>344</v>
      </c>
      <c r="F220" s="30" t="s">
        <v>1163</v>
      </c>
      <c r="G220" s="30" t="s">
        <v>1164</v>
      </c>
      <c r="H220" s="30" t="s">
        <v>1165</v>
      </c>
      <c r="I220" s="30" t="s">
        <v>306</v>
      </c>
      <c r="J220" s="30" t="s">
        <v>206</v>
      </c>
      <c r="K220" s="31" t="s">
        <v>47</v>
      </c>
      <c r="L220" s="32"/>
      <c r="M220" s="30"/>
      <c r="N220" s="30" t="s">
        <v>48</v>
      </c>
      <c r="O220" s="1" t="n">
        <f aca="false">IF($B220="",0,IF(AND(OR(Filter!$B$5="(alle)",$N220=Filter!$B$5),OR(Filter!$E$5="(alle)",$K220=Filter!$E$5),OR(Filter!$H$5="(alle)",$C220=Filter!$H$5),OR(Filter!$B$7="(alle)",$E220=Filter!$B$7),OR(Filter!$E$7="(alle)",ISNUMBER(SEARCH(Filter!$E$7,$J220))),OR(Filter!$H$7="(alle)",ISNUMBER(SEARCH(Filter!$H$7,$I220))),OR(Filter!$B$9="",ISNUMBER(SEARCH(Filter!$B$9,$F220&amp;" "&amp;$G220)))),COUNTIF($O$6:$O219,"&gt;0")+1,0))</f>
        <v>214</v>
      </c>
    </row>
    <row r="221" customFormat="false" ht="140.25" hidden="false" customHeight="true" outlineLevel="0" collapsed="false">
      <c r="B221" s="30" t="s">
        <v>1166</v>
      </c>
      <c r="C221" s="30" t="s">
        <v>286</v>
      </c>
      <c r="D221" s="30" t="s">
        <v>1167</v>
      </c>
      <c r="E221" s="30" t="s">
        <v>210</v>
      </c>
      <c r="F221" s="30" t="s">
        <v>1168</v>
      </c>
      <c r="G221" s="30" t="s">
        <v>1169</v>
      </c>
      <c r="H221" s="30" t="s">
        <v>1170</v>
      </c>
      <c r="I221" s="30" t="s">
        <v>306</v>
      </c>
      <c r="J221" s="30" t="s">
        <v>206</v>
      </c>
      <c r="K221" s="31" t="s">
        <v>47</v>
      </c>
      <c r="L221" s="32"/>
      <c r="M221" s="30"/>
      <c r="N221" s="30" t="s">
        <v>48</v>
      </c>
      <c r="O221" s="1" t="n">
        <f aca="false">IF($B221="",0,IF(AND(OR(Filter!$B$5="(alle)",$N221=Filter!$B$5),OR(Filter!$E$5="(alle)",$K221=Filter!$E$5),OR(Filter!$H$5="(alle)",$C221=Filter!$H$5),OR(Filter!$B$7="(alle)",$E221=Filter!$B$7),OR(Filter!$E$7="(alle)",ISNUMBER(SEARCH(Filter!$E$7,$J221))),OR(Filter!$H$7="(alle)",ISNUMBER(SEARCH(Filter!$H$7,$I221))),OR(Filter!$B$9="",ISNUMBER(SEARCH(Filter!$B$9,$F221&amp;" "&amp;$G221)))),COUNTIF($O$6:$O220,"&gt;0")+1,0))</f>
        <v>215</v>
      </c>
    </row>
    <row r="222" customFormat="false" ht="63.75" hidden="false" customHeight="true" outlineLevel="0" collapsed="false">
      <c r="B222" s="30" t="s">
        <v>1171</v>
      </c>
      <c r="C222" s="30" t="s">
        <v>286</v>
      </c>
      <c r="D222" s="30" t="s">
        <v>1172</v>
      </c>
      <c r="E222" s="30" t="s">
        <v>331</v>
      </c>
      <c r="F222" s="30" t="s">
        <v>1173</v>
      </c>
      <c r="G222" s="30" t="s">
        <v>1174</v>
      </c>
      <c r="H222" s="30" t="s">
        <v>1175</v>
      </c>
      <c r="I222" s="30" t="s">
        <v>306</v>
      </c>
      <c r="J222" s="30" t="s">
        <v>206</v>
      </c>
      <c r="K222" s="31" t="s">
        <v>151</v>
      </c>
      <c r="L222" s="32"/>
      <c r="M222" s="30" t="s">
        <v>370</v>
      </c>
      <c r="N222" s="30" t="s">
        <v>48</v>
      </c>
      <c r="O222" s="1" t="n">
        <f aca="false">IF($B222="",0,IF(AND(OR(Filter!$B$5="(alle)",$N222=Filter!$B$5),OR(Filter!$E$5="(alle)",$K222=Filter!$E$5),OR(Filter!$H$5="(alle)",$C222=Filter!$H$5),OR(Filter!$B$7="(alle)",$E222=Filter!$B$7),OR(Filter!$E$7="(alle)",ISNUMBER(SEARCH(Filter!$E$7,$J222))),OR(Filter!$H$7="(alle)",ISNUMBER(SEARCH(Filter!$H$7,$I222))),OR(Filter!$B$9="",ISNUMBER(SEARCH(Filter!$B$9,$F222&amp;" "&amp;$G222)))),COUNTIF($O$6:$O221,"&gt;0")+1,0))</f>
        <v>216</v>
      </c>
    </row>
    <row r="223" customFormat="false" ht="229.5" hidden="false" customHeight="true" outlineLevel="0" collapsed="false">
      <c r="B223" s="30" t="s">
        <v>1176</v>
      </c>
      <c r="C223" s="30" t="s">
        <v>286</v>
      </c>
      <c r="D223" s="30" t="s">
        <v>1177</v>
      </c>
      <c r="E223" s="30" t="s">
        <v>355</v>
      </c>
      <c r="F223" s="30" t="s">
        <v>1178</v>
      </c>
      <c r="G223" s="30" t="s">
        <v>1179</v>
      </c>
      <c r="H223" s="30" t="s">
        <v>1180</v>
      </c>
      <c r="I223" s="30" t="s">
        <v>306</v>
      </c>
      <c r="J223" s="30" t="s">
        <v>206</v>
      </c>
      <c r="K223" s="31" t="s">
        <v>47</v>
      </c>
      <c r="L223" s="32"/>
      <c r="M223" s="30"/>
      <c r="N223" s="30" t="s">
        <v>48</v>
      </c>
      <c r="O223" s="1" t="n">
        <f aca="false">IF($B223="",0,IF(AND(OR(Filter!$B$5="(alle)",$N223=Filter!$B$5),OR(Filter!$E$5="(alle)",$K223=Filter!$E$5),OR(Filter!$H$5="(alle)",$C223=Filter!$H$5),OR(Filter!$B$7="(alle)",$E223=Filter!$B$7),OR(Filter!$E$7="(alle)",ISNUMBER(SEARCH(Filter!$E$7,$J223))),OR(Filter!$H$7="(alle)",ISNUMBER(SEARCH(Filter!$H$7,$I223))),OR(Filter!$B$9="",ISNUMBER(SEARCH(Filter!$B$9,$F223&amp;" "&amp;$G223)))),COUNTIF($O$6:$O222,"&gt;0")+1,0))</f>
        <v>217</v>
      </c>
    </row>
    <row r="224" customFormat="false" ht="153" hidden="false" customHeight="true" outlineLevel="0" collapsed="false">
      <c r="B224" s="30" t="s">
        <v>1181</v>
      </c>
      <c r="C224" s="30" t="s">
        <v>286</v>
      </c>
      <c r="D224" s="30" t="s">
        <v>1182</v>
      </c>
      <c r="E224" s="30" t="s">
        <v>361</v>
      </c>
      <c r="F224" s="30" t="s">
        <v>1183</v>
      </c>
      <c r="G224" s="30" t="s">
        <v>1184</v>
      </c>
      <c r="H224" s="30" t="s">
        <v>1185</v>
      </c>
      <c r="I224" s="30" t="s">
        <v>306</v>
      </c>
      <c r="J224" s="30" t="s">
        <v>206</v>
      </c>
      <c r="K224" s="31" t="s">
        <v>47</v>
      </c>
      <c r="L224" s="32"/>
      <c r="M224" s="30"/>
      <c r="N224" s="30" t="s">
        <v>48</v>
      </c>
      <c r="O224" s="1" t="n">
        <f aca="false">IF($B224="",0,IF(AND(OR(Filter!$B$5="(alle)",$N224=Filter!$B$5),OR(Filter!$E$5="(alle)",$K224=Filter!$E$5),OR(Filter!$H$5="(alle)",$C224=Filter!$H$5),OR(Filter!$B$7="(alle)",$E224=Filter!$B$7),OR(Filter!$E$7="(alle)",ISNUMBER(SEARCH(Filter!$E$7,$J224))),OR(Filter!$H$7="(alle)",ISNUMBER(SEARCH(Filter!$H$7,$I224))),OR(Filter!$B$9="",ISNUMBER(SEARCH(Filter!$B$9,$F224&amp;" "&amp;$G224)))),COUNTIF($O$6:$O223,"&gt;0")+1,0))</f>
        <v>218</v>
      </c>
    </row>
    <row r="225" customFormat="false" ht="102" hidden="false" customHeight="true" outlineLevel="0" collapsed="false">
      <c r="B225" s="30" t="s">
        <v>1186</v>
      </c>
      <c r="C225" s="30" t="s">
        <v>286</v>
      </c>
      <c r="D225" s="30" t="s">
        <v>1187</v>
      </c>
      <c r="E225" s="30" t="s">
        <v>361</v>
      </c>
      <c r="F225" s="30" t="s">
        <v>1188</v>
      </c>
      <c r="G225" s="30" t="s">
        <v>1189</v>
      </c>
      <c r="H225" s="30" t="s">
        <v>1190</v>
      </c>
      <c r="I225" s="30" t="s">
        <v>306</v>
      </c>
      <c r="J225" s="30" t="s">
        <v>206</v>
      </c>
      <c r="K225" s="31" t="s">
        <v>47</v>
      </c>
      <c r="L225" s="32"/>
      <c r="M225" s="30"/>
      <c r="N225" s="30" t="s">
        <v>48</v>
      </c>
      <c r="O225" s="1" t="n">
        <f aca="false">IF($B225="",0,IF(AND(OR(Filter!$B$5="(alle)",$N225=Filter!$B$5),OR(Filter!$E$5="(alle)",$K225=Filter!$E$5),OR(Filter!$H$5="(alle)",$C225=Filter!$H$5),OR(Filter!$B$7="(alle)",$E225=Filter!$B$7),OR(Filter!$E$7="(alle)",ISNUMBER(SEARCH(Filter!$E$7,$J225))),OR(Filter!$H$7="(alle)",ISNUMBER(SEARCH(Filter!$H$7,$I225))),OR(Filter!$B$9="",ISNUMBER(SEARCH(Filter!$B$9,$F225&amp;" "&amp;$G225)))),COUNTIF($O$6:$O224,"&gt;0")+1,0))</f>
        <v>219</v>
      </c>
    </row>
    <row r="226" customFormat="false" ht="114.75" hidden="false" customHeight="true" outlineLevel="0" collapsed="false">
      <c r="B226" s="30" t="s">
        <v>1191</v>
      </c>
      <c r="C226" s="30" t="s">
        <v>286</v>
      </c>
      <c r="D226" s="30" t="s">
        <v>1192</v>
      </c>
      <c r="E226" s="30" t="s">
        <v>344</v>
      </c>
      <c r="F226" s="30" t="s">
        <v>1193</v>
      </c>
      <c r="G226" s="30" t="s">
        <v>1194</v>
      </c>
      <c r="H226" s="30" t="s">
        <v>1195</v>
      </c>
      <c r="I226" s="30" t="s">
        <v>306</v>
      </c>
      <c r="J226" s="30" t="s">
        <v>206</v>
      </c>
      <c r="K226" s="31" t="s">
        <v>47</v>
      </c>
      <c r="L226" s="32"/>
      <c r="M226" s="30"/>
      <c r="N226" s="30" t="s">
        <v>48</v>
      </c>
      <c r="O226" s="1" t="n">
        <f aca="false">IF($B226="",0,IF(AND(OR(Filter!$B$5="(alle)",$N226=Filter!$B$5),OR(Filter!$E$5="(alle)",$K226=Filter!$E$5),OR(Filter!$H$5="(alle)",$C226=Filter!$H$5),OR(Filter!$B$7="(alle)",$E226=Filter!$B$7),OR(Filter!$E$7="(alle)",ISNUMBER(SEARCH(Filter!$E$7,$J226))),OR(Filter!$H$7="(alle)",ISNUMBER(SEARCH(Filter!$H$7,$I226))),OR(Filter!$B$9="",ISNUMBER(SEARCH(Filter!$B$9,$F226&amp;" "&amp;$G226)))),COUNTIF($O$6:$O225,"&gt;0")+1,0))</f>
        <v>220</v>
      </c>
    </row>
    <row r="227" customFormat="false" ht="63.75" hidden="false" customHeight="true" outlineLevel="0" collapsed="false">
      <c r="B227" s="30" t="s">
        <v>1196</v>
      </c>
      <c r="C227" s="30" t="s">
        <v>286</v>
      </c>
      <c r="D227" s="30" t="s">
        <v>1197</v>
      </c>
      <c r="E227" s="30" t="s">
        <v>190</v>
      </c>
      <c r="F227" s="30" t="s">
        <v>1198</v>
      </c>
      <c r="G227" s="30" t="s">
        <v>1199</v>
      </c>
      <c r="H227" s="30" t="s">
        <v>1200</v>
      </c>
      <c r="I227" s="30" t="s">
        <v>290</v>
      </c>
      <c r="J227" s="30" t="s">
        <v>194</v>
      </c>
      <c r="K227" s="31" t="s">
        <v>47</v>
      </c>
      <c r="L227" s="32"/>
      <c r="M227" s="30"/>
      <c r="N227" s="30" t="s">
        <v>65</v>
      </c>
      <c r="O227" s="1" t="n">
        <f aca="false">IF($B227="",0,IF(AND(OR(Filter!$B$5="(alle)",$N227=Filter!$B$5),OR(Filter!$E$5="(alle)",$K227=Filter!$E$5),OR(Filter!$H$5="(alle)",$C227=Filter!$H$5),OR(Filter!$B$7="(alle)",$E227=Filter!$B$7),OR(Filter!$E$7="(alle)",ISNUMBER(SEARCH(Filter!$E$7,$J227))),OR(Filter!$H$7="(alle)",ISNUMBER(SEARCH(Filter!$H$7,$I227))),OR(Filter!$B$9="",ISNUMBER(SEARCH(Filter!$B$9,$F227&amp;" "&amp;$G227)))),COUNTIF($O$6:$O226,"&gt;0")+1,0))</f>
        <v>221</v>
      </c>
    </row>
    <row r="228" customFormat="false" ht="191.25" hidden="false" customHeight="true" outlineLevel="0" collapsed="false">
      <c r="B228" s="30" t="s">
        <v>1201</v>
      </c>
      <c r="C228" s="30" t="s">
        <v>286</v>
      </c>
      <c r="D228" s="30" t="s">
        <v>1202</v>
      </c>
      <c r="E228" s="30" t="s">
        <v>355</v>
      </c>
      <c r="F228" s="30" t="s">
        <v>1203</v>
      </c>
      <c r="G228" s="30" t="s">
        <v>1204</v>
      </c>
      <c r="H228" s="30" t="s">
        <v>1205</v>
      </c>
      <c r="I228" s="30" t="s">
        <v>476</v>
      </c>
      <c r="J228" s="30" t="s">
        <v>476</v>
      </c>
      <c r="K228" s="31" t="s">
        <v>47</v>
      </c>
      <c r="L228" s="32"/>
      <c r="M228" s="30"/>
      <c r="N228" s="30" t="s">
        <v>48</v>
      </c>
      <c r="O228" s="1" t="n">
        <f aca="false">IF($B228="",0,IF(AND(OR(Filter!$B$5="(alle)",$N228=Filter!$B$5),OR(Filter!$E$5="(alle)",$K228=Filter!$E$5),OR(Filter!$H$5="(alle)",$C228=Filter!$H$5),OR(Filter!$B$7="(alle)",$E228=Filter!$B$7),OR(Filter!$E$7="(alle)",ISNUMBER(SEARCH(Filter!$E$7,$J228))),OR(Filter!$H$7="(alle)",ISNUMBER(SEARCH(Filter!$H$7,$I228))),OR(Filter!$B$9="",ISNUMBER(SEARCH(Filter!$B$9,$F228&amp;" "&amp;$G228)))),COUNTIF($O$6:$O227,"&gt;0")+1,0))</f>
        <v>222</v>
      </c>
    </row>
    <row r="229" customFormat="false" ht="63.75" hidden="false" customHeight="true" outlineLevel="0" collapsed="false">
      <c r="B229" s="30" t="s">
        <v>1206</v>
      </c>
      <c r="C229" s="30" t="s">
        <v>286</v>
      </c>
      <c r="D229" s="30" t="s">
        <v>1207</v>
      </c>
      <c r="E229" s="30" t="s">
        <v>361</v>
      </c>
      <c r="F229" s="30" t="s">
        <v>1208</v>
      </c>
      <c r="G229" s="30" t="s">
        <v>1209</v>
      </c>
      <c r="H229" s="30" t="s">
        <v>1210</v>
      </c>
      <c r="I229" s="30" t="s">
        <v>306</v>
      </c>
      <c r="J229" s="30" t="s">
        <v>206</v>
      </c>
      <c r="K229" s="31" t="s">
        <v>47</v>
      </c>
      <c r="L229" s="32"/>
      <c r="M229" s="30"/>
      <c r="N229" s="30" t="s">
        <v>48</v>
      </c>
      <c r="O229" s="1" t="n">
        <f aca="false">IF($B229="",0,IF(AND(OR(Filter!$B$5="(alle)",$N229=Filter!$B$5),OR(Filter!$E$5="(alle)",$K229=Filter!$E$5),OR(Filter!$H$5="(alle)",$C229=Filter!$H$5),OR(Filter!$B$7="(alle)",$E229=Filter!$B$7),OR(Filter!$E$7="(alle)",ISNUMBER(SEARCH(Filter!$E$7,$J229))),OR(Filter!$H$7="(alle)",ISNUMBER(SEARCH(Filter!$H$7,$I229))),OR(Filter!$B$9="",ISNUMBER(SEARCH(Filter!$B$9,$F229&amp;" "&amp;$G229)))),COUNTIF($O$6:$O228,"&gt;0")+1,0))</f>
        <v>223</v>
      </c>
    </row>
    <row r="230" customFormat="false" ht="63.75" hidden="false" customHeight="true" outlineLevel="0" collapsed="false">
      <c r="B230" s="30" t="s">
        <v>1211</v>
      </c>
      <c r="C230" s="30" t="s">
        <v>286</v>
      </c>
      <c r="D230" s="30" t="s">
        <v>1212</v>
      </c>
      <c r="E230" s="30" t="s">
        <v>344</v>
      </c>
      <c r="F230" s="30" t="s">
        <v>1213</v>
      </c>
      <c r="G230" s="30" t="s">
        <v>1214</v>
      </c>
      <c r="H230" s="30" t="s">
        <v>1215</v>
      </c>
      <c r="I230" s="30" t="s">
        <v>306</v>
      </c>
      <c r="J230" s="30" t="s">
        <v>206</v>
      </c>
      <c r="K230" s="31" t="s">
        <v>47</v>
      </c>
      <c r="L230" s="32"/>
      <c r="M230" s="30"/>
      <c r="N230" s="30" t="s">
        <v>48</v>
      </c>
      <c r="O230" s="1" t="n">
        <f aca="false">IF($B230="",0,IF(AND(OR(Filter!$B$5="(alle)",$N230=Filter!$B$5),OR(Filter!$E$5="(alle)",$K230=Filter!$E$5),OR(Filter!$H$5="(alle)",$C230=Filter!$H$5),OR(Filter!$B$7="(alle)",$E230=Filter!$B$7),OR(Filter!$E$7="(alle)",ISNUMBER(SEARCH(Filter!$E$7,$J230))),OR(Filter!$H$7="(alle)",ISNUMBER(SEARCH(Filter!$H$7,$I230))),OR(Filter!$B$9="",ISNUMBER(SEARCH(Filter!$B$9,$F230&amp;" "&amp;$G230)))),COUNTIF($O$6:$O229,"&gt;0")+1,0))</f>
        <v>224</v>
      </c>
    </row>
    <row r="231" customFormat="false" ht="38.25" hidden="false" customHeight="true" outlineLevel="0" collapsed="false">
      <c r="B231" s="30" t="s">
        <v>1216</v>
      </c>
      <c r="C231" s="30" t="s">
        <v>286</v>
      </c>
      <c r="D231" s="30" t="s">
        <v>1217</v>
      </c>
      <c r="E231" s="30" t="s">
        <v>331</v>
      </c>
      <c r="F231" s="30" t="s">
        <v>1218</v>
      </c>
      <c r="G231" s="30" t="s">
        <v>1219</v>
      </c>
      <c r="H231" s="30" t="s">
        <v>1220</v>
      </c>
      <c r="I231" s="30" t="s">
        <v>306</v>
      </c>
      <c r="J231" s="30" t="s">
        <v>206</v>
      </c>
      <c r="K231" s="31" t="s">
        <v>151</v>
      </c>
      <c r="L231" s="32"/>
      <c r="M231" s="30" t="s">
        <v>370</v>
      </c>
      <c r="N231" s="30" t="s">
        <v>48</v>
      </c>
      <c r="O231" s="1" t="n">
        <f aca="false">IF($B231="",0,IF(AND(OR(Filter!$B$5="(alle)",$N231=Filter!$B$5),OR(Filter!$E$5="(alle)",$K231=Filter!$E$5),OR(Filter!$H$5="(alle)",$C231=Filter!$H$5),OR(Filter!$B$7="(alle)",$E231=Filter!$B$7),OR(Filter!$E$7="(alle)",ISNUMBER(SEARCH(Filter!$E$7,$J231))),OR(Filter!$H$7="(alle)",ISNUMBER(SEARCH(Filter!$H$7,$I231))),OR(Filter!$B$9="",ISNUMBER(SEARCH(Filter!$B$9,$F231&amp;" "&amp;$G231)))),COUNTIF($O$6:$O230,"&gt;0")+1,0))</f>
        <v>225</v>
      </c>
    </row>
    <row r="232" customFormat="false" ht="76.5" hidden="false" customHeight="true" outlineLevel="0" collapsed="false">
      <c r="B232" s="30" t="s">
        <v>1221</v>
      </c>
      <c r="C232" s="30" t="s">
        <v>286</v>
      </c>
      <c r="D232" s="30" t="s">
        <v>1222</v>
      </c>
      <c r="E232" s="30" t="s">
        <v>604</v>
      </c>
      <c r="F232" s="30" t="s">
        <v>1223</v>
      </c>
      <c r="G232" s="30" t="s">
        <v>1224</v>
      </c>
      <c r="H232" s="30" t="s">
        <v>1225</v>
      </c>
      <c r="I232" s="30" t="s">
        <v>476</v>
      </c>
      <c r="J232" s="30" t="s">
        <v>476</v>
      </c>
      <c r="K232" s="31" t="s">
        <v>47</v>
      </c>
      <c r="L232" s="32"/>
      <c r="M232" s="30"/>
      <c r="N232" s="30" t="s">
        <v>48</v>
      </c>
      <c r="O232" s="1" t="n">
        <f aca="false">IF($B232="",0,IF(AND(OR(Filter!$B$5="(alle)",$N232=Filter!$B$5),OR(Filter!$E$5="(alle)",$K232=Filter!$E$5),OR(Filter!$H$5="(alle)",$C232=Filter!$H$5),OR(Filter!$B$7="(alle)",$E232=Filter!$B$7),OR(Filter!$E$7="(alle)",ISNUMBER(SEARCH(Filter!$E$7,$J232))),OR(Filter!$H$7="(alle)",ISNUMBER(SEARCH(Filter!$H$7,$I232))),OR(Filter!$B$9="",ISNUMBER(SEARCH(Filter!$B$9,$F232&amp;" "&amp;$G232)))),COUNTIF($O$6:$O231,"&gt;0")+1,0))</f>
        <v>226</v>
      </c>
    </row>
    <row r="233" customFormat="false" ht="76.5" hidden="false" customHeight="true" outlineLevel="0" collapsed="false">
      <c r="B233" s="30" t="s">
        <v>1226</v>
      </c>
      <c r="C233" s="30" t="s">
        <v>286</v>
      </c>
      <c r="D233" s="30" t="s">
        <v>1227</v>
      </c>
      <c r="E233" s="30" t="s">
        <v>604</v>
      </c>
      <c r="F233" s="30" t="s">
        <v>1228</v>
      </c>
      <c r="G233" s="30" t="s">
        <v>1229</v>
      </c>
      <c r="H233" s="30" t="s">
        <v>1230</v>
      </c>
      <c r="I233" s="30" t="s">
        <v>476</v>
      </c>
      <c r="J233" s="30" t="s">
        <v>476</v>
      </c>
      <c r="K233" s="31" t="s">
        <v>47</v>
      </c>
      <c r="L233" s="32"/>
      <c r="M233" s="30"/>
      <c r="N233" s="30" t="s">
        <v>48</v>
      </c>
      <c r="O233" s="1" t="n">
        <f aca="false">IF($B233="",0,IF(AND(OR(Filter!$B$5="(alle)",$N233=Filter!$B$5),OR(Filter!$E$5="(alle)",$K233=Filter!$E$5),OR(Filter!$H$5="(alle)",$C233=Filter!$H$5),OR(Filter!$B$7="(alle)",$E233=Filter!$B$7),OR(Filter!$E$7="(alle)",ISNUMBER(SEARCH(Filter!$E$7,$J233))),OR(Filter!$H$7="(alle)",ISNUMBER(SEARCH(Filter!$H$7,$I233))),OR(Filter!$B$9="",ISNUMBER(SEARCH(Filter!$B$9,$F233&amp;" "&amp;$G233)))),COUNTIF($O$6:$O232,"&gt;0")+1,0))</f>
        <v>227</v>
      </c>
    </row>
    <row r="234" customFormat="false" ht="140.25" hidden="false" customHeight="true" outlineLevel="0" collapsed="false">
      <c r="B234" s="30" t="s">
        <v>1231</v>
      </c>
      <c r="C234" s="30" t="s">
        <v>286</v>
      </c>
      <c r="D234" s="30" t="s">
        <v>1232</v>
      </c>
      <c r="E234" s="30" t="s">
        <v>604</v>
      </c>
      <c r="F234" s="30" t="s">
        <v>1233</v>
      </c>
      <c r="G234" s="30" t="s">
        <v>1234</v>
      </c>
      <c r="H234" s="30" t="s">
        <v>1235</v>
      </c>
      <c r="I234" s="30" t="s">
        <v>158</v>
      </c>
      <c r="J234" s="30" t="s">
        <v>159</v>
      </c>
      <c r="K234" s="31" t="s">
        <v>47</v>
      </c>
      <c r="L234" s="32"/>
      <c r="M234" s="30"/>
      <c r="N234" s="30" t="s">
        <v>48</v>
      </c>
      <c r="O234" s="1" t="n">
        <f aca="false">IF($B234="",0,IF(AND(OR(Filter!$B$5="(alle)",$N234=Filter!$B$5),OR(Filter!$E$5="(alle)",$K234=Filter!$E$5),OR(Filter!$H$5="(alle)",$C234=Filter!$H$5),OR(Filter!$B$7="(alle)",$E234=Filter!$B$7),OR(Filter!$E$7="(alle)",ISNUMBER(SEARCH(Filter!$E$7,$J234))),OR(Filter!$H$7="(alle)",ISNUMBER(SEARCH(Filter!$H$7,$I234))),OR(Filter!$B$9="",ISNUMBER(SEARCH(Filter!$B$9,$F234&amp;" "&amp;$G234)))),COUNTIF($O$6:$O233,"&gt;0")+1,0))</f>
        <v>228</v>
      </c>
    </row>
    <row r="235" customFormat="false" ht="89.25" hidden="false" customHeight="true" outlineLevel="0" collapsed="false">
      <c r="B235" s="30" t="s">
        <v>1236</v>
      </c>
      <c r="C235" s="30" t="s">
        <v>286</v>
      </c>
      <c r="D235" s="30" t="s">
        <v>1237</v>
      </c>
      <c r="E235" s="30" t="s">
        <v>344</v>
      </c>
      <c r="F235" s="30" t="s">
        <v>1238</v>
      </c>
      <c r="G235" s="30" t="s">
        <v>1239</v>
      </c>
      <c r="H235" s="30" t="s">
        <v>1240</v>
      </c>
      <c r="I235" s="30" t="s">
        <v>306</v>
      </c>
      <c r="J235" s="30" t="s">
        <v>206</v>
      </c>
      <c r="K235" s="31" t="s">
        <v>47</v>
      </c>
      <c r="L235" s="32"/>
      <c r="M235" s="30"/>
      <c r="N235" s="30" t="s">
        <v>48</v>
      </c>
      <c r="O235" s="1" t="n">
        <f aca="false">IF($B235="",0,IF(AND(OR(Filter!$B$5="(alle)",$N235=Filter!$B$5),OR(Filter!$E$5="(alle)",$K235=Filter!$E$5),OR(Filter!$H$5="(alle)",$C235=Filter!$H$5),OR(Filter!$B$7="(alle)",$E235=Filter!$B$7),OR(Filter!$E$7="(alle)",ISNUMBER(SEARCH(Filter!$E$7,$J235))),OR(Filter!$H$7="(alle)",ISNUMBER(SEARCH(Filter!$H$7,$I235))),OR(Filter!$B$9="",ISNUMBER(SEARCH(Filter!$B$9,$F235&amp;" "&amp;$G235)))),COUNTIF($O$6:$O234,"&gt;0")+1,0))</f>
        <v>229</v>
      </c>
    </row>
    <row r="236" customFormat="false" ht="114.75" hidden="false" customHeight="true" outlineLevel="0" collapsed="false">
      <c r="B236" s="30" t="s">
        <v>1241</v>
      </c>
      <c r="C236" s="30" t="s">
        <v>286</v>
      </c>
      <c r="D236" s="30" t="s">
        <v>1242</v>
      </c>
      <c r="E236" s="30" t="s">
        <v>210</v>
      </c>
      <c r="F236" s="30" t="s">
        <v>1243</v>
      </c>
      <c r="G236" s="30" t="s">
        <v>1244</v>
      </c>
      <c r="H236" s="30" t="s">
        <v>1245</v>
      </c>
      <c r="I236" s="30" t="s">
        <v>306</v>
      </c>
      <c r="J236" s="30" t="s">
        <v>206</v>
      </c>
      <c r="K236" s="31" t="s">
        <v>47</v>
      </c>
      <c r="L236" s="32"/>
      <c r="M236" s="30"/>
      <c r="N236" s="30" t="s">
        <v>48</v>
      </c>
      <c r="O236" s="1" t="n">
        <f aca="false">IF($B236="",0,IF(AND(OR(Filter!$B$5="(alle)",$N236=Filter!$B$5),OR(Filter!$E$5="(alle)",$K236=Filter!$E$5),OR(Filter!$H$5="(alle)",$C236=Filter!$H$5),OR(Filter!$B$7="(alle)",$E236=Filter!$B$7),OR(Filter!$E$7="(alle)",ISNUMBER(SEARCH(Filter!$E$7,$J236))),OR(Filter!$H$7="(alle)",ISNUMBER(SEARCH(Filter!$H$7,$I236))),OR(Filter!$B$9="",ISNUMBER(SEARCH(Filter!$B$9,$F236&amp;" "&amp;$G236)))),COUNTIF($O$6:$O235,"&gt;0")+1,0))</f>
        <v>230</v>
      </c>
    </row>
    <row r="237" customFormat="false" ht="51" hidden="false" customHeight="true" outlineLevel="0" collapsed="false">
      <c r="B237" s="30" t="s">
        <v>1246</v>
      </c>
      <c r="C237" s="30" t="s">
        <v>286</v>
      </c>
      <c r="D237" s="30" t="s">
        <v>1247</v>
      </c>
      <c r="E237" s="30" t="s">
        <v>81</v>
      </c>
      <c r="F237" s="30" t="s">
        <v>1248</v>
      </c>
      <c r="G237" s="30" t="s">
        <v>1249</v>
      </c>
      <c r="H237" s="30" t="s">
        <v>1250</v>
      </c>
      <c r="I237" s="30" t="s">
        <v>1251</v>
      </c>
      <c r="J237" s="30" t="s">
        <v>1252</v>
      </c>
      <c r="K237" s="31" t="s">
        <v>151</v>
      </c>
      <c r="L237" s="32"/>
      <c r="M237" s="30" t="s">
        <v>1253</v>
      </c>
      <c r="N237" s="30" t="s">
        <v>65</v>
      </c>
      <c r="O237" s="1" t="n">
        <f aca="false">IF($B237="",0,IF(AND(OR(Filter!$B$5="(alle)",$N237=Filter!$B$5),OR(Filter!$E$5="(alle)",$K237=Filter!$E$5),OR(Filter!$H$5="(alle)",$C237=Filter!$H$5),OR(Filter!$B$7="(alle)",$E237=Filter!$B$7),OR(Filter!$E$7="(alle)",ISNUMBER(SEARCH(Filter!$E$7,$J237))),OR(Filter!$H$7="(alle)",ISNUMBER(SEARCH(Filter!$H$7,$I237))),OR(Filter!$B$9="",ISNUMBER(SEARCH(Filter!$B$9,$F237&amp;" "&amp;$G237)))),COUNTIF($O$6:$O236,"&gt;0")+1,0))</f>
        <v>231</v>
      </c>
    </row>
    <row r="238" customFormat="false" ht="89.25" hidden="false" customHeight="true" outlineLevel="0" collapsed="false">
      <c r="B238" s="30" t="s">
        <v>1254</v>
      </c>
      <c r="C238" s="30" t="s">
        <v>286</v>
      </c>
      <c r="D238" s="30" t="s">
        <v>1255</v>
      </c>
      <c r="E238" s="30" t="s">
        <v>361</v>
      </c>
      <c r="F238" s="30" t="s">
        <v>1256</v>
      </c>
      <c r="G238" s="30" t="s">
        <v>1257</v>
      </c>
      <c r="H238" s="30" t="s">
        <v>1258</v>
      </c>
      <c r="I238" s="30" t="s">
        <v>306</v>
      </c>
      <c r="J238" s="30" t="s">
        <v>206</v>
      </c>
      <c r="K238" s="31" t="s">
        <v>47</v>
      </c>
      <c r="L238" s="32"/>
      <c r="M238" s="30"/>
      <c r="N238" s="30" t="s">
        <v>48</v>
      </c>
      <c r="O238" s="1" t="n">
        <f aca="false">IF($B238="",0,IF(AND(OR(Filter!$B$5="(alle)",$N238=Filter!$B$5),OR(Filter!$E$5="(alle)",$K238=Filter!$E$5),OR(Filter!$H$5="(alle)",$C238=Filter!$H$5),OR(Filter!$B$7="(alle)",$E238=Filter!$B$7),OR(Filter!$E$7="(alle)",ISNUMBER(SEARCH(Filter!$E$7,$J238))),OR(Filter!$H$7="(alle)",ISNUMBER(SEARCH(Filter!$H$7,$I238))),OR(Filter!$B$9="",ISNUMBER(SEARCH(Filter!$B$9,$F238&amp;" "&amp;$G238)))),COUNTIF($O$6:$O237,"&gt;0")+1,0))</f>
        <v>232</v>
      </c>
    </row>
    <row r="239" customFormat="false" ht="63.75" hidden="false" customHeight="true" outlineLevel="0" collapsed="false">
      <c r="B239" s="30" t="s">
        <v>1259</v>
      </c>
      <c r="C239" s="30" t="s">
        <v>286</v>
      </c>
      <c r="D239" s="30" t="s">
        <v>1260</v>
      </c>
      <c r="E239" s="30" t="s">
        <v>361</v>
      </c>
      <c r="F239" s="30" t="s">
        <v>1261</v>
      </c>
      <c r="G239" s="30" t="s">
        <v>1262</v>
      </c>
      <c r="H239" s="30" t="s">
        <v>1263</v>
      </c>
      <c r="I239" s="30" t="s">
        <v>306</v>
      </c>
      <c r="J239" s="30" t="s">
        <v>206</v>
      </c>
      <c r="K239" s="31" t="s">
        <v>47</v>
      </c>
      <c r="L239" s="32"/>
      <c r="M239" s="30"/>
      <c r="N239" s="30" t="s">
        <v>48</v>
      </c>
      <c r="O239" s="1" t="n">
        <f aca="false">IF($B239="",0,IF(AND(OR(Filter!$B$5="(alle)",$N239=Filter!$B$5),OR(Filter!$E$5="(alle)",$K239=Filter!$E$5),OR(Filter!$H$5="(alle)",$C239=Filter!$H$5),OR(Filter!$B$7="(alle)",$E239=Filter!$B$7),OR(Filter!$E$7="(alle)",ISNUMBER(SEARCH(Filter!$E$7,$J239))),OR(Filter!$H$7="(alle)",ISNUMBER(SEARCH(Filter!$H$7,$I239))),OR(Filter!$B$9="",ISNUMBER(SEARCH(Filter!$B$9,$F239&amp;" "&amp;$G239)))),COUNTIF($O$6:$O238,"&gt;0")+1,0))</f>
        <v>233</v>
      </c>
    </row>
    <row r="240" customFormat="false" ht="102" hidden="false" customHeight="true" outlineLevel="0" collapsed="false">
      <c r="B240" s="30" t="s">
        <v>1264</v>
      </c>
      <c r="C240" s="30" t="s">
        <v>286</v>
      </c>
      <c r="D240" s="30" t="s">
        <v>1265</v>
      </c>
      <c r="E240" s="30" t="s">
        <v>604</v>
      </c>
      <c r="F240" s="30" t="s">
        <v>1266</v>
      </c>
      <c r="G240" s="30" t="s">
        <v>1267</v>
      </c>
      <c r="H240" s="30" t="s">
        <v>1268</v>
      </c>
      <c r="I240" s="30" t="s">
        <v>158</v>
      </c>
      <c r="J240" s="30" t="s">
        <v>159</v>
      </c>
      <c r="K240" s="31" t="s">
        <v>47</v>
      </c>
      <c r="L240" s="32"/>
      <c r="M240" s="30"/>
      <c r="N240" s="30" t="s">
        <v>48</v>
      </c>
      <c r="O240" s="1" t="n">
        <f aca="false">IF($B240="",0,IF(AND(OR(Filter!$B$5="(alle)",$N240=Filter!$B$5),OR(Filter!$E$5="(alle)",$K240=Filter!$E$5),OR(Filter!$H$5="(alle)",$C240=Filter!$H$5),OR(Filter!$B$7="(alle)",$E240=Filter!$B$7),OR(Filter!$E$7="(alle)",ISNUMBER(SEARCH(Filter!$E$7,$J240))),OR(Filter!$H$7="(alle)",ISNUMBER(SEARCH(Filter!$H$7,$I240))),OR(Filter!$B$9="",ISNUMBER(SEARCH(Filter!$B$9,$F240&amp;" "&amp;$G240)))),COUNTIF($O$6:$O239,"&gt;0")+1,0))</f>
        <v>234</v>
      </c>
    </row>
    <row r="241" customFormat="false" ht="127.5" hidden="false" customHeight="true" outlineLevel="0" collapsed="false">
      <c r="B241" s="30" t="s">
        <v>1269</v>
      </c>
      <c r="C241" s="30" t="s">
        <v>286</v>
      </c>
      <c r="D241" s="30" t="s">
        <v>1270</v>
      </c>
      <c r="E241" s="30" t="s">
        <v>210</v>
      </c>
      <c r="F241" s="30" t="s">
        <v>1271</v>
      </c>
      <c r="G241" s="30" t="s">
        <v>1272</v>
      </c>
      <c r="H241" s="30" t="s">
        <v>1273</v>
      </c>
      <c r="I241" s="30" t="s">
        <v>158</v>
      </c>
      <c r="J241" s="30" t="s">
        <v>159</v>
      </c>
      <c r="K241" s="31" t="s">
        <v>47</v>
      </c>
      <c r="L241" s="32"/>
      <c r="M241" s="30"/>
      <c r="N241" s="30" t="s">
        <v>48</v>
      </c>
      <c r="O241" s="1" t="n">
        <f aca="false">IF($B241="",0,IF(AND(OR(Filter!$B$5="(alle)",$N241=Filter!$B$5),OR(Filter!$E$5="(alle)",$K241=Filter!$E$5),OR(Filter!$H$5="(alle)",$C241=Filter!$H$5),OR(Filter!$B$7="(alle)",$E241=Filter!$B$7),OR(Filter!$E$7="(alle)",ISNUMBER(SEARCH(Filter!$E$7,$J241))),OR(Filter!$H$7="(alle)",ISNUMBER(SEARCH(Filter!$H$7,$I241))),OR(Filter!$B$9="",ISNUMBER(SEARCH(Filter!$B$9,$F241&amp;" "&amp;$G241)))),COUNTIF($O$6:$O240,"&gt;0")+1,0))</f>
        <v>235</v>
      </c>
    </row>
    <row r="242" customFormat="false" ht="229.5" hidden="false" customHeight="true" outlineLevel="0" collapsed="false">
      <c r="B242" s="30" t="s">
        <v>1274</v>
      </c>
      <c r="C242" s="30" t="s">
        <v>286</v>
      </c>
      <c r="D242" s="30" t="s">
        <v>1275</v>
      </c>
      <c r="E242" s="30" t="s">
        <v>42</v>
      </c>
      <c r="F242" s="30" t="s">
        <v>1276</v>
      </c>
      <c r="G242" s="30" t="s">
        <v>1277</v>
      </c>
      <c r="H242" s="30" t="s">
        <v>1278</v>
      </c>
      <c r="I242" s="30" t="s">
        <v>45</v>
      </c>
      <c r="J242" s="30" t="s">
        <v>46</v>
      </c>
      <c r="K242" s="31" t="s">
        <v>47</v>
      </c>
      <c r="L242" s="32"/>
      <c r="M242" s="30"/>
      <c r="N242" s="30" t="s">
        <v>48</v>
      </c>
      <c r="O242" s="1" t="n">
        <f aca="false">IF($B242="",0,IF(AND(OR(Filter!$B$5="(alle)",$N242=Filter!$B$5),OR(Filter!$E$5="(alle)",$K242=Filter!$E$5),OR(Filter!$H$5="(alle)",$C242=Filter!$H$5),OR(Filter!$B$7="(alle)",$E242=Filter!$B$7),OR(Filter!$E$7="(alle)",ISNUMBER(SEARCH(Filter!$E$7,$J242))),OR(Filter!$H$7="(alle)",ISNUMBER(SEARCH(Filter!$H$7,$I242))),OR(Filter!$B$9="",ISNUMBER(SEARCH(Filter!$B$9,$F242&amp;" "&amp;$G242)))),COUNTIF($O$6:$O241,"&gt;0")+1,0))</f>
        <v>236</v>
      </c>
    </row>
    <row r="243" customFormat="false" ht="76.5" hidden="false" customHeight="true" outlineLevel="0" collapsed="false">
      <c r="B243" s="30" t="s">
        <v>1279</v>
      </c>
      <c r="C243" s="30" t="s">
        <v>286</v>
      </c>
      <c r="D243" s="30" t="s">
        <v>1280</v>
      </c>
      <c r="E243" s="30" t="s">
        <v>361</v>
      </c>
      <c r="F243" s="30" t="s">
        <v>1281</v>
      </c>
      <c r="G243" s="30" t="s">
        <v>1282</v>
      </c>
      <c r="H243" s="30" t="s">
        <v>1283</v>
      </c>
      <c r="I243" s="30" t="s">
        <v>306</v>
      </c>
      <c r="J243" s="30" t="s">
        <v>206</v>
      </c>
      <c r="K243" s="31" t="s">
        <v>47</v>
      </c>
      <c r="L243" s="32"/>
      <c r="M243" s="30"/>
      <c r="N243" s="30" t="s">
        <v>48</v>
      </c>
      <c r="O243" s="1" t="n">
        <f aca="false">IF($B243="",0,IF(AND(OR(Filter!$B$5="(alle)",$N243=Filter!$B$5),OR(Filter!$E$5="(alle)",$K243=Filter!$E$5),OR(Filter!$H$5="(alle)",$C243=Filter!$H$5),OR(Filter!$B$7="(alle)",$E243=Filter!$B$7),OR(Filter!$E$7="(alle)",ISNUMBER(SEARCH(Filter!$E$7,$J243))),OR(Filter!$H$7="(alle)",ISNUMBER(SEARCH(Filter!$H$7,$I243))),OR(Filter!$B$9="",ISNUMBER(SEARCH(Filter!$B$9,$F243&amp;" "&amp;$G243)))),COUNTIF($O$6:$O242,"&gt;0")+1,0))</f>
        <v>237</v>
      </c>
    </row>
    <row r="244" customFormat="false" ht="89.25" hidden="false" customHeight="true" outlineLevel="0" collapsed="false">
      <c r="B244" s="30" t="s">
        <v>1284</v>
      </c>
      <c r="C244" s="30" t="s">
        <v>286</v>
      </c>
      <c r="D244" s="30" t="s">
        <v>1285</v>
      </c>
      <c r="E244" s="30" t="s">
        <v>42</v>
      </c>
      <c r="F244" s="30" t="s">
        <v>1286</v>
      </c>
      <c r="G244" s="30" t="s">
        <v>1287</v>
      </c>
      <c r="H244" s="30" t="s">
        <v>1288</v>
      </c>
      <c r="I244" s="30" t="s">
        <v>464</v>
      </c>
      <c r="J244" s="30" t="s">
        <v>767</v>
      </c>
      <c r="K244" s="31" t="s">
        <v>47</v>
      </c>
      <c r="L244" s="32"/>
      <c r="M244" s="30"/>
      <c r="N244" s="30" t="s">
        <v>48</v>
      </c>
      <c r="O244" s="1" t="n">
        <f aca="false">IF($B244="",0,IF(AND(OR(Filter!$B$5="(alle)",$N244=Filter!$B$5),OR(Filter!$E$5="(alle)",$K244=Filter!$E$5),OR(Filter!$H$5="(alle)",$C244=Filter!$H$5),OR(Filter!$B$7="(alle)",$E244=Filter!$B$7),OR(Filter!$E$7="(alle)",ISNUMBER(SEARCH(Filter!$E$7,$J244))),OR(Filter!$H$7="(alle)",ISNUMBER(SEARCH(Filter!$H$7,$I244))),OR(Filter!$B$9="",ISNUMBER(SEARCH(Filter!$B$9,$F244&amp;" "&amp;$G244)))),COUNTIF($O$6:$O243,"&gt;0")+1,0))</f>
        <v>238</v>
      </c>
    </row>
    <row r="245" customFormat="false" ht="51" hidden="false" customHeight="true" outlineLevel="0" collapsed="false">
      <c r="B245" s="30" t="s">
        <v>1289</v>
      </c>
      <c r="C245" s="30" t="s">
        <v>286</v>
      </c>
      <c r="D245" s="30" t="s">
        <v>1290</v>
      </c>
      <c r="E245" s="30" t="s">
        <v>361</v>
      </c>
      <c r="F245" s="30" t="s">
        <v>1291</v>
      </c>
      <c r="G245" s="30" t="s">
        <v>1292</v>
      </c>
      <c r="H245" s="30" t="s">
        <v>1293</v>
      </c>
      <c r="I245" s="30" t="s">
        <v>306</v>
      </c>
      <c r="J245" s="30" t="s">
        <v>206</v>
      </c>
      <c r="K245" s="31" t="s">
        <v>47</v>
      </c>
      <c r="L245" s="32"/>
      <c r="M245" s="30"/>
      <c r="N245" s="30" t="s">
        <v>48</v>
      </c>
      <c r="O245" s="1" t="n">
        <f aca="false">IF($B245="",0,IF(AND(OR(Filter!$B$5="(alle)",$N245=Filter!$B$5),OR(Filter!$E$5="(alle)",$K245=Filter!$E$5),OR(Filter!$H$5="(alle)",$C245=Filter!$H$5),OR(Filter!$B$7="(alle)",$E245=Filter!$B$7),OR(Filter!$E$7="(alle)",ISNUMBER(SEARCH(Filter!$E$7,$J245))),OR(Filter!$H$7="(alle)",ISNUMBER(SEARCH(Filter!$H$7,$I245))),OR(Filter!$B$9="",ISNUMBER(SEARCH(Filter!$B$9,$F245&amp;" "&amp;$G245)))),COUNTIF($O$6:$O244,"&gt;0")+1,0))</f>
        <v>239</v>
      </c>
    </row>
    <row r="246" customFormat="false" ht="114.75" hidden="false" customHeight="true" outlineLevel="0" collapsed="false">
      <c r="B246" s="30" t="s">
        <v>1294</v>
      </c>
      <c r="C246" s="30" t="s">
        <v>286</v>
      </c>
      <c r="D246" s="30" t="s">
        <v>1295</v>
      </c>
      <c r="E246" s="30" t="s">
        <v>361</v>
      </c>
      <c r="F246" s="30" t="s">
        <v>1296</v>
      </c>
      <c r="G246" s="30" t="s">
        <v>1297</v>
      </c>
      <c r="H246" s="30" t="s">
        <v>1298</v>
      </c>
      <c r="I246" s="30" t="s">
        <v>306</v>
      </c>
      <c r="J246" s="30" t="s">
        <v>206</v>
      </c>
      <c r="K246" s="31" t="s">
        <v>47</v>
      </c>
      <c r="L246" s="32"/>
      <c r="M246" s="30"/>
      <c r="N246" s="30" t="s">
        <v>48</v>
      </c>
      <c r="O246" s="1" t="n">
        <f aca="false">IF($B246="",0,IF(AND(OR(Filter!$B$5="(alle)",$N246=Filter!$B$5),OR(Filter!$E$5="(alle)",$K246=Filter!$E$5),OR(Filter!$H$5="(alle)",$C246=Filter!$H$5),OR(Filter!$B$7="(alle)",$E246=Filter!$B$7),OR(Filter!$E$7="(alle)",ISNUMBER(SEARCH(Filter!$E$7,$J246))),OR(Filter!$H$7="(alle)",ISNUMBER(SEARCH(Filter!$H$7,$I246))),OR(Filter!$B$9="",ISNUMBER(SEARCH(Filter!$B$9,$F246&amp;" "&amp;$G246)))),COUNTIF($O$6:$O245,"&gt;0")+1,0))</f>
        <v>240</v>
      </c>
    </row>
    <row r="247" customFormat="false" ht="63.75" hidden="false" customHeight="true" outlineLevel="0" collapsed="false">
      <c r="B247" s="30" t="s">
        <v>1299</v>
      </c>
      <c r="C247" s="30" t="s">
        <v>286</v>
      </c>
      <c r="D247" s="30" t="s">
        <v>1300</v>
      </c>
      <c r="E247" s="30" t="s">
        <v>155</v>
      </c>
      <c r="F247" s="30" t="s">
        <v>1301</v>
      </c>
      <c r="G247" s="30" t="s">
        <v>1302</v>
      </c>
      <c r="H247" s="30" t="s">
        <v>1303</v>
      </c>
      <c r="I247" s="30" t="s">
        <v>45</v>
      </c>
      <c r="J247" s="30" t="s">
        <v>274</v>
      </c>
      <c r="K247" s="31" t="s">
        <v>47</v>
      </c>
      <c r="L247" s="32"/>
      <c r="M247" s="30"/>
      <c r="N247" s="30" t="s">
        <v>48</v>
      </c>
      <c r="O247" s="1" t="n">
        <f aca="false">IF($B247="",0,IF(AND(OR(Filter!$B$5="(alle)",$N247=Filter!$B$5),OR(Filter!$E$5="(alle)",$K247=Filter!$E$5),OR(Filter!$H$5="(alle)",$C247=Filter!$H$5),OR(Filter!$B$7="(alle)",$E247=Filter!$B$7),OR(Filter!$E$7="(alle)",ISNUMBER(SEARCH(Filter!$E$7,$J247))),OR(Filter!$H$7="(alle)",ISNUMBER(SEARCH(Filter!$H$7,$I247))),OR(Filter!$B$9="",ISNUMBER(SEARCH(Filter!$B$9,$F247&amp;" "&amp;$G247)))),COUNTIF($O$6:$O246,"&gt;0")+1,0))</f>
        <v>241</v>
      </c>
    </row>
    <row r="248" customFormat="false" ht="51" hidden="false" customHeight="true" outlineLevel="0" collapsed="false">
      <c r="B248" s="30" t="s">
        <v>1304</v>
      </c>
      <c r="C248" s="30" t="s">
        <v>286</v>
      </c>
      <c r="D248" s="30" t="s">
        <v>1305</v>
      </c>
      <c r="E248" s="30" t="s">
        <v>94</v>
      </c>
      <c r="F248" s="30" t="s">
        <v>1306</v>
      </c>
      <c r="G248" s="30" t="s">
        <v>1307</v>
      </c>
      <c r="H248" s="30" t="s">
        <v>1308</v>
      </c>
      <c r="I248" s="30" t="s">
        <v>45</v>
      </c>
      <c r="J248" s="30" t="s">
        <v>265</v>
      </c>
      <c r="K248" s="31" t="s">
        <v>47</v>
      </c>
      <c r="L248" s="32"/>
      <c r="M248" s="30"/>
      <c r="N248" s="30" t="s">
        <v>48</v>
      </c>
      <c r="O248" s="1" t="n">
        <f aca="false">IF($B248="",0,IF(AND(OR(Filter!$B$5="(alle)",$N248=Filter!$B$5),OR(Filter!$E$5="(alle)",$K248=Filter!$E$5),OR(Filter!$H$5="(alle)",$C248=Filter!$H$5),OR(Filter!$B$7="(alle)",$E248=Filter!$B$7),OR(Filter!$E$7="(alle)",ISNUMBER(SEARCH(Filter!$E$7,$J248))),OR(Filter!$H$7="(alle)",ISNUMBER(SEARCH(Filter!$H$7,$I248))),OR(Filter!$B$9="",ISNUMBER(SEARCH(Filter!$B$9,$F248&amp;" "&amp;$G248)))),COUNTIF($O$6:$O247,"&gt;0")+1,0))</f>
        <v>242</v>
      </c>
    </row>
    <row r="249" customFormat="false" ht="89.25" hidden="false" customHeight="true" outlineLevel="0" collapsed="false">
      <c r="B249" s="30" t="s">
        <v>1309</v>
      </c>
      <c r="C249" s="30" t="s">
        <v>286</v>
      </c>
      <c r="D249" s="30" t="s">
        <v>1310</v>
      </c>
      <c r="E249" s="30" t="s">
        <v>331</v>
      </c>
      <c r="F249" s="30" t="s">
        <v>1311</v>
      </c>
      <c r="G249" s="30" t="s">
        <v>1312</v>
      </c>
      <c r="H249" s="30" t="s">
        <v>1313</v>
      </c>
      <c r="I249" s="30" t="s">
        <v>306</v>
      </c>
      <c r="J249" s="30" t="s">
        <v>206</v>
      </c>
      <c r="K249" s="31" t="s">
        <v>151</v>
      </c>
      <c r="L249" s="32"/>
      <c r="M249" s="30" t="s">
        <v>370</v>
      </c>
      <c r="N249" s="30" t="s">
        <v>48</v>
      </c>
      <c r="O249" s="1" t="n">
        <f aca="false">IF($B249="",0,IF(AND(OR(Filter!$B$5="(alle)",$N249=Filter!$B$5),OR(Filter!$E$5="(alle)",$K249=Filter!$E$5),OR(Filter!$H$5="(alle)",$C249=Filter!$H$5),OR(Filter!$B$7="(alle)",$E249=Filter!$B$7),OR(Filter!$E$7="(alle)",ISNUMBER(SEARCH(Filter!$E$7,$J249))),OR(Filter!$H$7="(alle)",ISNUMBER(SEARCH(Filter!$H$7,$I249))),OR(Filter!$B$9="",ISNUMBER(SEARCH(Filter!$B$9,$F249&amp;" "&amp;$G249)))),COUNTIF($O$6:$O248,"&gt;0")+1,0))</f>
        <v>243</v>
      </c>
    </row>
    <row r="250" customFormat="false" ht="76.5" hidden="false" customHeight="true" outlineLevel="0" collapsed="false">
      <c r="B250" s="30" t="s">
        <v>1314</v>
      </c>
      <c r="C250" s="30" t="s">
        <v>286</v>
      </c>
      <c r="D250" s="30" t="s">
        <v>1315</v>
      </c>
      <c r="E250" s="30" t="s">
        <v>604</v>
      </c>
      <c r="F250" s="30" t="s">
        <v>1316</v>
      </c>
      <c r="G250" s="30" t="s">
        <v>1317</v>
      </c>
      <c r="H250" s="30" t="s">
        <v>1318</v>
      </c>
      <c r="I250" s="30" t="s">
        <v>158</v>
      </c>
      <c r="J250" s="30" t="s">
        <v>159</v>
      </c>
      <c r="K250" s="31" t="s">
        <v>47</v>
      </c>
      <c r="L250" s="32"/>
      <c r="M250" s="30"/>
      <c r="N250" s="30" t="s">
        <v>48</v>
      </c>
      <c r="O250" s="1" t="n">
        <f aca="false">IF($B250="",0,IF(AND(OR(Filter!$B$5="(alle)",$N250=Filter!$B$5),OR(Filter!$E$5="(alle)",$K250=Filter!$E$5),OR(Filter!$H$5="(alle)",$C250=Filter!$H$5),OR(Filter!$B$7="(alle)",$E250=Filter!$B$7),OR(Filter!$E$7="(alle)",ISNUMBER(SEARCH(Filter!$E$7,$J250))),OR(Filter!$H$7="(alle)",ISNUMBER(SEARCH(Filter!$H$7,$I250))),OR(Filter!$B$9="",ISNUMBER(SEARCH(Filter!$B$9,$F250&amp;" "&amp;$G250)))),COUNTIF($O$6:$O249,"&gt;0")+1,0))</f>
        <v>244</v>
      </c>
    </row>
    <row r="251" customFormat="false" ht="63.75" hidden="false" customHeight="true" outlineLevel="0" collapsed="false">
      <c r="B251" s="30" t="s">
        <v>1319</v>
      </c>
      <c r="C251" s="30" t="s">
        <v>286</v>
      </c>
      <c r="D251" s="30" t="s">
        <v>1320</v>
      </c>
      <c r="E251" s="30" t="s">
        <v>210</v>
      </c>
      <c r="F251" s="30" t="s">
        <v>1321</v>
      </c>
      <c r="G251" s="30" t="s">
        <v>1322</v>
      </c>
      <c r="H251" s="30" t="s">
        <v>1323</v>
      </c>
      <c r="I251" s="30" t="s">
        <v>306</v>
      </c>
      <c r="J251" s="30" t="s">
        <v>206</v>
      </c>
      <c r="K251" s="31" t="s">
        <v>47</v>
      </c>
      <c r="L251" s="32"/>
      <c r="M251" s="30"/>
      <c r="N251" s="30" t="s">
        <v>48</v>
      </c>
      <c r="O251" s="1" t="n">
        <f aca="false">IF($B251="",0,IF(AND(OR(Filter!$B$5="(alle)",$N251=Filter!$B$5),OR(Filter!$E$5="(alle)",$K251=Filter!$E$5),OR(Filter!$H$5="(alle)",$C251=Filter!$H$5),OR(Filter!$B$7="(alle)",$E251=Filter!$B$7),OR(Filter!$E$7="(alle)",ISNUMBER(SEARCH(Filter!$E$7,$J251))),OR(Filter!$H$7="(alle)",ISNUMBER(SEARCH(Filter!$H$7,$I251))),OR(Filter!$B$9="",ISNUMBER(SEARCH(Filter!$B$9,$F251&amp;" "&amp;$G251)))),COUNTIF($O$6:$O250,"&gt;0")+1,0))</f>
        <v>245</v>
      </c>
    </row>
    <row r="252" customFormat="false" ht="114.75" hidden="false" customHeight="true" outlineLevel="0" collapsed="false">
      <c r="B252" s="30" t="s">
        <v>1324</v>
      </c>
      <c r="C252" s="30" t="s">
        <v>286</v>
      </c>
      <c r="D252" s="30" t="s">
        <v>1325</v>
      </c>
      <c r="E252" s="30" t="s">
        <v>355</v>
      </c>
      <c r="F252" s="30" t="s">
        <v>1326</v>
      </c>
      <c r="G252" s="30" t="s">
        <v>1327</v>
      </c>
      <c r="H252" s="30" t="s">
        <v>1328</v>
      </c>
      <c r="I252" s="30" t="s">
        <v>158</v>
      </c>
      <c r="J252" s="30" t="s">
        <v>159</v>
      </c>
      <c r="K252" s="31" t="s">
        <v>47</v>
      </c>
      <c r="L252" s="32"/>
      <c r="M252" s="30"/>
      <c r="N252" s="30" t="s">
        <v>48</v>
      </c>
      <c r="O252" s="1" t="n">
        <f aca="false">IF($B252="",0,IF(AND(OR(Filter!$B$5="(alle)",$N252=Filter!$B$5),OR(Filter!$E$5="(alle)",$K252=Filter!$E$5),OR(Filter!$H$5="(alle)",$C252=Filter!$H$5),OR(Filter!$B$7="(alle)",$E252=Filter!$B$7),OR(Filter!$E$7="(alle)",ISNUMBER(SEARCH(Filter!$E$7,$J252))),OR(Filter!$H$7="(alle)",ISNUMBER(SEARCH(Filter!$H$7,$I252))),OR(Filter!$B$9="",ISNUMBER(SEARCH(Filter!$B$9,$F252&amp;" "&amp;$G252)))),COUNTIF($O$6:$O251,"&gt;0")+1,0))</f>
        <v>246</v>
      </c>
    </row>
    <row r="253" customFormat="false" ht="102" hidden="false" customHeight="true" outlineLevel="0" collapsed="false">
      <c r="B253" s="30" t="s">
        <v>1329</v>
      </c>
      <c r="C253" s="30" t="s">
        <v>286</v>
      </c>
      <c r="D253" s="30" t="s">
        <v>1330</v>
      </c>
      <c r="E253" s="30" t="s">
        <v>355</v>
      </c>
      <c r="F253" s="30" t="s">
        <v>1331</v>
      </c>
      <c r="G253" s="30" t="s">
        <v>1332</v>
      </c>
      <c r="H253" s="30" t="s">
        <v>1333</v>
      </c>
      <c r="I253" s="30" t="s">
        <v>306</v>
      </c>
      <c r="J253" s="30" t="s">
        <v>206</v>
      </c>
      <c r="K253" s="31" t="s">
        <v>47</v>
      </c>
      <c r="L253" s="32"/>
      <c r="M253" s="30"/>
      <c r="N253" s="30" t="s">
        <v>48</v>
      </c>
      <c r="O253" s="1" t="n">
        <f aca="false">IF($B253="",0,IF(AND(OR(Filter!$B$5="(alle)",$N253=Filter!$B$5),OR(Filter!$E$5="(alle)",$K253=Filter!$E$5),OR(Filter!$H$5="(alle)",$C253=Filter!$H$5),OR(Filter!$B$7="(alle)",$E253=Filter!$B$7),OR(Filter!$E$7="(alle)",ISNUMBER(SEARCH(Filter!$E$7,$J253))),OR(Filter!$H$7="(alle)",ISNUMBER(SEARCH(Filter!$H$7,$I253))),OR(Filter!$B$9="",ISNUMBER(SEARCH(Filter!$B$9,$F253&amp;" "&amp;$G253)))),COUNTIF($O$6:$O252,"&gt;0")+1,0))</f>
        <v>247</v>
      </c>
    </row>
    <row r="254" customFormat="false" ht="51" hidden="false" customHeight="true" outlineLevel="0" collapsed="false">
      <c r="B254" s="30" t="s">
        <v>1334</v>
      </c>
      <c r="C254" s="30" t="s">
        <v>286</v>
      </c>
      <c r="D254" s="30" t="s">
        <v>1335</v>
      </c>
      <c r="E254" s="30" t="s">
        <v>361</v>
      </c>
      <c r="F254" s="30" t="s">
        <v>1336</v>
      </c>
      <c r="G254" s="30" t="s">
        <v>1337</v>
      </c>
      <c r="H254" s="30" t="s">
        <v>1338</v>
      </c>
      <c r="I254" s="30" t="s">
        <v>306</v>
      </c>
      <c r="J254" s="30" t="s">
        <v>206</v>
      </c>
      <c r="K254" s="31" t="s">
        <v>47</v>
      </c>
      <c r="L254" s="32"/>
      <c r="M254" s="30"/>
      <c r="N254" s="30" t="s">
        <v>48</v>
      </c>
      <c r="O254" s="1" t="n">
        <f aca="false">IF($B254="",0,IF(AND(OR(Filter!$B$5="(alle)",$N254=Filter!$B$5),OR(Filter!$E$5="(alle)",$K254=Filter!$E$5),OR(Filter!$H$5="(alle)",$C254=Filter!$H$5),OR(Filter!$B$7="(alle)",$E254=Filter!$B$7),OR(Filter!$E$7="(alle)",ISNUMBER(SEARCH(Filter!$E$7,$J254))),OR(Filter!$H$7="(alle)",ISNUMBER(SEARCH(Filter!$H$7,$I254))),OR(Filter!$B$9="",ISNUMBER(SEARCH(Filter!$B$9,$F254&amp;" "&amp;$G254)))),COUNTIF($O$6:$O253,"&gt;0")+1,0))</f>
        <v>248</v>
      </c>
    </row>
    <row r="255" customFormat="false" ht="76.5" hidden="false" customHeight="true" outlineLevel="0" collapsed="false">
      <c r="B255" s="30" t="s">
        <v>1339</v>
      </c>
      <c r="C255" s="30" t="s">
        <v>286</v>
      </c>
      <c r="D255" s="30" t="s">
        <v>1340</v>
      </c>
      <c r="E255" s="30" t="s">
        <v>331</v>
      </c>
      <c r="F255" s="30" t="s">
        <v>1341</v>
      </c>
      <c r="G255" s="30" t="s">
        <v>1342</v>
      </c>
      <c r="H255" s="30" t="s">
        <v>1343</v>
      </c>
      <c r="I255" s="30" t="s">
        <v>306</v>
      </c>
      <c r="J255" s="30" t="s">
        <v>206</v>
      </c>
      <c r="K255" s="31" t="s">
        <v>151</v>
      </c>
      <c r="L255" s="32"/>
      <c r="M255" s="30" t="s">
        <v>370</v>
      </c>
      <c r="N255" s="30" t="s">
        <v>48</v>
      </c>
      <c r="O255" s="1" t="n">
        <f aca="false">IF($B255="",0,IF(AND(OR(Filter!$B$5="(alle)",$N255=Filter!$B$5),OR(Filter!$E$5="(alle)",$K255=Filter!$E$5),OR(Filter!$H$5="(alle)",$C255=Filter!$H$5),OR(Filter!$B$7="(alle)",$E255=Filter!$B$7),OR(Filter!$E$7="(alle)",ISNUMBER(SEARCH(Filter!$E$7,$J255))),OR(Filter!$H$7="(alle)",ISNUMBER(SEARCH(Filter!$H$7,$I255))),OR(Filter!$B$9="",ISNUMBER(SEARCH(Filter!$B$9,$F255&amp;" "&amp;$G255)))),COUNTIF($O$6:$O254,"&gt;0")+1,0))</f>
        <v>249</v>
      </c>
    </row>
    <row r="256" customFormat="false" ht="165.75" hidden="false" customHeight="true" outlineLevel="0" collapsed="false">
      <c r="B256" s="30" t="s">
        <v>1344</v>
      </c>
      <c r="C256" s="30" t="s">
        <v>286</v>
      </c>
      <c r="D256" s="30" t="s">
        <v>1345</v>
      </c>
      <c r="E256" s="30" t="s">
        <v>94</v>
      </c>
      <c r="F256" s="30" t="s">
        <v>1346</v>
      </c>
      <c r="G256" s="30" t="s">
        <v>1347</v>
      </c>
      <c r="H256" s="30" t="s">
        <v>1348</v>
      </c>
      <c r="I256" s="30" t="s">
        <v>45</v>
      </c>
      <c r="J256" s="30" t="s">
        <v>265</v>
      </c>
      <c r="K256" s="31" t="s">
        <v>47</v>
      </c>
      <c r="L256" s="32"/>
      <c r="M256" s="30"/>
      <c r="N256" s="30" t="s">
        <v>48</v>
      </c>
      <c r="O256" s="1" t="n">
        <f aca="false">IF($B256="",0,IF(AND(OR(Filter!$B$5="(alle)",$N256=Filter!$B$5),OR(Filter!$E$5="(alle)",$K256=Filter!$E$5),OR(Filter!$H$5="(alle)",$C256=Filter!$H$5),OR(Filter!$B$7="(alle)",$E256=Filter!$B$7),OR(Filter!$E$7="(alle)",ISNUMBER(SEARCH(Filter!$E$7,$J256))),OR(Filter!$H$7="(alle)",ISNUMBER(SEARCH(Filter!$H$7,$I256))),OR(Filter!$B$9="",ISNUMBER(SEARCH(Filter!$B$9,$F256&amp;" "&amp;$G256)))),COUNTIF($O$6:$O255,"&gt;0")+1,0))</f>
        <v>250</v>
      </c>
    </row>
    <row r="257" customFormat="false" ht="63.75" hidden="false" customHeight="true" outlineLevel="0" collapsed="false">
      <c r="B257" s="30" t="s">
        <v>1349</v>
      </c>
      <c r="C257" s="30" t="s">
        <v>286</v>
      </c>
      <c r="D257" s="30" t="s">
        <v>1350</v>
      </c>
      <c r="E257" s="30" t="s">
        <v>42</v>
      </c>
      <c r="F257" s="30" t="s">
        <v>1351</v>
      </c>
      <c r="G257" s="30" t="s">
        <v>1352</v>
      </c>
      <c r="H257" s="30" t="s">
        <v>1353</v>
      </c>
      <c r="I257" s="30" t="s">
        <v>98</v>
      </c>
      <c r="J257" s="30" t="s">
        <v>1354</v>
      </c>
      <c r="K257" s="31" t="s">
        <v>47</v>
      </c>
      <c r="L257" s="32"/>
      <c r="M257" s="30"/>
      <c r="N257" s="30" t="s">
        <v>65</v>
      </c>
      <c r="O257" s="1" t="n">
        <f aca="false">IF($B257="",0,IF(AND(OR(Filter!$B$5="(alle)",$N257=Filter!$B$5),OR(Filter!$E$5="(alle)",$K257=Filter!$E$5),OR(Filter!$H$5="(alle)",$C257=Filter!$H$5),OR(Filter!$B$7="(alle)",$E257=Filter!$B$7),OR(Filter!$E$7="(alle)",ISNUMBER(SEARCH(Filter!$E$7,$J257))),OR(Filter!$H$7="(alle)",ISNUMBER(SEARCH(Filter!$H$7,$I257))),OR(Filter!$B$9="",ISNUMBER(SEARCH(Filter!$B$9,$F257&amp;" "&amp;$G257)))),COUNTIF($O$6:$O256,"&gt;0")+1,0))</f>
        <v>251</v>
      </c>
    </row>
    <row r="258" customFormat="false" ht="140.25" hidden="false" customHeight="true" outlineLevel="0" collapsed="false">
      <c r="B258" s="30" t="s">
        <v>1355</v>
      </c>
      <c r="C258" s="30" t="s">
        <v>286</v>
      </c>
      <c r="D258" s="30" t="s">
        <v>1356</v>
      </c>
      <c r="E258" s="30" t="s">
        <v>331</v>
      </c>
      <c r="F258" s="30" t="s">
        <v>1357</v>
      </c>
      <c r="G258" s="30" t="s">
        <v>1358</v>
      </c>
      <c r="H258" s="30" t="s">
        <v>1359</v>
      </c>
      <c r="I258" s="30" t="s">
        <v>306</v>
      </c>
      <c r="J258" s="30" t="s">
        <v>206</v>
      </c>
      <c r="K258" s="31" t="s">
        <v>151</v>
      </c>
      <c r="L258" s="32"/>
      <c r="M258" s="30" t="s">
        <v>370</v>
      </c>
      <c r="N258" s="30" t="s">
        <v>48</v>
      </c>
      <c r="O258" s="1" t="n">
        <f aca="false">IF($B258="",0,IF(AND(OR(Filter!$B$5="(alle)",$N258=Filter!$B$5),OR(Filter!$E$5="(alle)",$K258=Filter!$E$5),OR(Filter!$H$5="(alle)",$C258=Filter!$H$5),OR(Filter!$B$7="(alle)",$E258=Filter!$B$7),OR(Filter!$E$7="(alle)",ISNUMBER(SEARCH(Filter!$E$7,$J258))),OR(Filter!$H$7="(alle)",ISNUMBER(SEARCH(Filter!$H$7,$I258))),OR(Filter!$B$9="",ISNUMBER(SEARCH(Filter!$B$9,$F258&amp;" "&amp;$G258)))),COUNTIF($O$6:$O257,"&gt;0")+1,0))</f>
        <v>252</v>
      </c>
    </row>
    <row r="259" customFormat="false" ht="102" hidden="false" customHeight="true" outlineLevel="0" collapsed="false">
      <c r="B259" s="30" t="s">
        <v>1360</v>
      </c>
      <c r="C259" s="30" t="s">
        <v>286</v>
      </c>
      <c r="D259" s="30" t="s">
        <v>1361</v>
      </c>
      <c r="E259" s="30" t="s">
        <v>344</v>
      </c>
      <c r="F259" s="30" t="s">
        <v>1362</v>
      </c>
      <c r="G259" s="30" t="s">
        <v>1363</v>
      </c>
      <c r="H259" s="30" t="s">
        <v>1364</v>
      </c>
      <c r="I259" s="30" t="s">
        <v>306</v>
      </c>
      <c r="J259" s="30" t="s">
        <v>206</v>
      </c>
      <c r="K259" s="31" t="s">
        <v>47</v>
      </c>
      <c r="L259" s="32"/>
      <c r="M259" s="30"/>
      <c r="N259" s="30" t="s">
        <v>48</v>
      </c>
      <c r="O259" s="1" t="n">
        <f aca="false">IF($B259="",0,IF(AND(OR(Filter!$B$5="(alle)",$N259=Filter!$B$5),OR(Filter!$E$5="(alle)",$K259=Filter!$E$5),OR(Filter!$H$5="(alle)",$C259=Filter!$H$5),OR(Filter!$B$7="(alle)",$E259=Filter!$B$7),OR(Filter!$E$7="(alle)",ISNUMBER(SEARCH(Filter!$E$7,$J259))),OR(Filter!$H$7="(alle)",ISNUMBER(SEARCH(Filter!$H$7,$I259))),OR(Filter!$B$9="",ISNUMBER(SEARCH(Filter!$B$9,$F259&amp;" "&amp;$G259)))),COUNTIF($O$6:$O258,"&gt;0")+1,0))</f>
        <v>253</v>
      </c>
    </row>
    <row r="260" customFormat="false" ht="204" hidden="false" customHeight="true" outlineLevel="0" collapsed="false">
      <c r="B260" s="30" t="s">
        <v>1365</v>
      </c>
      <c r="C260" s="30" t="s">
        <v>286</v>
      </c>
      <c r="D260" s="30" t="s">
        <v>1366</v>
      </c>
      <c r="E260" s="30" t="s">
        <v>604</v>
      </c>
      <c r="F260" s="30" t="s">
        <v>1367</v>
      </c>
      <c r="G260" s="30" t="s">
        <v>1368</v>
      </c>
      <c r="H260" s="30" t="s">
        <v>1369</v>
      </c>
      <c r="I260" s="30" t="s">
        <v>158</v>
      </c>
      <c r="J260" s="30" t="s">
        <v>159</v>
      </c>
      <c r="K260" s="31" t="s">
        <v>47</v>
      </c>
      <c r="L260" s="32"/>
      <c r="M260" s="30"/>
      <c r="N260" s="30" t="s">
        <v>48</v>
      </c>
      <c r="O260" s="1" t="n">
        <f aca="false">IF($B260="",0,IF(AND(OR(Filter!$B$5="(alle)",$N260=Filter!$B$5),OR(Filter!$E$5="(alle)",$K260=Filter!$E$5),OR(Filter!$H$5="(alle)",$C260=Filter!$H$5),OR(Filter!$B$7="(alle)",$E260=Filter!$B$7),OR(Filter!$E$7="(alle)",ISNUMBER(SEARCH(Filter!$E$7,$J260))),OR(Filter!$H$7="(alle)",ISNUMBER(SEARCH(Filter!$H$7,$I260))),OR(Filter!$B$9="",ISNUMBER(SEARCH(Filter!$B$9,$F260&amp;" "&amp;$G260)))),COUNTIF($O$6:$O259,"&gt;0")+1,0))</f>
        <v>254</v>
      </c>
    </row>
    <row r="261" customFormat="false" ht="140.25" hidden="false" customHeight="true" outlineLevel="0" collapsed="false">
      <c r="B261" s="30" t="s">
        <v>1370</v>
      </c>
      <c r="C261" s="30" t="s">
        <v>286</v>
      </c>
      <c r="D261" s="30" t="s">
        <v>1371</v>
      </c>
      <c r="E261" s="30" t="s">
        <v>604</v>
      </c>
      <c r="F261" s="30" t="s">
        <v>1372</v>
      </c>
      <c r="G261" s="30" t="s">
        <v>1373</v>
      </c>
      <c r="H261" s="30" t="s">
        <v>1374</v>
      </c>
      <c r="I261" s="30" t="s">
        <v>476</v>
      </c>
      <c r="J261" s="30" t="s">
        <v>476</v>
      </c>
      <c r="K261" s="31" t="s">
        <v>47</v>
      </c>
      <c r="L261" s="32"/>
      <c r="M261" s="30"/>
      <c r="N261" s="30" t="s">
        <v>48</v>
      </c>
      <c r="O261" s="1" t="n">
        <f aca="false">IF($B261="",0,IF(AND(OR(Filter!$B$5="(alle)",$N261=Filter!$B$5),OR(Filter!$E$5="(alle)",$K261=Filter!$E$5),OR(Filter!$H$5="(alle)",$C261=Filter!$H$5),OR(Filter!$B$7="(alle)",$E261=Filter!$B$7),OR(Filter!$E$7="(alle)",ISNUMBER(SEARCH(Filter!$E$7,$J261))),OR(Filter!$H$7="(alle)",ISNUMBER(SEARCH(Filter!$H$7,$I261))),OR(Filter!$B$9="",ISNUMBER(SEARCH(Filter!$B$9,$F261&amp;" "&amp;$G261)))),COUNTIF($O$6:$O260,"&gt;0")+1,0))</f>
        <v>255</v>
      </c>
    </row>
    <row r="262" customFormat="false" ht="318.75" hidden="false" customHeight="true" outlineLevel="0" collapsed="false">
      <c r="B262" s="30" t="s">
        <v>1375</v>
      </c>
      <c r="C262" s="30" t="s">
        <v>286</v>
      </c>
      <c r="D262" s="30" t="s">
        <v>1376</v>
      </c>
      <c r="E262" s="30" t="s">
        <v>344</v>
      </c>
      <c r="F262" s="30" t="s">
        <v>1377</v>
      </c>
      <c r="G262" s="30" t="s">
        <v>1378</v>
      </c>
      <c r="H262" s="30" t="s">
        <v>1379</v>
      </c>
      <c r="I262" s="30" t="s">
        <v>306</v>
      </c>
      <c r="J262" s="30" t="s">
        <v>206</v>
      </c>
      <c r="K262" s="31" t="s">
        <v>47</v>
      </c>
      <c r="L262" s="32"/>
      <c r="M262" s="30"/>
      <c r="N262" s="30" t="s">
        <v>48</v>
      </c>
      <c r="O262" s="1" t="n">
        <f aca="false">IF($B262="",0,IF(AND(OR(Filter!$B$5="(alle)",$N262=Filter!$B$5),OR(Filter!$E$5="(alle)",$K262=Filter!$E$5),OR(Filter!$H$5="(alle)",$C262=Filter!$H$5),OR(Filter!$B$7="(alle)",$E262=Filter!$B$7),OR(Filter!$E$7="(alle)",ISNUMBER(SEARCH(Filter!$E$7,$J262))),OR(Filter!$H$7="(alle)",ISNUMBER(SEARCH(Filter!$H$7,$I262))),OR(Filter!$B$9="",ISNUMBER(SEARCH(Filter!$B$9,$F262&amp;" "&amp;$G262)))),COUNTIF($O$6:$O261,"&gt;0")+1,0))</f>
        <v>256</v>
      </c>
    </row>
    <row r="263" customFormat="false" ht="127.5" hidden="false" customHeight="true" outlineLevel="0" collapsed="false">
      <c r="B263" s="30" t="s">
        <v>1380</v>
      </c>
      <c r="C263" s="30" t="s">
        <v>286</v>
      </c>
      <c r="D263" s="30" t="s">
        <v>1381</v>
      </c>
      <c r="E263" s="30" t="s">
        <v>42</v>
      </c>
      <c r="F263" s="30" t="s">
        <v>1382</v>
      </c>
      <c r="G263" s="30" t="s">
        <v>1383</v>
      </c>
      <c r="H263" s="30" t="s">
        <v>1384</v>
      </c>
      <c r="I263" s="30" t="s">
        <v>45</v>
      </c>
      <c r="J263" s="30" t="s">
        <v>46</v>
      </c>
      <c r="K263" s="31" t="s">
        <v>47</v>
      </c>
      <c r="L263" s="32"/>
      <c r="M263" s="30"/>
      <c r="N263" s="30" t="s">
        <v>48</v>
      </c>
      <c r="O263" s="1" t="n">
        <f aca="false">IF($B263="",0,IF(AND(OR(Filter!$B$5="(alle)",$N263=Filter!$B$5),OR(Filter!$E$5="(alle)",$K263=Filter!$E$5),OR(Filter!$H$5="(alle)",$C263=Filter!$H$5),OR(Filter!$B$7="(alle)",$E263=Filter!$B$7),OR(Filter!$E$7="(alle)",ISNUMBER(SEARCH(Filter!$E$7,$J263))),OR(Filter!$H$7="(alle)",ISNUMBER(SEARCH(Filter!$H$7,$I263))),OR(Filter!$B$9="",ISNUMBER(SEARCH(Filter!$B$9,$F263&amp;" "&amp;$G263)))),COUNTIF($O$6:$O262,"&gt;0")+1,0))</f>
        <v>257</v>
      </c>
    </row>
    <row r="264" customFormat="false" ht="89.25" hidden="false" customHeight="true" outlineLevel="0" collapsed="false">
      <c r="B264" s="30" t="s">
        <v>1385</v>
      </c>
      <c r="C264" s="30" t="s">
        <v>286</v>
      </c>
      <c r="D264" s="30" t="s">
        <v>1386</v>
      </c>
      <c r="E264" s="30" t="s">
        <v>42</v>
      </c>
      <c r="F264" s="30" t="s">
        <v>1387</v>
      </c>
      <c r="G264" s="30" t="s">
        <v>1388</v>
      </c>
      <c r="H264" s="30" t="s">
        <v>1389</v>
      </c>
      <c r="I264" s="30" t="s">
        <v>45</v>
      </c>
      <c r="J264" s="30" t="s">
        <v>1390</v>
      </c>
      <c r="K264" s="31" t="s">
        <v>47</v>
      </c>
      <c r="L264" s="32"/>
      <c r="M264" s="30"/>
      <c r="N264" s="30" t="s">
        <v>48</v>
      </c>
      <c r="O264" s="1" t="n">
        <f aca="false">IF($B264="",0,IF(AND(OR(Filter!$B$5="(alle)",$N264=Filter!$B$5),OR(Filter!$E$5="(alle)",$K264=Filter!$E$5),OR(Filter!$H$5="(alle)",$C264=Filter!$H$5),OR(Filter!$B$7="(alle)",$E264=Filter!$B$7),OR(Filter!$E$7="(alle)",ISNUMBER(SEARCH(Filter!$E$7,$J264))),OR(Filter!$H$7="(alle)",ISNUMBER(SEARCH(Filter!$H$7,$I264))),OR(Filter!$B$9="",ISNUMBER(SEARCH(Filter!$B$9,$F264&amp;" "&amp;$G264)))),COUNTIF($O$6:$O263,"&gt;0")+1,0))</f>
        <v>258</v>
      </c>
    </row>
    <row r="265" customFormat="false" ht="140.25" hidden="false" customHeight="true" outlineLevel="0" collapsed="false">
      <c r="B265" s="30" t="s">
        <v>1391</v>
      </c>
      <c r="C265" s="30" t="s">
        <v>286</v>
      </c>
      <c r="D265" s="30" t="s">
        <v>1392</v>
      </c>
      <c r="E265" s="30" t="s">
        <v>155</v>
      </c>
      <c r="F265" s="30" t="s">
        <v>1393</v>
      </c>
      <c r="G265" s="30" t="s">
        <v>1394</v>
      </c>
      <c r="H265" s="30" t="s">
        <v>1395</v>
      </c>
      <c r="I265" s="30" t="s">
        <v>476</v>
      </c>
      <c r="J265" s="30" t="s">
        <v>476</v>
      </c>
      <c r="K265" s="31" t="s">
        <v>47</v>
      </c>
      <c r="L265" s="32"/>
      <c r="M265" s="30"/>
      <c r="N265" s="30" t="s">
        <v>48</v>
      </c>
      <c r="O265" s="1" t="n">
        <f aca="false">IF($B265="",0,IF(AND(OR(Filter!$B$5="(alle)",$N265=Filter!$B$5),OR(Filter!$E$5="(alle)",$K265=Filter!$E$5),OR(Filter!$H$5="(alle)",$C265=Filter!$H$5),OR(Filter!$B$7="(alle)",$E265=Filter!$B$7),OR(Filter!$E$7="(alle)",ISNUMBER(SEARCH(Filter!$E$7,$J265))),OR(Filter!$H$7="(alle)",ISNUMBER(SEARCH(Filter!$H$7,$I265))),OR(Filter!$B$9="",ISNUMBER(SEARCH(Filter!$B$9,$F265&amp;" "&amp;$G265)))),COUNTIF($O$6:$O264,"&gt;0")+1,0))</f>
        <v>259</v>
      </c>
    </row>
    <row r="266" customFormat="false" ht="89.25" hidden="false" customHeight="true" outlineLevel="0" collapsed="false">
      <c r="B266" s="30" t="s">
        <v>1396</v>
      </c>
      <c r="C266" s="30" t="s">
        <v>286</v>
      </c>
      <c r="D266" s="30" t="s">
        <v>1397</v>
      </c>
      <c r="E266" s="30" t="s">
        <v>361</v>
      </c>
      <c r="F266" s="30" t="s">
        <v>1398</v>
      </c>
      <c r="G266" s="30" t="s">
        <v>1399</v>
      </c>
      <c r="H266" s="30" t="s">
        <v>1400</v>
      </c>
      <c r="I266" s="30" t="s">
        <v>306</v>
      </c>
      <c r="J266" s="30" t="s">
        <v>206</v>
      </c>
      <c r="K266" s="31" t="s">
        <v>47</v>
      </c>
      <c r="L266" s="32"/>
      <c r="M266" s="30"/>
      <c r="N266" s="30" t="s">
        <v>48</v>
      </c>
      <c r="O266" s="1" t="n">
        <f aca="false">IF($B266="",0,IF(AND(OR(Filter!$B$5="(alle)",$N266=Filter!$B$5),OR(Filter!$E$5="(alle)",$K266=Filter!$E$5),OR(Filter!$H$5="(alle)",$C266=Filter!$H$5),OR(Filter!$B$7="(alle)",$E266=Filter!$B$7),OR(Filter!$E$7="(alle)",ISNUMBER(SEARCH(Filter!$E$7,$J266))),OR(Filter!$H$7="(alle)",ISNUMBER(SEARCH(Filter!$H$7,$I266))),OR(Filter!$B$9="",ISNUMBER(SEARCH(Filter!$B$9,$F266&amp;" "&amp;$G266)))),COUNTIF($O$6:$O265,"&gt;0")+1,0))</f>
        <v>260</v>
      </c>
    </row>
    <row r="267" customFormat="false" ht="38.25" hidden="false" customHeight="true" outlineLevel="0" collapsed="false">
      <c r="B267" s="30" t="s">
        <v>1401</v>
      </c>
      <c r="C267" s="30" t="s">
        <v>286</v>
      </c>
      <c r="D267" s="30" t="s">
        <v>1402</v>
      </c>
      <c r="E267" s="30" t="s">
        <v>361</v>
      </c>
      <c r="F267" s="30" t="s">
        <v>1403</v>
      </c>
      <c r="G267" s="30" t="s">
        <v>1404</v>
      </c>
      <c r="H267" s="30" t="s">
        <v>1405</v>
      </c>
      <c r="I267" s="30" t="s">
        <v>306</v>
      </c>
      <c r="J267" s="30" t="s">
        <v>206</v>
      </c>
      <c r="K267" s="31" t="s">
        <v>151</v>
      </c>
      <c r="L267" s="32"/>
      <c r="M267" s="30" t="s">
        <v>1406</v>
      </c>
      <c r="N267" s="30" t="s">
        <v>48</v>
      </c>
      <c r="O267" s="1" t="n">
        <f aca="false">IF($B267="",0,IF(AND(OR(Filter!$B$5="(alle)",$N267=Filter!$B$5),OR(Filter!$E$5="(alle)",$K267=Filter!$E$5),OR(Filter!$H$5="(alle)",$C267=Filter!$H$5),OR(Filter!$B$7="(alle)",$E267=Filter!$B$7),OR(Filter!$E$7="(alle)",ISNUMBER(SEARCH(Filter!$E$7,$J267))),OR(Filter!$H$7="(alle)",ISNUMBER(SEARCH(Filter!$H$7,$I267))),OR(Filter!$B$9="",ISNUMBER(SEARCH(Filter!$B$9,$F267&amp;" "&amp;$G267)))),COUNTIF($O$6:$O266,"&gt;0")+1,0))</f>
        <v>261</v>
      </c>
    </row>
    <row r="268" customFormat="false" ht="76.5" hidden="false" customHeight="true" outlineLevel="0" collapsed="false">
      <c r="B268" s="30" t="s">
        <v>1407</v>
      </c>
      <c r="C268" s="30" t="s">
        <v>286</v>
      </c>
      <c r="D268" s="30" t="s">
        <v>1408</v>
      </c>
      <c r="E268" s="30" t="s">
        <v>155</v>
      </c>
      <c r="F268" s="30" t="s">
        <v>1409</v>
      </c>
      <c r="G268" s="30" t="s">
        <v>1410</v>
      </c>
      <c r="H268" s="30" t="s">
        <v>1411</v>
      </c>
      <c r="I268" s="30" t="s">
        <v>476</v>
      </c>
      <c r="J268" s="30" t="s">
        <v>476</v>
      </c>
      <c r="K268" s="31" t="s">
        <v>47</v>
      </c>
      <c r="L268" s="32"/>
      <c r="M268" s="30"/>
      <c r="N268" s="30" t="s">
        <v>48</v>
      </c>
      <c r="O268" s="1" t="n">
        <f aca="false">IF($B268="",0,IF(AND(OR(Filter!$B$5="(alle)",$N268=Filter!$B$5),OR(Filter!$E$5="(alle)",$K268=Filter!$E$5),OR(Filter!$H$5="(alle)",$C268=Filter!$H$5),OR(Filter!$B$7="(alle)",$E268=Filter!$B$7),OR(Filter!$E$7="(alle)",ISNUMBER(SEARCH(Filter!$E$7,$J268))),OR(Filter!$H$7="(alle)",ISNUMBER(SEARCH(Filter!$H$7,$I268))),OR(Filter!$B$9="",ISNUMBER(SEARCH(Filter!$B$9,$F268&amp;" "&amp;$G268)))),COUNTIF($O$6:$O267,"&gt;0")+1,0))</f>
        <v>262</v>
      </c>
    </row>
    <row r="269" customFormat="false" ht="229.5" hidden="false" customHeight="true" outlineLevel="0" collapsed="false">
      <c r="B269" s="30" t="s">
        <v>1412</v>
      </c>
      <c r="C269" s="30" t="s">
        <v>286</v>
      </c>
      <c r="D269" s="30" t="s">
        <v>1413</v>
      </c>
      <c r="E269" s="30" t="s">
        <v>361</v>
      </c>
      <c r="F269" s="30" t="s">
        <v>1414</v>
      </c>
      <c r="G269" s="30" t="s">
        <v>1415</v>
      </c>
      <c r="H269" s="30" t="s">
        <v>1416</v>
      </c>
      <c r="I269" s="30" t="s">
        <v>306</v>
      </c>
      <c r="J269" s="30" t="s">
        <v>206</v>
      </c>
      <c r="K269" s="31" t="s">
        <v>47</v>
      </c>
      <c r="L269" s="32"/>
      <c r="M269" s="30"/>
      <c r="N269" s="30" t="s">
        <v>48</v>
      </c>
      <c r="O269" s="1" t="n">
        <f aca="false">IF($B269="",0,IF(AND(OR(Filter!$B$5="(alle)",$N269=Filter!$B$5),OR(Filter!$E$5="(alle)",$K269=Filter!$E$5),OR(Filter!$H$5="(alle)",$C269=Filter!$H$5),OR(Filter!$B$7="(alle)",$E269=Filter!$B$7),OR(Filter!$E$7="(alle)",ISNUMBER(SEARCH(Filter!$E$7,$J269))),OR(Filter!$H$7="(alle)",ISNUMBER(SEARCH(Filter!$H$7,$I269))),OR(Filter!$B$9="",ISNUMBER(SEARCH(Filter!$B$9,$F269&amp;" "&amp;$G269)))),COUNTIF($O$6:$O268,"&gt;0")+1,0))</f>
        <v>263</v>
      </c>
    </row>
    <row r="270" customFormat="false" ht="114.75" hidden="false" customHeight="true" outlineLevel="0" collapsed="false">
      <c r="B270" s="30" t="s">
        <v>1417</v>
      </c>
      <c r="C270" s="30" t="s">
        <v>286</v>
      </c>
      <c r="D270" s="30" t="s">
        <v>1418</v>
      </c>
      <c r="E270" s="30" t="s">
        <v>361</v>
      </c>
      <c r="F270" s="30" t="s">
        <v>1419</v>
      </c>
      <c r="G270" s="30" t="s">
        <v>1420</v>
      </c>
      <c r="H270" s="30" t="s">
        <v>1421</v>
      </c>
      <c r="I270" s="30" t="s">
        <v>306</v>
      </c>
      <c r="J270" s="30" t="s">
        <v>206</v>
      </c>
      <c r="K270" s="31" t="s">
        <v>47</v>
      </c>
      <c r="L270" s="32"/>
      <c r="M270" s="30"/>
      <c r="N270" s="30" t="s">
        <v>48</v>
      </c>
      <c r="O270" s="1" t="n">
        <f aca="false">IF($B270="",0,IF(AND(OR(Filter!$B$5="(alle)",$N270=Filter!$B$5),OR(Filter!$E$5="(alle)",$K270=Filter!$E$5),OR(Filter!$H$5="(alle)",$C270=Filter!$H$5),OR(Filter!$B$7="(alle)",$E270=Filter!$B$7),OR(Filter!$E$7="(alle)",ISNUMBER(SEARCH(Filter!$E$7,$J270))),OR(Filter!$H$7="(alle)",ISNUMBER(SEARCH(Filter!$H$7,$I270))),OR(Filter!$B$9="",ISNUMBER(SEARCH(Filter!$B$9,$F270&amp;" "&amp;$G270)))),COUNTIF($O$6:$O269,"&gt;0")+1,0))</f>
        <v>264</v>
      </c>
    </row>
    <row r="271" customFormat="false" ht="89.25" hidden="false" customHeight="true" outlineLevel="0" collapsed="false">
      <c r="B271" s="30" t="s">
        <v>1422</v>
      </c>
      <c r="C271" s="30" t="s">
        <v>286</v>
      </c>
      <c r="D271" s="30" t="s">
        <v>1423</v>
      </c>
      <c r="E271" s="30" t="s">
        <v>604</v>
      </c>
      <c r="F271" s="30" t="s">
        <v>1424</v>
      </c>
      <c r="G271" s="30" t="s">
        <v>1425</v>
      </c>
      <c r="H271" s="30" t="s">
        <v>1426</v>
      </c>
      <c r="I271" s="30" t="s">
        <v>476</v>
      </c>
      <c r="J271" s="30" t="s">
        <v>476</v>
      </c>
      <c r="K271" s="31" t="s">
        <v>47</v>
      </c>
      <c r="L271" s="32"/>
      <c r="M271" s="30"/>
      <c r="N271" s="30" t="s">
        <v>48</v>
      </c>
      <c r="O271" s="1" t="n">
        <f aca="false">IF($B271="",0,IF(AND(OR(Filter!$B$5="(alle)",$N271=Filter!$B$5),OR(Filter!$E$5="(alle)",$K271=Filter!$E$5),OR(Filter!$H$5="(alle)",$C271=Filter!$H$5),OR(Filter!$B$7="(alle)",$E271=Filter!$B$7),OR(Filter!$E$7="(alle)",ISNUMBER(SEARCH(Filter!$E$7,$J271))),OR(Filter!$H$7="(alle)",ISNUMBER(SEARCH(Filter!$H$7,$I271))),OR(Filter!$B$9="",ISNUMBER(SEARCH(Filter!$B$9,$F271&amp;" "&amp;$G271)))),COUNTIF($O$6:$O270,"&gt;0")+1,0))</f>
        <v>265</v>
      </c>
    </row>
    <row r="272" customFormat="false" ht="76.5" hidden="false" customHeight="true" outlineLevel="0" collapsed="false">
      <c r="B272" s="30" t="s">
        <v>1427</v>
      </c>
      <c r="C272" s="30" t="s">
        <v>286</v>
      </c>
      <c r="D272" s="30" t="s">
        <v>1428</v>
      </c>
      <c r="E272" s="30" t="s">
        <v>361</v>
      </c>
      <c r="F272" s="30" t="s">
        <v>1429</v>
      </c>
      <c r="G272" s="30" t="s">
        <v>1430</v>
      </c>
      <c r="H272" s="30" t="s">
        <v>1431</v>
      </c>
      <c r="I272" s="30" t="s">
        <v>158</v>
      </c>
      <c r="J272" s="30" t="s">
        <v>159</v>
      </c>
      <c r="K272" s="31" t="s">
        <v>47</v>
      </c>
      <c r="L272" s="32"/>
      <c r="M272" s="30"/>
      <c r="N272" s="30" t="s">
        <v>48</v>
      </c>
      <c r="O272" s="1" t="n">
        <f aca="false">IF($B272="",0,IF(AND(OR(Filter!$B$5="(alle)",$N272=Filter!$B$5),OR(Filter!$E$5="(alle)",$K272=Filter!$E$5),OR(Filter!$H$5="(alle)",$C272=Filter!$H$5),OR(Filter!$B$7="(alle)",$E272=Filter!$B$7),OR(Filter!$E$7="(alle)",ISNUMBER(SEARCH(Filter!$E$7,$J272))),OR(Filter!$H$7="(alle)",ISNUMBER(SEARCH(Filter!$H$7,$I272))),OR(Filter!$B$9="",ISNUMBER(SEARCH(Filter!$B$9,$F272&amp;" "&amp;$G272)))),COUNTIF($O$6:$O271,"&gt;0")+1,0))</f>
        <v>266</v>
      </c>
    </row>
    <row r="273" customFormat="false" ht="153" hidden="false" customHeight="true" outlineLevel="0" collapsed="false">
      <c r="B273" s="30" t="s">
        <v>1432</v>
      </c>
      <c r="C273" s="30" t="s">
        <v>286</v>
      </c>
      <c r="D273" s="30" t="s">
        <v>1433</v>
      </c>
      <c r="E273" s="30" t="s">
        <v>604</v>
      </c>
      <c r="F273" s="30" t="s">
        <v>1434</v>
      </c>
      <c r="G273" s="30" t="s">
        <v>1435</v>
      </c>
      <c r="H273" s="30" t="s">
        <v>1436</v>
      </c>
      <c r="I273" s="30" t="s">
        <v>158</v>
      </c>
      <c r="J273" s="30" t="s">
        <v>159</v>
      </c>
      <c r="K273" s="31" t="s">
        <v>47</v>
      </c>
      <c r="L273" s="32"/>
      <c r="M273" s="30"/>
      <c r="N273" s="30" t="s">
        <v>48</v>
      </c>
      <c r="O273" s="1" t="n">
        <f aca="false">IF($B273="",0,IF(AND(OR(Filter!$B$5="(alle)",$N273=Filter!$B$5),OR(Filter!$E$5="(alle)",$K273=Filter!$E$5),OR(Filter!$H$5="(alle)",$C273=Filter!$H$5),OR(Filter!$B$7="(alle)",$E273=Filter!$B$7),OR(Filter!$E$7="(alle)",ISNUMBER(SEARCH(Filter!$E$7,$J273))),OR(Filter!$H$7="(alle)",ISNUMBER(SEARCH(Filter!$H$7,$I273))),OR(Filter!$B$9="",ISNUMBER(SEARCH(Filter!$B$9,$F273&amp;" "&amp;$G273)))),COUNTIF($O$6:$O272,"&gt;0")+1,0))</f>
        <v>267</v>
      </c>
    </row>
    <row r="274" customFormat="false" ht="127.5" hidden="false" customHeight="true" outlineLevel="0" collapsed="false">
      <c r="B274" s="30" t="s">
        <v>1437</v>
      </c>
      <c r="C274" s="30" t="s">
        <v>286</v>
      </c>
      <c r="D274" s="30" t="s">
        <v>1438</v>
      </c>
      <c r="E274" s="30" t="s">
        <v>361</v>
      </c>
      <c r="F274" s="30" t="s">
        <v>1439</v>
      </c>
      <c r="G274" s="30" t="s">
        <v>1440</v>
      </c>
      <c r="H274" s="30" t="s">
        <v>1441</v>
      </c>
      <c r="I274" s="30" t="s">
        <v>306</v>
      </c>
      <c r="J274" s="30" t="s">
        <v>206</v>
      </c>
      <c r="K274" s="31" t="s">
        <v>47</v>
      </c>
      <c r="L274" s="32"/>
      <c r="M274" s="30"/>
      <c r="N274" s="30" t="s">
        <v>48</v>
      </c>
      <c r="O274" s="1" t="n">
        <f aca="false">IF($B274="",0,IF(AND(OR(Filter!$B$5="(alle)",$N274=Filter!$B$5),OR(Filter!$E$5="(alle)",$K274=Filter!$E$5),OR(Filter!$H$5="(alle)",$C274=Filter!$H$5),OR(Filter!$B$7="(alle)",$E274=Filter!$B$7),OR(Filter!$E$7="(alle)",ISNUMBER(SEARCH(Filter!$E$7,$J274))),OR(Filter!$H$7="(alle)",ISNUMBER(SEARCH(Filter!$H$7,$I274))),OR(Filter!$B$9="",ISNUMBER(SEARCH(Filter!$B$9,$F274&amp;" "&amp;$G274)))),COUNTIF($O$6:$O273,"&gt;0")+1,0))</f>
        <v>268</v>
      </c>
    </row>
    <row r="275" customFormat="false" ht="89.25" hidden="false" customHeight="true" outlineLevel="0" collapsed="false">
      <c r="B275" s="30" t="s">
        <v>1442</v>
      </c>
      <c r="C275" s="30" t="s">
        <v>286</v>
      </c>
      <c r="D275" s="30" t="s">
        <v>1443</v>
      </c>
      <c r="E275" s="30" t="s">
        <v>155</v>
      </c>
      <c r="F275" s="30" t="s">
        <v>1444</v>
      </c>
      <c r="G275" s="30" t="s">
        <v>1445</v>
      </c>
      <c r="H275" s="30" t="s">
        <v>1446</v>
      </c>
      <c r="I275" s="30" t="s">
        <v>158</v>
      </c>
      <c r="J275" s="30" t="s">
        <v>159</v>
      </c>
      <c r="K275" s="31" t="s">
        <v>47</v>
      </c>
      <c r="L275" s="32"/>
      <c r="M275" s="30"/>
      <c r="N275" s="30" t="s">
        <v>48</v>
      </c>
      <c r="O275" s="1" t="n">
        <f aca="false">IF($B275="",0,IF(AND(OR(Filter!$B$5="(alle)",$N275=Filter!$B$5),OR(Filter!$E$5="(alle)",$K275=Filter!$E$5),OR(Filter!$H$5="(alle)",$C275=Filter!$H$5),OR(Filter!$B$7="(alle)",$E275=Filter!$B$7),OR(Filter!$E$7="(alle)",ISNUMBER(SEARCH(Filter!$E$7,$J275))),OR(Filter!$H$7="(alle)",ISNUMBER(SEARCH(Filter!$H$7,$I275))),OR(Filter!$B$9="",ISNUMBER(SEARCH(Filter!$B$9,$F275&amp;" "&amp;$G275)))),COUNTIF($O$6:$O274,"&gt;0")+1,0))</f>
        <v>269</v>
      </c>
    </row>
    <row r="276" customFormat="false" ht="76.5" hidden="false" customHeight="true" outlineLevel="0" collapsed="false">
      <c r="B276" s="30" t="s">
        <v>1447</v>
      </c>
      <c r="C276" s="30" t="s">
        <v>286</v>
      </c>
      <c r="D276" s="30" t="s">
        <v>1448</v>
      </c>
      <c r="E276" s="30" t="s">
        <v>604</v>
      </c>
      <c r="F276" s="30" t="s">
        <v>1449</v>
      </c>
      <c r="G276" s="30" t="s">
        <v>1450</v>
      </c>
      <c r="H276" s="30" t="s">
        <v>1451</v>
      </c>
      <c r="I276" s="30" t="s">
        <v>476</v>
      </c>
      <c r="J276" s="30" t="s">
        <v>476</v>
      </c>
      <c r="K276" s="31" t="s">
        <v>47</v>
      </c>
      <c r="L276" s="32"/>
      <c r="M276" s="30"/>
      <c r="N276" s="30" t="s">
        <v>48</v>
      </c>
      <c r="O276" s="1" t="n">
        <f aca="false">IF($B276="",0,IF(AND(OR(Filter!$B$5="(alle)",$N276=Filter!$B$5),OR(Filter!$E$5="(alle)",$K276=Filter!$E$5),OR(Filter!$H$5="(alle)",$C276=Filter!$H$5),OR(Filter!$B$7="(alle)",$E276=Filter!$B$7),OR(Filter!$E$7="(alle)",ISNUMBER(SEARCH(Filter!$E$7,$J276))),OR(Filter!$H$7="(alle)",ISNUMBER(SEARCH(Filter!$H$7,$I276))),OR(Filter!$B$9="",ISNUMBER(SEARCH(Filter!$B$9,$F276&amp;" "&amp;$G276)))),COUNTIF($O$6:$O275,"&gt;0")+1,0))</f>
        <v>270</v>
      </c>
    </row>
    <row r="277" customFormat="false" ht="63.75" hidden="false" customHeight="true" outlineLevel="0" collapsed="false">
      <c r="B277" s="30" t="s">
        <v>1452</v>
      </c>
      <c r="C277" s="30" t="s">
        <v>286</v>
      </c>
      <c r="D277" s="30" t="s">
        <v>1453</v>
      </c>
      <c r="E277" s="30" t="s">
        <v>344</v>
      </c>
      <c r="F277" s="30" t="s">
        <v>1454</v>
      </c>
      <c r="G277" s="30" t="s">
        <v>1455</v>
      </c>
      <c r="H277" s="30" t="s">
        <v>1456</v>
      </c>
      <c r="I277" s="30" t="s">
        <v>306</v>
      </c>
      <c r="J277" s="30" t="s">
        <v>206</v>
      </c>
      <c r="K277" s="31" t="s">
        <v>47</v>
      </c>
      <c r="L277" s="32"/>
      <c r="M277" s="30"/>
      <c r="N277" s="30" t="s">
        <v>48</v>
      </c>
      <c r="O277" s="1" t="n">
        <f aca="false">IF($B277="",0,IF(AND(OR(Filter!$B$5="(alle)",$N277=Filter!$B$5),OR(Filter!$E$5="(alle)",$K277=Filter!$E$5),OR(Filter!$H$5="(alle)",$C277=Filter!$H$5),OR(Filter!$B$7="(alle)",$E277=Filter!$B$7),OR(Filter!$E$7="(alle)",ISNUMBER(SEARCH(Filter!$E$7,$J277))),OR(Filter!$H$7="(alle)",ISNUMBER(SEARCH(Filter!$H$7,$I277))),OR(Filter!$B$9="",ISNUMBER(SEARCH(Filter!$B$9,$F277&amp;" "&amp;$G277)))),COUNTIF($O$6:$O276,"&gt;0")+1,0))</f>
        <v>271</v>
      </c>
    </row>
    <row r="278" customFormat="false" ht="102" hidden="false" customHeight="true" outlineLevel="0" collapsed="false">
      <c r="B278" s="30" t="s">
        <v>1457</v>
      </c>
      <c r="C278" s="30" t="s">
        <v>286</v>
      </c>
      <c r="D278" s="30" t="s">
        <v>1458</v>
      </c>
      <c r="E278" s="30" t="s">
        <v>42</v>
      </c>
      <c r="F278" s="30" t="s">
        <v>1459</v>
      </c>
      <c r="G278" s="30" t="s">
        <v>1460</v>
      </c>
      <c r="H278" s="30" t="s">
        <v>1461</v>
      </c>
      <c r="I278" s="30" t="s">
        <v>45</v>
      </c>
      <c r="J278" s="30" t="s">
        <v>46</v>
      </c>
      <c r="K278" s="31" t="s">
        <v>47</v>
      </c>
      <c r="L278" s="32"/>
      <c r="M278" s="30"/>
      <c r="N278" s="30" t="s">
        <v>48</v>
      </c>
      <c r="O278" s="1" t="n">
        <f aca="false">IF($B278="",0,IF(AND(OR(Filter!$B$5="(alle)",$N278=Filter!$B$5),OR(Filter!$E$5="(alle)",$K278=Filter!$E$5),OR(Filter!$H$5="(alle)",$C278=Filter!$H$5),OR(Filter!$B$7="(alle)",$E278=Filter!$B$7),OR(Filter!$E$7="(alle)",ISNUMBER(SEARCH(Filter!$E$7,$J278))),OR(Filter!$H$7="(alle)",ISNUMBER(SEARCH(Filter!$H$7,$I278))),OR(Filter!$B$9="",ISNUMBER(SEARCH(Filter!$B$9,$F278&amp;" "&amp;$G278)))),COUNTIF($O$6:$O277,"&gt;0")+1,0))</f>
        <v>272</v>
      </c>
    </row>
    <row r="279" customFormat="false" ht="178.5" hidden="false" customHeight="true" outlineLevel="0" collapsed="false">
      <c r="B279" s="30" t="s">
        <v>1462</v>
      </c>
      <c r="C279" s="30" t="s">
        <v>286</v>
      </c>
      <c r="D279" s="30" t="s">
        <v>1463</v>
      </c>
      <c r="E279" s="30" t="s">
        <v>355</v>
      </c>
      <c r="F279" s="30" t="s">
        <v>1464</v>
      </c>
      <c r="G279" s="30" t="s">
        <v>1465</v>
      </c>
      <c r="H279" s="30" t="s">
        <v>1466</v>
      </c>
      <c r="I279" s="30" t="s">
        <v>158</v>
      </c>
      <c r="J279" s="30" t="s">
        <v>159</v>
      </c>
      <c r="K279" s="31" t="s">
        <v>47</v>
      </c>
      <c r="L279" s="32"/>
      <c r="M279" s="30"/>
      <c r="N279" s="30" t="s">
        <v>48</v>
      </c>
      <c r="O279" s="1" t="n">
        <f aca="false">IF($B279="",0,IF(AND(OR(Filter!$B$5="(alle)",$N279=Filter!$B$5),OR(Filter!$E$5="(alle)",$K279=Filter!$E$5),OR(Filter!$H$5="(alle)",$C279=Filter!$H$5),OR(Filter!$B$7="(alle)",$E279=Filter!$B$7),OR(Filter!$E$7="(alle)",ISNUMBER(SEARCH(Filter!$E$7,$J279))),OR(Filter!$H$7="(alle)",ISNUMBER(SEARCH(Filter!$H$7,$I279))),OR(Filter!$B$9="",ISNUMBER(SEARCH(Filter!$B$9,$F279&amp;" "&amp;$G279)))),COUNTIF($O$6:$O278,"&gt;0")+1,0))</f>
        <v>273</v>
      </c>
    </row>
    <row r="280" customFormat="false" ht="76.5" hidden="false" customHeight="true" outlineLevel="0" collapsed="false">
      <c r="B280" s="30" t="s">
        <v>1467</v>
      </c>
      <c r="C280" s="30" t="s">
        <v>286</v>
      </c>
      <c r="D280" s="30" t="s">
        <v>1468</v>
      </c>
      <c r="E280" s="30" t="s">
        <v>210</v>
      </c>
      <c r="F280" s="30" t="s">
        <v>1469</v>
      </c>
      <c r="G280" s="30" t="s">
        <v>1470</v>
      </c>
      <c r="H280" s="30" t="s">
        <v>1471</v>
      </c>
      <c r="I280" s="30" t="s">
        <v>306</v>
      </c>
      <c r="J280" s="30" t="s">
        <v>206</v>
      </c>
      <c r="K280" s="31" t="s">
        <v>47</v>
      </c>
      <c r="L280" s="32"/>
      <c r="M280" s="30"/>
      <c r="N280" s="30" t="s">
        <v>48</v>
      </c>
      <c r="O280" s="1" t="n">
        <f aca="false">IF($B280="",0,IF(AND(OR(Filter!$B$5="(alle)",$N280=Filter!$B$5),OR(Filter!$E$5="(alle)",$K280=Filter!$E$5),OR(Filter!$H$5="(alle)",$C280=Filter!$H$5),OR(Filter!$B$7="(alle)",$E280=Filter!$B$7),OR(Filter!$E$7="(alle)",ISNUMBER(SEARCH(Filter!$E$7,$J280))),OR(Filter!$H$7="(alle)",ISNUMBER(SEARCH(Filter!$H$7,$I280))),OR(Filter!$B$9="",ISNUMBER(SEARCH(Filter!$B$9,$F280&amp;" "&amp;$G280)))),COUNTIF($O$6:$O279,"&gt;0")+1,0))</f>
        <v>274</v>
      </c>
    </row>
    <row r="281" customFormat="false" ht="63.75" hidden="false" customHeight="true" outlineLevel="0" collapsed="false">
      <c r="B281" s="30" t="s">
        <v>1472</v>
      </c>
      <c r="C281" s="30" t="s">
        <v>286</v>
      </c>
      <c r="D281" s="30" t="s">
        <v>1473</v>
      </c>
      <c r="E281" s="30" t="s">
        <v>355</v>
      </c>
      <c r="F281" s="30" t="s">
        <v>1474</v>
      </c>
      <c r="G281" s="30" t="s">
        <v>1475</v>
      </c>
      <c r="H281" s="30" t="s">
        <v>1476</v>
      </c>
      <c r="I281" s="30" t="s">
        <v>306</v>
      </c>
      <c r="J281" s="30" t="s">
        <v>206</v>
      </c>
      <c r="K281" s="31" t="s">
        <v>47</v>
      </c>
      <c r="L281" s="32"/>
      <c r="M281" s="30"/>
      <c r="N281" s="30" t="s">
        <v>48</v>
      </c>
      <c r="O281" s="1" t="n">
        <f aca="false">IF($B281="",0,IF(AND(OR(Filter!$B$5="(alle)",$N281=Filter!$B$5),OR(Filter!$E$5="(alle)",$K281=Filter!$E$5),OR(Filter!$H$5="(alle)",$C281=Filter!$H$5),OR(Filter!$B$7="(alle)",$E281=Filter!$B$7),OR(Filter!$E$7="(alle)",ISNUMBER(SEARCH(Filter!$E$7,$J281))),OR(Filter!$H$7="(alle)",ISNUMBER(SEARCH(Filter!$H$7,$I281))),OR(Filter!$B$9="",ISNUMBER(SEARCH(Filter!$B$9,$F281&amp;" "&amp;$G281)))),COUNTIF($O$6:$O280,"&gt;0")+1,0))</f>
        <v>275</v>
      </c>
    </row>
    <row r="282" customFormat="false" ht="76.5" hidden="false" customHeight="true" outlineLevel="0" collapsed="false">
      <c r="B282" s="30" t="s">
        <v>1477</v>
      </c>
      <c r="C282" s="30" t="s">
        <v>286</v>
      </c>
      <c r="D282" s="30" t="s">
        <v>1478</v>
      </c>
      <c r="E282" s="30" t="s">
        <v>331</v>
      </c>
      <c r="F282" s="30" t="s">
        <v>1479</v>
      </c>
      <c r="G282" s="30" t="s">
        <v>1480</v>
      </c>
      <c r="H282" s="30" t="s">
        <v>1481</v>
      </c>
      <c r="I282" s="30" t="s">
        <v>306</v>
      </c>
      <c r="J282" s="30" t="s">
        <v>206</v>
      </c>
      <c r="K282" s="31" t="s">
        <v>151</v>
      </c>
      <c r="L282" s="32"/>
      <c r="M282" s="30" t="s">
        <v>370</v>
      </c>
      <c r="N282" s="30" t="s">
        <v>48</v>
      </c>
      <c r="O282" s="1" t="n">
        <f aca="false">IF($B282="",0,IF(AND(OR(Filter!$B$5="(alle)",$N282=Filter!$B$5),OR(Filter!$E$5="(alle)",$K282=Filter!$E$5),OR(Filter!$H$5="(alle)",$C282=Filter!$H$5),OR(Filter!$B$7="(alle)",$E282=Filter!$B$7),OR(Filter!$E$7="(alle)",ISNUMBER(SEARCH(Filter!$E$7,$J282))),OR(Filter!$H$7="(alle)",ISNUMBER(SEARCH(Filter!$H$7,$I282))),OR(Filter!$B$9="",ISNUMBER(SEARCH(Filter!$B$9,$F282&amp;" "&amp;$G282)))),COUNTIF($O$6:$O281,"&gt;0")+1,0))</f>
        <v>276</v>
      </c>
    </row>
    <row r="283" customFormat="false" ht="89.25" hidden="false" customHeight="true" outlineLevel="0" collapsed="false">
      <c r="B283" s="30" t="s">
        <v>1482</v>
      </c>
      <c r="C283" s="30" t="s">
        <v>286</v>
      </c>
      <c r="D283" s="30" t="s">
        <v>1483</v>
      </c>
      <c r="E283" s="30" t="s">
        <v>344</v>
      </c>
      <c r="F283" s="30" t="s">
        <v>1484</v>
      </c>
      <c r="G283" s="30" t="s">
        <v>1485</v>
      </c>
      <c r="H283" s="30" t="s">
        <v>1486</v>
      </c>
      <c r="I283" s="30" t="s">
        <v>306</v>
      </c>
      <c r="J283" s="30" t="s">
        <v>206</v>
      </c>
      <c r="K283" s="31" t="s">
        <v>47</v>
      </c>
      <c r="L283" s="32"/>
      <c r="M283" s="30"/>
      <c r="N283" s="30" t="s">
        <v>48</v>
      </c>
      <c r="O283" s="1" t="n">
        <f aca="false">IF($B283="",0,IF(AND(OR(Filter!$B$5="(alle)",$N283=Filter!$B$5),OR(Filter!$E$5="(alle)",$K283=Filter!$E$5),OR(Filter!$H$5="(alle)",$C283=Filter!$H$5),OR(Filter!$B$7="(alle)",$E283=Filter!$B$7),OR(Filter!$E$7="(alle)",ISNUMBER(SEARCH(Filter!$E$7,$J283))),OR(Filter!$H$7="(alle)",ISNUMBER(SEARCH(Filter!$H$7,$I283))),OR(Filter!$B$9="",ISNUMBER(SEARCH(Filter!$B$9,$F283&amp;" "&amp;$G283)))),COUNTIF($O$6:$O282,"&gt;0")+1,0))</f>
        <v>277</v>
      </c>
    </row>
    <row r="284" customFormat="false" ht="114.75" hidden="false" customHeight="true" outlineLevel="0" collapsed="false">
      <c r="B284" s="30" t="s">
        <v>1487</v>
      </c>
      <c r="C284" s="30" t="s">
        <v>286</v>
      </c>
      <c r="D284" s="30" t="s">
        <v>1488</v>
      </c>
      <c r="E284" s="30" t="s">
        <v>210</v>
      </c>
      <c r="F284" s="30" t="s">
        <v>1489</v>
      </c>
      <c r="G284" s="30" t="s">
        <v>1490</v>
      </c>
      <c r="H284" s="30" t="s">
        <v>1491</v>
      </c>
      <c r="I284" s="30" t="s">
        <v>306</v>
      </c>
      <c r="J284" s="30" t="s">
        <v>206</v>
      </c>
      <c r="K284" s="31" t="s">
        <v>47</v>
      </c>
      <c r="L284" s="32"/>
      <c r="M284" s="30"/>
      <c r="N284" s="30" t="s">
        <v>48</v>
      </c>
      <c r="O284" s="1" t="n">
        <f aca="false">IF($B284="",0,IF(AND(OR(Filter!$B$5="(alle)",$N284=Filter!$B$5),OR(Filter!$E$5="(alle)",$K284=Filter!$E$5),OR(Filter!$H$5="(alle)",$C284=Filter!$H$5),OR(Filter!$B$7="(alle)",$E284=Filter!$B$7),OR(Filter!$E$7="(alle)",ISNUMBER(SEARCH(Filter!$E$7,$J284))),OR(Filter!$H$7="(alle)",ISNUMBER(SEARCH(Filter!$H$7,$I284))),OR(Filter!$B$9="",ISNUMBER(SEARCH(Filter!$B$9,$F284&amp;" "&amp;$G284)))),COUNTIF($O$6:$O283,"&gt;0")+1,0))</f>
        <v>278</v>
      </c>
    </row>
    <row r="285" customFormat="false" ht="127.5" hidden="false" customHeight="true" outlineLevel="0" collapsed="false">
      <c r="B285" s="30" t="s">
        <v>1492</v>
      </c>
      <c r="C285" s="30" t="s">
        <v>286</v>
      </c>
      <c r="D285" s="30" t="s">
        <v>1493</v>
      </c>
      <c r="E285" s="30" t="s">
        <v>361</v>
      </c>
      <c r="F285" s="30" t="s">
        <v>1494</v>
      </c>
      <c r="G285" s="30" t="s">
        <v>1495</v>
      </c>
      <c r="H285" s="30" t="s">
        <v>1496</v>
      </c>
      <c r="I285" s="30" t="s">
        <v>158</v>
      </c>
      <c r="J285" s="30" t="s">
        <v>159</v>
      </c>
      <c r="K285" s="31" t="s">
        <v>47</v>
      </c>
      <c r="L285" s="32"/>
      <c r="M285" s="30"/>
      <c r="N285" s="30" t="s">
        <v>48</v>
      </c>
      <c r="O285" s="1" t="n">
        <f aca="false">IF($B285="",0,IF(AND(OR(Filter!$B$5="(alle)",$N285=Filter!$B$5),OR(Filter!$E$5="(alle)",$K285=Filter!$E$5),OR(Filter!$H$5="(alle)",$C285=Filter!$H$5),OR(Filter!$B$7="(alle)",$E285=Filter!$B$7),OR(Filter!$E$7="(alle)",ISNUMBER(SEARCH(Filter!$E$7,$J285))),OR(Filter!$H$7="(alle)",ISNUMBER(SEARCH(Filter!$H$7,$I285))),OR(Filter!$B$9="",ISNUMBER(SEARCH(Filter!$B$9,$F285&amp;" "&amp;$G285)))),COUNTIF($O$6:$O284,"&gt;0")+1,0))</f>
        <v>279</v>
      </c>
    </row>
    <row r="286" customFormat="false" ht="204" hidden="false" customHeight="true" outlineLevel="0" collapsed="false">
      <c r="B286" s="30" t="s">
        <v>1497</v>
      </c>
      <c r="C286" s="30" t="s">
        <v>286</v>
      </c>
      <c r="D286" s="30" t="s">
        <v>1498</v>
      </c>
      <c r="E286" s="30" t="s">
        <v>155</v>
      </c>
      <c r="F286" s="30" t="s">
        <v>1499</v>
      </c>
      <c r="G286" s="30" t="s">
        <v>1500</v>
      </c>
      <c r="H286" s="30" t="s">
        <v>1501</v>
      </c>
      <c r="I286" s="30" t="s">
        <v>476</v>
      </c>
      <c r="J286" s="30" t="s">
        <v>476</v>
      </c>
      <c r="K286" s="31" t="s">
        <v>47</v>
      </c>
      <c r="L286" s="32"/>
      <c r="M286" s="30"/>
      <c r="N286" s="30" t="s">
        <v>48</v>
      </c>
      <c r="O286" s="1" t="n">
        <f aca="false">IF($B286="",0,IF(AND(OR(Filter!$B$5="(alle)",$N286=Filter!$B$5),OR(Filter!$E$5="(alle)",$K286=Filter!$E$5),OR(Filter!$H$5="(alle)",$C286=Filter!$H$5),OR(Filter!$B$7="(alle)",$E286=Filter!$B$7),OR(Filter!$E$7="(alle)",ISNUMBER(SEARCH(Filter!$E$7,$J286))),OR(Filter!$H$7="(alle)",ISNUMBER(SEARCH(Filter!$H$7,$I286))),OR(Filter!$B$9="",ISNUMBER(SEARCH(Filter!$B$9,$F286&amp;" "&amp;$G286)))),COUNTIF($O$6:$O285,"&gt;0")+1,0))</f>
        <v>280</v>
      </c>
    </row>
    <row r="287" customFormat="false" ht="89.25" hidden="false" customHeight="true" outlineLevel="0" collapsed="false">
      <c r="B287" s="30" t="s">
        <v>1502</v>
      </c>
      <c r="C287" s="30" t="s">
        <v>286</v>
      </c>
      <c r="D287" s="30" t="s">
        <v>1503</v>
      </c>
      <c r="E287" s="30" t="s">
        <v>344</v>
      </c>
      <c r="F287" s="30" t="s">
        <v>1504</v>
      </c>
      <c r="G287" s="30" t="s">
        <v>1505</v>
      </c>
      <c r="H287" s="30" t="s">
        <v>1506</v>
      </c>
      <c r="I287" s="30" t="s">
        <v>306</v>
      </c>
      <c r="J287" s="30" t="s">
        <v>206</v>
      </c>
      <c r="K287" s="31" t="s">
        <v>47</v>
      </c>
      <c r="L287" s="32"/>
      <c r="M287" s="30"/>
      <c r="N287" s="30" t="s">
        <v>48</v>
      </c>
      <c r="O287" s="1" t="n">
        <f aca="false">IF($B287="",0,IF(AND(OR(Filter!$B$5="(alle)",$N287=Filter!$B$5),OR(Filter!$E$5="(alle)",$K287=Filter!$E$5),OR(Filter!$H$5="(alle)",$C287=Filter!$H$5),OR(Filter!$B$7="(alle)",$E287=Filter!$B$7),OR(Filter!$E$7="(alle)",ISNUMBER(SEARCH(Filter!$E$7,$J287))),OR(Filter!$H$7="(alle)",ISNUMBER(SEARCH(Filter!$H$7,$I287))),OR(Filter!$B$9="",ISNUMBER(SEARCH(Filter!$B$9,$F287&amp;" "&amp;$G287)))),COUNTIF($O$6:$O286,"&gt;0")+1,0))</f>
        <v>281</v>
      </c>
    </row>
    <row r="288" customFormat="false" ht="38.25" hidden="false" customHeight="true" outlineLevel="0" collapsed="false">
      <c r="B288" s="30" t="s">
        <v>1507</v>
      </c>
      <c r="C288" s="30" t="s">
        <v>286</v>
      </c>
      <c r="D288" s="30" t="s">
        <v>1508</v>
      </c>
      <c r="E288" s="30" t="s">
        <v>344</v>
      </c>
      <c r="F288" s="30" t="s">
        <v>1509</v>
      </c>
      <c r="G288" s="30" t="s">
        <v>1510</v>
      </c>
      <c r="H288" s="30" t="s">
        <v>1511</v>
      </c>
      <c r="I288" s="30" t="s">
        <v>306</v>
      </c>
      <c r="J288" s="30" t="s">
        <v>206</v>
      </c>
      <c r="K288" s="31" t="s">
        <v>47</v>
      </c>
      <c r="L288" s="32"/>
      <c r="M288" s="30"/>
      <c r="N288" s="30" t="s">
        <v>48</v>
      </c>
      <c r="O288" s="1" t="n">
        <f aca="false">IF($B288="",0,IF(AND(OR(Filter!$B$5="(alle)",$N288=Filter!$B$5),OR(Filter!$E$5="(alle)",$K288=Filter!$E$5),OR(Filter!$H$5="(alle)",$C288=Filter!$H$5),OR(Filter!$B$7="(alle)",$E288=Filter!$B$7),OR(Filter!$E$7="(alle)",ISNUMBER(SEARCH(Filter!$E$7,$J288))),OR(Filter!$H$7="(alle)",ISNUMBER(SEARCH(Filter!$H$7,$I288))),OR(Filter!$B$9="",ISNUMBER(SEARCH(Filter!$B$9,$F288&amp;" "&amp;$G288)))),COUNTIF($O$6:$O287,"&gt;0")+1,0))</f>
        <v>282</v>
      </c>
    </row>
    <row r="289" customFormat="false" ht="38.25" hidden="false" customHeight="true" outlineLevel="0" collapsed="false">
      <c r="B289" s="30" t="s">
        <v>1512</v>
      </c>
      <c r="C289" s="30" t="s">
        <v>286</v>
      </c>
      <c r="D289" s="30" t="s">
        <v>1513</v>
      </c>
      <c r="E289" s="30" t="s">
        <v>361</v>
      </c>
      <c r="F289" s="30" t="s">
        <v>1514</v>
      </c>
      <c r="G289" s="30" t="s">
        <v>1515</v>
      </c>
      <c r="H289" s="30" t="s">
        <v>1516</v>
      </c>
      <c r="I289" s="30" t="s">
        <v>306</v>
      </c>
      <c r="J289" s="30" t="s">
        <v>206</v>
      </c>
      <c r="K289" s="31" t="s">
        <v>151</v>
      </c>
      <c r="L289" s="32"/>
      <c r="M289" s="30" t="s">
        <v>1517</v>
      </c>
      <c r="N289" s="30" t="s">
        <v>48</v>
      </c>
      <c r="O289" s="1" t="n">
        <f aca="false">IF($B289="",0,IF(AND(OR(Filter!$B$5="(alle)",$N289=Filter!$B$5),OR(Filter!$E$5="(alle)",$K289=Filter!$E$5),OR(Filter!$H$5="(alle)",$C289=Filter!$H$5),OR(Filter!$B$7="(alle)",$E289=Filter!$B$7),OR(Filter!$E$7="(alle)",ISNUMBER(SEARCH(Filter!$E$7,$J289))),OR(Filter!$H$7="(alle)",ISNUMBER(SEARCH(Filter!$H$7,$I289))),OR(Filter!$B$9="",ISNUMBER(SEARCH(Filter!$B$9,$F289&amp;" "&amp;$G289)))),COUNTIF($O$6:$O288,"&gt;0")+1,0))</f>
        <v>283</v>
      </c>
    </row>
    <row r="290" customFormat="false" ht="165.75" hidden="false" customHeight="true" outlineLevel="0" collapsed="false">
      <c r="B290" s="30" t="s">
        <v>1518</v>
      </c>
      <c r="C290" s="30" t="s">
        <v>286</v>
      </c>
      <c r="D290" s="30" t="s">
        <v>1519</v>
      </c>
      <c r="E290" s="30" t="s">
        <v>344</v>
      </c>
      <c r="F290" s="30" t="s">
        <v>1520</v>
      </c>
      <c r="G290" s="30" t="s">
        <v>1521</v>
      </c>
      <c r="H290" s="30" t="s">
        <v>1522</v>
      </c>
      <c r="I290" s="30" t="s">
        <v>306</v>
      </c>
      <c r="J290" s="30" t="s">
        <v>206</v>
      </c>
      <c r="K290" s="31" t="s">
        <v>47</v>
      </c>
      <c r="L290" s="32"/>
      <c r="M290" s="30"/>
      <c r="N290" s="30" t="s">
        <v>48</v>
      </c>
      <c r="O290" s="1" t="n">
        <f aca="false">IF($B290="",0,IF(AND(OR(Filter!$B$5="(alle)",$N290=Filter!$B$5),OR(Filter!$E$5="(alle)",$K290=Filter!$E$5),OR(Filter!$H$5="(alle)",$C290=Filter!$H$5),OR(Filter!$B$7="(alle)",$E290=Filter!$B$7),OR(Filter!$E$7="(alle)",ISNUMBER(SEARCH(Filter!$E$7,$J290))),OR(Filter!$H$7="(alle)",ISNUMBER(SEARCH(Filter!$H$7,$I290))),OR(Filter!$B$9="",ISNUMBER(SEARCH(Filter!$B$9,$F290&amp;" "&amp;$G290)))),COUNTIF($O$6:$O289,"&gt;0")+1,0))</f>
        <v>284</v>
      </c>
    </row>
    <row r="291" customFormat="false" ht="51" hidden="false" customHeight="true" outlineLevel="0" collapsed="false">
      <c r="B291" s="30" t="s">
        <v>1523</v>
      </c>
      <c r="C291" s="30" t="s">
        <v>286</v>
      </c>
      <c r="D291" s="30" t="s">
        <v>1524</v>
      </c>
      <c r="E291" s="30" t="s">
        <v>344</v>
      </c>
      <c r="F291" s="30" t="s">
        <v>1525</v>
      </c>
      <c r="G291" s="30" t="s">
        <v>1526</v>
      </c>
      <c r="H291" s="30" t="s">
        <v>1527</v>
      </c>
      <c r="I291" s="30" t="s">
        <v>306</v>
      </c>
      <c r="J291" s="30" t="s">
        <v>206</v>
      </c>
      <c r="K291" s="31" t="s">
        <v>47</v>
      </c>
      <c r="L291" s="32"/>
      <c r="M291" s="30"/>
      <c r="N291" s="30" t="s">
        <v>48</v>
      </c>
      <c r="O291" s="1" t="n">
        <f aca="false">IF($B291="",0,IF(AND(OR(Filter!$B$5="(alle)",$N291=Filter!$B$5),OR(Filter!$E$5="(alle)",$K291=Filter!$E$5),OR(Filter!$H$5="(alle)",$C291=Filter!$H$5),OR(Filter!$B$7="(alle)",$E291=Filter!$B$7),OR(Filter!$E$7="(alle)",ISNUMBER(SEARCH(Filter!$E$7,$J291))),OR(Filter!$H$7="(alle)",ISNUMBER(SEARCH(Filter!$H$7,$I291))),OR(Filter!$B$9="",ISNUMBER(SEARCH(Filter!$B$9,$F291&amp;" "&amp;$G291)))),COUNTIF($O$6:$O290,"&gt;0")+1,0))</f>
        <v>285</v>
      </c>
    </row>
    <row r="292" customFormat="false" ht="140.25" hidden="false" customHeight="true" outlineLevel="0" collapsed="false">
      <c r="B292" s="30" t="s">
        <v>1528</v>
      </c>
      <c r="C292" s="30" t="s">
        <v>286</v>
      </c>
      <c r="D292" s="30" t="s">
        <v>1529</v>
      </c>
      <c r="E292" s="30" t="s">
        <v>155</v>
      </c>
      <c r="F292" s="30" t="s">
        <v>1530</v>
      </c>
      <c r="G292" s="30" t="s">
        <v>1531</v>
      </c>
      <c r="H292" s="30" t="s">
        <v>1532</v>
      </c>
      <c r="I292" s="30" t="s">
        <v>476</v>
      </c>
      <c r="J292" s="30" t="s">
        <v>476</v>
      </c>
      <c r="K292" s="31" t="s">
        <v>47</v>
      </c>
      <c r="L292" s="32"/>
      <c r="M292" s="30"/>
      <c r="N292" s="30" t="s">
        <v>48</v>
      </c>
      <c r="O292" s="1" t="n">
        <f aca="false">IF($B292="",0,IF(AND(OR(Filter!$B$5="(alle)",$N292=Filter!$B$5),OR(Filter!$E$5="(alle)",$K292=Filter!$E$5),OR(Filter!$H$5="(alle)",$C292=Filter!$H$5),OR(Filter!$B$7="(alle)",$E292=Filter!$B$7),OR(Filter!$E$7="(alle)",ISNUMBER(SEARCH(Filter!$E$7,$J292))),OR(Filter!$H$7="(alle)",ISNUMBER(SEARCH(Filter!$H$7,$I292))),OR(Filter!$B$9="",ISNUMBER(SEARCH(Filter!$B$9,$F292&amp;" "&amp;$G292)))),COUNTIF($O$6:$O291,"&gt;0")+1,0))</f>
        <v>286</v>
      </c>
    </row>
    <row r="293" customFormat="false" ht="191.25" hidden="false" customHeight="true" outlineLevel="0" collapsed="false">
      <c r="B293" s="30" t="s">
        <v>1533</v>
      </c>
      <c r="C293" s="30" t="s">
        <v>286</v>
      </c>
      <c r="D293" s="30" t="s">
        <v>1534</v>
      </c>
      <c r="E293" s="30" t="s">
        <v>361</v>
      </c>
      <c r="F293" s="30" t="s">
        <v>1535</v>
      </c>
      <c r="G293" s="30" t="s">
        <v>1536</v>
      </c>
      <c r="H293" s="30" t="s">
        <v>1537</v>
      </c>
      <c r="I293" s="30" t="s">
        <v>306</v>
      </c>
      <c r="J293" s="30" t="s">
        <v>206</v>
      </c>
      <c r="K293" s="31" t="s">
        <v>47</v>
      </c>
      <c r="L293" s="32"/>
      <c r="M293" s="30"/>
      <c r="N293" s="30" t="s">
        <v>48</v>
      </c>
      <c r="O293" s="1" t="n">
        <f aca="false">IF($B293="",0,IF(AND(OR(Filter!$B$5="(alle)",$N293=Filter!$B$5),OR(Filter!$E$5="(alle)",$K293=Filter!$E$5),OR(Filter!$H$5="(alle)",$C293=Filter!$H$5),OR(Filter!$B$7="(alle)",$E293=Filter!$B$7),OR(Filter!$E$7="(alle)",ISNUMBER(SEARCH(Filter!$E$7,$J293))),OR(Filter!$H$7="(alle)",ISNUMBER(SEARCH(Filter!$H$7,$I293))),OR(Filter!$B$9="",ISNUMBER(SEARCH(Filter!$B$9,$F293&amp;" "&amp;$G293)))),COUNTIF($O$6:$O292,"&gt;0")+1,0))</f>
        <v>287</v>
      </c>
    </row>
    <row r="294" customFormat="false" ht="89.25" hidden="false" customHeight="true" outlineLevel="0" collapsed="false">
      <c r="B294" s="30" t="s">
        <v>1538</v>
      </c>
      <c r="C294" s="30" t="s">
        <v>286</v>
      </c>
      <c r="D294" s="30" t="s">
        <v>1539</v>
      </c>
      <c r="E294" s="30" t="s">
        <v>604</v>
      </c>
      <c r="F294" s="30" t="s">
        <v>1540</v>
      </c>
      <c r="G294" s="30" t="s">
        <v>1541</v>
      </c>
      <c r="H294" s="30" t="s">
        <v>1542</v>
      </c>
      <c r="I294" s="30" t="s">
        <v>476</v>
      </c>
      <c r="J294" s="30" t="s">
        <v>476</v>
      </c>
      <c r="K294" s="31" t="s">
        <v>47</v>
      </c>
      <c r="L294" s="32"/>
      <c r="M294" s="30"/>
      <c r="N294" s="30" t="s">
        <v>48</v>
      </c>
      <c r="O294" s="1" t="n">
        <f aca="false">IF($B294="",0,IF(AND(OR(Filter!$B$5="(alle)",$N294=Filter!$B$5),OR(Filter!$E$5="(alle)",$K294=Filter!$E$5),OR(Filter!$H$5="(alle)",$C294=Filter!$H$5),OR(Filter!$B$7="(alle)",$E294=Filter!$B$7),OR(Filter!$E$7="(alle)",ISNUMBER(SEARCH(Filter!$E$7,$J294))),OR(Filter!$H$7="(alle)",ISNUMBER(SEARCH(Filter!$H$7,$I294))),OR(Filter!$B$9="",ISNUMBER(SEARCH(Filter!$B$9,$F294&amp;" "&amp;$G294)))),COUNTIF($O$6:$O293,"&gt;0")+1,0))</f>
        <v>288</v>
      </c>
    </row>
    <row r="295" customFormat="false" ht="153" hidden="false" customHeight="true" outlineLevel="0" collapsed="false">
      <c r="B295" s="30" t="s">
        <v>1543</v>
      </c>
      <c r="C295" s="30" t="s">
        <v>286</v>
      </c>
      <c r="D295" s="30" t="s">
        <v>1544</v>
      </c>
      <c r="E295" s="30" t="s">
        <v>42</v>
      </c>
      <c r="F295" s="30" t="s">
        <v>1545</v>
      </c>
      <c r="G295" s="30" t="s">
        <v>1546</v>
      </c>
      <c r="H295" s="30" t="s">
        <v>1547</v>
      </c>
      <c r="I295" s="30" t="s">
        <v>45</v>
      </c>
      <c r="J295" s="30" t="s">
        <v>1548</v>
      </c>
      <c r="K295" s="31" t="s">
        <v>47</v>
      </c>
      <c r="L295" s="32"/>
      <c r="M295" s="30"/>
      <c r="N295" s="30" t="s">
        <v>48</v>
      </c>
      <c r="O295" s="1" t="n">
        <f aca="false">IF($B295="",0,IF(AND(OR(Filter!$B$5="(alle)",$N295=Filter!$B$5),OR(Filter!$E$5="(alle)",$K295=Filter!$E$5),OR(Filter!$H$5="(alle)",$C295=Filter!$H$5),OR(Filter!$B$7="(alle)",$E295=Filter!$B$7),OR(Filter!$E$7="(alle)",ISNUMBER(SEARCH(Filter!$E$7,$J295))),OR(Filter!$H$7="(alle)",ISNUMBER(SEARCH(Filter!$H$7,$I295))),OR(Filter!$B$9="",ISNUMBER(SEARCH(Filter!$B$9,$F295&amp;" "&amp;$G295)))),COUNTIF($O$6:$O294,"&gt;0")+1,0))</f>
        <v>289</v>
      </c>
    </row>
    <row r="296" customFormat="false" ht="89.25" hidden="false" customHeight="true" outlineLevel="0" collapsed="false">
      <c r="B296" s="30" t="s">
        <v>1549</v>
      </c>
      <c r="C296" s="30" t="s">
        <v>286</v>
      </c>
      <c r="D296" s="30" t="s">
        <v>1550</v>
      </c>
      <c r="E296" s="30" t="s">
        <v>331</v>
      </c>
      <c r="F296" s="30" t="s">
        <v>1551</v>
      </c>
      <c r="G296" s="30" t="s">
        <v>1552</v>
      </c>
      <c r="H296" s="30" t="s">
        <v>1553</v>
      </c>
      <c r="I296" s="30" t="s">
        <v>306</v>
      </c>
      <c r="J296" s="30" t="s">
        <v>206</v>
      </c>
      <c r="K296" s="31" t="s">
        <v>151</v>
      </c>
      <c r="L296" s="32"/>
      <c r="M296" s="30" t="s">
        <v>370</v>
      </c>
      <c r="N296" s="30" t="s">
        <v>48</v>
      </c>
      <c r="O296" s="1" t="n">
        <f aca="false">IF($B296="",0,IF(AND(OR(Filter!$B$5="(alle)",$N296=Filter!$B$5),OR(Filter!$E$5="(alle)",$K296=Filter!$E$5),OR(Filter!$H$5="(alle)",$C296=Filter!$H$5),OR(Filter!$B$7="(alle)",$E296=Filter!$B$7),OR(Filter!$E$7="(alle)",ISNUMBER(SEARCH(Filter!$E$7,$J296))),OR(Filter!$H$7="(alle)",ISNUMBER(SEARCH(Filter!$H$7,$I296))),OR(Filter!$B$9="",ISNUMBER(SEARCH(Filter!$B$9,$F296&amp;" "&amp;$G296)))),COUNTIF($O$6:$O295,"&gt;0")+1,0))</f>
        <v>290</v>
      </c>
    </row>
    <row r="297" customFormat="false" ht="63.75" hidden="false" customHeight="true" outlineLevel="0" collapsed="false">
      <c r="B297" s="30" t="s">
        <v>1554</v>
      </c>
      <c r="C297" s="30" t="s">
        <v>286</v>
      </c>
      <c r="D297" s="30" t="s">
        <v>1555</v>
      </c>
      <c r="E297" s="30" t="s">
        <v>604</v>
      </c>
      <c r="F297" s="30" t="s">
        <v>1556</v>
      </c>
      <c r="G297" s="30" t="s">
        <v>1557</v>
      </c>
      <c r="H297" s="30" t="s">
        <v>1558</v>
      </c>
      <c r="I297" s="30" t="s">
        <v>158</v>
      </c>
      <c r="J297" s="30" t="s">
        <v>159</v>
      </c>
      <c r="K297" s="31" t="s">
        <v>47</v>
      </c>
      <c r="L297" s="32"/>
      <c r="M297" s="30"/>
      <c r="N297" s="30" t="s">
        <v>48</v>
      </c>
      <c r="O297" s="1" t="n">
        <f aca="false">IF($B297="",0,IF(AND(OR(Filter!$B$5="(alle)",$N297=Filter!$B$5),OR(Filter!$E$5="(alle)",$K297=Filter!$E$5),OR(Filter!$H$5="(alle)",$C297=Filter!$H$5),OR(Filter!$B$7="(alle)",$E297=Filter!$B$7),OR(Filter!$E$7="(alle)",ISNUMBER(SEARCH(Filter!$E$7,$J297))),OR(Filter!$H$7="(alle)",ISNUMBER(SEARCH(Filter!$H$7,$I297))),OR(Filter!$B$9="",ISNUMBER(SEARCH(Filter!$B$9,$F297&amp;" "&amp;$G297)))),COUNTIF($O$6:$O296,"&gt;0")+1,0))</f>
        <v>291</v>
      </c>
    </row>
    <row r="298" customFormat="false" ht="76.5" hidden="false" customHeight="true" outlineLevel="0" collapsed="false">
      <c r="B298" s="30" t="s">
        <v>1559</v>
      </c>
      <c r="C298" s="30" t="s">
        <v>286</v>
      </c>
      <c r="D298" s="30" t="s">
        <v>1560</v>
      </c>
      <c r="E298" s="30" t="s">
        <v>331</v>
      </c>
      <c r="F298" s="30" t="s">
        <v>1561</v>
      </c>
      <c r="G298" s="30" t="s">
        <v>1562</v>
      </c>
      <c r="H298" s="30" t="s">
        <v>1563</v>
      </c>
      <c r="I298" s="30" t="s">
        <v>306</v>
      </c>
      <c r="J298" s="30" t="s">
        <v>206</v>
      </c>
      <c r="K298" s="31" t="s">
        <v>151</v>
      </c>
      <c r="L298" s="32"/>
      <c r="M298" s="30" t="s">
        <v>370</v>
      </c>
      <c r="N298" s="30" t="s">
        <v>48</v>
      </c>
      <c r="O298" s="1" t="n">
        <f aca="false">IF($B298="",0,IF(AND(OR(Filter!$B$5="(alle)",$N298=Filter!$B$5),OR(Filter!$E$5="(alle)",$K298=Filter!$E$5),OR(Filter!$H$5="(alle)",$C298=Filter!$H$5),OR(Filter!$B$7="(alle)",$E298=Filter!$B$7),OR(Filter!$E$7="(alle)",ISNUMBER(SEARCH(Filter!$E$7,$J298))),OR(Filter!$H$7="(alle)",ISNUMBER(SEARCH(Filter!$H$7,$I298))),OR(Filter!$B$9="",ISNUMBER(SEARCH(Filter!$B$9,$F298&amp;" "&amp;$G298)))),COUNTIF($O$6:$O297,"&gt;0")+1,0))</f>
        <v>292</v>
      </c>
    </row>
    <row r="299" customFormat="false" ht="51" hidden="false" customHeight="true" outlineLevel="0" collapsed="false">
      <c r="B299" s="30" t="s">
        <v>1564</v>
      </c>
      <c r="C299" s="30" t="s">
        <v>286</v>
      </c>
      <c r="D299" s="30" t="s">
        <v>1565</v>
      </c>
      <c r="E299" s="30" t="s">
        <v>331</v>
      </c>
      <c r="F299" s="30" t="s">
        <v>1566</v>
      </c>
      <c r="G299" s="30" t="s">
        <v>1567</v>
      </c>
      <c r="H299" s="30" t="s">
        <v>1568</v>
      </c>
      <c r="I299" s="30" t="s">
        <v>306</v>
      </c>
      <c r="J299" s="30" t="s">
        <v>206</v>
      </c>
      <c r="K299" s="31" t="s">
        <v>151</v>
      </c>
      <c r="L299" s="32"/>
      <c r="M299" s="30" t="s">
        <v>370</v>
      </c>
      <c r="N299" s="30" t="s">
        <v>48</v>
      </c>
      <c r="O299" s="1" t="n">
        <f aca="false">IF($B299="",0,IF(AND(OR(Filter!$B$5="(alle)",$N299=Filter!$B$5),OR(Filter!$E$5="(alle)",$K299=Filter!$E$5),OR(Filter!$H$5="(alle)",$C299=Filter!$H$5),OR(Filter!$B$7="(alle)",$E299=Filter!$B$7),OR(Filter!$E$7="(alle)",ISNUMBER(SEARCH(Filter!$E$7,$J299))),OR(Filter!$H$7="(alle)",ISNUMBER(SEARCH(Filter!$H$7,$I299))),OR(Filter!$B$9="",ISNUMBER(SEARCH(Filter!$B$9,$F299&amp;" "&amp;$G299)))),COUNTIF($O$6:$O298,"&gt;0")+1,0))</f>
        <v>293</v>
      </c>
    </row>
    <row r="300" customFormat="false" ht="102" hidden="false" customHeight="true" outlineLevel="0" collapsed="false">
      <c r="B300" s="30" t="s">
        <v>1569</v>
      </c>
      <c r="C300" s="30" t="s">
        <v>286</v>
      </c>
      <c r="D300" s="30" t="s">
        <v>1570</v>
      </c>
      <c r="E300" s="30" t="s">
        <v>210</v>
      </c>
      <c r="F300" s="30" t="s">
        <v>1571</v>
      </c>
      <c r="G300" s="30" t="s">
        <v>1572</v>
      </c>
      <c r="H300" s="30" t="s">
        <v>1573</v>
      </c>
      <c r="I300" s="30" t="s">
        <v>306</v>
      </c>
      <c r="J300" s="30" t="s">
        <v>206</v>
      </c>
      <c r="K300" s="31" t="s">
        <v>47</v>
      </c>
      <c r="L300" s="32"/>
      <c r="M300" s="30"/>
      <c r="N300" s="30" t="s">
        <v>48</v>
      </c>
      <c r="O300" s="1" t="n">
        <f aca="false">IF($B300="",0,IF(AND(OR(Filter!$B$5="(alle)",$N300=Filter!$B$5),OR(Filter!$E$5="(alle)",$K300=Filter!$E$5),OR(Filter!$H$5="(alle)",$C300=Filter!$H$5),OR(Filter!$B$7="(alle)",$E300=Filter!$B$7),OR(Filter!$E$7="(alle)",ISNUMBER(SEARCH(Filter!$E$7,$J300))),OR(Filter!$H$7="(alle)",ISNUMBER(SEARCH(Filter!$H$7,$I300))),OR(Filter!$B$9="",ISNUMBER(SEARCH(Filter!$B$9,$F300&amp;" "&amp;$G300)))),COUNTIF($O$6:$O299,"&gt;0")+1,0))</f>
        <v>294</v>
      </c>
    </row>
    <row r="301" customFormat="false" ht="102" hidden="false" customHeight="true" outlineLevel="0" collapsed="false">
      <c r="B301" s="30" t="s">
        <v>1574</v>
      </c>
      <c r="C301" s="30" t="s">
        <v>286</v>
      </c>
      <c r="D301" s="30" t="s">
        <v>1575</v>
      </c>
      <c r="E301" s="30" t="s">
        <v>210</v>
      </c>
      <c r="F301" s="30" t="s">
        <v>1576</v>
      </c>
      <c r="G301" s="30" t="s">
        <v>1577</v>
      </c>
      <c r="H301" s="30" t="s">
        <v>1578</v>
      </c>
      <c r="I301" s="30" t="s">
        <v>306</v>
      </c>
      <c r="J301" s="30" t="s">
        <v>206</v>
      </c>
      <c r="K301" s="31" t="s">
        <v>47</v>
      </c>
      <c r="L301" s="32"/>
      <c r="M301" s="30"/>
      <c r="N301" s="30" t="s">
        <v>48</v>
      </c>
      <c r="O301" s="1" t="n">
        <f aca="false">IF($B301="",0,IF(AND(OR(Filter!$B$5="(alle)",$N301=Filter!$B$5),OR(Filter!$E$5="(alle)",$K301=Filter!$E$5),OR(Filter!$H$5="(alle)",$C301=Filter!$H$5),OR(Filter!$B$7="(alle)",$E301=Filter!$B$7),OR(Filter!$E$7="(alle)",ISNUMBER(SEARCH(Filter!$E$7,$J301))),OR(Filter!$H$7="(alle)",ISNUMBER(SEARCH(Filter!$H$7,$I301))),OR(Filter!$B$9="",ISNUMBER(SEARCH(Filter!$B$9,$F301&amp;" "&amp;$G301)))),COUNTIF($O$6:$O300,"&gt;0")+1,0))</f>
        <v>295</v>
      </c>
    </row>
    <row r="302" customFormat="false" ht="140.25" hidden="false" customHeight="true" outlineLevel="0" collapsed="false">
      <c r="B302" s="30" t="s">
        <v>1579</v>
      </c>
      <c r="C302" s="30" t="s">
        <v>286</v>
      </c>
      <c r="D302" s="30" t="s">
        <v>1580</v>
      </c>
      <c r="E302" s="30" t="s">
        <v>344</v>
      </c>
      <c r="F302" s="30" t="s">
        <v>1581</v>
      </c>
      <c r="G302" s="30" t="s">
        <v>1582</v>
      </c>
      <c r="H302" s="30" t="s">
        <v>1583</v>
      </c>
      <c r="I302" s="30" t="s">
        <v>306</v>
      </c>
      <c r="J302" s="30" t="s">
        <v>206</v>
      </c>
      <c r="K302" s="31" t="s">
        <v>47</v>
      </c>
      <c r="L302" s="32"/>
      <c r="M302" s="30"/>
      <c r="N302" s="30" t="s">
        <v>48</v>
      </c>
      <c r="O302" s="1" t="n">
        <f aca="false">IF($B302="",0,IF(AND(OR(Filter!$B$5="(alle)",$N302=Filter!$B$5),OR(Filter!$E$5="(alle)",$K302=Filter!$E$5),OR(Filter!$H$5="(alle)",$C302=Filter!$H$5),OR(Filter!$B$7="(alle)",$E302=Filter!$B$7),OR(Filter!$E$7="(alle)",ISNUMBER(SEARCH(Filter!$E$7,$J302))),OR(Filter!$H$7="(alle)",ISNUMBER(SEARCH(Filter!$H$7,$I302))),OR(Filter!$B$9="",ISNUMBER(SEARCH(Filter!$B$9,$F302&amp;" "&amp;$G302)))),COUNTIF($O$6:$O301,"&gt;0")+1,0))</f>
        <v>296</v>
      </c>
    </row>
    <row r="303" customFormat="false" ht="76.5" hidden="false" customHeight="true" outlineLevel="0" collapsed="false">
      <c r="B303" s="30" t="s">
        <v>1584</v>
      </c>
      <c r="C303" s="30" t="s">
        <v>286</v>
      </c>
      <c r="D303" s="30" t="s">
        <v>1585</v>
      </c>
      <c r="E303" s="30" t="s">
        <v>547</v>
      </c>
      <c r="F303" s="30" t="s">
        <v>1586</v>
      </c>
      <c r="G303" s="30" t="s">
        <v>1587</v>
      </c>
      <c r="H303" s="30" t="s">
        <v>1588</v>
      </c>
      <c r="I303" s="30" t="s">
        <v>476</v>
      </c>
      <c r="J303" s="30" t="s">
        <v>476</v>
      </c>
      <c r="K303" s="31" t="s">
        <v>47</v>
      </c>
      <c r="L303" s="32"/>
      <c r="M303" s="30"/>
      <c r="N303" s="30" t="s">
        <v>48</v>
      </c>
      <c r="O303" s="1" t="n">
        <f aca="false">IF($B303="",0,IF(AND(OR(Filter!$B$5="(alle)",$N303=Filter!$B$5),OR(Filter!$E$5="(alle)",$K303=Filter!$E$5),OR(Filter!$H$5="(alle)",$C303=Filter!$H$5),OR(Filter!$B$7="(alle)",$E303=Filter!$B$7),OR(Filter!$E$7="(alle)",ISNUMBER(SEARCH(Filter!$E$7,$J303))),OR(Filter!$H$7="(alle)",ISNUMBER(SEARCH(Filter!$H$7,$I303))),OR(Filter!$B$9="",ISNUMBER(SEARCH(Filter!$B$9,$F303&amp;" "&amp;$G303)))),COUNTIF($O$6:$O302,"&gt;0")+1,0))</f>
        <v>297</v>
      </c>
    </row>
    <row r="304" customFormat="false" ht="63.75" hidden="false" customHeight="true" outlineLevel="0" collapsed="false">
      <c r="B304" s="30" t="s">
        <v>1589</v>
      </c>
      <c r="C304" s="30" t="s">
        <v>286</v>
      </c>
      <c r="D304" s="30" t="s">
        <v>1590</v>
      </c>
      <c r="E304" s="30" t="s">
        <v>344</v>
      </c>
      <c r="F304" s="30" t="s">
        <v>1591</v>
      </c>
      <c r="G304" s="30" t="s">
        <v>1592</v>
      </c>
      <c r="H304" s="30" t="s">
        <v>1593</v>
      </c>
      <c r="I304" s="30" t="s">
        <v>306</v>
      </c>
      <c r="J304" s="30" t="s">
        <v>206</v>
      </c>
      <c r="K304" s="31" t="s">
        <v>47</v>
      </c>
      <c r="L304" s="32"/>
      <c r="M304" s="30"/>
      <c r="N304" s="30" t="s">
        <v>48</v>
      </c>
      <c r="O304" s="1" t="n">
        <f aca="false">IF($B304="",0,IF(AND(OR(Filter!$B$5="(alle)",$N304=Filter!$B$5),OR(Filter!$E$5="(alle)",$K304=Filter!$E$5),OR(Filter!$H$5="(alle)",$C304=Filter!$H$5),OR(Filter!$B$7="(alle)",$E304=Filter!$B$7),OR(Filter!$E$7="(alle)",ISNUMBER(SEARCH(Filter!$E$7,$J304))),OR(Filter!$H$7="(alle)",ISNUMBER(SEARCH(Filter!$H$7,$I304))),OR(Filter!$B$9="",ISNUMBER(SEARCH(Filter!$B$9,$F304&amp;" "&amp;$G304)))),COUNTIF($O$6:$O303,"&gt;0")+1,0))</f>
        <v>298</v>
      </c>
    </row>
    <row r="305" customFormat="false" ht="51" hidden="false" customHeight="true" outlineLevel="0" collapsed="false">
      <c r="B305" s="30" t="s">
        <v>1594</v>
      </c>
      <c r="C305" s="30" t="s">
        <v>286</v>
      </c>
      <c r="D305" s="30" t="s">
        <v>1595</v>
      </c>
      <c r="E305" s="30" t="s">
        <v>344</v>
      </c>
      <c r="F305" s="30" t="s">
        <v>1596</v>
      </c>
      <c r="G305" s="30" t="s">
        <v>1597</v>
      </c>
      <c r="H305" s="30" t="s">
        <v>1598</v>
      </c>
      <c r="I305" s="30" t="s">
        <v>306</v>
      </c>
      <c r="J305" s="30" t="s">
        <v>206</v>
      </c>
      <c r="K305" s="31" t="s">
        <v>47</v>
      </c>
      <c r="L305" s="32"/>
      <c r="M305" s="30"/>
      <c r="N305" s="30" t="s">
        <v>48</v>
      </c>
      <c r="O305" s="1" t="n">
        <f aca="false">IF($B305="",0,IF(AND(OR(Filter!$B$5="(alle)",$N305=Filter!$B$5),OR(Filter!$E$5="(alle)",$K305=Filter!$E$5),OR(Filter!$H$5="(alle)",$C305=Filter!$H$5),OR(Filter!$B$7="(alle)",$E305=Filter!$B$7),OR(Filter!$E$7="(alle)",ISNUMBER(SEARCH(Filter!$E$7,$J305))),OR(Filter!$H$7="(alle)",ISNUMBER(SEARCH(Filter!$H$7,$I305))),OR(Filter!$B$9="",ISNUMBER(SEARCH(Filter!$B$9,$F305&amp;" "&amp;$G305)))),COUNTIF($O$6:$O304,"&gt;0")+1,0))</f>
        <v>299</v>
      </c>
    </row>
    <row r="306" customFormat="false" ht="178.5" hidden="false" customHeight="true" outlineLevel="0" collapsed="false">
      <c r="B306" s="30" t="s">
        <v>1599</v>
      </c>
      <c r="C306" s="30" t="s">
        <v>286</v>
      </c>
      <c r="D306" s="30" t="s">
        <v>1600</v>
      </c>
      <c r="E306" s="30" t="s">
        <v>355</v>
      </c>
      <c r="F306" s="30" t="s">
        <v>1601</v>
      </c>
      <c r="G306" s="30" t="s">
        <v>1602</v>
      </c>
      <c r="H306" s="30" t="s">
        <v>1603</v>
      </c>
      <c r="I306" s="30" t="s">
        <v>158</v>
      </c>
      <c r="J306" s="30" t="s">
        <v>159</v>
      </c>
      <c r="K306" s="31" t="s">
        <v>47</v>
      </c>
      <c r="L306" s="32"/>
      <c r="M306" s="30"/>
      <c r="N306" s="30" t="s">
        <v>48</v>
      </c>
      <c r="O306" s="1" t="n">
        <f aca="false">IF($B306="",0,IF(AND(OR(Filter!$B$5="(alle)",$N306=Filter!$B$5),OR(Filter!$E$5="(alle)",$K306=Filter!$E$5),OR(Filter!$H$5="(alle)",$C306=Filter!$H$5),OR(Filter!$B$7="(alle)",$E306=Filter!$B$7),OR(Filter!$E$7="(alle)",ISNUMBER(SEARCH(Filter!$E$7,$J306))),OR(Filter!$H$7="(alle)",ISNUMBER(SEARCH(Filter!$H$7,$I306))),OR(Filter!$B$9="",ISNUMBER(SEARCH(Filter!$B$9,$F306&amp;" "&amp;$G306)))),COUNTIF($O$6:$O305,"&gt;0")+1,0))</f>
        <v>300</v>
      </c>
    </row>
    <row r="307" customFormat="false" ht="102" hidden="false" customHeight="true" outlineLevel="0" collapsed="false">
      <c r="B307" s="30" t="s">
        <v>1604</v>
      </c>
      <c r="C307" s="30" t="s">
        <v>286</v>
      </c>
      <c r="D307" s="30" t="s">
        <v>1605</v>
      </c>
      <c r="E307" s="30" t="s">
        <v>210</v>
      </c>
      <c r="F307" s="30" t="s">
        <v>1606</v>
      </c>
      <c r="G307" s="30" t="s">
        <v>1607</v>
      </c>
      <c r="H307" s="30" t="s">
        <v>1608</v>
      </c>
      <c r="I307" s="30" t="s">
        <v>306</v>
      </c>
      <c r="J307" s="30" t="s">
        <v>206</v>
      </c>
      <c r="K307" s="31" t="s">
        <v>47</v>
      </c>
      <c r="L307" s="32"/>
      <c r="M307" s="30"/>
      <c r="N307" s="30" t="s">
        <v>48</v>
      </c>
      <c r="O307" s="1" t="n">
        <f aca="false">IF($B307="",0,IF(AND(OR(Filter!$B$5="(alle)",$N307=Filter!$B$5),OR(Filter!$E$5="(alle)",$K307=Filter!$E$5),OR(Filter!$H$5="(alle)",$C307=Filter!$H$5),OR(Filter!$B$7="(alle)",$E307=Filter!$B$7),OR(Filter!$E$7="(alle)",ISNUMBER(SEARCH(Filter!$E$7,$J307))),OR(Filter!$H$7="(alle)",ISNUMBER(SEARCH(Filter!$H$7,$I307))),OR(Filter!$B$9="",ISNUMBER(SEARCH(Filter!$B$9,$F307&amp;" "&amp;$G307)))),COUNTIF($O$6:$O306,"&gt;0")+1,0))</f>
        <v>301</v>
      </c>
    </row>
    <row r="308" customFormat="false" ht="140.25" hidden="false" customHeight="true" outlineLevel="0" collapsed="false">
      <c r="B308" s="30" t="s">
        <v>1609</v>
      </c>
      <c r="C308" s="30" t="s">
        <v>286</v>
      </c>
      <c r="D308" s="30" t="s">
        <v>1610</v>
      </c>
      <c r="E308" s="30" t="s">
        <v>355</v>
      </c>
      <c r="F308" s="30" t="s">
        <v>1611</v>
      </c>
      <c r="G308" s="30" t="s">
        <v>1612</v>
      </c>
      <c r="H308" s="30" t="s">
        <v>1613</v>
      </c>
      <c r="I308" s="30" t="s">
        <v>306</v>
      </c>
      <c r="J308" s="30" t="s">
        <v>206</v>
      </c>
      <c r="K308" s="31" t="s">
        <v>47</v>
      </c>
      <c r="L308" s="32"/>
      <c r="M308" s="30"/>
      <c r="N308" s="30" t="s">
        <v>48</v>
      </c>
      <c r="O308" s="1" t="n">
        <f aca="false">IF($B308="",0,IF(AND(OR(Filter!$B$5="(alle)",$N308=Filter!$B$5),OR(Filter!$E$5="(alle)",$K308=Filter!$E$5),OR(Filter!$H$5="(alle)",$C308=Filter!$H$5),OR(Filter!$B$7="(alle)",$E308=Filter!$B$7),OR(Filter!$E$7="(alle)",ISNUMBER(SEARCH(Filter!$E$7,$J308))),OR(Filter!$H$7="(alle)",ISNUMBER(SEARCH(Filter!$H$7,$I308))),OR(Filter!$B$9="",ISNUMBER(SEARCH(Filter!$B$9,$F308&amp;" "&amp;$G308)))),COUNTIF($O$6:$O307,"&gt;0")+1,0))</f>
        <v>302</v>
      </c>
    </row>
    <row r="309" customFormat="false" ht="38.25" hidden="false" customHeight="true" outlineLevel="0" collapsed="false">
      <c r="B309" s="30" t="s">
        <v>1614</v>
      </c>
      <c r="C309" s="30" t="s">
        <v>286</v>
      </c>
      <c r="D309" s="30" t="s">
        <v>1615</v>
      </c>
      <c r="E309" s="30" t="s">
        <v>344</v>
      </c>
      <c r="F309" s="30" t="s">
        <v>1616</v>
      </c>
      <c r="G309" s="30" t="s">
        <v>1617</v>
      </c>
      <c r="H309" s="30" t="s">
        <v>1618</v>
      </c>
      <c r="I309" s="30" t="s">
        <v>306</v>
      </c>
      <c r="J309" s="30" t="s">
        <v>206</v>
      </c>
      <c r="K309" s="31" t="s">
        <v>47</v>
      </c>
      <c r="L309" s="32"/>
      <c r="M309" s="30"/>
      <c r="N309" s="30" t="s">
        <v>48</v>
      </c>
      <c r="O309" s="1" t="n">
        <f aca="false">IF($B309="",0,IF(AND(OR(Filter!$B$5="(alle)",$N309=Filter!$B$5),OR(Filter!$E$5="(alle)",$K309=Filter!$E$5),OR(Filter!$H$5="(alle)",$C309=Filter!$H$5),OR(Filter!$B$7="(alle)",$E309=Filter!$B$7),OR(Filter!$E$7="(alle)",ISNUMBER(SEARCH(Filter!$E$7,$J309))),OR(Filter!$H$7="(alle)",ISNUMBER(SEARCH(Filter!$H$7,$I309))),OR(Filter!$B$9="",ISNUMBER(SEARCH(Filter!$B$9,$F309&amp;" "&amp;$G309)))),COUNTIF($O$6:$O308,"&gt;0")+1,0))</f>
        <v>303</v>
      </c>
    </row>
    <row r="310" customFormat="false" ht="89.25" hidden="false" customHeight="true" outlineLevel="0" collapsed="false">
      <c r="B310" s="30" t="s">
        <v>1619</v>
      </c>
      <c r="C310" s="30" t="s">
        <v>286</v>
      </c>
      <c r="D310" s="30" t="s">
        <v>1620</v>
      </c>
      <c r="E310" s="30" t="s">
        <v>361</v>
      </c>
      <c r="F310" s="30" t="s">
        <v>1621</v>
      </c>
      <c r="G310" s="30" t="s">
        <v>1622</v>
      </c>
      <c r="H310" s="30" t="s">
        <v>1623</v>
      </c>
      <c r="I310" s="30" t="s">
        <v>306</v>
      </c>
      <c r="J310" s="30" t="s">
        <v>206</v>
      </c>
      <c r="K310" s="31" t="s">
        <v>47</v>
      </c>
      <c r="L310" s="32"/>
      <c r="M310" s="30"/>
      <c r="N310" s="30" t="s">
        <v>48</v>
      </c>
      <c r="O310" s="1" t="n">
        <f aca="false">IF($B310="",0,IF(AND(OR(Filter!$B$5="(alle)",$N310=Filter!$B$5),OR(Filter!$E$5="(alle)",$K310=Filter!$E$5),OR(Filter!$H$5="(alle)",$C310=Filter!$H$5),OR(Filter!$B$7="(alle)",$E310=Filter!$B$7),OR(Filter!$E$7="(alle)",ISNUMBER(SEARCH(Filter!$E$7,$J310))),OR(Filter!$H$7="(alle)",ISNUMBER(SEARCH(Filter!$H$7,$I310))),OR(Filter!$B$9="",ISNUMBER(SEARCH(Filter!$B$9,$F310&amp;" "&amp;$G310)))),COUNTIF($O$6:$O309,"&gt;0")+1,0))</f>
        <v>304</v>
      </c>
    </row>
    <row r="311" customFormat="false" ht="51" hidden="false" customHeight="true" outlineLevel="0" collapsed="false">
      <c r="B311" s="30" t="s">
        <v>1624</v>
      </c>
      <c r="C311" s="30" t="s">
        <v>286</v>
      </c>
      <c r="D311" s="30" t="s">
        <v>1625</v>
      </c>
      <c r="E311" s="30" t="s">
        <v>355</v>
      </c>
      <c r="F311" s="30" t="s">
        <v>1626</v>
      </c>
      <c r="G311" s="30" t="s">
        <v>1627</v>
      </c>
      <c r="H311" s="30" t="s">
        <v>1628</v>
      </c>
      <c r="I311" s="30" t="s">
        <v>158</v>
      </c>
      <c r="J311" s="30" t="s">
        <v>159</v>
      </c>
      <c r="K311" s="31" t="s">
        <v>151</v>
      </c>
      <c r="L311" s="32"/>
      <c r="M311" s="30" t="s">
        <v>1629</v>
      </c>
      <c r="N311" s="30" t="s">
        <v>48</v>
      </c>
      <c r="O311" s="1" t="n">
        <f aca="false">IF($B311="",0,IF(AND(OR(Filter!$B$5="(alle)",$N311=Filter!$B$5),OR(Filter!$E$5="(alle)",$K311=Filter!$E$5),OR(Filter!$H$5="(alle)",$C311=Filter!$H$5),OR(Filter!$B$7="(alle)",$E311=Filter!$B$7),OR(Filter!$E$7="(alle)",ISNUMBER(SEARCH(Filter!$E$7,$J311))),OR(Filter!$H$7="(alle)",ISNUMBER(SEARCH(Filter!$H$7,$I311))),OR(Filter!$B$9="",ISNUMBER(SEARCH(Filter!$B$9,$F311&amp;" "&amp;$G311)))),COUNTIF($O$6:$O310,"&gt;0")+1,0))</f>
        <v>305</v>
      </c>
    </row>
    <row r="312" customFormat="false" ht="102" hidden="false" customHeight="true" outlineLevel="0" collapsed="false">
      <c r="B312" s="30" t="s">
        <v>1630</v>
      </c>
      <c r="C312" s="30" t="s">
        <v>286</v>
      </c>
      <c r="D312" s="30" t="s">
        <v>1631</v>
      </c>
      <c r="E312" s="30" t="s">
        <v>355</v>
      </c>
      <c r="F312" s="30" t="s">
        <v>1632</v>
      </c>
      <c r="G312" s="30" t="s">
        <v>1633</v>
      </c>
      <c r="H312" s="30" t="s">
        <v>1634</v>
      </c>
      <c r="I312" s="30" t="s">
        <v>158</v>
      </c>
      <c r="J312" s="30" t="s">
        <v>159</v>
      </c>
      <c r="K312" s="31" t="s">
        <v>151</v>
      </c>
      <c r="L312" s="32"/>
      <c r="M312" s="30" t="s">
        <v>1635</v>
      </c>
      <c r="N312" s="30" t="s">
        <v>48</v>
      </c>
      <c r="O312" s="1" t="n">
        <f aca="false">IF($B312="",0,IF(AND(OR(Filter!$B$5="(alle)",$N312=Filter!$B$5),OR(Filter!$E$5="(alle)",$K312=Filter!$E$5),OR(Filter!$H$5="(alle)",$C312=Filter!$H$5),OR(Filter!$B$7="(alle)",$E312=Filter!$B$7),OR(Filter!$E$7="(alle)",ISNUMBER(SEARCH(Filter!$E$7,$J312))),OR(Filter!$H$7="(alle)",ISNUMBER(SEARCH(Filter!$H$7,$I312))),OR(Filter!$B$9="",ISNUMBER(SEARCH(Filter!$B$9,$F312&amp;" "&amp;$G312)))),COUNTIF($O$6:$O311,"&gt;0")+1,0))</f>
        <v>306</v>
      </c>
    </row>
    <row r="313" customFormat="false" ht="76.5" hidden="false" customHeight="true" outlineLevel="0" collapsed="false">
      <c r="B313" s="30" t="s">
        <v>1636</v>
      </c>
      <c r="C313" s="30" t="s">
        <v>286</v>
      </c>
      <c r="D313" s="30" t="s">
        <v>1637</v>
      </c>
      <c r="E313" s="30" t="s">
        <v>344</v>
      </c>
      <c r="F313" s="30" t="s">
        <v>1638</v>
      </c>
      <c r="G313" s="30" t="s">
        <v>1639</v>
      </c>
      <c r="H313" s="30" t="s">
        <v>1640</v>
      </c>
      <c r="I313" s="30" t="s">
        <v>476</v>
      </c>
      <c r="J313" s="30" t="s">
        <v>476</v>
      </c>
      <c r="K313" s="31" t="s">
        <v>47</v>
      </c>
      <c r="L313" s="32"/>
      <c r="M313" s="30"/>
      <c r="N313" s="30" t="s">
        <v>48</v>
      </c>
      <c r="O313" s="1" t="n">
        <f aca="false">IF($B313="",0,IF(AND(OR(Filter!$B$5="(alle)",$N313=Filter!$B$5),OR(Filter!$E$5="(alle)",$K313=Filter!$E$5),OR(Filter!$H$5="(alle)",$C313=Filter!$H$5),OR(Filter!$B$7="(alle)",$E313=Filter!$B$7),OR(Filter!$E$7="(alle)",ISNUMBER(SEARCH(Filter!$E$7,$J313))),OR(Filter!$H$7="(alle)",ISNUMBER(SEARCH(Filter!$H$7,$I313))),OR(Filter!$B$9="",ISNUMBER(SEARCH(Filter!$B$9,$F313&amp;" "&amp;$G313)))),COUNTIF($O$6:$O312,"&gt;0")+1,0))</f>
        <v>307</v>
      </c>
    </row>
    <row r="314" customFormat="false" ht="114.75" hidden="false" customHeight="true" outlineLevel="0" collapsed="false">
      <c r="B314" s="30" t="s">
        <v>1641</v>
      </c>
      <c r="C314" s="30" t="s">
        <v>286</v>
      </c>
      <c r="D314" s="30" t="s">
        <v>1642</v>
      </c>
      <c r="E314" s="30" t="s">
        <v>331</v>
      </c>
      <c r="F314" s="30" t="s">
        <v>1643</v>
      </c>
      <c r="G314" s="30" t="s">
        <v>1644</v>
      </c>
      <c r="H314" s="30" t="s">
        <v>1645</v>
      </c>
      <c r="I314" s="30" t="s">
        <v>306</v>
      </c>
      <c r="J314" s="30" t="s">
        <v>206</v>
      </c>
      <c r="K314" s="31" t="s">
        <v>151</v>
      </c>
      <c r="L314" s="32"/>
      <c r="M314" s="30" t="s">
        <v>370</v>
      </c>
      <c r="N314" s="30" t="s">
        <v>48</v>
      </c>
      <c r="O314" s="1" t="n">
        <f aca="false">IF($B314="",0,IF(AND(OR(Filter!$B$5="(alle)",$N314=Filter!$B$5),OR(Filter!$E$5="(alle)",$K314=Filter!$E$5),OR(Filter!$H$5="(alle)",$C314=Filter!$H$5),OR(Filter!$B$7="(alle)",$E314=Filter!$B$7),OR(Filter!$E$7="(alle)",ISNUMBER(SEARCH(Filter!$E$7,$J314))),OR(Filter!$H$7="(alle)",ISNUMBER(SEARCH(Filter!$H$7,$I314))),OR(Filter!$B$9="",ISNUMBER(SEARCH(Filter!$B$9,$F314&amp;" "&amp;$G314)))),COUNTIF($O$6:$O313,"&gt;0")+1,0))</f>
        <v>308</v>
      </c>
    </row>
    <row r="315" customFormat="false" ht="51" hidden="false" customHeight="true" outlineLevel="0" collapsed="false">
      <c r="B315" s="30" t="s">
        <v>1646</v>
      </c>
      <c r="C315" s="30" t="s">
        <v>286</v>
      </c>
      <c r="D315" s="30" t="s">
        <v>1647</v>
      </c>
      <c r="E315" s="30" t="s">
        <v>344</v>
      </c>
      <c r="F315" s="30" t="s">
        <v>1648</v>
      </c>
      <c r="G315" s="30" t="s">
        <v>1649</v>
      </c>
      <c r="H315" s="30" t="s">
        <v>1650</v>
      </c>
      <c r="I315" s="30" t="s">
        <v>306</v>
      </c>
      <c r="J315" s="30" t="s">
        <v>206</v>
      </c>
      <c r="K315" s="31" t="s">
        <v>47</v>
      </c>
      <c r="L315" s="32"/>
      <c r="M315" s="30"/>
      <c r="N315" s="30" t="s">
        <v>48</v>
      </c>
      <c r="O315" s="1" t="n">
        <f aca="false">IF($B315="",0,IF(AND(OR(Filter!$B$5="(alle)",$N315=Filter!$B$5),OR(Filter!$E$5="(alle)",$K315=Filter!$E$5),OR(Filter!$H$5="(alle)",$C315=Filter!$H$5),OR(Filter!$B$7="(alle)",$E315=Filter!$B$7),OR(Filter!$E$7="(alle)",ISNUMBER(SEARCH(Filter!$E$7,$J315))),OR(Filter!$H$7="(alle)",ISNUMBER(SEARCH(Filter!$H$7,$I315))),OR(Filter!$B$9="",ISNUMBER(SEARCH(Filter!$B$9,$F315&amp;" "&amp;$G315)))),COUNTIF($O$6:$O314,"&gt;0")+1,0))</f>
        <v>309</v>
      </c>
    </row>
    <row r="316" customFormat="false" ht="76.5" hidden="false" customHeight="true" outlineLevel="0" collapsed="false">
      <c r="B316" s="30" t="s">
        <v>1651</v>
      </c>
      <c r="C316" s="30" t="s">
        <v>286</v>
      </c>
      <c r="D316" s="30" t="s">
        <v>1652</v>
      </c>
      <c r="E316" s="30" t="s">
        <v>344</v>
      </c>
      <c r="F316" s="30" t="s">
        <v>1653</v>
      </c>
      <c r="G316" s="30" t="s">
        <v>1654</v>
      </c>
      <c r="H316" s="30" t="s">
        <v>1655</v>
      </c>
      <c r="I316" s="30" t="s">
        <v>306</v>
      </c>
      <c r="J316" s="30" t="s">
        <v>206</v>
      </c>
      <c r="K316" s="31" t="s">
        <v>151</v>
      </c>
      <c r="L316" s="32"/>
      <c r="M316" s="30" t="s">
        <v>1656</v>
      </c>
      <c r="N316" s="30" t="s">
        <v>48</v>
      </c>
      <c r="O316" s="1" t="n">
        <f aca="false">IF($B316="",0,IF(AND(OR(Filter!$B$5="(alle)",$N316=Filter!$B$5),OR(Filter!$E$5="(alle)",$K316=Filter!$E$5),OR(Filter!$H$5="(alle)",$C316=Filter!$H$5),OR(Filter!$B$7="(alle)",$E316=Filter!$B$7),OR(Filter!$E$7="(alle)",ISNUMBER(SEARCH(Filter!$E$7,$J316))),OR(Filter!$H$7="(alle)",ISNUMBER(SEARCH(Filter!$H$7,$I316))),OR(Filter!$B$9="",ISNUMBER(SEARCH(Filter!$B$9,$F316&amp;" "&amp;$G316)))),COUNTIF($O$6:$O315,"&gt;0")+1,0))</f>
        <v>310</v>
      </c>
    </row>
    <row r="317" customFormat="false" ht="102" hidden="false" customHeight="true" outlineLevel="0" collapsed="false">
      <c r="B317" s="30" t="s">
        <v>1657</v>
      </c>
      <c r="C317" s="30" t="s">
        <v>286</v>
      </c>
      <c r="D317" s="30" t="s">
        <v>1658</v>
      </c>
      <c r="E317" s="30" t="s">
        <v>331</v>
      </c>
      <c r="F317" s="30" t="s">
        <v>1659</v>
      </c>
      <c r="G317" s="30" t="s">
        <v>1660</v>
      </c>
      <c r="H317" s="30" t="s">
        <v>1661</v>
      </c>
      <c r="I317" s="30" t="s">
        <v>306</v>
      </c>
      <c r="J317" s="30" t="s">
        <v>206</v>
      </c>
      <c r="K317" s="31" t="s">
        <v>151</v>
      </c>
      <c r="L317" s="32"/>
      <c r="M317" s="30" t="s">
        <v>370</v>
      </c>
      <c r="N317" s="30" t="s">
        <v>48</v>
      </c>
      <c r="O317" s="1" t="n">
        <f aca="false">IF($B317="",0,IF(AND(OR(Filter!$B$5="(alle)",$N317=Filter!$B$5),OR(Filter!$E$5="(alle)",$K317=Filter!$E$5),OR(Filter!$H$5="(alle)",$C317=Filter!$H$5),OR(Filter!$B$7="(alle)",$E317=Filter!$B$7),OR(Filter!$E$7="(alle)",ISNUMBER(SEARCH(Filter!$E$7,$J317))),OR(Filter!$H$7="(alle)",ISNUMBER(SEARCH(Filter!$H$7,$I317))),OR(Filter!$B$9="",ISNUMBER(SEARCH(Filter!$B$9,$F317&amp;" "&amp;$G317)))),COUNTIF($O$6:$O316,"&gt;0")+1,0))</f>
        <v>311</v>
      </c>
    </row>
    <row r="318" customFormat="false" ht="114.75" hidden="false" customHeight="true" outlineLevel="0" collapsed="false">
      <c r="B318" s="30" t="s">
        <v>1662</v>
      </c>
      <c r="C318" s="30" t="s">
        <v>286</v>
      </c>
      <c r="D318" s="30" t="s">
        <v>1663</v>
      </c>
      <c r="E318" s="30" t="s">
        <v>210</v>
      </c>
      <c r="F318" s="30" t="s">
        <v>1664</v>
      </c>
      <c r="G318" s="30" t="s">
        <v>1665</v>
      </c>
      <c r="H318" s="30" t="s">
        <v>1666</v>
      </c>
      <c r="I318" s="30" t="s">
        <v>306</v>
      </c>
      <c r="J318" s="30" t="s">
        <v>206</v>
      </c>
      <c r="K318" s="31" t="s">
        <v>47</v>
      </c>
      <c r="L318" s="32"/>
      <c r="M318" s="30"/>
      <c r="N318" s="30" t="s">
        <v>48</v>
      </c>
      <c r="O318" s="1" t="n">
        <f aca="false">IF($B318="",0,IF(AND(OR(Filter!$B$5="(alle)",$N318=Filter!$B$5),OR(Filter!$E$5="(alle)",$K318=Filter!$E$5),OR(Filter!$H$5="(alle)",$C318=Filter!$H$5),OR(Filter!$B$7="(alle)",$E318=Filter!$B$7),OR(Filter!$E$7="(alle)",ISNUMBER(SEARCH(Filter!$E$7,$J318))),OR(Filter!$H$7="(alle)",ISNUMBER(SEARCH(Filter!$H$7,$I318))),OR(Filter!$B$9="",ISNUMBER(SEARCH(Filter!$B$9,$F318&amp;" "&amp;$G318)))),COUNTIF($O$6:$O317,"&gt;0")+1,0))</f>
        <v>312</v>
      </c>
    </row>
    <row r="319" customFormat="false" ht="140.25" hidden="false" customHeight="true" outlineLevel="0" collapsed="false">
      <c r="B319" s="30" t="s">
        <v>1667</v>
      </c>
      <c r="C319" s="30" t="s">
        <v>286</v>
      </c>
      <c r="D319" s="30" t="s">
        <v>1668</v>
      </c>
      <c r="E319" s="30" t="s">
        <v>361</v>
      </c>
      <c r="F319" s="30" t="s">
        <v>1669</v>
      </c>
      <c r="G319" s="30" t="s">
        <v>1670</v>
      </c>
      <c r="H319" s="30" t="s">
        <v>1671</v>
      </c>
      <c r="I319" s="30" t="s">
        <v>306</v>
      </c>
      <c r="J319" s="30" t="s">
        <v>206</v>
      </c>
      <c r="K319" s="31" t="s">
        <v>47</v>
      </c>
      <c r="L319" s="32"/>
      <c r="M319" s="30"/>
      <c r="N319" s="30" t="s">
        <v>48</v>
      </c>
      <c r="O319" s="1" t="n">
        <f aca="false">IF($B319="",0,IF(AND(OR(Filter!$B$5="(alle)",$N319=Filter!$B$5),OR(Filter!$E$5="(alle)",$K319=Filter!$E$5),OR(Filter!$H$5="(alle)",$C319=Filter!$H$5),OR(Filter!$B$7="(alle)",$E319=Filter!$B$7),OR(Filter!$E$7="(alle)",ISNUMBER(SEARCH(Filter!$E$7,$J319))),OR(Filter!$H$7="(alle)",ISNUMBER(SEARCH(Filter!$H$7,$I319))),OR(Filter!$B$9="",ISNUMBER(SEARCH(Filter!$B$9,$F319&amp;" "&amp;$G319)))),COUNTIF($O$6:$O318,"&gt;0")+1,0))</f>
        <v>313</v>
      </c>
    </row>
    <row r="320" customFormat="false" ht="63.75" hidden="false" customHeight="true" outlineLevel="0" collapsed="false">
      <c r="B320" s="30" t="s">
        <v>1672</v>
      </c>
      <c r="C320" s="30" t="s">
        <v>286</v>
      </c>
      <c r="D320" s="30" t="s">
        <v>1673</v>
      </c>
      <c r="E320" s="30" t="s">
        <v>210</v>
      </c>
      <c r="F320" s="30" t="s">
        <v>1674</v>
      </c>
      <c r="G320" s="30" t="s">
        <v>1675</v>
      </c>
      <c r="H320" s="30" t="s">
        <v>1676</v>
      </c>
      <c r="I320" s="30" t="s">
        <v>290</v>
      </c>
      <c r="J320" s="30" t="s">
        <v>808</v>
      </c>
      <c r="K320" s="31" t="s">
        <v>47</v>
      </c>
      <c r="L320" s="32"/>
      <c r="M320" s="30"/>
      <c r="N320" s="30" t="s">
        <v>48</v>
      </c>
      <c r="O320" s="1" t="n">
        <f aca="false">IF($B320="",0,IF(AND(OR(Filter!$B$5="(alle)",$N320=Filter!$B$5),OR(Filter!$E$5="(alle)",$K320=Filter!$E$5),OR(Filter!$H$5="(alle)",$C320=Filter!$H$5),OR(Filter!$B$7="(alle)",$E320=Filter!$B$7),OR(Filter!$E$7="(alle)",ISNUMBER(SEARCH(Filter!$E$7,$J320))),OR(Filter!$H$7="(alle)",ISNUMBER(SEARCH(Filter!$H$7,$I320))),OR(Filter!$B$9="",ISNUMBER(SEARCH(Filter!$B$9,$F320&amp;" "&amp;$G320)))),COUNTIF($O$6:$O319,"&gt;0")+1,0))</f>
        <v>314</v>
      </c>
    </row>
    <row r="321" customFormat="false" ht="153" hidden="false" customHeight="true" outlineLevel="0" collapsed="false">
      <c r="B321" s="30" t="s">
        <v>1677</v>
      </c>
      <c r="C321" s="30" t="s">
        <v>286</v>
      </c>
      <c r="D321" s="30" t="s">
        <v>1678</v>
      </c>
      <c r="E321" s="30" t="s">
        <v>94</v>
      </c>
      <c r="F321" s="30" t="s">
        <v>1679</v>
      </c>
      <c r="G321" s="30" t="s">
        <v>1680</v>
      </c>
      <c r="H321" s="30" t="s">
        <v>1681</v>
      </c>
      <c r="I321" s="30" t="s">
        <v>45</v>
      </c>
      <c r="J321" s="30" t="s">
        <v>265</v>
      </c>
      <c r="K321" s="31" t="s">
        <v>47</v>
      </c>
      <c r="L321" s="32"/>
      <c r="M321" s="30"/>
      <c r="N321" s="30" t="s">
        <v>48</v>
      </c>
      <c r="O321" s="1" t="n">
        <f aca="false">IF($B321="",0,IF(AND(OR(Filter!$B$5="(alle)",$N321=Filter!$B$5),OR(Filter!$E$5="(alle)",$K321=Filter!$E$5),OR(Filter!$H$5="(alle)",$C321=Filter!$H$5),OR(Filter!$B$7="(alle)",$E321=Filter!$B$7),OR(Filter!$E$7="(alle)",ISNUMBER(SEARCH(Filter!$E$7,$J321))),OR(Filter!$H$7="(alle)",ISNUMBER(SEARCH(Filter!$H$7,$I321))),OR(Filter!$B$9="",ISNUMBER(SEARCH(Filter!$B$9,$F321&amp;" "&amp;$G321)))),COUNTIF($O$6:$O320,"&gt;0")+1,0))</f>
        <v>315</v>
      </c>
    </row>
    <row r="322" customFormat="false" ht="38.25" hidden="false" customHeight="true" outlineLevel="0" collapsed="false">
      <c r="B322" s="30" t="s">
        <v>1682</v>
      </c>
      <c r="C322" s="30" t="s">
        <v>286</v>
      </c>
      <c r="D322" s="30" t="s">
        <v>1683</v>
      </c>
      <c r="E322" s="30" t="s">
        <v>331</v>
      </c>
      <c r="F322" s="30" t="s">
        <v>1684</v>
      </c>
      <c r="G322" s="30" t="s">
        <v>1685</v>
      </c>
      <c r="H322" s="30" t="s">
        <v>1686</v>
      </c>
      <c r="I322" s="30" t="s">
        <v>306</v>
      </c>
      <c r="J322" s="30" t="s">
        <v>206</v>
      </c>
      <c r="K322" s="31" t="s">
        <v>151</v>
      </c>
      <c r="L322" s="32"/>
      <c r="M322" s="30" t="s">
        <v>1687</v>
      </c>
      <c r="N322" s="30" t="s">
        <v>48</v>
      </c>
      <c r="O322" s="1" t="n">
        <f aca="false">IF($B322="",0,IF(AND(OR(Filter!$B$5="(alle)",$N322=Filter!$B$5),OR(Filter!$E$5="(alle)",$K322=Filter!$E$5),OR(Filter!$H$5="(alle)",$C322=Filter!$H$5),OR(Filter!$B$7="(alle)",$E322=Filter!$B$7),OR(Filter!$E$7="(alle)",ISNUMBER(SEARCH(Filter!$E$7,$J322))),OR(Filter!$H$7="(alle)",ISNUMBER(SEARCH(Filter!$H$7,$I322))),OR(Filter!$B$9="",ISNUMBER(SEARCH(Filter!$B$9,$F322&amp;" "&amp;$G322)))),COUNTIF($O$6:$O321,"&gt;0")+1,0))</f>
        <v>316</v>
      </c>
    </row>
    <row r="323" customFormat="false" ht="102" hidden="false" customHeight="true" outlineLevel="0" collapsed="false">
      <c r="B323" s="30" t="s">
        <v>1688</v>
      </c>
      <c r="C323" s="30" t="s">
        <v>286</v>
      </c>
      <c r="D323" s="30" t="s">
        <v>1689</v>
      </c>
      <c r="E323" s="30" t="s">
        <v>155</v>
      </c>
      <c r="F323" s="30" t="s">
        <v>1690</v>
      </c>
      <c r="G323" s="30" t="s">
        <v>1691</v>
      </c>
      <c r="H323" s="30" t="s">
        <v>1692</v>
      </c>
      <c r="I323" s="30" t="s">
        <v>158</v>
      </c>
      <c r="J323" s="30" t="s">
        <v>159</v>
      </c>
      <c r="K323" s="31" t="s">
        <v>47</v>
      </c>
      <c r="L323" s="32"/>
      <c r="M323" s="30"/>
      <c r="N323" s="30" t="s">
        <v>48</v>
      </c>
      <c r="O323" s="1" t="n">
        <f aca="false">IF($B323="",0,IF(AND(OR(Filter!$B$5="(alle)",$N323=Filter!$B$5),OR(Filter!$E$5="(alle)",$K323=Filter!$E$5),OR(Filter!$H$5="(alle)",$C323=Filter!$H$5),OR(Filter!$B$7="(alle)",$E323=Filter!$B$7),OR(Filter!$E$7="(alle)",ISNUMBER(SEARCH(Filter!$E$7,$J323))),OR(Filter!$H$7="(alle)",ISNUMBER(SEARCH(Filter!$H$7,$I323))),OR(Filter!$B$9="",ISNUMBER(SEARCH(Filter!$B$9,$F323&amp;" "&amp;$G323)))),COUNTIF($O$6:$O322,"&gt;0")+1,0))</f>
        <v>317</v>
      </c>
    </row>
    <row r="324" customFormat="false" ht="114.75" hidden="false" customHeight="true" outlineLevel="0" collapsed="false">
      <c r="B324" s="30" t="s">
        <v>1693</v>
      </c>
      <c r="C324" s="30" t="s">
        <v>286</v>
      </c>
      <c r="D324" s="30" t="s">
        <v>1694</v>
      </c>
      <c r="E324" s="30" t="s">
        <v>210</v>
      </c>
      <c r="F324" s="30" t="s">
        <v>1695</v>
      </c>
      <c r="G324" s="30" t="s">
        <v>1696</v>
      </c>
      <c r="H324" s="30" t="s">
        <v>1697</v>
      </c>
      <c r="I324" s="30" t="s">
        <v>306</v>
      </c>
      <c r="J324" s="30" t="s">
        <v>206</v>
      </c>
      <c r="K324" s="31" t="s">
        <v>47</v>
      </c>
      <c r="L324" s="32"/>
      <c r="M324" s="30"/>
      <c r="N324" s="30" t="s">
        <v>48</v>
      </c>
      <c r="O324" s="1" t="n">
        <f aca="false">IF($B324="",0,IF(AND(OR(Filter!$B$5="(alle)",$N324=Filter!$B$5),OR(Filter!$E$5="(alle)",$K324=Filter!$E$5),OR(Filter!$H$5="(alle)",$C324=Filter!$H$5),OR(Filter!$B$7="(alle)",$E324=Filter!$B$7),OR(Filter!$E$7="(alle)",ISNUMBER(SEARCH(Filter!$E$7,$J324))),OR(Filter!$H$7="(alle)",ISNUMBER(SEARCH(Filter!$H$7,$I324))),OR(Filter!$B$9="",ISNUMBER(SEARCH(Filter!$B$9,$F324&amp;" "&amp;$G324)))),COUNTIF($O$6:$O323,"&gt;0")+1,0))</f>
        <v>318</v>
      </c>
    </row>
    <row r="325" customFormat="false" ht="63.75" hidden="false" customHeight="true" outlineLevel="0" collapsed="false">
      <c r="B325" s="30" t="s">
        <v>1698</v>
      </c>
      <c r="C325" s="30" t="s">
        <v>286</v>
      </c>
      <c r="D325" s="30" t="s">
        <v>1699</v>
      </c>
      <c r="E325" s="30" t="s">
        <v>604</v>
      </c>
      <c r="F325" s="30" t="s">
        <v>1700</v>
      </c>
      <c r="G325" s="30" t="s">
        <v>1701</v>
      </c>
      <c r="H325" s="30" t="s">
        <v>1702</v>
      </c>
      <c r="I325" s="30" t="s">
        <v>476</v>
      </c>
      <c r="J325" s="30" t="s">
        <v>476</v>
      </c>
      <c r="K325" s="31" t="s">
        <v>47</v>
      </c>
      <c r="L325" s="32"/>
      <c r="M325" s="30"/>
      <c r="N325" s="30" t="s">
        <v>48</v>
      </c>
      <c r="O325" s="1" t="n">
        <f aca="false">IF($B325="",0,IF(AND(OR(Filter!$B$5="(alle)",$N325=Filter!$B$5),OR(Filter!$E$5="(alle)",$K325=Filter!$E$5),OR(Filter!$H$5="(alle)",$C325=Filter!$H$5),OR(Filter!$B$7="(alle)",$E325=Filter!$B$7),OR(Filter!$E$7="(alle)",ISNUMBER(SEARCH(Filter!$E$7,$J325))),OR(Filter!$H$7="(alle)",ISNUMBER(SEARCH(Filter!$H$7,$I325))),OR(Filter!$B$9="",ISNUMBER(SEARCH(Filter!$B$9,$F325&amp;" "&amp;$G325)))),COUNTIF($O$6:$O324,"&gt;0")+1,0))</f>
        <v>319</v>
      </c>
    </row>
    <row r="326" customFormat="false" ht="114.75" hidden="false" customHeight="true" outlineLevel="0" collapsed="false">
      <c r="B326" s="30" t="s">
        <v>1703</v>
      </c>
      <c r="C326" s="30" t="s">
        <v>286</v>
      </c>
      <c r="D326" s="30" t="s">
        <v>1704</v>
      </c>
      <c r="E326" s="30" t="s">
        <v>355</v>
      </c>
      <c r="F326" s="30" t="s">
        <v>1705</v>
      </c>
      <c r="G326" s="30" t="s">
        <v>1706</v>
      </c>
      <c r="H326" s="30" t="s">
        <v>1707</v>
      </c>
      <c r="I326" s="30" t="s">
        <v>306</v>
      </c>
      <c r="J326" s="30" t="s">
        <v>206</v>
      </c>
      <c r="K326" s="31" t="s">
        <v>47</v>
      </c>
      <c r="L326" s="32"/>
      <c r="M326" s="30"/>
      <c r="N326" s="30" t="s">
        <v>48</v>
      </c>
      <c r="O326" s="1" t="n">
        <f aca="false">IF($B326="",0,IF(AND(OR(Filter!$B$5="(alle)",$N326=Filter!$B$5),OR(Filter!$E$5="(alle)",$K326=Filter!$E$5),OR(Filter!$H$5="(alle)",$C326=Filter!$H$5),OR(Filter!$B$7="(alle)",$E326=Filter!$B$7),OR(Filter!$E$7="(alle)",ISNUMBER(SEARCH(Filter!$E$7,$J326))),OR(Filter!$H$7="(alle)",ISNUMBER(SEARCH(Filter!$H$7,$I326))),OR(Filter!$B$9="",ISNUMBER(SEARCH(Filter!$B$9,$F326&amp;" "&amp;$G326)))),COUNTIF($O$6:$O325,"&gt;0")+1,0))</f>
        <v>320</v>
      </c>
    </row>
    <row r="327" customFormat="false" ht="409.5" hidden="false" customHeight="true" outlineLevel="0" collapsed="false">
      <c r="B327" s="30" t="s">
        <v>1708</v>
      </c>
      <c r="C327" s="30" t="s">
        <v>286</v>
      </c>
      <c r="D327" s="30" t="s">
        <v>1709</v>
      </c>
      <c r="E327" s="30" t="s">
        <v>361</v>
      </c>
      <c r="F327" s="30" t="s">
        <v>1710</v>
      </c>
      <c r="G327" s="30" t="s">
        <v>1711</v>
      </c>
      <c r="H327" s="30" t="s">
        <v>1712</v>
      </c>
      <c r="I327" s="30" t="s">
        <v>45</v>
      </c>
      <c r="J327" s="30" t="s">
        <v>46</v>
      </c>
      <c r="K327" s="31" t="s">
        <v>47</v>
      </c>
      <c r="L327" s="32"/>
      <c r="M327" s="30"/>
      <c r="N327" s="30" t="s">
        <v>48</v>
      </c>
      <c r="O327" s="1" t="n">
        <f aca="false">IF($B327="",0,IF(AND(OR(Filter!$B$5="(alle)",$N327=Filter!$B$5),OR(Filter!$E$5="(alle)",$K327=Filter!$E$5),OR(Filter!$H$5="(alle)",$C327=Filter!$H$5),OR(Filter!$B$7="(alle)",$E327=Filter!$B$7),OR(Filter!$E$7="(alle)",ISNUMBER(SEARCH(Filter!$E$7,$J327))),OR(Filter!$H$7="(alle)",ISNUMBER(SEARCH(Filter!$H$7,$I327))),OR(Filter!$B$9="",ISNUMBER(SEARCH(Filter!$B$9,$F327&amp;" "&amp;$G327)))),COUNTIF($O$6:$O326,"&gt;0")+1,0))</f>
        <v>321</v>
      </c>
    </row>
    <row r="328" customFormat="false" ht="165.75" hidden="false" customHeight="true" outlineLevel="0" collapsed="false">
      <c r="B328" s="30" t="s">
        <v>1713</v>
      </c>
      <c r="C328" s="30" t="s">
        <v>286</v>
      </c>
      <c r="D328" s="30" t="s">
        <v>1714</v>
      </c>
      <c r="E328" s="30" t="s">
        <v>155</v>
      </c>
      <c r="F328" s="30" t="s">
        <v>1715</v>
      </c>
      <c r="G328" s="30" t="s">
        <v>1716</v>
      </c>
      <c r="H328" s="30" t="s">
        <v>1717</v>
      </c>
      <c r="I328" s="30" t="s">
        <v>476</v>
      </c>
      <c r="J328" s="30" t="s">
        <v>476</v>
      </c>
      <c r="K328" s="31" t="s">
        <v>47</v>
      </c>
      <c r="L328" s="32"/>
      <c r="M328" s="30"/>
      <c r="N328" s="30" t="s">
        <v>48</v>
      </c>
      <c r="O328" s="1" t="n">
        <f aca="false">IF($B328="",0,IF(AND(OR(Filter!$B$5="(alle)",$N328=Filter!$B$5),OR(Filter!$E$5="(alle)",$K328=Filter!$E$5),OR(Filter!$H$5="(alle)",$C328=Filter!$H$5),OR(Filter!$B$7="(alle)",$E328=Filter!$B$7),OR(Filter!$E$7="(alle)",ISNUMBER(SEARCH(Filter!$E$7,$J328))),OR(Filter!$H$7="(alle)",ISNUMBER(SEARCH(Filter!$H$7,$I328))),OR(Filter!$B$9="",ISNUMBER(SEARCH(Filter!$B$9,$F328&amp;" "&amp;$G328)))),COUNTIF($O$6:$O327,"&gt;0")+1,0))</f>
        <v>322</v>
      </c>
    </row>
    <row r="329" customFormat="false" ht="38.25" hidden="false" customHeight="true" outlineLevel="0" collapsed="false">
      <c r="B329" s="30" t="s">
        <v>1718</v>
      </c>
      <c r="C329" s="30" t="s">
        <v>286</v>
      </c>
      <c r="D329" s="30" t="s">
        <v>1719</v>
      </c>
      <c r="E329" s="30" t="s">
        <v>155</v>
      </c>
      <c r="F329" s="30" t="s">
        <v>1720</v>
      </c>
      <c r="G329" s="30" t="s">
        <v>1721</v>
      </c>
      <c r="H329" s="30" t="s">
        <v>1722</v>
      </c>
      <c r="I329" s="30" t="s">
        <v>290</v>
      </c>
      <c r="J329" s="30" t="s">
        <v>1723</v>
      </c>
      <c r="K329" s="31" t="s">
        <v>151</v>
      </c>
      <c r="L329" s="32"/>
      <c r="M329" s="30" t="s">
        <v>1724</v>
      </c>
      <c r="N329" s="30" t="s">
        <v>65</v>
      </c>
      <c r="O329" s="1" t="n">
        <f aca="false">IF($B329="",0,IF(AND(OR(Filter!$B$5="(alle)",$N329=Filter!$B$5),OR(Filter!$E$5="(alle)",$K329=Filter!$E$5),OR(Filter!$H$5="(alle)",$C329=Filter!$H$5),OR(Filter!$B$7="(alle)",$E329=Filter!$B$7),OR(Filter!$E$7="(alle)",ISNUMBER(SEARCH(Filter!$E$7,$J329))),OR(Filter!$H$7="(alle)",ISNUMBER(SEARCH(Filter!$H$7,$I329))),OR(Filter!$B$9="",ISNUMBER(SEARCH(Filter!$B$9,$F329&amp;" "&amp;$G329)))),COUNTIF($O$6:$O328,"&gt;0")+1,0))</f>
        <v>323</v>
      </c>
    </row>
    <row r="330" customFormat="false" ht="114.75" hidden="false" customHeight="true" outlineLevel="0" collapsed="false">
      <c r="B330" s="30" t="s">
        <v>1725</v>
      </c>
      <c r="C330" s="30" t="s">
        <v>286</v>
      </c>
      <c r="D330" s="30" t="s">
        <v>1726</v>
      </c>
      <c r="E330" s="30" t="s">
        <v>344</v>
      </c>
      <c r="F330" s="30" t="s">
        <v>1727</v>
      </c>
      <c r="G330" s="30" t="s">
        <v>1728</v>
      </c>
      <c r="H330" s="30" t="s">
        <v>1729</v>
      </c>
      <c r="I330" s="30" t="s">
        <v>306</v>
      </c>
      <c r="J330" s="30" t="s">
        <v>206</v>
      </c>
      <c r="K330" s="31" t="s">
        <v>47</v>
      </c>
      <c r="L330" s="32"/>
      <c r="M330" s="30"/>
      <c r="N330" s="30" t="s">
        <v>48</v>
      </c>
      <c r="O330" s="1" t="n">
        <f aca="false">IF($B330="",0,IF(AND(OR(Filter!$B$5="(alle)",$N330=Filter!$B$5),OR(Filter!$E$5="(alle)",$K330=Filter!$E$5),OR(Filter!$H$5="(alle)",$C330=Filter!$H$5),OR(Filter!$B$7="(alle)",$E330=Filter!$B$7),OR(Filter!$E$7="(alle)",ISNUMBER(SEARCH(Filter!$E$7,$J330))),OR(Filter!$H$7="(alle)",ISNUMBER(SEARCH(Filter!$H$7,$I330))),OR(Filter!$B$9="",ISNUMBER(SEARCH(Filter!$B$9,$F330&amp;" "&amp;$G330)))),COUNTIF($O$6:$O329,"&gt;0")+1,0))</f>
        <v>324</v>
      </c>
    </row>
    <row r="331" customFormat="false" ht="51" hidden="false" customHeight="true" outlineLevel="0" collapsed="false">
      <c r="B331" s="30" t="s">
        <v>1730</v>
      </c>
      <c r="C331" s="30" t="s">
        <v>286</v>
      </c>
      <c r="D331" s="30" t="s">
        <v>1731</v>
      </c>
      <c r="E331" s="30" t="s">
        <v>210</v>
      </c>
      <c r="F331" s="30" t="s">
        <v>1732</v>
      </c>
      <c r="G331" s="30" t="s">
        <v>1733</v>
      </c>
      <c r="H331" s="30" t="s">
        <v>1734</v>
      </c>
      <c r="I331" s="30" t="s">
        <v>306</v>
      </c>
      <c r="J331" s="30" t="s">
        <v>206</v>
      </c>
      <c r="K331" s="31" t="s">
        <v>151</v>
      </c>
      <c r="L331" s="32"/>
      <c r="M331" s="30" t="s">
        <v>1735</v>
      </c>
      <c r="N331" s="30" t="s">
        <v>48</v>
      </c>
      <c r="O331" s="1" t="n">
        <f aca="false">IF($B331="",0,IF(AND(OR(Filter!$B$5="(alle)",$N331=Filter!$B$5),OR(Filter!$E$5="(alle)",$K331=Filter!$E$5),OR(Filter!$H$5="(alle)",$C331=Filter!$H$5),OR(Filter!$B$7="(alle)",$E331=Filter!$B$7),OR(Filter!$E$7="(alle)",ISNUMBER(SEARCH(Filter!$E$7,$J331))),OR(Filter!$H$7="(alle)",ISNUMBER(SEARCH(Filter!$H$7,$I331))),OR(Filter!$B$9="",ISNUMBER(SEARCH(Filter!$B$9,$F331&amp;" "&amp;$G331)))),COUNTIF($O$6:$O330,"&gt;0")+1,0))</f>
        <v>325</v>
      </c>
    </row>
    <row r="332" customFormat="false" ht="51" hidden="false" customHeight="true" outlineLevel="0" collapsed="false">
      <c r="B332" s="30" t="s">
        <v>1736</v>
      </c>
      <c r="C332" s="30" t="s">
        <v>286</v>
      </c>
      <c r="D332" s="30" t="s">
        <v>1737</v>
      </c>
      <c r="E332" s="30" t="s">
        <v>355</v>
      </c>
      <c r="F332" s="30" t="s">
        <v>1626</v>
      </c>
      <c r="G332" s="30" t="s">
        <v>1627</v>
      </c>
      <c r="H332" s="30" t="s">
        <v>1628</v>
      </c>
      <c r="I332" s="30" t="s">
        <v>158</v>
      </c>
      <c r="J332" s="30" t="s">
        <v>159</v>
      </c>
      <c r="K332" s="31" t="s">
        <v>151</v>
      </c>
      <c r="L332" s="32"/>
      <c r="M332" s="30" t="s">
        <v>1629</v>
      </c>
      <c r="N332" s="30" t="s">
        <v>48</v>
      </c>
      <c r="O332" s="1" t="n">
        <f aca="false">IF($B332="",0,IF(AND(OR(Filter!$B$5="(alle)",$N332=Filter!$B$5),OR(Filter!$E$5="(alle)",$K332=Filter!$E$5),OR(Filter!$H$5="(alle)",$C332=Filter!$H$5),OR(Filter!$B$7="(alle)",$E332=Filter!$B$7),OR(Filter!$E$7="(alle)",ISNUMBER(SEARCH(Filter!$E$7,$J332))),OR(Filter!$H$7="(alle)",ISNUMBER(SEARCH(Filter!$H$7,$I332))),OR(Filter!$B$9="",ISNUMBER(SEARCH(Filter!$B$9,$F332&amp;" "&amp;$G332)))),COUNTIF($O$6:$O331,"&gt;0")+1,0))</f>
        <v>326</v>
      </c>
    </row>
    <row r="333" customFormat="false" ht="114.75" hidden="false" customHeight="true" outlineLevel="0" collapsed="false">
      <c r="B333" s="30" t="s">
        <v>1738</v>
      </c>
      <c r="C333" s="30" t="s">
        <v>286</v>
      </c>
      <c r="D333" s="30" t="s">
        <v>1739</v>
      </c>
      <c r="E333" s="30" t="s">
        <v>355</v>
      </c>
      <c r="F333" s="30" t="s">
        <v>1740</v>
      </c>
      <c r="G333" s="30" t="s">
        <v>1741</v>
      </c>
      <c r="H333" s="30" t="s">
        <v>1742</v>
      </c>
      <c r="I333" s="30" t="s">
        <v>306</v>
      </c>
      <c r="J333" s="30" t="s">
        <v>206</v>
      </c>
      <c r="K333" s="31" t="s">
        <v>47</v>
      </c>
      <c r="L333" s="32"/>
      <c r="M333" s="30"/>
      <c r="N333" s="30" t="s">
        <v>48</v>
      </c>
      <c r="O333" s="1" t="n">
        <f aca="false">IF($B333="",0,IF(AND(OR(Filter!$B$5="(alle)",$N333=Filter!$B$5),OR(Filter!$E$5="(alle)",$K333=Filter!$E$5),OR(Filter!$H$5="(alle)",$C333=Filter!$H$5),OR(Filter!$B$7="(alle)",$E333=Filter!$B$7),OR(Filter!$E$7="(alle)",ISNUMBER(SEARCH(Filter!$E$7,$J333))),OR(Filter!$H$7="(alle)",ISNUMBER(SEARCH(Filter!$H$7,$I333))),OR(Filter!$B$9="",ISNUMBER(SEARCH(Filter!$B$9,$F333&amp;" "&amp;$G333)))),COUNTIF($O$6:$O332,"&gt;0")+1,0))</f>
        <v>327</v>
      </c>
    </row>
    <row r="334" customFormat="false" ht="89.25" hidden="false" customHeight="true" outlineLevel="0" collapsed="false">
      <c r="B334" s="30" t="s">
        <v>1743</v>
      </c>
      <c r="C334" s="30" t="s">
        <v>286</v>
      </c>
      <c r="D334" s="30" t="s">
        <v>1744</v>
      </c>
      <c r="E334" s="30" t="s">
        <v>344</v>
      </c>
      <c r="F334" s="30" t="s">
        <v>1745</v>
      </c>
      <c r="G334" s="30" t="s">
        <v>1746</v>
      </c>
      <c r="H334" s="30" t="s">
        <v>1747</v>
      </c>
      <c r="I334" s="30" t="s">
        <v>306</v>
      </c>
      <c r="J334" s="30" t="s">
        <v>206</v>
      </c>
      <c r="K334" s="31" t="s">
        <v>47</v>
      </c>
      <c r="L334" s="32"/>
      <c r="M334" s="30"/>
      <c r="N334" s="30" t="s">
        <v>48</v>
      </c>
      <c r="O334" s="1" t="n">
        <f aca="false">IF($B334="",0,IF(AND(OR(Filter!$B$5="(alle)",$N334=Filter!$B$5),OR(Filter!$E$5="(alle)",$K334=Filter!$E$5),OR(Filter!$H$5="(alle)",$C334=Filter!$H$5),OR(Filter!$B$7="(alle)",$E334=Filter!$B$7),OR(Filter!$E$7="(alle)",ISNUMBER(SEARCH(Filter!$E$7,$J334))),OR(Filter!$H$7="(alle)",ISNUMBER(SEARCH(Filter!$H$7,$I334))),OR(Filter!$B$9="",ISNUMBER(SEARCH(Filter!$B$9,$F334&amp;" "&amp;$G334)))),COUNTIF($O$6:$O333,"&gt;0")+1,0))</f>
        <v>328</v>
      </c>
    </row>
    <row r="335" customFormat="false" ht="63.75" hidden="false" customHeight="true" outlineLevel="0" collapsed="false">
      <c r="B335" s="30" t="s">
        <v>1748</v>
      </c>
      <c r="C335" s="30" t="s">
        <v>286</v>
      </c>
      <c r="D335" s="30" t="s">
        <v>1749</v>
      </c>
      <c r="E335" s="30" t="s">
        <v>604</v>
      </c>
      <c r="F335" s="30" t="s">
        <v>1750</v>
      </c>
      <c r="G335" s="30" t="s">
        <v>1751</v>
      </c>
      <c r="H335" s="30" t="s">
        <v>1752</v>
      </c>
      <c r="I335" s="30" t="s">
        <v>476</v>
      </c>
      <c r="J335" s="30" t="s">
        <v>476</v>
      </c>
      <c r="K335" s="31" t="s">
        <v>47</v>
      </c>
      <c r="L335" s="32"/>
      <c r="M335" s="30"/>
      <c r="N335" s="30" t="s">
        <v>48</v>
      </c>
      <c r="O335" s="1" t="n">
        <f aca="false">IF($B335="",0,IF(AND(OR(Filter!$B$5="(alle)",$N335=Filter!$B$5),OR(Filter!$E$5="(alle)",$K335=Filter!$E$5),OR(Filter!$H$5="(alle)",$C335=Filter!$H$5),OR(Filter!$B$7="(alle)",$E335=Filter!$B$7),OR(Filter!$E$7="(alle)",ISNUMBER(SEARCH(Filter!$E$7,$J335))),OR(Filter!$H$7="(alle)",ISNUMBER(SEARCH(Filter!$H$7,$I335))),OR(Filter!$B$9="",ISNUMBER(SEARCH(Filter!$B$9,$F335&amp;" "&amp;$G335)))),COUNTIF($O$6:$O334,"&gt;0")+1,0))</f>
        <v>329</v>
      </c>
    </row>
    <row r="336" customFormat="false" ht="89.25" hidden="false" customHeight="true" outlineLevel="0" collapsed="false">
      <c r="B336" s="30" t="s">
        <v>1753</v>
      </c>
      <c r="C336" s="30" t="s">
        <v>286</v>
      </c>
      <c r="D336" s="30" t="s">
        <v>1754</v>
      </c>
      <c r="E336" s="30" t="s">
        <v>355</v>
      </c>
      <c r="F336" s="30" t="s">
        <v>1755</v>
      </c>
      <c r="G336" s="30" t="s">
        <v>1756</v>
      </c>
      <c r="H336" s="30" t="s">
        <v>1757</v>
      </c>
      <c r="I336" s="30" t="s">
        <v>306</v>
      </c>
      <c r="J336" s="30" t="s">
        <v>206</v>
      </c>
      <c r="K336" s="31" t="s">
        <v>47</v>
      </c>
      <c r="L336" s="32"/>
      <c r="M336" s="30"/>
      <c r="N336" s="30" t="s">
        <v>48</v>
      </c>
      <c r="O336" s="1" t="n">
        <f aca="false">IF($B336="",0,IF(AND(OR(Filter!$B$5="(alle)",$N336=Filter!$B$5),OR(Filter!$E$5="(alle)",$K336=Filter!$E$5),OR(Filter!$H$5="(alle)",$C336=Filter!$H$5),OR(Filter!$B$7="(alle)",$E336=Filter!$B$7),OR(Filter!$E$7="(alle)",ISNUMBER(SEARCH(Filter!$E$7,$J336))),OR(Filter!$H$7="(alle)",ISNUMBER(SEARCH(Filter!$H$7,$I336))),OR(Filter!$B$9="",ISNUMBER(SEARCH(Filter!$B$9,$F336&amp;" "&amp;$G336)))),COUNTIF($O$6:$O335,"&gt;0")+1,0))</f>
        <v>330</v>
      </c>
    </row>
    <row r="337" customFormat="false" ht="63.75" hidden="false" customHeight="true" outlineLevel="0" collapsed="false">
      <c r="B337" s="30" t="s">
        <v>1758</v>
      </c>
      <c r="C337" s="30" t="s">
        <v>286</v>
      </c>
      <c r="D337" s="30" t="s">
        <v>1759</v>
      </c>
      <c r="E337" s="30" t="s">
        <v>344</v>
      </c>
      <c r="F337" s="30" t="s">
        <v>1760</v>
      </c>
      <c r="G337" s="30" t="s">
        <v>1761</v>
      </c>
      <c r="H337" s="30" t="s">
        <v>1762</v>
      </c>
      <c r="I337" s="30" t="s">
        <v>306</v>
      </c>
      <c r="J337" s="30" t="s">
        <v>206</v>
      </c>
      <c r="K337" s="31" t="s">
        <v>47</v>
      </c>
      <c r="L337" s="32"/>
      <c r="M337" s="30"/>
      <c r="N337" s="30" t="s">
        <v>48</v>
      </c>
      <c r="O337" s="1" t="n">
        <f aca="false">IF($B337="",0,IF(AND(OR(Filter!$B$5="(alle)",$N337=Filter!$B$5),OR(Filter!$E$5="(alle)",$K337=Filter!$E$5),OR(Filter!$H$5="(alle)",$C337=Filter!$H$5),OR(Filter!$B$7="(alle)",$E337=Filter!$B$7),OR(Filter!$E$7="(alle)",ISNUMBER(SEARCH(Filter!$E$7,$J337))),OR(Filter!$H$7="(alle)",ISNUMBER(SEARCH(Filter!$H$7,$I337))),OR(Filter!$B$9="",ISNUMBER(SEARCH(Filter!$B$9,$F337&amp;" "&amp;$G337)))),COUNTIF($O$6:$O336,"&gt;0")+1,0))</f>
        <v>331</v>
      </c>
    </row>
    <row r="338" customFormat="false" ht="89.25" hidden="false" customHeight="true" outlineLevel="0" collapsed="false">
      <c r="B338" s="30" t="s">
        <v>1763</v>
      </c>
      <c r="C338" s="30" t="s">
        <v>286</v>
      </c>
      <c r="D338" s="30" t="s">
        <v>1764</v>
      </c>
      <c r="E338" s="30" t="s">
        <v>344</v>
      </c>
      <c r="F338" s="30" t="s">
        <v>1765</v>
      </c>
      <c r="G338" s="30" t="s">
        <v>1766</v>
      </c>
      <c r="H338" s="30" t="s">
        <v>1767</v>
      </c>
      <c r="I338" s="30" t="s">
        <v>306</v>
      </c>
      <c r="J338" s="30" t="s">
        <v>206</v>
      </c>
      <c r="K338" s="31" t="s">
        <v>47</v>
      </c>
      <c r="L338" s="32"/>
      <c r="M338" s="30"/>
      <c r="N338" s="30" t="s">
        <v>48</v>
      </c>
      <c r="O338" s="1" t="n">
        <f aca="false">IF($B338="",0,IF(AND(OR(Filter!$B$5="(alle)",$N338=Filter!$B$5),OR(Filter!$E$5="(alle)",$K338=Filter!$E$5),OR(Filter!$H$5="(alle)",$C338=Filter!$H$5),OR(Filter!$B$7="(alle)",$E338=Filter!$B$7),OR(Filter!$E$7="(alle)",ISNUMBER(SEARCH(Filter!$E$7,$J338))),OR(Filter!$H$7="(alle)",ISNUMBER(SEARCH(Filter!$H$7,$I338))),OR(Filter!$B$9="",ISNUMBER(SEARCH(Filter!$B$9,$F338&amp;" "&amp;$G338)))),COUNTIF($O$6:$O337,"&gt;0")+1,0))</f>
        <v>332</v>
      </c>
    </row>
    <row r="339" customFormat="false" ht="89.25" hidden="false" customHeight="true" outlineLevel="0" collapsed="false">
      <c r="B339" s="30" t="s">
        <v>1768</v>
      </c>
      <c r="C339" s="30" t="s">
        <v>286</v>
      </c>
      <c r="D339" s="30" t="s">
        <v>1769</v>
      </c>
      <c r="E339" s="30" t="s">
        <v>331</v>
      </c>
      <c r="F339" s="30" t="s">
        <v>1770</v>
      </c>
      <c r="G339" s="30" t="s">
        <v>1771</v>
      </c>
      <c r="H339" s="30" t="s">
        <v>1772</v>
      </c>
      <c r="I339" s="30" t="s">
        <v>306</v>
      </c>
      <c r="J339" s="30" t="s">
        <v>206</v>
      </c>
      <c r="K339" s="31" t="s">
        <v>151</v>
      </c>
      <c r="L339" s="32"/>
      <c r="M339" s="30" t="s">
        <v>370</v>
      </c>
      <c r="N339" s="30" t="s">
        <v>48</v>
      </c>
      <c r="O339" s="1" t="n">
        <f aca="false">IF($B339="",0,IF(AND(OR(Filter!$B$5="(alle)",$N339=Filter!$B$5),OR(Filter!$E$5="(alle)",$K339=Filter!$E$5),OR(Filter!$H$5="(alle)",$C339=Filter!$H$5),OR(Filter!$B$7="(alle)",$E339=Filter!$B$7),OR(Filter!$E$7="(alle)",ISNUMBER(SEARCH(Filter!$E$7,$J339))),OR(Filter!$H$7="(alle)",ISNUMBER(SEARCH(Filter!$H$7,$I339))),OR(Filter!$B$9="",ISNUMBER(SEARCH(Filter!$B$9,$F339&amp;" "&amp;$G339)))),COUNTIF($O$6:$O338,"&gt;0")+1,0))</f>
        <v>333</v>
      </c>
    </row>
    <row r="340" customFormat="false" ht="51" hidden="false" customHeight="true" outlineLevel="0" collapsed="false">
      <c r="B340" s="30" t="s">
        <v>1773</v>
      </c>
      <c r="C340" s="30" t="s">
        <v>286</v>
      </c>
      <c r="D340" s="30" t="s">
        <v>1774</v>
      </c>
      <c r="E340" s="30" t="s">
        <v>331</v>
      </c>
      <c r="F340" s="30" t="s">
        <v>1775</v>
      </c>
      <c r="G340" s="30" t="s">
        <v>1776</v>
      </c>
      <c r="H340" s="30" t="s">
        <v>1777</v>
      </c>
      <c r="I340" s="30" t="s">
        <v>306</v>
      </c>
      <c r="J340" s="30" t="s">
        <v>206</v>
      </c>
      <c r="K340" s="31" t="s">
        <v>151</v>
      </c>
      <c r="L340" s="32"/>
      <c r="M340" s="30" t="s">
        <v>370</v>
      </c>
      <c r="N340" s="30" t="s">
        <v>48</v>
      </c>
      <c r="O340" s="1" t="n">
        <f aca="false">IF($B340="",0,IF(AND(OR(Filter!$B$5="(alle)",$N340=Filter!$B$5),OR(Filter!$E$5="(alle)",$K340=Filter!$E$5),OR(Filter!$H$5="(alle)",$C340=Filter!$H$5),OR(Filter!$B$7="(alle)",$E340=Filter!$B$7),OR(Filter!$E$7="(alle)",ISNUMBER(SEARCH(Filter!$E$7,$J340))),OR(Filter!$H$7="(alle)",ISNUMBER(SEARCH(Filter!$H$7,$I340))),OR(Filter!$B$9="",ISNUMBER(SEARCH(Filter!$B$9,$F340&amp;" "&amp;$G340)))),COUNTIF($O$6:$O339,"&gt;0")+1,0))</f>
        <v>334</v>
      </c>
    </row>
    <row r="341" customFormat="false" ht="63.75" hidden="false" customHeight="true" outlineLevel="0" collapsed="false">
      <c r="B341" s="30" t="s">
        <v>1778</v>
      </c>
      <c r="C341" s="30" t="s">
        <v>286</v>
      </c>
      <c r="D341" s="30" t="s">
        <v>1779</v>
      </c>
      <c r="E341" s="30" t="s">
        <v>210</v>
      </c>
      <c r="F341" s="30" t="s">
        <v>1780</v>
      </c>
      <c r="G341" s="30" t="s">
        <v>1781</v>
      </c>
      <c r="H341" s="30" t="s">
        <v>1782</v>
      </c>
      <c r="I341" s="30" t="s">
        <v>306</v>
      </c>
      <c r="J341" s="30" t="s">
        <v>206</v>
      </c>
      <c r="K341" s="31" t="s">
        <v>47</v>
      </c>
      <c r="L341" s="32"/>
      <c r="M341" s="30"/>
      <c r="N341" s="30" t="s">
        <v>48</v>
      </c>
      <c r="O341" s="1" t="n">
        <f aca="false">IF($B341="",0,IF(AND(OR(Filter!$B$5="(alle)",$N341=Filter!$B$5),OR(Filter!$E$5="(alle)",$K341=Filter!$E$5),OR(Filter!$H$5="(alle)",$C341=Filter!$H$5),OR(Filter!$B$7="(alle)",$E341=Filter!$B$7),OR(Filter!$E$7="(alle)",ISNUMBER(SEARCH(Filter!$E$7,$J341))),OR(Filter!$H$7="(alle)",ISNUMBER(SEARCH(Filter!$H$7,$I341))),OR(Filter!$B$9="",ISNUMBER(SEARCH(Filter!$B$9,$F341&amp;" "&amp;$G341)))),COUNTIF($O$6:$O340,"&gt;0")+1,0))</f>
        <v>335</v>
      </c>
    </row>
    <row r="342" customFormat="false" ht="102" hidden="false" customHeight="true" outlineLevel="0" collapsed="false">
      <c r="B342" s="30" t="s">
        <v>1783</v>
      </c>
      <c r="C342" s="30" t="s">
        <v>286</v>
      </c>
      <c r="D342" s="30" t="s">
        <v>1784</v>
      </c>
      <c r="E342" s="30" t="s">
        <v>361</v>
      </c>
      <c r="F342" s="30" t="s">
        <v>1785</v>
      </c>
      <c r="G342" s="30" t="s">
        <v>1786</v>
      </c>
      <c r="H342" s="30" t="s">
        <v>1787</v>
      </c>
      <c r="I342" s="30" t="s">
        <v>306</v>
      </c>
      <c r="J342" s="30" t="s">
        <v>206</v>
      </c>
      <c r="K342" s="31" t="s">
        <v>47</v>
      </c>
      <c r="L342" s="32"/>
      <c r="M342" s="30"/>
      <c r="N342" s="30" t="s">
        <v>48</v>
      </c>
      <c r="O342" s="1" t="n">
        <f aca="false">IF($B342="",0,IF(AND(OR(Filter!$B$5="(alle)",$N342=Filter!$B$5),OR(Filter!$E$5="(alle)",$K342=Filter!$E$5),OR(Filter!$H$5="(alle)",$C342=Filter!$H$5),OR(Filter!$B$7="(alle)",$E342=Filter!$B$7),OR(Filter!$E$7="(alle)",ISNUMBER(SEARCH(Filter!$E$7,$J342))),OR(Filter!$H$7="(alle)",ISNUMBER(SEARCH(Filter!$H$7,$I342))),OR(Filter!$B$9="",ISNUMBER(SEARCH(Filter!$B$9,$F342&amp;" "&amp;$G342)))),COUNTIF($O$6:$O341,"&gt;0")+1,0))</f>
        <v>336</v>
      </c>
    </row>
    <row r="343" customFormat="false" ht="63.75" hidden="false" customHeight="true" outlineLevel="0" collapsed="false">
      <c r="B343" s="30" t="s">
        <v>1788</v>
      </c>
      <c r="C343" s="30" t="s">
        <v>286</v>
      </c>
      <c r="D343" s="30" t="s">
        <v>1789</v>
      </c>
      <c r="E343" s="30" t="s">
        <v>355</v>
      </c>
      <c r="F343" s="30" t="s">
        <v>1790</v>
      </c>
      <c r="G343" s="30" t="s">
        <v>1791</v>
      </c>
      <c r="H343" s="30" t="s">
        <v>1792</v>
      </c>
      <c r="I343" s="30" t="s">
        <v>306</v>
      </c>
      <c r="J343" s="30" t="s">
        <v>206</v>
      </c>
      <c r="K343" s="31" t="s">
        <v>47</v>
      </c>
      <c r="L343" s="32"/>
      <c r="M343" s="30"/>
      <c r="N343" s="30" t="s">
        <v>48</v>
      </c>
      <c r="O343" s="1" t="n">
        <f aca="false">IF($B343="",0,IF(AND(OR(Filter!$B$5="(alle)",$N343=Filter!$B$5),OR(Filter!$E$5="(alle)",$K343=Filter!$E$5),OR(Filter!$H$5="(alle)",$C343=Filter!$H$5),OR(Filter!$B$7="(alle)",$E343=Filter!$B$7),OR(Filter!$E$7="(alle)",ISNUMBER(SEARCH(Filter!$E$7,$J343))),OR(Filter!$H$7="(alle)",ISNUMBER(SEARCH(Filter!$H$7,$I343))),OR(Filter!$B$9="",ISNUMBER(SEARCH(Filter!$B$9,$F343&amp;" "&amp;$G343)))),COUNTIF($O$6:$O342,"&gt;0")+1,0))</f>
        <v>337</v>
      </c>
    </row>
    <row r="344" customFormat="false" ht="63.75" hidden="false" customHeight="true" outlineLevel="0" collapsed="false">
      <c r="B344" s="30" t="s">
        <v>1793</v>
      </c>
      <c r="C344" s="30" t="s">
        <v>286</v>
      </c>
      <c r="D344" s="30" t="s">
        <v>1794</v>
      </c>
      <c r="E344" s="30" t="s">
        <v>331</v>
      </c>
      <c r="F344" s="30" t="s">
        <v>1795</v>
      </c>
      <c r="G344" s="30" t="s">
        <v>1796</v>
      </c>
      <c r="H344" s="30" t="s">
        <v>1797</v>
      </c>
      <c r="I344" s="30" t="s">
        <v>306</v>
      </c>
      <c r="J344" s="30" t="s">
        <v>206</v>
      </c>
      <c r="K344" s="31" t="s">
        <v>151</v>
      </c>
      <c r="L344" s="32"/>
      <c r="M344" s="30" t="s">
        <v>370</v>
      </c>
      <c r="N344" s="30" t="s">
        <v>48</v>
      </c>
      <c r="O344" s="1" t="n">
        <f aca="false">IF($B344="",0,IF(AND(OR(Filter!$B$5="(alle)",$N344=Filter!$B$5),OR(Filter!$E$5="(alle)",$K344=Filter!$E$5),OR(Filter!$H$5="(alle)",$C344=Filter!$H$5),OR(Filter!$B$7="(alle)",$E344=Filter!$B$7),OR(Filter!$E$7="(alle)",ISNUMBER(SEARCH(Filter!$E$7,$J344))),OR(Filter!$H$7="(alle)",ISNUMBER(SEARCH(Filter!$H$7,$I344))),OR(Filter!$B$9="",ISNUMBER(SEARCH(Filter!$B$9,$F344&amp;" "&amp;$G344)))),COUNTIF($O$6:$O343,"&gt;0")+1,0))</f>
        <v>338</v>
      </c>
    </row>
    <row r="345" customFormat="false" ht="114.75" hidden="false" customHeight="true" outlineLevel="0" collapsed="false">
      <c r="B345" s="30" t="s">
        <v>1798</v>
      </c>
      <c r="C345" s="30" t="s">
        <v>286</v>
      </c>
      <c r="D345" s="30" t="s">
        <v>1799</v>
      </c>
      <c r="E345" s="30" t="s">
        <v>604</v>
      </c>
      <c r="F345" s="30" t="s">
        <v>1800</v>
      </c>
      <c r="G345" s="30" t="s">
        <v>1801</v>
      </c>
      <c r="H345" s="30" t="s">
        <v>1802</v>
      </c>
      <c r="I345" s="30" t="s">
        <v>476</v>
      </c>
      <c r="J345" s="30" t="s">
        <v>476</v>
      </c>
      <c r="K345" s="31" t="s">
        <v>47</v>
      </c>
      <c r="L345" s="32"/>
      <c r="M345" s="30"/>
      <c r="N345" s="30" t="s">
        <v>48</v>
      </c>
      <c r="O345" s="1" t="n">
        <f aca="false">IF($B345="",0,IF(AND(OR(Filter!$B$5="(alle)",$N345=Filter!$B$5),OR(Filter!$E$5="(alle)",$K345=Filter!$E$5),OR(Filter!$H$5="(alle)",$C345=Filter!$H$5),OR(Filter!$B$7="(alle)",$E345=Filter!$B$7),OR(Filter!$E$7="(alle)",ISNUMBER(SEARCH(Filter!$E$7,$J345))),OR(Filter!$H$7="(alle)",ISNUMBER(SEARCH(Filter!$H$7,$I345))),OR(Filter!$B$9="",ISNUMBER(SEARCH(Filter!$B$9,$F345&amp;" "&amp;$G345)))),COUNTIF($O$6:$O344,"&gt;0")+1,0))</f>
        <v>339</v>
      </c>
    </row>
    <row r="346" customFormat="false" ht="51" hidden="false" customHeight="true" outlineLevel="0" collapsed="false">
      <c r="B346" s="30" t="s">
        <v>1803</v>
      </c>
      <c r="C346" s="30" t="s">
        <v>286</v>
      </c>
      <c r="D346" s="30" t="s">
        <v>1804</v>
      </c>
      <c r="E346" s="30" t="s">
        <v>331</v>
      </c>
      <c r="F346" s="30" t="s">
        <v>1805</v>
      </c>
      <c r="G346" s="30" t="s">
        <v>1342</v>
      </c>
      <c r="H346" s="30" t="s">
        <v>1806</v>
      </c>
      <c r="I346" s="30" t="s">
        <v>306</v>
      </c>
      <c r="J346" s="30" t="s">
        <v>206</v>
      </c>
      <c r="K346" s="31" t="s">
        <v>151</v>
      </c>
      <c r="L346" s="32"/>
      <c r="M346" s="30" t="s">
        <v>370</v>
      </c>
      <c r="N346" s="30" t="s">
        <v>48</v>
      </c>
      <c r="O346" s="1" t="n">
        <f aca="false">IF($B346="",0,IF(AND(OR(Filter!$B$5="(alle)",$N346=Filter!$B$5),OR(Filter!$E$5="(alle)",$K346=Filter!$E$5),OR(Filter!$H$5="(alle)",$C346=Filter!$H$5),OR(Filter!$B$7="(alle)",$E346=Filter!$B$7),OR(Filter!$E$7="(alle)",ISNUMBER(SEARCH(Filter!$E$7,$J346))),OR(Filter!$H$7="(alle)",ISNUMBER(SEARCH(Filter!$H$7,$I346))),OR(Filter!$B$9="",ISNUMBER(SEARCH(Filter!$B$9,$F346&amp;" "&amp;$G346)))),COUNTIF($O$6:$O345,"&gt;0")+1,0))</f>
        <v>340</v>
      </c>
    </row>
    <row r="347" customFormat="false" ht="89.25" hidden="false" customHeight="true" outlineLevel="0" collapsed="false">
      <c r="B347" s="30" t="s">
        <v>1807</v>
      </c>
      <c r="C347" s="30" t="s">
        <v>286</v>
      </c>
      <c r="D347" s="30" t="s">
        <v>1808</v>
      </c>
      <c r="E347" s="30" t="s">
        <v>604</v>
      </c>
      <c r="F347" s="30" t="s">
        <v>1809</v>
      </c>
      <c r="G347" s="30" t="s">
        <v>1810</v>
      </c>
      <c r="H347" s="30" t="s">
        <v>1811</v>
      </c>
      <c r="I347" s="30" t="s">
        <v>476</v>
      </c>
      <c r="J347" s="30" t="s">
        <v>476</v>
      </c>
      <c r="K347" s="31" t="s">
        <v>47</v>
      </c>
      <c r="L347" s="32"/>
      <c r="M347" s="30"/>
      <c r="N347" s="30" t="s">
        <v>48</v>
      </c>
      <c r="O347" s="1" t="n">
        <f aca="false">IF($B347="",0,IF(AND(OR(Filter!$B$5="(alle)",$N347=Filter!$B$5),OR(Filter!$E$5="(alle)",$K347=Filter!$E$5),OR(Filter!$H$5="(alle)",$C347=Filter!$H$5),OR(Filter!$B$7="(alle)",$E347=Filter!$B$7),OR(Filter!$E$7="(alle)",ISNUMBER(SEARCH(Filter!$E$7,$J347))),OR(Filter!$H$7="(alle)",ISNUMBER(SEARCH(Filter!$H$7,$I347))),OR(Filter!$B$9="",ISNUMBER(SEARCH(Filter!$B$9,$F347&amp;" "&amp;$G347)))),COUNTIF($O$6:$O346,"&gt;0")+1,0))</f>
        <v>341</v>
      </c>
    </row>
    <row r="348" customFormat="false" ht="204" hidden="false" customHeight="true" outlineLevel="0" collapsed="false">
      <c r="B348" s="30" t="s">
        <v>1812</v>
      </c>
      <c r="C348" s="30" t="s">
        <v>286</v>
      </c>
      <c r="D348" s="30" t="s">
        <v>1813</v>
      </c>
      <c r="E348" s="30" t="s">
        <v>42</v>
      </c>
      <c r="F348" s="30" t="s">
        <v>1814</v>
      </c>
      <c r="G348" s="30" t="s">
        <v>1815</v>
      </c>
      <c r="H348" s="30" t="s">
        <v>1816</v>
      </c>
      <c r="I348" s="30" t="s">
        <v>45</v>
      </c>
      <c r="J348" s="30" t="s">
        <v>46</v>
      </c>
      <c r="K348" s="31" t="s">
        <v>47</v>
      </c>
      <c r="L348" s="32"/>
      <c r="M348" s="30"/>
      <c r="N348" s="30" t="s">
        <v>48</v>
      </c>
      <c r="O348" s="1" t="n">
        <f aca="false">IF($B348="",0,IF(AND(OR(Filter!$B$5="(alle)",$N348=Filter!$B$5),OR(Filter!$E$5="(alle)",$K348=Filter!$E$5),OR(Filter!$H$5="(alle)",$C348=Filter!$H$5),OR(Filter!$B$7="(alle)",$E348=Filter!$B$7),OR(Filter!$E$7="(alle)",ISNUMBER(SEARCH(Filter!$E$7,$J348))),OR(Filter!$H$7="(alle)",ISNUMBER(SEARCH(Filter!$H$7,$I348))),OR(Filter!$B$9="",ISNUMBER(SEARCH(Filter!$B$9,$F348&amp;" "&amp;$G348)))),COUNTIF($O$6:$O347,"&gt;0")+1,0))</f>
        <v>342</v>
      </c>
    </row>
    <row r="349" customFormat="false" ht="76.5" hidden="false" customHeight="true" outlineLevel="0" collapsed="false">
      <c r="B349" s="30" t="s">
        <v>1817</v>
      </c>
      <c r="C349" s="30" t="s">
        <v>286</v>
      </c>
      <c r="D349" s="30" t="s">
        <v>1818</v>
      </c>
      <c r="E349" s="30" t="s">
        <v>344</v>
      </c>
      <c r="F349" s="30" t="s">
        <v>1819</v>
      </c>
      <c r="G349" s="30" t="s">
        <v>1820</v>
      </c>
      <c r="H349" s="30" t="s">
        <v>1821</v>
      </c>
      <c r="I349" s="30" t="s">
        <v>306</v>
      </c>
      <c r="J349" s="30" t="s">
        <v>206</v>
      </c>
      <c r="K349" s="31" t="s">
        <v>47</v>
      </c>
      <c r="L349" s="32"/>
      <c r="M349" s="30"/>
      <c r="N349" s="30" t="s">
        <v>48</v>
      </c>
      <c r="O349" s="1" t="n">
        <f aca="false">IF($B349="",0,IF(AND(OR(Filter!$B$5="(alle)",$N349=Filter!$B$5),OR(Filter!$E$5="(alle)",$K349=Filter!$E$5),OR(Filter!$H$5="(alle)",$C349=Filter!$H$5),OR(Filter!$B$7="(alle)",$E349=Filter!$B$7),OR(Filter!$E$7="(alle)",ISNUMBER(SEARCH(Filter!$E$7,$J349))),OR(Filter!$H$7="(alle)",ISNUMBER(SEARCH(Filter!$H$7,$I349))),OR(Filter!$B$9="",ISNUMBER(SEARCH(Filter!$B$9,$F349&amp;" "&amp;$G349)))),COUNTIF($O$6:$O348,"&gt;0")+1,0))</f>
        <v>343</v>
      </c>
    </row>
    <row r="350" customFormat="false" ht="63.75" hidden="false" customHeight="true" outlineLevel="0" collapsed="false">
      <c r="B350" s="30" t="s">
        <v>1822</v>
      </c>
      <c r="C350" s="30" t="s">
        <v>286</v>
      </c>
      <c r="D350" s="30" t="s">
        <v>1823</v>
      </c>
      <c r="E350" s="30" t="s">
        <v>344</v>
      </c>
      <c r="F350" s="30" t="s">
        <v>1824</v>
      </c>
      <c r="G350" s="30" t="s">
        <v>1825</v>
      </c>
      <c r="H350" s="30" t="s">
        <v>1826</v>
      </c>
      <c r="I350" s="30" t="s">
        <v>306</v>
      </c>
      <c r="J350" s="30" t="s">
        <v>206</v>
      </c>
      <c r="K350" s="31" t="s">
        <v>47</v>
      </c>
      <c r="L350" s="32"/>
      <c r="M350" s="30"/>
      <c r="N350" s="30" t="s">
        <v>48</v>
      </c>
      <c r="O350" s="1" t="n">
        <f aca="false">IF($B350="",0,IF(AND(OR(Filter!$B$5="(alle)",$N350=Filter!$B$5),OR(Filter!$E$5="(alle)",$K350=Filter!$E$5),OR(Filter!$H$5="(alle)",$C350=Filter!$H$5),OR(Filter!$B$7="(alle)",$E350=Filter!$B$7),OR(Filter!$E$7="(alle)",ISNUMBER(SEARCH(Filter!$E$7,$J350))),OR(Filter!$H$7="(alle)",ISNUMBER(SEARCH(Filter!$H$7,$I350))),OR(Filter!$B$9="",ISNUMBER(SEARCH(Filter!$B$9,$F350&amp;" "&amp;$G350)))),COUNTIF($O$6:$O349,"&gt;0")+1,0))</f>
        <v>344</v>
      </c>
    </row>
    <row r="351" customFormat="false" ht="127.5" hidden="false" customHeight="true" outlineLevel="0" collapsed="false">
      <c r="B351" s="30" t="s">
        <v>1827</v>
      </c>
      <c r="C351" s="30" t="s">
        <v>286</v>
      </c>
      <c r="D351" s="30" t="s">
        <v>1828</v>
      </c>
      <c r="E351" s="30" t="s">
        <v>547</v>
      </c>
      <c r="F351" s="30" t="s">
        <v>1829</v>
      </c>
      <c r="G351" s="30" t="s">
        <v>1830</v>
      </c>
      <c r="H351" s="30" t="s">
        <v>1831</v>
      </c>
      <c r="I351" s="30" t="s">
        <v>476</v>
      </c>
      <c r="J351" s="30" t="s">
        <v>476</v>
      </c>
      <c r="K351" s="31" t="s">
        <v>47</v>
      </c>
      <c r="L351" s="32"/>
      <c r="M351" s="30"/>
      <c r="N351" s="30" t="s">
        <v>48</v>
      </c>
      <c r="O351" s="1" t="n">
        <f aca="false">IF($B351="",0,IF(AND(OR(Filter!$B$5="(alle)",$N351=Filter!$B$5),OR(Filter!$E$5="(alle)",$K351=Filter!$E$5),OR(Filter!$H$5="(alle)",$C351=Filter!$H$5),OR(Filter!$B$7="(alle)",$E351=Filter!$B$7),OR(Filter!$E$7="(alle)",ISNUMBER(SEARCH(Filter!$E$7,$J351))),OR(Filter!$H$7="(alle)",ISNUMBER(SEARCH(Filter!$H$7,$I351))),OR(Filter!$B$9="",ISNUMBER(SEARCH(Filter!$B$9,$F351&amp;" "&amp;$G351)))),COUNTIF($O$6:$O350,"&gt;0")+1,0))</f>
        <v>345</v>
      </c>
    </row>
    <row r="352" customFormat="false" ht="127.5" hidden="false" customHeight="true" outlineLevel="0" collapsed="false">
      <c r="B352" s="30" t="s">
        <v>1832</v>
      </c>
      <c r="C352" s="30" t="s">
        <v>286</v>
      </c>
      <c r="D352" s="30" t="s">
        <v>1833</v>
      </c>
      <c r="E352" s="30" t="s">
        <v>344</v>
      </c>
      <c r="F352" s="30" t="s">
        <v>1834</v>
      </c>
      <c r="G352" s="30" t="s">
        <v>1835</v>
      </c>
      <c r="H352" s="30" t="s">
        <v>1836</v>
      </c>
      <c r="I352" s="30" t="s">
        <v>306</v>
      </c>
      <c r="J352" s="30" t="s">
        <v>206</v>
      </c>
      <c r="K352" s="31" t="s">
        <v>47</v>
      </c>
      <c r="L352" s="32"/>
      <c r="M352" s="30"/>
      <c r="N352" s="30" t="s">
        <v>48</v>
      </c>
      <c r="O352" s="1" t="n">
        <f aca="false">IF($B352="",0,IF(AND(OR(Filter!$B$5="(alle)",$N352=Filter!$B$5),OR(Filter!$E$5="(alle)",$K352=Filter!$E$5),OR(Filter!$H$5="(alle)",$C352=Filter!$H$5),OR(Filter!$B$7="(alle)",$E352=Filter!$B$7),OR(Filter!$E$7="(alle)",ISNUMBER(SEARCH(Filter!$E$7,$J352))),OR(Filter!$H$7="(alle)",ISNUMBER(SEARCH(Filter!$H$7,$I352))),OR(Filter!$B$9="",ISNUMBER(SEARCH(Filter!$B$9,$F352&amp;" "&amp;$G352)))),COUNTIF($O$6:$O351,"&gt;0")+1,0))</f>
        <v>346</v>
      </c>
    </row>
    <row r="353" customFormat="false" ht="38.25" hidden="false" customHeight="true" outlineLevel="0" collapsed="false">
      <c r="B353" s="30" t="s">
        <v>1837</v>
      </c>
      <c r="C353" s="30" t="s">
        <v>286</v>
      </c>
      <c r="D353" s="30" t="s">
        <v>1838</v>
      </c>
      <c r="E353" s="30" t="s">
        <v>331</v>
      </c>
      <c r="F353" s="30" t="s">
        <v>1839</v>
      </c>
      <c r="G353" s="30" t="s">
        <v>1840</v>
      </c>
      <c r="H353" s="30" t="s">
        <v>1841</v>
      </c>
      <c r="I353" s="30" t="s">
        <v>306</v>
      </c>
      <c r="J353" s="30" t="s">
        <v>206</v>
      </c>
      <c r="K353" s="31" t="s">
        <v>151</v>
      </c>
      <c r="L353" s="32"/>
      <c r="M353" s="30" t="s">
        <v>1842</v>
      </c>
      <c r="N353" s="30" t="s">
        <v>48</v>
      </c>
      <c r="O353" s="1" t="n">
        <f aca="false">IF($B353="",0,IF(AND(OR(Filter!$B$5="(alle)",$N353=Filter!$B$5),OR(Filter!$E$5="(alle)",$K353=Filter!$E$5),OR(Filter!$H$5="(alle)",$C353=Filter!$H$5),OR(Filter!$B$7="(alle)",$E353=Filter!$B$7),OR(Filter!$E$7="(alle)",ISNUMBER(SEARCH(Filter!$E$7,$J353))),OR(Filter!$H$7="(alle)",ISNUMBER(SEARCH(Filter!$H$7,$I353))),OR(Filter!$B$9="",ISNUMBER(SEARCH(Filter!$B$9,$F353&amp;" "&amp;$G353)))),COUNTIF($O$6:$O352,"&gt;0")+1,0))</f>
        <v>347</v>
      </c>
    </row>
    <row r="354" customFormat="false" ht="191.25" hidden="false" customHeight="true" outlineLevel="0" collapsed="false">
      <c r="B354" s="30" t="s">
        <v>1843</v>
      </c>
      <c r="C354" s="30" t="s">
        <v>286</v>
      </c>
      <c r="D354" s="30" t="s">
        <v>1844</v>
      </c>
      <c r="E354" s="30" t="s">
        <v>355</v>
      </c>
      <c r="F354" s="30" t="s">
        <v>1845</v>
      </c>
      <c r="G354" s="30" t="s">
        <v>1846</v>
      </c>
      <c r="H354" s="30" t="s">
        <v>1847</v>
      </c>
      <c r="I354" s="30" t="s">
        <v>306</v>
      </c>
      <c r="J354" s="30" t="s">
        <v>206</v>
      </c>
      <c r="K354" s="31" t="s">
        <v>47</v>
      </c>
      <c r="L354" s="32"/>
      <c r="M354" s="30"/>
      <c r="N354" s="30" t="s">
        <v>48</v>
      </c>
      <c r="O354" s="1" t="n">
        <f aca="false">IF($B354="",0,IF(AND(OR(Filter!$B$5="(alle)",$N354=Filter!$B$5),OR(Filter!$E$5="(alle)",$K354=Filter!$E$5),OR(Filter!$H$5="(alle)",$C354=Filter!$H$5),OR(Filter!$B$7="(alle)",$E354=Filter!$B$7),OR(Filter!$E$7="(alle)",ISNUMBER(SEARCH(Filter!$E$7,$J354))),OR(Filter!$H$7="(alle)",ISNUMBER(SEARCH(Filter!$H$7,$I354))),OR(Filter!$B$9="",ISNUMBER(SEARCH(Filter!$B$9,$F354&amp;" "&amp;$G354)))),COUNTIF($O$6:$O353,"&gt;0")+1,0))</f>
        <v>348</v>
      </c>
    </row>
    <row r="355" customFormat="false" ht="76.5" hidden="false" customHeight="true" outlineLevel="0" collapsed="false">
      <c r="B355" s="30" t="s">
        <v>1848</v>
      </c>
      <c r="C355" s="30" t="s">
        <v>286</v>
      </c>
      <c r="D355" s="30" t="s">
        <v>1849</v>
      </c>
      <c r="E355" s="30" t="s">
        <v>344</v>
      </c>
      <c r="F355" s="30" t="s">
        <v>1850</v>
      </c>
      <c r="G355" s="30" t="s">
        <v>1851</v>
      </c>
      <c r="H355" s="30" t="s">
        <v>1852</v>
      </c>
      <c r="I355" s="30" t="s">
        <v>306</v>
      </c>
      <c r="J355" s="30" t="s">
        <v>206</v>
      </c>
      <c r="K355" s="31" t="s">
        <v>47</v>
      </c>
      <c r="L355" s="32"/>
      <c r="M355" s="30"/>
      <c r="N355" s="30" t="s">
        <v>48</v>
      </c>
      <c r="O355" s="1" t="n">
        <f aca="false">IF($B355="",0,IF(AND(OR(Filter!$B$5="(alle)",$N355=Filter!$B$5),OR(Filter!$E$5="(alle)",$K355=Filter!$E$5),OR(Filter!$H$5="(alle)",$C355=Filter!$H$5),OR(Filter!$B$7="(alle)",$E355=Filter!$B$7),OR(Filter!$E$7="(alle)",ISNUMBER(SEARCH(Filter!$E$7,$J355))),OR(Filter!$H$7="(alle)",ISNUMBER(SEARCH(Filter!$H$7,$I355))),OR(Filter!$B$9="",ISNUMBER(SEARCH(Filter!$B$9,$F355&amp;" "&amp;$G355)))),COUNTIF($O$6:$O354,"&gt;0")+1,0))</f>
        <v>349</v>
      </c>
    </row>
    <row r="356" customFormat="false" ht="63.75" hidden="false" customHeight="true" outlineLevel="0" collapsed="false">
      <c r="B356" s="30" t="s">
        <v>1853</v>
      </c>
      <c r="C356" s="30" t="s">
        <v>286</v>
      </c>
      <c r="D356" s="30" t="s">
        <v>1854</v>
      </c>
      <c r="E356" s="30" t="s">
        <v>210</v>
      </c>
      <c r="F356" s="30" t="s">
        <v>1855</v>
      </c>
      <c r="G356" s="30" t="s">
        <v>1856</v>
      </c>
      <c r="H356" s="30" t="s">
        <v>1857</v>
      </c>
      <c r="I356" s="30" t="s">
        <v>306</v>
      </c>
      <c r="J356" s="30" t="s">
        <v>206</v>
      </c>
      <c r="K356" s="31" t="s">
        <v>47</v>
      </c>
      <c r="L356" s="32"/>
      <c r="M356" s="30"/>
      <c r="N356" s="30" t="s">
        <v>48</v>
      </c>
      <c r="O356" s="1" t="n">
        <f aca="false">IF($B356="",0,IF(AND(OR(Filter!$B$5="(alle)",$N356=Filter!$B$5),OR(Filter!$E$5="(alle)",$K356=Filter!$E$5),OR(Filter!$H$5="(alle)",$C356=Filter!$H$5),OR(Filter!$B$7="(alle)",$E356=Filter!$B$7),OR(Filter!$E$7="(alle)",ISNUMBER(SEARCH(Filter!$E$7,$J356))),OR(Filter!$H$7="(alle)",ISNUMBER(SEARCH(Filter!$H$7,$I356))),OR(Filter!$B$9="",ISNUMBER(SEARCH(Filter!$B$9,$F356&amp;" "&amp;$G356)))),COUNTIF($O$6:$O355,"&gt;0")+1,0))</f>
        <v>350</v>
      </c>
    </row>
    <row r="357" customFormat="false" ht="51" hidden="false" customHeight="true" outlineLevel="0" collapsed="false">
      <c r="B357" s="30" t="s">
        <v>1858</v>
      </c>
      <c r="C357" s="30" t="s">
        <v>286</v>
      </c>
      <c r="D357" s="30" t="s">
        <v>1859</v>
      </c>
      <c r="E357" s="30" t="s">
        <v>331</v>
      </c>
      <c r="F357" s="30" t="s">
        <v>1860</v>
      </c>
      <c r="G357" s="30" t="s">
        <v>1861</v>
      </c>
      <c r="H357" s="30" t="s">
        <v>1862</v>
      </c>
      <c r="I357" s="30" t="s">
        <v>306</v>
      </c>
      <c r="J357" s="30" t="s">
        <v>206</v>
      </c>
      <c r="K357" s="31" t="s">
        <v>151</v>
      </c>
      <c r="L357" s="32"/>
      <c r="M357" s="30" t="s">
        <v>370</v>
      </c>
      <c r="N357" s="30" t="s">
        <v>48</v>
      </c>
      <c r="O357" s="1" t="n">
        <f aca="false">IF($B357="",0,IF(AND(OR(Filter!$B$5="(alle)",$N357=Filter!$B$5),OR(Filter!$E$5="(alle)",$K357=Filter!$E$5),OR(Filter!$H$5="(alle)",$C357=Filter!$H$5),OR(Filter!$B$7="(alle)",$E357=Filter!$B$7),OR(Filter!$E$7="(alle)",ISNUMBER(SEARCH(Filter!$E$7,$J357))),OR(Filter!$H$7="(alle)",ISNUMBER(SEARCH(Filter!$H$7,$I357))),OR(Filter!$B$9="",ISNUMBER(SEARCH(Filter!$B$9,$F357&amp;" "&amp;$G357)))),COUNTIF($O$6:$O356,"&gt;0")+1,0))</f>
        <v>351</v>
      </c>
    </row>
    <row r="358" customFormat="false" ht="63.75" hidden="false" customHeight="true" outlineLevel="0" collapsed="false">
      <c r="B358" s="30" t="s">
        <v>1863</v>
      </c>
      <c r="C358" s="30" t="s">
        <v>286</v>
      </c>
      <c r="D358" s="30" t="s">
        <v>1864</v>
      </c>
      <c r="E358" s="30" t="s">
        <v>344</v>
      </c>
      <c r="F358" s="30" t="s">
        <v>1865</v>
      </c>
      <c r="G358" s="30" t="s">
        <v>1866</v>
      </c>
      <c r="H358" s="30" t="s">
        <v>1867</v>
      </c>
      <c r="I358" s="30" t="s">
        <v>306</v>
      </c>
      <c r="J358" s="30" t="s">
        <v>206</v>
      </c>
      <c r="K358" s="31" t="s">
        <v>47</v>
      </c>
      <c r="L358" s="32"/>
      <c r="M358" s="30"/>
      <c r="N358" s="30" t="s">
        <v>48</v>
      </c>
      <c r="O358" s="1" t="n">
        <f aca="false">IF($B358="",0,IF(AND(OR(Filter!$B$5="(alle)",$N358=Filter!$B$5),OR(Filter!$E$5="(alle)",$K358=Filter!$E$5),OR(Filter!$H$5="(alle)",$C358=Filter!$H$5),OR(Filter!$B$7="(alle)",$E358=Filter!$B$7),OR(Filter!$E$7="(alle)",ISNUMBER(SEARCH(Filter!$E$7,$J358))),OR(Filter!$H$7="(alle)",ISNUMBER(SEARCH(Filter!$H$7,$I358))),OR(Filter!$B$9="",ISNUMBER(SEARCH(Filter!$B$9,$F358&amp;" "&amp;$G358)))),COUNTIF($O$6:$O357,"&gt;0")+1,0))</f>
        <v>352</v>
      </c>
    </row>
    <row r="359" customFormat="false" ht="191.25" hidden="false" customHeight="true" outlineLevel="0" collapsed="false">
      <c r="B359" s="30" t="s">
        <v>1868</v>
      </c>
      <c r="C359" s="30" t="s">
        <v>286</v>
      </c>
      <c r="D359" s="30" t="s">
        <v>1869</v>
      </c>
      <c r="E359" s="30" t="s">
        <v>331</v>
      </c>
      <c r="F359" s="30" t="s">
        <v>1870</v>
      </c>
      <c r="G359" s="30" t="s">
        <v>1871</v>
      </c>
      <c r="H359" s="30" t="s">
        <v>1872</v>
      </c>
      <c r="I359" s="30" t="s">
        <v>306</v>
      </c>
      <c r="J359" s="30" t="s">
        <v>206</v>
      </c>
      <c r="K359" s="31" t="s">
        <v>151</v>
      </c>
      <c r="L359" s="32"/>
      <c r="M359" s="30" t="s">
        <v>370</v>
      </c>
      <c r="N359" s="30" t="s">
        <v>48</v>
      </c>
      <c r="O359" s="1" t="n">
        <f aca="false">IF($B359="",0,IF(AND(OR(Filter!$B$5="(alle)",$N359=Filter!$B$5),OR(Filter!$E$5="(alle)",$K359=Filter!$E$5),OR(Filter!$H$5="(alle)",$C359=Filter!$H$5),OR(Filter!$B$7="(alle)",$E359=Filter!$B$7),OR(Filter!$E$7="(alle)",ISNUMBER(SEARCH(Filter!$E$7,$J359))),OR(Filter!$H$7="(alle)",ISNUMBER(SEARCH(Filter!$H$7,$I359))),OR(Filter!$B$9="",ISNUMBER(SEARCH(Filter!$B$9,$F359&amp;" "&amp;$G359)))),COUNTIF($O$6:$O358,"&gt;0")+1,0))</f>
        <v>353</v>
      </c>
    </row>
    <row r="360" customFormat="false" ht="153" hidden="false" customHeight="true" outlineLevel="0" collapsed="false">
      <c r="B360" s="30" t="s">
        <v>1873</v>
      </c>
      <c r="C360" s="30" t="s">
        <v>286</v>
      </c>
      <c r="D360" s="30" t="s">
        <v>1874</v>
      </c>
      <c r="E360" s="30" t="s">
        <v>344</v>
      </c>
      <c r="F360" s="30" t="s">
        <v>1875</v>
      </c>
      <c r="G360" s="30" t="s">
        <v>1876</v>
      </c>
      <c r="H360" s="30" t="s">
        <v>1877</v>
      </c>
      <c r="I360" s="30" t="s">
        <v>306</v>
      </c>
      <c r="J360" s="30" t="s">
        <v>206</v>
      </c>
      <c r="K360" s="31" t="s">
        <v>47</v>
      </c>
      <c r="L360" s="32"/>
      <c r="M360" s="30"/>
      <c r="N360" s="30" t="s">
        <v>48</v>
      </c>
      <c r="O360" s="1" t="n">
        <f aca="false">IF($B360="",0,IF(AND(OR(Filter!$B$5="(alle)",$N360=Filter!$B$5),OR(Filter!$E$5="(alle)",$K360=Filter!$E$5),OR(Filter!$H$5="(alle)",$C360=Filter!$H$5),OR(Filter!$B$7="(alle)",$E360=Filter!$B$7),OR(Filter!$E$7="(alle)",ISNUMBER(SEARCH(Filter!$E$7,$J360))),OR(Filter!$H$7="(alle)",ISNUMBER(SEARCH(Filter!$H$7,$I360))),OR(Filter!$B$9="",ISNUMBER(SEARCH(Filter!$B$9,$F360&amp;" "&amp;$G360)))),COUNTIF($O$6:$O359,"&gt;0")+1,0))</f>
        <v>354</v>
      </c>
    </row>
    <row r="361" customFormat="false" ht="63.75" hidden="false" customHeight="true" outlineLevel="0" collapsed="false">
      <c r="B361" s="30" t="s">
        <v>1878</v>
      </c>
      <c r="C361" s="30" t="s">
        <v>286</v>
      </c>
      <c r="D361" s="30" t="s">
        <v>1879</v>
      </c>
      <c r="E361" s="30" t="s">
        <v>547</v>
      </c>
      <c r="F361" s="30" t="s">
        <v>1880</v>
      </c>
      <c r="G361" s="30" t="s">
        <v>1881</v>
      </c>
      <c r="H361" s="30" t="s">
        <v>1882</v>
      </c>
      <c r="I361" s="30" t="s">
        <v>476</v>
      </c>
      <c r="J361" s="30" t="s">
        <v>476</v>
      </c>
      <c r="K361" s="31" t="s">
        <v>47</v>
      </c>
      <c r="L361" s="32"/>
      <c r="M361" s="30"/>
      <c r="N361" s="30" t="s">
        <v>48</v>
      </c>
      <c r="O361" s="1" t="n">
        <f aca="false">IF($B361="",0,IF(AND(OR(Filter!$B$5="(alle)",$N361=Filter!$B$5),OR(Filter!$E$5="(alle)",$K361=Filter!$E$5),OR(Filter!$H$5="(alle)",$C361=Filter!$H$5),OR(Filter!$B$7="(alle)",$E361=Filter!$B$7),OR(Filter!$E$7="(alle)",ISNUMBER(SEARCH(Filter!$E$7,$J361))),OR(Filter!$H$7="(alle)",ISNUMBER(SEARCH(Filter!$H$7,$I361))),OR(Filter!$B$9="",ISNUMBER(SEARCH(Filter!$B$9,$F361&amp;" "&amp;$G361)))),COUNTIF($O$6:$O360,"&gt;0")+1,0))</f>
        <v>355</v>
      </c>
    </row>
    <row r="362" customFormat="false" ht="89.25" hidden="false" customHeight="true" outlineLevel="0" collapsed="false">
      <c r="B362" s="30" t="s">
        <v>1883</v>
      </c>
      <c r="C362" s="30" t="s">
        <v>286</v>
      </c>
      <c r="D362" s="30" t="s">
        <v>1884</v>
      </c>
      <c r="E362" s="30" t="s">
        <v>344</v>
      </c>
      <c r="F362" s="30" t="s">
        <v>1885</v>
      </c>
      <c r="G362" s="30" t="s">
        <v>1886</v>
      </c>
      <c r="H362" s="30" t="s">
        <v>1887</v>
      </c>
      <c r="I362" s="30" t="s">
        <v>306</v>
      </c>
      <c r="J362" s="30" t="s">
        <v>206</v>
      </c>
      <c r="K362" s="31" t="s">
        <v>47</v>
      </c>
      <c r="L362" s="32"/>
      <c r="M362" s="30"/>
      <c r="N362" s="30" t="s">
        <v>48</v>
      </c>
      <c r="O362" s="1" t="n">
        <f aca="false">IF($B362="",0,IF(AND(OR(Filter!$B$5="(alle)",$N362=Filter!$B$5),OR(Filter!$E$5="(alle)",$K362=Filter!$E$5),OR(Filter!$H$5="(alle)",$C362=Filter!$H$5),OR(Filter!$B$7="(alle)",$E362=Filter!$B$7),OR(Filter!$E$7="(alle)",ISNUMBER(SEARCH(Filter!$E$7,$J362))),OR(Filter!$H$7="(alle)",ISNUMBER(SEARCH(Filter!$H$7,$I362))),OR(Filter!$B$9="",ISNUMBER(SEARCH(Filter!$B$9,$F362&amp;" "&amp;$G362)))),COUNTIF($O$6:$O361,"&gt;0")+1,0))</f>
        <v>356</v>
      </c>
    </row>
    <row r="363" customFormat="false" ht="76.5" hidden="false" customHeight="true" outlineLevel="0" collapsed="false">
      <c r="B363" s="30" t="s">
        <v>1888</v>
      </c>
      <c r="C363" s="30" t="s">
        <v>286</v>
      </c>
      <c r="D363" s="30" t="s">
        <v>1889</v>
      </c>
      <c r="E363" s="30" t="s">
        <v>547</v>
      </c>
      <c r="F363" s="30" t="s">
        <v>1890</v>
      </c>
      <c r="G363" s="30" t="s">
        <v>1891</v>
      </c>
      <c r="H363" s="30" t="s">
        <v>1892</v>
      </c>
      <c r="I363" s="30" t="s">
        <v>476</v>
      </c>
      <c r="J363" s="30" t="s">
        <v>476</v>
      </c>
      <c r="K363" s="31" t="s">
        <v>47</v>
      </c>
      <c r="L363" s="32"/>
      <c r="M363" s="30"/>
      <c r="N363" s="30" t="s">
        <v>48</v>
      </c>
      <c r="O363" s="1" t="n">
        <f aca="false">IF($B363="",0,IF(AND(OR(Filter!$B$5="(alle)",$N363=Filter!$B$5),OR(Filter!$E$5="(alle)",$K363=Filter!$E$5),OR(Filter!$H$5="(alle)",$C363=Filter!$H$5),OR(Filter!$B$7="(alle)",$E363=Filter!$B$7),OR(Filter!$E$7="(alle)",ISNUMBER(SEARCH(Filter!$E$7,$J363))),OR(Filter!$H$7="(alle)",ISNUMBER(SEARCH(Filter!$H$7,$I363))),OR(Filter!$B$9="",ISNUMBER(SEARCH(Filter!$B$9,$F363&amp;" "&amp;$G363)))),COUNTIF($O$6:$O362,"&gt;0")+1,0))</f>
        <v>357</v>
      </c>
    </row>
    <row r="364" customFormat="false" ht="76.5" hidden="false" customHeight="true" outlineLevel="0" collapsed="false">
      <c r="B364" s="30" t="s">
        <v>1893</v>
      </c>
      <c r="C364" s="30" t="s">
        <v>286</v>
      </c>
      <c r="D364" s="30" t="s">
        <v>1894</v>
      </c>
      <c r="E364" s="30" t="s">
        <v>604</v>
      </c>
      <c r="F364" s="30" t="s">
        <v>1895</v>
      </c>
      <c r="G364" s="30" t="s">
        <v>1896</v>
      </c>
      <c r="H364" s="30" t="s">
        <v>1897</v>
      </c>
      <c r="I364" s="30" t="s">
        <v>158</v>
      </c>
      <c r="J364" s="30" t="s">
        <v>159</v>
      </c>
      <c r="K364" s="31" t="s">
        <v>47</v>
      </c>
      <c r="L364" s="32"/>
      <c r="M364" s="30"/>
      <c r="N364" s="30" t="s">
        <v>48</v>
      </c>
      <c r="O364" s="1" t="n">
        <f aca="false">IF($B364="",0,IF(AND(OR(Filter!$B$5="(alle)",$N364=Filter!$B$5),OR(Filter!$E$5="(alle)",$K364=Filter!$E$5),OR(Filter!$H$5="(alle)",$C364=Filter!$H$5),OR(Filter!$B$7="(alle)",$E364=Filter!$B$7),OR(Filter!$E$7="(alle)",ISNUMBER(SEARCH(Filter!$E$7,$J364))),OR(Filter!$H$7="(alle)",ISNUMBER(SEARCH(Filter!$H$7,$I364))),OR(Filter!$B$9="",ISNUMBER(SEARCH(Filter!$B$9,$F364&amp;" "&amp;$G364)))),COUNTIF($O$6:$O363,"&gt;0")+1,0))</f>
        <v>358</v>
      </c>
    </row>
    <row r="365" customFormat="false" ht="38.25" hidden="false" customHeight="true" outlineLevel="0" collapsed="false">
      <c r="B365" s="30" t="s">
        <v>1898</v>
      </c>
      <c r="C365" s="30" t="s">
        <v>286</v>
      </c>
      <c r="D365" s="30" t="s">
        <v>1899</v>
      </c>
      <c r="E365" s="30" t="s">
        <v>331</v>
      </c>
      <c r="F365" s="30" t="s">
        <v>1900</v>
      </c>
      <c r="G365" s="30" t="s">
        <v>1901</v>
      </c>
      <c r="H365" s="30" t="s">
        <v>1902</v>
      </c>
      <c r="I365" s="30" t="s">
        <v>306</v>
      </c>
      <c r="J365" s="30" t="s">
        <v>206</v>
      </c>
      <c r="K365" s="31" t="s">
        <v>151</v>
      </c>
      <c r="L365" s="32"/>
      <c r="M365" s="30" t="s">
        <v>1903</v>
      </c>
      <c r="N365" s="30" t="s">
        <v>48</v>
      </c>
      <c r="O365" s="1" t="n">
        <f aca="false">IF($B365="",0,IF(AND(OR(Filter!$B$5="(alle)",$N365=Filter!$B$5),OR(Filter!$E$5="(alle)",$K365=Filter!$E$5),OR(Filter!$H$5="(alle)",$C365=Filter!$H$5),OR(Filter!$B$7="(alle)",$E365=Filter!$B$7),OR(Filter!$E$7="(alle)",ISNUMBER(SEARCH(Filter!$E$7,$J365))),OR(Filter!$H$7="(alle)",ISNUMBER(SEARCH(Filter!$H$7,$I365))),OR(Filter!$B$9="",ISNUMBER(SEARCH(Filter!$B$9,$F365&amp;" "&amp;$G365)))),COUNTIF($O$6:$O364,"&gt;0")+1,0))</f>
        <v>359</v>
      </c>
    </row>
    <row r="366" customFormat="false" ht="51" hidden="false" customHeight="true" outlineLevel="0" collapsed="false">
      <c r="B366" s="30" t="s">
        <v>1904</v>
      </c>
      <c r="C366" s="30" t="s">
        <v>286</v>
      </c>
      <c r="D366" s="30" t="s">
        <v>1905</v>
      </c>
      <c r="E366" s="30" t="s">
        <v>331</v>
      </c>
      <c r="F366" s="30" t="s">
        <v>1900</v>
      </c>
      <c r="G366" s="30" t="s">
        <v>1906</v>
      </c>
      <c r="H366" s="30" t="s">
        <v>1902</v>
      </c>
      <c r="I366" s="30" t="s">
        <v>306</v>
      </c>
      <c r="J366" s="30" t="s">
        <v>206</v>
      </c>
      <c r="K366" s="31" t="s">
        <v>151</v>
      </c>
      <c r="L366" s="32"/>
      <c r="M366" s="30" t="s">
        <v>1903</v>
      </c>
      <c r="N366" s="30" t="s">
        <v>48</v>
      </c>
      <c r="O366" s="1" t="n">
        <f aca="false">IF($B366="",0,IF(AND(OR(Filter!$B$5="(alle)",$N366=Filter!$B$5),OR(Filter!$E$5="(alle)",$K366=Filter!$E$5),OR(Filter!$H$5="(alle)",$C366=Filter!$H$5),OR(Filter!$B$7="(alle)",$E366=Filter!$B$7),OR(Filter!$E$7="(alle)",ISNUMBER(SEARCH(Filter!$E$7,$J366))),OR(Filter!$H$7="(alle)",ISNUMBER(SEARCH(Filter!$H$7,$I366))),OR(Filter!$B$9="",ISNUMBER(SEARCH(Filter!$B$9,$F366&amp;" "&amp;$G366)))),COUNTIF($O$6:$O365,"&gt;0")+1,0))</f>
        <v>360</v>
      </c>
    </row>
    <row r="367" customFormat="false" ht="76.5" hidden="false" customHeight="true" outlineLevel="0" collapsed="false">
      <c r="B367" s="30" t="s">
        <v>1907</v>
      </c>
      <c r="C367" s="30" t="s">
        <v>286</v>
      </c>
      <c r="D367" s="30" t="s">
        <v>1908</v>
      </c>
      <c r="E367" s="30" t="s">
        <v>331</v>
      </c>
      <c r="F367" s="30" t="s">
        <v>1900</v>
      </c>
      <c r="G367" s="30" t="s">
        <v>1909</v>
      </c>
      <c r="H367" s="30" t="s">
        <v>1902</v>
      </c>
      <c r="I367" s="30" t="s">
        <v>306</v>
      </c>
      <c r="J367" s="30" t="s">
        <v>206</v>
      </c>
      <c r="K367" s="31" t="s">
        <v>151</v>
      </c>
      <c r="L367" s="32"/>
      <c r="M367" s="30" t="s">
        <v>1903</v>
      </c>
      <c r="N367" s="30" t="s">
        <v>48</v>
      </c>
      <c r="O367" s="1" t="n">
        <f aca="false">IF($B367="",0,IF(AND(OR(Filter!$B$5="(alle)",$N367=Filter!$B$5),OR(Filter!$E$5="(alle)",$K367=Filter!$E$5),OR(Filter!$H$5="(alle)",$C367=Filter!$H$5),OR(Filter!$B$7="(alle)",$E367=Filter!$B$7),OR(Filter!$E$7="(alle)",ISNUMBER(SEARCH(Filter!$E$7,$J367))),OR(Filter!$H$7="(alle)",ISNUMBER(SEARCH(Filter!$H$7,$I367))),OR(Filter!$B$9="",ISNUMBER(SEARCH(Filter!$B$9,$F367&amp;" "&amp;$G367)))),COUNTIF($O$6:$O366,"&gt;0")+1,0))</f>
        <v>361</v>
      </c>
    </row>
    <row r="368" customFormat="false" ht="76.5" hidden="false" customHeight="true" outlineLevel="0" collapsed="false">
      <c r="B368" s="30" t="s">
        <v>1910</v>
      </c>
      <c r="C368" s="30" t="s">
        <v>286</v>
      </c>
      <c r="D368" s="30" t="s">
        <v>1911</v>
      </c>
      <c r="E368" s="30" t="s">
        <v>331</v>
      </c>
      <c r="F368" s="30" t="s">
        <v>1900</v>
      </c>
      <c r="G368" s="30" t="s">
        <v>1912</v>
      </c>
      <c r="H368" s="30" t="s">
        <v>1902</v>
      </c>
      <c r="I368" s="30" t="s">
        <v>306</v>
      </c>
      <c r="J368" s="30" t="s">
        <v>206</v>
      </c>
      <c r="K368" s="31" t="s">
        <v>151</v>
      </c>
      <c r="L368" s="32"/>
      <c r="M368" s="30" t="s">
        <v>1903</v>
      </c>
      <c r="N368" s="30" t="s">
        <v>48</v>
      </c>
      <c r="O368" s="1" t="n">
        <f aca="false">IF($B368="",0,IF(AND(OR(Filter!$B$5="(alle)",$N368=Filter!$B$5),OR(Filter!$E$5="(alle)",$K368=Filter!$E$5),OR(Filter!$H$5="(alle)",$C368=Filter!$H$5),OR(Filter!$B$7="(alle)",$E368=Filter!$B$7),OR(Filter!$E$7="(alle)",ISNUMBER(SEARCH(Filter!$E$7,$J368))),OR(Filter!$H$7="(alle)",ISNUMBER(SEARCH(Filter!$H$7,$I368))),OR(Filter!$B$9="",ISNUMBER(SEARCH(Filter!$B$9,$F368&amp;" "&amp;$G368)))),COUNTIF($O$6:$O367,"&gt;0")+1,0))</f>
        <v>362</v>
      </c>
    </row>
    <row r="369" customFormat="false" ht="76.5" hidden="false" customHeight="true" outlineLevel="0" collapsed="false">
      <c r="B369" s="30" t="s">
        <v>1913</v>
      </c>
      <c r="C369" s="30" t="s">
        <v>286</v>
      </c>
      <c r="D369" s="30" t="s">
        <v>1914</v>
      </c>
      <c r="E369" s="30" t="s">
        <v>42</v>
      </c>
      <c r="F369" s="30" t="s">
        <v>1915</v>
      </c>
      <c r="G369" s="30" t="s">
        <v>1916</v>
      </c>
      <c r="H369" s="30" t="s">
        <v>1917</v>
      </c>
      <c r="I369" s="30" t="s">
        <v>464</v>
      </c>
      <c r="J369" s="30" t="s">
        <v>767</v>
      </c>
      <c r="K369" s="31" t="s">
        <v>47</v>
      </c>
      <c r="L369" s="32"/>
      <c r="M369" s="30"/>
      <c r="N369" s="30" t="s">
        <v>48</v>
      </c>
      <c r="O369" s="1" t="n">
        <f aca="false">IF($B369="",0,IF(AND(OR(Filter!$B$5="(alle)",$N369=Filter!$B$5),OR(Filter!$E$5="(alle)",$K369=Filter!$E$5),OR(Filter!$H$5="(alle)",$C369=Filter!$H$5),OR(Filter!$B$7="(alle)",$E369=Filter!$B$7),OR(Filter!$E$7="(alle)",ISNUMBER(SEARCH(Filter!$E$7,$J369))),OR(Filter!$H$7="(alle)",ISNUMBER(SEARCH(Filter!$H$7,$I369))),OR(Filter!$B$9="",ISNUMBER(SEARCH(Filter!$B$9,$F369&amp;" "&amp;$G369)))),COUNTIF($O$6:$O368,"&gt;0")+1,0))</f>
        <v>363</v>
      </c>
    </row>
    <row r="370" customFormat="false" ht="76.5" hidden="false" customHeight="true" outlineLevel="0" collapsed="false">
      <c r="B370" s="30" t="s">
        <v>1918</v>
      </c>
      <c r="C370" s="30" t="s">
        <v>286</v>
      </c>
      <c r="D370" s="30" t="s">
        <v>1919</v>
      </c>
      <c r="E370" s="30" t="s">
        <v>361</v>
      </c>
      <c r="F370" s="30" t="s">
        <v>1915</v>
      </c>
      <c r="G370" s="30" t="s">
        <v>1920</v>
      </c>
      <c r="H370" s="30" t="s">
        <v>1921</v>
      </c>
      <c r="I370" s="30" t="s">
        <v>306</v>
      </c>
      <c r="J370" s="30" t="s">
        <v>206</v>
      </c>
      <c r="K370" s="31" t="s">
        <v>47</v>
      </c>
      <c r="L370" s="32"/>
      <c r="M370" s="30"/>
      <c r="N370" s="30" t="s">
        <v>48</v>
      </c>
      <c r="O370" s="1" t="n">
        <f aca="false">IF($B370="",0,IF(AND(OR(Filter!$B$5="(alle)",$N370=Filter!$B$5),OR(Filter!$E$5="(alle)",$K370=Filter!$E$5),OR(Filter!$H$5="(alle)",$C370=Filter!$H$5),OR(Filter!$B$7="(alle)",$E370=Filter!$B$7),OR(Filter!$E$7="(alle)",ISNUMBER(SEARCH(Filter!$E$7,$J370))),OR(Filter!$H$7="(alle)",ISNUMBER(SEARCH(Filter!$H$7,$I370))),OR(Filter!$B$9="",ISNUMBER(SEARCH(Filter!$B$9,$F370&amp;" "&amp;$G370)))),COUNTIF($O$6:$O369,"&gt;0")+1,0))</f>
        <v>364</v>
      </c>
    </row>
    <row r="371" customFormat="false" ht="76.5" hidden="false" customHeight="true" outlineLevel="0" collapsed="false">
      <c r="B371" s="30" t="s">
        <v>1922</v>
      </c>
      <c r="C371" s="30" t="s">
        <v>286</v>
      </c>
      <c r="D371" s="30" t="s">
        <v>1923</v>
      </c>
      <c r="E371" s="30" t="s">
        <v>355</v>
      </c>
      <c r="F371" s="30" t="s">
        <v>1915</v>
      </c>
      <c r="G371" s="30" t="s">
        <v>1924</v>
      </c>
      <c r="H371" s="30" t="s">
        <v>1921</v>
      </c>
      <c r="I371" s="30" t="s">
        <v>306</v>
      </c>
      <c r="J371" s="30" t="s">
        <v>206</v>
      </c>
      <c r="K371" s="31" t="s">
        <v>47</v>
      </c>
      <c r="L371" s="32"/>
      <c r="M371" s="30"/>
      <c r="N371" s="30" t="s">
        <v>48</v>
      </c>
      <c r="O371" s="1" t="n">
        <f aca="false">IF($B371="",0,IF(AND(OR(Filter!$B$5="(alle)",$N371=Filter!$B$5),OR(Filter!$E$5="(alle)",$K371=Filter!$E$5),OR(Filter!$H$5="(alle)",$C371=Filter!$H$5),OR(Filter!$B$7="(alle)",$E371=Filter!$B$7),OR(Filter!$E$7="(alle)",ISNUMBER(SEARCH(Filter!$E$7,$J371))),OR(Filter!$H$7="(alle)",ISNUMBER(SEARCH(Filter!$H$7,$I371))),OR(Filter!$B$9="",ISNUMBER(SEARCH(Filter!$B$9,$F371&amp;" "&amp;$G371)))),COUNTIF($O$6:$O370,"&gt;0")+1,0))</f>
        <v>365</v>
      </c>
    </row>
    <row r="372" customFormat="false" ht="76.5" hidden="false" customHeight="true" outlineLevel="0" collapsed="false">
      <c r="B372" s="30" t="s">
        <v>1925</v>
      </c>
      <c r="C372" s="30" t="s">
        <v>286</v>
      </c>
      <c r="D372" s="30" t="s">
        <v>1926</v>
      </c>
      <c r="E372" s="30" t="s">
        <v>355</v>
      </c>
      <c r="F372" s="30" t="s">
        <v>1915</v>
      </c>
      <c r="G372" s="30" t="s">
        <v>1927</v>
      </c>
      <c r="H372" s="30" t="s">
        <v>1921</v>
      </c>
      <c r="I372" s="30" t="s">
        <v>306</v>
      </c>
      <c r="J372" s="30" t="s">
        <v>206</v>
      </c>
      <c r="K372" s="31" t="s">
        <v>47</v>
      </c>
      <c r="L372" s="32"/>
      <c r="M372" s="30"/>
      <c r="N372" s="30" t="s">
        <v>48</v>
      </c>
      <c r="O372" s="1" t="n">
        <f aca="false">IF($B372="",0,IF(AND(OR(Filter!$B$5="(alle)",$N372=Filter!$B$5),OR(Filter!$E$5="(alle)",$K372=Filter!$E$5),OR(Filter!$H$5="(alle)",$C372=Filter!$H$5),OR(Filter!$B$7="(alle)",$E372=Filter!$B$7),OR(Filter!$E$7="(alle)",ISNUMBER(SEARCH(Filter!$E$7,$J372))),OR(Filter!$H$7="(alle)",ISNUMBER(SEARCH(Filter!$H$7,$I372))),OR(Filter!$B$9="",ISNUMBER(SEARCH(Filter!$B$9,$F372&amp;" "&amp;$G372)))),COUNTIF($O$6:$O371,"&gt;0")+1,0))</f>
        <v>366</v>
      </c>
    </row>
    <row r="373" customFormat="false" ht="140.25" hidden="false" customHeight="true" outlineLevel="0" collapsed="false">
      <c r="B373" s="30" t="s">
        <v>1928</v>
      </c>
      <c r="C373" s="30" t="s">
        <v>286</v>
      </c>
      <c r="D373" s="30" t="s">
        <v>1929</v>
      </c>
      <c r="E373" s="30" t="s">
        <v>361</v>
      </c>
      <c r="F373" s="30" t="s">
        <v>1930</v>
      </c>
      <c r="G373" s="30" t="s">
        <v>1931</v>
      </c>
      <c r="H373" s="30" t="s">
        <v>1932</v>
      </c>
      <c r="I373" s="30" t="s">
        <v>158</v>
      </c>
      <c r="J373" s="30" t="s">
        <v>159</v>
      </c>
      <c r="K373" s="31" t="s">
        <v>47</v>
      </c>
      <c r="L373" s="32"/>
      <c r="M373" s="30"/>
      <c r="N373" s="30" t="s">
        <v>48</v>
      </c>
      <c r="O373" s="1" t="n">
        <f aca="false">IF($B373="",0,IF(AND(OR(Filter!$B$5="(alle)",$N373=Filter!$B$5),OR(Filter!$E$5="(alle)",$K373=Filter!$E$5),OR(Filter!$H$5="(alle)",$C373=Filter!$H$5),OR(Filter!$B$7="(alle)",$E373=Filter!$B$7),OR(Filter!$E$7="(alle)",ISNUMBER(SEARCH(Filter!$E$7,$J373))),OR(Filter!$H$7="(alle)",ISNUMBER(SEARCH(Filter!$H$7,$I373))),OR(Filter!$B$9="",ISNUMBER(SEARCH(Filter!$B$9,$F373&amp;" "&amp;$G373)))),COUNTIF($O$6:$O372,"&gt;0")+1,0))</f>
        <v>367</v>
      </c>
    </row>
    <row r="374" customFormat="false" ht="76.5" hidden="false" customHeight="true" outlineLevel="0" collapsed="false">
      <c r="B374" s="30" t="s">
        <v>1933</v>
      </c>
      <c r="C374" s="30" t="s">
        <v>286</v>
      </c>
      <c r="D374" s="30" t="s">
        <v>1934</v>
      </c>
      <c r="E374" s="30" t="s">
        <v>547</v>
      </c>
      <c r="F374" s="30" t="s">
        <v>1935</v>
      </c>
      <c r="G374" s="30" t="s">
        <v>1936</v>
      </c>
      <c r="H374" s="30" t="s">
        <v>1937</v>
      </c>
      <c r="I374" s="30" t="s">
        <v>476</v>
      </c>
      <c r="J374" s="30" t="s">
        <v>476</v>
      </c>
      <c r="K374" s="31" t="s">
        <v>47</v>
      </c>
      <c r="L374" s="32"/>
      <c r="M374" s="30"/>
      <c r="N374" s="30" t="s">
        <v>48</v>
      </c>
      <c r="O374" s="1" t="n">
        <f aca="false">IF($B374="",0,IF(AND(OR(Filter!$B$5="(alle)",$N374=Filter!$B$5),OR(Filter!$E$5="(alle)",$K374=Filter!$E$5),OR(Filter!$H$5="(alle)",$C374=Filter!$H$5),OR(Filter!$B$7="(alle)",$E374=Filter!$B$7),OR(Filter!$E$7="(alle)",ISNUMBER(SEARCH(Filter!$E$7,$J374))),OR(Filter!$H$7="(alle)",ISNUMBER(SEARCH(Filter!$H$7,$I374))),OR(Filter!$B$9="",ISNUMBER(SEARCH(Filter!$B$9,$F374&amp;" "&amp;$G374)))),COUNTIF($O$6:$O373,"&gt;0")+1,0))</f>
        <v>368</v>
      </c>
    </row>
    <row r="375" customFormat="false" ht="191.25" hidden="false" customHeight="true" outlineLevel="0" collapsed="false">
      <c r="B375" s="30" t="s">
        <v>1938</v>
      </c>
      <c r="C375" s="30" t="s">
        <v>286</v>
      </c>
      <c r="D375" s="30" t="s">
        <v>1939</v>
      </c>
      <c r="E375" s="30" t="s">
        <v>361</v>
      </c>
      <c r="F375" s="30" t="s">
        <v>1940</v>
      </c>
      <c r="G375" s="30" t="s">
        <v>1941</v>
      </c>
      <c r="H375" s="30" t="s">
        <v>1942</v>
      </c>
      <c r="I375" s="30" t="s">
        <v>158</v>
      </c>
      <c r="J375" s="30" t="s">
        <v>159</v>
      </c>
      <c r="K375" s="31" t="s">
        <v>47</v>
      </c>
      <c r="L375" s="32"/>
      <c r="M375" s="30"/>
      <c r="N375" s="30" t="s">
        <v>48</v>
      </c>
      <c r="O375" s="1" t="n">
        <f aca="false">IF($B375="",0,IF(AND(OR(Filter!$B$5="(alle)",$N375=Filter!$B$5),OR(Filter!$E$5="(alle)",$K375=Filter!$E$5),OR(Filter!$H$5="(alle)",$C375=Filter!$H$5),OR(Filter!$B$7="(alle)",$E375=Filter!$B$7),OR(Filter!$E$7="(alle)",ISNUMBER(SEARCH(Filter!$E$7,$J375))),OR(Filter!$H$7="(alle)",ISNUMBER(SEARCH(Filter!$H$7,$I375))),OR(Filter!$B$9="",ISNUMBER(SEARCH(Filter!$B$9,$F375&amp;" "&amp;$G375)))),COUNTIF($O$6:$O374,"&gt;0")+1,0))</f>
        <v>369</v>
      </c>
    </row>
    <row r="376" customFormat="false" ht="76.5" hidden="false" customHeight="true" outlineLevel="0" collapsed="false">
      <c r="B376" s="30" t="s">
        <v>1943</v>
      </c>
      <c r="C376" s="30" t="s">
        <v>286</v>
      </c>
      <c r="D376" s="30" t="s">
        <v>1944</v>
      </c>
      <c r="E376" s="30" t="s">
        <v>604</v>
      </c>
      <c r="F376" s="30" t="s">
        <v>1915</v>
      </c>
      <c r="G376" s="30" t="s">
        <v>1945</v>
      </c>
      <c r="H376" s="30" t="s">
        <v>1946</v>
      </c>
      <c r="I376" s="30" t="s">
        <v>1947</v>
      </c>
      <c r="J376" s="30" t="s">
        <v>1948</v>
      </c>
      <c r="K376" s="31" t="s">
        <v>47</v>
      </c>
      <c r="L376" s="32"/>
      <c r="M376" s="30"/>
      <c r="N376" s="30" t="s">
        <v>65</v>
      </c>
      <c r="O376" s="1" t="n">
        <f aca="false">IF($B376="",0,IF(AND(OR(Filter!$B$5="(alle)",$N376=Filter!$B$5),OR(Filter!$E$5="(alle)",$K376=Filter!$E$5),OR(Filter!$H$5="(alle)",$C376=Filter!$H$5),OR(Filter!$B$7="(alle)",$E376=Filter!$B$7),OR(Filter!$E$7="(alle)",ISNUMBER(SEARCH(Filter!$E$7,$J376))),OR(Filter!$H$7="(alle)",ISNUMBER(SEARCH(Filter!$H$7,$I376))),OR(Filter!$B$9="",ISNUMBER(SEARCH(Filter!$B$9,$F376&amp;" "&amp;$G376)))),COUNTIF($O$6:$O375,"&gt;0")+1,0))</f>
        <v>370</v>
      </c>
    </row>
    <row r="377" customFormat="false" ht="76.5" hidden="false" customHeight="true" outlineLevel="0" collapsed="false">
      <c r="B377" s="30" t="s">
        <v>1949</v>
      </c>
      <c r="C377" s="30" t="s">
        <v>286</v>
      </c>
      <c r="D377" s="30" t="s">
        <v>1950</v>
      </c>
      <c r="E377" s="30" t="s">
        <v>331</v>
      </c>
      <c r="F377" s="30" t="s">
        <v>1951</v>
      </c>
      <c r="G377" s="30" t="s">
        <v>1952</v>
      </c>
      <c r="H377" s="30" t="s">
        <v>1953</v>
      </c>
      <c r="I377" s="30" t="s">
        <v>306</v>
      </c>
      <c r="J377" s="30" t="s">
        <v>206</v>
      </c>
      <c r="K377" s="31" t="s">
        <v>151</v>
      </c>
      <c r="L377" s="32"/>
      <c r="M377" s="30" t="s">
        <v>370</v>
      </c>
      <c r="N377" s="30" t="s">
        <v>48</v>
      </c>
      <c r="O377" s="1" t="n">
        <f aca="false">IF($B377="",0,IF(AND(OR(Filter!$B$5="(alle)",$N377=Filter!$B$5),OR(Filter!$E$5="(alle)",$K377=Filter!$E$5),OR(Filter!$H$5="(alle)",$C377=Filter!$H$5),OR(Filter!$B$7="(alle)",$E377=Filter!$B$7),OR(Filter!$E$7="(alle)",ISNUMBER(SEARCH(Filter!$E$7,$J377))),OR(Filter!$H$7="(alle)",ISNUMBER(SEARCH(Filter!$H$7,$I377))),OR(Filter!$B$9="",ISNUMBER(SEARCH(Filter!$B$9,$F377&amp;" "&amp;$G377)))),COUNTIF($O$6:$O376,"&gt;0")+1,0))</f>
        <v>371</v>
      </c>
    </row>
    <row r="378" customFormat="false" ht="409.5" hidden="false" customHeight="true" outlineLevel="0" collapsed="false">
      <c r="B378" s="30" t="s">
        <v>1954</v>
      </c>
      <c r="C378" s="30" t="s">
        <v>286</v>
      </c>
      <c r="D378" s="30" t="s">
        <v>1955</v>
      </c>
      <c r="E378" s="30" t="s">
        <v>102</v>
      </c>
      <c r="F378" s="30" t="s">
        <v>1956</v>
      </c>
      <c r="G378" s="30" t="s">
        <v>1957</v>
      </c>
      <c r="H378" s="30" t="s">
        <v>1958</v>
      </c>
      <c r="I378" s="30" t="s">
        <v>543</v>
      </c>
      <c r="J378" s="30" t="s">
        <v>544</v>
      </c>
      <c r="K378" s="31" t="s">
        <v>47</v>
      </c>
      <c r="L378" s="32"/>
      <c r="M378" s="30"/>
      <c r="N378" s="30" t="s">
        <v>48</v>
      </c>
      <c r="O378" s="1" t="n">
        <f aca="false">IF($B378="",0,IF(AND(OR(Filter!$B$5="(alle)",$N378=Filter!$B$5),OR(Filter!$E$5="(alle)",$K378=Filter!$E$5),OR(Filter!$H$5="(alle)",$C378=Filter!$H$5),OR(Filter!$B$7="(alle)",$E378=Filter!$B$7),OR(Filter!$E$7="(alle)",ISNUMBER(SEARCH(Filter!$E$7,$J378))),OR(Filter!$H$7="(alle)",ISNUMBER(SEARCH(Filter!$H$7,$I378))),OR(Filter!$B$9="",ISNUMBER(SEARCH(Filter!$B$9,$F378&amp;" "&amp;$G378)))),COUNTIF($O$6:$O377,"&gt;0")+1,0))</f>
        <v>372</v>
      </c>
    </row>
    <row r="379" customFormat="false" ht="127.5" hidden="false" customHeight="true" outlineLevel="0" collapsed="false">
      <c r="B379" s="30" t="s">
        <v>1959</v>
      </c>
      <c r="C379" s="30" t="s">
        <v>286</v>
      </c>
      <c r="D379" s="30" t="s">
        <v>1960</v>
      </c>
      <c r="E379" s="30" t="s">
        <v>81</v>
      </c>
      <c r="F379" s="30" t="s">
        <v>1961</v>
      </c>
      <c r="G379" s="30" t="s">
        <v>1962</v>
      </c>
      <c r="H379" s="30" t="s">
        <v>1963</v>
      </c>
      <c r="I379" s="30" t="s">
        <v>1964</v>
      </c>
      <c r="J379" s="30" t="s">
        <v>1965</v>
      </c>
      <c r="K379" s="31" t="s">
        <v>47</v>
      </c>
      <c r="L379" s="32"/>
      <c r="M379" s="30"/>
      <c r="N379" s="30" t="s">
        <v>65</v>
      </c>
      <c r="O379" s="1" t="n">
        <f aca="false">IF($B379="",0,IF(AND(OR(Filter!$B$5="(alle)",$N379=Filter!$B$5),OR(Filter!$E$5="(alle)",$K379=Filter!$E$5),OR(Filter!$H$5="(alle)",$C379=Filter!$H$5),OR(Filter!$B$7="(alle)",$E379=Filter!$B$7),OR(Filter!$E$7="(alle)",ISNUMBER(SEARCH(Filter!$E$7,$J379))),OR(Filter!$H$7="(alle)",ISNUMBER(SEARCH(Filter!$H$7,$I379))),OR(Filter!$B$9="",ISNUMBER(SEARCH(Filter!$B$9,$F379&amp;" "&amp;$G379)))),COUNTIF($O$6:$O378,"&gt;0")+1,0))</f>
        <v>373</v>
      </c>
    </row>
    <row r="380" customFormat="false" ht="165.75" hidden="false" customHeight="true" outlineLevel="0" collapsed="false">
      <c r="B380" s="30" t="s">
        <v>1966</v>
      </c>
      <c r="C380" s="30" t="s">
        <v>286</v>
      </c>
      <c r="D380" s="30" t="s">
        <v>1967</v>
      </c>
      <c r="E380" s="30" t="s">
        <v>42</v>
      </c>
      <c r="F380" s="30" t="s">
        <v>1968</v>
      </c>
      <c r="G380" s="30" t="s">
        <v>1969</v>
      </c>
      <c r="H380" s="30" t="s">
        <v>1970</v>
      </c>
      <c r="I380" s="30" t="s">
        <v>835</v>
      </c>
      <c r="J380" s="30" t="s">
        <v>1971</v>
      </c>
      <c r="K380" s="31" t="s">
        <v>47</v>
      </c>
      <c r="L380" s="32"/>
      <c r="M380" s="30"/>
      <c r="N380" s="30" t="s">
        <v>65</v>
      </c>
      <c r="O380" s="1" t="n">
        <f aca="false">IF($B380="",0,IF(AND(OR(Filter!$B$5="(alle)",$N380=Filter!$B$5),OR(Filter!$E$5="(alle)",$K380=Filter!$E$5),OR(Filter!$H$5="(alle)",$C380=Filter!$H$5),OR(Filter!$B$7="(alle)",$E380=Filter!$B$7),OR(Filter!$E$7="(alle)",ISNUMBER(SEARCH(Filter!$E$7,$J380))),OR(Filter!$H$7="(alle)",ISNUMBER(SEARCH(Filter!$H$7,$I380))),OR(Filter!$B$9="",ISNUMBER(SEARCH(Filter!$B$9,$F380&amp;" "&amp;$G380)))),COUNTIF($O$6:$O379,"&gt;0")+1,0))</f>
        <v>374</v>
      </c>
    </row>
    <row r="381" customFormat="false" ht="38.25" hidden="false" customHeight="true" outlineLevel="0" collapsed="false">
      <c r="B381" s="30" t="s">
        <v>1972</v>
      </c>
      <c r="C381" s="30" t="s">
        <v>286</v>
      </c>
      <c r="D381" s="30" t="s">
        <v>1973</v>
      </c>
      <c r="E381" s="30" t="s">
        <v>42</v>
      </c>
      <c r="F381" s="30" t="s">
        <v>1974</v>
      </c>
      <c r="G381" s="30" t="s">
        <v>1975</v>
      </c>
      <c r="H381" s="30" t="s">
        <v>1976</v>
      </c>
      <c r="I381" s="30" t="s">
        <v>45</v>
      </c>
      <c r="J381" s="30" t="s">
        <v>46</v>
      </c>
      <c r="K381" s="31" t="s">
        <v>151</v>
      </c>
      <c r="L381" s="32"/>
      <c r="M381" s="30" t="s">
        <v>1977</v>
      </c>
      <c r="N381" s="30" t="s">
        <v>48</v>
      </c>
      <c r="O381" s="1" t="n">
        <f aca="false">IF($B381="",0,IF(AND(OR(Filter!$B$5="(alle)",$N381=Filter!$B$5),OR(Filter!$E$5="(alle)",$K381=Filter!$E$5),OR(Filter!$H$5="(alle)",$C381=Filter!$H$5),OR(Filter!$B$7="(alle)",$E381=Filter!$B$7),OR(Filter!$E$7="(alle)",ISNUMBER(SEARCH(Filter!$E$7,$J381))),OR(Filter!$H$7="(alle)",ISNUMBER(SEARCH(Filter!$H$7,$I381))),OR(Filter!$B$9="",ISNUMBER(SEARCH(Filter!$B$9,$F381&amp;" "&amp;$G381)))),COUNTIF($O$6:$O380,"&gt;0")+1,0))</f>
        <v>375</v>
      </c>
    </row>
    <row r="382" customFormat="false" ht="63.75" hidden="false" customHeight="true" outlineLevel="0" collapsed="false">
      <c r="B382" s="30" t="s">
        <v>1978</v>
      </c>
      <c r="C382" s="30" t="s">
        <v>286</v>
      </c>
      <c r="D382" s="30" t="s">
        <v>1979</v>
      </c>
      <c r="E382" s="30" t="s">
        <v>355</v>
      </c>
      <c r="F382" s="30" t="s">
        <v>1980</v>
      </c>
      <c r="G382" s="30" t="s">
        <v>1981</v>
      </c>
      <c r="H382" s="30" t="s">
        <v>1982</v>
      </c>
      <c r="I382" s="30" t="s">
        <v>306</v>
      </c>
      <c r="J382" s="30" t="s">
        <v>206</v>
      </c>
      <c r="K382" s="31" t="s">
        <v>47</v>
      </c>
      <c r="L382" s="32"/>
      <c r="M382" s="30"/>
      <c r="N382" s="30" t="s">
        <v>48</v>
      </c>
      <c r="O382" s="1" t="n">
        <f aca="false">IF($B382="",0,IF(AND(OR(Filter!$B$5="(alle)",$N382=Filter!$B$5),OR(Filter!$E$5="(alle)",$K382=Filter!$E$5),OR(Filter!$H$5="(alle)",$C382=Filter!$H$5),OR(Filter!$B$7="(alle)",$E382=Filter!$B$7),OR(Filter!$E$7="(alle)",ISNUMBER(SEARCH(Filter!$E$7,$J382))),OR(Filter!$H$7="(alle)",ISNUMBER(SEARCH(Filter!$H$7,$I382))),OR(Filter!$B$9="",ISNUMBER(SEARCH(Filter!$B$9,$F382&amp;" "&amp;$G382)))),COUNTIF($O$6:$O381,"&gt;0")+1,0))</f>
        <v>376</v>
      </c>
    </row>
    <row r="383" customFormat="false" ht="140.25" hidden="false" customHeight="true" outlineLevel="0" collapsed="false">
      <c r="B383" s="30" t="s">
        <v>1983</v>
      </c>
      <c r="C383" s="30" t="s">
        <v>286</v>
      </c>
      <c r="D383" s="30" t="s">
        <v>1984</v>
      </c>
      <c r="E383" s="30" t="s">
        <v>604</v>
      </c>
      <c r="F383" s="30" t="s">
        <v>1985</v>
      </c>
      <c r="G383" s="30" t="s">
        <v>1986</v>
      </c>
      <c r="H383" s="30" t="s">
        <v>1987</v>
      </c>
      <c r="I383" s="30" t="s">
        <v>158</v>
      </c>
      <c r="J383" s="30" t="s">
        <v>159</v>
      </c>
      <c r="K383" s="31" t="s">
        <v>47</v>
      </c>
      <c r="L383" s="32"/>
      <c r="M383" s="30"/>
      <c r="N383" s="30" t="s">
        <v>48</v>
      </c>
      <c r="O383" s="1" t="n">
        <f aca="false">IF($B383="",0,IF(AND(OR(Filter!$B$5="(alle)",$N383=Filter!$B$5),OR(Filter!$E$5="(alle)",$K383=Filter!$E$5),OR(Filter!$H$5="(alle)",$C383=Filter!$H$5),OR(Filter!$B$7="(alle)",$E383=Filter!$B$7),OR(Filter!$E$7="(alle)",ISNUMBER(SEARCH(Filter!$E$7,$J383))),OR(Filter!$H$7="(alle)",ISNUMBER(SEARCH(Filter!$H$7,$I383))),OR(Filter!$B$9="",ISNUMBER(SEARCH(Filter!$B$9,$F383&amp;" "&amp;$G383)))),COUNTIF($O$6:$O382,"&gt;0")+1,0))</f>
        <v>377</v>
      </c>
    </row>
    <row r="384" customFormat="false" ht="51" hidden="false" customHeight="true" outlineLevel="0" collapsed="false">
      <c r="B384" s="30" t="s">
        <v>1988</v>
      </c>
      <c r="C384" s="30" t="s">
        <v>286</v>
      </c>
      <c r="D384" s="30" t="s">
        <v>1989</v>
      </c>
      <c r="E384" s="30" t="s">
        <v>210</v>
      </c>
      <c r="F384" s="30" t="s">
        <v>1990</v>
      </c>
      <c r="G384" s="30" t="s">
        <v>1991</v>
      </c>
      <c r="H384" s="30" t="s">
        <v>1992</v>
      </c>
      <c r="I384" s="30" t="s">
        <v>306</v>
      </c>
      <c r="J384" s="30" t="s">
        <v>206</v>
      </c>
      <c r="K384" s="31" t="s">
        <v>47</v>
      </c>
      <c r="L384" s="32"/>
      <c r="M384" s="30"/>
      <c r="N384" s="30" t="s">
        <v>48</v>
      </c>
      <c r="O384" s="1" t="n">
        <f aca="false">IF($B384="",0,IF(AND(OR(Filter!$B$5="(alle)",$N384=Filter!$B$5),OR(Filter!$E$5="(alle)",$K384=Filter!$E$5),OR(Filter!$H$5="(alle)",$C384=Filter!$H$5),OR(Filter!$B$7="(alle)",$E384=Filter!$B$7),OR(Filter!$E$7="(alle)",ISNUMBER(SEARCH(Filter!$E$7,$J384))),OR(Filter!$H$7="(alle)",ISNUMBER(SEARCH(Filter!$H$7,$I384))),OR(Filter!$B$9="",ISNUMBER(SEARCH(Filter!$B$9,$F384&amp;" "&amp;$G384)))),COUNTIF($O$6:$O383,"&gt;0")+1,0))</f>
        <v>378</v>
      </c>
    </row>
    <row r="385" customFormat="false" ht="102" hidden="false" customHeight="true" outlineLevel="0" collapsed="false">
      <c r="B385" s="30" t="s">
        <v>1993</v>
      </c>
      <c r="C385" s="30" t="s">
        <v>286</v>
      </c>
      <c r="D385" s="30" t="s">
        <v>1994</v>
      </c>
      <c r="E385" s="30" t="s">
        <v>355</v>
      </c>
      <c r="F385" s="30" t="s">
        <v>1995</v>
      </c>
      <c r="G385" s="30" t="s">
        <v>1996</v>
      </c>
      <c r="H385" s="30" t="s">
        <v>1997</v>
      </c>
      <c r="I385" s="30" t="s">
        <v>306</v>
      </c>
      <c r="J385" s="30" t="s">
        <v>206</v>
      </c>
      <c r="K385" s="31" t="s">
        <v>47</v>
      </c>
      <c r="L385" s="32"/>
      <c r="M385" s="30"/>
      <c r="N385" s="30" t="s">
        <v>48</v>
      </c>
      <c r="O385" s="1" t="n">
        <f aca="false">IF($B385="",0,IF(AND(OR(Filter!$B$5="(alle)",$N385=Filter!$B$5),OR(Filter!$E$5="(alle)",$K385=Filter!$E$5),OR(Filter!$H$5="(alle)",$C385=Filter!$H$5),OR(Filter!$B$7="(alle)",$E385=Filter!$B$7),OR(Filter!$E$7="(alle)",ISNUMBER(SEARCH(Filter!$E$7,$J385))),OR(Filter!$H$7="(alle)",ISNUMBER(SEARCH(Filter!$H$7,$I385))),OR(Filter!$B$9="",ISNUMBER(SEARCH(Filter!$B$9,$F385&amp;" "&amp;$G385)))),COUNTIF($O$6:$O384,"&gt;0")+1,0))</f>
        <v>379</v>
      </c>
    </row>
    <row r="386" customFormat="false" ht="140.25" hidden="false" customHeight="true" outlineLevel="0" collapsed="false">
      <c r="B386" s="30" t="s">
        <v>1998</v>
      </c>
      <c r="C386" s="30" t="s">
        <v>286</v>
      </c>
      <c r="D386" s="30" t="s">
        <v>1999</v>
      </c>
      <c r="E386" s="30" t="s">
        <v>355</v>
      </c>
      <c r="F386" s="30" t="s">
        <v>2000</v>
      </c>
      <c r="G386" s="30" t="s">
        <v>2001</v>
      </c>
      <c r="H386" s="30" t="s">
        <v>2002</v>
      </c>
      <c r="I386" s="30" t="s">
        <v>306</v>
      </c>
      <c r="J386" s="30" t="s">
        <v>206</v>
      </c>
      <c r="K386" s="31" t="s">
        <v>47</v>
      </c>
      <c r="L386" s="32"/>
      <c r="M386" s="30"/>
      <c r="N386" s="30" t="s">
        <v>48</v>
      </c>
      <c r="O386" s="1" t="n">
        <f aca="false">IF($B386="",0,IF(AND(OR(Filter!$B$5="(alle)",$N386=Filter!$B$5),OR(Filter!$E$5="(alle)",$K386=Filter!$E$5),OR(Filter!$H$5="(alle)",$C386=Filter!$H$5),OR(Filter!$B$7="(alle)",$E386=Filter!$B$7),OR(Filter!$E$7="(alle)",ISNUMBER(SEARCH(Filter!$E$7,$J386))),OR(Filter!$H$7="(alle)",ISNUMBER(SEARCH(Filter!$H$7,$I386))),OR(Filter!$B$9="",ISNUMBER(SEARCH(Filter!$B$9,$F386&amp;" "&amp;$G386)))),COUNTIF($O$6:$O385,"&gt;0")+1,0))</f>
        <v>380</v>
      </c>
    </row>
    <row r="387" customFormat="false" ht="89.25" hidden="false" customHeight="true" outlineLevel="0" collapsed="false">
      <c r="B387" s="30" t="s">
        <v>2003</v>
      </c>
      <c r="C387" s="30" t="s">
        <v>286</v>
      </c>
      <c r="D387" s="30" t="s">
        <v>2004</v>
      </c>
      <c r="E387" s="30" t="s">
        <v>547</v>
      </c>
      <c r="F387" s="30" t="s">
        <v>2005</v>
      </c>
      <c r="G387" s="30" t="s">
        <v>2006</v>
      </c>
      <c r="H387" s="30" t="s">
        <v>2007</v>
      </c>
      <c r="I387" s="30" t="s">
        <v>476</v>
      </c>
      <c r="J387" s="30" t="s">
        <v>476</v>
      </c>
      <c r="K387" s="31" t="s">
        <v>47</v>
      </c>
      <c r="L387" s="32"/>
      <c r="M387" s="30"/>
      <c r="N387" s="30" t="s">
        <v>48</v>
      </c>
      <c r="O387" s="1" t="n">
        <f aca="false">IF($B387="",0,IF(AND(OR(Filter!$B$5="(alle)",$N387=Filter!$B$5),OR(Filter!$E$5="(alle)",$K387=Filter!$E$5),OR(Filter!$H$5="(alle)",$C387=Filter!$H$5),OR(Filter!$B$7="(alle)",$E387=Filter!$B$7),OR(Filter!$E$7="(alle)",ISNUMBER(SEARCH(Filter!$E$7,$J387))),OR(Filter!$H$7="(alle)",ISNUMBER(SEARCH(Filter!$H$7,$I387))),OR(Filter!$B$9="",ISNUMBER(SEARCH(Filter!$B$9,$F387&amp;" "&amp;$G387)))),COUNTIF($O$6:$O386,"&gt;0")+1,0))</f>
        <v>381</v>
      </c>
    </row>
    <row r="388" customFormat="false" ht="127.5" hidden="false" customHeight="true" outlineLevel="0" collapsed="false">
      <c r="B388" s="30" t="s">
        <v>2008</v>
      </c>
      <c r="C388" s="30" t="s">
        <v>286</v>
      </c>
      <c r="D388" s="30" t="s">
        <v>2009</v>
      </c>
      <c r="E388" s="30" t="s">
        <v>604</v>
      </c>
      <c r="F388" s="30" t="s">
        <v>1915</v>
      </c>
      <c r="G388" s="30" t="s">
        <v>2010</v>
      </c>
      <c r="H388" s="30" t="s">
        <v>2011</v>
      </c>
      <c r="I388" s="30" t="s">
        <v>158</v>
      </c>
      <c r="J388" s="30" t="s">
        <v>159</v>
      </c>
      <c r="K388" s="31" t="s">
        <v>47</v>
      </c>
      <c r="L388" s="32"/>
      <c r="M388" s="30"/>
      <c r="N388" s="30" t="s">
        <v>48</v>
      </c>
      <c r="O388" s="1" t="n">
        <f aca="false">IF($B388="",0,IF(AND(OR(Filter!$B$5="(alle)",$N388=Filter!$B$5),OR(Filter!$E$5="(alle)",$K388=Filter!$E$5),OR(Filter!$H$5="(alle)",$C388=Filter!$H$5),OR(Filter!$B$7="(alle)",$E388=Filter!$B$7),OR(Filter!$E$7="(alle)",ISNUMBER(SEARCH(Filter!$E$7,$J388))),OR(Filter!$H$7="(alle)",ISNUMBER(SEARCH(Filter!$H$7,$I388))),OR(Filter!$B$9="",ISNUMBER(SEARCH(Filter!$B$9,$F388&amp;" "&amp;$G388)))),COUNTIF($O$6:$O387,"&gt;0")+1,0))</f>
        <v>382</v>
      </c>
    </row>
    <row r="389" customFormat="false" ht="89.25" hidden="false" customHeight="true" outlineLevel="0" collapsed="false">
      <c r="B389" s="30" t="s">
        <v>2012</v>
      </c>
      <c r="C389" s="30" t="s">
        <v>286</v>
      </c>
      <c r="D389" s="30" t="s">
        <v>2013</v>
      </c>
      <c r="E389" s="30" t="s">
        <v>604</v>
      </c>
      <c r="F389" s="30" t="s">
        <v>2014</v>
      </c>
      <c r="G389" s="30" t="s">
        <v>2015</v>
      </c>
      <c r="H389" s="30" t="s">
        <v>2016</v>
      </c>
      <c r="I389" s="30" t="s">
        <v>158</v>
      </c>
      <c r="J389" s="30" t="s">
        <v>159</v>
      </c>
      <c r="K389" s="31" t="s">
        <v>47</v>
      </c>
      <c r="L389" s="32"/>
      <c r="M389" s="30"/>
      <c r="N389" s="30" t="s">
        <v>48</v>
      </c>
      <c r="O389" s="1" t="n">
        <f aca="false">IF($B389="",0,IF(AND(OR(Filter!$B$5="(alle)",$N389=Filter!$B$5),OR(Filter!$E$5="(alle)",$K389=Filter!$E$5),OR(Filter!$H$5="(alle)",$C389=Filter!$H$5),OR(Filter!$B$7="(alle)",$E389=Filter!$B$7),OR(Filter!$E$7="(alle)",ISNUMBER(SEARCH(Filter!$E$7,$J389))),OR(Filter!$H$7="(alle)",ISNUMBER(SEARCH(Filter!$H$7,$I389))),OR(Filter!$B$9="",ISNUMBER(SEARCH(Filter!$B$9,$F389&amp;" "&amp;$G389)))),COUNTIF($O$6:$O388,"&gt;0")+1,0))</f>
        <v>383</v>
      </c>
    </row>
    <row r="390" customFormat="false" ht="76.5" hidden="false" customHeight="true" outlineLevel="0" collapsed="false">
      <c r="B390" s="30" t="s">
        <v>2017</v>
      </c>
      <c r="C390" s="30" t="s">
        <v>286</v>
      </c>
      <c r="D390" s="30" t="s">
        <v>2018</v>
      </c>
      <c r="E390" s="30" t="s">
        <v>355</v>
      </c>
      <c r="F390" s="30" t="s">
        <v>2019</v>
      </c>
      <c r="G390" s="30" t="s">
        <v>2020</v>
      </c>
      <c r="H390" s="30" t="s">
        <v>2021</v>
      </c>
      <c r="I390" s="30" t="s">
        <v>158</v>
      </c>
      <c r="J390" s="30" t="s">
        <v>159</v>
      </c>
      <c r="K390" s="31" t="s">
        <v>47</v>
      </c>
      <c r="L390" s="32"/>
      <c r="M390" s="30"/>
      <c r="N390" s="30" t="s">
        <v>48</v>
      </c>
      <c r="O390" s="1" t="n">
        <f aca="false">IF($B390="",0,IF(AND(OR(Filter!$B$5="(alle)",$N390=Filter!$B$5),OR(Filter!$E$5="(alle)",$K390=Filter!$E$5),OR(Filter!$H$5="(alle)",$C390=Filter!$H$5),OR(Filter!$B$7="(alle)",$E390=Filter!$B$7),OR(Filter!$E$7="(alle)",ISNUMBER(SEARCH(Filter!$E$7,$J390))),OR(Filter!$H$7="(alle)",ISNUMBER(SEARCH(Filter!$H$7,$I390))),OR(Filter!$B$9="",ISNUMBER(SEARCH(Filter!$B$9,$F390&amp;" "&amp;$G390)))),COUNTIF($O$6:$O389,"&gt;0")+1,0))</f>
        <v>384</v>
      </c>
    </row>
    <row r="391" customFormat="false" ht="191.25" hidden="false" customHeight="true" outlineLevel="0" collapsed="false">
      <c r="B391" s="30" t="s">
        <v>2022</v>
      </c>
      <c r="C391" s="30" t="s">
        <v>286</v>
      </c>
      <c r="D391" s="30" t="s">
        <v>2023</v>
      </c>
      <c r="E391" s="30" t="s">
        <v>344</v>
      </c>
      <c r="F391" s="30" t="s">
        <v>2024</v>
      </c>
      <c r="G391" s="30" t="s">
        <v>2025</v>
      </c>
      <c r="H391" s="30" t="s">
        <v>2026</v>
      </c>
      <c r="I391" s="30" t="s">
        <v>45</v>
      </c>
      <c r="J391" s="30" t="s">
        <v>1390</v>
      </c>
      <c r="K391" s="31" t="s">
        <v>47</v>
      </c>
      <c r="L391" s="32"/>
      <c r="M391" s="30"/>
      <c r="N391" s="30" t="s">
        <v>48</v>
      </c>
      <c r="O391" s="1" t="n">
        <f aca="false">IF($B391="",0,IF(AND(OR(Filter!$B$5="(alle)",$N391=Filter!$B$5),OR(Filter!$E$5="(alle)",$K391=Filter!$E$5),OR(Filter!$H$5="(alle)",$C391=Filter!$H$5),OR(Filter!$B$7="(alle)",$E391=Filter!$B$7),OR(Filter!$E$7="(alle)",ISNUMBER(SEARCH(Filter!$E$7,$J391))),OR(Filter!$H$7="(alle)",ISNUMBER(SEARCH(Filter!$H$7,$I391))),OR(Filter!$B$9="",ISNUMBER(SEARCH(Filter!$B$9,$F391&amp;" "&amp;$G391)))),COUNTIF($O$6:$O390,"&gt;0")+1,0))</f>
        <v>385</v>
      </c>
    </row>
    <row r="392" customFormat="false" ht="114.75" hidden="false" customHeight="true" outlineLevel="0" collapsed="false">
      <c r="B392" s="30" t="s">
        <v>2027</v>
      </c>
      <c r="C392" s="30" t="s">
        <v>286</v>
      </c>
      <c r="D392" s="30" t="s">
        <v>2028</v>
      </c>
      <c r="E392" s="30" t="s">
        <v>331</v>
      </c>
      <c r="F392" s="30" t="s">
        <v>2029</v>
      </c>
      <c r="G392" s="30" t="s">
        <v>2030</v>
      </c>
      <c r="H392" s="30" t="s">
        <v>2031</v>
      </c>
      <c r="I392" s="30" t="s">
        <v>306</v>
      </c>
      <c r="J392" s="30" t="s">
        <v>206</v>
      </c>
      <c r="K392" s="31" t="s">
        <v>151</v>
      </c>
      <c r="L392" s="32"/>
      <c r="M392" s="30" t="s">
        <v>370</v>
      </c>
      <c r="N392" s="30" t="s">
        <v>48</v>
      </c>
      <c r="O392" s="1" t="n">
        <f aca="false">IF($B392="",0,IF(AND(OR(Filter!$B$5="(alle)",$N392=Filter!$B$5),OR(Filter!$E$5="(alle)",$K392=Filter!$E$5),OR(Filter!$H$5="(alle)",$C392=Filter!$H$5),OR(Filter!$B$7="(alle)",$E392=Filter!$B$7),OR(Filter!$E$7="(alle)",ISNUMBER(SEARCH(Filter!$E$7,$J392))),OR(Filter!$H$7="(alle)",ISNUMBER(SEARCH(Filter!$H$7,$I392))),OR(Filter!$B$9="",ISNUMBER(SEARCH(Filter!$B$9,$F392&amp;" "&amp;$G392)))),COUNTIF($O$6:$O391,"&gt;0")+1,0))</f>
        <v>386</v>
      </c>
    </row>
    <row r="393" customFormat="false" ht="140.25" hidden="false" customHeight="true" outlineLevel="0" collapsed="false">
      <c r="B393" s="30" t="s">
        <v>2032</v>
      </c>
      <c r="C393" s="30" t="s">
        <v>286</v>
      </c>
      <c r="D393" s="30" t="s">
        <v>2033</v>
      </c>
      <c r="E393" s="30" t="s">
        <v>42</v>
      </c>
      <c r="F393" s="30" t="s">
        <v>2034</v>
      </c>
      <c r="G393" s="30" t="s">
        <v>2035</v>
      </c>
      <c r="H393" s="30" t="s">
        <v>2036</v>
      </c>
      <c r="I393" s="30" t="s">
        <v>98</v>
      </c>
      <c r="J393" s="30" t="s">
        <v>1354</v>
      </c>
      <c r="K393" s="31" t="s">
        <v>47</v>
      </c>
      <c r="L393" s="32"/>
      <c r="M393" s="30"/>
      <c r="N393" s="30" t="s">
        <v>48</v>
      </c>
      <c r="O393" s="1" t="n">
        <f aca="false">IF($B393="",0,IF(AND(OR(Filter!$B$5="(alle)",$N393=Filter!$B$5),OR(Filter!$E$5="(alle)",$K393=Filter!$E$5),OR(Filter!$H$5="(alle)",$C393=Filter!$H$5),OR(Filter!$B$7="(alle)",$E393=Filter!$B$7),OR(Filter!$E$7="(alle)",ISNUMBER(SEARCH(Filter!$E$7,$J393))),OR(Filter!$H$7="(alle)",ISNUMBER(SEARCH(Filter!$H$7,$I393))),OR(Filter!$B$9="",ISNUMBER(SEARCH(Filter!$B$9,$F393&amp;" "&amp;$G393)))),COUNTIF($O$6:$O392,"&gt;0")+1,0))</f>
        <v>387</v>
      </c>
    </row>
    <row r="394" customFormat="false" ht="89.25" hidden="false" customHeight="true" outlineLevel="0" collapsed="false">
      <c r="B394" s="30" t="s">
        <v>2037</v>
      </c>
      <c r="C394" s="30" t="s">
        <v>286</v>
      </c>
      <c r="D394" s="30" t="s">
        <v>2038</v>
      </c>
      <c r="E394" s="30" t="s">
        <v>42</v>
      </c>
      <c r="F394" s="30" t="s">
        <v>1915</v>
      </c>
      <c r="G394" s="30" t="s">
        <v>2039</v>
      </c>
      <c r="H394" s="30" t="s">
        <v>2040</v>
      </c>
      <c r="I394" s="30" t="s">
        <v>98</v>
      </c>
      <c r="J394" s="30" t="s">
        <v>507</v>
      </c>
      <c r="K394" s="31" t="s">
        <v>47</v>
      </c>
      <c r="L394" s="32"/>
      <c r="M394" s="30"/>
      <c r="N394" s="30" t="s">
        <v>65</v>
      </c>
      <c r="O394" s="1" t="n">
        <f aca="false">IF($B394="",0,IF(AND(OR(Filter!$B$5="(alle)",$N394=Filter!$B$5),OR(Filter!$E$5="(alle)",$K394=Filter!$E$5),OR(Filter!$H$5="(alle)",$C394=Filter!$H$5),OR(Filter!$B$7="(alle)",$E394=Filter!$B$7),OR(Filter!$E$7="(alle)",ISNUMBER(SEARCH(Filter!$E$7,$J394))),OR(Filter!$H$7="(alle)",ISNUMBER(SEARCH(Filter!$H$7,$I394))),OR(Filter!$B$9="",ISNUMBER(SEARCH(Filter!$B$9,$F394&amp;" "&amp;$G394)))),COUNTIF($O$6:$O393,"&gt;0")+1,0))</f>
        <v>388</v>
      </c>
    </row>
    <row r="395" customFormat="false" ht="102" hidden="false" customHeight="true" outlineLevel="0" collapsed="false">
      <c r="B395" s="30" t="s">
        <v>2041</v>
      </c>
      <c r="C395" s="30" t="s">
        <v>286</v>
      </c>
      <c r="D395" s="30" t="s">
        <v>2042</v>
      </c>
      <c r="E395" s="30" t="s">
        <v>155</v>
      </c>
      <c r="F395" s="30" t="s">
        <v>2043</v>
      </c>
      <c r="G395" s="30" t="s">
        <v>2044</v>
      </c>
      <c r="H395" s="30" t="s">
        <v>2045</v>
      </c>
      <c r="I395" s="30" t="s">
        <v>476</v>
      </c>
      <c r="J395" s="30" t="s">
        <v>476</v>
      </c>
      <c r="K395" s="31" t="s">
        <v>47</v>
      </c>
      <c r="L395" s="32"/>
      <c r="M395" s="30"/>
      <c r="N395" s="30" t="s">
        <v>48</v>
      </c>
      <c r="O395" s="1" t="n">
        <f aca="false">IF($B395="",0,IF(AND(OR(Filter!$B$5="(alle)",$N395=Filter!$B$5),OR(Filter!$E$5="(alle)",$K395=Filter!$E$5),OR(Filter!$H$5="(alle)",$C395=Filter!$H$5),OR(Filter!$B$7="(alle)",$E395=Filter!$B$7),OR(Filter!$E$7="(alle)",ISNUMBER(SEARCH(Filter!$E$7,$J395))),OR(Filter!$H$7="(alle)",ISNUMBER(SEARCH(Filter!$H$7,$I395))),OR(Filter!$B$9="",ISNUMBER(SEARCH(Filter!$B$9,$F395&amp;" "&amp;$G395)))),COUNTIF($O$6:$O394,"&gt;0")+1,0))</f>
        <v>389</v>
      </c>
    </row>
    <row r="396" customFormat="false" ht="89.25" hidden="false" customHeight="true" outlineLevel="0" collapsed="false">
      <c r="B396" s="30" t="s">
        <v>2046</v>
      </c>
      <c r="C396" s="30" t="s">
        <v>286</v>
      </c>
      <c r="D396" s="30" t="s">
        <v>2047</v>
      </c>
      <c r="E396" s="30" t="s">
        <v>155</v>
      </c>
      <c r="F396" s="30" t="s">
        <v>2048</v>
      </c>
      <c r="G396" s="30" t="s">
        <v>2049</v>
      </c>
      <c r="H396" s="30" t="s">
        <v>2050</v>
      </c>
      <c r="I396" s="30" t="s">
        <v>476</v>
      </c>
      <c r="J396" s="30" t="s">
        <v>476</v>
      </c>
      <c r="K396" s="31" t="s">
        <v>47</v>
      </c>
      <c r="L396" s="32"/>
      <c r="M396" s="30"/>
      <c r="N396" s="30" t="s">
        <v>48</v>
      </c>
      <c r="O396" s="1" t="n">
        <f aca="false">IF($B396="",0,IF(AND(OR(Filter!$B$5="(alle)",$N396=Filter!$B$5),OR(Filter!$E$5="(alle)",$K396=Filter!$E$5),OR(Filter!$H$5="(alle)",$C396=Filter!$H$5),OR(Filter!$B$7="(alle)",$E396=Filter!$B$7),OR(Filter!$E$7="(alle)",ISNUMBER(SEARCH(Filter!$E$7,$J396))),OR(Filter!$H$7="(alle)",ISNUMBER(SEARCH(Filter!$H$7,$I396))),OR(Filter!$B$9="",ISNUMBER(SEARCH(Filter!$B$9,$F396&amp;" "&amp;$G396)))),COUNTIF($O$6:$O395,"&gt;0")+1,0))</f>
        <v>390</v>
      </c>
    </row>
    <row r="397" customFormat="false" ht="89.25" hidden="false" customHeight="true" outlineLevel="0" collapsed="false">
      <c r="B397" s="30" t="s">
        <v>2051</v>
      </c>
      <c r="C397" s="30" t="s">
        <v>286</v>
      </c>
      <c r="D397" s="30" t="s">
        <v>2052</v>
      </c>
      <c r="E397" s="30" t="s">
        <v>155</v>
      </c>
      <c r="F397" s="30" t="s">
        <v>2053</v>
      </c>
      <c r="G397" s="30" t="s">
        <v>2054</v>
      </c>
      <c r="H397" s="30" t="s">
        <v>2055</v>
      </c>
      <c r="I397" s="30" t="s">
        <v>476</v>
      </c>
      <c r="J397" s="30" t="s">
        <v>476</v>
      </c>
      <c r="K397" s="31" t="s">
        <v>47</v>
      </c>
      <c r="L397" s="32"/>
      <c r="M397" s="30"/>
      <c r="N397" s="30" t="s">
        <v>48</v>
      </c>
      <c r="O397" s="1" t="n">
        <f aca="false">IF($B397="",0,IF(AND(OR(Filter!$B$5="(alle)",$N397=Filter!$B$5),OR(Filter!$E$5="(alle)",$K397=Filter!$E$5),OR(Filter!$H$5="(alle)",$C397=Filter!$H$5),OR(Filter!$B$7="(alle)",$E397=Filter!$B$7),OR(Filter!$E$7="(alle)",ISNUMBER(SEARCH(Filter!$E$7,$J397))),OR(Filter!$H$7="(alle)",ISNUMBER(SEARCH(Filter!$H$7,$I397))),OR(Filter!$B$9="",ISNUMBER(SEARCH(Filter!$B$9,$F397&amp;" "&amp;$G397)))),COUNTIF($O$6:$O396,"&gt;0")+1,0))</f>
        <v>391</v>
      </c>
    </row>
    <row r="398" customFormat="false" ht="114.75" hidden="false" customHeight="true" outlineLevel="0" collapsed="false">
      <c r="B398" s="30" t="s">
        <v>2056</v>
      </c>
      <c r="C398" s="30" t="s">
        <v>286</v>
      </c>
      <c r="D398" s="30" t="s">
        <v>2057</v>
      </c>
      <c r="E398" s="30" t="s">
        <v>604</v>
      </c>
      <c r="F398" s="30" t="s">
        <v>2058</v>
      </c>
      <c r="G398" s="30" t="s">
        <v>2059</v>
      </c>
      <c r="H398" s="30" t="s">
        <v>2060</v>
      </c>
      <c r="I398" s="30" t="s">
        <v>476</v>
      </c>
      <c r="J398" s="30" t="s">
        <v>476</v>
      </c>
      <c r="K398" s="31" t="s">
        <v>47</v>
      </c>
      <c r="L398" s="32"/>
      <c r="M398" s="30"/>
      <c r="N398" s="30" t="s">
        <v>48</v>
      </c>
      <c r="O398" s="1" t="n">
        <f aca="false">IF($B398="",0,IF(AND(OR(Filter!$B$5="(alle)",$N398=Filter!$B$5),OR(Filter!$E$5="(alle)",$K398=Filter!$E$5),OR(Filter!$H$5="(alle)",$C398=Filter!$H$5),OR(Filter!$B$7="(alle)",$E398=Filter!$B$7),OR(Filter!$E$7="(alle)",ISNUMBER(SEARCH(Filter!$E$7,$J398))),OR(Filter!$H$7="(alle)",ISNUMBER(SEARCH(Filter!$H$7,$I398))),OR(Filter!$B$9="",ISNUMBER(SEARCH(Filter!$B$9,$F398&amp;" "&amp;$G398)))),COUNTIF($O$6:$O397,"&gt;0")+1,0))</f>
        <v>392</v>
      </c>
    </row>
    <row r="399" customFormat="false" ht="409.5" hidden="false" customHeight="true" outlineLevel="0" collapsed="false">
      <c r="B399" s="30" t="s">
        <v>2061</v>
      </c>
      <c r="C399" s="30" t="s">
        <v>286</v>
      </c>
      <c r="D399" s="30" t="s">
        <v>2062</v>
      </c>
      <c r="E399" s="30" t="s">
        <v>94</v>
      </c>
      <c r="F399" s="30" t="s">
        <v>2063</v>
      </c>
      <c r="G399" s="30" t="s">
        <v>2064</v>
      </c>
      <c r="H399" s="30" t="s">
        <v>2065</v>
      </c>
      <c r="I399" s="30" t="s">
        <v>45</v>
      </c>
      <c r="J399" s="30" t="s">
        <v>265</v>
      </c>
      <c r="K399" s="31" t="s">
        <v>47</v>
      </c>
      <c r="L399" s="32"/>
      <c r="M399" s="30"/>
      <c r="N399" s="30" t="s">
        <v>48</v>
      </c>
      <c r="O399" s="1" t="n">
        <f aca="false">IF($B399="",0,IF(AND(OR(Filter!$B$5="(alle)",$N399=Filter!$B$5),OR(Filter!$E$5="(alle)",$K399=Filter!$E$5),OR(Filter!$H$5="(alle)",$C399=Filter!$H$5),OR(Filter!$B$7="(alle)",$E399=Filter!$B$7),OR(Filter!$E$7="(alle)",ISNUMBER(SEARCH(Filter!$E$7,$J399))),OR(Filter!$H$7="(alle)",ISNUMBER(SEARCH(Filter!$H$7,$I399))),OR(Filter!$B$9="",ISNUMBER(SEARCH(Filter!$B$9,$F399&amp;" "&amp;$G399)))),COUNTIF($O$6:$O398,"&gt;0")+1,0))</f>
        <v>393</v>
      </c>
    </row>
    <row r="400" customFormat="false" ht="89.25" hidden="false" customHeight="true" outlineLevel="0" collapsed="false">
      <c r="B400" s="30" t="s">
        <v>2066</v>
      </c>
      <c r="C400" s="30" t="s">
        <v>286</v>
      </c>
      <c r="D400" s="30" t="s">
        <v>2067</v>
      </c>
      <c r="E400" s="30" t="s">
        <v>331</v>
      </c>
      <c r="F400" s="30" t="s">
        <v>2068</v>
      </c>
      <c r="G400" s="30" t="s">
        <v>2069</v>
      </c>
      <c r="H400" s="30" t="s">
        <v>2070</v>
      </c>
      <c r="I400" s="30" t="s">
        <v>306</v>
      </c>
      <c r="J400" s="30" t="s">
        <v>206</v>
      </c>
      <c r="K400" s="31" t="s">
        <v>151</v>
      </c>
      <c r="L400" s="32"/>
      <c r="M400" s="30" t="s">
        <v>370</v>
      </c>
      <c r="N400" s="30" t="s">
        <v>48</v>
      </c>
      <c r="O400" s="1" t="n">
        <f aca="false">IF($B400="",0,IF(AND(OR(Filter!$B$5="(alle)",$N400=Filter!$B$5),OR(Filter!$E$5="(alle)",$K400=Filter!$E$5),OR(Filter!$H$5="(alle)",$C400=Filter!$H$5),OR(Filter!$B$7="(alle)",$E400=Filter!$B$7),OR(Filter!$E$7="(alle)",ISNUMBER(SEARCH(Filter!$E$7,$J400))),OR(Filter!$H$7="(alle)",ISNUMBER(SEARCH(Filter!$H$7,$I400))),OR(Filter!$B$9="",ISNUMBER(SEARCH(Filter!$B$9,$F400&amp;" "&amp;$G400)))),COUNTIF($O$6:$O399,"&gt;0")+1,0))</f>
        <v>394</v>
      </c>
    </row>
    <row r="401" customFormat="false" ht="153" hidden="false" customHeight="true" outlineLevel="0" collapsed="false">
      <c r="B401" s="30" t="s">
        <v>2071</v>
      </c>
      <c r="C401" s="30" t="s">
        <v>286</v>
      </c>
      <c r="D401" s="30" t="s">
        <v>2072</v>
      </c>
      <c r="E401" s="30" t="s">
        <v>155</v>
      </c>
      <c r="F401" s="30" t="s">
        <v>2073</v>
      </c>
      <c r="G401" s="30" t="s">
        <v>2074</v>
      </c>
      <c r="H401" s="30" t="s">
        <v>2075</v>
      </c>
      <c r="I401" s="30" t="s">
        <v>158</v>
      </c>
      <c r="J401" s="30" t="s">
        <v>159</v>
      </c>
      <c r="K401" s="31" t="s">
        <v>47</v>
      </c>
      <c r="L401" s="32"/>
      <c r="M401" s="30"/>
      <c r="N401" s="30" t="s">
        <v>48</v>
      </c>
      <c r="O401" s="1" t="n">
        <f aca="false">IF($B401="",0,IF(AND(OR(Filter!$B$5="(alle)",$N401=Filter!$B$5),OR(Filter!$E$5="(alle)",$K401=Filter!$E$5),OR(Filter!$H$5="(alle)",$C401=Filter!$H$5),OR(Filter!$B$7="(alle)",$E401=Filter!$B$7),OR(Filter!$E$7="(alle)",ISNUMBER(SEARCH(Filter!$E$7,$J401))),OR(Filter!$H$7="(alle)",ISNUMBER(SEARCH(Filter!$H$7,$I401))),OR(Filter!$B$9="",ISNUMBER(SEARCH(Filter!$B$9,$F401&amp;" "&amp;$G401)))),COUNTIF($O$6:$O400,"&gt;0")+1,0))</f>
        <v>395</v>
      </c>
    </row>
    <row r="402" customFormat="false" ht="408" hidden="false" customHeight="true" outlineLevel="0" collapsed="false">
      <c r="B402" s="30" t="s">
        <v>2076</v>
      </c>
      <c r="C402" s="30" t="s">
        <v>286</v>
      </c>
      <c r="D402" s="30" t="s">
        <v>2077</v>
      </c>
      <c r="E402" s="30" t="s">
        <v>355</v>
      </c>
      <c r="F402" s="30" t="s">
        <v>2078</v>
      </c>
      <c r="G402" s="30" t="s">
        <v>2079</v>
      </c>
      <c r="H402" s="30" t="s">
        <v>2080</v>
      </c>
      <c r="I402" s="30" t="s">
        <v>306</v>
      </c>
      <c r="J402" s="30" t="s">
        <v>206</v>
      </c>
      <c r="K402" s="31" t="s">
        <v>47</v>
      </c>
      <c r="L402" s="32"/>
      <c r="M402" s="30"/>
      <c r="N402" s="30" t="s">
        <v>48</v>
      </c>
      <c r="O402" s="1" t="n">
        <f aca="false">IF($B402="",0,IF(AND(OR(Filter!$B$5="(alle)",$N402=Filter!$B$5),OR(Filter!$E$5="(alle)",$K402=Filter!$E$5),OR(Filter!$H$5="(alle)",$C402=Filter!$H$5),OR(Filter!$B$7="(alle)",$E402=Filter!$B$7),OR(Filter!$E$7="(alle)",ISNUMBER(SEARCH(Filter!$E$7,$J402))),OR(Filter!$H$7="(alle)",ISNUMBER(SEARCH(Filter!$H$7,$I402))),OR(Filter!$B$9="",ISNUMBER(SEARCH(Filter!$B$9,$F402&amp;" "&amp;$G402)))),COUNTIF($O$6:$O401,"&gt;0")+1,0))</f>
        <v>396</v>
      </c>
    </row>
    <row r="403" customFormat="false" ht="63.75" hidden="false" customHeight="true" outlineLevel="0" collapsed="false">
      <c r="B403" s="30" t="s">
        <v>2081</v>
      </c>
      <c r="C403" s="30" t="s">
        <v>286</v>
      </c>
      <c r="D403" s="30" t="s">
        <v>2082</v>
      </c>
      <c r="E403" s="30" t="s">
        <v>210</v>
      </c>
      <c r="F403" s="30" t="s">
        <v>2083</v>
      </c>
      <c r="G403" s="30" t="s">
        <v>2084</v>
      </c>
      <c r="H403" s="30" t="s">
        <v>2085</v>
      </c>
      <c r="I403" s="30" t="s">
        <v>306</v>
      </c>
      <c r="J403" s="30" t="s">
        <v>206</v>
      </c>
      <c r="K403" s="31" t="s">
        <v>47</v>
      </c>
      <c r="L403" s="32"/>
      <c r="M403" s="30"/>
      <c r="N403" s="30" t="s">
        <v>48</v>
      </c>
      <c r="O403" s="1" t="n">
        <f aca="false">IF($B403="",0,IF(AND(OR(Filter!$B$5="(alle)",$N403=Filter!$B$5),OR(Filter!$E$5="(alle)",$K403=Filter!$E$5),OR(Filter!$H$5="(alle)",$C403=Filter!$H$5),OR(Filter!$B$7="(alle)",$E403=Filter!$B$7),OR(Filter!$E$7="(alle)",ISNUMBER(SEARCH(Filter!$E$7,$J403))),OR(Filter!$H$7="(alle)",ISNUMBER(SEARCH(Filter!$H$7,$I403))),OR(Filter!$B$9="",ISNUMBER(SEARCH(Filter!$B$9,$F403&amp;" "&amp;$G403)))),COUNTIF($O$6:$O402,"&gt;0")+1,0))</f>
        <v>397</v>
      </c>
    </row>
    <row r="404" customFormat="false" ht="165.75" hidden="false" customHeight="true" outlineLevel="0" collapsed="false">
      <c r="B404" s="30" t="s">
        <v>2086</v>
      </c>
      <c r="C404" s="30" t="s">
        <v>286</v>
      </c>
      <c r="D404" s="30" t="s">
        <v>2087</v>
      </c>
      <c r="E404" s="30" t="s">
        <v>210</v>
      </c>
      <c r="F404" s="30" t="s">
        <v>2088</v>
      </c>
      <c r="G404" s="30" t="s">
        <v>2089</v>
      </c>
      <c r="H404" s="30" t="s">
        <v>2090</v>
      </c>
      <c r="I404" s="30" t="s">
        <v>306</v>
      </c>
      <c r="J404" s="30" t="s">
        <v>206</v>
      </c>
      <c r="K404" s="31" t="s">
        <v>47</v>
      </c>
      <c r="L404" s="32"/>
      <c r="M404" s="30"/>
      <c r="N404" s="30" t="s">
        <v>48</v>
      </c>
      <c r="O404" s="1" t="n">
        <f aca="false">IF($B404="",0,IF(AND(OR(Filter!$B$5="(alle)",$N404=Filter!$B$5),OR(Filter!$E$5="(alle)",$K404=Filter!$E$5),OR(Filter!$H$5="(alle)",$C404=Filter!$H$5),OR(Filter!$B$7="(alle)",$E404=Filter!$B$7),OR(Filter!$E$7="(alle)",ISNUMBER(SEARCH(Filter!$E$7,$J404))),OR(Filter!$H$7="(alle)",ISNUMBER(SEARCH(Filter!$H$7,$I404))),OR(Filter!$B$9="",ISNUMBER(SEARCH(Filter!$B$9,$F404&amp;" "&amp;$G404)))),COUNTIF($O$6:$O403,"&gt;0")+1,0))</f>
        <v>398</v>
      </c>
    </row>
    <row r="405" customFormat="false" ht="38.25" hidden="false" customHeight="true" outlineLevel="0" collapsed="false">
      <c r="B405" s="30" t="s">
        <v>2091</v>
      </c>
      <c r="C405" s="30" t="s">
        <v>286</v>
      </c>
      <c r="D405" s="30" t="s">
        <v>2092</v>
      </c>
      <c r="E405" s="30" t="s">
        <v>361</v>
      </c>
      <c r="F405" s="30" t="s">
        <v>2093</v>
      </c>
      <c r="G405" s="30" t="s">
        <v>2094</v>
      </c>
      <c r="H405" s="30" t="s">
        <v>2095</v>
      </c>
      <c r="I405" s="30" t="s">
        <v>306</v>
      </c>
      <c r="J405" s="30" t="s">
        <v>206</v>
      </c>
      <c r="K405" s="31" t="s">
        <v>47</v>
      </c>
      <c r="L405" s="32"/>
      <c r="M405" s="30"/>
      <c r="N405" s="30" t="s">
        <v>48</v>
      </c>
      <c r="O405" s="1" t="n">
        <f aca="false">IF($B405="",0,IF(AND(OR(Filter!$B$5="(alle)",$N405=Filter!$B$5),OR(Filter!$E$5="(alle)",$K405=Filter!$E$5),OR(Filter!$H$5="(alle)",$C405=Filter!$H$5),OR(Filter!$B$7="(alle)",$E405=Filter!$B$7),OR(Filter!$E$7="(alle)",ISNUMBER(SEARCH(Filter!$E$7,$J405))),OR(Filter!$H$7="(alle)",ISNUMBER(SEARCH(Filter!$H$7,$I405))),OR(Filter!$B$9="",ISNUMBER(SEARCH(Filter!$B$9,$F405&amp;" "&amp;$G405)))),COUNTIF($O$6:$O404,"&gt;0")+1,0))</f>
        <v>399</v>
      </c>
    </row>
    <row r="406" customFormat="false" ht="102" hidden="false" customHeight="true" outlineLevel="0" collapsed="false">
      <c r="B406" s="30" t="s">
        <v>2096</v>
      </c>
      <c r="C406" s="30" t="s">
        <v>286</v>
      </c>
      <c r="D406" s="30" t="s">
        <v>2097</v>
      </c>
      <c r="E406" s="30" t="s">
        <v>344</v>
      </c>
      <c r="F406" s="30" t="s">
        <v>2098</v>
      </c>
      <c r="G406" s="30" t="s">
        <v>2099</v>
      </c>
      <c r="H406" s="30" t="s">
        <v>2100</v>
      </c>
      <c r="I406" s="30" t="s">
        <v>306</v>
      </c>
      <c r="J406" s="30" t="s">
        <v>206</v>
      </c>
      <c r="K406" s="31" t="s">
        <v>47</v>
      </c>
      <c r="L406" s="32"/>
      <c r="M406" s="30"/>
      <c r="N406" s="30" t="s">
        <v>48</v>
      </c>
      <c r="O406" s="1" t="n">
        <f aca="false">IF($B406="",0,IF(AND(OR(Filter!$B$5="(alle)",$N406=Filter!$B$5),OR(Filter!$E$5="(alle)",$K406=Filter!$E$5),OR(Filter!$H$5="(alle)",$C406=Filter!$H$5),OR(Filter!$B$7="(alle)",$E406=Filter!$B$7),OR(Filter!$E$7="(alle)",ISNUMBER(SEARCH(Filter!$E$7,$J406))),OR(Filter!$H$7="(alle)",ISNUMBER(SEARCH(Filter!$H$7,$I406))),OR(Filter!$B$9="",ISNUMBER(SEARCH(Filter!$B$9,$F406&amp;" "&amp;$G406)))),COUNTIF($O$6:$O405,"&gt;0")+1,0))</f>
        <v>400</v>
      </c>
    </row>
    <row r="407" customFormat="false" ht="191.25" hidden="false" customHeight="true" outlineLevel="0" collapsed="false">
      <c r="B407" s="30" t="s">
        <v>2101</v>
      </c>
      <c r="C407" s="30" t="s">
        <v>286</v>
      </c>
      <c r="D407" s="30" t="s">
        <v>2102</v>
      </c>
      <c r="E407" s="30" t="s">
        <v>210</v>
      </c>
      <c r="F407" s="30" t="s">
        <v>2103</v>
      </c>
      <c r="G407" s="30" t="s">
        <v>2104</v>
      </c>
      <c r="H407" s="30" t="s">
        <v>2105</v>
      </c>
      <c r="I407" s="30" t="s">
        <v>306</v>
      </c>
      <c r="J407" s="30" t="s">
        <v>206</v>
      </c>
      <c r="K407" s="31" t="s">
        <v>47</v>
      </c>
      <c r="L407" s="32"/>
      <c r="M407" s="30"/>
      <c r="N407" s="30" t="s">
        <v>48</v>
      </c>
      <c r="O407" s="1" t="n">
        <f aca="false">IF($B407="",0,IF(AND(OR(Filter!$B$5="(alle)",$N407=Filter!$B$5),OR(Filter!$E$5="(alle)",$K407=Filter!$E$5),OR(Filter!$H$5="(alle)",$C407=Filter!$H$5),OR(Filter!$B$7="(alle)",$E407=Filter!$B$7),OR(Filter!$E$7="(alle)",ISNUMBER(SEARCH(Filter!$E$7,$J407))),OR(Filter!$H$7="(alle)",ISNUMBER(SEARCH(Filter!$H$7,$I407))),OR(Filter!$B$9="",ISNUMBER(SEARCH(Filter!$B$9,$F407&amp;" "&amp;$G407)))),COUNTIF($O$6:$O406,"&gt;0")+1,0))</f>
        <v>401</v>
      </c>
    </row>
    <row r="408" customFormat="false" ht="140.25" hidden="false" customHeight="true" outlineLevel="0" collapsed="false">
      <c r="B408" s="30" t="s">
        <v>2106</v>
      </c>
      <c r="C408" s="30" t="s">
        <v>286</v>
      </c>
      <c r="D408" s="30" t="s">
        <v>2107</v>
      </c>
      <c r="E408" s="30" t="s">
        <v>210</v>
      </c>
      <c r="F408" s="30" t="s">
        <v>2108</v>
      </c>
      <c r="G408" s="30" t="s">
        <v>2109</v>
      </c>
      <c r="H408" s="30" t="s">
        <v>2110</v>
      </c>
      <c r="I408" s="30" t="s">
        <v>306</v>
      </c>
      <c r="J408" s="30" t="s">
        <v>206</v>
      </c>
      <c r="K408" s="31" t="s">
        <v>47</v>
      </c>
      <c r="L408" s="32"/>
      <c r="M408" s="30"/>
      <c r="N408" s="30" t="s">
        <v>48</v>
      </c>
      <c r="O408" s="1" t="n">
        <f aca="false">IF($B408="",0,IF(AND(OR(Filter!$B$5="(alle)",$N408=Filter!$B$5),OR(Filter!$E$5="(alle)",$K408=Filter!$E$5),OR(Filter!$H$5="(alle)",$C408=Filter!$H$5),OR(Filter!$B$7="(alle)",$E408=Filter!$B$7),OR(Filter!$E$7="(alle)",ISNUMBER(SEARCH(Filter!$E$7,$J408))),OR(Filter!$H$7="(alle)",ISNUMBER(SEARCH(Filter!$H$7,$I408))),OR(Filter!$B$9="",ISNUMBER(SEARCH(Filter!$B$9,$F408&amp;" "&amp;$G408)))),COUNTIF($O$6:$O407,"&gt;0")+1,0))</f>
        <v>402</v>
      </c>
    </row>
    <row r="409" customFormat="false" ht="38.25" hidden="false" customHeight="true" outlineLevel="0" collapsed="false">
      <c r="B409" s="30" t="s">
        <v>2111</v>
      </c>
      <c r="C409" s="30" t="s">
        <v>286</v>
      </c>
      <c r="D409" s="30" t="s">
        <v>2112</v>
      </c>
      <c r="E409" s="30" t="s">
        <v>344</v>
      </c>
      <c r="F409" s="30" t="s">
        <v>2113</v>
      </c>
      <c r="G409" s="30" t="s">
        <v>2114</v>
      </c>
      <c r="H409" s="30" t="s">
        <v>2115</v>
      </c>
      <c r="I409" s="30" t="s">
        <v>306</v>
      </c>
      <c r="J409" s="30" t="s">
        <v>206</v>
      </c>
      <c r="K409" s="31" t="s">
        <v>47</v>
      </c>
      <c r="L409" s="32"/>
      <c r="M409" s="30"/>
      <c r="N409" s="30" t="s">
        <v>48</v>
      </c>
      <c r="O409" s="1" t="n">
        <f aca="false">IF($B409="",0,IF(AND(OR(Filter!$B$5="(alle)",$N409=Filter!$B$5),OR(Filter!$E$5="(alle)",$K409=Filter!$E$5),OR(Filter!$H$5="(alle)",$C409=Filter!$H$5),OR(Filter!$B$7="(alle)",$E409=Filter!$B$7),OR(Filter!$E$7="(alle)",ISNUMBER(SEARCH(Filter!$E$7,$J409))),OR(Filter!$H$7="(alle)",ISNUMBER(SEARCH(Filter!$H$7,$I409))),OR(Filter!$B$9="",ISNUMBER(SEARCH(Filter!$B$9,$F409&amp;" "&amp;$G409)))),COUNTIF($O$6:$O408,"&gt;0")+1,0))</f>
        <v>403</v>
      </c>
    </row>
    <row r="410" customFormat="false" ht="76.5" hidden="false" customHeight="true" outlineLevel="0" collapsed="false">
      <c r="B410" s="30" t="s">
        <v>2116</v>
      </c>
      <c r="C410" s="30" t="s">
        <v>286</v>
      </c>
      <c r="D410" s="30" t="s">
        <v>2117</v>
      </c>
      <c r="E410" s="30" t="s">
        <v>42</v>
      </c>
      <c r="F410" s="30" t="s">
        <v>2118</v>
      </c>
      <c r="G410" s="30" t="s">
        <v>2119</v>
      </c>
      <c r="H410" s="30" t="s">
        <v>2120</v>
      </c>
      <c r="I410" s="30" t="s">
        <v>543</v>
      </c>
      <c r="J410" s="30" t="s">
        <v>2121</v>
      </c>
      <c r="K410" s="31" t="s">
        <v>47</v>
      </c>
      <c r="L410" s="32"/>
      <c r="M410" s="30"/>
      <c r="N410" s="30" t="s">
        <v>48</v>
      </c>
      <c r="O410" s="1" t="n">
        <f aca="false">IF($B410="",0,IF(AND(OR(Filter!$B$5="(alle)",$N410=Filter!$B$5),OR(Filter!$E$5="(alle)",$K410=Filter!$E$5),OR(Filter!$H$5="(alle)",$C410=Filter!$H$5),OR(Filter!$B$7="(alle)",$E410=Filter!$B$7),OR(Filter!$E$7="(alle)",ISNUMBER(SEARCH(Filter!$E$7,$J410))),OR(Filter!$H$7="(alle)",ISNUMBER(SEARCH(Filter!$H$7,$I410))),OR(Filter!$B$9="",ISNUMBER(SEARCH(Filter!$B$9,$F410&amp;" "&amp;$G410)))),COUNTIF($O$6:$O409,"&gt;0")+1,0))</f>
        <v>404</v>
      </c>
    </row>
    <row r="411" customFormat="false" ht="63.75" hidden="false" customHeight="true" outlineLevel="0" collapsed="false">
      <c r="B411" s="30" t="s">
        <v>2122</v>
      </c>
      <c r="C411" s="30" t="s">
        <v>286</v>
      </c>
      <c r="D411" s="30" t="s">
        <v>2123</v>
      </c>
      <c r="E411" s="30" t="s">
        <v>42</v>
      </c>
      <c r="F411" s="30" t="s">
        <v>2124</v>
      </c>
      <c r="G411" s="30" t="s">
        <v>2125</v>
      </c>
      <c r="H411" s="30" t="s">
        <v>2126</v>
      </c>
      <c r="I411" s="30" t="s">
        <v>45</v>
      </c>
      <c r="J411" s="30" t="s">
        <v>46</v>
      </c>
      <c r="K411" s="31" t="s">
        <v>47</v>
      </c>
      <c r="L411" s="32"/>
      <c r="M411" s="30"/>
      <c r="N411" s="30" t="s">
        <v>48</v>
      </c>
      <c r="O411" s="1" t="n">
        <f aca="false">IF($B411="",0,IF(AND(OR(Filter!$B$5="(alle)",$N411=Filter!$B$5),OR(Filter!$E$5="(alle)",$K411=Filter!$E$5),OR(Filter!$H$5="(alle)",$C411=Filter!$H$5),OR(Filter!$B$7="(alle)",$E411=Filter!$B$7),OR(Filter!$E$7="(alle)",ISNUMBER(SEARCH(Filter!$E$7,$J411))),OR(Filter!$H$7="(alle)",ISNUMBER(SEARCH(Filter!$H$7,$I411))),OR(Filter!$B$9="",ISNUMBER(SEARCH(Filter!$B$9,$F411&amp;" "&amp;$G411)))),COUNTIF($O$6:$O410,"&gt;0")+1,0))</f>
        <v>405</v>
      </c>
    </row>
    <row r="412" customFormat="false" ht="51" hidden="false" customHeight="true" outlineLevel="0" collapsed="false">
      <c r="B412" s="30" t="s">
        <v>2127</v>
      </c>
      <c r="C412" s="30" t="s">
        <v>286</v>
      </c>
      <c r="D412" s="30" t="s">
        <v>2128</v>
      </c>
      <c r="E412" s="30" t="s">
        <v>344</v>
      </c>
      <c r="F412" s="30" t="s">
        <v>2129</v>
      </c>
      <c r="G412" s="30" t="s">
        <v>2130</v>
      </c>
      <c r="H412" s="30" t="s">
        <v>2131</v>
      </c>
      <c r="I412" s="30" t="s">
        <v>306</v>
      </c>
      <c r="J412" s="30" t="s">
        <v>206</v>
      </c>
      <c r="K412" s="31" t="s">
        <v>47</v>
      </c>
      <c r="L412" s="32"/>
      <c r="M412" s="30"/>
      <c r="N412" s="30" t="s">
        <v>48</v>
      </c>
      <c r="O412" s="1" t="n">
        <f aca="false">IF($B412="",0,IF(AND(OR(Filter!$B$5="(alle)",$N412=Filter!$B$5),OR(Filter!$E$5="(alle)",$K412=Filter!$E$5),OR(Filter!$H$5="(alle)",$C412=Filter!$H$5),OR(Filter!$B$7="(alle)",$E412=Filter!$B$7),OR(Filter!$E$7="(alle)",ISNUMBER(SEARCH(Filter!$E$7,$J412))),OR(Filter!$H$7="(alle)",ISNUMBER(SEARCH(Filter!$H$7,$I412))),OR(Filter!$B$9="",ISNUMBER(SEARCH(Filter!$B$9,$F412&amp;" "&amp;$G412)))),COUNTIF($O$6:$O411,"&gt;0")+1,0))</f>
        <v>406</v>
      </c>
    </row>
    <row r="413" customFormat="false" ht="89.25" hidden="false" customHeight="true" outlineLevel="0" collapsed="false">
      <c r="B413" s="30" t="s">
        <v>2132</v>
      </c>
      <c r="C413" s="30" t="s">
        <v>286</v>
      </c>
      <c r="D413" s="30" t="s">
        <v>2133</v>
      </c>
      <c r="E413" s="30" t="s">
        <v>361</v>
      </c>
      <c r="F413" s="30" t="s">
        <v>2134</v>
      </c>
      <c r="G413" s="30" t="s">
        <v>2135</v>
      </c>
      <c r="H413" s="30" t="s">
        <v>2136</v>
      </c>
      <c r="I413" s="30" t="s">
        <v>306</v>
      </c>
      <c r="J413" s="30" t="s">
        <v>206</v>
      </c>
      <c r="K413" s="31" t="s">
        <v>47</v>
      </c>
      <c r="L413" s="32"/>
      <c r="M413" s="30"/>
      <c r="N413" s="30" t="s">
        <v>48</v>
      </c>
      <c r="O413" s="1" t="n">
        <f aca="false">IF($B413="",0,IF(AND(OR(Filter!$B$5="(alle)",$N413=Filter!$B$5),OR(Filter!$E$5="(alle)",$K413=Filter!$E$5),OR(Filter!$H$5="(alle)",$C413=Filter!$H$5),OR(Filter!$B$7="(alle)",$E413=Filter!$B$7),OR(Filter!$E$7="(alle)",ISNUMBER(SEARCH(Filter!$E$7,$J413))),OR(Filter!$H$7="(alle)",ISNUMBER(SEARCH(Filter!$H$7,$I413))),OR(Filter!$B$9="",ISNUMBER(SEARCH(Filter!$B$9,$F413&amp;" "&amp;$G413)))),COUNTIF($O$6:$O412,"&gt;0")+1,0))</f>
        <v>407</v>
      </c>
    </row>
    <row r="414" customFormat="false" ht="114.75" hidden="false" customHeight="true" outlineLevel="0" collapsed="false">
      <c r="B414" s="30" t="s">
        <v>2137</v>
      </c>
      <c r="C414" s="30" t="s">
        <v>286</v>
      </c>
      <c r="D414" s="30" t="s">
        <v>2138</v>
      </c>
      <c r="E414" s="30" t="s">
        <v>361</v>
      </c>
      <c r="F414" s="30" t="s">
        <v>2139</v>
      </c>
      <c r="G414" s="30" t="s">
        <v>2140</v>
      </c>
      <c r="H414" s="30" t="s">
        <v>2141</v>
      </c>
      <c r="I414" s="30" t="s">
        <v>306</v>
      </c>
      <c r="J414" s="30" t="s">
        <v>206</v>
      </c>
      <c r="K414" s="31" t="s">
        <v>47</v>
      </c>
      <c r="L414" s="32"/>
      <c r="M414" s="30"/>
      <c r="N414" s="30" t="s">
        <v>48</v>
      </c>
      <c r="O414" s="1" t="n">
        <f aca="false">IF($B414="",0,IF(AND(OR(Filter!$B$5="(alle)",$N414=Filter!$B$5),OR(Filter!$E$5="(alle)",$K414=Filter!$E$5),OR(Filter!$H$5="(alle)",$C414=Filter!$H$5),OR(Filter!$B$7="(alle)",$E414=Filter!$B$7),OR(Filter!$E$7="(alle)",ISNUMBER(SEARCH(Filter!$E$7,$J414))),OR(Filter!$H$7="(alle)",ISNUMBER(SEARCH(Filter!$H$7,$I414))),OR(Filter!$B$9="",ISNUMBER(SEARCH(Filter!$B$9,$F414&amp;" "&amp;$G414)))),COUNTIF($O$6:$O413,"&gt;0")+1,0))</f>
        <v>408</v>
      </c>
    </row>
    <row r="415" customFormat="false" ht="51" hidden="false" customHeight="true" outlineLevel="0" collapsed="false">
      <c r="B415" s="30" t="s">
        <v>2142</v>
      </c>
      <c r="C415" s="30" t="s">
        <v>286</v>
      </c>
      <c r="D415" s="30" t="s">
        <v>2143</v>
      </c>
      <c r="E415" s="30" t="s">
        <v>361</v>
      </c>
      <c r="F415" s="30" t="s">
        <v>2144</v>
      </c>
      <c r="G415" s="30" t="s">
        <v>2145</v>
      </c>
      <c r="H415" s="30" t="s">
        <v>2146</v>
      </c>
      <c r="I415" s="30" t="s">
        <v>306</v>
      </c>
      <c r="J415" s="30" t="s">
        <v>206</v>
      </c>
      <c r="K415" s="31" t="s">
        <v>47</v>
      </c>
      <c r="L415" s="32"/>
      <c r="M415" s="30"/>
      <c r="N415" s="30" t="s">
        <v>48</v>
      </c>
      <c r="O415" s="1" t="n">
        <f aca="false">IF($B415="",0,IF(AND(OR(Filter!$B$5="(alle)",$N415=Filter!$B$5),OR(Filter!$E$5="(alle)",$K415=Filter!$E$5),OR(Filter!$H$5="(alle)",$C415=Filter!$H$5),OR(Filter!$B$7="(alle)",$E415=Filter!$B$7),OR(Filter!$E$7="(alle)",ISNUMBER(SEARCH(Filter!$E$7,$J415))),OR(Filter!$H$7="(alle)",ISNUMBER(SEARCH(Filter!$H$7,$I415))),OR(Filter!$B$9="",ISNUMBER(SEARCH(Filter!$B$9,$F415&amp;" "&amp;$G415)))),COUNTIF($O$6:$O414,"&gt;0")+1,0))</f>
        <v>409</v>
      </c>
    </row>
    <row r="416" customFormat="false" ht="63.75" hidden="false" customHeight="true" outlineLevel="0" collapsed="false">
      <c r="B416" s="30" t="s">
        <v>2147</v>
      </c>
      <c r="C416" s="30" t="s">
        <v>286</v>
      </c>
      <c r="D416" s="30" t="s">
        <v>2148</v>
      </c>
      <c r="E416" s="30" t="s">
        <v>344</v>
      </c>
      <c r="F416" s="30" t="s">
        <v>2149</v>
      </c>
      <c r="G416" s="30" t="s">
        <v>2150</v>
      </c>
      <c r="H416" s="30" t="s">
        <v>2151</v>
      </c>
      <c r="I416" s="30" t="s">
        <v>306</v>
      </c>
      <c r="J416" s="30" t="s">
        <v>206</v>
      </c>
      <c r="K416" s="31" t="s">
        <v>47</v>
      </c>
      <c r="L416" s="32"/>
      <c r="M416" s="30"/>
      <c r="N416" s="30" t="s">
        <v>48</v>
      </c>
      <c r="O416" s="1" t="n">
        <f aca="false">IF($B416="",0,IF(AND(OR(Filter!$B$5="(alle)",$N416=Filter!$B$5),OR(Filter!$E$5="(alle)",$K416=Filter!$E$5),OR(Filter!$H$5="(alle)",$C416=Filter!$H$5),OR(Filter!$B$7="(alle)",$E416=Filter!$B$7),OR(Filter!$E$7="(alle)",ISNUMBER(SEARCH(Filter!$E$7,$J416))),OR(Filter!$H$7="(alle)",ISNUMBER(SEARCH(Filter!$H$7,$I416))),OR(Filter!$B$9="",ISNUMBER(SEARCH(Filter!$B$9,$F416&amp;" "&amp;$G416)))),COUNTIF($O$6:$O415,"&gt;0")+1,0))</f>
        <v>410</v>
      </c>
    </row>
    <row r="417" customFormat="false" ht="114.75" hidden="false" customHeight="true" outlineLevel="0" collapsed="false">
      <c r="B417" s="30" t="s">
        <v>2152</v>
      </c>
      <c r="C417" s="30" t="s">
        <v>286</v>
      </c>
      <c r="D417" s="30" t="s">
        <v>2153</v>
      </c>
      <c r="E417" s="30" t="s">
        <v>361</v>
      </c>
      <c r="F417" s="30" t="s">
        <v>2154</v>
      </c>
      <c r="G417" s="30" t="s">
        <v>2155</v>
      </c>
      <c r="H417" s="30" t="s">
        <v>2156</v>
      </c>
      <c r="I417" s="30" t="s">
        <v>45</v>
      </c>
      <c r="J417" s="30" t="s">
        <v>46</v>
      </c>
      <c r="K417" s="31" t="s">
        <v>47</v>
      </c>
      <c r="L417" s="32"/>
      <c r="M417" s="30"/>
      <c r="N417" s="30" t="s">
        <v>48</v>
      </c>
      <c r="O417" s="1" t="n">
        <f aca="false">IF($B417="",0,IF(AND(OR(Filter!$B$5="(alle)",$N417=Filter!$B$5),OR(Filter!$E$5="(alle)",$K417=Filter!$E$5),OR(Filter!$H$5="(alle)",$C417=Filter!$H$5),OR(Filter!$B$7="(alle)",$E417=Filter!$B$7),OR(Filter!$E$7="(alle)",ISNUMBER(SEARCH(Filter!$E$7,$J417))),OR(Filter!$H$7="(alle)",ISNUMBER(SEARCH(Filter!$H$7,$I417))),OR(Filter!$B$9="",ISNUMBER(SEARCH(Filter!$B$9,$F417&amp;" "&amp;$G417)))),COUNTIF($O$6:$O416,"&gt;0")+1,0))</f>
        <v>411</v>
      </c>
    </row>
    <row r="418" customFormat="false" ht="293.25" hidden="false" customHeight="true" outlineLevel="0" collapsed="false">
      <c r="B418" s="30" t="s">
        <v>2157</v>
      </c>
      <c r="C418" s="30" t="s">
        <v>286</v>
      </c>
      <c r="D418" s="30" t="s">
        <v>2158</v>
      </c>
      <c r="E418" s="30" t="s">
        <v>94</v>
      </c>
      <c r="F418" s="30" t="s">
        <v>2159</v>
      </c>
      <c r="G418" s="30" t="s">
        <v>2160</v>
      </c>
      <c r="H418" s="30" t="s">
        <v>2161</v>
      </c>
      <c r="I418" s="30" t="s">
        <v>543</v>
      </c>
      <c r="J418" s="30" t="s">
        <v>2162</v>
      </c>
      <c r="K418" s="31" t="s">
        <v>47</v>
      </c>
      <c r="L418" s="32"/>
      <c r="M418" s="30"/>
      <c r="N418" s="30" t="s">
        <v>48</v>
      </c>
      <c r="O418" s="1" t="n">
        <f aca="false">IF($B418="",0,IF(AND(OR(Filter!$B$5="(alle)",$N418=Filter!$B$5),OR(Filter!$E$5="(alle)",$K418=Filter!$E$5),OR(Filter!$H$5="(alle)",$C418=Filter!$H$5),OR(Filter!$B$7="(alle)",$E418=Filter!$B$7),OR(Filter!$E$7="(alle)",ISNUMBER(SEARCH(Filter!$E$7,$J418))),OR(Filter!$H$7="(alle)",ISNUMBER(SEARCH(Filter!$H$7,$I418))),OR(Filter!$B$9="",ISNUMBER(SEARCH(Filter!$B$9,$F418&amp;" "&amp;$G418)))),COUNTIF($O$6:$O417,"&gt;0")+1,0))</f>
        <v>412</v>
      </c>
    </row>
    <row r="419" customFormat="false" ht="102" hidden="false" customHeight="true" outlineLevel="0" collapsed="false">
      <c r="B419" s="30" t="s">
        <v>2163</v>
      </c>
      <c r="C419" s="30" t="s">
        <v>286</v>
      </c>
      <c r="D419" s="30" t="s">
        <v>2164</v>
      </c>
      <c r="E419" s="30" t="s">
        <v>344</v>
      </c>
      <c r="F419" s="30" t="s">
        <v>2165</v>
      </c>
      <c r="G419" s="30" t="s">
        <v>2166</v>
      </c>
      <c r="H419" s="30" t="s">
        <v>2167</v>
      </c>
      <c r="I419" s="30" t="s">
        <v>306</v>
      </c>
      <c r="J419" s="30" t="s">
        <v>206</v>
      </c>
      <c r="K419" s="31" t="s">
        <v>47</v>
      </c>
      <c r="L419" s="32"/>
      <c r="M419" s="30"/>
      <c r="N419" s="30" t="s">
        <v>48</v>
      </c>
      <c r="O419" s="1" t="n">
        <f aca="false">IF($B419="",0,IF(AND(OR(Filter!$B$5="(alle)",$N419=Filter!$B$5),OR(Filter!$E$5="(alle)",$K419=Filter!$E$5),OR(Filter!$H$5="(alle)",$C419=Filter!$H$5),OR(Filter!$B$7="(alle)",$E419=Filter!$B$7),OR(Filter!$E$7="(alle)",ISNUMBER(SEARCH(Filter!$E$7,$J419))),OR(Filter!$H$7="(alle)",ISNUMBER(SEARCH(Filter!$H$7,$I419))),OR(Filter!$B$9="",ISNUMBER(SEARCH(Filter!$B$9,$F419&amp;" "&amp;$G419)))),COUNTIF($O$6:$O418,"&gt;0")+1,0))</f>
        <v>413</v>
      </c>
    </row>
    <row r="420" customFormat="false" ht="153" hidden="false" customHeight="true" outlineLevel="0" collapsed="false">
      <c r="B420" s="30" t="s">
        <v>2168</v>
      </c>
      <c r="C420" s="30" t="s">
        <v>286</v>
      </c>
      <c r="D420" s="30" t="s">
        <v>2169</v>
      </c>
      <c r="E420" s="30" t="s">
        <v>361</v>
      </c>
      <c r="F420" s="30" t="s">
        <v>2170</v>
      </c>
      <c r="G420" s="30" t="s">
        <v>2171</v>
      </c>
      <c r="H420" s="30" t="s">
        <v>2172</v>
      </c>
      <c r="I420" s="30" t="s">
        <v>306</v>
      </c>
      <c r="J420" s="30" t="s">
        <v>206</v>
      </c>
      <c r="K420" s="31" t="s">
        <v>47</v>
      </c>
      <c r="L420" s="32"/>
      <c r="M420" s="30"/>
      <c r="N420" s="30" t="s">
        <v>48</v>
      </c>
      <c r="O420" s="1" t="n">
        <f aca="false">IF($B420="",0,IF(AND(OR(Filter!$B$5="(alle)",$N420=Filter!$B$5),OR(Filter!$E$5="(alle)",$K420=Filter!$E$5),OR(Filter!$H$5="(alle)",$C420=Filter!$H$5),OR(Filter!$B$7="(alle)",$E420=Filter!$B$7),OR(Filter!$E$7="(alle)",ISNUMBER(SEARCH(Filter!$E$7,$J420))),OR(Filter!$H$7="(alle)",ISNUMBER(SEARCH(Filter!$H$7,$I420))),OR(Filter!$B$9="",ISNUMBER(SEARCH(Filter!$B$9,$F420&amp;" "&amp;$G420)))),COUNTIF($O$6:$O419,"&gt;0")+1,0))</f>
        <v>414</v>
      </c>
    </row>
    <row r="421" customFormat="false" ht="102" hidden="false" customHeight="true" outlineLevel="0" collapsed="false">
      <c r="B421" s="30" t="s">
        <v>2173</v>
      </c>
      <c r="C421" s="30" t="s">
        <v>286</v>
      </c>
      <c r="D421" s="30" t="s">
        <v>2174</v>
      </c>
      <c r="E421" s="30" t="s">
        <v>361</v>
      </c>
      <c r="F421" s="30" t="s">
        <v>2175</v>
      </c>
      <c r="G421" s="30" t="s">
        <v>2176</v>
      </c>
      <c r="H421" s="30" t="s">
        <v>2177</v>
      </c>
      <c r="I421" s="30" t="s">
        <v>306</v>
      </c>
      <c r="J421" s="30" t="s">
        <v>206</v>
      </c>
      <c r="K421" s="31" t="s">
        <v>47</v>
      </c>
      <c r="L421" s="32"/>
      <c r="M421" s="30"/>
      <c r="N421" s="30" t="s">
        <v>48</v>
      </c>
      <c r="O421" s="1" t="n">
        <f aca="false">IF($B421="",0,IF(AND(OR(Filter!$B$5="(alle)",$N421=Filter!$B$5),OR(Filter!$E$5="(alle)",$K421=Filter!$E$5),OR(Filter!$H$5="(alle)",$C421=Filter!$H$5),OR(Filter!$B$7="(alle)",$E421=Filter!$B$7),OR(Filter!$E$7="(alle)",ISNUMBER(SEARCH(Filter!$E$7,$J421))),OR(Filter!$H$7="(alle)",ISNUMBER(SEARCH(Filter!$H$7,$I421))),OR(Filter!$B$9="",ISNUMBER(SEARCH(Filter!$B$9,$F421&amp;" "&amp;$G421)))),COUNTIF($O$6:$O420,"&gt;0")+1,0))</f>
        <v>415</v>
      </c>
    </row>
    <row r="422" customFormat="false" ht="140.25" hidden="false" customHeight="true" outlineLevel="0" collapsed="false">
      <c r="B422" s="30" t="s">
        <v>2178</v>
      </c>
      <c r="C422" s="30" t="s">
        <v>286</v>
      </c>
      <c r="D422" s="30" t="s">
        <v>2179</v>
      </c>
      <c r="E422" s="30" t="s">
        <v>361</v>
      </c>
      <c r="F422" s="30" t="s">
        <v>2180</v>
      </c>
      <c r="G422" s="30" t="s">
        <v>2181</v>
      </c>
      <c r="H422" s="30" t="s">
        <v>2182</v>
      </c>
      <c r="I422" s="30" t="s">
        <v>306</v>
      </c>
      <c r="J422" s="30" t="s">
        <v>206</v>
      </c>
      <c r="K422" s="31" t="s">
        <v>47</v>
      </c>
      <c r="L422" s="32"/>
      <c r="M422" s="30"/>
      <c r="N422" s="30" t="s">
        <v>48</v>
      </c>
      <c r="O422" s="1" t="n">
        <f aca="false">IF($B422="",0,IF(AND(OR(Filter!$B$5="(alle)",$N422=Filter!$B$5),OR(Filter!$E$5="(alle)",$K422=Filter!$E$5),OR(Filter!$H$5="(alle)",$C422=Filter!$H$5),OR(Filter!$B$7="(alle)",$E422=Filter!$B$7),OR(Filter!$E$7="(alle)",ISNUMBER(SEARCH(Filter!$E$7,$J422))),OR(Filter!$H$7="(alle)",ISNUMBER(SEARCH(Filter!$H$7,$I422))),OR(Filter!$B$9="",ISNUMBER(SEARCH(Filter!$B$9,$F422&amp;" "&amp;$G422)))),COUNTIF($O$6:$O421,"&gt;0")+1,0))</f>
        <v>416</v>
      </c>
    </row>
    <row r="423" customFormat="false" ht="76.5" hidden="false" customHeight="true" outlineLevel="0" collapsed="false">
      <c r="B423" s="30" t="s">
        <v>2183</v>
      </c>
      <c r="C423" s="30" t="s">
        <v>286</v>
      </c>
      <c r="D423" s="30" t="s">
        <v>2184</v>
      </c>
      <c r="E423" s="30" t="s">
        <v>42</v>
      </c>
      <c r="F423" s="30" t="s">
        <v>2185</v>
      </c>
      <c r="G423" s="30" t="s">
        <v>2186</v>
      </c>
      <c r="H423" s="30" t="s">
        <v>2187</v>
      </c>
      <c r="I423" s="30" t="s">
        <v>45</v>
      </c>
      <c r="J423" s="30" t="s">
        <v>46</v>
      </c>
      <c r="K423" s="31" t="s">
        <v>151</v>
      </c>
      <c r="L423" s="32"/>
      <c r="M423" s="30" t="s">
        <v>629</v>
      </c>
      <c r="N423" s="30" t="s">
        <v>48</v>
      </c>
      <c r="O423" s="1" t="n">
        <f aca="false">IF($B423="",0,IF(AND(OR(Filter!$B$5="(alle)",$N423=Filter!$B$5),OR(Filter!$E$5="(alle)",$K423=Filter!$E$5),OR(Filter!$H$5="(alle)",$C423=Filter!$H$5),OR(Filter!$B$7="(alle)",$E423=Filter!$B$7),OR(Filter!$E$7="(alle)",ISNUMBER(SEARCH(Filter!$E$7,$J423))),OR(Filter!$H$7="(alle)",ISNUMBER(SEARCH(Filter!$H$7,$I423))),OR(Filter!$B$9="",ISNUMBER(SEARCH(Filter!$B$9,$F423&amp;" "&amp;$G423)))),COUNTIF($O$6:$O422,"&gt;0")+1,0))</f>
        <v>417</v>
      </c>
    </row>
    <row r="424" customFormat="false" ht="127.5" hidden="false" customHeight="true" outlineLevel="0" collapsed="false">
      <c r="B424" s="30" t="s">
        <v>2188</v>
      </c>
      <c r="C424" s="30" t="s">
        <v>286</v>
      </c>
      <c r="D424" s="30" t="s">
        <v>2189</v>
      </c>
      <c r="E424" s="30" t="s">
        <v>361</v>
      </c>
      <c r="F424" s="30" t="s">
        <v>2190</v>
      </c>
      <c r="G424" s="30" t="s">
        <v>2191</v>
      </c>
      <c r="H424" s="30" t="s">
        <v>2192</v>
      </c>
      <c r="I424" s="30" t="s">
        <v>306</v>
      </c>
      <c r="J424" s="30" t="s">
        <v>206</v>
      </c>
      <c r="K424" s="31" t="s">
        <v>47</v>
      </c>
      <c r="L424" s="32"/>
      <c r="M424" s="30"/>
      <c r="N424" s="30" t="s">
        <v>48</v>
      </c>
      <c r="O424" s="1" t="n">
        <f aca="false">IF($B424="",0,IF(AND(OR(Filter!$B$5="(alle)",$N424=Filter!$B$5),OR(Filter!$E$5="(alle)",$K424=Filter!$E$5),OR(Filter!$H$5="(alle)",$C424=Filter!$H$5),OR(Filter!$B$7="(alle)",$E424=Filter!$B$7),OR(Filter!$E$7="(alle)",ISNUMBER(SEARCH(Filter!$E$7,$J424))),OR(Filter!$H$7="(alle)",ISNUMBER(SEARCH(Filter!$H$7,$I424))),OR(Filter!$B$9="",ISNUMBER(SEARCH(Filter!$B$9,$F424&amp;" "&amp;$G424)))),COUNTIF($O$6:$O423,"&gt;0")+1,0))</f>
        <v>418</v>
      </c>
    </row>
    <row r="425" customFormat="false" ht="102" hidden="false" customHeight="true" outlineLevel="0" collapsed="false">
      <c r="B425" s="30" t="s">
        <v>2193</v>
      </c>
      <c r="C425" s="30" t="s">
        <v>286</v>
      </c>
      <c r="D425" s="30" t="s">
        <v>2194</v>
      </c>
      <c r="E425" s="30" t="s">
        <v>331</v>
      </c>
      <c r="F425" s="30" t="s">
        <v>2195</v>
      </c>
      <c r="G425" s="30" t="s">
        <v>2196</v>
      </c>
      <c r="H425" s="30" t="s">
        <v>2197</v>
      </c>
      <c r="I425" s="30" t="s">
        <v>306</v>
      </c>
      <c r="J425" s="30" t="s">
        <v>206</v>
      </c>
      <c r="K425" s="31" t="s">
        <v>151</v>
      </c>
      <c r="L425" s="32"/>
      <c r="M425" s="30" t="s">
        <v>370</v>
      </c>
      <c r="N425" s="30" t="s">
        <v>48</v>
      </c>
      <c r="O425" s="1" t="n">
        <f aca="false">IF($B425="",0,IF(AND(OR(Filter!$B$5="(alle)",$N425=Filter!$B$5),OR(Filter!$E$5="(alle)",$K425=Filter!$E$5),OR(Filter!$H$5="(alle)",$C425=Filter!$H$5),OR(Filter!$B$7="(alle)",$E425=Filter!$B$7),OR(Filter!$E$7="(alle)",ISNUMBER(SEARCH(Filter!$E$7,$J425))),OR(Filter!$H$7="(alle)",ISNUMBER(SEARCH(Filter!$H$7,$I425))),OR(Filter!$B$9="",ISNUMBER(SEARCH(Filter!$B$9,$F425&amp;" "&amp;$G425)))),COUNTIF($O$6:$O424,"&gt;0")+1,0))</f>
        <v>419</v>
      </c>
    </row>
    <row r="426" customFormat="false" ht="178.5" hidden="false" customHeight="true" outlineLevel="0" collapsed="false">
      <c r="B426" s="30" t="s">
        <v>2198</v>
      </c>
      <c r="C426" s="30" t="s">
        <v>286</v>
      </c>
      <c r="D426" s="30" t="s">
        <v>2199</v>
      </c>
      <c r="E426" s="30" t="s">
        <v>42</v>
      </c>
      <c r="F426" s="30" t="s">
        <v>2200</v>
      </c>
      <c r="G426" s="30" t="s">
        <v>2201</v>
      </c>
      <c r="H426" s="30" t="s">
        <v>2202</v>
      </c>
      <c r="I426" s="30" t="s">
        <v>45</v>
      </c>
      <c r="J426" s="30" t="s">
        <v>1548</v>
      </c>
      <c r="K426" s="31" t="s">
        <v>47</v>
      </c>
      <c r="L426" s="32"/>
      <c r="M426" s="30"/>
      <c r="N426" s="30" t="s">
        <v>48</v>
      </c>
      <c r="O426" s="1" t="n">
        <f aca="false">IF($B426="",0,IF(AND(OR(Filter!$B$5="(alle)",$N426=Filter!$B$5),OR(Filter!$E$5="(alle)",$K426=Filter!$E$5),OR(Filter!$H$5="(alle)",$C426=Filter!$H$5),OR(Filter!$B$7="(alle)",$E426=Filter!$B$7),OR(Filter!$E$7="(alle)",ISNUMBER(SEARCH(Filter!$E$7,$J426))),OR(Filter!$H$7="(alle)",ISNUMBER(SEARCH(Filter!$H$7,$I426))),OR(Filter!$B$9="",ISNUMBER(SEARCH(Filter!$B$9,$F426&amp;" "&amp;$G426)))),COUNTIF($O$6:$O425,"&gt;0")+1,0))</f>
        <v>420</v>
      </c>
    </row>
    <row r="427" customFormat="false" ht="51" hidden="false" customHeight="true" outlineLevel="0" collapsed="false">
      <c r="B427" s="30" t="s">
        <v>2203</v>
      </c>
      <c r="C427" s="30" t="s">
        <v>286</v>
      </c>
      <c r="D427" s="30" t="s">
        <v>2204</v>
      </c>
      <c r="E427" s="30" t="s">
        <v>331</v>
      </c>
      <c r="F427" s="30" t="s">
        <v>2205</v>
      </c>
      <c r="G427" s="30" t="s">
        <v>2206</v>
      </c>
      <c r="H427" s="30" t="s">
        <v>2207</v>
      </c>
      <c r="I427" s="30" t="s">
        <v>306</v>
      </c>
      <c r="J427" s="30" t="s">
        <v>206</v>
      </c>
      <c r="K427" s="31" t="s">
        <v>151</v>
      </c>
      <c r="L427" s="32"/>
      <c r="M427" s="30" t="s">
        <v>370</v>
      </c>
      <c r="N427" s="30" t="s">
        <v>48</v>
      </c>
      <c r="O427" s="1" t="n">
        <f aca="false">IF($B427="",0,IF(AND(OR(Filter!$B$5="(alle)",$N427=Filter!$B$5),OR(Filter!$E$5="(alle)",$K427=Filter!$E$5),OR(Filter!$H$5="(alle)",$C427=Filter!$H$5),OR(Filter!$B$7="(alle)",$E427=Filter!$B$7),OR(Filter!$E$7="(alle)",ISNUMBER(SEARCH(Filter!$E$7,$J427))),OR(Filter!$H$7="(alle)",ISNUMBER(SEARCH(Filter!$H$7,$I427))),OR(Filter!$B$9="",ISNUMBER(SEARCH(Filter!$B$9,$F427&amp;" "&amp;$G427)))),COUNTIF($O$6:$O426,"&gt;0")+1,0))</f>
        <v>421</v>
      </c>
    </row>
    <row r="428" customFormat="false" ht="127.5" hidden="false" customHeight="true" outlineLevel="0" collapsed="false">
      <c r="B428" s="30" t="s">
        <v>2208</v>
      </c>
      <c r="C428" s="30" t="s">
        <v>286</v>
      </c>
      <c r="D428" s="30" t="s">
        <v>2209</v>
      </c>
      <c r="E428" s="30" t="s">
        <v>355</v>
      </c>
      <c r="F428" s="30" t="s">
        <v>2210</v>
      </c>
      <c r="G428" s="30" t="s">
        <v>2211</v>
      </c>
      <c r="H428" s="30" t="s">
        <v>2212</v>
      </c>
      <c r="I428" s="30" t="s">
        <v>158</v>
      </c>
      <c r="J428" s="30" t="s">
        <v>159</v>
      </c>
      <c r="K428" s="31" t="s">
        <v>47</v>
      </c>
      <c r="L428" s="32"/>
      <c r="M428" s="30"/>
      <c r="N428" s="30" t="s">
        <v>48</v>
      </c>
      <c r="O428" s="1" t="n">
        <f aca="false">IF($B428="",0,IF(AND(OR(Filter!$B$5="(alle)",$N428=Filter!$B$5),OR(Filter!$E$5="(alle)",$K428=Filter!$E$5),OR(Filter!$H$5="(alle)",$C428=Filter!$H$5),OR(Filter!$B$7="(alle)",$E428=Filter!$B$7),OR(Filter!$E$7="(alle)",ISNUMBER(SEARCH(Filter!$E$7,$J428))),OR(Filter!$H$7="(alle)",ISNUMBER(SEARCH(Filter!$H$7,$I428))),OR(Filter!$B$9="",ISNUMBER(SEARCH(Filter!$B$9,$F428&amp;" "&amp;$G428)))),COUNTIF($O$6:$O427,"&gt;0")+1,0))</f>
        <v>422</v>
      </c>
    </row>
    <row r="429" customFormat="false" ht="102" hidden="false" customHeight="true" outlineLevel="0" collapsed="false">
      <c r="B429" s="30" t="s">
        <v>2213</v>
      </c>
      <c r="C429" s="30" t="s">
        <v>286</v>
      </c>
      <c r="D429" s="30" t="s">
        <v>2214</v>
      </c>
      <c r="E429" s="30" t="s">
        <v>94</v>
      </c>
      <c r="F429" s="30" t="s">
        <v>2215</v>
      </c>
      <c r="G429" s="30" t="s">
        <v>2216</v>
      </c>
      <c r="H429" s="30" t="s">
        <v>2217</v>
      </c>
      <c r="I429" s="30" t="s">
        <v>45</v>
      </c>
      <c r="J429" s="30" t="s">
        <v>265</v>
      </c>
      <c r="K429" s="31" t="s">
        <v>47</v>
      </c>
      <c r="L429" s="32"/>
      <c r="M429" s="30"/>
      <c r="N429" s="30" t="s">
        <v>48</v>
      </c>
      <c r="O429" s="1" t="n">
        <f aca="false">IF($B429="",0,IF(AND(OR(Filter!$B$5="(alle)",$N429=Filter!$B$5),OR(Filter!$E$5="(alle)",$K429=Filter!$E$5),OR(Filter!$H$5="(alle)",$C429=Filter!$H$5),OR(Filter!$B$7="(alle)",$E429=Filter!$B$7),OR(Filter!$E$7="(alle)",ISNUMBER(SEARCH(Filter!$E$7,$J429))),OR(Filter!$H$7="(alle)",ISNUMBER(SEARCH(Filter!$H$7,$I429))),OR(Filter!$B$9="",ISNUMBER(SEARCH(Filter!$B$9,$F429&amp;" "&amp;$G429)))),COUNTIF($O$6:$O428,"&gt;0")+1,0))</f>
        <v>423</v>
      </c>
    </row>
    <row r="430" customFormat="false" ht="216.75" hidden="false" customHeight="true" outlineLevel="0" collapsed="false">
      <c r="B430" s="30" t="s">
        <v>2218</v>
      </c>
      <c r="C430" s="30" t="s">
        <v>286</v>
      </c>
      <c r="D430" s="30" t="s">
        <v>2219</v>
      </c>
      <c r="E430" s="30" t="s">
        <v>361</v>
      </c>
      <c r="F430" s="30" t="s">
        <v>2220</v>
      </c>
      <c r="G430" s="30" t="s">
        <v>2221</v>
      </c>
      <c r="H430" s="30" t="s">
        <v>2222</v>
      </c>
      <c r="I430" s="30" t="s">
        <v>306</v>
      </c>
      <c r="J430" s="30" t="s">
        <v>206</v>
      </c>
      <c r="K430" s="31" t="s">
        <v>47</v>
      </c>
      <c r="L430" s="32"/>
      <c r="M430" s="30"/>
      <c r="N430" s="30" t="s">
        <v>48</v>
      </c>
      <c r="O430" s="1" t="n">
        <f aca="false">IF($B430="",0,IF(AND(OR(Filter!$B$5="(alle)",$N430=Filter!$B$5),OR(Filter!$E$5="(alle)",$K430=Filter!$E$5),OR(Filter!$H$5="(alle)",$C430=Filter!$H$5),OR(Filter!$B$7="(alle)",$E430=Filter!$B$7),OR(Filter!$E$7="(alle)",ISNUMBER(SEARCH(Filter!$E$7,$J430))),OR(Filter!$H$7="(alle)",ISNUMBER(SEARCH(Filter!$H$7,$I430))),OR(Filter!$B$9="",ISNUMBER(SEARCH(Filter!$B$9,$F430&amp;" "&amp;$G430)))),COUNTIF($O$6:$O429,"&gt;0")+1,0))</f>
        <v>424</v>
      </c>
    </row>
    <row r="431" customFormat="false" ht="51" hidden="false" customHeight="true" outlineLevel="0" collapsed="false">
      <c r="B431" s="30" t="s">
        <v>2223</v>
      </c>
      <c r="C431" s="30" t="s">
        <v>286</v>
      </c>
      <c r="D431" s="30" t="s">
        <v>2224</v>
      </c>
      <c r="E431" s="30" t="s">
        <v>355</v>
      </c>
      <c r="F431" s="30" t="s">
        <v>2225</v>
      </c>
      <c r="G431" s="30" t="s">
        <v>2226</v>
      </c>
      <c r="H431" s="30" t="s">
        <v>2227</v>
      </c>
      <c r="I431" s="30" t="s">
        <v>306</v>
      </c>
      <c r="J431" s="30" t="s">
        <v>206</v>
      </c>
      <c r="K431" s="31" t="s">
        <v>47</v>
      </c>
      <c r="L431" s="32"/>
      <c r="M431" s="30"/>
      <c r="N431" s="30" t="s">
        <v>48</v>
      </c>
      <c r="O431" s="1" t="n">
        <f aca="false">IF($B431="",0,IF(AND(OR(Filter!$B$5="(alle)",$N431=Filter!$B$5),OR(Filter!$E$5="(alle)",$K431=Filter!$E$5),OR(Filter!$H$5="(alle)",$C431=Filter!$H$5),OR(Filter!$B$7="(alle)",$E431=Filter!$B$7),OR(Filter!$E$7="(alle)",ISNUMBER(SEARCH(Filter!$E$7,$J431))),OR(Filter!$H$7="(alle)",ISNUMBER(SEARCH(Filter!$H$7,$I431))),OR(Filter!$B$9="",ISNUMBER(SEARCH(Filter!$B$9,$F431&amp;" "&amp;$G431)))),COUNTIF($O$6:$O430,"&gt;0")+1,0))</f>
        <v>425</v>
      </c>
    </row>
    <row r="432" customFormat="false" ht="63.75" hidden="false" customHeight="true" outlineLevel="0" collapsed="false">
      <c r="B432" s="30" t="s">
        <v>2228</v>
      </c>
      <c r="C432" s="30" t="s">
        <v>286</v>
      </c>
      <c r="D432" s="30" t="s">
        <v>2229</v>
      </c>
      <c r="E432" s="30" t="s">
        <v>331</v>
      </c>
      <c r="F432" s="30" t="s">
        <v>2230</v>
      </c>
      <c r="G432" s="30" t="s">
        <v>2231</v>
      </c>
      <c r="H432" s="30" t="s">
        <v>2232</v>
      </c>
      <c r="I432" s="30" t="s">
        <v>306</v>
      </c>
      <c r="J432" s="30" t="s">
        <v>206</v>
      </c>
      <c r="K432" s="31" t="s">
        <v>151</v>
      </c>
      <c r="L432" s="32"/>
      <c r="M432" s="30" t="s">
        <v>370</v>
      </c>
      <c r="N432" s="30" t="s">
        <v>48</v>
      </c>
      <c r="O432" s="1" t="n">
        <f aca="false">IF($B432="",0,IF(AND(OR(Filter!$B$5="(alle)",$N432=Filter!$B$5),OR(Filter!$E$5="(alle)",$K432=Filter!$E$5),OR(Filter!$H$5="(alle)",$C432=Filter!$H$5),OR(Filter!$B$7="(alle)",$E432=Filter!$B$7),OR(Filter!$E$7="(alle)",ISNUMBER(SEARCH(Filter!$E$7,$J432))),OR(Filter!$H$7="(alle)",ISNUMBER(SEARCH(Filter!$H$7,$I432))),OR(Filter!$B$9="",ISNUMBER(SEARCH(Filter!$B$9,$F432&amp;" "&amp;$G432)))),COUNTIF($O$6:$O431,"&gt;0")+1,0))</f>
        <v>426</v>
      </c>
    </row>
    <row r="433" customFormat="false" ht="102" hidden="false" customHeight="true" outlineLevel="0" collapsed="false">
      <c r="B433" s="30" t="s">
        <v>2233</v>
      </c>
      <c r="C433" s="30" t="s">
        <v>286</v>
      </c>
      <c r="D433" s="30" t="s">
        <v>2234</v>
      </c>
      <c r="E433" s="30" t="s">
        <v>210</v>
      </c>
      <c r="F433" s="30" t="s">
        <v>2235</v>
      </c>
      <c r="G433" s="30" t="s">
        <v>2236</v>
      </c>
      <c r="H433" s="30" t="s">
        <v>2237</v>
      </c>
      <c r="I433" s="30" t="s">
        <v>306</v>
      </c>
      <c r="J433" s="30" t="s">
        <v>206</v>
      </c>
      <c r="K433" s="31" t="s">
        <v>47</v>
      </c>
      <c r="L433" s="32"/>
      <c r="M433" s="30"/>
      <c r="N433" s="30" t="s">
        <v>48</v>
      </c>
      <c r="O433" s="1" t="n">
        <f aca="false">IF($B433="",0,IF(AND(OR(Filter!$B$5="(alle)",$N433=Filter!$B$5),OR(Filter!$E$5="(alle)",$K433=Filter!$E$5),OR(Filter!$H$5="(alle)",$C433=Filter!$H$5),OR(Filter!$B$7="(alle)",$E433=Filter!$B$7),OR(Filter!$E$7="(alle)",ISNUMBER(SEARCH(Filter!$E$7,$J433))),OR(Filter!$H$7="(alle)",ISNUMBER(SEARCH(Filter!$H$7,$I433))),OR(Filter!$B$9="",ISNUMBER(SEARCH(Filter!$B$9,$F433&amp;" "&amp;$G433)))),COUNTIF($O$6:$O432,"&gt;0")+1,0))</f>
        <v>427</v>
      </c>
    </row>
    <row r="434" customFormat="false" ht="89.25" hidden="false" customHeight="true" outlineLevel="0" collapsed="false">
      <c r="B434" s="30" t="s">
        <v>2238</v>
      </c>
      <c r="C434" s="30" t="s">
        <v>286</v>
      </c>
      <c r="D434" s="30" t="s">
        <v>2239</v>
      </c>
      <c r="E434" s="30" t="s">
        <v>331</v>
      </c>
      <c r="F434" s="30" t="s">
        <v>2240</v>
      </c>
      <c r="G434" s="30" t="s">
        <v>2241</v>
      </c>
      <c r="H434" s="30" t="s">
        <v>2242</v>
      </c>
      <c r="I434" s="30" t="s">
        <v>306</v>
      </c>
      <c r="J434" s="30" t="s">
        <v>206</v>
      </c>
      <c r="K434" s="31" t="s">
        <v>151</v>
      </c>
      <c r="L434" s="32"/>
      <c r="M434" s="30" t="s">
        <v>2243</v>
      </c>
      <c r="N434" s="30" t="s">
        <v>48</v>
      </c>
      <c r="O434" s="1" t="n">
        <f aca="false">IF($B434="",0,IF(AND(OR(Filter!$B$5="(alle)",$N434=Filter!$B$5),OR(Filter!$E$5="(alle)",$K434=Filter!$E$5),OR(Filter!$H$5="(alle)",$C434=Filter!$H$5),OR(Filter!$B$7="(alle)",$E434=Filter!$B$7),OR(Filter!$E$7="(alle)",ISNUMBER(SEARCH(Filter!$E$7,$J434))),OR(Filter!$H$7="(alle)",ISNUMBER(SEARCH(Filter!$H$7,$I434))),OR(Filter!$B$9="",ISNUMBER(SEARCH(Filter!$B$9,$F434&amp;" "&amp;$G434)))),COUNTIF($O$6:$O433,"&gt;0")+1,0))</f>
        <v>428</v>
      </c>
    </row>
    <row r="435" customFormat="false" ht="89.25" hidden="false" customHeight="true" outlineLevel="0" collapsed="false">
      <c r="B435" s="30" t="s">
        <v>2244</v>
      </c>
      <c r="C435" s="30" t="s">
        <v>286</v>
      </c>
      <c r="D435" s="30" t="s">
        <v>2245</v>
      </c>
      <c r="E435" s="30" t="s">
        <v>361</v>
      </c>
      <c r="F435" s="30" t="s">
        <v>2246</v>
      </c>
      <c r="G435" s="30" t="s">
        <v>2247</v>
      </c>
      <c r="H435" s="30" t="s">
        <v>2248</v>
      </c>
      <c r="I435" s="30" t="s">
        <v>306</v>
      </c>
      <c r="J435" s="30" t="s">
        <v>206</v>
      </c>
      <c r="K435" s="31" t="s">
        <v>47</v>
      </c>
      <c r="L435" s="32"/>
      <c r="M435" s="30"/>
      <c r="N435" s="30" t="s">
        <v>48</v>
      </c>
      <c r="O435" s="1" t="n">
        <f aca="false">IF($B435="",0,IF(AND(OR(Filter!$B$5="(alle)",$N435=Filter!$B$5),OR(Filter!$E$5="(alle)",$K435=Filter!$E$5),OR(Filter!$H$5="(alle)",$C435=Filter!$H$5),OR(Filter!$B$7="(alle)",$E435=Filter!$B$7),OR(Filter!$E$7="(alle)",ISNUMBER(SEARCH(Filter!$E$7,$J435))),OR(Filter!$H$7="(alle)",ISNUMBER(SEARCH(Filter!$H$7,$I435))),OR(Filter!$B$9="",ISNUMBER(SEARCH(Filter!$B$9,$F435&amp;" "&amp;$G435)))),COUNTIF($O$6:$O434,"&gt;0")+1,0))</f>
        <v>429</v>
      </c>
    </row>
    <row r="436" customFormat="false" ht="76.5" hidden="false" customHeight="true" outlineLevel="0" collapsed="false">
      <c r="B436" s="30" t="s">
        <v>2249</v>
      </c>
      <c r="C436" s="30" t="s">
        <v>286</v>
      </c>
      <c r="D436" s="30" t="s">
        <v>2250</v>
      </c>
      <c r="E436" s="30" t="s">
        <v>344</v>
      </c>
      <c r="F436" s="30" t="s">
        <v>2251</v>
      </c>
      <c r="G436" s="30" t="s">
        <v>2252</v>
      </c>
      <c r="H436" s="30" t="s">
        <v>2253</v>
      </c>
      <c r="I436" s="30" t="s">
        <v>306</v>
      </c>
      <c r="J436" s="30" t="s">
        <v>206</v>
      </c>
      <c r="K436" s="31" t="s">
        <v>47</v>
      </c>
      <c r="L436" s="32"/>
      <c r="M436" s="30"/>
      <c r="N436" s="30" t="s">
        <v>48</v>
      </c>
      <c r="O436" s="1" t="n">
        <f aca="false">IF($B436="",0,IF(AND(OR(Filter!$B$5="(alle)",$N436=Filter!$B$5),OR(Filter!$E$5="(alle)",$K436=Filter!$E$5),OR(Filter!$H$5="(alle)",$C436=Filter!$H$5),OR(Filter!$B$7="(alle)",$E436=Filter!$B$7),OR(Filter!$E$7="(alle)",ISNUMBER(SEARCH(Filter!$E$7,$J436))),OR(Filter!$H$7="(alle)",ISNUMBER(SEARCH(Filter!$H$7,$I436))),OR(Filter!$B$9="",ISNUMBER(SEARCH(Filter!$B$9,$F436&amp;" "&amp;$G436)))),COUNTIF($O$6:$O435,"&gt;0")+1,0))</f>
        <v>430</v>
      </c>
    </row>
    <row r="437" customFormat="false" ht="51" hidden="false" customHeight="true" outlineLevel="0" collapsed="false">
      <c r="B437" s="30" t="s">
        <v>2254</v>
      </c>
      <c r="C437" s="30" t="s">
        <v>286</v>
      </c>
      <c r="D437" s="30" t="s">
        <v>2255</v>
      </c>
      <c r="E437" s="30" t="s">
        <v>361</v>
      </c>
      <c r="F437" s="30" t="s">
        <v>2256</v>
      </c>
      <c r="G437" s="30" t="s">
        <v>2257</v>
      </c>
      <c r="H437" s="30" t="s">
        <v>2258</v>
      </c>
      <c r="I437" s="30" t="s">
        <v>306</v>
      </c>
      <c r="J437" s="30" t="s">
        <v>206</v>
      </c>
      <c r="K437" s="31" t="s">
        <v>47</v>
      </c>
      <c r="L437" s="32"/>
      <c r="M437" s="30"/>
      <c r="N437" s="30" t="s">
        <v>48</v>
      </c>
      <c r="O437" s="1" t="n">
        <f aca="false">IF($B437="",0,IF(AND(OR(Filter!$B$5="(alle)",$N437=Filter!$B$5),OR(Filter!$E$5="(alle)",$K437=Filter!$E$5),OR(Filter!$H$5="(alle)",$C437=Filter!$H$5),OR(Filter!$B$7="(alle)",$E437=Filter!$B$7),OR(Filter!$E$7="(alle)",ISNUMBER(SEARCH(Filter!$E$7,$J437))),OR(Filter!$H$7="(alle)",ISNUMBER(SEARCH(Filter!$H$7,$I437))),OR(Filter!$B$9="",ISNUMBER(SEARCH(Filter!$B$9,$F437&amp;" "&amp;$G437)))),COUNTIF($O$6:$O436,"&gt;0")+1,0))</f>
        <v>431</v>
      </c>
    </row>
    <row r="438" customFormat="false" ht="38.25" hidden="false" customHeight="true" outlineLevel="0" collapsed="false">
      <c r="B438" s="30" t="s">
        <v>2259</v>
      </c>
      <c r="C438" s="30" t="s">
        <v>286</v>
      </c>
      <c r="D438" s="30" t="s">
        <v>2260</v>
      </c>
      <c r="E438" s="30" t="s">
        <v>344</v>
      </c>
      <c r="F438" s="30" t="s">
        <v>2261</v>
      </c>
      <c r="G438" s="30" t="s">
        <v>2262</v>
      </c>
      <c r="H438" s="30" t="s">
        <v>2263</v>
      </c>
      <c r="I438" s="30" t="s">
        <v>306</v>
      </c>
      <c r="J438" s="30" t="s">
        <v>206</v>
      </c>
      <c r="K438" s="31" t="s">
        <v>47</v>
      </c>
      <c r="L438" s="32"/>
      <c r="M438" s="30"/>
      <c r="N438" s="30" t="s">
        <v>48</v>
      </c>
      <c r="O438" s="1" t="n">
        <f aca="false">IF($B438="",0,IF(AND(OR(Filter!$B$5="(alle)",$N438=Filter!$B$5),OR(Filter!$E$5="(alle)",$K438=Filter!$E$5),OR(Filter!$H$5="(alle)",$C438=Filter!$H$5),OR(Filter!$B$7="(alle)",$E438=Filter!$B$7),OR(Filter!$E$7="(alle)",ISNUMBER(SEARCH(Filter!$E$7,$J438))),OR(Filter!$H$7="(alle)",ISNUMBER(SEARCH(Filter!$H$7,$I438))),OR(Filter!$B$9="",ISNUMBER(SEARCH(Filter!$B$9,$F438&amp;" "&amp;$G438)))),COUNTIF($O$6:$O437,"&gt;0")+1,0))</f>
        <v>432</v>
      </c>
    </row>
    <row r="439" customFormat="false" ht="76.5" hidden="false" customHeight="true" outlineLevel="0" collapsed="false">
      <c r="B439" s="30" t="s">
        <v>2264</v>
      </c>
      <c r="C439" s="30" t="s">
        <v>286</v>
      </c>
      <c r="D439" s="30" t="s">
        <v>2265</v>
      </c>
      <c r="E439" s="30" t="s">
        <v>331</v>
      </c>
      <c r="F439" s="30" t="s">
        <v>2266</v>
      </c>
      <c r="G439" s="30" t="s">
        <v>2267</v>
      </c>
      <c r="H439" s="30" t="s">
        <v>2268</v>
      </c>
      <c r="I439" s="30" t="s">
        <v>306</v>
      </c>
      <c r="J439" s="30" t="s">
        <v>206</v>
      </c>
      <c r="K439" s="31" t="s">
        <v>151</v>
      </c>
      <c r="L439" s="32"/>
      <c r="M439" s="30" t="s">
        <v>370</v>
      </c>
      <c r="N439" s="30" t="s">
        <v>48</v>
      </c>
      <c r="O439" s="1" t="n">
        <f aca="false">IF($B439="",0,IF(AND(OR(Filter!$B$5="(alle)",$N439=Filter!$B$5),OR(Filter!$E$5="(alle)",$K439=Filter!$E$5),OR(Filter!$H$5="(alle)",$C439=Filter!$H$5),OR(Filter!$B$7="(alle)",$E439=Filter!$B$7),OR(Filter!$E$7="(alle)",ISNUMBER(SEARCH(Filter!$E$7,$J439))),OR(Filter!$H$7="(alle)",ISNUMBER(SEARCH(Filter!$H$7,$I439))),OR(Filter!$B$9="",ISNUMBER(SEARCH(Filter!$B$9,$F439&amp;" "&amp;$G439)))),COUNTIF($O$6:$O438,"&gt;0")+1,0))</f>
        <v>433</v>
      </c>
    </row>
    <row r="440" customFormat="false" ht="38.25" hidden="false" customHeight="true" outlineLevel="0" collapsed="false">
      <c r="B440" s="30" t="s">
        <v>2269</v>
      </c>
      <c r="C440" s="30" t="s">
        <v>286</v>
      </c>
      <c r="D440" s="30" t="s">
        <v>2270</v>
      </c>
      <c r="E440" s="30" t="s">
        <v>361</v>
      </c>
      <c r="F440" s="30" t="s">
        <v>2271</v>
      </c>
      <c r="G440" s="30" t="s">
        <v>2272</v>
      </c>
      <c r="H440" s="30" t="s">
        <v>2273</v>
      </c>
      <c r="I440" s="30" t="s">
        <v>306</v>
      </c>
      <c r="J440" s="30" t="s">
        <v>206</v>
      </c>
      <c r="K440" s="31" t="s">
        <v>151</v>
      </c>
      <c r="L440" s="32"/>
      <c r="M440" s="30" t="s">
        <v>2274</v>
      </c>
      <c r="N440" s="30" t="s">
        <v>48</v>
      </c>
      <c r="O440" s="1" t="n">
        <f aca="false">IF($B440="",0,IF(AND(OR(Filter!$B$5="(alle)",$N440=Filter!$B$5),OR(Filter!$E$5="(alle)",$K440=Filter!$E$5),OR(Filter!$H$5="(alle)",$C440=Filter!$H$5),OR(Filter!$B$7="(alle)",$E440=Filter!$B$7),OR(Filter!$E$7="(alle)",ISNUMBER(SEARCH(Filter!$E$7,$J440))),OR(Filter!$H$7="(alle)",ISNUMBER(SEARCH(Filter!$H$7,$I440))),OR(Filter!$B$9="",ISNUMBER(SEARCH(Filter!$B$9,$F440&amp;" "&amp;$G440)))),COUNTIF($O$6:$O439,"&gt;0")+1,0))</f>
        <v>434</v>
      </c>
    </row>
    <row r="441" customFormat="false" ht="63.75" hidden="false" customHeight="true" outlineLevel="0" collapsed="false">
      <c r="B441" s="30" t="s">
        <v>2275</v>
      </c>
      <c r="C441" s="30" t="s">
        <v>286</v>
      </c>
      <c r="D441" s="30" t="s">
        <v>2276</v>
      </c>
      <c r="E441" s="30" t="s">
        <v>361</v>
      </c>
      <c r="F441" s="30" t="s">
        <v>2277</v>
      </c>
      <c r="G441" s="30" t="s">
        <v>2278</v>
      </c>
      <c r="H441" s="30" t="s">
        <v>2279</v>
      </c>
      <c r="I441" s="30" t="s">
        <v>306</v>
      </c>
      <c r="J441" s="30" t="s">
        <v>206</v>
      </c>
      <c r="K441" s="31" t="s">
        <v>151</v>
      </c>
      <c r="L441" s="32"/>
      <c r="M441" s="30" t="s">
        <v>629</v>
      </c>
      <c r="N441" s="30" t="s">
        <v>48</v>
      </c>
      <c r="O441" s="1" t="n">
        <f aca="false">IF($B441="",0,IF(AND(OR(Filter!$B$5="(alle)",$N441=Filter!$B$5),OR(Filter!$E$5="(alle)",$K441=Filter!$E$5),OR(Filter!$H$5="(alle)",$C441=Filter!$H$5),OR(Filter!$B$7="(alle)",$E441=Filter!$B$7),OR(Filter!$E$7="(alle)",ISNUMBER(SEARCH(Filter!$E$7,$J441))),OR(Filter!$H$7="(alle)",ISNUMBER(SEARCH(Filter!$H$7,$I441))),OR(Filter!$B$9="",ISNUMBER(SEARCH(Filter!$B$9,$F441&amp;" "&amp;$G441)))),COUNTIF($O$6:$O440,"&gt;0")+1,0))</f>
        <v>435</v>
      </c>
    </row>
    <row r="442" customFormat="false" ht="127.5" hidden="false" customHeight="true" outlineLevel="0" collapsed="false">
      <c r="B442" s="30" t="s">
        <v>2280</v>
      </c>
      <c r="C442" s="30" t="s">
        <v>286</v>
      </c>
      <c r="D442" s="30" t="s">
        <v>2281</v>
      </c>
      <c r="E442" s="30" t="s">
        <v>355</v>
      </c>
      <c r="F442" s="30" t="s">
        <v>2282</v>
      </c>
      <c r="G442" s="30" t="s">
        <v>2283</v>
      </c>
      <c r="H442" s="30" t="s">
        <v>2284</v>
      </c>
      <c r="I442" s="30" t="s">
        <v>306</v>
      </c>
      <c r="J442" s="30" t="s">
        <v>206</v>
      </c>
      <c r="K442" s="31" t="s">
        <v>47</v>
      </c>
      <c r="L442" s="32"/>
      <c r="M442" s="30"/>
      <c r="N442" s="30" t="s">
        <v>48</v>
      </c>
      <c r="O442" s="1" t="n">
        <f aca="false">IF($B442="",0,IF(AND(OR(Filter!$B$5="(alle)",$N442=Filter!$B$5),OR(Filter!$E$5="(alle)",$K442=Filter!$E$5),OR(Filter!$H$5="(alle)",$C442=Filter!$H$5),OR(Filter!$B$7="(alle)",$E442=Filter!$B$7),OR(Filter!$E$7="(alle)",ISNUMBER(SEARCH(Filter!$E$7,$J442))),OR(Filter!$H$7="(alle)",ISNUMBER(SEARCH(Filter!$H$7,$I442))),OR(Filter!$B$9="",ISNUMBER(SEARCH(Filter!$B$9,$F442&amp;" "&amp;$G442)))),COUNTIF($O$6:$O441,"&gt;0")+1,0))</f>
        <v>436</v>
      </c>
    </row>
    <row r="443" customFormat="false" ht="153" hidden="false" customHeight="true" outlineLevel="0" collapsed="false">
      <c r="B443" s="30" t="s">
        <v>2285</v>
      </c>
      <c r="C443" s="30" t="s">
        <v>286</v>
      </c>
      <c r="D443" s="30" t="s">
        <v>2286</v>
      </c>
      <c r="E443" s="30" t="s">
        <v>81</v>
      </c>
      <c r="F443" s="30" t="s">
        <v>2287</v>
      </c>
      <c r="G443" s="30" t="s">
        <v>2288</v>
      </c>
      <c r="H443" s="30" t="s">
        <v>2289</v>
      </c>
      <c r="I443" s="30" t="s">
        <v>1964</v>
      </c>
      <c r="J443" s="30" t="s">
        <v>1965</v>
      </c>
      <c r="K443" s="31" t="s">
        <v>47</v>
      </c>
      <c r="L443" s="32"/>
      <c r="M443" s="30"/>
      <c r="N443" s="30" t="s">
        <v>65</v>
      </c>
      <c r="O443" s="1" t="n">
        <f aca="false">IF($B443="",0,IF(AND(OR(Filter!$B$5="(alle)",$N443=Filter!$B$5),OR(Filter!$E$5="(alle)",$K443=Filter!$E$5),OR(Filter!$H$5="(alle)",$C443=Filter!$H$5),OR(Filter!$B$7="(alle)",$E443=Filter!$B$7),OR(Filter!$E$7="(alle)",ISNUMBER(SEARCH(Filter!$E$7,$J443))),OR(Filter!$H$7="(alle)",ISNUMBER(SEARCH(Filter!$H$7,$I443))),OR(Filter!$B$9="",ISNUMBER(SEARCH(Filter!$B$9,$F443&amp;" "&amp;$G443)))),COUNTIF($O$6:$O442,"&gt;0")+1,0))</f>
        <v>437</v>
      </c>
    </row>
    <row r="444" customFormat="false" ht="63.75" hidden="false" customHeight="true" outlineLevel="0" collapsed="false">
      <c r="B444" s="30" t="s">
        <v>2290</v>
      </c>
      <c r="C444" s="30" t="s">
        <v>286</v>
      </c>
      <c r="D444" s="30" t="s">
        <v>2291</v>
      </c>
      <c r="E444" s="30" t="s">
        <v>344</v>
      </c>
      <c r="F444" s="30" t="s">
        <v>2292</v>
      </c>
      <c r="G444" s="30" t="s">
        <v>2293</v>
      </c>
      <c r="H444" s="30" t="s">
        <v>2294</v>
      </c>
      <c r="I444" s="30" t="s">
        <v>306</v>
      </c>
      <c r="J444" s="30" t="s">
        <v>206</v>
      </c>
      <c r="K444" s="31" t="s">
        <v>47</v>
      </c>
      <c r="L444" s="32"/>
      <c r="M444" s="30"/>
      <c r="N444" s="30" t="s">
        <v>48</v>
      </c>
      <c r="O444" s="1" t="n">
        <f aca="false">IF($B444="",0,IF(AND(OR(Filter!$B$5="(alle)",$N444=Filter!$B$5),OR(Filter!$E$5="(alle)",$K444=Filter!$E$5),OR(Filter!$H$5="(alle)",$C444=Filter!$H$5),OR(Filter!$B$7="(alle)",$E444=Filter!$B$7),OR(Filter!$E$7="(alle)",ISNUMBER(SEARCH(Filter!$E$7,$J444))),OR(Filter!$H$7="(alle)",ISNUMBER(SEARCH(Filter!$H$7,$I444))),OR(Filter!$B$9="",ISNUMBER(SEARCH(Filter!$B$9,$F444&amp;" "&amp;$G444)))),COUNTIF($O$6:$O443,"&gt;0")+1,0))</f>
        <v>438</v>
      </c>
    </row>
    <row r="445" customFormat="false" ht="191.25" hidden="false" customHeight="true" outlineLevel="0" collapsed="false">
      <c r="B445" s="30" t="s">
        <v>2295</v>
      </c>
      <c r="C445" s="30" t="s">
        <v>286</v>
      </c>
      <c r="D445" s="30" t="s">
        <v>2296</v>
      </c>
      <c r="E445" s="30" t="s">
        <v>210</v>
      </c>
      <c r="F445" s="30" t="s">
        <v>2297</v>
      </c>
      <c r="G445" s="30" t="s">
        <v>2298</v>
      </c>
      <c r="H445" s="30" t="s">
        <v>2299</v>
      </c>
      <c r="I445" s="30" t="s">
        <v>306</v>
      </c>
      <c r="J445" s="30" t="s">
        <v>206</v>
      </c>
      <c r="K445" s="31" t="s">
        <v>47</v>
      </c>
      <c r="L445" s="32"/>
      <c r="M445" s="30"/>
      <c r="N445" s="30" t="s">
        <v>48</v>
      </c>
      <c r="O445" s="1" t="n">
        <f aca="false">IF($B445="",0,IF(AND(OR(Filter!$B$5="(alle)",$N445=Filter!$B$5),OR(Filter!$E$5="(alle)",$K445=Filter!$E$5),OR(Filter!$H$5="(alle)",$C445=Filter!$H$5),OR(Filter!$B$7="(alle)",$E445=Filter!$B$7),OR(Filter!$E$7="(alle)",ISNUMBER(SEARCH(Filter!$E$7,$J445))),OR(Filter!$H$7="(alle)",ISNUMBER(SEARCH(Filter!$H$7,$I445))),OR(Filter!$B$9="",ISNUMBER(SEARCH(Filter!$B$9,$F445&amp;" "&amp;$G445)))),COUNTIF($O$6:$O444,"&gt;0")+1,0))</f>
        <v>439</v>
      </c>
    </row>
    <row r="446" customFormat="false" ht="153" hidden="false" customHeight="true" outlineLevel="0" collapsed="false">
      <c r="B446" s="30" t="s">
        <v>2300</v>
      </c>
      <c r="C446" s="30" t="s">
        <v>286</v>
      </c>
      <c r="D446" s="30" t="s">
        <v>2301</v>
      </c>
      <c r="E446" s="30" t="s">
        <v>81</v>
      </c>
      <c r="F446" s="30" t="s">
        <v>2302</v>
      </c>
      <c r="G446" s="30" t="s">
        <v>2303</v>
      </c>
      <c r="H446" s="30" t="s">
        <v>2304</v>
      </c>
      <c r="I446" s="30" t="s">
        <v>2305</v>
      </c>
      <c r="J446" s="30" t="s">
        <v>2306</v>
      </c>
      <c r="K446" s="31" t="s">
        <v>47</v>
      </c>
      <c r="L446" s="32"/>
      <c r="M446" s="30"/>
      <c r="N446" s="30" t="s">
        <v>65</v>
      </c>
      <c r="O446" s="1" t="n">
        <f aca="false">IF($B446="",0,IF(AND(OR(Filter!$B$5="(alle)",$N446=Filter!$B$5),OR(Filter!$E$5="(alle)",$K446=Filter!$E$5),OR(Filter!$H$5="(alle)",$C446=Filter!$H$5),OR(Filter!$B$7="(alle)",$E446=Filter!$B$7),OR(Filter!$E$7="(alle)",ISNUMBER(SEARCH(Filter!$E$7,$J446))),OR(Filter!$H$7="(alle)",ISNUMBER(SEARCH(Filter!$H$7,$I446))),OR(Filter!$B$9="",ISNUMBER(SEARCH(Filter!$B$9,$F446&amp;" "&amp;$G446)))),COUNTIF($O$6:$O445,"&gt;0")+1,0))</f>
        <v>440</v>
      </c>
    </row>
    <row r="447" customFormat="false" ht="63.75" hidden="false" customHeight="true" outlineLevel="0" collapsed="false">
      <c r="B447" s="30" t="s">
        <v>2307</v>
      </c>
      <c r="C447" s="30" t="s">
        <v>286</v>
      </c>
      <c r="D447" s="30" t="s">
        <v>2308</v>
      </c>
      <c r="E447" s="30" t="s">
        <v>190</v>
      </c>
      <c r="F447" s="30" t="s">
        <v>2309</v>
      </c>
      <c r="G447" s="30" t="s">
        <v>2310</v>
      </c>
      <c r="H447" s="30" t="s">
        <v>2311</v>
      </c>
      <c r="I447" s="30" t="s">
        <v>340</v>
      </c>
      <c r="J447" s="30" t="s">
        <v>341</v>
      </c>
      <c r="K447" s="31" t="s">
        <v>47</v>
      </c>
      <c r="L447" s="32"/>
      <c r="M447" s="30"/>
      <c r="N447" s="30" t="s">
        <v>48</v>
      </c>
      <c r="O447" s="1" t="n">
        <f aca="false">IF($B447="",0,IF(AND(OR(Filter!$B$5="(alle)",$N447=Filter!$B$5),OR(Filter!$E$5="(alle)",$K447=Filter!$E$5),OR(Filter!$H$5="(alle)",$C447=Filter!$H$5),OR(Filter!$B$7="(alle)",$E447=Filter!$B$7),OR(Filter!$E$7="(alle)",ISNUMBER(SEARCH(Filter!$E$7,$J447))),OR(Filter!$H$7="(alle)",ISNUMBER(SEARCH(Filter!$H$7,$I447))),OR(Filter!$B$9="",ISNUMBER(SEARCH(Filter!$B$9,$F447&amp;" "&amp;$G447)))),COUNTIF($O$6:$O446,"&gt;0")+1,0))</f>
        <v>441</v>
      </c>
    </row>
    <row r="448" customFormat="false" ht="63.75" hidden="false" customHeight="true" outlineLevel="0" collapsed="false">
      <c r="B448" s="30" t="s">
        <v>2312</v>
      </c>
      <c r="C448" s="30" t="s">
        <v>286</v>
      </c>
      <c r="D448" s="30" t="s">
        <v>2313</v>
      </c>
      <c r="E448" s="30" t="s">
        <v>344</v>
      </c>
      <c r="F448" s="30" t="s">
        <v>2309</v>
      </c>
      <c r="G448" s="30" t="s">
        <v>2314</v>
      </c>
      <c r="H448" s="30" t="s">
        <v>2315</v>
      </c>
      <c r="I448" s="30" t="s">
        <v>306</v>
      </c>
      <c r="J448" s="30" t="s">
        <v>206</v>
      </c>
      <c r="K448" s="31" t="s">
        <v>47</v>
      </c>
      <c r="L448" s="32"/>
      <c r="M448" s="30"/>
      <c r="N448" s="30" t="s">
        <v>48</v>
      </c>
      <c r="O448" s="1" t="n">
        <f aca="false">IF($B448="",0,IF(AND(OR(Filter!$B$5="(alle)",$N448=Filter!$B$5),OR(Filter!$E$5="(alle)",$K448=Filter!$E$5),OR(Filter!$H$5="(alle)",$C448=Filter!$H$5),OR(Filter!$B$7="(alle)",$E448=Filter!$B$7),OR(Filter!$E$7="(alle)",ISNUMBER(SEARCH(Filter!$E$7,$J448))),OR(Filter!$H$7="(alle)",ISNUMBER(SEARCH(Filter!$H$7,$I448))),OR(Filter!$B$9="",ISNUMBER(SEARCH(Filter!$B$9,$F448&amp;" "&amp;$G448)))),COUNTIF($O$6:$O447,"&gt;0")+1,0))</f>
        <v>442</v>
      </c>
    </row>
    <row r="449" customFormat="false" ht="63.75" hidden="false" customHeight="true" outlineLevel="0" collapsed="false">
      <c r="B449" s="30" t="s">
        <v>2316</v>
      </c>
      <c r="C449" s="30" t="s">
        <v>286</v>
      </c>
      <c r="D449" s="30" t="s">
        <v>2317</v>
      </c>
      <c r="E449" s="30" t="s">
        <v>344</v>
      </c>
      <c r="F449" s="30" t="s">
        <v>2318</v>
      </c>
      <c r="G449" s="30" t="s">
        <v>2319</v>
      </c>
      <c r="H449" s="30" t="s">
        <v>2320</v>
      </c>
      <c r="I449" s="30" t="s">
        <v>306</v>
      </c>
      <c r="J449" s="30" t="s">
        <v>206</v>
      </c>
      <c r="K449" s="31" t="s">
        <v>47</v>
      </c>
      <c r="L449" s="32"/>
      <c r="M449" s="30"/>
      <c r="N449" s="30" t="s">
        <v>48</v>
      </c>
      <c r="O449" s="1" t="n">
        <f aca="false">IF($B449="",0,IF(AND(OR(Filter!$B$5="(alle)",$N449=Filter!$B$5),OR(Filter!$E$5="(alle)",$K449=Filter!$E$5),OR(Filter!$H$5="(alle)",$C449=Filter!$H$5),OR(Filter!$B$7="(alle)",$E449=Filter!$B$7),OR(Filter!$E$7="(alle)",ISNUMBER(SEARCH(Filter!$E$7,$J449))),OR(Filter!$H$7="(alle)",ISNUMBER(SEARCH(Filter!$H$7,$I449))),OR(Filter!$B$9="",ISNUMBER(SEARCH(Filter!$B$9,$F449&amp;" "&amp;$G449)))),COUNTIF($O$6:$O448,"&gt;0")+1,0))</f>
        <v>443</v>
      </c>
    </row>
    <row r="450" customFormat="false" ht="102" hidden="false" customHeight="true" outlineLevel="0" collapsed="false">
      <c r="B450" s="30" t="s">
        <v>2321</v>
      </c>
      <c r="C450" s="30" t="s">
        <v>286</v>
      </c>
      <c r="D450" s="30" t="s">
        <v>2322</v>
      </c>
      <c r="E450" s="30" t="s">
        <v>344</v>
      </c>
      <c r="F450" s="30" t="s">
        <v>2323</v>
      </c>
      <c r="G450" s="30" t="s">
        <v>2324</v>
      </c>
      <c r="H450" s="30" t="s">
        <v>2325</v>
      </c>
      <c r="I450" s="30" t="s">
        <v>306</v>
      </c>
      <c r="J450" s="30" t="s">
        <v>206</v>
      </c>
      <c r="K450" s="31" t="s">
        <v>47</v>
      </c>
      <c r="L450" s="32"/>
      <c r="M450" s="30"/>
      <c r="N450" s="30" t="s">
        <v>48</v>
      </c>
      <c r="O450" s="1" t="n">
        <f aca="false">IF($B450="",0,IF(AND(OR(Filter!$B$5="(alle)",$N450=Filter!$B$5),OR(Filter!$E$5="(alle)",$K450=Filter!$E$5),OR(Filter!$H$5="(alle)",$C450=Filter!$H$5),OR(Filter!$B$7="(alle)",$E450=Filter!$B$7),OR(Filter!$E$7="(alle)",ISNUMBER(SEARCH(Filter!$E$7,$J450))),OR(Filter!$H$7="(alle)",ISNUMBER(SEARCH(Filter!$H$7,$I450))),OR(Filter!$B$9="",ISNUMBER(SEARCH(Filter!$B$9,$F450&amp;" "&amp;$G450)))),COUNTIF($O$6:$O449,"&gt;0")+1,0))</f>
        <v>444</v>
      </c>
    </row>
    <row r="451" customFormat="false" ht="89.25" hidden="false" customHeight="true" outlineLevel="0" collapsed="false">
      <c r="B451" s="30" t="s">
        <v>2326</v>
      </c>
      <c r="C451" s="30" t="s">
        <v>286</v>
      </c>
      <c r="D451" s="30" t="s">
        <v>2327</v>
      </c>
      <c r="E451" s="30" t="s">
        <v>344</v>
      </c>
      <c r="F451" s="30" t="s">
        <v>2328</v>
      </c>
      <c r="G451" s="30" t="s">
        <v>2329</v>
      </c>
      <c r="H451" s="30" t="s">
        <v>2330</v>
      </c>
      <c r="I451" s="30" t="s">
        <v>306</v>
      </c>
      <c r="J451" s="30" t="s">
        <v>206</v>
      </c>
      <c r="K451" s="31" t="s">
        <v>47</v>
      </c>
      <c r="L451" s="32"/>
      <c r="M451" s="30"/>
      <c r="N451" s="30" t="s">
        <v>48</v>
      </c>
      <c r="O451" s="1" t="n">
        <f aca="false">IF($B451="",0,IF(AND(OR(Filter!$B$5="(alle)",$N451=Filter!$B$5),OR(Filter!$E$5="(alle)",$K451=Filter!$E$5),OR(Filter!$H$5="(alle)",$C451=Filter!$H$5),OR(Filter!$B$7="(alle)",$E451=Filter!$B$7),OR(Filter!$E$7="(alle)",ISNUMBER(SEARCH(Filter!$E$7,$J451))),OR(Filter!$H$7="(alle)",ISNUMBER(SEARCH(Filter!$H$7,$I451))),OR(Filter!$B$9="",ISNUMBER(SEARCH(Filter!$B$9,$F451&amp;" "&amp;$G451)))),COUNTIF($O$6:$O450,"&gt;0")+1,0))</f>
        <v>445</v>
      </c>
    </row>
    <row r="452" customFormat="false" ht="89.25" hidden="false" customHeight="true" outlineLevel="0" collapsed="false">
      <c r="B452" s="30" t="s">
        <v>2331</v>
      </c>
      <c r="C452" s="30" t="s">
        <v>286</v>
      </c>
      <c r="D452" s="30" t="s">
        <v>2332</v>
      </c>
      <c r="E452" s="30" t="s">
        <v>361</v>
      </c>
      <c r="F452" s="30" t="s">
        <v>2333</v>
      </c>
      <c r="G452" s="30" t="s">
        <v>2334</v>
      </c>
      <c r="H452" s="30" t="s">
        <v>2335</v>
      </c>
      <c r="I452" s="30" t="s">
        <v>306</v>
      </c>
      <c r="J452" s="30" t="s">
        <v>206</v>
      </c>
      <c r="K452" s="31" t="s">
        <v>47</v>
      </c>
      <c r="L452" s="32"/>
      <c r="M452" s="30"/>
      <c r="N452" s="30" t="s">
        <v>48</v>
      </c>
      <c r="O452" s="1" t="n">
        <f aca="false">IF($B452="",0,IF(AND(OR(Filter!$B$5="(alle)",$N452=Filter!$B$5),OR(Filter!$E$5="(alle)",$K452=Filter!$E$5),OR(Filter!$H$5="(alle)",$C452=Filter!$H$5),OR(Filter!$B$7="(alle)",$E452=Filter!$B$7),OR(Filter!$E$7="(alle)",ISNUMBER(SEARCH(Filter!$E$7,$J452))),OR(Filter!$H$7="(alle)",ISNUMBER(SEARCH(Filter!$H$7,$I452))),OR(Filter!$B$9="",ISNUMBER(SEARCH(Filter!$B$9,$F452&amp;" "&amp;$G452)))),COUNTIF($O$6:$O451,"&gt;0")+1,0))</f>
        <v>446</v>
      </c>
    </row>
    <row r="453" customFormat="false" ht="76.5" hidden="false" customHeight="true" outlineLevel="0" collapsed="false">
      <c r="B453" s="30" t="s">
        <v>2336</v>
      </c>
      <c r="C453" s="30" t="s">
        <v>286</v>
      </c>
      <c r="D453" s="30" t="s">
        <v>2337</v>
      </c>
      <c r="E453" s="30" t="s">
        <v>344</v>
      </c>
      <c r="F453" s="30" t="s">
        <v>2338</v>
      </c>
      <c r="G453" s="30" t="s">
        <v>2339</v>
      </c>
      <c r="H453" s="30" t="s">
        <v>2340</v>
      </c>
      <c r="I453" s="30" t="s">
        <v>306</v>
      </c>
      <c r="J453" s="30" t="s">
        <v>206</v>
      </c>
      <c r="K453" s="31" t="s">
        <v>47</v>
      </c>
      <c r="L453" s="32"/>
      <c r="M453" s="30"/>
      <c r="N453" s="30" t="s">
        <v>48</v>
      </c>
      <c r="O453" s="1" t="n">
        <f aca="false">IF($B453="",0,IF(AND(OR(Filter!$B$5="(alle)",$N453=Filter!$B$5),OR(Filter!$E$5="(alle)",$K453=Filter!$E$5),OR(Filter!$H$5="(alle)",$C453=Filter!$H$5),OR(Filter!$B$7="(alle)",$E453=Filter!$B$7),OR(Filter!$E$7="(alle)",ISNUMBER(SEARCH(Filter!$E$7,$J453))),OR(Filter!$H$7="(alle)",ISNUMBER(SEARCH(Filter!$H$7,$I453))),OR(Filter!$B$9="",ISNUMBER(SEARCH(Filter!$B$9,$F453&amp;" "&amp;$G453)))),COUNTIF($O$6:$O452,"&gt;0")+1,0))</f>
        <v>447</v>
      </c>
    </row>
    <row r="454" customFormat="false" ht="63.75" hidden="false" customHeight="true" outlineLevel="0" collapsed="false">
      <c r="B454" s="30" t="s">
        <v>2341</v>
      </c>
      <c r="C454" s="30" t="s">
        <v>286</v>
      </c>
      <c r="D454" s="30" t="s">
        <v>2342</v>
      </c>
      <c r="E454" s="30" t="s">
        <v>210</v>
      </c>
      <c r="F454" s="30" t="s">
        <v>2343</v>
      </c>
      <c r="G454" s="30" t="s">
        <v>2344</v>
      </c>
      <c r="H454" s="30" t="s">
        <v>2345</v>
      </c>
      <c r="I454" s="30" t="s">
        <v>306</v>
      </c>
      <c r="J454" s="30" t="s">
        <v>206</v>
      </c>
      <c r="K454" s="31" t="s">
        <v>47</v>
      </c>
      <c r="L454" s="32"/>
      <c r="M454" s="30"/>
      <c r="N454" s="30" t="s">
        <v>48</v>
      </c>
      <c r="O454" s="1" t="n">
        <f aca="false">IF($B454="",0,IF(AND(OR(Filter!$B$5="(alle)",$N454=Filter!$B$5),OR(Filter!$E$5="(alle)",$K454=Filter!$E$5),OR(Filter!$H$5="(alle)",$C454=Filter!$H$5),OR(Filter!$B$7="(alle)",$E454=Filter!$B$7),OR(Filter!$E$7="(alle)",ISNUMBER(SEARCH(Filter!$E$7,$J454))),OR(Filter!$H$7="(alle)",ISNUMBER(SEARCH(Filter!$H$7,$I454))),OR(Filter!$B$9="",ISNUMBER(SEARCH(Filter!$B$9,$F454&amp;" "&amp;$G454)))),COUNTIF($O$6:$O453,"&gt;0")+1,0))</f>
        <v>448</v>
      </c>
    </row>
    <row r="455" customFormat="false" ht="51" hidden="false" customHeight="true" outlineLevel="0" collapsed="false">
      <c r="B455" s="30" t="s">
        <v>2346</v>
      </c>
      <c r="C455" s="30" t="s">
        <v>286</v>
      </c>
      <c r="D455" s="30" t="s">
        <v>2347</v>
      </c>
      <c r="E455" s="30" t="s">
        <v>355</v>
      </c>
      <c r="F455" s="30" t="s">
        <v>2348</v>
      </c>
      <c r="G455" s="30" t="s">
        <v>2349</v>
      </c>
      <c r="H455" s="30" t="s">
        <v>2350</v>
      </c>
      <c r="I455" s="30" t="s">
        <v>306</v>
      </c>
      <c r="J455" s="30" t="s">
        <v>206</v>
      </c>
      <c r="K455" s="31" t="s">
        <v>47</v>
      </c>
      <c r="L455" s="32"/>
      <c r="M455" s="30"/>
      <c r="N455" s="30" t="s">
        <v>48</v>
      </c>
      <c r="O455" s="1" t="n">
        <f aca="false">IF($B455="",0,IF(AND(OR(Filter!$B$5="(alle)",$N455=Filter!$B$5),OR(Filter!$E$5="(alle)",$K455=Filter!$E$5),OR(Filter!$H$5="(alle)",$C455=Filter!$H$5),OR(Filter!$B$7="(alle)",$E455=Filter!$B$7),OR(Filter!$E$7="(alle)",ISNUMBER(SEARCH(Filter!$E$7,$J455))),OR(Filter!$H$7="(alle)",ISNUMBER(SEARCH(Filter!$H$7,$I455))),OR(Filter!$B$9="",ISNUMBER(SEARCH(Filter!$B$9,$F455&amp;" "&amp;$G455)))),COUNTIF($O$6:$O454,"&gt;0")+1,0))</f>
        <v>449</v>
      </c>
    </row>
    <row r="456" customFormat="false" ht="102" hidden="false" customHeight="true" outlineLevel="0" collapsed="false">
      <c r="B456" s="30" t="s">
        <v>2351</v>
      </c>
      <c r="C456" s="30" t="s">
        <v>286</v>
      </c>
      <c r="D456" s="30" t="s">
        <v>2352</v>
      </c>
      <c r="E456" s="30" t="s">
        <v>355</v>
      </c>
      <c r="F456" s="30" t="s">
        <v>2353</v>
      </c>
      <c r="G456" s="30" t="s">
        <v>2354</v>
      </c>
      <c r="H456" s="30" t="s">
        <v>2355</v>
      </c>
      <c r="I456" s="30" t="s">
        <v>306</v>
      </c>
      <c r="J456" s="30" t="s">
        <v>206</v>
      </c>
      <c r="K456" s="31" t="s">
        <v>47</v>
      </c>
      <c r="L456" s="32"/>
      <c r="M456" s="30"/>
      <c r="N456" s="30" t="s">
        <v>48</v>
      </c>
      <c r="O456" s="1" t="n">
        <f aca="false">IF($B456="",0,IF(AND(OR(Filter!$B$5="(alle)",$N456=Filter!$B$5),OR(Filter!$E$5="(alle)",$K456=Filter!$E$5),OR(Filter!$H$5="(alle)",$C456=Filter!$H$5),OR(Filter!$B$7="(alle)",$E456=Filter!$B$7),OR(Filter!$E$7="(alle)",ISNUMBER(SEARCH(Filter!$E$7,$J456))),OR(Filter!$H$7="(alle)",ISNUMBER(SEARCH(Filter!$H$7,$I456))),OR(Filter!$B$9="",ISNUMBER(SEARCH(Filter!$B$9,$F456&amp;" "&amp;$G456)))),COUNTIF($O$6:$O455,"&gt;0")+1,0))</f>
        <v>450</v>
      </c>
    </row>
    <row r="457" customFormat="false" ht="89.25" hidden="false" customHeight="true" outlineLevel="0" collapsed="false">
      <c r="B457" s="30" t="s">
        <v>2356</v>
      </c>
      <c r="C457" s="30" t="s">
        <v>286</v>
      </c>
      <c r="D457" s="30" t="s">
        <v>2357</v>
      </c>
      <c r="E457" s="30" t="s">
        <v>361</v>
      </c>
      <c r="F457" s="30" t="s">
        <v>2358</v>
      </c>
      <c r="G457" s="30" t="s">
        <v>2359</v>
      </c>
      <c r="H457" s="30" t="s">
        <v>2360</v>
      </c>
      <c r="I457" s="30" t="s">
        <v>306</v>
      </c>
      <c r="J457" s="30" t="s">
        <v>206</v>
      </c>
      <c r="K457" s="31" t="s">
        <v>47</v>
      </c>
      <c r="L457" s="32"/>
      <c r="M457" s="30"/>
      <c r="N457" s="30" t="s">
        <v>48</v>
      </c>
      <c r="O457" s="1" t="n">
        <f aca="false">IF($B457="",0,IF(AND(OR(Filter!$B$5="(alle)",$N457=Filter!$B$5),OR(Filter!$E$5="(alle)",$K457=Filter!$E$5),OR(Filter!$H$5="(alle)",$C457=Filter!$H$5),OR(Filter!$B$7="(alle)",$E457=Filter!$B$7),OR(Filter!$E$7="(alle)",ISNUMBER(SEARCH(Filter!$E$7,$J457))),OR(Filter!$H$7="(alle)",ISNUMBER(SEARCH(Filter!$H$7,$I457))),OR(Filter!$B$9="",ISNUMBER(SEARCH(Filter!$B$9,$F457&amp;" "&amp;$G457)))),COUNTIF($O$6:$O456,"&gt;0")+1,0))</f>
        <v>451</v>
      </c>
    </row>
    <row r="458" customFormat="false" ht="63.75" hidden="false" customHeight="true" outlineLevel="0" collapsed="false">
      <c r="B458" s="30" t="s">
        <v>2361</v>
      </c>
      <c r="C458" s="30" t="s">
        <v>286</v>
      </c>
      <c r="D458" s="30" t="s">
        <v>2362</v>
      </c>
      <c r="E458" s="30" t="s">
        <v>361</v>
      </c>
      <c r="F458" s="30" t="s">
        <v>2309</v>
      </c>
      <c r="G458" s="30" t="s">
        <v>2363</v>
      </c>
      <c r="H458" s="30" t="s">
        <v>2364</v>
      </c>
      <c r="I458" s="30" t="s">
        <v>306</v>
      </c>
      <c r="J458" s="30" t="s">
        <v>206</v>
      </c>
      <c r="K458" s="31" t="s">
        <v>47</v>
      </c>
      <c r="L458" s="32"/>
      <c r="M458" s="30"/>
      <c r="N458" s="30" t="s">
        <v>48</v>
      </c>
      <c r="O458" s="1" t="n">
        <f aca="false">IF($B458="",0,IF(AND(OR(Filter!$B$5="(alle)",$N458=Filter!$B$5),OR(Filter!$E$5="(alle)",$K458=Filter!$E$5),OR(Filter!$H$5="(alle)",$C458=Filter!$H$5),OR(Filter!$B$7="(alle)",$E458=Filter!$B$7),OR(Filter!$E$7="(alle)",ISNUMBER(SEARCH(Filter!$E$7,$J458))),OR(Filter!$H$7="(alle)",ISNUMBER(SEARCH(Filter!$H$7,$I458))),OR(Filter!$B$9="",ISNUMBER(SEARCH(Filter!$B$9,$F458&amp;" "&amp;$G458)))),COUNTIF($O$6:$O457,"&gt;0")+1,0))</f>
        <v>452</v>
      </c>
    </row>
    <row r="459" customFormat="false" ht="51" hidden="false" customHeight="true" outlineLevel="0" collapsed="false">
      <c r="B459" s="30" t="s">
        <v>2365</v>
      </c>
      <c r="C459" s="30" t="s">
        <v>286</v>
      </c>
      <c r="D459" s="30" t="s">
        <v>2366</v>
      </c>
      <c r="E459" s="30" t="s">
        <v>361</v>
      </c>
      <c r="F459" s="30" t="s">
        <v>2367</v>
      </c>
      <c r="G459" s="30" t="s">
        <v>2368</v>
      </c>
      <c r="H459" s="30" t="s">
        <v>2369</v>
      </c>
      <c r="I459" s="30" t="s">
        <v>306</v>
      </c>
      <c r="J459" s="30" t="s">
        <v>206</v>
      </c>
      <c r="K459" s="31" t="s">
        <v>47</v>
      </c>
      <c r="L459" s="32"/>
      <c r="M459" s="30"/>
      <c r="N459" s="30" t="s">
        <v>48</v>
      </c>
      <c r="O459" s="1" t="n">
        <f aca="false">IF($B459="",0,IF(AND(OR(Filter!$B$5="(alle)",$N459=Filter!$B$5),OR(Filter!$E$5="(alle)",$K459=Filter!$E$5),OR(Filter!$H$5="(alle)",$C459=Filter!$H$5),OR(Filter!$B$7="(alle)",$E459=Filter!$B$7),OR(Filter!$E$7="(alle)",ISNUMBER(SEARCH(Filter!$E$7,$J459))),OR(Filter!$H$7="(alle)",ISNUMBER(SEARCH(Filter!$H$7,$I459))),OR(Filter!$B$9="",ISNUMBER(SEARCH(Filter!$B$9,$F459&amp;" "&amp;$G459)))),COUNTIF($O$6:$O458,"&gt;0")+1,0))</f>
        <v>453</v>
      </c>
    </row>
    <row r="460" customFormat="false" ht="165.75" hidden="false" customHeight="true" outlineLevel="0" collapsed="false">
      <c r="B460" s="30" t="s">
        <v>2370</v>
      </c>
      <c r="C460" s="30" t="s">
        <v>286</v>
      </c>
      <c r="D460" s="30" t="s">
        <v>2371</v>
      </c>
      <c r="E460" s="30" t="s">
        <v>344</v>
      </c>
      <c r="F460" s="30" t="s">
        <v>2372</v>
      </c>
      <c r="G460" s="30" t="s">
        <v>2373</v>
      </c>
      <c r="H460" s="30" t="s">
        <v>2374</v>
      </c>
      <c r="I460" s="30" t="s">
        <v>306</v>
      </c>
      <c r="J460" s="30" t="s">
        <v>206</v>
      </c>
      <c r="K460" s="31" t="s">
        <v>47</v>
      </c>
      <c r="L460" s="32"/>
      <c r="M460" s="30"/>
      <c r="N460" s="30" t="s">
        <v>48</v>
      </c>
      <c r="O460" s="1" t="n">
        <f aca="false">IF($B460="",0,IF(AND(OR(Filter!$B$5="(alle)",$N460=Filter!$B$5),OR(Filter!$E$5="(alle)",$K460=Filter!$E$5),OR(Filter!$H$5="(alle)",$C460=Filter!$H$5),OR(Filter!$B$7="(alle)",$E460=Filter!$B$7),OR(Filter!$E$7="(alle)",ISNUMBER(SEARCH(Filter!$E$7,$J460))),OR(Filter!$H$7="(alle)",ISNUMBER(SEARCH(Filter!$H$7,$I460))),OR(Filter!$B$9="",ISNUMBER(SEARCH(Filter!$B$9,$F460&amp;" "&amp;$G460)))),COUNTIF($O$6:$O459,"&gt;0")+1,0))</f>
        <v>454</v>
      </c>
    </row>
    <row r="461" customFormat="false" ht="76.5" hidden="false" customHeight="true" outlineLevel="0" collapsed="false">
      <c r="B461" s="30" t="s">
        <v>2375</v>
      </c>
      <c r="C461" s="30" t="s">
        <v>286</v>
      </c>
      <c r="D461" s="30" t="s">
        <v>2376</v>
      </c>
      <c r="E461" s="30" t="s">
        <v>155</v>
      </c>
      <c r="F461" s="30" t="s">
        <v>2377</v>
      </c>
      <c r="G461" s="30" t="s">
        <v>2378</v>
      </c>
      <c r="H461" s="30" t="s">
        <v>2379</v>
      </c>
      <c r="I461" s="30" t="s">
        <v>476</v>
      </c>
      <c r="J461" s="30" t="s">
        <v>476</v>
      </c>
      <c r="K461" s="31" t="s">
        <v>47</v>
      </c>
      <c r="L461" s="32"/>
      <c r="M461" s="30"/>
      <c r="N461" s="30" t="s">
        <v>48</v>
      </c>
      <c r="O461" s="1" t="n">
        <f aca="false">IF($B461="",0,IF(AND(OR(Filter!$B$5="(alle)",$N461=Filter!$B$5),OR(Filter!$E$5="(alle)",$K461=Filter!$E$5),OR(Filter!$H$5="(alle)",$C461=Filter!$H$5),OR(Filter!$B$7="(alle)",$E461=Filter!$B$7),OR(Filter!$E$7="(alle)",ISNUMBER(SEARCH(Filter!$E$7,$J461))),OR(Filter!$H$7="(alle)",ISNUMBER(SEARCH(Filter!$H$7,$I461))),OR(Filter!$B$9="",ISNUMBER(SEARCH(Filter!$B$9,$F461&amp;" "&amp;$G461)))),COUNTIF($O$6:$O460,"&gt;0")+1,0))</f>
        <v>455</v>
      </c>
    </row>
    <row r="462" customFormat="false" ht="76.5" hidden="false" customHeight="true" outlineLevel="0" collapsed="false">
      <c r="B462" s="30" t="s">
        <v>2380</v>
      </c>
      <c r="C462" s="30" t="s">
        <v>286</v>
      </c>
      <c r="D462" s="30" t="s">
        <v>2381</v>
      </c>
      <c r="E462" s="30" t="s">
        <v>155</v>
      </c>
      <c r="F462" s="30" t="s">
        <v>2382</v>
      </c>
      <c r="G462" s="30" t="s">
        <v>2383</v>
      </c>
      <c r="H462" s="30" t="s">
        <v>2384</v>
      </c>
      <c r="I462" s="30" t="s">
        <v>476</v>
      </c>
      <c r="J462" s="30" t="s">
        <v>476</v>
      </c>
      <c r="K462" s="31" t="s">
        <v>47</v>
      </c>
      <c r="L462" s="32"/>
      <c r="M462" s="30"/>
      <c r="N462" s="30" t="s">
        <v>48</v>
      </c>
      <c r="O462" s="1" t="n">
        <f aca="false">IF($B462="",0,IF(AND(OR(Filter!$B$5="(alle)",$N462=Filter!$B$5),OR(Filter!$E$5="(alle)",$K462=Filter!$E$5),OR(Filter!$H$5="(alle)",$C462=Filter!$H$5),OR(Filter!$B$7="(alle)",$E462=Filter!$B$7),OR(Filter!$E$7="(alle)",ISNUMBER(SEARCH(Filter!$E$7,$J462))),OR(Filter!$H$7="(alle)",ISNUMBER(SEARCH(Filter!$H$7,$I462))),OR(Filter!$B$9="",ISNUMBER(SEARCH(Filter!$B$9,$F462&amp;" "&amp;$G462)))),COUNTIF($O$6:$O461,"&gt;0")+1,0))</f>
        <v>456</v>
      </c>
    </row>
    <row r="463" customFormat="false" ht="38.25" hidden="false" customHeight="true" outlineLevel="0" collapsed="false">
      <c r="B463" s="30" t="s">
        <v>2385</v>
      </c>
      <c r="C463" s="30" t="s">
        <v>286</v>
      </c>
      <c r="D463" s="30" t="s">
        <v>2386</v>
      </c>
      <c r="E463" s="30" t="s">
        <v>344</v>
      </c>
      <c r="F463" s="30" t="s">
        <v>2387</v>
      </c>
      <c r="G463" s="30" t="s">
        <v>2388</v>
      </c>
      <c r="H463" s="30" t="s">
        <v>2389</v>
      </c>
      <c r="I463" s="30" t="s">
        <v>306</v>
      </c>
      <c r="J463" s="30" t="s">
        <v>206</v>
      </c>
      <c r="K463" s="31" t="s">
        <v>151</v>
      </c>
      <c r="L463" s="32"/>
      <c r="M463" s="30" t="s">
        <v>2390</v>
      </c>
      <c r="N463" s="30" t="s">
        <v>48</v>
      </c>
      <c r="O463" s="1" t="n">
        <f aca="false">IF($B463="",0,IF(AND(OR(Filter!$B$5="(alle)",$N463=Filter!$B$5),OR(Filter!$E$5="(alle)",$K463=Filter!$E$5),OR(Filter!$H$5="(alle)",$C463=Filter!$H$5),OR(Filter!$B$7="(alle)",$E463=Filter!$B$7),OR(Filter!$E$7="(alle)",ISNUMBER(SEARCH(Filter!$E$7,$J463))),OR(Filter!$H$7="(alle)",ISNUMBER(SEARCH(Filter!$H$7,$I463))),OR(Filter!$B$9="",ISNUMBER(SEARCH(Filter!$B$9,$F463&amp;" "&amp;$G463)))),COUNTIF($O$6:$O462,"&gt;0")+1,0))</f>
        <v>457</v>
      </c>
    </row>
    <row r="464" customFormat="false" ht="76.5" hidden="false" customHeight="true" outlineLevel="0" collapsed="false">
      <c r="B464" s="30" t="s">
        <v>2391</v>
      </c>
      <c r="C464" s="30" t="s">
        <v>286</v>
      </c>
      <c r="D464" s="30" t="s">
        <v>2392</v>
      </c>
      <c r="E464" s="30" t="s">
        <v>344</v>
      </c>
      <c r="F464" s="30" t="s">
        <v>2393</v>
      </c>
      <c r="G464" s="30" t="s">
        <v>2394</v>
      </c>
      <c r="H464" s="30" t="s">
        <v>2395</v>
      </c>
      <c r="I464" s="30" t="s">
        <v>306</v>
      </c>
      <c r="J464" s="30" t="s">
        <v>206</v>
      </c>
      <c r="K464" s="31" t="s">
        <v>47</v>
      </c>
      <c r="L464" s="32"/>
      <c r="M464" s="30"/>
      <c r="N464" s="30" t="s">
        <v>48</v>
      </c>
      <c r="O464" s="1" t="n">
        <f aca="false">IF($B464="",0,IF(AND(OR(Filter!$B$5="(alle)",$N464=Filter!$B$5),OR(Filter!$E$5="(alle)",$K464=Filter!$E$5),OR(Filter!$H$5="(alle)",$C464=Filter!$H$5),OR(Filter!$B$7="(alle)",$E464=Filter!$B$7),OR(Filter!$E$7="(alle)",ISNUMBER(SEARCH(Filter!$E$7,$J464))),OR(Filter!$H$7="(alle)",ISNUMBER(SEARCH(Filter!$H$7,$I464))),OR(Filter!$B$9="",ISNUMBER(SEARCH(Filter!$B$9,$F464&amp;" "&amp;$G464)))),COUNTIF($O$6:$O463,"&gt;0")+1,0))</f>
        <v>458</v>
      </c>
    </row>
    <row r="465" customFormat="false" ht="51" hidden="false" customHeight="true" outlineLevel="0" collapsed="false">
      <c r="B465" s="30" t="s">
        <v>2396</v>
      </c>
      <c r="C465" s="30" t="s">
        <v>286</v>
      </c>
      <c r="D465" s="30" t="s">
        <v>2397</v>
      </c>
      <c r="E465" s="30" t="s">
        <v>361</v>
      </c>
      <c r="F465" s="30" t="s">
        <v>2398</v>
      </c>
      <c r="G465" s="30" t="s">
        <v>2399</v>
      </c>
      <c r="H465" s="30" t="s">
        <v>2400</v>
      </c>
      <c r="I465" s="30" t="s">
        <v>306</v>
      </c>
      <c r="J465" s="30" t="s">
        <v>206</v>
      </c>
      <c r="K465" s="31" t="s">
        <v>47</v>
      </c>
      <c r="L465" s="32"/>
      <c r="M465" s="30"/>
      <c r="N465" s="30" t="s">
        <v>48</v>
      </c>
      <c r="O465" s="1" t="n">
        <f aca="false">IF($B465="",0,IF(AND(OR(Filter!$B$5="(alle)",$N465=Filter!$B$5),OR(Filter!$E$5="(alle)",$K465=Filter!$E$5),OR(Filter!$H$5="(alle)",$C465=Filter!$H$5),OR(Filter!$B$7="(alle)",$E465=Filter!$B$7),OR(Filter!$E$7="(alle)",ISNUMBER(SEARCH(Filter!$E$7,$J465))),OR(Filter!$H$7="(alle)",ISNUMBER(SEARCH(Filter!$H$7,$I465))),OR(Filter!$B$9="",ISNUMBER(SEARCH(Filter!$B$9,$F465&amp;" "&amp;$G465)))),COUNTIF($O$6:$O464,"&gt;0")+1,0))</f>
        <v>459</v>
      </c>
    </row>
    <row r="466" customFormat="false" ht="51" hidden="false" customHeight="true" outlineLevel="0" collapsed="false">
      <c r="B466" s="30" t="s">
        <v>2401</v>
      </c>
      <c r="C466" s="30" t="s">
        <v>286</v>
      </c>
      <c r="D466" s="30" t="s">
        <v>2402</v>
      </c>
      <c r="E466" s="30" t="s">
        <v>361</v>
      </c>
      <c r="F466" s="30" t="s">
        <v>2403</v>
      </c>
      <c r="G466" s="30" t="s">
        <v>2404</v>
      </c>
      <c r="H466" s="30" t="s">
        <v>2405</v>
      </c>
      <c r="I466" s="30" t="s">
        <v>306</v>
      </c>
      <c r="J466" s="30" t="s">
        <v>206</v>
      </c>
      <c r="K466" s="31" t="s">
        <v>151</v>
      </c>
      <c r="L466" s="32"/>
      <c r="M466" s="30" t="s">
        <v>2406</v>
      </c>
      <c r="N466" s="30" t="s">
        <v>48</v>
      </c>
      <c r="O466" s="1" t="n">
        <f aca="false">IF($B466="",0,IF(AND(OR(Filter!$B$5="(alle)",$N466=Filter!$B$5),OR(Filter!$E$5="(alle)",$K466=Filter!$E$5),OR(Filter!$H$5="(alle)",$C466=Filter!$H$5),OR(Filter!$B$7="(alle)",$E466=Filter!$B$7),OR(Filter!$E$7="(alle)",ISNUMBER(SEARCH(Filter!$E$7,$J466))),OR(Filter!$H$7="(alle)",ISNUMBER(SEARCH(Filter!$H$7,$I466))),OR(Filter!$B$9="",ISNUMBER(SEARCH(Filter!$B$9,$F466&amp;" "&amp;$G466)))),COUNTIF($O$6:$O465,"&gt;0")+1,0))</f>
        <v>460</v>
      </c>
    </row>
    <row r="467" customFormat="false" ht="89.25" hidden="false" customHeight="true" outlineLevel="0" collapsed="false">
      <c r="B467" s="30" t="s">
        <v>2407</v>
      </c>
      <c r="C467" s="30" t="s">
        <v>286</v>
      </c>
      <c r="D467" s="30" t="s">
        <v>2408</v>
      </c>
      <c r="E467" s="30" t="s">
        <v>361</v>
      </c>
      <c r="F467" s="30" t="s">
        <v>2403</v>
      </c>
      <c r="G467" s="30" t="s">
        <v>2409</v>
      </c>
      <c r="H467" s="30" t="s">
        <v>2410</v>
      </c>
      <c r="I467" s="30" t="s">
        <v>306</v>
      </c>
      <c r="J467" s="30" t="s">
        <v>206</v>
      </c>
      <c r="K467" s="31" t="s">
        <v>151</v>
      </c>
      <c r="L467" s="32"/>
      <c r="M467" s="30" t="s">
        <v>2406</v>
      </c>
      <c r="N467" s="30" t="s">
        <v>48</v>
      </c>
      <c r="O467" s="1" t="n">
        <f aca="false">IF($B467="",0,IF(AND(OR(Filter!$B$5="(alle)",$N467=Filter!$B$5),OR(Filter!$E$5="(alle)",$K467=Filter!$E$5),OR(Filter!$H$5="(alle)",$C467=Filter!$H$5),OR(Filter!$B$7="(alle)",$E467=Filter!$B$7),OR(Filter!$E$7="(alle)",ISNUMBER(SEARCH(Filter!$E$7,$J467))),OR(Filter!$H$7="(alle)",ISNUMBER(SEARCH(Filter!$H$7,$I467))),OR(Filter!$B$9="",ISNUMBER(SEARCH(Filter!$B$9,$F467&amp;" "&amp;$G467)))),COUNTIF($O$6:$O466,"&gt;0")+1,0))</f>
        <v>461</v>
      </c>
    </row>
    <row r="468" customFormat="false" ht="38.25" hidden="false" customHeight="true" outlineLevel="0" collapsed="false">
      <c r="B468" s="30" t="s">
        <v>2411</v>
      </c>
      <c r="C468" s="30" t="s">
        <v>286</v>
      </c>
      <c r="D468" s="30" t="s">
        <v>2412</v>
      </c>
      <c r="E468" s="30" t="s">
        <v>361</v>
      </c>
      <c r="F468" s="30" t="s">
        <v>2403</v>
      </c>
      <c r="G468" s="30" t="s">
        <v>2413</v>
      </c>
      <c r="H468" s="30" t="s">
        <v>2414</v>
      </c>
      <c r="I468" s="30" t="s">
        <v>306</v>
      </c>
      <c r="J468" s="30" t="s">
        <v>206</v>
      </c>
      <c r="K468" s="31" t="s">
        <v>151</v>
      </c>
      <c r="L468" s="32"/>
      <c r="M468" s="30" t="s">
        <v>2406</v>
      </c>
      <c r="N468" s="30" t="s">
        <v>48</v>
      </c>
      <c r="O468" s="1" t="n">
        <f aca="false">IF($B468="",0,IF(AND(OR(Filter!$B$5="(alle)",$N468=Filter!$B$5),OR(Filter!$E$5="(alle)",$K468=Filter!$E$5),OR(Filter!$H$5="(alle)",$C468=Filter!$H$5),OR(Filter!$B$7="(alle)",$E468=Filter!$B$7),OR(Filter!$E$7="(alle)",ISNUMBER(SEARCH(Filter!$E$7,$J468))),OR(Filter!$H$7="(alle)",ISNUMBER(SEARCH(Filter!$H$7,$I468))),OR(Filter!$B$9="",ISNUMBER(SEARCH(Filter!$B$9,$F468&amp;" "&amp;$G468)))),COUNTIF($O$6:$O467,"&gt;0")+1,0))</f>
        <v>462</v>
      </c>
    </row>
    <row r="469" customFormat="false" ht="127.5" hidden="false" customHeight="true" outlineLevel="0" collapsed="false">
      <c r="B469" s="30" t="s">
        <v>2415</v>
      </c>
      <c r="C469" s="30" t="s">
        <v>286</v>
      </c>
      <c r="D469" s="30" t="s">
        <v>2416</v>
      </c>
      <c r="E469" s="30" t="s">
        <v>361</v>
      </c>
      <c r="F469" s="30" t="s">
        <v>2417</v>
      </c>
      <c r="G469" s="30" t="s">
        <v>2418</v>
      </c>
      <c r="H469" s="30" t="s">
        <v>2419</v>
      </c>
      <c r="I469" s="30" t="s">
        <v>306</v>
      </c>
      <c r="J469" s="30" t="s">
        <v>206</v>
      </c>
      <c r="K469" s="31" t="s">
        <v>47</v>
      </c>
      <c r="L469" s="32"/>
      <c r="M469" s="30"/>
      <c r="N469" s="30" t="s">
        <v>48</v>
      </c>
      <c r="O469" s="1" t="n">
        <f aca="false">IF($B469="",0,IF(AND(OR(Filter!$B$5="(alle)",$N469=Filter!$B$5),OR(Filter!$E$5="(alle)",$K469=Filter!$E$5),OR(Filter!$H$5="(alle)",$C469=Filter!$H$5),OR(Filter!$B$7="(alle)",$E469=Filter!$B$7),OR(Filter!$E$7="(alle)",ISNUMBER(SEARCH(Filter!$E$7,$J469))),OR(Filter!$H$7="(alle)",ISNUMBER(SEARCH(Filter!$H$7,$I469))),OR(Filter!$B$9="",ISNUMBER(SEARCH(Filter!$B$9,$F469&amp;" "&amp;$G469)))),COUNTIF($O$6:$O468,"&gt;0")+1,0))</f>
        <v>463</v>
      </c>
    </row>
    <row r="470" customFormat="false" ht="114.75" hidden="false" customHeight="true" outlineLevel="0" collapsed="false">
      <c r="B470" s="30" t="s">
        <v>2420</v>
      </c>
      <c r="C470" s="30" t="s">
        <v>286</v>
      </c>
      <c r="D470" s="30" t="s">
        <v>2421</v>
      </c>
      <c r="E470" s="30" t="s">
        <v>361</v>
      </c>
      <c r="F470" s="30" t="s">
        <v>2422</v>
      </c>
      <c r="G470" s="30" t="s">
        <v>2423</v>
      </c>
      <c r="H470" s="30" t="s">
        <v>2424</v>
      </c>
      <c r="I470" s="30" t="s">
        <v>306</v>
      </c>
      <c r="J470" s="30" t="s">
        <v>206</v>
      </c>
      <c r="K470" s="31" t="s">
        <v>47</v>
      </c>
      <c r="L470" s="32"/>
      <c r="M470" s="30"/>
      <c r="N470" s="30" t="s">
        <v>48</v>
      </c>
      <c r="O470" s="1" t="n">
        <f aca="false">IF($B470="",0,IF(AND(OR(Filter!$B$5="(alle)",$N470=Filter!$B$5),OR(Filter!$E$5="(alle)",$K470=Filter!$E$5),OR(Filter!$H$5="(alle)",$C470=Filter!$H$5),OR(Filter!$B$7="(alle)",$E470=Filter!$B$7),OR(Filter!$E$7="(alle)",ISNUMBER(SEARCH(Filter!$E$7,$J470))),OR(Filter!$H$7="(alle)",ISNUMBER(SEARCH(Filter!$H$7,$I470))),OR(Filter!$B$9="",ISNUMBER(SEARCH(Filter!$B$9,$F470&amp;" "&amp;$G470)))),COUNTIF($O$6:$O469,"&gt;0")+1,0))</f>
        <v>464</v>
      </c>
    </row>
    <row r="471" customFormat="false" ht="51" hidden="false" customHeight="true" outlineLevel="0" collapsed="false">
      <c r="B471" s="30" t="s">
        <v>2425</v>
      </c>
      <c r="C471" s="30" t="s">
        <v>286</v>
      </c>
      <c r="D471" s="30" t="s">
        <v>2426</v>
      </c>
      <c r="E471" s="30" t="s">
        <v>361</v>
      </c>
      <c r="F471" s="30" t="s">
        <v>2427</v>
      </c>
      <c r="G471" s="30" t="s">
        <v>2428</v>
      </c>
      <c r="H471" s="30" t="s">
        <v>2429</v>
      </c>
      <c r="I471" s="30" t="s">
        <v>306</v>
      </c>
      <c r="J471" s="30" t="s">
        <v>206</v>
      </c>
      <c r="K471" s="31" t="s">
        <v>47</v>
      </c>
      <c r="L471" s="32"/>
      <c r="M471" s="30"/>
      <c r="N471" s="30" t="s">
        <v>48</v>
      </c>
      <c r="O471" s="1" t="n">
        <f aca="false">IF($B471="",0,IF(AND(OR(Filter!$B$5="(alle)",$N471=Filter!$B$5),OR(Filter!$E$5="(alle)",$K471=Filter!$E$5),OR(Filter!$H$5="(alle)",$C471=Filter!$H$5),OR(Filter!$B$7="(alle)",$E471=Filter!$B$7),OR(Filter!$E$7="(alle)",ISNUMBER(SEARCH(Filter!$E$7,$J471))),OR(Filter!$H$7="(alle)",ISNUMBER(SEARCH(Filter!$H$7,$I471))),OR(Filter!$B$9="",ISNUMBER(SEARCH(Filter!$B$9,$F471&amp;" "&amp;$G471)))),COUNTIF($O$6:$O470,"&gt;0")+1,0))</f>
        <v>465</v>
      </c>
    </row>
    <row r="472" customFormat="false" ht="76.5" hidden="false" customHeight="true" outlineLevel="0" collapsed="false">
      <c r="B472" s="30" t="s">
        <v>2430</v>
      </c>
      <c r="C472" s="30" t="s">
        <v>286</v>
      </c>
      <c r="D472" s="30" t="s">
        <v>2431</v>
      </c>
      <c r="E472" s="30" t="s">
        <v>331</v>
      </c>
      <c r="F472" s="30" t="s">
        <v>2432</v>
      </c>
      <c r="G472" s="30" t="s">
        <v>2433</v>
      </c>
      <c r="H472" s="30" t="s">
        <v>2434</v>
      </c>
      <c r="I472" s="30" t="s">
        <v>306</v>
      </c>
      <c r="J472" s="30" t="s">
        <v>206</v>
      </c>
      <c r="K472" s="31" t="s">
        <v>151</v>
      </c>
      <c r="L472" s="32"/>
      <c r="M472" s="30" t="s">
        <v>370</v>
      </c>
      <c r="N472" s="30" t="s">
        <v>48</v>
      </c>
      <c r="O472" s="1" t="n">
        <f aca="false">IF($B472="",0,IF(AND(OR(Filter!$B$5="(alle)",$N472=Filter!$B$5),OR(Filter!$E$5="(alle)",$K472=Filter!$E$5),OR(Filter!$H$5="(alle)",$C472=Filter!$H$5),OR(Filter!$B$7="(alle)",$E472=Filter!$B$7),OR(Filter!$E$7="(alle)",ISNUMBER(SEARCH(Filter!$E$7,$J472))),OR(Filter!$H$7="(alle)",ISNUMBER(SEARCH(Filter!$H$7,$I472))),OR(Filter!$B$9="",ISNUMBER(SEARCH(Filter!$B$9,$F472&amp;" "&amp;$G472)))),COUNTIF($O$6:$O471,"&gt;0")+1,0))</f>
        <v>466</v>
      </c>
    </row>
    <row r="473" customFormat="false" ht="63.75" hidden="false" customHeight="true" outlineLevel="0" collapsed="false">
      <c r="B473" s="30" t="s">
        <v>2435</v>
      </c>
      <c r="C473" s="30" t="s">
        <v>286</v>
      </c>
      <c r="D473" s="30" t="s">
        <v>2436</v>
      </c>
      <c r="E473" s="30" t="s">
        <v>155</v>
      </c>
      <c r="F473" s="30" t="s">
        <v>2437</v>
      </c>
      <c r="G473" s="30" t="s">
        <v>2438</v>
      </c>
      <c r="H473" s="30" t="s">
        <v>2439</v>
      </c>
      <c r="I473" s="30" t="s">
        <v>158</v>
      </c>
      <c r="J473" s="30" t="s">
        <v>159</v>
      </c>
      <c r="K473" s="31" t="s">
        <v>47</v>
      </c>
      <c r="L473" s="32"/>
      <c r="M473" s="30"/>
      <c r="N473" s="30" t="s">
        <v>48</v>
      </c>
      <c r="O473" s="1" t="n">
        <f aca="false">IF($B473="",0,IF(AND(OR(Filter!$B$5="(alle)",$N473=Filter!$B$5),OR(Filter!$E$5="(alle)",$K473=Filter!$E$5),OR(Filter!$H$5="(alle)",$C473=Filter!$H$5),OR(Filter!$B$7="(alle)",$E473=Filter!$B$7),OR(Filter!$E$7="(alle)",ISNUMBER(SEARCH(Filter!$E$7,$J473))),OR(Filter!$H$7="(alle)",ISNUMBER(SEARCH(Filter!$H$7,$I473))),OR(Filter!$B$9="",ISNUMBER(SEARCH(Filter!$B$9,$F473&amp;" "&amp;$G473)))),COUNTIF($O$6:$O472,"&gt;0")+1,0))</f>
        <v>467</v>
      </c>
    </row>
    <row r="474" customFormat="false" ht="114.75" hidden="false" customHeight="true" outlineLevel="0" collapsed="false">
      <c r="B474" s="30" t="s">
        <v>2440</v>
      </c>
      <c r="C474" s="30" t="s">
        <v>286</v>
      </c>
      <c r="D474" s="30" t="s">
        <v>2441</v>
      </c>
      <c r="E474" s="30" t="s">
        <v>361</v>
      </c>
      <c r="F474" s="30" t="s">
        <v>2442</v>
      </c>
      <c r="G474" s="30" t="s">
        <v>2443</v>
      </c>
      <c r="H474" s="30" t="s">
        <v>2444</v>
      </c>
      <c r="I474" s="30" t="s">
        <v>306</v>
      </c>
      <c r="J474" s="30" t="s">
        <v>206</v>
      </c>
      <c r="K474" s="31" t="s">
        <v>47</v>
      </c>
      <c r="L474" s="32"/>
      <c r="M474" s="30"/>
      <c r="N474" s="30" t="s">
        <v>48</v>
      </c>
      <c r="O474" s="1" t="n">
        <f aca="false">IF($B474="",0,IF(AND(OR(Filter!$B$5="(alle)",$N474=Filter!$B$5),OR(Filter!$E$5="(alle)",$K474=Filter!$E$5),OR(Filter!$H$5="(alle)",$C474=Filter!$H$5),OR(Filter!$B$7="(alle)",$E474=Filter!$B$7),OR(Filter!$E$7="(alle)",ISNUMBER(SEARCH(Filter!$E$7,$J474))),OR(Filter!$H$7="(alle)",ISNUMBER(SEARCH(Filter!$H$7,$I474))),OR(Filter!$B$9="",ISNUMBER(SEARCH(Filter!$B$9,$F474&amp;" "&amp;$G474)))),COUNTIF($O$6:$O473,"&gt;0")+1,0))</f>
        <v>468</v>
      </c>
    </row>
    <row r="475" customFormat="false" ht="51" hidden="false" customHeight="true" outlineLevel="0" collapsed="false">
      <c r="B475" s="30" t="s">
        <v>2445</v>
      </c>
      <c r="C475" s="30" t="s">
        <v>286</v>
      </c>
      <c r="D475" s="30" t="s">
        <v>2446</v>
      </c>
      <c r="E475" s="30" t="s">
        <v>42</v>
      </c>
      <c r="F475" s="30" t="s">
        <v>2447</v>
      </c>
      <c r="G475" s="30" t="s">
        <v>2448</v>
      </c>
      <c r="H475" s="30" t="s">
        <v>2449</v>
      </c>
      <c r="I475" s="30" t="s">
        <v>45</v>
      </c>
      <c r="J475" s="30" t="s">
        <v>2450</v>
      </c>
      <c r="K475" s="31" t="s">
        <v>47</v>
      </c>
      <c r="L475" s="32"/>
      <c r="M475" s="30"/>
      <c r="N475" s="30" t="s">
        <v>48</v>
      </c>
      <c r="O475" s="1" t="n">
        <f aca="false">IF($B475="",0,IF(AND(OR(Filter!$B$5="(alle)",$N475=Filter!$B$5),OR(Filter!$E$5="(alle)",$K475=Filter!$E$5),OR(Filter!$H$5="(alle)",$C475=Filter!$H$5),OR(Filter!$B$7="(alle)",$E475=Filter!$B$7),OR(Filter!$E$7="(alle)",ISNUMBER(SEARCH(Filter!$E$7,$J475))),OR(Filter!$H$7="(alle)",ISNUMBER(SEARCH(Filter!$H$7,$I475))),OR(Filter!$B$9="",ISNUMBER(SEARCH(Filter!$B$9,$F475&amp;" "&amp;$G475)))),COUNTIF($O$6:$O474,"&gt;0")+1,0))</f>
        <v>469</v>
      </c>
    </row>
    <row r="476" customFormat="false" ht="89.25" hidden="false" customHeight="true" outlineLevel="0" collapsed="false">
      <c r="B476" s="30" t="s">
        <v>2451</v>
      </c>
      <c r="C476" s="30" t="s">
        <v>286</v>
      </c>
      <c r="D476" s="30" t="s">
        <v>2452</v>
      </c>
      <c r="E476" s="30" t="s">
        <v>344</v>
      </c>
      <c r="F476" s="30" t="s">
        <v>2453</v>
      </c>
      <c r="G476" s="30" t="s">
        <v>2454</v>
      </c>
      <c r="H476" s="30" t="s">
        <v>2455</v>
      </c>
      <c r="I476" s="30" t="s">
        <v>306</v>
      </c>
      <c r="J476" s="30" t="s">
        <v>206</v>
      </c>
      <c r="K476" s="31" t="s">
        <v>151</v>
      </c>
      <c r="L476" s="32"/>
      <c r="M476" s="30" t="s">
        <v>629</v>
      </c>
      <c r="N476" s="30" t="s">
        <v>48</v>
      </c>
      <c r="O476" s="1" t="n">
        <f aca="false">IF($B476="",0,IF(AND(OR(Filter!$B$5="(alle)",$N476=Filter!$B$5),OR(Filter!$E$5="(alle)",$K476=Filter!$E$5),OR(Filter!$H$5="(alle)",$C476=Filter!$H$5),OR(Filter!$B$7="(alle)",$E476=Filter!$B$7),OR(Filter!$E$7="(alle)",ISNUMBER(SEARCH(Filter!$E$7,$J476))),OR(Filter!$H$7="(alle)",ISNUMBER(SEARCH(Filter!$H$7,$I476))),OR(Filter!$B$9="",ISNUMBER(SEARCH(Filter!$B$9,$F476&amp;" "&amp;$G476)))),COUNTIF($O$6:$O475,"&gt;0")+1,0))</f>
        <v>470</v>
      </c>
    </row>
    <row r="477" customFormat="false" ht="114.75" hidden="false" customHeight="true" outlineLevel="0" collapsed="false">
      <c r="B477" s="30" t="s">
        <v>2456</v>
      </c>
      <c r="C477" s="30" t="s">
        <v>286</v>
      </c>
      <c r="D477" s="30" t="s">
        <v>2457</v>
      </c>
      <c r="E477" s="30" t="s">
        <v>355</v>
      </c>
      <c r="F477" s="30" t="s">
        <v>2458</v>
      </c>
      <c r="G477" s="30" t="s">
        <v>2459</v>
      </c>
      <c r="H477" s="30" t="s">
        <v>2460</v>
      </c>
      <c r="I477" s="30" t="s">
        <v>306</v>
      </c>
      <c r="J477" s="30" t="s">
        <v>206</v>
      </c>
      <c r="K477" s="31" t="s">
        <v>47</v>
      </c>
      <c r="L477" s="32"/>
      <c r="M477" s="30"/>
      <c r="N477" s="30" t="s">
        <v>48</v>
      </c>
      <c r="O477" s="1" t="n">
        <f aca="false">IF($B477="",0,IF(AND(OR(Filter!$B$5="(alle)",$N477=Filter!$B$5),OR(Filter!$E$5="(alle)",$K477=Filter!$E$5),OR(Filter!$H$5="(alle)",$C477=Filter!$H$5),OR(Filter!$B$7="(alle)",$E477=Filter!$B$7),OR(Filter!$E$7="(alle)",ISNUMBER(SEARCH(Filter!$E$7,$J477))),OR(Filter!$H$7="(alle)",ISNUMBER(SEARCH(Filter!$H$7,$I477))),OR(Filter!$B$9="",ISNUMBER(SEARCH(Filter!$B$9,$F477&amp;" "&amp;$G477)))),COUNTIF($O$6:$O476,"&gt;0")+1,0))</f>
        <v>471</v>
      </c>
    </row>
    <row r="478" customFormat="false" ht="165.75" hidden="false" customHeight="true" outlineLevel="0" collapsed="false">
      <c r="B478" s="30" t="s">
        <v>2461</v>
      </c>
      <c r="C478" s="30" t="s">
        <v>286</v>
      </c>
      <c r="D478" s="30" t="s">
        <v>2462</v>
      </c>
      <c r="E478" s="30" t="s">
        <v>344</v>
      </c>
      <c r="F478" s="30" t="s">
        <v>2463</v>
      </c>
      <c r="G478" s="30" t="s">
        <v>2464</v>
      </c>
      <c r="H478" s="30" t="s">
        <v>2465</v>
      </c>
      <c r="I478" s="30" t="s">
        <v>306</v>
      </c>
      <c r="J478" s="30" t="s">
        <v>206</v>
      </c>
      <c r="K478" s="31" t="s">
        <v>47</v>
      </c>
      <c r="L478" s="32"/>
      <c r="M478" s="30"/>
      <c r="N478" s="30" t="s">
        <v>48</v>
      </c>
      <c r="O478" s="1" t="n">
        <f aca="false">IF($B478="",0,IF(AND(OR(Filter!$B$5="(alle)",$N478=Filter!$B$5),OR(Filter!$E$5="(alle)",$K478=Filter!$E$5),OR(Filter!$H$5="(alle)",$C478=Filter!$H$5),OR(Filter!$B$7="(alle)",$E478=Filter!$B$7),OR(Filter!$E$7="(alle)",ISNUMBER(SEARCH(Filter!$E$7,$J478))),OR(Filter!$H$7="(alle)",ISNUMBER(SEARCH(Filter!$H$7,$I478))),OR(Filter!$B$9="",ISNUMBER(SEARCH(Filter!$B$9,$F478&amp;" "&amp;$G478)))),COUNTIF($O$6:$O477,"&gt;0")+1,0))</f>
        <v>472</v>
      </c>
    </row>
    <row r="479" customFormat="false" ht="191.25" hidden="false" customHeight="true" outlineLevel="0" collapsed="false">
      <c r="B479" s="30" t="s">
        <v>2466</v>
      </c>
      <c r="C479" s="30" t="s">
        <v>286</v>
      </c>
      <c r="D479" s="30" t="s">
        <v>2467</v>
      </c>
      <c r="E479" s="30" t="s">
        <v>344</v>
      </c>
      <c r="F479" s="30" t="s">
        <v>2468</v>
      </c>
      <c r="G479" s="30" t="s">
        <v>2469</v>
      </c>
      <c r="H479" s="30" t="s">
        <v>2470</v>
      </c>
      <c r="I479" s="30" t="s">
        <v>306</v>
      </c>
      <c r="J479" s="30" t="s">
        <v>206</v>
      </c>
      <c r="K479" s="31" t="s">
        <v>47</v>
      </c>
      <c r="L479" s="32"/>
      <c r="M479" s="30"/>
      <c r="N479" s="30" t="s">
        <v>48</v>
      </c>
      <c r="O479" s="1" t="n">
        <f aca="false">IF($B479="",0,IF(AND(OR(Filter!$B$5="(alle)",$N479=Filter!$B$5),OR(Filter!$E$5="(alle)",$K479=Filter!$E$5),OR(Filter!$H$5="(alle)",$C479=Filter!$H$5),OR(Filter!$B$7="(alle)",$E479=Filter!$B$7),OR(Filter!$E$7="(alle)",ISNUMBER(SEARCH(Filter!$E$7,$J479))),OR(Filter!$H$7="(alle)",ISNUMBER(SEARCH(Filter!$H$7,$I479))),OR(Filter!$B$9="",ISNUMBER(SEARCH(Filter!$B$9,$F479&amp;" "&amp;$G479)))),COUNTIF($O$6:$O478,"&gt;0")+1,0))</f>
        <v>473</v>
      </c>
    </row>
    <row r="480" customFormat="false" ht="102" hidden="false" customHeight="true" outlineLevel="0" collapsed="false">
      <c r="B480" s="30" t="s">
        <v>2471</v>
      </c>
      <c r="C480" s="30" t="s">
        <v>286</v>
      </c>
      <c r="D480" s="30" t="s">
        <v>2472</v>
      </c>
      <c r="E480" s="30" t="s">
        <v>361</v>
      </c>
      <c r="F480" s="30" t="s">
        <v>2473</v>
      </c>
      <c r="G480" s="30" t="s">
        <v>2474</v>
      </c>
      <c r="H480" s="30" t="s">
        <v>2475</v>
      </c>
      <c r="I480" s="30" t="s">
        <v>306</v>
      </c>
      <c r="J480" s="30" t="s">
        <v>206</v>
      </c>
      <c r="K480" s="31" t="s">
        <v>47</v>
      </c>
      <c r="L480" s="32"/>
      <c r="M480" s="30"/>
      <c r="N480" s="30" t="s">
        <v>48</v>
      </c>
      <c r="O480" s="1" t="n">
        <f aca="false">IF($B480="",0,IF(AND(OR(Filter!$B$5="(alle)",$N480=Filter!$B$5),OR(Filter!$E$5="(alle)",$K480=Filter!$E$5),OR(Filter!$H$5="(alle)",$C480=Filter!$H$5),OR(Filter!$B$7="(alle)",$E480=Filter!$B$7),OR(Filter!$E$7="(alle)",ISNUMBER(SEARCH(Filter!$E$7,$J480))),OR(Filter!$H$7="(alle)",ISNUMBER(SEARCH(Filter!$H$7,$I480))),OR(Filter!$B$9="",ISNUMBER(SEARCH(Filter!$B$9,$F480&amp;" "&amp;$G480)))),COUNTIF($O$6:$O479,"&gt;0")+1,0))</f>
        <v>474</v>
      </c>
    </row>
    <row r="481" customFormat="false" ht="140.25" hidden="false" customHeight="true" outlineLevel="0" collapsed="false">
      <c r="B481" s="30" t="s">
        <v>2476</v>
      </c>
      <c r="C481" s="30" t="s">
        <v>286</v>
      </c>
      <c r="D481" s="30" t="s">
        <v>2477</v>
      </c>
      <c r="E481" s="30" t="s">
        <v>361</v>
      </c>
      <c r="F481" s="30" t="s">
        <v>2473</v>
      </c>
      <c r="G481" s="30" t="s">
        <v>2478</v>
      </c>
      <c r="H481" s="30" t="s">
        <v>2479</v>
      </c>
      <c r="I481" s="30" t="s">
        <v>306</v>
      </c>
      <c r="J481" s="30" t="s">
        <v>206</v>
      </c>
      <c r="K481" s="31" t="s">
        <v>47</v>
      </c>
      <c r="L481" s="32"/>
      <c r="M481" s="30"/>
      <c r="N481" s="30" t="s">
        <v>48</v>
      </c>
      <c r="O481" s="1" t="n">
        <f aca="false">IF($B481="",0,IF(AND(OR(Filter!$B$5="(alle)",$N481=Filter!$B$5),OR(Filter!$E$5="(alle)",$K481=Filter!$E$5),OR(Filter!$H$5="(alle)",$C481=Filter!$H$5),OR(Filter!$B$7="(alle)",$E481=Filter!$B$7),OR(Filter!$E$7="(alle)",ISNUMBER(SEARCH(Filter!$E$7,$J481))),OR(Filter!$H$7="(alle)",ISNUMBER(SEARCH(Filter!$H$7,$I481))),OR(Filter!$B$9="",ISNUMBER(SEARCH(Filter!$B$9,$F481&amp;" "&amp;$G481)))),COUNTIF($O$6:$O480,"&gt;0")+1,0))</f>
        <v>475</v>
      </c>
    </row>
    <row r="482" customFormat="false" ht="102" hidden="false" customHeight="true" outlineLevel="0" collapsed="false">
      <c r="B482" s="30" t="s">
        <v>2480</v>
      </c>
      <c r="C482" s="30" t="s">
        <v>286</v>
      </c>
      <c r="D482" s="30" t="s">
        <v>2481</v>
      </c>
      <c r="E482" s="30" t="s">
        <v>42</v>
      </c>
      <c r="F482" s="30" t="s">
        <v>2482</v>
      </c>
      <c r="G482" s="30" t="s">
        <v>2483</v>
      </c>
      <c r="H482" s="30" t="s">
        <v>2484</v>
      </c>
      <c r="I482" s="30" t="s">
        <v>464</v>
      </c>
      <c r="J482" s="30" t="s">
        <v>2485</v>
      </c>
      <c r="K482" s="31" t="s">
        <v>47</v>
      </c>
      <c r="L482" s="32"/>
      <c r="M482" s="30"/>
      <c r="N482" s="30" t="s">
        <v>48</v>
      </c>
      <c r="O482" s="1" t="n">
        <f aca="false">IF($B482="",0,IF(AND(OR(Filter!$B$5="(alle)",$N482=Filter!$B$5),OR(Filter!$E$5="(alle)",$K482=Filter!$E$5),OR(Filter!$H$5="(alle)",$C482=Filter!$H$5),OR(Filter!$B$7="(alle)",$E482=Filter!$B$7),OR(Filter!$E$7="(alle)",ISNUMBER(SEARCH(Filter!$E$7,$J482))),OR(Filter!$H$7="(alle)",ISNUMBER(SEARCH(Filter!$H$7,$I482))),OR(Filter!$B$9="",ISNUMBER(SEARCH(Filter!$B$9,$F482&amp;" "&amp;$G482)))),COUNTIF($O$6:$O481,"&gt;0")+1,0))</f>
        <v>476</v>
      </c>
    </row>
    <row r="483" customFormat="false" ht="89.25" hidden="false" customHeight="true" outlineLevel="0" collapsed="false">
      <c r="B483" s="30" t="s">
        <v>2486</v>
      </c>
      <c r="C483" s="30" t="s">
        <v>286</v>
      </c>
      <c r="D483" s="30" t="s">
        <v>2487</v>
      </c>
      <c r="E483" s="30" t="s">
        <v>361</v>
      </c>
      <c r="F483" s="30" t="s">
        <v>2488</v>
      </c>
      <c r="G483" s="30" t="s">
        <v>2489</v>
      </c>
      <c r="H483" s="30" t="s">
        <v>2490</v>
      </c>
      <c r="I483" s="30" t="s">
        <v>306</v>
      </c>
      <c r="J483" s="30" t="s">
        <v>206</v>
      </c>
      <c r="K483" s="31" t="s">
        <v>47</v>
      </c>
      <c r="L483" s="32"/>
      <c r="M483" s="30"/>
      <c r="N483" s="30" t="s">
        <v>48</v>
      </c>
      <c r="O483" s="1" t="n">
        <f aca="false">IF($B483="",0,IF(AND(OR(Filter!$B$5="(alle)",$N483=Filter!$B$5),OR(Filter!$E$5="(alle)",$K483=Filter!$E$5),OR(Filter!$H$5="(alle)",$C483=Filter!$H$5),OR(Filter!$B$7="(alle)",$E483=Filter!$B$7),OR(Filter!$E$7="(alle)",ISNUMBER(SEARCH(Filter!$E$7,$J483))),OR(Filter!$H$7="(alle)",ISNUMBER(SEARCH(Filter!$H$7,$I483))),OR(Filter!$B$9="",ISNUMBER(SEARCH(Filter!$B$9,$F483&amp;" "&amp;$G483)))),COUNTIF($O$6:$O482,"&gt;0")+1,0))</f>
        <v>477</v>
      </c>
    </row>
    <row r="484" customFormat="false" ht="63.75" hidden="false" customHeight="true" outlineLevel="0" collapsed="false">
      <c r="B484" s="30" t="s">
        <v>2491</v>
      </c>
      <c r="C484" s="30" t="s">
        <v>286</v>
      </c>
      <c r="D484" s="30" t="s">
        <v>2492</v>
      </c>
      <c r="E484" s="30" t="s">
        <v>344</v>
      </c>
      <c r="F484" s="30" t="s">
        <v>2493</v>
      </c>
      <c r="G484" s="30" t="s">
        <v>2494</v>
      </c>
      <c r="H484" s="30" t="s">
        <v>2495</v>
      </c>
      <c r="I484" s="30" t="s">
        <v>306</v>
      </c>
      <c r="J484" s="30" t="s">
        <v>206</v>
      </c>
      <c r="K484" s="31" t="s">
        <v>47</v>
      </c>
      <c r="L484" s="32"/>
      <c r="M484" s="30"/>
      <c r="N484" s="30" t="s">
        <v>48</v>
      </c>
      <c r="O484" s="1" t="n">
        <f aca="false">IF($B484="",0,IF(AND(OR(Filter!$B$5="(alle)",$N484=Filter!$B$5),OR(Filter!$E$5="(alle)",$K484=Filter!$E$5),OR(Filter!$H$5="(alle)",$C484=Filter!$H$5),OR(Filter!$B$7="(alle)",$E484=Filter!$B$7),OR(Filter!$E$7="(alle)",ISNUMBER(SEARCH(Filter!$E$7,$J484))),OR(Filter!$H$7="(alle)",ISNUMBER(SEARCH(Filter!$H$7,$I484))),OR(Filter!$B$9="",ISNUMBER(SEARCH(Filter!$B$9,$F484&amp;" "&amp;$G484)))),COUNTIF($O$6:$O483,"&gt;0")+1,0))</f>
        <v>478</v>
      </c>
    </row>
    <row r="485" customFormat="false" ht="76.5" hidden="false" customHeight="true" outlineLevel="0" collapsed="false">
      <c r="B485" s="30" t="s">
        <v>2496</v>
      </c>
      <c r="C485" s="30" t="s">
        <v>286</v>
      </c>
      <c r="D485" s="30" t="s">
        <v>2497</v>
      </c>
      <c r="E485" s="30" t="s">
        <v>361</v>
      </c>
      <c r="F485" s="30" t="s">
        <v>2468</v>
      </c>
      <c r="G485" s="30" t="s">
        <v>2498</v>
      </c>
      <c r="H485" s="30" t="s">
        <v>2499</v>
      </c>
      <c r="I485" s="30" t="s">
        <v>306</v>
      </c>
      <c r="J485" s="30" t="s">
        <v>206</v>
      </c>
      <c r="K485" s="31" t="s">
        <v>47</v>
      </c>
      <c r="L485" s="32"/>
      <c r="M485" s="30"/>
      <c r="N485" s="30" t="s">
        <v>48</v>
      </c>
      <c r="O485" s="1" t="n">
        <f aca="false">IF($B485="",0,IF(AND(OR(Filter!$B$5="(alle)",$N485=Filter!$B$5),OR(Filter!$E$5="(alle)",$K485=Filter!$E$5),OR(Filter!$H$5="(alle)",$C485=Filter!$H$5),OR(Filter!$B$7="(alle)",$E485=Filter!$B$7),OR(Filter!$E$7="(alle)",ISNUMBER(SEARCH(Filter!$E$7,$J485))),OR(Filter!$H$7="(alle)",ISNUMBER(SEARCH(Filter!$H$7,$I485))),OR(Filter!$B$9="",ISNUMBER(SEARCH(Filter!$B$9,$F485&amp;" "&amp;$G485)))),COUNTIF($O$6:$O484,"&gt;0")+1,0))</f>
        <v>479</v>
      </c>
    </row>
    <row r="486" customFormat="false" ht="51" hidden="false" customHeight="true" outlineLevel="0" collapsed="false">
      <c r="B486" s="30" t="s">
        <v>2500</v>
      </c>
      <c r="C486" s="30" t="s">
        <v>286</v>
      </c>
      <c r="D486" s="30" t="s">
        <v>2501</v>
      </c>
      <c r="E486" s="30" t="s">
        <v>344</v>
      </c>
      <c r="F486" s="30" t="s">
        <v>2502</v>
      </c>
      <c r="G486" s="30" t="s">
        <v>2503</v>
      </c>
      <c r="H486" s="30" t="s">
        <v>2504</v>
      </c>
      <c r="I486" s="30" t="s">
        <v>306</v>
      </c>
      <c r="J486" s="30" t="s">
        <v>206</v>
      </c>
      <c r="K486" s="31" t="s">
        <v>47</v>
      </c>
      <c r="L486" s="32"/>
      <c r="M486" s="30"/>
      <c r="N486" s="30" t="s">
        <v>48</v>
      </c>
      <c r="O486" s="1" t="n">
        <f aca="false">IF($B486="",0,IF(AND(OR(Filter!$B$5="(alle)",$N486=Filter!$B$5),OR(Filter!$E$5="(alle)",$K486=Filter!$E$5),OR(Filter!$H$5="(alle)",$C486=Filter!$H$5),OR(Filter!$B$7="(alle)",$E486=Filter!$B$7),OR(Filter!$E$7="(alle)",ISNUMBER(SEARCH(Filter!$E$7,$J486))),OR(Filter!$H$7="(alle)",ISNUMBER(SEARCH(Filter!$H$7,$I486))),OR(Filter!$B$9="",ISNUMBER(SEARCH(Filter!$B$9,$F486&amp;" "&amp;$G486)))),COUNTIF($O$6:$O485,"&gt;0")+1,0))</f>
        <v>480</v>
      </c>
    </row>
    <row r="487" customFormat="false" ht="51" hidden="false" customHeight="true" outlineLevel="0" collapsed="false">
      <c r="B487" s="30" t="s">
        <v>2505</v>
      </c>
      <c r="C487" s="30" t="s">
        <v>286</v>
      </c>
      <c r="D487" s="30" t="s">
        <v>2506</v>
      </c>
      <c r="E487" s="30" t="s">
        <v>42</v>
      </c>
      <c r="F487" s="30" t="s">
        <v>2507</v>
      </c>
      <c r="G487" s="30" t="s">
        <v>2508</v>
      </c>
      <c r="H487" s="30" t="s">
        <v>2509</v>
      </c>
      <c r="I487" s="30" t="s">
        <v>45</v>
      </c>
      <c r="J487" s="30" t="s">
        <v>46</v>
      </c>
      <c r="K487" s="31" t="s">
        <v>47</v>
      </c>
      <c r="L487" s="32"/>
      <c r="M487" s="30"/>
      <c r="N487" s="30" t="s">
        <v>48</v>
      </c>
      <c r="O487" s="1" t="n">
        <f aca="false">IF($B487="",0,IF(AND(OR(Filter!$B$5="(alle)",$N487=Filter!$B$5),OR(Filter!$E$5="(alle)",$K487=Filter!$E$5),OR(Filter!$H$5="(alle)",$C487=Filter!$H$5),OR(Filter!$B$7="(alle)",$E487=Filter!$B$7),OR(Filter!$E$7="(alle)",ISNUMBER(SEARCH(Filter!$E$7,$J487))),OR(Filter!$H$7="(alle)",ISNUMBER(SEARCH(Filter!$H$7,$I487))),OR(Filter!$B$9="",ISNUMBER(SEARCH(Filter!$B$9,$F487&amp;" "&amp;$G487)))),COUNTIF($O$6:$O486,"&gt;0")+1,0))</f>
        <v>481</v>
      </c>
    </row>
    <row r="488" customFormat="false" ht="51" hidden="false" customHeight="true" outlineLevel="0" collapsed="false">
      <c r="B488" s="30" t="s">
        <v>2510</v>
      </c>
      <c r="C488" s="30" t="s">
        <v>286</v>
      </c>
      <c r="D488" s="30" t="s">
        <v>2511</v>
      </c>
      <c r="E488" s="30" t="s">
        <v>344</v>
      </c>
      <c r="F488" s="30" t="s">
        <v>2507</v>
      </c>
      <c r="G488" s="30" t="s">
        <v>2512</v>
      </c>
      <c r="H488" s="30" t="s">
        <v>2513</v>
      </c>
      <c r="I488" s="30" t="s">
        <v>306</v>
      </c>
      <c r="J488" s="30" t="s">
        <v>206</v>
      </c>
      <c r="K488" s="31" t="s">
        <v>47</v>
      </c>
      <c r="L488" s="32"/>
      <c r="M488" s="30"/>
      <c r="N488" s="30" t="s">
        <v>48</v>
      </c>
      <c r="O488" s="1" t="n">
        <f aca="false">IF($B488="",0,IF(AND(OR(Filter!$B$5="(alle)",$N488=Filter!$B$5),OR(Filter!$E$5="(alle)",$K488=Filter!$E$5),OR(Filter!$H$5="(alle)",$C488=Filter!$H$5),OR(Filter!$B$7="(alle)",$E488=Filter!$B$7),OR(Filter!$E$7="(alle)",ISNUMBER(SEARCH(Filter!$E$7,$J488))),OR(Filter!$H$7="(alle)",ISNUMBER(SEARCH(Filter!$H$7,$I488))),OR(Filter!$B$9="",ISNUMBER(SEARCH(Filter!$B$9,$F488&amp;" "&amp;$G488)))),COUNTIF($O$6:$O487,"&gt;0")+1,0))</f>
        <v>482</v>
      </c>
    </row>
    <row r="489" customFormat="false" ht="51" hidden="false" customHeight="true" outlineLevel="0" collapsed="false">
      <c r="B489" s="30" t="s">
        <v>2514</v>
      </c>
      <c r="C489" s="30" t="s">
        <v>286</v>
      </c>
      <c r="D489" s="30" t="s">
        <v>2515</v>
      </c>
      <c r="E489" s="30" t="s">
        <v>355</v>
      </c>
      <c r="F489" s="30" t="s">
        <v>2468</v>
      </c>
      <c r="G489" s="30" t="s">
        <v>2516</v>
      </c>
      <c r="H489" s="30" t="s">
        <v>2517</v>
      </c>
      <c r="I489" s="30" t="s">
        <v>306</v>
      </c>
      <c r="J489" s="30" t="s">
        <v>206</v>
      </c>
      <c r="K489" s="31" t="s">
        <v>47</v>
      </c>
      <c r="L489" s="32"/>
      <c r="M489" s="30"/>
      <c r="N489" s="30" t="s">
        <v>48</v>
      </c>
      <c r="O489" s="1" t="n">
        <f aca="false">IF($B489="",0,IF(AND(OR(Filter!$B$5="(alle)",$N489=Filter!$B$5),OR(Filter!$E$5="(alle)",$K489=Filter!$E$5),OR(Filter!$H$5="(alle)",$C489=Filter!$H$5),OR(Filter!$B$7="(alle)",$E489=Filter!$B$7),OR(Filter!$E$7="(alle)",ISNUMBER(SEARCH(Filter!$E$7,$J489))),OR(Filter!$H$7="(alle)",ISNUMBER(SEARCH(Filter!$H$7,$I489))),OR(Filter!$B$9="",ISNUMBER(SEARCH(Filter!$B$9,$F489&amp;" "&amp;$G489)))),COUNTIF($O$6:$O488,"&gt;0")+1,0))</f>
        <v>483</v>
      </c>
    </row>
    <row r="490" customFormat="false" ht="51" hidden="false" customHeight="true" outlineLevel="0" collapsed="false">
      <c r="B490" s="30" t="s">
        <v>2518</v>
      </c>
      <c r="C490" s="30" t="s">
        <v>286</v>
      </c>
      <c r="D490" s="30" t="s">
        <v>2519</v>
      </c>
      <c r="E490" s="30" t="s">
        <v>344</v>
      </c>
      <c r="F490" s="30" t="s">
        <v>2507</v>
      </c>
      <c r="G490" s="30" t="s">
        <v>2520</v>
      </c>
      <c r="H490" s="30" t="s">
        <v>2521</v>
      </c>
      <c r="I490" s="30" t="s">
        <v>306</v>
      </c>
      <c r="J490" s="30" t="s">
        <v>206</v>
      </c>
      <c r="K490" s="31" t="s">
        <v>47</v>
      </c>
      <c r="L490" s="32"/>
      <c r="M490" s="30"/>
      <c r="N490" s="30" t="s">
        <v>48</v>
      </c>
      <c r="O490" s="1" t="n">
        <f aca="false">IF($B490="",0,IF(AND(OR(Filter!$B$5="(alle)",$N490=Filter!$B$5),OR(Filter!$E$5="(alle)",$K490=Filter!$E$5),OR(Filter!$H$5="(alle)",$C490=Filter!$H$5),OR(Filter!$B$7="(alle)",$E490=Filter!$B$7),OR(Filter!$E$7="(alle)",ISNUMBER(SEARCH(Filter!$E$7,$J490))),OR(Filter!$H$7="(alle)",ISNUMBER(SEARCH(Filter!$H$7,$I490))),OR(Filter!$B$9="",ISNUMBER(SEARCH(Filter!$B$9,$F490&amp;" "&amp;$G490)))),COUNTIF($O$6:$O489,"&gt;0")+1,0))</f>
        <v>484</v>
      </c>
    </row>
    <row r="491" customFormat="false" ht="89.25" hidden="false" customHeight="true" outlineLevel="0" collapsed="false">
      <c r="B491" s="30" t="s">
        <v>2522</v>
      </c>
      <c r="C491" s="30" t="s">
        <v>286</v>
      </c>
      <c r="D491" s="30" t="s">
        <v>2523</v>
      </c>
      <c r="E491" s="30" t="s">
        <v>210</v>
      </c>
      <c r="F491" s="30" t="s">
        <v>2524</v>
      </c>
      <c r="G491" s="30" t="s">
        <v>2525</v>
      </c>
      <c r="H491" s="30" t="s">
        <v>2526</v>
      </c>
      <c r="I491" s="30" t="s">
        <v>306</v>
      </c>
      <c r="J491" s="30" t="s">
        <v>206</v>
      </c>
      <c r="K491" s="31" t="s">
        <v>47</v>
      </c>
      <c r="L491" s="32"/>
      <c r="M491" s="30"/>
      <c r="N491" s="30" t="s">
        <v>48</v>
      </c>
      <c r="O491" s="1" t="n">
        <f aca="false">IF($B491="",0,IF(AND(OR(Filter!$B$5="(alle)",$N491=Filter!$B$5),OR(Filter!$E$5="(alle)",$K491=Filter!$E$5),OR(Filter!$H$5="(alle)",$C491=Filter!$H$5),OR(Filter!$B$7="(alle)",$E491=Filter!$B$7),OR(Filter!$E$7="(alle)",ISNUMBER(SEARCH(Filter!$E$7,$J491))),OR(Filter!$H$7="(alle)",ISNUMBER(SEARCH(Filter!$H$7,$I491))),OR(Filter!$B$9="",ISNUMBER(SEARCH(Filter!$B$9,$F491&amp;" "&amp;$G491)))),COUNTIF($O$6:$O490,"&gt;0")+1,0))</f>
        <v>485</v>
      </c>
    </row>
    <row r="492" customFormat="false" ht="102" hidden="false" customHeight="true" outlineLevel="0" collapsed="false">
      <c r="B492" s="30" t="s">
        <v>2527</v>
      </c>
      <c r="C492" s="30" t="s">
        <v>286</v>
      </c>
      <c r="D492" s="30" t="s">
        <v>2528</v>
      </c>
      <c r="E492" s="30" t="s">
        <v>604</v>
      </c>
      <c r="F492" s="30" t="s">
        <v>2427</v>
      </c>
      <c r="G492" s="30" t="s">
        <v>2529</v>
      </c>
      <c r="H492" s="30" t="s">
        <v>2530</v>
      </c>
      <c r="I492" s="30" t="s">
        <v>158</v>
      </c>
      <c r="J492" s="30" t="s">
        <v>159</v>
      </c>
      <c r="K492" s="31" t="s">
        <v>47</v>
      </c>
      <c r="L492" s="32"/>
      <c r="M492" s="30"/>
      <c r="N492" s="30" t="s">
        <v>48</v>
      </c>
      <c r="O492" s="1" t="n">
        <f aca="false">IF($B492="",0,IF(AND(OR(Filter!$B$5="(alle)",$N492=Filter!$B$5),OR(Filter!$E$5="(alle)",$K492=Filter!$E$5),OR(Filter!$H$5="(alle)",$C492=Filter!$H$5),OR(Filter!$B$7="(alle)",$E492=Filter!$B$7),OR(Filter!$E$7="(alle)",ISNUMBER(SEARCH(Filter!$E$7,$J492))),OR(Filter!$H$7="(alle)",ISNUMBER(SEARCH(Filter!$H$7,$I492))),OR(Filter!$B$9="",ISNUMBER(SEARCH(Filter!$B$9,$F492&amp;" "&amp;$G492)))),COUNTIF($O$6:$O491,"&gt;0")+1,0))</f>
        <v>486</v>
      </c>
    </row>
    <row r="493" customFormat="false" ht="76.5" hidden="false" customHeight="true" outlineLevel="0" collapsed="false">
      <c r="B493" s="30" t="s">
        <v>2531</v>
      </c>
      <c r="C493" s="30" t="s">
        <v>286</v>
      </c>
      <c r="D493" s="30" t="s">
        <v>2532</v>
      </c>
      <c r="E493" s="30" t="s">
        <v>361</v>
      </c>
      <c r="F493" s="30" t="s">
        <v>2533</v>
      </c>
      <c r="G493" s="30" t="s">
        <v>2534</v>
      </c>
      <c r="H493" s="30" t="s">
        <v>2535</v>
      </c>
      <c r="I493" s="30" t="s">
        <v>306</v>
      </c>
      <c r="J493" s="30" t="s">
        <v>206</v>
      </c>
      <c r="K493" s="31" t="s">
        <v>47</v>
      </c>
      <c r="L493" s="32"/>
      <c r="M493" s="30"/>
      <c r="N493" s="30" t="s">
        <v>48</v>
      </c>
      <c r="O493" s="1" t="n">
        <f aca="false">IF($B493="",0,IF(AND(OR(Filter!$B$5="(alle)",$N493=Filter!$B$5),OR(Filter!$E$5="(alle)",$K493=Filter!$E$5),OR(Filter!$H$5="(alle)",$C493=Filter!$H$5),OR(Filter!$B$7="(alle)",$E493=Filter!$B$7),OR(Filter!$E$7="(alle)",ISNUMBER(SEARCH(Filter!$E$7,$J493))),OR(Filter!$H$7="(alle)",ISNUMBER(SEARCH(Filter!$H$7,$I493))),OR(Filter!$B$9="",ISNUMBER(SEARCH(Filter!$B$9,$F493&amp;" "&amp;$G493)))),COUNTIF($O$6:$O492,"&gt;0")+1,0))</f>
        <v>487</v>
      </c>
    </row>
    <row r="494" customFormat="false" ht="76.5" hidden="false" customHeight="true" outlineLevel="0" collapsed="false">
      <c r="B494" s="30" t="s">
        <v>2536</v>
      </c>
      <c r="C494" s="30" t="s">
        <v>286</v>
      </c>
      <c r="D494" s="30" t="s">
        <v>2537</v>
      </c>
      <c r="E494" s="30" t="s">
        <v>81</v>
      </c>
      <c r="F494" s="30" t="s">
        <v>2538</v>
      </c>
      <c r="G494" s="30" t="s">
        <v>2539</v>
      </c>
      <c r="H494" s="30" t="s">
        <v>2540</v>
      </c>
      <c r="I494" s="30" t="s">
        <v>2541</v>
      </c>
      <c r="J494" s="30" t="s">
        <v>2542</v>
      </c>
      <c r="K494" s="31" t="s">
        <v>47</v>
      </c>
      <c r="L494" s="32"/>
      <c r="M494" s="30"/>
      <c r="N494" s="30" t="s">
        <v>65</v>
      </c>
      <c r="O494" s="1" t="n">
        <f aca="false">IF($B494="",0,IF(AND(OR(Filter!$B$5="(alle)",$N494=Filter!$B$5),OR(Filter!$E$5="(alle)",$K494=Filter!$E$5),OR(Filter!$H$5="(alle)",$C494=Filter!$H$5),OR(Filter!$B$7="(alle)",$E494=Filter!$B$7),OR(Filter!$E$7="(alle)",ISNUMBER(SEARCH(Filter!$E$7,$J494))),OR(Filter!$H$7="(alle)",ISNUMBER(SEARCH(Filter!$H$7,$I494))),OR(Filter!$B$9="",ISNUMBER(SEARCH(Filter!$B$9,$F494&amp;" "&amp;$G494)))),COUNTIF($O$6:$O493,"&gt;0")+1,0))</f>
        <v>488</v>
      </c>
    </row>
    <row r="495" customFormat="false" ht="89.25" hidden="false" customHeight="true" outlineLevel="0" collapsed="false">
      <c r="B495" s="30" t="s">
        <v>2543</v>
      </c>
      <c r="C495" s="30" t="s">
        <v>286</v>
      </c>
      <c r="D495" s="30" t="s">
        <v>2544</v>
      </c>
      <c r="E495" s="30" t="s">
        <v>94</v>
      </c>
      <c r="F495" s="30" t="s">
        <v>2545</v>
      </c>
      <c r="G495" s="30" t="s">
        <v>2546</v>
      </c>
      <c r="H495" s="30" t="s">
        <v>2547</v>
      </c>
      <c r="I495" s="30" t="s">
        <v>543</v>
      </c>
      <c r="J495" s="30" t="s">
        <v>2548</v>
      </c>
      <c r="K495" s="31" t="s">
        <v>47</v>
      </c>
      <c r="L495" s="32"/>
      <c r="M495" s="30"/>
      <c r="N495" s="30" t="s">
        <v>48</v>
      </c>
      <c r="O495" s="1" t="n">
        <f aca="false">IF($B495="",0,IF(AND(OR(Filter!$B$5="(alle)",$N495=Filter!$B$5),OR(Filter!$E$5="(alle)",$K495=Filter!$E$5),OR(Filter!$H$5="(alle)",$C495=Filter!$H$5),OR(Filter!$B$7="(alle)",$E495=Filter!$B$7),OR(Filter!$E$7="(alle)",ISNUMBER(SEARCH(Filter!$E$7,$J495))),OR(Filter!$H$7="(alle)",ISNUMBER(SEARCH(Filter!$H$7,$I495))),OR(Filter!$B$9="",ISNUMBER(SEARCH(Filter!$B$9,$F495&amp;" "&amp;$G495)))),COUNTIF($O$6:$O494,"&gt;0")+1,0))</f>
        <v>489</v>
      </c>
    </row>
    <row r="496" customFormat="false" ht="76.5" hidden="false" customHeight="true" outlineLevel="0" collapsed="false">
      <c r="B496" s="30" t="s">
        <v>2549</v>
      </c>
      <c r="C496" s="30" t="s">
        <v>286</v>
      </c>
      <c r="D496" s="30" t="s">
        <v>2550</v>
      </c>
      <c r="E496" s="30" t="s">
        <v>94</v>
      </c>
      <c r="F496" s="30" t="s">
        <v>2551</v>
      </c>
      <c r="G496" s="30" t="s">
        <v>2552</v>
      </c>
      <c r="H496" s="30" t="s">
        <v>2553</v>
      </c>
      <c r="I496" s="30" t="s">
        <v>543</v>
      </c>
      <c r="J496" s="30" t="s">
        <v>2548</v>
      </c>
      <c r="K496" s="31" t="s">
        <v>47</v>
      </c>
      <c r="L496" s="32"/>
      <c r="M496" s="30"/>
      <c r="N496" s="30" t="s">
        <v>48</v>
      </c>
      <c r="O496" s="1" t="n">
        <f aca="false">IF($B496="",0,IF(AND(OR(Filter!$B$5="(alle)",$N496=Filter!$B$5),OR(Filter!$E$5="(alle)",$K496=Filter!$E$5),OR(Filter!$H$5="(alle)",$C496=Filter!$H$5),OR(Filter!$B$7="(alle)",$E496=Filter!$B$7),OR(Filter!$E$7="(alle)",ISNUMBER(SEARCH(Filter!$E$7,$J496))),OR(Filter!$H$7="(alle)",ISNUMBER(SEARCH(Filter!$H$7,$I496))),OR(Filter!$B$9="",ISNUMBER(SEARCH(Filter!$B$9,$F496&amp;" "&amp;$G496)))),COUNTIF($O$6:$O495,"&gt;0")+1,0))</f>
        <v>490</v>
      </c>
    </row>
    <row r="497" customFormat="false" ht="63.75" hidden="false" customHeight="true" outlineLevel="0" collapsed="false">
      <c r="B497" s="30" t="s">
        <v>2554</v>
      </c>
      <c r="C497" s="30" t="s">
        <v>286</v>
      </c>
      <c r="D497" s="30" t="s">
        <v>2555</v>
      </c>
      <c r="E497" s="30" t="s">
        <v>344</v>
      </c>
      <c r="F497" s="30" t="s">
        <v>2556</v>
      </c>
      <c r="G497" s="30" t="s">
        <v>2557</v>
      </c>
      <c r="H497" s="30" t="s">
        <v>2558</v>
      </c>
      <c r="I497" s="30" t="s">
        <v>306</v>
      </c>
      <c r="J497" s="30" t="s">
        <v>206</v>
      </c>
      <c r="K497" s="31" t="s">
        <v>47</v>
      </c>
      <c r="L497" s="32"/>
      <c r="M497" s="30"/>
      <c r="N497" s="30" t="s">
        <v>48</v>
      </c>
      <c r="O497" s="1" t="n">
        <f aca="false">IF($B497="",0,IF(AND(OR(Filter!$B$5="(alle)",$N497=Filter!$B$5),OR(Filter!$E$5="(alle)",$K497=Filter!$E$5),OR(Filter!$H$5="(alle)",$C497=Filter!$H$5),OR(Filter!$B$7="(alle)",$E497=Filter!$B$7),OR(Filter!$E$7="(alle)",ISNUMBER(SEARCH(Filter!$E$7,$J497))),OR(Filter!$H$7="(alle)",ISNUMBER(SEARCH(Filter!$H$7,$I497))),OR(Filter!$B$9="",ISNUMBER(SEARCH(Filter!$B$9,$F497&amp;" "&amp;$G497)))),COUNTIF($O$6:$O496,"&gt;0")+1,0))</f>
        <v>491</v>
      </c>
    </row>
    <row r="498" customFormat="false" ht="102" hidden="false" customHeight="true" outlineLevel="0" collapsed="false">
      <c r="B498" s="30" t="s">
        <v>2559</v>
      </c>
      <c r="C498" s="30" t="s">
        <v>286</v>
      </c>
      <c r="D498" s="30" t="s">
        <v>2560</v>
      </c>
      <c r="E498" s="30" t="s">
        <v>344</v>
      </c>
      <c r="F498" s="30" t="s">
        <v>2561</v>
      </c>
      <c r="G498" s="30" t="s">
        <v>2562</v>
      </c>
      <c r="H498" s="30" t="s">
        <v>2563</v>
      </c>
      <c r="I498" s="30" t="s">
        <v>306</v>
      </c>
      <c r="J498" s="30" t="s">
        <v>206</v>
      </c>
      <c r="K498" s="31" t="s">
        <v>47</v>
      </c>
      <c r="L498" s="32"/>
      <c r="M498" s="30"/>
      <c r="N498" s="30" t="s">
        <v>48</v>
      </c>
      <c r="O498" s="1" t="n">
        <f aca="false">IF($B498="",0,IF(AND(OR(Filter!$B$5="(alle)",$N498=Filter!$B$5),OR(Filter!$E$5="(alle)",$K498=Filter!$E$5),OR(Filter!$H$5="(alle)",$C498=Filter!$H$5),OR(Filter!$B$7="(alle)",$E498=Filter!$B$7),OR(Filter!$E$7="(alle)",ISNUMBER(SEARCH(Filter!$E$7,$J498))),OR(Filter!$H$7="(alle)",ISNUMBER(SEARCH(Filter!$H$7,$I498))),OR(Filter!$B$9="",ISNUMBER(SEARCH(Filter!$B$9,$F498&amp;" "&amp;$G498)))),COUNTIF($O$6:$O497,"&gt;0")+1,0))</f>
        <v>492</v>
      </c>
    </row>
    <row r="499" customFormat="false" ht="153" hidden="false" customHeight="true" outlineLevel="0" collapsed="false">
      <c r="B499" s="30" t="s">
        <v>2564</v>
      </c>
      <c r="C499" s="30" t="s">
        <v>286</v>
      </c>
      <c r="D499" s="30" t="s">
        <v>2565</v>
      </c>
      <c r="E499" s="30" t="s">
        <v>344</v>
      </c>
      <c r="F499" s="30" t="s">
        <v>2566</v>
      </c>
      <c r="G499" s="30" t="s">
        <v>2567</v>
      </c>
      <c r="H499" s="30" t="s">
        <v>2568</v>
      </c>
      <c r="I499" s="30" t="s">
        <v>476</v>
      </c>
      <c r="J499" s="30" t="s">
        <v>476</v>
      </c>
      <c r="K499" s="31" t="s">
        <v>47</v>
      </c>
      <c r="L499" s="32"/>
      <c r="M499" s="30"/>
      <c r="N499" s="30" t="s">
        <v>48</v>
      </c>
      <c r="O499" s="1" t="n">
        <f aca="false">IF($B499="",0,IF(AND(OR(Filter!$B$5="(alle)",$N499=Filter!$B$5),OR(Filter!$E$5="(alle)",$K499=Filter!$E$5),OR(Filter!$H$5="(alle)",$C499=Filter!$H$5),OR(Filter!$B$7="(alle)",$E499=Filter!$B$7),OR(Filter!$E$7="(alle)",ISNUMBER(SEARCH(Filter!$E$7,$J499))),OR(Filter!$H$7="(alle)",ISNUMBER(SEARCH(Filter!$H$7,$I499))),OR(Filter!$B$9="",ISNUMBER(SEARCH(Filter!$B$9,$F499&amp;" "&amp;$G499)))),COUNTIF($O$6:$O498,"&gt;0")+1,0))</f>
        <v>493</v>
      </c>
    </row>
    <row r="500" customFormat="false" ht="191.25" hidden="false" customHeight="true" outlineLevel="0" collapsed="false">
      <c r="B500" s="30" t="s">
        <v>2569</v>
      </c>
      <c r="C500" s="30" t="s">
        <v>286</v>
      </c>
      <c r="D500" s="30" t="s">
        <v>2570</v>
      </c>
      <c r="E500" s="30" t="s">
        <v>344</v>
      </c>
      <c r="F500" s="30" t="s">
        <v>2571</v>
      </c>
      <c r="G500" s="30" t="s">
        <v>2572</v>
      </c>
      <c r="H500" s="30" t="s">
        <v>2573</v>
      </c>
      <c r="I500" s="30" t="s">
        <v>306</v>
      </c>
      <c r="J500" s="30" t="s">
        <v>206</v>
      </c>
      <c r="K500" s="31" t="s">
        <v>47</v>
      </c>
      <c r="L500" s="32"/>
      <c r="M500" s="30"/>
      <c r="N500" s="30" t="s">
        <v>48</v>
      </c>
      <c r="O500" s="1" t="n">
        <f aca="false">IF($B500="",0,IF(AND(OR(Filter!$B$5="(alle)",$N500=Filter!$B$5),OR(Filter!$E$5="(alle)",$K500=Filter!$E$5),OR(Filter!$H$5="(alle)",$C500=Filter!$H$5),OR(Filter!$B$7="(alle)",$E500=Filter!$B$7),OR(Filter!$E$7="(alle)",ISNUMBER(SEARCH(Filter!$E$7,$J500))),OR(Filter!$H$7="(alle)",ISNUMBER(SEARCH(Filter!$H$7,$I500))),OR(Filter!$B$9="",ISNUMBER(SEARCH(Filter!$B$9,$F500&amp;" "&amp;$G500)))),COUNTIF($O$6:$O499,"&gt;0")+1,0))</f>
        <v>494</v>
      </c>
    </row>
    <row r="501" customFormat="false" ht="51" hidden="false" customHeight="true" outlineLevel="0" collapsed="false">
      <c r="B501" s="30" t="s">
        <v>2574</v>
      </c>
      <c r="C501" s="30" t="s">
        <v>286</v>
      </c>
      <c r="D501" s="30" t="s">
        <v>2575</v>
      </c>
      <c r="E501" s="30" t="s">
        <v>344</v>
      </c>
      <c r="F501" s="30" t="s">
        <v>2576</v>
      </c>
      <c r="G501" s="30" t="s">
        <v>2577</v>
      </c>
      <c r="H501" s="30" t="s">
        <v>2578</v>
      </c>
      <c r="I501" s="30" t="s">
        <v>306</v>
      </c>
      <c r="J501" s="30" t="s">
        <v>206</v>
      </c>
      <c r="K501" s="31" t="s">
        <v>151</v>
      </c>
      <c r="L501" s="32"/>
      <c r="M501" s="30" t="s">
        <v>629</v>
      </c>
      <c r="N501" s="30" t="s">
        <v>48</v>
      </c>
      <c r="O501" s="1" t="n">
        <f aca="false">IF($B501="",0,IF(AND(OR(Filter!$B$5="(alle)",$N501=Filter!$B$5),OR(Filter!$E$5="(alle)",$K501=Filter!$E$5),OR(Filter!$H$5="(alle)",$C501=Filter!$H$5),OR(Filter!$B$7="(alle)",$E501=Filter!$B$7),OR(Filter!$E$7="(alle)",ISNUMBER(SEARCH(Filter!$E$7,$J501))),OR(Filter!$H$7="(alle)",ISNUMBER(SEARCH(Filter!$H$7,$I501))),OR(Filter!$B$9="",ISNUMBER(SEARCH(Filter!$B$9,$F501&amp;" "&amp;$G501)))),COUNTIF($O$6:$O500,"&gt;0")+1,0))</f>
        <v>495</v>
      </c>
    </row>
    <row r="502" customFormat="false" ht="51" hidden="false" customHeight="true" outlineLevel="0" collapsed="false">
      <c r="B502" s="30" t="s">
        <v>2579</v>
      </c>
      <c r="C502" s="30" t="s">
        <v>286</v>
      </c>
      <c r="D502" s="30" t="s">
        <v>2580</v>
      </c>
      <c r="E502" s="30" t="s">
        <v>344</v>
      </c>
      <c r="F502" s="30" t="s">
        <v>2581</v>
      </c>
      <c r="G502" s="30" t="s">
        <v>2582</v>
      </c>
      <c r="H502" s="30" t="s">
        <v>2583</v>
      </c>
      <c r="I502" s="30" t="s">
        <v>306</v>
      </c>
      <c r="J502" s="30" t="s">
        <v>206</v>
      </c>
      <c r="K502" s="31" t="s">
        <v>47</v>
      </c>
      <c r="L502" s="32"/>
      <c r="M502" s="30"/>
      <c r="N502" s="30" t="s">
        <v>48</v>
      </c>
      <c r="O502" s="1" t="n">
        <f aca="false">IF($B502="",0,IF(AND(OR(Filter!$B$5="(alle)",$N502=Filter!$B$5),OR(Filter!$E$5="(alle)",$K502=Filter!$E$5),OR(Filter!$H$5="(alle)",$C502=Filter!$H$5),OR(Filter!$B$7="(alle)",$E502=Filter!$B$7),OR(Filter!$E$7="(alle)",ISNUMBER(SEARCH(Filter!$E$7,$J502))),OR(Filter!$H$7="(alle)",ISNUMBER(SEARCH(Filter!$H$7,$I502))),OR(Filter!$B$9="",ISNUMBER(SEARCH(Filter!$B$9,$F502&amp;" "&amp;$G502)))),COUNTIF($O$6:$O501,"&gt;0")+1,0))</f>
        <v>496</v>
      </c>
    </row>
    <row r="503" customFormat="false" ht="38.25" hidden="false" customHeight="true" outlineLevel="0" collapsed="false">
      <c r="B503" s="30" t="s">
        <v>2584</v>
      </c>
      <c r="C503" s="30" t="s">
        <v>286</v>
      </c>
      <c r="D503" s="30" t="s">
        <v>2585</v>
      </c>
      <c r="E503" s="30" t="s">
        <v>344</v>
      </c>
      <c r="F503" s="30" t="s">
        <v>2586</v>
      </c>
      <c r="G503" s="30" t="s">
        <v>2587</v>
      </c>
      <c r="H503" s="30" t="s">
        <v>2588</v>
      </c>
      <c r="I503" s="30" t="s">
        <v>306</v>
      </c>
      <c r="J503" s="30" t="s">
        <v>206</v>
      </c>
      <c r="K503" s="31" t="s">
        <v>47</v>
      </c>
      <c r="L503" s="32"/>
      <c r="M503" s="30"/>
      <c r="N503" s="30" t="s">
        <v>48</v>
      </c>
      <c r="O503" s="1" t="n">
        <f aca="false">IF($B503="",0,IF(AND(OR(Filter!$B$5="(alle)",$N503=Filter!$B$5),OR(Filter!$E$5="(alle)",$K503=Filter!$E$5),OR(Filter!$H$5="(alle)",$C503=Filter!$H$5),OR(Filter!$B$7="(alle)",$E503=Filter!$B$7),OR(Filter!$E$7="(alle)",ISNUMBER(SEARCH(Filter!$E$7,$J503))),OR(Filter!$H$7="(alle)",ISNUMBER(SEARCH(Filter!$H$7,$I503))),OR(Filter!$B$9="",ISNUMBER(SEARCH(Filter!$B$9,$F503&amp;" "&amp;$G503)))),COUNTIF($O$6:$O502,"&gt;0")+1,0))</f>
        <v>497</v>
      </c>
    </row>
    <row r="504" customFormat="false" ht="51" hidden="false" customHeight="true" outlineLevel="0" collapsed="false">
      <c r="B504" s="30" t="s">
        <v>2589</v>
      </c>
      <c r="C504" s="30" t="s">
        <v>286</v>
      </c>
      <c r="D504" s="30" t="s">
        <v>2590</v>
      </c>
      <c r="E504" s="30" t="s">
        <v>344</v>
      </c>
      <c r="F504" s="30" t="s">
        <v>2591</v>
      </c>
      <c r="G504" s="30" t="s">
        <v>2592</v>
      </c>
      <c r="H504" s="30" t="s">
        <v>2593</v>
      </c>
      <c r="I504" s="30" t="s">
        <v>306</v>
      </c>
      <c r="J504" s="30" t="s">
        <v>206</v>
      </c>
      <c r="K504" s="31" t="s">
        <v>47</v>
      </c>
      <c r="L504" s="32"/>
      <c r="M504" s="30"/>
      <c r="N504" s="30" t="s">
        <v>48</v>
      </c>
      <c r="O504" s="1" t="n">
        <f aca="false">IF($B504="",0,IF(AND(OR(Filter!$B$5="(alle)",$N504=Filter!$B$5),OR(Filter!$E$5="(alle)",$K504=Filter!$E$5),OR(Filter!$H$5="(alle)",$C504=Filter!$H$5),OR(Filter!$B$7="(alle)",$E504=Filter!$B$7),OR(Filter!$E$7="(alle)",ISNUMBER(SEARCH(Filter!$E$7,$J504))),OR(Filter!$H$7="(alle)",ISNUMBER(SEARCH(Filter!$H$7,$I504))),OR(Filter!$B$9="",ISNUMBER(SEARCH(Filter!$B$9,$F504&amp;" "&amp;$G504)))),COUNTIF($O$6:$O503,"&gt;0")+1,0))</f>
        <v>498</v>
      </c>
    </row>
    <row r="505" customFormat="false" ht="38.25" hidden="false" customHeight="true" outlineLevel="0" collapsed="false">
      <c r="B505" s="30" t="s">
        <v>2594</v>
      </c>
      <c r="C505" s="30" t="s">
        <v>286</v>
      </c>
      <c r="D505" s="30" t="s">
        <v>2595</v>
      </c>
      <c r="E505" s="30" t="s">
        <v>344</v>
      </c>
      <c r="F505" s="30" t="s">
        <v>2596</v>
      </c>
      <c r="G505" s="30" t="s">
        <v>2597</v>
      </c>
      <c r="H505" s="30" t="s">
        <v>2598</v>
      </c>
      <c r="I505" s="30" t="s">
        <v>306</v>
      </c>
      <c r="J505" s="30" t="s">
        <v>206</v>
      </c>
      <c r="K505" s="31" t="s">
        <v>47</v>
      </c>
      <c r="L505" s="32"/>
      <c r="M505" s="30"/>
      <c r="N505" s="30" t="s">
        <v>48</v>
      </c>
      <c r="O505" s="1" t="n">
        <f aca="false">IF($B505="",0,IF(AND(OR(Filter!$B$5="(alle)",$N505=Filter!$B$5),OR(Filter!$E$5="(alle)",$K505=Filter!$E$5),OR(Filter!$H$5="(alle)",$C505=Filter!$H$5),OR(Filter!$B$7="(alle)",$E505=Filter!$B$7),OR(Filter!$E$7="(alle)",ISNUMBER(SEARCH(Filter!$E$7,$J505))),OR(Filter!$H$7="(alle)",ISNUMBER(SEARCH(Filter!$H$7,$I505))),OR(Filter!$B$9="",ISNUMBER(SEARCH(Filter!$B$9,$F505&amp;" "&amp;$G505)))),COUNTIF($O$6:$O504,"&gt;0")+1,0))</f>
        <v>499</v>
      </c>
    </row>
    <row r="506" customFormat="false" ht="76.5" hidden="false" customHeight="true" outlineLevel="0" collapsed="false">
      <c r="B506" s="30" t="s">
        <v>2599</v>
      </c>
      <c r="C506" s="30" t="s">
        <v>286</v>
      </c>
      <c r="D506" s="30" t="s">
        <v>2600</v>
      </c>
      <c r="E506" s="30" t="s">
        <v>102</v>
      </c>
      <c r="F506" s="30" t="s">
        <v>2601</v>
      </c>
      <c r="G506" s="30" t="s">
        <v>2602</v>
      </c>
      <c r="H506" s="30" t="s">
        <v>2603</v>
      </c>
      <c r="I506" s="30" t="s">
        <v>543</v>
      </c>
      <c r="J506" s="30" t="s">
        <v>544</v>
      </c>
      <c r="K506" s="31" t="s">
        <v>47</v>
      </c>
      <c r="L506" s="32"/>
      <c r="M506" s="30"/>
      <c r="N506" s="30" t="s">
        <v>48</v>
      </c>
      <c r="O506" s="1" t="n">
        <f aca="false">IF($B506="",0,IF(AND(OR(Filter!$B$5="(alle)",$N506=Filter!$B$5),OR(Filter!$E$5="(alle)",$K506=Filter!$E$5),OR(Filter!$H$5="(alle)",$C506=Filter!$H$5),OR(Filter!$B$7="(alle)",$E506=Filter!$B$7),OR(Filter!$E$7="(alle)",ISNUMBER(SEARCH(Filter!$E$7,$J506))),OR(Filter!$H$7="(alle)",ISNUMBER(SEARCH(Filter!$H$7,$I506))),OR(Filter!$B$9="",ISNUMBER(SEARCH(Filter!$B$9,$F506&amp;" "&amp;$G506)))),COUNTIF($O$6:$O505,"&gt;0")+1,0))</f>
        <v>500</v>
      </c>
    </row>
    <row r="507" customFormat="false" ht="63.75" hidden="false" customHeight="true" outlineLevel="0" collapsed="false">
      <c r="B507" s="30" t="s">
        <v>2604</v>
      </c>
      <c r="C507" s="30" t="s">
        <v>286</v>
      </c>
      <c r="D507" s="30" t="s">
        <v>2605</v>
      </c>
      <c r="E507" s="30" t="s">
        <v>344</v>
      </c>
      <c r="F507" s="30" t="s">
        <v>2606</v>
      </c>
      <c r="G507" s="30" t="s">
        <v>2607</v>
      </c>
      <c r="H507" s="30" t="s">
        <v>2608</v>
      </c>
      <c r="I507" s="30" t="s">
        <v>306</v>
      </c>
      <c r="J507" s="30" t="s">
        <v>206</v>
      </c>
      <c r="K507" s="31" t="s">
        <v>47</v>
      </c>
      <c r="L507" s="32"/>
      <c r="M507" s="30"/>
      <c r="N507" s="30" t="s">
        <v>48</v>
      </c>
      <c r="O507" s="1" t="n">
        <f aca="false">IF($B507="",0,IF(AND(OR(Filter!$B$5="(alle)",$N507=Filter!$B$5),OR(Filter!$E$5="(alle)",$K507=Filter!$E$5),OR(Filter!$H$5="(alle)",$C507=Filter!$H$5),OR(Filter!$B$7="(alle)",$E507=Filter!$B$7),OR(Filter!$E$7="(alle)",ISNUMBER(SEARCH(Filter!$E$7,$J507))),OR(Filter!$H$7="(alle)",ISNUMBER(SEARCH(Filter!$H$7,$I507))),OR(Filter!$B$9="",ISNUMBER(SEARCH(Filter!$B$9,$F507&amp;" "&amp;$G507)))),COUNTIF($O$6:$O506,"&gt;0")+1,0))</f>
        <v>501</v>
      </c>
    </row>
    <row r="508" customFormat="false" ht="76.5" hidden="false" customHeight="true" outlineLevel="0" collapsed="false">
      <c r="B508" s="30" t="s">
        <v>2609</v>
      </c>
      <c r="C508" s="30" t="s">
        <v>286</v>
      </c>
      <c r="D508" s="30" t="s">
        <v>2610</v>
      </c>
      <c r="E508" s="30" t="s">
        <v>155</v>
      </c>
      <c r="F508" s="30" t="s">
        <v>2611</v>
      </c>
      <c r="G508" s="30" t="s">
        <v>2612</v>
      </c>
      <c r="H508" s="30" t="s">
        <v>2613</v>
      </c>
      <c r="I508" s="30" t="s">
        <v>476</v>
      </c>
      <c r="J508" s="30" t="s">
        <v>476</v>
      </c>
      <c r="K508" s="31" t="s">
        <v>47</v>
      </c>
      <c r="L508" s="32"/>
      <c r="M508" s="30"/>
      <c r="N508" s="30" t="s">
        <v>48</v>
      </c>
      <c r="O508" s="1" t="n">
        <f aca="false">IF($B508="",0,IF(AND(OR(Filter!$B$5="(alle)",$N508=Filter!$B$5),OR(Filter!$E$5="(alle)",$K508=Filter!$E$5),OR(Filter!$H$5="(alle)",$C508=Filter!$H$5),OR(Filter!$B$7="(alle)",$E508=Filter!$B$7),OR(Filter!$E$7="(alle)",ISNUMBER(SEARCH(Filter!$E$7,$J508))),OR(Filter!$H$7="(alle)",ISNUMBER(SEARCH(Filter!$H$7,$I508))),OR(Filter!$B$9="",ISNUMBER(SEARCH(Filter!$B$9,$F508&amp;" "&amp;$G508)))),COUNTIF($O$6:$O507,"&gt;0")+1,0))</f>
        <v>502</v>
      </c>
    </row>
    <row r="509" customFormat="false" ht="63.75" hidden="false" customHeight="true" outlineLevel="0" collapsed="false">
      <c r="B509" s="30" t="s">
        <v>2614</v>
      </c>
      <c r="C509" s="30" t="s">
        <v>286</v>
      </c>
      <c r="D509" s="30" t="s">
        <v>2615</v>
      </c>
      <c r="E509" s="30" t="s">
        <v>42</v>
      </c>
      <c r="F509" s="30" t="s">
        <v>2427</v>
      </c>
      <c r="G509" s="30" t="s">
        <v>2616</v>
      </c>
      <c r="H509" s="30" t="s">
        <v>2617</v>
      </c>
      <c r="I509" s="30" t="s">
        <v>2618</v>
      </c>
      <c r="J509" s="30" t="s">
        <v>2619</v>
      </c>
      <c r="K509" s="31" t="s">
        <v>47</v>
      </c>
      <c r="L509" s="32"/>
      <c r="M509" s="30"/>
      <c r="N509" s="30" t="s">
        <v>65</v>
      </c>
      <c r="O509" s="1" t="n">
        <f aca="false">IF($B509="",0,IF(AND(OR(Filter!$B$5="(alle)",$N509=Filter!$B$5),OR(Filter!$E$5="(alle)",$K509=Filter!$E$5),OR(Filter!$H$5="(alle)",$C509=Filter!$H$5),OR(Filter!$B$7="(alle)",$E509=Filter!$B$7),OR(Filter!$E$7="(alle)",ISNUMBER(SEARCH(Filter!$E$7,$J509))),OR(Filter!$H$7="(alle)",ISNUMBER(SEARCH(Filter!$H$7,$I509))),OR(Filter!$B$9="",ISNUMBER(SEARCH(Filter!$B$9,$F509&amp;" "&amp;$G509)))),COUNTIF($O$6:$O508,"&gt;0")+1,0))</f>
        <v>503</v>
      </c>
    </row>
    <row r="510" customFormat="false" ht="63.75" hidden="false" customHeight="true" outlineLevel="0" collapsed="false">
      <c r="B510" s="30" t="s">
        <v>2620</v>
      </c>
      <c r="C510" s="30" t="s">
        <v>286</v>
      </c>
      <c r="D510" s="30" t="s">
        <v>2621</v>
      </c>
      <c r="E510" s="30" t="s">
        <v>331</v>
      </c>
      <c r="F510" s="30" t="s">
        <v>2524</v>
      </c>
      <c r="G510" s="30" t="s">
        <v>2622</v>
      </c>
      <c r="H510" s="30" t="s">
        <v>2623</v>
      </c>
      <c r="I510" s="30" t="s">
        <v>306</v>
      </c>
      <c r="J510" s="30" t="s">
        <v>206</v>
      </c>
      <c r="K510" s="31" t="s">
        <v>151</v>
      </c>
      <c r="L510" s="32"/>
      <c r="M510" s="30" t="s">
        <v>370</v>
      </c>
      <c r="N510" s="30" t="s">
        <v>48</v>
      </c>
      <c r="O510" s="1" t="n">
        <f aca="false">IF($B510="",0,IF(AND(OR(Filter!$B$5="(alle)",$N510=Filter!$B$5),OR(Filter!$E$5="(alle)",$K510=Filter!$E$5),OR(Filter!$H$5="(alle)",$C510=Filter!$H$5),OR(Filter!$B$7="(alle)",$E510=Filter!$B$7),OR(Filter!$E$7="(alle)",ISNUMBER(SEARCH(Filter!$E$7,$J510))),OR(Filter!$H$7="(alle)",ISNUMBER(SEARCH(Filter!$H$7,$I510))),OR(Filter!$B$9="",ISNUMBER(SEARCH(Filter!$B$9,$F510&amp;" "&amp;$G510)))),COUNTIF($O$6:$O509,"&gt;0")+1,0))</f>
        <v>504</v>
      </c>
    </row>
    <row r="511" customFormat="false" ht="153" hidden="false" customHeight="true" outlineLevel="0" collapsed="false">
      <c r="B511" s="30" t="s">
        <v>2624</v>
      </c>
      <c r="C511" s="30" t="s">
        <v>286</v>
      </c>
      <c r="D511" s="30" t="s">
        <v>2625</v>
      </c>
      <c r="E511" s="30" t="s">
        <v>604</v>
      </c>
      <c r="F511" s="30" t="s">
        <v>2626</v>
      </c>
      <c r="G511" s="30" t="s">
        <v>2627</v>
      </c>
      <c r="H511" s="30" t="s">
        <v>2628</v>
      </c>
      <c r="I511" s="30" t="s">
        <v>158</v>
      </c>
      <c r="J511" s="30" t="s">
        <v>159</v>
      </c>
      <c r="K511" s="31" t="s">
        <v>47</v>
      </c>
      <c r="L511" s="32"/>
      <c r="M511" s="30"/>
      <c r="N511" s="30" t="s">
        <v>48</v>
      </c>
      <c r="O511" s="1" t="n">
        <f aca="false">IF($B511="",0,IF(AND(OR(Filter!$B$5="(alle)",$N511=Filter!$B$5),OR(Filter!$E$5="(alle)",$K511=Filter!$E$5),OR(Filter!$H$5="(alle)",$C511=Filter!$H$5),OR(Filter!$B$7="(alle)",$E511=Filter!$B$7),OR(Filter!$E$7="(alle)",ISNUMBER(SEARCH(Filter!$E$7,$J511))),OR(Filter!$H$7="(alle)",ISNUMBER(SEARCH(Filter!$H$7,$I511))),OR(Filter!$B$9="",ISNUMBER(SEARCH(Filter!$B$9,$F511&amp;" "&amp;$G511)))),COUNTIF($O$6:$O510,"&gt;0")+1,0))</f>
        <v>505</v>
      </c>
    </row>
    <row r="512" customFormat="false" ht="51" hidden="false" customHeight="true" outlineLevel="0" collapsed="false">
      <c r="B512" s="30" t="s">
        <v>2629</v>
      </c>
      <c r="C512" s="30" t="s">
        <v>286</v>
      </c>
      <c r="D512" s="30" t="s">
        <v>2630</v>
      </c>
      <c r="E512" s="30" t="s">
        <v>361</v>
      </c>
      <c r="F512" s="30" t="s">
        <v>2631</v>
      </c>
      <c r="G512" s="30" t="s">
        <v>2632</v>
      </c>
      <c r="H512" s="30" t="s">
        <v>2633</v>
      </c>
      <c r="I512" s="30" t="s">
        <v>306</v>
      </c>
      <c r="J512" s="30" t="s">
        <v>206</v>
      </c>
      <c r="K512" s="31" t="s">
        <v>47</v>
      </c>
      <c r="L512" s="32"/>
      <c r="M512" s="30"/>
      <c r="N512" s="30" t="s">
        <v>48</v>
      </c>
      <c r="O512" s="1" t="n">
        <f aca="false">IF($B512="",0,IF(AND(OR(Filter!$B$5="(alle)",$N512=Filter!$B$5),OR(Filter!$E$5="(alle)",$K512=Filter!$E$5),OR(Filter!$H$5="(alle)",$C512=Filter!$H$5),OR(Filter!$B$7="(alle)",$E512=Filter!$B$7),OR(Filter!$E$7="(alle)",ISNUMBER(SEARCH(Filter!$E$7,$J512))),OR(Filter!$H$7="(alle)",ISNUMBER(SEARCH(Filter!$H$7,$I512))),OR(Filter!$B$9="",ISNUMBER(SEARCH(Filter!$B$9,$F512&amp;" "&amp;$G512)))),COUNTIF($O$6:$O511,"&gt;0")+1,0))</f>
        <v>506</v>
      </c>
    </row>
    <row r="513" customFormat="false" ht="102" hidden="false" customHeight="true" outlineLevel="0" collapsed="false">
      <c r="B513" s="30" t="s">
        <v>2634</v>
      </c>
      <c r="C513" s="30" t="s">
        <v>286</v>
      </c>
      <c r="D513" s="30" t="s">
        <v>2635</v>
      </c>
      <c r="E513" s="30" t="s">
        <v>94</v>
      </c>
      <c r="F513" s="30" t="s">
        <v>2636</v>
      </c>
      <c r="G513" s="30" t="s">
        <v>2637</v>
      </c>
      <c r="H513" s="30" t="s">
        <v>2638</v>
      </c>
      <c r="I513" s="30" t="s">
        <v>98</v>
      </c>
      <c r="J513" s="30" t="s">
        <v>2639</v>
      </c>
      <c r="K513" s="31" t="s">
        <v>47</v>
      </c>
      <c r="L513" s="32"/>
      <c r="M513" s="30"/>
      <c r="N513" s="30" t="s">
        <v>65</v>
      </c>
      <c r="O513" s="1" t="n">
        <f aca="false">IF($B513="",0,IF(AND(OR(Filter!$B$5="(alle)",$N513=Filter!$B$5),OR(Filter!$E$5="(alle)",$K513=Filter!$E$5),OR(Filter!$H$5="(alle)",$C513=Filter!$H$5),OR(Filter!$B$7="(alle)",$E513=Filter!$B$7),OR(Filter!$E$7="(alle)",ISNUMBER(SEARCH(Filter!$E$7,$J513))),OR(Filter!$H$7="(alle)",ISNUMBER(SEARCH(Filter!$H$7,$I513))),OR(Filter!$B$9="",ISNUMBER(SEARCH(Filter!$B$9,$F513&amp;" "&amp;$G513)))),COUNTIF($O$6:$O512,"&gt;0")+1,0))</f>
        <v>507</v>
      </c>
    </row>
    <row r="514" customFormat="false" ht="89.25" hidden="false" customHeight="true" outlineLevel="0" collapsed="false">
      <c r="B514" s="30" t="s">
        <v>2640</v>
      </c>
      <c r="C514" s="30" t="s">
        <v>286</v>
      </c>
      <c r="D514" s="30" t="s">
        <v>2641</v>
      </c>
      <c r="E514" s="30" t="s">
        <v>344</v>
      </c>
      <c r="F514" s="30" t="s">
        <v>2642</v>
      </c>
      <c r="G514" s="30" t="s">
        <v>2643</v>
      </c>
      <c r="H514" s="30" t="s">
        <v>2644</v>
      </c>
      <c r="I514" s="30" t="s">
        <v>306</v>
      </c>
      <c r="J514" s="30" t="s">
        <v>206</v>
      </c>
      <c r="K514" s="31" t="s">
        <v>47</v>
      </c>
      <c r="L514" s="32"/>
      <c r="M514" s="30"/>
      <c r="N514" s="30" t="s">
        <v>48</v>
      </c>
      <c r="O514" s="1" t="n">
        <f aca="false">IF($B514="",0,IF(AND(OR(Filter!$B$5="(alle)",$N514=Filter!$B$5),OR(Filter!$E$5="(alle)",$K514=Filter!$E$5),OR(Filter!$H$5="(alle)",$C514=Filter!$H$5),OR(Filter!$B$7="(alle)",$E514=Filter!$B$7),OR(Filter!$E$7="(alle)",ISNUMBER(SEARCH(Filter!$E$7,$J514))),OR(Filter!$H$7="(alle)",ISNUMBER(SEARCH(Filter!$H$7,$I514))),OR(Filter!$B$9="",ISNUMBER(SEARCH(Filter!$B$9,$F514&amp;" "&amp;$G514)))),COUNTIF($O$6:$O513,"&gt;0")+1,0))</f>
        <v>508</v>
      </c>
    </row>
    <row r="515" customFormat="false" ht="76.5" hidden="false" customHeight="true" outlineLevel="0" collapsed="false">
      <c r="B515" s="30" t="s">
        <v>2645</v>
      </c>
      <c r="C515" s="30" t="s">
        <v>286</v>
      </c>
      <c r="D515" s="30" t="s">
        <v>2646</v>
      </c>
      <c r="E515" s="30" t="s">
        <v>155</v>
      </c>
      <c r="F515" s="30" t="s">
        <v>2647</v>
      </c>
      <c r="G515" s="30" t="s">
        <v>2648</v>
      </c>
      <c r="H515" s="30" t="s">
        <v>2649</v>
      </c>
      <c r="I515" s="30" t="s">
        <v>476</v>
      </c>
      <c r="J515" s="30" t="s">
        <v>476</v>
      </c>
      <c r="K515" s="31" t="s">
        <v>47</v>
      </c>
      <c r="L515" s="32"/>
      <c r="M515" s="30"/>
      <c r="N515" s="30" t="s">
        <v>48</v>
      </c>
      <c r="O515" s="1" t="n">
        <f aca="false">IF($B515="",0,IF(AND(OR(Filter!$B$5="(alle)",$N515=Filter!$B$5),OR(Filter!$E$5="(alle)",$K515=Filter!$E$5),OR(Filter!$H$5="(alle)",$C515=Filter!$H$5),OR(Filter!$B$7="(alle)",$E515=Filter!$B$7),OR(Filter!$E$7="(alle)",ISNUMBER(SEARCH(Filter!$E$7,$J515))),OR(Filter!$H$7="(alle)",ISNUMBER(SEARCH(Filter!$H$7,$I515))),OR(Filter!$B$9="",ISNUMBER(SEARCH(Filter!$B$9,$F515&amp;" "&amp;$G515)))),COUNTIF($O$6:$O514,"&gt;0")+1,0))</f>
        <v>509</v>
      </c>
    </row>
    <row r="516" customFormat="false" ht="89.25" hidden="false" customHeight="true" outlineLevel="0" collapsed="false">
      <c r="B516" s="30" t="s">
        <v>2650</v>
      </c>
      <c r="C516" s="30" t="s">
        <v>286</v>
      </c>
      <c r="D516" s="30" t="s">
        <v>2651</v>
      </c>
      <c r="E516" s="30" t="s">
        <v>361</v>
      </c>
      <c r="F516" s="30" t="s">
        <v>2652</v>
      </c>
      <c r="G516" s="30" t="s">
        <v>2653</v>
      </c>
      <c r="H516" s="30" t="s">
        <v>2654</v>
      </c>
      <c r="I516" s="30" t="s">
        <v>306</v>
      </c>
      <c r="J516" s="30" t="s">
        <v>206</v>
      </c>
      <c r="K516" s="31" t="s">
        <v>47</v>
      </c>
      <c r="L516" s="32"/>
      <c r="M516" s="30"/>
      <c r="N516" s="30" t="s">
        <v>48</v>
      </c>
      <c r="O516" s="1" t="n">
        <f aca="false">IF($B516="",0,IF(AND(OR(Filter!$B$5="(alle)",$N516=Filter!$B$5),OR(Filter!$E$5="(alle)",$K516=Filter!$E$5),OR(Filter!$H$5="(alle)",$C516=Filter!$H$5),OR(Filter!$B$7="(alle)",$E516=Filter!$B$7),OR(Filter!$E$7="(alle)",ISNUMBER(SEARCH(Filter!$E$7,$J516))),OR(Filter!$H$7="(alle)",ISNUMBER(SEARCH(Filter!$H$7,$I516))),OR(Filter!$B$9="",ISNUMBER(SEARCH(Filter!$B$9,$F516&amp;" "&amp;$G516)))),COUNTIF($O$6:$O515,"&gt;0")+1,0))</f>
        <v>510</v>
      </c>
    </row>
    <row r="517" customFormat="false" ht="204" hidden="false" customHeight="true" outlineLevel="0" collapsed="false">
      <c r="B517" s="30" t="s">
        <v>2655</v>
      </c>
      <c r="C517" s="30" t="s">
        <v>286</v>
      </c>
      <c r="D517" s="30" t="s">
        <v>2656</v>
      </c>
      <c r="E517" s="30" t="s">
        <v>155</v>
      </c>
      <c r="F517" s="30" t="s">
        <v>2657</v>
      </c>
      <c r="G517" s="30" t="s">
        <v>2658</v>
      </c>
      <c r="H517" s="30" t="s">
        <v>2659</v>
      </c>
      <c r="I517" s="30" t="s">
        <v>290</v>
      </c>
      <c r="J517" s="30" t="s">
        <v>808</v>
      </c>
      <c r="K517" s="31" t="s">
        <v>47</v>
      </c>
      <c r="L517" s="32"/>
      <c r="M517" s="30"/>
      <c r="N517" s="30" t="s">
        <v>48</v>
      </c>
      <c r="O517" s="1" t="n">
        <f aca="false">IF($B517="",0,IF(AND(OR(Filter!$B$5="(alle)",$N517=Filter!$B$5),OR(Filter!$E$5="(alle)",$K517=Filter!$E$5),OR(Filter!$H$5="(alle)",$C517=Filter!$H$5),OR(Filter!$B$7="(alle)",$E517=Filter!$B$7),OR(Filter!$E$7="(alle)",ISNUMBER(SEARCH(Filter!$E$7,$J517))),OR(Filter!$H$7="(alle)",ISNUMBER(SEARCH(Filter!$H$7,$I517))),OR(Filter!$B$9="",ISNUMBER(SEARCH(Filter!$B$9,$F517&amp;" "&amp;$G517)))),COUNTIF($O$6:$O516,"&gt;0")+1,0))</f>
        <v>511</v>
      </c>
    </row>
    <row r="518" customFormat="false" ht="76.5" hidden="false" customHeight="true" outlineLevel="0" collapsed="false">
      <c r="B518" s="30" t="s">
        <v>2660</v>
      </c>
      <c r="C518" s="30" t="s">
        <v>286</v>
      </c>
      <c r="D518" s="30" t="s">
        <v>2661</v>
      </c>
      <c r="E518" s="30" t="s">
        <v>210</v>
      </c>
      <c r="F518" s="30" t="s">
        <v>2662</v>
      </c>
      <c r="G518" s="30" t="s">
        <v>2663</v>
      </c>
      <c r="H518" s="30" t="s">
        <v>2664</v>
      </c>
      <c r="I518" s="30" t="s">
        <v>306</v>
      </c>
      <c r="J518" s="30" t="s">
        <v>206</v>
      </c>
      <c r="K518" s="31" t="s">
        <v>47</v>
      </c>
      <c r="L518" s="32"/>
      <c r="M518" s="30"/>
      <c r="N518" s="30" t="s">
        <v>48</v>
      </c>
      <c r="O518" s="1" t="n">
        <f aca="false">IF($B518="",0,IF(AND(OR(Filter!$B$5="(alle)",$N518=Filter!$B$5),OR(Filter!$E$5="(alle)",$K518=Filter!$E$5),OR(Filter!$H$5="(alle)",$C518=Filter!$H$5),OR(Filter!$B$7="(alle)",$E518=Filter!$B$7),OR(Filter!$E$7="(alle)",ISNUMBER(SEARCH(Filter!$E$7,$J518))),OR(Filter!$H$7="(alle)",ISNUMBER(SEARCH(Filter!$H$7,$I518))),OR(Filter!$B$9="",ISNUMBER(SEARCH(Filter!$B$9,$F518&amp;" "&amp;$G518)))),COUNTIF($O$6:$O517,"&gt;0")+1,0))</f>
        <v>512</v>
      </c>
    </row>
    <row r="519" customFormat="false" ht="76.5" hidden="false" customHeight="true" outlineLevel="0" collapsed="false">
      <c r="B519" s="30" t="s">
        <v>2665</v>
      </c>
      <c r="C519" s="30" t="s">
        <v>286</v>
      </c>
      <c r="D519" s="30" t="s">
        <v>2666</v>
      </c>
      <c r="E519" s="30" t="s">
        <v>344</v>
      </c>
      <c r="F519" s="30" t="s">
        <v>2667</v>
      </c>
      <c r="G519" s="30" t="s">
        <v>2668</v>
      </c>
      <c r="H519" s="30" t="s">
        <v>2669</v>
      </c>
      <c r="I519" s="30" t="s">
        <v>306</v>
      </c>
      <c r="J519" s="30" t="s">
        <v>206</v>
      </c>
      <c r="K519" s="31" t="s">
        <v>47</v>
      </c>
      <c r="L519" s="32"/>
      <c r="M519" s="30"/>
      <c r="N519" s="30" t="s">
        <v>48</v>
      </c>
      <c r="O519" s="1" t="n">
        <f aca="false">IF($B519="",0,IF(AND(OR(Filter!$B$5="(alle)",$N519=Filter!$B$5),OR(Filter!$E$5="(alle)",$K519=Filter!$E$5),OR(Filter!$H$5="(alle)",$C519=Filter!$H$5),OR(Filter!$B$7="(alle)",$E519=Filter!$B$7),OR(Filter!$E$7="(alle)",ISNUMBER(SEARCH(Filter!$E$7,$J519))),OR(Filter!$H$7="(alle)",ISNUMBER(SEARCH(Filter!$H$7,$I519))),OR(Filter!$B$9="",ISNUMBER(SEARCH(Filter!$B$9,$F519&amp;" "&amp;$G519)))),COUNTIF($O$6:$O518,"&gt;0")+1,0))</f>
        <v>513</v>
      </c>
    </row>
    <row r="520" customFormat="false" ht="102" hidden="false" customHeight="true" outlineLevel="0" collapsed="false">
      <c r="B520" s="30" t="s">
        <v>2670</v>
      </c>
      <c r="C520" s="30" t="s">
        <v>286</v>
      </c>
      <c r="D520" s="30" t="s">
        <v>2671</v>
      </c>
      <c r="E520" s="30" t="s">
        <v>355</v>
      </c>
      <c r="F520" s="30" t="s">
        <v>2672</v>
      </c>
      <c r="G520" s="30" t="s">
        <v>2673</v>
      </c>
      <c r="H520" s="30" t="s">
        <v>2674</v>
      </c>
      <c r="I520" s="30" t="s">
        <v>306</v>
      </c>
      <c r="J520" s="30" t="s">
        <v>206</v>
      </c>
      <c r="K520" s="31" t="s">
        <v>47</v>
      </c>
      <c r="L520" s="32"/>
      <c r="M520" s="30"/>
      <c r="N520" s="30" t="s">
        <v>48</v>
      </c>
      <c r="O520" s="1" t="n">
        <f aca="false">IF($B520="",0,IF(AND(OR(Filter!$B$5="(alle)",$N520=Filter!$B$5),OR(Filter!$E$5="(alle)",$K520=Filter!$E$5),OR(Filter!$H$5="(alle)",$C520=Filter!$H$5),OR(Filter!$B$7="(alle)",$E520=Filter!$B$7),OR(Filter!$E$7="(alle)",ISNUMBER(SEARCH(Filter!$E$7,$J520))),OR(Filter!$H$7="(alle)",ISNUMBER(SEARCH(Filter!$H$7,$I520))),OR(Filter!$B$9="",ISNUMBER(SEARCH(Filter!$B$9,$F520&amp;" "&amp;$G520)))),COUNTIF($O$6:$O519,"&gt;0")+1,0))</f>
        <v>514</v>
      </c>
    </row>
    <row r="521" customFormat="false" ht="267.75" hidden="false" customHeight="true" outlineLevel="0" collapsed="false">
      <c r="B521" s="30" t="s">
        <v>2675</v>
      </c>
      <c r="C521" s="30" t="s">
        <v>286</v>
      </c>
      <c r="D521" s="30" t="s">
        <v>2676</v>
      </c>
      <c r="E521" s="30" t="s">
        <v>361</v>
      </c>
      <c r="F521" s="30" t="s">
        <v>2677</v>
      </c>
      <c r="G521" s="30" t="s">
        <v>2678</v>
      </c>
      <c r="H521" s="30" t="s">
        <v>2679</v>
      </c>
      <c r="I521" s="30" t="s">
        <v>306</v>
      </c>
      <c r="J521" s="30" t="s">
        <v>206</v>
      </c>
      <c r="K521" s="31" t="s">
        <v>47</v>
      </c>
      <c r="L521" s="32"/>
      <c r="M521" s="30"/>
      <c r="N521" s="30" t="s">
        <v>48</v>
      </c>
      <c r="O521" s="1" t="n">
        <f aca="false">IF($B521="",0,IF(AND(OR(Filter!$B$5="(alle)",$N521=Filter!$B$5),OR(Filter!$E$5="(alle)",$K521=Filter!$E$5),OR(Filter!$H$5="(alle)",$C521=Filter!$H$5),OR(Filter!$B$7="(alle)",$E521=Filter!$B$7),OR(Filter!$E$7="(alle)",ISNUMBER(SEARCH(Filter!$E$7,$J521))),OR(Filter!$H$7="(alle)",ISNUMBER(SEARCH(Filter!$H$7,$I521))),OR(Filter!$B$9="",ISNUMBER(SEARCH(Filter!$B$9,$F521&amp;" "&amp;$G521)))),COUNTIF($O$6:$O520,"&gt;0")+1,0))</f>
        <v>515</v>
      </c>
    </row>
    <row r="522" customFormat="false" ht="63.75" hidden="false" customHeight="true" outlineLevel="0" collapsed="false">
      <c r="B522" s="30" t="s">
        <v>2680</v>
      </c>
      <c r="C522" s="30" t="s">
        <v>286</v>
      </c>
      <c r="D522" s="30" t="s">
        <v>2681</v>
      </c>
      <c r="E522" s="30" t="s">
        <v>42</v>
      </c>
      <c r="F522" s="30" t="s">
        <v>2682</v>
      </c>
      <c r="G522" s="30" t="s">
        <v>2683</v>
      </c>
      <c r="H522" s="30" t="s">
        <v>2684</v>
      </c>
      <c r="I522" s="30" t="s">
        <v>98</v>
      </c>
      <c r="J522" s="30" t="s">
        <v>2685</v>
      </c>
      <c r="K522" s="31" t="s">
        <v>47</v>
      </c>
      <c r="L522" s="32"/>
      <c r="M522" s="30"/>
      <c r="N522" s="30" t="s">
        <v>48</v>
      </c>
      <c r="O522" s="1" t="n">
        <f aca="false">IF($B522="",0,IF(AND(OR(Filter!$B$5="(alle)",$N522=Filter!$B$5),OR(Filter!$E$5="(alle)",$K522=Filter!$E$5),OR(Filter!$H$5="(alle)",$C522=Filter!$H$5),OR(Filter!$B$7="(alle)",$E522=Filter!$B$7),OR(Filter!$E$7="(alle)",ISNUMBER(SEARCH(Filter!$E$7,$J522))),OR(Filter!$H$7="(alle)",ISNUMBER(SEARCH(Filter!$H$7,$I522))),OR(Filter!$B$9="",ISNUMBER(SEARCH(Filter!$B$9,$F522&amp;" "&amp;$G522)))),COUNTIF($O$6:$O521,"&gt;0")+1,0))</f>
        <v>516</v>
      </c>
    </row>
    <row r="523" customFormat="false" ht="140.25" hidden="false" customHeight="true" outlineLevel="0" collapsed="false">
      <c r="B523" s="30" t="s">
        <v>2686</v>
      </c>
      <c r="C523" s="30" t="s">
        <v>286</v>
      </c>
      <c r="D523" s="30" t="s">
        <v>2687</v>
      </c>
      <c r="E523" s="30" t="s">
        <v>361</v>
      </c>
      <c r="F523" s="30" t="s">
        <v>2688</v>
      </c>
      <c r="G523" s="30" t="s">
        <v>2689</v>
      </c>
      <c r="H523" s="30" t="s">
        <v>2690</v>
      </c>
      <c r="I523" s="30" t="s">
        <v>306</v>
      </c>
      <c r="J523" s="30" t="s">
        <v>206</v>
      </c>
      <c r="K523" s="31" t="s">
        <v>47</v>
      </c>
      <c r="L523" s="32"/>
      <c r="M523" s="30"/>
      <c r="N523" s="30" t="s">
        <v>48</v>
      </c>
      <c r="O523" s="1" t="n">
        <f aca="false">IF($B523="",0,IF(AND(OR(Filter!$B$5="(alle)",$N523=Filter!$B$5),OR(Filter!$E$5="(alle)",$K523=Filter!$E$5),OR(Filter!$H$5="(alle)",$C523=Filter!$H$5),OR(Filter!$B$7="(alle)",$E523=Filter!$B$7),OR(Filter!$E$7="(alle)",ISNUMBER(SEARCH(Filter!$E$7,$J523))),OR(Filter!$H$7="(alle)",ISNUMBER(SEARCH(Filter!$H$7,$I523))),OR(Filter!$B$9="",ISNUMBER(SEARCH(Filter!$B$9,$F523&amp;" "&amp;$G523)))),COUNTIF($O$6:$O522,"&gt;0")+1,0))</f>
        <v>517</v>
      </c>
    </row>
    <row r="524" customFormat="false" ht="140.25" hidden="false" customHeight="true" outlineLevel="0" collapsed="false">
      <c r="B524" s="30" t="s">
        <v>2691</v>
      </c>
      <c r="C524" s="30" t="s">
        <v>286</v>
      </c>
      <c r="D524" s="30" t="s">
        <v>2692</v>
      </c>
      <c r="E524" s="30" t="s">
        <v>361</v>
      </c>
      <c r="F524" s="30" t="s">
        <v>2693</v>
      </c>
      <c r="G524" s="30" t="s">
        <v>2694</v>
      </c>
      <c r="H524" s="30" t="s">
        <v>2695</v>
      </c>
      <c r="I524" s="30" t="s">
        <v>306</v>
      </c>
      <c r="J524" s="30" t="s">
        <v>206</v>
      </c>
      <c r="K524" s="31" t="s">
        <v>47</v>
      </c>
      <c r="L524" s="32"/>
      <c r="M524" s="30"/>
      <c r="N524" s="30" t="s">
        <v>48</v>
      </c>
      <c r="O524" s="1" t="n">
        <f aca="false">IF($B524="",0,IF(AND(OR(Filter!$B$5="(alle)",$N524=Filter!$B$5),OR(Filter!$E$5="(alle)",$K524=Filter!$E$5),OR(Filter!$H$5="(alle)",$C524=Filter!$H$5),OR(Filter!$B$7="(alle)",$E524=Filter!$B$7),OR(Filter!$E$7="(alle)",ISNUMBER(SEARCH(Filter!$E$7,$J524))),OR(Filter!$H$7="(alle)",ISNUMBER(SEARCH(Filter!$H$7,$I524))),OR(Filter!$B$9="",ISNUMBER(SEARCH(Filter!$B$9,$F524&amp;" "&amp;$G524)))),COUNTIF($O$6:$O523,"&gt;0")+1,0))</f>
        <v>518</v>
      </c>
    </row>
    <row r="525" customFormat="false" ht="63.75" hidden="false" customHeight="true" outlineLevel="0" collapsed="false">
      <c r="B525" s="30" t="s">
        <v>2696</v>
      </c>
      <c r="C525" s="30" t="s">
        <v>286</v>
      </c>
      <c r="D525" s="30" t="s">
        <v>2697</v>
      </c>
      <c r="E525" s="30" t="s">
        <v>331</v>
      </c>
      <c r="F525" s="30" t="s">
        <v>2698</v>
      </c>
      <c r="G525" s="30" t="s">
        <v>2699</v>
      </c>
      <c r="H525" s="30" t="s">
        <v>2700</v>
      </c>
      <c r="I525" s="30" t="s">
        <v>306</v>
      </c>
      <c r="J525" s="30" t="s">
        <v>206</v>
      </c>
      <c r="K525" s="31" t="s">
        <v>151</v>
      </c>
      <c r="L525" s="32"/>
      <c r="M525" s="30" t="s">
        <v>629</v>
      </c>
      <c r="N525" s="30" t="s">
        <v>48</v>
      </c>
      <c r="O525" s="1" t="n">
        <f aca="false">IF($B525="",0,IF(AND(OR(Filter!$B$5="(alle)",$N525=Filter!$B$5),OR(Filter!$E$5="(alle)",$K525=Filter!$E$5),OR(Filter!$H$5="(alle)",$C525=Filter!$H$5),OR(Filter!$B$7="(alle)",$E525=Filter!$B$7),OR(Filter!$E$7="(alle)",ISNUMBER(SEARCH(Filter!$E$7,$J525))),OR(Filter!$H$7="(alle)",ISNUMBER(SEARCH(Filter!$H$7,$I525))),OR(Filter!$B$9="",ISNUMBER(SEARCH(Filter!$B$9,$F525&amp;" "&amp;$G525)))),COUNTIF($O$6:$O524,"&gt;0")+1,0))</f>
        <v>519</v>
      </c>
    </row>
    <row r="526" customFormat="false" ht="63.75" hidden="false" customHeight="true" outlineLevel="0" collapsed="false">
      <c r="B526" s="30" t="s">
        <v>2701</v>
      </c>
      <c r="C526" s="30" t="s">
        <v>286</v>
      </c>
      <c r="D526" s="30" t="s">
        <v>2702</v>
      </c>
      <c r="E526" s="30" t="s">
        <v>547</v>
      </c>
      <c r="F526" s="30" t="s">
        <v>2703</v>
      </c>
      <c r="G526" s="30" t="s">
        <v>2704</v>
      </c>
      <c r="H526" s="30" t="s">
        <v>2705</v>
      </c>
      <c r="I526" s="30" t="s">
        <v>476</v>
      </c>
      <c r="J526" s="30" t="s">
        <v>476</v>
      </c>
      <c r="K526" s="31" t="s">
        <v>47</v>
      </c>
      <c r="L526" s="32"/>
      <c r="M526" s="30"/>
      <c r="N526" s="30" t="s">
        <v>48</v>
      </c>
      <c r="O526" s="1" t="n">
        <f aca="false">IF($B526="",0,IF(AND(OR(Filter!$B$5="(alle)",$N526=Filter!$B$5),OR(Filter!$E$5="(alle)",$K526=Filter!$E$5),OR(Filter!$H$5="(alle)",$C526=Filter!$H$5),OR(Filter!$B$7="(alle)",$E526=Filter!$B$7),OR(Filter!$E$7="(alle)",ISNUMBER(SEARCH(Filter!$E$7,$J526))),OR(Filter!$H$7="(alle)",ISNUMBER(SEARCH(Filter!$H$7,$I526))),OR(Filter!$B$9="",ISNUMBER(SEARCH(Filter!$B$9,$F526&amp;" "&amp;$G526)))),COUNTIF($O$6:$O525,"&gt;0")+1,0))</f>
        <v>520</v>
      </c>
    </row>
    <row r="527" customFormat="false" ht="63.75" hidden="false" customHeight="true" outlineLevel="0" collapsed="false">
      <c r="B527" s="30" t="s">
        <v>2706</v>
      </c>
      <c r="C527" s="30" t="s">
        <v>286</v>
      </c>
      <c r="D527" s="30" t="s">
        <v>2707</v>
      </c>
      <c r="E527" s="30" t="s">
        <v>344</v>
      </c>
      <c r="F527" s="30" t="s">
        <v>2708</v>
      </c>
      <c r="G527" s="30" t="s">
        <v>2709</v>
      </c>
      <c r="H527" s="30" t="s">
        <v>2710</v>
      </c>
      <c r="I527" s="30" t="s">
        <v>306</v>
      </c>
      <c r="J527" s="30" t="s">
        <v>206</v>
      </c>
      <c r="K527" s="31" t="s">
        <v>47</v>
      </c>
      <c r="L527" s="32"/>
      <c r="M527" s="30"/>
      <c r="N527" s="30" t="s">
        <v>48</v>
      </c>
      <c r="O527" s="1" t="n">
        <f aca="false">IF($B527="",0,IF(AND(OR(Filter!$B$5="(alle)",$N527=Filter!$B$5),OR(Filter!$E$5="(alle)",$K527=Filter!$E$5),OR(Filter!$H$5="(alle)",$C527=Filter!$H$5),OR(Filter!$B$7="(alle)",$E527=Filter!$B$7),OR(Filter!$E$7="(alle)",ISNUMBER(SEARCH(Filter!$E$7,$J527))),OR(Filter!$H$7="(alle)",ISNUMBER(SEARCH(Filter!$H$7,$I527))),OR(Filter!$B$9="",ISNUMBER(SEARCH(Filter!$B$9,$F527&amp;" "&amp;$G527)))),COUNTIF($O$6:$O526,"&gt;0")+1,0))</f>
        <v>521</v>
      </c>
    </row>
    <row r="528" customFormat="false" ht="114.75" hidden="false" customHeight="true" outlineLevel="0" collapsed="false">
      <c r="B528" s="30" t="s">
        <v>2711</v>
      </c>
      <c r="C528" s="30" t="s">
        <v>286</v>
      </c>
      <c r="D528" s="30" t="s">
        <v>2712</v>
      </c>
      <c r="E528" s="30" t="s">
        <v>361</v>
      </c>
      <c r="F528" s="30" t="s">
        <v>2713</v>
      </c>
      <c r="G528" s="30" t="s">
        <v>2714</v>
      </c>
      <c r="H528" s="30" t="s">
        <v>2715</v>
      </c>
      <c r="I528" s="30" t="s">
        <v>306</v>
      </c>
      <c r="J528" s="30" t="s">
        <v>206</v>
      </c>
      <c r="K528" s="31" t="s">
        <v>47</v>
      </c>
      <c r="L528" s="32"/>
      <c r="M528" s="30"/>
      <c r="N528" s="30" t="s">
        <v>48</v>
      </c>
      <c r="O528" s="1" t="n">
        <f aca="false">IF($B528="",0,IF(AND(OR(Filter!$B$5="(alle)",$N528=Filter!$B$5),OR(Filter!$E$5="(alle)",$K528=Filter!$E$5),OR(Filter!$H$5="(alle)",$C528=Filter!$H$5),OR(Filter!$B$7="(alle)",$E528=Filter!$B$7),OR(Filter!$E$7="(alle)",ISNUMBER(SEARCH(Filter!$E$7,$J528))),OR(Filter!$H$7="(alle)",ISNUMBER(SEARCH(Filter!$H$7,$I528))),OR(Filter!$B$9="",ISNUMBER(SEARCH(Filter!$B$9,$F528&amp;" "&amp;$G528)))),COUNTIF($O$6:$O527,"&gt;0")+1,0))</f>
        <v>522</v>
      </c>
    </row>
    <row r="529" customFormat="false" ht="114.75" hidden="false" customHeight="true" outlineLevel="0" collapsed="false">
      <c r="B529" s="30" t="s">
        <v>2716</v>
      </c>
      <c r="C529" s="30" t="s">
        <v>286</v>
      </c>
      <c r="D529" s="30" t="s">
        <v>2717</v>
      </c>
      <c r="E529" s="30" t="s">
        <v>344</v>
      </c>
      <c r="F529" s="30" t="s">
        <v>2718</v>
      </c>
      <c r="G529" s="30" t="s">
        <v>2719</v>
      </c>
      <c r="H529" s="30" t="s">
        <v>2720</v>
      </c>
      <c r="I529" s="30" t="s">
        <v>306</v>
      </c>
      <c r="J529" s="30" t="s">
        <v>206</v>
      </c>
      <c r="K529" s="31" t="s">
        <v>47</v>
      </c>
      <c r="L529" s="32"/>
      <c r="M529" s="30"/>
      <c r="N529" s="30" t="s">
        <v>48</v>
      </c>
      <c r="O529" s="1" t="n">
        <f aca="false">IF($B529="",0,IF(AND(OR(Filter!$B$5="(alle)",$N529=Filter!$B$5),OR(Filter!$E$5="(alle)",$K529=Filter!$E$5),OR(Filter!$H$5="(alle)",$C529=Filter!$H$5),OR(Filter!$B$7="(alle)",$E529=Filter!$B$7),OR(Filter!$E$7="(alle)",ISNUMBER(SEARCH(Filter!$E$7,$J529))),OR(Filter!$H$7="(alle)",ISNUMBER(SEARCH(Filter!$H$7,$I529))),OR(Filter!$B$9="",ISNUMBER(SEARCH(Filter!$B$9,$F529&amp;" "&amp;$G529)))),COUNTIF($O$6:$O528,"&gt;0")+1,0))</f>
        <v>523</v>
      </c>
    </row>
    <row r="530" customFormat="false" ht="153" hidden="false" customHeight="true" outlineLevel="0" collapsed="false">
      <c r="B530" s="30" t="s">
        <v>2721</v>
      </c>
      <c r="C530" s="30" t="s">
        <v>286</v>
      </c>
      <c r="D530" s="30" t="s">
        <v>2722</v>
      </c>
      <c r="E530" s="30" t="s">
        <v>81</v>
      </c>
      <c r="F530" s="30" t="s">
        <v>2723</v>
      </c>
      <c r="G530" s="30" t="s">
        <v>2724</v>
      </c>
      <c r="H530" s="30" t="s">
        <v>2725</v>
      </c>
      <c r="I530" s="30" t="s">
        <v>1251</v>
      </c>
      <c r="J530" s="30" t="s">
        <v>2726</v>
      </c>
      <c r="K530" s="31" t="s">
        <v>47</v>
      </c>
      <c r="L530" s="32"/>
      <c r="M530" s="30"/>
      <c r="N530" s="30" t="s">
        <v>65</v>
      </c>
      <c r="O530" s="1" t="n">
        <f aca="false">IF($B530="",0,IF(AND(OR(Filter!$B$5="(alle)",$N530=Filter!$B$5),OR(Filter!$E$5="(alle)",$K530=Filter!$E$5),OR(Filter!$H$5="(alle)",$C530=Filter!$H$5),OR(Filter!$B$7="(alle)",$E530=Filter!$B$7),OR(Filter!$E$7="(alle)",ISNUMBER(SEARCH(Filter!$E$7,$J530))),OR(Filter!$H$7="(alle)",ISNUMBER(SEARCH(Filter!$H$7,$I530))),OR(Filter!$B$9="",ISNUMBER(SEARCH(Filter!$B$9,$F530&amp;" "&amp;$G530)))),COUNTIF($O$6:$O529,"&gt;0")+1,0))</f>
        <v>524</v>
      </c>
    </row>
    <row r="531" customFormat="false" ht="178.5" hidden="false" customHeight="true" outlineLevel="0" collapsed="false">
      <c r="B531" s="30" t="s">
        <v>2727</v>
      </c>
      <c r="C531" s="30" t="s">
        <v>286</v>
      </c>
      <c r="D531" s="30" t="s">
        <v>2728</v>
      </c>
      <c r="E531" s="30" t="s">
        <v>355</v>
      </c>
      <c r="F531" s="30" t="s">
        <v>2729</v>
      </c>
      <c r="G531" s="30" t="s">
        <v>2730</v>
      </c>
      <c r="H531" s="30" t="s">
        <v>2731</v>
      </c>
      <c r="I531" s="30" t="s">
        <v>476</v>
      </c>
      <c r="J531" s="30" t="s">
        <v>476</v>
      </c>
      <c r="K531" s="31" t="s">
        <v>47</v>
      </c>
      <c r="L531" s="32"/>
      <c r="M531" s="30"/>
      <c r="N531" s="30" t="s">
        <v>48</v>
      </c>
      <c r="O531" s="1" t="n">
        <f aca="false">IF($B531="",0,IF(AND(OR(Filter!$B$5="(alle)",$N531=Filter!$B$5),OR(Filter!$E$5="(alle)",$K531=Filter!$E$5),OR(Filter!$H$5="(alle)",$C531=Filter!$H$5),OR(Filter!$B$7="(alle)",$E531=Filter!$B$7),OR(Filter!$E$7="(alle)",ISNUMBER(SEARCH(Filter!$E$7,$J531))),OR(Filter!$H$7="(alle)",ISNUMBER(SEARCH(Filter!$H$7,$I531))),OR(Filter!$B$9="",ISNUMBER(SEARCH(Filter!$B$9,$F531&amp;" "&amp;$G531)))),COUNTIF($O$6:$O530,"&gt;0")+1,0))</f>
        <v>525</v>
      </c>
    </row>
    <row r="532" customFormat="false" ht="76.5" hidden="false" customHeight="true" outlineLevel="0" collapsed="false">
      <c r="B532" s="30" t="s">
        <v>2732</v>
      </c>
      <c r="C532" s="30" t="s">
        <v>286</v>
      </c>
      <c r="D532" s="30" t="s">
        <v>2733</v>
      </c>
      <c r="E532" s="30" t="s">
        <v>344</v>
      </c>
      <c r="F532" s="30" t="s">
        <v>2734</v>
      </c>
      <c r="G532" s="30" t="s">
        <v>2735</v>
      </c>
      <c r="H532" s="30" t="s">
        <v>2736</v>
      </c>
      <c r="I532" s="30" t="s">
        <v>306</v>
      </c>
      <c r="J532" s="30" t="s">
        <v>206</v>
      </c>
      <c r="K532" s="31" t="s">
        <v>47</v>
      </c>
      <c r="L532" s="32"/>
      <c r="M532" s="30"/>
      <c r="N532" s="30" t="s">
        <v>48</v>
      </c>
      <c r="O532" s="1" t="n">
        <f aca="false">IF($B532="",0,IF(AND(OR(Filter!$B$5="(alle)",$N532=Filter!$B$5),OR(Filter!$E$5="(alle)",$K532=Filter!$E$5),OR(Filter!$H$5="(alle)",$C532=Filter!$H$5),OR(Filter!$B$7="(alle)",$E532=Filter!$B$7),OR(Filter!$E$7="(alle)",ISNUMBER(SEARCH(Filter!$E$7,$J532))),OR(Filter!$H$7="(alle)",ISNUMBER(SEARCH(Filter!$H$7,$I532))),OR(Filter!$B$9="",ISNUMBER(SEARCH(Filter!$B$9,$F532&amp;" "&amp;$G532)))),COUNTIF($O$6:$O531,"&gt;0")+1,0))</f>
        <v>526</v>
      </c>
    </row>
    <row r="533" customFormat="false" ht="76.5" hidden="false" customHeight="true" outlineLevel="0" collapsed="false">
      <c r="B533" s="30" t="s">
        <v>2737</v>
      </c>
      <c r="C533" s="30" t="s">
        <v>286</v>
      </c>
      <c r="D533" s="30" t="s">
        <v>2738</v>
      </c>
      <c r="E533" s="30" t="s">
        <v>344</v>
      </c>
      <c r="F533" s="30" t="s">
        <v>2739</v>
      </c>
      <c r="G533" s="30" t="s">
        <v>2740</v>
      </c>
      <c r="H533" s="30" t="s">
        <v>2741</v>
      </c>
      <c r="I533" s="30" t="s">
        <v>306</v>
      </c>
      <c r="J533" s="30" t="s">
        <v>206</v>
      </c>
      <c r="K533" s="31" t="s">
        <v>47</v>
      </c>
      <c r="L533" s="32"/>
      <c r="M533" s="30"/>
      <c r="N533" s="30" t="s">
        <v>48</v>
      </c>
      <c r="O533" s="1" t="n">
        <f aca="false">IF($B533="",0,IF(AND(OR(Filter!$B$5="(alle)",$N533=Filter!$B$5),OR(Filter!$E$5="(alle)",$K533=Filter!$E$5),OR(Filter!$H$5="(alle)",$C533=Filter!$H$5),OR(Filter!$B$7="(alle)",$E533=Filter!$B$7),OR(Filter!$E$7="(alle)",ISNUMBER(SEARCH(Filter!$E$7,$J533))),OR(Filter!$H$7="(alle)",ISNUMBER(SEARCH(Filter!$H$7,$I533))),OR(Filter!$B$9="",ISNUMBER(SEARCH(Filter!$B$9,$F533&amp;" "&amp;$G533)))),COUNTIF($O$6:$O532,"&gt;0")+1,0))</f>
        <v>527</v>
      </c>
    </row>
    <row r="534" customFormat="false" ht="63.75" hidden="false" customHeight="true" outlineLevel="0" collapsed="false">
      <c r="B534" s="30" t="s">
        <v>2742</v>
      </c>
      <c r="C534" s="30" t="s">
        <v>286</v>
      </c>
      <c r="D534" s="30" t="s">
        <v>2743</v>
      </c>
      <c r="E534" s="30" t="s">
        <v>344</v>
      </c>
      <c r="F534" s="30" t="s">
        <v>2744</v>
      </c>
      <c r="G534" s="30" t="s">
        <v>2745</v>
      </c>
      <c r="H534" s="30" t="s">
        <v>2746</v>
      </c>
      <c r="I534" s="30" t="s">
        <v>158</v>
      </c>
      <c r="J534" s="30" t="s">
        <v>159</v>
      </c>
      <c r="K534" s="31" t="s">
        <v>47</v>
      </c>
      <c r="L534" s="32"/>
      <c r="M534" s="30"/>
      <c r="N534" s="30" t="s">
        <v>48</v>
      </c>
      <c r="O534" s="1" t="n">
        <f aca="false">IF($B534="",0,IF(AND(OR(Filter!$B$5="(alle)",$N534=Filter!$B$5),OR(Filter!$E$5="(alle)",$K534=Filter!$E$5),OR(Filter!$H$5="(alle)",$C534=Filter!$H$5),OR(Filter!$B$7="(alle)",$E534=Filter!$B$7),OR(Filter!$E$7="(alle)",ISNUMBER(SEARCH(Filter!$E$7,$J534))),OR(Filter!$H$7="(alle)",ISNUMBER(SEARCH(Filter!$H$7,$I534))),OR(Filter!$B$9="",ISNUMBER(SEARCH(Filter!$B$9,$F534&amp;" "&amp;$G534)))),COUNTIF($O$6:$O533,"&gt;0")+1,0))</f>
        <v>528</v>
      </c>
    </row>
    <row r="535" customFormat="false" ht="76.5" hidden="false" customHeight="true" outlineLevel="0" collapsed="false">
      <c r="B535" s="30" t="s">
        <v>2747</v>
      </c>
      <c r="C535" s="30" t="s">
        <v>286</v>
      </c>
      <c r="D535" s="30" t="s">
        <v>2748</v>
      </c>
      <c r="E535" s="30" t="s">
        <v>361</v>
      </c>
      <c r="F535" s="30" t="s">
        <v>2749</v>
      </c>
      <c r="G535" s="30" t="s">
        <v>2750</v>
      </c>
      <c r="H535" s="30" t="s">
        <v>2751</v>
      </c>
      <c r="I535" s="30" t="s">
        <v>476</v>
      </c>
      <c r="J535" s="30" t="s">
        <v>476</v>
      </c>
      <c r="K535" s="31" t="s">
        <v>47</v>
      </c>
      <c r="L535" s="32"/>
      <c r="M535" s="30"/>
      <c r="N535" s="30" t="s">
        <v>48</v>
      </c>
      <c r="O535" s="1" t="n">
        <f aca="false">IF($B535="",0,IF(AND(OR(Filter!$B$5="(alle)",$N535=Filter!$B$5),OR(Filter!$E$5="(alle)",$K535=Filter!$E$5),OR(Filter!$H$5="(alle)",$C535=Filter!$H$5),OR(Filter!$B$7="(alle)",$E535=Filter!$B$7),OR(Filter!$E$7="(alle)",ISNUMBER(SEARCH(Filter!$E$7,$J535))),OR(Filter!$H$7="(alle)",ISNUMBER(SEARCH(Filter!$H$7,$I535))),OR(Filter!$B$9="",ISNUMBER(SEARCH(Filter!$B$9,$F535&amp;" "&amp;$G535)))),COUNTIF($O$6:$O534,"&gt;0")+1,0))</f>
        <v>529</v>
      </c>
    </row>
    <row r="536" customFormat="false" ht="89.25" hidden="false" customHeight="true" outlineLevel="0" collapsed="false">
      <c r="B536" s="30" t="s">
        <v>2752</v>
      </c>
      <c r="C536" s="30" t="s">
        <v>286</v>
      </c>
      <c r="D536" s="30" t="s">
        <v>2753</v>
      </c>
      <c r="E536" s="30" t="s">
        <v>81</v>
      </c>
      <c r="F536" s="30" t="s">
        <v>2754</v>
      </c>
      <c r="G536" s="30" t="s">
        <v>2755</v>
      </c>
      <c r="H536" s="30" t="s">
        <v>2756</v>
      </c>
      <c r="I536" s="30" t="s">
        <v>290</v>
      </c>
      <c r="J536" s="30" t="s">
        <v>84</v>
      </c>
      <c r="K536" s="31" t="s">
        <v>47</v>
      </c>
      <c r="L536" s="32"/>
      <c r="M536" s="30"/>
      <c r="N536" s="30" t="s">
        <v>65</v>
      </c>
      <c r="O536" s="1" t="n">
        <f aca="false">IF($B536="",0,IF(AND(OR(Filter!$B$5="(alle)",$N536=Filter!$B$5),OR(Filter!$E$5="(alle)",$K536=Filter!$E$5),OR(Filter!$H$5="(alle)",$C536=Filter!$H$5),OR(Filter!$B$7="(alle)",$E536=Filter!$B$7),OR(Filter!$E$7="(alle)",ISNUMBER(SEARCH(Filter!$E$7,$J536))),OR(Filter!$H$7="(alle)",ISNUMBER(SEARCH(Filter!$H$7,$I536))),OR(Filter!$B$9="",ISNUMBER(SEARCH(Filter!$B$9,$F536&amp;" "&amp;$G536)))),COUNTIF($O$6:$O535,"&gt;0")+1,0))</f>
        <v>530</v>
      </c>
    </row>
    <row r="537" customFormat="false" ht="153" hidden="false" customHeight="true" outlineLevel="0" collapsed="false">
      <c r="B537" s="30" t="s">
        <v>2757</v>
      </c>
      <c r="C537" s="30" t="s">
        <v>286</v>
      </c>
      <c r="D537" s="30" t="s">
        <v>2758</v>
      </c>
      <c r="E537" s="30" t="s">
        <v>81</v>
      </c>
      <c r="F537" s="30" t="s">
        <v>2759</v>
      </c>
      <c r="G537" s="30" t="s">
        <v>2760</v>
      </c>
      <c r="H537" s="30" t="s">
        <v>2761</v>
      </c>
      <c r="I537" s="30" t="s">
        <v>2762</v>
      </c>
      <c r="J537" s="30" t="s">
        <v>2763</v>
      </c>
      <c r="K537" s="31" t="s">
        <v>47</v>
      </c>
      <c r="L537" s="32"/>
      <c r="M537" s="30"/>
      <c r="N537" s="30" t="s">
        <v>65</v>
      </c>
      <c r="O537" s="1" t="n">
        <f aca="false">IF($B537="",0,IF(AND(OR(Filter!$B$5="(alle)",$N537=Filter!$B$5),OR(Filter!$E$5="(alle)",$K537=Filter!$E$5),OR(Filter!$H$5="(alle)",$C537=Filter!$H$5),OR(Filter!$B$7="(alle)",$E537=Filter!$B$7),OR(Filter!$E$7="(alle)",ISNUMBER(SEARCH(Filter!$E$7,$J537))),OR(Filter!$H$7="(alle)",ISNUMBER(SEARCH(Filter!$H$7,$I537))),OR(Filter!$B$9="",ISNUMBER(SEARCH(Filter!$B$9,$F537&amp;" "&amp;$G537)))),COUNTIF($O$6:$O536,"&gt;0")+1,0))</f>
        <v>531</v>
      </c>
    </row>
    <row r="538" customFormat="false" ht="114.75" hidden="false" customHeight="true" outlineLevel="0" collapsed="false">
      <c r="B538" s="30" t="s">
        <v>2764</v>
      </c>
      <c r="C538" s="30" t="s">
        <v>286</v>
      </c>
      <c r="D538" s="30" t="s">
        <v>2765</v>
      </c>
      <c r="E538" s="30" t="s">
        <v>344</v>
      </c>
      <c r="F538" s="30" t="s">
        <v>2766</v>
      </c>
      <c r="G538" s="30" t="s">
        <v>2767</v>
      </c>
      <c r="H538" s="30" t="s">
        <v>2768</v>
      </c>
      <c r="I538" s="30" t="s">
        <v>306</v>
      </c>
      <c r="J538" s="30" t="s">
        <v>206</v>
      </c>
      <c r="K538" s="31" t="s">
        <v>47</v>
      </c>
      <c r="L538" s="32"/>
      <c r="M538" s="30"/>
      <c r="N538" s="30" t="s">
        <v>48</v>
      </c>
      <c r="O538" s="1" t="n">
        <f aca="false">IF($B538="",0,IF(AND(OR(Filter!$B$5="(alle)",$N538=Filter!$B$5),OR(Filter!$E$5="(alle)",$K538=Filter!$E$5),OR(Filter!$H$5="(alle)",$C538=Filter!$H$5),OR(Filter!$B$7="(alle)",$E538=Filter!$B$7),OR(Filter!$E$7="(alle)",ISNUMBER(SEARCH(Filter!$E$7,$J538))),OR(Filter!$H$7="(alle)",ISNUMBER(SEARCH(Filter!$H$7,$I538))),OR(Filter!$B$9="",ISNUMBER(SEARCH(Filter!$B$9,$F538&amp;" "&amp;$G538)))),COUNTIF($O$6:$O537,"&gt;0")+1,0))</f>
        <v>532</v>
      </c>
    </row>
    <row r="539" customFormat="false" ht="89.25" hidden="false" customHeight="true" outlineLevel="0" collapsed="false">
      <c r="B539" s="30" t="s">
        <v>2769</v>
      </c>
      <c r="C539" s="30" t="s">
        <v>286</v>
      </c>
      <c r="D539" s="30" t="s">
        <v>2770</v>
      </c>
      <c r="E539" s="30" t="s">
        <v>344</v>
      </c>
      <c r="F539" s="30" t="s">
        <v>2771</v>
      </c>
      <c r="G539" s="30" t="s">
        <v>2772</v>
      </c>
      <c r="H539" s="30" t="s">
        <v>2773</v>
      </c>
      <c r="I539" s="30" t="s">
        <v>306</v>
      </c>
      <c r="J539" s="30" t="s">
        <v>206</v>
      </c>
      <c r="K539" s="31" t="s">
        <v>47</v>
      </c>
      <c r="L539" s="32"/>
      <c r="M539" s="30"/>
      <c r="N539" s="30" t="s">
        <v>48</v>
      </c>
      <c r="O539" s="1" t="n">
        <f aca="false">IF($B539="",0,IF(AND(OR(Filter!$B$5="(alle)",$N539=Filter!$B$5),OR(Filter!$E$5="(alle)",$K539=Filter!$E$5),OR(Filter!$H$5="(alle)",$C539=Filter!$H$5),OR(Filter!$B$7="(alle)",$E539=Filter!$B$7),OR(Filter!$E$7="(alle)",ISNUMBER(SEARCH(Filter!$E$7,$J539))),OR(Filter!$H$7="(alle)",ISNUMBER(SEARCH(Filter!$H$7,$I539))),OR(Filter!$B$9="",ISNUMBER(SEARCH(Filter!$B$9,$F539&amp;" "&amp;$G539)))),COUNTIF($O$6:$O538,"&gt;0")+1,0))</f>
        <v>533</v>
      </c>
    </row>
    <row r="540" customFormat="false" ht="38.25" hidden="false" customHeight="true" outlineLevel="0" collapsed="false">
      <c r="B540" s="30" t="s">
        <v>2774</v>
      </c>
      <c r="C540" s="30" t="s">
        <v>286</v>
      </c>
      <c r="D540" s="30" t="s">
        <v>2775</v>
      </c>
      <c r="E540" s="30" t="s">
        <v>355</v>
      </c>
      <c r="F540" s="30" t="s">
        <v>2776</v>
      </c>
      <c r="G540" s="30" t="s">
        <v>2777</v>
      </c>
      <c r="H540" s="30" t="s">
        <v>2778</v>
      </c>
      <c r="I540" s="30" t="s">
        <v>306</v>
      </c>
      <c r="J540" s="30" t="s">
        <v>206</v>
      </c>
      <c r="K540" s="31" t="s">
        <v>151</v>
      </c>
      <c r="L540" s="32"/>
      <c r="M540" s="30" t="s">
        <v>2779</v>
      </c>
      <c r="N540" s="30" t="s">
        <v>48</v>
      </c>
      <c r="O540" s="1" t="n">
        <f aca="false">IF($B540="",0,IF(AND(OR(Filter!$B$5="(alle)",$N540=Filter!$B$5),OR(Filter!$E$5="(alle)",$K540=Filter!$E$5),OR(Filter!$H$5="(alle)",$C540=Filter!$H$5),OR(Filter!$B$7="(alle)",$E540=Filter!$B$7),OR(Filter!$E$7="(alle)",ISNUMBER(SEARCH(Filter!$E$7,$J540))),OR(Filter!$H$7="(alle)",ISNUMBER(SEARCH(Filter!$H$7,$I540))),OR(Filter!$B$9="",ISNUMBER(SEARCH(Filter!$B$9,$F540&amp;" "&amp;$G540)))),COUNTIF($O$6:$O539,"&gt;0")+1,0))</f>
        <v>534</v>
      </c>
    </row>
    <row r="541" customFormat="false" ht="178.5" hidden="false" customHeight="true" outlineLevel="0" collapsed="false">
      <c r="B541" s="30" t="s">
        <v>2780</v>
      </c>
      <c r="C541" s="30" t="s">
        <v>286</v>
      </c>
      <c r="D541" s="30" t="s">
        <v>2781</v>
      </c>
      <c r="E541" s="30" t="s">
        <v>344</v>
      </c>
      <c r="F541" s="30" t="s">
        <v>2782</v>
      </c>
      <c r="G541" s="30" t="s">
        <v>2783</v>
      </c>
      <c r="H541" s="30" t="s">
        <v>2784</v>
      </c>
      <c r="I541" s="30" t="s">
        <v>476</v>
      </c>
      <c r="J541" s="30" t="s">
        <v>476</v>
      </c>
      <c r="K541" s="31" t="s">
        <v>47</v>
      </c>
      <c r="L541" s="32"/>
      <c r="M541" s="30"/>
      <c r="N541" s="30" t="s">
        <v>48</v>
      </c>
      <c r="O541" s="1" t="n">
        <f aca="false">IF($B541="",0,IF(AND(OR(Filter!$B$5="(alle)",$N541=Filter!$B$5),OR(Filter!$E$5="(alle)",$K541=Filter!$E$5),OR(Filter!$H$5="(alle)",$C541=Filter!$H$5),OR(Filter!$B$7="(alle)",$E541=Filter!$B$7),OR(Filter!$E$7="(alle)",ISNUMBER(SEARCH(Filter!$E$7,$J541))),OR(Filter!$H$7="(alle)",ISNUMBER(SEARCH(Filter!$H$7,$I541))),OR(Filter!$B$9="",ISNUMBER(SEARCH(Filter!$B$9,$F541&amp;" "&amp;$G541)))),COUNTIF($O$6:$O540,"&gt;0")+1,0))</f>
        <v>535</v>
      </c>
    </row>
    <row r="542" customFormat="false" ht="76.5" hidden="false" customHeight="true" outlineLevel="0" collapsed="false">
      <c r="B542" s="30" t="s">
        <v>2785</v>
      </c>
      <c r="C542" s="30" t="s">
        <v>286</v>
      </c>
      <c r="D542" s="30" t="s">
        <v>2786</v>
      </c>
      <c r="E542" s="30" t="s">
        <v>361</v>
      </c>
      <c r="F542" s="30" t="s">
        <v>2787</v>
      </c>
      <c r="G542" s="30" t="s">
        <v>2788</v>
      </c>
      <c r="H542" s="30" t="s">
        <v>2789</v>
      </c>
      <c r="I542" s="30" t="s">
        <v>158</v>
      </c>
      <c r="J542" s="30" t="s">
        <v>159</v>
      </c>
      <c r="K542" s="31" t="s">
        <v>47</v>
      </c>
      <c r="L542" s="32"/>
      <c r="M542" s="30"/>
      <c r="N542" s="30" t="s">
        <v>48</v>
      </c>
      <c r="O542" s="1" t="n">
        <f aca="false">IF($B542="",0,IF(AND(OR(Filter!$B$5="(alle)",$N542=Filter!$B$5),OR(Filter!$E$5="(alle)",$K542=Filter!$E$5),OR(Filter!$H$5="(alle)",$C542=Filter!$H$5),OR(Filter!$B$7="(alle)",$E542=Filter!$B$7),OR(Filter!$E$7="(alle)",ISNUMBER(SEARCH(Filter!$E$7,$J542))),OR(Filter!$H$7="(alle)",ISNUMBER(SEARCH(Filter!$H$7,$I542))),OR(Filter!$B$9="",ISNUMBER(SEARCH(Filter!$B$9,$F542&amp;" "&amp;$G542)))),COUNTIF($O$6:$O541,"&gt;0")+1,0))</f>
        <v>536</v>
      </c>
    </row>
    <row r="543" customFormat="false" ht="114.75" hidden="false" customHeight="true" outlineLevel="0" collapsed="false">
      <c r="B543" s="30" t="s">
        <v>2790</v>
      </c>
      <c r="C543" s="30" t="s">
        <v>286</v>
      </c>
      <c r="D543" s="30" t="s">
        <v>2791</v>
      </c>
      <c r="E543" s="30" t="s">
        <v>604</v>
      </c>
      <c r="F543" s="30" t="s">
        <v>2792</v>
      </c>
      <c r="G543" s="30" t="s">
        <v>2793</v>
      </c>
      <c r="H543" s="30" t="s">
        <v>2794</v>
      </c>
      <c r="I543" s="30" t="s">
        <v>476</v>
      </c>
      <c r="J543" s="30" t="s">
        <v>476</v>
      </c>
      <c r="K543" s="31" t="s">
        <v>47</v>
      </c>
      <c r="L543" s="32"/>
      <c r="M543" s="30"/>
      <c r="N543" s="30" t="s">
        <v>48</v>
      </c>
      <c r="O543" s="1" t="n">
        <f aca="false">IF($B543="",0,IF(AND(OR(Filter!$B$5="(alle)",$N543=Filter!$B$5),OR(Filter!$E$5="(alle)",$K543=Filter!$E$5),OR(Filter!$H$5="(alle)",$C543=Filter!$H$5),OR(Filter!$B$7="(alle)",$E543=Filter!$B$7),OR(Filter!$E$7="(alle)",ISNUMBER(SEARCH(Filter!$E$7,$J543))),OR(Filter!$H$7="(alle)",ISNUMBER(SEARCH(Filter!$H$7,$I543))),OR(Filter!$B$9="",ISNUMBER(SEARCH(Filter!$B$9,$F543&amp;" "&amp;$G543)))),COUNTIF($O$6:$O542,"&gt;0")+1,0))</f>
        <v>537</v>
      </c>
    </row>
    <row r="544" customFormat="false" ht="140.25" hidden="false" customHeight="true" outlineLevel="0" collapsed="false">
      <c r="B544" s="30" t="s">
        <v>2795</v>
      </c>
      <c r="C544" s="30" t="s">
        <v>286</v>
      </c>
      <c r="D544" s="30" t="s">
        <v>2796</v>
      </c>
      <c r="E544" s="30" t="s">
        <v>361</v>
      </c>
      <c r="F544" s="30" t="s">
        <v>2797</v>
      </c>
      <c r="G544" s="30" t="s">
        <v>2798</v>
      </c>
      <c r="H544" s="30" t="s">
        <v>2799</v>
      </c>
      <c r="I544" s="30" t="s">
        <v>290</v>
      </c>
      <c r="J544" s="30" t="s">
        <v>808</v>
      </c>
      <c r="K544" s="31" t="s">
        <v>47</v>
      </c>
      <c r="L544" s="32"/>
      <c r="M544" s="30"/>
      <c r="N544" s="30" t="s">
        <v>48</v>
      </c>
      <c r="O544" s="1" t="n">
        <f aca="false">IF($B544="",0,IF(AND(OR(Filter!$B$5="(alle)",$N544=Filter!$B$5),OR(Filter!$E$5="(alle)",$K544=Filter!$E$5),OR(Filter!$H$5="(alle)",$C544=Filter!$H$5),OR(Filter!$B$7="(alle)",$E544=Filter!$B$7),OR(Filter!$E$7="(alle)",ISNUMBER(SEARCH(Filter!$E$7,$J544))),OR(Filter!$H$7="(alle)",ISNUMBER(SEARCH(Filter!$H$7,$I544))),OR(Filter!$B$9="",ISNUMBER(SEARCH(Filter!$B$9,$F544&amp;" "&amp;$G544)))),COUNTIF($O$6:$O543,"&gt;0")+1,0))</f>
        <v>538</v>
      </c>
    </row>
    <row r="545" customFormat="false" ht="89.25" hidden="false" customHeight="true" outlineLevel="0" collapsed="false">
      <c r="B545" s="30" t="s">
        <v>2800</v>
      </c>
      <c r="C545" s="30" t="s">
        <v>286</v>
      </c>
      <c r="D545" s="30" t="s">
        <v>2801</v>
      </c>
      <c r="E545" s="30" t="s">
        <v>604</v>
      </c>
      <c r="F545" s="30" t="s">
        <v>2802</v>
      </c>
      <c r="G545" s="30" t="s">
        <v>2803</v>
      </c>
      <c r="H545" s="30" t="s">
        <v>2804</v>
      </c>
      <c r="I545" s="30" t="s">
        <v>476</v>
      </c>
      <c r="J545" s="30" t="s">
        <v>476</v>
      </c>
      <c r="K545" s="31" t="s">
        <v>47</v>
      </c>
      <c r="L545" s="32"/>
      <c r="M545" s="30"/>
      <c r="N545" s="30" t="s">
        <v>48</v>
      </c>
      <c r="O545" s="1" t="n">
        <f aca="false">IF($B545="",0,IF(AND(OR(Filter!$B$5="(alle)",$N545=Filter!$B$5),OR(Filter!$E$5="(alle)",$K545=Filter!$E$5),OR(Filter!$H$5="(alle)",$C545=Filter!$H$5),OR(Filter!$B$7="(alle)",$E545=Filter!$B$7),OR(Filter!$E$7="(alle)",ISNUMBER(SEARCH(Filter!$E$7,$J545))),OR(Filter!$H$7="(alle)",ISNUMBER(SEARCH(Filter!$H$7,$I545))),OR(Filter!$B$9="",ISNUMBER(SEARCH(Filter!$B$9,$F545&amp;" "&amp;$G545)))),COUNTIF($O$6:$O544,"&gt;0")+1,0))</f>
        <v>539</v>
      </c>
    </row>
    <row r="546" customFormat="false" ht="140.25" hidden="false" customHeight="true" outlineLevel="0" collapsed="false">
      <c r="B546" s="30" t="s">
        <v>2805</v>
      </c>
      <c r="C546" s="30" t="s">
        <v>286</v>
      </c>
      <c r="D546" s="30" t="s">
        <v>2806</v>
      </c>
      <c r="E546" s="30" t="s">
        <v>355</v>
      </c>
      <c r="F546" s="30" t="s">
        <v>2807</v>
      </c>
      <c r="G546" s="30" t="s">
        <v>2808</v>
      </c>
      <c r="H546" s="30" t="s">
        <v>2809</v>
      </c>
      <c r="I546" s="30" t="s">
        <v>306</v>
      </c>
      <c r="J546" s="30" t="s">
        <v>206</v>
      </c>
      <c r="K546" s="31" t="s">
        <v>47</v>
      </c>
      <c r="L546" s="32"/>
      <c r="M546" s="30"/>
      <c r="N546" s="30" t="s">
        <v>48</v>
      </c>
      <c r="O546" s="1" t="n">
        <f aca="false">IF($B546="",0,IF(AND(OR(Filter!$B$5="(alle)",$N546=Filter!$B$5),OR(Filter!$E$5="(alle)",$K546=Filter!$E$5),OR(Filter!$H$5="(alle)",$C546=Filter!$H$5),OR(Filter!$B$7="(alle)",$E546=Filter!$B$7),OR(Filter!$E$7="(alle)",ISNUMBER(SEARCH(Filter!$E$7,$J546))),OR(Filter!$H$7="(alle)",ISNUMBER(SEARCH(Filter!$H$7,$I546))),OR(Filter!$B$9="",ISNUMBER(SEARCH(Filter!$B$9,$F546&amp;" "&amp;$G546)))),COUNTIF($O$6:$O545,"&gt;0")+1,0))</f>
        <v>540</v>
      </c>
    </row>
    <row r="547" customFormat="false" ht="89.25" hidden="false" customHeight="true" outlineLevel="0" collapsed="false">
      <c r="B547" s="30" t="s">
        <v>2810</v>
      </c>
      <c r="C547" s="30" t="s">
        <v>286</v>
      </c>
      <c r="D547" s="30" t="s">
        <v>2811</v>
      </c>
      <c r="E547" s="30" t="s">
        <v>361</v>
      </c>
      <c r="F547" s="30" t="s">
        <v>2812</v>
      </c>
      <c r="G547" s="30" t="s">
        <v>2813</v>
      </c>
      <c r="H547" s="30" t="s">
        <v>2814</v>
      </c>
      <c r="I547" s="30" t="s">
        <v>306</v>
      </c>
      <c r="J547" s="30" t="s">
        <v>206</v>
      </c>
      <c r="K547" s="31" t="s">
        <v>47</v>
      </c>
      <c r="L547" s="32"/>
      <c r="M547" s="30"/>
      <c r="N547" s="30" t="s">
        <v>48</v>
      </c>
      <c r="O547" s="1" t="n">
        <f aca="false">IF($B547="",0,IF(AND(OR(Filter!$B$5="(alle)",$N547=Filter!$B$5),OR(Filter!$E$5="(alle)",$K547=Filter!$E$5),OR(Filter!$H$5="(alle)",$C547=Filter!$H$5),OR(Filter!$B$7="(alle)",$E547=Filter!$B$7),OR(Filter!$E$7="(alle)",ISNUMBER(SEARCH(Filter!$E$7,$J547))),OR(Filter!$H$7="(alle)",ISNUMBER(SEARCH(Filter!$H$7,$I547))),OR(Filter!$B$9="",ISNUMBER(SEARCH(Filter!$B$9,$F547&amp;" "&amp;$G547)))),COUNTIF($O$6:$O546,"&gt;0")+1,0))</f>
        <v>541</v>
      </c>
    </row>
    <row r="548" customFormat="false" ht="63.75" hidden="false" customHeight="true" outlineLevel="0" collapsed="false">
      <c r="B548" s="30" t="s">
        <v>2815</v>
      </c>
      <c r="C548" s="30" t="s">
        <v>286</v>
      </c>
      <c r="D548" s="30" t="s">
        <v>2816</v>
      </c>
      <c r="E548" s="30" t="s">
        <v>331</v>
      </c>
      <c r="F548" s="30" t="s">
        <v>2817</v>
      </c>
      <c r="G548" s="30" t="s">
        <v>2818</v>
      </c>
      <c r="H548" s="30" t="s">
        <v>2819</v>
      </c>
      <c r="I548" s="30" t="s">
        <v>306</v>
      </c>
      <c r="J548" s="30" t="s">
        <v>206</v>
      </c>
      <c r="K548" s="31" t="s">
        <v>151</v>
      </c>
      <c r="L548" s="32"/>
      <c r="M548" s="30" t="s">
        <v>370</v>
      </c>
      <c r="N548" s="30" t="s">
        <v>48</v>
      </c>
      <c r="O548" s="1" t="n">
        <f aca="false">IF($B548="",0,IF(AND(OR(Filter!$B$5="(alle)",$N548=Filter!$B$5),OR(Filter!$E$5="(alle)",$K548=Filter!$E$5),OR(Filter!$H$5="(alle)",$C548=Filter!$H$5),OR(Filter!$B$7="(alle)",$E548=Filter!$B$7),OR(Filter!$E$7="(alle)",ISNUMBER(SEARCH(Filter!$E$7,$J548))),OR(Filter!$H$7="(alle)",ISNUMBER(SEARCH(Filter!$H$7,$I548))),OR(Filter!$B$9="",ISNUMBER(SEARCH(Filter!$B$9,$F548&amp;" "&amp;$G548)))),COUNTIF($O$6:$O547,"&gt;0")+1,0))</f>
        <v>542</v>
      </c>
    </row>
    <row r="549" customFormat="false" ht="165.75" hidden="false" customHeight="true" outlineLevel="0" collapsed="false">
      <c r="B549" s="30" t="s">
        <v>2820</v>
      </c>
      <c r="C549" s="30" t="s">
        <v>286</v>
      </c>
      <c r="D549" s="30" t="s">
        <v>2821</v>
      </c>
      <c r="E549" s="30" t="s">
        <v>355</v>
      </c>
      <c r="F549" s="30" t="s">
        <v>2822</v>
      </c>
      <c r="G549" s="30" t="s">
        <v>2823</v>
      </c>
      <c r="H549" s="30" t="s">
        <v>2824</v>
      </c>
      <c r="I549" s="30" t="s">
        <v>306</v>
      </c>
      <c r="J549" s="30" t="s">
        <v>206</v>
      </c>
      <c r="K549" s="31" t="s">
        <v>47</v>
      </c>
      <c r="L549" s="32"/>
      <c r="M549" s="30"/>
      <c r="N549" s="30" t="s">
        <v>48</v>
      </c>
      <c r="O549" s="1" t="n">
        <f aca="false">IF($B549="",0,IF(AND(OR(Filter!$B$5="(alle)",$N549=Filter!$B$5),OR(Filter!$E$5="(alle)",$K549=Filter!$E$5),OR(Filter!$H$5="(alle)",$C549=Filter!$H$5),OR(Filter!$B$7="(alle)",$E549=Filter!$B$7),OR(Filter!$E$7="(alle)",ISNUMBER(SEARCH(Filter!$E$7,$J549))),OR(Filter!$H$7="(alle)",ISNUMBER(SEARCH(Filter!$H$7,$I549))),OR(Filter!$B$9="",ISNUMBER(SEARCH(Filter!$B$9,$F549&amp;" "&amp;$G549)))),COUNTIF($O$6:$O548,"&gt;0")+1,0))</f>
        <v>543</v>
      </c>
    </row>
    <row r="550" customFormat="false" ht="191.25" hidden="false" customHeight="true" outlineLevel="0" collapsed="false">
      <c r="B550" s="30" t="s">
        <v>2825</v>
      </c>
      <c r="C550" s="30" t="s">
        <v>286</v>
      </c>
      <c r="D550" s="30" t="s">
        <v>2826</v>
      </c>
      <c r="E550" s="30" t="s">
        <v>361</v>
      </c>
      <c r="F550" s="30" t="s">
        <v>2827</v>
      </c>
      <c r="G550" s="30" t="s">
        <v>2828</v>
      </c>
      <c r="H550" s="30" t="s">
        <v>2829</v>
      </c>
      <c r="I550" s="30" t="s">
        <v>158</v>
      </c>
      <c r="J550" s="30" t="s">
        <v>159</v>
      </c>
      <c r="K550" s="31" t="s">
        <v>47</v>
      </c>
      <c r="L550" s="32"/>
      <c r="M550" s="30"/>
      <c r="N550" s="30" t="s">
        <v>48</v>
      </c>
      <c r="O550" s="1" t="n">
        <f aca="false">IF($B550="",0,IF(AND(OR(Filter!$B$5="(alle)",$N550=Filter!$B$5),OR(Filter!$E$5="(alle)",$K550=Filter!$E$5),OR(Filter!$H$5="(alle)",$C550=Filter!$H$5),OR(Filter!$B$7="(alle)",$E550=Filter!$B$7),OR(Filter!$E$7="(alle)",ISNUMBER(SEARCH(Filter!$E$7,$J550))),OR(Filter!$H$7="(alle)",ISNUMBER(SEARCH(Filter!$H$7,$I550))),OR(Filter!$B$9="",ISNUMBER(SEARCH(Filter!$B$9,$F550&amp;" "&amp;$G550)))),COUNTIF($O$6:$O549,"&gt;0")+1,0))</f>
        <v>544</v>
      </c>
    </row>
    <row r="551" customFormat="false" ht="63.75" hidden="false" customHeight="true" outlineLevel="0" collapsed="false">
      <c r="B551" s="30" t="s">
        <v>2830</v>
      </c>
      <c r="C551" s="30" t="s">
        <v>286</v>
      </c>
      <c r="D551" s="30" t="s">
        <v>2831</v>
      </c>
      <c r="E551" s="30" t="s">
        <v>42</v>
      </c>
      <c r="F551" s="30" t="s">
        <v>2832</v>
      </c>
      <c r="G551" s="30" t="s">
        <v>2833</v>
      </c>
      <c r="H551" s="30" t="s">
        <v>2834</v>
      </c>
      <c r="I551" s="30" t="s">
        <v>45</v>
      </c>
      <c r="J551" s="30" t="s">
        <v>46</v>
      </c>
      <c r="K551" s="31" t="s">
        <v>47</v>
      </c>
      <c r="L551" s="32"/>
      <c r="M551" s="30"/>
      <c r="N551" s="30" t="s">
        <v>48</v>
      </c>
      <c r="O551" s="1" t="n">
        <f aca="false">IF($B551="",0,IF(AND(OR(Filter!$B$5="(alle)",$N551=Filter!$B$5),OR(Filter!$E$5="(alle)",$K551=Filter!$E$5),OR(Filter!$H$5="(alle)",$C551=Filter!$H$5),OR(Filter!$B$7="(alle)",$E551=Filter!$B$7),OR(Filter!$E$7="(alle)",ISNUMBER(SEARCH(Filter!$E$7,$J551))),OR(Filter!$H$7="(alle)",ISNUMBER(SEARCH(Filter!$H$7,$I551))),OR(Filter!$B$9="",ISNUMBER(SEARCH(Filter!$B$9,$F551&amp;" "&amp;$G551)))),COUNTIF($O$6:$O550,"&gt;0")+1,0))</f>
        <v>545</v>
      </c>
    </row>
    <row r="552" customFormat="false" ht="140.25" hidden="false" customHeight="true" outlineLevel="0" collapsed="false">
      <c r="B552" s="30" t="s">
        <v>2835</v>
      </c>
      <c r="C552" s="30" t="s">
        <v>286</v>
      </c>
      <c r="D552" s="30" t="s">
        <v>2836</v>
      </c>
      <c r="E552" s="30" t="s">
        <v>81</v>
      </c>
      <c r="F552" s="30" t="s">
        <v>2837</v>
      </c>
      <c r="G552" s="30" t="s">
        <v>2838</v>
      </c>
      <c r="H552" s="30" t="s">
        <v>2839</v>
      </c>
      <c r="I552" s="30" t="s">
        <v>290</v>
      </c>
      <c r="J552" s="30" t="s">
        <v>84</v>
      </c>
      <c r="K552" s="31" t="s">
        <v>47</v>
      </c>
      <c r="L552" s="32"/>
      <c r="M552" s="30"/>
      <c r="N552" s="30" t="s">
        <v>65</v>
      </c>
      <c r="O552" s="1" t="n">
        <f aca="false">IF($B552="",0,IF(AND(OR(Filter!$B$5="(alle)",$N552=Filter!$B$5),OR(Filter!$E$5="(alle)",$K552=Filter!$E$5),OR(Filter!$H$5="(alle)",$C552=Filter!$H$5),OR(Filter!$B$7="(alle)",$E552=Filter!$B$7),OR(Filter!$E$7="(alle)",ISNUMBER(SEARCH(Filter!$E$7,$J552))),OR(Filter!$H$7="(alle)",ISNUMBER(SEARCH(Filter!$H$7,$I552))),OR(Filter!$B$9="",ISNUMBER(SEARCH(Filter!$B$9,$F552&amp;" "&amp;$G552)))),COUNTIF($O$6:$O551,"&gt;0")+1,0))</f>
        <v>546</v>
      </c>
    </row>
    <row r="553" customFormat="false" ht="204" hidden="false" customHeight="true" outlineLevel="0" collapsed="false">
      <c r="B553" s="30" t="s">
        <v>2840</v>
      </c>
      <c r="C553" s="30" t="s">
        <v>286</v>
      </c>
      <c r="D553" s="30" t="s">
        <v>2841</v>
      </c>
      <c r="E553" s="30" t="s">
        <v>81</v>
      </c>
      <c r="F553" s="30" t="s">
        <v>2842</v>
      </c>
      <c r="G553" s="30" t="s">
        <v>2843</v>
      </c>
      <c r="H553" s="30" t="s">
        <v>2844</v>
      </c>
      <c r="I553" s="30" t="s">
        <v>340</v>
      </c>
      <c r="J553" s="30" t="s">
        <v>86</v>
      </c>
      <c r="K553" s="31" t="s">
        <v>47</v>
      </c>
      <c r="L553" s="32"/>
      <c r="M553" s="30"/>
      <c r="N553" s="30" t="s">
        <v>65</v>
      </c>
      <c r="O553" s="1" t="n">
        <f aca="false">IF($B553="",0,IF(AND(OR(Filter!$B$5="(alle)",$N553=Filter!$B$5),OR(Filter!$E$5="(alle)",$K553=Filter!$E$5),OR(Filter!$H$5="(alle)",$C553=Filter!$H$5),OR(Filter!$B$7="(alle)",$E553=Filter!$B$7),OR(Filter!$E$7="(alle)",ISNUMBER(SEARCH(Filter!$E$7,$J553))),OR(Filter!$H$7="(alle)",ISNUMBER(SEARCH(Filter!$H$7,$I553))),OR(Filter!$B$9="",ISNUMBER(SEARCH(Filter!$B$9,$F553&amp;" "&amp;$G553)))),COUNTIF($O$6:$O552,"&gt;0")+1,0))</f>
        <v>547</v>
      </c>
    </row>
    <row r="554" customFormat="false" ht="89.25" hidden="false" customHeight="true" outlineLevel="0" collapsed="false">
      <c r="B554" s="30" t="s">
        <v>2845</v>
      </c>
      <c r="C554" s="30" t="s">
        <v>286</v>
      </c>
      <c r="D554" s="30" t="s">
        <v>2846</v>
      </c>
      <c r="E554" s="30" t="s">
        <v>81</v>
      </c>
      <c r="F554" s="30" t="s">
        <v>2847</v>
      </c>
      <c r="G554" s="30" t="s">
        <v>2848</v>
      </c>
      <c r="H554" s="30" t="s">
        <v>2849</v>
      </c>
      <c r="I554" s="30" t="s">
        <v>1251</v>
      </c>
      <c r="J554" s="30" t="s">
        <v>2850</v>
      </c>
      <c r="K554" s="31" t="s">
        <v>47</v>
      </c>
      <c r="L554" s="32"/>
      <c r="M554" s="30"/>
      <c r="N554" s="30" t="s">
        <v>65</v>
      </c>
      <c r="O554" s="1" t="n">
        <f aca="false">IF($B554="",0,IF(AND(OR(Filter!$B$5="(alle)",$N554=Filter!$B$5),OR(Filter!$E$5="(alle)",$K554=Filter!$E$5),OR(Filter!$H$5="(alle)",$C554=Filter!$H$5),OR(Filter!$B$7="(alle)",$E554=Filter!$B$7),OR(Filter!$E$7="(alle)",ISNUMBER(SEARCH(Filter!$E$7,$J554))),OR(Filter!$H$7="(alle)",ISNUMBER(SEARCH(Filter!$H$7,$I554))),OR(Filter!$B$9="",ISNUMBER(SEARCH(Filter!$B$9,$F554&amp;" "&amp;$G554)))),COUNTIF($O$6:$O553,"&gt;0")+1,0))</f>
        <v>548</v>
      </c>
    </row>
    <row r="555" customFormat="false" ht="63.75" hidden="false" customHeight="true" outlineLevel="0" collapsed="false">
      <c r="B555" s="30" t="s">
        <v>2851</v>
      </c>
      <c r="C555" s="30" t="s">
        <v>286</v>
      </c>
      <c r="D555" s="30" t="s">
        <v>2852</v>
      </c>
      <c r="E555" s="30" t="s">
        <v>42</v>
      </c>
      <c r="F555" s="30" t="s">
        <v>2853</v>
      </c>
      <c r="G555" s="30" t="s">
        <v>2854</v>
      </c>
      <c r="H555" s="30" t="s">
        <v>2855</v>
      </c>
      <c r="I555" s="30" t="s">
        <v>45</v>
      </c>
      <c r="J555" s="30" t="s">
        <v>46</v>
      </c>
      <c r="K555" s="31" t="s">
        <v>47</v>
      </c>
      <c r="L555" s="32"/>
      <c r="M555" s="30"/>
      <c r="N555" s="30" t="s">
        <v>48</v>
      </c>
      <c r="O555" s="1" t="n">
        <f aca="false">IF($B555="",0,IF(AND(OR(Filter!$B$5="(alle)",$N555=Filter!$B$5),OR(Filter!$E$5="(alle)",$K555=Filter!$E$5),OR(Filter!$H$5="(alle)",$C555=Filter!$H$5),OR(Filter!$B$7="(alle)",$E555=Filter!$B$7),OR(Filter!$E$7="(alle)",ISNUMBER(SEARCH(Filter!$E$7,$J555))),OR(Filter!$H$7="(alle)",ISNUMBER(SEARCH(Filter!$H$7,$I555))),OR(Filter!$B$9="",ISNUMBER(SEARCH(Filter!$B$9,$F555&amp;" "&amp;$G555)))),COUNTIF($O$6:$O554,"&gt;0")+1,0))</f>
        <v>549</v>
      </c>
    </row>
    <row r="556" customFormat="false" ht="114.75" hidden="false" customHeight="true" outlineLevel="0" collapsed="false">
      <c r="B556" s="30" t="s">
        <v>2856</v>
      </c>
      <c r="C556" s="30" t="s">
        <v>286</v>
      </c>
      <c r="D556" s="30" t="s">
        <v>2857</v>
      </c>
      <c r="E556" s="30" t="s">
        <v>42</v>
      </c>
      <c r="F556" s="30" t="s">
        <v>2858</v>
      </c>
      <c r="G556" s="30" t="s">
        <v>2859</v>
      </c>
      <c r="H556" s="30" t="s">
        <v>2860</v>
      </c>
      <c r="I556" s="30" t="s">
        <v>45</v>
      </c>
      <c r="J556" s="30" t="s">
        <v>46</v>
      </c>
      <c r="K556" s="31" t="s">
        <v>47</v>
      </c>
      <c r="L556" s="32"/>
      <c r="M556" s="30"/>
      <c r="N556" s="30" t="s">
        <v>48</v>
      </c>
      <c r="O556" s="1" t="n">
        <f aca="false">IF($B556="",0,IF(AND(OR(Filter!$B$5="(alle)",$N556=Filter!$B$5),OR(Filter!$E$5="(alle)",$K556=Filter!$E$5),OR(Filter!$H$5="(alle)",$C556=Filter!$H$5),OR(Filter!$B$7="(alle)",$E556=Filter!$B$7),OR(Filter!$E$7="(alle)",ISNUMBER(SEARCH(Filter!$E$7,$J556))),OR(Filter!$H$7="(alle)",ISNUMBER(SEARCH(Filter!$H$7,$I556))),OR(Filter!$B$9="",ISNUMBER(SEARCH(Filter!$B$9,$F556&amp;" "&amp;$G556)))),COUNTIF($O$6:$O555,"&gt;0")+1,0))</f>
        <v>550</v>
      </c>
    </row>
    <row r="557" customFormat="false" ht="51" hidden="false" customHeight="true" outlineLevel="0" collapsed="false">
      <c r="B557" s="30" t="s">
        <v>2861</v>
      </c>
      <c r="C557" s="30" t="s">
        <v>286</v>
      </c>
      <c r="D557" s="30" t="s">
        <v>2862</v>
      </c>
      <c r="E557" s="30" t="s">
        <v>331</v>
      </c>
      <c r="F557" s="30" t="s">
        <v>2863</v>
      </c>
      <c r="G557" s="30" t="s">
        <v>2864</v>
      </c>
      <c r="H557" s="30" t="s">
        <v>2865</v>
      </c>
      <c r="I557" s="30" t="s">
        <v>306</v>
      </c>
      <c r="J557" s="30" t="s">
        <v>206</v>
      </c>
      <c r="K557" s="31" t="s">
        <v>151</v>
      </c>
      <c r="L557" s="32"/>
      <c r="M557" s="30" t="s">
        <v>370</v>
      </c>
      <c r="N557" s="30" t="s">
        <v>48</v>
      </c>
      <c r="O557" s="1" t="n">
        <f aca="false">IF($B557="",0,IF(AND(OR(Filter!$B$5="(alle)",$N557=Filter!$B$5),OR(Filter!$E$5="(alle)",$K557=Filter!$E$5),OR(Filter!$H$5="(alle)",$C557=Filter!$H$5),OR(Filter!$B$7="(alle)",$E557=Filter!$B$7),OR(Filter!$E$7="(alle)",ISNUMBER(SEARCH(Filter!$E$7,$J557))),OR(Filter!$H$7="(alle)",ISNUMBER(SEARCH(Filter!$H$7,$I557))),OR(Filter!$B$9="",ISNUMBER(SEARCH(Filter!$B$9,$F557&amp;" "&amp;$G557)))),COUNTIF($O$6:$O556,"&gt;0")+1,0))</f>
        <v>551</v>
      </c>
    </row>
    <row r="558" customFormat="false" ht="204" hidden="false" customHeight="true" outlineLevel="0" collapsed="false">
      <c r="B558" s="30" t="s">
        <v>2866</v>
      </c>
      <c r="C558" s="30" t="s">
        <v>286</v>
      </c>
      <c r="D558" s="30" t="s">
        <v>2867</v>
      </c>
      <c r="E558" s="30" t="s">
        <v>210</v>
      </c>
      <c r="F558" s="30" t="s">
        <v>2868</v>
      </c>
      <c r="G558" s="30" t="s">
        <v>2869</v>
      </c>
      <c r="H558" s="30" t="s">
        <v>2870</v>
      </c>
      <c r="I558" s="30" t="s">
        <v>306</v>
      </c>
      <c r="J558" s="30" t="s">
        <v>206</v>
      </c>
      <c r="K558" s="31" t="s">
        <v>47</v>
      </c>
      <c r="L558" s="32"/>
      <c r="M558" s="30"/>
      <c r="N558" s="30" t="s">
        <v>48</v>
      </c>
      <c r="O558" s="1" t="n">
        <f aca="false">IF($B558="",0,IF(AND(OR(Filter!$B$5="(alle)",$N558=Filter!$B$5),OR(Filter!$E$5="(alle)",$K558=Filter!$E$5),OR(Filter!$H$5="(alle)",$C558=Filter!$H$5),OR(Filter!$B$7="(alle)",$E558=Filter!$B$7),OR(Filter!$E$7="(alle)",ISNUMBER(SEARCH(Filter!$E$7,$J558))),OR(Filter!$H$7="(alle)",ISNUMBER(SEARCH(Filter!$H$7,$I558))),OR(Filter!$B$9="",ISNUMBER(SEARCH(Filter!$B$9,$F558&amp;" "&amp;$G558)))),COUNTIF($O$6:$O557,"&gt;0")+1,0))</f>
        <v>552</v>
      </c>
    </row>
    <row r="559" customFormat="false" ht="102" hidden="false" customHeight="true" outlineLevel="0" collapsed="false">
      <c r="B559" s="30" t="s">
        <v>2871</v>
      </c>
      <c r="C559" s="30" t="s">
        <v>286</v>
      </c>
      <c r="D559" s="30" t="s">
        <v>2872</v>
      </c>
      <c r="E559" s="30" t="s">
        <v>361</v>
      </c>
      <c r="F559" s="30" t="s">
        <v>2873</v>
      </c>
      <c r="G559" s="30" t="s">
        <v>2874</v>
      </c>
      <c r="H559" s="30" t="s">
        <v>2875</v>
      </c>
      <c r="I559" s="30" t="s">
        <v>306</v>
      </c>
      <c r="J559" s="30" t="s">
        <v>206</v>
      </c>
      <c r="K559" s="31" t="s">
        <v>47</v>
      </c>
      <c r="L559" s="32"/>
      <c r="M559" s="30"/>
      <c r="N559" s="30" t="s">
        <v>48</v>
      </c>
      <c r="O559" s="1" t="n">
        <f aca="false">IF($B559="",0,IF(AND(OR(Filter!$B$5="(alle)",$N559=Filter!$B$5),OR(Filter!$E$5="(alle)",$K559=Filter!$E$5),OR(Filter!$H$5="(alle)",$C559=Filter!$H$5),OR(Filter!$B$7="(alle)",$E559=Filter!$B$7),OR(Filter!$E$7="(alle)",ISNUMBER(SEARCH(Filter!$E$7,$J559))),OR(Filter!$H$7="(alle)",ISNUMBER(SEARCH(Filter!$H$7,$I559))),OR(Filter!$B$9="",ISNUMBER(SEARCH(Filter!$B$9,$F559&amp;" "&amp;$G559)))),COUNTIF($O$6:$O558,"&gt;0")+1,0))</f>
        <v>553</v>
      </c>
    </row>
    <row r="560" customFormat="false" ht="89.25" hidden="false" customHeight="true" outlineLevel="0" collapsed="false">
      <c r="B560" s="30" t="s">
        <v>2876</v>
      </c>
      <c r="C560" s="30" t="s">
        <v>286</v>
      </c>
      <c r="D560" s="30" t="s">
        <v>2877</v>
      </c>
      <c r="E560" s="30" t="s">
        <v>344</v>
      </c>
      <c r="F560" s="30" t="s">
        <v>2878</v>
      </c>
      <c r="G560" s="30" t="s">
        <v>2879</v>
      </c>
      <c r="H560" s="30" t="s">
        <v>2880</v>
      </c>
      <c r="I560" s="30" t="s">
        <v>306</v>
      </c>
      <c r="J560" s="30" t="s">
        <v>206</v>
      </c>
      <c r="K560" s="31" t="s">
        <v>47</v>
      </c>
      <c r="L560" s="32"/>
      <c r="M560" s="30"/>
      <c r="N560" s="30" t="s">
        <v>48</v>
      </c>
      <c r="O560" s="1" t="n">
        <f aca="false">IF($B560="",0,IF(AND(OR(Filter!$B$5="(alle)",$N560=Filter!$B$5),OR(Filter!$E$5="(alle)",$K560=Filter!$E$5),OR(Filter!$H$5="(alle)",$C560=Filter!$H$5),OR(Filter!$B$7="(alle)",$E560=Filter!$B$7),OR(Filter!$E$7="(alle)",ISNUMBER(SEARCH(Filter!$E$7,$J560))),OR(Filter!$H$7="(alle)",ISNUMBER(SEARCH(Filter!$H$7,$I560))),OR(Filter!$B$9="",ISNUMBER(SEARCH(Filter!$B$9,$F560&amp;" "&amp;$G560)))),COUNTIF($O$6:$O559,"&gt;0")+1,0))</f>
        <v>554</v>
      </c>
    </row>
    <row r="561" customFormat="false" ht="409.5" hidden="false" customHeight="true" outlineLevel="0" collapsed="false">
      <c r="B561" s="30" t="s">
        <v>2881</v>
      </c>
      <c r="C561" s="30" t="s">
        <v>286</v>
      </c>
      <c r="D561" s="30" t="s">
        <v>2882</v>
      </c>
      <c r="E561" s="30" t="s">
        <v>604</v>
      </c>
      <c r="F561" s="30" t="s">
        <v>2883</v>
      </c>
      <c r="G561" s="30" t="s">
        <v>2884</v>
      </c>
      <c r="H561" s="30" t="s">
        <v>2885</v>
      </c>
      <c r="I561" s="30" t="s">
        <v>476</v>
      </c>
      <c r="J561" s="30" t="s">
        <v>476</v>
      </c>
      <c r="K561" s="31" t="s">
        <v>47</v>
      </c>
      <c r="L561" s="32"/>
      <c r="M561" s="30"/>
      <c r="N561" s="30" t="s">
        <v>48</v>
      </c>
      <c r="O561" s="1" t="n">
        <f aca="false">IF($B561="",0,IF(AND(OR(Filter!$B$5="(alle)",$N561=Filter!$B$5),OR(Filter!$E$5="(alle)",$K561=Filter!$E$5),OR(Filter!$H$5="(alle)",$C561=Filter!$H$5),OR(Filter!$B$7="(alle)",$E561=Filter!$B$7),OR(Filter!$E$7="(alle)",ISNUMBER(SEARCH(Filter!$E$7,$J561))),OR(Filter!$H$7="(alle)",ISNUMBER(SEARCH(Filter!$H$7,$I561))),OR(Filter!$B$9="",ISNUMBER(SEARCH(Filter!$B$9,$F561&amp;" "&amp;$G561)))),COUNTIF($O$6:$O560,"&gt;0")+1,0))</f>
        <v>555</v>
      </c>
    </row>
    <row r="562" customFormat="false" ht="76.5" hidden="false" customHeight="true" outlineLevel="0" collapsed="false">
      <c r="B562" s="30" t="s">
        <v>2886</v>
      </c>
      <c r="C562" s="30" t="s">
        <v>286</v>
      </c>
      <c r="D562" s="30" t="s">
        <v>2887</v>
      </c>
      <c r="E562" s="30" t="s">
        <v>210</v>
      </c>
      <c r="F562" s="30" t="s">
        <v>2888</v>
      </c>
      <c r="G562" s="30" t="s">
        <v>2889</v>
      </c>
      <c r="H562" s="30" t="s">
        <v>2890</v>
      </c>
      <c r="I562" s="30" t="s">
        <v>306</v>
      </c>
      <c r="J562" s="30" t="s">
        <v>206</v>
      </c>
      <c r="K562" s="31" t="s">
        <v>47</v>
      </c>
      <c r="L562" s="32"/>
      <c r="M562" s="30"/>
      <c r="N562" s="30" t="s">
        <v>48</v>
      </c>
      <c r="O562" s="1" t="n">
        <f aca="false">IF($B562="",0,IF(AND(OR(Filter!$B$5="(alle)",$N562=Filter!$B$5),OR(Filter!$E$5="(alle)",$K562=Filter!$E$5),OR(Filter!$H$5="(alle)",$C562=Filter!$H$5),OR(Filter!$B$7="(alle)",$E562=Filter!$B$7),OR(Filter!$E$7="(alle)",ISNUMBER(SEARCH(Filter!$E$7,$J562))),OR(Filter!$H$7="(alle)",ISNUMBER(SEARCH(Filter!$H$7,$I562))),OR(Filter!$B$9="",ISNUMBER(SEARCH(Filter!$B$9,$F562&amp;" "&amp;$G562)))),COUNTIF($O$6:$O561,"&gt;0")+1,0))</f>
        <v>556</v>
      </c>
    </row>
    <row r="563" customFormat="false" ht="165.75" hidden="false" customHeight="true" outlineLevel="0" collapsed="false">
      <c r="B563" s="30" t="s">
        <v>2891</v>
      </c>
      <c r="C563" s="30" t="s">
        <v>286</v>
      </c>
      <c r="D563" s="30" t="s">
        <v>2892</v>
      </c>
      <c r="E563" s="30" t="s">
        <v>344</v>
      </c>
      <c r="F563" s="30" t="s">
        <v>2893</v>
      </c>
      <c r="G563" s="30" t="s">
        <v>2894</v>
      </c>
      <c r="H563" s="30" t="s">
        <v>2895</v>
      </c>
      <c r="I563" s="30" t="s">
        <v>306</v>
      </c>
      <c r="J563" s="30" t="s">
        <v>206</v>
      </c>
      <c r="K563" s="31" t="s">
        <v>47</v>
      </c>
      <c r="L563" s="32"/>
      <c r="M563" s="30"/>
      <c r="N563" s="30" t="s">
        <v>48</v>
      </c>
      <c r="O563" s="1" t="n">
        <f aca="false">IF($B563="",0,IF(AND(OR(Filter!$B$5="(alle)",$N563=Filter!$B$5),OR(Filter!$E$5="(alle)",$K563=Filter!$E$5),OR(Filter!$H$5="(alle)",$C563=Filter!$H$5),OR(Filter!$B$7="(alle)",$E563=Filter!$B$7),OR(Filter!$E$7="(alle)",ISNUMBER(SEARCH(Filter!$E$7,$J563))),OR(Filter!$H$7="(alle)",ISNUMBER(SEARCH(Filter!$H$7,$I563))),OR(Filter!$B$9="",ISNUMBER(SEARCH(Filter!$B$9,$F563&amp;" "&amp;$G563)))),COUNTIF($O$6:$O562,"&gt;0")+1,0))</f>
        <v>557</v>
      </c>
    </row>
    <row r="564" customFormat="false" ht="51" hidden="false" customHeight="true" outlineLevel="0" collapsed="false">
      <c r="B564" s="30" t="s">
        <v>2896</v>
      </c>
      <c r="C564" s="30" t="s">
        <v>286</v>
      </c>
      <c r="D564" s="30" t="s">
        <v>2897</v>
      </c>
      <c r="E564" s="30" t="s">
        <v>344</v>
      </c>
      <c r="F564" s="30" t="s">
        <v>2898</v>
      </c>
      <c r="G564" s="30" t="s">
        <v>2899</v>
      </c>
      <c r="H564" s="30" t="s">
        <v>2900</v>
      </c>
      <c r="I564" s="30" t="s">
        <v>306</v>
      </c>
      <c r="J564" s="30" t="s">
        <v>206</v>
      </c>
      <c r="K564" s="31" t="s">
        <v>47</v>
      </c>
      <c r="L564" s="32"/>
      <c r="M564" s="30"/>
      <c r="N564" s="30" t="s">
        <v>48</v>
      </c>
      <c r="O564" s="1" t="n">
        <f aca="false">IF($B564="",0,IF(AND(OR(Filter!$B$5="(alle)",$N564=Filter!$B$5),OR(Filter!$E$5="(alle)",$K564=Filter!$E$5),OR(Filter!$H$5="(alle)",$C564=Filter!$H$5),OR(Filter!$B$7="(alle)",$E564=Filter!$B$7),OR(Filter!$E$7="(alle)",ISNUMBER(SEARCH(Filter!$E$7,$J564))),OR(Filter!$H$7="(alle)",ISNUMBER(SEARCH(Filter!$H$7,$I564))),OR(Filter!$B$9="",ISNUMBER(SEARCH(Filter!$B$9,$F564&amp;" "&amp;$G564)))),COUNTIF($O$6:$O563,"&gt;0")+1,0))</f>
        <v>558</v>
      </c>
    </row>
    <row r="565" customFormat="false" ht="63.75" hidden="false" customHeight="true" outlineLevel="0" collapsed="false">
      <c r="B565" s="30" t="s">
        <v>2901</v>
      </c>
      <c r="C565" s="30" t="s">
        <v>286</v>
      </c>
      <c r="D565" s="30" t="s">
        <v>2902</v>
      </c>
      <c r="E565" s="30" t="s">
        <v>42</v>
      </c>
      <c r="F565" s="30" t="s">
        <v>2903</v>
      </c>
      <c r="G565" s="30" t="s">
        <v>2904</v>
      </c>
      <c r="H565" s="30" t="s">
        <v>2905</v>
      </c>
      <c r="I565" s="30" t="s">
        <v>45</v>
      </c>
      <c r="J565" s="30" t="s">
        <v>46</v>
      </c>
      <c r="K565" s="31" t="s">
        <v>47</v>
      </c>
      <c r="L565" s="32"/>
      <c r="M565" s="30"/>
      <c r="N565" s="30" t="s">
        <v>48</v>
      </c>
      <c r="O565" s="1" t="n">
        <f aca="false">IF($B565="",0,IF(AND(OR(Filter!$B$5="(alle)",$N565=Filter!$B$5),OR(Filter!$E$5="(alle)",$K565=Filter!$E$5),OR(Filter!$H$5="(alle)",$C565=Filter!$H$5),OR(Filter!$B$7="(alle)",$E565=Filter!$B$7),OR(Filter!$E$7="(alle)",ISNUMBER(SEARCH(Filter!$E$7,$J565))),OR(Filter!$H$7="(alle)",ISNUMBER(SEARCH(Filter!$H$7,$I565))),OR(Filter!$B$9="",ISNUMBER(SEARCH(Filter!$B$9,$F565&amp;" "&amp;$G565)))),COUNTIF($O$6:$O564,"&gt;0")+1,0))</f>
        <v>559</v>
      </c>
    </row>
    <row r="566" customFormat="false" ht="89.25" hidden="false" customHeight="true" outlineLevel="0" collapsed="false">
      <c r="B566" s="30" t="s">
        <v>2906</v>
      </c>
      <c r="C566" s="30" t="s">
        <v>286</v>
      </c>
      <c r="D566" s="30" t="s">
        <v>2907</v>
      </c>
      <c r="E566" s="30" t="s">
        <v>344</v>
      </c>
      <c r="F566" s="30" t="s">
        <v>2908</v>
      </c>
      <c r="G566" s="30" t="s">
        <v>2909</v>
      </c>
      <c r="H566" s="30" t="s">
        <v>2910</v>
      </c>
      <c r="I566" s="30" t="s">
        <v>306</v>
      </c>
      <c r="J566" s="30" t="s">
        <v>206</v>
      </c>
      <c r="K566" s="31" t="s">
        <v>47</v>
      </c>
      <c r="L566" s="32"/>
      <c r="M566" s="30"/>
      <c r="N566" s="30" t="s">
        <v>48</v>
      </c>
      <c r="O566" s="1" t="n">
        <f aca="false">IF($B566="",0,IF(AND(OR(Filter!$B$5="(alle)",$N566=Filter!$B$5),OR(Filter!$E$5="(alle)",$K566=Filter!$E$5),OR(Filter!$H$5="(alle)",$C566=Filter!$H$5),OR(Filter!$B$7="(alle)",$E566=Filter!$B$7),OR(Filter!$E$7="(alle)",ISNUMBER(SEARCH(Filter!$E$7,$J566))),OR(Filter!$H$7="(alle)",ISNUMBER(SEARCH(Filter!$H$7,$I566))),OR(Filter!$B$9="",ISNUMBER(SEARCH(Filter!$B$9,$F566&amp;" "&amp;$G566)))),COUNTIF($O$6:$O565,"&gt;0")+1,0))</f>
        <v>560</v>
      </c>
    </row>
    <row r="567" customFormat="false" ht="127.5" hidden="false" customHeight="true" outlineLevel="0" collapsed="false">
      <c r="B567" s="30" t="s">
        <v>2911</v>
      </c>
      <c r="C567" s="30" t="s">
        <v>286</v>
      </c>
      <c r="D567" s="30" t="s">
        <v>2912</v>
      </c>
      <c r="E567" s="30" t="s">
        <v>344</v>
      </c>
      <c r="F567" s="30" t="s">
        <v>2913</v>
      </c>
      <c r="G567" s="30" t="s">
        <v>2914</v>
      </c>
      <c r="H567" s="30" t="s">
        <v>2915</v>
      </c>
      <c r="I567" s="30" t="s">
        <v>306</v>
      </c>
      <c r="J567" s="30" t="s">
        <v>206</v>
      </c>
      <c r="K567" s="31" t="s">
        <v>47</v>
      </c>
      <c r="L567" s="32"/>
      <c r="M567" s="30"/>
      <c r="N567" s="30" t="s">
        <v>48</v>
      </c>
      <c r="O567" s="1" t="n">
        <f aca="false">IF($B567="",0,IF(AND(OR(Filter!$B$5="(alle)",$N567=Filter!$B$5),OR(Filter!$E$5="(alle)",$K567=Filter!$E$5),OR(Filter!$H$5="(alle)",$C567=Filter!$H$5),OR(Filter!$B$7="(alle)",$E567=Filter!$B$7),OR(Filter!$E$7="(alle)",ISNUMBER(SEARCH(Filter!$E$7,$J567))),OR(Filter!$H$7="(alle)",ISNUMBER(SEARCH(Filter!$H$7,$I567))),OR(Filter!$B$9="",ISNUMBER(SEARCH(Filter!$B$9,$F567&amp;" "&amp;$G567)))),COUNTIF($O$6:$O566,"&gt;0")+1,0))</f>
        <v>561</v>
      </c>
    </row>
    <row r="568" customFormat="false" ht="63.75" hidden="false" customHeight="true" outlineLevel="0" collapsed="false">
      <c r="B568" s="30" t="s">
        <v>2916</v>
      </c>
      <c r="C568" s="30" t="s">
        <v>286</v>
      </c>
      <c r="D568" s="30" t="s">
        <v>2917</v>
      </c>
      <c r="E568" s="30" t="s">
        <v>344</v>
      </c>
      <c r="F568" s="30" t="s">
        <v>2918</v>
      </c>
      <c r="G568" s="30" t="s">
        <v>2919</v>
      </c>
      <c r="H568" s="30" t="s">
        <v>2920</v>
      </c>
      <c r="I568" s="30" t="s">
        <v>306</v>
      </c>
      <c r="J568" s="30" t="s">
        <v>206</v>
      </c>
      <c r="K568" s="31" t="s">
        <v>47</v>
      </c>
      <c r="L568" s="32"/>
      <c r="M568" s="30"/>
      <c r="N568" s="30" t="s">
        <v>48</v>
      </c>
      <c r="O568" s="1" t="n">
        <f aca="false">IF($B568="",0,IF(AND(OR(Filter!$B$5="(alle)",$N568=Filter!$B$5),OR(Filter!$E$5="(alle)",$K568=Filter!$E$5),OR(Filter!$H$5="(alle)",$C568=Filter!$H$5),OR(Filter!$B$7="(alle)",$E568=Filter!$B$7),OR(Filter!$E$7="(alle)",ISNUMBER(SEARCH(Filter!$E$7,$J568))),OR(Filter!$H$7="(alle)",ISNUMBER(SEARCH(Filter!$H$7,$I568))),OR(Filter!$B$9="",ISNUMBER(SEARCH(Filter!$B$9,$F568&amp;" "&amp;$G568)))),COUNTIF($O$6:$O567,"&gt;0")+1,0))</f>
        <v>562</v>
      </c>
    </row>
    <row r="569" customFormat="false" ht="63.75" hidden="false" customHeight="true" outlineLevel="0" collapsed="false">
      <c r="B569" s="30" t="s">
        <v>2921</v>
      </c>
      <c r="C569" s="30" t="s">
        <v>286</v>
      </c>
      <c r="D569" s="30" t="s">
        <v>2922</v>
      </c>
      <c r="E569" s="30" t="s">
        <v>361</v>
      </c>
      <c r="F569" s="30" t="s">
        <v>2923</v>
      </c>
      <c r="G569" s="30" t="s">
        <v>2924</v>
      </c>
      <c r="H569" s="30" t="s">
        <v>2925</v>
      </c>
      <c r="I569" s="30" t="s">
        <v>306</v>
      </c>
      <c r="J569" s="30" t="s">
        <v>206</v>
      </c>
      <c r="K569" s="31" t="s">
        <v>47</v>
      </c>
      <c r="L569" s="32"/>
      <c r="M569" s="30"/>
      <c r="N569" s="30" t="s">
        <v>48</v>
      </c>
      <c r="O569" s="1" t="n">
        <f aca="false">IF($B569="",0,IF(AND(OR(Filter!$B$5="(alle)",$N569=Filter!$B$5),OR(Filter!$E$5="(alle)",$K569=Filter!$E$5),OR(Filter!$H$5="(alle)",$C569=Filter!$H$5),OR(Filter!$B$7="(alle)",$E569=Filter!$B$7),OR(Filter!$E$7="(alle)",ISNUMBER(SEARCH(Filter!$E$7,$J569))),OR(Filter!$H$7="(alle)",ISNUMBER(SEARCH(Filter!$H$7,$I569))),OR(Filter!$B$9="",ISNUMBER(SEARCH(Filter!$B$9,$F569&amp;" "&amp;$G569)))),COUNTIF($O$6:$O568,"&gt;0")+1,0))</f>
        <v>563</v>
      </c>
    </row>
    <row r="570" customFormat="false" ht="102" hidden="false" customHeight="true" outlineLevel="0" collapsed="false">
      <c r="B570" s="30" t="s">
        <v>2926</v>
      </c>
      <c r="C570" s="30" t="s">
        <v>286</v>
      </c>
      <c r="D570" s="30" t="s">
        <v>2927</v>
      </c>
      <c r="E570" s="30" t="s">
        <v>344</v>
      </c>
      <c r="F570" s="30" t="s">
        <v>2928</v>
      </c>
      <c r="G570" s="30" t="s">
        <v>2929</v>
      </c>
      <c r="H570" s="30" t="s">
        <v>2930</v>
      </c>
      <c r="I570" s="30" t="s">
        <v>306</v>
      </c>
      <c r="J570" s="30" t="s">
        <v>206</v>
      </c>
      <c r="K570" s="31" t="s">
        <v>47</v>
      </c>
      <c r="L570" s="32"/>
      <c r="M570" s="30"/>
      <c r="N570" s="30" t="s">
        <v>48</v>
      </c>
      <c r="O570" s="1" t="n">
        <f aca="false">IF($B570="",0,IF(AND(OR(Filter!$B$5="(alle)",$N570=Filter!$B$5),OR(Filter!$E$5="(alle)",$K570=Filter!$E$5),OR(Filter!$H$5="(alle)",$C570=Filter!$H$5),OR(Filter!$B$7="(alle)",$E570=Filter!$B$7),OR(Filter!$E$7="(alle)",ISNUMBER(SEARCH(Filter!$E$7,$J570))),OR(Filter!$H$7="(alle)",ISNUMBER(SEARCH(Filter!$H$7,$I570))),OR(Filter!$B$9="",ISNUMBER(SEARCH(Filter!$B$9,$F570&amp;" "&amp;$G570)))),COUNTIF($O$6:$O569,"&gt;0")+1,0))</f>
        <v>564</v>
      </c>
    </row>
    <row r="571" customFormat="false" ht="255" hidden="false" customHeight="true" outlineLevel="0" collapsed="false">
      <c r="B571" s="30" t="s">
        <v>2931</v>
      </c>
      <c r="C571" s="30" t="s">
        <v>286</v>
      </c>
      <c r="D571" s="30" t="s">
        <v>2932</v>
      </c>
      <c r="E571" s="30" t="s">
        <v>361</v>
      </c>
      <c r="F571" s="30" t="s">
        <v>2933</v>
      </c>
      <c r="G571" s="30" t="s">
        <v>2934</v>
      </c>
      <c r="H571" s="30" t="s">
        <v>2935</v>
      </c>
      <c r="I571" s="30" t="s">
        <v>158</v>
      </c>
      <c r="J571" s="30" t="s">
        <v>159</v>
      </c>
      <c r="K571" s="31" t="s">
        <v>47</v>
      </c>
      <c r="L571" s="32"/>
      <c r="M571" s="30"/>
      <c r="N571" s="30" t="s">
        <v>48</v>
      </c>
      <c r="O571" s="1" t="n">
        <f aca="false">IF($B571="",0,IF(AND(OR(Filter!$B$5="(alle)",$N571=Filter!$B$5),OR(Filter!$E$5="(alle)",$K571=Filter!$E$5),OR(Filter!$H$5="(alle)",$C571=Filter!$H$5),OR(Filter!$B$7="(alle)",$E571=Filter!$B$7),OR(Filter!$E$7="(alle)",ISNUMBER(SEARCH(Filter!$E$7,$J571))),OR(Filter!$H$7="(alle)",ISNUMBER(SEARCH(Filter!$H$7,$I571))),OR(Filter!$B$9="",ISNUMBER(SEARCH(Filter!$B$9,$F571&amp;" "&amp;$G571)))),COUNTIF($O$6:$O570,"&gt;0")+1,0))</f>
        <v>565</v>
      </c>
    </row>
    <row r="572" customFormat="false" ht="38.25" hidden="false" customHeight="true" outlineLevel="0" collapsed="false">
      <c r="B572" s="30" t="s">
        <v>2936</v>
      </c>
      <c r="C572" s="30" t="s">
        <v>286</v>
      </c>
      <c r="D572" s="30" t="s">
        <v>2937</v>
      </c>
      <c r="E572" s="30" t="s">
        <v>344</v>
      </c>
      <c r="F572" s="30" t="s">
        <v>2398</v>
      </c>
      <c r="G572" s="30" t="s">
        <v>2938</v>
      </c>
      <c r="H572" s="30" t="s">
        <v>2939</v>
      </c>
      <c r="I572" s="30" t="s">
        <v>306</v>
      </c>
      <c r="J572" s="30" t="s">
        <v>206</v>
      </c>
      <c r="K572" s="31" t="s">
        <v>47</v>
      </c>
      <c r="L572" s="32"/>
      <c r="M572" s="30"/>
      <c r="N572" s="30" t="s">
        <v>48</v>
      </c>
      <c r="O572" s="1" t="n">
        <f aca="false">IF($B572="",0,IF(AND(OR(Filter!$B$5="(alle)",$N572=Filter!$B$5),OR(Filter!$E$5="(alle)",$K572=Filter!$E$5),OR(Filter!$H$5="(alle)",$C572=Filter!$H$5),OR(Filter!$B$7="(alle)",$E572=Filter!$B$7),OR(Filter!$E$7="(alle)",ISNUMBER(SEARCH(Filter!$E$7,$J572))),OR(Filter!$H$7="(alle)",ISNUMBER(SEARCH(Filter!$H$7,$I572))),OR(Filter!$B$9="",ISNUMBER(SEARCH(Filter!$B$9,$F572&amp;" "&amp;$G572)))),COUNTIF($O$6:$O571,"&gt;0")+1,0))</f>
        <v>566</v>
      </c>
    </row>
    <row r="573" customFormat="false" ht="409.5" hidden="false" customHeight="true" outlineLevel="0" collapsed="false">
      <c r="B573" s="30" t="s">
        <v>2940</v>
      </c>
      <c r="C573" s="30" t="s">
        <v>286</v>
      </c>
      <c r="D573" s="30" t="s">
        <v>2941</v>
      </c>
      <c r="E573" s="30" t="s">
        <v>344</v>
      </c>
      <c r="F573" s="30" t="s">
        <v>2942</v>
      </c>
      <c r="G573" s="30" t="s">
        <v>2943</v>
      </c>
      <c r="H573" s="30" t="s">
        <v>2944</v>
      </c>
      <c r="I573" s="30" t="s">
        <v>306</v>
      </c>
      <c r="J573" s="30" t="s">
        <v>206</v>
      </c>
      <c r="K573" s="31" t="s">
        <v>47</v>
      </c>
      <c r="L573" s="32"/>
      <c r="M573" s="30"/>
      <c r="N573" s="30" t="s">
        <v>48</v>
      </c>
      <c r="O573" s="1" t="n">
        <f aca="false">IF($B573="",0,IF(AND(OR(Filter!$B$5="(alle)",$N573=Filter!$B$5),OR(Filter!$E$5="(alle)",$K573=Filter!$E$5),OR(Filter!$H$5="(alle)",$C573=Filter!$H$5),OR(Filter!$B$7="(alle)",$E573=Filter!$B$7),OR(Filter!$E$7="(alle)",ISNUMBER(SEARCH(Filter!$E$7,$J573))),OR(Filter!$H$7="(alle)",ISNUMBER(SEARCH(Filter!$H$7,$I573))),OR(Filter!$B$9="",ISNUMBER(SEARCH(Filter!$B$9,$F573&amp;" "&amp;$G573)))),COUNTIF($O$6:$O572,"&gt;0")+1,0))</f>
        <v>567</v>
      </c>
    </row>
    <row r="574" customFormat="false" ht="76.5" hidden="false" customHeight="true" outlineLevel="0" collapsed="false">
      <c r="B574" s="30" t="s">
        <v>2945</v>
      </c>
      <c r="C574" s="30" t="s">
        <v>286</v>
      </c>
      <c r="D574" s="30" t="s">
        <v>2946</v>
      </c>
      <c r="E574" s="30" t="s">
        <v>42</v>
      </c>
      <c r="F574" s="30" t="s">
        <v>2947</v>
      </c>
      <c r="G574" s="30" t="s">
        <v>2948</v>
      </c>
      <c r="H574" s="30" t="s">
        <v>2949</v>
      </c>
      <c r="I574" s="30" t="s">
        <v>464</v>
      </c>
      <c r="J574" s="30" t="s">
        <v>767</v>
      </c>
      <c r="K574" s="31" t="s">
        <v>47</v>
      </c>
      <c r="L574" s="32"/>
      <c r="M574" s="30"/>
      <c r="N574" s="30" t="s">
        <v>48</v>
      </c>
      <c r="O574" s="1" t="n">
        <f aca="false">IF($B574="",0,IF(AND(OR(Filter!$B$5="(alle)",$N574=Filter!$B$5),OR(Filter!$E$5="(alle)",$K574=Filter!$E$5),OR(Filter!$H$5="(alle)",$C574=Filter!$H$5),OR(Filter!$B$7="(alle)",$E574=Filter!$B$7),OR(Filter!$E$7="(alle)",ISNUMBER(SEARCH(Filter!$E$7,$J574))),OR(Filter!$H$7="(alle)",ISNUMBER(SEARCH(Filter!$H$7,$I574))),OR(Filter!$B$9="",ISNUMBER(SEARCH(Filter!$B$9,$F574&amp;" "&amp;$G574)))),COUNTIF($O$6:$O573,"&gt;0")+1,0))</f>
        <v>568</v>
      </c>
    </row>
    <row r="575" customFormat="false" ht="153" hidden="false" customHeight="true" outlineLevel="0" collapsed="false">
      <c r="B575" s="30" t="s">
        <v>2950</v>
      </c>
      <c r="C575" s="30" t="s">
        <v>286</v>
      </c>
      <c r="D575" s="30" t="s">
        <v>2951</v>
      </c>
      <c r="E575" s="30" t="s">
        <v>42</v>
      </c>
      <c r="F575" s="30" t="s">
        <v>2952</v>
      </c>
      <c r="G575" s="30" t="s">
        <v>2953</v>
      </c>
      <c r="H575" s="30" t="s">
        <v>2954</v>
      </c>
      <c r="I575" s="30" t="s">
        <v>1947</v>
      </c>
      <c r="J575" s="30" t="s">
        <v>1948</v>
      </c>
      <c r="K575" s="31" t="s">
        <v>47</v>
      </c>
      <c r="L575" s="32"/>
      <c r="M575" s="30"/>
      <c r="N575" s="30" t="s">
        <v>65</v>
      </c>
      <c r="O575" s="1" t="n">
        <f aca="false">IF($B575="",0,IF(AND(OR(Filter!$B$5="(alle)",$N575=Filter!$B$5),OR(Filter!$E$5="(alle)",$K575=Filter!$E$5),OR(Filter!$H$5="(alle)",$C575=Filter!$H$5),OR(Filter!$B$7="(alle)",$E575=Filter!$B$7),OR(Filter!$E$7="(alle)",ISNUMBER(SEARCH(Filter!$E$7,$J575))),OR(Filter!$H$7="(alle)",ISNUMBER(SEARCH(Filter!$H$7,$I575))),OR(Filter!$B$9="",ISNUMBER(SEARCH(Filter!$B$9,$F575&amp;" "&amp;$G575)))),COUNTIF($O$6:$O574,"&gt;0")+1,0))</f>
        <v>569</v>
      </c>
    </row>
    <row r="576" customFormat="false" ht="114.75" hidden="false" customHeight="true" outlineLevel="0" collapsed="false">
      <c r="B576" s="30" t="s">
        <v>2955</v>
      </c>
      <c r="C576" s="30" t="s">
        <v>286</v>
      </c>
      <c r="D576" s="30" t="s">
        <v>2956</v>
      </c>
      <c r="E576" s="30" t="s">
        <v>210</v>
      </c>
      <c r="F576" s="30" t="s">
        <v>2957</v>
      </c>
      <c r="G576" s="30" t="s">
        <v>2958</v>
      </c>
      <c r="H576" s="30" t="s">
        <v>2959</v>
      </c>
      <c r="I576" s="30" t="s">
        <v>306</v>
      </c>
      <c r="J576" s="30" t="s">
        <v>206</v>
      </c>
      <c r="K576" s="31" t="s">
        <v>47</v>
      </c>
      <c r="L576" s="32"/>
      <c r="M576" s="30"/>
      <c r="N576" s="30" t="s">
        <v>48</v>
      </c>
      <c r="O576" s="1" t="n">
        <f aca="false">IF($B576="",0,IF(AND(OR(Filter!$B$5="(alle)",$N576=Filter!$B$5),OR(Filter!$E$5="(alle)",$K576=Filter!$E$5),OR(Filter!$H$5="(alle)",$C576=Filter!$H$5),OR(Filter!$B$7="(alle)",$E576=Filter!$B$7),OR(Filter!$E$7="(alle)",ISNUMBER(SEARCH(Filter!$E$7,$J576))),OR(Filter!$H$7="(alle)",ISNUMBER(SEARCH(Filter!$H$7,$I576))),OR(Filter!$B$9="",ISNUMBER(SEARCH(Filter!$B$9,$F576&amp;" "&amp;$G576)))),COUNTIF($O$6:$O575,"&gt;0")+1,0))</f>
        <v>570</v>
      </c>
    </row>
    <row r="577" customFormat="false" ht="51" hidden="false" customHeight="true" outlineLevel="0" collapsed="false">
      <c r="B577" s="30" t="s">
        <v>2960</v>
      </c>
      <c r="C577" s="30" t="s">
        <v>286</v>
      </c>
      <c r="D577" s="30" t="s">
        <v>2961</v>
      </c>
      <c r="E577" s="30" t="s">
        <v>344</v>
      </c>
      <c r="F577" s="30" t="s">
        <v>2962</v>
      </c>
      <c r="G577" s="30" t="s">
        <v>2963</v>
      </c>
      <c r="H577" s="30" t="s">
        <v>2964</v>
      </c>
      <c r="I577" s="30" t="s">
        <v>306</v>
      </c>
      <c r="J577" s="30" t="s">
        <v>206</v>
      </c>
      <c r="K577" s="31" t="s">
        <v>47</v>
      </c>
      <c r="L577" s="32"/>
      <c r="M577" s="30"/>
      <c r="N577" s="30" t="s">
        <v>48</v>
      </c>
      <c r="O577" s="1" t="n">
        <f aca="false">IF($B577="",0,IF(AND(OR(Filter!$B$5="(alle)",$N577=Filter!$B$5),OR(Filter!$E$5="(alle)",$K577=Filter!$E$5),OR(Filter!$H$5="(alle)",$C577=Filter!$H$5),OR(Filter!$B$7="(alle)",$E577=Filter!$B$7),OR(Filter!$E$7="(alle)",ISNUMBER(SEARCH(Filter!$E$7,$J577))),OR(Filter!$H$7="(alle)",ISNUMBER(SEARCH(Filter!$H$7,$I577))),OR(Filter!$B$9="",ISNUMBER(SEARCH(Filter!$B$9,$F577&amp;" "&amp;$G577)))),COUNTIF($O$6:$O576,"&gt;0")+1,0))</f>
        <v>571</v>
      </c>
    </row>
    <row r="578" customFormat="false" ht="127.5" hidden="false" customHeight="true" outlineLevel="0" collapsed="false">
      <c r="B578" s="30" t="s">
        <v>2965</v>
      </c>
      <c r="C578" s="30" t="s">
        <v>286</v>
      </c>
      <c r="D578" s="30" t="s">
        <v>2966</v>
      </c>
      <c r="E578" s="30" t="s">
        <v>81</v>
      </c>
      <c r="F578" s="30" t="s">
        <v>2967</v>
      </c>
      <c r="G578" s="30" t="s">
        <v>2968</v>
      </c>
      <c r="H578" s="30" t="s">
        <v>2969</v>
      </c>
      <c r="I578" s="30" t="s">
        <v>1251</v>
      </c>
      <c r="J578" s="30" t="s">
        <v>1252</v>
      </c>
      <c r="K578" s="31" t="s">
        <v>47</v>
      </c>
      <c r="L578" s="32"/>
      <c r="M578" s="30"/>
      <c r="N578" s="30" t="s">
        <v>65</v>
      </c>
      <c r="O578" s="1" t="n">
        <f aca="false">IF($B578="",0,IF(AND(OR(Filter!$B$5="(alle)",$N578=Filter!$B$5),OR(Filter!$E$5="(alle)",$K578=Filter!$E$5),OR(Filter!$H$5="(alle)",$C578=Filter!$H$5),OR(Filter!$B$7="(alle)",$E578=Filter!$B$7),OR(Filter!$E$7="(alle)",ISNUMBER(SEARCH(Filter!$E$7,$J578))),OR(Filter!$H$7="(alle)",ISNUMBER(SEARCH(Filter!$H$7,$I578))),OR(Filter!$B$9="",ISNUMBER(SEARCH(Filter!$B$9,$F578&amp;" "&amp;$G578)))),COUNTIF($O$6:$O577,"&gt;0")+1,0))</f>
        <v>572</v>
      </c>
    </row>
    <row r="579" customFormat="false" ht="255" hidden="false" customHeight="true" outlineLevel="0" collapsed="false">
      <c r="B579" s="30" t="s">
        <v>2970</v>
      </c>
      <c r="C579" s="30" t="s">
        <v>286</v>
      </c>
      <c r="D579" s="30" t="s">
        <v>2971</v>
      </c>
      <c r="E579" s="30" t="s">
        <v>361</v>
      </c>
      <c r="F579" s="30" t="s">
        <v>2972</v>
      </c>
      <c r="G579" s="30" t="s">
        <v>2973</v>
      </c>
      <c r="H579" s="30" t="s">
        <v>2974</v>
      </c>
      <c r="I579" s="30" t="s">
        <v>306</v>
      </c>
      <c r="J579" s="30" t="s">
        <v>206</v>
      </c>
      <c r="K579" s="31" t="s">
        <v>47</v>
      </c>
      <c r="L579" s="32"/>
      <c r="M579" s="30"/>
      <c r="N579" s="30" t="s">
        <v>48</v>
      </c>
      <c r="O579" s="1" t="n">
        <f aca="false">IF($B579="",0,IF(AND(OR(Filter!$B$5="(alle)",$N579=Filter!$B$5),OR(Filter!$E$5="(alle)",$K579=Filter!$E$5),OR(Filter!$H$5="(alle)",$C579=Filter!$H$5),OR(Filter!$B$7="(alle)",$E579=Filter!$B$7),OR(Filter!$E$7="(alle)",ISNUMBER(SEARCH(Filter!$E$7,$J579))),OR(Filter!$H$7="(alle)",ISNUMBER(SEARCH(Filter!$H$7,$I579))),OR(Filter!$B$9="",ISNUMBER(SEARCH(Filter!$B$9,$F579&amp;" "&amp;$G579)))),COUNTIF($O$6:$O578,"&gt;0")+1,0))</f>
        <v>573</v>
      </c>
    </row>
    <row r="580" customFormat="false" ht="127.5" hidden="false" customHeight="true" outlineLevel="0" collapsed="false">
      <c r="B580" s="30" t="s">
        <v>2975</v>
      </c>
      <c r="C580" s="30" t="s">
        <v>286</v>
      </c>
      <c r="D580" s="30" t="s">
        <v>2976</v>
      </c>
      <c r="E580" s="30" t="s">
        <v>361</v>
      </c>
      <c r="F580" s="30" t="s">
        <v>2977</v>
      </c>
      <c r="G580" s="30" t="s">
        <v>2978</v>
      </c>
      <c r="H580" s="30" t="s">
        <v>2979</v>
      </c>
      <c r="I580" s="30" t="s">
        <v>306</v>
      </c>
      <c r="J580" s="30" t="s">
        <v>206</v>
      </c>
      <c r="K580" s="31" t="s">
        <v>47</v>
      </c>
      <c r="L580" s="32"/>
      <c r="M580" s="30"/>
      <c r="N580" s="30" t="s">
        <v>48</v>
      </c>
      <c r="O580" s="1" t="n">
        <f aca="false">IF($B580="",0,IF(AND(OR(Filter!$B$5="(alle)",$N580=Filter!$B$5),OR(Filter!$E$5="(alle)",$K580=Filter!$E$5),OR(Filter!$H$5="(alle)",$C580=Filter!$H$5),OR(Filter!$B$7="(alle)",$E580=Filter!$B$7),OR(Filter!$E$7="(alle)",ISNUMBER(SEARCH(Filter!$E$7,$J580))),OR(Filter!$H$7="(alle)",ISNUMBER(SEARCH(Filter!$H$7,$I580))),OR(Filter!$B$9="",ISNUMBER(SEARCH(Filter!$B$9,$F580&amp;" "&amp;$G580)))),COUNTIF($O$6:$O579,"&gt;0")+1,0))</f>
        <v>574</v>
      </c>
    </row>
    <row r="581" customFormat="false" ht="153" hidden="false" customHeight="true" outlineLevel="0" collapsed="false">
      <c r="B581" s="30" t="s">
        <v>2980</v>
      </c>
      <c r="C581" s="30" t="s">
        <v>286</v>
      </c>
      <c r="D581" s="30" t="s">
        <v>2981</v>
      </c>
      <c r="E581" s="30" t="s">
        <v>42</v>
      </c>
      <c r="F581" s="30" t="s">
        <v>2982</v>
      </c>
      <c r="G581" s="30" t="s">
        <v>2983</v>
      </c>
      <c r="H581" s="30" t="s">
        <v>2984</v>
      </c>
      <c r="I581" s="30" t="s">
        <v>2985</v>
      </c>
      <c r="J581" s="30" t="s">
        <v>2986</v>
      </c>
      <c r="K581" s="31" t="s">
        <v>47</v>
      </c>
      <c r="L581" s="32"/>
      <c r="M581" s="30"/>
      <c r="N581" s="30" t="s">
        <v>65</v>
      </c>
      <c r="O581" s="1" t="n">
        <f aca="false">IF($B581="",0,IF(AND(OR(Filter!$B$5="(alle)",$N581=Filter!$B$5),OR(Filter!$E$5="(alle)",$K581=Filter!$E$5),OR(Filter!$H$5="(alle)",$C581=Filter!$H$5),OR(Filter!$B$7="(alle)",$E581=Filter!$B$7),OR(Filter!$E$7="(alle)",ISNUMBER(SEARCH(Filter!$E$7,$J581))),OR(Filter!$H$7="(alle)",ISNUMBER(SEARCH(Filter!$H$7,$I581))),OR(Filter!$B$9="",ISNUMBER(SEARCH(Filter!$B$9,$F581&amp;" "&amp;$G581)))),COUNTIF($O$6:$O580,"&gt;0")+1,0))</f>
        <v>575</v>
      </c>
    </row>
    <row r="582" customFormat="false" ht="267.75" hidden="false" customHeight="true" outlineLevel="0" collapsed="false">
      <c r="B582" s="30" t="s">
        <v>2987</v>
      </c>
      <c r="C582" s="30" t="s">
        <v>286</v>
      </c>
      <c r="D582" s="30" t="s">
        <v>2988</v>
      </c>
      <c r="E582" s="30" t="s">
        <v>81</v>
      </c>
      <c r="F582" s="30" t="s">
        <v>2989</v>
      </c>
      <c r="G582" s="30" t="s">
        <v>2990</v>
      </c>
      <c r="H582" s="30" t="s">
        <v>2991</v>
      </c>
      <c r="I582" s="30" t="s">
        <v>2985</v>
      </c>
      <c r="J582" s="30" t="s">
        <v>2992</v>
      </c>
      <c r="K582" s="31" t="s">
        <v>47</v>
      </c>
      <c r="L582" s="32"/>
      <c r="M582" s="30"/>
      <c r="N582" s="30" t="s">
        <v>65</v>
      </c>
      <c r="O582" s="1" t="n">
        <f aca="false">IF($B582="",0,IF(AND(OR(Filter!$B$5="(alle)",$N582=Filter!$B$5),OR(Filter!$E$5="(alle)",$K582=Filter!$E$5),OR(Filter!$H$5="(alle)",$C582=Filter!$H$5),OR(Filter!$B$7="(alle)",$E582=Filter!$B$7),OR(Filter!$E$7="(alle)",ISNUMBER(SEARCH(Filter!$E$7,$J582))),OR(Filter!$H$7="(alle)",ISNUMBER(SEARCH(Filter!$H$7,$I582))),OR(Filter!$B$9="",ISNUMBER(SEARCH(Filter!$B$9,$F582&amp;" "&amp;$G582)))),COUNTIF($O$6:$O581,"&gt;0")+1,0))</f>
        <v>576</v>
      </c>
    </row>
    <row r="583" customFormat="false" ht="102" hidden="false" customHeight="true" outlineLevel="0" collapsed="false">
      <c r="B583" s="30" t="s">
        <v>2993</v>
      </c>
      <c r="C583" s="30" t="s">
        <v>286</v>
      </c>
      <c r="D583" s="30" t="s">
        <v>2994</v>
      </c>
      <c r="E583" s="30" t="s">
        <v>190</v>
      </c>
      <c r="F583" s="30" t="s">
        <v>2995</v>
      </c>
      <c r="G583" s="30" t="s">
        <v>2996</v>
      </c>
      <c r="H583" s="30" t="s">
        <v>2997</v>
      </c>
      <c r="I583" s="30" t="s">
        <v>290</v>
      </c>
      <c r="J583" s="30" t="s">
        <v>194</v>
      </c>
      <c r="K583" s="31" t="s">
        <v>47</v>
      </c>
      <c r="L583" s="32"/>
      <c r="M583" s="30"/>
      <c r="N583" s="30" t="s">
        <v>65</v>
      </c>
      <c r="O583" s="1" t="n">
        <f aca="false">IF($B583="",0,IF(AND(OR(Filter!$B$5="(alle)",$N583=Filter!$B$5),OR(Filter!$E$5="(alle)",$K583=Filter!$E$5),OR(Filter!$H$5="(alle)",$C583=Filter!$H$5),OR(Filter!$B$7="(alle)",$E583=Filter!$B$7),OR(Filter!$E$7="(alle)",ISNUMBER(SEARCH(Filter!$E$7,$J583))),OR(Filter!$H$7="(alle)",ISNUMBER(SEARCH(Filter!$H$7,$I583))),OR(Filter!$B$9="",ISNUMBER(SEARCH(Filter!$B$9,$F583&amp;" "&amp;$G583)))),COUNTIF($O$6:$O582,"&gt;0")+1,0))</f>
        <v>577</v>
      </c>
    </row>
    <row r="584" customFormat="false" ht="127.5" hidden="false" customHeight="true" outlineLevel="0" collapsed="false">
      <c r="B584" s="30" t="s">
        <v>2998</v>
      </c>
      <c r="C584" s="30" t="s">
        <v>286</v>
      </c>
      <c r="D584" s="30" t="s">
        <v>2999</v>
      </c>
      <c r="E584" s="30" t="s">
        <v>604</v>
      </c>
      <c r="F584" s="30" t="s">
        <v>3000</v>
      </c>
      <c r="G584" s="30" t="s">
        <v>3001</v>
      </c>
      <c r="H584" s="30" t="s">
        <v>3002</v>
      </c>
      <c r="I584" s="30" t="s">
        <v>158</v>
      </c>
      <c r="J584" s="30" t="s">
        <v>159</v>
      </c>
      <c r="K584" s="31" t="s">
        <v>47</v>
      </c>
      <c r="L584" s="32"/>
      <c r="M584" s="30"/>
      <c r="N584" s="30" t="s">
        <v>48</v>
      </c>
      <c r="O584" s="1" t="n">
        <f aca="false">IF($B584="",0,IF(AND(OR(Filter!$B$5="(alle)",$N584=Filter!$B$5),OR(Filter!$E$5="(alle)",$K584=Filter!$E$5),OR(Filter!$H$5="(alle)",$C584=Filter!$H$5),OR(Filter!$B$7="(alle)",$E584=Filter!$B$7),OR(Filter!$E$7="(alle)",ISNUMBER(SEARCH(Filter!$E$7,$J584))),OR(Filter!$H$7="(alle)",ISNUMBER(SEARCH(Filter!$H$7,$I584))),OR(Filter!$B$9="",ISNUMBER(SEARCH(Filter!$B$9,$F584&amp;" "&amp;$G584)))),COUNTIF($O$6:$O583,"&gt;0")+1,0))</f>
        <v>578</v>
      </c>
    </row>
    <row r="585" customFormat="false" ht="191.25" hidden="false" customHeight="true" outlineLevel="0" collapsed="false">
      <c r="B585" s="30" t="s">
        <v>3003</v>
      </c>
      <c r="C585" s="30" t="s">
        <v>286</v>
      </c>
      <c r="D585" s="30" t="s">
        <v>3004</v>
      </c>
      <c r="E585" s="30" t="s">
        <v>604</v>
      </c>
      <c r="F585" s="30" t="s">
        <v>3005</v>
      </c>
      <c r="G585" s="30" t="s">
        <v>3006</v>
      </c>
      <c r="H585" s="30" t="s">
        <v>3007</v>
      </c>
      <c r="I585" s="30" t="s">
        <v>158</v>
      </c>
      <c r="J585" s="30" t="s">
        <v>159</v>
      </c>
      <c r="K585" s="31" t="s">
        <v>47</v>
      </c>
      <c r="L585" s="32"/>
      <c r="M585" s="30"/>
      <c r="N585" s="30" t="s">
        <v>48</v>
      </c>
      <c r="O585" s="1" t="n">
        <f aca="false">IF($B585="",0,IF(AND(OR(Filter!$B$5="(alle)",$N585=Filter!$B$5),OR(Filter!$E$5="(alle)",$K585=Filter!$E$5),OR(Filter!$H$5="(alle)",$C585=Filter!$H$5),OR(Filter!$B$7="(alle)",$E585=Filter!$B$7),OR(Filter!$E$7="(alle)",ISNUMBER(SEARCH(Filter!$E$7,$J585))),OR(Filter!$H$7="(alle)",ISNUMBER(SEARCH(Filter!$H$7,$I585))),OR(Filter!$B$9="",ISNUMBER(SEARCH(Filter!$B$9,$F585&amp;" "&amp;$G585)))),COUNTIF($O$6:$O584,"&gt;0")+1,0))</f>
        <v>579</v>
      </c>
    </row>
    <row r="586" customFormat="false" ht="140.25" hidden="false" customHeight="true" outlineLevel="0" collapsed="false">
      <c r="B586" s="30" t="s">
        <v>3008</v>
      </c>
      <c r="C586" s="30" t="s">
        <v>286</v>
      </c>
      <c r="D586" s="30" t="s">
        <v>3009</v>
      </c>
      <c r="E586" s="30" t="s">
        <v>81</v>
      </c>
      <c r="F586" s="30" t="s">
        <v>3010</v>
      </c>
      <c r="G586" s="30" t="s">
        <v>3011</v>
      </c>
      <c r="H586" s="30" t="s">
        <v>3012</v>
      </c>
      <c r="I586" s="30" t="s">
        <v>1251</v>
      </c>
      <c r="J586" s="30" t="s">
        <v>3013</v>
      </c>
      <c r="K586" s="31" t="s">
        <v>47</v>
      </c>
      <c r="L586" s="32"/>
      <c r="M586" s="30"/>
      <c r="N586" s="30" t="s">
        <v>65</v>
      </c>
      <c r="O586" s="1" t="n">
        <f aca="false">IF($B586="",0,IF(AND(OR(Filter!$B$5="(alle)",$N586=Filter!$B$5),OR(Filter!$E$5="(alle)",$K586=Filter!$E$5),OR(Filter!$H$5="(alle)",$C586=Filter!$H$5),OR(Filter!$B$7="(alle)",$E586=Filter!$B$7),OR(Filter!$E$7="(alle)",ISNUMBER(SEARCH(Filter!$E$7,$J586))),OR(Filter!$H$7="(alle)",ISNUMBER(SEARCH(Filter!$H$7,$I586))),OR(Filter!$B$9="",ISNUMBER(SEARCH(Filter!$B$9,$F586&amp;" "&amp;$G586)))),COUNTIF($O$6:$O585,"&gt;0")+1,0))</f>
        <v>580</v>
      </c>
    </row>
    <row r="587" customFormat="false" ht="102" hidden="false" customHeight="true" outlineLevel="0" collapsed="false">
      <c r="B587" s="30" t="s">
        <v>3014</v>
      </c>
      <c r="C587" s="30" t="s">
        <v>286</v>
      </c>
      <c r="D587" s="30" t="s">
        <v>3015</v>
      </c>
      <c r="E587" s="30" t="s">
        <v>42</v>
      </c>
      <c r="F587" s="30" t="s">
        <v>3016</v>
      </c>
      <c r="G587" s="30" t="s">
        <v>3017</v>
      </c>
      <c r="H587" s="30" t="s">
        <v>3018</v>
      </c>
      <c r="I587" s="30" t="s">
        <v>45</v>
      </c>
      <c r="J587" s="30" t="s">
        <v>601</v>
      </c>
      <c r="K587" s="31" t="s">
        <v>47</v>
      </c>
      <c r="L587" s="32"/>
      <c r="M587" s="30"/>
      <c r="N587" s="30" t="s">
        <v>48</v>
      </c>
      <c r="O587" s="1" t="n">
        <f aca="false">IF($B587="",0,IF(AND(OR(Filter!$B$5="(alle)",$N587=Filter!$B$5),OR(Filter!$E$5="(alle)",$K587=Filter!$E$5),OR(Filter!$H$5="(alle)",$C587=Filter!$H$5),OR(Filter!$B$7="(alle)",$E587=Filter!$B$7),OR(Filter!$E$7="(alle)",ISNUMBER(SEARCH(Filter!$E$7,$J587))),OR(Filter!$H$7="(alle)",ISNUMBER(SEARCH(Filter!$H$7,$I587))),OR(Filter!$B$9="",ISNUMBER(SEARCH(Filter!$B$9,$F587&amp;" "&amp;$G587)))),COUNTIF($O$6:$O586,"&gt;0")+1,0))</f>
        <v>581</v>
      </c>
    </row>
    <row r="588" customFormat="false" ht="51" hidden="false" customHeight="true" outlineLevel="0" collapsed="false">
      <c r="B588" s="30" t="s">
        <v>3019</v>
      </c>
      <c r="C588" s="30" t="s">
        <v>286</v>
      </c>
      <c r="D588" s="30" t="s">
        <v>3020</v>
      </c>
      <c r="E588" s="30" t="s">
        <v>361</v>
      </c>
      <c r="F588" s="30" t="s">
        <v>3021</v>
      </c>
      <c r="G588" s="30" t="s">
        <v>3022</v>
      </c>
      <c r="H588" s="30" t="s">
        <v>3023</v>
      </c>
      <c r="I588" s="30" t="s">
        <v>306</v>
      </c>
      <c r="J588" s="30" t="s">
        <v>206</v>
      </c>
      <c r="K588" s="31" t="s">
        <v>47</v>
      </c>
      <c r="L588" s="32"/>
      <c r="M588" s="30"/>
      <c r="N588" s="30" t="s">
        <v>48</v>
      </c>
      <c r="O588" s="1" t="n">
        <f aca="false">IF($B588="",0,IF(AND(OR(Filter!$B$5="(alle)",$N588=Filter!$B$5),OR(Filter!$E$5="(alle)",$K588=Filter!$E$5),OR(Filter!$H$5="(alle)",$C588=Filter!$H$5),OR(Filter!$B$7="(alle)",$E588=Filter!$B$7),OR(Filter!$E$7="(alle)",ISNUMBER(SEARCH(Filter!$E$7,$J588))),OR(Filter!$H$7="(alle)",ISNUMBER(SEARCH(Filter!$H$7,$I588))),OR(Filter!$B$9="",ISNUMBER(SEARCH(Filter!$B$9,$F588&amp;" "&amp;$G588)))),COUNTIF($O$6:$O587,"&gt;0")+1,0))</f>
        <v>582</v>
      </c>
    </row>
    <row r="589" customFormat="false" ht="267.75" hidden="false" customHeight="true" outlineLevel="0" collapsed="false">
      <c r="B589" s="30" t="s">
        <v>3024</v>
      </c>
      <c r="C589" s="30" t="s">
        <v>286</v>
      </c>
      <c r="D589" s="30" t="s">
        <v>3025</v>
      </c>
      <c r="E589" s="30" t="s">
        <v>42</v>
      </c>
      <c r="F589" s="30" t="s">
        <v>3026</v>
      </c>
      <c r="G589" s="30" t="s">
        <v>3027</v>
      </c>
      <c r="H589" s="30" t="s">
        <v>3028</v>
      </c>
      <c r="I589" s="30" t="s">
        <v>45</v>
      </c>
      <c r="J589" s="30" t="s">
        <v>601</v>
      </c>
      <c r="K589" s="31" t="s">
        <v>47</v>
      </c>
      <c r="L589" s="32"/>
      <c r="M589" s="30"/>
      <c r="N589" s="30" t="s">
        <v>48</v>
      </c>
      <c r="O589" s="1" t="n">
        <f aca="false">IF($B589="",0,IF(AND(OR(Filter!$B$5="(alle)",$N589=Filter!$B$5),OR(Filter!$E$5="(alle)",$K589=Filter!$E$5),OR(Filter!$H$5="(alle)",$C589=Filter!$H$5),OR(Filter!$B$7="(alle)",$E589=Filter!$B$7),OR(Filter!$E$7="(alle)",ISNUMBER(SEARCH(Filter!$E$7,$J589))),OR(Filter!$H$7="(alle)",ISNUMBER(SEARCH(Filter!$H$7,$I589))),OR(Filter!$B$9="",ISNUMBER(SEARCH(Filter!$B$9,$F589&amp;" "&amp;$G589)))),COUNTIF($O$6:$O588,"&gt;0")+1,0))</f>
        <v>583</v>
      </c>
    </row>
    <row r="590" customFormat="false" ht="293.25" hidden="false" customHeight="true" outlineLevel="0" collapsed="false">
      <c r="B590" s="30" t="s">
        <v>3029</v>
      </c>
      <c r="C590" s="30" t="s">
        <v>286</v>
      </c>
      <c r="D590" s="30" t="s">
        <v>3030</v>
      </c>
      <c r="E590" s="30" t="s">
        <v>331</v>
      </c>
      <c r="F590" s="30" t="s">
        <v>3031</v>
      </c>
      <c r="G590" s="30" t="s">
        <v>3032</v>
      </c>
      <c r="H590" s="30" t="s">
        <v>3033</v>
      </c>
      <c r="I590" s="30" t="s">
        <v>306</v>
      </c>
      <c r="J590" s="30" t="s">
        <v>206</v>
      </c>
      <c r="K590" s="31" t="s">
        <v>151</v>
      </c>
      <c r="L590" s="32"/>
      <c r="M590" s="30" t="s">
        <v>370</v>
      </c>
      <c r="N590" s="30" t="s">
        <v>48</v>
      </c>
      <c r="O590" s="1" t="n">
        <f aca="false">IF($B590="",0,IF(AND(OR(Filter!$B$5="(alle)",$N590=Filter!$B$5),OR(Filter!$E$5="(alle)",$K590=Filter!$E$5),OR(Filter!$H$5="(alle)",$C590=Filter!$H$5),OR(Filter!$B$7="(alle)",$E590=Filter!$B$7),OR(Filter!$E$7="(alle)",ISNUMBER(SEARCH(Filter!$E$7,$J590))),OR(Filter!$H$7="(alle)",ISNUMBER(SEARCH(Filter!$H$7,$I590))),OR(Filter!$B$9="",ISNUMBER(SEARCH(Filter!$B$9,$F590&amp;" "&amp;$G590)))),COUNTIF($O$6:$O589,"&gt;0")+1,0))</f>
        <v>584</v>
      </c>
    </row>
    <row r="591" customFormat="false" ht="306" hidden="false" customHeight="true" outlineLevel="0" collapsed="false">
      <c r="B591" s="30" t="s">
        <v>3034</v>
      </c>
      <c r="C591" s="30" t="s">
        <v>286</v>
      </c>
      <c r="D591" s="30" t="s">
        <v>3035</v>
      </c>
      <c r="E591" s="30" t="s">
        <v>361</v>
      </c>
      <c r="F591" s="30" t="s">
        <v>3036</v>
      </c>
      <c r="G591" s="30" t="s">
        <v>3037</v>
      </c>
      <c r="H591" s="30" t="s">
        <v>3038</v>
      </c>
      <c r="I591" s="30" t="s">
        <v>306</v>
      </c>
      <c r="J591" s="30" t="s">
        <v>206</v>
      </c>
      <c r="K591" s="31" t="s">
        <v>47</v>
      </c>
      <c r="L591" s="32"/>
      <c r="M591" s="30"/>
      <c r="N591" s="30" t="s">
        <v>48</v>
      </c>
      <c r="O591" s="1" t="n">
        <f aca="false">IF($B591="",0,IF(AND(OR(Filter!$B$5="(alle)",$N591=Filter!$B$5),OR(Filter!$E$5="(alle)",$K591=Filter!$E$5),OR(Filter!$H$5="(alle)",$C591=Filter!$H$5),OR(Filter!$B$7="(alle)",$E591=Filter!$B$7),OR(Filter!$E$7="(alle)",ISNUMBER(SEARCH(Filter!$E$7,$J591))),OR(Filter!$H$7="(alle)",ISNUMBER(SEARCH(Filter!$H$7,$I591))),OR(Filter!$B$9="",ISNUMBER(SEARCH(Filter!$B$9,$F591&amp;" "&amp;$G591)))),COUNTIF($O$6:$O590,"&gt;0")+1,0))</f>
        <v>585</v>
      </c>
    </row>
    <row r="592" customFormat="false" ht="89.25" hidden="false" customHeight="true" outlineLevel="0" collapsed="false">
      <c r="B592" s="30" t="s">
        <v>3039</v>
      </c>
      <c r="C592" s="30" t="s">
        <v>286</v>
      </c>
      <c r="D592" s="30" t="s">
        <v>3040</v>
      </c>
      <c r="E592" s="30" t="s">
        <v>361</v>
      </c>
      <c r="F592" s="30" t="s">
        <v>3041</v>
      </c>
      <c r="G592" s="30" t="s">
        <v>3042</v>
      </c>
      <c r="H592" s="30" t="s">
        <v>3043</v>
      </c>
      <c r="I592" s="30" t="s">
        <v>306</v>
      </c>
      <c r="J592" s="30" t="s">
        <v>206</v>
      </c>
      <c r="K592" s="31" t="s">
        <v>47</v>
      </c>
      <c r="L592" s="32"/>
      <c r="M592" s="30"/>
      <c r="N592" s="30" t="s">
        <v>48</v>
      </c>
      <c r="O592" s="1" t="n">
        <f aca="false">IF($B592="",0,IF(AND(OR(Filter!$B$5="(alle)",$N592=Filter!$B$5),OR(Filter!$E$5="(alle)",$K592=Filter!$E$5),OR(Filter!$H$5="(alle)",$C592=Filter!$H$5),OR(Filter!$B$7="(alle)",$E592=Filter!$B$7),OR(Filter!$E$7="(alle)",ISNUMBER(SEARCH(Filter!$E$7,$J592))),OR(Filter!$H$7="(alle)",ISNUMBER(SEARCH(Filter!$H$7,$I592))),OR(Filter!$B$9="",ISNUMBER(SEARCH(Filter!$B$9,$F592&amp;" "&amp;$G592)))),COUNTIF($O$6:$O591,"&gt;0")+1,0))</f>
        <v>586</v>
      </c>
    </row>
    <row r="593" customFormat="false" ht="89.25" hidden="false" customHeight="true" outlineLevel="0" collapsed="false">
      <c r="B593" s="30" t="s">
        <v>3044</v>
      </c>
      <c r="C593" s="30" t="s">
        <v>286</v>
      </c>
      <c r="D593" s="30" t="s">
        <v>3045</v>
      </c>
      <c r="E593" s="30" t="s">
        <v>331</v>
      </c>
      <c r="F593" s="30" t="s">
        <v>3046</v>
      </c>
      <c r="G593" s="30" t="s">
        <v>3047</v>
      </c>
      <c r="H593" s="30" t="s">
        <v>3048</v>
      </c>
      <c r="I593" s="30" t="s">
        <v>306</v>
      </c>
      <c r="J593" s="30" t="s">
        <v>206</v>
      </c>
      <c r="K593" s="31" t="s">
        <v>151</v>
      </c>
      <c r="L593" s="32"/>
      <c r="M593" s="30" t="s">
        <v>370</v>
      </c>
      <c r="N593" s="30" t="s">
        <v>48</v>
      </c>
      <c r="O593" s="1" t="n">
        <f aca="false">IF($B593="",0,IF(AND(OR(Filter!$B$5="(alle)",$N593=Filter!$B$5),OR(Filter!$E$5="(alle)",$K593=Filter!$E$5),OR(Filter!$H$5="(alle)",$C593=Filter!$H$5),OR(Filter!$B$7="(alle)",$E593=Filter!$B$7),OR(Filter!$E$7="(alle)",ISNUMBER(SEARCH(Filter!$E$7,$J593))),OR(Filter!$H$7="(alle)",ISNUMBER(SEARCH(Filter!$H$7,$I593))),OR(Filter!$B$9="",ISNUMBER(SEARCH(Filter!$B$9,$F593&amp;" "&amp;$G593)))),COUNTIF($O$6:$O592,"&gt;0")+1,0))</f>
        <v>587</v>
      </c>
    </row>
    <row r="594" customFormat="false" ht="127.5" hidden="false" customHeight="true" outlineLevel="0" collapsed="false">
      <c r="B594" s="30" t="s">
        <v>3049</v>
      </c>
      <c r="C594" s="30" t="s">
        <v>286</v>
      </c>
      <c r="D594" s="30" t="s">
        <v>3050</v>
      </c>
      <c r="E594" s="30" t="s">
        <v>355</v>
      </c>
      <c r="F594" s="30" t="s">
        <v>3051</v>
      </c>
      <c r="G594" s="30" t="s">
        <v>3052</v>
      </c>
      <c r="H594" s="30" t="s">
        <v>3053</v>
      </c>
      <c r="I594" s="30" t="s">
        <v>306</v>
      </c>
      <c r="J594" s="30" t="s">
        <v>206</v>
      </c>
      <c r="K594" s="31" t="s">
        <v>47</v>
      </c>
      <c r="L594" s="32"/>
      <c r="M594" s="30"/>
      <c r="N594" s="30" t="s">
        <v>48</v>
      </c>
      <c r="O594" s="1" t="n">
        <f aca="false">IF($B594="",0,IF(AND(OR(Filter!$B$5="(alle)",$N594=Filter!$B$5),OR(Filter!$E$5="(alle)",$K594=Filter!$E$5),OR(Filter!$H$5="(alle)",$C594=Filter!$H$5),OR(Filter!$B$7="(alle)",$E594=Filter!$B$7),OR(Filter!$E$7="(alle)",ISNUMBER(SEARCH(Filter!$E$7,$J594))),OR(Filter!$H$7="(alle)",ISNUMBER(SEARCH(Filter!$H$7,$I594))),OR(Filter!$B$9="",ISNUMBER(SEARCH(Filter!$B$9,$F594&amp;" "&amp;$G594)))),COUNTIF($O$6:$O593,"&gt;0")+1,0))</f>
        <v>588</v>
      </c>
    </row>
    <row r="595" customFormat="false" ht="127.5" hidden="false" customHeight="true" outlineLevel="0" collapsed="false">
      <c r="B595" s="30" t="s">
        <v>3054</v>
      </c>
      <c r="C595" s="30" t="s">
        <v>286</v>
      </c>
      <c r="D595" s="30" t="s">
        <v>3055</v>
      </c>
      <c r="E595" s="30" t="s">
        <v>210</v>
      </c>
      <c r="F595" s="30" t="s">
        <v>3056</v>
      </c>
      <c r="G595" s="30" t="s">
        <v>3057</v>
      </c>
      <c r="H595" s="30" t="s">
        <v>3058</v>
      </c>
      <c r="I595" s="30" t="s">
        <v>306</v>
      </c>
      <c r="J595" s="30" t="s">
        <v>206</v>
      </c>
      <c r="K595" s="31" t="s">
        <v>47</v>
      </c>
      <c r="L595" s="32"/>
      <c r="M595" s="30"/>
      <c r="N595" s="30" t="s">
        <v>48</v>
      </c>
      <c r="O595" s="1" t="n">
        <f aca="false">IF($B595="",0,IF(AND(OR(Filter!$B$5="(alle)",$N595=Filter!$B$5),OR(Filter!$E$5="(alle)",$K595=Filter!$E$5),OR(Filter!$H$5="(alle)",$C595=Filter!$H$5),OR(Filter!$B$7="(alle)",$E595=Filter!$B$7),OR(Filter!$E$7="(alle)",ISNUMBER(SEARCH(Filter!$E$7,$J595))),OR(Filter!$H$7="(alle)",ISNUMBER(SEARCH(Filter!$H$7,$I595))),OR(Filter!$B$9="",ISNUMBER(SEARCH(Filter!$B$9,$F595&amp;" "&amp;$G595)))),COUNTIF($O$6:$O594,"&gt;0")+1,0))</f>
        <v>589</v>
      </c>
    </row>
    <row r="596" customFormat="false" ht="51" hidden="false" customHeight="true" outlineLevel="0" collapsed="false">
      <c r="B596" s="30" t="s">
        <v>3059</v>
      </c>
      <c r="C596" s="30" t="s">
        <v>286</v>
      </c>
      <c r="D596" s="30" t="s">
        <v>3060</v>
      </c>
      <c r="E596" s="30" t="s">
        <v>344</v>
      </c>
      <c r="F596" s="30" t="s">
        <v>3061</v>
      </c>
      <c r="G596" s="30" t="s">
        <v>3062</v>
      </c>
      <c r="H596" s="30" t="s">
        <v>3063</v>
      </c>
      <c r="I596" s="30" t="s">
        <v>306</v>
      </c>
      <c r="J596" s="30" t="s">
        <v>206</v>
      </c>
      <c r="K596" s="31" t="s">
        <v>151</v>
      </c>
      <c r="L596" s="32"/>
      <c r="M596" s="30" t="s">
        <v>629</v>
      </c>
      <c r="N596" s="30" t="s">
        <v>48</v>
      </c>
      <c r="O596" s="1" t="n">
        <f aca="false">IF($B596="",0,IF(AND(OR(Filter!$B$5="(alle)",$N596=Filter!$B$5),OR(Filter!$E$5="(alle)",$K596=Filter!$E$5),OR(Filter!$H$5="(alle)",$C596=Filter!$H$5),OR(Filter!$B$7="(alle)",$E596=Filter!$B$7),OR(Filter!$E$7="(alle)",ISNUMBER(SEARCH(Filter!$E$7,$J596))),OR(Filter!$H$7="(alle)",ISNUMBER(SEARCH(Filter!$H$7,$I596))),OR(Filter!$B$9="",ISNUMBER(SEARCH(Filter!$B$9,$F596&amp;" "&amp;$G596)))),COUNTIF($O$6:$O595,"&gt;0")+1,0))</f>
        <v>590</v>
      </c>
    </row>
    <row r="597" customFormat="false" ht="89.25" hidden="false" customHeight="true" outlineLevel="0" collapsed="false">
      <c r="B597" s="30" t="s">
        <v>3064</v>
      </c>
      <c r="C597" s="30" t="s">
        <v>286</v>
      </c>
      <c r="D597" s="30" t="s">
        <v>3065</v>
      </c>
      <c r="E597" s="30" t="s">
        <v>344</v>
      </c>
      <c r="F597" s="30" t="s">
        <v>3066</v>
      </c>
      <c r="G597" s="30" t="s">
        <v>3067</v>
      </c>
      <c r="H597" s="30" t="s">
        <v>3068</v>
      </c>
      <c r="I597" s="30" t="s">
        <v>306</v>
      </c>
      <c r="J597" s="30" t="s">
        <v>206</v>
      </c>
      <c r="K597" s="31" t="s">
        <v>47</v>
      </c>
      <c r="L597" s="32"/>
      <c r="M597" s="30"/>
      <c r="N597" s="30" t="s">
        <v>48</v>
      </c>
      <c r="O597" s="1" t="n">
        <f aca="false">IF($B597="",0,IF(AND(OR(Filter!$B$5="(alle)",$N597=Filter!$B$5),OR(Filter!$E$5="(alle)",$K597=Filter!$E$5),OR(Filter!$H$5="(alle)",$C597=Filter!$H$5),OR(Filter!$B$7="(alle)",$E597=Filter!$B$7),OR(Filter!$E$7="(alle)",ISNUMBER(SEARCH(Filter!$E$7,$J597))),OR(Filter!$H$7="(alle)",ISNUMBER(SEARCH(Filter!$H$7,$I597))),OR(Filter!$B$9="",ISNUMBER(SEARCH(Filter!$B$9,$F597&amp;" "&amp;$G597)))),COUNTIF($O$6:$O596,"&gt;0")+1,0))</f>
        <v>591</v>
      </c>
    </row>
    <row r="598" customFormat="false" ht="63.75" hidden="false" customHeight="true" outlineLevel="0" collapsed="false">
      <c r="B598" s="30" t="s">
        <v>3069</v>
      </c>
      <c r="C598" s="30" t="s">
        <v>286</v>
      </c>
      <c r="D598" s="30" t="s">
        <v>3070</v>
      </c>
      <c r="E598" s="30" t="s">
        <v>331</v>
      </c>
      <c r="F598" s="30" t="s">
        <v>3071</v>
      </c>
      <c r="G598" s="30" t="s">
        <v>3072</v>
      </c>
      <c r="H598" s="30" t="s">
        <v>3073</v>
      </c>
      <c r="I598" s="30" t="s">
        <v>306</v>
      </c>
      <c r="J598" s="30" t="s">
        <v>206</v>
      </c>
      <c r="K598" s="31" t="s">
        <v>151</v>
      </c>
      <c r="L598" s="32"/>
      <c r="M598" s="30" t="s">
        <v>370</v>
      </c>
      <c r="N598" s="30" t="s">
        <v>48</v>
      </c>
      <c r="O598" s="1" t="n">
        <f aca="false">IF($B598="",0,IF(AND(OR(Filter!$B$5="(alle)",$N598=Filter!$B$5),OR(Filter!$E$5="(alle)",$K598=Filter!$E$5),OR(Filter!$H$5="(alle)",$C598=Filter!$H$5),OR(Filter!$B$7="(alle)",$E598=Filter!$B$7),OR(Filter!$E$7="(alle)",ISNUMBER(SEARCH(Filter!$E$7,$J598))),OR(Filter!$H$7="(alle)",ISNUMBER(SEARCH(Filter!$H$7,$I598))),OR(Filter!$B$9="",ISNUMBER(SEARCH(Filter!$B$9,$F598&amp;" "&amp;$G598)))),COUNTIF($O$6:$O597,"&gt;0")+1,0))</f>
        <v>592</v>
      </c>
    </row>
    <row r="599" customFormat="false" ht="153" hidden="false" customHeight="true" outlineLevel="0" collapsed="false">
      <c r="B599" s="30" t="s">
        <v>3074</v>
      </c>
      <c r="C599" s="30" t="s">
        <v>286</v>
      </c>
      <c r="D599" s="30" t="s">
        <v>3075</v>
      </c>
      <c r="E599" s="30" t="s">
        <v>190</v>
      </c>
      <c r="F599" s="30" t="s">
        <v>3076</v>
      </c>
      <c r="G599" s="30" t="s">
        <v>3077</v>
      </c>
      <c r="H599" s="30" t="s">
        <v>3078</v>
      </c>
      <c r="I599" s="30" t="s">
        <v>340</v>
      </c>
      <c r="J599" s="30" t="s">
        <v>341</v>
      </c>
      <c r="K599" s="31" t="s">
        <v>47</v>
      </c>
      <c r="L599" s="32"/>
      <c r="M599" s="30"/>
      <c r="N599" s="30" t="s">
        <v>48</v>
      </c>
      <c r="O599" s="1" t="n">
        <f aca="false">IF($B599="",0,IF(AND(OR(Filter!$B$5="(alle)",$N599=Filter!$B$5),OR(Filter!$E$5="(alle)",$K599=Filter!$E$5),OR(Filter!$H$5="(alle)",$C599=Filter!$H$5),OR(Filter!$B$7="(alle)",$E599=Filter!$B$7),OR(Filter!$E$7="(alle)",ISNUMBER(SEARCH(Filter!$E$7,$J599))),OR(Filter!$H$7="(alle)",ISNUMBER(SEARCH(Filter!$H$7,$I599))),OR(Filter!$B$9="",ISNUMBER(SEARCH(Filter!$B$9,$F599&amp;" "&amp;$G599)))),COUNTIF($O$6:$O598,"&gt;0")+1,0))</f>
        <v>593</v>
      </c>
    </row>
    <row r="600" customFormat="false" ht="165.75" hidden="false" customHeight="true" outlineLevel="0" collapsed="false">
      <c r="B600" s="30" t="s">
        <v>3079</v>
      </c>
      <c r="C600" s="30" t="s">
        <v>286</v>
      </c>
      <c r="D600" s="30" t="s">
        <v>3080</v>
      </c>
      <c r="E600" s="30" t="s">
        <v>355</v>
      </c>
      <c r="F600" s="30" t="s">
        <v>3081</v>
      </c>
      <c r="G600" s="30" t="s">
        <v>3082</v>
      </c>
      <c r="H600" s="30" t="s">
        <v>3083</v>
      </c>
      <c r="I600" s="30" t="s">
        <v>306</v>
      </c>
      <c r="J600" s="30" t="s">
        <v>206</v>
      </c>
      <c r="K600" s="31" t="s">
        <v>47</v>
      </c>
      <c r="L600" s="32"/>
      <c r="M600" s="30"/>
      <c r="N600" s="30" t="s">
        <v>48</v>
      </c>
      <c r="O600" s="1" t="n">
        <f aca="false">IF($B600="",0,IF(AND(OR(Filter!$B$5="(alle)",$N600=Filter!$B$5),OR(Filter!$E$5="(alle)",$K600=Filter!$E$5),OR(Filter!$H$5="(alle)",$C600=Filter!$H$5),OR(Filter!$B$7="(alle)",$E600=Filter!$B$7),OR(Filter!$E$7="(alle)",ISNUMBER(SEARCH(Filter!$E$7,$J600))),OR(Filter!$H$7="(alle)",ISNUMBER(SEARCH(Filter!$H$7,$I600))),OR(Filter!$B$9="",ISNUMBER(SEARCH(Filter!$B$9,$F600&amp;" "&amp;$G600)))),COUNTIF($O$6:$O599,"&gt;0")+1,0))</f>
        <v>594</v>
      </c>
    </row>
    <row r="601" customFormat="false" ht="204" hidden="false" customHeight="true" outlineLevel="0" collapsed="false">
      <c r="B601" s="30" t="s">
        <v>3084</v>
      </c>
      <c r="C601" s="30" t="s">
        <v>286</v>
      </c>
      <c r="D601" s="30" t="s">
        <v>3085</v>
      </c>
      <c r="E601" s="30" t="s">
        <v>190</v>
      </c>
      <c r="F601" s="30" t="s">
        <v>3086</v>
      </c>
      <c r="G601" s="30" t="s">
        <v>3087</v>
      </c>
      <c r="H601" s="30" t="s">
        <v>3088</v>
      </c>
      <c r="I601" s="30" t="s">
        <v>340</v>
      </c>
      <c r="J601" s="30" t="s">
        <v>341</v>
      </c>
      <c r="K601" s="31" t="s">
        <v>47</v>
      </c>
      <c r="L601" s="32"/>
      <c r="M601" s="30"/>
      <c r="N601" s="30" t="s">
        <v>48</v>
      </c>
      <c r="O601" s="1" t="n">
        <f aca="false">IF($B601="",0,IF(AND(OR(Filter!$B$5="(alle)",$N601=Filter!$B$5),OR(Filter!$E$5="(alle)",$K601=Filter!$E$5),OR(Filter!$H$5="(alle)",$C601=Filter!$H$5),OR(Filter!$B$7="(alle)",$E601=Filter!$B$7),OR(Filter!$E$7="(alle)",ISNUMBER(SEARCH(Filter!$E$7,$J601))),OR(Filter!$H$7="(alle)",ISNUMBER(SEARCH(Filter!$H$7,$I601))),OR(Filter!$B$9="",ISNUMBER(SEARCH(Filter!$B$9,$F601&amp;" "&amp;$G601)))),COUNTIF($O$6:$O600,"&gt;0")+1,0))</f>
        <v>595</v>
      </c>
    </row>
    <row r="602" customFormat="false" ht="229.5" hidden="false" customHeight="true" outlineLevel="0" collapsed="false">
      <c r="B602" s="30" t="s">
        <v>3089</v>
      </c>
      <c r="C602" s="30" t="s">
        <v>286</v>
      </c>
      <c r="D602" s="30" t="s">
        <v>3090</v>
      </c>
      <c r="E602" s="30" t="s">
        <v>361</v>
      </c>
      <c r="F602" s="30" t="s">
        <v>3091</v>
      </c>
      <c r="G602" s="30" t="s">
        <v>3092</v>
      </c>
      <c r="H602" s="30" t="s">
        <v>3093</v>
      </c>
      <c r="I602" s="30" t="s">
        <v>306</v>
      </c>
      <c r="J602" s="30" t="s">
        <v>206</v>
      </c>
      <c r="K602" s="31" t="s">
        <v>151</v>
      </c>
      <c r="L602" s="32"/>
      <c r="M602" s="30" t="s">
        <v>3094</v>
      </c>
      <c r="N602" s="30" t="s">
        <v>48</v>
      </c>
      <c r="O602" s="1" t="n">
        <f aca="false">IF($B602="",0,IF(AND(OR(Filter!$B$5="(alle)",$N602=Filter!$B$5),OR(Filter!$E$5="(alle)",$K602=Filter!$E$5),OR(Filter!$H$5="(alle)",$C602=Filter!$H$5),OR(Filter!$B$7="(alle)",$E602=Filter!$B$7),OR(Filter!$E$7="(alle)",ISNUMBER(SEARCH(Filter!$E$7,$J602))),OR(Filter!$H$7="(alle)",ISNUMBER(SEARCH(Filter!$H$7,$I602))),OR(Filter!$B$9="",ISNUMBER(SEARCH(Filter!$B$9,$F602&amp;" "&amp;$G602)))),COUNTIF($O$6:$O601,"&gt;0")+1,0))</f>
        <v>596</v>
      </c>
    </row>
    <row r="603" customFormat="false" ht="191.25" hidden="false" customHeight="true" outlineLevel="0" collapsed="false">
      <c r="B603" s="30" t="s">
        <v>3095</v>
      </c>
      <c r="C603" s="30" t="s">
        <v>286</v>
      </c>
      <c r="D603" s="30" t="s">
        <v>3096</v>
      </c>
      <c r="E603" s="30" t="s">
        <v>94</v>
      </c>
      <c r="F603" s="30" t="s">
        <v>3097</v>
      </c>
      <c r="G603" s="30" t="s">
        <v>3098</v>
      </c>
      <c r="H603" s="30" t="s">
        <v>3099</v>
      </c>
      <c r="I603" s="30" t="s">
        <v>543</v>
      </c>
      <c r="J603" s="30" t="s">
        <v>2548</v>
      </c>
      <c r="K603" s="31" t="s">
        <v>47</v>
      </c>
      <c r="L603" s="32"/>
      <c r="M603" s="30"/>
      <c r="N603" s="30" t="s">
        <v>48</v>
      </c>
      <c r="O603" s="1" t="n">
        <f aca="false">IF($B603="",0,IF(AND(OR(Filter!$B$5="(alle)",$N603=Filter!$B$5),OR(Filter!$E$5="(alle)",$K603=Filter!$E$5),OR(Filter!$H$5="(alle)",$C603=Filter!$H$5),OR(Filter!$B$7="(alle)",$E603=Filter!$B$7),OR(Filter!$E$7="(alle)",ISNUMBER(SEARCH(Filter!$E$7,$J603))),OR(Filter!$H$7="(alle)",ISNUMBER(SEARCH(Filter!$H$7,$I603))),OR(Filter!$B$9="",ISNUMBER(SEARCH(Filter!$B$9,$F603&amp;" "&amp;$G603)))),COUNTIF($O$6:$O602,"&gt;0")+1,0))</f>
        <v>597</v>
      </c>
    </row>
    <row r="604" customFormat="false" ht="102" hidden="false" customHeight="true" outlineLevel="0" collapsed="false">
      <c r="B604" s="30" t="s">
        <v>3100</v>
      </c>
      <c r="C604" s="30" t="s">
        <v>286</v>
      </c>
      <c r="D604" s="30" t="s">
        <v>3101</v>
      </c>
      <c r="E604" s="30" t="s">
        <v>344</v>
      </c>
      <c r="F604" s="30" t="s">
        <v>3102</v>
      </c>
      <c r="G604" s="30" t="s">
        <v>3103</v>
      </c>
      <c r="H604" s="30" t="s">
        <v>3104</v>
      </c>
      <c r="I604" s="30" t="s">
        <v>306</v>
      </c>
      <c r="J604" s="30" t="s">
        <v>206</v>
      </c>
      <c r="K604" s="31" t="s">
        <v>47</v>
      </c>
      <c r="L604" s="32"/>
      <c r="M604" s="30"/>
      <c r="N604" s="30" t="s">
        <v>48</v>
      </c>
      <c r="O604" s="1" t="n">
        <f aca="false">IF($B604="",0,IF(AND(OR(Filter!$B$5="(alle)",$N604=Filter!$B$5),OR(Filter!$E$5="(alle)",$K604=Filter!$E$5),OR(Filter!$H$5="(alle)",$C604=Filter!$H$5),OR(Filter!$B$7="(alle)",$E604=Filter!$B$7),OR(Filter!$E$7="(alle)",ISNUMBER(SEARCH(Filter!$E$7,$J604))),OR(Filter!$H$7="(alle)",ISNUMBER(SEARCH(Filter!$H$7,$I604))),OR(Filter!$B$9="",ISNUMBER(SEARCH(Filter!$B$9,$F604&amp;" "&amp;$G604)))),COUNTIF($O$6:$O603,"&gt;0")+1,0))</f>
        <v>598</v>
      </c>
    </row>
    <row r="605" customFormat="false" ht="102" hidden="false" customHeight="true" outlineLevel="0" collapsed="false">
      <c r="B605" s="30" t="s">
        <v>3105</v>
      </c>
      <c r="C605" s="30" t="s">
        <v>286</v>
      </c>
      <c r="D605" s="30" t="s">
        <v>3106</v>
      </c>
      <c r="E605" s="30" t="s">
        <v>42</v>
      </c>
      <c r="F605" s="30" t="s">
        <v>3107</v>
      </c>
      <c r="G605" s="30" t="s">
        <v>3108</v>
      </c>
      <c r="H605" s="30" t="s">
        <v>3109</v>
      </c>
      <c r="I605" s="30" t="s">
        <v>45</v>
      </c>
      <c r="J605" s="30" t="s">
        <v>46</v>
      </c>
      <c r="K605" s="31" t="s">
        <v>47</v>
      </c>
      <c r="L605" s="32"/>
      <c r="M605" s="30"/>
      <c r="N605" s="30" t="s">
        <v>48</v>
      </c>
      <c r="O605" s="1" t="n">
        <f aca="false">IF($B605="",0,IF(AND(OR(Filter!$B$5="(alle)",$N605=Filter!$B$5),OR(Filter!$E$5="(alle)",$K605=Filter!$E$5),OR(Filter!$H$5="(alle)",$C605=Filter!$H$5),OR(Filter!$B$7="(alle)",$E605=Filter!$B$7),OR(Filter!$E$7="(alle)",ISNUMBER(SEARCH(Filter!$E$7,$J605))),OR(Filter!$H$7="(alle)",ISNUMBER(SEARCH(Filter!$H$7,$I605))),OR(Filter!$B$9="",ISNUMBER(SEARCH(Filter!$B$9,$F605&amp;" "&amp;$G605)))),COUNTIF($O$6:$O604,"&gt;0")+1,0))</f>
        <v>599</v>
      </c>
    </row>
    <row r="606" customFormat="false" ht="89.25" hidden="false" customHeight="true" outlineLevel="0" collapsed="false">
      <c r="B606" s="30" t="s">
        <v>3110</v>
      </c>
      <c r="C606" s="30" t="s">
        <v>286</v>
      </c>
      <c r="D606" s="30" t="s">
        <v>3111</v>
      </c>
      <c r="E606" s="30" t="s">
        <v>155</v>
      </c>
      <c r="F606" s="30" t="s">
        <v>3112</v>
      </c>
      <c r="G606" s="30" t="s">
        <v>3113</v>
      </c>
      <c r="H606" s="30" t="s">
        <v>3114</v>
      </c>
      <c r="I606" s="30" t="s">
        <v>290</v>
      </c>
      <c r="J606" s="30" t="s">
        <v>808</v>
      </c>
      <c r="K606" s="31" t="s">
        <v>47</v>
      </c>
      <c r="L606" s="32"/>
      <c r="M606" s="30"/>
      <c r="N606" s="30" t="s">
        <v>48</v>
      </c>
      <c r="O606" s="1" t="n">
        <f aca="false">IF($B606="",0,IF(AND(OR(Filter!$B$5="(alle)",$N606=Filter!$B$5),OR(Filter!$E$5="(alle)",$K606=Filter!$E$5),OR(Filter!$H$5="(alle)",$C606=Filter!$H$5),OR(Filter!$B$7="(alle)",$E606=Filter!$B$7),OR(Filter!$E$7="(alle)",ISNUMBER(SEARCH(Filter!$E$7,$J606))),OR(Filter!$H$7="(alle)",ISNUMBER(SEARCH(Filter!$H$7,$I606))),OR(Filter!$B$9="",ISNUMBER(SEARCH(Filter!$B$9,$F606&amp;" "&amp;$G606)))),COUNTIF($O$6:$O605,"&gt;0")+1,0))</f>
        <v>600</v>
      </c>
    </row>
    <row r="607" customFormat="false" ht="140.25" hidden="false" customHeight="true" outlineLevel="0" collapsed="false">
      <c r="B607" s="30" t="s">
        <v>3115</v>
      </c>
      <c r="C607" s="30" t="s">
        <v>286</v>
      </c>
      <c r="D607" s="30" t="s">
        <v>3116</v>
      </c>
      <c r="E607" s="30" t="s">
        <v>155</v>
      </c>
      <c r="F607" s="30" t="s">
        <v>3117</v>
      </c>
      <c r="G607" s="30" t="s">
        <v>3118</v>
      </c>
      <c r="H607" s="30" t="s">
        <v>3119</v>
      </c>
      <c r="I607" s="30" t="s">
        <v>476</v>
      </c>
      <c r="J607" s="30" t="s">
        <v>476</v>
      </c>
      <c r="K607" s="31" t="s">
        <v>47</v>
      </c>
      <c r="L607" s="32"/>
      <c r="M607" s="30"/>
      <c r="N607" s="30" t="s">
        <v>48</v>
      </c>
      <c r="O607" s="1" t="n">
        <f aca="false">IF($B607="",0,IF(AND(OR(Filter!$B$5="(alle)",$N607=Filter!$B$5),OR(Filter!$E$5="(alle)",$K607=Filter!$E$5),OR(Filter!$H$5="(alle)",$C607=Filter!$H$5),OR(Filter!$B$7="(alle)",$E607=Filter!$B$7),OR(Filter!$E$7="(alle)",ISNUMBER(SEARCH(Filter!$E$7,$J607))),OR(Filter!$H$7="(alle)",ISNUMBER(SEARCH(Filter!$H$7,$I607))),OR(Filter!$B$9="",ISNUMBER(SEARCH(Filter!$B$9,$F607&amp;" "&amp;$G607)))),COUNTIF($O$6:$O606,"&gt;0")+1,0))</f>
        <v>601</v>
      </c>
    </row>
    <row r="608" customFormat="false" ht="153" hidden="false" customHeight="true" outlineLevel="0" collapsed="false">
      <c r="B608" s="30" t="s">
        <v>3120</v>
      </c>
      <c r="C608" s="30" t="s">
        <v>286</v>
      </c>
      <c r="D608" s="30" t="s">
        <v>3121</v>
      </c>
      <c r="E608" s="30" t="s">
        <v>604</v>
      </c>
      <c r="F608" s="30" t="s">
        <v>3122</v>
      </c>
      <c r="G608" s="30" t="s">
        <v>3123</v>
      </c>
      <c r="H608" s="30" t="s">
        <v>3124</v>
      </c>
      <c r="I608" s="30" t="s">
        <v>476</v>
      </c>
      <c r="J608" s="30" t="s">
        <v>476</v>
      </c>
      <c r="K608" s="31" t="s">
        <v>47</v>
      </c>
      <c r="L608" s="32"/>
      <c r="M608" s="30"/>
      <c r="N608" s="30" t="s">
        <v>48</v>
      </c>
      <c r="O608" s="1" t="n">
        <f aca="false">IF($B608="",0,IF(AND(OR(Filter!$B$5="(alle)",$N608=Filter!$B$5),OR(Filter!$E$5="(alle)",$K608=Filter!$E$5),OR(Filter!$H$5="(alle)",$C608=Filter!$H$5),OR(Filter!$B$7="(alle)",$E608=Filter!$B$7),OR(Filter!$E$7="(alle)",ISNUMBER(SEARCH(Filter!$E$7,$J608))),OR(Filter!$H$7="(alle)",ISNUMBER(SEARCH(Filter!$H$7,$I608))),OR(Filter!$B$9="",ISNUMBER(SEARCH(Filter!$B$9,$F608&amp;" "&amp;$G608)))),COUNTIF($O$6:$O607,"&gt;0")+1,0))</f>
        <v>602</v>
      </c>
    </row>
    <row r="609" customFormat="false" ht="242.25" hidden="false" customHeight="true" outlineLevel="0" collapsed="false">
      <c r="B609" s="30" t="s">
        <v>3125</v>
      </c>
      <c r="C609" s="30" t="s">
        <v>286</v>
      </c>
      <c r="D609" s="30" t="s">
        <v>3126</v>
      </c>
      <c r="E609" s="30" t="s">
        <v>361</v>
      </c>
      <c r="F609" s="30" t="s">
        <v>3127</v>
      </c>
      <c r="G609" s="30" t="s">
        <v>3128</v>
      </c>
      <c r="H609" s="30" t="s">
        <v>3129</v>
      </c>
      <c r="I609" s="30" t="s">
        <v>306</v>
      </c>
      <c r="J609" s="30" t="s">
        <v>206</v>
      </c>
      <c r="K609" s="31" t="s">
        <v>47</v>
      </c>
      <c r="L609" s="32"/>
      <c r="M609" s="30"/>
      <c r="N609" s="30" t="s">
        <v>48</v>
      </c>
      <c r="O609" s="1" t="n">
        <f aca="false">IF($B609="",0,IF(AND(OR(Filter!$B$5="(alle)",$N609=Filter!$B$5),OR(Filter!$E$5="(alle)",$K609=Filter!$E$5),OR(Filter!$H$5="(alle)",$C609=Filter!$H$5),OR(Filter!$B$7="(alle)",$E609=Filter!$B$7),OR(Filter!$E$7="(alle)",ISNUMBER(SEARCH(Filter!$E$7,$J609))),OR(Filter!$H$7="(alle)",ISNUMBER(SEARCH(Filter!$H$7,$I609))),OR(Filter!$B$9="",ISNUMBER(SEARCH(Filter!$B$9,$F609&amp;" "&amp;$G609)))),COUNTIF($O$6:$O608,"&gt;0")+1,0))</f>
        <v>603</v>
      </c>
    </row>
    <row r="610" customFormat="false" ht="357" hidden="false" customHeight="true" outlineLevel="0" collapsed="false">
      <c r="B610" s="30" t="s">
        <v>3130</v>
      </c>
      <c r="C610" s="30" t="s">
        <v>286</v>
      </c>
      <c r="D610" s="30" t="s">
        <v>3131</v>
      </c>
      <c r="E610" s="30" t="s">
        <v>361</v>
      </c>
      <c r="F610" s="30" t="s">
        <v>3132</v>
      </c>
      <c r="G610" s="30" t="s">
        <v>3133</v>
      </c>
      <c r="H610" s="30" t="s">
        <v>3134</v>
      </c>
      <c r="I610" s="30" t="s">
        <v>306</v>
      </c>
      <c r="J610" s="30" t="s">
        <v>206</v>
      </c>
      <c r="K610" s="31" t="s">
        <v>47</v>
      </c>
      <c r="L610" s="32"/>
      <c r="M610" s="30"/>
      <c r="N610" s="30" t="s">
        <v>48</v>
      </c>
      <c r="O610" s="1" t="n">
        <f aca="false">IF($B610="",0,IF(AND(OR(Filter!$B$5="(alle)",$N610=Filter!$B$5),OR(Filter!$E$5="(alle)",$K610=Filter!$E$5),OR(Filter!$H$5="(alle)",$C610=Filter!$H$5),OR(Filter!$B$7="(alle)",$E610=Filter!$B$7),OR(Filter!$E$7="(alle)",ISNUMBER(SEARCH(Filter!$E$7,$J610))),OR(Filter!$H$7="(alle)",ISNUMBER(SEARCH(Filter!$H$7,$I610))),OR(Filter!$B$9="",ISNUMBER(SEARCH(Filter!$B$9,$F610&amp;" "&amp;$G610)))),COUNTIF($O$6:$O609,"&gt;0")+1,0))</f>
        <v>604</v>
      </c>
    </row>
    <row r="611" customFormat="false" ht="38.25" hidden="false" customHeight="true" outlineLevel="0" collapsed="false">
      <c r="B611" s="30" t="s">
        <v>3135</v>
      </c>
      <c r="C611" s="30" t="s">
        <v>286</v>
      </c>
      <c r="D611" s="30" t="s">
        <v>3136</v>
      </c>
      <c r="E611" s="30" t="s">
        <v>361</v>
      </c>
      <c r="F611" s="30" t="s">
        <v>3137</v>
      </c>
      <c r="G611" s="30" t="s">
        <v>3138</v>
      </c>
      <c r="H611" s="30" t="s">
        <v>3139</v>
      </c>
      <c r="I611" s="30" t="s">
        <v>306</v>
      </c>
      <c r="J611" s="30" t="s">
        <v>206</v>
      </c>
      <c r="K611" s="31" t="s">
        <v>47</v>
      </c>
      <c r="L611" s="32"/>
      <c r="M611" s="30"/>
      <c r="N611" s="30" t="s">
        <v>48</v>
      </c>
      <c r="O611" s="1" t="n">
        <f aca="false">IF($B611="",0,IF(AND(OR(Filter!$B$5="(alle)",$N611=Filter!$B$5),OR(Filter!$E$5="(alle)",$K611=Filter!$E$5),OR(Filter!$H$5="(alle)",$C611=Filter!$H$5),OR(Filter!$B$7="(alle)",$E611=Filter!$B$7),OR(Filter!$E$7="(alle)",ISNUMBER(SEARCH(Filter!$E$7,$J611))),OR(Filter!$H$7="(alle)",ISNUMBER(SEARCH(Filter!$H$7,$I611))),OR(Filter!$B$9="",ISNUMBER(SEARCH(Filter!$B$9,$F611&amp;" "&amp;$G611)))),COUNTIF($O$6:$O610,"&gt;0")+1,0))</f>
        <v>605</v>
      </c>
    </row>
    <row r="612" customFormat="false" ht="140.25" hidden="false" customHeight="true" outlineLevel="0" collapsed="false">
      <c r="B612" s="30" t="s">
        <v>3140</v>
      </c>
      <c r="C612" s="30" t="s">
        <v>286</v>
      </c>
      <c r="D612" s="30" t="s">
        <v>3141</v>
      </c>
      <c r="E612" s="30" t="s">
        <v>355</v>
      </c>
      <c r="F612" s="30" t="s">
        <v>3142</v>
      </c>
      <c r="G612" s="30" t="s">
        <v>3143</v>
      </c>
      <c r="H612" s="30" t="s">
        <v>3144</v>
      </c>
      <c r="I612" s="30" t="s">
        <v>476</v>
      </c>
      <c r="J612" s="30" t="s">
        <v>476</v>
      </c>
      <c r="K612" s="31" t="s">
        <v>47</v>
      </c>
      <c r="L612" s="32"/>
      <c r="M612" s="30"/>
      <c r="N612" s="30" t="s">
        <v>48</v>
      </c>
      <c r="O612" s="1" t="n">
        <f aca="false">IF($B612="",0,IF(AND(OR(Filter!$B$5="(alle)",$N612=Filter!$B$5),OR(Filter!$E$5="(alle)",$K612=Filter!$E$5),OR(Filter!$H$5="(alle)",$C612=Filter!$H$5),OR(Filter!$B$7="(alle)",$E612=Filter!$B$7),OR(Filter!$E$7="(alle)",ISNUMBER(SEARCH(Filter!$E$7,$J612))),OR(Filter!$H$7="(alle)",ISNUMBER(SEARCH(Filter!$H$7,$I612))),OR(Filter!$B$9="",ISNUMBER(SEARCH(Filter!$B$9,$F612&amp;" "&amp;$G612)))),COUNTIF($O$6:$O611,"&gt;0")+1,0))</f>
        <v>606</v>
      </c>
    </row>
    <row r="613" customFormat="false" ht="153" hidden="false" customHeight="true" outlineLevel="0" collapsed="false">
      <c r="B613" s="30" t="s">
        <v>3145</v>
      </c>
      <c r="C613" s="30" t="s">
        <v>286</v>
      </c>
      <c r="D613" s="30" t="s">
        <v>3146</v>
      </c>
      <c r="E613" s="30" t="s">
        <v>361</v>
      </c>
      <c r="F613" s="30" t="s">
        <v>3147</v>
      </c>
      <c r="G613" s="30" t="s">
        <v>3148</v>
      </c>
      <c r="H613" s="30" t="s">
        <v>3149</v>
      </c>
      <c r="I613" s="30" t="s">
        <v>306</v>
      </c>
      <c r="J613" s="30" t="s">
        <v>206</v>
      </c>
      <c r="K613" s="31" t="s">
        <v>47</v>
      </c>
      <c r="L613" s="32"/>
      <c r="M613" s="30"/>
      <c r="N613" s="30" t="s">
        <v>48</v>
      </c>
      <c r="O613" s="1" t="n">
        <f aca="false">IF($B613="",0,IF(AND(OR(Filter!$B$5="(alle)",$N613=Filter!$B$5),OR(Filter!$E$5="(alle)",$K613=Filter!$E$5),OR(Filter!$H$5="(alle)",$C613=Filter!$H$5),OR(Filter!$B$7="(alle)",$E613=Filter!$B$7),OR(Filter!$E$7="(alle)",ISNUMBER(SEARCH(Filter!$E$7,$J613))),OR(Filter!$H$7="(alle)",ISNUMBER(SEARCH(Filter!$H$7,$I613))),OR(Filter!$B$9="",ISNUMBER(SEARCH(Filter!$B$9,$F613&amp;" "&amp;$G613)))),COUNTIF($O$6:$O612,"&gt;0")+1,0))</f>
        <v>607</v>
      </c>
    </row>
    <row r="614" customFormat="false" ht="178.5" hidden="false" customHeight="true" outlineLevel="0" collapsed="false">
      <c r="B614" s="30" t="s">
        <v>3150</v>
      </c>
      <c r="C614" s="30" t="s">
        <v>286</v>
      </c>
      <c r="D614" s="30" t="s">
        <v>3151</v>
      </c>
      <c r="E614" s="30" t="s">
        <v>361</v>
      </c>
      <c r="F614" s="30" t="s">
        <v>3152</v>
      </c>
      <c r="G614" s="30" t="s">
        <v>3153</v>
      </c>
      <c r="H614" s="30" t="s">
        <v>3154</v>
      </c>
      <c r="I614" s="30" t="s">
        <v>306</v>
      </c>
      <c r="J614" s="30" t="s">
        <v>206</v>
      </c>
      <c r="K614" s="31" t="s">
        <v>47</v>
      </c>
      <c r="L614" s="32"/>
      <c r="M614" s="30"/>
      <c r="N614" s="30" t="s">
        <v>48</v>
      </c>
      <c r="O614" s="1" t="n">
        <f aca="false">IF($B614="",0,IF(AND(OR(Filter!$B$5="(alle)",$N614=Filter!$B$5),OR(Filter!$E$5="(alle)",$K614=Filter!$E$5),OR(Filter!$H$5="(alle)",$C614=Filter!$H$5),OR(Filter!$B$7="(alle)",$E614=Filter!$B$7),OR(Filter!$E$7="(alle)",ISNUMBER(SEARCH(Filter!$E$7,$J614))),OR(Filter!$H$7="(alle)",ISNUMBER(SEARCH(Filter!$H$7,$I614))),OR(Filter!$B$9="",ISNUMBER(SEARCH(Filter!$B$9,$F614&amp;" "&amp;$G614)))),COUNTIF($O$6:$O613,"&gt;0")+1,0))</f>
        <v>608</v>
      </c>
    </row>
    <row r="615" customFormat="false" ht="114.75" hidden="false" customHeight="true" outlineLevel="0" collapsed="false">
      <c r="B615" s="30" t="s">
        <v>3155</v>
      </c>
      <c r="C615" s="30" t="s">
        <v>286</v>
      </c>
      <c r="D615" s="30" t="s">
        <v>3156</v>
      </c>
      <c r="E615" s="30" t="s">
        <v>155</v>
      </c>
      <c r="F615" s="30" t="s">
        <v>3157</v>
      </c>
      <c r="G615" s="30" t="s">
        <v>3158</v>
      </c>
      <c r="H615" s="30" t="s">
        <v>3159</v>
      </c>
      <c r="I615" s="30" t="s">
        <v>158</v>
      </c>
      <c r="J615" s="30" t="s">
        <v>159</v>
      </c>
      <c r="K615" s="31" t="s">
        <v>47</v>
      </c>
      <c r="L615" s="32"/>
      <c r="M615" s="30"/>
      <c r="N615" s="30" t="s">
        <v>48</v>
      </c>
      <c r="O615" s="1" t="n">
        <f aca="false">IF($B615="",0,IF(AND(OR(Filter!$B$5="(alle)",$N615=Filter!$B$5),OR(Filter!$E$5="(alle)",$K615=Filter!$E$5),OR(Filter!$H$5="(alle)",$C615=Filter!$H$5),OR(Filter!$B$7="(alle)",$E615=Filter!$B$7),OR(Filter!$E$7="(alle)",ISNUMBER(SEARCH(Filter!$E$7,$J615))),OR(Filter!$H$7="(alle)",ISNUMBER(SEARCH(Filter!$H$7,$I615))),OR(Filter!$B$9="",ISNUMBER(SEARCH(Filter!$B$9,$F615&amp;" "&amp;$G615)))),COUNTIF($O$6:$O614,"&gt;0")+1,0))</f>
        <v>609</v>
      </c>
    </row>
    <row r="616" customFormat="false" ht="89.25" hidden="false" customHeight="true" outlineLevel="0" collapsed="false">
      <c r="B616" s="30" t="s">
        <v>3160</v>
      </c>
      <c r="C616" s="30" t="s">
        <v>286</v>
      </c>
      <c r="D616" s="30" t="s">
        <v>3161</v>
      </c>
      <c r="E616" s="30" t="s">
        <v>361</v>
      </c>
      <c r="F616" s="30" t="s">
        <v>3162</v>
      </c>
      <c r="G616" s="30" t="s">
        <v>3163</v>
      </c>
      <c r="H616" s="30" t="s">
        <v>3164</v>
      </c>
      <c r="I616" s="30" t="s">
        <v>306</v>
      </c>
      <c r="J616" s="30" t="s">
        <v>206</v>
      </c>
      <c r="K616" s="31" t="s">
        <v>47</v>
      </c>
      <c r="L616" s="32"/>
      <c r="M616" s="30"/>
      <c r="N616" s="30" t="s">
        <v>48</v>
      </c>
      <c r="O616" s="1" t="n">
        <f aca="false">IF($B616="",0,IF(AND(OR(Filter!$B$5="(alle)",$N616=Filter!$B$5),OR(Filter!$E$5="(alle)",$K616=Filter!$E$5),OR(Filter!$H$5="(alle)",$C616=Filter!$H$5),OR(Filter!$B$7="(alle)",$E616=Filter!$B$7),OR(Filter!$E$7="(alle)",ISNUMBER(SEARCH(Filter!$E$7,$J616))),OR(Filter!$H$7="(alle)",ISNUMBER(SEARCH(Filter!$H$7,$I616))),OR(Filter!$B$9="",ISNUMBER(SEARCH(Filter!$B$9,$F616&amp;" "&amp;$G616)))),COUNTIF($O$6:$O615,"&gt;0")+1,0))</f>
        <v>610</v>
      </c>
    </row>
    <row r="617" customFormat="false" ht="127.5" hidden="false" customHeight="true" outlineLevel="0" collapsed="false">
      <c r="B617" s="30" t="s">
        <v>3165</v>
      </c>
      <c r="C617" s="30" t="s">
        <v>286</v>
      </c>
      <c r="D617" s="30" t="s">
        <v>3166</v>
      </c>
      <c r="E617" s="30" t="s">
        <v>81</v>
      </c>
      <c r="F617" s="30" t="s">
        <v>3167</v>
      </c>
      <c r="G617" s="30" t="s">
        <v>3168</v>
      </c>
      <c r="H617" s="30" t="s">
        <v>3169</v>
      </c>
      <c r="I617" s="30" t="s">
        <v>340</v>
      </c>
      <c r="J617" s="30" t="s">
        <v>86</v>
      </c>
      <c r="K617" s="31" t="s">
        <v>47</v>
      </c>
      <c r="L617" s="32"/>
      <c r="M617" s="30"/>
      <c r="N617" s="30" t="s">
        <v>65</v>
      </c>
      <c r="O617" s="1" t="n">
        <f aca="false">IF($B617="",0,IF(AND(OR(Filter!$B$5="(alle)",$N617=Filter!$B$5),OR(Filter!$E$5="(alle)",$K617=Filter!$E$5),OR(Filter!$H$5="(alle)",$C617=Filter!$H$5),OR(Filter!$B$7="(alle)",$E617=Filter!$B$7),OR(Filter!$E$7="(alle)",ISNUMBER(SEARCH(Filter!$E$7,$J617))),OR(Filter!$H$7="(alle)",ISNUMBER(SEARCH(Filter!$H$7,$I617))),OR(Filter!$B$9="",ISNUMBER(SEARCH(Filter!$B$9,$F617&amp;" "&amp;$G617)))),COUNTIF($O$6:$O616,"&gt;0")+1,0))</f>
        <v>611</v>
      </c>
    </row>
    <row r="618" customFormat="false" ht="153" hidden="false" customHeight="true" outlineLevel="0" collapsed="false">
      <c r="B618" s="30" t="s">
        <v>3170</v>
      </c>
      <c r="C618" s="30" t="s">
        <v>286</v>
      </c>
      <c r="D618" s="30" t="s">
        <v>3171</v>
      </c>
      <c r="E618" s="30" t="s">
        <v>355</v>
      </c>
      <c r="F618" s="30" t="s">
        <v>3172</v>
      </c>
      <c r="G618" s="30" t="s">
        <v>3173</v>
      </c>
      <c r="H618" s="30" t="s">
        <v>3174</v>
      </c>
      <c r="I618" s="30" t="s">
        <v>306</v>
      </c>
      <c r="J618" s="30" t="s">
        <v>206</v>
      </c>
      <c r="K618" s="31" t="s">
        <v>47</v>
      </c>
      <c r="L618" s="32"/>
      <c r="M618" s="30"/>
      <c r="N618" s="30" t="s">
        <v>48</v>
      </c>
      <c r="O618" s="1" t="n">
        <f aca="false">IF($B618="",0,IF(AND(OR(Filter!$B$5="(alle)",$N618=Filter!$B$5),OR(Filter!$E$5="(alle)",$K618=Filter!$E$5),OR(Filter!$H$5="(alle)",$C618=Filter!$H$5),OR(Filter!$B$7="(alle)",$E618=Filter!$B$7),OR(Filter!$E$7="(alle)",ISNUMBER(SEARCH(Filter!$E$7,$J618))),OR(Filter!$H$7="(alle)",ISNUMBER(SEARCH(Filter!$H$7,$I618))),OR(Filter!$B$9="",ISNUMBER(SEARCH(Filter!$B$9,$F618&amp;" "&amp;$G618)))),COUNTIF($O$6:$O617,"&gt;0")+1,0))</f>
        <v>612</v>
      </c>
    </row>
    <row r="619" customFormat="false" ht="114.75" hidden="false" customHeight="true" outlineLevel="0" collapsed="false">
      <c r="B619" s="30" t="s">
        <v>3175</v>
      </c>
      <c r="C619" s="30" t="s">
        <v>286</v>
      </c>
      <c r="D619" s="30" t="s">
        <v>3176</v>
      </c>
      <c r="E619" s="30" t="s">
        <v>102</v>
      </c>
      <c r="F619" s="30" t="s">
        <v>3177</v>
      </c>
      <c r="G619" s="30" t="s">
        <v>3178</v>
      </c>
      <c r="H619" s="30" t="s">
        <v>3179</v>
      </c>
      <c r="I619" s="30" t="s">
        <v>45</v>
      </c>
      <c r="J619" s="30" t="s">
        <v>70</v>
      </c>
      <c r="K619" s="31" t="s">
        <v>47</v>
      </c>
      <c r="L619" s="32"/>
      <c r="M619" s="30"/>
      <c r="N619" s="30" t="s">
        <v>48</v>
      </c>
      <c r="O619" s="1" t="n">
        <f aca="false">IF($B619="",0,IF(AND(OR(Filter!$B$5="(alle)",$N619=Filter!$B$5),OR(Filter!$E$5="(alle)",$K619=Filter!$E$5),OR(Filter!$H$5="(alle)",$C619=Filter!$H$5),OR(Filter!$B$7="(alle)",$E619=Filter!$B$7),OR(Filter!$E$7="(alle)",ISNUMBER(SEARCH(Filter!$E$7,$J619))),OR(Filter!$H$7="(alle)",ISNUMBER(SEARCH(Filter!$H$7,$I619))),OR(Filter!$B$9="",ISNUMBER(SEARCH(Filter!$B$9,$F619&amp;" "&amp;$G619)))),COUNTIF($O$6:$O618,"&gt;0")+1,0))</f>
        <v>613</v>
      </c>
    </row>
    <row r="620" customFormat="false" ht="102" hidden="false" customHeight="true" outlineLevel="0" collapsed="false">
      <c r="B620" s="30" t="s">
        <v>3180</v>
      </c>
      <c r="C620" s="30" t="s">
        <v>286</v>
      </c>
      <c r="D620" s="30" t="s">
        <v>3181</v>
      </c>
      <c r="E620" s="30" t="s">
        <v>355</v>
      </c>
      <c r="F620" s="30" t="s">
        <v>3182</v>
      </c>
      <c r="G620" s="30" t="s">
        <v>3183</v>
      </c>
      <c r="H620" s="30" t="s">
        <v>3184</v>
      </c>
      <c r="I620" s="30" t="s">
        <v>306</v>
      </c>
      <c r="J620" s="30" t="s">
        <v>206</v>
      </c>
      <c r="K620" s="31" t="s">
        <v>47</v>
      </c>
      <c r="L620" s="32"/>
      <c r="M620" s="30"/>
      <c r="N620" s="30" t="s">
        <v>48</v>
      </c>
      <c r="O620" s="1" t="n">
        <f aca="false">IF($B620="",0,IF(AND(OR(Filter!$B$5="(alle)",$N620=Filter!$B$5),OR(Filter!$E$5="(alle)",$K620=Filter!$E$5),OR(Filter!$H$5="(alle)",$C620=Filter!$H$5),OR(Filter!$B$7="(alle)",$E620=Filter!$B$7),OR(Filter!$E$7="(alle)",ISNUMBER(SEARCH(Filter!$E$7,$J620))),OR(Filter!$H$7="(alle)",ISNUMBER(SEARCH(Filter!$H$7,$I620))),OR(Filter!$B$9="",ISNUMBER(SEARCH(Filter!$B$9,$F620&amp;" "&amp;$G620)))),COUNTIF($O$6:$O619,"&gt;0")+1,0))</f>
        <v>614</v>
      </c>
    </row>
    <row r="621" customFormat="false" ht="280.5" hidden="false" customHeight="true" outlineLevel="0" collapsed="false">
      <c r="B621" s="30" t="s">
        <v>3185</v>
      </c>
      <c r="C621" s="30" t="s">
        <v>286</v>
      </c>
      <c r="D621" s="30" t="s">
        <v>3186</v>
      </c>
      <c r="E621" s="30" t="s">
        <v>361</v>
      </c>
      <c r="F621" s="30" t="s">
        <v>3187</v>
      </c>
      <c r="G621" s="30" t="s">
        <v>3188</v>
      </c>
      <c r="H621" s="30" t="s">
        <v>3189</v>
      </c>
      <c r="I621" s="30" t="s">
        <v>306</v>
      </c>
      <c r="J621" s="30" t="s">
        <v>206</v>
      </c>
      <c r="K621" s="31" t="s">
        <v>47</v>
      </c>
      <c r="L621" s="32"/>
      <c r="M621" s="30"/>
      <c r="N621" s="30" t="s">
        <v>48</v>
      </c>
      <c r="O621" s="1" t="n">
        <f aca="false">IF($B621="",0,IF(AND(OR(Filter!$B$5="(alle)",$N621=Filter!$B$5),OR(Filter!$E$5="(alle)",$K621=Filter!$E$5),OR(Filter!$H$5="(alle)",$C621=Filter!$H$5),OR(Filter!$B$7="(alle)",$E621=Filter!$B$7),OR(Filter!$E$7="(alle)",ISNUMBER(SEARCH(Filter!$E$7,$J621))),OR(Filter!$H$7="(alle)",ISNUMBER(SEARCH(Filter!$H$7,$I621))),OR(Filter!$B$9="",ISNUMBER(SEARCH(Filter!$B$9,$F621&amp;" "&amp;$G621)))),COUNTIF($O$6:$O620,"&gt;0")+1,0))</f>
        <v>615</v>
      </c>
    </row>
    <row r="622" customFormat="false" ht="76.5" hidden="false" customHeight="true" outlineLevel="0" collapsed="false">
      <c r="B622" s="30" t="s">
        <v>3190</v>
      </c>
      <c r="C622" s="30" t="s">
        <v>286</v>
      </c>
      <c r="D622" s="30" t="s">
        <v>3191</v>
      </c>
      <c r="E622" s="30" t="s">
        <v>344</v>
      </c>
      <c r="F622" s="30" t="s">
        <v>3192</v>
      </c>
      <c r="G622" s="30" t="s">
        <v>3193</v>
      </c>
      <c r="H622" s="30" t="s">
        <v>3194</v>
      </c>
      <c r="I622" s="30" t="s">
        <v>306</v>
      </c>
      <c r="J622" s="30" t="s">
        <v>206</v>
      </c>
      <c r="K622" s="31" t="s">
        <v>47</v>
      </c>
      <c r="L622" s="32"/>
      <c r="M622" s="30"/>
      <c r="N622" s="30" t="s">
        <v>48</v>
      </c>
      <c r="O622" s="1" t="n">
        <f aca="false">IF($B622="",0,IF(AND(OR(Filter!$B$5="(alle)",$N622=Filter!$B$5),OR(Filter!$E$5="(alle)",$K622=Filter!$E$5),OR(Filter!$H$5="(alle)",$C622=Filter!$H$5),OR(Filter!$B$7="(alle)",$E622=Filter!$B$7),OR(Filter!$E$7="(alle)",ISNUMBER(SEARCH(Filter!$E$7,$J622))),OR(Filter!$H$7="(alle)",ISNUMBER(SEARCH(Filter!$H$7,$I622))),OR(Filter!$B$9="",ISNUMBER(SEARCH(Filter!$B$9,$F622&amp;" "&amp;$G622)))),COUNTIF($O$6:$O621,"&gt;0")+1,0))</f>
        <v>616</v>
      </c>
    </row>
    <row r="623" customFormat="false" ht="242.25" hidden="false" customHeight="true" outlineLevel="0" collapsed="false">
      <c r="B623" s="30" t="s">
        <v>3195</v>
      </c>
      <c r="C623" s="30" t="s">
        <v>286</v>
      </c>
      <c r="D623" s="30" t="s">
        <v>3196</v>
      </c>
      <c r="E623" s="30" t="s">
        <v>361</v>
      </c>
      <c r="F623" s="30" t="s">
        <v>3197</v>
      </c>
      <c r="G623" s="30" t="s">
        <v>3198</v>
      </c>
      <c r="H623" s="30" t="s">
        <v>3199</v>
      </c>
      <c r="I623" s="30" t="s">
        <v>158</v>
      </c>
      <c r="J623" s="30" t="s">
        <v>159</v>
      </c>
      <c r="K623" s="31" t="s">
        <v>47</v>
      </c>
      <c r="L623" s="32"/>
      <c r="M623" s="30"/>
      <c r="N623" s="30" t="s">
        <v>48</v>
      </c>
      <c r="O623" s="1" t="n">
        <f aca="false">IF($B623="",0,IF(AND(OR(Filter!$B$5="(alle)",$N623=Filter!$B$5),OR(Filter!$E$5="(alle)",$K623=Filter!$E$5),OR(Filter!$H$5="(alle)",$C623=Filter!$H$5),OR(Filter!$B$7="(alle)",$E623=Filter!$B$7),OR(Filter!$E$7="(alle)",ISNUMBER(SEARCH(Filter!$E$7,$J623))),OR(Filter!$H$7="(alle)",ISNUMBER(SEARCH(Filter!$H$7,$I623))),OR(Filter!$B$9="",ISNUMBER(SEARCH(Filter!$B$9,$F623&amp;" "&amp;$G623)))),COUNTIF($O$6:$O622,"&gt;0")+1,0))</f>
        <v>617</v>
      </c>
    </row>
    <row r="624" customFormat="false" ht="204" hidden="false" customHeight="true" outlineLevel="0" collapsed="false">
      <c r="B624" s="30" t="s">
        <v>3200</v>
      </c>
      <c r="C624" s="30" t="s">
        <v>286</v>
      </c>
      <c r="D624" s="30" t="s">
        <v>3201</v>
      </c>
      <c r="E624" s="30" t="s">
        <v>361</v>
      </c>
      <c r="F624" s="30" t="s">
        <v>3202</v>
      </c>
      <c r="G624" s="30" t="s">
        <v>3203</v>
      </c>
      <c r="H624" s="30" t="s">
        <v>3204</v>
      </c>
      <c r="I624" s="30" t="s">
        <v>306</v>
      </c>
      <c r="J624" s="30" t="s">
        <v>206</v>
      </c>
      <c r="K624" s="31" t="s">
        <v>47</v>
      </c>
      <c r="L624" s="32"/>
      <c r="M624" s="30"/>
      <c r="N624" s="30" t="s">
        <v>48</v>
      </c>
      <c r="O624" s="1" t="n">
        <f aca="false">IF($B624="",0,IF(AND(OR(Filter!$B$5="(alle)",$N624=Filter!$B$5),OR(Filter!$E$5="(alle)",$K624=Filter!$E$5),OR(Filter!$H$5="(alle)",$C624=Filter!$H$5),OR(Filter!$B$7="(alle)",$E624=Filter!$B$7),OR(Filter!$E$7="(alle)",ISNUMBER(SEARCH(Filter!$E$7,$J624))),OR(Filter!$H$7="(alle)",ISNUMBER(SEARCH(Filter!$H$7,$I624))),OR(Filter!$B$9="",ISNUMBER(SEARCH(Filter!$B$9,$F624&amp;" "&amp;$G624)))),COUNTIF($O$6:$O623,"&gt;0")+1,0))</f>
        <v>618</v>
      </c>
    </row>
    <row r="625" customFormat="false" ht="165.75" hidden="false" customHeight="true" outlineLevel="0" collapsed="false">
      <c r="B625" s="30" t="s">
        <v>3205</v>
      </c>
      <c r="C625" s="30" t="s">
        <v>286</v>
      </c>
      <c r="D625" s="30" t="s">
        <v>3206</v>
      </c>
      <c r="E625" s="30" t="s">
        <v>361</v>
      </c>
      <c r="F625" s="30" t="s">
        <v>3207</v>
      </c>
      <c r="G625" s="30" t="s">
        <v>3208</v>
      </c>
      <c r="H625" s="30" t="s">
        <v>3209</v>
      </c>
      <c r="I625" s="30" t="s">
        <v>306</v>
      </c>
      <c r="J625" s="30" t="s">
        <v>206</v>
      </c>
      <c r="K625" s="31" t="s">
        <v>47</v>
      </c>
      <c r="L625" s="32"/>
      <c r="M625" s="30"/>
      <c r="N625" s="30" t="s">
        <v>48</v>
      </c>
      <c r="O625" s="1" t="n">
        <f aca="false">IF($B625="",0,IF(AND(OR(Filter!$B$5="(alle)",$N625=Filter!$B$5),OR(Filter!$E$5="(alle)",$K625=Filter!$E$5),OR(Filter!$H$5="(alle)",$C625=Filter!$H$5),OR(Filter!$B$7="(alle)",$E625=Filter!$B$7),OR(Filter!$E$7="(alle)",ISNUMBER(SEARCH(Filter!$E$7,$J625))),OR(Filter!$H$7="(alle)",ISNUMBER(SEARCH(Filter!$H$7,$I625))),OR(Filter!$B$9="",ISNUMBER(SEARCH(Filter!$B$9,$F625&amp;" "&amp;$G625)))),COUNTIF($O$6:$O624,"&gt;0")+1,0))</f>
        <v>619</v>
      </c>
    </row>
    <row r="626" customFormat="false" ht="229.5" hidden="false" customHeight="true" outlineLevel="0" collapsed="false">
      <c r="B626" s="30" t="s">
        <v>3210</v>
      </c>
      <c r="C626" s="30" t="s">
        <v>286</v>
      </c>
      <c r="D626" s="30" t="s">
        <v>3211</v>
      </c>
      <c r="E626" s="30" t="s">
        <v>344</v>
      </c>
      <c r="F626" s="30" t="s">
        <v>3212</v>
      </c>
      <c r="G626" s="30" t="s">
        <v>3213</v>
      </c>
      <c r="H626" s="30" t="s">
        <v>3214</v>
      </c>
      <c r="I626" s="30" t="s">
        <v>306</v>
      </c>
      <c r="J626" s="30" t="s">
        <v>206</v>
      </c>
      <c r="K626" s="31" t="s">
        <v>47</v>
      </c>
      <c r="L626" s="32"/>
      <c r="M626" s="30"/>
      <c r="N626" s="30" t="s">
        <v>48</v>
      </c>
      <c r="O626" s="1" t="n">
        <f aca="false">IF($B626="",0,IF(AND(OR(Filter!$B$5="(alle)",$N626=Filter!$B$5),OR(Filter!$E$5="(alle)",$K626=Filter!$E$5),OR(Filter!$H$5="(alle)",$C626=Filter!$H$5),OR(Filter!$B$7="(alle)",$E626=Filter!$B$7),OR(Filter!$E$7="(alle)",ISNUMBER(SEARCH(Filter!$E$7,$J626))),OR(Filter!$H$7="(alle)",ISNUMBER(SEARCH(Filter!$H$7,$I626))),OR(Filter!$B$9="",ISNUMBER(SEARCH(Filter!$B$9,$F626&amp;" "&amp;$G626)))),COUNTIF($O$6:$O625,"&gt;0")+1,0))</f>
        <v>620</v>
      </c>
    </row>
    <row r="627" customFormat="false" ht="51" hidden="false" customHeight="true" outlineLevel="0" collapsed="false">
      <c r="B627" s="30" t="s">
        <v>3215</v>
      </c>
      <c r="C627" s="30" t="s">
        <v>286</v>
      </c>
      <c r="D627" s="30" t="s">
        <v>3216</v>
      </c>
      <c r="E627" s="30" t="s">
        <v>331</v>
      </c>
      <c r="F627" s="30" t="s">
        <v>3217</v>
      </c>
      <c r="G627" s="30" t="s">
        <v>3218</v>
      </c>
      <c r="H627" s="30" t="s">
        <v>3219</v>
      </c>
      <c r="I627" s="30" t="s">
        <v>306</v>
      </c>
      <c r="J627" s="30" t="s">
        <v>206</v>
      </c>
      <c r="K627" s="31" t="s">
        <v>151</v>
      </c>
      <c r="L627" s="32"/>
      <c r="M627" s="30" t="s">
        <v>370</v>
      </c>
      <c r="N627" s="30" t="s">
        <v>48</v>
      </c>
      <c r="O627" s="1" t="n">
        <f aca="false">IF($B627="",0,IF(AND(OR(Filter!$B$5="(alle)",$N627=Filter!$B$5),OR(Filter!$E$5="(alle)",$K627=Filter!$E$5),OR(Filter!$H$5="(alle)",$C627=Filter!$H$5),OR(Filter!$B$7="(alle)",$E627=Filter!$B$7),OR(Filter!$E$7="(alle)",ISNUMBER(SEARCH(Filter!$E$7,$J627))),OR(Filter!$H$7="(alle)",ISNUMBER(SEARCH(Filter!$H$7,$I627))),OR(Filter!$B$9="",ISNUMBER(SEARCH(Filter!$B$9,$F627&amp;" "&amp;$G627)))),COUNTIF($O$6:$O626,"&gt;0")+1,0))</f>
        <v>621</v>
      </c>
    </row>
    <row r="628" customFormat="false" ht="204" hidden="false" customHeight="true" outlineLevel="0" collapsed="false">
      <c r="B628" s="30" t="s">
        <v>3220</v>
      </c>
      <c r="C628" s="30" t="s">
        <v>286</v>
      </c>
      <c r="D628" s="30" t="s">
        <v>3221</v>
      </c>
      <c r="E628" s="30" t="s">
        <v>102</v>
      </c>
      <c r="F628" s="30" t="s">
        <v>3222</v>
      </c>
      <c r="G628" s="30" t="s">
        <v>3223</v>
      </c>
      <c r="H628" s="30" t="s">
        <v>3224</v>
      </c>
      <c r="I628" s="30" t="s">
        <v>45</v>
      </c>
      <c r="J628" s="30" t="s">
        <v>70</v>
      </c>
      <c r="K628" s="31" t="s">
        <v>47</v>
      </c>
      <c r="L628" s="32"/>
      <c r="M628" s="30"/>
      <c r="N628" s="30" t="s">
        <v>48</v>
      </c>
      <c r="O628" s="1" t="n">
        <f aca="false">IF($B628="",0,IF(AND(OR(Filter!$B$5="(alle)",$N628=Filter!$B$5),OR(Filter!$E$5="(alle)",$K628=Filter!$E$5),OR(Filter!$H$5="(alle)",$C628=Filter!$H$5),OR(Filter!$B$7="(alle)",$E628=Filter!$B$7),OR(Filter!$E$7="(alle)",ISNUMBER(SEARCH(Filter!$E$7,$J628))),OR(Filter!$H$7="(alle)",ISNUMBER(SEARCH(Filter!$H$7,$I628))),OR(Filter!$B$9="",ISNUMBER(SEARCH(Filter!$B$9,$F628&amp;" "&amp;$G628)))),COUNTIF($O$6:$O627,"&gt;0")+1,0))</f>
        <v>622</v>
      </c>
    </row>
    <row r="629" customFormat="false" ht="127.5" hidden="false" customHeight="true" outlineLevel="0" collapsed="false">
      <c r="B629" s="30" t="s">
        <v>3225</v>
      </c>
      <c r="C629" s="30" t="s">
        <v>286</v>
      </c>
      <c r="D629" s="30" t="s">
        <v>3226</v>
      </c>
      <c r="E629" s="30" t="s">
        <v>155</v>
      </c>
      <c r="F629" s="30" t="s">
        <v>3227</v>
      </c>
      <c r="G629" s="30" t="s">
        <v>3228</v>
      </c>
      <c r="H629" s="30" t="s">
        <v>3229</v>
      </c>
      <c r="I629" s="30" t="s">
        <v>476</v>
      </c>
      <c r="J629" s="30" t="s">
        <v>476</v>
      </c>
      <c r="K629" s="31" t="s">
        <v>47</v>
      </c>
      <c r="L629" s="32"/>
      <c r="M629" s="30"/>
      <c r="N629" s="30" t="s">
        <v>48</v>
      </c>
      <c r="O629" s="1" t="n">
        <f aca="false">IF($B629="",0,IF(AND(OR(Filter!$B$5="(alle)",$N629=Filter!$B$5),OR(Filter!$E$5="(alle)",$K629=Filter!$E$5),OR(Filter!$H$5="(alle)",$C629=Filter!$H$5),OR(Filter!$B$7="(alle)",$E629=Filter!$B$7),OR(Filter!$E$7="(alle)",ISNUMBER(SEARCH(Filter!$E$7,$J629))),OR(Filter!$H$7="(alle)",ISNUMBER(SEARCH(Filter!$H$7,$I629))),OR(Filter!$B$9="",ISNUMBER(SEARCH(Filter!$B$9,$F629&amp;" "&amp;$G629)))),COUNTIF($O$6:$O628,"&gt;0")+1,0))</f>
        <v>623</v>
      </c>
    </row>
    <row r="630" customFormat="false" ht="140.25" hidden="false" customHeight="true" outlineLevel="0" collapsed="false">
      <c r="B630" s="30" t="s">
        <v>3230</v>
      </c>
      <c r="C630" s="30" t="s">
        <v>286</v>
      </c>
      <c r="D630" s="30" t="s">
        <v>3231</v>
      </c>
      <c r="E630" s="30" t="s">
        <v>210</v>
      </c>
      <c r="F630" s="30" t="s">
        <v>3232</v>
      </c>
      <c r="G630" s="30" t="s">
        <v>2869</v>
      </c>
      <c r="H630" s="30" t="s">
        <v>3233</v>
      </c>
      <c r="I630" s="30" t="s">
        <v>306</v>
      </c>
      <c r="J630" s="30" t="s">
        <v>206</v>
      </c>
      <c r="K630" s="31" t="s">
        <v>47</v>
      </c>
      <c r="L630" s="32"/>
      <c r="M630" s="30"/>
      <c r="N630" s="30" t="s">
        <v>48</v>
      </c>
      <c r="O630" s="1" t="n">
        <f aca="false">IF($B630="",0,IF(AND(OR(Filter!$B$5="(alle)",$N630=Filter!$B$5),OR(Filter!$E$5="(alle)",$K630=Filter!$E$5),OR(Filter!$H$5="(alle)",$C630=Filter!$H$5),OR(Filter!$B$7="(alle)",$E630=Filter!$B$7),OR(Filter!$E$7="(alle)",ISNUMBER(SEARCH(Filter!$E$7,$J630))),OR(Filter!$H$7="(alle)",ISNUMBER(SEARCH(Filter!$H$7,$I630))),OR(Filter!$B$9="",ISNUMBER(SEARCH(Filter!$B$9,$F630&amp;" "&amp;$G630)))),COUNTIF($O$6:$O629,"&gt;0")+1,0))</f>
        <v>624</v>
      </c>
    </row>
    <row r="631" customFormat="false" ht="267.75" hidden="false" customHeight="true" outlineLevel="0" collapsed="false">
      <c r="B631" s="30" t="s">
        <v>3234</v>
      </c>
      <c r="C631" s="30" t="s">
        <v>286</v>
      </c>
      <c r="D631" s="30" t="s">
        <v>3235</v>
      </c>
      <c r="E631" s="30" t="s">
        <v>361</v>
      </c>
      <c r="F631" s="30" t="s">
        <v>3236</v>
      </c>
      <c r="G631" s="30" t="s">
        <v>3237</v>
      </c>
      <c r="H631" s="30" t="s">
        <v>3238</v>
      </c>
      <c r="I631" s="30" t="s">
        <v>306</v>
      </c>
      <c r="J631" s="30" t="s">
        <v>206</v>
      </c>
      <c r="K631" s="31" t="s">
        <v>47</v>
      </c>
      <c r="L631" s="32"/>
      <c r="M631" s="30"/>
      <c r="N631" s="30" t="s">
        <v>48</v>
      </c>
      <c r="O631" s="1" t="n">
        <f aca="false">IF($B631="",0,IF(AND(OR(Filter!$B$5="(alle)",$N631=Filter!$B$5),OR(Filter!$E$5="(alle)",$K631=Filter!$E$5),OR(Filter!$H$5="(alle)",$C631=Filter!$H$5),OR(Filter!$B$7="(alle)",$E631=Filter!$B$7),OR(Filter!$E$7="(alle)",ISNUMBER(SEARCH(Filter!$E$7,$J631))),OR(Filter!$H$7="(alle)",ISNUMBER(SEARCH(Filter!$H$7,$I631))),OR(Filter!$B$9="",ISNUMBER(SEARCH(Filter!$B$9,$F631&amp;" "&amp;$G631)))),COUNTIF($O$6:$O630,"&gt;0")+1,0))</f>
        <v>625</v>
      </c>
    </row>
    <row r="632" customFormat="false" ht="191.25" hidden="false" customHeight="true" outlineLevel="0" collapsed="false">
      <c r="B632" s="30" t="s">
        <v>3239</v>
      </c>
      <c r="C632" s="30" t="s">
        <v>286</v>
      </c>
      <c r="D632" s="30" t="s">
        <v>3240</v>
      </c>
      <c r="E632" s="30" t="s">
        <v>361</v>
      </c>
      <c r="F632" s="30" t="s">
        <v>3241</v>
      </c>
      <c r="G632" s="30" t="s">
        <v>3242</v>
      </c>
      <c r="H632" s="30" t="s">
        <v>3243</v>
      </c>
      <c r="I632" s="30" t="s">
        <v>158</v>
      </c>
      <c r="J632" s="30" t="s">
        <v>159</v>
      </c>
      <c r="K632" s="31" t="s">
        <v>47</v>
      </c>
      <c r="L632" s="32"/>
      <c r="M632" s="30"/>
      <c r="N632" s="30" t="s">
        <v>48</v>
      </c>
      <c r="O632" s="1" t="n">
        <f aca="false">IF($B632="",0,IF(AND(OR(Filter!$B$5="(alle)",$N632=Filter!$B$5),OR(Filter!$E$5="(alle)",$K632=Filter!$E$5),OR(Filter!$H$5="(alle)",$C632=Filter!$H$5),OR(Filter!$B$7="(alle)",$E632=Filter!$B$7),OR(Filter!$E$7="(alle)",ISNUMBER(SEARCH(Filter!$E$7,$J632))),OR(Filter!$H$7="(alle)",ISNUMBER(SEARCH(Filter!$H$7,$I632))),OR(Filter!$B$9="",ISNUMBER(SEARCH(Filter!$B$9,$F632&amp;" "&amp;$G632)))),COUNTIF($O$6:$O631,"&gt;0")+1,0))</f>
        <v>626</v>
      </c>
    </row>
    <row r="633" customFormat="false" ht="38.25" hidden="false" customHeight="true" outlineLevel="0" collapsed="false">
      <c r="B633" s="30" t="s">
        <v>3244</v>
      </c>
      <c r="C633" s="30" t="s">
        <v>286</v>
      </c>
      <c r="D633" s="30" t="s">
        <v>3245</v>
      </c>
      <c r="E633" s="30" t="s">
        <v>344</v>
      </c>
      <c r="F633" s="30" t="s">
        <v>3246</v>
      </c>
      <c r="G633" s="30" t="s">
        <v>3247</v>
      </c>
      <c r="H633" s="30" t="s">
        <v>3248</v>
      </c>
      <c r="I633" s="30" t="s">
        <v>306</v>
      </c>
      <c r="J633" s="30" t="s">
        <v>206</v>
      </c>
      <c r="K633" s="31" t="s">
        <v>151</v>
      </c>
      <c r="L633" s="32"/>
      <c r="M633" s="30" t="s">
        <v>629</v>
      </c>
      <c r="N633" s="30" t="s">
        <v>48</v>
      </c>
      <c r="O633" s="1" t="n">
        <f aca="false">IF($B633="",0,IF(AND(OR(Filter!$B$5="(alle)",$N633=Filter!$B$5),OR(Filter!$E$5="(alle)",$K633=Filter!$E$5),OR(Filter!$H$5="(alle)",$C633=Filter!$H$5),OR(Filter!$B$7="(alle)",$E633=Filter!$B$7),OR(Filter!$E$7="(alle)",ISNUMBER(SEARCH(Filter!$E$7,$J633))),OR(Filter!$H$7="(alle)",ISNUMBER(SEARCH(Filter!$H$7,$I633))),OR(Filter!$B$9="",ISNUMBER(SEARCH(Filter!$B$9,$F633&amp;" "&amp;$G633)))),COUNTIF($O$6:$O632,"&gt;0")+1,0))</f>
        <v>627</v>
      </c>
    </row>
    <row r="634" customFormat="false" ht="63.75" hidden="false" customHeight="true" outlineLevel="0" collapsed="false">
      <c r="B634" s="30" t="s">
        <v>3249</v>
      </c>
      <c r="C634" s="30" t="s">
        <v>286</v>
      </c>
      <c r="D634" s="30" t="s">
        <v>3250</v>
      </c>
      <c r="E634" s="30" t="s">
        <v>361</v>
      </c>
      <c r="F634" s="30" t="s">
        <v>3251</v>
      </c>
      <c r="G634" s="30" t="s">
        <v>3252</v>
      </c>
      <c r="H634" s="30" t="s">
        <v>3253</v>
      </c>
      <c r="I634" s="30" t="s">
        <v>306</v>
      </c>
      <c r="J634" s="30" t="s">
        <v>206</v>
      </c>
      <c r="K634" s="31" t="s">
        <v>47</v>
      </c>
      <c r="L634" s="32"/>
      <c r="M634" s="30"/>
      <c r="N634" s="30" t="s">
        <v>48</v>
      </c>
      <c r="O634" s="1" t="n">
        <f aca="false">IF($B634="",0,IF(AND(OR(Filter!$B$5="(alle)",$N634=Filter!$B$5),OR(Filter!$E$5="(alle)",$K634=Filter!$E$5),OR(Filter!$H$5="(alle)",$C634=Filter!$H$5),OR(Filter!$B$7="(alle)",$E634=Filter!$B$7),OR(Filter!$E$7="(alle)",ISNUMBER(SEARCH(Filter!$E$7,$J634))),OR(Filter!$H$7="(alle)",ISNUMBER(SEARCH(Filter!$H$7,$I634))),OR(Filter!$B$9="",ISNUMBER(SEARCH(Filter!$B$9,$F634&amp;" "&amp;$G634)))),COUNTIF($O$6:$O633,"&gt;0")+1,0))</f>
        <v>628</v>
      </c>
    </row>
    <row r="635" customFormat="false" ht="51" hidden="false" customHeight="true" outlineLevel="0" collapsed="false">
      <c r="B635" s="30" t="s">
        <v>3254</v>
      </c>
      <c r="C635" s="30" t="s">
        <v>286</v>
      </c>
      <c r="D635" s="30" t="s">
        <v>3255</v>
      </c>
      <c r="E635" s="30" t="s">
        <v>210</v>
      </c>
      <c r="F635" s="30" t="s">
        <v>3256</v>
      </c>
      <c r="G635" s="30" t="s">
        <v>3257</v>
      </c>
      <c r="H635" s="30" t="s">
        <v>3258</v>
      </c>
      <c r="I635" s="30" t="s">
        <v>306</v>
      </c>
      <c r="J635" s="30" t="s">
        <v>206</v>
      </c>
      <c r="K635" s="31" t="s">
        <v>47</v>
      </c>
      <c r="L635" s="32"/>
      <c r="M635" s="30"/>
      <c r="N635" s="30" t="s">
        <v>48</v>
      </c>
      <c r="O635" s="1" t="n">
        <f aca="false">IF($B635="",0,IF(AND(OR(Filter!$B$5="(alle)",$N635=Filter!$B$5),OR(Filter!$E$5="(alle)",$K635=Filter!$E$5),OR(Filter!$H$5="(alle)",$C635=Filter!$H$5),OR(Filter!$B$7="(alle)",$E635=Filter!$B$7),OR(Filter!$E$7="(alle)",ISNUMBER(SEARCH(Filter!$E$7,$J635))),OR(Filter!$H$7="(alle)",ISNUMBER(SEARCH(Filter!$H$7,$I635))),OR(Filter!$B$9="",ISNUMBER(SEARCH(Filter!$B$9,$F635&amp;" "&amp;$G635)))),COUNTIF($O$6:$O634,"&gt;0")+1,0))</f>
        <v>629</v>
      </c>
    </row>
    <row r="636" customFormat="false" ht="102" hidden="false" customHeight="true" outlineLevel="0" collapsed="false">
      <c r="B636" s="30" t="s">
        <v>3259</v>
      </c>
      <c r="C636" s="30" t="s">
        <v>286</v>
      </c>
      <c r="D636" s="30" t="s">
        <v>3260</v>
      </c>
      <c r="E636" s="30" t="s">
        <v>361</v>
      </c>
      <c r="F636" s="30" t="s">
        <v>3261</v>
      </c>
      <c r="G636" s="30" t="s">
        <v>3262</v>
      </c>
      <c r="H636" s="30" t="s">
        <v>3263</v>
      </c>
      <c r="I636" s="30" t="s">
        <v>306</v>
      </c>
      <c r="J636" s="30" t="s">
        <v>206</v>
      </c>
      <c r="K636" s="31" t="s">
        <v>47</v>
      </c>
      <c r="L636" s="32"/>
      <c r="M636" s="30"/>
      <c r="N636" s="30" t="s">
        <v>48</v>
      </c>
      <c r="O636" s="1" t="n">
        <f aca="false">IF($B636="",0,IF(AND(OR(Filter!$B$5="(alle)",$N636=Filter!$B$5),OR(Filter!$E$5="(alle)",$K636=Filter!$E$5),OR(Filter!$H$5="(alle)",$C636=Filter!$H$5),OR(Filter!$B$7="(alle)",$E636=Filter!$B$7),OR(Filter!$E$7="(alle)",ISNUMBER(SEARCH(Filter!$E$7,$J636))),OR(Filter!$H$7="(alle)",ISNUMBER(SEARCH(Filter!$H$7,$I636))),OR(Filter!$B$9="",ISNUMBER(SEARCH(Filter!$B$9,$F636&amp;" "&amp;$G636)))),COUNTIF($O$6:$O635,"&gt;0")+1,0))</f>
        <v>630</v>
      </c>
    </row>
    <row r="637" customFormat="false" ht="76.5" hidden="false" customHeight="true" outlineLevel="0" collapsed="false">
      <c r="B637" s="30" t="s">
        <v>3264</v>
      </c>
      <c r="C637" s="30" t="s">
        <v>286</v>
      </c>
      <c r="D637" s="30" t="s">
        <v>3265</v>
      </c>
      <c r="E637" s="30" t="s">
        <v>344</v>
      </c>
      <c r="F637" s="30" t="s">
        <v>3266</v>
      </c>
      <c r="G637" s="30" t="s">
        <v>3267</v>
      </c>
      <c r="H637" s="30" t="s">
        <v>3268</v>
      </c>
      <c r="I637" s="30" t="s">
        <v>306</v>
      </c>
      <c r="J637" s="30" t="s">
        <v>206</v>
      </c>
      <c r="K637" s="31" t="s">
        <v>47</v>
      </c>
      <c r="L637" s="32"/>
      <c r="M637" s="30"/>
      <c r="N637" s="30" t="s">
        <v>48</v>
      </c>
      <c r="O637" s="1" t="n">
        <f aca="false">IF($B637="",0,IF(AND(OR(Filter!$B$5="(alle)",$N637=Filter!$B$5),OR(Filter!$E$5="(alle)",$K637=Filter!$E$5),OR(Filter!$H$5="(alle)",$C637=Filter!$H$5),OR(Filter!$B$7="(alle)",$E637=Filter!$B$7),OR(Filter!$E$7="(alle)",ISNUMBER(SEARCH(Filter!$E$7,$J637))),OR(Filter!$H$7="(alle)",ISNUMBER(SEARCH(Filter!$H$7,$I637))),OR(Filter!$B$9="",ISNUMBER(SEARCH(Filter!$B$9,$F637&amp;" "&amp;$G637)))),COUNTIF($O$6:$O636,"&gt;0")+1,0))</f>
        <v>631</v>
      </c>
    </row>
    <row r="638" customFormat="false" ht="76.5" hidden="false" customHeight="true" outlineLevel="0" collapsed="false">
      <c r="B638" s="30" t="s">
        <v>3269</v>
      </c>
      <c r="C638" s="30" t="s">
        <v>286</v>
      </c>
      <c r="D638" s="30" t="s">
        <v>3270</v>
      </c>
      <c r="E638" s="30" t="s">
        <v>361</v>
      </c>
      <c r="F638" s="30" t="s">
        <v>3271</v>
      </c>
      <c r="G638" s="30" t="s">
        <v>3272</v>
      </c>
      <c r="H638" s="30" t="s">
        <v>3273</v>
      </c>
      <c r="I638" s="30" t="s">
        <v>306</v>
      </c>
      <c r="J638" s="30" t="s">
        <v>206</v>
      </c>
      <c r="K638" s="31" t="s">
        <v>47</v>
      </c>
      <c r="L638" s="32"/>
      <c r="M638" s="30"/>
      <c r="N638" s="30" t="s">
        <v>48</v>
      </c>
      <c r="O638" s="1" t="n">
        <f aca="false">IF($B638="",0,IF(AND(OR(Filter!$B$5="(alle)",$N638=Filter!$B$5),OR(Filter!$E$5="(alle)",$K638=Filter!$E$5),OR(Filter!$H$5="(alle)",$C638=Filter!$H$5),OR(Filter!$B$7="(alle)",$E638=Filter!$B$7),OR(Filter!$E$7="(alle)",ISNUMBER(SEARCH(Filter!$E$7,$J638))),OR(Filter!$H$7="(alle)",ISNUMBER(SEARCH(Filter!$H$7,$I638))),OR(Filter!$B$9="",ISNUMBER(SEARCH(Filter!$B$9,$F638&amp;" "&amp;$G638)))),COUNTIF($O$6:$O637,"&gt;0")+1,0))</f>
        <v>632</v>
      </c>
    </row>
    <row r="639" customFormat="false" ht="306" hidden="false" customHeight="true" outlineLevel="0" collapsed="false">
      <c r="B639" s="30" t="s">
        <v>3274</v>
      </c>
      <c r="C639" s="30" t="s">
        <v>286</v>
      </c>
      <c r="D639" s="30" t="s">
        <v>3275</v>
      </c>
      <c r="E639" s="30" t="s">
        <v>361</v>
      </c>
      <c r="F639" s="30" t="s">
        <v>3276</v>
      </c>
      <c r="G639" s="30" t="s">
        <v>3277</v>
      </c>
      <c r="H639" s="30" t="s">
        <v>3278</v>
      </c>
      <c r="I639" s="30" t="s">
        <v>290</v>
      </c>
      <c r="J639" s="30" t="s">
        <v>808</v>
      </c>
      <c r="K639" s="31" t="s">
        <v>47</v>
      </c>
      <c r="L639" s="32"/>
      <c r="M639" s="30"/>
      <c r="N639" s="30" t="s">
        <v>48</v>
      </c>
      <c r="O639" s="1" t="n">
        <f aca="false">IF($B639="",0,IF(AND(OR(Filter!$B$5="(alle)",$N639=Filter!$B$5),OR(Filter!$E$5="(alle)",$K639=Filter!$E$5),OR(Filter!$H$5="(alle)",$C639=Filter!$H$5),OR(Filter!$B$7="(alle)",$E639=Filter!$B$7),OR(Filter!$E$7="(alle)",ISNUMBER(SEARCH(Filter!$E$7,$J639))),OR(Filter!$H$7="(alle)",ISNUMBER(SEARCH(Filter!$H$7,$I639))),OR(Filter!$B$9="",ISNUMBER(SEARCH(Filter!$B$9,$F639&amp;" "&amp;$G639)))),COUNTIF($O$6:$O638,"&gt;0")+1,0))</f>
        <v>633</v>
      </c>
    </row>
    <row r="640" customFormat="false" ht="165.75" hidden="false" customHeight="true" outlineLevel="0" collapsed="false">
      <c r="B640" s="30" t="s">
        <v>3279</v>
      </c>
      <c r="C640" s="30" t="s">
        <v>286</v>
      </c>
      <c r="D640" s="30" t="s">
        <v>3280</v>
      </c>
      <c r="E640" s="30" t="s">
        <v>42</v>
      </c>
      <c r="F640" s="30" t="s">
        <v>3281</v>
      </c>
      <c r="G640" s="30" t="s">
        <v>3282</v>
      </c>
      <c r="H640" s="30" t="s">
        <v>3283</v>
      </c>
      <c r="I640" s="30" t="s">
        <v>2762</v>
      </c>
      <c r="J640" s="30" t="s">
        <v>3284</v>
      </c>
      <c r="K640" s="31" t="s">
        <v>47</v>
      </c>
      <c r="L640" s="32"/>
      <c r="M640" s="30"/>
      <c r="N640" s="30" t="s">
        <v>65</v>
      </c>
      <c r="O640" s="1" t="n">
        <f aca="false">IF($B640="",0,IF(AND(OR(Filter!$B$5="(alle)",$N640=Filter!$B$5),OR(Filter!$E$5="(alle)",$K640=Filter!$E$5),OR(Filter!$H$5="(alle)",$C640=Filter!$H$5),OR(Filter!$B$7="(alle)",$E640=Filter!$B$7),OR(Filter!$E$7="(alle)",ISNUMBER(SEARCH(Filter!$E$7,$J640))),OR(Filter!$H$7="(alle)",ISNUMBER(SEARCH(Filter!$H$7,$I640))),OR(Filter!$B$9="",ISNUMBER(SEARCH(Filter!$B$9,$F640&amp;" "&amp;$G640)))),COUNTIF($O$6:$O639,"&gt;0")+1,0))</f>
        <v>634</v>
      </c>
    </row>
    <row r="641" customFormat="false" ht="140.25" hidden="false" customHeight="true" outlineLevel="0" collapsed="false">
      <c r="B641" s="30" t="s">
        <v>3285</v>
      </c>
      <c r="C641" s="30" t="s">
        <v>286</v>
      </c>
      <c r="D641" s="30" t="s">
        <v>3286</v>
      </c>
      <c r="E641" s="30" t="s">
        <v>155</v>
      </c>
      <c r="F641" s="30" t="s">
        <v>3287</v>
      </c>
      <c r="G641" s="30" t="s">
        <v>3288</v>
      </c>
      <c r="H641" s="30" t="s">
        <v>3289</v>
      </c>
      <c r="I641" s="30" t="s">
        <v>476</v>
      </c>
      <c r="J641" s="30" t="s">
        <v>476</v>
      </c>
      <c r="K641" s="31" t="s">
        <v>47</v>
      </c>
      <c r="L641" s="32"/>
      <c r="M641" s="30"/>
      <c r="N641" s="30" t="s">
        <v>48</v>
      </c>
      <c r="O641" s="1" t="n">
        <f aca="false">IF($B641="",0,IF(AND(OR(Filter!$B$5="(alle)",$N641=Filter!$B$5),OR(Filter!$E$5="(alle)",$K641=Filter!$E$5),OR(Filter!$H$5="(alle)",$C641=Filter!$H$5),OR(Filter!$B$7="(alle)",$E641=Filter!$B$7),OR(Filter!$E$7="(alle)",ISNUMBER(SEARCH(Filter!$E$7,$J641))),OR(Filter!$H$7="(alle)",ISNUMBER(SEARCH(Filter!$H$7,$I641))),OR(Filter!$B$9="",ISNUMBER(SEARCH(Filter!$B$9,$F641&amp;" "&amp;$G641)))),COUNTIF($O$6:$O640,"&gt;0")+1,0))</f>
        <v>635</v>
      </c>
    </row>
    <row r="642" customFormat="false" ht="409.5" hidden="false" customHeight="true" outlineLevel="0" collapsed="false">
      <c r="B642" s="30" t="s">
        <v>3290</v>
      </c>
      <c r="C642" s="30" t="s">
        <v>286</v>
      </c>
      <c r="D642" s="30" t="s">
        <v>3291</v>
      </c>
      <c r="E642" s="30" t="s">
        <v>210</v>
      </c>
      <c r="F642" s="30" t="s">
        <v>3292</v>
      </c>
      <c r="G642" s="30" t="s">
        <v>3293</v>
      </c>
      <c r="H642" s="30" t="s">
        <v>3294</v>
      </c>
      <c r="I642" s="30" t="s">
        <v>306</v>
      </c>
      <c r="J642" s="30" t="s">
        <v>206</v>
      </c>
      <c r="K642" s="31" t="s">
        <v>47</v>
      </c>
      <c r="L642" s="32"/>
      <c r="M642" s="30"/>
      <c r="N642" s="30" t="s">
        <v>48</v>
      </c>
      <c r="O642" s="1" t="n">
        <f aca="false">IF($B642="",0,IF(AND(OR(Filter!$B$5="(alle)",$N642=Filter!$B$5),OR(Filter!$E$5="(alle)",$K642=Filter!$E$5),OR(Filter!$H$5="(alle)",$C642=Filter!$H$5),OR(Filter!$B$7="(alle)",$E642=Filter!$B$7),OR(Filter!$E$7="(alle)",ISNUMBER(SEARCH(Filter!$E$7,$J642))),OR(Filter!$H$7="(alle)",ISNUMBER(SEARCH(Filter!$H$7,$I642))),OR(Filter!$B$9="",ISNUMBER(SEARCH(Filter!$B$9,$F642&amp;" "&amp;$G642)))),COUNTIF($O$6:$O641,"&gt;0")+1,0))</f>
        <v>636</v>
      </c>
    </row>
    <row r="643" customFormat="false" ht="409.5" hidden="false" customHeight="true" outlineLevel="0" collapsed="false">
      <c r="B643" s="30" t="s">
        <v>3295</v>
      </c>
      <c r="C643" s="30" t="s">
        <v>286</v>
      </c>
      <c r="D643" s="30" t="s">
        <v>3296</v>
      </c>
      <c r="E643" s="30" t="s">
        <v>355</v>
      </c>
      <c r="F643" s="30" t="s">
        <v>3297</v>
      </c>
      <c r="G643" s="30" t="s">
        <v>3298</v>
      </c>
      <c r="H643" s="30" t="s">
        <v>3299</v>
      </c>
      <c r="I643" s="30" t="s">
        <v>158</v>
      </c>
      <c r="J643" s="30" t="s">
        <v>159</v>
      </c>
      <c r="K643" s="31" t="s">
        <v>47</v>
      </c>
      <c r="L643" s="32"/>
      <c r="M643" s="30"/>
      <c r="N643" s="30" t="s">
        <v>48</v>
      </c>
      <c r="O643" s="1" t="n">
        <f aca="false">IF($B643="",0,IF(AND(OR(Filter!$B$5="(alle)",$N643=Filter!$B$5),OR(Filter!$E$5="(alle)",$K643=Filter!$E$5),OR(Filter!$H$5="(alle)",$C643=Filter!$H$5),OR(Filter!$B$7="(alle)",$E643=Filter!$B$7),OR(Filter!$E$7="(alle)",ISNUMBER(SEARCH(Filter!$E$7,$J643))),OR(Filter!$H$7="(alle)",ISNUMBER(SEARCH(Filter!$H$7,$I643))),OR(Filter!$B$9="",ISNUMBER(SEARCH(Filter!$B$9,$F643&amp;" "&amp;$G643)))),COUNTIF($O$6:$O642,"&gt;0")+1,0))</f>
        <v>637</v>
      </c>
    </row>
    <row r="644" customFormat="false" ht="63.75" hidden="false" customHeight="true" outlineLevel="0" collapsed="false">
      <c r="B644" s="30" t="s">
        <v>3300</v>
      </c>
      <c r="C644" s="30" t="s">
        <v>286</v>
      </c>
      <c r="D644" s="30" t="s">
        <v>3301</v>
      </c>
      <c r="E644" s="30" t="s">
        <v>331</v>
      </c>
      <c r="F644" s="30" t="s">
        <v>3302</v>
      </c>
      <c r="G644" s="30" t="s">
        <v>3303</v>
      </c>
      <c r="H644" s="30" t="s">
        <v>3304</v>
      </c>
      <c r="I644" s="30" t="s">
        <v>306</v>
      </c>
      <c r="J644" s="30" t="s">
        <v>206</v>
      </c>
      <c r="K644" s="31" t="s">
        <v>151</v>
      </c>
      <c r="L644" s="32"/>
      <c r="M644" s="30" t="s">
        <v>629</v>
      </c>
      <c r="N644" s="30" t="s">
        <v>48</v>
      </c>
      <c r="O644" s="1" t="n">
        <f aca="false">IF($B644="",0,IF(AND(OR(Filter!$B$5="(alle)",$N644=Filter!$B$5),OR(Filter!$E$5="(alle)",$K644=Filter!$E$5),OR(Filter!$H$5="(alle)",$C644=Filter!$H$5),OR(Filter!$B$7="(alle)",$E644=Filter!$B$7),OR(Filter!$E$7="(alle)",ISNUMBER(SEARCH(Filter!$E$7,$J644))),OR(Filter!$H$7="(alle)",ISNUMBER(SEARCH(Filter!$H$7,$I644))),OR(Filter!$B$9="",ISNUMBER(SEARCH(Filter!$B$9,$F644&amp;" "&amp;$G644)))),COUNTIF($O$6:$O643,"&gt;0")+1,0))</f>
        <v>638</v>
      </c>
    </row>
    <row r="645" customFormat="false" ht="331.5" hidden="false" customHeight="true" outlineLevel="0" collapsed="false">
      <c r="B645" s="30" t="s">
        <v>3305</v>
      </c>
      <c r="C645" s="30" t="s">
        <v>286</v>
      </c>
      <c r="D645" s="30" t="s">
        <v>3306</v>
      </c>
      <c r="E645" s="30" t="s">
        <v>42</v>
      </c>
      <c r="F645" s="30" t="s">
        <v>3307</v>
      </c>
      <c r="G645" s="30" t="s">
        <v>3308</v>
      </c>
      <c r="H645" s="30" t="s">
        <v>3309</v>
      </c>
      <c r="I645" s="30" t="s">
        <v>1947</v>
      </c>
      <c r="J645" s="30" t="s">
        <v>3310</v>
      </c>
      <c r="K645" s="31" t="s">
        <v>47</v>
      </c>
      <c r="L645" s="32"/>
      <c r="M645" s="30"/>
      <c r="N645" s="30" t="s">
        <v>65</v>
      </c>
      <c r="O645" s="1" t="n">
        <f aca="false">IF($B645="",0,IF(AND(OR(Filter!$B$5="(alle)",$N645=Filter!$B$5),OR(Filter!$E$5="(alle)",$K645=Filter!$E$5),OR(Filter!$H$5="(alle)",$C645=Filter!$H$5),OR(Filter!$B$7="(alle)",$E645=Filter!$B$7),OR(Filter!$E$7="(alle)",ISNUMBER(SEARCH(Filter!$E$7,$J645))),OR(Filter!$H$7="(alle)",ISNUMBER(SEARCH(Filter!$H$7,$I645))),OR(Filter!$B$9="",ISNUMBER(SEARCH(Filter!$B$9,$F645&amp;" "&amp;$G645)))),COUNTIF($O$6:$O644,"&gt;0")+1,0))</f>
        <v>639</v>
      </c>
    </row>
    <row r="646" customFormat="false" ht="127.5" hidden="false" customHeight="true" outlineLevel="0" collapsed="false">
      <c r="B646" s="30" t="s">
        <v>3311</v>
      </c>
      <c r="C646" s="30" t="s">
        <v>286</v>
      </c>
      <c r="D646" s="30" t="s">
        <v>3312</v>
      </c>
      <c r="E646" s="30" t="s">
        <v>355</v>
      </c>
      <c r="F646" s="30" t="s">
        <v>3313</v>
      </c>
      <c r="G646" s="30" t="s">
        <v>3314</v>
      </c>
      <c r="H646" s="30" t="s">
        <v>3315</v>
      </c>
      <c r="I646" s="30" t="s">
        <v>158</v>
      </c>
      <c r="J646" s="30" t="s">
        <v>159</v>
      </c>
      <c r="K646" s="31" t="s">
        <v>47</v>
      </c>
      <c r="L646" s="32"/>
      <c r="M646" s="30"/>
      <c r="N646" s="30" t="s">
        <v>48</v>
      </c>
      <c r="O646" s="1" t="n">
        <f aca="false">IF($B646="",0,IF(AND(OR(Filter!$B$5="(alle)",$N646=Filter!$B$5),OR(Filter!$E$5="(alle)",$K646=Filter!$E$5),OR(Filter!$H$5="(alle)",$C646=Filter!$H$5),OR(Filter!$B$7="(alle)",$E646=Filter!$B$7),OR(Filter!$E$7="(alle)",ISNUMBER(SEARCH(Filter!$E$7,$J646))),OR(Filter!$H$7="(alle)",ISNUMBER(SEARCH(Filter!$H$7,$I646))),OR(Filter!$B$9="",ISNUMBER(SEARCH(Filter!$B$9,$F646&amp;" "&amp;$G646)))),COUNTIF($O$6:$O645,"&gt;0")+1,0))</f>
        <v>640</v>
      </c>
    </row>
    <row r="647" customFormat="false" ht="63.75" hidden="false" customHeight="true" outlineLevel="0" collapsed="false">
      <c r="B647" s="30" t="s">
        <v>3316</v>
      </c>
      <c r="C647" s="30" t="s">
        <v>286</v>
      </c>
      <c r="D647" s="30" t="s">
        <v>3317</v>
      </c>
      <c r="E647" s="30" t="s">
        <v>81</v>
      </c>
      <c r="F647" s="30" t="s">
        <v>3318</v>
      </c>
      <c r="G647" s="30" t="s">
        <v>3319</v>
      </c>
      <c r="H647" s="30" t="s">
        <v>3320</v>
      </c>
      <c r="I647" s="30" t="s">
        <v>340</v>
      </c>
      <c r="J647" s="30" t="s">
        <v>86</v>
      </c>
      <c r="K647" s="31" t="s">
        <v>47</v>
      </c>
      <c r="L647" s="32"/>
      <c r="M647" s="30"/>
      <c r="N647" s="30" t="s">
        <v>65</v>
      </c>
      <c r="O647" s="1" t="n">
        <f aca="false">IF($B647="",0,IF(AND(OR(Filter!$B$5="(alle)",$N647=Filter!$B$5),OR(Filter!$E$5="(alle)",$K647=Filter!$E$5),OR(Filter!$H$5="(alle)",$C647=Filter!$H$5),OR(Filter!$B$7="(alle)",$E647=Filter!$B$7),OR(Filter!$E$7="(alle)",ISNUMBER(SEARCH(Filter!$E$7,$J647))),OR(Filter!$H$7="(alle)",ISNUMBER(SEARCH(Filter!$H$7,$I647))),OR(Filter!$B$9="",ISNUMBER(SEARCH(Filter!$B$9,$F647&amp;" "&amp;$G647)))),COUNTIF($O$6:$O646,"&gt;0")+1,0))</f>
        <v>641</v>
      </c>
    </row>
    <row r="648" customFormat="false" ht="89.25" hidden="false" customHeight="true" outlineLevel="0" collapsed="false">
      <c r="B648" s="30" t="s">
        <v>3321</v>
      </c>
      <c r="C648" s="30" t="s">
        <v>286</v>
      </c>
      <c r="D648" s="30" t="s">
        <v>3322</v>
      </c>
      <c r="E648" s="30" t="s">
        <v>344</v>
      </c>
      <c r="F648" s="30" t="s">
        <v>3323</v>
      </c>
      <c r="G648" s="30" t="s">
        <v>3324</v>
      </c>
      <c r="H648" s="30" t="s">
        <v>3325</v>
      </c>
      <c r="I648" s="30" t="s">
        <v>306</v>
      </c>
      <c r="J648" s="30" t="s">
        <v>206</v>
      </c>
      <c r="K648" s="31" t="s">
        <v>47</v>
      </c>
      <c r="L648" s="32"/>
      <c r="M648" s="30"/>
      <c r="N648" s="30" t="s">
        <v>48</v>
      </c>
      <c r="O648" s="1" t="n">
        <f aca="false">IF($B648="",0,IF(AND(OR(Filter!$B$5="(alle)",$N648=Filter!$B$5),OR(Filter!$E$5="(alle)",$K648=Filter!$E$5),OR(Filter!$H$5="(alle)",$C648=Filter!$H$5),OR(Filter!$B$7="(alle)",$E648=Filter!$B$7),OR(Filter!$E$7="(alle)",ISNUMBER(SEARCH(Filter!$E$7,$J648))),OR(Filter!$H$7="(alle)",ISNUMBER(SEARCH(Filter!$H$7,$I648))),OR(Filter!$B$9="",ISNUMBER(SEARCH(Filter!$B$9,$F648&amp;" "&amp;$G648)))),COUNTIF($O$6:$O647,"&gt;0")+1,0))</f>
        <v>642</v>
      </c>
    </row>
    <row r="649" customFormat="false" ht="114.75" hidden="false" customHeight="true" outlineLevel="0" collapsed="false">
      <c r="B649" s="30" t="s">
        <v>3326</v>
      </c>
      <c r="C649" s="30" t="s">
        <v>286</v>
      </c>
      <c r="D649" s="30" t="s">
        <v>3327</v>
      </c>
      <c r="E649" s="30" t="s">
        <v>155</v>
      </c>
      <c r="F649" s="30" t="s">
        <v>3328</v>
      </c>
      <c r="G649" s="30" t="s">
        <v>3329</v>
      </c>
      <c r="H649" s="30" t="s">
        <v>3330</v>
      </c>
      <c r="I649" s="30" t="s">
        <v>290</v>
      </c>
      <c r="J649" s="30" t="s">
        <v>808</v>
      </c>
      <c r="K649" s="31" t="s">
        <v>47</v>
      </c>
      <c r="L649" s="32"/>
      <c r="M649" s="30"/>
      <c r="N649" s="30" t="s">
        <v>48</v>
      </c>
      <c r="O649" s="1" t="n">
        <f aca="false">IF($B649="",0,IF(AND(OR(Filter!$B$5="(alle)",$N649=Filter!$B$5),OR(Filter!$E$5="(alle)",$K649=Filter!$E$5),OR(Filter!$H$5="(alle)",$C649=Filter!$H$5),OR(Filter!$B$7="(alle)",$E649=Filter!$B$7),OR(Filter!$E$7="(alle)",ISNUMBER(SEARCH(Filter!$E$7,$J649))),OR(Filter!$H$7="(alle)",ISNUMBER(SEARCH(Filter!$H$7,$I649))),OR(Filter!$B$9="",ISNUMBER(SEARCH(Filter!$B$9,$F649&amp;" "&amp;$G649)))),COUNTIF($O$6:$O648,"&gt;0")+1,0))</f>
        <v>643</v>
      </c>
    </row>
    <row r="650" customFormat="false" ht="89.25" hidden="false" customHeight="true" outlineLevel="0" collapsed="false">
      <c r="B650" s="30" t="s">
        <v>3331</v>
      </c>
      <c r="C650" s="30" t="s">
        <v>286</v>
      </c>
      <c r="D650" s="30" t="s">
        <v>3332</v>
      </c>
      <c r="E650" s="30" t="s">
        <v>155</v>
      </c>
      <c r="F650" s="30" t="s">
        <v>3333</v>
      </c>
      <c r="G650" s="30" t="s">
        <v>3334</v>
      </c>
      <c r="H650" s="30" t="s">
        <v>3335</v>
      </c>
      <c r="I650" s="30" t="s">
        <v>290</v>
      </c>
      <c r="J650" s="30" t="s">
        <v>808</v>
      </c>
      <c r="K650" s="31" t="s">
        <v>47</v>
      </c>
      <c r="L650" s="32"/>
      <c r="M650" s="30"/>
      <c r="N650" s="30" t="s">
        <v>48</v>
      </c>
      <c r="O650" s="1" t="n">
        <f aca="false">IF($B650="",0,IF(AND(OR(Filter!$B$5="(alle)",$N650=Filter!$B$5),OR(Filter!$E$5="(alle)",$K650=Filter!$E$5),OR(Filter!$H$5="(alle)",$C650=Filter!$H$5),OR(Filter!$B$7="(alle)",$E650=Filter!$B$7),OR(Filter!$E$7="(alle)",ISNUMBER(SEARCH(Filter!$E$7,$J650))),OR(Filter!$H$7="(alle)",ISNUMBER(SEARCH(Filter!$H$7,$I650))),OR(Filter!$B$9="",ISNUMBER(SEARCH(Filter!$B$9,$F650&amp;" "&amp;$G650)))),COUNTIF($O$6:$O649,"&gt;0")+1,0))</f>
        <v>644</v>
      </c>
    </row>
    <row r="651" customFormat="false" ht="216.75" hidden="false" customHeight="true" outlineLevel="0" collapsed="false">
      <c r="B651" s="30" t="s">
        <v>3336</v>
      </c>
      <c r="C651" s="30" t="s">
        <v>286</v>
      </c>
      <c r="D651" s="30" t="s">
        <v>3337</v>
      </c>
      <c r="E651" s="30" t="s">
        <v>155</v>
      </c>
      <c r="F651" s="30" t="s">
        <v>3338</v>
      </c>
      <c r="G651" s="30" t="s">
        <v>3339</v>
      </c>
      <c r="H651" s="30" t="s">
        <v>3340</v>
      </c>
      <c r="I651" s="30" t="s">
        <v>290</v>
      </c>
      <c r="J651" s="30" t="s">
        <v>808</v>
      </c>
      <c r="K651" s="31" t="s">
        <v>47</v>
      </c>
      <c r="L651" s="32"/>
      <c r="M651" s="30"/>
      <c r="N651" s="30" t="s">
        <v>48</v>
      </c>
      <c r="O651" s="1" t="n">
        <f aca="false">IF($B651="",0,IF(AND(OR(Filter!$B$5="(alle)",$N651=Filter!$B$5),OR(Filter!$E$5="(alle)",$K651=Filter!$E$5),OR(Filter!$H$5="(alle)",$C651=Filter!$H$5),OR(Filter!$B$7="(alle)",$E651=Filter!$B$7),OR(Filter!$E$7="(alle)",ISNUMBER(SEARCH(Filter!$E$7,$J651))),OR(Filter!$H$7="(alle)",ISNUMBER(SEARCH(Filter!$H$7,$I651))),OR(Filter!$B$9="",ISNUMBER(SEARCH(Filter!$B$9,$F651&amp;" "&amp;$G651)))),COUNTIF($O$6:$O650,"&gt;0")+1,0))</f>
        <v>645</v>
      </c>
    </row>
    <row r="652" customFormat="false" ht="102" hidden="false" customHeight="true" outlineLevel="0" collapsed="false">
      <c r="B652" s="30" t="s">
        <v>3341</v>
      </c>
      <c r="C652" s="30" t="s">
        <v>286</v>
      </c>
      <c r="D652" s="30" t="s">
        <v>3342</v>
      </c>
      <c r="E652" s="30" t="s">
        <v>42</v>
      </c>
      <c r="F652" s="30" t="s">
        <v>3343</v>
      </c>
      <c r="G652" s="30" t="s">
        <v>3344</v>
      </c>
      <c r="H652" s="30" t="s">
        <v>3345</v>
      </c>
      <c r="I652" s="30" t="s">
        <v>3346</v>
      </c>
      <c r="J652" s="30" t="s">
        <v>3347</v>
      </c>
      <c r="K652" s="31" t="s">
        <v>47</v>
      </c>
      <c r="L652" s="32"/>
      <c r="M652" s="30"/>
      <c r="N652" s="30" t="s">
        <v>48</v>
      </c>
      <c r="O652" s="1" t="n">
        <f aca="false">IF($B652="",0,IF(AND(OR(Filter!$B$5="(alle)",$N652=Filter!$B$5),OR(Filter!$E$5="(alle)",$K652=Filter!$E$5),OR(Filter!$H$5="(alle)",$C652=Filter!$H$5),OR(Filter!$B$7="(alle)",$E652=Filter!$B$7),OR(Filter!$E$7="(alle)",ISNUMBER(SEARCH(Filter!$E$7,$J652))),OR(Filter!$H$7="(alle)",ISNUMBER(SEARCH(Filter!$H$7,$I652))),OR(Filter!$B$9="",ISNUMBER(SEARCH(Filter!$B$9,$F652&amp;" "&amp;$G652)))),COUNTIF($O$6:$O651,"&gt;0")+1,0))</f>
        <v>646</v>
      </c>
    </row>
    <row r="653" customFormat="false" ht="280.5" hidden="false" customHeight="true" outlineLevel="0" collapsed="false">
      <c r="B653" s="30" t="s">
        <v>3348</v>
      </c>
      <c r="C653" s="30" t="s">
        <v>286</v>
      </c>
      <c r="D653" s="30" t="s">
        <v>3349</v>
      </c>
      <c r="E653" s="30" t="s">
        <v>81</v>
      </c>
      <c r="F653" s="30" t="s">
        <v>3350</v>
      </c>
      <c r="G653" s="30" t="s">
        <v>3351</v>
      </c>
      <c r="H653" s="30" t="s">
        <v>3352</v>
      </c>
      <c r="I653" s="30" t="s">
        <v>2541</v>
      </c>
      <c r="J653" s="30" t="s">
        <v>3353</v>
      </c>
      <c r="K653" s="31" t="s">
        <v>47</v>
      </c>
      <c r="L653" s="32"/>
      <c r="M653" s="30"/>
      <c r="N653" s="30" t="s">
        <v>65</v>
      </c>
      <c r="O653" s="1" t="n">
        <f aca="false">IF($B653="",0,IF(AND(OR(Filter!$B$5="(alle)",$N653=Filter!$B$5),OR(Filter!$E$5="(alle)",$K653=Filter!$E$5),OR(Filter!$H$5="(alle)",$C653=Filter!$H$5),OR(Filter!$B$7="(alle)",$E653=Filter!$B$7),OR(Filter!$E$7="(alle)",ISNUMBER(SEARCH(Filter!$E$7,$J653))),OR(Filter!$H$7="(alle)",ISNUMBER(SEARCH(Filter!$H$7,$I653))),OR(Filter!$B$9="",ISNUMBER(SEARCH(Filter!$B$9,$F653&amp;" "&amp;$G653)))),COUNTIF($O$6:$O652,"&gt;0")+1,0))</f>
        <v>647</v>
      </c>
    </row>
    <row r="654" customFormat="false" ht="114.75" hidden="false" customHeight="true" outlineLevel="0" collapsed="false">
      <c r="B654" s="30" t="s">
        <v>3354</v>
      </c>
      <c r="C654" s="30" t="s">
        <v>286</v>
      </c>
      <c r="D654" s="30" t="s">
        <v>3355</v>
      </c>
      <c r="E654" s="30" t="s">
        <v>81</v>
      </c>
      <c r="F654" s="30" t="s">
        <v>3356</v>
      </c>
      <c r="G654" s="30" t="s">
        <v>3357</v>
      </c>
      <c r="H654" s="30" t="s">
        <v>3358</v>
      </c>
      <c r="I654" s="30" t="s">
        <v>290</v>
      </c>
      <c r="J654" s="30" t="s">
        <v>84</v>
      </c>
      <c r="K654" s="31" t="s">
        <v>47</v>
      </c>
      <c r="L654" s="32"/>
      <c r="M654" s="30"/>
      <c r="N654" s="30" t="s">
        <v>65</v>
      </c>
      <c r="O654" s="1" t="n">
        <f aca="false">IF($B654="",0,IF(AND(OR(Filter!$B$5="(alle)",$N654=Filter!$B$5),OR(Filter!$E$5="(alle)",$K654=Filter!$E$5),OR(Filter!$H$5="(alle)",$C654=Filter!$H$5),OR(Filter!$B$7="(alle)",$E654=Filter!$B$7),OR(Filter!$E$7="(alle)",ISNUMBER(SEARCH(Filter!$E$7,$J654))),OR(Filter!$H$7="(alle)",ISNUMBER(SEARCH(Filter!$H$7,$I654))),OR(Filter!$B$9="",ISNUMBER(SEARCH(Filter!$B$9,$F654&amp;" "&amp;$G654)))),COUNTIF($O$6:$O653,"&gt;0")+1,0))</f>
        <v>648</v>
      </c>
    </row>
    <row r="655" customFormat="false" ht="409.5" hidden="false" customHeight="true" outlineLevel="0" collapsed="false">
      <c r="B655" s="30" t="s">
        <v>3359</v>
      </c>
      <c r="C655" s="30" t="s">
        <v>286</v>
      </c>
      <c r="D655" s="30" t="s">
        <v>3360</v>
      </c>
      <c r="E655" s="30" t="s">
        <v>361</v>
      </c>
      <c r="F655" s="30" t="s">
        <v>3361</v>
      </c>
      <c r="G655" s="30" t="s">
        <v>3362</v>
      </c>
      <c r="H655" s="30" t="s">
        <v>3363</v>
      </c>
      <c r="I655" s="30" t="s">
        <v>306</v>
      </c>
      <c r="J655" s="30" t="s">
        <v>206</v>
      </c>
      <c r="K655" s="31" t="s">
        <v>47</v>
      </c>
      <c r="L655" s="32"/>
      <c r="M655" s="30"/>
      <c r="N655" s="30" t="s">
        <v>48</v>
      </c>
      <c r="O655" s="1" t="n">
        <f aca="false">IF($B655="",0,IF(AND(OR(Filter!$B$5="(alle)",$N655=Filter!$B$5),OR(Filter!$E$5="(alle)",$K655=Filter!$E$5),OR(Filter!$H$5="(alle)",$C655=Filter!$H$5),OR(Filter!$B$7="(alle)",$E655=Filter!$B$7),OR(Filter!$E$7="(alle)",ISNUMBER(SEARCH(Filter!$E$7,$J655))),OR(Filter!$H$7="(alle)",ISNUMBER(SEARCH(Filter!$H$7,$I655))),OR(Filter!$B$9="",ISNUMBER(SEARCH(Filter!$B$9,$F655&amp;" "&amp;$G655)))),COUNTIF($O$6:$O654,"&gt;0")+1,0))</f>
        <v>649</v>
      </c>
    </row>
    <row r="656" customFormat="false" ht="89.25" hidden="false" customHeight="true" outlineLevel="0" collapsed="false">
      <c r="B656" s="30" t="s">
        <v>3364</v>
      </c>
      <c r="C656" s="30" t="s">
        <v>286</v>
      </c>
      <c r="D656" s="30" t="s">
        <v>3365</v>
      </c>
      <c r="E656" s="30" t="s">
        <v>344</v>
      </c>
      <c r="F656" s="30" t="s">
        <v>3366</v>
      </c>
      <c r="G656" s="30" t="s">
        <v>3367</v>
      </c>
      <c r="H656" s="30" t="s">
        <v>3368</v>
      </c>
      <c r="I656" s="30" t="s">
        <v>306</v>
      </c>
      <c r="J656" s="30" t="s">
        <v>206</v>
      </c>
      <c r="K656" s="31" t="s">
        <v>47</v>
      </c>
      <c r="L656" s="32"/>
      <c r="M656" s="30"/>
      <c r="N656" s="30" t="s">
        <v>48</v>
      </c>
      <c r="O656" s="1" t="n">
        <f aca="false">IF($B656="",0,IF(AND(OR(Filter!$B$5="(alle)",$N656=Filter!$B$5),OR(Filter!$E$5="(alle)",$K656=Filter!$E$5),OR(Filter!$H$5="(alle)",$C656=Filter!$H$5),OR(Filter!$B$7="(alle)",$E656=Filter!$B$7),OR(Filter!$E$7="(alle)",ISNUMBER(SEARCH(Filter!$E$7,$J656))),OR(Filter!$H$7="(alle)",ISNUMBER(SEARCH(Filter!$H$7,$I656))),OR(Filter!$B$9="",ISNUMBER(SEARCH(Filter!$B$9,$F656&amp;" "&amp;$G656)))),COUNTIF($O$6:$O655,"&gt;0")+1,0))</f>
        <v>650</v>
      </c>
    </row>
    <row r="657" customFormat="false" ht="216.75" hidden="false" customHeight="true" outlineLevel="0" collapsed="false">
      <c r="B657" s="30" t="s">
        <v>3369</v>
      </c>
      <c r="C657" s="30" t="s">
        <v>286</v>
      </c>
      <c r="D657" s="30" t="s">
        <v>3370</v>
      </c>
      <c r="E657" s="30" t="s">
        <v>361</v>
      </c>
      <c r="F657" s="30" t="s">
        <v>3371</v>
      </c>
      <c r="G657" s="30" t="s">
        <v>3372</v>
      </c>
      <c r="H657" s="30" t="s">
        <v>3373</v>
      </c>
      <c r="I657" s="30" t="s">
        <v>306</v>
      </c>
      <c r="J657" s="30" t="s">
        <v>206</v>
      </c>
      <c r="K657" s="31" t="s">
        <v>47</v>
      </c>
      <c r="L657" s="32"/>
      <c r="M657" s="30"/>
      <c r="N657" s="30" t="s">
        <v>48</v>
      </c>
      <c r="O657" s="1" t="n">
        <f aca="false">IF($B657="",0,IF(AND(OR(Filter!$B$5="(alle)",$N657=Filter!$B$5),OR(Filter!$E$5="(alle)",$K657=Filter!$E$5),OR(Filter!$H$5="(alle)",$C657=Filter!$H$5),OR(Filter!$B$7="(alle)",$E657=Filter!$B$7),OR(Filter!$E$7="(alle)",ISNUMBER(SEARCH(Filter!$E$7,$J657))),OR(Filter!$H$7="(alle)",ISNUMBER(SEARCH(Filter!$H$7,$I657))),OR(Filter!$B$9="",ISNUMBER(SEARCH(Filter!$B$9,$F657&amp;" "&amp;$G657)))),COUNTIF($O$6:$O656,"&gt;0")+1,0))</f>
        <v>651</v>
      </c>
    </row>
    <row r="658" customFormat="false" ht="127.5" hidden="false" customHeight="true" outlineLevel="0" collapsed="false">
      <c r="B658" s="30" t="s">
        <v>3374</v>
      </c>
      <c r="C658" s="30" t="s">
        <v>286</v>
      </c>
      <c r="D658" s="30" t="s">
        <v>3375</v>
      </c>
      <c r="E658" s="30" t="s">
        <v>344</v>
      </c>
      <c r="F658" s="30" t="s">
        <v>3376</v>
      </c>
      <c r="G658" s="30" t="s">
        <v>3377</v>
      </c>
      <c r="H658" s="30" t="s">
        <v>3378</v>
      </c>
      <c r="I658" s="30" t="s">
        <v>306</v>
      </c>
      <c r="J658" s="30" t="s">
        <v>206</v>
      </c>
      <c r="K658" s="31" t="s">
        <v>47</v>
      </c>
      <c r="L658" s="32"/>
      <c r="M658" s="30"/>
      <c r="N658" s="30" t="s">
        <v>48</v>
      </c>
      <c r="O658" s="1" t="n">
        <f aca="false">IF($B658="",0,IF(AND(OR(Filter!$B$5="(alle)",$N658=Filter!$B$5),OR(Filter!$E$5="(alle)",$K658=Filter!$E$5),OR(Filter!$H$5="(alle)",$C658=Filter!$H$5),OR(Filter!$B$7="(alle)",$E658=Filter!$B$7),OR(Filter!$E$7="(alle)",ISNUMBER(SEARCH(Filter!$E$7,$J658))),OR(Filter!$H$7="(alle)",ISNUMBER(SEARCH(Filter!$H$7,$I658))),OR(Filter!$B$9="",ISNUMBER(SEARCH(Filter!$B$9,$F658&amp;" "&amp;$G658)))),COUNTIF($O$6:$O657,"&gt;0")+1,0))</f>
        <v>652</v>
      </c>
    </row>
    <row r="659" customFormat="false" ht="102" hidden="false" customHeight="true" outlineLevel="0" collapsed="false">
      <c r="B659" s="30" t="s">
        <v>3379</v>
      </c>
      <c r="C659" s="30" t="s">
        <v>286</v>
      </c>
      <c r="D659" s="30" t="s">
        <v>3380</v>
      </c>
      <c r="E659" s="30" t="s">
        <v>355</v>
      </c>
      <c r="F659" s="30" t="s">
        <v>1561</v>
      </c>
      <c r="G659" s="30" t="s">
        <v>3381</v>
      </c>
      <c r="H659" s="30" t="s">
        <v>3382</v>
      </c>
      <c r="I659" s="30" t="s">
        <v>306</v>
      </c>
      <c r="J659" s="30" t="s">
        <v>206</v>
      </c>
      <c r="K659" s="31" t="s">
        <v>47</v>
      </c>
      <c r="L659" s="32"/>
      <c r="M659" s="30"/>
      <c r="N659" s="30" t="s">
        <v>48</v>
      </c>
      <c r="O659" s="1" t="n">
        <f aca="false">IF($B659="",0,IF(AND(OR(Filter!$B$5="(alle)",$N659=Filter!$B$5),OR(Filter!$E$5="(alle)",$K659=Filter!$E$5),OR(Filter!$H$5="(alle)",$C659=Filter!$H$5),OR(Filter!$B$7="(alle)",$E659=Filter!$B$7),OR(Filter!$E$7="(alle)",ISNUMBER(SEARCH(Filter!$E$7,$J659))),OR(Filter!$H$7="(alle)",ISNUMBER(SEARCH(Filter!$H$7,$I659))),OR(Filter!$B$9="",ISNUMBER(SEARCH(Filter!$B$9,$F659&amp;" "&amp;$G659)))),COUNTIF($O$6:$O658,"&gt;0")+1,0))</f>
        <v>653</v>
      </c>
    </row>
    <row r="660" customFormat="false" ht="102" hidden="false" customHeight="true" outlineLevel="0" collapsed="false">
      <c r="B660" s="30" t="s">
        <v>3383</v>
      </c>
      <c r="C660" s="30" t="s">
        <v>286</v>
      </c>
      <c r="D660" s="30" t="s">
        <v>3384</v>
      </c>
      <c r="E660" s="30" t="s">
        <v>361</v>
      </c>
      <c r="F660" s="30" t="s">
        <v>3385</v>
      </c>
      <c r="G660" s="30" t="s">
        <v>3386</v>
      </c>
      <c r="H660" s="30" t="s">
        <v>3387</v>
      </c>
      <c r="I660" s="30" t="s">
        <v>306</v>
      </c>
      <c r="J660" s="30" t="s">
        <v>206</v>
      </c>
      <c r="K660" s="31" t="s">
        <v>47</v>
      </c>
      <c r="L660" s="32"/>
      <c r="M660" s="30"/>
      <c r="N660" s="30" t="s">
        <v>48</v>
      </c>
      <c r="O660" s="1" t="n">
        <f aca="false">IF($B660="",0,IF(AND(OR(Filter!$B$5="(alle)",$N660=Filter!$B$5),OR(Filter!$E$5="(alle)",$K660=Filter!$E$5),OR(Filter!$H$5="(alle)",$C660=Filter!$H$5),OR(Filter!$B$7="(alle)",$E660=Filter!$B$7),OR(Filter!$E$7="(alle)",ISNUMBER(SEARCH(Filter!$E$7,$J660))),OR(Filter!$H$7="(alle)",ISNUMBER(SEARCH(Filter!$H$7,$I660))),OR(Filter!$B$9="",ISNUMBER(SEARCH(Filter!$B$9,$F660&amp;" "&amp;$G660)))),COUNTIF($O$6:$O659,"&gt;0")+1,0))</f>
        <v>654</v>
      </c>
    </row>
    <row r="661" customFormat="false" ht="204" hidden="false" customHeight="true" outlineLevel="0" collapsed="false">
      <c r="B661" s="30" t="s">
        <v>3388</v>
      </c>
      <c r="C661" s="30" t="s">
        <v>286</v>
      </c>
      <c r="D661" s="30" t="s">
        <v>3389</v>
      </c>
      <c r="E661" s="30" t="s">
        <v>355</v>
      </c>
      <c r="F661" s="30" t="s">
        <v>3390</v>
      </c>
      <c r="G661" s="30" t="s">
        <v>3391</v>
      </c>
      <c r="H661" s="30" t="s">
        <v>3392</v>
      </c>
      <c r="I661" s="30" t="s">
        <v>306</v>
      </c>
      <c r="J661" s="30" t="s">
        <v>206</v>
      </c>
      <c r="K661" s="31" t="s">
        <v>47</v>
      </c>
      <c r="L661" s="32"/>
      <c r="M661" s="30"/>
      <c r="N661" s="30" t="s">
        <v>48</v>
      </c>
      <c r="O661" s="1" t="n">
        <f aca="false">IF($B661="",0,IF(AND(OR(Filter!$B$5="(alle)",$N661=Filter!$B$5),OR(Filter!$E$5="(alle)",$K661=Filter!$E$5),OR(Filter!$H$5="(alle)",$C661=Filter!$H$5),OR(Filter!$B$7="(alle)",$E661=Filter!$B$7),OR(Filter!$E$7="(alle)",ISNUMBER(SEARCH(Filter!$E$7,$J661))),OR(Filter!$H$7="(alle)",ISNUMBER(SEARCH(Filter!$H$7,$I661))),OR(Filter!$B$9="",ISNUMBER(SEARCH(Filter!$B$9,$F661&amp;" "&amp;$G661)))),COUNTIF($O$6:$O660,"&gt;0")+1,0))</f>
        <v>655</v>
      </c>
    </row>
    <row r="662" customFormat="false" ht="255" hidden="false" customHeight="true" outlineLevel="0" collapsed="false">
      <c r="B662" s="30" t="s">
        <v>3393</v>
      </c>
      <c r="C662" s="30" t="s">
        <v>286</v>
      </c>
      <c r="D662" s="30" t="s">
        <v>3394</v>
      </c>
      <c r="E662" s="30" t="s">
        <v>355</v>
      </c>
      <c r="F662" s="30" t="s">
        <v>3395</v>
      </c>
      <c r="G662" s="30" t="s">
        <v>3396</v>
      </c>
      <c r="H662" s="30" t="s">
        <v>3397</v>
      </c>
      <c r="I662" s="30" t="s">
        <v>306</v>
      </c>
      <c r="J662" s="30" t="s">
        <v>206</v>
      </c>
      <c r="K662" s="31" t="s">
        <v>47</v>
      </c>
      <c r="L662" s="32"/>
      <c r="M662" s="30"/>
      <c r="N662" s="30" t="s">
        <v>48</v>
      </c>
      <c r="O662" s="1" t="n">
        <f aca="false">IF($B662="",0,IF(AND(OR(Filter!$B$5="(alle)",$N662=Filter!$B$5),OR(Filter!$E$5="(alle)",$K662=Filter!$E$5),OR(Filter!$H$5="(alle)",$C662=Filter!$H$5),OR(Filter!$B$7="(alle)",$E662=Filter!$B$7),OR(Filter!$E$7="(alle)",ISNUMBER(SEARCH(Filter!$E$7,$J662))),OR(Filter!$H$7="(alle)",ISNUMBER(SEARCH(Filter!$H$7,$I662))),OR(Filter!$B$9="",ISNUMBER(SEARCH(Filter!$B$9,$F662&amp;" "&amp;$G662)))),COUNTIF($O$6:$O661,"&gt;0")+1,0))</f>
        <v>656</v>
      </c>
    </row>
    <row r="663" customFormat="false" ht="140.25" hidden="false" customHeight="true" outlineLevel="0" collapsed="false">
      <c r="B663" s="30" t="s">
        <v>3398</v>
      </c>
      <c r="C663" s="30" t="s">
        <v>286</v>
      </c>
      <c r="D663" s="30" t="s">
        <v>3399</v>
      </c>
      <c r="E663" s="30" t="s">
        <v>355</v>
      </c>
      <c r="F663" s="30" t="s">
        <v>3400</v>
      </c>
      <c r="G663" s="30" t="s">
        <v>3401</v>
      </c>
      <c r="H663" s="30" t="s">
        <v>3402</v>
      </c>
      <c r="I663" s="30" t="s">
        <v>306</v>
      </c>
      <c r="J663" s="30" t="s">
        <v>206</v>
      </c>
      <c r="K663" s="31" t="s">
        <v>47</v>
      </c>
      <c r="L663" s="32"/>
      <c r="M663" s="30"/>
      <c r="N663" s="30" t="s">
        <v>48</v>
      </c>
      <c r="O663" s="1" t="n">
        <f aca="false">IF($B663="",0,IF(AND(OR(Filter!$B$5="(alle)",$N663=Filter!$B$5),OR(Filter!$E$5="(alle)",$K663=Filter!$E$5),OR(Filter!$H$5="(alle)",$C663=Filter!$H$5),OR(Filter!$B$7="(alle)",$E663=Filter!$B$7),OR(Filter!$E$7="(alle)",ISNUMBER(SEARCH(Filter!$E$7,$J663))),OR(Filter!$H$7="(alle)",ISNUMBER(SEARCH(Filter!$H$7,$I663))),OR(Filter!$B$9="",ISNUMBER(SEARCH(Filter!$B$9,$F663&amp;" "&amp;$G663)))),COUNTIF($O$6:$O662,"&gt;0")+1,0))</f>
        <v>657</v>
      </c>
    </row>
    <row r="664" customFormat="false" ht="165.75" hidden="false" customHeight="true" outlineLevel="0" collapsed="false">
      <c r="B664" s="30" t="s">
        <v>3403</v>
      </c>
      <c r="C664" s="30" t="s">
        <v>286</v>
      </c>
      <c r="D664" s="30" t="s">
        <v>3404</v>
      </c>
      <c r="E664" s="30" t="s">
        <v>355</v>
      </c>
      <c r="F664" s="30" t="s">
        <v>3405</v>
      </c>
      <c r="G664" s="30" t="s">
        <v>3406</v>
      </c>
      <c r="H664" s="30" t="s">
        <v>3407</v>
      </c>
      <c r="I664" s="30" t="s">
        <v>290</v>
      </c>
      <c r="J664" s="30" t="s">
        <v>3408</v>
      </c>
      <c r="K664" s="31" t="s">
        <v>47</v>
      </c>
      <c r="L664" s="32"/>
      <c r="M664" s="30"/>
      <c r="N664" s="30" t="s">
        <v>65</v>
      </c>
      <c r="O664" s="1" t="n">
        <f aca="false">IF($B664="",0,IF(AND(OR(Filter!$B$5="(alle)",$N664=Filter!$B$5),OR(Filter!$E$5="(alle)",$K664=Filter!$E$5),OR(Filter!$H$5="(alle)",$C664=Filter!$H$5),OR(Filter!$B$7="(alle)",$E664=Filter!$B$7),OR(Filter!$E$7="(alle)",ISNUMBER(SEARCH(Filter!$E$7,$J664))),OR(Filter!$H$7="(alle)",ISNUMBER(SEARCH(Filter!$H$7,$I664))),OR(Filter!$B$9="",ISNUMBER(SEARCH(Filter!$B$9,$F664&amp;" "&amp;$G664)))),COUNTIF($O$6:$O663,"&gt;0")+1,0))</f>
        <v>658</v>
      </c>
    </row>
    <row r="665" customFormat="false" ht="76.5" hidden="false" customHeight="true" outlineLevel="0" collapsed="false">
      <c r="B665" s="30" t="s">
        <v>3409</v>
      </c>
      <c r="C665" s="30" t="s">
        <v>286</v>
      </c>
      <c r="D665" s="30" t="s">
        <v>3410</v>
      </c>
      <c r="E665" s="30" t="s">
        <v>344</v>
      </c>
      <c r="F665" s="30" t="s">
        <v>3411</v>
      </c>
      <c r="G665" s="30" t="s">
        <v>3412</v>
      </c>
      <c r="H665" s="30" t="s">
        <v>3413</v>
      </c>
      <c r="I665" s="30" t="s">
        <v>306</v>
      </c>
      <c r="J665" s="30" t="s">
        <v>206</v>
      </c>
      <c r="K665" s="31" t="s">
        <v>47</v>
      </c>
      <c r="L665" s="32"/>
      <c r="M665" s="30"/>
      <c r="N665" s="30" t="s">
        <v>48</v>
      </c>
      <c r="O665" s="1" t="n">
        <f aca="false">IF($B665="",0,IF(AND(OR(Filter!$B$5="(alle)",$N665=Filter!$B$5),OR(Filter!$E$5="(alle)",$K665=Filter!$E$5),OR(Filter!$H$5="(alle)",$C665=Filter!$H$5),OR(Filter!$B$7="(alle)",$E665=Filter!$B$7),OR(Filter!$E$7="(alle)",ISNUMBER(SEARCH(Filter!$E$7,$J665))),OR(Filter!$H$7="(alle)",ISNUMBER(SEARCH(Filter!$H$7,$I665))),OR(Filter!$B$9="",ISNUMBER(SEARCH(Filter!$B$9,$F665&amp;" "&amp;$G665)))),COUNTIF($O$6:$O664,"&gt;0")+1,0))</f>
        <v>659</v>
      </c>
    </row>
    <row r="666" customFormat="false" ht="409.5" hidden="false" customHeight="true" outlineLevel="0" collapsed="false">
      <c r="B666" s="30" t="s">
        <v>3414</v>
      </c>
      <c r="C666" s="30" t="s">
        <v>286</v>
      </c>
      <c r="D666" s="30" t="s">
        <v>3415</v>
      </c>
      <c r="E666" s="30" t="s">
        <v>42</v>
      </c>
      <c r="F666" s="30" t="s">
        <v>3416</v>
      </c>
      <c r="G666" s="30" t="s">
        <v>3417</v>
      </c>
      <c r="H666" s="30" t="s">
        <v>3418</v>
      </c>
      <c r="I666" s="30" t="s">
        <v>45</v>
      </c>
      <c r="J666" s="30" t="s">
        <v>1390</v>
      </c>
      <c r="K666" s="31" t="s">
        <v>47</v>
      </c>
      <c r="L666" s="32"/>
      <c r="M666" s="30"/>
      <c r="N666" s="30" t="s">
        <v>48</v>
      </c>
      <c r="O666" s="1" t="n">
        <f aca="false">IF($B666="",0,IF(AND(OR(Filter!$B$5="(alle)",$N666=Filter!$B$5),OR(Filter!$E$5="(alle)",$K666=Filter!$E$5),OR(Filter!$H$5="(alle)",$C666=Filter!$H$5),OR(Filter!$B$7="(alle)",$E666=Filter!$B$7),OR(Filter!$E$7="(alle)",ISNUMBER(SEARCH(Filter!$E$7,$J666))),OR(Filter!$H$7="(alle)",ISNUMBER(SEARCH(Filter!$H$7,$I666))),OR(Filter!$B$9="",ISNUMBER(SEARCH(Filter!$B$9,$F666&amp;" "&amp;$G666)))),COUNTIF($O$6:$O665,"&gt;0")+1,0))</f>
        <v>660</v>
      </c>
    </row>
    <row r="667" customFormat="false" ht="63.75" hidden="false" customHeight="true" outlineLevel="0" collapsed="false">
      <c r="B667" s="30" t="s">
        <v>3419</v>
      </c>
      <c r="C667" s="30" t="s">
        <v>286</v>
      </c>
      <c r="D667" s="30" t="s">
        <v>3420</v>
      </c>
      <c r="E667" s="30" t="s">
        <v>210</v>
      </c>
      <c r="F667" s="30" t="s">
        <v>3421</v>
      </c>
      <c r="G667" s="30" t="s">
        <v>3422</v>
      </c>
      <c r="H667" s="30" t="s">
        <v>3423</v>
      </c>
      <c r="I667" s="30" t="s">
        <v>306</v>
      </c>
      <c r="J667" s="30" t="s">
        <v>206</v>
      </c>
      <c r="K667" s="31" t="s">
        <v>47</v>
      </c>
      <c r="L667" s="32"/>
      <c r="M667" s="30"/>
      <c r="N667" s="30" t="s">
        <v>48</v>
      </c>
      <c r="O667" s="1" t="n">
        <f aca="false">IF($B667="",0,IF(AND(OR(Filter!$B$5="(alle)",$N667=Filter!$B$5),OR(Filter!$E$5="(alle)",$K667=Filter!$E$5),OR(Filter!$H$5="(alle)",$C667=Filter!$H$5),OR(Filter!$B$7="(alle)",$E667=Filter!$B$7),OR(Filter!$E$7="(alle)",ISNUMBER(SEARCH(Filter!$E$7,$J667))),OR(Filter!$H$7="(alle)",ISNUMBER(SEARCH(Filter!$H$7,$I667))),OR(Filter!$B$9="",ISNUMBER(SEARCH(Filter!$B$9,$F667&amp;" "&amp;$G667)))),COUNTIF($O$6:$O666,"&gt;0")+1,0))</f>
        <v>661</v>
      </c>
    </row>
    <row r="668" customFormat="false" ht="102" hidden="false" customHeight="true" outlineLevel="0" collapsed="false">
      <c r="B668" s="30" t="s">
        <v>3424</v>
      </c>
      <c r="C668" s="30" t="s">
        <v>286</v>
      </c>
      <c r="D668" s="30" t="s">
        <v>3425</v>
      </c>
      <c r="E668" s="30" t="s">
        <v>210</v>
      </c>
      <c r="F668" s="30" t="s">
        <v>3426</v>
      </c>
      <c r="G668" s="30" t="s">
        <v>3427</v>
      </c>
      <c r="H668" s="30" t="s">
        <v>3428</v>
      </c>
      <c r="I668" s="30" t="s">
        <v>306</v>
      </c>
      <c r="J668" s="30" t="s">
        <v>206</v>
      </c>
      <c r="K668" s="31" t="s">
        <v>47</v>
      </c>
      <c r="L668" s="32"/>
      <c r="M668" s="30"/>
      <c r="N668" s="30" t="s">
        <v>48</v>
      </c>
      <c r="O668" s="1" t="n">
        <f aca="false">IF($B668="",0,IF(AND(OR(Filter!$B$5="(alle)",$N668=Filter!$B$5),OR(Filter!$E$5="(alle)",$K668=Filter!$E$5),OR(Filter!$H$5="(alle)",$C668=Filter!$H$5),OR(Filter!$B$7="(alle)",$E668=Filter!$B$7),OR(Filter!$E$7="(alle)",ISNUMBER(SEARCH(Filter!$E$7,$J668))),OR(Filter!$H$7="(alle)",ISNUMBER(SEARCH(Filter!$H$7,$I668))),OR(Filter!$B$9="",ISNUMBER(SEARCH(Filter!$B$9,$F668&amp;" "&amp;$G668)))),COUNTIF($O$6:$O667,"&gt;0")+1,0))</f>
        <v>662</v>
      </c>
    </row>
    <row r="669" customFormat="false" ht="38.25" hidden="false" customHeight="true" outlineLevel="0" collapsed="false">
      <c r="B669" s="30" t="s">
        <v>3429</v>
      </c>
      <c r="C669" s="30" t="s">
        <v>286</v>
      </c>
      <c r="D669" s="30" t="s">
        <v>3430</v>
      </c>
      <c r="E669" s="30" t="s">
        <v>344</v>
      </c>
      <c r="F669" s="30" t="s">
        <v>3431</v>
      </c>
      <c r="G669" s="30" t="s">
        <v>3432</v>
      </c>
      <c r="H669" s="30" t="s">
        <v>3433</v>
      </c>
      <c r="I669" s="30" t="s">
        <v>306</v>
      </c>
      <c r="J669" s="30" t="s">
        <v>206</v>
      </c>
      <c r="K669" s="31" t="s">
        <v>47</v>
      </c>
      <c r="L669" s="32"/>
      <c r="M669" s="30"/>
      <c r="N669" s="30" t="s">
        <v>48</v>
      </c>
      <c r="O669" s="1" t="n">
        <f aca="false">IF($B669="",0,IF(AND(OR(Filter!$B$5="(alle)",$N669=Filter!$B$5),OR(Filter!$E$5="(alle)",$K669=Filter!$E$5),OR(Filter!$H$5="(alle)",$C669=Filter!$H$5),OR(Filter!$B$7="(alle)",$E669=Filter!$B$7),OR(Filter!$E$7="(alle)",ISNUMBER(SEARCH(Filter!$E$7,$J669))),OR(Filter!$H$7="(alle)",ISNUMBER(SEARCH(Filter!$H$7,$I669))),OR(Filter!$B$9="",ISNUMBER(SEARCH(Filter!$B$9,$F669&amp;" "&amp;$G669)))),COUNTIF($O$6:$O668,"&gt;0")+1,0))</f>
        <v>663</v>
      </c>
    </row>
    <row r="670" customFormat="false" ht="38.25" hidden="false" customHeight="true" outlineLevel="0" collapsed="false">
      <c r="B670" s="30" t="s">
        <v>3434</v>
      </c>
      <c r="C670" s="30" t="s">
        <v>286</v>
      </c>
      <c r="D670" s="30" t="s">
        <v>3435</v>
      </c>
      <c r="E670" s="30" t="s">
        <v>344</v>
      </c>
      <c r="F670" s="30" t="s">
        <v>3431</v>
      </c>
      <c r="G670" s="30" t="s">
        <v>3436</v>
      </c>
      <c r="H670" s="30" t="s">
        <v>3433</v>
      </c>
      <c r="I670" s="30" t="s">
        <v>306</v>
      </c>
      <c r="J670" s="30" t="s">
        <v>206</v>
      </c>
      <c r="K670" s="31" t="s">
        <v>47</v>
      </c>
      <c r="L670" s="32"/>
      <c r="M670" s="30"/>
      <c r="N670" s="30" t="s">
        <v>48</v>
      </c>
      <c r="O670" s="1" t="n">
        <f aca="false">IF($B670="",0,IF(AND(OR(Filter!$B$5="(alle)",$N670=Filter!$B$5),OR(Filter!$E$5="(alle)",$K670=Filter!$E$5),OR(Filter!$H$5="(alle)",$C670=Filter!$H$5),OR(Filter!$B$7="(alle)",$E670=Filter!$B$7),OR(Filter!$E$7="(alle)",ISNUMBER(SEARCH(Filter!$E$7,$J670))),OR(Filter!$H$7="(alle)",ISNUMBER(SEARCH(Filter!$H$7,$I670))),OR(Filter!$B$9="",ISNUMBER(SEARCH(Filter!$B$9,$F670&amp;" "&amp;$G670)))),COUNTIF($O$6:$O669,"&gt;0")+1,0))</f>
        <v>664</v>
      </c>
    </row>
    <row r="671" customFormat="false" ht="63.75" hidden="false" customHeight="true" outlineLevel="0" collapsed="false">
      <c r="B671" s="30" t="s">
        <v>3437</v>
      </c>
      <c r="C671" s="30" t="s">
        <v>286</v>
      </c>
      <c r="D671" s="30" t="s">
        <v>3438</v>
      </c>
      <c r="E671" s="30" t="s">
        <v>344</v>
      </c>
      <c r="F671" s="30" t="s">
        <v>3439</v>
      </c>
      <c r="G671" s="30" t="s">
        <v>3440</v>
      </c>
      <c r="H671" s="30" t="s">
        <v>3441</v>
      </c>
      <c r="I671" s="30" t="s">
        <v>306</v>
      </c>
      <c r="J671" s="30" t="s">
        <v>206</v>
      </c>
      <c r="K671" s="31" t="s">
        <v>47</v>
      </c>
      <c r="L671" s="32"/>
      <c r="M671" s="30"/>
      <c r="N671" s="30" t="s">
        <v>48</v>
      </c>
      <c r="O671" s="1" t="n">
        <f aca="false">IF($B671="",0,IF(AND(OR(Filter!$B$5="(alle)",$N671=Filter!$B$5),OR(Filter!$E$5="(alle)",$K671=Filter!$E$5),OR(Filter!$H$5="(alle)",$C671=Filter!$H$5),OR(Filter!$B$7="(alle)",$E671=Filter!$B$7),OR(Filter!$E$7="(alle)",ISNUMBER(SEARCH(Filter!$E$7,$J671))),OR(Filter!$H$7="(alle)",ISNUMBER(SEARCH(Filter!$H$7,$I671))),OR(Filter!$B$9="",ISNUMBER(SEARCH(Filter!$B$9,$F671&amp;" "&amp;$G671)))),COUNTIF($O$6:$O670,"&gt;0")+1,0))</f>
        <v>665</v>
      </c>
    </row>
    <row r="672" customFormat="false" ht="114.75" hidden="false" customHeight="true" outlineLevel="0" collapsed="false">
      <c r="B672" s="30" t="s">
        <v>3442</v>
      </c>
      <c r="C672" s="30" t="s">
        <v>286</v>
      </c>
      <c r="D672" s="30" t="s">
        <v>3443</v>
      </c>
      <c r="E672" s="30" t="s">
        <v>344</v>
      </c>
      <c r="F672" s="30" t="s">
        <v>3444</v>
      </c>
      <c r="G672" s="30" t="s">
        <v>3445</v>
      </c>
      <c r="H672" s="30" t="s">
        <v>3446</v>
      </c>
      <c r="I672" s="30" t="s">
        <v>306</v>
      </c>
      <c r="J672" s="30" t="s">
        <v>206</v>
      </c>
      <c r="K672" s="31" t="s">
        <v>47</v>
      </c>
      <c r="L672" s="32"/>
      <c r="M672" s="30"/>
      <c r="N672" s="30" t="s">
        <v>48</v>
      </c>
      <c r="O672" s="1" t="n">
        <f aca="false">IF($B672="",0,IF(AND(OR(Filter!$B$5="(alle)",$N672=Filter!$B$5),OR(Filter!$E$5="(alle)",$K672=Filter!$E$5),OR(Filter!$H$5="(alle)",$C672=Filter!$H$5),OR(Filter!$B$7="(alle)",$E672=Filter!$B$7),OR(Filter!$E$7="(alle)",ISNUMBER(SEARCH(Filter!$E$7,$J672))),OR(Filter!$H$7="(alle)",ISNUMBER(SEARCH(Filter!$H$7,$I672))),OR(Filter!$B$9="",ISNUMBER(SEARCH(Filter!$B$9,$F672&amp;" "&amp;$G672)))),COUNTIF($O$6:$O671,"&gt;0")+1,0))</f>
        <v>666</v>
      </c>
    </row>
    <row r="673" customFormat="false" ht="76.5" hidden="false" customHeight="true" outlineLevel="0" collapsed="false">
      <c r="B673" s="30" t="s">
        <v>3447</v>
      </c>
      <c r="C673" s="30" t="s">
        <v>286</v>
      </c>
      <c r="D673" s="30" t="s">
        <v>3448</v>
      </c>
      <c r="E673" s="30" t="s">
        <v>344</v>
      </c>
      <c r="F673" s="30" t="s">
        <v>3449</v>
      </c>
      <c r="G673" s="30" t="s">
        <v>3450</v>
      </c>
      <c r="H673" s="30" t="s">
        <v>3451</v>
      </c>
      <c r="I673" s="30" t="s">
        <v>306</v>
      </c>
      <c r="J673" s="30" t="s">
        <v>206</v>
      </c>
      <c r="K673" s="31" t="s">
        <v>47</v>
      </c>
      <c r="L673" s="32"/>
      <c r="M673" s="30"/>
      <c r="N673" s="30" t="s">
        <v>48</v>
      </c>
      <c r="O673" s="1" t="n">
        <f aca="false">IF($B673="",0,IF(AND(OR(Filter!$B$5="(alle)",$N673=Filter!$B$5),OR(Filter!$E$5="(alle)",$K673=Filter!$E$5),OR(Filter!$H$5="(alle)",$C673=Filter!$H$5),OR(Filter!$B$7="(alle)",$E673=Filter!$B$7),OR(Filter!$E$7="(alle)",ISNUMBER(SEARCH(Filter!$E$7,$J673))),OR(Filter!$H$7="(alle)",ISNUMBER(SEARCH(Filter!$H$7,$I673))),OR(Filter!$B$9="",ISNUMBER(SEARCH(Filter!$B$9,$F673&amp;" "&amp;$G673)))),COUNTIF($O$6:$O672,"&gt;0")+1,0))</f>
        <v>667</v>
      </c>
    </row>
    <row r="674" customFormat="false" ht="153" hidden="false" customHeight="true" outlineLevel="0" collapsed="false">
      <c r="B674" s="30" t="s">
        <v>3452</v>
      </c>
      <c r="C674" s="30" t="s">
        <v>286</v>
      </c>
      <c r="D674" s="30" t="s">
        <v>3453</v>
      </c>
      <c r="E674" s="30" t="s">
        <v>344</v>
      </c>
      <c r="F674" s="30" t="s">
        <v>3454</v>
      </c>
      <c r="G674" s="30" t="s">
        <v>3455</v>
      </c>
      <c r="H674" s="30" t="s">
        <v>3456</v>
      </c>
      <c r="I674" s="30" t="s">
        <v>306</v>
      </c>
      <c r="J674" s="30" t="s">
        <v>206</v>
      </c>
      <c r="K674" s="31" t="s">
        <v>47</v>
      </c>
      <c r="L674" s="32"/>
      <c r="M674" s="30"/>
      <c r="N674" s="30" t="s">
        <v>48</v>
      </c>
      <c r="O674" s="1" t="n">
        <f aca="false">IF($B674="",0,IF(AND(OR(Filter!$B$5="(alle)",$N674=Filter!$B$5),OR(Filter!$E$5="(alle)",$K674=Filter!$E$5),OR(Filter!$H$5="(alle)",$C674=Filter!$H$5),OR(Filter!$B$7="(alle)",$E674=Filter!$B$7),OR(Filter!$E$7="(alle)",ISNUMBER(SEARCH(Filter!$E$7,$J674))),OR(Filter!$H$7="(alle)",ISNUMBER(SEARCH(Filter!$H$7,$I674))),OR(Filter!$B$9="",ISNUMBER(SEARCH(Filter!$B$9,$F674&amp;" "&amp;$G674)))),COUNTIF($O$6:$O673,"&gt;0")+1,0))</f>
        <v>668</v>
      </c>
    </row>
    <row r="675" customFormat="false" ht="102" hidden="false" customHeight="true" outlineLevel="0" collapsed="false">
      <c r="B675" s="30" t="s">
        <v>3457</v>
      </c>
      <c r="C675" s="30" t="s">
        <v>286</v>
      </c>
      <c r="D675" s="30" t="s">
        <v>3458</v>
      </c>
      <c r="E675" s="30" t="s">
        <v>344</v>
      </c>
      <c r="F675" s="30" t="s">
        <v>3459</v>
      </c>
      <c r="G675" s="30" t="s">
        <v>3460</v>
      </c>
      <c r="H675" s="30" t="s">
        <v>3461</v>
      </c>
      <c r="I675" s="30" t="s">
        <v>306</v>
      </c>
      <c r="J675" s="30" t="s">
        <v>206</v>
      </c>
      <c r="K675" s="31" t="s">
        <v>47</v>
      </c>
      <c r="L675" s="32"/>
      <c r="M675" s="30"/>
      <c r="N675" s="30" t="s">
        <v>48</v>
      </c>
      <c r="O675" s="1" t="n">
        <f aca="false">IF($B675="",0,IF(AND(OR(Filter!$B$5="(alle)",$N675=Filter!$B$5),OR(Filter!$E$5="(alle)",$K675=Filter!$E$5),OR(Filter!$H$5="(alle)",$C675=Filter!$H$5),OR(Filter!$B$7="(alle)",$E675=Filter!$B$7),OR(Filter!$E$7="(alle)",ISNUMBER(SEARCH(Filter!$E$7,$J675))),OR(Filter!$H$7="(alle)",ISNUMBER(SEARCH(Filter!$H$7,$I675))),OR(Filter!$B$9="",ISNUMBER(SEARCH(Filter!$B$9,$F675&amp;" "&amp;$G675)))),COUNTIF($O$6:$O674,"&gt;0")+1,0))</f>
        <v>669</v>
      </c>
    </row>
    <row r="676" customFormat="false" ht="102" hidden="false" customHeight="true" outlineLevel="0" collapsed="false">
      <c r="B676" s="30" t="s">
        <v>3462</v>
      </c>
      <c r="C676" s="30" t="s">
        <v>286</v>
      </c>
      <c r="D676" s="30" t="s">
        <v>3463</v>
      </c>
      <c r="E676" s="30" t="s">
        <v>344</v>
      </c>
      <c r="F676" s="30" t="s">
        <v>3464</v>
      </c>
      <c r="G676" s="30" t="s">
        <v>3465</v>
      </c>
      <c r="H676" s="30" t="s">
        <v>3466</v>
      </c>
      <c r="I676" s="30" t="s">
        <v>306</v>
      </c>
      <c r="J676" s="30" t="s">
        <v>206</v>
      </c>
      <c r="K676" s="31" t="s">
        <v>47</v>
      </c>
      <c r="L676" s="32"/>
      <c r="M676" s="30"/>
      <c r="N676" s="30" t="s">
        <v>48</v>
      </c>
      <c r="O676" s="1" t="n">
        <f aca="false">IF($B676="",0,IF(AND(OR(Filter!$B$5="(alle)",$N676=Filter!$B$5),OR(Filter!$E$5="(alle)",$K676=Filter!$E$5),OR(Filter!$H$5="(alle)",$C676=Filter!$H$5),OR(Filter!$B$7="(alle)",$E676=Filter!$B$7),OR(Filter!$E$7="(alle)",ISNUMBER(SEARCH(Filter!$E$7,$J676))),OR(Filter!$H$7="(alle)",ISNUMBER(SEARCH(Filter!$H$7,$I676))),OR(Filter!$B$9="",ISNUMBER(SEARCH(Filter!$B$9,$F676&amp;" "&amp;$G676)))),COUNTIF($O$6:$O675,"&gt;0")+1,0))</f>
        <v>670</v>
      </c>
    </row>
    <row r="677" customFormat="false" ht="102" hidden="false" customHeight="true" outlineLevel="0" collapsed="false">
      <c r="B677" s="30" t="s">
        <v>3467</v>
      </c>
      <c r="C677" s="30" t="s">
        <v>286</v>
      </c>
      <c r="D677" s="30" t="s">
        <v>3468</v>
      </c>
      <c r="E677" s="30" t="s">
        <v>344</v>
      </c>
      <c r="F677" s="30" t="s">
        <v>3469</v>
      </c>
      <c r="G677" s="30" t="s">
        <v>3470</v>
      </c>
      <c r="H677" s="30" t="s">
        <v>3471</v>
      </c>
      <c r="I677" s="30" t="s">
        <v>306</v>
      </c>
      <c r="J677" s="30" t="s">
        <v>206</v>
      </c>
      <c r="K677" s="31" t="s">
        <v>47</v>
      </c>
      <c r="L677" s="32"/>
      <c r="M677" s="30"/>
      <c r="N677" s="30" t="s">
        <v>48</v>
      </c>
      <c r="O677" s="1" t="n">
        <f aca="false">IF($B677="",0,IF(AND(OR(Filter!$B$5="(alle)",$N677=Filter!$B$5),OR(Filter!$E$5="(alle)",$K677=Filter!$E$5),OR(Filter!$H$5="(alle)",$C677=Filter!$H$5),OR(Filter!$B$7="(alle)",$E677=Filter!$B$7),OR(Filter!$E$7="(alle)",ISNUMBER(SEARCH(Filter!$E$7,$J677))),OR(Filter!$H$7="(alle)",ISNUMBER(SEARCH(Filter!$H$7,$I677))),OR(Filter!$B$9="",ISNUMBER(SEARCH(Filter!$B$9,$F677&amp;" "&amp;$G677)))),COUNTIF($O$6:$O676,"&gt;0")+1,0))</f>
        <v>671</v>
      </c>
    </row>
    <row r="678" customFormat="false" ht="38.25" hidden="false" customHeight="true" outlineLevel="0" collapsed="false">
      <c r="B678" s="30" t="s">
        <v>3472</v>
      </c>
      <c r="C678" s="30" t="s">
        <v>286</v>
      </c>
      <c r="D678" s="30" t="s">
        <v>3473</v>
      </c>
      <c r="E678" s="30" t="s">
        <v>344</v>
      </c>
      <c r="F678" s="30" t="s">
        <v>3474</v>
      </c>
      <c r="G678" s="30" t="s">
        <v>3475</v>
      </c>
      <c r="H678" s="30" t="s">
        <v>3476</v>
      </c>
      <c r="I678" s="30" t="s">
        <v>306</v>
      </c>
      <c r="J678" s="30" t="s">
        <v>206</v>
      </c>
      <c r="K678" s="31" t="s">
        <v>47</v>
      </c>
      <c r="L678" s="32"/>
      <c r="M678" s="30"/>
      <c r="N678" s="30" t="s">
        <v>48</v>
      </c>
      <c r="O678" s="1" t="n">
        <f aca="false">IF($B678="",0,IF(AND(OR(Filter!$B$5="(alle)",$N678=Filter!$B$5),OR(Filter!$E$5="(alle)",$K678=Filter!$E$5),OR(Filter!$H$5="(alle)",$C678=Filter!$H$5),OR(Filter!$B$7="(alle)",$E678=Filter!$B$7),OR(Filter!$E$7="(alle)",ISNUMBER(SEARCH(Filter!$E$7,$J678))),OR(Filter!$H$7="(alle)",ISNUMBER(SEARCH(Filter!$H$7,$I678))),OR(Filter!$B$9="",ISNUMBER(SEARCH(Filter!$B$9,$F678&amp;" "&amp;$G678)))),COUNTIF($O$6:$O677,"&gt;0")+1,0))</f>
        <v>672</v>
      </c>
    </row>
    <row r="679" customFormat="false" ht="267.75" hidden="false" customHeight="true" outlineLevel="0" collapsed="false">
      <c r="B679" s="30" t="s">
        <v>3477</v>
      </c>
      <c r="C679" s="30" t="s">
        <v>286</v>
      </c>
      <c r="D679" s="30" t="s">
        <v>3478</v>
      </c>
      <c r="E679" s="30" t="s">
        <v>361</v>
      </c>
      <c r="F679" s="30" t="s">
        <v>3479</v>
      </c>
      <c r="G679" s="30" t="s">
        <v>3480</v>
      </c>
      <c r="H679" s="30" t="s">
        <v>3481</v>
      </c>
      <c r="I679" s="30" t="s">
        <v>158</v>
      </c>
      <c r="J679" s="30" t="s">
        <v>159</v>
      </c>
      <c r="K679" s="31" t="s">
        <v>47</v>
      </c>
      <c r="L679" s="32"/>
      <c r="M679" s="30"/>
      <c r="N679" s="30" t="s">
        <v>48</v>
      </c>
      <c r="O679" s="1" t="n">
        <f aca="false">IF($B679="",0,IF(AND(OR(Filter!$B$5="(alle)",$N679=Filter!$B$5),OR(Filter!$E$5="(alle)",$K679=Filter!$E$5),OR(Filter!$H$5="(alle)",$C679=Filter!$H$5),OR(Filter!$B$7="(alle)",$E679=Filter!$B$7),OR(Filter!$E$7="(alle)",ISNUMBER(SEARCH(Filter!$E$7,$J679))),OR(Filter!$H$7="(alle)",ISNUMBER(SEARCH(Filter!$H$7,$I679))),OR(Filter!$B$9="",ISNUMBER(SEARCH(Filter!$B$9,$F679&amp;" "&amp;$G679)))),COUNTIF($O$6:$O678,"&gt;0")+1,0))</f>
        <v>673</v>
      </c>
    </row>
    <row r="680" customFormat="false" ht="140.25" hidden="false" customHeight="true" outlineLevel="0" collapsed="false">
      <c r="B680" s="30" t="s">
        <v>3482</v>
      </c>
      <c r="C680" s="30" t="s">
        <v>286</v>
      </c>
      <c r="D680" s="30" t="s">
        <v>3483</v>
      </c>
      <c r="E680" s="30" t="s">
        <v>604</v>
      </c>
      <c r="F680" s="30" t="s">
        <v>3484</v>
      </c>
      <c r="G680" s="30" t="s">
        <v>3485</v>
      </c>
      <c r="H680" s="30" t="s">
        <v>3486</v>
      </c>
      <c r="I680" s="30" t="s">
        <v>290</v>
      </c>
      <c r="J680" s="30" t="s">
        <v>808</v>
      </c>
      <c r="K680" s="31" t="s">
        <v>47</v>
      </c>
      <c r="L680" s="32"/>
      <c r="M680" s="30"/>
      <c r="N680" s="30" t="s">
        <v>48</v>
      </c>
      <c r="O680" s="1" t="n">
        <f aca="false">IF($B680="",0,IF(AND(OR(Filter!$B$5="(alle)",$N680=Filter!$B$5),OR(Filter!$E$5="(alle)",$K680=Filter!$E$5),OR(Filter!$H$5="(alle)",$C680=Filter!$H$5),OR(Filter!$B$7="(alle)",$E680=Filter!$B$7),OR(Filter!$E$7="(alle)",ISNUMBER(SEARCH(Filter!$E$7,$J680))),OR(Filter!$H$7="(alle)",ISNUMBER(SEARCH(Filter!$H$7,$I680))),OR(Filter!$B$9="",ISNUMBER(SEARCH(Filter!$B$9,$F680&amp;" "&amp;$G680)))),COUNTIF($O$6:$O679,"&gt;0")+1,0))</f>
        <v>674</v>
      </c>
    </row>
    <row r="681" customFormat="false" ht="331.5" hidden="false" customHeight="true" outlineLevel="0" collapsed="false">
      <c r="B681" s="30" t="s">
        <v>3487</v>
      </c>
      <c r="C681" s="30" t="s">
        <v>286</v>
      </c>
      <c r="D681" s="30" t="s">
        <v>3488</v>
      </c>
      <c r="E681" s="30" t="s">
        <v>361</v>
      </c>
      <c r="F681" s="30" t="s">
        <v>3489</v>
      </c>
      <c r="G681" s="30" t="s">
        <v>3490</v>
      </c>
      <c r="H681" s="30" t="s">
        <v>3491</v>
      </c>
      <c r="I681" s="30" t="s">
        <v>306</v>
      </c>
      <c r="J681" s="30" t="s">
        <v>206</v>
      </c>
      <c r="K681" s="31" t="s">
        <v>47</v>
      </c>
      <c r="L681" s="32"/>
      <c r="M681" s="30"/>
      <c r="N681" s="30" t="s">
        <v>48</v>
      </c>
      <c r="O681" s="1" t="n">
        <f aca="false">IF($B681="",0,IF(AND(OR(Filter!$B$5="(alle)",$N681=Filter!$B$5),OR(Filter!$E$5="(alle)",$K681=Filter!$E$5),OR(Filter!$H$5="(alle)",$C681=Filter!$H$5),OR(Filter!$B$7="(alle)",$E681=Filter!$B$7),OR(Filter!$E$7="(alle)",ISNUMBER(SEARCH(Filter!$E$7,$J681))),OR(Filter!$H$7="(alle)",ISNUMBER(SEARCH(Filter!$H$7,$I681))),OR(Filter!$B$9="",ISNUMBER(SEARCH(Filter!$B$9,$F681&amp;" "&amp;$G681)))),COUNTIF($O$6:$O680,"&gt;0")+1,0))</f>
        <v>675</v>
      </c>
    </row>
    <row r="682" customFormat="false" ht="395.25" hidden="false" customHeight="true" outlineLevel="0" collapsed="false">
      <c r="B682" s="30" t="s">
        <v>3492</v>
      </c>
      <c r="C682" s="30" t="s">
        <v>286</v>
      </c>
      <c r="D682" s="30" t="s">
        <v>3493</v>
      </c>
      <c r="E682" s="30" t="s">
        <v>210</v>
      </c>
      <c r="F682" s="30" t="s">
        <v>3494</v>
      </c>
      <c r="G682" s="30" t="s">
        <v>3495</v>
      </c>
      <c r="H682" s="30" t="s">
        <v>3496</v>
      </c>
      <c r="I682" s="30" t="s">
        <v>306</v>
      </c>
      <c r="J682" s="30" t="s">
        <v>206</v>
      </c>
      <c r="K682" s="31" t="s">
        <v>47</v>
      </c>
      <c r="L682" s="32"/>
      <c r="M682" s="30"/>
      <c r="N682" s="30" t="s">
        <v>48</v>
      </c>
      <c r="O682" s="1" t="n">
        <f aca="false">IF($B682="",0,IF(AND(OR(Filter!$B$5="(alle)",$N682=Filter!$B$5),OR(Filter!$E$5="(alle)",$K682=Filter!$E$5),OR(Filter!$H$5="(alle)",$C682=Filter!$H$5),OR(Filter!$B$7="(alle)",$E682=Filter!$B$7),OR(Filter!$E$7="(alle)",ISNUMBER(SEARCH(Filter!$E$7,$J682))),OR(Filter!$H$7="(alle)",ISNUMBER(SEARCH(Filter!$H$7,$I682))),OR(Filter!$B$9="",ISNUMBER(SEARCH(Filter!$B$9,$F682&amp;" "&amp;$G682)))),COUNTIF($O$6:$O681,"&gt;0")+1,0))</f>
        <v>676</v>
      </c>
    </row>
    <row r="683" customFormat="false" ht="76.5" hidden="false" customHeight="true" outlineLevel="0" collapsed="false">
      <c r="B683" s="30" t="s">
        <v>3497</v>
      </c>
      <c r="C683" s="30" t="s">
        <v>286</v>
      </c>
      <c r="D683" s="30" t="s">
        <v>3498</v>
      </c>
      <c r="E683" s="30" t="s">
        <v>344</v>
      </c>
      <c r="F683" s="30" t="s">
        <v>3499</v>
      </c>
      <c r="G683" s="30" t="s">
        <v>3500</v>
      </c>
      <c r="H683" s="30" t="s">
        <v>3501</v>
      </c>
      <c r="I683" s="30" t="s">
        <v>306</v>
      </c>
      <c r="J683" s="30" t="s">
        <v>206</v>
      </c>
      <c r="K683" s="31" t="s">
        <v>47</v>
      </c>
      <c r="L683" s="32"/>
      <c r="M683" s="30"/>
      <c r="N683" s="30" t="s">
        <v>48</v>
      </c>
      <c r="O683" s="1" t="n">
        <f aca="false">IF($B683="",0,IF(AND(OR(Filter!$B$5="(alle)",$N683=Filter!$B$5),OR(Filter!$E$5="(alle)",$K683=Filter!$E$5),OR(Filter!$H$5="(alle)",$C683=Filter!$H$5),OR(Filter!$B$7="(alle)",$E683=Filter!$B$7),OR(Filter!$E$7="(alle)",ISNUMBER(SEARCH(Filter!$E$7,$J683))),OR(Filter!$H$7="(alle)",ISNUMBER(SEARCH(Filter!$H$7,$I683))),OR(Filter!$B$9="",ISNUMBER(SEARCH(Filter!$B$9,$F683&amp;" "&amp;$G683)))),COUNTIF($O$6:$O682,"&gt;0")+1,0))</f>
        <v>677</v>
      </c>
    </row>
    <row r="684" customFormat="false" ht="38.25" hidden="false" customHeight="true" outlineLevel="0" collapsed="false">
      <c r="B684" s="30" t="s">
        <v>3502</v>
      </c>
      <c r="C684" s="30" t="s">
        <v>286</v>
      </c>
      <c r="D684" s="30" t="s">
        <v>3503</v>
      </c>
      <c r="E684" s="30" t="s">
        <v>344</v>
      </c>
      <c r="F684" s="30" t="s">
        <v>3504</v>
      </c>
      <c r="G684" s="30" t="s">
        <v>3505</v>
      </c>
      <c r="H684" s="30" t="s">
        <v>3506</v>
      </c>
      <c r="I684" s="30" t="s">
        <v>306</v>
      </c>
      <c r="J684" s="30" t="s">
        <v>206</v>
      </c>
      <c r="K684" s="31" t="s">
        <v>47</v>
      </c>
      <c r="L684" s="32"/>
      <c r="M684" s="30"/>
      <c r="N684" s="30" t="s">
        <v>48</v>
      </c>
      <c r="O684" s="1" t="n">
        <f aca="false">IF($B684="",0,IF(AND(OR(Filter!$B$5="(alle)",$N684=Filter!$B$5),OR(Filter!$E$5="(alle)",$K684=Filter!$E$5),OR(Filter!$H$5="(alle)",$C684=Filter!$H$5),OR(Filter!$B$7="(alle)",$E684=Filter!$B$7),OR(Filter!$E$7="(alle)",ISNUMBER(SEARCH(Filter!$E$7,$J684))),OR(Filter!$H$7="(alle)",ISNUMBER(SEARCH(Filter!$H$7,$I684))),OR(Filter!$B$9="",ISNUMBER(SEARCH(Filter!$B$9,$F684&amp;" "&amp;$G684)))),COUNTIF($O$6:$O683,"&gt;0")+1,0))</f>
        <v>678</v>
      </c>
    </row>
    <row r="685" customFormat="false" ht="409.5" hidden="false" customHeight="true" outlineLevel="0" collapsed="false">
      <c r="B685" s="30" t="s">
        <v>3507</v>
      </c>
      <c r="C685" s="30" t="s">
        <v>286</v>
      </c>
      <c r="D685" s="30" t="s">
        <v>3508</v>
      </c>
      <c r="E685" s="30" t="s">
        <v>361</v>
      </c>
      <c r="F685" s="30" t="s">
        <v>3509</v>
      </c>
      <c r="G685" s="30" t="s">
        <v>3510</v>
      </c>
      <c r="H685" s="30" t="s">
        <v>3511</v>
      </c>
      <c r="I685" s="30" t="s">
        <v>158</v>
      </c>
      <c r="J685" s="30" t="s">
        <v>159</v>
      </c>
      <c r="K685" s="31" t="s">
        <v>47</v>
      </c>
      <c r="L685" s="32"/>
      <c r="M685" s="30"/>
      <c r="N685" s="30" t="s">
        <v>48</v>
      </c>
      <c r="O685" s="1" t="n">
        <f aca="false">IF($B685="",0,IF(AND(OR(Filter!$B$5="(alle)",$N685=Filter!$B$5),OR(Filter!$E$5="(alle)",$K685=Filter!$E$5),OR(Filter!$H$5="(alle)",$C685=Filter!$H$5),OR(Filter!$B$7="(alle)",$E685=Filter!$B$7),OR(Filter!$E$7="(alle)",ISNUMBER(SEARCH(Filter!$E$7,$J685))),OR(Filter!$H$7="(alle)",ISNUMBER(SEARCH(Filter!$H$7,$I685))),OR(Filter!$B$9="",ISNUMBER(SEARCH(Filter!$B$9,$F685&amp;" "&amp;$G685)))),COUNTIF($O$6:$O684,"&gt;0")+1,0))</f>
        <v>679</v>
      </c>
    </row>
    <row r="686" customFormat="false" ht="102" hidden="false" customHeight="true" outlineLevel="0" collapsed="false">
      <c r="B686" s="30" t="s">
        <v>3512</v>
      </c>
      <c r="C686" s="30" t="s">
        <v>286</v>
      </c>
      <c r="D686" s="30" t="s">
        <v>3513</v>
      </c>
      <c r="E686" s="30" t="s">
        <v>331</v>
      </c>
      <c r="F686" s="30" t="s">
        <v>3514</v>
      </c>
      <c r="G686" s="30" t="s">
        <v>3515</v>
      </c>
      <c r="H686" s="30" t="s">
        <v>3516</v>
      </c>
      <c r="I686" s="30" t="s">
        <v>306</v>
      </c>
      <c r="J686" s="30" t="s">
        <v>206</v>
      </c>
      <c r="K686" s="31" t="s">
        <v>151</v>
      </c>
      <c r="L686" s="32"/>
      <c r="M686" s="30" t="s">
        <v>370</v>
      </c>
      <c r="N686" s="30" t="s">
        <v>48</v>
      </c>
      <c r="O686" s="1" t="n">
        <f aca="false">IF($B686="",0,IF(AND(OR(Filter!$B$5="(alle)",$N686=Filter!$B$5),OR(Filter!$E$5="(alle)",$K686=Filter!$E$5),OR(Filter!$H$5="(alle)",$C686=Filter!$H$5),OR(Filter!$B$7="(alle)",$E686=Filter!$B$7),OR(Filter!$E$7="(alle)",ISNUMBER(SEARCH(Filter!$E$7,$J686))),OR(Filter!$H$7="(alle)",ISNUMBER(SEARCH(Filter!$H$7,$I686))),OR(Filter!$B$9="",ISNUMBER(SEARCH(Filter!$B$9,$F686&amp;" "&amp;$G686)))),COUNTIF($O$6:$O685,"&gt;0")+1,0))</f>
        <v>680</v>
      </c>
    </row>
    <row r="687" customFormat="false" ht="114.75" hidden="false" customHeight="true" outlineLevel="0" collapsed="false">
      <c r="B687" s="30" t="s">
        <v>3517</v>
      </c>
      <c r="C687" s="30" t="s">
        <v>286</v>
      </c>
      <c r="D687" s="30" t="s">
        <v>3518</v>
      </c>
      <c r="E687" s="30" t="s">
        <v>331</v>
      </c>
      <c r="F687" s="30" t="s">
        <v>3519</v>
      </c>
      <c r="G687" s="30" t="s">
        <v>3520</v>
      </c>
      <c r="H687" s="30" t="s">
        <v>3521</v>
      </c>
      <c r="I687" s="30" t="s">
        <v>306</v>
      </c>
      <c r="J687" s="30" t="s">
        <v>206</v>
      </c>
      <c r="K687" s="31" t="s">
        <v>151</v>
      </c>
      <c r="L687" s="32"/>
      <c r="M687" s="30" t="s">
        <v>370</v>
      </c>
      <c r="N687" s="30" t="s">
        <v>48</v>
      </c>
      <c r="O687" s="1" t="n">
        <f aca="false">IF($B687="",0,IF(AND(OR(Filter!$B$5="(alle)",$N687=Filter!$B$5),OR(Filter!$E$5="(alle)",$K687=Filter!$E$5),OR(Filter!$H$5="(alle)",$C687=Filter!$H$5),OR(Filter!$B$7="(alle)",$E687=Filter!$B$7),OR(Filter!$E$7="(alle)",ISNUMBER(SEARCH(Filter!$E$7,$J687))),OR(Filter!$H$7="(alle)",ISNUMBER(SEARCH(Filter!$H$7,$I687))),OR(Filter!$B$9="",ISNUMBER(SEARCH(Filter!$B$9,$F687&amp;" "&amp;$G687)))),COUNTIF($O$6:$O686,"&gt;0")+1,0))</f>
        <v>681</v>
      </c>
    </row>
    <row r="688" customFormat="false" ht="89.25" hidden="false" customHeight="true" outlineLevel="0" collapsed="false">
      <c r="B688" s="30" t="s">
        <v>3522</v>
      </c>
      <c r="C688" s="30" t="s">
        <v>286</v>
      </c>
      <c r="D688" s="30" t="s">
        <v>3523</v>
      </c>
      <c r="E688" s="30" t="s">
        <v>210</v>
      </c>
      <c r="F688" s="30" t="s">
        <v>3524</v>
      </c>
      <c r="G688" s="30" t="s">
        <v>3525</v>
      </c>
      <c r="H688" s="30" t="s">
        <v>3526</v>
      </c>
      <c r="I688" s="30" t="s">
        <v>306</v>
      </c>
      <c r="J688" s="30" t="s">
        <v>206</v>
      </c>
      <c r="K688" s="31" t="s">
        <v>47</v>
      </c>
      <c r="L688" s="32"/>
      <c r="M688" s="30"/>
      <c r="N688" s="30" t="s">
        <v>48</v>
      </c>
      <c r="O688" s="1" t="n">
        <f aca="false">IF($B688="",0,IF(AND(OR(Filter!$B$5="(alle)",$N688=Filter!$B$5),OR(Filter!$E$5="(alle)",$K688=Filter!$E$5),OR(Filter!$H$5="(alle)",$C688=Filter!$H$5),OR(Filter!$B$7="(alle)",$E688=Filter!$B$7),OR(Filter!$E$7="(alle)",ISNUMBER(SEARCH(Filter!$E$7,$J688))),OR(Filter!$H$7="(alle)",ISNUMBER(SEARCH(Filter!$H$7,$I688))),OR(Filter!$B$9="",ISNUMBER(SEARCH(Filter!$B$9,$F688&amp;" "&amp;$G688)))),COUNTIF($O$6:$O687,"&gt;0")+1,0))</f>
        <v>682</v>
      </c>
    </row>
    <row r="689" customFormat="false" ht="293.25" hidden="false" customHeight="true" outlineLevel="0" collapsed="false">
      <c r="B689" s="30" t="s">
        <v>3527</v>
      </c>
      <c r="C689" s="30" t="s">
        <v>286</v>
      </c>
      <c r="D689" s="30" t="s">
        <v>3528</v>
      </c>
      <c r="E689" s="30" t="s">
        <v>361</v>
      </c>
      <c r="F689" s="30" t="s">
        <v>3529</v>
      </c>
      <c r="G689" s="30" t="s">
        <v>3530</v>
      </c>
      <c r="H689" s="30" t="s">
        <v>3531</v>
      </c>
      <c r="I689" s="30" t="s">
        <v>306</v>
      </c>
      <c r="J689" s="30" t="s">
        <v>206</v>
      </c>
      <c r="K689" s="31" t="s">
        <v>47</v>
      </c>
      <c r="L689" s="32"/>
      <c r="M689" s="30"/>
      <c r="N689" s="30" t="s">
        <v>48</v>
      </c>
      <c r="O689" s="1" t="n">
        <f aca="false">IF($B689="",0,IF(AND(OR(Filter!$B$5="(alle)",$N689=Filter!$B$5),OR(Filter!$E$5="(alle)",$K689=Filter!$E$5),OR(Filter!$H$5="(alle)",$C689=Filter!$H$5),OR(Filter!$B$7="(alle)",$E689=Filter!$B$7),OR(Filter!$E$7="(alle)",ISNUMBER(SEARCH(Filter!$E$7,$J689))),OR(Filter!$H$7="(alle)",ISNUMBER(SEARCH(Filter!$H$7,$I689))),OR(Filter!$B$9="",ISNUMBER(SEARCH(Filter!$B$9,$F689&amp;" "&amp;$G689)))),COUNTIF($O$6:$O688,"&gt;0")+1,0))</f>
        <v>683</v>
      </c>
    </row>
    <row r="690" customFormat="false" ht="229.5" hidden="false" customHeight="true" outlineLevel="0" collapsed="false">
      <c r="B690" s="30" t="s">
        <v>3532</v>
      </c>
      <c r="C690" s="30" t="s">
        <v>286</v>
      </c>
      <c r="D690" s="30" t="s">
        <v>3533</v>
      </c>
      <c r="E690" s="30" t="s">
        <v>210</v>
      </c>
      <c r="F690" s="30" t="s">
        <v>3534</v>
      </c>
      <c r="G690" s="30" t="s">
        <v>3535</v>
      </c>
      <c r="H690" s="30" t="s">
        <v>3536</v>
      </c>
      <c r="I690" s="30" t="s">
        <v>306</v>
      </c>
      <c r="J690" s="30" t="s">
        <v>206</v>
      </c>
      <c r="K690" s="31" t="s">
        <v>47</v>
      </c>
      <c r="L690" s="32"/>
      <c r="M690" s="30"/>
      <c r="N690" s="30" t="s">
        <v>48</v>
      </c>
      <c r="O690" s="1" t="n">
        <f aca="false">IF($B690="",0,IF(AND(OR(Filter!$B$5="(alle)",$N690=Filter!$B$5),OR(Filter!$E$5="(alle)",$K690=Filter!$E$5),OR(Filter!$H$5="(alle)",$C690=Filter!$H$5),OR(Filter!$B$7="(alle)",$E690=Filter!$B$7),OR(Filter!$E$7="(alle)",ISNUMBER(SEARCH(Filter!$E$7,$J690))),OR(Filter!$H$7="(alle)",ISNUMBER(SEARCH(Filter!$H$7,$I690))),OR(Filter!$B$9="",ISNUMBER(SEARCH(Filter!$B$9,$F690&amp;" "&amp;$G690)))),COUNTIF($O$6:$O689,"&gt;0")+1,0))</f>
        <v>684</v>
      </c>
    </row>
    <row r="691" customFormat="false" ht="89.25" hidden="false" customHeight="true" outlineLevel="0" collapsed="false">
      <c r="B691" s="30" t="s">
        <v>3537</v>
      </c>
      <c r="C691" s="30" t="s">
        <v>286</v>
      </c>
      <c r="D691" s="30" t="s">
        <v>3538</v>
      </c>
      <c r="E691" s="30" t="s">
        <v>344</v>
      </c>
      <c r="F691" s="30" t="s">
        <v>3539</v>
      </c>
      <c r="G691" s="30" t="s">
        <v>3540</v>
      </c>
      <c r="H691" s="30" t="s">
        <v>3541</v>
      </c>
      <c r="I691" s="30" t="s">
        <v>306</v>
      </c>
      <c r="J691" s="30" t="s">
        <v>206</v>
      </c>
      <c r="K691" s="31" t="s">
        <v>47</v>
      </c>
      <c r="L691" s="32"/>
      <c r="M691" s="30"/>
      <c r="N691" s="30" t="s">
        <v>48</v>
      </c>
      <c r="O691" s="1" t="n">
        <f aca="false">IF($B691="",0,IF(AND(OR(Filter!$B$5="(alle)",$N691=Filter!$B$5),OR(Filter!$E$5="(alle)",$K691=Filter!$E$5),OR(Filter!$H$5="(alle)",$C691=Filter!$H$5),OR(Filter!$B$7="(alle)",$E691=Filter!$B$7),OR(Filter!$E$7="(alle)",ISNUMBER(SEARCH(Filter!$E$7,$J691))),OR(Filter!$H$7="(alle)",ISNUMBER(SEARCH(Filter!$H$7,$I691))),OR(Filter!$B$9="",ISNUMBER(SEARCH(Filter!$B$9,$F691&amp;" "&amp;$G691)))),COUNTIF($O$6:$O690,"&gt;0")+1,0))</f>
        <v>685</v>
      </c>
    </row>
    <row r="692" customFormat="false" ht="255" hidden="false" customHeight="true" outlineLevel="0" collapsed="false">
      <c r="B692" s="30" t="s">
        <v>3542</v>
      </c>
      <c r="C692" s="30" t="s">
        <v>286</v>
      </c>
      <c r="D692" s="30" t="s">
        <v>3543</v>
      </c>
      <c r="E692" s="30" t="s">
        <v>344</v>
      </c>
      <c r="F692" s="30" t="s">
        <v>3544</v>
      </c>
      <c r="G692" s="30" t="s">
        <v>3545</v>
      </c>
      <c r="H692" s="30" t="s">
        <v>3546</v>
      </c>
      <c r="I692" s="30" t="s">
        <v>306</v>
      </c>
      <c r="J692" s="30" t="s">
        <v>206</v>
      </c>
      <c r="K692" s="31" t="s">
        <v>47</v>
      </c>
      <c r="L692" s="32"/>
      <c r="M692" s="30"/>
      <c r="N692" s="30" t="s">
        <v>48</v>
      </c>
      <c r="O692" s="1" t="n">
        <f aca="false">IF($B692="",0,IF(AND(OR(Filter!$B$5="(alle)",$N692=Filter!$B$5),OR(Filter!$E$5="(alle)",$K692=Filter!$E$5),OR(Filter!$H$5="(alle)",$C692=Filter!$H$5),OR(Filter!$B$7="(alle)",$E692=Filter!$B$7),OR(Filter!$E$7="(alle)",ISNUMBER(SEARCH(Filter!$E$7,$J692))),OR(Filter!$H$7="(alle)",ISNUMBER(SEARCH(Filter!$H$7,$I692))),OR(Filter!$B$9="",ISNUMBER(SEARCH(Filter!$B$9,$F692&amp;" "&amp;$G692)))),COUNTIF($O$6:$O691,"&gt;0")+1,0))</f>
        <v>686</v>
      </c>
    </row>
    <row r="693" customFormat="false" ht="89.25" hidden="false" customHeight="true" outlineLevel="0" collapsed="false">
      <c r="B693" s="30" t="s">
        <v>3547</v>
      </c>
      <c r="C693" s="30" t="s">
        <v>286</v>
      </c>
      <c r="D693" s="30" t="s">
        <v>3548</v>
      </c>
      <c r="E693" s="30" t="s">
        <v>42</v>
      </c>
      <c r="F693" s="30" t="s">
        <v>3549</v>
      </c>
      <c r="G693" s="30" t="s">
        <v>3550</v>
      </c>
      <c r="H693" s="30" t="s">
        <v>3551</v>
      </c>
      <c r="I693" s="30" t="s">
        <v>45</v>
      </c>
      <c r="J693" s="30" t="s">
        <v>46</v>
      </c>
      <c r="K693" s="31" t="s">
        <v>47</v>
      </c>
      <c r="L693" s="32"/>
      <c r="M693" s="30"/>
      <c r="N693" s="30" t="s">
        <v>48</v>
      </c>
      <c r="O693" s="1" t="n">
        <f aca="false">IF($B693="",0,IF(AND(OR(Filter!$B$5="(alle)",$N693=Filter!$B$5),OR(Filter!$E$5="(alle)",$K693=Filter!$E$5),OR(Filter!$H$5="(alle)",$C693=Filter!$H$5),OR(Filter!$B$7="(alle)",$E693=Filter!$B$7),OR(Filter!$E$7="(alle)",ISNUMBER(SEARCH(Filter!$E$7,$J693))),OR(Filter!$H$7="(alle)",ISNUMBER(SEARCH(Filter!$H$7,$I693))),OR(Filter!$B$9="",ISNUMBER(SEARCH(Filter!$B$9,$F693&amp;" "&amp;$G693)))),COUNTIF($O$6:$O692,"&gt;0")+1,0))</f>
        <v>687</v>
      </c>
    </row>
    <row r="694" customFormat="false" ht="293.25" hidden="false" customHeight="true" outlineLevel="0" collapsed="false">
      <c r="B694" s="30" t="s">
        <v>3552</v>
      </c>
      <c r="C694" s="30" t="s">
        <v>286</v>
      </c>
      <c r="D694" s="30" t="s">
        <v>3553</v>
      </c>
      <c r="E694" s="30" t="s">
        <v>102</v>
      </c>
      <c r="F694" s="30" t="s">
        <v>3554</v>
      </c>
      <c r="G694" s="30" t="s">
        <v>3555</v>
      </c>
      <c r="H694" s="30" t="s">
        <v>3556</v>
      </c>
      <c r="I694" s="30" t="s">
        <v>45</v>
      </c>
      <c r="J694" s="30" t="s">
        <v>70</v>
      </c>
      <c r="K694" s="31" t="s">
        <v>47</v>
      </c>
      <c r="L694" s="32"/>
      <c r="M694" s="30"/>
      <c r="N694" s="30" t="s">
        <v>48</v>
      </c>
      <c r="O694" s="1" t="n">
        <f aca="false">IF($B694="",0,IF(AND(OR(Filter!$B$5="(alle)",$N694=Filter!$B$5),OR(Filter!$E$5="(alle)",$K694=Filter!$E$5),OR(Filter!$H$5="(alle)",$C694=Filter!$H$5),OR(Filter!$B$7="(alle)",$E694=Filter!$B$7),OR(Filter!$E$7="(alle)",ISNUMBER(SEARCH(Filter!$E$7,$J694))),OR(Filter!$H$7="(alle)",ISNUMBER(SEARCH(Filter!$H$7,$I694))),OR(Filter!$B$9="",ISNUMBER(SEARCH(Filter!$B$9,$F694&amp;" "&amp;$G694)))),COUNTIF($O$6:$O693,"&gt;0")+1,0))</f>
        <v>688</v>
      </c>
    </row>
    <row r="695" customFormat="false" ht="140.25" hidden="false" customHeight="true" outlineLevel="0" collapsed="false">
      <c r="B695" s="30" t="s">
        <v>3557</v>
      </c>
      <c r="C695" s="30" t="s">
        <v>286</v>
      </c>
      <c r="D695" s="30" t="s">
        <v>3558</v>
      </c>
      <c r="E695" s="30" t="s">
        <v>344</v>
      </c>
      <c r="F695" s="30" t="s">
        <v>3559</v>
      </c>
      <c r="G695" s="30" t="s">
        <v>3560</v>
      </c>
      <c r="H695" s="30" t="s">
        <v>3561</v>
      </c>
      <c r="I695" s="30" t="s">
        <v>306</v>
      </c>
      <c r="J695" s="30" t="s">
        <v>206</v>
      </c>
      <c r="K695" s="31" t="s">
        <v>47</v>
      </c>
      <c r="L695" s="32"/>
      <c r="M695" s="30"/>
      <c r="N695" s="30" t="s">
        <v>48</v>
      </c>
      <c r="O695" s="1" t="n">
        <f aca="false">IF($B695="",0,IF(AND(OR(Filter!$B$5="(alle)",$N695=Filter!$B$5),OR(Filter!$E$5="(alle)",$K695=Filter!$E$5),OR(Filter!$H$5="(alle)",$C695=Filter!$H$5),OR(Filter!$B$7="(alle)",$E695=Filter!$B$7),OR(Filter!$E$7="(alle)",ISNUMBER(SEARCH(Filter!$E$7,$J695))),OR(Filter!$H$7="(alle)",ISNUMBER(SEARCH(Filter!$H$7,$I695))),OR(Filter!$B$9="",ISNUMBER(SEARCH(Filter!$B$9,$F695&amp;" "&amp;$G695)))),COUNTIF($O$6:$O694,"&gt;0")+1,0))</f>
        <v>689</v>
      </c>
    </row>
    <row r="696" customFormat="false" ht="127.5" hidden="false" customHeight="true" outlineLevel="0" collapsed="false">
      <c r="B696" s="30" t="s">
        <v>3562</v>
      </c>
      <c r="C696" s="30" t="s">
        <v>286</v>
      </c>
      <c r="D696" s="30" t="s">
        <v>3563</v>
      </c>
      <c r="E696" s="30" t="s">
        <v>210</v>
      </c>
      <c r="F696" s="30" t="s">
        <v>3564</v>
      </c>
      <c r="G696" s="30" t="s">
        <v>3565</v>
      </c>
      <c r="H696" s="30" t="s">
        <v>3566</v>
      </c>
      <c r="I696" s="30" t="s">
        <v>306</v>
      </c>
      <c r="J696" s="30" t="s">
        <v>206</v>
      </c>
      <c r="K696" s="31" t="s">
        <v>47</v>
      </c>
      <c r="L696" s="32"/>
      <c r="M696" s="30"/>
      <c r="N696" s="30" t="s">
        <v>48</v>
      </c>
      <c r="O696" s="1" t="n">
        <f aca="false">IF($B696="",0,IF(AND(OR(Filter!$B$5="(alle)",$N696=Filter!$B$5),OR(Filter!$E$5="(alle)",$K696=Filter!$E$5),OR(Filter!$H$5="(alle)",$C696=Filter!$H$5),OR(Filter!$B$7="(alle)",$E696=Filter!$B$7),OR(Filter!$E$7="(alle)",ISNUMBER(SEARCH(Filter!$E$7,$J696))),OR(Filter!$H$7="(alle)",ISNUMBER(SEARCH(Filter!$H$7,$I696))),OR(Filter!$B$9="",ISNUMBER(SEARCH(Filter!$B$9,$F696&amp;" "&amp;$G696)))),COUNTIF($O$6:$O695,"&gt;0")+1,0))</f>
        <v>690</v>
      </c>
    </row>
    <row r="697" customFormat="false" ht="102" hidden="false" customHeight="true" outlineLevel="0" collapsed="false">
      <c r="B697" s="30" t="s">
        <v>3567</v>
      </c>
      <c r="C697" s="30" t="s">
        <v>286</v>
      </c>
      <c r="D697" s="30" t="s">
        <v>3568</v>
      </c>
      <c r="E697" s="30" t="s">
        <v>331</v>
      </c>
      <c r="F697" s="30" t="s">
        <v>3569</v>
      </c>
      <c r="G697" s="30" t="s">
        <v>3570</v>
      </c>
      <c r="H697" s="30" t="s">
        <v>3571</v>
      </c>
      <c r="I697" s="30" t="s">
        <v>306</v>
      </c>
      <c r="J697" s="30" t="s">
        <v>206</v>
      </c>
      <c r="K697" s="31" t="s">
        <v>151</v>
      </c>
      <c r="L697" s="32"/>
      <c r="M697" s="30" t="s">
        <v>370</v>
      </c>
      <c r="N697" s="30" t="s">
        <v>48</v>
      </c>
      <c r="O697" s="1" t="n">
        <f aca="false">IF($B697="",0,IF(AND(OR(Filter!$B$5="(alle)",$N697=Filter!$B$5),OR(Filter!$E$5="(alle)",$K697=Filter!$E$5),OR(Filter!$H$5="(alle)",$C697=Filter!$H$5),OR(Filter!$B$7="(alle)",$E697=Filter!$B$7),OR(Filter!$E$7="(alle)",ISNUMBER(SEARCH(Filter!$E$7,$J697))),OR(Filter!$H$7="(alle)",ISNUMBER(SEARCH(Filter!$H$7,$I697))),OR(Filter!$B$9="",ISNUMBER(SEARCH(Filter!$B$9,$F697&amp;" "&amp;$G697)))),COUNTIF($O$6:$O696,"&gt;0")+1,0))</f>
        <v>691</v>
      </c>
    </row>
    <row r="698" customFormat="false" ht="89.25" hidden="false" customHeight="true" outlineLevel="0" collapsed="false">
      <c r="B698" s="30" t="s">
        <v>3572</v>
      </c>
      <c r="C698" s="30" t="s">
        <v>286</v>
      </c>
      <c r="D698" s="30" t="s">
        <v>3573</v>
      </c>
      <c r="E698" s="30" t="s">
        <v>331</v>
      </c>
      <c r="F698" s="30" t="s">
        <v>3574</v>
      </c>
      <c r="G698" s="30" t="s">
        <v>3575</v>
      </c>
      <c r="H698" s="30" t="s">
        <v>3576</v>
      </c>
      <c r="I698" s="30" t="s">
        <v>306</v>
      </c>
      <c r="J698" s="30" t="s">
        <v>206</v>
      </c>
      <c r="K698" s="31" t="s">
        <v>151</v>
      </c>
      <c r="L698" s="32"/>
      <c r="M698" s="30" t="s">
        <v>370</v>
      </c>
      <c r="N698" s="30" t="s">
        <v>48</v>
      </c>
      <c r="O698" s="1" t="n">
        <f aca="false">IF($B698="",0,IF(AND(OR(Filter!$B$5="(alle)",$N698=Filter!$B$5),OR(Filter!$E$5="(alle)",$K698=Filter!$E$5),OR(Filter!$H$5="(alle)",$C698=Filter!$H$5),OR(Filter!$B$7="(alle)",$E698=Filter!$B$7),OR(Filter!$E$7="(alle)",ISNUMBER(SEARCH(Filter!$E$7,$J698))),OR(Filter!$H$7="(alle)",ISNUMBER(SEARCH(Filter!$H$7,$I698))),OR(Filter!$B$9="",ISNUMBER(SEARCH(Filter!$B$9,$F698&amp;" "&amp;$G698)))),COUNTIF($O$6:$O697,"&gt;0")+1,0))</f>
        <v>692</v>
      </c>
    </row>
    <row r="699" customFormat="false" ht="76.5" hidden="false" customHeight="true" outlineLevel="0" collapsed="false">
      <c r="B699" s="30" t="s">
        <v>3577</v>
      </c>
      <c r="C699" s="30" t="s">
        <v>286</v>
      </c>
      <c r="D699" s="30" t="s">
        <v>3578</v>
      </c>
      <c r="E699" s="30" t="s">
        <v>344</v>
      </c>
      <c r="F699" s="30" t="s">
        <v>3579</v>
      </c>
      <c r="G699" s="30" t="s">
        <v>3580</v>
      </c>
      <c r="H699" s="30" t="s">
        <v>3581</v>
      </c>
      <c r="I699" s="30" t="s">
        <v>306</v>
      </c>
      <c r="J699" s="30" t="s">
        <v>206</v>
      </c>
      <c r="K699" s="31" t="s">
        <v>47</v>
      </c>
      <c r="L699" s="32"/>
      <c r="M699" s="30"/>
      <c r="N699" s="30" t="s">
        <v>48</v>
      </c>
      <c r="O699" s="1" t="n">
        <f aca="false">IF($B699="",0,IF(AND(OR(Filter!$B$5="(alle)",$N699=Filter!$B$5),OR(Filter!$E$5="(alle)",$K699=Filter!$E$5),OR(Filter!$H$5="(alle)",$C699=Filter!$H$5),OR(Filter!$B$7="(alle)",$E699=Filter!$B$7),OR(Filter!$E$7="(alle)",ISNUMBER(SEARCH(Filter!$E$7,$J699))),OR(Filter!$H$7="(alle)",ISNUMBER(SEARCH(Filter!$H$7,$I699))),OR(Filter!$B$9="",ISNUMBER(SEARCH(Filter!$B$9,$F699&amp;" "&amp;$G699)))),COUNTIF($O$6:$O698,"&gt;0")+1,0))</f>
        <v>693</v>
      </c>
    </row>
    <row r="700" customFormat="false" ht="242.25" hidden="false" customHeight="true" outlineLevel="0" collapsed="false">
      <c r="B700" s="30" t="s">
        <v>3582</v>
      </c>
      <c r="C700" s="30" t="s">
        <v>286</v>
      </c>
      <c r="D700" s="30" t="s">
        <v>3583</v>
      </c>
      <c r="E700" s="30" t="s">
        <v>361</v>
      </c>
      <c r="F700" s="30" t="s">
        <v>3584</v>
      </c>
      <c r="G700" s="30" t="s">
        <v>3585</v>
      </c>
      <c r="H700" s="30" t="s">
        <v>3586</v>
      </c>
      <c r="I700" s="30" t="s">
        <v>306</v>
      </c>
      <c r="J700" s="30" t="s">
        <v>206</v>
      </c>
      <c r="K700" s="31" t="s">
        <v>47</v>
      </c>
      <c r="L700" s="32"/>
      <c r="M700" s="30"/>
      <c r="N700" s="30" t="s">
        <v>48</v>
      </c>
      <c r="O700" s="1" t="n">
        <f aca="false">IF($B700="",0,IF(AND(OR(Filter!$B$5="(alle)",$N700=Filter!$B$5),OR(Filter!$E$5="(alle)",$K700=Filter!$E$5),OR(Filter!$H$5="(alle)",$C700=Filter!$H$5),OR(Filter!$B$7="(alle)",$E700=Filter!$B$7),OR(Filter!$E$7="(alle)",ISNUMBER(SEARCH(Filter!$E$7,$J700))),OR(Filter!$H$7="(alle)",ISNUMBER(SEARCH(Filter!$H$7,$I700))),OR(Filter!$B$9="",ISNUMBER(SEARCH(Filter!$B$9,$F700&amp;" "&amp;$G700)))),COUNTIF($O$6:$O699,"&gt;0")+1,0))</f>
        <v>694</v>
      </c>
    </row>
    <row r="701" customFormat="false" ht="331.5" hidden="false" customHeight="true" outlineLevel="0" collapsed="false">
      <c r="B701" s="30" t="s">
        <v>3587</v>
      </c>
      <c r="C701" s="30" t="s">
        <v>286</v>
      </c>
      <c r="D701" s="30" t="s">
        <v>3588</v>
      </c>
      <c r="E701" s="30" t="s">
        <v>361</v>
      </c>
      <c r="F701" s="30" t="s">
        <v>3589</v>
      </c>
      <c r="G701" s="30" t="s">
        <v>3590</v>
      </c>
      <c r="H701" s="30" t="s">
        <v>3591</v>
      </c>
      <c r="I701" s="30" t="s">
        <v>306</v>
      </c>
      <c r="J701" s="30" t="s">
        <v>206</v>
      </c>
      <c r="K701" s="31" t="s">
        <v>47</v>
      </c>
      <c r="L701" s="32"/>
      <c r="M701" s="30"/>
      <c r="N701" s="30" t="s">
        <v>48</v>
      </c>
      <c r="O701" s="1" t="n">
        <f aca="false">IF($B701="",0,IF(AND(OR(Filter!$B$5="(alle)",$N701=Filter!$B$5),OR(Filter!$E$5="(alle)",$K701=Filter!$E$5),OR(Filter!$H$5="(alle)",$C701=Filter!$H$5),OR(Filter!$B$7="(alle)",$E701=Filter!$B$7),OR(Filter!$E$7="(alle)",ISNUMBER(SEARCH(Filter!$E$7,$J701))),OR(Filter!$H$7="(alle)",ISNUMBER(SEARCH(Filter!$H$7,$I701))),OR(Filter!$B$9="",ISNUMBER(SEARCH(Filter!$B$9,$F701&amp;" "&amp;$G701)))),COUNTIF($O$6:$O700,"&gt;0")+1,0))</f>
        <v>695</v>
      </c>
    </row>
    <row r="702" customFormat="false" ht="178.5" hidden="false" customHeight="true" outlineLevel="0" collapsed="false">
      <c r="B702" s="30" t="s">
        <v>3592</v>
      </c>
      <c r="C702" s="30" t="s">
        <v>286</v>
      </c>
      <c r="D702" s="30" t="s">
        <v>3593</v>
      </c>
      <c r="E702" s="30" t="s">
        <v>361</v>
      </c>
      <c r="F702" s="30" t="s">
        <v>3594</v>
      </c>
      <c r="G702" s="30" t="s">
        <v>3595</v>
      </c>
      <c r="H702" s="30" t="s">
        <v>3596</v>
      </c>
      <c r="I702" s="30" t="s">
        <v>306</v>
      </c>
      <c r="J702" s="30" t="s">
        <v>206</v>
      </c>
      <c r="K702" s="31" t="s">
        <v>47</v>
      </c>
      <c r="L702" s="32"/>
      <c r="M702" s="30"/>
      <c r="N702" s="30" t="s">
        <v>48</v>
      </c>
      <c r="O702" s="1" t="n">
        <f aca="false">IF($B702="",0,IF(AND(OR(Filter!$B$5="(alle)",$N702=Filter!$B$5),OR(Filter!$E$5="(alle)",$K702=Filter!$E$5),OR(Filter!$H$5="(alle)",$C702=Filter!$H$5),OR(Filter!$B$7="(alle)",$E702=Filter!$B$7),OR(Filter!$E$7="(alle)",ISNUMBER(SEARCH(Filter!$E$7,$J702))),OR(Filter!$H$7="(alle)",ISNUMBER(SEARCH(Filter!$H$7,$I702))),OR(Filter!$B$9="",ISNUMBER(SEARCH(Filter!$B$9,$F702&amp;" "&amp;$G702)))),COUNTIF($O$6:$O701,"&gt;0")+1,0))</f>
        <v>696</v>
      </c>
    </row>
    <row r="703" customFormat="false" ht="102" hidden="false" customHeight="true" outlineLevel="0" collapsed="false">
      <c r="B703" s="30" t="s">
        <v>3597</v>
      </c>
      <c r="C703" s="30" t="s">
        <v>286</v>
      </c>
      <c r="D703" s="30" t="s">
        <v>3598</v>
      </c>
      <c r="E703" s="30" t="s">
        <v>331</v>
      </c>
      <c r="F703" s="30" t="s">
        <v>3599</v>
      </c>
      <c r="G703" s="30" t="s">
        <v>3600</v>
      </c>
      <c r="H703" s="30" t="s">
        <v>3601</v>
      </c>
      <c r="I703" s="30" t="s">
        <v>306</v>
      </c>
      <c r="J703" s="30" t="s">
        <v>206</v>
      </c>
      <c r="K703" s="31" t="s">
        <v>151</v>
      </c>
      <c r="L703" s="32"/>
      <c r="M703" s="30" t="s">
        <v>370</v>
      </c>
      <c r="N703" s="30" t="s">
        <v>48</v>
      </c>
      <c r="O703" s="1" t="n">
        <f aca="false">IF($B703="",0,IF(AND(OR(Filter!$B$5="(alle)",$N703=Filter!$B$5),OR(Filter!$E$5="(alle)",$K703=Filter!$E$5),OR(Filter!$H$5="(alle)",$C703=Filter!$H$5),OR(Filter!$B$7="(alle)",$E703=Filter!$B$7),OR(Filter!$E$7="(alle)",ISNUMBER(SEARCH(Filter!$E$7,$J703))),OR(Filter!$H$7="(alle)",ISNUMBER(SEARCH(Filter!$H$7,$I703))),OR(Filter!$B$9="",ISNUMBER(SEARCH(Filter!$B$9,$F703&amp;" "&amp;$G703)))),COUNTIF($O$6:$O702,"&gt;0")+1,0))</f>
        <v>697</v>
      </c>
    </row>
    <row r="704" customFormat="false" ht="165.75" hidden="false" customHeight="true" outlineLevel="0" collapsed="false">
      <c r="B704" s="30" t="s">
        <v>3602</v>
      </c>
      <c r="C704" s="30" t="s">
        <v>286</v>
      </c>
      <c r="D704" s="30" t="s">
        <v>3603</v>
      </c>
      <c r="E704" s="30" t="s">
        <v>331</v>
      </c>
      <c r="F704" s="30" t="s">
        <v>3604</v>
      </c>
      <c r="G704" s="30" t="s">
        <v>3605</v>
      </c>
      <c r="H704" s="30" t="s">
        <v>3606</v>
      </c>
      <c r="I704" s="30" t="s">
        <v>306</v>
      </c>
      <c r="J704" s="30" t="s">
        <v>206</v>
      </c>
      <c r="K704" s="31" t="s">
        <v>151</v>
      </c>
      <c r="L704" s="32"/>
      <c r="M704" s="30" t="s">
        <v>370</v>
      </c>
      <c r="N704" s="30" t="s">
        <v>48</v>
      </c>
      <c r="O704" s="1" t="n">
        <f aca="false">IF($B704="",0,IF(AND(OR(Filter!$B$5="(alle)",$N704=Filter!$B$5),OR(Filter!$E$5="(alle)",$K704=Filter!$E$5),OR(Filter!$H$5="(alle)",$C704=Filter!$H$5),OR(Filter!$B$7="(alle)",$E704=Filter!$B$7),OR(Filter!$E$7="(alle)",ISNUMBER(SEARCH(Filter!$E$7,$J704))),OR(Filter!$H$7="(alle)",ISNUMBER(SEARCH(Filter!$H$7,$I704))),OR(Filter!$B$9="",ISNUMBER(SEARCH(Filter!$B$9,$F704&amp;" "&amp;$G704)))),COUNTIF($O$6:$O703,"&gt;0")+1,0))</f>
        <v>698</v>
      </c>
    </row>
    <row r="705" customFormat="false" ht="165.75" hidden="false" customHeight="true" outlineLevel="0" collapsed="false">
      <c r="B705" s="30" t="s">
        <v>3607</v>
      </c>
      <c r="C705" s="30" t="s">
        <v>286</v>
      </c>
      <c r="D705" s="30" t="s">
        <v>3608</v>
      </c>
      <c r="E705" s="30" t="s">
        <v>344</v>
      </c>
      <c r="F705" s="30" t="s">
        <v>3609</v>
      </c>
      <c r="G705" s="30" t="s">
        <v>3610</v>
      </c>
      <c r="H705" s="30" t="s">
        <v>3611</v>
      </c>
      <c r="I705" s="30" t="s">
        <v>306</v>
      </c>
      <c r="J705" s="30" t="s">
        <v>206</v>
      </c>
      <c r="K705" s="31" t="s">
        <v>47</v>
      </c>
      <c r="L705" s="32"/>
      <c r="M705" s="30"/>
      <c r="N705" s="30" t="s">
        <v>48</v>
      </c>
      <c r="O705" s="1" t="n">
        <f aca="false">IF($B705="",0,IF(AND(OR(Filter!$B$5="(alle)",$N705=Filter!$B$5),OR(Filter!$E$5="(alle)",$K705=Filter!$E$5),OR(Filter!$H$5="(alle)",$C705=Filter!$H$5),OR(Filter!$B$7="(alle)",$E705=Filter!$B$7),OR(Filter!$E$7="(alle)",ISNUMBER(SEARCH(Filter!$E$7,$J705))),OR(Filter!$H$7="(alle)",ISNUMBER(SEARCH(Filter!$H$7,$I705))),OR(Filter!$B$9="",ISNUMBER(SEARCH(Filter!$B$9,$F705&amp;" "&amp;$G705)))),COUNTIF($O$6:$O704,"&gt;0")+1,0))</f>
        <v>699</v>
      </c>
    </row>
    <row r="706" customFormat="false" ht="76.5" hidden="false" customHeight="true" outlineLevel="0" collapsed="false">
      <c r="B706" s="30" t="s">
        <v>3612</v>
      </c>
      <c r="C706" s="30" t="s">
        <v>286</v>
      </c>
      <c r="D706" s="30" t="s">
        <v>3613</v>
      </c>
      <c r="E706" s="30" t="s">
        <v>331</v>
      </c>
      <c r="F706" s="30" t="s">
        <v>3614</v>
      </c>
      <c r="G706" s="30" t="s">
        <v>3615</v>
      </c>
      <c r="H706" s="30" t="s">
        <v>3616</v>
      </c>
      <c r="I706" s="30" t="s">
        <v>306</v>
      </c>
      <c r="J706" s="30" t="s">
        <v>206</v>
      </c>
      <c r="K706" s="31" t="s">
        <v>151</v>
      </c>
      <c r="L706" s="32"/>
      <c r="M706" s="30" t="s">
        <v>629</v>
      </c>
      <c r="N706" s="30" t="s">
        <v>48</v>
      </c>
      <c r="O706" s="1" t="n">
        <f aca="false">IF($B706="",0,IF(AND(OR(Filter!$B$5="(alle)",$N706=Filter!$B$5),OR(Filter!$E$5="(alle)",$K706=Filter!$E$5),OR(Filter!$H$5="(alle)",$C706=Filter!$H$5),OR(Filter!$B$7="(alle)",$E706=Filter!$B$7),OR(Filter!$E$7="(alle)",ISNUMBER(SEARCH(Filter!$E$7,$J706))),OR(Filter!$H$7="(alle)",ISNUMBER(SEARCH(Filter!$H$7,$I706))),OR(Filter!$B$9="",ISNUMBER(SEARCH(Filter!$B$9,$F706&amp;" "&amp;$G706)))),COUNTIF($O$6:$O705,"&gt;0")+1,0))</f>
        <v>700</v>
      </c>
    </row>
    <row r="707" customFormat="false" ht="114.75" hidden="false" customHeight="true" outlineLevel="0" collapsed="false">
      <c r="B707" s="30" t="s">
        <v>3617</v>
      </c>
      <c r="C707" s="30" t="s">
        <v>286</v>
      </c>
      <c r="D707" s="30" t="s">
        <v>3618</v>
      </c>
      <c r="E707" s="30" t="s">
        <v>331</v>
      </c>
      <c r="F707" s="30" t="s">
        <v>3619</v>
      </c>
      <c r="G707" s="30" t="s">
        <v>3620</v>
      </c>
      <c r="H707" s="30" t="s">
        <v>3621</v>
      </c>
      <c r="I707" s="30" t="s">
        <v>306</v>
      </c>
      <c r="J707" s="30" t="s">
        <v>206</v>
      </c>
      <c r="K707" s="31" t="s">
        <v>151</v>
      </c>
      <c r="L707" s="32"/>
      <c r="M707" s="30" t="s">
        <v>370</v>
      </c>
      <c r="N707" s="30" t="s">
        <v>48</v>
      </c>
      <c r="O707" s="1" t="n">
        <f aca="false">IF($B707="",0,IF(AND(OR(Filter!$B$5="(alle)",$N707=Filter!$B$5),OR(Filter!$E$5="(alle)",$K707=Filter!$E$5),OR(Filter!$H$5="(alle)",$C707=Filter!$H$5),OR(Filter!$B$7="(alle)",$E707=Filter!$B$7),OR(Filter!$E$7="(alle)",ISNUMBER(SEARCH(Filter!$E$7,$J707))),OR(Filter!$H$7="(alle)",ISNUMBER(SEARCH(Filter!$H$7,$I707))),OR(Filter!$B$9="",ISNUMBER(SEARCH(Filter!$B$9,$F707&amp;" "&amp;$G707)))),COUNTIF($O$6:$O706,"&gt;0")+1,0))</f>
        <v>701</v>
      </c>
    </row>
    <row r="708" customFormat="false" ht="153" hidden="false" customHeight="true" outlineLevel="0" collapsed="false">
      <c r="B708" s="30" t="s">
        <v>3622</v>
      </c>
      <c r="C708" s="30" t="s">
        <v>286</v>
      </c>
      <c r="D708" s="30" t="s">
        <v>3623</v>
      </c>
      <c r="E708" s="30" t="s">
        <v>344</v>
      </c>
      <c r="F708" s="30" t="s">
        <v>3624</v>
      </c>
      <c r="G708" s="30" t="s">
        <v>3625</v>
      </c>
      <c r="H708" s="30" t="s">
        <v>3626</v>
      </c>
      <c r="I708" s="30" t="s">
        <v>306</v>
      </c>
      <c r="J708" s="30" t="s">
        <v>206</v>
      </c>
      <c r="K708" s="31" t="s">
        <v>47</v>
      </c>
      <c r="L708" s="32"/>
      <c r="M708" s="30"/>
      <c r="N708" s="30" t="s">
        <v>48</v>
      </c>
      <c r="O708" s="1" t="n">
        <f aca="false">IF($B708="",0,IF(AND(OR(Filter!$B$5="(alle)",$N708=Filter!$B$5),OR(Filter!$E$5="(alle)",$K708=Filter!$E$5),OR(Filter!$H$5="(alle)",$C708=Filter!$H$5),OR(Filter!$B$7="(alle)",$E708=Filter!$B$7),OR(Filter!$E$7="(alle)",ISNUMBER(SEARCH(Filter!$E$7,$J708))),OR(Filter!$H$7="(alle)",ISNUMBER(SEARCH(Filter!$H$7,$I708))),OR(Filter!$B$9="",ISNUMBER(SEARCH(Filter!$B$9,$F708&amp;" "&amp;$G708)))),COUNTIF($O$6:$O707,"&gt;0")+1,0))</f>
        <v>702</v>
      </c>
    </row>
    <row r="709" customFormat="false" ht="76.5" hidden="false" customHeight="true" outlineLevel="0" collapsed="false">
      <c r="B709" s="30" t="s">
        <v>3627</v>
      </c>
      <c r="C709" s="30" t="s">
        <v>286</v>
      </c>
      <c r="D709" s="30" t="s">
        <v>3628</v>
      </c>
      <c r="E709" s="30" t="s">
        <v>344</v>
      </c>
      <c r="F709" s="30" t="s">
        <v>3629</v>
      </c>
      <c r="G709" s="30" t="s">
        <v>3630</v>
      </c>
      <c r="H709" s="30" t="s">
        <v>3631</v>
      </c>
      <c r="I709" s="30" t="s">
        <v>306</v>
      </c>
      <c r="J709" s="30" t="s">
        <v>206</v>
      </c>
      <c r="K709" s="31" t="s">
        <v>47</v>
      </c>
      <c r="L709" s="32"/>
      <c r="M709" s="30"/>
      <c r="N709" s="30" t="s">
        <v>48</v>
      </c>
      <c r="O709" s="1" t="n">
        <f aca="false">IF($B709="",0,IF(AND(OR(Filter!$B$5="(alle)",$N709=Filter!$B$5),OR(Filter!$E$5="(alle)",$K709=Filter!$E$5),OR(Filter!$H$5="(alle)",$C709=Filter!$H$5),OR(Filter!$B$7="(alle)",$E709=Filter!$B$7),OR(Filter!$E$7="(alle)",ISNUMBER(SEARCH(Filter!$E$7,$J709))),OR(Filter!$H$7="(alle)",ISNUMBER(SEARCH(Filter!$H$7,$I709))),OR(Filter!$B$9="",ISNUMBER(SEARCH(Filter!$B$9,$F709&amp;" "&amp;$G709)))),COUNTIF($O$6:$O708,"&gt;0")+1,0))</f>
        <v>703</v>
      </c>
    </row>
    <row r="710" customFormat="false" ht="216.75" hidden="false" customHeight="true" outlineLevel="0" collapsed="false">
      <c r="B710" s="30" t="s">
        <v>3632</v>
      </c>
      <c r="C710" s="30" t="s">
        <v>286</v>
      </c>
      <c r="D710" s="30" t="s">
        <v>3633</v>
      </c>
      <c r="E710" s="30" t="s">
        <v>361</v>
      </c>
      <c r="F710" s="30" t="s">
        <v>3634</v>
      </c>
      <c r="G710" s="30" t="s">
        <v>3635</v>
      </c>
      <c r="H710" s="30" t="s">
        <v>3636</v>
      </c>
      <c r="I710" s="30" t="s">
        <v>306</v>
      </c>
      <c r="J710" s="30" t="s">
        <v>206</v>
      </c>
      <c r="K710" s="31" t="s">
        <v>47</v>
      </c>
      <c r="L710" s="32"/>
      <c r="M710" s="30"/>
      <c r="N710" s="30" t="s">
        <v>48</v>
      </c>
      <c r="O710" s="1" t="n">
        <f aca="false">IF($B710="",0,IF(AND(OR(Filter!$B$5="(alle)",$N710=Filter!$B$5),OR(Filter!$E$5="(alle)",$K710=Filter!$E$5),OR(Filter!$H$5="(alle)",$C710=Filter!$H$5),OR(Filter!$B$7="(alle)",$E710=Filter!$B$7),OR(Filter!$E$7="(alle)",ISNUMBER(SEARCH(Filter!$E$7,$J710))),OR(Filter!$H$7="(alle)",ISNUMBER(SEARCH(Filter!$H$7,$I710))),OR(Filter!$B$9="",ISNUMBER(SEARCH(Filter!$B$9,$F710&amp;" "&amp;$G710)))),COUNTIF($O$6:$O709,"&gt;0")+1,0))</f>
        <v>704</v>
      </c>
    </row>
    <row r="711" customFormat="false" ht="140.25" hidden="false" customHeight="true" outlineLevel="0" collapsed="false">
      <c r="B711" s="30" t="s">
        <v>3637</v>
      </c>
      <c r="C711" s="30" t="s">
        <v>286</v>
      </c>
      <c r="D711" s="30" t="s">
        <v>3638</v>
      </c>
      <c r="E711" s="30" t="s">
        <v>331</v>
      </c>
      <c r="F711" s="30" t="s">
        <v>3639</v>
      </c>
      <c r="G711" s="30" t="s">
        <v>3640</v>
      </c>
      <c r="H711" s="30" t="s">
        <v>3641</v>
      </c>
      <c r="I711" s="30" t="s">
        <v>306</v>
      </c>
      <c r="J711" s="30" t="s">
        <v>206</v>
      </c>
      <c r="K711" s="31" t="s">
        <v>151</v>
      </c>
      <c r="L711" s="32"/>
      <c r="M711" s="30" t="s">
        <v>370</v>
      </c>
      <c r="N711" s="30" t="s">
        <v>48</v>
      </c>
      <c r="O711" s="1" t="n">
        <f aca="false">IF($B711="",0,IF(AND(OR(Filter!$B$5="(alle)",$N711=Filter!$B$5),OR(Filter!$E$5="(alle)",$K711=Filter!$E$5),OR(Filter!$H$5="(alle)",$C711=Filter!$H$5),OR(Filter!$B$7="(alle)",$E711=Filter!$B$7),OR(Filter!$E$7="(alle)",ISNUMBER(SEARCH(Filter!$E$7,$J711))),OR(Filter!$H$7="(alle)",ISNUMBER(SEARCH(Filter!$H$7,$I711))),OR(Filter!$B$9="",ISNUMBER(SEARCH(Filter!$B$9,$F711&amp;" "&amp;$G711)))),COUNTIF($O$6:$O710,"&gt;0")+1,0))</f>
        <v>705</v>
      </c>
    </row>
    <row r="712" customFormat="false" ht="102" hidden="false" customHeight="true" outlineLevel="0" collapsed="false">
      <c r="B712" s="30" t="s">
        <v>3642</v>
      </c>
      <c r="C712" s="30" t="s">
        <v>286</v>
      </c>
      <c r="D712" s="30" t="s">
        <v>3643</v>
      </c>
      <c r="E712" s="30" t="s">
        <v>355</v>
      </c>
      <c r="F712" s="30" t="s">
        <v>3644</v>
      </c>
      <c r="G712" s="30" t="s">
        <v>3645</v>
      </c>
      <c r="H712" s="30" t="s">
        <v>3646</v>
      </c>
      <c r="I712" s="30" t="s">
        <v>306</v>
      </c>
      <c r="J712" s="30" t="s">
        <v>206</v>
      </c>
      <c r="K712" s="31" t="s">
        <v>47</v>
      </c>
      <c r="L712" s="32"/>
      <c r="M712" s="30"/>
      <c r="N712" s="30" t="s">
        <v>48</v>
      </c>
      <c r="O712" s="1" t="n">
        <f aca="false">IF($B712="",0,IF(AND(OR(Filter!$B$5="(alle)",$N712=Filter!$B$5),OR(Filter!$E$5="(alle)",$K712=Filter!$E$5),OR(Filter!$H$5="(alle)",$C712=Filter!$H$5),OR(Filter!$B$7="(alle)",$E712=Filter!$B$7),OR(Filter!$E$7="(alle)",ISNUMBER(SEARCH(Filter!$E$7,$J712))),OR(Filter!$H$7="(alle)",ISNUMBER(SEARCH(Filter!$H$7,$I712))),OR(Filter!$B$9="",ISNUMBER(SEARCH(Filter!$B$9,$F712&amp;" "&amp;$G712)))),COUNTIF($O$6:$O711,"&gt;0")+1,0))</f>
        <v>706</v>
      </c>
    </row>
    <row r="713" customFormat="false" ht="51" hidden="false" customHeight="true" outlineLevel="0" collapsed="false">
      <c r="B713" s="30" t="s">
        <v>3647</v>
      </c>
      <c r="C713" s="30" t="s">
        <v>40</v>
      </c>
      <c r="D713" s="30" t="s">
        <v>3648</v>
      </c>
      <c r="E713" s="30" t="s">
        <v>344</v>
      </c>
      <c r="F713" s="30" t="s">
        <v>3649</v>
      </c>
      <c r="G713" s="30" t="s">
        <v>3649</v>
      </c>
      <c r="H713" s="30" t="s">
        <v>3650</v>
      </c>
      <c r="I713" s="30" t="s">
        <v>306</v>
      </c>
      <c r="J713" s="30" t="s">
        <v>206</v>
      </c>
      <c r="K713" s="31" t="s">
        <v>47</v>
      </c>
      <c r="L713" s="32"/>
      <c r="M713" s="33"/>
      <c r="N713" s="30" t="s">
        <v>48</v>
      </c>
      <c r="O713" s="1" t="n">
        <f aca="false">IF($B713="",0,IF(AND(OR(Filter!$B$5="(alle)",$N713=Filter!$B$5),OR(Filter!$E$5="(alle)",$K713=Filter!$E$5),OR(Filter!$H$5="(alle)",$C713=Filter!$H$5),OR(Filter!$B$7="(alle)",$E713=Filter!$B$7),OR(Filter!$E$7="(alle)",ISNUMBER(SEARCH(Filter!$E$7,$J713))),OR(Filter!$H$7="(alle)",ISNUMBER(SEARCH(Filter!$H$7,$I713))),OR(Filter!$B$9="",ISNUMBER(SEARCH(Filter!$B$9,$F713&amp;" "&amp;$G713)))),COUNTIF($O$6:$O712,"&gt;0")+1,0))</f>
        <v>707</v>
      </c>
    </row>
    <row r="714" customFormat="false" ht="51" hidden="false" customHeight="true" outlineLevel="0" collapsed="false">
      <c r="B714" s="30" t="s">
        <v>3651</v>
      </c>
      <c r="C714" s="30" t="s">
        <v>40</v>
      </c>
      <c r="D714" s="30" t="s">
        <v>3652</v>
      </c>
      <c r="E714" s="30" t="s">
        <v>344</v>
      </c>
      <c r="F714" s="30" t="s">
        <v>3653</v>
      </c>
      <c r="G714" s="30" t="s">
        <v>3653</v>
      </c>
      <c r="H714" s="30" t="s">
        <v>3650</v>
      </c>
      <c r="I714" s="30" t="s">
        <v>306</v>
      </c>
      <c r="J714" s="30" t="s">
        <v>206</v>
      </c>
      <c r="K714" s="31" t="s">
        <v>47</v>
      </c>
      <c r="L714" s="32"/>
      <c r="M714" s="33"/>
      <c r="N714" s="30" t="s">
        <v>48</v>
      </c>
      <c r="O714" s="1" t="n">
        <f aca="false">IF($B714="",0,IF(AND(OR(Filter!$B$5="(alle)",$N714=Filter!$B$5),OR(Filter!$E$5="(alle)",$K714=Filter!$E$5),OR(Filter!$H$5="(alle)",$C714=Filter!$H$5),OR(Filter!$B$7="(alle)",$E714=Filter!$B$7),OR(Filter!$E$7="(alle)",ISNUMBER(SEARCH(Filter!$E$7,$J714))),OR(Filter!$H$7="(alle)",ISNUMBER(SEARCH(Filter!$H$7,$I714))),OR(Filter!$B$9="",ISNUMBER(SEARCH(Filter!$B$9,$F714&amp;" "&amp;$G714)))),COUNTIF($O$6:$O713,"&gt;0")+1,0))</f>
        <v>708</v>
      </c>
    </row>
    <row r="715" customFormat="false" ht="51" hidden="false" customHeight="true" outlineLevel="0" collapsed="false">
      <c r="B715" s="30" t="s">
        <v>3654</v>
      </c>
      <c r="C715" s="30" t="s">
        <v>40</v>
      </c>
      <c r="D715" s="30" t="s">
        <v>3655</v>
      </c>
      <c r="E715" s="30" t="s">
        <v>344</v>
      </c>
      <c r="F715" s="30" t="s">
        <v>3656</v>
      </c>
      <c r="G715" s="30" t="s">
        <v>3656</v>
      </c>
      <c r="H715" s="30" t="s">
        <v>3650</v>
      </c>
      <c r="I715" s="30" t="s">
        <v>306</v>
      </c>
      <c r="J715" s="30" t="s">
        <v>206</v>
      </c>
      <c r="K715" s="31" t="s">
        <v>47</v>
      </c>
      <c r="L715" s="32"/>
      <c r="M715" s="33"/>
      <c r="N715" s="30" t="s">
        <v>48</v>
      </c>
      <c r="O715" s="1" t="n">
        <f aca="false">IF($B715="",0,IF(AND(OR(Filter!$B$5="(alle)",$N715=Filter!$B$5),OR(Filter!$E$5="(alle)",$K715=Filter!$E$5),OR(Filter!$H$5="(alle)",$C715=Filter!$H$5),OR(Filter!$B$7="(alle)",$E715=Filter!$B$7),OR(Filter!$E$7="(alle)",ISNUMBER(SEARCH(Filter!$E$7,$J715))),OR(Filter!$H$7="(alle)",ISNUMBER(SEARCH(Filter!$H$7,$I715))),OR(Filter!$B$9="",ISNUMBER(SEARCH(Filter!$B$9,$F715&amp;" "&amp;$G715)))),COUNTIF($O$6:$O714,"&gt;0")+1,0))</f>
        <v>709</v>
      </c>
    </row>
    <row r="716" customFormat="false" ht="51" hidden="false" customHeight="true" outlineLevel="0" collapsed="false">
      <c r="B716" s="30" t="s">
        <v>3657</v>
      </c>
      <c r="C716" s="30" t="s">
        <v>40</v>
      </c>
      <c r="D716" s="30" t="s">
        <v>3658</v>
      </c>
      <c r="E716" s="30" t="s">
        <v>344</v>
      </c>
      <c r="F716" s="30" t="s">
        <v>3659</v>
      </c>
      <c r="G716" s="30" t="s">
        <v>3660</v>
      </c>
      <c r="H716" s="30" t="s">
        <v>3650</v>
      </c>
      <c r="I716" s="30" t="s">
        <v>306</v>
      </c>
      <c r="J716" s="30" t="s">
        <v>206</v>
      </c>
      <c r="K716" s="31" t="s">
        <v>47</v>
      </c>
      <c r="L716" s="32"/>
      <c r="M716" s="33"/>
      <c r="N716" s="30" t="s">
        <v>48</v>
      </c>
      <c r="O716" s="1" t="n">
        <f aca="false">IF($B716="",0,IF(AND(OR(Filter!$B$5="(alle)",$N716=Filter!$B$5),OR(Filter!$E$5="(alle)",$K716=Filter!$E$5),OR(Filter!$H$5="(alle)",$C716=Filter!$H$5),OR(Filter!$B$7="(alle)",$E716=Filter!$B$7),OR(Filter!$E$7="(alle)",ISNUMBER(SEARCH(Filter!$E$7,$J716))),OR(Filter!$H$7="(alle)",ISNUMBER(SEARCH(Filter!$H$7,$I716))),OR(Filter!$B$9="",ISNUMBER(SEARCH(Filter!$B$9,$F716&amp;" "&amp;$G716)))),COUNTIF($O$6:$O715,"&gt;0")+1,0))</f>
        <v>710</v>
      </c>
    </row>
    <row r="717" customFormat="false" ht="51" hidden="false" customHeight="true" outlineLevel="0" collapsed="false">
      <c r="B717" s="30" t="s">
        <v>3661</v>
      </c>
      <c r="C717" s="30" t="s">
        <v>40</v>
      </c>
      <c r="D717" s="30" t="s">
        <v>3662</v>
      </c>
      <c r="E717" s="30" t="s">
        <v>344</v>
      </c>
      <c r="F717" s="30" t="s">
        <v>3663</v>
      </c>
      <c r="G717" s="30" t="s">
        <v>3664</v>
      </c>
      <c r="H717" s="30" t="s">
        <v>3650</v>
      </c>
      <c r="I717" s="30" t="s">
        <v>306</v>
      </c>
      <c r="J717" s="30" t="s">
        <v>206</v>
      </c>
      <c r="K717" s="31" t="s">
        <v>47</v>
      </c>
      <c r="L717" s="32"/>
      <c r="M717" s="33"/>
      <c r="N717" s="30" t="s">
        <v>48</v>
      </c>
      <c r="O717" s="1" t="n">
        <f aca="false">IF($B717="",0,IF(AND(OR(Filter!$B$5="(alle)",$N717=Filter!$B$5),OR(Filter!$E$5="(alle)",$K717=Filter!$E$5),OR(Filter!$H$5="(alle)",$C717=Filter!$H$5),OR(Filter!$B$7="(alle)",$E717=Filter!$B$7),OR(Filter!$E$7="(alle)",ISNUMBER(SEARCH(Filter!$E$7,$J717))),OR(Filter!$H$7="(alle)",ISNUMBER(SEARCH(Filter!$H$7,$I717))),OR(Filter!$B$9="",ISNUMBER(SEARCH(Filter!$B$9,$F717&amp;" "&amp;$G717)))),COUNTIF($O$6:$O716,"&gt;0")+1,0))</f>
        <v>711</v>
      </c>
    </row>
    <row r="718" customFormat="false" ht="51" hidden="false" customHeight="true" outlineLevel="0" collapsed="false">
      <c r="B718" s="30" t="s">
        <v>3665</v>
      </c>
      <c r="C718" s="30" t="s">
        <v>40</v>
      </c>
      <c r="D718" s="30" t="s">
        <v>3666</v>
      </c>
      <c r="E718" s="30" t="s">
        <v>344</v>
      </c>
      <c r="F718" s="30" t="s">
        <v>3667</v>
      </c>
      <c r="G718" s="30" t="s">
        <v>3668</v>
      </c>
      <c r="H718" s="30" t="s">
        <v>3669</v>
      </c>
      <c r="I718" s="30" t="s">
        <v>306</v>
      </c>
      <c r="J718" s="30" t="s">
        <v>206</v>
      </c>
      <c r="K718" s="31" t="s">
        <v>47</v>
      </c>
      <c r="L718" s="32"/>
      <c r="M718" s="33"/>
      <c r="N718" s="30" t="s">
        <v>48</v>
      </c>
      <c r="O718" s="1" t="n">
        <f aca="false">IF($B718="",0,IF(AND(OR(Filter!$B$5="(alle)",$N718=Filter!$B$5),OR(Filter!$E$5="(alle)",$K718=Filter!$E$5),OR(Filter!$H$5="(alle)",$C718=Filter!$H$5),OR(Filter!$B$7="(alle)",$E718=Filter!$B$7),OR(Filter!$E$7="(alle)",ISNUMBER(SEARCH(Filter!$E$7,$J718))),OR(Filter!$H$7="(alle)",ISNUMBER(SEARCH(Filter!$H$7,$I718))),OR(Filter!$B$9="",ISNUMBER(SEARCH(Filter!$B$9,$F718&amp;" "&amp;$G718)))),COUNTIF($O$6:$O717,"&gt;0")+1,0))</f>
        <v>712</v>
      </c>
    </row>
    <row r="719" customFormat="false" ht="51" hidden="false" customHeight="true" outlineLevel="0" collapsed="false">
      <c r="B719" s="30" t="s">
        <v>3670</v>
      </c>
      <c r="C719" s="30" t="s">
        <v>40</v>
      </c>
      <c r="D719" s="30" t="s">
        <v>3671</v>
      </c>
      <c r="E719" s="30" t="s">
        <v>344</v>
      </c>
      <c r="F719" s="30" t="s">
        <v>3672</v>
      </c>
      <c r="G719" s="30" t="s">
        <v>3672</v>
      </c>
      <c r="H719" s="30" t="s">
        <v>3673</v>
      </c>
      <c r="I719" s="30" t="s">
        <v>306</v>
      </c>
      <c r="J719" s="30" t="s">
        <v>206</v>
      </c>
      <c r="K719" s="31" t="s">
        <v>47</v>
      </c>
      <c r="L719" s="32"/>
      <c r="M719" s="33"/>
      <c r="N719" s="30" t="s">
        <v>48</v>
      </c>
      <c r="O719" s="1" t="n">
        <f aca="false">IF($B719="",0,IF(AND(OR(Filter!$B$5="(alle)",$N719=Filter!$B$5),OR(Filter!$E$5="(alle)",$K719=Filter!$E$5),OR(Filter!$H$5="(alle)",$C719=Filter!$H$5),OR(Filter!$B$7="(alle)",$E719=Filter!$B$7),OR(Filter!$E$7="(alle)",ISNUMBER(SEARCH(Filter!$E$7,$J719))),OR(Filter!$H$7="(alle)",ISNUMBER(SEARCH(Filter!$H$7,$I719))),OR(Filter!$B$9="",ISNUMBER(SEARCH(Filter!$B$9,$F719&amp;" "&amp;$G719)))),COUNTIF($O$6:$O718,"&gt;0")+1,0))</f>
        <v>713</v>
      </c>
    </row>
    <row r="720" customFormat="false" ht="51" hidden="false" customHeight="true" outlineLevel="0" collapsed="false">
      <c r="B720" s="30" t="s">
        <v>3674</v>
      </c>
      <c r="C720" s="30" t="s">
        <v>40</v>
      </c>
      <c r="D720" s="30" t="s">
        <v>3675</v>
      </c>
      <c r="E720" s="30" t="s">
        <v>155</v>
      </c>
      <c r="F720" s="30" t="s">
        <v>3676</v>
      </c>
      <c r="G720" s="30" t="s">
        <v>3677</v>
      </c>
      <c r="H720" s="30" t="s">
        <v>3678</v>
      </c>
      <c r="I720" s="30" t="s">
        <v>476</v>
      </c>
      <c r="J720" s="30" t="s">
        <v>476</v>
      </c>
      <c r="K720" s="31" t="s">
        <v>47</v>
      </c>
      <c r="L720" s="32"/>
      <c r="M720" s="33"/>
      <c r="N720" s="30" t="s">
        <v>48</v>
      </c>
      <c r="O720" s="1" t="n">
        <f aca="false">IF($B720="",0,IF(AND(OR(Filter!$B$5="(alle)",$N720=Filter!$B$5),OR(Filter!$E$5="(alle)",$K720=Filter!$E$5),OR(Filter!$H$5="(alle)",$C720=Filter!$H$5),OR(Filter!$B$7="(alle)",$E720=Filter!$B$7),OR(Filter!$E$7="(alle)",ISNUMBER(SEARCH(Filter!$E$7,$J720))),OR(Filter!$H$7="(alle)",ISNUMBER(SEARCH(Filter!$H$7,$I720))),OR(Filter!$B$9="",ISNUMBER(SEARCH(Filter!$B$9,$F720&amp;" "&amp;$G720)))),COUNTIF($O$6:$O719,"&gt;0")+1,0))</f>
        <v>714</v>
      </c>
    </row>
    <row r="721" customFormat="false" ht="51" hidden="false" customHeight="true" outlineLevel="0" collapsed="false">
      <c r="B721" s="30" t="s">
        <v>3679</v>
      </c>
      <c r="C721" s="30" t="s">
        <v>40</v>
      </c>
      <c r="D721" s="30" t="s">
        <v>3680</v>
      </c>
      <c r="E721" s="30" t="s">
        <v>94</v>
      </c>
      <c r="F721" s="30" t="s">
        <v>3681</v>
      </c>
      <c r="G721" s="30" t="s">
        <v>3682</v>
      </c>
      <c r="H721" s="30" t="s">
        <v>3673</v>
      </c>
      <c r="I721" s="30" t="s">
        <v>45</v>
      </c>
      <c r="J721" s="30" t="s">
        <v>265</v>
      </c>
      <c r="K721" s="31" t="s">
        <v>47</v>
      </c>
      <c r="L721" s="32"/>
      <c r="M721" s="33"/>
      <c r="N721" s="30" t="s">
        <v>48</v>
      </c>
      <c r="O721" s="1" t="n">
        <f aca="false">IF($B721="",0,IF(AND(OR(Filter!$B$5="(alle)",$N721=Filter!$B$5),OR(Filter!$E$5="(alle)",$K721=Filter!$E$5),OR(Filter!$H$5="(alle)",$C721=Filter!$H$5),OR(Filter!$B$7="(alle)",$E721=Filter!$B$7),OR(Filter!$E$7="(alle)",ISNUMBER(SEARCH(Filter!$E$7,$J721))),OR(Filter!$H$7="(alle)",ISNUMBER(SEARCH(Filter!$H$7,$I721))),OR(Filter!$B$9="",ISNUMBER(SEARCH(Filter!$B$9,$F721&amp;" "&amp;$G721)))),COUNTIF($O$6:$O720,"&gt;0")+1,0))</f>
        <v>715</v>
      </c>
    </row>
    <row r="722" customFormat="false" ht="51" hidden="false" customHeight="true" outlineLevel="0" collapsed="false">
      <c r="B722" s="30" t="s">
        <v>3683</v>
      </c>
      <c r="C722" s="30" t="s">
        <v>40</v>
      </c>
      <c r="D722" s="30" t="s">
        <v>3684</v>
      </c>
      <c r="E722" s="30" t="s">
        <v>344</v>
      </c>
      <c r="F722" s="30" t="s">
        <v>3685</v>
      </c>
      <c r="G722" s="30" t="s">
        <v>3685</v>
      </c>
      <c r="H722" s="30" t="s">
        <v>3673</v>
      </c>
      <c r="I722" s="30" t="s">
        <v>306</v>
      </c>
      <c r="J722" s="30" t="s">
        <v>206</v>
      </c>
      <c r="K722" s="31" t="s">
        <v>47</v>
      </c>
      <c r="L722" s="32"/>
      <c r="M722" s="33"/>
      <c r="N722" s="30" t="s">
        <v>48</v>
      </c>
      <c r="O722" s="1" t="n">
        <f aca="false">IF($B722="",0,IF(AND(OR(Filter!$B$5="(alle)",$N722=Filter!$B$5),OR(Filter!$E$5="(alle)",$K722=Filter!$E$5),OR(Filter!$H$5="(alle)",$C722=Filter!$H$5),OR(Filter!$B$7="(alle)",$E722=Filter!$B$7),OR(Filter!$E$7="(alle)",ISNUMBER(SEARCH(Filter!$E$7,$J722))),OR(Filter!$H$7="(alle)",ISNUMBER(SEARCH(Filter!$H$7,$I722))),OR(Filter!$B$9="",ISNUMBER(SEARCH(Filter!$B$9,$F722&amp;" "&amp;$G722)))),COUNTIF($O$6:$O721,"&gt;0")+1,0))</f>
        <v>716</v>
      </c>
    </row>
    <row r="723" customFormat="false" ht="51" hidden="false" customHeight="true" outlineLevel="0" collapsed="false">
      <c r="B723" s="30" t="s">
        <v>3686</v>
      </c>
      <c r="C723" s="30" t="s">
        <v>40</v>
      </c>
      <c r="D723" s="30" t="s">
        <v>3687</v>
      </c>
      <c r="E723" s="30" t="s">
        <v>344</v>
      </c>
      <c r="F723" s="30" t="s">
        <v>3688</v>
      </c>
      <c r="G723" s="30" t="s">
        <v>3688</v>
      </c>
      <c r="H723" s="30" t="s">
        <v>3673</v>
      </c>
      <c r="I723" s="30" t="s">
        <v>306</v>
      </c>
      <c r="J723" s="30" t="s">
        <v>206</v>
      </c>
      <c r="K723" s="31" t="s">
        <v>47</v>
      </c>
      <c r="L723" s="32"/>
      <c r="M723" s="33"/>
      <c r="N723" s="30" t="s">
        <v>48</v>
      </c>
      <c r="O723" s="1" t="n">
        <f aca="false">IF($B723="",0,IF(AND(OR(Filter!$B$5="(alle)",$N723=Filter!$B$5),OR(Filter!$E$5="(alle)",$K723=Filter!$E$5),OR(Filter!$H$5="(alle)",$C723=Filter!$H$5),OR(Filter!$B$7="(alle)",$E723=Filter!$B$7),OR(Filter!$E$7="(alle)",ISNUMBER(SEARCH(Filter!$E$7,$J723))),OR(Filter!$H$7="(alle)",ISNUMBER(SEARCH(Filter!$H$7,$I723))),OR(Filter!$B$9="",ISNUMBER(SEARCH(Filter!$B$9,$F723&amp;" "&amp;$G723)))),COUNTIF($O$6:$O722,"&gt;0")+1,0))</f>
        <v>717</v>
      </c>
    </row>
    <row r="724" customFormat="false" ht="51" hidden="false" customHeight="true" outlineLevel="0" collapsed="false">
      <c r="B724" s="30" t="s">
        <v>3689</v>
      </c>
      <c r="C724" s="30" t="s">
        <v>40</v>
      </c>
      <c r="D724" s="30" t="s">
        <v>3690</v>
      </c>
      <c r="E724" s="30" t="s">
        <v>344</v>
      </c>
      <c r="F724" s="30" t="s">
        <v>3691</v>
      </c>
      <c r="G724" s="30" t="s">
        <v>3691</v>
      </c>
      <c r="H724" s="30" t="s">
        <v>3673</v>
      </c>
      <c r="I724" s="30" t="s">
        <v>306</v>
      </c>
      <c r="J724" s="30" t="s">
        <v>206</v>
      </c>
      <c r="K724" s="31" t="s">
        <v>47</v>
      </c>
      <c r="L724" s="32"/>
      <c r="M724" s="33"/>
      <c r="N724" s="30" t="s">
        <v>48</v>
      </c>
      <c r="O724" s="1" t="n">
        <f aca="false">IF($B724="",0,IF(AND(OR(Filter!$B$5="(alle)",$N724=Filter!$B$5),OR(Filter!$E$5="(alle)",$K724=Filter!$E$5),OR(Filter!$H$5="(alle)",$C724=Filter!$H$5),OR(Filter!$B$7="(alle)",$E724=Filter!$B$7),OR(Filter!$E$7="(alle)",ISNUMBER(SEARCH(Filter!$E$7,$J724))),OR(Filter!$H$7="(alle)",ISNUMBER(SEARCH(Filter!$H$7,$I724))),OR(Filter!$B$9="",ISNUMBER(SEARCH(Filter!$B$9,$F724&amp;" "&amp;$G724)))),COUNTIF($O$6:$O723,"&gt;0")+1,0))</f>
        <v>718</v>
      </c>
    </row>
    <row r="725" customFormat="false" ht="51" hidden="false" customHeight="true" outlineLevel="0" collapsed="false">
      <c r="B725" s="30" t="s">
        <v>3692</v>
      </c>
      <c r="C725" s="30" t="s">
        <v>40</v>
      </c>
      <c r="D725" s="30" t="s">
        <v>3693</v>
      </c>
      <c r="E725" s="30" t="s">
        <v>344</v>
      </c>
      <c r="F725" s="30" t="s">
        <v>3694</v>
      </c>
      <c r="G725" s="30" t="s">
        <v>3695</v>
      </c>
      <c r="H725" s="30" t="s">
        <v>3673</v>
      </c>
      <c r="I725" s="30" t="s">
        <v>306</v>
      </c>
      <c r="J725" s="30" t="s">
        <v>206</v>
      </c>
      <c r="K725" s="31" t="s">
        <v>47</v>
      </c>
      <c r="L725" s="32"/>
      <c r="M725" s="33"/>
      <c r="N725" s="30" t="s">
        <v>48</v>
      </c>
      <c r="O725" s="1" t="n">
        <f aca="false">IF($B725="",0,IF(AND(OR(Filter!$B$5="(alle)",$N725=Filter!$B$5),OR(Filter!$E$5="(alle)",$K725=Filter!$E$5),OR(Filter!$H$5="(alle)",$C725=Filter!$H$5),OR(Filter!$B$7="(alle)",$E725=Filter!$B$7),OR(Filter!$E$7="(alle)",ISNUMBER(SEARCH(Filter!$E$7,$J725))),OR(Filter!$H$7="(alle)",ISNUMBER(SEARCH(Filter!$H$7,$I725))),OR(Filter!$B$9="",ISNUMBER(SEARCH(Filter!$B$9,$F725&amp;" "&amp;$G725)))),COUNTIF($O$6:$O724,"&gt;0")+1,0))</f>
        <v>719</v>
      </c>
    </row>
    <row r="726" customFormat="false" ht="51" hidden="false" customHeight="true" outlineLevel="0" collapsed="false">
      <c r="B726" s="30" t="s">
        <v>3696</v>
      </c>
      <c r="C726" s="30" t="s">
        <v>40</v>
      </c>
      <c r="D726" s="30" t="s">
        <v>3697</v>
      </c>
      <c r="E726" s="30" t="s">
        <v>604</v>
      </c>
      <c r="F726" s="30" t="s">
        <v>3698</v>
      </c>
      <c r="G726" s="30" t="s">
        <v>3698</v>
      </c>
      <c r="H726" s="30" t="s">
        <v>3699</v>
      </c>
      <c r="I726" s="30" t="s">
        <v>3700</v>
      </c>
      <c r="J726" s="30" t="s">
        <v>159</v>
      </c>
      <c r="K726" s="31" t="s">
        <v>151</v>
      </c>
      <c r="L726" s="32"/>
      <c r="M726" s="33" t="s">
        <v>3701</v>
      </c>
      <c r="N726" s="30" t="s">
        <v>48</v>
      </c>
      <c r="O726" s="1" t="n">
        <f aca="false">IF($B726="",0,IF(AND(OR(Filter!$B$5="(alle)",$N726=Filter!$B$5),OR(Filter!$E$5="(alle)",$K726=Filter!$E$5),OR(Filter!$H$5="(alle)",$C726=Filter!$H$5),OR(Filter!$B$7="(alle)",$E726=Filter!$B$7),OR(Filter!$E$7="(alle)",ISNUMBER(SEARCH(Filter!$E$7,$J726))),OR(Filter!$H$7="(alle)",ISNUMBER(SEARCH(Filter!$H$7,$I726))),OR(Filter!$B$9="",ISNUMBER(SEARCH(Filter!$B$9,$F726&amp;" "&amp;$G726)))),COUNTIF($O$6:$O725,"&gt;0")+1,0))</f>
        <v>720</v>
      </c>
    </row>
    <row r="727" customFormat="false" ht="51" hidden="false" customHeight="true" outlineLevel="0" collapsed="false">
      <c r="B727" s="30" t="s">
        <v>3702</v>
      </c>
      <c r="C727" s="30" t="s">
        <v>40</v>
      </c>
      <c r="D727" s="30" t="s">
        <v>3703</v>
      </c>
      <c r="E727" s="30" t="s">
        <v>94</v>
      </c>
      <c r="F727" s="30" t="s">
        <v>3704</v>
      </c>
      <c r="G727" s="30" t="s">
        <v>3705</v>
      </c>
      <c r="H727" s="30" t="s">
        <v>3699</v>
      </c>
      <c r="I727" s="30" t="s">
        <v>45</v>
      </c>
      <c r="J727" s="30" t="s">
        <v>265</v>
      </c>
      <c r="K727" s="31" t="s">
        <v>151</v>
      </c>
      <c r="L727" s="32"/>
      <c r="M727" s="33" t="s">
        <v>3701</v>
      </c>
      <c r="N727" s="30" t="s">
        <v>48</v>
      </c>
      <c r="O727" s="1" t="n">
        <f aca="false">IF($B727="",0,IF(AND(OR(Filter!$B$5="(alle)",$N727=Filter!$B$5),OR(Filter!$E$5="(alle)",$K727=Filter!$E$5),OR(Filter!$H$5="(alle)",$C727=Filter!$H$5),OR(Filter!$B$7="(alle)",$E727=Filter!$B$7),OR(Filter!$E$7="(alle)",ISNUMBER(SEARCH(Filter!$E$7,$J727))),OR(Filter!$H$7="(alle)",ISNUMBER(SEARCH(Filter!$H$7,$I727))),OR(Filter!$B$9="",ISNUMBER(SEARCH(Filter!$B$9,$F727&amp;" "&amp;$G727)))),COUNTIF($O$6:$O726,"&gt;0")+1,0))</f>
        <v>721</v>
      </c>
    </row>
    <row r="728" customFormat="false" ht="51" hidden="false" customHeight="true" outlineLevel="0" collapsed="false">
      <c r="B728" s="30" t="s">
        <v>3706</v>
      </c>
      <c r="C728" s="30" t="s">
        <v>40</v>
      </c>
      <c r="D728" s="30" t="s">
        <v>3707</v>
      </c>
      <c r="E728" s="30" t="s">
        <v>102</v>
      </c>
      <c r="F728" s="30" t="s">
        <v>3708</v>
      </c>
      <c r="G728" s="30" t="s">
        <v>3708</v>
      </c>
      <c r="H728" s="30" t="s">
        <v>3699</v>
      </c>
      <c r="I728" s="30" t="s">
        <v>45</v>
      </c>
      <c r="J728" s="30" t="s">
        <v>70</v>
      </c>
      <c r="K728" s="31" t="s">
        <v>151</v>
      </c>
      <c r="L728" s="32"/>
      <c r="M728" s="33" t="s">
        <v>3701</v>
      </c>
      <c r="N728" s="30" t="s">
        <v>48</v>
      </c>
      <c r="O728" s="1" t="n">
        <f aca="false">IF($B728="",0,IF(AND(OR(Filter!$B$5="(alle)",$N728=Filter!$B$5),OR(Filter!$E$5="(alle)",$K728=Filter!$E$5),OR(Filter!$H$5="(alle)",$C728=Filter!$H$5),OR(Filter!$B$7="(alle)",$E728=Filter!$B$7),OR(Filter!$E$7="(alle)",ISNUMBER(SEARCH(Filter!$E$7,$J728))),OR(Filter!$H$7="(alle)",ISNUMBER(SEARCH(Filter!$H$7,$I728))),OR(Filter!$B$9="",ISNUMBER(SEARCH(Filter!$B$9,$F728&amp;" "&amp;$G728)))),COUNTIF($O$6:$O727,"&gt;0")+1,0))</f>
        <v>722</v>
      </c>
    </row>
    <row r="729" customFormat="false" ht="51" hidden="false" customHeight="true" outlineLevel="0" collapsed="false">
      <c r="B729" s="30" t="s">
        <v>3709</v>
      </c>
      <c r="C729" s="30" t="s">
        <v>40</v>
      </c>
      <c r="D729" s="30" t="s">
        <v>3710</v>
      </c>
      <c r="E729" s="30" t="s">
        <v>547</v>
      </c>
      <c r="F729" s="30" t="s">
        <v>3711</v>
      </c>
      <c r="G729" s="30" t="s">
        <v>3711</v>
      </c>
      <c r="H729" s="30" t="s">
        <v>3712</v>
      </c>
      <c r="I729" s="30" t="s">
        <v>476</v>
      </c>
      <c r="J729" s="30" t="s">
        <v>476</v>
      </c>
      <c r="K729" s="31" t="s">
        <v>151</v>
      </c>
      <c r="L729" s="32"/>
      <c r="M729" s="33" t="s">
        <v>3701</v>
      </c>
      <c r="N729" s="30" t="s">
        <v>48</v>
      </c>
      <c r="O729" s="1" t="n">
        <f aca="false">IF($B729="",0,IF(AND(OR(Filter!$B$5="(alle)",$N729=Filter!$B$5),OR(Filter!$E$5="(alle)",$K729=Filter!$E$5),OR(Filter!$H$5="(alle)",$C729=Filter!$H$5),OR(Filter!$B$7="(alle)",$E729=Filter!$B$7),OR(Filter!$E$7="(alle)",ISNUMBER(SEARCH(Filter!$E$7,$J729))),OR(Filter!$H$7="(alle)",ISNUMBER(SEARCH(Filter!$H$7,$I729))),OR(Filter!$B$9="",ISNUMBER(SEARCH(Filter!$B$9,$F729&amp;" "&amp;$G729)))),COUNTIF($O$6:$O728,"&gt;0")+1,0))</f>
        <v>723</v>
      </c>
    </row>
    <row r="730" customFormat="false" ht="51" hidden="false" customHeight="true" outlineLevel="0" collapsed="false">
      <c r="B730" s="30" t="s">
        <v>3713</v>
      </c>
      <c r="C730" s="30" t="s">
        <v>40</v>
      </c>
      <c r="D730" s="30" t="s">
        <v>3714</v>
      </c>
      <c r="E730" s="30" t="s">
        <v>547</v>
      </c>
      <c r="F730" s="30" t="s">
        <v>3715</v>
      </c>
      <c r="G730" s="30" t="s">
        <v>3715</v>
      </c>
      <c r="H730" s="30" t="s">
        <v>3712</v>
      </c>
      <c r="I730" s="30" t="s">
        <v>476</v>
      </c>
      <c r="J730" s="30" t="s">
        <v>476</v>
      </c>
      <c r="K730" s="31" t="s">
        <v>151</v>
      </c>
      <c r="L730" s="32"/>
      <c r="M730" s="33" t="s">
        <v>3701</v>
      </c>
      <c r="N730" s="30" t="s">
        <v>48</v>
      </c>
      <c r="O730" s="1" t="n">
        <f aca="false">IF($B730="",0,IF(AND(OR(Filter!$B$5="(alle)",$N730=Filter!$B$5),OR(Filter!$E$5="(alle)",$K730=Filter!$E$5),OR(Filter!$H$5="(alle)",$C730=Filter!$H$5),OR(Filter!$B$7="(alle)",$E730=Filter!$B$7),OR(Filter!$E$7="(alle)",ISNUMBER(SEARCH(Filter!$E$7,$J730))),OR(Filter!$H$7="(alle)",ISNUMBER(SEARCH(Filter!$H$7,$I730))),OR(Filter!$B$9="",ISNUMBER(SEARCH(Filter!$B$9,$F730&amp;" "&amp;$G730)))),COUNTIF($O$6:$O729,"&gt;0")+1,0))</f>
        <v>724</v>
      </c>
    </row>
    <row r="731" customFormat="false" ht="51" hidden="false" customHeight="true" outlineLevel="0" collapsed="false">
      <c r="B731" s="30" t="s">
        <v>3716</v>
      </c>
      <c r="C731" s="30" t="s">
        <v>40</v>
      </c>
      <c r="D731" s="30" t="s">
        <v>3717</v>
      </c>
      <c r="E731" s="30" t="s">
        <v>604</v>
      </c>
      <c r="F731" s="30" t="s">
        <v>3718</v>
      </c>
      <c r="G731" s="30" t="s">
        <v>3719</v>
      </c>
      <c r="H731" s="30" t="s">
        <v>3699</v>
      </c>
      <c r="I731" s="30" t="s">
        <v>3700</v>
      </c>
      <c r="J731" s="30" t="s">
        <v>159</v>
      </c>
      <c r="K731" s="31" t="s">
        <v>151</v>
      </c>
      <c r="L731" s="32"/>
      <c r="M731" s="33" t="s">
        <v>3701</v>
      </c>
      <c r="N731" s="30" t="s">
        <v>48</v>
      </c>
      <c r="O731" s="1" t="n">
        <f aca="false">IF($B731="",0,IF(AND(OR(Filter!$B$5="(alle)",$N731=Filter!$B$5),OR(Filter!$E$5="(alle)",$K731=Filter!$E$5),OR(Filter!$H$5="(alle)",$C731=Filter!$H$5),OR(Filter!$B$7="(alle)",$E731=Filter!$B$7),OR(Filter!$E$7="(alle)",ISNUMBER(SEARCH(Filter!$E$7,$J731))),OR(Filter!$H$7="(alle)",ISNUMBER(SEARCH(Filter!$H$7,$I731))),OR(Filter!$B$9="",ISNUMBER(SEARCH(Filter!$B$9,$F731&amp;" "&amp;$G731)))),COUNTIF($O$6:$O730,"&gt;0")+1,0))</f>
        <v>725</v>
      </c>
    </row>
    <row r="732" customFormat="false" ht="51" hidden="false" customHeight="true" outlineLevel="0" collapsed="false">
      <c r="B732" s="30" t="s">
        <v>3720</v>
      </c>
      <c r="C732" s="30" t="s">
        <v>40</v>
      </c>
      <c r="D732" s="30" t="s">
        <v>3721</v>
      </c>
      <c r="E732" s="30" t="s">
        <v>547</v>
      </c>
      <c r="F732" s="30" t="s">
        <v>3722</v>
      </c>
      <c r="G732" s="30" t="s">
        <v>3723</v>
      </c>
      <c r="H732" s="30" t="s">
        <v>3712</v>
      </c>
      <c r="I732" s="30" t="s">
        <v>476</v>
      </c>
      <c r="J732" s="30" t="s">
        <v>476</v>
      </c>
      <c r="K732" s="31" t="s">
        <v>151</v>
      </c>
      <c r="L732" s="32"/>
      <c r="M732" s="33" t="s">
        <v>3701</v>
      </c>
      <c r="N732" s="30" t="s">
        <v>48</v>
      </c>
      <c r="O732" s="1" t="n">
        <f aca="false">IF($B732="",0,IF(AND(OR(Filter!$B$5="(alle)",$N732=Filter!$B$5),OR(Filter!$E$5="(alle)",$K732=Filter!$E$5),OR(Filter!$H$5="(alle)",$C732=Filter!$H$5),OR(Filter!$B$7="(alle)",$E732=Filter!$B$7),OR(Filter!$E$7="(alle)",ISNUMBER(SEARCH(Filter!$E$7,$J732))),OR(Filter!$H$7="(alle)",ISNUMBER(SEARCH(Filter!$H$7,$I732))),OR(Filter!$B$9="",ISNUMBER(SEARCH(Filter!$B$9,$F732&amp;" "&amp;$G732)))),COUNTIF($O$6:$O731,"&gt;0")+1,0))</f>
        <v>726</v>
      </c>
    </row>
    <row r="733" customFormat="false" ht="51" hidden="false" customHeight="true" outlineLevel="0" collapsed="false">
      <c r="B733" s="30" t="s">
        <v>3724</v>
      </c>
      <c r="C733" s="30" t="s">
        <v>40</v>
      </c>
      <c r="D733" s="30" t="s">
        <v>3725</v>
      </c>
      <c r="E733" s="30" t="s">
        <v>210</v>
      </c>
      <c r="F733" s="30" t="s">
        <v>3726</v>
      </c>
      <c r="G733" s="30" t="s">
        <v>3726</v>
      </c>
      <c r="H733" s="30" t="s">
        <v>3699</v>
      </c>
      <c r="I733" s="30" t="s">
        <v>306</v>
      </c>
      <c r="J733" s="30" t="s">
        <v>206</v>
      </c>
      <c r="K733" s="31" t="s">
        <v>151</v>
      </c>
      <c r="L733" s="32"/>
      <c r="M733" s="33" t="s">
        <v>3701</v>
      </c>
      <c r="N733" s="30" t="s">
        <v>48</v>
      </c>
      <c r="O733" s="1" t="n">
        <f aca="false">IF($B733="",0,IF(AND(OR(Filter!$B$5="(alle)",$N733=Filter!$B$5),OR(Filter!$E$5="(alle)",$K733=Filter!$E$5),OR(Filter!$H$5="(alle)",$C733=Filter!$H$5),OR(Filter!$B$7="(alle)",$E733=Filter!$B$7),OR(Filter!$E$7="(alle)",ISNUMBER(SEARCH(Filter!$E$7,$J733))),OR(Filter!$H$7="(alle)",ISNUMBER(SEARCH(Filter!$H$7,$I733))),OR(Filter!$B$9="",ISNUMBER(SEARCH(Filter!$B$9,$F733&amp;" "&amp;$G733)))),COUNTIF($O$6:$O732,"&gt;0")+1,0))</f>
        <v>727</v>
      </c>
    </row>
    <row r="734" customFormat="false" ht="51" hidden="false" customHeight="true" outlineLevel="0" collapsed="false">
      <c r="B734" s="30" t="s">
        <v>3727</v>
      </c>
      <c r="C734" s="30" t="s">
        <v>40</v>
      </c>
      <c r="D734" s="30" t="s">
        <v>3728</v>
      </c>
      <c r="E734" s="30" t="s">
        <v>547</v>
      </c>
      <c r="F734" s="30" t="s">
        <v>3729</v>
      </c>
      <c r="G734" s="30" t="s">
        <v>3730</v>
      </c>
      <c r="H734" s="30" t="s">
        <v>3712</v>
      </c>
      <c r="I734" s="30" t="s">
        <v>476</v>
      </c>
      <c r="J734" s="30" t="s">
        <v>476</v>
      </c>
      <c r="K734" s="31" t="s">
        <v>151</v>
      </c>
      <c r="L734" s="32"/>
      <c r="M734" s="33" t="s">
        <v>3701</v>
      </c>
      <c r="N734" s="30" t="s">
        <v>48</v>
      </c>
      <c r="O734" s="1" t="n">
        <f aca="false">IF($B734="",0,IF(AND(OR(Filter!$B$5="(alle)",$N734=Filter!$B$5),OR(Filter!$E$5="(alle)",$K734=Filter!$E$5),OR(Filter!$H$5="(alle)",$C734=Filter!$H$5),OR(Filter!$B$7="(alle)",$E734=Filter!$B$7),OR(Filter!$E$7="(alle)",ISNUMBER(SEARCH(Filter!$E$7,$J734))),OR(Filter!$H$7="(alle)",ISNUMBER(SEARCH(Filter!$H$7,$I734))),OR(Filter!$B$9="",ISNUMBER(SEARCH(Filter!$B$9,$F734&amp;" "&amp;$G734)))),COUNTIF($O$6:$O733,"&gt;0")+1,0))</f>
        <v>728</v>
      </c>
    </row>
    <row r="735" customFormat="false" ht="51" hidden="false" customHeight="true" outlineLevel="0" collapsed="false">
      <c r="B735" s="30" t="s">
        <v>3731</v>
      </c>
      <c r="C735" s="30" t="s">
        <v>40</v>
      </c>
      <c r="D735" s="30" t="s">
        <v>3732</v>
      </c>
      <c r="E735" s="30" t="s">
        <v>604</v>
      </c>
      <c r="F735" s="30" t="s">
        <v>3733</v>
      </c>
      <c r="G735" s="30" t="s">
        <v>3733</v>
      </c>
      <c r="H735" s="30" t="s">
        <v>3699</v>
      </c>
      <c r="I735" s="30" t="s">
        <v>3700</v>
      </c>
      <c r="J735" s="30" t="s">
        <v>159</v>
      </c>
      <c r="K735" s="31" t="s">
        <v>151</v>
      </c>
      <c r="L735" s="32"/>
      <c r="M735" s="33" t="s">
        <v>3701</v>
      </c>
      <c r="N735" s="30" t="s">
        <v>48</v>
      </c>
      <c r="O735" s="1" t="n">
        <f aca="false">IF($B735="",0,IF(AND(OR(Filter!$B$5="(alle)",$N735=Filter!$B$5),OR(Filter!$E$5="(alle)",$K735=Filter!$E$5),OR(Filter!$H$5="(alle)",$C735=Filter!$H$5),OR(Filter!$B$7="(alle)",$E735=Filter!$B$7),OR(Filter!$E$7="(alle)",ISNUMBER(SEARCH(Filter!$E$7,$J735))),OR(Filter!$H$7="(alle)",ISNUMBER(SEARCH(Filter!$H$7,$I735))),OR(Filter!$B$9="",ISNUMBER(SEARCH(Filter!$B$9,$F735&amp;" "&amp;$G735)))),COUNTIF($O$6:$O734,"&gt;0")+1,0))</f>
        <v>729</v>
      </c>
    </row>
    <row r="736" customFormat="false" ht="51" hidden="false" customHeight="true" outlineLevel="0" collapsed="false">
      <c r="B736" s="30" t="s">
        <v>3734</v>
      </c>
      <c r="C736" s="30" t="s">
        <v>40</v>
      </c>
      <c r="D736" s="30" t="s">
        <v>3735</v>
      </c>
      <c r="E736" s="30" t="s">
        <v>210</v>
      </c>
      <c r="F736" s="30" t="s">
        <v>3736</v>
      </c>
      <c r="G736" s="30" t="s">
        <v>3736</v>
      </c>
      <c r="H736" s="30" t="s">
        <v>3699</v>
      </c>
      <c r="I736" s="30" t="s">
        <v>306</v>
      </c>
      <c r="J736" s="30" t="s">
        <v>206</v>
      </c>
      <c r="K736" s="31" t="s">
        <v>151</v>
      </c>
      <c r="L736" s="32"/>
      <c r="M736" s="33" t="s">
        <v>3701</v>
      </c>
      <c r="N736" s="30" t="s">
        <v>48</v>
      </c>
      <c r="O736" s="1" t="n">
        <f aca="false">IF($B736="",0,IF(AND(OR(Filter!$B$5="(alle)",$N736=Filter!$B$5),OR(Filter!$E$5="(alle)",$K736=Filter!$E$5),OR(Filter!$H$5="(alle)",$C736=Filter!$H$5),OR(Filter!$B$7="(alle)",$E736=Filter!$B$7),OR(Filter!$E$7="(alle)",ISNUMBER(SEARCH(Filter!$E$7,$J736))),OR(Filter!$H$7="(alle)",ISNUMBER(SEARCH(Filter!$H$7,$I736))),OR(Filter!$B$9="",ISNUMBER(SEARCH(Filter!$B$9,$F736&amp;" "&amp;$G736)))),COUNTIF($O$6:$O735,"&gt;0")+1,0))</f>
        <v>730</v>
      </c>
    </row>
    <row r="737" customFormat="false" ht="51" hidden="false" customHeight="true" outlineLevel="0" collapsed="false">
      <c r="B737" s="30" t="s">
        <v>3737</v>
      </c>
      <c r="C737" s="30" t="s">
        <v>40</v>
      </c>
      <c r="D737" s="30" t="s">
        <v>3738</v>
      </c>
      <c r="E737" s="30" t="s">
        <v>604</v>
      </c>
      <c r="F737" s="30" t="s">
        <v>3739</v>
      </c>
      <c r="G737" s="30" t="s">
        <v>3739</v>
      </c>
      <c r="H737" s="30" t="s">
        <v>3712</v>
      </c>
      <c r="I737" s="30" t="s">
        <v>476</v>
      </c>
      <c r="J737" s="30" t="s">
        <v>476</v>
      </c>
      <c r="K737" s="31" t="s">
        <v>151</v>
      </c>
      <c r="L737" s="32"/>
      <c r="M737" s="33" t="s">
        <v>3701</v>
      </c>
      <c r="N737" s="30" t="s">
        <v>48</v>
      </c>
      <c r="O737" s="1" t="n">
        <f aca="false">IF($B737="",0,IF(AND(OR(Filter!$B$5="(alle)",$N737=Filter!$B$5),OR(Filter!$E$5="(alle)",$K737=Filter!$E$5),OR(Filter!$H$5="(alle)",$C737=Filter!$H$5),OR(Filter!$B$7="(alle)",$E737=Filter!$B$7),OR(Filter!$E$7="(alle)",ISNUMBER(SEARCH(Filter!$E$7,$J737))),OR(Filter!$H$7="(alle)",ISNUMBER(SEARCH(Filter!$H$7,$I737))),OR(Filter!$B$9="",ISNUMBER(SEARCH(Filter!$B$9,$F737&amp;" "&amp;$G737)))),COUNTIF($O$6:$O736,"&gt;0")+1,0))</f>
        <v>731</v>
      </c>
    </row>
    <row r="738" customFormat="false" ht="51" hidden="false" customHeight="true" outlineLevel="0" collapsed="false">
      <c r="B738" s="30" t="s">
        <v>3740</v>
      </c>
      <c r="C738" s="30" t="s">
        <v>40</v>
      </c>
      <c r="D738" s="30" t="s">
        <v>3741</v>
      </c>
      <c r="E738" s="30" t="s">
        <v>604</v>
      </c>
      <c r="F738" s="30" t="s">
        <v>3742</v>
      </c>
      <c r="G738" s="30" t="s">
        <v>3742</v>
      </c>
      <c r="H738" s="30" t="s">
        <v>3712</v>
      </c>
      <c r="I738" s="30" t="s">
        <v>476</v>
      </c>
      <c r="J738" s="30" t="s">
        <v>476</v>
      </c>
      <c r="K738" s="31" t="s">
        <v>151</v>
      </c>
      <c r="L738" s="32"/>
      <c r="M738" s="33" t="s">
        <v>3701</v>
      </c>
      <c r="N738" s="30" t="s">
        <v>48</v>
      </c>
      <c r="O738" s="1" t="n">
        <f aca="false">IF($B738="",0,IF(AND(OR(Filter!$B$5="(alle)",$N738=Filter!$B$5),OR(Filter!$E$5="(alle)",$K738=Filter!$E$5),OR(Filter!$H$5="(alle)",$C738=Filter!$H$5),OR(Filter!$B$7="(alle)",$E738=Filter!$B$7),OR(Filter!$E$7="(alle)",ISNUMBER(SEARCH(Filter!$E$7,$J738))),OR(Filter!$H$7="(alle)",ISNUMBER(SEARCH(Filter!$H$7,$I738))),OR(Filter!$B$9="",ISNUMBER(SEARCH(Filter!$B$9,$F738&amp;" "&amp;$G738)))),COUNTIF($O$6:$O737,"&gt;0")+1,0))</f>
        <v>732</v>
      </c>
    </row>
    <row r="739" customFormat="false" ht="51" hidden="false" customHeight="true" outlineLevel="0" collapsed="false">
      <c r="B739" s="30" t="s">
        <v>3743</v>
      </c>
      <c r="C739" s="30" t="s">
        <v>40</v>
      </c>
      <c r="D739" s="30" t="s">
        <v>3714</v>
      </c>
      <c r="E739" s="30" t="s">
        <v>604</v>
      </c>
      <c r="F739" s="30" t="s">
        <v>3744</v>
      </c>
      <c r="G739" s="30" t="s">
        <v>3745</v>
      </c>
      <c r="H739" s="30" t="s">
        <v>3699</v>
      </c>
      <c r="I739" s="30" t="s">
        <v>3700</v>
      </c>
      <c r="J739" s="30" t="s">
        <v>159</v>
      </c>
      <c r="K739" s="31" t="s">
        <v>151</v>
      </c>
      <c r="L739" s="32"/>
      <c r="M739" s="33" t="s">
        <v>3701</v>
      </c>
      <c r="N739" s="30" t="s">
        <v>48</v>
      </c>
      <c r="O739" s="1" t="n">
        <f aca="false">IF($B739="",0,IF(AND(OR(Filter!$B$5="(alle)",$N739=Filter!$B$5),OR(Filter!$E$5="(alle)",$K739=Filter!$E$5),OR(Filter!$H$5="(alle)",$C739=Filter!$H$5),OR(Filter!$B$7="(alle)",$E739=Filter!$B$7),OR(Filter!$E$7="(alle)",ISNUMBER(SEARCH(Filter!$E$7,$J739))),OR(Filter!$H$7="(alle)",ISNUMBER(SEARCH(Filter!$H$7,$I739))),OR(Filter!$B$9="",ISNUMBER(SEARCH(Filter!$B$9,$F739&amp;" "&amp;$G739)))),COUNTIF($O$6:$O738,"&gt;0")+1,0))</f>
        <v>733</v>
      </c>
    </row>
    <row r="740" customFormat="false" ht="51" hidden="false" customHeight="true" outlineLevel="0" collapsed="false">
      <c r="B740" s="30" t="s">
        <v>3746</v>
      </c>
      <c r="C740" s="30" t="s">
        <v>40</v>
      </c>
      <c r="D740" s="30" t="s">
        <v>3747</v>
      </c>
      <c r="E740" s="30" t="s">
        <v>547</v>
      </c>
      <c r="F740" s="30" t="s">
        <v>3748</v>
      </c>
      <c r="G740" s="30" t="s">
        <v>3749</v>
      </c>
      <c r="H740" s="30" t="s">
        <v>3712</v>
      </c>
      <c r="I740" s="30" t="s">
        <v>476</v>
      </c>
      <c r="J740" s="30" t="s">
        <v>476</v>
      </c>
      <c r="K740" s="31" t="s">
        <v>151</v>
      </c>
      <c r="L740" s="32"/>
      <c r="M740" s="33" t="s">
        <v>3701</v>
      </c>
      <c r="N740" s="30" t="s">
        <v>48</v>
      </c>
      <c r="O740" s="1" t="n">
        <f aca="false">IF($B740="",0,IF(AND(OR(Filter!$B$5="(alle)",$N740=Filter!$B$5),OR(Filter!$E$5="(alle)",$K740=Filter!$E$5),OR(Filter!$H$5="(alle)",$C740=Filter!$H$5),OR(Filter!$B$7="(alle)",$E740=Filter!$B$7),OR(Filter!$E$7="(alle)",ISNUMBER(SEARCH(Filter!$E$7,$J740))),OR(Filter!$H$7="(alle)",ISNUMBER(SEARCH(Filter!$H$7,$I740))),OR(Filter!$B$9="",ISNUMBER(SEARCH(Filter!$B$9,$F740&amp;" "&amp;$G740)))),COUNTIF($O$6:$O739,"&gt;0")+1,0))</f>
        <v>734</v>
      </c>
    </row>
    <row r="741" customFormat="false" ht="51" hidden="false" customHeight="true" outlineLevel="0" collapsed="false">
      <c r="B741" s="30" t="s">
        <v>3750</v>
      </c>
      <c r="C741" s="30" t="s">
        <v>40</v>
      </c>
      <c r="D741" s="30" t="s">
        <v>3751</v>
      </c>
      <c r="E741" s="30" t="s">
        <v>547</v>
      </c>
      <c r="F741" s="30" t="s">
        <v>3752</v>
      </c>
      <c r="G741" s="30" t="s">
        <v>3753</v>
      </c>
      <c r="H741" s="30" t="s">
        <v>3712</v>
      </c>
      <c r="I741" s="30" t="s">
        <v>476</v>
      </c>
      <c r="J741" s="30" t="s">
        <v>476</v>
      </c>
      <c r="K741" s="31" t="s">
        <v>151</v>
      </c>
      <c r="L741" s="32"/>
      <c r="M741" s="33" t="s">
        <v>3701</v>
      </c>
      <c r="N741" s="30" t="s">
        <v>48</v>
      </c>
      <c r="O741" s="1" t="n">
        <f aca="false">IF($B741="",0,IF(AND(OR(Filter!$B$5="(alle)",$N741=Filter!$B$5),OR(Filter!$E$5="(alle)",$K741=Filter!$E$5),OR(Filter!$H$5="(alle)",$C741=Filter!$H$5),OR(Filter!$B$7="(alle)",$E741=Filter!$B$7),OR(Filter!$E$7="(alle)",ISNUMBER(SEARCH(Filter!$E$7,$J741))),OR(Filter!$H$7="(alle)",ISNUMBER(SEARCH(Filter!$H$7,$I741))),OR(Filter!$B$9="",ISNUMBER(SEARCH(Filter!$B$9,$F741&amp;" "&amp;$G741)))),COUNTIF($O$6:$O740,"&gt;0")+1,0))</f>
        <v>735</v>
      </c>
    </row>
    <row r="742" customFormat="false" ht="51" hidden="false" customHeight="true" outlineLevel="0" collapsed="false">
      <c r="B742" s="30" t="s">
        <v>3754</v>
      </c>
      <c r="C742" s="30" t="s">
        <v>40</v>
      </c>
      <c r="D742" s="30" t="s">
        <v>3755</v>
      </c>
      <c r="E742" s="30" t="s">
        <v>344</v>
      </c>
      <c r="F742" s="30" t="s">
        <v>3756</v>
      </c>
      <c r="G742" s="30" t="s">
        <v>3757</v>
      </c>
      <c r="H742" s="30" t="s">
        <v>3699</v>
      </c>
      <c r="I742" s="30" t="s">
        <v>306</v>
      </c>
      <c r="J742" s="30" t="s">
        <v>206</v>
      </c>
      <c r="K742" s="31" t="s">
        <v>151</v>
      </c>
      <c r="L742" s="32"/>
      <c r="M742" s="33" t="s">
        <v>3701</v>
      </c>
      <c r="N742" s="30" t="s">
        <v>48</v>
      </c>
      <c r="O742" s="1" t="n">
        <f aca="false">IF($B742="",0,IF(AND(OR(Filter!$B$5="(alle)",$N742=Filter!$B$5),OR(Filter!$E$5="(alle)",$K742=Filter!$E$5),OR(Filter!$H$5="(alle)",$C742=Filter!$H$5),OR(Filter!$B$7="(alle)",$E742=Filter!$B$7),OR(Filter!$E$7="(alle)",ISNUMBER(SEARCH(Filter!$E$7,$J742))),OR(Filter!$H$7="(alle)",ISNUMBER(SEARCH(Filter!$H$7,$I742))),OR(Filter!$B$9="",ISNUMBER(SEARCH(Filter!$B$9,$F742&amp;" "&amp;$G742)))),COUNTIF($O$6:$O741,"&gt;0")+1,0))</f>
        <v>736</v>
      </c>
    </row>
    <row r="743" customFormat="false" ht="51" hidden="false" customHeight="true" outlineLevel="0" collapsed="false">
      <c r="B743" s="30" t="s">
        <v>3758</v>
      </c>
      <c r="C743" s="30" t="s">
        <v>40</v>
      </c>
      <c r="D743" s="30" t="s">
        <v>3759</v>
      </c>
      <c r="E743" s="30" t="s">
        <v>604</v>
      </c>
      <c r="F743" s="30" t="s">
        <v>3760</v>
      </c>
      <c r="G743" s="30" t="s">
        <v>3760</v>
      </c>
      <c r="H743" s="30" t="s">
        <v>3699</v>
      </c>
      <c r="I743" s="30" t="s">
        <v>3700</v>
      </c>
      <c r="J743" s="30" t="s">
        <v>159</v>
      </c>
      <c r="K743" s="31" t="s">
        <v>151</v>
      </c>
      <c r="L743" s="32"/>
      <c r="M743" s="33" t="s">
        <v>3701</v>
      </c>
      <c r="N743" s="30" t="s">
        <v>48</v>
      </c>
      <c r="O743" s="1" t="n">
        <f aca="false">IF($B743="",0,IF(AND(OR(Filter!$B$5="(alle)",$N743=Filter!$B$5),OR(Filter!$E$5="(alle)",$K743=Filter!$E$5),OR(Filter!$H$5="(alle)",$C743=Filter!$H$5),OR(Filter!$B$7="(alle)",$E743=Filter!$B$7),OR(Filter!$E$7="(alle)",ISNUMBER(SEARCH(Filter!$E$7,$J743))),OR(Filter!$H$7="(alle)",ISNUMBER(SEARCH(Filter!$H$7,$I743))),OR(Filter!$B$9="",ISNUMBER(SEARCH(Filter!$B$9,$F743&amp;" "&amp;$G743)))),COUNTIF($O$6:$O742,"&gt;0")+1,0))</f>
        <v>737</v>
      </c>
    </row>
    <row r="744" customFormat="false" ht="51" hidden="false" customHeight="true" outlineLevel="0" collapsed="false">
      <c r="B744" s="30" t="s">
        <v>3761</v>
      </c>
      <c r="C744" s="30" t="s">
        <v>40</v>
      </c>
      <c r="D744" s="30" t="s">
        <v>3762</v>
      </c>
      <c r="E744" s="30" t="s">
        <v>355</v>
      </c>
      <c r="F744" s="30" t="s">
        <v>3763</v>
      </c>
      <c r="G744" s="30" t="s">
        <v>3764</v>
      </c>
      <c r="H744" s="30" t="s">
        <v>3699</v>
      </c>
      <c r="I744" s="30" t="s">
        <v>306</v>
      </c>
      <c r="J744" s="30" t="s">
        <v>206</v>
      </c>
      <c r="K744" s="31" t="s">
        <v>151</v>
      </c>
      <c r="L744" s="32"/>
      <c r="M744" s="33" t="s">
        <v>3701</v>
      </c>
      <c r="N744" s="30" t="s">
        <v>48</v>
      </c>
      <c r="O744" s="1" t="n">
        <f aca="false">IF($B744="",0,IF(AND(OR(Filter!$B$5="(alle)",$N744=Filter!$B$5),OR(Filter!$E$5="(alle)",$K744=Filter!$E$5),OR(Filter!$H$5="(alle)",$C744=Filter!$H$5),OR(Filter!$B$7="(alle)",$E744=Filter!$B$7),OR(Filter!$E$7="(alle)",ISNUMBER(SEARCH(Filter!$E$7,$J744))),OR(Filter!$H$7="(alle)",ISNUMBER(SEARCH(Filter!$H$7,$I744))),OR(Filter!$B$9="",ISNUMBER(SEARCH(Filter!$B$9,$F744&amp;" "&amp;$G744)))),COUNTIF($O$6:$O743,"&gt;0")+1,0))</f>
        <v>738</v>
      </c>
    </row>
    <row r="745" customFormat="false" ht="51" hidden="false" customHeight="true" outlineLevel="0" collapsed="false">
      <c r="B745" s="30" t="s">
        <v>3765</v>
      </c>
      <c r="C745" s="30" t="s">
        <v>40</v>
      </c>
      <c r="D745" s="30" t="s">
        <v>3766</v>
      </c>
      <c r="E745" s="30" t="s">
        <v>547</v>
      </c>
      <c r="F745" s="30" t="s">
        <v>3767</v>
      </c>
      <c r="G745" s="30" t="s">
        <v>3768</v>
      </c>
      <c r="H745" s="30" t="s">
        <v>3712</v>
      </c>
      <c r="I745" s="30" t="s">
        <v>476</v>
      </c>
      <c r="J745" s="30" t="s">
        <v>476</v>
      </c>
      <c r="K745" s="31" t="s">
        <v>151</v>
      </c>
      <c r="L745" s="32"/>
      <c r="M745" s="33" t="s">
        <v>3701</v>
      </c>
      <c r="N745" s="30" t="s">
        <v>48</v>
      </c>
      <c r="O745" s="1" t="n">
        <f aca="false">IF($B745="",0,IF(AND(OR(Filter!$B$5="(alle)",$N745=Filter!$B$5),OR(Filter!$E$5="(alle)",$K745=Filter!$E$5),OR(Filter!$H$5="(alle)",$C745=Filter!$H$5),OR(Filter!$B$7="(alle)",$E745=Filter!$B$7),OR(Filter!$E$7="(alle)",ISNUMBER(SEARCH(Filter!$E$7,$J745))),OR(Filter!$H$7="(alle)",ISNUMBER(SEARCH(Filter!$H$7,$I745))),OR(Filter!$B$9="",ISNUMBER(SEARCH(Filter!$B$9,$F745&amp;" "&amp;$G745)))),COUNTIF($O$6:$O744,"&gt;0")+1,0))</f>
        <v>739</v>
      </c>
    </row>
    <row r="746" customFormat="false" ht="51" hidden="false" customHeight="true" outlineLevel="0" collapsed="false">
      <c r="B746" s="30" t="s">
        <v>3769</v>
      </c>
      <c r="C746" s="30" t="s">
        <v>40</v>
      </c>
      <c r="D746" s="30" t="s">
        <v>3770</v>
      </c>
      <c r="E746" s="30" t="s">
        <v>604</v>
      </c>
      <c r="F746" s="30" t="s">
        <v>3771</v>
      </c>
      <c r="G746" s="30" t="s">
        <v>3772</v>
      </c>
      <c r="H746" s="30" t="s">
        <v>3699</v>
      </c>
      <c r="I746" s="30" t="s">
        <v>45</v>
      </c>
      <c r="J746" s="30" t="s">
        <v>46</v>
      </c>
      <c r="K746" s="31" t="s">
        <v>151</v>
      </c>
      <c r="L746" s="32"/>
      <c r="M746" s="33" t="s">
        <v>3701</v>
      </c>
      <c r="N746" s="30" t="s">
        <v>48</v>
      </c>
      <c r="O746" s="1" t="n">
        <f aca="false">IF($B746="",0,IF(AND(OR(Filter!$B$5="(alle)",$N746=Filter!$B$5),OR(Filter!$E$5="(alle)",$K746=Filter!$E$5),OR(Filter!$H$5="(alle)",$C746=Filter!$H$5),OR(Filter!$B$7="(alle)",$E746=Filter!$B$7),OR(Filter!$E$7="(alle)",ISNUMBER(SEARCH(Filter!$E$7,$J746))),OR(Filter!$H$7="(alle)",ISNUMBER(SEARCH(Filter!$H$7,$I746))),OR(Filter!$B$9="",ISNUMBER(SEARCH(Filter!$B$9,$F746&amp;" "&amp;$G746)))),COUNTIF($O$6:$O745,"&gt;0")+1,0))</f>
        <v>740</v>
      </c>
    </row>
    <row r="747" customFormat="false" ht="51" hidden="false" customHeight="true" outlineLevel="0" collapsed="false">
      <c r="B747" s="30" t="s">
        <v>3773</v>
      </c>
      <c r="C747" s="30" t="s">
        <v>40</v>
      </c>
      <c r="D747" s="30" t="s">
        <v>3774</v>
      </c>
      <c r="E747" s="30" t="s">
        <v>344</v>
      </c>
      <c r="F747" s="30" t="s">
        <v>3775</v>
      </c>
      <c r="G747" s="30" t="s">
        <v>3775</v>
      </c>
      <c r="H747" s="30" t="s">
        <v>3699</v>
      </c>
      <c r="I747" s="30" t="s">
        <v>306</v>
      </c>
      <c r="J747" s="30" t="s">
        <v>206</v>
      </c>
      <c r="K747" s="31" t="s">
        <v>151</v>
      </c>
      <c r="L747" s="32"/>
      <c r="M747" s="33" t="s">
        <v>3701</v>
      </c>
      <c r="N747" s="30" t="s">
        <v>48</v>
      </c>
      <c r="O747" s="1" t="n">
        <f aca="false">IF($B747="",0,IF(AND(OR(Filter!$B$5="(alle)",$N747=Filter!$B$5),OR(Filter!$E$5="(alle)",$K747=Filter!$E$5),OR(Filter!$H$5="(alle)",$C747=Filter!$H$5),OR(Filter!$B$7="(alle)",$E747=Filter!$B$7),OR(Filter!$E$7="(alle)",ISNUMBER(SEARCH(Filter!$E$7,$J747))),OR(Filter!$H$7="(alle)",ISNUMBER(SEARCH(Filter!$H$7,$I747))),OR(Filter!$B$9="",ISNUMBER(SEARCH(Filter!$B$9,$F747&amp;" "&amp;$G747)))),COUNTIF($O$6:$O746,"&gt;0")+1,0))</f>
        <v>741</v>
      </c>
    </row>
    <row r="748" customFormat="false" ht="51" hidden="false" customHeight="true" outlineLevel="0" collapsed="false">
      <c r="B748" s="30" t="s">
        <v>3776</v>
      </c>
      <c r="C748" s="30" t="s">
        <v>40</v>
      </c>
      <c r="D748" s="30" t="s">
        <v>3777</v>
      </c>
      <c r="E748" s="30" t="s">
        <v>547</v>
      </c>
      <c r="F748" s="30" t="s">
        <v>3778</v>
      </c>
      <c r="G748" s="30" t="s">
        <v>3779</v>
      </c>
      <c r="H748" s="30" t="s">
        <v>3712</v>
      </c>
      <c r="I748" s="30" t="s">
        <v>476</v>
      </c>
      <c r="J748" s="30" t="s">
        <v>476</v>
      </c>
      <c r="K748" s="31" t="s">
        <v>151</v>
      </c>
      <c r="L748" s="32"/>
      <c r="M748" s="33" t="s">
        <v>3701</v>
      </c>
      <c r="N748" s="30" t="s">
        <v>48</v>
      </c>
      <c r="O748" s="1" t="n">
        <f aca="false">IF($B748="",0,IF(AND(OR(Filter!$B$5="(alle)",$N748=Filter!$B$5),OR(Filter!$E$5="(alle)",$K748=Filter!$E$5),OR(Filter!$H$5="(alle)",$C748=Filter!$H$5),OR(Filter!$B$7="(alle)",$E748=Filter!$B$7),OR(Filter!$E$7="(alle)",ISNUMBER(SEARCH(Filter!$E$7,$J748))),OR(Filter!$H$7="(alle)",ISNUMBER(SEARCH(Filter!$H$7,$I748))),OR(Filter!$B$9="",ISNUMBER(SEARCH(Filter!$B$9,$F748&amp;" "&amp;$G748)))),COUNTIF($O$6:$O747,"&gt;0")+1,0))</f>
        <v>742</v>
      </c>
    </row>
    <row r="749" customFormat="false" ht="51" hidden="false" customHeight="true" outlineLevel="0" collapsed="false">
      <c r="B749" s="30" t="s">
        <v>3780</v>
      </c>
      <c r="C749" s="30" t="s">
        <v>40</v>
      </c>
      <c r="D749" s="30" t="s">
        <v>3781</v>
      </c>
      <c r="E749" s="30" t="s">
        <v>155</v>
      </c>
      <c r="F749" s="30" t="s">
        <v>3782</v>
      </c>
      <c r="G749" s="30" t="s">
        <v>3783</v>
      </c>
      <c r="H749" s="30" t="s">
        <v>3712</v>
      </c>
      <c r="I749" s="30" t="s">
        <v>476</v>
      </c>
      <c r="J749" s="30" t="s">
        <v>476</v>
      </c>
      <c r="K749" s="31" t="s">
        <v>151</v>
      </c>
      <c r="L749" s="32"/>
      <c r="M749" s="33" t="s">
        <v>3701</v>
      </c>
      <c r="N749" s="30" t="s">
        <v>48</v>
      </c>
      <c r="O749" s="1" t="n">
        <f aca="false">IF($B749="",0,IF(AND(OR(Filter!$B$5="(alle)",$N749=Filter!$B$5),OR(Filter!$E$5="(alle)",$K749=Filter!$E$5),OR(Filter!$H$5="(alle)",$C749=Filter!$H$5),OR(Filter!$B$7="(alle)",$E749=Filter!$B$7),OR(Filter!$E$7="(alle)",ISNUMBER(SEARCH(Filter!$E$7,$J749))),OR(Filter!$H$7="(alle)",ISNUMBER(SEARCH(Filter!$H$7,$I749))),OR(Filter!$B$9="",ISNUMBER(SEARCH(Filter!$B$9,$F749&amp;" "&amp;$G749)))),COUNTIF($O$6:$O748,"&gt;0")+1,0))</f>
        <v>743</v>
      </c>
    </row>
    <row r="750" customFormat="false" ht="51" hidden="false" customHeight="true" outlineLevel="0" collapsed="false">
      <c r="B750" s="30" t="s">
        <v>3784</v>
      </c>
      <c r="C750" s="30" t="s">
        <v>40</v>
      </c>
      <c r="D750" s="30" t="s">
        <v>3785</v>
      </c>
      <c r="E750" s="30" t="s">
        <v>344</v>
      </c>
      <c r="F750" s="30" t="s">
        <v>3786</v>
      </c>
      <c r="G750" s="30" t="s">
        <v>3786</v>
      </c>
      <c r="H750" s="30" t="s">
        <v>3699</v>
      </c>
      <c r="I750" s="30" t="s">
        <v>306</v>
      </c>
      <c r="J750" s="30" t="s">
        <v>206</v>
      </c>
      <c r="K750" s="31" t="s">
        <v>151</v>
      </c>
      <c r="L750" s="32"/>
      <c r="M750" s="33" t="s">
        <v>3701</v>
      </c>
      <c r="N750" s="30" t="s">
        <v>48</v>
      </c>
      <c r="O750" s="1" t="n">
        <f aca="false">IF($B750="",0,IF(AND(OR(Filter!$B$5="(alle)",$N750=Filter!$B$5),OR(Filter!$E$5="(alle)",$K750=Filter!$E$5),OR(Filter!$H$5="(alle)",$C750=Filter!$H$5),OR(Filter!$B$7="(alle)",$E750=Filter!$B$7),OR(Filter!$E$7="(alle)",ISNUMBER(SEARCH(Filter!$E$7,$J750))),OR(Filter!$H$7="(alle)",ISNUMBER(SEARCH(Filter!$H$7,$I750))),OR(Filter!$B$9="",ISNUMBER(SEARCH(Filter!$B$9,$F750&amp;" "&amp;$G750)))),COUNTIF($O$6:$O749,"&gt;0")+1,0))</f>
        <v>744</v>
      </c>
    </row>
    <row r="751" customFormat="false" ht="51" hidden="false" customHeight="true" outlineLevel="0" collapsed="false">
      <c r="B751" s="30" t="s">
        <v>3787</v>
      </c>
      <c r="C751" s="30" t="s">
        <v>40</v>
      </c>
      <c r="D751" s="30" t="s">
        <v>3788</v>
      </c>
      <c r="E751" s="30" t="s">
        <v>361</v>
      </c>
      <c r="F751" s="30" t="s">
        <v>3789</v>
      </c>
      <c r="G751" s="30" t="s">
        <v>3790</v>
      </c>
      <c r="H751" s="30" t="s">
        <v>3699</v>
      </c>
      <c r="I751" s="30" t="s">
        <v>3700</v>
      </c>
      <c r="J751" s="30" t="s">
        <v>159</v>
      </c>
      <c r="K751" s="31" t="s">
        <v>151</v>
      </c>
      <c r="L751" s="32"/>
      <c r="M751" s="33" t="s">
        <v>3701</v>
      </c>
      <c r="N751" s="30" t="s">
        <v>48</v>
      </c>
      <c r="O751" s="1" t="n">
        <f aca="false">IF($B751="",0,IF(AND(OR(Filter!$B$5="(alle)",$N751=Filter!$B$5),OR(Filter!$E$5="(alle)",$K751=Filter!$E$5),OR(Filter!$H$5="(alle)",$C751=Filter!$H$5),OR(Filter!$B$7="(alle)",$E751=Filter!$B$7),OR(Filter!$E$7="(alle)",ISNUMBER(SEARCH(Filter!$E$7,$J751))),OR(Filter!$H$7="(alle)",ISNUMBER(SEARCH(Filter!$H$7,$I751))),OR(Filter!$B$9="",ISNUMBER(SEARCH(Filter!$B$9,$F751&amp;" "&amp;$G751)))),COUNTIF($O$6:$O750,"&gt;0")+1,0))</f>
        <v>745</v>
      </c>
    </row>
    <row r="752" customFormat="false" ht="51" hidden="false" customHeight="true" outlineLevel="0" collapsed="false">
      <c r="B752" s="30" t="s">
        <v>3791</v>
      </c>
      <c r="C752" s="30" t="s">
        <v>40</v>
      </c>
      <c r="D752" s="30" t="s">
        <v>3792</v>
      </c>
      <c r="E752" s="30" t="s">
        <v>361</v>
      </c>
      <c r="F752" s="30" t="s">
        <v>3793</v>
      </c>
      <c r="G752" s="30" t="s">
        <v>3794</v>
      </c>
      <c r="H752" s="30" t="s">
        <v>3699</v>
      </c>
      <c r="I752" s="30" t="s">
        <v>3700</v>
      </c>
      <c r="J752" s="30" t="s">
        <v>159</v>
      </c>
      <c r="K752" s="31" t="s">
        <v>151</v>
      </c>
      <c r="L752" s="32"/>
      <c r="M752" s="33" t="s">
        <v>3701</v>
      </c>
      <c r="N752" s="30" t="s">
        <v>48</v>
      </c>
      <c r="O752" s="1" t="n">
        <f aca="false">IF($B752="",0,IF(AND(OR(Filter!$B$5="(alle)",$N752=Filter!$B$5),OR(Filter!$E$5="(alle)",$K752=Filter!$E$5),OR(Filter!$H$5="(alle)",$C752=Filter!$H$5),OR(Filter!$B$7="(alle)",$E752=Filter!$B$7),OR(Filter!$E$7="(alle)",ISNUMBER(SEARCH(Filter!$E$7,$J752))),OR(Filter!$H$7="(alle)",ISNUMBER(SEARCH(Filter!$H$7,$I752))),OR(Filter!$B$9="",ISNUMBER(SEARCH(Filter!$B$9,$F752&amp;" "&amp;$G752)))),COUNTIF($O$6:$O751,"&gt;0")+1,0))</f>
        <v>746</v>
      </c>
    </row>
    <row r="753" customFormat="false" ht="51" hidden="false" customHeight="true" outlineLevel="0" collapsed="false">
      <c r="B753" s="30" t="s">
        <v>3795</v>
      </c>
      <c r="C753" s="30" t="s">
        <v>40</v>
      </c>
      <c r="D753" s="30" t="s">
        <v>3796</v>
      </c>
      <c r="E753" s="30" t="s">
        <v>604</v>
      </c>
      <c r="F753" s="30" t="s">
        <v>3797</v>
      </c>
      <c r="G753" s="30" t="s">
        <v>3798</v>
      </c>
      <c r="H753" s="30" t="s">
        <v>3712</v>
      </c>
      <c r="I753" s="30" t="s">
        <v>476</v>
      </c>
      <c r="J753" s="30" t="s">
        <v>476</v>
      </c>
      <c r="K753" s="31" t="s">
        <v>151</v>
      </c>
      <c r="L753" s="32"/>
      <c r="M753" s="33" t="s">
        <v>3701</v>
      </c>
      <c r="N753" s="30" t="s">
        <v>48</v>
      </c>
      <c r="O753" s="1" t="n">
        <f aca="false">IF($B753="",0,IF(AND(OR(Filter!$B$5="(alle)",$N753=Filter!$B$5),OR(Filter!$E$5="(alle)",$K753=Filter!$E$5),OR(Filter!$H$5="(alle)",$C753=Filter!$H$5),OR(Filter!$B$7="(alle)",$E753=Filter!$B$7),OR(Filter!$E$7="(alle)",ISNUMBER(SEARCH(Filter!$E$7,$J753))),OR(Filter!$H$7="(alle)",ISNUMBER(SEARCH(Filter!$H$7,$I753))),OR(Filter!$B$9="",ISNUMBER(SEARCH(Filter!$B$9,$F753&amp;" "&amp;$G753)))),COUNTIF($O$6:$O752,"&gt;0")+1,0))</f>
        <v>747</v>
      </c>
    </row>
    <row r="754" customFormat="false" ht="51" hidden="false" customHeight="true" outlineLevel="0" collapsed="false">
      <c r="B754" s="30" t="s">
        <v>3799</v>
      </c>
      <c r="C754" s="30" t="s">
        <v>40</v>
      </c>
      <c r="D754" s="30" t="s">
        <v>3800</v>
      </c>
      <c r="E754" s="30" t="s">
        <v>604</v>
      </c>
      <c r="F754" s="30" t="s">
        <v>3801</v>
      </c>
      <c r="G754" s="30" t="s">
        <v>3802</v>
      </c>
      <c r="H754" s="30" t="s">
        <v>3712</v>
      </c>
      <c r="I754" s="30" t="s">
        <v>476</v>
      </c>
      <c r="J754" s="30" t="s">
        <v>476</v>
      </c>
      <c r="K754" s="31" t="s">
        <v>151</v>
      </c>
      <c r="L754" s="32"/>
      <c r="M754" s="33" t="s">
        <v>3701</v>
      </c>
      <c r="N754" s="30" t="s">
        <v>48</v>
      </c>
      <c r="O754" s="1" t="n">
        <f aca="false">IF($B754="",0,IF(AND(OR(Filter!$B$5="(alle)",$N754=Filter!$B$5),OR(Filter!$E$5="(alle)",$K754=Filter!$E$5),OR(Filter!$H$5="(alle)",$C754=Filter!$H$5),OR(Filter!$B$7="(alle)",$E754=Filter!$B$7),OR(Filter!$E$7="(alle)",ISNUMBER(SEARCH(Filter!$E$7,$J754))),OR(Filter!$H$7="(alle)",ISNUMBER(SEARCH(Filter!$H$7,$I754))),OR(Filter!$B$9="",ISNUMBER(SEARCH(Filter!$B$9,$F754&amp;" "&amp;$G754)))),COUNTIF($O$6:$O753,"&gt;0")+1,0))</f>
        <v>748</v>
      </c>
    </row>
    <row r="755" customFormat="false" ht="51" hidden="false" customHeight="true" outlineLevel="0" collapsed="false">
      <c r="B755" s="30" t="s">
        <v>3803</v>
      </c>
      <c r="C755" s="30" t="s">
        <v>40</v>
      </c>
      <c r="D755" s="30" t="s">
        <v>3804</v>
      </c>
      <c r="E755" s="30" t="s">
        <v>344</v>
      </c>
      <c r="F755" s="30" t="s">
        <v>3805</v>
      </c>
      <c r="G755" s="30" t="s">
        <v>3806</v>
      </c>
      <c r="H755" s="30" t="s">
        <v>3699</v>
      </c>
      <c r="I755" s="30" t="s">
        <v>306</v>
      </c>
      <c r="J755" s="30" t="s">
        <v>206</v>
      </c>
      <c r="K755" s="31" t="s">
        <v>151</v>
      </c>
      <c r="L755" s="32"/>
      <c r="M755" s="33" t="s">
        <v>3701</v>
      </c>
      <c r="N755" s="30" t="s">
        <v>48</v>
      </c>
      <c r="O755" s="1" t="n">
        <f aca="false">IF($B755="",0,IF(AND(OR(Filter!$B$5="(alle)",$N755=Filter!$B$5),OR(Filter!$E$5="(alle)",$K755=Filter!$E$5),OR(Filter!$H$5="(alle)",$C755=Filter!$H$5),OR(Filter!$B$7="(alle)",$E755=Filter!$B$7),OR(Filter!$E$7="(alle)",ISNUMBER(SEARCH(Filter!$E$7,$J755))),OR(Filter!$H$7="(alle)",ISNUMBER(SEARCH(Filter!$H$7,$I755))),OR(Filter!$B$9="",ISNUMBER(SEARCH(Filter!$B$9,$F755&amp;" "&amp;$G755)))),COUNTIF($O$6:$O754,"&gt;0")+1,0))</f>
        <v>749</v>
      </c>
    </row>
    <row r="756" customFormat="false" ht="51" hidden="false" customHeight="true" outlineLevel="0" collapsed="false">
      <c r="B756" s="30" t="s">
        <v>3807</v>
      </c>
      <c r="C756" s="30" t="s">
        <v>40</v>
      </c>
      <c r="D756" s="30" t="s">
        <v>3808</v>
      </c>
      <c r="E756" s="30" t="s">
        <v>547</v>
      </c>
      <c r="F756" s="30" t="s">
        <v>3809</v>
      </c>
      <c r="G756" s="30" t="s">
        <v>3809</v>
      </c>
      <c r="H756" s="30" t="s">
        <v>3712</v>
      </c>
      <c r="I756" s="30" t="s">
        <v>476</v>
      </c>
      <c r="J756" s="30" t="s">
        <v>476</v>
      </c>
      <c r="K756" s="31" t="s">
        <v>151</v>
      </c>
      <c r="L756" s="32"/>
      <c r="M756" s="33" t="s">
        <v>3701</v>
      </c>
      <c r="N756" s="30" t="s">
        <v>48</v>
      </c>
      <c r="O756" s="1" t="n">
        <f aca="false">IF($B756="",0,IF(AND(OR(Filter!$B$5="(alle)",$N756=Filter!$B$5),OR(Filter!$E$5="(alle)",$K756=Filter!$E$5),OR(Filter!$H$5="(alle)",$C756=Filter!$H$5),OR(Filter!$B$7="(alle)",$E756=Filter!$B$7),OR(Filter!$E$7="(alle)",ISNUMBER(SEARCH(Filter!$E$7,$J756))),OR(Filter!$H$7="(alle)",ISNUMBER(SEARCH(Filter!$H$7,$I756))),OR(Filter!$B$9="",ISNUMBER(SEARCH(Filter!$B$9,$F756&amp;" "&amp;$G756)))),COUNTIF($O$6:$O755,"&gt;0")+1,0))</f>
        <v>750</v>
      </c>
    </row>
    <row r="757" customFormat="false" ht="51" hidden="false" customHeight="true" outlineLevel="0" collapsed="false">
      <c r="B757" s="30" t="s">
        <v>3810</v>
      </c>
      <c r="C757" s="30" t="s">
        <v>40</v>
      </c>
      <c r="D757" s="30" t="s">
        <v>3811</v>
      </c>
      <c r="E757" s="30" t="s">
        <v>604</v>
      </c>
      <c r="F757" s="30" t="s">
        <v>3812</v>
      </c>
      <c r="G757" s="30" t="s">
        <v>3812</v>
      </c>
      <c r="H757" s="30" t="s">
        <v>3712</v>
      </c>
      <c r="I757" s="30" t="s">
        <v>476</v>
      </c>
      <c r="J757" s="30" t="s">
        <v>476</v>
      </c>
      <c r="K757" s="31" t="s">
        <v>151</v>
      </c>
      <c r="L757" s="32"/>
      <c r="M757" s="33" t="s">
        <v>3701</v>
      </c>
      <c r="N757" s="30" t="s">
        <v>48</v>
      </c>
      <c r="O757" s="1" t="n">
        <f aca="false">IF($B757="",0,IF(AND(OR(Filter!$B$5="(alle)",$N757=Filter!$B$5),OR(Filter!$E$5="(alle)",$K757=Filter!$E$5),OR(Filter!$H$5="(alle)",$C757=Filter!$H$5),OR(Filter!$B$7="(alle)",$E757=Filter!$B$7),OR(Filter!$E$7="(alle)",ISNUMBER(SEARCH(Filter!$E$7,$J757))),OR(Filter!$H$7="(alle)",ISNUMBER(SEARCH(Filter!$H$7,$I757))),OR(Filter!$B$9="",ISNUMBER(SEARCH(Filter!$B$9,$F757&amp;" "&amp;$G757)))),COUNTIF($O$6:$O756,"&gt;0")+1,0))</f>
        <v>751</v>
      </c>
    </row>
    <row r="758" customFormat="false" ht="51" hidden="false" customHeight="true" outlineLevel="0" collapsed="false">
      <c r="B758" s="30" t="s">
        <v>3813</v>
      </c>
      <c r="C758" s="30" t="s">
        <v>40</v>
      </c>
      <c r="D758" s="30" t="s">
        <v>3814</v>
      </c>
      <c r="E758" s="30" t="s">
        <v>604</v>
      </c>
      <c r="F758" s="30" t="s">
        <v>3815</v>
      </c>
      <c r="G758" s="30" t="s">
        <v>3816</v>
      </c>
      <c r="H758" s="30" t="s">
        <v>3699</v>
      </c>
      <c r="I758" s="30" t="s">
        <v>3700</v>
      </c>
      <c r="J758" s="30" t="s">
        <v>159</v>
      </c>
      <c r="K758" s="31" t="s">
        <v>151</v>
      </c>
      <c r="L758" s="32"/>
      <c r="M758" s="33" t="s">
        <v>3701</v>
      </c>
      <c r="N758" s="30" t="s">
        <v>48</v>
      </c>
      <c r="O758" s="1" t="n">
        <f aca="false">IF($B758="",0,IF(AND(OR(Filter!$B$5="(alle)",$N758=Filter!$B$5),OR(Filter!$E$5="(alle)",$K758=Filter!$E$5),OR(Filter!$H$5="(alle)",$C758=Filter!$H$5),OR(Filter!$B$7="(alle)",$E758=Filter!$B$7),OR(Filter!$E$7="(alle)",ISNUMBER(SEARCH(Filter!$E$7,$J758))),OR(Filter!$H$7="(alle)",ISNUMBER(SEARCH(Filter!$H$7,$I758))),OR(Filter!$B$9="",ISNUMBER(SEARCH(Filter!$B$9,$F758&amp;" "&amp;$G758)))),COUNTIF($O$6:$O757,"&gt;0")+1,0))</f>
        <v>752</v>
      </c>
    </row>
    <row r="759" customFormat="false" ht="51" hidden="false" customHeight="true" outlineLevel="0" collapsed="false">
      <c r="B759" s="30" t="s">
        <v>3817</v>
      </c>
      <c r="C759" s="30" t="s">
        <v>40</v>
      </c>
      <c r="D759" s="30" t="s">
        <v>3818</v>
      </c>
      <c r="E759" s="30" t="s">
        <v>547</v>
      </c>
      <c r="F759" s="30" t="s">
        <v>3819</v>
      </c>
      <c r="G759" s="30" t="s">
        <v>3820</v>
      </c>
      <c r="H759" s="30" t="s">
        <v>3712</v>
      </c>
      <c r="I759" s="30" t="s">
        <v>476</v>
      </c>
      <c r="J759" s="30" t="s">
        <v>476</v>
      </c>
      <c r="K759" s="31" t="s">
        <v>151</v>
      </c>
      <c r="L759" s="32"/>
      <c r="M759" s="33" t="s">
        <v>3701</v>
      </c>
      <c r="N759" s="30" t="s">
        <v>48</v>
      </c>
      <c r="O759" s="1" t="n">
        <f aca="false">IF($B759="",0,IF(AND(OR(Filter!$B$5="(alle)",$N759=Filter!$B$5),OR(Filter!$E$5="(alle)",$K759=Filter!$E$5),OR(Filter!$H$5="(alle)",$C759=Filter!$H$5),OR(Filter!$B$7="(alle)",$E759=Filter!$B$7),OR(Filter!$E$7="(alle)",ISNUMBER(SEARCH(Filter!$E$7,$J759))),OR(Filter!$H$7="(alle)",ISNUMBER(SEARCH(Filter!$H$7,$I759))),OR(Filter!$B$9="",ISNUMBER(SEARCH(Filter!$B$9,$F759&amp;" "&amp;$G759)))),COUNTIF($O$6:$O758,"&gt;0")+1,0))</f>
        <v>753</v>
      </c>
    </row>
    <row r="760" customFormat="false" ht="51" hidden="false" customHeight="true" outlineLevel="0" collapsed="false">
      <c r="B760" s="30" t="s">
        <v>3821</v>
      </c>
      <c r="C760" s="30" t="s">
        <v>40</v>
      </c>
      <c r="D760" s="30" t="s">
        <v>3822</v>
      </c>
      <c r="E760" s="30" t="s">
        <v>94</v>
      </c>
      <c r="F760" s="30" t="s">
        <v>3823</v>
      </c>
      <c r="G760" s="30" t="s">
        <v>3824</v>
      </c>
      <c r="H760" s="30" t="s">
        <v>3699</v>
      </c>
      <c r="I760" s="30" t="s">
        <v>45</v>
      </c>
      <c r="J760" s="30" t="s">
        <v>265</v>
      </c>
      <c r="K760" s="31" t="s">
        <v>151</v>
      </c>
      <c r="L760" s="32"/>
      <c r="M760" s="33" t="s">
        <v>3701</v>
      </c>
      <c r="N760" s="30" t="s">
        <v>48</v>
      </c>
      <c r="O760" s="1" t="n">
        <f aca="false">IF($B760="",0,IF(AND(OR(Filter!$B$5="(alle)",$N760=Filter!$B$5),OR(Filter!$E$5="(alle)",$K760=Filter!$E$5),OR(Filter!$H$5="(alle)",$C760=Filter!$H$5),OR(Filter!$B$7="(alle)",$E760=Filter!$B$7),OR(Filter!$E$7="(alle)",ISNUMBER(SEARCH(Filter!$E$7,$J760))),OR(Filter!$H$7="(alle)",ISNUMBER(SEARCH(Filter!$H$7,$I760))),OR(Filter!$B$9="",ISNUMBER(SEARCH(Filter!$B$9,$F760&amp;" "&amp;$G760)))),COUNTIF($O$6:$O759,"&gt;0")+1,0))</f>
        <v>754</v>
      </c>
    </row>
    <row r="761" customFormat="false" ht="51" hidden="false" customHeight="true" outlineLevel="0" collapsed="false">
      <c r="B761" s="30" t="s">
        <v>3825</v>
      </c>
      <c r="C761" s="30" t="s">
        <v>40</v>
      </c>
      <c r="D761" s="30" t="s">
        <v>3826</v>
      </c>
      <c r="E761" s="30" t="s">
        <v>361</v>
      </c>
      <c r="F761" s="30" t="s">
        <v>3827</v>
      </c>
      <c r="G761" s="30" t="s">
        <v>3828</v>
      </c>
      <c r="H761" s="30" t="s">
        <v>3699</v>
      </c>
      <c r="I761" s="30" t="s">
        <v>306</v>
      </c>
      <c r="J761" s="30" t="s">
        <v>206</v>
      </c>
      <c r="K761" s="31" t="s">
        <v>151</v>
      </c>
      <c r="L761" s="32"/>
      <c r="M761" s="33" t="s">
        <v>3701</v>
      </c>
      <c r="N761" s="30" t="s">
        <v>48</v>
      </c>
      <c r="O761" s="1" t="n">
        <f aca="false">IF($B761="",0,IF(AND(OR(Filter!$B$5="(alle)",$N761=Filter!$B$5),OR(Filter!$E$5="(alle)",$K761=Filter!$E$5),OR(Filter!$H$5="(alle)",$C761=Filter!$H$5),OR(Filter!$B$7="(alle)",$E761=Filter!$B$7),OR(Filter!$E$7="(alle)",ISNUMBER(SEARCH(Filter!$E$7,$J761))),OR(Filter!$H$7="(alle)",ISNUMBER(SEARCH(Filter!$H$7,$I761))),OR(Filter!$B$9="",ISNUMBER(SEARCH(Filter!$B$9,$F761&amp;" "&amp;$G761)))),COUNTIF($O$6:$O760,"&gt;0")+1,0))</f>
        <v>755</v>
      </c>
    </row>
    <row r="762" customFormat="false" ht="51" hidden="false" customHeight="true" outlineLevel="0" collapsed="false">
      <c r="B762" s="30" t="s">
        <v>3829</v>
      </c>
      <c r="C762" s="30" t="s">
        <v>40</v>
      </c>
      <c r="D762" s="30" t="s">
        <v>3830</v>
      </c>
      <c r="E762" s="30" t="s">
        <v>361</v>
      </c>
      <c r="F762" s="30" t="s">
        <v>3831</v>
      </c>
      <c r="G762" s="30" t="s">
        <v>3831</v>
      </c>
      <c r="H762" s="30" t="s">
        <v>3699</v>
      </c>
      <c r="I762" s="30" t="s">
        <v>3700</v>
      </c>
      <c r="J762" s="30" t="s">
        <v>159</v>
      </c>
      <c r="K762" s="31" t="s">
        <v>151</v>
      </c>
      <c r="L762" s="32"/>
      <c r="M762" s="33" t="s">
        <v>3701</v>
      </c>
      <c r="N762" s="30" t="s">
        <v>48</v>
      </c>
      <c r="O762" s="1" t="n">
        <f aca="false">IF($B762="",0,IF(AND(OR(Filter!$B$5="(alle)",$N762=Filter!$B$5),OR(Filter!$E$5="(alle)",$K762=Filter!$E$5),OR(Filter!$H$5="(alle)",$C762=Filter!$H$5),OR(Filter!$B$7="(alle)",$E762=Filter!$B$7),OR(Filter!$E$7="(alle)",ISNUMBER(SEARCH(Filter!$E$7,$J762))),OR(Filter!$H$7="(alle)",ISNUMBER(SEARCH(Filter!$H$7,$I762))),OR(Filter!$B$9="",ISNUMBER(SEARCH(Filter!$B$9,$F762&amp;" "&amp;$G762)))),COUNTIF($O$6:$O761,"&gt;0")+1,0))</f>
        <v>756</v>
      </c>
    </row>
    <row r="763" customFormat="false" ht="51" hidden="false" customHeight="true" outlineLevel="0" collapsed="false">
      <c r="B763" s="30" t="s">
        <v>3832</v>
      </c>
      <c r="C763" s="30" t="s">
        <v>40</v>
      </c>
      <c r="D763" s="30" t="s">
        <v>3833</v>
      </c>
      <c r="E763" s="30" t="s">
        <v>547</v>
      </c>
      <c r="F763" s="30" t="s">
        <v>3834</v>
      </c>
      <c r="G763" s="30" t="s">
        <v>3834</v>
      </c>
      <c r="H763" s="30" t="s">
        <v>3712</v>
      </c>
      <c r="I763" s="30" t="s">
        <v>476</v>
      </c>
      <c r="J763" s="30" t="s">
        <v>476</v>
      </c>
      <c r="K763" s="31" t="s">
        <v>151</v>
      </c>
      <c r="L763" s="32"/>
      <c r="M763" s="33" t="s">
        <v>3701</v>
      </c>
      <c r="N763" s="30" t="s">
        <v>48</v>
      </c>
      <c r="O763" s="1" t="n">
        <f aca="false">IF($B763="",0,IF(AND(OR(Filter!$B$5="(alle)",$N763=Filter!$B$5),OR(Filter!$E$5="(alle)",$K763=Filter!$E$5),OR(Filter!$H$5="(alle)",$C763=Filter!$H$5),OR(Filter!$B$7="(alle)",$E763=Filter!$B$7),OR(Filter!$E$7="(alle)",ISNUMBER(SEARCH(Filter!$E$7,$J763))),OR(Filter!$H$7="(alle)",ISNUMBER(SEARCH(Filter!$H$7,$I763))),OR(Filter!$B$9="",ISNUMBER(SEARCH(Filter!$B$9,$F763&amp;" "&amp;$G763)))),COUNTIF($O$6:$O762,"&gt;0")+1,0))</f>
        <v>757</v>
      </c>
    </row>
    <row r="764" customFormat="false" ht="51" hidden="false" customHeight="true" outlineLevel="0" collapsed="false">
      <c r="B764" s="30" t="s">
        <v>3835</v>
      </c>
      <c r="C764" s="30" t="s">
        <v>40</v>
      </c>
      <c r="D764" s="30" t="s">
        <v>3836</v>
      </c>
      <c r="E764" s="30" t="s">
        <v>344</v>
      </c>
      <c r="F764" s="30" t="s">
        <v>3837</v>
      </c>
      <c r="G764" s="30" t="s">
        <v>3837</v>
      </c>
      <c r="H764" s="30" t="s">
        <v>3699</v>
      </c>
      <c r="I764" s="30" t="s">
        <v>306</v>
      </c>
      <c r="J764" s="30" t="s">
        <v>206</v>
      </c>
      <c r="K764" s="31" t="s">
        <v>151</v>
      </c>
      <c r="L764" s="32"/>
      <c r="M764" s="33" t="s">
        <v>3701</v>
      </c>
      <c r="N764" s="30" t="s">
        <v>48</v>
      </c>
      <c r="O764" s="1" t="n">
        <f aca="false">IF($B764="",0,IF(AND(OR(Filter!$B$5="(alle)",$N764=Filter!$B$5),OR(Filter!$E$5="(alle)",$K764=Filter!$E$5),OR(Filter!$H$5="(alle)",$C764=Filter!$H$5),OR(Filter!$B$7="(alle)",$E764=Filter!$B$7),OR(Filter!$E$7="(alle)",ISNUMBER(SEARCH(Filter!$E$7,$J764))),OR(Filter!$H$7="(alle)",ISNUMBER(SEARCH(Filter!$H$7,$I764))),OR(Filter!$B$9="",ISNUMBER(SEARCH(Filter!$B$9,$F764&amp;" "&amp;$G764)))),COUNTIF($O$6:$O763,"&gt;0")+1,0))</f>
        <v>758</v>
      </c>
    </row>
    <row r="765" customFormat="false" ht="51" hidden="false" customHeight="true" outlineLevel="0" collapsed="false">
      <c r="B765" s="30" t="s">
        <v>3838</v>
      </c>
      <c r="C765" s="30" t="s">
        <v>40</v>
      </c>
      <c r="D765" s="30" t="s">
        <v>3839</v>
      </c>
      <c r="E765" s="30" t="s">
        <v>94</v>
      </c>
      <c r="F765" s="30" t="s">
        <v>3840</v>
      </c>
      <c r="G765" s="30" t="s">
        <v>3840</v>
      </c>
      <c r="H765" s="30" t="s">
        <v>3699</v>
      </c>
      <c r="I765" s="30" t="s">
        <v>45</v>
      </c>
      <c r="J765" s="30" t="s">
        <v>265</v>
      </c>
      <c r="K765" s="31" t="s">
        <v>151</v>
      </c>
      <c r="L765" s="32"/>
      <c r="M765" s="33" t="s">
        <v>3701</v>
      </c>
      <c r="N765" s="30" t="s">
        <v>48</v>
      </c>
      <c r="O765" s="1" t="n">
        <f aca="false">IF($B765="",0,IF(AND(OR(Filter!$B$5="(alle)",$N765=Filter!$B$5),OR(Filter!$E$5="(alle)",$K765=Filter!$E$5),OR(Filter!$H$5="(alle)",$C765=Filter!$H$5),OR(Filter!$B$7="(alle)",$E765=Filter!$B$7),OR(Filter!$E$7="(alle)",ISNUMBER(SEARCH(Filter!$E$7,$J765))),OR(Filter!$H$7="(alle)",ISNUMBER(SEARCH(Filter!$H$7,$I765))),OR(Filter!$B$9="",ISNUMBER(SEARCH(Filter!$B$9,$F765&amp;" "&amp;$G765)))),COUNTIF($O$6:$O764,"&gt;0")+1,0))</f>
        <v>759</v>
      </c>
    </row>
    <row r="766" customFormat="false" ht="51" hidden="false" customHeight="true" outlineLevel="0" collapsed="false">
      <c r="B766" s="30" t="s">
        <v>3841</v>
      </c>
      <c r="C766" s="30" t="s">
        <v>40</v>
      </c>
      <c r="D766" s="30" t="s">
        <v>3842</v>
      </c>
      <c r="E766" s="30" t="s">
        <v>547</v>
      </c>
      <c r="F766" s="30" t="s">
        <v>3843</v>
      </c>
      <c r="G766" s="30" t="s">
        <v>3843</v>
      </c>
      <c r="H766" s="30" t="s">
        <v>3712</v>
      </c>
      <c r="I766" s="30" t="s">
        <v>476</v>
      </c>
      <c r="J766" s="30" t="s">
        <v>476</v>
      </c>
      <c r="K766" s="31" t="s">
        <v>151</v>
      </c>
      <c r="L766" s="32"/>
      <c r="M766" s="33" t="s">
        <v>3701</v>
      </c>
      <c r="N766" s="30" t="s">
        <v>48</v>
      </c>
      <c r="O766" s="1" t="n">
        <f aca="false">IF($B766="",0,IF(AND(OR(Filter!$B$5="(alle)",$N766=Filter!$B$5),OR(Filter!$E$5="(alle)",$K766=Filter!$E$5),OR(Filter!$H$5="(alle)",$C766=Filter!$H$5),OR(Filter!$B$7="(alle)",$E766=Filter!$B$7),OR(Filter!$E$7="(alle)",ISNUMBER(SEARCH(Filter!$E$7,$J766))),OR(Filter!$H$7="(alle)",ISNUMBER(SEARCH(Filter!$H$7,$I766))),OR(Filter!$B$9="",ISNUMBER(SEARCH(Filter!$B$9,$F766&amp;" "&amp;$G766)))),COUNTIF($O$6:$O765,"&gt;0")+1,0))</f>
        <v>760</v>
      </c>
    </row>
    <row r="767" customFormat="false" ht="51" hidden="false" customHeight="true" outlineLevel="0" collapsed="false">
      <c r="B767" s="30" t="s">
        <v>3844</v>
      </c>
      <c r="C767" s="30" t="s">
        <v>40</v>
      </c>
      <c r="D767" s="30" t="s">
        <v>3845</v>
      </c>
      <c r="E767" s="30" t="s">
        <v>94</v>
      </c>
      <c r="F767" s="30" t="s">
        <v>3846</v>
      </c>
      <c r="G767" s="30" t="s">
        <v>3846</v>
      </c>
      <c r="H767" s="30" t="s">
        <v>3699</v>
      </c>
      <c r="I767" s="30" t="s">
        <v>3847</v>
      </c>
      <c r="J767" s="30" t="s">
        <v>2548</v>
      </c>
      <c r="K767" s="31" t="s">
        <v>151</v>
      </c>
      <c r="L767" s="32"/>
      <c r="M767" s="33" t="s">
        <v>3701</v>
      </c>
      <c r="N767" s="30" t="s">
        <v>48</v>
      </c>
      <c r="O767" s="1" t="n">
        <f aca="false">IF($B767="",0,IF(AND(OR(Filter!$B$5="(alle)",$N767=Filter!$B$5),OR(Filter!$E$5="(alle)",$K767=Filter!$E$5),OR(Filter!$H$5="(alle)",$C767=Filter!$H$5),OR(Filter!$B$7="(alle)",$E767=Filter!$B$7),OR(Filter!$E$7="(alle)",ISNUMBER(SEARCH(Filter!$E$7,$J767))),OR(Filter!$H$7="(alle)",ISNUMBER(SEARCH(Filter!$H$7,$I767))),OR(Filter!$B$9="",ISNUMBER(SEARCH(Filter!$B$9,$F767&amp;" "&amp;$G767)))),COUNTIF($O$6:$O766,"&gt;0")+1,0))</f>
        <v>761</v>
      </c>
    </row>
    <row r="768" customFormat="false" ht="51" hidden="false" customHeight="true" outlineLevel="0" collapsed="false">
      <c r="B768" s="30" t="s">
        <v>3848</v>
      </c>
      <c r="C768" s="30" t="s">
        <v>40</v>
      </c>
      <c r="D768" s="30" t="s">
        <v>3849</v>
      </c>
      <c r="E768" s="30" t="s">
        <v>604</v>
      </c>
      <c r="F768" s="30" t="s">
        <v>3850</v>
      </c>
      <c r="G768" s="30" t="s">
        <v>3850</v>
      </c>
      <c r="H768" s="30" t="s">
        <v>3699</v>
      </c>
      <c r="I768" s="30" t="s">
        <v>3700</v>
      </c>
      <c r="J768" s="30" t="s">
        <v>159</v>
      </c>
      <c r="K768" s="31" t="s">
        <v>151</v>
      </c>
      <c r="L768" s="32"/>
      <c r="M768" s="33" t="s">
        <v>3701</v>
      </c>
      <c r="N768" s="30" t="s">
        <v>48</v>
      </c>
      <c r="O768" s="1" t="n">
        <f aca="false">IF($B768="",0,IF(AND(OR(Filter!$B$5="(alle)",$N768=Filter!$B$5),OR(Filter!$E$5="(alle)",$K768=Filter!$E$5),OR(Filter!$H$5="(alle)",$C768=Filter!$H$5),OR(Filter!$B$7="(alle)",$E768=Filter!$B$7),OR(Filter!$E$7="(alle)",ISNUMBER(SEARCH(Filter!$E$7,$J768))),OR(Filter!$H$7="(alle)",ISNUMBER(SEARCH(Filter!$H$7,$I768))),OR(Filter!$B$9="",ISNUMBER(SEARCH(Filter!$B$9,$F768&amp;" "&amp;$G768)))),COUNTIF($O$6:$O767,"&gt;0")+1,0))</f>
        <v>762</v>
      </c>
    </row>
    <row r="769" customFormat="false" ht="51" hidden="false" customHeight="true" outlineLevel="0" collapsed="false">
      <c r="B769" s="30" t="s">
        <v>3851</v>
      </c>
      <c r="C769" s="30" t="s">
        <v>40</v>
      </c>
      <c r="D769" s="30" t="s">
        <v>3852</v>
      </c>
      <c r="E769" s="30" t="s">
        <v>355</v>
      </c>
      <c r="F769" s="30" t="s">
        <v>3853</v>
      </c>
      <c r="G769" s="30" t="s">
        <v>3853</v>
      </c>
      <c r="H769" s="30" t="s">
        <v>3699</v>
      </c>
      <c r="I769" s="30" t="s">
        <v>306</v>
      </c>
      <c r="J769" s="30" t="s">
        <v>206</v>
      </c>
      <c r="K769" s="31" t="s">
        <v>151</v>
      </c>
      <c r="L769" s="32"/>
      <c r="M769" s="33" t="s">
        <v>3701</v>
      </c>
      <c r="N769" s="30" t="s">
        <v>48</v>
      </c>
      <c r="O769" s="1" t="n">
        <f aca="false">IF($B769="",0,IF(AND(OR(Filter!$B$5="(alle)",$N769=Filter!$B$5),OR(Filter!$E$5="(alle)",$K769=Filter!$E$5),OR(Filter!$H$5="(alle)",$C769=Filter!$H$5),OR(Filter!$B$7="(alle)",$E769=Filter!$B$7),OR(Filter!$E$7="(alle)",ISNUMBER(SEARCH(Filter!$E$7,$J769))),OR(Filter!$H$7="(alle)",ISNUMBER(SEARCH(Filter!$H$7,$I769))),OR(Filter!$B$9="",ISNUMBER(SEARCH(Filter!$B$9,$F769&amp;" "&amp;$G769)))),COUNTIF($O$6:$O768,"&gt;0")+1,0))</f>
        <v>763</v>
      </c>
    </row>
    <row r="770" customFormat="false" ht="51" hidden="false" customHeight="true" outlineLevel="0" collapsed="false">
      <c r="B770" s="30" t="s">
        <v>3854</v>
      </c>
      <c r="C770" s="30" t="s">
        <v>40</v>
      </c>
      <c r="D770" s="30" t="s">
        <v>3855</v>
      </c>
      <c r="E770" s="30" t="s">
        <v>155</v>
      </c>
      <c r="F770" s="30" t="s">
        <v>3856</v>
      </c>
      <c r="G770" s="30" t="s">
        <v>3857</v>
      </c>
      <c r="H770" s="30" t="s">
        <v>3699</v>
      </c>
      <c r="I770" s="30" t="s">
        <v>3700</v>
      </c>
      <c r="J770" s="30" t="s">
        <v>159</v>
      </c>
      <c r="K770" s="31" t="s">
        <v>151</v>
      </c>
      <c r="L770" s="32"/>
      <c r="M770" s="33" t="s">
        <v>3701</v>
      </c>
      <c r="N770" s="30" t="s">
        <v>48</v>
      </c>
      <c r="O770" s="1" t="n">
        <f aca="false">IF($B770="",0,IF(AND(OR(Filter!$B$5="(alle)",$N770=Filter!$B$5),OR(Filter!$E$5="(alle)",$K770=Filter!$E$5),OR(Filter!$H$5="(alle)",$C770=Filter!$H$5),OR(Filter!$B$7="(alle)",$E770=Filter!$B$7),OR(Filter!$E$7="(alle)",ISNUMBER(SEARCH(Filter!$E$7,$J770))),OR(Filter!$H$7="(alle)",ISNUMBER(SEARCH(Filter!$H$7,$I770))),OR(Filter!$B$9="",ISNUMBER(SEARCH(Filter!$B$9,$F770&amp;" "&amp;$G770)))),COUNTIF($O$6:$O769,"&gt;0")+1,0))</f>
        <v>764</v>
      </c>
    </row>
    <row r="771" customFormat="false" ht="51" hidden="false" customHeight="true" outlineLevel="0" collapsed="false">
      <c r="B771" s="30" t="s">
        <v>3858</v>
      </c>
      <c r="C771" s="30" t="s">
        <v>40</v>
      </c>
      <c r="D771" s="30" t="s">
        <v>3859</v>
      </c>
      <c r="E771" s="30" t="s">
        <v>604</v>
      </c>
      <c r="F771" s="30" t="s">
        <v>3860</v>
      </c>
      <c r="G771" s="30" t="s">
        <v>3860</v>
      </c>
      <c r="H771" s="30" t="s">
        <v>3699</v>
      </c>
      <c r="I771" s="30" t="s">
        <v>3700</v>
      </c>
      <c r="J771" s="30" t="s">
        <v>159</v>
      </c>
      <c r="K771" s="31" t="s">
        <v>151</v>
      </c>
      <c r="L771" s="32"/>
      <c r="M771" s="33" t="s">
        <v>3701</v>
      </c>
      <c r="N771" s="30" t="s">
        <v>48</v>
      </c>
      <c r="O771" s="1" t="n">
        <f aca="false">IF($B771="",0,IF(AND(OR(Filter!$B$5="(alle)",$N771=Filter!$B$5),OR(Filter!$E$5="(alle)",$K771=Filter!$E$5),OR(Filter!$H$5="(alle)",$C771=Filter!$H$5),OR(Filter!$B$7="(alle)",$E771=Filter!$B$7),OR(Filter!$E$7="(alle)",ISNUMBER(SEARCH(Filter!$E$7,$J771))),OR(Filter!$H$7="(alle)",ISNUMBER(SEARCH(Filter!$H$7,$I771))),OR(Filter!$B$9="",ISNUMBER(SEARCH(Filter!$B$9,$F771&amp;" "&amp;$G771)))),COUNTIF($O$6:$O770,"&gt;0")+1,0))</f>
        <v>765</v>
      </c>
    </row>
    <row r="772" customFormat="false" ht="51" hidden="false" customHeight="true" outlineLevel="0" collapsed="false">
      <c r="B772" s="30" t="s">
        <v>3861</v>
      </c>
      <c r="C772" s="30" t="s">
        <v>40</v>
      </c>
      <c r="D772" s="30" t="s">
        <v>3862</v>
      </c>
      <c r="E772" s="30" t="s">
        <v>344</v>
      </c>
      <c r="F772" s="30" t="s">
        <v>3863</v>
      </c>
      <c r="G772" s="30" t="s">
        <v>3863</v>
      </c>
      <c r="H772" s="30" t="s">
        <v>3712</v>
      </c>
      <c r="I772" s="30" t="s">
        <v>476</v>
      </c>
      <c r="J772" s="30" t="s">
        <v>476</v>
      </c>
      <c r="K772" s="31" t="s">
        <v>151</v>
      </c>
      <c r="L772" s="32"/>
      <c r="M772" s="33" t="s">
        <v>3701</v>
      </c>
      <c r="N772" s="30" t="s">
        <v>48</v>
      </c>
      <c r="O772" s="1" t="n">
        <f aca="false">IF($B772="",0,IF(AND(OR(Filter!$B$5="(alle)",$N772=Filter!$B$5),OR(Filter!$E$5="(alle)",$K772=Filter!$E$5),OR(Filter!$H$5="(alle)",$C772=Filter!$H$5),OR(Filter!$B$7="(alle)",$E772=Filter!$B$7),OR(Filter!$E$7="(alle)",ISNUMBER(SEARCH(Filter!$E$7,$J772))),OR(Filter!$H$7="(alle)",ISNUMBER(SEARCH(Filter!$H$7,$I772))),OR(Filter!$B$9="",ISNUMBER(SEARCH(Filter!$B$9,$F772&amp;" "&amp;$G772)))),COUNTIF($O$6:$O771,"&gt;0")+1,0))</f>
        <v>766</v>
      </c>
    </row>
    <row r="773" customFormat="false" ht="51" hidden="false" customHeight="true" outlineLevel="0" collapsed="false">
      <c r="B773" s="30" t="s">
        <v>3864</v>
      </c>
      <c r="C773" s="30" t="s">
        <v>40</v>
      </c>
      <c r="D773" s="30" t="s">
        <v>3865</v>
      </c>
      <c r="E773" s="30" t="s">
        <v>210</v>
      </c>
      <c r="F773" s="30" t="s">
        <v>3866</v>
      </c>
      <c r="G773" s="30" t="s">
        <v>3867</v>
      </c>
      <c r="H773" s="30" t="s">
        <v>3699</v>
      </c>
      <c r="I773" s="30" t="s">
        <v>306</v>
      </c>
      <c r="J773" s="30" t="s">
        <v>206</v>
      </c>
      <c r="K773" s="31" t="s">
        <v>151</v>
      </c>
      <c r="L773" s="32"/>
      <c r="M773" s="33" t="s">
        <v>3701</v>
      </c>
      <c r="N773" s="30" t="s">
        <v>48</v>
      </c>
      <c r="O773" s="1" t="n">
        <f aca="false">IF($B773="",0,IF(AND(OR(Filter!$B$5="(alle)",$N773=Filter!$B$5),OR(Filter!$E$5="(alle)",$K773=Filter!$E$5),OR(Filter!$H$5="(alle)",$C773=Filter!$H$5),OR(Filter!$B$7="(alle)",$E773=Filter!$B$7),OR(Filter!$E$7="(alle)",ISNUMBER(SEARCH(Filter!$E$7,$J773))),OR(Filter!$H$7="(alle)",ISNUMBER(SEARCH(Filter!$H$7,$I773))),OR(Filter!$B$9="",ISNUMBER(SEARCH(Filter!$B$9,$F773&amp;" "&amp;$G773)))),COUNTIF($O$6:$O772,"&gt;0")+1,0))</f>
        <v>767</v>
      </c>
    </row>
    <row r="774" customFormat="false" ht="51" hidden="false" customHeight="true" outlineLevel="0" collapsed="false">
      <c r="B774" s="30" t="s">
        <v>3868</v>
      </c>
      <c r="C774" s="30" t="s">
        <v>40</v>
      </c>
      <c r="D774" s="30" t="s">
        <v>3869</v>
      </c>
      <c r="E774" s="30" t="s">
        <v>604</v>
      </c>
      <c r="F774" s="30" t="s">
        <v>3870</v>
      </c>
      <c r="G774" s="30" t="s">
        <v>3871</v>
      </c>
      <c r="H774" s="30" t="s">
        <v>3712</v>
      </c>
      <c r="I774" s="30" t="s">
        <v>476</v>
      </c>
      <c r="J774" s="30" t="s">
        <v>476</v>
      </c>
      <c r="K774" s="31" t="s">
        <v>151</v>
      </c>
      <c r="L774" s="32"/>
      <c r="M774" s="33" t="s">
        <v>3701</v>
      </c>
      <c r="N774" s="30" t="s">
        <v>48</v>
      </c>
      <c r="O774" s="1" t="n">
        <f aca="false">IF($B774="",0,IF(AND(OR(Filter!$B$5="(alle)",$N774=Filter!$B$5),OR(Filter!$E$5="(alle)",$K774=Filter!$E$5),OR(Filter!$H$5="(alle)",$C774=Filter!$H$5),OR(Filter!$B$7="(alle)",$E774=Filter!$B$7),OR(Filter!$E$7="(alle)",ISNUMBER(SEARCH(Filter!$E$7,$J774))),OR(Filter!$H$7="(alle)",ISNUMBER(SEARCH(Filter!$H$7,$I774))),OR(Filter!$B$9="",ISNUMBER(SEARCH(Filter!$B$9,$F774&amp;" "&amp;$G774)))),COUNTIF($O$6:$O773,"&gt;0")+1,0))</f>
        <v>768</v>
      </c>
    </row>
    <row r="775" customFormat="false" ht="51" hidden="false" customHeight="true" outlineLevel="0" collapsed="false">
      <c r="B775" s="30" t="s">
        <v>3872</v>
      </c>
      <c r="C775" s="30" t="s">
        <v>40</v>
      </c>
      <c r="D775" s="30" t="s">
        <v>3873</v>
      </c>
      <c r="E775" s="30" t="s">
        <v>604</v>
      </c>
      <c r="F775" s="30" t="s">
        <v>3874</v>
      </c>
      <c r="G775" s="30" t="s">
        <v>3874</v>
      </c>
      <c r="H775" s="30" t="s">
        <v>3699</v>
      </c>
      <c r="I775" s="30" t="s">
        <v>3700</v>
      </c>
      <c r="J775" s="30" t="s">
        <v>159</v>
      </c>
      <c r="K775" s="31" t="s">
        <v>151</v>
      </c>
      <c r="L775" s="32"/>
      <c r="M775" s="33" t="s">
        <v>3701</v>
      </c>
      <c r="N775" s="30" t="s">
        <v>48</v>
      </c>
      <c r="O775" s="1" t="n">
        <f aca="false">IF($B775="",0,IF(AND(OR(Filter!$B$5="(alle)",$N775=Filter!$B$5),OR(Filter!$E$5="(alle)",$K775=Filter!$E$5),OR(Filter!$H$5="(alle)",$C775=Filter!$H$5),OR(Filter!$B$7="(alle)",$E775=Filter!$B$7),OR(Filter!$E$7="(alle)",ISNUMBER(SEARCH(Filter!$E$7,$J775))),OR(Filter!$H$7="(alle)",ISNUMBER(SEARCH(Filter!$H$7,$I775))),OR(Filter!$B$9="",ISNUMBER(SEARCH(Filter!$B$9,$F775&amp;" "&amp;$G775)))),COUNTIF($O$6:$O774,"&gt;0")+1,0))</f>
        <v>769</v>
      </c>
    </row>
    <row r="776" customFormat="false" ht="51" hidden="false" customHeight="true" outlineLevel="0" collapsed="false">
      <c r="B776" s="30" t="s">
        <v>3875</v>
      </c>
      <c r="C776" s="30" t="s">
        <v>40</v>
      </c>
      <c r="D776" s="30" t="s">
        <v>3876</v>
      </c>
      <c r="E776" s="30" t="s">
        <v>344</v>
      </c>
      <c r="F776" s="30" t="s">
        <v>3877</v>
      </c>
      <c r="G776" s="30" t="s">
        <v>3877</v>
      </c>
      <c r="H776" s="30" t="s">
        <v>3699</v>
      </c>
      <c r="I776" s="30" t="s">
        <v>306</v>
      </c>
      <c r="J776" s="30" t="s">
        <v>206</v>
      </c>
      <c r="K776" s="31" t="s">
        <v>151</v>
      </c>
      <c r="L776" s="32"/>
      <c r="M776" s="33" t="s">
        <v>3701</v>
      </c>
      <c r="N776" s="30" t="s">
        <v>48</v>
      </c>
      <c r="O776" s="1" t="n">
        <f aca="false">IF($B776="",0,IF(AND(OR(Filter!$B$5="(alle)",$N776=Filter!$B$5),OR(Filter!$E$5="(alle)",$K776=Filter!$E$5),OR(Filter!$H$5="(alle)",$C776=Filter!$H$5),OR(Filter!$B$7="(alle)",$E776=Filter!$B$7),OR(Filter!$E$7="(alle)",ISNUMBER(SEARCH(Filter!$E$7,$J776))),OR(Filter!$H$7="(alle)",ISNUMBER(SEARCH(Filter!$H$7,$I776))),OR(Filter!$B$9="",ISNUMBER(SEARCH(Filter!$B$9,$F776&amp;" "&amp;$G776)))),COUNTIF($O$6:$O775,"&gt;0")+1,0))</f>
        <v>770</v>
      </c>
    </row>
    <row r="777" customFormat="false" ht="51" hidden="false" customHeight="true" outlineLevel="0" collapsed="false">
      <c r="B777" s="30" t="s">
        <v>3878</v>
      </c>
      <c r="C777" s="30" t="s">
        <v>40</v>
      </c>
      <c r="D777" s="30" t="s">
        <v>170</v>
      </c>
      <c r="E777" s="30" t="s">
        <v>547</v>
      </c>
      <c r="F777" s="30" t="s">
        <v>3879</v>
      </c>
      <c r="G777" s="30" t="s">
        <v>3879</v>
      </c>
      <c r="H777" s="30" t="s">
        <v>3880</v>
      </c>
      <c r="I777" s="30" t="s">
        <v>476</v>
      </c>
      <c r="J777" s="30" t="s">
        <v>476</v>
      </c>
      <c r="K777" s="31" t="s">
        <v>151</v>
      </c>
      <c r="L777" s="32"/>
      <c r="M777" s="33" t="s">
        <v>3701</v>
      </c>
      <c r="N777" s="30" t="s">
        <v>48</v>
      </c>
      <c r="O777" s="1" t="n">
        <f aca="false">IF($B777="",0,IF(AND(OR(Filter!$B$5="(alle)",$N777=Filter!$B$5),OR(Filter!$E$5="(alle)",$K777=Filter!$E$5),OR(Filter!$H$5="(alle)",$C777=Filter!$H$5),OR(Filter!$B$7="(alle)",$E777=Filter!$B$7),OR(Filter!$E$7="(alle)",ISNUMBER(SEARCH(Filter!$E$7,$J777))),OR(Filter!$H$7="(alle)",ISNUMBER(SEARCH(Filter!$H$7,$I777))),OR(Filter!$B$9="",ISNUMBER(SEARCH(Filter!$B$9,$F777&amp;" "&amp;$G777)))),COUNTIF($O$6:$O776,"&gt;0")+1,0))</f>
        <v>771</v>
      </c>
    </row>
    <row r="778" customFormat="false" ht="51" hidden="false" customHeight="true" outlineLevel="0" collapsed="false">
      <c r="B778" s="30" t="s">
        <v>3881</v>
      </c>
      <c r="C778" s="30" t="s">
        <v>40</v>
      </c>
      <c r="D778" s="30" t="s">
        <v>3882</v>
      </c>
      <c r="E778" s="30" t="s">
        <v>604</v>
      </c>
      <c r="F778" s="30" t="s">
        <v>3883</v>
      </c>
      <c r="G778" s="30" t="s">
        <v>3884</v>
      </c>
      <c r="H778" s="30" t="s">
        <v>3712</v>
      </c>
      <c r="I778" s="30" t="s">
        <v>476</v>
      </c>
      <c r="J778" s="30" t="s">
        <v>476</v>
      </c>
      <c r="K778" s="31" t="s">
        <v>151</v>
      </c>
      <c r="L778" s="32"/>
      <c r="M778" s="33" t="s">
        <v>3701</v>
      </c>
      <c r="N778" s="30" t="s">
        <v>48</v>
      </c>
      <c r="O778" s="1" t="n">
        <f aca="false">IF($B778="",0,IF(AND(OR(Filter!$B$5="(alle)",$N778=Filter!$B$5),OR(Filter!$E$5="(alle)",$K778=Filter!$E$5),OR(Filter!$H$5="(alle)",$C778=Filter!$H$5),OR(Filter!$B$7="(alle)",$E778=Filter!$B$7),OR(Filter!$E$7="(alle)",ISNUMBER(SEARCH(Filter!$E$7,$J778))),OR(Filter!$H$7="(alle)",ISNUMBER(SEARCH(Filter!$H$7,$I778))),OR(Filter!$B$9="",ISNUMBER(SEARCH(Filter!$B$9,$F778&amp;" "&amp;$G778)))),COUNTIF($O$6:$O777,"&gt;0")+1,0))</f>
        <v>772</v>
      </c>
    </row>
    <row r="779" customFormat="false" ht="51" hidden="false" customHeight="true" outlineLevel="0" collapsed="false">
      <c r="B779" s="30" t="s">
        <v>3885</v>
      </c>
      <c r="C779" s="30" t="s">
        <v>40</v>
      </c>
      <c r="D779" s="30" t="s">
        <v>3886</v>
      </c>
      <c r="E779" s="30" t="s">
        <v>210</v>
      </c>
      <c r="F779" s="30" t="s">
        <v>3887</v>
      </c>
      <c r="G779" s="30" t="s">
        <v>3888</v>
      </c>
      <c r="H779" s="30" t="s">
        <v>3889</v>
      </c>
      <c r="I779" s="30" t="s">
        <v>306</v>
      </c>
      <c r="J779" s="30" t="s">
        <v>206</v>
      </c>
      <c r="K779" s="31" t="s">
        <v>47</v>
      </c>
      <c r="L779" s="32"/>
      <c r="M779" s="33"/>
      <c r="N779" s="30" t="s">
        <v>48</v>
      </c>
      <c r="O779" s="1" t="n">
        <f aca="false">IF($B779="",0,IF(AND(OR(Filter!$B$5="(alle)",$N779=Filter!$B$5),OR(Filter!$E$5="(alle)",$K779=Filter!$E$5),OR(Filter!$H$5="(alle)",$C779=Filter!$H$5),OR(Filter!$B$7="(alle)",$E779=Filter!$B$7),OR(Filter!$E$7="(alle)",ISNUMBER(SEARCH(Filter!$E$7,$J779))),OR(Filter!$H$7="(alle)",ISNUMBER(SEARCH(Filter!$H$7,$I779))),OR(Filter!$B$9="",ISNUMBER(SEARCH(Filter!$B$9,$F779&amp;" "&amp;$G779)))),COUNTIF($O$6:$O778,"&gt;0")+1,0))</f>
        <v>773</v>
      </c>
    </row>
    <row r="780" customFormat="false" ht="51" hidden="false" customHeight="true" outlineLevel="0" collapsed="false">
      <c r="B780" s="30" t="s">
        <v>3890</v>
      </c>
      <c r="C780" s="30" t="s">
        <v>40</v>
      </c>
      <c r="D780" s="30" t="s">
        <v>3891</v>
      </c>
      <c r="E780" s="30" t="s">
        <v>210</v>
      </c>
      <c r="F780" s="30" t="s">
        <v>3892</v>
      </c>
      <c r="G780" s="30" t="s">
        <v>3892</v>
      </c>
      <c r="H780" s="30" t="s">
        <v>3893</v>
      </c>
      <c r="I780" s="30" t="s">
        <v>306</v>
      </c>
      <c r="J780" s="30" t="s">
        <v>206</v>
      </c>
      <c r="K780" s="31" t="s">
        <v>47</v>
      </c>
      <c r="L780" s="32"/>
      <c r="M780" s="33"/>
      <c r="N780" s="30" t="s">
        <v>48</v>
      </c>
      <c r="O780" s="1" t="n">
        <f aca="false">IF($B780="",0,IF(AND(OR(Filter!$B$5="(alle)",$N780=Filter!$B$5),OR(Filter!$E$5="(alle)",$K780=Filter!$E$5),OR(Filter!$H$5="(alle)",$C780=Filter!$H$5),OR(Filter!$B$7="(alle)",$E780=Filter!$B$7),OR(Filter!$E$7="(alle)",ISNUMBER(SEARCH(Filter!$E$7,$J780))),OR(Filter!$H$7="(alle)",ISNUMBER(SEARCH(Filter!$H$7,$I780))),OR(Filter!$B$9="",ISNUMBER(SEARCH(Filter!$B$9,$F780&amp;" "&amp;$G780)))),COUNTIF($O$6:$O779,"&gt;0")+1,0))</f>
        <v>774</v>
      </c>
    </row>
    <row r="781" customFormat="false" ht="51" hidden="false" customHeight="true" outlineLevel="0" collapsed="false">
      <c r="B781" s="30" t="s">
        <v>3894</v>
      </c>
      <c r="C781" s="30" t="s">
        <v>40</v>
      </c>
      <c r="D781" s="30" t="s">
        <v>3895</v>
      </c>
      <c r="E781" s="30" t="s">
        <v>210</v>
      </c>
      <c r="F781" s="30" t="s">
        <v>3896</v>
      </c>
      <c r="G781" s="30" t="s">
        <v>3897</v>
      </c>
      <c r="H781" s="30" t="s">
        <v>3893</v>
      </c>
      <c r="I781" s="30" t="s">
        <v>306</v>
      </c>
      <c r="J781" s="30" t="s">
        <v>206</v>
      </c>
      <c r="K781" s="31" t="s">
        <v>47</v>
      </c>
      <c r="L781" s="32"/>
      <c r="M781" s="33"/>
      <c r="N781" s="30" t="s">
        <v>48</v>
      </c>
      <c r="O781" s="1" t="n">
        <f aca="false">IF($B781="",0,IF(AND(OR(Filter!$B$5="(alle)",$N781=Filter!$B$5),OR(Filter!$E$5="(alle)",$K781=Filter!$E$5),OR(Filter!$H$5="(alle)",$C781=Filter!$H$5),OR(Filter!$B$7="(alle)",$E781=Filter!$B$7),OR(Filter!$E$7="(alle)",ISNUMBER(SEARCH(Filter!$E$7,$J781))),OR(Filter!$H$7="(alle)",ISNUMBER(SEARCH(Filter!$H$7,$I781))),OR(Filter!$B$9="",ISNUMBER(SEARCH(Filter!$B$9,$F781&amp;" "&amp;$G781)))),COUNTIF($O$6:$O780,"&gt;0")+1,0))</f>
        <v>775</v>
      </c>
    </row>
    <row r="782" customFormat="false" ht="51" hidden="false" customHeight="true" outlineLevel="0" collapsed="false">
      <c r="B782" s="30" t="s">
        <v>3898</v>
      </c>
      <c r="C782" s="30" t="s">
        <v>40</v>
      </c>
      <c r="D782" s="30" t="s">
        <v>3899</v>
      </c>
      <c r="E782" s="30" t="s">
        <v>210</v>
      </c>
      <c r="F782" s="30" t="s">
        <v>3900</v>
      </c>
      <c r="G782" s="30" t="s">
        <v>3901</v>
      </c>
      <c r="H782" s="30" t="s">
        <v>3893</v>
      </c>
      <c r="I782" s="30" t="s">
        <v>306</v>
      </c>
      <c r="J782" s="30" t="s">
        <v>206</v>
      </c>
      <c r="K782" s="31" t="s">
        <v>47</v>
      </c>
      <c r="L782" s="32"/>
      <c r="M782" s="33"/>
      <c r="N782" s="30" t="s">
        <v>48</v>
      </c>
      <c r="O782" s="1" t="n">
        <f aca="false">IF($B782="",0,IF(AND(OR(Filter!$B$5="(alle)",$N782=Filter!$B$5),OR(Filter!$E$5="(alle)",$K782=Filter!$E$5),OR(Filter!$H$5="(alle)",$C782=Filter!$H$5),OR(Filter!$B$7="(alle)",$E782=Filter!$B$7),OR(Filter!$E$7="(alle)",ISNUMBER(SEARCH(Filter!$E$7,$J782))),OR(Filter!$H$7="(alle)",ISNUMBER(SEARCH(Filter!$H$7,$I782))),OR(Filter!$B$9="",ISNUMBER(SEARCH(Filter!$B$9,$F782&amp;" "&amp;$G782)))),COUNTIF($O$6:$O781,"&gt;0")+1,0))</f>
        <v>776</v>
      </c>
    </row>
    <row r="783" customFormat="false" ht="51" hidden="false" customHeight="true" outlineLevel="0" collapsed="false">
      <c r="B783" s="30" t="s">
        <v>3902</v>
      </c>
      <c r="C783" s="30" t="s">
        <v>40</v>
      </c>
      <c r="D783" s="30" t="s">
        <v>3903</v>
      </c>
      <c r="E783" s="30" t="s">
        <v>210</v>
      </c>
      <c r="F783" s="30" t="s">
        <v>3904</v>
      </c>
      <c r="G783" s="30" t="s">
        <v>3905</v>
      </c>
      <c r="H783" s="30" t="s">
        <v>3893</v>
      </c>
      <c r="I783" s="30" t="s">
        <v>306</v>
      </c>
      <c r="J783" s="30" t="s">
        <v>206</v>
      </c>
      <c r="K783" s="31" t="s">
        <v>47</v>
      </c>
      <c r="L783" s="32"/>
      <c r="M783" s="33"/>
      <c r="N783" s="30" t="s">
        <v>48</v>
      </c>
      <c r="O783" s="1" t="n">
        <f aca="false">IF($B783="",0,IF(AND(OR(Filter!$B$5="(alle)",$N783=Filter!$B$5),OR(Filter!$E$5="(alle)",$K783=Filter!$E$5),OR(Filter!$H$5="(alle)",$C783=Filter!$H$5),OR(Filter!$B$7="(alle)",$E783=Filter!$B$7),OR(Filter!$E$7="(alle)",ISNUMBER(SEARCH(Filter!$E$7,$J783))),OR(Filter!$H$7="(alle)",ISNUMBER(SEARCH(Filter!$H$7,$I783))),OR(Filter!$B$9="",ISNUMBER(SEARCH(Filter!$B$9,$F783&amp;" "&amp;$G783)))),COUNTIF($O$6:$O782,"&gt;0")+1,0))</f>
        <v>777</v>
      </c>
    </row>
    <row r="784" customFormat="false" ht="51" hidden="false" customHeight="true" outlineLevel="0" collapsed="false">
      <c r="B784" s="30" t="s">
        <v>3906</v>
      </c>
      <c r="C784" s="30" t="s">
        <v>40</v>
      </c>
      <c r="D784" s="30" t="s">
        <v>3907</v>
      </c>
      <c r="E784" s="30" t="s">
        <v>210</v>
      </c>
      <c r="F784" s="30" t="s">
        <v>3908</v>
      </c>
      <c r="G784" s="30" t="s">
        <v>3909</v>
      </c>
      <c r="H784" s="30" t="s">
        <v>3893</v>
      </c>
      <c r="I784" s="30" t="s">
        <v>306</v>
      </c>
      <c r="J784" s="30" t="s">
        <v>206</v>
      </c>
      <c r="K784" s="31" t="s">
        <v>47</v>
      </c>
      <c r="L784" s="32"/>
      <c r="M784" s="33"/>
      <c r="N784" s="30" t="s">
        <v>48</v>
      </c>
      <c r="O784" s="1" t="n">
        <f aca="false">IF($B784="",0,IF(AND(OR(Filter!$B$5="(alle)",$N784=Filter!$B$5),OR(Filter!$E$5="(alle)",$K784=Filter!$E$5),OR(Filter!$H$5="(alle)",$C784=Filter!$H$5),OR(Filter!$B$7="(alle)",$E784=Filter!$B$7),OR(Filter!$E$7="(alle)",ISNUMBER(SEARCH(Filter!$E$7,$J784))),OR(Filter!$H$7="(alle)",ISNUMBER(SEARCH(Filter!$H$7,$I784))),OR(Filter!$B$9="",ISNUMBER(SEARCH(Filter!$B$9,$F784&amp;" "&amp;$G784)))),COUNTIF($O$6:$O783,"&gt;0")+1,0))</f>
        <v>778</v>
      </c>
    </row>
    <row r="785" customFormat="false" ht="51" hidden="false" customHeight="true" outlineLevel="0" collapsed="false">
      <c r="B785" s="30" t="s">
        <v>3910</v>
      </c>
      <c r="C785" s="30" t="s">
        <v>40</v>
      </c>
      <c r="D785" s="30" t="s">
        <v>3911</v>
      </c>
      <c r="E785" s="30" t="s">
        <v>604</v>
      </c>
      <c r="F785" s="30" t="s">
        <v>3912</v>
      </c>
      <c r="G785" s="30" t="s">
        <v>3912</v>
      </c>
      <c r="H785" s="30" t="s">
        <v>3913</v>
      </c>
      <c r="I785" s="30" t="s">
        <v>476</v>
      </c>
      <c r="J785" s="30" t="s">
        <v>476</v>
      </c>
      <c r="K785" s="31" t="s">
        <v>47</v>
      </c>
      <c r="L785" s="32"/>
      <c r="M785" s="33"/>
      <c r="N785" s="30" t="s">
        <v>48</v>
      </c>
      <c r="O785" s="1" t="n">
        <f aca="false">IF($B785="",0,IF(AND(OR(Filter!$B$5="(alle)",$N785=Filter!$B$5),OR(Filter!$E$5="(alle)",$K785=Filter!$E$5),OR(Filter!$H$5="(alle)",$C785=Filter!$H$5),OR(Filter!$B$7="(alle)",$E785=Filter!$B$7),OR(Filter!$E$7="(alle)",ISNUMBER(SEARCH(Filter!$E$7,$J785))),OR(Filter!$H$7="(alle)",ISNUMBER(SEARCH(Filter!$H$7,$I785))),OR(Filter!$B$9="",ISNUMBER(SEARCH(Filter!$B$9,$F785&amp;" "&amp;$G785)))),COUNTIF($O$6:$O784,"&gt;0")+1,0))</f>
        <v>779</v>
      </c>
    </row>
    <row r="786" customFormat="false" ht="51" hidden="false" customHeight="true" outlineLevel="0" collapsed="false">
      <c r="B786" s="30" t="s">
        <v>3914</v>
      </c>
      <c r="C786" s="30" t="s">
        <v>40</v>
      </c>
      <c r="D786" s="30" t="s">
        <v>3915</v>
      </c>
      <c r="E786" s="30" t="s">
        <v>361</v>
      </c>
      <c r="F786" s="30" t="s">
        <v>3916</v>
      </c>
      <c r="G786" s="30" t="s">
        <v>3917</v>
      </c>
      <c r="H786" s="30" t="s">
        <v>3918</v>
      </c>
      <c r="I786" s="30" t="s">
        <v>306</v>
      </c>
      <c r="J786" s="30" t="s">
        <v>206</v>
      </c>
      <c r="K786" s="31" t="s">
        <v>47</v>
      </c>
      <c r="L786" s="32"/>
      <c r="M786" s="33"/>
      <c r="N786" s="30" t="s">
        <v>48</v>
      </c>
      <c r="O786" s="1" t="n">
        <f aca="false">IF($B786="",0,IF(AND(OR(Filter!$B$5="(alle)",$N786=Filter!$B$5),OR(Filter!$E$5="(alle)",$K786=Filter!$E$5),OR(Filter!$H$5="(alle)",$C786=Filter!$H$5),OR(Filter!$B$7="(alle)",$E786=Filter!$B$7),OR(Filter!$E$7="(alle)",ISNUMBER(SEARCH(Filter!$E$7,$J786))),OR(Filter!$H$7="(alle)",ISNUMBER(SEARCH(Filter!$H$7,$I786))),OR(Filter!$B$9="",ISNUMBER(SEARCH(Filter!$B$9,$F786&amp;" "&amp;$G786)))),COUNTIF($O$6:$O785,"&gt;0")+1,0))</f>
        <v>780</v>
      </c>
    </row>
    <row r="787" customFormat="false" ht="51" hidden="false" customHeight="true" outlineLevel="0" collapsed="false">
      <c r="B787" s="30" t="s">
        <v>3919</v>
      </c>
      <c r="C787" s="30" t="s">
        <v>40</v>
      </c>
      <c r="D787" s="30" t="s">
        <v>3920</v>
      </c>
      <c r="E787" s="30" t="s">
        <v>344</v>
      </c>
      <c r="F787" s="30" t="s">
        <v>3921</v>
      </c>
      <c r="G787" s="30" t="s">
        <v>3922</v>
      </c>
      <c r="H787" s="30" t="s">
        <v>3918</v>
      </c>
      <c r="I787" s="30" t="s">
        <v>306</v>
      </c>
      <c r="J787" s="30" t="s">
        <v>206</v>
      </c>
      <c r="K787" s="31" t="s">
        <v>47</v>
      </c>
      <c r="L787" s="32"/>
      <c r="M787" s="33"/>
      <c r="N787" s="30" t="s">
        <v>48</v>
      </c>
      <c r="O787" s="1" t="n">
        <f aca="false">IF($B787="",0,IF(AND(OR(Filter!$B$5="(alle)",$N787=Filter!$B$5),OR(Filter!$E$5="(alle)",$K787=Filter!$E$5),OR(Filter!$H$5="(alle)",$C787=Filter!$H$5),OR(Filter!$B$7="(alle)",$E787=Filter!$B$7),OR(Filter!$E$7="(alle)",ISNUMBER(SEARCH(Filter!$E$7,$J787))),OR(Filter!$H$7="(alle)",ISNUMBER(SEARCH(Filter!$H$7,$I787))),OR(Filter!$B$9="",ISNUMBER(SEARCH(Filter!$B$9,$F787&amp;" "&amp;$G787)))),COUNTIF($O$6:$O786,"&gt;0")+1,0))</f>
        <v>781</v>
      </c>
    </row>
    <row r="788" customFormat="false" ht="51" hidden="false" customHeight="true" outlineLevel="0" collapsed="false">
      <c r="B788" s="30" t="s">
        <v>3923</v>
      </c>
      <c r="C788" s="30" t="s">
        <v>40</v>
      </c>
      <c r="D788" s="30" t="s">
        <v>3924</v>
      </c>
      <c r="E788" s="30" t="s">
        <v>547</v>
      </c>
      <c r="F788" s="30" t="s">
        <v>3925</v>
      </c>
      <c r="G788" s="30" t="s">
        <v>3925</v>
      </c>
      <c r="H788" s="30" t="s">
        <v>3913</v>
      </c>
      <c r="I788" s="30" t="s">
        <v>476</v>
      </c>
      <c r="J788" s="30" t="s">
        <v>476</v>
      </c>
      <c r="K788" s="31" t="s">
        <v>47</v>
      </c>
      <c r="L788" s="32"/>
      <c r="M788" s="33"/>
      <c r="N788" s="30" t="s">
        <v>48</v>
      </c>
      <c r="O788" s="1" t="n">
        <f aca="false">IF($B788="",0,IF(AND(OR(Filter!$B$5="(alle)",$N788=Filter!$B$5),OR(Filter!$E$5="(alle)",$K788=Filter!$E$5),OR(Filter!$H$5="(alle)",$C788=Filter!$H$5),OR(Filter!$B$7="(alle)",$E788=Filter!$B$7),OR(Filter!$E$7="(alle)",ISNUMBER(SEARCH(Filter!$E$7,$J788))),OR(Filter!$H$7="(alle)",ISNUMBER(SEARCH(Filter!$H$7,$I788))),OR(Filter!$B$9="",ISNUMBER(SEARCH(Filter!$B$9,$F788&amp;" "&amp;$G788)))),COUNTIF($O$6:$O787,"&gt;0")+1,0))</f>
        <v>782</v>
      </c>
    </row>
    <row r="789" customFormat="false" ht="51" hidden="false" customHeight="true" outlineLevel="0" collapsed="false">
      <c r="B789" s="30" t="s">
        <v>3926</v>
      </c>
      <c r="C789" s="30" t="s">
        <v>40</v>
      </c>
      <c r="D789" s="30" t="s">
        <v>3927</v>
      </c>
      <c r="E789" s="30" t="s">
        <v>355</v>
      </c>
      <c r="F789" s="30" t="s">
        <v>3928</v>
      </c>
      <c r="G789" s="30" t="s">
        <v>3929</v>
      </c>
      <c r="H789" s="30" t="s">
        <v>3918</v>
      </c>
      <c r="I789" s="30" t="s">
        <v>306</v>
      </c>
      <c r="J789" s="30" t="s">
        <v>206</v>
      </c>
      <c r="K789" s="31" t="s">
        <v>47</v>
      </c>
      <c r="L789" s="32"/>
      <c r="M789" s="33"/>
      <c r="N789" s="30" t="s">
        <v>48</v>
      </c>
      <c r="O789" s="1" t="n">
        <f aca="false">IF($B789="",0,IF(AND(OR(Filter!$B$5="(alle)",$N789=Filter!$B$5),OR(Filter!$E$5="(alle)",$K789=Filter!$E$5),OR(Filter!$H$5="(alle)",$C789=Filter!$H$5),OR(Filter!$B$7="(alle)",$E789=Filter!$B$7),OR(Filter!$E$7="(alle)",ISNUMBER(SEARCH(Filter!$E$7,$J789))),OR(Filter!$H$7="(alle)",ISNUMBER(SEARCH(Filter!$H$7,$I789))),OR(Filter!$B$9="",ISNUMBER(SEARCH(Filter!$B$9,$F789&amp;" "&amp;$G789)))),COUNTIF($O$6:$O788,"&gt;0")+1,0))</f>
        <v>783</v>
      </c>
    </row>
    <row r="790" customFormat="false" ht="51" hidden="false" customHeight="true" outlineLevel="0" collapsed="false">
      <c r="B790" s="30" t="s">
        <v>3930</v>
      </c>
      <c r="C790" s="30" t="s">
        <v>40</v>
      </c>
      <c r="D790" s="30" t="s">
        <v>3931</v>
      </c>
      <c r="E790" s="30" t="s">
        <v>361</v>
      </c>
      <c r="F790" s="30" t="s">
        <v>3932</v>
      </c>
      <c r="G790" s="30" t="s">
        <v>3933</v>
      </c>
      <c r="H790" s="30" t="s">
        <v>3918</v>
      </c>
      <c r="I790" s="30" t="s">
        <v>306</v>
      </c>
      <c r="J790" s="30" t="s">
        <v>206</v>
      </c>
      <c r="K790" s="31" t="s">
        <v>47</v>
      </c>
      <c r="L790" s="32"/>
      <c r="M790" s="33"/>
      <c r="N790" s="30" t="s">
        <v>48</v>
      </c>
      <c r="O790" s="1" t="n">
        <f aca="false">IF($B790="",0,IF(AND(OR(Filter!$B$5="(alle)",$N790=Filter!$B$5),OR(Filter!$E$5="(alle)",$K790=Filter!$E$5),OR(Filter!$H$5="(alle)",$C790=Filter!$H$5),OR(Filter!$B$7="(alle)",$E790=Filter!$B$7),OR(Filter!$E$7="(alle)",ISNUMBER(SEARCH(Filter!$E$7,$J790))),OR(Filter!$H$7="(alle)",ISNUMBER(SEARCH(Filter!$H$7,$I790))),OR(Filter!$B$9="",ISNUMBER(SEARCH(Filter!$B$9,$F790&amp;" "&amp;$G790)))),COUNTIF($O$6:$O789,"&gt;0")+1,0))</f>
        <v>784</v>
      </c>
    </row>
    <row r="791" customFormat="false" ht="51" hidden="false" customHeight="true" outlineLevel="0" collapsed="false">
      <c r="B791" s="30" t="s">
        <v>3934</v>
      </c>
      <c r="C791" s="30" t="s">
        <v>40</v>
      </c>
      <c r="D791" s="30" t="s">
        <v>3935</v>
      </c>
      <c r="E791" s="30" t="s">
        <v>361</v>
      </c>
      <c r="F791" s="30" t="s">
        <v>3936</v>
      </c>
      <c r="G791" s="30" t="s">
        <v>3937</v>
      </c>
      <c r="H791" s="30" t="s">
        <v>3918</v>
      </c>
      <c r="I791" s="30" t="s">
        <v>306</v>
      </c>
      <c r="J791" s="30" t="s">
        <v>206</v>
      </c>
      <c r="K791" s="31" t="s">
        <v>47</v>
      </c>
      <c r="L791" s="32"/>
      <c r="M791" s="33"/>
      <c r="N791" s="30" t="s">
        <v>48</v>
      </c>
      <c r="O791" s="1" t="n">
        <f aca="false">IF($B791="",0,IF(AND(OR(Filter!$B$5="(alle)",$N791=Filter!$B$5),OR(Filter!$E$5="(alle)",$K791=Filter!$E$5),OR(Filter!$H$5="(alle)",$C791=Filter!$H$5),OR(Filter!$B$7="(alle)",$E791=Filter!$B$7),OR(Filter!$E$7="(alle)",ISNUMBER(SEARCH(Filter!$E$7,$J791))),OR(Filter!$H$7="(alle)",ISNUMBER(SEARCH(Filter!$H$7,$I791))),OR(Filter!$B$9="",ISNUMBER(SEARCH(Filter!$B$9,$F791&amp;" "&amp;$G791)))),COUNTIF($O$6:$O790,"&gt;0")+1,0))</f>
        <v>785</v>
      </c>
    </row>
    <row r="792" customFormat="false" ht="51" hidden="false" customHeight="true" outlineLevel="0" collapsed="false">
      <c r="B792" s="30" t="s">
        <v>3938</v>
      </c>
      <c r="C792" s="30" t="s">
        <v>40</v>
      </c>
      <c r="D792" s="30" t="s">
        <v>3939</v>
      </c>
      <c r="E792" s="30" t="s">
        <v>361</v>
      </c>
      <c r="F792" s="30" t="s">
        <v>3940</v>
      </c>
      <c r="G792" s="30" t="s">
        <v>3941</v>
      </c>
      <c r="H792" s="30" t="s">
        <v>3918</v>
      </c>
      <c r="I792" s="30" t="s">
        <v>306</v>
      </c>
      <c r="J792" s="30" t="s">
        <v>206</v>
      </c>
      <c r="K792" s="31" t="s">
        <v>47</v>
      </c>
      <c r="L792" s="32"/>
      <c r="M792" s="33"/>
      <c r="N792" s="30" t="s">
        <v>48</v>
      </c>
      <c r="O792" s="1" t="n">
        <f aca="false">IF($B792="",0,IF(AND(OR(Filter!$B$5="(alle)",$N792=Filter!$B$5),OR(Filter!$E$5="(alle)",$K792=Filter!$E$5),OR(Filter!$H$5="(alle)",$C792=Filter!$H$5),OR(Filter!$B$7="(alle)",$E792=Filter!$B$7),OR(Filter!$E$7="(alle)",ISNUMBER(SEARCH(Filter!$E$7,$J792))),OR(Filter!$H$7="(alle)",ISNUMBER(SEARCH(Filter!$H$7,$I792))),OR(Filter!$B$9="",ISNUMBER(SEARCH(Filter!$B$9,$F792&amp;" "&amp;$G792)))),COUNTIF($O$6:$O791,"&gt;0")+1,0))</f>
        <v>786</v>
      </c>
    </row>
    <row r="793" customFormat="false" ht="51" hidden="false" customHeight="true" outlineLevel="0" collapsed="false">
      <c r="B793" s="30" t="s">
        <v>3942</v>
      </c>
      <c r="C793" s="30" t="s">
        <v>40</v>
      </c>
      <c r="D793" s="30" t="s">
        <v>3943</v>
      </c>
      <c r="E793" s="30" t="s">
        <v>355</v>
      </c>
      <c r="F793" s="30" t="s">
        <v>3944</v>
      </c>
      <c r="G793" s="30" t="s">
        <v>3945</v>
      </c>
      <c r="H793" s="30" t="s">
        <v>3918</v>
      </c>
      <c r="I793" s="30" t="s">
        <v>306</v>
      </c>
      <c r="J793" s="30" t="s">
        <v>206</v>
      </c>
      <c r="K793" s="31" t="s">
        <v>47</v>
      </c>
      <c r="L793" s="32"/>
      <c r="M793" s="33"/>
      <c r="N793" s="30" t="s">
        <v>48</v>
      </c>
      <c r="O793" s="1" t="n">
        <f aca="false">IF($B793="",0,IF(AND(OR(Filter!$B$5="(alle)",$N793=Filter!$B$5),OR(Filter!$E$5="(alle)",$K793=Filter!$E$5),OR(Filter!$H$5="(alle)",$C793=Filter!$H$5),OR(Filter!$B$7="(alle)",$E793=Filter!$B$7),OR(Filter!$E$7="(alle)",ISNUMBER(SEARCH(Filter!$E$7,$J793))),OR(Filter!$H$7="(alle)",ISNUMBER(SEARCH(Filter!$H$7,$I793))),OR(Filter!$B$9="",ISNUMBER(SEARCH(Filter!$B$9,$F793&amp;" "&amp;$G793)))),COUNTIF($O$6:$O792,"&gt;0")+1,0))</f>
        <v>787</v>
      </c>
    </row>
    <row r="794" customFormat="false" ht="51" hidden="false" customHeight="true" outlineLevel="0" collapsed="false">
      <c r="B794" s="30" t="s">
        <v>3946</v>
      </c>
      <c r="C794" s="30" t="s">
        <v>40</v>
      </c>
      <c r="D794" s="30" t="s">
        <v>3947</v>
      </c>
      <c r="E794" s="30" t="s">
        <v>355</v>
      </c>
      <c r="F794" s="30" t="s">
        <v>3948</v>
      </c>
      <c r="G794" s="30" t="s">
        <v>3949</v>
      </c>
      <c r="H794" s="30" t="s">
        <v>3918</v>
      </c>
      <c r="I794" s="30" t="s">
        <v>306</v>
      </c>
      <c r="J794" s="30" t="s">
        <v>206</v>
      </c>
      <c r="K794" s="31" t="s">
        <v>47</v>
      </c>
      <c r="L794" s="32"/>
      <c r="M794" s="33"/>
      <c r="N794" s="30" t="s">
        <v>48</v>
      </c>
      <c r="O794" s="1" t="n">
        <f aca="false">IF($B794="",0,IF(AND(OR(Filter!$B$5="(alle)",$N794=Filter!$B$5),OR(Filter!$E$5="(alle)",$K794=Filter!$E$5),OR(Filter!$H$5="(alle)",$C794=Filter!$H$5),OR(Filter!$B$7="(alle)",$E794=Filter!$B$7),OR(Filter!$E$7="(alle)",ISNUMBER(SEARCH(Filter!$E$7,$J794))),OR(Filter!$H$7="(alle)",ISNUMBER(SEARCH(Filter!$H$7,$I794))),OR(Filter!$B$9="",ISNUMBER(SEARCH(Filter!$B$9,$F794&amp;" "&amp;$G794)))),COUNTIF($O$6:$O793,"&gt;0")+1,0))</f>
        <v>788</v>
      </c>
    </row>
    <row r="795" customFormat="false" ht="51" hidden="false" customHeight="true" outlineLevel="0" collapsed="false">
      <c r="B795" s="30" t="s">
        <v>3950</v>
      </c>
      <c r="C795" s="30" t="s">
        <v>40</v>
      </c>
      <c r="D795" s="30" t="s">
        <v>281</v>
      </c>
      <c r="E795" s="30" t="s">
        <v>604</v>
      </c>
      <c r="F795" s="30" t="s">
        <v>3951</v>
      </c>
      <c r="G795" s="30" t="s">
        <v>3952</v>
      </c>
      <c r="H795" s="30" t="s">
        <v>3953</v>
      </c>
      <c r="I795" s="30" t="s">
        <v>476</v>
      </c>
      <c r="J795" s="30" t="s">
        <v>476</v>
      </c>
      <c r="K795" s="31" t="s">
        <v>47</v>
      </c>
      <c r="L795" s="32"/>
      <c r="M795" s="33"/>
      <c r="N795" s="30" t="s">
        <v>48</v>
      </c>
      <c r="O795" s="1" t="n">
        <f aca="false">IF($B795="",0,IF(AND(OR(Filter!$B$5="(alle)",$N795=Filter!$B$5),OR(Filter!$E$5="(alle)",$K795=Filter!$E$5),OR(Filter!$H$5="(alle)",$C795=Filter!$H$5),OR(Filter!$B$7="(alle)",$E795=Filter!$B$7),OR(Filter!$E$7="(alle)",ISNUMBER(SEARCH(Filter!$E$7,$J795))),OR(Filter!$H$7="(alle)",ISNUMBER(SEARCH(Filter!$H$7,$I795))),OR(Filter!$B$9="",ISNUMBER(SEARCH(Filter!$B$9,$F795&amp;" "&amp;$G795)))),COUNTIF($O$6:$O794,"&gt;0")+1,0))</f>
        <v>789</v>
      </c>
    </row>
    <row r="796" customFormat="false" ht="51" hidden="false" customHeight="true" outlineLevel="0" collapsed="false">
      <c r="B796" s="30" t="s">
        <v>3954</v>
      </c>
      <c r="C796" s="30" t="s">
        <v>40</v>
      </c>
      <c r="D796" s="30" t="s">
        <v>3955</v>
      </c>
      <c r="E796" s="30" t="s">
        <v>102</v>
      </c>
      <c r="F796" s="30" t="s">
        <v>3956</v>
      </c>
      <c r="G796" s="30" t="s">
        <v>3957</v>
      </c>
      <c r="H796" s="30" t="s">
        <v>3958</v>
      </c>
      <c r="I796" s="30" t="s">
        <v>3847</v>
      </c>
      <c r="J796" s="30" t="s">
        <v>544</v>
      </c>
      <c r="K796" s="31" t="s">
        <v>47</v>
      </c>
      <c r="L796" s="32"/>
      <c r="M796" s="33"/>
      <c r="N796" s="30" t="s">
        <v>48</v>
      </c>
      <c r="O796" s="1" t="n">
        <f aca="false">IF($B796="",0,IF(AND(OR(Filter!$B$5="(alle)",$N796=Filter!$B$5),OR(Filter!$E$5="(alle)",$K796=Filter!$E$5),OR(Filter!$H$5="(alle)",$C796=Filter!$H$5),OR(Filter!$B$7="(alle)",$E796=Filter!$B$7),OR(Filter!$E$7="(alle)",ISNUMBER(SEARCH(Filter!$E$7,$J796))),OR(Filter!$H$7="(alle)",ISNUMBER(SEARCH(Filter!$H$7,$I796))),OR(Filter!$B$9="",ISNUMBER(SEARCH(Filter!$B$9,$F796&amp;" "&amp;$G796)))),COUNTIF($O$6:$O795,"&gt;0")+1,0))</f>
        <v>790</v>
      </c>
    </row>
    <row r="797" customFormat="false" ht="51" hidden="false" customHeight="true" outlineLevel="0" collapsed="false">
      <c r="B797" s="30" t="s">
        <v>3959</v>
      </c>
      <c r="C797" s="30" t="s">
        <v>40</v>
      </c>
      <c r="D797" s="30" t="s">
        <v>3960</v>
      </c>
      <c r="E797" s="30" t="s">
        <v>102</v>
      </c>
      <c r="F797" s="30" t="s">
        <v>3961</v>
      </c>
      <c r="G797" s="30" t="s">
        <v>3962</v>
      </c>
      <c r="H797" s="30" t="s">
        <v>3958</v>
      </c>
      <c r="I797" s="30" t="s">
        <v>45</v>
      </c>
      <c r="J797" s="30" t="s">
        <v>70</v>
      </c>
      <c r="K797" s="31" t="s">
        <v>47</v>
      </c>
      <c r="L797" s="32"/>
      <c r="M797" s="33"/>
      <c r="N797" s="30" t="s">
        <v>48</v>
      </c>
      <c r="O797" s="1" t="n">
        <f aca="false">IF($B797="",0,IF(AND(OR(Filter!$B$5="(alle)",$N797=Filter!$B$5),OR(Filter!$E$5="(alle)",$K797=Filter!$E$5),OR(Filter!$H$5="(alle)",$C797=Filter!$H$5),OR(Filter!$B$7="(alle)",$E797=Filter!$B$7),OR(Filter!$E$7="(alle)",ISNUMBER(SEARCH(Filter!$E$7,$J797))),OR(Filter!$H$7="(alle)",ISNUMBER(SEARCH(Filter!$H$7,$I797))),OR(Filter!$B$9="",ISNUMBER(SEARCH(Filter!$B$9,$F797&amp;" "&amp;$G797)))),COUNTIF($O$6:$O796,"&gt;0")+1,0))</f>
        <v>791</v>
      </c>
    </row>
    <row r="798" customFormat="false" ht="51" hidden="false" customHeight="true" outlineLevel="0" collapsed="false">
      <c r="B798" s="30" t="s">
        <v>3963</v>
      </c>
      <c r="C798" s="30" t="s">
        <v>40</v>
      </c>
      <c r="D798" s="30" t="s">
        <v>3964</v>
      </c>
      <c r="E798" s="30" t="s">
        <v>604</v>
      </c>
      <c r="F798" s="30" t="s">
        <v>3965</v>
      </c>
      <c r="G798" s="30" t="s">
        <v>3966</v>
      </c>
      <c r="H798" s="30" t="s">
        <v>3958</v>
      </c>
      <c r="I798" s="30" t="s">
        <v>3700</v>
      </c>
      <c r="J798" s="30" t="s">
        <v>159</v>
      </c>
      <c r="K798" s="31" t="s">
        <v>47</v>
      </c>
      <c r="L798" s="32"/>
      <c r="M798" s="33"/>
      <c r="N798" s="30" t="s">
        <v>48</v>
      </c>
      <c r="O798" s="1" t="n">
        <f aca="false">IF($B798="",0,IF(AND(OR(Filter!$B$5="(alle)",$N798=Filter!$B$5),OR(Filter!$E$5="(alle)",$K798=Filter!$E$5),OR(Filter!$H$5="(alle)",$C798=Filter!$H$5),OR(Filter!$B$7="(alle)",$E798=Filter!$B$7),OR(Filter!$E$7="(alle)",ISNUMBER(SEARCH(Filter!$E$7,$J798))),OR(Filter!$H$7="(alle)",ISNUMBER(SEARCH(Filter!$H$7,$I798))),OR(Filter!$B$9="",ISNUMBER(SEARCH(Filter!$B$9,$F798&amp;" "&amp;$G798)))),COUNTIF($O$6:$O797,"&gt;0")+1,0))</f>
        <v>792</v>
      </c>
    </row>
    <row r="799" customFormat="false" ht="51" hidden="false" customHeight="true" outlineLevel="0" collapsed="false">
      <c r="B799" s="30" t="s">
        <v>3967</v>
      </c>
      <c r="C799" s="30" t="s">
        <v>40</v>
      </c>
      <c r="D799" s="30" t="s">
        <v>224</v>
      </c>
      <c r="E799" s="30" t="s">
        <v>604</v>
      </c>
      <c r="F799" s="30" t="s">
        <v>3968</v>
      </c>
      <c r="G799" s="30" t="s">
        <v>3969</v>
      </c>
      <c r="H799" s="30" t="s">
        <v>3970</v>
      </c>
      <c r="I799" s="30" t="s">
        <v>3700</v>
      </c>
      <c r="J799" s="30" t="s">
        <v>159</v>
      </c>
      <c r="K799" s="31" t="s">
        <v>47</v>
      </c>
      <c r="L799" s="32"/>
      <c r="M799" s="33"/>
      <c r="N799" s="30" t="s">
        <v>48</v>
      </c>
      <c r="O799" s="1" t="n">
        <f aca="false">IF($B799="",0,IF(AND(OR(Filter!$B$5="(alle)",$N799=Filter!$B$5),OR(Filter!$E$5="(alle)",$K799=Filter!$E$5),OR(Filter!$H$5="(alle)",$C799=Filter!$H$5),OR(Filter!$B$7="(alle)",$E799=Filter!$B$7),OR(Filter!$E$7="(alle)",ISNUMBER(SEARCH(Filter!$E$7,$J799))),OR(Filter!$H$7="(alle)",ISNUMBER(SEARCH(Filter!$H$7,$I799))),OR(Filter!$B$9="",ISNUMBER(SEARCH(Filter!$B$9,$F799&amp;" "&amp;$G799)))),COUNTIF($O$6:$O798,"&gt;0")+1,0))</f>
        <v>793</v>
      </c>
    </row>
    <row r="800" customFormat="false" ht="51" hidden="false" customHeight="true" outlineLevel="0" collapsed="false">
      <c r="B800" s="30" t="s">
        <v>3971</v>
      </c>
      <c r="C800" s="30" t="s">
        <v>40</v>
      </c>
      <c r="D800" s="30" t="s">
        <v>232</v>
      </c>
      <c r="E800" s="30" t="s">
        <v>604</v>
      </c>
      <c r="F800" s="30" t="s">
        <v>3972</v>
      </c>
      <c r="G800" s="30" t="s">
        <v>3973</v>
      </c>
      <c r="H800" s="30" t="s">
        <v>3970</v>
      </c>
      <c r="I800" s="30" t="s">
        <v>3700</v>
      </c>
      <c r="J800" s="30" t="s">
        <v>159</v>
      </c>
      <c r="K800" s="31" t="s">
        <v>47</v>
      </c>
      <c r="L800" s="32"/>
      <c r="M800" s="33"/>
      <c r="N800" s="30" t="s">
        <v>48</v>
      </c>
      <c r="O800" s="1" t="n">
        <f aca="false">IF($B800="",0,IF(AND(OR(Filter!$B$5="(alle)",$N800=Filter!$B$5),OR(Filter!$E$5="(alle)",$K800=Filter!$E$5),OR(Filter!$H$5="(alle)",$C800=Filter!$H$5),OR(Filter!$B$7="(alle)",$E800=Filter!$B$7),OR(Filter!$E$7="(alle)",ISNUMBER(SEARCH(Filter!$E$7,$J800))),OR(Filter!$H$7="(alle)",ISNUMBER(SEARCH(Filter!$H$7,$I800))),OR(Filter!$B$9="",ISNUMBER(SEARCH(Filter!$B$9,$F800&amp;" "&amp;$G800)))),COUNTIF($O$6:$O799,"&gt;0")+1,0))</f>
        <v>794</v>
      </c>
    </row>
    <row r="801" customFormat="false" ht="51" hidden="false" customHeight="true" outlineLevel="0" collapsed="false">
      <c r="B801" s="30" t="s">
        <v>3974</v>
      </c>
      <c r="C801" s="30" t="s">
        <v>40</v>
      </c>
      <c r="D801" s="30" t="s">
        <v>3975</v>
      </c>
      <c r="E801" s="30" t="s">
        <v>604</v>
      </c>
      <c r="F801" s="30" t="s">
        <v>3976</v>
      </c>
      <c r="G801" s="30" t="s">
        <v>3977</v>
      </c>
      <c r="H801" s="30" t="s">
        <v>3970</v>
      </c>
      <c r="I801" s="30" t="s">
        <v>3978</v>
      </c>
      <c r="J801" s="30" t="s">
        <v>1948</v>
      </c>
      <c r="K801" s="31" t="s">
        <v>47</v>
      </c>
      <c r="L801" s="32"/>
      <c r="M801" s="33"/>
      <c r="N801" s="30" t="s">
        <v>65</v>
      </c>
      <c r="O801" s="1" t="n">
        <f aca="false">IF($B801="",0,IF(AND(OR(Filter!$B$5="(alle)",$N801=Filter!$B$5),OR(Filter!$E$5="(alle)",$K801=Filter!$E$5),OR(Filter!$H$5="(alle)",$C801=Filter!$H$5),OR(Filter!$B$7="(alle)",$E801=Filter!$B$7),OR(Filter!$E$7="(alle)",ISNUMBER(SEARCH(Filter!$E$7,$J801))),OR(Filter!$H$7="(alle)",ISNUMBER(SEARCH(Filter!$H$7,$I801))),OR(Filter!$B$9="",ISNUMBER(SEARCH(Filter!$B$9,$F801&amp;" "&amp;$G801)))),COUNTIF($O$6:$O800,"&gt;0")+1,0))</f>
        <v>795</v>
      </c>
    </row>
    <row r="802" customFormat="false" ht="51" hidden="false" customHeight="true" outlineLevel="0" collapsed="false">
      <c r="B802" s="30" t="s">
        <v>3979</v>
      </c>
      <c r="C802" s="30" t="s">
        <v>40</v>
      </c>
      <c r="D802" s="30" t="s">
        <v>3980</v>
      </c>
      <c r="E802" s="30" t="s">
        <v>604</v>
      </c>
      <c r="F802" s="30" t="s">
        <v>3981</v>
      </c>
      <c r="G802" s="30" t="s">
        <v>3981</v>
      </c>
      <c r="H802" s="30" t="s">
        <v>3970</v>
      </c>
      <c r="I802" s="30" t="s">
        <v>3700</v>
      </c>
      <c r="J802" s="30" t="s">
        <v>159</v>
      </c>
      <c r="K802" s="31" t="s">
        <v>47</v>
      </c>
      <c r="L802" s="32"/>
      <c r="M802" s="33"/>
      <c r="N802" s="30" t="s">
        <v>48</v>
      </c>
      <c r="O802" s="1" t="n">
        <f aca="false">IF($B802="",0,IF(AND(OR(Filter!$B$5="(alle)",$N802=Filter!$B$5),OR(Filter!$E$5="(alle)",$K802=Filter!$E$5),OR(Filter!$H$5="(alle)",$C802=Filter!$H$5),OR(Filter!$B$7="(alle)",$E802=Filter!$B$7),OR(Filter!$E$7="(alle)",ISNUMBER(SEARCH(Filter!$E$7,$J802))),OR(Filter!$H$7="(alle)",ISNUMBER(SEARCH(Filter!$H$7,$I802))),OR(Filter!$B$9="",ISNUMBER(SEARCH(Filter!$B$9,$F802&amp;" "&amp;$G802)))),COUNTIF($O$6:$O801,"&gt;0")+1,0))</f>
        <v>796</v>
      </c>
    </row>
    <row r="803" customFormat="false" ht="51" hidden="false" customHeight="true" outlineLevel="0" collapsed="false">
      <c r="B803" s="30" t="s">
        <v>3982</v>
      </c>
      <c r="C803" s="30" t="s">
        <v>40</v>
      </c>
      <c r="D803" s="30" t="s">
        <v>3983</v>
      </c>
      <c r="E803" s="30" t="s">
        <v>604</v>
      </c>
      <c r="F803" s="30" t="s">
        <v>3984</v>
      </c>
      <c r="G803" s="30" t="s">
        <v>3984</v>
      </c>
      <c r="H803" s="30" t="s">
        <v>3970</v>
      </c>
      <c r="I803" s="30" t="s">
        <v>3700</v>
      </c>
      <c r="J803" s="30" t="s">
        <v>159</v>
      </c>
      <c r="K803" s="31" t="s">
        <v>47</v>
      </c>
      <c r="L803" s="32"/>
      <c r="M803" s="33"/>
      <c r="N803" s="30" t="s">
        <v>48</v>
      </c>
      <c r="O803" s="1" t="n">
        <f aca="false">IF($B803="",0,IF(AND(OR(Filter!$B$5="(alle)",$N803=Filter!$B$5),OR(Filter!$E$5="(alle)",$K803=Filter!$E$5),OR(Filter!$H$5="(alle)",$C803=Filter!$H$5),OR(Filter!$B$7="(alle)",$E803=Filter!$B$7),OR(Filter!$E$7="(alle)",ISNUMBER(SEARCH(Filter!$E$7,$J803))),OR(Filter!$H$7="(alle)",ISNUMBER(SEARCH(Filter!$H$7,$I803))),OR(Filter!$B$9="",ISNUMBER(SEARCH(Filter!$B$9,$F803&amp;" "&amp;$G803)))),COUNTIF($O$6:$O802,"&gt;0")+1,0))</f>
        <v>797</v>
      </c>
    </row>
    <row r="804" customFormat="false" ht="51" hidden="false" customHeight="true" outlineLevel="0" collapsed="false">
      <c r="B804" s="30" t="s">
        <v>3985</v>
      </c>
      <c r="C804" s="30" t="s">
        <v>40</v>
      </c>
      <c r="D804" s="30" t="s">
        <v>3986</v>
      </c>
      <c r="E804" s="30" t="s">
        <v>604</v>
      </c>
      <c r="F804" s="30" t="s">
        <v>3987</v>
      </c>
      <c r="G804" s="30" t="s">
        <v>3987</v>
      </c>
      <c r="H804" s="30" t="s">
        <v>3970</v>
      </c>
      <c r="I804" s="30" t="s">
        <v>3700</v>
      </c>
      <c r="J804" s="30" t="s">
        <v>159</v>
      </c>
      <c r="K804" s="31" t="s">
        <v>47</v>
      </c>
      <c r="L804" s="32"/>
      <c r="M804" s="33"/>
      <c r="N804" s="30" t="s">
        <v>48</v>
      </c>
      <c r="O804" s="1" t="n">
        <f aca="false">IF($B804="",0,IF(AND(OR(Filter!$B$5="(alle)",$N804=Filter!$B$5),OR(Filter!$E$5="(alle)",$K804=Filter!$E$5),OR(Filter!$H$5="(alle)",$C804=Filter!$H$5),OR(Filter!$B$7="(alle)",$E804=Filter!$B$7),OR(Filter!$E$7="(alle)",ISNUMBER(SEARCH(Filter!$E$7,$J804))),OR(Filter!$H$7="(alle)",ISNUMBER(SEARCH(Filter!$H$7,$I804))),OR(Filter!$B$9="",ISNUMBER(SEARCH(Filter!$B$9,$F804&amp;" "&amp;$G804)))),COUNTIF($O$6:$O803,"&gt;0")+1,0))</f>
        <v>798</v>
      </c>
    </row>
    <row r="805" customFormat="false" ht="51" hidden="false" customHeight="true" outlineLevel="0" collapsed="false">
      <c r="B805" s="30" t="s">
        <v>3988</v>
      </c>
      <c r="C805" s="30" t="s">
        <v>40</v>
      </c>
      <c r="D805" s="30" t="s">
        <v>238</v>
      </c>
      <c r="E805" s="30" t="s">
        <v>190</v>
      </c>
      <c r="F805" s="30" t="s">
        <v>3989</v>
      </c>
      <c r="G805" s="30" t="s">
        <v>3990</v>
      </c>
      <c r="H805" s="30" t="s">
        <v>3991</v>
      </c>
      <c r="I805" s="30" t="s">
        <v>340</v>
      </c>
      <c r="J805" s="30" t="s">
        <v>341</v>
      </c>
      <c r="K805" s="31" t="s">
        <v>47</v>
      </c>
      <c r="L805" s="32"/>
      <c r="M805" s="33"/>
      <c r="N805" s="30" t="s">
        <v>48</v>
      </c>
      <c r="O805" s="1" t="n">
        <f aca="false">IF($B805="",0,IF(AND(OR(Filter!$B$5="(alle)",$N805=Filter!$B$5),OR(Filter!$E$5="(alle)",$K805=Filter!$E$5),OR(Filter!$H$5="(alle)",$C805=Filter!$H$5),OR(Filter!$B$7="(alle)",$E805=Filter!$B$7),OR(Filter!$E$7="(alle)",ISNUMBER(SEARCH(Filter!$E$7,$J805))),OR(Filter!$H$7="(alle)",ISNUMBER(SEARCH(Filter!$H$7,$I805))),OR(Filter!$B$9="",ISNUMBER(SEARCH(Filter!$B$9,$F805&amp;" "&amp;$G805)))),COUNTIF($O$6:$O804,"&gt;0")+1,0))</f>
        <v>799</v>
      </c>
    </row>
    <row r="806" customFormat="false" ht="51" hidden="false" customHeight="true" outlineLevel="0" collapsed="false">
      <c r="B806" s="30" t="s">
        <v>3992</v>
      </c>
      <c r="C806" s="30" t="s">
        <v>40</v>
      </c>
      <c r="D806" s="30" t="s">
        <v>243</v>
      </c>
      <c r="E806" s="30" t="s">
        <v>190</v>
      </c>
      <c r="F806" s="30" t="s">
        <v>3993</v>
      </c>
      <c r="G806" s="30" t="s">
        <v>3993</v>
      </c>
      <c r="H806" s="30" t="s">
        <v>3991</v>
      </c>
      <c r="I806" s="30" t="s">
        <v>340</v>
      </c>
      <c r="J806" s="30" t="s">
        <v>341</v>
      </c>
      <c r="K806" s="31" t="s">
        <v>47</v>
      </c>
      <c r="L806" s="32"/>
      <c r="M806" s="33"/>
      <c r="N806" s="30" t="s">
        <v>48</v>
      </c>
      <c r="O806" s="1" t="n">
        <f aca="false">IF($B806="",0,IF(AND(OR(Filter!$B$5="(alle)",$N806=Filter!$B$5),OR(Filter!$E$5="(alle)",$K806=Filter!$E$5),OR(Filter!$H$5="(alle)",$C806=Filter!$H$5),OR(Filter!$B$7="(alle)",$E806=Filter!$B$7),OR(Filter!$E$7="(alle)",ISNUMBER(SEARCH(Filter!$E$7,$J806))),OR(Filter!$H$7="(alle)",ISNUMBER(SEARCH(Filter!$H$7,$I806))),OR(Filter!$B$9="",ISNUMBER(SEARCH(Filter!$B$9,$F806&amp;" "&amp;$G806)))),COUNTIF($O$6:$O805,"&gt;0")+1,0))</f>
        <v>800</v>
      </c>
    </row>
    <row r="807" customFormat="false" ht="51" hidden="false" customHeight="true" outlineLevel="0" collapsed="false">
      <c r="B807" s="30" t="s">
        <v>3994</v>
      </c>
      <c r="C807" s="30" t="s">
        <v>40</v>
      </c>
      <c r="D807" s="30" t="s">
        <v>3995</v>
      </c>
      <c r="E807" s="30" t="s">
        <v>355</v>
      </c>
      <c r="F807" s="30" t="s">
        <v>3996</v>
      </c>
      <c r="G807" s="30" t="s">
        <v>3997</v>
      </c>
      <c r="H807" s="30" t="s">
        <v>3998</v>
      </c>
      <c r="I807" s="30" t="s">
        <v>3700</v>
      </c>
      <c r="J807" s="30" t="s">
        <v>159</v>
      </c>
      <c r="K807" s="31" t="s">
        <v>47</v>
      </c>
      <c r="L807" s="32"/>
      <c r="M807" s="33"/>
      <c r="N807" s="30" t="s">
        <v>48</v>
      </c>
      <c r="O807" s="1" t="n">
        <f aca="false">IF($B807="",0,IF(AND(OR(Filter!$B$5="(alle)",$N807=Filter!$B$5),OR(Filter!$E$5="(alle)",$K807=Filter!$E$5),OR(Filter!$H$5="(alle)",$C807=Filter!$H$5),OR(Filter!$B$7="(alle)",$E807=Filter!$B$7),OR(Filter!$E$7="(alle)",ISNUMBER(SEARCH(Filter!$E$7,$J807))),OR(Filter!$H$7="(alle)",ISNUMBER(SEARCH(Filter!$H$7,$I807))),OR(Filter!$B$9="",ISNUMBER(SEARCH(Filter!$B$9,$F807&amp;" "&amp;$G807)))),COUNTIF($O$6:$O806,"&gt;0")+1,0))</f>
        <v>801</v>
      </c>
    </row>
    <row r="808" customFormat="false" ht="51" hidden="false" customHeight="true" outlineLevel="0" collapsed="false">
      <c r="B808" s="30" t="s">
        <v>3999</v>
      </c>
      <c r="C808" s="30" t="s">
        <v>40</v>
      </c>
      <c r="D808" s="30" t="s">
        <v>4000</v>
      </c>
      <c r="E808" s="30" t="s">
        <v>210</v>
      </c>
      <c r="F808" s="30" t="s">
        <v>4001</v>
      </c>
      <c r="G808" s="30" t="s">
        <v>4002</v>
      </c>
      <c r="H808" s="30" t="s">
        <v>3998</v>
      </c>
      <c r="I808" s="30" t="s">
        <v>306</v>
      </c>
      <c r="J808" s="30" t="s">
        <v>206</v>
      </c>
      <c r="K808" s="31" t="s">
        <v>47</v>
      </c>
      <c r="L808" s="32"/>
      <c r="M808" s="33"/>
      <c r="N808" s="30" t="s">
        <v>48</v>
      </c>
      <c r="O808" s="1" t="n">
        <f aca="false">IF($B808="",0,IF(AND(OR(Filter!$B$5="(alle)",$N808=Filter!$B$5),OR(Filter!$E$5="(alle)",$K808=Filter!$E$5),OR(Filter!$H$5="(alle)",$C808=Filter!$H$5),OR(Filter!$B$7="(alle)",$E808=Filter!$B$7),OR(Filter!$E$7="(alle)",ISNUMBER(SEARCH(Filter!$E$7,$J808))),OR(Filter!$H$7="(alle)",ISNUMBER(SEARCH(Filter!$H$7,$I808))),OR(Filter!$B$9="",ISNUMBER(SEARCH(Filter!$B$9,$F808&amp;" "&amp;$G808)))),COUNTIF($O$6:$O807,"&gt;0")+1,0))</f>
        <v>802</v>
      </c>
    </row>
    <row r="809" customFormat="false" ht="51" hidden="false" customHeight="true" outlineLevel="0" collapsed="false">
      <c r="B809" s="30" t="s">
        <v>4003</v>
      </c>
      <c r="C809" s="30" t="s">
        <v>40</v>
      </c>
      <c r="D809" s="30" t="s">
        <v>4004</v>
      </c>
      <c r="E809" s="30" t="s">
        <v>210</v>
      </c>
      <c r="F809" s="30" t="s">
        <v>4005</v>
      </c>
      <c r="G809" s="30" t="s">
        <v>4006</v>
      </c>
      <c r="H809" s="30" t="s">
        <v>3998</v>
      </c>
      <c r="I809" s="30" t="s">
        <v>306</v>
      </c>
      <c r="J809" s="30" t="s">
        <v>206</v>
      </c>
      <c r="K809" s="31" t="s">
        <v>47</v>
      </c>
      <c r="L809" s="32"/>
      <c r="M809" s="33"/>
      <c r="N809" s="30" t="s">
        <v>48</v>
      </c>
      <c r="O809" s="1" t="n">
        <f aca="false">IF($B809="",0,IF(AND(OR(Filter!$B$5="(alle)",$N809=Filter!$B$5),OR(Filter!$E$5="(alle)",$K809=Filter!$E$5),OR(Filter!$H$5="(alle)",$C809=Filter!$H$5),OR(Filter!$B$7="(alle)",$E809=Filter!$B$7),OR(Filter!$E$7="(alle)",ISNUMBER(SEARCH(Filter!$E$7,$J809))),OR(Filter!$H$7="(alle)",ISNUMBER(SEARCH(Filter!$H$7,$I809))),OR(Filter!$B$9="",ISNUMBER(SEARCH(Filter!$B$9,$F809&amp;" "&amp;$G809)))),COUNTIF($O$6:$O808,"&gt;0")+1,0))</f>
        <v>803</v>
      </c>
    </row>
    <row r="810" customFormat="false" ht="51" hidden="false" customHeight="true" outlineLevel="0" collapsed="false">
      <c r="B810" s="30" t="s">
        <v>4007</v>
      </c>
      <c r="C810" s="30" t="s">
        <v>40</v>
      </c>
      <c r="D810" s="30" t="s">
        <v>4008</v>
      </c>
      <c r="E810" s="30" t="s">
        <v>210</v>
      </c>
      <c r="F810" s="30" t="s">
        <v>4009</v>
      </c>
      <c r="G810" s="30" t="s">
        <v>4010</v>
      </c>
      <c r="H810" s="30" t="s">
        <v>3998</v>
      </c>
      <c r="I810" s="30" t="s">
        <v>306</v>
      </c>
      <c r="J810" s="30" t="s">
        <v>206</v>
      </c>
      <c r="K810" s="31" t="s">
        <v>47</v>
      </c>
      <c r="L810" s="32"/>
      <c r="M810" s="33"/>
      <c r="N810" s="30" t="s">
        <v>48</v>
      </c>
      <c r="O810" s="1" t="n">
        <f aca="false">IF($B810="",0,IF(AND(OR(Filter!$B$5="(alle)",$N810=Filter!$B$5),OR(Filter!$E$5="(alle)",$K810=Filter!$E$5),OR(Filter!$H$5="(alle)",$C810=Filter!$H$5),OR(Filter!$B$7="(alle)",$E810=Filter!$B$7),OR(Filter!$E$7="(alle)",ISNUMBER(SEARCH(Filter!$E$7,$J810))),OR(Filter!$H$7="(alle)",ISNUMBER(SEARCH(Filter!$H$7,$I810))),OR(Filter!$B$9="",ISNUMBER(SEARCH(Filter!$B$9,$F810&amp;" "&amp;$G810)))),COUNTIF($O$6:$O809,"&gt;0")+1,0))</f>
        <v>804</v>
      </c>
    </row>
    <row r="811" customFormat="false" ht="51" hidden="false" customHeight="true" outlineLevel="0" collapsed="false">
      <c r="B811" s="30" t="s">
        <v>4011</v>
      </c>
      <c r="C811" s="30" t="s">
        <v>40</v>
      </c>
      <c r="D811" s="30" t="s">
        <v>4012</v>
      </c>
      <c r="E811" s="30" t="s">
        <v>361</v>
      </c>
      <c r="F811" s="30" t="s">
        <v>4013</v>
      </c>
      <c r="G811" s="30" t="s">
        <v>4014</v>
      </c>
      <c r="H811" s="30" t="s">
        <v>3998</v>
      </c>
      <c r="I811" s="30" t="s">
        <v>306</v>
      </c>
      <c r="J811" s="30" t="s">
        <v>206</v>
      </c>
      <c r="K811" s="31" t="s">
        <v>47</v>
      </c>
      <c r="L811" s="32"/>
      <c r="M811" s="33"/>
      <c r="N811" s="30" t="s">
        <v>48</v>
      </c>
      <c r="O811" s="1" t="n">
        <f aca="false">IF($B811="",0,IF(AND(OR(Filter!$B$5="(alle)",$N811=Filter!$B$5),OR(Filter!$E$5="(alle)",$K811=Filter!$E$5),OR(Filter!$H$5="(alle)",$C811=Filter!$H$5),OR(Filter!$B$7="(alle)",$E811=Filter!$B$7),OR(Filter!$E$7="(alle)",ISNUMBER(SEARCH(Filter!$E$7,$J811))),OR(Filter!$H$7="(alle)",ISNUMBER(SEARCH(Filter!$H$7,$I811))),OR(Filter!$B$9="",ISNUMBER(SEARCH(Filter!$B$9,$F811&amp;" "&amp;$G811)))),COUNTIF($O$6:$O810,"&gt;0")+1,0))</f>
        <v>805</v>
      </c>
    </row>
    <row r="812" customFormat="false" ht="51" hidden="false" customHeight="true" outlineLevel="0" collapsed="false">
      <c r="B812" s="30" t="s">
        <v>4015</v>
      </c>
      <c r="C812" s="30" t="s">
        <v>40</v>
      </c>
      <c r="D812" s="30" t="s">
        <v>4016</v>
      </c>
      <c r="E812" s="30" t="s">
        <v>190</v>
      </c>
      <c r="F812" s="30" t="s">
        <v>4017</v>
      </c>
      <c r="G812" s="30" t="s">
        <v>4018</v>
      </c>
      <c r="H812" s="30" t="s">
        <v>3998</v>
      </c>
      <c r="I812" s="30" t="s">
        <v>340</v>
      </c>
      <c r="J812" s="30" t="s">
        <v>341</v>
      </c>
      <c r="K812" s="31" t="s">
        <v>47</v>
      </c>
      <c r="L812" s="32"/>
      <c r="M812" s="33"/>
      <c r="N812" s="30" t="s">
        <v>48</v>
      </c>
      <c r="O812" s="1" t="n">
        <f aca="false">IF($B812="",0,IF(AND(OR(Filter!$B$5="(alle)",$N812=Filter!$B$5),OR(Filter!$E$5="(alle)",$K812=Filter!$E$5),OR(Filter!$H$5="(alle)",$C812=Filter!$H$5),OR(Filter!$B$7="(alle)",$E812=Filter!$B$7),OR(Filter!$E$7="(alle)",ISNUMBER(SEARCH(Filter!$E$7,$J812))),OR(Filter!$H$7="(alle)",ISNUMBER(SEARCH(Filter!$H$7,$I812))),OR(Filter!$B$9="",ISNUMBER(SEARCH(Filter!$B$9,$F812&amp;" "&amp;$G812)))),COUNTIF($O$6:$O811,"&gt;0")+1,0))</f>
        <v>806</v>
      </c>
    </row>
    <row r="813" customFormat="false" ht="51" hidden="false" customHeight="true" outlineLevel="0" collapsed="false">
      <c r="B813" s="30" t="s">
        <v>4019</v>
      </c>
      <c r="C813" s="30" t="s">
        <v>40</v>
      </c>
      <c r="D813" s="30" t="s">
        <v>4020</v>
      </c>
      <c r="E813" s="30" t="s">
        <v>210</v>
      </c>
      <c r="F813" s="30" t="s">
        <v>4021</v>
      </c>
      <c r="G813" s="30" t="s">
        <v>4022</v>
      </c>
      <c r="H813" s="30" t="s">
        <v>4023</v>
      </c>
      <c r="I813" s="30" t="s">
        <v>306</v>
      </c>
      <c r="J813" s="30" t="s">
        <v>206</v>
      </c>
      <c r="K813" s="31" t="s">
        <v>47</v>
      </c>
      <c r="L813" s="32"/>
      <c r="M813" s="33"/>
      <c r="N813" s="30" t="s">
        <v>48</v>
      </c>
      <c r="O813" s="1" t="n">
        <f aca="false">IF($B813="",0,IF(AND(OR(Filter!$B$5="(alle)",$N813=Filter!$B$5),OR(Filter!$E$5="(alle)",$K813=Filter!$E$5),OR(Filter!$H$5="(alle)",$C813=Filter!$H$5),OR(Filter!$B$7="(alle)",$E813=Filter!$B$7),OR(Filter!$E$7="(alle)",ISNUMBER(SEARCH(Filter!$E$7,$J813))),OR(Filter!$H$7="(alle)",ISNUMBER(SEARCH(Filter!$H$7,$I813))),OR(Filter!$B$9="",ISNUMBER(SEARCH(Filter!$B$9,$F813&amp;" "&amp;$G813)))),COUNTIF($O$6:$O812,"&gt;0")+1,0))</f>
        <v>807</v>
      </c>
    </row>
    <row r="814" customFormat="false" ht="51" hidden="false" customHeight="true" outlineLevel="0" collapsed="false">
      <c r="B814" s="30" t="s">
        <v>4024</v>
      </c>
      <c r="C814" s="30" t="s">
        <v>40</v>
      </c>
      <c r="D814" s="30" t="s">
        <v>4025</v>
      </c>
      <c r="E814" s="30" t="s">
        <v>210</v>
      </c>
      <c r="F814" s="30" t="s">
        <v>4026</v>
      </c>
      <c r="G814" s="30" t="s">
        <v>4027</v>
      </c>
      <c r="H814" s="30" t="s">
        <v>4023</v>
      </c>
      <c r="I814" s="30" t="s">
        <v>306</v>
      </c>
      <c r="J814" s="30" t="s">
        <v>206</v>
      </c>
      <c r="K814" s="31" t="s">
        <v>47</v>
      </c>
      <c r="L814" s="32"/>
      <c r="M814" s="33"/>
      <c r="N814" s="30" t="s">
        <v>48</v>
      </c>
      <c r="O814" s="1" t="n">
        <f aca="false">IF($B814="",0,IF(AND(OR(Filter!$B$5="(alle)",$N814=Filter!$B$5),OR(Filter!$E$5="(alle)",$K814=Filter!$E$5),OR(Filter!$H$5="(alle)",$C814=Filter!$H$5),OR(Filter!$B$7="(alle)",$E814=Filter!$B$7),OR(Filter!$E$7="(alle)",ISNUMBER(SEARCH(Filter!$E$7,$J814))),OR(Filter!$H$7="(alle)",ISNUMBER(SEARCH(Filter!$H$7,$I814))),OR(Filter!$B$9="",ISNUMBER(SEARCH(Filter!$B$9,$F814&amp;" "&amp;$G814)))),COUNTIF($O$6:$O813,"&gt;0")+1,0))</f>
        <v>808</v>
      </c>
    </row>
    <row r="815" customFormat="false" ht="51" hidden="false" customHeight="true" outlineLevel="0" collapsed="false">
      <c r="B815" s="30" t="s">
        <v>4028</v>
      </c>
      <c r="C815" s="30" t="s">
        <v>40</v>
      </c>
      <c r="D815" s="30" t="s">
        <v>4029</v>
      </c>
      <c r="E815" s="30" t="s">
        <v>210</v>
      </c>
      <c r="F815" s="30" t="s">
        <v>4030</v>
      </c>
      <c r="G815" s="30" t="s">
        <v>4031</v>
      </c>
      <c r="H815" s="30" t="s">
        <v>4023</v>
      </c>
      <c r="I815" s="30" t="s">
        <v>306</v>
      </c>
      <c r="J815" s="30" t="s">
        <v>206</v>
      </c>
      <c r="K815" s="31" t="s">
        <v>47</v>
      </c>
      <c r="L815" s="32"/>
      <c r="M815" s="33"/>
      <c r="N815" s="30" t="s">
        <v>48</v>
      </c>
      <c r="O815" s="1" t="n">
        <f aca="false">IF($B815="",0,IF(AND(OR(Filter!$B$5="(alle)",$N815=Filter!$B$5),OR(Filter!$E$5="(alle)",$K815=Filter!$E$5),OR(Filter!$H$5="(alle)",$C815=Filter!$H$5),OR(Filter!$B$7="(alle)",$E815=Filter!$B$7),OR(Filter!$E$7="(alle)",ISNUMBER(SEARCH(Filter!$E$7,$J815))),OR(Filter!$H$7="(alle)",ISNUMBER(SEARCH(Filter!$H$7,$I815))),OR(Filter!$B$9="",ISNUMBER(SEARCH(Filter!$B$9,$F815&amp;" "&amp;$G815)))),COUNTIF($O$6:$O814,"&gt;0")+1,0))</f>
        <v>809</v>
      </c>
    </row>
    <row r="816" customFormat="false" ht="51" hidden="false" customHeight="true" outlineLevel="0" collapsed="false">
      <c r="B816" s="30" t="s">
        <v>4032</v>
      </c>
      <c r="C816" s="30" t="s">
        <v>40</v>
      </c>
      <c r="D816" s="30" t="s">
        <v>4033</v>
      </c>
      <c r="E816" s="30" t="s">
        <v>355</v>
      </c>
      <c r="F816" s="30" t="s">
        <v>4034</v>
      </c>
      <c r="G816" s="30" t="s">
        <v>4035</v>
      </c>
      <c r="H816" s="30" t="s">
        <v>4023</v>
      </c>
      <c r="I816" s="30" t="s">
        <v>306</v>
      </c>
      <c r="J816" s="30" t="s">
        <v>206</v>
      </c>
      <c r="K816" s="31" t="s">
        <v>47</v>
      </c>
      <c r="L816" s="32"/>
      <c r="M816" s="33"/>
      <c r="N816" s="30" t="s">
        <v>48</v>
      </c>
      <c r="O816" s="1" t="n">
        <f aca="false">IF($B816="",0,IF(AND(OR(Filter!$B$5="(alle)",$N816=Filter!$B$5),OR(Filter!$E$5="(alle)",$K816=Filter!$E$5),OR(Filter!$H$5="(alle)",$C816=Filter!$H$5),OR(Filter!$B$7="(alle)",$E816=Filter!$B$7),OR(Filter!$E$7="(alle)",ISNUMBER(SEARCH(Filter!$E$7,$J816))),OR(Filter!$H$7="(alle)",ISNUMBER(SEARCH(Filter!$H$7,$I816))),OR(Filter!$B$9="",ISNUMBER(SEARCH(Filter!$B$9,$F816&amp;" "&amp;$G816)))),COUNTIF($O$6:$O815,"&gt;0")+1,0))</f>
        <v>810</v>
      </c>
    </row>
    <row r="817" customFormat="false" ht="51" hidden="false" customHeight="true" outlineLevel="0" collapsed="false">
      <c r="B817" s="30" t="s">
        <v>4036</v>
      </c>
      <c r="C817" s="30" t="s">
        <v>40</v>
      </c>
      <c r="D817" s="30" t="s">
        <v>4037</v>
      </c>
      <c r="E817" s="30" t="s">
        <v>361</v>
      </c>
      <c r="F817" s="30" t="s">
        <v>4038</v>
      </c>
      <c r="G817" s="30" t="s">
        <v>4039</v>
      </c>
      <c r="H817" s="30" t="s">
        <v>4023</v>
      </c>
      <c r="I817" s="30" t="s">
        <v>306</v>
      </c>
      <c r="J817" s="30" t="s">
        <v>206</v>
      </c>
      <c r="K817" s="31" t="s">
        <v>47</v>
      </c>
      <c r="L817" s="32"/>
      <c r="M817" s="33"/>
      <c r="N817" s="30" t="s">
        <v>48</v>
      </c>
      <c r="O817" s="1" t="n">
        <f aca="false">IF($B817="",0,IF(AND(OR(Filter!$B$5="(alle)",$N817=Filter!$B$5),OR(Filter!$E$5="(alle)",$K817=Filter!$E$5),OR(Filter!$H$5="(alle)",$C817=Filter!$H$5),OR(Filter!$B$7="(alle)",$E817=Filter!$B$7),OR(Filter!$E$7="(alle)",ISNUMBER(SEARCH(Filter!$E$7,$J817))),OR(Filter!$H$7="(alle)",ISNUMBER(SEARCH(Filter!$H$7,$I817))),OR(Filter!$B$9="",ISNUMBER(SEARCH(Filter!$B$9,$F817&amp;" "&amp;$G817)))),COUNTIF($O$6:$O816,"&gt;0")+1,0))</f>
        <v>811</v>
      </c>
    </row>
    <row r="818" customFormat="false" ht="51" hidden="false" customHeight="true" outlineLevel="0" collapsed="false">
      <c r="B818" s="30" t="s">
        <v>4040</v>
      </c>
      <c r="C818" s="30" t="s">
        <v>40</v>
      </c>
      <c r="D818" s="30" t="s">
        <v>4041</v>
      </c>
      <c r="E818" s="30" t="s">
        <v>210</v>
      </c>
      <c r="F818" s="30" t="s">
        <v>4042</v>
      </c>
      <c r="G818" s="30" t="s">
        <v>4043</v>
      </c>
      <c r="H818" s="30" t="s">
        <v>4023</v>
      </c>
      <c r="I818" s="30" t="s">
        <v>306</v>
      </c>
      <c r="J818" s="30" t="s">
        <v>206</v>
      </c>
      <c r="K818" s="31" t="s">
        <v>47</v>
      </c>
      <c r="L818" s="32"/>
      <c r="M818" s="33"/>
      <c r="N818" s="30" t="s">
        <v>48</v>
      </c>
      <c r="O818" s="1" t="n">
        <f aca="false">IF($B818="",0,IF(AND(OR(Filter!$B$5="(alle)",$N818=Filter!$B$5),OR(Filter!$E$5="(alle)",$K818=Filter!$E$5),OR(Filter!$H$5="(alle)",$C818=Filter!$H$5),OR(Filter!$B$7="(alle)",$E818=Filter!$B$7),OR(Filter!$E$7="(alle)",ISNUMBER(SEARCH(Filter!$E$7,$J818))),OR(Filter!$H$7="(alle)",ISNUMBER(SEARCH(Filter!$H$7,$I818))),OR(Filter!$B$9="",ISNUMBER(SEARCH(Filter!$B$9,$F818&amp;" "&amp;$G818)))),COUNTIF($O$6:$O817,"&gt;0")+1,0))</f>
        <v>812</v>
      </c>
    </row>
    <row r="819" customFormat="false" ht="51" hidden="false" customHeight="true" outlineLevel="0" collapsed="false">
      <c r="B819" s="30" t="s">
        <v>4044</v>
      </c>
      <c r="C819" s="30" t="s">
        <v>40</v>
      </c>
      <c r="D819" s="30" t="s">
        <v>4045</v>
      </c>
      <c r="E819" s="30" t="s">
        <v>210</v>
      </c>
      <c r="F819" s="30" t="s">
        <v>4046</v>
      </c>
      <c r="G819" s="30" t="s">
        <v>4047</v>
      </c>
      <c r="H819" s="30" t="s">
        <v>4023</v>
      </c>
      <c r="I819" s="30" t="s">
        <v>306</v>
      </c>
      <c r="J819" s="30" t="s">
        <v>206</v>
      </c>
      <c r="K819" s="31" t="s">
        <v>47</v>
      </c>
      <c r="L819" s="32"/>
      <c r="M819" s="33"/>
      <c r="N819" s="30" t="s">
        <v>48</v>
      </c>
      <c r="O819" s="1" t="n">
        <f aca="false">IF($B819="",0,IF(AND(OR(Filter!$B$5="(alle)",$N819=Filter!$B$5),OR(Filter!$E$5="(alle)",$K819=Filter!$E$5),OR(Filter!$H$5="(alle)",$C819=Filter!$H$5),OR(Filter!$B$7="(alle)",$E819=Filter!$B$7),OR(Filter!$E$7="(alle)",ISNUMBER(SEARCH(Filter!$E$7,$J819))),OR(Filter!$H$7="(alle)",ISNUMBER(SEARCH(Filter!$H$7,$I819))),OR(Filter!$B$9="",ISNUMBER(SEARCH(Filter!$B$9,$F819&amp;" "&amp;$G819)))),COUNTIF($O$6:$O818,"&gt;0")+1,0))</f>
        <v>813</v>
      </c>
    </row>
    <row r="820" customFormat="false" ht="51" hidden="false" customHeight="true" outlineLevel="0" collapsed="false">
      <c r="B820" s="30" t="s">
        <v>4048</v>
      </c>
      <c r="C820" s="30" t="s">
        <v>40</v>
      </c>
      <c r="D820" s="30" t="s">
        <v>4049</v>
      </c>
      <c r="E820" s="30" t="s">
        <v>210</v>
      </c>
      <c r="F820" s="30" t="s">
        <v>4050</v>
      </c>
      <c r="G820" s="30" t="s">
        <v>4051</v>
      </c>
      <c r="H820" s="30" t="s">
        <v>4052</v>
      </c>
      <c r="I820" s="30" t="s">
        <v>306</v>
      </c>
      <c r="J820" s="30" t="s">
        <v>206</v>
      </c>
      <c r="K820" s="31" t="s">
        <v>47</v>
      </c>
      <c r="L820" s="32"/>
      <c r="M820" s="33"/>
      <c r="N820" s="30" t="s">
        <v>48</v>
      </c>
      <c r="O820" s="1" t="n">
        <f aca="false">IF($B820="",0,IF(AND(OR(Filter!$B$5="(alle)",$N820=Filter!$B$5),OR(Filter!$E$5="(alle)",$K820=Filter!$E$5),OR(Filter!$H$5="(alle)",$C820=Filter!$H$5),OR(Filter!$B$7="(alle)",$E820=Filter!$B$7),OR(Filter!$E$7="(alle)",ISNUMBER(SEARCH(Filter!$E$7,$J820))),OR(Filter!$H$7="(alle)",ISNUMBER(SEARCH(Filter!$H$7,$I820))),OR(Filter!$B$9="",ISNUMBER(SEARCH(Filter!$B$9,$F820&amp;" "&amp;$G820)))),COUNTIF($O$6:$O819,"&gt;0")+1,0))</f>
        <v>814</v>
      </c>
    </row>
    <row r="821" customFormat="false" ht="51" hidden="false" customHeight="true" outlineLevel="0" collapsed="false">
      <c r="B821" s="30" t="s">
        <v>4053</v>
      </c>
      <c r="C821" s="30" t="s">
        <v>40</v>
      </c>
      <c r="D821" s="30" t="s">
        <v>4054</v>
      </c>
      <c r="E821" s="30" t="s">
        <v>210</v>
      </c>
      <c r="F821" s="30" t="s">
        <v>4055</v>
      </c>
      <c r="G821" s="30" t="s">
        <v>4056</v>
      </c>
      <c r="H821" s="30" t="s">
        <v>4052</v>
      </c>
      <c r="I821" s="30" t="s">
        <v>306</v>
      </c>
      <c r="J821" s="30" t="s">
        <v>206</v>
      </c>
      <c r="K821" s="31" t="s">
        <v>47</v>
      </c>
      <c r="L821" s="32"/>
      <c r="M821" s="33"/>
      <c r="N821" s="30" t="s">
        <v>48</v>
      </c>
      <c r="O821" s="1" t="n">
        <f aca="false">IF($B821="",0,IF(AND(OR(Filter!$B$5="(alle)",$N821=Filter!$B$5),OR(Filter!$E$5="(alle)",$K821=Filter!$E$5),OR(Filter!$H$5="(alle)",$C821=Filter!$H$5),OR(Filter!$B$7="(alle)",$E821=Filter!$B$7),OR(Filter!$E$7="(alle)",ISNUMBER(SEARCH(Filter!$E$7,$J821))),OR(Filter!$H$7="(alle)",ISNUMBER(SEARCH(Filter!$H$7,$I821))),OR(Filter!$B$9="",ISNUMBER(SEARCH(Filter!$B$9,$F821&amp;" "&amp;$G821)))),COUNTIF($O$6:$O820,"&gt;0")+1,0))</f>
        <v>815</v>
      </c>
    </row>
    <row r="822" customFormat="false" ht="51" hidden="false" customHeight="true" outlineLevel="0" collapsed="false">
      <c r="B822" s="30" t="s">
        <v>4057</v>
      </c>
      <c r="C822" s="30" t="s">
        <v>40</v>
      </c>
      <c r="D822" s="30" t="s">
        <v>4058</v>
      </c>
      <c r="E822" s="30" t="s">
        <v>210</v>
      </c>
      <c r="F822" s="30" t="s">
        <v>4059</v>
      </c>
      <c r="G822" s="30" t="s">
        <v>4060</v>
      </c>
      <c r="H822" s="30" t="s">
        <v>4052</v>
      </c>
      <c r="I822" s="30" t="s">
        <v>306</v>
      </c>
      <c r="J822" s="30" t="s">
        <v>206</v>
      </c>
      <c r="K822" s="31" t="s">
        <v>47</v>
      </c>
      <c r="L822" s="32"/>
      <c r="M822" s="33"/>
      <c r="N822" s="30" t="s">
        <v>48</v>
      </c>
      <c r="O822" s="1" t="n">
        <f aca="false">IF($B822="",0,IF(AND(OR(Filter!$B$5="(alle)",$N822=Filter!$B$5),OR(Filter!$E$5="(alle)",$K822=Filter!$E$5),OR(Filter!$H$5="(alle)",$C822=Filter!$H$5),OR(Filter!$B$7="(alle)",$E822=Filter!$B$7),OR(Filter!$E$7="(alle)",ISNUMBER(SEARCH(Filter!$E$7,$J822))),OR(Filter!$H$7="(alle)",ISNUMBER(SEARCH(Filter!$H$7,$I822))),OR(Filter!$B$9="",ISNUMBER(SEARCH(Filter!$B$9,$F822&amp;" "&amp;$G822)))),COUNTIF($O$6:$O821,"&gt;0")+1,0))</f>
        <v>816</v>
      </c>
    </row>
    <row r="823" customFormat="false" ht="51" hidden="false" customHeight="true" outlineLevel="0" collapsed="false">
      <c r="B823" s="30" t="s">
        <v>4061</v>
      </c>
      <c r="C823" s="30" t="s">
        <v>40</v>
      </c>
      <c r="D823" s="30" t="s">
        <v>4062</v>
      </c>
      <c r="E823" s="30" t="s">
        <v>210</v>
      </c>
      <c r="F823" s="30" t="s">
        <v>4063</v>
      </c>
      <c r="G823" s="30" t="s">
        <v>4064</v>
      </c>
      <c r="H823" s="30" t="s">
        <v>4052</v>
      </c>
      <c r="I823" s="30" t="s">
        <v>306</v>
      </c>
      <c r="J823" s="30" t="s">
        <v>206</v>
      </c>
      <c r="K823" s="31" t="s">
        <v>47</v>
      </c>
      <c r="L823" s="32"/>
      <c r="M823" s="33"/>
      <c r="N823" s="30" t="s">
        <v>48</v>
      </c>
      <c r="O823" s="1" t="n">
        <f aca="false">IF($B823="",0,IF(AND(OR(Filter!$B$5="(alle)",$N823=Filter!$B$5),OR(Filter!$E$5="(alle)",$K823=Filter!$E$5),OR(Filter!$H$5="(alle)",$C823=Filter!$H$5),OR(Filter!$B$7="(alle)",$E823=Filter!$B$7),OR(Filter!$E$7="(alle)",ISNUMBER(SEARCH(Filter!$E$7,$J823))),OR(Filter!$H$7="(alle)",ISNUMBER(SEARCH(Filter!$H$7,$I823))),OR(Filter!$B$9="",ISNUMBER(SEARCH(Filter!$B$9,$F823&amp;" "&amp;$G823)))),COUNTIF($O$6:$O822,"&gt;0")+1,0))</f>
        <v>817</v>
      </c>
    </row>
    <row r="824" customFormat="false" ht="51" hidden="false" customHeight="true" outlineLevel="0" collapsed="false">
      <c r="B824" s="30" t="s">
        <v>4065</v>
      </c>
      <c r="C824" s="30" t="s">
        <v>40</v>
      </c>
      <c r="D824" s="30" t="s">
        <v>4066</v>
      </c>
      <c r="E824" s="30" t="s">
        <v>210</v>
      </c>
      <c r="F824" s="30" t="s">
        <v>4067</v>
      </c>
      <c r="G824" s="30" t="s">
        <v>4068</v>
      </c>
      <c r="H824" s="30" t="s">
        <v>4052</v>
      </c>
      <c r="I824" s="30" t="s">
        <v>306</v>
      </c>
      <c r="J824" s="30" t="s">
        <v>206</v>
      </c>
      <c r="K824" s="31" t="s">
        <v>47</v>
      </c>
      <c r="L824" s="32"/>
      <c r="M824" s="33"/>
      <c r="N824" s="30" t="s">
        <v>48</v>
      </c>
      <c r="O824" s="1" t="n">
        <f aca="false">IF($B824="",0,IF(AND(OR(Filter!$B$5="(alle)",$N824=Filter!$B$5),OR(Filter!$E$5="(alle)",$K824=Filter!$E$5),OR(Filter!$H$5="(alle)",$C824=Filter!$H$5),OR(Filter!$B$7="(alle)",$E824=Filter!$B$7),OR(Filter!$E$7="(alle)",ISNUMBER(SEARCH(Filter!$E$7,$J824))),OR(Filter!$H$7="(alle)",ISNUMBER(SEARCH(Filter!$H$7,$I824))),OR(Filter!$B$9="",ISNUMBER(SEARCH(Filter!$B$9,$F824&amp;" "&amp;$G824)))),COUNTIF($O$6:$O823,"&gt;0")+1,0))</f>
        <v>818</v>
      </c>
    </row>
    <row r="825" customFormat="false" ht="51" hidden="false" customHeight="true" outlineLevel="0" collapsed="false">
      <c r="B825" s="30" t="s">
        <v>4069</v>
      </c>
      <c r="C825" s="30" t="s">
        <v>40</v>
      </c>
      <c r="D825" s="30" t="s">
        <v>4070</v>
      </c>
      <c r="E825" s="30" t="s">
        <v>210</v>
      </c>
      <c r="F825" s="30" t="s">
        <v>4071</v>
      </c>
      <c r="G825" s="30" t="s">
        <v>4072</v>
      </c>
      <c r="H825" s="30" t="s">
        <v>4052</v>
      </c>
      <c r="I825" s="30" t="s">
        <v>3700</v>
      </c>
      <c r="J825" s="30" t="s">
        <v>159</v>
      </c>
      <c r="K825" s="31" t="s">
        <v>47</v>
      </c>
      <c r="L825" s="32"/>
      <c r="M825" s="33"/>
      <c r="N825" s="30" t="s">
        <v>48</v>
      </c>
      <c r="O825" s="1" t="n">
        <f aca="false">IF($B825="",0,IF(AND(OR(Filter!$B$5="(alle)",$N825=Filter!$B$5),OR(Filter!$E$5="(alle)",$K825=Filter!$E$5),OR(Filter!$H$5="(alle)",$C825=Filter!$H$5),OR(Filter!$B$7="(alle)",$E825=Filter!$B$7),OR(Filter!$E$7="(alle)",ISNUMBER(SEARCH(Filter!$E$7,$J825))),OR(Filter!$H$7="(alle)",ISNUMBER(SEARCH(Filter!$H$7,$I825))),OR(Filter!$B$9="",ISNUMBER(SEARCH(Filter!$B$9,$F825&amp;" "&amp;$G825)))),COUNTIF($O$6:$O824,"&gt;0")+1,0))</f>
        <v>819</v>
      </c>
    </row>
    <row r="826" customFormat="false" ht="51" hidden="false" customHeight="true" outlineLevel="0" collapsed="false">
      <c r="B826" s="30" t="s">
        <v>4073</v>
      </c>
      <c r="C826" s="30" t="s">
        <v>40</v>
      </c>
      <c r="D826" s="30" t="s">
        <v>4074</v>
      </c>
      <c r="E826" s="30" t="s">
        <v>210</v>
      </c>
      <c r="F826" s="30" t="s">
        <v>4075</v>
      </c>
      <c r="G826" s="30" t="s">
        <v>4076</v>
      </c>
      <c r="H826" s="30" t="s">
        <v>4052</v>
      </c>
      <c r="I826" s="30" t="s">
        <v>306</v>
      </c>
      <c r="J826" s="30" t="s">
        <v>206</v>
      </c>
      <c r="K826" s="31" t="s">
        <v>47</v>
      </c>
      <c r="L826" s="32"/>
      <c r="M826" s="33"/>
      <c r="N826" s="30" t="s">
        <v>48</v>
      </c>
      <c r="O826" s="1" t="n">
        <f aca="false">IF($B826="",0,IF(AND(OR(Filter!$B$5="(alle)",$N826=Filter!$B$5),OR(Filter!$E$5="(alle)",$K826=Filter!$E$5),OR(Filter!$H$5="(alle)",$C826=Filter!$H$5),OR(Filter!$B$7="(alle)",$E826=Filter!$B$7),OR(Filter!$E$7="(alle)",ISNUMBER(SEARCH(Filter!$E$7,$J826))),OR(Filter!$H$7="(alle)",ISNUMBER(SEARCH(Filter!$H$7,$I826))),OR(Filter!$B$9="",ISNUMBER(SEARCH(Filter!$B$9,$F826&amp;" "&amp;$G826)))),COUNTIF($O$6:$O825,"&gt;0")+1,0))</f>
        <v>820</v>
      </c>
    </row>
    <row r="827" customFormat="false" ht="51" hidden="false" customHeight="true" outlineLevel="0" collapsed="false">
      <c r="B827" s="30" t="s">
        <v>4077</v>
      </c>
      <c r="C827" s="30" t="s">
        <v>40</v>
      </c>
      <c r="D827" s="30" t="s">
        <v>4078</v>
      </c>
      <c r="E827" s="30" t="s">
        <v>210</v>
      </c>
      <c r="F827" s="30" t="s">
        <v>4079</v>
      </c>
      <c r="G827" s="30" t="s">
        <v>4080</v>
      </c>
      <c r="H827" s="30" t="s">
        <v>4052</v>
      </c>
      <c r="I827" s="30" t="s">
        <v>306</v>
      </c>
      <c r="J827" s="30" t="s">
        <v>206</v>
      </c>
      <c r="K827" s="31" t="s">
        <v>47</v>
      </c>
      <c r="L827" s="32"/>
      <c r="M827" s="33"/>
      <c r="N827" s="30" t="s">
        <v>48</v>
      </c>
      <c r="O827" s="1" t="n">
        <f aca="false">IF($B827="",0,IF(AND(OR(Filter!$B$5="(alle)",$N827=Filter!$B$5),OR(Filter!$E$5="(alle)",$K827=Filter!$E$5),OR(Filter!$H$5="(alle)",$C827=Filter!$H$5),OR(Filter!$B$7="(alle)",$E827=Filter!$B$7),OR(Filter!$E$7="(alle)",ISNUMBER(SEARCH(Filter!$E$7,$J827))),OR(Filter!$H$7="(alle)",ISNUMBER(SEARCH(Filter!$H$7,$I827))),OR(Filter!$B$9="",ISNUMBER(SEARCH(Filter!$B$9,$F827&amp;" "&amp;$G827)))),COUNTIF($O$6:$O826,"&gt;0")+1,0))</f>
        <v>821</v>
      </c>
    </row>
    <row r="828" customFormat="false" ht="51" hidden="false" customHeight="true" outlineLevel="0" collapsed="false">
      <c r="B828" s="30" t="s">
        <v>4081</v>
      </c>
      <c r="C828" s="30" t="s">
        <v>40</v>
      </c>
      <c r="D828" s="30" t="s">
        <v>4082</v>
      </c>
      <c r="E828" s="30" t="s">
        <v>210</v>
      </c>
      <c r="F828" s="30" t="s">
        <v>4083</v>
      </c>
      <c r="G828" s="30" t="s">
        <v>4084</v>
      </c>
      <c r="H828" s="30" t="s">
        <v>4085</v>
      </c>
      <c r="I828" s="30" t="s">
        <v>306</v>
      </c>
      <c r="J828" s="30" t="s">
        <v>206</v>
      </c>
      <c r="K828" s="31" t="s">
        <v>47</v>
      </c>
      <c r="L828" s="32"/>
      <c r="M828" s="33"/>
      <c r="N828" s="30" t="s">
        <v>48</v>
      </c>
      <c r="O828" s="1" t="n">
        <f aca="false">IF($B828="",0,IF(AND(OR(Filter!$B$5="(alle)",$N828=Filter!$B$5),OR(Filter!$E$5="(alle)",$K828=Filter!$E$5),OR(Filter!$H$5="(alle)",$C828=Filter!$H$5),OR(Filter!$B$7="(alle)",$E828=Filter!$B$7),OR(Filter!$E$7="(alle)",ISNUMBER(SEARCH(Filter!$E$7,$J828))),OR(Filter!$H$7="(alle)",ISNUMBER(SEARCH(Filter!$H$7,$I828))),OR(Filter!$B$9="",ISNUMBER(SEARCH(Filter!$B$9,$F828&amp;" "&amp;$G828)))),COUNTIF($O$6:$O827,"&gt;0")+1,0))</f>
        <v>822</v>
      </c>
    </row>
    <row r="829" customFormat="false" ht="51" hidden="false" customHeight="true" outlineLevel="0" collapsed="false">
      <c r="B829" s="30" t="s">
        <v>4086</v>
      </c>
      <c r="C829" s="30" t="s">
        <v>40</v>
      </c>
      <c r="D829" s="30" t="s">
        <v>4087</v>
      </c>
      <c r="E829" s="30" t="s">
        <v>361</v>
      </c>
      <c r="F829" s="30" t="s">
        <v>4088</v>
      </c>
      <c r="G829" s="30" t="s">
        <v>4089</v>
      </c>
      <c r="H829" s="30" t="s">
        <v>4090</v>
      </c>
      <c r="I829" s="30" t="s">
        <v>3700</v>
      </c>
      <c r="J829" s="30" t="s">
        <v>159</v>
      </c>
      <c r="K829" s="31" t="s">
        <v>47</v>
      </c>
      <c r="L829" s="32"/>
      <c r="M829" s="33"/>
      <c r="N829" s="30" t="s">
        <v>48</v>
      </c>
      <c r="O829" s="1" t="n">
        <f aca="false">IF($B829="",0,IF(AND(OR(Filter!$B$5="(alle)",$N829=Filter!$B$5),OR(Filter!$E$5="(alle)",$K829=Filter!$E$5),OR(Filter!$H$5="(alle)",$C829=Filter!$H$5),OR(Filter!$B$7="(alle)",$E829=Filter!$B$7),OR(Filter!$E$7="(alle)",ISNUMBER(SEARCH(Filter!$E$7,$J829))),OR(Filter!$H$7="(alle)",ISNUMBER(SEARCH(Filter!$H$7,$I829))),OR(Filter!$B$9="",ISNUMBER(SEARCH(Filter!$B$9,$F829&amp;" "&amp;$G829)))),COUNTIF($O$6:$O828,"&gt;0")+1,0))</f>
        <v>823</v>
      </c>
    </row>
    <row r="830" customFormat="false" ht="51" hidden="false" customHeight="true" outlineLevel="0" collapsed="false">
      <c r="B830" s="30" t="s">
        <v>4091</v>
      </c>
      <c r="C830" s="30" t="s">
        <v>40</v>
      </c>
      <c r="D830" s="30" t="s">
        <v>4092</v>
      </c>
      <c r="E830" s="30" t="s">
        <v>361</v>
      </c>
      <c r="F830" s="30" t="s">
        <v>4093</v>
      </c>
      <c r="G830" s="30" t="s">
        <v>4094</v>
      </c>
      <c r="H830" s="30" t="s">
        <v>4090</v>
      </c>
      <c r="I830" s="30" t="s">
        <v>306</v>
      </c>
      <c r="J830" s="30" t="s">
        <v>206</v>
      </c>
      <c r="K830" s="31" t="s">
        <v>47</v>
      </c>
      <c r="L830" s="32"/>
      <c r="M830" s="33"/>
      <c r="N830" s="30" t="s">
        <v>48</v>
      </c>
      <c r="O830" s="1" t="n">
        <f aca="false">IF($B830="",0,IF(AND(OR(Filter!$B$5="(alle)",$N830=Filter!$B$5),OR(Filter!$E$5="(alle)",$K830=Filter!$E$5),OR(Filter!$H$5="(alle)",$C830=Filter!$H$5),OR(Filter!$B$7="(alle)",$E830=Filter!$B$7),OR(Filter!$E$7="(alle)",ISNUMBER(SEARCH(Filter!$E$7,$J830))),OR(Filter!$H$7="(alle)",ISNUMBER(SEARCH(Filter!$H$7,$I830))),OR(Filter!$B$9="",ISNUMBER(SEARCH(Filter!$B$9,$F830&amp;" "&amp;$G830)))),COUNTIF($O$6:$O829,"&gt;0")+1,0))</f>
        <v>824</v>
      </c>
    </row>
    <row r="831" customFormat="false" ht="51" hidden="false" customHeight="true" outlineLevel="0" collapsed="false">
      <c r="B831" s="30" t="s">
        <v>4095</v>
      </c>
      <c r="C831" s="30" t="s">
        <v>40</v>
      </c>
      <c r="D831" s="30" t="s">
        <v>4096</v>
      </c>
      <c r="E831" s="30" t="s">
        <v>361</v>
      </c>
      <c r="F831" s="30" t="s">
        <v>4097</v>
      </c>
      <c r="G831" s="30" t="s">
        <v>4097</v>
      </c>
      <c r="H831" s="30" t="s">
        <v>4090</v>
      </c>
      <c r="I831" s="30" t="s">
        <v>306</v>
      </c>
      <c r="J831" s="30" t="s">
        <v>206</v>
      </c>
      <c r="K831" s="31" t="s">
        <v>47</v>
      </c>
      <c r="L831" s="32"/>
      <c r="M831" s="33"/>
      <c r="N831" s="30" t="s">
        <v>48</v>
      </c>
      <c r="O831" s="1" t="n">
        <f aca="false">IF($B831="",0,IF(AND(OR(Filter!$B$5="(alle)",$N831=Filter!$B$5),OR(Filter!$E$5="(alle)",$K831=Filter!$E$5),OR(Filter!$H$5="(alle)",$C831=Filter!$H$5),OR(Filter!$B$7="(alle)",$E831=Filter!$B$7),OR(Filter!$E$7="(alle)",ISNUMBER(SEARCH(Filter!$E$7,$J831))),OR(Filter!$H$7="(alle)",ISNUMBER(SEARCH(Filter!$H$7,$I831))),OR(Filter!$B$9="",ISNUMBER(SEARCH(Filter!$B$9,$F831&amp;" "&amp;$G831)))),COUNTIF($O$6:$O830,"&gt;0")+1,0))</f>
        <v>825</v>
      </c>
    </row>
    <row r="832" customFormat="false" ht="51" hidden="false" customHeight="true" outlineLevel="0" collapsed="false">
      <c r="B832" s="30" t="s">
        <v>4098</v>
      </c>
      <c r="C832" s="30" t="s">
        <v>40</v>
      </c>
      <c r="D832" s="30" t="s">
        <v>4099</v>
      </c>
      <c r="E832" s="30" t="s">
        <v>361</v>
      </c>
      <c r="F832" s="30" t="s">
        <v>4100</v>
      </c>
      <c r="G832" s="30" t="s">
        <v>4101</v>
      </c>
      <c r="H832" s="30" t="s">
        <v>4102</v>
      </c>
      <c r="I832" s="30" t="s">
        <v>306</v>
      </c>
      <c r="J832" s="30" t="s">
        <v>206</v>
      </c>
      <c r="K832" s="31" t="s">
        <v>47</v>
      </c>
      <c r="L832" s="32"/>
      <c r="M832" s="33"/>
      <c r="N832" s="30" t="s">
        <v>48</v>
      </c>
      <c r="O832" s="1" t="n">
        <f aca="false">IF($B832="",0,IF(AND(OR(Filter!$B$5="(alle)",$N832=Filter!$B$5),OR(Filter!$E$5="(alle)",$K832=Filter!$E$5),OR(Filter!$H$5="(alle)",$C832=Filter!$H$5),OR(Filter!$B$7="(alle)",$E832=Filter!$B$7),OR(Filter!$E$7="(alle)",ISNUMBER(SEARCH(Filter!$E$7,$J832))),OR(Filter!$H$7="(alle)",ISNUMBER(SEARCH(Filter!$H$7,$I832))),OR(Filter!$B$9="",ISNUMBER(SEARCH(Filter!$B$9,$F832&amp;" "&amp;$G832)))),COUNTIF($O$6:$O831,"&gt;0")+1,0))</f>
        <v>826</v>
      </c>
    </row>
    <row r="833" customFormat="false" ht="51" hidden="false" customHeight="true" outlineLevel="0" collapsed="false">
      <c r="B833" s="30" t="s">
        <v>4103</v>
      </c>
      <c r="C833" s="30" t="s">
        <v>40</v>
      </c>
      <c r="D833" s="30" t="s">
        <v>4104</v>
      </c>
      <c r="E833" s="30" t="s">
        <v>604</v>
      </c>
      <c r="F833" s="30" t="s">
        <v>4105</v>
      </c>
      <c r="G833" s="30" t="s">
        <v>4105</v>
      </c>
      <c r="H833" s="30" t="s">
        <v>4106</v>
      </c>
      <c r="I833" s="30" t="s">
        <v>476</v>
      </c>
      <c r="J833" s="30" t="s">
        <v>476</v>
      </c>
      <c r="K833" s="31" t="s">
        <v>47</v>
      </c>
      <c r="L833" s="32"/>
      <c r="M833" s="33"/>
      <c r="N833" s="30" t="s">
        <v>48</v>
      </c>
      <c r="O833" s="1" t="n">
        <f aca="false">IF($B833="",0,IF(AND(OR(Filter!$B$5="(alle)",$N833=Filter!$B$5),OR(Filter!$E$5="(alle)",$K833=Filter!$E$5),OR(Filter!$H$5="(alle)",$C833=Filter!$H$5),OR(Filter!$B$7="(alle)",$E833=Filter!$B$7),OR(Filter!$E$7="(alle)",ISNUMBER(SEARCH(Filter!$E$7,$J833))),OR(Filter!$H$7="(alle)",ISNUMBER(SEARCH(Filter!$H$7,$I833))),OR(Filter!$B$9="",ISNUMBER(SEARCH(Filter!$B$9,$F833&amp;" "&amp;$G833)))),COUNTIF($O$6:$O832,"&gt;0")+1,0))</f>
        <v>827</v>
      </c>
    </row>
    <row r="834" customFormat="false" ht="51" hidden="false" customHeight="true" outlineLevel="0" collapsed="false">
      <c r="B834" s="30" t="s">
        <v>4107</v>
      </c>
      <c r="C834" s="30" t="s">
        <v>40</v>
      </c>
      <c r="D834" s="30" t="s">
        <v>4108</v>
      </c>
      <c r="E834" s="30" t="s">
        <v>604</v>
      </c>
      <c r="F834" s="30" t="s">
        <v>4109</v>
      </c>
      <c r="G834" s="30" t="s">
        <v>4110</v>
      </c>
      <c r="H834" s="30" t="s">
        <v>4106</v>
      </c>
      <c r="I834" s="30" t="s">
        <v>476</v>
      </c>
      <c r="J834" s="30" t="s">
        <v>476</v>
      </c>
      <c r="K834" s="31" t="s">
        <v>47</v>
      </c>
      <c r="L834" s="32"/>
      <c r="M834" s="33"/>
      <c r="N834" s="30" t="s">
        <v>48</v>
      </c>
      <c r="O834" s="1" t="n">
        <f aca="false">IF($B834="",0,IF(AND(OR(Filter!$B$5="(alle)",$N834=Filter!$B$5),OR(Filter!$E$5="(alle)",$K834=Filter!$E$5),OR(Filter!$H$5="(alle)",$C834=Filter!$H$5),OR(Filter!$B$7="(alle)",$E834=Filter!$B$7),OR(Filter!$E$7="(alle)",ISNUMBER(SEARCH(Filter!$E$7,$J834))),OR(Filter!$H$7="(alle)",ISNUMBER(SEARCH(Filter!$H$7,$I834))),OR(Filter!$B$9="",ISNUMBER(SEARCH(Filter!$B$9,$F834&amp;" "&amp;$G834)))),COUNTIF($O$6:$O833,"&gt;0")+1,0))</f>
        <v>828</v>
      </c>
    </row>
    <row r="835" customFormat="false" ht="51" hidden="false" customHeight="true" outlineLevel="0" collapsed="false">
      <c r="B835" s="30" t="s">
        <v>4111</v>
      </c>
      <c r="C835" s="30" t="s">
        <v>40</v>
      </c>
      <c r="D835" s="30" t="s">
        <v>4112</v>
      </c>
      <c r="E835" s="30" t="s">
        <v>361</v>
      </c>
      <c r="F835" s="30" t="s">
        <v>4113</v>
      </c>
      <c r="G835" s="30" t="s">
        <v>4114</v>
      </c>
      <c r="H835" s="30" t="s">
        <v>4102</v>
      </c>
      <c r="I835" s="30" t="s">
        <v>306</v>
      </c>
      <c r="J835" s="30" t="s">
        <v>206</v>
      </c>
      <c r="K835" s="31" t="s">
        <v>47</v>
      </c>
      <c r="L835" s="32"/>
      <c r="M835" s="33"/>
      <c r="N835" s="30" t="s">
        <v>48</v>
      </c>
      <c r="O835" s="1" t="n">
        <f aca="false">IF($B835="",0,IF(AND(OR(Filter!$B$5="(alle)",$N835=Filter!$B$5),OR(Filter!$E$5="(alle)",$K835=Filter!$E$5),OR(Filter!$H$5="(alle)",$C835=Filter!$H$5),OR(Filter!$B$7="(alle)",$E835=Filter!$B$7),OR(Filter!$E$7="(alle)",ISNUMBER(SEARCH(Filter!$E$7,$J835))),OR(Filter!$H$7="(alle)",ISNUMBER(SEARCH(Filter!$H$7,$I835))),OR(Filter!$B$9="",ISNUMBER(SEARCH(Filter!$B$9,$F835&amp;" "&amp;$G835)))),COUNTIF($O$6:$O834,"&gt;0")+1,0))</f>
        <v>829</v>
      </c>
    </row>
    <row r="836" customFormat="false" ht="51" hidden="false" customHeight="true" outlineLevel="0" collapsed="false">
      <c r="B836" s="30" t="s">
        <v>4115</v>
      </c>
      <c r="C836" s="30" t="s">
        <v>40</v>
      </c>
      <c r="D836" s="30" t="s">
        <v>4116</v>
      </c>
      <c r="E836" s="30" t="s">
        <v>604</v>
      </c>
      <c r="F836" s="30" t="s">
        <v>4117</v>
      </c>
      <c r="G836" s="30" t="s">
        <v>4118</v>
      </c>
      <c r="H836" s="30" t="s">
        <v>4106</v>
      </c>
      <c r="I836" s="30" t="s">
        <v>476</v>
      </c>
      <c r="J836" s="30" t="s">
        <v>476</v>
      </c>
      <c r="K836" s="31" t="s">
        <v>47</v>
      </c>
      <c r="L836" s="32"/>
      <c r="M836" s="33"/>
      <c r="N836" s="30" t="s">
        <v>48</v>
      </c>
      <c r="O836" s="1" t="n">
        <f aca="false">IF($B836="",0,IF(AND(OR(Filter!$B$5="(alle)",$N836=Filter!$B$5),OR(Filter!$E$5="(alle)",$K836=Filter!$E$5),OR(Filter!$H$5="(alle)",$C836=Filter!$H$5),OR(Filter!$B$7="(alle)",$E836=Filter!$B$7),OR(Filter!$E$7="(alle)",ISNUMBER(SEARCH(Filter!$E$7,$J836))),OR(Filter!$H$7="(alle)",ISNUMBER(SEARCH(Filter!$H$7,$I836))),OR(Filter!$B$9="",ISNUMBER(SEARCH(Filter!$B$9,$F836&amp;" "&amp;$G836)))),COUNTIF($O$6:$O835,"&gt;0")+1,0))</f>
        <v>830</v>
      </c>
    </row>
    <row r="837" customFormat="false" ht="51" hidden="false" customHeight="true" outlineLevel="0" collapsed="false">
      <c r="B837" s="30" t="s">
        <v>4119</v>
      </c>
      <c r="C837" s="30" t="s">
        <v>40</v>
      </c>
      <c r="D837" s="30" t="s">
        <v>4120</v>
      </c>
      <c r="E837" s="30" t="s">
        <v>344</v>
      </c>
      <c r="F837" s="30" t="s">
        <v>4121</v>
      </c>
      <c r="G837" s="30" t="s">
        <v>4122</v>
      </c>
      <c r="H837" s="30" t="s">
        <v>4102</v>
      </c>
      <c r="I837" s="30" t="s">
        <v>306</v>
      </c>
      <c r="J837" s="30" t="s">
        <v>206</v>
      </c>
      <c r="K837" s="31" t="s">
        <v>47</v>
      </c>
      <c r="L837" s="32"/>
      <c r="M837" s="33"/>
      <c r="N837" s="30" t="s">
        <v>48</v>
      </c>
      <c r="O837" s="1" t="n">
        <f aca="false">IF($B837="",0,IF(AND(OR(Filter!$B$5="(alle)",$N837=Filter!$B$5),OR(Filter!$E$5="(alle)",$K837=Filter!$E$5),OR(Filter!$H$5="(alle)",$C837=Filter!$H$5),OR(Filter!$B$7="(alle)",$E837=Filter!$B$7),OR(Filter!$E$7="(alle)",ISNUMBER(SEARCH(Filter!$E$7,$J837))),OR(Filter!$H$7="(alle)",ISNUMBER(SEARCH(Filter!$H$7,$I837))),OR(Filter!$B$9="",ISNUMBER(SEARCH(Filter!$B$9,$F837&amp;" "&amp;$G837)))),COUNTIF($O$6:$O836,"&gt;0")+1,0))</f>
        <v>831</v>
      </c>
    </row>
    <row r="838" customFormat="false" ht="51" hidden="false" customHeight="true" outlineLevel="0" collapsed="false">
      <c r="B838" s="30" t="s">
        <v>4123</v>
      </c>
      <c r="C838" s="30" t="s">
        <v>40</v>
      </c>
      <c r="D838" s="30" t="s">
        <v>4124</v>
      </c>
      <c r="E838" s="30" t="s">
        <v>604</v>
      </c>
      <c r="F838" s="30" t="s">
        <v>4125</v>
      </c>
      <c r="G838" s="30" t="s">
        <v>4125</v>
      </c>
      <c r="H838" s="30" t="s">
        <v>4106</v>
      </c>
      <c r="I838" s="30" t="s">
        <v>476</v>
      </c>
      <c r="J838" s="30" t="s">
        <v>476</v>
      </c>
      <c r="K838" s="31" t="s">
        <v>47</v>
      </c>
      <c r="L838" s="32"/>
      <c r="M838" s="33"/>
      <c r="N838" s="30" t="s">
        <v>48</v>
      </c>
      <c r="O838" s="1" t="n">
        <f aca="false">IF($B838="",0,IF(AND(OR(Filter!$B$5="(alle)",$N838=Filter!$B$5),OR(Filter!$E$5="(alle)",$K838=Filter!$E$5),OR(Filter!$H$5="(alle)",$C838=Filter!$H$5),OR(Filter!$B$7="(alle)",$E838=Filter!$B$7),OR(Filter!$E$7="(alle)",ISNUMBER(SEARCH(Filter!$E$7,$J838))),OR(Filter!$H$7="(alle)",ISNUMBER(SEARCH(Filter!$H$7,$I838))),OR(Filter!$B$9="",ISNUMBER(SEARCH(Filter!$B$9,$F838&amp;" "&amp;$G838)))),COUNTIF($O$6:$O837,"&gt;0")+1,0))</f>
        <v>832</v>
      </c>
    </row>
    <row r="839" customFormat="false" ht="51" hidden="false" customHeight="true" outlineLevel="0" collapsed="false">
      <c r="B839" s="30" t="s">
        <v>4126</v>
      </c>
      <c r="C839" s="30" t="s">
        <v>40</v>
      </c>
      <c r="D839" s="30" t="s">
        <v>4127</v>
      </c>
      <c r="E839" s="30" t="s">
        <v>361</v>
      </c>
      <c r="F839" s="30" t="s">
        <v>4128</v>
      </c>
      <c r="G839" s="30" t="s">
        <v>4129</v>
      </c>
      <c r="H839" s="30" t="s">
        <v>4130</v>
      </c>
      <c r="I839" s="30" t="s">
        <v>306</v>
      </c>
      <c r="J839" s="30" t="s">
        <v>206</v>
      </c>
      <c r="K839" s="31" t="s">
        <v>47</v>
      </c>
      <c r="L839" s="32"/>
      <c r="M839" s="33"/>
      <c r="N839" s="30" t="s">
        <v>48</v>
      </c>
      <c r="O839" s="1" t="n">
        <f aca="false">IF($B839="",0,IF(AND(OR(Filter!$B$5="(alle)",$N839=Filter!$B$5),OR(Filter!$E$5="(alle)",$K839=Filter!$E$5),OR(Filter!$H$5="(alle)",$C839=Filter!$H$5),OR(Filter!$B$7="(alle)",$E839=Filter!$B$7),OR(Filter!$E$7="(alle)",ISNUMBER(SEARCH(Filter!$E$7,$J839))),OR(Filter!$H$7="(alle)",ISNUMBER(SEARCH(Filter!$H$7,$I839))),OR(Filter!$B$9="",ISNUMBER(SEARCH(Filter!$B$9,$F839&amp;" "&amp;$G839)))),COUNTIF($O$6:$O838,"&gt;0")+1,0))</f>
        <v>833</v>
      </c>
    </row>
    <row r="840" customFormat="false" ht="51" hidden="false" customHeight="true" outlineLevel="0" collapsed="false">
      <c r="B840" s="30" t="s">
        <v>4131</v>
      </c>
      <c r="C840" s="30" t="s">
        <v>40</v>
      </c>
      <c r="D840" s="30" t="s">
        <v>4132</v>
      </c>
      <c r="E840" s="30" t="s">
        <v>344</v>
      </c>
      <c r="F840" s="30" t="s">
        <v>4133</v>
      </c>
      <c r="G840" s="30" t="s">
        <v>4134</v>
      </c>
      <c r="H840" s="30" t="s">
        <v>4130</v>
      </c>
      <c r="I840" s="30" t="s">
        <v>306</v>
      </c>
      <c r="J840" s="30" t="s">
        <v>206</v>
      </c>
      <c r="K840" s="31" t="s">
        <v>47</v>
      </c>
      <c r="L840" s="32"/>
      <c r="M840" s="33"/>
      <c r="N840" s="30" t="s">
        <v>48</v>
      </c>
      <c r="O840" s="1" t="n">
        <f aca="false">IF($B840="",0,IF(AND(OR(Filter!$B$5="(alle)",$N840=Filter!$B$5),OR(Filter!$E$5="(alle)",$K840=Filter!$E$5),OR(Filter!$H$5="(alle)",$C840=Filter!$H$5),OR(Filter!$B$7="(alle)",$E840=Filter!$B$7),OR(Filter!$E$7="(alle)",ISNUMBER(SEARCH(Filter!$E$7,$J840))),OR(Filter!$H$7="(alle)",ISNUMBER(SEARCH(Filter!$H$7,$I840))),OR(Filter!$B$9="",ISNUMBER(SEARCH(Filter!$B$9,$F840&amp;" "&amp;$G840)))),COUNTIF($O$6:$O839,"&gt;0")+1,0))</f>
        <v>834</v>
      </c>
    </row>
    <row r="841" customFormat="false" ht="51" hidden="false" customHeight="true" outlineLevel="0" collapsed="false">
      <c r="B841" s="30" t="s">
        <v>4135</v>
      </c>
      <c r="C841" s="30" t="s">
        <v>40</v>
      </c>
      <c r="D841" s="30" t="s">
        <v>4136</v>
      </c>
      <c r="E841" s="30" t="s">
        <v>344</v>
      </c>
      <c r="F841" s="30" t="s">
        <v>4137</v>
      </c>
      <c r="G841" s="30" t="s">
        <v>4138</v>
      </c>
      <c r="H841" s="30" t="s">
        <v>4130</v>
      </c>
      <c r="I841" s="30" t="s">
        <v>306</v>
      </c>
      <c r="J841" s="30" t="s">
        <v>206</v>
      </c>
      <c r="K841" s="31" t="s">
        <v>47</v>
      </c>
      <c r="L841" s="32"/>
      <c r="M841" s="33"/>
      <c r="N841" s="30" t="s">
        <v>48</v>
      </c>
      <c r="O841" s="1" t="n">
        <f aca="false">IF($B841="",0,IF(AND(OR(Filter!$B$5="(alle)",$N841=Filter!$B$5),OR(Filter!$E$5="(alle)",$K841=Filter!$E$5),OR(Filter!$H$5="(alle)",$C841=Filter!$H$5),OR(Filter!$B$7="(alle)",$E841=Filter!$B$7),OR(Filter!$E$7="(alle)",ISNUMBER(SEARCH(Filter!$E$7,$J841))),OR(Filter!$H$7="(alle)",ISNUMBER(SEARCH(Filter!$H$7,$I841))),OR(Filter!$B$9="",ISNUMBER(SEARCH(Filter!$B$9,$F841&amp;" "&amp;$G841)))),COUNTIF($O$6:$O840,"&gt;0")+1,0))</f>
        <v>835</v>
      </c>
    </row>
    <row r="842" customFormat="false" ht="51" hidden="false" customHeight="true" outlineLevel="0" collapsed="false">
      <c r="B842" s="30" t="s">
        <v>4139</v>
      </c>
      <c r="C842" s="30" t="s">
        <v>40</v>
      </c>
      <c r="D842" s="30" t="s">
        <v>4140</v>
      </c>
      <c r="E842" s="30" t="s">
        <v>344</v>
      </c>
      <c r="F842" s="30" t="s">
        <v>4141</v>
      </c>
      <c r="G842" s="30" t="s">
        <v>4142</v>
      </c>
      <c r="H842" s="30" t="s">
        <v>4130</v>
      </c>
      <c r="I842" s="30" t="s">
        <v>306</v>
      </c>
      <c r="J842" s="30" t="s">
        <v>206</v>
      </c>
      <c r="K842" s="31" t="s">
        <v>47</v>
      </c>
      <c r="L842" s="32"/>
      <c r="M842" s="33"/>
      <c r="N842" s="30" t="s">
        <v>48</v>
      </c>
      <c r="O842" s="1" t="n">
        <f aca="false">IF($B842="",0,IF(AND(OR(Filter!$B$5="(alle)",$N842=Filter!$B$5),OR(Filter!$E$5="(alle)",$K842=Filter!$E$5),OR(Filter!$H$5="(alle)",$C842=Filter!$H$5),OR(Filter!$B$7="(alle)",$E842=Filter!$B$7),OR(Filter!$E$7="(alle)",ISNUMBER(SEARCH(Filter!$E$7,$J842))),OR(Filter!$H$7="(alle)",ISNUMBER(SEARCH(Filter!$H$7,$I842))),OR(Filter!$B$9="",ISNUMBER(SEARCH(Filter!$B$9,$F842&amp;" "&amp;$G842)))),COUNTIF($O$6:$O841,"&gt;0")+1,0))</f>
        <v>836</v>
      </c>
    </row>
    <row r="843" customFormat="false" ht="51" hidden="false" customHeight="true" outlineLevel="0" collapsed="false">
      <c r="B843" s="30" t="s">
        <v>4143</v>
      </c>
      <c r="C843" s="30" t="s">
        <v>40</v>
      </c>
      <c r="D843" s="30" t="s">
        <v>4144</v>
      </c>
      <c r="E843" s="30" t="s">
        <v>361</v>
      </c>
      <c r="F843" s="30" t="s">
        <v>4145</v>
      </c>
      <c r="G843" s="30" t="s">
        <v>4146</v>
      </c>
      <c r="H843" s="30" t="s">
        <v>4130</v>
      </c>
      <c r="I843" s="30" t="s">
        <v>306</v>
      </c>
      <c r="J843" s="30" t="s">
        <v>206</v>
      </c>
      <c r="K843" s="31" t="s">
        <v>47</v>
      </c>
      <c r="L843" s="32"/>
      <c r="M843" s="33"/>
      <c r="N843" s="30" t="s">
        <v>48</v>
      </c>
      <c r="O843" s="1" t="n">
        <f aca="false">IF($B843="",0,IF(AND(OR(Filter!$B$5="(alle)",$N843=Filter!$B$5),OR(Filter!$E$5="(alle)",$K843=Filter!$E$5),OR(Filter!$H$5="(alle)",$C843=Filter!$H$5),OR(Filter!$B$7="(alle)",$E843=Filter!$B$7),OR(Filter!$E$7="(alle)",ISNUMBER(SEARCH(Filter!$E$7,$J843))),OR(Filter!$H$7="(alle)",ISNUMBER(SEARCH(Filter!$H$7,$I843))),OR(Filter!$B$9="",ISNUMBER(SEARCH(Filter!$B$9,$F843&amp;" "&amp;$G843)))),COUNTIF($O$6:$O842,"&gt;0")+1,0))</f>
        <v>837</v>
      </c>
    </row>
    <row r="844" customFormat="false" ht="51" hidden="false" customHeight="true" outlineLevel="0" collapsed="false">
      <c r="B844" s="30" t="s">
        <v>4147</v>
      </c>
      <c r="C844" s="30" t="s">
        <v>40</v>
      </c>
      <c r="D844" s="30" t="s">
        <v>4148</v>
      </c>
      <c r="E844" s="30" t="s">
        <v>344</v>
      </c>
      <c r="F844" s="30" t="s">
        <v>4149</v>
      </c>
      <c r="G844" s="30" t="s">
        <v>4150</v>
      </c>
      <c r="H844" s="30" t="s">
        <v>4130</v>
      </c>
      <c r="I844" s="30" t="s">
        <v>306</v>
      </c>
      <c r="J844" s="30" t="s">
        <v>206</v>
      </c>
      <c r="K844" s="31" t="s">
        <v>47</v>
      </c>
      <c r="L844" s="32"/>
      <c r="M844" s="33"/>
      <c r="N844" s="30" t="s">
        <v>48</v>
      </c>
      <c r="O844" s="1" t="n">
        <f aca="false">IF($B844="",0,IF(AND(OR(Filter!$B$5="(alle)",$N844=Filter!$B$5),OR(Filter!$E$5="(alle)",$K844=Filter!$E$5),OR(Filter!$H$5="(alle)",$C844=Filter!$H$5),OR(Filter!$B$7="(alle)",$E844=Filter!$B$7),OR(Filter!$E$7="(alle)",ISNUMBER(SEARCH(Filter!$E$7,$J844))),OR(Filter!$H$7="(alle)",ISNUMBER(SEARCH(Filter!$H$7,$I844))),OR(Filter!$B$9="",ISNUMBER(SEARCH(Filter!$B$9,$F844&amp;" "&amp;$G844)))),COUNTIF($O$6:$O843,"&gt;0")+1,0))</f>
        <v>838</v>
      </c>
    </row>
    <row r="845" customFormat="false" ht="51" hidden="false" customHeight="true" outlineLevel="0" collapsed="false">
      <c r="B845" s="30" t="s">
        <v>4151</v>
      </c>
      <c r="C845" s="30" t="s">
        <v>40</v>
      </c>
      <c r="D845" s="30" t="s">
        <v>4152</v>
      </c>
      <c r="E845" s="30" t="s">
        <v>344</v>
      </c>
      <c r="F845" s="30" t="s">
        <v>4153</v>
      </c>
      <c r="G845" s="30" t="s">
        <v>4154</v>
      </c>
      <c r="H845" s="30" t="s">
        <v>4130</v>
      </c>
      <c r="I845" s="30" t="s">
        <v>306</v>
      </c>
      <c r="J845" s="30" t="s">
        <v>206</v>
      </c>
      <c r="K845" s="31" t="s">
        <v>47</v>
      </c>
      <c r="L845" s="32"/>
      <c r="M845" s="33"/>
      <c r="N845" s="30" t="s">
        <v>48</v>
      </c>
      <c r="O845" s="1" t="n">
        <f aca="false">IF($B845="",0,IF(AND(OR(Filter!$B$5="(alle)",$N845=Filter!$B$5),OR(Filter!$E$5="(alle)",$K845=Filter!$E$5),OR(Filter!$H$5="(alle)",$C845=Filter!$H$5),OR(Filter!$B$7="(alle)",$E845=Filter!$B$7),OR(Filter!$E$7="(alle)",ISNUMBER(SEARCH(Filter!$E$7,$J845))),OR(Filter!$H$7="(alle)",ISNUMBER(SEARCH(Filter!$H$7,$I845))),OR(Filter!$B$9="",ISNUMBER(SEARCH(Filter!$B$9,$F845&amp;" "&amp;$G845)))),COUNTIF($O$6:$O844,"&gt;0")+1,0))</f>
        <v>839</v>
      </c>
    </row>
    <row r="846" customFormat="false" ht="51" hidden="false" customHeight="true" outlineLevel="0" collapsed="false">
      <c r="B846" s="30" t="s">
        <v>4155</v>
      </c>
      <c r="C846" s="30" t="s">
        <v>40</v>
      </c>
      <c r="D846" s="30" t="s">
        <v>4156</v>
      </c>
      <c r="E846" s="30" t="s">
        <v>361</v>
      </c>
      <c r="F846" s="30" t="s">
        <v>4157</v>
      </c>
      <c r="G846" s="30" t="s">
        <v>4158</v>
      </c>
      <c r="H846" s="30" t="s">
        <v>4130</v>
      </c>
      <c r="I846" s="30" t="s">
        <v>306</v>
      </c>
      <c r="J846" s="30" t="s">
        <v>206</v>
      </c>
      <c r="K846" s="31" t="s">
        <v>47</v>
      </c>
      <c r="L846" s="32"/>
      <c r="M846" s="33"/>
      <c r="N846" s="30" t="s">
        <v>48</v>
      </c>
      <c r="O846" s="1" t="n">
        <f aca="false">IF($B846="",0,IF(AND(OR(Filter!$B$5="(alle)",$N846=Filter!$B$5),OR(Filter!$E$5="(alle)",$K846=Filter!$E$5),OR(Filter!$H$5="(alle)",$C846=Filter!$H$5),OR(Filter!$B$7="(alle)",$E846=Filter!$B$7),OR(Filter!$E$7="(alle)",ISNUMBER(SEARCH(Filter!$E$7,$J846))),OR(Filter!$H$7="(alle)",ISNUMBER(SEARCH(Filter!$H$7,$I846))),OR(Filter!$B$9="",ISNUMBER(SEARCH(Filter!$B$9,$F846&amp;" "&amp;$G846)))),COUNTIF($O$6:$O845,"&gt;0")+1,0))</f>
        <v>840</v>
      </c>
    </row>
    <row r="847" customFormat="false" ht="51" hidden="false" customHeight="true" outlineLevel="0" collapsed="false">
      <c r="B847" s="30" t="s">
        <v>4159</v>
      </c>
      <c r="C847" s="30" t="s">
        <v>40</v>
      </c>
      <c r="D847" s="30" t="s">
        <v>4160</v>
      </c>
      <c r="E847" s="30" t="s">
        <v>344</v>
      </c>
      <c r="F847" s="30" t="s">
        <v>4161</v>
      </c>
      <c r="G847" s="30" t="s">
        <v>4162</v>
      </c>
      <c r="H847" s="30" t="s">
        <v>4130</v>
      </c>
      <c r="I847" s="30" t="s">
        <v>306</v>
      </c>
      <c r="J847" s="30" t="s">
        <v>206</v>
      </c>
      <c r="K847" s="31" t="s">
        <v>47</v>
      </c>
      <c r="L847" s="32"/>
      <c r="M847" s="33"/>
      <c r="N847" s="30" t="s">
        <v>48</v>
      </c>
      <c r="O847" s="1" t="n">
        <f aca="false">IF($B847="",0,IF(AND(OR(Filter!$B$5="(alle)",$N847=Filter!$B$5),OR(Filter!$E$5="(alle)",$K847=Filter!$E$5),OR(Filter!$H$5="(alle)",$C847=Filter!$H$5),OR(Filter!$B$7="(alle)",$E847=Filter!$B$7),OR(Filter!$E$7="(alle)",ISNUMBER(SEARCH(Filter!$E$7,$J847))),OR(Filter!$H$7="(alle)",ISNUMBER(SEARCH(Filter!$H$7,$I847))),OR(Filter!$B$9="",ISNUMBER(SEARCH(Filter!$B$9,$F847&amp;" "&amp;$G847)))),COUNTIF($O$6:$O846,"&gt;0")+1,0))</f>
        <v>841</v>
      </c>
    </row>
    <row r="848" customFormat="false" ht="51" hidden="false" customHeight="true" outlineLevel="0" collapsed="false">
      <c r="B848" s="30" t="s">
        <v>4163</v>
      </c>
      <c r="C848" s="30" t="s">
        <v>40</v>
      </c>
      <c r="D848" s="30" t="s">
        <v>4164</v>
      </c>
      <c r="E848" s="30" t="s">
        <v>344</v>
      </c>
      <c r="F848" s="30" t="s">
        <v>4165</v>
      </c>
      <c r="G848" s="30" t="s">
        <v>4166</v>
      </c>
      <c r="H848" s="30" t="s">
        <v>4130</v>
      </c>
      <c r="I848" s="30" t="s">
        <v>306</v>
      </c>
      <c r="J848" s="30" t="s">
        <v>206</v>
      </c>
      <c r="K848" s="31" t="s">
        <v>47</v>
      </c>
      <c r="L848" s="32"/>
      <c r="M848" s="33"/>
      <c r="N848" s="30" t="s">
        <v>48</v>
      </c>
      <c r="O848" s="1" t="n">
        <f aca="false">IF($B848="",0,IF(AND(OR(Filter!$B$5="(alle)",$N848=Filter!$B$5),OR(Filter!$E$5="(alle)",$K848=Filter!$E$5),OR(Filter!$H$5="(alle)",$C848=Filter!$H$5),OR(Filter!$B$7="(alle)",$E848=Filter!$B$7),OR(Filter!$E$7="(alle)",ISNUMBER(SEARCH(Filter!$E$7,$J848))),OR(Filter!$H$7="(alle)",ISNUMBER(SEARCH(Filter!$H$7,$I848))),OR(Filter!$B$9="",ISNUMBER(SEARCH(Filter!$B$9,$F848&amp;" "&amp;$G848)))),COUNTIF($O$6:$O847,"&gt;0")+1,0))</f>
        <v>842</v>
      </c>
    </row>
    <row r="849" customFormat="false" ht="51" hidden="false" customHeight="true" outlineLevel="0" collapsed="false">
      <c r="B849" s="30" t="s">
        <v>4167</v>
      </c>
      <c r="C849" s="30" t="s">
        <v>40</v>
      </c>
      <c r="D849" s="30" t="s">
        <v>4168</v>
      </c>
      <c r="E849" s="30" t="s">
        <v>547</v>
      </c>
      <c r="F849" s="30" t="s">
        <v>4169</v>
      </c>
      <c r="G849" s="30" t="s">
        <v>4169</v>
      </c>
      <c r="H849" s="30" t="s">
        <v>4170</v>
      </c>
      <c r="I849" s="30" t="s">
        <v>476</v>
      </c>
      <c r="J849" s="30" t="s">
        <v>476</v>
      </c>
      <c r="K849" s="31" t="s">
        <v>47</v>
      </c>
      <c r="L849" s="32"/>
      <c r="M849" s="33"/>
      <c r="N849" s="30" t="s">
        <v>48</v>
      </c>
      <c r="O849" s="1" t="n">
        <f aca="false">IF($B849="",0,IF(AND(OR(Filter!$B$5="(alle)",$N849=Filter!$B$5),OR(Filter!$E$5="(alle)",$K849=Filter!$E$5),OR(Filter!$H$5="(alle)",$C849=Filter!$H$5),OR(Filter!$B$7="(alle)",$E849=Filter!$B$7),OR(Filter!$E$7="(alle)",ISNUMBER(SEARCH(Filter!$E$7,$J849))),OR(Filter!$H$7="(alle)",ISNUMBER(SEARCH(Filter!$H$7,$I849))),OR(Filter!$B$9="",ISNUMBER(SEARCH(Filter!$B$9,$F849&amp;" "&amp;$G849)))),COUNTIF($O$6:$O848,"&gt;0")+1,0))</f>
        <v>843</v>
      </c>
    </row>
    <row r="850" customFormat="false" ht="51" hidden="false" customHeight="true" outlineLevel="0" collapsed="false">
      <c r="B850" s="30" t="s">
        <v>4171</v>
      </c>
      <c r="C850" s="30" t="s">
        <v>40</v>
      </c>
      <c r="D850" s="30" t="s">
        <v>4172</v>
      </c>
      <c r="E850" s="30" t="s">
        <v>344</v>
      </c>
      <c r="F850" s="30" t="s">
        <v>4173</v>
      </c>
      <c r="G850" s="30" t="s">
        <v>4174</v>
      </c>
      <c r="H850" s="30" t="s">
        <v>4175</v>
      </c>
      <c r="I850" s="30" t="s">
        <v>306</v>
      </c>
      <c r="J850" s="30" t="s">
        <v>206</v>
      </c>
      <c r="K850" s="31" t="s">
        <v>47</v>
      </c>
      <c r="L850" s="32"/>
      <c r="M850" s="33"/>
      <c r="N850" s="30" t="s">
        <v>48</v>
      </c>
      <c r="O850" s="1" t="n">
        <f aca="false">IF($B850="",0,IF(AND(OR(Filter!$B$5="(alle)",$N850=Filter!$B$5),OR(Filter!$E$5="(alle)",$K850=Filter!$E$5),OR(Filter!$H$5="(alle)",$C850=Filter!$H$5),OR(Filter!$B$7="(alle)",$E850=Filter!$B$7),OR(Filter!$E$7="(alle)",ISNUMBER(SEARCH(Filter!$E$7,$J850))),OR(Filter!$H$7="(alle)",ISNUMBER(SEARCH(Filter!$H$7,$I850))),OR(Filter!$B$9="",ISNUMBER(SEARCH(Filter!$B$9,$F850&amp;" "&amp;$G850)))),COUNTIF($O$6:$O849,"&gt;0")+1,0))</f>
        <v>844</v>
      </c>
    </row>
    <row r="851" customFormat="false" ht="51" hidden="false" customHeight="true" outlineLevel="0" collapsed="false">
      <c r="B851" s="30" t="s">
        <v>4176</v>
      </c>
      <c r="C851" s="30" t="s">
        <v>40</v>
      </c>
      <c r="D851" s="30" t="s">
        <v>4177</v>
      </c>
      <c r="E851" s="30" t="s">
        <v>361</v>
      </c>
      <c r="F851" s="30" t="s">
        <v>4178</v>
      </c>
      <c r="G851" s="30" t="s">
        <v>4179</v>
      </c>
      <c r="H851" s="30" t="s">
        <v>4175</v>
      </c>
      <c r="I851" s="30" t="s">
        <v>3700</v>
      </c>
      <c r="J851" s="30" t="s">
        <v>159</v>
      </c>
      <c r="K851" s="31" t="s">
        <v>47</v>
      </c>
      <c r="L851" s="32"/>
      <c r="M851" s="33"/>
      <c r="N851" s="30" t="s">
        <v>48</v>
      </c>
      <c r="O851" s="1" t="n">
        <f aca="false">IF($B851="",0,IF(AND(OR(Filter!$B$5="(alle)",$N851=Filter!$B$5),OR(Filter!$E$5="(alle)",$K851=Filter!$E$5),OR(Filter!$H$5="(alle)",$C851=Filter!$H$5),OR(Filter!$B$7="(alle)",$E851=Filter!$B$7),OR(Filter!$E$7="(alle)",ISNUMBER(SEARCH(Filter!$E$7,$J851))),OR(Filter!$H$7="(alle)",ISNUMBER(SEARCH(Filter!$H$7,$I851))),OR(Filter!$B$9="",ISNUMBER(SEARCH(Filter!$B$9,$F851&amp;" "&amp;$G851)))),COUNTIF($O$6:$O850,"&gt;0")+1,0))</f>
        <v>845</v>
      </c>
    </row>
    <row r="852" customFormat="false" ht="51" hidden="false" customHeight="true" outlineLevel="0" collapsed="false">
      <c r="B852" s="30" t="s">
        <v>4180</v>
      </c>
      <c r="C852" s="30" t="s">
        <v>40</v>
      </c>
      <c r="D852" s="30" t="s">
        <v>4181</v>
      </c>
      <c r="E852" s="30" t="s">
        <v>547</v>
      </c>
      <c r="F852" s="30" t="s">
        <v>4182</v>
      </c>
      <c r="G852" s="30" t="s">
        <v>4183</v>
      </c>
      <c r="H852" s="30" t="s">
        <v>4184</v>
      </c>
      <c r="I852" s="30" t="s">
        <v>476</v>
      </c>
      <c r="J852" s="30" t="s">
        <v>476</v>
      </c>
      <c r="K852" s="31" t="s">
        <v>47</v>
      </c>
      <c r="L852" s="32"/>
      <c r="M852" s="33"/>
      <c r="N852" s="30" t="s">
        <v>48</v>
      </c>
      <c r="O852" s="1" t="n">
        <f aca="false">IF($B852="",0,IF(AND(OR(Filter!$B$5="(alle)",$N852=Filter!$B$5),OR(Filter!$E$5="(alle)",$K852=Filter!$E$5),OR(Filter!$H$5="(alle)",$C852=Filter!$H$5),OR(Filter!$B$7="(alle)",$E852=Filter!$B$7),OR(Filter!$E$7="(alle)",ISNUMBER(SEARCH(Filter!$E$7,$J852))),OR(Filter!$H$7="(alle)",ISNUMBER(SEARCH(Filter!$H$7,$I852))),OR(Filter!$B$9="",ISNUMBER(SEARCH(Filter!$B$9,$F852&amp;" "&amp;$G852)))),COUNTIF($O$6:$O851,"&gt;0")+1,0))</f>
        <v>846</v>
      </c>
    </row>
    <row r="853" customFormat="false" ht="51" hidden="false" customHeight="true" outlineLevel="0" collapsed="false">
      <c r="B853" s="30" t="s">
        <v>4185</v>
      </c>
      <c r="C853" s="30" t="s">
        <v>40</v>
      </c>
      <c r="D853" s="30" t="s">
        <v>4186</v>
      </c>
      <c r="E853" s="30" t="s">
        <v>547</v>
      </c>
      <c r="F853" s="30" t="s">
        <v>4187</v>
      </c>
      <c r="G853" s="30" t="s">
        <v>4187</v>
      </c>
      <c r="H853" s="30" t="s">
        <v>4184</v>
      </c>
      <c r="I853" s="30" t="s">
        <v>476</v>
      </c>
      <c r="J853" s="30" t="s">
        <v>476</v>
      </c>
      <c r="K853" s="31" t="s">
        <v>47</v>
      </c>
      <c r="L853" s="32"/>
      <c r="M853" s="33"/>
      <c r="N853" s="30" t="s">
        <v>48</v>
      </c>
      <c r="O853" s="1" t="n">
        <f aca="false">IF($B853="",0,IF(AND(OR(Filter!$B$5="(alle)",$N853=Filter!$B$5),OR(Filter!$E$5="(alle)",$K853=Filter!$E$5),OR(Filter!$H$5="(alle)",$C853=Filter!$H$5),OR(Filter!$B$7="(alle)",$E853=Filter!$B$7),OR(Filter!$E$7="(alle)",ISNUMBER(SEARCH(Filter!$E$7,$J853))),OR(Filter!$H$7="(alle)",ISNUMBER(SEARCH(Filter!$H$7,$I853))),OR(Filter!$B$9="",ISNUMBER(SEARCH(Filter!$B$9,$F853&amp;" "&amp;$G853)))),COUNTIF($O$6:$O852,"&gt;0")+1,0))</f>
        <v>847</v>
      </c>
    </row>
    <row r="854" customFormat="false" ht="51" hidden="false" customHeight="true" outlineLevel="0" collapsed="false">
      <c r="B854" s="30" t="s">
        <v>4188</v>
      </c>
      <c r="C854" s="30" t="s">
        <v>40</v>
      </c>
      <c r="D854" s="30" t="s">
        <v>4189</v>
      </c>
      <c r="E854" s="30" t="s">
        <v>344</v>
      </c>
      <c r="F854" s="30" t="s">
        <v>4190</v>
      </c>
      <c r="G854" s="30" t="s">
        <v>4191</v>
      </c>
      <c r="H854" s="30" t="s">
        <v>4175</v>
      </c>
      <c r="I854" s="30" t="s">
        <v>306</v>
      </c>
      <c r="J854" s="30" t="s">
        <v>206</v>
      </c>
      <c r="K854" s="31" t="s">
        <v>47</v>
      </c>
      <c r="L854" s="32"/>
      <c r="M854" s="33"/>
      <c r="N854" s="30" t="s">
        <v>48</v>
      </c>
      <c r="O854" s="1" t="n">
        <f aca="false">IF($B854="",0,IF(AND(OR(Filter!$B$5="(alle)",$N854=Filter!$B$5),OR(Filter!$E$5="(alle)",$K854=Filter!$E$5),OR(Filter!$H$5="(alle)",$C854=Filter!$H$5),OR(Filter!$B$7="(alle)",$E854=Filter!$B$7),OR(Filter!$E$7="(alle)",ISNUMBER(SEARCH(Filter!$E$7,$J854))),OR(Filter!$H$7="(alle)",ISNUMBER(SEARCH(Filter!$H$7,$I854))),OR(Filter!$B$9="",ISNUMBER(SEARCH(Filter!$B$9,$F854&amp;" "&amp;$G854)))),COUNTIF($O$6:$O853,"&gt;0")+1,0))</f>
        <v>848</v>
      </c>
    </row>
    <row r="855" customFormat="false" ht="51" hidden="false" customHeight="true" outlineLevel="0" collapsed="false">
      <c r="B855" s="30" t="s">
        <v>4192</v>
      </c>
      <c r="C855" s="30" t="s">
        <v>40</v>
      </c>
      <c r="D855" s="30" t="s">
        <v>4193</v>
      </c>
      <c r="E855" s="30" t="s">
        <v>604</v>
      </c>
      <c r="F855" s="30" t="s">
        <v>4194</v>
      </c>
      <c r="G855" s="30" t="s">
        <v>4195</v>
      </c>
      <c r="H855" s="30" t="s">
        <v>4184</v>
      </c>
      <c r="I855" s="30" t="s">
        <v>476</v>
      </c>
      <c r="J855" s="30" t="s">
        <v>476</v>
      </c>
      <c r="K855" s="31" t="s">
        <v>47</v>
      </c>
      <c r="L855" s="32"/>
      <c r="M855" s="33"/>
      <c r="N855" s="30" t="s">
        <v>48</v>
      </c>
      <c r="O855" s="1" t="n">
        <f aca="false">IF($B855="",0,IF(AND(OR(Filter!$B$5="(alle)",$N855=Filter!$B$5),OR(Filter!$E$5="(alle)",$K855=Filter!$E$5),OR(Filter!$H$5="(alle)",$C855=Filter!$H$5),OR(Filter!$B$7="(alle)",$E855=Filter!$B$7),OR(Filter!$E$7="(alle)",ISNUMBER(SEARCH(Filter!$E$7,$J855))),OR(Filter!$H$7="(alle)",ISNUMBER(SEARCH(Filter!$H$7,$I855))),OR(Filter!$B$9="",ISNUMBER(SEARCH(Filter!$B$9,$F855&amp;" "&amp;$G855)))),COUNTIF($O$6:$O854,"&gt;0")+1,0))</f>
        <v>849</v>
      </c>
    </row>
    <row r="856" customFormat="false" ht="51" hidden="false" customHeight="true" outlineLevel="0" collapsed="false">
      <c r="B856" s="30" t="s">
        <v>4196</v>
      </c>
      <c r="C856" s="30" t="s">
        <v>40</v>
      </c>
      <c r="D856" s="30" t="s">
        <v>4197</v>
      </c>
      <c r="E856" s="30" t="s">
        <v>361</v>
      </c>
      <c r="F856" s="30" t="s">
        <v>4198</v>
      </c>
      <c r="G856" s="30" t="s">
        <v>4199</v>
      </c>
      <c r="H856" s="30" t="s">
        <v>4175</v>
      </c>
      <c r="I856" s="30" t="s">
        <v>306</v>
      </c>
      <c r="J856" s="30" t="s">
        <v>206</v>
      </c>
      <c r="K856" s="31" t="s">
        <v>47</v>
      </c>
      <c r="L856" s="32"/>
      <c r="M856" s="33"/>
      <c r="N856" s="30" t="s">
        <v>48</v>
      </c>
      <c r="O856" s="1" t="n">
        <f aca="false">IF($B856="",0,IF(AND(OR(Filter!$B$5="(alle)",$N856=Filter!$B$5),OR(Filter!$E$5="(alle)",$K856=Filter!$E$5),OR(Filter!$H$5="(alle)",$C856=Filter!$H$5),OR(Filter!$B$7="(alle)",$E856=Filter!$B$7),OR(Filter!$E$7="(alle)",ISNUMBER(SEARCH(Filter!$E$7,$J856))),OR(Filter!$H$7="(alle)",ISNUMBER(SEARCH(Filter!$H$7,$I856))),OR(Filter!$B$9="",ISNUMBER(SEARCH(Filter!$B$9,$F856&amp;" "&amp;$G856)))),COUNTIF($O$6:$O855,"&gt;0")+1,0))</f>
        <v>850</v>
      </c>
    </row>
    <row r="857" customFormat="false" ht="51" hidden="false" customHeight="true" outlineLevel="0" collapsed="false">
      <c r="B857" s="30" t="s">
        <v>4200</v>
      </c>
      <c r="C857" s="30" t="s">
        <v>40</v>
      </c>
      <c r="D857" s="30" t="s">
        <v>4201</v>
      </c>
      <c r="E857" s="30" t="s">
        <v>210</v>
      </c>
      <c r="F857" s="30" t="s">
        <v>4202</v>
      </c>
      <c r="G857" s="30" t="s">
        <v>4203</v>
      </c>
      <c r="H857" s="30" t="s">
        <v>4175</v>
      </c>
      <c r="I857" s="30" t="s">
        <v>306</v>
      </c>
      <c r="J857" s="30" t="s">
        <v>206</v>
      </c>
      <c r="K857" s="31" t="s">
        <v>47</v>
      </c>
      <c r="L857" s="32"/>
      <c r="M857" s="33"/>
      <c r="N857" s="30" t="s">
        <v>48</v>
      </c>
      <c r="O857" s="1" t="n">
        <f aca="false">IF($B857="",0,IF(AND(OR(Filter!$B$5="(alle)",$N857=Filter!$B$5),OR(Filter!$E$5="(alle)",$K857=Filter!$E$5),OR(Filter!$H$5="(alle)",$C857=Filter!$H$5),OR(Filter!$B$7="(alle)",$E857=Filter!$B$7),OR(Filter!$E$7="(alle)",ISNUMBER(SEARCH(Filter!$E$7,$J857))),OR(Filter!$H$7="(alle)",ISNUMBER(SEARCH(Filter!$H$7,$I857))),OR(Filter!$B$9="",ISNUMBER(SEARCH(Filter!$B$9,$F857&amp;" "&amp;$G857)))),COUNTIF($O$6:$O856,"&gt;0")+1,0))</f>
        <v>851</v>
      </c>
    </row>
    <row r="858" customFormat="false" ht="51" hidden="false" customHeight="true" outlineLevel="0" collapsed="false">
      <c r="B858" s="30" t="s">
        <v>4204</v>
      </c>
      <c r="C858" s="30" t="s">
        <v>40</v>
      </c>
      <c r="D858" s="30" t="s">
        <v>4205</v>
      </c>
      <c r="E858" s="30" t="s">
        <v>344</v>
      </c>
      <c r="F858" s="30" t="s">
        <v>4206</v>
      </c>
      <c r="G858" s="30" t="s">
        <v>4207</v>
      </c>
      <c r="H858" s="30" t="s">
        <v>4175</v>
      </c>
      <c r="I858" s="30" t="s">
        <v>306</v>
      </c>
      <c r="J858" s="30" t="s">
        <v>206</v>
      </c>
      <c r="K858" s="31" t="s">
        <v>47</v>
      </c>
      <c r="L858" s="32"/>
      <c r="M858" s="33"/>
      <c r="N858" s="30" t="s">
        <v>48</v>
      </c>
      <c r="O858" s="1" t="n">
        <f aca="false">IF($B858="",0,IF(AND(OR(Filter!$B$5="(alle)",$N858=Filter!$B$5),OR(Filter!$E$5="(alle)",$K858=Filter!$E$5),OR(Filter!$H$5="(alle)",$C858=Filter!$H$5),OR(Filter!$B$7="(alle)",$E858=Filter!$B$7),OR(Filter!$E$7="(alle)",ISNUMBER(SEARCH(Filter!$E$7,$J858))),OR(Filter!$H$7="(alle)",ISNUMBER(SEARCH(Filter!$H$7,$I858))),OR(Filter!$B$9="",ISNUMBER(SEARCH(Filter!$B$9,$F858&amp;" "&amp;$G858)))),COUNTIF($O$6:$O857,"&gt;0")+1,0))</f>
        <v>852</v>
      </c>
    </row>
    <row r="859" customFormat="false" ht="51" hidden="false" customHeight="true" outlineLevel="0" collapsed="false">
      <c r="B859" s="30" t="s">
        <v>4208</v>
      </c>
      <c r="C859" s="30" t="s">
        <v>40</v>
      </c>
      <c r="D859" s="30" t="s">
        <v>4209</v>
      </c>
      <c r="E859" s="30" t="s">
        <v>355</v>
      </c>
      <c r="F859" s="30" t="s">
        <v>4210</v>
      </c>
      <c r="G859" s="30" t="s">
        <v>4211</v>
      </c>
      <c r="H859" s="30" t="s">
        <v>4212</v>
      </c>
      <c r="I859" s="30" t="s">
        <v>306</v>
      </c>
      <c r="J859" s="30" t="s">
        <v>206</v>
      </c>
      <c r="K859" s="31" t="s">
        <v>47</v>
      </c>
      <c r="L859" s="32"/>
      <c r="M859" s="33"/>
      <c r="N859" s="30" t="s">
        <v>48</v>
      </c>
      <c r="O859" s="1" t="n">
        <f aca="false">IF($B859="",0,IF(AND(OR(Filter!$B$5="(alle)",$N859=Filter!$B$5),OR(Filter!$E$5="(alle)",$K859=Filter!$E$5),OR(Filter!$H$5="(alle)",$C859=Filter!$H$5),OR(Filter!$B$7="(alle)",$E859=Filter!$B$7),OR(Filter!$E$7="(alle)",ISNUMBER(SEARCH(Filter!$E$7,$J859))),OR(Filter!$H$7="(alle)",ISNUMBER(SEARCH(Filter!$H$7,$I859))),OR(Filter!$B$9="",ISNUMBER(SEARCH(Filter!$B$9,$F859&amp;" "&amp;$G859)))),COUNTIF($O$6:$O858,"&gt;0")+1,0))</f>
        <v>853</v>
      </c>
    </row>
    <row r="860" customFormat="false" ht="51" hidden="false" customHeight="true" outlineLevel="0" collapsed="false">
      <c r="B860" s="30" t="s">
        <v>4213</v>
      </c>
      <c r="C860" s="30" t="s">
        <v>40</v>
      </c>
      <c r="D860" s="30" t="s">
        <v>4214</v>
      </c>
      <c r="E860" s="30" t="s">
        <v>355</v>
      </c>
      <c r="F860" s="30" t="s">
        <v>4215</v>
      </c>
      <c r="G860" s="30" t="s">
        <v>4216</v>
      </c>
      <c r="H860" s="30" t="s">
        <v>4212</v>
      </c>
      <c r="I860" s="30" t="s">
        <v>306</v>
      </c>
      <c r="J860" s="30" t="s">
        <v>206</v>
      </c>
      <c r="K860" s="31" t="s">
        <v>47</v>
      </c>
      <c r="L860" s="32"/>
      <c r="M860" s="33"/>
      <c r="N860" s="30" t="s">
        <v>48</v>
      </c>
      <c r="O860" s="1" t="n">
        <f aca="false">IF($B860="",0,IF(AND(OR(Filter!$B$5="(alle)",$N860=Filter!$B$5),OR(Filter!$E$5="(alle)",$K860=Filter!$E$5),OR(Filter!$H$5="(alle)",$C860=Filter!$H$5),OR(Filter!$B$7="(alle)",$E860=Filter!$B$7),OR(Filter!$E$7="(alle)",ISNUMBER(SEARCH(Filter!$E$7,$J860))),OR(Filter!$H$7="(alle)",ISNUMBER(SEARCH(Filter!$H$7,$I860))),OR(Filter!$B$9="",ISNUMBER(SEARCH(Filter!$B$9,$F860&amp;" "&amp;$G860)))),COUNTIF($O$6:$O859,"&gt;0")+1,0))</f>
        <v>854</v>
      </c>
    </row>
    <row r="861" customFormat="false" ht="51" hidden="false" customHeight="true" outlineLevel="0" collapsed="false">
      <c r="B861" s="30" t="s">
        <v>4217</v>
      </c>
      <c r="C861" s="30" t="s">
        <v>40</v>
      </c>
      <c r="D861" s="30" t="s">
        <v>4218</v>
      </c>
      <c r="E861" s="30" t="s">
        <v>355</v>
      </c>
      <c r="F861" s="30" t="s">
        <v>4219</v>
      </c>
      <c r="G861" s="30" t="s">
        <v>4220</v>
      </c>
      <c r="H861" s="30" t="s">
        <v>4212</v>
      </c>
      <c r="I861" s="30" t="s">
        <v>306</v>
      </c>
      <c r="J861" s="30" t="s">
        <v>206</v>
      </c>
      <c r="K861" s="31" t="s">
        <v>47</v>
      </c>
      <c r="L861" s="32"/>
      <c r="M861" s="33"/>
      <c r="N861" s="30" t="s">
        <v>48</v>
      </c>
      <c r="O861" s="1" t="n">
        <f aca="false">IF($B861="",0,IF(AND(OR(Filter!$B$5="(alle)",$N861=Filter!$B$5),OR(Filter!$E$5="(alle)",$K861=Filter!$E$5),OR(Filter!$H$5="(alle)",$C861=Filter!$H$5),OR(Filter!$B$7="(alle)",$E861=Filter!$B$7),OR(Filter!$E$7="(alle)",ISNUMBER(SEARCH(Filter!$E$7,$J861))),OR(Filter!$H$7="(alle)",ISNUMBER(SEARCH(Filter!$H$7,$I861))),OR(Filter!$B$9="",ISNUMBER(SEARCH(Filter!$B$9,$F861&amp;" "&amp;$G861)))),COUNTIF($O$6:$O860,"&gt;0")+1,0))</f>
        <v>855</v>
      </c>
    </row>
    <row r="862" customFormat="false" ht="51" hidden="false" customHeight="true" outlineLevel="0" collapsed="false">
      <c r="B862" s="30" t="s">
        <v>4221</v>
      </c>
      <c r="C862" s="30" t="s">
        <v>40</v>
      </c>
      <c r="D862" s="30" t="s">
        <v>4222</v>
      </c>
      <c r="E862" s="30" t="s">
        <v>355</v>
      </c>
      <c r="F862" s="30" t="s">
        <v>4223</v>
      </c>
      <c r="G862" s="30" t="s">
        <v>4224</v>
      </c>
      <c r="H862" s="30" t="s">
        <v>4212</v>
      </c>
      <c r="I862" s="30" t="s">
        <v>306</v>
      </c>
      <c r="J862" s="30" t="s">
        <v>206</v>
      </c>
      <c r="K862" s="31" t="s">
        <v>47</v>
      </c>
      <c r="L862" s="32"/>
      <c r="M862" s="33"/>
      <c r="N862" s="30" t="s">
        <v>48</v>
      </c>
      <c r="O862" s="1" t="n">
        <f aca="false">IF($B862="",0,IF(AND(OR(Filter!$B$5="(alle)",$N862=Filter!$B$5),OR(Filter!$E$5="(alle)",$K862=Filter!$E$5),OR(Filter!$H$5="(alle)",$C862=Filter!$H$5),OR(Filter!$B$7="(alle)",$E862=Filter!$B$7),OR(Filter!$E$7="(alle)",ISNUMBER(SEARCH(Filter!$E$7,$J862))),OR(Filter!$H$7="(alle)",ISNUMBER(SEARCH(Filter!$H$7,$I862))),OR(Filter!$B$9="",ISNUMBER(SEARCH(Filter!$B$9,$F862&amp;" "&amp;$G862)))),COUNTIF($O$6:$O861,"&gt;0")+1,0))</f>
        <v>856</v>
      </c>
    </row>
    <row r="863" customFormat="false" ht="51" hidden="false" customHeight="true" outlineLevel="0" collapsed="false">
      <c r="B863" s="30" t="s">
        <v>4225</v>
      </c>
      <c r="C863" s="30" t="s">
        <v>40</v>
      </c>
      <c r="D863" s="30" t="s">
        <v>4226</v>
      </c>
      <c r="E863" s="30" t="s">
        <v>355</v>
      </c>
      <c r="F863" s="30" t="s">
        <v>4227</v>
      </c>
      <c r="G863" s="30" t="s">
        <v>4228</v>
      </c>
      <c r="H863" s="30" t="s">
        <v>4212</v>
      </c>
      <c r="I863" s="30" t="s">
        <v>306</v>
      </c>
      <c r="J863" s="30" t="s">
        <v>206</v>
      </c>
      <c r="K863" s="31" t="s">
        <v>47</v>
      </c>
      <c r="L863" s="32"/>
      <c r="M863" s="33"/>
      <c r="N863" s="30" t="s">
        <v>48</v>
      </c>
      <c r="O863" s="1" t="n">
        <f aca="false">IF($B863="",0,IF(AND(OR(Filter!$B$5="(alle)",$N863=Filter!$B$5),OR(Filter!$E$5="(alle)",$K863=Filter!$E$5),OR(Filter!$H$5="(alle)",$C863=Filter!$H$5),OR(Filter!$B$7="(alle)",$E863=Filter!$B$7),OR(Filter!$E$7="(alle)",ISNUMBER(SEARCH(Filter!$E$7,$J863))),OR(Filter!$H$7="(alle)",ISNUMBER(SEARCH(Filter!$H$7,$I863))),OR(Filter!$B$9="",ISNUMBER(SEARCH(Filter!$B$9,$F863&amp;" "&amp;$G863)))),COUNTIF($O$6:$O862,"&gt;0")+1,0))</f>
        <v>857</v>
      </c>
    </row>
    <row r="864" customFormat="false" ht="51" hidden="false" customHeight="true" outlineLevel="0" collapsed="false">
      <c r="B864" s="30" t="s">
        <v>4229</v>
      </c>
      <c r="C864" s="30" t="s">
        <v>40</v>
      </c>
      <c r="D864" s="30" t="s">
        <v>4230</v>
      </c>
      <c r="E864" s="30" t="s">
        <v>355</v>
      </c>
      <c r="F864" s="30" t="s">
        <v>4231</v>
      </c>
      <c r="G864" s="30" t="s">
        <v>4232</v>
      </c>
      <c r="H864" s="30" t="s">
        <v>4212</v>
      </c>
      <c r="I864" s="30" t="s">
        <v>306</v>
      </c>
      <c r="J864" s="30" t="s">
        <v>206</v>
      </c>
      <c r="K864" s="31" t="s">
        <v>47</v>
      </c>
      <c r="L864" s="32"/>
      <c r="M864" s="33"/>
      <c r="N864" s="30" t="s">
        <v>48</v>
      </c>
      <c r="O864" s="1" t="n">
        <f aca="false">IF($B864="",0,IF(AND(OR(Filter!$B$5="(alle)",$N864=Filter!$B$5),OR(Filter!$E$5="(alle)",$K864=Filter!$E$5),OR(Filter!$H$5="(alle)",$C864=Filter!$H$5),OR(Filter!$B$7="(alle)",$E864=Filter!$B$7),OR(Filter!$E$7="(alle)",ISNUMBER(SEARCH(Filter!$E$7,$J864))),OR(Filter!$H$7="(alle)",ISNUMBER(SEARCH(Filter!$H$7,$I864))),OR(Filter!$B$9="",ISNUMBER(SEARCH(Filter!$B$9,$F864&amp;" "&amp;$G864)))),COUNTIF($O$6:$O863,"&gt;0")+1,0))</f>
        <v>858</v>
      </c>
    </row>
    <row r="865" customFormat="false" ht="51" hidden="false" customHeight="true" outlineLevel="0" collapsed="false">
      <c r="B865" s="30" t="s">
        <v>4233</v>
      </c>
      <c r="C865" s="30" t="s">
        <v>40</v>
      </c>
      <c r="D865" s="30" t="s">
        <v>4234</v>
      </c>
      <c r="E865" s="30" t="s">
        <v>355</v>
      </c>
      <c r="F865" s="30" t="s">
        <v>4235</v>
      </c>
      <c r="G865" s="30" t="s">
        <v>4236</v>
      </c>
      <c r="H865" s="30" t="s">
        <v>4237</v>
      </c>
      <c r="I865" s="30" t="s">
        <v>476</v>
      </c>
      <c r="J865" s="30" t="s">
        <v>476</v>
      </c>
      <c r="K865" s="31" t="s">
        <v>47</v>
      </c>
      <c r="L865" s="32"/>
      <c r="M865" s="33"/>
      <c r="N865" s="30" t="s">
        <v>48</v>
      </c>
      <c r="O865" s="1" t="n">
        <f aca="false">IF($B865="",0,IF(AND(OR(Filter!$B$5="(alle)",$N865=Filter!$B$5),OR(Filter!$E$5="(alle)",$K865=Filter!$E$5),OR(Filter!$H$5="(alle)",$C865=Filter!$H$5),OR(Filter!$B$7="(alle)",$E865=Filter!$B$7),OR(Filter!$E$7="(alle)",ISNUMBER(SEARCH(Filter!$E$7,$J865))),OR(Filter!$H$7="(alle)",ISNUMBER(SEARCH(Filter!$H$7,$I865))),OR(Filter!$B$9="",ISNUMBER(SEARCH(Filter!$B$9,$F865&amp;" "&amp;$G865)))),COUNTIF($O$6:$O864,"&gt;0")+1,0))</f>
        <v>859</v>
      </c>
    </row>
    <row r="866" customFormat="false" ht="51" hidden="false" customHeight="true" outlineLevel="0" collapsed="false">
      <c r="B866" s="30" t="s">
        <v>4238</v>
      </c>
      <c r="C866" s="30" t="s">
        <v>40</v>
      </c>
      <c r="D866" s="30" t="s">
        <v>4239</v>
      </c>
      <c r="E866" s="30" t="s">
        <v>355</v>
      </c>
      <c r="F866" s="30" t="s">
        <v>4240</v>
      </c>
      <c r="G866" s="30" t="s">
        <v>4240</v>
      </c>
      <c r="H866" s="30" t="s">
        <v>4237</v>
      </c>
      <c r="I866" s="30" t="s">
        <v>476</v>
      </c>
      <c r="J866" s="30" t="s">
        <v>476</v>
      </c>
      <c r="K866" s="31" t="s">
        <v>47</v>
      </c>
      <c r="L866" s="32"/>
      <c r="M866" s="33"/>
      <c r="N866" s="30" t="s">
        <v>48</v>
      </c>
      <c r="O866" s="1" t="n">
        <f aca="false">IF($B866="",0,IF(AND(OR(Filter!$B$5="(alle)",$N866=Filter!$B$5),OR(Filter!$E$5="(alle)",$K866=Filter!$E$5),OR(Filter!$H$5="(alle)",$C866=Filter!$H$5),OR(Filter!$B$7="(alle)",$E866=Filter!$B$7),OR(Filter!$E$7="(alle)",ISNUMBER(SEARCH(Filter!$E$7,$J866))),OR(Filter!$H$7="(alle)",ISNUMBER(SEARCH(Filter!$H$7,$I866))),OR(Filter!$B$9="",ISNUMBER(SEARCH(Filter!$B$9,$F866&amp;" "&amp;$G866)))),COUNTIF($O$6:$O865,"&gt;0")+1,0))</f>
        <v>860</v>
      </c>
    </row>
    <row r="867" customFormat="false" ht="51" hidden="false" customHeight="true" outlineLevel="0" collapsed="false">
      <c r="B867" s="30" t="s">
        <v>4241</v>
      </c>
      <c r="C867" s="30" t="s">
        <v>40</v>
      </c>
      <c r="D867" s="30" t="s">
        <v>4242</v>
      </c>
      <c r="E867" s="30" t="s">
        <v>355</v>
      </c>
      <c r="F867" s="30" t="s">
        <v>4243</v>
      </c>
      <c r="G867" s="30" t="s">
        <v>4244</v>
      </c>
      <c r="H867" s="30" t="s">
        <v>4237</v>
      </c>
      <c r="I867" s="30" t="s">
        <v>476</v>
      </c>
      <c r="J867" s="30" t="s">
        <v>476</v>
      </c>
      <c r="K867" s="31" t="s">
        <v>47</v>
      </c>
      <c r="L867" s="32"/>
      <c r="M867" s="33"/>
      <c r="N867" s="30" t="s">
        <v>48</v>
      </c>
      <c r="O867" s="1" t="n">
        <f aca="false">IF($B867="",0,IF(AND(OR(Filter!$B$5="(alle)",$N867=Filter!$B$5),OR(Filter!$E$5="(alle)",$K867=Filter!$E$5),OR(Filter!$H$5="(alle)",$C867=Filter!$H$5),OR(Filter!$B$7="(alle)",$E867=Filter!$B$7),OR(Filter!$E$7="(alle)",ISNUMBER(SEARCH(Filter!$E$7,$J867))),OR(Filter!$H$7="(alle)",ISNUMBER(SEARCH(Filter!$H$7,$I867))),OR(Filter!$B$9="",ISNUMBER(SEARCH(Filter!$B$9,$F867&amp;" "&amp;$G867)))),COUNTIF($O$6:$O866,"&gt;0")+1,0))</f>
        <v>861</v>
      </c>
    </row>
    <row r="868" customFormat="false" ht="51" hidden="false" customHeight="true" outlineLevel="0" collapsed="false">
      <c r="B868" s="30" t="s">
        <v>4245</v>
      </c>
      <c r="C868" s="30" t="s">
        <v>40</v>
      </c>
      <c r="D868" s="30" t="s">
        <v>4246</v>
      </c>
      <c r="E868" s="30" t="s">
        <v>355</v>
      </c>
      <c r="F868" s="30" t="s">
        <v>4247</v>
      </c>
      <c r="G868" s="30" t="s">
        <v>4248</v>
      </c>
      <c r="H868" s="30" t="s">
        <v>4212</v>
      </c>
      <c r="I868" s="30" t="s">
        <v>306</v>
      </c>
      <c r="J868" s="30" t="s">
        <v>206</v>
      </c>
      <c r="K868" s="31" t="s">
        <v>47</v>
      </c>
      <c r="L868" s="32"/>
      <c r="M868" s="33"/>
      <c r="N868" s="30" t="s">
        <v>48</v>
      </c>
      <c r="O868" s="1" t="n">
        <f aca="false">IF($B868="",0,IF(AND(OR(Filter!$B$5="(alle)",$N868=Filter!$B$5),OR(Filter!$E$5="(alle)",$K868=Filter!$E$5),OR(Filter!$H$5="(alle)",$C868=Filter!$H$5),OR(Filter!$B$7="(alle)",$E868=Filter!$B$7),OR(Filter!$E$7="(alle)",ISNUMBER(SEARCH(Filter!$E$7,$J868))),OR(Filter!$H$7="(alle)",ISNUMBER(SEARCH(Filter!$H$7,$I868))),OR(Filter!$B$9="",ISNUMBER(SEARCH(Filter!$B$9,$F868&amp;" "&amp;$G868)))),COUNTIF($O$6:$O867,"&gt;0")+1,0))</f>
        <v>862</v>
      </c>
    </row>
    <row r="869" customFormat="false" ht="51" hidden="false" customHeight="true" outlineLevel="0" collapsed="false">
      <c r="B869" s="30" t="s">
        <v>4249</v>
      </c>
      <c r="C869" s="30" t="s">
        <v>40</v>
      </c>
      <c r="D869" s="30" t="s">
        <v>4250</v>
      </c>
      <c r="E869" s="30" t="s">
        <v>210</v>
      </c>
      <c r="F869" s="30" t="s">
        <v>4251</v>
      </c>
      <c r="G869" s="30" t="s">
        <v>4252</v>
      </c>
      <c r="H869" s="30" t="s">
        <v>4253</v>
      </c>
      <c r="I869" s="30" t="s">
        <v>306</v>
      </c>
      <c r="J869" s="30" t="s">
        <v>206</v>
      </c>
      <c r="K869" s="31" t="s">
        <v>47</v>
      </c>
      <c r="L869" s="32"/>
      <c r="M869" s="33"/>
      <c r="N869" s="30" t="s">
        <v>48</v>
      </c>
      <c r="O869" s="1" t="n">
        <f aca="false">IF($B869="",0,IF(AND(OR(Filter!$B$5="(alle)",$N869=Filter!$B$5),OR(Filter!$E$5="(alle)",$K869=Filter!$E$5),OR(Filter!$H$5="(alle)",$C869=Filter!$H$5),OR(Filter!$B$7="(alle)",$E869=Filter!$B$7),OR(Filter!$E$7="(alle)",ISNUMBER(SEARCH(Filter!$E$7,$J869))),OR(Filter!$H$7="(alle)",ISNUMBER(SEARCH(Filter!$H$7,$I869))),OR(Filter!$B$9="",ISNUMBER(SEARCH(Filter!$B$9,$F869&amp;" "&amp;$G869)))),COUNTIF($O$6:$O868,"&gt;0")+1,0))</f>
        <v>863</v>
      </c>
    </row>
    <row r="870" customFormat="false" ht="51" hidden="false" customHeight="true" outlineLevel="0" collapsed="false">
      <c r="B870" s="30" t="s">
        <v>4254</v>
      </c>
      <c r="C870" s="30" t="s">
        <v>40</v>
      </c>
      <c r="D870" s="30" t="s">
        <v>4255</v>
      </c>
      <c r="E870" s="30" t="s">
        <v>344</v>
      </c>
      <c r="F870" s="30" t="s">
        <v>4256</v>
      </c>
      <c r="G870" s="30" t="s">
        <v>4257</v>
      </c>
      <c r="H870" s="30" t="s">
        <v>4253</v>
      </c>
      <c r="I870" s="30" t="s">
        <v>306</v>
      </c>
      <c r="J870" s="30" t="s">
        <v>206</v>
      </c>
      <c r="K870" s="31" t="s">
        <v>47</v>
      </c>
      <c r="L870" s="32"/>
      <c r="M870" s="33"/>
      <c r="N870" s="30" t="s">
        <v>48</v>
      </c>
      <c r="O870" s="1" t="n">
        <f aca="false">IF($B870="",0,IF(AND(OR(Filter!$B$5="(alle)",$N870=Filter!$B$5),OR(Filter!$E$5="(alle)",$K870=Filter!$E$5),OR(Filter!$H$5="(alle)",$C870=Filter!$H$5),OR(Filter!$B$7="(alle)",$E870=Filter!$B$7),OR(Filter!$E$7="(alle)",ISNUMBER(SEARCH(Filter!$E$7,$J870))),OR(Filter!$H$7="(alle)",ISNUMBER(SEARCH(Filter!$H$7,$I870))),OR(Filter!$B$9="",ISNUMBER(SEARCH(Filter!$B$9,$F870&amp;" "&amp;$G870)))),COUNTIF($O$6:$O869,"&gt;0")+1,0))</f>
        <v>864</v>
      </c>
    </row>
    <row r="871" customFormat="false" ht="51" hidden="false" customHeight="true" outlineLevel="0" collapsed="false">
      <c r="B871" s="30" t="s">
        <v>4258</v>
      </c>
      <c r="C871" s="30" t="s">
        <v>40</v>
      </c>
      <c r="D871" s="30" t="s">
        <v>4259</v>
      </c>
      <c r="E871" s="30" t="s">
        <v>344</v>
      </c>
      <c r="F871" s="30" t="s">
        <v>4260</v>
      </c>
      <c r="G871" s="30" t="s">
        <v>4261</v>
      </c>
      <c r="H871" s="30" t="s">
        <v>4253</v>
      </c>
      <c r="I871" s="30" t="s">
        <v>306</v>
      </c>
      <c r="J871" s="30" t="s">
        <v>206</v>
      </c>
      <c r="K871" s="31" t="s">
        <v>47</v>
      </c>
      <c r="L871" s="32"/>
      <c r="M871" s="33"/>
      <c r="N871" s="30" t="s">
        <v>48</v>
      </c>
      <c r="O871" s="1" t="n">
        <f aca="false">IF($B871="",0,IF(AND(OR(Filter!$B$5="(alle)",$N871=Filter!$B$5),OR(Filter!$E$5="(alle)",$K871=Filter!$E$5),OR(Filter!$H$5="(alle)",$C871=Filter!$H$5),OR(Filter!$B$7="(alle)",$E871=Filter!$B$7),OR(Filter!$E$7="(alle)",ISNUMBER(SEARCH(Filter!$E$7,$J871))),OR(Filter!$H$7="(alle)",ISNUMBER(SEARCH(Filter!$H$7,$I871))),OR(Filter!$B$9="",ISNUMBER(SEARCH(Filter!$B$9,$F871&amp;" "&amp;$G871)))),COUNTIF($O$6:$O870,"&gt;0")+1,0))</f>
        <v>865</v>
      </c>
    </row>
    <row r="872" customFormat="false" ht="51" hidden="false" customHeight="true" outlineLevel="0" collapsed="false">
      <c r="B872" s="30" t="s">
        <v>4262</v>
      </c>
      <c r="C872" s="30" t="s">
        <v>40</v>
      </c>
      <c r="D872" s="30" t="s">
        <v>4263</v>
      </c>
      <c r="E872" s="30" t="s">
        <v>361</v>
      </c>
      <c r="F872" s="30" t="s">
        <v>4264</v>
      </c>
      <c r="G872" s="30" t="s">
        <v>4265</v>
      </c>
      <c r="H872" s="30" t="s">
        <v>4266</v>
      </c>
      <c r="I872" s="30" t="s">
        <v>306</v>
      </c>
      <c r="J872" s="30" t="s">
        <v>206</v>
      </c>
      <c r="K872" s="31" t="s">
        <v>47</v>
      </c>
      <c r="L872" s="32"/>
      <c r="M872" s="33"/>
      <c r="N872" s="30" t="s">
        <v>48</v>
      </c>
      <c r="O872" s="1" t="n">
        <f aca="false">IF($B872="",0,IF(AND(OR(Filter!$B$5="(alle)",$N872=Filter!$B$5),OR(Filter!$E$5="(alle)",$K872=Filter!$E$5),OR(Filter!$H$5="(alle)",$C872=Filter!$H$5),OR(Filter!$B$7="(alle)",$E872=Filter!$B$7),OR(Filter!$E$7="(alle)",ISNUMBER(SEARCH(Filter!$E$7,$J872))),OR(Filter!$H$7="(alle)",ISNUMBER(SEARCH(Filter!$H$7,$I872))),OR(Filter!$B$9="",ISNUMBER(SEARCH(Filter!$B$9,$F872&amp;" "&amp;$G872)))),COUNTIF($O$6:$O871,"&gt;0")+1,0))</f>
        <v>866</v>
      </c>
    </row>
    <row r="873" customFormat="false" ht="51" hidden="false" customHeight="true" outlineLevel="0" collapsed="false">
      <c r="B873" s="30" t="s">
        <v>4267</v>
      </c>
      <c r="C873" s="30" t="s">
        <v>40</v>
      </c>
      <c r="D873" s="30" t="s">
        <v>4268</v>
      </c>
      <c r="E873" s="30" t="s">
        <v>102</v>
      </c>
      <c r="F873" s="30" t="s">
        <v>4269</v>
      </c>
      <c r="G873" s="30" t="s">
        <v>4270</v>
      </c>
      <c r="H873" s="30" t="s">
        <v>4271</v>
      </c>
      <c r="I873" s="30" t="s">
        <v>45</v>
      </c>
      <c r="J873" s="30" t="s">
        <v>70</v>
      </c>
      <c r="K873" s="31" t="s">
        <v>47</v>
      </c>
      <c r="L873" s="32"/>
      <c r="M873" s="33"/>
      <c r="N873" s="30" t="s">
        <v>48</v>
      </c>
      <c r="O873" s="1" t="n">
        <f aca="false">IF($B873="",0,IF(AND(OR(Filter!$B$5="(alle)",$N873=Filter!$B$5),OR(Filter!$E$5="(alle)",$K873=Filter!$E$5),OR(Filter!$H$5="(alle)",$C873=Filter!$H$5),OR(Filter!$B$7="(alle)",$E873=Filter!$B$7),OR(Filter!$E$7="(alle)",ISNUMBER(SEARCH(Filter!$E$7,$J873))),OR(Filter!$H$7="(alle)",ISNUMBER(SEARCH(Filter!$H$7,$I873))),OR(Filter!$B$9="",ISNUMBER(SEARCH(Filter!$B$9,$F873&amp;" "&amp;$G873)))),COUNTIF($O$6:$O872,"&gt;0")+1,0))</f>
        <v>867</v>
      </c>
    </row>
    <row r="874" customFormat="false" ht="51" hidden="false" customHeight="true" outlineLevel="0" collapsed="false">
      <c r="B874" s="30" t="s">
        <v>4272</v>
      </c>
      <c r="C874" s="30" t="s">
        <v>40</v>
      </c>
      <c r="D874" s="30" t="s">
        <v>4273</v>
      </c>
      <c r="E874" s="30" t="s">
        <v>604</v>
      </c>
      <c r="F874" s="30" t="s">
        <v>4274</v>
      </c>
      <c r="G874" s="30" t="s">
        <v>4275</v>
      </c>
      <c r="H874" s="30" t="s">
        <v>4271</v>
      </c>
      <c r="I874" s="30" t="s">
        <v>3700</v>
      </c>
      <c r="J874" s="30" t="s">
        <v>159</v>
      </c>
      <c r="K874" s="31" t="s">
        <v>47</v>
      </c>
      <c r="L874" s="32"/>
      <c r="M874" s="33"/>
      <c r="N874" s="30" t="s">
        <v>48</v>
      </c>
      <c r="O874" s="1" t="n">
        <f aca="false">IF($B874="",0,IF(AND(OR(Filter!$B$5="(alle)",$N874=Filter!$B$5),OR(Filter!$E$5="(alle)",$K874=Filter!$E$5),OR(Filter!$H$5="(alle)",$C874=Filter!$H$5),OR(Filter!$B$7="(alle)",$E874=Filter!$B$7),OR(Filter!$E$7="(alle)",ISNUMBER(SEARCH(Filter!$E$7,$J874))),OR(Filter!$H$7="(alle)",ISNUMBER(SEARCH(Filter!$H$7,$I874))),OR(Filter!$B$9="",ISNUMBER(SEARCH(Filter!$B$9,$F874&amp;" "&amp;$G874)))),COUNTIF($O$6:$O873,"&gt;0")+1,0))</f>
        <v>868</v>
      </c>
    </row>
    <row r="875" customFormat="false" ht="51" hidden="false" customHeight="true" outlineLevel="0" collapsed="false">
      <c r="B875" s="30" t="s">
        <v>4276</v>
      </c>
      <c r="C875" s="30" t="s">
        <v>40</v>
      </c>
      <c r="D875" s="30" t="s">
        <v>4277</v>
      </c>
      <c r="E875" s="30" t="s">
        <v>604</v>
      </c>
      <c r="F875" s="30" t="s">
        <v>4278</v>
      </c>
      <c r="G875" s="30" t="s">
        <v>4279</v>
      </c>
      <c r="H875" s="30" t="s">
        <v>4280</v>
      </c>
      <c r="I875" s="30" t="s">
        <v>3700</v>
      </c>
      <c r="J875" s="30" t="s">
        <v>159</v>
      </c>
      <c r="K875" s="31" t="s">
        <v>47</v>
      </c>
      <c r="L875" s="32"/>
      <c r="M875" s="33"/>
      <c r="N875" s="30" t="s">
        <v>48</v>
      </c>
      <c r="O875" s="1" t="n">
        <f aca="false">IF($B875="",0,IF(AND(OR(Filter!$B$5="(alle)",$N875=Filter!$B$5),OR(Filter!$E$5="(alle)",$K875=Filter!$E$5),OR(Filter!$H$5="(alle)",$C875=Filter!$H$5),OR(Filter!$B$7="(alle)",$E875=Filter!$B$7),OR(Filter!$E$7="(alle)",ISNUMBER(SEARCH(Filter!$E$7,$J875))),OR(Filter!$H$7="(alle)",ISNUMBER(SEARCH(Filter!$H$7,$I875))),OR(Filter!$B$9="",ISNUMBER(SEARCH(Filter!$B$9,$F875&amp;" "&amp;$G875)))),COUNTIF($O$6:$O874,"&gt;0")+1,0))</f>
        <v>869</v>
      </c>
    </row>
    <row r="876" customFormat="false" ht="51" hidden="false" customHeight="true" outlineLevel="0" collapsed="false">
      <c r="B876" s="30" t="s">
        <v>4281</v>
      </c>
      <c r="C876" s="30" t="s">
        <v>40</v>
      </c>
      <c r="D876" s="30" t="s">
        <v>4282</v>
      </c>
      <c r="E876" s="30" t="s">
        <v>210</v>
      </c>
      <c r="F876" s="30" t="s">
        <v>4283</v>
      </c>
      <c r="G876" s="30" t="s">
        <v>4284</v>
      </c>
      <c r="H876" s="30" t="s">
        <v>4280</v>
      </c>
      <c r="I876" s="30" t="s">
        <v>306</v>
      </c>
      <c r="J876" s="30" t="s">
        <v>206</v>
      </c>
      <c r="K876" s="31" t="s">
        <v>47</v>
      </c>
      <c r="L876" s="32"/>
      <c r="M876" s="33"/>
      <c r="N876" s="30" t="s">
        <v>48</v>
      </c>
      <c r="O876" s="1" t="n">
        <f aca="false">IF($B876="",0,IF(AND(OR(Filter!$B$5="(alle)",$N876=Filter!$B$5),OR(Filter!$E$5="(alle)",$K876=Filter!$E$5),OR(Filter!$H$5="(alle)",$C876=Filter!$H$5),OR(Filter!$B$7="(alle)",$E876=Filter!$B$7),OR(Filter!$E$7="(alle)",ISNUMBER(SEARCH(Filter!$E$7,$J876))),OR(Filter!$H$7="(alle)",ISNUMBER(SEARCH(Filter!$H$7,$I876))),OR(Filter!$B$9="",ISNUMBER(SEARCH(Filter!$B$9,$F876&amp;" "&amp;$G876)))),COUNTIF($O$6:$O875,"&gt;0")+1,0))</f>
        <v>870</v>
      </c>
    </row>
    <row r="877" customFormat="false" ht="51" hidden="false" customHeight="true" outlineLevel="0" collapsed="false">
      <c r="B877" s="30" t="s">
        <v>4285</v>
      </c>
      <c r="C877" s="30" t="s">
        <v>40</v>
      </c>
      <c r="D877" s="30" t="s">
        <v>4286</v>
      </c>
      <c r="E877" s="30" t="s">
        <v>344</v>
      </c>
      <c r="F877" s="30" t="s">
        <v>4287</v>
      </c>
      <c r="G877" s="30" t="s">
        <v>4288</v>
      </c>
      <c r="H877" s="30" t="s">
        <v>4280</v>
      </c>
      <c r="I877" s="30" t="s">
        <v>306</v>
      </c>
      <c r="J877" s="30" t="s">
        <v>206</v>
      </c>
      <c r="K877" s="31" t="s">
        <v>47</v>
      </c>
      <c r="L877" s="32"/>
      <c r="M877" s="33"/>
      <c r="N877" s="30" t="s">
        <v>48</v>
      </c>
      <c r="O877" s="1" t="n">
        <f aca="false">IF($B877="",0,IF(AND(OR(Filter!$B$5="(alle)",$N877=Filter!$B$5),OR(Filter!$E$5="(alle)",$K877=Filter!$E$5),OR(Filter!$H$5="(alle)",$C877=Filter!$H$5),OR(Filter!$B$7="(alle)",$E877=Filter!$B$7),OR(Filter!$E$7="(alle)",ISNUMBER(SEARCH(Filter!$E$7,$J877))),OR(Filter!$H$7="(alle)",ISNUMBER(SEARCH(Filter!$H$7,$I877))),OR(Filter!$B$9="",ISNUMBER(SEARCH(Filter!$B$9,$F877&amp;" "&amp;$G877)))),COUNTIF($O$6:$O876,"&gt;0")+1,0))</f>
        <v>871</v>
      </c>
    </row>
    <row r="878" customFormat="false" ht="51" hidden="false" customHeight="true" outlineLevel="0" collapsed="false">
      <c r="B878" s="30" t="s">
        <v>4289</v>
      </c>
      <c r="C878" s="30" t="s">
        <v>40</v>
      </c>
      <c r="D878" s="30" t="s">
        <v>4290</v>
      </c>
      <c r="E878" s="30" t="s">
        <v>547</v>
      </c>
      <c r="F878" s="30" t="s">
        <v>4291</v>
      </c>
      <c r="G878" s="30" t="s">
        <v>4292</v>
      </c>
      <c r="H878" s="30" t="s">
        <v>4293</v>
      </c>
      <c r="I878" s="30" t="s">
        <v>476</v>
      </c>
      <c r="J878" s="30" t="s">
        <v>476</v>
      </c>
      <c r="K878" s="31" t="s">
        <v>47</v>
      </c>
      <c r="L878" s="32"/>
      <c r="M878" s="33"/>
      <c r="N878" s="30" t="s">
        <v>48</v>
      </c>
      <c r="O878" s="1" t="n">
        <f aca="false">IF($B878="",0,IF(AND(OR(Filter!$B$5="(alle)",$N878=Filter!$B$5),OR(Filter!$E$5="(alle)",$K878=Filter!$E$5),OR(Filter!$H$5="(alle)",$C878=Filter!$H$5),OR(Filter!$B$7="(alle)",$E878=Filter!$B$7),OR(Filter!$E$7="(alle)",ISNUMBER(SEARCH(Filter!$E$7,$J878))),OR(Filter!$H$7="(alle)",ISNUMBER(SEARCH(Filter!$H$7,$I878))),OR(Filter!$B$9="",ISNUMBER(SEARCH(Filter!$B$9,$F878&amp;" "&amp;$G878)))),COUNTIF($O$6:$O877,"&gt;0")+1,0))</f>
        <v>872</v>
      </c>
    </row>
    <row r="879" customFormat="false" ht="51" hidden="false" customHeight="true" outlineLevel="0" collapsed="false">
      <c r="B879" s="30" t="s">
        <v>4294</v>
      </c>
      <c r="C879" s="30" t="s">
        <v>40</v>
      </c>
      <c r="D879" s="30" t="s">
        <v>4295</v>
      </c>
      <c r="E879" s="30" t="s">
        <v>344</v>
      </c>
      <c r="F879" s="30" t="s">
        <v>4296</v>
      </c>
      <c r="G879" s="30" t="s">
        <v>4297</v>
      </c>
      <c r="H879" s="30" t="s">
        <v>4280</v>
      </c>
      <c r="I879" s="30" t="s">
        <v>306</v>
      </c>
      <c r="J879" s="30" t="s">
        <v>206</v>
      </c>
      <c r="K879" s="31" t="s">
        <v>47</v>
      </c>
      <c r="L879" s="32"/>
      <c r="M879" s="33"/>
      <c r="N879" s="30" t="s">
        <v>48</v>
      </c>
      <c r="O879" s="1" t="n">
        <f aca="false">IF($B879="",0,IF(AND(OR(Filter!$B$5="(alle)",$N879=Filter!$B$5),OR(Filter!$E$5="(alle)",$K879=Filter!$E$5),OR(Filter!$H$5="(alle)",$C879=Filter!$H$5),OR(Filter!$B$7="(alle)",$E879=Filter!$B$7),OR(Filter!$E$7="(alle)",ISNUMBER(SEARCH(Filter!$E$7,$J879))),OR(Filter!$H$7="(alle)",ISNUMBER(SEARCH(Filter!$H$7,$I879))),OR(Filter!$B$9="",ISNUMBER(SEARCH(Filter!$B$9,$F879&amp;" "&amp;$G879)))),COUNTIF($O$6:$O878,"&gt;0")+1,0))</f>
        <v>873</v>
      </c>
    </row>
    <row r="880" customFormat="false" ht="51" hidden="false" customHeight="true" outlineLevel="0" collapsed="false">
      <c r="B880" s="30" t="s">
        <v>4298</v>
      </c>
      <c r="C880" s="30" t="s">
        <v>40</v>
      </c>
      <c r="D880" s="30" t="s">
        <v>4299</v>
      </c>
      <c r="E880" s="30" t="s">
        <v>361</v>
      </c>
      <c r="F880" s="30" t="s">
        <v>4300</v>
      </c>
      <c r="G880" s="30" t="s">
        <v>4301</v>
      </c>
      <c r="H880" s="30" t="s">
        <v>4302</v>
      </c>
      <c r="I880" s="30" t="s">
        <v>306</v>
      </c>
      <c r="J880" s="30" t="s">
        <v>206</v>
      </c>
      <c r="K880" s="31" t="s">
        <v>47</v>
      </c>
      <c r="L880" s="32"/>
      <c r="M880" s="33"/>
      <c r="N880" s="30" t="s">
        <v>48</v>
      </c>
      <c r="O880" s="1" t="n">
        <f aca="false">IF($B880="",0,IF(AND(OR(Filter!$B$5="(alle)",$N880=Filter!$B$5),OR(Filter!$E$5="(alle)",$K880=Filter!$E$5),OR(Filter!$H$5="(alle)",$C880=Filter!$H$5),OR(Filter!$B$7="(alle)",$E880=Filter!$B$7),OR(Filter!$E$7="(alle)",ISNUMBER(SEARCH(Filter!$E$7,$J880))),OR(Filter!$H$7="(alle)",ISNUMBER(SEARCH(Filter!$H$7,$I880))),OR(Filter!$B$9="",ISNUMBER(SEARCH(Filter!$B$9,$F880&amp;" "&amp;$G880)))),COUNTIF($O$6:$O879,"&gt;0")+1,0))</f>
        <v>874</v>
      </c>
    </row>
    <row r="881" customFormat="false" ht="51" hidden="false" customHeight="true" outlineLevel="0" collapsed="false">
      <c r="B881" s="30" t="s">
        <v>4303</v>
      </c>
      <c r="C881" s="30" t="s">
        <v>40</v>
      </c>
      <c r="D881" s="30" t="s">
        <v>4304</v>
      </c>
      <c r="E881" s="30" t="s">
        <v>94</v>
      </c>
      <c r="F881" s="30" t="s">
        <v>4305</v>
      </c>
      <c r="G881" s="30" t="s">
        <v>4306</v>
      </c>
      <c r="H881" s="30" t="s">
        <v>4302</v>
      </c>
      <c r="I881" s="30" t="s">
        <v>45</v>
      </c>
      <c r="J881" s="30" t="s">
        <v>265</v>
      </c>
      <c r="K881" s="31" t="s">
        <v>47</v>
      </c>
      <c r="L881" s="32"/>
      <c r="M881" s="33"/>
      <c r="N881" s="30" t="s">
        <v>48</v>
      </c>
      <c r="O881" s="1" t="n">
        <f aca="false">IF($B881="",0,IF(AND(OR(Filter!$B$5="(alle)",$N881=Filter!$B$5),OR(Filter!$E$5="(alle)",$K881=Filter!$E$5),OR(Filter!$H$5="(alle)",$C881=Filter!$H$5),OR(Filter!$B$7="(alle)",$E881=Filter!$B$7),OR(Filter!$E$7="(alle)",ISNUMBER(SEARCH(Filter!$E$7,$J881))),OR(Filter!$H$7="(alle)",ISNUMBER(SEARCH(Filter!$H$7,$I881))),OR(Filter!$B$9="",ISNUMBER(SEARCH(Filter!$B$9,$F881&amp;" "&amp;$G881)))),COUNTIF($O$6:$O880,"&gt;0")+1,0))</f>
        <v>875</v>
      </c>
    </row>
    <row r="882" customFormat="false" ht="51" hidden="false" customHeight="true" outlineLevel="0" collapsed="false">
      <c r="B882" s="30" t="s">
        <v>4307</v>
      </c>
      <c r="C882" s="30" t="s">
        <v>40</v>
      </c>
      <c r="D882" s="30" t="s">
        <v>4308</v>
      </c>
      <c r="E882" s="30" t="s">
        <v>361</v>
      </c>
      <c r="F882" s="30" t="s">
        <v>4309</v>
      </c>
      <c r="G882" s="30" t="s">
        <v>4309</v>
      </c>
      <c r="H882" s="30" t="s">
        <v>4302</v>
      </c>
      <c r="I882" s="30" t="s">
        <v>306</v>
      </c>
      <c r="J882" s="30" t="s">
        <v>206</v>
      </c>
      <c r="K882" s="31" t="s">
        <v>47</v>
      </c>
      <c r="L882" s="32"/>
      <c r="M882" s="33"/>
      <c r="N882" s="30" t="s">
        <v>48</v>
      </c>
      <c r="O882" s="1" t="n">
        <f aca="false">IF($B882="",0,IF(AND(OR(Filter!$B$5="(alle)",$N882=Filter!$B$5),OR(Filter!$E$5="(alle)",$K882=Filter!$E$5),OR(Filter!$H$5="(alle)",$C882=Filter!$H$5),OR(Filter!$B$7="(alle)",$E882=Filter!$B$7),OR(Filter!$E$7="(alle)",ISNUMBER(SEARCH(Filter!$E$7,$J882))),OR(Filter!$H$7="(alle)",ISNUMBER(SEARCH(Filter!$H$7,$I882))),OR(Filter!$B$9="",ISNUMBER(SEARCH(Filter!$B$9,$F882&amp;" "&amp;$G882)))),COUNTIF($O$6:$O881,"&gt;0")+1,0))</f>
        <v>876</v>
      </c>
    </row>
    <row r="883" customFormat="false" ht="51" hidden="false" customHeight="true" outlineLevel="0" collapsed="false">
      <c r="B883" s="30" t="s">
        <v>4310</v>
      </c>
      <c r="C883" s="30" t="s">
        <v>40</v>
      </c>
      <c r="D883" s="30" t="s">
        <v>4311</v>
      </c>
      <c r="E883" s="30" t="s">
        <v>361</v>
      </c>
      <c r="F883" s="30" t="s">
        <v>4312</v>
      </c>
      <c r="G883" s="30" t="s">
        <v>4313</v>
      </c>
      <c r="H883" s="30" t="s">
        <v>4302</v>
      </c>
      <c r="I883" s="30" t="s">
        <v>306</v>
      </c>
      <c r="J883" s="30" t="s">
        <v>206</v>
      </c>
      <c r="K883" s="31" t="s">
        <v>47</v>
      </c>
      <c r="L883" s="32"/>
      <c r="M883" s="33"/>
      <c r="N883" s="30" t="s">
        <v>48</v>
      </c>
      <c r="O883" s="1" t="n">
        <f aca="false">IF($B883="",0,IF(AND(OR(Filter!$B$5="(alle)",$N883=Filter!$B$5),OR(Filter!$E$5="(alle)",$K883=Filter!$E$5),OR(Filter!$H$5="(alle)",$C883=Filter!$H$5),OR(Filter!$B$7="(alle)",$E883=Filter!$B$7),OR(Filter!$E$7="(alle)",ISNUMBER(SEARCH(Filter!$E$7,$J883))),OR(Filter!$H$7="(alle)",ISNUMBER(SEARCH(Filter!$H$7,$I883))),OR(Filter!$B$9="",ISNUMBER(SEARCH(Filter!$B$9,$F883&amp;" "&amp;$G883)))),COUNTIF($O$6:$O882,"&gt;0")+1,0))</f>
        <v>877</v>
      </c>
    </row>
    <row r="884" customFormat="false" ht="51" hidden="false" customHeight="true" outlineLevel="0" collapsed="false">
      <c r="B884" s="30" t="s">
        <v>4314</v>
      </c>
      <c r="C884" s="30" t="s">
        <v>40</v>
      </c>
      <c r="D884" s="30" t="s">
        <v>4315</v>
      </c>
      <c r="E884" s="30" t="s">
        <v>344</v>
      </c>
      <c r="F884" s="30" t="s">
        <v>4316</v>
      </c>
      <c r="G884" s="30" t="s">
        <v>4317</v>
      </c>
      <c r="H884" s="30" t="s">
        <v>4302</v>
      </c>
      <c r="I884" s="30" t="s">
        <v>306</v>
      </c>
      <c r="J884" s="30" t="s">
        <v>206</v>
      </c>
      <c r="K884" s="31" t="s">
        <v>47</v>
      </c>
      <c r="L884" s="32"/>
      <c r="M884" s="33"/>
      <c r="N884" s="30" t="s">
        <v>48</v>
      </c>
      <c r="O884" s="1" t="n">
        <f aca="false">IF($B884="",0,IF(AND(OR(Filter!$B$5="(alle)",$N884=Filter!$B$5),OR(Filter!$E$5="(alle)",$K884=Filter!$E$5),OR(Filter!$H$5="(alle)",$C884=Filter!$H$5),OR(Filter!$B$7="(alle)",$E884=Filter!$B$7),OR(Filter!$E$7="(alle)",ISNUMBER(SEARCH(Filter!$E$7,$J884))),OR(Filter!$H$7="(alle)",ISNUMBER(SEARCH(Filter!$H$7,$I884))),OR(Filter!$B$9="",ISNUMBER(SEARCH(Filter!$B$9,$F884&amp;" "&amp;$G884)))),COUNTIF($O$6:$O883,"&gt;0")+1,0))</f>
        <v>878</v>
      </c>
    </row>
    <row r="885" customFormat="false" ht="51" hidden="false" customHeight="true" outlineLevel="0" collapsed="false">
      <c r="B885" s="30" t="s">
        <v>4318</v>
      </c>
      <c r="C885" s="30" t="s">
        <v>40</v>
      </c>
      <c r="D885" s="30" t="s">
        <v>4319</v>
      </c>
      <c r="E885" s="30" t="s">
        <v>344</v>
      </c>
      <c r="F885" s="30" t="s">
        <v>4320</v>
      </c>
      <c r="G885" s="30" t="s">
        <v>4321</v>
      </c>
      <c r="H885" s="30" t="s">
        <v>4302</v>
      </c>
      <c r="I885" s="30" t="s">
        <v>306</v>
      </c>
      <c r="J885" s="30" t="s">
        <v>206</v>
      </c>
      <c r="K885" s="31" t="s">
        <v>47</v>
      </c>
      <c r="L885" s="32"/>
      <c r="M885" s="33"/>
      <c r="N885" s="30" t="s">
        <v>48</v>
      </c>
      <c r="O885" s="1" t="n">
        <f aca="false">IF($B885="",0,IF(AND(OR(Filter!$B$5="(alle)",$N885=Filter!$B$5),OR(Filter!$E$5="(alle)",$K885=Filter!$E$5),OR(Filter!$H$5="(alle)",$C885=Filter!$H$5),OR(Filter!$B$7="(alle)",$E885=Filter!$B$7),OR(Filter!$E$7="(alle)",ISNUMBER(SEARCH(Filter!$E$7,$J885))),OR(Filter!$H$7="(alle)",ISNUMBER(SEARCH(Filter!$H$7,$I885))),OR(Filter!$B$9="",ISNUMBER(SEARCH(Filter!$B$9,$F885&amp;" "&amp;$G885)))),COUNTIF($O$6:$O884,"&gt;0")+1,0))</f>
        <v>879</v>
      </c>
    </row>
    <row r="886" customFormat="false" ht="51" hidden="false" customHeight="true" outlineLevel="0" collapsed="false">
      <c r="B886" s="30" t="s">
        <v>4322</v>
      </c>
      <c r="C886" s="30" t="s">
        <v>40</v>
      </c>
      <c r="D886" s="30" t="s">
        <v>4323</v>
      </c>
      <c r="E886" s="30" t="s">
        <v>361</v>
      </c>
      <c r="F886" s="30" t="s">
        <v>4324</v>
      </c>
      <c r="G886" s="30" t="s">
        <v>4325</v>
      </c>
      <c r="H886" s="30" t="s">
        <v>4302</v>
      </c>
      <c r="I886" s="30" t="s">
        <v>306</v>
      </c>
      <c r="J886" s="30" t="s">
        <v>206</v>
      </c>
      <c r="K886" s="31" t="s">
        <v>47</v>
      </c>
      <c r="L886" s="32"/>
      <c r="M886" s="33"/>
      <c r="N886" s="30" t="s">
        <v>48</v>
      </c>
      <c r="O886" s="1" t="n">
        <f aca="false">IF($B886="",0,IF(AND(OR(Filter!$B$5="(alle)",$N886=Filter!$B$5),OR(Filter!$E$5="(alle)",$K886=Filter!$E$5),OR(Filter!$H$5="(alle)",$C886=Filter!$H$5),OR(Filter!$B$7="(alle)",$E886=Filter!$B$7),OR(Filter!$E$7="(alle)",ISNUMBER(SEARCH(Filter!$E$7,$J886))),OR(Filter!$H$7="(alle)",ISNUMBER(SEARCH(Filter!$H$7,$I886))),OR(Filter!$B$9="",ISNUMBER(SEARCH(Filter!$B$9,$F886&amp;" "&amp;$G886)))),COUNTIF($O$6:$O885,"&gt;0")+1,0))</f>
        <v>880</v>
      </c>
    </row>
    <row r="887" customFormat="false" ht="51" hidden="false" customHeight="true" outlineLevel="0" collapsed="false">
      <c r="B887" s="30" t="s">
        <v>4326</v>
      </c>
      <c r="C887" s="30" t="s">
        <v>40</v>
      </c>
      <c r="D887" s="30" t="s">
        <v>4327</v>
      </c>
      <c r="E887" s="30" t="s">
        <v>344</v>
      </c>
      <c r="F887" s="30" t="s">
        <v>4328</v>
      </c>
      <c r="G887" s="30" t="s">
        <v>4329</v>
      </c>
      <c r="H887" s="30" t="s">
        <v>4302</v>
      </c>
      <c r="I887" s="30" t="s">
        <v>306</v>
      </c>
      <c r="J887" s="30" t="s">
        <v>206</v>
      </c>
      <c r="K887" s="31" t="s">
        <v>47</v>
      </c>
      <c r="L887" s="32"/>
      <c r="M887" s="33"/>
      <c r="N887" s="30" t="s">
        <v>48</v>
      </c>
      <c r="O887" s="1" t="n">
        <f aca="false">IF($B887="",0,IF(AND(OR(Filter!$B$5="(alle)",$N887=Filter!$B$5),OR(Filter!$E$5="(alle)",$K887=Filter!$E$5),OR(Filter!$H$5="(alle)",$C887=Filter!$H$5),OR(Filter!$B$7="(alle)",$E887=Filter!$B$7),OR(Filter!$E$7="(alle)",ISNUMBER(SEARCH(Filter!$E$7,$J887))),OR(Filter!$H$7="(alle)",ISNUMBER(SEARCH(Filter!$H$7,$I887))),OR(Filter!$B$9="",ISNUMBER(SEARCH(Filter!$B$9,$F887&amp;" "&amp;$G887)))),COUNTIF($O$6:$O886,"&gt;0")+1,0))</f>
        <v>881</v>
      </c>
    </row>
    <row r="888" customFormat="false" ht="51" hidden="false" customHeight="true" outlineLevel="0" collapsed="false">
      <c r="B888" s="30" t="s">
        <v>4330</v>
      </c>
      <c r="C888" s="30" t="s">
        <v>40</v>
      </c>
      <c r="D888" s="30" t="s">
        <v>76</v>
      </c>
      <c r="E888" s="30" t="s">
        <v>42</v>
      </c>
      <c r="F888" s="30" t="s">
        <v>4331</v>
      </c>
      <c r="G888" s="30" t="s">
        <v>4332</v>
      </c>
      <c r="H888" s="30" t="s">
        <v>4333</v>
      </c>
      <c r="I888" s="30" t="s">
        <v>45</v>
      </c>
      <c r="J888" s="30" t="s">
        <v>46</v>
      </c>
      <c r="K888" s="31" t="s">
        <v>47</v>
      </c>
      <c r="L888" s="32"/>
      <c r="M888" s="33"/>
      <c r="N888" s="30" t="s">
        <v>48</v>
      </c>
      <c r="O888" s="1" t="n">
        <f aca="false">IF($B888="",0,IF(AND(OR(Filter!$B$5="(alle)",$N888=Filter!$B$5),OR(Filter!$E$5="(alle)",$K888=Filter!$E$5),OR(Filter!$H$5="(alle)",$C888=Filter!$H$5),OR(Filter!$B$7="(alle)",$E888=Filter!$B$7),OR(Filter!$E$7="(alle)",ISNUMBER(SEARCH(Filter!$E$7,$J888))),OR(Filter!$H$7="(alle)",ISNUMBER(SEARCH(Filter!$H$7,$I888))),OR(Filter!$B$9="",ISNUMBER(SEARCH(Filter!$B$9,$F888&amp;" "&amp;$G888)))),COUNTIF($O$6:$O887,"&gt;0")+1,0))</f>
        <v>882</v>
      </c>
    </row>
    <row r="889" customFormat="false" ht="51" hidden="false" customHeight="true" outlineLevel="0" collapsed="false">
      <c r="B889" s="30" t="s">
        <v>4334</v>
      </c>
      <c r="C889" s="30" t="s">
        <v>40</v>
      </c>
      <c r="D889" s="30" t="s">
        <v>4335</v>
      </c>
      <c r="E889" s="30" t="s">
        <v>155</v>
      </c>
      <c r="F889" s="30" t="s">
        <v>4336</v>
      </c>
      <c r="G889" s="30" t="s">
        <v>4337</v>
      </c>
      <c r="H889" s="30" t="s">
        <v>4338</v>
      </c>
      <c r="I889" s="30" t="s">
        <v>3700</v>
      </c>
      <c r="J889" s="30" t="s">
        <v>159</v>
      </c>
      <c r="K889" s="31" t="s">
        <v>47</v>
      </c>
      <c r="L889" s="32"/>
      <c r="M889" s="33"/>
      <c r="N889" s="30" t="s">
        <v>48</v>
      </c>
      <c r="O889" s="1" t="n">
        <f aca="false">IF($B889="",0,IF(AND(OR(Filter!$B$5="(alle)",$N889=Filter!$B$5),OR(Filter!$E$5="(alle)",$K889=Filter!$E$5),OR(Filter!$H$5="(alle)",$C889=Filter!$H$5),OR(Filter!$B$7="(alle)",$E889=Filter!$B$7),OR(Filter!$E$7="(alle)",ISNUMBER(SEARCH(Filter!$E$7,$J889))),OR(Filter!$H$7="(alle)",ISNUMBER(SEARCH(Filter!$H$7,$I889))),OR(Filter!$B$9="",ISNUMBER(SEARCH(Filter!$B$9,$F889&amp;" "&amp;$G889)))),COUNTIF($O$6:$O888,"&gt;0")+1,0))</f>
        <v>883</v>
      </c>
    </row>
    <row r="890" customFormat="false" ht="51" hidden="false" customHeight="true" outlineLevel="0" collapsed="false">
      <c r="B890" s="30" t="s">
        <v>4339</v>
      </c>
      <c r="C890" s="30" t="s">
        <v>40</v>
      </c>
      <c r="D890" s="30" t="s">
        <v>4340</v>
      </c>
      <c r="E890" s="30" t="s">
        <v>604</v>
      </c>
      <c r="F890" s="30" t="s">
        <v>4341</v>
      </c>
      <c r="G890" s="30" t="s">
        <v>4342</v>
      </c>
      <c r="H890" s="30" t="s">
        <v>4338</v>
      </c>
      <c r="I890" s="30" t="s">
        <v>3700</v>
      </c>
      <c r="J890" s="30" t="s">
        <v>159</v>
      </c>
      <c r="K890" s="31" t="s">
        <v>47</v>
      </c>
      <c r="L890" s="32"/>
      <c r="M890" s="33"/>
      <c r="N890" s="30" t="s">
        <v>48</v>
      </c>
      <c r="O890" s="1" t="n">
        <f aca="false">IF($B890="",0,IF(AND(OR(Filter!$B$5="(alle)",$N890=Filter!$B$5),OR(Filter!$E$5="(alle)",$K890=Filter!$E$5),OR(Filter!$H$5="(alle)",$C890=Filter!$H$5),OR(Filter!$B$7="(alle)",$E890=Filter!$B$7),OR(Filter!$E$7="(alle)",ISNUMBER(SEARCH(Filter!$E$7,$J890))),OR(Filter!$H$7="(alle)",ISNUMBER(SEARCH(Filter!$H$7,$I890))),OR(Filter!$B$9="",ISNUMBER(SEARCH(Filter!$B$9,$F890&amp;" "&amp;$G890)))),COUNTIF($O$6:$O889,"&gt;0")+1,0))</f>
        <v>884</v>
      </c>
    </row>
    <row r="891" customFormat="false" ht="51" hidden="false" customHeight="true" outlineLevel="0" collapsed="false">
      <c r="B891" s="30" t="s">
        <v>4343</v>
      </c>
      <c r="C891" s="30" t="s">
        <v>40</v>
      </c>
      <c r="D891" s="30" t="s">
        <v>4344</v>
      </c>
      <c r="E891" s="30" t="s">
        <v>547</v>
      </c>
      <c r="F891" s="30" t="s">
        <v>4345</v>
      </c>
      <c r="G891" s="30" t="s">
        <v>4346</v>
      </c>
      <c r="H891" s="30" t="s">
        <v>4347</v>
      </c>
      <c r="I891" s="30" t="s">
        <v>476</v>
      </c>
      <c r="J891" s="30" t="s">
        <v>476</v>
      </c>
      <c r="K891" s="31" t="s">
        <v>47</v>
      </c>
      <c r="L891" s="32"/>
      <c r="M891" s="33"/>
      <c r="N891" s="30" t="s">
        <v>48</v>
      </c>
      <c r="O891" s="1" t="n">
        <f aca="false">IF($B891="",0,IF(AND(OR(Filter!$B$5="(alle)",$N891=Filter!$B$5),OR(Filter!$E$5="(alle)",$K891=Filter!$E$5),OR(Filter!$H$5="(alle)",$C891=Filter!$H$5),OR(Filter!$B$7="(alle)",$E891=Filter!$B$7),OR(Filter!$E$7="(alle)",ISNUMBER(SEARCH(Filter!$E$7,$J891))),OR(Filter!$H$7="(alle)",ISNUMBER(SEARCH(Filter!$H$7,$I891))),OR(Filter!$B$9="",ISNUMBER(SEARCH(Filter!$B$9,$F891&amp;" "&amp;$G891)))),COUNTIF($O$6:$O890,"&gt;0")+1,0))</f>
        <v>885</v>
      </c>
    </row>
    <row r="892" customFormat="false" ht="51" hidden="false" customHeight="true" outlineLevel="0" collapsed="false">
      <c r="B892" s="30" t="s">
        <v>4348</v>
      </c>
      <c r="C892" s="30" t="s">
        <v>40</v>
      </c>
      <c r="D892" s="30" t="s">
        <v>4349</v>
      </c>
      <c r="E892" s="30" t="s">
        <v>155</v>
      </c>
      <c r="F892" s="30" t="s">
        <v>4350</v>
      </c>
      <c r="G892" s="30" t="s">
        <v>4350</v>
      </c>
      <c r="H892" s="30" t="s">
        <v>4347</v>
      </c>
      <c r="I892" s="30" t="s">
        <v>476</v>
      </c>
      <c r="J892" s="30" t="s">
        <v>476</v>
      </c>
      <c r="K892" s="31" t="s">
        <v>47</v>
      </c>
      <c r="L892" s="32"/>
      <c r="M892" s="33"/>
      <c r="N892" s="30" t="s">
        <v>48</v>
      </c>
      <c r="O892" s="1" t="n">
        <f aca="false">IF($B892="",0,IF(AND(OR(Filter!$B$5="(alle)",$N892=Filter!$B$5),OR(Filter!$E$5="(alle)",$K892=Filter!$E$5),OR(Filter!$H$5="(alle)",$C892=Filter!$H$5),OR(Filter!$B$7="(alle)",$E892=Filter!$B$7),OR(Filter!$E$7="(alle)",ISNUMBER(SEARCH(Filter!$E$7,$J892))),OR(Filter!$H$7="(alle)",ISNUMBER(SEARCH(Filter!$H$7,$I892))),OR(Filter!$B$9="",ISNUMBER(SEARCH(Filter!$B$9,$F892&amp;" "&amp;$G892)))),COUNTIF($O$6:$O891,"&gt;0")+1,0))</f>
        <v>886</v>
      </c>
    </row>
    <row r="893" customFormat="false" ht="51" hidden="false" customHeight="true" outlineLevel="0" collapsed="false">
      <c r="B893" s="30" t="s">
        <v>4351</v>
      </c>
      <c r="C893" s="30" t="s">
        <v>40</v>
      </c>
      <c r="D893" s="30" t="s">
        <v>4352</v>
      </c>
      <c r="E893" s="30" t="s">
        <v>94</v>
      </c>
      <c r="F893" s="30" t="s">
        <v>4353</v>
      </c>
      <c r="G893" s="30" t="s">
        <v>4354</v>
      </c>
      <c r="H893" s="30" t="s">
        <v>4338</v>
      </c>
      <c r="I893" s="30" t="s">
        <v>3847</v>
      </c>
      <c r="J893" s="30" t="s">
        <v>2548</v>
      </c>
      <c r="K893" s="31" t="s">
        <v>47</v>
      </c>
      <c r="L893" s="32"/>
      <c r="M893" s="33"/>
      <c r="N893" s="30" t="s">
        <v>48</v>
      </c>
      <c r="O893" s="1" t="n">
        <f aca="false">IF($B893="",0,IF(AND(OR(Filter!$B$5="(alle)",$N893=Filter!$B$5),OR(Filter!$E$5="(alle)",$K893=Filter!$E$5),OR(Filter!$H$5="(alle)",$C893=Filter!$H$5),OR(Filter!$B$7="(alle)",$E893=Filter!$B$7),OR(Filter!$E$7="(alle)",ISNUMBER(SEARCH(Filter!$E$7,$J893))),OR(Filter!$H$7="(alle)",ISNUMBER(SEARCH(Filter!$H$7,$I893))),OR(Filter!$B$9="",ISNUMBER(SEARCH(Filter!$B$9,$F893&amp;" "&amp;$G893)))),COUNTIF($O$6:$O892,"&gt;0")+1,0))</f>
        <v>887</v>
      </c>
    </row>
    <row r="894" customFormat="false" ht="51" hidden="false" customHeight="true" outlineLevel="0" collapsed="false">
      <c r="B894" s="30" t="s">
        <v>4355</v>
      </c>
      <c r="C894" s="30" t="s">
        <v>40</v>
      </c>
      <c r="D894" s="30" t="s">
        <v>4356</v>
      </c>
      <c r="E894" s="30" t="s">
        <v>344</v>
      </c>
      <c r="F894" s="30" t="s">
        <v>4357</v>
      </c>
      <c r="G894" s="30" t="s">
        <v>4358</v>
      </c>
      <c r="H894" s="30" t="s">
        <v>4338</v>
      </c>
      <c r="I894" s="30" t="s">
        <v>306</v>
      </c>
      <c r="J894" s="30" t="s">
        <v>206</v>
      </c>
      <c r="K894" s="31" t="s">
        <v>47</v>
      </c>
      <c r="L894" s="32"/>
      <c r="M894" s="33"/>
      <c r="N894" s="30" t="s">
        <v>48</v>
      </c>
      <c r="O894" s="1" t="n">
        <f aca="false">IF($B894="",0,IF(AND(OR(Filter!$B$5="(alle)",$N894=Filter!$B$5),OR(Filter!$E$5="(alle)",$K894=Filter!$E$5),OR(Filter!$H$5="(alle)",$C894=Filter!$H$5),OR(Filter!$B$7="(alle)",$E894=Filter!$B$7),OR(Filter!$E$7="(alle)",ISNUMBER(SEARCH(Filter!$E$7,$J894))),OR(Filter!$H$7="(alle)",ISNUMBER(SEARCH(Filter!$H$7,$I894))),OR(Filter!$B$9="",ISNUMBER(SEARCH(Filter!$B$9,$F894&amp;" "&amp;$G894)))),COUNTIF($O$6:$O893,"&gt;0")+1,0))</f>
        <v>888</v>
      </c>
    </row>
    <row r="895" customFormat="false" ht="51" hidden="false" customHeight="true" outlineLevel="0" collapsed="false">
      <c r="B895" s="30" t="s">
        <v>4359</v>
      </c>
      <c r="C895" s="30" t="s">
        <v>40</v>
      </c>
      <c r="D895" s="30" t="s">
        <v>4360</v>
      </c>
      <c r="E895" s="30" t="s">
        <v>155</v>
      </c>
      <c r="F895" s="30" t="s">
        <v>4361</v>
      </c>
      <c r="G895" s="30" t="s">
        <v>4362</v>
      </c>
      <c r="H895" s="30" t="s">
        <v>4338</v>
      </c>
      <c r="I895" s="30" t="s">
        <v>3700</v>
      </c>
      <c r="J895" s="30" t="s">
        <v>159</v>
      </c>
      <c r="K895" s="31" t="s">
        <v>47</v>
      </c>
      <c r="L895" s="32"/>
      <c r="M895" s="33"/>
      <c r="N895" s="30" t="s">
        <v>48</v>
      </c>
      <c r="O895" s="1" t="n">
        <f aca="false">IF($B895="",0,IF(AND(OR(Filter!$B$5="(alle)",$N895=Filter!$B$5),OR(Filter!$E$5="(alle)",$K895=Filter!$E$5),OR(Filter!$H$5="(alle)",$C895=Filter!$H$5),OR(Filter!$B$7="(alle)",$E895=Filter!$B$7),OR(Filter!$E$7="(alle)",ISNUMBER(SEARCH(Filter!$E$7,$J895))),OR(Filter!$H$7="(alle)",ISNUMBER(SEARCH(Filter!$H$7,$I895))),OR(Filter!$B$9="",ISNUMBER(SEARCH(Filter!$B$9,$F895&amp;" "&amp;$G895)))),COUNTIF($O$6:$O894,"&gt;0")+1,0))</f>
        <v>889</v>
      </c>
    </row>
    <row r="896" customFormat="false" ht="51" hidden="false" customHeight="true" outlineLevel="0" collapsed="false">
      <c r="B896" s="30" t="s">
        <v>4363</v>
      </c>
      <c r="C896" s="30" t="s">
        <v>40</v>
      </c>
      <c r="D896" s="30" t="s">
        <v>4364</v>
      </c>
      <c r="E896" s="30" t="s">
        <v>210</v>
      </c>
      <c r="F896" s="30" t="s">
        <v>4365</v>
      </c>
      <c r="G896" s="30" t="s">
        <v>4366</v>
      </c>
      <c r="H896" s="30" t="s">
        <v>4367</v>
      </c>
      <c r="I896" s="30" t="s">
        <v>3700</v>
      </c>
      <c r="J896" s="30" t="s">
        <v>159</v>
      </c>
      <c r="K896" s="31" t="s">
        <v>47</v>
      </c>
      <c r="L896" s="32"/>
      <c r="M896" s="33"/>
      <c r="N896" s="30" t="s">
        <v>48</v>
      </c>
      <c r="O896" s="1" t="n">
        <f aca="false">IF($B896="",0,IF(AND(OR(Filter!$B$5="(alle)",$N896=Filter!$B$5),OR(Filter!$E$5="(alle)",$K896=Filter!$E$5),OR(Filter!$H$5="(alle)",$C896=Filter!$H$5),OR(Filter!$B$7="(alle)",$E896=Filter!$B$7),OR(Filter!$E$7="(alle)",ISNUMBER(SEARCH(Filter!$E$7,$J896))),OR(Filter!$H$7="(alle)",ISNUMBER(SEARCH(Filter!$H$7,$I896))),OR(Filter!$B$9="",ISNUMBER(SEARCH(Filter!$B$9,$F896&amp;" "&amp;$G896)))),COUNTIF($O$6:$O895,"&gt;0")+1,0))</f>
        <v>890</v>
      </c>
    </row>
    <row r="897" customFormat="false" ht="51" hidden="false" customHeight="true" outlineLevel="0" collapsed="false">
      <c r="B897" s="30" t="s">
        <v>4368</v>
      </c>
      <c r="C897" s="30" t="s">
        <v>40</v>
      </c>
      <c r="D897" s="30" t="s">
        <v>4369</v>
      </c>
      <c r="E897" s="30" t="s">
        <v>155</v>
      </c>
      <c r="F897" s="30" t="s">
        <v>4370</v>
      </c>
      <c r="G897" s="30" t="s">
        <v>4371</v>
      </c>
      <c r="H897" s="30" t="s">
        <v>4367</v>
      </c>
      <c r="I897" s="30" t="s">
        <v>4372</v>
      </c>
      <c r="J897" s="30" t="s">
        <v>4373</v>
      </c>
      <c r="K897" s="31" t="s">
        <v>47</v>
      </c>
      <c r="L897" s="32"/>
      <c r="M897" s="33"/>
      <c r="N897" s="30" t="s">
        <v>48</v>
      </c>
      <c r="O897" s="1" t="n">
        <f aca="false">IF($B897="",0,IF(AND(OR(Filter!$B$5="(alle)",$N897=Filter!$B$5),OR(Filter!$E$5="(alle)",$K897=Filter!$E$5),OR(Filter!$H$5="(alle)",$C897=Filter!$H$5),OR(Filter!$B$7="(alle)",$E897=Filter!$B$7),OR(Filter!$E$7="(alle)",ISNUMBER(SEARCH(Filter!$E$7,$J897))),OR(Filter!$H$7="(alle)",ISNUMBER(SEARCH(Filter!$H$7,$I897))),OR(Filter!$B$9="",ISNUMBER(SEARCH(Filter!$B$9,$F897&amp;" "&amp;$G897)))),COUNTIF($O$6:$O896,"&gt;0")+1,0))</f>
        <v>891</v>
      </c>
    </row>
    <row r="898" customFormat="false" ht="51" hidden="false" customHeight="true" outlineLevel="0" collapsed="false">
      <c r="B898" s="30" t="s">
        <v>4374</v>
      </c>
      <c r="C898" s="30" t="s">
        <v>40</v>
      </c>
      <c r="D898" s="30" t="s">
        <v>4375</v>
      </c>
      <c r="E898" s="30" t="s">
        <v>155</v>
      </c>
      <c r="F898" s="30" t="s">
        <v>4376</v>
      </c>
      <c r="G898" s="30" t="s">
        <v>4377</v>
      </c>
      <c r="H898" s="30" t="s">
        <v>4367</v>
      </c>
      <c r="I898" s="30" t="s">
        <v>4372</v>
      </c>
      <c r="J898" s="30" t="s">
        <v>4373</v>
      </c>
      <c r="K898" s="31" t="s">
        <v>47</v>
      </c>
      <c r="L898" s="32"/>
      <c r="M898" s="33"/>
      <c r="N898" s="30" t="s">
        <v>48</v>
      </c>
      <c r="O898" s="1" t="n">
        <f aca="false">IF($B898="",0,IF(AND(OR(Filter!$B$5="(alle)",$N898=Filter!$B$5),OR(Filter!$E$5="(alle)",$K898=Filter!$E$5),OR(Filter!$H$5="(alle)",$C898=Filter!$H$5),OR(Filter!$B$7="(alle)",$E898=Filter!$B$7),OR(Filter!$E$7="(alle)",ISNUMBER(SEARCH(Filter!$E$7,$J898))),OR(Filter!$H$7="(alle)",ISNUMBER(SEARCH(Filter!$H$7,$I898))),OR(Filter!$B$9="",ISNUMBER(SEARCH(Filter!$B$9,$F898&amp;" "&amp;$G898)))),COUNTIF($O$6:$O897,"&gt;0")+1,0))</f>
        <v>892</v>
      </c>
    </row>
    <row r="899" customFormat="false" ht="51" hidden="false" customHeight="true" outlineLevel="0" collapsed="false">
      <c r="B899" s="30" t="s">
        <v>4378</v>
      </c>
      <c r="C899" s="30" t="s">
        <v>40</v>
      </c>
      <c r="D899" s="30" t="s">
        <v>4379</v>
      </c>
      <c r="E899" s="30" t="s">
        <v>361</v>
      </c>
      <c r="F899" s="30" t="s">
        <v>4380</v>
      </c>
      <c r="G899" s="30" t="s">
        <v>4381</v>
      </c>
      <c r="H899" s="30" t="s">
        <v>4367</v>
      </c>
      <c r="I899" s="30" t="s">
        <v>4372</v>
      </c>
      <c r="J899" s="30" t="s">
        <v>4373</v>
      </c>
      <c r="K899" s="31" t="s">
        <v>47</v>
      </c>
      <c r="L899" s="32"/>
      <c r="M899" s="33"/>
      <c r="N899" s="30" t="s">
        <v>48</v>
      </c>
      <c r="O899" s="1" t="n">
        <f aca="false">IF($B899="",0,IF(AND(OR(Filter!$B$5="(alle)",$N899=Filter!$B$5),OR(Filter!$E$5="(alle)",$K899=Filter!$E$5),OR(Filter!$H$5="(alle)",$C899=Filter!$H$5),OR(Filter!$B$7="(alle)",$E899=Filter!$B$7),OR(Filter!$E$7="(alle)",ISNUMBER(SEARCH(Filter!$E$7,$J899))),OR(Filter!$H$7="(alle)",ISNUMBER(SEARCH(Filter!$H$7,$I899))),OR(Filter!$B$9="",ISNUMBER(SEARCH(Filter!$B$9,$F899&amp;" "&amp;$G899)))),COUNTIF($O$6:$O898,"&gt;0")+1,0))</f>
        <v>893</v>
      </c>
    </row>
    <row r="900" customFormat="false" ht="51" hidden="false" customHeight="true" outlineLevel="0" collapsed="false">
      <c r="B900" s="30" t="s">
        <v>4382</v>
      </c>
      <c r="C900" s="30" t="s">
        <v>40</v>
      </c>
      <c r="D900" s="30" t="s">
        <v>4383</v>
      </c>
      <c r="E900" s="30" t="s">
        <v>210</v>
      </c>
      <c r="F900" s="30" t="s">
        <v>4384</v>
      </c>
      <c r="G900" s="30" t="s">
        <v>4385</v>
      </c>
      <c r="H900" s="30" t="s">
        <v>4367</v>
      </c>
      <c r="I900" s="30" t="s">
        <v>4372</v>
      </c>
      <c r="J900" s="30" t="s">
        <v>4373</v>
      </c>
      <c r="K900" s="31" t="s">
        <v>47</v>
      </c>
      <c r="L900" s="32"/>
      <c r="M900" s="33"/>
      <c r="N900" s="30" t="s">
        <v>48</v>
      </c>
      <c r="O900" s="1" t="n">
        <f aca="false">IF($B900="",0,IF(AND(OR(Filter!$B$5="(alle)",$N900=Filter!$B$5),OR(Filter!$E$5="(alle)",$K900=Filter!$E$5),OR(Filter!$H$5="(alle)",$C900=Filter!$H$5),OR(Filter!$B$7="(alle)",$E900=Filter!$B$7),OR(Filter!$E$7="(alle)",ISNUMBER(SEARCH(Filter!$E$7,$J900))),OR(Filter!$H$7="(alle)",ISNUMBER(SEARCH(Filter!$H$7,$I900))),OR(Filter!$B$9="",ISNUMBER(SEARCH(Filter!$B$9,$F900&amp;" "&amp;$G900)))),COUNTIF($O$6:$O899,"&gt;0")+1,0))</f>
        <v>894</v>
      </c>
    </row>
    <row r="901" customFormat="false" ht="51" hidden="false" customHeight="true" outlineLevel="0" collapsed="false">
      <c r="B901" s="30" t="s">
        <v>4386</v>
      </c>
      <c r="C901" s="30" t="s">
        <v>40</v>
      </c>
      <c r="D901" s="30" t="s">
        <v>4387</v>
      </c>
      <c r="E901" s="30" t="s">
        <v>155</v>
      </c>
      <c r="F901" s="30" t="s">
        <v>4388</v>
      </c>
      <c r="G901" s="30" t="s">
        <v>4389</v>
      </c>
      <c r="H901" s="30" t="s">
        <v>4367</v>
      </c>
      <c r="I901" s="30" t="s">
        <v>3978</v>
      </c>
      <c r="J901" s="30" t="s">
        <v>4390</v>
      </c>
      <c r="K901" s="31" t="s">
        <v>47</v>
      </c>
      <c r="L901" s="32"/>
      <c r="M901" s="33"/>
      <c r="N901" s="30" t="s">
        <v>48</v>
      </c>
      <c r="O901" s="1" t="n">
        <f aca="false">IF($B901="",0,IF(AND(OR(Filter!$B$5="(alle)",$N901=Filter!$B$5),OR(Filter!$E$5="(alle)",$K901=Filter!$E$5),OR(Filter!$H$5="(alle)",$C901=Filter!$H$5),OR(Filter!$B$7="(alle)",$E901=Filter!$B$7),OR(Filter!$E$7="(alle)",ISNUMBER(SEARCH(Filter!$E$7,$J901))),OR(Filter!$H$7="(alle)",ISNUMBER(SEARCH(Filter!$H$7,$I901))),OR(Filter!$B$9="",ISNUMBER(SEARCH(Filter!$B$9,$F901&amp;" "&amp;$G901)))),COUNTIF($O$6:$O900,"&gt;0")+1,0))</f>
        <v>895</v>
      </c>
    </row>
    <row r="902" customFormat="false" ht="51" hidden="false" customHeight="true" outlineLevel="0" collapsed="false">
      <c r="B902" s="30" t="s">
        <v>4391</v>
      </c>
      <c r="C902" s="30" t="s">
        <v>40</v>
      </c>
      <c r="D902" s="30" t="s">
        <v>4392</v>
      </c>
      <c r="E902" s="30" t="s">
        <v>155</v>
      </c>
      <c r="F902" s="30" t="s">
        <v>4393</v>
      </c>
      <c r="G902" s="30" t="s">
        <v>4394</v>
      </c>
      <c r="H902" s="30" t="s">
        <v>4395</v>
      </c>
      <c r="I902" s="30" t="s">
        <v>476</v>
      </c>
      <c r="J902" s="30" t="s">
        <v>476</v>
      </c>
      <c r="K902" s="31" t="s">
        <v>47</v>
      </c>
      <c r="L902" s="32"/>
      <c r="M902" s="33"/>
      <c r="N902" s="30" t="s">
        <v>48</v>
      </c>
      <c r="O902" s="1" t="n">
        <f aca="false">IF($B902="",0,IF(AND(OR(Filter!$B$5="(alle)",$N902=Filter!$B$5),OR(Filter!$E$5="(alle)",$K902=Filter!$E$5),OR(Filter!$H$5="(alle)",$C902=Filter!$H$5),OR(Filter!$B$7="(alle)",$E902=Filter!$B$7),OR(Filter!$E$7="(alle)",ISNUMBER(SEARCH(Filter!$E$7,$J902))),OR(Filter!$H$7="(alle)",ISNUMBER(SEARCH(Filter!$H$7,$I902))),OR(Filter!$B$9="",ISNUMBER(SEARCH(Filter!$B$9,$F902&amp;" "&amp;$G902)))),COUNTIF($O$6:$O901,"&gt;0")+1,0))</f>
        <v>896</v>
      </c>
    </row>
    <row r="903" customFormat="false" ht="51" hidden="false" customHeight="true" outlineLevel="0" collapsed="false">
      <c r="B903" s="30" t="s">
        <v>4396</v>
      </c>
      <c r="C903" s="30" t="s">
        <v>40</v>
      </c>
      <c r="D903" s="30" t="s">
        <v>4397</v>
      </c>
      <c r="E903" s="30" t="s">
        <v>155</v>
      </c>
      <c r="F903" s="30" t="s">
        <v>4398</v>
      </c>
      <c r="G903" s="30" t="s">
        <v>4399</v>
      </c>
      <c r="H903" s="30" t="s">
        <v>4400</v>
      </c>
      <c r="I903" s="30" t="s">
        <v>3700</v>
      </c>
      <c r="J903" s="30" t="s">
        <v>159</v>
      </c>
      <c r="K903" s="31" t="s">
        <v>47</v>
      </c>
      <c r="L903" s="32"/>
      <c r="M903" s="33"/>
      <c r="N903" s="30" t="s">
        <v>48</v>
      </c>
      <c r="O903" s="1" t="n">
        <f aca="false">IF($B903="",0,IF(AND(OR(Filter!$B$5="(alle)",$N903=Filter!$B$5),OR(Filter!$E$5="(alle)",$K903=Filter!$E$5),OR(Filter!$H$5="(alle)",$C903=Filter!$H$5),OR(Filter!$B$7="(alle)",$E903=Filter!$B$7),OR(Filter!$E$7="(alle)",ISNUMBER(SEARCH(Filter!$E$7,$J903))),OR(Filter!$H$7="(alle)",ISNUMBER(SEARCH(Filter!$H$7,$I903))),OR(Filter!$B$9="",ISNUMBER(SEARCH(Filter!$B$9,$F903&amp;" "&amp;$G903)))),COUNTIF($O$6:$O902,"&gt;0")+1,0))</f>
        <v>897</v>
      </c>
    </row>
    <row r="904" customFormat="false" ht="51" hidden="false" customHeight="true" outlineLevel="0" collapsed="false">
      <c r="B904" s="30" t="s">
        <v>4401</v>
      </c>
      <c r="C904" s="30" t="s">
        <v>40</v>
      </c>
      <c r="D904" s="30" t="s">
        <v>4402</v>
      </c>
      <c r="E904" s="30" t="s">
        <v>155</v>
      </c>
      <c r="F904" s="30" t="s">
        <v>4403</v>
      </c>
      <c r="G904" s="30" t="s">
        <v>4404</v>
      </c>
      <c r="H904" s="30" t="s">
        <v>4395</v>
      </c>
      <c r="I904" s="30" t="s">
        <v>476</v>
      </c>
      <c r="J904" s="30" t="s">
        <v>476</v>
      </c>
      <c r="K904" s="31" t="s">
        <v>47</v>
      </c>
      <c r="L904" s="32"/>
      <c r="M904" s="33"/>
      <c r="N904" s="30" t="s">
        <v>48</v>
      </c>
      <c r="O904" s="1" t="n">
        <f aca="false">IF($B904="",0,IF(AND(OR(Filter!$B$5="(alle)",$N904=Filter!$B$5),OR(Filter!$E$5="(alle)",$K904=Filter!$E$5),OR(Filter!$H$5="(alle)",$C904=Filter!$H$5),OR(Filter!$B$7="(alle)",$E904=Filter!$B$7),OR(Filter!$E$7="(alle)",ISNUMBER(SEARCH(Filter!$E$7,$J904))),OR(Filter!$H$7="(alle)",ISNUMBER(SEARCH(Filter!$H$7,$I904))),OR(Filter!$B$9="",ISNUMBER(SEARCH(Filter!$B$9,$F904&amp;" "&amp;$G904)))),COUNTIF($O$6:$O903,"&gt;0")+1,0))</f>
        <v>898</v>
      </c>
    </row>
    <row r="905" customFormat="false" ht="51" hidden="false" customHeight="true" outlineLevel="0" collapsed="false">
      <c r="B905" s="30" t="s">
        <v>4405</v>
      </c>
      <c r="C905" s="30" t="s">
        <v>40</v>
      </c>
      <c r="D905" s="30" t="s">
        <v>4406</v>
      </c>
      <c r="E905" s="30" t="s">
        <v>361</v>
      </c>
      <c r="F905" s="30" t="s">
        <v>4407</v>
      </c>
      <c r="G905" s="30" t="s">
        <v>4408</v>
      </c>
      <c r="H905" s="30" t="s">
        <v>4400</v>
      </c>
      <c r="I905" s="30" t="s">
        <v>306</v>
      </c>
      <c r="J905" s="30" t="s">
        <v>206</v>
      </c>
      <c r="K905" s="31" t="s">
        <v>47</v>
      </c>
      <c r="L905" s="32"/>
      <c r="M905" s="33"/>
      <c r="N905" s="30" t="s">
        <v>48</v>
      </c>
      <c r="O905" s="1" t="n">
        <f aca="false">IF($B905="",0,IF(AND(OR(Filter!$B$5="(alle)",$N905=Filter!$B$5),OR(Filter!$E$5="(alle)",$K905=Filter!$E$5),OR(Filter!$H$5="(alle)",$C905=Filter!$H$5),OR(Filter!$B$7="(alle)",$E905=Filter!$B$7),OR(Filter!$E$7="(alle)",ISNUMBER(SEARCH(Filter!$E$7,$J905))),OR(Filter!$H$7="(alle)",ISNUMBER(SEARCH(Filter!$H$7,$I905))),OR(Filter!$B$9="",ISNUMBER(SEARCH(Filter!$B$9,$F905&amp;" "&amp;$G905)))),COUNTIF($O$6:$O904,"&gt;0")+1,0))</f>
        <v>899</v>
      </c>
    </row>
    <row r="906" customFormat="false" ht="51" hidden="false" customHeight="true" outlineLevel="0" collapsed="false">
      <c r="B906" s="30" t="s">
        <v>4409</v>
      </c>
      <c r="C906" s="30" t="s">
        <v>40</v>
      </c>
      <c r="D906" s="30" t="s">
        <v>4410</v>
      </c>
      <c r="E906" s="30" t="s">
        <v>155</v>
      </c>
      <c r="F906" s="30" t="s">
        <v>4411</v>
      </c>
      <c r="G906" s="30" t="s">
        <v>4412</v>
      </c>
      <c r="H906" s="30" t="s">
        <v>4395</v>
      </c>
      <c r="I906" s="30" t="s">
        <v>476</v>
      </c>
      <c r="J906" s="30" t="s">
        <v>476</v>
      </c>
      <c r="K906" s="31" t="s">
        <v>47</v>
      </c>
      <c r="L906" s="32"/>
      <c r="M906" s="33"/>
      <c r="N906" s="30" t="s">
        <v>48</v>
      </c>
      <c r="O906" s="1" t="n">
        <f aca="false">IF($B906="",0,IF(AND(OR(Filter!$B$5="(alle)",$N906=Filter!$B$5),OR(Filter!$E$5="(alle)",$K906=Filter!$E$5),OR(Filter!$H$5="(alle)",$C906=Filter!$H$5),OR(Filter!$B$7="(alle)",$E906=Filter!$B$7),OR(Filter!$E$7="(alle)",ISNUMBER(SEARCH(Filter!$E$7,$J906))),OR(Filter!$H$7="(alle)",ISNUMBER(SEARCH(Filter!$H$7,$I906))),OR(Filter!$B$9="",ISNUMBER(SEARCH(Filter!$B$9,$F906&amp;" "&amp;$G906)))),COUNTIF($O$6:$O905,"&gt;0")+1,0))</f>
        <v>900</v>
      </c>
    </row>
    <row r="907" customFormat="false" ht="51" hidden="false" customHeight="true" outlineLevel="0" collapsed="false">
      <c r="B907" s="30" t="s">
        <v>4413</v>
      </c>
      <c r="C907" s="30" t="s">
        <v>40</v>
      </c>
      <c r="D907" s="30" t="s">
        <v>4414</v>
      </c>
      <c r="E907" s="30" t="s">
        <v>155</v>
      </c>
      <c r="F907" s="30" t="s">
        <v>4415</v>
      </c>
      <c r="G907" s="30" t="s">
        <v>4416</v>
      </c>
      <c r="H907" s="30" t="s">
        <v>4400</v>
      </c>
      <c r="I907" s="30" t="s">
        <v>3700</v>
      </c>
      <c r="J907" s="30" t="s">
        <v>159</v>
      </c>
      <c r="K907" s="31" t="s">
        <v>47</v>
      </c>
      <c r="L907" s="32"/>
      <c r="M907" s="33"/>
      <c r="N907" s="30" t="s">
        <v>48</v>
      </c>
      <c r="O907" s="1" t="n">
        <f aca="false">IF($B907="",0,IF(AND(OR(Filter!$B$5="(alle)",$N907=Filter!$B$5),OR(Filter!$E$5="(alle)",$K907=Filter!$E$5),OR(Filter!$H$5="(alle)",$C907=Filter!$H$5),OR(Filter!$B$7="(alle)",$E907=Filter!$B$7),OR(Filter!$E$7="(alle)",ISNUMBER(SEARCH(Filter!$E$7,$J907))),OR(Filter!$H$7="(alle)",ISNUMBER(SEARCH(Filter!$H$7,$I907))),OR(Filter!$B$9="",ISNUMBER(SEARCH(Filter!$B$9,$F907&amp;" "&amp;$G907)))),COUNTIF($O$6:$O906,"&gt;0")+1,0))</f>
        <v>901</v>
      </c>
    </row>
    <row r="908" customFormat="false" ht="51" hidden="false" customHeight="true" outlineLevel="0" collapsed="false">
      <c r="B908" s="30" t="s">
        <v>4417</v>
      </c>
      <c r="C908" s="30" t="s">
        <v>40</v>
      </c>
      <c r="D908" s="30" t="s">
        <v>4418</v>
      </c>
      <c r="E908" s="30" t="s">
        <v>155</v>
      </c>
      <c r="F908" s="30" t="s">
        <v>4419</v>
      </c>
      <c r="G908" s="30" t="s">
        <v>4420</v>
      </c>
      <c r="H908" s="30" t="s">
        <v>4395</v>
      </c>
      <c r="I908" s="30" t="s">
        <v>476</v>
      </c>
      <c r="J908" s="30" t="s">
        <v>476</v>
      </c>
      <c r="K908" s="31" t="s">
        <v>47</v>
      </c>
      <c r="L908" s="32"/>
      <c r="M908" s="33"/>
      <c r="N908" s="30" t="s">
        <v>48</v>
      </c>
      <c r="O908" s="1" t="n">
        <f aca="false">IF($B908="",0,IF(AND(OR(Filter!$B$5="(alle)",$N908=Filter!$B$5),OR(Filter!$E$5="(alle)",$K908=Filter!$E$5),OR(Filter!$H$5="(alle)",$C908=Filter!$H$5),OR(Filter!$B$7="(alle)",$E908=Filter!$B$7),OR(Filter!$E$7="(alle)",ISNUMBER(SEARCH(Filter!$E$7,$J908))),OR(Filter!$H$7="(alle)",ISNUMBER(SEARCH(Filter!$H$7,$I908))),OR(Filter!$B$9="",ISNUMBER(SEARCH(Filter!$B$9,$F908&amp;" "&amp;$G908)))),COUNTIF($O$6:$O907,"&gt;0")+1,0))</f>
        <v>902</v>
      </c>
    </row>
    <row r="909" customFormat="false" ht="51" hidden="false" customHeight="true" outlineLevel="0" collapsed="false">
      <c r="B909" s="30" t="s">
        <v>4421</v>
      </c>
      <c r="C909" s="30" t="s">
        <v>40</v>
      </c>
      <c r="D909" s="30" t="s">
        <v>4422</v>
      </c>
      <c r="E909" s="30" t="s">
        <v>155</v>
      </c>
      <c r="F909" s="30" t="s">
        <v>4423</v>
      </c>
      <c r="G909" s="30" t="s">
        <v>4424</v>
      </c>
      <c r="H909" s="30" t="s">
        <v>4425</v>
      </c>
      <c r="I909" s="30" t="s">
        <v>476</v>
      </c>
      <c r="J909" s="30" t="s">
        <v>476</v>
      </c>
      <c r="K909" s="31" t="s">
        <v>47</v>
      </c>
      <c r="L909" s="32"/>
      <c r="M909" s="33"/>
      <c r="N909" s="30" t="s">
        <v>48</v>
      </c>
      <c r="O909" s="1" t="n">
        <f aca="false">IF($B909="",0,IF(AND(OR(Filter!$B$5="(alle)",$N909=Filter!$B$5),OR(Filter!$E$5="(alle)",$K909=Filter!$E$5),OR(Filter!$H$5="(alle)",$C909=Filter!$H$5),OR(Filter!$B$7="(alle)",$E909=Filter!$B$7),OR(Filter!$E$7="(alle)",ISNUMBER(SEARCH(Filter!$E$7,$J909))),OR(Filter!$H$7="(alle)",ISNUMBER(SEARCH(Filter!$H$7,$I909))),OR(Filter!$B$9="",ISNUMBER(SEARCH(Filter!$B$9,$F909&amp;" "&amp;$G909)))),COUNTIF($O$6:$O908,"&gt;0")+1,0))</f>
        <v>903</v>
      </c>
    </row>
    <row r="910" customFormat="false" ht="51" hidden="false" customHeight="true" outlineLevel="0" collapsed="false">
      <c r="B910" s="30" t="s">
        <v>4426</v>
      </c>
      <c r="C910" s="30" t="s">
        <v>40</v>
      </c>
      <c r="D910" s="30" t="s">
        <v>4427</v>
      </c>
      <c r="E910" s="30" t="s">
        <v>210</v>
      </c>
      <c r="F910" s="30" t="s">
        <v>4428</v>
      </c>
      <c r="G910" s="30" t="s">
        <v>4429</v>
      </c>
      <c r="H910" s="30" t="s">
        <v>4430</v>
      </c>
      <c r="I910" s="30" t="s">
        <v>306</v>
      </c>
      <c r="J910" s="30" t="s">
        <v>206</v>
      </c>
      <c r="K910" s="31" t="s">
        <v>47</v>
      </c>
      <c r="L910" s="32"/>
      <c r="M910" s="33"/>
      <c r="N910" s="30" t="s">
        <v>48</v>
      </c>
      <c r="O910" s="1" t="n">
        <f aca="false">IF($B910="",0,IF(AND(OR(Filter!$B$5="(alle)",$N910=Filter!$B$5),OR(Filter!$E$5="(alle)",$K910=Filter!$E$5),OR(Filter!$H$5="(alle)",$C910=Filter!$H$5),OR(Filter!$B$7="(alle)",$E910=Filter!$B$7),OR(Filter!$E$7="(alle)",ISNUMBER(SEARCH(Filter!$E$7,$J910))),OR(Filter!$H$7="(alle)",ISNUMBER(SEARCH(Filter!$H$7,$I910))),OR(Filter!$B$9="",ISNUMBER(SEARCH(Filter!$B$9,$F910&amp;" "&amp;$G910)))),COUNTIF($O$6:$O909,"&gt;0")+1,0))</f>
        <v>904</v>
      </c>
    </row>
    <row r="911" customFormat="false" ht="51" hidden="false" customHeight="true" outlineLevel="0" collapsed="false">
      <c r="B911" s="30" t="s">
        <v>4431</v>
      </c>
      <c r="C911" s="30" t="s">
        <v>40</v>
      </c>
      <c r="D911" s="30" t="s">
        <v>4432</v>
      </c>
      <c r="E911" s="30" t="s">
        <v>155</v>
      </c>
      <c r="F911" s="30" t="s">
        <v>4433</v>
      </c>
      <c r="G911" s="30" t="s">
        <v>4434</v>
      </c>
      <c r="H911" s="30" t="s">
        <v>4425</v>
      </c>
      <c r="I911" s="30" t="s">
        <v>476</v>
      </c>
      <c r="J911" s="30" t="s">
        <v>476</v>
      </c>
      <c r="K911" s="31" t="s">
        <v>47</v>
      </c>
      <c r="L911" s="32"/>
      <c r="M911" s="33"/>
      <c r="N911" s="30" t="s">
        <v>48</v>
      </c>
      <c r="O911" s="1" t="n">
        <f aca="false">IF($B911="",0,IF(AND(OR(Filter!$B$5="(alle)",$N911=Filter!$B$5),OR(Filter!$E$5="(alle)",$K911=Filter!$E$5),OR(Filter!$H$5="(alle)",$C911=Filter!$H$5),OR(Filter!$B$7="(alle)",$E911=Filter!$B$7),OR(Filter!$E$7="(alle)",ISNUMBER(SEARCH(Filter!$E$7,$J911))),OR(Filter!$H$7="(alle)",ISNUMBER(SEARCH(Filter!$H$7,$I911))),OR(Filter!$B$9="",ISNUMBER(SEARCH(Filter!$B$9,$F911&amp;" "&amp;$G911)))),COUNTIF($O$6:$O910,"&gt;0")+1,0))</f>
        <v>905</v>
      </c>
    </row>
    <row r="912" customFormat="false" ht="51" hidden="false" customHeight="true" outlineLevel="0" collapsed="false">
      <c r="B912" s="30" t="s">
        <v>4435</v>
      </c>
      <c r="C912" s="30" t="s">
        <v>40</v>
      </c>
      <c r="D912" s="30" t="s">
        <v>4436</v>
      </c>
      <c r="E912" s="30" t="s">
        <v>155</v>
      </c>
      <c r="F912" s="30" t="s">
        <v>4437</v>
      </c>
      <c r="G912" s="30" t="s">
        <v>4438</v>
      </c>
      <c r="H912" s="30" t="s">
        <v>4425</v>
      </c>
      <c r="I912" s="30" t="s">
        <v>476</v>
      </c>
      <c r="J912" s="30" t="s">
        <v>476</v>
      </c>
      <c r="K912" s="31" t="s">
        <v>47</v>
      </c>
      <c r="L912" s="32"/>
      <c r="M912" s="33"/>
      <c r="N912" s="30" t="s">
        <v>48</v>
      </c>
      <c r="O912" s="1" t="n">
        <f aca="false">IF($B912="",0,IF(AND(OR(Filter!$B$5="(alle)",$N912=Filter!$B$5),OR(Filter!$E$5="(alle)",$K912=Filter!$E$5),OR(Filter!$H$5="(alle)",$C912=Filter!$H$5),OR(Filter!$B$7="(alle)",$E912=Filter!$B$7),OR(Filter!$E$7="(alle)",ISNUMBER(SEARCH(Filter!$E$7,$J912))),OR(Filter!$H$7="(alle)",ISNUMBER(SEARCH(Filter!$H$7,$I912))),OR(Filter!$B$9="",ISNUMBER(SEARCH(Filter!$B$9,$F912&amp;" "&amp;$G912)))),COUNTIF($O$6:$O911,"&gt;0")+1,0))</f>
        <v>906</v>
      </c>
    </row>
    <row r="913" customFormat="false" ht="51" hidden="false" customHeight="true" outlineLevel="0" collapsed="false">
      <c r="B913" s="30" t="s">
        <v>4439</v>
      </c>
      <c r="C913" s="30" t="s">
        <v>40</v>
      </c>
      <c r="D913" s="30" t="s">
        <v>4440</v>
      </c>
      <c r="E913" s="30" t="s">
        <v>155</v>
      </c>
      <c r="F913" s="30" t="s">
        <v>4441</v>
      </c>
      <c r="G913" s="30" t="s">
        <v>4442</v>
      </c>
      <c r="H913" s="30" t="s">
        <v>4425</v>
      </c>
      <c r="I913" s="30" t="s">
        <v>476</v>
      </c>
      <c r="J913" s="30" t="s">
        <v>476</v>
      </c>
      <c r="K913" s="31" t="s">
        <v>47</v>
      </c>
      <c r="L913" s="32"/>
      <c r="M913" s="33"/>
      <c r="N913" s="30" t="s">
        <v>48</v>
      </c>
      <c r="O913" s="1" t="n">
        <f aca="false">IF($B913="",0,IF(AND(OR(Filter!$B$5="(alle)",$N913=Filter!$B$5),OR(Filter!$E$5="(alle)",$K913=Filter!$E$5),OR(Filter!$H$5="(alle)",$C913=Filter!$H$5),OR(Filter!$B$7="(alle)",$E913=Filter!$B$7),OR(Filter!$E$7="(alle)",ISNUMBER(SEARCH(Filter!$E$7,$J913))),OR(Filter!$H$7="(alle)",ISNUMBER(SEARCH(Filter!$H$7,$I913))),OR(Filter!$B$9="",ISNUMBER(SEARCH(Filter!$B$9,$F913&amp;" "&amp;$G913)))),COUNTIF($O$6:$O912,"&gt;0")+1,0))</f>
        <v>907</v>
      </c>
    </row>
    <row r="914" customFormat="false" ht="51" hidden="false" customHeight="true" outlineLevel="0" collapsed="false">
      <c r="B914" s="30" t="s">
        <v>4443</v>
      </c>
      <c r="C914" s="30" t="s">
        <v>40</v>
      </c>
      <c r="D914" s="30" t="s">
        <v>4444</v>
      </c>
      <c r="E914" s="30" t="s">
        <v>155</v>
      </c>
      <c r="F914" s="30" t="s">
        <v>4445</v>
      </c>
      <c r="G914" s="30" t="s">
        <v>4446</v>
      </c>
      <c r="H914" s="30" t="s">
        <v>4425</v>
      </c>
      <c r="I914" s="30" t="s">
        <v>476</v>
      </c>
      <c r="J914" s="30" t="s">
        <v>476</v>
      </c>
      <c r="K914" s="31" t="s">
        <v>47</v>
      </c>
      <c r="L914" s="32"/>
      <c r="M914" s="33"/>
      <c r="N914" s="30" t="s">
        <v>48</v>
      </c>
      <c r="O914" s="1" t="n">
        <f aca="false">IF($B914="",0,IF(AND(OR(Filter!$B$5="(alle)",$N914=Filter!$B$5),OR(Filter!$E$5="(alle)",$K914=Filter!$E$5),OR(Filter!$H$5="(alle)",$C914=Filter!$H$5),OR(Filter!$B$7="(alle)",$E914=Filter!$B$7),OR(Filter!$E$7="(alle)",ISNUMBER(SEARCH(Filter!$E$7,$J914))),OR(Filter!$H$7="(alle)",ISNUMBER(SEARCH(Filter!$H$7,$I914))),OR(Filter!$B$9="",ISNUMBER(SEARCH(Filter!$B$9,$F914&amp;" "&amp;$G914)))),COUNTIF($O$6:$O913,"&gt;0")+1,0))</f>
        <v>908</v>
      </c>
    </row>
    <row r="915" customFormat="false" ht="51" hidden="false" customHeight="true" outlineLevel="0" collapsed="false">
      <c r="B915" s="30" t="s">
        <v>4447</v>
      </c>
      <c r="C915" s="30" t="s">
        <v>40</v>
      </c>
      <c r="D915" s="30" t="s">
        <v>4448</v>
      </c>
      <c r="E915" s="30" t="s">
        <v>155</v>
      </c>
      <c r="F915" s="30" t="s">
        <v>4449</v>
      </c>
      <c r="G915" s="30" t="s">
        <v>4450</v>
      </c>
      <c r="H915" s="30" t="s">
        <v>4430</v>
      </c>
      <c r="I915" s="30" t="s">
        <v>3700</v>
      </c>
      <c r="J915" s="30" t="s">
        <v>159</v>
      </c>
      <c r="K915" s="31" t="s">
        <v>47</v>
      </c>
      <c r="L915" s="32"/>
      <c r="M915" s="33"/>
      <c r="N915" s="30" t="s">
        <v>48</v>
      </c>
      <c r="O915" s="1" t="n">
        <f aca="false">IF($B915="",0,IF(AND(OR(Filter!$B$5="(alle)",$N915=Filter!$B$5),OR(Filter!$E$5="(alle)",$K915=Filter!$E$5),OR(Filter!$H$5="(alle)",$C915=Filter!$H$5),OR(Filter!$B$7="(alle)",$E915=Filter!$B$7),OR(Filter!$E$7="(alle)",ISNUMBER(SEARCH(Filter!$E$7,$J915))),OR(Filter!$H$7="(alle)",ISNUMBER(SEARCH(Filter!$H$7,$I915))),OR(Filter!$B$9="",ISNUMBER(SEARCH(Filter!$B$9,$F915&amp;" "&amp;$G915)))),COUNTIF($O$6:$O914,"&gt;0")+1,0))</f>
        <v>909</v>
      </c>
    </row>
    <row r="916" customFormat="false" ht="51" hidden="false" customHeight="true" outlineLevel="0" collapsed="false">
      <c r="B916" s="30" t="s">
        <v>4451</v>
      </c>
      <c r="C916" s="30" t="s">
        <v>40</v>
      </c>
      <c r="D916" s="30" t="s">
        <v>4452</v>
      </c>
      <c r="E916" s="30" t="s">
        <v>155</v>
      </c>
      <c r="F916" s="30" t="s">
        <v>4453</v>
      </c>
      <c r="G916" s="30" t="s">
        <v>4454</v>
      </c>
      <c r="H916" s="30" t="s">
        <v>4425</v>
      </c>
      <c r="I916" s="30" t="s">
        <v>476</v>
      </c>
      <c r="J916" s="30" t="s">
        <v>476</v>
      </c>
      <c r="K916" s="31" t="s">
        <v>47</v>
      </c>
      <c r="L916" s="32"/>
      <c r="M916" s="33"/>
      <c r="N916" s="30" t="s">
        <v>48</v>
      </c>
      <c r="O916" s="1" t="n">
        <f aca="false">IF($B916="",0,IF(AND(OR(Filter!$B$5="(alle)",$N916=Filter!$B$5),OR(Filter!$E$5="(alle)",$K916=Filter!$E$5),OR(Filter!$H$5="(alle)",$C916=Filter!$H$5),OR(Filter!$B$7="(alle)",$E916=Filter!$B$7),OR(Filter!$E$7="(alle)",ISNUMBER(SEARCH(Filter!$E$7,$J916))),OR(Filter!$H$7="(alle)",ISNUMBER(SEARCH(Filter!$H$7,$I916))),OR(Filter!$B$9="",ISNUMBER(SEARCH(Filter!$B$9,$F916&amp;" "&amp;$G916)))),COUNTIF($O$6:$O915,"&gt;0")+1,0))</f>
        <v>910</v>
      </c>
    </row>
    <row r="917" customFormat="false" ht="51" hidden="false" customHeight="true" outlineLevel="0" collapsed="false">
      <c r="B917" s="30" t="s">
        <v>4455</v>
      </c>
      <c r="C917" s="30" t="s">
        <v>40</v>
      </c>
      <c r="D917" s="30" t="s">
        <v>4456</v>
      </c>
      <c r="E917" s="30" t="s">
        <v>155</v>
      </c>
      <c r="F917" s="30" t="s">
        <v>4457</v>
      </c>
      <c r="G917" s="30" t="s">
        <v>4458</v>
      </c>
      <c r="H917" s="30" t="s">
        <v>4425</v>
      </c>
      <c r="I917" s="30" t="s">
        <v>476</v>
      </c>
      <c r="J917" s="30" t="s">
        <v>476</v>
      </c>
      <c r="K917" s="31" t="s">
        <v>47</v>
      </c>
      <c r="L917" s="32"/>
      <c r="M917" s="33"/>
      <c r="N917" s="30" t="s">
        <v>48</v>
      </c>
      <c r="O917" s="1" t="n">
        <f aca="false">IF($B917="",0,IF(AND(OR(Filter!$B$5="(alle)",$N917=Filter!$B$5),OR(Filter!$E$5="(alle)",$K917=Filter!$E$5),OR(Filter!$H$5="(alle)",$C917=Filter!$H$5),OR(Filter!$B$7="(alle)",$E917=Filter!$B$7),OR(Filter!$E$7="(alle)",ISNUMBER(SEARCH(Filter!$E$7,$J917))),OR(Filter!$H$7="(alle)",ISNUMBER(SEARCH(Filter!$H$7,$I917))),OR(Filter!$B$9="",ISNUMBER(SEARCH(Filter!$B$9,$F917&amp;" "&amp;$G917)))),COUNTIF($O$6:$O916,"&gt;0")+1,0))</f>
        <v>911</v>
      </c>
    </row>
    <row r="918" customFormat="false" ht="51" hidden="false" customHeight="true" outlineLevel="0" collapsed="false">
      <c r="B918" s="30" t="s">
        <v>4459</v>
      </c>
      <c r="C918" s="30" t="s">
        <v>40</v>
      </c>
      <c r="D918" s="30" t="s">
        <v>4460</v>
      </c>
      <c r="E918" s="30" t="s">
        <v>155</v>
      </c>
      <c r="F918" s="30" t="s">
        <v>4461</v>
      </c>
      <c r="G918" s="30" t="s">
        <v>4462</v>
      </c>
      <c r="H918" s="30" t="s">
        <v>4425</v>
      </c>
      <c r="I918" s="30" t="s">
        <v>476</v>
      </c>
      <c r="J918" s="30" t="s">
        <v>476</v>
      </c>
      <c r="K918" s="31" t="s">
        <v>47</v>
      </c>
      <c r="L918" s="32"/>
      <c r="M918" s="33"/>
      <c r="N918" s="30" t="s">
        <v>48</v>
      </c>
      <c r="O918" s="1" t="n">
        <f aca="false">IF($B918="",0,IF(AND(OR(Filter!$B$5="(alle)",$N918=Filter!$B$5),OR(Filter!$E$5="(alle)",$K918=Filter!$E$5),OR(Filter!$H$5="(alle)",$C918=Filter!$H$5),OR(Filter!$B$7="(alle)",$E918=Filter!$B$7),OR(Filter!$E$7="(alle)",ISNUMBER(SEARCH(Filter!$E$7,$J918))),OR(Filter!$H$7="(alle)",ISNUMBER(SEARCH(Filter!$H$7,$I918))),OR(Filter!$B$9="",ISNUMBER(SEARCH(Filter!$B$9,$F918&amp;" "&amp;$G918)))),COUNTIF($O$6:$O917,"&gt;0")+1,0))</f>
        <v>912</v>
      </c>
    </row>
    <row r="919" customFormat="false" ht="51" hidden="false" customHeight="true" outlineLevel="0" collapsed="false">
      <c r="B919" s="30" t="s">
        <v>4463</v>
      </c>
      <c r="C919" s="30" t="s">
        <v>40</v>
      </c>
      <c r="D919" s="30" t="s">
        <v>4464</v>
      </c>
      <c r="E919" s="30" t="s">
        <v>361</v>
      </c>
      <c r="F919" s="30" t="s">
        <v>4465</v>
      </c>
      <c r="G919" s="30" t="s">
        <v>4466</v>
      </c>
      <c r="H919" s="30" t="s">
        <v>4430</v>
      </c>
      <c r="I919" s="30" t="s">
        <v>3700</v>
      </c>
      <c r="J919" s="30" t="s">
        <v>159</v>
      </c>
      <c r="K919" s="31" t="s">
        <v>47</v>
      </c>
      <c r="L919" s="32"/>
      <c r="M919" s="33"/>
      <c r="N919" s="30" t="s">
        <v>48</v>
      </c>
      <c r="O919" s="1" t="n">
        <f aca="false">IF($B919="",0,IF(AND(OR(Filter!$B$5="(alle)",$N919=Filter!$B$5),OR(Filter!$E$5="(alle)",$K919=Filter!$E$5),OR(Filter!$H$5="(alle)",$C919=Filter!$H$5),OR(Filter!$B$7="(alle)",$E919=Filter!$B$7),OR(Filter!$E$7="(alle)",ISNUMBER(SEARCH(Filter!$E$7,$J919))),OR(Filter!$H$7="(alle)",ISNUMBER(SEARCH(Filter!$H$7,$I919))),OR(Filter!$B$9="",ISNUMBER(SEARCH(Filter!$B$9,$F919&amp;" "&amp;$G919)))),COUNTIF($O$6:$O918,"&gt;0")+1,0))</f>
        <v>913</v>
      </c>
    </row>
    <row r="920" customFormat="false" ht="51" hidden="false" customHeight="true" outlineLevel="0" collapsed="false">
      <c r="B920" s="30" t="s">
        <v>4467</v>
      </c>
      <c r="C920" s="30" t="s">
        <v>40</v>
      </c>
      <c r="D920" s="30" t="s">
        <v>4468</v>
      </c>
      <c r="E920" s="30" t="s">
        <v>361</v>
      </c>
      <c r="F920" s="30" t="s">
        <v>4469</v>
      </c>
      <c r="G920" s="30" t="s">
        <v>4470</v>
      </c>
      <c r="H920" s="30" t="s">
        <v>4471</v>
      </c>
      <c r="I920" s="30" t="s">
        <v>306</v>
      </c>
      <c r="J920" s="30" t="s">
        <v>206</v>
      </c>
      <c r="K920" s="31" t="s">
        <v>47</v>
      </c>
      <c r="L920" s="32"/>
      <c r="M920" s="33"/>
      <c r="N920" s="30" t="s">
        <v>48</v>
      </c>
      <c r="O920" s="1" t="n">
        <f aca="false">IF($B920="",0,IF(AND(OR(Filter!$B$5="(alle)",$N920=Filter!$B$5),OR(Filter!$E$5="(alle)",$K920=Filter!$E$5),OR(Filter!$H$5="(alle)",$C920=Filter!$H$5),OR(Filter!$B$7="(alle)",$E920=Filter!$B$7),OR(Filter!$E$7="(alle)",ISNUMBER(SEARCH(Filter!$E$7,$J920))),OR(Filter!$H$7="(alle)",ISNUMBER(SEARCH(Filter!$H$7,$I920))),OR(Filter!$B$9="",ISNUMBER(SEARCH(Filter!$B$9,$F920&amp;" "&amp;$G920)))),COUNTIF($O$6:$O919,"&gt;0")+1,0))</f>
        <v>914</v>
      </c>
    </row>
    <row r="921" customFormat="false" ht="51" hidden="false" customHeight="true" outlineLevel="0" collapsed="false">
      <c r="B921" s="30" t="s">
        <v>4472</v>
      </c>
      <c r="C921" s="30" t="s">
        <v>40</v>
      </c>
      <c r="D921" s="30" t="s">
        <v>4473</v>
      </c>
      <c r="E921" s="30" t="s">
        <v>94</v>
      </c>
      <c r="F921" s="30" t="s">
        <v>4474</v>
      </c>
      <c r="G921" s="30" t="s">
        <v>4475</v>
      </c>
      <c r="H921" s="30" t="s">
        <v>4471</v>
      </c>
      <c r="I921" s="30" t="s">
        <v>45</v>
      </c>
      <c r="J921" s="30" t="s">
        <v>601</v>
      </c>
      <c r="K921" s="31" t="s">
        <v>47</v>
      </c>
      <c r="L921" s="32"/>
      <c r="M921" s="33"/>
      <c r="N921" s="30" t="s">
        <v>48</v>
      </c>
      <c r="O921" s="1" t="n">
        <f aca="false">IF($B921="",0,IF(AND(OR(Filter!$B$5="(alle)",$N921=Filter!$B$5),OR(Filter!$E$5="(alle)",$K921=Filter!$E$5),OR(Filter!$H$5="(alle)",$C921=Filter!$H$5),OR(Filter!$B$7="(alle)",$E921=Filter!$B$7),OR(Filter!$E$7="(alle)",ISNUMBER(SEARCH(Filter!$E$7,$J921))),OR(Filter!$H$7="(alle)",ISNUMBER(SEARCH(Filter!$H$7,$I921))),OR(Filter!$B$9="",ISNUMBER(SEARCH(Filter!$B$9,$F921&amp;" "&amp;$G921)))),COUNTIF($O$6:$O920,"&gt;0")+1,0))</f>
        <v>915</v>
      </c>
    </row>
    <row r="922" customFormat="false" ht="51" hidden="false" customHeight="true" outlineLevel="0" collapsed="false">
      <c r="B922" s="30" t="s">
        <v>4476</v>
      </c>
      <c r="C922" s="30" t="s">
        <v>40</v>
      </c>
      <c r="D922" s="30" t="s">
        <v>4477</v>
      </c>
      <c r="E922" s="30" t="s">
        <v>102</v>
      </c>
      <c r="F922" s="30" t="s">
        <v>4478</v>
      </c>
      <c r="G922" s="30" t="s">
        <v>4479</v>
      </c>
      <c r="H922" s="30" t="s">
        <v>4471</v>
      </c>
      <c r="I922" s="30" t="s">
        <v>45</v>
      </c>
      <c r="J922" s="30" t="s">
        <v>70</v>
      </c>
      <c r="K922" s="31" t="s">
        <v>47</v>
      </c>
      <c r="L922" s="32"/>
      <c r="M922" s="33"/>
      <c r="N922" s="30" t="s">
        <v>48</v>
      </c>
      <c r="O922" s="1" t="n">
        <f aca="false">IF($B922="",0,IF(AND(OR(Filter!$B$5="(alle)",$N922=Filter!$B$5),OR(Filter!$E$5="(alle)",$K922=Filter!$E$5),OR(Filter!$H$5="(alle)",$C922=Filter!$H$5),OR(Filter!$B$7="(alle)",$E922=Filter!$B$7),OR(Filter!$E$7="(alle)",ISNUMBER(SEARCH(Filter!$E$7,$J922))),OR(Filter!$H$7="(alle)",ISNUMBER(SEARCH(Filter!$H$7,$I922))),OR(Filter!$B$9="",ISNUMBER(SEARCH(Filter!$B$9,$F922&amp;" "&amp;$G922)))),COUNTIF($O$6:$O921,"&gt;0")+1,0))</f>
        <v>916</v>
      </c>
    </row>
    <row r="923" customFormat="false" ht="51" hidden="false" customHeight="true" outlineLevel="0" collapsed="false">
      <c r="B923" s="30" t="s">
        <v>4480</v>
      </c>
      <c r="C923" s="30" t="s">
        <v>40</v>
      </c>
      <c r="D923" s="30" t="s">
        <v>4481</v>
      </c>
      <c r="E923" s="30" t="s">
        <v>94</v>
      </c>
      <c r="F923" s="30" t="s">
        <v>4482</v>
      </c>
      <c r="G923" s="30" t="s">
        <v>4483</v>
      </c>
      <c r="H923" s="30" t="s">
        <v>4484</v>
      </c>
      <c r="I923" s="30" t="s">
        <v>45</v>
      </c>
      <c r="J923" s="30" t="s">
        <v>265</v>
      </c>
      <c r="K923" s="31" t="s">
        <v>47</v>
      </c>
      <c r="L923" s="32"/>
      <c r="M923" s="33"/>
      <c r="N923" s="30" t="s">
        <v>48</v>
      </c>
      <c r="O923" s="1" t="n">
        <f aca="false">IF($B923="",0,IF(AND(OR(Filter!$B$5="(alle)",$N923=Filter!$B$5),OR(Filter!$E$5="(alle)",$K923=Filter!$E$5),OR(Filter!$H$5="(alle)",$C923=Filter!$H$5),OR(Filter!$B$7="(alle)",$E923=Filter!$B$7),OR(Filter!$E$7="(alle)",ISNUMBER(SEARCH(Filter!$E$7,$J923))),OR(Filter!$H$7="(alle)",ISNUMBER(SEARCH(Filter!$H$7,$I923))),OR(Filter!$B$9="",ISNUMBER(SEARCH(Filter!$B$9,$F923&amp;" "&amp;$G923)))),COUNTIF($O$6:$O922,"&gt;0")+1,0))</f>
        <v>917</v>
      </c>
    </row>
    <row r="924" customFormat="false" ht="51" hidden="false" customHeight="true" outlineLevel="0" collapsed="false">
      <c r="B924" s="30" t="s">
        <v>4485</v>
      </c>
      <c r="C924" s="30" t="s">
        <v>40</v>
      </c>
      <c r="D924" s="30" t="s">
        <v>4486</v>
      </c>
      <c r="E924" s="30" t="s">
        <v>94</v>
      </c>
      <c r="F924" s="30" t="s">
        <v>4487</v>
      </c>
      <c r="G924" s="30" t="s">
        <v>4488</v>
      </c>
      <c r="H924" s="30" t="s">
        <v>4484</v>
      </c>
      <c r="I924" s="30" t="s">
        <v>3847</v>
      </c>
      <c r="J924" s="30" t="s">
        <v>2548</v>
      </c>
      <c r="K924" s="31" t="s">
        <v>47</v>
      </c>
      <c r="L924" s="32"/>
      <c r="M924" s="33"/>
      <c r="N924" s="30" t="s">
        <v>48</v>
      </c>
      <c r="O924" s="1" t="n">
        <f aca="false">IF($B924="",0,IF(AND(OR(Filter!$B$5="(alle)",$N924=Filter!$B$5),OR(Filter!$E$5="(alle)",$K924=Filter!$E$5),OR(Filter!$H$5="(alle)",$C924=Filter!$H$5),OR(Filter!$B$7="(alle)",$E924=Filter!$B$7),OR(Filter!$E$7="(alle)",ISNUMBER(SEARCH(Filter!$E$7,$J924))),OR(Filter!$H$7="(alle)",ISNUMBER(SEARCH(Filter!$H$7,$I924))),OR(Filter!$B$9="",ISNUMBER(SEARCH(Filter!$B$9,$F924&amp;" "&amp;$G924)))),COUNTIF($O$6:$O923,"&gt;0")+1,0))</f>
        <v>918</v>
      </c>
    </row>
    <row r="925" customFormat="false" ht="51" hidden="false" customHeight="true" outlineLevel="0" collapsed="false">
      <c r="B925" s="30" t="s">
        <v>4489</v>
      </c>
      <c r="C925" s="30" t="s">
        <v>40</v>
      </c>
      <c r="D925" s="30" t="s">
        <v>4490</v>
      </c>
      <c r="E925" s="30" t="s">
        <v>94</v>
      </c>
      <c r="F925" s="30" t="s">
        <v>4491</v>
      </c>
      <c r="G925" s="30" t="s">
        <v>4492</v>
      </c>
      <c r="H925" s="30" t="s">
        <v>4484</v>
      </c>
      <c r="I925" s="30" t="s">
        <v>3847</v>
      </c>
      <c r="J925" s="30" t="s">
        <v>4493</v>
      </c>
      <c r="K925" s="31" t="s">
        <v>47</v>
      </c>
      <c r="L925" s="32"/>
      <c r="M925" s="33"/>
      <c r="N925" s="30" t="s">
        <v>48</v>
      </c>
      <c r="O925" s="1" t="n">
        <f aca="false">IF($B925="",0,IF(AND(OR(Filter!$B$5="(alle)",$N925=Filter!$B$5),OR(Filter!$E$5="(alle)",$K925=Filter!$E$5),OR(Filter!$H$5="(alle)",$C925=Filter!$H$5),OR(Filter!$B$7="(alle)",$E925=Filter!$B$7),OR(Filter!$E$7="(alle)",ISNUMBER(SEARCH(Filter!$E$7,$J925))),OR(Filter!$H$7="(alle)",ISNUMBER(SEARCH(Filter!$H$7,$I925))),OR(Filter!$B$9="",ISNUMBER(SEARCH(Filter!$B$9,$F925&amp;" "&amp;$G925)))),COUNTIF($O$6:$O924,"&gt;0")+1,0))</f>
        <v>919</v>
      </c>
    </row>
    <row r="926" customFormat="false" ht="51" hidden="false" customHeight="true" outlineLevel="0" collapsed="false">
      <c r="B926" s="30" t="s">
        <v>4494</v>
      </c>
      <c r="C926" s="30" t="s">
        <v>40</v>
      </c>
      <c r="D926" s="30" t="s">
        <v>4495</v>
      </c>
      <c r="E926" s="30" t="s">
        <v>102</v>
      </c>
      <c r="F926" s="30" t="s">
        <v>4496</v>
      </c>
      <c r="G926" s="30" t="s">
        <v>4497</v>
      </c>
      <c r="H926" s="30" t="s">
        <v>4498</v>
      </c>
      <c r="I926" s="30" t="s">
        <v>45</v>
      </c>
      <c r="J926" s="30" t="s">
        <v>70</v>
      </c>
      <c r="K926" s="31" t="s">
        <v>47</v>
      </c>
      <c r="L926" s="32"/>
      <c r="M926" s="33"/>
      <c r="N926" s="30" t="s">
        <v>48</v>
      </c>
      <c r="O926" s="1" t="n">
        <f aca="false">IF($B926="",0,IF(AND(OR(Filter!$B$5="(alle)",$N926=Filter!$B$5),OR(Filter!$E$5="(alle)",$K926=Filter!$E$5),OR(Filter!$H$5="(alle)",$C926=Filter!$H$5),OR(Filter!$B$7="(alle)",$E926=Filter!$B$7),OR(Filter!$E$7="(alle)",ISNUMBER(SEARCH(Filter!$E$7,$J926))),OR(Filter!$H$7="(alle)",ISNUMBER(SEARCH(Filter!$H$7,$I926))),OR(Filter!$B$9="",ISNUMBER(SEARCH(Filter!$B$9,$F926&amp;" "&amp;$G926)))),COUNTIF($O$6:$O925,"&gt;0")+1,0))</f>
        <v>920</v>
      </c>
    </row>
    <row r="927" customFormat="false" ht="51" hidden="false" customHeight="true" outlineLevel="0" collapsed="false">
      <c r="B927" s="30" t="s">
        <v>4499</v>
      </c>
      <c r="C927" s="30" t="s">
        <v>40</v>
      </c>
      <c r="D927" s="30" t="s">
        <v>4500</v>
      </c>
      <c r="E927" s="30" t="s">
        <v>102</v>
      </c>
      <c r="F927" s="30" t="s">
        <v>4501</v>
      </c>
      <c r="G927" s="30" t="s">
        <v>4502</v>
      </c>
      <c r="H927" s="30" t="s">
        <v>4498</v>
      </c>
      <c r="I927" s="30" t="s">
        <v>45</v>
      </c>
      <c r="J927" s="30" t="s">
        <v>70</v>
      </c>
      <c r="K927" s="31" t="s">
        <v>47</v>
      </c>
      <c r="L927" s="32"/>
      <c r="M927" s="33"/>
      <c r="N927" s="30" t="s">
        <v>48</v>
      </c>
      <c r="O927" s="1" t="n">
        <f aca="false">IF($B927="",0,IF(AND(OR(Filter!$B$5="(alle)",$N927=Filter!$B$5),OR(Filter!$E$5="(alle)",$K927=Filter!$E$5),OR(Filter!$H$5="(alle)",$C927=Filter!$H$5),OR(Filter!$B$7="(alle)",$E927=Filter!$B$7),OR(Filter!$E$7="(alle)",ISNUMBER(SEARCH(Filter!$E$7,$J927))),OR(Filter!$H$7="(alle)",ISNUMBER(SEARCH(Filter!$H$7,$I927))),OR(Filter!$B$9="",ISNUMBER(SEARCH(Filter!$B$9,$F927&amp;" "&amp;$G927)))),COUNTIF($O$6:$O926,"&gt;0")+1,0))</f>
        <v>921</v>
      </c>
    </row>
    <row r="928" customFormat="false" ht="51" hidden="false" customHeight="true" outlineLevel="0" collapsed="false">
      <c r="B928" s="30" t="s">
        <v>4503</v>
      </c>
      <c r="C928" s="30" t="s">
        <v>40</v>
      </c>
      <c r="D928" s="30" t="s">
        <v>4504</v>
      </c>
      <c r="E928" s="30" t="s">
        <v>102</v>
      </c>
      <c r="F928" s="30" t="s">
        <v>4505</v>
      </c>
      <c r="G928" s="30" t="s">
        <v>4505</v>
      </c>
      <c r="H928" s="30" t="s">
        <v>4498</v>
      </c>
      <c r="I928" s="30" t="s">
        <v>45</v>
      </c>
      <c r="J928" s="30" t="s">
        <v>70</v>
      </c>
      <c r="K928" s="31" t="s">
        <v>47</v>
      </c>
      <c r="L928" s="32"/>
      <c r="M928" s="33"/>
      <c r="N928" s="30" t="s">
        <v>48</v>
      </c>
      <c r="O928" s="1" t="n">
        <f aca="false">IF($B928="",0,IF(AND(OR(Filter!$B$5="(alle)",$N928=Filter!$B$5),OR(Filter!$E$5="(alle)",$K928=Filter!$E$5),OR(Filter!$H$5="(alle)",$C928=Filter!$H$5),OR(Filter!$B$7="(alle)",$E928=Filter!$B$7),OR(Filter!$E$7="(alle)",ISNUMBER(SEARCH(Filter!$E$7,$J928))),OR(Filter!$H$7="(alle)",ISNUMBER(SEARCH(Filter!$H$7,$I928))),OR(Filter!$B$9="",ISNUMBER(SEARCH(Filter!$B$9,$F928&amp;" "&amp;$G928)))),COUNTIF($O$6:$O927,"&gt;0")+1,0))</f>
        <v>922</v>
      </c>
    </row>
    <row r="929" customFormat="false" ht="51" hidden="false" customHeight="true" outlineLevel="0" collapsed="false">
      <c r="B929" s="30" t="s">
        <v>4506</v>
      </c>
      <c r="C929" s="30" t="s">
        <v>40</v>
      </c>
      <c r="D929" s="30" t="s">
        <v>4507</v>
      </c>
      <c r="E929" s="30" t="s">
        <v>102</v>
      </c>
      <c r="F929" s="30" t="s">
        <v>4508</v>
      </c>
      <c r="G929" s="30" t="s">
        <v>4509</v>
      </c>
      <c r="H929" s="30" t="s">
        <v>4498</v>
      </c>
      <c r="I929" s="30" t="s">
        <v>45</v>
      </c>
      <c r="J929" s="30" t="s">
        <v>70</v>
      </c>
      <c r="K929" s="31" t="s">
        <v>47</v>
      </c>
      <c r="L929" s="32"/>
      <c r="M929" s="33"/>
      <c r="N929" s="30" t="s">
        <v>48</v>
      </c>
      <c r="O929" s="1" t="n">
        <f aca="false">IF($B929="",0,IF(AND(OR(Filter!$B$5="(alle)",$N929=Filter!$B$5),OR(Filter!$E$5="(alle)",$K929=Filter!$E$5),OR(Filter!$H$5="(alle)",$C929=Filter!$H$5),OR(Filter!$B$7="(alle)",$E929=Filter!$B$7),OR(Filter!$E$7="(alle)",ISNUMBER(SEARCH(Filter!$E$7,$J929))),OR(Filter!$H$7="(alle)",ISNUMBER(SEARCH(Filter!$H$7,$I929))),OR(Filter!$B$9="",ISNUMBER(SEARCH(Filter!$B$9,$F929&amp;" "&amp;$G929)))),COUNTIF($O$6:$O928,"&gt;0")+1,0))</f>
        <v>923</v>
      </c>
    </row>
    <row r="930" customFormat="false" ht="51" hidden="false" customHeight="true" outlineLevel="0" collapsed="false">
      <c r="B930" s="30" t="s">
        <v>4510</v>
      </c>
      <c r="C930" s="30" t="s">
        <v>40</v>
      </c>
      <c r="D930" s="30" t="s">
        <v>4511</v>
      </c>
      <c r="E930" s="30" t="s">
        <v>102</v>
      </c>
      <c r="F930" s="30" t="s">
        <v>4512</v>
      </c>
      <c r="G930" s="30" t="s">
        <v>4513</v>
      </c>
      <c r="H930" s="30" t="s">
        <v>4498</v>
      </c>
      <c r="I930" s="30" t="s">
        <v>45</v>
      </c>
      <c r="J930" s="30" t="s">
        <v>70</v>
      </c>
      <c r="K930" s="31" t="s">
        <v>47</v>
      </c>
      <c r="L930" s="32"/>
      <c r="M930" s="33"/>
      <c r="N930" s="30" t="s">
        <v>48</v>
      </c>
      <c r="O930" s="1" t="n">
        <f aca="false">IF($B930="",0,IF(AND(OR(Filter!$B$5="(alle)",$N930=Filter!$B$5),OR(Filter!$E$5="(alle)",$K930=Filter!$E$5),OR(Filter!$H$5="(alle)",$C930=Filter!$H$5),OR(Filter!$B$7="(alle)",$E930=Filter!$B$7),OR(Filter!$E$7="(alle)",ISNUMBER(SEARCH(Filter!$E$7,$J930))),OR(Filter!$H$7="(alle)",ISNUMBER(SEARCH(Filter!$H$7,$I930))),OR(Filter!$B$9="",ISNUMBER(SEARCH(Filter!$B$9,$F930&amp;" "&amp;$G930)))),COUNTIF($O$6:$O929,"&gt;0")+1,0))</f>
        <v>924</v>
      </c>
    </row>
    <row r="931" customFormat="false" ht="51" hidden="false" customHeight="true" outlineLevel="0" collapsed="false">
      <c r="B931" s="30" t="s">
        <v>4514</v>
      </c>
      <c r="C931" s="30" t="s">
        <v>40</v>
      </c>
      <c r="D931" s="30" t="s">
        <v>4515</v>
      </c>
      <c r="E931" s="30" t="s">
        <v>102</v>
      </c>
      <c r="F931" s="30" t="s">
        <v>4516</v>
      </c>
      <c r="G931" s="30" t="s">
        <v>4517</v>
      </c>
      <c r="H931" s="30" t="s">
        <v>4498</v>
      </c>
      <c r="I931" s="30" t="s">
        <v>45</v>
      </c>
      <c r="J931" s="30" t="s">
        <v>70</v>
      </c>
      <c r="K931" s="31" t="s">
        <v>47</v>
      </c>
      <c r="L931" s="32"/>
      <c r="M931" s="33"/>
      <c r="N931" s="30" t="s">
        <v>48</v>
      </c>
      <c r="O931" s="1" t="n">
        <f aca="false">IF($B931="",0,IF(AND(OR(Filter!$B$5="(alle)",$N931=Filter!$B$5),OR(Filter!$E$5="(alle)",$K931=Filter!$E$5),OR(Filter!$H$5="(alle)",$C931=Filter!$H$5),OR(Filter!$B$7="(alle)",$E931=Filter!$B$7),OR(Filter!$E$7="(alle)",ISNUMBER(SEARCH(Filter!$E$7,$J931))),OR(Filter!$H$7="(alle)",ISNUMBER(SEARCH(Filter!$H$7,$I931))),OR(Filter!$B$9="",ISNUMBER(SEARCH(Filter!$B$9,$F931&amp;" "&amp;$G931)))),COUNTIF($O$6:$O930,"&gt;0")+1,0))</f>
        <v>925</v>
      </c>
    </row>
    <row r="932" customFormat="false" ht="51" hidden="false" customHeight="true" outlineLevel="0" collapsed="false">
      <c r="B932" s="30" t="s">
        <v>4518</v>
      </c>
      <c r="C932" s="30" t="s">
        <v>40</v>
      </c>
      <c r="D932" s="30" t="s">
        <v>4519</v>
      </c>
      <c r="E932" s="30" t="s">
        <v>102</v>
      </c>
      <c r="F932" s="30" t="s">
        <v>4520</v>
      </c>
      <c r="G932" s="30" t="s">
        <v>4521</v>
      </c>
      <c r="H932" s="30" t="s">
        <v>4498</v>
      </c>
      <c r="I932" s="30" t="s">
        <v>45</v>
      </c>
      <c r="J932" s="30" t="s">
        <v>70</v>
      </c>
      <c r="K932" s="31" t="s">
        <v>47</v>
      </c>
      <c r="L932" s="32"/>
      <c r="M932" s="33"/>
      <c r="N932" s="30" t="s">
        <v>48</v>
      </c>
      <c r="O932" s="1" t="n">
        <f aca="false">IF($B932="",0,IF(AND(OR(Filter!$B$5="(alle)",$N932=Filter!$B$5),OR(Filter!$E$5="(alle)",$K932=Filter!$E$5),OR(Filter!$H$5="(alle)",$C932=Filter!$H$5),OR(Filter!$B$7="(alle)",$E932=Filter!$B$7),OR(Filter!$E$7="(alle)",ISNUMBER(SEARCH(Filter!$E$7,$J932))),OR(Filter!$H$7="(alle)",ISNUMBER(SEARCH(Filter!$H$7,$I932))),OR(Filter!$B$9="",ISNUMBER(SEARCH(Filter!$B$9,$F932&amp;" "&amp;$G932)))),COUNTIF($O$6:$O931,"&gt;0")+1,0))</f>
        <v>926</v>
      </c>
    </row>
    <row r="933" customFormat="false" ht="51" hidden="false" customHeight="true" outlineLevel="0" collapsed="false">
      <c r="B933" s="30" t="s">
        <v>4522</v>
      </c>
      <c r="C933" s="30" t="s">
        <v>40</v>
      </c>
      <c r="D933" s="30" t="s">
        <v>4523</v>
      </c>
      <c r="E933" s="30" t="s">
        <v>344</v>
      </c>
      <c r="F933" s="30" t="s">
        <v>4524</v>
      </c>
      <c r="G933" s="30" t="s">
        <v>4525</v>
      </c>
      <c r="H933" s="30" t="s">
        <v>4526</v>
      </c>
      <c r="I933" s="30" t="s">
        <v>306</v>
      </c>
      <c r="J933" s="30" t="s">
        <v>206</v>
      </c>
      <c r="K933" s="31" t="s">
        <v>47</v>
      </c>
      <c r="L933" s="32"/>
      <c r="M933" s="33"/>
      <c r="N933" s="30" t="s">
        <v>48</v>
      </c>
      <c r="O933" s="1" t="n">
        <f aca="false">IF($B933="",0,IF(AND(OR(Filter!$B$5="(alle)",$N933=Filter!$B$5),OR(Filter!$E$5="(alle)",$K933=Filter!$E$5),OR(Filter!$H$5="(alle)",$C933=Filter!$H$5),OR(Filter!$B$7="(alle)",$E933=Filter!$B$7),OR(Filter!$E$7="(alle)",ISNUMBER(SEARCH(Filter!$E$7,$J933))),OR(Filter!$H$7="(alle)",ISNUMBER(SEARCH(Filter!$H$7,$I933))),OR(Filter!$B$9="",ISNUMBER(SEARCH(Filter!$B$9,$F933&amp;" "&amp;$G933)))),COUNTIF($O$6:$O932,"&gt;0")+1,0))</f>
        <v>927</v>
      </c>
    </row>
    <row r="934" customFormat="false" ht="51" hidden="false" customHeight="true" outlineLevel="0" collapsed="false">
      <c r="B934" s="30" t="s">
        <v>4527</v>
      </c>
      <c r="C934" s="30" t="s">
        <v>40</v>
      </c>
      <c r="D934" s="30" t="s">
        <v>4528</v>
      </c>
      <c r="E934" s="30" t="s">
        <v>361</v>
      </c>
      <c r="F934" s="30" t="s">
        <v>4529</v>
      </c>
      <c r="G934" s="30" t="s">
        <v>4530</v>
      </c>
      <c r="H934" s="30" t="s">
        <v>4526</v>
      </c>
      <c r="I934" s="30" t="s">
        <v>45</v>
      </c>
      <c r="J934" s="30" t="s">
        <v>46</v>
      </c>
      <c r="K934" s="31" t="s">
        <v>47</v>
      </c>
      <c r="L934" s="32"/>
      <c r="M934" s="33"/>
      <c r="N934" s="30" t="s">
        <v>48</v>
      </c>
      <c r="O934" s="1" t="n">
        <f aca="false">IF($B934="",0,IF(AND(OR(Filter!$B$5="(alle)",$N934=Filter!$B$5),OR(Filter!$E$5="(alle)",$K934=Filter!$E$5),OR(Filter!$H$5="(alle)",$C934=Filter!$H$5),OR(Filter!$B$7="(alle)",$E934=Filter!$B$7),OR(Filter!$E$7="(alle)",ISNUMBER(SEARCH(Filter!$E$7,$J934))),OR(Filter!$H$7="(alle)",ISNUMBER(SEARCH(Filter!$H$7,$I934))),OR(Filter!$B$9="",ISNUMBER(SEARCH(Filter!$B$9,$F934&amp;" "&amp;$G934)))),COUNTIF($O$6:$O933,"&gt;0")+1,0))</f>
        <v>928</v>
      </c>
    </row>
    <row r="935" customFormat="false" ht="51" hidden="false" customHeight="true" outlineLevel="0" collapsed="false">
      <c r="B935" s="30" t="s">
        <v>4531</v>
      </c>
      <c r="C935" s="30" t="s">
        <v>40</v>
      </c>
      <c r="D935" s="30" t="s">
        <v>4532</v>
      </c>
      <c r="E935" s="30" t="s">
        <v>344</v>
      </c>
      <c r="F935" s="30" t="s">
        <v>4533</v>
      </c>
      <c r="G935" s="30" t="s">
        <v>4534</v>
      </c>
      <c r="H935" s="30" t="s">
        <v>4526</v>
      </c>
      <c r="I935" s="30" t="s">
        <v>306</v>
      </c>
      <c r="J935" s="30" t="s">
        <v>206</v>
      </c>
      <c r="K935" s="31" t="s">
        <v>47</v>
      </c>
      <c r="L935" s="32"/>
      <c r="M935" s="33"/>
      <c r="N935" s="30" t="s">
        <v>48</v>
      </c>
      <c r="O935" s="1" t="n">
        <f aca="false">IF($B935="",0,IF(AND(OR(Filter!$B$5="(alle)",$N935=Filter!$B$5),OR(Filter!$E$5="(alle)",$K935=Filter!$E$5),OR(Filter!$H$5="(alle)",$C935=Filter!$H$5),OR(Filter!$B$7="(alle)",$E935=Filter!$B$7),OR(Filter!$E$7="(alle)",ISNUMBER(SEARCH(Filter!$E$7,$J935))),OR(Filter!$H$7="(alle)",ISNUMBER(SEARCH(Filter!$H$7,$I935))),OR(Filter!$B$9="",ISNUMBER(SEARCH(Filter!$B$9,$F935&amp;" "&amp;$G935)))),COUNTIF($O$6:$O934,"&gt;0")+1,0))</f>
        <v>929</v>
      </c>
    </row>
    <row r="936" customFormat="false" ht="51" hidden="false" customHeight="true" outlineLevel="0" collapsed="false">
      <c r="B936" s="30" t="s">
        <v>4535</v>
      </c>
      <c r="C936" s="30" t="s">
        <v>40</v>
      </c>
      <c r="D936" s="30" t="s">
        <v>4536</v>
      </c>
      <c r="E936" s="30" t="s">
        <v>361</v>
      </c>
      <c r="F936" s="30" t="s">
        <v>4537</v>
      </c>
      <c r="G936" s="30" t="s">
        <v>4538</v>
      </c>
      <c r="H936" s="30" t="s">
        <v>4526</v>
      </c>
      <c r="I936" s="30" t="s">
        <v>306</v>
      </c>
      <c r="J936" s="30" t="s">
        <v>206</v>
      </c>
      <c r="K936" s="31" t="s">
        <v>47</v>
      </c>
      <c r="L936" s="32"/>
      <c r="M936" s="33"/>
      <c r="N936" s="30" t="s">
        <v>48</v>
      </c>
      <c r="O936" s="1" t="n">
        <f aca="false">IF($B936="",0,IF(AND(OR(Filter!$B$5="(alle)",$N936=Filter!$B$5),OR(Filter!$E$5="(alle)",$K936=Filter!$E$5),OR(Filter!$H$5="(alle)",$C936=Filter!$H$5),OR(Filter!$B$7="(alle)",$E936=Filter!$B$7),OR(Filter!$E$7="(alle)",ISNUMBER(SEARCH(Filter!$E$7,$J936))),OR(Filter!$H$7="(alle)",ISNUMBER(SEARCH(Filter!$H$7,$I936))),OR(Filter!$B$9="",ISNUMBER(SEARCH(Filter!$B$9,$F936&amp;" "&amp;$G936)))),COUNTIF($O$6:$O935,"&gt;0")+1,0))</f>
        <v>930</v>
      </c>
    </row>
    <row r="937" customFormat="false" ht="51" hidden="false" customHeight="true" outlineLevel="0" collapsed="false">
      <c r="B937" s="30" t="s">
        <v>4539</v>
      </c>
      <c r="C937" s="30" t="s">
        <v>40</v>
      </c>
      <c r="D937" s="30" t="s">
        <v>4540</v>
      </c>
      <c r="E937" s="30" t="s">
        <v>344</v>
      </c>
      <c r="F937" s="30" t="s">
        <v>4541</v>
      </c>
      <c r="G937" s="30" t="s">
        <v>4542</v>
      </c>
      <c r="H937" s="30" t="s">
        <v>4526</v>
      </c>
      <c r="I937" s="30" t="s">
        <v>306</v>
      </c>
      <c r="J937" s="30" t="s">
        <v>206</v>
      </c>
      <c r="K937" s="31" t="s">
        <v>47</v>
      </c>
      <c r="L937" s="32"/>
      <c r="M937" s="33"/>
      <c r="N937" s="30" t="s">
        <v>48</v>
      </c>
      <c r="O937" s="1" t="n">
        <f aca="false">IF($B937="",0,IF(AND(OR(Filter!$B$5="(alle)",$N937=Filter!$B$5),OR(Filter!$E$5="(alle)",$K937=Filter!$E$5),OR(Filter!$H$5="(alle)",$C937=Filter!$H$5),OR(Filter!$B$7="(alle)",$E937=Filter!$B$7),OR(Filter!$E$7="(alle)",ISNUMBER(SEARCH(Filter!$E$7,$J937))),OR(Filter!$H$7="(alle)",ISNUMBER(SEARCH(Filter!$H$7,$I937))),OR(Filter!$B$9="",ISNUMBER(SEARCH(Filter!$B$9,$F937&amp;" "&amp;$G937)))),COUNTIF($O$6:$O936,"&gt;0")+1,0))</f>
        <v>931</v>
      </c>
    </row>
    <row r="938" customFormat="false" ht="51" hidden="false" customHeight="true" outlineLevel="0" collapsed="false">
      <c r="B938" s="30" t="s">
        <v>4543</v>
      </c>
      <c r="C938" s="30" t="s">
        <v>40</v>
      </c>
      <c r="D938" s="30" t="s">
        <v>4544</v>
      </c>
      <c r="E938" s="30" t="s">
        <v>361</v>
      </c>
      <c r="F938" s="30" t="s">
        <v>4545</v>
      </c>
      <c r="G938" s="30" t="s">
        <v>4546</v>
      </c>
      <c r="H938" s="30" t="s">
        <v>4547</v>
      </c>
      <c r="I938" s="30" t="s">
        <v>306</v>
      </c>
      <c r="J938" s="30" t="s">
        <v>206</v>
      </c>
      <c r="K938" s="31" t="s">
        <v>47</v>
      </c>
      <c r="L938" s="32"/>
      <c r="M938" s="33"/>
      <c r="N938" s="30" t="s">
        <v>48</v>
      </c>
      <c r="O938" s="1" t="n">
        <f aca="false">IF($B938="",0,IF(AND(OR(Filter!$B$5="(alle)",$N938=Filter!$B$5),OR(Filter!$E$5="(alle)",$K938=Filter!$E$5),OR(Filter!$H$5="(alle)",$C938=Filter!$H$5),OR(Filter!$B$7="(alle)",$E938=Filter!$B$7),OR(Filter!$E$7="(alle)",ISNUMBER(SEARCH(Filter!$E$7,$J938))),OR(Filter!$H$7="(alle)",ISNUMBER(SEARCH(Filter!$H$7,$I938))),OR(Filter!$B$9="",ISNUMBER(SEARCH(Filter!$B$9,$F938&amp;" "&amp;$G938)))),COUNTIF($O$6:$O937,"&gt;0")+1,0))</f>
        <v>932</v>
      </c>
    </row>
    <row r="939" customFormat="false" ht="51" hidden="false" customHeight="true" outlineLevel="0" collapsed="false">
      <c r="B939" s="30" t="s">
        <v>4548</v>
      </c>
      <c r="C939" s="30" t="s">
        <v>40</v>
      </c>
      <c r="D939" s="30" t="s">
        <v>4549</v>
      </c>
      <c r="E939" s="30" t="s">
        <v>361</v>
      </c>
      <c r="F939" s="30" t="s">
        <v>4550</v>
      </c>
      <c r="G939" s="30" t="s">
        <v>4551</v>
      </c>
      <c r="H939" s="30" t="s">
        <v>4547</v>
      </c>
      <c r="I939" s="30" t="s">
        <v>306</v>
      </c>
      <c r="J939" s="30" t="s">
        <v>206</v>
      </c>
      <c r="K939" s="31" t="s">
        <v>47</v>
      </c>
      <c r="L939" s="32"/>
      <c r="M939" s="33"/>
      <c r="N939" s="30" t="s">
        <v>48</v>
      </c>
      <c r="O939" s="1" t="n">
        <f aca="false">IF($B939="",0,IF(AND(OR(Filter!$B$5="(alle)",$N939=Filter!$B$5),OR(Filter!$E$5="(alle)",$K939=Filter!$E$5),OR(Filter!$H$5="(alle)",$C939=Filter!$H$5),OR(Filter!$B$7="(alle)",$E939=Filter!$B$7),OR(Filter!$E$7="(alle)",ISNUMBER(SEARCH(Filter!$E$7,$J939))),OR(Filter!$H$7="(alle)",ISNUMBER(SEARCH(Filter!$H$7,$I939))),OR(Filter!$B$9="",ISNUMBER(SEARCH(Filter!$B$9,$F939&amp;" "&amp;$G939)))),COUNTIF($O$6:$O938,"&gt;0")+1,0))</f>
        <v>933</v>
      </c>
    </row>
    <row r="940" customFormat="false" ht="51" hidden="false" customHeight="true" outlineLevel="0" collapsed="false">
      <c r="B940" s="30" t="s">
        <v>4552</v>
      </c>
      <c r="C940" s="30" t="s">
        <v>40</v>
      </c>
      <c r="D940" s="30" t="s">
        <v>4553</v>
      </c>
      <c r="E940" s="30" t="s">
        <v>361</v>
      </c>
      <c r="F940" s="30" t="s">
        <v>4554</v>
      </c>
      <c r="G940" s="30" t="s">
        <v>4555</v>
      </c>
      <c r="H940" s="30" t="s">
        <v>4547</v>
      </c>
      <c r="I940" s="30" t="s">
        <v>306</v>
      </c>
      <c r="J940" s="30" t="s">
        <v>206</v>
      </c>
      <c r="K940" s="31" t="s">
        <v>47</v>
      </c>
      <c r="L940" s="32"/>
      <c r="M940" s="33"/>
      <c r="N940" s="30" t="s">
        <v>48</v>
      </c>
      <c r="O940" s="1" t="n">
        <f aca="false">IF($B940="",0,IF(AND(OR(Filter!$B$5="(alle)",$N940=Filter!$B$5),OR(Filter!$E$5="(alle)",$K940=Filter!$E$5),OR(Filter!$H$5="(alle)",$C940=Filter!$H$5),OR(Filter!$B$7="(alle)",$E940=Filter!$B$7),OR(Filter!$E$7="(alle)",ISNUMBER(SEARCH(Filter!$E$7,$J940))),OR(Filter!$H$7="(alle)",ISNUMBER(SEARCH(Filter!$H$7,$I940))),OR(Filter!$B$9="",ISNUMBER(SEARCH(Filter!$B$9,$F940&amp;" "&amp;$G940)))),COUNTIF($O$6:$O939,"&gt;0")+1,0))</f>
        <v>934</v>
      </c>
    </row>
    <row r="941" customFormat="false" ht="51" hidden="false" customHeight="true" outlineLevel="0" collapsed="false">
      <c r="B941" s="30" t="s">
        <v>4556</v>
      </c>
      <c r="C941" s="30" t="s">
        <v>40</v>
      </c>
      <c r="D941" s="30" t="s">
        <v>4557</v>
      </c>
      <c r="E941" s="30" t="s">
        <v>361</v>
      </c>
      <c r="F941" s="30" t="s">
        <v>4558</v>
      </c>
      <c r="G941" s="30" t="s">
        <v>4559</v>
      </c>
      <c r="H941" s="30" t="s">
        <v>4547</v>
      </c>
      <c r="I941" s="30" t="s">
        <v>306</v>
      </c>
      <c r="J941" s="30" t="s">
        <v>206</v>
      </c>
      <c r="K941" s="31" t="s">
        <v>47</v>
      </c>
      <c r="L941" s="32"/>
      <c r="M941" s="33"/>
      <c r="N941" s="30" t="s">
        <v>48</v>
      </c>
      <c r="O941" s="1" t="n">
        <f aca="false">IF($B941="",0,IF(AND(OR(Filter!$B$5="(alle)",$N941=Filter!$B$5),OR(Filter!$E$5="(alle)",$K941=Filter!$E$5),OR(Filter!$H$5="(alle)",$C941=Filter!$H$5),OR(Filter!$B$7="(alle)",$E941=Filter!$B$7),OR(Filter!$E$7="(alle)",ISNUMBER(SEARCH(Filter!$E$7,$J941))),OR(Filter!$H$7="(alle)",ISNUMBER(SEARCH(Filter!$H$7,$I941))),OR(Filter!$B$9="",ISNUMBER(SEARCH(Filter!$B$9,$F941&amp;" "&amp;$G941)))),COUNTIF($O$6:$O940,"&gt;0")+1,0))</f>
        <v>935</v>
      </c>
    </row>
    <row r="942" customFormat="false" ht="51" hidden="false" customHeight="true" outlineLevel="0" collapsed="false">
      <c r="B942" s="30" t="s">
        <v>4560</v>
      </c>
      <c r="C942" s="30" t="s">
        <v>40</v>
      </c>
      <c r="D942" s="30" t="s">
        <v>4561</v>
      </c>
      <c r="E942" s="30" t="s">
        <v>361</v>
      </c>
      <c r="F942" s="30" t="s">
        <v>4562</v>
      </c>
      <c r="G942" s="30" t="s">
        <v>4563</v>
      </c>
      <c r="H942" s="30" t="s">
        <v>4547</v>
      </c>
      <c r="I942" s="30" t="s">
        <v>306</v>
      </c>
      <c r="J942" s="30" t="s">
        <v>206</v>
      </c>
      <c r="K942" s="31" t="s">
        <v>47</v>
      </c>
      <c r="L942" s="32"/>
      <c r="M942" s="33"/>
      <c r="N942" s="30" t="s">
        <v>48</v>
      </c>
      <c r="O942" s="1" t="n">
        <f aca="false">IF($B942="",0,IF(AND(OR(Filter!$B$5="(alle)",$N942=Filter!$B$5),OR(Filter!$E$5="(alle)",$K942=Filter!$E$5),OR(Filter!$H$5="(alle)",$C942=Filter!$H$5),OR(Filter!$B$7="(alle)",$E942=Filter!$B$7),OR(Filter!$E$7="(alle)",ISNUMBER(SEARCH(Filter!$E$7,$J942))),OR(Filter!$H$7="(alle)",ISNUMBER(SEARCH(Filter!$H$7,$I942))),OR(Filter!$B$9="",ISNUMBER(SEARCH(Filter!$B$9,$F942&amp;" "&amp;$G942)))),COUNTIF($O$6:$O941,"&gt;0")+1,0))</f>
        <v>936</v>
      </c>
    </row>
    <row r="943" customFormat="false" ht="51" hidden="false" customHeight="true" outlineLevel="0" collapsed="false">
      <c r="B943" s="30" t="s">
        <v>4564</v>
      </c>
      <c r="C943" s="30" t="s">
        <v>40</v>
      </c>
      <c r="D943" s="30" t="s">
        <v>4565</v>
      </c>
      <c r="E943" s="30" t="s">
        <v>94</v>
      </c>
      <c r="F943" s="30" t="s">
        <v>4566</v>
      </c>
      <c r="G943" s="30" t="s">
        <v>4567</v>
      </c>
      <c r="H943" s="30" t="s">
        <v>4568</v>
      </c>
      <c r="I943" s="30" t="s">
        <v>45</v>
      </c>
      <c r="J943" s="30" t="s">
        <v>601</v>
      </c>
      <c r="K943" s="31" t="s">
        <v>47</v>
      </c>
      <c r="L943" s="32"/>
      <c r="M943" s="33"/>
      <c r="N943" s="30" t="s">
        <v>48</v>
      </c>
      <c r="O943" s="1" t="n">
        <f aca="false">IF($B943="",0,IF(AND(OR(Filter!$B$5="(alle)",$N943=Filter!$B$5),OR(Filter!$E$5="(alle)",$K943=Filter!$E$5),OR(Filter!$H$5="(alle)",$C943=Filter!$H$5),OR(Filter!$B$7="(alle)",$E943=Filter!$B$7),OR(Filter!$E$7="(alle)",ISNUMBER(SEARCH(Filter!$E$7,$J943))),OR(Filter!$H$7="(alle)",ISNUMBER(SEARCH(Filter!$H$7,$I943))),OR(Filter!$B$9="",ISNUMBER(SEARCH(Filter!$B$9,$F943&amp;" "&amp;$G943)))),COUNTIF($O$6:$O942,"&gt;0")+1,0))</f>
        <v>937</v>
      </c>
    </row>
    <row r="944" customFormat="false" ht="51" hidden="false" customHeight="true" outlineLevel="0" collapsed="false">
      <c r="B944" s="30" t="s">
        <v>4569</v>
      </c>
      <c r="C944" s="30" t="s">
        <v>40</v>
      </c>
      <c r="D944" s="30" t="s">
        <v>4570</v>
      </c>
      <c r="E944" s="30" t="s">
        <v>94</v>
      </c>
      <c r="F944" s="30" t="s">
        <v>4571</v>
      </c>
      <c r="G944" s="30" t="s">
        <v>4572</v>
      </c>
      <c r="H944" s="30" t="s">
        <v>4568</v>
      </c>
      <c r="I944" s="30" t="s">
        <v>45</v>
      </c>
      <c r="J944" s="30" t="s">
        <v>601</v>
      </c>
      <c r="K944" s="31" t="s">
        <v>47</v>
      </c>
      <c r="L944" s="32"/>
      <c r="M944" s="33"/>
      <c r="N944" s="30" t="s">
        <v>48</v>
      </c>
      <c r="O944" s="1" t="n">
        <f aca="false">IF($B944="",0,IF(AND(OR(Filter!$B$5="(alle)",$N944=Filter!$B$5),OR(Filter!$E$5="(alle)",$K944=Filter!$E$5),OR(Filter!$H$5="(alle)",$C944=Filter!$H$5),OR(Filter!$B$7="(alle)",$E944=Filter!$B$7),OR(Filter!$E$7="(alle)",ISNUMBER(SEARCH(Filter!$E$7,$J944))),OR(Filter!$H$7="(alle)",ISNUMBER(SEARCH(Filter!$H$7,$I944))),OR(Filter!$B$9="",ISNUMBER(SEARCH(Filter!$B$9,$F944&amp;" "&amp;$G944)))),COUNTIF($O$6:$O943,"&gt;0")+1,0))</f>
        <v>938</v>
      </c>
    </row>
    <row r="945" customFormat="false" ht="51" hidden="false" customHeight="true" outlineLevel="0" collapsed="false">
      <c r="B945" s="30" t="s">
        <v>4573</v>
      </c>
      <c r="C945" s="30" t="s">
        <v>40</v>
      </c>
      <c r="D945" s="30" t="s">
        <v>4574</v>
      </c>
      <c r="E945" s="30" t="s">
        <v>94</v>
      </c>
      <c r="F945" s="30" t="s">
        <v>4575</v>
      </c>
      <c r="G945" s="30" t="s">
        <v>4575</v>
      </c>
      <c r="H945" s="30" t="s">
        <v>4568</v>
      </c>
      <c r="I945" s="30" t="s">
        <v>45</v>
      </c>
      <c r="J945" s="30" t="s">
        <v>601</v>
      </c>
      <c r="K945" s="31" t="s">
        <v>47</v>
      </c>
      <c r="L945" s="32"/>
      <c r="M945" s="33"/>
      <c r="N945" s="30" t="s">
        <v>48</v>
      </c>
      <c r="O945" s="1" t="n">
        <f aca="false">IF($B945="",0,IF(AND(OR(Filter!$B$5="(alle)",$N945=Filter!$B$5),OR(Filter!$E$5="(alle)",$K945=Filter!$E$5),OR(Filter!$H$5="(alle)",$C945=Filter!$H$5),OR(Filter!$B$7="(alle)",$E945=Filter!$B$7),OR(Filter!$E$7="(alle)",ISNUMBER(SEARCH(Filter!$E$7,$J945))),OR(Filter!$H$7="(alle)",ISNUMBER(SEARCH(Filter!$H$7,$I945))),OR(Filter!$B$9="",ISNUMBER(SEARCH(Filter!$B$9,$F945&amp;" "&amp;$G945)))),COUNTIF($O$6:$O944,"&gt;0")+1,0))</f>
        <v>939</v>
      </c>
    </row>
    <row r="946" customFormat="false" ht="51" hidden="false" customHeight="true" outlineLevel="0" collapsed="false">
      <c r="B946" s="30" t="s">
        <v>4576</v>
      </c>
      <c r="C946" s="30" t="s">
        <v>40</v>
      </c>
      <c r="D946" s="30" t="s">
        <v>4577</v>
      </c>
      <c r="E946" s="30" t="s">
        <v>94</v>
      </c>
      <c r="F946" s="30" t="s">
        <v>4578</v>
      </c>
      <c r="G946" s="30" t="s">
        <v>4579</v>
      </c>
      <c r="H946" s="30" t="s">
        <v>4568</v>
      </c>
      <c r="I946" s="30" t="s">
        <v>45</v>
      </c>
      <c r="J946" s="30" t="s">
        <v>601</v>
      </c>
      <c r="K946" s="31" t="s">
        <v>47</v>
      </c>
      <c r="L946" s="32"/>
      <c r="M946" s="33"/>
      <c r="N946" s="30" t="s">
        <v>48</v>
      </c>
      <c r="O946" s="1" t="n">
        <f aca="false">IF($B946="",0,IF(AND(OR(Filter!$B$5="(alle)",$N946=Filter!$B$5),OR(Filter!$E$5="(alle)",$K946=Filter!$E$5),OR(Filter!$H$5="(alle)",$C946=Filter!$H$5),OR(Filter!$B$7="(alle)",$E946=Filter!$B$7),OR(Filter!$E$7="(alle)",ISNUMBER(SEARCH(Filter!$E$7,$J946))),OR(Filter!$H$7="(alle)",ISNUMBER(SEARCH(Filter!$H$7,$I946))),OR(Filter!$B$9="",ISNUMBER(SEARCH(Filter!$B$9,$F946&amp;" "&amp;$G946)))),COUNTIF($O$6:$O945,"&gt;0")+1,0))</f>
        <v>940</v>
      </c>
    </row>
    <row r="947" customFormat="false" ht="51" hidden="false" customHeight="true" outlineLevel="0" collapsed="false">
      <c r="B947" s="30" t="s">
        <v>4580</v>
      </c>
      <c r="C947" s="30" t="s">
        <v>40</v>
      </c>
      <c r="D947" s="30" t="s">
        <v>4581</v>
      </c>
      <c r="E947" s="30" t="s">
        <v>94</v>
      </c>
      <c r="F947" s="30" t="s">
        <v>4582</v>
      </c>
      <c r="G947" s="30" t="s">
        <v>4583</v>
      </c>
      <c r="H947" s="30" t="s">
        <v>4568</v>
      </c>
      <c r="I947" s="30" t="s">
        <v>3847</v>
      </c>
      <c r="J947" s="30" t="s">
        <v>2162</v>
      </c>
      <c r="K947" s="31" t="s">
        <v>47</v>
      </c>
      <c r="L947" s="32"/>
      <c r="M947" s="33"/>
      <c r="N947" s="30" t="s">
        <v>48</v>
      </c>
      <c r="O947" s="1" t="n">
        <f aca="false">IF($B947="",0,IF(AND(OR(Filter!$B$5="(alle)",$N947=Filter!$B$5),OR(Filter!$E$5="(alle)",$K947=Filter!$E$5),OR(Filter!$H$5="(alle)",$C947=Filter!$H$5),OR(Filter!$B$7="(alle)",$E947=Filter!$B$7),OR(Filter!$E$7="(alle)",ISNUMBER(SEARCH(Filter!$E$7,$J947))),OR(Filter!$H$7="(alle)",ISNUMBER(SEARCH(Filter!$H$7,$I947))),OR(Filter!$B$9="",ISNUMBER(SEARCH(Filter!$B$9,$F947&amp;" "&amp;$G947)))),COUNTIF($O$6:$O946,"&gt;0")+1,0))</f>
        <v>941</v>
      </c>
    </row>
    <row r="948" customFormat="false" ht="51" hidden="false" customHeight="true" outlineLevel="0" collapsed="false">
      <c r="B948" s="30" t="s">
        <v>4584</v>
      </c>
      <c r="C948" s="30" t="s">
        <v>40</v>
      </c>
      <c r="D948" s="30" t="s">
        <v>4585</v>
      </c>
      <c r="E948" s="30" t="s">
        <v>94</v>
      </c>
      <c r="F948" s="30" t="s">
        <v>4586</v>
      </c>
      <c r="G948" s="30" t="s">
        <v>4587</v>
      </c>
      <c r="H948" s="30" t="s">
        <v>4568</v>
      </c>
      <c r="I948" s="30" t="s">
        <v>45</v>
      </c>
      <c r="J948" s="30" t="s">
        <v>601</v>
      </c>
      <c r="K948" s="31" t="s">
        <v>47</v>
      </c>
      <c r="L948" s="32"/>
      <c r="M948" s="33"/>
      <c r="N948" s="30" t="s">
        <v>48</v>
      </c>
      <c r="O948" s="1" t="n">
        <f aca="false">IF($B948="",0,IF(AND(OR(Filter!$B$5="(alle)",$N948=Filter!$B$5),OR(Filter!$E$5="(alle)",$K948=Filter!$E$5),OR(Filter!$H$5="(alle)",$C948=Filter!$H$5),OR(Filter!$B$7="(alle)",$E948=Filter!$B$7),OR(Filter!$E$7="(alle)",ISNUMBER(SEARCH(Filter!$E$7,$J948))),OR(Filter!$H$7="(alle)",ISNUMBER(SEARCH(Filter!$H$7,$I948))),OR(Filter!$B$9="",ISNUMBER(SEARCH(Filter!$B$9,$F948&amp;" "&amp;$G948)))),COUNTIF($O$6:$O947,"&gt;0")+1,0))</f>
        <v>942</v>
      </c>
    </row>
    <row r="949" customFormat="false" ht="51" hidden="false" customHeight="true" outlineLevel="0" collapsed="false">
      <c r="B949" s="30" t="s">
        <v>4588</v>
      </c>
      <c r="C949" s="30" t="s">
        <v>40</v>
      </c>
      <c r="D949" s="30" t="s">
        <v>4589</v>
      </c>
      <c r="E949" s="30" t="s">
        <v>94</v>
      </c>
      <c r="F949" s="30" t="s">
        <v>4590</v>
      </c>
      <c r="G949" s="30" t="s">
        <v>4591</v>
      </c>
      <c r="H949" s="30" t="s">
        <v>4568</v>
      </c>
      <c r="I949" s="30" t="s">
        <v>3847</v>
      </c>
      <c r="J949" s="30" t="s">
        <v>2162</v>
      </c>
      <c r="K949" s="31" t="s">
        <v>47</v>
      </c>
      <c r="L949" s="32"/>
      <c r="M949" s="33"/>
      <c r="N949" s="30" t="s">
        <v>48</v>
      </c>
      <c r="O949" s="1" t="n">
        <f aca="false">IF($B949="",0,IF(AND(OR(Filter!$B$5="(alle)",$N949=Filter!$B$5),OR(Filter!$E$5="(alle)",$K949=Filter!$E$5),OR(Filter!$H$5="(alle)",$C949=Filter!$H$5),OR(Filter!$B$7="(alle)",$E949=Filter!$B$7),OR(Filter!$E$7="(alle)",ISNUMBER(SEARCH(Filter!$E$7,$J949))),OR(Filter!$H$7="(alle)",ISNUMBER(SEARCH(Filter!$H$7,$I949))),OR(Filter!$B$9="",ISNUMBER(SEARCH(Filter!$B$9,$F949&amp;" "&amp;$G949)))),COUNTIF($O$6:$O948,"&gt;0")+1,0))</f>
        <v>943</v>
      </c>
    </row>
    <row r="950" customFormat="false" ht="51" hidden="false" customHeight="true" outlineLevel="0" collapsed="false">
      <c r="B950" s="30" t="s">
        <v>4592</v>
      </c>
      <c r="C950" s="30" t="s">
        <v>40</v>
      </c>
      <c r="D950" s="30" t="s">
        <v>4593</v>
      </c>
      <c r="E950" s="30" t="s">
        <v>94</v>
      </c>
      <c r="F950" s="30" t="s">
        <v>4594</v>
      </c>
      <c r="G950" s="30" t="s">
        <v>4594</v>
      </c>
      <c r="H950" s="30" t="s">
        <v>4568</v>
      </c>
      <c r="I950" s="30" t="s">
        <v>45</v>
      </c>
      <c r="J950" s="30" t="s">
        <v>601</v>
      </c>
      <c r="K950" s="31" t="s">
        <v>47</v>
      </c>
      <c r="L950" s="32"/>
      <c r="M950" s="33"/>
      <c r="N950" s="30" t="s">
        <v>48</v>
      </c>
      <c r="O950" s="1" t="n">
        <f aca="false">IF($B950="",0,IF(AND(OR(Filter!$B$5="(alle)",$N950=Filter!$B$5),OR(Filter!$E$5="(alle)",$K950=Filter!$E$5),OR(Filter!$H$5="(alle)",$C950=Filter!$H$5),OR(Filter!$B$7="(alle)",$E950=Filter!$B$7),OR(Filter!$E$7="(alle)",ISNUMBER(SEARCH(Filter!$E$7,$J950))),OR(Filter!$H$7="(alle)",ISNUMBER(SEARCH(Filter!$H$7,$I950))),OR(Filter!$B$9="",ISNUMBER(SEARCH(Filter!$B$9,$F950&amp;" "&amp;$G950)))),COUNTIF($O$6:$O949,"&gt;0")+1,0))</f>
        <v>944</v>
      </c>
    </row>
    <row r="951" customFormat="false" ht="51" hidden="false" customHeight="true" outlineLevel="0" collapsed="false">
      <c r="B951" s="30" t="s">
        <v>4595</v>
      </c>
      <c r="C951" s="30" t="s">
        <v>40</v>
      </c>
      <c r="D951" s="30" t="s">
        <v>4596</v>
      </c>
      <c r="E951" s="30" t="s">
        <v>547</v>
      </c>
      <c r="F951" s="30" t="s">
        <v>4597</v>
      </c>
      <c r="G951" s="30" t="s">
        <v>4597</v>
      </c>
      <c r="H951" s="30" t="s">
        <v>4598</v>
      </c>
      <c r="I951" s="30" t="s">
        <v>476</v>
      </c>
      <c r="J951" s="30" t="s">
        <v>476</v>
      </c>
      <c r="K951" s="31" t="s">
        <v>47</v>
      </c>
      <c r="L951" s="32"/>
      <c r="M951" s="33"/>
      <c r="N951" s="30" t="s">
        <v>48</v>
      </c>
      <c r="O951" s="1" t="n">
        <f aca="false">IF($B951="",0,IF(AND(OR(Filter!$B$5="(alle)",$N951=Filter!$B$5),OR(Filter!$E$5="(alle)",$K951=Filter!$E$5),OR(Filter!$H$5="(alle)",$C951=Filter!$H$5),OR(Filter!$B$7="(alle)",$E951=Filter!$B$7),OR(Filter!$E$7="(alle)",ISNUMBER(SEARCH(Filter!$E$7,$J951))),OR(Filter!$H$7="(alle)",ISNUMBER(SEARCH(Filter!$H$7,$I951))),OR(Filter!$B$9="",ISNUMBER(SEARCH(Filter!$B$9,$F951&amp;" "&amp;$G951)))),COUNTIF($O$6:$O950,"&gt;0")+1,0))</f>
        <v>945</v>
      </c>
    </row>
    <row r="952" customFormat="false" ht="51" hidden="false" customHeight="true" outlineLevel="0" collapsed="false">
      <c r="B952" s="30" t="s">
        <v>4599</v>
      </c>
      <c r="C952" s="30" t="s">
        <v>40</v>
      </c>
      <c r="D952" s="30" t="s">
        <v>4600</v>
      </c>
      <c r="E952" s="30" t="s">
        <v>102</v>
      </c>
      <c r="F952" s="30" t="s">
        <v>4601</v>
      </c>
      <c r="G952" s="30" t="s">
        <v>4602</v>
      </c>
      <c r="H952" s="30" t="s">
        <v>4603</v>
      </c>
      <c r="I952" s="30" t="s">
        <v>45</v>
      </c>
      <c r="J952" s="30" t="s">
        <v>70</v>
      </c>
      <c r="K952" s="31" t="s">
        <v>47</v>
      </c>
      <c r="L952" s="32"/>
      <c r="M952" s="33"/>
      <c r="N952" s="30" t="s">
        <v>48</v>
      </c>
      <c r="O952" s="1" t="n">
        <f aca="false">IF($B952="",0,IF(AND(OR(Filter!$B$5="(alle)",$N952=Filter!$B$5),OR(Filter!$E$5="(alle)",$K952=Filter!$E$5),OR(Filter!$H$5="(alle)",$C952=Filter!$H$5),OR(Filter!$B$7="(alle)",$E952=Filter!$B$7),OR(Filter!$E$7="(alle)",ISNUMBER(SEARCH(Filter!$E$7,$J952))),OR(Filter!$H$7="(alle)",ISNUMBER(SEARCH(Filter!$H$7,$I952))),OR(Filter!$B$9="",ISNUMBER(SEARCH(Filter!$B$9,$F952&amp;" "&amp;$G952)))),COUNTIF($O$6:$O951,"&gt;0")+1,0))</f>
        <v>946</v>
      </c>
    </row>
    <row r="953" customFormat="false" ht="51" hidden="false" customHeight="true" outlineLevel="0" collapsed="false">
      <c r="B953" s="30" t="s">
        <v>4604</v>
      </c>
      <c r="C953" s="30" t="s">
        <v>40</v>
      </c>
      <c r="D953" s="30" t="s">
        <v>4605</v>
      </c>
      <c r="E953" s="30" t="s">
        <v>155</v>
      </c>
      <c r="F953" s="30" t="s">
        <v>4606</v>
      </c>
      <c r="G953" s="30" t="s">
        <v>4607</v>
      </c>
      <c r="H953" s="30" t="s">
        <v>4603</v>
      </c>
      <c r="I953" s="30" t="s">
        <v>45</v>
      </c>
      <c r="J953" s="30" t="s">
        <v>1390</v>
      </c>
      <c r="K953" s="31" t="s">
        <v>47</v>
      </c>
      <c r="L953" s="32"/>
      <c r="M953" s="33"/>
      <c r="N953" s="30" t="s">
        <v>48</v>
      </c>
      <c r="O953" s="1" t="n">
        <f aca="false">IF($B953="",0,IF(AND(OR(Filter!$B$5="(alle)",$N953=Filter!$B$5),OR(Filter!$E$5="(alle)",$K953=Filter!$E$5),OR(Filter!$H$5="(alle)",$C953=Filter!$H$5),OR(Filter!$B$7="(alle)",$E953=Filter!$B$7),OR(Filter!$E$7="(alle)",ISNUMBER(SEARCH(Filter!$E$7,$J953))),OR(Filter!$H$7="(alle)",ISNUMBER(SEARCH(Filter!$H$7,$I953))),OR(Filter!$B$9="",ISNUMBER(SEARCH(Filter!$B$9,$F953&amp;" "&amp;$G953)))),COUNTIF($O$6:$O952,"&gt;0")+1,0))</f>
        <v>947</v>
      </c>
    </row>
    <row r="954" customFormat="false" ht="51" hidden="false" customHeight="true" outlineLevel="0" collapsed="false">
      <c r="B954" s="30" t="s">
        <v>4608</v>
      </c>
      <c r="C954" s="30" t="s">
        <v>40</v>
      </c>
      <c r="D954" s="30" t="s">
        <v>4609</v>
      </c>
      <c r="E954" s="30" t="s">
        <v>547</v>
      </c>
      <c r="F954" s="30" t="s">
        <v>4610</v>
      </c>
      <c r="G954" s="30" t="s">
        <v>4611</v>
      </c>
      <c r="H954" s="30" t="s">
        <v>4598</v>
      </c>
      <c r="I954" s="30" t="s">
        <v>476</v>
      </c>
      <c r="J954" s="30" t="s">
        <v>476</v>
      </c>
      <c r="K954" s="31" t="s">
        <v>47</v>
      </c>
      <c r="L954" s="32"/>
      <c r="M954" s="33"/>
      <c r="N954" s="30" t="s">
        <v>48</v>
      </c>
      <c r="O954" s="1" t="n">
        <f aca="false">IF($B954="",0,IF(AND(OR(Filter!$B$5="(alle)",$N954=Filter!$B$5),OR(Filter!$E$5="(alle)",$K954=Filter!$E$5),OR(Filter!$H$5="(alle)",$C954=Filter!$H$5),OR(Filter!$B$7="(alle)",$E954=Filter!$B$7),OR(Filter!$E$7="(alle)",ISNUMBER(SEARCH(Filter!$E$7,$J954))),OR(Filter!$H$7="(alle)",ISNUMBER(SEARCH(Filter!$H$7,$I954))),OR(Filter!$B$9="",ISNUMBER(SEARCH(Filter!$B$9,$F954&amp;" "&amp;$G954)))),COUNTIF($O$6:$O953,"&gt;0")+1,0))</f>
        <v>948</v>
      </c>
    </row>
    <row r="955" customFormat="false" ht="51" hidden="false" customHeight="true" outlineLevel="0" collapsed="false">
      <c r="B955" s="30" t="s">
        <v>4612</v>
      </c>
      <c r="C955" s="30" t="s">
        <v>40</v>
      </c>
      <c r="D955" s="30" t="s">
        <v>4613</v>
      </c>
      <c r="E955" s="30" t="s">
        <v>344</v>
      </c>
      <c r="F955" s="30" t="s">
        <v>4614</v>
      </c>
      <c r="G955" s="30" t="s">
        <v>4615</v>
      </c>
      <c r="H955" s="30" t="s">
        <v>4603</v>
      </c>
      <c r="I955" s="30" t="s">
        <v>45</v>
      </c>
      <c r="J955" s="30" t="s">
        <v>274</v>
      </c>
      <c r="K955" s="31" t="s">
        <v>47</v>
      </c>
      <c r="L955" s="32"/>
      <c r="M955" s="33"/>
      <c r="N955" s="30" t="s">
        <v>48</v>
      </c>
      <c r="O955" s="1" t="n">
        <f aca="false">IF($B955="",0,IF(AND(OR(Filter!$B$5="(alle)",$N955=Filter!$B$5),OR(Filter!$E$5="(alle)",$K955=Filter!$E$5),OR(Filter!$H$5="(alle)",$C955=Filter!$H$5),OR(Filter!$B$7="(alle)",$E955=Filter!$B$7),OR(Filter!$E$7="(alle)",ISNUMBER(SEARCH(Filter!$E$7,$J955))),OR(Filter!$H$7="(alle)",ISNUMBER(SEARCH(Filter!$H$7,$I955))),OR(Filter!$B$9="",ISNUMBER(SEARCH(Filter!$B$9,$F955&amp;" "&amp;$G955)))),COUNTIF($O$6:$O954,"&gt;0")+1,0))</f>
        <v>949</v>
      </c>
    </row>
    <row r="956" customFormat="false" ht="51" hidden="false" customHeight="true" outlineLevel="0" collapsed="false">
      <c r="B956" s="30" t="s">
        <v>4616</v>
      </c>
      <c r="C956" s="30" t="s">
        <v>40</v>
      </c>
      <c r="D956" s="30" t="s">
        <v>4617</v>
      </c>
      <c r="E956" s="30" t="s">
        <v>361</v>
      </c>
      <c r="F956" s="30" t="s">
        <v>4618</v>
      </c>
      <c r="G956" s="30" t="s">
        <v>4619</v>
      </c>
      <c r="H956" s="30" t="s">
        <v>4620</v>
      </c>
      <c r="I956" s="30" t="s">
        <v>306</v>
      </c>
      <c r="J956" s="30" t="s">
        <v>206</v>
      </c>
      <c r="K956" s="31" t="s">
        <v>47</v>
      </c>
      <c r="L956" s="32"/>
      <c r="M956" s="33"/>
      <c r="N956" s="30" t="s">
        <v>48</v>
      </c>
      <c r="O956" s="1" t="n">
        <f aca="false">IF($B956="",0,IF(AND(OR(Filter!$B$5="(alle)",$N956=Filter!$B$5),OR(Filter!$E$5="(alle)",$K956=Filter!$E$5),OR(Filter!$H$5="(alle)",$C956=Filter!$H$5),OR(Filter!$B$7="(alle)",$E956=Filter!$B$7),OR(Filter!$E$7="(alle)",ISNUMBER(SEARCH(Filter!$E$7,$J956))),OR(Filter!$H$7="(alle)",ISNUMBER(SEARCH(Filter!$H$7,$I956))),OR(Filter!$B$9="",ISNUMBER(SEARCH(Filter!$B$9,$F956&amp;" "&amp;$G956)))),COUNTIF($O$6:$O955,"&gt;0")+1,0))</f>
        <v>950</v>
      </c>
    </row>
    <row r="957" customFormat="false" ht="51" hidden="false" customHeight="true" outlineLevel="0" collapsed="false">
      <c r="B957" s="30" t="s">
        <v>4621</v>
      </c>
      <c r="C957" s="30" t="s">
        <v>40</v>
      </c>
      <c r="D957" s="30" t="s">
        <v>4622</v>
      </c>
      <c r="E957" s="30" t="s">
        <v>344</v>
      </c>
      <c r="F957" s="30" t="s">
        <v>4623</v>
      </c>
      <c r="G957" s="30" t="s">
        <v>4623</v>
      </c>
      <c r="H957" s="30" t="s">
        <v>4620</v>
      </c>
      <c r="I957" s="30" t="s">
        <v>306</v>
      </c>
      <c r="J957" s="30" t="s">
        <v>206</v>
      </c>
      <c r="K957" s="31" t="s">
        <v>47</v>
      </c>
      <c r="L957" s="32"/>
      <c r="M957" s="33"/>
      <c r="N957" s="30" t="s">
        <v>48</v>
      </c>
      <c r="O957" s="1" t="n">
        <f aca="false">IF($B957="",0,IF(AND(OR(Filter!$B$5="(alle)",$N957=Filter!$B$5),OR(Filter!$E$5="(alle)",$K957=Filter!$E$5),OR(Filter!$H$5="(alle)",$C957=Filter!$H$5),OR(Filter!$B$7="(alle)",$E957=Filter!$B$7),OR(Filter!$E$7="(alle)",ISNUMBER(SEARCH(Filter!$E$7,$J957))),OR(Filter!$H$7="(alle)",ISNUMBER(SEARCH(Filter!$H$7,$I957))),OR(Filter!$B$9="",ISNUMBER(SEARCH(Filter!$B$9,$F957&amp;" "&amp;$G957)))),COUNTIF($O$6:$O956,"&gt;0")+1,0))</f>
        <v>951</v>
      </c>
    </row>
    <row r="958" customFormat="false" ht="51" hidden="false" customHeight="true" outlineLevel="0" collapsed="false">
      <c r="B958" s="30" t="s">
        <v>4624</v>
      </c>
      <c r="C958" s="30" t="s">
        <v>40</v>
      </c>
      <c r="D958" s="30" t="s">
        <v>4625</v>
      </c>
      <c r="E958" s="30" t="s">
        <v>361</v>
      </c>
      <c r="F958" s="30" t="s">
        <v>4626</v>
      </c>
      <c r="G958" s="30" t="s">
        <v>4626</v>
      </c>
      <c r="H958" s="30" t="s">
        <v>4620</v>
      </c>
      <c r="I958" s="30" t="s">
        <v>306</v>
      </c>
      <c r="J958" s="30" t="s">
        <v>206</v>
      </c>
      <c r="K958" s="31" t="s">
        <v>47</v>
      </c>
      <c r="L958" s="32"/>
      <c r="M958" s="33"/>
      <c r="N958" s="30" t="s">
        <v>48</v>
      </c>
      <c r="O958" s="1" t="n">
        <f aca="false">IF($B958="",0,IF(AND(OR(Filter!$B$5="(alle)",$N958=Filter!$B$5),OR(Filter!$E$5="(alle)",$K958=Filter!$E$5),OR(Filter!$H$5="(alle)",$C958=Filter!$H$5),OR(Filter!$B$7="(alle)",$E958=Filter!$B$7),OR(Filter!$E$7="(alle)",ISNUMBER(SEARCH(Filter!$E$7,$J958))),OR(Filter!$H$7="(alle)",ISNUMBER(SEARCH(Filter!$H$7,$I958))),OR(Filter!$B$9="",ISNUMBER(SEARCH(Filter!$B$9,$F958&amp;" "&amp;$G958)))),COUNTIF($O$6:$O957,"&gt;0")+1,0))</f>
        <v>952</v>
      </c>
    </row>
    <row r="959" customFormat="false" ht="51" hidden="false" customHeight="true" outlineLevel="0" collapsed="false">
      <c r="B959" s="30" t="s">
        <v>4627</v>
      </c>
      <c r="C959" s="30" t="s">
        <v>40</v>
      </c>
      <c r="D959" s="30" t="s">
        <v>4628</v>
      </c>
      <c r="E959" s="30" t="s">
        <v>361</v>
      </c>
      <c r="F959" s="30" t="s">
        <v>4629</v>
      </c>
      <c r="G959" s="30" t="s">
        <v>4629</v>
      </c>
      <c r="H959" s="30" t="s">
        <v>4620</v>
      </c>
      <c r="I959" s="30" t="s">
        <v>306</v>
      </c>
      <c r="J959" s="30" t="s">
        <v>206</v>
      </c>
      <c r="K959" s="31" t="s">
        <v>47</v>
      </c>
      <c r="L959" s="32"/>
      <c r="M959" s="33"/>
      <c r="N959" s="30" t="s">
        <v>48</v>
      </c>
      <c r="O959" s="1" t="n">
        <f aca="false">IF($B959="",0,IF(AND(OR(Filter!$B$5="(alle)",$N959=Filter!$B$5),OR(Filter!$E$5="(alle)",$K959=Filter!$E$5),OR(Filter!$H$5="(alle)",$C959=Filter!$H$5),OR(Filter!$B$7="(alle)",$E959=Filter!$B$7),OR(Filter!$E$7="(alle)",ISNUMBER(SEARCH(Filter!$E$7,$J959))),OR(Filter!$H$7="(alle)",ISNUMBER(SEARCH(Filter!$H$7,$I959))),OR(Filter!$B$9="",ISNUMBER(SEARCH(Filter!$B$9,$F959&amp;" "&amp;$G959)))),COUNTIF($O$6:$O958,"&gt;0")+1,0))</f>
        <v>953</v>
      </c>
    </row>
    <row r="960" customFormat="false" ht="51" hidden="false" customHeight="true" outlineLevel="0" collapsed="false">
      <c r="B960" s="30" t="s">
        <v>4630</v>
      </c>
      <c r="C960" s="30" t="s">
        <v>40</v>
      </c>
      <c r="D960" s="30" t="s">
        <v>4631</v>
      </c>
      <c r="E960" s="30" t="s">
        <v>344</v>
      </c>
      <c r="F960" s="30" t="s">
        <v>4632</v>
      </c>
      <c r="G960" s="30" t="s">
        <v>4633</v>
      </c>
      <c r="H960" s="30" t="s">
        <v>4620</v>
      </c>
      <c r="I960" s="30" t="s">
        <v>306</v>
      </c>
      <c r="J960" s="30" t="s">
        <v>206</v>
      </c>
      <c r="K960" s="31" t="s">
        <v>47</v>
      </c>
      <c r="L960" s="32"/>
      <c r="M960" s="33"/>
      <c r="N960" s="30" t="s">
        <v>48</v>
      </c>
      <c r="O960" s="1" t="n">
        <f aca="false">IF($B960="",0,IF(AND(OR(Filter!$B$5="(alle)",$N960=Filter!$B$5),OR(Filter!$E$5="(alle)",$K960=Filter!$E$5),OR(Filter!$H$5="(alle)",$C960=Filter!$H$5),OR(Filter!$B$7="(alle)",$E960=Filter!$B$7),OR(Filter!$E$7="(alle)",ISNUMBER(SEARCH(Filter!$E$7,$J960))),OR(Filter!$H$7="(alle)",ISNUMBER(SEARCH(Filter!$H$7,$I960))),OR(Filter!$B$9="",ISNUMBER(SEARCH(Filter!$B$9,$F960&amp;" "&amp;$G960)))),COUNTIF($O$6:$O959,"&gt;0")+1,0))</f>
        <v>954</v>
      </c>
    </row>
    <row r="961" customFormat="false" ht="51" hidden="false" customHeight="true" outlineLevel="0" collapsed="false">
      <c r="B961" s="30" t="s">
        <v>4634</v>
      </c>
      <c r="C961" s="30" t="s">
        <v>40</v>
      </c>
      <c r="D961" s="30" t="s">
        <v>4635</v>
      </c>
      <c r="E961" s="30" t="s">
        <v>102</v>
      </c>
      <c r="F961" s="30" t="s">
        <v>4636</v>
      </c>
      <c r="G961" s="30" t="s">
        <v>4637</v>
      </c>
      <c r="H961" s="30" t="s">
        <v>4620</v>
      </c>
      <c r="I961" s="30" t="s">
        <v>45</v>
      </c>
      <c r="J961" s="30" t="s">
        <v>70</v>
      </c>
      <c r="K961" s="31" t="s">
        <v>47</v>
      </c>
      <c r="L961" s="32"/>
      <c r="M961" s="33"/>
      <c r="N961" s="30" t="s">
        <v>48</v>
      </c>
      <c r="O961" s="1" t="n">
        <f aca="false">IF($B961="",0,IF(AND(OR(Filter!$B$5="(alle)",$N961=Filter!$B$5),OR(Filter!$E$5="(alle)",$K961=Filter!$E$5),OR(Filter!$H$5="(alle)",$C961=Filter!$H$5),OR(Filter!$B$7="(alle)",$E961=Filter!$B$7),OR(Filter!$E$7="(alle)",ISNUMBER(SEARCH(Filter!$E$7,$J961))),OR(Filter!$H$7="(alle)",ISNUMBER(SEARCH(Filter!$H$7,$I961))),OR(Filter!$B$9="",ISNUMBER(SEARCH(Filter!$B$9,$F961&amp;" "&amp;$G961)))),COUNTIF($O$6:$O960,"&gt;0")+1,0))</f>
        <v>955</v>
      </c>
    </row>
    <row r="962" customFormat="false" ht="51" hidden="false" customHeight="true" outlineLevel="0" collapsed="false">
      <c r="B962" s="30" t="s">
        <v>4638</v>
      </c>
      <c r="C962" s="30" t="s">
        <v>40</v>
      </c>
      <c r="D962" s="30" t="s">
        <v>4639</v>
      </c>
      <c r="E962" s="30" t="s">
        <v>361</v>
      </c>
      <c r="F962" s="30" t="s">
        <v>4640</v>
      </c>
      <c r="G962" s="30" t="s">
        <v>4641</v>
      </c>
      <c r="H962" s="30" t="s">
        <v>4620</v>
      </c>
      <c r="I962" s="30" t="s">
        <v>306</v>
      </c>
      <c r="J962" s="30" t="s">
        <v>206</v>
      </c>
      <c r="K962" s="31" t="s">
        <v>47</v>
      </c>
      <c r="L962" s="32"/>
      <c r="M962" s="33"/>
      <c r="N962" s="30" t="s">
        <v>48</v>
      </c>
      <c r="O962" s="1" t="n">
        <f aca="false">IF($B962="",0,IF(AND(OR(Filter!$B$5="(alle)",$N962=Filter!$B$5),OR(Filter!$E$5="(alle)",$K962=Filter!$E$5),OR(Filter!$H$5="(alle)",$C962=Filter!$H$5),OR(Filter!$B$7="(alle)",$E962=Filter!$B$7),OR(Filter!$E$7="(alle)",ISNUMBER(SEARCH(Filter!$E$7,$J962))),OR(Filter!$H$7="(alle)",ISNUMBER(SEARCH(Filter!$H$7,$I962))),OR(Filter!$B$9="",ISNUMBER(SEARCH(Filter!$B$9,$F962&amp;" "&amp;$G962)))),COUNTIF($O$6:$O961,"&gt;0")+1,0))</f>
        <v>956</v>
      </c>
    </row>
    <row r="963" customFormat="false" ht="51" hidden="false" customHeight="true" outlineLevel="0" collapsed="false">
      <c r="B963" s="30" t="s">
        <v>4642</v>
      </c>
      <c r="C963" s="30" t="s">
        <v>40</v>
      </c>
      <c r="D963" s="30" t="s">
        <v>4643</v>
      </c>
      <c r="E963" s="30" t="s">
        <v>344</v>
      </c>
      <c r="F963" s="30" t="s">
        <v>4644</v>
      </c>
      <c r="G963" s="30" t="s">
        <v>4645</v>
      </c>
      <c r="H963" s="30" t="s">
        <v>4620</v>
      </c>
      <c r="I963" s="30" t="s">
        <v>306</v>
      </c>
      <c r="J963" s="30" t="s">
        <v>206</v>
      </c>
      <c r="K963" s="31" t="s">
        <v>47</v>
      </c>
      <c r="L963" s="32"/>
      <c r="M963" s="33"/>
      <c r="N963" s="30" t="s">
        <v>48</v>
      </c>
      <c r="O963" s="1" t="n">
        <f aca="false">IF($B963="",0,IF(AND(OR(Filter!$B$5="(alle)",$N963=Filter!$B$5),OR(Filter!$E$5="(alle)",$K963=Filter!$E$5),OR(Filter!$H$5="(alle)",$C963=Filter!$H$5),OR(Filter!$B$7="(alle)",$E963=Filter!$B$7),OR(Filter!$E$7="(alle)",ISNUMBER(SEARCH(Filter!$E$7,$J963))),OR(Filter!$H$7="(alle)",ISNUMBER(SEARCH(Filter!$H$7,$I963))),OR(Filter!$B$9="",ISNUMBER(SEARCH(Filter!$B$9,$F963&amp;" "&amp;$G963)))),COUNTIF($O$6:$O962,"&gt;0")+1,0))</f>
        <v>957</v>
      </c>
    </row>
    <row r="964" customFormat="false" ht="51" hidden="false" customHeight="true" outlineLevel="0" collapsed="false">
      <c r="B964" s="30" t="s">
        <v>4646</v>
      </c>
      <c r="C964" s="30" t="s">
        <v>40</v>
      </c>
      <c r="D964" s="30" t="s">
        <v>4647</v>
      </c>
      <c r="E964" s="30" t="s">
        <v>344</v>
      </c>
      <c r="F964" s="30" t="s">
        <v>4648</v>
      </c>
      <c r="G964" s="30" t="s">
        <v>4648</v>
      </c>
      <c r="H964" s="30" t="s">
        <v>4620</v>
      </c>
      <c r="I964" s="30" t="s">
        <v>306</v>
      </c>
      <c r="J964" s="30" t="s">
        <v>206</v>
      </c>
      <c r="K964" s="31" t="s">
        <v>47</v>
      </c>
      <c r="L964" s="32"/>
      <c r="M964" s="33"/>
      <c r="N964" s="30" t="s">
        <v>48</v>
      </c>
      <c r="O964" s="1" t="n">
        <f aca="false">IF($B964="",0,IF(AND(OR(Filter!$B$5="(alle)",$N964=Filter!$B$5),OR(Filter!$E$5="(alle)",$K964=Filter!$E$5),OR(Filter!$H$5="(alle)",$C964=Filter!$H$5),OR(Filter!$B$7="(alle)",$E964=Filter!$B$7),OR(Filter!$E$7="(alle)",ISNUMBER(SEARCH(Filter!$E$7,$J964))),OR(Filter!$H$7="(alle)",ISNUMBER(SEARCH(Filter!$H$7,$I964))),OR(Filter!$B$9="",ISNUMBER(SEARCH(Filter!$B$9,$F964&amp;" "&amp;$G964)))),COUNTIF($O$6:$O963,"&gt;0")+1,0))</f>
        <v>958</v>
      </c>
    </row>
    <row r="965" customFormat="false" ht="51" hidden="false" customHeight="true" outlineLevel="0" collapsed="false">
      <c r="B965" s="30" t="s">
        <v>4649</v>
      </c>
      <c r="C965" s="30" t="s">
        <v>40</v>
      </c>
      <c r="D965" s="30" t="s">
        <v>4650</v>
      </c>
      <c r="E965" s="30" t="s">
        <v>361</v>
      </c>
      <c r="F965" s="30" t="s">
        <v>4651</v>
      </c>
      <c r="G965" s="30" t="s">
        <v>4652</v>
      </c>
      <c r="H965" s="30" t="s">
        <v>4620</v>
      </c>
      <c r="I965" s="30" t="s">
        <v>306</v>
      </c>
      <c r="J965" s="30" t="s">
        <v>206</v>
      </c>
      <c r="K965" s="31" t="s">
        <v>47</v>
      </c>
      <c r="L965" s="32"/>
      <c r="M965" s="33"/>
      <c r="N965" s="30" t="s">
        <v>48</v>
      </c>
      <c r="O965" s="1" t="n">
        <f aca="false">IF($B965="",0,IF(AND(OR(Filter!$B$5="(alle)",$N965=Filter!$B$5),OR(Filter!$E$5="(alle)",$K965=Filter!$E$5),OR(Filter!$H$5="(alle)",$C965=Filter!$H$5),OR(Filter!$B$7="(alle)",$E965=Filter!$B$7),OR(Filter!$E$7="(alle)",ISNUMBER(SEARCH(Filter!$E$7,$J965))),OR(Filter!$H$7="(alle)",ISNUMBER(SEARCH(Filter!$H$7,$I965))),OR(Filter!$B$9="",ISNUMBER(SEARCH(Filter!$B$9,$F965&amp;" "&amp;$G965)))),COUNTIF($O$6:$O964,"&gt;0")+1,0))</f>
        <v>959</v>
      </c>
    </row>
    <row r="966" customFormat="false" ht="51" hidden="false" customHeight="true" outlineLevel="0" collapsed="false">
      <c r="B966" s="30" t="s">
        <v>4653</v>
      </c>
      <c r="C966" s="30" t="s">
        <v>40</v>
      </c>
      <c r="D966" s="30" t="s">
        <v>4654</v>
      </c>
      <c r="E966" s="30" t="s">
        <v>604</v>
      </c>
      <c r="F966" s="30" t="s">
        <v>4655</v>
      </c>
      <c r="G966" s="30" t="s">
        <v>4656</v>
      </c>
      <c r="H966" s="30" t="s">
        <v>4657</v>
      </c>
      <c r="I966" s="30" t="s">
        <v>476</v>
      </c>
      <c r="J966" s="30" t="s">
        <v>476</v>
      </c>
      <c r="K966" s="31" t="s">
        <v>47</v>
      </c>
      <c r="L966" s="32"/>
      <c r="M966" s="33"/>
      <c r="N966" s="30" t="s">
        <v>48</v>
      </c>
      <c r="O966" s="1" t="n">
        <f aca="false">IF($B966="",0,IF(AND(OR(Filter!$B$5="(alle)",$N966=Filter!$B$5),OR(Filter!$E$5="(alle)",$K966=Filter!$E$5),OR(Filter!$H$5="(alle)",$C966=Filter!$H$5),OR(Filter!$B$7="(alle)",$E966=Filter!$B$7),OR(Filter!$E$7="(alle)",ISNUMBER(SEARCH(Filter!$E$7,$J966))),OR(Filter!$H$7="(alle)",ISNUMBER(SEARCH(Filter!$H$7,$I966))),OR(Filter!$B$9="",ISNUMBER(SEARCH(Filter!$B$9,$F966&amp;" "&amp;$G966)))),COUNTIF($O$6:$O965,"&gt;0")+1,0))</f>
        <v>960</v>
      </c>
    </row>
    <row r="967" customFormat="false" ht="51" hidden="false" customHeight="true" outlineLevel="0" collapsed="false">
      <c r="B967" s="30" t="s">
        <v>4658</v>
      </c>
      <c r="C967" s="30" t="s">
        <v>40</v>
      </c>
      <c r="D967" s="30" t="s">
        <v>4659</v>
      </c>
      <c r="E967" s="30" t="s">
        <v>604</v>
      </c>
      <c r="F967" s="30" t="s">
        <v>4660</v>
      </c>
      <c r="G967" s="30" t="s">
        <v>4661</v>
      </c>
      <c r="H967" s="30" t="s">
        <v>4657</v>
      </c>
      <c r="I967" s="30" t="s">
        <v>476</v>
      </c>
      <c r="J967" s="30" t="s">
        <v>476</v>
      </c>
      <c r="K967" s="31" t="s">
        <v>47</v>
      </c>
      <c r="L967" s="32"/>
      <c r="M967" s="33"/>
      <c r="N967" s="30" t="s">
        <v>48</v>
      </c>
      <c r="O967" s="1" t="n">
        <f aca="false">IF($B967="",0,IF(AND(OR(Filter!$B$5="(alle)",$N967=Filter!$B$5),OR(Filter!$E$5="(alle)",$K967=Filter!$E$5),OR(Filter!$H$5="(alle)",$C967=Filter!$H$5),OR(Filter!$B$7="(alle)",$E967=Filter!$B$7),OR(Filter!$E$7="(alle)",ISNUMBER(SEARCH(Filter!$E$7,$J967))),OR(Filter!$H$7="(alle)",ISNUMBER(SEARCH(Filter!$H$7,$I967))),OR(Filter!$B$9="",ISNUMBER(SEARCH(Filter!$B$9,$F967&amp;" "&amp;$G967)))),COUNTIF($O$6:$O966,"&gt;0")+1,0))</f>
        <v>961</v>
      </c>
    </row>
    <row r="968" customFormat="false" ht="51" hidden="false" customHeight="true" outlineLevel="0" collapsed="false">
      <c r="B968" s="30" t="s">
        <v>4662</v>
      </c>
      <c r="C968" s="30" t="s">
        <v>40</v>
      </c>
      <c r="D968" s="30" t="s">
        <v>4663</v>
      </c>
      <c r="E968" s="30" t="s">
        <v>604</v>
      </c>
      <c r="F968" s="30" t="s">
        <v>4664</v>
      </c>
      <c r="G968" s="30" t="s">
        <v>4665</v>
      </c>
      <c r="H968" s="30" t="s">
        <v>4657</v>
      </c>
      <c r="I968" s="30" t="s">
        <v>476</v>
      </c>
      <c r="J968" s="30" t="s">
        <v>476</v>
      </c>
      <c r="K968" s="31" t="s">
        <v>47</v>
      </c>
      <c r="L968" s="32"/>
      <c r="M968" s="33"/>
      <c r="N968" s="30" t="s">
        <v>48</v>
      </c>
      <c r="O968" s="1" t="n">
        <f aca="false">IF($B968="",0,IF(AND(OR(Filter!$B$5="(alle)",$N968=Filter!$B$5),OR(Filter!$E$5="(alle)",$K968=Filter!$E$5),OR(Filter!$H$5="(alle)",$C968=Filter!$H$5),OR(Filter!$B$7="(alle)",$E968=Filter!$B$7),OR(Filter!$E$7="(alle)",ISNUMBER(SEARCH(Filter!$E$7,$J968))),OR(Filter!$H$7="(alle)",ISNUMBER(SEARCH(Filter!$H$7,$I968))),OR(Filter!$B$9="",ISNUMBER(SEARCH(Filter!$B$9,$F968&amp;" "&amp;$G968)))),COUNTIF($O$6:$O967,"&gt;0")+1,0))</f>
        <v>962</v>
      </c>
    </row>
    <row r="969" customFormat="false" ht="51" hidden="false" customHeight="true" outlineLevel="0" collapsed="false">
      <c r="B969" s="30" t="s">
        <v>4666</v>
      </c>
      <c r="C969" s="30" t="s">
        <v>40</v>
      </c>
      <c r="D969" s="30" t="s">
        <v>4667</v>
      </c>
      <c r="E969" s="30" t="s">
        <v>604</v>
      </c>
      <c r="F969" s="30" t="s">
        <v>4668</v>
      </c>
      <c r="G969" s="30" t="s">
        <v>4669</v>
      </c>
      <c r="H969" s="30" t="s">
        <v>4657</v>
      </c>
      <c r="I969" s="30" t="s">
        <v>476</v>
      </c>
      <c r="J969" s="30" t="s">
        <v>476</v>
      </c>
      <c r="K969" s="31" t="s">
        <v>47</v>
      </c>
      <c r="L969" s="32"/>
      <c r="M969" s="33"/>
      <c r="N969" s="30" t="s">
        <v>48</v>
      </c>
      <c r="O969" s="1" t="n">
        <f aca="false">IF($B969="",0,IF(AND(OR(Filter!$B$5="(alle)",$N969=Filter!$B$5),OR(Filter!$E$5="(alle)",$K969=Filter!$E$5),OR(Filter!$H$5="(alle)",$C969=Filter!$H$5),OR(Filter!$B$7="(alle)",$E969=Filter!$B$7),OR(Filter!$E$7="(alle)",ISNUMBER(SEARCH(Filter!$E$7,$J969))),OR(Filter!$H$7="(alle)",ISNUMBER(SEARCH(Filter!$H$7,$I969))),OR(Filter!$B$9="",ISNUMBER(SEARCH(Filter!$B$9,$F969&amp;" "&amp;$G969)))),COUNTIF($O$6:$O968,"&gt;0")+1,0))</f>
        <v>963</v>
      </c>
    </row>
    <row r="970" customFormat="false" ht="51" hidden="false" customHeight="true" outlineLevel="0" collapsed="false">
      <c r="B970" s="30" t="s">
        <v>4670</v>
      </c>
      <c r="C970" s="30" t="s">
        <v>40</v>
      </c>
      <c r="D970" s="30" t="s">
        <v>4671</v>
      </c>
      <c r="E970" s="30" t="s">
        <v>604</v>
      </c>
      <c r="F970" s="30" t="s">
        <v>4672</v>
      </c>
      <c r="G970" s="30" t="s">
        <v>4673</v>
      </c>
      <c r="H970" s="30" t="s">
        <v>4674</v>
      </c>
      <c r="I970" s="30" t="s">
        <v>3700</v>
      </c>
      <c r="J970" s="30" t="s">
        <v>159</v>
      </c>
      <c r="K970" s="31" t="s">
        <v>47</v>
      </c>
      <c r="L970" s="32"/>
      <c r="M970" s="33"/>
      <c r="N970" s="30" t="s">
        <v>48</v>
      </c>
      <c r="O970" s="1" t="n">
        <f aca="false">IF($B970="",0,IF(AND(OR(Filter!$B$5="(alle)",$N970=Filter!$B$5),OR(Filter!$E$5="(alle)",$K970=Filter!$E$5),OR(Filter!$H$5="(alle)",$C970=Filter!$H$5),OR(Filter!$B$7="(alle)",$E970=Filter!$B$7),OR(Filter!$E$7="(alle)",ISNUMBER(SEARCH(Filter!$E$7,$J970))),OR(Filter!$H$7="(alle)",ISNUMBER(SEARCH(Filter!$H$7,$I970))),OR(Filter!$B$9="",ISNUMBER(SEARCH(Filter!$B$9,$F970&amp;" "&amp;$G970)))),COUNTIF($O$6:$O969,"&gt;0")+1,0))</f>
        <v>964</v>
      </c>
    </row>
    <row r="971" customFormat="false" ht="51" hidden="false" customHeight="true" outlineLevel="0" collapsed="false">
      <c r="B971" s="30" t="s">
        <v>4675</v>
      </c>
      <c r="C971" s="30" t="s">
        <v>40</v>
      </c>
      <c r="D971" s="30" t="s">
        <v>4676</v>
      </c>
      <c r="E971" s="30" t="s">
        <v>361</v>
      </c>
      <c r="F971" s="30" t="s">
        <v>4677</v>
      </c>
      <c r="G971" s="30" t="s">
        <v>4678</v>
      </c>
      <c r="H971" s="30" t="s">
        <v>4679</v>
      </c>
      <c r="I971" s="30" t="s">
        <v>306</v>
      </c>
      <c r="J971" s="30" t="s">
        <v>206</v>
      </c>
      <c r="K971" s="31" t="s">
        <v>47</v>
      </c>
      <c r="L971" s="32"/>
      <c r="M971" s="33"/>
      <c r="N971" s="30" t="s">
        <v>48</v>
      </c>
      <c r="O971" s="1" t="n">
        <f aca="false">IF($B971="",0,IF(AND(OR(Filter!$B$5="(alle)",$N971=Filter!$B$5),OR(Filter!$E$5="(alle)",$K971=Filter!$E$5),OR(Filter!$H$5="(alle)",$C971=Filter!$H$5),OR(Filter!$B$7="(alle)",$E971=Filter!$B$7),OR(Filter!$E$7="(alle)",ISNUMBER(SEARCH(Filter!$E$7,$J971))),OR(Filter!$H$7="(alle)",ISNUMBER(SEARCH(Filter!$H$7,$I971))),OR(Filter!$B$9="",ISNUMBER(SEARCH(Filter!$B$9,$F971&amp;" "&amp;$G971)))),COUNTIF($O$6:$O970,"&gt;0")+1,0))</f>
        <v>965</v>
      </c>
    </row>
    <row r="972" customFormat="false" ht="51" hidden="false" customHeight="true" outlineLevel="0" collapsed="false">
      <c r="B972" s="30" t="s">
        <v>4680</v>
      </c>
      <c r="C972" s="30" t="s">
        <v>40</v>
      </c>
      <c r="D972" s="30" t="s">
        <v>4681</v>
      </c>
      <c r="E972" s="30" t="s">
        <v>344</v>
      </c>
      <c r="F972" s="30" t="s">
        <v>4682</v>
      </c>
      <c r="G972" s="30" t="s">
        <v>4683</v>
      </c>
      <c r="H972" s="30" t="s">
        <v>4679</v>
      </c>
      <c r="I972" s="30" t="s">
        <v>306</v>
      </c>
      <c r="J972" s="30" t="s">
        <v>206</v>
      </c>
      <c r="K972" s="31" t="s">
        <v>47</v>
      </c>
      <c r="L972" s="32"/>
      <c r="M972" s="33"/>
      <c r="N972" s="30" t="s">
        <v>48</v>
      </c>
      <c r="O972" s="1" t="n">
        <f aca="false">IF($B972="",0,IF(AND(OR(Filter!$B$5="(alle)",$N972=Filter!$B$5),OR(Filter!$E$5="(alle)",$K972=Filter!$E$5),OR(Filter!$H$5="(alle)",$C972=Filter!$H$5),OR(Filter!$B$7="(alle)",$E972=Filter!$B$7),OR(Filter!$E$7="(alle)",ISNUMBER(SEARCH(Filter!$E$7,$J972))),OR(Filter!$H$7="(alle)",ISNUMBER(SEARCH(Filter!$H$7,$I972))),OR(Filter!$B$9="",ISNUMBER(SEARCH(Filter!$B$9,$F972&amp;" "&amp;$G972)))),COUNTIF($O$6:$O971,"&gt;0")+1,0))</f>
        <v>966</v>
      </c>
    </row>
    <row r="973" customFormat="false" ht="51" hidden="false" customHeight="true" outlineLevel="0" collapsed="false">
      <c r="B973" s="30" t="s">
        <v>4684</v>
      </c>
      <c r="C973" s="30" t="s">
        <v>40</v>
      </c>
      <c r="D973" s="30" t="s">
        <v>4685</v>
      </c>
      <c r="E973" s="30" t="s">
        <v>331</v>
      </c>
      <c r="F973" s="30" t="s">
        <v>4686</v>
      </c>
      <c r="G973" s="30" t="s">
        <v>4687</v>
      </c>
      <c r="H973" s="30" t="s">
        <v>4679</v>
      </c>
      <c r="I973" s="30" t="s">
        <v>306</v>
      </c>
      <c r="J973" s="30" t="s">
        <v>206</v>
      </c>
      <c r="K973" s="31" t="s">
        <v>151</v>
      </c>
      <c r="L973" s="32"/>
      <c r="M973" s="33" t="s">
        <v>370</v>
      </c>
      <c r="N973" s="30" t="s">
        <v>48</v>
      </c>
      <c r="O973" s="1" t="n">
        <f aca="false">IF($B973="",0,IF(AND(OR(Filter!$B$5="(alle)",$N973=Filter!$B$5),OR(Filter!$E$5="(alle)",$K973=Filter!$E$5),OR(Filter!$H$5="(alle)",$C973=Filter!$H$5),OR(Filter!$B$7="(alle)",$E973=Filter!$B$7),OR(Filter!$E$7="(alle)",ISNUMBER(SEARCH(Filter!$E$7,$J973))),OR(Filter!$H$7="(alle)",ISNUMBER(SEARCH(Filter!$H$7,$I973))),OR(Filter!$B$9="",ISNUMBER(SEARCH(Filter!$B$9,$F973&amp;" "&amp;$G973)))),COUNTIF($O$6:$O972,"&gt;0")+1,0))</f>
        <v>967</v>
      </c>
    </row>
    <row r="974" customFormat="false" ht="51" hidden="false" customHeight="true" outlineLevel="0" collapsed="false">
      <c r="B974" s="30" t="s">
        <v>4688</v>
      </c>
      <c r="C974" s="30" t="s">
        <v>40</v>
      </c>
      <c r="D974" s="30" t="s">
        <v>4689</v>
      </c>
      <c r="E974" s="30" t="s">
        <v>344</v>
      </c>
      <c r="F974" s="30" t="s">
        <v>4690</v>
      </c>
      <c r="G974" s="30" t="s">
        <v>4691</v>
      </c>
      <c r="H974" s="30" t="s">
        <v>4679</v>
      </c>
      <c r="I974" s="30" t="s">
        <v>306</v>
      </c>
      <c r="J974" s="30" t="s">
        <v>206</v>
      </c>
      <c r="K974" s="31" t="s">
        <v>47</v>
      </c>
      <c r="L974" s="32"/>
      <c r="M974" s="33"/>
      <c r="N974" s="30" t="s">
        <v>48</v>
      </c>
      <c r="O974" s="1" t="n">
        <f aca="false">IF($B974="",0,IF(AND(OR(Filter!$B$5="(alle)",$N974=Filter!$B$5),OR(Filter!$E$5="(alle)",$K974=Filter!$E$5),OR(Filter!$H$5="(alle)",$C974=Filter!$H$5),OR(Filter!$B$7="(alle)",$E974=Filter!$B$7),OR(Filter!$E$7="(alle)",ISNUMBER(SEARCH(Filter!$E$7,$J974))),OR(Filter!$H$7="(alle)",ISNUMBER(SEARCH(Filter!$H$7,$I974))),OR(Filter!$B$9="",ISNUMBER(SEARCH(Filter!$B$9,$F974&amp;" "&amp;$G974)))),COUNTIF($O$6:$O973,"&gt;0")+1,0))</f>
        <v>968</v>
      </c>
    </row>
    <row r="975" customFormat="false" ht="51" hidden="false" customHeight="true" outlineLevel="0" collapsed="false">
      <c r="B975" s="30" t="s">
        <v>4692</v>
      </c>
      <c r="C975" s="30" t="s">
        <v>40</v>
      </c>
      <c r="D975" s="30" t="s">
        <v>4693</v>
      </c>
      <c r="E975" s="30" t="s">
        <v>547</v>
      </c>
      <c r="F975" s="30" t="s">
        <v>4694</v>
      </c>
      <c r="G975" s="30" t="s">
        <v>4695</v>
      </c>
      <c r="H975" s="30" t="s">
        <v>4696</v>
      </c>
      <c r="I975" s="30" t="s">
        <v>476</v>
      </c>
      <c r="J975" s="30" t="s">
        <v>476</v>
      </c>
      <c r="K975" s="31" t="s">
        <v>47</v>
      </c>
      <c r="L975" s="32"/>
      <c r="M975" s="33"/>
      <c r="N975" s="30" t="s">
        <v>48</v>
      </c>
      <c r="O975" s="1" t="n">
        <f aca="false">IF($B975="",0,IF(AND(OR(Filter!$B$5="(alle)",$N975=Filter!$B$5),OR(Filter!$E$5="(alle)",$K975=Filter!$E$5),OR(Filter!$H$5="(alle)",$C975=Filter!$H$5),OR(Filter!$B$7="(alle)",$E975=Filter!$B$7),OR(Filter!$E$7="(alle)",ISNUMBER(SEARCH(Filter!$E$7,$J975))),OR(Filter!$H$7="(alle)",ISNUMBER(SEARCH(Filter!$H$7,$I975))),OR(Filter!$B$9="",ISNUMBER(SEARCH(Filter!$B$9,$F975&amp;" "&amp;$G975)))),COUNTIF($O$6:$O974,"&gt;0")+1,0))</f>
        <v>969</v>
      </c>
    </row>
    <row r="976" customFormat="false" ht="51" hidden="false" customHeight="true" outlineLevel="0" collapsed="false">
      <c r="B976" s="30" t="s">
        <v>4697</v>
      </c>
      <c r="C976" s="30" t="s">
        <v>40</v>
      </c>
      <c r="D976" s="30" t="s">
        <v>4698</v>
      </c>
      <c r="E976" s="30" t="s">
        <v>344</v>
      </c>
      <c r="F976" s="30" t="s">
        <v>4699</v>
      </c>
      <c r="G976" s="30" t="s">
        <v>4700</v>
      </c>
      <c r="H976" s="30" t="s">
        <v>4701</v>
      </c>
      <c r="I976" s="30" t="s">
        <v>306</v>
      </c>
      <c r="J976" s="30" t="s">
        <v>206</v>
      </c>
      <c r="K976" s="31" t="s">
        <v>47</v>
      </c>
      <c r="L976" s="32"/>
      <c r="M976" s="33"/>
      <c r="N976" s="30" t="s">
        <v>48</v>
      </c>
      <c r="O976" s="1" t="n">
        <f aca="false">IF($B976="",0,IF(AND(OR(Filter!$B$5="(alle)",$N976=Filter!$B$5),OR(Filter!$E$5="(alle)",$K976=Filter!$E$5),OR(Filter!$H$5="(alle)",$C976=Filter!$H$5),OR(Filter!$B$7="(alle)",$E976=Filter!$B$7),OR(Filter!$E$7="(alle)",ISNUMBER(SEARCH(Filter!$E$7,$J976))),OR(Filter!$H$7="(alle)",ISNUMBER(SEARCH(Filter!$H$7,$I976))),OR(Filter!$B$9="",ISNUMBER(SEARCH(Filter!$B$9,$F976&amp;" "&amp;$G976)))),COUNTIF($O$6:$O975,"&gt;0")+1,0))</f>
        <v>970</v>
      </c>
    </row>
    <row r="977" customFormat="false" ht="51" hidden="false" customHeight="true" outlineLevel="0" collapsed="false">
      <c r="B977" s="30" t="s">
        <v>4702</v>
      </c>
      <c r="C977" s="30" t="s">
        <v>40</v>
      </c>
      <c r="D977" s="30" t="s">
        <v>4703</v>
      </c>
      <c r="E977" s="30" t="s">
        <v>344</v>
      </c>
      <c r="F977" s="30" t="s">
        <v>4704</v>
      </c>
      <c r="G977" s="30" t="s">
        <v>4705</v>
      </c>
      <c r="H977" s="30" t="s">
        <v>4701</v>
      </c>
      <c r="I977" s="30" t="s">
        <v>306</v>
      </c>
      <c r="J977" s="30" t="s">
        <v>206</v>
      </c>
      <c r="K977" s="31" t="s">
        <v>47</v>
      </c>
      <c r="L977" s="32"/>
      <c r="M977" s="33"/>
      <c r="N977" s="30" t="s">
        <v>48</v>
      </c>
      <c r="O977" s="1" t="n">
        <f aca="false">IF($B977="",0,IF(AND(OR(Filter!$B$5="(alle)",$N977=Filter!$B$5),OR(Filter!$E$5="(alle)",$K977=Filter!$E$5),OR(Filter!$H$5="(alle)",$C977=Filter!$H$5),OR(Filter!$B$7="(alle)",$E977=Filter!$B$7),OR(Filter!$E$7="(alle)",ISNUMBER(SEARCH(Filter!$E$7,$J977))),OR(Filter!$H$7="(alle)",ISNUMBER(SEARCH(Filter!$H$7,$I977))),OR(Filter!$B$9="",ISNUMBER(SEARCH(Filter!$B$9,$F977&amp;" "&amp;$G977)))),COUNTIF($O$6:$O976,"&gt;0")+1,0))</f>
        <v>971</v>
      </c>
    </row>
    <row r="978" customFormat="false" ht="51" hidden="false" customHeight="true" outlineLevel="0" collapsed="false">
      <c r="B978" s="30" t="s">
        <v>4706</v>
      </c>
      <c r="C978" s="30" t="s">
        <v>40</v>
      </c>
      <c r="D978" s="30" t="s">
        <v>4707</v>
      </c>
      <c r="E978" s="30" t="s">
        <v>42</v>
      </c>
      <c r="F978" s="30" t="s">
        <v>4708</v>
      </c>
      <c r="G978" s="30" t="s">
        <v>4709</v>
      </c>
      <c r="H978" s="30" t="s">
        <v>4710</v>
      </c>
      <c r="I978" s="30" t="s">
        <v>98</v>
      </c>
      <c r="J978" s="30" t="s">
        <v>4711</v>
      </c>
      <c r="K978" s="31" t="s">
        <v>47</v>
      </c>
      <c r="L978" s="32"/>
      <c r="M978" s="33"/>
      <c r="N978" s="30" t="s">
        <v>65</v>
      </c>
      <c r="O978" s="1" t="n">
        <f aca="false">IF($B978="",0,IF(AND(OR(Filter!$B$5="(alle)",$N978=Filter!$B$5),OR(Filter!$E$5="(alle)",$K978=Filter!$E$5),OR(Filter!$H$5="(alle)",$C978=Filter!$H$5),OR(Filter!$B$7="(alle)",$E978=Filter!$B$7),OR(Filter!$E$7="(alle)",ISNUMBER(SEARCH(Filter!$E$7,$J978))),OR(Filter!$H$7="(alle)",ISNUMBER(SEARCH(Filter!$H$7,$I978))),OR(Filter!$B$9="",ISNUMBER(SEARCH(Filter!$B$9,$F978&amp;" "&amp;$G978)))),COUNTIF($O$6:$O977,"&gt;0")+1,0))</f>
        <v>972</v>
      </c>
    </row>
    <row r="979" customFormat="false" ht="51" hidden="false" customHeight="true" outlineLevel="0" collapsed="false">
      <c r="B979" s="30" t="s">
        <v>4712</v>
      </c>
      <c r="C979" s="30" t="s">
        <v>40</v>
      </c>
      <c r="D979" s="30" t="s">
        <v>4713</v>
      </c>
      <c r="E979" s="30" t="s">
        <v>547</v>
      </c>
      <c r="F979" s="30" t="s">
        <v>4714</v>
      </c>
      <c r="G979" s="30" t="s">
        <v>4714</v>
      </c>
      <c r="H979" s="30" t="s">
        <v>4715</v>
      </c>
      <c r="I979" s="30" t="s">
        <v>476</v>
      </c>
      <c r="J979" s="30" t="s">
        <v>476</v>
      </c>
      <c r="K979" s="31" t="s">
        <v>47</v>
      </c>
      <c r="L979" s="32"/>
      <c r="M979" s="33"/>
      <c r="N979" s="30" t="s">
        <v>48</v>
      </c>
      <c r="O979" s="1" t="n">
        <f aca="false">IF($B979="",0,IF(AND(OR(Filter!$B$5="(alle)",$N979=Filter!$B$5),OR(Filter!$E$5="(alle)",$K979=Filter!$E$5),OR(Filter!$H$5="(alle)",$C979=Filter!$H$5),OR(Filter!$B$7="(alle)",$E979=Filter!$B$7),OR(Filter!$E$7="(alle)",ISNUMBER(SEARCH(Filter!$E$7,$J979))),OR(Filter!$H$7="(alle)",ISNUMBER(SEARCH(Filter!$H$7,$I979))),OR(Filter!$B$9="",ISNUMBER(SEARCH(Filter!$B$9,$F979&amp;" "&amp;$G979)))),COUNTIF($O$6:$O978,"&gt;0")+1,0))</f>
        <v>973</v>
      </c>
    </row>
    <row r="980" customFormat="false" ht="51" hidden="false" customHeight="true" outlineLevel="0" collapsed="false">
      <c r="B980" s="30" t="s">
        <v>4716</v>
      </c>
      <c r="C980" s="30" t="s">
        <v>40</v>
      </c>
      <c r="D980" s="30" t="s">
        <v>4717</v>
      </c>
      <c r="E980" s="30" t="s">
        <v>344</v>
      </c>
      <c r="F980" s="30" t="s">
        <v>4718</v>
      </c>
      <c r="G980" s="30" t="s">
        <v>4719</v>
      </c>
      <c r="H980" s="30" t="s">
        <v>4710</v>
      </c>
      <c r="I980" s="30" t="s">
        <v>306</v>
      </c>
      <c r="J980" s="30" t="s">
        <v>206</v>
      </c>
      <c r="K980" s="31" t="s">
        <v>47</v>
      </c>
      <c r="L980" s="32"/>
      <c r="M980" s="33"/>
      <c r="N980" s="30" t="s">
        <v>48</v>
      </c>
      <c r="O980" s="1" t="n">
        <f aca="false">IF($B980="",0,IF(AND(OR(Filter!$B$5="(alle)",$N980=Filter!$B$5),OR(Filter!$E$5="(alle)",$K980=Filter!$E$5),OR(Filter!$H$5="(alle)",$C980=Filter!$H$5),OR(Filter!$B$7="(alle)",$E980=Filter!$B$7),OR(Filter!$E$7="(alle)",ISNUMBER(SEARCH(Filter!$E$7,$J980))),OR(Filter!$H$7="(alle)",ISNUMBER(SEARCH(Filter!$H$7,$I980))),OR(Filter!$B$9="",ISNUMBER(SEARCH(Filter!$B$9,$F980&amp;" "&amp;$G980)))),COUNTIF($O$6:$O979,"&gt;0")+1,0))</f>
        <v>974</v>
      </c>
    </row>
    <row r="981" customFormat="false" ht="51" hidden="false" customHeight="true" outlineLevel="0" collapsed="false">
      <c r="B981" s="30" t="s">
        <v>4720</v>
      </c>
      <c r="C981" s="30" t="s">
        <v>40</v>
      </c>
      <c r="D981" s="30" t="s">
        <v>4721</v>
      </c>
      <c r="E981" s="30" t="s">
        <v>604</v>
      </c>
      <c r="F981" s="30" t="s">
        <v>4722</v>
      </c>
      <c r="G981" s="30" t="s">
        <v>4723</v>
      </c>
      <c r="H981" s="30" t="s">
        <v>4710</v>
      </c>
      <c r="I981" s="30" t="s">
        <v>3700</v>
      </c>
      <c r="J981" s="30" t="s">
        <v>159</v>
      </c>
      <c r="K981" s="31" t="s">
        <v>47</v>
      </c>
      <c r="L981" s="32"/>
      <c r="M981" s="33"/>
      <c r="N981" s="30" t="s">
        <v>48</v>
      </c>
      <c r="O981" s="1" t="n">
        <f aca="false">IF($B981="",0,IF(AND(OR(Filter!$B$5="(alle)",$N981=Filter!$B$5),OR(Filter!$E$5="(alle)",$K981=Filter!$E$5),OR(Filter!$H$5="(alle)",$C981=Filter!$H$5),OR(Filter!$B$7="(alle)",$E981=Filter!$B$7),OR(Filter!$E$7="(alle)",ISNUMBER(SEARCH(Filter!$E$7,$J981))),OR(Filter!$H$7="(alle)",ISNUMBER(SEARCH(Filter!$H$7,$I981))),OR(Filter!$B$9="",ISNUMBER(SEARCH(Filter!$B$9,$F981&amp;" "&amp;$G981)))),COUNTIF($O$6:$O980,"&gt;0")+1,0))</f>
        <v>975</v>
      </c>
    </row>
    <row r="982" customFormat="false" ht="51" hidden="false" customHeight="true" outlineLevel="0" collapsed="false">
      <c r="B982" s="30" t="s">
        <v>4724</v>
      </c>
      <c r="C982" s="30" t="s">
        <v>40</v>
      </c>
      <c r="D982" s="30" t="s">
        <v>4725</v>
      </c>
      <c r="E982" s="30" t="s">
        <v>344</v>
      </c>
      <c r="F982" s="30" t="s">
        <v>4726</v>
      </c>
      <c r="G982" s="30" t="s">
        <v>4727</v>
      </c>
      <c r="H982" s="30" t="s">
        <v>4710</v>
      </c>
      <c r="I982" s="30" t="s">
        <v>306</v>
      </c>
      <c r="J982" s="30" t="s">
        <v>206</v>
      </c>
      <c r="K982" s="31" t="s">
        <v>47</v>
      </c>
      <c r="L982" s="32"/>
      <c r="M982" s="33"/>
      <c r="N982" s="30" t="s">
        <v>48</v>
      </c>
      <c r="O982" s="1" t="n">
        <f aca="false">IF($B982="",0,IF(AND(OR(Filter!$B$5="(alle)",$N982=Filter!$B$5),OR(Filter!$E$5="(alle)",$K982=Filter!$E$5),OR(Filter!$H$5="(alle)",$C982=Filter!$H$5),OR(Filter!$B$7="(alle)",$E982=Filter!$B$7),OR(Filter!$E$7="(alle)",ISNUMBER(SEARCH(Filter!$E$7,$J982))),OR(Filter!$H$7="(alle)",ISNUMBER(SEARCH(Filter!$H$7,$I982))),OR(Filter!$B$9="",ISNUMBER(SEARCH(Filter!$B$9,$F982&amp;" "&amp;$G982)))),COUNTIF($O$6:$O981,"&gt;0")+1,0))</f>
        <v>976</v>
      </c>
    </row>
    <row r="983" customFormat="false" ht="51" hidden="false" customHeight="true" outlineLevel="0" collapsed="false">
      <c r="B983" s="30" t="s">
        <v>4728</v>
      </c>
      <c r="C983" s="30" t="s">
        <v>40</v>
      </c>
      <c r="D983" s="30" t="s">
        <v>4729</v>
      </c>
      <c r="E983" s="30" t="s">
        <v>344</v>
      </c>
      <c r="F983" s="30" t="s">
        <v>4730</v>
      </c>
      <c r="G983" s="30" t="s">
        <v>4730</v>
      </c>
      <c r="H983" s="30" t="s">
        <v>4731</v>
      </c>
      <c r="I983" s="30" t="s">
        <v>306</v>
      </c>
      <c r="J983" s="30" t="s">
        <v>206</v>
      </c>
      <c r="K983" s="31" t="s">
        <v>47</v>
      </c>
      <c r="L983" s="32"/>
      <c r="M983" s="33"/>
      <c r="N983" s="30" t="s">
        <v>48</v>
      </c>
      <c r="O983" s="1" t="n">
        <f aca="false">IF($B983="",0,IF(AND(OR(Filter!$B$5="(alle)",$N983=Filter!$B$5),OR(Filter!$E$5="(alle)",$K983=Filter!$E$5),OR(Filter!$H$5="(alle)",$C983=Filter!$H$5),OR(Filter!$B$7="(alle)",$E983=Filter!$B$7),OR(Filter!$E$7="(alle)",ISNUMBER(SEARCH(Filter!$E$7,$J983))),OR(Filter!$H$7="(alle)",ISNUMBER(SEARCH(Filter!$H$7,$I983))),OR(Filter!$B$9="",ISNUMBER(SEARCH(Filter!$B$9,$F983&amp;" "&amp;$G983)))),COUNTIF($O$6:$O982,"&gt;0")+1,0))</f>
        <v>977</v>
      </c>
    </row>
    <row r="984" customFormat="false" ht="51" hidden="false" customHeight="true" outlineLevel="0" collapsed="false">
      <c r="B984" s="30" t="s">
        <v>4732</v>
      </c>
      <c r="C984" s="30" t="s">
        <v>40</v>
      </c>
      <c r="D984" s="30" t="s">
        <v>4733</v>
      </c>
      <c r="E984" s="30" t="s">
        <v>344</v>
      </c>
      <c r="F984" s="30" t="s">
        <v>4734</v>
      </c>
      <c r="G984" s="30" t="s">
        <v>4734</v>
      </c>
      <c r="H984" s="30" t="s">
        <v>4731</v>
      </c>
      <c r="I984" s="30" t="s">
        <v>306</v>
      </c>
      <c r="J984" s="30" t="s">
        <v>206</v>
      </c>
      <c r="K984" s="31" t="s">
        <v>47</v>
      </c>
      <c r="L984" s="32"/>
      <c r="M984" s="33"/>
      <c r="N984" s="30" t="s">
        <v>48</v>
      </c>
      <c r="O984" s="1" t="n">
        <f aca="false">IF($B984="",0,IF(AND(OR(Filter!$B$5="(alle)",$N984=Filter!$B$5),OR(Filter!$E$5="(alle)",$K984=Filter!$E$5),OR(Filter!$H$5="(alle)",$C984=Filter!$H$5),OR(Filter!$B$7="(alle)",$E984=Filter!$B$7),OR(Filter!$E$7="(alle)",ISNUMBER(SEARCH(Filter!$E$7,$J984))),OR(Filter!$H$7="(alle)",ISNUMBER(SEARCH(Filter!$H$7,$I984))),OR(Filter!$B$9="",ISNUMBER(SEARCH(Filter!$B$9,$F984&amp;" "&amp;$G984)))),COUNTIF($O$6:$O983,"&gt;0")+1,0))</f>
        <v>978</v>
      </c>
    </row>
    <row r="985" customFormat="false" ht="51" hidden="false" customHeight="true" outlineLevel="0" collapsed="false">
      <c r="B985" s="30" t="s">
        <v>4735</v>
      </c>
      <c r="C985" s="30" t="s">
        <v>40</v>
      </c>
      <c r="D985" s="30" t="s">
        <v>4736</v>
      </c>
      <c r="E985" s="30" t="s">
        <v>344</v>
      </c>
      <c r="F985" s="30" t="s">
        <v>4737</v>
      </c>
      <c r="G985" s="30" t="s">
        <v>4737</v>
      </c>
      <c r="H985" s="30" t="s">
        <v>4731</v>
      </c>
      <c r="I985" s="30" t="s">
        <v>306</v>
      </c>
      <c r="J985" s="30" t="s">
        <v>206</v>
      </c>
      <c r="K985" s="31" t="s">
        <v>47</v>
      </c>
      <c r="L985" s="32"/>
      <c r="M985" s="33"/>
      <c r="N985" s="30" t="s">
        <v>48</v>
      </c>
      <c r="O985" s="1" t="n">
        <f aca="false">IF($B985="",0,IF(AND(OR(Filter!$B$5="(alle)",$N985=Filter!$B$5),OR(Filter!$E$5="(alle)",$K985=Filter!$E$5),OR(Filter!$H$5="(alle)",$C985=Filter!$H$5),OR(Filter!$B$7="(alle)",$E985=Filter!$B$7),OR(Filter!$E$7="(alle)",ISNUMBER(SEARCH(Filter!$E$7,$J985))),OR(Filter!$H$7="(alle)",ISNUMBER(SEARCH(Filter!$H$7,$I985))),OR(Filter!$B$9="",ISNUMBER(SEARCH(Filter!$B$9,$F985&amp;" "&amp;$G985)))),COUNTIF($O$6:$O984,"&gt;0")+1,0))</f>
        <v>979</v>
      </c>
    </row>
    <row r="986" customFormat="false" ht="51" hidden="false" customHeight="true" outlineLevel="0" collapsed="false">
      <c r="B986" s="30" t="s">
        <v>4738</v>
      </c>
      <c r="C986" s="30" t="s">
        <v>40</v>
      </c>
      <c r="D986" s="30" t="s">
        <v>4739</v>
      </c>
      <c r="E986" s="30" t="s">
        <v>344</v>
      </c>
      <c r="F986" s="30" t="s">
        <v>4740</v>
      </c>
      <c r="G986" s="30" t="s">
        <v>4740</v>
      </c>
      <c r="H986" s="30" t="s">
        <v>4731</v>
      </c>
      <c r="I986" s="30" t="s">
        <v>306</v>
      </c>
      <c r="J986" s="30" t="s">
        <v>206</v>
      </c>
      <c r="K986" s="31" t="s">
        <v>47</v>
      </c>
      <c r="L986" s="32"/>
      <c r="M986" s="33"/>
      <c r="N986" s="30" t="s">
        <v>48</v>
      </c>
      <c r="O986" s="1" t="n">
        <f aca="false">IF($B986="",0,IF(AND(OR(Filter!$B$5="(alle)",$N986=Filter!$B$5),OR(Filter!$E$5="(alle)",$K986=Filter!$E$5),OR(Filter!$H$5="(alle)",$C986=Filter!$H$5),OR(Filter!$B$7="(alle)",$E986=Filter!$B$7),OR(Filter!$E$7="(alle)",ISNUMBER(SEARCH(Filter!$E$7,$J986))),OR(Filter!$H$7="(alle)",ISNUMBER(SEARCH(Filter!$H$7,$I986))),OR(Filter!$B$9="",ISNUMBER(SEARCH(Filter!$B$9,$F986&amp;" "&amp;$G986)))),COUNTIF($O$6:$O985,"&gt;0")+1,0))</f>
        <v>980</v>
      </c>
    </row>
    <row r="987" customFormat="false" ht="51" hidden="false" customHeight="true" outlineLevel="0" collapsed="false">
      <c r="B987" s="30" t="s">
        <v>4741</v>
      </c>
      <c r="C987" s="30" t="s">
        <v>40</v>
      </c>
      <c r="D987" s="30" t="s">
        <v>4742</v>
      </c>
      <c r="E987" s="30" t="s">
        <v>210</v>
      </c>
      <c r="F987" s="30" t="s">
        <v>4743</v>
      </c>
      <c r="G987" s="30" t="s">
        <v>4744</v>
      </c>
      <c r="H987" s="30" t="s">
        <v>4745</v>
      </c>
      <c r="I987" s="30" t="s">
        <v>306</v>
      </c>
      <c r="J987" s="30" t="s">
        <v>206</v>
      </c>
      <c r="K987" s="31" t="s">
        <v>47</v>
      </c>
      <c r="L987" s="32"/>
      <c r="M987" s="33"/>
      <c r="N987" s="30" t="s">
        <v>48</v>
      </c>
      <c r="O987" s="1" t="n">
        <f aca="false">IF($B987="",0,IF(AND(OR(Filter!$B$5="(alle)",$N987=Filter!$B$5),OR(Filter!$E$5="(alle)",$K987=Filter!$E$5),OR(Filter!$H$5="(alle)",$C987=Filter!$H$5),OR(Filter!$B$7="(alle)",$E987=Filter!$B$7),OR(Filter!$E$7="(alle)",ISNUMBER(SEARCH(Filter!$E$7,$J987))),OR(Filter!$H$7="(alle)",ISNUMBER(SEARCH(Filter!$H$7,$I987))),OR(Filter!$B$9="",ISNUMBER(SEARCH(Filter!$B$9,$F987&amp;" "&amp;$G987)))),COUNTIF($O$6:$O986,"&gt;0")+1,0))</f>
        <v>981</v>
      </c>
    </row>
    <row r="988" customFormat="false" ht="51" hidden="false" customHeight="true" outlineLevel="0" collapsed="false">
      <c r="B988" s="30" t="s">
        <v>4746</v>
      </c>
      <c r="C988" s="30" t="s">
        <v>40</v>
      </c>
      <c r="D988" s="30" t="s">
        <v>4747</v>
      </c>
      <c r="E988" s="30" t="s">
        <v>344</v>
      </c>
      <c r="F988" s="30" t="s">
        <v>4748</v>
      </c>
      <c r="G988" s="30" t="s">
        <v>4749</v>
      </c>
      <c r="H988" s="30" t="s">
        <v>4745</v>
      </c>
      <c r="I988" s="30" t="s">
        <v>306</v>
      </c>
      <c r="J988" s="30" t="s">
        <v>206</v>
      </c>
      <c r="K988" s="31" t="s">
        <v>47</v>
      </c>
      <c r="L988" s="32"/>
      <c r="M988" s="33"/>
      <c r="N988" s="30" t="s">
        <v>48</v>
      </c>
      <c r="O988" s="1" t="n">
        <f aca="false">IF($B988="",0,IF(AND(OR(Filter!$B$5="(alle)",$N988=Filter!$B$5),OR(Filter!$E$5="(alle)",$K988=Filter!$E$5),OR(Filter!$H$5="(alle)",$C988=Filter!$H$5),OR(Filter!$B$7="(alle)",$E988=Filter!$B$7),OR(Filter!$E$7="(alle)",ISNUMBER(SEARCH(Filter!$E$7,$J988))),OR(Filter!$H$7="(alle)",ISNUMBER(SEARCH(Filter!$H$7,$I988))),OR(Filter!$B$9="",ISNUMBER(SEARCH(Filter!$B$9,$F988&amp;" "&amp;$G988)))),COUNTIF($O$6:$O987,"&gt;0")+1,0))</f>
        <v>982</v>
      </c>
    </row>
    <row r="989" customFormat="false" ht="51" hidden="false" customHeight="true" outlineLevel="0" collapsed="false">
      <c r="B989" s="30" t="s">
        <v>4750</v>
      </c>
      <c r="C989" s="30" t="s">
        <v>40</v>
      </c>
      <c r="D989" s="30" t="s">
        <v>4751</v>
      </c>
      <c r="E989" s="30" t="s">
        <v>344</v>
      </c>
      <c r="F989" s="30" t="s">
        <v>4752</v>
      </c>
      <c r="G989" s="30" t="s">
        <v>4753</v>
      </c>
      <c r="H989" s="30" t="s">
        <v>4745</v>
      </c>
      <c r="I989" s="30" t="s">
        <v>306</v>
      </c>
      <c r="J989" s="30" t="s">
        <v>206</v>
      </c>
      <c r="K989" s="31" t="s">
        <v>47</v>
      </c>
      <c r="L989" s="32"/>
      <c r="M989" s="33"/>
      <c r="N989" s="30" t="s">
        <v>48</v>
      </c>
      <c r="O989" s="1" t="n">
        <f aca="false">IF($B989="",0,IF(AND(OR(Filter!$B$5="(alle)",$N989=Filter!$B$5),OR(Filter!$E$5="(alle)",$K989=Filter!$E$5),OR(Filter!$H$5="(alle)",$C989=Filter!$H$5),OR(Filter!$B$7="(alle)",$E989=Filter!$B$7),OR(Filter!$E$7="(alle)",ISNUMBER(SEARCH(Filter!$E$7,$J989))),OR(Filter!$H$7="(alle)",ISNUMBER(SEARCH(Filter!$H$7,$I989))),OR(Filter!$B$9="",ISNUMBER(SEARCH(Filter!$B$9,$F989&amp;" "&amp;$G989)))),COUNTIF($O$6:$O988,"&gt;0")+1,0))</f>
        <v>983</v>
      </c>
    </row>
    <row r="990" customFormat="false" ht="51" hidden="false" customHeight="true" outlineLevel="0" collapsed="false">
      <c r="B990" s="30" t="s">
        <v>4754</v>
      </c>
      <c r="C990" s="30" t="s">
        <v>40</v>
      </c>
      <c r="D990" s="30" t="s">
        <v>4755</v>
      </c>
      <c r="E990" s="30" t="s">
        <v>210</v>
      </c>
      <c r="F990" s="30" t="s">
        <v>4756</v>
      </c>
      <c r="G990" s="30" t="s">
        <v>4756</v>
      </c>
      <c r="H990" s="30" t="s">
        <v>4745</v>
      </c>
      <c r="I990" s="30" t="s">
        <v>306</v>
      </c>
      <c r="J990" s="30" t="s">
        <v>206</v>
      </c>
      <c r="K990" s="31" t="s">
        <v>47</v>
      </c>
      <c r="L990" s="32"/>
      <c r="M990" s="33"/>
      <c r="N990" s="30" t="s">
        <v>48</v>
      </c>
      <c r="O990" s="1" t="n">
        <f aca="false">IF($B990="",0,IF(AND(OR(Filter!$B$5="(alle)",$N990=Filter!$B$5),OR(Filter!$E$5="(alle)",$K990=Filter!$E$5),OR(Filter!$H$5="(alle)",$C990=Filter!$H$5),OR(Filter!$B$7="(alle)",$E990=Filter!$B$7),OR(Filter!$E$7="(alle)",ISNUMBER(SEARCH(Filter!$E$7,$J990))),OR(Filter!$H$7="(alle)",ISNUMBER(SEARCH(Filter!$H$7,$I990))),OR(Filter!$B$9="",ISNUMBER(SEARCH(Filter!$B$9,$F990&amp;" "&amp;$G990)))),COUNTIF($O$6:$O989,"&gt;0")+1,0))</f>
        <v>984</v>
      </c>
    </row>
    <row r="991" customFormat="false" ht="51" hidden="false" customHeight="true" outlineLevel="0" collapsed="false">
      <c r="B991" s="30" t="s">
        <v>4757</v>
      </c>
      <c r="C991" s="30" t="s">
        <v>40</v>
      </c>
      <c r="D991" s="30" t="s">
        <v>4758</v>
      </c>
      <c r="E991" s="30" t="s">
        <v>344</v>
      </c>
      <c r="F991" s="30" t="s">
        <v>4759</v>
      </c>
      <c r="G991" s="30" t="s">
        <v>4760</v>
      </c>
      <c r="H991" s="30" t="s">
        <v>4745</v>
      </c>
      <c r="I991" s="30" t="s">
        <v>306</v>
      </c>
      <c r="J991" s="30" t="s">
        <v>206</v>
      </c>
      <c r="K991" s="31" t="s">
        <v>47</v>
      </c>
      <c r="L991" s="32"/>
      <c r="M991" s="33"/>
      <c r="N991" s="30" t="s">
        <v>48</v>
      </c>
      <c r="O991" s="1" t="n">
        <f aca="false">IF($B991="",0,IF(AND(OR(Filter!$B$5="(alle)",$N991=Filter!$B$5),OR(Filter!$E$5="(alle)",$K991=Filter!$E$5),OR(Filter!$H$5="(alle)",$C991=Filter!$H$5),OR(Filter!$B$7="(alle)",$E991=Filter!$B$7),OR(Filter!$E$7="(alle)",ISNUMBER(SEARCH(Filter!$E$7,$J991))),OR(Filter!$H$7="(alle)",ISNUMBER(SEARCH(Filter!$H$7,$I991))),OR(Filter!$B$9="",ISNUMBER(SEARCH(Filter!$B$9,$F991&amp;" "&amp;$G991)))),COUNTIF($O$6:$O990,"&gt;0")+1,0))</f>
        <v>985</v>
      </c>
    </row>
    <row r="992" customFormat="false" ht="51" hidden="false" customHeight="true" outlineLevel="0" collapsed="false">
      <c r="B992" s="30" t="s">
        <v>4761</v>
      </c>
      <c r="C992" s="30" t="s">
        <v>40</v>
      </c>
      <c r="D992" s="30" t="s">
        <v>4762</v>
      </c>
      <c r="E992" s="30" t="s">
        <v>344</v>
      </c>
      <c r="F992" s="30" t="s">
        <v>4763</v>
      </c>
      <c r="G992" s="30" t="s">
        <v>4764</v>
      </c>
      <c r="H992" s="30" t="s">
        <v>4745</v>
      </c>
      <c r="I992" s="30" t="s">
        <v>306</v>
      </c>
      <c r="J992" s="30" t="s">
        <v>206</v>
      </c>
      <c r="K992" s="31" t="s">
        <v>47</v>
      </c>
      <c r="L992" s="32"/>
      <c r="M992" s="33"/>
      <c r="N992" s="30" t="s">
        <v>48</v>
      </c>
      <c r="O992" s="1" t="n">
        <f aca="false">IF($B992="",0,IF(AND(OR(Filter!$B$5="(alle)",$N992=Filter!$B$5),OR(Filter!$E$5="(alle)",$K992=Filter!$E$5),OR(Filter!$H$5="(alle)",$C992=Filter!$H$5),OR(Filter!$B$7="(alle)",$E992=Filter!$B$7),OR(Filter!$E$7="(alle)",ISNUMBER(SEARCH(Filter!$E$7,$J992))),OR(Filter!$H$7="(alle)",ISNUMBER(SEARCH(Filter!$H$7,$I992))),OR(Filter!$B$9="",ISNUMBER(SEARCH(Filter!$B$9,$F992&amp;" "&amp;$G992)))),COUNTIF($O$6:$O991,"&gt;0")+1,0))</f>
        <v>986</v>
      </c>
    </row>
    <row r="993" customFormat="false" ht="51" hidden="false" customHeight="true" outlineLevel="0" collapsed="false">
      <c r="B993" s="30" t="s">
        <v>4765</v>
      </c>
      <c r="C993" s="30" t="s">
        <v>40</v>
      </c>
      <c r="D993" s="30" t="s">
        <v>4766</v>
      </c>
      <c r="E993" s="30" t="s">
        <v>210</v>
      </c>
      <c r="F993" s="30" t="s">
        <v>4767</v>
      </c>
      <c r="G993" s="30" t="s">
        <v>4767</v>
      </c>
      <c r="H993" s="30" t="s">
        <v>4745</v>
      </c>
      <c r="I993" s="30" t="s">
        <v>306</v>
      </c>
      <c r="J993" s="30" t="s">
        <v>206</v>
      </c>
      <c r="K993" s="31" t="s">
        <v>47</v>
      </c>
      <c r="L993" s="32"/>
      <c r="M993" s="33"/>
      <c r="N993" s="30" t="s">
        <v>48</v>
      </c>
      <c r="O993" s="1" t="n">
        <f aca="false">IF($B993="",0,IF(AND(OR(Filter!$B$5="(alle)",$N993=Filter!$B$5),OR(Filter!$E$5="(alle)",$K993=Filter!$E$5),OR(Filter!$H$5="(alle)",$C993=Filter!$H$5),OR(Filter!$B$7="(alle)",$E993=Filter!$B$7),OR(Filter!$E$7="(alle)",ISNUMBER(SEARCH(Filter!$E$7,$J993))),OR(Filter!$H$7="(alle)",ISNUMBER(SEARCH(Filter!$H$7,$I993))),OR(Filter!$B$9="",ISNUMBER(SEARCH(Filter!$B$9,$F993&amp;" "&amp;$G993)))),COUNTIF($O$6:$O992,"&gt;0")+1,0))</f>
        <v>987</v>
      </c>
    </row>
    <row r="994" customFormat="false" ht="51" hidden="false" customHeight="true" outlineLevel="0" collapsed="false">
      <c r="B994" s="30" t="s">
        <v>4768</v>
      </c>
      <c r="C994" s="30" t="s">
        <v>40</v>
      </c>
      <c r="D994" s="30" t="s">
        <v>4769</v>
      </c>
      <c r="E994" s="30" t="s">
        <v>210</v>
      </c>
      <c r="F994" s="30" t="s">
        <v>4770</v>
      </c>
      <c r="G994" s="30" t="s">
        <v>4771</v>
      </c>
      <c r="H994" s="30" t="s">
        <v>4745</v>
      </c>
      <c r="I994" s="30" t="s">
        <v>306</v>
      </c>
      <c r="J994" s="30" t="s">
        <v>206</v>
      </c>
      <c r="K994" s="31" t="s">
        <v>47</v>
      </c>
      <c r="L994" s="32"/>
      <c r="M994" s="33"/>
      <c r="N994" s="30" t="s">
        <v>48</v>
      </c>
      <c r="O994" s="1" t="n">
        <f aca="false">IF($B994="",0,IF(AND(OR(Filter!$B$5="(alle)",$N994=Filter!$B$5),OR(Filter!$E$5="(alle)",$K994=Filter!$E$5),OR(Filter!$H$5="(alle)",$C994=Filter!$H$5),OR(Filter!$B$7="(alle)",$E994=Filter!$B$7),OR(Filter!$E$7="(alle)",ISNUMBER(SEARCH(Filter!$E$7,$J994))),OR(Filter!$H$7="(alle)",ISNUMBER(SEARCH(Filter!$H$7,$I994))),OR(Filter!$B$9="",ISNUMBER(SEARCH(Filter!$B$9,$F994&amp;" "&amp;$G994)))),COUNTIF($O$6:$O993,"&gt;0")+1,0))</f>
        <v>988</v>
      </c>
    </row>
    <row r="995" customFormat="false" ht="51" hidden="false" customHeight="true" outlineLevel="0" collapsed="false">
      <c r="B995" s="30" t="s">
        <v>4772</v>
      </c>
      <c r="C995" s="30" t="s">
        <v>40</v>
      </c>
      <c r="D995" s="30" t="s">
        <v>4773</v>
      </c>
      <c r="E995" s="30" t="s">
        <v>604</v>
      </c>
      <c r="F995" s="30" t="s">
        <v>4774</v>
      </c>
      <c r="G995" s="30" t="s">
        <v>4775</v>
      </c>
      <c r="H995" s="30" t="s">
        <v>4745</v>
      </c>
      <c r="I995" s="30" t="s">
        <v>3700</v>
      </c>
      <c r="J995" s="30" t="s">
        <v>159</v>
      </c>
      <c r="K995" s="31" t="s">
        <v>47</v>
      </c>
      <c r="L995" s="32"/>
      <c r="M995" s="33"/>
      <c r="N995" s="30" t="s">
        <v>48</v>
      </c>
      <c r="O995" s="1" t="n">
        <f aca="false">IF($B995="",0,IF(AND(OR(Filter!$B$5="(alle)",$N995=Filter!$B$5),OR(Filter!$E$5="(alle)",$K995=Filter!$E$5),OR(Filter!$H$5="(alle)",$C995=Filter!$H$5),OR(Filter!$B$7="(alle)",$E995=Filter!$B$7),OR(Filter!$E$7="(alle)",ISNUMBER(SEARCH(Filter!$E$7,$J995))),OR(Filter!$H$7="(alle)",ISNUMBER(SEARCH(Filter!$H$7,$I995))),OR(Filter!$B$9="",ISNUMBER(SEARCH(Filter!$B$9,$F995&amp;" "&amp;$G995)))),COUNTIF($O$6:$O994,"&gt;0")+1,0))</f>
        <v>989</v>
      </c>
    </row>
    <row r="996" customFormat="false" ht="51" hidden="false" customHeight="true" outlineLevel="0" collapsed="false">
      <c r="B996" s="30" t="s">
        <v>4776</v>
      </c>
      <c r="C996" s="30" t="s">
        <v>40</v>
      </c>
      <c r="D996" s="30" t="s">
        <v>4777</v>
      </c>
      <c r="E996" s="30" t="s">
        <v>344</v>
      </c>
      <c r="F996" s="30" t="s">
        <v>4778</v>
      </c>
      <c r="G996" s="30" t="s">
        <v>4779</v>
      </c>
      <c r="H996" s="30" t="s">
        <v>4745</v>
      </c>
      <c r="I996" s="30" t="s">
        <v>306</v>
      </c>
      <c r="J996" s="30" t="s">
        <v>206</v>
      </c>
      <c r="K996" s="31" t="s">
        <v>47</v>
      </c>
      <c r="L996" s="32"/>
      <c r="M996" s="33"/>
      <c r="N996" s="30" t="s">
        <v>48</v>
      </c>
      <c r="O996" s="1" t="n">
        <f aca="false">IF($B996="",0,IF(AND(OR(Filter!$B$5="(alle)",$N996=Filter!$B$5),OR(Filter!$E$5="(alle)",$K996=Filter!$E$5),OR(Filter!$H$5="(alle)",$C996=Filter!$H$5),OR(Filter!$B$7="(alle)",$E996=Filter!$B$7),OR(Filter!$E$7="(alle)",ISNUMBER(SEARCH(Filter!$E$7,$J996))),OR(Filter!$H$7="(alle)",ISNUMBER(SEARCH(Filter!$H$7,$I996))),OR(Filter!$B$9="",ISNUMBER(SEARCH(Filter!$B$9,$F996&amp;" "&amp;$G996)))),COUNTIF($O$6:$O995,"&gt;0")+1,0))</f>
        <v>990</v>
      </c>
    </row>
    <row r="997" customFormat="false" ht="51" hidden="false" customHeight="true" outlineLevel="0" collapsed="false">
      <c r="B997" s="30" t="s">
        <v>4780</v>
      </c>
      <c r="C997" s="30" t="s">
        <v>40</v>
      </c>
      <c r="D997" s="30" t="s">
        <v>4781</v>
      </c>
      <c r="E997" s="30" t="s">
        <v>361</v>
      </c>
      <c r="F997" s="30" t="s">
        <v>4782</v>
      </c>
      <c r="G997" s="30" t="s">
        <v>4783</v>
      </c>
      <c r="H997" s="30" t="s">
        <v>4745</v>
      </c>
      <c r="I997" s="30" t="s">
        <v>3700</v>
      </c>
      <c r="J997" s="30" t="s">
        <v>159</v>
      </c>
      <c r="K997" s="31" t="s">
        <v>47</v>
      </c>
      <c r="L997" s="32"/>
      <c r="M997" s="33"/>
      <c r="N997" s="30" t="s">
        <v>48</v>
      </c>
      <c r="O997" s="1" t="n">
        <f aca="false">IF($B997="",0,IF(AND(OR(Filter!$B$5="(alle)",$N997=Filter!$B$5),OR(Filter!$E$5="(alle)",$K997=Filter!$E$5),OR(Filter!$H$5="(alle)",$C997=Filter!$H$5),OR(Filter!$B$7="(alle)",$E997=Filter!$B$7),OR(Filter!$E$7="(alle)",ISNUMBER(SEARCH(Filter!$E$7,$J997))),OR(Filter!$H$7="(alle)",ISNUMBER(SEARCH(Filter!$H$7,$I997))),OR(Filter!$B$9="",ISNUMBER(SEARCH(Filter!$B$9,$F997&amp;" "&amp;$G997)))),COUNTIF($O$6:$O996,"&gt;0")+1,0))</f>
        <v>991</v>
      </c>
    </row>
    <row r="998" customFormat="false" ht="51" hidden="false" customHeight="true" outlineLevel="0" collapsed="false">
      <c r="B998" s="30" t="s">
        <v>4784</v>
      </c>
      <c r="C998" s="30" t="s">
        <v>40</v>
      </c>
      <c r="D998" s="30" t="s">
        <v>4785</v>
      </c>
      <c r="E998" s="30" t="s">
        <v>344</v>
      </c>
      <c r="F998" s="30" t="s">
        <v>4786</v>
      </c>
      <c r="G998" s="30" t="s">
        <v>4786</v>
      </c>
      <c r="H998" s="30" t="s">
        <v>4745</v>
      </c>
      <c r="I998" s="30" t="s">
        <v>306</v>
      </c>
      <c r="J998" s="30" t="s">
        <v>206</v>
      </c>
      <c r="K998" s="31" t="s">
        <v>47</v>
      </c>
      <c r="L998" s="32"/>
      <c r="M998" s="33"/>
      <c r="N998" s="30" t="s">
        <v>48</v>
      </c>
      <c r="O998" s="1" t="n">
        <f aca="false">IF($B998="",0,IF(AND(OR(Filter!$B$5="(alle)",$N998=Filter!$B$5),OR(Filter!$E$5="(alle)",$K998=Filter!$E$5),OR(Filter!$H$5="(alle)",$C998=Filter!$H$5),OR(Filter!$B$7="(alle)",$E998=Filter!$B$7),OR(Filter!$E$7="(alle)",ISNUMBER(SEARCH(Filter!$E$7,$J998))),OR(Filter!$H$7="(alle)",ISNUMBER(SEARCH(Filter!$H$7,$I998))),OR(Filter!$B$9="",ISNUMBER(SEARCH(Filter!$B$9,$F998&amp;" "&amp;$G998)))),COUNTIF($O$6:$O997,"&gt;0")+1,0))</f>
        <v>992</v>
      </c>
    </row>
    <row r="999" customFormat="false" ht="51" hidden="false" customHeight="true" outlineLevel="0" collapsed="false">
      <c r="B999" s="30" t="s">
        <v>4787</v>
      </c>
      <c r="C999" s="30" t="s">
        <v>40</v>
      </c>
      <c r="D999" s="30" t="s">
        <v>4788</v>
      </c>
      <c r="E999" s="30" t="s">
        <v>344</v>
      </c>
      <c r="F999" s="30" t="s">
        <v>4789</v>
      </c>
      <c r="G999" s="30" t="s">
        <v>4789</v>
      </c>
      <c r="H999" s="30" t="s">
        <v>4745</v>
      </c>
      <c r="I999" s="30" t="s">
        <v>306</v>
      </c>
      <c r="J999" s="30" t="s">
        <v>206</v>
      </c>
      <c r="K999" s="31" t="s">
        <v>47</v>
      </c>
      <c r="L999" s="32"/>
      <c r="M999" s="33"/>
      <c r="N999" s="30" t="s">
        <v>48</v>
      </c>
      <c r="O999" s="1" t="n">
        <f aca="false">IF($B999="",0,IF(AND(OR(Filter!$B$5="(alle)",$N999=Filter!$B$5),OR(Filter!$E$5="(alle)",$K999=Filter!$E$5),OR(Filter!$H$5="(alle)",$C999=Filter!$H$5),OR(Filter!$B$7="(alle)",$E999=Filter!$B$7),OR(Filter!$E$7="(alle)",ISNUMBER(SEARCH(Filter!$E$7,$J999))),OR(Filter!$H$7="(alle)",ISNUMBER(SEARCH(Filter!$H$7,$I999))),OR(Filter!$B$9="",ISNUMBER(SEARCH(Filter!$B$9,$F999&amp;" "&amp;$G999)))),COUNTIF($O$6:$O998,"&gt;0")+1,0))</f>
        <v>993</v>
      </c>
    </row>
    <row r="1000" customFormat="false" ht="51" hidden="false" customHeight="true" outlineLevel="0" collapsed="false">
      <c r="B1000" s="30" t="s">
        <v>4790</v>
      </c>
      <c r="C1000" s="30" t="s">
        <v>40</v>
      </c>
      <c r="D1000" s="30" t="s">
        <v>4791</v>
      </c>
      <c r="E1000" s="30" t="s">
        <v>344</v>
      </c>
      <c r="F1000" s="30" t="s">
        <v>4792</v>
      </c>
      <c r="G1000" s="30" t="s">
        <v>4793</v>
      </c>
      <c r="H1000" s="30" t="s">
        <v>4745</v>
      </c>
      <c r="I1000" s="30" t="s">
        <v>306</v>
      </c>
      <c r="J1000" s="30" t="s">
        <v>206</v>
      </c>
      <c r="K1000" s="31" t="s">
        <v>47</v>
      </c>
      <c r="L1000" s="32"/>
      <c r="M1000" s="33"/>
      <c r="N1000" s="30" t="s">
        <v>48</v>
      </c>
      <c r="O1000" s="1" t="n">
        <f aca="false">IF($B1000="",0,IF(AND(OR(Filter!$B$5="(alle)",$N1000=Filter!$B$5),OR(Filter!$E$5="(alle)",$K1000=Filter!$E$5),OR(Filter!$H$5="(alle)",$C1000=Filter!$H$5),OR(Filter!$B$7="(alle)",$E1000=Filter!$B$7),OR(Filter!$E$7="(alle)",ISNUMBER(SEARCH(Filter!$E$7,$J1000))),OR(Filter!$H$7="(alle)",ISNUMBER(SEARCH(Filter!$H$7,$I1000))),OR(Filter!$B$9="",ISNUMBER(SEARCH(Filter!$B$9,$F1000&amp;" "&amp;$G1000)))),COUNTIF($O$6:$O999,"&gt;0")+1,0))</f>
        <v>994</v>
      </c>
    </row>
    <row r="1001" customFormat="false" ht="51" hidden="false" customHeight="true" outlineLevel="0" collapsed="false">
      <c r="B1001" s="30" t="s">
        <v>4794</v>
      </c>
      <c r="C1001" s="30" t="s">
        <v>40</v>
      </c>
      <c r="D1001" s="30" t="s">
        <v>4795</v>
      </c>
      <c r="E1001" s="30" t="s">
        <v>344</v>
      </c>
      <c r="F1001" s="30" t="s">
        <v>4796</v>
      </c>
      <c r="G1001" s="30" t="s">
        <v>4797</v>
      </c>
      <c r="H1001" s="30" t="s">
        <v>4745</v>
      </c>
      <c r="I1001" s="30" t="s">
        <v>306</v>
      </c>
      <c r="J1001" s="30" t="s">
        <v>206</v>
      </c>
      <c r="K1001" s="31" t="s">
        <v>47</v>
      </c>
      <c r="L1001" s="32"/>
      <c r="M1001" s="33"/>
      <c r="N1001" s="30" t="s">
        <v>48</v>
      </c>
      <c r="O1001" s="1" t="n">
        <f aca="false">IF($B1001="",0,IF(AND(OR(Filter!$B$5="(alle)",$N1001=Filter!$B$5),OR(Filter!$E$5="(alle)",$K1001=Filter!$E$5),OR(Filter!$H$5="(alle)",$C1001=Filter!$H$5),OR(Filter!$B$7="(alle)",$E1001=Filter!$B$7),OR(Filter!$E$7="(alle)",ISNUMBER(SEARCH(Filter!$E$7,$J1001))),OR(Filter!$H$7="(alle)",ISNUMBER(SEARCH(Filter!$H$7,$I1001))),OR(Filter!$B$9="",ISNUMBER(SEARCH(Filter!$B$9,$F1001&amp;" "&amp;$G1001)))),COUNTIF($O$6:$O1000,"&gt;0")+1,0))</f>
        <v>995</v>
      </c>
    </row>
    <row r="1002" customFormat="false" ht="51" hidden="false" customHeight="true" outlineLevel="0" collapsed="false">
      <c r="B1002" s="30" t="s">
        <v>4798</v>
      </c>
      <c r="C1002" s="30" t="s">
        <v>40</v>
      </c>
      <c r="D1002" s="30" t="s">
        <v>4799</v>
      </c>
      <c r="E1002" s="30" t="s">
        <v>210</v>
      </c>
      <c r="F1002" s="30" t="s">
        <v>4800</v>
      </c>
      <c r="G1002" s="30" t="s">
        <v>4801</v>
      </c>
      <c r="H1002" s="30" t="s">
        <v>4802</v>
      </c>
      <c r="I1002" s="30" t="s">
        <v>306</v>
      </c>
      <c r="J1002" s="30" t="s">
        <v>206</v>
      </c>
      <c r="K1002" s="31" t="s">
        <v>47</v>
      </c>
      <c r="L1002" s="32"/>
      <c r="M1002" s="33"/>
      <c r="N1002" s="30" t="s">
        <v>48</v>
      </c>
      <c r="O1002" s="1" t="n">
        <f aca="false">IF($B1002="",0,IF(AND(OR(Filter!$B$5="(alle)",$N1002=Filter!$B$5),OR(Filter!$E$5="(alle)",$K1002=Filter!$E$5),OR(Filter!$H$5="(alle)",$C1002=Filter!$H$5),OR(Filter!$B$7="(alle)",$E1002=Filter!$B$7),OR(Filter!$E$7="(alle)",ISNUMBER(SEARCH(Filter!$E$7,$J1002))),OR(Filter!$H$7="(alle)",ISNUMBER(SEARCH(Filter!$H$7,$I1002))),OR(Filter!$B$9="",ISNUMBER(SEARCH(Filter!$B$9,$F1002&amp;" "&amp;$G1002)))),COUNTIF($O$6:$O1001,"&gt;0")+1,0))</f>
        <v>996</v>
      </c>
    </row>
    <row r="1003" customFormat="false" ht="51" hidden="false" customHeight="true" outlineLevel="0" collapsed="false">
      <c r="B1003" s="30" t="s">
        <v>4803</v>
      </c>
      <c r="C1003" s="30" t="s">
        <v>40</v>
      </c>
      <c r="D1003" s="30" t="s">
        <v>4804</v>
      </c>
      <c r="E1003" s="30" t="s">
        <v>604</v>
      </c>
      <c r="F1003" s="30" t="s">
        <v>4805</v>
      </c>
      <c r="G1003" s="30" t="s">
        <v>4806</v>
      </c>
      <c r="H1003" s="30" t="s">
        <v>4807</v>
      </c>
      <c r="I1003" s="30" t="s">
        <v>476</v>
      </c>
      <c r="J1003" s="30" t="s">
        <v>476</v>
      </c>
      <c r="K1003" s="31" t="s">
        <v>47</v>
      </c>
      <c r="L1003" s="32"/>
      <c r="M1003" s="33"/>
      <c r="N1003" s="30" t="s">
        <v>48</v>
      </c>
      <c r="O1003" s="1" t="n">
        <f aca="false">IF($B1003="",0,IF(AND(OR(Filter!$B$5="(alle)",$N1003=Filter!$B$5),OR(Filter!$E$5="(alle)",$K1003=Filter!$E$5),OR(Filter!$H$5="(alle)",$C1003=Filter!$H$5),OR(Filter!$B$7="(alle)",$E1003=Filter!$B$7),OR(Filter!$E$7="(alle)",ISNUMBER(SEARCH(Filter!$E$7,$J1003))),OR(Filter!$H$7="(alle)",ISNUMBER(SEARCH(Filter!$H$7,$I1003))),OR(Filter!$B$9="",ISNUMBER(SEARCH(Filter!$B$9,$F1003&amp;" "&amp;$G1003)))),COUNTIF($O$6:$O1002,"&gt;0")+1,0))</f>
        <v>997</v>
      </c>
    </row>
    <row r="1004" customFormat="false" ht="51" hidden="false" customHeight="true" outlineLevel="0" collapsed="false">
      <c r="B1004" s="30" t="s">
        <v>4808</v>
      </c>
      <c r="C1004" s="30" t="s">
        <v>40</v>
      </c>
      <c r="D1004" s="30" t="s">
        <v>4809</v>
      </c>
      <c r="E1004" s="30" t="s">
        <v>604</v>
      </c>
      <c r="F1004" s="30" t="s">
        <v>4810</v>
      </c>
      <c r="G1004" s="30" t="s">
        <v>4811</v>
      </c>
      <c r="H1004" s="30" t="s">
        <v>4807</v>
      </c>
      <c r="I1004" s="30" t="s">
        <v>476</v>
      </c>
      <c r="J1004" s="30" t="s">
        <v>476</v>
      </c>
      <c r="K1004" s="31" t="s">
        <v>47</v>
      </c>
      <c r="L1004" s="32"/>
      <c r="M1004" s="33"/>
      <c r="N1004" s="30" t="s">
        <v>48</v>
      </c>
      <c r="O1004" s="1" t="n">
        <f aca="false">IF($B1004="",0,IF(AND(OR(Filter!$B$5="(alle)",$N1004=Filter!$B$5),OR(Filter!$E$5="(alle)",$K1004=Filter!$E$5),OR(Filter!$H$5="(alle)",$C1004=Filter!$H$5),OR(Filter!$B$7="(alle)",$E1004=Filter!$B$7),OR(Filter!$E$7="(alle)",ISNUMBER(SEARCH(Filter!$E$7,$J1004))),OR(Filter!$H$7="(alle)",ISNUMBER(SEARCH(Filter!$H$7,$I1004))),OR(Filter!$B$9="",ISNUMBER(SEARCH(Filter!$B$9,$F1004&amp;" "&amp;$G1004)))),COUNTIF($O$6:$O1003,"&gt;0")+1,0))</f>
        <v>998</v>
      </c>
    </row>
    <row r="1005" customFormat="false" ht="51" hidden="false" customHeight="true" outlineLevel="0" collapsed="false">
      <c r="B1005" s="30" t="s">
        <v>4812</v>
      </c>
      <c r="C1005" s="30" t="s">
        <v>40</v>
      </c>
      <c r="D1005" s="30" t="s">
        <v>4813</v>
      </c>
      <c r="E1005" s="30" t="s">
        <v>210</v>
      </c>
      <c r="F1005" s="30" t="s">
        <v>4814</v>
      </c>
      <c r="G1005" s="30" t="s">
        <v>4815</v>
      </c>
      <c r="H1005" s="30" t="s">
        <v>4802</v>
      </c>
      <c r="I1005" s="30" t="s">
        <v>306</v>
      </c>
      <c r="J1005" s="30" t="s">
        <v>206</v>
      </c>
      <c r="K1005" s="31" t="s">
        <v>47</v>
      </c>
      <c r="L1005" s="32"/>
      <c r="M1005" s="33"/>
      <c r="N1005" s="30" t="s">
        <v>48</v>
      </c>
      <c r="O1005" s="1" t="n">
        <f aca="false">IF($B1005="",0,IF(AND(OR(Filter!$B$5="(alle)",$N1005=Filter!$B$5),OR(Filter!$E$5="(alle)",$K1005=Filter!$E$5),OR(Filter!$H$5="(alle)",$C1005=Filter!$H$5),OR(Filter!$B$7="(alle)",$E1005=Filter!$B$7),OR(Filter!$E$7="(alle)",ISNUMBER(SEARCH(Filter!$E$7,$J1005))),OR(Filter!$H$7="(alle)",ISNUMBER(SEARCH(Filter!$H$7,$I1005))),OR(Filter!$B$9="",ISNUMBER(SEARCH(Filter!$B$9,$F1005&amp;" "&amp;$G1005)))),COUNTIF($O$6:$O1004,"&gt;0")+1,0))</f>
        <v>999</v>
      </c>
    </row>
    <row r="1006" customFormat="false" ht="51" hidden="false" customHeight="true" outlineLevel="0" collapsed="false">
      <c r="B1006" s="30" t="s">
        <v>4816</v>
      </c>
      <c r="C1006" s="30" t="s">
        <v>40</v>
      </c>
      <c r="D1006" s="30" t="s">
        <v>4817</v>
      </c>
      <c r="E1006" s="30" t="s">
        <v>344</v>
      </c>
      <c r="F1006" s="30" t="s">
        <v>4818</v>
      </c>
      <c r="G1006" s="30" t="s">
        <v>4819</v>
      </c>
      <c r="H1006" s="30" t="s">
        <v>4802</v>
      </c>
      <c r="I1006" s="30" t="s">
        <v>306</v>
      </c>
      <c r="J1006" s="30" t="s">
        <v>206</v>
      </c>
      <c r="K1006" s="31" t="s">
        <v>47</v>
      </c>
      <c r="L1006" s="32"/>
      <c r="M1006" s="33"/>
      <c r="N1006" s="30" t="s">
        <v>48</v>
      </c>
      <c r="O1006" s="1" t="n">
        <f aca="false">IF($B1006="",0,IF(AND(OR(Filter!$B$5="(alle)",$N1006=Filter!$B$5),OR(Filter!$E$5="(alle)",$K1006=Filter!$E$5),OR(Filter!$H$5="(alle)",$C1006=Filter!$H$5),OR(Filter!$B$7="(alle)",$E1006=Filter!$B$7),OR(Filter!$E$7="(alle)",ISNUMBER(SEARCH(Filter!$E$7,$J1006))),OR(Filter!$H$7="(alle)",ISNUMBER(SEARCH(Filter!$H$7,$I1006))),OR(Filter!$B$9="",ISNUMBER(SEARCH(Filter!$B$9,$F1006&amp;" "&amp;$G1006)))),COUNTIF($O$6:$O1005,"&gt;0")+1,0))</f>
        <v>1000</v>
      </c>
    </row>
    <row r="1007" customFormat="false" ht="51" hidden="false" customHeight="true" outlineLevel="0" collapsed="false">
      <c r="B1007" s="30" t="s">
        <v>4820</v>
      </c>
      <c r="C1007" s="30" t="s">
        <v>40</v>
      </c>
      <c r="D1007" s="30" t="s">
        <v>4821</v>
      </c>
      <c r="E1007" s="30" t="s">
        <v>344</v>
      </c>
      <c r="F1007" s="30" t="s">
        <v>4822</v>
      </c>
      <c r="G1007" s="30" t="s">
        <v>4823</v>
      </c>
      <c r="H1007" s="30" t="s">
        <v>4802</v>
      </c>
      <c r="I1007" s="30" t="s">
        <v>306</v>
      </c>
      <c r="J1007" s="30" t="s">
        <v>206</v>
      </c>
      <c r="K1007" s="31" t="s">
        <v>47</v>
      </c>
      <c r="L1007" s="32"/>
      <c r="M1007" s="33"/>
      <c r="N1007" s="30" t="s">
        <v>48</v>
      </c>
      <c r="O1007" s="1" t="n">
        <f aca="false">IF($B1007="",0,IF(AND(OR(Filter!$B$5="(alle)",$N1007=Filter!$B$5),OR(Filter!$E$5="(alle)",$K1007=Filter!$E$5),OR(Filter!$H$5="(alle)",$C1007=Filter!$H$5),OR(Filter!$B$7="(alle)",$E1007=Filter!$B$7),OR(Filter!$E$7="(alle)",ISNUMBER(SEARCH(Filter!$E$7,$J1007))),OR(Filter!$H$7="(alle)",ISNUMBER(SEARCH(Filter!$H$7,$I1007))),OR(Filter!$B$9="",ISNUMBER(SEARCH(Filter!$B$9,$F1007&amp;" "&amp;$G1007)))),COUNTIF($O$6:$O1006,"&gt;0")+1,0))</f>
        <v>1001</v>
      </c>
    </row>
    <row r="1008" customFormat="false" ht="51" hidden="false" customHeight="true" outlineLevel="0" collapsed="false">
      <c r="B1008" s="30" t="s">
        <v>4824</v>
      </c>
      <c r="C1008" s="30" t="s">
        <v>40</v>
      </c>
      <c r="D1008" s="30" t="s">
        <v>4825</v>
      </c>
      <c r="E1008" s="30" t="s">
        <v>210</v>
      </c>
      <c r="F1008" s="30" t="s">
        <v>4826</v>
      </c>
      <c r="G1008" s="30" t="s">
        <v>4827</v>
      </c>
      <c r="H1008" s="30" t="s">
        <v>4802</v>
      </c>
      <c r="I1008" s="30" t="s">
        <v>306</v>
      </c>
      <c r="J1008" s="30" t="s">
        <v>206</v>
      </c>
      <c r="K1008" s="31" t="s">
        <v>47</v>
      </c>
      <c r="L1008" s="32"/>
      <c r="M1008" s="33"/>
      <c r="N1008" s="30" t="s">
        <v>48</v>
      </c>
      <c r="O1008" s="1" t="n">
        <f aca="false">IF($B1008="",0,IF(AND(OR(Filter!$B$5="(alle)",$N1008=Filter!$B$5),OR(Filter!$E$5="(alle)",$K1008=Filter!$E$5),OR(Filter!$H$5="(alle)",$C1008=Filter!$H$5),OR(Filter!$B$7="(alle)",$E1008=Filter!$B$7),OR(Filter!$E$7="(alle)",ISNUMBER(SEARCH(Filter!$E$7,$J1008))),OR(Filter!$H$7="(alle)",ISNUMBER(SEARCH(Filter!$H$7,$I1008))),OR(Filter!$B$9="",ISNUMBER(SEARCH(Filter!$B$9,$F1008&amp;" "&amp;$G1008)))),COUNTIF($O$6:$O1007,"&gt;0")+1,0))</f>
        <v>1002</v>
      </c>
    </row>
    <row r="1009" customFormat="false" ht="51" hidden="false" customHeight="true" outlineLevel="0" collapsed="false">
      <c r="B1009" s="30" t="s">
        <v>4828</v>
      </c>
      <c r="C1009" s="30" t="s">
        <v>40</v>
      </c>
      <c r="D1009" s="30" t="s">
        <v>4829</v>
      </c>
      <c r="E1009" s="30" t="s">
        <v>344</v>
      </c>
      <c r="F1009" s="30" t="s">
        <v>4830</v>
      </c>
      <c r="G1009" s="30" t="s">
        <v>4831</v>
      </c>
      <c r="H1009" s="30" t="s">
        <v>4802</v>
      </c>
      <c r="I1009" s="30" t="s">
        <v>306</v>
      </c>
      <c r="J1009" s="30" t="s">
        <v>206</v>
      </c>
      <c r="K1009" s="31" t="s">
        <v>47</v>
      </c>
      <c r="L1009" s="32"/>
      <c r="M1009" s="33"/>
      <c r="N1009" s="30" t="s">
        <v>48</v>
      </c>
      <c r="O1009" s="1" t="n">
        <f aca="false">IF($B1009="",0,IF(AND(OR(Filter!$B$5="(alle)",$N1009=Filter!$B$5),OR(Filter!$E$5="(alle)",$K1009=Filter!$E$5),OR(Filter!$H$5="(alle)",$C1009=Filter!$H$5),OR(Filter!$B$7="(alle)",$E1009=Filter!$B$7),OR(Filter!$E$7="(alle)",ISNUMBER(SEARCH(Filter!$E$7,$J1009))),OR(Filter!$H$7="(alle)",ISNUMBER(SEARCH(Filter!$H$7,$I1009))),OR(Filter!$B$9="",ISNUMBER(SEARCH(Filter!$B$9,$F1009&amp;" "&amp;$G1009)))),COUNTIF($O$6:$O1008,"&gt;0")+1,0))</f>
        <v>1003</v>
      </c>
    </row>
    <row r="1010" customFormat="false" ht="51" hidden="false" customHeight="true" outlineLevel="0" collapsed="false">
      <c r="B1010" s="30" t="s">
        <v>4832</v>
      </c>
      <c r="C1010" s="30" t="s">
        <v>40</v>
      </c>
      <c r="D1010" s="30" t="s">
        <v>4833</v>
      </c>
      <c r="E1010" s="30" t="s">
        <v>344</v>
      </c>
      <c r="F1010" s="30" t="s">
        <v>4834</v>
      </c>
      <c r="G1010" s="30" t="s">
        <v>4835</v>
      </c>
      <c r="H1010" s="30" t="s">
        <v>4802</v>
      </c>
      <c r="I1010" s="30" t="s">
        <v>306</v>
      </c>
      <c r="J1010" s="30" t="s">
        <v>206</v>
      </c>
      <c r="K1010" s="31" t="s">
        <v>47</v>
      </c>
      <c r="L1010" s="32"/>
      <c r="M1010" s="33"/>
      <c r="N1010" s="30" t="s">
        <v>48</v>
      </c>
      <c r="O1010" s="1" t="n">
        <f aca="false">IF($B1010="",0,IF(AND(OR(Filter!$B$5="(alle)",$N1010=Filter!$B$5),OR(Filter!$E$5="(alle)",$K1010=Filter!$E$5),OR(Filter!$H$5="(alle)",$C1010=Filter!$H$5),OR(Filter!$B$7="(alle)",$E1010=Filter!$B$7),OR(Filter!$E$7="(alle)",ISNUMBER(SEARCH(Filter!$E$7,$J1010))),OR(Filter!$H$7="(alle)",ISNUMBER(SEARCH(Filter!$H$7,$I1010))),OR(Filter!$B$9="",ISNUMBER(SEARCH(Filter!$B$9,$F1010&amp;" "&amp;$G1010)))),COUNTIF($O$6:$O1009,"&gt;0")+1,0))</f>
        <v>1004</v>
      </c>
    </row>
    <row r="1011" customFormat="false" ht="51" hidden="false" customHeight="true" outlineLevel="0" collapsed="false">
      <c r="B1011" s="30" t="s">
        <v>4836</v>
      </c>
      <c r="C1011" s="30" t="s">
        <v>40</v>
      </c>
      <c r="D1011" s="30" t="s">
        <v>4837</v>
      </c>
      <c r="E1011" s="30" t="s">
        <v>94</v>
      </c>
      <c r="F1011" s="30" t="s">
        <v>4838</v>
      </c>
      <c r="G1011" s="30" t="s">
        <v>4839</v>
      </c>
      <c r="H1011" s="30" t="s">
        <v>4840</v>
      </c>
      <c r="I1011" s="30" t="s">
        <v>45</v>
      </c>
      <c r="J1011" s="30" t="s">
        <v>989</v>
      </c>
      <c r="K1011" s="31" t="s">
        <v>47</v>
      </c>
      <c r="L1011" s="32"/>
      <c r="M1011" s="33"/>
      <c r="N1011" s="30" t="s">
        <v>48</v>
      </c>
      <c r="O1011" s="1" t="n">
        <f aca="false">IF($B1011="",0,IF(AND(OR(Filter!$B$5="(alle)",$N1011=Filter!$B$5),OR(Filter!$E$5="(alle)",$K1011=Filter!$E$5),OR(Filter!$H$5="(alle)",$C1011=Filter!$H$5),OR(Filter!$B$7="(alle)",$E1011=Filter!$B$7),OR(Filter!$E$7="(alle)",ISNUMBER(SEARCH(Filter!$E$7,$J1011))),OR(Filter!$H$7="(alle)",ISNUMBER(SEARCH(Filter!$H$7,$I1011))),OR(Filter!$B$9="",ISNUMBER(SEARCH(Filter!$B$9,$F1011&amp;" "&amp;$G1011)))),COUNTIF($O$6:$O1010,"&gt;0")+1,0))</f>
        <v>1005</v>
      </c>
    </row>
    <row r="1012" customFormat="false" ht="51" hidden="false" customHeight="true" outlineLevel="0" collapsed="false">
      <c r="B1012" s="30" t="s">
        <v>4841</v>
      </c>
      <c r="C1012" s="30" t="s">
        <v>40</v>
      </c>
      <c r="D1012" s="30" t="s">
        <v>4842</v>
      </c>
      <c r="E1012" s="30" t="s">
        <v>361</v>
      </c>
      <c r="F1012" s="30" t="s">
        <v>4843</v>
      </c>
      <c r="G1012" s="30" t="s">
        <v>4844</v>
      </c>
      <c r="H1012" s="30" t="s">
        <v>4840</v>
      </c>
      <c r="I1012" s="30" t="s">
        <v>306</v>
      </c>
      <c r="J1012" s="30" t="s">
        <v>206</v>
      </c>
      <c r="K1012" s="31" t="s">
        <v>47</v>
      </c>
      <c r="L1012" s="32"/>
      <c r="M1012" s="33"/>
      <c r="N1012" s="30" t="s">
        <v>48</v>
      </c>
      <c r="O1012" s="1" t="n">
        <f aca="false">IF($B1012="",0,IF(AND(OR(Filter!$B$5="(alle)",$N1012=Filter!$B$5),OR(Filter!$E$5="(alle)",$K1012=Filter!$E$5),OR(Filter!$H$5="(alle)",$C1012=Filter!$H$5),OR(Filter!$B$7="(alle)",$E1012=Filter!$B$7),OR(Filter!$E$7="(alle)",ISNUMBER(SEARCH(Filter!$E$7,$J1012))),OR(Filter!$H$7="(alle)",ISNUMBER(SEARCH(Filter!$H$7,$I1012))),OR(Filter!$B$9="",ISNUMBER(SEARCH(Filter!$B$9,$F1012&amp;" "&amp;$G1012)))),COUNTIF($O$6:$O1011,"&gt;0")+1,0))</f>
        <v>1006</v>
      </c>
    </row>
    <row r="1013" customFormat="false" ht="51" hidden="false" customHeight="true" outlineLevel="0" collapsed="false">
      <c r="B1013" s="30" t="s">
        <v>4845</v>
      </c>
      <c r="C1013" s="30" t="s">
        <v>40</v>
      </c>
      <c r="D1013" s="30" t="s">
        <v>4846</v>
      </c>
      <c r="E1013" s="30" t="s">
        <v>344</v>
      </c>
      <c r="F1013" s="30" t="s">
        <v>4847</v>
      </c>
      <c r="G1013" s="30" t="s">
        <v>4848</v>
      </c>
      <c r="H1013" s="30" t="s">
        <v>4840</v>
      </c>
      <c r="I1013" s="30" t="s">
        <v>306</v>
      </c>
      <c r="J1013" s="30" t="s">
        <v>206</v>
      </c>
      <c r="K1013" s="31" t="s">
        <v>47</v>
      </c>
      <c r="L1013" s="32"/>
      <c r="M1013" s="33"/>
      <c r="N1013" s="30" t="s">
        <v>48</v>
      </c>
      <c r="O1013" s="1" t="n">
        <f aca="false">IF($B1013="",0,IF(AND(OR(Filter!$B$5="(alle)",$N1013=Filter!$B$5),OR(Filter!$E$5="(alle)",$K1013=Filter!$E$5),OR(Filter!$H$5="(alle)",$C1013=Filter!$H$5),OR(Filter!$B$7="(alle)",$E1013=Filter!$B$7),OR(Filter!$E$7="(alle)",ISNUMBER(SEARCH(Filter!$E$7,$J1013))),OR(Filter!$H$7="(alle)",ISNUMBER(SEARCH(Filter!$H$7,$I1013))),OR(Filter!$B$9="",ISNUMBER(SEARCH(Filter!$B$9,$F1013&amp;" "&amp;$G1013)))),COUNTIF($O$6:$O1012,"&gt;0")+1,0))</f>
        <v>1007</v>
      </c>
    </row>
    <row r="1014" customFormat="false" ht="51" hidden="false" customHeight="true" outlineLevel="0" collapsed="false">
      <c r="B1014" s="30" t="s">
        <v>4849</v>
      </c>
      <c r="C1014" s="30" t="s">
        <v>40</v>
      </c>
      <c r="D1014" s="30" t="s">
        <v>4850</v>
      </c>
      <c r="E1014" s="30" t="s">
        <v>344</v>
      </c>
      <c r="F1014" s="30" t="s">
        <v>4851</v>
      </c>
      <c r="G1014" s="30" t="s">
        <v>4852</v>
      </c>
      <c r="H1014" s="30" t="s">
        <v>4840</v>
      </c>
      <c r="I1014" s="30" t="s">
        <v>306</v>
      </c>
      <c r="J1014" s="30" t="s">
        <v>206</v>
      </c>
      <c r="K1014" s="31" t="s">
        <v>47</v>
      </c>
      <c r="L1014" s="32"/>
      <c r="M1014" s="33"/>
      <c r="N1014" s="30" t="s">
        <v>48</v>
      </c>
      <c r="O1014" s="1" t="n">
        <f aca="false">IF($B1014="",0,IF(AND(OR(Filter!$B$5="(alle)",$N1014=Filter!$B$5),OR(Filter!$E$5="(alle)",$K1014=Filter!$E$5),OR(Filter!$H$5="(alle)",$C1014=Filter!$H$5),OR(Filter!$B$7="(alle)",$E1014=Filter!$B$7),OR(Filter!$E$7="(alle)",ISNUMBER(SEARCH(Filter!$E$7,$J1014))),OR(Filter!$H$7="(alle)",ISNUMBER(SEARCH(Filter!$H$7,$I1014))),OR(Filter!$B$9="",ISNUMBER(SEARCH(Filter!$B$9,$F1014&amp;" "&amp;$G1014)))),COUNTIF($O$6:$O1013,"&gt;0")+1,0))</f>
        <v>1008</v>
      </c>
    </row>
    <row r="1015" customFormat="false" ht="51" hidden="false" customHeight="true" outlineLevel="0" collapsed="false">
      <c r="B1015" s="30" t="s">
        <v>4853</v>
      </c>
      <c r="C1015" s="30" t="s">
        <v>40</v>
      </c>
      <c r="D1015" s="30" t="s">
        <v>4854</v>
      </c>
      <c r="E1015" s="30" t="s">
        <v>94</v>
      </c>
      <c r="F1015" s="30" t="s">
        <v>4855</v>
      </c>
      <c r="G1015" s="30" t="s">
        <v>4856</v>
      </c>
      <c r="H1015" s="30" t="s">
        <v>4840</v>
      </c>
      <c r="I1015" s="30" t="s">
        <v>45</v>
      </c>
      <c r="J1015" s="30" t="s">
        <v>989</v>
      </c>
      <c r="K1015" s="31" t="s">
        <v>47</v>
      </c>
      <c r="L1015" s="32"/>
      <c r="M1015" s="33"/>
      <c r="N1015" s="30" t="s">
        <v>48</v>
      </c>
      <c r="O1015" s="1" t="n">
        <f aca="false">IF($B1015="",0,IF(AND(OR(Filter!$B$5="(alle)",$N1015=Filter!$B$5),OR(Filter!$E$5="(alle)",$K1015=Filter!$E$5),OR(Filter!$H$5="(alle)",$C1015=Filter!$H$5),OR(Filter!$B$7="(alle)",$E1015=Filter!$B$7),OR(Filter!$E$7="(alle)",ISNUMBER(SEARCH(Filter!$E$7,$J1015))),OR(Filter!$H$7="(alle)",ISNUMBER(SEARCH(Filter!$H$7,$I1015))),OR(Filter!$B$9="",ISNUMBER(SEARCH(Filter!$B$9,$F1015&amp;" "&amp;$G1015)))),COUNTIF($O$6:$O1014,"&gt;0")+1,0))</f>
        <v>1009</v>
      </c>
    </row>
    <row r="1016" customFormat="false" ht="51" hidden="false" customHeight="true" outlineLevel="0" collapsed="false">
      <c r="B1016" s="30" t="s">
        <v>4857</v>
      </c>
      <c r="C1016" s="30" t="s">
        <v>40</v>
      </c>
      <c r="D1016" s="30" t="s">
        <v>4858</v>
      </c>
      <c r="E1016" s="30" t="s">
        <v>604</v>
      </c>
      <c r="F1016" s="30" t="s">
        <v>4859</v>
      </c>
      <c r="G1016" s="30" t="s">
        <v>4860</v>
      </c>
      <c r="H1016" s="30" t="s">
        <v>4861</v>
      </c>
      <c r="I1016" s="30" t="s">
        <v>476</v>
      </c>
      <c r="J1016" s="30" t="s">
        <v>476</v>
      </c>
      <c r="K1016" s="31" t="s">
        <v>47</v>
      </c>
      <c r="L1016" s="32"/>
      <c r="M1016" s="33"/>
      <c r="N1016" s="30" t="s">
        <v>48</v>
      </c>
      <c r="O1016" s="1" t="n">
        <f aca="false">IF($B1016="",0,IF(AND(OR(Filter!$B$5="(alle)",$N1016=Filter!$B$5),OR(Filter!$E$5="(alle)",$K1016=Filter!$E$5),OR(Filter!$H$5="(alle)",$C1016=Filter!$H$5),OR(Filter!$B$7="(alle)",$E1016=Filter!$B$7),OR(Filter!$E$7="(alle)",ISNUMBER(SEARCH(Filter!$E$7,$J1016))),OR(Filter!$H$7="(alle)",ISNUMBER(SEARCH(Filter!$H$7,$I1016))),OR(Filter!$B$9="",ISNUMBER(SEARCH(Filter!$B$9,$F1016&amp;" "&amp;$G1016)))),COUNTIF($O$6:$O1015,"&gt;0")+1,0))</f>
        <v>1010</v>
      </c>
    </row>
    <row r="1017" customFormat="false" ht="51" hidden="false" customHeight="true" outlineLevel="0" collapsed="false">
      <c r="B1017" s="30" t="s">
        <v>4862</v>
      </c>
      <c r="C1017" s="30" t="s">
        <v>40</v>
      </c>
      <c r="D1017" s="30" t="s">
        <v>4863</v>
      </c>
      <c r="E1017" s="30" t="s">
        <v>361</v>
      </c>
      <c r="F1017" s="30" t="s">
        <v>4864</v>
      </c>
      <c r="G1017" s="30" t="s">
        <v>4865</v>
      </c>
      <c r="H1017" s="30" t="s">
        <v>4866</v>
      </c>
      <c r="I1017" s="30" t="s">
        <v>306</v>
      </c>
      <c r="J1017" s="30" t="s">
        <v>206</v>
      </c>
      <c r="K1017" s="31" t="s">
        <v>47</v>
      </c>
      <c r="L1017" s="32"/>
      <c r="M1017" s="33"/>
      <c r="N1017" s="30" t="s">
        <v>48</v>
      </c>
      <c r="O1017" s="1" t="n">
        <f aca="false">IF($B1017="",0,IF(AND(OR(Filter!$B$5="(alle)",$N1017=Filter!$B$5),OR(Filter!$E$5="(alle)",$K1017=Filter!$E$5),OR(Filter!$H$5="(alle)",$C1017=Filter!$H$5),OR(Filter!$B$7="(alle)",$E1017=Filter!$B$7),OR(Filter!$E$7="(alle)",ISNUMBER(SEARCH(Filter!$E$7,$J1017))),OR(Filter!$H$7="(alle)",ISNUMBER(SEARCH(Filter!$H$7,$I1017))),OR(Filter!$B$9="",ISNUMBER(SEARCH(Filter!$B$9,$F1017&amp;" "&amp;$G1017)))),COUNTIF($O$6:$O1016,"&gt;0")+1,0))</f>
        <v>1011</v>
      </c>
    </row>
    <row r="1018" customFormat="false" ht="51" hidden="false" customHeight="true" outlineLevel="0" collapsed="false">
      <c r="B1018" s="30" t="s">
        <v>4867</v>
      </c>
      <c r="C1018" s="30" t="s">
        <v>40</v>
      </c>
      <c r="D1018" s="30" t="s">
        <v>4868</v>
      </c>
      <c r="E1018" s="30" t="s">
        <v>361</v>
      </c>
      <c r="F1018" s="30" t="s">
        <v>4869</v>
      </c>
      <c r="G1018" s="30" t="s">
        <v>4870</v>
      </c>
      <c r="H1018" s="30" t="s">
        <v>4866</v>
      </c>
      <c r="I1018" s="30" t="s">
        <v>306</v>
      </c>
      <c r="J1018" s="30" t="s">
        <v>206</v>
      </c>
      <c r="K1018" s="31" t="s">
        <v>47</v>
      </c>
      <c r="L1018" s="32"/>
      <c r="M1018" s="33"/>
      <c r="N1018" s="30" t="s">
        <v>48</v>
      </c>
      <c r="O1018" s="1" t="n">
        <f aca="false">IF($B1018="",0,IF(AND(OR(Filter!$B$5="(alle)",$N1018=Filter!$B$5),OR(Filter!$E$5="(alle)",$K1018=Filter!$E$5),OR(Filter!$H$5="(alle)",$C1018=Filter!$H$5),OR(Filter!$B$7="(alle)",$E1018=Filter!$B$7),OR(Filter!$E$7="(alle)",ISNUMBER(SEARCH(Filter!$E$7,$J1018))),OR(Filter!$H$7="(alle)",ISNUMBER(SEARCH(Filter!$H$7,$I1018))),OR(Filter!$B$9="",ISNUMBER(SEARCH(Filter!$B$9,$F1018&amp;" "&amp;$G1018)))),COUNTIF($O$6:$O1017,"&gt;0")+1,0))</f>
        <v>1012</v>
      </c>
    </row>
    <row r="1019" customFormat="false" ht="51" hidden="false" customHeight="true" outlineLevel="0" collapsed="false">
      <c r="B1019" s="30" t="s">
        <v>4871</v>
      </c>
      <c r="C1019" s="30" t="s">
        <v>40</v>
      </c>
      <c r="D1019" s="30" t="s">
        <v>4872</v>
      </c>
      <c r="E1019" s="30" t="s">
        <v>361</v>
      </c>
      <c r="F1019" s="30" t="s">
        <v>4873</v>
      </c>
      <c r="G1019" s="30" t="s">
        <v>4874</v>
      </c>
      <c r="H1019" s="30" t="s">
        <v>4866</v>
      </c>
      <c r="I1019" s="30" t="s">
        <v>306</v>
      </c>
      <c r="J1019" s="30" t="s">
        <v>206</v>
      </c>
      <c r="K1019" s="31" t="s">
        <v>47</v>
      </c>
      <c r="L1019" s="32"/>
      <c r="M1019" s="33"/>
      <c r="N1019" s="30" t="s">
        <v>48</v>
      </c>
      <c r="O1019" s="1" t="n">
        <f aca="false">IF($B1019="",0,IF(AND(OR(Filter!$B$5="(alle)",$N1019=Filter!$B$5),OR(Filter!$E$5="(alle)",$K1019=Filter!$E$5),OR(Filter!$H$5="(alle)",$C1019=Filter!$H$5),OR(Filter!$B$7="(alle)",$E1019=Filter!$B$7),OR(Filter!$E$7="(alle)",ISNUMBER(SEARCH(Filter!$E$7,$J1019))),OR(Filter!$H$7="(alle)",ISNUMBER(SEARCH(Filter!$H$7,$I1019))),OR(Filter!$B$9="",ISNUMBER(SEARCH(Filter!$B$9,$F1019&amp;" "&amp;$G1019)))),COUNTIF($O$6:$O1018,"&gt;0")+1,0))</f>
        <v>1013</v>
      </c>
    </row>
    <row r="1020" customFormat="false" ht="51" hidden="false" customHeight="true" outlineLevel="0" collapsed="false">
      <c r="B1020" s="30" t="s">
        <v>4875</v>
      </c>
      <c r="C1020" s="30" t="s">
        <v>40</v>
      </c>
      <c r="D1020" s="30" t="s">
        <v>4876</v>
      </c>
      <c r="E1020" s="30" t="s">
        <v>361</v>
      </c>
      <c r="F1020" s="30" t="s">
        <v>4877</v>
      </c>
      <c r="G1020" s="30" t="s">
        <v>4878</v>
      </c>
      <c r="H1020" s="30" t="s">
        <v>4879</v>
      </c>
      <c r="I1020" s="30" t="s">
        <v>306</v>
      </c>
      <c r="J1020" s="30" t="s">
        <v>206</v>
      </c>
      <c r="K1020" s="31" t="s">
        <v>47</v>
      </c>
      <c r="L1020" s="32"/>
      <c r="M1020" s="33"/>
      <c r="N1020" s="30" t="s">
        <v>48</v>
      </c>
      <c r="O1020" s="1" t="n">
        <f aca="false">IF($B1020="",0,IF(AND(OR(Filter!$B$5="(alle)",$N1020=Filter!$B$5),OR(Filter!$E$5="(alle)",$K1020=Filter!$E$5),OR(Filter!$H$5="(alle)",$C1020=Filter!$H$5),OR(Filter!$B$7="(alle)",$E1020=Filter!$B$7),OR(Filter!$E$7="(alle)",ISNUMBER(SEARCH(Filter!$E$7,$J1020))),OR(Filter!$H$7="(alle)",ISNUMBER(SEARCH(Filter!$H$7,$I1020))),OR(Filter!$B$9="",ISNUMBER(SEARCH(Filter!$B$9,$F1020&amp;" "&amp;$G1020)))),COUNTIF($O$6:$O1019,"&gt;0")+1,0))</f>
        <v>1014</v>
      </c>
    </row>
    <row r="1021" customFormat="false" ht="51" hidden="false" customHeight="true" outlineLevel="0" collapsed="false">
      <c r="B1021" s="30" t="s">
        <v>4880</v>
      </c>
      <c r="C1021" s="30" t="s">
        <v>40</v>
      </c>
      <c r="D1021" s="30" t="s">
        <v>4881</v>
      </c>
      <c r="E1021" s="30" t="s">
        <v>361</v>
      </c>
      <c r="F1021" s="30" t="s">
        <v>4882</v>
      </c>
      <c r="G1021" s="30" t="s">
        <v>4883</v>
      </c>
      <c r="H1021" s="30" t="s">
        <v>4879</v>
      </c>
      <c r="I1021" s="30" t="s">
        <v>306</v>
      </c>
      <c r="J1021" s="30" t="s">
        <v>206</v>
      </c>
      <c r="K1021" s="31" t="s">
        <v>47</v>
      </c>
      <c r="L1021" s="32"/>
      <c r="M1021" s="33"/>
      <c r="N1021" s="30" t="s">
        <v>48</v>
      </c>
      <c r="O1021" s="1" t="n">
        <f aca="false">IF($B1021="",0,IF(AND(OR(Filter!$B$5="(alle)",$N1021=Filter!$B$5),OR(Filter!$E$5="(alle)",$K1021=Filter!$E$5),OR(Filter!$H$5="(alle)",$C1021=Filter!$H$5),OR(Filter!$B$7="(alle)",$E1021=Filter!$B$7),OR(Filter!$E$7="(alle)",ISNUMBER(SEARCH(Filter!$E$7,$J1021))),OR(Filter!$H$7="(alle)",ISNUMBER(SEARCH(Filter!$H$7,$I1021))),OR(Filter!$B$9="",ISNUMBER(SEARCH(Filter!$B$9,$F1021&amp;" "&amp;$G1021)))),COUNTIF($O$6:$O1020,"&gt;0")+1,0))</f>
        <v>1015</v>
      </c>
    </row>
    <row r="1022" customFormat="false" ht="51" hidden="false" customHeight="true" outlineLevel="0" collapsed="false">
      <c r="B1022" s="30" t="s">
        <v>4884</v>
      </c>
      <c r="C1022" s="30" t="s">
        <v>40</v>
      </c>
      <c r="D1022" s="30" t="s">
        <v>4885</v>
      </c>
      <c r="E1022" s="30" t="s">
        <v>361</v>
      </c>
      <c r="F1022" s="30" t="s">
        <v>4886</v>
      </c>
      <c r="G1022" s="30" t="s">
        <v>4887</v>
      </c>
      <c r="H1022" s="30" t="s">
        <v>4879</v>
      </c>
      <c r="I1022" s="30" t="s">
        <v>306</v>
      </c>
      <c r="J1022" s="30" t="s">
        <v>206</v>
      </c>
      <c r="K1022" s="31" t="s">
        <v>47</v>
      </c>
      <c r="L1022" s="32"/>
      <c r="M1022" s="33"/>
      <c r="N1022" s="30" t="s">
        <v>48</v>
      </c>
      <c r="O1022" s="1" t="n">
        <f aca="false">IF($B1022="",0,IF(AND(OR(Filter!$B$5="(alle)",$N1022=Filter!$B$5),OR(Filter!$E$5="(alle)",$K1022=Filter!$E$5),OR(Filter!$H$5="(alle)",$C1022=Filter!$H$5),OR(Filter!$B$7="(alle)",$E1022=Filter!$B$7),OR(Filter!$E$7="(alle)",ISNUMBER(SEARCH(Filter!$E$7,$J1022))),OR(Filter!$H$7="(alle)",ISNUMBER(SEARCH(Filter!$H$7,$I1022))),OR(Filter!$B$9="",ISNUMBER(SEARCH(Filter!$B$9,$F1022&amp;" "&amp;$G1022)))),COUNTIF($O$6:$O1021,"&gt;0")+1,0))</f>
        <v>1016</v>
      </c>
    </row>
    <row r="1023" customFormat="false" ht="51" hidden="false" customHeight="true" outlineLevel="0" collapsed="false">
      <c r="B1023" s="30" t="s">
        <v>4888</v>
      </c>
      <c r="C1023" s="30" t="s">
        <v>40</v>
      </c>
      <c r="D1023" s="30" t="s">
        <v>4889</v>
      </c>
      <c r="E1023" s="30" t="s">
        <v>361</v>
      </c>
      <c r="F1023" s="30" t="s">
        <v>4890</v>
      </c>
      <c r="G1023" s="30" t="s">
        <v>4891</v>
      </c>
      <c r="H1023" s="30" t="s">
        <v>4879</v>
      </c>
      <c r="I1023" s="30" t="s">
        <v>306</v>
      </c>
      <c r="J1023" s="30" t="s">
        <v>206</v>
      </c>
      <c r="K1023" s="31" t="s">
        <v>47</v>
      </c>
      <c r="L1023" s="32"/>
      <c r="M1023" s="33"/>
      <c r="N1023" s="30" t="s">
        <v>48</v>
      </c>
      <c r="O1023" s="1" t="n">
        <f aca="false">IF($B1023="",0,IF(AND(OR(Filter!$B$5="(alle)",$N1023=Filter!$B$5),OR(Filter!$E$5="(alle)",$K1023=Filter!$E$5),OR(Filter!$H$5="(alle)",$C1023=Filter!$H$5),OR(Filter!$B$7="(alle)",$E1023=Filter!$B$7),OR(Filter!$E$7="(alle)",ISNUMBER(SEARCH(Filter!$E$7,$J1023))),OR(Filter!$H$7="(alle)",ISNUMBER(SEARCH(Filter!$H$7,$I1023))),OR(Filter!$B$9="",ISNUMBER(SEARCH(Filter!$B$9,$F1023&amp;" "&amp;$G1023)))),COUNTIF($O$6:$O1022,"&gt;0")+1,0))</f>
        <v>1017</v>
      </c>
    </row>
    <row r="1024" customFormat="false" ht="51" hidden="false" customHeight="true" outlineLevel="0" collapsed="false">
      <c r="B1024" s="30" t="s">
        <v>4892</v>
      </c>
      <c r="C1024" s="30" t="s">
        <v>40</v>
      </c>
      <c r="D1024" s="30" t="s">
        <v>4893</v>
      </c>
      <c r="E1024" s="30" t="s">
        <v>604</v>
      </c>
      <c r="F1024" s="30" t="s">
        <v>4894</v>
      </c>
      <c r="G1024" s="30" t="s">
        <v>4895</v>
      </c>
      <c r="H1024" s="30" t="s">
        <v>4896</v>
      </c>
      <c r="I1024" s="30" t="s">
        <v>476</v>
      </c>
      <c r="J1024" s="30" t="s">
        <v>476</v>
      </c>
      <c r="K1024" s="31" t="s">
        <v>47</v>
      </c>
      <c r="L1024" s="32"/>
      <c r="M1024" s="33"/>
      <c r="N1024" s="30" t="s">
        <v>48</v>
      </c>
      <c r="O1024" s="1" t="n">
        <f aca="false">IF($B1024="",0,IF(AND(OR(Filter!$B$5="(alle)",$N1024=Filter!$B$5),OR(Filter!$E$5="(alle)",$K1024=Filter!$E$5),OR(Filter!$H$5="(alle)",$C1024=Filter!$H$5),OR(Filter!$B$7="(alle)",$E1024=Filter!$B$7),OR(Filter!$E$7="(alle)",ISNUMBER(SEARCH(Filter!$E$7,$J1024))),OR(Filter!$H$7="(alle)",ISNUMBER(SEARCH(Filter!$H$7,$I1024))),OR(Filter!$B$9="",ISNUMBER(SEARCH(Filter!$B$9,$F1024&amp;" "&amp;$G1024)))),COUNTIF($O$6:$O1023,"&gt;0")+1,0))</f>
        <v>1018</v>
      </c>
    </row>
    <row r="1025" customFormat="false" ht="51" hidden="false" customHeight="true" outlineLevel="0" collapsed="false">
      <c r="B1025" s="30" t="s">
        <v>4897</v>
      </c>
      <c r="C1025" s="30" t="s">
        <v>40</v>
      </c>
      <c r="D1025" s="30" t="s">
        <v>4898</v>
      </c>
      <c r="E1025" s="30" t="s">
        <v>604</v>
      </c>
      <c r="F1025" s="30" t="s">
        <v>4899</v>
      </c>
      <c r="G1025" s="30" t="s">
        <v>4900</v>
      </c>
      <c r="H1025" s="30" t="s">
        <v>4896</v>
      </c>
      <c r="I1025" s="30" t="s">
        <v>476</v>
      </c>
      <c r="J1025" s="30" t="s">
        <v>476</v>
      </c>
      <c r="K1025" s="31" t="s">
        <v>47</v>
      </c>
      <c r="L1025" s="32"/>
      <c r="M1025" s="33"/>
      <c r="N1025" s="30" t="s">
        <v>48</v>
      </c>
      <c r="O1025" s="1" t="n">
        <f aca="false">IF($B1025="",0,IF(AND(OR(Filter!$B$5="(alle)",$N1025=Filter!$B$5),OR(Filter!$E$5="(alle)",$K1025=Filter!$E$5),OR(Filter!$H$5="(alle)",$C1025=Filter!$H$5),OR(Filter!$B$7="(alle)",$E1025=Filter!$B$7),OR(Filter!$E$7="(alle)",ISNUMBER(SEARCH(Filter!$E$7,$J1025))),OR(Filter!$H$7="(alle)",ISNUMBER(SEARCH(Filter!$H$7,$I1025))),OR(Filter!$B$9="",ISNUMBER(SEARCH(Filter!$B$9,$F1025&amp;" "&amp;$G1025)))),COUNTIF($O$6:$O1024,"&gt;0")+1,0))</f>
        <v>1019</v>
      </c>
    </row>
    <row r="1026" customFormat="false" ht="51" hidden="false" customHeight="true" outlineLevel="0" collapsed="false">
      <c r="B1026" s="30" t="s">
        <v>4901</v>
      </c>
      <c r="C1026" s="30" t="s">
        <v>40</v>
      </c>
      <c r="D1026" s="30" t="s">
        <v>4902</v>
      </c>
      <c r="E1026" s="30" t="s">
        <v>344</v>
      </c>
      <c r="F1026" s="30" t="s">
        <v>4903</v>
      </c>
      <c r="G1026" s="30" t="s">
        <v>4904</v>
      </c>
      <c r="H1026" s="30" t="s">
        <v>4905</v>
      </c>
      <c r="I1026" s="30" t="s">
        <v>306</v>
      </c>
      <c r="J1026" s="30" t="s">
        <v>206</v>
      </c>
      <c r="K1026" s="31" t="s">
        <v>47</v>
      </c>
      <c r="L1026" s="32"/>
      <c r="M1026" s="33"/>
      <c r="N1026" s="30" t="s">
        <v>48</v>
      </c>
      <c r="O1026" s="1" t="n">
        <f aca="false">IF($B1026="",0,IF(AND(OR(Filter!$B$5="(alle)",$N1026=Filter!$B$5),OR(Filter!$E$5="(alle)",$K1026=Filter!$E$5),OR(Filter!$H$5="(alle)",$C1026=Filter!$H$5),OR(Filter!$B$7="(alle)",$E1026=Filter!$B$7),OR(Filter!$E$7="(alle)",ISNUMBER(SEARCH(Filter!$E$7,$J1026))),OR(Filter!$H$7="(alle)",ISNUMBER(SEARCH(Filter!$H$7,$I1026))),OR(Filter!$B$9="",ISNUMBER(SEARCH(Filter!$B$9,$F1026&amp;" "&amp;$G1026)))),COUNTIF($O$6:$O1025,"&gt;0")+1,0))</f>
        <v>1020</v>
      </c>
    </row>
    <row r="1027" customFormat="false" ht="51" hidden="false" customHeight="true" outlineLevel="0" collapsed="false">
      <c r="B1027" s="30" t="s">
        <v>4906</v>
      </c>
      <c r="C1027" s="30" t="s">
        <v>40</v>
      </c>
      <c r="D1027" s="30" t="s">
        <v>4907</v>
      </c>
      <c r="E1027" s="30" t="s">
        <v>604</v>
      </c>
      <c r="F1027" s="30" t="s">
        <v>4908</v>
      </c>
      <c r="G1027" s="30" t="s">
        <v>4909</v>
      </c>
      <c r="H1027" s="30" t="s">
        <v>4896</v>
      </c>
      <c r="I1027" s="30" t="s">
        <v>476</v>
      </c>
      <c r="J1027" s="30" t="s">
        <v>476</v>
      </c>
      <c r="K1027" s="31" t="s">
        <v>47</v>
      </c>
      <c r="L1027" s="32"/>
      <c r="M1027" s="33"/>
      <c r="N1027" s="30" t="s">
        <v>48</v>
      </c>
      <c r="O1027" s="1" t="n">
        <f aca="false">IF($B1027="",0,IF(AND(OR(Filter!$B$5="(alle)",$N1027=Filter!$B$5),OR(Filter!$E$5="(alle)",$K1027=Filter!$E$5),OR(Filter!$H$5="(alle)",$C1027=Filter!$H$5),OR(Filter!$B$7="(alle)",$E1027=Filter!$B$7),OR(Filter!$E$7="(alle)",ISNUMBER(SEARCH(Filter!$E$7,$J1027))),OR(Filter!$H$7="(alle)",ISNUMBER(SEARCH(Filter!$H$7,$I1027))),OR(Filter!$B$9="",ISNUMBER(SEARCH(Filter!$B$9,$F1027&amp;" "&amp;$G1027)))),COUNTIF($O$6:$O1026,"&gt;0")+1,0))</f>
        <v>1021</v>
      </c>
    </row>
    <row r="1028" customFormat="false" ht="51" hidden="false" customHeight="true" outlineLevel="0" collapsed="false">
      <c r="B1028" s="30" t="s">
        <v>4910</v>
      </c>
      <c r="C1028" s="30" t="s">
        <v>40</v>
      </c>
      <c r="D1028" s="30" t="s">
        <v>4911</v>
      </c>
      <c r="E1028" s="30" t="s">
        <v>604</v>
      </c>
      <c r="F1028" s="30" t="s">
        <v>4912</v>
      </c>
      <c r="G1028" s="30" t="s">
        <v>4913</v>
      </c>
      <c r="H1028" s="30" t="s">
        <v>4896</v>
      </c>
      <c r="I1028" s="30" t="s">
        <v>476</v>
      </c>
      <c r="J1028" s="30" t="s">
        <v>476</v>
      </c>
      <c r="K1028" s="31" t="s">
        <v>47</v>
      </c>
      <c r="L1028" s="32"/>
      <c r="M1028" s="33"/>
      <c r="N1028" s="30" t="s">
        <v>48</v>
      </c>
      <c r="O1028" s="1" t="n">
        <f aca="false">IF($B1028="",0,IF(AND(OR(Filter!$B$5="(alle)",$N1028=Filter!$B$5),OR(Filter!$E$5="(alle)",$K1028=Filter!$E$5),OR(Filter!$H$5="(alle)",$C1028=Filter!$H$5),OR(Filter!$B$7="(alle)",$E1028=Filter!$B$7),OR(Filter!$E$7="(alle)",ISNUMBER(SEARCH(Filter!$E$7,$J1028))),OR(Filter!$H$7="(alle)",ISNUMBER(SEARCH(Filter!$H$7,$I1028))),OR(Filter!$B$9="",ISNUMBER(SEARCH(Filter!$B$9,$F1028&amp;" "&amp;$G1028)))),COUNTIF($O$6:$O1027,"&gt;0")+1,0))</f>
        <v>1022</v>
      </c>
    </row>
    <row r="1029" customFormat="false" ht="51" hidden="false" customHeight="true" outlineLevel="0" collapsed="false">
      <c r="B1029" s="30" t="s">
        <v>4914</v>
      </c>
      <c r="C1029" s="30" t="s">
        <v>40</v>
      </c>
      <c r="D1029" s="30" t="s">
        <v>4915</v>
      </c>
      <c r="E1029" s="30" t="s">
        <v>604</v>
      </c>
      <c r="F1029" s="30" t="s">
        <v>4916</v>
      </c>
      <c r="G1029" s="30" t="s">
        <v>4917</v>
      </c>
      <c r="H1029" s="30" t="s">
        <v>4896</v>
      </c>
      <c r="I1029" s="30" t="s">
        <v>476</v>
      </c>
      <c r="J1029" s="30" t="s">
        <v>476</v>
      </c>
      <c r="K1029" s="31" t="s">
        <v>47</v>
      </c>
      <c r="L1029" s="32"/>
      <c r="M1029" s="33"/>
      <c r="N1029" s="30" t="s">
        <v>48</v>
      </c>
      <c r="O1029" s="1" t="n">
        <f aca="false">IF($B1029="",0,IF(AND(OR(Filter!$B$5="(alle)",$N1029=Filter!$B$5),OR(Filter!$E$5="(alle)",$K1029=Filter!$E$5),OR(Filter!$H$5="(alle)",$C1029=Filter!$H$5),OR(Filter!$B$7="(alle)",$E1029=Filter!$B$7),OR(Filter!$E$7="(alle)",ISNUMBER(SEARCH(Filter!$E$7,$J1029))),OR(Filter!$H$7="(alle)",ISNUMBER(SEARCH(Filter!$H$7,$I1029))),OR(Filter!$B$9="",ISNUMBER(SEARCH(Filter!$B$9,$F1029&amp;" "&amp;$G1029)))),COUNTIF($O$6:$O1028,"&gt;0")+1,0))</f>
        <v>1023</v>
      </c>
    </row>
    <row r="1030" customFormat="false" ht="51" hidden="false" customHeight="true" outlineLevel="0" collapsed="false">
      <c r="B1030" s="30" t="s">
        <v>4918</v>
      </c>
      <c r="C1030" s="30" t="s">
        <v>40</v>
      </c>
      <c r="D1030" s="30" t="s">
        <v>4919</v>
      </c>
      <c r="E1030" s="30" t="s">
        <v>547</v>
      </c>
      <c r="F1030" s="30" t="s">
        <v>4920</v>
      </c>
      <c r="G1030" s="30" t="s">
        <v>4921</v>
      </c>
      <c r="H1030" s="30" t="s">
        <v>4896</v>
      </c>
      <c r="I1030" s="30" t="s">
        <v>476</v>
      </c>
      <c r="J1030" s="30" t="s">
        <v>476</v>
      </c>
      <c r="K1030" s="31" t="s">
        <v>47</v>
      </c>
      <c r="L1030" s="32"/>
      <c r="M1030" s="33"/>
      <c r="N1030" s="30" t="s">
        <v>48</v>
      </c>
      <c r="O1030" s="1" t="n">
        <f aca="false">IF($B1030="",0,IF(AND(OR(Filter!$B$5="(alle)",$N1030=Filter!$B$5),OR(Filter!$E$5="(alle)",$K1030=Filter!$E$5),OR(Filter!$H$5="(alle)",$C1030=Filter!$H$5),OR(Filter!$B$7="(alle)",$E1030=Filter!$B$7),OR(Filter!$E$7="(alle)",ISNUMBER(SEARCH(Filter!$E$7,$J1030))),OR(Filter!$H$7="(alle)",ISNUMBER(SEARCH(Filter!$H$7,$I1030))),OR(Filter!$B$9="",ISNUMBER(SEARCH(Filter!$B$9,$F1030&amp;" "&amp;$G1030)))),COUNTIF($O$6:$O1029,"&gt;0")+1,0))</f>
        <v>1024</v>
      </c>
    </row>
    <row r="1031" customFormat="false" ht="51" hidden="false" customHeight="true" outlineLevel="0" collapsed="false">
      <c r="B1031" s="30" t="s">
        <v>4922</v>
      </c>
      <c r="C1031" s="30" t="s">
        <v>40</v>
      </c>
      <c r="D1031" s="30" t="s">
        <v>4923</v>
      </c>
      <c r="E1031" s="30" t="s">
        <v>547</v>
      </c>
      <c r="F1031" s="30" t="s">
        <v>4924</v>
      </c>
      <c r="G1031" s="30" t="s">
        <v>4924</v>
      </c>
      <c r="H1031" s="30" t="s">
        <v>4896</v>
      </c>
      <c r="I1031" s="30" t="s">
        <v>476</v>
      </c>
      <c r="J1031" s="30" t="s">
        <v>476</v>
      </c>
      <c r="K1031" s="31" t="s">
        <v>47</v>
      </c>
      <c r="L1031" s="32"/>
      <c r="M1031" s="33"/>
      <c r="N1031" s="30" t="s">
        <v>48</v>
      </c>
      <c r="O1031" s="1" t="n">
        <f aca="false">IF($B1031="",0,IF(AND(OR(Filter!$B$5="(alle)",$N1031=Filter!$B$5),OR(Filter!$E$5="(alle)",$K1031=Filter!$E$5),OR(Filter!$H$5="(alle)",$C1031=Filter!$H$5),OR(Filter!$B$7="(alle)",$E1031=Filter!$B$7),OR(Filter!$E$7="(alle)",ISNUMBER(SEARCH(Filter!$E$7,$J1031))),OR(Filter!$H$7="(alle)",ISNUMBER(SEARCH(Filter!$H$7,$I1031))),OR(Filter!$B$9="",ISNUMBER(SEARCH(Filter!$B$9,$F1031&amp;" "&amp;$G1031)))),COUNTIF($O$6:$O1030,"&gt;0")+1,0))</f>
        <v>1025</v>
      </c>
    </row>
    <row r="1032" customFormat="false" ht="51" hidden="false" customHeight="true" outlineLevel="0" collapsed="false">
      <c r="B1032" s="30" t="s">
        <v>4925</v>
      </c>
      <c r="C1032" s="30" t="s">
        <v>40</v>
      </c>
      <c r="D1032" s="30" t="s">
        <v>4926</v>
      </c>
      <c r="E1032" s="30" t="s">
        <v>344</v>
      </c>
      <c r="F1032" s="30" t="s">
        <v>4927</v>
      </c>
      <c r="G1032" s="30" t="s">
        <v>4928</v>
      </c>
      <c r="H1032" s="30" t="s">
        <v>4929</v>
      </c>
      <c r="I1032" s="30" t="s">
        <v>306</v>
      </c>
      <c r="J1032" s="30" t="s">
        <v>206</v>
      </c>
      <c r="K1032" s="31" t="s">
        <v>47</v>
      </c>
      <c r="L1032" s="32"/>
      <c r="M1032" s="33"/>
      <c r="N1032" s="30" t="s">
        <v>48</v>
      </c>
      <c r="O1032" s="1" t="n">
        <f aca="false">IF($B1032="",0,IF(AND(OR(Filter!$B$5="(alle)",$N1032=Filter!$B$5),OR(Filter!$E$5="(alle)",$K1032=Filter!$E$5),OR(Filter!$H$5="(alle)",$C1032=Filter!$H$5),OR(Filter!$B$7="(alle)",$E1032=Filter!$B$7),OR(Filter!$E$7="(alle)",ISNUMBER(SEARCH(Filter!$E$7,$J1032))),OR(Filter!$H$7="(alle)",ISNUMBER(SEARCH(Filter!$H$7,$I1032))),OR(Filter!$B$9="",ISNUMBER(SEARCH(Filter!$B$9,$F1032&amp;" "&amp;$G1032)))),COUNTIF($O$6:$O1031,"&gt;0")+1,0))</f>
        <v>1026</v>
      </c>
    </row>
    <row r="1033" customFormat="false" ht="51" hidden="false" customHeight="true" outlineLevel="0" collapsed="false">
      <c r="B1033" s="30" t="s">
        <v>4930</v>
      </c>
      <c r="C1033" s="30" t="s">
        <v>40</v>
      </c>
      <c r="D1033" s="30" t="s">
        <v>4931</v>
      </c>
      <c r="E1033" s="30" t="s">
        <v>344</v>
      </c>
      <c r="F1033" s="30" t="s">
        <v>4932</v>
      </c>
      <c r="G1033" s="30" t="s">
        <v>4932</v>
      </c>
      <c r="H1033" s="30" t="s">
        <v>4929</v>
      </c>
      <c r="I1033" s="30" t="s">
        <v>306</v>
      </c>
      <c r="J1033" s="30" t="s">
        <v>206</v>
      </c>
      <c r="K1033" s="31" t="s">
        <v>47</v>
      </c>
      <c r="L1033" s="32"/>
      <c r="M1033" s="33"/>
      <c r="N1033" s="30" t="s">
        <v>48</v>
      </c>
      <c r="O1033" s="1" t="n">
        <f aca="false">IF($B1033="",0,IF(AND(OR(Filter!$B$5="(alle)",$N1033=Filter!$B$5),OR(Filter!$E$5="(alle)",$K1033=Filter!$E$5),OR(Filter!$H$5="(alle)",$C1033=Filter!$H$5),OR(Filter!$B$7="(alle)",$E1033=Filter!$B$7),OR(Filter!$E$7="(alle)",ISNUMBER(SEARCH(Filter!$E$7,$J1033))),OR(Filter!$H$7="(alle)",ISNUMBER(SEARCH(Filter!$H$7,$I1033))),OR(Filter!$B$9="",ISNUMBER(SEARCH(Filter!$B$9,$F1033&amp;" "&amp;$G1033)))),COUNTIF($O$6:$O1032,"&gt;0")+1,0))</f>
        <v>1027</v>
      </c>
    </row>
    <row r="1034" customFormat="false" ht="51" hidden="false" customHeight="true" outlineLevel="0" collapsed="false">
      <c r="B1034" s="30" t="s">
        <v>4933</v>
      </c>
      <c r="C1034" s="30" t="s">
        <v>40</v>
      </c>
      <c r="D1034" s="30" t="s">
        <v>4934</v>
      </c>
      <c r="E1034" s="30" t="s">
        <v>344</v>
      </c>
      <c r="F1034" s="30" t="s">
        <v>4935</v>
      </c>
      <c r="G1034" s="30" t="s">
        <v>4935</v>
      </c>
      <c r="H1034" s="30" t="s">
        <v>4929</v>
      </c>
      <c r="I1034" s="30" t="s">
        <v>306</v>
      </c>
      <c r="J1034" s="30" t="s">
        <v>206</v>
      </c>
      <c r="K1034" s="31" t="s">
        <v>47</v>
      </c>
      <c r="L1034" s="32"/>
      <c r="M1034" s="33"/>
      <c r="N1034" s="30" t="s">
        <v>48</v>
      </c>
      <c r="O1034" s="1" t="n">
        <f aca="false">IF($B1034="",0,IF(AND(OR(Filter!$B$5="(alle)",$N1034=Filter!$B$5),OR(Filter!$E$5="(alle)",$K1034=Filter!$E$5),OR(Filter!$H$5="(alle)",$C1034=Filter!$H$5),OR(Filter!$B$7="(alle)",$E1034=Filter!$B$7),OR(Filter!$E$7="(alle)",ISNUMBER(SEARCH(Filter!$E$7,$J1034))),OR(Filter!$H$7="(alle)",ISNUMBER(SEARCH(Filter!$H$7,$I1034))),OR(Filter!$B$9="",ISNUMBER(SEARCH(Filter!$B$9,$F1034&amp;" "&amp;$G1034)))),COUNTIF($O$6:$O1033,"&gt;0")+1,0))</f>
        <v>1028</v>
      </c>
    </row>
    <row r="1035" customFormat="false" ht="51" hidden="false" customHeight="true" outlineLevel="0" collapsed="false">
      <c r="B1035" s="30" t="s">
        <v>4936</v>
      </c>
      <c r="C1035" s="30" t="s">
        <v>40</v>
      </c>
      <c r="D1035" s="30" t="s">
        <v>4937</v>
      </c>
      <c r="E1035" s="30" t="s">
        <v>344</v>
      </c>
      <c r="F1035" s="30" t="s">
        <v>4938</v>
      </c>
      <c r="G1035" s="30" t="s">
        <v>4939</v>
      </c>
      <c r="H1035" s="30" t="s">
        <v>4929</v>
      </c>
      <c r="I1035" s="30" t="s">
        <v>306</v>
      </c>
      <c r="J1035" s="30" t="s">
        <v>206</v>
      </c>
      <c r="K1035" s="31" t="s">
        <v>47</v>
      </c>
      <c r="L1035" s="32"/>
      <c r="M1035" s="33"/>
      <c r="N1035" s="30" t="s">
        <v>48</v>
      </c>
      <c r="O1035" s="1" t="n">
        <f aca="false">IF($B1035="",0,IF(AND(OR(Filter!$B$5="(alle)",$N1035=Filter!$B$5),OR(Filter!$E$5="(alle)",$K1035=Filter!$E$5),OR(Filter!$H$5="(alle)",$C1035=Filter!$H$5),OR(Filter!$B$7="(alle)",$E1035=Filter!$B$7),OR(Filter!$E$7="(alle)",ISNUMBER(SEARCH(Filter!$E$7,$J1035))),OR(Filter!$H$7="(alle)",ISNUMBER(SEARCH(Filter!$H$7,$I1035))),OR(Filter!$B$9="",ISNUMBER(SEARCH(Filter!$B$9,$F1035&amp;" "&amp;$G1035)))),COUNTIF($O$6:$O1034,"&gt;0")+1,0))</f>
        <v>1029</v>
      </c>
    </row>
    <row r="1036" customFormat="false" ht="51" hidden="false" customHeight="true" outlineLevel="0" collapsed="false">
      <c r="B1036" s="30" t="s">
        <v>4940</v>
      </c>
      <c r="C1036" s="30" t="s">
        <v>40</v>
      </c>
      <c r="D1036" s="30" t="s">
        <v>4941</v>
      </c>
      <c r="E1036" s="30" t="s">
        <v>344</v>
      </c>
      <c r="F1036" s="30" t="s">
        <v>4942</v>
      </c>
      <c r="G1036" s="30" t="s">
        <v>4942</v>
      </c>
      <c r="H1036" s="30" t="s">
        <v>4929</v>
      </c>
      <c r="I1036" s="30" t="s">
        <v>306</v>
      </c>
      <c r="J1036" s="30" t="s">
        <v>206</v>
      </c>
      <c r="K1036" s="31" t="s">
        <v>47</v>
      </c>
      <c r="L1036" s="32"/>
      <c r="M1036" s="33"/>
      <c r="N1036" s="30" t="s">
        <v>48</v>
      </c>
      <c r="O1036" s="1" t="n">
        <f aca="false">IF($B1036="",0,IF(AND(OR(Filter!$B$5="(alle)",$N1036=Filter!$B$5),OR(Filter!$E$5="(alle)",$K1036=Filter!$E$5),OR(Filter!$H$5="(alle)",$C1036=Filter!$H$5),OR(Filter!$B$7="(alle)",$E1036=Filter!$B$7),OR(Filter!$E$7="(alle)",ISNUMBER(SEARCH(Filter!$E$7,$J1036))),OR(Filter!$H$7="(alle)",ISNUMBER(SEARCH(Filter!$H$7,$I1036))),OR(Filter!$B$9="",ISNUMBER(SEARCH(Filter!$B$9,$F1036&amp;" "&amp;$G1036)))),COUNTIF($O$6:$O1035,"&gt;0")+1,0))</f>
        <v>1030</v>
      </c>
    </row>
    <row r="1037" customFormat="false" ht="51" hidden="false" customHeight="true" outlineLevel="0" collapsed="false">
      <c r="B1037" s="30" t="s">
        <v>4943</v>
      </c>
      <c r="C1037" s="30" t="s">
        <v>40</v>
      </c>
      <c r="D1037" s="30" t="s">
        <v>4944</v>
      </c>
      <c r="E1037" s="30" t="s">
        <v>547</v>
      </c>
      <c r="F1037" s="30" t="s">
        <v>4945</v>
      </c>
      <c r="G1037" s="30" t="s">
        <v>4946</v>
      </c>
      <c r="H1037" s="30" t="s">
        <v>4947</v>
      </c>
      <c r="I1037" s="30" t="s">
        <v>476</v>
      </c>
      <c r="J1037" s="30" t="s">
        <v>476</v>
      </c>
      <c r="K1037" s="31" t="s">
        <v>47</v>
      </c>
      <c r="L1037" s="32"/>
      <c r="M1037" s="33"/>
      <c r="N1037" s="30" t="s">
        <v>48</v>
      </c>
      <c r="O1037" s="1" t="n">
        <f aca="false">IF($B1037="",0,IF(AND(OR(Filter!$B$5="(alle)",$N1037=Filter!$B$5),OR(Filter!$E$5="(alle)",$K1037=Filter!$E$5),OR(Filter!$H$5="(alle)",$C1037=Filter!$H$5),OR(Filter!$B$7="(alle)",$E1037=Filter!$B$7),OR(Filter!$E$7="(alle)",ISNUMBER(SEARCH(Filter!$E$7,$J1037))),OR(Filter!$H$7="(alle)",ISNUMBER(SEARCH(Filter!$H$7,$I1037))),OR(Filter!$B$9="",ISNUMBER(SEARCH(Filter!$B$9,$F1037&amp;" "&amp;$G1037)))),COUNTIF($O$6:$O1036,"&gt;0")+1,0))</f>
        <v>1031</v>
      </c>
    </row>
    <row r="1038" customFormat="false" ht="51" hidden="false" customHeight="true" outlineLevel="0" collapsed="false">
      <c r="B1038" s="30" t="s">
        <v>4948</v>
      </c>
      <c r="C1038" s="30" t="s">
        <v>40</v>
      </c>
      <c r="D1038" s="30" t="s">
        <v>4949</v>
      </c>
      <c r="E1038" s="30" t="s">
        <v>547</v>
      </c>
      <c r="F1038" s="30" t="s">
        <v>4950</v>
      </c>
      <c r="G1038" s="30" t="s">
        <v>4951</v>
      </c>
      <c r="H1038" s="30" t="s">
        <v>4947</v>
      </c>
      <c r="I1038" s="30" t="s">
        <v>476</v>
      </c>
      <c r="J1038" s="30" t="s">
        <v>476</v>
      </c>
      <c r="K1038" s="31" t="s">
        <v>47</v>
      </c>
      <c r="L1038" s="32"/>
      <c r="M1038" s="33"/>
      <c r="N1038" s="30" t="s">
        <v>48</v>
      </c>
      <c r="O1038" s="1" t="n">
        <f aca="false">IF($B1038="",0,IF(AND(OR(Filter!$B$5="(alle)",$N1038=Filter!$B$5),OR(Filter!$E$5="(alle)",$K1038=Filter!$E$5),OR(Filter!$H$5="(alle)",$C1038=Filter!$H$5),OR(Filter!$B$7="(alle)",$E1038=Filter!$B$7),OR(Filter!$E$7="(alle)",ISNUMBER(SEARCH(Filter!$E$7,$J1038))),OR(Filter!$H$7="(alle)",ISNUMBER(SEARCH(Filter!$H$7,$I1038))),OR(Filter!$B$9="",ISNUMBER(SEARCH(Filter!$B$9,$F1038&amp;" "&amp;$G1038)))),COUNTIF($O$6:$O1037,"&gt;0")+1,0))</f>
        <v>1032</v>
      </c>
    </row>
    <row r="1039" customFormat="false" ht="51" hidden="false" customHeight="true" outlineLevel="0" collapsed="false">
      <c r="B1039" s="30" t="s">
        <v>4952</v>
      </c>
      <c r="C1039" s="30" t="s">
        <v>40</v>
      </c>
      <c r="D1039" s="30" t="s">
        <v>4953</v>
      </c>
      <c r="E1039" s="30" t="s">
        <v>344</v>
      </c>
      <c r="F1039" s="30" t="s">
        <v>4954</v>
      </c>
      <c r="G1039" s="30" t="s">
        <v>4955</v>
      </c>
      <c r="H1039" s="30" t="s">
        <v>4929</v>
      </c>
      <c r="I1039" s="30" t="s">
        <v>306</v>
      </c>
      <c r="J1039" s="30" t="s">
        <v>206</v>
      </c>
      <c r="K1039" s="31" t="s">
        <v>47</v>
      </c>
      <c r="L1039" s="32"/>
      <c r="M1039" s="33"/>
      <c r="N1039" s="30" t="s">
        <v>48</v>
      </c>
      <c r="O1039" s="1" t="n">
        <f aca="false">IF($B1039="",0,IF(AND(OR(Filter!$B$5="(alle)",$N1039=Filter!$B$5),OR(Filter!$E$5="(alle)",$K1039=Filter!$E$5),OR(Filter!$H$5="(alle)",$C1039=Filter!$H$5),OR(Filter!$B$7="(alle)",$E1039=Filter!$B$7),OR(Filter!$E$7="(alle)",ISNUMBER(SEARCH(Filter!$E$7,$J1039))),OR(Filter!$H$7="(alle)",ISNUMBER(SEARCH(Filter!$H$7,$I1039))),OR(Filter!$B$9="",ISNUMBER(SEARCH(Filter!$B$9,$F1039&amp;" "&amp;$G1039)))),COUNTIF($O$6:$O1038,"&gt;0")+1,0))</f>
        <v>1033</v>
      </c>
    </row>
    <row r="1040" customFormat="false" ht="51" hidden="false" customHeight="true" outlineLevel="0" collapsed="false">
      <c r="B1040" s="30" t="s">
        <v>4956</v>
      </c>
      <c r="C1040" s="30" t="s">
        <v>40</v>
      </c>
      <c r="D1040" s="30" t="s">
        <v>4957</v>
      </c>
      <c r="E1040" s="30" t="s">
        <v>210</v>
      </c>
      <c r="F1040" s="30" t="s">
        <v>4958</v>
      </c>
      <c r="G1040" s="30" t="s">
        <v>4958</v>
      </c>
      <c r="H1040" s="30" t="s">
        <v>4959</v>
      </c>
      <c r="I1040" s="30" t="s">
        <v>306</v>
      </c>
      <c r="J1040" s="30" t="s">
        <v>206</v>
      </c>
      <c r="K1040" s="31" t="s">
        <v>47</v>
      </c>
      <c r="L1040" s="32"/>
      <c r="M1040" s="33"/>
      <c r="N1040" s="30" t="s">
        <v>48</v>
      </c>
      <c r="O1040" s="1" t="n">
        <f aca="false">IF($B1040="",0,IF(AND(OR(Filter!$B$5="(alle)",$N1040=Filter!$B$5),OR(Filter!$E$5="(alle)",$K1040=Filter!$E$5),OR(Filter!$H$5="(alle)",$C1040=Filter!$H$5),OR(Filter!$B$7="(alle)",$E1040=Filter!$B$7),OR(Filter!$E$7="(alle)",ISNUMBER(SEARCH(Filter!$E$7,$J1040))),OR(Filter!$H$7="(alle)",ISNUMBER(SEARCH(Filter!$H$7,$I1040))),OR(Filter!$B$9="",ISNUMBER(SEARCH(Filter!$B$9,$F1040&amp;" "&amp;$G1040)))),COUNTIF($O$6:$O1039,"&gt;0")+1,0))</f>
        <v>1034</v>
      </c>
    </row>
    <row r="1041" customFormat="false" ht="51" hidden="false" customHeight="true" outlineLevel="0" collapsed="false">
      <c r="B1041" s="30" t="s">
        <v>4960</v>
      </c>
      <c r="C1041" s="30" t="s">
        <v>40</v>
      </c>
      <c r="D1041" s="30" t="s">
        <v>4961</v>
      </c>
      <c r="E1041" s="30" t="s">
        <v>42</v>
      </c>
      <c r="F1041" s="30" t="s">
        <v>4962</v>
      </c>
      <c r="G1041" s="30" t="s">
        <v>4963</v>
      </c>
      <c r="H1041" s="30" t="s">
        <v>4959</v>
      </c>
      <c r="I1041" s="30" t="s">
        <v>45</v>
      </c>
      <c r="J1041" s="30" t="s">
        <v>46</v>
      </c>
      <c r="K1041" s="31" t="s">
        <v>47</v>
      </c>
      <c r="L1041" s="32"/>
      <c r="M1041" s="33"/>
      <c r="N1041" s="30" t="s">
        <v>48</v>
      </c>
      <c r="O1041" s="1" t="n">
        <f aca="false">IF($B1041="",0,IF(AND(OR(Filter!$B$5="(alle)",$N1041=Filter!$B$5),OR(Filter!$E$5="(alle)",$K1041=Filter!$E$5),OR(Filter!$H$5="(alle)",$C1041=Filter!$H$5),OR(Filter!$B$7="(alle)",$E1041=Filter!$B$7),OR(Filter!$E$7="(alle)",ISNUMBER(SEARCH(Filter!$E$7,$J1041))),OR(Filter!$H$7="(alle)",ISNUMBER(SEARCH(Filter!$H$7,$I1041))),OR(Filter!$B$9="",ISNUMBER(SEARCH(Filter!$B$9,$F1041&amp;" "&amp;$G1041)))),COUNTIF($O$6:$O1040,"&gt;0")+1,0))</f>
        <v>1035</v>
      </c>
    </row>
    <row r="1042" customFormat="false" ht="51" hidden="false" customHeight="true" outlineLevel="0" collapsed="false">
      <c r="B1042" s="30" t="s">
        <v>4964</v>
      </c>
      <c r="C1042" s="30" t="s">
        <v>40</v>
      </c>
      <c r="D1042" s="30" t="s">
        <v>4965</v>
      </c>
      <c r="E1042" s="30" t="s">
        <v>344</v>
      </c>
      <c r="F1042" s="30" t="s">
        <v>4966</v>
      </c>
      <c r="G1042" s="30" t="s">
        <v>4967</v>
      </c>
      <c r="H1042" s="30" t="s">
        <v>4959</v>
      </c>
      <c r="I1042" s="30" t="s">
        <v>306</v>
      </c>
      <c r="J1042" s="30" t="s">
        <v>206</v>
      </c>
      <c r="K1042" s="31" t="s">
        <v>47</v>
      </c>
      <c r="L1042" s="32"/>
      <c r="M1042" s="33"/>
      <c r="N1042" s="30" t="s">
        <v>48</v>
      </c>
      <c r="O1042" s="1" t="n">
        <f aca="false">IF($B1042="",0,IF(AND(OR(Filter!$B$5="(alle)",$N1042=Filter!$B$5),OR(Filter!$E$5="(alle)",$K1042=Filter!$E$5),OR(Filter!$H$5="(alle)",$C1042=Filter!$H$5),OR(Filter!$B$7="(alle)",$E1042=Filter!$B$7),OR(Filter!$E$7="(alle)",ISNUMBER(SEARCH(Filter!$E$7,$J1042))),OR(Filter!$H$7="(alle)",ISNUMBER(SEARCH(Filter!$H$7,$I1042))),OR(Filter!$B$9="",ISNUMBER(SEARCH(Filter!$B$9,$F1042&amp;" "&amp;$G1042)))),COUNTIF($O$6:$O1041,"&gt;0")+1,0))</f>
        <v>1036</v>
      </c>
    </row>
    <row r="1043" customFormat="false" ht="51" hidden="false" customHeight="true" outlineLevel="0" collapsed="false">
      <c r="B1043" s="30" t="s">
        <v>4968</v>
      </c>
      <c r="C1043" s="30" t="s">
        <v>40</v>
      </c>
      <c r="D1043" s="30" t="s">
        <v>4969</v>
      </c>
      <c r="E1043" s="30" t="s">
        <v>344</v>
      </c>
      <c r="F1043" s="30" t="s">
        <v>4970</v>
      </c>
      <c r="G1043" s="30" t="s">
        <v>4971</v>
      </c>
      <c r="H1043" s="30" t="s">
        <v>4959</v>
      </c>
      <c r="I1043" s="30" t="s">
        <v>306</v>
      </c>
      <c r="J1043" s="30" t="s">
        <v>206</v>
      </c>
      <c r="K1043" s="31" t="s">
        <v>47</v>
      </c>
      <c r="L1043" s="32"/>
      <c r="M1043" s="33"/>
      <c r="N1043" s="30" t="s">
        <v>48</v>
      </c>
      <c r="O1043" s="1" t="n">
        <f aca="false">IF($B1043="",0,IF(AND(OR(Filter!$B$5="(alle)",$N1043=Filter!$B$5),OR(Filter!$E$5="(alle)",$K1043=Filter!$E$5),OR(Filter!$H$5="(alle)",$C1043=Filter!$H$5),OR(Filter!$B$7="(alle)",$E1043=Filter!$B$7),OR(Filter!$E$7="(alle)",ISNUMBER(SEARCH(Filter!$E$7,$J1043))),OR(Filter!$H$7="(alle)",ISNUMBER(SEARCH(Filter!$H$7,$I1043))),OR(Filter!$B$9="",ISNUMBER(SEARCH(Filter!$B$9,$F1043&amp;" "&amp;$G1043)))),COUNTIF($O$6:$O1042,"&gt;0")+1,0))</f>
        <v>1037</v>
      </c>
    </row>
    <row r="1044" customFormat="false" ht="51" hidden="false" customHeight="true" outlineLevel="0" collapsed="false">
      <c r="B1044" s="30" t="s">
        <v>4972</v>
      </c>
      <c r="C1044" s="30" t="s">
        <v>40</v>
      </c>
      <c r="D1044" s="30" t="s">
        <v>4973</v>
      </c>
      <c r="E1044" s="30" t="s">
        <v>344</v>
      </c>
      <c r="F1044" s="30" t="s">
        <v>4974</v>
      </c>
      <c r="G1044" s="30" t="s">
        <v>4975</v>
      </c>
      <c r="H1044" s="30" t="s">
        <v>4959</v>
      </c>
      <c r="I1044" s="30" t="s">
        <v>306</v>
      </c>
      <c r="J1044" s="30" t="s">
        <v>206</v>
      </c>
      <c r="K1044" s="31" t="s">
        <v>47</v>
      </c>
      <c r="L1044" s="32"/>
      <c r="M1044" s="33"/>
      <c r="N1044" s="30" t="s">
        <v>48</v>
      </c>
      <c r="O1044" s="1" t="n">
        <f aca="false">IF($B1044="",0,IF(AND(OR(Filter!$B$5="(alle)",$N1044=Filter!$B$5),OR(Filter!$E$5="(alle)",$K1044=Filter!$E$5),OR(Filter!$H$5="(alle)",$C1044=Filter!$H$5),OR(Filter!$B$7="(alle)",$E1044=Filter!$B$7),OR(Filter!$E$7="(alle)",ISNUMBER(SEARCH(Filter!$E$7,$J1044))),OR(Filter!$H$7="(alle)",ISNUMBER(SEARCH(Filter!$H$7,$I1044))),OR(Filter!$B$9="",ISNUMBER(SEARCH(Filter!$B$9,$F1044&amp;" "&amp;$G1044)))),COUNTIF($O$6:$O1043,"&gt;0")+1,0))</f>
        <v>1038</v>
      </c>
    </row>
    <row r="1045" customFormat="false" ht="51" hidden="false" customHeight="true" outlineLevel="0" collapsed="false">
      <c r="B1045" s="30" t="s">
        <v>4976</v>
      </c>
      <c r="C1045" s="30" t="s">
        <v>40</v>
      </c>
      <c r="D1045" s="30" t="s">
        <v>4977</v>
      </c>
      <c r="E1045" s="30" t="s">
        <v>344</v>
      </c>
      <c r="F1045" s="30" t="s">
        <v>4978</v>
      </c>
      <c r="G1045" s="30" t="s">
        <v>4979</v>
      </c>
      <c r="H1045" s="30" t="s">
        <v>4959</v>
      </c>
      <c r="I1045" s="30" t="s">
        <v>306</v>
      </c>
      <c r="J1045" s="30" t="s">
        <v>206</v>
      </c>
      <c r="K1045" s="31" t="s">
        <v>47</v>
      </c>
      <c r="L1045" s="32"/>
      <c r="M1045" s="33"/>
      <c r="N1045" s="30" t="s">
        <v>48</v>
      </c>
      <c r="O1045" s="1" t="n">
        <f aca="false">IF($B1045="",0,IF(AND(OR(Filter!$B$5="(alle)",$N1045=Filter!$B$5),OR(Filter!$E$5="(alle)",$K1045=Filter!$E$5),OR(Filter!$H$5="(alle)",$C1045=Filter!$H$5),OR(Filter!$B$7="(alle)",$E1045=Filter!$B$7),OR(Filter!$E$7="(alle)",ISNUMBER(SEARCH(Filter!$E$7,$J1045))),OR(Filter!$H$7="(alle)",ISNUMBER(SEARCH(Filter!$H$7,$I1045))),OR(Filter!$B$9="",ISNUMBER(SEARCH(Filter!$B$9,$F1045&amp;" "&amp;$G1045)))),COUNTIF($O$6:$O1044,"&gt;0")+1,0))</f>
        <v>1039</v>
      </c>
    </row>
    <row r="1046" customFormat="false" ht="51" hidden="false" customHeight="true" outlineLevel="0" collapsed="false">
      <c r="B1046" s="30" t="s">
        <v>4980</v>
      </c>
      <c r="C1046" s="30" t="s">
        <v>40</v>
      </c>
      <c r="D1046" s="30" t="s">
        <v>4981</v>
      </c>
      <c r="E1046" s="30" t="s">
        <v>270</v>
      </c>
      <c r="F1046" s="30" t="s">
        <v>4982</v>
      </c>
      <c r="G1046" s="30" t="s">
        <v>4983</v>
      </c>
      <c r="H1046" s="30" t="s">
        <v>4959</v>
      </c>
      <c r="I1046" s="30" t="s">
        <v>45</v>
      </c>
      <c r="J1046" s="30" t="s">
        <v>274</v>
      </c>
      <c r="K1046" s="31" t="s">
        <v>47</v>
      </c>
      <c r="L1046" s="32"/>
      <c r="M1046" s="33"/>
      <c r="N1046" s="30" t="s">
        <v>48</v>
      </c>
      <c r="O1046" s="1" t="n">
        <f aca="false">IF($B1046="",0,IF(AND(OR(Filter!$B$5="(alle)",$N1046=Filter!$B$5),OR(Filter!$E$5="(alle)",$K1046=Filter!$E$5),OR(Filter!$H$5="(alle)",$C1046=Filter!$H$5),OR(Filter!$B$7="(alle)",$E1046=Filter!$B$7),OR(Filter!$E$7="(alle)",ISNUMBER(SEARCH(Filter!$E$7,$J1046))),OR(Filter!$H$7="(alle)",ISNUMBER(SEARCH(Filter!$H$7,$I1046))),OR(Filter!$B$9="",ISNUMBER(SEARCH(Filter!$B$9,$F1046&amp;" "&amp;$G1046)))),COUNTIF($O$6:$O1045,"&gt;0")+1,0))</f>
        <v>1040</v>
      </c>
    </row>
    <row r="1047" customFormat="false" ht="51" hidden="false" customHeight="true" outlineLevel="0" collapsed="false">
      <c r="B1047" s="30" t="s">
        <v>4984</v>
      </c>
      <c r="C1047" s="30" t="s">
        <v>40</v>
      </c>
      <c r="D1047" s="30" t="s">
        <v>4985</v>
      </c>
      <c r="E1047" s="30" t="s">
        <v>344</v>
      </c>
      <c r="F1047" s="30" t="s">
        <v>4986</v>
      </c>
      <c r="G1047" s="30" t="s">
        <v>4987</v>
      </c>
      <c r="H1047" s="30" t="s">
        <v>4959</v>
      </c>
      <c r="I1047" s="30" t="s">
        <v>306</v>
      </c>
      <c r="J1047" s="30" t="s">
        <v>206</v>
      </c>
      <c r="K1047" s="31" t="s">
        <v>47</v>
      </c>
      <c r="L1047" s="32"/>
      <c r="M1047" s="33"/>
      <c r="N1047" s="30" t="s">
        <v>48</v>
      </c>
      <c r="O1047" s="1" t="n">
        <f aca="false">IF($B1047="",0,IF(AND(OR(Filter!$B$5="(alle)",$N1047=Filter!$B$5),OR(Filter!$E$5="(alle)",$K1047=Filter!$E$5),OR(Filter!$H$5="(alle)",$C1047=Filter!$H$5),OR(Filter!$B$7="(alle)",$E1047=Filter!$B$7),OR(Filter!$E$7="(alle)",ISNUMBER(SEARCH(Filter!$E$7,$J1047))),OR(Filter!$H$7="(alle)",ISNUMBER(SEARCH(Filter!$H$7,$I1047))),OR(Filter!$B$9="",ISNUMBER(SEARCH(Filter!$B$9,$F1047&amp;" "&amp;$G1047)))),COUNTIF($O$6:$O1046,"&gt;0")+1,0))</f>
        <v>1041</v>
      </c>
    </row>
    <row r="1048" customFormat="false" ht="51" hidden="false" customHeight="true" outlineLevel="0" collapsed="false">
      <c r="B1048" s="30" t="s">
        <v>4988</v>
      </c>
      <c r="C1048" s="30" t="s">
        <v>40</v>
      </c>
      <c r="D1048" s="30" t="s">
        <v>4989</v>
      </c>
      <c r="E1048" s="30" t="s">
        <v>344</v>
      </c>
      <c r="F1048" s="30" t="s">
        <v>4990</v>
      </c>
      <c r="G1048" s="30" t="s">
        <v>4990</v>
      </c>
      <c r="H1048" s="30" t="s">
        <v>4959</v>
      </c>
      <c r="I1048" s="30" t="s">
        <v>306</v>
      </c>
      <c r="J1048" s="30" t="s">
        <v>206</v>
      </c>
      <c r="K1048" s="31" t="s">
        <v>47</v>
      </c>
      <c r="L1048" s="32"/>
      <c r="M1048" s="33"/>
      <c r="N1048" s="30" t="s">
        <v>48</v>
      </c>
      <c r="O1048" s="1" t="n">
        <f aca="false">IF($B1048="",0,IF(AND(OR(Filter!$B$5="(alle)",$N1048=Filter!$B$5),OR(Filter!$E$5="(alle)",$K1048=Filter!$E$5),OR(Filter!$H$5="(alle)",$C1048=Filter!$H$5),OR(Filter!$B$7="(alle)",$E1048=Filter!$B$7),OR(Filter!$E$7="(alle)",ISNUMBER(SEARCH(Filter!$E$7,$J1048))),OR(Filter!$H$7="(alle)",ISNUMBER(SEARCH(Filter!$H$7,$I1048))),OR(Filter!$B$9="",ISNUMBER(SEARCH(Filter!$B$9,$F1048&amp;" "&amp;$G1048)))),COUNTIF($O$6:$O1047,"&gt;0")+1,0))</f>
        <v>1042</v>
      </c>
    </row>
    <row r="1049" customFormat="false" ht="51" hidden="false" customHeight="true" outlineLevel="0" collapsed="false">
      <c r="B1049" s="30" t="s">
        <v>4991</v>
      </c>
      <c r="C1049" s="30" t="s">
        <v>40</v>
      </c>
      <c r="D1049" s="30" t="s">
        <v>4992</v>
      </c>
      <c r="E1049" s="30" t="s">
        <v>344</v>
      </c>
      <c r="F1049" s="30" t="s">
        <v>4993</v>
      </c>
      <c r="G1049" s="30" t="s">
        <v>4994</v>
      </c>
      <c r="H1049" s="30" t="s">
        <v>4995</v>
      </c>
      <c r="I1049" s="30" t="s">
        <v>306</v>
      </c>
      <c r="J1049" s="30" t="s">
        <v>206</v>
      </c>
      <c r="K1049" s="31" t="s">
        <v>47</v>
      </c>
      <c r="L1049" s="32"/>
      <c r="M1049" s="33"/>
      <c r="N1049" s="30" t="s">
        <v>48</v>
      </c>
      <c r="O1049" s="1" t="n">
        <f aca="false">IF($B1049="",0,IF(AND(OR(Filter!$B$5="(alle)",$N1049=Filter!$B$5),OR(Filter!$E$5="(alle)",$K1049=Filter!$E$5),OR(Filter!$H$5="(alle)",$C1049=Filter!$H$5),OR(Filter!$B$7="(alle)",$E1049=Filter!$B$7),OR(Filter!$E$7="(alle)",ISNUMBER(SEARCH(Filter!$E$7,$J1049))),OR(Filter!$H$7="(alle)",ISNUMBER(SEARCH(Filter!$H$7,$I1049))),OR(Filter!$B$9="",ISNUMBER(SEARCH(Filter!$B$9,$F1049&amp;" "&amp;$G1049)))),COUNTIF($O$6:$O1048,"&gt;0")+1,0))</f>
        <v>1043</v>
      </c>
    </row>
    <row r="1050" customFormat="false" ht="51" hidden="false" customHeight="true" outlineLevel="0" collapsed="false">
      <c r="B1050" s="30" t="s">
        <v>4996</v>
      </c>
      <c r="C1050" s="30" t="s">
        <v>40</v>
      </c>
      <c r="D1050" s="30" t="s">
        <v>4997</v>
      </c>
      <c r="E1050" s="30" t="s">
        <v>344</v>
      </c>
      <c r="F1050" s="30" t="s">
        <v>4998</v>
      </c>
      <c r="G1050" s="30" t="s">
        <v>4999</v>
      </c>
      <c r="H1050" s="30" t="s">
        <v>4995</v>
      </c>
      <c r="I1050" s="30" t="s">
        <v>306</v>
      </c>
      <c r="J1050" s="30" t="s">
        <v>206</v>
      </c>
      <c r="K1050" s="31" t="s">
        <v>47</v>
      </c>
      <c r="L1050" s="32"/>
      <c r="M1050" s="33"/>
      <c r="N1050" s="30" t="s">
        <v>48</v>
      </c>
      <c r="O1050" s="1" t="n">
        <f aca="false">IF($B1050="",0,IF(AND(OR(Filter!$B$5="(alle)",$N1050=Filter!$B$5),OR(Filter!$E$5="(alle)",$K1050=Filter!$E$5),OR(Filter!$H$5="(alle)",$C1050=Filter!$H$5),OR(Filter!$B$7="(alle)",$E1050=Filter!$B$7),OR(Filter!$E$7="(alle)",ISNUMBER(SEARCH(Filter!$E$7,$J1050))),OR(Filter!$H$7="(alle)",ISNUMBER(SEARCH(Filter!$H$7,$I1050))),OR(Filter!$B$9="",ISNUMBER(SEARCH(Filter!$B$9,$F1050&amp;" "&amp;$G1050)))),COUNTIF($O$6:$O1049,"&gt;0")+1,0))</f>
        <v>1044</v>
      </c>
    </row>
    <row r="1051" customFormat="false" ht="51" hidden="false" customHeight="true" outlineLevel="0" collapsed="false">
      <c r="B1051" s="30" t="s">
        <v>5000</v>
      </c>
      <c r="C1051" s="30" t="s">
        <v>40</v>
      </c>
      <c r="D1051" s="30" t="s">
        <v>5001</v>
      </c>
      <c r="E1051" s="30" t="s">
        <v>210</v>
      </c>
      <c r="F1051" s="30" t="s">
        <v>5002</v>
      </c>
      <c r="G1051" s="30" t="s">
        <v>5003</v>
      </c>
      <c r="H1051" s="30" t="s">
        <v>4995</v>
      </c>
      <c r="I1051" s="30" t="s">
        <v>306</v>
      </c>
      <c r="J1051" s="30" t="s">
        <v>206</v>
      </c>
      <c r="K1051" s="31" t="s">
        <v>47</v>
      </c>
      <c r="L1051" s="32"/>
      <c r="M1051" s="33"/>
      <c r="N1051" s="30" t="s">
        <v>48</v>
      </c>
      <c r="O1051" s="1" t="n">
        <f aca="false">IF($B1051="",0,IF(AND(OR(Filter!$B$5="(alle)",$N1051=Filter!$B$5),OR(Filter!$E$5="(alle)",$K1051=Filter!$E$5),OR(Filter!$H$5="(alle)",$C1051=Filter!$H$5),OR(Filter!$B$7="(alle)",$E1051=Filter!$B$7),OR(Filter!$E$7="(alle)",ISNUMBER(SEARCH(Filter!$E$7,$J1051))),OR(Filter!$H$7="(alle)",ISNUMBER(SEARCH(Filter!$H$7,$I1051))),OR(Filter!$B$9="",ISNUMBER(SEARCH(Filter!$B$9,$F1051&amp;" "&amp;$G1051)))),COUNTIF($O$6:$O1050,"&gt;0")+1,0))</f>
        <v>1045</v>
      </c>
    </row>
    <row r="1052" customFormat="false" ht="51" hidden="false" customHeight="true" outlineLevel="0" collapsed="false">
      <c r="B1052" s="30" t="s">
        <v>5004</v>
      </c>
      <c r="C1052" s="30" t="s">
        <v>40</v>
      </c>
      <c r="D1052" s="30" t="s">
        <v>5005</v>
      </c>
      <c r="E1052" s="30" t="s">
        <v>210</v>
      </c>
      <c r="F1052" s="30" t="s">
        <v>5006</v>
      </c>
      <c r="G1052" s="30" t="s">
        <v>5007</v>
      </c>
      <c r="H1052" s="30" t="s">
        <v>4995</v>
      </c>
      <c r="I1052" s="30" t="s">
        <v>3700</v>
      </c>
      <c r="J1052" s="30" t="s">
        <v>159</v>
      </c>
      <c r="K1052" s="31" t="s">
        <v>47</v>
      </c>
      <c r="L1052" s="32"/>
      <c r="M1052" s="33"/>
      <c r="N1052" s="30" t="s">
        <v>48</v>
      </c>
      <c r="O1052" s="1" t="n">
        <f aca="false">IF($B1052="",0,IF(AND(OR(Filter!$B$5="(alle)",$N1052=Filter!$B$5),OR(Filter!$E$5="(alle)",$K1052=Filter!$E$5),OR(Filter!$H$5="(alle)",$C1052=Filter!$H$5),OR(Filter!$B$7="(alle)",$E1052=Filter!$B$7),OR(Filter!$E$7="(alle)",ISNUMBER(SEARCH(Filter!$E$7,$J1052))),OR(Filter!$H$7="(alle)",ISNUMBER(SEARCH(Filter!$H$7,$I1052))),OR(Filter!$B$9="",ISNUMBER(SEARCH(Filter!$B$9,$F1052&amp;" "&amp;$G1052)))),COUNTIF($O$6:$O1051,"&gt;0")+1,0))</f>
        <v>1046</v>
      </c>
    </row>
    <row r="1053" customFormat="false" ht="51" hidden="false" customHeight="true" outlineLevel="0" collapsed="false">
      <c r="B1053" s="30" t="s">
        <v>5008</v>
      </c>
      <c r="C1053" s="30" t="s">
        <v>40</v>
      </c>
      <c r="D1053" s="30" t="s">
        <v>5009</v>
      </c>
      <c r="E1053" s="30" t="s">
        <v>344</v>
      </c>
      <c r="F1053" s="30" t="s">
        <v>5010</v>
      </c>
      <c r="G1053" s="30" t="s">
        <v>5011</v>
      </c>
      <c r="H1053" s="30" t="s">
        <v>4995</v>
      </c>
      <c r="I1053" s="30" t="s">
        <v>306</v>
      </c>
      <c r="J1053" s="30" t="s">
        <v>206</v>
      </c>
      <c r="K1053" s="31" t="s">
        <v>47</v>
      </c>
      <c r="L1053" s="32"/>
      <c r="M1053" s="33"/>
      <c r="N1053" s="30" t="s">
        <v>48</v>
      </c>
      <c r="O1053" s="1" t="n">
        <f aca="false">IF($B1053="",0,IF(AND(OR(Filter!$B$5="(alle)",$N1053=Filter!$B$5),OR(Filter!$E$5="(alle)",$K1053=Filter!$E$5),OR(Filter!$H$5="(alle)",$C1053=Filter!$H$5),OR(Filter!$B$7="(alle)",$E1053=Filter!$B$7),OR(Filter!$E$7="(alle)",ISNUMBER(SEARCH(Filter!$E$7,$J1053))),OR(Filter!$H$7="(alle)",ISNUMBER(SEARCH(Filter!$H$7,$I1053))),OR(Filter!$B$9="",ISNUMBER(SEARCH(Filter!$B$9,$F1053&amp;" "&amp;$G1053)))),COUNTIF($O$6:$O1052,"&gt;0")+1,0))</f>
        <v>1047</v>
      </c>
    </row>
    <row r="1054" customFormat="false" ht="51" hidden="false" customHeight="true" outlineLevel="0" collapsed="false">
      <c r="B1054" s="30" t="s">
        <v>5012</v>
      </c>
      <c r="C1054" s="30" t="s">
        <v>40</v>
      </c>
      <c r="D1054" s="30" t="s">
        <v>5013</v>
      </c>
      <c r="E1054" s="30" t="s">
        <v>344</v>
      </c>
      <c r="F1054" s="30" t="s">
        <v>5014</v>
      </c>
      <c r="G1054" s="30" t="s">
        <v>5014</v>
      </c>
      <c r="H1054" s="30" t="s">
        <v>4995</v>
      </c>
      <c r="I1054" s="30" t="s">
        <v>306</v>
      </c>
      <c r="J1054" s="30" t="s">
        <v>206</v>
      </c>
      <c r="K1054" s="31" t="s">
        <v>47</v>
      </c>
      <c r="L1054" s="32"/>
      <c r="M1054" s="33"/>
      <c r="N1054" s="30" t="s">
        <v>48</v>
      </c>
      <c r="O1054" s="1" t="n">
        <f aca="false">IF($B1054="",0,IF(AND(OR(Filter!$B$5="(alle)",$N1054=Filter!$B$5),OR(Filter!$E$5="(alle)",$K1054=Filter!$E$5),OR(Filter!$H$5="(alle)",$C1054=Filter!$H$5),OR(Filter!$B$7="(alle)",$E1054=Filter!$B$7),OR(Filter!$E$7="(alle)",ISNUMBER(SEARCH(Filter!$E$7,$J1054))),OR(Filter!$H$7="(alle)",ISNUMBER(SEARCH(Filter!$H$7,$I1054))),OR(Filter!$B$9="",ISNUMBER(SEARCH(Filter!$B$9,$F1054&amp;" "&amp;$G1054)))),COUNTIF($O$6:$O1053,"&gt;0")+1,0))</f>
        <v>1048</v>
      </c>
    </row>
    <row r="1055" customFormat="false" ht="51" hidden="false" customHeight="true" outlineLevel="0" collapsed="false">
      <c r="B1055" s="30" t="s">
        <v>5015</v>
      </c>
      <c r="C1055" s="30" t="s">
        <v>40</v>
      </c>
      <c r="D1055" s="30" t="s">
        <v>5016</v>
      </c>
      <c r="E1055" s="30" t="s">
        <v>344</v>
      </c>
      <c r="F1055" s="30" t="s">
        <v>5017</v>
      </c>
      <c r="G1055" s="30" t="s">
        <v>5018</v>
      </c>
      <c r="H1055" s="30" t="s">
        <v>4995</v>
      </c>
      <c r="I1055" s="30" t="s">
        <v>306</v>
      </c>
      <c r="J1055" s="30" t="s">
        <v>206</v>
      </c>
      <c r="K1055" s="31" t="s">
        <v>47</v>
      </c>
      <c r="L1055" s="32"/>
      <c r="M1055" s="33"/>
      <c r="N1055" s="30" t="s">
        <v>48</v>
      </c>
      <c r="O1055" s="1" t="n">
        <f aca="false">IF($B1055="",0,IF(AND(OR(Filter!$B$5="(alle)",$N1055=Filter!$B$5),OR(Filter!$E$5="(alle)",$K1055=Filter!$E$5),OR(Filter!$H$5="(alle)",$C1055=Filter!$H$5),OR(Filter!$B$7="(alle)",$E1055=Filter!$B$7),OR(Filter!$E$7="(alle)",ISNUMBER(SEARCH(Filter!$E$7,$J1055))),OR(Filter!$H$7="(alle)",ISNUMBER(SEARCH(Filter!$H$7,$I1055))),OR(Filter!$B$9="",ISNUMBER(SEARCH(Filter!$B$9,$F1055&amp;" "&amp;$G1055)))),COUNTIF($O$6:$O1054,"&gt;0")+1,0))</f>
        <v>1049</v>
      </c>
    </row>
    <row r="1056" customFormat="false" ht="51" hidden="false" customHeight="true" outlineLevel="0" collapsed="false">
      <c r="B1056" s="30" t="s">
        <v>5019</v>
      </c>
      <c r="C1056" s="30" t="s">
        <v>40</v>
      </c>
      <c r="D1056" s="30" t="s">
        <v>5020</v>
      </c>
      <c r="E1056" s="30" t="s">
        <v>344</v>
      </c>
      <c r="F1056" s="30" t="s">
        <v>5021</v>
      </c>
      <c r="G1056" s="30" t="s">
        <v>5022</v>
      </c>
      <c r="H1056" s="30" t="s">
        <v>5023</v>
      </c>
      <c r="I1056" s="30" t="s">
        <v>306</v>
      </c>
      <c r="J1056" s="30" t="s">
        <v>206</v>
      </c>
      <c r="K1056" s="31" t="s">
        <v>47</v>
      </c>
      <c r="L1056" s="32"/>
      <c r="M1056" s="33"/>
      <c r="N1056" s="30" t="s">
        <v>48</v>
      </c>
      <c r="O1056" s="1" t="n">
        <f aca="false">IF($B1056="",0,IF(AND(OR(Filter!$B$5="(alle)",$N1056=Filter!$B$5),OR(Filter!$E$5="(alle)",$K1056=Filter!$E$5),OR(Filter!$H$5="(alle)",$C1056=Filter!$H$5),OR(Filter!$B$7="(alle)",$E1056=Filter!$B$7),OR(Filter!$E$7="(alle)",ISNUMBER(SEARCH(Filter!$E$7,$J1056))),OR(Filter!$H$7="(alle)",ISNUMBER(SEARCH(Filter!$H$7,$I1056))),OR(Filter!$B$9="",ISNUMBER(SEARCH(Filter!$B$9,$F1056&amp;" "&amp;$G1056)))),COUNTIF($O$6:$O1055,"&gt;0")+1,0))</f>
        <v>1050</v>
      </c>
    </row>
    <row r="1057" customFormat="false" ht="51" hidden="false" customHeight="true" outlineLevel="0" collapsed="false">
      <c r="B1057" s="30" t="s">
        <v>5024</v>
      </c>
      <c r="C1057" s="30" t="s">
        <v>40</v>
      </c>
      <c r="D1057" s="30" t="s">
        <v>5025</v>
      </c>
      <c r="E1057" s="30" t="s">
        <v>344</v>
      </c>
      <c r="F1057" s="30" t="s">
        <v>5026</v>
      </c>
      <c r="G1057" s="30" t="s">
        <v>5026</v>
      </c>
      <c r="H1057" s="30" t="s">
        <v>5023</v>
      </c>
      <c r="I1057" s="30" t="s">
        <v>306</v>
      </c>
      <c r="J1057" s="30" t="s">
        <v>206</v>
      </c>
      <c r="K1057" s="31" t="s">
        <v>47</v>
      </c>
      <c r="L1057" s="32"/>
      <c r="M1057" s="33"/>
      <c r="N1057" s="30" t="s">
        <v>48</v>
      </c>
      <c r="O1057" s="1" t="n">
        <f aca="false">IF($B1057="",0,IF(AND(OR(Filter!$B$5="(alle)",$N1057=Filter!$B$5),OR(Filter!$E$5="(alle)",$K1057=Filter!$E$5),OR(Filter!$H$5="(alle)",$C1057=Filter!$H$5),OR(Filter!$B$7="(alle)",$E1057=Filter!$B$7),OR(Filter!$E$7="(alle)",ISNUMBER(SEARCH(Filter!$E$7,$J1057))),OR(Filter!$H$7="(alle)",ISNUMBER(SEARCH(Filter!$H$7,$I1057))),OR(Filter!$B$9="",ISNUMBER(SEARCH(Filter!$B$9,$F1057&amp;" "&amp;$G1057)))),COUNTIF($O$6:$O1056,"&gt;0")+1,0))</f>
        <v>1051</v>
      </c>
    </row>
    <row r="1058" customFormat="false" ht="51" hidden="false" customHeight="true" outlineLevel="0" collapsed="false">
      <c r="B1058" s="30" t="s">
        <v>5027</v>
      </c>
      <c r="C1058" s="30" t="s">
        <v>40</v>
      </c>
      <c r="D1058" s="30" t="s">
        <v>5028</v>
      </c>
      <c r="E1058" s="30" t="s">
        <v>344</v>
      </c>
      <c r="F1058" s="30" t="s">
        <v>5029</v>
      </c>
      <c r="G1058" s="30" t="s">
        <v>5029</v>
      </c>
      <c r="H1058" s="30" t="s">
        <v>5023</v>
      </c>
      <c r="I1058" s="30" t="s">
        <v>306</v>
      </c>
      <c r="J1058" s="30" t="s">
        <v>206</v>
      </c>
      <c r="K1058" s="31" t="s">
        <v>47</v>
      </c>
      <c r="L1058" s="32"/>
      <c r="M1058" s="33"/>
      <c r="N1058" s="30" t="s">
        <v>48</v>
      </c>
      <c r="O1058" s="1" t="n">
        <f aca="false">IF($B1058="",0,IF(AND(OR(Filter!$B$5="(alle)",$N1058=Filter!$B$5),OR(Filter!$E$5="(alle)",$K1058=Filter!$E$5),OR(Filter!$H$5="(alle)",$C1058=Filter!$H$5),OR(Filter!$B$7="(alle)",$E1058=Filter!$B$7),OR(Filter!$E$7="(alle)",ISNUMBER(SEARCH(Filter!$E$7,$J1058))),OR(Filter!$H$7="(alle)",ISNUMBER(SEARCH(Filter!$H$7,$I1058))),OR(Filter!$B$9="",ISNUMBER(SEARCH(Filter!$B$9,$F1058&amp;" "&amp;$G1058)))),COUNTIF($O$6:$O1057,"&gt;0")+1,0))</f>
        <v>1052</v>
      </c>
    </row>
    <row r="1059" customFormat="false" ht="51" hidden="false" customHeight="true" outlineLevel="0" collapsed="false">
      <c r="B1059" s="30" t="s">
        <v>5030</v>
      </c>
      <c r="C1059" s="30" t="s">
        <v>40</v>
      </c>
      <c r="D1059" s="30" t="s">
        <v>5031</v>
      </c>
      <c r="E1059" s="30" t="s">
        <v>344</v>
      </c>
      <c r="F1059" s="30" t="s">
        <v>5032</v>
      </c>
      <c r="G1059" s="30" t="s">
        <v>5032</v>
      </c>
      <c r="H1059" s="30" t="s">
        <v>5023</v>
      </c>
      <c r="I1059" s="30" t="s">
        <v>306</v>
      </c>
      <c r="J1059" s="30" t="s">
        <v>206</v>
      </c>
      <c r="K1059" s="31" t="s">
        <v>47</v>
      </c>
      <c r="L1059" s="32"/>
      <c r="M1059" s="33"/>
      <c r="N1059" s="30" t="s">
        <v>48</v>
      </c>
      <c r="O1059" s="1" t="n">
        <f aca="false">IF($B1059="",0,IF(AND(OR(Filter!$B$5="(alle)",$N1059=Filter!$B$5),OR(Filter!$E$5="(alle)",$K1059=Filter!$E$5),OR(Filter!$H$5="(alle)",$C1059=Filter!$H$5),OR(Filter!$B$7="(alle)",$E1059=Filter!$B$7),OR(Filter!$E$7="(alle)",ISNUMBER(SEARCH(Filter!$E$7,$J1059))),OR(Filter!$H$7="(alle)",ISNUMBER(SEARCH(Filter!$H$7,$I1059))),OR(Filter!$B$9="",ISNUMBER(SEARCH(Filter!$B$9,$F1059&amp;" "&amp;$G1059)))),COUNTIF($O$6:$O1058,"&gt;0")+1,0))</f>
        <v>1053</v>
      </c>
    </row>
    <row r="1060" customFormat="false" ht="51" hidden="false" customHeight="true" outlineLevel="0" collapsed="false">
      <c r="B1060" s="30" t="s">
        <v>5033</v>
      </c>
      <c r="C1060" s="30" t="s">
        <v>40</v>
      </c>
      <c r="D1060" s="30" t="s">
        <v>5034</v>
      </c>
      <c r="E1060" s="30" t="s">
        <v>355</v>
      </c>
      <c r="F1060" s="30" t="s">
        <v>5035</v>
      </c>
      <c r="G1060" s="30" t="s">
        <v>5036</v>
      </c>
      <c r="H1060" s="30" t="s">
        <v>5023</v>
      </c>
      <c r="I1060" s="30" t="s">
        <v>306</v>
      </c>
      <c r="J1060" s="30" t="s">
        <v>206</v>
      </c>
      <c r="K1060" s="31" t="s">
        <v>47</v>
      </c>
      <c r="L1060" s="32"/>
      <c r="M1060" s="33"/>
      <c r="N1060" s="30" t="s">
        <v>48</v>
      </c>
      <c r="O1060" s="1" t="n">
        <f aca="false">IF($B1060="",0,IF(AND(OR(Filter!$B$5="(alle)",$N1060=Filter!$B$5),OR(Filter!$E$5="(alle)",$K1060=Filter!$E$5),OR(Filter!$H$5="(alle)",$C1060=Filter!$H$5),OR(Filter!$B$7="(alle)",$E1060=Filter!$B$7),OR(Filter!$E$7="(alle)",ISNUMBER(SEARCH(Filter!$E$7,$J1060))),OR(Filter!$H$7="(alle)",ISNUMBER(SEARCH(Filter!$H$7,$I1060))),OR(Filter!$B$9="",ISNUMBER(SEARCH(Filter!$B$9,$F1060&amp;" "&amp;$G1060)))),COUNTIF($O$6:$O1059,"&gt;0")+1,0))</f>
        <v>1054</v>
      </c>
    </row>
    <row r="1061" customFormat="false" ht="51" hidden="false" customHeight="true" outlineLevel="0" collapsed="false">
      <c r="B1061" s="30" t="s">
        <v>5037</v>
      </c>
      <c r="C1061" s="30" t="s">
        <v>40</v>
      </c>
      <c r="D1061" s="30" t="s">
        <v>5038</v>
      </c>
      <c r="E1061" s="30" t="s">
        <v>210</v>
      </c>
      <c r="F1061" s="30" t="s">
        <v>5039</v>
      </c>
      <c r="G1061" s="30" t="s">
        <v>5040</v>
      </c>
      <c r="H1061" s="30" t="s">
        <v>5023</v>
      </c>
      <c r="I1061" s="30" t="s">
        <v>306</v>
      </c>
      <c r="J1061" s="30" t="s">
        <v>206</v>
      </c>
      <c r="K1061" s="31" t="s">
        <v>47</v>
      </c>
      <c r="L1061" s="32"/>
      <c r="M1061" s="33"/>
      <c r="N1061" s="30" t="s">
        <v>48</v>
      </c>
      <c r="O1061" s="1" t="n">
        <f aca="false">IF($B1061="",0,IF(AND(OR(Filter!$B$5="(alle)",$N1061=Filter!$B$5),OR(Filter!$E$5="(alle)",$K1061=Filter!$E$5),OR(Filter!$H$5="(alle)",$C1061=Filter!$H$5),OR(Filter!$B$7="(alle)",$E1061=Filter!$B$7),OR(Filter!$E$7="(alle)",ISNUMBER(SEARCH(Filter!$E$7,$J1061))),OR(Filter!$H$7="(alle)",ISNUMBER(SEARCH(Filter!$H$7,$I1061))),OR(Filter!$B$9="",ISNUMBER(SEARCH(Filter!$B$9,$F1061&amp;" "&amp;$G1061)))),COUNTIF($O$6:$O1060,"&gt;0")+1,0))</f>
        <v>1055</v>
      </c>
    </row>
    <row r="1062" customFormat="false" ht="51" hidden="false" customHeight="true" outlineLevel="0" collapsed="false">
      <c r="B1062" s="30" t="s">
        <v>5041</v>
      </c>
      <c r="C1062" s="30" t="s">
        <v>40</v>
      </c>
      <c r="D1062" s="30" t="s">
        <v>5042</v>
      </c>
      <c r="E1062" s="30" t="s">
        <v>361</v>
      </c>
      <c r="F1062" s="30" t="s">
        <v>5043</v>
      </c>
      <c r="G1062" s="30" t="s">
        <v>5044</v>
      </c>
      <c r="H1062" s="30" t="s">
        <v>5045</v>
      </c>
      <c r="I1062" s="30" t="s">
        <v>3700</v>
      </c>
      <c r="J1062" s="30" t="s">
        <v>159</v>
      </c>
      <c r="K1062" s="31" t="s">
        <v>47</v>
      </c>
      <c r="L1062" s="32"/>
      <c r="M1062" s="33"/>
      <c r="N1062" s="30" t="s">
        <v>48</v>
      </c>
      <c r="O1062" s="1" t="n">
        <f aca="false">IF($B1062="",0,IF(AND(OR(Filter!$B$5="(alle)",$N1062=Filter!$B$5),OR(Filter!$E$5="(alle)",$K1062=Filter!$E$5),OR(Filter!$H$5="(alle)",$C1062=Filter!$H$5),OR(Filter!$B$7="(alle)",$E1062=Filter!$B$7),OR(Filter!$E$7="(alle)",ISNUMBER(SEARCH(Filter!$E$7,$J1062))),OR(Filter!$H$7="(alle)",ISNUMBER(SEARCH(Filter!$H$7,$I1062))),OR(Filter!$B$9="",ISNUMBER(SEARCH(Filter!$B$9,$F1062&amp;" "&amp;$G1062)))),COUNTIF($O$6:$O1061,"&gt;0")+1,0))</f>
        <v>1056</v>
      </c>
    </row>
    <row r="1063" customFormat="false" ht="51" hidden="false" customHeight="true" outlineLevel="0" collapsed="false">
      <c r="B1063" s="30" t="s">
        <v>5046</v>
      </c>
      <c r="C1063" s="30" t="s">
        <v>40</v>
      </c>
      <c r="D1063" s="30" t="s">
        <v>5047</v>
      </c>
      <c r="E1063" s="30" t="s">
        <v>361</v>
      </c>
      <c r="F1063" s="30" t="s">
        <v>5048</v>
      </c>
      <c r="G1063" s="30" t="s">
        <v>5049</v>
      </c>
      <c r="H1063" s="30" t="s">
        <v>5045</v>
      </c>
      <c r="I1063" s="30" t="s">
        <v>306</v>
      </c>
      <c r="J1063" s="30" t="s">
        <v>206</v>
      </c>
      <c r="K1063" s="31" t="s">
        <v>47</v>
      </c>
      <c r="L1063" s="32"/>
      <c r="M1063" s="33"/>
      <c r="N1063" s="30" t="s">
        <v>48</v>
      </c>
      <c r="O1063" s="1" t="n">
        <f aca="false">IF($B1063="",0,IF(AND(OR(Filter!$B$5="(alle)",$N1063=Filter!$B$5),OR(Filter!$E$5="(alle)",$K1063=Filter!$E$5),OR(Filter!$H$5="(alle)",$C1063=Filter!$H$5),OR(Filter!$B$7="(alle)",$E1063=Filter!$B$7),OR(Filter!$E$7="(alle)",ISNUMBER(SEARCH(Filter!$E$7,$J1063))),OR(Filter!$H$7="(alle)",ISNUMBER(SEARCH(Filter!$H$7,$I1063))),OR(Filter!$B$9="",ISNUMBER(SEARCH(Filter!$B$9,$F1063&amp;" "&amp;$G1063)))),COUNTIF($O$6:$O1062,"&gt;0")+1,0))</f>
        <v>1057</v>
      </c>
    </row>
    <row r="1064" customFormat="false" ht="51" hidden="false" customHeight="true" outlineLevel="0" collapsed="false">
      <c r="B1064" s="30" t="s">
        <v>5050</v>
      </c>
      <c r="C1064" s="30" t="s">
        <v>40</v>
      </c>
      <c r="D1064" s="30" t="s">
        <v>5051</v>
      </c>
      <c r="E1064" s="30" t="s">
        <v>344</v>
      </c>
      <c r="F1064" s="30" t="s">
        <v>5052</v>
      </c>
      <c r="G1064" s="30" t="s">
        <v>5053</v>
      </c>
      <c r="H1064" s="30" t="s">
        <v>5045</v>
      </c>
      <c r="I1064" s="30" t="s">
        <v>306</v>
      </c>
      <c r="J1064" s="30" t="s">
        <v>206</v>
      </c>
      <c r="K1064" s="31" t="s">
        <v>47</v>
      </c>
      <c r="L1064" s="32"/>
      <c r="M1064" s="33"/>
      <c r="N1064" s="30" t="s">
        <v>48</v>
      </c>
      <c r="O1064" s="1" t="n">
        <f aca="false">IF($B1064="",0,IF(AND(OR(Filter!$B$5="(alle)",$N1064=Filter!$B$5),OR(Filter!$E$5="(alle)",$K1064=Filter!$E$5),OR(Filter!$H$5="(alle)",$C1064=Filter!$H$5),OR(Filter!$B$7="(alle)",$E1064=Filter!$B$7),OR(Filter!$E$7="(alle)",ISNUMBER(SEARCH(Filter!$E$7,$J1064))),OR(Filter!$H$7="(alle)",ISNUMBER(SEARCH(Filter!$H$7,$I1064))),OR(Filter!$B$9="",ISNUMBER(SEARCH(Filter!$B$9,$F1064&amp;" "&amp;$G1064)))),COUNTIF($O$6:$O1063,"&gt;0")+1,0))</f>
        <v>1058</v>
      </c>
    </row>
    <row r="1065" customFormat="false" ht="51" hidden="false" customHeight="true" outlineLevel="0" collapsed="false">
      <c r="B1065" s="30" t="s">
        <v>5054</v>
      </c>
      <c r="C1065" s="30" t="s">
        <v>40</v>
      </c>
      <c r="D1065" s="30" t="s">
        <v>5055</v>
      </c>
      <c r="E1065" s="30" t="s">
        <v>210</v>
      </c>
      <c r="F1065" s="30" t="s">
        <v>5056</v>
      </c>
      <c r="G1065" s="30" t="s">
        <v>5057</v>
      </c>
      <c r="H1065" s="30" t="s">
        <v>5045</v>
      </c>
      <c r="I1065" s="30" t="s">
        <v>3700</v>
      </c>
      <c r="J1065" s="30" t="s">
        <v>159</v>
      </c>
      <c r="K1065" s="31" t="s">
        <v>47</v>
      </c>
      <c r="L1065" s="32"/>
      <c r="M1065" s="33"/>
      <c r="N1065" s="30" t="s">
        <v>48</v>
      </c>
      <c r="O1065" s="1" t="n">
        <f aca="false">IF($B1065="",0,IF(AND(OR(Filter!$B$5="(alle)",$N1065=Filter!$B$5),OR(Filter!$E$5="(alle)",$K1065=Filter!$E$5),OR(Filter!$H$5="(alle)",$C1065=Filter!$H$5),OR(Filter!$B$7="(alle)",$E1065=Filter!$B$7),OR(Filter!$E$7="(alle)",ISNUMBER(SEARCH(Filter!$E$7,$J1065))),OR(Filter!$H$7="(alle)",ISNUMBER(SEARCH(Filter!$H$7,$I1065))),OR(Filter!$B$9="",ISNUMBER(SEARCH(Filter!$B$9,$F1065&amp;" "&amp;$G1065)))),COUNTIF($O$6:$O1064,"&gt;0")+1,0))</f>
        <v>1059</v>
      </c>
    </row>
    <row r="1066" customFormat="false" ht="51" hidden="false" customHeight="true" outlineLevel="0" collapsed="false">
      <c r="B1066" s="30" t="s">
        <v>5058</v>
      </c>
      <c r="C1066" s="30" t="s">
        <v>40</v>
      </c>
      <c r="D1066" s="30" t="s">
        <v>5059</v>
      </c>
      <c r="E1066" s="30" t="s">
        <v>344</v>
      </c>
      <c r="F1066" s="30" t="s">
        <v>5060</v>
      </c>
      <c r="G1066" s="30" t="s">
        <v>5060</v>
      </c>
      <c r="H1066" s="30" t="s">
        <v>5045</v>
      </c>
      <c r="I1066" s="30" t="s">
        <v>306</v>
      </c>
      <c r="J1066" s="30" t="s">
        <v>206</v>
      </c>
      <c r="K1066" s="31" t="s">
        <v>47</v>
      </c>
      <c r="L1066" s="32"/>
      <c r="M1066" s="33"/>
      <c r="N1066" s="30" t="s">
        <v>48</v>
      </c>
      <c r="O1066" s="1" t="n">
        <f aca="false">IF($B1066="",0,IF(AND(OR(Filter!$B$5="(alle)",$N1066=Filter!$B$5),OR(Filter!$E$5="(alle)",$K1066=Filter!$E$5),OR(Filter!$H$5="(alle)",$C1066=Filter!$H$5),OR(Filter!$B$7="(alle)",$E1066=Filter!$B$7),OR(Filter!$E$7="(alle)",ISNUMBER(SEARCH(Filter!$E$7,$J1066))),OR(Filter!$H$7="(alle)",ISNUMBER(SEARCH(Filter!$H$7,$I1066))),OR(Filter!$B$9="",ISNUMBER(SEARCH(Filter!$B$9,$F1066&amp;" "&amp;$G1066)))),COUNTIF($O$6:$O1065,"&gt;0")+1,0))</f>
        <v>1060</v>
      </c>
    </row>
    <row r="1067" customFormat="false" ht="51" hidden="false" customHeight="true" outlineLevel="0" collapsed="false">
      <c r="B1067" s="30" t="s">
        <v>5061</v>
      </c>
      <c r="C1067" s="30" t="s">
        <v>40</v>
      </c>
      <c r="D1067" s="30" t="s">
        <v>5062</v>
      </c>
      <c r="E1067" s="30" t="s">
        <v>604</v>
      </c>
      <c r="F1067" s="30" t="s">
        <v>5063</v>
      </c>
      <c r="G1067" s="30" t="s">
        <v>5064</v>
      </c>
      <c r="H1067" s="30" t="s">
        <v>5045</v>
      </c>
      <c r="I1067" s="30" t="s">
        <v>3700</v>
      </c>
      <c r="J1067" s="30" t="s">
        <v>159</v>
      </c>
      <c r="K1067" s="31" t="s">
        <v>47</v>
      </c>
      <c r="L1067" s="32"/>
      <c r="M1067" s="33"/>
      <c r="N1067" s="30" t="s">
        <v>48</v>
      </c>
      <c r="O1067" s="1" t="n">
        <f aca="false">IF($B1067="",0,IF(AND(OR(Filter!$B$5="(alle)",$N1067=Filter!$B$5),OR(Filter!$E$5="(alle)",$K1067=Filter!$E$5),OR(Filter!$H$5="(alle)",$C1067=Filter!$H$5),OR(Filter!$B$7="(alle)",$E1067=Filter!$B$7),OR(Filter!$E$7="(alle)",ISNUMBER(SEARCH(Filter!$E$7,$J1067))),OR(Filter!$H$7="(alle)",ISNUMBER(SEARCH(Filter!$H$7,$I1067))),OR(Filter!$B$9="",ISNUMBER(SEARCH(Filter!$B$9,$F1067&amp;" "&amp;$G1067)))),COUNTIF($O$6:$O1066,"&gt;0")+1,0))</f>
        <v>1061</v>
      </c>
    </row>
    <row r="1068" customFormat="false" ht="51" hidden="false" customHeight="true" outlineLevel="0" collapsed="false">
      <c r="B1068" s="30" t="s">
        <v>5065</v>
      </c>
      <c r="C1068" s="30" t="s">
        <v>40</v>
      </c>
      <c r="D1068" s="30" t="s">
        <v>5066</v>
      </c>
      <c r="E1068" s="30" t="s">
        <v>344</v>
      </c>
      <c r="F1068" s="30" t="s">
        <v>5067</v>
      </c>
      <c r="G1068" s="30" t="s">
        <v>5068</v>
      </c>
      <c r="H1068" s="30" t="s">
        <v>5045</v>
      </c>
      <c r="I1068" s="30" t="s">
        <v>306</v>
      </c>
      <c r="J1068" s="30" t="s">
        <v>206</v>
      </c>
      <c r="K1068" s="31" t="s">
        <v>47</v>
      </c>
      <c r="L1068" s="32"/>
      <c r="M1068" s="33"/>
      <c r="N1068" s="30" t="s">
        <v>48</v>
      </c>
      <c r="O1068" s="1" t="n">
        <f aca="false">IF($B1068="",0,IF(AND(OR(Filter!$B$5="(alle)",$N1068=Filter!$B$5),OR(Filter!$E$5="(alle)",$K1068=Filter!$E$5),OR(Filter!$H$5="(alle)",$C1068=Filter!$H$5),OR(Filter!$B$7="(alle)",$E1068=Filter!$B$7),OR(Filter!$E$7="(alle)",ISNUMBER(SEARCH(Filter!$E$7,$J1068))),OR(Filter!$H$7="(alle)",ISNUMBER(SEARCH(Filter!$H$7,$I1068))),OR(Filter!$B$9="",ISNUMBER(SEARCH(Filter!$B$9,$F1068&amp;" "&amp;$G1068)))),COUNTIF($O$6:$O1067,"&gt;0")+1,0))</f>
        <v>1062</v>
      </c>
    </row>
    <row r="1069" customFormat="false" ht="51" hidden="false" customHeight="true" outlineLevel="0" collapsed="false">
      <c r="B1069" s="30" t="s">
        <v>5069</v>
      </c>
      <c r="C1069" s="30" t="s">
        <v>40</v>
      </c>
      <c r="D1069" s="30" t="s">
        <v>5070</v>
      </c>
      <c r="E1069" s="30" t="s">
        <v>344</v>
      </c>
      <c r="F1069" s="30" t="s">
        <v>5071</v>
      </c>
      <c r="G1069" s="30" t="s">
        <v>5072</v>
      </c>
      <c r="H1069" s="30" t="s">
        <v>5045</v>
      </c>
      <c r="I1069" s="30" t="s">
        <v>306</v>
      </c>
      <c r="J1069" s="30" t="s">
        <v>206</v>
      </c>
      <c r="K1069" s="31" t="s">
        <v>47</v>
      </c>
      <c r="L1069" s="32"/>
      <c r="M1069" s="33"/>
      <c r="N1069" s="30" t="s">
        <v>48</v>
      </c>
      <c r="O1069" s="1" t="n">
        <f aca="false">IF($B1069="",0,IF(AND(OR(Filter!$B$5="(alle)",$N1069=Filter!$B$5),OR(Filter!$E$5="(alle)",$K1069=Filter!$E$5),OR(Filter!$H$5="(alle)",$C1069=Filter!$H$5),OR(Filter!$B$7="(alle)",$E1069=Filter!$B$7),OR(Filter!$E$7="(alle)",ISNUMBER(SEARCH(Filter!$E$7,$J1069))),OR(Filter!$H$7="(alle)",ISNUMBER(SEARCH(Filter!$H$7,$I1069))),OR(Filter!$B$9="",ISNUMBER(SEARCH(Filter!$B$9,$F1069&amp;" "&amp;$G1069)))),COUNTIF($O$6:$O1068,"&gt;0")+1,0))</f>
        <v>1063</v>
      </c>
    </row>
    <row r="1070" customFormat="false" ht="51" hidden="false" customHeight="true" outlineLevel="0" collapsed="false">
      <c r="B1070" s="30" t="s">
        <v>5073</v>
      </c>
      <c r="C1070" s="30" t="s">
        <v>40</v>
      </c>
      <c r="D1070" s="30" t="s">
        <v>5074</v>
      </c>
      <c r="E1070" s="30" t="s">
        <v>344</v>
      </c>
      <c r="F1070" s="30" t="s">
        <v>5075</v>
      </c>
      <c r="G1070" s="30" t="s">
        <v>5076</v>
      </c>
      <c r="H1070" s="30" t="s">
        <v>5045</v>
      </c>
      <c r="I1070" s="30" t="s">
        <v>306</v>
      </c>
      <c r="J1070" s="30" t="s">
        <v>206</v>
      </c>
      <c r="K1070" s="31" t="s">
        <v>47</v>
      </c>
      <c r="L1070" s="32"/>
      <c r="M1070" s="33"/>
      <c r="N1070" s="30" t="s">
        <v>48</v>
      </c>
      <c r="O1070" s="1" t="n">
        <f aca="false">IF($B1070="",0,IF(AND(OR(Filter!$B$5="(alle)",$N1070=Filter!$B$5),OR(Filter!$E$5="(alle)",$K1070=Filter!$E$5),OR(Filter!$H$5="(alle)",$C1070=Filter!$H$5),OR(Filter!$B$7="(alle)",$E1070=Filter!$B$7),OR(Filter!$E$7="(alle)",ISNUMBER(SEARCH(Filter!$E$7,$J1070))),OR(Filter!$H$7="(alle)",ISNUMBER(SEARCH(Filter!$H$7,$I1070))),OR(Filter!$B$9="",ISNUMBER(SEARCH(Filter!$B$9,$F1070&amp;" "&amp;$G1070)))),COUNTIF($O$6:$O1069,"&gt;0")+1,0))</f>
        <v>1064</v>
      </c>
    </row>
    <row r="1071" customFormat="false" ht="51" hidden="false" customHeight="true" outlineLevel="0" collapsed="false">
      <c r="B1071" s="30" t="s">
        <v>5077</v>
      </c>
      <c r="C1071" s="30" t="s">
        <v>40</v>
      </c>
      <c r="D1071" s="30" t="s">
        <v>5078</v>
      </c>
      <c r="E1071" s="30" t="s">
        <v>344</v>
      </c>
      <c r="F1071" s="30" t="s">
        <v>5079</v>
      </c>
      <c r="G1071" s="30" t="s">
        <v>5080</v>
      </c>
      <c r="H1071" s="30" t="s">
        <v>5045</v>
      </c>
      <c r="I1071" s="30" t="s">
        <v>306</v>
      </c>
      <c r="J1071" s="30" t="s">
        <v>206</v>
      </c>
      <c r="K1071" s="31" t="s">
        <v>47</v>
      </c>
      <c r="L1071" s="32"/>
      <c r="M1071" s="33"/>
      <c r="N1071" s="30" t="s">
        <v>48</v>
      </c>
      <c r="O1071" s="1" t="n">
        <f aca="false">IF($B1071="",0,IF(AND(OR(Filter!$B$5="(alle)",$N1071=Filter!$B$5),OR(Filter!$E$5="(alle)",$K1071=Filter!$E$5),OR(Filter!$H$5="(alle)",$C1071=Filter!$H$5),OR(Filter!$B$7="(alle)",$E1071=Filter!$B$7),OR(Filter!$E$7="(alle)",ISNUMBER(SEARCH(Filter!$E$7,$J1071))),OR(Filter!$H$7="(alle)",ISNUMBER(SEARCH(Filter!$H$7,$I1071))),OR(Filter!$B$9="",ISNUMBER(SEARCH(Filter!$B$9,$F1071&amp;" "&amp;$G1071)))),COUNTIF($O$6:$O1070,"&gt;0")+1,0))</f>
        <v>1065</v>
      </c>
    </row>
    <row r="1072" customFormat="false" ht="51" hidden="false" customHeight="true" outlineLevel="0" collapsed="false">
      <c r="B1072" s="30" t="s">
        <v>5081</v>
      </c>
      <c r="C1072" s="30" t="s">
        <v>40</v>
      </c>
      <c r="D1072" s="30" t="s">
        <v>5082</v>
      </c>
      <c r="E1072" s="30" t="s">
        <v>361</v>
      </c>
      <c r="F1072" s="30" t="s">
        <v>5083</v>
      </c>
      <c r="G1072" s="30" t="s">
        <v>5084</v>
      </c>
      <c r="H1072" s="30" t="s">
        <v>5045</v>
      </c>
      <c r="I1072" s="30" t="s">
        <v>306</v>
      </c>
      <c r="J1072" s="30" t="s">
        <v>206</v>
      </c>
      <c r="K1072" s="31" t="s">
        <v>47</v>
      </c>
      <c r="L1072" s="32"/>
      <c r="M1072" s="33"/>
      <c r="N1072" s="30" t="s">
        <v>48</v>
      </c>
      <c r="O1072" s="1" t="n">
        <f aca="false">IF($B1072="",0,IF(AND(OR(Filter!$B$5="(alle)",$N1072=Filter!$B$5),OR(Filter!$E$5="(alle)",$K1072=Filter!$E$5),OR(Filter!$H$5="(alle)",$C1072=Filter!$H$5),OR(Filter!$B$7="(alle)",$E1072=Filter!$B$7),OR(Filter!$E$7="(alle)",ISNUMBER(SEARCH(Filter!$E$7,$J1072))),OR(Filter!$H$7="(alle)",ISNUMBER(SEARCH(Filter!$H$7,$I1072))),OR(Filter!$B$9="",ISNUMBER(SEARCH(Filter!$B$9,$F1072&amp;" "&amp;$G1072)))),COUNTIF($O$6:$O1071,"&gt;0")+1,0))</f>
        <v>1066</v>
      </c>
    </row>
    <row r="1073" customFormat="false" ht="51" hidden="false" customHeight="true" outlineLevel="0" collapsed="false">
      <c r="B1073" s="30" t="s">
        <v>5085</v>
      </c>
      <c r="C1073" s="30" t="s">
        <v>40</v>
      </c>
      <c r="D1073" s="30" t="s">
        <v>5086</v>
      </c>
      <c r="E1073" s="30" t="s">
        <v>344</v>
      </c>
      <c r="F1073" s="30" t="s">
        <v>5087</v>
      </c>
      <c r="G1073" s="30" t="s">
        <v>5088</v>
      </c>
      <c r="H1073" s="30" t="s">
        <v>5045</v>
      </c>
      <c r="I1073" s="30" t="s">
        <v>306</v>
      </c>
      <c r="J1073" s="30" t="s">
        <v>206</v>
      </c>
      <c r="K1073" s="31" t="s">
        <v>47</v>
      </c>
      <c r="L1073" s="32"/>
      <c r="M1073" s="33"/>
      <c r="N1073" s="30" t="s">
        <v>48</v>
      </c>
      <c r="O1073" s="1" t="n">
        <f aca="false">IF($B1073="",0,IF(AND(OR(Filter!$B$5="(alle)",$N1073=Filter!$B$5),OR(Filter!$E$5="(alle)",$K1073=Filter!$E$5),OR(Filter!$H$5="(alle)",$C1073=Filter!$H$5),OR(Filter!$B$7="(alle)",$E1073=Filter!$B$7),OR(Filter!$E$7="(alle)",ISNUMBER(SEARCH(Filter!$E$7,$J1073))),OR(Filter!$H$7="(alle)",ISNUMBER(SEARCH(Filter!$H$7,$I1073))),OR(Filter!$B$9="",ISNUMBER(SEARCH(Filter!$B$9,$F1073&amp;" "&amp;$G1073)))),COUNTIF($O$6:$O1072,"&gt;0")+1,0))</f>
        <v>1067</v>
      </c>
    </row>
    <row r="1074" customFormat="false" ht="51" hidden="false" customHeight="true" outlineLevel="0" collapsed="false">
      <c r="B1074" s="30" t="s">
        <v>5089</v>
      </c>
      <c r="C1074" s="30" t="s">
        <v>40</v>
      </c>
      <c r="D1074" s="30" t="s">
        <v>5090</v>
      </c>
      <c r="E1074" s="30" t="s">
        <v>155</v>
      </c>
      <c r="F1074" s="30" t="s">
        <v>5091</v>
      </c>
      <c r="G1074" s="30" t="s">
        <v>5092</v>
      </c>
      <c r="H1074" s="30" t="s">
        <v>5045</v>
      </c>
      <c r="I1074" s="30" t="s">
        <v>3700</v>
      </c>
      <c r="J1074" s="30" t="s">
        <v>159</v>
      </c>
      <c r="K1074" s="31" t="s">
        <v>47</v>
      </c>
      <c r="L1074" s="32"/>
      <c r="M1074" s="33"/>
      <c r="N1074" s="30" t="s">
        <v>48</v>
      </c>
      <c r="O1074" s="1" t="n">
        <f aca="false">IF($B1074="",0,IF(AND(OR(Filter!$B$5="(alle)",$N1074=Filter!$B$5),OR(Filter!$E$5="(alle)",$K1074=Filter!$E$5),OR(Filter!$H$5="(alle)",$C1074=Filter!$H$5),OR(Filter!$B$7="(alle)",$E1074=Filter!$B$7),OR(Filter!$E$7="(alle)",ISNUMBER(SEARCH(Filter!$E$7,$J1074))),OR(Filter!$H$7="(alle)",ISNUMBER(SEARCH(Filter!$H$7,$I1074))),OR(Filter!$B$9="",ISNUMBER(SEARCH(Filter!$B$9,$F1074&amp;" "&amp;$G1074)))),COUNTIF($O$6:$O1073,"&gt;0")+1,0))</f>
        <v>1068</v>
      </c>
    </row>
    <row r="1075" customFormat="false" ht="51" hidden="false" customHeight="true" outlineLevel="0" collapsed="false">
      <c r="B1075" s="30" t="s">
        <v>5093</v>
      </c>
      <c r="C1075" s="30" t="s">
        <v>40</v>
      </c>
      <c r="D1075" s="30" t="s">
        <v>5094</v>
      </c>
      <c r="E1075" s="30" t="s">
        <v>344</v>
      </c>
      <c r="F1075" s="30" t="s">
        <v>5095</v>
      </c>
      <c r="G1075" s="30" t="s">
        <v>5095</v>
      </c>
      <c r="H1075" s="30" t="s">
        <v>5045</v>
      </c>
      <c r="I1075" s="30" t="s">
        <v>306</v>
      </c>
      <c r="J1075" s="30" t="s">
        <v>206</v>
      </c>
      <c r="K1075" s="31" t="s">
        <v>47</v>
      </c>
      <c r="L1075" s="32"/>
      <c r="M1075" s="33"/>
      <c r="N1075" s="30" t="s">
        <v>48</v>
      </c>
      <c r="O1075" s="1" t="n">
        <f aca="false">IF($B1075="",0,IF(AND(OR(Filter!$B$5="(alle)",$N1075=Filter!$B$5),OR(Filter!$E$5="(alle)",$K1075=Filter!$E$5),OR(Filter!$H$5="(alle)",$C1075=Filter!$H$5),OR(Filter!$B$7="(alle)",$E1075=Filter!$B$7),OR(Filter!$E$7="(alle)",ISNUMBER(SEARCH(Filter!$E$7,$J1075))),OR(Filter!$H$7="(alle)",ISNUMBER(SEARCH(Filter!$H$7,$I1075))),OR(Filter!$B$9="",ISNUMBER(SEARCH(Filter!$B$9,$F1075&amp;" "&amp;$G1075)))),COUNTIF($O$6:$O1074,"&gt;0")+1,0))</f>
        <v>1069</v>
      </c>
    </row>
    <row r="1076" customFormat="false" ht="51" hidden="false" customHeight="true" outlineLevel="0" collapsed="false">
      <c r="B1076" s="30" t="s">
        <v>5096</v>
      </c>
      <c r="C1076" s="30" t="s">
        <v>40</v>
      </c>
      <c r="D1076" s="30" t="s">
        <v>5097</v>
      </c>
      <c r="E1076" s="30" t="s">
        <v>344</v>
      </c>
      <c r="F1076" s="30" t="s">
        <v>5098</v>
      </c>
      <c r="G1076" s="30" t="s">
        <v>5099</v>
      </c>
      <c r="H1076" s="30" t="s">
        <v>5045</v>
      </c>
      <c r="I1076" s="30" t="s">
        <v>306</v>
      </c>
      <c r="J1076" s="30" t="s">
        <v>206</v>
      </c>
      <c r="K1076" s="31" t="s">
        <v>47</v>
      </c>
      <c r="L1076" s="32"/>
      <c r="M1076" s="33"/>
      <c r="N1076" s="30" t="s">
        <v>48</v>
      </c>
      <c r="O1076" s="1" t="n">
        <f aca="false">IF($B1076="",0,IF(AND(OR(Filter!$B$5="(alle)",$N1076=Filter!$B$5),OR(Filter!$E$5="(alle)",$K1076=Filter!$E$5),OR(Filter!$H$5="(alle)",$C1076=Filter!$H$5),OR(Filter!$B$7="(alle)",$E1076=Filter!$B$7),OR(Filter!$E$7="(alle)",ISNUMBER(SEARCH(Filter!$E$7,$J1076))),OR(Filter!$H$7="(alle)",ISNUMBER(SEARCH(Filter!$H$7,$I1076))),OR(Filter!$B$9="",ISNUMBER(SEARCH(Filter!$B$9,$F1076&amp;" "&amp;$G1076)))),COUNTIF($O$6:$O1075,"&gt;0")+1,0))</f>
        <v>1070</v>
      </c>
    </row>
    <row r="1077" customFormat="false" ht="51" hidden="false" customHeight="true" outlineLevel="0" collapsed="false">
      <c r="B1077" s="30" t="s">
        <v>5100</v>
      </c>
      <c r="C1077" s="30" t="s">
        <v>40</v>
      </c>
      <c r="D1077" s="30" t="s">
        <v>5101</v>
      </c>
      <c r="E1077" s="30" t="s">
        <v>344</v>
      </c>
      <c r="F1077" s="30" t="s">
        <v>5102</v>
      </c>
      <c r="G1077" s="30" t="s">
        <v>5103</v>
      </c>
      <c r="H1077" s="30" t="s">
        <v>5045</v>
      </c>
      <c r="I1077" s="30" t="s">
        <v>306</v>
      </c>
      <c r="J1077" s="30" t="s">
        <v>206</v>
      </c>
      <c r="K1077" s="31" t="s">
        <v>47</v>
      </c>
      <c r="L1077" s="32"/>
      <c r="M1077" s="33"/>
      <c r="N1077" s="30" t="s">
        <v>48</v>
      </c>
      <c r="O1077" s="1" t="n">
        <f aca="false">IF($B1077="",0,IF(AND(OR(Filter!$B$5="(alle)",$N1077=Filter!$B$5),OR(Filter!$E$5="(alle)",$K1077=Filter!$E$5),OR(Filter!$H$5="(alle)",$C1077=Filter!$H$5),OR(Filter!$B$7="(alle)",$E1077=Filter!$B$7),OR(Filter!$E$7="(alle)",ISNUMBER(SEARCH(Filter!$E$7,$J1077))),OR(Filter!$H$7="(alle)",ISNUMBER(SEARCH(Filter!$H$7,$I1077))),OR(Filter!$B$9="",ISNUMBER(SEARCH(Filter!$B$9,$F1077&amp;" "&amp;$G1077)))),COUNTIF($O$6:$O1076,"&gt;0")+1,0))</f>
        <v>1071</v>
      </c>
    </row>
    <row r="1078" customFormat="false" ht="51" hidden="false" customHeight="true" outlineLevel="0" collapsed="false">
      <c r="B1078" s="30" t="s">
        <v>5104</v>
      </c>
      <c r="C1078" s="30" t="s">
        <v>40</v>
      </c>
      <c r="D1078" s="30" t="s">
        <v>5105</v>
      </c>
      <c r="E1078" s="30" t="s">
        <v>344</v>
      </c>
      <c r="F1078" s="30" t="s">
        <v>5106</v>
      </c>
      <c r="G1078" s="30" t="s">
        <v>5107</v>
      </c>
      <c r="H1078" s="30" t="s">
        <v>5045</v>
      </c>
      <c r="I1078" s="30" t="s">
        <v>306</v>
      </c>
      <c r="J1078" s="30" t="s">
        <v>206</v>
      </c>
      <c r="K1078" s="31" t="s">
        <v>47</v>
      </c>
      <c r="L1078" s="32"/>
      <c r="M1078" s="33"/>
      <c r="N1078" s="30" t="s">
        <v>48</v>
      </c>
      <c r="O1078" s="1" t="n">
        <f aca="false">IF($B1078="",0,IF(AND(OR(Filter!$B$5="(alle)",$N1078=Filter!$B$5),OR(Filter!$E$5="(alle)",$K1078=Filter!$E$5),OR(Filter!$H$5="(alle)",$C1078=Filter!$H$5),OR(Filter!$B$7="(alle)",$E1078=Filter!$B$7),OR(Filter!$E$7="(alle)",ISNUMBER(SEARCH(Filter!$E$7,$J1078))),OR(Filter!$H$7="(alle)",ISNUMBER(SEARCH(Filter!$H$7,$I1078))),OR(Filter!$B$9="",ISNUMBER(SEARCH(Filter!$B$9,$F1078&amp;" "&amp;$G1078)))),COUNTIF($O$6:$O1077,"&gt;0")+1,0))</f>
        <v>1072</v>
      </c>
    </row>
    <row r="1079" customFormat="false" ht="51" hidden="false" customHeight="true" outlineLevel="0" collapsed="false">
      <c r="B1079" s="30" t="s">
        <v>5108</v>
      </c>
      <c r="C1079" s="30" t="s">
        <v>40</v>
      </c>
      <c r="D1079" s="30" t="s">
        <v>5109</v>
      </c>
      <c r="E1079" s="30" t="s">
        <v>344</v>
      </c>
      <c r="F1079" s="30" t="s">
        <v>5110</v>
      </c>
      <c r="G1079" s="30" t="s">
        <v>5111</v>
      </c>
      <c r="H1079" s="30" t="s">
        <v>5045</v>
      </c>
      <c r="I1079" s="30" t="s">
        <v>306</v>
      </c>
      <c r="J1079" s="30" t="s">
        <v>206</v>
      </c>
      <c r="K1079" s="31" t="s">
        <v>47</v>
      </c>
      <c r="L1079" s="32"/>
      <c r="M1079" s="33"/>
      <c r="N1079" s="30" t="s">
        <v>48</v>
      </c>
      <c r="O1079" s="1" t="n">
        <f aca="false">IF($B1079="",0,IF(AND(OR(Filter!$B$5="(alle)",$N1079=Filter!$B$5),OR(Filter!$E$5="(alle)",$K1079=Filter!$E$5),OR(Filter!$H$5="(alle)",$C1079=Filter!$H$5),OR(Filter!$B$7="(alle)",$E1079=Filter!$B$7),OR(Filter!$E$7="(alle)",ISNUMBER(SEARCH(Filter!$E$7,$J1079))),OR(Filter!$H$7="(alle)",ISNUMBER(SEARCH(Filter!$H$7,$I1079))),OR(Filter!$B$9="",ISNUMBER(SEARCH(Filter!$B$9,$F1079&amp;" "&amp;$G1079)))),COUNTIF($O$6:$O1078,"&gt;0")+1,0))</f>
        <v>1073</v>
      </c>
    </row>
    <row r="1080" customFormat="false" ht="51" hidden="false" customHeight="true" outlineLevel="0" collapsed="false">
      <c r="B1080" s="30" t="s">
        <v>5112</v>
      </c>
      <c r="C1080" s="30" t="s">
        <v>40</v>
      </c>
      <c r="D1080" s="30" t="s">
        <v>5113</v>
      </c>
      <c r="E1080" s="30" t="s">
        <v>344</v>
      </c>
      <c r="F1080" s="30" t="s">
        <v>5114</v>
      </c>
      <c r="G1080" s="30" t="s">
        <v>5115</v>
      </c>
      <c r="H1080" s="30" t="s">
        <v>5045</v>
      </c>
      <c r="I1080" s="30" t="s">
        <v>306</v>
      </c>
      <c r="J1080" s="30" t="s">
        <v>206</v>
      </c>
      <c r="K1080" s="31" t="s">
        <v>47</v>
      </c>
      <c r="L1080" s="32"/>
      <c r="M1080" s="33"/>
      <c r="N1080" s="30" t="s">
        <v>48</v>
      </c>
      <c r="O1080" s="1" t="n">
        <f aca="false">IF($B1080="",0,IF(AND(OR(Filter!$B$5="(alle)",$N1080=Filter!$B$5),OR(Filter!$E$5="(alle)",$K1080=Filter!$E$5),OR(Filter!$H$5="(alle)",$C1080=Filter!$H$5),OR(Filter!$B$7="(alle)",$E1080=Filter!$B$7),OR(Filter!$E$7="(alle)",ISNUMBER(SEARCH(Filter!$E$7,$J1080))),OR(Filter!$H$7="(alle)",ISNUMBER(SEARCH(Filter!$H$7,$I1080))),OR(Filter!$B$9="",ISNUMBER(SEARCH(Filter!$B$9,$F1080&amp;" "&amp;$G1080)))),COUNTIF($O$6:$O1079,"&gt;0")+1,0))</f>
        <v>1074</v>
      </c>
    </row>
    <row r="1081" customFormat="false" ht="51" hidden="false" customHeight="true" outlineLevel="0" collapsed="false">
      <c r="B1081" s="30" t="s">
        <v>5116</v>
      </c>
      <c r="C1081" s="30" t="s">
        <v>40</v>
      </c>
      <c r="D1081" s="30" t="s">
        <v>5117</v>
      </c>
      <c r="E1081" s="30" t="s">
        <v>344</v>
      </c>
      <c r="F1081" s="30" t="s">
        <v>5118</v>
      </c>
      <c r="G1081" s="30" t="s">
        <v>5119</v>
      </c>
      <c r="H1081" s="30" t="s">
        <v>5045</v>
      </c>
      <c r="I1081" s="30" t="s">
        <v>306</v>
      </c>
      <c r="J1081" s="30" t="s">
        <v>206</v>
      </c>
      <c r="K1081" s="31" t="s">
        <v>47</v>
      </c>
      <c r="L1081" s="32"/>
      <c r="M1081" s="33"/>
      <c r="N1081" s="30" t="s">
        <v>48</v>
      </c>
      <c r="O1081" s="1" t="n">
        <f aca="false">IF($B1081="",0,IF(AND(OR(Filter!$B$5="(alle)",$N1081=Filter!$B$5),OR(Filter!$E$5="(alle)",$K1081=Filter!$E$5),OR(Filter!$H$5="(alle)",$C1081=Filter!$H$5),OR(Filter!$B$7="(alle)",$E1081=Filter!$B$7),OR(Filter!$E$7="(alle)",ISNUMBER(SEARCH(Filter!$E$7,$J1081))),OR(Filter!$H$7="(alle)",ISNUMBER(SEARCH(Filter!$H$7,$I1081))),OR(Filter!$B$9="",ISNUMBER(SEARCH(Filter!$B$9,$F1081&amp;" "&amp;$G1081)))),COUNTIF($O$6:$O1080,"&gt;0")+1,0))</f>
        <v>1075</v>
      </c>
    </row>
    <row r="1082" customFormat="false" ht="51" hidden="false" customHeight="true" outlineLevel="0" collapsed="false">
      <c r="B1082" s="30" t="s">
        <v>5120</v>
      </c>
      <c r="C1082" s="30" t="s">
        <v>40</v>
      </c>
      <c r="D1082" s="30" t="s">
        <v>5121</v>
      </c>
      <c r="E1082" s="30" t="s">
        <v>355</v>
      </c>
      <c r="F1082" s="30" t="s">
        <v>5122</v>
      </c>
      <c r="G1082" s="30" t="s">
        <v>5123</v>
      </c>
      <c r="H1082" s="30" t="s">
        <v>5124</v>
      </c>
      <c r="I1082" s="30" t="s">
        <v>306</v>
      </c>
      <c r="J1082" s="30" t="s">
        <v>206</v>
      </c>
      <c r="K1082" s="31" t="s">
        <v>47</v>
      </c>
      <c r="L1082" s="32"/>
      <c r="M1082" s="33"/>
      <c r="N1082" s="30" t="s">
        <v>48</v>
      </c>
      <c r="O1082" s="1" t="n">
        <f aca="false">IF($B1082="",0,IF(AND(OR(Filter!$B$5="(alle)",$N1082=Filter!$B$5),OR(Filter!$E$5="(alle)",$K1082=Filter!$E$5),OR(Filter!$H$5="(alle)",$C1082=Filter!$H$5),OR(Filter!$B$7="(alle)",$E1082=Filter!$B$7),OR(Filter!$E$7="(alle)",ISNUMBER(SEARCH(Filter!$E$7,$J1082))),OR(Filter!$H$7="(alle)",ISNUMBER(SEARCH(Filter!$H$7,$I1082))),OR(Filter!$B$9="",ISNUMBER(SEARCH(Filter!$B$9,$F1082&amp;" "&amp;$G1082)))),COUNTIF($O$6:$O1081,"&gt;0")+1,0))</f>
        <v>1076</v>
      </c>
    </row>
    <row r="1083" customFormat="false" ht="51" hidden="false" customHeight="true" outlineLevel="0" collapsed="false">
      <c r="B1083" s="30" t="s">
        <v>5125</v>
      </c>
      <c r="C1083" s="30" t="s">
        <v>40</v>
      </c>
      <c r="D1083" s="30" t="s">
        <v>5126</v>
      </c>
      <c r="E1083" s="30" t="s">
        <v>344</v>
      </c>
      <c r="F1083" s="30" t="s">
        <v>5127</v>
      </c>
      <c r="G1083" s="30" t="s">
        <v>5127</v>
      </c>
      <c r="H1083" s="30" t="s">
        <v>5124</v>
      </c>
      <c r="I1083" s="30" t="s">
        <v>306</v>
      </c>
      <c r="J1083" s="30" t="s">
        <v>206</v>
      </c>
      <c r="K1083" s="31" t="s">
        <v>47</v>
      </c>
      <c r="L1083" s="32"/>
      <c r="M1083" s="33"/>
      <c r="N1083" s="30" t="s">
        <v>48</v>
      </c>
      <c r="O1083" s="1" t="n">
        <f aca="false">IF($B1083="",0,IF(AND(OR(Filter!$B$5="(alle)",$N1083=Filter!$B$5),OR(Filter!$E$5="(alle)",$K1083=Filter!$E$5),OR(Filter!$H$5="(alle)",$C1083=Filter!$H$5),OR(Filter!$B$7="(alle)",$E1083=Filter!$B$7),OR(Filter!$E$7="(alle)",ISNUMBER(SEARCH(Filter!$E$7,$J1083))),OR(Filter!$H$7="(alle)",ISNUMBER(SEARCH(Filter!$H$7,$I1083))),OR(Filter!$B$9="",ISNUMBER(SEARCH(Filter!$B$9,$F1083&amp;" "&amp;$G1083)))),COUNTIF($O$6:$O1082,"&gt;0")+1,0))</f>
        <v>1077</v>
      </c>
    </row>
    <row r="1084" customFormat="false" ht="51" hidden="false" customHeight="true" outlineLevel="0" collapsed="false">
      <c r="B1084" s="30" t="s">
        <v>5128</v>
      </c>
      <c r="C1084" s="30" t="s">
        <v>40</v>
      </c>
      <c r="D1084" s="30" t="s">
        <v>5129</v>
      </c>
      <c r="E1084" s="30" t="s">
        <v>344</v>
      </c>
      <c r="F1084" s="30" t="s">
        <v>5130</v>
      </c>
      <c r="G1084" s="30" t="s">
        <v>5130</v>
      </c>
      <c r="H1084" s="30" t="s">
        <v>5124</v>
      </c>
      <c r="I1084" s="30" t="s">
        <v>306</v>
      </c>
      <c r="J1084" s="30" t="s">
        <v>206</v>
      </c>
      <c r="K1084" s="31" t="s">
        <v>47</v>
      </c>
      <c r="L1084" s="32"/>
      <c r="M1084" s="33"/>
      <c r="N1084" s="30" t="s">
        <v>48</v>
      </c>
      <c r="O1084" s="1" t="n">
        <f aca="false">IF($B1084="",0,IF(AND(OR(Filter!$B$5="(alle)",$N1084=Filter!$B$5),OR(Filter!$E$5="(alle)",$K1084=Filter!$E$5),OR(Filter!$H$5="(alle)",$C1084=Filter!$H$5),OR(Filter!$B$7="(alle)",$E1084=Filter!$B$7),OR(Filter!$E$7="(alle)",ISNUMBER(SEARCH(Filter!$E$7,$J1084))),OR(Filter!$H$7="(alle)",ISNUMBER(SEARCH(Filter!$H$7,$I1084))),OR(Filter!$B$9="",ISNUMBER(SEARCH(Filter!$B$9,$F1084&amp;" "&amp;$G1084)))),COUNTIF($O$6:$O1083,"&gt;0")+1,0))</f>
        <v>1078</v>
      </c>
    </row>
    <row r="1085" customFormat="false" ht="51" hidden="false" customHeight="true" outlineLevel="0" collapsed="false">
      <c r="B1085" s="30" t="s">
        <v>5131</v>
      </c>
      <c r="C1085" s="30" t="s">
        <v>40</v>
      </c>
      <c r="D1085" s="30" t="s">
        <v>5132</v>
      </c>
      <c r="E1085" s="30" t="s">
        <v>344</v>
      </c>
      <c r="F1085" s="30" t="s">
        <v>5133</v>
      </c>
      <c r="G1085" s="30" t="s">
        <v>5134</v>
      </c>
      <c r="H1085" s="30" t="s">
        <v>5124</v>
      </c>
      <c r="I1085" s="30" t="s">
        <v>306</v>
      </c>
      <c r="J1085" s="30" t="s">
        <v>206</v>
      </c>
      <c r="K1085" s="31" t="s">
        <v>47</v>
      </c>
      <c r="L1085" s="32"/>
      <c r="M1085" s="33"/>
      <c r="N1085" s="30" t="s">
        <v>48</v>
      </c>
      <c r="O1085" s="1" t="n">
        <f aca="false">IF($B1085="",0,IF(AND(OR(Filter!$B$5="(alle)",$N1085=Filter!$B$5),OR(Filter!$E$5="(alle)",$K1085=Filter!$E$5),OR(Filter!$H$5="(alle)",$C1085=Filter!$H$5),OR(Filter!$B$7="(alle)",$E1085=Filter!$B$7),OR(Filter!$E$7="(alle)",ISNUMBER(SEARCH(Filter!$E$7,$J1085))),OR(Filter!$H$7="(alle)",ISNUMBER(SEARCH(Filter!$H$7,$I1085))),OR(Filter!$B$9="",ISNUMBER(SEARCH(Filter!$B$9,$F1085&amp;" "&amp;$G1085)))),COUNTIF($O$6:$O1084,"&gt;0")+1,0))</f>
        <v>1079</v>
      </c>
    </row>
    <row r="1086" customFormat="false" ht="51" hidden="false" customHeight="true" outlineLevel="0" collapsed="false">
      <c r="B1086" s="30" t="s">
        <v>5135</v>
      </c>
      <c r="C1086" s="30" t="s">
        <v>40</v>
      </c>
      <c r="D1086" s="30" t="s">
        <v>5136</v>
      </c>
      <c r="E1086" s="30" t="s">
        <v>344</v>
      </c>
      <c r="F1086" s="30" t="s">
        <v>5137</v>
      </c>
      <c r="G1086" s="30" t="s">
        <v>5138</v>
      </c>
      <c r="H1086" s="30" t="s">
        <v>5124</v>
      </c>
      <c r="I1086" s="30" t="s">
        <v>306</v>
      </c>
      <c r="J1086" s="30" t="s">
        <v>206</v>
      </c>
      <c r="K1086" s="31" t="s">
        <v>47</v>
      </c>
      <c r="L1086" s="32"/>
      <c r="M1086" s="33"/>
      <c r="N1086" s="30" t="s">
        <v>48</v>
      </c>
      <c r="O1086" s="1" t="n">
        <f aca="false">IF($B1086="",0,IF(AND(OR(Filter!$B$5="(alle)",$N1086=Filter!$B$5),OR(Filter!$E$5="(alle)",$K1086=Filter!$E$5),OR(Filter!$H$5="(alle)",$C1086=Filter!$H$5),OR(Filter!$B$7="(alle)",$E1086=Filter!$B$7),OR(Filter!$E$7="(alle)",ISNUMBER(SEARCH(Filter!$E$7,$J1086))),OR(Filter!$H$7="(alle)",ISNUMBER(SEARCH(Filter!$H$7,$I1086))),OR(Filter!$B$9="",ISNUMBER(SEARCH(Filter!$B$9,$F1086&amp;" "&amp;$G1086)))),COUNTIF($O$6:$O1085,"&gt;0")+1,0))</f>
        <v>1080</v>
      </c>
    </row>
    <row r="1087" customFormat="false" ht="51" hidden="false" customHeight="true" outlineLevel="0" collapsed="false">
      <c r="B1087" s="30" t="s">
        <v>5139</v>
      </c>
      <c r="C1087" s="30" t="s">
        <v>40</v>
      </c>
      <c r="D1087" s="30" t="s">
        <v>5140</v>
      </c>
      <c r="E1087" s="30" t="s">
        <v>210</v>
      </c>
      <c r="F1087" s="30" t="s">
        <v>5141</v>
      </c>
      <c r="G1087" s="30" t="s">
        <v>5142</v>
      </c>
      <c r="H1087" s="30" t="s">
        <v>5124</v>
      </c>
      <c r="I1087" s="30" t="s">
        <v>306</v>
      </c>
      <c r="J1087" s="30" t="s">
        <v>206</v>
      </c>
      <c r="K1087" s="31" t="s">
        <v>47</v>
      </c>
      <c r="L1087" s="32"/>
      <c r="M1087" s="33"/>
      <c r="N1087" s="30" t="s">
        <v>48</v>
      </c>
      <c r="O1087" s="1" t="n">
        <f aca="false">IF($B1087="",0,IF(AND(OR(Filter!$B$5="(alle)",$N1087=Filter!$B$5),OR(Filter!$E$5="(alle)",$K1087=Filter!$E$5),OR(Filter!$H$5="(alle)",$C1087=Filter!$H$5),OR(Filter!$B$7="(alle)",$E1087=Filter!$B$7),OR(Filter!$E$7="(alle)",ISNUMBER(SEARCH(Filter!$E$7,$J1087))),OR(Filter!$H$7="(alle)",ISNUMBER(SEARCH(Filter!$H$7,$I1087))),OR(Filter!$B$9="",ISNUMBER(SEARCH(Filter!$B$9,$F1087&amp;" "&amp;$G1087)))),COUNTIF($O$6:$O1086,"&gt;0")+1,0))</f>
        <v>1081</v>
      </c>
    </row>
    <row r="1088" customFormat="false" ht="51" hidden="false" customHeight="true" outlineLevel="0" collapsed="false">
      <c r="B1088" s="30" t="s">
        <v>5143</v>
      </c>
      <c r="C1088" s="30" t="s">
        <v>40</v>
      </c>
      <c r="D1088" s="30" t="s">
        <v>5144</v>
      </c>
      <c r="E1088" s="30" t="s">
        <v>604</v>
      </c>
      <c r="F1088" s="30" t="s">
        <v>5145</v>
      </c>
      <c r="G1088" s="30" t="s">
        <v>5146</v>
      </c>
      <c r="H1088" s="30" t="s">
        <v>5124</v>
      </c>
      <c r="I1088" s="30" t="s">
        <v>290</v>
      </c>
      <c r="J1088" s="30" t="s">
        <v>808</v>
      </c>
      <c r="K1088" s="31" t="s">
        <v>47</v>
      </c>
      <c r="L1088" s="32"/>
      <c r="M1088" s="33"/>
      <c r="N1088" s="30" t="s">
        <v>48</v>
      </c>
      <c r="O1088" s="1" t="n">
        <f aca="false">IF($B1088="",0,IF(AND(OR(Filter!$B$5="(alle)",$N1088=Filter!$B$5),OR(Filter!$E$5="(alle)",$K1088=Filter!$E$5),OR(Filter!$H$5="(alle)",$C1088=Filter!$H$5),OR(Filter!$B$7="(alle)",$E1088=Filter!$B$7),OR(Filter!$E$7="(alle)",ISNUMBER(SEARCH(Filter!$E$7,$J1088))),OR(Filter!$H$7="(alle)",ISNUMBER(SEARCH(Filter!$H$7,$I1088))),OR(Filter!$B$9="",ISNUMBER(SEARCH(Filter!$B$9,$F1088&amp;" "&amp;$G1088)))),COUNTIF($O$6:$O1087,"&gt;0")+1,0))</f>
        <v>1082</v>
      </c>
    </row>
    <row r="1089" customFormat="false" ht="51" hidden="false" customHeight="true" outlineLevel="0" collapsed="false">
      <c r="B1089" s="30" t="s">
        <v>5147</v>
      </c>
      <c r="C1089" s="30" t="s">
        <v>40</v>
      </c>
      <c r="D1089" s="30" t="s">
        <v>5148</v>
      </c>
      <c r="E1089" s="30" t="s">
        <v>344</v>
      </c>
      <c r="F1089" s="30" t="s">
        <v>5149</v>
      </c>
      <c r="G1089" s="30" t="s">
        <v>5149</v>
      </c>
      <c r="H1089" s="30" t="s">
        <v>5124</v>
      </c>
      <c r="I1089" s="30" t="s">
        <v>306</v>
      </c>
      <c r="J1089" s="30" t="s">
        <v>206</v>
      </c>
      <c r="K1089" s="31" t="s">
        <v>47</v>
      </c>
      <c r="L1089" s="32"/>
      <c r="M1089" s="33"/>
      <c r="N1089" s="30" t="s">
        <v>48</v>
      </c>
      <c r="O1089" s="1" t="n">
        <f aca="false">IF($B1089="",0,IF(AND(OR(Filter!$B$5="(alle)",$N1089=Filter!$B$5),OR(Filter!$E$5="(alle)",$K1089=Filter!$E$5),OR(Filter!$H$5="(alle)",$C1089=Filter!$H$5),OR(Filter!$B$7="(alle)",$E1089=Filter!$B$7),OR(Filter!$E$7="(alle)",ISNUMBER(SEARCH(Filter!$E$7,$J1089))),OR(Filter!$H$7="(alle)",ISNUMBER(SEARCH(Filter!$H$7,$I1089))),OR(Filter!$B$9="",ISNUMBER(SEARCH(Filter!$B$9,$F1089&amp;" "&amp;$G1089)))),COUNTIF($O$6:$O1088,"&gt;0")+1,0))</f>
        <v>1083</v>
      </c>
    </row>
    <row r="1090" customFormat="false" ht="51" hidden="false" customHeight="true" outlineLevel="0" collapsed="false">
      <c r="B1090" s="30" t="s">
        <v>5150</v>
      </c>
      <c r="C1090" s="30" t="s">
        <v>40</v>
      </c>
      <c r="D1090" s="30" t="s">
        <v>5151</v>
      </c>
      <c r="E1090" s="30" t="s">
        <v>155</v>
      </c>
      <c r="F1090" s="30" t="s">
        <v>5152</v>
      </c>
      <c r="G1090" s="30" t="s">
        <v>5153</v>
      </c>
      <c r="H1090" s="30" t="s">
        <v>5124</v>
      </c>
      <c r="I1090" s="30" t="s">
        <v>4372</v>
      </c>
      <c r="J1090" s="30" t="s">
        <v>4373</v>
      </c>
      <c r="K1090" s="31" t="s">
        <v>47</v>
      </c>
      <c r="L1090" s="32"/>
      <c r="M1090" s="33"/>
      <c r="N1090" s="30" t="s">
        <v>48</v>
      </c>
      <c r="O1090" s="1" t="n">
        <f aca="false">IF($B1090="",0,IF(AND(OR(Filter!$B$5="(alle)",$N1090=Filter!$B$5),OR(Filter!$E$5="(alle)",$K1090=Filter!$E$5),OR(Filter!$H$5="(alle)",$C1090=Filter!$H$5),OR(Filter!$B$7="(alle)",$E1090=Filter!$B$7),OR(Filter!$E$7="(alle)",ISNUMBER(SEARCH(Filter!$E$7,$J1090))),OR(Filter!$H$7="(alle)",ISNUMBER(SEARCH(Filter!$H$7,$I1090))),OR(Filter!$B$9="",ISNUMBER(SEARCH(Filter!$B$9,$F1090&amp;" "&amp;$G1090)))),COUNTIF($O$6:$O1089,"&gt;0")+1,0))</f>
        <v>1084</v>
      </c>
    </row>
    <row r="1091" customFormat="false" ht="51" hidden="false" customHeight="true" outlineLevel="0" collapsed="false">
      <c r="B1091" s="30" t="s">
        <v>5154</v>
      </c>
      <c r="C1091" s="30" t="s">
        <v>40</v>
      </c>
      <c r="D1091" s="30" t="s">
        <v>5155</v>
      </c>
      <c r="E1091" s="30" t="s">
        <v>344</v>
      </c>
      <c r="F1091" s="30" t="s">
        <v>5156</v>
      </c>
      <c r="G1091" s="30" t="s">
        <v>5156</v>
      </c>
      <c r="H1091" s="30" t="s">
        <v>5124</v>
      </c>
      <c r="I1091" s="30" t="s">
        <v>306</v>
      </c>
      <c r="J1091" s="30" t="s">
        <v>206</v>
      </c>
      <c r="K1091" s="31" t="s">
        <v>47</v>
      </c>
      <c r="L1091" s="32"/>
      <c r="M1091" s="33"/>
      <c r="N1091" s="30" t="s">
        <v>48</v>
      </c>
      <c r="O1091" s="1" t="n">
        <f aca="false">IF($B1091="",0,IF(AND(OR(Filter!$B$5="(alle)",$N1091=Filter!$B$5),OR(Filter!$E$5="(alle)",$K1091=Filter!$E$5),OR(Filter!$H$5="(alle)",$C1091=Filter!$H$5),OR(Filter!$B$7="(alle)",$E1091=Filter!$B$7),OR(Filter!$E$7="(alle)",ISNUMBER(SEARCH(Filter!$E$7,$J1091))),OR(Filter!$H$7="(alle)",ISNUMBER(SEARCH(Filter!$H$7,$I1091))),OR(Filter!$B$9="",ISNUMBER(SEARCH(Filter!$B$9,$F1091&amp;" "&amp;$G1091)))),COUNTIF($O$6:$O1090,"&gt;0")+1,0))</f>
        <v>1085</v>
      </c>
    </row>
    <row r="1092" customFormat="false" ht="51" hidden="false" customHeight="true" outlineLevel="0" collapsed="false">
      <c r="B1092" s="30" t="s">
        <v>5157</v>
      </c>
      <c r="C1092" s="30" t="s">
        <v>40</v>
      </c>
      <c r="D1092" s="30" t="s">
        <v>5158</v>
      </c>
      <c r="E1092" s="30" t="s">
        <v>344</v>
      </c>
      <c r="F1092" s="30" t="s">
        <v>5159</v>
      </c>
      <c r="G1092" s="30" t="s">
        <v>5160</v>
      </c>
      <c r="H1092" s="30" t="s">
        <v>5161</v>
      </c>
      <c r="I1092" s="30" t="s">
        <v>306</v>
      </c>
      <c r="J1092" s="30" t="s">
        <v>206</v>
      </c>
      <c r="K1092" s="31" t="s">
        <v>47</v>
      </c>
      <c r="L1092" s="32"/>
      <c r="M1092" s="33"/>
      <c r="N1092" s="30" t="s">
        <v>48</v>
      </c>
      <c r="O1092" s="1" t="n">
        <f aca="false">IF($B1092="",0,IF(AND(OR(Filter!$B$5="(alle)",$N1092=Filter!$B$5),OR(Filter!$E$5="(alle)",$K1092=Filter!$E$5),OR(Filter!$H$5="(alle)",$C1092=Filter!$H$5),OR(Filter!$B$7="(alle)",$E1092=Filter!$B$7),OR(Filter!$E$7="(alle)",ISNUMBER(SEARCH(Filter!$E$7,$J1092))),OR(Filter!$H$7="(alle)",ISNUMBER(SEARCH(Filter!$H$7,$I1092))),OR(Filter!$B$9="",ISNUMBER(SEARCH(Filter!$B$9,$F1092&amp;" "&amp;$G1092)))),COUNTIF($O$6:$O1091,"&gt;0")+1,0))</f>
        <v>1086</v>
      </c>
    </row>
    <row r="1093" customFormat="false" ht="51" hidden="false" customHeight="true" outlineLevel="0" collapsed="false">
      <c r="B1093" s="30" t="s">
        <v>5162</v>
      </c>
      <c r="C1093" s="30" t="s">
        <v>40</v>
      </c>
      <c r="D1093" s="30" t="s">
        <v>5163</v>
      </c>
      <c r="E1093" s="30" t="s">
        <v>344</v>
      </c>
      <c r="F1093" s="30" t="s">
        <v>5164</v>
      </c>
      <c r="G1093" s="30" t="s">
        <v>5165</v>
      </c>
      <c r="H1093" s="30" t="s">
        <v>5166</v>
      </c>
      <c r="I1093" s="30" t="s">
        <v>306</v>
      </c>
      <c r="J1093" s="30" t="s">
        <v>206</v>
      </c>
      <c r="K1093" s="31" t="s">
        <v>47</v>
      </c>
      <c r="L1093" s="32"/>
      <c r="M1093" s="33"/>
      <c r="N1093" s="30" t="s">
        <v>48</v>
      </c>
      <c r="O1093" s="1" t="n">
        <f aca="false">IF($B1093="",0,IF(AND(OR(Filter!$B$5="(alle)",$N1093=Filter!$B$5),OR(Filter!$E$5="(alle)",$K1093=Filter!$E$5),OR(Filter!$H$5="(alle)",$C1093=Filter!$H$5),OR(Filter!$B$7="(alle)",$E1093=Filter!$B$7),OR(Filter!$E$7="(alle)",ISNUMBER(SEARCH(Filter!$E$7,$J1093))),OR(Filter!$H$7="(alle)",ISNUMBER(SEARCH(Filter!$H$7,$I1093))),OR(Filter!$B$9="",ISNUMBER(SEARCH(Filter!$B$9,$F1093&amp;" "&amp;$G1093)))),COUNTIF($O$6:$O1092,"&gt;0")+1,0))</f>
        <v>1087</v>
      </c>
    </row>
    <row r="1094" customFormat="false" ht="51" hidden="false" customHeight="true" outlineLevel="0" collapsed="false">
      <c r="B1094" s="30" t="s">
        <v>5167</v>
      </c>
      <c r="C1094" s="30" t="s">
        <v>40</v>
      </c>
      <c r="D1094" s="30" t="s">
        <v>5168</v>
      </c>
      <c r="E1094" s="30" t="s">
        <v>344</v>
      </c>
      <c r="F1094" s="30" t="s">
        <v>5169</v>
      </c>
      <c r="G1094" s="30" t="s">
        <v>5170</v>
      </c>
      <c r="H1094" s="30" t="s">
        <v>5166</v>
      </c>
      <c r="I1094" s="30" t="s">
        <v>290</v>
      </c>
      <c r="J1094" s="30" t="s">
        <v>808</v>
      </c>
      <c r="K1094" s="31" t="s">
        <v>47</v>
      </c>
      <c r="L1094" s="32"/>
      <c r="M1094" s="33"/>
      <c r="N1094" s="30" t="s">
        <v>48</v>
      </c>
      <c r="O1094" s="1" t="n">
        <f aca="false">IF($B1094="",0,IF(AND(OR(Filter!$B$5="(alle)",$N1094=Filter!$B$5),OR(Filter!$E$5="(alle)",$K1094=Filter!$E$5),OR(Filter!$H$5="(alle)",$C1094=Filter!$H$5),OR(Filter!$B$7="(alle)",$E1094=Filter!$B$7),OR(Filter!$E$7="(alle)",ISNUMBER(SEARCH(Filter!$E$7,$J1094))),OR(Filter!$H$7="(alle)",ISNUMBER(SEARCH(Filter!$H$7,$I1094))),OR(Filter!$B$9="",ISNUMBER(SEARCH(Filter!$B$9,$F1094&amp;" "&amp;$G1094)))),COUNTIF($O$6:$O1093,"&gt;0")+1,0))</f>
        <v>1088</v>
      </c>
    </row>
    <row r="1095" customFormat="false" ht="51" hidden="false" customHeight="true" outlineLevel="0" collapsed="false">
      <c r="B1095" s="30" t="s">
        <v>5171</v>
      </c>
      <c r="C1095" s="30" t="s">
        <v>40</v>
      </c>
      <c r="D1095" s="30" t="s">
        <v>5172</v>
      </c>
      <c r="E1095" s="30" t="s">
        <v>344</v>
      </c>
      <c r="F1095" s="30" t="s">
        <v>5173</v>
      </c>
      <c r="G1095" s="30" t="s">
        <v>5174</v>
      </c>
      <c r="H1095" s="30" t="s">
        <v>5166</v>
      </c>
      <c r="I1095" s="30" t="s">
        <v>306</v>
      </c>
      <c r="J1095" s="30" t="s">
        <v>206</v>
      </c>
      <c r="K1095" s="31" t="s">
        <v>47</v>
      </c>
      <c r="L1095" s="32"/>
      <c r="M1095" s="33"/>
      <c r="N1095" s="30" t="s">
        <v>48</v>
      </c>
      <c r="O1095" s="1" t="n">
        <f aca="false">IF($B1095="",0,IF(AND(OR(Filter!$B$5="(alle)",$N1095=Filter!$B$5),OR(Filter!$E$5="(alle)",$K1095=Filter!$E$5),OR(Filter!$H$5="(alle)",$C1095=Filter!$H$5),OR(Filter!$B$7="(alle)",$E1095=Filter!$B$7),OR(Filter!$E$7="(alle)",ISNUMBER(SEARCH(Filter!$E$7,$J1095))),OR(Filter!$H$7="(alle)",ISNUMBER(SEARCH(Filter!$H$7,$I1095))),OR(Filter!$B$9="",ISNUMBER(SEARCH(Filter!$B$9,$F1095&amp;" "&amp;$G1095)))),COUNTIF($O$6:$O1094,"&gt;0")+1,0))</f>
        <v>1089</v>
      </c>
    </row>
    <row r="1096" customFormat="false" ht="51" hidden="false" customHeight="true" outlineLevel="0" collapsed="false">
      <c r="B1096" s="30" t="s">
        <v>5175</v>
      </c>
      <c r="C1096" s="30" t="s">
        <v>40</v>
      </c>
      <c r="D1096" s="30" t="s">
        <v>5176</v>
      </c>
      <c r="E1096" s="30" t="s">
        <v>344</v>
      </c>
      <c r="F1096" s="30" t="s">
        <v>5177</v>
      </c>
      <c r="G1096" s="30" t="s">
        <v>5177</v>
      </c>
      <c r="H1096" s="30" t="s">
        <v>5166</v>
      </c>
      <c r="I1096" s="30" t="s">
        <v>306</v>
      </c>
      <c r="J1096" s="30" t="s">
        <v>206</v>
      </c>
      <c r="K1096" s="31" t="s">
        <v>47</v>
      </c>
      <c r="L1096" s="32"/>
      <c r="M1096" s="33"/>
      <c r="N1096" s="30" t="s">
        <v>48</v>
      </c>
      <c r="O1096" s="1" t="n">
        <f aca="false">IF($B1096="",0,IF(AND(OR(Filter!$B$5="(alle)",$N1096=Filter!$B$5),OR(Filter!$E$5="(alle)",$K1096=Filter!$E$5),OR(Filter!$H$5="(alle)",$C1096=Filter!$H$5),OR(Filter!$B$7="(alle)",$E1096=Filter!$B$7),OR(Filter!$E$7="(alle)",ISNUMBER(SEARCH(Filter!$E$7,$J1096))),OR(Filter!$H$7="(alle)",ISNUMBER(SEARCH(Filter!$H$7,$I1096))),OR(Filter!$B$9="",ISNUMBER(SEARCH(Filter!$B$9,$F1096&amp;" "&amp;$G1096)))),COUNTIF($O$6:$O1095,"&gt;0")+1,0))</f>
        <v>1090</v>
      </c>
    </row>
    <row r="1097" customFormat="false" ht="51" hidden="false" customHeight="true" outlineLevel="0" collapsed="false">
      <c r="B1097" s="30" t="s">
        <v>5178</v>
      </c>
      <c r="C1097" s="30" t="s">
        <v>40</v>
      </c>
      <c r="D1097" s="30" t="s">
        <v>5179</v>
      </c>
      <c r="E1097" s="30" t="s">
        <v>344</v>
      </c>
      <c r="F1097" s="30" t="s">
        <v>5180</v>
      </c>
      <c r="G1097" s="30" t="s">
        <v>5181</v>
      </c>
      <c r="H1097" s="30" t="s">
        <v>5166</v>
      </c>
      <c r="I1097" s="30" t="s">
        <v>306</v>
      </c>
      <c r="J1097" s="30" t="s">
        <v>206</v>
      </c>
      <c r="K1097" s="31" t="s">
        <v>47</v>
      </c>
      <c r="L1097" s="32"/>
      <c r="M1097" s="33"/>
      <c r="N1097" s="30" t="s">
        <v>48</v>
      </c>
      <c r="O1097" s="1" t="n">
        <f aca="false">IF($B1097="",0,IF(AND(OR(Filter!$B$5="(alle)",$N1097=Filter!$B$5),OR(Filter!$E$5="(alle)",$K1097=Filter!$E$5),OR(Filter!$H$5="(alle)",$C1097=Filter!$H$5),OR(Filter!$B$7="(alle)",$E1097=Filter!$B$7),OR(Filter!$E$7="(alle)",ISNUMBER(SEARCH(Filter!$E$7,$J1097))),OR(Filter!$H$7="(alle)",ISNUMBER(SEARCH(Filter!$H$7,$I1097))),OR(Filter!$B$9="",ISNUMBER(SEARCH(Filter!$B$9,$F1097&amp;" "&amp;$G1097)))),COUNTIF($O$6:$O1096,"&gt;0")+1,0))</f>
        <v>1091</v>
      </c>
    </row>
    <row r="1098" customFormat="false" ht="51" hidden="false" customHeight="true" outlineLevel="0" collapsed="false">
      <c r="B1098" s="30" t="s">
        <v>5182</v>
      </c>
      <c r="C1098" s="30" t="s">
        <v>40</v>
      </c>
      <c r="D1098" s="30" t="s">
        <v>5183</v>
      </c>
      <c r="E1098" s="30" t="s">
        <v>344</v>
      </c>
      <c r="F1098" s="30" t="s">
        <v>5184</v>
      </c>
      <c r="G1098" s="30" t="s">
        <v>5185</v>
      </c>
      <c r="H1098" s="30" t="s">
        <v>5166</v>
      </c>
      <c r="I1098" s="30" t="s">
        <v>306</v>
      </c>
      <c r="J1098" s="30" t="s">
        <v>206</v>
      </c>
      <c r="K1098" s="31" t="s">
        <v>47</v>
      </c>
      <c r="L1098" s="32"/>
      <c r="M1098" s="33"/>
      <c r="N1098" s="30" t="s">
        <v>48</v>
      </c>
      <c r="O1098" s="1" t="n">
        <f aca="false">IF($B1098="",0,IF(AND(OR(Filter!$B$5="(alle)",$N1098=Filter!$B$5),OR(Filter!$E$5="(alle)",$K1098=Filter!$E$5),OR(Filter!$H$5="(alle)",$C1098=Filter!$H$5),OR(Filter!$B$7="(alle)",$E1098=Filter!$B$7),OR(Filter!$E$7="(alle)",ISNUMBER(SEARCH(Filter!$E$7,$J1098))),OR(Filter!$H$7="(alle)",ISNUMBER(SEARCH(Filter!$H$7,$I1098))),OR(Filter!$B$9="",ISNUMBER(SEARCH(Filter!$B$9,$F1098&amp;" "&amp;$G1098)))),COUNTIF($O$6:$O1097,"&gt;0")+1,0))</f>
        <v>1092</v>
      </c>
    </row>
    <row r="1099" customFormat="false" ht="51" hidden="false" customHeight="true" outlineLevel="0" collapsed="false">
      <c r="B1099" s="30" t="s">
        <v>5186</v>
      </c>
      <c r="C1099" s="30" t="s">
        <v>40</v>
      </c>
      <c r="D1099" s="30" t="s">
        <v>5187</v>
      </c>
      <c r="E1099" s="30" t="s">
        <v>344</v>
      </c>
      <c r="F1099" s="30" t="s">
        <v>5188</v>
      </c>
      <c r="G1099" s="30" t="s">
        <v>5189</v>
      </c>
      <c r="H1099" s="30" t="s">
        <v>5166</v>
      </c>
      <c r="I1099" s="30" t="s">
        <v>306</v>
      </c>
      <c r="J1099" s="30" t="s">
        <v>206</v>
      </c>
      <c r="K1099" s="31" t="s">
        <v>47</v>
      </c>
      <c r="L1099" s="32"/>
      <c r="M1099" s="33"/>
      <c r="N1099" s="30" t="s">
        <v>48</v>
      </c>
      <c r="O1099" s="1" t="n">
        <f aca="false">IF($B1099="",0,IF(AND(OR(Filter!$B$5="(alle)",$N1099=Filter!$B$5),OR(Filter!$E$5="(alle)",$K1099=Filter!$E$5),OR(Filter!$H$5="(alle)",$C1099=Filter!$H$5),OR(Filter!$B$7="(alle)",$E1099=Filter!$B$7),OR(Filter!$E$7="(alle)",ISNUMBER(SEARCH(Filter!$E$7,$J1099))),OR(Filter!$H$7="(alle)",ISNUMBER(SEARCH(Filter!$H$7,$I1099))),OR(Filter!$B$9="",ISNUMBER(SEARCH(Filter!$B$9,$F1099&amp;" "&amp;$G1099)))),COUNTIF($O$6:$O1098,"&gt;0")+1,0))</f>
        <v>1093</v>
      </c>
    </row>
    <row r="1100" customFormat="false" ht="51" hidden="false" customHeight="true" outlineLevel="0" collapsed="false">
      <c r="B1100" s="30" t="s">
        <v>5190</v>
      </c>
      <c r="C1100" s="30" t="s">
        <v>40</v>
      </c>
      <c r="D1100" s="30" t="s">
        <v>5191</v>
      </c>
      <c r="E1100" s="30" t="s">
        <v>344</v>
      </c>
      <c r="F1100" s="30" t="s">
        <v>5192</v>
      </c>
      <c r="G1100" s="30" t="s">
        <v>5193</v>
      </c>
      <c r="H1100" s="30" t="s">
        <v>5166</v>
      </c>
      <c r="I1100" s="30" t="s">
        <v>306</v>
      </c>
      <c r="J1100" s="30" t="s">
        <v>206</v>
      </c>
      <c r="K1100" s="31" t="s">
        <v>47</v>
      </c>
      <c r="L1100" s="32"/>
      <c r="M1100" s="33"/>
      <c r="N1100" s="30" t="s">
        <v>48</v>
      </c>
      <c r="O1100" s="1" t="n">
        <f aca="false">IF($B1100="",0,IF(AND(OR(Filter!$B$5="(alle)",$N1100=Filter!$B$5),OR(Filter!$E$5="(alle)",$K1100=Filter!$E$5),OR(Filter!$H$5="(alle)",$C1100=Filter!$H$5),OR(Filter!$B$7="(alle)",$E1100=Filter!$B$7),OR(Filter!$E$7="(alle)",ISNUMBER(SEARCH(Filter!$E$7,$J1100))),OR(Filter!$H$7="(alle)",ISNUMBER(SEARCH(Filter!$H$7,$I1100))),OR(Filter!$B$9="",ISNUMBER(SEARCH(Filter!$B$9,$F1100&amp;" "&amp;$G1100)))),COUNTIF($O$6:$O1099,"&gt;0")+1,0))</f>
        <v>1094</v>
      </c>
    </row>
    <row r="1101" customFormat="false" ht="51" hidden="false" customHeight="true" outlineLevel="0" collapsed="false">
      <c r="B1101" s="30" t="s">
        <v>5194</v>
      </c>
      <c r="C1101" s="30" t="s">
        <v>40</v>
      </c>
      <c r="D1101" s="30" t="s">
        <v>5195</v>
      </c>
      <c r="E1101" s="30" t="s">
        <v>344</v>
      </c>
      <c r="F1101" s="30" t="s">
        <v>5196</v>
      </c>
      <c r="G1101" s="30" t="s">
        <v>5197</v>
      </c>
      <c r="H1101" s="30" t="s">
        <v>5198</v>
      </c>
      <c r="I1101" s="30" t="s">
        <v>306</v>
      </c>
      <c r="J1101" s="30" t="s">
        <v>206</v>
      </c>
      <c r="K1101" s="31" t="s">
        <v>47</v>
      </c>
      <c r="L1101" s="32"/>
      <c r="M1101" s="33"/>
      <c r="N1101" s="30" t="s">
        <v>48</v>
      </c>
      <c r="O1101" s="1" t="n">
        <f aca="false">IF($B1101="",0,IF(AND(OR(Filter!$B$5="(alle)",$N1101=Filter!$B$5),OR(Filter!$E$5="(alle)",$K1101=Filter!$E$5),OR(Filter!$H$5="(alle)",$C1101=Filter!$H$5),OR(Filter!$B$7="(alle)",$E1101=Filter!$B$7),OR(Filter!$E$7="(alle)",ISNUMBER(SEARCH(Filter!$E$7,$J1101))),OR(Filter!$H$7="(alle)",ISNUMBER(SEARCH(Filter!$H$7,$I1101))),OR(Filter!$B$9="",ISNUMBER(SEARCH(Filter!$B$9,$F1101&amp;" "&amp;$G1101)))),COUNTIF($O$6:$O1100,"&gt;0")+1,0))</f>
        <v>1095</v>
      </c>
    </row>
    <row r="1102" customFormat="false" ht="51" hidden="false" customHeight="true" outlineLevel="0" collapsed="false">
      <c r="B1102" s="30" t="s">
        <v>5199</v>
      </c>
      <c r="C1102" s="30" t="s">
        <v>40</v>
      </c>
      <c r="D1102" s="30" t="s">
        <v>5200</v>
      </c>
      <c r="E1102" s="30" t="s">
        <v>344</v>
      </c>
      <c r="F1102" s="30" t="s">
        <v>5201</v>
      </c>
      <c r="G1102" s="30" t="s">
        <v>5202</v>
      </c>
      <c r="H1102" s="30" t="s">
        <v>5198</v>
      </c>
      <c r="I1102" s="30" t="s">
        <v>306</v>
      </c>
      <c r="J1102" s="30" t="s">
        <v>206</v>
      </c>
      <c r="K1102" s="31" t="s">
        <v>47</v>
      </c>
      <c r="L1102" s="32"/>
      <c r="M1102" s="33"/>
      <c r="N1102" s="30" t="s">
        <v>48</v>
      </c>
      <c r="O1102" s="1" t="n">
        <f aca="false">IF($B1102="",0,IF(AND(OR(Filter!$B$5="(alle)",$N1102=Filter!$B$5),OR(Filter!$E$5="(alle)",$K1102=Filter!$E$5),OR(Filter!$H$5="(alle)",$C1102=Filter!$H$5),OR(Filter!$B$7="(alle)",$E1102=Filter!$B$7),OR(Filter!$E$7="(alle)",ISNUMBER(SEARCH(Filter!$E$7,$J1102))),OR(Filter!$H$7="(alle)",ISNUMBER(SEARCH(Filter!$H$7,$I1102))),OR(Filter!$B$9="",ISNUMBER(SEARCH(Filter!$B$9,$F1102&amp;" "&amp;$G1102)))),COUNTIF($O$6:$O1101,"&gt;0")+1,0))</f>
        <v>1096</v>
      </c>
    </row>
    <row r="1103" customFormat="false" ht="51" hidden="false" customHeight="true" outlineLevel="0" collapsed="false">
      <c r="B1103" s="30" t="s">
        <v>5203</v>
      </c>
      <c r="C1103" s="30" t="s">
        <v>40</v>
      </c>
      <c r="D1103" s="30" t="s">
        <v>5204</v>
      </c>
      <c r="E1103" s="30" t="s">
        <v>344</v>
      </c>
      <c r="F1103" s="30" t="s">
        <v>5205</v>
      </c>
      <c r="G1103" s="30" t="s">
        <v>5206</v>
      </c>
      <c r="H1103" s="30" t="s">
        <v>5198</v>
      </c>
      <c r="I1103" s="30" t="s">
        <v>306</v>
      </c>
      <c r="J1103" s="30" t="s">
        <v>206</v>
      </c>
      <c r="K1103" s="31" t="s">
        <v>47</v>
      </c>
      <c r="L1103" s="32"/>
      <c r="M1103" s="33"/>
      <c r="N1103" s="30" t="s">
        <v>48</v>
      </c>
      <c r="O1103" s="1" t="n">
        <f aca="false">IF($B1103="",0,IF(AND(OR(Filter!$B$5="(alle)",$N1103=Filter!$B$5),OR(Filter!$E$5="(alle)",$K1103=Filter!$E$5),OR(Filter!$H$5="(alle)",$C1103=Filter!$H$5),OR(Filter!$B$7="(alle)",$E1103=Filter!$B$7),OR(Filter!$E$7="(alle)",ISNUMBER(SEARCH(Filter!$E$7,$J1103))),OR(Filter!$H$7="(alle)",ISNUMBER(SEARCH(Filter!$H$7,$I1103))),OR(Filter!$B$9="",ISNUMBER(SEARCH(Filter!$B$9,$F1103&amp;" "&amp;$G1103)))),COUNTIF($O$6:$O1102,"&gt;0")+1,0))</f>
        <v>1097</v>
      </c>
    </row>
    <row r="1104" customFormat="false" ht="51" hidden="false" customHeight="true" outlineLevel="0" collapsed="false">
      <c r="B1104" s="30" t="s">
        <v>5207</v>
      </c>
      <c r="C1104" s="30" t="s">
        <v>40</v>
      </c>
      <c r="D1104" s="30" t="s">
        <v>5208</v>
      </c>
      <c r="E1104" s="30" t="s">
        <v>344</v>
      </c>
      <c r="F1104" s="30" t="s">
        <v>5209</v>
      </c>
      <c r="G1104" s="30" t="s">
        <v>5210</v>
      </c>
      <c r="H1104" s="30" t="s">
        <v>5211</v>
      </c>
      <c r="I1104" s="30" t="s">
        <v>306</v>
      </c>
      <c r="J1104" s="30" t="s">
        <v>206</v>
      </c>
      <c r="K1104" s="31" t="s">
        <v>47</v>
      </c>
      <c r="L1104" s="32"/>
      <c r="M1104" s="33"/>
      <c r="N1104" s="30" t="s">
        <v>48</v>
      </c>
      <c r="O1104" s="1" t="n">
        <f aca="false">IF($B1104="",0,IF(AND(OR(Filter!$B$5="(alle)",$N1104=Filter!$B$5),OR(Filter!$E$5="(alle)",$K1104=Filter!$E$5),OR(Filter!$H$5="(alle)",$C1104=Filter!$H$5),OR(Filter!$B$7="(alle)",$E1104=Filter!$B$7),OR(Filter!$E$7="(alle)",ISNUMBER(SEARCH(Filter!$E$7,$J1104))),OR(Filter!$H$7="(alle)",ISNUMBER(SEARCH(Filter!$H$7,$I1104))),OR(Filter!$B$9="",ISNUMBER(SEARCH(Filter!$B$9,$F1104&amp;" "&amp;$G1104)))),COUNTIF($O$6:$O1103,"&gt;0")+1,0))</f>
        <v>1098</v>
      </c>
    </row>
    <row r="1105" customFormat="false" ht="51" hidden="false" customHeight="true" outlineLevel="0" collapsed="false">
      <c r="B1105" s="30" t="s">
        <v>5212</v>
      </c>
      <c r="C1105" s="30" t="s">
        <v>40</v>
      </c>
      <c r="D1105" s="30" t="s">
        <v>5213</v>
      </c>
      <c r="E1105" s="30" t="s">
        <v>344</v>
      </c>
      <c r="F1105" s="30" t="s">
        <v>5214</v>
      </c>
      <c r="G1105" s="30" t="s">
        <v>5215</v>
      </c>
      <c r="H1105" s="30" t="s">
        <v>5216</v>
      </c>
      <c r="I1105" s="30" t="s">
        <v>306</v>
      </c>
      <c r="J1105" s="30" t="s">
        <v>206</v>
      </c>
      <c r="K1105" s="31" t="s">
        <v>47</v>
      </c>
      <c r="L1105" s="32"/>
      <c r="M1105" s="33"/>
      <c r="N1105" s="30" t="s">
        <v>48</v>
      </c>
      <c r="O1105" s="1" t="n">
        <f aca="false">IF($B1105="",0,IF(AND(OR(Filter!$B$5="(alle)",$N1105=Filter!$B$5),OR(Filter!$E$5="(alle)",$K1105=Filter!$E$5),OR(Filter!$H$5="(alle)",$C1105=Filter!$H$5),OR(Filter!$B$7="(alle)",$E1105=Filter!$B$7),OR(Filter!$E$7="(alle)",ISNUMBER(SEARCH(Filter!$E$7,$J1105))),OR(Filter!$H$7="(alle)",ISNUMBER(SEARCH(Filter!$H$7,$I1105))),OR(Filter!$B$9="",ISNUMBER(SEARCH(Filter!$B$9,$F1105&amp;" "&amp;$G1105)))),COUNTIF($O$6:$O1104,"&gt;0")+1,0))</f>
        <v>1099</v>
      </c>
    </row>
    <row r="1106" customFormat="false" ht="51" hidden="false" customHeight="true" outlineLevel="0" collapsed="false">
      <c r="B1106" s="30" t="s">
        <v>5217</v>
      </c>
      <c r="C1106" s="30" t="s">
        <v>40</v>
      </c>
      <c r="D1106" s="30" t="s">
        <v>5218</v>
      </c>
      <c r="E1106" s="30" t="s">
        <v>344</v>
      </c>
      <c r="F1106" s="30" t="s">
        <v>5219</v>
      </c>
      <c r="G1106" s="30" t="s">
        <v>5220</v>
      </c>
      <c r="H1106" s="30" t="s">
        <v>5216</v>
      </c>
      <c r="I1106" s="30" t="s">
        <v>306</v>
      </c>
      <c r="J1106" s="30" t="s">
        <v>206</v>
      </c>
      <c r="K1106" s="31" t="s">
        <v>47</v>
      </c>
      <c r="L1106" s="32"/>
      <c r="M1106" s="33"/>
      <c r="N1106" s="30" t="s">
        <v>48</v>
      </c>
      <c r="O1106" s="1" t="n">
        <f aca="false">IF($B1106="",0,IF(AND(OR(Filter!$B$5="(alle)",$N1106=Filter!$B$5),OR(Filter!$E$5="(alle)",$K1106=Filter!$E$5),OR(Filter!$H$5="(alle)",$C1106=Filter!$H$5),OR(Filter!$B$7="(alle)",$E1106=Filter!$B$7),OR(Filter!$E$7="(alle)",ISNUMBER(SEARCH(Filter!$E$7,$J1106))),OR(Filter!$H$7="(alle)",ISNUMBER(SEARCH(Filter!$H$7,$I1106))),OR(Filter!$B$9="",ISNUMBER(SEARCH(Filter!$B$9,$F1106&amp;" "&amp;$G1106)))),COUNTIF($O$6:$O1105,"&gt;0")+1,0))</f>
        <v>1100</v>
      </c>
    </row>
    <row r="1107" customFormat="false" ht="51" hidden="false" customHeight="true" outlineLevel="0" collapsed="false">
      <c r="B1107" s="30" t="s">
        <v>5221</v>
      </c>
      <c r="C1107" s="30" t="s">
        <v>40</v>
      </c>
      <c r="D1107" s="30" t="s">
        <v>5222</v>
      </c>
      <c r="E1107" s="30" t="s">
        <v>344</v>
      </c>
      <c r="F1107" s="30" t="s">
        <v>5223</v>
      </c>
      <c r="G1107" s="30" t="s">
        <v>5224</v>
      </c>
      <c r="H1107" s="30" t="s">
        <v>5216</v>
      </c>
      <c r="I1107" s="30" t="s">
        <v>306</v>
      </c>
      <c r="J1107" s="30" t="s">
        <v>206</v>
      </c>
      <c r="K1107" s="31" t="s">
        <v>47</v>
      </c>
      <c r="L1107" s="32"/>
      <c r="M1107" s="33"/>
      <c r="N1107" s="30" t="s">
        <v>48</v>
      </c>
      <c r="O1107" s="1" t="n">
        <f aca="false">IF($B1107="",0,IF(AND(OR(Filter!$B$5="(alle)",$N1107=Filter!$B$5),OR(Filter!$E$5="(alle)",$K1107=Filter!$E$5),OR(Filter!$H$5="(alle)",$C1107=Filter!$H$5),OR(Filter!$B$7="(alle)",$E1107=Filter!$B$7),OR(Filter!$E$7="(alle)",ISNUMBER(SEARCH(Filter!$E$7,$J1107))),OR(Filter!$H$7="(alle)",ISNUMBER(SEARCH(Filter!$H$7,$I1107))),OR(Filter!$B$9="",ISNUMBER(SEARCH(Filter!$B$9,$F1107&amp;" "&amp;$G1107)))),COUNTIF($O$6:$O1106,"&gt;0")+1,0))</f>
        <v>1101</v>
      </c>
    </row>
    <row r="1108" customFormat="false" ht="51" hidden="false" customHeight="true" outlineLevel="0" collapsed="false">
      <c r="B1108" s="30" t="s">
        <v>5225</v>
      </c>
      <c r="C1108" s="30" t="s">
        <v>40</v>
      </c>
      <c r="D1108" s="30" t="s">
        <v>5226</v>
      </c>
      <c r="E1108" s="30" t="s">
        <v>344</v>
      </c>
      <c r="F1108" s="30" t="s">
        <v>5227</v>
      </c>
      <c r="G1108" s="30" t="s">
        <v>5228</v>
      </c>
      <c r="H1108" s="30" t="s">
        <v>5216</v>
      </c>
      <c r="I1108" s="30" t="s">
        <v>306</v>
      </c>
      <c r="J1108" s="30" t="s">
        <v>206</v>
      </c>
      <c r="K1108" s="31" t="s">
        <v>47</v>
      </c>
      <c r="L1108" s="32"/>
      <c r="M1108" s="33"/>
      <c r="N1108" s="30" t="s">
        <v>48</v>
      </c>
      <c r="O1108" s="1" t="n">
        <f aca="false">IF($B1108="",0,IF(AND(OR(Filter!$B$5="(alle)",$N1108=Filter!$B$5),OR(Filter!$E$5="(alle)",$K1108=Filter!$E$5),OR(Filter!$H$5="(alle)",$C1108=Filter!$H$5),OR(Filter!$B$7="(alle)",$E1108=Filter!$B$7),OR(Filter!$E$7="(alle)",ISNUMBER(SEARCH(Filter!$E$7,$J1108))),OR(Filter!$H$7="(alle)",ISNUMBER(SEARCH(Filter!$H$7,$I1108))),OR(Filter!$B$9="",ISNUMBER(SEARCH(Filter!$B$9,$F1108&amp;" "&amp;$G1108)))),COUNTIF($O$6:$O1107,"&gt;0")+1,0))</f>
        <v>1102</v>
      </c>
    </row>
    <row r="1109" customFormat="false" ht="51" hidden="false" customHeight="true" outlineLevel="0" collapsed="false">
      <c r="B1109" s="30" t="s">
        <v>5229</v>
      </c>
      <c r="C1109" s="30" t="s">
        <v>40</v>
      </c>
      <c r="D1109" s="30" t="s">
        <v>5230</v>
      </c>
      <c r="E1109" s="30" t="s">
        <v>344</v>
      </c>
      <c r="F1109" s="30" t="s">
        <v>5231</v>
      </c>
      <c r="G1109" s="30" t="s">
        <v>5231</v>
      </c>
      <c r="H1109" s="30" t="s">
        <v>5216</v>
      </c>
      <c r="I1109" s="30" t="s">
        <v>306</v>
      </c>
      <c r="J1109" s="30" t="s">
        <v>206</v>
      </c>
      <c r="K1109" s="31" t="s">
        <v>47</v>
      </c>
      <c r="L1109" s="32"/>
      <c r="M1109" s="33"/>
      <c r="N1109" s="30" t="s">
        <v>48</v>
      </c>
      <c r="O1109" s="1" t="n">
        <f aca="false">IF($B1109="",0,IF(AND(OR(Filter!$B$5="(alle)",$N1109=Filter!$B$5),OR(Filter!$E$5="(alle)",$K1109=Filter!$E$5),OR(Filter!$H$5="(alle)",$C1109=Filter!$H$5),OR(Filter!$B$7="(alle)",$E1109=Filter!$B$7),OR(Filter!$E$7="(alle)",ISNUMBER(SEARCH(Filter!$E$7,$J1109))),OR(Filter!$H$7="(alle)",ISNUMBER(SEARCH(Filter!$H$7,$I1109))),OR(Filter!$B$9="",ISNUMBER(SEARCH(Filter!$B$9,$F1109&amp;" "&amp;$G1109)))),COUNTIF($O$6:$O1108,"&gt;0")+1,0))</f>
        <v>1103</v>
      </c>
    </row>
    <row r="1110" customFormat="false" ht="51" hidden="false" customHeight="true" outlineLevel="0" collapsed="false">
      <c r="B1110" s="30" t="s">
        <v>5232</v>
      </c>
      <c r="C1110" s="30" t="s">
        <v>40</v>
      </c>
      <c r="D1110" s="30" t="s">
        <v>5233</v>
      </c>
      <c r="E1110" s="30" t="s">
        <v>344</v>
      </c>
      <c r="F1110" s="30" t="s">
        <v>5234</v>
      </c>
      <c r="G1110" s="30" t="s">
        <v>5235</v>
      </c>
      <c r="H1110" s="30" t="s">
        <v>5216</v>
      </c>
      <c r="I1110" s="30" t="s">
        <v>306</v>
      </c>
      <c r="J1110" s="30" t="s">
        <v>206</v>
      </c>
      <c r="K1110" s="31" t="s">
        <v>47</v>
      </c>
      <c r="L1110" s="32"/>
      <c r="M1110" s="33"/>
      <c r="N1110" s="30" t="s">
        <v>48</v>
      </c>
      <c r="O1110" s="1" t="n">
        <f aca="false">IF($B1110="",0,IF(AND(OR(Filter!$B$5="(alle)",$N1110=Filter!$B$5),OR(Filter!$E$5="(alle)",$K1110=Filter!$E$5),OR(Filter!$H$5="(alle)",$C1110=Filter!$H$5),OR(Filter!$B$7="(alle)",$E1110=Filter!$B$7),OR(Filter!$E$7="(alle)",ISNUMBER(SEARCH(Filter!$E$7,$J1110))),OR(Filter!$H$7="(alle)",ISNUMBER(SEARCH(Filter!$H$7,$I1110))),OR(Filter!$B$9="",ISNUMBER(SEARCH(Filter!$B$9,$F1110&amp;" "&amp;$G1110)))),COUNTIF($O$6:$O1109,"&gt;0")+1,0))</f>
        <v>1104</v>
      </c>
    </row>
    <row r="1111" customFormat="false" ht="51" hidden="false" customHeight="true" outlineLevel="0" collapsed="false">
      <c r="B1111" s="30" t="s">
        <v>5236</v>
      </c>
      <c r="C1111" s="30" t="s">
        <v>40</v>
      </c>
      <c r="D1111" s="30" t="s">
        <v>5237</v>
      </c>
      <c r="E1111" s="30" t="s">
        <v>344</v>
      </c>
      <c r="F1111" s="30" t="s">
        <v>5238</v>
      </c>
      <c r="G1111" s="30" t="s">
        <v>5239</v>
      </c>
      <c r="H1111" s="30" t="s">
        <v>5240</v>
      </c>
      <c r="I1111" s="30" t="s">
        <v>306</v>
      </c>
      <c r="J1111" s="30" t="s">
        <v>206</v>
      </c>
      <c r="K1111" s="31" t="s">
        <v>47</v>
      </c>
      <c r="L1111" s="32"/>
      <c r="M1111" s="33"/>
      <c r="N1111" s="30" t="s">
        <v>48</v>
      </c>
      <c r="O1111" s="1" t="n">
        <f aca="false">IF($B1111="",0,IF(AND(OR(Filter!$B$5="(alle)",$N1111=Filter!$B$5),OR(Filter!$E$5="(alle)",$K1111=Filter!$E$5),OR(Filter!$H$5="(alle)",$C1111=Filter!$H$5),OR(Filter!$B$7="(alle)",$E1111=Filter!$B$7),OR(Filter!$E$7="(alle)",ISNUMBER(SEARCH(Filter!$E$7,$J1111))),OR(Filter!$H$7="(alle)",ISNUMBER(SEARCH(Filter!$H$7,$I1111))),OR(Filter!$B$9="",ISNUMBER(SEARCH(Filter!$B$9,$F1111&amp;" "&amp;$G1111)))),COUNTIF($O$6:$O1110,"&gt;0")+1,0))</f>
        <v>1105</v>
      </c>
    </row>
    <row r="1112" customFormat="false" ht="51" hidden="false" customHeight="true" outlineLevel="0" collapsed="false">
      <c r="B1112" s="30" t="s">
        <v>5241</v>
      </c>
      <c r="C1112" s="30" t="s">
        <v>40</v>
      </c>
      <c r="D1112" s="30" t="s">
        <v>5242</v>
      </c>
      <c r="E1112" s="30" t="s">
        <v>604</v>
      </c>
      <c r="F1112" s="30" t="s">
        <v>5243</v>
      </c>
      <c r="G1112" s="30" t="s">
        <v>5244</v>
      </c>
      <c r="H1112" s="30" t="s">
        <v>5240</v>
      </c>
      <c r="I1112" s="30" t="s">
        <v>3700</v>
      </c>
      <c r="J1112" s="30" t="s">
        <v>159</v>
      </c>
      <c r="K1112" s="31" t="s">
        <v>47</v>
      </c>
      <c r="L1112" s="32"/>
      <c r="M1112" s="33"/>
      <c r="N1112" s="30" t="s">
        <v>48</v>
      </c>
      <c r="O1112" s="1" t="n">
        <f aca="false">IF($B1112="",0,IF(AND(OR(Filter!$B$5="(alle)",$N1112=Filter!$B$5),OR(Filter!$E$5="(alle)",$K1112=Filter!$E$5),OR(Filter!$H$5="(alle)",$C1112=Filter!$H$5),OR(Filter!$B$7="(alle)",$E1112=Filter!$B$7),OR(Filter!$E$7="(alle)",ISNUMBER(SEARCH(Filter!$E$7,$J1112))),OR(Filter!$H$7="(alle)",ISNUMBER(SEARCH(Filter!$H$7,$I1112))),OR(Filter!$B$9="",ISNUMBER(SEARCH(Filter!$B$9,$F1112&amp;" "&amp;$G1112)))),COUNTIF($O$6:$O1111,"&gt;0")+1,0))</f>
        <v>1106</v>
      </c>
    </row>
    <row r="1113" customFormat="false" ht="51" hidden="false" customHeight="true" outlineLevel="0" collapsed="false">
      <c r="B1113" s="30" t="s">
        <v>5245</v>
      </c>
      <c r="C1113" s="30" t="s">
        <v>40</v>
      </c>
      <c r="D1113" s="30" t="s">
        <v>5246</v>
      </c>
      <c r="E1113" s="30" t="s">
        <v>344</v>
      </c>
      <c r="F1113" s="30" t="s">
        <v>5247</v>
      </c>
      <c r="G1113" s="30" t="s">
        <v>5247</v>
      </c>
      <c r="H1113" s="30" t="s">
        <v>5240</v>
      </c>
      <c r="I1113" s="30" t="s">
        <v>306</v>
      </c>
      <c r="J1113" s="30" t="s">
        <v>206</v>
      </c>
      <c r="K1113" s="31" t="s">
        <v>47</v>
      </c>
      <c r="L1113" s="32"/>
      <c r="M1113" s="33"/>
      <c r="N1113" s="30" t="s">
        <v>48</v>
      </c>
      <c r="O1113" s="1" t="n">
        <f aca="false">IF($B1113="",0,IF(AND(OR(Filter!$B$5="(alle)",$N1113=Filter!$B$5),OR(Filter!$E$5="(alle)",$K1113=Filter!$E$5),OR(Filter!$H$5="(alle)",$C1113=Filter!$H$5),OR(Filter!$B$7="(alle)",$E1113=Filter!$B$7),OR(Filter!$E$7="(alle)",ISNUMBER(SEARCH(Filter!$E$7,$J1113))),OR(Filter!$H$7="(alle)",ISNUMBER(SEARCH(Filter!$H$7,$I1113))),OR(Filter!$B$9="",ISNUMBER(SEARCH(Filter!$B$9,$F1113&amp;" "&amp;$G1113)))),COUNTIF($O$6:$O1112,"&gt;0")+1,0))</f>
        <v>1107</v>
      </c>
    </row>
    <row r="1114" customFormat="false" ht="51" hidden="false" customHeight="true" outlineLevel="0" collapsed="false">
      <c r="B1114" s="30" t="s">
        <v>5248</v>
      </c>
      <c r="C1114" s="30" t="s">
        <v>40</v>
      </c>
      <c r="D1114" s="30" t="s">
        <v>5249</v>
      </c>
      <c r="E1114" s="30" t="s">
        <v>344</v>
      </c>
      <c r="F1114" s="30" t="s">
        <v>5250</v>
      </c>
      <c r="G1114" s="30" t="s">
        <v>5251</v>
      </c>
      <c r="H1114" s="30" t="s">
        <v>5240</v>
      </c>
      <c r="I1114" s="30" t="s">
        <v>306</v>
      </c>
      <c r="J1114" s="30" t="s">
        <v>206</v>
      </c>
      <c r="K1114" s="31" t="s">
        <v>47</v>
      </c>
      <c r="L1114" s="32"/>
      <c r="M1114" s="33"/>
      <c r="N1114" s="30" t="s">
        <v>48</v>
      </c>
      <c r="O1114" s="1" t="n">
        <f aca="false">IF($B1114="",0,IF(AND(OR(Filter!$B$5="(alle)",$N1114=Filter!$B$5),OR(Filter!$E$5="(alle)",$K1114=Filter!$E$5),OR(Filter!$H$5="(alle)",$C1114=Filter!$H$5),OR(Filter!$B$7="(alle)",$E1114=Filter!$B$7),OR(Filter!$E$7="(alle)",ISNUMBER(SEARCH(Filter!$E$7,$J1114))),OR(Filter!$H$7="(alle)",ISNUMBER(SEARCH(Filter!$H$7,$I1114))),OR(Filter!$B$9="",ISNUMBER(SEARCH(Filter!$B$9,$F1114&amp;" "&amp;$G1114)))),COUNTIF($O$6:$O1113,"&gt;0")+1,0))</f>
        <v>1108</v>
      </c>
    </row>
    <row r="1115" customFormat="false" ht="51" hidden="false" customHeight="true" outlineLevel="0" collapsed="false">
      <c r="B1115" s="30" t="s">
        <v>5252</v>
      </c>
      <c r="C1115" s="30" t="s">
        <v>40</v>
      </c>
      <c r="D1115" s="30" t="s">
        <v>5253</v>
      </c>
      <c r="E1115" s="30" t="s">
        <v>344</v>
      </c>
      <c r="F1115" s="30" t="s">
        <v>5254</v>
      </c>
      <c r="G1115" s="30" t="s">
        <v>5254</v>
      </c>
      <c r="H1115" s="30" t="s">
        <v>5240</v>
      </c>
      <c r="I1115" s="30" t="s">
        <v>306</v>
      </c>
      <c r="J1115" s="30" t="s">
        <v>206</v>
      </c>
      <c r="K1115" s="31" t="s">
        <v>47</v>
      </c>
      <c r="L1115" s="32"/>
      <c r="M1115" s="33"/>
      <c r="N1115" s="30" t="s">
        <v>48</v>
      </c>
      <c r="O1115" s="1" t="n">
        <f aca="false">IF($B1115="",0,IF(AND(OR(Filter!$B$5="(alle)",$N1115=Filter!$B$5),OR(Filter!$E$5="(alle)",$K1115=Filter!$E$5),OR(Filter!$H$5="(alle)",$C1115=Filter!$H$5),OR(Filter!$B$7="(alle)",$E1115=Filter!$B$7),OR(Filter!$E$7="(alle)",ISNUMBER(SEARCH(Filter!$E$7,$J1115))),OR(Filter!$H$7="(alle)",ISNUMBER(SEARCH(Filter!$H$7,$I1115))),OR(Filter!$B$9="",ISNUMBER(SEARCH(Filter!$B$9,$F1115&amp;" "&amp;$G1115)))),COUNTIF($O$6:$O1114,"&gt;0")+1,0))</f>
        <v>1109</v>
      </c>
    </row>
    <row r="1116" customFormat="false" ht="51" hidden="false" customHeight="true" outlineLevel="0" collapsed="false">
      <c r="B1116" s="30" t="s">
        <v>5255</v>
      </c>
      <c r="C1116" s="30" t="s">
        <v>40</v>
      </c>
      <c r="D1116" s="30" t="s">
        <v>5256</v>
      </c>
      <c r="E1116" s="30" t="s">
        <v>344</v>
      </c>
      <c r="F1116" s="30" t="s">
        <v>5257</v>
      </c>
      <c r="G1116" s="30" t="s">
        <v>5257</v>
      </c>
      <c r="H1116" s="30" t="s">
        <v>5240</v>
      </c>
      <c r="I1116" s="30" t="s">
        <v>306</v>
      </c>
      <c r="J1116" s="30" t="s">
        <v>206</v>
      </c>
      <c r="K1116" s="31" t="s">
        <v>47</v>
      </c>
      <c r="L1116" s="32"/>
      <c r="M1116" s="33"/>
      <c r="N1116" s="30" t="s">
        <v>48</v>
      </c>
      <c r="O1116" s="1" t="n">
        <f aca="false">IF($B1116="",0,IF(AND(OR(Filter!$B$5="(alle)",$N1116=Filter!$B$5),OR(Filter!$E$5="(alle)",$K1116=Filter!$E$5),OR(Filter!$H$5="(alle)",$C1116=Filter!$H$5),OR(Filter!$B$7="(alle)",$E1116=Filter!$B$7),OR(Filter!$E$7="(alle)",ISNUMBER(SEARCH(Filter!$E$7,$J1116))),OR(Filter!$H$7="(alle)",ISNUMBER(SEARCH(Filter!$H$7,$I1116))),OR(Filter!$B$9="",ISNUMBER(SEARCH(Filter!$B$9,$F1116&amp;" "&amp;$G1116)))),COUNTIF($O$6:$O1115,"&gt;0")+1,0))</f>
        <v>1110</v>
      </c>
    </row>
    <row r="1117" customFormat="false" ht="51" hidden="false" customHeight="true" outlineLevel="0" collapsed="false">
      <c r="B1117" s="30" t="s">
        <v>5258</v>
      </c>
      <c r="C1117" s="30" t="s">
        <v>40</v>
      </c>
      <c r="D1117" s="30" t="s">
        <v>5259</v>
      </c>
      <c r="E1117" s="30" t="s">
        <v>355</v>
      </c>
      <c r="F1117" s="30" t="s">
        <v>5260</v>
      </c>
      <c r="G1117" s="30" t="s">
        <v>5261</v>
      </c>
      <c r="H1117" s="30" t="s">
        <v>5240</v>
      </c>
      <c r="I1117" s="30" t="s">
        <v>306</v>
      </c>
      <c r="J1117" s="30" t="s">
        <v>206</v>
      </c>
      <c r="K1117" s="31" t="s">
        <v>47</v>
      </c>
      <c r="L1117" s="32"/>
      <c r="M1117" s="33"/>
      <c r="N1117" s="30" t="s">
        <v>48</v>
      </c>
      <c r="O1117" s="1" t="n">
        <f aca="false">IF($B1117="",0,IF(AND(OR(Filter!$B$5="(alle)",$N1117=Filter!$B$5),OR(Filter!$E$5="(alle)",$K1117=Filter!$E$5),OR(Filter!$H$5="(alle)",$C1117=Filter!$H$5),OR(Filter!$B$7="(alle)",$E1117=Filter!$B$7),OR(Filter!$E$7="(alle)",ISNUMBER(SEARCH(Filter!$E$7,$J1117))),OR(Filter!$H$7="(alle)",ISNUMBER(SEARCH(Filter!$H$7,$I1117))),OR(Filter!$B$9="",ISNUMBER(SEARCH(Filter!$B$9,$F1117&amp;" "&amp;$G1117)))),COUNTIF($O$6:$O1116,"&gt;0")+1,0))</f>
        <v>1111</v>
      </c>
    </row>
    <row r="1118" customFormat="false" ht="51" hidden="false" customHeight="true" outlineLevel="0" collapsed="false">
      <c r="B1118" s="30" t="s">
        <v>5262</v>
      </c>
      <c r="C1118" s="30" t="s">
        <v>40</v>
      </c>
      <c r="D1118" s="30" t="s">
        <v>5263</v>
      </c>
      <c r="E1118" s="30" t="s">
        <v>344</v>
      </c>
      <c r="F1118" s="30" t="s">
        <v>5264</v>
      </c>
      <c r="G1118" s="30" t="s">
        <v>5264</v>
      </c>
      <c r="H1118" s="30" t="s">
        <v>5240</v>
      </c>
      <c r="I1118" s="30" t="s">
        <v>306</v>
      </c>
      <c r="J1118" s="30" t="s">
        <v>206</v>
      </c>
      <c r="K1118" s="31" t="s">
        <v>47</v>
      </c>
      <c r="L1118" s="32"/>
      <c r="M1118" s="33"/>
      <c r="N1118" s="30" t="s">
        <v>48</v>
      </c>
      <c r="O1118" s="1" t="n">
        <f aca="false">IF($B1118="",0,IF(AND(OR(Filter!$B$5="(alle)",$N1118=Filter!$B$5),OR(Filter!$E$5="(alle)",$K1118=Filter!$E$5),OR(Filter!$H$5="(alle)",$C1118=Filter!$H$5),OR(Filter!$B$7="(alle)",$E1118=Filter!$B$7),OR(Filter!$E$7="(alle)",ISNUMBER(SEARCH(Filter!$E$7,$J1118))),OR(Filter!$H$7="(alle)",ISNUMBER(SEARCH(Filter!$H$7,$I1118))),OR(Filter!$B$9="",ISNUMBER(SEARCH(Filter!$B$9,$F1118&amp;" "&amp;$G1118)))),COUNTIF($O$6:$O1117,"&gt;0")+1,0))</f>
        <v>1112</v>
      </c>
    </row>
    <row r="1119" customFormat="false" ht="51" hidden="false" customHeight="true" outlineLevel="0" collapsed="false">
      <c r="B1119" s="30" t="s">
        <v>5265</v>
      </c>
      <c r="C1119" s="30" t="s">
        <v>40</v>
      </c>
      <c r="D1119" s="30" t="s">
        <v>5266</v>
      </c>
      <c r="E1119" s="30" t="s">
        <v>361</v>
      </c>
      <c r="F1119" s="30" t="s">
        <v>5267</v>
      </c>
      <c r="G1119" s="30" t="s">
        <v>5268</v>
      </c>
      <c r="H1119" s="30" t="s">
        <v>5269</v>
      </c>
      <c r="I1119" s="30" t="s">
        <v>306</v>
      </c>
      <c r="J1119" s="30" t="s">
        <v>206</v>
      </c>
      <c r="K1119" s="31" t="s">
        <v>47</v>
      </c>
      <c r="L1119" s="32"/>
      <c r="M1119" s="33"/>
      <c r="N1119" s="30" t="s">
        <v>48</v>
      </c>
      <c r="O1119" s="1" t="n">
        <f aca="false">IF($B1119="",0,IF(AND(OR(Filter!$B$5="(alle)",$N1119=Filter!$B$5),OR(Filter!$E$5="(alle)",$K1119=Filter!$E$5),OR(Filter!$H$5="(alle)",$C1119=Filter!$H$5),OR(Filter!$B$7="(alle)",$E1119=Filter!$B$7),OR(Filter!$E$7="(alle)",ISNUMBER(SEARCH(Filter!$E$7,$J1119))),OR(Filter!$H$7="(alle)",ISNUMBER(SEARCH(Filter!$H$7,$I1119))),OR(Filter!$B$9="",ISNUMBER(SEARCH(Filter!$B$9,$F1119&amp;" "&amp;$G1119)))),COUNTIF($O$6:$O1118,"&gt;0")+1,0))</f>
        <v>1113</v>
      </c>
    </row>
    <row r="1120" customFormat="false" ht="51" hidden="false" customHeight="true" outlineLevel="0" collapsed="false">
      <c r="B1120" s="30" t="s">
        <v>5270</v>
      </c>
      <c r="C1120" s="30" t="s">
        <v>40</v>
      </c>
      <c r="D1120" s="30" t="s">
        <v>5271</v>
      </c>
      <c r="E1120" s="30" t="s">
        <v>344</v>
      </c>
      <c r="F1120" s="30" t="s">
        <v>5272</v>
      </c>
      <c r="G1120" s="30" t="s">
        <v>5273</v>
      </c>
      <c r="H1120" s="30" t="s">
        <v>5269</v>
      </c>
      <c r="I1120" s="30" t="s">
        <v>306</v>
      </c>
      <c r="J1120" s="30" t="s">
        <v>206</v>
      </c>
      <c r="K1120" s="31" t="s">
        <v>47</v>
      </c>
      <c r="L1120" s="32"/>
      <c r="M1120" s="33"/>
      <c r="N1120" s="30" t="s">
        <v>48</v>
      </c>
      <c r="O1120" s="1" t="n">
        <f aca="false">IF($B1120="",0,IF(AND(OR(Filter!$B$5="(alle)",$N1120=Filter!$B$5),OR(Filter!$E$5="(alle)",$K1120=Filter!$E$5),OR(Filter!$H$5="(alle)",$C1120=Filter!$H$5),OR(Filter!$B$7="(alle)",$E1120=Filter!$B$7),OR(Filter!$E$7="(alle)",ISNUMBER(SEARCH(Filter!$E$7,$J1120))),OR(Filter!$H$7="(alle)",ISNUMBER(SEARCH(Filter!$H$7,$I1120))),OR(Filter!$B$9="",ISNUMBER(SEARCH(Filter!$B$9,$F1120&amp;" "&amp;$G1120)))),COUNTIF($O$6:$O1119,"&gt;0")+1,0))</f>
        <v>1114</v>
      </c>
    </row>
    <row r="1121" customFormat="false" ht="51" hidden="false" customHeight="true" outlineLevel="0" collapsed="false">
      <c r="B1121" s="30" t="s">
        <v>5274</v>
      </c>
      <c r="C1121" s="30" t="s">
        <v>40</v>
      </c>
      <c r="D1121" s="30" t="s">
        <v>5275</v>
      </c>
      <c r="E1121" s="30" t="s">
        <v>547</v>
      </c>
      <c r="F1121" s="30" t="s">
        <v>5276</v>
      </c>
      <c r="G1121" s="30" t="s">
        <v>5276</v>
      </c>
      <c r="H1121" s="30" t="s">
        <v>5277</v>
      </c>
      <c r="I1121" s="30" t="s">
        <v>476</v>
      </c>
      <c r="J1121" s="30" t="s">
        <v>476</v>
      </c>
      <c r="K1121" s="31" t="s">
        <v>47</v>
      </c>
      <c r="L1121" s="32"/>
      <c r="M1121" s="33"/>
      <c r="N1121" s="30" t="s">
        <v>48</v>
      </c>
      <c r="O1121" s="1" t="n">
        <f aca="false">IF($B1121="",0,IF(AND(OR(Filter!$B$5="(alle)",$N1121=Filter!$B$5),OR(Filter!$E$5="(alle)",$K1121=Filter!$E$5),OR(Filter!$H$5="(alle)",$C1121=Filter!$H$5),OR(Filter!$B$7="(alle)",$E1121=Filter!$B$7),OR(Filter!$E$7="(alle)",ISNUMBER(SEARCH(Filter!$E$7,$J1121))),OR(Filter!$H$7="(alle)",ISNUMBER(SEARCH(Filter!$H$7,$I1121))),OR(Filter!$B$9="",ISNUMBER(SEARCH(Filter!$B$9,$F1121&amp;" "&amp;$G1121)))),COUNTIF($O$6:$O1120,"&gt;0")+1,0))</f>
        <v>1115</v>
      </c>
    </row>
    <row r="1122" customFormat="false" ht="51" hidden="false" customHeight="true" outlineLevel="0" collapsed="false">
      <c r="B1122" s="30" t="s">
        <v>5278</v>
      </c>
      <c r="C1122" s="30" t="s">
        <v>40</v>
      </c>
      <c r="D1122" s="30" t="s">
        <v>5279</v>
      </c>
      <c r="E1122" s="30" t="s">
        <v>604</v>
      </c>
      <c r="F1122" s="30" t="s">
        <v>5280</v>
      </c>
      <c r="G1122" s="30" t="s">
        <v>5281</v>
      </c>
      <c r="H1122" s="30" t="s">
        <v>5282</v>
      </c>
      <c r="I1122" s="30" t="s">
        <v>3700</v>
      </c>
      <c r="J1122" s="30" t="s">
        <v>159</v>
      </c>
      <c r="K1122" s="31" t="s">
        <v>47</v>
      </c>
      <c r="L1122" s="32"/>
      <c r="M1122" s="33"/>
      <c r="N1122" s="30" t="s">
        <v>48</v>
      </c>
      <c r="O1122" s="1" t="n">
        <f aca="false">IF($B1122="",0,IF(AND(OR(Filter!$B$5="(alle)",$N1122=Filter!$B$5),OR(Filter!$E$5="(alle)",$K1122=Filter!$E$5),OR(Filter!$H$5="(alle)",$C1122=Filter!$H$5),OR(Filter!$B$7="(alle)",$E1122=Filter!$B$7),OR(Filter!$E$7="(alle)",ISNUMBER(SEARCH(Filter!$E$7,$J1122))),OR(Filter!$H$7="(alle)",ISNUMBER(SEARCH(Filter!$H$7,$I1122))),OR(Filter!$B$9="",ISNUMBER(SEARCH(Filter!$B$9,$F1122&amp;" "&amp;$G1122)))),COUNTIF($O$6:$O1121,"&gt;0")+1,0))</f>
        <v>1116</v>
      </c>
    </row>
    <row r="1123" customFormat="false" ht="51" hidden="false" customHeight="true" outlineLevel="0" collapsed="false">
      <c r="B1123" s="30" t="s">
        <v>5283</v>
      </c>
      <c r="C1123" s="30" t="s">
        <v>40</v>
      </c>
      <c r="D1123" s="30" t="s">
        <v>5284</v>
      </c>
      <c r="E1123" s="30" t="s">
        <v>344</v>
      </c>
      <c r="F1123" s="30" t="s">
        <v>5285</v>
      </c>
      <c r="G1123" s="30" t="s">
        <v>5286</v>
      </c>
      <c r="H1123" s="30" t="s">
        <v>5282</v>
      </c>
      <c r="I1123" s="30" t="s">
        <v>306</v>
      </c>
      <c r="J1123" s="30" t="s">
        <v>206</v>
      </c>
      <c r="K1123" s="31" t="s">
        <v>47</v>
      </c>
      <c r="L1123" s="32"/>
      <c r="M1123" s="33"/>
      <c r="N1123" s="30" t="s">
        <v>48</v>
      </c>
      <c r="O1123" s="1" t="n">
        <f aca="false">IF($B1123="",0,IF(AND(OR(Filter!$B$5="(alle)",$N1123=Filter!$B$5),OR(Filter!$E$5="(alle)",$K1123=Filter!$E$5),OR(Filter!$H$5="(alle)",$C1123=Filter!$H$5),OR(Filter!$B$7="(alle)",$E1123=Filter!$B$7),OR(Filter!$E$7="(alle)",ISNUMBER(SEARCH(Filter!$E$7,$J1123))),OR(Filter!$H$7="(alle)",ISNUMBER(SEARCH(Filter!$H$7,$I1123))),OR(Filter!$B$9="",ISNUMBER(SEARCH(Filter!$B$9,$F1123&amp;" "&amp;$G1123)))),COUNTIF($O$6:$O1122,"&gt;0")+1,0))</f>
        <v>1117</v>
      </c>
    </row>
    <row r="1124" customFormat="false" ht="51" hidden="false" customHeight="true" outlineLevel="0" collapsed="false">
      <c r="B1124" s="30" t="s">
        <v>5287</v>
      </c>
      <c r="C1124" s="30" t="s">
        <v>40</v>
      </c>
      <c r="D1124" s="30" t="s">
        <v>5288</v>
      </c>
      <c r="E1124" s="30" t="s">
        <v>344</v>
      </c>
      <c r="F1124" s="30" t="s">
        <v>5289</v>
      </c>
      <c r="G1124" s="30" t="s">
        <v>5290</v>
      </c>
      <c r="H1124" s="30" t="s">
        <v>5282</v>
      </c>
      <c r="I1124" s="30" t="s">
        <v>306</v>
      </c>
      <c r="J1124" s="30" t="s">
        <v>206</v>
      </c>
      <c r="K1124" s="31" t="s">
        <v>47</v>
      </c>
      <c r="L1124" s="32"/>
      <c r="M1124" s="33"/>
      <c r="N1124" s="30" t="s">
        <v>48</v>
      </c>
      <c r="O1124" s="1" t="n">
        <f aca="false">IF($B1124="",0,IF(AND(OR(Filter!$B$5="(alle)",$N1124=Filter!$B$5),OR(Filter!$E$5="(alle)",$K1124=Filter!$E$5),OR(Filter!$H$5="(alle)",$C1124=Filter!$H$5),OR(Filter!$B$7="(alle)",$E1124=Filter!$B$7),OR(Filter!$E$7="(alle)",ISNUMBER(SEARCH(Filter!$E$7,$J1124))),OR(Filter!$H$7="(alle)",ISNUMBER(SEARCH(Filter!$H$7,$I1124))),OR(Filter!$B$9="",ISNUMBER(SEARCH(Filter!$B$9,$F1124&amp;" "&amp;$G1124)))),COUNTIF($O$6:$O1123,"&gt;0")+1,0))</f>
        <v>1118</v>
      </c>
    </row>
    <row r="1125" customFormat="false" ht="51" hidden="false" customHeight="true" outlineLevel="0" collapsed="false">
      <c r="B1125" s="30" t="s">
        <v>5291</v>
      </c>
      <c r="C1125" s="30" t="s">
        <v>40</v>
      </c>
      <c r="D1125" s="30" t="s">
        <v>5292</v>
      </c>
      <c r="E1125" s="30" t="s">
        <v>344</v>
      </c>
      <c r="F1125" s="30" t="s">
        <v>5293</v>
      </c>
      <c r="G1125" s="30" t="s">
        <v>5293</v>
      </c>
      <c r="H1125" s="30" t="s">
        <v>5294</v>
      </c>
      <c r="I1125" s="30" t="s">
        <v>306</v>
      </c>
      <c r="J1125" s="30" t="s">
        <v>206</v>
      </c>
      <c r="K1125" s="31" t="s">
        <v>47</v>
      </c>
      <c r="L1125" s="32"/>
      <c r="M1125" s="33"/>
      <c r="N1125" s="30" t="s">
        <v>48</v>
      </c>
      <c r="O1125" s="1" t="n">
        <f aca="false">IF($B1125="",0,IF(AND(OR(Filter!$B$5="(alle)",$N1125=Filter!$B$5),OR(Filter!$E$5="(alle)",$K1125=Filter!$E$5),OR(Filter!$H$5="(alle)",$C1125=Filter!$H$5),OR(Filter!$B$7="(alle)",$E1125=Filter!$B$7),OR(Filter!$E$7="(alle)",ISNUMBER(SEARCH(Filter!$E$7,$J1125))),OR(Filter!$H$7="(alle)",ISNUMBER(SEARCH(Filter!$H$7,$I1125))),OR(Filter!$B$9="",ISNUMBER(SEARCH(Filter!$B$9,$F1125&amp;" "&amp;$G1125)))),COUNTIF($O$6:$O1124,"&gt;0")+1,0))</f>
        <v>1119</v>
      </c>
    </row>
    <row r="1126" customFormat="false" ht="51" hidden="false" customHeight="true" outlineLevel="0" collapsed="false">
      <c r="B1126" s="30" t="s">
        <v>5295</v>
      </c>
      <c r="C1126" s="30" t="s">
        <v>40</v>
      </c>
      <c r="D1126" s="30" t="s">
        <v>5296</v>
      </c>
      <c r="E1126" s="30" t="s">
        <v>547</v>
      </c>
      <c r="F1126" s="30" t="s">
        <v>5297</v>
      </c>
      <c r="G1126" s="30" t="s">
        <v>5298</v>
      </c>
      <c r="H1126" s="30" t="s">
        <v>5299</v>
      </c>
      <c r="I1126" s="30" t="s">
        <v>476</v>
      </c>
      <c r="J1126" s="30" t="s">
        <v>476</v>
      </c>
      <c r="K1126" s="31" t="s">
        <v>47</v>
      </c>
      <c r="L1126" s="32"/>
      <c r="M1126" s="33"/>
      <c r="N1126" s="30" t="s">
        <v>48</v>
      </c>
      <c r="O1126" s="1" t="n">
        <f aca="false">IF($B1126="",0,IF(AND(OR(Filter!$B$5="(alle)",$N1126=Filter!$B$5),OR(Filter!$E$5="(alle)",$K1126=Filter!$E$5),OR(Filter!$H$5="(alle)",$C1126=Filter!$H$5),OR(Filter!$B$7="(alle)",$E1126=Filter!$B$7),OR(Filter!$E$7="(alle)",ISNUMBER(SEARCH(Filter!$E$7,$J1126))),OR(Filter!$H$7="(alle)",ISNUMBER(SEARCH(Filter!$H$7,$I1126))),OR(Filter!$B$9="",ISNUMBER(SEARCH(Filter!$B$9,$F1126&amp;" "&amp;$G1126)))),COUNTIF($O$6:$O1125,"&gt;0")+1,0))</f>
        <v>1120</v>
      </c>
    </row>
    <row r="1127" customFormat="false" ht="51" hidden="false" customHeight="true" outlineLevel="0" collapsed="false">
      <c r="B1127" s="30" t="s">
        <v>5300</v>
      </c>
      <c r="C1127" s="30" t="s">
        <v>40</v>
      </c>
      <c r="D1127" s="30" t="s">
        <v>5301</v>
      </c>
      <c r="E1127" s="30" t="s">
        <v>344</v>
      </c>
      <c r="F1127" s="30" t="s">
        <v>5302</v>
      </c>
      <c r="G1127" s="30" t="s">
        <v>5303</v>
      </c>
      <c r="H1127" s="30" t="s">
        <v>5294</v>
      </c>
      <c r="I1127" s="30" t="s">
        <v>306</v>
      </c>
      <c r="J1127" s="30" t="s">
        <v>206</v>
      </c>
      <c r="K1127" s="31" t="s">
        <v>47</v>
      </c>
      <c r="L1127" s="32"/>
      <c r="M1127" s="33"/>
      <c r="N1127" s="30" t="s">
        <v>48</v>
      </c>
      <c r="O1127" s="1" t="n">
        <f aca="false">IF($B1127="",0,IF(AND(OR(Filter!$B$5="(alle)",$N1127=Filter!$B$5),OR(Filter!$E$5="(alle)",$K1127=Filter!$E$5),OR(Filter!$H$5="(alle)",$C1127=Filter!$H$5),OR(Filter!$B$7="(alle)",$E1127=Filter!$B$7),OR(Filter!$E$7="(alle)",ISNUMBER(SEARCH(Filter!$E$7,$J1127))),OR(Filter!$H$7="(alle)",ISNUMBER(SEARCH(Filter!$H$7,$I1127))),OR(Filter!$B$9="",ISNUMBER(SEARCH(Filter!$B$9,$F1127&amp;" "&amp;$G1127)))),COUNTIF($O$6:$O1126,"&gt;0")+1,0))</f>
        <v>1121</v>
      </c>
    </row>
    <row r="1128" customFormat="false" ht="51" hidden="false" customHeight="true" outlineLevel="0" collapsed="false">
      <c r="B1128" s="30" t="s">
        <v>5304</v>
      </c>
      <c r="C1128" s="30" t="s">
        <v>40</v>
      </c>
      <c r="D1128" s="30" t="s">
        <v>5305</v>
      </c>
      <c r="E1128" s="30" t="s">
        <v>604</v>
      </c>
      <c r="F1128" s="30" t="s">
        <v>5306</v>
      </c>
      <c r="G1128" s="30" t="s">
        <v>5307</v>
      </c>
      <c r="H1128" s="30" t="s">
        <v>5308</v>
      </c>
      <c r="I1128" s="30" t="s">
        <v>3700</v>
      </c>
      <c r="J1128" s="30" t="s">
        <v>159</v>
      </c>
      <c r="K1128" s="31" t="s">
        <v>47</v>
      </c>
      <c r="L1128" s="32"/>
      <c r="M1128" s="33"/>
      <c r="N1128" s="30" t="s">
        <v>48</v>
      </c>
      <c r="O1128" s="1" t="n">
        <f aca="false">IF($B1128="",0,IF(AND(OR(Filter!$B$5="(alle)",$N1128=Filter!$B$5),OR(Filter!$E$5="(alle)",$K1128=Filter!$E$5),OR(Filter!$H$5="(alle)",$C1128=Filter!$H$5),OR(Filter!$B$7="(alle)",$E1128=Filter!$B$7),OR(Filter!$E$7="(alle)",ISNUMBER(SEARCH(Filter!$E$7,$J1128))),OR(Filter!$H$7="(alle)",ISNUMBER(SEARCH(Filter!$H$7,$I1128))),OR(Filter!$B$9="",ISNUMBER(SEARCH(Filter!$B$9,$F1128&amp;" "&amp;$G1128)))),COUNTIF($O$6:$O1127,"&gt;0")+1,0))</f>
        <v>1122</v>
      </c>
    </row>
    <row r="1129" customFormat="false" ht="51" hidden="false" customHeight="true" outlineLevel="0" collapsed="false">
      <c r="B1129" s="30" t="s">
        <v>5309</v>
      </c>
      <c r="C1129" s="30" t="s">
        <v>40</v>
      </c>
      <c r="D1129" s="30" t="s">
        <v>5310</v>
      </c>
      <c r="E1129" s="30" t="s">
        <v>547</v>
      </c>
      <c r="F1129" s="30" t="s">
        <v>5311</v>
      </c>
      <c r="G1129" s="30" t="s">
        <v>5312</v>
      </c>
      <c r="H1129" s="30" t="s">
        <v>5313</v>
      </c>
      <c r="I1129" s="30" t="s">
        <v>476</v>
      </c>
      <c r="J1129" s="30" t="s">
        <v>476</v>
      </c>
      <c r="K1129" s="31" t="s">
        <v>47</v>
      </c>
      <c r="L1129" s="32"/>
      <c r="M1129" s="33"/>
      <c r="N1129" s="30" t="s">
        <v>48</v>
      </c>
      <c r="O1129" s="1" t="n">
        <f aca="false">IF($B1129="",0,IF(AND(OR(Filter!$B$5="(alle)",$N1129=Filter!$B$5),OR(Filter!$E$5="(alle)",$K1129=Filter!$E$5),OR(Filter!$H$5="(alle)",$C1129=Filter!$H$5),OR(Filter!$B$7="(alle)",$E1129=Filter!$B$7),OR(Filter!$E$7="(alle)",ISNUMBER(SEARCH(Filter!$E$7,$J1129))),OR(Filter!$H$7="(alle)",ISNUMBER(SEARCH(Filter!$H$7,$I1129))),OR(Filter!$B$9="",ISNUMBER(SEARCH(Filter!$B$9,$F1129&amp;" "&amp;$G1129)))),COUNTIF($O$6:$O1128,"&gt;0")+1,0))</f>
        <v>1123</v>
      </c>
    </row>
    <row r="1130" customFormat="false" ht="51" hidden="false" customHeight="true" outlineLevel="0" collapsed="false">
      <c r="B1130" s="30" t="s">
        <v>5314</v>
      </c>
      <c r="C1130" s="30" t="s">
        <v>40</v>
      </c>
      <c r="D1130" s="30" t="s">
        <v>5315</v>
      </c>
      <c r="E1130" s="30" t="s">
        <v>547</v>
      </c>
      <c r="F1130" s="30" t="s">
        <v>5316</v>
      </c>
      <c r="G1130" s="30" t="s">
        <v>5317</v>
      </c>
      <c r="H1130" s="30" t="s">
        <v>5313</v>
      </c>
      <c r="I1130" s="30" t="s">
        <v>476</v>
      </c>
      <c r="J1130" s="30" t="s">
        <v>476</v>
      </c>
      <c r="K1130" s="31" t="s">
        <v>47</v>
      </c>
      <c r="L1130" s="32"/>
      <c r="M1130" s="33"/>
      <c r="N1130" s="30" t="s">
        <v>48</v>
      </c>
      <c r="O1130" s="1" t="n">
        <f aca="false">IF($B1130="",0,IF(AND(OR(Filter!$B$5="(alle)",$N1130=Filter!$B$5),OR(Filter!$E$5="(alle)",$K1130=Filter!$E$5),OR(Filter!$H$5="(alle)",$C1130=Filter!$H$5),OR(Filter!$B$7="(alle)",$E1130=Filter!$B$7),OR(Filter!$E$7="(alle)",ISNUMBER(SEARCH(Filter!$E$7,$J1130))),OR(Filter!$H$7="(alle)",ISNUMBER(SEARCH(Filter!$H$7,$I1130))),OR(Filter!$B$9="",ISNUMBER(SEARCH(Filter!$B$9,$F1130&amp;" "&amp;$G1130)))),COUNTIF($O$6:$O1129,"&gt;0")+1,0))</f>
        <v>1124</v>
      </c>
    </row>
    <row r="1131" customFormat="false" ht="51" hidden="false" customHeight="true" outlineLevel="0" collapsed="false">
      <c r="B1131" s="30" t="s">
        <v>5318</v>
      </c>
      <c r="C1131" s="30" t="s">
        <v>40</v>
      </c>
      <c r="D1131" s="30" t="s">
        <v>5319</v>
      </c>
      <c r="E1131" s="30" t="s">
        <v>547</v>
      </c>
      <c r="F1131" s="30" t="s">
        <v>5320</v>
      </c>
      <c r="G1131" s="30" t="s">
        <v>5320</v>
      </c>
      <c r="H1131" s="30" t="s">
        <v>5313</v>
      </c>
      <c r="I1131" s="30" t="s">
        <v>476</v>
      </c>
      <c r="J1131" s="30" t="s">
        <v>476</v>
      </c>
      <c r="K1131" s="31" t="s">
        <v>47</v>
      </c>
      <c r="L1131" s="32"/>
      <c r="M1131" s="33"/>
      <c r="N1131" s="30" t="s">
        <v>48</v>
      </c>
      <c r="O1131" s="1" t="n">
        <f aca="false">IF($B1131="",0,IF(AND(OR(Filter!$B$5="(alle)",$N1131=Filter!$B$5),OR(Filter!$E$5="(alle)",$K1131=Filter!$E$5),OR(Filter!$H$5="(alle)",$C1131=Filter!$H$5),OR(Filter!$B$7="(alle)",$E1131=Filter!$B$7),OR(Filter!$E$7="(alle)",ISNUMBER(SEARCH(Filter!$E$7,$J1131))),OR(Filter!$H$7="(alle)",ISNUMBER(SEARCH(Filter!$H$7,$I1131))),OR(Filter!$B$9="",ISNUMBER(SEARCH(Filter!$B$9,$F1131&amp;" "&amp;$G1131)))),COUNTIF($O$6:$O1130,"&gt;0")+1,0))</f>
        <v>1125</v>
      </c>
    </row>
    <row r="1132" customFormat="false" ht="51" hidden="false" customHeight="true" outlineLevel="0" collapsed="false">
      <c r="B1132" s="30" t="s">
        <v>5321</v>
      </c>
      <c r="C1132" s="30" t="s">
        <v>40</v>
      </c>
      <c r="D1132" s="30" t="s">
        <v>5322</v>
      </c>
      <c r="E1132" s="30" t="s">
        <v>344</v>
      </c>
      <c r="F1132" s="30" t="s">
        <v>5323</v>
      </c>
      <c r="G1132" s="30" t="s">
        <v>5324</v>
      </c>
      <c r="H1132" s="30" t="s">
        <v>5308</v>
      </c>
      <c r="I1132" s="30" t="s">
        <v>306</v>
      </c>
      <c r="J1132" s="30" t="s">
        <v>206</v>
      </c>
      <c r="K1132" s="31" t="s">
        <v>47</v>
      </c>
      <c r="L1132" s="32"/>
      <c r="M1132" s="33"/>
      <c r="N1132" s="30" t="s">
        <v>48</v>
      </c>
      <c r="O1132" s="1" t="n">
        <f aca="false">IF($B1132="",0,IF(AND(OR(Filter!$B$5="(alle)",$N1132=Filter!$B$5),OR(Filter!$E$5="(alle)",$K1132=Filter!$E$5),OR(Filter!$H$5="(alle)",$C1132=Filter!$H$5),OR(Filter!$B$7="(alle)",$E1132=Filter!$B$7),OR(Filter!$E$7="(alle)",ISNUMBER(SEARCH(Filter!$E$7,$J1132))),OR(Filter!$H$7="(alle)",ISNUMBER(SEARCH(Filter!$H$7,$I1132))),OR(Filter!$B$9="",ISNUMBER(SEARCH(Filter!$B$9,$F1132&amp;" "&amp;$G1132)))),COUNTIF($O$6:$O1131,"&gt;0")+1,0))</f>
        <v>1126</v>
      </c>
    </row>
    <row r="1133" customFormat="false" ht="51" hidden="false" customHeight="true" outlineLevel="0" collapsed="false">
      <c r="B1133" s="30" t="s">
        <v>5325</v>
      </c>
      <c r="C1133" s="30" t="s">
        <v>40</v>
      </c>
      <c r="D1133" s="30" t="s">
        <v>5326</v>
      </c>
      <c r="E1133" s="30" t="s">
        <v>344</v>
      </c>
      <c r="F1133" s="30" t="s">
        <v>5327</v>
      </c>
      <c r="G1133" s="30" t="s">
        <v>5328</v>
      </c>
      <c r="H1133" s="30" t="s">
        <v>5308</v>
      </c>
      <c r="I1133" s="30" t="s">
        <v>306</v>
      </c>
      <c r="J1133" s="30" t="s">
        <v>206</v>
      </c>
      <c r="K1133" s="31" t="s">
        <v>47</v>
      </c>
      <c r="L1133" s="32"/>
      <c r="M1133" s="33"/>
      <c r="N1133" s="30" t="s">
        <v>48</v>
      </c>
      <c r="O1133" s="1" t="n">
        <f aca="false">IF($B1133="",0,IF(AND(OR(Filter!$B$5="(alle)",$N1133=Filter!$B$5),OR(Filter!$E$5="(alle)",$K1133=Filter!$E$5),OR(Filter!$H$5="(alle)",$C1133=Filter!$H$5),OR(Filter!$B$7="(alle)",$E1133=Filter!$B$7),OR(Filter!$E$7="(alle)",ISNUMBER(SEARCH(Filter!$E$7,$J1133))),OR(Filter!$H$7="(alle)",ISNUMBER(SEARCH(Filter!$H$7,$I1133))),OR(Filter!$B$9="",ISNUMBER(SEARCH(Filter!$B$9,$F1133&amp;" "&amp;$G1133)))),COUNTIF($O$6:$O1132,"&gt;0")+1,0))</f>
        <v>1127</v>
      </c>
    </row>
    <row r="1134" customFormat="false" ht="51" hidden="false" customHeight="true" outlineLevel="0" collapsed="false">
      <c r="B1134" s="30" t="s">
        <v>5329</v>
      </c>
      <c r="C1134" s="30" t="s">
        <v>40</v>
      </c>
      <c r="D1134" s="30" t="s">
        <v>5330</v>
      </c>
      <c r="E1134" s="30" t="s">
        <v>344</v>
      </c>
      <c r="F1134" s="30" t="s">
        <v>5331</v>
      </c>
      <c r="G1134" s="30" t="s">
        <v>5332</v>
      </c>
      <c r="H1134" s="30" t="s">
        <v>5333</v>
      </c>
      <c r="I1134" s="30" t="s">
        <v>306</v>
      </c>
      <c r="J1134" s="30" t="s">
        <v>206</v>
      </c>
      <c r="K1134" s="31" t="s">
        <v>47</v>
      </c>
      <c r="L1134" s="32"/>
      <c r="M1134" s="33"/>
      <c r="N1134" s="30" t="s">
        <v>48</v>
      </c>
      <c r="O1134" s="1" t="n">
        <f aca="false">IF($B1134="",0,IF(AND(OR(Filter!$B$5="(alle)",$N1134=Filter!$B$5),OR(Filter!$E$5="(alle)",$K1134=Filter!$E$5),OR(Filter!$H$5="(alle)",$C1134=Filter!$H$5),OR(Filter!$B$7="(alle)",$E1134=Filter!$B$7),OR(Filter!$E$7="(alle)",ISNUMBER(SEARCH(Filter!$E$7,$J1134))),OR(Filter!$H$7="(alle)",ISNUMBER(SEARCH(Filter!$H$7,$I1134))),OR(Filter!$B$9="",ISNUMBER(SEARCH(Filter!$B$9,$F1134&amp;" "&amp;$G1134)))),COUNTIF($O$6:$O1133,"&gt;0")+1,0))</f>
        <v>1128</v>
      </c>
    </row>
    <row r="1135" customFormat="false" ht="51" hidden="false" customHeight="true" outlineLevel="0" collapsed="false">
      <c r="B1135" s="30" t="s">
        <v>5334</v>
      </c>
      <c r="C1135" s="30" t="s">
        <v>40</v>
      </c>
      <c r="D1135" s="30" t="s">
        <v>5335</v>
      </c>
      <c r="E1135" s="30" t="s">
        <v>344</v>
      </c>
      <c r="F1135" s="30" t="s">
        <v>5336</v>
      </c>
      <c r="G1135" s="30" t="s">
        <v>5337</v>
      </c>
      <c r="H1135" s="30" t="s">
        <v>5333</v>
      </c>
      <c r="I1135" s="30" t="s">
        <v>306</v>
      </c>
      <c r="J1135" s="30" t="s">
        <v>206</v>
      </c>
      <c r="K1135" s="31" t="s">
        <v>47</v>
      </c>
      <c r="L1135" s="32"/>
      <c r="M1135" s="33"/>
      <c r="N1135" s="30" t="s">
        <v>48</v>
      </c>
      <c r="O1135" s="1" t="n">
        <f aca="false">IF($B1135="",0,IF(AND(OR(Filter!$B$5="(alle)",$N1135=Filter!$B$5),OR(Filter!$E$5="(alle)",$K1135=Filter!$E$5),OR(Filter!$H$5="(alle)",$C1135=Filter!$H$5),OR(Filter!$B$7="(alle)",$E1135=Filter!$B$7),OR(Filter!$E$7="(alle)",ISNUMBER(SEARCH(Filter!$E$7,$J1135))),OR(Filter!$H$7="(alle)",ISNUMBER(SEARCH(Filter!$H$7,$I1135))),OR(Filter!$B$9="",ISNUMBER(SEARCH(Filter!$B$9,$F1135&amp;" "&amp;$G1135)))),COUNTIF($O$6:$O1134,"&gt;0")+1,0))</f>
        <v>1129</v>
      </c>
    </row>
    <row r="1136" customFormat="false" ht="51" hidden="false" customHeight="true" outlineLevel="0" collapsed="false">
      <c r="B1136" s="30" t="s">
        <v>5338</v>
      </c>
      <c r="C1136" s="30" t="s">
        <v>40</v>
      </c>
      <c r="D1136" s="30" t="s">
        <v>5339</v>
      </c>
      <c r="E1136" s="30" t="s">
        <v>344</v>
      </c>
      <c r="F1136" s="30" t="s">
        <v>5340</v>
      </c>
      <c r="G1136" s="30" t="s">
        <v>5341</v>
      </c>
      <c r="H1136" s="30" t="s">
        <v>5333</v>
      </c>
      <c r="I1136" s="30" t="s">
        <v>306</v>
      </c>
      <c r="J1136" s="30" t="s">
        <v>206</v>
      </c>
      <c r="K1136" s="31" t="s">
        <v>47</v>
      </c>
      <c r="L1136" s="32"/>
      <c r="M1136" s="33"/>
      <c r="N1136" s="30" t="s">
        <v>48</v>
      </c>
      <c r="O1136" s="1" t="n">
        <f aca="false">IF($B1136="",0,IF(AND(OR(Filter!$B$5="(alle)",$N1136=Filter!$B$5),OR(Filter!$E$5="(alle)",$K1136=Filter!$E$5),OR(Filter!$H$5="(alle)",$C1136=Filter!$H$5),OR(Filter!$B$7="(alle)",$E1136=Filter!$B$7),OR(Filter!$E$7="(alle)",ISNUMBER(SEARCH(Filter!$E$7,$J1136))),OR(Filter!$H$7="(alle)",ISNUMBER(SEARCH(Filter!$H$7,$I1136))),OR(Filter!$B$9="",ISNUMBER(SEARCH(Filter!$B$9,$F1136&amp;" "&amp;$G1136)))),COUNTIF($O$6:$O1135,"&gt;0")+1,0))</f>
        <v>1130</v>
      </c>
    </row>
    <row r="1137" customFormat="false" ht="51" hidden="false" customHeight="true" outlineLevel="0" collapsed="false">
      <c r="B1137" s="30" t="s">
        <v>5342</v>
      </c>
      <c r="C1137" s="30" t="s">
        <v>40</v>
      </c>
      <c r="D1137" s="30" t="s">
        <v>5343</v>
      </c>
      <c r="E1137" s="30" t="s">
        <v>344</v>
      </c>
      <c r="F1137" s="30" t="s">
        <v>5344</v>
      </c>
      <c r="G1137" s="30" t="s">
        <v>5345</v>
      </c>
      <c r="H1137" s="30" t="s">
        <v>5346</v>
      </c>
      <c r="I1137" s="30" t="s">
        <v>306</v>
      </c>
      <c r="J1137" s="30" t="s">
        <v>206</v>
      </c>
      <c r="K1137" s="31" t="s">
        <v>47</v>
      </c>
      <c r="L1137" s="32"/>
      <c r="M1137" s="33"/>
      <c r="N1137" s="30" t="s">
        <v>48</v>
      </c>
      <c r="O1137" s="1" t="n">
        <f aca="false">IF($B1137="",0,IF(AND(OR(Filter!$B$5="(alle)",$N1137=Filter!$B$5),OR(Filter!$E$5="(alle)",$K1137=Filter!$E$5),OR(Filter!$H$5="(alle)",$C1137=Filter!$H$5),OR(Filter!$B$7="(alle)",$E1137=Filter!$B$7),OR(Filter!$E$7="(alle)",ISNUMBER(SEARCH(Filter!$E$7,$J1137))),OR(Filter!$H$7="(alle)",ISNUMBER(SEARCH(Filter!$H$7,$I1137))),OR(Filter!$B$9="",ISNUMBER(SEARCH(Filter!$B$9,$F1137&amp;" "&amp;$G1137)))),COUNTIF($O$6:$O1136,"&gt;0")+1,0))</f>
        <v>1131</v>
      </c>
    </row>
    <row r="1138" customFormat="false" ht="51" hidden="false" customHeight="true" outlineLevel="0" collapsed="false">
      <c r="B1138" s="30" t="s">
        <v>5347</v>
      </c>
      <c r="C1138" s="30" t="s">
        <v>40</v>
      </c>
      <c r="D1138" s="30" t="s">
        <v>5348</v>
      </c>
      <c r="E1138" s="30" t="s">
        <v>344</v>
      </c>
      <c r="F1138" s="30" t="s">
        <v>5349</v>
      </c>
      <c r="G1138" s="30" t="s">
        <v>5350</v>
      </c>
      <c r="H1138" s="30" t="s">
        <v>5346</v>
      </c>
      <c r="I1138" s="30" t="s">
        <v>306</v>
      </c>
      <c r="J1138" s="30" t="s">
        <v>206</v>
      </c>
      <c r="K1138" s="31" t="s">
        <v>47</v>
      </c>
      <c r="L1138" s="32"/>
      <c r="M1138" s="33"/>
      <c r="N1138" s="30" t="s">
        <v>48</v>
      </c>
      <c r="O1138" s="1" t="n">
        <f aca="false">IF($B1138="",0,IF(AND(OR(Filter!$B$5="(alle)",$N1138=Filter!$B$5),OR(Filter!$E$5="(alle)",$K1138=Filter!$E$5),OR(Filter!$H$5="(alle)",$C1138=Filter!$H$5),OR(Filter!$B$7="(alle)",$E1138=Filter!$B$7),OR(Filter!$E$7="(alle)",ISNUMBER(SEARCH(Filter!$E$7,$J1138))),OR(Filter!$H$7="(alle)",ISNUMBER(SEARCH(Filter!$H$7,$I1138))),OR(Filter!$B$9="",ISNUMBER(SEARCH(Filter!$B$9,$F1138&amp;" "&amp;$G1138)))),COUNTIF($O$6:$O1137,"&gt;0")+1,0))</f>
        <v>1132</v>
      </c>
    </row>
    <row r="1139" customFormat="false" ht="51" hidden="false" customHeight="true" outlineLevel="0" collapsed="false">
      <c r="B1139" s="30" t="s">
        <v>5351</v>
      </c>
      <c r="C1139" s="30" t="s">
        <v>40</v>
      </c>
      <c r="D1139" s="30" t="s">
        <v>5352</v>
      </c>
      <c r="E1139" s="30" t="s">
        <v>344</v>
      </c>
      <c r="F1139" s="30" t="s">
        <v>5353</v>
      </c>
      <c r="G1139" s="30" t="s">
        <v>5354</v>
      </c>
      <c r="H1139" s="30" t="s">
        <v>5346</v>
      </c>
      <c r="I1139" s="30" t="s">
        <v>306</v>
      </c>
      <c r="J1139" s="30" t="s">
        <v>206</v>
      </c>
      <c r="K1139" s="31" t="s">
        <v>47</v>
      </c>
      <c r="L1139" s="32"/>
      <c r="M1139" s="33"/>
      <c r="N1139" s="30" t="s">
        <v>48</v>
      </c>
      <c r="O1139" s="1" t="n">
        <f aca="false">IF($B1139="",0,IF(AND(OR(Filter!$B$5="(alle)",$N1139=Filter!$B$5),OR(Filter!$E$5="(alle)",$K1139=Filter!$E$5),OR(Filter!$H$5="(alle)",$C1139=Filter!$H$5),OR(Filter!$B$7="(alle)",$E1139=Filter!$B$7),OR(Filter!$E$7="(alle)",ISNUMBER(SEARCH(Filter!$E$7,$J1139))),OR(Filter!$H$7="(alle)",ISNUMBER(SEARCH(Filter!$H$7,$I1139))),OR(Filter!$B$9="",ISNUMBER(SEARCH(Filter!$B$9,$F1139&amp;" "&amp;$G1139)))),COUNTIF($O$6:$O1138,"&gt;0")+1,0))</f>
        <v>1133</v>
      </c>
    </row>
    <row r="1140" customFormat="false" ht="51" hidden="false" customHeight="true" outlineLevel="0" collapsed="false">
      <c r="B1140" s="30" t="s">
        <v>5355</v>
      </c>
      <c r="C1140" s="30" t="s">
        <v>40</v>
      </c>
      <c r="D1140" s="30" t="s">
        <v>5356</v>
      </c>
      <c r="E1140" s="30" t="s">
        <v>344</v>
      </c>
      <c r="F1140" s="30" t="s">
        <v>5357</v>
      </c>
      <c r="G1140" s="30" t="s">
        <v>5358</v>
      </c>
      <c r="H1140" s="30" t="s">
        <v>5359</v>
      </c>
      <c r="I1140" s="30" t="s">
        <v>306</v>
      </c>
      <c r="J1140" s="30" t="s">
        <v>206</v>
      </c>
      <c r="K1140" s="31" t="s">
        <v>47</v>
      </c>
      <c r="L1140" s="32"/>
      <c r="M1140" s="33"/>
      <c r="N1140" s="30" t="s">
        <v>48</v>
      </c>
      <c r="O1140" s="1" t="n">
        <f aca="false">IF($B1140="",0,IF(AND(OR(Filter!$B$5="(alle)",$N1140=Filter!$B$5),OR(Filter!$E$5="(alle)",$K1140=Filter!$E$5),OR(Filter!$H$5="(alle)",$C1140=Filter!$H$5),OR(Filter!$B$7="(alle)",$E1140=Filter!$B$7),OR(Filter!$E$7="(alle)",ISNUMBER(SEARCH(Filter!$E$7,$J1140))),OR(Filter!$H$7="(alle)",ISNUMBER(SEARCH(Filter!$H$7,$I1140))),OR(Filter!$B$9="",ISNUMBER(SEARCH(Filter!$B$9,$F1140&amp;" "&amp;$G1140)))),COUNTIF($O$6:$O1139,"&gt;0")+1,0))</f>
        <v>1134</v>
      </c>
    </row>
    <row r="1141" customFormat="false" ht="51" hidden="false" customHeight="true" outlineLevel="0" collapsed="false">
      <c r="B1141" s="30" t="s">
        <v>5360</v>
      </c>
      <c r="C1141" s="30" t="s">
        <v>40</v>
      </c>
      <c r="D1141" s="30" t="s">
        <v>5361</v>
      </c>
      <c r="E1141" s="30" t="s">
        <v>344</v>
      </c>
      <c r="F1141" s="30" t="s">
        <v>5362</v>
      </c>
      <c r="G1141" s="30" t="s">
        <v>5363</v>
      </c>
      <c r="H1141" s="30" t="s">
        <v>5359</v>
      </c>
      <c r="I1141" s="30" t="s">
        <v>306</v>
      </c>
      <c r="J1141" s="30" t="s">
        <v>206</v>
      </c>
      <c r="K1141" s="31" t="s">
        <v>47</v>
      </c>
      <c r="L1141" s="32"/>
      <c r="M1141" s="33"/>
      <c r="N1141" s="30" t="s">
        <v>48</v>
      </c>
      <c r="O1141" s="1" t="n">
        <f aca="false">IF($B1141="",0,IF(AND(OR(Filter!$B$5="(alle)",$N1141=Filter!$B$5),OR(Filter!$E$5="(alle)",$K1141=Filter!$E$5),OR(Filter!$H$5="(alle)",$C1141=Filter!$H$5),OR(Filter!$B$7="(alle)",$E1141=Filter!$B$7),OR(Filter!$E$7="(alle)",ISNUMBER(SEARCH(Filter!$E$7,$J1141))),OR(Filter!$H$7="(alle)",ISNUMBER(SEARCH(Filter!$H$7,$I1141))),OR(Filter!$B$9="",ISNUMBER(SEARCH(Filter!$B$9,$F1141&amp;" "&amp;$G1141)))),COUNTIF($O$6:$O1140,"&gt;0")+1,0))</f>
        <v>1135</v>
      </c>
    </row>
    <row r="1142" customFormat="false" ht="51" hidden="false" customHeight="true" outlineLevel="0" collapsed="false">
      <c r="B1142" s="30" t="s">
        <v>5364</v>
      </c>
      <c r="C1142" s="30" t="s">
        <v>40</v>
      </c>
      <c r="D1142" s="30" t="s">
        <v>5365</v>
      </c>
      <c r="E1142" s="30" t="s">
        <v>344</v>
      </c>
      <c r="F1142" s="30" t="s">
        <v>5366</v>
      </c>
      <c r="G1142" s="30" t="s">
        <v>5366</v>
      </c>
      <c r="H1142" s="30" t="s">
        <v>5359</v>
      </c>
      <c r="I1142" s="30" t="s">
        <v>306</v>
      </c>
      <c r="J1142" s="30" t="s">
        <v>206</v>
      </c>
      <c r="K1142" s="31" t="s">
        <v>47</v>
      </c>
      <c r="L1142" s="32"/>
      <c r="M1142" s="33"/>
      <c r="N1142" s="30" t="s">
        <v>48</v>
      </c>
      <c r="O1142" s="1" t="n">
        <f aca="false">IF($B1142="",0,IF(AND(OR(Filter!$B$5="(alle)",$N1142=Filter!$B$5),OR(Filter!$E$5="(alle)",$K1142=Filter!$E$5),OR(Filter!$H$5="(alle)",$C1142=Filter!$H$5),OR(Filter!$B$7="(alle)",$E1142=Filter!$B$7),OR(Filter!$E$7="(alle)",ISNUMBER(SEARCH(Filter!$E$7,$J1142))),OR(Filter!$H$7="(alle)",ISNUMBER(SEARCH(Filter!$H$7,$I1142))),OR(Filter!$B$9="",ISNUMBER(SEARCH(Filter!$B$9,$F1142&amp;" "&amp;$G1142)))),COUNTIF($O$6:$O1141,"&gt;0")+1,0))</f>
        <v>1136</v>
      </c>
    </row>
    <row r="1143" customFormat="false" ht="51" hidden="false" customHeight="true" outlineLevel="0" collapsed="false">
      <c r="B1143" s="30" t="s">
        <v>5367</v>
      </c>
      <c r="C1143" s="30" t="s">
        <v>40</v>
      </c>
      <c r="D1143" s="30" t="s">
        <v>5368</v>
      </c>
      <c r="E1143" s="30" t="s">
        <v>344</v>
      </c>
      <c r="F1143" s="30" t="s">
        <v>5369</v>
      </c>
      <c r="G1143" s="30" t="s">
        <v>5370</v>
      </c>
      <c r="H1143" s="30" t="s">
        <v>5371</v>
      </c>
      <c r="I1143" s="30" t="s">
        <v>306</v>
      </c>
      <c r="J1143" s="30" t="s">
        <v>206</v>
      </c>
      <c r="K1143" s="31" t="s">
        <v>47</v>
      </c>
      <c r="L1143" s="32"/>
      <c r="M1143" s="33"/>
      <c r="N1143" s="30" t="s">
        <v>48</v>
      </c>
      <c r="O1143" s="1" t="n">
        <f aca="false">IF($B1143="",0,IF(AND(OR(Filter!$B$5="(alle)",$N1143=Filter!$B$5),OR(Filter!$E$5="(alle)",$K1143=Filter!$E$5),OR(Filter!$H$5="(alle)",$C1143=Filter!$H$5),OR(Filter!$B$7="(alle)",$E1143=Filter!$B$7),OR(Filter!$E$7="(alle)",ISNUMBER(SEARCH(Filter!$E$7,$J1143))),OR(Filter!$H$7="(alle)",ISNUMBER(SEARCH(Filter!$H$7,$I1143))),OR(Filter!$B$9="",ISNUMBER(SEARCH(Filter!$B$9,$F1143&amp;" "&amp;$G1143)))),COUNTIF($O$6:$O1142,"&gt;0")+1,0))</f>
        <v>1137</v>
      </c>
    </row>
    <row r="1144" customFormat="false" ht="51" hidden="false" customHeight="true" outlineLevel="0" collapsed="false">
      <c r="B1144" s="30" t="s">
        <v>5372</v>
      </c>
      <c r="C1144" s="30" t="s">
        <v>40</v>
      </c>
      <c r="D1144" s="30" t="s">
        <v>5373</v>
      </c>
      <c r="E1144" s="30" t="s">
        <v>547</v>
      </c>
      <c r="F1144" s="30" t="s">
        <v>5374</v>
      </c>
      <c r="G1144" s="30" t="s">
        <v>5375</v>
      </c>
      <c r="H1144" s="30" t="s">
        <v>5376</v>
      </c>
      <c r="I1144" s="30" t="s">
        <v>476</v>
      </c>
      <c r="J1144" s="30" t="s">
        <v>476</v>
      </c>
      <c r="K1144" s="31" t="s">
        <v>47</v>
      </c>
      <c r="L1144" s="32"/>
      <c r="M1144" s="33"/>
      <c r="N1144" s="30" t="s">
        <v>48</v>
      </c>
      <c r="O1144" s="1" t="n">
        <f aca="false">IF($B1144="",0,IF(AND(OR(Filter!$B$5="(alle)",$N1144=Filter!$B$5),OR(Filter!$E$5="(alle)",$K1144=Filter!$E$5),OR(Filter!$H$5="(alle)",$C1144=Filter!$H$5),OR(Filter!$B$7="(alle)",$E1144=Filter!$B$7),OR(Filter!$E$7="(alle)",ISNUMBER(SEARCH(Filter!$E$7,$J1144))),OR(Filter!$H$7="(alle)",ISNUMBER(SEARCH(Filter!$H$7,$I1144))),OR(Filter!$B$9="",ISNUMBER(SEARCH(Filter!$B$9,$F1144&amp;" "&amp;$G1144)))),COUNTIF($O$6:$O1143,"&gt;0")+1,0))</f>
        <v>1138</v>
      </c>
    </row>
    <row r="1145" customFormat="false" ht="51" hidden="false" customHeight="true" outlineLevel="0" collapsed="false">
      <c r="B1145" s="30" t="s">
        <v>5377</v>
      </c>
      <c r="C1145" s="30" t="s">
        <v>40</v>
      </c>
      <c r="D1145" s="30" t="s">
        <v>5378</v>
      </c>
      <c r="E1145" s="30" t="s">
        <v>344</v>
      </c>
      <c r="F1145" s="30" t="s">
        <v>5379</v>
      </c>
      <c r="G1145" s="30" t="s">
        <v>5379</v>
      </c>
      <c r="H1145" s="30" t="s">
        <v>5371</v>
      </c>
      <c r="I1145" s="30" t="s">
        <v>306</v>
      </c>
      <c r="J1145" s="30" t="s">
        <v>206</v>
      </c>
      <c r="K1145" s="31" t="s">
        <v>47</v>
      </c>
      <c r="L1145" s="32"/>
      <c r="M1145" s="33"/>
      <c r="N1145" s="30" t="s">
        <v>48</v>
      </c>
      <c r="O1145" s="1" t="n">
        <f aca="false">IF($B1145="",0,IF(AND(OR(Filter!$B$5="(alle)",$N1145=Filter!$B$5),OR(Filter!$E$5="(alle)",$K1145=Filter!$E$5),OR(Filter!$H$5="(alle)",$C1145=Filter!$H$5),OR(Filter!$B$7="(alle)",$E1145=Filter!$B$7),OR(Filter!$E$7="(alle)",ISNUMBER(SEARCH(Filter!$E$7,$J1145))),OR(Filter!$H$7="(alle)",ISNUMBER(SEARCH(Filter!$H$7,$I1145))),OR(Filter!$B$9="",ISNUMBER(SEARCH(Filter!$B$9,$F1145&amp;" "&amp;$G1145)))),COUNTIF($O$6:$O1144,"&gt;0")+1,0))</f>
        <v>1139</v>
      </c>
    </row>
    <row r="1146" customFormat="false" ht="51" hidden="false" customHeight="true" outlineLevel="0" collapsed="false">
      <c r="B1146" s="30" t="s">
        <v>5380</v>
      </c>
      <c r="C1146" s="30" t="s">
        <v>40</v>
      </c>
      <c r="D1146" s="30" t="s">
        <v>5381</v>
      </c>
      <c r="E1146" s="30" t="s">
        <v>344</v>
      </c>
      <c r="F1146" s="30" t="s">
        <v>5382</v>
      </c>
      <c r="G1146" s="30" t="s">
        <v>5382</v>
      </c>
      <c r="H1146" s="30" t="s">
        <v>5371</v>
      </c>
      <c r="I1146" s="30" t="s">
        <v>306</v>
      </c>
      <c r="J1146" s="30" t="s">
        <v>206</v>
      </c>
      <c r="K1146" s="31" t="s">
        <v>47</v>
      </c>
      <c r="L1146" s="32"/>
      <c r="M1146" s="33"/>
      <c r="N1146" s="30" t="s">
        <v>48</v>
      </c>
      <c r="O1146" s="1" t="n">
        <f aca="false">IF($B1146="",0,IF(AND(OR(Filter!$B$5="(alle)",$N1146=Filter!$B$5),OR(Filter!$E$5="(alle)",$K1146=Filter!$E$5),OR(Filter!$H$5="(alle)",$C1146=Filter!$H$5),OR(Filter!$B$7="(alle)",$E1146=Filter!$B$7),OR(Filter!$E$7="(alle)",ISNUMBER(SEARCH(Filter!$E$7,$J1146))),OR(Filter!$H$7="(alle)",ISNUMBER(SEARCH(Filter!$H$7,$I1146))),OR(Filter!$B$9="",ISNUMBER(SEARCH(Filter!$B$9,$F1146&amp;" "&amp;$G1146)))),COUNTIF($O$6:$O1145,"&gt;0")+1,0))</f>
        <v>1140</v>
      </c>
    </row>
    <row r="1147" customFormat="false" ht="51" hidden="false" customHeight="true" outlineLevel="0" collapsed="false">
      <c r="B1147" s="30" t="s">
        <v>5383</v>
      </c>
      <c r="C1147" s="30" t="s">
        <v>40</v>
      </c>
      <c r="D1147" s="30" t="s">
        <v>5384</v>
      </c>
      <c r="E1147" s="30" t="s">
        <v>547</v>
      </c>
      <c r="F1147" s="30" t="s">
        <v>5385</v>
      </c>
      <c r="G1147" s="30" t="s">
        <v>5386</v>
      </c>
      <c r="H1147" s="30" t="s">
        <v>5376</v>
      </c>
      <c r="I1147" s="30" t="s">
        <v>476</v>
      </c>
      <c r="J1147" s="30" t="s">
        <v>476</v>
      </c>
      <c r="K1147" s="31" t="s">
        <v>47</v>
      </c>
      <c r="L1147" s="32"/>
      <c r="M1147" s="33"/>
      <c r="N1147" s="30" t="s">
        <v>48</v>
      </c>
      <c r="O1147" s="1" t="n">
        <f aca="false">IF($B1147="",0,IF(AND(OR(Filter!$B$5="(alle)",$N1147=Filter!$B$5),OR(Filter!$E$5="(alle)",$K1147=Filter!$E$5),OR(Filter!$H$5="(alle)",$C1147=Filter!$H$5),OR(Filter!$B$7="(alle)",$E1147=Filter!$B$7),OR(Filter!$E$7="(alle)",ISNUMBER(SEARCH(Filter!$E$7,$J1147))),OR(Filter!$H$7="(alle)",ISNUMBER(SEARCH(Filter!$H$7,$I1147))),OR(Filter!$B$9="",ISNUMBER(SEARCH(Filter!$B$9,$F1147&amp;" "&amp;$G1147)))),COUNTIF($O$6:$O1146,"&gt;0")+1,0))</f>
        <v>1141</v>
      </c>
    </row>
    <row r="1148" customFormat="false" ht="51" hidden="false" customHeight="true" outlineLevel="0" collapsed="false">
      <c r="B1148" s="30" t="s">
        <v>5387</v>
      </c>
      <c r="C1148" s="30" t="s">
        <v>40</v>
      </c>
      <c r="D1148" s="30" t="s">
        <v>5388</v>
      </c>
      <c r="E1148" s="30" t="s">
        <v>547</v>
      </c>
      <c r="F1148" s="30" t="s">
        <v>5389</v>
      </c>
      <c r="G1148" s="30" t="s">
        <v>5390</v>
      </c>
      <c r="H1148" s="30" t="s">
        <v>5376</v>
      </c>
      <c r="I1148" s="30" t="s">
        <v>476</v>
      </c>
      <c r="J1148" s="30" t="s">
        <v>476</v>
      </c>
      <c r="K1148" s="31" t="s">
        <v>47</v>
      </c>
      <c r="L1148" s="32"/>
      <c r="M1148" s="33"/>
      <c r="N1148" s="30" t="s">
        <v>48</v>
      </c>
      <c r="O1148" s="1" t="n">
        <f aca="false">IF($B1148="",0,IF(AND(OR(Filter!$B$5="(alle)",$N1148=Filter!$B$5),OR(Filter!$E$5="(alle)",$K1148=Filter!$E$5),OR(Filter!$H$5="(alle)",$C1148=Filter!$H$5),OR(Filter!$B$7="(alle)",$E1148=Filter!$B$7),OR(Filter!$E$7="(alle)",ISNUMBER(SEARCH(Filter!$E$7,$J1148))),OR(Filter!$H$7="(alle)",ISNUMBER(SEARCH(Filter!$H$7,$I1148))),OR(Filter!$B$9="",ISNUMBER(SEARCH(Filter!$B$9,$F1148&amp;" "&amp;$G1148)))),COUNTIF($O$6:$O1147,"&gt;0")+1,0))</f>
        <v>1142</v>
      </c>
    </row>
    <row r="1149" customFormat="false" ht="51" hidden="false" customHeight="true" outlineLevel="0" collapsed="false">
      <c r="B1149" s="30" t="s">
        <v>5391</v>
      </c>
      <c r="C1149" s="30" t="s">
        <v>40</v>
      </c>
      <c r="D1149" s="30" t="s">
        <v>5392</v>
      </c>
      <c r="E1149" s="30" t="s">
        <v>547</v>
      </c>
      <c r="F1149" s="30" t="s">
        <v>5393</v>
      </c>
      <c r="G1149" s="30" t="s">
        <v>5394</v>
      </c>
      <c r="H1149" s="30" t="s">
        <v>5376</v>
      </c>
      <c r="I1149" s="30" t="s">
        <v>476</v>
      </c>
      <c r="J1149" s="30" t="s">
        <v>476</v>
      </c>
      <c r="K1149" s="31" t="s">
        <v>47</v>
      </c>
      <c r="L1149" s="32"/>
      <c r="M1149" s="33"/>
      <c r="N1149" s="30" t="s">
        <v>48</v>
      </c>
      <c r="O1149" s="1" t="n">
        <f aca="false">IF($B1149="",0,IF(AND(OR(Filter!$B$5="(alle)",$N1149=Filter!$B$5),OR(Filter!$E$5="(alle)",$K1149=Filter!$E$5),OR(Filter!$H$5="(alle)",$C1149=Filter!$H$5),OR(Filter!$B$7="(alle)",$E1149=Filter!$B$7),OR(Filter!$E$7="(alle)",ISNUMBER(SEARCH(Filter!$E$7,$J1149))),OR(Filter!$H$7="(alle)",ISNUMBER(SEARCH(Filter!$H$7,$I1149))),OR(Filter!$B$9="",ISNUMBER(SEARCH(Filter!$B$9,$F1149&amp;" "&amp;$G1149)))),COUNTIF($O$6:$O1148,"&gt;0")+1,0))</f>
        <v>1143</v>
      </c>
    </row>
    <row r="1150" customFormat="false" ht="51" hidden="false" customHeight="true" outlineLevel="0" collapsed="false">
      <c r="B1150" s="30" t="s">
        <v>5395</v>
      </c>
      <c r="C1150" s="30" t="s">
        <v>40</v>
      </c>
      <c r="D1150" s="30" t="s">
        <v>5396</v>
      </c>
      <c r="E1150" s="30" t="s">
        <v>344</v>
      </c>
      <c r="F1150" s="30" t="s">
        <v>5397</v>
      </c>
      <c r="G1150" s="30" t="s">
        <v>5397</v>
      </c>
      <c r="H1150" s="30" t="s">
        <v>5398</v>
      </c>
      <c r="I1150" s="30" t="s">
        <v>306</v>
      </c>
      <c r="J1150" s="30" t="s">
        <v>206</v>
      </c>
      <c r="K1150" s="31" t="s">
        <v>47</v>
      </c>
      <c r="L1150" s="32"/>
      <c r="M1150" s="33"/>
      <c r="N1150" s="30" t="s">
        <v>48</v>
      </c>
      <c r="O1150" s="1" t="n">
        <f aca="false">IF($B1150="",0,IF(AND(OR(Filter!$B$5="(alle)",$N1150=Filter!$B$5),OR(Filter!$E$5="(alle)",$K1150=Filter!$E$5),OR(Filter!$H$5="(alle)",$C1150=Filter!$H$5),OR(Filter!$B$7="(alle)",$E1150=Filter!$B$7),OR(Filter!$E$7="(alle)",ISNUMBER(SEARCH(Filter!$E$7,$J1150))),OR(Filter!$H$7="(alle)",ISNUMBER(SEARCH(Filter!$H$7,$I1150))),OR(Filter!$B$9="",ISNUMBER(SEARCH(Filter!$B$9,$F1150&amp;" "&amp;$G1150)))),COUNTIF($O$6:$O1149,"&gt;0")+1,0))</f>
        <v>1144</v>
      </c>
    </row>
    <row r="1151" customFormat="false" ht="51" hidden="false" customHeight="true" outlineLevel="0" collapsed="false">
      <c r="B1151" s="30" t="s">
        <v>5399</v>
      </c>
      <c r="C1151" s="30" t="s">
        <v>40</v>
      </c>
      <c r="D1151" s="30" t="s">
        <v>5400</v>
      </c>
      <c r="E1151" s="30" t="s">
        <v>547</v>
      </c>
      <c r="F1151" s="30" t="s">
        <v>5401</v>
      </c>
      <c r="G1151" s="30" t="s">
        <v>5402</v>
      </c>
      <c r="H1151" s="30" t="s">
        <v>5403</v>
      </c>
      <c r="I1151" s="30" t="s">
        <v>476</v>
      </c>
      <c r="J1151" s="30" t="s">
        <v>476</v>
      </c>
      <c r="K1151" s="31" t="s">
        <v>47</v>
      </c>
      <c r="L1151" s="32"/>
      <c r="M1151" s="33"/>
      <c r="N1151" s="30" t="s">
        <v>48</v>
      </c>
      <c r="O1151" s="1" t="n">
        <f aca="false">IF($B1151="",0,IF(AND(OR(Filter!$B$5="(alle)",$N1151=Filter!$B$5),OR(Filter!$E$5="(alle)",$K1151=Filter!$E$5),OR(Filter!$H$5="(alle)",$C1151=Filter!$H$5),OR(Filter!$B$7="(alle)",$E1151=Filter!$B$7),OR(Filter!$E$7="(alle)",ISNUMBER(SEARCH(Filter!$E$7,$J1151))),OR(Filter!$H$7="(alle)",ISNUMBER(SEARCH(Filter!$H$7,$I1151))),OR(Filter!$B$9="",ISNUMBER(SEARCH(Filter!$B$9,$F1151&amp;" "&amp;$G1151)))),COUNTIF($O$6:$O1150,"&gt;0")+1,0))</f>
        <v>1145</v>
      </c>
    </row>
    <row r="1152" customFormat="false" ht="51" hidden="false" customHeight="true" outlineLevel="0" collapsed="false">
      <c r="B1152" s="30" t="s">
        <v>5404</v>
      </c>
      <c r="C1152" s="30" t="s">
        <v>40</v>
      </c>
      <c r="D1152" s="30" t="s">
        <v>5405</v>
      </c>
      <c r="E1152" s="30" t="s">
        <v>344</v>
      </c>
      <c r="F1152" s="30" t="s">
        <v>5406</v>
      </c>
      <c r="G1152" s="30" t="s">
        <v>5407</v>
      </c>
      <c r="H1152" s="30" t="s">
        <v>5398</v>
      </c>
      <c r="I1152" s="30" t="s">
        <v>306</v>
      </c>
      <c r="J1152" s="30" t="s">
        <v>206</v>
      </c>
      <c r="K1152" s="31" t="s">
        <v>47</v>
      </c>
      <c r="L1152" s="32"/>
      <c r="M1152" s="33"/>
      <c r="N1152" s="30" t="s">
        <v>48</v>
      </c>
      <c r="O1152" s="1" t="n">
        <f aca="false">IF($B1152="",0,IF(AND(OR(Filter!$B$5="(alle)",$N1152=Filter!$B$5),OR(Filter!$E$5="(alle)",$K1152=Filter!$E$5),OR(Filter!$H$5="(alle)",$C1152=Filter!$H$5),OR(Filter!$B$7="(alle)",$E1152=Filter!$B$7),OR(Filter!$E$7="(alle)",ISNUMBER(SEARCH(Filter!$E$7,$J1152))),OR(Filter!$H$7="(alle)",ISNUMBER(SEARCH(Filter!$H$7,$I1152))),OR(Filter!$B$9="",ISNUMBER(SEARCH(Filter!$B$9,$F1152&amp;" "&amp;$G1152)))),COUNTIF($O$6:$O1151,"&gt;0")+1,0))</f>
        <v>1146</v>
      </c>
    </row>
    <row r="1153" customFormat="false" ht="51" hidden="false" customHeight="true" outlineLevel="0" collapsed="false">
      <c r="B1153" s="30" t="s">
        <v>5408</v>
      </c>
      <c r="C1153" s="30" t="s">
        <v>40</v>
      </c>
      <c r="D1153" s="30" t="s">
        <v>5409</v>
      </c>
      <c r="E1153" s="30" t="s">
        <v>344</v>
      </c>
      <c r="F1153" s="30" t="s">
        <v>5410</v>
      </c>
      <c r="G1153" s="30" t="s">
        <v>5410</v>
      </c>
      <c r="H1153" s="30" t="s">
        <v>5398</v>
      </c>
      <c r="I1153" s="30" t="s">
        <v>306</v>
      </c>
      <c r="J1153" s="30" t="s">
        <v>206</v>
      </c>
      <c r="K1153" s="31" t="s">
        <v>47</v>
      </c>
      <c r="L1153" s="32"/>
      <c r="M1153" s="33"/>
      <c r="N1153" s="30" t="s">
        <v>48</v>
      </c>
      <c r="O1153" s="1" t="n">
        <f aca="false">IF($B1153="",0,IF(AND(OR(Filter!$B$5="(alle)",$N1153=Filter!$B$5),OR(Filter!$E$5="(alle)",$K1153=Filter!$E$5),OR(Filter!$H$5="(alle)",$C1153=Filter!$H$5),OR(Filter!$B$7="(alle)",$E1153=Filter!$B$7),OR(Filter!$E$7="(alle)",ISNUMBER(SEARCH(Filter!$E$7,$J1153))),OR(Filter!$H$7="(alle)",ISNUMBER(SEARCH(Filter!$H$7,$I1153))),OR(Filter!$B$9="",ISNUMBER(SEARCH(Filter!$B$9,$F1153&amp;" "&amp;$G1153)))),COUNTIF($O$6:$O1152,"&gt;0")+1,0))</f>
        <v>1147</v>
      </c>
    </row>
    <row r="1154" customFormat="false" ht="51" hidden="false" customHeight="true" outlineLevel="0" collapsed="false">
      <c r="B1154" s="30" t="s">
        <v>5411</v>
      </c>
      <c r="C1154" s="30" t="s">
        <v>40</v>
      </c>
      <c r="D1154" s="30" t="s">
        <v>5412</v>
      </c>
      <c r="E1154" s="30" t="s">
        <v>344</v>
      </c>
      <c r="F1154" s="30" t="s">
        <v>5413</v>
      </c>
      <c r="G1154" s="30" t="s">
        <v>5413</v>
      </c>
      <c r="H1154" s="30" t="s">
        <v>5414</v>
      </c>
      <c r="I1154" s="30" t="s">
        <v>306</v>
      </c>
      <c r="J1154" s="30" t="s">
        <v>206</v>
      </c>
      <c r="K1154" s="31" t="s">
        <v>47</v>
      </c>
      <c r="L1154" s="32"/>
      <c r="M1154" s="33"/>
      <c r="N1154" s="30" t="s">
        <v>48</v>
      </c>
      <c r="O1154" s="1" t="n">
        <f aca="false">IF($B1154="",0,IF(AND(OR(Filter!$B$5="(alle)",$N1154=Filter!$B$5),OR(Filter!$E$5="(alle)",$K1154=Filter!$E$5),OR(Filter!$H$5="(alle)",$C1154=Filter!$H$5),OR(Filter!$B$7="(alle)",$E1154=Filter!$B$7),OR(Filter!$E$7="(alle)",ISNUMBER(SEARCH(Filter!$E$7,$J1154))),OR(Filter!$H$7="(alle)",ISNUMBER(SEARCH(Filter!$H$7,$I1154))),OR(Filter!$B$9="",ISNUMBER(SEARCH(Filter!$B$9,$F1154&amp;" "&amp;$G1154)))),COUNTIF($O$6:$O1153,"&gt;0")+1,0))</f>
        <v>1148</v>
      </c>
    </row>
    <row r="1155" customFormat="false" ht="51" hidden="false" customHeight="true" outlineLevel="0" collapsed="false">
      <c r="B1155" s="30" t="s">
        <v>5415</v>
      </c>
      <c r="C1155" s="30" t="s">
        <v>40</v>
      </c>
      <c r="D1155" s="30" t="s">
        <v>5416</v>
      </c>
      <c r="E1155" s="30" t="s">
        <v>344</v>
      </c>
      <c r="F1155" s="30" t="s">
        <v>5417</v>
      </c>
      <c r="G1155" s="30" t="s">
        <v>5418</v>
      </c>
      <c r="H1155" s="30" t="s">
        <v>5414</v>
      </c>
      <c r="I1155" s="30" t="s">
        <v>306</v>
      </c>
      <c r="J1155" s="30" t="s">
        <v>206</v>
      </c>
      <c r="K1155" s="31" t="s">
        <v>47</v>
      </c>
      <c r="L1155" s="32"/>
      <c r="M1155" s="33"/>
      <c r="N1155" s="30" t="s">
        <v>48</v>
      </c>
      <c r="O1155" s="1" t="n">
        <f aca="false">IF($B1155="",0,IF(AND(OR(Filter!$B$5="(alle)",$N1155=Filter!$B$5),OR(Filter!$E$5="(alle)",$K1155=Filter!$E$5),OR(Filter!$H$5="(alle)",$C1155=Filter!$H$5),OR(Filter!$B$7="(alle)",$E1155=Filter!$B$7),OR(Filter!$E$7="(alle)",ISNUMBER(SEARCH(Filter!$E$7,$J1155))),OR(Filter!$H$7="(alle)",ISNUMBER(SEARCH(Filter!$H$7,$I1155))),OR(Filter!$B$9="",ISNUMBER(SEARCH(Filter!$B$9,$F1155&amp;" "&amp;$G1155)))),COUNTIF($O$6:$O1154,"&gt;0")+1,0))</f>
        <v>1149</v>
      </c>
    </row>
    <row r="1156" customFormat="false" ht="51" hidden="false" customHeight="true" outlineLevel="0" collapsed="false">
      <c r="B1156" s="30" t="s">
        <v>5419</v>
      </c>
      <c r="C1156" s="30" t="s">
        <v>40</v>
      </c>
      <c r="D1156" s="30" t="s">
        <v>5420</v>
      </c>
      <c r="E1156" s="30" t="s">
        <v>344</v>
      </c>
      <c r="F1156" s="30" t="s">
        <v>5421</v>
      </c>
      <c r="G1156" s="30" t="s">
        <v>5421</v>
      </c>
      <c r="H1156" s="30" t="s">
        <v>5414</v>
      </c>
      <c r="I1156" s="30" t="s">
        <v>306</v>
      </c>
      <c r="J1156" s="30" t="s">
        <v>206</v>
      </c>
      <c r="K1156" s="31" t="s">
        <v>47</v>
      </c>
      <c r="L1156" s="32"/>
      <c r="M1156" s="33"/>
      <c r="N1156" s="30" t="s">
        <v>48</v>
      </c>
      <c r="O1156" s="1" t="n">
        <f aca="false">IF($B1156="",0,IF(AND(OR(Filter!$B$5="(alle)",$N1156=Filter!$B$5),OR(Filter!$E$5="(alle)",$K1156=Filter!$E$5),OR(Filter!$H$5="(alle)",$C1156=Filter!$H$5),OR(Filter!$B$7="(alle)",$E1156=Filter!$B$7),OR(Filter!$E$7="(alle)",ISNUMBER(SEARCH(Filter!$E$7,$J1156))),OR(Filter!$H$7="(alle)",ISNUMBER(SEARCH(Filter!$H$7,$I1156))),OR(Filter!$B$9="",ISNUMBER(SEARCH(Filter!$B$9,$F1156&amp;" "&amp;$G1156)))),COUNTIF($O$6:$O1155,"&gt;0")+1,0))</f>
        <v>1150</v>
      </c>
    </row>
    <row r="1157" customFormat="false" ht="51" hidden="false" customHeight="true" outlineLevel="0" collapsed="false">
      <c r="B1157" s="30" t="s">
        <v>5422</v>
      </c>
      <c r="C1157" s="30" t="s">
        <v>40</v>
      </c>
      <c r="D1157" s="30" t="s">
        <v>5423</v>
      </c>
      <c r="E1157" s="30" t="s">
        <v>344</v>
      </c>
      <c r="F1157" s="30" t="s">
        <v>5424</v>
      </c>
      <c r="G1157" s="30" t="s">
        <v>5425</v>
      </c>
      <c r="H1157" s="30" t="s">
        <v>5414</v>
      </c>
      <c r="I1157" s="30" t="s">
        <v>306</v>
      </c>
      <c r="J1157" s="30" t="s">
        <v>206</v>
      </c>
      <c r="K1157" s="31" t="s">
        <v>47</v>
      </c>
      <c r="L1157" s="32"/>
      <c r="M1157" s="33"/>
      <c r="N1157" s="30" t="s">
        <v>48</v>
      </c>
      <c r="O1157" s="1" t="n">
        <f aca="false">IF($B1157="",0,IF(AND(OR(Filter!$B$5="(alle)",$N1157=Filter!$B$5),OR(Filter!$E$5="(alle)",$K1157=Filter!$E$5),OR(Filter!$H$5="(alle)",$C1157=Filter!$H$5),OR(Filter!$B$7="(alle)",$E1157=Filter!$B$7),OR(Filter!$E$7="(alle)",ISNUMBER(SEARCH(Filter!$E$7,$J1157))),OR(Filter!$H$7="(alle)",ISNUMBER(SEARCH(Filter!$H$7,$I1157))),OR(Filter!$B$9="",ISNUMBER(SEARCH(Filter!$B$9,$F1157&amp;" "&amp;$G1157)))),COUNTIF($O$6:$O1156,"&gt;0")+1,0))</f>
        <v>1151</v>
      </c>
    </row>
    <row r="1158" customFormat="false" ht="51" hidden="false" customHeight="true" outlineLevel="0" collapsed="false">
      <c r="B1158" s="30" t="s">
        <v>5426</v>
      </c>
      <c r="C1158" s="30" t="s">
        <v>40</v>
      </c>
      <c r="D1158" s="30" t="s">
        <v>5427</v>
      </c>
      <c r="E1158" s="30" t="s">
        <v>361</v>
      </c>
      <c r="F1158" s="30" t="s">
        <v>5428</v>
      </c>
      <c r="G1158" s="30" t="s">
        <v>5429</v>
      </c>
      <c r="H1158" s="30" t="s">
        <v>5414</v>
      </c>
      <c r="I1158" s="30" t="s">
        <v>306</v>
      </c>
      <c r="J1158" s="30" t="s">
        <v>206</v>
      </c>
      <c r="K1158" s="31" t="s">
        <v>47</v>
      </c>
      <c r="L1158" s="32"/>
      <c r="M1158" s="33"/>
      <c r="N1158" s="30" t="s">
        <v>48</v>
      </c>
      <c r="O1158" s="1" t="n">
        <f aca="false">IF($B1158="",0,IF(AND(OR(Filter!$B$5="(alle)",$N1158=Filter!$B$5),OR(Filter!$E$5="(alle)",$K1158=Filter!$E$5),OR(Filter!$H$5="(alle)",$C1158=Filter!$H$5),OR(Filter!$B$7="(alle)",$E1158=Filter!$B$7),OR(Filter!$E$7="(alle)",ISNUMBER(SEARCH(Filter!$E$7,$J1158))),OR(Filter!$H$7="(alle)",ISNUMBER(SEARCH(Filter!$H$7,$I1158))),OR(Filter!$B$9="",ISNUMBER(SEARCH(Filter!$B$9,$F1158&amp;" "&amp;$G1158)))),COUNTIF($O$6:$O1157,"&gt;0")+1,0))</f>
        <v>1152</v>
      </c>
    </row>
    <row r="1159" customFormat="false" ht="51" hidden="false" customHeight="true" outlineLevel="0" collapsed="false">
      <c r="B1159" s="30" t="s">
        <v>5430</v>
      </c>
      <c r="C1159" s="30" t="s">
        <v>218</v>
      </c>
      <c r="D1159" s="30" t="s">
        <v>3648</v>
      </c>
      <c r="E1159" s="30" t="s">
        <v>547</v>
      </c>
      <c r="F1159" s="30" t="s">
        <v>5431</v>
      </c>
      <c r="G1159" s="30" t="s">
        <v>5431</v>
      </c>
      <c r="H1159" s="30" t="s">
        <v>5432</v>
      </c>
      <c r="I1159" s="30" t="s">
        <v>476</v>
      </c>
      <c r="J1159" s="30" t="s">
        <v>476</v>
      </c>
      <c r="K1159" s="31" t="s">
        <v>47</v>
      </c>
      <c r="L1159" s="32"/>
      <c r="M1159" s="33"/>
      <c r="N1159" s="30" t="s">
        <v>48</v>
      </c>
      <c r="O1159" s="1" t="n">
        <f aca="false">IF($B1159="",0,IF(AND(OR(Filter!$B$5="(alle)",$N1159=Filter!$B$5),OR(Filter!$E$5="(alle)",$K1159=Filter!$E$5),OR(Filter!$H$5="(alle)",$C1159=Filter!$H$5),OR(Filter!$B$7="(alle)",$E1159=Filter!$B$7),OR(Filter!$E$7="(alle)",ISNUMBER(SEARCH(Filter!$E$7,$J1159))),OR(Filter!$H$7="(alle)",ISNUMBER(SEARCH(Filter!$H$7,$I1159))),OR(Filter!$B$9="",ISNUMBER(SEARCH(Filter!$B$9,$F1159&amp;" "&amp;$G1159)))),COUNTIF($O$6:$O1158,"&gt;0")+1,0))</f>
        <v>1153</v>
      </c>
    </row>
    <row r="1160" customFormat="false" ht="51" hidden="false" customHeight="true" outlineLevel="0" collapsed="false">
      <c r="B1160" s="30" t="s">
        <v>5433</v>
      </c>
      <c r="C1160" s="30" t="s">
        <v>218</v>
      </c>
      <c r="D1160" s="30" t="s">
        <v>3662</v>
      </c>
      <c r="E1160" s="30" t="s">
        <v>547</v>
      </c>
      <c r="F1160" s="30" t="s">
        <v>5434</v>
      </c>
      <c r="G1160" s="30" t="s">
        <v>5434</v>
      </c>
      <c r="H1160" s="30" t="s">
        <v>5435</v>
      </c>
      <c r="I1160" s="30" t="s">
        <v>3700</v>
      </c>
      <c r="J1160" s="30" t="s">
        <v>159</v>
      </c>
      <c r="K1160" s="31" t="s">
        <v>47</v>
      </c>
      <c r="L1160" s="32"/>
      <c r="M1160" s="33"/>
      <c r="N1160" s="30" t="s">
        <v>48</v>
      </c>
      <c r="O1160" s="1" t="n">
        <f aca="false">IF($B1160="",0,IF(AND(OR(Filter!$B$5="(alle)",$N1160=Filter!$B$5),OR(Filter!$E$5="(alle)",$K1160=Filter!$E$5),OR(Filter!$H$5="(alle)",$C1160=Filter!$H$5),OR(Filter!$B$7="(alle)",$E1160=Filter!$B$7),OR(Filter!$E$7="(alle)",ISNUMBER(SEARCH(Filter!$E$7,$J1160))),OR(Filter!$H$7="(alle)",ISNUMBER(SEARCH(Filter!$H$7,$I1160))),OR(Filter!$B$9="",ISNUMBER(SEARCH(Filter!$B$9,$F1160&amp;" "&amp;$G1160)))),COUNTIF($O$6:$O1159,"&gt;0")+1,0))</f>
        <v>1154</v>
      </c>
    </row>
    <row r="1161" customFormat="false" ht="51" hidden="false" customHeight="true" outlineLevel="0" collapsed="false">
      <c r="B1161" s="30" t="s">
        <v>5436</v>
      </c>
      <c r="C1161" s="30" t="s">
        <v>218</v>
      </c>
      <c r="D1161" s="30" t="s">
        <v>5437</v>
      </c>
      <c r="E1161" s="30" t="s">
        <v>604</v>
      </c>
      <c r="F1161" s="30" t="s">
        <v>5438</v>
      </c>
      <c r="G1161" s="30" t="s">
        <v>5438</v>
      </c>
      <c r="H1161" s="30" t="s">
        <v>5435</v>
      </c>
      <c r="I1161" s="30" t="s">
        <v>3700</v>
      </c>
      <c r="J1161" s="30" t="s">
        <v>159</v>
      </c>
      <c r="K1161" s="31" t="s">
        <v>47</v>
      </c>
      <c r="L1161" s="32"/>
      <c r="M1161" s="33"/>
      <c r="N1161" s="30" t="s">
        <v>48</v>
      </c>
      <c r="O1161" s="1" t="n">
        <f aca="false">IF($B1161="",0,IF(AND(OR(Filter!$B$5="(alle)",$N1161=Filter!$B$5),OR(Filter!$E$5="(alle)",$K1161=Filter!$E$5),OR(Filter!$H$5="(alle)",$C1161=Filter!$H$5),OR(Filter!$B$7="(alle)",$E1161=Filter!$B$7),OR(Filter!$E$7="(alle)",ISNUMBER(SEARCH(Filter!$E$7,$J1161))),OR(Filter!$H$7="(alle)",ISNUMBER(SEARCH(Filter!$H$7,$I1161))),OR(Filter!$B$9="",ISNUMBER(SEARCH(Filter!$B$9,$F1161&amp;" "&amp;$G1161)))),COUNTIF($O$6:$O1160,"&gt;0")+1,0))</f>
        <v>1155</v>
      </c>
    </row>
    <row r="1162" customFormat="false" ht="51" hidden="false" customHeight="true" outlineLevel="0" collapsed="false">
      <c r="B1162" s="30" t="s">
        <v>5439</v>
      </c>
      <c r="C1162" s="30" t="s">
        <v>218</v>
      </c>
      <c r="D1162" s="30" t="s">
        <v>5440</v>
      </c>
      <c r="E1162" s="30" t="s">
        <v>604</v>
      </c>
      <c r="F1162" s="30" t="s">
        <v>5441</v>
      </c>
      <c r="G1162" s="30" t="s">
        <v>5442</v>
      </c>
      <c r="H1162" s="30" t="s">
        <v>5435</v>
      </c>
      <c r="I1162" s="30" t="s">
        <v>3700</v>
      </c>
      <c r="J1162" s="30" t="s">
        <v>159</v>
      </c>
      <c r="K1162" s="31" t="s">
        <v>47</v>
      </c>
      <c r="L1162" s="32"/>
      <c r="M1162" s="33"/>
      <c r="N1162" s="30" t="s">
        <v>48</v>
      </c>
      <c r="O1162" s="1" t="n">
        <f aca="false">IF($B1162="",0,IF(AND(OR(Filter!$B$5="(alle)",$N1162=Filter!$B$5),OR(Filter!$E$5="(alle)",$K1162=Filter!$E$5),OR(Filter!$H$5="(alle)",$C1162=Filter!$H$5),OR(Filter!$B$7="(alle)",$E1162=Filter!$B$7),OR(Filter!$E$7="(alle)",ISNUMBER(SEARCH(Filter!$E$7,$J1162))),OR(Filter!$H$7="(alle)",ISNUMBER(SEARCH(Filter!$H$7,$I1162))),OR(Filter!$B$9="",ISNUMBER(SEARCH(Filter!$B$9,$F1162&amp;" "&amp;$G1162)))),COUNTIF($O$6:$O1161,"&gt;0")+1,0))</f>
        <v>1156</v>
      </c>
    </row>
    <row r="1163" customFormat="false" ht="51" hidden="false" customHeight="true" outlineLevel="0" collapsed="false">
      <c r="B1163" s="30" t="s">
        <v>5443</v>
      </c>
      <c r="C1163" s="30" t="s">
        <v>218</v>
      </c>
      <c r="D1163" s="30" t="s">
        <v>5444</v>
      </c>
      <c r="E1163" s="30" t="s">
        <v>94</v>
      </c>
      <c r="F1163" s="30" t="s">
        <v>5445</v>
      </c>
      <c r="G1163" s="30" t="s">
        <v>5445</v>
      </c>
      <c r="H1163" s="30" t="s">
        <v>5435</v>
      </c>
      <c r="I1163" s="30" t="s">
        <v>3847</v>
      </c>
      <c r="J1163" s="30" t="s">
        <v>2548</v>
      </c>
      <c r="K1163" s="31" t="s">
        <v>47</v>
      </c>
      <c r="L1163" s="32"/>
      <c r="M1163" s="33"/>
      <c r="N1163" s="30" t="s">
        <v>48</v>
      </c>
      <c r="O1163" s="1" t="n">
        <f aca="false">IF($B1163="",0,IF(AND(OR(Filter!$B$5="(alle)",$N1163=Filter!$B$5),OR(Filter!$E$5="(alle)",$K1163=Filter!$E$5),OR(Filter!$H$5="(alle)",$C1163=Filter!$H$5),OR(Filter!$B$7="(alle)",$E1163=Filter!$B$7),OR(Filter!$E$7="(alle)",ISNUMBER(SEARCH(Filter!$E$7,$J1163))),OR(Filter!$H$7="(alle)",ISNUMBER(SEARCH(Filter!$H$7,$I1163))),OR(Filter!$B$9="",ISNUMBER(SEARCH(Filter!$B$9,$F1163&amp;" "&amp;$G1163)))),COUNTIF($O$6:$O1162,"&gt;0")+1,0))</f>
        <v>1157</v>
      </c>
    </row>
    <row r="1164" customFormat="false" ht="51" hidden="false" customHeight="true" outlineLevel="0" collapsed="false">
      <c r="B1164" s="30" t="s">
        <v>5446</v>
      </c>
      <c r="C1164" s="30" t="s">
        <v>218</v>
      </c>
      <c r="D1164" s="30" t="s">
        <v>5447</v>
      </c>
      <c r="E1164" s="30" t="s">
        <v>604</v>
      </c>
      <c r="F1164" s="30" t="s">
        <v>5448</v>
      </c>
      <c r="G1164" s="30" t="s">
        <v>5448</v>
      </c>
      <c r="H1164" s="30" t="s">
        <v>5435</v>
      </c>
      <c r="I1164" s="30" t="s">
        <v>3847</v>
      </c>
      <c r="J1164" s="30" t="s">
        <v>2121</v>
      </c>
      <c r="K1164" s="31" t="s">
        <v>47</v>
      </c>
      <c r="L1164" s="32"/>
      <c r="M1164" s="33"/>
      <c r="N1164" s="30" t="s">
        <v>48</v>
      </c>
      <c r="O1164" s="1" t="n">
        <f aca="false">IF($B1164="",0,IF(AND(OR(Filter!$B$5="(alle)",$N1164=Filter!$B$5),OR(Filter!$E$5="(alle)",$K1164=Filter!$E$5),OR(Filter!$H$5="(alle)",$C1164=Filter!$H$5),OR(Filter!$B$7="(alle)",$E1164=Filter!$B$7),OR(Filter!$E$7="(alle)",ISNUMBER(SEARCH(Filter!$E$7,$J1164))),OR(Filter!$H$7="(alle)",ISNUMBER(SEARCH(Filter!$H$7,$I1164))),OR(Filter!$B$9="",ISNUMBER(SEARCH(Filter!$B$9,$F1164&amp;" "&amp;$G1164)))),COUNTIF($O$6:$O1163,"&gt;0")+1,0))</f>
        <v>1158</v>
      </c>
    </row>
    <row r="1165" customFormat="false" ht="51" hidden="false" customHeight="true" outlineLevel="0" collapsed="false">
      <c r="B1165" s="30" t="s">
        <v>5449</v>
      </c>
      <c r="C1165" s="30" t="s">
        <v>218</v>
      </c>
      <c r="D1165" s="30" t="s">
        <v>5450</v>
      </c>
      <c r="E1165" s="30" t="s">
        <v>547</v>
      </c>
      <c r="F1165" s="30" t="s">
        <v>5451</v>
      </c>
      <c r="G1165" s="30" t="s">
        <v>5451</v>
      </c>
      <c r="H1165" s="30" t="s">
        <v>5432</v>
      </c>
      <c r="I1165" s="30" t="s">
        <v>476</v>
      </c>
      <c r="J1165" s="30" t="s">
        <v>476</v>
      </c>
      <c r="K1165" s="31" t="s">
        <v>47</v>
      </c>
      <c r="L1165" s="32"/>
      <c r="M1165" s="33"/>
      <c r="N1165" s="30" t="s">
        <v>48</v>
      </c>
      <c r="O1165" s="1" t="n">
        <f aca="false">IF($B1165="",0,IF(AND(OR(Filter!$B$5="(alle)",$N1165=Filter!$B$5),OR(Filter!$E$5="(alle)",$K1165=Filter!$E$5),OR(Filter!$H$5="(alle)",$C1165=Filter!$H$5),OR(Filter!$B$7="(alle)",$E1165=Filter!$B$7),OR(Filter!$E$7="(alle)",ISNUMBER(SEARCH(Filter!$E$7,$J1165))),OR(Filter!$H$7="(alle)",ISNUMBER(SEARCH(Filter!$H$7,$I1165))),OR(Filter!$B$9="",ISNUMBER(SEARCH(Filter!$B$9,$F1165&amp;" "&amp;$G1165)))),COUNTIF($O$6:$O1164,"&gt;0")+1,0))</f>
        <v>1159</v>
      </c>
    </row>
    <row r="1166" customFormat="false" ht="51" hidden="false" customHeight="true" outlineLevel="0" collapsed="false">
      <c r="B1166" s="30" t="s">
        <v>5452</v>
      </c>
      <c r="C1166" s="30" t="s">
        <v>218</v>
      </c>
      <c r="D1166" s="30" t="s">
        <v>5453</v>
      </c>
      <c r="E1166" s="30" t="s">
        <v>102</v>
      </c>
      <c r="F1166" s="30" t="s">
        <v>5454</v>
      </c>
      <c r="G1166" s="30" t="s">
        <v>5455</v>
      </c>
      <c r="H1166" s="30" t="s">
        <v>5435</v>
      </c>
      <c r="I1166" s="30" t="s">
        <v>45</v>
      </c>
      <c r="J1166" s="30" t="s">
        <v>70</v>
      </c>
      <c r="K1166" s="31" t="s">
        <v>47</v>
      </c>
      <c r="L1166" s="32"/>
      <c r="M1166" s="33"/>
      <c r="N1166" s="30" t="s">
        <v>48</v>
      </c>
      <c r="O1166" s="1" t="n">
        <f aca="false">IF($B1166="",0,IF(AND(OR(Filter!$B$5="(alle)",$N1166=Filter!$B$5),OR(Filter!$E$5="(alle)",$K1166=Filter!$E$5),OR(Filter!$H$5="(alle)",$C1166=Filter!$H$5),OR(Filter!$B$7="(alle)",$E1166=Filter!$B$7),OR(Filter!$E$7="(alle)",ISNUMBER(SEARCH(Filter!$E$7,$J1166))),OR(Filter!$H$7="(alle)",ISNUMBER(SEARCH(Filter!$H$7,$I1166))),OR(Filter!$B$9="",ISNUMBER(SEARCH(Filter!$B$9,$F1166&amp;" "&amp;$G1166)))),COUNTIF($O$6:$O1165,"&gt;0")+1,0))</f>
        <v>1160</v>
      </c>
    </row>
    <row r="1167" customFormat="false" ht="51" hidden="false" customHeight="true" outlineLevel="0" collapsed="false">
      <c r="B1167" s="30" t="s">
        <v>5456</v>
      </c>
      <c r="C1167" s="30" t="s">
        <v>218</v>
      </c>
      <c r="D1167" s="30" t="s">
        <v>5457</v>
      </c>
      <c r="E1167" s="30" t="s">
        <v>102</v>
      </c>
      <c r="F1167" s="30" t="s">
        <v>5458</v>
      </c>
      <c r="G1167" s="30" t="s">
        <v>5458</v>
      </c>
      <c r="H1167" s="30" t="s">
        <v>5459</v>
      </c>
      <c r="I1167" s="30" t="s">
        <v>45</v>
      </c>
      <c r="J1167" s="30" t="s">
        <v>70</v>
      </c>
      <c r="K1167" s="31" t="s">
        <v>47</v>
      </c>
      <c r="L1167" s="32"/>
      <c r="M1167" s="33"/>
      <c r="N1167" s="30" t="s">
        <v>48</v>
      </c>
      <c r="O1167" s="1" t="n">
        <f aca="false">IF($B1167="",0,IF(AND(OR(Filter!$B$5="(alle)",$N1167=Filter!$B$5),OR(Filter!$E$5="(alle)",$K1167=Filter!$E$5),OR(Filter!$H$5="(alle)",$C1167=Filter!$H$5),OR(Filter!$B$7="(alle)",$E1167=Filter!$B$7),OR(Filter!$E$7="(alle)",ISNUMBER(SEARCH(Filter!$E$7,$J1167))),OR(Filter!$H$7="(alle)",ISNUMBER(SEARCH(Filter!$H$7,$I1167))),OR(Filter!$B$9="",ISNUMBER(SEARCH(Filter!$B$9,$F1167&amp;" "&amp;$G1167)))),COUNTIF($O$6:$O1166,"&gt;0")+1,0))</f>
        <v>1161</v>
      </c>
    </row>
    <row r="1168" customFormat="false" ht="51" hidden="false" customHeight="true" outlineLevel="0" collapsed="false">
      <c r="B1168" s="30" t="s">
        <v>5460</v>
      </c>
      <c r="C1168" s="30" t="s">
        <v>218</v>
      </c>
      <c r="D1168" s="30" t="s">
        <v>5461</v>
      </c>
      <c r="E1168" s="30" t="s">
        <v>102</v>
      </c>
      <c r="F1168" s="30" t="s">
        <v>5462</v>
      </c>
      <c r="G1168" s="30" t="s">
        <v>5462</v>
      </c>
      <c r="H1168" s="30" t="s">
        <v>5459</v>
      </c>
      <c r="I1168" s="30" t="s">
        <v>45</v>
      </c>
      <c r="J1168" s="30" t="s">
        <v>70</v>
      </c>
      <c r="K1168" s="31" t="s">
        <v>47</v>
      </c>
      <c r="L1168" s="32"/>
      <c r="M1168" s="33"/>
      <c r="N1168" s="30" t="s">
        <v>48</v>
      </c>
      <c r="O1168" s="1" t="n">
        <f aca="false">IF($B1168="",0,IF(AND(OR(Filter!$B$5="(alle)",$N1168=Filter!$B$5),OR(Filter!$E$5="(alle)",$K1168=Filter!$E$5),OR(Filter!$H$5="(alle)",$C1168=Filter!$H$5),OR(Filter!$B$7="(alle)",$E1168=Filter!$B$7),OR(Filter!$E$7="(alle)",ISNUMBER(SEARCH(Filter!$E$7,$J1168))),OR(Filter!$H$7="(alle)",ISNUMBER(SEARCH(Filter!$H$7,$I1168))),OR(Filter!$B$9="",ISNUMBER(SEARCH(Filter!$B$9,$F1168&amp;" "&amp;$G1168)))),COUNTIF($O$6:$O1167,"&gt;0")+1,0))</f>
        <v>1162</v>
      </c>
    </row>
    <row r="1169" customFormat="false" ht="51" hidden="false" customHeight="true" outlineLevel="0" collapsed="false">
      <c r="B1169" s="30" t="s">
        <v>5463</v>
      </c>
      <c r="C1169" s="30" t="s">
        <v>218</v>
      </c>
      <c r="D1169" s="30" t="s">
        <v>5464</v>
      </c>
      <c r="E1169" s="30" t="s">
        <v>604</v>
      </c>
      <c r="F1169" s="30" t="s">
        <v>5465</v>
      </c>
      <c r="G1169" s="30" t="s">
        <v>5465</v>
      </c>
      <c r="H1169" s="30" t="s">
        <v>5466</v>
      </c>
      <c r="I1169" s="30" t="s">
        <v>3700</v>
      </c>
      <c r="J1169" s="30" t="s">
        <v>159</v>
      </c>
      <c r="K1169" s="31" t="s">
        <v>47</v>
      </c>
      <c r="L1169" s="32"/>
      <c r="M1169" s="33"/>
      <c r="N1169" s="30" t="s">
        <v>48</v>
      </c>
      <c r="O1169" s="1" t="n">
        <f aca="false">IF($B1169="",0,IF(AND(OR(Filter!$B$5="(alle)",$N1169=Filter!$B$5),OR(Filter!$E$5="(alle)",$K1169=Filter!$E$5),OR(Filter!$H$5="(alle)",$C1169=Filter!$H$5),OR(Filter!$B$7="(alle)",$E1169=Filter!$B$7),OR(Filter!$E$7="(alle)",ISNUMBER(SEARCH(Filter!$E$7,$J1169))),OR(Filter!$H$7="(alle)",ISNUMBER(SEARCH(Filter!$H$7,$I1169))),OR(Filter!$B$9="",ISNUMBER(SEARCH(Filter!$B$9,$F1169&amp;" "&amp;$G1169)))),COUNTIF($O$6:$O1168,"&gt;0")+1,0))</f>
        <v>1163</v>
      </c>
    </row>
    <row r="1170" customFormat="false" ht="51" hidden="false" customHeight="true" outlineLevel="0" collapsed="false">
      <c r="B1170" s="30" t="s">
        <v>5467</v>
      </c>
      <c r="C1170" s="30" t="s">
        <v>218</v>
      </c>
      <c r="D1170" s="30" t="s">
        <v>5468</v>
      </c>
      <c r="E1170" s="30" t="s">
        <v>547</v>
      </c>
      <c r="F1170" s="30" t="s">
        <v>5469</v>
      </c>
      <c r="G1170" s="30" t="s">
        <v>5469</v>
      </c>
      <c r="H1170" s="30" t="s">
        <v>5470</v>
      </c>
      <c r="I1170" s="30" t="s">
        <v>476</v>
      </c>
      <c r="J1170" s="30" t="s">
        <v>476</v>
      </c>
      <c r="K1170" s="31" t="s">
        <v>47</v>
      </c>
      <c r="L1170" s="32"/>
      <c r="M1170" s="33"/>
      <c r="N1170" s="30" t="s">
        <v>48</v>
      </c>
      <c r="O1170" s="1" t="n">
        <f aca="false">IF($B1170="",0,IF(AND(OR(Filter!$B$5="(alle)",$N1170=Filter!$B$5),OR(Filter!$E$5="(alle)",$K1170=Filter!$E$5),OR(Filter!$H$5="(alle)",$C1170=Filter!$H$5),OR(Filter!$B$7="(alle)",$E1170=Filter!$B$7),OR(Filter!$E$7="(alle)",ISNUMBER(SEARCH(Filter!$E$7,$J1170))),OR(Filter!$H$7="(alle)",ISNUMBER(SEARCH(Filter!$H$7,$I1170))),OR(Filter!$B$9="",ISNUMBER(SEARCH(Filter!$B$9,$F1170&amp;" "&amp;$G1170)))),COUNTIF($O$6:$O1169,"&gt;0")+1,0))</f>
        <v>1164</v>
      </c>
    </row>
    <row r="1171" customFormat="false" ht="51" hidden="false" customHeight="true" outlineLevel="0" collapsed="false">
      <c r="B1171" s="30" t="s">
        <v>5471</v>
      </c>
      <c r="C1171" s="30" t="s">
        <v>218</v>
      </c>
      <c r="D1171" s="30" t="s">
        <v>5472</v>
      </c>
      <c r="E1171" s="30" t="s">
        <v>604</v>
      </c>
      <c r="F1171" s="30" t="s">
        <v>5473</v>
      </c>
      <c r="G1171" s="30" t="s">
        <v>5473</v>
      </c>
      <c r="H1171" s="30" t="s">
        <v>5466</v>
      </c>
      <c r="I1171" s="30" t="s">
        <v>3700</v>
      </c>
      <c r="J1171" s="30" t="s">
        <v>159</v>
      </c>
      <c r="K1171" s="31" t="s">
        <v>47</v>
      </c>
      <c r="L1171" s="32"/>
      <c r="M1171" s="33"/>
      <c r="N1171" s="30" t="s">
        <v>48</v>
      </c>
      <c r="O1171" s="1" t="n">
        <f aca="false">IF($B1171="",0,IF(AND(OR(Filter!$B$5="(alle)",$N1171=Filter!$B$5),OR(Filter!$E$5="(alle)",$K1171=Filter!$E$5),OR(Filter!$H$5="(alle)",$C1171=Filter!$H$5),OR(Filter!$B$7="(alle)",$E1171=Filter!$B$7),OR(Filter!$E$7="(alle)",ISNUMBER(SEARCH(Filter!$E$7,$J1171))),OR(Filter!$H$7="(alle)",ISNUMBER(SEARCH(Filter!$H$7,$I1171))),OR(Filter!$B$9="",ISNUMBER(SEARCH(Filter!$B$9,$F1171&amp;" "&amp;$G1171)))),COUNTIF($O$6:$O1170,"&gt;0")+1,0))</f>
        <v>1165</v>
      </c>
    </row>
    <row r="1172" customFormat="false" ht="51" hidden="false" customHeight="true" outlineLevel="0" collapsed="false">
      <c r="B1172" s="30" t="s">
        <v>5474</v>
      </c>
      <c r="C1172" s="30" t="s">
        <v>218</v>
      </c>
      <c r="D1172" s="30" t="s">
        <v>5475</v>
      </c>
      <c r="E1172" s="30" t="s">
        <v>355</v>
      </c>
      <c r="F1172" s="30" t="s">
        <v>5476</v>
      </c>
      <c r="G1172" s="30" t="s">
        <v>5476</v>
      </c>
      <c r="H1172" s="30" t="s">
        <v>5466</v>
      </c>
      <c r="I1172" s="30" t="s">
        <v>306</v>
      </c>
      <c r="J1172" s="30" t="s">
        <v>206</v>
      </c>
      <c r="K1172" s="31" t="s">
        <v>47</v>
      </c>
      <c r="L1172" s="32"/>
      <c r="M1172" s="33"/>
      <c r="N1172" s="30" t="s">
        <v>48</v>
      </c>
      <c r="O1172" s="1" t="n">
        <f aca="false">IF($B1172="",0,IF(AND(OR(Filter!$B$5="(alle)",$N1172=Filter!$B$5),OR(Filter!$E$5="(alle)",$K1172=Filter!$E$5),OR(Filter!$H$5="(alle)",$C1172=Filter!$H$5),OR(Filter!$B$7="(alle)",$E1172=Filter!$B$7),OR(Filter!$E$7="(alle)",ISNUMBER(SEARCH(Filter!$E$7,$J1172))),OR(Filter!$H$7="(alle)",ISNUMBER(SEARCH(Filter!$H$7,$I1172))),OR(Filter!$B$9="",ISNUMBER(SEARCH(Filter!$B$9,$F1172&amp;" "&amp;$G1172)))),COUNTIF($O$6:$O1171,"&gt;0")+1,0))</f>
        <v>1166</v>
      </c>
    </row>
    <row r="1173" customFormat="false" ht="51" hidden="false" customHeight="true" outlineLevel="0" collapsed="false">
      <c r="B1173" s="30" t="s">
        <v>5477</v>
      </c>
      <c r="C1173" s="30" t="s">
        <v>218</v>
      </c>
      <c r="D1173" s="30" t="s">
        <v>5478</v>
      </c>
      <c r="E1173" s="30" t="s">
        <v>604</v>
      </c>
      <c r="F1173" s="30" t="s">
        <v>5479</v>
      </c>
      <c r="G1173" s="30" t="s">
        <v>5480</v>
      </c>
      <c r="H1173" s="30" t="s">
        <v>5481</v>
      </c>
      <c r="I1173" s="30" t="s">
        <v>3700</v>
      </c>
      <c r="J1173" s="30" t="s">
        <v>159</v>
      </c>
      <c r="K1173" s="31" t="s">
        <v>47</v>
      </c>
      <c r="L1173" s="32"/>
      <c r="M1173" s="33"/>
      <c r="N1173" s="30" t="s">
        <v>48</v>
      </c>
      <c r="O1173" s="1" t="n">
        <f aca="false">IF($B1173="",0,IF(AND(OR(Filter!$B$5="(alle)",$N1173=Filter!$B$5),OR(Filter!$E$5="(alle)",$K1173=Filter!$E$5),OR(Filter!$H$5="(alle)",$C1173=Filter!$H$5),OR(Filter!$B$7="(alle)",$E1173=Filter!$B$7),OR(Filter!$E$7="(alle)",ISNUMBER(SEARCH(Filter!$E$7,$J1173))),OR(Filter!$H$7="(alle)",ISNUMBER(SEARCH(Filter!$H$7,$I1173))),OR(Filter!$B$9="",ISNUMBER(SEARCH(Filter!$B$9,$F1173&amp;" "&amp;$G1173)))),COUNTIF($O$6:$O1172,"&gt;0")+1,0))</f>
        <v>1167</v>
      </c>
    </row>
    <row r="1174" customFormat="false" ht="51" hidden="false" customHeight="true" outlineLevel="0" collapsed="false">
      <c r="B1174" s="30" t="s">
        <v>5482</v>
      </c>
      <c r="C1174" s="30" t="s">
        <v>218</v>
      </c>
      <c r="D1174" s="30" t="s">
        <v>5483</v>
      </c>
      <c r="E1174" s="30" t="s">
        <v>604</v>
      </c>
      <c r="F1174" s="30" t="s">
        <v>5484</v>
      </c>
      <c r="G1174" s="30" t="s">
        <v>5484</v>
      </c>
      <c r="H1174" s="30" t="s">
        <v>5485</v>
      </c>
      <c r="I1174" s="30" t="s">
        <v>476</v>
      </c>
      <c r="J1174" s="30" t="s">
        <v>476</v>
      </c>
      <c r="K1174" s="31" t="s">
        <v>47</v>
      </c>
      <c r="L1174" s="32"/>
      <c r="M1174" s="33"/>
      <c r="N1174" s="30" t="s">
        <v>48</v>
      </c>
      <c r="O1174" s="1" t="n">
        <f aca="false">IF($B1174="",0,IF(AND(OR(Filter!$B$5="(alle)",$N1174=Filter!$B$5),OR(Filter!$E$5="(alle)",$K1174=Filter!$E$5),OR(Filter!$H$5="(alle)",$C1174=Filter!$H$5),OR(Filter!$B$7="(alle)",$E1174=Filter!$B$7),OR(Filter!$E$7="(alle)",ISNUMBER(SEARCH(Filter!$E$7,$J1174))),OR(Filter!$H$7="(alle)",ISNUMBER(SEARCH(Filter!$H$7,$I1174))),OR(Filter!$B$9="",ISNUMBER(SEARCH(Filter!$B$9,$F1174&amp;" "&amp;$G1174)))),COUNTIF($O$6:$O1173,"&gt;0")+1,0))</f>
        <v>1168</v>
      </c>
    </row>
    <row r="1175" customFormat="false" ht="51" hidden="false" customHeight="true" outlineLevel="0" collapsed="false">
      <c r="B1175" s="30" t="s">
        <v>5486</v>
      </c>
      <c r="C1175" s="30" t="s">
        <v>218</v>
      </c>
      <c r="D1175" s="30" t="s">
        <v>5487</v>
      </c>
      <c r="E1175" s="30" t="s">
        <v>604</v>
      </c>
      <c r="F1175" s="30" t="s">
        <v>5488</v>
      </c>
      <c r="G1175" s="30" t="s">
        <v>5489</v>
      </c>
      <c r="H1175" s="30" t="s">
        <v>5481</v>
      </c>
      <c r="I1175" s="30" t="s">
        <v>3700</v>
      </c>
      <c r="J1175" s="30" t="s">
        <v>159</v>
      </c>
      <c r="K1175" s="31" t="s">
        <v>47</v>
      </c>
      <c r="L1175" s="32"/>
      <c r="M1175" s="33"/>
      <c r="N1175" s="30" t="s">
        <v>48</v>
      </c>
      <c r="O1175" s="1" t="n">
        <f aca="false">IF($B1175="",0,IF(AND(OR(Filter!$B$5="(alle)",$N1175=Filter!$B$5),OR(Filter!$E$5="(alle)",$K1175=Filter!$E$5),OR(Filter!$H$5="(alle)",$C1175=Filter!$H$5),OR(Filter!$B$7="(alle)",$E1175=Filter!$B$7),OR(Filter!$E$7="(alle)",ISNUMBER(SEARCH(Filter!$E$7,$J1175))),OR(Filter!$H$7="(alle)",ISNUMBER(SEARCH(Filter!$H$7,$I1175))),OR(Filter!$B$9="",ISNUMBER(SEARCH(Filter!$B$9,$F1175&amp;" "&amp;$G1175)))),COUNTIF($O$6:$O1174,"&gt;0")+1,0))</f>
        <v>1169</v>
      </c>
    </row>
    <row r="1176" customFormat="false" ht="51" hidden="false" customHeight="true" outlineLevel="0" collapsed="false">
      <c r="B1176" s="30" t="s">
        <v>5490</v>
      </c>
      <c r="C1176" s="30" t="s">
        <v>218</v>
      </c>
      <c r="D1176" s="30" t="s">
        <v>5491</v>
      </c>
      <c r="E1176" s="30" t="s">
        <v>604</v>
      </c>
      <c r="F1176" s="30" t="s">
        <v>5492</v>
      </c>
      <c r="G1176" s="30" t="s">
        <v>5493</v>
      </c>
      <c r="H1176" s="30" t="s">
        <v>5481</v>
      </c>
      <c r="I1176" s="30" t="s">
        <v>3700</v>
      </c>
      <c r="J1176" s="30" t="s">
        <v>159</v>
      </c>
      <c r="K1176" s="31" t="s">
        <v>47</v>
      </c>
      <c r="L1176" s="32"/>
      <c r="M1176" s="33"/>
      <c r="N1176" s="30" t="s">
        <v>48</v>
      </c>
      <c r="O1176" s="1" t="n">
        <f aca="false">IF($B1176="",0,IF(AND(OR(Filter!$B$5="(alle)",$N1176=Filter!$B$5),OR(Filter!$E$5="(alle)",$K1176=Filter!$E$5),OR(Filter!$H$5="(alle)",$C1176=Filter!$H$5),OR(Filter!$B$7="(alle)",$E1176=Filter!$B$7),OR(Filter!$E$7="(alle)",ISNUMBER(SEARCH(Filter!$E$7,$J1176))),OR(Filter!$H$7="(alle)",ISNUMBER(SEARCH(Filter!$H$7,$I1176))),OR(Filter!$B$9="",ISNUMBER(SEARCH(Filter!$B$9,$F1176&amp;" "&amp;$G1176)))),COUNTIF($O$6:$O1175,"&gt;0")+1,0))</f>
        <v>1170</v>
      </c>
    </row>
    <row r="1177" customFormat="false" ht="51" hidden="false" customHeight="true" outlineLevel="0" collapsed="false">
      <c r="B1177" s="30" t="s">
        <v>5494</v>
      </c>
      <c r="C1177" s="30" t="s">
        <v>218</v>
      </c>
      <c r="D1177" s="30" t="s">
        <v>5495</v>
      </c>
      <c r="E1177" s="30" t="s">
        <v>604</v>
      </c>
      <c r="F1177" s="30" t="s">
        <v>5496</v>
      </c>
      <c r="G1177" s="30" t="s">
        <v>5496</v>
      </c>
      <c r="H1177" s="30" t="s">
        <v>5481</v>
      </c>
      <c r="I1177" s="30" t="s">
        <v>3700</v>
      </c>
      <c r="J1177" s="30" t="s">
        <v>159</v>
      </c>
      <c r="K1177" s="31" t="s">
        <v>47</v>
      </c>
      <c r="L1177" s="32"/>
      <c r="M1177" s="33"/>
      <c r="N1177" s="30" t="s">
        <v>48</v>
      </c>
      <c r="O1177" s="1" t="n">
        <f aca="false">IF($B1177="",0,IF(AND(OR(Filter!$B$5="(alle)",$N1177=Filter!$B$5),OR(Filter!$E$5="(alle)",$K1177=Filter!$E$5),OR(Filter!$H$5="(alle)",$C1177=Filter!$H$5),OR(Filter!$B$7="(alle)",$E1177=Filter!$B$7),OR(Filter!$E$7="(alle)",ISNUMBER(SEARCH(Filter!$E$7,$J1177))),OR(Filter!$H$7="(alle)",ISNUMBER(SEARCH(Filter!$H$7,$I1177))),OR(Filter!$B$9="",ISNUMBER(SEARCH(Filter!$B$9,$F1177&amp;" "&amp;$G1177)))),COUNTIF($O$6:$O1176,"&gt;0")+1,0))</f>
        <v>1171</v>
      </c>
    </row>
    <row r="1178" customFormat="false" ht="51" hidden="false" customHeight="true" outlineLevel="0" collapsed="false">
      <c r="B1178" s="30" t="s">
        <v>5497</v>
      </c>
      <c r="C1178" s="30" t="s">
        <v>218</v>
      </c>
      <c r="D1178" s="30" t="s">
        <v>5498</v>
      </c>
      <c r="E1178" s="30" t="s">
        <v>604</v>
      </c>
      <c r="F1178" s="30" t="s">
        <v>5499</v>
      </c>
      <c r="G1178" s="30" t="s">
        <v>5499</v>
      </c>
      <c r="H1178" s="30" t="s">
        <v>5500</v>
      </c>
      <c r="I1178" s="30" t="s">
        <v>476</v>
      </c>
      <c r="J1178" s="30" t="s">
        <v>476</v>
      </c>
      <c r="K1178" s="31" t="s">
        <v>47</v>
      </c>
      <c r="L1178" s="32"/>
      <c r="M1178" s="33"/>
      <c r="N1178" s="30" t="s">
        <v>48</v>
      </c>
      <c r="O1178" s="1" t="n">
        <f aca="false">IF($B1178="",0,IF(AND(OR(Filter!$B$5="(alle)",$N1178=Filter!$B$5),OR(Filter!$E$5="(alle)",$K1178=Filter!$E$5),OR(Filter!$H$5="(alle)",$C1178=Filter!$H$5),OR(Filter!$B$7="(alle)",$E1178=Filter!$B$7),OR(Filter!$E$7="(alle)",ISNUMBER(SEARCH(Filter!$E$7,$J1178))),OR(Filter!$H$7="(alle)",ISNUMBER(SEARCH(Filter!$H$7,$I1178))),OR(Filter!$B$9="",ISNUMBER(SEARCH(Filter!$B$9,$F1178&amp;" "&amp;$G1178)))),COUNTIF($O$6:$O1177,"&gt;0")+1,0))</f>
        <v>1172</v>
      </c>
    </row>
    <row r="1179" customFormat="false" ht="51" hidden="false" customHeight="true" outlineLevel="0" collapsed="false">
      <c r="B1179" s="30" t="s">
        <v>5501</v>
      </c>
      <c r="C1179" s="30" t="s">
        <v>218</v>
      </c>
      <c r="D1179" s="30" t="s">
        <v>5502</v>
      </c>
      <c r="E1179" s="30" t="s">
        <v>604</v>
      </c>
      <c r="F1179" s="30" t="s">
        <v>5503</v>
      </c>
      <c r="G1179" s="30" t="s">
        <v>5503</v>
      </c>
      <c r="H1179" s="30" t="s">
        <v>5504</v>
      </c>
      <c r="I1179" s="30" t="s">
        <v>476</v>
      </c>
      <c r="J1179" s="30" t="s">
        <v>476</v>
      </c>
      <c r="K1179" s="31" t="s">
        <v>47</v>
      </c>
      <c r="L1179" s="32"/>
      <c r="M1179" s="33"/>
      <c r="N1179" s="30" t="s">
        <v>48</v>
      </c>
      <c r="O1179" s="1" t="n">
        <f aca="false">IF($B1179="",0,IF(AND(OR(Filter!$B$5="(alle)",$N1179=Filter!$B$5),OR(Filter!$E$5="(alle)",$K1179=Filter!$E$5),OR(Filter!$H$5="(alle)",$C1179=Filter!$H$5),OR(Filter!$B$7="(alle)",$E1179=Filter!$B$7),OR(Filter!$E$7="(alle)",ISNUMBER(SEARCH(Filter!$E$7,$J1179))),OR(Filter!$H$7="(alle)",ISNUMBER(SEARCH(Filter!$H$7,$I1179))),OR(Filter!$B$9="",ISNUMBER(SEARCH(Filter!$B$9,$F1179&amp;" "&amp;$G1179)))),COUNTIF($O$6:$O1178,"&gt;0")+1,0))</f>
        <v>1173</v>
      </c>
    </row>
    <row r="1180" customFormat="false" ht="51" hidden="false" customHeight="true" outlineLevel="0" collapsed="false">
      <c r="B1180" s="30" t="s">
        <v>5505</v>
      </c>
      <c r="C1180" s="30" t="s">
        <v>218</v>
      </c>
      <c r="D1180" s="30" t="s">
        <v>5506</v>
      </c>
      <c r="E1180" s="30" t="s">
        <v>604</v>
      </c>
      <c r="F1180" s="30" t="s">
        <v>5507</v>
      </c>
      <c r="G1180" s="30" t="s">
        <v>5508</v>
      </c>
      <c r="H1180" s="30" t="s">
        <v>5509</v>
      </c>
      <c r="I1180" s="30" t="s">
        <v>3700</v>
      </c>
      <c r="J1180" s="30" t="s">
        <v>159</v>
      </c>
      <c r="K1180" s="31" t="s">
        <v>47</v>
      </c>
      <c r="L1180" s="32"/>
      <c r="M1180" s="33"/>
      <c r="N1180" s="30" t="s">
        <v>48</v>
      </c>
      <c r="O1180" s="1" t="n">
        <f aca="false">IF($B1180="",0,IF(AND(OR(Filter!$B$5="(alle)",$N1180=Filter!$B$5),OR(Filter!$E$5="(alle)",$K1180=Filter!$E$5),OR(Filter!$H$5="(alle)",$C1180=Filter!$H$5),OR(Filter!$B$7="(alle)",$E1180=Filter!$B$7),OR(Filter!$E$7="(alle)",ISNUMBER(SEARCH(Filter!$E$7,$J1180))),OR(Filter!$H$7="(alle)",ISNUMBER(SEARCH(Filter!$H$7,$I1180))),OR(Filter!$B$9="",ISNUMBER(SEARCH(Filter!$B$9,$F1180&amp;" "&amp;$G1180)))),COUNTIF($O$6:$O1179,"&gt;0")+1,0))</f>
        <v>1174</v>
      </c>
    </row>
    <row r="1181" customFormat="false" ht="51" hidden="false" customHeight="true" outlineLevel="0" collapsed="false">
      <c r="B1181" s="30" t="s">
        <v>5510</v>
      </c>
      <c r="C1181" s="30" t="s">
        <v>218</v>
      </c>
      <c r="D1181" s="30" t="s">
        <v>5511</v>
      </c>
      <c r="E1181" s="30" t="s">
        <v>604</v>
      </c>
      <c r="F1181" s="30" t="s">
        <v>5512</v>
      </c>
      <c r="G1181" s="30" t="s">
        <v>5512</v>
      </c>
      <c r="H1181" s="30" t="s">
        <v>5504</v>
      </c>
      <c r="I1181" s="30" t="s">
        <v>476</v>
      </c>
      <c r="J1181" s="30" t="s">
        <v>476</v>
      </c>
      <c r="K1181" s="31" t="s">
        <v>47</v>
      </c>
      <c r="L1181" s="32"/>
      <c r="M1181" s="33"/>
      <c r="N1181" s="30" t="s">
        <v>48</v>
      </c>
      <c r="O1181" s="1" t="n">
        <f aca="false">IF($B1181="",0,IF(AND(OR(Filter!$B$5="(alle)",$N1181=Filter!$B$5),OR(Filter!$E$5="(alle)",$K1181=Filter!$E$5),OR(Filter!$H$5="(alle)",$C1181=Filter!$H$5),OR(Filter!$B$7="(alle)",$E1181=Filter!$B$7),OR(Filter!$E$7="(alle)",ISNUMBER(SEARCH(Filter!$E$7,$J1181))),OR(Filter!$H$7="(alle)",ISNUMBER(SEARCH(Filter!$H$7,$I1181))),OR(Filter!$B$9="",ISNUMBER(SEARCH(Filter!$B$9,$F1181&amp;" "&amp;$G1181)))),COUNTIF($O$6:$O1180,"&gt;0")+1,0))</f>
        <v>1175</v>
      </c>
    </row>
    <row r="1182" customFormat="false" ht="51" hidden="false" customHeight="true" outlineLevel="0" collapsed="false">
      <c r="B1182" s="30" t="s">
        <v>5513</v>
      </c>
      <c r="C1182" s="30" t="s">
        <v>218</v>
      </c>
      <c r="D1182" s="30" t="s">
        <v>5514</v>
      </c>
      <c r="E1182" s="30" t="s">
        <v>604</v>
      </c>
      <c r="F1182" s="30" t="s">
        <v>5515</v>
      </c>
      <c r="G1182" s="30" t="s">
        <v>5515</v>
      </c>
      <c r="H1182" s="30" t="s">
        <v>5504</v>
      </c>
      <c r="I1182" s="30" t="s">
        <v>476</v>
      </c>
      <c r="J1182" s="30" t="s">
        <v>476</v>
      </c>
      <c r="K1182" s="31" t="s">
        <v>47</v>
      </c>
      <c r="L1182" s="32"/>
      <c r="M1182" s="33"/>
      <c r="N1182" s="30" t="s">
        <v>48</v>
      </c>
      <c r="O1182" s="1" t="n">
        <f aca="false">IF($B1182="",0,IF(AND(OR(Filter!$B$5="(alle)",$N1182=Filter!$B$5),OR(Filter!$E$5="(alle)",$K1182=Filter!$E$5),OR(Filter!$H$5="(alle)",$C1182=Filter!$H$5),OR(Filter!$B$7="(alle)",$E1182=Filter!$B$7),OR(Filter!$E$7="(alle)",ISNUMBER(SEARCH(Filter!$E$7,$J1182))),OR(Filter!$H$7="(alle)",ISNUMBER(SEARCH(Filter!$H$7,$I1182))),OR(Filter!$B$9="",ISNUMBER(SEARCH(Filter!$B$9,$F1182&amp;" "&amp;$G1182)))),COUNTIF($O$6:$O1181,"&gt;0")+1,0))</f>
        <v>1176</v>
      </c>
    </row>
    <row r="1183" customFormat="false" ht="51" hidden="false" customHeight="true" outlineLevel="0" collapsed="false">
      <c r="B1183" s="30" t="s">
        <v>5516</v>
      </c>
      <c r="C1183" s="30" t="s">
        <v>218</v>
      </c>
      <c r="D1183" s="30" t="s">
        <v>5517</v>
      </c>
      <c r="E1183" s="30" t="s">
        <v>604</v>
      </c>
      <c r="F1183" s="30" t="s">
        <v>5518</v>
      </c>
      <c r="G1183" s="30" t="s">
        <v>5518</v>
      </c>
      <c r="H1183" s="30" t="s">
        <v>5519</v>
      </c>
      <c r="I1183" s="30" t="s">
        <v>476</v>
      </c>
      <c r="J1183" s="30" t="s">
        <v>476</v>
      </c>
      <c r="K1183" s="31" t="s">
        <v>47</v>
      </c>
      <c r="L1183" s="32"/>
      <c r="M1183" s="33"/>
      <c r="N1183" s="30" t="s">
        <v>48</v>
      </c>
      <c r="O1183" s="1" t="n">
        <f aca="false">IF($B1183="",0,IF(AND(OR(Filter!$B$5="(alle)",$N1183=Filter!$B$5),OR(Filter!$E$5="(alle)",$K1183=Filter!$E$5),OR(Filter!$H$5="(alle)",$C1183=Filter!$H$5),OR(Filter!$B$7="(alle)",$E1183=Filter!$B$7),OR(Filter!$E$7="(alle)",ISNUMBER(SEARCH(Filter!$E$7,$J1183))),OR(Filter!$H$7="(alle)",ISNUMBER(SEARCH(Filter!$H$7,$I1183))),OR(Filter!$B$9="",ISNUMBER(SEARCH(Filter!$B$9,$F1183&amp;" "&amp;$G1183)))),COUNTIF($O$6:$O1182,"&gt;0")+1,0))</f>
        <v>1177</v>
      </c>
    </row>
    <row r="1184" customFormat="false" ht="51" hidden="false" customHeight="true" outlineLevel="0" collapsed="false">
      <c r="B1184" s="30" t="s">
        <v>5520</v>
      </c>
      <c r="C1184" s="30" t="s">
        <v>218</v>
      </c>
      <c r="D1184" s="30" t="s">
        <v>5521</v>
      </c>
      <c r="E1184" s="30" t="s">
        <v>604</v>
      </c>
      <c r="F1184" s="30" t="s">
        <v>5522</v>
      </c>
      <c r="G1184" s="30" t="s">
        <v>5522</v>
      </c>
      <c r="H1184" s="30" t="s">
        <v>5519</v>
      </c>
      <c r="I1184" s="30" t="s">
        <v>476</v>
      </c>
      <c r="J1184" s="30" t="s">
        <v>476</v>
      </c>
      <c r="K1184" s="31" t="s">
        <v>47</v>
      </c>
      <c r="L1184" s="32"/>
      <c r="M1184" s="33"/>
      <c r="N1184" s="30" t="s">
        <v>48</v>
      </c>
      <c r="O1184" s="1" t="n">
        <f aca="false">IF($B1184="",0,IF(AND(OR(Filter!$B$5="(alle)",$N1184=Filter!$B$5),OR(Filter!$E$5="(alle)",$K1184=Filter!$E$5),OR(Filter!$H$5="(alle)",$C1184=Filter!$H$5),OR(Filter!$B$7="(alle)",$E1184=Filter!$B$7),OR(Filter!$E$7="(alle)",ISNUMBER(SEARCH(Filter!$E$7,$J1184))),OR(Filter!$H$7="(alle)",ISNUMBER(SEARCH(Filter!$H$7,$I1184))),OR(Filter!$B$9="",ISNUMBER(SEARCH(Filter!$B$9,$F1184&amp;" "&amp;$G1184)))),COUNTIF($O$6:$O1183,"&gt;0")+1,0))</f>
        <v>1178</v>
      </c>
    </row>
    <row r="1185" customFormat="false" ht="51" hidden="false" customHeight="true" outlineLevel="0" collapsed="false">
      <c r="B1185" s="30" t="s">
        <v>5523</v>
      </c>
      <c r="C1185" s="30" t="s">
        <v>218</v>
      </c>
      <c r="D1185" s="30" t="s">
        <v>5524</v>
      </c>
      <c r="E1185" s="30" t="s">
        <v>604</v>
      </c>
      <c r="F1185" s="30" t="s">
        <v>5525</v>
      </c>
      <c r="G1185" s="30" t="s">
        <v>5525</v>
      </c>
      <c r="H1185" s="30" t="s">
        <v>5526</v>
      </c>
      <c r="I1185" s="30" t="s">
        <v>3700</v>
      </c>
      <c r="J1185" s="30" t="s">
        <v>159</v>
      </c>
      <c r="K1185" s="31" t="s">
        <v>47</v>
      </c>
      <c r="L1185" s="32"/>
      <c r="M1185" s="33"/>
      <c r="N1185" s="30" t="s">
        <v>48</v>
      </c>
      <c r="O1185" s="1" t="n">
        <f aca="false">IF($B1185="",0,IF(AND(OR(Filter!$B$5="(alle)",$N1185=Filter!$B$5),OR(Filter!$E$5="(alle)",$K1185=Filter!$E$5),OR(Filter!$H$5="(alle)",$C1185=Filter!$H$5),OR(Filter!$B$7="(alle)",$E1185=Filter!$B$7),OR(Filter!$E$7="(alle)",ISNUMBER(SEARCH(Filter!$E$7,$J1185))),OR(Filter!$H$7="(alle)",ISNUMBER(SEARCH(Filter!$H$7,$I1185))),OR(Filter!$B$9="",ISNUMBER(SEARCH(Filter!$B$9,$F1185&amp;" "&amp;$G1185)))),COUNTIF($O$6:$O1184,"&gt;0")+1,0))</f>
        <v>1179</v>
      </c>
    </row>
    <row r="1186" customFormat="false" ht="51" hidden="false" customHeight="true" outlineLevel="0" collapsed="false">
      <c r="B1186" s="30" t="s">
        <v>5527</v>
      </c>
      <c r="C1186" s="30" t="s">
        <v>218</v>
      </c>
      <c r="D1186" s="30" t="s">
        <v>5528</v>
      </c>
      <c r="E1186" s="30" t="s">
        <v>604</v>
      </c>
      <c r="F1186" s="30" t="s">
        <v>5529</v>
      </c>
      <c r="G1186" s="30" t="s">
        <v>5529</v>
      </c>
      <c r="H1186" s="30" t="s">
        <v>5526</v>
      </c>
      <c r="I1186" s="30" t="s">
        <v>3700</v>
      </c>
      <c r="J1186" s="30" t="s">
        <v>159</v>
      </c>
      <c r="K1186" s="31" t="s">
        <v>47</v>
      </c>
      <c r="L1186" s="32"/>
      <c r="M1186" s="33"/>
      <c r="N1186" s="30" t="s">
        <v>48</v>
      </c>
      <c r="O1186" s="1" t="n">
        <f aca="false">IF($B1186="",0,IF(AND(OR(Filter!$B$5="(alle)",$N1186=Filter!$B$5),OR(Filter!$E$5="(alle)",$K1186=Filter!$E$5),OR(Filter!$H$5="(alle)",$C1186=Filter!$H$5),OR(Filter!$B$7="(alle)",$E1186=Filter!$B$7),OR(Filter!$E$7="(alle)",ISNUMBER(SEARCH(Filter!$E$7,$J1186))),OR(Filter!$H$7="(alle)",ISNUMBER(SEARCH(Filter!$H$7,$I1186))),OR(Filter!$B$9="",ISNUMBER(SEARCH(Filter!$B$9,$F1186&amp;" "&amp;$G1186)))),COUNTIF($O$6:$O1185,"&gt;0")+1,0))</f>
        <v>1180</v>
      </c>
    </row>
    <row r="1187" customFormat="false" ht="51" hidden="false" customHeight="true" outlineLevel="0" collapsed="false">
      <c r="B1187" s="30" t="s">
        <v>5530</v>
      </c>
      <c r="C1187" s="30" t="s">
        <v>218</v>
      </c>
      <c r="D1187" s="30" t="s">
        <v>5531</v>
      </c>
      <c r="E1187" s="30" t="s">
        <v>604</v>
      </c>
      <c r="F1187" s="30" t="s">
        <v>5532</v>
      </c>
      <c r="G1187" s="30" t="s">
        <v>5533</v>
      </c>
      <c r="H1187" s="30" t="s">
        <v>5534</v>
      </c>
      <c r="I1187" s="30" t="s">
        <v>476</v>
      </c>
      <c r="J1187" s="30" t="s">
        <v>476</v>
      </c>
      <c r="K1187" s="31" t="s">
        <v>47</v>
      </c>
      <c r="L1187" s="32"/>
      <c r="M1187" s="33"/>
      <c r="N1187" s="30" t="s">
        <v>48</v>
      </c>
      <c r="O1187" s="1" t="n">
        <f aca="false">IF($B1187="",0,IF(AND(OR(Filter!$B$5="(alle)",$N1187=Filter!$B$5),OR(Filter!$E$5="(alle)",$K1187=Filter!$E$5),OR(Filter!$H$5="(alle)",$C1187=Filter!$H$5),OR(Filter!$B$7="(alle)",$E1187=Filter!$B$7),OR(Filter!$E$7="(alle)",ISNUMBER(SEARCH(Filter!$E$7,$J1187))),OR(Filter!$H$7="(alle)",ISNUMBER(SEARCH(Filter!$H$7,$I1187))),OR(Filter!$B$9="",ISNUMBER(SEARCH(Filter!$B$9,$F1187&amp;" "&amp;$G1187)))),COUNTIF($O$6:$O1186,"&gt;0")+1,0))</f>
        <v>1181</v>
      </c>
    </row>
    <row r="1188" customFormat="false" ht="51" hidden="false" customHeight="true" outlineLevel="0" collapsed="false">
      <c r="B1188" s="30" t="s">
        <v>5535</v>
      </c>
      <c r="C1188" s="30" t="s">
        <v>218</v>
      </c>
      <c r="D1188" s="30" t="s">
        <v>5536</v>
      </c>
      <c r="E1188" s="30" t="s">
        <v>604</v>
      </c>
      <c r="F1188" s="30" t="s">
        <v>5537</v>
      </c>
      <c r="G1188" s="30" t="s">
        <v>5538</v>
      </c>
      <c r="H1188" s="30" t="s">
        <v>5539</v>
      </c>
      <c r="I1188" s="30" t="s">
        <v>3700</v>
      </c>
      <c r="J1188" s="30" t="s">
        <v>159</v>
      </c>
      <c r="K1188" s="31" t="s">
        <v>47</v>
      </c>
      <c r="L1188" s="32"/>
      <c r="M1188" s="33"/>
      <c r="N1188" s="30" t="s">
        <v>48</v>
      </c>
      <c r="O1188" s="1" t="n">
        <f aca="false">IF($B1188="",0,IF(AND(OR(Filter!$B$5="(alle)",$N1188=Filter!$B$5),OR(Filter!$E$5="(alle)",$K1188=Filter!$E$5),OR(Filter!$H$5="(alle)",$C1188=Filter!$H$5),OR(Filter!$B$7="(alle)",$E1188=Filter!$B$7),OR(Filter!$E$7="(alle)",ISNUMBER(SEARCH(Filter!$E$7,$J1188))),OR(Filter!$H$7="(alle)",ISNUMBER(SEARCH(Filter!$H$7,$I1188))),OR(Filter!$B$9="",ISNUMBER(SEARCH(Filter!$B$9,$F1188&amp;" "&amp;$G1188)))),COUNTIF($O$6:$O1187,"&gt;0")+1,0))</f>
        <v>1182</v>
      </c>
    </row>
    <row r="1189" customFormat="false" ht="51" hidden="false" customHeight="true" outlineLevel="0" collapsed="false">
      <c r="B1189" s="30" t="s">
        <v>5540</v>
      </c>
      <c r="C1189" s="30" t="s">
        <v>218</v>
      </c>
      <c r="D1189" s="30" t="s">
        <v>5541</v>
      </c>
      <c r="E1189" s="30" t="s">
        <v>547</v>
      </c>
      <c r="F1189" s="30" t="s">
        <v>5542</v>
      </c>
      <c r="G1189" s="30" t="s">
        <v>5542</v>
      </c>
      <c r="H1189" s="30" t="s">
        <v>5539</v>
      </c>
      <c r="I1189" s="30" t="s">
        <v>45</v>
      </c>
      <c r="J1189" s="30" t="s">
        <v>46</v>
      </c>
      <c r="K1189" s="31" t="s">
        <v>47</v>
      </c>
      <c r="L1189" s="32"/>
      <c r="M1189" s="33"/>
      <c r="N1189" s="30" t="s">
        <v>48</v>
      </c>
      <c r="O1189" s="1" t="n">
        <f aca="false">IF($B1189="",0,IF(AND(OR(Filter!$B$5="(alle)",$N1189=Filter!$B$5),OR(Filter!$E$5="(alle)",$K1189=Filter!$E$5),OR(Filter!$H$5="(alle)",$C1189=Filter!$H$5),OR(Filter!$B$7="(alle)",$E1189=Filter!$B$7),OR(Filter!$E$7="(alle)",ISNUMBER(SEARCH(Filter!$E$7,$J1189))),OR(Filter!$H$7="(alle)",ISNUMBER(SEARCH(Filter!$H$7,$I1189))),OR(Filter!$B$9="",ISNUMBER(SEARCH(Filter!$B$9,$F1189&amp;" "&amp;$G1189)))),COUNTIF($O$6:$O1188,"&gt;0")+1,0))</f>
        <v>1183</v>
      </c>
    </row>
    <row r="1190" customFormat="false" ht="51" hidden="false" customHeight="true" outlineLevel="0" collapsed="false">
      <c r="B1190" s="30" t="s">
        <v>5543</v>
      </c>
      <c r="C1190" s="30" t="s">
        <v>218</v>
      </c>
      <c r="D1190" s="30" t="s">
        <v>5544</v>
      </c>
      <c r="E1190" s="30" t="s">
        <v>361</v>
      </c>
      <c r="F1190" s="30" t="s">
        <v>5545</v>
      </c>
      <c r="G1190" s="30" t="s">
        <v>5546</v>
      </c>
      <c r="H1190" s="30" t="s">
        <v>5539</v>
      </c>
      <c r="I1190" s="30" t="s">
        <v>306</v>
      </c>
      <c r="J1190" s="30" t="s">
        <v>206</v>
      </c>
      <c r="K1190" s="31" t="s">
        <v>47</v>
      </c>
      <c r="L1190" s="32"/>
      <c r="M1190" s="33"/>
      <c r="N1190" s="30" t="s">
        <v>48</v>
      </c>
      <c r="O1190" s="1" t="n">
        <f aca="false">IF($B1190="",0,IF(AND(OR(Filter!$B$5="(alle)",$N1190=Filter!$B$5),OR(Filter!$E$5="(alle)",$K1190=Filter!$E$5),OR(Filter!$H$5="(alle)",$C1190=Filter!$H$5),OR(Filter!$B$7="(alle)",$E1190=Filter!$B$7),OR(Filter!$E$7="(alle)",ISNUMBER(SEARCH(Filter!$E$7,$J1190))),OR(Filter!$H$7="(alle)",ISNUMBER(SEARCH(Filter!$H$7,$I1190))),OR(Filter!$B$9="",ISNUMBER(SEARCH(Filter!$B$9,$F1190&amp;" "&amp;$G1190)))),COUNTIF($O$6:$O1189,"&gt;0")+1,0))</f>
        <v>1184</v>
      </c>
    </row>
    <row r="1191" customFormat="false" ht="51" hidden="false" customHeight="true" outlineLevel="0" collapsed="false">
      <c r="B1191" s="30" t="s">
        <v>5547</v>
      </c>
      <c r="C1191" s="30" t="s">
        <v>218</v>
      </c>
      <c r="D1191" s="30" t="s">
        <v>5548</v>
      </c>
      <c r="E1191" s="30" t="s">
        <v>547</v>
      </c>
      <c r="F1191" s="30" t="s">
        <v>5549</v>
      </c>
      <c r="G1191" s="30" t="s">
        <v>5549</v>
      </c>
      <c r="H1191" s="30" t="s">
        <v>5534</v>
      </c>
      <c r="I1191" s="30" t="s">
        <v>476</v>
      </c>
      <c r="J1191" s="30" t="s">
        <v>476</v>
      </c>
      <c r="K1191" s="31" t="s">
        <v>47</v>
      </c>
      <c r="L1191" s="32"/>
      <c r="M1191" s="33"/>
      <c r="N1191" s="30" t="s">
        <v>48</v>
      </c>
      <c r="O1191" s="1" t="n">
        <f aca="false">IF($B1191="",0,IF(AND(OR(Filter!$B$5="(alle)",$N1191=Filter!$B$5),OR(Filter!$E$5="(alle)",$K1191=Filter!$E$5),OR(Filter!$H$5="(alle)",$C1191=Filter!$H$5),OR(Filter!$B$7="(alle)",$E1191=Filter!$B$7),OR(Filter!$E$7="(alle)",ISNUMBER(SEARCH(Filter!$E$7,$J1191))),OR(Filter!$H$7="(alle)",ISNUMBER(SEARCH(Filter!$H$7,$I1191))),OR(Filter!$B$9="",ISNUMBER(SEARCH(Filter!$B$9,$F1191&amp;" "&amp;$G1191)))),COUNTIF($O$6:$O1190,"&gt;0")+1,0))</f>
        <v>1185</v>
      </c>
    </row>
    <row r="1192" customFormat="false" ht="51" hidden="false" customHeight="true" outlineLevel="0" collapsed="false">
      <c r="B1192" s="30" t="s">
        <v>5550</v>
      </c>
      <c r="C1192" s="30" t="s">
        <v>218</v>
      </c>
      <c r="D1192" s="30" t="s">
        <v>5551</v>
      </c>
      <c r="E1192" s="30" t="s">
        <v>361</v>
      </c>
      <c r="F1192" s="30" t="s">
        <v>5552</v>
      </c>
      <c r="G1192" s="30" t="s">
        <v>5553</v>
      </c>
      <c r="H1192" s="30" t="s">
        <v>5539</v>
      </c>
      <c r="I1192" s="30" t="s">
        <v>306</v>
      </c>
      <c r="J1192" s="30" t="s">
        <v>206</v>
      </c>
      <c r="K1192" s="31" t="s">
        <v>47</v>
      </c>
      <c r="L1192" s="32"/>
      <c r="M1192" s="33"/>
      <c r="N1192" s="30" t="s">
        <v>48</v>
      </c>
      <c r="O1192" s="1" t="n">
        <f aca="false">IF($B1192="",0,IF(AND(OR(Filter!$B$5="(alle)",$N1192=Filter!$B$5),OR(Filter!$E$5="(alle)",$K1192=Filter!$E$5),OR(Filter!$H$5="(alle)",$C1192=Filter!$H$5),OR(Filter!$B$7="(alle)",$E1192=Filter!$B$7),OR(Filter!$E$7="(alle)",ISNUMBER(SEARCH(Filter!$E$7,$J1192))),OR(Filter!$H$7="(alle)",ISNUMBER(SEARCH(Filter!$H$7,$I1192))),OR(Filter!$B$9="",ISNUMBER(SEARCH(Filter!$B$9,$F1192&amp;" "&amp;$G1192)))),COUNTIF($O$6:$O1191,"&gt;0")+1,0))</f>
        <v>1186</v>
      </c>
    </row>
    <row r="1193" customFormat="false" ht="51" hidden="false" customHeight="true" outlineLevel="0" collapsed="false">
      <c r="B1193" s="30" t="s">
        <v>5554</v>
      </c>
      <c r="C1193" s="30" t="s">
        <v>218</v>
      </c>
      <c r="D1193" s="30" t="s">
        <v>3671</v>
      </c>
      <c r="E1193" s="30" t="s">
        <v>604</v>
      </c>
      <c r="F1193" s="30" t="s">
        <v>5555</v>
      </c>
      <c r="G1193" s="30" t="s">
        <v>5555</v>
      </c>
      <c r="H1193" s="30" t="s">
        <v>5556</v>
      </c>
      <c r="I1193" s="30" t="s">
        <v>3700</v>
      </c>
      <c r="J1193" s="30" t="s">
        <v>159</v>
      </c>
      <c r="K1193" s="31" t="s">
        <v>47</v>
      </c>
      <c r="L1193" s="32"/>
      <c r="M1193" s="33"/>
      <c r="N1193" s="30" t="s">
        <v>48</v>
      </c>
      <c r="O1193" s="1" t="n">
        <f aca="false">IF($B1193="",0,IF(AND(OR(Filter!$B$5="(alle)",$N1193=Filter!$B$5),OR(Filter!$E$5="(alle)",$K1193=Filter!$E$5),OR(Filter!$H$5="(alle)",$C1193=Filter!$H$5),OR(Filter!$B$7="(alle)",$E1193=Filter!$B$7),OR(Filter!$E$7="(alle)",ISNUMBER(SEARCH(Filter!$E$7,$J1193))),OR(Filter!$H$7="(alle)",ISNUMBER(SEARCH(Filter!$H$7,$I1193))),OR(Filter!$B$9="",ISNUMBER(SEARCH(Filter!$B$9,$F1193&amp;" "&amp;$G1193)))),COUNTIF($O$6:$O1192,"&gt;0")+1,0))</f>
        <v>1187</v>
      </c>
    </row>
    <row r="1194" customFormat="false" ht="51" hidden="false" customHeight="true" outlineLevel="0" collapsed="false">
      <c r="B1194" s="30" t="s">
        <v>5557</v>
      </c>
      <c r="C1194" s="30" t="s">
        <v>218</v>
      </c>
      <c r="D1194" s="30" t="s">
        <v>3693</v>
      </c>
      <c r="E1194" s="30" t="s">
        <v>604</v>
      </c>
      <c r="F1194" s="30" t="s">
        <v>5558</v>
      </c>
      <c r="G1194" s="30" t="s">
        <v>5558</v>
      </c>
      <c r="H1194" s="30" t="s">
        <v>5556</v>
      </c>
      <c r="I1194" s="30" t="s">
        <v>3700</v>
      </c>
      <c r="J1194" s="30" t="s">
        <v>159</v>
      </c>
      <c r="K1194" s="31" t="s">
        <v>47</v>
      </c>
      <c r="L1194" s="32"/>
      <c r="M1194" s="33"/>
      <c r="N1194" s="30" t="s">
        <v>48</v>
      </c>
      <c r="O1194" s="1" t="n">
        <f aca="false">IF($B1194="",0,IF(AND(OR(Filter!$B$5="(alle)",$N1194=Filter!$B$5),OR(Filter!$E$5="(alle)",$K1194=Filter!$E$5),OR(Filter!$H$5="(alle)",$C1194=Filter!$H$5),OR(Filter!$B$7="(alle)",$E1194=Filter!$B$7),OR(Filter!$E$7="(alle)",ISNUMBER(SEARCH(Filter!$E$7,$J1194))),OR(Filter!$H$7="(alle)",ISNUMBER(SEARCH(Filter!$H$7,$I1194))),OR(Filter!$B$9="",ISNUMBER(SEARCH(Filter!$B$9,$F1194&amp;" "&amp;$G1194)))),COUNTIF($O$6:$O1193,"&gt;0")+1,0))</f>
        <v>1188</v>
      </c>
    </row>
    <row r="1195" customFormat="false" ht="51" hidden="false" customHeight="true" outlineLevel="0" collapsed="false">
      <c r="B1195" s="30" t="s">
        <v>5559</v>
      </c>
      <c r="C1195" s="30" t="s">
        <v>218</v>
      </c>
      <c r="D1195" s="30" t="s">
        <v>5560</v>
      </c>
      <c r="E1195" s="30" t="s">
        <v>604</v>
      </c>
      <c r="F1195" s="30" t="s">
        <v>5561</v>
      </c>
      <c r="G1195" s="30" t="s">
        <v>5561</v>
      </c>
      <c r="H1195" s="30" t="s">
        <v>5562</v>
      </c>
      <c r="I1195" s="30" t="s">
        <v>3700</v>
      </c>
      <c r="J1195" s="30" t="s">
        <v>159</v>
      </c>
      <c r="K1195" s="31" t="s">
        <v>47</v>
      </c>
      <c r="L1195" s="32"/>
      <c r="M1195" s="33"/>
      <c r="N1195" s="30" t="s">
        <v>48</v>
      </c>
      <c r="O1195" s="1" t="n">
        <f aca="false">IF($B1195="",0,IF(AND(OR(Filter!$B$5="(alle)",$N1195=Filter!$B$5),OR(Filter!$E$5="(alle)",$K1195=Filter!$E$5),OR(Filter!$H$5="(alle)",$C1195=Filter!$H$5),OR(Filter!$B$7="(alle)",$E1195=Filter!$B$7),OR(Filter!$E$7="(alle)",ISNUMBER(SEARCH(Filter!$E$7,$J1195))),OR(Filter!$H$7="(alle)",ISNUMBER(SEARCH(Filter!$H$7,$I1195))),OR(Filter!$B$9="",ISNUMBER(SEARCH(Filter!$B$9,$F1195&amp;" "&amp;$G1195)))),COUNTIF($O$6:$O1194,"&gt;0")+1,0))</f>
        <v>1189</v>
      </c>
    </row>
    <row r="1196" customFormat="false" ht="51" hidden="false" customHeight="true" outlineLevel="0" collapsed="false">
      <c r="B1196" s="30" t="s">
        <v>5563</v>
      </c>
      <c r="C1196" s="30" t="s">
        <v>218</v>
      </c>
      <c r="D1196" s="30" t="s">
        <v>5564</v>
      </c>
      <c r="E1196" s="30" t="s">
        <v>604</v>
      </c>
      <c r="F1196" s="30" t="s">
        <v>5565</v>
      </c>
      <c r="G1196" s="30" t="s">
        <v>5565</v>
      </c>
      <c r="H1196" s="30" t="s">
        <v>5562</v>
      </c>
      <c r="I1196" s="30" t="s">
        <v>3700</v>
      </c>
      <c r="J1196" s="30" t="s">
        <v>159</v>
      </c>
      <c r="K1196" s="31" t="s">
        <v>47</v>
      </c>
      <c r="L1196" s="32"/>
      <c r="M1196" s="33"/>
      <c r="N1196" s="30" t="s">
        <v>48</v>
      </c>
      <c r="O1196" s="1" t="n">
        <f aca="false">IF($B1196="",0,IF(AND(OR(Filter!$B$5="(alle)",$N1196=Filter!$B$5),OR(Filter!$E$5="(alle)",$K1196=Filter!$E$5),OR(Filter!$H$5="(alle)",$C1196=Filter!$H$5),OR(Filter!$B$7="(alle)",$E1196=Filter!$B$7),OR(Filter!$E$7="(alle)",ISNUMBER(SEARCH(Filter!$E$7,$J1196))),OR(Filter!$H$7="(alle)",ISNUMBER(SEARCH(Filter!$H$7,$I1196))),OR(Filter!$B$9="",ISNUMBER(SEARCH(Filter!$B$9,$F1196&amp;" "&amp;$G1196)))),COUNTIF($O$6:$O1195,"&gt;0")+1,0))</f>
        <v>1190</v>
      </c>
    </row>
    <row r="1197" customFormat="false" ht="51" hidden="false" customHeight="true" outlineLevel="0" collapsed="false">
      <c r="B1197" s="30" t="s">
        <v>5566</v>
      </c>
      <c r="C1197" s="30" t="s">
        <v>218</v>
      </c>
      <c r="D1197" s="30" t="s">
        <v>5567</v>
      </c>
      <c r="E1197" s="30" t="s">
        <v>604</v>
      </c>
      <c r="F1197" s="30" t="s">
        <v>5568</v>
      </c>
      <c r="G1197" s="30" t="s">
        <v>5568</v>
      </c>
      <c r="H1197" s="30" t="s">
        <v>5569</v>
      </c>
      <c r="I1197" s="30" t="s">
        <v>3700</v>
      </c>
      <c r="J1197" s="30" t="s">
        <v>159</v>
      </c>
      <c r="K1197" s="31" t="s">
        <v>47</v>
      </c>
      <c r="L1197" s="32"/>
      <c r="M1197" s="33"/>
      <c r="N1197" s="30" t="s">
        <v>48</v>
      </c>
      <c r="O1197" s="1" t="n">
        <f aca="false">IF($B1197="",0,IF(AND(OR(Filter!$B$5="(alle)",$N1197=Filter!$B$5),OR(Filter!$E$5="(alle)",$K1197=Filter!$E$5),OR(Filter!$H$5="(alle)",$C1197=Filter!$H$5),OR(Filter!$B$7="(alle)",$E1197=Filter!$B$7),OR(Filter!$E$7="(alle)",ISNUMBER(SEARCH(Filter!$E$7,$J1197))),OR(Filter!$H$7="(alle)",ISNUMBER(SEARCH(Filter!$H$7,$I1197))),OR(Filter!$B$9="",ISNUMBER(SEARCH(Filter!$B$9,$F1197&amp;" "&amp;$G1197)))),COUNTIF($O$6:$O1196,"&gt;0")+1,0))</f>
        <v>1191</v>
      </c>
    </row>
    <row r="1198" customFormat="false" ht="51" hidden="false" customHeight="true" outlineLevel="0" collapsed="false">
      <c r="B1198" s="30" t="s">
        <v>5570</v>
      </c>
      <c r="C1198" s="30" t="s">
        <v>218</v>
      </c>
      <c r="D1198" s="30" t="s">
        <v>5571</v>
      </c>
      <c r="E1198" s="30" t="s">
        <v>604</v>
      </c>
      <c r="F1198" s="30" t="s">
        <v>5572</v>
      </c>
      <c r="G1198" s="30" t="s">
        <v>5572</v>
      </c>
      <c r="H1198" s="30" t="s">
        <v>5569</v>
      </c>
      <c r="I1198" s="30" t="s">
        <v>3700</v>
      </c>
      <c r="J1198" s="30" t="s">
        <v>159</v>
      </c>
      <c r="K1198" s="31" t="s">
        <v>47</v>
      </c>
      <c r="L1198" s="32"/>
      <c r="M1198" s="33"/>
      <c r="N1198" s="30" t="s">
        <v>48</v>
      </c>
      <c r="O1198" s="1" t="n">
        <f aca="false">IF($B1198="",0,IF(AND(OR(Filter!$B$5="(alle)",$N1198=Filter!$B$5),OR(Filter!$E$5="(alle)",$K1198=Filter!$E$5),OR(Filter!$H$5="(alle)",$C1198=Filter!$H$5),OR(Filter!$B$7="(alle)",$E1198=Filter!$B$7),OR(Filter!$E$7="(alle)",ISNUMBER(SEARCH(Filter!$E$7,$J1198))),OR(Filter!$H$7="(alle)",ISNUMBER(SEARCH(Filter!$H$7,$I1198))),OR(Filter!$B$9="",ISNUMBER(SEARCH(Filter!$B$9,$F1198&amp;" "&amp;$G1198)))),COUNTIF($O$6:$O1197,"&gt;0")+1,0))</f>
        <v>1192</v>
      </c>
    </row>
    <row r="1199" customFormat="false" ht="51" hidden="false" customHeight="true" outlineLevel="0" collapsed="false">
      <c r="B1199" s="30" t="s">
        <v>5573</v>
      </c>
      <c r="C1199" s="30" t="s">
        <v>218</v>
      </c>
      <c r="D1199" s="30" t="s">
        <v>5574</v>
      </c>
      <c r="E1199" s="30" t="s">
        <v>604</v>
      </c>
      <c r="F1199" s="30" t="s">
        <v>5575</v>
      </c>
      <c r="G1199" s="30" t="s">
        <v>5576</v>
      </c>
      <c r="H1199" s="30" t="s">
        <v>5569</v>
      </c>
      <c r="I1199" s="30" t="s">
        <v>3700</v>
      </c>
      <c r="J1199" s="30" t="s">
        <v>159</v>
      </c>
      <c r="K1199" s="31" t="s">
        <v>47</v>
      </c>
      <c r="L1199" s="32"/>
      <c r="M1199" s="33"/>
      <c r="N1199" s="30" t="s">
        <v>48</v>
      </c>
      <c r="O1199" s="1" t="n">
        <f aca="false">IF($B1199="",0,IF(AND(OR(Filter!$B$5="(alle)",$N1199=Filter!$B$5),OR(Filter!$E$5="(alle)",$K1199=Filter!$E$5),OR(Filter!$H$5="(alle)",$C1199=Filter!$H$5),OR(Filter!$B$7="(alle)",$E1199=Filter!$B$7),OR(Filter!$E$7="(alle)",ISNUMBER(SEARCH(Filter!$E$7,$J1199))),OR(Filter!$H$7="(alle)",ISNUMBER(SEARCH(Filter!$H$7,$I1199))),OR(Filter!$B$9="",ISNUMBER(SEARCH(Filter!$B$9,$F1199&amp;" "&amp;$G1199)))),COUNTIF($O$6:$O1198,"&gt;0")+1,0))</f>
        <v>1193</v>
      </c>
    </row>
    <row r="1200" customFormat="false" ht="51" hidden="false" customHeight="true" outlineLevel="0" collapsed="false">
      <c r="B1200" s="30" t="s">
        <v>5577</v>
      </c>
      <c r="C1200" s="30" t="s">
        <v>218</v>
      </c>
      <c r="D1200" s="30" t="s">
        <v>5578</v>
      </c>
      <c r="E1200" s="30" t="s">
        <v>604</v>
      </c>
      <c r="F1200" s="30" t="s">
        <v>5579</v>
      </c>
      <c r="G1200" s="30" t="s">
        <v>5579</v>
      </c>
      <c r="H1200" s="30" t="s">
        <v>5569</v>
      </c>
      <c r="I1200" s="30" t="s">
        <v>3700</v>
      </c>
      <c r="J1200" s="30" t="s">
        <v>159</v>
      </c>
      <c r="K1200" s="31" t="s">
        <v>47</v>
      </c>
      <c r="L1200" s="32"/>
      <c r="M1200" s="33"/>
      <c r="N1200" s="30" t="s">
        <v>48</v>
      </c>
      <c r="O1200" s="1" t="n">
        <f aca="false">IF($B1200="",0,IF(AND(OR(Filter!$B$5="(alle)",$N1200=Filter!$B$5),OR(Filter!$E$5="(alle)",$K1200=Filter!$E$5),OR(Filter!$H$5="(alle)",$C1200=Filter!$H$5),OR(Filter!$B$7="(alle)",$E1200=Filter!$B$7),OR(Filter!$E$7="(alle)",ISNUMBER(SEARCH(Filter!$E$7,$J1200))),OR(Filter!$H$7="(alle)",ISNUMBER(SEARCH(Filter!$H$7,$I1200))),OR(Filter!$B$9="",ISNUMBER(SEARCH(Filter!$B$9,$F1200&amp;" "&amp;$G1200)))),COUNTIF($O$6:$O1199,"&gt;0")+1,0))</f>
        <v>1194</v>
      </c>
    </row>
    <row r="1201" customFormat="false" ht="51" hidden="false" customHeight="true" outlineLevel="0" collapsed="false">
      <c r="B1201" s="30" t="s">
        <v>5580</v>
      </c>
      <c r="C1201" s="30" t="s">
        <v>218</v>
      </c>
      <c r="D1201" s="30" t="s">
        <v>5581</v>
      </c>
      <c r="E1201" s="30" t="s">
        <v>225</v>
      </c>
      <c r="F1201" s="30" t="s">
        <v>5582</v>
      </c>
      <c r="G1201" s="30" t="s">
        <v>5582</v>
      </c>
      <c r="H1201" s="30" t="s">
        <v>5569</v>
      </c>
      <c r="I1201" s="30" t="s">
        <v>4372</v>
      </c>
      <c r="J1201" s="30" t="s">
        <v>5583</v>
      </c>
      <c r="K1201" s="31" t="s">
        <v>47</v>
      </c>
      <c r="L1201" s="32"/>
      <c r="M1201" s="33"/>
      <c r="N1201" s="30" t="s">
        <v>48</v>
      </c>
      <c r="O1201" s="1" t="n">
        <f aca="false">IF($B1201="",0,IF(AND(OR(Filter!$B$5="(alle)",$N1201=Filter!$B$5),OR(Filter!$E$5="(alle)",$K1201=Filter!$E$5),OR(Filter!$H$5="(alle)",$C1201=Filter!$H$5),OR(Filter!$B$7="(alle)",$E1201=Filter!$B$7),OR(Filter!$E$7="(alle)",ISNUMBER(SEARCH(Filter!$E$7,$J1201))),OR(Filter!$H$7="(alle)",ISNUMBER(SEARCH(Filter!$H$7,$I1201))),OR(Filter!$B$9="",ISNUMBER(SEARCH(Filter!$B$9,$F1201&amp;" "&amp;$G1201)))),COUNTIF($O$6:$O1200,"&gt;0")+1,0))</f>
        <v>1195</v>
      </c>
    </row>
    <row r="1202" customFormat="false" ht="51" hidden="false" customHeight="true" outlineLevel="0" collapsed="false">
      <c r="B1202" s="30" t="s">
        <v>5584</v>
      </c>
      <c r="C1202" s="30" t="s">
        <v>218</v>
      </c>
      <c r="D1202" s="30" t="s">
        <v>3703</v>
      </c>
      <c r="E1202" s="30" t="s">
        <v>547</v>
      </c>
      <c r="F1202" s="30" t="s">
        <v>5585</v>
      </c>
      <c r="G1202" s="30" t="s">
        <v>5585</v>
      </c>
      <c r="H1202" s="30" t="s">
        <v>5586</v>
      </c>
      <c r="I1202" s="30" t="s">
        <v>290</v>
      </c>
      <c r="J1202" s="30" t="s">
        <v>194</v>
      </c>
      <c r="K1202" s="31" t="s">
        <v>47</v>
      </c>
      <c r="L1202" s="32"/>
      <c r="M1202" s="33"/>
      <c r="N1202" s="30" t="s">
        <v>65</v>
      </c>
      <c r="O1202" s="1" t="n">
        <f aca="false">IF($B1202="",0,IF(AND(OR(Filter!$B$5="(alle)",$N1202=Filter!$B$5),OR(Filter!$E$5="(alle)",$K1202=Filter!$E$5),OR(Filter!$H$5="(alle)",$C1202=Filter!$H$5),OR(Filter!$B$7="(alle)",$E1202=Filter!$B$7),OR(Filter!$E$7="(alle)",ISNUMBER(SEARCH(Filter!$E$7,$J1202))),OR(Filter!$H$7="(alle)",ISNUMBER(SEARCH(Filter!$H$7,$I1202))),OR(Filter!$B$9="",ISNUMBER(SEARCH(Filter!$B$9,$F1202&amp;" "&amp;$G1202)))),COUNTIF($O$6:$O1201,"&gt;0")+1,0))</f>
        <v>1196</v>
      </c>
    </row>
    <row r="1203" customFormat="false" ht="51" hidden="false" customHeight="true" outlineLevel="0" collapsed="false">
      <c r="B1203" s="30" t="s">
        <v>5587</v>
      </c>
      <c r="C1203" s="30" t="s">
        <v>218</v>
      </c>
      <c r="D1203" s="30" t="s">
        <v>3707</v>
      </c>
      <c r="E1203" s="30" t="s">
        <v>547</v>
      </c>
      <c r="F1203" s="30" t="s">
        <v>5588</v>
      </c>
      <c r="G1203" s="30" t="s">
        <v>5588</v>
      </c>
      <c r="H1203" s="30" t="s">
        <v>5589</v>
      </c>
      <c r="I1203" s="30" t="s">
        <v>476</v>
      </c>
      <c r="J1203" s="30" t="s">
        <v>476</v>
      </c>
      <c r="K1203" s="31" t="s">
        <v>47</v>
      </c>
      <c r="L1203" s="32"/>
      <c r="M1203" s="33"/>
      <c r="N1203" s="30" t="s">
        <v>48</v>
      </c>
      <c r="O1203" s="1" t="n">
        <f aca="false">IF($B1203="",0,IF(AND(OR(Filter!$B$5="(alle)",$N1203=Filter!$B$5),OR(Filter!$E$5="(alle)",$K1203=Filter!$E$5),OR(Filter!$H$5="(alle)",$C1203=Filter!$H$5),OR(Filter!$B$7="(alle)",$E1203=Filter!$B$7),OR(Filter!$E$7="(alle)",ISNUMBER(SEARCH(Filter!$E$7,$J1203))),OR(Filter!$H$7="(alle)",ISNUMBER(SEARCH(Filter!$H$7,$I1203))),OR(Filter!$B$9="",ISNUMBER(SEARCH(Filter!$B$9,$F1203&amp;" "&amp;$G1203)))),COUNTIF($O$6:$O1202,"&gt;0")+1,0))</f>
        <v>1197</v>
      </c>
    </row>
    <row r="1204" customFormat="false" ht="51" hidden="false" customHeight="true" outlineLevel="0" collapsed="false">
      <c r="B1204" s="30" t="s">
        <v>5590</v>
      </c>
      <c r="C1204" s="30" t="s">
        <v>218</v>
      </c>
      <c r="D1204" s="30" t="s">
        <v>3710</v>
      </c>
      <c r="E1204" s="30" t="s">
        <v>94</v>
      </c>
      <c r="F1204" s="30" t="s">
        <v>5591</v>
      </c>
      <c r="G1204" s="30" t="s">
        <v>5592</v>
      </c>
      <c r="H1204" s="30" t="s">
        <v>5586</v>
      </c>
      <c r="I1204" s="30" t="s">
        <v>45</v>
      </c>
      <c r="J1204" s="30" t="s">
        <v>265</v>
      </c>
      <c r="K1204" s="31" t="s">
        <v>47</v>
      </c>
      <c r="L1204" s="32"/>
      <c r="M1204" s="33"/>
      <c r="N1204" s="30" t="s">
        <v>48</v>
      </c>
      <c r="O1204" s="1" t="n">
        <f aca="false">IF($B1204="",0,IF(AND(OR(Filter!$B$5="(alle)",$N1204=Filter!$B$5),OR(Filter!$E$5="(alle)",$K1204=Filter!$E$5),OR(Filter!$H$5="(alle)",$C1204=Filter!$H$5),OR(Filter!$B$7="(alle)",$E1204=Filter!$B$7),OR(Filter!$E$7="(alle)",ISNUMBER(SEARCH(Filter!$E$7,$J1204))),OR(Filter!$H$7="(alle)",ISNUMBER(SEARCH(Filter!$H$7,$I1204))),OR(Filter!$B$9="",ISNUMBER(SEARCH(Filter!$B$9,$F1204&amp;" "&amp;$G1204)))),COUNTIF($O$6:$O1203,"&gt;0")+1,0))</f>
        <v>1198</v>
      </c>
    </row>
    <row r="1205" customFormat="false" ht="51" hidden="false" customHeight="true" outlineLevel="0" collapsed="false">
      <c r="B1205" s="30" t="s">
        <v>5593</v>
      </c>
      <c r="C1205" s="30" t="s">
        <v>218</v>
      </c>
      <c r="D1205" s="30" t="s">
        <v>3717</v>
      </c>
      <c r="E1205" s="30" t="s">
        <v>94</v>
      </c>
      <c r="F1205" s="30" t="s">
        <v>5594</v>
      </c>
      <c r="G1205" s="30" t="s">
        <v>5595</v>
      </c>
      <c r="H1205" s="30" t="s">
        <v>5586</v>
      </c>
      <c r="I1205" s="30" t="s">
        <v>3847</v>
      </c>
      <c r="J1205" s="30" t="s">
        <v>2548</v>
      </c>
      <c r="K1205" s="31" t="s">
        <v>47</v>
      </c>
      <c r="L1205" s="32"/>
      <c r="M1205" s="33"/>
      <c r="N1205" s="30" t="s">
        <v>48</v>
      </c>
      <c r="O1205" s="1" t="n">
        <f aca="false">IF($B1205="",0,IF(AND(OR(Filter!$B$5="(alle)",$N1205=Filter!$B$5),OR(Filter!$E$5="(alle)",$K1205=Filter!$E$5),OR(Filter!$H$5="(alle)",$C1205=Filter!$H$5),OR(Filter!$B$7="(alle)",$E1205=Filter!$B$7),OR(Filter!$E$7="(alle)",ISNUMBER(SEARCH(Filter!$E$7,$J1205))),OR(Filter!$H$7="(alle)",ISNUMBER(SEARCH(Filter!$H$7,$I1205))),OR(Filter!$B$9="",ISNUMBER(SEARCH(Filter!$B$9,$F1205&amp;" "&amp;$G1205)))),COUNTIF($O$6:$O1204,"&gt;0")+1,0))</f>
        <v>1199</v>
      </c>
    </row>
    <row r="1206" customFormat="false" ht="51" hidden="false" customHeight="true" outlineLevel="0" collapsed="false">
      <c r="B1206" s="30" t="s">
        <v>5596</v>
      </c>
      <c r="C1206" s="30" t="s">
        <v>218</v>
      </c>
      <c r="D1206" s="30" t="s">
        <v>5597</v>
      </c>
      <c r="E1206" s="30" t="s">
        <v>94</v>
      </c>
      <c r="F1206" s="30" t="s">
        <v>5598</v>
      </c>
      <c r="G1206" s="30" t="s">
        <v>5598</v>
      </c>
      <c r="H1206" s="30" t="s">
        <v>5599</v>
      </c>
      <c r="I1206" s="30" t="s">
        <v>3847</v>
      </c>
      <c r="J1206" s="30" t="s">
        <v>2548</v>
      </c>
      <c r="K1206" s="31" t="s">
        <v>47</v>
      </c>
      <c r="L1206" s="32"/>
      <c r="M1206" s="33"/>
      <c r="N1206" s="30" t="s">
        <v>48</v>
      </c>
      <c r="O1206" s="1" t="n">
        <f aca="false">IF($B1206="",0,IF(AND(OR(Filter!$B$5="(alle)",$N1206=Filter!$B$5),OR(Filter!$E$5="(alle)",$K1206=Filter!$E$5),OR(Filter!$H$5="(alle)",$C1206=Filter!$H$5),OR(Filter!$B$7="(alle)",$E1206=Filter!$B$7),OR(Filter!$E$7="(alle)",ISNUMBER(SEARCH(Filter!$E$7,$J1206))),OR(Filter!$H$7="(alle)",ISNUMBER(SEARCH(Filter!$H$7,$I1206))),OR(Filter!$B$9="",ISNUMBER(SEARCH(Filter!$B$9,$F1206&amp;" "&amp;$G1206)))),COUNTIF($O$6:$O1205,"&gt;0")+1,0))</f>
        <v>1200</v>
      </c>
    </row>
    <row r="1207" customFormat="false" ht="51" hidden="false" customHeight="true" outlineLevel="0" collapsed="false">
      <c r="B1207" s="30" t="s">
        <v>5600</v>
      </c>
      <c r="C1207" s="30" t="s">
        <v>218</v>
      </c>
      <c r="D1207" s="30" t="s">
        <v>5601</v>
      </c>
      <c r="E1207" s="30" t="s">
        <v>94</v>
      </c>
      <c r="F1207" s="30" t="s">
        <v>5602</v>
      </c>
      <c r="G1207" s="30" t="s">
        <v>5603</v>
      </c>
      <c r="H1207" s="30" t="s">
        <v>5599</v>
      </c>
      <c r="I1207" s="30" t="s">
        <v>45</v>
      </c>
      <c r="J1207" s="30" t="s">
        <v>265</v>
      </c>
      <c r="K1207" s="31" t="s">
        <v>47</v>
      </c>
      <c r="L1207" s="32"/>
      <c r="M1207" s="33"/>
      <c r="N1207" s="30" t="s">
        <v>48</v>
      </c>
      <c r="O1207" s="1" t="n">
        <f aca="false">IF($B1207="",0,IF(AND(OR(Filter!$B$5="(alle)",$N1207=Filter!$B$5),OR(Filter!$E$5="(alle)",$K1207=Filter!$E$5),OR(Filter!$H$5="(alle)",$C1207=Filter!$H$5),OR(Filter!$B$7="(alle)",$E1207=Filter!$B$7),OR(Filter!$E$7="(alle)",ISNUMBER(SEARCH(Filter!$E$7,$J1207))),OR(Filter!$H$7="(alle)",ISNUMBER(SEARCH(Filter!$H$7,$I1207))),OR(Filter!$B$9="",ISNUMBER(SEARCH(Filter!$B$9,$F1207&amp;" "&amp;$G1207)))),COUNTIF($O$6:$O1206,"&gt;0")+1,0))</f>
        <v>1201</v>
      </c>
    </row>
    <row r="1208" customFormat="false" ht="51" hidden="false" customHeight="true" outlineLevel="0" collapsed="false">
      <c r="B1208" s="30" t="s">
        <v>5604</v>
      </c>
      <c r="C1208" s="30" t="s">
        <v>218</v>
      </c>
      <c r="D1208" s="30" t="s">
        <v>5605</v>
      </c>
      <c r="E1208" s="30" t="s">
        <v>94</v>
      </c>
      <c r="F1208" s="30" t="s">
        <v>5606</v>
      </c>
      <c r="G1208" s="30" t="s">
        <v>5606</v>
      </c>
      <c r="H1208" s="30" t="s">
        <v>5599</v>
      </c>
      <c r="I1208" s="30" t="s">
        <v>3847</v>
      </c>
      <c r="J1208" s="30" t="s">
        <v>2548</v>
      </c>
      <c r="K1208" s="31" t="s">
        <v>47</v>
      </c>
      <c r="L1208" s="32"/>
      <c r="M1208" s="33"/>
      <c r="N1208" s="30" t="s">
        <v>48</v>
      </c>
      <c r="O1208" s="1" t="n">
        <f aca="false">IF($B1208="",0,IF(AND(OR(Filter!$B$5="(alle)",$N1208=Filter!$B$5),OR(Filter!$E$5="(alle)",$K1208=Filter!$E$5),OR(Filter!$H$5="(alle)",$C1208=Filter!$H$5),OR(Filter!$B$7="(alle)",$E1208=Filter!$B$7),OR(Filter!$E$7="(alle)",ISNUMBER(SEARCH(Filter!$E$7,$J1208))),OR(Filter!$H$7="(alle)",ISNUMBER(SEARCH(Filter!$H$7,$I1208))),OR(Filter!$B$9="",ISNUMBER(SEARCH(Filter!$B$9,$F1208&amp;" "&amp;$G1208)))),COUNTIF($O$6:$O1207,"&gt;0")+1,0))</f>
        <v>1202</v>
      </c>
    </row>
    <row r="1209" customFormat="false" ht="51" hidden="false" customHeight="true" outlineLevel="0" collapsed="false">
      <c r="B1209" s="30" t="s">
        <v>5607</v>
      </c>
      <c r="C1209" s="30" t="s">
        <v>218</v>
      </c>
      <c r="D1209" s="30" t="s">
        <v>5608</v>
      </c>
      <c r="E1209" s="30" t="s">
        <v>94</v>
      </c>
      <c r="F1209" s="30" t="s">
        <v>5609</v>
      </c>
      <c r="G1209" s="30" t="s">
        <v>5610</v>
      </c>
      <c r="H1209" s="30" t="s">
        <v>5599</v>
      </c>
      <c r="I1209" s="30" t="s">
        <v>3847</v>
      </c>
      <c r="J1209" s="30" t="s">
        <v>2548</v>
      </c>
      <c r="K1209" s="31" t="s">
        <v>47</v>
      </c>
      <c r="L1209" s="32"/>
      <c r="M1209" s="33"/>
      <c r="N1209" s="30" t="s">
        <v>48</v>
      </c>
      <c r="O1209" s="1" t="n">
        <f aca="false">IF($B1209="",0,IF(AND(OR(Filter!$B$5="(alle)",$N1209=Filter!$B$5),OR(Filter!$E$5="(alle)",$K1209=Filter!$E$5),OR(Filter!$H$5="(alle)",$C1209=Filter!$H$5),OR(Filter!$B$7="(alle)",$E1209=Filter!$B$7),OR(Filter!$E$7="(alle)",ISNUMBER(SEARCH(Filter!$E$7,$J1209))),OR(Filter!$H$7="(alle)",ISNUMBER(SEARCH(Filter!$H$7,$I1209))),OR(Filter!$B$9="",ISNUMBER(SEARCH(Filter!$B$9,$F1209&amp;" "&amp;$G1209)))),COUNTIF($O$6:$O1208,"&gt;0")+1,0))</f>
        <v>1203</v>
      </c>
    </row>
    <row r="1210" customFormat="false" ht="51" hidden="false" customHeight="true" outlineLevel="0" collapsed="false">
      <c r="B1210" s="30" t="s">
        <v>5611</v>
      </c>
      <c r="C1210" s="30" t="s">
        <v>218</v>
      </c>
      <c r="D1210" s="30" t="s">
        <v>3891</v>
      </c>
      <c r="E1210" s="30" t="s">
        <v>604</v>
      </c>
      <c r="F1210" s="30" t="s">
        <v>5612</v>
      </c>
      <c r="G1210" s="30" t="s">
        <v>5612</v>
      </c>
      <c r="H1210" s="30" t="s">
        <v>5613</v>
      </c>
      <c r="I1210" s="30" t="s">
        <v>3847</v>
      </c>
      <c r="J1210" s="30" t="s">
        <v>2121</v>
      </c>
      <c r="K1210" s="31" t="s">
        <v>47</v>
      </c>
      <c r="L1210" s="32"/>
      <c r="M1210" s="33"/>
      <c r="N1210" s="30" t="s">
        <v>48</v>
      </c>
      <c r="O1210" s="1" t="n">
        <f aca="false">IF($B1210="",0,IF(AND(OR(Filter!$B$5="(alle)",$N1210=Filter!$B$5),OR(Filter!$E$5="(alle)",$K1210=Filter!$E$5),OR(Filter!$H$5="(alle)",$C1210=Filter!$H$5),OR(Filter!$B$7="(alle)",$E1210=Filter!$B$7),OR(Filter!$E$7="(alle)",ISNUMBER(SEARCH(Filter!$E$7,$J1210))),OR(Filter!$H$7="(alle)",ISNUMBER(SEARCH(Filter!$H$7,$I1210))),OR(Filter!$B$9="",ISNUMBER(SEARCH(Filter!$B$9,$F1210&amp;" "&amp;$G1210)))),COUNTIF($O$6:$O1209,"&gt;0")+1,0))</f>
        <v>1204</v>
      </c>
    </row>
    <row r="1211" customFormat="false" ht="51" hidden="false" customHeight="true" outlineLevel="0" collapsed="false">
      <c r="B1211" s="30" t="s">
        <v>5614</v>
      </c>
      <c r="C1211" s="30" t="s">
        <v>218</v>
      </c>
      <c r="D1211" s="30" t="s">
        <v>3895</v>
      </c>
      <c r="E1211" s="30" t="s">
        <v>42</v>
      </c>
      <c r="F1211" s="30" t="s">
        <v>5615</v>
      </c>
      <c r="G1211" s="30" t="s">
        <v>5615</v>
      </c>
      <c r="H1211" s="30" t="s">
        <v>5613</v>
      </c>
      <c r="I1211" s="30" t="s">
        <v>45</v>
      </c>
      <c r="J1211" s="30" t="s">
        <v>46</v>
      </c>
      <c r="K1211" s="31" t="s">
        <v>47</v>
      </c>
      <c r="L1211" s="32"/>
      <c r="M1211" s="33"/>
      <c r="N1211" s="30" t="s">
        <v>48</v>
      </c>
      <c r="O1211" s="1" t="n">
        <f aca="false">IF($B1211="",0,IF(AND(OR(Filter!$B$5="(alle)",$N1211=Filter!$B$5),OR(Filter!$E$5="(alle)",$K1211=Filter!$E$5),OR(Filter!$H$5="(alle)",$C1211=Filter!$H$5),OR(Filter!$B$7="(alle)",$E1211=Filter!$B$7),OR(Filter!$E$7="(alle)",ISNUMBER(SEARCH(Filter!$E$7,$J1211))),OR(Filter!$H$7="(alle)",ISNUMBER(SEARCH(Filter!$H$7,$I1211))),OR(Filter!$B$9="",ISNUMBER(SEARCH(Filter!$B$9,$F1211&amp;" "&amp;$G1211)))),COUNTIF($O$6:$O1210,"&gt;0")+1,0))</f>
        <v>1205</v>
      </c>
    </row>
    <row r="1212" customFormat="false" ht="51" hidden="false" customHeight="true" outlineLevel="0" collapsed="false">
      <c r="B1212" s="30" t="s">
        <v>5616</v>
      </c>
      <c r="C1212" s="30" t="s">
        <v>218</v>
      </c>
      <c r="D1212" s="30" t="s">
        <v>3899</v>
      </c>
      <c r="E1212" s="30" t="s">
        <v>604</v>
      </c>
      <c r="F1212" s="30" t="s">
        <v>5617</v>
      </c>
      <c r="G1212" s="30" t="s">
        <v>5617</v>
      </c>
      <c r="H1212" s="30" t="s">
        <v>5613</v>
      </c>
      <c r="I1212" s="30" t="s">
        <v>3700</v>
      </c>
      <c r="J1212" s="30" t="s">
        <v>159</v>
      </c>
      <c r="K1212" s="31" t="s">
        <v>47</v>
      </c>
      <c r="L1212" s="32"/>
      <c r="M1212" s="33"/>
      <c r="N1212" s="30" t="s">
        <v>48</v>
      </c>
      <c r="O1212" s="1" t="n">
        <f aca="false">IF($B1212="",0,IF(AND(OR(Filter!$B$5="(alle)",$N1212=Filter!$B$5),OR(Filter!$E$5="(alle)",$K1212=Filter!$E$5),OR(Filter!$H$5="(alle)",$C1212=Filter!$H$5),OR(Filter!$B$7="(alle)",$E1212=Filter!$B$7),OR(Filter!$E$7="(alle)",ISNUMBER(SEARCH(Filter!$E$7,$J1212))),OR(Filter!$H$7="(alle)",ISNUMBER(SEARCH(Filter!$H$7,$I1212))),OR(Filter!$B$9="",ISNUMBER(SEARCH(Filter!$B$9,$F1212&amp;" "&amp;$G1212)))),COUNTIF($O$6:$O1211,"&gt;0")+1,0))</f>
        <v>1206</v>
      </c>
    </row>
    <row r="1213" customFormat="false" ht="51" hidden="false" customHeight="true" outlineLevel="0" collapsed="false">
      <c r="B1213" s="30" t="s">
        <v>5618</v>
      </c>
      <c r="C1213" s="30" t="s">
        <v>218</v>
      </c>
      <c r="D1213" s="30" t="s">
        <v>3903</v>
      </c>
      <c r="E1213" s="30" t="s">
        <v>604</v>
      </c>
      <c r="F1213" s="30" t="s">
        <v>5619</v>
      </c>
      <c r="G1213" s="30" t="s">
        <v>5620</v>
      </c>
      <c r="H1213" s="30" t="s">
        <v>5613</v>
      </c>
      <c r="I1213" s="30" t="s">
        <v>3700</v>
      </c>
      <c r="J1213" s="30" t="s">
        <v>159</v>
      </c>
      <c r="K1213" s="31" t="s">
        <v>47</v>
      </c>
      <c r="L1213" s="32"/>
      <c r="M1213" s="33"/>
      <c r="N1213" s="30" t="s">
        <v>48</v>
      </c>
      <c r="O1213" s="1" t="n">
        <f aca="false">IF($B1213="",0,IF(AND(OR(Filter!$B$5="(alle)",$N1213=Filter!$B$5),OR(Filter!$E$5="(alle)",$K1213=Filter!$E$5),OR(Filter!$H$5="(alle)",$C1213=Filter!$H$5),OR(Filter!$B$7="(alle)",$E1213=Filter!$B$7),OR(Filter!$E$7="(alle)",ISNUMBER(SEARCH(Filter!$E$7,$J1213))),OR(Filter!$H$7="(alle)",ISNUMBER(SEARCH(Filter!$H$7,$I1213))),OR(Filter!$B$9="",ISNUMBER(SEARCH(Filter!$B$9,$F1213&amp;" "&amp;$G1213)))),COUNTIF($O$6:$O1212,"&gt;0")+1,0))</f>
        <v>1207</v>
      </c>
    </row>
    <row r="1214" customFormat="false" ht="51" hidden="false" customHeight="true" outlineLevel="0" collapsed="false">
      <c r="B1214" s="30" t="s">
        <v>5621</v>
      </c>
      <c r="C1214" s="30" t="s">
        <v>218</v>
      </c>
      <c r="D1214" s="30" t="s">
        <v>3907</v>
      </c>
      <c r="E1214" s="30" t="s">
        <v>604</v>
      </c>
      <c r="F1214" s="30" t="s">
        <v>5622</v>
      </c>
      <c r="G1214" s="30" t="s">
        <v>5622</v>
      </c>
      <c r="H1214" s="30" t="s">
        <v>5613</v>
      </c>
      <c r="I1214" s="30" t="s">
        <v>3700</v>
      </c>
      <c r="J1214" s="30" t="s">
        <v>159</v>
      </c>
      <c r="K1214" s="31" t="s">
        <v>47</v>
      </c>
      <c r="L1214" s="32"/>
      <c r="M1214" s="33"/>
      <c r="N1214" s="30" t="s">
        <v>48</v>
      </c>
      <c r="O1214" s="1" t="n">
        <f aca="false">IF($B1214="",0,IF(AND(OR(Filter!$B$5="(alle)",$N1214=Filter!$B$5),OR(Filter!$E$5="(alle)",$K1214=Filter!$E$5),OR(Filter!$H$5="(alle)",$C1214=Filter!$H$5),OR(Filter!$B$7="(alle)",$E1214=Filter!$B$7),OR(Filter!$E$7="(alle)",ISNUMBER(SEARCH(Filter!$E$7,$J1214))),OR(Filter!$H$7="(alle)",ISNUMBER(SEARCH(Filter!$H$7,$I1214))),OR(Filter!$B$9="",ISNUMBER(SEARCH(Filter!$B$9,$F1214&amp;" "&amp;$G1214)))),COUNTIF($O$6:$O1213,"&gt;0")+1,0))</f>
        <v>1208</v>
      </c>
    </row>
    <row r="1215" customFormat="false" ht="51" hidden="false" customHeight="true" outlineLevel="0" collapsed="false">
      <c r="B1215" s="30" t="s">
        <v>5623</v>
      </c>
      <c r="C1215" s="30" t="s">
        <v>218</v>
      </c>
      <c r="D1215" s="30" t="s">
        <v>5624</v>
      </c>
      <c r="E1215" s="30" t="s">
        <v>270</v>
      </c>
      <c r="F1215" s="30" t="s">
        <v>5625</v>
      </c>
      <c r="G1215" s="30" t="s">
        <v>5625</v>
      </c>
      <c r="H1215" s="30" t="s">
        <v>5613</v>
      </c>
      <c r="I1215" s="30" t="s">
        <v>45</v>
      </c>
      <c r="J1215" s="30" t="s">
        <v>274</v>
      </c>
      <c r="K1215" s="31" t="s">
        <v>47</v>
      </c>
      <c r="L1215" s="32"/>
      <c r="M1215" s="33"/>
      <c r="N1215" s="30" t="s">
        <v>48</v>
      </c>
      <c r="O1215" s="1" t="n">
        <f aca="false">IF($B1215="",0,IF(AND(OR(Filter!$B$5="(alle)",$N1215=Filter!$B$5),OR(Filter!$E$5="(alle)",$K1215=Filter!$E$5),OR(Filter!$H$5="(alle)",$C1215=Filter!$H$5),OR(Filter!$B$7="(alle)",$E1215=Filter!$B$7),OR(Filter!$E$7="(alle)",ISNUMBER(SEARCH(Filter!$E$7,$J1215))),OR(Filter!$H$7="(alle)",ISNUMBER(SEARCH(Filter!$H$7,$I1215))),OR(Filter!$B$9="",ISNUMBER(SEARCH(Filter!$B$9,$F1215&amp;" "&amp;$G1215)))),COUNTIF($O$6:$O1214,"&gt;0")+1,0))</f>
        <v>1209</v>
      </c>
    </row>
    <row r="1216" customFormat="false" ht="51" hidden="false" customHeight="true" outlineLevel="0" collapsed="false">
      <c r="B1216" s="30" t="s">
        <v>5626</v>
      </c>
      <c r="C1216" s="30" t="s">
        <v>218</v>
      </c>
      <c r="D1216" s="30" t="s">
        <v>5627</v>
      </c>
      <c r="E1216" s="30" t="s">
        <v>604</v>
      </c>
      <c r="F1216" s="30" t="s">
        <v>5628</v>
      </c>
      <c r="G1216" s="30" t="s">
        <v>5628</v>
      </c>
      <c r="H1216" s="30" t="s">
        <v>5629</v>
      </c>
      <c r="I1216" s="30" t="s">
        <v>476</v>
      </c>
      <c r="J1216" s="30" t="s">
        <v>476</v>
      </c>
      <c r="K1216" s="31" t="s">
        <v>47</v>
      </c>
      <c r="L1216" s="32"/>
      <c r="M1216" s="33"/>
      <c r="N1216" s="30" t="s">
        <v>48</v>
      </c>
      <c r="O1216" s="1" t="n">
        <f aca="false">IF($B1216="",0,IF(AND(OR(Filter!$B$5="(alle)",$N1216=Filter!$B$5),OR(Filter!$E$5="(alle)",$K1216=Filter!$E$5),OR(Filter!$H$5="(alle)",$C1216=Filter!$H$5),OR(Filter!$B$7="(alle)",$E1216=Filter!$B$7),OR(Filter!$E$7="(alle)",ISNUMBER(SEARCH(Filter!$E$7,$J1216))),OR(Filter!$H$7="(alle)",ISNUMBER(SEARCH(Filter!$H$7,$I1216))),OR(Filter!$B$9="",ISNUMBER(SEARCH(Filter!$B$9,$F1216&amp;" "&amp;$G1216)))),COUNTIF($O$6:$O1215,"&gt;0")+1,0))</f>
        <v>1210</v>
      </c>
    </row>
    <row r="1217" customFormat="false" ht="51" hidden="false" customHeight="true" outlineLevel="0" collapsed="false">
      <c r="B1217" s="30" t="s">
        <v>5630</v>
      </c>
      <c r="C1217" s="30" t="s">
        <v>218</v>
      </c>
      <c r="D1217" s="30" t="s">
        <v>5631</v>
      </c>
      <c r="E1217" s="30" t="s">
        <v>547</v>
      </c>
      <c r="F1217" s="30" t="s">
        <v>5632</v>
      </c>
      <c r="G1217" s="30" t="s">
        <v>5632</v>
      </c>
      <c r="H1217" s="30" t="s">
        <v>5629</v>
      </c>
      <c r="I1217" s="30" t="s">
        <v>476</v>
      </c>
      <c r="J1217" s="30" t="s">
        <v>476</v>
      </c>
      <c r="K1217" s="31" t="s">
        <v>47</v>
      </c>
      <c r="L1217" s="32"/>
      <c r="M1217" s="33"/>
      <c r="N1217" s="30" t="s">
        <v>48</v>
      </c>
      <c r="O1217" s="1" t="n">
        <f aca="false">IF($B1217="",0,IF(AND(OR(Filter!$B$5="(alle)",$N1217=Filter!$B$5),OR(Filter!$E$5="(alle)",$K1217=Filter!$E$5),OR(Filter!$H$5="(alle)",$C1217=Filter!$H$5),OR(Filter!$B$7="(alle)",$E1217=Filter!$B$7),OR(Filter!$E$7="(alle)",ISNUMBER(SEARCH(Filter!$E$7,$J1217))),OR(Filter!$H$7="(alle)",ISNUMBER(SEARCH(Filter!$H$7,$I1217))),OR(Filter!$B$9="",ISNUMBER(SEARCH(Filter!$B$9,$F1217&amp;" "&amp;$G1217)))),COUNTIF($O$6:$O1216,"&gt;0")+1,0))</f>
        <v>1211</v>
      </c>
    </row>
    <row r="1218" customFormat="false" ht="51" hidden="false" customHeight="true" outlineLevel="0" collapsed="false">
      <c r="B1218" s="30" t="s">
        <v>5633</v>
      </c>
      <c r="C1218" s="30" t="s">
        <v>218</v>
      </c>
      <c r="D1218" s="30" t="s">
        <v>5634</v>
      </c>
      <c r="E1218" s="30" t="s">
        <v>361</v>
      </c>
      <c r="F1218" s="30" t="s">
        <v>5635</v>
      </c>
      <c r="G1218" s="30" t="s">
        <v>5636</v>
      </c>
      <c r="H1218" s="30" t="s">
        <v>5613</v>
      </c>
      <c r="I1218" s="30" t="s">
        <v>306</v>
      </c>
      <c r="J1218" s="30" t="s">
        <v>206</v>
      </c>
      <c r="K1218" s="31" t="s">
        <v>47</v>
      </c>
      <c r="L1218" s="32"/>
      <c r="M1218" s="33"/>
      <c r="N1218" s="30" t="s">
        <v>48</v>
      </c>
      <c r="O1218" s="1" t="n">
        <f aca="false">IF($B1218="",0,IF(AND(OR(Filter!$B$5="(alle)",$N1218=Filter!$B$5),OR(Filter!$E$5="(alle)",$K1218=Filter!$E$5),OR(Filter!$H$5="(alle)",$C1218=Filter!$H$5),OR(Filter!$B$7="(alle)",$E1218=Filter!$B$7),OR(Filter!$E$7="(alle)",ISNUMBER(SEARCH(Filter!$E$7,$J1218))),OR(Filter!$H$7="(alle)",ISNUMBER(SEARCH(Filter!$H$7,$I1218))),OR(Filter!$B$9="",ISNUMBER(SEARCH(Filter!$B$9,$F1218&amp;" "&amp;$G1218)))),COUNTIF($O$6:$O1217,"&gt;0")+1,0))</f>
        <v>1212</v>
      </c>
    </row>
    <row r="1219" customFormat="false" ht="51" hidden="false" customHeight="true" outlineLevel="0" collapsed="false">
      <c r="B1219" s="30" t="s">
        <v>5637</v>
      </c>
      <c r="C1219" s="30" t="s">
        <v>218</v>
      </c>
      <c r="D1219" s="30" t="s">
        <v>3911</v>
      </c>
      <c r="E1219" s="30" t="s">
        <v>94</v>
      </c>
      <c r="F1219" s="30" t="s">
        <v>5638</v>
      </c>
      <c r="G1219" s="30" t="s">
        <v>5638</v>
      </c>
      <c r="H1219" s="30" t="s">
        <v>5639</v>
      </c>
      <c r="I1219" s="30" t="s">
        <v>3847</v>
      </c>
      <c r="J1219" s="30" t="s">
        <v>2548</v>
      </c>
      <c r="K1219" s="31" t="s">
        <v>47</v>
      </c>
      <c r="L1219" s="32"/>
      <c r="M1219" s="33"/>
      <c r="N1219" s="30" t="s">
        <v>48</v>
      </c>
      <c r="O1219" s="1" t="n">
        <f aca="false">IF($B1219="",0,IF(AND(OR(Filter!$B$5="(alle)",$N1219=Filter!$B$5),OR(Filter!$E$5="(alle)",$K1219=Filter!$E$5),OR(Filter!$H$5="(alle)",$C1219=Filter!$H$5),OR(Filter!$B$7="(alle)",$E1219=Filter!$B$7),OR(Filter!$E$7="(alle)",ISNUMBER(SEARCH(Filter!$E$7,$J1219))),OR(Filter!$H$7="(alle)",ISNUMBER(SEARCH(Filter!$H$7,$I1219))),OR(Filter!$B$9="",ISNUMBER(SEARCH(Filter!$B$9,$F1219&amp;" "&amp;$G1219)))),COUNTIF($O$6:$O1218,"&gt;0")+1,0))</f>
        <v>1213</v>
      </c>
    </row>
    <row r="1220" customFormat="false" ht="51" hidden="false" customHeight="true" outlineLevel="0" collapsed="false">
      <c r="B1220" s="30" t="s">
        <v>5640</v>
      </c>
      <c r="C1220" s="30" t="s">
        <v>218</v>
      </c>
      <c r="D1220" s="30" t="s">
        <v>3915</v>
      </c>
      <c r="E1220" s="30" t="s">
        <v>547</v>
      </c>
      <c r="F1220" s="30" t="s">
        <v>5641</v>
      </c>
      <c r="G1220" s="30" t="s">
        <v>5641</v>
      </c>
      <c r="H1220" s="30" t="s">
        <v>5642</v>
      </c>
      <c r="I1220" s="30" t="s">
        <v>476</v>
      </c>
      <c r="J1220" s="30" t="s">
        <v>476</v>
      </c>
      <c r="K1220" s="31" t="s">
        <v>47</v>
      </c>
      <c r="L1220" s="32"/>
      <c r="M1220" s="33"/>
      <c r="N1220" s="30" t="s">
        <v>48</v>
      </c>
      <c r="O1220" s="1" t="n">
        <f aca="false">IF($B1220="",0,IF(AND(OR(Filter!$B$5="(alle)",$N1220=Filter!$B$5),OR(Filter!$E$5="(alle)",$K1220=Filter!$E$5),OR(Filter!$H$5="(alle)",$C1220=Filter!$H$5),OR(Filter!$B$7="(alle)",$E1220=Filter!$B$7),OR(Filter!$E$7="(alle)",ISNUMBER(SEARCH(Filter!$E$7,$J1220))),OR(Filter!$H$7="(alle)",ISNUMBER(SEARCH(Filter!$H$7,$I1220))),OR(Filter!$B$9="",ISNUMBER(SEARCH(Filter!$B$9,$F1220&amp;" "&amp;$G1220)))),COUNTIF($O$6:$O1219,"&gt;0")+1,0))</f>
        <v>1214</v>
      </c>
    </row>
    <row r="1221" customFormat="false" ht="51" hidden="false" customHeight="true" outlineLevel="0" collapsed="false">
      <c r="B1221" s="30" t="s">
        <v>5643</v>
      </c>
      <c r="C1221" s="30" t="s">
        <v>218</v>
      </c>
      <c r="D1221" s="30" t="s">
        <v>3920</v>
      </c>
      <c r="E1221" s="30" t="s">
        <v>547</v>
      </c>
      <c r="F1221" s="30" t="s">
        <v>5644</v>
      </c>
      <c r="G1221" s="30" t="s">
        <v>5644</v>
      </c>
      <c r="H1221" s="30" t="s">
        <v>5642</v>
      </c>
      <c r="I1221" s="30" t="s">
        <v>476</v>
      </c>
      <c r="J1221" s="30" t="s">
        <v>476</v>
      </c>
      <c r="K1221" s="31" t="s">
        <v>47</v>
      </c>
      <c r="L1221" s="32"/>
      <c r="M1221" s="33"/>
      <c r="N1221" s="30" t="s">
        <v>48</v>
      </c>
      <c r="O1221" s="1" t="n">
        <f aca="false">IF($B1221="",0,IF(AND(OR(Filter!$B$5="(alle)",$N1221=Filter!$B$5),OR(Filter!$E$5="(alle)",$K1221=Filter!$E$5),OR(Filter!$H$5="(alle)",$C1221=Filter!$H$5),OR(Filter!$B$7="(alle)",$E1221=Filter!$B$7),OR(Filter!$E$7="(alle)",ISNUMBER(SEARCH(Filter!$E$7,$J1221))),OR(Filter!$H$7="(alle)",ISNUMBER(SEARCH(Filter!$H$7,$I1221))),OR(Filter!$B$9="",ISNUMBER(SEARCH(Filter!$B$9,$F1221&amp;" "&amp;$G1221)))),COUNTIF($O$6:$O1220,"&gt;0")+1,0))</f>
        <v>1215</v>
      </c>
    </row>
    <row r="1222" customFormat="false" ht="51" hidden="false" customHeight="true" outlineLevel="0" collapsed="false">
      <c r="B1222" s="30" t="s">
        <v>5645</v>
      </c>
      <c r="C1222" s="30" t="s">
        <v>218</v>
      </c>
      <c r="D1222" s="30" t="s">
        <v>3924</v>
      </c>
      <c r="E1222" s="30" t="s">
        <v>94</v>
      </c>
      <c r="F1222" s="30" t="s">
        <v>5646</v>
      </c>
      <c r="G1222" s="30" t="s">
        <v>5647</v>
      </c>
      <c r="H1222" s="30" t="s">
        <v>5639</v>
      </c>
      <c r="I1222" s="30" t="s">
        <v>3978</v>
      </c>
      <c r="J1222" s="30" t="s">
        <v>5648</v>
      </c>
      <c r="K1222" s="31" t="s">
        <v>47</v>
      </c>
      <c r="L1222" s="32"/>
      <c r="M1222" s="33"/>
      <c r="N1222" s="30" t="s">
        <v>65</v>
      </c>
      <c r="O1222" s="1" t="n">
        <f aca="false">IF($B1222="",0,IF(AND(OR(Filter!$B$5="(alle)",$N1222=Filter!$B$5),OR(Filter!$E$5="(alle)",$K1222=Filter!$E$5),OR(Filter!$H$5="(alle)",$C1222=Filter!$H$5),OR(Filter!$B$7="(alle)",$E1222=Filter!$B$7),OR(Filter!$E$7="(alle)",ISNUMBER(SEARCH(Filter!$E$7,$J1222))),OR(Filter!$H$7="(alle)",ISNUMBER(SEARCH(Filter!$H$7,$I1222))),OR(Filter!$B$9="",ISNUMBER(SEARCH(Filter!$B$9,$F1222&amp;" "&amp;$G1222)))),COUNTIF($O$6:$O1221,"&gt;0")+1,0))</f>
        <v>1216</v>
      </c>
    </row>
    <row r="1223" customFormat="false" ht="51" hidden="false" customHeight="true" outlineLevel="0" collapsed="false">
      <c r="B1223" s="30" t="s">
        <v>5649</v>
      </c>
      <c r="C1223" s="30" t="s">
        <v>218</v>
      </c>
      <c r="D1223" s="30" t="s">
        <v>3927</v>
      </c>
      <c r="E1223" s="30" t="s">
        <v>547</v>
      </c>
      <c r="F1223" s="30" t="s">
        <v>5650</v>
      </c>
      <c r="G1223" s="30" t="s">
        <v>5650</v>
      </c>
      <c r="H1223" s="30" t="s">
        <v>5642</v>
      </c>
      <c r="I1223" s="30" t="s">
        <v>476</v>
      </c>
      <c r="J1223" s="30" t="s">
        <v>476</v>
      </c>
      <c r="K1223" s="31" t="s">
        <v>47</v>
      </c>
      <c r="L1223" s="32"/>
      <c r="M1223" s="33"/>
      <c r="N1223" s="30" t="s">
        <v>48</v>
      </c>
      <c r="O1223" s="1" t="n">
        <f aca="false">IF($B1223="",0,IF(AND(OR(Filter!$B$5="(alle)",$N1223=Filter!$B$5),OR(Filter!$E$5="(alle)",$K1223=Filter!$E$5),OR(Filter!$H$5="(alle)",$C1223=Filter!$H$5),OR(Filter!$B$7="(alle)",$E1223=Filter!$B$7),OR(Filter!$E$7="(alle)",ISNUMBER(SEARCH(Filter!$E$7,$J1223))),OR(Filter!$H$7="(alle)",ISNUMBER(SEARCH(Filter!$H$7,$I1223))),OR(Filter!$B$9="",ISNUMBER(SEARCH(Filter!$B$9,$F1223&amp;" "&amp;$G1223)))),COUNTIF($O$6:$O1222,"&gt;0")+1,0))</f>
        <v>1217</v>
      </c>
    </row>
    <row r="1224" customFormat="false" ht="51" hidden="false" customHeight="true" outlineLevel="0" collapsed="false">
      <c r="B1224" s="30" t="s">
        <v>5651</v>
      </c>
      <c r="C1224" s="30" t="s">
        <v>218</v>
      </c>
      <c r="D1224" s="30" t="s">
        <v>3931</v>
      </c>
      <c r="E1224" s="30" t="s">
        <v>604</v>
      </c>
      <c r="F1224" s="30" t="s">
        <v>5652</v>
      </c>
      <c r="G1224" s="30" t="s">
        <v>5652</v>
      </c>
      <c r="H1224" s="30" t="s">
        <v>5639</v>
      </c>
      <c r="I1224" s="30" t="s">
        <v>3700</v>
      </c>
      <c r="J1224" s="30" t="s">
        <v>159</v>
      </c>
      <c r="K1224" s="31" t="s">
        <v>47</v>
      </c>
      <c r="L1224" s="32"/>
      <c r="M1224" s="33"/>
      <c r="N1224" s="30" t="s">
        <v>48</v>
      </c>
      <c r="O1224" s="1" t="n">
        <f aca="false">IF($B1224="",0,IF(AND(OR(Filter!$B$5="(alle)",$N1224=Filter!$B$5),OR(Filter!$E$5="(alle)",$K1224=Filter!$E$5),OR(Filter!$H$5="(alle)",$C1224=Filter!$H$5),OR(Filter!$B$7="(alle)",$E1224=Filter!$B$7),OR(Filter!$E$7="(alle)",ISNUMBER(SEARCH(Filter!$E$7,$J1224))),OR(Filter!$H$7="(alle)",ISNUMBER(SEARCH(Filter!$H$7,$I1224))),OR(Filter!$B$9="",ISNUMBER(SEARCH(Filter!$B$9,$F1224&amp;" "&amp;$G1224)))),COUNTIF($O$6:$O1223,"&gt;0")+1,0))</f>
        <v>1218</v>
      </c>
    </row>
    <row r="1225" customFormat="false" ht="51" hidden="false" customHeight="true" outlineLevel="0" collapsed="false">
      <c r="B1225" s="30" t="s">
        <v>5653</v>
      </c>
      <c r="C1225" s="30" t="s">
        <v>218</v>
      </c>
      <c r="D1225" s="30" t="s">
        <v>3955</v>
      </c>
      <c r="E1225" s="30" t="s">
        <v>94</v>
      </c>
      <c r="F1225" s="30" t="s">
        <v>5654</v>
      </c>
      <c r="G1225" s="30" t="s">
        <v>5654</v>
      </c>
      <c r="H1225" s="30" t="s">
        <v>5655</v>
      </c>
      <c r="I1225" s="30" t="s">
        <v>45</v>
      </c>
      <c r="J1225" s="30" t="s">
        <v>265</v>
      </c>
      <c r="K1225" s="31" t="s">
        <v>47</v>
      </c>
      <c r="L1225" s="32"/>
      <c r="M1225" s="33"/>
      <c r="N1225" s="30" t="s">
        <v>48</v>
      </c>
      <c r="O1225" s="1" t="n">
        <f aca="false">IF($B1225="",0,IF(AND(OR(Filter!$B$5="(alle)",$N1225=Filter!$B$5),OR(Filter!$E$5="(alle)",$K1225=Filter!$E$5),OR(Filter!$H$5="(alle)",$C1225=Filter!$H$5),OR(Filter!$B$7="(alle)",$E1225=Filter!$B$7),OR(Filter!$E$7="(alle)",ISNUMBER(SEARCH(Filter!$E$7,$J1225))),OR(Filter!$H$7="(alle)",ISNUMBER(SEARCH(Filter!$H$7,$I1225))),OR(Filter!$B$9="",ISNUMBER(SEARCH(Filter!$B$9,$F1225&amp;" "&amp;$G1225)))),COUNTIF($O$6:$O1224,"&gt;0")+1,0))</f>
        <v>1219</v>
      </c>
    </row>
    <row r="1226" customFormat="false" ht="51" hidden="false" customHeight="true" outlineLevel="0" collapsed="false">
      <c r="B1226" s="30" t="s">
        <v>5656</v>
      </c>
      <c r="C1226" s="30" t="s">
        <v>218</v>
      </c>
      <c r="D1226" s="30" t="s">
        <v>3960</v>
      </c>
      <c r="E1226" s="30" t="s">
        <v>94</v>
      </c>
      <c r="F1226" s="30" t="s">
        <v>5657</v>
      </c>
      <c r="G1226" s="30" t="s">
        <v>5657</v>
      </c>
      <c r="H1226" s="30" t="s">
        <v>5655</v>
      </c>
      <c r="I1226" s="30" t="s">
        <v>45</v>
      </c>
      <c r="J1226" s="30" t="s">
        <v>265</v>
      </c>
      <c r="K1226" s="31" t="s">
        <v>47</v>
      </c>
      <c r="L1226" s="32"/>
      <c r="M1226" s="33"/>
      <c r="N1226" s="30" t="s">
        <v>48</v>
      </c>
      <c r="O1226" s="1" t="n">
        <f aca="false">IF($B1226="",0,IF(AND(OR(Filter!$B$5="(alle)",$N1226=Filter!$B$5),OR(Filter!$E$5="(alle)",$K1226=Filter!$E$5),OR(Filter!$H$5="(alle)",$C1226=Filter!$H$5),OR(Filter!$B$7="(alle)",$E1226=Filter!$B$7),OR(Filter!$E$7="(alle)",ISNUMBER(SEARCH(Filter!$E$7,$J1226))),OR(Filter!$H$7="(alle)",ISNUMBER(SEARCH(Filter!$H$7,$I1226))),OR(Filter!$B$9="",ISNUMBER(SEARCH(Filter!$B$9,$F1226&amp;" "&amp;$G1226)))),COUNTIF($O$6:$O1225,"&gt;0")+1,0))</f>
        <v>1220</v>
      </c>
    </row>
    <row r="1227" customFormat="false" ht="51" hidden="false" customHeight="true" outlineLevel="0" collapsed="false">
      <c r="B1227" s="30" t="s">
        <v>5658</v>
      </c>
      <c r="C1227" s="30" t="s">
        <v>218</v>
      </c>
      <c r="D1227" s="30" t="s">
        <v>3964</v>
      </c>
      <c r="E1227" s="30" t="s">
        <v>94</v>
      </c>
      <c r="F1227" s="30" t="s">
        <v>5659</v>
      </c>
      <c r="G1227" s="30" t="s">
        <v>5659</v>
      </c>
      <c r="H1227" s="30" t="s">
        <v>5655</v>
      </c>
      <c r="I1227" s="30" t="s">
        <v>45</v>
      </c>
      <c r="J1227" s="30" t="s">
        <v>265</v>
      </c>
      <c r="K1227" s="31" t="s">
        <v>47</v>
      </c>
      <c r="L1227" s="32"/>
      <c r="M1227" s="33"/>
      <c r="N1227" s="30" t="s">
        <v>48</v>
      </c>
      <c r="O1227" s="1" t="n">
        <f aca="false">IF($B1227="",0,IF(AND(OR(Filter!$B$5="(alle)",$N1227=Filter!$B$5),OR(Filter!$E$5="(alle)",$K1227=Filter!$E$5),OR(Filter!$H$5="(alle)",$C1227=Filter!$H$5),OR(Filter!$B$7="(alle)",$E1227=Filter!$B$7),OR(Filter!$E$7="(alle)",ISNUMBER(SEARCH(Filter!$E$7,$J1227))),OR(Filter!$H$7="(alle)",ISNUMBER(SEARCH(Filter!$H$7,$I1227))),OR(Filter!$B$9="",ISNUMBER(SEARCH(Filter!$B$9,$F1227&amp;" "&amp;$G1227)))),COUNTIF($O$6:$O1226,"&gt;0")+1,0))</f>
        <v>1221</v>
      </c>
    </row>
    <row r="1228" customFormat="false" ht="51" hidden="false" customHeight="true" outlineLevel="0" collapsed="false">
      <c r="B1228" s="30" t="s">
        <v>5660</v>
      </c>
      <c r="C1228" s="30" t="s">
        <v>218</v>
      </c>
      <c r="D1228" s="30" t="s">
        <v>5661</v>
      </c>
      <c r="E1228" s="30" t="s">
        <v>81</v>
      </c>
      <c r="F1228" s="30" t="s">
        <v>5662</v>
      </c>
      <c r="G1228" s="30" t="s">
        <v>5663</v>
      </c>
      <c r="H1228" s="30" t="s">
        <v>5655</v>
      </c>
      <c r="I1228" s="30" t="s">
        <v>2762</v>
      </c>
      <c r="J1228" s="30" t="s">
        <v>2763</v>
      </c>
      <c r="K1228" s="31" t="s">
        <v>47</v>
      </c>
      <c r="L1228" s="32"/>
      <c r="M1228" s="33"/>
      <c r="N1228" s="30" t="s">
        <v>65</v>
      </c>
      <c r="O1228" s="1" t="n">
        <f aca="false">IF($B1228="",0,IF(AND(OR(Filter!$B$5="(alle)",$N1228=Filter!$B$5),OR(Filter!$E$5="(alle)",$K1228=Filter!$E$5),OR(Filter!$H$5="(alle)",$C1228=Filter!$H$5),OR(Filter!$B$7="(alle)",$E1228=Filter!$B$7),OR(Filter!$E$7="(alle)",ISNUMBER(SEARCH(Filter!$E$7,$J1228))),OR(Filter!$H$7="(alle)",ISNUMBER(SEARCH(Filter!$H$7,$I1228))),OR(Filter!$B$9="",ISNUMBER(SEARCH(Filter!$B$9,$F1228&amp;" "&amp;$G1228)))),COUNTIF($O$6:$O1227,"&gt;0")+1,0))</f>
        <v>1222</v>
      </c>
    </row>
    <row r="1229" customFormat="false" ht="51" hidden="false" customHeight="true" outlineLevel="0" collapsed="false">
      <c r="B1229" s="30" t="s">
        <v>5664</v>
      </c>
      <c r="C1229" s="30" t="s">
        <v>218</v>
      </c>
      <c r="D1229" s="30" t="s">
        <v>243</v>
      </c>
      <c r="E1229" s="30" t="s">
        <v>81</v>
      </c>
      <c r="F1229" s="30" t="s">
        <v>5665</v>
      </c>
      <c r="G1229" s="30" t="s">
        <v>5666</v>
      </c>
      <c r="H1229" s="30" t="s">
        <v>5667</v>
      </c>
      <c r="I1229" s="30" t="s">
        <v>98</v>
      </c>
      <c r="J1229" s="30" t="s">
        <v>5668</v>
      </c>
      <c r="K1229" s="31" t="s">
        <v>47</v>
      </c>
      <c r="L1229" s="32"/>
      <c r="M1229" s="33"/>
      <c r="N1229" s="30" t="s">
        <v>65</v>
      </c>
      <c r="O1229" s="1" t="n">
        <f aca="false">IF($B1229="",0,IF(AND(OR(Filter!$B$5="(alle)",$N1229=Filter!$B$5),OR(Filter!$E$5="(alle)",$K1229=Filter!$E$5),OR(Filter!$H$5="(alle)",$C1229=Filter!$H$5),OR(Filter!$B$7="(alle)",$E1229=Filter!$B$7),OR(Filter!$E$7="(alle)",ISNUMBER(SEARCH(Filter!$E$7,$J1229))),OR(Filter!$H$7="(alle)",ISNUMBER(SEARCH(Filter!$H$7,$I1229))),OR(Filter!$B$9="",ISNUMBER(SEARCH(Filter!$B$9,$F1229&amp;" "&amp;$G1229)))),COUNTIF($O$6:$O1228,"&gt;0")+1,0))</f>
        <v>1223</v>
      </c>
    </row>
    <row r="1230" customFormat="false" ht="51" hidden="false" customHeight="true" outlineLevel="0" collapsed="false">
      <c r="B1230" s="30" t="s">
        <v>5669</v>
      </c>
      <c r="C1230" s="30" t="s">
        <v>218</v>
      </c>
      <c r="D1230" s="30" t="s">
        <v>249</v>
      </c>
      <c r="E1230" s="30" t="s">
        <v>547</v>
      </c>
      <c r="F1230" s="30" t="s">
        <v>5670</v>
      </c>
      <c r="G1230" s="30" t="s">
        <v>5671</v>
      </c>
      <c r="H1230" s="30" t="s">
        <v>5667</v>
      </c>
      <c r="I1230" s="30" t="s">
        <v>290</v>
      </c>
      <c r="J1230" s="30" t="s">
        <v>84</v>
      </c>
      <c r="K1230" s="31" t="s">
        <v>47</v>
      </c>
      <c r="L1230" s="32"/>
      <c r="M1230" s="33"/>
      <c r="N1230" s="30" t="s">
        <v>65</v>
      </c>
      <c r="O1230" s="1" t="n">
        <f aca="false">IF($B1230="",0,IF(AND(OR(Filter!$B$5="(alle)",$N1230=Filter!$B$5),OR(Filter!$E$5="(alle)",$K1230=Filter!$E$5),OR(Filter!$H$5="(alle)",$C1230=Filter!$H$5),OR(Filter!$B$7="(alle)",$E1230=Filter!$B$7),OR(Filter!$E$7="(alle)",ISNUMBER(SEARCH(Filter!$E$7,$J1230))),OR(Filter!$H$7="(alle)",ISNUMBER(SEARCH(Filter!$H$7,$I1230))),OR(Filter!$B$9="",ISNUMBER(SEARCH(Filter!$B$9,$F1230&amp;" "&amp;$G1230)))),COUNTIF($O$6:$O1229,"&gt;0")+1,0))</f>
        <v>1224</v>
      </c>
    </row>
    <row r="1231" customFormat="false" ht="51" hidden="false" customHeight="true" outlineLevel="0" collapsed="false">
      <c r="B1231" s="30" t="s">
        <v>5672</v>
      </c>
      <c r="C1231" s="30" t="s">
        <v>218</v>
      </c>
      <c r="D1231" s="30" t="s">
        <v>255</v>
      </c>
      <c r="E1231" s="30" t="s">
        <v>547</v>
      </c>
      <c r="F1231" s="30" t="s">
        <v>5673</v>
      </c>
      <c r="G1231" s="30" t="s">
        <v>5673</v>
      </c>
      <c r="H1231" s="30" t="s">
        <v>5667</v>
      </c>
      <c r="I1231" s="30" t="s">
        <v>290</v>
      </c>
      <c r="J1231" s="30" t="s">
        <v>84</v>
      </c>
      <c r="K1231" s="31" t="s">
        <v>47</v>
      </c>
      <c r="L1231" s="32"/>
      <c r="M1231" s="33"/>
      <c r="N1231" s="30" t="s">
        <v>65</v>
      </c>
      <c r="O1231" s="1" t="n">
        <f aca="false">IF($B1231="",0,IF(AND(OR(Filter!$B$5="(alle)",$N1231=Filter!$B$5),OR(Filter!$E$5="(alle)",$K1231=Filter!$E$5),OR(Filter!$H$5="(alle)",$C1231=Filter!$H$5),OR(Filter!$B$7="(alle)",$E1231=Filter!$B$7),OR(Filter!$E$7="(alle)",ISNUMBER(SEARCH(Filter!$E$7,$J1231))),OR(Filter!$H$7="(alle)",ISNUMBER(SEARCH(Filter!$H$7,$I1231))),OR(Filter!$B$9="",ISNUMBER(SEARCH(Filter!$B$9,$F1231&amp;" "&amp;$G1231)))),COUNTIF($O$6:$O1230,"&gt;0")+1,0))</f>
        <v>1225</v>
      </c>
    </row>
    <row r="1232" customFormat="false" ht="51" hidden="false" customHeight="true" outlineLevel="0" collapsed="false">
      <c r="B1232" s="30" t="s">
        <v>5674</v>
      </c>
      <c r="C1232" s="30" t="s">
        <v>218</v>
      </c>
      <c r="D1232" s="30" t="s">
        <v>5675</v>
      </c>
      <c r="E1232" s="30" t="s">
        <v>547</v>
      </c>
      <c r="F1232" s="30" t="s">
        <v>5676</v>
      </c>
      <c r="G1232" s="30" t="s">
        <v>5676</v>
      </c>
      <c r="H1232" s="30" t="s">
        <v>5677</v>
      </c>
      <c r="I1232" s="30" t="s">
        <v>290</v>
      </c>
      <c r="J1232" s="30" t="s">
        <v>84</v>
      </c>
      <c r="K1232" s="31" t="s">
        <v>47</v>
      </c>
      <c r="L1232" s="32"/>
      <c r="M1232" s="33"/>
      <c r="N1232" s="30" t="s">
        <v>65</v>
      </c>
      <c r="O1232" s="1" t="n">
        <f aca="false">IF($B1232="",0,IF(AND(OR(Filter!$B$5="(alle)",$N1232=Filter!$B$5),OR(Filter!$E$5="(alle)",$K1232=Filter!$E$5),OR(Filter!$H$5="(alle)",$C1232=Filter!$H$5),OR(Filter!$B$7="(alle)",$E1232=Filter!$B$7),OR(Filter!$E$7="(alle)",ISNUMBER(SEARCH(Filter!$E$7,$J1232))),OR(Filter!$H$7="(alle)",ISNUMBER(SEARCH(Filter!$H$7,$I1232))),OR(Filter!$B$9="",ISNUMBER(SEARCH(Filter!$B$9,$F1232&amp;" "&amp;$G1232)))),COUNTIF($O$6:$O1231,"&gt;0")+1,0))</f>
        <v>1226</v>
      </c>
    </row>
    <row r="1233" customFormat="false" ht="51" hidden="false" customHeight="true" outlineLevel="0" collapsed="false">
      <c r="B1233" s="30" t="s">
        <v>5678</v>
      </c>
      <c r="C1233" s="30" t="s">
        <v>268</v>
      </c>
      <c r="D1233" s="30" t="s">
        <v>3648</v>
      </c>
      <c r="E1233" s="30" t="s">
        <v>547</v>
      </c>
      <c r="F1233" s="30" t="s">
        <v>5679</v>
      </c>
      <c r="G1233" s="30" t="s">
        <v>5680</v>
      </c>
      <c r="H1233" s="30" t="s">
        <v>5681</v>
      </c>
      <c r="I1233" s="30" t="s">
        <v>476</v>
      </c>
      <c r="J1233" s="30" t="s">
        <v>476</v>
      </c>
      <c r="K1233" s="31" t="s">
        <v>47</v>
      </c>
      <c r="L1233" s="32"/>
      <c r="M1233" s="33"/>
      <c r="N1233" s="30" t="s">
        <v>48</v>
      </c>
      <c r="O1233" s="1" t="n">
        <f aca="false">IF($B1233="",0,IF(AND(OR(Filter!$B$5="(alle)",$N1233=Filter!$B$5),OR(Filter!$E$5="(alle)",$K1233=Filter!$E$5),OR(Filter!$H$5="(alle)",$C1233=Filter!$H$5),OR(Filter!$B$7="(alle)",$E1233=Filter!$B$7),OR(Filter!$E$7="(alle)",ISNUMBER(SEARCH(Filter!$E$7,$J1233))),OR(Filter!$H$7="(alle)",ISNUMBER(SEARCH(Filter!$H$7,$I1233))),OR(Filter!$B$9="",ISNUMBER(SEARCH(Filter!$B$9,$F1233&amp;" "&amp;$G1233)))),COUNTIF($O$6:$O1232,"&gt;0")+1,0))</f>
        <v>1227</v>
      </c>
    </row>
    <row r="1234" customFormat="false" ht="51" hidden="false" customHeight="true" outlineLevel="0" collapsed="false">
      <c r="B1234" s="30" t="s">
        <v>5682</v>
      </c>
      <c r="C1234" s="30" t="s">
        <v>268</v>
      </c>
      <c r="D1234" s="30" t="s">
        <v>3662</v>
      </c>
      <c r="E1234" s="30" t="s">
        <v>210</v>
      </c>
      <c r="F1234" s="30" t="s">
        <v>5683</v>
      </c>
      <c r="G1234" s="30" t="s">
        <v>5684</v>
      </c>
      <c r="H1234" s="30" t="s">
        <v>5685</v>
      </c>
      <c r="I1234" s="30" t="s">
        <v>306</v>
      </c>
      <c r="J1234" s="30" t="s">
        <v>206</v>
      </c>
      <c r="K1234" s="31" t="s">
        <v>47</v>
      </c>
      <c r="L1234" s="32"/>
      <c r="M1234" s="33"/>
      <c r="N1234" s="30" t="s">
        <v>48</v>
      </c>
      <c r="O1234" s="1" t="n">
        <f aca="false">IF($B1234="",0,IF(AND(OR(Filter!$B$5="(alle)",$N1234=Filter!$B$5),OR(Filter!$E$5="(alle)",$K1234=Filter!$E$5),OR(Filter!$H$5="(alle)",$C1234=Filter!$H$5),OR(Filter!$B$7="(alle)",$E1234=Filter!$B$7),OR(Filter!$E$7="(alle)",ISNUMBER(SEARCH(Filter!$E$7,$J1234))),OR(Filter!$H$7="(alle)",ISNUMBER(SEARCH(Filter!$H$7,$I1234))),OR(Filter!$B$9="",ISNUMBER(SEARCH(Filter!$B$9,$F1234&amp;" "&amp;$G1234)))),COUNTIF($O$6:$O1233,"&gt;0")+1,0))</f>
        <v>1228</v>
      </c>
    </row>
    <row r="1235" customFormat="false" ht="51" hidden="false" customHeight="true" outlineLevel="0" collapsed="false">
      <c r="B1235" s="30" t="s">
        <v>5686</v>
      </c>
      <c r="C1235" s="30" t="s">
        <v>268</v>
      </c>
      <c r="D1235" s="30" t="s">
        <v>5437</v>
      </c>
      <c r="E1235" s="30" t="s">
        <v>344</v>
      </c>
      <c r="F1235" s="30" t="s">
        <v>5687</v>
      </c>
      <c r="G1235" s="30" t="s">
        <v>5688</v>
      </c>
      <c r="H1235" s="30" t="s">
        <v>5685</v>
      </c>
      <c r="I1235" s="30" t="s">
        <v>306</v>
      </c>
      <c r="J1235" s="30" t="s">
        <v>206</v>
      </c>
      <c r="K1235" s="31" t="s">
        <v>47</v>
      </c>
      <c r="L1235" s="32"/>
      <c r="M1235" s="33"/>
      <c r="N1235" s="30" t="s">
        <v>48</v>
      </c>
      <c r="O1235" s="1" t="n">
        <f aca="false">IF($B1235="",0,IF(AND(OR(Filter!$B$5="(alle)",$N1235=Filter!$B$5),OR(Filter!$E$5="(alle)",$K1235=Filter!$E$5),OR(Filter!$H$5="(alle)",$C1235=Filter!$H$5),OR(Filter!$B$7="(alle)",$E1235=Filter!$B$7),OR(Filter!$E$7="(alle)",ISNUMBER(SEARCH(Filter!$E$7,$J1235))),OR(Filter!$H$7="(alle)",ISNUMBER(SEARCH(Filter!$H$7,$I1235))),OR(Filter!$B$9="",ISNUMBER(SEARCH(Filter!$B$9,$F1235&amp;" "&amp;$G1235)))),COUNTIF($O$6:$O1234,"&gt;0")+1,0))</f>
        <v>1229</v>
      </c>
    </row>
    <row r="1236" customFormat="false" ht="51" hidden="false" customHeight="true" outlineLevel="0" collapsed="false">
      <c r="B1236" s="30" t="s">
        <v>5689</v>
      </c>
      <c r="C1236" s="30" t="s">
        <v>268</v>
      </c>
      <c r="D1236" s="30" t="s">
        <v>5440</v>
      </c>
      <c r="E1236" s="30" t="s">
        <v>42</v>
      </c>
      <c r="F1236" s="30" t="s">
        <v>5690</v>
      </c>
      <c r="G1236" s="30" t="s">
        <v>5691</v>
      </c>
      <c r="H1236" s="30" t="s">
        <v>5685</v>
      </c>
      <c r="I1236" s="30" t="s">
        <v>45</v>
      </c>
      <c r="J1236" s="30" t="s">
        <v>46</v>
      </c>
      <c r="K1236" s="31" t="s">
        <v>47</v>
      </c>
      <c r="L1236" s="32"/>
      <c r="M1236" s="33"/>
      <c r="N1236" s="30" t="s">
        <v>48</v>
      </c>
      <c r="O1236" s="1" t="n">
        <f aca="false">IF($B1236="",0,IF(AND(OR(Filter!$B$5="(alle)",$N1236=Filter!$B$5),OR(Filter!$E$5="(alle)",$K1236=Filter!$E$5),OR(Filter!$H$5="(alle)",$C1236=Filter!$H$5),OR(Filter!$B$7="(alle)",$E1236=Filter!$B$7),OR(Filter!$E$7="(alle)",ISNUMBER(SEARCH(Filter!$E$7,$J1236))),OR(Filter!$H$7="(alle)",ISNUMBER(SEARCH(Filter!$H$7,$I1236))),OR(Filter!$B$9="",ISNUMBER(SEARCH(Filter!$B$9,$F1236&amp;" "&amp;$G1236)))),COUNTIF($O$6:$O1235,"&gt;0")+1,0))</f>
        <v>1230</v>
      </c>
    </row>
    <row r="1237" customFormat="false" ht="51" hidden="false" customHeight="true" outlineLevel="0" collapsed="false">
      <c r="B1237" s="30" t="s">
        <v>5692</v>
      </c>
      <c r="C1237" s="30" t="s">
        <v>268</v>
      </c>
      <c r="D1237" s="30" t="s">
        <v>5444</v>
      </c>
      <c r="E1237" s="30" t="s">
        <v>42</v>
      </c>
      <c r="F1237" s="30" t="s">
        <v>5693</v>
      </c>
      <c r="G1237" s="30" t="s">
        <v>5693</v>
      </c>
      <c r="H1237" s="30" t="s">
        <v>5685</v>
      </c>
      <c r="I1237" s="30" t="s">
        <v>45</v>
      </c>
      <c r="J1237" s="30" t="s">
        <v>46</v>
      </c>
      <c r="K1237" s="31" t="s">
        <v>47</v>
      </c>
      <c r="L1237" s="32"/>
      <c r="M1237" s="33"/>
      <c r="N1237" s="30" t="s">
        <v>48</v>
      </c>
      <c r="O1237" s="1" t="n">
        <f aca="false">IF($B1237="",0,IF(AND(OR(Filter!$B$5="(alle)",$N1237=Filter!$B$5),OR(Filter!$E$5="(alle)",$K1237=Filter!$E$5),OR(Filter!$H$5="(alle)",$C1237=Filter!$H$5),OR(Filter!$B$7="(alle)",$E1237=Filter!$B$7),OR(Filter!$E$7="(alle)",ISNUMBER(SEARCH(Filter!$E$7,$J1237))),OR(Filter!$H$7="(alle)",ISNUMBER(SEARCH(Filter!$H$7,$I1237))),OR(Filter!$B$9="",ISNUMBER(SEARCH(Filter!$B$9,$F1237&amp;" "&amp;$G1237)))),COUNTIF($O$6:$O1236,"&gt;0")+1,0))</f>
        <v>1231</v>
      </c>
    </row>
    <row r="1238" customFormat="false" ht="51" hidden="false" customHeight="true" outlineLevel="0" collapsed="false">
      <c r="B1238" s="30" t="s">
        <v>5694</v>
      </c>
      <c r="C1238" s="30" t="s">
        <v>268</v>
      </c>
      <c r="D1238" s="30" t="s">
        <v>5447</v>
      </c>
      <c r="E1238" s="30" t="s">
        <v>547</v>
      </c>
      <c r="F1238" s="30" t="s">
        <v>5695</v>
      </c>
      <c r="G1238" s="30" t="s">
        <v>5695</v>
      </c>
      <c r="H1238" s="30" t="s">
        <v>5681</v>
      </c>
      <c r="I1238" s="30" t="s">
        <v>476</v>
      </c>
      <c r="J1238" s="30" t="s">
        <v>476</v>
      </c>
      <c r="K1238" s="31" t="s">
        <v>47</v>
      </c>
      <c r="L1238" s="32"/>
      <c r="M1238" s="33"/>
      <c r="N1238" s="30" t="s">
        <v>48</v>
      </c>
      <c r="O1238" s="1" t="n">
        <f aca="false">IF($B1238="",0,IF(AND(OR(Filter!$B$5="(alle)",$N1238=Filter!$B$5),OR(Filter!$E$5="(alle)",$K1238=Filter!$E$5),OR(Filter!$H$5="(alle)",$C1238=Filter!$H$5),OR(Filter!$B$7="(alle)",$E1238=Filter!$B$7),OR(Filter!$E$7="(alle)",ISNUMBER(SEARCH(Filter!$E$7,$J1238))),OR(Filter!$H$7="(alle)",ISNUMBER(SEARCH(Filter!$H$7,$I1238))),OR(Filter!$B$9="",ISNUMBER(SEARCH(Filter!$B$9,$F1238&amp;" "&amp;$G1238)))),COUNTIF($O$6:$O1237,"&gt;0")+1,0))</f>
        <v>1232</v>
      </c>
    </row>
    <row r="1239" customFormat="false" ht="51" hidden="false" customHeight="true" outlineLevel="0" collapsed="false">
      <c r="B1239" s="30" t="s">
        <v>5696</v>
      </c>
      <c r="C1239" s="30" t="s">
        <v>268</v>
      </c>
      <c r="D1239" s="30" t="s">
        <v>5450</v>
      </c>
      <c r="E1239" s="30" t="s">
        <v>547</v>
      </c>
      <c r="F1239" s="30" t="s">
        <v>5697</v>
      </c>
      <c r="G1239" s="30" t="s">
        <v>5698</v>
      </c>
      <c r="H1239" s="30" t="s">
        <v>5681</v>
      </c>
      <c r="I1239" s="30" t="s">
        <v>476</v>
      </c>
      <c r="J1239" s="30" t="s">
        <v>476</v>
      </c>
      <c r="K1239" s="31" t="s">
        <v>47</v>
      </c>
      <c r="L1239" s="32"/>
      <c r="M1239" s="33"/>
      <c r="N1239" s="30" t="s">
        <v>48</v>
      </c>
      <c r="O1239" s="1" t="n">
        <f aca="false">IF($B1239="",0,IF(AND(OR(Filter!$B$5="(alle)",$N1239=Filter!$B$5),OR(Filter!$E$5="(alle)",$K1239=Filter!$E$5),OR(Filter!$H$5="(alle)",$C1239=Filter!$H$5),OR(Filter!$B$7="(alle)",$E1239=Filter!$B$7),OR(Filter!$E$7="(alle)",ISNUMBER(SEARCH(Filter!$E$7,$J1239))),OR(Filter!$H$7="(alle)",ISNUMBER(SEARCH(Filter!$H$7,$I1239))),OR(Filter!$B$9="",ISNUMBER(SEARCH(Filter!$B$9,$F1239&amp;" "&amp;$G1239)))),COUNTIF($O$6:$O1238,"&gt;0")+1,0))</f>
        <v>1233</v>
      </c>
    </row>
    <row r="1240" customFormat="false" ht="51" hidden="false" customHeight="true" outlineLevel="0" collapsed="false">
      <c r="B1240" s="30" t="s">
        <v>5699</v>
      </c>
      <c r="C1240" s="30" t="s">
        <v>268</v>
      </c>
      <c r="D1240" s="30" t="s">
        <v>5453</v>
      </c>
      <c r="E1240" s="30" t="s">
        <v>94</v>
      </c>
      <c r="F1240" s="30" t="s">
        <v>5700</v>
      </c>
      <c r="G1240" s="30" t="s">
        <v>5701</v>
      </c>
      <c r="H1240" s="30" t="s">
        <v>5685</v>
      </c>
      <c r="I1240" s="30" t="s">
        <v>45</v>
      </c>
      <c r="J1240" s="30" t="s">
        <v>265</v>
      </c>
      <c r="K1240" s="31" t="s">
        <v>47</v>
      </c>
      <c r="L1240" s="32"/>
      <c r="M1240" s="33"/>
      <c r="N1240" s="30" t="s">
        <v>48</v>
      </c>
      <c r="O1240" s="1" t="n">
        <f aca="false">IF($B1240="",0,IF(AND(OR(Filter!$B$5="(alle)",$N1240=Filter!$B$5),OR(Filter!$E$5="(alle)",$K1240=Filter!$E$5),OR(Filter!$H$5="(alle)",$C1240=Filter!$H$5),OR(Filter!$B$7="(alle)",$E1240=Filter!$B$7),OR(Filter!$E$7="(alle)",ISNUMBER(SEARCH(Filter!$E$7,$J1240))),OR(Filter!$H$7="(alle)",ISNUMBER(SEARCH(Filter!$H$7,$I1240))),OR(Filter!$B$9="",ISNUMBER(SEARCH(Filter!$B$9,$F1240&amp;" "&amp;$G1240)))),COUNTIF($O$6:$O1239,"&gt;0")+1,0))</f>
        <v>1234</v>
      </c>
    </row>
    <row r="1241" customFormat="false" ht="51" hidden="false" customHeight="true" outlineLevel="0" collapsed="false">
      <c r="B1241" s="30" t="s">
        <v>5702</v>
      </c>
      <c r="C1241" s="30" t="s">
        <v>268</v>
      </c>
      <c r="D1241" s="30" t="s">
        <v>5703</v>
      </c>
      <c r="E1241" s="30" t="s">
        <v>547</v>
      </c>
      <c r="F1241" s="30" t="s">
        <v>5704</v>
      </c>
      <c r="G1241" s="30" t="s">
        <v>5704</v>
      </c>
      <c r="H1241" s="30" t="s">
        <v>5681</v>
      </c>
      <c r="I1241" s="30" t="s">
        <v>476</v>
      </c>
      <c r="J1241" s="30" t="s">
        <v>476</v>
      </c>
      <c r="K1241" s="31" t="s">
        <v>47</v>
      </c>
      <c r="L1241" s="32"/>
      <c r="M1241" s="33"/>
      <c r="N1241" s="30" t="s">
        <v>48</v>
      </c>
      <c r="O1241" s="1" t="n">
        <f aca="false">IF($B1241="",0,IF(AND(OR(Filter!$B$5="(alle)",$N1241=Filter!$B$5),OR(Filter!$E$5="(alle)",$K1241=Filter!$E$5),OR(Filter!$H$5="(alle)",$C1241=Filter!$H$5),OR(Filter!$B$7="(alle)",$E1241=Filter!$B$7),OR(Filter!$E$7="(alle)",ISNUMBER(SEARCH(Filter!$E$7,$J1241))),OR(Filter!$H$7="(alle)",ISNUMBER(SEARCH(Filter!$H$7,$I1241))),OR(Filter!$B$9="",ISNUMBER(SEARCH(Filter!$B$9,$F1241&amp;" "&amp;$G1241)))),COUNTIF($O$6:$O1240,"&gt;0")+1,0))</f>
        <v>1235</v>
      </c>
    </row>
    <row r="1242" customFormat="false" ht="51" hidden="false" customHeight="true" outlineLevel="0" collapsed="false">
      <c r="B1242" s="30" t="s">
        <v>5705</v>
      </c>
      <c r="C1242" s="30" t="s">
        <v>268</v>
      </c>
      <c r="D1242" s="30" t="s">
        <v>5706</v>
      </c>
      <c r="E1242" s="30" t="s">
        <v>547</v>
      </c>
      <c r="F1242" s="30" t="s">
        <v>5707</v>
      </c>
      <c r="G1242" s="30" t="s">
        <v>5707</v>
      </c>
      <c r="H1242" s="30" t="s">
        <v>5708</v>
      </c>
      <c r="I1242" s="30" t="s">
        <v>476</v>
      </c>
      <c r="J1242" s="30" t="s">
        <v>476</v>
      </c>
      <c r="K1242" s="31" t="s">
        <v>47</v>
      </c>
      <c r="L1242" s="32"/>
      <c r="M1242" s="33"/>
      <c r="N1242" s="30" t="s">
        <v>48</v>
      </c>
      <c r="O1242" s="1" t="n">
        <f aca="false">IF($B1242="",0,IF(AND(OR(Filter!$B$5="(alle)",$N1242=Filter!$B$5),OR(Filter!$E$5="(alle)",$K1242=Filter!$E$5),OR(Filter!$H$5="(alle)",$C1242=Filter!$H$5),OR(Filter!$B$7="(alle)",$E1242=Filter!$B$7),OR(Filter!$E$7="(alle)",ISNUMBER(SEARCH(Filter!$E$7,$J1242))),OR(Filter!$H$7="(alle)",ISNUMBER(SEARCH(Filter!$H$7,$I1242))),OR(Filter!$B$9="",ISNUMBER(SEARCH(Filter!$B$9,$F1242&amp;" "&amp;$G1242)))),COUNTIF($O$6:$O1241,"&gt;0")+1,0))</f>
        <v>1236</v>
      </c>
    </row>
    <row r="1243" customFormat="false" ht="51" hidden="false" customHeight="true" outlineLevel="0" collapsed="false">
      <c r="B1243" s="30" t="s">
        <v>5709</v>
      </c>
      <c r="C1243" s="30" t="s">
        <v>268</v>
      </c>
      <c r="D1243" s="30" t="s">
        <v>5710</v>
      </c>
      <c r="E1243" s="30" t="s">
        <v>210</v>
      </c>
      <c r="F1243" s="30" t="s">
        <v>5711</v>
      </c>
      <c r="G1243" s="30" t="s">
        <v>5712</v>
      </c>
      <c r="H1243" s="30" t="s">
        <v>5713</v>
      </c>
      <c r="I1243" s="30" t="s">
        <v>3700</v>
      </c>
      <c r="J1243" s="30" t="s">
        <v>159</v>
      </c>
      <c r="K1243" s="31" t="s">
        <v>47</v>
      </c>
      <c r="L1243" s="32"/>
      <c r="M1243" s="33"/>
      <c r="N1243" s="30" t="s">
        <v>48</v>
      </c>
      <c r="O1243" s="1" t="n">
        <f aca="false">IF($B1243="",0,IF(AND(OR(Filter!$B$5="(alle)",$N1243=Filter!$B$5),OR(Filter!$E$5="(alle)",$K1243=Filter!$E$5),OR(Filter!$H$5="(alle)",$C1243=Filter!$H$5),OR(Filter!$B$7="(alle)",$E1243=Filter!$B$7),OR(Filter!$E$7="(alle)",ISNUMBER(SEARCH(Filter!$E$7,$J1243))),OR(Filter!$H$7="(alle)",ISNUMBER(SEARCH(Filter!$H$7,$I1243))),OR(Filter!$B$9="",ISNUMBER(SEARCH(Filter!$B$9,$F1243&amp;" "&amp;$G1243)))),COUNTIF($O$6:$O1242,"&gt;0")+1,0))</f>
        <v>1237</v>
      </c>
    </row>
    <row r="1244" customFormat="false" ht="51" hidden="false" customHeight="true" outlineLevel="0" collapsed="false">
      <c r="B1244" s="30" t="s">
        <v>5714</v>
      </c>
      <c r="C1244" s="30" t="s">
        <v>268</v>
      </c>
      <c r="D1244" s="30" t="s">
        <v>5531</v>
      </c>
      <c r="E1244" s="30" t="s">
        <v>547</v>
      </c>
      <c r="F1244" s="30" t="s">
        <v>5715</v>
      </c>
      <c r="G1244" s="30" t="s">
        <v>5715</v>
      </c>
      <c r="H1244" s="30" t="s">
        <v>5716</v>
      </c>
      <c r="I1244" s="30" t="s">
        <v>476</v>
      </c>
      <c r="J1244" s="30" t="s">
        <v>476</v>
      </c>
      <c r="K1244" s="31" t="s">
        <v>47</v>
      </c>
      <c r="L1244" s="32"/>
      <c r="M1244" s="33"/>
      <c r="N1244" s="30" t="s">
        <v>48</v>
      </c>
      <c r="O1244" s="1" t="n">
        <f aca="false">IF($B1244="",0,IF(AND(OR(Filter!$B$5="(alle)",$N1244=Filter!$B$5),OR(Filter!$E$5="(alle)",$K1244=Filter!$E$5),OR(Filter!$H$5="(alle)",$C1244=Filter!$H$5),OR(Filter!$B$7="(alle)",$E1244=Filter!$B$7),OR(Filter!$E$7="(alle)",ISNUMBER(SEARCH(Filter!$E$7,$J1244))),OR(Filter!$H$7="(alle)",ISNUMBER(SEARCH(Filter!$H$7,$I1244))),OR(Filter!$B$9="",ISNUMBER(SEARCH(Filter!$B$9,$F1244&amp;" "&amp;$G1244)))),COUNTIF($O$6:$O1243,"&gt;0")+1,0))</f>
        <v>1238</v>
      </c>
    </row>
    <row r="1245" customFormat="false" ht="51" hidden="false" customHeight="true" outlineLevel="0" collapsed="false">
      <c r="B1245" s="30" t="s">
        <v>5717</v>
      </c>
      <c r="C1245" s="30" t="s">
        <v>268</v>
      </c>
      <c r="D1245" s="30" t="s">
        <v>5536</v>
      </c>
      <c r="E1245" s="30" t="s">
        <v>547</v>
      </c>
      <c r="F1245" s="30" t="s">
        <v>5718</v>
      </c>
      <c r="G1245" s="30" t="s">
        <v>5718</v>
      </c>
      <c r="H1245" s="30" t="s">
        <v>5716</v>
      </c>
      <c r="I1245" s="30" t="s">
        <v>476</v>
      </c>
      <c r="J1245" s="30" t="s">
        <v>476</v>
      </c>
      <c r="K1245" s="31" t="s">
        <v>47</v>
      </c>
      <c r="L1245" s="32"/>
      <c r="M1245" s="33"/>
      <c r="N1245" s="30" t="s">
        <v>48</v>
      </c>
      <c r="O1245" s="1" t="n">
        <f aca="false">IF($B1245="",0,IF(AND(OR(Filter!$B$5="(alle)",$N1245=Filter!$B$5),OR(Filter!$E$5="(alle)",$K1245=Filter!$E$5),OR(Filter!$H$5="(alle)",$C1245=Filter!$H$5),OR(Filter!$B$7="(alle)",$E1245=Filter!$B$7),OR(Filter!$E$7="(alle)",ISNUMBER(SEARCH(Filter!$E$7,$J1245))),OR(Filter!$H$7="(alle)",ISNUMBER(SEARCH(Filter!$H$7,$I1245))),OR(Filter!$B$9="",ISNUMBER(SEARCH(Filter!$B$9,$F1245&amp;" "&amp;$G1245)))),COUNTIF($O$6:$O1244,"&gt;0")+1,0))</f>
        <v>1239</v>
      </c>
    </row>
    <row r="1246" customFormat="false" ht="51" hidden="false" customHeight="true" outlineLevel="0" collapsed="false">
      <c r="B1246" s="30" t="s">
        <v>5719</v>
      </c>
      <c r="C1246" s="30" t="s">
        <v>268</v>
      </c>
      <c r="D1246" s="30" t="s">
        <v>5541</v>
      </c>
      <c r="E1246" s="30" t="s">
        <v>547</v>
      </c>
      <c r="F1246" s="30" t="s">
        <v>5720</v>
      </c>
      <c r="G1246" s="30" t="s">
        <v>5720</v>
      </c>
      <c r="H1246" s="30" t="s">
        <v>5716</v>
      </c>
      <c r="I1246" s="30" t="s">
        <v>476</v>
      </c>
      <c r="J1246" s="30" t="s">
        <v>476</v>
      </c>
      <c r="K1246" s="31" t="s">
        <v>47</v>
      </c>
      <c r="L1246" s="32"/>
      <c r="M1246" s="33"/>
      <c r="N1246" s="30" t="s">
        <v>48</v>
      </c>
      <c r="O1246" s="1" t="n">
        <f aca="false">IF($B1246="",0,IF(AND(OR(Filter!$B$5="(alle)",$N1246=Filter!$B$5),OR(Filter!$E$5="(alle)",$K1246=Filter!$E$5),OR(Filter!$H$5="(alle)",$C1246=Filter!$H$5),OR(Filter!$B$7="(alle)",$E1246=Filter!$B$7),OR(Filter!$E$7="(alle)",ISNUMBER(SEARCH(Filter!$E$7,$J1246))),OR(Filter!$H$7="(alle)",ISNUMBER(SEARCH(Filter!$H$7,$I1246))),OR(Filter!$B$9="",ISNUMBER(SEARCH(Filter!$B$9,$F1246&amp;" "&amp;$G1246)))),COUNTIF($O$6:$O1245,"&gt;0")+1,0))</f>
        <v>1240</v>
      </c>
    </row>
    <row r="1247" customFormat="false" ht="51" hidden="false" customHeight="true" outlineLevel="0" collapsed="false">
      <c r="B1247" s="30" t="s">
        <v>5721</v>
      </c>
      <c r="C1247" s="30" t="s">
        <v>268</v>
      </c>
      <c r="D1247" s="30" t="s">
        <v>5544</v>
      </c>
      <c r="E1247" s="30" t="s">
        <v>547</v>
      </c>
      <c r="F1247" s="30" t="s">
        <v>5722</v>
      </c>
      <c r="G1247" s="30" t="s">
        <v>5722</v>
      </c>
      <c r="H1247" s="30" t="s">
        <v>5716</v>
      </c>
      <c r="I1247" s="30" t="s">
        <v>476</v>
      </c>
      <c r="J1247" s="30" t="s">
        <v>476</v>
      </c>
      <c r="K1247" s="31" t="s">
        <v>47</v>
      </c>
      <c r="L1247" s="32"/>
      <c r="M1247" s="33"/>
      <c r="N1247" s="30" t="s">
        <v>48</v>
      </c>
      <c r="O1247" s="1" t="n">
        <f aca="false">IF($B1247="",0,IF(AND(OR(Filter!$B$5="(alle)",$N1247=Filter!$B$5),OR(Filter!$E$5="(alle)",$K1247=Filter!$E$5),OR(Filter!$H$5="(alle)",$C1247=Filter!$H$5),OR(Filter!$B$7="(alle)",$E1247=Filter!$B$7),OR(Filter!$E$7="(alle)",ISNUMBER(SEARCH(Filter!$E$7,$J1247))),OR(Filter!$H$7="(alle)",ISNUMBER(SEARCH(Filter!$H$7,$I1247))),OR(Filter!$B$9="",ISNUMBER(SEARCH(Filter!$B$9,$F1247&amp;" "&amp;$G1247)))),COUNTIF($O$6:$O1246,"&gt;0")+1,0))</f>
        <v>1241</v>
      </c>
    </row>
    <row r="1248" customFormat="false" ht="51" hidden="false" customHeight="true" outlineLevel="0" collapsed="false">
      <c r="B1248" s="30" t="s">
        <v>5723</v>
      </c>
      <c r="C1248" s="30" t="s">
        <v>268</v>
      </c>
      <c r="D1248" s="30" t="s">
        <v>3671</v>
      </c>
      <c r="E1248" s="30" t="s">
        <v>270</v>
      </c>
      <c r="F1248" s="30" t="s">
        <v>5724</v>
      </c>
      <c r="G1248" s="30" t="s">
        <v>5725</v>
      </c>
      <c r="H1248" s="30" t="s">
        <v>5726</v>
      </c>
      <c r="I1248" s="30" t="s">
        <v>45</v>
      </c>
      <c r="J1248" s="30" t="s">
        <v>274</v>
      </c>
      <c r="K1248" s="31" t="s">
        <v>47</v>
      </c>
      <c r="L1248" s="32"/>
      <c r="M1248" s="33"/>
      <c r="N1248" s="30" t="s">
        <v>48</v>
      </c>
      <c r="O1248" s="1" t="n">
        <f aca="false">IF($B1248="",0,IF(AND(OR(Filter!$B$5="(alle)",$N1248=Filter!$B$5),OR(Filter!$E$5="(alle)",$K1248=Filter!$E$5),OR(Filter!$H$5="(alle)",$C1248=Filter!$H$5),OR(Filter!$B$7="(alle)",$E1248=Filter!$B$7),OR(Filter!$E$7="(alle)",ISNUMBER(SEARCH(Filter!$E$7,$J1248))),OR(Filter!$H$7="(alle)",ISNUMBER(SEARCH(Filter!$H$7,$I1248))),OR(Filter!$B$9="",ISNUMBER(SEARCH(Filter!$B$9,$F1248&amp;" "&amp;$G1248)))),COUNTIF($O$6:$O1247,"&gt;0")+1,0))</f>
        <v>1242</v>
      </c>
    </row>
    <row r="1249" customFormat="false" ht="51" hidden="false" customHeight="true" outlineLevel="0" collapsed="false">
      <c r="B1249" s="30" t="s">
        <v>5727</v>
      </c>
      <c r="C1249" s="30" t="s">
        <v>268</v>
      </c>
      <c r="D1249" s="30" t="s">
        <v>5728</v>
      </c>
      <c r="E1249" s="30" t="s">
        <v>270</v>
      </c>
      <c r="F1249" s="30" t="s">
        <v>5729</v>
      </c>
      <c r="G1249" s="30" t="s">
        <v>5729</v>
      </c>
      <c r="H1249" s="30" t="s">
        <v>5726</v>
      </c>
      <c r="I1249" s="30" t="s">
        <v>45</v>
      </c>
      <c r="J1249" s="30" t="s">
        <v>274</v>
      </c>
      <c r="K1249" s="31" t="s">
        <v>47</v>
      </c>
      <c r="L1249" s="32"/>
      <c r="M1249" s="33"/>
      <c r="N1249" s="30" t="s">
        <v>48</v>
      </c>
      <c r="O1249" s="1" t="n">
        <f aca="false">IF($B1249="",0,IF(AND(OR(Filter!$B$5="(alle)",$N1249=Filter!$B$5),OR(Filter!$E$5="(alle)",$K1249=Filter!$E$5),OR(Filter!$H$5="(alle)",$C1249=Filter!$H$5),OR(Filter!$B$7="(alle)",$E1249=Filter!$B$7),OR(Filter!$E$7="(alle)",ISNUMBER(SEARCH(Filter!$E$7,$J1249))),OR(Filter!$H$7="(alle)",ISNUMBER(SEARCH(Filter!$H$7,$I1249))),OR(Filter!$B$9="",ISNUMBER(SEARCH(Filter!$B$9,$F1249&amp;" "&amp;$G1249)))),COUNTIF($O$6:$O1248,"&gt;0")+1,0))</f>
        <v>1243</v>
      </c>
    </row>
    <row r="1250" customFormat="false" ht="51" hidden="false" customHeight="true" outlineLevel="0" collapsed="false">
      <c r="B1250" s="30" t="s">
        <v>5730</v>
      </c>
      <c r="C1250" s="30" t="s">
        <v>268</v>
      </c>
      <c r="D1250" s="30" t="s">
        <v>5560</v>
      </c>
      <c r="E1250" s="30" t="s">
        <v>270</v>
      </c>
      <c r="F1250" s="30" t="s">
        <v>5731</v>
      </c>
      <c r="G1250" s="30" t="s">
        <v>5731</v>
      </c>
      <c r="H1250" s="30" t="s">
        <v>5732</v>
      </c>
      <c r="I1250" s="30" t="s">
        <v>45</v>
      </c>
      <c r="J1250" s="30" t="s">
        <v>274</v>
      </c>
      <c r="K1250" s="31" t="s">
        <v>47</v>
      </c>
      <c r="L1250" s="32"/>
      <c r="M1250" s="33"/>
      <c r="N1250" s="30" t="s">
        <v>48</v>
      </c>
      <c r="O1250" s="1" t="n">
        <f aca="false">IF($B1250="",0,IF(AND(OR(Filter!$B$5="(alle)",$N1250=Filter!$B$5),OR(Filter!$E$5="(alle)",$K1250=Filter!$E$5),OR(Filter!$H$5="(alle)",$C1250=Filter!$H$5),OR(Filter!$B$7="(alle)",$E1250=Filter!$B$7),OR(Filter!$E$7="(alle)",ISNUMBER(SEARCH(Filter!$E$7,$J1250))),OR(Filter!$H$7="(alle)",ISNUMBER(SEARCH(Filter!$H$7,$I1250))),OR(Filter!$B$9="",ISNUMBER(SEARCH(Filter!$B$9,$F1250&amp;" "&amp;$G1250)))),COUNTIF($O$6:$O1249,"&gt;0")+1,0))</f>
        <v>1244</v>
      </c>
    </row>
    <row r="1251" customFormat="false" ht="51" hidden="false" customHeight="true" outlineLevel="0" collapsed="false">
      <c r="B1251" s="30" t="s">
        <v>5733</v>
      </c>
      <c r="C1251" s="30" t="s">
        <v>268</v>
      </c>
      <c r="D1251" s="30" t="s">
        <v>5564</v>
      </c>
      <c r="E1251" s="30" t="s">
        <v>270</v>
      </c>
      <c r="F1251" s="30" t="s">
        <v>5734</v>
      </c>
      <c r="G1251" s="30" t="s">
        <v>5734</v>
      </c>
      <c r="H1251" s="30" t="s">
        <v>5732</v>
      </c>
      <c r="I1251" s="30" t="s">
        <v>45</v>
      </c>
      <c r="J1251" s="30" t="s">
        <v>274</v>
      </c>
      <c r="K1251" s="31" t="s">
        <v>47</v>
      </c>
      <c r="L1251" s="32"/>
      <c r="M1251" s="33"/>
      <c r="N1251" s="30" t="s">
        <v>48</v>
      </c>
      <c r="O1251" s="1" t="n">
        <f aca="false">IF($B1251="",0,IF(AND(OR(Filter!$B$5="(alle)",$N1251=Filter!$B$5),OR(Filter!$E$5="(alle)",$K1251=Filter!$E$5),OR(Filter!$H$5="(alle)",$C1251=Filter!$H$5),OR(Filter!$B$7="(alle)",$E1251=Filter!$B$7),OR(Filter!$E$7="(alle)",ISNUMBER(SEARCH(Filter!$E$7,$J1251))),OR(Filter!$H$7="(alle)",ISNUMBER(SEARCH(Filter!$H$7,$I1251))),OR(Filter!$B$9="",ISNUMBER(SEARCH(Filter!$B$9,$F1251&amp;" "&amp;$G1251)))),COUNTIF($O$6:$O1250,"&gt;0")+1,0))</f>
        <v>1245</v>
      </c>
    </row>
    <row r="1252" customFormat="false" ht="51" hidden="false" customHeight="true" outlineLevel="0" collapsed="false">
      <c r="B1252" s="30" t="s">
        <v>5735</v>
      </c>
      <c r="C1252" s="30" t="s">
        <v>268</v>
      </c>
      <c r="D1252" s="30" t="s">
        <v>5736</v>
      </c>
      <c r="E1252" s="30" t="s">
        <v>270</v>
      </c>
      <c r="F1252" s="30" t="s">
        <v>5737</v>
      </c>
      <c r="G1252" s="30" t="s">
        <v>5737</v>
      </c>
      <c r="H1252" s="30" t="s">
        <v>5732</v>
      </c>
      <c r="I1252" s="30" t="s">
        <v>45</v>
      </c>
      <c r="J1252" s="30" t="s">
        <v>274</v>
      </c>
      <c r="K1252" s="31" t="s">
        <v>47</v>
      </c>
      <c r="L1252" s="32"/>
      <c r="M1252" s="33"/>
      <c r="N1252" s="30" t="s">
        <v>48</v>
      </c>
      <c r="O1252" s="1" t="n">
        <f aca="false">IF($B1252="",0,IF(AND(OR(Filter!$B$5="(alle)",$N1252=Filter!$B$5),OR(Filter!$E$5="(alle)",$K1252=Filter!$E$5),OR(Filter!$H$5="(alle)",$C1252=Filter!$H$5),OR(Filter!$B$7="(alle)",$E1252=Filter!$B$7),OR(Filter!$E$7="(alle)",ISNUMBER(SEARCH(Filter!$E$7,$J1252))),OR(Filter!$H$7="(alle)",ISNUMBER(SEARCH(Filter!$H$7,$I1252))),OR(Filter!$B$9="",ISNUMBER(SEARCH(Filter!$B$9,$F1252&amp;" "&amp;$G1252)))),COUNTIF($O$6:$O1251,"&gt;0")+1,0))</f>
        <v>1246</v>
      </c>
    </row>
    <row r="1253" customFormat="false" ht="51" hidden="false" customHeight="true" outlineLevel="0" collapsed="false">
      <c r="B1253" s="30" t="s">
        <v>5738</v>
      </c>
      <c r="C1253" s="30" t="s">
        <v>268</v>
      </c>
      <c r="D1253" s="30" t="s">
        <v>5739</v>
      </c>
      <c r="E1253" s="30" t="s">
        <v>270</v>
      </c>
      <c r="F1253" s="30" t="s">
        <v>5740</v>
      </c>
      <c r="G1253" s="30" t="s">
        <v>5740</v>
      </c>
      <c r="H1253" s="30" t="s">
        <v>5732</v>
      </c>
      <c r="I1253" s="30" t="s">
        <v>45</v>
      </c>
      <c r="J1253" s="30" t="s">
        <v>274</v>
      </c>
      <c r="K1253" s="31" t="s">
        <v>47</v>
      </c>
      <c r="L1253" s="32"/>
      <c r="M1253" s="33"/>
      <c r="N1253" s="30" t="s">
        <v>48</v>
      </c>
      <c r="O1253" s="1" t="n">
        <f aca="false">IF($B1253="",0,IF(AND(OR(Filter!$B$5="(alle)",$N1253=Filter!$B$5),OR(Filter!$E$5="(alle)",$K1253=Filter!$E$5),OR(Filter!$H$5="(alle)",$C1253=Filter!$H$5),OR(Filter!$B$7="(alle)",$E1253=Filter!$B$7),OR(Filter!$E$7="(alle)",ISNUMBER(SEARCH(Filter!$E$7,$J1253))),OR(Filter!$H$7="(alle)",ISNUMBER(SEARCH(Filter!$H$7,$I1253))),OR(Filter!$B$9="",ISNUMBER(SEARCH(Filter!$B$9,$F1253&amp;" "&amp;$G1253)))),COUNTIF($O$6:$O1252,"&gt;0")+1,0))</f>
        <v>1247</v>
      </c>
    </row>
    <row r="1254" customFormat="false" ht="51" hidden="false" customHeight="true" outlineLevel="0" collapsed="false">
      <c r="B1254" s="30" t="s">
        <v>5741</v>
      </c>
      <c r="C1254" s="30" t="s">
        <v>268</v>
      </c>
      <c r="D1254" s="30" t="s">
        <v>5742</v>
      </c>
      <c r="E1254" s="30" t="s">
        <v>270</v>
      </c>
      <c r="F1254" s="30" t="s">
        <v>5743</v>
      </c>
      <c r="G1254" s="30" t="s">
        <v>5743</v>
      </c>
      <c r="H1254" s="30" t="s">
        <v>5732</v>
      </c>
      <c r="I1254" s="30" t="s">
        <v>45</v>
      </c>
      <c r="J1254" s="30" t="s">
        <v>274</v>
      </c>
      <c r="K1254" s="31" t="s">
        <v>47</v>
      </c>
      <c r="L1254" s="32"/>
      <c r="M1254" s="33"/>
      <c r="N1254" s="30" t="s">
        <v>48</v>
      </c>
      <c r="O1254" s="1" t="n">
        <f aca="false">IF($B1254="",0,IF(AND(OR(Filter!$B$5="(alle)",$N1254=Filter!$B$5),OR(Filter!$E$5="(alle)",$K1254=Filter!$E$5),OR(Filter!$H$5="(alle)",$C1254=Filter!$H$5),OR(Filter!$B$7="(alle)",$E1254=Filter!$B$7),OR(Filter!$E$7="(alle)",ISNUMBER(SEARCH(Filter!$E$7,$J1254))),OR(Filter!$H$7="(alle)",ISNUMBER(SEARCH(Filter!$H$7,$I1254))),OR(Filter!$B$9="",ISNUMBER(SEARCH(Filter!$B$9,$F1254&amp;" "&amp;$G1254)))),COUNTIF($O$6:$O1253,"&gt;0")+1,0))</f>
        <v>1248</v>
      </c>
    </row>
    <row r="1255" customFormat="false" ht="51" hidden="false" customHeight="true" outlineLevel="0" collapsed="false">
      <c r="B1255" s="30" t="s">
        <v>5744</v>
      </c>
      <c r="C1255" s="30" t="s">
        <v>268</v>
      </c>
      <c r="D1255" s="30" t="s">
        <v>5745</v>
      </c>
      <c r="E1255" s="30" t="s">
        <v>270</v>
      </c>
      <c r="F1255" s="30" t="s">
        <v>5746</v>
      </c>
      <c r="G1255" s="30" t="s">
        <v>5746</v>
      </c>
      <c r="H1255" s="30" t="s">
        <v>5732</v>
      </c>
      <c r="I1255" s="30" t="s">
        <v>45</v>
      </c>
      <c r="J1255" s="30" t="s">
        <v>274</v>
      </c>
      <c r="K1255" s="31" t="s">
        <v>47</v>
      </c>
      <c r="L1255" s="32"/>
      <c r="M1255" s="33"/>
      <c r="N1255" s="30" t="s">
        <v>48</v>
      </c>
      <c r="O1255" s="1" t="n">
        <f aca="false">IF($B1255="",0,IF(AND(OR(Filter!$B$5="(alle)",$N1255=Filter!$B$5),OR(Filter!$E$5="(alle)",$K1255=Filter!$E$5),OR(Filter!$H$5="(alle)",$C1255=Filter!$H$5),OR(Filter!$B$7="(alle)",$E1255=Filter!$B$7),OR(Filter!$E$7="(alle)",ISNUMBER(SEARCH(Filter!$E$7,$J1255))),OR(Filter!$H$7="(alle)",ISNUMBER(SEARCH(Filter!$H$7,$I1255))),OR(Filter!$B$9="",ISNUMBER(SEARCH(Filter!$B$9,$F1255&amp;" "&amp;$G1255)))),COUNTIF($O$6:$O1254,"&gt;0")+1,0))</f>
        <v>1249</v>
      </c>
    </row>
    <row r="1256" customFormat="false" ht="51" hidden="false" customHeight="true" outlineLevel="0" collapsed="false">
      <c r="B1256" s="30" t="s">
        <v>5747</v>
      </c>
      <c r="C1256" s="30" t="s">
        <v>268</v>
      </c>
      <c r="D1256" s="30" t="s">
        <v>5748</v>
      </c>
      <c r="E1256" s="30" t="s">
        <v>270</v>
      </c>
      <c r="F1256" s="30" t="s">
        <v>5749</v>
      </c>
      <c r="G1256" s="30" t="s">
        <v>5749</v>
      </c>
      <c r="H1256" s="30" t="s">
        <v>5732</v>
      </c>
      <c r="I1256" s="30" t="s">
        <v>45</v>
      </c>
      <c r="J1256" s="30" t="s">
        <v>274</v>
      </c>
      <c r="K1256" s="31" t="s">
        <v>47</v>
      </c>
      <c r="L1256" s="32"/>
      <c r="M1256" s="33"/>
      <c r="N1256" s="30" t="s">
        <v>48</v>
      </c>
      <c r="O1256" s="1" t="n">
        <f aca="false">IF($B1256="",0,IF(AND(OR(Filter!$B$5="(alle)",$N1256=Filter!$B$5),OR(Filter!$E$5="(alle)",$K1256=Filter!$E$5),OR(Filter!$H$5="(alle)",$C1256=Filter!$H$5),OR(Filter!$B$7="(alle)",$E1256=Filter!$B$7),OR(Filter!$E$7="(alle)",ISNUMBER(SEARCH(Filter!$E$7,$J1256))),OR(Filter!$H$7="(alle)",ISNUMBER(SEARCH(Filter!$H$7,$I1256))),OR(Filter!$B$9="",ISNUMBER(SEARCH(Filter!$B$9,$F1256&amp;" "&amp;$G1256)))),COUNTIF($O$6:$O1255,"&gt;0")+1,0))</f>
        <v>1250</v>
      </c>
    </row>
    <row r="1257" customFormat="false" ht="51" hidden="false" customHeight="true" outlineLevel="0" collapsed="false">
      <c r="B1257" s="30" t="s">
        <v>5750</v>
      </c>
      <c r="C1257" s="30" t="s">
        <v>268</v>
      </c>
      <c r="D1257" s="30" t="s">
        <v>5751</v>
      </c>
      <c r="E1257" s="30" t="s">
        <v>270</v>
      </c>
      <c r="F1257" s="30" t="s">
        <v>5752</v>
      </c>
      <c r="G1257" s="30" t="s">
        <v>5752</v>
      </c>
      <c r="H1257" s="30" t="s">
        <v>5732</v>
      </c>
      <c r="I1257" s="30" t="s">
        <v>45</v>
      </c>
      <c r="J1257" s="30" t="s">
        <v>274</v>
      </c>
      <c r="K1257" s="31" t="s">
        <v>47</v>
      </c>
      <c r="L1257" s="32"/>
      <c r="M1257" s="33"/>
      <c r="N1257" s="30" t="s">
        <v>48</v>
      </c>
      <c r="O1257" s="1" t="n">
        <f aca="false">IF($B1257="",0,IF(AND(OR(Filter!$B$5="(alle)",$N1257=Filter!$B$5),OR(Filter!$E$5="(alle)",$K1257=Filter!$E$5),OR(Filter!$H$5="(alle)",$C1257=Filter!$H$5),OR(Filter!$B$7="(alle)",$E1257=Filter!$B$7),OR(Filter!$E$7="(alle)",ISNUMBER(SEARCH(Filter!$E$7,$J1257))),OR(Filter!$H$7="(alle)",ISNUMBER(SEARCH(Filter!$H$7,$I1257))),OR(Filter!$B$9="",ISNUMBER(SEARCH(Filter!$B$9,$F1257&amp;" "&amp;$G1257)))),COUNTIF($O$6:$O1256,"&gt;0")+1,0))</f>
        <v>1251</v>
      </c>
    </row>
    <row r="1258" customFormat="false" ht="51" hidden="false" customHeight="true" outlineLevel="0" collapsed="false">
      <c r="B1258" s="30" t="s">
        <v>5753</v>
      </c>
      <c r="C1258" s="30" t="s">
        <v>268</v>
      </c>
      <c r="D1258" s="30" t="s">
        <v>5754</v>
      </c>
      <c r="E1258" s="30" t="s">
        <v>42</v>
      </c>
      <c r="F1258" s="30" t="s">
        <v>5755</v>
      </c>
      <c r="G1258" s="30" t="s">
        <v>5756</v>
      </c>
      <c r="H1258" s="30" t="s">
        <v>5732</v>
      </c>
      <c r="I1258" s="30" t="s">
        <v>3847</v>
      </c>
      <c r="J1258" s="30" t="s">
        <v>5757</v>
      </c>
      <c r="K1258" s="31" t="s">
        <v>47</v>
      </c>
      <c r="L1258" s="32"/>
      <c r="M1258" s="33"/>
      <c r="N1258" s="30" t="s">
        <v>48</v>
      </c>
      <c r="O1258" s="1" t="n">
        <f aca="false">IF($B1258="",0,IF(AND(OR(Filter!$B$5="(alle)",$N1258=Filter!$B$5),OR(Filter!$E$5="(alle)",$K1258=Filter!$E$5),OR(Filter!$H$5="(alle)",$C1258=Filter!$H$5),OR(Filter!$B$7="(alle)",$E1258=Filter!$B$7),OR(Filter!$E$7="(alle)",ISNUMBER(SEARCH(Filter!$E$7,$J1258))),OR(Filter!$H$7="(alle)",ISNUMBER(SEARCH(Filter!$H$7,$I1258))),OR(Filter!$B$9="",ISNUMBER(SEARCH(Filter!$B$9,$F1258&amp;" "&amp;$G1258)))),COUNTIF($O$6:$O1257,"&gt;0")+1,0))</f>
        <v>1252</v>
      </c>
    </row>
    <row r="1259" customFormat="false" ht="51" hidden="false" customHeight="true" outlineLevel="0" collapsed="false">
      <c r="B1259" s="30" t="s">
        <v>5758</v>
      </c>
      <c r="C1259" s="30" t="s">
        <v>268</v>
      </c>
      <c r="D1259" s="30" t="s">
        <v>5567</v>
      </c>
      <c r="E1259" s="30" t="s">
        <v>270</v>
      </c>
      <c r="F1259" s="30" t="s">
        <v>5759</v>
      </c>
      <c r="G1259" s="30" t="s">
        <v>5759</v>
      </c>
      <c r="H1259" s="30" t="s">
        <v>5760</v>
      </c>
      <c r="I1259" s="30" t="s">
        <v>45</v>
      </c>
      <c r="J1259" s="30" t="s">
        <v>274</v>
      </c>
      <c r="K1259" s="31" t="s">
        <v>47</v>
      </c>
      <c r="L1259" s="32"/>
      <c r="M1259" s="33"/>
      <c r="N1259" s="30" t="s">
        <v>48</v>
      </c>
      <c r="O1259" s="1" t="n">
        <f aca="false">IF($B1259="",0,IF(AND(OR(Filter!$B$5="(alle)",$N1259=Filter!$B$5),OR(Filter!$E$5="(alle)",$K1259=Filter!$E$5),OR(Filter!$H$5="(alle)",$C1259=Filter!$H$5),OR(Filter!$B$7="(alle)",$E1259=Filter!$B$7),OR(Filter!$E$7="(alle)",ISNUMBER(SEARCH(Filter!$E$7,$J1259))),OR(Filter!$H$7="(alle)",ISNUMBER(SEARCH(Filter!$H$7,$I1259))),OR(Filter!$B$9="",ISNUMBER(SEARCH(Filter!$B$9,$F1259&amp;" "&amp;$G1259)))),COUNTIF($O$6:$O1258,"&gt;0")+1,0))</f>
        <v>1253</v>
      </c>
    </row>
    <row r="1260" customFormat="false" ht="51" hidden="false" customHeight="true" outlineLevel="0" collapsed="false">
      <c r="B1260" s="30" t="s">
        <v>5761</v>
      </c>
      <c r="C1260" s="30" t="s">
        <v>268</v>
      </c>
      <c r="D1260" s="30" t="s">
        <v>5571</v>
      </c>
      <c r="E1260" s="30" t="s">
        <v>270</v>
      </c>
      <c r="F1260" s="30" t="s">
        <v>5762</v>
      </c>
      <c r="G1260" s="30" t="s">
        <v>5762</v>
      </c>
      <c r="H1260" s="30" t="s">
        <v>5760</v>
      </c>
      <c r="I1260" s="30" t="s">
        <v>45</v>
      </c>
      <c r="J1260" s="30" t="s">
        <v>274</v>
      </c>
      <c r="K1260" s="31" t="s">
        <v>47</v>
      </c>
      <c r="L1260" s="32"/>
      <c r="M1260" s="33"/>
      <c r="N1260" s="30" t="s">
        <v>48</v>
      </c>
      <c r="O1260" s="1" t="n">
        <f aca="false">IF($B1260="",0,IF(AND(OR(Filter!$B$5="(alle)",$N1260=Filter!$B$5),OR(Filter!$E$5="(alle)",$K1260=Filter!$E$5),OR(Filter!$H$5="(alle)",$C1260=Filter!$H$5),OR(Filter!$B$7="(alle)",$E1260=Filter!$B$7),OR(Filter!$E$7="(alle)",ISNUMBER(SEARCH(Filter!$E$7,$J1260))),OR(Filter!$H$7="(alle)",ISNUMBER(SEARCH(Filter!$H$7,$I1260))),OR(Filter!$B$9="",ISNUMBER(SEARCH(Filter!$B$9,$F1260&amp;" "&amp;$G1260)))),COUNTIF($O$6:$O1259,"&gt;0")+1,0))</f>
        <v>1254</v>
      </c>
    </row>
    <row r="1261" customFormat="false" ht="51" hidden="false" customHeight="true" outlineLevel="0" collapsed="false">
      <c r="B1261" s="30" t="s">
        <v>5763</v>
      </c>
      <c r="C1261" s="30" t="s">
        <v>268</v>
      </c>
      <c r="D1261" s="30" t="s">
        <v>5574</v>
      </c>
      <c r="E1261" s="30" t="s">
        <v>270</v>
      </c>
      <c r="F1261" s="30" t="s">
        <v>5764</v>
      </c>
      <c r="G1261" s="30" t="s">
        <v>5764</v>
      </c>
      <c r="H1261" s="30" t="s">
        <v>5760</v>
      </c>
      <c r="I1261" s="30" t="s">
        <v>45</v>
      </c>
      <c r="J1261" s="30" t="s">
        <v>274</v>
      </c>
      <c r="K1261" s="31" t="s">
        <v>47</v>
      </c>
      <c r="L1261" s="32"/>
      <c r="M1261" s="33"/>
      <c r="N1261" s="30" t="s">
        <v>48</v>
      </c>
      <c r="O1261" s="1" t="n">
        <f aca="false">IF($B1261="",0,IF(AND(OR(Filter!$B$5="(alle)",$N1261=Filter!$B$5),OR(Filter!$E$5="(alle)",$K1261=Filter!$E$5),OR(Filter!$H$5="(alle)",$C1261=Filter!$H$5),OR(Filter!$B$7="(alle)",$E1261=Filter!$B$7),OR(Filter!$E$7="(alle)",ISNUMBER(SEARCH(Filter!$E$7,$J1261))),OR(Filter!$H$7="(alle)",ISNUMBER(SEARCH(Filter!$H$7,$I1261))),OR(Filter!$B$9="",ISNUMBER(SEARCH(Filter!$B$9,$F1261&amp;" "&amp;$G1261)))),COUNTIF($O$6:$O1260,"&gt;0")+1,0))</f>
        <v>1255</v>
      </c>
    </row>
    <row r="1262" customFormat="false" ht="51" hidden="false" customHeight="true" outlineLevel="0" collapsed="false">
      <c r="B1262" s="30" t="s">
        <v>5765</v>
      </c>
      <c r="C1262" s="30" t="s">
        <v>268</v>
      </c>
      <c r="D1262" s="30" t="s">
        <v>5578</v>
      </c>
      <c r="E1262" s="30" t="s">
        <v>270</v>
      </c>
      <c r="F1262" s="30" t="s">
        <v>5766</v>
      </c>
      <c r="G1262" s="30" t="s">
        <v>5766</v>
      </c>
      <c r="H1262" s="30" t="s">
        <v>5760</v>
      </c>
      <c r="I1262" s="30" t="s">
        <v>45</v>
      </c>
      <c r="J1262" s="30" t="s">
        <v>274</v>
      </c>
      <c r="K1262" s="31" t="s">
        <v>47</v>
      </c>
      <c r="L1262" s="32"/>
      <c r="M1262" s="33"/>
      <c r="N1262" s="30" t="s">
        <v>48</v>
      </c>
      <c r="O1262" s="1" t="n">
        <f aca="false">IF($B1262="",0,IF(AND(OR(Filter!$B$5="(alle)",$N1262=Filter!$B$5),OR(Filter!$E$5="(alle)",$K1262=Filter!$E$5),OR(Filter!$H$5="(alle)",$C1262=Filter!$H$5),OR(Filter!$B$7="(alle)",$E1262=Filter!$B$7),OR(Filter!$E$7="(alle)",ISNUMBER(SEARCH(Filter!$E$7,$J1262))),OR(Filter!$H$7="(alle)",ISNUMBER(SEARCH(Filter!$H$7,$I1262))),OR(Filter!$B$9="",ISNUMBER(SEARCH(Filter!$B$9,$F1262&amp;" "&amp;$G1262)))),COUNTIF($O$6:$O1261,"&gt;0")+1,0))</f>
        <v>1256</v>
      </c>
    </row>
    <row r="1263" customFormat="false" ht="51" hidden="false" customHeight="true" outlineLevel="0" collapsed="false">
      <c r="B1263" s="30" t="s">
        <v>5767</v>
      </c>
      <c r="C1263" s="30" t="s">
        <v>268</v>
      </c>
      <c r="D1263" s="30" t="s">
        <v>5581</v>
      </c>
      <c r="E1263" s="30" t="s">
        <v>270</v>
      </c>
      <c r="F1263" s="30" t="s">
        <v>5768</v>
      </c>
      <c r="G1263" s="30" t="s">
        <v>5769</v>
      </c>
      <c r="H1263" s="30" t="s">
        <v>5760</v>
      </c>
      <c r="I1263" s="30" t="s">
        <v>45</v>
      </c>
      <c r="J1263" s="30" t="s">
        <v>274</v>
      </c>
      <c r="K1263" s="31" t="s">
        <v>47</v>
      </c>
      <c r="L1263" s="32"/>
      <c r="M1263" s="33"/>
      <c r="N1263" s="30" t="s">
        <v>48</v>
      </c>
      <c r="O1263" s="1" t="n">
        <f aca="false">IF($B1263="",0,IF(AND(OR(Filter!$B$5="(alle)",$N1263=Filter!$B$5),OR(Filter!$E$5="(alle)",$K1263=Filter!$E$5),OR(Filter!$H$5="(alle)",$C1263=Filter!$H$5),OR(Filter!$B$7="(alle)",$E1263=Filter!$B$7),OR(Filter!$E$7="(alle)",ISNUMBER(SEARCH(Filter!$E$7,$J1263))),OR(Filter!$H$7="(alle)",ISNUMBER(SEARCH(Filter!$H$7,$I1263))),OR(Filter!$B$9="",ISNUMBER(SEARCH(Filter!$B$9,$F1263&amp;" "&amp;$G1263)))),COUNTIF($O$6:$O1262,"&gt;0")+1,0))</f>
        <v>1257</v>
      </c>
    </row>
    <row r="1264" customFormat="false" ht="51" hidden="false" customHeight="true" outlineLevel="0" collapsed="false">
      <c r="B1264" s="30" t="s">
        <v>5770</v>
      </c>
      <c r="C1264" s="30" t="s">
        <v>268</v>
      </c>
      <c r="D1264" s="30" t="s">
        <v>5771</v>
      </c>
      <c r="E1264" s="30" t="s">
        <v>547</v>
      </c>
      <c r="F1264" s="30" t="s">
        <v>5772</v>
      </c>
      <c r="G1264" s="30" t="s">
        <v>5773</v>
      </c>
      <c r="H1264" s="30" t="s">
        <v>5774</v>
      </c>
      <c r="I1264" s="30" t="s">
        <v>476</v>
      </c>
      <c r="J1264" s="30" t="s">
        <v>476</v>
      </c>
      <c r="K1264" s="31" t="s">
        <v>47</v>
      </c>
      <c r="L1264" s="32"/>
      <c r="M1264" s="33"/>
      <c r="N1264" s="30" t="s">
        <v>48</v>
      </c>
      <c r="O1264" s="1" t="n">
        <f aca="false">IF($B1264="",0,IF(AND(OR(Filter!$B$5="(alle)",$N1264=Filter!$B$5),OR(Filter!$E$5="(alle)",$K1264=Filter!$E$5),OR(Filter!$H$5="(alle)",$C1264=Filter!$H$5),OR(Filter!$B$7="(alle)",$E1264=Filter!$B$7),OR(Filter!$E$7="(alle)",ISNUMBER(SEARCH(Filter!$E$7,$J1264))),OR(Filter!$H$7="(alle)",ISNUMBER(SEARCH(Filter!$H$7,$I1264))),OR(Filter!$B$9="",ISNUMBER(SEARCH(Filter!$B$9,$F1264&amp;" "&amp;$G1264)))),COUNTIF($O$6:$O1263,"&gt;0")+1,0))</f>
        <v>1258</v>
      </c>
    </row>
    <row r="1265" customFormat="false" ht="51" hidden="false" customHeight="true" outlineLevel="0" collapsed="false">
      <c r="B1265" s="30" t="s">
        <v>5775</v>
      </c>
      <c r="C1265" s="30" t="s">
        <v>268</v>
      </c>
      <c r="D1265" s="30" t="s">
        <v>5776</v>
      </c>
      <c r="E1265" s="30" t="s">
        <v>547</v>
      </c>
      <c r="F1265" s="30" t="s">
        <v>5777</v>
      </c>
      <c r="G1265" s="30" t="s">
        <v>5777</v>
      </c>
      <c r="H1265" s="30" t="s">
        <v>5774</v>
      </c>
      <c r="I1265" s="30" t="s">
        <v>476</v>
      </c>
      <c r="J1265" s="30" t="s">
        <v>476</v>
      </c>
      <c r="K1265" s="31" t="s">
        <v>47</v>
      </c>
      <c r="L1265" s="32"/>
      <c r="M1265" s="33"/>
      <c r="N1265" s="30" t="s">
        <v>48</v>
      </c>
      <c r="O1265" s="1" t="n">
        <f aca="false">IF($B1265="",0,IF(AND(OR(Filter!$B$5="(alle)",$N1265=Filter!$B$5),OR(Filter!$E$5="(alle)",$K1265=Filter!$E$5),OR(Filter!$H$5="(alle)",$C1265=Filter!$H$5),OR(Filter!$B$7="(alle)",$E1265=Filter!$B$7),OR(Filter!$E$7="(alle)",ISNUMBER(SEARCH(Filter!$E$7,$J1265))),OR(Filter!$H$7="(alle)",ISNUMBER(SEARCH(Filter!$H$7,$I1265))),OR(Filter!$B$9="",ISNUMBER(SEARCH(Filter!$B$9,$F1265&amp;" "&amp;$G1265)))),COUNTIF($O$6:$O1264,"&gt;0")+1,0))</f>
        <v>1259</v>
      </c>
    </row>
    <row r="1266" customFormat="false" ht="51" hidden="false" customHeight="true" outlineLevel="0" collapsed="false">
      <c r="B1266" s="30" t="s">
        <v>5778</v>
      </c>
      <c r="C1266" s="30" t="s">
        <v>268</v>
      </c>
      <c r="D1266" s="30" t="s">
        <v>5779</v>
      </c>
      <c r="E1266" s="30" t="s">
        <v>547</v>
      </c>
      <c r="F1266" s="30" t="s">
        <v>5780</v>
      </c>
      <c r="G1266" s="30" t="s">
        <v>5781</v>
      </c>
      <c r="H1266" s="30" t="s">
        <v>5774</v>
      </c>
      <c r="I1266" s="30" t="s">
        <v>476</v>
      </c>
      <c r="J1266" s="30" t="s">
        <v>476</v>
      </c>
      <c r="K1266" s="31" t="s">
        <v>47</v>
      </c>
      <c r="L1266" s="32"/>
      <c r="M1266" s="33"/>
      <c r="N1266" s="30" t="s">
        <v>48</v>
      </c>
      <c r="O1266" s="1" t="n">
        <f aca="false">IF($B1266="",0,IF(AND(OR(Filter!$B$5="(alle)",$N1266=Filter!$B$5),OR(Filter!$E$5="(alle)",$K1266=Filter!$E$5),OR(Filter!$H$5="(alle)",$C1266=Filter!$H$5),OR(Filter!$B$7="(alle)",$E1266=Filter!$B$7),OR(Filter!$E$7="(alle)",ISNUMBER(SEARCH(Filter!$E$7,$J1266))),OR(Filter!$H$7="(alle)",ISNUMBER(SEARCH(Filter!$H$7,$I1266))),OR(Filter!$B$9="",ISNUMBER(SEARCH(Filter!$B$9,$F1266&amp;" "&amp;$G1266)))),COUNTIF($O$6:$O1265,"&gt;0")+1,0))</f>
        <v>1260</v>
      </c>
    </row>
    <row r="1267" customFormat="false" ht="51" hidden="false" customHeight="true" outlineLevel="0" collapsed="false">
      <c r="B1267" s="30" t="s">
        <v>5782</v>
      </c>
      <c r="C1267" s="30" t="s">
        <v>268</v>
      </c>
      <c r="D1267" s="30" t="s">
        <v>5783</v>
      </c>
      <c r="E1267" s="30" t="s">
        <v>547</v>
      </c>
      <c r="F1267" s="30" t="s">
        <v>5784</v>
      </c>
      <c r="G1267" s="30" t="s">
        <v>5784</v>
      </c>
      <c r="H1267" s="30" t="s">
        <v>5774</v>
      </c>
      <c r="I1267" s="30" t="s">
        <v>476</v>
      </c>
      <c r="J1267" s="30" t="s">
        <v>476</v>
      </c>
      <c r="K1267" s="31" t="s">
        <v>47</v>
      </c>
      <c r="L1267" s="32"/>
      <c r="M1267" s="33"/>
      <c r="N1267" s="30" t="s">
        <v>48</v>
      </c>
      <c r="O1267" s="1" t="n">
        <f aca="false">IF($B1267="",0,IF(AND(OR(Filter!$B$5="(alle)",$N1267=Filter!$B$5),OR(Filter!$E$5="(alle)",$K1267=Filter!$E$5),OR(Filter!$H$5="(alle)",$C1267=Filter!$H$5),OR(Filter!$B$7="(alle)",$E1267=Filter!$B$7),OR(Filter!$E$7="(alle)",ISNUMBER(SEARCH(Filter!$E$7,$J1267))),OR(Filter!$H$7="(alle)",ISNUMBER(SEARCH(Filter!$H$7,$I1267))),OR(Filter!$B$9="",ISNUMBER(SEARCH(Filter!$B$9,$F1267&amp;" "&amp;$G1267)))),COUNTIF($O$6:$O1266,"&gt;0")+1,0))</f>
        <v>1261</v>
      </c>
    </row>
    <row r="1268" customFormat="false" ht="51" hidden="false" customHeight="true" outlineLevel="0" collapsed="false">
      <c r="B1268" s="30" t="s">
        <v>5785</v>
      </c>
      <c r="C1268" s="30" t="s">
        <v>268</v>
      </c>
      <c r="D1268" s="30" t="s">
        <v>5786</v>
      </c>
      <c r="E1268" s="30" t="s">
        <v>547</v>
      </c>
      <c r="F1268" s="30" t="s">
        <v>5787</v>
      </c>
      <c r="G1268" s="30" t="s">
        <v>5787</v>
      </c>
      <c r="H1268" s="30" t="s">
        <v>5774</v>
      </c>
      <c r="I1268" s="30" t="s">
        <v>476</v>
      </c>
      <c r="J1268" s="30" t="s">
        <v>476</v>
      </c>
      <c r="K1268" s="31" t="s">
        <v>47</v>
      </c>
      <c r="L1268" s="32"/>
      <c r="M1268" s="33"/>
      <c r="N1268" s="30" t="s">
        <v>48</v>
      </c>
      <c r="O1268" s="1" t="n">
        <f aca="false">IF($B1268="",0,IF(AND(OR(Filter!$B$5="(alle)",$N1268=Filter!$B$5),OR(Filter!$E$5="(alle)",$K1268=Filter!$E$5),OR(Filter!$H$5="(alle)",$C1268=Filter!$H$5),OR(Filter!$B$7="(alle)",$E1268=Filter!$B$7),OR(Filter!$E$7="(alle)",ISNUMBER(SEARCH(Filter!$E$7,$J1268))),OR(Filter!$H$7="(alle)",ISNUMBER(SEARCH(Filter!$H$7,$I1268))),OR(Filter!$B$9="",ISNUMBER(SEARCH(Filter!$B$9,$F1268&amp;" "&amp;$G1268)))),COUNTIF($O$6:$O1267,"&gt;0")+1,0))</f>
        <v>1262</v>
      </c>
    </row>
    <row r="1269" customFormat="false" ht="51" hidden="false" customHeight="true" outlineLevel="0" collapsed="false">
      <c r="B1269" s="30" t="s">
        <v>5788</v>
      </c>
      <c r="C1269" s="30" t="s">
        <v>268</v>
      </c>
      <c r="D1269" s="30" t="s">
        <v>5789</v>
      </c>
      <c r="E1269" s="30" t="s">
        <v>547</v>
      </c>
      <c r="F1269" s="30" t="s">
        <v>5790</v>
      </c>
      <c r="G1269" s="30" t="s">
        <v>5791</v>
      </c>
      <c r="H1269" s="30" t="s">
        <v>5774</v>
      </c>
      <c r="I1269" s="30" t="s">
        <v>476</v>
      </c>
      <c r="J1269" s="30" t="s">
        <v>476</v>
      </c>
      <c r="K1269" s="31" t="s">
        <v>47</v>
      </c>
      <c r="L1269" s="32"/>
      <c r="M1269" s="33"/>
      <c r="N1269" s="30" t="s">
        <v>48</v>
      </c>
      <c r="O1269" s="1" t="n">
        <f aca="false">IF($B1269="",0,IF(AND(OR(Filter!$B$5="(alle)",$N1269=Filter!$B$5),OR(Filter!$E$5="(alle)",$K1269=Filter!$E$5),OR(Filter!$H$5="(alle)",$C1269=Filter!$H$5),OR(Filter!$B$7="(alle)",$E1269=Filter!$B$7),OR(Filter!$E$7="(alle)",ISNUMBER(SEARCH(Filter!$E$7,$J1269))),OR(Filter!$H$7="(alle)",ISNUMBER(SEARCH(Filter!$H$7,$I1269))),OR(Filter!$B$9="",ISNUMBER(SEARCH(Filter!$B$9,$F1269&amp;" "&amp;$G1269)))),COUNTIF($O$6:$O1268,"&gt;0")+1,0))</f>
        <v>1263</v>
      </c>
    </row>
    <row r="1270" customFormat="false" ht="51" hidden="false" customHeight="true" outlineLevel="0" collapsed="false">
      <c r="B1270" s="30" t="s">
        <v>5792</v>
      </c>
      <c r="C1270" s="30" t="s">
        <v>268</v>
      </c>
      <c r="D1270" s="30" t="s">
        <v>5793</v>
      </c>
      <c r="E1270" s="30" t="s">
        <v>547</v>
      </c>
      <c r="F1270" s="30" t="s">
        <v>5794</v>
      </c>
      <c r="G1270" s="30" t="s">
        <v>5794</v>
      </c>
      <c r="H1270" s="30" t="s">
        <v>5774</v>
      </c>
      <c r="I1270" s="30" t="s">
        <v>476</v>
      </c>
      <c r="J1270" s="30" t="s">
        <v>476</v>
      </c>
      <c r="K1270" s="31" t="s">
        <v>47</v>
      </c>
      <c r="L1270" s="32"/>
      <c r="M1270" s="33"/>
      <c r="N1270" s="30" t="s">
        <v>48</v>
      </c>
      <c r="O1270" s="1" t="n">
        <f aca="false">IF($B1270="",0,IF(AND(OR(Filter!$B$5="(alle)",$N1270=Filter!$B$5),OR(Filter!$E$5="(alle)",$K1270=Filter!$E$5),OR(Filter!$H$5="(alle)",$C1270=Filter!$H$5),OR(Filter!$B$7="(alle)",$E1270=Filter!$B$7),OR(Filter!$E$7="(alle)",ISNUMBER(SEARCH(Filter!$E$7,$J1270))),OR(Filter!$H$7="(alle)",ISNUMBER(SEARCH(Filter!$H$7,$I1270))),OR(Filter!$B$9="",ISNUMBER(SEARCH(Filter!$B$9,$F1270&amp;" "&amp;$G1270)))),COUNTIF($O$6:$O1269,"&gt;0")+1,0))</f>
        <v>1264</v>
      </c>
    </row>
    <row r="1271" customFormat="false" ht="51" hidden="false" customHeight="true" outlineLevel="0" collapsed="false">
      <c r="B1271" s="30" t="s">
        <v>5795</v>
      </c>
      <c r="C1271" s="30" t="s">
        <v>268</v>
      </c>
      <c r="D1271" s="30" t="s">
        <v>5796</v>
      </c>
      <c r="E1271" s="30" t="s">
        <v>547</v>
      </c>
      <c r="F1271" s="30" t="s">
        <v>5797</v>
      </c>
      <c r="G1271" s="30" t="s">
        <v>5797</v>
      </c>
      <c r="H1271" s="30" t="s">
        <v>5774</v>
      </c>
      <c r="I1271" s="30" t="s">
        <v>476</v>
      </c>
      <c r="J1271" s="30" t="s">
        <v>476</v>
      </c>
      <c r="K1271" s="31" t="s">
        <v>47</v>
      </c>
      <c r="L1271" s="32"/>
      <c r="M1271" s="33"/>
      <c r="N1271" s="30" t="s">
        <v>48</v>
      </c>
      <c r="O1271" s="1" t="n">
        <f aca="false">IF($B1271="",0,IF(AND(OR(Filter!$B$5="(alle)",$N1271=Filter!$B$5),OR(Filter!$E$5="(alle)",$K1271=Filter!$E$5),OR(Filter!$H$5="(alle)",$C1271=Filter!$H$5),OR(Filter!$B$7="(alle)",$E1271=Filter!$B$7),OR(Filter!$E$7="(alle)",ISNUMBER(SEARCH(Filter!$E$7,$J1271))),OR(Filter!$H$7="(alle)",ISNUMBER(SEARCH(Filter!$H$7,$I1271))),OR(Filter!$B$9="",ISNUMBER(SEARCH(Filter!$B$9,$F1271&amp;" "&amp;$G1271)))),COUNTIF($O$6:$O1270,"&gt;0")+1,0))</f>
        <v>1265</v>
      </c>
    </row>
    <row r="1272" customFormat="false" ht="51" hidden="false" customHeight="true" outlineLevel="0" collapsed="false">
      <c r="B1272" s="30" t="s">
        <v>5798</v>
      </c>
      <c r="C1272" s="30" t="s">
        <v>268</v>
      </c>
      <c r="D1272" s="30" t="s">
        <v>5799</v>
      </c>
      <c r="E1272" s="30" t="s">
        <v>270</v>
      </c>
      <c r="F1272" s="30" t="s">
        <v>5800</v>
      </c>
      <c r="G1272" s="30" t="s">
        <v>5801</v>
      </c>
      <c r="H1272" s="30" t="s">
        <v>5802</v>
      </c>
      <c r="I1272" s="30" t="s">
        <v>45</v>
      </c>
      <c r="J1272" s="30" t="s">
        <v>274</v>
      </c>
      <c r="K1272" s="31" t="s">
        <v>47</v>
      </c>
      <c r="L1272" s="32"/>
      <c r="M1272" s="33"/>
      <c r="N1272" s="30" t="s">
        <v>48</v>
      </c>
      <c r="O1272" s="1" t="n">
        <f aca="false">IF($B1272="",0,IF(AND(OR(Filter!$B$5="(alle)",$N1272=Filter!$B$5),OR(Filter!$E$5="(alle)",$K1272=Filter!$E$5),OR(Filter!$H$5="(alle)",$C1272=Filter!$H$5),OR(Filter!$B$7="(alle)",$E1272=Filter!$B$7),OR(Filter!$E$7="(alle)",ISNUMBER(SEARCH(Filter!$E$7,$J1272))),OR(Filter!$H$7="(alle)",ISNUMBER(SEARCH(Filter!$H$7,$I1272))),OR(Filter!$B$9="",ISNUMBER(SEARCH(Filter!$B$9,$F1272&amp;" "&amp;$G1272)))),COUNTIF($O$6:$O1271,"&gt;0")+1,0))</f>
        <v>1266</v>
      </c>
    </row>
    <row r="1273" customFormat="false" ht="51" hidden="false" customHeight="true" outlineLevel="0" collapsed="false">
      <c r="B1273" s="30" t="s">
        <v>5803</v>
      </c>
      <c r="C1273" s="30" t="s">
        <v>268</v>
      </c>
      <c r="D1273" s="30" t="s">
        <v>5804</v>
      </c>
      <c r="E1273" s="30" t="s">
        <v>270</v>
      </c>
      <c r="F1273" s="30" t="s">
        <v>5805</v>
      </c>
      <c r="G1273" s="30" t="s">
        <v>5805</v>
      </c>
      <c r="H1273" s="30" t="s">
        <v>5802</v>
      </c>
      <c r="I1273" s="30" t="s">
        <v>45</v>
      </c>
      <c r="J1273" s="30" t="s">
        <v>274</v>
      </c>
      <c r="K1273" s="31" t="s">
        <v>47</v>
      </c>
      <c r="L1273" s="32"/>
      <c r="M1273" s="33"/>
      <c r="N1273" s="30" t="s">
        <v>48</v>
      </c>
      <c r="O1273" s="1" t="n">
        <f aca="false">IF($B1273="",0,IF(AND(OR(Filter!$B$5="(alle)",$N1273=Filter!$B$5),OR(Filter!$E$5="(alle)",$K1273=Filter!$E$5),OR(Filter!$H$5="(alle)",$C1273=Filter!$H$5),OR(Filter!$B$7="(alle)",$E1273=Filter!$B$7),OR(Filter!$E$7="(alle)",ISNUMBER(SEARCH(Filter!$E$7,$J1273))),OR(Filter!$H$7="(alle)",ISNUMBER(SEARCH(Filter!$H$7,$I1273))),OR(Filter!$B$9="",ISNUMBER(SEARCH(Filter!$B$9,$F1273&amp;" "&amp;$G1273)))),COUNTIF($O$6:$O1272,"&gt;0")+1,0))</f>
        <v>1267</v>
      </c>
    </row>
    <row r="1274" customFormat="false" ht="51" hidden="false" customHeight="true" outlineLevel="0" collapsed="false">
      <c r="B1274" s="30" t="s">
        <v>5806</v>
      </c>
      <c r="C1274" s="30" t="s">
        <v>268</v>
      </c>
      <c r="D1274" s="30" t="s">
        <v>5807</v>
      </c>
      <c r="E1274" s="30" t="s">
        <v>270</v>
      </c>
      <c r="F1274" s="30" t="s">
        <v>5808</v>
      </c>
      <c r="G1274" s="30" t="s">
        <v>5808</v>
      </c>
      <c r="H1274" s="30" t="s">
        <v>5802</v>
      </c>
      <c r="I1274" s="30" t="s">
        <v>45</v>
      </c>
      <c r="J1274" s="30" t="s">
        <v>274</v>
      </c>
      <c r="K1274" s="31" t="s">
        <v>47</v>
      </c>
      <c r="L1274" s="32"/>
      <c r="M1274" s="33"/>
      <c r="N1274" s="30" t="s">
        <v>48</v>
      </c>
      <c r="O1274" s="1" t="n">
        <f aca="false">IF($B1274="",0,IF(AND(OR(Filter!$B$5="(alle)",$N1274=Filter!$B$5),OR(Filter!$E$5="(alle)",$K1274=Filter!$E$5),OR(Filter!$H$5="(alle)",$C1274=Filter!$H$5),OR(Filter!$B$7="(alle)",$E1274=Filter!$B$7),OR(Filter!$E$7="(alle)",ISNUMBER(SEARCH(Filter!$E$7,$J1274))),OR(Filter!$H$7="(alle)",ISNUMBER(SEARCH(Filter!$H$7,$I1274))),OR(Filter!$B$9="",ISNUMBER(SEARCH(Filter!$B$9,$F1274&amp;" "&amp;$G1274)))),COUNTIF($O$6:$O1273,"&gt;0")+1,0))</f>
        <v>1268</v>
      </c>
    </row>
    <row r="1275" customFormat="false" ht="51" hidden="false" customHeight="true" outlineLevel="0" collapsed="false">
      <c r="B1275" s="30" t="s">
        <v>5809</v>
      </c>
      <c r="C1275" s="30" t="s">
        <v>268</v>
      </c>
      <c r="D1275" s="30" t="s">
        <v>5810</v>
      </c>
      <c r="E1275" s="30" t="s">
        <v>270</v>
      </c>
      <c r="F1275" s="30" t="s">
        <v>5811</v>
      </c>
      <c r="G1275" s="30" t="s">
        <v>5811</v>
      </c>
      <c r="H1275" s="30" t="s">
        <v>5802</v>
      </c>
      <c r="I1275" s="30" t="s">
        <v>45</v>
      </c>
      <c r="J1275" s="30" t="s">
        <v>274</v>
      </c>
      <c r="K1275" s="31" t="s">
        <v>47</v>
      </c>
      <c r="L1275" s="32"/>
      <c r="M1275" s="33"/>
      <c r="N1275" s="30" t="s">
        <v>48</v>
      </c>
      <c r="O1275" s="1" t="n">
        <f aca="false">IF($B1275="",0,IF(AND(OR(Filter!$B$5="(alle)",$N1275=Filter!$B$5),OR(Filter!$E$5="(alle)",$K1275=Filter!$E$5),OR(Filter!$H$5="(alle)",$C1275=Filter!$H$5),OR(Filter!$B$7="(alle)",$E1275=Filter!$B$7),OR(Filter!$E$7="(alle)",ISNUMBER(SEARCH(Filter!$E$7,$J1275))),OR(Filter!$H$7="(alle)",ISNUMBER(SEARCH(Filter!$H$7,$I1275))),OR(Filter!$B$9="",ISNUMBER(SEARCH(Filter!$B$9,$F1275&amp;" "&amp;$G1275)))),COUNTIF($O$6:$O1274,"&gt;0")+1,0))</f>
        <v>1269</v>
      </c>
    </row>
    <row r="1276" customFormat="false" ht="51" hidden="false" customHeight="true" outlineLevel="0" collapsed="false">
      <c r="B1276" s="30" t="s">
        <v>5812</v>
      </c>
      <c r="C1276" s="30" t="s">
        <v>268</v>
      </c>
      <c r="D1276" s="30" t="s">
        <v>5813</v>
      </c>
      <c r="E1276" s="30" t="s">
        <v>270</v>
      </c>
      <c r="F1276" s="30" t="s">
        <v>5814</v>
      </c>
      <c r="G1276" s="30" t="s">
        <v>5814</v>
      </c>
      <c r="H1276" s="30" t="s">
        <v>5802</v>
      </c>
      <c r="I1276" s="30" t="s">
        <v>45</v>
      </c>
      <c r="J1276" s="30" t="s">
        <v>1390</v>
      </c>
      <c r="K1276" s="31" t="s">
        <v>47</v>
      </c>
      <c r="L1276" s="32"/>
      <c r="M1276" s="33"/>
      <c r="N1276" s="30" t="s">
        <v>48</v>
      </c>
      <c r="O1276" s="1" t="n">
        <f aca="false">IF($B1276="",0,IF(AND(OR(Filter!$B$5="(alle)",$N1276=Filter!$B$5),OR(Filter!$E$5="(alle)",$K1276=Filter!$E$5),OR(Filter!$H$5="(alle)",$C1276=Filter!$H$5),OR(Filter!$B$7="(alle)",$E1276=Filter!$B$7),OR(Filter!$E$7="(alle)",ISNUMBER(SEARCH(Filter!$E$7,$J1276))),OR(Filter!$H$7="(alle)",ISNUMBER(SEARCH(Filter!$H$7,$I1276))),OR(Filter!$B$9="",ISNUMBER(SEARCH(Filter!$B$9,$F1276&amp;" "&amp;$G1276)))),COUNTIF($O$6:$O1275,"&gt;0")+1,0))</f>
        <v>1270</v>
      </c>
    </row>
    <row r="1277" customFormat="false" ht="51" hidden="false" customHeight="true" outlineLevel="0" collapsed="false">
      <c r="B1277" s="30" t="s">
        <v>5815</v>
      </c>
      <c r="C1277" s="30" t="s">
        <v>268</v>
      </c>
      <c r="D1277" s="30" t="s">
        <v>5816</v>
      </c>
      <c r="E1277" s="30" t="s">
        <v>94</v>
      </c>
      <c r="F1277" s="30" t="s">
        <v>5817</v>
      </c>
      <c r="G1277" s="30" t="s">
        <v>5818</v>
      </c>
      <c r="H1277" s="30" t="s">
        <v>5802</v>
      </c>
      <c r="I1277" s="30" t="s">
        <v>45</v>
      </c>
      <c r="J1277" s="30" t="s">
        <v>5819</v>
      </c>
      <c r="K1277" s="31" t="s">
        <v>47</v>
      </c>
      <c r="L1277" s="32"/>
      <c r="M1277" s="33"/>
      <c r="N1277" s="30" t="s">
        <v>48</v>
      </c>
      <c r="O1277" s="1" t="n">
        <f aca="false">IF($B1277="",0,IF(AND(OR(Filter!$B$5="(alle)",$N1277=Filter!$B$5),OR(Filter!$E$5="(alle)",$K1277=Filter!$E$5),OR(Filter!$H$5="(alle)",$C1277=Filter!$H$5),OR(Filter!$B$7="(alle)",$E1277=Filter!$B$7),OR(Filter!$E$7="(alle)",ISNUMBER(SEARCH(Filter!$E$7,$J1277))),OR(Filter!$H$7="(alle)",ISNUMBER(SEARCH(Filter!$H$7,$I1277))),OR(Filter!$B$9="",ISNUMBER(SEARCH(Filter!$B$9,$F1277&amp;" "&amp;$G1277)))),COUNTIF($O$6:$O1276,"&gt;0")+1,0))</f>
        <v>1271</v>
      </c>
    </row>
    <row r="1278" customFormat="false" ht="51" hidden="false" customHeight="true" outlineLevel="0" collapsed="false">
      <c r="B1278" s="30" t="s">
        <v>5820</v>
      </c>
      <c r="C1278" s="30" t="s">
        <v>268</v>
      </c>
      <c r="D1278" s="30" t="s">
        <v>5821</v>
      </c>
      <c r="E1278" s="30" t="s">
        <v>270</v>
      </c>
      <c r="F1278" s="30" t="s">
        <v>5822</v>
      </c>
      <c r="G1278" s="30" t="s">
        <v>5822</v>
      </c>
      <c r="H1278" s="30" t="s">
        <v>5802</v>
      </c>
      <c r="I1278" s="30" t="s">
        <v>45</v>
      </c>
      <c r="J1278" s="30" t="s">
        <v>274</v>
      </c>
      <c r="K1278" s="31" t="s">
        <v>47</v>
      </c>
      <c r="L1278" s="32"/>
      <c r="M1278" s="33"/>
      <c r="N1278" s="30" t="s">
        <v>48</v>
      </c>
      <c r="O1278" s="1" t="n">
        <f aca="false">IF($B1278="",0,IF(AND(OR(Filter!$B$5="(alle)",$N1278=Filter!$B$5),OR(Filter!$E$5="(alle)",$K1278=Filter!$E$5),OR(Filter!$H$5="(alle)",$C1278=Filter!$H$5),OR(Filter!$B$7="(alle)",$E1278=Filter!$B$7),OR(Filter!$E$7="(alle)",ISNUMBER(SEARCH(Filter!$E$7,$J1278))),OR(Filter!$H$7="(alle)",ISNUMBER(SEARCH(Filter!$H$7,$I1278))),OR(Filter!$B$9="",ISNUMBER(SEARCH(Filter!$B$9,$F1278&amp;" "&amp;$G1278)))),COUNTIF($O$6:$O1277,"&gt;0")+1,0))</f>
        <v>1272</v>
      </c>
    </row>
    <row r="1279" customFormat="false" ht="51" hidden="false" customHeight="true" outlineLevel="0" collapsed="false">
      <c r="B1279" s="30" t="s">
        <v>5823</v>
      </c>
      <c r="C1279" s="30" t="s">
        <v>268</v>
      </c>
      <c r="D1279" s="30" t="s">
        <v>5824</v>
      </c>
      <c r="E1279" s="30" t="s">
        <v>270</v>
      </c>
      <c r="F1279" s="30" t="s">
        <v>5825</v>
      </c>
      <c r="G1279" s="30" t="s">
        <v>5826</v>
      </c>
      <c r="H1279" s="30" t="s">
        <v>5802</v>
      </c>
      <c r="I1279" s="30" t="s">
        <v>45</v>
      </c>
      <c r="J1279" s="30" t="s">
        <v>274</v>
      </c>
      <c r="K1279" s="31" t="s">
        <v>47</v>
      </c>
      <c r="L1279" s="32"/>
      <c r="M1279" s="33"/>
      <c r="N1279" s="30" t="s">
        <v>48</v>
      </c>
      <c r="O1279" s="1" t="n">
        <f aca="false">IF($B1279="",0,IF(AND(OR(Filter!$B$5="(alle)",$N1279=Filter!$B$5),OR(Filter!$E$5="(alle)",$K1279=Filter!$E$5),OR(Filter!$H$5="(alle)",$C1279=Filter!$H$5),OR(Filter!$B$7="(alle)",$E1279=Filter!$B$7),OR(Filter!$E$7="(alle)",ISNUMBER(SEARCH(Filter!$E$7,$J1279))),OR(Filter!$H$7="(alle)",ISNUMBER(SEARCH(Filter!$H$7,$I1279))),OR(Filter!$B$9="",ISNUMBER(SEARCH(Filter!$B$9,$F1279&amp;" "&amp;$G1279)))),COUNTIF($O$6:$O1278,"&gt;0")+1,0))</f>
        <v>1273</v>
      </c>
    </row>
    <row r="1280" customFormat="false" ht="51" hidden="false" customHeight="true" outlineLevel="0" collapsed="false">
      <c r="B1280" s="30" t="s">
        <v>5827</v>
      </c>
      <c r="C1280" s="30" t="s">
        <v>268</v>
      </c>
      <c r="D1280" s="30" t="s">
        <v>5828</v>
      </c>
      <c r="E1280" s="30" t="s">
        <v>270</v>
      </c>
      <c r="F1280" s="30" t="s">
        <v>5829</v>
      </c>
      <c r="G1280" s="30" t="s">
        <v>5830</v>
      </c>
      <c r="H1280" s="30" t="s">
        <v>5802</v>
      </c>
      <c r="I1280" s="30" t="s">
        <v>45</v>
      </c>
      <c r="J1280" s="30" t="s">
        <v>274</v>
      </c>
      <c r="K1280" s="31" t="s">
        <v>47</v>
      </c>
      <c r="L1280" s="32"/>
      <c r="M1280" s="33"/>
      <c r="N1280" s="30" t="s">
        <v>48</v>
      </c>
      <c r="O1280" s="1" t="n">
        <f aca="false">IF($B1280="",0,IF(AND(OR(Filter!$B$5="(alle)",$N1280=Filter!$B$5),OR(Filter!$E$5="(alle)",$K1280=Filter!$E$5),OR(Filter!$H$5="(alle)",$C1280=Filter!$H$5),OR(Filter!$B$7="(alle)",$E1280=Filter!$B$7),OR(Filter!$E$7="(alle)",ISNUMBER(SEARCH(Filter!$E$7,$J1280))),OR(Filter!$H$7="(alle)",ISNUMBER(SEARCH(Filter!$H$7,$I1280))),OR(Filter!$B$9="",ISNUMBER(SEARCH(Filter!$B$9,$F1280&amp;" "&amp;$G1280)))),COUNTIF($O$6:$O1279,"&gt;0")+1,0))</f>
        <v>1274</v>
      </c>
    </row>
    <row r="1281" customFormat="false" ht="51" hidden="false" customHeight="true" outlineLevel="0" collapsed="false">
      <c r="B1281" s="30" t="s">
        <v>5831</v>
      </c>
      <c r="C1281" s="30" t="s">
        <v>268</v>
      </c>
      <c r="D1281" s="30" t="s">
        <v>5832</v>
      </c>
      <c r="E1281" s="30" t="s">
        <v>270</v>
      </c>
      <c r="F1281" s="30" t="s">
        <v>5833</v>
      </c>
      <c r="G1281" s="30" t="s">
        <v>5833</v>
      </c>
      <c r="H1281" s="30" t="s">
        <v>5802</v>
      </c>
      <c r="I1281" s="30" t="s">
        <v>45</v>
      </c>
      <c r="J1281" s="30" t="s">
        <v>274</v>
      </c>
      <c r="K1281" s="31" t="s">
        <v>47</v>
      </c>
      <c r="L1281" s="32"/>
      <c r="M1281" s="33"/>
      <c r="N1281" s="30" t="s">
        <v>48</v>
      </c>
      <c r="O1281" s="1" t="n">
        <f aca="false">IF($B1281="",0,IF(AND(OR(Filter!$B$5="(alle)",$N1281=Filter!$B$5),OR(Filter!$E$5="(alle)",$K1281=Filter!$E$5),OR(Filter!$H$5="(alle)",$C1281=Filter!$H$5),OR(Filter!$B$7="(alle)",$E1281=Filter!$B$7),OR(Filter!$E$7="(alle)",ISNUMBER(SEARCH(Filter!$E$7,$J1281))),OR(Filter!$H$7="(alle)",ISNUMBER(SEARCH(Filter!$H$7,$I1281))),OR(Filter!$B$9="",ISNUMBER(SEARCH(Filter!$B$9,$F1281&amp;" "&amp;$G1281)))),COUNTIF($O$6:$O1280,"&gt;0")+1,0))</f>
        <v>1275</v>
      </c>
    </row>
    <row r="1282" customFormat="false" ht="51" hidden="false" customHeight="true" outlineLevel="0" collapsed="false">
      <c r="B1282" s="30" t="s">
        <v>5834</v>
      </c>
      <c r="C1282" s="30" t="s">
        <v>268</v>
      </c>
      <c r="D1282" s="30" t="s">
        <v>3697</v>
      </c>
      <c r="E1282" s="30" t="s">
        <v>547</v>
      </c>
      <c r="F1282" s="30" t="s">
        <v>5835</v>
      </c>
      <c r="G1282" s="30" t="s">
        <v>5835</v>
      </c>
      <c r="H1282" s="30" t="s">
        <v>5836</v>
      </c>
      <c r="I1282" s="30" t="s">
        <v>476</v>
      </c>
      <c r="J1282" s="30" t="s">
        <v>476</v>
      </c>
      <c r="K1282" s="31" t="s">
        <v>47</v>
      </c>
      <c r="L1282" s="32"/>
      <c r="M1282" s="33"/>
      <c r="N1282" s="30" t="s">
        <v>48</v>
      </c>
      <c r="O1282" s="1" t="n">
        <f aca="false">IF($B1282="",0,IF(AND(OR(Filter!$B$5="(alle)",$N1282=Filter!$B$5),OR(Filter!$E$5="(alle)",$K1282=Filter!$E$5),OR(Filter!$H$5="(alle)",$C1282=Filter!$H$5),OR(Filter!$B$7="(alle)",$E1282=Filter!$B$7),OR(Filter!$E$7="(alle)",ISNUMBER(SEARCH(Filter!$E$7,$J1282))),OR(Filter!$H$7="(alle)",ISNUMBER(SEARCH(Filter!$H$7,$I1282))),OR(Filter!$B$9="",ISNUMBER(SEARCH(Filter!$B$9,$F1282&amp;" "&amp;$G1282)))),COUNTIF($O$6:$O1281,"&gt;0")+1,0))</f>
        <v>1276</v>
      </c>
    </row>
    <row r="1283" customFormat="false" ht="51" hidden="false" customHeight="true" outlineLevel="0" collapsed="false">
      <c r="B1283" s="30" t="s">
        <v>5837</v>
      </c>
      <c r="C1283" s="30" t="s">
        <v>268</v>
      </c>
      <c r="D1283" s="30" t="s">
        <v>3703</v>
      </c>
      <c r="E1283" s="30" t="s">
        <v>270</v>
      </c>
      <c r="F1283" s="30" t="s">
        <v>5838</v>
      </c>
      <c r="G1283" s="30" t="s">
        <v>5839</v>
      </c>
      <c r="H1283" s="30" t="s">
        <v>5840</v>
      </c>
      <c r="I1283" s="30" t="s">
        <v>45</v>
      </c>
      <c r="J1283" s="30" t="s">
        <v>274</v>
      </c>
      <c r="K1283" s="31" t="s">
        <v>47</v>
      </c>
      <c r="L1283" s="32"/>
      <c r="M1283" s="33"/>
      <c r="N1283" s="30" t="s">
        <v>48</v>
      </c>
      <c r="O1283" s="1" t="n">
        <f aca="false">IF($B1283="",0,IF(AND(OR(Filter!$B$5="(alle)",$N1283=Filter!$B$5),OR(Filter!$E$5="(alle)",$K1283=Filter!$E$5),OR(Filter!$H$5="(alle)",$C1283=Filter!$H$5),OR(Filter!$B$7="(alle)",$E1283=Filter!$B$7),OR(Filter!$E$7="(alle)",ISNUMBER(SEARCH(Filter!$E$7,$J1283))),OR(Filter!$H$7="(alle)",ISNUMBER(SEARCH(Filter!$H$7,$I1283))),OR(Filter!$B$9="",ISNUMBER(SEARCH(Filter!$B$9,$F1283&amp;" "&amp;$G1283)))),COUNTIF($O$6:$O1282,"&gt;0")+1,0))</f>
        <v>1277</v>
      </c>
    </row>
    <row r="1284" customFormat="false" ht="51" hidden="false" customHeight="true" outlineLevel="0" collapsed="false">
      <c r="B1284" s="30" t="s">
        <v>5841</v>
      </c>
      <c r="C1284" s="30" t="s">
        <v>268</v>
      </c>
      <c r="D1284" s="30" t="s">
        <v>5597</v>
      </c>
      <c r="E1284" s="30" t="s">
        <v>355</v>
      </c>
      <c r="F1284" s="30" t="s">
        <v>5842</v>
      </c>
      <c r="G1284" s="30" t="s">
        <v>5843</v>
      </c>
      <c r="H1284" s="30" t="s">
        <v>5844</v>
      </c>
      <c r="I1284" s="30" t="s">
        <v>3700</v>
      </c>
      <c r="J1284" s="30" t="s">
        <v>159</v>
      </c>
      <c r="K1284" s="31" t="s">
        <v>47</v>
      </c>
      <c r="L1284" s="32"/>
      <c r="M1284" s="33"/>
      <c r="N1284" s="30" t="s">
        <v>48</v>
      </c>
      <c r="O1284" s="1" t="n">
        <f aca="false">IF($B1284="",0,IF(AND(OR(Filter!$B$5="(alle)",$N1284=Filter!$B$5),OR(Filter!$E$5="(alle)",$K1284=Filter!$E$5),OR(Filter!$H$5="(alle)",$C1284=Filter!$H$5),OR(Filter!$B$7="(alle)",$E1284=Filter!$B$7),OR(Filter!$E$7="(alle)",ISNUMBER(SEARCH(Filter!$E$7,$J1284))),OR(Filter!$H$7="(alle)",ISNUMBER(SEARCH(Filter!$H$7,$I1284))),OR(Filter!$B$9="",ISNUMBER(SEARCH(Filter!$B$9,$F1284&amp;" "&amp;$G1284)))),COUNTIF($O$6:$O1283,"&gt;0")+1,0))</f>
        <v>1278</v>
      </c>
    </row>
    <row r="1285" customFormat="false" ht="51" hidden="false" customHeight="true" outlineLevel="0" collapsed="false">
      <c r="B1285" s="30" t="s">
        <v>5845</v>
      </c>
      <c r="C1285" s="30" t="s">
        <v>268</v>
      </c>
      <c r="D1285" s="30" t="s">
        <v>5608</v>
      </c>
      <c r="E1285" s="30" t="s">
        <v>604</v>
      </c>
      <c r="F1285" s="30" t="s">
        <v>5846</v>
      </c>
      <c r="G1285" s="30" t="s">
        <v>5847</v>
      </c>
      <c r="H1285" s="30" t="s">
        <v>5844</v>
      </c>
      <c r="I1285" s="30" t="s">
        <v>3700</v>
      </c>
      <c r="J1285" s="30" t="s">
        <v>159</v>
      </c>
      <c r="K1285" s="31" t="s">
        <v>47</v>
      </c>
      <c r="L1285" s="32"/>
      <c r="M1285" s="33"/>
      <c r="N1285" s="30" t="s">
        <v>48</v>
      </c>
      <c r="O1285" s="1" t="n">
        <f aca="false">IF($B1285="",0,IF(AND(OR(Filter!$B$5="(alle)",$N1285=Filter!$B$5),OR(Filter!$E$5="(alle)",$K1285=Filter!$E$5),OR(Filter!$H$5="(alle)",$C1285=Filter!$H$5),OR(Filter!$B$7="(alle)",$E1285=Filter!$B$7),OR(Filter!$E$7="(alle)",ISNUMBER(SEARCH(Filter!$E$7,$J1285))),OR(Filter!$H$7="(alle)",ISNUMBER(SEARCH(Filter!$H$7,$I1285))),OR(Filter!$B$9="",ISNUMBER(SEARCH(Filter!$B$9,$F1285&amp;" "&amp;$G1285)))),COUNTIF($O$6:$O1284,"&gt;0")+1,0))</f>
        <v>1279</v>
      </c>
    </row>
    <row r="1286" customFormat="false" ht="51" hidden="false" customHeight="true" outlineLevel="0" collapsed="false">
      <c r="B1286" s="30" t="s">
        <v>5848</v>
      </c>
      <c r="C1286" s="30" t="s">
        <v>268</v>
      </c>
      <c r="D1286" s="30" t="s">
        <v>5849</v>
      </c>
      <c r="E1286" s="30" t="s">
        <v>361</v>
      </c>
      <c r="F1286" s="30" t="s">
        <v>5850</v>
      </c>
      <c r="G1286" s="30" t="s">
        <v>5851</v>
      </c>
      <c r="H1286" s="30" t="s">
        <v>5844</v>
      </c>
      <c r="I1286" s="30" t="s">
        <v>306</v>
      </c>
      <c r="J1286" s="30" t="s">
        <v>206</v>
      </c>
      <c r="K1286" s="31" t="s">
        <v>47</v>
      </c>
      <c r="L1286" s="32"/>
      <c r="M1286" s="33"/>
      <c r="N1286" s="30" t="s">
        <v>48</v>
      </c>
      <c r="O1286" s="1" t="n">
        <f aca="false">IF($B1286="",0,IF(AND(OR(Filter!$B$5="(alle)",$N1286=Filter!$B$5),OR(Filter!$E$5="(alle)",$K1286=Filter!$E$5),OR(Filter!$H$5="(alle)",$C1286=Filter!$H$5),OR(Filter!$B$7="(alle)",$E1286=Filter!$B$7),OR(Filter!$E$7="(alle)",ISNUMBER(SEARCH(Filter!$E$7,$J1286))),OR(Filter!$H$7="(alle)",ISNUMBER(SEARCH(Filter!$H$7,$I1286))),OR(Filter!$B$9="",ISNUMBER(SEARCH(Filter!$B$9,$F1286&amp;" "&amp;$G1286)))),COUNTIF($O$6:$O1285,"&gt;0")+1,0))</f>
        <v>1280</v>
      </c>
    </row>
    <row r="1287" customFormat="false" ht="51" hidden="false" customHeight="true" outlineLevel="0" collapsed="false">
      <c r="B1287" s="30" t="s">
        <v>5852</v>
      </c>
      <c r="C1287" s="30" t="s">
        <v>268</v>
      </c>
      <c r="D1287" s="30" t="s">
        <v>5853</v>
      </c>
      <c r="E1287" s="30" t="s">
        <v>547</v>
      </c>
      <c r="F1287" s="30" t="s">
        <v>5854</v>
      </c>
      <c r="G1287" s="30" t="s">
        <v>5854</v>
      </c>
      <c r="H1287" s="30" t="s">
        <v>5855</v>
      </c>
      <c r="I1287" s="30" t="s">
        <v>476</v>
      </c>
      <c r="J1287" s="30" t="s">
        <v>476</v>
      </c>
      <c r="K1287" s="31" t="s">
        <v>47</v>
      </c>
      <c r="L1287" s="32"/>
      <c r="M1287" s="33"/>
      <c r="N1287" s="30" t="s">
        <v>48</v>
      </c>
      <c r="O1287" s="1" t="n">
        <f aca="false">IF($B1287="",0,IF(AND(OR(Filter!$B$5="(alle)",$N1287=Filter!$B$5),OR(Filter!$E$5="(alle)",$K1287=Filter!$E$5),OR(Filter!$H$5="(alle)",$C1287=Filter!$H$5),OR(Filter!$B$7="(alle)",$E1287=Filter!$B$7),OR(Filter!$E$7="(alle)",ISNUMBER(SEARCH(Filter!$E$7,$J1287))),OR(Filter!$H$7="(alle)",ISNUMBER(SEARCH(Filter!$H$7,$I1287))),OR(Filter!$B$9="",ISNUMBER(SEARCH(Filter!$B$9,$F1287&amp;" "&amp;$G1287)))),COUNTIF($O$6:$O1286,"&gt;0")+1,0))</f>
        <v>1281</v>
      </c>
    </row>
    <row r="1288" customFormat="false" ht="51" hidden="false" customHeight="true" outlineLevel="0" collapsed="false">
      <c r="B1288" s="30" t="s">
        <v>5856</v>
      </c>
      <c r="C1288" s="30" t="s">
        <v>268</v>
      </c>
      <c r="D1288" s="30" t="s">
        <v>5857</v>
      </c>
      <c r="E1288" s="30" t="s">
        <v>547</v>
      </c>
      <c r="F1288" s="30" t="s">
        <v>5858</v>
      </c>
      <c r="G1288" s="30" t="s">
        <v>5859</v>
      </c>
      <c r="H1288" s="30" t="s">
        <v>5855</v>
      </c>
      <c r="I1288" s="30" t="s">
        <v>476</v>
      </c>
      <c r="J1288" s="30" t="s">
        <v>476</v>
      </c>
      <c r="K1288" s="31" t="s">
        <v>47</v>
      </c>
      <c r="L1288" s="32"/>
      <c r="M1288" s="33"/>
      <c r="N1288" s="30" t="s">
        <v>48</v>
      </c>
      <c r="O1288" s="1" t="n">
        <f aca="false">IF($B1288="",0,IF(AND(OR(Filter!$B$5="(alle)",$N1288=Filter!$B$5),OR(Filter!$E$5="(alle)",$K1288=Filter!$E$5),OR(Filter!$H$5="(alle)",$C1288=Filter!$H$5),OR(Filter!$B$7="(alle)",$E1288=Filter!$B$7),OR(Filter!$E$7="(alle)",ISNUMBER(SEARCH(Filter!$E$7,$J1288))),OR(Filter!$H$7="(alle)",ISNUMBER(SEARCH(Filter!$H$7,$I1288))),OR(Filter!$B$9="",ISNUMBER(SEARCH(Filter!$B$9,$F1288&amp;" "&amp;$G1288)))),COUNTIF($O$6:$O1287,"&gt;0")+1,0))</f>
        <v>1282</v>
      </c>
    </row>
    <row r="1289" customFormat="false" ht="51" hidden="false" customHeight="true" outlineLevel="0" collapsed="false">
      <c r="B1289" s="30" t="s">
        <v>5860</v>
      </c>
      <c r="C1289" s="30" t="s">
        <v>268</v>
      </c>
      <c r="D1289" s="30" t="s">
        <v>5861</v>
      </c>
      <c r="E1289" s="30" t="s">
        <v>547</v>
      </c>
      <c r="F1289" s="30" t="s">
        <v>5862</v>
      </c>
      <c r="G1289" s="30" t="s">
        <v>5862</v>
      </c>
      <c r="H1289" s="30" t="s">
        <v>5855</v>
      </c>
      <c r="I1289" s="30" t="s">
        <v>476</v>
      </c>
      <c r="J1289" s="30" t="s">
        <v>476</v>
      </c>
      <c r="K1289" s="31" t="s">
        <v>47</v>
      </c>
      <c r="L1289" s="32"/>
      <c r="M1289" s="33"/>
      <c r="N1289" s="30" t="s">
        <v>48</v>
      </c>
      <c r="O1289" s="1" t="n">
        <f aca="false">IF($B1289="",0,IF(AND(OR(Filter!$B$5="(alle)",$N1289=Filter!$B$5),OR(Filter!$E$5="(alle)",$K1289=Filter!$E$5),OR(Filter!$H$5="(alle)",$C1289=Filter!$H$5),OR(Filter!$B$7="(alle)",$E1289=Filter!$B$7),OR(Filter!$E$7="(alle)",ISNUMBER(SEARCH(Filter!$E$7,$J1289))),OR(Filter!$H$7="(alle)",ISNUMBER(SEARCH(Filter!$H$7,$I1289))),OR(Filter!$B$9="",ISNUMBER(SEARCH(Filter!$B$9,$F1289&amp;" "&amp;$G1289)))),COUNTIF($O$6:$O1288,"&gt;0")+1,0))</f>
        <v>1283</v>
      </c>
    </row>
    <row r="1290" customFormat="false" ht="51" hidden="false" customHeight="true" outlineLevel="0" collapsed="false">
      <c r="B1290" s="30" t="s">
        <v>5863</v>
      </c>
      <c r="C1290" s="30" t="s">
        <v>268</v>
      </c>
      <c r="D1290" s="30" t="s">
        <v>5864</v>
      </c>
      <c r="E1290" s="30" t="s">
        <v>547</v>
      </c>
      <c r="F1290" s="30" t="s">
        <v>5865</v>
      </c>
      <c r="G1290" s="30" t="s">
        <v>5866</v>
      </c>
      <c r="H1290" s="30" t="s">
        <v>5855</v>
      </c>
      <c r="I1290" s="30" t="s">
        <v>476</v>
      </c>
      <c r="J1290" s="30" t="s">
        <v>476</v>
      </c>
      <c r="K1290" s="31" t="s">
        <v>47</v>
      </c>
      <c r="L1290" s="32"/>
      <c r="M1290" s="33"/>
      <c r="N1290" s="30" t="s">
        <v>48</v>
      </c>
      <c r="O1290" s="1" t="n">
        <f aca="false">IF($B1290="",0,IF(AND(OR(Filter!$B$5="(alle)",$N1290=Filter!$B$5),OR(Filter!$E$5="(alle)",$K1290=Filter!$E$5),OR(Filter!$H$5="(alle)",$C1290=Filter!$H$5),OR(Filter!$B$7="(alle)",$E1290=Filter!$B$7),OR(Filter!$E$7="(alle)",ISNUMBER(SEARCH(Filter!$E$7,$J1290))),OR(Filter!$H$7="(alle)",ISNUMBER(SEARCH(Filter!$H$7,$I1290))),OR(Filter!$B$9="",ISNUMBER(SEARCH(Filter!$B$9,$F1290&amp;" "&amp;$G1290)))),COUNTIF($O$6:$O1289,"&gt;0")+1,0))</f>
        <v>1284</v>
      </c>
    </row>
    <row r="1291" customFormat="false" ht="51" hidden="false" customHeight="true" outlineLevel="0" collapsed="false">
      <c r="B1291" s="30" t="s">
        <v>5867</v>
      </c>
      <c r="C1291" s="30" t="s">
        <v>268</v>
      </c>
      <c r="D1291" s="30" t="s">
        <v>5868</v>
      </c>
      <c r="E1291" s="30" t="s">
        <v>42</v>
      </c>
      <c r="F1291" s="30" t="s">
        <v>5869</v>
      </c>
      <c r="G1291" s="30" t="s">
        <v>5870</v>
      </c>
      <c r="H1291" s="30" t="s">
        <v>5844</v>
      </c>
      <c r="I1291" s="30" t="s">
        <v>45</v>
      </c>
      <c r="J1291" s="30" t="s">
        <v>46</v>
      </c>
      <c r="K1291" s="31" t="s">
        <v>47</v>
      </c>
      <c r="L1291" s="32"/>
      <c r="M1291" s="33"/>
      <c r="N1291" s="30" t="s">
        <v>48</v>
      </c>
      <c r="O1291" s="1" t="n">
        <f aca="false">IF($B1291="",0,IF(AND(OR(Filter!$B$5="(alle)",$N1291=Filter!$B$5),OR(Filter!$E$5="(alle)",$K1291=Filter!$E$5),OR(Filter!$H$5="(alle)",$C1291=Filter!$H$5),OR(Filter!$B$7="(alle)",$E1291=Filter!$B$7),OR(Filter!$E$7="(alle)",ISNUMBER(SEARCH(Filter!$E$7,$J1291))),OR(Filter!$H$7="(alle)",ISNUMBER(SEARCH(Filter!$H$7,$I1291))),OR(Filter!$B$9="",ISNUMBER(SEARCH(Filter!$B$9,$F1291&amp;" "&amp;$G1291)))),COUNTIF($O$6:$O1290,"&gt;0")+1,0))</f>
        <v>1285</v>
      </c>
    </row>
    <row r="1292" customFormat="false" ht="51" hidden="false" customHeight="true" outlineLevel="0" collapsed="false">
      <c r="B1292" s="30" t="s">
        <v>5871</v>
      </c>
      <c r="C1292" s="30" t="s">
        <v>268</v>
      </c>
      <c r="D1292" s="30" t="s">
        <v>5872</v>
      </c>
      <c r="E1292" s="30" t="s">
        <v>547</v>
      </c>
      <c r="F1292" s="30" t="s">
        <v>5873</v>
      </c>
      <c r="G1292" s="30" t="s">
        <v>5874</v>
      </c>
      <c r="H1292" s="30" t="s">
        <v>5875</v>
      </c>
      <c r="I1292" s="30" t="s">
        <v>476</v>
      </c>
      <c r="J1292" s="30" t="s">
        <v>476</v>
      </c>
      <c r="K1292" s="31" t="s">
        <v>47</v>
      </c>
      <c r="L1292" s="32"/>
      <c r="M1292" s="33"/>
      <c r="N1292" s="30" t="s">
        <v>48</v>
      </c>
      <c r="O1292" s="1" t="n">
        <f aca="false">IF($B1292="",0,IF(AND(OR(Filter!$B$5="(alle)",$N1292=Filter!$B$5),OR(Filter!$E$5="(alle)",$K1292=Filter!$E$5),OR(Filter!$H$5="(alle)",$C1292=Filter!$H$5),OR(Filter!$B$7="(alle)",$E1292=Filter!$B$7),OR(Filter!$E$7="(alle)",ISNUMBER(SEARCH(Filter!$E$7,$J1292))),OR(Filter!$H$7="(alle)",ISNUMBER(SEARCH(Filter!$H$7,$I1292))),OR(Filter!$B$9="",ISNUMBER(SEARCH(Filter!$B$9,$F1292&amp;" "&amp;$G1292)))),COUNTIF($O$6:$O1291,"&gt;0")+1,0))</f>
        <v>1286</v>
      </c>
    </row>
    <row r="1293" customFormat="false" ht="51" hidden="false" customHeight="true" outlineLevel="0" collapsed="false">
      <c r="B1293" s="30" t="s">
        <v>5876</v>
      </c>
      <c r="C1293" s="30" t="s">
        <v>268</v>
      </c>
      <c r="D1293" s="30" t="s">
        <v>5877</v>
      </c>
      <c r="E1293" s="30" t="s">
        <v>547</v>
      </c>
      <c r="F1293" s="30" t="s">
        <v>5878</v>
      </c>
      <c r="G1293" s="30" t="s">
        <v>5879</v>
      </c>
      <c r="H1293" s="30" t="s">
        <v>5875</v>
      </c>
      <c r="I1293" s="30" t="s">
        <v>476</v>
      </c>
      <c r="J1293" s="30" t="s">
        <v>476</v>
      </c>
      <c r="K1293" s="31" t="s">
        <v>47</v>
      </c>
      <c r="L1293" s="32"/>
      <c r="M1293" s="33"/>
      <c r="N1293" s="30" t="s">
        <v>48</v>
      </c>
      <c r="O1293" s="1" t="n">
        <f aca="false">IF($B1293="",0,IF(AND(OR(Filter!$B$5="(alle)",$N1293=Filter!$B$5),OR(Filter!$E$5="(alle)",$K1293=Filter!$E$5),OR(Filter!$H$5="(alle)",$C1293=Filter!$H$5),OR(Filter!$B$7="(alle)",$E1293=Filter!$B$7),OR(Filter!$E$7="(alle)",ISNUMBER(SEARCH(Filter!$E$7,$J1293))),OR(Filter!$H$7="(alle)",ISNUMBER(SEARCH(Filter!$H$7,$I1293))),OR(Filter!$B$9="",ISNUMBER(SEARCH(Filter!$B$9,$F1293&amp;" "&amp;$G1293)))),COUNTIF($O$6:$O1292,"&gt;0")+1,0))</f>
        <v>1287</v>
      </c>
    </row>
    <row r="1294" customFormat="false" ht="51" hidden="false" customHeight="true" outlineLevel="0" collapsed="false">
      <c r="B1294" s="30" t="s">
        <v>5880</v>
      </c>
      <c r="C1294" s="30" t="s">
        <v>268</v>
      </c>
      <c r="D1294" s="30" t="s">
        <v>5881</v>
      </c>
      <c r="E1294" s="30" t="s">
        <v>155</v>
      </c>
      <c r="F1294" s="30" t="s">
        <v>5882</v>
      </c>
      <c r="G1294" s="30" t="s">
        <v>5883</v>
      </c>
      <c r="H1294" s="30" t="s">
        <v>5875</v>
      </c>
      <c r="I1294" s="30" t="s">
        <v>476</v>
      </c>
      <c r="J1294" s="30" t="s">
        <v>476</v>
      </c>
      <c r="K1294" s="31" t="s">
        <v>47</v>
      </c>
      <c r="L1294" s="32"/>
      <c r="M1294" s="33"/>
      <c r="N1294" s="30" t="s">
        <v>48</v>
      </c>
      <c r="O1294" s="1" t="n">
        <f aca="false">IF($B1294="",0,IF(AND(OR(Filter!$B$5="(alle)",$N1294=Filter!$B$5),OR(Filter!$E$5="(alle)",$K1294=Filter!$E$5),OR(Filter!$H$5="(alle)",$C1294=Filter!$H$5),OR(Filter!$B$7="(alle)",$E1294=Filter!$B$7),OR(Filter!$E$7="(alle)",ISNUMBER(SEARCH(Filter!$E$7,$J1294))),OR(Filter!$H$7="(alle)",ISNUMBER(SEARCH(Filter!$H$7,$I1294))),OR(Filter!$B$9="",ISNUMBER(SEARCH(Filter!$B$9,$F1294&amp;" "&amp;$G1294)))),COUNTIF($O$6:$O1293,"&gt;0")+1,0))</f>
        <v>1288</v>
      </c>
    </row>
    <row r="1295" customFormat="false" ht="51" hidden="false" customHeight="true" outlineLevel="0" collapsed="false">
      <c r="B1295" s="30" t="s">
        <v>5884</v>
      </c>
      <c r="C1295" s="30" t="s">
        <v>268</v>
      </c>
      <c r="D1295" s="30" t="s">
        <v>5885</v>
      </c>
      <c r="E1295" s="30" t="s">
        <v>547</v>
      </c>
      <c r="F1295" s="30" t="s">
        <v>5886</v>
      </c>
      <c r="G1295" s="30" t="s">
        <v>5886</v>
      </c>
      <c r="H1295" s="30" t="s">
        <v>5887</v>
      </c>
      <c r="I1295" s="30" t="s">
        <v>476</v>
      </c>
      <c r="J1295" s="30" t="s">
        <v>476</v>
      </c>
      <c r="K1295" s="31" t="s">
        <v>47</v>
      </c>
      <c r="L1295" s="32"/>
      <c r="M1295" s="33"/>
      <c r="N1295" s="30" t="s">
        <v>48</v>
      </c>
      <c r="O1295" s="1" t="n">
        <f aca="false">IF($B1295="",0,IF(AND(OR(Filter!$B$5="(alle)",$N1295=Filter!$B$5),OR(Filter!$E$5="(alle)",$K1295=Filter!$E$5),OR(Filter!$H$5="(alle)",$C1295=Filter!$H$5),OR(Filter!$B$7="(alle)",$E1295=Filter!$B$7),OR(Filter!$E$7="(alle)",ISNUMBER(SEARCH(Filter!$E$7,$J1295))),OR(Filter!$H$7="(alle)",ISNUMBER(SEARCH(Filter!$H$7,$I1295))),OR(Filter!$B$9="",ISNUMBER(SEARCH(Filter!$B$9,$F1295&amp;" "&amp;$G1295)))),COUNTIF($O$6:$O1294,"&gt;0")+1,0))</f>
        <v>1289</v>
      </c>
    </row>
    <row r="1296" customFormat="false" ht="51" hidden="false" customHeight="true" outlineLevel="0" collapsed="false">
      <c r="B1296" s="30" t="s">
        <v>5888</v>
      </c>
      <c r="C1296" s="30" t="s">
        <v>268</v>
      </c>
      <c r="D1296" s="30" t="s">
        <v>5889</v>
      </c>
      <c r="E1296" s="30" t="s">
        <v>547</v>
      </c>
      <c r="F1296" s="30" t="s">
        <v>5890</v>
      </c>
      <c r="G1296" s="30" t="s">
        <v>5891</v>
      </c>
      <c r="H1296" s="30" t="s">
        <v>5887</v>
      </c>
      <c r="I1296" s="30" t="s">
        <v>476</v>
      </c>
      <c r="J1296" s="30" t="s">
        <v>476</v>
      </c>
      <c r="K1296" s="31" t="s">
        <v>47</v>
      </c>
      <c r="L1296" s="32"/>
      <c r="M1296" s="33"/>
      <c r="N1296" s="30" t="s">
        <v>48</v>
      </c>
      <c r="O1296" s="1" t="n">
        <f aca="false">IF($B1296="",0,IF(AND(OR(Filter!$B$5="(alle)",$N1296=Filter!$B$5),OR(Filter!$E$5="(alle)",$K1296=Filter!$E$5),OR(Filter!$H$5="(alle)",$C1296=Filter!$H$5),OR(Filter!$B$7="(alle)",$E1296=Filter!$B$7),OR(Filter!$E$7="(alle)",ISNUMBER(SEARCH(Filter!$E$7,$J1296))),OR(Filter!$H$7="(alle)",ISNUMBER(SEARCH(Filter!$H$7,$I1296))),OR(Filter!$B$9="",ISNUMBER(SEARCH(Filter!$B$9,$F1296&amp;" "&amp;$G1296)))),COUNTIF($O$6:$O1295,"&gt;0")+1,0))</f>
        <v>1290</v>
      </c>
    </row>
    <row r="1297" customFormat="false" ht="51" hidden="false" customHeight="true" outlineLevel="0" collapsed="false">
      <c r="B1297" s="30" t="s">
        <v>5892</v>
      </c>
      <c r="C1297" s="30" t="s">
        <v>268</v>
      </c>
      <c r="D1297" s="30" t="s">
        <v>5893</v>
      </c>
      <c r="E1297" s="30" t="s">
        <v>344</v>
      </c>
      <c r="F1297" s="30" t="s">
        <v>5894</v>
      </c>
      <c r="G1297" s="30" t="s">
        <v>5895</v>
      </c>
      <c r="H1297" s="30" t="s">
        <v>5896</v>
      </c>
      <c r="I1297" s="30" t="s">
        <v>306</v>
      </c>
      <c r="J1297" s="30" t="s">
        <v>206</v>
      </c>
      <c r="K1297" s="31" t="s">
        <v>47</v>
      </c>
      <c r="L1297" s="32"/>
      <c r="M1297" s="33"/>
      <c r="N1297" s="30" t="s">
        <v>48</v>
      </c>
      <c r="O1297" s="1" t="n">
        <f aca="false">IF($B1297="",0,IF(AND(OR(Filter!$B$5="(alle)",$N1297=Filter!$B$5),OR(Filter!$E$5="(alle)",$K1297=Filter!$E$5),OR(Filter!$H$5="(alle)",$C1297=Filter!$H$5),OR(Filter!$B$7="(alle)",$E1297=Filter!$B$7),OR(Filter!$E$7="(alle)",ISNUMBER(SEARCH(Filter!$E$7,$J1297))),OR(Filter!$H$7="(alle)",ISNUMBER(SEARCH(Filter!$H$7,$I1297))),OR(Filter!$B$9="",ISNUMBER(SEARCH(Filter!$B$9,$F1297&amp;" "&amp;$G1297)))),COUNTIF($O$6:$O1296,"&gt;0")+1,0))</f>
        <v>1291</v>
      </c>
    </row>
    <row r="1298" customFormat="false" ht="51" hidden="false" customHeight="true" outlineLevel="0" collapsed="false">
      <c r="B1298" s="30" t="s">
        <v>5897</v>
      </c>
      <c r="C1298" s="30" t="s">
        <v>268</v>
      </c>
      <c r="D1298" s="30" t="s">
        <v>5898</v>
      </c>
      <c r="E1298" s="30" t="s">
        <v>155</v>
      </c>
      <c r="F1298" s="30" t="s">
        <v>5899</v>
      </c>
      <c r="G1298" s="30" t="s">
        <v>5899</v>
      </c>
      <c r="H1298" s="30" t="s">
        <v>5887</v>
      </c>
      <c r="I1298" s="30" t="s">
        <v>476</v>
      </c>
      <c r="J1298" s="30" t="s">
        <v>476</v>
      </c>
      <c r="K1298" s="31" t="s">
        <v>47</v>
      </c>
      <c r="L1298" s="32"/>
      <c r="M1298" s="33"/>
      <c r="N1298" s="30" t="s">
        <v>48</v>
      </c>
      <c r="O1298" s="1" t="n">
        <f aca="false">IF($B1298="",0,IF(AND(OR(Filter!$B$5="(alle)",$N1298=Filter!$B$5),OR(Filter!$E$5="(alle)",$K1298=Filter!$E$5),OR(Filter!$H$5="(alle)",$C1298=Filter!$H$5),OR(Filter!$B$7="(alle)",$E1298=Filter!$B$7),OR(Filter!$E$7="(alle)",ISNUMBER(SEARCH(Filter!$E$7,$J1298))),OR(Filter!$H$7="(alle)",ISNUMBER(SEARCH(Filter!$H$7,$I1298))),OR(Filter!$B$9="",ISNUMBER(SEARCH(Filter!$B$9,$F1298&amp;" "&amp;$G1298)))),COUNTIF($O$6:$O1297,"&gt;0")+1,0))</f>
        <v>1292</v>
      </c>
    </row>
    <row r="1299" customFormat="false" ht="51" hidden="false" customHeight="true" outlineLevel="0" collapsed="false">
      <c r="B1299" s="30" t="s">
        <v>5900</v>
      </c>
      <c r="C1299" s="30" t="s">
        <v>268</v>
      </c>
      <c r="D1299" s="30" t="s">
        <v>5901</v>
      </c>
      <c r="E1299" s="30" t="s">
        <v>547</v>
      </c>
      <c r="F1299" s="30" t="s">
        <v>5902</v>
      </c>
      <c r="G1299" s="30" t="s">
        <v>5902</v>
      </c>
      <c r="H1299" s="30" t="s">
        <v>5887</v>
      </c>
      <c r="I1299" s="30" t="s">
        <v>476</v>
      </c>
      <c r="J1299" s="30" t="s">
        <v>476</v>
      </c>
      <c r="K1299" s="31" t="s">
        <v>47</v>
      </c>
      <c r="L1299" s="32"/>
      <c r="M1299" s="33"/>
      <c r="N1299" s="30" t="s">
        <v>48</v>
      </c>
      <c r="O1299" s="1" t="n">
        <f aca="false">IF($B1299="",0,IF(AND(OR(Filter!$B$5="(alle)",$N1299=Filter!$B$5),OR(Filter!$E$5="(alle)",$K1299=Filter!$E$5),OR(Filter!$H$5="(alle)",$C1299=Filter!$H$5),OR(Filter!$B$7="(alle)",$E1299=Filter!$B$7),OR(Filter!$E$7="(alle)",ISNUMBER(SEARCH(Filter!$E$7,$J1299))),OR(Filter!$H$7="(alle)",ISNUMBER(SEARCH(Filter!$H$7,$I1299))),OR(Filter!$B$9="",ISNUMBER(SEARCH(Filter!$B$9,$F1299&amp;" "&amp;$G1299)))),COUNTIF($O$6:$O1298,"&gt;0")+1,0))</f>
        <v>1293</v>
      </c>
    </row>
    <row r="1300" customFormat="false" ht="51" hidden="false" customHeight="true" outlineLevel="0" collapsed="false">
      <c r="B1300" s="30" t="s">
        <v>5903</v>
      </c>
      <c r="C1300" s="30" t="s">
        <v>268</v>
      </c>
      <c r="D1300" s="30" t="s">
        <v>5904</v>
      </c>
      <c r="E1300" s="30" t="s">
        <v>547</v>
      </c>
      <c r="F1300" s="30" t="s">
        <v>5905</v>
      </c>
      <c r="G1300" s="30" t="s">
        <v>5905</v>
      </c>
      <c r="H1300" s="30" t="s">
        <v>5887</v>
      </c>
      <c r="I1300" s="30" t="s">
        <v>476</v>
      </c>
      <c r="J1300" s="30" t="s">
        <v>476</v>
      </c>
      <c r="K1300" s="31" t="s">
        <v>47</v>
      </c>
      <c r="L1300" s="32"/>
      <c r="M1300" s="33"/>
      <c r="N1300" s="30" t="s">
        <v>48</v>
      </c>
      <c r="O1300" s="1" t="n">
        <f aca="false">IF($B1300="",0,IF(AND(OR(Filter!$B$5="(alle)",$N1300=Filter!$B$5),OR(Filter!$E$5="(alle)",$K1300=Filter!$E$5),OR(Filter!$H$5="(alle)",$C1300=Filter!$H$5),OR(Filter!$B$7="(alle)",$E1300=Filter!$B$7),OR(Filter!$E$7="(alle)",ISNUMBER(SEARCH(Filter!$E$7,$J1300))),OR(Filter!$H$7="(alle)",ISNUMBER(SEARCH(Filter!$H$7,$I1300))),OR(Filter!$B$9="",ISNUMBER(SEARCH(Filter!$B$9,$F1300&amp;" "&amp;$G1300)))),COUNTIF($O$6:$O1299,"&gt;0")+1,0))</f>
        <v>1294</v>
      </c>
    </row>
    <row r="1301" customFormat="false" ht="51" hidden="false" customHeight="true" outlineLevel="0" collapsed="false">
      <c r="B1301" s="30" t="s">
        <v>5906</v>
      </c>
      <c r="C1301" s="30" t="s">
        <v>268</v>
      </c>
      <c r="D1301" s="30" t="s">
        <v>5907</v>
      </c>
      <c r="E1301" s="30" t="s">
        <v>547</v>
      </c>
      <c r="F1301" s="30" t="s">
        <v>5908</v>
      </c>
      <c r="G1301" s="30" t="s">
        <v>5908</v>
      </c>
      <c r="H1301" s="30" t="s">
        <v>5887</v>
      </c>
      <c r="I1301" s="30" t="s">
        <v>476</v>
      </c>
      <c r="J1301" s="30" t="s">
        <v>476</v>
      </c>
      <c r="K1301" s="31" t="s">
        <v>47</v>
      </c>
      <c r="L1301" s="32"/>
      <c r="M1301" s="33"/>
      <c r="N1301" s="30" t="s">
        <v>48</v>
      </c>
      <c r="O1301" s="1" t="n">
        <f aca="false">IF($B1301="",0,IF(AND(OR(Filter!$B$5="(alle)",$N1301=Filter!$B$5),OR(Filter!$E$5="(alle)",$K1301=Filter!$E$5),OR(Filter!$H$5="(alle)",$C1301=Filter!$H$5),OR(Filter!$B$7="(alle)",$E1301=Filter!$B$7),OR(Filter!$E$7="(alle)",ISNUMBER(SEARCH(Filter!$E$7,$J1301))),OR(Filter!$H$7="(alle)",ISNUMBER(SEARCH(Filter!$H$7,$I1301))),OR(Filter!$B$9="",ISNUMBER(SEARCH(Filter!$B$9,$F1301&amp;" "&amp;$G1301)))),COUNTIF($O$6:$O1300,"&gt;0")+1,0))</f>
        <v>1295</v>
      </c>
    </row>
    <row r="1302" customFormat="false" ht="51" hidden="false" customHeight="true" outlineLevel="0" collapsed="false">
      <c r="B1302" s="30" t="s">
        <v>5909</v>
      </c>
      <c r="C1302" s="30" t="s">
        <v>268</v>
      </c>
      <c r="D1302" s="30" t="s">
        <v>5910</v>
      </c>
      <c r="E1302" s="30" t="s">
        <v>547</v>
      </c>
      <c r="F1302" s="30" t="s">
        <v>5911</v>
      </c>
      <c r="G1302" s="30" t="s">
        <v>5911</v>
      </c>
      <c r="H1302" s="30" t="s">
        <v>5887</v>
      </c>
      <c r="I1302" s="30" t="s">
        <v>476</v>
      </c>
      <c r="J1302" s="30" t="s">
        <v>476</v>
      </c>
      <c r="K1302" s="31" t="s">
        <v>47</v>
      </c>
      <c r="L1302" s="32"/>
      <c r="M1302" s="33"/>
      <c r="N1302" s="30" t="s">
        <v>48</v>
      </c>
      <c r="O1302" s="1" t="n">
        <f aca="false">IF($B1302="",0,IF(AND(OR(Filter!$B$5="(alle)",$N1302=Filter!$B$5),OR(Filter!$E$5="(alle)",$K1302=Filter!$E$5),OR(Filter!$H$5="(alle)",$C1302=Filter!$H$5),OR(Filter!$B$7="(alle)",$E1302=Filter!$B$7),OR(Filter!$E$7="(alle)",ISNUMBER(SEARCH(Filter!$E$7,$J1302))),OR(Filter!$H$7="(alle)",ISNUMBER(SEARCH(Filter!$H$7,$I1302))),OR(Filter!$B$9="",ISNUMBER(SEARCH(Filter!$B$9,$F1302&amp;" "&amp;$G1302)))),COUNTIF($O$6:$O1301,"&gt;0")+1,0))</f>
        <v>1296</v>
      </c>
    </row>
    <row r="1303" customFormat="false" ht="51" hidden="false" customHeight="true" outlineLevel="0" collapsed="false">
      <c r="B1303" s="30" t="s">
        <v>5912</v>
      </c>
      <c r="C1303" s="30" t="s">
        <v>268</v>
      </c>
      <c r="D1303" s="30" t="s">
        <v>5913</v>
      </c>
      <c r="E1303" s="30" t="s">
        <v>361</v>
      </c>
      <c r="F1303" s="30" t="s">
        <v>5914</v>
      </c>
      <c r="G1303" s="30" t="s">
        <v>5914</v>
      </c>
      <c r="H1303" s="30" t="s">
        <v>5896</v>
      </c>
      <c r="I1303" s="30" t="s">
        <v>306</v>
      </c>
      <c r="J1303" s="30" t="s">
        <v>206</v>
      </c>
      <c r="K1303" s="31" t="s">
        <v>47</v>
      </c>
      <c r="L1303" s="32"/>
      <c r="M1303" s="33"/>
      <c r="N1303" s="30" t="s">
        <v>48</v>
      </c>
      <c r="O1303" s="1" t="n">
        <f aca="false">IF($B1303="",0,IF(AND(OR(Filter!$B$5="(alle)",$N1303=Filter!$B$5),OR(Filter!$E$5="(alle)",$K1303=Filter!$E$5),OR(Filter!$H$5="(alle)",$C1303=Filter!$H$5),OR(Filter!$B$7="(alle)",$E1303=Filter!$B$7),OR(Filter!$E$7="(alle)",ISNUMBER(SEARCH(Filter!$E$7,$J1303))),OR(Filter!$H$7="(alle)",ISNUMBER(SEARCH(Filter!$H$7,$I1303))),OR(Filter!$B$9="",ISNUMBER(SEARCH(Filter!$B$9,$F1303&amp;" "&amp;$G1303)))),COUNTIF($O$6:$O1302,"&gt;0")+1,0))</f>
        <v>1297</v>
      </c>
    </row>
    <row r="1304" customFormat="false" ht="51" hidden="false" customHeight="true" outlineLevel="0" collapsed="false">
      <c r="B1304" s="30" t="s">
        <v>5915</v>
      </c>
      <c r="C1304" s="30" t="s">
        <v>268</v>
      </c>
      <c r="D1304" s="30" t="s">
        <v>5916</v>
      </c>
      <c r="E1304" s="30" t="s">
        <v>547</v>
      </c>
      <c r="F1304" s="30" t="s">
        <v>5917</v>
      </c>
      <c r="G1304" s="30" t="s">
        <v>5917</v>
      </c>
      <c r="H1304" s="30" t="s">
        <v>5887</v>
      </c>
      <c r="I1304" s="30" t="s">
        <v>476</v>
      </c>
      <c r="J1304" s="30" t="s">
        <v>476</v>
      </c>
      <c r="K1304" s="31" t="s">
        <v>47</v>
      </c>
      <c r="L1304" s="32"/>
      <c r="M1304" s="33"/>
      <c r="N1304" s="30" t="s">
        <v>48</v>
      </c>
      <c r="O1304" s="1" t="n">
        <f aca="false">IF($B1304="",0,IF(AND(OR(Filter!$B$5="(alle)",$N1304=Filter!$B$5),OR(Filter!$E$5="(alle)",$K1304=Filter!$E$5),OR(Filter!$H$5="(alle)",$C1304=Filter!$H$5),OR(Filter!$B$7="(alle)",$E1304=Filter!$B$7),OR(Filter!$E$7="(alle)",ISNUMBER(SEARCH(Filter!$E$7,$J1304))),OR(Filter!$H$7="(alle)",ISNUMBER(SEARCH(Filter!$H$7,$I1304))),OR(Filter!$B$9="",ISNUMBER(SEARCH(Filter!$B$9,$F1304&amp;" "&amp;$G1304)))),COUNTIF($O$6:$O1303,"&gt;0")+1,0))</f>
        <v>1298</v>
      </c>
    </row>
    <row r="1305" customFormat="false" ht="51" hidden="false" customHeight="true" outlineLevel="0" collapsed="false">
      <c r="B1305" s="30" t="s">
        <v>5918</v>
      </c>
      <c r="C1305" s="30" t="s">
        <v>268</v>
      </c>
      <c r="D1305" s="30" t="s">
        <v>5919</v>
      </c>
      <c r="E1305" s="30" t="s">
        <v>604</v>
      </c>
      <c r="F1305" s="30" t="s">
        <v>5920</v>
      </c>
      <c r="G1305" s="30" t="s">
        <v>5920</v>
      </c>
      <c r="H1305" s="30" t="s">
        <v>5896</v>
      </c>
      <c r="I1305" s="30" t="s">
        <v>3700</v>
      </c>
      <c r="J1305" s="30" t="s">
        <v>159</v>
      </c>
      <c r="K1305" s="31" t="s">
        <v>47</v>
      </c>
      <c r="L1305" s="32"/>
      <c r="M1305" s="33"/>
      <c r="N1305" s="30" t="s">
        <v>48</v>
      </c>
      <c r="O1305" s="1" t="n">
        <f aca="false">IF($B1305="",0,IF(AND(OR(Filter!$B$5="(alle)",$N1305=Filter!$B$5),OR(Filter!$E$5="(alle)",$K1305=Filter!$E$5),OR(Filter!$H$5="(alle)",$C1305=Filter!$H$5),OR(Filter!$B$7="(alle)",$E1305=Filter!$B$7),OR(Filter!$E$7="(alle)",ISNUMBER(SEARCH(Filter!$E$7,$J1305))),OR(Filter!$H$7="(alle)",ISNUMBER(SEARCH(Filter!$H$7,$I1305))),OR(Filter!$B$9="",ISNUMBER(SEARCH(Filter!$B$9,$F1305&amp;" "&amp;$G1305)))),COUNTIF($O$6:$O1304,"&gt;0")+1,0))</f>
        <v>1299</v>
      </c>
    </row>
    <row r="1306" customFormat="false" ht="51" hidden="false" customHeight="true" outlineLevel="0" collapsed="false">
      <c r="B1306" s="30" t="s">
        <v>5921</v>
      </c>
      <c r="C1306" s="30" t="s">
        <v>268</v>
      </c>
      <c r="D1306" s="30" t="s">
        <v>5922</v>
      </c>
      <c r="E1306" s="30" t="s">
        <v>547</v>
      </c>
      <c r="F1306" s="30" t="s">
        <v>5923</v>
      </c>
      <c r="G1306" s="30" t="s">
        <v>5923</v>
      </c>
      <c r="H1306" s="30" t="s">
        <v>5887</v>
      </c>
      <c r="I1306" s="30" t="s">
        <v>476</v>
      </c>
      <c r="J1306" s="30" t="s">
        <v>476</v>
      </c>
      <c r="K1306" s="31" t="s">
        <v>47</v>
      </c>
      <c r="L1306" s="32"/>
      <c r="M1306" s="33"/>
      <c r="N1306" s="30" t="s">
        <v>48</v>
      </c>
      <c r="O1306" s="1" t="n">
        <f aca="false">IF($B1306="",0,IF(AND(OR(Filter!$B$5="(alle)",$N1306=Filter!$B$5),OR(Filter!$E$5="(alle)",$K1306=Filter!$E$5),OR(Filter!$H$5="(alle)",$C1306=Filter!$H$5),OR(Filter!$B$7="(alle)",$E1306=Filter!$B$7),OR(Filter!$E$7="(alle)",ISNUMBER(SEARCH(Filter!$E$7,$J1306))),OR(Filter!$H$7="(alle)",ISNUMBER(SEARCH(Filter!$H$7,$I1306))),OR(Filter!$B$9="",ISNUMBER(SEARCH(Filter!$B$9,$F1306&amp;" "&amp;$G1306)))),COUNTIF($O$6:$O1305,"&gt;0")+1,0))</f>
        <v>1300</v>
      </c>
    </row>
    <row r="1307" customFormat="false" ht="51" hidden="false" customHeight="true" outlineLevel="0" collapsed="false">
      <c r="B1307" s="30" t="s">
        <v>5924</v>
      </c>
      <c r="C1307" s="30" t="s">
        <v>268</v>
      </c>
      <c r="D1307" s="30" t="s">
        <v>5925</v>
      </c>
      <c r="E1307" s="30" t="s">
        <v>81</v>
      </c>
      <c r="F1307" s="30" t="s">
        <v>5926</v>
      </c>
      <c r="G1307" s="30" t="s">
        <v>5927</v>
      </c>
      <c r="H1307" s="30" t="s">
        <v>5896</v>
      </c>
      <c r="I1307" s="30" t="s">
        <v>1251</v>
      </c>
      <c r="J1307" s="30" t="s">
        <v>1252</v>
      </c>
      <c r="K1307" s="31" t="s">
        <v>47</v>
      </c>
      <c r="L1307" s="32"/>
      <c r="M1307" s="33"/>
      <c r="N1307" s="30" t="s">
        <v>65</v>
      </c>
      <c r="O1307" s="1" t="n">
        <f aca="false">IF($B1307="",0,IF(AND(OR(Filter!$B$5="(alle)",$N1307=Filter!$B$5),OR(Filter!$E$5="(alle)",$K1307=Filter!$E$5),OR(Filter!$H$5="(alle)",$C1307=Filter!$H$5),OR(Filter!$B$7="(alle)",$E1307=Filter!$B$7),OR(Filter!$E$7="(alle)",ISNUMBER(SEARCH(Filter!$E$7,$J1307))),OR(Filter!$H$7="(alle)",ISNUMBER(SEARCH(Filter!$H$7,$I1307))),OR(Filter!$B$9="",ISNUMBER(SEARCH(Filter!$B$9,$F1307&amp;" "&amp;$G1307)))),COUNTIF($O$6:$O1306,"&gt;0")+1,0))</f>
        <v>1301</v>
      </c>
    </row>
    <row r="1308" customFormat="false" ht="51" hidden="false" customHeight="true" outlineLevel="0" collapsed="false">
      <c r="B1308" s="30" t="s">
        <v>5928</v>
      </c>
      <c r="C1308" s="30" t="s">
        <v>268</v>
      </c>
      <c r="D1308" s="30" t="s">
        <v>5929</v>
      </c>
      <c r="E1308" s="30" t="s">
        <v>547</v>
      </c>
      <c r="F1308" s="30" t="s">
        <v>5930</v>
      </c>
      <c r="G1308" s="30" t="s">
        <v>5930</v>
      </c>
      <c r="H1308" s="30" t="s">
        <v>5887</v>
      </c>
      <c r="I1308" s="30" t="s">
        <v>476</v>
      </c>
      <c r="J1308" s="30" t="s">
        <v>476</v>
      </c>
      <c r="K1308" s="31" t="s">
        <v>47</v>
      </c>
      <c r="L1308" s="32"/>
      <c r="M1308" s="33"/>
      <c r="N1308" s="30" t="s">
        <v>48</v>
      </c>
      <c r="O1308" s="1" t="n">
        <f aca="false">IF($B1308="",0,IF(AND(OR(Filter!$B$5="(alle)",$N1308=Filter!$B$5),OR(Filter!$E$5="(alle)",$K1308=Filter!$E$5),OR(Filter!$H$5="(alle)",$C1308=Filter!$H$5),OR(Filter!$B$7="(alle)",$E1308=Filter!$B$7),OR(Filter!$E$7="(alle)",ISNUMBER(SEARCH(Filter!$E$7,$J1308))),OR(Filter!$H$7="(alle)",ISNUMBER(SEARCH(Filter!$H$7,$I1308))),OR(Filter!$B$9="",ISNUMBER(SEARCH(Filter!$B$9,$F1308&amp;" "&amp;$G1308)))),COUNTIF($O$6:$O1307,"&gt;0")+1,0))</f>
        <v>1302</v>
      </c>
    </row>
    <row r="1309" customFormat="false" ht="51" hidden="false" customHeight="true" outlineLevel="0" collapsed="false">
      <c r="B1309" s="30" t="s">
        <v>5931</v>
      </c>
      <c r="C1309" s="30" t="s">
        <v>268</v>
      </c>
      <c r="D1309" s="30" t="s">
        <v>5932</v>
      </c>
      <c r="E1309" s="30" t="s">
        <v>547</v>
      </c>
      <c r="F1309" s="30" t="s">
        <v>5933</v>
      </c>
      <c r="G1309" s="30" t="s">
        <v>5934</v>
      </c>
      <c r="H1309" s="30" t="s">
        <v>5887</v>
      </c>
      <c r="I1309" s="30" t="s">
        <v>476</v>
      </c>
      <c r="J1309" s="30" t="s">
        <v>476</v>
      </c>
      <c r="K1309" s="31" t="s">
        <v>47</v>
      </c>
      <c r="L1309" s="32"/>
      <c r="M1309" s="33"/>
      <c r="N1309" s="30" t="s">
        <v>48</v>
      </c>
      <c r="O1309" s="1" t="n">
        <f aca="false">IF($B1309="",0,IF(AND(OR(Filter!$B$5="(alle)",$N1309=Filter!$B$5),OR(Filter!$E$5="(alle)",$K1309=Filter!$E$5),OR(Filter!$H$5="(alle)",$C1309=Filter!$H$5),OR(Filter!$B$7="(alle)",$E1309=Filter!$B$7),OR(Filter!$E$7="(alle)",ISNUMBER(SEARCH(Filter!$E$7,$J1309))),OR(Filter!$H$7="(alle)",ISNUMBER(SEARCH(Filter!$H$7,$I1309))),OR(Filter!$B$9="",ISNUMBER(SEARCH(Filter!$B$9,$F1309&amp;" "&amp;$G1309)))),COUNTIF($O$6:$O1308,"&gt;0")+1,0))</f>
        <v>1303</v>
      </c>
    </row>
    <row r="1310" customFormat="false" ht="51" hidden="false" customHeight="true" outlineLevel="0" collapsed="false">
      <c r="B1310" s="30" t="s">
        <v>5935</v>
      </c>
      <c r="C1310" s="30" t="s">
        <v>268</v>
      </c>
      <c r="D1310" s="30" t="s">
        <v>5936</v>
      </c>
      <c r="E1310" s="30" t="s">
        <v>155</v>
      </c>
      <c r="F1310" s="30" t="s">
        <v>5937</v>
      </c>
      <c r="G1310" s="30" t="s">
        <v>5937</v>
      </c>
      <c r="H1310" s="30" t="s">
        <v>5938</v>
      </c>
      <c r="I1310" s="30" t="s">
        <v>476</v>
      </c>
      <c r="J1310" s="30" t="s">
        <v>476</v>
      </c>
      <c r="K1310" s="31" t="s">
        <v>47</v>
      </c>
      <c r="L1310" s="32"/>
      <c r="M1310" s="33"/>
      <c r="N1310" s="30" t="s">
        <v>48</v>
      </c>
      <c r="O1310" s="1" t="n">
        <f aca="false">IF($B1310="",0,IF(AND(OR(Filter!$B$5="(alle)",$N1310=Filter!$B$5),OR(Filter!$E$5="(alle)",$K1310=Filter!$E$5),OR(Filter!$H$5="(alle)",$C1310=Filter!$H$5),OR(Filter!$B$7="(alle)",$E1310=Filter!$B$7),OR(Filter!$E$7="(alle)",ISNUMBER(SEARCH(Filter!$E$7,$J1310))),OR(Filter!$H$7="(alle)",ISNUMBER(SEARCH(Filter!$H$7,$I1310))),OR(Filter!$B$9="",ISNUMBER(SEARCH(Filter!$B$9,$F1310&amp;" "&amp;$G1310)))),COUNTIF($O$6:$O1309,"&gt;0")+1,0))</f>
        <v>1304</v>
      </c>
    </row>
    <row r="1311" customFormat="false" ht="51" hidden="false" customHeight="true" outlineLevel="0" collapsed="false">
      <c r="B1311" s="30" t="s">
        <v>5939</v>
      </c>
      <c r="C1311" s="30" t="s">
        <v>268</v>
      </c>
      <c r="D1311" s="30" t="s">
        <v>5940</v>
      </c>
      <c r="E1311" s="30" t="s">
        <v>190</v>
      </c>
      <c r="F1311" s="30" t="s">
        <v>5941</v>
      </c>
      <c r="G1311" s="30" t="s">
        <v>5942</v>
      </c>
      <c r="H1311" s="30" t="s">
        <v>5943</v>
      </c>
      <c r="I1311" s="30" t="s">
        <v>5944</v>
      </c>
      <c r="J1311" s="30" t="s">
        <v>5945</v>
      </c>
      <c r="K1311" s="31" t="s">
        <v>47</v>
      </c>
      <c r="L1311" s="32"/>
      <c r="M1311" s="33"/>
      <c r="N1311" s="30" t="s">
        <v>48</v>
      </c>
      <c r="O1311" s="1" t="n">
        <f aca="false">IF($B1311="",0,IF(AND(OR(Filter!$B$5="(alle)",$N1311=Filter!$B$5),OR(Filter!$E$5="(alle)",$K1311=Filter!$E$5),OR(Filter!$H$5="(alle)",$C1311=Filter!$H$5),OR(Filter!$B$7="(alle)",$E1311=Filter!$B$7),OR(Filter!$E$7="(alle)",ISNUMBER(SEARCH(Filter!$E$7,$J1311))),OR(Filter!$H$7="(alle)",ISNUMBER(SEARCH(Filter!$H$7,$I1311))),OR(Filter!$B$9="",ISNUMBER(SEARCH(Filter!$B$9,$F1311&amp;" "&amp;$G1311)))),COUNTIF($O$6:$O1310,"&gt;0")+1,0))</f>
        <v>1305</v>
      </c>
    </row>
    <row r="1312" customFormat="false" ht="51" hidden="false" customHeight="true" outlineLevel="0" collapsed="false">
      <c r="B1312" s="30" t="s">
        <v>5946</v>
      </c>
      <c r="C1312" s="30" t="s">
        <v>268</v>
      </c>
      <c r="D1312" s="30" t="s">
        <v>5947</v>
      </c>
      <c r="E1312" s="30" t="s">
        <v>155</v>
      </c>
      <c r="F1312" s="30" t="s">
        <v>5948</v>
      </c>
      <c r="G1312" s="30" t="s">
        <v>5948</v>
      </c>
      <c r="H1312" s="30" t="s">
        <v>5938</v>
      </c>
      <c r="I1312" s="30" t="s">
        <v>476</v>
      </c>
      <c r="J1312" s="30" t="s">
        <v>476</v>
      </c>
      <c r="K1312" s="31" t="s">
        <v>47</v>
      </c>
      <c r="L1312" s="32"/>
      <c r="M1312" s="33"/>
      <c r="N1312" s="30" t="s">
        <v>48</v>
      </c>
      <c r="O1312" s="1" t="n">
        <f aca="false">IF($B1312="",0,IF(AND(OR(Filter!$B$5="(alle)",$N1312=Filter!$B$5),OR(Filter!$E$5="(alle)",$K1312=Filter!$E$5),OR(Filter!$H$5="(alle)",$C1312=Filter!$H$5),OR(Filter!$B$7="(alle)",$E1312=Filter!$B$7),OR(Filter!$E$7="(alle)",ISNUMBER(SEARCH(Filter!$E$7,$J1312))),OR(Filter!$H$7="(alle)",ISNUMBER(SEARCH(Filter!$H$7,$I1312))),OR(Filter!$B$9="",ISNUMBER(SEARCH(Filter!$B$9,$F1312&amp;" "&amp;$G1312)))),COUNTIF($O$6:$O1311,"&gt;0")+1,0))</f>
        <v>1306</v>
      </c>
    </row>
    <row r="1313" customFormat="false" ht="51" hidden="false" customHeight="true" outlineLevel="0" collapsed="false">
      <c r="B1313" s="30" t="s">
        <v>5949</v>
      </c>
      <c r="C1313" s="30" t="s">
        <v>268</v>
      </c>
      <c r="D1313" s="30" t="s">
        <v>5950</v>
      </c>
      <c r="E1313" s="30" t="s">
        <v>155</v>
      </c>
      <c r="F1313" s="30" t="s">
        <v>5951</v>
      </c>
      <c r="G1313" s="30" t="s">
        <v>5952</v>
      </c>
      <c r="H1313" s="30" t="s">
        <v>5938</v>
      </c>
      <c r="I1313" s="30" t="s">
        <v>476</v>
      </c>
      <c r="J1313" s="30" t="s">
        <v>476</v>
      </c>
      <c r="K1313" s="31" t="s">
        <v>47</v>
      </c>
      <c r="L1313" s="32"/>
      <c r="M1313" s="33"/>
      <c r="N1313" s="30" t="s">
        <v>48</v>
      </c>
      <c r="O1313" s="1" t="n">
        <f aca="false">IF($B1313="",0,IF(AND(OR(Filter!$B$5="(alle)",$N1313=Filter!$B$5),OR(Filter!$E$5="(alle)",$K1313=Filter!$E$5),OR(Filter!$H$5="(alle)",$C1313=Filter!$H$5),OR(Filter!$B$7="(alle)",$E1313=Filter!$B$7),OR(Filter!$E$7="(alle)",ISNUMBER(SEARCH(Filter!$E$7,$J1313))),OR(Filter!$H$7="(alle)",ISNUMBER(SEARCH(Filter!$H$7,$I1313))),OR(Filter!$B$9="",ISNUMBER(SEARCH(Filter!$B$9,$F1313&amp;" "&amp;$G1313)))),COUNTIF($O$6:$O1312,"&gt;0")+1,0))</f>
        <v>1307</v>
      </c>
    </row>
    <row r="1314" customFormat="false" ht="51" hidden="false" customHeight="true" outlineLevel="0" collapsed="false">
      <c r="B1314" s="30" t="s">
        <v>5953</v>
      </c>
      <c r="C1314" s="30" t="s">
        <v>268</v>
      </c>
      <c r="D1314" s="30" t="s">
        <v>5954</v>
      </c>
      <c r="E1314" s="30" t="s">
        <v>155</v>
      </c>
      <c r="F1314" s="30" t="s">
        <v>5955</v>
      </c>
      <c r="G1314" s="30" t="s">
        <v>5955</v>
      </c>
      <c r="H1314" s="30" t="s">
        <v>5938</v>
      </c>
      <c r="I1314" s="30" t="s">
        <v>476</v>
      </c>
      <c r="J1314" s="30" t="s">
        <v>476</v>
      </c>
      <c r="K1314" s="31" t="s">
        <v>47</v>
      </c>
      <c r="L1314" s="32"/>
      <c r="M1314" s="33"/>
      <c r="N1314" s="30" t="s">
        <v>48</v>
      </c>
      <c r="O1314" s="1" t="n">
        <f aca="false">IF($B1314="",0,IF(AND(OR(Filter!$B$5="(alle)",$N1314=Filter!$B$5),OR(Filter!$E$5="(alle)",$K1314=Filter!$E$5),OR(Filter!$H$5="(alle)",$C1314=Filter!$H$5),OR(Filter!$B$7="(alle)",$E1314=Filter!$B$7),OR(Filter!$E$7="(alle)",ISNUMBER(SEARCH(Filter!$E$7,$J1314))),OR(Filter!$H$7="(alle)",ISNUMBER(SEARCH(Filter!$H$7,$I1314))),OR(Filter!$B$9="",ISNUMBER(SEARCH(Filter!$B$9,$F1314&amp;" "&amp;$G1314)))),COUNTIF($O$6:$O1313,"&gt;0")+1,0))</f>
        <v>1308</v>
      </c>
    </row>
    <row r="1315" customFormat="false" ht="51" hidden="false" customHeight="true" outlineLevel="0" collapsed="false">
      <c r="B1315" s="30" t="s">
        <v>5956</v>
      </c>
      <c r="C1315" s="30" t="s">
        <v>268</v>
      </c>
      <c r="D1315" s="30" t="s">
        <v>5957</v>
      </c>
      <c r="E1315" s="30" t="s">
        <v>155</v>
      </c>
      <c r="F1315" s="30" t="s">
        <v>5958</v>
      </c>
      <c r="G1315" s="30" t="s">
        <v>5959</v>
      </c>
      <c r="H1315" s="30" t="s">
        <v>5938</v>
      </c>
      <c r="I1315" s="30" t="s">
        <v>476</v>
      </c>
      <c r="J1315" s="30" t="s">
        <v>476</v>
      </c>
      <c r="K1315" s="31" t="s">
        <v>47</v>
      </c>
      <c r="L1315" s="32"/>
      <c r="M1315" s="33"/>
      <c r="N1315" s="30" t="s">
        <v>48</v>
      </c>
      <c r="O1315" s="1" t="n">
        <f aca="false">IF($B1315="",0,IF(AND(OR(Filter!$B$5="(alle)",$N1315=Filter!$B$5),OR(Filter!$E$5="(alle)",$K1315=Filter!$E$5),OR(Filter!$H$5="(alle)",$C1315=Filter!$H$5),OR(Filter!$B$7="(alle)",$E1315=Filter!$B$7),OR(Filter!$E$7="(alle)",ISNUMBER(SEARCH(Filter!$E$7,$J1315))),OR(Filter!$H$7="(alle)",ISNUMBER(SEARCH(Filter!$H$7,$I1315))),OR(Filter!$B$9="",ISNUMBER(SEARCH(Filter!$B$9,$F1315&amp;" "&amp;$G1315)))),COUNTIF($O$6:$O1314,"&gt;0")+1,0))</f>
        <v>1309</v>
      </c>
    </row>
    <row r="1316" customFormat="false" ht="51" hidden="false" customHeight="true" outlineLevel="0" collapsed="false">
      <c r="B1316" s="30" t="s">
        <v>5960</v>
      </c>
      <c r="C1316" s="30" t="s">
        <v>268</v>
      </c>
      <c r="D1316" s="30" t="s">
        <v>5961</v>
      </c>
      <c r="E1316" s="30" t="s">
        <v>155</v>
      </c>
      <c r="F1316" s="30" t="s">
        <v>5962</v>
      </c>
      <c r="G1316" s="30" t="s">
        <v>5963</v>
      </c>
      <c r="H1316" s="30" t="s">
        <v>5938</v>
      </c>
      <c r="I1316" s="30" t="s">
        <v>476</v>
      </c>
      <c r="J1316" s="30" t="s">
        <v>476</v>
      </c>
      <c r="K1316" s="31" t="s">
        <v>47</v>
      </c>
      <c r="L1316" s="32"/>
      <c r="M1316" s="33"/>
      <c r="N1316" s="30" t="s">
        <v>48</v>
      </c>
      <c r="O1316" s="1" t="n">
        <f aca="false">IF($B1316="",0,IF(AND(OR(Filter!$B$5="(alle)",$N1316=Filter!$B$5),OR(Filter!$E$5="(alle)",$K1316=Filter!$E$5),OR(Filter!$H$5="(alle)",$C1316=Filter!$H$5),OR(Filter!$B$7="(alle)",$E1316=Filter!$B$7),OR(Filter!$E$7="(alle)",ISNUMBER(SEARCH(Filter!$E$7,$J1316))),OR(Filter!$H$7="(alle)",ISNUMBER(SEARCH(Filter!$H$7,$I1316))),OR(Filter!$B$9="",ISNUMBER(SEARCH(Filter!$B$9,$F1316&amp;" "&amp;$G1316)))),COUNTIF($O$6:$O1315,"&gt;0")+1,0))</f>
        <v>1310</v>
      </c>
    </row>
    <row r="1317" customFormat="false" ht="51" hidden="false" customHeight="true" outlineLevel="0" collapsed="false">
      <c r="B1317" s="30" t="s">
        <v>5964</v>
      </c>
      <c r="C1317" s="30" t="s">
        <v>268</v>
      </c>
      <c r="D1317" s="30" t="s">
        <v>5965</v>
      </c>
      <c r="E1317" s="30" t="s">
        <v>155</v>
      </c>
      <c r="F1317" s="30" t="s">
        <v>5966</v>
      </c>
      <c r="G1317" s="30" t="s">
        <v>5967</v>
      </c>
      <c r="H1317" s="30" t="s">
        <v>5938</v>
      </c>
      <c r="I1317" s="30" t="s">
        <v>476</v>
      </c>
      <c r="J1317" s="30" t="s">
        <v>476</v>
      </c>
      <c r="K1317" s="31" t="s">
        <v>47</v>
      </c>
      <c r="L1317" s="32"/>
      <c r="M1317" s="33"/>
      <c r="N1317" s="30" t="s">
        <v>48</v>
      </c>
      <c r="O1317" s="1" t="n">
        <f aca="false">IF($B1317="",0,IF(AND(OR(Filter!$B$5="(alle)",$N1317=Filter!$B$5),OR(Filter!$E$5="(alle)",$K1317=Filter!$E$5),OR(Filter!$H$5="(alle)",$C1317=Filter!$H$5),OR(Filter!$B$7="(alle)",$E1317=Filter!$B$7),OR(Filter!$E$7="(alle)",ISNUMBER(SEARCH(Filter!$E$7,$J1317))),OR(Filter!$H$7="(alle)",ISNUMBER(SEARCH(Filter!$H$7,$I1317))),OR(Filter!$B$9="",ISNUMBER(SEARCH(Filter!$B$9,$F1317&amp;" "&amp;$G1317)))),COUNTIF($O$6:$O1316,"&gt;0")+1,0))</f>
        <v>1311</v>
      </c>
    </row>
    <row r="1318" customFormat="false" ht="51" hidden="false" customHeight="true" outlineLevel="0" collapsed="false">
      <c r="B1318" s="30" t="s">
        <v>5968</v>
      </c>
      <c r="C1318" s="30" t="s">
        <v>268</v>
      </c>
      <c r="D1318" s="30" t="s">
        <v>5969</v>
      </c>
      <c r="E1318" s="30" t="s">
        <v>155</v>
      </c>
      <c r="F1318" s="30" t="s">
        <v>5970</v>
      </c>
      <c r="G1318" s="30" t="s">
        <v>5971</v>
      </c>
      <c r="H1318" s="30" t="s">
        <v>5938</v>
      </c>
      <c r="I1318" s="30" t="s">
        <v>476</v>
      </c>
      <c r="J1318" s="30" t="s">
        <v>476</v>
      </c>
      <c r="K1318" s="31" t="s">
        <v>47</v>
      </c>
      <c r="L1318" s="32"/>
      <c r="M1318" s="33"/>
      <c r="N1318" s="30" t="s">
        <v>48</v>
      </c>
      <c r="O1318" s="1" t="n">
        <f aca="false">IF($B1318="",0,IF(AND(OR(Filter!$B$5="(alle)",$N1318=Filter!$B$5),OR(Filter!$E$5="(alle)",$K1318=Filter!$E$5),OR(Filter!$H$5="(alle)",$C1318=Filter!$H$5),OR(Filter!$B$7="(alle)",$E1318=Filter!$B$7),OR(Filter!$E$7="(alle)",ISNUMBER(SEARCH(Filter!$E$7,$J1318))),OR(Filter!$H$7="(alle)",ISNUMBER(SEARCH(Filter!$H$7,$I1318))),OR(Filter!$B$9="",ISNUMBER(SEARCH(Filter!$B$9,$F1318&amp;" "&amp;$G1318)))),COUNTIF($O$6:$O1317,"&gt;0")+1,0))</f>
        <v>1312</v>
      </c>
    </row>
    <row r="1319" customFormat="false" ht="51" hidden="false" customHeight="true" outlineLevel="0" collapsed="false">
      <c r="B1319" s="30" t="s">
        <v>5972</v>
      </c>
      <c r="C1319" s="30" t="s">
        <v>268</v>
      </c>
      <c r="D1319" s="30" t="s">
        <v>5973</v>
      </c>
      <c r="E1319" s="30" t="s">
        <v>155</v>
      </c>
      <c r="F1319" s="30" t="s">
        <v>5974</v>
      </c>
      <c r="G1319" s="30" t="s">
        <v>5974</v>
      </c>
      <c r="H1319" s="30" t="s">
        <v>5938</v>
      </c>
      <c r="I1319" s="30" t="s">
        <v>476</v>
      </c>
      <c r="J1319" s="30" t="s">
        <v>476</v>
      </c>
      <c r="K1319" s="31" t="s">
        <v>47</v>
      </c>
      <c r="L1319" s="32"/>
      <c r="M1319" s="33"/>
      <c r="N1319" s="30" t="s">
        <v>48</v>
      </c>
      <c r="O1319" s="1" t="n">
        <f aca="false">IF($B1319="",0,IF(AND(OR(Filter!$B$5="(alle)",$N1319=Filter!$B$5),OR(Filter!$E$5="(alle)",$K1319=Filter!$E$5),OR(Filter!$H$5="(alle)",$C1319=Filter!$H$5),OR(Filter!$B$7="(alle)",$E1319=Filter!$B$7),OR(Filter!$E$7="(alle)",ISNUMBER(SEARCH(Filter!$E$7,$J1319))),OR(Filter!$H$7="(alle)",ISNUMBER(SEARCH(Filter!$H$7,$I1319))),OR(Filter!$B$9="",ISNUMBER(SEARCH(Filter!$B$9,$F1319&amp;" "&amp;$G1319)))),COUNTIF($O$6:$O1318,"&gt;0")+1,0))</f>
        <v>1313</v>
      </c>
    </row>
    <row r="1320" customFormat="false" ht="51" hidden="false" customHeight="true" outlineLevel="0" collapsed="false">
      <c r="B1320" s="30" t="s">
        <v>5975</v>
      </c>
      <c r="C1320" s="30" t="s">
        <v>268</v>
      </c>
      <c r="D1320" s="30" t="s">
        <v>5976</v>
      </c>
      <c r="E1320" s="30" t="s">
        <v>355</v>
      </c>
      <c r="F1320" s="30" t="s">
        <v>5977</v>
      </c>
      <c r="G1320" s="30" t="s">
        <v>5977</v>
      </c>
      <c r="H1320" s="30" t="s">
        <v>5943</v>
      </c>
      <c r="I1320" s="30" t="s">
        <v>306</v>
      </c>
      <c r="J1320" s="30" t="s">
        <v>206</v>
      </c>
      <c r="K1320" s="31" t="s">
        <v>47</v>
      </c>
      <c r="L1320" s="32"/>
      <c r="M1320" s="33"/>
      <c r="N1320" s="30" t="s">
        <v>48</v>
      </c>
      <c r="O1320" s="1" t="n">
        <f aca="false">IF($B1320="",0,IF(AND(OR(Filter!$B$5="(alle)",$N1320=Filter!$B$5),OR(Filter!$E$5="(alle)",$K1320=Filter!$E$5),OR(Filter!$H$5="(alle)",$C1320=Filter!$H$5),OR(Filter!$B$7="(alle)",$E1320=Filter!$B$7),OR(Filter!$E$7="(alle)",ISNUMBER(SEARCH(Filter!$E$7,$J1320))),OR(Filter!$H$7="(alle)",ISNUMBER(SEARCH(Filter!$H$7,$I1320))),OR(Filter!$B$9="",ISNUMBER(SEARCH(Filter!$B$9,$F1320&amp;" "&amp;$G1320)))),COUNTIF($O$6:$O1319,"&gt;0")+1,0))</f>
        <v>1314</v>
      </c>
    </row>
    <row r="1321" customFormat="false" ht="51" hidden="false" customHeight="true" outlineLevel="0" collapsed="false">
      <c r="B1321" s="30" t="s">
        <v>5978</v>
      </c>
      <c r="C1321" s="30" t="s">
        <v>268</v>
      </c>
      <c r="D1321" s="30" t="s">
        <v>5979</v>
      </c>
      <c r="E1321" s="30" t="s">
        <v>355</v>
      </c>
      <c r="F1321" s="30" t="s">
        <v>5980</v>
      </c>
      <c r="G1321" s="30" t="s">
        <v>5981</v>
      </c>
      <c r="H1321" s="30" t="s">
        <v>5982</v>
      </c>
      <c r="I1321" s="30" t="s">
        <v>306</v>
      </c>
      <c r="J1321" s="30" t="s">
        <v>206</v>
      </c>
      <c r="K1321" s="31" t="s">
        <v>47</v>
      </c>
      <c r="L1321" s="32"/>
      <c r="M1321" s="33"/>
      <c r="N1321" s="30" t="s">
        <v>48</v>
      </c>
      <c r="O1321" s="1" t="n">
        <f aca="false">IF($B1321="",0,IF(AND(OR(Filter!$B$5="(alle)",$N1321=Filter!$B$5),OR(Filter!$E$5="(alle)",$K1321=Filter!$E$5),OR(Filter!$H$5="(alle)",$C1321=Filter!$H$5),OR(Filter!$B$7="(alle)",$E1321=Filter!$B$7),OR(Filter!$E$7="(alle)",ISNUMBER(SEARCH(Filter!$E$7,$J1321))),OR(Filter!$H$7="(alle)",ISNUMBER(SEARCH(Filter!$H$7,$I1321))),OR(Filter!$B$9="",ISNUMBER(SEARCH(Filter!$B$9,$F1321&amp;" "&amp;$G1321)))),COUNTIF($O$6:$O1320,"&gt;0")+1,0))</f>
        <v>1315</v>
      </c>
    </row>
    <row r="1322" customFormat="false" ht="51" hidden="false" customHeight="true" outlineLevel="0" collapsed="false">
      <c r="B1322" s="30" t="s">
        <v>5983</v>
      </c>
      <c r="C1322" s="30" t="s">
        <v>268</v>
      </c>
      <c r="D1322" s="30" t="s">
        <v>5984</v>
      </c>
      <c r="E1322" s="30" t="s">
        <v>355</v>
      </c>
      <c r="F1322" s="30" t="s">
        <v>5985</v>
      </c>
      <c r="G1322" s="30" t="s">
        <v>5986</v>
      </c>
      <c r="H1322" s="30" t="s">
        <v>5982</v>
      </c>
      <c r="I1322" s="30" t="s">
        <v>3700</v>
      </c>
      <c r="J1322" s="30" t="s">
        <v>159</v>
      </c>
      <c r="K1322" s="31" t="s">
        <v>47</v>
      </c>
      <c r="L1322" s="32"/>
      <c r="M1322" s="33"/>
      <c r="N1322" s="30" t="s">
        <v>48</v>
      </c>
      <c r="O1322" s="1" t="n">
        <f aca="false">IF($B1322="",0,IF(AND(OR(Filter!$B$5="(alle)",$N1322=Filter!$B$5),OR(Filter!$E$5="(alle)",$K1322=Filter!$E$5),OR(Filter!$H$5="(alle)",$C1322=Filter!$H$5),OR(Filter!$B$7="(alle)",$E1322=Filter!$B$7),OR(Filter!$E$7="(alle)",ISNUMBER(SEARCH(Filter!$E$7,$J1322))),OR(Filter!$H$7="(alle)",ISNUMBER(SEARCH(Filter!$H$7,$I1322))),OR(Filter!$B$9="",ISNUMBER(SEARCH(Filter!$B$9,$F1322&amp;" "&amp;$G1322)))),COUNTIF($O$6:$O1321,"&gt;0")+1,0))</f>
        <v>1316</v>
      </c>
    </row>
    <row r="1323" customFormat="false" ht="51" hidden="false" customHeight="true" outlineLevel="0" collapsed="false">
      <c r="B1323" s="30" t="s">
        <v>5987</v>
      </c>
      <c r="C1323" s="30" t="s">
        <v>268</v>
      </c>
      <c r="D1323" s="30" t="s">
        <v>5988</v>
      </c>
      <c r="E1323" s="30" t="s">
        <v>361</v>
      </c>
      <c r="F1323" s="30" t="s">
        <v>5989</v>
      </c>
      <c r="G1323" s="30" t="s">
        <v>5989</v>
      </c>
      <c r="H1323" s="30" t="s">
        <v>5982</v>
      </c>
      <c r="I1323" s="30" t="s">
        <v>306</v>
      </c>
      <c r="J1323" s="30" t="s">
        <v>206</v>
      </c>
      <c r="K1323" s="31" t="s">
        <v>47</v>
      </c>
      <c r="L1323" s="32"/>
      <c r="M1323" s="33"/>
      <c r="N1323" s="30" t="s">
        <v>48</v>
      </c>
      <c r="O1323" s="1" t="n">
        <f aca="false">IF($B1323="",0,IF(AND(OR(Filter!$B$5="(alle)",$N1323=Filter!$B$5),OR(Filter!$E$5="(alle)",$K1323=Filter!$E$5),OR(Filter!$H$5="(alle)",$C1323=Filter!$H$5),OR(Filter!$B$7="(alle)",$E1323=Filter!$B$7),OR(Filter!$E$7="(alle)",ISNUMBER(SEARCH(Filter!$E$7,$J1323))),OR(Filter!$H$7="(alle)",ISNUMBER(SEARCH(Filter!$H$7,$I1323))),OR(Filter!$B$9="",ISNUMBER(SEARCH(Filter!$B$9,$F1323&amp;" "&amp;$G1323)))),COUNTIF($O$6:$O1322,"&gt;0")+1,0))</f>
        <v>1317</v>
      </c>
    </row>
    <row r="1324" customFormat="false" ht="51" hidden="false" customHeight="true" outlineLevel="0" collapsed="false">
      <c r="B1324" s="30" t="s">
        <v>5990</v>
      </c>
      <c r="C1324" s="30" t="s">
        <v>268</v>
      </c>
      <c r="D1324" s="30" t="s">
        <v>5991</v>
      </c>
      <c r="E1324" s="30" t="s">
        <v>155</v>
      </c>
      <c r="F1324" s="30" t="s">
        <v>5992</v>
      </c>
      <c r="G1324" s="30" t="s">
        <v>5992</v>
      </c>
      <c r="H1324" s="30" t="s">
        <v>5993</v>
      </c>
      <c r="I1324" s="30" t="s">
        <v>476</v>
      </c>
      <c r="J1324" s="30" t="s">
        <v>476</v>
      </c>
      <c r="K1324" s="31" t="s">
        <v>47</v>
      </c>
      <c r="L1324" s="32"/>
      <c r="M1324" s="33"/>
      <c r="N1324" s="30" t="s">
        <v>48</v>
      </c>
      <c r="O1324" s="1" t="n">
        <f aca="false">IF($B1324="",0,IF(AND(OR(Filter!$B$5="(alle)",$N1324=Filter!$B$5),OR(Filter!$E$5="(alle)",$K1324=Filter!$E$5),OR(Filter!$H$5="(alle)",$C1324=Filter!$H$5),OR(Filter!$B$7="(alle)",$E1324=Filter!$B$7),OR(Filter!$E$7="(alle)",ISNUMBER(SEARCH(Filter!$E$7,$J1324))),OR(Filter!$H$7="(alle)",ISNUMBER(SEARCH(Filter!$H$7,$I1324))),OR(Filter!$B$9="",ISNUMBER(SEARCH(Filter!$B$9,$F1324&amp;" "&amp;$G1324)))),COUNTIF($O$6:$O1323,"&gt;0")+1,0))</f>
        <v>1318</v>
      </c>
    </row>
    <row r="1325" customFormat="false" ht="51" hidden="false" customHeight="true" outlineLevel="0" collapsed="false">
      <c r="B1325" s="30" t="s">
        <v>5994</v>
      </c>
      <c r="C1325" s="30" t="s">
        <v>268</v>
      </c>
      <c r="D1325" s="30" t="s">
        <v>5995</v>
      </c>
      <c r="E1325" s="30" t="s">
        <v>210</v>
      </c>
      <c r="F1325" s="30" t="s">
        <v>5996</v>
      </c>
      <c r="G1325" s="30" t="s">
        <v>5997</v>
      </c>
      <c r="H1325" s="30" t="s">
        <v>5998</v>
      </c>
      <c r="I1325" s="30" t="s">
        <v>306</v>
      </c>
      <c r="J1325" s="30" t="s">
        <v>206</v>
      </c>
      <c r="K1325" s="31" t="s">
        <v>47</v>
      </c>
      <c r="L1325" s="32"/>
      <c r="M1325" s="33"/>
      <c r="N1325" s="30" t="s">
        <v>48</v>
      </c>
      <c r="O1325" s="1" t="n">
        <f aca="false">IF($B1325="",0,IF(AND(OR(Filter!$B$5="(alle)",$N1325=Filter!$B$5),OR(Filter!$E$5="(alle)",$K1325=Filter!$E$5),OR(Filter!$H$5="(alle)",$C1325=Filter!$H$5),OR(Filter!$B$7="(alle)",$E1325=Filter!$B$7),OR(Filter!$E$7="(alle)",ISNUMBER(SEARCH(Filter!$E$7,$J1325))),OR(Filter!$H$7="(alle)",ISNUMBER(SEARCH(Filter!$H$7,$I1325))),OR(Filter!$B$9="",ISNUMBER(SEARCH(Filter!$B$9,$F1325&amp;" "&amp;$G1325)))),COUNTIF($O$6:$O1324,"&gt;0")+1,0))</f>
        <v>1319</v>
      </c>
    </row>
    <row r="1326" customFormat="false" ht="51" hidden="false" customHeight="true" outlineLevel="0" collapsed="false">
      <c r="B1326" s="30" t="s">
        <v>5999</v>
      </c>
      <c r="C1326" s="30" t="s">
        <v>268</v>
      </c>
      <c r="D1326" s="30" t="s">
        <v>6000</v>
      </c>
      <c r="E1326" s="30" t="s">
        <v>155</v>
      </c>
      <c r="F1326" s="30" t="s">
        <v>6001</v>
      </c>
      <c r="G1326" s="30" t="s">
        <v>6001</v>
      </c>
      <c r="H1326" s="30" t="s">
        <v>6002</v>
      </c>
      <c r="I1326" s="30" t="s">
        <v>476</v>
      </c>
      <c r="J1326" s="30" t="s">
        <v>476</v>
      </c>
      <c r="K1326" s="31" t="s">
        <v>47</v>
      </c>
      <c r="L1326" s="32"/>
      <c r="M1326" s="33"/>
      <c r="N1326" s="30" t="s">
        <v>48</v>
      </c>
      <c r="O1326" s="1" t="n">
        <f aca="false">IF($B1326="",0,IF(AND(OR(Filter!$B$5="(alle)",$N1326=Filter!$B$5),OR(Filter!$E$5="(alle)",$K1326=Filter!$E$5),OR(Filter!$H$5="(alle)",$C1326=Filter!$H$5),OR(Filter!$B$7="(alle)",$E1326=Filter!$B$7),OR(Filter!$E$7="(alle)",ISNUMBER(SEARCH(Filter!$E$7,$J1326))),OR(Filter!$H$7="(alle)",ISNUMBER(SEARCH(Filter!$H$7,$I1326))),OR(Filter!$B$9="",ISNUMBER(SEARCH(Filter!$B$9,$F1326&amp;" "&amp;$G1326)))),COUNTIF($O$6:$O1325,"&gt;0")+1,0))</f>
        <v>1320</v>
      </c>
    </row>
    <row r="1327" customFormat="false" ht="51" hidden="false" customHeight="true" outlineLevel="0" collapsed="false">
      <c r="B1327" s="30" t="s">
        <v>6003</v>
      </c>
      <c r="C1327" s="30" t="s">
        <v>268</v>
      </c>
      <c r="D1327" s="30" t="s">
        <v>6004</v>
      </c>
      <c r="E1327" s="30" t="s">
        <v>190</v>
      </c>
      <c r="F1327" s="30" t="s">
        <v>6005</v>
      </c>
      <c r="G1327" s="30" t="s">
        <v>6006</v>
      </c>
      <c r="H1327" s="30" t="s">
        <v>5998</v>
      </c>
      <c r="I1327" s="30" t="s">
        <v>340</v>
      </c>
      <c r="J1327" s="30" t="s">
        <v>341</v>
      </c>
      <c r="K1327" s="31" t="s">
        <v>47</v>
      </c>
      <c r="L1327" s="32"/>
      <c r="M1327" s="33"/>
      <c r="N1327" s="30" t="s">
        <v>48</v>
      </c>
      <c r="O1327" s="1" t="n">
        <f aca="false">IF($B1327="",0,IF(AND(OR(Filter!$B$5="(alle)",$N1327=Filter!$B$5),OR(Filter!$E$5="(alle)",$K1327=Filter!$E$5),OR(Filter!$H$5="(alle)",$C1327=Filter!$H$5),OR(Filter!$B$7="(alle)",$E1327=Filter!$B$7),OR(Filter!$E$7="(alle)",ISNUMBER(SEARCH(Filter!$E$7,$J1327))),OR(Filter!$H$7="(alle)",ISNUMBER(SEARCH(Filter!$H$7,$I1327))),OR(Filter!$B$9="",ISNUMBER(SEARCH(Filter!$B$9,$F1327&amp;" "&amp;$G1327)))),COUNTIF($O$6:$O1326,"&gt;0")+1,0))</f>
        <v>1321</v>
      </c>
    </row>
    <row r="1328" customFormat="false" ht="51" hidden="false" customHeight="true" outlineLevel="0" collapsed="false">
      <c r="B1328" s="30" t="s">
        <v>6007</v>
      </c>
      <c r="C1328" s="30" t="s">
        <v>268</v>
      </c>
      <c r="D1328" s="30" t="s">
        <v>6008</v>
      </c>
      <c r="E1328" s="30" t="s">
        <v>547</v>
      </c>
      <c r="F1328" s="30" t="s">
        <v>6009</v>
      </c>
      <c r="G1328" s="30" t="s">
        <v>6010</v>
      </c>
      <c r="H1328" s="30" t="s">
        <v>6002</v>
      </c>
      <c r="I1328" s="30" t="s">
        <v>476</v>
      </c>
      <c r="J1328" s="30" t="s">
        <v>476</v>
      </c>
      <c r="K1328" s="31" t="s">
        <v>47</v>
      </c>
      <c r="L1328" s="32"/>
      <c r="M1328" s="33"/>
      <c r="N1328" s="30" t="s">
        <v>48</v>
      </c>
      <c r="O1328" s="1" t="n">
        <f aca="false">IF($B1328="",0,IF(AND(OR(Filter!$B$5="(alle)",$N1328=Filter!$B$5),OR(Filter!$E$5="(alle)",$K1328=Filter!$E$5),OR(Filter!$H$5="(alle)",$C1328=Filter!$H$5),OR(Filter!$B$7="(alle)",$E1328=Filter!$B$7),OR(Filter!$E$7="(alle)",ISNUMBER(SEARCH(Filter!$E$7,$J1328))),OR(Filter!$H$7="(alle)",ISNUMBER(SEARCH(Filter!$H$7,$I1328))),OR(Filter!$B$9="",ISNUMBER(SEARCH(Filter!$B$9,$F1328&amp;" "&amp;$G1328)))),COUNTIF($O$6:$O1327,"&gt;0")+1,0))</f>
        <v>1322</v>
      </c>
    </row>
    <row r="1329" customFormat="false" ht="51" hidden="false" customHeight="true" outlineLevel="0" collapsed="false">
      <c r="B1329" s="30" t="s">
        <v>6011</v>
      </c>
      <c r="C1329" s="30" t="s">
        <v>268</v>
      </c>
      <c r="D1329" s="30" t="s">
        <v>3911</v>
      </c>
      <c r="E1329" s="30" t="s">
        <v>155</v>
      </c>
      <c r="F1329" s="30" t="s">
        <v>6012</v>
      </c>
      <c r="G1329" s="30" t="s">
        <v>6013</v>
      </c>
      <c r="H1329" s="30" t="s">
        <v>6014</v>
      </c>
      <c r="I1329" s="30" t="s">
        <v>290</v>
      </c>
      <c r="J1329" s="30" t="s">
        <v>808</v>
      </c>
      <c r="K1329" s="31" t="s">
        <v>47</v>
      </c>
      <c r="L1329" s="32"/>
      <c r="M1329" s="33"/>
      <c r="N1329" s="30" t="s">
        <v>48</v>
      </c>
      <c r="O1329" s="1" t="n">
        <f aca="false">IF($B1329="",0,IF(AND(OR(Filter!$B$5="(alle)",$N1329=Filter!$B$5),OR(Filter!$E$5="(alle)",$K1329=Filter!$E$5),OR(Filter!$H$5="(alle)",$C1329=Filter!$H$5),OR(Filter!$B$7="(alle)",$E1329=Filter!$B$7),OR(Filter!$E$7="(alle)",ISNUMBER(SEARCH(Filter!$E$7,$J1329))),OR(Filter!$H$7="(alle)",ISNUMBER(SEARCH(Filter!$H$7,$I1329))),OR(Filter!$B$9="",ISNUMBER(SEARCH(Filter!$B$9,$F1329&amp;" "&amp;$G1329)))),COUNTIF($O$6:$O1328,"&gt;0")+1,0))</f>
        <v>1323</v>
      </c>
    </row>
    <row r="1330" customFormat="false" ht="51" hidden="false" customHeight="true" outlineLevel="0" collapsed="false">
      <c r="B1330" s="30" t="s">
        <v>6015</v>
      </c>
      <c r="C1330" s="30" t="s">
        <v>268</v>
      </c>
      <c r="D1330" s="30" t="s">
        <v>3915</v>
      </c>
      <c r="E1330" s="30" t="s">
        <v>270</v>
      </c>
      <c r="F1330" s="30" t="s">
        <v>6016</v>
      </c>
      <c r="G1330" s="30" t="s">
        <v>6016</v>
      </c>
      <c r="H1330" s="30" t="s">
        <v>6014</v>
      </c>
      <c r="I1330" s="30" t="s">
        <v>45</v>
      </c>
      <c r="J1330" s="30" t="s">
        <v>274</v>
      </c>
      <c r="K1330" s="31" t="s">
        <v>47</v>
      </c>
      <c r="L1330" s="32"/>
      <c r="M1330" s="33"/>
      <c r="N1330" s="30" t="s">
        <v>48</v>
      </c>
      <c r="O1330" s="1" t="n">
        <f aca="false">IF($B1330="",0,IF(AND(OR(Filter!$B$5="(alle)",$N1330=Filter!$B$5),OR(Filter!$E$5="(alle)",$K1330=Filter!$E$5),OR(Filter!$H$5="(alle)",$C1330=Filter!$H$5),OR(Filter!$B$7="(alle)",$E1330=Filter!$B$7),OR(Filter!$E$7="(alle)",ISNUMBER(SEARCH(Filter!$E$7,$J1330))),OR(Filter!$H$7="(alle)",ISNUMBER(SEARCH(Filter!$H$7,$I1330))),OR(Filter!$B$9="",ISNUMBER(SEARCH(Filter!$B$9,$F1330&amp;" "&amp;$G1330)))),COUNTIF($O$6:$O1329,"&gt;0")+1,0))</f>
        <v>1324</v>
      </c>
    </row>
    <row r="1331" customFormat="false" ht="51" hidden="false" customHeight="true" outlineLevel="0" collapsed="false">
      <c r="B1331" s="30" t="s">
        <v>6017</v>
      </c>
      <c r="C1331" s="30" t="s">
        <v>268</v>
      </c>
      <c r="D1331" s="30" t="s">
        <v>3920</v>
      </c>
      <c r="E1331" s="30" t="s">
        <v>155</v>
      </c>
      <c r="F1331" s="30" t="s">
        <v>6018</v>
      </c>
      <c r="G1331" s="30" t="s">
        <v>6018</v>
      </c>
      <c r="H1331" s="30" t="s">
        <v>6019</v>
      </c>
      <c r="I1331" s="30" t="s">
        <v>476</v>
      </c>
      <c r="J1331" s="30" t="s">
        <v>476</v>
      </c>
      <c r="K1331" s="31" t="s">
        <v>47</v>
      </c>
      <c r="L1331" s="32"/>
      <c r="M1331" s="33"/>
      <c r="N1331" s="30" t="s">
        <v>48</v>
      </c>
      <c r="O1331" s="1" t="n">
        <f aca="false">IF($B1331="",0,IF(AND(OR(Filter!$B$5="(alle)",$N1331=Filter!$B$5),OR(Filter!$E$5="(alle)",$K1331=Filter!$E$5),OR(Filter!$H$5="(alle)",$C1331=Filter!$H$5),OR(Filter!$B$7="(alle)",$E1331=Filter!$B$7),OR(Filter!$E$7="(alle)",ISNUMBER(SEARCH(Filter!$E$7,$J1331))),OR(Filter!$H$7="(alle)",ISNUMBER(SEARCH(Filter!$H$7,$I1331))),OR(Filter!$B$9="",ISNUMBER(SEARCH(Filter!$B$9,$F1331&amp;" "&amp;$G1331)))),COUNTIF($O$6:$O1330,"&gt;0")+1,0))</f>
        <v>1325</v>
      </c>
    </row>
    <row r="1332" customFormat="false" ht="51" hidden="false" customHeight="true" outlineLevel="0" collapsed="false">
      <c r="B1332" s="30" t="s">
        <v>6020</v>
      </c>
      <c r="C1332" s="30" t="s">
        <v>268</v>
      </c>
      <c r="D1332" s="30" t="s">
        <v>3924</v>
      </c>
      <c r="E1332" s="30" t="s">
        <v>270</v>
      </c>
      <c r="F1332" s="30" t="s">
        <v>6021</v>
      </c>
      <c r="G1332" s="30" t="s">
        <v>6022</v>
      </c>
      <c r="H1332" s="30" t="s">
        <v>6014</v>
      </c>
      <c r="I1332" s="30" t="s">
        <v>98</v>
      </c>
      <c r="J1332" s="30" t="s">
        <v>6023</v>
      </c>
      <c r="K1332" s="31" t="s">
        <v>47</v>
      </c>
      <c r="L1332" s="32"/>
      <c r="M1332" s="33"/>
      <c r="N1332" s="30" t="s">
        <v>48</v>
      </c>
      <c r="O1332" s="1" t="n">
        <f aca="false">IF($B1332="",0,IF(AND(OR(Filter!$B$5="(alle)",$N1332=Filter!$B$5),OR(Filter!$E$5="(alle)",$K1332=Filter!$E$5),OR(Filter!$H$5="(alle)",$C1332=Filter!$H$5),OR(Filter!$B$7="(alle)",$E1332=Filter!$B$7),OR(Filter!$E$7="(alle)",ISNUMBER(SEARCH(Filter!$E$7,$J1332))),OR(Filter!$H$7="(alle)",ISNUMBER(SEARCH(Filter!$H$7,$I1332))),OR(Filter!$B$9="",ISNUMBER(SEARCH(Filter!$B$9,$F1332&amp;" "&amp;$G1332)))),COUNTIF($O$6:$O1331,"&gt;0")+1,0))</f>
        <v>1326</v>
      </c>
    </row>
    <row r="1333" customFormat="false" ht="51" hidden="false" customHeight="true" outlineLevel="0" collapsed="false">
      <c r="B1333" s="30" t="s">
        <v>6024</v>
      </c>
      <c r="C1333" s="30" t="s">
        <v>268</v>
      </c>
      <c r="D1333" s="30" t="s">
        <v>3927</v>
      </c>
      <c r="E1333" s="30" t="s">
        <v>270</v>
      </c>
      <c r="F1333" s="30" t="s">
        <v>6025</v>
      </c>
      <c r="G1333" s="30" t="s">
        <v>6026</v>
      </c>
      <c r="H1333" s="30" t="s">
        <v>6014</v>
      </c>
      <c r="I1333" s="30" t="s">
        <v>98</v>
      </c>
      <c r="J1333" s="30" t="s">
        <v>6023</v>
      </c>
      <c r="K1333" s="31" t="s">
        <v>47</v>
      </c>
      <c r="L1333" s="32"/>
      <c r="M1333" s="33"/>
      <c r="N1333" s="30" t="s">
        <v>48</v>
      </c>
      <c r="O1333" s="1" t="n">
        <f aca="false">IF($B1333="",0,IF(AND(OR(Filter!$B$5="(alle)",$N1333=Filter!$B$5),OR(Filter!$E$5="(alle)",$K1333=Filter!$E$5),OR(Filter!$H$5="(alle)",$C1333=Filter!$H$5),OR(Filter!$B$7="(alle)",$E1333=Filter!$B$7),OR(Filter!$E$7="(alle)",ISNUMBER(SEARCH(Filter!$E$7,$J1333))),OR(Filter!$H$7="(alle)",ISNUMBER(SEARCH(Filter!$H$7,$I1333))),OR(Filter!$B$9="",ISNUMBER(SEARCH(Filter!$B$9,$F1333&amp;" "&amp;$G1333)))),COUNTIF($O$6:$O1332,"&gt;0")+1,0))</f>
        <v>1327</v>
      </c>
    </row>
    <row r="1334" customFormat="false" ht="51" hidden="false" customHeight="true" outlineLevel="0" collapsed="false">
      <c r="B1334" s="30" t="s">
        <v>6027</v>
      </c>
      <c r="C1334" s="30" t="s">
        <v>268</v>
      </c>
      <c r="D1334" s="30" t="s">
        <v>3931</v>
      </c>
      <c r="E1334" s="30" t="s">
        <v>270</v>
      </c>
      <c r="F1334" s="30" t="s">
        <v>6028</v>
      </c>
      <c r="G1334" s="30" t="s">
        <v>6029</v>
      </c>
      <c r="H1334" s="30" t="s">
        <v>6014</v>
      </c>
      <c r="I1334" s="30" t="s">
        <v>98</v>
      </c>
      <c r="J1334" s="30" t="s">
        <v>6023</v>
      </c>
      <c r="K1334" s="31" t="s">
        <v>47</v>
      </c>
      <c r="L1334" s="32"/>
      <c r="M1334" s="33"/>
      <c r="N1334" s="30" t="s">
        <v>48</v>
      </c>
      <c r="O1334" s="1" t="n">
        <f aca="false">IF($B1334="",0,IF(AND(OR(Filter!$B$5="(alle)",$N1334=Filter!$B$5),OR(Filter!$E$5="(alle)",$K1334=Filter!$E$5),OR(Filter!$H$5="(alle)",$C1334=Filter!$H$5),OR(Filter!$B$7="(alle)",$E1334=Filter!$B$7),OR(Filter!$E$7="(alle)",ISNUMBER(SEARCH(Filter!$E$7,$J1334))),OR(Filter!$H$7="(alle)",ISNUMBER(SEARCH(Filter!$H$7,$I1334))),OR(Filter!$B$9="",ISNUMBER(SEARCH(Filter!$B$9,$F1334&amp;" "&amp;$G1334)))),COUNTIF($O$6:$O1333,"&gt;0")+1,0))</f>
        <v>1328</v>
      </c>
    </row>
    <row r="1335" customFormat="false" ht="51" hidden="false" customHeight="true" outlineLevel="0" collapsed="false">
      <c r="B1335" s="30" t="s">
        <v>6030</v>
      </c>
      <c r="C1335" s="30" t="s">
        <v>268</v>
      </c>
      <c r="D1335" s="30" t="s">
        <v>3935</v>
      </c>
      <c r="E1335" s="30" t="s">
        <v>155</v>
      </c>
      <c r="F1335" s="30" t="s">
        <v>6031</v>
      </c>
      <c r="G1335" s="30" t="s">
        <v>6032</v>
      </c>
      <c r="H1335" s="30" t="s">
        <v>6014</v>
      </c>
      <c r="I1335" s="30" t="s">
        <v>290</v>
      </c>
      <c r="J1335" s="30" t="s">
        <v>808</v>
      </c>
      <c r="K1335" s="31" t="s">
        <v>47</v>
      </c>
      <c r="L1335" s="32"/>
      <c r="M1335" s="33"/>
      <c r="N1335" s="30" t="s">
        <v>48</v>
      </c>
      <c r="O1335" s="1" t="n">
        <f aca="false">IF($B1335="",0,IF(AND(OR(Filter!$B$5="(alle)",$N1335=Filter!$B$5),OR(Filter!$E$5="(alle)",$K1335=Filter!$E$5),OR(Filter!$H$5="(alle)",$C1335=Filter!$H$5),OR(Filter!$B$7="(alle)",$E1335=Filter!$B$7),OR(Filter!$E$7="(alle)",ISNUMBER(SEARCH(Filter!$E$7,$J1335))),OR(Filter!$H$7="(alle)",ISNUMBER(SEARCH(Filter!$H$7,$I1335))),OR(Filter!$B$9="",ISNUMBER(SEARCH(Filter!$B$9,$F1335&amp;" "&amp;$G1335)))),COUNTIF($O$6:$O1334,"&gt;0")+1,0))</f>
        <v>1329</v>
      </c>
    </row>
    <row r="1336" customFormat="false" ht="51" hidden="false" customHeight="true" outlineLevel="0" collapsed="false">
      <c r="B1336" s="30" t="s">
        <v>6033</v>
      </c>
      <c r="C1336" s="30" t="s">
        <v>268</v>
      </c>
      <c r="D1336" s="30" t="s">
        <v>3939</v>
      </c>
      <c r="E1336" s="30" t="s">
        <v>155</v>
      </c>
      <c r="F1336" s="30" t="s">
        <v>6034</v>
      </c>
      <c r="G1336" s="30" t="s">
        <v>6035</v>
      </c>
      <c r="H1336" s="30" t="s">
        <v>6019</v>
      </c>
      <c r="I1336" s="30" t="s">
        <v>476</v>
      </c>
      <c r="J1336" s="30" t="s">
        <v>476</v>
      </c>
      <c r="K1336" s="31" t="s">
        <v>47</v>
      </c>
      <c r="L1336" s="32"/>
      <c r="M1336" s="33"/>
      <c r="N1336" s="30" t="s">
        <v>48</v>
      </c>
      <c r="O1336" s="1" t="n">
        <f aca="false">IF($B1336="",0,IF(AND(OR(Filter!$B$5="(alle)",$N1336=Filter!$B$5),OR(Filter!$E$5="(alle)",$K1336=Filter!$E$5),OR(Filter!$H$5="(alle)",$C1336=Filter!$H$5),OR(Filter!$B$7="(alle)",$E1336=Filter!$B$7),OR(Filter!$E$7="(alle)",ISNUMBER(SEARCH(Filter!$E$7,$J1336))),OR(Filter!$H$7="(alle)",ISNUMBER(SEARCH(Filter!$H$7,$I1336))),OR(Filter!$B$9="",ISNUMBER(SEARCH(Filter!$B$9,$F1336&amp;" "&amp;$G1336)))),COUNTIF($O$6:$O1335,"&gt;0")+1,0))</f>
        <v>1330</v>
      </c>
    </row>
    <row r="1337" customFormat="false" ht="51" hidden="false" customHeight="true" outlineLevel="0" collapsed="false">
      <c r="B1337" s="30" t="s">
        <v>6036</v>
      </c>
      <c r="C1337" s="30" t="s">
        <v>268</v>
      </c>
      <c r="D1337" s="30" t="s">
        <v>3943</v>
      </c>
      <c r="E1337" s="30" t="s">
        <v>270</v>
      </c>
      <c r="F1337" s="30" t="s">
        <v>6037</v>
      </c>
      <c r="G1337" s="30" t="s">
        <v>6038</v>
      </c>
      <c r="H1337" s="30" t="s">
        <v>6014</v>
      </c>
      <c r="I1337" s="30" t="s">
        <v>98</v>
      </c>
      <c r="J1337" s="30" t="s">
        <v>6023</v>
      </c>
      <c r="K1337" s="31" t="s">
        <v>47</v>
      </c>
      <c r="L1337" s="32"/>
      <c r="M1337" s="33"/>
      <c r="N1337" s="30" t="s">
        <v>48</v>
      </c>
      <c r="O1337" s="1" t="n">
        <f aca="false">IF($B1337="",0,IF(AND(OR(Filter!$B$5="(alle)",$N1337=Filter!$B$5),OR(Filter!$E$5="(alle)",$K1337=Filter!$E$5),OR(Filter!$H$5="(alle)",$C1337=Filter!$H$5),OR(Filter!$B$7="(alle)",$E1337=Filter!$B$7),OR(Filter!$E$7="(alle)",ISNUMBER(SEARCH(Filter!$E$7,$J1337))),OR(Filter!$H$7="(alle)",ISNUMBER(SEARCH(Filter!$H$7,$I1337))),OR(Filter!$B$9="",ISNUMBER(SEARCH(Filter!$B$9,$F1337&amp;" "&amp;$G1337)))),COUNTIF($O$6:$O1336,"&gt;0")+1,0))</f>
        <v>1331</v>
      </c>
    </row>
    <row r="1338" customFormat="false" ht="51" hidden="false" customHeight="true" outlineLevel="0" collapsed="false">
      <c r="B1338" s="30" t="s">
        <v>6039</v>
      </c>
      <c r="C1338" s="30" t="s">
        <v>280</v>
      </c>
      <c r="D1338" s="30" t="s">
        <v>3648</v>
      </c>
      <c r="E1338" s="30" t="s">
        <v>361</v>
      </c>
      <c r="F1338" s="30" t="s">
        <v>6040</v>
      </c>
      <c r="G1338" s="30" t="s">
        <v>6041</v>
      </c>
      <c r="H1338" s="30" t="s">
        <v>6042</v>
      </c>
      <c r="I1338" s="30" t="s">
        <v>306</v>
      </c>
      <c r="J1338" s="30" t="s">
        <v>206</v>
      </c>
      <c r="K1338" s="31" t="s">
        <v>47</v>
      </c>
      <c r="L1338" s="32"/>
      <c r="M1338" s="33"/>
      <c r="N1338" s="30" t="s">
        <v>48</v>
      </c>
      <c r="O1338" s="1" t="n">
        <f aca="false">IF($B1338="",0,IF(AND(OR(Filter!$B$5="(alle)",$N1338=Filter!$B$5),OR(Filter!$E$5="(alle)",$K1338=Filter!$E$5),OR(Filter!$H$5="(alle)",$C1338=Filter!$H$5),OR(Filter!$B$7="(alle)",$E1338=Filter!$B$7),OR(Filter!$E$7="(alle)",ISNUMBER(SEARCH(Filter!$E$7,$J1338))),OR(Filter!$H$7="(alle)",ISNUMBER(SEARCH(Filter!$H$7,$I1338))),OR(Filter!$B$9="",ISNUMBER(SEARCH(Filter!$B$9,$F1338&amp;" "&amp;$G1338)))),COUNTIF($O$6:$O1337,"&gt;0")+1,0))</f>
        <v>1332</v>
      </c>
    </row>
    <row r="1339" customFormat="false" ht="51" hidden="false" customHeight="true" outlineLevel="0" collapsed="false">
      <c r="B1339" s="30" t="s">
        <v>6043</v>
      </c>
      <c r="C1339" s="30" t="s">
        <v>280</v>
      </c>
      <c r="D1339" s="30" t="s">
        <v>3662</v>
      </c>
      <c r="E1339" s="30" t="s">
        <v>344</v>
      </c>
      <c r="F1339" s="30" t="s">
        <v>6044</v>
      </c>
      <c r="G1339" s="30" t="s">
        <v>6044</v>
      </c>
      <c r="H1339" s="30" t="s">
        <v>6042</v>
      </c>
      <c r="I1339" s="30" t="s">
        <v>306</v>
      </c>
      <c r="J1339" s="30" t="s">
        <v>206</v>
      </c>
      <c r="K1339" s="31" t="s">
        <v>47</v>
      </c>
      <c r="L1339" s="32"/>
      <c r="M1339" s="33"/>
      <c r="N1339" s="30" t="s">
        <v>48</v>
      </c>
      <c r="O1339" s="1" t="n">
        <f aca="false">IF($B1339="",0,IF(AND(OR(Filter!$B$5="(alle)",$N1339=Filter!$B$5),OR(Filter!$E$5="(alle)",$K1339=Filter!$E$5),OR(Filter!$H$5="(alle)",$C1339=Filter!$H$5),OR(Filter!$B$7="(alle)",$E1339=Filter!$B$7),OR(Filter!$E$7="(alle)",ISNUMBER(SEARCH(Filter!$E$7,$J1339))),OR(Filter!$H$7="(alle)",ISNUMBER(SEARCH(Filter!$H$7,$I1339))),OR(Filter!$B$9="",ISNUMBER(SEARCH(Filter!$B$9,$F1339&amp;" "&amp;$G1339)))),COUNTIF($O$6:$O1338,"&gt;0")+1,0))</f>
        <v>1333</v>
      </c>
    </row>
    <row r="1340" customFormat="false" ht="51" hidden="false" customHeight="true" outlineLevel="0" collapsed="false">
      <c r="B1340" s="30" t="s">
        <v>6045</v>
      </c>
      <c r="C1340" s="30" t="s">
        <v>280</v>
      </c>
      <c r="D1340" s="30" t="s">
        <v>5706</v>
      </c>
      <c r="E1340" s="30" t="s">
        <v>361</v>
      </c>
      <c r="F1340" s="30" t="s">
        <v>6046</v>
      </c>
      <c r="G1340" s="30" t="s">
        <v>6047</v>
      </c>
      <c r="H1340" s="30" t="s">
        <v>6048</v>
      </c>
      <c r="I1340" s="30" t="s">
        <v>306</v>
      </c>
      <c r="J1340" s="30" t="s">
        <v>206</v>
      </c>
      <c r="K1340" s="31" t="s">
        <v>47</v>
      </c>
      <c r="L1340" s="32"/>
      <c r="M1340" s="33"/>
      <c r="N1340" s="30" t="s">
        <v>48</v>
      </c>
      <c r="O1340" s="1" t="n">
        <f aca="false">IF($B1340="",0,IF(AND(OR(Filter!$B$5="(alle)",$N1340=Filter!$B$5),OR(Filter!$E$5="(alle)",$K1340=Filter!$E$5),OR(Filter!$H$5="(alle)",$C1340=Filter!$H$5),OR(Filter!$B$7="(alle)",$E1340=Filter!$B$7),OR(Filter!$E$7="(alle)",ISNUMBER(SEARCH(Filter!$E$7,$J1340))),OR(Filter!$H$7="(alle)",ISNUMBER(SEARCH(Filter!$H$7,$I1340))),OR(Filter!$B$9="",ISNUMBER(SEARCH(Filter!$B$9,$F1340&amp;" "&amp;$G1340)))),COUNTIF($O$6:$O1339,"&gt;0")+1,0))</f>
        <v>1334</v>
      </c>
    </row>
    <row r="1341" customFormat="false" ht="51" hidden="false" customHeight="true" outlineLevel="0" collapsed="false">
      <c r="B1341" s="30" t="s">
        <v>6049</v>
      </c>
      <c r="C1341" s="30" t="s">
        <v>280</v>
      </c>
      <c r="D1341" s="30" t="s">
        <v>5710</v>
      </c>
      <c r="E1341" s="30" t="s">
        <v>604</v>
      </c>
      <c r="F1341" s="30" t="s">
        <v>6050</v>
      </c>
      <c r="G1341" s="30" t="s">
        <v>6051</v>
      </c>
      <c r="H1341" s="30" t="s">
        <v>6048</v>
      </c>
      <c r="I1341" s="30" t="s">
        <v>3847</v>
      </c>
      <c r="J1341" s="30" t="s">
        <v>2121</v>
      </c>
      <c r="K1341" s="31" t="s">
        <v>47</v>
      </c>
      <c r="L1341" s="32"/>
      <c r="M1341" s="33"/>
      <c r="N1341" s="30" t="s">
        <v>48</v>
      </c>
      <c r="O1341" s="1" t="n">
        <f aca="false">IF($B1341="",0,IF(AND(OR(Filter!$B$5="(alle)",$N1341=Filter!$B$5),OR(Filter!$E$5="(alle)",$K1341=Filter!$E$5),OR(Filter!$H$5="(alle)",$C1341=Filter!$H$5),OR(Filter!$B$7="(alle)",$E1341=Filter!$B$7),OR(Filter!$E$7="(alle)",ISNUMBER(SEARCH(Filter!$E$7,$J1341))),OR(Filter!$H$7="(alle)",ISNUMBER(SEARCH(Filter!$H$7,$I1341))),OR(Filter!$B$9="",ISNUMBER(SEARCH(Filter!$B$9,$F1341&amp;" "&amp;$G1341)))),COUNTIF($O$6:$O1340,"&gt;0")+1,0))</f>
        <v>1335</v>
      </c>
    </row>
    <row r="1342" customFormat="false" ht="51" hidden="false" customHeight="true" outlineLevel="0" collapsed="false">
      <c r="B1342" s="30" t="s">
        <v>6052</v>
      </c>
      <c r="C1342" s="30" t="s">
        <v>280</v>
      </c>
      <c r="D1342" s="30" t="s">
        <v>6053</v>
      </c>
      <c r="E1342" s="30" t="s">
        <v>361</v>
      </c>
      <c r="F1342" s="30" t="s">
        <v>6054</v>
      </c>
      <c r="G1342" s="30" t="s">
        <v>6055</v>
      </c>
      <c r="H1342" s="30" t="s">
        <v>6048</v>
      </c>
      <c r="I1342" s="30" t="s">
        <v>3700</v>
      </c>
      <c r="J1342" s="30" t="s">
        <v>159</v>
      </c>
      <c r="K1342" s="31" t="s">
        <v>47</v>
      </c>
      <c r="L1342" s="32"/>
      <c r="M1342" s="33"/>
      <c r="N1342" s="30" t="s">
        <v>48</v>
      </c>
      <c r="O1342" s="1" t="n">
        <f aca="false">IF($B1342="",0,IF(AND(OR(Filter!$B$5="(alle)",$N1342=Filter!$B$5),OR(Filter!$E$5="(alle)",$K1342=Filter!$E$5),OR(Filter!$H$5="(alle)",$C1342=Filter!$H$5),OR(Filter!$B$7="(alle)",$E1342=Filter!$B$7),OR(Filter!$E$7="(alle)",ISNUMBER(SEARCH(Filter!$E$7,$J1342))),OR(Filter!$H$7="(alle)",ISNUMBER(SEARCH(Filter!$H$7,$I1342))),OR(Filter!$B$9="",ISNUMBER(SEARCH(Filter!$B$9,$F1342&amp;" "&amp;$G1342)))),COUNTIF($O$6:$O1341,"&gt;0")+1,0))</f>
        <v>1336</v>
      </c>
    </row>
    <row r="1343" customFormat="false" ht="51" hidden="false" customHeight="true" outlineLevel="0" collapsed="false">
      <c r="B1343" s="30" t="s">
        <v>6056</v>
      </c>
      <c r="C1343" s="30" t="s">
        <v>280</v>
      </c>
      <c r="D1343" s="30" t="s">
        <v>6057</v>
      </c>
      <c r="E1343" s="30" t="s">
        <v>361</v>
      </c>
      <c r="F1343" s="30" t="s">
        <v>6058</v>
      </c>
      <c r="G1343" s="30" t="s">
        <v>6059</v>
      </c>
      <c r="H1343" s="30" t="s">
        <v>6048</v>
      </c>
      <c r="I1343" s="30" t="s">
        <v>306</v>
      </c>
      <c r="J1343" s="30" t="s">
        <v>206</v>
      </c>
      <c r="K1343" s="31" t="s">
        <v>47</v>
      </c>
      <c r="L1343" s="32"/>
      <c r="M1343" s="33"/>
      <c r="N1343" s="30" t="s">
        <v>48</v>
      </c>
      <c r="O1343" s="1" t="n">
        <f aca="false">IF($B1343="",0,IF(AND(OR(Filter!$B$5="(alle)",$N1343=Filter!$B$5),OR(Filter!$E$5="(alle)",$K1343=Filter!$E$5),OR(Filter!$H$5="(alle)",$C1343=Filter!$H$5),OR(Filter!$B$7="(alle)",$E1343=Filter!$B$7),OR(Filter!$E$7="(alle)",ISNUMBER(SEARCH(Filter!$E$7,$J1343))),OR(Filter!$H$7="(alle)",ISNUMBER(SEARCH(Filter!$H$7,$I1343))),OR(Filter!$B$9="",ISNUMBER(SEARCH(Filter!$B$9,$F1343&amp;" "&amp;$G1343)))),COUNTIF($O$6:$O1342,"&gt;0")+1,0))</f>
        <v>1337</v>
      </c>
    </row>
    <row r="1344" customFormat="false" ht="51" hidden="false" customHeight="true" outlineLevel="0" collapsed="false">
      <c r="B1344" s="30" t="s">
        <v>6060</v>
      </c>
      <c r="C1344" s="30" t="s">
        <v>280</v>
      </c>
      <c r="D1344" s="30" t="s">
        <v>6061</v>
      </c>
      <c r="E1344" s="30" t="s">
        <v>361</v>
      </c>
      <c r="F1344" s="30" t="s">
        <v>6062</v>
      </c>
      <c r="G1344" s="30" t="s">
        <v>6063</v>
      </c>
      <c r="H1344" s="30" t="s">
        <v>6048</v>
      </c>
      <c r="I1344" s="30" t="s">
        <v>3700</v>
      </c>
      <c r="J1344" s="30" t="s">
        <v>159</v>
      </c>
      <c r="K1344" s="31" t="s">
        <v>47</v>
      </c>
      <c r="L1344" s="32"/>
      <c r="M1344" s="33"/>
      <c r="N1344" s="30" t="s">
        <v>48</v>
      </c>
      <c r="O1344" s="1" t="n">
        <f aca="false">IF($B1344="",0,IF(AND(OR(Filter!$B$5="(alle)",$N1344=Filter!$B$5),OR(Filter!$E$5="(alle)",$K1344=Filter!$E$5),OR(Filter!$H$5="(alle)",$C1344=Filter!$H$5),OR(Filter!$B$7="(alle)",$E1344=Filter!$B$7),OR(Filter!$E$7="(alle)",ISNUMBER(SEARCH(Filter!$E$7,$J1344))),OR(Filter!$H$7="(alle)",ISNUMBER(SEARCH(Filter!$H$7,$I1344))),OR(Filter!$B$9="",ISNUMBER(SEARCH(Filter!$B$9,$F1344&amp;" "&amp;$G1344)))),COUNTIF($O$6:$O1343,"&gt;0")+1,0))</f>
        <v>1338</v>
      </c>
    </row>
    <row r="1345" customFormat="false" ht="51" hidden="false" customHeight="true" outlineLevel="0" collapsed="false">
      <c r="B1345" s="30" t="s">
        <v>6064</v>
      </c>
      <c r="C1345" s="30" t="s">
        <v>280</v>
      </c>
      <c r="D1345" s="30" t="s">
        <v>3671</v>
      </c>
      <c r="E1345" s="30" t="s">
        <v>361</v>
      </c>
      <c r="F1345" s="30" t="s">
        <v>6065</v>
      </c>
      <c r="G1345" s="30" t="s">
        <v>6066</v>
      </c>
      <c r="H1345" s="30" t="s">
        <v>6067</v>
      </c>
      <c r="I1345" s="30" t="s">
        <v>306</v>
      </c>
      <c r="J1345" s="30" t="s">
        <v>206</v>
      </c>
      <c r="K1345" s="31" t="s">
        <v>47</v>
      </c>
      <c r="L1345" s="32"/>
      <c r="M1345" s="33"/>
      <c r="N1345" s="30" t="s">
        <v>48</v>
      </c>
      <c r="O1345" s="1" t="n">
        <f aca="false">IF($B1345="",0,IF(AND(OR(Filter!$B$5="(alle)",$N1345=Filter!$B$5),OR(Filter!$E$5="(alle)",$K1345=Filter!$E$5),OR(Filter!$H$5="(alle)",$C1345=Filter!$H$5),OR(Filter!$B$7="(alle)",$E1345=Filter!$B$7),OR(Filter!$E$7="(alle)",ISNUMBER(SEARCH(Filter!$E$7,$J1345))),OR(Filter!$H$7="(alle)",ISNUMBER(SEARCH(Filter!$H$7,$I1345))),OR(Filter!$B$9="",ISNUMBER(SEARCH(Filter!$B$9,$F1345&amp;" "&amp;$G1345)))),COUNTIF($O$6:$O1344,"&gt;0")+1,0))</f>
        <v>1339</v>
      </c>
    </row>
    <row r="1346" customFormat="false" ht="51" hidden="false" customHeight="true" outlineLevel="0" collapsed="false">
      <c r="B1346" s="30" t="s">
        <v>6068</v>
      </c>
      <c r="C1346" s="30" t="s">
        <v>280</v>
      </c>
      <c r="D1346" s="30" t="s">
        <v>3693</v>
      </c>
      <c r="E1346" s="30" t="s">
        <v>604</v>
      </c>
      <c r="F1346" s="30" t="s">
        <v>6069</v>
      </c>
      <c r="G1346" s="30" t="s">
        <v>6070</v>
      </c>
      <c r="H1346" s="30" t="s">
        <v>6071</v>
      </c>
      <c r="I1346" s="30" t="s">
        <v>476</v>
      </c>
      <c r="J1346" s="30" t="s">
        <v>476</v>
      </c>
      <c r="K1346" s="31" t="s">
        <v>47</v>
      </c>
      <c r="L1346" s="32"/>
      <c r="M1346" s="33"/>
      <c r="N1346" s="30" t="s">
        <v>48</v>
      </c>
      <c r="O1346" s="1" t="n">
        <f aca="false">IF($B1346="",0,IF(AND(OR(Filter!$B$5="(alle)",$N1346=Filter!$B$5),OR(Filter!$E$5="(alle)",$K1346=Filter!$E$5),OR(Filter!$H$5="(alle)",$C1346=Filter!$H$5),OR(Filter!$B$7="(alle)",$E1346=Filter!$B$7),OR(Filter!$E$7="(alle)",ISNUMBER(SEARCH(Filter!$E$7,$J1346))),OR(Filter!$H$7="(alle)",ISNUMBER(SEARCH(Filter!$H$7,$I1346))),OR(Filter!$B$9="",ISNUMBER(SEARCH(Filter!$B$9,$F1346&amp;" "&amp;$G1346)))),COUNTIF($O$6:$O1345,"&gt;0")+1,0))</f>
        <v>1340</v>
      </c>
    </row>
    <row r="1347" customFormat="false" ht="51" hidden="false" customHeight="true" outlineLevel="0" collapsed="false">
      <c r="B1347" s="30" t="s">
        <v>6072</v>
      </c>
      <c r="C1347" s="30" t="s">
        <v>280</v>
      </c>
      <c r="D1347" s="30" t="s">
        <v>5728</v>
      </c>
      <c r="E1347" s="30" t="s">
        <v>547</v>
      </c>
      <c r="F1347" s="30" t="s">
        <v>6073</v>
      </c>
      <c r="G1347" s="30" t="s">
        <v>6074</v>
      </c>
      <c r="H1347" s="30" t="s">
        <v>6071</v>
      </c>
      <c r="I1347" s="30" t="s">
        <v>476</v>
      </c>
      <c r="J1347" s="30" t="s">
        <v>476</v>
      </c>
      <c r="K1347" s="31" t="s">
        <v>47</v>
      </c>
      <c r="L1347" s="32"/>
      <c r="M1347" s="33"/>
      <c r="N1347" s="30" t="s">
        <v>48</v>
      </c>
      <c r="O1347" s="1" t="n">
        <f aca="false">IF($B1347="",0,IF(AND(OR(Filter!$B$5="(alle)",$N1347=Filter!$B$5),OR(Filter!$E$5="(alle)",$K1347=Filter!$E$5),OR(Filter!$H$5="(alle)",$C1347=Filter!$H$5),OR(Filter!$B$7="(alle)",$E1347=Filter!$B$7),OR(Filter!$E$7="(alle)",ISNUMBER(SEARCH(Filter!$E$7,$J1347))),OR(Filter!$H$7="(alle)",ISNUMBER(SEARCH(Filter!$H$7,$I1347))),OR(Filter!$B$9="",ISNUMBER(SEARCH(Filter!$B$9,$F1347&amp;" "&amp;$G1347)))),COUNTIF($O$6:$O1346,"&gt;0")+1,0))</f>
        <v>1341</v>
      </c>
    </row>
    <row r="1348" customFormat="false" ht="51" hidden="false" customHeight="true" outlineLevel="0" collapsed="false">
      <c r="B1348" s="30" t="s">
        <v>6075</v>
      </c>
      <c r="C1348" s="30" t="s">
        <v>280</v>
      </c>
      <c r="D1348" s="30" t="s">
        <v>6076</v>
      </c>
      <c r="E1348" s="30" t="s">
        <v>361</v>
      </c>
      <c r="F1348" s="30" t="s">
        <v>6077</v>
      </c>
      <c r="G1348" s="30" t="s">
        <v>6078</v>
      </c>
      <c r="H1348" s="30" t="s">
        <v>6067</v>
      </c>
      <c r="I1348" s="30" t="s">
        <v>306</v>
      </c>
      <c r="J1348" s="30" t="s">
        <v>206</v>
      </c>
      <c r="K1348" s="31" t="s">
        <v>47</v>
      </c>
      <c r="L1348" s="32"/>
      <c r="M1348" s="33"/>
      <c r="N1348" s="30" t="s">
        <v>48</v>
      </c>
      <c r="O1348" s="1" t="n">
        <f aca="false">IF($B1348="",0,IF(AND(OR(Filter!$B$5="(alle)",$N1348=Filter!$B$5),OR(Filter!$E$5="(alle)",$K1348=Filter!$E$5),OR(Filter!$H$5="(alle)",$C1348=Filter!$H$5),OR(Filter!$B$7="(alle)",$E1348=Filter!$B$7),OR(Filter!$E$7="(alle)",ISNUMBER(SEARCH(Filter!$E$7,$J1348))),OR(Filter!$H$7="(alle)",ISNUMBER(SEARCH(Filter!$H$7,$I1348))),OR(Filter!$B$9="",ISNUMBER(SEARCH(Filter!$B$9,$F1348&amp;" "&amp;$G1348)))),COUNTIF($O$6:$O1347,"&gt;0")+1,0))</f>
        <v>1342</v>
      </c>
    </row>
    <row r="1349" customFormat="false" ht="51" hidden="false" customHeight="true" outlineLevel="0" collapsed="false">
      <c r="B1349" s="30" t="s">
        <v>6079</v>
      </c>
      <c r="C1349" s="30" t="s">
        <v>280</v>
      </c>
      <c r="D1349" s="30" t="s">
        <v>6080</v>
      </c>
      <c r="E1349" s="30" t="s">
        <v>604</v>
      </c>
      <c r="F1349" s="30" t="s">
        <v>6081</v>
      </c>
      <c r="G1349" s="30" t="s">
        <v>6082</v>
      </c>
      <c r="H1349" s="30" t="s">
        <v>6071</v>
      </c>
      <c r="I1349" s="30" t="s">
        <v>476</v>
      </c>
      <c r="J1349" s="30" t="s">
        <v>476</v>
      </c>
      <c r="K1349" s="31" t="s">
        <v>47</v>
      </c>
      <c r="L1349" s="32"/>
      <c r="M1349" s="33"/>
      <c r="N1349" s="30" t="s">
        <v>48</v>
      </c>
      <c r="O1349" s="1" t="n">
        <f aca="false">IF($B1349="",0,IF(AND(OR(Filter!$B$5="(alle)",$N1349=Filter!$B$5),OR(Filter!$E$5="(alle)",$K1349=Filter!$E$5),OR(Filter!$H$5="(alle)",$C1349=Filter!$H$5),OR(Filter!$B$7="(alle)",$E1349=Filter!$B$7),OR(Filter!$E$7="(alle)",ISNUMBER(SEARCH(Filter!$E$7,$J1349))),OR(Filter!$H$7="(alle)",ISNUMBER(SEARCH(Filter!$H$7,$I1349))),OR(Filter!$B$9="",ISNUMBER(SEARCH(Filter!$B$9,$F1349&amp;" "&amp;$G1349)))),COUNTIF($O$6:$O1348,"&gt;0")+1,0))</f>
        <v>1343</v>
      </c>
    </row>
    <row r="1350" customFormat="false" ht="51" hidden="false" customHeight="true" outlineLevel="0" collapsed="false">
      <c r="B1350" s="30" t="s">
        <v>6083</v>
      </c>
      <c r="C1350" s="30" t="s">
        <v>280</v>
      </c>
      <c r="D1350" s="30" t="s">
        <v>6084</v>
      </c>
      <c r="E1350" s="30" t="s">
        <v>604</v>
      </c>
      <c r="F1350" s="30" t="s">
        <v>6085</v>
      </c>
      <c r="G1350" s="30" t="s">
        <v>6085</v>
      </c>
      <c r="H1350" s="30" t="s">
        <v>6071</v>
      </c>
      <c r="I1350" s="30" t="s">
        <v>476</v>
      </c>
      <c r="J1350" s="30" t="s">
        <v>476</v>
      </c>
      <c r="K1350" s="31" t="s">
        <v>47</v>
      </c>
      <c r="L1350" s="32"/>
      <c r="M1350" s="33"/>
      <c r="N1350" s="30" t="s">
        <v>48</v>
      </c>
      <c r="O1350" s="1" t="n">
        <f aca="false">IF($B1350="",0,IF(AND(OR(Filter!$B$5="(alle)",$N1350=Filter!$B$5),OR(Filter!$E$5="(alle)",$K1350=Filter!$E$5),OR(Filter!$H$5="(alle)",$C1350=Filter!$H$5),OR(Filter!$B$7="(alle)",$E1350=Filter!$B$7),OR(Filter!$E$7="(alle)",ISNUMBER(SEARCH(Filter!$E$7,$J1350))),OR(Filter!$H$7="(alle)",ISNUMBER(SEARCH(Filter!$H$7,$I1350))),OR(Filter!$B$9="",ISNUMBER(SEARCH(Filter!$B$9,$F1350&amp;" "&amp;$G1350)))),COUNTIF($O$6:$O1349,"&gt;0")+1,0))</f>
        <v>1344</v>
      </c>
    </row>
    <row r="1351" customFormat="false" ht="51" hidden="false" customHeight="true" outlineLevel="0" collapsed="false">
      <c r="B1351" s="30" t="s">
        <v>6086</v>
      </c>
      <c r="C1351" s="30" t="s">
        <v>280</v>
      </c>
      <c r="D1351" s="30" t="s">
        <v>3697</v>
      </c>
      <c r="E1351" s="30" t="s">
        <v>361</v>
      </c>
      <c r="F1351" s="30" t="s">
        <v>6087</v>
      </c>
      <c r="G1351" s="30" t="s">
        <v>6088</v>
      </c>
      <c r="H1351" s="30" t="s">
        <v>6089</v>
      </c>
      <c r="I1351" s="30" t="s">
        <v>306</v>
      </c>
      <c r="J1351" s="30" t="s">
        <v>206</v>
      </c>
      <c r="K1351" s="31" t="s">
        <v>47</v>
      </c>
      <c r="L1351" s="32"/>
      <c r="M1351" s="33"/>
      <c r="N1351" s="30" t="s">
        <v>48</v>
      </c>
      <c r="O1351" s="1" t="n">
        <f aca="false">IF($B1351="",0,IF(AND(OR(Filter!$B$5="(alle)",$N1351=Filter!$B$5),OR(Filter!$E$5="(alle)",$K1351=Filter!$E$5),OR(Filter!$H$5="(alle)",$C1351=Filter!$H$5),OR(Filter!$B$7="(alle)",$E1351=Filter!$B$7),OR(Filter!$E$7="(alle)",ISNUMBER(SEARCH(Filter!$E$7,$J1351))),OR(Filter!$H$7="(alle)",ISNUMBER(SEARCH(Filter!$H$7,$I1351))),OR(Filter!$B$9="",ISNUMBER(SEARCH(Filter!$B$9,$F1351&amp;" "&amp;$G1351)))),COUNTIF($O$6:$O1350,"&gt;0")+1,0))</f>
        <v>1345</v>
      </c>
    </row>
    <row r="1352" customFormat="false" ht="51" hidden="false" customHeight="true" outlineLevel="0" collapsed="false">
      <c r="B1352" s="30" t="s">
        <v>6090</v>
      </c>
      <c r="C1352" s="30" t="s">
        <v>280</v>
      </c>
      <c r="D1352" s="30" t="s">
        <v>3703</v>
      </c>
      <c r="E1352" s="30" t="s">
        <v>604</v>
      </c>
      <c r="F1352" s="30" t="s">
        <v>6091</v>
      </c>
      <c r="G1352" s="30" t="s">
        <v>6092</v>
      </c>
      <c r="H1352" s="30" t="s">
        <v>6093</v>
      </c>
      <c r="I1352" s="30" t="s">
        <v>476</v>
      </c>
      <c r="J1352" s="30" t="s">
        <v>476</v>
      </c>
      <c r="K1352" s="31" t="s">
        <v>47</v>
      </c>
      <c r="L1352" s="32"/>
      <c r="M1352" s="33"/>
      <c r="N1352" s="30" t="s">
        <v>48</v>
      </c>
      <c r="O1352" s="1" t="n">
        <f aca="false">IF($B1352="",0,IF(AND(OR(Filter!$B$5="(alle)",$N1352=Filter!$B$5),OR(Filter!$E$5="(alle)",$K1352=Filter!$E$5),OR(Filter!$H$5="(alle)",$C1352=Filter!$H$5),OR(Filter!$B$7="(alle)",$E1352=Filter!$B$7),OR(Filter!$E$7="(alle)",ISNUMBER(SEARCH(Filter!$E$7,$J1352))),OR(Filter!$H$7="(alle)",ISNUMBER(SEARCH(Filter!$H$7,$I1352))),OR(Filter!$B$9="",ISNUMBER(SEARCH(Filter!$B$9,$F1352&amp;" "&amp;$G1352)))),COUNTIF($O$6:$O1351,"&gt;0")+1,0))</f>
        <v>1346</v>
      </c>
    </row>
    <row r="1353" customFormat="false" ht="51" hidden="false" customHeight="true" outlineLevel="0" collapsed="false">
      <c r="B1353" s="30" t="s">
        <v>6094</v>
      </c>
      <c r="C1353" s="30" t="s">
        <v>280</v>
      </c>
      <c r="D1353" s="30" t="s">
        <v>3886</v>
      </c>
      <c r="E1353" s="30" t="s">
        <v>604</v>
      </c>
      <c r="F1353" s="30" t="s">
        <v>6095</v>
      </c>
      <c r="G1353" s="30" t="s">
        <v>6096</v>
      </c>
      <c r="H1353" s="30" t="s">
        <v>6097</v>
      </c>
      <c r="I1353" s="30" t="s">
        <v>476</v>
      </c>
      <c r="J1353" s="30" t="s">
        <v>476</v>
      </c>
      <c r="K1353" s="31" t="s">
        <v>47</v>
      </c>
      <c r="L1353" s="32"/>
      <c r="M1353" s="33"/>
      <c r="N1353" s="30" t="s">
        <v>48</v>
      </c>
      <c r="O1353" s="1" t="n">
        <f aca="false">IF($B1353="",0,IF(AND(OR(Filter!$B$5="(alle)",$N1353=Filter!$B$5),OR(Filter!$E$5="(alle)",$K1353=Filter!$E$5),OR(Filter!$H$5="(alle)",$C1353=Filter!$H$5),OR(Filter!$B$7="(alle)",$E1353=Filter!$B$7),OR(Filter!$E$7="(alle)",ISNUMBER(SEARCH(Filter!$E$7,$J1353))),OR(Filter!$H$7="(alle)",ISNUMBER(SEARCH(Filter!$H$7,$I1353))),OR(Filter!$B$9="",ISNUMBER(SEARCH(Filter!$B$9,$F1353&amp;" "&amp;$G1353)))),COUNTIF($O$6:$O1352,"&gt;0")+1,0))</f>
        <v>1347</v>
      </c>
    </row>
    <row r="1354" customFormat="false" ht="51" hidden="false" customHeight="true" outlineLevel="0" collapsed="false">
      <c r="B1354" s="30" t="s">
        <v>6098</v>
      </c>
      <c r="C1354" s="30" t="s">
        <v>280</v>
      </c>
      <c r="D1354" s="30" t="s">
        <v>3891</v>
      </c>
      <c r="E1354" s="30" t="s">
        <v>604</v>
      </c>
      <c r="F1354" s="30" t="s">
        <v>6099</v>
      </c>
      <c r="G1354" s="30" t="s">
        <v>6100</v>
      </c>
      <c r="H1354" s="30" t="s">
        <v>6101</v>
      </c>
      <c r="I1354" s="30" t="s">
        <v>476</v>
      </c>
      <c r="J1354" s="30" t="s">
        <v>476</v>
      </c>
      <c r="K1354" s="31" t="s">
        <v>47</v>
      </c>
      <c r="L1354" s="32"/>
      <c r="M1354" s="33"/>
      <c r="N1354" s="30" t="s">
        <v>48</v>
      </c>
      <c r="O1354" s="1" t="n">
        <f aca="false">IF($B1354="",0,IF(AND(OR(Filter!$B$5="(alle)",$N1354=Filter!$B$5),OR(Filter!$E$5="(alle)",$K1354=Filter!$E$5),OR(Filter!$H$5="(alle)",$C1354=Filter!$H$5),OR(Filter!$B$7="(alle)",$E1354=Filter!$B$7),OR(Filter!$E$7="(alle)",ISNUMBER(SEARCH(Filter!$E$7,$J1354))),OR(Filter!$H$7="(alle)",ISNUMBER(SEARCH(Filter!$H$7,$I1354))),OR(Filter!$B$9="",ISNUMBER(SEARCH(Filter!$B$9,$F1354&amp;" "&amp;$G1354)))),COUNTIF($O$6:$O1353,"&gt;0")+1,0))</f>
        <v>1348</v>
      </c>
    </row>
    <row r="1355" customFormat="false" ht="51" hidden="false" customHeight="true" outlineLevel="0" collapsed="false">
      <c r="B1355" s="30" t="s">
        <v>6102</v>
      </c>
      <c r="C1355" s="30" t="s">
        <v>280</v>
      </c>
      <c r="D1355" s="30" t="s">
        <v>3895</v>
      </c>
      <c r="E1355" s="30" t="s">
        <v>94</v>
      </c>
      <c r="F1355" s="30" t="s">
        <v>6103</v>
      </c>
      <c r="G1355" s="30" t="s">
        <v>6104</v>
      </c>
      <c r="H1355" s="30" t="s">
        <v>6105</v>
      </c>
      <c r="I1355" s="30" t="s">
        <v>45</v>
      </c>
      <c r="J1355" s="30" t="s">
        <v>265</v>
      </c>
      <c r="K1355" s="31" t="s">
        <v>47</v>
      </c>
      <c r="L1355" s="32"/>
      <c r="M1355" s="33"/>
      <c r="N1355" s="30" t="s">
        <v>48</v>
      </c>
      <c r="O1355" s="1" t="n">
        <f aca="false">IF($B1355="",0,IF(AND(OR(Filter!$B$5="(alle)",$N1355=Filter!$B$5),OR(Filter!$E$5="(alle)",$K1355=Filter!$E$5),OR(Filter!$H$5="(alle)",$C1355=Filter!$H$5),OR(Filter!$B$7="(alle)",$E1355=Filter!$B$7),OR(Filter!$E$7="(alle)",ISNUMBER(SEARCH(Filter!$E$7,$J1355))),OR(Filter!$H$7="(alle)",ISNUMBER(SEARCH(Filter!$H$7,$I1355))),OR(Filter!$B$9="",ISNUMBER(SEARCH(Filter!$B$9,$F1355&amp;" "&amp;$G1355)))),COUNTIF($O$6:$O1354,"&gt;0")+1,0))</f>
        <v>1349</v>
      </c>
    </row>
    <row r="1356" customFormat="false" ht="51" hidden="false" customHeight="true" outlineLevel="0" collapsed="false">
      <c r="B1356" s="30" t="s">
        <v>6106</v>
      </c>
      <c r="C1356" s="30" t="s">
        <v>280</v>
      </c>
      <c r="D1356" s="30" t="s">
        <v>6107</v>
      </c>
      <c r="E1356" s="30" t="s">
        <v>547</v>
      </c>
      <c r="F1356" s="30" t="s">
        <v>6108</v>
      </c>
      <c r="G1356" s="30" t="s">
        <v>6108</v>
      </c>
      <c r="H1356" s="30" t="s">
        <v>6101</v>
      </c>
      <c r="I1356" s="30" t="s">
        <v>476</v>
      </c>
      <c r="J1356" s="30" t="s">
        <v>476</v>
      </c>
      <c r="K1356" s="31" t="s">
        <v>47</v>
      </c>
      <c r="L1356" s="32"/>
      <c r="M1356" s="33"/>
      <c r="N1356" s="30" t="s">
        <v>48</v>
      </c>
      <c r="O1356" s="1" t="n">
        <f aca="false">IF($B1356="",0,IF(AND(OR(Filter!$B$5="(alle)",$N1356=Filter!$B$5),OR(Filter!$E$5="(alle)",$K1356=Filter!$E$5),OR(Filter!$H$5="(alle)",$C1356=Filter!$H$5),OR(Filter!$B$7="(alle)",$E1356=Filter!$B$7),OR(Filter!$E$7="(alle)",ISNUMBER(SEARCH(Filter!$E$7,$J1356))),OR(Filter!$H$7="(alle)",ISNUMBER(SEARCH(Filter!$H$7,$I1356))),OR(Filter!$B$9="",ISNUMBER(SEARCH(Filter!$B$9,$F1356&amp;" "&amp;$G1356)))),COUNTIF($O$6:$O1355,"&gt;0")+1,0))</f>
        <v>1350</v>
      </c>
    </row>
    <row r="1357" customFormat="false" ht="51" hidden="false" customHeight="true" outlineLevel="0" collapsed="false">
      <c r="B1357" s="30" t="s">
        <v>6109</v>
      </c>
      <c r="C1357" s="30" t="s">
        <v>280</v>
      </c>
      <c r="D1357" s="30" t="s">
        <v>3911</v>
      </c>
      <c r="E1357" s="30" t="s">
        <v>361</v>
      </c>
      <c r="F1357" s="30" t="s">
        <v>6110</v>
      </c>
      <c r="G1357" s="30" t="s">
        <v>6111</v>
      </c>
      <c r="H1357" s="30" t="s">
        <v>6112</v>
      </c>
      <c r="I1357" s="30" t="s">
        <v>306</v>
      </c>
      <c r="J1357" s="30" t="s">
        <v>206</v>
      </c>
      <c r="K1357" s="31" t="s">
        <v>47</v>
      </c>
      <c r="L1357" s="32"/>
      <c r="M1357" s="33"/>
      <c r="N1357" s="30" t="s">
        <v>48</v>
      </c>
      <c r="O1357" s="1" t="n">
        <f aca="false">IF($B1357="",0,IF(AND(OR(Filter!$B$5="(alle)",$N1357=Filter!$B$5),OR(Filter!$E$5="(alle)",$K1357=Filter!$E$5),OR(Filter!$H$5="(alle)",$C1357=Filter!$H$5),OR(Filter!$B$7="(alle)",$E1357=Filter!$B$7),OR(Filter!$E$7="(alle)",ISNUMBER(SEARCH(Filter!$E$7,$J1357))),OR(Filter!$H$7="(alle)",ISNUMBER(SEARCH(Filter!$H$7,$I1357))),OR(Filter!$B$9="",ISNUMBER(SEARCH(Filter!$B$9,$F1357&amp;" "&amp;$G1357)))),COUNTIF($O$6:$O1356,"&gt;0")+1,0))</f>
        <v>1351</v>
      </c>
    </row>
    <row r="1358" customFormat="false" ht="51" hidden="false" customHeight="true" outlineLevel="0" collapsed="false">
      <c r="B1358" s="30" t="s">
        <v>6113</v>
      </c>
      <c r="C1358" s="30" t="s">
        <v>280</v>
      </c>
      <c r="D1358" s="30" t="s">
        <v>3920</v>
      </c>
      <c r="E1358" s="30" t="s">
        <v>604</v>
      </c>
      <c r="F1358" s="30" t="s">
        <v>6114</v>
      </c>
      <c r="G1358" s="30" t="s">
        <v>6115</v>
      </c>
      <c r="H1358" s="30" t="s">
        <v>6116</v>
      </c>
      <c r="I1358" s="30" t="s">
        <v>476</v>
      </c>
      <c r="J1358" s="30" t="s">
        <v>476</v>
      </c>
      <c r="K1358" s="31" t="s">
        <v>47</v>
      </c>
      <c r="L1358" s="32"/>
      <c r="M1358" s="33"/>
      <c r="N1358" s="30" t="s">
        <v>48</v>
      </c>
      <c r="O1358" s="1" t="n">
        <f aca="false">IF($B1358="",0,IF(AND(OR(Filter!$B$5="(alle)",$N1358=Filter!$B$5),OR(Filter!$E$5="(alle)",$K1358=Filter!$E$5),OR(Filter!$H$5="(alle)",$C1358=Filter!$H$5),OR(Filter!$B$7="(alle)",$E1358=Filter!$B$7),OR(Filter!$E$7="(alle)",ISNUMBER(SEARCH(Filter!$E$7,$J1358))),OR(Filter!$H$7="(alle)",ISNUMBER(SEARCH(Filter!$H$7,$I1358))),OR(Filter!$B$9="",ISNUMBER(SEARCH(Filter!$B$9,$F1358&amp;" "&amp;$G1358)))),COUNTIF($O$6:$O1357,"&gt;0")+1,0))</f>
        <v>1352</v>
      </c>
    </row>
    <row r="1359" customFormat="false" ht="51" hidden="false" customHeight="true" outlineLevel="0" collapsed="false">
      <c r="B1359" s="30" t="s">
        <v>6117</v>
      </c>
      <c r="C1359" s="30" t="s">
        <v>280</v>
      </c>
      <c r="D1359" s="30" t="s">
        <v>3924</v>
      </c>
      <c r="E1359" s="30" t="s">
        <v>604</v>
      </c>
      <c r="F1359" s="30" t="s">
        <v>6118</v>
      </c>
      <c r="G1359" s="30" t="s">
        <v>6119</v>
      </c>
      <c r="H1359" s="30" t="s">
        <v>6116</v>
      </c>
      <c r="I1359" s="30" t="s">
        <v>476</v>
      </c>
      <c r="J1359" s="30" t="s">
        <v>476</v>
      </c>
      <c r="K1359" s="31" t="s">
        <v>47</v>
      </c>
      <c r="L1359" s="32"/>
      <c r="M1359" s="33"/>
      <c r="N1359" s="30" t="s">
        <v>48</v>
      </c>
      <c r="O1359" s="1" t="n">
        <f aca="false">IF($B1359="",0,IF(AND(OR(Filter!$B$5="(alle)",$N1359=Filter!$B$5),OR(Filter!$E$5="(alle)",$K1359=Filter!$E$5),OR(Filter!$H$5="(alle)",$C1359=Filter!$H$5),OR(Filter!$B$7="(alle)",$E1359=Filter!$B$7),OR(Filter!$E$7="(alle)",ISNUMBER(SEARCH(Filter!$E$7,$J1359))),OR(Filter!$H$7="(alle)",ISNUMBER(SEARCH(Filter!$H$7,$I1359))),OR(Filter!$B$9="",ISNUMBER(SEARCH(Filter!$B$9,$F1359&amp;" "&amp;$G1359)))),COUNTIF($O$6:$O1358,"&gt;0")+1,0))</f>
        <v>1353</v>
      </c>
    </row>
    <row r="1360" customFormat="false" ht="51" hidden="false" customHeight="true" outlineLevel="0" collapsed="false">
      <c r="B1360" s="30" t="s">
        <v>6120</v>
      </c>
      <c r="C1360" s="30" t="s">
        <v>280</v>
      </c>
      <c r="D1360" s="30" t="s">
        <v>3927</v>
      </c>
      <c r="E1360" s="30" t="s">
        <v>344</v>
      </c>
      <c r="F1360" s="30" t="s">
        <v>6121</v>
      </c>
      <c r="G1360" s="30" t="s">
        <v>6121</v>
      </c>
      <c r="H1360" s="30" t="s">
        <v>6112</v>
      </c>
      <c r="I1360" s="30" t="s">
        <v>306</v>
      </c>
      <c r="J1360" s="30" t="s">
        <v>206</v>
      </c>
      <c r="K1360" s="31" t="s">
        <v>47</v>
      </c>
      <c r="L1360" s="32"/>
      <c r="M1360" s="33"/>
      <c r="N1360" s="30" t="s">
        <v>48</v>
      </c>
      <c r="O1360" s="1" t="n">
        <f aca="false">IF($B1360="",0,IF(AND(OR(Filter!$B$5="(alle)",$N1360=Filter!$B$5),OR(Filter!$E$5="(alle)",$K1360=Filter!$E$5),OR(Filter!$H$5="(alle)",$C1360=Filter!$H$5),OR(Filter!$B$7="(alle)",$E1360=Filter!$B$7),OR(Filter!$E$7="(alle)",ISNUMBER(SEARCH(Filter!$E$7,$J1360))),OR(Filter!$H$7="(alle)",ISNUMBER(SEARCH(Filter!$H$7,$I1360))),OR(Filter!$B$9="",ISNUMBER(SEARCH(Filter!$B$9,$F1360&amp;" "&amp;$G1360)))),COUNTIF($O$6:$O1359,"&gt;0")+1,0))</f>
        <v>1354</v>
      </c>
    </row>
    <row r="1361" customFormat="false" ht="51" hidden="false" customHeight="true" outlineLevel="0" collapsed="false">
      <c r="B1361" s="30" t="s">
        <v>6122</v>
      </c>
      <c r="C1361" s="30" t="s">
        <v>280</v>
      </c>
      <c r="D1361" s="30" t="s">
        <v>3931</v>
      </c>
      <c r="E1361" s="30" t="s">
        <v>604</v>
      </c>
      <c r="F1361" s="30" t="s">
        <v>6123</v>
      </c>
      <c r="G1361" s="30" t="s">
        <v>6123</v>
      </c>
      <c r="H1361" s="30" t="s">
        <v>6116</v>
      </c>
      <c r="I1361" s="30" t="s">
        <v>476</v>
      </c>
      <c r="J1361" s="30" t="s">
        <v>476</v>
      </c>
      <c r="K1361" s="31" t="s">
        <v>47</v>
      </c>
      <c r="L1361" s="32"/>
      <c r="M1361" s="33"/>
      <c r="N1361" s="30" t="s">
        <v>48</v>
      </c>
      <c r="O1361" s="1" t="n">
        <f aca="false">IF($B1361="",0,IF(AND(OR(Filter!$B$5="(alle)",$N1361=Filter!$B$5),OR(Filter!$E$5="(alle)",$K1361=Filter!$E$5),OR(Filter!$H$5="(alle)",$C1361=Filter!$H$5),OR(Filter!$B$7="(alle)",$E1361=Filter!$B$7),OR(Filter!$E$7="(alle)",ISNUMBER(SEARCH(Filter!$E$7,$J1361))),OR(Filter!$H$7="(alle)",ISNUMBER(SEARCH(Filter!$H$7,$I1361))),OR(Filter!$B$9="",ISNUMBER(SEARCH(Filter!$B$9,$F1361&amp;" "&amp;$G1361)))),COUNTIF($O$6:$O1360,"&gt;0")+1,0))</f>
        <v>1355</v>
      </c>
    </row>
    <row r="1362" customFormat="false" ht="51" hidden="false" customHeight="true" outlineLevel="0" collapsed="false">
      <c r="B1362" s="30" t="s">
        <v>6124</v>
      </c>
      <c r="C1362" s="30" t="s">
        <v>280</v>
      </c>
      <c r="D1362" s="30" t="s">
        <v>3935</v>
      </c>
      <c r="E1362" s="30" t="s">
        <v>604</v>
      </c>
      <c r="F1362" s="30" t="s">
        <v>6125</v>
      </c>
      <c r="G1362" s="30" t="s">
        <v>6126</v>
      </c>
      <c r="H1362" s="30" t="s">
        <v>6116</v>
      </c>
      <c r="I1362" s="30" t="s">
        <v>476</v>
      </c>
      <c r="J1362" s="30" t="s">
        <v>476</v>
      </c>
      <c r="K1362" s="31" t="s">
        <v>47</v>
      </c>
      <c r="L1362" s="32"/>
      <c r="M1362" s="33"/>
      <c r="N1362" s="30" t="s">
        <v>48</v>
      </c>
      <c r="O1362" s="1" t="n">
        <f aca="false">IF($B1362="",0,IF(AND(OR(Filter!$B$5="(alle)",$N1362=Filter!$B$5),OR(Filter!$E$5="(alle)",$K1362=Filter!$E$5),OR(Filter!$H$5="(alle)",$C1362=Filter!$H$5),OR(Filter!$B$7="(alle)",$E1362=Filter!$B$7),OR(Filter!$E$7="(alle)",ISNUMBER(SEARCH(Filter!$E$7,$J1362))),OR(Filter!$H$7="(alle)",ISNUMBER(SEARCH(Filter!$H$7,$I1362))),OR(Filter!$B$9="",ISNUMBER(SEARCH(Filter!$B$9,$F1362&amp;" "&amp;$G1362)))),COUNTIF($O$6:$O1361,"&gt;0")+1,0))</f>
        <v>1356</v>
      </c>
    </row>
    <row r="1363" customFormat="false" ht="51" hidden="false" customHeight="true" outlineLevel="0" collapsed="false">
      <c r="B1363" s="30" t="s">
        <v>6127</v>
      </c>
      <c r="C1363" s="30" t="s">
        <v>280</v>
      </c>
      <c r="D1363" s="30" t="s">
        <v>281</v>
      </c>
      <c r="E1363" s="30" t="s">
        <v>102</v>
      </c>
      <c r="F1363" s="30" t="s">
        <v>6128</v>
      </c>
      <c r="G1363" s="30" t="s">
        <v>6129</v>
      </c>
      <c r="H1363" s="30" t="s">
        <v>6130</v>
      </c>
      <c r="I1363" s="30" t="s">
        <v>45</v>
      </c>
      <c r="J1363" s="30" t="s">
        <v>70</v>
      </c>
      <c r="K1363" s="31" t="s">
        <v>47</v>
      </c>
      <c r="L1363" s="32"/>
      <c r="M1363" s="33"/>
      <c r="N1363" s="30" t="s">
        <v>48</v>
      </c>
      <c r="O1363" s="1" t="n">
        <f aca="false">IF($B1363="",0,IF(AND(OR(Filter!$B$5="(alle)",$N1363=Filter!$B$5),OR(Filter!$E$5="(alle)",$K1363=Filter!$E$5),OR(Filter!$H$5="(alle)",$C1363=Filter!$H$5),OR(Filter!$B$7="(alle)",$E1363=Filter!$B$7),OR(Filter!$E$7="(alle)",ISNUMBER(SEARCH(Filter!$E$7,$J1363))),OR(Filter!$H$7="(alle)",ISNUMBER(SEARCH(Filter!$H$7,$I1363))),OR(Filter!$B$9="",ISNUMBER(SEARCH(Filter!$B$9,$F1363&amp;" "&amp;$G1363)))),COUNTIF($O$6:$O1362,"&gt;0")+1,0))</f>
        <v>1357</v>
      </c>
    </row>
    <row r="1364" customFormat="false" ht="51" hidden="false" customHeight="true" outlineLevel="0" collapsed="false">
      <c r="B1364" s="30" t="s">
        <v>6131</v>
      </c>
      <c r="C1364" s="30" t="s">
        <v>280</v>
      </c>
      <c r="D1364" s="30" t="s">
        <v>3955</v>
      </c>
      <c r="E1364" s="30" t="s">
        <v>42</v>
      </c>
      <c r="F1364" s="30" t="s">
        <v>6132</v>
      </c>
      <c r="G1364" s="30" t="s">
        <v>6133</v>
      </c>
      <c r="H1364" s="30" t="s">
        <v>6134</v>
      </c>
      <c r="I1364" s="30" t="s">
        <v>45</v>
      </c>
      <c r="J1364" s="30" t="s">
        <v>1548</v>
      </c>
      <c r="K1364" s="31" t="s">
        <v>47</v>
      </c>
      <c r="L1364" s="32"/>
      <c r="M1364" s="33"/>
      <c r="N1364" s="30" t="s">
        <v>48</v>
      </c>
      <c r="O1364" s="1" t="n">
        <f aca="false">IF($B1364="",0,IF(AND(OR(Filter!$B$5="(alle)",$N1364=Filter!$B$5),OR(Filter!$E$5="(alle)",$K1364=Filter!$E$5),OR(Filter!$H$5="(alle)",$C1364=Filter!$H$5),OR(Filter!$B$7="(alle)",$E1364=Filter!$B$7),OR(Filter!$E$7="(alle)",ISNUMBER(SEARCH(Filter!$E$7,$J1364))),OR(Filter!$H$7="(alle)",ISNUMBER(SEARCH(Filter!$H$7,$I1364))),OR(Filter!$B$9="",ISNUMBER(SEARCH(Filter!$B$9,$F1364&amp;" "&amp;$G1364)))),COUNTIF($O$6:$O1363,"&gt;0")+1,0))</f>
        <v>1358</v>
      </c>
    </row>
    <row r="1365" customFormat="false" ht="51" hidden="false" customHeight="true" outlineLevel="0" collapsed="false">
      <c r="B1365" s="30" t="s">
        <v>6135</v>
      </c>
      <c r="C1365" s="30" t="s">
        <v>280</v>
      </c>
      <c r="D1365" s="30" t="s">
        <v>3960</v>
      </c>
      <c r="E1365" s="30" t="s">
        <v>42</v>
      </c>
      <c r="F1365" s="30" t="s">
        <v>6136</v>
      </c>
      <c r="G1365" s="30" t="s">
        <v>6137</v>
      </c>
      <c r="H1365" s="30" t="s">
        <v>6134</v>
      </c>
      <c r="I1365" s="30" t="s">
        <v>45</v>
      </c>
      <c r="J1365" s="30" t="s">
        <v>1548</v>
      </c>
      <c r="K1365" s="31" t="s">
        <v>47</v>
      </c>
      <c r="L1365" s="32"/>
      <c r="M1365" s="33"/>
      <c r="N1365" s="30" t="s">
        <v>48</v>
      </c>
      <c r="O1365" s="1" t="n">
        <f aca="false">IF($B1365="",0,IF(AND(OR(Filter!$B$5="(alle)",$N1365=Filter!$B$5),OR(Filter!$E$5="(alle)",$K1365=Filter!$E$5),OR(Filter!$H$5="(alle)",$C1365=Filter!$H$5),OR(Filter!$B$7="(alle)",$E1365=Filter!$B$7),OR(Filter!$E$7="(alle)",ISNUMBER(SEARCH(Filter!$E$7,$J1365))),OR(Filter!$H$7="(alle)",ISNUMBER(SEARCH(Filter!$H$7,$I1365))),OR(Filter!$B$9="",ISNUMBER(SEARCH(Filter!$B$9,$F1365&amp;" "&amp;$G1365)))),COUNTIF($O$6:$O1364,"&gt;0")+1,0))</f>
        <v>1359</v>
      </c>
    </row>
    <row r="1366" customFormat="false" ht="51" hidden="false" customHeight="true" outlineLevel="0" collapsed="false">
      <c r="B1366" s="30" t="s">
        <v>6138</v>
      </c>
      <c r="C1366" s="30" t="s">
        <v>280</v>
      </c>
      <c r="D1366" s="30" t="s">
        <v>6139</v>
      </c>
      <c r="E1366" s="30" t="s">
        <v>102</v>
      </c>
      <c r="F1366" s="30" t="s">
        <v>6140</v>
      </c>
      <c r="G1366" s="30" t="s">
        <v>6141</v>
      </c>
      <c r="H1366" s="30" t="s">
        <v>6134</v>
      </c>
      <c r="I1366" s="30" t="s">
        <v>45</v>
      </c>
      <c r="J1366" s="30" t="s">
        <v>70</v>
      </c>
      <c r="K1366" s="31" t="s">
        <v>47</v>
      </c>
      <c r="L1366" s="32"/>
      <c r="M1366" s="33"/>
      <c r="N1366" s="30" t="s">
        <v>48</v>
      </c>
      <c r="O1366" s="1" t="n">
        <f aca="false">IF($B1366="",0,IF(AND(OR(Filter!$B$5="(alle)",$N1366=Filter!$B$5),OR(Filter!$E$5="(alle)",$K1366=Filter!$E$5),OR(Filter!$H$5="(alle)",$C1366=Filter!$H$5),OR(Filter!$B$7="(alle)",$E1366=Filter!$B$7),OR(Filter!$E$7="(alle)",ISNUMBER(SEARCH(Filter!$E$7,$J1366))),OR(Filter!$H$7="(alle)",ISNUMBER(SEARCH(Filter!$H$7,$I1366))),OR(Filter!$B$9="",ISNUMBER(SEARCH(Filter!$B$9,$F1366&amp;" "&amp;$G1366)))),COUNTIF($O$6:$O1365,"&gt;0")+1,0))</f>
        <v>1360</v>
      </c>
    </row>
    <row r="1367" customFormat="false" ht="51" hidden="false" customHeight="true" outlineLevel="0" collapsed="false">
      <c r="B1367" s="30" t="s">
        <v>6142</v>
      </c>
      <c r="C1367" s="30" t="s">
        <v>280</v>
      </c>
      <c r="D1367" s="30" t="s">
        <v>6143</v>
      </c>
      <c r="E1367" s="30" t="s">
        <v>102</v>
      </c>
      <c r="F1367" s="30" t="s">
        <v>6144</v>
      </c>
      <c r="G1367" s="30" t="s">
        <v>6145</v>
      </c>
      <c r="H1367" s="30" t="s">
        <v>6134</v>
      </c>
      <c r="I1367" s="30" t="s">
        <v>45</v>
      </c>
      <c r="J1367" s="30" t="s">
        <v>70</v>
      </c>
      <c r="K1367" s="31" t="s">
        <v>47</v>
      </c>
      <c r="L1367" s="32"/>
      <c r="M1367" s="33"/>
      <c r="N1367" s="30" t="s">
        <v>48</v>
      </c>
      <c r="O1367" s="1" t="n">
        <f aca="false">IF($B1367="",0,IF(AND(OR(Filter!$B$5="(alle)",$N1367=Filter!$B$5),OR(Filter!$E$5="(alle)",$K1367=Filter!$E$5),OR(Filter!$H$5="(alle)",$C1367=Filter!$H$5),OR(Filter!$B$7="(alle)",$E1367=Filter!$B$7),OR(Filter!$E$7="(alle)",ISNUMBER(SEARCH(Filter!$E$7,$J1367))),OR(Filter!$H$7="(alle)",ISNUMBER(SEARCH(Filter!$H$7,$I1367))),OR(Filter!$B$9="",ISNUMBER(SEARCH(Filter!$B$9,$F1367&amp;" "&amp;$G1367)))),COUNTIF($O$6:$O1366,"&gt;0")+1,0))</f>
        <v>1361</v>
      </c>
    </row>
    <row r="1368" customFormat="false" ht="51" hidden="false" customHeight="true" outlineLevel="0" collapsed="false">
      <c r="B1368" s="30" t="s">
        <v>6146</v>
      </c>
      <c r="C1368" s="30" t="s">
        <v>280</v>
      </c>
      <c r="D1368" s="30" t="s">
        <v>6147</v>
      </c>
      <c r="E1368" s="30" t="s">
        <v>102</v>
      </c>
      <c r="F1368" s="30" t="s">
        <v>6148</v>
      </c>
      <c r="G1368" s="30" t="s">
        <v>6149</v>
      </c>
      <c r="H1368" s="30" t="s">
        <v>6134</v>
      </c>
      <c r="I1368" s="30" t="s">
        <v>45</v>
      </c>
      <c r="J1368" s="30" t="s">
        <v>70</v>
      </c>
      <c r="K1368" s="31" t="s">
        <v>47</v>
      </c>
      <c r="L1368" s="32"/>
      <c r="M1368" s="33"/>
      <c r="N1368" s="30" t="s">
        <v>48</v>
      </c>
      <c r="O1368" s="1" t="n">
        <f aca="false">IF($B1368="",0,IF(AND(OR(Filter!$B$5="(alle)",$N1368=Filter!$B$5),OR(Filter!$E$5="(alle)",$K1368=Filter!$E$5),OR(Filter!$H$5="(alle)",$C1368=Filter!$H$5),OR(Filter!$B$7="(alle)",$E1368=Filter!$B$7),OR(Filter!$E$7="(alle)",ISNUMBER(SEARCH(Filter!$E$7,$J1368))),OR(Filter!$H$7="(alle)",ISNUMBER(SEARCH(Filter!$H$7,$I1368))),OR(Filter!$B$9="",ISNUMBER(SEARCH(Filter!$B$9,$F1368&amp;" "&amp;$G1368)))),COUNTIF($O$6:$O1367,"&gt;0")+1,0))</f>
        <v>1362</v>
      </c>
    </row>
    <row r="1369" customFormat="false" ht="51" hidden="false" customHeight="true" outlineLevel="0" collapsed="false">
      <c r="B1369" s="30" t="s">
        <v>6150</v>
      </c>
      <c r="C1369" s="30" t="s">
        <v>280</v>
      </c>
      <c r="D1369" s="30" t="s">
        <v>6151</v>
      </c>
      <c r="E1369" s="30" t="s">
        <v>102</v>
      </c>
      <c r="F1369" s="30" t="s">
        <v>6152</v>
      </c>
      <c r="G1369" s="30" t="s">
        <v>6153</v>
      </c>
      <c r="H1369" s="30" t="s">
        <v>6134</v>
      </c>
      <c r="I1369" s="30" t="s">
        <v>45</v>
      </c>
      <c r="J1369" s="30" t="s">
        <v>70</v>
      </c>
      <c r="K1369" s="31" t="s">
        <v>47</v>
      </c>
      <c r="L1369" s="32"/>
      <c r="M1369" s="33"/>
      <c r="N1369" s="30" t="s">
        <v>48</v>
      </c>
      <c r="O1369" s="1" t="n">
        <f aca="false">IF($B1369="",0,IF(AND(OR(Filter!$B$5="(alle)",$N1369=Filter!$B$5),OR(Filter!$E$5="(alle)",$K1369=Filter!$E$5),OR(Filter!$H$5="(alle)",$C1369=Filter!$H$5),OR(Filter!$B$7="(alle)",$E1369=Filter!$B$7),OR(Filter!$E$7="(alle)",ISNUMBER(SEARCH(Filter!$E$7,$J1369))),OR(Filter!$H$7="(alle)",ISNUMBER(SEARCH(Filter!$H$7,$I1369))),OR(Filter!$B$9="",ISNUMBER(SEARCH(Filter!$B$9,$F1369&amp;" "&amp;$G1369)))),COUNTIF($O$6:$O1368,"&gt;0")+1,0))</f>
        <v>1363</v>
      </c>
    </row>
    <row r="1370" customFormat="false" ht="51" hidden="false" customHeight="true" outlineLevel="0" collapsed="false">
      <c r="B1370" s="30" t="s">
        <v>6154</v>
      </c>
      <c r="C1370" s="30" t="s">
        <v>280</v>
      </c>
      <c r="D1370" s="30" t="s">
        <v>224</v>
      </c>
      <c r="E1370" s="30" t="s">
        <v>344</v>
      </c>
      <c r="F1370" s="30" t="s">
        <v>6155</v>
      </c>
      <c r="G1370" s="30" t="s">
        <v>6155</v>
      </c>
      <c r="H1370" s="30" t="s">
        <v>6156</v>
      </c>
      <c r="I1370" s="30" t="s">
        <v>306</v>
      </c>
      <c r="J1370" s="30" t="s">
        <v>206</v>
      </c>
      <c r="K1370" s="31" t="s">
        <v>47</v>
      </c>
      <c r="L1370" s="32"/>
      <c r="M1370" s="33"/>
      <c r="N1370" s="30" t="s">
        <v>48</v>
      </c>
      <c r="O1370" s="1" t="n">
        <f aca="false">IF($B1370="",0,IF(AND(OR(Filter!$B$5="(alle)",$N1370=Filter!$B$5),OR(Filter!$E$5="(alle)",$K1370=Filter!$E$5),OR(Filter!$H$5="(alle)",$C1370=Filter!$H$5),OR(Filter!$B$7="(alle)",$E1370=Filter!$B$7),OR(Filter!$E$7="(alle)",ISNUMBER(SEARCH(Filter!$E$7,$J1370))),OR(Filter!$H$7="(alle)",ISNUMBER(SEARCH(Filter!$H$7,$I1370))),OR(Filter!$B$9="",ISNUMBER(SEARCH(Filter!$B$9,$F1370&amp;" "&amp;$G1370)))),COUNTIF($O$6:$O1369,"&gt;0")+1,0))</f>
        <v>1364</v>
      </c>
    </row>
    <row r="1371" customFormat="false" ht="51" hidden="false" customHeight="true" outlineLevel="0" collapsed="false">
      <c r="B1371" s="30" t="s">
        <v>6157</v>
      </c>
      <c r="C1371" s="30" t="s">
        <v>280</v>
      </c>
      <c r="D1371" s="30" t="s">
        <v>232</v>
      </c>
      <c r="E1371" s="30" t="s">
        <v>604</v>
      </c>
      <c r="F1371" s="30" t="s">
        <v>6158</v>
      </c>
      <c r="G1371" s="30" t="s">
        <v>6159</v>
      </c>
      <c r="H1371" s="30" t="s">
        <v>6160</v>
      </c>
      <c r="I1371" s="30" t="s">
        <v>476</v>
      </c>
      <c r="J1371" s="30" t="s">
        <v>476</v>
      </c>
      <c r="K1371" s="31" t="s">
        <v>47</v>
      </c>
      <c r="L1371" s="32"/>
      <c r="M1371" s="33"/>
      <c r="N1371" s="30" t="s">
        <v>48</v>
      </c>
      <c r="O1371" s="1" t="n">
        <f aca="false">IF($B1371="",0,IF(AND(OR(Filter!$B$5="(alle)",$N1371=Filter!$B$5),OR(Filter!$E$5="(alle)",$K1371=Filter!$E$5),OR(Filter!$H$5="(alle)",$C1371=Filter!$H$5),OR(Filter!$B$7="(alle)",$E1371=Filter!$B$7),OR(Filter!$E$7="(alle)",ISNUMBER(SEARCH(Filter!$E$7,$J1371))),OR(Filter!$H$7="(alle)",ISNUMBER(SEARCH(Filter!$H$7,$I1371))),OR(Filter!$B$9="",ISNUMBER(SEARCH(Filter!$B$9,$F1371&amp;" "&amp;$G1371)))),COUNTIF($O$6:$O1370,"&gt;0")+1,0))</f>
        <v>1365</v>
      </c>
    </row>
    <row r="1372" customFormat="false" ht="51" hidden="false" customHeight="true" outlineLevel="0" collapsed="false">
      <c r="B1372" s="30" t="s">
        <v>6161</v>
      </c>
      <c r="C1372" s="30" t="s">
        <v>280</v>
      </c>
      <c r="D1372" s="30" t="s">
        <v>3975</v>
      </c>
      <c r="E1372" s="30" t="s">
        <v>344</v>
      </c>
      <c r="F1372" s="30" t="s">
        <v>6162</v>
      </c>
      <c r="G1372" s="30" t="s">
        <v>6163</v>
      </c>
      <c r="H1372" s="30" t="s">
        <v>6156</v>
      </c>
      <c r="I1372" s="30" t="s">
        <v>306</v>
      </c>
      <c r="J1372" s="30" t="s">
        <v>206</v>
      </c>
      <c r="K1372" s="31" t="s">
        <v>47</v>
      </c>
      <c r="L1372" s="32"/>
      <c r="M1372" s="33"/>
      <c r="N1372" s="30" t="s">
        <v>48</v>
      </c>
      <c r="O1372" s="1" t="n">
        <f aca="false">IF($B1372="",0,IF(AND(OR(Filter!$B$5="(alle)",$N1372=Filter!$B$5),OR(Filter!$E$5="(alle)",$K1372=Filter!$E$5),OR(Filter!$H$5="(alle)",$C1372=Filter!$H$5),OR(Filter!$B$7="(alle)",$E1372=Filter!$B$7),OR(Filter!$E$7="(alle)",ISNUMBER(SEARCH(Filter!$E$7,$J1372))),OR(Filter!$H$7="(alle)",ISNUMBER(SEARCH(Filter!$H$7,$I1372))),OR(Filter!$B$9="",ISNUMBER(SEARCH(Filter!$B$9,$F1372&amp;" "&amp;$G1372)))),COUNTIF($O$6:$O1371,"&gt;0")+1,0))</f>
        <v>1366</v>
      </c>
    </row>
    <row r="1373" customFormat="false" ht="51" hidden="false" customHeight="true" outlineLevel="0" collapsed="false">
      <c r="B1373" s="30" t="s">
        <v>6164</v>
      </c>
      <c r="C1373" s="30" t="s">
        <v>280</v>
      </c>
      <c r="D1373" s="30" t="s">
        <v>3980</v>
      </c>
      <c r="E1373" s="30" t="s">
        <v>604</v>
      </c>
      <c r="F1373" s="30" t="s">
        <v>6165</v>
      </c>
      <c r="G1373" s="30" t="s">
        <v>6166</v>
      </c>
      <c r="H1373" s="30" t="s">
        <v>6160</v>
      </c>
      <c r="I1373" s="30" t="s">
        <v>476</v>
      </c>
      <c r="J1373" s="30" t="s">
        <v>476</v>
      </c>
      <c r="K1373" s="31" t="s">
        <v>47</v>
      </c>
      <c r="L1373" s="32"/>
      <c r="M1373" s="33"/>
      <c r="N1373" s="30" t="s">
        <v>48</v>
      </c>
      <c r="O1373" s="1" t="n">
        <f aca="false">IF($B1373="",0,IF(AND(OR(Filter!$B$5="(alle)",$N1373=Filter!$B$5),OR(Filter!$E$5="(alle)",$K1373=Filter!$E$5),OR(Filter!$H$5="(alle)",$C1373=Filter!$H$5),OR(Filter!$B$7="(alle)",$E1373=Filter!$B$7),OR(Filter!$E$7="(alle)",ISNUMBER(SEARCH(Filter!$E$7,$J1373))),OR(Filter!$H$7="(alle)",ISNUMBER(SEARCH(Filter!$H$7,$I1373))),OR(Filter!$B$9="",ISNUMBER(SEARCH(Filter!$B$9,$F1373&amp;" "&amp;$G1373)))),COUNTIF($O$6:$O1372,"&gt;0")+1,0))</f>
        <v>1367</v>
      </c>
    </row>
    <row r="1374" customFormat="false" ht="51" hidden="false" customHeight="true" outlineLevel="0" collapsed="false">
      <c r="B1374" s="30" t="s">
        <v>6167</v>
      </c>
      <c r="C1374" s="30" t="s">
        <v>280</v>
      </c>
      <c r="D1374" s="30" t="s">
        <v>3983</v>
      </c>
      <c r="E1374" s="30" t="s">
        <v>344</v>
      </c>
      <c r="F1374" s="30" t="s">
        <v>6168</v>
      </c>
      <c r="G1374" s="30" t="s">
        <v>6168</v>
      </c>
      <c r="H1374" s="30" t="s">
        <v>6156</v>
      </c>
      <c r="I1374" s="30" t="s">
        <v>306</v>
      </c>
      <c r="J1374" s="30" t="s">
        <v>206</v>
      </c>
      <c r="K1374" s="31" t="s">
        <v>47</v>
      </c>
      <c r="L1374" s="32"/>
      <c r="M1374" s="33"/>
      <c r="N1374" s="30" t="s">
        <v>48</v>
      </c>
      <c r="O1374" s="1" t="n">
        <f aca="false">IF($B1374="",0,IF(AND(OR(Filter!$B$5="(alle)",$N1374=Filter!$B$5),OR(Filter!$E$5="(alle)",$K1374=Filter!$E$5),OR(Filter!$H$5="(alle)",$C1374=Filter!$H$5),OR(Filter!$B$7="(alle)",$E1374=Filter!$B$7),OR(Filter!$E$7="(alle)",ISNUMBER(SEARCH(Filter!$E$7,$J1374))),OR(Filter!$H$7="(alle)",ISNUMBER(SEARCH(Filter!$H$7,$I1374))),OR(Filter!$B$9="",ISNUMBER(SEARCH(Filter!$B$9,$F1374&amp;" "&amp;$G1374)))),COUNTIF($O$6:$O1373,"&gt;0")+1,0))</f>
        <v>1368</v>
      </c>
    </row>
    <row r="1375" customFormat="false" ht="51" hidden="false" customHeight="true" outlineLevel="0" collapsed="false">
      <c r="B1375" s="30" t="s">
        <v>6169</v>
      </c>
      <c r="C1375" s="30" t="s">
        <v>280</v>
      </c>
      <c r="D1375" s="30" t="s">
        <v>238</v>
      </c>
      <c r="E1375" s="30" t="s">
        <v>344</v>
      </c>
      <c r="F1375" s="30" t="s">
        <v>6170</v>
      </c>
      <c r="G1375" s="30" t="s">
        <v>6171</v>
      </c>
      <c r="H1375" s="30" t="s">
        <v>6172</v>
      </c>
      <c r="I1375" s="30" t="s">
        <v>306</v>
      </c>
      <c r="J1375" s="30" t="s">
        <v>206</v>
      </c>
      <c r="K1375" s="31" t="s">
        <v>47</v>
      </c>
      <c r="L1375" s="32"/>
      <c r="M1375" s="33"/>
      <c r="N1375" s="30" t="s">
        <v>48</v>
      </c>
      <c r="O1375" s="1" t="n">
        <f aca="false">IF($B1375="",0,IF(AND(OR(Filter!$B$5="(alle)",$N1375=Filter!$B$5),OR(Filter!$E$5="(alle)",$K1375=Filter!$E$5),OR(Filter!$H$5="(alle)",$C1375=Filter!$H$5),OR(Filter!$B$7="(alle)",$E1375=Filter!$B$7),OR(Filter!$E$7="(alle)",ISNUMBER(SEARCH(Filter!$E$7,$J1375))),OR(Filter!$H$7="(alle)",ISNUMBER(SEARCH(Filter!$H$7,$I1375))),OR(Filter!$B$9="",ISNUMBER(SEARCH(Filter!$B$9,$F1375&amp;" "&amp;$G1375)))),COUNTIF($O$6:$O1374,"&gt;0")+1,0))</f>
        <v>1369</v>
      </c>
    </row>
    <row r="1376" customFormat="false" ht="51" hidden="false" customHeight="true" outlineLevel="0" collapsed="false">
      <c r="B1376" s="30" t="s">
        <v>6173</v>
      </c>
      <c r="C1376" s="30" t="s">
        <v>280</v>
      </c>
      <c r="D1376" s="30" t="s">
        <v>243</v>
      </c>
      <c r="E1376" s="30" t="s">
        <v>604</v>
      </c>
      <c r="F1376" s="30" t="s">
        <v>6174</v>
      </c>
      <c r="G1376" s="30" t="s">
        <v>6175</v>
      </c>
      <c r="H1376" s="30" t="s">
        <v>6176</v>
      </c>
      <c r="I1376" s="30" t="s">
        <v>476</v>
      </c>
      <c r="J1376" s="30" t="s">
        <v>476</v>
      </c>
      <c r="K1376" s="31" t="s">
        <v>47</v>
      </c>
      <c r="L1376" s="32"/>
      <c r="M1376" s="33"/>
      <c r="N1376" s="30" t="s">
        <v>48</v>
      </c>
      <c r="O1376" s="1" t="n">
        <f aca="false">IF($B1376="",0,IF(AND(OR(Filter!$B$5="(alle)",$N1376=Filter!$B$5),OR(Filter!$E$5="(alle)",$K1376=Filter!$E$5),OR(Filter!$H$5="(alle)",$C1376=Filter!$H$5),OR(Filter!$B$7="(alle)",$E1376=Filter!$B$7),OR(Filter!$E$7="(alle)",ISNUMBER(SEARCH(Filter!$E$7,$J1376))),OR(Filter!$H$7="(alle)",ISNUMBER(SEARCH(Filter!$H$7,$I1376))),OR(Filter!$B$9="",ISNUMBER(SEARCH(Filter!$B$9,$F1376&amp;" "&amp;$G1376)))),COUNTIF($O$6:$O1375,"&gt;0")+1,0))</f>
        <v>1370</v>
      </c>
    </row>
    <row r="1377" customFormat="false" ht="51" hidden="false" customHeight="true" outlineLevel="0" collapsed="false">
      <c r="B1377" s="30" t="s">
        <v>6177</v>
      </c>
      <c r="C1377" s="30" t="s">
        <v>280</v>
      </c>
      <c r="D1377" s="30" t="s">
        <v>249</v>
      </c>
      <c r="E1377" s="30" t="s">
        <v>604</v>
      </c>
      <c r="F1377" s="30" t="s">
        <v>6178</v>
      </c>
      <c r="G1377" s="30" t="s">
        <v>6179</v>
      </c>
      <c r="H1377" s="30" t="s">
        <v>6176</v>
      </c>
      <c r="I1377" s="30" t="s">
        <v>476</v>
      </c>
      <c r="J1377" s="30" t="s">
        <v>476</v>
      </c>
      <c r="K1377" s="31" t="s">
        <v>47</v>
      </c>
      <c r="L1377" s="32"/>
      <c r="M1377" s="33"/>
      <c r="N1377" s="30" t="s">
        <v>48</v>
      </c>
      <c r="O1377" s="1" t="n">
        <f aca="false">IF($B1377="",0,IF(AND(OR(Filter!$B$5="(alle)",$N1377=Filter!$B$5),OR(Filter!$E$5="(alle)",$K1377=Filter!$E$5),OR(Filter!$H$5="(alle)",$C1377=Filter!$H$5),OR(Filter!$B$7="(alle)",$E1377=Filter!$B$7),OR(Filter!$E$7="(alle)",ISNUMBER(SEARCH(Filter!$E$7,$J1377))),OR(Filter!$H$7="(alle)",ISNUMBER(SEARCH(Filter!$H$7,$I1377))),OR(Filter!$B$9="",ISNUMBER(SEARCH(Filter!$B$9,$F1377&amp;" "&amp;$G1377)))),COUNTIF($O$6:$O1376,"&gt;0")+1,0))</f>
        <v>1371</v>
      </c>
    </row>
    <row r="1378" customFormat="false" ht="51" hidden="false" customHeight="true" outlineLevel="0" collapsed="false">
      <c r="B1378" s="30" t="s">
        <v>6180</v>
      </c>
      <c r="C1378" s="30" t="s">
        <v>280</v>
      </c>
      <c r="D1378" s="30" t="s">
        <v>6181</v>
      </c>
      <c r="E1378" s="30" t="s">
        <v>604</v>
      </c>
      <c r="F1378" s="30" t="s">
        <v>6182</v>
      </c>
      <c r="G1378" s="30" t="s">
        <v>6183</v>
      </c>
      <c r="H1378" s="30" t="s">
        <v>6184</v>
      </c>
      <c r="I1378" s="30" t="s">
        <v>476</v>
      </c>
      <c r="J1378" s="30" t="s">
        <v>476</v>
      </c>
      <c r="K1378" s="31" t="s">
        <v>47</v>
      </c>
      <c r="L1378" s="32"/>
      <c r="M1378" s="33"/>
      <c r="N1378" s="30" t="s">
        <v>48</v>
      </c>
      <c r="O1378" s="1" t="n">
        <f aca="false">IF($B1378="",0,IF(AND(OR(Filter!$B$5="(alle)",$N1378=Filter!$B$5),OR(Filter!$E$5="(alle)",$K1378=Filter!$E$5),OR(Filter!$H$5="(alle)",$C1378=Filter!$H$5),OR(Filter!$B$7="(alle)",$E1378=Filter!$B$7),OR(Filter!$E$7="(alle)",ISNUMBER(SEARCH(Filter!$E$7,$J1378))),OR(Filter!$H$7="(alle)",ISNUMBER(SEARCH(Filter!$H$7,$I1378))),OR(Filter!$B$9="",ISNUMBER(SEARCH(Filter!$B$9,$F1378&amp;" "&amp;$G1378)))),COUNTIF($O$6:$O1377,"&gt;0")+1,0))</f>
        <v>1372</v>
      </c>
    </row>
    <row r="1379" customFormat="false" ht="51" hidden="false" customHeight="true" outlineLevel="0" collapsed="false">
      <c r="B1379" s="30" t="s">
        <v>6185</v>
      </c>
      <c r="C1379" s="30" t="s">
        <v>280</v>
      </c>
      <c r="D1379" s="30" t="s">
        <v>6186</v>
      </c>
      <c r="E1379" s="30" t="s">
        <v>344</v>
      </c>
      <c r="F1379" s="30" t="s">
        <v>6187</v>
      </c>
      <c r="G1379" s="30" t="s">
        <v>6188</v>
      </c>
      <c r="H1379" s="30" t="s">
        <v>6189</v>
      </c>
      <c r="I1379" s="30" t="s">
        <v>306</v>
      </c>
      <c r="J1379" s="30" t="s">
        <v>206</v>
      </c>
      <c r="K1379" s="31" t="s">
        <v>47</v>
      </c>
      <c r="L1379" s="32"/>
      <c r="M1379" s="33"/>
      <c r="N1379" s="30" t="s">
        <v>48</v>
      </c>
      <c r="O1379" s="1" t="n">
        <f aca="false">IF($B1379="",0,IF(AND(OR(Filter!$B$5="(alle)",$N1379=Filter!$B$5),OR(Filter!$E$5="(alle)",$K1379=Filter!$E$5),OR(Filter!$H$5="(alle)",$C1379=Filter!$H$5),OR(Filter!$B$7="(alle)",$E1379=Filter!$B$7),OR(Filter!$E$7="(alle)",ISNUMBER(SEARCH(Filter!$E$7,$J1379))),OR(Filter!$H$7="(alle)",ISNUMBER(SEARCH(Filter!$H$7,$I1379))),OR(Filter!$B$9="",ISNUMBER(SEARCH(Filter!$B$9,$F1379&amp;" "&amp;$G1379)))),COUNTIF($O$6:$O1378,"&gt;0")+1,0))</f>
        <v>1373</v>
      </c>
    </row>
    <row r="1380" customFormat="false" ht="51" hidden="false" customHeight="true" outlineLevel="0" collapsed="false">
      <c r="B1380" s="30" t="s">
        <v>6190</v>
      </c>
      <c r="C1380" s="30" t="s">
        <v>280</v>
      </c>
      <c r="D1380" s="30" t="s">
        <v>6191</v>
      </c>
      <c r="E1380" s="30" t="s">
        <v>604</v>
      </c>
      <c r="F1380" s="30" t="s">
        <v>6192</v>
      </c>
      <c r="G1380" s="30" t="s">
        <v>6192</v>
      </c>
      <c r="H1380" s="30" t="s">
        <v>6193</v>
      </c>
      <c r="I1380" s="30" t="s">
        <v>476</v>
      </c>
      <c r="J1380" s="30" t="s">
        <v>476</v>
      </c>
      <c r="K1380" s="31" t="s">
        <v>47</v>
      </c>
      <c r="L1380" s="32"/>
      <c r="M1380" s="33"/>
      <c r="N1380" s="30" t="s">
        <v>48</v>
      </c>
      <c r="O1380" s="1" t="n">
        <f aca="false">IF($B1380="",0,IF(AND(OR(Filter!$B$5="(alle)",$N1380=Filter!$B$5),OR(Filter!$E$5="(alle)",$K1380=Filter!$E$5),OR(Filter!$H$5="(alle)",$C1380=Filter!$H$5),OR(Filter!$B$7="(alle)",$E1380=Filter!$B$7),OR(Filter!$E$7="(alle)",ISNUMBER(SEARCH(Filter!$E$7,$J1380))),OR(Filter!$H$7="(alle)",ISNUMBER(SEARCH(Filter!$H$7,$I1380))),OR(Filter!$B$9="",ISNUMBER(SEARCH(Filter!$B$9,$F1380&amp;" "&amp;$G1380)))),COUNTIF($O$6:$O1379,"&gt;0")+1,0))</f>
        <v>1374</v>
      </c>
    </row>
    <row r="1381" customFormat="false" ht="51" hidden="false" customHeight="true" outlineLevel="0" collapsed="false">
      <c r="B1381" s="30" t="s">
        <v>6194</v>
      </c>
      <c r="C1381" s="30" t="s">
        <v>280</v>
      </c>
      <c r="D1381" s="30" t="s">
        <v>6195</v>
      </c>
      <c r="E1381" s="30" t="s">
        <v>344</v>
      </c>
      <c r="F1381" s="30" t="s">
        <v>6196</v>
      </c>
      <c r="G1381" s="30" t="s">
        <v>6197</v>
      </c>
      <c r="H1381" s="30" t="s">
        <v>6198</v>
      </c>
      <c r="I1381" s="30" t="s">
        <v>306</v>
      </c>
      <c r="J1381" s="30" t="s">
        <v>206</v>
      </c>
      <c r="K1381" s="31" t="s">
        <v>47</v>
      </c>
      <c r="L1381" s="32"/>
      <c r="M1381" s="33"/>
      <c r="N1381" s="30" t="s">
        <v>48</v>
      </c>
      <c r="O1381" s="1" t="n">
        <f aca="false">IF($B1381="",0,IF(AND(OR(Filter!$B$5="(alle)",$N1381=Filter!$B$5),OR(Filter!$E$5="(alle)",$K1381=Filter!$E$5),OR(Filter!$H$5="(alle)",$C1381=Filter!$H$5),OR(Filter!$B$7="(alle)",$E1381=Filter!$B$7),OR(Filter!$E$7="(alle)",ISNUMBER(SEARCH(Filter!$E$7,$J1381))),OR(Filter!$H$7="(alle)",ISNUMBER(SEARCH(Filter!$H$7,$I1381))),OR(Filter!$B$9="",ISNUMBER(SEARCH(Filter!$B$9,$F1381&amp;" "&amp;$G1381)))),COUNTIF($O$6:$O1380,"&gt;0")+1,0))</f>
        <v>1375</v>
      </c>
    </row>
    <row r="1382" customFormat="false" ht="51" hidden="false" customHeight="true" outlineLevel="0" collapsed="false">
      <c r="B1382" s="30" t="s">
        <v>6199</v>
      </c>
      <c r="C1382" s="30" t="s">
        <v>280</v>
      </c>
      <c r="D1382" s="30" t="s">
        <v>6200</v>
      </c>
      <c r="E1382" s="30" t="s">
        <v>344</v>
      </c>
      <c r="F1382" s="30" t="s">
        <v>6201</v>
      </c>
      <c r="G1382" s="30" t="s">
        <v>6201</v>
      </c>
      <c r="H1382" s="30" t="s">
        <v>6198</v>
      </c>
      <c r="I1382" s="30" t="s">
        <v>306</v>
      </c>
      <c r="J1382" s="30" t="s">
        <v>206</v>
      </c>
      <c r="K1382" s="31" t="s">
        <v>47</v>
      </c>
      <c r="L1382" s="32"/>
      <c r="M1382" s="33"/>
      <c r="N1382" s="30" t="s">
        <v>48</v>
      </c>
      <c r="O1382" s="1" t="n">
        <f aca="false">IF($B1382="",0,IF(AND(OR(Filter!$B$5="(alle)",$N1382=Filter!$B$5),OR(Filter!$E$5="(alle)",$K1382=Filter!$E$5),OR(Filter!$H$5="(alle)",$C1382=Filter!$H$5),OR(Filter!$B$7="(alle)",$E1382=Filter!$B$7),OR(Filter!$E$7="(alle)",ISNUMBER(SEARCH(Filter!$E$7,$J1382))),OR(Filter!$H$7="(alle)",ISNUMBER(SEARCH(Filter!$H$7,$I1382))),OR(Filter!$B$9="",ISNUMBER(SEARCH(Filter!$B$9,$F1382&amp;" "&amp;$G1382)))),COUNTIF($O$6:$O1381,"&gt;0")+1,0))</f>
        <v>1376</v>
      </c>
    </row>
    <row r="1383" customFormat="false" ht="51" hidden="false" customHeight="true" outlineLevel="0" collapsed="false">
      <c r="B1383" s="30" t="s">
        <v>6202</v>
      </c>
      <c r="C1383" s="30" t="s">
        <v>280</v>
      </c>
      <c r="D1383" s="30" t="s">
        <v>4087</v>
      </c>
      <c r="E1383" s="30" t="s">
        <v>361</v>
      </c>
      <c r="F1383" s="30" t="s">
        <v>6203</v>
      </c>
      <c r="G1383" s="30" t="s">
        <v>6204</v>
      </c>
      <c r="H1383" s="30" t="s">
        <v>6205</v>
      </c>
      <c r="I1383" s="30" t="s">
        <v>306</v>
      </c>
      <c r="J1383" s="30" t="s">
        <v>206</v>
      </c>
      <c r="K1383" s="31" t="s">
        <v>47</v>
      </c>
      <c r="L1383" s="32"/>
      <c r="M1383" s="33"/>
      <c r="N1383" s="30" t="s">
        <v>48</v>
      </c>
      <c r="O1383" s="1" t="n">
        <f aca="false">IF($B1383="",0,IF(AND(OR(Filter!$B$5="(alle)",$N1383=Filter!$B$5),OR(Filter!$E$5="(alle)",$K1383=Filter!$E$5),OR(Filter!$H$5="(alle)",$C1383=Filter!$H$5),OR(Filter!$B$7="(alle)",$E1383=Filter!$B$7),OR(Filter!$E$7="(alle)",ISNUMBER(SEARCH(Filter!$E$7,$J1383))),OR(Filter!$H$7="(alle)",ISNUMBER(SEARCH(Filter!$H$7,$I1383))),OR(Filter!$B$9="",ISNUMBER(SEARCH(Filter!$B$9,$F1383&amp;" "&amp;$G1383)))),COUNTIF($O$6:$O1382,"&gt;0")+1,0))</f>
        <v>1377</v>
      </c>
    </row>
    <row r="1384" customFormat="false" ht="51" hidden="false" customHeight="true" outlineLevel="0" collapsed="false">
      <c r="B1384" s="30" t="s">
        <v>6206</v>
      </c>
      <c r="C1384" s="30" t="s">
        <v>280</v>
      </c>
      <c r="D1384" s="30" t="s">
        <v>4092</v>
      </c>
      <c r="E1384" s="30" t="s">
        <v>604</v>
      </c>
      <c r="F1384" s="30" t="s">
        <v>6207</v>
      </c>
      <c r="G1384" s="30" t="s">
        <v>6208</v>
      </c>
      <c r="H1384" s="30" t="s">
        <v>6209</v>
      </c>
      <c r="I1384" s="30" t="s">
        <v>476</v>
      </c>
      <c r="J1384" s="30" t="s">
        <v>476</v>
      </c>
      <c r="K1384" s="31" t="s">
        <v>47</v>
      </c>
      <c r="L1384" s="32"/>
      <c r="M1384" s="33"/>
      <c r="N1384" s="30" t="s">
        <v>48</v>
      </c>
      <c r="O1384" s="1" t="n">
        <f aca="false">IF($B1384="",0,IF(AND(OR(Filter!$B$5="(alle)",$N1384=Filter!$B$5),OR(Filter!$E$5="(alle)",$K1384=Filter!$E$5),OR(Filter!$H$5="(alle)",$C1384=Filter!$H$5),OR(Filter!$B$7="(alle)",$E1384=Filter!$B$7),OR(Filter!$E$7="(alle)",ISNUMBER(SEARCH(Filter!$E$7,$J1384))),OR(Filter!$H$7="(alle)",ISNUMBER(SEARCH(Filter!$H$7,$I1384))),OR(Filter!$B$9="",ISNUMBER(SEARCH(Filter!$B$9,$F1384&amp;" "&amp;$G1384)))),COUNTIF($O$6:$O1383,"&gt;0")+1,0))</f>
        <v>1378</v>
      </c>
    </row>
    <row r="1385" customFormat="false" ht="51" hidden="false" customHeight="true" outlineLevel="0" collapsed="false">
      <c r="B1385" s="30" t="s">
        <v>6210</v>
      </c>
      <c r="C1385" s="30" t="s">
        <v>280</v>
      </c>
      <c r="D1385" s="30" t="s">
        <v>4096</v>
      </c>
      <c r="E1385" s="30" t="s">
        <v>361</v>
      </c>
      <c r="F1385" s="30" t="s">
        <v>6211</v>
      </c>
      <c r="G1385" s="30" t="s">
        <v>6212</v>
      </c>
      <c r="H1385" s="30" t="s">
        <v>6205</v>
      </c>
      <c r="I1385" s="30" t="s">
        <v>306</v>
      </c>
      <c r="J1385" s="30" t="s">
        <v>206</v>
      </c>
      <c r="K1385" s="31" t="s">
        <v>47</v>
      </c>
      <c r="L1385" s="32"/>
      <c r="M1385" s="33"/>
      <c r="N1385" s="30" t="s">
        <v>48</v>
      </c>
      <c r="O1385" s="1" t="n">
        <f aca="false">IF($B1385="",0,IF(AND(OR(Filter!$B$5="(alle)",$N1385=Filter!$B$5),OR(Filter!$E$5="(alle)",$K1385=Filter!$E$5),OR(Filter!$H$5="(alle)",$C1385=Filter!$H$5),OR(Filter!$B$7="(alle)",$E1385=Filter!$B$7),OR(Filter!$E$7="(alle)",ISNUMBER(SEARCH(Filter!$E$7,$J1385))),OR(Filter!$H$7="(alle)",ISNUMBER(SEARCH(Filter!$H$7,$I1385))),OR(Filter!$B$9="",ISNUMBER(SEARCH(Filter!$B$9,$F1385&amp;" "&amp;$G1385)))),COUNTIF($O$6:$O1384,"&gt;0")+1,0))</f>
        <v>1379</v>
      </c>
    </row>
    <row r="1386" customFormat="false" ht="51" hidden="false" customHeight="true" outlineLevel="0" collapsed="false">
      <c r="B1386" s="30" t="s">
        <v>6213</v>
      </c>
      <c r="C1386" s="30" t="s">
        <v>280</v>
      </c>
      <c r="D1386" s="30" t="s">
        <v>6214</v>
      </c>
      <c r="E1386" s="30" t="s">
        <v>604</v>
      </c>
      <c r="F1386" s="30" t="s">
        <v>6215</v>
      </c>
      <c r="G1386" s="30" t="s">
        <v>6216</v>
      </c>
      <c r="H1386" s="30" t="s">
        <v>6209</v>
      </c>
      <c r="I1386" s="30" t="s">
        <v>476</v>
      </c>
      <c r="J1386" s="30" t="s">
        <v>476</v>
      </c>
      <c r="K1386" s="31" t="s">
        <v>47</v>
      </c>
      <c r="L1386" s="32"/>
      <c r="M1386" s="33"/>
      <c r="N1386" s="30" t="s">
        <v>48</v>
      </c>
      <c r="O1386" s="1" t="n">
        <f aca="false">IF($B1386="",0,IF(AND(OR(Filter!$B$5="(alle)",$N1386=Filter!$B$5),OR(Filter!$E$5="(alle)",$K1386=Filter!$E$5),OR(Filter!$H$5="(alle)",$C1386=Filter!$H$5),OR(Filter!$B$7="(alle)",$E1386=Filter!$B$7),OR(Filter!$E$7="(alle)",ISNUMBER(SEARCH(Filter!$E$7,$J1386))),OR(Filter!$H$7="(alle)",ISNUMBER(SEARCH(Filter!$H$7,$I1386))),OR(Filter!$B$9="",ISNUMBER(SEARCH(Filter!$B$9,$F1386&amp;" "&amp;$G1386)))),COUNTIF($O$6:$O1385,"&gt;0")+1,0))</f>
        <v>1380</v>
      </c>
    </row>
    <row r="1387" customFormat="false" ht="51" hidden="false" customHeight="true" outlineLevel="0" collapsed="false">
      <c r="B1387" s="30" t="s">
        <v>6217</v>
      </c>
      <c r="C1387" s="30" t="s">
        <v>280</v>
      </c>
      <c r="D1387" s="30" t="s">
        <v>6218</v>
      </c>
      <c r="E1387" s="30" t="s">
        <v>604</v>
      </c>
      <c r="F1387" s="30" t="s">
        <v>6219</v>
      </c>
      <c r="G1387" s="30" t="s">
        <v>6220</v>
      </c>
      <c r="H1387" s="30" t="s">
        <v>6209</v>
      </c>
      <c r="I1387" s="30" t="s">
        <v>476</v>
      </c>
      <c r="J1387" s="30" t="s">
        <v>476</v>
      </c>
      <c r="K1387" s="31" t="s">
        <v>47</v>
      </c>
      <c r="L1387" s="32"/>
      <c r="M1387" s="33"/>
      <c r="N1387" s="30" t="s">
        <v>48</v>
      </c>
      <c r="O1387" s="1" t="n">
        <f aca="false">IF($B1387="",0,IF(AND(OR(Filter!$B$5="(alle)",$N1387=Filter!$B$5),OR(Filter!$E$5="(alle)",$K1387=Filter!$E$5),OR(Filter!$H$5="(alle)",$C1387=Filter!$H$5),OR(Filter!$B$7="(alle)",$E1387=Filter!$B$7),OR(Filter!$E$7="(alle)",ISNUMBER(SEARCH(Filter!$E$7,$J1387))),OR(Filter!$H$7="(alle)",ISNUMBER(SEARCH(Filter!$H$7,$I1387))),OR(Filter!$B$9="",ISNUMBER(SEARCH(Filter!$B$9,$F1387&amp;" "&amp;$G1387)))),COUNTIF($O$6:$O1386,"&gt;0")+1,0))</f>
        <v>1381</v>
      </c>
    </row>
    <row r="1388" customFormat="false" ht="51" hidden="false" customHeight="true" outlineLevel="0" collapsed="false">
      <c r="B1388" s="30" t="s">
        <v>6221</v>
      </c>
      <c r="C1388" s="30" t="s">
        <v>280</v>
      </c>
      <c r="D1388" s="30" t="s">
        <v>6222</v>
      </c>
      <c r="E1388" s="30" t="s">
        <v>604</v>
      </c>
      <c r="F1388" s="30" t="s">
        <v>6223</v>
      </c>
      <c r="G1388" s="30" t="s">
        <v>6224</v>
      </c>
      <c r="H1388" s="30" t="s">
        <v>6209</v>
      </c>
      <c r="I1388" s="30" t="s">
        <v>476</v>
      </c>
      <c r="J1388" s="30" t="s">
        <v>476</v>
      </c>
      <c r="K1388" s="31" t="s">
        <v>47</v>
      </c>
      <c r="L1388" s="32"/>
      <c r="M1388" s="33"/>
      <c r="N1388" s="30" t="s">
        <v>48</v>
      </c>
      <c r="O1388" s="1" t="n">
        <f aca="false">IF($B1388="",0,IF(AND(OR(Filter!$B$5="(alle)",$N1388=Filter!$B$5),OR(Filter!$E$5="(alle)",$K1388=Filter!$E$5),OR(Filter!$H$5="(alle)",$C1388=Filter!$H$5),OR(Filter!$B$7="(alle)",$E1388=Filter!$B$7),OR(Filter!$E$7="(alle)",ISNUMBER(SEARCH(Filter!$E$7,$J1388))),OR(Filter!$H$7="(alle)",ISNUMBER(SEARCH(Filter!$H$7,$I1388))),OR(Filter!$B$9="",ISNUMBER(SEARCH(Filter!$B$9,$F1388&amp;" "&amp;$G1388)))),COUNTIF($O$6:$O1387,"&gt;0")+1,0))</f>
        <v>1382</v>
      </c>
    </row>
    <row r="1389" customFormat="false" ht="15" hidden="false" customHeight="true" outlineLevel="0" collapsed="false">
      <c r="O1389" s="1" t="n">
        <f aca="false">IF($B1389="",0,IF(AND(OR(Filter!$B$5="(alle)",$N1389=Filter!$B$5),OR(Filter!$E$5="(alle)",$K1389=Filter!$E$5),OR(Filter!$H$5="(alle)",$C1389=Filter!$H$5),OR(Filter!$B$7="(alle)",$E1389=Filter!$B$7),OR(Filter!$E$7="(alle)",ISNUMBER(SEARCH(Filter!$E$7,$J1389))),OR(Filter!$H$7="(alle)",ISNUMBER(SEARCH(Filter!$H$7,$I1389))),OR(Filter!$B$9="",ISNUMBER(SEARCH(Filter!$B$9,$F1389&amp;" "&amp;$G1389)))),COUNTIF($O$6:$O1388,"&gt;0")+1,0))</f>
        <v>0</v>
      </c>
    </row>
    <row r="1390" customFormat="false" ht="15" hidden="false" customHeight="true" outlineLevel="0" collapsed="false">
      <c r="O1390" s="1" t="n">
        <f aca="false">IF($B1390="",0,IF(AND(OR(Filter!$B$5="(alle)",$N1390=Filter!$B$5),OR(Filter!$E$5="(alle)",$K1390=Filter!$E$5),OR(Filter!$H$5="(alle)",$C1390=Filter!$H$5),OR(Filter!$B$7="(alle)",$E1390=Filter!$B$7),OR(Filter!$E$7="(alle)",ISNUMBER(SEARCH(Filter!$E$7,$J1390))),OR(Filter!$H$7="(alle)",ISNUMBER(SEARCH(Filter!$H$7,$I1390))),OR(Filter!$B$9="",ISNUMBER(SEARCH(Filter!$B$9,$F1390&amp;" "&amp;$G1390)))),COUNTIF($O$6:$O1389,"&gt;0")+1,0))</f>
        <v>0</v>
      </c>
    </row>
    <row r="1391" customFormat="false" ht="15" hidden="false" customHeight="true" outlineLevel="0" collapsed="false">
      <c r="O1391" s="1" t="n">
        <f aca="false">IF($B1391="",0,IF(AND(OR(Filter!$B$5="(alle)",$N1391=Filter!$B$5),OR(Filter!$E$5="(alle)",$K1391=Filter!$E$5),OR(Filter!$H$5="(alle)",$C1391=Filter!$H$5),OR(Filter!$B$7="(alle)",$E1391=Filter!$B$7),OR(Filter!$E$7="(alle)",ISNUMBER(SEARCH(Filter!$E$7,$J1391))),OR(Filter!$H$7="(alle)",ISNUMBER(SEARCH(Filter!$H$7,$I1391))),OR(Filter!$B$9="",ISNUMBER(SEARCH(Filter!$B$9,$F1391&amp;" "&amp;$G1391)))),COUNTIF($O$6:$O1390,"&gt;0")+1,0))</f>
        <v>0</v>
      </c>
    </row>
    <row r="1392" customFormat="false" ht="15" hidden="false" customHeight="true" outlineLevel="0" collapsed="false">
      <c r="O1392" s="1" t="n">
        <f aca="false">IF($B1392="",0,IF(AND(OR(Filter!$B$5="(alle)",$N1392=Filter!$B$5),OR(Filter!$E$5="(alle)",$K1392=Filter!$E$5),OR(Filter!$H$5="(alle)",$C1392=Filter!$H$5),OR(Filter!$B$7="(alle)",$E1392=Filter!$B$7),OR(Filter!$E$7="(alle)",ISNUMBER(SEARCH(Filter!$E$7,$J1392))),OR(Filter!$H$7="(alle)",ISNUMBER(SEARCH(Filter!$H$7,$I1392))),OR(Filter!$B$9="",ISNUMBER(SEARCH(Filter!$B$9,$F1392&amp;" "&amp;$G1392)))),COUNTIF($O$6:$O1391,"&gt;0")+1,0))</f>
        <v>0</v>
      </c>
    </row>
    <row r="1393" customFormat="false" ht="15" hidden="false" customHeight="true" outlineLevel="0" collapsed="false">
      <c r="O1393" s="1" t="n">
        <f aca="false">IF($B1393="",0,IF(AND(OR(Filter!$B$5="(alle)",$N1393=Filter!$B$5),OR(Filter!$E$5="(alle)",$K1393=Filter!$E$5),OR(Filter!$H$5="(alle)",$C1393=Filter!$H$5),OR(Filter!$B$7="(alle)",$E1393=Filter!$B$7),OR(Filter!$E$7="(alle)",ISNUMBER(SEARCH(Filter!$E$7,$J1393))),OR(Filter!$H$7="(alle)",ISNUMBER(SEARCH(Filter!$H$7,$I1393))),OR(Filter!$B$9="",ISNUMBER(SEARCH(Filter!$B$9,$F1393&amp;" "&amp;$G1393)))),COUNTIF($O$6:$O1392,"&gt;0")+1,0))</f>
        <v>0</v>
      </c>
    </row>
    <row r="1394" customFormat="false" ht="15" hidden="false" customHeight="true" outlineLevel="0" collapsed="false">
      <c r="O1394" s="1" t="n">
        <f aca="false">IF($B1394="",0,IF(AND(OR(Filter!$B$5="(alle)",$N1394=Filter!$B$5),OR(Filter!$E$5="(alle)",$K1394=Filter!$E$5),OR(Filter!$H$5="(alle)",$C1394=Filter!$H$5),OR(Filter!$B$7="(alle)",$E1394=Filter!$B$7),OR(Filter!$E$7="(alle)",ISNUMBER(SEARCH(Filter!$E$7,$J1394))),OR(Filter!$H$7="(alle)",ISNUMBER(SEARCH(Filter!$H$7,$I1394))),OR(Filter!$B$9="",ISNUMBER(SEARCH(Filter!$B$9,$F1394&amp;" "&amp;$G1394)))),COUNTIF($O$6:$O1393,"&gt;0")+1,0))</f>
        <v>0</v>
      </c>
    </row>
    <row r="1395" customFormat="false" ht="15" hidden="false" customHeight="true" outlineLevel="0" collapsed="false">
      <c r="O1395" s="1" t="n">
        <f aca="false">IF($B1395="",0,IF(AND(OR(Filter!$B$5="(alle)",$N1395=Filter!$B$5),OR(Filter!$E$5="(alle)",$K1395=Filter!$E$5),OR(Filter!$H$5="(alle)",$C1395=Filter!$H$5),OR(Filter!$B$7="(alle)",$E1395=Filter!$B$7),OR(Filter!$E$7="(alle)",ISNUMBER(SEARCH(Filter!$E$7,$J1395))),OR(Filter!$H$7="(alle)",ISNUMBER(SEARCH(Filter!$H$7,$I1395))),OR(Filter!$B$9="",ISNUMBER(SEARCH(Filter!$B$9,$F1395&amp;" "&amp;$G1395)))),COUNTIF($O$6:$O1394,"&gt;0")+1,0))</f>
        <v>0</v>
      </c>
    </row>
    <row r="1396" customFormat="false" ht="15" hidden="false" customHeight="true" outlineLevel="0" collapsed="false">
      <c r="O1396" s="1" t="n">
        <f aca="false">IF($B1396="",0,IF(AND(OR(Filter!$B$5="(alle)",$N1396=Filter!$B$5),OR(Filter!$E$5="(alle)",$K1396=Filter!$E$5),OR(Filter!$H$5="(alle)",$C1396=Filter!$H$5),OR(Filter!$B$7="(alle)",$E1396=Filter!$B$7),OR(Filter!$E$7="(alle)",ISNUMBER(SEARCH(Filter!$E$7,$J1396))),OR(Filter!$H$7="(alle)",ISNUMBER(SEARCH(Filter!$H$7,$I1396))),OR(Filter!$B$9="",ISNUMBER(SEARCH(Filter!$B$9,$F1396&amp;" "&amp;$G1396)))),COUNTIF($O$6:$O1395,"&gt;0")+1,0))</f>
        <v>0</v>
      </c>
    </row>
    <row r="1397" customFormat="false" ht="15" hidden="false" customHeight="true" outlineLevel="0" collapsed="false">
      <c r="O1397" s="1" t="n">
        <f aca="false">IF($B1397="",0,IF(AND(OR(Filter!$B$5="(alle)",$N1397=Filter!$B$5),OR(Filter!$E$5="(alle)",$K1397=Filter!$E$5),OR(Filter!$H$5="(alle)",$C1397=Filter!$H$5),OR(Filter!$B$7="(alle)",$E1397=Filter!$B$7),OR(Filter!$E$7="(alle)",ISNUMBER(SEARCH(Filter!$E$7,$J1397))),OR(Filter!$H$7="(alle)",ISNUMBER(SEARCH(Filter!$H$7,$I1397))),OR(Filter!$B$9="",ISNUMBER(SEARCH(Filter!$B$9,$F1397&amp;" "&amp;$G1397)))),COUNTIF($O$6:$O1396,"&gt;0")+1,0))</f>
        <v>0</v>
      </c>
    </row>
    <row r="1398" customFormat="false" ht="15" hidden="false" customHeight="true" outlineLevel="0" collapsed="false">
      <c r="O1398" s="1" t="n">
        <f aca="false">IF($B1398="",0,IF(AND(OR(Filter!$B$5="(alle)",$N1398=Filter!$B$5),OR(Filter!$E$5="(alle)",$K1398=Filter!$E$5),OR(Filter!$H$5="(alle)",$C1398=Filter!$H$5),OR(Filter!$B$7="(alle)",$E1398=Filter!$B$7),OR(Filter!$E$7="(alle)",ISNUMBER(SEARCH(Filter!$E$7,$J1398))),OR(Filter!$H$7="(alle)",ISNUMBER(SEARCH(Filter!$H$7,$I1398))),OR(Filter!$B$9="",ISNUMBER(SEARCH(Filter!$B$9,$F1398&amp;" "&amp;$G1398)))),COUNTIF($O$6:$O1397,"&gt;0")+1,0))</f>
        <v>0</v>
      </c>
    </row>
    <row r="1399" customFormat="false" ht="15" hidden="false" customHeight="true" outlineLevel="0" collapsed="false">
      <c r="O1399" s="1" t="n">
        <f aca="false">IF($B1399="",0,IF(AND(OR(Filter!$B$5="(alle)",$N1399=Filter!$B$5),OR(Filter!$E$5="(alle)",$K1399=Filter!$E$5),OR(Filter!$H$5="(alle)",$C1399=Filter!$H$5),OR(Filter!$B$7="(alle)",$E1399=Filter!$B$7),OR(Filter!$E$7="(alle)",ISNUMBER(SEARCH(Filter!$E$7,$J1399))),OR(Filter!$H$7="(alle)",ISNUMBER(SEARCH(Filter!$H$7,$I1399))),OR(Filter!$B$9="",ISNUMBER(SEARCH(Filter!$B$9,$F1399&amp;" "&amp;$G1399)))),COUNTIF($O$6:$O1398,"&gt;0")+1,0))</f>
        <v>0</v>
      </c>
    </row>
    <row r="1400" customFormat="false" ht="15" hidden="false" customHeight="true" outlineLevel="0" collapsed="false">
      <c r="O1400" s="1" t="n">
        <f aca="false">IF($B1400="",0,IF(AND(OR(Filter!$B$5="(alle)",$N1400=Filter!$B$5),OR(Filter!$E$5="(alle)",$K1400=Filter!$E$5),OR(Filter!$H$5="(alle)",$C1400=Filter!$H$5),OR(Filter!$B$7="(alle)",$E1400=Filter!$B$7),OR(Filter!$E$7="(alle)",ISNUMBER(SEARCH(Filter!$E$7,$J1400))),OR(Filter!$H$7="(alle)",ISNUMBER(SEARCH(Filter!$H$7,$I1400))),OR(Filter!$B$9="",ISNUMBER(SEARCH(Filter!$B$9,$F1400&amp;" "&amp;$G1400)))),COUNTIF($O$6:$O1399,"&gt;0")+1,0))</f>
        <v>0</v>
      </c>
    </row>
    <row r="1401" customFormat="false" ht="15" hidden="false" customHeight="true" outlineLevel="0" collapsed="false">
      <c r="O1401" s="1" t="n">
        <f aca="false">IF($B1401="",0,IF(AND(OR(Filter!$B$5="(alle)",$N1401=Filter!$B$5),OR(Filter!$E$5="(alle)",$K1401=Filter!$E$5),OR(Filter!$H$5="(alle)",$C1401=Filter!$H$5),OR(Filter!$B$7="(alle)",$E1401=Filter!$B$7),OR(Filter!$E$7="(alle)",ISNUMBER(SEARCH(Filter!$E$7,$J1401))),OR(Filter!$H$7="(alle)",ISNUMBER(SEARCH(Filter!$H$7,$I1401))),OR(Filter!$B$9="",ISNUMBER(SEARCH(Filter!$B$9,$F1401&amp;" "&amp;$G1401)))),COUNTIF($O$6:$O1400,"&gt;0")+1,0))</f>
        <v>0</v>
      </c>
    </row>
    <row r="1402" customFormat="false" ht="15" hidden="false" customHeight="true" outlineLevel="0" collapsed="false">
      <c r="O1402" s="1" t="n">
        <f aca="false">IF($B1402="",0,IF(AND(OR(Filter!$B$5="(alle)",$N1402=Filter!$B$5),OR(Filter!$E$5="(alle)",$K1402=Filter!$E$5),OR(Filter!$H$5="(alle)",$C1402=Filter!$H$5),OR(Filter!$B$7="(alle)",$E1402=Filter!$B$7),OR(Filter!$E$7="(alle)",ISNUMBER(SEARCH(Filter!$E$7,$J1402))),OR(Filter!$H$7="(alle)",ISNUMBER(SEARCH(Filter!$H$7,$I1402))),OR(Filter!$B$9="",ISNUMBER(SEARCH(Filter!$B$9,$F1402&amp;" "&amp;$G1402)))),COUNTIF($O$6:$O1401,"&gt;0")+1,0))</f>
        <v>0</v>
      </c>
    </row>
    <row r="1403" customFormat="false" ht="15" hidden="false" customHeight="true" outlineLevel="0" collapsed="false">
      <c r="O1403" s="1" t="n">
        <f aca="false">IF($B1403="",0,IF(AND(OR(Filter!$B$5="(alle)",$N1403=Filter!$B$5),OR(Filter!$E$5="(alle)",$K1403=Filter!$E$5),OR(Filter!$H$5="(alle)",$C1403=Filter!$H$5),OR(Filter!$B$7="(alle)",$E1403=Filter!$B$7),OR(Filter!$E$7="(alle)",ISNUMBER(SEARCH(Filter!$E$7,$J1403))),OR(Filter!$H$7="(alle)",ISNUMBER(SEARCH(Filter!$H$7,$I1403))),OR(Filter!$B$9="",ISNUMBER(SEARCH(Filter!$B$9,$F1403&amp;" "&amp;$G1403)))),COUNTIF($O$6:$O1402,"&gt;0")+1,0))</f>
        <v>0</v>
      </c>
    </row>
    <row r="1404" customFormat="false" ht="15" hidden="false" customHeight="true" outlineLevel="0" collapsed="false">
      <c r="O1404" s="1" t="n">
        <f aca="false">IF($B1404="",0,IF(AND(OR(Filter!$B$5="(alle)",$N1404=Filter!$B$5),OR(Filter!$E$5="(alle)",$K1404=Filter!$E$5),OR(Filter!$H$5="(alle)",$C1404=Filter!$H$5),OR(Filter!$B$7="(alle)",$E1404=Filter!$B$7),OR(Filter!$E$7="(alle)",ISNUMBER(SEARCH(Filter!$E$7,$J1404))),OR(Filter!$H$7="(alle)",ISNUMBER(SEARCH(Filter!$H$7,$I1404))),OR(Filter!$B$9="",ISNUMBER(SEARCH(Filter!$B$9,$F1404&amp;" "&amp;$G1404)))),COUNTIF($O$6:$O1403,"&gt;0")+1,0))</f>
        <v>0</v>
      </c>
    </row>
    <row r="1405" customFormat="false" ht="15" hidden="false" customHeight="true" outlineLevel="0" collapsed="false">
      <c r="O1405" s="1" t="n">
        <f aca="false">IF($B1405="",0,IF(AND(OR(Filter!$B$5="(alle)",$N1405=Filter!$B$5),OR(Filter!$E$5="(alle)",$K1405=Filter!$E$5),OR(Filter!$H$5="(alle)",$C1405=Filter!$H$5),OR(Filter!$B$7="(alle)",$E1405=Filter!$B$7),OR(Filter!$E$7="(alle)",ISNUMBER(SEARCH(Filter!$E$7,$J1405))),OR(Filter!$H$7="(alle)",ISNUMBER(SEARCH(Filter!$H$7,$I1405))),OR(Filter!$B$9="",ISNUMBER(SEARCH(Filter!$B$9,$F1405&amp;" "&amp;$G1405)))),COUNTIF($O$6:$O1404,"&gt;0")+1,0))</f>
        <v>0</v>
      </c>
    </row>
    <row r="1406" customFormat="false" ht="15" hidden="false" customHeight="true" outlineLevel="0" collapsed="false">
      <c r="O1406" s="1" t="n">
        <f aca="false">IF($B1406="",0,IF(AND(OR(Filter!$B$5="(alle)",$N1406=Filter!$B$5),OR(Filter!$E$5="(alle)",$K1406=Filter!$E$5),OR(Filter!$H$5="(alle)",$C1406=Filter!$H$5),OR(Filter!$B$7="(alle)",$E1406=Filter!$B$7),OR(Filter!$E$7="(alle)",ISNUMBER(SEARCH(Filter!$E$7,$J1406))),OR(Filter!$H$7="(alle)",ISNUMBER(SEARCH(Filter!$H$7,$I1406))),OR(Filter!$B$9="",ISNUMBER(SEARCH(Filter!$B$9,$F1406&amp;" "&amp;$G1406)))),COUNTIF($O$6:$O1405,"&gt;0")+1,0))</f>
        <v>0</v>
      </c>
    </row>
    <row r="1407" customFormat="false" ht="15" hidden="false" customHeight="true" outlineLevel="0" collapsed="false">
      <c r="O1407" s="1" t="n">
        <f aca="false">IF($B1407="",0,IF(AND(OR(Filter!$B$5="(alle)",$N1407=Filter!$B$5),OR(Filter!$E$5="(alle)",$K1407=Filter!$E$5),OR(Filter!$H$5="(alle)",$C1407=Filter!$H$5),OR(Filter!$B$7="(alle)",$E1407=Filter!$B$7),OR(Filter!$E$7="(alle)",ISNUMBER(SEARCH(Filter!$E$7,$J1407))),OR(Filter!$H$7="(alle)",ISNUMBER(SEARCH(Filter!$H$7,$I1407))),OR(Filter!$B$9="",ISNUMBER(SEARCH(Filter!$B$9,$F1407&amp;" "&amp;$G1407)))),COUNTIF($O$6:$O1406,"&gt;0")+1,0))</f>
        <v>0</v>
      </c>
    </row>
    <row r="1408" customFormat="false" ht="15" hidden="false" customHeight="true" outlineLevel="0" collapsed="false">
      <c r="O1408" s="1" t="n">
        <f aca="false">IF($B1408="",0,IF(AND(OR(Filter!$B$5="(alle)",$N1408=Filter!$B$5),OR(Filter!$E$5="(alle)",$K1408=Filter!$E$5),OR(Filter!$H$5="(alle)",$C1408=Filter!$H$5),OR(Filter!$B$7="(alle)",$E1408=Filter!$B$7),OR(Filter!$E$7="(alle)",ISNUMBER(SEARCH(Filter!$E$7,$J1408))),OR(Filter!$H$7="(alle)",ISNUMBER(SEARCH(Filter!$H$7,$I1408))),OR(Filter!$B$9="",ISNUMBER(SEARCH(Filter!$B$9,$F1408&amp;" "&amp;$G1408)))),COUNTIF($O$6:$O1407,"&gt;0")+1,0))</f>
        <v>0</v>
      </c>
    </row>
    <row r="1409" customFormat="false" ht="15" hidden="false" customHeight="true" outlineLevel="0" collapsed="false">
      <c r="O1409" s="1" t="n">
        <f aca="false">IF($B1409="",0,IF(AND(OR(Filter!$B$5="(alle)",$N1409=Filter!$B$5),OR(Filter!$E$5="(alle)",$K1409=Filter!$E$5),OR(Filter!$H$5="(alle)",$C1409=Filter!$H$5),OR(Filter!$B$7="(alle)",$E1409=Filter!$B$7),OR(Filter!$E$7="(alle)",ISNUMBER(SEARCH(Filter!$E$7,$J1409))),OR(Filter!$H$7="(alle)",ISNUMBER(SEARCH(Filter!$H$7,$I1409))),OR(Filter!$B$9="",ISNUMBER(SEARCH(Filter!$B$9,$F1409&amp;" "&amp;$G1409)))),COUNTIF($O$6:$O1408,"&gt;0")+1,0))</f>
        <v>0</v>
      </c>
    </row>
    <row r="1410" customFormat="false" ht="15" hidden="false" customHeight="true" outlineLevel="0" collapsed="false">
      <c r="O1410" s="1" t="n">
        <f aca="false">IF($B1410="",0,IF(AND(OR(Filter!$B$5="(alle)",$N1410=Filter!$B$5),OR(Filter!$E$5="(alle)",$K1410=Filter!$E$5),OR(Filter!$H$5="(alle)",$C1410=Filter!$H$5),OR(Filter!$B$7="(alle)",$E1410=Filter!$B$7),OR(Filter!$E$7="(alle)",ISNUMBER(SEARCH(Filter!$E$7,$J1410))),OR(Filter!$H$7="(alle)",ISNUMBER(SEARCH(Filter!$H$7,$I1410))),OR(Filter!$B$9="",ISNUMBER(SEARCH(Filter!$B$9,$F1410&amp;" "&amp;$G1410)))),COUNTIF($O$6:$O1409,"&gt;0")+1,0))</f>
        <v>0</v>
      </c>
    </row>
    <row r="1411" customFormat="false" ht="15" hidden="false" customHeight="true" outlineLevel="0" collapsed="false">
      <c r="O1411" s="1" t="n">
        <f aca="false">IF($B1411="",0,IF(AND(OR(Filter!$B$5="(alle)",$N1411=Filter!$B$5),OR(Filter!$E$5="(alle)",$K1411=Filter!$E$5),OR(Filter!$H$5="(alle)",$C1411=Filter!$H$5),OR(Filter!$B$7="(alle)",$E1411=Filter!$B$7),OR(Filter!$E$7="(alle)",ISNUMBER(SEARCH(Filter!$E$7,$J1411))),OR(Filter!$H$7="(alle)",ISNUMBER(SEARCH(Filter!$H$7,$I1411))),OR(Filter!$B$9="",ISNUMBER(SEARCH(Filter!$B$9,$F1411&amp;" "&amp;$G1411)))),COUNTIF($O$6:$O1410,"&gt;0")+1,0))</f>
        <v>0</v>
      </c>
    </row>
    <row r="1412" customFormat="false" ht="15" hidden="false" customHeight="true" outlineLevel="0" collapsed="false">
      <c r="O1412" s="1" t="n">
        <f aca="false">IF($B1412="",0,IF(AND(OR(Filter!$B$5="(alle)",$N1412=Filter!$B$5),OR(Filter!$E$5="(alle)",$K1412=Filter!$E$5),OR(Filter!$H$5="(alle)",$C1412=Filter!$H$5),OR(Filter!$B$7="(alle)",$E1412=Filter!$B$7),OR(Filter!$E$7="(alle)",ISNUMBER(SEARCH(Filter!$E$7,$J1412))),OR(Filter!$H$7="(alle)",ISNUMBER(SEARCH(Filter!$H$7,$I1412))),OR(Filter!$B$9="",ISNUMBER(SEARCH(Filter!$B$9,$F1412&amp;" "&amp;$G1412)))),COUNTIF($O$6:$O1411,"&gt;0")+1,0))</f>
        <v>0</v>
      </c>
    </row>
    <row r="1413" customFormat="false" ht="15" hidden="false" customHeight="true" outlineLevel="0" collapsed="false">
      <c r="O1413" s="1" t="n">
        <f aca="false">IF($B1413="",0,IF(AND(OR(Filter!$B$5="(alle)",$N1413=Filter!$B$5),OR(Filter!$E$5="(alle)",$K1413=Filter!$E$5),OR(Filter!$H$5="(alle)",$C1413=Filter!$H$5),OR(Filter!$B$7="(alle)",$E1413=Filter!$B$7),OR(Filter!$E$7="(alle)",ISNUMBER(SEARCH(Filter!$E$7,$J1413))),OR(Filter!$H$7="(alle)",ISNUMBER(SEARCH(Filter!$H$7,$I1413))),OR(Filter!$B$9="",ISNUMBER(SEARCH(Filter!$B$9,$F1413&amp;" "&amp;$G1413)))),COUNTIF($O$6:$O1412,"&gt;0")+1,0))</f>
        <v>0</v>
      </c>
    </row>
    <row r="1414" customFormat="false" ht="15" hidden="false" customHeight="true" outlineLevel="0" collapsed="false">
      <c r="O1414" s="1" t="n">
        <f aca="false">IF($B1414="",0,IF(AND(OR(Filter!$B$5="(alle)",$N1414=Filter!$B$5),OR(Filter!$E$5="(alle)",$K1414=Filter!$E$5),OR(Filter!$H$5="(alle)",$C1414=Filter!$H$5),OR(Filter!$B$7="(alle)",$E1414=Filter!$B$7),OR(Filter!$E$7="(alle)",ISNUMBER(SEARCH(Filter!$E$7,$J1414))),OR(Filter!$H$7="(alle)",ISNUMBER(SEARCH(Filter!$H$7,$I1414))),OR(Filter!$B$9="",ISNUMBER(SEARCH(Filter!$B$9,$F1414&amp;" "&amp;$G1414)))),COUNTIF($O$6:$O1413,"&gt;0")+1,0))</f>
        <v>0</v>
      </c>
    </row>
    <row r="1415" customFormat="false" ht="15" hidden="false" customHeight="true" outlineLevel="0" collapsed="false">
      <c r="O1415" s="1" t="n">
        <f aca="false">IF($B1415="",0,IF(AND(OR(Filter!$B$5="(alle)",$N1415=Filter!$B$5),OR(Filter!$E$5="(alle)",$K1415=Filter!$E$5),OR(Filter!$H$5="(alle)",$C1415=Filter!$H$5),OR(Filter!$B$7="(alle)",$E1415=Filter!$B$7),OR(Filter!$E$7="(alle)",ISNUMBER(SEARCH(Filter!$E$7,$J1415))),OR(Filter!$H$7="(alle)",ISNUMBER(SEARCH(Filter!$H$7,$I1415))),OR(Filter!$B$9="",ISNUMBER(SEARCH(Filter!$B$9,$F1415&amp;" "&amp;$G1415)))),COUNTIF($O$6:$O1414,"&gt;0")+1,0))</f>
        <v>0</v>
      </c>
    </row>
    <row r="1416" customFormat="false" ht="15" hidden="false" customHeight="true" outlineLevel="0" collapsed="false">
      <c r="O1416" s="1" t="n">
        <f aca="false">IF($B1416="",0,IF(AND(OR(Filter!$B$5="(alle)",$N1416=Filter!$B$5),OR(Filter!$E$5="(alle)",$K1416=Filter!$E$5),OR(Filter!$H$5="(alle)",$C1416=Filter!$H$5),OR(Filter!$B$7="(alle)",$E1416=Filter!$B$7),OR(Filter!$E$7="(alle)",ISNUMBER(SEARCH(Filter!$E$7,$J1416))),OR(Filter!$H$7="(alle)",ISNUMBER(SEARCH(Filter!$H$7,$I1416))),OR(Filter!$B$9="",ISNUMBER(SEARCH(Filter!$B$9,$F1416&amp;" "&amp;$G1416)))),COUNTIF($O$6:$O1415,"&gt;0")+1,0))</f>
        <v>0</v>
      </c>
    </row>
    <row r="1417" customFormat="false" ht="15" hidden="false" customHeight="true" outlineLevel="0" collapsed="false">
      <c r="O1417" s="1" t="n">
        <f aca="false">IF($B1417="",0,IF(AND(OR(Filter!$B$5="(alle)",$N1417=Filter!$B$5),OR(Filter!$E$5="(alle)",$K1417=Filter!$E$5),OR(Filter!$H$5="(alle)",$C1417=Filter!$H$5),OR(Filter!$B$7="(alle)",$E1417=Filter!$B$7),OR(Filter!$E$7="(alle)",ISNUMBER(SEARCH(Filter!$E$7,$J1417))),OR(Filter!$H$7="(alle)",ISNUMBER(SEARCH(Filter!$H$7,$I1417))),OR(Filter!$B$9="",ISNUMBER(SEARCH(Filter!$B$9,$F1417&amp;" "&amp;$G1417)))),COUNTIF($O$6:$O1416,"&gt;0")+1,0))</f>
        <v>0</v>
      </c>
    </row>
    <row r="1418" customFormat="false" ht="15" hidden="false" customHeight="true" outlineLevel="0" collapsed="false">
      <c r="O1418" s="1" t="n">
        <f aca="false">IF($B1418="",0,IF(AND(OR(Filter!$B$5="(alle)",$N1418=Filter!$B$5),OR(Filter!$E$5="(alle)",$K1418=Filter!$E$5),OR(Filter!$H$5="(alle)",$C1418=Filter!$H$5),OR(Filter!$B$7="(alle)",$E1418=Filter!$B$7),OR(Filter!$E$7="(alle)",ISNUMBER(SEARCH(Filter!$E$7,$J1418))),OR(Filter!$H$7="(alle)",ISNUMBER(SEARCH(Filter!$H$7,$I1418))),OR(Filter!$B$9="",ISNUMBER(SEARCH(Filter!$B$9,$F1418&amp;" "&amp;$G1418)))),COUNTIF($O$6:$O1417,"&gt;0")+1,0))</f>
        <v>0</v>
      </c>
    </row>
    <row r="1419" customFormat="false" ht="15" hidden="false" customHeight="true" outlineLevel="0" collapsed="false">
      <c r="O1419" s="1" t="n">
        <f aca="false">IF($B1419="",0,IF(AND(OR(Filter!$B$5="(alle)",$N1419=Filter!$B$5),OR(Filter!$E$5="(alle)",$K1419=Filter!$E$5),OR(Filter!$H$5="(alle)",$C1419=Filter!$H$5),OR(Filter!$B$7="(alle)",$E1419=Filter!$B$7),OR(Filter!$E$7="(alle)",ISNUMBER(SEARCH(Filter!$E$7,$J1419))),OR(Filter!$H$7="(alle)",ISNUMBER(SEARCH(Filter!$H$7,$I1419))),OR(Filter!$B$9="",ISNUMBER(SEARCH(Filter!$B$9,$F1419&amp;" "&amp;$G1419)))),COUNTIF($O$6:$O1418,"&gt;0")+1,0))</f>
        <v>0</v>
      </c>
    </row>
    <row r="1420" customFormat="false" ht="15" hidden="false" customHeight="true" outlineLevel="0" collapsed="false">
      <c r="O1420" s="1" t="n">
        <f aca="false">IF($B1420="",0,IF(AND(OR(Filter!$B$5="(alle)",$N1420=Filter!$B$5),OR(Filter!$E$5="(alle)",$K1420=Filter!$E$5),OR(Filter!$H$5="(alle)",$C1420=Filter!$H$5),OR(Filter!$B$7="(alle)",$E1420=Filter!$B$7),OR(Filter!$E$7="(alle)",ISNUMBER(SEARCH(Filter!$E$7,$J1420))),OR(Filter!$H$7="(alle)",ISNUMBER(SEARCH(Filter!$H$7,$I1420))),OR(Filter!$B$9="",ISNUMBER(SEARCH(Filter!$B$9,$F1420&amp;" "&amp;$G1420)))),COUNTIF($O$6:$O1419,"&gt;0")+1,0))</f>
        <v>0</v>
      </c>
    </row>
    <row r="1421" customFormat="false" ht="15" hidden="false" customHeight="true" outlineLevel="0" collapsed="false">
      <c r="O1421" s="1" t="n">
        <f aca="false">IF($B1421="",0,IF(AND(OR(Filter!$B$5="(alle)",$N1421=Filter!$B$5),OR(Filter!$E$5="(alle)",$K1421=Filter!$E$5),OR(Filter!$H$5="(alle)",$C1421=Filter!$H$5),OR(Filter!$B$7="(alle)",$E1421=Filter!$B$7),OR(Filter!$E$7="(alle)",ISNUMBER(SEARCH(Filter!$E$7,$J1421))),OR(Filter!$H$7="(alle)",ISNUMBER(SEARCH(Filter!$H$7,$I1421))),OR(Filter!$B$9="",ISNUMBER(SEARCH(Filter!$B$9,$F1421&amp;" "&amp;$G1421)))),COUNTIF($O$6:$O1420,"&gt;0")+1,0))</f>
        <v>0</v>
      </c>
    </row>
    <row r="1422" customFormat="false" ht="15" hidden="false" customHeight="true" outlineLevel="0" collapsed="false">
      <c r="O1422" s="1" t="n">
        <f aca="false">IF($B1422="",0,IF(AND(OR(Filter!$B$5="(alle)",$N1422=Filter!$B$5),OR(Filter!$E$5="(alle)",$K1422=Filter!$E$5),OR(Filter!$H$5="(alle)",$C1422=Filter!$H$5),OR(Filter!$B$7="(alle)",$E1422=Filter!$B$7),OR(Filter!$E$7="(alle)",ISNUMBER(SEARCH(Filter!$E$7,$J1422))),OR(Filter!$H$7="(alle)",ISNUMBER(SEARCH(Filter!$H$7,$I1422))),OR(Filter!$B$9="",ISNUMBER(SEARCH(Filter!$B$9,$F1422&amp;" "&amp;$G1422)))),COUNTIF($O$6:$O1421,"&gt;0")+1,0))</f>
        <v>0</v>
      </c>
    </row>
    <row r="1423" customFormat="false" ht="15" hidden="false" customHeight="true" outlineLevel="0" collapsed="false">
      <c r="O1423" s="1" t="n">
        <f aca="false">IF($B1423="",0,IF(AND(OR(Filter!$B$5="(alle)",$N1423=Filter!$B$5),OR(Filter!$E$5="(alle)",$K1423=Filter!$E$5),OR(Filter!$H$5="(alle)",$C1423=Filter!$H$5),OR(Filter!$B$7="(alle)",$E1423=Filter!$B$7),OR(Filter!$E$7="(alle)",ISNUMBER(SEARCH(Filter!$E$7,$J1423))),OR(Filter!$H$7="(alle)",ISNUMBER(SEARCH(Filter!$H$7,$I1423))),OR(Filter!$B$9="",ISNUMBER(SEARCH(Filter!$B$9,$F1423&amp;" "&amp;$G1423)))),COUNTIF($O$6:$O1422,"&gt;0")+1,0))</f>
        <v>0</v>
      </c>
    </row>
    <row r="1424" customFormat="false" ht="15" hidden="false" customHeight="true" outlineLevel="0" collapsed="false">
      <c r="O1424" s="1" t="n">
        <f aca="false">IF($B1424="",0,IF(AND(OR(Filter!$B$5="(alle)",$N1424=Filter!$B$5),OR(Filter!$E$5="(alle)",$K1424=Filter!$E$5),OR(Filter!$H$5="(alle)",$C1424=Filter!$H$5),OR(Filter!$B$7="(alle)",$E1424=Filter!$B$7),OR(Filter!$E$7="(alle)",ISNUMBER(SEARCH(Filter!$E$7,$J1424))),OR(Filter!$H$7="(alle)",ISNUMBER(SEARCH(Filter!$H$7,$I1424))),OR(Filter!$B$9="",ISNUMBER(SEARCH(Filter!$B$9,$F1424&amp;" "&amp;$G1424)))),COUNTIF($O$6:$O1423,"&gt;0")+1,0))</f>
        <v>0</v>
      </c>
    </row>
    <row r="1425" customFormat="false" ht="15" hidden="false" customHeight="true" outlineLevel="0" collapsed="false">
      <c r="O1425" s="1" t="n">
        <f aca="false">IF($B1425="",0,IF(AND(OR(Filter!$B$5="(alle)",$N1425=Filter!$B$5),OR(Filter!$E$5="(alle)",$K1425=Filter!$E$5),OR(Filter!$H$5="(alle)",$C1425=Filter!$H$5),OR(Filter!$B$7="(alle)",$E1425=Filter!$B$7),OR(Filter!$E$7="(alle)",ISNUMBER(SEARCH(Filter!$E$7,$J1425))),OR(Filter!$H$7="(alle)",ISNUMBER(SEARCH(Filter!$H$7,$I1425))),OR(Filter!$B$9="",ISNUMBER(SEARCH(Filter!$B$9,$F1425&amp;" "&amp;$G1425)))),COUNTIF($O$6:$O1424,"&gt;0")+1,0))</f>
        <v>0</v>
      </c>
    </row>
    <row r="1426" customFormat="false" ht="15" hidden="false" customHeight="true" outlineLevel="0" collapsed="false">
      <c r="O1426" s="1" t="n">
        <f aca="false">IF($B1426="",0,IF(AND(OR(Filter!$B$5="(alle)",$N1426=Filter!$B$5),OR(Filter!$E$5="(alle)",$K1426=Filter!$E$5),OR(Filter!$H$5="(alle)",$C1426=Filter!$H$5),OR(Filter!$B$7="(alle)",$E1426=Filter!$B$7),OR(Filter!$E$7="(alle)",ISNUMBER(SEARCH(Filter!$E$7,$J1426))),OR(Filter!$H$7="(alle)",ISNUMBER(SEARCH(Filter!$H$7,$I1426))),OR(Filter!$B$9="",ISNUMBER(SEARCH(Filter!$B$9,$F1426&amp;" "&amp;$G1426)))),COUNTIF($O$6:$O1425,"&gt;0")+1,0))</f>
        <v>0</v>
      </c>
    </row>
    <row r="1427" customFormat="false" ht="15" hidden="false" customHeight="true" outlineLevel="0" collapsed="false">
      <c r="O1427" s="1" t="n">
        <f aca="false">IF($B1427="",0,IF(AND(OR(Filter!$B$5="(alle)",$N1427=Filter!$B$5),OR(Filter!$E$5="(alle)",$K1427=Filter!$E$5),OR(Filter!$H$5="(alle)",$C1427=Filter!$H$5),OR(Filter!$B$7="(alle)",$E1427=Filter!$B$7),OR(Filter!$E$7="(alle)",ISNUMBER(SEARCH(Filter!$E$7,$J1427))),OR(Filter!$H$7="(alle)",ISNUMBER(SEARCH(Filter!$H$7,$I1427))),OR(Filter!$B$9="",ISNUMBER(SEARCH(Filter!$B$9,$F1427&amp;" "&amp;$G1427)))),COUNTIF($O$6:$O1426,"&gt;0")+1,0))</f>
        <v>0</v>
      </c>
    </row>
    <row r="1428" customFormat="false" ht="15" hidden="false" customHeight="true" outlineLevel="0" collapsed="false">
      <c r="O1428" s="1" t="n">
        <f aca="false">IF($B1428="",0,IF(AND(OR(Filter!$B$5="(alle)",$N1428=Filter!$B$5),OR(Filter!$E$5="(alle)",$K1428=Filter!$E$5),OR(Filter!$H$5="(alle)",$C1428=Filter!$H$5),OR(Filter!$B$7="(alle)",$E1428=Filter!$B$7),OR(Filter!$E$7="(alle)",ISNUMBER(SEARCH(Filter!$E$7,$J1428))),OR(Filter!$H$7="(alle)",ISNUMBER(SEARCH(Filter!$H$7,$I1428))),OR(Filter!$B$9="",ISNUMBER(SEARCH(Filter!$B$9,$F1428&amp;" "&amp;$G1428)))),COUNTIF($O$6:$O1427,"&gt;0")+1,0))</f>
        <v>0</v>
      </c>
    </row>
    <row r="1429" customFormat="false" ht="15" hidden="false" customHeight="true" outlineLevel="0" collapsed="false">
      <c r="O1429" s="1" t="n">
        <f aca="false">IF($B1429="",0,IF(AND(OR(Filter!$B$5="(alle)",$N1429=Filter!$B$5),OR(Filter!$E$5="(alle)",$K1429=Filter!$E$5),OR(Filter!$H$5="(alle)",$C1429=Filter!$H$5),OR(Filter!$B$7="(alle)",$E1429=Filter!$B$7),OR(Filter!$E$7="(alle)",ISNUMBER(SEARCH(Filter!$E$7,$J1429))),OR(Filter!$H$7="(alle)",ISNUMBER(SEARCH(Filter!$H$7,$I1429))),OR(Filter!$B$9="",ISNUMBER(SEARCH(Filter!$B$9,$F1429&amp;" "&amp;$G1429)))),COUNTIF($O$6:$O1428,"&gt;0")+1,0))</f>
        <v>0</v>
      </c>
    </row>
    <row r="1430" customFormat="false" ht="15" hidden="false" customHeight="true" outlineLevel="0" collapsed="false">
      <c r="O1430" s="1" t="n">
        <f aca="false">IF($B1430="",0,IF(AND(OR(Filter!$B$5="(alle)",$N1430=Filter!$B$5),OR(Filter!$E$5="(alle)",$K1430=Filter!$E$5),OR(Filter!$H$5="(alle)",$C1430=Filter!$H$5),OR(Filter!$B$7="(alle)",$E1430=Filter!$B$7),OR(Filter!$E$7="(alle)",ISNUMBER(SEARCH(Filter!$E$7,$J1430))),OR(Filter!$H$7="(alle)",ISNUMBER(SEARCH(Filter!$H$7,$I1430))),OR(Filter!$B$9="",ISNUMBER(SEARCH(Filter!$B$9,$F1430&amp;" "&amp;$G1430)))),COUNTIF($O$6:$O1429,"&gt;0")+1,0))</f>
        <v>0</v>
      </c>
    </row>
    <row r="1431" customFormat="false" ht="15" hidden="false" customHeight="true" outlineLevel="0" collapsed="false">
      <c r="O1431" s="1" t="n">
        <f aca="false">IF($B1431="",0,IF(AND(OR(Filter!$B$5="(alle)",$N1431=Filter!$B$5),OR(Filter!$E$5="(alle)",$K1431=Filter!$E$5),OR(Filter!$H$5="(alle)",$C1431=Filter!$H$5),OR(Filter!$B$7="(alle)",$E1431=Filter!$B$7),OR(Filter!$E$7="(alle)",ISNUMBER(SEARCH(Filter!$E$7,$J1431))),OR(Filter!$H$7="(alle)",ISNUMBER(SEARCH(Filter!$H$7,$I1431))),OR(Filter!$B$9="",ISNUMBER(SEARCH(Filter!$B$9,$F1431&amp;" "&amp;$G1431)))),COUNTIF($O$6:$O1430,"&gt;0")+1,0))</f>
        <v>0</v>
      </c>
    </row>
    <row r="1432" customFormat="false" ht="15" hidden="false" customHeight="true" outlineLevel="0" collapsed="false">
      <c r="O1432" s="1" t="n">
        <f aca="false">IF($B1432="",0,IF(AND(OR(Filter!$B$5="(alle)",$N1432=Filter!$B$5),OR(Filter!$E$5="(alle)",$K1432=Filter!$E$5),OR(Filter!$H$5="(alle)",$C1432=Filter!$H$5),OR(Filter!$B$7="(alle)",$E1432=Filter!$B$7),OR(Filter!$E$7="(alle)",ISNUMBER(SEARCH(Filter!$E$7,$J1432))),OR(Filter!$H$7="(alle)",ISNUMBER(SEARCH(Filter!$H$7,$I1432))),OR(Filter!$B$9="",ISNUMBER(SEARCH(Filter!$B$9,$F1432&amp;" "&amp;$G1432)))),COUNTIF($O$6:$O1431,"&gt;0")+1,0))</f>
        <v>0</v>
      </c>
    </row>
    <row r="1433" customFormat="false" ht="15" hidden="false" customHeight="true" outlineLevel="0" collapsed="false">
      <c r="O1433" s="1" t="n">
        <f aca="false">IF($B1433="",0,IF(AND(OR(Filter!$B$5="(alle)",$N1433=Filter!$B$5),OR(Filter!$E$5="(alle)",$K1433=Filter!$E$5),OR(Filter!$H$5="(alle)",$C1433=Filter!$H$5),OR(Filter!$B$7="(alle)",$E1433=Filter!$B$7),OR(Filter!$E$7="(alle)",ISNUMBER(SEARCH(Filter!$E$7,$J1433))),OR(Filter!$H$7="(alle)",ISNUMBER(SEARCH(Filter!$H$7,$I1433))),OR(Filter!$B$9="",ISNUMBER(SEARCH(Filter!$B$9,$F1433&amp;" "&amp;$G1433)))),COUNTIF($O$6:$O1432,"&gt;0")+1,0))</f>
        <v>0</v>
      </c>
    </row>
    <row r="1434" customFormat="false" ht="15" hidden="false" customHeight="true" outlineLevel="0" collapsed="false">
      <c r="O1434" s="1" t="n">
        <f aca="false">IF($B1434="",0,IF(AND(OR(Filter!$B$5="(alle)",$N1434=Filter!$B$5),OR(Filter!$E$5="(alle)",$K1434=Filter!$E$5),OR(Filter!$H$5="(alle)",$C1434=Filter!$H$5),OR(Filter!$B$7="(alle)",$E1434=Filter!$B$7),OR(Filter!$E$7="(alle)",ISNUMBER(SEARCH(Filter!$E$7,$J1434))),OR(Filter!$H$7="(alle)",ISNUMBER(SEARCH(Filter!$H$7,$I1434))),OR(Filter!$B$9="",ISNUMBER(SEARCH(Filter!$B$9,$F1434&amp;" "&amp;$G1434)))),COUNTIF($O$6:$O1433,"&gt;0")+1,0))</f>
        <v>0</v>
      </c>
    </row>
    <row r="1435" customFormat="false" ht="15" hidden="false" customHeight="true" outlineLevel="0" collapsed="false">
      <c r="O1435" s="1" t="n">
        <f aca="false">IF($B1435="",0,IF(AND(OR(Filter!$B$5="(alle)",$N1435=Filter!$B$5),OR(Filter!$E$5="(alle)",$K1435=Filter!$E$5),OR(Filter!$H$5="(alle)",$C1435=Filter!$H$5),OR(Filter!$B$7="(alle)",$E1435=Filter!$B$7),OR(Filter!$E$7="(alle)",ISNUMBER(SEARCH(Filter!$E$7,$J1435))),OR(Filter!$H$7="(alle)",ISNUMBER(SEARCH(Filter!$H$7,$I1435))),OR(Filter!$B$9="",ISNUMBER(SEARCH(Filter!$B$9,$F1435&amp;" "&amp;$G1435)))),COUNTIF($O$6:$O1434,"&gt;0")+1,0))</f>
        <v>0</v>
      </c>
    </row>
    <row r="1436" customFormat="false" ht="15" hidden="false" customHeight="true" outlineLevel="0" collapsed="false">
      <c r="O1436" s="1" t="n">
        <f aca="false">IF($B1436="",0,IF(AND(OR(Filter!$B$5="(alle)",$N1436=Filter!$B$5),OR(Filter!$E$5="(alle)",$K1436=Filter!$E$5),OR(Filter!$H$5="(alle)",$C1436=Filter!$H$5),OR(Filter!$B$7="(alle)",$E1436=Filter!$B$7),OR(Filter!$E$7="(alle)",ISNUMBER(SEARCH(Filter!$E$7,$J1436))),OR(Filter!$H$7="(alle)",ISNUMBER(SEARCH(Filter!$H$7,$I1436))),OR(Filter!$B$9="",ISNUMBER(SEARCH(Filter!$B$9,$F1436&amp;" "&amp;$G1436)))),COUNTIF($O$6:$O1435,"&gt;0")+1,0))</f>
        <v>0</v>
      </c>
    </row>
    <row r="1437" customFormat="false" ht="15" hidden="false" customHeight="true" outlineLevel="0" collapsed="false">
      <c r="O1437" s="1" t="n">
        <f aca="false">IF($B1437="",0,IF(AND(OR(Filter!$B$5="(alle)",$N1437=Filter!$B$5),OR(Filter!$E$5="(alle)",$K1437=Filter!$E$5),OR(Filter!$H$5="(alle)",$C1437=Filter!$H$5),OR(Filter!$B$7="(alle)",$E1437=Filter!$B$7),OR(Filter!$E$7="(alle)",ISNUMBER(SEARCH(Filter!$E$7,$J1437))),OR(Filter!$H$7="(alle)",ISNUMBER(SEARCH(Filter!$H$7,$I1437))),OR(Filter!$B$9="",ISNUMBER(SEARCH(Filter!$B$9,$F1437&amp;" "&amp;$G1437)))),COUNTIF($O$6:$O1436,"&gt;0")+1,0))</f>
        <v>0</v>
      </c>
    </row>
    <row r="1438" customFormat="false" ht="15" hidden="false" customHeight="true" outlineLevel="0" collapsed="false">
      <c r="O1438" s="1" t="n">
        <f aca="false">IF($B1438="",0,IF(AND(OR(Filter!$B$5="(alle)",$N1438=Filter!$B$5),OR(Filter!$E$5="(alle)",$K1438=Filter!$E$5),OR(Filter!$H$5="(alle)",$C1438=Filter!$H$5),OR(Filter!$B$7="(alle)",$E1438=Filter!$B$7),OR(Filter!$E$7="(alle)",ISNUMBER(SEARCH(Filter!$E$7,$J1438))),OR(Filter!$H$7="(alle)",ISNUMBER(SEARCH(Filter!$H$7,$I1438))),OR(Filter!$B$9="",ISNUMBER(SEARCH(Filter!$B$9,$F1438&amp;" "&amp;$G1438)))),COUNTIF($O$6:$O1437,"&gt;0")+1,0))</f>
        <v>0</v>
      </c>
    </row>
    <row r="1439" customFormat="false" ht="15" hidden="false" customHeight="true" outlineLevel="0" collapsed="false">
      <c r="O1439" s="1" t="n">
        <f aca="false">IF($B1439="",0,IF(AND(OR(Filter!$B$5="(alle)",$N1439=Filter!$B$5),OR(Filter!$E$5="(alle)",$K1439=Filter!$E$5),OR(Filter!$H$5="(alle)",$C1439=Filter!$H$5),OR(Filter!$B$7="(alle)",$E1439=Filter!$B$7),OR(Filter!$E$7="(alle)",ISNUMBER(SEARCH(Filter!$E$7,$J1439))),OR(Filter!$H$7="(alle)",ISNUMBER(SEARCH(Filter!$H$7,$I1439))),OR(Filter!$B$9="",ISNUMBER(SEARCH(Filter!$B$9,$F1439&amp;" "&amp;$G1439)))),COUNTIF($O$6:$O1438,"&gt;0")+1,0))</f>
        <v>0</v>
      </c>
    </row>
    <row r="1440" customFormat="false" ht="15" hidden="false" customHeight="true" outlineLevel="0" collapsed="false">
      <c r="O1440" s="1" t="n">
        <f aca="false">IF($B1440="",0,IF(AND(OR(Filter!$B$5="(alle)",$N1440=Filter!$B$5),OR(Filter!$E$5="(alle)",$K1440=Filter!$E$5),OR(Filter!$H$5="(alle)",$C1440=Filter!$H$5),OR(Filter!$B$7="(alle)",$E1440=Filter!$B$7),OR(Filter!$E$7="(alle)",ISNUMBER(SEARCH(Filter!$E$7,$J1440))),OR(Filter!$H$7="(alle)",ISNUMBER(SEARCH(Filter!$H$7,$I1440))),OR(Filter!$B$9="",ISNUMBER(SEARCH(Filter!$B$9,$F1440&amp;" "&amp;$G1440)))),COUNTIF($O$6:$O1439,"&gt;0")+1,0))</f>
        <v>0</v>
      </c>
    </row>
    <row r="1441" customFormat="false" ht="15" hidden="false" customHeight="true" outlineLevel="0" collapsed="false">
      <c r="O1441" s="1" t="n">
        <f aca="false">IF($B1441="",0,IF(AND(OR(Filter!$B$5="(alle)",$N1441=Filter!$B$5),OR(Filter!$E$5="(alle)",$K1441=Filter!$E$5),OR(Filter!$H$5="(alle)",$C1441=Filter!$H$5),OR(Filter!$B$7="(alle)",$E1441=Filter!$B$7),OR(Filter!$E$7="(alle)",ISNUMBER(SEARCH(Filter!$E$7,$J1441))),OR(Filter!$H$7="(alle)",ISNUMBER(SEARCH(Filter!$H$7,$I1441))),OR(Filter!$B$9="",ISNUMBER(SEARCH(Filter!$B$9,$F1441&amp;" "&amp;$G1441)))),COUNTIF($O$6:$O1440,"&gt;0")+1,0))</f>
        <v>0</v>
      </c>
    </row>
    <row r="1442" customFormat="false" ht="15" hidden="false" customHeight="true" outlineLevel="0" collapsed="false">
      <c r="O1442" s="1" t="n">
        <f aca="false">IF($B1442="",0,IF(AND(OR(Filter!$B$5="(alle)",$N1442=Filter!$B$5),OR(Filter!$E$5="(alle)",$K1442=Filter!$E$5),OR(Filter!$H$5="(alle)",$C1442=Filter!$H$5),OR(Filter!$B$7="(alle)",$E1442=Filter!$B$7),OR(Filter!$E$7="(alle)",ISNUMBER(SEARCH(Filter!$E$7,$J1442))),OR(Filter!$H$7="(alle)",ISNUMBER(SEARCH(Filter!$H$7,$I1442))),OR(Filter!$B$9="",ISNUMBER(SEARCH(Filter!$B$9,$F1442&amp;" "&amp;$G1442)))),COUNTIF($O$6:$O1441,"&gt;0")+1,0))</f>
        <v>0</v>
      </c>
    </row>
    <row r="1443" customFormat="false" ht="15" hidden="false" customHeight="true" outlineLevel="0" collapsed="false">
      <c r="O1443" s="1" t="n">
        <f aca="false">IF($B1443="",0,IF(AND(OR(Filter!$B$5="(alle)",$N1443=Filter!$B$5),OR(Filter!$E$5="(alle)",$K1443=Filter!$E$5),OR(Filter!$H$5="(alle)",$C1443=Filter!$H$5),OR(Filter!$B$7="(alle)",$E1443=Filter!$B$7),OR(Filter!$E$7="(alle)",ISNUMBER(SEARCH(Filter!$E$7,$J1443))),OR(Filter!$H$7="(alle)",ISNUMBER(SEARCH(Filter!$H$7,$I1443))),OR(Filter!$B$9="",ISNUMBER(SEARCH(Filter!$B$9,$F1443&amp;" "&amp;$G1443)))),COUNTIF($O$6:$O1442,"&gt;0")+1,0))</f>
        <v>0</v>
      </c>
    </row>
    <row r="1444" customFormat="false" ht="15" hidden="false" customHeight="true" outlineLevel="0" collapsed="false">
      <c r="O1444" s="1" t="n">
        <f aca="false">IF($B1444="",0,IF(AND(OR(Filter!$B$5="(alle)",$N1444=Filter!$B$5),OR(Filter!$E$5="(alle)",$K1444=Filter!$E$5),OR(Filter!$H$5="(alle)",$C1444=Filter!$H$5),OR(Filter!$B$7="(alle)",$E1444=Filter!$B$7),OR(Filter!$E$7="(alle)",ISNUMBER(SEARCH(Filter!$E$7,$J1444))),OR(Filter!$H$7="(alle)",ISNUMBER(SEARCH(Filter!$H$7,$I1444))),OR(Filter!$B$9="",ISNUMBER(SEARCH(Filter!$B$9,$F1444&amp;" "&amp;$G1444)))),COUNTIF($O$6:$O1443,"&gt;0")+1,0))</f>
        <v>0</v>
      </c>
    </row>
    <row r="1445" customFormat="false" ht="15" hidden="false" customHeight="true" outlineLevel="0" collapsed="false">
      <c r="O1445" s="1" t="n">
        <f aca="false">IF($B1445="",0,IF(AND(OR(Filter!$B$5="(alle)",$N1445=Filter!$B$5),OR(Filter!$E$5="(alle)",$K1445=Filter!$E$5),OR(Filter!$H$5="(alle)",$C1445=Filter!$H$5),OR(Filter!$B$7="(alle)",$E1445=Filter!$B$7),OR(Filter!$E$7="(alle)",ISNUMBER(SEARCH(Filter!$E$7,$J1445))),OR(Filter!$H$7="(alle)",ISNUMBER(SEARCH(Filter!$H$7,$I1445))),OR(Filter!$B$9="",ISNUMBER(SEARCH(Filter!$B$9,$F1445&amp;" "&amp;$G1445)))),COUNTIF($O$6:$O1444,"&gt;0")+1,0))</f>
        <v>0</v>
      </c>
    </row>
    <row r="1446" customFormat="false" ht="15" hidden="false" customHeight="true" outlineLevel="0" collapsed="false">
      <c r="O1446" s="1" t="n">
        <f aca="false">IF($B1446="",0,IF(AND(OR(Filter!$B$5="(alle)",$N1446=Filter!$B$5),OR(Filter!$E$5="(alle)",$K1446=Filter!$E$5),OR(Filter!$H$5="(alle)",$C1446=Filter!$H$5),OR(Filter!$B$7="(alle)",$E1446=Filter!$B$7),OR(Filter!$E$7="(alle)",ISNUMBER(SEARCH(Filter!$E$7,$J1446))),OR(Filter!$H$7="(alle)",ISNUMBER(SEARCH(Filter!$H$7,$I1446))),OR(Filter!$B$9="",ISNUMBER(SEARCH(Filter!$B$9,$F1446&amp;" "&amp;$G1446)))),COUNTIF($O$6:$O1445,"&gt;0")+1,0))</f>
        <v>0</v>
      </c>
    </row>
    <row r="1447" customFormat="false" ht="15" hidden="false" customHeight="true" outlineLevel="0" collapsed="false">
      <c r="O1447" s="1" t="n">
        <f aca="false">IF($B1447="",0,IF(AND(OR(Filter!$B$5="(alle)",$N1447=Filter!$B$5),OR(Filter!$E$5="(alle)",$K1447=Filter!$E$5),OR(Filter!$H$5="(alle)",$C1447=Filter!$H$5),OR(Filter!$B$7="(alle)",$E1447=Filter!$B$7),OR(Filter!$E$7="(alle)",ISNUMBER(SEARCH(Filter!$E$7,$J1447))),OR(Filter!$H$7="(alle)",ISNUMBER(SEARCH(Filter!$H$7,$I1447))),OR(Filter!$B$9="",ISNUMBER(SEARCH(Filter!$B$9,$F1447&amp;" "&amp;$G1447)))),COUNTIF($O$6:$O1446,"&gt;0")+1,0))</f>
        <v>0</v>
      </c>
    </row>
    <row r="1448" customFormat="false" ht="15" hidden="false" customHeight="true" outlineLevel="0" collapsed="false">
      <c r="O1448" s="1" t="n">
        <f aca="false">IF($B1448="",0,IF(AND(OR(Filter!$B$5="(alle)",$N1448=Filter!$B$5),OR(Filter!$E$5="(alle)",$K1448=Filter!$E$5),OR(Filter!$H$5="(alle)",$C1448=Filter!$H$5),OR(Filter!$B$7="(alle)",$E1448=Filter!$B$7),OR(Filter!$E$7="(alle)",ISNUMBER(SEARCH(Filter!$E$7,$J1448))),OR(Filter!$H$7="(alle)",ISNUMBER(SEARCH(Filter!$H$7,$I1448))),OR(Filter!$B$9="",ISNUMBER(SEARCH(Filter!$B$9,$F1448&amp;" "&amp;$G1448)))),COUNTIF($O$6:$O1447,"&gt;0")+1,0))</f>
        <v>0</v>
      </c>
    </row>
    <row r="1449" customFormat="false" ht="15" hidden="false" customHeight="true" outlineLevel="0" collapsed="false">
      <c r="O1449" s="1" t="n">
        <f aca="false">IF($B1449="",0,IF(AND(OR(Filter!$B$5="(alle)",$N1449=Filter!$B$5),OR(Filter!$E$5="(alle)",$K1449=Filter!$E$5),OR(Filter!$H$5="(alle)",$C1449=Filter!$H$5),OR(Filter!$B$7="(alle)",$E1449=Filter!$B$7),OR(Filter!$E$7="(alle)",ISNUMBER(SEARCH(Filter!$E$7,$J1449))),OR(Filter!$H$7="(alle)",ISNUMBER(SEARCH(Filter!$H$7,$I1449))),OR(Filter!$B$9="",ISNUMBER(SEARCH(Filter!$B$9,$F1449&amp;" "&amp;$G1449)))),COUNTIF($O$6:$O1448,"&gt;0")+1,0))</f>
        <v>0</v>
      </c>
    </row>
    <row r="1450" customFormat="false" ht="15" hidden="false" customHeight="true" outlineLevel="0" collapsed="false">
      <c r="O1450" s="1" t="n">
        <f aca="false">IF($B1450="",0,IF(AND(OR(Filter!$B$5="(alle)",$N1450=Filter!$B$5),OR(Filter!$E$5="(alle)",$K1450=Filter!$E$5),OR(Filter!$H$5="(alle)",$C1450=Filter!$H$5),OR(Filter!$B$7="(alle)",$E1450=Filter!$B$7),OR(Filter!$E$7="(alle)",ISNUMBER(SEARCH(Filter!$E$7,$J1450))),OR(Filter!$H$7="(alle)",ISNUMBER(SEARCH(Filter!$H$7,$I1450))),OR(Filter!$B$9="",ISNUMBER(SEARCH(Filter!$B$9,$F1450&amp;" "&amp;$G1450)))),COUNTIF($O$6:$O1449,"&gt;0")+1,0))</f>
        <v>0</v>
      </c>
    </row>
    <row r="1451" customFormat="false" ht="15" hidden="false" customHeight="true" outlineLevel="0" collapsed="false">
      <c r="O1451" s="1" t="n">
        <f aca="false">IF($B1451="",0,IF(AND(OR(Filter!$B$5="(alle)",$N1451=Filter!$B$5),OR(Filter!$E$5="(alle)",$K1451=Filter!$E$5),OR(Filter!$H$5="(alle)",$C1451=Filter!$H$5),OR(Filter!$B$7="(alle)",$E1451=Filter!$B$7),OR(Filter!$E$7="(alle)",ISNUMBER(SEARCH(Filter!$E$7,$J1451))),OR(Filter!$H$7="(alle)",ISNUMBER(SEARCH(Filter!$H$7,$I1451))),OR(Filter!$B$9="",ISNUMBER(SEARCH(Filter!$B$9,$F1451&amp;" "&amp;$G1451)))),COUNTIF($O$6:$O1450,"&gt;0")+1,0))</f>
        <v>0</v>
      </c>
    </row>
    <row r="1452" customFormat="false" ht="15" hidden="false" customHeight="true" outlineLevel="0" collapsed="false">
      <c r="O1452" s="1" t="n">
        <f aca="false">IF($B1452="",0,IF(AND(OR(Filter!$B$5="(alle)",$N1452=Filter!$B$5),OR(Filter!$E$5="(alle)",$K1452=Filter!$E$5),OR(Filter!$H$5="(alle)",$C1452=Filter!$H$5),OR(Filter!$B$7="(alle)",$E1452=Filter!$B$7),OR(Filter!$E$7="(alle)",ISNUMBER(SEARCH(Filter!$E$7,$J1452))),OR(Filter!$H$7="(alle)",ISNUMBER(SEARCH(Filter!$H$7,$I1452))),OR(Filter!$B$9="",ISNUMBER(SEARCH(Filter!$B$9,$F1452&amp;" "&amp;$G1452)))),COUNTIF($O$6:$O1451,"&gt;0")+1,0))</f>
        <v>0</v>
      </c>
    </row>
    <row r="1453" customFormat="false" ht="15" hidden="false" customHeight="true" outlineLevel="0" collapsed="false">
      <c r="O1453" s="1" t="n">
        <f aca="false">IF($B1453="",0,IF(AND(OR(Filter!$B$5="(alle)",$N1453=Filter!$B$5),OR(Filter!$E$5="(alle)",$K1453=Filter!$E$5),OR(Filter!$H$5="(alle)",$C1453=Filter!$H$5),OR(Filter!$B$7="(alle)",$E1453=Filter!$B$7),OR(Filter!$E$7="(alle)",ISNUMBER(SEARCH(Filter!$E$7,$J1453))),OR(Filter!$H$7="(alle)",ISNUMBER(SEARCH(Filter!$H$7,$I1453))),OR(Filter!$B$9="",ISNUMBER(SEARCH(Filter!$B$9,$F1453&amp;" "&amp;$G1453)))),COUNTIF($O$6:$O1452,"&gt;0")+1,0))</f>
        <v>0</v>
      </c>
    </row>
    <row r="1454" customFormat="false" ht="15" hidden="false" customHeight="true" outlineLevel="0" collapsed="false">
      <c r="O1454" s="1" t="n">
        <f aca="false">IF($B1454="",0,IF(AND(OR(Filter!$B$5="(alle)",$N1454=Filter!$B$5),OR(Filter!$E$5="(alle)",$K1454=Filter!$E$5),OR(Filter!$H$5="(alle)",$C1454=Filter!$H$5),OR(Filter!$B$7="(alle)",$E1454=Filter!$B$7),OR(Filter!$E$7="(alle)",ISNUMBER(SEARCH(Filter!$E$7,$J1454))),OR(Filter!$H$7="(alle)",ISNUMBER(SEARCH(Filter!$H$7,$I1454))),OR(Filter!$B$9="",ISNUMBER(SEARCH(Filter!$B$9,$F1454&amp;" "&amp;$G1454)))),COUNTIF($O$6:$O1453,"&gt;0")+1,0))</f>
        <v>0</v>
      </c>
    </row>
    <row r="1455" customFormat="false" ht="15" hidden="false" customHeight="true" outlineLevel="0" collapsed="false">
      <c r="O1455" s="1" t="n">
        <f aca="false">IF($B1455="",0,IF(AND(OR(Filter!$B$5="(alle)",$N1455=Filter!$B$5),OR(Filter!$E$5="(alle)",$K1455=Filter!$E$5),OR(Filter!$H$5="(alle)",$C1455=Filter!$H$5),OR(Filter!$B$7="(alle)",$E1455=Filter!$B$7),OR(Filter!$E$7="(alle)",ISNUMBER(SEARCH(Filter!$E$7,$J1455))),OR(Filter!$H$7="(alle)",ISNUMBER(SEARCH(Filter!$H$7,$I1455))),OR(Filter!$B$9="",ISNUMBER(SEARCH(Filter!$B$9,$F1455&amp;" "&amp;$G1455)))),COUNTIF($O$6:$O1454,"&gt;0")+1,0))</f>
        <v>0</v>
      </c>
    </row>
    <row r="1456" customFormat="false" ht="15" hidden="false" customHeight="true" outlineLevel="0" collapsed="false">
      <c r="O1456" s="1" t="n">
        <f aca="false">IF($B1456="",0,IF(AND(OR(Filter!$B$5="(alle)",$N1456=Filter!$B$5),OR(Filter!$E$5="(alle)",$K1456=Filter!$E$5),OR(Filter!$H$5="(alle)",$C1456=Filter!$H$5),OR(Filter!$B$7="(alle)",$E1456=Filter!$B$7),OR(Filter!$E$7="(alle)",ISNUMBER(SEARCH(Filter!$E$7,$J1456))),OR(Filter!$H$7="(alle)",ISNUMBER(SEARCH(Filter!$H$7,$I1456))),OR(Filter!$B$9="",ISNUMBER(SEARCH(Filter!$B$9,$F1456&amp;" "&amp;$G1456)))),COUNTIF($O$6:$O1455,"&gt;0")+1,0))</f>
        <v>0</v>
      </c>
    </row>
    <row r="1457" customFormat="false" ht="15" hidden="false" customHeight="true" outlineLevel="0" collapsed="false">
      <c r="O1457" s="1" t="n">
        <f aca="false">IF($B1457="",0,IF(AND(OR(Filter!$B$5="(alle)",$N1457=Filter!$B$5),OR(Filter!$E$5="(alle)",$K1457=Filter!$E$5),OR(Filter!$H$5="(alle)",$C1457=Filter!$H$5),OR(Filter!$B$7="(alle)",$E1457=Filter!$B$7),OR(Filter!$E$7="(alle)",ISNUMBER(SEARCH(Filter!$E$7,$J1457))),OR(Filter!$H$7="(alle)",ISNUMBER(SEARCH(Filter!$H$7,$I1457))),OR(Filter!$B$9="",ISNUMBER(SEARCH(Filter!$B$9,$F1457&amp;" "&amp;$G1457)))),COUNTIF($O$6:$O1456,"&gt;0")+1,0))</f>
        <v>0</v>
      </c>
    </row>
    <row r="1458" customFormat="false" ht="15" hidden="false" customHeight="true" outlineLevel="0" collapsed="false">
      <c r="O1458" s="1" t="n">
        <f aca="false">IF($B1458="",0,IF(AND(OR(Filter!$B$5="(alle)",$N1458=Filter!$B$5),OR(Filter!$E$5="(alle)",$K1458=Filter!$E$5),OR(Filter!$H$5="(alle)",$C1458=Filter!$H$5),OR(Filter!$B$7="(alle)",$E1458=Filter!$B$7),OR(Filter!$E$7="(alle)",ISNUMBER(SEARCH(Filter!$E$7,$J1458))),OR(Filter!$H$7="(alle)",ISNUMBER(SEARCH(Filter!$H$7,$I1458))),OR(Filter!$B$9="",ISNUMBER(SEARCH(Filter!$B$9,$F1458&amp;" "&amp;$G1458)))),COUNTIF($O$6:$O1457,"&gt;0")+1,0))</f>
        <v>0</v>
      </c>
    </row>
    <row r="1459" customFormat="false" ht="15" hidden="false" customHeight="true" outlineLevel="0" collapsed="false">
      <c r="O1459" s="1" t="n">
        <f aca="false">IF($B1459="",0,IF(AND(OR(Filter!$B$5="(alle)",$N1459=Filter!$B$5),OR(Filter!$E$5="(alle)",$K1459=Filter!$E$5),OR(Filter!$H$5="(alle)",$C1459=Filter!$H$5),OR(Filter!$B$7="(alle)",$E1459=Filter!$B$7),OR(Filter!$E$7="(alle)",ISNUMBER(SEARCH(Filter!$E$7,$J1459))),OR(Filter!$H$7="(alle)",ISNUMBER(SEARCH(Filter!$H$7,$I1459))),OR(Filter!$B$9="",ISNUMBER(SEARCH(Filter!$B$9,$F1459&amp;" "&amp;$G1459)))),COUNTIF($O$6:$O1458,"&gt;0")+1,0))</f>
        <v>0</v>
      </c>
    </row>
    <row r="1460" customFormat="false" ht="15" hidden="false" customHeight="true" outlineLevel="0" collapsed="false">
      <c r="O1460" s="1" t="n">
        <f aca="false">IF($B1460="",0,IF(AND(OR(Filter!$B$5="(alle)",$N1460=Filter!$B$5),OR(Filter!$E$5="(alle)",$K1460=Filter!$E$5),OR(Filter!$H$5="(alle)",$C1460=Filter!$H$5),OR(Filter!$B$7="(alle)",$E1460=Filter!$B$7),OR(Filter!$E$7="(alle)",ISNUMBER(SEARCH(Filter!$E$7,$J1460))),OR(Filter!$H$7="(alle)",ISNUMBER(SEARCH(Filter!$H$7,$I1460))),OR(Filter!$B$9="",ISNUMBER(SEARCH(Filter!$B$9,$F1460&amp;" "&amp;$G1460)))),COUNTIF($O$6:$O1459,"&gt;0")+1,0))</f>
        <v>0</v>
      </c>
    </row>
    <row r="1461" customFormat="false" ht="15" hidden="false" customHeight="true" outlineLevel="0" collapsed="false">
      <c r="O1461" s="1" t="n">
        <f aca="false">IF($B1461="",0,IF(AND(OR(Filter!$B$5="(alle)",$N1461=Filter!$B$5),OR(Filter!$E$5="(alle)",$K1461=Filter!$E$5),OR(Filter!$H$5="(alle)",$C1461=Filter!$H$5),OR(Filter!$B$7="(alle)",$E1461=Filter!$B$7),OR(Filter!$E$7="(alle)",ISNUMBER(SEARCH(Filter!$E$7,$J1461))),OR(Filter!$H$7="(alle)",ISNUMBER(SEARCH(Filter!$H$7,$I1461))),OR(Filter!$B$9="",ISNUMBER(SEARCH(Filter!$B$9,$F1461&amp;" "&amp;$G1461)))),COUNTIF($O$6:$O1460,"&gt;0")+1,0))</f>
        <v>0</v>
      </c>
    </row>
    <row r="1462" customFormat="false" ht="15" hidden="false" customHeight="true" outlineLevel="0" collapsed="false">
      <c r="O1462" s="1" t="n">
        <f aca="false">IF($B1462="",0,IF(AND(OR(Filter!$B$5="(alle)",$N1462=Filter!$B$5),OR(Filter!$E$5="(alle)",$K1462=Filter!$E$5),OR(Filter!$H$5="(alle)",$C1462=Filter!$H$5),OR(Filter!$B$7="(alle)",$E1462=Filter!$B$7),OR(Filter!$E$7="(alle)",ISNUMBER(SEARCH(Filter!$E$7,$J1462))),OR(Filter!$H$7="(alle)",ISNUMBER(SEARCH(Filter!$H$7,$I1462))),OR(Filter!$B$9="",ISNUMBER(SEARCH(Filter!$B$9,$F1462&amp;" "&amp;$G1462)))),COUNTIF($O$6:$O1461,"&gt;0")+1,0))</f>
        <v>0</v>
      </c>
    </row>
    <row r="1463" customFormat="false" ht="15" hidden="false" customHeight="true" outlineLevel="0" collapsed="false">
      <c r="O1463" s="1" t="n">
        <f aca="false">IF($B1463="",0,IF(AND(OR(Filter!$B$5="(alle)",$N1463=Filter!$B$5),OR(Filter!$E$5="(alle)",$K1463=Filter!$E$5),OR(Filter!$H$5="(alle)",$C1463=Filter!$H$5),OR(Filter!$B$7="(alle)",$E1463=Filter!$B$7),OR(Filter!$E$7="(alle)",ISNUMBER(SEARCH(Filter!$E$7,$J1463))),OR(Filter!$H$7="(alle)",ISNUMBER(SEARCH(Filter!$H$7,$I1463))),OR(Filter!$B$9="",ISNUMBER(SEARCH(Filter!$B$9,$F1463&amp;" "&amp;$G1463)))),COUNTIF($O$6:$O1462,"&gt;0")+1,0))</f>
        <v>0</v>
      </c>
    </row>
    <row r="1464" customFormat="false" ht="15" hidden="false" customHeight="true" outlineLevel="0" collapsed="false">
      <c r="O1464" s="1" t="n">
        <f aca="false">IF($B1464="",0,IF(AND(OR(Filter!$B$5="(alle)",$N1464=Filter!$B$5),OR(Filter!$E$5="(alle)",$K1464=Filter!$E$5),OR(Filter!$H$5="(alle)",$C1464=Filter!$H$5),OR(Filter!$B$7="(alle)",$E1464=Filter!$B$7),OR(Filter!$E$7="(alle)",ISNUMBER(SEARCH(Filter!$E$7,$J1464))),OR(Filter!$H$7="(alle)",ISNUMBER(SEARCH(Filter!$H$7,$I1464))),OR(Filter!$B$9="",ISNUMBER(SEARCH(Filter!$B$9,$F1464&amp;" "&amp;$G1464)))),COUNTIF($O$6:$O1463,"&gt;0")+1,0))</f>
        <v>0</v>
      </c>
    </row>
    <row r="1465" customFormat="false" ht="15" hidden="false" customHeight="true" outlineLevel="0" collapsed="false">
      <c r="O1465" s="1" t="n">
        <f aca="false">IF($B1465="",0,IF(AND(OR(Filter!$B$5="(alle)",$N1465=Filter!$B$5),OR(Filter!$E$5="(alle)",$K1465=Filter!$E$5),OR(Filter!$H$5="(alle)",$C1465=Filter!$H$5),OR(Filter!$B$7="(alle)",$E1465=Filter!$B$7),OR(Filter!$E$7="(alle)",ISNUMBER(SEARCH(Filter!$E$7,$J1465))),OR(Filter!$H$7="(alle)",ISNUMBER(SEARCH(Filter!$H$7,$I1465))),OR(Filter!$B$9="",ISNUMBER(SEARCH(Filter!$B$9,$F1465&amp;" "&amp;$G1465)))),COUNTIF($O$6:$O1464,"&gt;0")+1,0))</f>
        <v>0</v>
      </c>
    </row>
    <row r="1466" customFormat="false" ht="15" hidden="false" customHeight="true" outlineLevel="0" collapsed="false">
      <c r="O1466" s="1" t="n">
        <f aca="false">IF($B1466="",0,IF(AND(OR(Filter!$B$5="(alle)",$N1466=Filter!$B$5),OR(Filter!$E$5="(alle)",$K1466=Filter!$E$5),OR(Filter!$H$5="(alle)",$C1466=Filter!$H$5),OR(Filter!$B$7="(alle)",$E1466=Filter!$B$7),OR(Filter!$E$7="(alle)",ISNUMBER(SEARCH(Filter!$E$7,$J1466))),OR(Filter!$H$7="(alle)",ISNUMBER(SEARCH(Filter!$H$7,$I1466))),OR(Filter!$B$9="",ISNUMBER(SEARCH(Filter!$B$9,$F1466&amp;" "&amp;$G1466)))),COUNTIF($O$6:$O1465,"&gt;0")+1,0))</f>
        <v>0</v>
      </c>
    </row>
    <row r="1467" customFormat="false" ht="15" hidden="false" customHeight="true" outlineLevel="0" collapsed="false">
      <c r="O1467" s="1" t="n">
        <f aca="false">IF($B1467="",0,IF(AND(OR(Filter!$B$5="(alle)",$N1467=Filter!$B$5),OR(Filter!$E$5="(alle)",$K1467=Filter!$E$5),OR(Filter!$H$5="(alle)",$C1467=Filter!$H$5),OR(Filter!$B$7="(alle)",$E1467=Filter!$B$7),OR(Filter!$E$7="(alle)",ISNUMBER(SEARCH(Filter!$E$7,$J1467))),OR(Filter!$H$7="(alle)",ISNUMBER(SEARCH(Filter!$H$7,$I1467))),OR(Filter!$B$9="",ISNUMBER(SEARCH(Filter!$B$9,$F1467&amp;" "&amp;$G1467)))),COUNTIF($O$6:$O1466,"&gt;0")+1,0))</f>
        <v>0</v>
      </c>
    </row>
    <row r="1468" customFormat="false" ht="15" hidden="false" customHeight="true" outlineLevel="0" collapsed="false">
      <c r="O1468" s="1" t="n">
        <f aca="false">IF($B1468="",0,IF(AND(OR(Filter!$B$5="(alle)",$N1468=Filter!$B$5),OR(Filter!$E$5="(alle)",$K1468=Filter!$E$5),OR(Filter!$H$5="(alle)",$C1468=Filter!$H$5),OR(Filter!$B$7="(alle)",$E1468=Filter!$B$7),OR(Filter!$E$7="(alle)",ISNUMBER(SEARCH(Filter!$E$7,$J1468))),OR(Filter!$H$7="(alle)",ISNUMBER(SEARCH(Filter!$H$7,$I1468))),OR(Filter!$B$9="",ISNUMBER(SEARCH(Filter!$B$9,$F1468&amp;" "&amp;$G1468)))),COUNTIF($O$6:$O1467,"&gt;0")+1,0))</f>
        <v>0</v>
      </c>
    </row>
    <row r="1469" customFormat="false" ht="15" hidden="false" customHeight="true" outlineLevel="0" collapsed="false">
      <c r="O1469" s="1" t="n">
        <f aca="false">IF($B1469="",0,IF(AND(OR(Filter!$B$5="(alle)",$N1469=Filter!$B$5),OR(Filter!$E$5="(alle)",$K1469=Filter!$E$5),OR(Filter!$H$5="(alle)",$C1469=Filter!$H$5),OR(Filter!$B$7="(alle)",$E1469=Filter!$B$7),OR(Filter!$E$7="(alle)",ISNUMBER(SEARCH(Filter!$E$7,$J1469))),OR(Filter!$H$7="(alle)",ISNUMBER(SEARCH(Filter!$H$7,$I1469))),OR(Filter!$B$9="",ISNUMBER(SEARCH(Filter!$B$9,$F1469&amp;" "&amp;$G1469)))),COUNTIF($O$6:$O1468,"&gt;0")+1,0))</f>
        <v>0</v>
      </c>
    </row>
    <row r="1470" customFormat="false" ht="15" hidden="false" customHeight="true" outlineLevel="0" collapsed="false">
      <c r="O1470" s="1" t="n">
        <f aca="false">IF($B1470="",0,IF(AND(OR(Filter!$B$5="(alle)",$N1470=Filter!$B$5),OR(Filter!$E$5="(alle)",$K1470=Filter!$E$5),OR(Filter!$H$5="(alle)",$C1470=Filter!$H$5),OR(Filter!$B$7="(alle)",$E1470=Filter!$B$7),OR(Filter!$E$7="(alle)",ISNUMBER(SEARCH(Filter!$E$7,$J1470))),OR(Filter!$H$7="(alle)",ISNUMBER(SEARCH(Filter!$H$7,$I1470))),OR(Filter!$B$9="",ISNUMBER(SEARCH(Filter!$B$9,$F1470&amp;" "&amp;$G1470)))),COUNTIF($O$6:$O1469,"&gt;0")+1,0))</f>
        <v>0</v>
      </c>
    </row>
    <row r="1471" customFormat="false" ht="15" hidden="false" customHeight="true" outlineLevel="0" collapsed="false">
      <c r="O1471" s="1" t="n">
        <f aca="false">IF($B1471="",0,IF(AND(OR(Filter!$B$5="(alle)",$N1471=Filter!$B$5),OR(Filter!$E$5="(alle)",$K1471=Filter!$E$5),OR(Filter!$H$5="(alle)",$C1471=Filter!$H$5),OR(Filter!$B$7="(alle)",$E1471=Filter!$B$7),OR(Filter!$E$7="(alle)",ISNUMBER(SEARCH(Filter!$E$7,$J1471))),OR(Filter!$H$7="(alle)",ISNUMBER(SEARCH(Filter!$H$7,$I1471))),OR(Filter!$B$9="",ISNUMBER(SEARCH(Filter!$B$9,$F1471&amp;" "&amp;$G1471)))),COUNTIF($O$6:$O1470,"&gt;0")+1,0))</f>
        <v>0</v>
      </c>
    </row>
    <row r="1472" customFormat="false" ht="15" hidden="false" customHeight="true" outlineLevel="0" collapsed="false">
      <c r="O1472" s="1" t="n">
        <f aca="false">IF($B1472="",0,IF(AND(OR(Filter!$B$5="(alle)",$N1472=Filter!$B$5),OR(Filter!$E$5="(alle)",$K1472=Filter!$E$5),OR(Filter!$H$5="(alle)",$C1472=Filter!$H$5),OR(Filter!$B$7="(alle)",$E1472=Filter!$B$7),OR(Filter!$E$7="(alle)",ISNUMBER(SEARCH(Filter!$E$7,$J1472))),OR(Filter!$H$7="(alle)",ISNUMBER(SEARCH(Filter!$H$7,$I1472))),OR(Filter!$B$9="",ISNUMBER(SEARCH(Filter!$B$9,$F1472&amp;" "&amp;$G1472)))),COUNTIF($O$6:$O1471,"&gt;0")+1,0))</f>
        <v>0</v>
      </c>
    </row>
    <row r="1473" customFormat="false" ht="15" hidden="false" customHeight="true" outlineLevel="0" collapsed="false">
      <c r="O1473" s="1" t="n">
        <f aca="false">IF($B1473="",0,IF(AND(OR(Filter!$B$5="(alle)",$N1473=Filter!$B$5),OR(Filter!$E$5="(alle)",$K1473=Filter!$E$5),OR(Filter!$H$5="(alle)",$C1473=Filter!$H$5),OR(Filter!$B$7="(alle)",$E1473=Filter!$B$7),OR(Filter!$E$7="(alle)",ISNUMBER(SEARCH(Filter!$E$7,$J1473))),OR(Filter!$H$7="(alle)",ISNUMBER(SEARCH(Filter!$H$7,$I1473))),OR(Filter!$B$9="",ISNUMBER(SEARCH(Filter!$B$9,$F1473&amp;" "&amp;$G1473)))),COUNTIF($O$6:$O1472,"&gt;0")+1,0))</f>
        <v>0</v>
      </c>
    </row>
    <row r="1474" customFormat="false" ht="15" hidden="false" customHeight="true" outlineLevel="0" collapsed="false">
      <c r="O1474" s="1" t="n">
        <f aca="false">IF($B1474="",0,IF(AND(OR(Filter!$B$5="(alle)",$N1474=Filter!$B$5),OR(Filter!$E$5="(alle)",$K1474=Filter!$E$5),OR(Filter!$H$5="(alle)",$C1474=Filter!$H$5),OR(Filter!$B$7="(alle)",$E1474=Filter!$B$7),OR(Filter!$E$7="(alle)",ISNUMBER(SEARCH(Filter!$E$7,$J1474))),OR(Filter!$H$7="(alle)",ISNUMBER(SEARCH(Filter!$H$7,$I1474))),OR(Filter!$B$9="",ISNUMBER(SEARCH(Filter!$B$9,$F1474&amp;" "&amp;$G1474)))),COUNTIF($O$6:$O1473,"&gt;0")+1,0))</f>
        <v>0</v>
      </c>
    </row>
    <row r="1475" customFormat="false" ht="15" hidden="false" customHeight="true" outlineLevel="0" collapsed="false">
      <c r="O1475" s="1" t="n">
        <f aca="false">IF($B1475="",0,IF(AND(OR(Filter!$B$5="(alle)",$N1475=Filter!$B$5),OR(Filter!$E$5="(alle)",$K1475=Filter!$E$5),OR(Filter!$H$5="(alle)",$C1475=Filter!$H$5),OR(Filter!$B$7="(alle)",$E1475=Filter!$B$7),OR(Filter!$E$7="(alle)",ISNUMBER(SEARCH(Filter!$E$7,$J1475))),OR(Filter!$H$7="(alle)",ISNUMBER(SEARCH(Filter!$H$7,$I1475))),OR(Filter!$B$9="",ISNUMBER(SEARCH(Filter!$B$9,$F1475&amp;" "&amp;$G1475)))),COUNTIF($O$6:$O1474,"&gt;0")+1,0))</f>
        <v>0</v>
      </c>
    </row>
    <row r="1476" customFormat="false" ht="15" hidden="false" customHeight="true" outlineLevel="0" collapsed="false">
      <c r="O1476" s="1" t="n">
        <f aca="false">IF($B1476="",0,IF(AND(OR(Filter!$B$5="(alle)",$N1476=Filter!$B$5),OR(Filter!$E$5="(alle)",$K1476=Filter!$E$5),OR(Filter!$H$5="(alle)",$C1476=Filter!$H$5),OR(Filter!$B$7="(alle)",$E1476=Filter!$B$7),OR(Filter!$E$7="(alle)",ISNUMBER(SEARCH(Filter!$E$7,$J1476))),OR(Filter!$H$7="(alle)",ISNUMBER(SEARCH(Filter!$H$7,$I1476))),OR(Filter!$B$9="",ISNUMBER(SEARCH(Filter!$B$9,$F1476&amp;" "&amp;$G1476)))),COUNTIF($O$6:$O1475,"&gt;0")+1,0))</f>
        <v>0</v>
      </c>
    </row>
    <row r="1477" customFormat="false" ht="15" hidden="false" customHeight="true" outlineLevel="0" collapsed="false">
      <c r="O1477" s="1" t="n">
        <f aca="false">IF($B1477="",0,IF(AND(OR(Filter!$B$5="(alle)",$N1477=Filter!$B$5),OR(Filter!$E$5="(alle)",$K1477=Filter!$E$5),OR(Filter!$H$5="(alle)",$C1477=Filter!$H$5),OR(Filter!$B$7="(alle)",$E1477=Filter!$B$7),OR(Filter!$E$7="(alle)",ISNUMBER(SEARCH(Filter!$E$7,$J1477))),OR(Filter!$H$7="(alle)",ISNUMBER(SEARCH(Filter!$H$7,$I1477))),OR(Filter!$B$9="",ISNUMBER(SEARCH(Filter!$B$9,$F1477&amp;" "&amp;$G1477)))),COUNTIF($O$6:$O1476,"&gt;0")+1,0))</f>
        <v>0</v>
      </c>
    </row>
    <row r="1478" customFormat="false" ht="15" hidden="false" customHeight="true" outlineLevel="0" collapsed="false">
      <c r="O1478" s="1" t="n">
        <f aca="false">IF($B1478="",0,IF(AND(OR(Filter!$B$5="(alle)",$N1478=Filter!$B$5),OR(Filter!$E$5="(alle)",$K1478=Filter!$E$5),OR(Filter!$H$5="(alle)",$C1478=Filter!$H$5),OR(Filter!$B$7="(alle)",$E1478=Filter!$B$7),OR(Filter!$E$7="(alle)",ISNUMBER(SEARCH(Filter!$E$7,$J1478))),OR(Filter!$H$7="(alle)",ISNUMBER(SEARCH(Filter!$H$7,$I1478))),OR(Filter!$B$9="",ISNUMBER(SEARCH(Filter!$B$9,$F1478&amp;" "&amp;$G1478)))),COUNTIF($O$6:$O1477,"&gt;0")+1,0))</f>
        <v>0</v>
      </c>
    </row>
    <row r="1479" customFormat="false" ht="15" hidden="false" customHeight="true" outlineLevel="0" collapsed="false">
      <c r="O1479" s="1" t="n">
        <f aca="false">IF($B1479="",0,IF(AND(OR(Filter!$B$5="(alle)",$N1479=Filter!$B$5),OR(Filter!$E$5="(alle)",$K1479=Filter!$E$5),OR(Filter!$H$5="(alle)",$C1479=Filter!$H$5),OR(Filter!$B$7="(alle)",$E1479=Filter!$B$7),OR(Filter!$E$7="(alle)",ISNUMBER(SEARCH(Filter!$E$7,$J1479))),OR(Filter!$H$7="(alle)",ISNUMBER(SEARCH(Filter!$H$7,$I1479))),OR(Filter!$B$9="",ISNUMBER(SEARCH(Filter!$B$9,$F1479&amp;" "&amp;$G1479)))),COUNTIF($O$6:$O1478,"&gt;0")+1,0))</f>
        <v>0</v>
      </c>
    </row>
    <row r="1480" customFormat="false" ht="15" hidden="false" customHeight="true" outlineLevel="0" collapsed="false">
      <c r="O1480" s="1" t="n">
        <f aca="false">IF($B1480="",0,IF(AND(OR(Filter!$B$5="(alle)",$N1480=Filter!$B$5),OR(Filter!$E$5="(alle)",$K1480=Filter!$E$5),OR(Filter!$H$5="(alle)",$C1480=Filter!$H$5),OR(Filter!$B$7="(alle)",$E1480=Filter!$B$7),OR(Filter!$E$7="(alle)",ISNUMBER(SEARCH(Filter!$E$7,$J1480))),OR(Filter!$H$7="(alle)",ISNUMBER(SEARCH(Filter!$H$7,$I1480))),OR(Filter!$B$9="",ISNUMBER(SEARCH(Filter!$B$9,$F1480&amp;" "&amp;$G1480)))),COUNTIF($O$6:$O1479,"&gt;0")+1,0))</f>
        <v>0</v>
      </c>
    </row>
    <row r="1481" customFormat="false" ht="15" hidden="false" customHeight="true" outlineLevel="0" collapsed="false">
      <c r="O1481" s="1" t="n">
        <f aca="false">IF($B1481="",0,IF(AND(OR(Filter!$B$5="(alle)",$N1481=Filter!$B$5),OR(Filter!$E$5="(alle)",$K1481=Filter!$E$5),OR(Filter!$H$5="(alle)",$C1481=Filter!$H$5),OR(Filter!$B$7="(alle)",$E1481=Filter!$B$7),OR(Filter!$E$7="(alle)",ISNUMBER(SEARCH(Filter!$E$7,$J1481))),OR(Filter!$H$7="(alle)",ISNUMBER(SEARCH(Filter!$H$7,$I1481))),OR(Filter!$B$9="",ISNUMBER(SEARCH(Filter!$B$9,$F1481&amp;" "&amp;$G1481)))),COUNTIF($O$6:$O1480,"&gt;0")+1,0))</f>
        <v>0</v>
      </c>
    </row>
    <row r="1482" customFormat="false" ht="15" hidden="false" customHeight="true" outlineLevel="0" collapsed="false">
      <c r="O1482" s="1" t="n">
        <f aca="false">IF($B1482="",0,IF(AND(OR(Filter!$B$5="(alle)",$N1482=Filter!$B$5),OR(Filter!$E$5="(alle)",$K1482=Filter!$E$5),OR(Filter!$H$5="(alle)",$C1482=Filter!$H$5),OR(Filter!$B$7="(alle)",$E1482=Filter!$B$7),OR(Filter!$E$7="(alle)",ISNUMBER(SEARCH(Filter!$E$7,$J1482))),OR(Filter!$H$7="(alle)",ISNUMBER(SEARCH(Filter!$H$7,$I1482))),OR(Filter!$B$9="",ISNUMBER(SEARCH(Filter!$B$9,$F1482&amp;" "&amp;$G1482)))),COUNTIF($O$6:$O1481,"&gt;0")+1,0))</f>
        <v>0</v>
      </c>
    </row>
    <row r="1483" customFormat="false" ht="15" hidden="false" customHeight="true" outlineLevel="0" collapsed="false">
      <c r="O1483" s="1" t="n">
        <f aca="false">IF($B1483="",0,IF(AND(OR(Filter!$B$5="(alle)",$N1483=Filter!$B$5),OR(Filter!$E$5="(alle)",$K1483=Filter!$E$5),OR(Filter!$H$5="(alle)",$C1483=Filter!$H$5),OR(Filter!$B$7="(alle)",$E1483=Filter!$B$7),OR(Filter!$E$7="(alle)",ISNUMBER(SEARCH(Filter!$E$7,$J1483))),OR(Filter!$H$7="(alle)",ISNUMBER(SEARCH(Filter!$H$7,$I1483))),OR(Filter!$B$9="",ISNUMBER(SEARCH(Filter!$B$9,$F1483&amp;" "&amp;$G1483)))),COUNTIF($O$6:$O1482,"&gt;0")+1,0))</f>
        <v>0</v>
      </c>
    </row>
    <row r="1484" customFormat="false" ht="15" hidden="false" customHeight="true" outlineLevel="0" collapsed="false">
      <c r="O1484" s="1" t="n">
        <f aca="false">IF($B1484="",0,IF(AND(OR(Filter!$B$5="(alle)",$N1484=Filter!$B$5),OR(Filter!$E$5="(alle)",$K1484=Filter!$E$5),OR(Filter!$H$5="(alle)",$C1484=Filter!$H$5),OR(Filter!$B$7="(alle)",$E1484=Filter!$B$7),OR(Filter!$E$7="(alle)",ISNUMBER(SEARCH(Filter!$E$7,$J1484))),OR(Filter!$H$7="(alle)",ISNUMBER(SEARCH(Filter!$H$7,$I1484))),OR(Filter!$B$9="",ISNUMBER(SEARCH(Filter!$B$9,$F1484&amp;" "&amp;$G1484)))),COUNTIF($O$6:$O1483,"&gt;0")+1,0))</f>
        <v>0</v>
      </c>
    </row>
    <row r="1485" customFormat="false" ht="15" hidden="false" customHeight="true" outlineLevel="0" collapsed="false">
      <c r="O1485" s="1" t="n">
        <f aca="false">IF($B1485="",0,IF(AND(OR(Filter!$B$5="(alle)",$N1485=Filter!$B$5),OR(Filter!$E$5="(alle)",$K1485=Filter!$E$5),OR(Filter!$H$5="(alle)",$C1485=Filter!$H$5),OR(Filter!$B$7="(alle)",$E1485=Filter!$B$7),OR(Filter!$E$7="(alle)",ISNUMBER(SEARCH(Filter!$E$7,$J1485))),OR(Filter!$H$7="(alle)",ISNUMBER(SEARCH(Filter!$H$7,$I1485))),OR(Filter!$B$9="",ISNUMBER(SEARCH(Filter!$B$9,$F1485&amp;" "&amp;$G1485)))),COUNTIF($O$6:$O1484,"&gt;0")+1,0))</f>
        <v>0</v>
      </c>
    </row>
    <row r="1486" customFormat="false" ht="15" hidden="false" customHeight="true" outlineLevel="0" collapsed="false">
      <c r="O1486" s="1" t="n">
        <f aca="false">IF($B1486="",0,IF(AND(OR(Filter!$B$5="(alle)",$N1486=Filter!$B$5),OR(Filter!$E$5="(alle)",$K1486=Filter!$E$5),OR(Filter!$H$5="(alle)",$C1486=Filter!$H$5),OR(Filter!$B$7="(alle)",$E1486=Filter!$B$7),OR(Filter!$E$7="(alle)",ISNUMBER(SEARCH(Filter!$E$7,$J1486))),OR(Filter!$H$7="(alle)",ISNUMBER(SEARCH(Filter!$H$7,$I1486))),OR(Filter!$B$9="",ISNUMBER(SEARCH(Filter!$B$9,$F1486&amp;" "&amp;$G1486)))),COUNTIF($O$6:$O1485,"&gt;0")+1,0))</f>
        <v>0</v>
      </c>
    </row>
    <row r="1487" customFormat="false" ht="15" hidden="false" customHeight="true" outlineLevel="0" collapsed="false">
      <c r="O1487" s="1" t="n">
        <f aca="false">IF($B1487="",0,IF(AND(OR(Filter!$B$5="(alle)",$N1487=Filter!$B$5),OR(Filter!$E$5="(alle)",$K1487=Filter!$E$5),OR(Filter!$H$5="(alle)",$C1487=Filter!$H$5),OR(Filter!$B$7="(alle)",$E1487=Filter!$B$7),OR(Filter!$E$7="(alle)",ISNUMBER(SEARCH(Filter!$E$7,$J1487))),OR(Filter!$H$7="(alle)",ISNUMBER(SEARCH(Filter!$H$7,$I1487))),OR(Filter!$B$9="",ISNUMBER(SEARCH(Filter!$B$9,$F1487&amp;" "&amp;$G1487)))),COUNTIF($O$6:$O1486,"&gt;0")+1,0))</f>
        <v>0</v>
      </c>
    </row>
    <row r="1488" customFormat="false" ht="15" hidden="false" customHeight="true" outlineLevel="0" collapsed="false">
      <c r="O1488" s="1" t="n">
        <f aca="false">IF($B1488="",0,IF(AND(OR(Filter!$B$5="(alle)",$N1488=Filter!$B$5),OR(Filter!$E$5="(alle)",$K1488=Filter!$E$5),OR(Filter!$H$5="(alle)",$C1488=Filter!$H$5),OR(Filter!$B$7="(alle)",$E1488=Filter!$B$7),OR(Filter!$E$7="(alle)",ISNUMBER(SEARCH(Filter!$E$7,$J1488))),OR(Filter!$H$7="(alle)",ISNUMBER(SEARCH(Filter!$H$7,$I1488))),OR(Filter!$B$9="",ISNUMBER(SEARCH(Filter!$B$9,$F1488&amp;" "&amp;$G1488)))),COUNTIF($O$6:$O1487,"&gt;0")+1,0))</f>
        <v>0</v>
      </c>
    </row>
    <row r="1489" customFormat="false" ht="15" hidden="false" customHeight="true" outlineLevel="0" collapsed="false">
      <c r="O1489" s="1" t="n">
        <f aca="false">IF($B1489="",0,IF(AND(OR(Filter!$B$5="(alle)",$N1489=Filter!$B$5),OR(Filter!$E$5="(alle)",$K1489=Filter!$E$5),OR(Filter!$H$5="(alle)",$C1489=Filter!$H$5),OR(Filter!$B$7="(alle)",$E1489=Filter!$B$7),OR(Filter!$E$7="(alle)",ISNUMBER(SEARCH(Filter!$E$7,$J1489))),OR(Filter!$H$7="(alle)",ISNUMBER(SEARCH(Filter!$H$7,$I1489))),OR(Filter!$B$9="",ISNUMBER(SEARCH(Filter!$B$9,$F1489&amp;" "&amp;$G1489)))),COUNTIF($O$6:$O1488,"&gt;0")+1,0))</f>
        <v>0</v>
      </c>
    </row>
    <row r="1490" customFormat="false" ht="15" hidden="false" customHeight="true" outlineLevel="0" collapsed="false">
      <c r="O1490" s="1" t="n">
        <f aca="false">IF($B1490="",0,IF(AND(OR(Filter!$B$5="(alle)",$N1490=Filter!$B$5),OR(Filter!$E$5="(alle)",$K1490=Filter!$E$5),OR(Filter!$H$5="(alle)",$C1490=Filter!$H$5),OR(Filter!$B$7="(alle)",$E1490=Filter!$B$7),OR(Filter!$E$7="(alle)",ISNUMBER(SEARCH(Filter!$E$7,$J1490))),OR(Filter!$H$7="(alle)",ISNUMBER(SEARCH(Filter!$H$7,$I1490))),OR(Filter!$B$9="",ISNUMBER(SEARCH(Filter!$B$9,$F1490&amp;" "&amp;$G1490)))),COUNTIF($O$6:$O1489,"&gt;0")+1,0))</f>
        <v>0</v>
      </c>
    </row>
    <row r="1491" customFormat="false" ht="15" hidden="false" customHeight="true" outlineLevel="0" collapsed="false">
      <c r="O1491" s="1" t="n">
        <f aca="false">IF($B1491="",0,IF(AND(OR(Filter!$B$5="(alle)",$N1491=Filter!$B$5),OR(Filter!$E$5="(alle)",$K1491=Filter!$E$5),OR(Filter!$H$5="(alle)",$C1491=Filter!$H$5),OR(Filter!$B$7="(alle)",$E1491=Filter!$B$7),OR(Filter!$E$7="(alle)",ISNUMBER(SEARCH(Filter!$E$7,$J1491))),OR(Filter!$H$7="(alle)",ISNUMBER(SEARCH(Filter!$H$7,$I1491))),OR(Filter!$B$9="",ISNUMBER(SEARCH(Filter!$B$9,$F1491&amp;" "&amp;$G1491)))),COUNTIF($O$6:$O1490,"&gt;0")+1,0))</f>
        <v>0</v>
      </c>
    </row>
    <row r="1492" customFormat="false" ht="15" hidden="false" customHeight="true" outlineLevel="0" collapsed="false">
      <c r="O1492" s="1" t="n">
        <f aca="false">IF($B1492="",0,IF(AND(OR(Filter!$B$5="(alle)",$N1492=Filter!$B$5),OR(Filter!$E$5="(alle)",$K1492=Filter!$E$5),OR(Filter!$H$5="(alle)",$C1492=Filter!$H$5),OR(Filter!$B$7="(alle)",$E1492=Filter!$B$7),OR(Filter!$E$7="(alle)",ISNUMBER(SEARCH(Filter!$E$7,$J1492))),OR(Filter!$H$7="(alle)",ISNUMBER(SEARCH(Filter!$H$7,$I1492))),OR(Filter!$B$9="",ISNUMBER(SEARCH(Filter!$B$9,$F1492&amp;" "&amp;$G1492)))),COUNTIF($O$6:$O1491,"&gt;0")+1,0))</f>
        <v>0</v>
      </c>
    </row>
    <row r="1493" customFormat="false" ht="15" hidden="false" customHeight="true" outlineLevel="0" collapsed="false">
      <c r="O1493" s="1" t="n">
        <f aca="false">IF($B1493="",0,IF(AND(OR(Filter!$B$5="(alle)",$N1493=Filter!$B$5),OR(Filter!$E$5="(alle)",$K1493=Filter!$E$5),OR(Filter!$H$5="(alle)",$C1493=Filter!$H$5),OR(Filter!$B$7="(alle)",$E1493=Filter!$B$7),OR(Filter!$E$7="(alle)",ISNUMBER(SEARCH(Filter!$E$7,$J1493))),OR(Filter!$H$7="(alle)",ISNUMBER(SEARCH(Filter!$H$7,$I1493))),OR(Filter!$B$9="",ISNUMBER(SEARCH(Filter!$B$9,$F1493&amp;" "&amp;$G1493)))),COUNTIF($O$6:$O1492,"&gt;0")+1,0))</f>
        <v>0</v>
      </c>
    </row>
    <row r="1494" customFormat="false" ht="15" hidden="false" customHeight="true" outlineLevel="0" collapsed="false">
      <c r="O1494" s="1" t="n">
        <f aca="false">IF($B1494="",0,IF(AND(OR(Filter!$B$5="(alle)",$N1494=Filter!$B$5),OR(Filter!$E$5="(alle)",$K1494=Filter!$E$5),OR(Filter!$H$5="(alle)",$C1494=Filter!$H$5),OR(Filter!$B$7="(alle)",$E1494=Filter!$B$7),OR(Filter!$E$7="(alle)",ISNUMBER(SEARCH(Filter!$E$7,$J1494))),OR(Filter!$H$7="(alle)",ISNUMBER(SEARCH(Filter!$H$7,$I1494))),OR(Filter!$B$9="",ISNUMBER(SEARCH(Filter!$B$9,$F1494&amp;" "&amp;$G1494)))),COUNTIF($O$6:$O1493,"&gt;0")+1,0))</f>
        <v>0</v>
      </c>
    </row>
    <row r="1495" customFormat="false" ht="15" hidden="false" customHeight="true" outlineLevel="0" collapsed="false">
      <c r="O1495" s="1" t="n">
        <f aca="false">IF($B1495="",0,IF(AND(OR(Filter!$B$5="(alle)",$N1495=Filter!$B$5),OR(Filter!$E$5="(alle)",$K1495=Filter!$E$5),OR(Filter!$H$5="(alle)",$C1495=Filter!$H$5),OR(Filter!$B$7="(alle)",$E1495=Filter!$B$7),OR(Filter!$E$7="(alle)",ISNUMBER(SEARCH(Filter!$E$7,$J1495))),OR(Filter!$H$7="(alle)",ISNUMBER(SEARCH(Filter!$H$7,$I1495))),OR(Filter!$B$9="",ISNUMBER(SEARCH(Filter!$B$9,$F1495&amp;" "&amp;$G1495)))),COUNTIF($O$6:$O1494,"&gt;0")+1,0))</f>
        <v>0</v>
      </c>
    </row>
    <row r="1496" customFormat="false" ht="15" hidden="false" customHeight="true" outlineLevel="0" collapsed="false">
      <c r="O1496" s="1" t="n">
        <f aca="false">IF($B1496="",0,IF(AND(OR(Filter!$B$5="(alle)",$N1496=Filter!$B$5),OR(Filter!$E$5="(alle)",$K1496=Filter!$E$5),OR(Filter!$H$5="(alle)",$C1496=Filter!$H$5),OR(Filter!$B$7="(alle)",$E1496=Filter!$B$7),OR(Filter!$E$7="(alle)",ISNUMBER(SEARCH(Filter!$E$7,$J1496))),OR(Filter!$H$7="(alle)",ISNUMBER(SEARCH(Filter!$H$7,$I1496))),OR(Filter!$B$9="",ISNUMBER(SEARCH(Filter!$B$9,$F1496&amp;" "&amp;$G1496)))),COUNTIF($O$6:$O1495,"&gt;0")+1,0))</f>
        <v>0</v>
      </c>
    </row>
    <row r="1497" customFormat="false" ht="15" hidden="false" customHeight="true" outlineLevel="0" collapsed="false">
      <c r="O1497" s="1" t="n">
        <f aca="false">IF($B1497="",0,IF(AND(OR(Filter!$B$5="(alle)",$N1497=Filter!$B$5),OR(Filter!$E$5="(alle)",$K1497=Filter!$E$5),OR(Filter!$H$5="(alle)",$C1497=Filter!$H$5),OR(Filter!$B$7="(alle)",$E1497=Filter!$B$7),OR(Filter!$E$7="(alle)",ISNUMBER(SEARCH(Filter!$E$7,$J1497))),OR(Filter!$H$7="(alle)",ISNUMBER(SEARCH(Filter!$H$7,$I1497))),OR(Filter!$B$9="",ISNUMBER(SEARCH(Filter!$B$9,$F1497&amp;" "&amp;$G1497)))),COUNTIF($O$6:$O1496,"&gt;0")+1,0))</f>
        <v>0</v>
      </c>
    </row>
    <row r="1498" customFormat="false" ht="15" hidden="false" customHeight="true" outlineLevel="0" collapsed="false">
      <c r="O1498" s="1" t="n">
        <f aca="false">IF($B1498="",0,IF(AND(OR(Filter!$B$5="(alle)",$N1498=Filter!$B$5),OR(Filter!$E$5="(alle)",$K1498=Filter!$E$5),OR(Filter!$H$5="(alle)",$C1498=Filter!$H$5),OR(Filter!$B$7="(alle)",$E1498=Filter!$B$7),OR(Filter!$E$7="(alle)",ISNUMBER(SEARCH(Filter!$E$7,$J1498))),OR(Filter!$H$7="(alle)",ISNUMBER(SEARCH(Filter!$H$7,$I1498))),OR(Filter!$B$9="",ISNUMBER(SEARCH(Filter!$B$9,$F1498&amp;" "&amp;$G1498)))),COUNTIF($O$6:$O1497,"&gt;0")+1,0))</f>
        <v>0</v>
      </c>
    </row>
    <row r="1499" customFormat="false" ht="15" hidden="false" customHeight="true" outlineLevel="0" collapsed="false">
      <c r="O1499" s="1" t="n">
        <f aca="false">IF($B1499="",0,IF(AND(OR(Filter!$B$5="(alle)",$N1499=Filter!$B$5),OR(Filter!$E$5="(alle)",$K1499=Filter!$E$5),OR(Filter!$H$5="(alle)",$C1499=Filter!$H$5),OR(Filter!$B$7="(alle)",$E1499=Filter!$B$7),OR(Filter!$E$7="(alle)",ISNUMBER(SEARCH(Filter!$E$7,$J1499))),OR(Filter!$H$7="(alle)",ISNUMBER(SEARCH(Filter!$H$7,$I1499))),OR(Filter!$B$9="",ISNUMBER(SEARCH(Filter!$B$9,$F1499&amp;" "&amp;$G1499)))),COUNTIF($O$6:$O1498,"&gt;0")+1,0))</f>
        <v>0</v>
      </c>
    </row>
    <row r="1500" customFormat="false" ht="15" hidden="false" customHeight="true" outlineLevel="0" collapsed="false">
      <c r="O1500" s="1" t="n">
        <f aca="false">IF($B1500="",0,IF(AND(OR(Filter!$B$5="(alle)",$N1500=Filter!$B$5),OR(Filter!$E$5="(alle)",$K1500=Filter!$E$5),OR(Filter!$H$5="(alle)",$C1500=Filter!$H$5),OR(Filter!$B$7="(alle)",$E1500=Filter!$B$7),OR(Filter!$E$7="(alle)",ISNUMBER(SEARCH(Filter!$E$7,$J1500))),OR(Filter!$H$7="(alle)",ISNUMBER(SEARCH(Filter!$H$7,$I1500))),OR(Filter!$B$9="",ISNUMBER(SEARCH(Filter!$B$9,$F1500&amp;" "&amp;$G1500)))),COUNTIF($O$6:$O1499,"&gt;0")+1,0))</f>
        <v>0</v>
      </c>
    </row>
    <row r="1501" customFormat="false" ht="15" hidden="false" customHeight="true" outlineLevel="0" collapsed="false">
      <c r="O1501" s="1" t="n">
        <f aca="false">IF($B1501="",0,IF(AND(OR(Filter!$B$5="(alle)",$N1501=Filter!$B$5),OR(Filter!$E$5="(alle)",$K1501=Filter!$E$5),OR(Filter!$H$5="(alle)",$C1501=Filter!$H$5),OR(Filter!$B$7="(alle)",$E1501=Filter!$B$7),OR(Filter!$E$7="(alle)",ISNUMBER(SEARCH(Filter!$E$7,$J1501))),OR(Filter!$H$7="(alle)",ISNUMBER(SEARCH(Filter!$H$7,$I1501))),OR(Filter!$B$9="",ISNUMBER(SEARCH(Filter!$B$9,$F1501&amp;" "&amp;$G1501)))),COUNTIF($O$6:$O1500,"&gt;0")+1,0))</f>
        <v>0</v>
      </c>
    </row>
    <row r="1502" customFormat="false" ht="15" hidden="false" customHeight="true" outlineLevel="0" collapsed="false">
      <c r="O1502" s="1" t="n">
        <f aca="false">IF($B1502="",0,IF(AND(OR(Filter!$B$5="(alle)",$N1502=Filter!$B$5),OR(Filter!$E$5="(alle)",$K1502=Filter!$E$5),OR(Filter!$H$5="(alle)",$C1502=Filter!$H$5),OR(Filter!$B$7="(alle)",$E1502=Filter!$B$7),OR(Filter!$E$7="(alle)",ISNUMBER(SEARCH(Filter!$E$7,$J1502))),OR(Filter!$H$7="(alle)",ISNUMBER(SEARCH(Filter!$H$7,$I1502))),OR(Filter!$B$9="",ISNUMBER(SEARCH(Filter!$B$9,$F1502&amp;" "&amp;$G1502)))),COUNTIF($O$6:$O1501,"&gt;0")+1,0))</f>
        <v>0</v>
      </c>
    </row>
    <row r="1503" customFormat="false" ht="15" hidden="false" customHeight="true" outlineLevel="0" collapsed="false">
      <c r="O1503" s="1" t="n">
        <f aca="false">IF($B1503="",0,IF(AND(OR(Filter!$B$5="(alle)",$N1503=Filter!$B$5),OR(Filter!$E$5="(alle)",$K1503=Filter!$E$5),OR(Filter!$H$5="(alle)",$C1503=Filter!$H$5),OR(Filter!$B$7="(alle)",$E1503=Filter!$B$7),OR(Filter!$E$7="(alle)",ISNUMBER(SEARCH(Filter!$E$7,$J1503))),OR(Filter!$H$7="(alle)",ISNUMBER(SEARCH(Filter!$H$7,$I1503))),OR(Filter!$B$9="",ISNUMBER(SEARCH(Filter!$B$9,$F1503&amp;" "&amp;$G1503)))),COUNTIF($O$6:$O1502,"&gt;0")+1,0))</f>
        <v>0</v>
      </c>
    </row>
    <row r="1504" customFormat="false" ht="15" hidden="false" customHeight="true" outlineLevel="0" collapsed="false">
      <c r="O1504" s="1" t="n">
        <f aca="false">IF($B1504="",0,IF(AND(OR(Filter!$B$5="(alle)",$N1504=Filter!$B$5),OR(Filter!$E$5="(alle)",$K1504=Filter!$E$5),OR(Filter!$H$5="(alle)",$C1504=Filter!$H$5),OR(Filter!$B$7="(alle)",$E1504=Filter!$B$7),OR(Filter!$E$7="(alle)",ISNUMBER(SEARCH(Filter!$E$7,$J1504))),OR(Filter!$H$7="(alle)",ISNUMBER(SEARCH(Filter!$H$7,$I1504))),OR(Filter!$B$9="",ISNUMBER(SEARCH(Filter!$B$9,$F1504&amp;" "&amp;$G1504)))),COUNTIF($O$6:$O1503,"&gt;0")+1,0))</f>
        <v>0</v>
      </c>
    </row>
    <row r="1505" customFormat="false" ht="15" hidden="false" customHeight="true" outlineLevel="0" collapsed="false">
      <c r="O1505" s="1" t="n">
        <f aca="false">IF($B1505="",0,IF(AND(OR(Filter!$B$5="(alle)",$N1505=Filter!$B$5),OR(Filter!$E$5="(alle)",$K1505=Filter!$E$5),OR(Filter!$H$5="(alle)",$C1505=Filter!$H$5),OR(Filter!$B$7="(alle)",$E1505=Filter!$B$7),OR(Filter!$E$7="(alle)",ISNUMBER(SEARCH(Filter!$E$7,$J1505))),OR(Filter!$H$7="(alle)",ISNUMBER(SEARCH(Filter!$H$7,$I1505))),OR(Filter!$B$9="",ISNUMBER(SEARCH(Filter!$B$9,$F1505&amp;" "&amp;$G1505)))),COUNTIF($O$6:$O1504,"&gt;0")+1,0))</f>
        <v>0</v>
      </c>
    </row>
    <row r="1506" customFormat="false" ht="15" hidden="false" customHeight="true" outlineLevel="0" collapsed="false">
      <c r="O1506" s="1" t="n">
        <f aca="false">IF($B1506="",0,IF(AND(OR(Filter!$B$5="(alle)",$N1506=Filter!$B$5),OR(Filter!$E$5="(alle)",$K1506=Filter!$E$5),OR(Filter!$H$5="(alle)",$C1506=Filter!$H$5),OR(Filter!$B$7="(alle)",$E1506=Filter!$B$7),OR(Filter!$E$7="(alle)",ISNUMBER(SEARCH(Filter!$E$7,$J1506))),OR(Filter!$H$7="(alle)",ISNUMBER(SEARCH(Filter!$H$7,$I1506))),OR(Filter!$B$9="",ISNUMBER(SEARCH(Filter!$B$9,$F1506&amp;" "&amp;$G1506)))),COUNTIF($O$6:$O1505,"&gt;0")+1,0))</f>
        <v>0</v>
      </c>
    </row>
    <row r="1507" customFormat="false" ht="15" hidden="false" customHeight="true" outlineLevel="0" collapsed="false">
      <c r="O1507" s="1" t="n">
        <f aca="false">IF($B1507="",0,IF(AND(OR(Filter!$B$5="(alle)",$N1507=Filter!$B$5),OR(Filter!$E$5="(alle)",$K1507=Filter!$E$5),OR(Filter!$H$5="(alle)",$C1507=Filter!$H$5),OR(Filter!$B$7="(alle)",$E1507=Filter!$B$7),OR(Filter!$E$7="(alle)",ISNUMBER(SEARCH(Filter!$E$7,$J1507))),OR(Filter!$H$7="(alle)",ISNUMBER(SEARCH(Filter!$H$7,$I1507))),OR(Filter!$B$9="",ISNUMBER(SEARCH(Filter!$B$9,$F1507&amp;" "&amp;$G1507)))),COUNTIF($O$6:$O1506,"&gt;0")+1,0))</f>
        <v>0</v>
      </c>
    </row>
    <row r="1508" customFormat="false" ht="15" hidden="false" customHeight="true" outlineLevel="0" collapsed="false">
      <c r="O1508" s="1" t="n">
        <f aca="false">IF($B1508="",0,IF(AND(OR(Filter!$B$5="(alle)",$N1508=Filter!$B$5),OR(Filter!$E$5="(alle)",$K1508=Filter!$E$5),OR(Filter!$H$5="(alle)",$C1508=Filter!$H$5),OR(Filter!$B$7="(alle)",$E1508=Filter!$B$7),OR(Filter!$E$7="(alle)",ISNUMBER(SEARCH(Filter!$E$7,$J1508))),OR(Filter!$H$7="(alle)",ISNUMBER(SEARCH(Filter!$H$7,$I1508))),OR(Filter!$B$9="",ISNUMBER(SEARCH(Filter!$B$9,$F1508&amp;" "&amp;$G1508)))),COUNTIF($O$6:$O1507,"&gt;0")+1,0))</f>
        <v>0</v>
      </c>
    </row>
    <row r="1509" customFormat="false" ht="15" hidden="false" customHeight="true" outlineLevel="0" collapsed="false">
      <c r="O1509" s="1" t="n">
        <f aca="false">IF($B1509="",0,IF(AND(OR(Filter!$B$5="(alle)",$N1509=Filter!$B$5),OR(Filter!$E$5="(alle)",$K1509=Filter!$E$5),OR(Filter!$H$5="(alle)",$C1509=Filter!$H$5),OR(Filter!$B$7="(alle)",$E1509=Filter!$B$7),OR(Filter!$E$7="(alle)",ISNUMBER(SEARCH(Filter!$E$7,$J1509))),OR(Filter!$H$7="(alle)",ISNUMBER(SEARCH(Filter!$H$7,$I1509))),OR(Filter!$B$9="",ISNUMBER(SEARCH(Filter!$B$9,$F1509&amp;" "&amp;$G1509)))),COUNTIF($O$6:$O1508,"&gt;0")+1,0))</f>
        <v>0</v>
      </c>
    </row>
    <row r="1510" customFormat="false" ht="15" hidden="false" customHeight="true" outlineLevel="0" collapsed="false">
      <c r="O1510" s="1" t="n">
        <f aca="false">IF($B1510="",0,IF(AND(OR(Filter!$B$5="(alle)",$N1510=Filter!$B$5),OR(Filter!$E$5="(alle)",$K1510=Filter!$E$5),OR(Filter!$H$5="(alle)",$C1510=Filter!$H$5),OR(Filter!$B$7="(alle)",$E1510=Filter!$B$7),OR(Filter!$E$7="(alle)",ISNUMBER(SEARCH(Filter!$E$7,$J1510))),OR(Filter!$H$7="(alle)",ISNUMBER(SEARCH(Filter!$H$7,$I1510))),OR(Filter!$B$9="",ISNUMBER(SEARCH(Filter!$B$9,$F1510&amp;" "&amp;$G1510)))),COUNTIF($O$6:$O1509,"&gt;0")+1,0))</f>
        <v>0</v>
      </c>
    </row>
    <row r="1511" customFormat="false" ht="15" hidden="false" customHeight="true" outlineLevel="0" collapsed="false">
      <c r="O1511" s="1" t="n">
        <f aca="false">IF($B1511="",0,IF(AND(OR(Filter!$B$5="(alle)",$N1511=Filter!$B$5),OR(Filter!$E$5="(alle)",$K1511=Filter!$E$5),OR(Filter!$H$5="(alle)",$C1511=Filter!$H$5),OR(Filter!$B$7="(alle)",$E1511=Filter!$B$7),OR(Filter!$E$7="(alle)",ISNUMBER(SEARCH(Filter!$E$7,$J1511))),OR(Filter!$H$7="(alle)",ISNUMBER(SEARCH(Filter!$H$7,$I1511))),OR(Filter!$B$9="",ISNUMBER(SEARCH(Filter!$B$9,$F1511&amp;" "&amp;$G1511)))),COUNTIF($O$6:$O1510,"&gt;0")+1,0))</f>
        <v>0</v>
      </c>
    </row>
    <row r="1512" customFormat="false" ht="15" hidden="false" customHeight="true" outlineLevel="0" collapsed="false">
      <c r="O1512" s="1" t="n">
        <f aca="false">IF($B1512="",0,IF(AND(OR(Filter!$B$5="(alle)",$N1512=Filter!$B$5),OR(Filter!$E$5="(alle)",$K1512=Filter!$E$5),OR(Filter!$H$5="(alle)",$C1512=Filter!$H$5),OR(Filter!$B$7="(alle)",$E1512=Filter!$B$7),OR(Filter!$E$7="(alle)",ISNUMBER(SEARCH(Filter!$E$7,$J1512))),OR(Filter!$H$7="(alle)",ISNUMBER(SEARCH(Filter!$H$7,$I1512))),OR(Filter!$B$9="",ISNUMBER(SEARCH(Filter!$B$9,$F1512&amp;" "&amp;$G1512)))),COUNTIF($O$6:$O1511,"&gt;0")+1,0))</f>
        <v>0</v>
      </c>
    </row>
    <row r="1513" customFormat="false" ht="15" hidden="false" customHeight="true" outlineLevel="0" collapsed="false">
      <c r="O1513" s="1" t="n">
        <f aca="false">IF($B1513="",0,IF(AND(OR(Filter!$B$5="(alle)",$N1513=Filter!$B$5),OR(Filter!$E$5="(alle)",$K1513=Filter!$E$5),OR(Filter!$H$5="(alle)",$C1513=Filter!$H$5),OR(Filter!$B$7="(alle)",$E1513=Filter!$B$7),OR(Filter!$E$7="(alle)",ISNUMBER(SEARCH(Filter!$E$7,$J1513))),OR(Filter!$H$7="(alle)",ISNUMBER(SEARCH(Filter!$H$7,$I1513))),OR(Filter!$B$9="",ISNUMBER(SEARCH(Filter!$B$9,$F1513&amp;" "&amp;$G1513)))),COUNTIF($O$6:$O1512,"&gt;0")+1,0))</f>
        <v>0</v>
      </c>
    </row>
    <row r="1514" customFormat="false" ht="15" hidden="false" customHeight="true" outlineLevel="0" collapsed="false">
      <c r="O1514" s="1" t="n">
        <f aca="false">IF($B1514="",0,IF(AND(OR(Filter!$B$5="(alle)",$N1514=Filter!$B$5),OR(Filter!$E$5="(alle)",$K1514=Filter!$E$5),OR(Filter!$H$5="(alle)",$C1514=Filter!$H$5),OR(Filter!$B$7="(alle)",$E1514=Filter!$B$7),OR(Filter!$E$7="(alle)",ISNUMBER(SEARCH(Filter!$E$7,$J1514))),OR(Filter!$H$7="(alle)",ISNUMBER(SEARCH(Filter!$H$7,$I1514))),OR(Filter!$B$9="",ISNUMBER(SEARCH(Filter!$B$9,$F1514&amp;" "&amp;$G1514)))),COUNTIF($O$6:$O1513,"&gt;0")+1,0))</f>
        <v>0</v>
      </c>
    </row>
    <row r="1515" customFormat="false" ht="15" hidden="false" customHeight="true" outlineLevel="0" collapsed="false">
      <c r="O1515" s="1" t="n">
        <f aca="false">IF($B1515="",0,IF(AND(OR(Filter!$B$5="(alle)",$N1515=Filter!$B$5),OR(Filter!$E$5="(alle)",$K1515=Filter!$E$5),OR(Filter!$H$5="(alle)",$C1515=Filter!$H$5),OR(Filter!$B$7="(alle)",$E1515=Filter!$B$7),OR(Filter!$E$7="(alle)",ISNUMBER(SEARCH(Filter!$E$7,$J1515))),OR(Filter!$H$7="(alle)",ISNUMBER(SEARCH(Filter!$H$7,$I1515))),OR(Filter!$B$9="",ISNUMBER(SEARCH(Filter!$B$9,$F1515&amp;" "&amp;$G1515)))),COUNTIF($O$6:$O1514,"&gt;0")+1,0))</f>
        <v>0</v>
      </c>
    </row>
    <row r="1516" customFormat="false" ht="15" hidden="false" customHeight="true" outlineLevel="0" collapsed="false">
      <c r="O1516" s="1" t="n">
        <f aca="false">IF($B1516="",0,IF(AND(OR(Filter!$B$5="(alle)",$N1516=Filter!$B$5),OR(Filter!$E$5="(alle)",$K1516=Filter!$E$5),OR(Filter!$H$5="(alle)",$C1516=Filter!$H$5),OR(Filter!$B$7="(alle)",$E1516=Filter!$B$7),OR(Filter!$E$7="(alle)",ISNUMBER(SEARCH(Filter!$E$7,$J1516))),OR(Filter!$H$7="(alle)",ISNUMBER(SEARCH(Filter!$H$7,$I1516))),OR(Filter!$B$9="",ISNUMBER(SEARCH(Filter!$B$9,$F1516&amp;" "&amp;$G1516)))),COUNTIF($O$6:$O1515,"&gt;0")+1,0))</f>
        <v>0</v>
      </c>
    </row>
    <row r="1517" customFormat="false" ht="15" hidden="false" customHeight="true" outlineLevel="0" collapsed="false">
      <c r="O1517" s="1" t="n">
        <f aca="false">IF($B1517="",0,IF(AND(OR(Filter!$B$5="(alle)",$N1517=Filter!$B$5),OR(Filter!$E$5="(alle)",$K1517=Filter!$E$5),OR(Filter!$H$5="(alle)",$C1517=Filter!$H$5),OR(Filter!$B$7="(alle)",$E1517=Filter!$B$7),OR(Filter!$E$7="(alle)",ISNUMBER(SEARCH(Filter!$E$7,$J1517))),OR(Filter!$H$7="(alle)",ISNUMBER(SEARCH(Filter!$H$7,$I1517))),OR(Filter!$B$9="",ISNUMBER(SEARCH(Filter!$B$9,$F1517&amp;" "&amp;$G1517)))),COUNTIF($O$6:$O1516,"&gt;0")+1,0))</f>
        <v>0</v>
      </c>
    </row>
    <row r="1518" customFormat="false" ht="15" hidden="false" customHeight="true" outlineLevel="0" collapsed="false">
      <c r="O1518" s="1" t="n">
        <f aca="false">IF($B1518="",0,IF(AND(OR(Filter!$B$5="(alle)",$N1518=Filter!$B$5),OR(Filter!$E$5="(alle)",$K1518=Filter!$E$5),OR(Filter!$H$5="(alle)",$C1518=Filter!$H$5),OR(Filter!$B$7="(alle)",$E1518=Filter!$B$7),OR(Filter!$E$7="(alle)",ISNUMBER(SEARCH(Filter!$E$7,$J1518))),OR(Filter!$H$7="(alle)",ISNUMBER(SEARCH(Filter!$H$7,$I1518))),OR(Filter!$B$9="",ISNUMBER(SEARCH(Filter!$B$9,$F1518&amp;" "&amp;$G1518)))),COUNTIF($O$6:$O1517,"&gt;0")+1,0))</f>
        <v>0</v>
      </c>
    </row>
    <row r="1519" customFormat="false" ht="15" hidden="false" customHeight="true" outlineLevel="0" collapsed="false">
      <c r="O1519" s="1" t="n">
        <f aca="false">IF($B1519="",0,IF(AND(OR(Filter!$B$5="(alle)",$N1519=Filter!$B$5),OR(Filter!$E$5="(alle)",$K1519=Filter!$E$5),OR(Filter!$H$5="(alle)",$C1519=Filter!$H$5),OR(Filter!$B$7="(alle)",$E1519=Filter!$B$7),OR(Filter!$E$7="(alle)",ISNUMBER(SEARCH(Filter!$E$7,$J1519))),OR(Filter!$H$7="(alle)",ISNUMBER(SEARCH(Filter!$H$7,$I1519))),OR(Filter!$B$9="",ISNUMBER(SEARCH(Filter!$B$9,$F1519&amp;" "&amp;$G1519)))),COUNTIF($O$6:$O1518,"&gt;0")+1,0))</f>
        <v>0</v>
      </c>
    </row>
    <row r="1520" customFormat="false" ht="15" hidden="false" customHeight="true" outlineLevel="0" collapsed="false">
      <c r="O1520" s="1" t="n">
        <f aca="false">IF($B1520="",0,IF(AND(OR(Filter!$B$5="(alle)",$N1520=Filter!$B$5),OR(Filter!$E$5="(alle)",$K1520=Filter!$E$5),OR(Filter!$H$5="(alle)",$C1520=Filter!$H$5),OR(Filter!$B$7="(alle)",$E1520=Filter!$B$7),OR(Filter!$E$7="(alle)",ISNUMBER(SEARCH(Filter!$E$7,$J1520))),OR(Filter!$H$7="(alle)",ISNUMBER(SEARCH(Filter!$H$7,$I1520))),OR(Filter!$B$9="",ISNUMBER(SEARCH(Filter!$B$9,$F1520&amp;" "&amp;$G1520)))),COUNTIF($O$6:$O1519,"&gt;0")+1,0))</f>
        <v>0</v>
      </c>
    </row>
    <row r="1521" customFormat="false" ht="15" hidden="false" customHeight="true" outlineLevel="0" collapsed="false">
      <c r="O1521" s="1" t="n">
        <f aca="false">IF($B1521="",0,IF(AND(OR(Filter!$B$5="(alle)",$N1521=Filter!$B$5),OR(Filter!$E$5="(alle)",$K1521=Filter!$E$5),OR(Filter!$H$5="(alle)",$C1521=Filter!$H$5),OR(Filter!$B$7="(alle)",$E1521=Filter!$B$7),OR(Filter!$E$7="(alle)",ISNUMBER(SEARCH(Filter!$E$7,$J1521))),OR(Filter!$H$7="(alle)",ISNUMBER(SEARCH(Filter!$H$7,$I1521))),OR(Filter!$B$9="",ISNUMBER(SEARCH(Filter!$B$9,$F1521&amp;" "&amp;$G1521)))),COUNTIF($O$6:$O1520,"&gt;0")+1,0))</f>
        <v>0</v>
      </c>
    </row>
    <row r="1522" customFormat="false" ht="15" hidden="false" customHeight="true" outlineLevel="0" collapsed="false">
      <c r="O1522" s="1" t="n">
        <f aca="false">IF($B1522="",0,IF(AND(OR(Filter!$B$5="(alle)",$N1522=Filter!$B$5),OR(Filter!$E$5="(alle)",$K1522=Filter!$E$5),OR(Filter!$H$5="(alle)",$C1522=Filter!$H$5),OR(Filter!$B$7="(alle)",$E1522=Filter!$B$7),OR(Filter!$E$7="(alle)",ISNUMBER(SEARCH(Filter!$E$7,$J1522))),OR(Filter!$H$7="(alle)",ISNUMBER(SEARCH(Filter!$H$7,$I1522))),OR(Filter!$B$9="",ISNUMBER(SEARCH(Filter!$B$9,$F1522&amp;" "&amp;$G1522)))),COUNTIF($O$6:$O1521,"&gt;0")+1,0))</f>
        <v>0</v>
      </c>
    </row>
    <row r="1523" customFormat="false" ht="15" hidden="false" customHeight="true" outlineLevel="0" collapsed="false">
      <c r="O1523" s="1" t="n">
        <f aca="false">IF($B1523="",0,IF(AND(OR(Filter!$B$5="(alle)",$N1523=Filter!$B$5),OR(Filter!$E$5="(alle)",$K1523=Filter!$E$5),OR(Filter!$H$5="(alle)",$C1523=Filter!$H$5),OR(Filter!$B$7="(alle)",$E1523=Filter!$B$7),OR(Filter!$E$7="(alle)",ISNUMBER(SEARCH(Filter!$E$7,$J1523))),OR(Filter!$H$7="(alle)",ISNUMBER(SEARCH(Filter!$H$7,$I1523))),OR(Filter!$B$9="",ISNUMBER(SEARCH(Filter!$B$9,$F1523&amp;" "&amp;$G1523)))),COUNTIF($O$6:$O1522,"&gt;0")+1,0))</f>
        <v>0</v>
      </c>
    </row>
    <row r="1524" customFormat="false" ht="15" hidden="false" customHeight="true" outlineLevel="0" collapsed="false">
      <c r="O1524" s="1" t="n">
        <f aca="false">IF($B1524="",0,IF(AND(OR(Filter!$B$5="(alle)",$N1524=Filter!$B$5),OR(Filter!$E$5="(alle)",$K1524=Filter!$E$5),OR(Filter!$H$5="(alle)",$C1524=Filter!$H$5),OR(Filter!$B$7="(alle)",$E1524=Filter!$B$7),OR(Filter!$E$7="(alle)",ISNUMBER(SEARCH(Filter!$E$7,$J1524))),OR(Filter!$H$7="(alle)",ISNUMBER(SEARCH(Filter!$H$7,$I1524))),OR(Filter!$B$9="",ISNUMBER(SEARCH(Filter!$B$9,$F1524&amp;" "&amp;$G1524)))),COUNTIF($O$6:$O1523,"&gt;0")+1,0))</f>
        <v>0</v>
      </c>
    </row>
    <row r="1525" customFormat="false" ht="15" hidden="false" customHeight="true" outlineLevel="0" collapsed="false">
      <c r="O1525" s="1" t="n">
        <f aca="false">IF($B1525="",0,IF(AND(OR(Filter!$B$5="(alle)",$N1525=Filter!$B$5),OR(Filter!$E$5="(alle)",$K1525=Filter!$E$5),OR(Filter!$H$5="(alle)",$C1525=Filter!$H$5),OR(Filter!$B$7="(alle)",$E1525=Filter!$B$7),OR(Filter!$E$7="(alle)",ISNUMBER(SEARCH(Filter!$E$7,$J1525))),OR(Filter!$H$7="(alle)",ISNUMBER(SEARCH(Filter!$H$7,$I1525))),OR(Filter!$B$9="",ISNUMBER(SEARCH(Filter!$B$9,$F1525&amp;" "&amp;$G1525)))),COUNTIF($O$6:$O1524,"&gt;0")+1,0))</f>
        <v>0</v>
      </c>
    </row>
    <row r="1526" customFormat="false" ht="15" hidden="false" customHeight="true" outlineLevel="0" collapsed="false">
      <c r="O1526" s="1" t="n">
        <f aca="false">IF($B1526="",0,IF(AND(OR(Filter!$B$5="(alle)",$N1526=Filter!$B$5),OR(Filter!$E$5="(alle)",$K1526=Filter!$E$5),OR(Filter!$H$5="(alle)",$C1526=Filter!$H$5),OR(Filter!$B$7="(alle)",$E1526=Filter!$B$7),OR(Filter!$E$7="(alle)",ISNUMBER(SEARCH(Filter!$E$7,$J1526))),OR(Filter!$H$7="(alle)",ISNUMBER(SEARCH(Filter!$H$7,$I1526))),OR(Filter!$B$9="",ISNUMBER(SEARCH(Filter!$B$9,$F1526&amp;" "&amp;$G1526)))),COUNTIF($O$6:$O1525,"&gt;0")+1,0))</f>
        <v>0</v>
      </c>
    </row>
    <row r="1527" customFormat="false" ht="15" hidden="false" customHeight="true" outlineLevel="0" collapsed="false">
      <c r="O1527" s="1" t="n">
        <f aca="false">IF($B1527="",0,IF(AND(OR(Filter!$B$5="(alle)",$N1527=Filter!$B$5),OR(Filter!$E$5="(alle)",$K1527=Filter!$E$5),OR(Filter!$H$5="(alle)",$C1527=Filter!$H$5),OR(Filter!$B$7="(alle)",$E1527=Filter!$B$7),OR(Filter!$E$7="(alle)",ISNUMBER(SEARCH(Filter!$E$7,$J1527))),OR(Filter!$H$7="(alle)",ISNUMBER(SEARCH(Filter!$H$7,$I1527))),OR(Filter!$B$9="",ISNUMBER(SEARCH(Filter!$B$9,$F1527&amp;" "&amp;$G1527)))),COUNTIF($O$6:$O1526,"&gt;0")+1,0))</f>
        <v>0</v>
      </c>
    </row>
    <row r="1528" customFormat="false" ht="15" hidden="false" customHeight="true" outlineLevel="0" collapsed="false">
      <c r="O1528" s="1" t="n">
        <f aca="false">IF($B1528="",0,IF(AND(OR(Filter!$B$5="(alle)",$N1528=Filter!$B$5),OR(Filter!$E$5="(alle)",$K1528=Filter!$E$5),OR(Filter!$H$5="(alle)",$C1528=Filter!$H$5),OR(Filter!$B$7="(alle)",$E1528=Filter!$B$7),OR(Filter!$E$7="(alle)",ISNUMBER(SEARCH(Filter!$E$7,$J1528))),OR(Filter!$H$7="(alle)",ISNUMBER(SEARCH(Filter!$H$7,$I1528))),OR(Filter!$B$9="",ISNUMBER(SEARCH(Filter!$B$9,$F1528&amp;" "&amp;$G1528)))),COUNTIF($O$6:$O1527,"&gt;0")+1,0))</f>
        <v>0</v>
      </c>
    </row>
    <row r="1529" customFormat="false" ht="15" hidden="false" customHeight="true" outlineLevel="0" collapsed="false">
      <c r="O1529" s="1" t="n">
        <f aca="false">IF($B1529="",0,IF(AND(OR(Filter!$B$5="(alle)",$N1529=Filter!$B$5),OR(Filter!$E$5="(alle)",$K1529=Filter!$E$5),OR(Filter!$H$5="(alle)",$C1529=Filter!$H$5),OR(Filter!$B$7="(alle)",$E1529=Filter!$B$7),OR(Filter!$E$7="(alle)",ISNUMBER(SEARCH(Filter!$E$7,$J1529))),OR(Filter!$H$7="(alle)",ISNUMBER(SEARCH(Filter!$H$7,$I1529))),OR(Filter!$B$9="",ISNUMBER(SEARCH(Filter!$B$9,$F1529&amp;" "&amp;$G1529)))),COUNTIF($O$6:$O1528,"&gt;0")+1,0))</f>
        <v>0</v>
      </c>
    </row>
    <row r="1530" customFormat="false" ht="15" hidden="false" customHeight="true" outlineLevel="0" collapsed="false">
      <c r="O1530" s="1" t="n">
        <f aca="false">IF($B1530="",0,IF(AND(OR(Filter!$B$5="(alle)",$N1530=Filter!$B$5),OR(Filter!$E$5="(alle)",$K1530=Filter!$E$5),OR(Filter!$H$5="(alle)",$C1530=Filter!$H$5),OR(Filter!$B$7="(alle)",$E1530=Filter!$B$7),OR(Filter!$E$7="(alle)",ISNUMBER(SEARCH(Filter!$E$7,$J1530))),OR(Filter!$H$7="(alle)",ISNUMBER(SEARCH(Filter!$H$7,$I1530))),OR(Filter!$B$9="",ISNUMBER(SEARCH(Filter!$B$9,$F1530&amp;" "&amp;$G1530)))),COUNTIF($O$6:$O1529,"&gt;0")+1,0))</f>
        <v>0</v>
      </c>
    </row>
    <row r="1531" customFormat="false" ht="15" hidden="false" customHeight="true" outlineLevel="0" collapsed="false">
      <c r="O1531" s="1" t="n">
        <f aca="false">IF($B1531="",0,IF(AND(OR(Filter!$B$5="(alle)",$N1531=Filter!$B$5),OR(Filter!$E$5="(alle)",$K1531=Filter!$E$5),OR(Filter!$H$5="(alle)",$C1531=Filter!$H$5),OR(Filter!$B$7="(alle)",$E1531=Filter!$B$7),OR(Filter!$E$7="(alle)",ISNUMBER(SEARCH(Filter!$E$7,$J1531))),OR(Filter!$H$7="(alle)",ISNUMBER(SEARCH(Filter!$H$7,$I1531))),OR(Filter!$B$9="",ISNUMBER(SEARCH(Filter!$B$9,$F1531&amp;" "&amp;$G1531)))),COUNTIF($O$6:$O1530,"&gt;0")+1,0))</f>
        <v>0</v>
      </c>
    </row>
    <row r="1532" customFormat="false" ht="15" hidden="false" customHeight="true" outlineLevel="0" collapsed="false">
      <c r="O1532" s="1" t="n">
        <f aca="false">IF($B1532="",0,IF(AND(OR(Filter!$B$5="(alle)",$N1532=Filter!$B$5),OR(Filter!$E$5="(alle)",$K1532=Filter!$E$5),OR(Filter!$H$5="(alle)",$C1532=Filter!$H$5),OR(Filter!$B$7="(alle)",$E1532=Filter!$B$7),OR(Filter!$E$7="(alle)",ISNUMBER(SEARCH(Filter!$E$7,$J1532))),OR(Filter!$H$7="(alle)",ISNUMBER(SEARCH(Filter!$H$7,$I1532))),OR(Filter!$B$9="",ISNUMBER(SEARCH(Filter!$B$9,$F1532&amp;" "&amp;$G1532)))),COUNTIF($O$6:$O1531,"&gt;0")+1,0))</f>
        <v>0</v>
      </c>
    </row>
    <row r="1533" customFormat="false" ht="15" hidden="false" customHeight="true" outlineLevel="0" collapsed="false">
      <c r="O1533" s="1" t="n">
        <f aca="false">IF($B1533="",0,IF(AND(OR(Filter!$B$5="(alle)",$N1533=Filter!$B$5),OR(Filter!$E$5="(alle)",$K1533=Filter!$E$5),OR(Filter!$H$5="(alle)",$C1533=Filter!$H$5),OR(Filter!$B$7="(alle)",$E1533=Filter!$B$7),OR(Filter!$E$7="(alle)",ISNUMBER(SEARCH(Filter!$E$7,$J1533))),OR(Filter!$H$7="(alle)",ISNUMBER(SEARCH(Filter!$H$7,$I1533))),OR(Filter!$B$9="",ISNUMBER(SEARCH(Filter!$B$9,$F1533&amp;" "&amp;$G1533)))),COUNTIF($O$6:$O1532,"&gt;0")+1,0))</f>
        <v>0</v>
      </c>
    </row>
    <row r="1534" customFormat="false" ht="15" hidden="false" customHeight="true" outlineLevel="0" collapsed="false">
      <c r="O1534" s="1" t="n">
        <f aca="false">IF($B1534="",0,IF(AND(OR(Filter!$B$5="(alle)",$N1534=Filter!$B$5),OR(Filter!$E$5="(alle)",$K1534=Filter!$E$5),OR(Filter!$H$5="(alle)",$C1534=Filter!$H$5),OR(Filter!$B$7="(alle)",$E1534=Filter!$B$7),OR(Filter!$E$7="(alle)",ISNUMBER(SEARCH(Filter!$E$7,$J1534))),OR(Filter!$H$7="(alle)",ISNUMBER(SEARCH(Filter!$H$7,$I1534))),OR(Filter!$B$9="",ISNUMBER(SEARCH(Filter!$B$9,$F1534&amp;" "&amp;$G1534)))),COUNTIF($O$6:$O1533,"&gt;0")+1,0))</f>
        <v>0</v>
      </c>
    </row>
    <row r="1535" customFormat="false" ht="15" hidden="false" customHeight="true" outlineLevel="0" collapsed="false">
      <c r="O1535" s="1" t="n">
        <f aca="false">IF($B1535="",0,IF(AND(OR(Filter!$B$5="(alle)",$N1535=Filter!$B$5),OR(Filter!$E$5="(alle)",$K1535=Filter!$E$5),OR(Filter!$H$5="(alle)",$C1535=Filter!$H$5),OR(Filter!$B$7="(alle)",$E1535=Filter!$B$7),OR(Filter!$E$7="(alle)",ISNUMBER(SEARCH(Filter!$E$7,$J1535))),OR(Filter!$H$7="(alle)",ISNUMBER(SEARCH(Filter!$H$7,$I1535))),OR(Filter!$B$9="",ISNUMBER(SEARCH(Filter!$B$9,$F1535&amp;" "&amp;$G1535)))),COUNTIF($O$6:$O1534,"&gt;0")+1,0))</f>
        <v>0</v>
      </c>
    </row>
    <row r="1536" customFormat="false" ht="15" hidden="false" customHeight="true" outlineLevel="0" collapsed="false">
      <c r="O1536" s="1" t="n">
        <f aca="false">IF($B1536="",0,IF(AND(OR(Filter!$B$5="(alle)",$N1536=Filter!$B$5),OR(Filter!$E$5="(alle)",$K1536=Filter!$E$5),OR(Filter!$H$5="(alle)",$C1536=Filter!$H$5),OR(Filter!$B$7="(alle)",$E1536=Filter!$B$7),OR(Filter!$E$7="(alle)",ISNUMBER(SEARCH(Filter!$E$7,$J1536))),OR(Filter!$H$7="(alle)",ISNUMBER(SEARCH(Filter!$H$7,$I1536))),OR(Filter!$B$9="",ISNUMBER(SEARCH(Filter!$B$9,$F1536&amp;" "&amp;$G1536)))),COUNTIF($O$6:$O1535,"&gt;0")+1,0))</f>
        <v>0</v>
      </c>
    </row>
    <row r="1537" customFormat="false" ht="15" hidden="false" customHeight="true" outlineLevel="0" collapsed="false">
      <c r="O1537" s="1" t="n">
        <f aca="false">IF($B1537="",0,IF(AND(OR(Filter!$B$5="(alle)",$N1537=Filter!$B$5),OR(Filter!$E$5="(alle)",$K1537=Filter!$E$5),OR(Filter!$H$5="(alle)",$C1537=Filter!$H$5),OR(Filter!$B$7="(alle)",$E1537=Filter!$B$7),OR(Filter!$E$7="(alle)",ISNUMBER(SEARCH(Filter!$E$7,$J1537))),OR(Filter!$H$7="(alle)",ISNUMBER(SEARCH(Filter!$H$7,$I1537))),OR(Filter!$B$9="",ISNUMBER(SEARCH(Filter!$B$9,$F1537&amp;" "&amp;$G1537)))),COUNTIF($O$6:$O1536,"&gt;0")+1,0))</f>
        <v>0</v>
      </c>
    </row>
    <row r="1538" customFormat="false" ht="15" hidden="false" customHeight="true" outlineLevel="0" collapsed="false">
      <c r="O1538" s="1" t="n">
        <f aca="false">IF($B1538="",0,IF(AND(OR(Filter!$B$5="(alle)",$N1538=Filter!$B$5),OR(Filter!$E$5="(alle)",$K1538=Filter!$E$5),OR(Filter!$H$5="(alle)",$C1538=Filter!$H$5),OR(Filter!$B$7="(alle)",$E1538=Filter!$B$7),OR(Filter!$E$7="(alle)",ISNUMBER(SEARCH(Filter!$E$7,$J1538))),OR(Filter!$H$7="(alle)",ISNUMBER(SEARCH(Filter!$H$7,$I1538))),OR(Filter!$B$9="",ISNUMBER(SEARCH(Filter!$B$9,$F1538&amp;" "&amp;$G1538)))),COUNTIF($O$6:$O1537,"&gt;0")+1,0))</f>
        <v>0</v>
      </c>
    </row>
    <row r="1539" customFormat="false" ht="15" hidden="false" customHeight="true" outlineLevel="0" collapsed="false">
      <c r="O1539" s="1" t="n">
        <f aca="false">IF($B1539="",0,IF(AND(OR(Filter!$B$5="(alle)",$N1539=Filter!$B$5),OR(Filter!$E$5="(alle)",$K1539=Filter!$E$5),OR(Filter!$H$5="(alle)",$C1539=Filter!$H$5),OR(Filter!$B$7="(alle)",$E1539=Filter!$B$7),OR(Filter!$E$7="(alle)",ISNUMBER(SEARCH(Filter!$E$7,$J1539))),OR(Filter!$H$7="(alle)",ISNUMBER(SEARCH(Filter!$H$7,$I1539))),OR(Filter!$B$9="",ISNUMBER(SEARCH(Filter!$B$9,$F1539&amp;" "&amp;$G1539)))),COUNTIF($O$6:$O1538,"&gt;0")+1,0))</f>
        <v>0</v>
      </c>
    </row>
    <row r="1540" customFormat="false" ht="15" hidden="false" customHeight="true" outlineLevel="0" collapsed="false">
      <c r="O1540" s="1" t="n">
        <f aca="false">IF($B1540="",0,IF(AND(OR(Filter!$B$5="(alle)",$N1540=Filter!$B$5),OR(Filter!$E$5="(alle)",$K1540=Filter!$E$5),OR(Filter!$H$5="(alle)",$C1540=Filter!$H$5),OR(Filter!$B$7="(alle)",$E1540=Filter!$B$7),OR(Filter!$E$7="(alle)",ISNUMBER(SEARCH(Filter!$E$7,$J1540))),OR(Filter!$H$7="(alle)",ISNUMBER(SEARCH(Filter!$H$7,$I1540))),OR(Filter!$B$9="",ISNUMBER(SEARCH(Filter!$B$9,$F1540&amp;" "&amp;$G1540)))),COUNTIF($O$6:$O1539,"&gt;0")+1,0))</f>
        <v>0</v>
      </c>
    </row>
    <row r="1541" customFormat="false" ht="15" hidden="false" customHeight="true" outlineLevel="0" collapsed="false">
      <c r="O1541" s="1" t="n">
        <f aca="false">IF($B1541="",0,IF(AND(OR(Filter!$B$5="(alle)",$N1541=Filter!$B$5),OR(Filter!$E$5="(alle)",$K1541=Filter!$E$5),OR(Filter!$H$5="(alle)",$C1541=Filter!$H$5),OR(Filter!$B$7="(alle)",$E1541=Filter!$B$7),OR(Filter!$E$7="(alle)",ISNUMBER(SEARCH(Filter!$E$7,$J1541))),OR(Filter!$H$7="(alle)",ISNUMBER(SEARCH(Filter!$H$7,$I1541))),OR(Filter!$B$9="",ISNUMBER(SEARCH(Filter!$B$9,$F1541&amp;" "&amp;$G1541)))),COUNTIF($O$6:$O1540,"&gt;0")+1,0))</f>
        <v>0</v>
      </c>
    </row>
    <row r="1542" customFormat="false" ht="15" hidden="false" customHeight="true" outlineLevel="0" collapsed="false">
      <c r="O1542" s="1" t="n">
        <f aca="false">IF($B1542="",0,IF(AND(OR(Filter!$B$5="(alle)",$N1542=Filter!$B$5),OR(Filter!$E$5="(alle)",$K1542=Filter!$E$5),OR(Filter!$H$5="(alle)",$C1542=Filter!$H$5),OR(Filter!$B$7="(alle)",$E1542=Filter!$B$7),OR(Filter!$E$7="(alle)",ISNUMBER(SEARCH(Filter!$E$7,$J1542))),OR(Filter!$H$7="(alle)",ISNUMBER(SEARCH(Filter!$H$7,$I1542))),OR(Filter!$B$9="",ISNUMBER(SEARCH(Filter!$B$9,$F1542&amp;" "&amp;$G1542)))),COUNTIF($O$6:$O1541,"&gt;0")+1,0))</f>
        <v>0</v>
      </c>
    </row>
    <row r="1543" customFormat="false" ht="15" hidden="false" customHeight="true" outlineLevel="0" collapsed="false">
      <c r="O1543" s="1" t="n">
        <f aca="false">IF($B1543="",0,IF(AND(OR(Filter!$B$5="(alle)",$N1543=Filter!$B$5),OR(Filter!$E$5="(alle)",$K1543=Filter!$E$5),OR(Filter!$H$5="(alle)",$C1543=Filter!$H$5),OR(Filter!$B$7="(alle)",$E1543=Filter!$B$7),OR(Filter!$E$7="(alle)",ISNUMBER(SEARCH(Filter!$E$7,$J1543))),OR(Filter!$H$7="(alle)",ISNUMBER(SEARCH(Filter!$H$7,$I1543))),OR(Filter!$B$9="",ISNUMBER(SEARCH(Filter!$B$9,$F1543&amp;" "&amp;$G1543)))),COUNTIF($O$6:$O1542,"&gt;0")+1,0))</f>
        <v>0</v>
      </c>
    </row>
    <row r="1544" customFormat="false" ht="15" hidden="false" customHeight="true" outlineLevel="0" collapsed="false">
      <c r="O1544" s="1" t="n">
        <f aca="false">IF($B1544="",0,IF(AND(OR(Filter!$B$5="(alle)",$N1544=Filter!$B$5),OR(Filter!$E$5="(alle)",$K1544=Filter!$E$5),OR(Filter!$H$5="(alle)",$C1544=Filter!$H$5),OR(Filter!$B$7="(alle)",$E1544=Filter!$B$7),OR(Filter!$E$7="(alle)",ISNUMBER(SEARCH(Filter!$E$7,$J1544))),OR(Filter!$H$7="(alle)",ISNUMBER(SEARCH(Filter!$H$7,$I1544))),OR(Filter!$B$9="",ISNUMBER(SEARCH(Filter!$B$9,$F1544&amp;" "&amp;$G1544)))),COUNTIF($O$6:$O1543,"&gt;0")+1,0))</f>
        <v>0</v>
      </c>
    </row>
    <row r="1545" customFormat="false" ht="15" hidden="false" customHeight="true" outlineLevel="0" collapsed="false">
      <c r="O1545" s="1" t="n">
        <f aca="false">IF($B1545="",0,IF(AND(OR(Filter!$B$5="(alle)",$N1545=Filter!$B$5),OR(Filter!$E$5="(alle)",$K1545=Filter!$E$5),OR(Filter!$H$5="(alle)",$C1545=Filter!$H$5),OR(Filter!$B$7="(alle)",$E1545=Filter!$B$7),OR(Filter!$E$7="(alle)",ISNUMBER(SEARCH(Filter!$E$7,$J1545))),OR(Filter!$H$7="(alle)",ISNUMBER(SEARCH(Filter!$H$7,$I1545))),OR(Filter!$B$9="",ISNUMBER(SEARCH(Filter!$B$9,$F1545&amp;" "&amp;$G1545)))),COUNTIF($O$6:$O1544,"&gt;0")+1,0))</f>
        <v>0</v>
      </c>
    </row>
    <row r="1546" customFormat="false" ht="15" hidden="false" customHeight="true" outlineLevel="0" collapsed="false">
      <c r="O1546" s="1" t="n">
        <f aca="false">IF($B1546="",0,IF(AND(OR(Filter!$B$5="(alle)",$N1546=Filter!$B$5),OR(Filter!$E$5="(alle)",$K1546=Filter!$E$5),OR(Filter!$H$5="(alle)",$C1546=Filter!$H$5),OR(Filter!$B$7="(alle)",$E1546=Filter!$B$7),OR(Filter!$E$7="(alle)",ISNUMBER(SEARCH(Filter!$E$7,$J1546))),OR(Filter!$H$7="(alle)",ISNUMBER(SEARCH(Filter!$H$7,$I1546))),OR(Filter!$B$9="",ISNUMBER(SEARCH(Filter!$B$9,$F1546&amp;" "&amp;$G1546)))),COUNTIF($O$6:$O1545,"&gt;0")+1,0))</f>
        <v>0</v>
      </c>
    </row>
    <row r="1547" customFormat="false" ht="15" hidden="false" customHeight="true" outlineLevel="0" collapsed="false">
      <c r="O1547" s="1" t="n">
        <f aca="false">IF($B1547="",0,IF(AND(OR(Filter!$B$5="(alle)",$N1547=Filter!$B$5),OR(Filter!$E$5="(alle)",$K1547=Filter!$E$5),OR(Filter!$H$5="(alle)",$C1547=Filter!$H$5),OR(Filter!$B$7="(alle)",$E1547=Filter!$B$7),OR(Filter!$E$7="(alle)",ISNUMBER(SEARCH(Filter!$E$7,$J1547))),OR(Filter!$H$7="(alle)",ISNUMBER(SEARCH(Filter!$H$7,$I1547))),OR(Filter!$B$9="",ISNUMBER(SEARCH(Filter!$B$9,$F1547&amp;" "&amp;$G1547)))),COUNTIF($O$6:$O1546,"&gt;0")+1,0))</f>
        <v>0</v>
      </c>
    </row>
    <row r="1548" customFormat="false" ht="15" hidden="false" customHeight="true" outlineLevel="0" collapsed="false">
      <c r="O1548" s="1" t="n">
        <f aca="false">IF($B1548="",0,IF(AND(OR(Filter!$B$5="(alle)",$N1548=Filter!$B$5),OR(Filter!$E$5="(alle)",$K1548=Filter!$E$5),OR(Filter!$H$5="(alle)",$C1548=Filter!$H$5),OR(Filter!$B$7="(alle)",$E1548=Filter!$B$7),OR(Filter!$E$7="(alle)",ISNUMBER(SEARCH(Filter!$E$7,$J1548))),OR(Filter!$H$7="(alle)",ISNUMBER(SEARCH(Filter!$H$7,$I1548))),OR(Filter!$B$9="",ISNUMBER(SEARCH(Filter!$B$9,$F1548&amp;" "&amp;$G1548)))),COUNTIF($O$6:$O1547,"&gt;0")+1,0))</f>
        <v>0</v>
      </c>
    </row>
    <row r="1549" customFormat="false" ht="15" hidden="false" customHeight="true" outlineLevel="0" collapsed="false">
      <c r="O1549" s="1" t="n">
        <f aca="false">IF($B1549="",0,IF(AND(OR(Filter!$B$5="(alle)",$N1549=Filter!$B$5),OR(Filter!$E$5="(alle)",$K1549=Filter!$E$5),OR(Filter!$H$5="(alle)",$C1549=Filter!$H$5),OR(Filter!$B$7="(alle)",$E1549=Filter!$B$7),OR(Filter!$E$7="(alle)",ISNUMBER(SEARCH(Filter!$E$7,$J1549))),OR(Filter!$H$7="(alle)",ISNUMBER(SEARCH(Filter!$H$7,$I1549))),OR(Filter!$B$9="",ISNUMBER(SEARCH(Filter!$B$9,$F1549&amp;" "&amp;$G1549)))),COUNTIF($O$6:$O1548,"&gt;0")+1,0))</f>
        <v>0</v>
      </c>
    </row>
    <row r="1550" customFormat="false" ht="15" hidden="false" customHeight="true" outlineLevel="0" collapsed="false">
      <c r="O1550" s="1" t="n">
        <f aca="false">IF($B1550="",0,IF(AND(OR(Filter!$B$5="(alle)",$N1550=Filter!$B$5),OR(Filter!$E$5="(alle)",$K1550=Filter!$E$5),OR(Filter!$H$5="(alle)",$C1550=Filter!$H$5),OR(Filter!$B$7="(alle)",$E1550=Filter!$B$7),OR(Filter!$E$7="(alle)",ISNUMBER(SEARCH(Filter!$E$7,$J1550))),OR(Filter!$H$7="(alle)",ISNUMBER(SEARCH(Filter!$H$7,$I1550))),OR(Filter!$B$9="",ISNUMBER(SEARCH(Filter!$B$9,$F1550&amp;" "&amp;$G1550)))),COUNTIF($O$6:$O1549,"&gt;0")+1,0))</f>
        <v>0</v>
      </c>
    </row>
    <row r="1551" customFormat="false" ht="15" hidden="false" customHeight="true" outlineLevel="0" collapsed="false">
      <c r="O1551" s="1" t="n">
        <f aca="false">IF($B1551="",0,IF(AND(OR(Filter!$B$5="(alle)",$N1551=Filter!$B$5),OR(Filter!$E$5="(alle)",$K1551=Filter!$E$5),OR(Filter!$H$5="(alle)",$C1551=Filter!$H$5),OR(Filter!$B$7="(alle)",$E1551=Filter!$B$7),OR(Filter!$E$7="(alle)",ISNUMBER(SEARCH(Filter!$E$7,$J1551))),OR(Filter!$H$7="(alle)",ISNUMBER(SEARCH(Filter!$H$7,$I1551))),OR(Filter!$B$9="",ISNUMBER(SEARCH(Filter!$B$9,$F1551&amp;" "&amp;$G1551)))),COUNTIF($O$6:$O1550,"&gt;0")+1,0))</f>
        <v>0</v>
      </c>
    </row>
    <row r="1552" customFormat="false" ht="15" hidden="false" customHeight="true" outlineLevel="0" collapsed="false">
      <c r="O1552" s="1" t="n">
        <f aca="false">IF($B1552="",0,IF(AND(OR(Filter!$B$5="(alle)",$N1552=Filter!$B$5),OR(Filter!$E$5="(alle)",$K1552=Filter!$E$5),OR(Filter!$H$5="(alle)",$C1552=Filter!$H$5),OR(Filter!$B$7="(alle)",$E1552=Filter!$B$7),OR(Filter!$E$7="(alle)",ISNUMBER(SEARCH(Filter!$E$7,$J1552))),OR(Filter!$H$7="(alle)",ISNUMBER(SEARCH(Filter!$H$7,$I1552))),OR(Filter!$B$9="",ISNUMBER(SEARCH(Filter!$B$9,$F1552&amp;" "&amp;$G1552)))),COUNTIF($O$6:$O1551,"&gt;0")+1,0))</f>
        <v>0</v>
      </c>
    </row>
    <row r="1553" customFormat="false" ht="15" hidden="false" customHeight="true" outlineLevel="0" collapsed="false">
      <c r="O1553" s="1" t="n">
        <f aca="false">IF($B1553="",0,IF(AND(OR(Filter!$B$5="(alle)",$N1553=Filter!$B$5),OR(Filter!$E$5="(alle)",$K1553=Filter!$E$5),OR(Filter!$H$5="(alle)",$C1553=Filter!$H$5),OR(Filter!$B$7="(alle)",$E1553=Filter!$B$7),OR(Filter!$E$7="(alle)",ISNUMBER(SEARCH(Filter!$E$7,$J1553))),OR(Filter!$H$7="(alle)",ISNUMBER(SEARCH(Filter!$H$7,$I1553))),OR(Filter!$B$9="",ISNUMBER(SEARCH(Filter!$B$9,$F1553&amp;" "&amp;$G1553)))),COUNTIF($O$6:$O1552,"&gt;0")+1,0))</f>
        <v>0</v>
      </c>
    </row>
    <row r="1554" customFormat="false" ht="15" hidden="false" customHeight="true" outlineLevel="0" collapsed="false">
      <c r="O1554" s="1" t="n">
        <f aca="false">IF($B1554="",0,IF(AND(OR(Filter!$B$5="(alle)",$N1554=Filter!$B$5),OR(Filter!$E$5="(alle)",$K1554=Filter!$E$5),OR(Filter!$H$5="(alle)",$C1554=Filter!$H$5),OR(Filter!$B$7="(alle)",$E1554=Filter!$B$7),OR(Filter!$E$7="(alle)",ISNUMBER(SEARCH(Filter!$E$7,$J1554))),OR(Filter!$H$7="(alle)",ISNUMBER(SEARCH(Filter!$H$7,$I1554))),OR(Filter!$B$9="",ISNUMBER(SEARCH(Filter!$B$9,$F1554&amp;" "&amp;$G1554)))),COUNTIF($O$6:$O1553,"&gt;0")+1,0))</f>
        <v>0</v>
      </c>
    </row>
    <row r="1555" customFormat="false" ht="15" hidden="false" customHeight="true" outlineLevel="0" collapsed="false">
      <c r="O1555" s="1" t="n">
        <f aca="false">IF($B1555="",0,IF(AND(OR(Filter!$B$5="(alle)",$N1555=Filter!$B$5),OR(Filter!$E$5="(alle)",$K1555=Filter!$E$5),OR(Filter!$H$5="(alle)",$C1555=Filter!$H$5),OR(Filter!$B$7="(alle)",$E1555=Filter!$B$7),OR(Filter!$E$7="(alle)",ISNUMBER(SEARCH(Filter!$E$7,$J1555))),OR(Filter!$H$7="(alle)",ISNUMBER(SEARCH(Filter!$H$7,$I1555))),OR(Filter!$B$9="",ISNUMBER(SEARCH(Filter!$B$9,$F1555&amp;" "&amp;$G1555)))),COUNTIF($O$6:$O1554,"&gt;0")+1,0))</f>
        <v>0</v>
      </c>
    </row>
    <row r="1556" customFormat="false" ht="15" hidden="false" customHeight="true" outlineLevel="0" collapsed="false">
      <c r="O1556" s="1" t="n">
        <f aca="false">IF($B1556="",0,IF(AND(OR(Filter!$B$5="(alle)",$N1556=Filter!$B$5),OR(Filter!$E$5="(alle)",$K1556=Filter!$E$5),OR(Filter!$H$5="(alle)",$C1556=Filter!$H$5),OR(Filter!$B$7="(alle)",$E1556=Filter!$B$7),OR(Filter!$E$7="(alle)",ISNUMBER(SEARCH(Filter!$E$7,$J1556))),OR(Filter!$H$7="(alle)",ISNUMBER(SEARCH(Filter!$H$7,$I1556))),OR(Filter!$B$9="",ISNUMBER(SEARCH(Filter!$B$9,$F1556&amp;" "&amp;$G1556)))),COUNTIF($O$6:$O1555,"&gt;0")+1,0))</f>
        <v>0</v>
      </c>
    </row>
    <row r="1557" customFormat="false" ht="15" hidden="false" customHeight="true" outlineLevel="0" collapsed="false">
      <c r="O1557" s="1" t="n">
        <f aca="false">IF($B1557="",0,IF(AND(OR(Filter!$B$5="(alle)",$N1557=Filter!$B$5),OR(Filter!$E$5="(alle)",$K1557=Filter!$E$5),OR(Filter!$H$5="(alle)",$C1557=Filter!$H$5),OR(Filter!$B$7="(alle)",$E1557=Filter!$B$7),OR(Filter!$E$7="(alle)",ISNUMBER(SEARCH(Filter!$E$7,$J1557))),OR(Filter!$H$7="(alle)",ISNUMBER(SEARCH(Filter!$H$7,$I1557))),OR(Filter!$B$9="",ISNUMBER(SEARCH(Filter!$B$9,$F1557&amp;" "&amp;$G1557)))),COUNTIF($O$6:$O1556,"&gt;0")+1,0))</f>
        <v>0</v>
      </c>
    </row>
    <row r="1558" customFormat="false" ht="15" hidden="false" customHeight="true" outlineLevel="0" collapsed="false">
      <c r="O1558" s="1" t="n">
        <f aca="false">IF($B1558="",0,IF(AND(OR(Filter!$B$5="(alle)",$N1558=Filter!$B$5),OR(Filter!$E$5="(alle)",$K1558=Filter!$E$5),OR(Filter!$H$5="(alle)",$C1558=Filter!$H$5),OR(Filter!$B$7="(alle)",$E1558=Filter!$B$7),OR(Filter!$E$7="(alle)",ISNUMBER(SEARCH(Filter!$E$7,$J1558))),OR(Filter!$H$7="(alle)",ISNUMBER(SEARCH(Filter!$H$7,$I1558))),OR(Filter!$B$9="",ISNUMBER(SEARCH(Filter!$B$9,$F1558&amp;" "&amp;$G1558)))),COUNTIF($O$6:$O1557,"&gt;0")+1,0))</f>
        <v>0</v>
      </c>
    </row>
    <row r="1559" customFormat="false" ht="15" hidden="false" customHeight="true" outlineLevel="0" collapsed="false">
      <c r="O1559" s="1" t="n">
        <f aca="false">IF($B1559="",0,IF(AND(OR(Filter!$B$5="(alle)",$N1559=Filter!$B$5),OR(Filter!$E$5="(alle)",$K1559=Filter!$E$5),OR(Filter!$H$5="(alle)",$C1559=Filter!$H$5),OR(Filter!$B$7="(alle)",$E1559=Filter!$B$7),OR(Filter!$E$7="(alle)",ISNUMBER(SEARCH(Filter!$E$7,$J1559))),OR(Filter!$H$7="(alle)",ISNUMBER(SEARCH(Filter!$H$7,$I1559))),OR(Filter!$B$9="",ISNUMBER(SEARCH(Filter!$B$9,$F1559&amp;" "&amp;$G1559)))),COUNTIF($O$6:$O1558,"&gt;0")+1,0))</f>
        <v>0</v>
      </c>
    </row>
    <row r="1560" customFormat="false" ht="15" hidden="false" customHeight="true" outlineLevel="0" collapsed="false">
      <c r="O1560" s="1" t="n">
        <f aca="false">IF($B1560="",0,IF(AND(OR(Filter!$B$5="(alle)",$N1560=Filter!$B$5),OR(Filter!$E$5="(alle)",$K1560=Filter!$E$5),OR(Filter!$H$5="(alle)",$C1560=Filter!$H$5),OR(Filter!$B$7="(alle)",$E1560=Filter!$B$7),OR(Filter!$E$7="(alle)",ISNUMBER(SEARCH(Filter!$E$7,$J1560))),OR(Filter!$H$7="(alle)",ISNUMBER(SEARCH(Filter!$H$7,$I1560))),OR(Filter!$B$9="",ISNUMBER(SEARCH(Filter!$B$9,$F1560&amp;" "&amp;$G1560)))),COUNTIF($O$6:$O1559,"&gt;0")+1,0))</f>
        <v>0</v>
      </c>
    </row>
    <row r="1561" customFormat="false" ht="15" hidden="false" customHeight="true" outlineLevel="0" collapsed="false">
      <c r="O1561" s="1" t="n">
        <f aca="false">IF($B1561="",0,IF(AND(OR(Filter!$B$5="(alle)",$N1561=Filter!$B$5),OR(Filter!$E$5="(alle)",$K1561=Filter!$E$5),OR(Filter!$H$5="(alle)",$C1561=Filter!$H$5),OR(Filter!$B$7="(alle)",$E1561=Filter!$B$7),OR(Filter!$E$7="(alle)",ISNUMBER(SEARCH(Filter!$E$7,$J1561))),OR(Filter!$H$7="(alle)",ISNUMBER(SEARCH(Filter!$H$7,$I1561))),OR(Filter!$B$9="",ISNUMBER(SEARCH(Filter!$B$9,$F1561&amp;" "&amp;$G1561)))),COUNTIF($O$6:$O1560,"&gt;0")+1,0))</f>
        <v>0</v>
      </c>
    </row>
    <row r="1562" customFormat="false" ht="15" hidden="false" customHeight="true" outlineLevel="0" collapsed="false">
      <c r="O1562" s="1" t="n">
        <f aca="false">IF($B1562="",0,IF(AND(OR(Filter!$B$5="(alle)",$N1562=Filter!$B$5),OR(Filter!$E$5="(alle)",$K1562=Filter!$E$5),OR(Filter!$H$5="(alle)",$C1562=Filter!$H$5),OR(Filter!$B$7="(alle)",$E1562=Filter!$B$7),OR(Filter!$E$7="(alle)",ISNUMBER(SEARCH(Filter!$E$7,$J1562))),OR(Filter!$H$7="(alle)",ISNUMBER(SEARCH(Filter!$H$7,$I1562))),OR(Filter!$B$9="",ISNUMBER(SEARCH(Filter!$B$9,$F1562&amp;" "&amp;$G1562)))),COUNTIF($O$6:$O1561,"&gt;0")+1,0))</f>
        <v>0</v>
      </c>
    </row>
    <row r="1563" customFormat="false" ht="15" hidden="false" customHeight="true" outlineLevel="0" collapsed="false">
      <c r="O1563" s="1" t="n">
        <f aca="false">IF($B1563="",0,IF(AND(OR(Filter!$B$5="(alle)",$N1563=Filter!$B$5),OR(Filter!$E$5="(alle)",$K1563=Filter!$E$5),OR(Filter!$H$5="(alle)",$C1563=Filter!$H$5),OR(Filter!$B$7="(alle)",$E1563=Filter!$B$7),OR(Filter!$E$7="(alle)",ISNUMBER(SEARCH(Filter!$E$7,$J1563))),OR(Filter!$H$7="(alle)",ISNUMBER(SEARCH(Filter!$H$7,$I1563))),OR(Filter!$B$9="",ISNUMBER(SEARCH(Filter!$B$9,$F1563&amp;" "&amp;$G1563)))),COUNTIF($O$6:$O1562,"&gt;0")+1,0))</f>
        <v>0</v>
      </c>
    </row>
    <row r="1564" customFormat="false" ht="15" hidden="false" customHeight="true" outlineLevel="0" collapsed="false">
      <c r="O1564" s="1" t="n">
        <f aca="false">IF($B1564="",0,IF(AND(OR(Filter!$B$5="(alle)",$N1564=Filter!$B$5),OR(Filter!$E$5="(alle)",$K1564=Filter!$E$5),OR(Filter!$H$5="(alle)",$C1564=Filter!$H$5),OR(Filter!$B$7="(alle)",$E1564=Filter!$B$7),OR(Filter!$E$7="(alle)",ISNUMBER(SEARCH(Filter!$E$7,$J1564))),OR(Filter!$H$7="(alle)",ISNUMBER(SEARCH(Filter!$H$7,$I1564))),OR(Filter!$B$9="",ISNUMBER(SEARCH(Filter!$B$9,$F1564&amp;" "&amp;$G1564)))),COUNTIF($O$6:$O1563,"&gt;0")+1,0))</f>
        <v>0</v>
      </c>
    </row>
    <row r="1565" customFormat="false" ht="15" hidden="false" customHeight="true" outlineLevel="0" collapsed="false">
      <c r="O1565" s="1" t="n">
        <f aca="false">IF($B1565="",0,IF(AND(OR(Filter!$B$5="(alle)",$N1565=Filter!$B$5),OR(Filter!$E$5="(alle)",$K1565=Filter!$E$5),OR(Filter!$H$5="(alle)",$C1565=Filter!$H$5),OR(Filter!$B$7="(alle)",$E1565=Filter!$B$7),OR(Filter!$E$7="(alle)",ISNUMBER(SEARCH(Filter!$E$7,$J1565))),OR(Filter!$H$7="(alle)",ISNUMBER(SEARCH(Filter!$H$7,$I1565))),OR(Filter!$B$9="",ISNUMBER(SEARCH(Filter!$B$9,$F1565&amp;" "&amp;$G1565)))),COUNTIF($O$6:$O1564,"&gt;0")+1,0))</f>
        <v>0</v>
      </c>
    </row>
    <row r="1566" customFormat="false" ht="15" hidden="false" customHeight="true" outlineLevel="0" collapsed="false">
      <c r="O1566" s="1" t="n">
        <f aca="false">IF($B1566="",0,IF(AND(OR(Filter!$B$5="(alle)",$N1566=Filter!$B$5),OR(Filter!$E$5="(alle)",$K1566=Filter!$E$5),OR(Filter!$H$5="(alle)",$C1566=Filter!$H$5),OR(Filter!$B$7="(alle)",$E1566=Filter!$B$7),OR(Filter!$E$7="(alle)",ISNUMBER(SEARCH(Filter!$E$7,$J1566))),OR(Filter!$H$7="(alle)",ISNUMBER(SEARCH(Filter!$H$7,$I1566))),OR(Filter!$B$9="",ISNUMBER(SEARCH(Filter!$B$9,$F1566&amp;" "&amp;$G1566)))),COUNTIF($O$6:$O1565,"&gt;0")+1,0))</f>
        <v>0</v>
      </c>
    </row>
    <row r="1567" customFormat="false" ht="15" hidden="false" customHeight="true" outlineLevel="0" collapsed="false">
      <c r="O1567" s="1" t="n">
        <f aca="false">IF($B1567="",0,IF(AND(OR(Filter!$B$5="(alle)",$N1567=Filter!$B$5),OR(Filter!$E$5="(alle)",$K1567=Filter!$E$5),OR(Filter!$H$5="(alle)",$C1567=Filter!$H$5),OR(Filter!$B$7="(alle)",$E1567=Filter!$B$7),OR(Filter!$E$7="(alle)",ISNUMBER(SEARCH(Filter!$E$7,$J1567))),OR(Filter!$H$7="(alle)",ISNUMBER(SEARCH(Filter!$H$7,$I1567))),OR(Filter!$B$9="",ISNUMBER(SEARCH(Filter!$B$9,$F1567&amp;" "&amp;$G1567)))),COUNTIF($O$6:$O1566,"&gt;0")+1,0))</f>
        <v>0</v>
      </c>
    </row>
    <row r="1568" customFormat="false" ht="15" hidden="false" customHeight="true" outlineLevel="0" collapsed="false">
      <c r="O1568" s="1" t="n">
        <f aca="false">IF($B1568="",0,IF(AND(OR(Filter!$B$5="(alle)",$N1568=Filter!$B$5),OR(Filter!$E$5="(alle)",$K1568=Filter!$E$5),OR(Filter!$H$5="(alle)",$C1568=Filter!$H$5),OR(Filter!$B$7="(alle)",$E1568=Filter!$B$7),OR(Filter!$E$7="(alle)",ISNUMBER(SEARCH(Filter!$E$7,$J1568))),OR(Filter!$H$7="(alle)",ISNUMBER(SEARCH(Filter!$H$7,$I1568))),OR(Filter!$B$9="",ISNUMBER(SEARCH(Filter!$B$9,$F1568&amp;" "&amp;$G1568)))),COUNTIF($O$6:$O1567,"&gt;0")+1,0))</f>
        <v>0</v>
      </c>
    </row>
    <row r="1569" customFormat="false" ht="15" hidden="false" customHeight="true" outlineLevel="0" collapsed="false">
      <c r="O1569" s="1" t="n">
        <f aca="false">IF($B1569="",0,IF(AND(OR(Filter!$B$5="(alle)",$N1569=Filter!$B$5),OR(Filter!$E$5="(alle)",$K1569=Filter!$E$5),OR(Filter!$H$5="(alle)",$C1569=Filter!$H$5),OR(Filter!$B$7="(alle)",$E1569=Filter!$B$7),OR(Filter!$E$7="(alle)",ISNUMBER(SEARCH(Filter!$E$7,$J1569))),OR(Filter!$H$7="(alle)",ISNUMBER(SEARCH(Filter!$H$7,$I1569))),OR(Filter!$B$9="",ISNUMBER(SEARCH(Filter!$B$9,$F1569&amp;" "&amp;$G1569)))),COUNTIF($O$6:$O1568,"&gt;0")+1,0))</f>
        <v>0</v>
      </c>
    </row>
    <row r="1570" customFormat="false" ht="15" hidden="false" customHeight="true" outlineLevel="0" collapsed="false">
      <c r="O1570" s="1" t="n">
        <f aca="false">IF($B1570="",0,IF(AND(OR(Filter!$B$5="(alle)",$N1570=Filter!$B$5),OR(Filter!$E$5="(alle)",$K1570=Filter!$E$5),OR(Filter!$H$5="(alle)",$C1570=Filter!$H$5),OR(Filter!$B$7="(alle)",$E1570=Filter!$B$7),OR(Filter!$E$7="(alle)",ISNUMBER(SEARCH(Filter!$E$7,$J1570))),OR(Filter!$H$7="(alle)",ISNUMBER(SEARCH(Filter!$H$7,$I1570))),OR(Filter!$B$9="",ISNUMBER(SEARCH(Filter!$B$9,$F1570&amp;" "&amp;$G1570)))),COUNTIF($O$6:$O1569,"&gt;0")+1,0))</f>
        <v>0</v>
      </c>
    </row>
    <row r="1571" customFormat="false" ht="15" hidden="false" customHeight="true" outlineLevel="0" collapsed="false">
      <c r="O1571" s="1" t="n">
        <f aca="false">IF($B1571="",0,IF(AND(OR(Filter!$B$5="(alle)",$N1571=Filter!$B$5),OR(Filter!$E$5="(alle)",$K1571=Filter!$E$5),OR(Filter!$H$5="(alle)",$C1571=Filter!$H$5),OR(Filter!$B$7="(alle)",$E1571=Filter!$B$7),OR(Filter!$E$7="(alle)",ISNUMBER(SEARCH(Filter!$E$7,$J1571))),OR(Filter!$H$7="(alle)",ISNUMBER(SEARCH(Filter!$H$7,$I1571))),OR(Filter!$B$9="",ISNUMBER(SEARCH(Filter!$B$9,$F1571&amp;" "&amp;$G1571)))),COUNTIF($O$6:$O1570,"&gt;0")+1,0))</f>
        <v>0</v>
      </c>
    </row>
    <row r="1572" customFormat="false" ht="15" hidden="false" customHeight="true" outlineLevel="0" collapsed="false">
      <c r="O1572" s="1" t="n">
        <f aca="false">IF($B1572="",0,IF(AND(OR(Filter!$B$5="(alle)",$N1572=Filter!$B$5),OR(Filter!$E$5="(alle)",$K1572=Filter!$E$5),OR(Filter!$H$5="(alle)",$C1572=Filter!$H$5),OR(Filter!$B$7="(alle)",$E1572=Filter!$B$7),OR(Filter!$E$7="(alle)",ISNUMBER(SEARCH(Filter!$E$7,$J1572))),OR(Filter!$H$7="(alle)",ISNUMBER(SEARCH(Filter!$H$7,$I1572))),OR(Filter!$B$9="",ISNUMBER(SEARCH(Filter!$B$9,$F1572&amp;" "&amp;$G1572)))),COUNTIF($O$6:$O1571,"&gt;0")+1,0))</f>
        <v>0</v>
      </c>
    </row>
    <row r="1573" customFormat="false" ht="15" hidden="false" customHeight="true" outlineLevel="0" collapsed="false">
      <c r="O1573" s="1" t="n">
        <f aca="false">IF($B1573="",0,IF(AND(OR(Filter!$B$5="(alle)",$N1573=Filter!$B$5),OR(Filter!$E$5="(alle)",$K1573=Filter!$E$5),OR(Filter!$H$5="(alle)",$C1573=Filter!$H$5),OR(Filter!$B$7="(alle)",$E1573=Filter!$B$7),OR(Filter!$E$7="(alle)",ISNUMBER(SEARCH(Filter!$E$7,$J1573))),OR(Filter!$H$7="(alle)",ISNUMBER(SEARCH(Filter!$H$7,$I1573))),OR(Filter!$B$9="",ISNUMBER(SEARCH(Filter!$B$9,$F1573&amp;" "&amp;$G1573)))),COUNTIF($O$6:$O1572,"&gt;0")+1,0))</f>
        <v>0</v>
      </c>
    </row>
    <row r="1574" customFormat="false" ht="15" hidden="false" customHeight="true" outlineLevel="0" collapsed="false">
      <c r="O1574" s="1" t="n">
        <f aca="false">IF($B1574="",0,IF(AND(OR(Filter!$B$5="(alle)",$N1574=Filter!$B$5),OR(Filter!$E$5="(alle)",$K1574=Filter!$E$5),OR(Filter!$H$5="(alle)",$C1574=Filter!$H$5),OR(Filter!$B$7="(alle)",$E1574=Filter!$B$7),OR(Filter!$E$7="(alle)",ISNUMBER(SEARCH(Filter!$E$7,$J1574))),OR(Filter!$H$7="(alle)",ISNUMBER(SEARCH(Filter!$H$7,$I1574))),OR(Filter!$B$9="",ISNUMBER(SEARCH(Filter!$B$9,$F1574&amp;" "&amp;$G1574)))),COUNTIF($O$6:$O1573,"&gt;0")+1,0))</f>
        <v>0</v>
      </c>
    </row>
    <row r="1575" customFormat="false" ht="15" hidden="false" customHeight="true" outlineLevel="0" collapsed="false">
      <c r="O1575" s="1" t="n">
        <f aca="false">IF($B1575="",0,IF(AND(OR(Filter!$B$5="(alle)",$N1575=Filter!$B$5),OR(Filter!$E$5="(alle)",$K1575=Filter!$E$5),OR(Filter!$H$5="(alle)",$C1575=Filter!$H$5),OR(Filter!$B$7="(alle)",$E1575=Filter!$B$7),OR(Filter!$E$7="(alle)",ISNUMBER(SEARCH(Filter!$E$7,$J1575))),OR(Filter!$H$7="(alle)",ISNUMBER(SEARCH(Filter!$H$7,$I1575))),OR(Filter!$B$9="",ISNUMBER(SEARCH(Filter!$B$9,$F1575&amp;" "&amp;$G1575)))),COUNTIF($O$6:$O1574,"&gt;0")+1,0))</f>
        <v>0</v>
      </c>
    </row>
    <row r="1576" customFormat="false" ht="15" hidden="false" customHeight="true" outlineLevel="0" collapsed="false">
      <c r="O1576" s="1" t="n">
        <f aca="false">IF($B1576="",0,IF(AND(OR(Filter!$B$5="(alle)",$N1576=Filter!$B$5),OR(Filter!$E$5="(alle)",$K1576=Filter!$E$5),OR(Filter!$H$5="(alle)",$C1576=Filter!$H$5),OR(Filter!$B$7="(alle)",$E1576=Filter!$B$7),OR(Filter!$E$7="(alle)",ISNUMBER(SEARCH(Filter!$E$7,$J1576))),OR(Filter!$H$7="(alle)",ISNUMBER(SEARCH(Filter!$H$7,$I1576))),OR(Filter!$B$9="",ISNUMBER(SEARCH(Filter!$B$9,$F1576&amp;" "&amp;$G1576)))),COUNTIF($O$6:$O1575,"&gt;0")+1,0))</f>
        <v>0</v>
      </c>
    </row>
    <row r="1577" customFormat="false" ht="15" hidden="false" customHeight="true" outlineLevel="0" collapsed="false">
      <c r="O1577" s="1" t="n">
        <f aca="false">IF($B1577="",0,IF(AND(OR(Filter!$B$5="(alle)",$N1577=Filter!$B$5),OR(Filter!$E$5="(alle)",$K1577=Filter!$E$5),OR(Filter!$H$5="(alle)",$C1577=Filter!$H$5),OR(Filter!$B$7="(alle)",$E1577=Filter!$B$7),OR(Filter!$E$7="(alle)",ISNUMBER(SEARCH(Filter!$E$7,$J1577))),OR(Filter!$H$7="(alle)",ISNUMBER(SEARCH(Filter!$H$7,$I1577))),OR(Filter!$B$9="",ISNUMBER(SEARCH(Filter!$B$9,$F1577&amp;" "&amp;$G1577)))),COUNTIF($O$6:$O1576,"&gt;0")+1,0))</f>
        <v>0</v>
      </c>
    </row>
    <row r="1578" customFormat="false" ht="15" hidden="false" customHeight="true" outlineLevel="0" collapsed="false">
      <c r="O1578" s="1" t="n">
        <f aca="false">IF($B1578="",0,IF(AND(OR(Filter!$B$5="(alle)",$N1578=Filter!$B$5),OR(Filter!$E$5="(alle)",$K1578=Filter!$E$5),OR(Filter!$H$5="(alle)",$C1578=Filter!$H$5),OR(Filter!$B$7="(alle)",$E1578=Filter!$B$7),OR(Filter!$E$7="(alle)",ISNUMBER(SEARCH(Filter!$E$7,$J1578))),OR(Filter!$H$7="(alle)",ISNUMBER(SEARCH(Filter!$H$7,$I1578))),OR(Filter!$B$9="",ISNUMBER(SEARCH(Filter!$B$9,$F1578&amp;" "&amp;$G1578)))),COUNTIF($O$6:$O1577,"&gt;0")+1,0))</f>
        <v>0</v>
      </c>
    </row>
    <row r="1579" customFormat="false" ht="15" hidden="false" customHeight="true" outlineLevel="0" collapsed="false">
      <c r="O1579" s="1" t="n">
        <f aca="false">IF($B1579="",0,IF(AND(OR(Filter!$B$5="(alle)",$N1579=Filter!$B$5),OR(Filter!$E$5="(alle)",$K1579=Filter!$E$5),OR(Filter!$H$5="(alle)",$C1579=Filter!$H$5),OR(Filter!$B$7="(alle)",$E1579=Filter!$B$7),OR(Filter!$E$7="(alle)",ISNUMBER(SEARCH(Filter!$E$7,$J1579))),OR(Filter!$H$7="(alle)",ISNUMBER(SEARCH(Filter!$H$7,$I1579))),OR(Filter!$B$9="",ISNUMBER(SEARCH(Filter!$B$9,$F1579&amp;" "&amp;$G1579)))),COUNTIF($O$6:$O1578,"&gt;0")+1,0))</f>
        <v>0</v>
      </c>
    </row>
    <row r="1580" customFormat="false" ht="15" hidden="false" customHeight="true" outlineLevel="0" collapsed="false">
      <c r="O1580" s="1" t="n">
        <f aca="false">IF($B1580="",0,IF(AND(OR(Filter!$B$5="(alle)",$N1580=Filter!$B$5),OR(Filter!$E$5="(alle)",$K1580=Filter!$E$5),OR(Filter!$H$5="(alle)",$C1580=Filter!$H$5),OR(Filter!$B$7="(alle)",$E1580=Filter!$B$7),OR(Filter!$E$7="(alle)",ISNUMBER(SEARCH(Filter!$E$7,$J1580))),OR(Filter!$H$7="(alle)",ISNUMBER(SEARCH(Filter!$H$7,$I1580))),OR(Filter!$B$9="",ISNUMBER(SEARCH(Filter!$B$9,$F1580&amp;" "&amp;$G1580)))),COUNTIF($O$6:$O1579,"&gt;0")+1,0))</f>
        <v>0</v>
      </c>
    </row>
    <row r="1581" customFormat="false" ht="15" hidden="false" customHeight="true" outlineLevel="0" collapsed="false">
      <c r="O1581" s="1" t="n">
        <f aca="false">IF($B1581="",0,IF(AND(OR(Filter!$B$5="(alle)",$N1581=Filter!$B$5),OR(Filter!$E$5="(alle)",$K1581=Filter!$E$5),OR(Filter!$H$5="(alle)",$C1581=Filter!$H$5),OR(Filter!$B$7="(alle)",$E1581=Filter!$B$7),OR(Filter!$E$7="(alle)",ISNUMBER(SEARCH(Filter!$E$7,$J1581))),OR(Filter!$H$7="(alle)",ISNUMBER(SEARCH(Filter!$H$7,$I1581))),OR(Filter!$B$9="",ISNUMBER(SEARCH(Filter!$B$9,$F1581&amp;" "&amp;$G1581)))),COUNTIF($O$6:$O1580,"&gt;0")+1,0))</f>
        <v>0</v>
      </c>
    </row>
    <row r="1582" customFormat="false" ht="15" hidden="false" customHeight="true" outlineLevel="0" collapsed="false">
      <c r="O1582" s="1" t="n">
        <f aca="false">IF($B1582="",0,IF(AND(OR(Filter!$B$5="(alle)",$N1582=Filter!$B$5),OR(Filter!$E$5="(alle)",$K1582=Filter!$E$5),OR(Filter!$H$5="(alle)",$C1582=Filter!$H$5),OR(Filter!$B$7="(alle)",$E1582=Filter!$B$7),OR(Filter!$E$7="(alle)",ISNUMBER(SEARCH(Filter!$E$7,$J1582))),OR(Filter!$H$7="(alle)",ISNUMBER(SEARCH(Filter!$H$7,$I1582))),OR(Filter!$B$9="",ISNUMBER(SEARCH(Filter!$B$9,$F1582&amp;" "&amp;$G1582)))),COUNTIF($O$6:$O1581,"&gt;0")+1,0))</f>
        <v>0</v>
      </c>
    </row>
    <row r="1583" customFormat="false" ht="15" hidden="false" customHeight="true" outlineLevel="0" collapsed="false">
      <c r="O1583" s="1" t="n">
        <f aca="false">IF($B1583="",0,IF(AND(OR(Filter!$B$5="(alle)",$N1583=Filter!$B$5),OR(Filter!$E$5="(alle)",$K1583=Filter!$E$5),OR(Filter!$H$5="(alle)",$C1583=Filter!$H$5),OR(Filter!$B$7="(alle)",$E1583=Filter!$B$7),OR(Filter!$E$7="(alle)",ISNUMBER(SEARCH(Filter!$E$7,$J1583))),OR(Filter!$H$7="(alle)",ISNUMBER(SEARCH(Filter!$H$7,$I1583))),OR(Filter!$B$9="",ISNUMBER(SEARCH(Filter!$B$9,$F1583&amp;" "&amp;$G1583)))),COUNTIF($O$6:$O1582,"&gt;0")+1,0))</f>
        <v>0</v>
      </c>
    </row>
    <row r="1584" customFormat="false" ht="15" hidden="false" customHeight="true" outlineLevel="0" collapsed="false">
      <c r="O1584" s="1" t="n">
        <f aca="false">IF($B1584="",0,IF(AND(OR(Filter!$B$5="(alle)",$N1584=Filter!$B$5),OR(Filter!$E$5="(alle)",$K1584=Filter!$E$5),OR(Filter!$H$5="(alle)",$C1584=Filter!$H$5),OR(Filter!$B$7="(alle)",$E1584=Filter!$B$7),OR(Filter!$E$7="(alle)",ISNUMBER(SEARCH(Filter!$E$7,$J1584))),OR(Filter!$H$7="(alle)",ISNUMBER(SEARCH(Filter!$H$7,$I1584))),OR(Filter!$B$9="",ISNUMBER(SEARCH(Filter!$B$9,$F1584&amp;" "&amp;$G1584)))),COUNTIF($O$6:$O1583,"&gt;0")+1,0))</f>
        <v>0</v>
      </c>
    </row>
    <row r="1585" customFormat="false" ht="15" hidden="false" customHeight="true" outlineLevel="0" collapsed="false">
      <c r="O1585" s="1" t="n">
        <f aca="false">IF($B1585="",0,IF(AND(OR(Filter!$B$5="(alle)",$N1585=Filter!$B$5),OR(Filter!$E$5="(alle)",$K1585=Filter!$E$5),OR(Filter!$H$5="(alle)",$C1585=Filter!$H$5),OR(Filter!$B$7="(alle)",$E1585=Filter!$B$7),OR(Filter!$E$7="(alle)",ISNUMBER(SEARCH(Filter!$E$7,$J1585))),OR(Filter!$H$7="(alle)",ISNUMBER(SEARCH(Filter!$H$7,$I1585))),OR(Filter!$B$9="",ISNUMBER(SEARCH(Filter!$B$9,$F1585&amp;" "&amp;$G1585)))),COUNTIF($O$6:$O1584,"&gt;0")+1,0))</f>
        <v>0</v>
      </c>
    </row>
    <row r="1586" customFormat="false" ht="15" hidden="false" customHeight="true" outlineLevel="0" collapsed="false">
      <c r="O1586" s="1" t="n">
        <f aca="false">IF($B1586="",0,IF(AND(OR(Filter!$B$5="(alle)",$N1586=Filter!$B$5),OR(Filter!$E$5="(alle)",$K1586=Filter!$E$5),OR(Filter!$H$5="(alle)",$C1586=Filter!$H$5),OR(Filter!$B$7="(alle)",$E1586=Filter!$B$7),OR(Filter!$E$7="(alle)",ISNUMBER(SEARCH(Filter!$E$7,$J1586))),OR(Filter!$H$7="(alle)",ISNUMBER(SEARCH(Filter!$H$7,$I1586))),OR(Filter!$B$9="",ISNUMBER(SEARCH(Filter!$B$9,$F1586&amp;" "&amp;$G1586)))),COUNTIF($O$6:$O1585,"&gt;0")+1,0))</f>
        <v>0</v>
      </c>
    </row>
    <row r="1587" customFormat="false" ht="15" hidden="false" customHeight="true" outlineLevel="0" collapsed="false">
      <c r="O1587" s="1" t="n">
        <f aca="false">IF($B1587="",0,IF(AND(OR(Filter!$B$5="(alle)",$N1587=Filter!$B$5),OR(Filter!$E$5="(alle)",$K1587=Filter!$E$5),OR(Filter!$H$5="(alle)",$C1587=Filter!$H$5),OR(Filter!$B$7="(alle)",$E1587=Filter!$B$7),OR(Filter!$E$7="(alle)",ISNUMBER(SEARCH(Filter!$E$7,$J1587))),OR(Filter!$H$7="(alle)",ISNUMBER(SEARCH(Filter!$H$7,$I1587))),OR(Filter!$B$9="",ISNUMBER(SEARCH(Filter!$B$9,$F1587&amp;" "&amp;$G1587)))),COUNTIF($O$6:$O1586,"&gt;0")+1,0))</f>
        <v>0</v>
      </c>
    </row>
    <row r="1588" customFormat="false" ht="15" hidden="false" customHeight="true" outlineLevel="0" collapsed="false">
      <c r="O1588" s="1" t="n">
        <f aca="false">IF($B1588="",0,IF(AND(OR(Filter!$B$5="(alle)",$N1588=Filter!$B$5),OR(Filter!$E$5="(alle)",$K1588=Filter!$E$5),OR(Filter!$H$5="(alle)",$C1588=Filter!$H$5),OR(Filter!$B$7="(alle)",$E1588=Filter!$B$7),OR(Filter!$E$7="(alle)",ISNUMBER(SEARCH(Filter!$E$7,$J1588))),OR(Filter!$H$7="(alle)",ISNUMBER(SEARCH(Filter!$H$7,$I1588))),OR(Filter!$B$9="",ISNUMBER(SEARCH(Filter!$B$9,$F1588&amp;" "&amp;$G1588)))),COUNTIF($O$6:$O1587,"&gt;0")+1,0))</f>
        <v>0</v>
      </c>
    </row>
    <row r="1589" customFormat="false" ht="15" hidden="false" customHeight="true" outlineLevel="0" collapsed="false">
      <c r="O1589" s="1" t="n">
        <f aca="false">IF($B1589="",0,IF(AND(OR(Filter!$B$5="(alle)",$N1589=Filter!$B$5),OR(Filter!$E$5="(alle)",$K1589=Filter!$E$5),OR(Filter!$H$5="(alle)",$C1589=Filter!$H$5),OR(Filter!$B$7="(alle)",$E1589=Filter!$B$7),OR(Filter!$E$7="(alle)",ISNUMBER(SEARCH(Filter!$E$7,$J1589))),OR(Filter!$H$7="(alle)",ISNUMBER(SEARCH(Filter!$H$7,$I1589))),OR(Filter!$B$9="",ISNUMBER(SEARCH(Filter!$B$9,$F1589&amp;" "&amp;$G1589)))),COUNTIF($O$6:$O1588,"&gt;0")+1,0))</f>
        <v>0</v>
      </c>
    </row>
    <row r="1590" customFormat="false" ht="15" hidden="false" customHeight="true" outlineLevel="0" collapsed="false">
      <c r="O1590" s="1" t="n">
        <f aca="false">IF($B1590="",0,IF(AND(OR(Filter!$B$5="(alle)",$N1590=Filter!$B$5),OR(Filter!$E$5="(alle)",$K1590=Filter!$E$5),OR(Filter!$H$5="(alle)",$C1590=Filter!$H$5),OR(Filter!$B$7="(alle)",$E1590=Filter!$B$7),OR(Filter!$E$7="(alle)",ISNUMBER(SEARCH(Filter!$E$7,$J1590))),OR(Filter!$H$7="(alle)",ISNUMBER(SEARCH(Filter!$H$7,$I1590))),OR(Filter!$B$9="",ISNUMBER(SEARCH(Filter!$B$9,$F1590&amp;" "&amp;$G1590)))),COUNTIF($O$6:$O1589,"&gt;0")+1,0))</f>
        <v>0</v>
      </c>
    </row>
    <row r="1591" customFormat="false" ht="15" hidden="false" customHeight="true" outlineLevel="0" collapsed="false">
      <c r="O1591" s="1" t="n">
        <f aca="false">IF($B1591="",0,IF(AND(OR(Filter!$B$5="(alle)",$N1591=Filter!$B$5),OR(Filter!$E$5="(alle)",$K1591=Filter!$E$5),OR(Filter!$H$5="(alle)",$C1591=Filter!$H$5),OR(Filter!$B$7="(alle)",$E1591=Filter!$B$7),OR(Filter!$E$7="(alle)",ISNUMBER(SEARCH(Filter!$E$7,$J1591))),OR(Filter!$H$7="(alle)",ISNUMBER(SEARCH(Filter!$H$7,$I1591))),OR(Filter!$B$9="",ISNUMBER(SEARCH(Filter!$B$9,$F1591&amp;" "&amp;$G1591)))),COUNTIF($O$6:$O1590,"&gt;0")+1,0))</f>
        <v>0</v>
      </c>
    </row>
    <row r="1592" customFormat="false" ht="15" hidden="false" customHeight="true" outlineLevel="0" collapsed="false">
      <c r="O1592" s="1" t="n">
        <f aca="false">IF($B1592="",0,IF(AND(OR(Filter!$B$5="(alle)",$N1592=Filter!$B$5),OR(Filter!$E$5="(alle)",$K1592=Filter!$E$5),OR(Filter!$H$5="(alle)",$C1592=Filter!$H$5),OR(Filter!$B$7="(alle)",$E1592=Filter!$B$7),OR(Filter!$E$7="(alle)",ISNUMBER(SEARCH(Filter!$E$7,$J1592))),OR(Filter!$H$7="(alle)",ISNUMBER(SEARCH(Filter!$H$7,$I1592))),OR(Filter!$B$9="",ISNUMBER(SEARCH(Filter!$B$9,$F1592&amp;" "&amp;$G1592)))),COUNTIF($O$6:$O1591,"&gt;0")+1,0))</f>
        <v>0</v>
      </c>
    </row>
    <row r="1593" customFormat="false" ht="15" hidden="false" customHeight="true" outlineLevel="0" collapsed="false">
      <c r="O1593" s="1" t="n">
        <f aca="false">IF($B1593="",0,IF(AND(OR(Filter!$B$5="(alle)",$N1593=Filter!$B$5),OR(Filter!$E$5="(alle)",$K1593=Filter!$E$5),OR(Filter!$H$5="(alle)",$C1593=Filter!$H$5),OR(Filter!$B$7="(alle)",$E1593=Filter!$B$7),OR(Filter!$E$7="(alle)",ISNUMBER(SEARCH(Filter!$E$7,$J1593))),OR(Filter!$H$7="(alle)",ISNUMBER(SEARCH(Filter!$H$7,$I1593))),OR(Filter!$B$9="",ISNUMBER(SEARCH(Filter!$B$9,$F1593&amp;" "&amp;$G1593)))),COUNTIF($O$6:$O1592,"&gt;0")+1,0))</f>
        <v>0</v>
      </c>
    </row>
    <row r="1594" customFormat="false" ht="15" hidden="false" customHeight="true" outlineLevel="0" collapsed="false">
      <c r="O1594" s="1" t="n">
        <f aca="false">IF($B1594="",0,IF(AND(OR(Filter!$B$5="(alle)",$N1594=Filter!$B$5),OR(Filter!$E$5="(alle)",$K1594=Filter!$E$5),OR(Filter!$H$5="(alle)",$C1594=Filter!$H$5),OR(Filter!$B$7="(alle)",$E1594=Filter!$B$7),OR(Filter!$E$7="(alle)",ISNUMBER(SEARCH(Filter!$E$7,$J1594))),OR(Filter!$H$7="(alle)",ISNUMBER(SEARCH(Filter!$H$7,$I1594))),OR(Filter!$B$9="",ISNUMBER(SEARCH(Filter!$B$9,$F1594&amp;" "&amp;$G1594)))),COUNTIF($O$6:$O1593,"&gt;0")+1,0))</f>
        <v>0</v>
      </c>
    </row>
    <row r="1595" customFormat="false" ht="15" hidden="false" customHeight="true" outlineLevel="0" collapsed="false">
      <c r="O1595" s="1" t="n">
        <f aca="false">IF($B1595="",0,IF(AND(OR(Filter!$B$5="(alle)",$N1595=Filter!$B$5),OR(Filter!$E$5="(alle)",$K1595=Filter!$E$5),OR(Filter!$H$5="(alle)",$C1595=Filter!$H$5),OR(Filter!$B$7="(alle)",$E1595=Filter!$B$7),OR(Filter!$E$7="(alle)",ISNUMBER(SEARCH(Filter!$E$7,$J1595))),OR(Filter!$H$7="(alle)",ISNUMBER(SEARCH(Filter!$H$7,$I1595))),OR(Filter!$B$9="",ISNUMBER(SEARCH(Filter!$B$9,$F1595&amp;" "&amp;$G1595)))),COUNTIF($O$6:$O1594,"&gt;0")+1,0))</f>
        <v>0</v>
      </c>
    </row>
    <row r="1596" customFormat="false" ht="15" hidden="false" customHeight="true" outlineLevel="0" collapsed="false">
      <c r="O1596" s="1" t="n">
        <f aca="false">IF($B1596="",0,IF(AND(OR(Filter!$B$5="(alle)",$N1596=Filter!$B$5),OR(Filter!$E$5="(alle)",$K1596=Filter!$E$5),OR(Filter!$H$5="(alle)",$C1596=Filter!$H$5),OR(Filter!$B$7="(alle)",$E1596=Filter!$B$7),OR(Filter!$E$7="(alle)",ISNUMBER(SEARCH(Filter!$E$7,$J1596))),OR(Filter!$H$7="(alle)",ISNUMBER(SEARCH(Filter!$H$7,$I1596))),OR(Filter!$B$9="",ISNUMBER(SEARCH(Filter!$B$9,$F1596&amp;" "&amp;$G1596)))),COUNTIF($O$6:$O1595,"&gt;0")+1,0))</f>
        <v>0</v>
      </c>
    </row>
    <row r="1597" customFormat="false" ht="15" hidden="false" customHeight="true" outlineLevel="0" collapsed="false">
      <c r="O1597" s="1" t="n">
        <f aca="false">IF($B1597="",0,IF(AND(OR(Filter!$B$5="(alle)",$N1597=Filter!$B$5),OR(Filter!$E$5="(alle)",$K1597=Filter!$E$5),OR(Filter!$H$5="(alle)",$C1597=Filter!$H$5),OR(Filter!$B$7="(alle)",$E1597=Filter!$B$7),OR(Filter!$E$7="(alle)",ISNUMBER(SEARCH(Filter!$E$7,$J1597))),OR(Filter!$H$7="(alle)",ISNUMBER(SEARCH(Filter!$H$7,$I1597))),OR(Filter!$B$9="",ISNUMBER(SEARCH(Filter!$B$9,$F1597&amp;" "&amp;$G1597)))),COUNTIF($O$6:$O1596,"&gt;0")+1,0))</f>
        <v>0</v>
      </c>
    </row>
    <row r="1598" customFormat="false" ht="15" hidden="false" customHeight="true" outlineLevel="0" collapsed="false">
      <c r="O1598" s="1" t="n">
        <f aca="false">IF($B1598="",0,IF(AND(OR(Filter!$B$5="(alle)",$N1598=Filter!$B$5),OR(Filter!$E$5="(alle)",$K1598=Filter!$E$5),OR(Filter!$H$5="(alle)",$C1598=Filter!$H$5),OR(Filter!$B$7="(alle)",$E1598=Filter!$B$7),OR(Filter!$E$7="(alle)",ISNUMBER(SEARCH(Filter!$E$7,$J1598))),OR(Filter!$H$7="(alle)",ISNUMBER(SEARCH(Filter!$H$7,$I1598))),OR(Filter!$B$9="",ISNUMBER(SEARCH(Filter!$B$9,$F1598&amp;" "&amp;$G1598)))),COUNTIF($O$6:$O1597,"&gt;0")+1,0))</f>
        <v>0</v>
      </c>
    </row>
    <row r="1599" customFormat="false" ht="15" hidden="false" customHeight="true" outlineLevel="0" collapsed="false">
      <c r="O1599" s="1" t="n">
        <f aca="false">IF($B1599="",0,IF(AND(OR(Filter!$B$5="(alle)",$N1599=Filter!$B$5),OR(Filter!$E$5="(alle)",$K1599=Filter!$E$5),OR(Filter!$H$5="(alle)",$C1599=Filter!$H$5),OR(Filter!$B$7="(alle)",$E1599=Filter!$B$7),OR(Filter!$E$7="(alle)",ISNUMBER(SEARCH(Filter!$E$7,$J1599))),OR(Filter!$H$7="(alle)",ISNUMBER(SEARCH(Filter!$H$7,$I1599))),OR(Filter!$B$9="",ISNUMBER(SEARCH(Filter!$B$9,$F1599&amp;" "&amp;$G1599)))),COUNTIF($O$6:$O1598,"&gt;0")+1,0))</f>
        <v>0</v>
      </c>
    </row>
    <row r="1600" customFormat="false" ht="15" hidden="false" customHeight="true" outlineLevel="0" collapsed="false">
      <c r="O1600" s="1" t="n">
        <f aca="false">IF($B1600="",0,IF(AND(OR(Filter!$B$5="(alle)",$N1600=Filter!$B$5),OR(Filter!$E$5="(alle)",$K1600=Filter!$E$5),OR(Filter!$H$5="(alle)",$C1600=Filter!$H$5),OR(Filter!$B$7="(alle)",$E1600=Filter!$B$7),OR(Filter!$E$7="(alle)",ISNUMBER(SEARCH(Filter!$E$7,$J1600))),OR(Filter!$H$7="(alle)",ISNUMBER(SEARCH(Filter!$H$7,$I1600))),OR(Filter!$B$9="",ISNUMBER(SEARCH(Filter!$B$9,$F1600&amp;" "&amp;$G1600)))),COUNTIF($O$6:$O1599,"&gt;0")+1,0))</f>
        <v>0</v>
      </c>
    </row>
    <row r="1601" customFormat="false" ht="15" hidden="false" customHeight="true" outlineLevel="0" collapsed="false">
      <c r="O1601" s="1" t="n">
        <f aca="false">IF($B1601="",0,IF(AND(OR(Filter!$B$5="(alle)",$N1601=Filter!$B$5),OR(Filter!$E$5="(alle)",$K1601=Filter!$E$5),OR(Filter!$H$5="(alle)",$C1601=Filter!$H$5),OR(Filter!$B$7="(alle)",$E1601=Filter!$B$7),OR(Filter!$E$7="(alle)",ISNUMBER(SEARCH(Filter!$E$7,$J1601))),OR(Filter!$H$7="(alle)",ISNUMBER(SEARCH(Filter!$H$7,$I1601))),OR(Filter!$B$9="",ISNUMBER(SEARCH(Filter!$B$9,$F1601&amp;" "&amp;$G1601)))),COUNTIF($O$6:$O1600,"&gt;0")+1,0))</f>
        <v>0</v>
      </c>
    </row>
    <row r="1602" customFormat="false" ht="15" hidden="false" customHeight="true" outlineLevel="0" collapsed="false">
      <c r="O1602" s="1" t="n">
        <f aca="false">IF($B1602="",0,IF(AND(OR(Filter!$B$5="(alle)",$N1602=Filter!$B$5),OR(Filter!$E$5="(alle)",$K1602=Filter!$E$5),OR(Filter!$H$5="(alle)",$C1602=Filter!$H$5),OR(Filter!$B$7="(alle)",$E1602=Filter!$B$7),OR(Filter!$E$7="(alle)",ISNUMBER(SEARCH(Filter!$E$7,$J1602))),OR(Filter!$H$7="(alle)",ISNUMBER(SEARCH(Filter!$H$7,$I1602))),OR(Filter!$B$9="",ISNUMBER(SEARCH(Filter!$B$9,$F1602&amp;" "&amp;$G1602)))),COUNTIF($O$6:$O1601,"&gt;0")+1,0))</f>
        <v>0</v>
      </c>
    </row>
    <row r="1603" customFormat="false" ht="15" hidden="false" customHeight="true" outlineLevel="0" collapsed="false">
      <c r="O1603" s="1" t="n">
        <f aca="false">IF($B1603="",0,IF(AND(OR(Filter!$B$5="(alle)",$N1603=Filter!$B$5),OR(Filter!$E$5="(alle)",$K1603=Filter!$E$5),OR(Filter!$H$5="(alle)",$C1603=Filter!$H$5),OR(Filter!$B$7="(alle)",$E1603=Filter!$B$7),OR(Filter!$E$7="(alle)",ISNUMBER(SEARCH(Filter!$E$7,$J1603))),OR(Filter!$H$7="(alle)",ISNUMBER(SEARCH(Filter!$H$7,$I1603))),OR(Filter!$B$9="",ISNUMBER(SEARCH(Filter!$B$9,$F1603&amp;" "&amp;$G1603)))),COUNTIF($O$6:$O1602,"&gt;0")+1,0))</f>
        <v>0</v>
      </c>
    </row>
    <row r="1604" customFormat="false" ht="15" hidden="false" customHeight="true" outlineLevel="0" collapsed="false">
      <c r="O1604" s="1" t="n">
        <f aca="false">IF($B1604="",0,IF(AND(OR(Filter!$B$5="(alle)",$N1604=Filter!$B$5),OR(Filter!$E$5="(alle)",$K1604=Filter!$E$5),OR(Filter!$H$5="(alle)",$C1604=Filter!$H$5),OR(Filter!$B$7="(alle)",$E1604=Filter!$B$7),OR(Filter!$E$7="(alle)",ISNUMBER(SEARCH(Filter!$E$7,$J1604))),OR(Filter!$H$7="(alle)",ISNUMBER(SEARCH(Filter!$H$7,$I1604))),OR(Filter!$B$9="",ISNUMBER(SEARCH(Filter!$B$9,$F1604&amp;" "&amp;$G1604)))),COUNTIF($O$6:$O1603,"&gt;0")+1,0))</f>
        <v>0</v>
      </c>
    </row>
    <row r="1605" customFormat="false" ht="15" hidden="false" customHeight="true" outlineLevel="0" collapsed="false">
      <c r="O1605" s="1" t="n">
        <f aca="false">IF($B1605="",0,IF(AND(OR(Filter!$B$5="(alle)",$N1605=Filter!$B$5),OR(Filter!$E$5="(alle)",$K1605=Filter!$E$5),OR(Filter!$H$5="(alle)",$C1605=Filter!$H$5),OR(Filter!$B$7="(alle)",$E1605=Filter!$B$7),OR(Filter!$E$7="(alle)",ISNUMBER(SEARCH(Filter!$E$7,$J1605))),OR(Filter!$H$7="(alle)",ISNUMBER(SEARCH(Filter!$H$7,$I1605))),OR(Filter!$B$9="",ISNUMBER(SEARCH(Filter!$B$9,$F1605&amp;" "&amp;$G1605)))),COUNTIF($O$6:$O1604,"&gt;0")+1,0))</f>
        <v>0</v>
      </c>
    </row>
    <row r="1606" customFormat="false" ht="15" hidden="false" customHeight="true" outlineLevel="0" collapsed="false">
      <c r="O1606" s="1" t="n">
        <f aca="false">IF($B1606="",0,IF(AND(OR(Filter!$B$5="(alle)",$N1606=Filter!$B$5),OR(Filter!$E$5="(alle)",$K1606=Filter!$E$5),OR(Filter!$H$5="(alle)",$C1606=Filter!$H$5),OR(Filter!$B$7="(alle)",$E1606=Filter!$B$7),OR(Filter!$E$7="(alle)",ISNUMBER(SEARCH(Filter!$E$7,$J1606))),OR(Filter!$H$7="(alle)",ISNUMBER(SEARCH(Filter!$H$7,$I1606))),OR(Filter!$B$9="",ISNUMBER(SEARCH(Filter!$B$9,$F1606&amp;" "&amp;$G1606)))),COUNTIF($O$6:$O1605,"&gt;0")+1,0))</f>
        <v>0</v>
      </c>
    </row>
    <row r="1607" customFormat="false" ht="15" hidden="false" customHeight="true" outlineLevel="0" collapsed="false">
      <c r="O1607" s="1" t="n">
        <f aca="false">IF($B1607="",0,IF(AND(OR(Filter!$B$5="(alle)",$N1607=Filter!$B$5),OR(Filter!$E$5="(alle)",$K1607=Filter!$E$5),OR(Filter!$H$5="(alle)",$C1607=Filter!$H$5),OR(Filter!$B$7="(alle)",$E1607=Filter!$B$7),OR(Filter!$E$7="(alle)",ISNUMBER(SEARCH(Filter!$E$7,$J1607))),OR(Filter!$H$7="(alle)",ISNUMBER(SEARCH(Filter!$H$7,$I1607))),OR(Filter!$B$9="",ISNUMBER(SEARCH(Filter!$B$9,$F1607&amp;" "&amp;$G1607)))),COUNTIF($O$6:$O1606,"&gt;0")+1,0))</f>
        <v>0</v>
      </c>
    </row>
    <row r="1608" customFormat="false" ht="15" hidden="false" customHeight="true" outlineLevel="0" collapsed="false">
      <c r="O1608" s="1" t="n">
        <f aca="false">IF($B1608="",0,IF(AND(OR(Filter!$B$5="(alle)",$N1608=Filter!$B$5),OR(Filter!$E$5="(alle)",$K1608=Filter!$E$5),OR(Filter!$H$5="(alle)",$C1608=Filter!$H$5),OR(Filter!$B$7="(alle)",$E1608=Filter!$B$7),OR(Filter!$E$7="(alle)",ISNUMBER(SEARCH(Filter!$E$7,$J1608))),OR(Filter!$H$7="(alle)",ISNUMBER(SEARCH(Filter!$H$7,$I1608))),OR(Filter!$B$9="",ISNUMBER(SEARCH(Filter!$B$9,$F1608&amp;" "&amp;$G1608)))),COUNTIF($O$6:$O1607,"&gt;0")+1,0))</f>
        <v>0</v>
      </c>
    </row>
    <row r="1609" customFormat="false" ht="15" hidden="false" customHeight="true" outlineLevel="0" collapsed="false">
      <c r="O1609" s="1" t="n">
        <f aca="false">IF($B1609="",0,IF(AND(OR(Filter!$B$5="(alle)",$N1609=Filter!$B$5),OR(Filter!$E$5="(alle)",$K1609=Filter!$E$5),OR(Filter!$H$5="(alle)",$C1609=Filter!$H$5),OR(Filter!$B$7="(alle)",$E1609=Filter!$B$7),OR(Filter!$E$7="(alle)",ISNUMBER(SEARCH(Filter!$E$7,$J1609))),OR(Filter!$H$7="(alle)",ISNUMBER(SEARCH(Filter!$H$7,$I1609))),OR(Filter!$B$9="",ISNUMBER(SEARCH(Filter!$B$9,$F1609&amp;" "&amp;$G1609)))),COUNTIF($O$6:$O1608,"&gt;0")+1,0))</f>
        <v>0</v>
      </c>
    </row>
    <row r="1610" customFormat="false" ht="15" hidden="false" customHeight="true" outlineLevel="0" collapsed="false">
      <c r="O1610" s="1" t="n">
        <f aca="false">IF($B1610="",0,IF(AND(OR(Filter!$B$5="(alle)",$N1610=Filter!$B$5),OR(Filter!$E$5="(alle)",$K1610=Filter!$E$5),OR(Filter!$H$5="(alle)",$C1610=Filter!$H$5),OR(Filter!$B$7="(alle)",$E1610=Filter!$B$7),OR(Filter!$E$7="(alle)",ISNUMBER(SEARCH(Filter!$E$7,$J1610))),OR(Filter!$H$7="(alle)",ISNUMBER(SEARCH(Filter!$H$7,$I1610))),OR(Filter!$B$9="",ISNUMBER(SEARCH(Filter!$B$9,$F1610&amp;" "&amp;$G1610)))),COUNTIF($O$6:$O1609,"&gt;0")+1,0))</f>
        <v>0</v>
      </c>
    </row>
    <row r="1611" customFormat="false" ht="15" hidden="false" customHeight="true" outlineLevel="0" collapsed="false">
      <c r="O1611" s="1" t="n">
        <f aca="false">IF($B1611="",0,IF(AND(OR(Filter!$B$5="(alle)",$N1611=Filter!$B$5),OR(Filter!$E$5="(alle)",$K1611=Filter!$E$5),OR(Filter!$H$5="(alle)",$C1611=Filter!$H$5),OR(Filter!$B$7="(alle)",$E1611=Filter!$B$7),OR(Filter!$E$7="(alle)",ISNUMBER(SEARCH(Filter!$E$7,$J1611))),OR(Filter!$H$7="(alle)",ISNUMBER(SEARCH(Filter!$H$7,$I1611))),OR(Filter!$B$9="",ISNUMBER(SEARCH(Filter!$B$9,$F1611&amp;" "&amp;$G1611)))),COUNTIF($O$6:$O1610,"&gt;0")+1,0))</f>
        <v>0</v>
      </c>
    </row>
    <row r="1612" customFormat="false" ht="15" hidden="false" customHeight="true" outlineLevel="0" collapsed="false">
      <c r="O1612" s="1" t="n">
        <f aca="false">IF($B1612="",0,IF(AND(OR(Filter!$B$5="(alle)",$N1612=Filter!$B$5),OR(Filter!$E$5="(alle)",$K1612=Filter!$E$5),OR(Filter!$H$5="(alle)",$C1612=Filter!$H$5),OR(Filter!$B$7="(alle)",$E1612=Filter!$B$7),OR(Filter!$E$7="(alle)",ISNUMBER(SEARCH(Filter!$E$7,$J1612))),OR(Filter!$H$7="(alle)",ISNUMBER(SEARCH(Filter!$H$7,$I1612))),OR(Filter!$B$9="",ISNUMBER(SEARCH(Filter!$B$9,$F1612&amp;" "&amp;$G1612)))),COUNTIF($O$6:$O1611,"&gt;0")+1,0))</f>
        <v>0</v>
      </c>
    </row>
    <row r="1613" customFormat="false" ht="15" hidden="false" customHeight="true" outlineLevel="0" collapsed="false">
      <c r="O1613" s="1" t="n">
        <f aca="false">IF($B1613="",0,IF(AND(OR(Filter!$B$5="(alle)",$N1613=Filter!$B$5),OR(Filter!$E$5="(alle)",$K1613=Filter!$E$5),OR(Filter!$H$5="(alle)",$C1613=Filter!$H$5),OR(Filter!$B$7="(alle)",$E1613=Filter!$B$7),OR(Filter!$E$7="(alle)",ISNUMBER(SEARCH(Filter!$E$7,$J1613))),OR(Filter!$H$7="(alle)",ISNUMBER(SEARCH(Filter!$H$7,$I1613))),OR(Filter!$B$9="",ISNUMBER(SEARCH(Filter!$B$9,$F1613&amp;" "&amp;$G1613)))),COUNTIF($O$6:$O1612,"&gt;0")+1,0))</f>
        <v>0</v>
      </c>
    </row>
    <row r="1614" customFormat="false" ht="15" hidden="false" customHeight="true" outlineLevel="0" collapsed="false">
      <c r="O1614" s="1" t="n">
        <f aca="false">IF($B1614="",0,IF(AND(OR(Filter!$B$5="(alle)",$N1614=Filter!$B$5),OR(Filter!$E$5="(alle)",$K1614=Filter!$E$5),OR(Filter!$H$5="(alle)",$C1614=Filter!$H$5),OR(Filter!$B$7="(alle)",$E1614=Filter!$B$7),OR(Filter!$E$7="(alle)",ISNUMBER(SEARCH(Filter!$E$7,$J1614))),OR(Filter!$H$7="(alle)",ISNUMBER(SEARCH(Filter!$H$7,$I1614))),OR(Filter!$B$9="",ISNUMBER(SEARCH(Filter!$B$9,$F1614&amp;" "&amp;$G1614)))),COUNTIF($O$6:$O1613,"&gt;0")+1,0))</f>
        <v>0</v>
      </c>
    </row>
    <row r="1615" customFormat="false" ht="15" hidden="false" customHeight="true" outlineLevel="0" collapsed="false">
      <c r="O1615" s="1" t="n">
        <f aca="false">IF($B1615="",0,IF(AND(OR(Filter!$B$5="(alle)",$N1615=Filter!$B$5),OR(Filter!$E$5="(alle)",$K1615=Filter!$E$5),OR(Filter!$H$5="(alle)",$C1615=Filter!$H$5),OR(Filter!$B$7="(alle)",$E1615=Filter!$B$7),OR(Filter!$E$7="(alle)",ISNUMBER(SEARCH(Filter!$E$7,$J1615))),OR(Filter!$H$7="(alle)",ISNUMBER(SEARCH(Filter!$H$7,$I1615))),OR(Filter!$B$9="",ISNUMBER(SEARCH(Filter!$B$9,$F1615&amp;" "&amp;$G1615)))),COUNTIF($O$6:$O1614,"&gt;0")+1,0))</f>
        <v>0</v>
      </c>
    </row>
    <row r="1616" customFormat="false" ht="15" hidden="false" customHeight="true" outlineLevel="0" collapsed="false">
      <c r="O1616" s="1" t="n">
        <f aca="false">IF($B1616="",0,IF(AND(OR(Filter!$B$5="(alle)",$N1616=Filter!$B$5),OR(Filter!$E$5="(alle)",$K1616=Filter!$E$5),OR(Filter!$H$5="(alle)",$C1616=Filter!$H$5),OR(Filter!$B$7="(alle)",$E1616=Filter!$B$7),OR(Filter!$E$7="(alle)",ISNUMBER(SEARCH(Filter!$E$7,$J1616))),OR(Filter!$H$7="(alle)",ISNUMBER(SEARCH(Filter!$H$7,$I1616))),OR(Filter!$B$9="",ISNUMBER(SEARCH(Filter!$B$9,$F1616&amp;" "&amp;$G1616)))),COUNTIF($O$6:$O1615,"&gt;0")+1,0))</f>
        <v>0</v>
      </c>
    </row>
    <row r="1617" customFormat="false" ht="15" hidden="false" customHeight="true" outlineLevel="0" collapsed="false">
      <c r="O1617" s="1" t="n">
        <f aca="false">IF($B1617="",0,IF(AND(OR(Filter!$B$5="(alle)",$N1617=Filter!$B$5),OR(Filter!$E$5="(alle)",$K1617=Filter!$E$5),OR(Filter!$H$5="(alle)",$C1617=Filter!$H$5),OR(Filter!$B$7="(alle)",$E1617=Filter!$B$7),OR(Filter!$E$7="(alle)",ISNUMBER(SEARCH(Filter!$E$7,$J1617))),OR(Filter!$H$7="(alle)",ISNUMBER(SEARCH(Filter!$H$7,$I1617))),OR(Filter!$B$9="",ISNUMBER(SEARCH(Filter!$B$9,$F1617&amp;" "&amp;$G1617)))),COUNTIF($O$6:$O1616,"&gt;0")+1,0))</f>
        <v>0</v>
      </c>
    </row>
    <row r="1618" customFormat="false" ht="15" hidden="false" customHeight="true" outlineLevel="0" collapsed="false">
      <c r="O1618" s="1" t="n">
        <f aca="false">IF($B1618="",0,IF(AND(OR(Filter!$B$5="(alle)",$N1618=Filter!$B$5),OR(Filter!$E$5="(alle)",$K1618=Filter!$E$5),OR(Filter!$H$5="(alle)",$C1618=Filter!$H$5),OR(Filter!$B$7="(alle)",$E1618=Filter!$B$7),OR(Filter!$E$7="(alle)",ISNUMBER(SEARCH(Filter!$E$7,$J1618))),OR(Filter!$H$7="(alle)",ISNUMBER(SEARCH(Filter!$H$7,$I1618))),OR(Filter!$B$9="",ISNUMBER(SEARCH(Filter!$B$9,$F1618&amp;" "&amp;$G1618)))),COUNTIF($O$6:$O1617,"&gt;0")+1,0))</f>
        <v>0</v>
      </c>
    </row>
    <row r="1619" customFormat="false" ht="15" hidden="false" customHeight="true" outlineLevel="0" collapsed="false">
      <c r="O1619" s="1" t="n">
        <f aca="false">IF($B1619="",0,IF(AND(OR(Filter!$B$5="(alle)",$N1619=Filter!$B$5),OR(Filter!$E$5="(alle)",$K1619=Filter!$E$5),OR(Filter!$H$5="(alle)",$C1619=Filter!$H$5),OR(Filter!$B$7="(alle)",$E1619=Filter!$B$7),OR(Filter!$E$7="(alle)",ISNUMBER(SEARCH(Filter!$E$7,$J1619))),OR(Filter!$H$7="(alle)",ISNUMBER(SEARCH(Filter!$H$7,$I1619))),OR(Filter!$B$9="",ISNUMBER(SEARCH(Filter!$B$9,$F1619&amp;" "&amp;$G1619)))),COUNTIF($O$6:$O1618,"&gt;0")+1,0))</f>
        <v>0</v>
      </c>
    </row>
    <row r="1620" customFormat="false" ht="15" hidden="false" customHeight="true" outlineLevel="0" collapsed="false">
      <c r="O1620" s="1" t="n">
        <f aca="false">IF($B1620="",0,IF(AND(OR(Filter!$B$5="(alle)",$N1620=Filter!$B$5),OR(Filter!$E$5="(alle)",$K1620=Filter!$E$5),OR(Filter!$H$5="(alle)",$C1620=Filter!$H$5),OR(Filter!$B$7="(alle)",$E1620=Filter!$B$7),OR(Filter!$E$7="(alle)",ISNUMBER(SEARCH(Filter!$E$7,$J1620))),OR(Filter!$H$7="(alle)",ISNUMBER(SEARCH(Filter!$H$7,$I1620))),OR(Filter!$B$9="",ISNUMBER(SEARCH(Filter!$B$9,$F1620&amp;" "&amp;$G1620)))),COUNTIF($O$6:$O1619,"&gt;0")+1,0))</f>
        <v>0</v>
      </c>
    </row>
    <row r="1621" customFormat="false" ht="15" hidden="false" customHeight="true" outlineLevel="0" collapsed="false">
      <c r="O1621" s="1" t="n">
        <f aca="false">IF($B1621="",0,IF(AND(OR(Filter!$B$5="(alle)",$N1621=Filter!$B$5),OR(Filter!$E$5="(alle)",$K1621=Filter!$E$5),OR(Filter!$H$5="(alle)",$C1621=Filter!$H$5),OR(Filter!$B$7="(alle)",$E1621=Filter!$B$7),OR(Filter!$E$7="(alle)",ISNUMBER(SEARCH(Filter!$E$7,$J1621))),OR(Filter!$H$7="(alle)",ISNUMBER(SEARCH(Filter!$H$7,$I1621))),OR(Filter!$B$9="",ISNUMBER(SEARCH(Filter!$B$9,$F1621&amp;" "&amp;$G1621)))),COUNTIF($O$6:$O1620,"&gt;0")+1,0))</f>
        <v>0</v>
      </c>
    </row>
    <row r="1622" customFormat="false" ht="15" hidden="false" customHeight="true" outlineLevel="0" collapsed="false">
      <c r="O1622" s="1" t="n">
        <f aca="false">IF($B1622="",0,IF(AND(OR(Filter!$B$5="(alle)",$N1622=Filter!$B$5),OR(Filter!$E$5="(alle)",$K1622=Filter!$E$5),OR(Filter!$H$5="(alle)",$C1622=Filter!$H$5),OR(Filter!$B$7="(alle)",$E1622=Filter!$B$7),OR(Filter!$E$7="(alle)",ISNUMBER(SEARCH(Filter!$E$7,$J1622))),OR(Filter!$H$7="(alle)",ISNUMBER(SEARCH(Filter!$H$7,$I1622))),OR(Filter!$B$9="",ISNUMBER(SEARCH(Filter!$B$9,$F1622&amp;" "&amp;$G1622)))),COUNTIF($O$6:$O1621,"&gt;0")+1,0))</f>
        <v>0</v>
      </c>
    </row>
    <row r="1623" customFormat="false" ht="15" hidden="false" customHeight="true" outlineLevel="0" collapsed="false">
      <c r="O1623" s="1" t="n">
        <f aca="false">IF($B1623="",0,IF(AND(OR(Filter!$B$5="(alle)",$N1623=Filter!$B$5),OR(Filter!$E$5="(alle)",$K1623=Filter!$E$5),OR(Filter!$H$5="(alle)",$C1623=Filter!$H$5),OR(Filter!$B$7="(alle)",$E1623=Filter!$B$7),OR(Filter!$E$7="(alle)",ISNUMBER(SEARCH(Filter!$E$7,$J1623))),OR(Filter!$H$7="(alle)",ISNUMBER(SEARCH(Filter!$H$7,$I1623))),OR(Filter!$B$9="",ISNUMBER(SEARCH(Filter!$B$9,$F1623&amp;" "&amp;$G1623)))),COUNTIF($O$6:$O1622,"&gt;0")+1,0))</f>
        <v>0</v>
      </c>
    </row>
    <row r="1624" customFormat="false" ht="15" hidden="false" customHeight="true" outlineLevel="0" collapsed="false">
      <c r="O1624" s="1" t="n">
        <f aca="false">IF($B1624="",0,IF(AND(OR(Filter!$B$5="(alle)",$N1624=Filter!$B$5),OR(Filter!$E$5="(alle)",$K1624=Filter!$E$5),OR(Filter!$H$5="(alle)",$C1624=Filter!$H$5),OR(Filter!$B$7="(alle)",$E1624=Filter!$B$7),OR(Filter!$E$7="(alle)",ISNUMBER(SEARCH(Filter!$E$7,$J1624))),OR(Filter!$H$7="(alle)",ISNUMBER(SEARCH(Filter!$H$7,$I1624))),OR(Filter!$B$9="",ISNUMBER(SEARCH(Filter!$B$9,$F1624&amp;" "&amp;$G1624)))),COUNTIF($O$6:$O1623,"&gt;0")+1,0))</f>
        <v>0</v>
      </c>
    </row>
    <row r="1625" customFormat="false" ht="15" hidden="false" customHeight="true" outlineLevel="0" collapsed="false">
      <c r="O1625" s="1" t="n">
        <f aca="false">IF($B1625="",0,IF(AND(OR(Filter!$B$5="(alle)",$N1625=Filter!$B$5),OR(Filter!$E$5="(alle)",$K1625=Filter!$E$5),OR(Filter!$H$5="(alle)",$C1625=Filter!$H$5),OR(Filter!$B$7="(alle)",$E1625=Filter!$B$7),OR(Filter!$E$7="(alle)",ISNUMBER(SEARCH(Filter!$E$7,$J1625))),OR(Filter!$H$7="(alle)",ISNUMBER(SEARCH(Filter!$H$7,$I1625))),OR(Filter!$B$9="",ISNUMBER(SEARCH(Filter!$B$9,$F1625&amp;" "&amp;$G1625)))),COUNTIF($O$6:$O1624,"&gt;0")+1,0))</f>
        <v>0</v>
      </c>
    </row>
    <row r="1626" customFormat="false" ht="15" hidden="false" customHeight="true" outlineLevel="0" collapsed="false">
      <c r="O1626" s="1" t="n">
        <f aca="false">IF($B1626="",0,IF(AND(OR(Filter!$B$5="(alle)",$N1626=Filter!$B$5),OR(Filter!$E$5="(alle)",$K1626=Filter!$E$5),OR(Filter!$H$5="(alle)",$C1626=Filter!$H$5),OR(Filter!$B$7="(alle)",$E1626=Filter!$B$7),OR(Filter!$E$7="(alle)",ISNUMBER(SEARCH(Filter!$E$7,$J1626))),OR(Filter!$H$7="(alle)",ISNUMBER(SEARCH(Filter!$H$7,$I1626))),OR(Filter!$B$9="",ISNUMBER(SEARCH(Filter!$B$9,$F1626&amp;" "&amp;$G1626)))),COUNTIF($O$6:$O1625,"&gt;0")+1,0))</f>
        <v>0</v>
      </c>
    </row>
    <row r="1627" customFormat="false" ht="15" hidden="false" customHeight="true" outlineLevel="0" collapsed="false">
      <c r="O1627" s="1" t="n">
        <f aca="false">IF($B1627="",0,IF(AND(OR(Filter!$B$5="(alle)",$N1627=Filter!$B$5),OR(Filter!$E$5="(alle)",$K1627=Filter!$E$5),OR(Filter!$H$5="(alle)",$C1627=Filter!$H$5),OR(Filter!$B$7="(alle)",$E1627=Filter!$B$7),OR(Filter!$E$7="(alle)",ISNUMBER(SEARCH(Filter!$E$7,$J1627))),OR(Filter!$H$7="(alle)",ISNUMBER(SEARCH(Filter!$H$7,$I1627))),OR(Filter!$B$9="",ISNUMBER(SEARCH(Filter!$B$9,$F1627&amp;" "&amp;$G1627)))),COUNTIF($O$6:$O1626,"&gt;0")+1,0))</f>
        <v>0</v>
      </c>
    </row>
    <row r="1628" customFormat="false" ht="15" hidden="false" customHeight="true" outlineLevel="0" collapsed="false">
      <c r="O1628" s="1" t="n">
        <f aca="false">IF($B1628="",0,IF(AND(OR(Filter!$B$5="(alle)",$N1628=Filter!$B$5),OR(Filter!$E$5="(alle)",$K1628=Filter!$E$5),OR(Filter!$H$5="(alle)",$C1628=Filter!$H$5),OR(Filter!$B$7="(alle)",$E1628=Filter!$B$7),OR(Filter!$E$7="(alle)",ISNUMBER(SEARCH(Filter!$E$7,$J1628))),OR(Filter!$H$7="(alle)",ISNUMBER(SEARCH(Filter!$H$7,$I1628))),OR(Filter!$B$9="",ISNUMBER(SEARCH(Filter!$B$9,$F1628&amp;" "&amp;$G1628)))),COUNTIF($O$6:$O1627,"&gt;0")+1,0))</f>
        <v>0</v>
      </c>
    </row>
    <row r="1629" customFormat="false" ht="15" hidden="false" customHeight="true" outlineLevel="0" collapsed="false">
      <c r="O1629" s="1" t="n">
        <f aca="false">IF($B1629="",0,IF(AND(OR(Filter!$B$5="(alle)",$N1629=Filter!$B$5),OR(Filter!$E$5="(alle)",$K1629=Filter!$E$5),OR(Filter!$H$5="(alle)",$C1629=Filter!$H$5),OR(Filter!$B$7="(alle)",$E1629=Filter!$B$7),OR(Filter!$E$7="(alle)",ISNUMBER(SEARCH(Filter!$E$7,$J1629))),OR(Filter!$H$7="(alle)",ISNUMBER(SEARCH(Filter!$H$7,$I1629))),OR(Filter!$B$9="",ISNUMBER(SEARCH(Filter!$B$9,$F1629&amp;" "&amp;$G1629)))),COUNTIF($O$6:$O1628,"&gt;0")+1,0))</f>
        <v>0</v>
      </c>
    </row>
    <row r="1630" customFormat="false" ht="15" hidden="false" customHeight="true" outlineLevel="0" collapsed="false">
      <c r="O1630" s="1" t="n">
        <f aca="false">IF($B1630="",0,IF(AND(OR(Filter!$B$5="(alle)",$N1630=Filter!$B$5),OR(Filter!$E$5="(alle)",$K1630=Filter!$E$5),OR(Filter!$H$5="(alle)",$C1630=Filter!$H$5),OR(Filter!$B$7="(alle)",$E1630=Filter!$B$7),OR(Filter!$E$7="(alle)",ISNUMBER(SEARCH(Filter!$E$7,$J1630))),OR(Filter!$H$7="(alle)",ISNUMBER(SEARCH(Filter!$H$7,$I1630))),OR(Filter!$B$9="",ISNUMBER(SEARCH(Filter!$B$9,$F1630&amp;" "&amp;$G1630)))),COUNTIF($O$6:$O1629,"&gt;0")+1,0))</f>
        <v>0</v>
      </c>
    </row>
    <row r="1631" customFormat="false" ht="15" hidden="false" customHeight="true" outlineLevel="0" collapsed="false">
      <c r="O1631" s="1" t="n">
        <f aca="false">IF($B1631="",0,IF(AND(OR(Filter!$B$5="(alle)",$N1631=Filter!$B$5),OR(Filter!$E$5="(alle)",$K1631=Filter!$E$5),OR(Filter!$H$5="(alle)",$C1631=Filter!$H$5),OR(Filter!$B$7="(alle)",$E1631=Filter!$B$7),OR(Filter!$E$7="(alle)",ISNUMBER(SEARCH(Filter!$E$7,$J1631))),OR(Filter!$H$7="(alle)",ISNUMBER(SEARCH(Filter!$H$7,$I1631))),OR(Filter!$B$9="",ISNUMBER(SEARCH(Filter!$B$9,$F1631&amp;" "&amp;$G1631)))),COUNTIF($O$6:$O1630,"&gt;0")+1,0))</f>
        <v>0</v>
      </c>
    </row>
    <row r="1632" customFormat="false" ht="15" hidden="false" customHeight="true" outlineLevel="0" collapsed="false">
      <c r="O1632" s="1" t="n">
        <f aca="false">IF($B1632="",0,IF(AND(OR(Filter!$B$5="(alle)",$N1632=Filter!$B$5),OR(Filter!$E$5="(alle)",$K1632=Filter!$E$5),OR(Filter!$H$5="(alle)",$C1632=Filter!$H$5),OR(Filter!$B$7="(alle)",$E1632=Filter!$B$7),OR(Filter!$E$7="(alle)",ISNUMBER(SEARCH(Filter!$E$7,$J1632))),OR(Filter!$H$7="(alle)",ISNUMBER(SEARCH(Filter!$H$7,$I1632))),OR(Filter!$B$9="",ISNUMBER(SEARCH(Filter!$B$9,$F1632&amp;" "&amp;$G1632)))),COUNTIF($O$6:$O1631,"&gt;0")+1,0))</f>
        <v>0</v>
      </c>
    </row>
    <row r="1633" customFormat="false" ht="15" hidden="false" customHeight="true" outlineLevel="0" collapsed="false">
      <c r="O1633" s="1" t="n">
        <f aca="false">IF($B1633="",0,IF(AND(OR(Filter!$B$5="(alle)",$N1633=Filter!$B$5),OR(Filter!$E$5="(alle)",$K1633=Filter!$E$5),OR(Filter!$H$5="(alle)",$C1633=Filter!$H$5),OR(Filter!$B$7="(alle)",$E1633=Filter!$B$7),OR(Filter!$E$7="(alle)",ISNUMBER(SEARCH(Filter!$E$7,$J1633))),OR(Filter!$H$7="(alle)",ISNUMBER(SEARCH(Filter!$H$7,$I1633))),OR(Filter!$B$9="",ISNUMBER(SEARCH(Filter!$B$9,$F1633&amp;" "&amp;$G1633)))),COUNTIF($O$6:$O1632,"&gt;0")+1,0))</f>
        <v>0</v>
      </c>
    </row>
    <row r="1634" customFormat="false" ht="15" hidden="false" customHeight="true" outlineLevel="0" collapsed="false">
      <c r="O1634" s="1" t="n">
        <f aca="false">IF($B1634="",0,IF(AND(OR(Filter!$B$5="(alle)",$N1634=Filter!$B$5),OR(Filter!$E$5="(alle)",$K1634=Filter!$E$5),OR(Filter!$H$5="(alle)",$C1634=Filter!$H$5),OR(Filter!$B$7="(alle)",$E1634=Filter!$B$7),OR(Filter!$E$7="(alle)",ISNUMBER(SEARCH(Filter!$E$7,$J1634))),OR(Filter!$H$7="(alle)",ISNUMBER(SEARCH(Filter!$H$7,$I1634))),OR(Filter!$B$9="",ISNUMBER(SEARCH(Filter!$B$9,$F1634&amp;" "&amp;$G1634)))),COUNTIF($O$6:$O1633,"&gt;0")+1,0))</f>
        <v>0</v>
      </c>
    </row>
    <row r="1635" customFormat="false" ht="15" hidden="false" customHeight="true" outlineLevel="0" collapsed="false">
      <c r="O1635" s="1" t="n">
        <f aca="false">IF($B1635="",0,IF(AND(OR(Filter!$B$5="(alle)",$N1635=Filter!$B$5),OR(Filter!$E$5="(alle)",$K1635=Filter!$E$5),OR(Filter!$H$5="(alle)",$C1635=Filter!$H$5),OR(Filter!$B$7="(alle)",$E1635=Filter!$B$7),OR(Filter!$E$7="(alle)",ISNUMBER(SEARCH(Filter!$E$7,$J1635))),OR(Filter!$H$7="(alle)",ISNUMBER(SEARCH(Filter!$H$7,$I1635))),OR(Filter!$B$9="",ISNUMBER(SEARCH(Filter!$B$9,$F1635&amp;" "&amp;$G1635)))),COUNTIF($O$6:$O1634,"&gt;0")+1,0))</f>
        <v>0</v>
      </c>
    </row>
    <row r="1636" customFormat="false" ht="15" hidden="false" customHeight="true" outlineLevel="0" collapsed="false">
      <c r="O1636" s="1" t="n">
        <f aca="false">IF($B1636="",0,IF(AND(OR(Filter!$B$5="(alle)",$N1636=Filter!$B$5),OR(Filter!$E$5="(alle)",$K1636=Filter!$E$5),OR(Filter!$H$5="(alle)",$C1636=Filter!$H$5),OR(Filter!$B$7="(alle)",$E1636=Filter!$B$7),OR(Filter!$E$7="(alle)",ISNUMBER(SEARCH(Filter!$E$7,$J1636))),OR(Filter!$H$7="(alle)",ISNUMBER(SEARCH(Filter!$H$7,$I1636))),OR(Filter!$B$9="",ISNUMBER(SEARCH(Filter!$B$9,$F1636&amp;" "&amp;$G1636)))),COUNTIF($O$6:$O1635,"&gt;0")+1,0))</f>
        <v>0</v>
      </c>
    </row>
    <row r="1637" customFormat="false" ht="15" hidden="false" customHeight="true" outlineLevel="0" collapsed="false">
      <c r="O1637" s="1" t="n">
        <f aca="false">IF($B1637="",0,IF(AND(OR(Filter!$B$5="(alle)",$N1637=Filter!$B$5),OR(Filter!$E$5="(alle)",$K1637=Filter!$E$5),OR(Filter!$H$5="(alle)",$C1637=Filter!$H$5),OR(Filter!$B$7="(alle)",$E1637=Filter!$B$7),OR(Filter!$E$7="(alle)",ISNUMBER(SEARCH(Filter!$E$7,$J1637))),OR(Filter!$H$7="(alle)",ISNUMBER(SEARCH(Filter!$H$7,$I1637))),OR(Filter!$B$9="",ISNUMBER(SEARCH(Filter!$B$9,$F1637&amp;" "&amp;$G1637)))),COUNTIF($O$6:$O1636,"&gt;0")+1,0))</f>
        <v>0</v>
      </c>
    </row>
    <row r="1638" customFormat="false" ht="15" hidden="false" customHeight="true" outlineLevel="0" collapsed="false">
      <c r="O1638" s="1" t="n">
        <f aca="false">IF($B1638="",0,IF(AND(OR(Filter!$B$5="(alle)",$N1638=Filter!$B$5),OR(Filter!$E$5="(alle)",$K1638=Filter!$E$5),OR(Filter!$H$5="(alle)",$C1638=Filter!$H$5),OR(Filter!$B$7="(alle)",$E1638=Filter!$B$7),OR(Filter!$E$7="(alle)",ISNUMBER(SEARCH(Filter!$E$7,$J1638))),OR(Filter!$H$7="(alle)",ISNUMBER(SEARCH(Filter!$H$7,$I1638))),OR(Filter!$B$9="",ISNUMBER(SEARCH(Filter!$B$9,$F1638&amp;" "&amp;$G1638)))),COUNTIF($O$6:$O1637,"&gt;0")+1,0))</f>
        <v>0</v>
      </c>
    </row>
    <row r="1639" customFormat="false" ht="15" hidden="false" customHeight="true" outlineLevel="0" collapsed="false">
      <c r="O1639" s="1" t="n">
        <f aca="false">IF($B1639="",0,IF(AND(OR(Filter!$B$5="(alle)",$N1639=Filter!$B$5),OR(Filter!$E$5="(alle)",$K1639=Filter!$E$5),OR(Filter!$H$5="(alle)",$C1639=Filter!$H$5),OR(Filter!$B$7="(alle)",$E1639=Filter!$B$7),OR(Filter!$E$7="(alle)",ISNUMBER(SEARCH(Filter!$E$7,$J1639))),OR(Filter!$H$7="(alle)",ISNUMBER(SEARCH(Filter!$H$7,$I1639))),OR(Filter!$B$9="",ISNUMBER(SEARCH(Filter!$B$9,$F1639&amp;" "&amp;$G1639)))),COUNTIF($O$6:$O1638,"&gt;0")+1,0))</f>
        <v>0</v>
      </c>
    </row>
    <row r="1640" customFormat="false" ht="15" hidden="false" customHeight="true" outlineLevel="0" collapsed="false">
      <c r="O1640" s="1" t="n">
        <f aca="false">IF($B1640="",0,IF(AND(OR(Filter!$B$5="(alle)",$N1640=Filter!$B$5),OR(Filter!$E$5="(alle)",$K1640=Filter!$E$5),OR(Filter!$H$5="(alle)",$C1640=Filter!$H$5),OR(Filter!$B$7="(alle)",$E1640=Filter!$B$7),OR(Filter!$E$7="(alle)",ISNUMBER(SEARCH(Filter!$E$7,$J1640))),OR(Filter!$H$7="(alle)",ISNUMBER(SEARCH(Filter!$H$7,$I1640))),OR(Filter!$B$9="",ISNUMBER(SEARCH(Filter!$B$9,$F1640&amp;" "&amp;$G1640)))),COUNTIF($O$6:$O1639,"&gt;0")+1,0))</f>
        <v>0</v>
      </c>
    </row>
    <row r="1641" customFormat="false" ht="15" hidden="false" customHeight="true" outlineLevel="0" collapsed="false">
      <c r="O1641" s="1" t="n">
        <f aca="false">IF($B1641="",0,IF(AND(OR(Filter!$B$5="(alle)",$N1641=Filter!$B$5),OR(Filter!$E$5="(alle)",$K1641=Filter!$E$5),OR(Filter!$H$5="(alle)",$C1641=Filter!$H$5),OR(Filter!$B$7="(alle)",$E1641=Filter!$B$7),OR(Filter!$E$7="(alle)",ISNUMBER(SEARCH(Filter!$E$7,$J1641))),OR(Filter!$H$7="(alle)",ISNUMBER(SEARCH(Filter!$H$7,$I1641))),OR(Filter!$B$9="",ISNUMBER(SEARCH(Filter!$B$9,$F1641&amp;" "&amp;$G1641)))),COUNTIF($O$6:$O1640,"&gt;0")+1,0))</f>
        <v>0</v>
      </c>
    </row>
    <row r="1642" customFormat="false" ht="15" hidden="false" customHeight="true" outlineLevel="0" collapsed="false">
      <c r="O1642" s="1" t="n">
        <f aca="false">IF($B1642="",0,IF(AND(OR(Filter!$B$5="(alle)",$N1642=Filter!$B$5),OR(Filter!$E$5="(alle)",$K1642=Filter!$E$5),OR(Filter!$H$5="(alle)",$C1642=Filter!$H$5),OR(Filter!$B$7="(alle)",$E1642=Filter!$B$7),OR(Filter!$E$7="(alle)",ISNUMBER(SEARCH(Filter!$E$7,$J1642))),OR(Filter!$H$7="(alle)",ISNUMBER(SEARCH(Filter!$H$7,$I1642))),OR(Filter!$B$9="",ISNUMBER(SEARCH(Filter!$B$9,$F1642&amp;" "&amp;$G1642)))),COUNTIF($O$6:$O1641,"&gt;0")+1,0))</f>
        <v>0</v>
      </c>
    </row>
    <row r="1643" customFormat="false" ht="15" hidden="false" customHeight="true" outlineLevel="0" collapsed="false">
      <c r="O1643" s="1" t="n">
        <f aca="false">IF($B1643="",0,IF(AND(OR(Filter!$B$5="(alle)",$N1643=Filter!$B$5),OR(Filter!$E$5="(alle)",$K1643=Filter!$E$5),OR(Filter!$H$5="(alle)",$C1643=Filter!$H$5),OR(Filter!$B$7="(alle)",$E1643=Filter!$B$7),OR(Filter!$E$7="(alle)",ISNUMBER(SEARCH(Filter!$E$7,$J1643))),OR(Filter!$H$7="(alle)",ISNUMBER(SEARCH(Filter!$H$7,$I1643))),OR(Filter!$B$9="",ISNUMBER(SEARCH(Filter!$B$9,$F1643&amp;" "&amp;$G1643)))),COUNTIF($O$6:$O1642,"&gt;0")+1,0))</f>
        <v>0</v>
      </c>
    </row>
    <row r="1644" customFormat="false" ht="15" hidden="false" customHeight="true" outlineLevel="0" collapsed="false">
      <c r="O1644" s="1" t="n">
        <f aca="false">IF($B1644="",0,IF(AND(OR(Filter!$B$5="(alle)",$N1644=Filter!$B$5),OR(Filter!$E$5="(alle)",$K1644=Filter!$E$5),OR(Filter!$H$5="(alle)",$C1644=Filter!$H$5),OR(Filter!$B$7="(alle)",$E1644=Filter!$B$7),OR(Filter!$E$7="(alle)",ISNUMBER(SEARCH(Filter!$E$7,$J1644))),OR(Filter!$H$7="(alle)",ISNUMBER(SEARCH(Filter!$H$7,$I1644))),OR(Filter!$B$9="",ISNUMBER(SEARCH(Filter!$B$9,$F1644&amp;" "&amp;$G1644)))),COUNTIF($O$6:$O1643,"&gt;0")+1,0))</f>
        <v>0</v>
      </c>
    </row>
    <row r="1645" customFormat="false" ht="15" hidden="false" customHeight="true" outlineLevel="0" collapsed="false">
      <c r="O1645" s="1" t="n">
        <f aca="false">IF($B1645="",0,IF(AND(OR(Filter!$B$5="(alle)",$N1645=Filter!$B$5),OR(Filter!$E$5="(alle)",$K1645=Filter!$E$5),OR(Filter!$H$5="(alle)",$C1645=Filter!$H$5),OR(Filter!$B$7="(alle)",$E1645=Filter!$B$7),OR(Filter!$E$7="(alle)",ISNUMBER(SEARCH(Filter!$E$7,$J1645))),OR(Filter!$H$7="(alle)",ISNUMBER(SEARCH(Filter!$H$7,$I1645))),OR(Filter!$B$9="",ISNUMBER(SEARCH(Filter!$B$9,$F1645&amp;" "&amp;$G1645)))),COUNTIF($O$6:$O1644,"&gt;0")+1,0))</f>
        <v>0</v>
      </c>
    </row>
    <row r="1646" customFormat="false" ht="15" hidden="false" customHeight="true" outlineLevel="0" collapsed="false">
      <c r="O1646" s="1" t="n">
        <f aca="false">IF($B1646="",0,IF(AND(OR(Filter!$B$5="(alle)",$N1646=Filter!$B$5),OR(Filter!$E$5="(alle)",$K1646=Filter!$E$5),OR(Filter!$H$5="(alle)",$C1646=Filter!$H$5),OR(Filter!$B$7="(alle)",$E1646=Filter!$B$7),OR(Filter!$E$7="(alle)",ISNUMBER(SEARCH(Filter!$E$7,$J1646))),OR(Filter!$H$7="(alle)",ISNUMBER(SEARCH(Filter!$H$7,$I1646))),OR(Filter!$B$9="",ISNUMBER(SEARCH(Filter!$B$9,$F1646&amp;" "&amp;$G1646)))),COUNTIF($O$6:$O1645,"&gt;0")+1,0))</f>
        <v>0</v>
      </c>
    </row>
    <row r="1647" customFormat="false" ht="15" hidden="false" customHeight="true" outlineLevel="0" collapsed="false">
      <c r="O1647" s="1" t="n">
        <f aca="false">IF($B1647="",0,IF(AND(OR(Filter!$B$5="(alle)",$N1647=Filter!$B$5),OR(Filter!$E$5="(alle)",$K1647=Filter!$E$5),OR(Filter!$H$5="(alle)",$C1647=Filter!$H$5),OR(Filter!$B$7="(alle)",$E1647=Filter!$B$7),OR(Filter!$E$7="(alle)",ISNUMBER(SEARCH(Filter!$E$7,$J1647))),OR(Filter!$H$7="(alle)",ISNUMBER(SEARCH(Filter!$H$7,$I1647))),OR(Filter!$B$9="",ISNUMBER(SEARCH(Filter!$B$9,$F1647&amp;" "&amp;$G1647)))),COUNTIF($O$6:$O1646,"&gt;0")+1,0))</f>
        <v>0</v>
      </c>
    </row>
    <row r="1648" customFormat="false" ht="15" hidden="false" customHeight="true" outlineLevel="0" collapsed="false">
      <c r="O1648" s="1" t="n">
        <f aca="false">IF($B1648="",0,IF(AND(OR(Filter!$B$5="(alle)",$N1648=Filter!$B$5),OR(Filter!$E$5="(alle)",$K1648=Filter!$E$5),OR(Filter!$H$5="(alle)",$C1648=Filter!$H$5),OR(Filter!$B$7="(alle)",$E1648=Filter!$B$7),OR(Filter!$E$7="(alle)",ISNUMBER(SEARCH(Filter!$E$7,$J1648))),OR(Filter!$H$7="(alle)",ISNUMBER(SEARCH(Filter!$H$7,$I1648))),OR(Filter!$B$9="",ISNUMBER(SEARCH(Filter!$B$9,$F1648&amp;" "&amp;$G1648)))),COUNTIF($O$6:$O1647,"&gt;0")+1,0))</f>
        <v>0</v>
      </c>
    </row>
    <row r="1649" customFormat="false" ht="15" hidden="false" customHeight="true" outlineLevel="0" collapsed="false">
      <c r="O1649" s="1" t="n">
        <f aca="false">IF($B1649="",0,IF(AND(OR(Filter!$B$5="(alle)",$N1649=Filter!$B$5),OR(Filter!$E$5="(alle)",$K1649=Filter!$E$5),OR(Filter!$H$5="(alle)",$C1649=Filter!$H$5),OR(Filter!$B$7="(alle)",$E1649=Filter!$B$7),OR(Filter!$E$7="(alle)",ISNUMBER(SEARCH(Filter!$E$7,$J1649))),OR(Filter!$H$7="(alle)",ISNUMBER(SEARCH(Filter!$H$7,$I1649))),OR(Filter!$B$9="",ISNUMBER(SEARCH(Filter!$B$9,$F1649&amp;" "&amp;$G1649)))),COUNTIF($O$6:$O1648,"&gt;0")+1,0))</f>
        <v>0</v>
      </c>
    </row>
    <row r="1650" customFormat="false" ht="15" hidden="false" customHeight="true" outlineLevel="0" collapsed="false">
      <c r="O1650" s="1" t="n">
        <f aca="false">IF($B1650="",0,IF(AND(OR(Filter!$B$5="(alle)",$N1650=Filter!$B$5),OR(Filter!$E$5="(alle)",$K1650=Filter!$E$5),OR(Filter!$H$5="(alle)",$C1650=Filter!$H$5),OR(Filter!$B$7="(alle)",$E1650=Filter!$B$7),OR(Filter!$E$7="(alle)",ISNUMBER(SEARCH(Filter!$E$7,$J1650))),OR(Filter!$H$7="(alle)",ISNUMBER(SEARCH(Filter!$H$7,$I1650))),OR(Filter!$B$9="",ISNUMBER(SEARCH(Filter!$B$9,$F1650&amp;" "&amp;$G1650)))),COUNTIF($O$6:$O1649,"&gt;0")+1,0))</f>
        <v>0</v>
      </c>
    </row>
    <row r="1651" customFormat="false" ht="15" hidden="false" customHeight="true" outlineLevel="0" collapsed="false">
      <c r="O1651" s="1" t="n">
        <f aca="false">IF($B1651="",0,IF(AND(OR(Filter!$B$5="(alle)",$N1651=Filter!$B$5),OR(Filter!$E$5="(alle)",$K1651=Filter!$E$5),OR(Filter!$H$5="(alle)",$C1651=Filter!$H$5),OR(Filter!$B$7="(alle)",$E1651=Filter!$B$7),OR(Filter!$E$7="(alle)",ISNUMBER(SEARCH(Filter!$E$7,$J1651))),OR(Filter!$H$7="(alle)",ISNUMBER(SEARCH(Filter!$H$7,$I1651))),OR(Filter!$B$9="",ISNUMBER(SEARCH(Filter!$B$9,$F1651&amp;" "&amp;$G1651)))),COUNTIF($O$6:$O1650,"&gt;0")+1,0))</f>
        <v>0</v>
      </c>
    </row>
    <row r="1652" customFormat="false" ht="15" hidden="false" customHeight="true" outlineLevel="0" collapsed="false">
      <c r="O1652" s="1" t="n">
        <f aca="false">IF($B1652="",0,IF(AND(OR(Filter!$B$5="(alle)",$N1652=Filter!$B$5),OR(Filter!$E$5="(alle)",$K1652=Filter!$E$5),OR(Filter!$H$5="(alle)",$C1652=Filter!$H$5),OR(Filter!$B$7="(alle)",$E1652=Filter!$B$7),OR(Filter!$E$7="(alle)",ISNUMBER(SEARCH(Filter!$E$7,$J1652))),OR(Filter!$H$7="(alle)",ISNUMBER(SEARCH(Filter!$H$7,$I1652))),OR(Filter!$B$9="",ISNUMBER(SEARCH(Filter!$B$9,$F1652&amp;" "&amp;$G1652)))),COUNTIF($O$6:$O1651,"&gt;0")+1,0))</f>
        <v>0</v>
      </c>
    </row>
    <row r="1653" customFormat="false" ht="15" hidden="false" customHeight="true" outlineLevel="0" collapsed="false">
      <c r="O1653" s="1" t="n">
        <f aca="false">IF($B1653="",0,IF(AND(OR(Filter!$B$5="(alle)",$N1653=Filter!$B$5),OR(Filter!$E$5="(alle)",$K1653=Filter!$E$5),OR(Filter!$H$5="(alle)",$C1653=Filter!$H$5),OR(Filter!$B$7="(alle)",$E1653=Filter!$B$7),OR(Filter!$E$7="(alle)",ISNUMBER(SEARCH(Filter!$E$7,$J1653))),OR(Filter!$H$7="(alle)",ISNUMBER(SEARCH(Filter!$H$7,$I1653))),OR(Filter!$B$9="",ISNUMBER(SEARCH(Filter!$B$9,$F1653&amp;" "&amp;$G1653)))),COUNTIF($O$6:$O1652,"&gt;0")+1,0))</f>
        <v>0</v>
      </c>
    </row>
    <row r="1654" customFormat="false" ht="15" hidden="false" customHeight="true" outlineLevel="0" collapsed="false">
      <c r="O1654" s="1" t="n">
        <f aca="false">IF($B1654="",0,IF(AND(OR(Filter!$B$5="(alle)",$N1654=Filter!$B$5),OR(Filter!$E$5="(alle)",$K1654=Filter!$E$5),OR(Filter!$H$5="(alle)",$C1654=Filter!$H$5),OR(Filter!$B$7="(alle)",$E1654=Filter!$B$7),OR(Filter!$E$7="(alle)",ISNUMBER(SEARCH(Filter!$E$7,$J1654))),OR(Filter!$H$7="(alle)",ISNUMBER(SEARCH(Filter!$H$7,$I1654))),OR(Filter!$B$9="",ISNUMBER(SEARCH(Filter!$B$9,$F1654&amp;" "&amp;$G1654)))),COUNTIF($O$6:$O1653,"&gt;0")+1,0))</f>
        <v>0</v>
      </c>
    </row>
    <row r="1655" customFormat="false" ht="15" hidden="false" customHeight="true" outlineLevel="0" collapsed="false">
      <c r="O1655" s="1" t="n">
        <f aca="false">IF($B1655="",0,IF(AND(OR(Filter!$B$5="(alle)",$N1655=Filter!$B$5),OR(Filter!$E$5="(alle)",$K1655=Filter!$E$5),OR(Filter!$H$5="(alle)",$C1655=Filter!$H$5),OR(Filter!$B$7="(alle)",$E1655=Filter!$B$7),OR(Filter!$E$7="(alle)",ISNUMBER(SEARCH(Filter!$E$7,$J1655))),OR(Filter!$H$7="(alle)",ISNUMBER(SEARCH(Filter!$H$7,$I1655))),OR(Filter!$B$9="",ISNUMBER(SEARCH(Filter!$B$9,$F1655&amp;" "&amp;$G1655)))),COUNTIF($O$6:$O1654,"&gt;0")+1,0))</f>
        <v>0</v>
      </c>
    </row>
    <row r="1656" customFormat="false" ht="15" hidden="false" customHeight="true" outlineLevel="0" collapsed="false">
      <c r="O1656" s="1" t="n">
        <f aca="false">IF($B1656="",0,IF(AND(OR(Filter!$B$5="(alle)",$N1656=Filter!$B$5),OR(Filter!$E$5="(alle)",$K1656=Filter!$E$5),OR(Filter!$H$5="(alle)",$C1656=Filter!$H$5),OR(Filter!$B$7="(alle)",$E1656=Filter!$B$7),OR(Filter!$E$7="(alle)",ISNUMBER(SEARCH(Filter!$E$7,$J1656))),OR(Filter!$H$7="(alle)",ISNUMBER(SEARCH(Filter!$H$7,$I1656))),OR(Filter!$B$9="",ISNUMBER(SEARCH(Filter!$B$9,$F1656&amp;" "&amp;$G1656)))),COUNTIF($O$6:$O1655,"&gt;0")+1,0))</f>
        <v>0</v>
      </c>
    </row>
    <row r="1657" customFormat="false" ht="15" hidden="false" customHeight="true" outlineLevel="0" collapsed="false">
      <c r="O1657" s="1" t="n">
        <f aca="false">IF($B1657="",0,IF(AND(OR(Filter!$B$5="(alle)",$N1657=Filter!$B$5),OR(Filter!$E$5="(alle)",$K1657=Filter!$E$5),OR(Filter!$H$5="(alle)",$C1657=Filter!$H$5),OR(Filter!$B$7="(alle)",$E1657=Filter!$B$7),OR(Filter!$E$7="(alle)",ISNUMBER(SEARCH(Filter!$E$7,$J1657))),OR(Filter!$H$7="(alle)",ISNUMBER(SEARCH(Filter!$H$7,$I1657))),OR(Filter!$B$9="",ISNUMBER(SEARCH(Filter!$B$9,$F1657&amp;" "&amp;$G1657)))),COUNTIF($O$6:$O1656,"&gt;0")+1,0))</f>
        <v>0</v>
      </c>
    </row>
    <row r="1658" customFormat="false" ht="15" hidden="false" customHeight="true" outlineLevel="0" collapsed="false">
      <c r="O1658" s="1" t="n">
        <f aca="false">IF($B1658="",0,IF(AND(OR(Filter!$B$5="(alle)",$N1658=Filter!$B$5),OR(Filter!$E$5="(alle)",$K1658=Filter!$E$5),OR(Filter!$H$5="(alle)",$C1658=Filter!$H$5),OR(Filter!$B$7="(alle)",$E1658=Filter!$B$7),OR(Filter!$E$7="(alle)",ISNUMBER(SEARCH(Filter!$E$7,$J1658))),OR(Filter!$H$7="(alle)",ISNUMBER(SEARCH(Filter!$H$7,$I1658))),OR(Filter!$B$9="",ISNUMBER(SEARCH(Filter!$B$9,$F1658&amp;" "&amp;$G1658)))),COUNTIF($O$6:$O1657,"&gt;0")+1,0))</f>
        <v>0</v>
      </c>
    </row>
    <row r="1659" customFormat="false" ht="15" hidden="false" customHeight="true" outlineLevel="0" collapsed="false">
      <c r="O1659" s="1" t="n">
        <f aca="false">IF($B1659="",0,IF(AND(OR(Filter!$B$5="(alle)",$N1659=Filter!$B$5),OR(Filter!$E$5="(alle)",$K1659=Filter!$E$5),OR(Filter!$H$5="(alle)",$C1659=Filter!$H$5),OR(Filter!$B$7="(alle)",$E1659=Filter!$B$7),OR(Filter!$E$7="(alle)",ISNUMBER(SEARCH(Filter!$E$7,$J1659))),OR(Filter!$H$7="(alle)",ISNUMBER(SEARCH(Filter!$H$7,$I1659))),OR(Filter!$B$9="",ISNUMBER(SEARCH(Filter!$B$9,$F1659&amp;" "&amp;$G1659)))),COUNTIF($O$6:$O1658,"&gt;0")+1,0))</f>
        <v>0</v>
      </c>
    </row>
    <row r="1660" customFormat="false" ht="15" hidden="false" customHeight="true" outlineLevel="0" collapsed="false">
      <c r="O1660" s="1" t="n">
        <f aca="false">IF($B1660="",0,IF(AND(OR(Filter!$B$5="(alle)",$N1660=Filter!$B$5),OR(Filter!$E$5="(alle)",$K1660=Filter!$E$5),OR(Filter!$H$5="(alle)",$C1660=Filter!$H$5),OR(Filter!$B$7="(alle)",$E1660=Filter!$B$7),OR(Filter!$E$7="(alle)",ISNUMBER(SEARCH(Filter!$E$7,$J1660))),OR(Filter!$H$7="(alle)",ISNUMBER(SEARCH(Filter!$H$7,$I1660))),OR(Filter!$B$9="",ISNUMBER(SEARCH(Filter!$B$9,$F1660&amp;" "&amp;$G1660)))),COUNTIF($O$6:$O1659,"&gt;0")+1,0))</f>
        <v>0</v>
      </c>
    </row>
    <row r="1661" customFormat="false" ht="15" hidden="false" customHeight="true" outlineLevel="0" collapsed="false">
      <c r="O1661" s="1" t="n">
        <f aca="false">IF($B1661="",0,IF(AND(OR(Filter!$B$5="(alle)",$N1661=Filter!$B$5),OR(Filter!$E$5="(alle)",$K1661=Filter!$E$5),OR(Filter!$H$5="(alle)",$C1661=Filter!$H$5),OR(Filter!$B$7="(alle)",$E1661=Filter!$B$7),OR(Filter!$E$7="(alle)",ISNUMBER(SEARCH(Filter!$E$7,$J1661))),OR(Filter!$H$7="(alle)",ISNUMBER(SEARCH(Filter!$H$7,$I1661))),OR(Filter!$B$9="",ISNUMBER(SEARCH(Filter!$B$9,$F1661&amp;" "&amp;$G1661)))),COUNTIF($O$6:$O1660,"&gt;0")+1,0))</f>
        <v>0</v>
      </c>
    </row>
    <row r="1662" customFormat="false" ht="15" hidden="false" customHeight="true" outlineLevel="0" collapsed="false">
      <c r="O1662" s="1" t="n">
        <f aca="false">IF($B1662="",0,IF(AND(OR(Filter!$B$5="(alle)",$N1662=Filter!$B$5),OR(Filter!$E$5="(alle)",$K1662=Filter!$E$5),OR(Filter!$H$5="(alle)",$C1662=Filter!$H$5),OR(Filter!$B$7="(alle)",$E1662=Filter!$B$7),OR(Filter!$E$7="(alle)",ISNUMBER(SEARCH(Filter!$E$7,$J1662))),OR(Filter!$H$7="(alle)",ISNUMBER(SEARCH(Filter!$H$7,$I1662))),OR(Filter!$B$9="",ISNUMBER(SEARCH(Filter!$B$9,$F1662&amp;" "&amp;$G1662)))),COUNTIF($O$6:$O1661,"&gt;0")+1,0))</f>
        <v>0</v>
      </c>
    </row>
    <row r="1663" customFormat="false" ht="15" hidden="false" customHeight="true" outlineLevel="0" collapsed="false">
      <c r="O1663" s="1" t="n">
        <f aca="false">IF($B1663="",0,IF(AND(OR(Filter!$B$5="(alle)",$N1663=Filter!$B$5),OR(Filter!$E$5="(alle)",$K1663=Filter!$E$5),OR(Filter!$H$5="(alle)",$C1663=Filter!$H$5),OR(Filter!$B$7="(alle)",$E1663=Filter!$B$7),OR(Filter!$E$7="(alle)",ISNUMBER(SEARCH(Filter!$E$7,$J1663))),OR(Filter!$H$7="(alle)",ISNUMBER(SEARCH(Filter!$H$7,$I1663))),OR(Filter!$B$9="",ISNUMBER(SEARCH(Filter!$B$9,$F1663&amp;" "&amp;$G1663)))),COUNTIF($O$6:$O1662,"&gt;0")+1,0))</f>
        <v>0</v>
      </c>
    </row>
    <row r="1664" customFormat="false" ht="15" hidden="false" customHeight="true" outlineLevel="0" collapsed="false">
      <c r="O1664" s="1" t="n">
        <f aca="false">IF($B1664="",0,IF(AND(OR(Filter!$B$5="(alle)",$N1664=Filter!$B$5),OR(Filter!$E$5="(alle)",$K1664=Filter!$E$5),OR(Filter!$H$5="(alle)",$C1664=Filter!$H$5),OR(Filter!$B$7="(alle)",$E1664=Filter!$B$7),OR(Filter!$E$7="(alle)",ISNUMBER(SEARCH(Filter!$E$7,$J1664))),OR(Filter!$H$7="(alle)",ISNUMBER(SEARCH(Filter!$H$7,$I1664))),OR(Filter!$B$9="",ISNUMBER(SEARCH(Filter!$B$9,$F1664&amp;" "&amp;$G1664)))),COUNTIF($O$6:$O1663,"&gt;0")+1,0))</f>
        <v>0</v>
      </c>
    </row>
    <row r="1665" customFormat="false" ht="15" hidden="false" customHeight="true" outlineLevel="0" collapsed="false">
      <c r="O1665" s="1" t="n">
        <f aca="false">IF($B1665="",0,IF(AND(OR(Filter!$B$5="(alle)",$N1665=Filter!$B$5),OR(Filter!$E$5="(alle)",$K1665=Filter!$E$5),OR(Filter!$H$5="(alle)",$C1665=Filter!$H$5),OR(Filter!$B$7="(alle)",$E1665=Filter!$B$7),OR(Filter!$E$7="(alle)",ISNUMBER(SEARCH(Filter!$E$7,$J1665))),OR(Filter!$H$7="(alle)",ISNUMBER(SEARCH(Filter!$H$7,$I1665))),OR(Filter!$B$9="",ISNUMBER(SEARCH(Filter!$B$9,$F1665&amp;" "&amp;$G1665)))),COUNTIF($O$6:$O1664,"&gt;0")+1,0))</f>
        <v>0</v>
      </c>
    </row>
    <row r="1666" customFormat="false" ht="15" hidden="false" customHeight="true" outlineLevel="0" collapsed="false">
      <c r="O1666" s="1" t="n">
        <f aca="false">IF($B1666="",0,IF(AND(OR(Filter!$B$5="(alle)",$N1666=Filter!$B$5),OR(Filter!$E$5="(alle)",$K1666=Filter!$E$5),OR(Filter!$H$5="(alle)",$C1666=Filter!$H$5),OR(Filter!$B$7="(alle)",$E1666=Filter!$B$7),OR(Filter!$E$7="(alle)",ISNUMBER(SEARCH(Filter!$E$7,$J1666))),OR(Filter!$H$7="(alle)",ISNUMBER(SEARCH(Filter!$H$7,$I1666))),OR(Filter!$B$9="",ISNUMBER(SEARCH(Filter!$B$9,$F1666&amp;" "&amp;$G1666)))),COUNTIF($O$6:$O1665,"&gt;0")+1,0))</f>
        <v>0</v>
      </c>
    </row>
    <row r="1667" customFormat="false" ht="15" hidden="false" customHeight="true" outlineLevel="0" collapsed="false">
      <c r="O1667" s="1" t="n">
        <f aca="false">IF($B1667="",0,IF(AND(OR(Filter!$B$5="(alle)",$N1667=Filter!$B$5),OR(Filter!$E$5="(alle)",$K1667=Filter!$E$5),OR(Filter!$H$5="(alle)",$C1667=Filter!$H$5),OR(Filter!$B$7="(alle)",$E1667=Filter!$B$7),OR(Filter!$E$7="(alle)",ISNUMBER(SEARCH(Filter!$E$7,$J1667))),OR(Filter!$H$7="(alle)",ISNUMBER(SEARCH(Filter!$H$7,$I1667))),OR(Filter!$B$9="",ISNUMBER(SEARCH(Filter!$B$9,$F1667&amp;" "&amp;$G1667)))),COUNTIF($O$6:$O1666,"&gt;0")+1,0))</f>
        <v>0</v>
      </c>
    </row>
    <row r="1668" customFormat="false" ht="15" hidden="false" customHeight="true" outlineLevel="0" collapsed="false">
      <c r="O1668" s="1" t="n">
        <f aca="false">IF($B1668="",0,IF(AND(OR(Filter!$B$5="(alle)",$N1668=Filter!$B$5),OR(Filter!$E$5="(alle)",$K1668=Filter!$E$5),OR(Filter!$H$5="(alle)",$C1668=Filter!$H$5),OR(Filter!$B$7="(alle)",$E1668=Filter!$B$7),OR(Filter!$E$7="(alle)",ISNUMBER(SEARCH(Filter!$E$7,$J1668))),OR(Filter!$H$7="(alle)",ISNUMBER(SEARCH(Filter!$H$7,$I1668))),OR(Filter!$B$9="",ISNUMBER(SEARCH(Filter!$B$9,$F1668&amp;" "&amp;$G1668)))),COUNTIF($O$6:$O1667,"&gt;0")+1,0))</f>
        <v>0</v>
      </c>
    </row>
    <row r="1669" customFormat="false" ht="15" hidden="false" customHeight="true" outlineLevel="0" collapsed="false">
      <c r="O1669" s="1" t="n">
        <f aca="false">IF($B1669="",0,IF(AND(OR(Filter!$B$5="(alle)",$N1669=Filter!$B$5),OR(Filter!$E$5="(alle)",$K1669=Filter!$E$5),OR(Filter!$H$5="(alle)",$C1669=Filter!$H$5),OR(Filter!$B$7="(alle)",$E1669=Filter!$B$7),OR(Filter!$E$7="(alle)",ISNUMBER(SEARCH(Filter!$E$7,$J1669))),OR(Filter!$H$7="(alle)",ISNUMBER(SEARCH(Filter!$H$7,$I1669))),OR(Filter!$B$9="",ISNUMBER(SEARCH(Filter!$B$9,$F1669&amp;" "&amp;$G1669)))),COUNTIF($O$6:$O1668,"&gt;0")+1,0))</f>
        <v>0</v>
      </c>
    </row>
    <row r="1670" customFormat="false" ht="15" hidden="false" customHeight="true" outlineLevel="0" collapsed="false">
      <c r="O1670" s="1" t="n">
        <f aca="false">IF($B1670="",0,IF(AND(OR(Filter!$B$5="(alle)",$N1670=Filter!$B$5),OR(Filter!$E$5="(alle)",$K1670=Filter!$E$5),OR(Filter!$H$5="(alle)",$C1670=Filter!$H$5),OR(Filter!$B$7="(alle)",$E1670=Filter!$B$7),OR(Filter!$E$7="(alle)",ISNUMBER(SEARCH(Filter!$E$7,$J1670))),OR(Filter!$H$7="(alle)",ISNUMBER(SEARCH(Filter!$H$7,$I1670))),OR(Filter!$B$9="",ISNUMBER(SEARCH(Filter!$B$9,$F1670&amp;" "&amp;$G1670)))),COUNTIF($O$6:$O1669,"&gt;0")+1,0))</f>
        <v>0</v>
      </c>
    </row>
    <row r="1671" customFormat="false" ht="15" hidden="false" customHeight="true" outlineLevel="0" collapsed="false">
      <c r="O1671" s="1" t="n">
        <f aca="false">IF($B1671="",0,IF(AND(OR(Filter!$B$5="(alle)",$N1671=Filter!$B$5),OR(Filter!$E$5="(alle)",$K1671=Filter!$E$5),OR(Filter!$H$5="(alle)",$C1671=Filter!$H$5),OR(Filter!$B$7="(alle)",$E1671=Filter!$B$7),OR(Filter!$E$7="(alle)",ISNUMBER(SEARCH(Filter!$E$7,$J1671))),OR(Filter!$H$7="(alle)",ISNUMBER(SEARCH(Filter!$H$7,$I1671))),OR(Filter!$B$9="",ISNUMBER(SEARCH(Filter!$B$9,$F1671&amp;" "&amp;$G1671)))),COUNTIF($O$6:$O1670,"&gt;0")+1,0))</f>
        <v>0</v>
      </c>
    </row>
    <row r="1672" customFormat="false" ht="15" hidden="false" customHeight="true" outlineLevel="0" collapsed="false">
      <c r="O1672" s="1" t="n">
        <f aca="false">IF($B1672="",0,IF(AND(OR(Filter!$B$5="(alle)",$N1672=Filter!$B$5),OR(Filter!$E$5="(alle)",$K1672=Filter!$E$5),OR(Filter!$H$5="(alle)",$C1672=Filter!$H$5),OR(Filter!$B$7="(alle)",$E1672=Filter!$B$7),OR(Filter!$E$7="(alle)",ISNUMBER(SEARCH(Filter!$E$7,$J1672))),OR(Filter!$H$7="(alle)",ISNUMBER(SEARCH(Filter!$H$7,$I1672))),OR(Filter!$B$9="",ISNUMBER(SEARCH(Filter!$B$9,$F1672&amp;" "&amp;$G1672)))),COUNTIF($O$6:$O1671,"&gt;0")+1,0))</f>
        <v>0</v>
      </c>
    </row>
    <row r="1673" customFormat="false" ht="15" hidden="false" customHeight="true" outlineLevel="0" collapsed="false">
      <c r="O1673" s="1" t="n">
        <f aca="false">IF($B1673="",0,IF(AND(OR(Filter!$B$5="(alle)",$N1673=Filter!$B$5),OR(Filter!$E$5="(alle)",$K1673=Filter!$E$5),OR(Filter!$H$5="(alle)",$C1673=Filter!$H$5),OR(Filter!$B$7="(alle)",$E1673=Filter!$B$7),OR(Filter!$E$7="(alle)",ISNUMBER(SEARCH(Filter!$E$7,$J1673))),OR(Filter!$H$7="(alle)",ISNUMBER(SEARCH(Filter!$H$7,$I1673))),OR(Filter!$B$9="",ISNUMBER(SEARCH(Filter!$B$9,$F1673&amp;" "&amp;$G1673)))),COUNTIF($O$6:$O1672,"&gt;0")+1,0))</f>
        <v>0</v>
      </c>
    </row>
    <row r="1674" customFormat="false" ht="15" hidden="false" customHeight="true" outlineLevel="0" collapsed="false">
      <c r="O1674" s="1" t="n">
        <f aca="false">IF($B1674="",0,IF(AND(OR(Filter!$B$5="(alle)",$N1674=Filter!$B$5),OR(Filter!$E$5="(alle)",$K1674=Filter!$E$5),OR(Filter!$H$5="(alle)",$C1674=Filter!$H$5),OR(Filter!$B$7="(alle)",$E1674=Filter!$B$7),OR(Filter!$E$7="(alle)",ISNUMBER(SEARCH(Filter!$E$7,$J1674))),OR(Filter!$H$7="(alle)",ISNUMBER(SEARCH(Filter!$H$7,$I1674))),OR(Filter!$B$9="",ISNUMBER(SEARCH(Filter!$B$9,$F1674&amp;" "&amp;$G1674)))),COUNTIF($O$6:$O1673,"&gt;0")+1,0))</f>
        <v>0</v>
      </c>
    </row>
    <row r="1675" customFormat="false" ht="15" hidden="false" customHeight="true" outlineLevel="0" collapsed="false">
      <c r="O1675" s="1" t="n">
        <f aca="false">IF($B1675="",0,IF(AND(OR(Filter!$B$5="(alle)",$N1675=Filter!$B$5),OR(Filter!$E$5="(alle)",$K1675=Filter!$E$5),OR(Filter!$H$5="(alle)",$C1675=Filter!$H$5),OR(Filter!$B$7="(alle)",$E1675=Filter!$B$7),OR(Filter!$E$7="(alle)",ISNUMBER(SEARCH(Filter!$E$7,$J1675))),OR(Filter!$H$7="(alle)",ISNUMBER(SEARCH(Filter!$H$7,$I1675))),OR(Filter!$B$9="",ISNUMBER(SEARCH(Filter!$B$9,$F1675&amp;" "&amp;$G1675)))),COUNTIF($O$6:$O1674,"&gt;0")+1,0))</f>
        <v>0</v>
      </c>
    </row>
    <row r="1676" customFormat="false" ht="15" hidden="false" customHeight="true" outlineLevel="0" collapsed="false">
      <c r="O1676" s="1" t="n">
        <f aca="false">IF($B1676="",0,IF(AND(OR(Filter!$B$5="(alle)",$N1676=Filter!$B$5),OR(Filter!$E$5="(alle)",$K1676=Filter!$E$5),OR(Filter!$H$5="(alle)",$C1676=Filter!$H$5),OR(Filter!$B$7="(alle)",$E1676=Filter!$B$7),OR(Filter!$E$7="(alle)",ISNUMBER(SEARCH(Filter!$E$7,$J1676))),OR(Filter!$H$7="(alle)",ISNUMBER(SEARCH(Filter!$H$7,$I1676))),OR(Filter!$B$9="",ISNUMBER(SEARCH(Filter!$B$9,$F1676&amp;" "&amp;$G1676)))),COUNTIF($O$6:$O1675,"&gt;0")+1,0))</f>
        <v>0</v>
      </c>
    </row>
    <row r="1677" customFormat="false" ht="15" hidden="false" customHeight="true" outlineLevel="0" collapsed="false">
      <c r="O1677" s="1" t="n">
        <f aca="false">IF($B1677="",0,IF(AND(OR(Filter!$B$5="(alle)",$N1677=Filter!$B$5),OR(Filter!$E$5="(alle)",$K1677=Filter!$E$5),OR(Filter!$H$5="(alle)",$C1677=Filter!$H$5),OR(Filter!$B$7="(alle)",$E1677=Filter!$B$7),OR(Filter!$E$7="(alle)",ISNUMBER(SEARCH(Filter!$E$7,$J1677))),OR(Filter!$H$7="(alle)",ISNUMBER(SEARCH(Filter!$H$7,$I1677))),OR(Filter!$B$9="",ISNUMBER(SEARCH(Filter!$B$9,$F1677&amp;" "&amp;$G1677)))),COUNTIF($O$6:$O1676,"&gt;0")+1,0))</f>
        <v>0</v>
      </c>
    </row>
    <row r="1678" customFormat="false" ht="15" hidden="false" customHeight="true" outlineLevel="0" collapsed="false">
      <c r="O1678" s="1" t="n">
        <f aca="false">IF($B1678="",0,IF(AND(OR(Filter!$B$5="(alle)",$N1678=Filter!$B$5),OR(Filter!$E$5="(alle)",$K1678=Filter!$E$5),OR(Filter!$H$5="(alle)",$C1678=Filter!$H$5),OR(Filter!$B$7="(alle)",$E1678=Filter!$B$7),OR(Filter!$E$7="(alle)",ISNUMBER(SEARCH(Filter!$E$7,$J1678))),OR(Filter!$H$7="(alle)",ISNUMBER(SEARCH(Filter!$H$7,$I1678))),OR(Filter!$B$9="",ISNUMBER(SEARCH(Filter!$B$9,$F1678&amp;" "&amp;$G1678)))),COUNTIF($O$6:$O1677,"&gt;0")+1,0))</f>
        <v>0</v>
      </c>
    </row>
    <row r="1679" customFormat="false" ht="15" hidden="false" customHeight="true" outlineLevel="0" collapsed="false">
      <c r="O1679" s="1" t="n">
        <f aca="false">IF($B1679="",0,IF(AND(OR(Filter!$B$5="(alle)",$N1679=Filter!$B$5),OR(Filter!$E$5="(alle)",$K1679=Filter!$E$5),OR(Filter!$H$5="(alle)",$C1679=Filter!$H$5),OR(Filter!$B$7="(alle)",$E1679=Filter!$B$7),OR(Filter!$E$7="(alle)",ISNUMBER(SEARCH(Filter!$E$7,$J1679))),OR(Filter!$H$7="(alle)",ISNUMBER(SEARCH(Filter!$H$7,$I1679))),OR(Filter!$B$9="",ISNUMBER(SEARCH(Filter!$B$9,$F1679&amp;" "&amp;$G1679)))),COUNTIF($O$6:$O1678,"&gt;0")+1,0))</f>
        <v>0</v>
      </c>
    </row>
    <row r="1680" customFormat="false" ht="15" hidden="false" customHeight="true" outlineLevel="0" collapsed="false">
      <c r="O1680" s="1" t="n">
        <f aca="false">IF($B1680="",0,IF(AND(OR(Filter!$B$5="(alle)",$N1680=Filter!$B$5),OR(Filter!$E$5="(alle)",$K1680=Filter!$E$5),OR(Filter!$H$5="(alle)",$C1680=Filter!$H$5),OR(Filter!$B$7="(alle)",$E1680=Filter!$B$7),OR(Filter!$E$7="(alle)",ISNUMBER(SEARCH(Filter!$E$7,$J1680))),OR(Filter!$H$7="(alle)",ISNUMBER(SEARCH(Filter!$H$7,$I1680))),OR(Filter!$B$9="",ISNUMBER(SEARCH(Filter!$B$9,$F1680&amp;" "&amp;$G1680)))),COUNTIF($O$6:$O1679,"&gt;0")+1,0))</f>
        <v>0</v>
      </c>
    </row>
    <row r="1681" customFormat="false" ht="15" hidden="false" customHeight="true" outlineLevel="0" collapsed="false">
      <c r="O1681" s="1" t="n">
        <f aca="false">IF($B1681="",0,IF(AND(OR(Filter!$B$5="(alle)",$N1681=Filter!$B$5),OR(Filter!$E$5="(alle)",$K1681=Filter!$E$5),OR(Filter!$H$5="(alle)",$C1681=Filter!$H$5),OR(Filter!$B$7="(alle)",$E1681=Filter!$B$7),OR(Filter!$E$7="(alle)",ISNUMBER(SEARCH(Filter!$E$7,$J1681))),OR(Filter!$H$7="(alle)",ISNUMBER(SEARCH(Filter!$H$7,$I1681))),OR(Filter!$B$9="",ISNUMBER(SEARCH(Filter!$B$9,$F1681&amp;" "&amp;$G1681)))),COUNTIF($O$6:$O1680,"&gt;0")+1,0))</f>
        <v>0</v>
      </c>
    </row>
    <row r="1682" customFormat="false" ht="15" hidden="false" customHeight="true" outlineLevel="0" collapsed="false">
      <c r="O1682" s="1" t="n">
        <f aca="false">IF($B1682="",0,IF(AND(OR(Filter!$B$5="(alle)",$N1682=Filter!$B$5),OR(Filter!$E$5="(alle)",$K1682=Filter!$E$5),OR(Filter!$H$5="(alle)",$C1682=Filter!$H$5),OR(Filter!$B$7="(alle)",$E1682=Filter!$B$7),OR(Filter!$E$7="(alle)",ISNUMBER(SEARCH(Filter!$E$7,$J1682))),OR(Filter!$H$7="(alle)",ISNUMBER(SEARCH(Filter!$H$7,$I1682))),OR(Filter!$B$9="",ISNUMBER(SEARCH(Filter!$B$9,$F1682&amp;" "&amp;$G1682)))),COUNTIF($O$6:$O1681,"&gt;0")+1,0))</f>
        <v>0</v>
      </c>
    </row>
    <row r="1683" customFormat="false" ht="15" hidden="false" customHeight="true" outlineLevel="0" collapsed="false">
      <c r="O1683" s="1" t="n">
        <f aca="false">IF($B1683="",0,IF(AND(OR(Filter!$B$5="(alle)",$N1683=Filter!$B$5),OR(Filter!$E$5="(alle)",$K1683=Filter!$E$5),OR(Filter!$H$5="(alle)",$C1683=Filter!$H$5),OR(Filter!$B$7="(alle)",$E1683=Filter!$B$7),OR(Filter!$E$7="(alle)",ISNUMBER(SEARCH(Filter!$E$7,$J1683))),OR(Filter!$H$7="(alle)",ISNUMBER(SEARCH(Filter!$H$7,$I1683))),OR(Filter!$B$9="",ISNUMBER(SEARCH(Filter!$B$9,$F1683&amp;" "&amp;$G1683)))),COUNTIF($O$6:$O1682,"&gt;0")+1,0))</f>
        <v>0</v>
      </c>
    </row>
    <row r="1684" customFormat="false" ht="15" hidden="false" customHeight="true" outlineLevel="0" collapsed="false">
      <c r="O1684" s="1" t="n">
        <f aca="false">IF($B1684="",0,IF(AND(OR(Filter!$B$5="(alle)",$N1684=Filter!$B$5),OR(Filter!$E$5="(alle)",$K1684=Filter!$E$5),OR(Filter!$H$5="(alle)",$C1684=Filter!$H$5),OR(Filter!$B$7="(alle)",$E1684=Filter!$B$7),OR(Filter!$E$7="(alle)",ISNUMBER(SEARCH(Filter!$E$7,$J1684))),OR(Filter!$H$7="(alle)",ISNUMBER(SEARCH(Filter!$H$7,$I1684))),OR(Filter!$B$9="",ISNUMBER(SEARCH(Filter!$B$9,$F1684&amp;" "&amp;$G1684)))),COUNTIF($O$6:$O1683,"&gt;0")+1,0))</f>
        <v>0</v>
      </c>
    </row>
    <row r="1685" customFormat="false" ht="15" hidden="false" customHeight="true" outlineLevel="0" collapsed="false">
      <c r="O1685" s="1" t="n">
        <f aca="false">IF($B1685="",0,IF(AND(OR(Filter!$B$5="(alle)",$N1685=Filter!$B$5),OR(Filter!$E$5="(alle)",$K1685=Filter!$E$5),OR(Filter!$H$5="(alle)",$C1685=Filter!$H$5),OR(Filter!$B$7="(alle)",$E1685=Filter!$B$7),OR(Filter!$E$7="(alle)",ISNUMBER(SEARCH(Filter!$E$7,$J1685))),OR(Filter!$H$7="(alle)",ISNUMBER(SEARCH(Filter!$H$7,$I1685))),OR(Filter!$B$9="",ISNUMBER(SEARCH(Filter!$B$9,$F1685&amp;" "&amp;$G1685)))),COUNTIF($O$6:$O1684,"&gt;0")+1,0))</f>
        <v>0</v>
      </c>
    </row>
    <row r="1686" customFormat="false" ht="15" hidden="false" customHeight="true" outlineLevel="0" collapsed="false">
      <c r="O1686" s="1" t="n">
        <f aca="false">IF($B1686="",0,IF(AND(OR(Filter!$B$5="(alle)",$N1686=Filter!$B$5),OR(Filter!$E$5="(alle)",$K1686=Filter!$E$5),OR(Filter!$H$5="(alle)",$C1686=Filter!$H$5),OR(Filter!$B$7="(alle)",$E1686=Filter!$B$7),OR(Filter!$E$7="(alle)",ISNUMBER(SEARCH(Filter!$E$7,$J1686))),OR(Filter!$H$7="(alle)",ISNUMBER(SEARCH(Filter!$H$7,$I1686))),OR(Filter!$B$9="",ISNUMBER(SEARCH(Filter!$B$9,$F1686&amp;" "&amp;$G1686)))),COUNTIF($O$6:$O1685,"&gt;0")+1,0))</f>
        <v>0</v>
      </c>
    </row>
    <row r="1687" customFormat="false" ht="15" hidden="false" customHeight="true" outlineLevel="0" collapsed="false">
      <c r="O1687" s="1" t="n">
        <f aca="false">IF($B1687="",0,IF(AND(OR(Filter!$B$5="(alle)",$N1687=Filter!$B$5),OR(Filter!$E$5="(alle)",$K1687=Filter!$E$5),OR(Filter!$H$5="(alle)",$C1687=Filter!$H$5),OR(Filter!$B$7="(alle)",$E1687=Filter!$B$7),OR(Filter!$E$7="(alle)",ISNUMBER(SEARCH(Filter!$E$7,$J1687))),OR(Filter!$H$7="(alle)",ISNUMBER(SEARCH(Filter!$H$7,$I1687))),OR(Filter!$B$9="",ISNUMBER(SEARCH(Filter!$B$9,$F1687&amp;" "&amp;$G1687)))),COUNTIF($O$6:$O1686,"&gt;0")+1,0))</f>
        <v>0</v>
      </c>
    </row>
    <row r="1688" customFormat="false" ht="15" hidden="false" customHeight="true" outlineLevel="0" collapsed="false">
      <c r="O1688" s="1" t="n">
        <f aca="false">IF($B1688="",0,IF(AND(OR(Filter!$B$5="(alle)",$N1688=Filter!$B$5),OR(Filter!$E$5="(alle)",$K1688=Filter!$E$5),OR(Filter!$H$5="(alle)",$C1688=Filter!$H$5),OR(Filter!$B$7="(alle)",$E1688=Filter!$B$7),OR(Filter!$E$7="(alle)",ISNUMBER(SEARCH(Filter!$E$7,$J1688))),OR(Filter!$H$7="(alle)",ISNUMBER(SEARCH(Filter!$H$7,$I1688))),OR(Filter!$B$9="",ISNUMBER(SEARCH(Filter!$B$9,$F1688&amp;" "&amp;$G1688)))),COUNTIF($O$6:$O1687,"&gt;0")+1,0))</f>
        <v>0</v>
      </c>
    </row>
    <row r="1689" customFormat="false" ht="15" hidden="false" customHeight="true" outlineLevel="0" collapsed="false">
      <c r="O1689" s="1" t="n">
        <f aca="false">IF($B1689="",0,IF(AND(OR(Filter!$B$5="(alle)",$N1689=Filter!$B$5),OR(Filter!$E$5="(alle)",$K1689=Filter!$E$5),OR(Filter!$H$5="(alle)",$C1689=Filter!$H$5),OR(Filter!$B$7="(alle)",$E1689=Filter!$B$7),OR(Filter!$E$7="(alle)",ISNUMBER(SEARCH(Filter!$E$7,$J1689))),OR(Filter!$H$7="(alle)",ISNUMBER(SEARCH(Filter!$H$7,$I1689))),OR(Filter!$B$9="",ISNUMBER(SEARCH(Filter!$B$9,$F1689&amp;" "&amp;$G1689)))),COUNTIF($O$6:$O1688,"&gt;0")+1,0))</f>
        <v>0</v>
      </c>
    </row>
    <row r="1690" customFormat="false" ht="15" hidden="false" customHeight="true" outlineLevel="0" collapsed="false">
      <c r="O1690" s="1" t="n">
        <f aca="false">IF($B1690="",0,IF(AND(OR(Filter!$B$5="(alle)",$N1690=Filter!$B$5),OR(Filter!$E$5="(alle)",$K1690=Filter!$E$5),OR(Filter!$H$5="(alle)",$C1690=Filter!$H$5),OR(Filter!$B$7="(alle)",$E1690=Filter!$B$7),OR(Filter!$E$7="(alle)",ISNUMBER(SEARCH(Filter!$E$7,$J1690))),OR(Filter!$H$7="(alle)",ISNUMBER(SEARCH(Filter!$H$7,$I1690))),OR(Filter!$B$9="",ISNUMBER(SEARCH(Filter!$B$9,$F1690&amp;" "&amp;$G1690)))),COUNTIF($O$6:$O1689,"&gt;0")+1,0))</f>
        <v>0</v>
      </c>
    </row>
    <row r="1691" customFormat="false" ht="15" hidden="false" customHeight="true" outlineLevel="0" collapsed="false">
      <c r="O1691" s="1" t="n">
        <f aca="false">IF($B1691="",0,IF(AND(OR(Filter!$B$5="(alle)",$N1691=Filter!$B$5),OR(Filter!$E$5="(alle)",$K1691=Filter!$E$5),OR(Filter!$H$5="(alle)",$C1691=Filter!$H$5),OR(Filter!$B$7="(alle)",$E1691=Filter!$B$7),OR(Filter!$E$7="(alle)",ISNUMBER(SEARCH(Filter!$E$7,$J1691))),OR(Filter!$H$7="(alle)",ISNUMBER(SEARCH(Filter!$H$7,$I1691))),OR(Filter!$B$9="",ISNUMBER(SEARCH(Filter!$B$9,$F1691&amp;" "&amp;$G1691)))),COUNTIF($O$6:$O1690,"&gt;0")+1,0))</f>
        <v>0</v>
      </c>
    </row>
    <row r="1692" customFormat="false" ht="15" hidden="false" customHeight="true" outlineLevel="0" collapsed="false">
      <c r="O1692" s="1" t="n">
        <f aca="false">IF($B1692="",0,IF(AND(OR(Filter!$B$5="(alle)",$N1692=Filter!$B$5),OR(Filter!$E$5="(alle)",$K1692=Filter!$E$5),OR(Filter!$H$5="(alle)",$C1692=Filter!$H$5),OR(Filter!$B$7="(alle)",$E1692=Filter!$B$7),OR(Filter!$E$7="(alle)",ISNUMBER(SEARCH(Filter!$E$7,$J1692))),OR(Filter!$H$7="(alle)",ISNUMBER(SEARCH(Filter!$H$7,$I1692))),OR(Filter!$B$9="",ISNUMBER(SEARCH(Filter!$B$9,$F1692&amp;" "&amp;$G1692)))),COUNTIF($O$6:$O1691,"&gt;0")+1,0))</f>
        <v>0</v>
      </c>
    </row>
    <row r="1693" customFormat="false" ht="15" hidden="false" customHeight="true" outlineLevel="0" collapsed="false">
      <c r="O1693" s="1" t="n">
        <f aca="false">IF($B1693="",0,IF(AND(OR(Filter!$B$5="(alle)",$N1693=Filter!$B$5),OR(Filter!$E$5="(alle)",$K1693=Filter!$E$5),OR(Filter!$H$5="(alle)",$C1693=Filter!$H$5),OR(Filter!$B$7="(alle)",$E1693=Filter!$B$7),OR(Filter!$E$7="(alle)",ISNUMBER(SEARCH(Filter!$E$7,$J1693))),OR(Filter!$H$7="(alle)",ISNUMBER(SEARCH(Filter!$H$7,$I1693))),OR(Filter!$B$9="",ISNUMBER(SEARCH(Filter!$B$9,$F1693&amp;" "&amp;$G1693)))),COUNTIF($O$6:$O1692,"&gt;0")+1,0))</f>
        <v>0</v>
      </c>
    </row>
    <row r="1694" customFormat="false" ht="15" hidden="false" customHeight="true" outlineLevel="0" collapsed="false">
      <c r="O1694" s="1" t="n">
        <f aca="false">IF($B1694="",0,IF(AND(OR(Filter!$B$5="(alle)",$N1694=Filter!$B$5),OR(Filter!$E$5="(alle)",$K1694=Filter!$E$5),OR(Filter!$H$5="(alle)",$C1694=Filter!$H$5),OR(Filter!$B$7="(alle)",$E1694=Filter!$B$7),OR(Filter!$E$7="(alle)",ISNUMBER(SEARCH(Filter!$E$7,$J1694))),OR(Filter!$H$7="(alle)",ISNUMBER(SEARCH(Filter!$H$7,$I1694))),OR(Filter!$B$9="",ISNUMBER(SEARCH(Filter!$B$9,$F1694&amp;" "&amp;$G1694)))),COUNTIF($O$6:$O1693,"&gt;0")+1,0))</f>
        <v>0</v>
      </c>
    </row>
    <row r="1695" customFormat="false" ht="15" hidden="false" customHeight="true" outlineLevel="0" collapsed="false">
      <c r="O1695" s="1" t="n">
        <f aca="false">IF($B1695="",0,IF(AND(OR(Filter!$B$5="(alle)",$N1695=Filter!$B$5),OR(Filter!$E$5="(alle)",$K1695=Filter!$E$5),OR(Filter!$H$5="(alle)",$C1695=Filter!$H$5),OR(Filter!$B$7="(alle)",$E1695=Filter!$B$7),OR(Filter!$E$7="(alle)",ISNUMBER(SEARCH(Filter!$E$7,$J1695))),OR(Filter!$H$7="(alle)",ISNUMBER(SEARCH(Filter!$H$7,$I1695))),OR(Filter!$B$9="",ISNUMBER(SEARCH(Filter!$B$9,$F1695&amp;" "&amp;$G1695)))),COUNTIF($O$6:$O1694,"&gt;0")+1,0))</f>
        <v>0</v>
      </c>
    </row>
    <row r="1696" customFormat="false" ht="15" hidden="false" customHeight="true" outlineLevel="0" collapsed="false">
      <c r="O1696" s="1" t="n">
        <f aca="false">IF($B1696="",0,IF(AND(OR(Filter!$B$5="(alle)",$N1696=Filter!$B$5),OR(Filter!$E$5="(alle)",$K1696=Filter!$E$5),OR(Filter!$H$5="(alle)",$C1696=Filter!$H$5),OR(Filter!$B$7="(alle)",$E1696=Filter!$B$7),OR(Filter!$E$7="(alle)",ISNUMBER(SEARCH(Filter!$E$7,$J1696))),OR(Filter!$H$7="(alle)",ISNUMBER(SEARCH(Filter!$H$7,$I1696))),OR(Filter!$B$9="",ISNUMBER(SEARCH(Filter!$B$9,$F1696&amp;" "&amp;$G1696)))),COUNTIF($O$6:$O1695,"&gt;0")+1,0))</f>
        <v>0</v>
      </c>
    </row>
    <row r="1697" customFormat="false" ht="15" hidden="false" customHeight="true" outlineLevel="0" collapsed="false">
      <c r="O1697" s="1" t="n">
        <f aca="false">IF($B1697="",0,IF(AND(OR(Filter!$B$5="(alle)",$N1697=Filter!$B$5),OR(Filter!$E$5="(alle)",$K1697=Filter!$E$5),OR(Filter!$H$5="(alle)",$C1697=Filter!$H$5),OR(Filter!$B$7="(alle)",$E1697=Filter!$B$7),OR(Filter!$E$7="(alle)",ISNUMBER(SEARCH(Filter!$E$7,$J1697))),OR(Filter!$H$7="(alle)",ISNUMBER(SEARCH(Filter!$H$7,$I1697))),OR(Filter!$B$9="",ISNUMBER(SEARCH(Filter!$B$9,$F1697&amp;" "&amp;$G1697)))),COUNTIF($O$6:$O1696,"&gt;0")+1,0))</f>
        <v>0</v>
      </c>
    </row>
    <row r="1698" customFormat="false" ht="15" hidden="false" customHeight="true" outlineLevel="0" collapsed="false">
      <c r="O1698" s="1" t="n">
        <f aca="false">IF($B1698="",0,IF(AND(OR(Filter!$B$5="(alle)",$N1698=Filter!$B$5),OR(Filter!$E$5="(alle)",$K1698=Filter!$E$5),OR(Filter!$H$5="(alle)",$C1698=Filter!$H$5),OR(Filter!$B$7="(alle)",$E1698=Filter!$B$7),OR(Filter!$E$7="(alle)",ISNUMBER(SEARCH(Filter!$E$7,$J1698))),OR(Filter!$H$7="(alle)",ISNUMBER(SEARCH(Filter!$H$7,$I1698))),OR(Filter!$B$9="",ISNUMBER(SEARCH(Filter!$B$9,$F1698&amp;" "&amp;$G1698)))),COUNTIF($O$6:$O1697,"&gt;0")+1,0))</f>
        <v>0</v>
      </c>
    </row>
    <row r="1699" customFormat="false" ht="15" hidden="false" customHeight="true" outlineLevel="0" collapsed="false">
      <c r="O1699" s="1" t="n">
        <f aca="false">IF($B1699="",0,IF(AND(OR(Filter!$B$5="(alle)",$N1699=Filter!$B$5),OR(Filter!$E$5="(alle)",$K1699=Filter!$E$5),OR(Filter!$H$5="(alle)",$C1699=Filter!$H$5),OR(Filter!$B$7="(alle)",$E1699=Filter!$B$7),OR(Filter!$E$7="(alle)",ISNUMBER(SEARCH(Filter!$E$7,$J1699))),OR(Filter!$H$7="(alle)",ISNUMBER(SEARCH(Filter!$H$7,$I1699))),OR(Filter!$B$9="",ISNUMBER(SEARCH(Filter!$B$9,$F1699&amp;" "&amp;$G1699)))),COUNTIF($O$6:$O1698,"&gt;0")+1,0))</f>
        <v>0</v>
      </c>
    </row>
    <row r="1700" customFormat="false" ht="15" hidden="false" customHeight="true" outlineLevel="0" collapsed="false">
      <c r="O1700" s="1" t="n">
        <f aca="false">IF($B1700="",0,IF(AND(OR(Filter!$B$5="(alle)",$N1700=Filter!$B$5),OR(Filter!$E$5="(alle)",$K1700=Filter!$E$5),OR(Filter!$H$5="(alle)",$C1700=Filter!$H$5),OR(Filter!$B$7="(alle)",$E1700=Filter!$B$7),OR(Filter!$E$7="(alle)",ISNUMBER(SEARCH(Filter!$E$7,$J1700))),OR(Filter!$H$7="(alle)",ISNUMBER(SEARCH(Filter!$H$7,$I1700))),OR(Filter!$B$9="",ISNUMBER(SEARCH(Filter!$B$9,$F1700&amp;" "&amp;$G1700)))),COUNTIF($O$6:$O1699,"&gt;0")+1,0))</f>
        <v>0</v>
      </c>
    </row>
    <row r="1701" customFormat="false" ht="15" hidden="false" customHeight="true" outlineLevel="0" collapsed="false">
      <c r="O1701" s="1" t="n">
        <f aca="false">IF($B1701="",0,IF(AND(OR(Filter!$B$5="(alle)",$N1701=Filter!$B$5),OR(Filter!$E$5="(alle)",$K1701=Filter!$E$5),OR(Filter!$H$5="(alle)",$C1701=Filter!$H$5),OR(Filter!$B$7="(alle)",$E1701=Filter!$B$7),OR(Filter!$E$7="(alle)",ISNUMBER(SEARCH(Filter!$E$7,$J1701))),OR(Filter!$H$7="(alle)",ISNUMBER(SEARCH(Filter!$H$7,$I1701))),OR(Filter!$B$9="",ISNUMBER(SEARCH(Filter!$B$9,$F1701&amp;" "&amp;$G1701)))),COUNTIF($O$6:$O1700,"&gt;0")+1,0))</f>
        <v>0</v>
      </c>
    </row>
    <row r="1702" customFormat="false" ht="15" hidden="false" customHeight="true" outlineLevel="0" collapsed="false">
      <c r="O1702" s="1" t="n">
        <f aca="false">IF($B1702="",0,IF(AND(OR(Filter!$B$5="(alle)",$N1702=Filter!$B$5),OR(Filter!$E$5="(alle)",$K1702=Filter!$E$5),OR(Filter!$H$5="(alle)",$C1702=Filter!$H$5),OR(Filter!$B$7="(alle)",$E1702=Filter!$B$7),OR(Filter!$E$7="(alle)",ISNUMBER(SEARCH(Filter!$E$7,$J1702))),OR(Filter!$H$7="(alle)",ISNUMBER(SEARCH(Filter!$H$7,$I1702))),OR(Filter!$B$9="",ISNUMBER(SEARCH(Filter!$B$9,$F1702&amp;" "&amp;$G1702)))),COUNTIF($O$6:$O1701,"&gt;0")+1,0))</f>
        <v>0</v>
      </c>
    </row>
    <row r="1703" customFormat="false" ht="15" hidden="false" customHeight="true" outlineLevel="0" collapsed="false">
      <c r="O1703" s="1" t="n">
        <f aca="false">IF($B1703="",0,IF(AND(OR(Filter!$B$5="(alle)",$N1703=Filter!$B$5),OR(Filter!$E$5="(alle)",$K1703=Filter!$E$5),OR(Filter!$H$5="(alle)",$C1703=Filter!$H$5),OR(Filter!$B$7="(alle)",$E1703=Filter!$B$7),OR(Filter!$E$7="(alle)",ISNUMBER(SEARCH(Filter!$E$7,$J1703))),OR(Filter!$H$7="(alle)",ISNUMBER(SEARCH(Filter!$H$7,$I1703))),OR(Filter!$B$9="",ISNUMBER(SEARCH(Filter!$B$9,$F1703&amp;" "&amp;$G1703)))),COUNTIF($O$6:$O1702,"&gt;0")+1,0))</f>
        <v>0</v>
      </c>
    </row>
    <row r="1704" customFormat="false" ht="15" hidden="false" customHeight="true" outlineLevel="0" collapsed="false">
      <c r="O1704" s="1" t="n">
        <f aca="false">IF($B1704="",0,IF(AND(OR(Filter!$B$5="(alle)",$N1704=Filter!$B$5),OR(Filter!$E$5="(alle)",$K1704=Filter!$E$5),OR(Filter!$H$5="(alle)",$C1704=Filter!$H$5),OR(Filter!$B$7="(alle)",$E1704=Filter!$B$7),OR(Filter!$E$7="(alle)",ISNUMBER(SEARCH(Filter!$E$7,$J1704))),OR(Filter!$H$7="(alle)",ISNUMBER(SEARCH(Filter!$H$7,$I1704))),OR(Filter!$B$9="",ISNUMBER(SEARCH(Filter!$B$9,$F1704&amp;" "&amp;$G1704)))),COUNTIF($O$6:$O1703,"&gt;0")+1,0))</f>
        <v>0</v>
      </c>
    </row>
    <row r="1705" customFormat="false" ht="15" hidden="false" customHeight="true" outlineLevel="0" collapsed="false">
      <c r="O1705" s="1" t="n">
        <f aca="false">IF($B1705="",0,IF(AND(OR(Filter!$B$5="(alle)",$N1705=Filter!$B$5),OR(Filter!$E$5="(alle)",$K1705=Filter!$E$5),OR(Filter!$H$5="(alle)",$C1705=Filter!$H$5),OR(Filter!$B$7="(alle)",$E1705=Filter!$B$7),OR(Filter!$E$7="(alle)",ISNUMBER(SEARCH(Filter!$E$7,$J1705))),OR(Filter!$H$7="(alle)",ISNUMBER(SEARCH(Filter!$H$7,$I1705))),OR(Filter!$B$9="",ISNUMBER(SEARCH(Filter!$B$9,$F1705&amp;" "&amp;$G1705)))),COUNTIF($O$6:$O1704,"&gt;0")+1,0))</f>
        <v>0</v>
      </c>
    </row>
    <row r="1706" customFormat="false" ht="15" hidden="false" customHeight="true" outlineLevel="0" collapsed="false">
      <c r="O1706" s="1" t="n">
        <f aca="false">IF($B1706="",0,IF(AND(OR(Filter!$B$5="(alle)",$N1706=Filter!$B$5),OR(Filter!$E$5="(alle)",$K1706=Filter!$E$5),OR(Filter!$H$5="(alle)",$C1706=Filter!$H$5),OR(Filter!$B$7="(alle)",$E1706=Filter!$B$7),OR(Filter!$E$7="(alle)",ISNUMBER(SEARCH(Filter!$E$7,$J1706))),OR(Filter!$H$7="(alle)",ISNUMBER(SEARCH(Filter!$H$7,$I1706))),OR(Filter!$B$9="",ISNUMBER(SEARCH(Filter!$B$9,$F1706&amp;" "&amp;$G1706)))),COUNTIF($O$6:$O1705,"&gt;0")+1,0))</f>
        <v>0</v>
      </c>
    </row>
    <row r="1707" customFormat="false" ht="15" hidden="false" customHeight="true" outlineLevel="0" collapsed="false">
      <c r="O1707" s="1" t="n">
        <f aca="false">IF($B1707="",0,IF(AND(OR(Filter!$B$5="(alle)",$N1707=Filter!$B$5),OR(Filter!$E$5="(alle)",$K1707=Filter!$E$5),OR(Filter!$H$5="(alle)",$C1707=Filter!$H$5),OR(Filter!$B$7="(alle)",$E1707=Filter!$B$7),OR(Filter!$E$7="(alle)",ISNUMBER(SEARCH(Filter!$E$7,$J1707))),OR(Filter!$H$7="(alle)",ISNUMBER(SEARCH(Filter!$H$7,$I1707))),OR(Filter!$B$9="",ISNUMBER(SEARCH(Filter!$B$9,$F1707&amp;" "&amp;$G1707)))),COUNTIF($O$6:$O1706,"&gt;0")+1,0))</f>
        <v>0</v>
      </c>
    </row>
    <row r="1708" customFormat="false" ht="15" hidden="false" customHeight="true" outlineLevel="0" collapsed="false">
      <c r="O1708" s="1" t="n">
        <f aca="false">IF($B1708="",0,IF(AND(OR(Filter!$B$5="(alle)",$N1708=Filter!$B$5),OR(Filter!$E$5="(alle)",$K1708=Filter!$E$5),OR(Filter!$H$5="(alle)",$C1708=Filter!$H$5),OR(Filter!$B$7="(alle)",$E1708=Filter!$B$7),OR(Filter!$E$7="(alle)",ISNUMBER(SEARCH(Filter!$E$7,$J1708))),OR(Filter!$H$7="(alle)",ISNUMBER(SEARCH(Filter!$H$7,$I1708))),OR(Filter!$B$9="",ISNUMBER(SEARCH(Filter!$B$9,$F1708&amp;" "&amp;$G1708)))),COUNTIF($O$6:$O1707,"&gt;0")+1,0))</f>
        <v>0</v>
      </c>
    </row>
    <row r="1709" customFormat="false" ht="15" hidden="false" customHeight="true" outlineLevel="0" collapsed="false">
      <c r="O1709" s="1" t="n">
        <f aca="false">IF($B1709="",0,IF(AND(OR(Filter!$B$5="(alle)",$N1709=Filter!$B$5),OR(Filter!$E$5="(alle)",$K1709=Filter!$E$5),OR(Filter!$H$5="(alle)",$C1709=Filter!$H$5),OR(Filter!$B$7="(alle)",$E1709=Filter!$B$7),OR(Filter!$E$7="(alle)",ISNUMBER(SEARCH(Filter!$E$7,$J1709))),OR(Filter!$H$7="(alle)",ISNUMBER(SEARCH(Filter!$H$7,$I1709))),OR(Filter!$B$9="",ISNUMBER(SEARCH(Filter!$B$9,$F1709&amp;" "&amp;$G1709)))),COUNTIF($O$6:$O1708,"&gt;0")+1,0))</f>
        <v>0</v>
      </c>
    </row>
    <row r="1710" customFormat="false" ht="15" hidden="false" customHeight="true" outlineLevel="0" collapsed="false">
      <c r="O1710" s="1" t="n">
        <f aca="false">IF($B1710="",0,IF(AND(OR(Filter!$B$5="(alle)",$N1710=Filter!$B$5),OR(Filter!$E$5="(alle)",$K1710=Filter!$E$5),OR(Filter!$H$5="(alle)",$C1710=Filter!$H$5),OR(Filter!$B$7="(alle)",$E1710=Filter!$B$7),OR(Filter!$E$7="(alle)",ISNUMBER(SEARCH(Filter!$E$7,$J1710))),OR(Filter!$H$7="(alle)",ISNUMBER(SEARCH(Filter!$H$7,$I1710))),OR(Filter!$B$9="",ISNUMBER(SEARCH(Filter!$B$9,$F1710&amp;" "&amp;$G1710)))),COUNTIF($O$6:$O1709,"&gt;0")+1,0))</f>
        <v>0</v>
      </c>
    </row>
    <row r="1711" customFormat="false" ht="15" hidden="false" customHeight="true" outlineLevel="0" collapsed="false">
      <c r="O1711" s="1" t="n">
        <f aca="false">IF($B1711="",0,IF(AND(OR(Filter!$B$5="(alle)",$N1711=Filter!$B$5),OR(Filter!$E$5="(alle)",$K1711=Filter!$E$5),OR(Filter!$H$5="(alle)",$C1711=Filter!$H$5),OR(Filter!$B$7="(alle)",$E1711=Filter!$B$7),OR(Filter!$E$7="(alle)",ISNUMBER(SEARCH(Filter!$E$7,$J1711))),OR(Filter!$H$7="(alle)",ISNUMBER(SEARCH(Filter!$H$7,$I1711))),OR(Filter!$B$9="",ISNUMBER(SEARCH(Filter!$B$9,$F1711&amp;" "&amp;$G1711)))),COUNTIF($O$6:$O1710,"&gt;0")+1,0))</f>
        <v>0</v>
      </c>
    </row>
    <row r="1712" customFormat="false" ht="15" hidden="false" customHeight="true" outlineLevel="0" collapsed="false">
      <c r="O1712" s="1" t="n">
        <f aca="false">IF($B1712="",0,IF(AND(OR(Filter!$B$5="(alle)",$N1712=Filter!$B$5),OR(Filter!$E$5="(alle)",$K1712=Filter!$E$5),OR(Filter!$H$5="(alle)",$C1712=Filter!$H$5),OR(Filter!$B$7="(alle)",$E1712=Filter!$B$7),OR(Filter!$E$7="(alle)",ISNUMBER(SEARCH(Filter!$E$7,$J1712))),OR(Filter!$H$7="(alle)",ISNUMBER(SEARCH(Filter!$H$7,$I1712))),OR(Filter!$B$9="",ISNUMBER(SEARCH(Filter!$B$9,$F1712&amp;" "&amp;$G1712)))),COUNTIF($O$6:$O1711,"&gt;0")+1,0))</f>
        <v>0</v>
      </c>
    </row>
    <row r="1713" customFormat="false" ht="15" hidden="false" customHeight="true" outlineLevel="0" collapsed="false">
      <c r="O1713" s="1" t="n">
        <f aca="false">IF($B1713="",0,IF(AND(OR(Filter!$B$5="(alle)",$N1713=Filter!$B$5),OR(Filter!$E$5="(alle)",$K1713=Filter!$E$5),OR(Filter!$H$5="(alle)",$C1713=Filter!$H$5),OR(Filter!$B$7="(alle)",$E1713=Filter!$B$7),OR(Filter!$E$7="(alle)",ISNUMBER(SEARCH(Filter!$E$7,$J1713))),OR(Filter!$H$7="(alle)",ISNUMBER(SEARCH(Filter!$H$7,$I1713))),OR(Filter!$B$9="",ISNUMBER(SEARCH(Filter!$B$9,$F1713&amp;" "&amp;$G1713)))),COUNTIF($O$6:$O1712,"&gt;0")+1,0))</f>
        <v>0</v>
      </c>
    </row>
    <row r="1714" customFormat="false" ht="15" hidden="false" customHeight="true" outlineLevel="0" collapsed="false">
      <c r="O1714" s="1" t="n">
        <f aca="false">IF($B1714="",0,IF(AND(OR(Filter!$B$5="(alle)",$N1714=Filter!$B$5),OR(Filter!$E$5="(alle)",$K1714=Filter!$E$5),OR(Filter!$H$5="(alle)",$C1714=Filter!$H$5),OR(Filter!$B$7="(alle)",$E1714=Filter!$B$7),OR(Filter!$E$7="(alle)",ISNUMBER(SEARCH(Filter!$E$7,$J1714))),OR(Filter!$H$7="(alle)",ISNUMBER(SEARCH(Filter!$H$7,$I1714))),OR(Filter!$B$9="",ISNUMBER(SEARCH(Filter!$B$9,$F1714&amp;" "&amp;$G1714)))),COUNTIF($O$6:$O1713,"&gt;0")+1,0))</f>
        <v>0</v>
      </c>
    </row>
    <row r="1715" customFormat="false" ht="15" hidden="false" customHeight="true" outlineLevel="0" collapsed="false">
      <c r="O1715" s="1" t="n">
        <f aca="false">IF($B1715="",0,IF(AND(OR(Filter!$B$5="(alle)",$N1715=Filter!$B$5),OR(Filter!$E$5="(alle)",$K1715=Filter!$E$5),OR(Filter!$H$5="(alle)",$C1715=Filter!$H$5),OR(Filter!$B$7="(alle)",$E1715=Filter!$B$7),OR(Filter!$E$7="(alle)",ISNUMBER(SEARCH(Filter!$E$7,$J1715))),OR(Filter!$H$7="(alle)",ISNUMBER(SEARCH(Filter!$H$7,$I1715))),OR(Filter!$B$9="",ISNUMBER(SEARCH(Filter!$B$9,$F1715&amp;" "&amp;$G1715)))),COUNTIF($O$6:$O1714,"&gt;0")+1,0))</f>
        <v>0</v>
      </c>
    </row>
    <row r="1716" customFormat="false" ht="15" hidden="false" customHeight="true" outlineLevel="0" collapsed="false">
      <c r="O1716" s="1" t="n">
        <f aca="false">IF($B1716="",0,IF(AND(OR(Filter!$B$5="(alle)",$N1716=Filter!$B$5),OR(Filter!$E$5="(alle)",$K1716=Filter!$E$5),OR(Filter!$H$5="(alle)",$C1716=Filter!$H$5),OR(Filter!$B$7="(alle)",$E1716=Filter!$B$7),OR(Filter!$E$7="(alle)",ISNUMBER(SEARCH(Filter!$E$7,$J1716))),OR(Filter!$H$7="(alle)",ISNUMBER(SEARCH(Filter!$H$7,$I1716))),OR(Filter!$B$9="",ISNUMBER(SEARCH(Filter!$B$9,$F1716&amp;" "&amp;$G1716)))),COUNTIF($O$6:$O1715,"&gt;0")+1,0))</f>
        <v>0</v>
      </c>
    </row>
    <row r="1717" customFormat="false" ht="15" hidden="false" customHeight="true" outlineLevel="0" collapsed="false">
      <c r="O1717" s="1" t="n">
        <f aca="false">IF($B1717="",0,IF(AND(OR(Filter!$B$5="(alle)",$N1717=Filter!$B$5),OR(Filter!$E$5="(alle)",$K1717=Filter!$E$5),OR(Filter!$H$5="(alle)",$C1717=Filter!$H$5),OR(Filter!$B$7="(alle)",$E1717=Filter!$B$7),OR(Filter!$E$7="(alle)",ISNUMBER(SEARCH(Filter!$E$7,$J1717))),OR(Filter!$H$7="(alle)",ISNUMBER(SEARCH(Filter!$H$7,$I1717))),OR(Filter!$B$9="",ISNUMBER(SEARCH(Filter!$B$9,$F1717&amp;" "&amp;$G1717)))),COUNTIF($O$6:$O1716,"&gt;0")+1,0))</f>
        <v>0</v>
      </c>
    </row>
    <row r="1718" customFormat="false" ht="15" hidden="false" customHeight="true" outlineLevel="0" collapsed="false">
      <c r="O1718" s="1" t="n">
        <f aca="false">IF($B1718="",0,IF(AND(OR(Filter!$B$5="(alle)",$N1718=Filter!$B$5),OR(Filter!$E$5="(alle)",$K1718=Filter!$E$5),OR(Filter!$H$5="(alle)",$C1718=Filter!$H$5),OR(Filter!$B$7="(alle)",$E1718=Filter!$B$7),OR(Filter!$E$7="(alle)",ISNUMBER(SEARCH(Filter!$E$7,$J1718))),OR(Filter!$H$7="(alle)",ISNUMBER(SEARCH(Filter!$H$7,$I1718))),OR(Filter!$B$9="",ISNUMBER(SEARCH(Filter!$B$9,$F1718&amp;" "&amp;$G1718)))),COUNTIF($O$6:$O1717,"&gt;0")+1,0))</f>
        <v>0</v>
      </c>
    </row>
    <row r="1719" customFormat="false" ht="15" hidden="false" customHeight="true" outlineLevel="0" collapsed="false">
      <c r="O1719" s="1" t="n">
        <f aca="false">IF($B1719="",0,IF(AND(OR(Filter!$B$5="(alle)",$N1719=Filter!$B$5),OR(Filter!$E$5="(alle)",$K1719=Filter!$E$5),OR(Filter!$H$5="(alle)",$C1719=Filter!$H$5),OR(Filter!$B$7="(alle)",$E1719=Filter!$B$7),OR(Filter!$E$7="(alle)",ISNUMBER(SEARCH(Filter!$E$7,$J1719))),OR(Filter!$H$7="(alle)",ISNUMBER(SEARCH(Filter!$H$7,$I1719))),OR(Filter!$B$9="",ISNUMBER(SEARCH(Filter!$B$9,$F1719&amp;" "&amp;$G1719)))),COUNTIF($O$6:$O1718,"&gt;0")+1,0))</f>
        <v>0</v>
      </c>
    </row>
    <row r="1720" customFormat="false" ht="15" hidden="false" customHeight="true" outlineLevel="0" collapsed="false">
      <c r="O1720" s="1" t="n">
        <f aca="false">IF($B1720="",0,IF(AND(OR(Filter!$B$5="(alle)",$N1720=Filter!$B$5),OR(Filter!$E$5="(alle)",$K1720=Filter!$E$5),OR(Filter!$H$5="(alle)",$C1720=Filter!$H$5),OR(Filter!$B$7="(alle)",$E1720=Filter!$B$7),OR(Filter!$E$7="(alle)",ISNUMBER(SEARCH(Filter!$E$7,$J1720))),OR(Filter!$H$7="(alle)",ISNUMBER(SEARCH(Filter!$H$7,$I1720))),OR(Filter!$B$9="",ISNUMBER(SEARCH(Filter!$B$9,$F1720&amp;" "&amp;$G1720)))),COUNTIF($O$6:$O1719,"&gt;0")+1,0))</f>
        <v>0</v>
      </c>
    </row>
    <row r="1721" customFormat="false" ht="15" hidden="false" customHeight="true" outlineLevel="0" collapsed="false">
      <c r="O1721" s="1" t="n">
        <f aca="false">IF($B1721="",0,IF(AND(OR(Filter!$B$5="(alle)",$N1721=Filter!$B$5),OR(Filter!$E$5="(alle)",$K1721=Filter!$E$5),OR(Filter!$H$5="(alle)",$C1721=Filter!$H$5),OR(Filter!$B$7="(alle)",$E1721=Filter!$B$7),OR(Filter!$E$7="(alle)",ISNUMBER(SEARCH(Filter!$E$7,$J1721))),OR(Filter!$H$7="(alle)",ISNUMBER(SEARCH(Filter!$H$7,$I1721))),OR(Filter!$B$9="",ISNUMBER(SEARCH(Filter!$B$9,$F1721&amp;" "&amp;$G1721)))),COUNTIF($O$6:$O1720,"&gt;0")+1,0))</f>
        <v>0</v>
      </c>
    </row>
    <row r="1722" customFormat="false" ht="15" hidden="false" customHeight="true" outlineLevel="0" collapsed="false">
      <c r="O1722" s="1" t="n">
        <f aca="false">IF($B1722="",0,IF(AND(OR(Filter!$B$5="(alle)",$N1722=Filter!$B$5),OR(Filter!$E$5="(alle)",$K1722=Filter!$E$5),OR(Filter!$H$5="(alle)",$C1722=Filter!$H$5),OR(Filter!$B$7="(alle)",$E1722=Filter!$B$7),OR(Filter!$E$7="(alle)",ISNUMBER(SEARCH(Filter!$E$7,$J1722))),OR(Filter!$H$7="(alle)",ISNUMBER(SEARCH(Filter!$H$7,$I1722))),OR(Filter!$B$9="",ISNUMBER(SEARCH(Filter!$B$9,$F1722&amp;" "&amp;$G1722)))),COUNTIF($O$6:$O1721,"&gt;0")+1,0))</f>
        <v>0</v>
      </c>
    </row>
    <row r="1723" customFormat="false" ht="15" hidden="false" customHeight="true" outlineLevel="0" collapsed="false">
      <c r="O1723" s="1" t="n">
        <f aca="false">IF($B1723="",0,IF(AND(OR(Filter!$B$5="(alle)",$N1723=Filter!$B$5),OR(Filter!$E$5="(alle)",$K1723=Filter!$E$5),OR(Filter!$H$5="(alle)",$C1723=Filter!$H$5),OR(Filter!$B$7="(alle)",$E1723=Filter!$B$7),OR(Filter!$E$7="(alle)",ISNUMBER(SEARCH(Filter!$E$7,$J1723))),OR(Filter!$H$7="(alle)",ISNUMBER(SEARCH(Filter!$H$7,$I1723))),OR(Filter!$B$9="",ISNUMBER(SEARCH(Filter!$B$9,$F1723&amp;" "&amp;$G1723)))),COUNTIF($O$6:$O1722,"&gt;0")+1,0))</f>
        <v>0</v>
      </c>
    </row>
    <row r="1724" customFormat="false" ht="15" hidden="false" customHeight="true" outlineLevel="0" collapsed="false">
      <c r="O1724" s="1" t="n">
        <f aca="false">IF($B1724="",0,IF(AND(OR(Filter!$B$5="(alle)",$N1724=Filter!$B$5),OR(Filter!$E$5="(alle)",$K1724=Filter!$E$5),OR(Filter!$H$5="(alle)",$C1724=Filter!$H$5),OR(Filter!$B$7="(alle)",$E1724=Filter!$B$7),OR(Filter!$E$7="(alle)",ISNUMBER(SEARCH(Filter!$E$7,$J1724))),OR(Filter!$H$7="(alle)",ISNUMBER(SEARCH(Filter!$H$7,$I1724))),OR(Filter!$B$9="",ISNUMBER(SEARCH(Filter!$B$9,$F1724&amp;" "&amp;$G1724)))),COUNTIF($O$6:$O1723,"&gt;0")+1,0))</f>
        <v>0</v>
      </c>
    </row>
    <row r="1725" customFormat="false" ht="15" hidden="false" customHeight="true" outlineLevel="0" collapsed="false">
      <c r="O1725" s="1" t="n">
        <f aca="false">IF($B1725="",0,IF(AND(OR(Filter!$B$5="(alle)",$N1725=Filter!$B$5),OR(Filter!$E$5="(alle)",$K1725=Filter!$E$5),OR(Filter!$H$5="(alle)",$C1725=Filter!$H$5),OR(Filter!$B$7="(alle)",$E1725=Filter!$B$7),OR(Filter!$E$7="(alle)",ISNUMBER(SEARCH(Filter!$E$7,$J1725))),OR(Filter!$H$7="(alle)",ISNUMBER(SEARCH(Filter!$H$7,$I1725))),OR(Filter!$B$9="",ISNUMBER(SEARCH(Filter!$B$9,$F1725&amp;" "&amp;$G1725)))),COUNTIF($O$6:$O1724,"&gt;0")+1,0))</f>
        <v>0</v>
      </c>
    </row>
    <row r="1726" customFormat="false" ht="15" hidden="false" customHeight="true" outlineLevel="0" collapsed="false">
      <c r="O1726" s="1" t="n">
        <f aca="false">IF($B1726="",0,IF(AND(OR(Filter!$B$5="(alle)",$N1726=Filter!$B$5),OR(Filter!$E$5="(alle)",$K1726=Filter!$E$5),OR(Filter!$H$5="(alle)",$C1726=Filter!$H$5),OR(Filter!$B$7="(alle)",$E1726=Filter!$B$7),OR(Filter!$E$7="(alle)",ISNUMBER(SEARCH(Filter!$E$7,$J1726))),OR(Filter!$H$7="(alle)",ISNUMBER(SEARCH(Filter!$H$7,$I1726))),OR(Filter!$B$9="",ISNUMBER(SEARCH(Filter!$B$9,$F1726&amp;" "&amp;$G1726)))),COUNTIF($O$6:$O1725,"&gt;0")+1,0))</f>
        <v>0</v>
      </c>
    </row>
    <row r="1727" customFormat="false" ht="15" hidden="false" customHeight="true" outlineLevel="0" collapsed="false">
      <c r="O1727" s="1" t="n">
        <f aca="false">IF($B1727="",0,IF(AND(OR(Filter!$B$5="(alle)",$N1727=Filter!$B$5),OR(Filter!$E$5="(alle)",$K1727=Filter!$E$5),OR(Filter!$H$5="(alle)",$C1727=Filter!$H$5),OR(Filter!$B$7="(alle)",$E1727=Filter!$B$7),OR(Filter!$E$7="(alle)",ISNUMBER(SEARCH(Filter!$E$7,$J1727))),OR(Filter!$H$7="(alle)",ISNUMBER(SEARCH(Filter!$H$7,$I1727))),OR(Filter!$B$9="",ISNUMBER(SEARCH(Filter!$B$9,$F1727&amp;" "&amp;$G1727)))),COUNTIF($O$6:$O1726,"&gt;0")+1,0))</f>
        <v>0</v>
      </c>
    </row>
    <row r="1728" customFormat="false" ht="15" hidden="false" customHeight="true" outlineLevel="0" collapsed="false">
      <c r="O1728" s="1" t="n">
        <f aca="false">IF($B1728="",0,IF(AND(OR(Filter!$B$5="(alle)",$N1728=Filter!$B$5),OR(Filter!$E$5="(alle)",$K1728=Filter!$E$5),OR(Filter!$H$5="(alle)",$C1728=Filter!$H$5),OR(Filter!$B$7="(alle)",$E1728=Filter!$B$7),OR(Filter!$E$7="(alle)",ISNUMBER(SEARCH(Filter!$E$7,$J1728))),OR(Filter!$H$7="(alle)",ISNUMBER(SEARCH(Filter!$H$7,$I1728))),OR(Filter!$B$9="",ISNUMBER(SEARCH(Filter!$B$9,$F1728&amp;" "&amp;$G1728)))),COUNTIF($O$6:$O1727,"&gt;0")+1,0))</f>
        <v>0</v>
      </c>
    </row>
    <row r="1729" customFormat="false" ht="15" hidden="false" customHeight="true" outlineLevel="0" collapsed="false">
      <c r="O1729" s="1" t="n">
        <f aca="false">IF($B1729="",0,IF(AND(OR(Filter!$B$5="(alle)",$N1729=Filter!$B$5),OR(Filter!$E$5="(alle)",$K1729=Filter!$E$5),OR(Filter!$H$5="(alle)",$C1729=Filter!$H$5),OR(Filter!$B$7="(alle)",$E1729=Filter!$B$7),OR(Filter!$E$7="(alle)",ISNUMBER(SEARCH(Filter!$E$7,$J1729))),OR(Filter!$H$7="(alle)",ISNUMBER(SEARCH(Filter!$H$7,$I1729))),OR(Filter!$B$9="",ISNUMBER(SEARCH(Filter!$B$9,$F1729&amp;" "&amp;$G1729)))),COUNTIF($O$6:$O1728,"&gt;0")+1,0))</f>
        <v>0</v>
      </c>
    </row>
    <row r="1730" customFormat="false" ht="15" hidden="false" customHeight="true" outlineLevel="0" collapsed="false">
      <c r="O1730" s="1" t="n">
        <f aca="false">IF($B1730="",0,IF(AND(OR(Filter!$B$5="(alle)",$N1730=Filter!$B$5),OR(Filter!$E$5="(alle)",$K1730=Filter!$E$5),OR(Filter!$H$5="(alle)",$C1730=Filter!$H$5),OR(Filter!$B$7="(alle)",$E1730=Filter!$B$7),OR(Filter!$E$7="(alle)",ISNUMBER(SEARCH(Filter!$E$7,$J1730))),OR(Filter!$H$7="(alle)",ISNUMBER(SEARCH(Filter!$H$7,$I1730))),OR(Filter!$B$9="",ISNUMBER(SEARCH(Filter!$B$9,$F1730&amp;" "&amp;$G1730)))),COUNTIF($O$6:$O1729,"&gt;0")+1,0))</f>
        <v>0</v>
      </c>
    </row>
    <row r="1731" customFormat="false" ht="15" hidden="false" customHeight="true" outlineLevel="0" collapsed="false">
      <c r="O1731" s="1" t="n">
        <f aca="false">IF($B1731="",0,IF(AND(OR(Filter!$B$5="(alle)",$N1731=Filter!$B$5),OR(Filter!$E$5="(alle)",$K1731=Filter!$E$5),OR(Filter!$H$5="(alle)",$C1731=Filter!$H$5),OR(Filter!$B$7="(alle)",$E1731=Filter!$B$7),OR(Filter!$E$7="(alle)",ISNUMBER(SEARCH(Filter!$E$7,$J1731))),OR(Filter!$H$7="(alle)",ISNUMBER(SEARCH(Filter!$H$7,$I1731))),OR(Filter!$B$9="",ISNUMBER(SEARCH(Filter!$B$9,$F1731&amp;" "&amp;$G1731)))),COUNTIF($O$6:$O1730,"&gt;0")+1,0))</f>
        <v>0</v>
      </c>
    </row>
    <row r="1732" customFormat="false" ht="15" hidden="false" customHeight="true" outlineLevel="0" collapsed="false">
      <c r="O1732" s="1" t="n">
        <f aca="false">IF($B1732="",0,IF(AND(OR(Filter!$B$5="(alle)",$N1732=Filter!$B$5),OR(Filter!$E$5="(alle)",$K1732=Filter!$E$5),OR(Filter!$H$5="(alle)",$C1732=Filter!$H$5),OR(Filter!$B$7="(alle)",$E1732=Filter!$B$7),OR(Filter!$E$7="(alle)",ISNUMBER(SEARCH(Filter!$E$7,$J1732))),OR(Filter!$H$7="(alle)",ISNUMBER(SEARCH(Filter!$H$7,$I1732))),OR(Filter!$B$9="",ISNUMBER(SEARCH(Filter!$B$9,$F1732&amp;" "&amp;$G1732)))),COUNTIF($O$6:$O1731,"&gt;0")+1,0))</f>
        <v>0</v>
      </c>
    </row>
    <row r="1733" customFormat="false" ht="15" hidden="false" customHeight="true" outlineLevel="0" collapsed="false">
      <c r="O1733" s="1" t="n">
        <f aca="false">IF($B1733="",0,IF(AND(OR(Filter!$B$5="(alle)",$N1733=Filter!$B$5),OR(Filter!$E$5="(alle)",$K1733=Filter!$E$5),OR(Filter!$H$5="(alle)",$C1733=Filter!$H$5),OR(Filter!$B$7="(alle)",$E1733=Filter!$B$7),OR(Filter!$E$7="(alle)",ISNUMBER(SEARCH(Filter!$E$7,$J1733))),OR(Filter!$H$7="(alle)",ISNUMBER(SEARCH(Filter!$H$7,$I1733))),OR(Filter!$B$9="",ISNUMBER(SEARCH(Filter!$B$9,$F1733&amp;" "&amp;$G1733)))),COUNTIF($O$6:$O1732,"&gt;0")+1,0))</f>
        <v>0</v>
      </c>
    </row>
    <row r="1734" customFormat="false" ht="15" hidden="false" customHeight="true" outlineLevel="0" collapsed="false">
      <c r="O1734" s="1" t="n">
        <f aca="false">IF($B1734="",0,IF(AND(OR(Filter!$B$5="(alle)",$N1734=Filter!$B$5),OR(Filter!$E$5="(alle)",$K1734=Filter!$E$5),OR(Filter!$H$5="(alle)",$C1734=Filter!$H$5),OR(Filter!$B$7="(alle)",$E1734=Filter!$B$7),OR(Filter!$E$7="(alle)",ISNUMBER(SEARCH(Filter!$E$7,$J1734))),OR(Filter!$H$7="(alle)",ISNUMBER(SEARCH(Filter!$H$7,$I1734))),OR(Filter!$B$9="",ISNUMBER(SEARCH(Filter!$B$9,$F1734&amp;" "&amp;$G1734)))),COUNTIF($O$6:$O1733,"&gt;0")+1,0))</f>
        <v>0</v>
      </c>
    </row>
    <row r="1735" customFormat="false" ht="15" hidden="false" customHeight="true" outlineLevel="0" collapsed="false">
      <c r="O1735" s="1" t="n">
        <f aca="false">IF($B1735="",0,IF(AND(OR(Filter!$B$5="(alle)",$N1735=Filter!$B$5),OR(Filter!$E$5="(alle)",$K1735=Filter!$E$5),OR(Filter!$H$5="(alle)",$C1735=Filter!$H$5),OR(Filter!$B$7="(alle)",$E1735=Filter!$B$7),OR(Filter!$E$7="(alle)",ISNUMBER(SEARCH(Filter!$E$7,$J1735))),OR(Filter!$H$7="(alle)",ISNUMBER(SEARCH(Filter!$H$7,$I1735))),OR(Filter!$B$9="",ISNUMBER(SEARCH(Filter!$B$9,$F1735&amp;" "&amp;$G1735)))),COUNTIF($O$6:$O1734,"&gt;0")+1,0))</f>
        <v>0</v>
      </c>
    </row>
    <row r="1736" customFormat="false" ht="15" hidden="false" customHeight="true" outlineLevel="0" collapsed="false">
      <c r="O1736" s="1" t="n">
        <f aca="false">IF($B1736="",0,IF(AND(OR(Filter!$B$5="(alle)",$N1736=Filter!$B$5),OR(Filter!$E$5="(alle)",$K1736=Filter!$E$5),OR(Filter!$H$5="(alle)",$C1736=Filter!$H$5),OR(Filter!$B$7="(alle)",$E1736=Filter!$B$7),OR(Filter!$E$7="(alle)",ISNUMBER(SEARCH(Filter!$E$7,$J1736))),OR(Filter!$H$7="(alle)",ISNUMBER(SEARCH(Filter!$H$7,$I1736))),OR(Filter!$B$9="",ISNUMBER(SEARCH(Filter!$B$9,$F1736&amp;" "&amp;$G1736)))),COUNTIF($O$6:$O1735,"&gt;0")+1,0))</f>
        <v>0</v>
      </c>
    </row>
    <row r="1737" customFormat="false" ht="15" hidden="false" customHeight="true" outlineLevel="0" collapsed="false">
      <c r="O1737" s="1" t="n">
        <f aca="false">IF($B1737="",0,IF(AND(OR(Filter!$B$5="(alle)",$N1737=Filter!$B$5),OR(Filter!$E$5="(alle)",$K1737=Filter!$E$5),OR(Filter!$H$5="(alle)",$C1737=Filter!$H$5),OR(Filter!$B$7="(alle)",$E1737=Filter!$B$7),OR(Filter!$E$7="(alle)",ISNUMBER(SEARCH(Filter!$E$7,$J1737))),OR(Filter!$H$7="(alle)",ISNUMBER(SEARCH(Filter!$H$7,$I1737))),OR(Filter!$B$9="",ISNUMBER(SEARCH(Filter!$B$9,$F1737&amp;" "&amp;$G1737)))),COUNTIF($O$6:$O1736,"&gt;0")+1,0))</f>
        <v>0</v>
      </c>
    </row>
    <row r="1738" customFormat="false" ht="15" hidden="false" customHeight="true" outlineLevel="0" collapsed="false">
      <c r="O1738" s="1" t="n">
        <f aca="false">IF($B1738="",0,IF(AND(OR(Filter!$B$5="(alle)",$N1738=Filter!$B$5),OR(Filter!$E$5="(alle)",$K1738=Filter!$E$5),OR(Filter!$H$5="(alle)",$C1738=Filter!$H$5),OR(Filter!$B$7="(alle)",$E1738=Filter!$B$7),OR(Filter!$E$7="(alle)",ISNUMBER(SEARCH(Filter!$E$7,$J1738))),OR(Filter!$H$7="(alle)",ISNUMBER(SEARCH(Filter!$H$7,$I1738))),OR(Filter!$B$9="",ISNUMBER(SEARCH(Filter!$B$9,$F1738&amp;" "&amp;$G1738)))),COUNTIF($O$6:$O1737,"&gt;0")+1,0))</f>
        <v>0</v>
      </c>
    </row>
    <row r="1739" customFormat="false" ht="15" hidden="false" customHeight="true" outlineLevel="0" collapsed="false">
      <c r="O1739" s="1" t="n">
        <f aca="false">IF($B1739="",0,IF(AND(OR(Filter!$B$5="(alle)",$N1739=Filter!$B$5),OR(Filter!$E$5="(alle)",$K1739=Filter!$E$5),OR(Filter!$H$5="(alle)",$C1739=Filter!$H$5),OR(Filter!$B$7="(alle)",$E1739=Filter!$B$7),OR(Filter!$E$7="(alle)",ISNUMBER(SEARCH(Filter!$E$7,$J1739))),OR(Filter!$H$7="(alle)",ISNUMBER(SEARCH(Filter!$H$7,$I1739))),OR(Filter!$B$9="",ISNUMBER(SEARCH(Filter!$B$9,$F1739&amp;" "&amp;$G1739)))),COUNTIF($O$6:$O1738,"&gt;0")+1,0))</f>
        <v>0</v>
      </c>
    </row>
    <row r="1740" customFormat="false" ht="15" hidden="false" customHeight="true" outlineLevel="0" collapsed="false">
      <c r="O1740" s="1" t="n">
        <f aca="false">IF($B1740="",0,IF(AND(OR(Filter!$B$5="(alle)",$N1740=Filter!$B$5),OR(Filter!$E$5="(alle)",$K1740=Filter!$E$5),OR(Filter!$H$5="(alle)",$C1740=Filter!$H$5),OR(Filter!$B$7="(alle)",$E1740=Filter!$B$7),OR(Filter!$E$7="(alle)",ISNUMBER(SEARCH(Filter!$E$7,$J1740))),OR(Filter!$H$7="(alle)",ISNUMBER(SEARCH(Filter!$H$7,$I1740))),OR(Filter!$B$9="",ISNUMBER(SEARCH(Filter!$B$9,$F1740&amp;" "&amp;$G1740)))),COUNTIF($O$6:$O1739,"&gt;0")+1,0))</f>
        <v>0</v>
      </c>
    </row>
    <row r="1741" customFormat="false" ht="15" hidden="false" customHeight="true" outlineLevel="0" collapsed="false">
      <c r="O1741" s="1" t="n">
        <f aca="false">IF($B1741="",0,IF(AND(OR(Filter!$B$5="(alle)",$N1741=Filter!$B$5),OR(Filter!$E$5="(alle)",$K1741=Filter!$E$5),OR(Filter!$H$5="(alle)",$C1741=Filter!$H$5),OR(Filter!$B$7="(alle)",$E1741=Filter!$B$7),OR(Filter!$E$7="(alle)",ISNUMBER(SEARCH(Filter!$E$7,$J1741))),OR(Filter!$H$7="(alle)",ISNUMBER(SEARCH(Filter!$H$7,$I1741))),OR(Filter!$B$9="",ISNUMBER(SEARCH(Filter!$B$9,$F1741&amp;" "&amp;$G1741)))),COUNTIF($O$6:$O1740,"&gt;0")+1,0))</f>
        <v>0</v>
      </c>
    </row>
    <row r="1742" customFormat="false" ht="15" hidden="false" customHeight="true" outlineLevel="0" collapsed="false">
      <c r="O1742" s="1" t="n">
        <f aca="false">IF($B1742="",0,IF(AND(OR(Filter!$B$5="(alle)",$N1742=Filter!$B$5),OR(Filter!$E$5="(alle)",$K1742=Filter!$E$5),OR(Filter!$H$5="(alle)",$C1742=Filter!$H$5),OR(Filter!$B$7="(alle)",$E1742=Filter!$B$7),OR(Filter!$E$7="(alle)",ISNUMBER(SEARCH(Filter!$E$7,$J1742))),OR(Filter!$H$7="(alle)",ISNUMBER(SEARCH(Filter!$H$7,$I1742))),OR(Filter!$B$9="",ISNUMBER(SEARCH(Filter!$B$9,$F1742&amp;" "&amp;$G1742)))),COUNTIF($O$6:$O1741,"&gt;0")+1,0))</f>
        <v>0</v>
      </c>
    </row>
    <row r="1743" customFormat="false" ht="15" hidden="false" customHeight="true" outlineLevel="0" collapsed="false">
      <c r="O1743" s="1" t="n">
        <f aca="false">IF($B1743="",0,IF(AND(OR(Filter!$B$5="(alle)",$N1743=Filter!$B$5),OR(Filter!$E$5="(alle)",$K1743=Filter!$E$5),OR(Filter!$H$5="(alle)",$C1743=Filter!$H$5),OR(Filter!$B$7="(alle)",$E1743=Filter!$B$7),OR(Filter!$E$7="(alle)",ISNUMBER(SEARCH(Filter!$E$7,$J1743))),OR(Filter!$H$7="(alle)",ISNUMBER(SEARCH(Filter!$H$7,$I1743))),OR(Filter!$B$9="",ISNUMBER(SEARCH(Filter!$B$9,$F1743&amp;" "&amp;$G1743)))),COUNTIF($O$6:$O1742,"&gt;0")+1,0))</f>
        <v>0</v>
      </c>
    </row>
    <row r="1744" customFormat="false" ht="15" hidden="false" customHeight="true" outlineLevel="0" collapsed="false">
      <c r="O1744" s="1" t="n">
        <f aca="false">IF($B1744="",0,IF(AND(OR(Filter!$B$5="(alle)",$N1744=Filter!$B$5),OR(Filter!$E$5="(alle)",$K1744=Filter!$E$5),OR(Filter!$H$5="(alle)",$C1744=Filter!$H$5),OR(Filter!$B$7="(alle)",$E1744=Filter!$B$7),OR(Filter!$E$7="(alle)",ISNUMBER(SEARCH(Filter!$E$7,$J1744))),OR(Filter!$H$7="(alle)",ISNUMBER(SEARCH(Filter!$H$7,$I1744))),OR(Filter!$B$9="",ISNUMBER(SEARCH(Filter!$B$9,$F1744&amp;" "&amp;$G1744)))),COUNTIF($O$6:$O1743,"&gt;0")+1,0))</f>
        <v>0</v>
      </c>
    </row>
    <row r="1745" customFormat="false" ht="15" hidden="false" customHeight="true" outlineLevel="0" collapsed="false">
      <c r="O1745" s="1" t="n">
        <f aca="false">IF($B1745="",0,IF(AND(OR(Filter!$B$5="(alle)",$N1745=Filter!$B$5),OR(Filter!$E$5="(alle)",$K1745=Filter!$E$5),OR(Filter!$H$5="(alle)",$C1745=Filter!$H$5),OR(Filter!$B$7="(alle)",$E1745=Filter!$B$7),OR(Filter!$E$7="(alle)",ISNUMBER(SEARCH(Filter!$E$7,$J1745))),OR(Filter!$H$7="(alle)",ISNUMBER(SEARCH(Filter!$H$7,$I1745))),OR(Filter!$B$9="",ISNUMBER(SEARCH(Filter!$B$9,$F1745&amp;" "&amp;$G1745)))),COUNTIF($O$6:$O1744,"&gt;0")+1,0))</f>
        <v>0</v>
      </c>
    </row>
    <row r="1746" customFormat="false" ht="15" hidden="false" customHeight="true" outlineLevel="0" collapsed="false">
      <c r="O1746" s="1" t="n">
        <f aca="false">IF($B1746="",0,IF(AND(OR(Filter!$B$5="(alle)",$N1746=Filter!$B$5),OR(Filter!$E$5="(alle)",$K1746=Filter!$E$5),OR(Filter!$H$5="(alle)",$C1746=Filter!$H$5),OR(Filter!$B$7="(alle)",$E1746=Filter!$B$7),OR(Filter!$E$7="(alle)",ISNUMBER(SEARCH(Filter!$E$7,$J1746))),OR(Filter!$H$7="(alle)",ISNUMBER(SEARCH(Filter!$H$7,$I1746))),OR(Filter!$B$9="",ISNUMBER(SEARCH(Filter!$B$9,$F1746&amp;" "&amp;$G1746)))),COUNTIF($O$6:$O1745,"&gt;0")+1,0))</f>
        <v>0</v>
      </c>
    </row>
    <row r="1747" customFormat="false" ht="15" hidden="false" customHeight="true" outlineLevel="0" collapsed="false">
      <c r="O1747" s="1" t="n">
        <f aca="false">IF($B1747="",0,IF(AND(OR(Filter!$B$5="(alle)",$N1747=Filter!$B$5),OR(Filter!$E$5="(alle)",$K1747=Filter!$E$5),OR(Filter!$H$5="(alle)",$C1747=Filter!$H$5),OR(Filter!$B$7="(alle)",$E1747=Filter!$B$7),OR(Filter!$E$7="(alle)",ISNUMBER(SEARCH(Filter!$E$7,$J1747))),OR(Filter!$H$7="(alle)",ISNUMBER(SEARCH(Filter!$H$7,$I1747))),OR(Filter!$B$9="",ISNUMBER(SEARCH(Filter!$B$9,$F1747&amp;" "&amp;$G1747)))),COUNTIF($O$6:$O1746,"&gt;0")+1,0))</f>
        <v>0</v>
      </c>
    </row>
    <row r="1748" customFormat="false" ht="15" hidden="false" customHeight="true" outlineLevel="0" collapsed="false">
      <c r="O1748" s="1" t="n">
        <f aca="false">IF($B1748="",0,IF(AND(OR(Filter!$B$5="(alle)",$N1748=Filter!$B$5),OR(Filter!$E$5="(alle)",$K1748=Filter!$E$5),OR(Filter!$H$5="(alle)",$C1748=Filter!$H$5),OR(Filter!$B$7="(alle)",$E1748=Filter!$B$7),OR(Filter!$E$7="(alle)",ISNUMBER(SEARCH(Filter!$E$7,$J1748))),OR(Filter!$H$7="(alle)",ISNUMBER(SEARCH(Filter!$H$7,$I1748))),OR(Filter!$B$9="",ISNUMBER(SEARCH(Filter!$B$9,$F1748&amp;" "&amp;$G1748)))),COUNTIF($O$6:$O1747,"&gt;0")+1,0))</f>
        <v>0</v>
      </c>
    </row>
    <row r="1749" customFormat="false" ht="15" hidden="false" customHeight="true" outlineLevel="0" collapsed="false">
      <c r="O1749" s="1" t="n">
        <f aca="false">IF($B1749="",0,IF(AND(OR(Filter!$B$5="(alle)",$N1749=Filter!$B$5),OR(Filter!$E$5="(alle)",$K1749=Filter!$E$5),OR(Filter!$H$5="(alle)",$C1749=Filter!$H$5),OR(Filter!$B$7="(alle)",$E1749=Filter!$B$7),OR(Filter!$E$7="(alle)",ISNUMBER(SEARCH(Filter!$E$7,$J1749))),OR(Filter!$H$7="(alle)",ISNUMBER(SEARCH(Filter!$H$7,$I1749))),OR(Filter!$B$9="",ISNUMBER(SEARCH(Filter!$B$9,$F1749&amp;" "&amp;$G1749)))),COUNTIF($O$6:$O1748,"&gt;0")+1,0))</f>
        <v>0</v>
      </c>
    </row>
    <row r="1750" customFormat="false" ht="15" hidden="false" customHeight="true" outlineLevel="0" collapsed="false">
      <c r="O1750" s="1" t="n">
        <f aca="false">IF($B1750="",0,IF(AND(OR(Filter!$B$5="(alle)",$N1750=Filter!$B$5),OR(Filter!$E$5="(alle)",$K1750=Filter!$E$5),OR(Filter!$H$5="(alle)",$C1750=Filter!$H$5),OR(Filter!$B$7="(alle)",$E1750=Filter!$B$7),OR(Filter!$E$7="(alle)",ISNUMBER(SEARCH(Filter!$E$7,$J1750))),OR(Filter!$H$7="(alle)",ISNUMBER(SEARCH(Filter!$H$7,$I1750))),OR(Filter!$B$9="",ISNUMBER(SEARCH(Filter!$B$9,$F1750&amp;" "&amp;$G1750)))),COUNTIF($O$6:$O1749,"&gt;0")+1,0))</f>
        <v>0</v>
      </c>
    </row>
    <row r="1751" customFormat="false" ht="15" hidden="false" customHeight="true" outlineLevel="0" collapsed="false">
      <c r="O1751" s="1" t="n">
        <f aca="false">IF($B1751="",0,IF(AND(OR(Filter!$B$5="(alle)",$N1751=Filter!$B$5),OR(Filter!$E$5="(alle)",$K1751=Filter!$E$5),OR(Filter!$H$5="(alle)",$C1751=Filter!$H$5),OR(Filter!$B$7="(alle)",$E1751=Filter!$B$7),OR(Filter!$E$7="(alle)",ISNUMBER(SEARCH(Filter!$E$7,$J1751))),OR(Filter!$H$7="(alle)",ISNUMBER(SEARCH(Filter!$H$7,$I1751))),OR(Filter!$B$9="",ISNUMBER(SEARCH(Filter!$B$9,$F1751&amp;" "&amp;$G1751)))),COUNTIF($O$6:$O1750,"&gt;0")+1,0))</f>
        <v>0</v>
      </c>
    </row>
    <row r="1752" customFormat="false" ht="15" hidden="false" customHeight="true" outlineLevel="0" collapsed="false">
      <c r="O1752" s="1" t="n">
        <f aca="false">IF($B1752="",0,IF(AND(OR(Filter!$B$5="(alle)",$N1752=Filter!$B$5),OR(Filter!$E$5="(alle)",$K1752=Filter!$E$5),OR(Filter!$H$5="(alle)",$C1752=Filter!$H$5),OR(Filter!$B$7="(alle)",$E1752=Filter!$B$7),OR(Filter!$E$7="(alle)",ISNUMBER(SEARCH(Filter!$E$7,$J1752))),OR(Filter!$H$7="(alle)",ISNUMBER(SEARCH(Filter!$H$7,$I1752))),OR(Filter!$B$9="",ISNUMBER(SEARCH(Filter!$B$9,$F1752&amp;" "&amp;$G1752)))),COUNTIF($O$6:$O1751,"&gt;0")+1,0))</f>
        <v>0</v>
      </c>
    </row>
    <row r="1753" customFormat="false" ht="15" hidden="false" customHeight="true" outlineLevel="0" collapsed="false">
      <c r="O1753" s="1" t="n">
        <f aca="false">IF($B1753="",0,IF(AND(OR(Filter!$B$5="(alle)",$N1753=Filter!$B$5),OR(Filter!$E$5="(alle)",$K1753=Filter!$E$5),OR(Filter!$H$5="(alle)",$C1753=Filter!$H$5),OR(Filter!$B$7="(alle)",$E1753=Filter!$B$7),OR(Filter!$E$7="(alle)",ISNUMBER(SEARCH(Filter!$E$7,$J1753))),OR(Filter!$H$7="(alle)",ISNUMBER(SEARCH(Filter!$H$7,$I1753))),OR(Filter!$B$9="",ISNUMBER(SEARCH(Filter!$B$9,$F1753&amp;" "&amp;$G1753)))),COUNTIF($O$6:$O1752,"&gt;0")+1,0))</f>
        <v>0</v>
      </c>
    </row>
    <row r="1754" customFormat="false" ht="15" hidden="false" customHeight="true" outlineLevel="0" collapsed="false">
      <c r="O1754" s="1" t="n">
        <f aca="false">IF($B1754="",0,IF(AND(OR(Filter!$B$5="(alle)",$N1754=Filter!$B$5),OR(Filter!$E$5="(alle)",$K1754=Filter!$E$5),OR(Filter!$H$5="(alle)",$C1754=Filter!$H$5),OR(Filter!$B$7="(alle)",$E1754=Filter!$B$7),OR(Filter!$E$7="(alle)",ISNUMBER(SEARCH(Filter!$E$7,$J1754))),OR(Filter!$H$7="(alle)",ISNUMBER(SEARCH(Filter!$H$7,$I1754))),OR(Filter!$B$9="",ISNUMBER(SEARCH(Filter!$B$9,$F1754&amp;" "&amp;$G1754)))),COUNTIF($O$6:$O1753,"&gt;0")+1,0))</f>
        <v>0</v>
      </c>
    </row>
    <row r="1755" customFormat="false" ht="15" hidden="false" customHeight="true" outlineLevel="0" collapsed="false">
      <c r="O1755" s="1" t="n">
        <f aca="false">IF($B1755="",0,IF(AND(OR(Filter!$B$5="(alle)",$N1755=Filter!$B$5),OR(Filter!$E$5="(alle)",$K1755=Filter!$E$5),OR(Filter!$H$5="(alle)",$C1755=Filter!$H$5),OR(Filter!$B$7="(alle)",$E1755=Filter!$B$7),OR(Filter!$E$7="(alle)",ISNUMBER(SEARCH(Filter!$E$7,$J1755))),OR(Filter!$H$7="(alle)",ISNUMBER(SEARCH(Filter!$H$7,$I1755))),OR(Filter!$B$9="",ISNUMBER(SEARCH(Filter!$B$9,$F1755&amp;" "&amp;$G1755)))),COUNTIF($O$6:$O1754,"&gt;0")+1,0))</f>
        <v>0</v>
      </c>
    </row>
    <row r="1756" customFormat="false" ht="15" hidden="false" customHeight="true" outlineLevel="0" collapsed="false">
      <c r="O1756" s="1" t="n">
        <f aca="false">IF($B1756="",0,IF(AND(OR(Filter!$B$5="(alle)",$N1756=Filter!$B$5),OR(Filter!$E$5="(alle)",$K1756=Filter!$E$5),OR(Filter!$H$5="(alle)",$C1756=Filter!$H$5),OR(Filter!$B$7="(alle)",$E1756=Filter!$B$7),OR(Filter!$E$7="(alle)",ISNUMBER(SEARCH(Filter!$E$7,$J1756))),OR(Filter!$H$7="(alle)",ISNUMBER(SEARCH(Filter!$H$7,$I1756))),OR(Filter!$B$9="",ISNUMBER(SEARCH(Filter!$B$9,$F1756&amp;" "&amp;$G1756)))),COUNTIF($O$6:$O1755,"&gt;0")+1,0))</f>
        <v>0</v>
      </c>
    </row>
    <row r="1757" customFormat="false" ht="15" hidden="false" customHeight="true" outlineLevel="0" collapsed="false">
      <c r="O1757" s="1" t="n">
        <f aca="false">IF($B1757="",0,IF(AND(OR(Filter!$B$5="(alle)",$N1757=Filter!$B$5),OR(Filter!$E$5="(alle)",$K1757=Filter!$E$5),OR(Filter!$H$5="(alle)",$C1757=Filter!$H$5),OR(Filter!$B$7="(alle)",$E1757=Filter!$B$7),OR(Filter!$E$7="(alle)",ISNUMBER(SEARCH(Filter!$E$7,$J1757))),OR(Filter!$H$7="(alle)",ISNUMBER(SEARCH(Filter!$H$7,$I1757))),OR(Filter!$B$9="",ISNUMBER(SEARCH(Filter!$B$9,$F1757&amp;" "&amp;$G1757)))),COUNTIF($O$6:$O1756,"&gt;0")+1,0))</f>
        <v>0</v>
      </c>
    </row>
    <row r="1758" customFormat="false" ht="15" hidden="false" customHeight="true" outlineLevel="0" collapsed="false">
      <c r="O1758" s="1" t="n">
        <f aca="false">IF($B1758="",0,IF(AND(OR(Filter!$B$5="(alle)",$N1758=Filter!$B$5),OR(Filter!$E$5="(alle)",$K1758=Filter!$E$5),OR(Filter!$H$5="(alle)",$C1758=Filter!$H$5),OR(Filter!$B$7="(alle)",$E1758=Filter!$B$7),OR(Filter!$E$7="(alle)",ISNUMBER(SEARCH(Filter!$E$7,$J1758))),OR(Filter!$H$7="(alle)",ISNUMBER(SEARCH(Filter!$H$7,$I1758))),OR(Filter!$B$9="",ISNUMBER(SEARCH(Filter!$B$9,$F1758&amp;" "&amp;$G1758)))),COUNTIF($O$6:$O1757,"&gt;0")+1,0))</f>
        <v>0</v>
      </c>
    </row>
    <row r="1759" customFormat="false" ht="15" hidden="false" customHeight="true" outlineLevel="0" collapsed="false">
      <c r="O1759" s="1" t="n">
        <f aca="false">IF($B1759="",0,IF(AND(OR(Filter!$B$5="(alle)",$N1759=Filter!$B$5),OR(Filter!$E$5="(alle)",$K1759=Filter!$E$5),OR(Filter!$H$5="(alle)",$C1759=Filter!$H$5),OR(Filter!$B$7="(alle)",$E1759=Filter!$B$7),OR(Filter!$E$7="(alle)",ISNUMBER(SEARCH(Filter!$E$7,$J1759))),OR(Filter!$H$7="(alle)",ISNUMBER(SEARCH(Filter!$H$7,$I1759))),OR(Filter!$B$9="",ISNUMBER(SEARCH(Filter!$B$9,$F1759&amp;" "&amp;$G1759)))),COUNTIF($O$6:$O1758,"&gt;0")+1,0))</f>
        <v>0</v>
      </c>
    </row>
    <row r="1760" customFormat="false" ht="15" hidden="false" customHeight="true" outlineLevel="0" collapsed="false">
      <c r="O1760" s="1" t="n">
        <f aca="false">IF($B1760="",0,IF(AND(OR(Filter!$B$5="(alle)",$N1760=Filter!$B$5),OR(Filter!$E$5="(alle)",$K1760=Filter!$E$5),OR(Filter!$H$5="(alle)",$C1760=Filter!$H$5),OR(Filter!$B$7="(alle)",$E1760=Filter!$B$7),OR(Filter!$E$7="(alle)",ISNUMBER(SEARCH(Filter!$E$7,$J1760))),OR(Filter!$H$7="(alle)",ISNUMBER(SEARCH(Filter!$H$7,$I1760))),OR(Filter!$B$9="",ISNUMBER(SEARCH(Filter!$B$9,$F1760&amp;" "&amp;$G1760)))),COUNTIF($O$6:$O1759,"&gt;0")+1,0))</f>
        <v>0</v>
      </c>
    </row>
    <row r="1761" customFormat="false" ht="15" hidden="false" customHeight="true" outlineLevel="0" collapsed="false">
      <c r="O1761" s="1" t="n">
        <f aca="false">IF($B1761="",0,IF(AND(OR(Filter!$B$5="(alle)",$N1761=Filter!$B$5),OR(Filter!$E$5="(alle)",$K1761=Filter!$E$5),OR(Filter!$H$5="(alle)",$C1761=Filter!$H$5),OR(Filter!$B$7="(alle)",$E1761=Filter!$B$7),OR(Filter!$E$7="(alle)",ISNUMBER(SEARCH(Filter!$E$7,$J1761))),OR(Filter!$H$7="(alle)",ISNUMBER(SEARCH(Filter!$H$7,$I1761))),OR(Filter!$B$9="",ISNUMBER(SEARCH(Filter!$B$9,$F1761&amp;" "&amp;$G1761)))),COUNTIF($O$6:$O1760,"&gt;0")+1,0))</f>
        <v>0</v>
      </c>
    </row>
    <row r="1762" customFormat="false" ht="15" hidden="false" customHeight="true" outlineLevel="0" collapsed="false">
      <c r="O1762" s="1" t="n">
        <f aca="false">IF($B1762="",0,IF(AND(OR(Filter!$B$5="(alle)",$N1762=Filter!$B$5),OR(Filter!$E$5="(alle)",$K1762=Filter!$E$5),OR(Filter!$H$5="(alle)",$C1762=Filter!$H$5),OR(Filter!$B$7="(alle)",$E1762=Filter!$B$7),OR(Filter!$E$7="(alle)",ISNUMBER(SEARCH(Filter!$E$7,$J1762))),OR(Filter!$H$7="(alle)",ISNUMBER(SEARCH(Filter!$H$7,$I1762))),OR(Filter!$B$9="",ISNUMBER(SEARCH(Filter!$B$9,$F1762&amp;" "&amp;$G1762)))),COUNTIF($O$6:$O1761,"&gt;0")+1,0))</f>
        <v>0</v>
      </c>
    </row>
    <row r="1763" customFormat="false" ht="15" hidden="false" customHeight="true" outlineLevel="0" collapsed="false">
      <c r="O1763" s="1" t="n">
        <f aca="false">IF($B1763="",0,IF(AND(OR(Filter!$B$5="(alle)",$N1763=Filter!$B$5),OR(Filter!$E$5="(alle)",$K1763=Filter!$E$5),OR(Filter!$H$5="(alle)",$C1763=Filter!$H$5),OR(Filter!$B$7="(alle)",$E1763=Filter!$B$7),OR(Filter!$E$7="(alle)",ISNUMBER(SEARCH(Filter!$E$7,$J1763))),OR(Filter!$H$7="(alle)",ISNUMBER(SEARCH(Filter!$H$7,$I1763))),OR(Filter!$B$9="",ISNUMBER(SEARCH(Filter!$B$9,$F1763&amp;" "&amp;$G1763)))),COUNTIF($O$6:$O1762,"&gt;0")+1,0))</f>
        <v>0</v>
      </c>
    </row>
    <row r="1764" customFormat="false" ht="15" hidden="false" customHeight="true" outlineLevel="0" collapsed="false">
      <c r="O1764" s="1" t="n">
        <f aca="false">IF($B1764="",0,IF(AND(OR(Filter!$B$5="(alle)",$N1764=Filter!$B$5),OR(Filter!$E$5="(alle)",$K1764=Filter!$E$5),OR(Filter!$H$5="(alle)",$C1764=Filter!$H$5),OR(Filter!$B$7="(alle)",$E1764=Filter!$B$7),OR(Filter!$E$7="(alle)",ISNUMBER(SEARCH(Filter!$E$7,$J1764))),OR(Filter!$H$7="(alle)",ISNUMBER(SEARCH(Filter!$H$7,$I1764))),OR(Filter!$B$9="",ISNUMBER(SEARCH(Filter!$B$9,$F1764&amp;" "&amp;$G1764)))),COUNTIF($O$6:$O1763,"&gt;0")+1,0))</f>
        <v>0</v>
      </c>
    </row>
    <row r="1765" customFormat="false" ht="15" hidden="false" customHeight="true" outlineLevel="0" collapsed="false">
      <c r="O1765" s="1" t="n">
        <f aca="false">IF($B1765="",0,IF(AND(OR(Filter!$B$5="(alle)",$N1765=Filter!$B$5),OR(Filter!$E$5="(alle)",$K1765=Filter!$E$5),OR(Filter!$H$5="(alle)",$C1765=Filter!$H$5),OR(Filter!$B$7="(alle)",$E1765=Filter!$B$7),OR(Filter!$E$7="(alle)",ISNUMBER(SEARCH(Filter!$E$7,$J1765))),OR(Filter!$H$7="(alle)",ISNUMBER(SEARCH(Filter!$H$7,$I1765))),OR(Filter!$B$9="",ISNUMBER(SEARCH(Filter!$B$9,$F1765&amp;" "&amp;$G1765)))),COUNTIF($O$6:$O1764,"&gt;0")+1,0))</f>
        <v>0</v>
      </c>
    </row>
    <row r="1766" customFormat="false" ht="15" hidden="false" customHeight="true" outlineLevel="0" collapsed="false">
      <c r="O1766" s="1" t="n">
        <f aca="false">IF($B1766="",0,IF(AND(OR(Filter!$B$5="(alle)",$N1766=Filter!$B$5),OR(Filter!$E$5="(alle)",$K1766=Filter!$E$5),OR(Filter!$H$5="(alle)",$C1766=Filter!$H$5),OR(Filter!$B$7="(alle)",$E1766=Filter!$B$7),OR(Filter!$E$7="(alle)",ISNUMBER(SEARCH(Filter!$E$7,$J1766))),OR(Filter!$H$7="(alle)",ISNUMBER(SEARCH(Filter!$H$7,$I1766))),OR(Filter!$B$9="",ISNUMBER(SEARCH(Filter!$B$9,$F1766&amp;" "&amp;$G1766)))),COUNTIF($O$6:$O1765,"&gt;0")+1,0))</f>
        <v>0</v>
      </c>
    </row>
    <row r="1767" customFormat="false" ht="15" hidden="false" customHeight="true" outlineLevel="0" collapsed="false">
      <c r="O1767" s="1" t="n">
        <f aca="false">IF($B1767="",0,IF(AND(OR(Filter!$B$5="(alle)",$N1767=Filter!$B$5),OR(Filter!$E$5="(alle)",$K1767=Filter!$E$5),OR(Filter!$H$5="(alle)",$C1767=Filter!$H$5),OR(Filter!$B$7="(alle)",$E1767=Filter!$B$7),OR(Filter!$E$7="(alle)",ISNUMBER(SEARCH(Filter!$E$7,$J1767))),OR(Filter!$H$7="(alle)",ISNUMBER(SEARCH(Filter!$H$7,$I1767))),OR(Filter!$B$9="",ISNUMBER(SEARCH(Filter!$B$9,$F1767&amp;" "&amp;$G1767)))),COUNTIF($O$6:$O1766,"&gt;0")+1,0))</f>
        <v>0</v>
      </c>
    </row>
    <row r="1768" customFormat="false" ht="15" hidden="false" customHeight="true" outlineLevel="0" collapsed="false">
      <c r="O1768" s="1" t="n">
        <f aca="false">IF($B1768="",0,IF(AND(OR(Filter!$B$5="(alle)",$N1768=Filter!$B$5),OR(Filter!$E$5="(alle)",$K1768=Filter!$E$5),OR(Filter!$H$5="(alle)",$C1768=Filter!$H$5),OR(Filter!$B$7="(alle)",$E1768=Filter!$B$7),OR(Filter!$E$7="(alle)",ISNUMBER(SEARCH(Filter!$E$7,$J1768))),OR(Filter!$H$7="(alle)",ISNUMBER(SEARCH(Filter!$H$7,$I1768))),OR(Filter!$B$9="",ISNUMBER(SEARCH(Filter!$B$9,$F1768&amp;" "&amp;$G1768)))),COUNTIF($O$6:$O1767,"&gt;0")+1,0))</f>
        <v>0</v>
      </c>
    </row>
    <row r="1769" customFormat="false" ht="15" hidden="false" customHeight="true" outlineLevel="0" collapsed="false">
      <c r="O1769" s="1" t="n">
        <f aca="false">IF($B1769="",0,IF(AND(OR(Filter!$B$5="(alle)",$N1769=Filter!$B$5),OR(Filter!$E$5="(alle)",$K1769=Filter!$E$5),OR(Filter!$H$5="(alle)",$C1769=Filter!$H$5),OR(Filter!$B$7="(alle)",$E1769=Filter!$B$7),OR(Filter!$E$7="(alle)",ISNUMBER(SEARCH(Filter!$E$7,$J1769))),OR(Filter!$H$7="(alle)",ISNUMBER(SEARCH(Filter!$H$7,$I1769))),OR(Filter!$B$9="",ISNUMBER(SEARCH(Filter!$B$9,$F1769&amp;" "&amp;$G1769)))),COUNTIF($O$6:$O1768,"&gt;0")+1,0))</f>
        <v>0</v>
      </c>
    </row>
    <row r="1770" customFormat="false" ht="15" hidden="false" customHeight="true" outlineLevel="0" collapsed="false">
      <c r="O1770" s="1" t="n">
        <f aca="false">IF($B1770="",0,IF(AND(OR(Filter!$B$5="(alle)",$N1770=Filter!$B$5),OR(Filter!$E$5="(alle)",$K1770=Filter!$E$5),OR(Filter!$H$5="(alle)",$C1770=Filter!$H$5),OR(Filter!$B$7="(alle)",$E1770=Filter!$B$7),OR(Filter!$E$7="(alle)",ISNUMBER(SEARCH(Filter!$E$7,$J1770))),OR(Filter!$H$7="(alle)",ISNUMBER(SEARCH(Filter!$H$7,$I1770))),OR(Filter!$B$9="",ISNUMBER(SEARCH(Filter!$B$9,$F1770&amp;" "&amp;$G1770)))),COUNTIF($O$6:$O1769,"&gt;0")+1,0))</f>
        <v>0</v>
      </c>
    </row>
    <row r="1771" customFormat="false" ht="15" hidden="false" customHeight="true" outlineLevel="0" collapsed="false">
      <c r="O1771" s="1" t="n">
        <f aca="false">IF($B1771="",0,IF(AND(OR(Filter!$B$5="(alle)",$N1771=Filter!$B$5),OR(Filter!$E$5="(alle)",$K1771=Filter!$E$5),OR(Filter!$H$5="(alle)",$C1771=Filter!$H$5),OR(Filter!$B$7="(alle)",$E1771=Filter!$B$7),OR(Filter!$E$7="(alle)",ISNUMBER(SEARCH(Filter!$E$7,$J1771))),OR(Filter!$H$7="(alle)",ISNUMBER(SEARCH(Filter!$H$7,$I1771))),OR(Filter!$B$9="",ISNUMBER(SEARCH(Filter!$B$9,$F1771&amp;" "&amp;$G1771)))),COUNTIF($O$6:$O1770,"&gt;0")+1,0))</f>
        <v>0</v>
      </c>
    </row>
    <row r="1772" customFormat="false" ht="15" hidden="false" customHeight="true" outlineLevel="0" collapsed="false">
      <c r="O1772" s="1" t="n">
        <f aca="false">IF($B1772="",0,IF(AND(OR(Filter!$B$5="(alle)",$N1772=Filter!$B$5),OR(Filter!$E$5="(alle)",$K1772=Filter!$E$5),OR(Filter!$H$5="(alle)",$C1772=Filter!$H$5),OR(Filter!$B$7="(alle)",$E1772=Filter!$B$7),OR(Filter!$E$7="(alle)",ISNUMBER(SEARCH(Filter!$E$7,$J1772))),OR(Filter!$H$7="(alle)",ISNUMBER(SEARCH(Filter!$H$7,$I1772))),OR(Filter!$B$9="",ISNUMBER(SEARCH(Filter!$B$9,$F1772&amp;" "&amp;$G1772)))),COUNTIF($O$6:$O1771,"&gt;0")+1,0))</f>
        <v>0</v>
      </c>
    </row>
    <row r="1773" customFormat="false" ht="15" hidden="false" customHeight="true" outlineLevel="0" collapsed="false">
      <c r="O1773" s="1" t="n">
        <f aca="false">IF($B1773="",0,IF(AND(OR(Filter!$B$5="(alle)",$N1773=Filter!$B$5),OR(Filter!$E$5="(alle)",$K1773=Filter!$E$5),OR(Filter!$H$5="(alle)",$C1773=Filter!$H$5),OR(Filter!$B$7="(alle)",$E1773=Filter!$B$7),OR(Filter!$E$7="(alle)",ISNUMBER(SEARCH(Filter!$E$7,$J1773))),OR(Filter!$H$7="(alle)",ISNUMBER(SEARCH(Filter!$H$7,$I1773))),OR(Filter!$B$9="",ISNUMBER(SEARCH(Filter!$B$9,$F1773&amp;" "&amp;$G1773)))),COUNTIF($O$6:$O1772,"&gt;0")+1,0))</f>
        <v>0</v>
      </c>
    </row>
    <row r="1774" customFormat="false" ht="15" hidden="false" customHeight="true" outlineLevel="0" collapsed="false">
      <c r="O1774" s="1" t="n">
        <f aca="false">IF($B1774="",0,IF(AND(OR(Filter!$B$5="(alle)",$N1774=Filter!$B$5),OR(Filter!$E$5="(alle)",$K1774=Filter!$E$5),OR(Filter!$H$5="(alle)",$C1774=Filter!$H$5),OR(Filter!$B$7="(alle)",$E1774=Filter!$B$7),OR(Filter!$E$7="(alle)",ISNUMBER(SEARCH(Filter!$E$7,$J1774))),OR(Filter!$H$7="(alle)",ISNUMBER(SEARCH(Filter!$H$7,$I1774))),OR(Filter!$B$9="",ISNUMBER(SEARCH(Filter!$B$9,$F1774&amp;" "&amp;$G1774)))),COUNTIF($O$6:$O1773,"&gt;0")+1,0))</f>
        <v>0</v>
      </c>
    </row>
    <row r="1775" customFormat="false" ht="15" hidden="false" customHeight="true" outlineLevel="0" collapsed="false">
      <c r="O1775" s="1" t="n">
        <f aca="false">IF($B1775="",0,IF(AND(OR(Filter!$B$5="(alle)",$N1775=Filter!$B$5),OR(Filter!$E$5="(alle)",$K1775=Filter!$E$5),OR(Filter!$H$5="(alle)",$C1775=Filter!$H$5),OR(Filter!$B$7="(alle)",$E1775=Filter!$B$7),OR(Filter!$E$7="(alle)",ISNUMBER(SEARCH(Filter!$E$7,$J1775))),OR(Filter!$H$7="(alle)",ISNUMBER(SEARCH(Filter!$H$7,$I1775))),OR(Filter!$B$9="",ISNUMBER(SEARCH(Filter!$B$9,$F1775&amp;" "&amp;$G1775)))),COUNTIF($O$6:$O1774,"&gt;0")+1,0))</f>
        <v>0</v>
      </c>
    </row>
    <row r="1776" customFormat="false" ht="15" hidden="false" customHeight="true" outlineLevel="0" collapsed="false">
      <c r="O1776" s="1" t="n">
        <f aca="false">IF($B1776="",0,IF(AND(OR(Filter!$B$5="(alle)",$N1776=Filter!$B$5),OR(Filter!$E$5="(alle)",$K1776=Filter!$E$5),OR(Filter!$H$5="(alle)",$C1776=Filter!$H$5),OR(Filter!$B$7="(alle)",$E1776=Filter!$B$7),OR(Filter!$E$7="(alle)",ISNUMBER(SEARCH(Filter!$E$7,$J1776))),OR(Filter!$H$7="(alle)",ISNUMBER(SEARCH(Filter!$H$7,$I1776))),OR(Filter!$B$9="",ISNUMBER(SEARCH(Filter!$B$9,$F1776&amp;" "&amp;$G1776)))),COUNTIF($O$6:$O1775,"&gt;0")+1,0))</f>
        <v>0</v>
      </c>
    </row>
    <row r="1777" customFormat="false" ht="15" hidden="false" customHeight="true" outlineLevel="0" collapsed="false">
      <c r="O1777" s="1" t="n">
        <f aca="false">IF($B1777="",0,IF(AND(OR(Filter!$B$5="(alle)",$N1777=Filter!$B$5),OR(Filter!$E$5="(alle)",$K1777=Filter!$E$5),OR(Filter!$H$5="(alle)",$C1777=Filter!$H$5),OR(Filter!$B$7="(alle)",$E1777=Filter!$B$7),OR(Filter!$E$7="(alle)",ISNUMBER(SEARCH(Filter!$E$7,$J1777))),OR(Filter!$H$7="(alle)",ISNUMBER(SEARCH(Filter!$H$7,$I1777))),OR(Filter!$B$9="",ISNUMBER(SEARCH(Filter!$B$9,$F1777&amp;" "&amp;$G1777)))),COUNTIF($O$6:$O1776,"&gt;0")+1,0))</f>
        <v>0</v>
      </c>
    </row>
    <row r="1778" customFormat="false" ht="15" hidden="false" customHeight="true" outlineLevel="0" collapsed="false">
      <c r="O1778" s="1" t="n">
        <f aca="false">IF($B1778="",0,IF(AND(OR(Filter!$B$5="(alle)",$N1778=Filter!$B$5),OR(Filter!$E$5="(alle)",$K1778=Filter!$E$5),OR(Filter!$H$5="(alle)",$C1778=Filter!$H$5),OR(Filter!$B$7="(alle)",$E1778=Filter!$B$7),OR(Filter!$E$7="(alle)",ISNUMBER(SEARCH(Filter!$E$7,$J1778))),OR(Filter!$H$7="(alle)",ISNUMBER(SEARCH(Filter!$H$7,$I1778))),OR(Filter!$B$9="",ISNUMBER(SEARCH(Filter!$B$9,$F1778&amp;" "&amp;$G1778)))),COUNTIF($O$6:$O1777,"&gt;0")+1,0))</f>
        <v>0</v>
      </c>
    </row>
    <row r="1779" customFormat="false" ht="15" hidden="false" customHeight="true" outlineLevel="0" collapsed="false">
      <c r="O1779" s="1" t="n">
        <f aca="false">IF($B1779="",0,IF(AND(OR(Filter!$B$5="(alle)",$N1779=Filter!$B$5),OR(Filter!$E$5="(alle)",$K1779=Filter!$E$5),OR(Filter!$H$5="(alle)",$C1779=Filter!$H$5),OR(Filter!$B$7="(alle)",$E1779=Filter!$B$7),OR(Filter!$E$7="(alle)",ISNUMBER(SEARCH(Filter!$E$7,$J1779))),OR(Filter!$H$7="(alle)",ISNUMBER(SEARCH(Filter!$H$7,$I1779))),OR(Filter!$B$9="",ISNUMBER(SEARCH(Filter!$B$9,$F1779&amp;" "&amp;$G1779)))),COUNTIF($O$6:$O1778,"&gt;0")+1,0))</f>
        <v>0</v>
      </c>
    </row>
    <row r="1780" customFormat="false" ht="15" hidden="false" customHeight="true" outlineLevel="0" collapsed="false">
      <c r="O1780" s="1" t="n">
        <f aca="false">IF($B1780="",0,IF(AND(OR(Filter!$B$5="(alle)",$N1780=Filter!$B$5),OR(Filter!$E$5="(alle)",$K1780=Filter!$E$5),OR(Filter!$H$5="(alle)",$C1780=Filter!$H$5),OR(Filter!$B$7="(alle)",$E1780=Filter!$B$7),OR(Filter!$E$7="(alle)",ISNUMBER(SEARCH(Filter!$E$7,$J1780))),OR(Filter!$H$7="(alle)",ISNUMBER(SEARCH(Filter!$H$7,$I1780))),OR(Filter!$B$9="",ISNUMBER(SEARCH(Filter!$B$9,$F1780&amp;" "&amp;$G1780)))),COUNTIF($O$6:$O1779,"&gt;0")+1,0))</f>
        <v>0</v>
      </c>
    </row>
    <row r="1781" customFormat="false" ht="15" hidden="false" customHeight="true" outlineLevel="0" collapsed="false">
      <c r="O1781" s="1" t="n">
        <f aca="false">IF($B1781="",0,IF(AND(OR(Filter!$B$5="(alle)",$N1781=Filter!$B$5),OR(Filter!$E$5="(alle)",$K1781=Filter!$E$5),OR(Filter!$H$5="(alle)",$C1781=Filter!$H$5),OR(Filter!$B$7="(alle)",$E1781=Filter!$B$7),OR(Filter!$E$7="(alle)",ISNUMBER(SEARCH(Filter!$E$7,$J1781))),OR(Filter!$H$7="(alle)",ISNUMBER(SEARCH(Filter!$H$7,$I1781))),OR(Filter!$B$9="",ISNUMBER(SEARCH(Filter!$B$9,$F1781&amp;" "&amp;$G1781)))),COUNTIF($O$6:$O1780,"&gt;0")+1,0))</f>
        <v>0</v>
      </c>
    </row>
    <row r="1782" customFormat="false" ht="15" hidden="false" customHeight="true" outlineLevel="0" collapsed="false">
      <c r="O1782" s="1" t="n">
        <f aca="false">IF($B1782="",0,IF(AND(OR(Filter!$B$5="(alle)",$N1782=Filter!$B$5),OR(Filter!$E$5="(alle)",$K1782=Filter!$E$5),OR(Filter!$H$5="(alle)",$C1782=Filter!$H$5),OR(Filter!$B$7="(alle)",$E1782=Filter!$B$7),OR(Filter!$E$7="(alle)",ISNUMBER(SEARCH(Filter!$E$7,$J1782))),OR(Filter!$H$7="(alle)",ISNUMBER(SEARCH(Filter!$H$7,$I1782))),OR(Filter!$B$9="",ISNUMBER(SEARCH(Filter!$B$9,$F1782&amp;" "&amp;$G1782)))),COUNTIF($O$6:$O1781,"&gt;0")+1,0))</f>
        <v>0</v>
      </c>
    </row>
    <row r="1783" customFormat="false" ht="15" hidden="false" customHeight="true" outlineLevel="0" collapsed="false">
      <c r="O1783" s="1" t="n">
        <f aca="false">IF($B1783="",0,IF(AND(OR(Filter!$B$5="(alle)",$N1783=Filter!$B$5),OR(Filter!$E$5="(alle)",$K1783=Filter!$E$5),OR(Filter!$H$5="(alle)",$C1783=Filter!$H$5),OR(Filter!$B$7="(alle)",$E1783=Filter!$B$7),OR(Filter!$E$7="(alle)",ISNUMBER(SEARCH(Filter!$E$7,$J1783))),OR(Filter!$H$7="(alle)",ISNUMBER(SEARCH(Filter!$H$7,$I1783))),OR(Filter!$B$9="",ISNUMBER(SEARCH(Filter!$B$9,$F1783&amp;" "&amp;$G1783)))),COUNTIF($O$6:$O1782,"&gt;0")+1,0))</f>
        <v>0</v>
      </c>
    </row>
    <row r="1784" customFormat="false" ht="15" hidden="false" customHeight="true" outlineLevel="0" collapsed="false">
      <c r="O1784" s="1" t="n">
        <f aca="false">IF($B1784="",0,IF(AND(OR(Filter!$B$5="(alle)",$N1784=Filter!$B$5),OR(Filter!$E$5="(alle)",$K1784=Filter!$E$5),OR(Filter!$H$5="(alle)",$C1784=Filter!$H$5),OR(Filter!$B$7="(alle)",$E1784=Filter!$B$7),OR(Filter!$E$7="(alle)",ISNUMBER(SEARCH(Filter!$E$7,$J1784))),OR(Filter!$H$7="(alle)",ISNUMBER(SEARCH(Filter!$H$7,$I1784))),OR(Filter!$B$9="",ISNUMBER(SEARCH(Filter!$B$9,$F1784&amp;" "&amp;$G1784)))),COUNTIF($O$6:$O1783,"&gt;0")+1,0))</f>
        <v>0</v>
      </c>
    </row>
    <row r="1785" customFormat="false" ht="15" hidden="false" customHeight="true" outlineLevel="0" collapsed="false">
      <c r="O1785" s="1" t="n">
        <f aca="false">IF($B1785="",0,IF(AND(OR(Filter!$B$5="(alle)",$N1785=Filter!$B$5),OR(Filter!$E$5="(alle)",$K1785=Filter!$E$5),OR(Filter!$H$5="(alle)",$C1785=Filter!$H$5),OR(Filter!$B$7="(alle)",$E1785=Filter!$B$7),OR(Filter!$E$7="(alle)",ISNUMBER(SEARCH(Filter!$E$7,$J1785))),OR(Filter!$H$7="(alle)",ISNUMBER(SEARCH(Filter!$H$7,$I1785))),OR(Filter!$B$9="",ISNUMBER(SEARCH(Filter!$B$9,$F1785&amp;" "&amp;$G1785)))),COUNTIF($O$6:$O1784,"&gt;0")+1,0))</f>
        <v>0</v>
      </c>
    </row>
    <row r="1786" customFormat="false" ht="15" hidden="false" customHeight="true" outlineLevel="0" collapsed="false">
      <c r="O1786" s="1" t="n">
        <f aca="false">IF($B1786="",0,IF(AND(OR(Filter!$B$5="(alle)",$N1786=Filter!$B$5),OR(Filter!$E$5="(alle)",$K1786=Filter!$E$5),OR(Filter!$H$5="(alle)",$C1786=Filter!$H$5),OR(Filter!$B$7="(alle)",$E1786=Filter!$B$7),OR(Filter!$E$7="(alle)",ISNUMBER(SEARCH(Filter!$E$7,$J1786))),OR(Filter!$H$7="(alle)",ISNUMBER(SEARCH(Filter!$H$7,$I1786))),OR(Filter!$B$9="",ISNUMBER(SEARCH(Filter!$B$9,$F1786&amp;" "&amp;$G1786)))),COUNTIF($O$6:$O1785,"&gt;0")+1,0))</f>
        <v>0</v>
      </c>
    </row>
    <row r="1787" customFormat="false" ht="15" hidden="false" customHeight="true" outlineLevel="0" collapsed="false">
      <c r="O1787" s="1" t="n">
        <f aca="false">IF($B1787="",0,IF(AND(OR(Filter!$B$5="(alle)",$N1787=Filter!$B$5),OR(Filter!$E$5="(alle)",$K1787=Filter!$E$5),OR(Filter!$H$5="(alle)",$C1787=Filter!$H$5),OR(Filter!$B$7="(alle)",$E1787=Filter!$B$7),OR(Filter!$E$7="(alle)",ISNUMBER(SEARCH(Filter!$E$7,$J1787))),OR(Filter!$H$7="(alle)",ISNUMBER(SEARCH(Filter!$H$7,$I1787))),OR(Filter!$B$9="",ISNUMBER(SEARCH(Filter!$B$9,$F1787&amp;" "&amp;$G1787)))),COUNTIF($O$6:$O1786,"&gt;0")+1,0))</f>
        <v>0</v>
      </c>
    </row>
    <row r="1788" customFormat="false" ht="15" hidden="false" customHeight="true" outlineLevel="0" collapsed="false">
      <c r="O1788" s="1" t="n">
        <f aca="false">IF($B1788="",0,IF(AND(OR(Filter!$B$5="(alle)",$N1788=Filter!$B$5),OR(Filter!$E$5="(alle)",$K1788=Filter!$E$5),OR(Filter!$H$5="(alle)",$C1788=Filter!$H$5),OR(Filter!$B$7="(alle)",$E1788=Filter!$B$7),OR(Filter!$E$7="(alle)",ISNUMBER(SEARCH(Filter!$E$7,$J1788))),OR(Filter!$H$7="(alle)",ISNUMBER(SEARCH(Filter!$H$7,$I1788))),OR(Filter!$B$9="",ISNUMBER(SEARCH(Filter!$B$9,$F1788&amp;" "&amp;$G1788)))),COUNTIF($O$6:$O1787,"&gt;0")+1,0))</f>
        <v>0</v>
      </c>
    </row>
    <row r="1789" customFormat="false" ht="15" hidden="false" customHeight="true" outlineLevel="0" collapsed="false">
      <c r="O1789" s="1" t="n">
        <f aca="false">IF($B1789="",0,IF(AND(OR(Filter!$B$5="(alle)",$N1789=Filter!$B$5),OR(Filter!$E$5="(alle)",$K1789=Filter!$E$5),OR(Filter!$H$5="(alle)",$C1789=Filter!$H$5),OR(Filter!$B$7="(alle)",$E1789=Filter!$B$7),OR(Filter!$E$7="(alle)",ISNUMBER(SEARCH(Filter!$E$7,$J1789))),OR(Filter!$H$7="(alle)",ISNUMBER(SEARCH(Filter!$H$7,$I1789))),OR(Filter!$B$9="",ISNUMBER(SEARCH(Filter!$B$9,$F1789&amp;" "&amp;$G1789)))),COUNTIF($O$6:$O1788,"&gt;0")+1,0))</f>
        <v>0</v>
      </c>
    </row>
    <row r="1790" customFormat="false" ht="15" hidden="false" customHeight="true" outlineLevel="0" collapsed="false">
      <c r="O1790" s="1" t="n">
        <f aca="false">IF($B1790="",0,IF(AND(OR(Filter!$B$5="(alle)",$N1790=Filter!$B$5),OR(Filter!$E$5="(alle)",$K1790=Filter!$E$5),OR(Filter!$H$5="(alle)",$C1790=Filter!$H$5),OR(Filter!$B$7="(alle)",$E1790=Filter!$B$7),OR(Filter!$E$7="(alle)",ISNUMBER(SEARCH(Filter!$E$7,$J1790))),OR(Filter!$H$7="(alle)",ISNUMBER(SEARCH(Filter!$H$7,$I1790))),OR(Filter!$B$9="",ISNUMBER(SEARCH(Filter!$B$9,$F1790&amp;" "&amp;$G1790)))),COUNTIF($O$6:$O1789,"&gt;0")+1,0))</f>
        <v>0</v>
      </c>
    </row>
    <row r="1791" customFormat="false" ht="15" hidden="false" customHeight="true" outlineLevel="0" collapsed="false">
      <c r="O1791" s="1" t="n">
        <f aca="false">IF($B1791="",0,IF(AND(OR(Filter!$B$5="(alle)",$N1791=Filter!$B$5),OR(Filter!$E$5="(alle)",$K1791=Filter!$E$5),OR(Filter!$H$5="(alle)",$C1791=Filter!$H$5),OR(Filter!$B$7="(alle)",$E1791=Filter!$B$7),OR(Filter!$E$7="(alle)",ISNUMBER(SEARCH(Filter!$E$7,$J1791))),OR(Filter!$H$7="(alle)",ISNUMBER(SEARCH(Filter!$H$7,$I1791))),OR(Filter!$B$9="",ISNUMBER(SEARCH(Filter!$B$9,$F1791&amp;" "&amp;$G1791)))),COUNTIF($O$6:$O1790,"&gt;0")+1,0))</f>
        <v>0</v>
      </c>
    </row>
    <row r="1792" customFormat="false" ht="15" hidden="false" customHeight="true" outlineLevel="0" collapsed="false">
      <c r="O1792" s="1" t="n">
        <f aca="false">IF($B1792="",0,IF(AND(OR(Filter!$B$5="(alle)",$N1792=Filter!$B$5),OR(Filter!$E$5="(alle)",$K1792=Filter!$E$5),OR(Filter!$H$5="(alle)",$C1792=Filter!$H$5),OR(Filter!$B$7="(alle)",$E1792=Filter!$B$7),OR(Filter!$E$7="(alle)",ISNUMBER(SEARCH(Filter!$E$7,$J1792))),OR(Filter!$H$7="(alle)",ISNUMBER(SEARCH(Filter!$H$7,$I1792))),OR(Filter!$B$9="",ISNUMBER(SEARCH(Filter!$B$9,$F1792&amp;" "&amp;$G1792)))),COUNTIF($O$6:$O1791,"&gt;0")+1,0))</f>
        <v>0</v>
      </c>
    </row>
    <row r="1793" customFormat="false" ht="15" hidden="false" customHeight="true" outlineLevel="0" collapsed="false">
      <c r="O1793" s="1" t="n">
        <f aca="false">IF($B1793="",0,IF(AND(OR(Filter!$B$5="(alle)",$N1793=Filter!$B$5),OR(Filter!$E$5="(alle)",$K1793=Filter!$E$5),OR(Filter!$H$5="(alle)",$C1793=Filter!$H$5),OR(Filter!$B$7="(alle)",$E1793=Filter!$B$7),OR(Filter!$E$7="(alle)",ISNUMBER(SEARCH(Filter!$E$7,$J1793))),OR(Filter!$H$7="(alle)",ISNUMBER(SEARCH(Filter!$H$7,$I1793))),OR(Filter!$B$9="",ISNUMBER(SEARCH(Filter!$B$9,$F1793&amp;" "&amp;$G1793)))),COUNTIF($O$6:$O1792,"&gt;0")+1,0))</f>
        <v>0</v>
      </c>
    </row>
    <row r="1794" customFormat="false" ht="15" hidden="false" customHeight="true" outlineLevel="0" collapsed="false">
      <c r="O1794" s="1" t="n">
        <f aca="false">IF($B1794="",0,IF(AND(OR(Filter!$B$5="(alle)",$N1794=Filter!$B$5),OR(Filter!$E$5="(alle)",$K1794=Filter!$E$5),OR(Filter!$H$5="(alle)",$C1794=Filter!$H$5),OR(Filter!$B$7="(alle)",$E1794=Filter!$B$7),OR(Filter!$E$7="(alle)",ISNUMBER(SEARCH(Filter!$E$7,$J1794))),OR(Filter!$H$7="(alle)",ISNUMBER(SEARCH(Filter!$H$7,$I1794))),OR(Filter!$B$9="",ISNUMBER(SEARCH(Filter!$B$9,$F1794&amp;" "&amp;$G1794)))),COUNTIF($O$6:$O1793,"&gt;0")+1,0))</f>
        <v>0</v>
      </c>
    </row>
    <row r="1795" customFormat="false" ht="15" hidden="false" customHeight="true" outlineLevel="0" collapsed="false">
      <c r="O1795" s="1" t="n">
        <f aca="false">IF($B1795="",0,IF(AND(OR(Filter!$B$5="(alle)",$N1795=Filter!$B$5),OR(Filter!$E$5="(alle)",$K1795=Filter!$E$5),OR(Filter!$H$5="(alle)",$C1795=Filter!$H$5),OR(Filter!$B$7="(alle)",$E1795=Filter!$B$7),OR(Filter!$E$7="(alle)",ISNUMBER(SEARCH(Filter!$E$7,$J1795))),OR(Filter!$H$7="(alle)",ISNUMBER(SEARCH(Filter!$H$7,$I1795))),OR(Filter!$B$9="",ISNUMBER(SEARCH(Filter!$B$9,$F1795&amp;" "&amp;$G1795)))),COUNTIF($O$6:$O1794,"&gt;0")+1,0))</f>
        <v>0</v>
      </c>
    </row>
    <row r="1796" customFormat="false" ht="15" hidden="false" customHeight="true" outlineLevel="0" collapsed="false">
      <c r="O1796" s="1" t="n">
        <f aca="false">IF($B1796="",0,IF(AND(OR(Filter!$B$5="(alle)",$N1796=Filter!$B$5),OR(Filter!$E$5="(alle)",$K1796=Filter!$E$5),OR(Filter!$H$5="(alle)",$C1796=Filter!$H$5),OR(Filter!$B$7="(alle)",$E1796=Filter!$B$7),OR(Filter!$E$7="(alle)",ISNUMBER(SEARCH(Filter!$E$7,$J1796))),OR(Filter!$H$7="(alle)",ISNUMBER(SEARCH(Filter!$H$7,$I1796))),OR(Filter!$B$9="",ISNUMBER(SEARCH(Filter!$B$9,$F1796&amp;" "&amp;$G1796)))),COUNTIF($O$6:$O1795,"&gt;0")+1,0))</f>
        <v>0</v>
      </c>
    </row>
    <row r="1797" customFormat="false" ht="15" hidden="false" customHeight="true" outlineLevel="0" collapsed="false">
      <c r="O1797" s="1" t="n">
        <f aca="false">IF($B1797="",0,IF(AND(OR(Filter!$B$5="(alle)",$N1797=Filter!$B$5),OR(Filter!$E$5="(alle)",$K1797=Filter!$E$5),OR(Filter!$H$5="(alle)",$C1797=Filter!$H$5),OR(Filter!$B$7="(alle)",$E1797=Filter!$B$7),OR(Filter!$E$7="(alle)",ISNUMBER(SEARCH(Filter!$E$7,$J1797))),OR(Filter!$H$7="(alle)",ISNUMBER(SEARCH(Filter!$H$7,$I1797))),OR(Filter!$B$9="",ISNUMBER(SEARCH(Filter!$B$9,$F1797&amp;" "&amp;$G1797)))),COUNTIF($O$6:$O1796,"&gt;0")+1,0))</f>
        <v>0</v>
      </c>
    </row>
    <row r="1798" customFormat="false" ht="15" hidden="false" customHeight="true" outlineLevel="0" collapsed="false">
      <c r="O1798" s="1" t="n">
        <f aca="false">IF($B1798="",0,IF(AND(OR(Filter!$B$5="(alle)",$N1798=Filter!$B$5),OR(Filter!$E$5="(alle)",$K1798=Filter!$E$5),OR(Filter!$H$5="(alle)",$C1798=Filter!$H$5),OR(Filter!$B$7="(alle)",$E1798=Filter!$B$7),OR(Filter!$E$7="(alle)",ISNUMBER(SEARCH(Filter!$E$7,$J1798))),OR(Filter!$H$7="(alle)",ISNUMBER(SEARCH(Filter!$H$7,$I1798))),OR(Filter!$B$9="",ISNUMBER(SEARCH(Filter!$B$9,$F1798&amp;" "&amp;$G1798)))),COUNTIF($O$6:$O1797,"&gt;0")+1,0))</f>
        <v>0</v>
      </c>
    </row>
    <row r="1799" customFormat="false" ht="15" hidden="false" customHeight="true" outlineLevel="0" collapsed="false">
      <c r="O1799" s="1" t="n">
        <f aca="false">IF($B1799="",0,IF(AND(OR(Filter!$B$5="(alle)",$N1799=Filter!$B$5),OR(Filter!$E$5="(alle)",$K1799=Filter!$E$5),OR(Filter!$H$5="(alle)",$C1799=Filter!$H$5),OR(Filter!$B$7="(alle)",$E1799=Filter!$B$7),OR(Filter!$E$7="(alle)",ISNUMBER(SEARCH(Filter!$E$7,$J1799))),OR(Filter!$H$7="(alle)",ISNUMBER(SEARCH(Filter!$H$7,$I1799))),OR(Filter!$B$9="",ISNUMBER(SEARCH(Filter!$B$9,$F1799&amp;" "&amp;$G1799)))),COUNTIF($O$6:$O1798,"&gt;0")+1,0))</f>
        <v>0</v>
      </c>
    </row>
    <row r="1800" customFormat="false" ht="15" hidden="false" customHeight="true" outlineLevel="0" collapsed="false">
      <c r="O1800" s="1" t="n">
        <f aca="false">IF($B1800="",0,IF(AND(OR(Filter!$B$5="(alle)",$N1800=Filter!$B$5),OR(Filter!$E$5="(alle)",$K1800=Filter!$E$5),OR(Filter!$H$5="(alle)",$C1800=Filter!$H$5),OR(Filter!$B$7="(alle)",$E1800=Filter!$B$7),OR(Filter!$E$7="(alle)",ISNUMBER(SEARCH(Filter!$E$7,$J1800))),OR(Filter!$H$7="(alle)",ISNUMBER(SEARCH(Filter!$H$7,$I1800))),OR(Filter!$B$9="",ISNUMBER(SEARCH(Filter!$B$9,$F1800&amp;" "&amp;$G1800)))),COUNTIF($O$6:$O1799,"&gt;0")+1,0))</f>
        <v>0</v>
      </c>
    </row>
    <row r="1801" customFormat="false" ht="15" hidden="false" customHeight="true" outlineLevel="0" collapsed="false">
      <c r="O1801" s="1" t="n">
        <f aca="false">IF($B1801="",0,IF(AND(OR(Filter!$B$5="(alle)",$N1801=Filter!$B$5),OR(Filter!$E$5="(alle)",$K1801=Filter!$E$5),OR(Filter!$H$5="(alle)",$C1801=Filter!$H$5),OR(Filter!$B$7="(alle)",$E1801=Filter!$B$7),OR(Filter!$E$7="(alle)",ISNUMBER(SEARCH(Filter!$E$7,$J1801))),OR(Filter!$H$7="(alle)",ISNUMBER(SEARCH(Filter!$H$7,$I1801))),OR(Filter!$B$9="",ISNUMBER(SEARCH(Filter!$B$9,$F1801&amp;" "&amp;$G1801)))),COUNTIF($O$6:$O1800,"&gt;0")+1,0))</f>
        <v>0</v>
      </c>
    </row>
    <row r="1802" customFormat="false" ht="15" hidden="false" customHeight="true" outlineLevel="0" collapsed="false">
      <c r="O1802" s="1" t="n">
        <f aca="false">IF($B1802="",0,IF(AND(OR(Filter!$B$5="(alle)",$N1802=Filter!$B$5),OR(Filter!$E$5="(alle)",$K1802=Filter!$E$5),OR(Filter!$H$5="(alle)",$C1802=Filter!$H$5),OR(Filter!$B$7="(alle)",$E1802=Filter!$B$7),OR(Filter!$E$7="(alle)",ISNUMBER(SEARCH(Filter!$E$7,$J1802))),OR(Filter!$H$7="(alle)",ISNUMBER(SEARCH(Filter!$H$7,$I1802))),OR(Filter!$B$9="",ISNUMBER(SEARCH(Filter!$B$9,$F1802&amp;" "&amp;$G1802)))),COUNTIF($O$6:$O1801,"&gt;0")+1,0))</f>
        <v>0</v>
      </c>
    </row>
    <row r="1803" customFormat="false" ht="15" hidden="false" customHeight="true" outlineLevel="0" collapsed="false">
      <c r="O1803" s="1" t="n">
        <f aca="false">IF($B1803="",0,IF(AND(OR(Filter!$B$5="(alle)",$N1803=Filter!$B$5),OR(Filter!$E$5="(alle)",$K1803=Filter!$E$5),OR(Filter!$H$5="(alle)",$C1803=Filter!$H$5),OR(Filter!$B$7="(alle)",$E1803=Filter!$B$7),OR(Filter!$E$7="(alle)",ISNUMBER(SEARCH(Filter!$E$7,$J1803))),OR(Filter!$H$7="(alle)",ISNUMBER(SEARCH(Filter!$H$7,$I1803))),OR(Filter!$B$9="",ISNUMBER(SEARCH(Filter!$B$9,$F1803&amp;" "&amp;$G1803)))),COUNTIF($O$6:$O1802,"&gt;0")+1,0))</f>
        <v>0</v>
      </c>
    </row>
    <row r="1804" customFormat="false" ht="15" hidden="false" customHeight="true" outlineLevel="0" collapsed="false">
      <c r="O1804" s="1" t="n">
        <f aca="false">IF($B1804="",0,IF(AND(OR(Filter!$B$5="(alle)",$N1804=Filter!$B$5),OR(Filter!$E$5="(alle)",$K1804=Filter!$E$5),OR(Filter!$H$5="(alle)",$C1804=Filter!$H$5),OR(Filter!$B$7="(alle)",$E1804=Filter!$B$7),OR(Filter!$E$7="(alle)",ISNUMBER(SEARCH(Filter!$E$7,$J1804))),OR(Filter!$H$7="(alle)",ISNUMBER(SEARCH(Filter!$H$7,$I1804))),OR(Filter!$B$9="",ISNUMBER(SEARCH(Filter!$B$9,$F1804&amp;" "&amp;$G1804)))),COUNTIF($O$6:$O1803,"&gt;0")+1,0))</f>
        <v>0</v>
      </c>
    </row>
    <row r="1805" customFormat="false" ht="15" hidden="false" customHeight="true" outlineLevel="0" collapsed="false">
      <c r="O1805" s="1" t="n">
        <f aca="false">IF($B1805="",0,IF(AND(OR(Filter!$B$5="(alle)",$N1805=Filter!$B$5),OR(Filter!$E$5="(alle)",$K1805=Filter!$E$5),OR(Filter!$H$5="(alle)",$C1805=Filter!$H$5),OR(Filter!$B$7="(alle)",$E1805=Filter!$B$7),OR(Filter!$E$7="(alle)",ISNUMBER(SEARCH(Filter!$E$7,$J1805))),OR(Filter!$H$7="(alle)",ISNUMBER(SEARCH(Filter!$H$7,$I1805))),OR(Filter!$B$9="",ISNUMBER(SEARCH(Filter!$B$9,$F1805&amp;" "&amp;$G1805)))),COUNTIF($O$6:$O1804,"&gt;0")+1,0))</f>
        <v>0</v>
      </c>
    </row>
    <row r="1806" customFormat="false" ht="15" hidden="false" customHeight="true" outlineLevel="0" collapsed="false">
      <c r="O1806" s="1" t="n">
        <f aca="false">IF($B1806="",0,IF(AND(OR(Filter!$B$5="(alle)",$N1806=Filter!$B$5),OR(Filter!$E$5="(alle)",$K1806=Filter!$E$5),OR(Filter!$H$5="(alle)",$C1806=Filter!$H$5),OR(Filter!$B$7="(alle)",$E1806=Filter!$B$7),OR(Filter!$E$7="(alle)",ISNUMBER(SEARCH(Filter!$E$7,$J1806))),OR(Filter!$H$7="(alle)",ISNUMBER(SEARCH(Filter!$H$7,$I1806))),OR(Filter!$B$9="",ISNUMBER(SEARCH(Filter!$B$9,$F1806&amp;" "&amp;$G1806)))),COUNTIF($O$6:$O1805,"&gt;0")+1,0))</f>
        <v>0</v>
      </c>
    </row>
    <row r="1807" customFormat="false" ht="15" hidden="false" customHeight="true" outlineLevel="0" collapsed="false">
      <c r="O1807" s="1" t="n">
        <f aca="false">IF($B1807="",0,IF(AND(OR(Filter!$B$5="(alle)",$N1807=Filter!$B$5),OR(Filter!$E$5="(alle)",$K1807=Filter!$E$5),OR(Filter!$H$5="(alle)",$C1807=Filter!$H$5),OR(Filter!$B$7="(alle)",$E1807=Filter!$B$7),OR(Filter!$E$7="(alle)",ISNUMBER(SEARCH(Filter!$E$7,$J1807))),OR(Filter!$H$7="(alle)",ISNUMBER(SEARCH(Filter!$H$7,$I1807))),OR(Filter!$B$9="",ISNUMBER(SEARCH(Filter!$B$9,$F1807&amp;" "&amp;$G1807)))),COUNTIF($O$6:$O1806,"&gt;0")+1,0))</f>
        <v>0</v>
      </c>
    </row>
    <row r="1808" customFormat="false" ht="15" hidden="false" customHeight="true" outlineLevel="0" collapsed="false">
      <c r="O1808" s="1" t="n">
        <f aca="false">IF($B1808="",0,IF(AND(OR(Filter!$B$5="(alle)",$N1808=Filter!$B$5),OR(Filter!$E$5="(alle)",$K1808=Filter!$E$5),OR(Filter!$H$5="(alle)",$C1808=Filter!$H$5),OR(Filter!$B$7="(alle)",$E1808=Filter!$B$7),OR(Filter!$E$7="(alle)",ISNUMBER(SEARCH(Filter!$E$7,$J1808))),OR(Filter!$H$7="(alle)",ISNUMBER(SEARCH(Filter!$H$7,$I1808))),OR(Filter!$B$9="",ISNUMBER(SEARCH(Filter!$B$9,$F1808&amp;" "&amp;$G1808)))),COUNTIF($O$6:$O1807,"&gt;0")+1,0))</f>
        <v>0</v>
      </c>
    </row>
    <row r="1809" customFormat="false" ht="15" hidden="false" customHeight="true" outlineLevel="0" collapsed="false">
      <c r="O1809" s="1" t="n">
        <f aca="false">IF($B1809="",0,IF(AND(OR(Filter!$B$5="(alle)",$N1809=Filter!$B$5),OR(Filter!$E$5="(alle)",$K1809=Filter!$E$5),OR(Filter!$H$5="(alle)",$C1809=Filter!$H$5),OR(Filter!$B$7="(alle)",$E1809=Filter!$B$7),OR(Filter!$E$7="(alle)",ISNUMBER(SEARCH(Filter!$E$7,$J1809))),OR(Filter!$H$7="(alle)",ISNUMBER(SEARCH(Filter!$H$7,$I1809))),OR(Filter!$B$9="",ISNUMBER(SEARCH(Filter!$B$9,$F1809&amp;" "&amp;$G1809)))),COUNTIF($O$6:$O1808,"&gt;0")+1,0))</f>
        <v>0</v>
      </c>
    </row>
    <row r="1810" customFormat="false" ht="15" hidden="false" customHeight="true" outlineLevel="0" collapsed="false">
      <c r="O1810" s="1" t="n">
        <f aca="false">IF($B1810="",0,IF(AND(OR(Filter!$B$5="(alle)",$N1810=Filter!$B$5),OR(Filter!$E$5="(alle)",$K1810=Filter!$E$5),OR(Filter!$H$5="(alle)",$C1810=Filter!$H$5),OR(Filter!$B$7="(alle)",$E1810=Filter!$B$7),OR(Filter!$E$7="(alle)",ISNUMBER(SEARCH(Filter!$E$7,$J1810))),OR(Filter!$H$7="(alle)",ISNUMBER(SEARCH(Filter!$H$7,$I1810))),OR(Filter!$B$9="",ISNUMBER(SEARCH(Filter!$B$9,$F1810&amp;" "&amp;$G1810)))),COUNTIF($O$6:$O1809,"&gt;0")+1,0))</f>
        <v>0</v>
      </c>
    </row>
    <row r="1811" customFormat="false" ht="15" hidden="false" customHeight="true" outlineLevel="0" collapsed="false">
      <c r="O1811" s="1" t="n">
        <f aca="false">IF($B1811="",0,IF(AND(OR(Filter!$B$5="(alle)",$N1811=Filter!$B$5),OR(Filter!$E$5="(alle)",$K1811=Filter!$E$5),OR(Filter!$H$5="(alle)",$C1811=Filter!$H$5),OR(Filter!$B$7="(alle)",$E1811=Filter!$B$7),OR(Filter!$E$7="(alle)",ISNUMBER(SEARCH(Filter!$E$7,$J1811))),OR(Filter!$H$7="(alle)",ISNUMBER(SEARCH(Filter!$H$7,$I1811))),OR(Filter!$B$9="",ISNUMBER(SEARCH(Filter!$B$9,$F1811&amp;" "&amp;$G1811)))),COUNTIF($O$6:$O1810,"&gt;0")+1,0))</f>
        <v>0</v>
      </c>
    </row>
    <row r="1812" customFormat="false" ht="15" hidden="false" customHeight="true" outlineLevel="0" collapsed="false">
      <c r="O1812" s="1" t="n">
        <f aca="false">IF($B1812="",0,IF(AND(OR(Filter!$B$5="(alle)",$N1812=Filter!$B$5),OR(Filter!$E$5="(alle)",$K1812=Filter!$E$5),OR(Filter!$H$5="(alle)",$C1812=Filter!$H$5),OR(Filter!$B$7="(alle)",$E1812=Filter!$B$7),OR(Filter!$E$7="(alle)",ISNUMBER(SEARCH(Filter!$E$7,$J1812))),OR(Filter!$H$7="(alle)",ISNUMBER(SEARCH(Filter!$H$7,$I1812))),OR(Filter!$B$9="",ISNUMBER(SEARCH(Filter!$B$9,$F1812&amp;" "&amp;$G1812)))),COUNTIF($O$6:$O1811,"&gt;0")+1,0))</f>
        <v>0</v>
      </c>
    </row>
    <row r="1813" customFormat="false" ht="15" hidden="false" customHeight="true" outlineLevel="0" collapsed="false">
      <c r="O1813" s="1" t="n">
        <f aca="false">IF($B1813="",0,IF(AND(OR(Filter!$B$5="(alle)",$N1813=Filter!$B$5),OR(Filter!$E$5="(alle)",$K1813=Filter!$E$5),OR(Filter!$H$5="(alle)",$C1813=Filter!$H$5),OR(Filter!$B$7="(alle)",$E1813=Filter!$B$7),OR(Filter!$E$7="(alle)",ISNUMBER(SEARCH(Filter!$E$7,$J1813))),OR(Filter!$H$7="(alle)",ISNUMBER(SEARCH(Filter!$H$7,$I1813))),OR(Filter!$B$9="",ISNUMBER(SEARCH(Filter!$B$9,$F1813&amp;" "&amp;$G1813)))),COUNTIF($O$6:$O1812,"&gt;0")+1,0))</f>
        <v>0</v>
      </c>
    </row>
    <row r="1814" customFormat="false" ht="15" hidden="false" customHeight="true" outlineLevel="0" collapsed="false">
      <c r="O1814" s="1" t="n">
        <f aca="false">IF($B1814="",0,IF(AND(OR(Filter!$B$5="(alle)",$N1814=Filter!$B$5),OR(Filter!$E$5="(alle)",$K1814=Filter!$E$5),OR(Filter!$H$5="(alle)",$C1814=Filter!$H$5),OR(Filter!$B$7="(alle)",$E1814=Filter!$B$7),OR(Filter!$E$7="(alle)",ISNUMBER(SEARCH(Filter!$E$7,$J1814))),OR(Filter!$H$7="(alle)",ISNUMBER(SEARCH(Filter!$H$7,$I1814))),OR(Filter!$B$9="",ISNUMBER(SEARCH(Filter!$B$9,$F1814&amp;" "&amp;$G1814)))),COUNTIF($O$6:$O1813,"&gt;0")+1,0))</f>
        <v>0</v>
      </c>
    </row>
    <row r="1815" customFormat="false" ht="15" hidden="false" customHeight="true" outlineLevel="0" collapsed="false">
      <c r="O1815" s="1" t="n">
        <f aca="false">IF($B1815="",0,IF(AND(OR(Filter!$B$5="(alle)",$N1815=Filter!$B$5),OR(Filter!$E$5="(alle)",$K1815=Filter!$E$5),OR(Filter!$H$5="(alle)",$C1815=Filter!$H$5),OR(Filter!$B$7="(alle)",$E1815=Filter!$B$7),OR(Filter!$E$7="(alle)",ISNUMBER(SEARCH(Filter!$E$7,$J1815))),OR(Filter!$H$7="(alle)",ISNUMBER(SEARCH(Filter!$H$7,$I1815))),OR(Filter!$B$9="",ISNUMBER(SEARCH(Filter!$B$9,$F1815&amp;" "&amp;$G1815)))),COUNTIF($O$6:$O1814,"&gt;0")+1,0))</f>
        <v>0</v>
      </c>
    </row>
    <row r="1816" customFormat="false" ht="15" hidden="false" customHeight="true" outlineLevel="0" collapsed="false">
      <c r="O1816" s="1" t="n">
        <f aca="false">IF($B1816="",0,IF(AND(OR(Filter!$B$5="(alle)",$N1816=Filter!$B$5),OR(Filter!$E$5="(alle)",$K1816=Filter!$E$5),OR(Filter!$H$5="(alle)",$C1816=Filter!$H$5),OR(Filter!$B$7="(alle)",$E1816=Filter!$B$7),OR(Filter!$E$7="(alle)",ISNUMBER(SEARCH(Filter!$E$7,$J1816))),OR(Filter!$H$7="(alle)",ISNUMBER(SEARCH(Filter!$H$7,$I1816))),OR(Filter!$B$9="",ISNUMBER(SEARCH(Filter!$B$9,$F1816&amp;" "&amp;$G1816)))),COUNTIF($O$6:$O1815,"&gt;0")+1,0))</f>
        <v>0</v>
      </c>
    </row>
    <row r="1817" customFormat="false" ht="15" hidden="false" customHeight="true" outlineLevel="0" collapsed="false">
      <c r="O1817" s="1" t="n">
        <f aca="false">IF($B1817="",0,IF(AND(OR(Filter!$B$5="(alle)",$N1817=Filter!$B$5),OR(Filter!$E$5="(alle)",$K1817=Filter!$E$5),OR(Filter!$H$5="(alle)",$C1817=Filter!$H$5),OR(Filter!$B$7="(alle)",$E1817=Filter!$B$7),OR(Filter!$E$7="(alle)",ISNUMBER(SEARCH(Filter!$E$7,$J1817))),OR(Filter!$H$7="(alle)",ISNUMBER(SEARCH(Filter!$H$7,$I1817))),OR(Filter!$B$9="",ISNUMBER(SEARCH(Filter!$B$9,$F1817&amp;" "&amp;$G1817)))),COUNTIF($O$6:$O1816,"&gt;0")+1,0))</f>
        <v>0</v>
      </c>
    </row>
    <row r="1818" customFormat="false" ht="15" hidden="false" customHeight="true" outlineLevel="0" collapsed="false">
      <c r="O1818" s="1" t="n">
        <f aca="false">IF($B1818="",0,IF(AND(OR(Filter!$B$5="(alle)",$N1818=Filter!$B$5),OR(Filter!$E$5="(alle)",$K1818=Filter!$E$5),OR(Filter!$H$5="(alle)",$C1818=Filter!$H$5),OR(Filter!$B$7="(alle)",$E1818=Filter!$B$7),OR(Filter!$E$7="(alle)",ISNUMBER(SEARCH(Filter!$E$7,$J1818))),OR(Filter!$H$7="(alle)",ISNUMBER(SEARCH(Filter!$H$7,$I1818))),OR(Filter!$B$9="",ISNUMBER(SEARCH(Filter!$B$9,$F1818&amp;" "&amp;$G1818)))),COUNTIF($O$6:$O1817,"&gt;0")+1,0))</f>
        <v>0</v>
      </c>
    </row>
    <row r="1819" customFormat="false" ht="15" hidden="false" customHeight="true" outlineLevel="0" collapsed="false">
      <c r="O1819" s="1" t="n">
        <f aca="false">IF($B1819="",0,IF(AND(OR(Filter!$B$5="(alle)",$N1819=Filter!$B$5),OR(Filter!$E$5="(alle)",$K1819=Filter!$E$5),OR(Filter!$H$5="(alle)",$C1819=Filter!$H$5),OR(Filter!$B$7="(alle)",$E1819=Filter!$B$7),OR(Filter!$E$7="(alle)",ISNUMBER(SEARCH(Filter!$E$7,$J1819))),OR(Filter!$H$7="(alle)",ISNUMBER(SEARCH(Filter!$H$7,$I1819))),OR(Filter!$B$9="",ISNUMBER(SEARCH(Filter!$B$9,$F1819&amp;" "&amp;$G1819)))),COUNTIF($O$6:$O1818,"&gt;0")+1,0))</f>
        <v>0</v>
      </c>
    </row>
    <row r="1820" customFormat="false" ht="15" hidden="false" customHeight="true" outlineLevel="0" collapsed="false">
      <c r="O1820" s="1" t="n">
        <f aca="false">IF($B1820="",0,IF(AND(OR(Filter!$B$5="(alle)",$N1820=Filter!$B$5),OR(Filter!$E$5="(alle)",$K1820=Filter!$E$5),OR(Filter!$H$5="(alle)",$C1820=Filter!$H$5),OR(Filter!$B$7="(alle)",$E1820=Filter!$B$7),OR(Filter!$E$7="(alle)",ISNUMBER(SEARCH(Filter!$E$7,$J1820))),OR(Filter!$H$7="(alle)",ISNUMBER(SEARCH(Filter!$H$7,$I1820))),OR(Filter!$B$9="",ISNUMBER(SEARCH(Filter!$B$9,$F1820&amp;" "&amp;$G1820)))),COUNTIF($O$6:$O1819,"&gt;0")+1,0))</f>
        <v>0</v>
      </c>
    </row>
    <row r="1821" customFormat="false" ht="15" hidden="false" customHeight="true" outlineLevel="0" collapsed="false">
      <c r="O1821" s="1" t="n">
        <f aca="false">IF($B1821="",0,IF(AND(OR(Filter!$B$5="(alle)",$N1821=Filter!$B$5),OR(Filter!$E$5="(alle)",$K1821=Filter!$E$5),OR(Filter!$H$5="(alle)",$C1821=Filter!$H$5),OR(Filter!$B$7="(alle)",$E1821=Filter!$B$7),OR(Filter!$E$7="(alle)",ISNUMBER(SEARCH(Filter!$E$7,$J1821))),OR(Filter!$H$7="(alle)",ISNUMBER(SEARCH(Filter!$H$7,$I1821))),OR(Filter!$B$9="",ISNUMBER(SEARCH(Filter!$B$9,$F1821&amp;" "&amp;$G1821)))),COUNTIF($O$6:$O1820,"&gt;0")+1,0))</f>
        <v>0</v>
      </c>
    </row>
    <row r="1822" customFormat="false" ht="15" hidden="false" customHeight="true" outlineLevel="0" collapsed="false">
      <c r="O1822" s="1" t="n">
        <f aca="false">IF($B1822="",0,IF(AND(OR(Filter!$B$5="(alle)",$N1822=Filter!$B$5),OR(Filter!$E$5="(alle)",$K1822=Filter!$E$5),OR(Filter!$H$5="(alle)",$C1822=Filter!$H$5),OR(Filter!$B$7="(alle)",$E1822=Filter!$B$7),OR(Filter!$E$7="(alle)",ISNUMBER(SEARCH(Filter!$E$7,$J1822))),OR(Filter!$H$7="(alle)",ISNUMBER(SEARCH(Filter!$H$7,$I1822))),OR(Filter!$B$9="",ISNUMBER(SEARCH(Filter!$B$9,$F1822&amp;" "&amp;$G1822)))),COUNTIF($O$6:$O1821,"&gt;0")+1,0))</f>
        <v>0</v>
      </c>
    </row>
    <row r="1823" customFormat="false" ht="15" hidden="false" customHeight="true" outlineLevel="0" collapsed="false">
      <c r="O1823" s="1" t="n">
        <f aca="false">IF($B1823="",0,IF(AND(OR(Filter!$B$5="(alle)",$N1823=Filter!$B$5),OR(Filter!$E$5="(alle)",$K1823=Filter!$E$5),OR(Filter!$H$5="(alle)",$C1823=Filter!$H$5),OR(Filter!$B$7="(alle)",$E1823=Filter!$B$7),OR(Filter!$E$7="(alle)",ISNUMBER(SEARCH(Filter!$E$7,$J1823))),OR(Filter!$H$7="(alle)",ISNUMBER(SEARCH(Filter!$H$7,$I1823))),OR(Filter!$B$9="",ISNUMBER(SEARCH(Filter!$B$9,$F1823&amp;" "&amp;$G1823)))),COUNTIF($O$6:$O1822,"&gt;0")+1,0))</f>
        <v>0</v>
      </c>
    </row>
    <row r="1824" customFormat="false" ht="15" hidden="false" customHeight="true" outlineLevel="0" collapsed="false">
      <c r="O1824" s="1" t="n">
        <f aca="false">IF($B1824="",0,IF(AND(OR(Filter!$B$5="(alle)",$N1824=Filter!$B$5),OR(Filter!$E$5="(alle)",$K1824=Filter!$E$5),OR(Filter!$H$5="(alle)",$C1824=Filter!$H$5),OR(Filter!$B$7="(alle)",$E1824=Filter!$B$7),OR(Filter!$E$7="(alle)",ISNUMBER(SEARCH(Filter!$E$7,$J1824))),OR(Filter!$H$7="(alle)",ISNUMBER(SEARCH(Filter!$H$7,$I1824))),OR(Filter!$B$9="",ISNUMBER(SEARCH(Filter!$B$9,$F1824&amp;" "&amp;$G1824)))),COUNTIF($O$6:$O1823,"&gt;0")+1,0))</f>
        <v>0</v>
      </c>
    </row>
    <row r="1825" customFormat="false" ht="15" hidden="false" customHeight="true" outlineLevel="0" collapsed="false">
      <c r="O1825" s="1" t="n">
        <f aca="false">IF($B1825="",0,IF(AND(OR(Filter!$B$5="(alle)",$N1825=Filter!$B$5),OR(Filter!$E$5="(alle)",$K1825=Filter!$E$5),OR(Filter!$H$5="(alle)",$C1825=Filter!$H$5),OR(Filter!$B$7="(alle)",$E1825=Filter!$B$7),OR(Filter!$E$7="(alle)",ISNUMBER(SEARCH(Filter!$E$7,$J1825))),OR(Filter!$H$7="(alle)",ISNUMBER(SEARCH(Filter!$H$7,$I1825))),OR(Filter!$B$9="",ISNUMBER(SEARCH(Filter!$B$9,$F1825&amp;" "&amp;$G1825)))),COUNTIF($O$6:$O1824,"&gt;0")+1,0))</f>
        <v>0</v>
      </c>
    </row>
    <row r="1826" customFormat="false" ht="15" hidden="false" customHeight="true" outlineLevel="0" collapsed="false">
      <c r="O1826" s="1" t="n">
        <f aca="false">IF($B1826="",0,IF(AND(OR(Filter!$B$5="(alle)",$N1826=Filter!$B$5),OR(Filter!$E$5="(alle)",$K1826=Filter!$E$5),OR(Filter!$H$5="(alle)",$C1826=Filter!$H$5),OR(Filter!$B$7="(alle)",$E1826=Filter!$B$7),OR(Filter!$E$7="(alle)",ISNUMBER(SEARCH(Filter!$E$7,$J1826))),OR(Filter!$H$7="(alle)",ISNUMBER(SEARCH(Filter!$H$7,$I1826))),OR(Filter!$B$9="",ISNUMBER(SEARCH(Filter!$B$9,$F1826&amp;" "&amp;$G1826)))),COUNTIF($O$6:$O1825,"&gt;0")+1,0))</f>
        <v>0</v>
      </c>
    </row>
    <row r="1827" customFormat="false" ht="15" hidden="false" customHeight="true" outlineLevel="0" collapsed="false">
      <c r="O1827" s="1" t="n">
        <f aca="false">IF($B1827="",0,IF(AND(OR(Filter!$B$5="(alle)",$N1827=Filter!$B$5),OR(Filter!$E$5="(alle)",$K1827=Filter!$E$5),OR(Filter!$H$5="(alle)",$C1827=Filter!$H$5),OR(Filter!$B$7="(alle)",$E1827=Filter!$B$7),OR(Filter!$E$7="(alle)",ISNUMBER(SEARCH(Filter!$E$7,$J1827))),OR(Filter!$H$7="(alle)",ISNUMBER(SEARCH(Filter!$H$7,$I1827))),OR(Filter!$B$9="",ISNUMBER(SEARCH(Filter!$B$9,$F1827&amp;" "&amp;$G1827)))),COUNTIF($O$6:$O1826,"&gt;0")+1,0))</f>
        <v>0</v>
      </c>
    </row>
    <row r="1828" customFormat="false" ht="15" hidden="false" customHeight="true" outlineLevel="0" collapsed="false">
      <c r="O1828" s="1" t="n">
        <f aca="false">IF($B1828="",0,IF(AND(OR(Filter!$B$5="(alle)",$N1828=Filter!$B$5),OR(Filter!$E$5="(alle)",$K1828=Filter!$E$5),OR(Filter!$H$5="(alle)",$C1828=Filter!$H$5),OR(Filter!$B$7="(alle)",$E1828=Filter!$B$7),OR(Filter!$E$7="(alle)",ISNUMBER(SEARCH(Filter!$E$7,$J1828))),OR(Filter!$H$7="(alle)",ISNUMBER(SEARCH(Filter!$H$7,$I1828))),OR(Filter!$B$9="",ISNUMBER(SEARCH(Filter!$B$9,$F1828&amp;" "&amp;$G1828)))),COUNTIF($O$6:$O1827,"&gt;0")+1,0))</f>
        <v>0</v>
      </c>
    </row>
    <row r="1829" customFormat="false" ht="15" hidden="false" customHeight="true" outlineLevel="0" collapsed="false">
      <c r="O1829" s="1" t="n">
        <f aca="false">IF($B1829="",0,IF(AND(OR(Filter!$B$5="(alle)",$N1829=Filter!$B$5),OR(Filter!$E$5="(alle)",$K1829=Filter!$E$5),OR(Filter!$H$5="(alle)",$C1829=Filter!$H$5),OR(Filter!$B$7="(alle)",$E1829=Filter!$B$7),OR(Filter!$E$7="(alle)",ISNUMBER(SEARCH(Filter!$E$7,$J1829))),OR(Filter!$H$7="(alle)",ISNUMBER(SEARCH(Filter!$H$7,$I1829))),OR(Filter!$B$9="",ISNUMBER(SEARCH(Filter!$B$9,$F1829&amp;" "&amp;$G1829)))),COUNTIF($O$6:$O1828,"&gt;0")+1,0))</f>
        <v>0</v>
      </c>
    </row>
    <row r="1830" customFormat="false" ht="15" hidden="false" customHeight="true" outlineLevel="0" collapsed="false">
      <c r="O1830" s="1" t="n">
        <f aca="false">IF($B1830="",0,IF(AND(OR(Filter!$B$5="(alle)",$N1830=Filter!$B$5),OR(Filter!$E$5="(alle)",$K1830=Filter!$E$5),OR(Filter!$H$5="(alle)",$C1830=Filter!$H$5),OR(Filter!$B$7="(alle)",$E1830=Filter!$B$7),OR(Filter!$E$7="(alle)",ISNUMBER(SEARCH(Filter!$E$7,$J1830))),OR(Filter!$H$7="(alle)",ISNUMBER(SEARCH(Filter!$H$7,$I1830))),OR(Filter!$B$9="",ISNUMBER(SEARCH(Filter!$B$9,$F1830&amp;" "&amp;$G1830)))),COUNTIF($O$6:$O1829,"&gt;0")+1,0))</f>
        <v>0</v>
      </c>
    </row>
    <row r="1831" customFormat="false" ht="15" hidden="false" customHeight="true" outlineLevel="0" collapsed="false">
      <c r="O1831" s="1" t="n">
        <f aca="false">IF($B1831="",0,IF(AND(OR(Filter!$B$5="(alle)",$N1831=Filter!$B$5),OR(Filter!$E$5="(alle)",$K1831=Filter!$E$5),OR(Filter!$H$5="(alle)",$C1831=Filter!$H$5),OR(Filter!$B$7="(alle)",$E1831=Filter!$B$7),OR(Filter!$E$7="(alle)",ISNUMBER(SEARCH(Filter!$E$7,$J1831))),OR(Filter!$H$7="(alle)",ISNUMBER(SEARCH(Filter!$H$7,$I1831))),OR(Filter!$B$9="",ISNUMBER(SEARCH(Filter!$B$9,$F1831&amp;" "&amp;$G1831)))),COUNTIF($O$6:$O1830,"&gt;0")+1,0))</f>
        <v>0</v>
      </c>
    </row>
    <row r="1832" customFormat="false" ht="15" hidden="false" customHeight="true" outlineLevel="0" collapsed="false">
      <c r="O1832" s="1" t="n">
        <f aca="false">IF($B1832="",0,IF(AND(OR(Filter!$B$5="(alle)",$N1832=Filter!$B$5),OR(Filter!$E$5="(alle)",$K1832=Filter!$E$5),OR(Filter!$H$5="(alle)",$C1832=Filter!$H$5),OR(Filter!$B$7="(alle)",$E1832=Filter!$B$7),OR(Filter!$E$7="(alle)",ISNUMBER(SEARCH(Filter!$E$7,$J1832))),OR(Filter!$H$7="(alle)",ISNUMBER(SEARCH(Filter!$H$7,$I1832))),OR(Filter!$B$9="",ISNUMBER(SEARCH(Filter!$B$9,$F1832&amp;" "&amp;$G1832)))),COUNTIF($O$6:$O1831,"&gt;0")+1,0))</f>
        <v>0</v>
      </c>
    </row>
    <row r="1833" customFormat="false" ht="15" hidden="false" customHeight="true" outlineLevel="0" collapsed="false">
      <c r="O1833" s="1" t="n">
        <f aca="false">IF($B1833="",0,IF(AND(OR(Filter!$B$5="(alle)",$N1833=Filter!$B$5),OR(Filter!$E$5="(alle)",$K1833=Filter!$E$5),OR(Filter!$H$5="(alle)",$C1833=Filter!$H$5),OR(Filter!$B$7="(alle)",$E1833=Filter!$B$7),OR(Filter!$E$7="(alle)",ISNUMBER(SEARCH(Filter!$E$7,$J1833))),OR(Filter!$H$7="(alle)",ISNUMBER(SEARCH(Filter!$H$7,$I1833))),OR(Filter!$B$9="",ISNUMBER(SEARCH(Filter!$B$9,$F1833&amp;" "&amp;$G1833)))),COUNTIF($O$6:$O1832,"&gt;0")+1,0))</f>
        <v>0</v>
      </c>
    </row>
    <row r="1834" customFormat="false" ht="15" hidden="false" customHeight="true" outlineLevel="0" collapsed="false">
      <c r="O1834" s="1" t="n">
        <f aca="false">IF($B1834="",0,IF(AND(OR(Filter!$B$5="(alle)",$N1834=Filter!$B$5),OR(Filter!$E$5="(alle)",$K1834=Filter!$E$5),OR(Filter!$H$5="(alle)",$C1834=Filter!$H$5),OR(Filter!$B$7="(alle)",$E1834=Filter!$B$7),OR(Filter!$E$7="(alle)",ISNUMBER(SEARCH(Filter!$E$7,$J1834))),OR(Filter!$H$7="(alle)",ISNUMBER(SEARCH(Filter!$H$7,$I1834))),OR(Filter!$B$9="",ISNUMBER(SEARCH(Filter!$B$9,$F1834&amp;" "&amp;$G1834)))),COUNTIF($O$6:$O1833,"&gt;0")+1,0))</f>
        <v>0</v>
      </c>
    </row>
    <row r="1835" customFormat="false" ht="15" hidden="false" customHeight="true" outlineLevel="0" collapsed="false">
      <c r="O1835" s="1" t="n">
        <f aca="false">IF($B1835="",0,IF(AND(OR(Filter!$B$5="(alle)",$N1835=Filter!$B$5),OR(Filter!$E$5="(alle)",$K1835=Filter!$E$5),OR(Filter!$H$5="(alle)",$C1835=Filter!$H$5),OR(Filter!$B$7="(alle)",$E1835=Filter!$B$7),OR(Filter!$E$7="(alle)",ISNUMBER(SEARCH(Filter!$E$7,$J1835))),OR(Filter!$H$7="(alle)",ISNUMBER(SEARCH(Filter!$H$7,$I1835))),OR(Filter!$B$9="",ISNUMBER(SEARCH(Filter!$B$9,$F1835&amp;" "&amp;$G1835)))),COUNTIF($O$6:$O1834,"&gt;0")+1,0))</f>
        <v>0</v>
      </c>
    </row>
    <row r="1836" customFormat="false" ht="15" hidden="false" customHeight="true" outlineLevel="0" collapsed="false">
      <c r="O1836" s="1" t="n">
        <f aca="false">IF($B1836="",0,IF(AND(OR(Filter!$B$5="(alle)",$N1836=Filter!$B$5),OR(Filter!$E$5="(alle)",$K1836=Filter!$E$5),OR(Filter!$H$5="(alle)",$C1836=Filter!$H$5),OR(Filter!$B$7="(alle)",$E1836=Filter!$B$7),OR(Filter!$E$7="(alle)",ISNUMBER(SEARCH(Filter!$E$7,$J1836))),OR(Filter!$H$7="(alle)",ISNUMBER(SEARCH(Filter!$H$7,$I1836))),OR(Filter!$B$9="",ISNUMBER(SEARCH(Filter!$B$9,$F1836&amp;" "&amp;$G1836)))),COUNTIF($O$6:$O1835,"&gt;0")+1,0))</f>
        <v>0</v>
      </c>
    </row>
    <row r="1837" customFormat="false" ht="15" hidden="false" customHeight="true" outlineLevel="0" collapsed="false">
      <c r="O1837" s="1" t="n">
        <f aca="false">IF($B1837="",0,IF(AND(OR(Filter!$B$5="(alle)",$N1837=Filter!$B$5),OR(Filter!$E$5="(alle)",$K1837=Filter!$E$5),OR(Filter!$H$5="(alle)",$C1837=Filter!$H$5),OR(Filter!$B$7="(alle)",$E1837=Filter!$B$7),OR(Filter!$E$7="(alle)",ISNUMBER(SEARCH(Filter!$E$7,$J1837))),OR(Filter!$H$7="(alle)",ISNUMBER(SEARCH(Filter!$H$7,$I1837))),OR(Filter!$B$9="",ISNUMBER(SEARCH(Filter!$B$9,$F1837&amp;" "&amp;$G1837)))),COUNTIF($O$6:$O1836,"&gt;0")+1,0))</f>
        <v>0</v>
      </c>
    </row>
    <row r="1838" customFormat="false" ht="15" hidden="false" customHeight="true" outlineLevel="0" collapsed="false">
      <c r="O1838" s="1" t="n">
        <f aca="false">IF($B1838="",0,IF(AND(OR(Filter!$B$5="(alle)",$N1838=Filter!$B$5),OR(Filter!$E$5="(alle)",$K1838=Filter!$E$5),OR(Filter!$H$5="(alle)",$C1838=Filter!$H$5),OR(Filter!$B$7="(alle)",$E1838=Filter!$B$7),OR(Filter!$E$7="(alle)",ISNUMBER(SEARCH(Filter!$E$7,$J1838))),OR(Filter!$H$7="(alle)",ISNUMBER(SEARCH(Filter!$H$7,$I1838))),OR(Filter!$B$9="",ISNUMBER(SEARCH(Filter!$B$9,$F1838&amp;" "&amp;$G1838)))),COUNTIF($O$6:$O1837,"&gt;0")+1,0))</f>
        <v>0</v>
      </c>
    </row>
    <row r="1839" customFormat="false" ht="15" hidden="false" customHeight="true" outlineLevel="0" collapsed="false">
      <c r="O1839" s="1" t="n">
        <f aca="false">IF($B1839="",0,IF(AND(OR(Filter!$B$5="(alle)",$N1839=Filter!$B$5),OR(Filter!$E$5="(alle)",$K1839=Filter!$E$5),OR(Filter!$H$5="(alle)",$C1839=Filter!$H$5),OR(Filter!$B$7="(alle)",$E1839=Filter!$B$7),OR(Filter!$E$7="(alle)",ISNUMBER(SEARCH(Filter!$E$7,$J1839))),OR(Filter!$H$7="(alle)",ISNUMBER(SEARCH(Filter!$H$7,$I1839))),OR(Filter!$B$9="",ISNUMBER(SEARCH(Filter!$B$9,$F1839&amp;" "&amp;$G1839)))),COUNTIF($O$6:$O1838,"&gt;0")+1,0))</f>
        <v>0</v>
      </c>
    </row>
    <row r="1840" customFormat="false" ht="15" hidden="false" customHeight="true" outlineLevel="0" collapsed="false">
      <c r="O1840" s="1" t="n">
        <f aca="false">IF($B1840="",0,IF(AND(OR(Filter!$B$5="(alle)",$N1840=Filter!$B$5),OR(Filter!$E$5="(alle)",$K1840=Filter!$E$5),OR(Filter!$H$5="(alle)",$C1840=Filter!$H$5),OR(Filter!$B$7="(alle)",$E1840=Filter!$B$7),OR(Filter!$E$7="(alle)",ISNUMBER(SEARCH(Filter!$E$7,$J1840))),OR(Filter!$H$7="(alle)",ISNUMBER(SEARCH(Filter!$H$7,$I1840))),OR(Filter!$B$9="",ISNUMBER(SEARCH(Filter!$B$9,$F1840&amp;" "&amp;$G1840)))),COUNTIF($O$6:$O1839,"&gt;0")+1,0))</f>
        <v>0</v>
      </c>
    </row>
    <row r="1841" customFormat="false" ht="15" hidden="false" customHeight="true" outlineLevel="0" collapsed="false">
      <c r="O1841" s="1" t="n">
        <f aca="false">IF($B1841="",0,IF(AND(OR(Filter!$B$5="(alle)",$N1841=Filter!$B$5),OR(Filter!$E$5="(alle)",$K1841=Filter!$E$5),OR(Filter!$H$5="(alle)",$C1841=Filter!$H$5),OR(Filter!$B$7="(alle)",$E1841=Filter!$B$7),OR(Filter!$E$7="(alle)",ISNUMBER(SEARCH(Filter!$E$7,$J1841))),OR(Filter!$H$7="(alle)",ISNUMBER(SEARCH(Filter!$H$7,$I1841))),OR(Filter!$B$9="",ISNUMBER(SEARCH(Filter!$B$9,$F1841&amp;" "&amp;$G1841)))),COUNTIF($O$6:$O1840,"&gt;0")+1,0))</f>
        <v>0</v>
      </c>
    </row>
    <row r="1842" customFormat="false" ht="15" hidden="false" customHeight="true" outlineLevel="0" collapsed="false">
      <c r="O1842" s="1" t="n">
        <f aca="false">IF($B1842="",0,IF(AND(OR(Filter!$B$5="(alle)",$N1842=Filter!$B$5),OR(Filter!$E$5="(alle)",$K1842=Filter!$E$5),OR(Filter!$H$5="(alle)",$C1842=Filter!$H$5),OR(Filter!$B$7="(alle)",$E1842=Filter!$B$7),OR(Filter!$E$7="(alle)",ISNUMBER(SEARCH(Filter!$E$7,$J1842))),OR(Filter!$H$7="(alle)",ISNUMBER(SEARCH(Filter!$H$7,$I1842))),OR(Filter!$B$9="",ISNUMBER(SEARCH(Filter!$B$9,$F1842&amp;" "&amp;$G1842)))),COUNTIF($O$6:$O1841,"&gt;0")+1,0))</f>
        <v>0</v>
      </c>
    </row>
    <row r="1843" customFormat="false" ht="15" hidden="false" customHeight="true" outlineLevel="0" collapsed="false">
      <c r="O1843" s="1" t="n">
        <f aca="false">IF($B1843="",0,IF(AND(OR(Filter!$B$5="(alle)",$N1843=Filter!$B$5),OR(Filter!$E$5="(alle)",$K1843=Filter!$E$5),OR(Filter!$H$5="(alle)",$C1843=Filter!$H$5),OR(Filter!$B$7="(alle)",$E1843=Filter!$B$7),OR(Filter!$E$7="(alle)",ISNUMBER(SEARCH(Filter!$E$7,$J1843))),OR(Filter!$H$7="(alle)",ISNUMBER(SEARCH(Filter!$H$7,$I1843))),OR(Filter!$B$9="",ISNUMBER(SEARCH(Filter!$B$9,$F1843&amp;" "&amp;$G1843)))),COUNTIF($O$6:$O1842,"&gt;0")+1,0))</f>
        <v>0</v>
      </c>
    </row>
    <row r="1844" customFormat="false" ht="15" hidden="false" customHeight="true" outlineLevel="0" collapsed="false">
      <c r="O1844" s="1" t="n">
        <f aca="false">IF($B1844="",0,IF(AND(OR(Filter!$B$5="(alle)",$N1844=Filter!$B$5),OR(Filter!$E$5="(alle)",$K1844=Filter!$E$5),OR(Filter!$H$5="(alle)",$C1844=Filter!$H$5),OR(Filter!$B$7="(alle)",$E1844=Filter!$B$7),OR(Filter!$E$7="(alle)",ISNUMBER(SEARCH(Filter!$E$7,$J1844))),OR(Filter!$H$7="(alle)",ISNUMBER(SEARCH(Filter!$H$7,$I1844))),OR(Filter!$B$9="",ISNUMBER(SEARCH(Filter!$B$9,$F1844&amp;" "&amp;$G1844)))),COUNTIF($O$6:$O1843,"&gt;0")+1,0))</f>
        <v>0</v>
      </c>
    </row>
    <row r="1845" customFormat="false" ht="15" hidden="false" customHeight="true" outlineLevel="0" collapsed="false">
      <c r="O1845" s="1" t="n">
        <f aca="false">IF($B1845="",0,IF(AND(OR(Filter!$B$5="(alle)",$N1845=Filter!$B$5),OR(Filter!$E$5="(alle)",$K1845=Filter!$E$5),OR(Filter!$H$5="(alle)",$C1845=Filter!$H$5),OR(Filter!$B$7="(alle)",$E1845=Filter!$B$7),OR(Filter!$E$7="(alle)",ISNUMBER(SEARCH(Filter!$E$7,$J1845))),OR(Filter!$H$7="(alle)",ISNUMBER(SEARCH(Filter!$H$7,$I1845))),OR(Filter!$B$9="",ISNUMBER(SEARCH(Filter!$B$9,$F1845&amp;" "&amp;$G1845)))),COUNTIF($O$6:$O1844,"&gt;0")+1,0))</f>
        <v>0</v>
      </c>
    </row>
    <row r="1846" customFormat="false" ht="15" hidden="false" customHeight="true" outlineLevel="0" collapsed="false">
      <c r="O1846" s="1" t="n">
        <f aca="false">IF($B1846="",0,IF(AND(OR(Filter!$B$5="(alle)",$N1846=Filter!$B$5),OR(Filter!$E$5="(alle)",$K1846=Filter!$E$5),OR(Filter!$H$5="(alle)",$C1846=Filter!$H$5),OR(Filter!$B$7="(alle)",$E1846=Filter!$B$7),OR(Filter!$E$7="(alle)",ISNUMBER(SEARCH(Filter!$E$7,$J1846))),OR(Filter!$H$7="(alle)",ISNUMBER(SEARCH(Filter!$H$7,$I1846))),OR(Filter!$B$9="",ISNUMBER(SEARCH(Filter!$B$9,$F1846&amp;" "&amp;$G1846)))),COUNTIF($O$6:$O1845,"&gt;0")+1,0))</f>
        <v>0</v>
      </c>
    </row>
    <row r="1847" customFormat="false" ht="15" hidden="false" customHeight="true" outlineLevel="0" collapsed="false">
      <c r="O1847" s="1" t="n">
        <f aca="false">IF($B1847="",0,IF(AND(OR(Filter!$B$5="(alle)",$N1847=Filter!$B$5),OR(Filter!$E$5="(alle)",$K1847=Filter!$E$5),OR(Filter!$H$5="(alle)",$C1847=Filter!$H$5),OR(Filter!$B$7="(alle)",$E1847=Filter!$B$7),OR(Filter!$E$7="(alle)",ISNUMBER(SEARCH(Filter!$E$7,$J1847))),OR(Filter!$H$7="(alle)",ISNUMBER(SEARCH(Filter!$H$7,$I1847))),OR(Filter!$B$9="",ISNUMBER(SEARCH(Filter!$B$9,$F1847&amp;" "&amp;$G1847)))),COUNTIF($O$6:$O1846,"&gt;0")+1,0))</f>
        <v>0</v>
      </c>
    </row>
    <row r="1848" customFormat="false" ht="15" hidden="false" customHeight="true" outlineLevel="0" collapsed="false">
      <c r="O1848" s="1" t="n">
        <f aca="false">IF($B1848="",0,IF(AND(OR(Filter!$B$5="(alle)",$N1848=Filter!$B$5),OR(Filter!$E$5="(alle)",$K1848=Filter!$E$5),OR(Filter!$H$5="(alle)",$C1848=Filter!$H$5),OR(Filter!$B$7="(alle)",$E1848=Filter!$B$7),OR(Filter!$E$7="(alle)",ISNUMBER(SEARCH(Filter!$E$7,$J1848))),OR(Filter!$H$7="(alle)",ISNUMBER(SEARCH(Filter!$H$7,$I1848))),OR(Filter!$B$9="",ISNUMBER(SEARCH(Filter!$B$9,$F1848&amp;" "&amp;$G1848)))),COUNTIF($O$6:$O1847,"&gt;0")+1,0))</f>
        <v>0</v>
      </c>
    </row>
    <row r="1849" customFormat="false" ht="15" hidden="false" customHeight="true" outlineLevel="0" collapsed="false">
      <c r="O1849" s="1" t="n">
        <f aca="false">IF($B1849="",0,IF(AND(OR(Filter!$B$5="(alle)",$N1849=Filter!$B$5),OR(Filter!$E$5="(alle)",$K1849=Filter!$E$5),OR(Filter!$H$5="(alle)",$C1849=Filter!$H$5),OR(Filter!$B$7="(alle)",$E1849=Filter!$B$7),OR(Filter!$E$7="(alle)",ISNUMBER(SEARCH(Filter!$E$7,$J1849))),OR(Filter!$H$7="(alle)",ISNUMBER(SEARCH(Filter!$H$7,$I1849))),OR(Filter!$B$9="",ISNUMBER(SEARCH(Filter!$B$9,$F1849&amp;" "&amp;$G1849)))),COUNTIF($O$6:$O1848,"&gt;0")+1,0))</f>
        <v>0</v>
      </c>
    </row>
    <row r="1850" customFormat="false" ht="15" hidden="false" customHeight="true" outlineLevel="0" collapsed="false">
      <c r="O1850" s="1" t="n">
        <f aca="false">IF($B1850="",0,IF(AND(OR(Filter!$B$5="(alle)",$N1850=Filter!$B$5),OR(Filter!$E$5="(alle)",$K1850=Filter!$E$5),OR(Filter!$H$5="(alle)",$C1850=Filter!$H$5),OR(Filter!$B$7="(alle)",$E1850=Filter!$B$7),OR(Filter!$E$7="(alle)",ISNUMBER(SEARCH(Filter!$E$7,$J1850))),OR(Filter!$H$7="(alle)",ISNUMBER(SEARCH(Filter!$H$7,$I1850))),OR(Filter!$B$9="",ISNUMBER(SEARCH(Filter!$B$9,$F1850&amp;" "&amp;$G1850)))),COUNTIF($O$6:$O1849,"&gt;0")+1,0))</f>
        <v>0</v>
      </c>
    </row>
    <row r="1851" customFormat="false" ht="15" hidden="false" customHeight="true" outlineLevel="0" collapsed="false">
      <c r="O1851" s="1" t="n">
        <f aca="false">IF($B1851="",0,IF(AND(OR(Filter!$B$5="(alle)",$N1851=Filter!$B$5),OR(Filter!$E$5="(alle)",$K1851=Filter!$E$5),OR(Filter!$H$5="(alle)",$C1851=Filter!$H$5),OR(Filter!$B$7="(alle)",$E1851=Filter!$B$7),OR(Filter!$E$7="(alle)",ISNUMBER(SEARCH(Filter!$E$7,$J1851))),OR(Filter!$H$7="(alle)",ISNUMBER(SEARCH(Filter!$H$7,$I1851))),OR(Filter!$B$9="",ISNUMBER(SEARCH(Filter!$B$9,$F1851&amp;" "&amp;$G1851)))),COUNTIF($O$6:$O1850,"&gt;0")+1,0))</f>
        <v>0</v>
      </c>
    </row>
    <row r="1852" customFormat="false" ht="15" hidden="false" customHeight="true" outlineLevel="0" collapsed="false">
      <c r="O1852" s="1" t="n">
        <f aca="false">IF($B1852="",0,IF(AND(OR(Filter!$B$5="(alle)",$N1852=Filter!$B$5),OR(Filter!$E$5="(alle)",$K1852=Filter!$E$5),OR(Filter!$H$5="(alle)",$C1852=Filter!$H$5),OR(Filter!$B$7="(alle)",$E1852=Filter!$B$7),OR(Filter!$E$7="(alle)",ISNUMBER(SEARCH(Filter!$E$7,$J1852))),OR(Filter!$H$7="(alle)",ISNUMBER(SEARCH(Filter!$H$7,$I1852))),OR(Filter!$B$9="",ISNUMBER(SEARCH(Filter!$B$9,$F1852&amp;" "&amp;$G1852)))),COUNTIF($O$6:$O1851,"&gt;0")+1,0))</f>
        <v>0</v>
      </c>
    </row>
    <row r="1853" customFormat="false" ht="15" hidden="false" customHeight="true" outlineLevel="0" collapsed="false">
      <c r="O1853" s="1" t="n">
        <f aca="false">IF($B1853="",0,IF(AND(OR(Filter!$B$5="(alle)",$N1853=Filter!$B$5),OR(Filter!$E$5="(alle)",$K1853=Filter!$E$5),OR(Filter!$H$5="(alle)",$C1853=Filter!$H$5),OR(Filter!$B$7="(alle)",$E1853=Filter!$B$7),OR(Filter!$E$7="(alle)",ISNUMBER(SEARCH(Filter!$E$7,$J1853))),OR(Filter!$H$7="(alle)",ISNUMBER(SEARCH(Filter!$H$7,$I1853))),OR(Filter!$B$9="",ISNUMBER(SEARCH(Filter!$B$9,$F1853&amp;" "&amp;$G1853)))),COUNTIF($O$6:$O1852,"&gt;0")+1,0))</f>
        <v>0</v>
      </c>
    </row>
    <row r="1854" customFormat="false" ht="15" hidden="false" customHeight="true" outlineLevel="0" collapsed="false">
      <c r="O1854" s="1" t="n">
        <f aca="false">IF($B1854="",0,IF(AND(OR(Filter!$B$5="(alle)",$N1854=Filter!$B$5),OR(Filter!$E$5="(alle)",$K1854=Filter!$E$5),OR(Filter!$H$5="(alle)",$C1854=Filter!$H$5),OR(Filter!$B$7="(alle)",$E1854=Filter!$B$7),OR(Filter!$E$7="(alle)",ISNUMBER(SEARCH(Filter!$E$7,$J1854))),OR(Filter!$H$7="(alle)",ISNUMBER(SEARCH(Filter!$H$7,$I1854))),OR(Filter!$B$9="",ISNUMBER(SEARCH(Filter!$B$9,$F1854&amp;" "&amp;$G1854)))),COUNTIF($O$6:$O1853,"&gt;0")+1,0))</f>
        <v>0</v>
      </c>
    </row>
    <row r="1855" customFormat="false" ht="15" hidden="false" customHeight="true" outlineLevel="0" collapsed="false">
      <c r="O1855" s="1" t="n">
        <f aca="false">IF($B1855="",0,IF(AND(OR(Filter!$B$5="(alle)",$N1855=Filter!$B$5),OR(Filter!$E$5="(alle)",$K1855=Filter!$E$5),OR(Filter!$H$5="(alle)",$C1855=Filter!$H$5),OR(Filter!$B$7="(alle)",$E1855=Filter!$B$7),OR(Filter!$E$7="(alle)",ISNUMBER(SEARCH(Filter!$E$7,$J1855))),OR(Filter!$H$7="(alle)",ISNUMBER(SEARCH(Filter!$H$7,$I1855))),OR(Filter!$B$9="",ISNUMBER(SEARCH(Filter!$B$9,$F1855&amp;" "&amp;$G1855)))),COUNTIF($O$6:$O1854,"&gt;0")+1,0))</f>
        <v>0</v>
      </c>
    </row>
    <row r="1856" customFormat="false" ht="15" hidden="false" customHeight="true" outlineLevel="0" collapsed="false">
      <c r="O1856" s="1" t="n">
        <f aca="false">IF($B1856="",0,IF(AND(OR(Filter!$B$5="(alle)",$N1856=Filter!$B$5),OR(Filter!$E$5="(alle)",$K1856=Filter!$E$5),OR(Filter!$H$5="(alle)",$C1856=Filter!$H$5),OR(Filter!$B$7="(alle)",$E1856=Filter!$B$7),OR(Filter!$E$7="(alle)",ISNUMBER(SEARCH(Filter!$E$7,$J1856))),OR(Filter!$H$7="(alle)",ISNUMBER(SEARCH(Filter!$H$7,$I1856))),OR(Filter!$B$9="",ISNUMBER(SEARCH(Filter!$B$9,$F1856&amp;" "&amp;$G1856)))),COUNTIF($O$6:$O1855,"&gt;0")+1,0))</f>
        <v>0</v>
      </c>
    </row>
    <row r="1857" customFormat="false" ht="15" hidden="false" customHeight="true" outlineLevel="0" collapsed="false">
      <c r="O1857" s="1" t="n">
        <f aca="false">IF($B1857="",0,IF(AND(OR(Filter!$B$5="(alle)",$N1857=Filter!$B$5),OR(Filter!$E$5="(alle)",$K1857=Filter!$E$5),OR(Filter!$H$5="(alle)",$C1857=Filter!$H$5),OR(Filter!$B$7="(alle)",$E1857=Filter!$B$7),OR(Filter!$E$7="(alle)",ISNUMBER(SEARCH(Filter!$E$7,$J1857))),OR(Filter!$H$7="(alle)",ISNUMBER(SEARCH(Filter!$H$7,$I1857))),OR(Filter!$B$9="",ISNUMBER(SEARCH(Filter!$B$9,$F1857&amp;" "&amp;$G1857)))),COUNTIF($O$6:$O1856,"&gt;0")+1,0))</f>
        <v>0</v>
      </c>
    </row>
    <row r="1858" customFormat="false" ht="15" hidden="false" customHeight="true" outlineLevel="0" collapsed="false">
      <c r="O1858" s="1" t="n">
        <f aca="false">IF($B1858="",0,IF(AND(OR(Filter!$B$5="(alle)",$N1858=Filter!$B$5),OR(Filter!$E$5="(alle)",$K1858=Filter!$E$5),OR(Filter!$H$5="(alle)",$C1858=Filter!$H$5),OR(Filter!$B$7="(alle)",$E1858=Filter!$B$7),OR(Filter!$E$7="(alle)",ISNUMBER(SEARCH(Filter!$E$7,$J1858))),OR(Filter!$H$7="(alle)",ISNUMBER(SEARCH(Filter!$H$7,$I1858))),OR(Filter!$B$9="",ISNUMBER(SEARCH(Filter!$B$9,$F1858&amp;" "&amp;$G1858)))),COUNTIF($O$6:$O1857,"&gt;0")+1,0))</f>
        <v>0</v>
      </c>
    </row>
    <row r="1859" customFormat="false" ht="15" hidden="false" customHeight="true" outlineLevel="0" collapsed="false">
      <c r="O1859" s="1" t="n">
        <f aca="false">IF($B1859="",0,IF(AND(OR(Filter!$B$5="(alle)",$N1859=Filter!$B$5),OR(Filter!$E$5="(alle)",$K1859=Filter!$E$5),OR(Filter!$H$5="(alle)",$C1859=Filter!$H$5),OR(Filter!$B$7="(alle)",$E1859=Filter!$B$7),OR(Filter!$E$7="(alle)",ISNUMBER(SEARCH(Filter!$E$7,$J1859))),OR(Filter!$H$7="(alle)",ISNUMBER(SEARCH(Filter!$H$7,$I1859))),OR(Filter!$B$9="",ISNUMBER(SEARCH(Filter!$B$9,$F1859&amp;" "&amp;$G1859)))),COUNTIF($O$6:$O1858,"&gt;0")+1,0))</f>
        <v>0</v>
      </c>
    </row>
    <row r="1860" customFormat="false" ht="15" hidden="false" customHeight="true" outlineLevel="0" collapsed="false">
      <c r="O1860" s="1" t="n">
        <f aca="false">IF($B1860="",0,IF(AND(OR(Filter!$B$5="(alle)",$N1860=Filter!$B$5),OR(Filter!$E$5="(alle)",$K1860=Filter!$E$5),OR(Filter!$H$5="(alle)",$C1860=Filter!$H$5),OR(Filter!$B$7="(alle)",$E1860=Filter!$B$7),OR(Filter!$E$7="(alle)",ISNUMBER(SEARCH(Filter!$E$7,$J1860))),OR(Filter!$H$7="(alle)",ISNUMBER(SEARCH(Filter!$H$7,$I1860))),OR(Filter!$B$9="",ISNUMBER(SEARCH(Filter!$B$9,$F1860&amp;" "&amp;$G1860)))),COUNTIF($O$6:$O1859,"&gt;0")+1,0))</f>
        <v>0</v>
      </c>
    </row>
    <row r="1861" customFormat="false" ht="15" hidden="false" customHeight="true" outlineLevel="0" collapsed="false">
      <c r="O1861" s="1" t="n">
        <f aca="false">IF($B1861="",0,IF(AND(OR(Filter!$B$5="(alle)",$N1861=Filter!$B$5),OR(Filter!$E$5="(alle)",$K1861=Filter!$E$5),OR(Filter!$H$5="(alle)",$C1861=Filter!$H$5),OR(Filter!$B$7="(alle)",$E1861=Filter!$B$7),OR(Filter!$E$7="(alle)",ISNUMBER(SEARCH(Filter!$E$7,$J1861))),OR(Filter!$H$7="(alle)",ISNUMBER(SEARCH(Filter!$H$7,$I1861))),OR(Filter!$B$9="",ISNUMBER(SEARCH(Filter!$B$9,$F1861&amp;" "&amp;$G1861)))),COUNTIF($O$6:$O1860,"&gt;0")+1,0))</f>
        <v>0</v>
      </c>
    </row>
    <row r="1862" customFormat="false" ht="15" hidden="false" customHeight="true" outlineLevel="0" collapsed="false">
      <c r="O1862" s="1" t="n">
        <f aca="false">IF($B1862="",0,IF(AND(OR(Filter!$B$5="(alle)",$N1862=Filter!$B$5),OR(Filter!$E$5="(alle)",$K1862=Filter!$E$5),OR(Filter!$H$5="(alle)",$C1862=Filter!$H$5),OR(Filter!$B$7="(alle)",$E1862=Filter!$B$7),OR(Filter!$E$7="(alle)",ISNUMBER(SEARCH(Filter!$E$7,$J1862))),OR(Filter!$H$7="(alle)",ISNUMBER(SEARCH(Filter!$H$7,$I1862))),OR(Filter!$B$9="",ISNUMBER(SEARCH(Filter!$B$9,$F1862&amp;" "&amp;$G1862)))),COUNTIF($O$6:$O1861,"&gt;0")+1,0))</f>
        <v>0</v>
      </c>
    </row>
    <row r="1863" customFormat="false" ht="15" hidden="false" customHeight="true" outlineLevel="0" collapsed="false">
      <c r="O1863" s="1" t="n">
        <f aca="false">IF($B1863="",0,IF(AND(OR(Filter!$B$5="(alle)",$N1863=Filter!$B$5),OR(Filter!$E$5="(alle)",$K1863=Filter!$E$5),OR(Filter!$H$5="(alle)",$C1863=Filter!$H$5),OR(Filter!$B$7="(alle)",$E1863=Filter!$B$7),OR(Filter!$E$7="(alle)",ISNUMBER(SEARCH(Filter!$E$7,$J1863))),OR(Filter!$H$7="(alle)",ISNUMBER(SEARCH(Filter!$H$7,$I1863))),OR(Filter!$B$9="",ISNUMBER(SEARCH(Filter!$B$9,$F1863&amp;" "&amp;$G1863)))),COUNTIF($O$6:$O1862,"&gt;0")+1,0))</f>
        <v>0</v>
      </c>
    </row>
    <row r="1864" customFormat="false" ht="15" hidden="false" customHeight="true" outlineLevel="0" collapsed="false">
      <c r="O1864" s="1" t="n">
        <f aca="false">IF($B1864="",0,IF(AND(OR(Filter!$B$5="(alle)",$N1864=Filter!$B$5),OR(Filter!$E$5="(alle)",$K1864=Filter!$E$5),OR(Filter!$H$5="(alle)",$C1864=Filter!$H$5),OR(Filter!$B$7="(alle)",$E1864=Filter!$B$7),OR(Filter!$E$7="(alle)",ISNUMBER(SEARCH(Filter!$E$7,$J1864))),OR(Filter!$H$7="(alle)",ISNUMBER(SEARCH(Filter!$H$7,$I1864))),OR(Filter!$B$9="",ISNUMBER(SEARCH(Filter!$B$9,$F1864&amp;" "&amp;$G1864)))),COUNTIF($O$6:$O1863,"&gt;0")+1,0))</f>
        <v>0</v>
      </c>
    </row>
    <row r="1865" customFormat="false" ht="15" hidden="false" customHeight="true" outlineLevel="0" collapsed="false">
      <c r="O1865" s="1" t="n">
        <f aca="false">IF($B1865="",0,IF(AND(OR(Filter!$B$5="(alle)",$N1865=Filter!$B$5),OR(Filter!$E$5="(alle)",$K1865=Filter!$E$5),OR(Filter!$H$5="(alle)",$C1865=Filter!$H$5),OR(Filter!$B$7="(alle)",$E1865=Filter!$B$7),OR(Filter!$E$7="(alle)",ISNUMBER(SEARCH(Filter!$E$7,$J1865))),OR(Filter!$H$7="(alle)",ISNUMBER(SEARCH(Filter!$H$7,$I1865))),OR(Filter!$B$9="",ISNUMBER(SEARCH(Filter!$B$9,$F1865&amp;" "&amp;$G1865)))),COUNTIF($O$6:$O1864,"&gt;0")+1,0))</f>
        <v>0</v>
      </c>
    </row>
    <row r="1866" customFormat="false" ht="15" hidden="false" customHeight="true" outlineLevel="0" collapsed="false">
      <c r="O1866" s="1" t="n">
        <f aca="false">IF($B1866="",0,IF(AND(OR(Filter!$B$5="(alle)",$N1866=Filter!$B$5),OR(Filter!$E$5="(alle)",$K1866=Filter!$E$5),OR(Filter!$H$5="(alle)",$C1866=Filter!$H$5),OR(Filter!$B$7="(alle)",$E1866=Filter!$B$7),OR(Filter!$E$7="(alle)",ISNUMBER(SEARCH(Filter!$E$7,$J1866))),OR(Filter!$H$7="(alle)",ISNUMBER(SEARCH(Filter!$H$7,$I1866))),OR(Filter!$B$9="",ISNUMBER(SEARCH(Filter!$B$9,$F1866&amp;" "&amp;$G1866)))),COUNTIF($O$6:$O1865,"&gt;0")+1,0))</f>
        <v>0</v>
      </c>
    </row>
    <row r="1867" customFormat="false" ht="15" hidden="false" customHeight="true" outlineLevel="0" collapsed="false">
      <c r="O1867" s="1" t="n">
        <f aca="false">IF($B1867="",0,IF(AND(OR(Filter!$B$5="(alle)",$N1867=Filter!$B$5),OR(Filter!$E$5="(alle)",$K1867=Filter!$E$5),OR(Filter!$H$5="(alle)",$C1867=Filter!$H$5),OR(Filter!$B$7="(alle)",$E1867=Filter!$B$7),OR(Filter!$E$7="(alle)",ISNUMBER(SEARCH(Filter!$E$7,$J1867))),OR(Filter!$H$7="(alle)",ISNUMBER(SEARCH(Filter!$H$7,$I1867))),OR(Filter!$B$9="",ISNUMBER(SEARCH(Filter!$B$9,$F1867&amp;" "&amp;$G1867)))),COUNTIF($O$6:$O1866,"&gt;0")+1,0))</f>
        <v>0</v>
      </c>
    </row>
    <row r="1868" customFormat="false" ht="15" hidden="false" customHeight="true" outlineLevel="0" collapsed="false">
      <c r="O1868" s="1" t="n">
        <f aca="false">IF($B1868="",0,IF(AND(OR(Filter!$B$5="(alle)",$N1868=Filter!$B$5),OR(Filter!$E$5="(alle)",$K1868=Filter!$E$5),OR(Filter!$H$5="(alle)",$C1868=Filter!$H$5),OR(Filter!$B$7="(alle)",$E1868=Filter!$B$7),OR(Filter!$E$7="(alle)",ISNUMBER(SEARCH(Filter!$E$7,$J1868))),OR(Filter!$H$7="(alle)",ISNUMBER(SEARCH(Filter!$H$7,$I1868))),OR(Filter!$B$9="",ISNUMBER(SEARCH(Filter!$B$9,$F1868&amp;" "&amp;$G1868)))),COUNTIF($O$6:$O1867,"&gt;0")+1,0))</f>
        <v>0</v>
      </c>
    </row>
    <row r="1869" customFormat="false" ht="15" hidden="false" customHeight="true" outlineLevel="0" collapsed="false">
      <c r="O1869" s="1" t="n">
        <f aca="false">IF($B1869="",0,IF(AND(OR(Filter!$B$5="(alle)",$N1869=Filter!$B$5),OR(Filter!$E$5="(alle)",$K1869=Filter!$E$5),OR(Filter!$H$5="(alle)",$C1869=Filter!$H$5),OR(Filter!$B$7="(alle)",$E1869=Filter!$B$7),OR(Filter!$E$7="(alle)",ISNUMBER(SEARCH(Filter!$E$7,$J1869))),OR(Filter!$H$7="(alle)",ISNUMBER(SEARCH(Filter!$H$7,$I1869))),OR(Filter!$B$9="",ISNUMBER(SEARCH(Filter!$B$9,$F1869&amp;" "&amp;$G1869)))),COUNTIF($O$6:$O1868,"&gt;0")+1,0))</f>
        <v>0</v>
      </c>
    </row>
    <row r="1870" customFormat="false" ht="15" hidden="false" customHeight="true" outlineLevel="0" collapsed="false">
      <c r="O1870" s="1" t="n">
        <f aca="false">IF($B1870="",0,IF(AND(OR(Filter!$B$5="(alle)",$N1870=Filter!$B$5),OR(Filter!$E$5="(alle)",$K1870=Filter!$E$5),OR(Filter!$H$5="(alle)",$C1870=Filter!$H$5),OR(Filter!$B$7="(alle)",$E1870=Filter!$B$7),OR(Filter!$E$7="(alle)",ISNUMBER(SEARCH(Filter!$E$7,$J1870))),OR(Filter!$H$7="(alle)",ISNUMBER(SEARCH(Filter!$H$7,$I1870))),OR(Filter!$B$9="",ISNUMBER(SEARCH(Filter!$B$9,$F1870&amp;" "&amp;$G1870)))),COUNTIF($O$6:$O1869,"&gt;0")+1,0))</f>
        <v>0</v>
      </c>
    </row>
    <row r="1871" customFormat="false" ht="15" hidden="false" customHeight="true" outlineLevel="0" collapsed="false">
      <c r="O1871" s="1" t="n">
        <f aca="false">IF($B1871="",0,IF(AND(OR(Filter!$B$5="(alle)",$N1871=Filter!$B$5),OR(Filter!$E$5="(alle)",$K1871=Filter!$E$5),OR(Filter!$H$5="(alle)",$C1871=Filter!$H$5),OR(Filter!$B$7="(alle)",$E1871=Filter!$B$7),OR(Filter!$E$7="(alle)",ISNUMBER(SEARCH(Filter!$E$7,$J1871))),OR(Filter!$H$7="(alle)",ISNUMBER(SEARCH(Filter!$H$7,$I1871))),OR(Filter!$B$9="",ISNUMBER(SEARCH(Filter!$B$9,$F1871&amp;" "&amp;$G1871)))),COUNTIF($O$6:$O1870,"&gt;0")+1,0))</f>
        <v>0</v>
      </c>
    </row>
    <row r="1872" customFormat="false" ht="15" hidden="false" customHeight="true" outlineLevel="0" collapsed="false">
      <c r="O1872" s="1" t="n">
        <f aca="false">IF($B1872="",0,IF(AND(OR(Filter!$B$5="(alle)",$N1872=Filter!$B$5),OR(Filter!$E$5="(alle)",$K1872=Filter!$E$5),OR(Filter!$H$5="(alle)",$C1872=Filter!$H$5),OR(Filter!$B$7="(alle)",$E1872=Filter!$B$7),OR(Filter!$E$7="(alle)",ISNUMBER(SEARCH(Filter!$E$7,$J1872))),OR(Filter!$H$7="(alle)",ISNUMBER(SEARCH(Filter!$H$7,$I1872))),OR(Filter!$B$9="",ISNUMBER(SEARCH(Filter!$B$9,$F1872&amp;" "&amp;$G1872)))),COUNTIF($O$6:$O1871,"&gt;0")+1,0))</f>
        <v>0</v>
      </c>
    </row>
    <row r="1873" customFormat="false" ht="15" hidden="false" customHeight="true" outlineLevel="0" collapsed="false">
      <c r="O1873" s="1" t="n">
        <f aca="false">IF($B1873="",0,IF(AND(OR(Filter!$B$5="(alle)",$N1873=Filter!$B$5),OR(Filter!$E$5="(alle)",$K1873=Filter!$E$5),OR(Filter!$H$5="(alle)",$C1873=Filter!$H$5),OR(Filter!$B$7="(alle)",$E1873=Filter!$B$7),OR(Filter!$E$7="(alle)",ISNUMBER(SEARCH(Filter!$E$7,$J1873))),OR(Filter!$H$7="(alle)",ISNUMBER(SEARCH(Filter!$H$7,$I1873))),OR(Filter!$B$9="",ISNUMBER(SEARCH(Filter!$B$9,$F1873&amp;" "&amp;$G1873)))),COUNTIF($O$6:$O1872,"&gt;0")+1,0))</f>
        <v>0</v>
      </c>
    </row>
    <row r="1874" customFormat="false" ht="15" hidden="false" customHeight="true" outlineLevel="0" collapsed="false">
      <c r="O1874" s="1" t="n">
        <f aca="false">IF($B1874="",0,IF(AND(OR(Filter!$B$5="(alle)",$N1874=Filter!$B$5),OR(Filter!$E$5="(alle)",$K1874=Filter!$E$5),OR(Filter!$H$5="(alle)",$C1874=Filter!$H$5),OR(Filter!$B$7="(alle)",$E1874=Filter!$B$7),OR(Filter!$E$7="(alle)",ISNUMBER(SEARCH(Filter!$E$7,$J1874))),OR(Filter!$H$7="(alle)",ISNUMBER(SEARCH(Filter!$H$7,$I1874))),OR(Filter!$B$9="",ISNUMBER(SEARCH(Filter!$B$9,$F1874&amp;" "&amp;$G1874)))),COUNTIF($O$6:$O1873,"&gt;0")+1,0))</f>
        <v>0</v>
      </c>
    </row>
    <row r="1875" customFormat="false" ht="15" hidden="false" customHeight="true" outlineLevel="0" collapsed="false">
      <c r="O1875" s="1" t="n">
        <f aca="false">IF($B1875="",0,IF(AND(OR(Filter!$B$5="(alle)",$N1875=Filter!$B$5),OR(Filter!$E$5="(alle)",$K1875=Filter!$E$5),OR(Filter!$H$5="(alle)",$C1875=Filter!$H$5),OR(Filter!$B$7="(alle)",$E1875=Filter!$B$7),OR(Filter!$E$7="(alle)",ISNUMBER(SEARCH(Filter!$E$7,$J1875))),OR(Filter!$H$7="(alle)",ISNUMBER(SEARCH(Filter!$H$7,$I1875))),OR(Filter!$B$9="",ISNUMBER(SEARCH(Filter!$B$9,$F1875&amp;" "&amp;$G1875)))),COUNTIF($O$6:$O1874,"&gt;0")+1,0))</f>
        <v>0</v>
      </c>
    </row>
    <row r="1876" customFormat="false" ht="15" hidden="false" customHeight="true" outlineLevel="0" collapsed="false">
      <c r="O1876" s="1" t="n">
        <f aca="false">IF($B1876="",0,IF(AND(OR(Filter!$B$5="(alle)",$N1876=Filter!$B$5),OR(Filter!$E$5="(alle)",$K1876=Filter!$E$5),OR(Filter!$H$5="(alle)",$C1876=Filter!$H$5),OR(Filter!$B$7="(alle)",$E1876=Filter!$B$7),OR(Filter!$E$7="(alle)",ISNUMBER(SEARCH(Filter!$E$7,$J1876))),OR(Filter!$H$7="(alle)",ISNUMBER(SEARCH(Filter!$H$7,$I1876))),OR(Filter!$B$9="",ISNUMBER(SEARCH(Filter!$B$9,$F1876&amp;" "&amp;$G1876)))),COUNTIF($O$6:$O1875,"&gt;0")+1,0))</f>
        <v>0</v>
      </c>
    </row>
    <row r="1877" customFormat="false" ht="15" hidden="false" customHeight="true" outlineLevel="0" collapsed="false">
      <c r="O1877" s="1" t="n">
        <f aca="false">IF($B1877="",0,IF(AND(OR(Filter!$B$5="(alle)",$N1877=Filter!$B$5),OR(Filter!$E$5="(alle)",$K1877=Filter!$E$5),OR(Filter!$H$5="(alle)",$C1877=Filter!$H$5),OR(Filter!$B$7="(alle)",$E1877=Filter!$B$7),OR(Filter!$E$7="(alle)",ISNUMBER(SEARCH(Filter!$E$7,$J1877))),OR(Filter!$H$7="(alle)",ISNUMBER(SEARCH(Filter!$H$7,$I1877))),OR(Filter!$B$9="",ISNUMBER(SEARCH(Filter!$B$9,$F1877&amp;" "&amp;$G1877)))),COUNTIF($O$6:$O1876,"&gt;0")+1,0))</f>
        <v>0</v>
      </c>
    </row>
    <row r="1878" customFormat="false" ht="15" hidden="false" customHeight="true" outlineLevel="0" collapsed="false">
      <c r="O1878" s="1" t="n">
        <f aca="false">IF($B1878="",0,IF(AND(OR(Filter!$B$5="(alle)",$N1878=Filter!$B$5),OR(Filter!$E$5="(alle)",$K1878=Filter!$E$5),OR(Filter!$H$5="(alle)",$C1878=Filter!$H$5),OR(Filter!$B$7="(alle)",$E1878=Filter!$B$7),OR(Filter!$E$7="(alle)",ISNUMBER(SEARCH(Filter!$E$7,$J1878))),OR(Filter!$H$7="(alle)",ISNUMBER(SEARCH(Filter!$H$7,$I1878))),OR(Filter!$B$9="",ISNUMBER(SEARCH(Filter!$B$9,$F1878&amp;" "&amp;$G1878)))),COUNTIF($O$6:$O1877,"&gt;0")+1,0))</f>
        <v>0</v>
      </c>
    </row>
    <row r="1879" customFormat="false" ht="15" hidden="false" customHeight="true" outlineLevel="0" collapsed="false">
      <c r="O1879" s="1" t="n">
        <f aca="false">IF($B1879="",0,IF(AND(OR(Filter!$B$5="(alle)",$N1879=Filter!$B$5),OR(Filter!$E$5="(alle)",$K1879=Filter!$E$5),OR(Filter!$H$5="(alle)",$C1879=Filter!$H$5),OR(Filter!$B$7="(alle)",$E1879=Filter!$B$7),OR(Filter!$E$7="(alle)",ISNUMBER(SEARCH(Filter!$E$7,$J1879))),OR(Filter!$H$7="(alle)",ISNUMBER(SEARCH(Filter!$H$7,$I1879))),OR(Filter!$B$9="",ISNUMBER(SEARCH(Filter!$B$9,$F1879&amp;" "&amp;$G1879)))),COUNTIF($O$6:$O1878,"&gt;0")+1,0))</f>
        <v>0</v>
      </c>
    </row>
    <row r="1880" customFormat="false" ht="15" hidden="false" customHeight="true" outlineLevel="0" collapsed="false">
      <c r="O1880" s="1" t="n">
        <f aca="false">IF($B1880="",0,IF(AND(OR(Filter!$B$5="(alle)",$N1880=Filter!$B$5),OR(Filter!$E$5="(alle)",$K1880=Filter!$E$5),OR(Filter!$H$5="(alle)",$C1880=Filter!$H$5),OR(Filter!$B$7="(alle)",$E1880=Filter!$B$7),OR(Filter!$E$7="(alle)",ISNUMBER(SEARCH(Filter!$E$7,$J1880))),OR(Filter!$H$7="(alle)",ISNUMBER(SEARCH(Filter!$H$7,$I1880))),OR(Filter!$B$9="",ISNUMBER(SEARCH(Filter!$B$9,$F1880&amp;" "&amp;$G1880)))),COUNTIF($O$6:$O1879,"&gt;0")+1,0))</f>
        <v>0</v>
      </c>
    </row>
    <row r="1881" customFormat="false" ht="15" hidden="false" customHeight="true" outlineLevel="0" collapsed="false">
      <c r="O1881" s="1" t="n">
        <f aca="false">IF($B1881="",0,IF(AND(OR(Filter!$B$5="(alle)",$N1881=Filter!$B$5),OR(Filter!$E$5="(alle)",$K1881=Filter!$E$5),OR(Filter!$H$5="(alle)",$C1881=Filter!$H$5),OR(Filter!$B$7="(alle)",$E1881=Filter!$B$7),OR(Filter!$E$7="(alle)",ISNUMBER(SEARCH(Filter!$E$7,$J1881))),OR(Filter!$H$7="(alle)",ISNUMBER(SEARCH(Filter!$H$7,$I1881))),OR(Filter!$B$9="",ISNUMBER(SEARCH(Filter!$B$9,$F1881&amp;" "&amp;$G1881)))),COUNTIF($O$6:$O1880,"&gt;0")+1,0))</f>
        <v>0</v>
      </c>
    </row>
    <row r="1882" customFormat="false" ht="15" hidden="false" customHeight="true" outlineLevel="0" collapsed="false">
      <c r="O1882" s="1" t="n">
        <f aca="false">IF($B1882="",0,IF(AND(OR(Filter!$B$5="(alle)",$N1882=Filter!$B$5),OR(Filter!$E$5="(alle)",$K1882=Filter!$E$5),OR(Filter!$H$5="(alle)",$C1882=Filter!$H$5),OR(Filter!$B$7="(alle)",$E1882=Filter!$B$7),OR(Filter!$E$7="(alle)",ISNUMBER(SEARCH(Filter!$E$7,$J1882))),OR(Filter!$H$7="(alle)",ISNUMBER(SEARCH(Filter!$H$7,$I1882))),OR(Filter!$B$9="",ISNUMBER(SEARCH(Filter!$B$9,$F1882&amp;" "&amp;$G1882)))),COUNTIF($O$6:$O1881,"&gt;0")+1,0))</f>
        <v>0</v>
      </c>
    </row>
    <row r="1883" customFormat="false" ht="15" hidden="false" customHeight="true" outlineLevel="0" collapsed="false">
      <c r="O1883" s="1" t="n">
        <f aca="false">IF($B1883="",0,IF(AND(OR(Filter!$B$5="(alle)",$N1883=Filter!$B$5),OR(Filter!$E$5="(alle)",$K1883=Filter!$E$5),OR(Filter!$H$5="(alle)",$C1883=Filter!$H$5),OR(Filter!$B$7="(alle)",$E1883=Filter!$B$7),OR(Filter!$E$7="(alle)",ISNUMBER(SEARCH(Filter!$E$7,$J1883))),OR(Filter!$H$7="(alle)",ISNUMBER(SEARCH(Filter!$H$7,$I1883))),OR(Filter!$B$9="",ISNUMBER(SEARCH(Filter!$B$9,$F1883&amp;" "&amp;$G1883)))),COUNTIF($O$6:$O1882,"&gt;0")+1,0))</f>
        <v>0</v>
      </c>
    </row>
    <row r="1884" customFormat="false" ht="15" hidden="false" customHeight="true" outlineLevel="0" collapsed="false">
      <c r="O1884" s="1" t="n">
        <f aca="false">IF($B1884="",0,IF(AND(OR(Filter!$B$5="(alle)",$N1884=Filter!$B$5),OR(Filter!$E$5="(alle)",$K1884=Filter!$E$5),OR(Filter!$H$5="(alle)",$C1884=Filter!$H$5),OR(Filter!$B$7="(alle)",$E1884=Filter!$B$7),OR(Filter!$E$7="(alle)",ISNUMBER(SEARCH(Filter!$E$7,$J1884))),OR(Filter!$H$7="(alle)",ISNUMBER(SEARCH(Filter!$H$7,$I1884))),OR(Filter!$B$9="",ISNUMBER(SEARCH(Filter!$B$9,$F1884&amp;" "&amp;$G1884)))),COUNTIF($O$6:$O1883,"&gt;0")+1,0))</f>
        <v>0</v>
      </c>
    </row>
    <row r="1885" customFormat="false" ht="15" hidden="false" customHeight="true" outlineLevel="0" collapsed="false">
      <c r="O1885" s="1" t="n">
        <f aca="false">IF($B1885="",0,IF(AND(OR(Filter!$B$5="(alle)",$N1885=Filter!$B$5),OR(Filter!$E$5="(alle)",$K1885=Filter!$E$5),OR(Filter!$H$5="(alle)",$C1885=Filter!$H$5),OR(Filter!$B$7="(alle)",$E1885=Filter!$B$7),OR(Filter!$E$7="(alle)",ISNUMBER(SEARCH(Filter!$E$7,$J1885))),OR(Filter!$H$7="(alle)",ISNUMBER(SEARCH(Filter!$H$7,$I1885))),OR(Filter!$B$9="",ISNUMBER(SEARCH(Filter!$B$9,$F1885&amp;" "&amp;$G1885)))),COUNTIF($O$6:$O1884,"&gt;0")+1,0))</f>
        <v>0</v>
      </c>
    </row>
    <row r="1886" customFormat="false" ht="15" hidden="false" customHeight="true" outlineLevel="0" collapsed="false">
      <c r="O1886" s="1" t="n">
        <f aca="false">IF($B1886="",0,IF(AND(OR(Filter!$B$5="(alle)",$N1886=Filter!$B$5),OR(Filter!$E$5="(alle)",$K1886=Filter!$E$5),OR(Filter!$H$5="(alle)",$C1886=Filter!$H$5),OR(Filter!$B$7="(alle)",$E1886=Filter!$B$7),OR(Filter!$E$7="(alle)",ISNUMBER(SEARCH(Filter!$E$7,$J1886))),OR(Filter!$H$7="(alle)",ISNUMBER(SEARCH(Filter!$H$7,$I1886))),OR(Filter!$B$9="",ISNUMBER(SEARCH(Filter!$B$9,$F1886&amp;" "&amp;$G1886)))),COUNTIF($O$6:$O1885,"&gt;0")+1,0))</f>
        <v>0</v>
      </c>
    </row>
    <row r="1887" customFormat="false" ht="15" hidden="false" customHeight="true" outlineLevel="0" collapsed="false">
      <c r="O1887" s="1" t="n">
        <f aca="false">IF($B1887="",0,IF(AND(OR(Filter!$B$5="(alle)",$N1887=Filter!$B$5),OR(Filter!$E$5="(alle)",$K1887=Filter!$E$5),OR(Filter!$H$5="(alle)",$C1887=Filter!$H$5),OR(Filter!$B$7="(alle)",$E1887=Filter!$B$7),OR(Filter!$E$7="(alle)",ISNUMBER(SEARCH(Filter!$E$7,$J1887))),OR(Filter!$H$7="(alle)",ISNUMBER(SEARCH(Filter!$H$7,$I1887))),OR(Filter!$B$9="",ISNUMBER(SEARCH(Filter!$B$9,$F1887&amp;" "&amp;$G1887)))),COUNTIF($O$6:$O1886,"&gt;0")+1,0))</f>
        <v>0</v>
      </c>
    </row>
    <row r="1888" customFormat="false" ht="15" hidden="false" customHeight="true" outlineLevel="0" collapsed="false">
      <c r="O1888" s="1" t="n">
        <f aca="false">IF($B1888="",0,IF(AND(OR(Filter!$B$5="(alle)",$N1888=Filter!$B$5),OR(Filter!$E$5="(alle)",$K1888=Filter!$E$5),OR(Filter!$H$5="(alle)",$C1888=Filter!$H$5),OR(Filter!$B$7="(alle)",$E1888=Filter!$B$7),OR(Filter!$E$7="(alle)",ISNUMBER(SEARCH(Filter!$E$7,$J1888))),OR(Filter!$H$7="(alle)",ISNUMBER(SEARCH(Filter!$H$7,$I1888))),OR(Filter!$B$9="",ISNUMBER(SEARCH(Filter!$B$9,$F1888&amp;" "&amp;$G1888)))),COUNTIF($O$6:$O1887,"&gt;0")+1,0))</f>
        <v>0</v>
      </c>
    </row>
    <row r="1889" customFormat="false" ht="15" hidden="false" customHeight="true" outlineLevel="0" collapsed="false">
      <c r="O1889" s="1" t="n">
        <f aca="false">IF($B1889="",0,IF(AND(OR(Filter!$B$5="(alle)",$N1889=Filter!$B$5),OR(Filter!$E$5="(alle)",$K1889=Filter!$E$5),OR(Filter!$H$5="(alle)",$C1889=Filter!$H$5),OR(Filter!$B$7="(alle)",$E1889=Filter!$B$7),OR(Filter!$E$7="(alle)",ISNUMBER(SEARCH(Filter!$E$7,$J1889))),OR(Filter!$H$7="(alle)",ISNUMBER(SEARCH(Filter!$H$7,$I1889))),OR(Filter!$B$9="",ISNUMBER(SEARCH(Filter!$B$9,$F1889&amp;" "&amp;$G1889)))),COUNTIF($O$6:$O1888,"&gt;0")+1,0))</f>
        <v>0</v>
      </c>
    </row>
    <row r="1890" customFormat="false" ht="15" hidden="false" customHeight="true" outlineLevel="0" collapsed="false">
      <c r="O1890" s="1" t="n">
        <f aca="false">IF($B1890="",0,IF(AND(OR(Filter!$B$5="(alle)",$N1890=Filter!$B$5),OR(Filter!$E$5="(alle)",$K1890=Filter!$E$5),OR(Filter!$H$5="(alle)",$C1890=Filter!$H$5),OR(Filter!$B$7="(alle)",$E1890=Filter!$B$7),OR(Filter!$E$7="(alle)",ISNUMBER(SEARCH(Filter!$E$7,$J1890))),OR(Filter!$H$7="(alle)",ISNUMBER(SEARCH(Filter!$H$7,$I1890))),OR(Filter!$B$9="",ISNUMBER(SEARCH(Filter!$B$9,$F1890&amp;" "&amp;$G1890)))),COUNTIF($O$6:$O1889,"&gt;0")+1,0))</f>
        <v>0</v>
      </c>
    </row>
    <row r="1891" customFormat="false" ht="15" hidden="false" customHeight="true" outlineLevel="0" collapsed="false">
      <c r="O1891" s="1" t="n">
        <f aca="false">IF($B1891="",0,IF(AND(OR(Filter!$B$5="(alle)",$N1891=Filter!$B$5),OR(Filter!$E$5="(alle)",$K1891=Filter!$E$5),OR(Filter!$H$5="(alle)",$C1891=Filter!$H$5),OR(Filter!$B$7="(alle)",$E1891=Filter!$B$7),OR(Filter!$E$7="(alle)",ISNUMBER(SEARCH(Filter!$E$7,$J1891))),OR(Filter!$H$7="(alle)",ISNUMBER(SEARCH(Filter!$H$7,$I1891))),OR(Filter!$B$9="",ISNUMBER(SEARCH(Filter!$B$9,$F1891&amp;" "&amp;$G1891)))),COUNTIF($O$6:$O1890,"&gt;0")+1,0))</f>
        <v>0</v>
      </c>
    </row>
    <row r="1892" customFormat="false" ht="15" hidden="false" customHeight="true" outlineLevel="0" collapsed="false">
      <c r="O1892" s="1" t="n">
        <f aca="false">IF($B1892="",0,IF(AND(OR(Filter!$B$5="(alle)",$N1892=Filter!$B$5),OR(Filter!$E$5="(alle)",$K1892=Filter!$E$5),OR(Filter!$H$5="(alle)",$C1892=Filter!$H$5),OR(Filter!$B$7="(alle)",$E1892=Filter!$B$7),OR(Filter!$E$7="(alle)",ISNUMBER(SEARCH(Filter!$E$7,$J1892))),OR(Filter!$H$7="(alle)",ISNUMBER(SEARCH(Filter!$H$7,$I1892))),OR(Filter!$B$9="",ISNUMBER(SEARCH(Filter!$B$9,$F1892&amp;" "&amp;$G1892)))),COUNTIF($O$6:$O1891,"&gt;0")+1,0))</f>
        <v>0</v>
      </c>
    </row>
    <row r="1893" customFormat="false" ht="15" hidden="false" customHeight="true" outlineLevel="0" collapsed="false">
      <c r="O1893" s="1" t="n">
        <f aca="false">IF($B1893="",0,IF(AND(OR(Filter!$B$5="(alle)",$N1893=Filter!$B$5),OR(Filter!$E$5="(alle)",$K1893=Filter!$E$5),OR(Filter!$H$5="(alle)",$C1893=Filter!$H$5),OR(Filter!$B$7="(alle)",$E1893=Filter!$B$7),OR(Filter!$E$7="(alle)",ISNUMBER(SEARCH(Filter!$E$7,$J1893))),OR(Filter!$H$7="(alle)",ISNUMBER(SEARCH(Filter!$H$7,$I1893))),OR(Filter!$B$9="",ISNUMBER(SEARCH(Filter!$B$9,$F1893&amp;" "&amp;$G1893)))),COUNTIF($O$6:$O1892,"&gt;0")+1,0))</f>
        <v>0</v>
      </c>
    </row>
    <row r="1894" customFormat="false" ht="15" hidden="false" customHeight="true" outlineLevel="0" collapsed="false">
      <c r="O1894" s="1" t="n">
        <f aca="false">IF($B1894="",0,IF(AND(OR(Filter!$B$5="(alle)",$N1894=Filter!$B$5),OR(Filter!$E$5="(alle)",$K1894=Filter!$E$5),OR(Filter!$H$5="(alle)",$C1894=Filter!$H$5),OR(Filter!$B$7="(alle)",$E1894=Filter!$B$7),OR(Filter!$E$7="(alle)",ISNUMBER(SEARCH(Filter!$E$7,$J1894))),OR(Filter!$H$7="(alle)",ISNUMBER(SEARCH(Filter!$H$7,$I1894))),OR(Filter!$B$9="",ISNUMBER(SEARCH(Filter!$B$9,$F1894&amp;" "&amp;$G1894)))),COUNTIF($O$6:$O1893,"&gt;0")+1,0))</f>
        <v>0</v>
      </c>
    </row>
    <row r="1895" customFormat="false" ht="15" hidden="false" customHeight="true" outlineLevel="0" collapsed="false">
      <c r="O1895" s="1" t="n">
        <f aca="false">IF($B1895="",0,IF(AND(OR(Filter!$B$5="(alle)",$N1895=Filter!$B$5),OR(Filter!$E$5="(alle)",$K1895=Filter!$E$5),OR(Filter!$H$5="(alle)",$C1895=Filter!$H$5),OR(Filter!$B$7="(alle)",$E1895=Filter!$B$7),OR(Filter!$E$7="(alle)",ISNUMBER(SEARCH(Filter!$E$7,$J1895))),OR(Filter!$H$7="(alle)",ISNUMBER(SEARCH(Filter!$H$7,$I1895))),OR(Filter!$B$9="",ISNUMBER(SEARCH(Filter!$B$9,$F1895&amp;" "&amp;$G1895)))),COUNTIF($O$6:$O1894,"&gt;0")+1,0))</f>
        <v>0</v>
      </c>
    </row>
    <row r="1896" customFormat="false" ht="15" hidden="false" customHeight="true" outlineLevel="0" collapsed="false">
      <c r="O1896" s="1" t="n">
        <f aca="false">IF($B1896="",0,IF(AND(OR(Filter!$B$5="(alle)",$N1896=Filter!$B$5),OR(Filter!$E$5="(alle)",$K1896=Filter!$E$5),OR(Filter!$H$5="(alle)",$C1896=Filter!$H$5),OR(Filter!$B$7="(alle)",$E1896=Filter!$B$7),OR(Filter!$E$7="(alle)",ISNUMBER(SEARCH(Filter!$E$7,$J1896))),OR(Filter!$H$7="(alle)",ISNUMBER(SEARCH(Filter!$H$7,$I1896))),OR(Filter!$B$9="",ISNUMBER(SEARCH(Filter!$B$9,$F1896&amp;" "&amp;$G1896)))),COUNTIF($O$6:$O1895,"&gt;0")+1,0))</f>
        <v>0</v>
      </c>
    </row>
    <row r="1897" customFormat="false" ht="15" hidden="false" customHeight="true" outlineLevel="0" collapsed="false">
      <c r="O1897" s="1" t="n">
        <f aca="false">IF($B1897="",0,IF(AND(OR(Filter!$B$5="(alle)",$N1897=Filter!$B$5),OR(Filter!$E$5="(alle)",$K1897=Filter!$E$5),OR(Filter!$H$5="(alle)",$C1897=Filter!$H$5),OR(Filter!$B$7="(alle)",$E1897=Filter!$B$7),OR(Filter!$E$7="(alle)",ISNUMBER(SEARCH(Filter!$E$7,$J1897))),OR(Filter!$H$7="(alle)",ISNUMBER(SEARCH(Filter!$H$7,$I1897))),OR(Filter!$B$9="",ISNUMBER(SEARCH(Filter!$B$9,$F1897&amp;" "&amp;$G1897)))),COUNTIF($O$6:$O1896,"&gt;0")+1,0))</f>
        <v>0</v>
      </c>
    </row>
    <row r="1898" customFormat="false" ht="15" hidden="false" customHeight="true" outlineLevel="0" collapsed="false">
      <c r="O1898" s="1" t="n">
        <f aca="false">IF($B1898="",0,IF(AND(OR(Filter!$B$5="(alle)",$N1898=Filter!$B$5),OR(Filter!$E$5="(alle)",$K1898=Filter!$E$5),OR(Filter!$H$5="(alle)",$C1898=Filter!$H$5),OR(Filter!$B$7="(alle)",$E1898=Filter!$B$7),OR(Filter!$E$7="(alle)",ISNUMBER(SEARCH(Filter!$E$7,$J1898))),OR(Filter!$H$7="(alle)",ISNUMBER(SEARCH(Filter!$H$7,$I1898))),OR(Filter!$B$9="",ISNUMBER(SEARCH(Filter!$B$9,$F1898&amp;" "&amp;$G1898)))),COUNTIF($O$6:$O1897,"&gt;0")+1,0))</f>
        <v>0</v>
      </c>
    </row>
    <row r="1899" customFormat="false" ht="15" hidden="false" customHeight="true" outlineLevel="0" collapsed="false">
      <c r="O1899" s="1" t="n">
        <f aca="false">IF($B1899="",0,IF(AND(OR(Filter!$B$5="(alle)",$N1899=Filter!$B$5),OR(Filter!$E$5="(alle)",$K1899=Filter!$E$5),OR(Filter!$H$5="(alle)",$C1899=Filter!$H$5),OR(Filter!$B$7="(alle)",$E1899=Filter!$B$7),OR(Filter!$E$7="(alle)",ISNUMBER(SEARCH(Filter!$E$7,$J1899))),OR(Filter!$H$7="(alle)",ISNUMBER(SEARCH(Filter!$H$7,$I1899))),OR(Filter!$B$9="",ISNUMBER(SEARCH(Filter!$B$9,$F1899&amp;" "&amp;$G1899)))),COUNTIF($O$6:$O1898,"&gt;0")+1,0))</f>
        <v>0</v>
      </c>
    </row>
    <row r="1900" customFormat="false" ht="15" hidden="false" customHeight="true" outlineLevel="0" collapsed="false">
      <c r="O1900" s="1" t="n">
        <f aca="false">IF($B1900="",0,IF(AND(OR(Filter!$B$5="(alle)",$N1900=Filter!$B$5),OR(Filter!$E$5="(alle)",$K1900=Filter!$E$5),OR(Filter!$H$5="(alle)",$C1900=Filter!$H$5),OR(Filter!$B$7="(alle)",$E1900=Filter!$B$7),OR(Filter!$E$7="(alle)",ISNUMBER(SEARCH(Filter!$E$7,$J1900))),OR(Filter!$H$7="(alle)",ISNUMBER(SEARCH(Filter!$H$7,$I1900))),OR(Filter!$B$9="",ISNUMBER(SEARCH(Filter!$B$9,$F1900&amp;" "&amp;$G1900)))),COUNTIF($O$6:$O1899,"&gt;0")+1,0))</f>
        <v>0</v>
      </c>
    </row>
    <row r="1901" customFormat="false" ht="15" hidden="false" customHeight="true" outlineLevel="0" collapsed="false">
      <c r="O1901" s="1" t="n">
        <f aca="false">IF($B1901="",0,IF(AND(OR(Filter!$B$5="(alle)",$N1901=Filter!$B$5),OR(Filter!$E$5="(alle)",$K1901=Filter!$E$5),OR(Filter!$H$5="(alle)",$C1901=Filter!$H$5),OR(Filter!$B$7="(alle)",$E1901=Filter!$B$7),OR(Filter!$E$7="(alle)",ISNUMBER(SEARCH(Filter!$E$7,$J1901))),OR(Filter!$H$7="(alle)",ISNUMBER(SEARCH(Filter!$H$7,$I1901))),OR(Filter!$B$9="",ISNUMBER(SEARCH(Filter!$B$9,$F1901&amp;" "&amp;$G1901)))),COUNTIF($O$6:$O1900,"&gt;0")+1,0))</f>
        <v>0</v>
      </c>
    </row>
    <row r="1902" customFormat="false" ht="15" hidden="false" customHeight="true" outlineLevel="0" collapsed="false">
      <c r="O1902" s="1" t="n">
        <f aca="false">IF($B1902="",0,IF(AND(OR(Filter!$B$5="(alle)",$N1902=Filter!$B$5),OR(Filter!$E$5="(alle)",$K1902=Filter!$E$5),OR(Filter!$H$5="(alle)",$C1902=Filter!$H$5),OR(Filter!$B$7="(alle)",$E1902=Filter!$B$7),OR(Filter!$E$7="(alle)",ISNUMBER(SEARCH(Filter!$E$7,$J1902))),OR(Filter!$H$7="(alle)",ISNUMBER(SEARCH(Filter!$H$7,$I1902))),OR(Filter!$B$9="",ISNUMBER(SEARCH(Filter!$B$9,$F1902&amp;" "&amp;$G1902)))),COUNTIF($O$6:$O1901,"&gt;0")+1,0))</f>
        <v>0</v>
      </c>
    </row>
    <row r="1903" customFormat="false" ht="15" hidden="false" customHeight="true" outlineLevel="0" collapsed="false">
      <c r="O1903" s="1" t="n">
        <f aca="false">IF($B1903="",0,IF(AND(OR(Filter!$B$5="(alle)",$N1903=Filter!$B$5),OR(Filter!$E$5="(alle)",$K1903=Filter!$E$5),OR(Filter!$H$5="(alle)",$C1903=Filter!$H$5),OR(Filter!$B$7="(alle)",$E1903=Filter!$B$7),OR(Filter!$E$7="(alle)",ISNUMBER(SEARCH(Filter!$E$7,$J1903))),OR(Filter!$H$7="(alle)",ISNUMBER(SEARCH(Filter!$H$7,$I1903))),OR(Filter!$B$9="",ISNUMBER(SEARCH(Filter!$B$9,$F1903&amp;" "&amp;$G1903)))),COUNTIF($O$6:$O1902,"&gt;0")+1,0))</f>
        <v>0</v>
      </c>
    </row>
    <row r="1904" customFormat="false" ht="15" hidden="false" customHeight="true" outlineLevel="0" collapsed="false">
      <c r="O1904" s="1" t="n">
        <f aca="false">IF($B1904="",0,IF(AND(OR(Filter!$B$5="(alle)",$N1904=Filter!$B$5),OR(Filter!$E$5="(alle)",$K1904=Filter!$E$5),OR(Filter!$H$5="(alle)",$C1904=Filter!$H$5),OR(Filter!$B$7="(alle)",$E1904=Filter!$B$7),OR(Filter!$E$7="(alle)",ISNUMBER(SEARCH(Filter!$E$7,$J1904))),OR(Filter!$H$7="(alle)",ISNUMBER(SEARCH(Filter!$H$7,$I1904))),OR(Filter!$B$9="",ISNUMBER(SEARCH(Filter!$B$9,$F1904&amp;" "&amp;$G1904)))),COUNTIF($O$6:$O1903,"&gt;0")+1,0))</f>
        <v>0</v>
      </c>
    </row>
    <row r="1905" customFormat="false" ht="15" hidden="false" customHeight="true" outlineLevel="0" collapsed="false">
      <c r="O1905" s="1" t="n">
        <f aca="false">IF($B1905="",0,IF(AND(OR(Filter!$B$5="(alle)",$N1905=Filter!$B$5),OR(Filter!$E$5="(alle)",$K1905=Filter!$E$5),OR(Filter!$H$5="(alle)",$C1905=Filter!$H$5),OR(Filter!$B$7="(alle)",$E1905=Filter!$B$7),OR(Filter!$E$7="(alle)",ISNUMBER(SEARCH(Filter!$E$7,$J1905))),OR(Filter!$H$7="(alle)",ISNUMBER(SEARCH(Filter!$H$7,$I1905))),OR(Filter!$B$9="",ISNUMBER(SEARCH(Filter!$B$9,$F1905&amp;" "&amp;$G1905)))),COUNTIF($O$6:$O1904,"&gt;0")+1,0))</f>
        <v>0</v>
      </c>
    </row>
    <row r="1906" customFormat="false" ht="15" hidden="false" customHeight="true" outlineLevel="0" collapsed="false">
      <c r="O1906" s="1" t="n">
        <f aca="false">IF($B1906="",0,IF(AND(OR(Filter!$B$5="(alle)",$N1906=Filter!$B$5),OR(Filter!$E$5="(alle)",$K1906=Filter!$E$5),OR(Filter!$H$5="(alle)",$C1906=Filter!$H$5),OR(Filter!$B$7="(alle)",$E1906=Filter!$B$7),OR(Filter!$E$7="(alle)",ISNUMBER(SEARCH(Filter!$E$7,$J1906))),OR(Filter!$H$7="(alle)",ISNUMBER(SEARCH(Filter!$H$7,$I1906))),OR(Filter!$B$9="",ISNUMBER(SEARCH(Filter!$B$9,$F1906&amp;" "&amp;$G1906)))),COUNTIF($O$6:$O1905,"&gt;0")+1,0))</f>
        <v>0</v>
      </c>
    </row>
    <row r="1907" customFormat="false" ht="15" hidden="false" customHeight="true" outlineLevel="0" collapsed="false">
      <c r="O1907" s="1" t="n">
        <f aca="false">IF($B1907="",0,IF(AND(OR(Filter!$B$5="(alle)",$N1907=Filter!$B$5),OR(Filter!$E$5="(alle)",$K1907=Filter!$E$5),OR(Filter!$H$5="(alle)",$C1907=Filter!$H$5),OR(Filter!$B$7="(alle)",$E1907=Filter!$B$7),OR(Filter!$E$7="(alle)",ISNUMBER(SEARCH(Filter!$E$7,$J1907))),OR(Filter!$H$7="(alle)",ISNUMBER(SEARCH(Filter!$H$7,$I1907))),OR(Filter!$B$9="",ISNUMBER(SEARCH(Filter!$B$9,$F1907&amp;" "&amp;$G1907)))),COUNTIF($O$6:$O1906,"&gt;0")+1,0))</f>
        <v>0</v>
      </c>
    </row>
    <row r="1908" customFormat="false" ht="15" hidden="false" customHeight="true" outlineLevel="0" collapsed="false">
      <c r="O1908" s="1" t="n">
        <f aca="false">IF($B1908="",0,IF(AND(OR(Filter!$B$5="(alle)",$N1908=Filter!$B$5),OR(Filter!$E$5="(alle)",$K1908=Filter!$E$5),OR(Filter!$H$5="(alle)",$C1908=Filter!$H$5),OR(Filter!$B$7="(alle)",$E1908=Filter!$B$7),OR(Filter!$E$7="(alle)",ISNUMBER(SEARCH(Filter!$E$7,$J1908))),OR(Filter!$H$7="(alle)",ISNUMBER(SEARCH(Filter!$H$7,$I1908))),OR(Filter!$B$9="",ISNUMBER(SEARCH(Filter!$B$9,$F1908&amp;" "&amp;$G1908)))),COUNTIF($O$6:$O1907,"&gt;0")+1,0))</f>
        <v>0</v>
      </c>
    </row>
    <row r="1909" customFormat="false" ht="15" hidden="false" customHeight="true" outlineLevel="0" collapsed="false">
      <c r="O1909" s="1" t="n">
        <f aca="false">IF($B1909="",0,IF(AND(OR(Filter!$B$5="(alle)",$N1909=Filter!$B$5),OR(Filter!$E$5="(alle)",$K1909=Filter!$E$5),OR(Filter!$H$5="(alle)",$C1909=Filter!$H$5),OR(Filter!$B$7="(alle)",$E1909=Filter!$B$7),OR(Filter!$E$7="(alle)",ISNUMBER(SEARCH(Filter!$E$7,$J1909))),OR(Filter!$H$7="(alle)",ISNUMBER(SEARCH(Filter!$H$7,$I1909))),OR(Filter!$B$9="",ISNUMBER(SEARCH(Filter!$B$9,$F1909&amp;" "&amp;$G1909)))),COUNTIF($O$6:$O1908,"&gt;0")+1,0))</f>
        <v>0</v>
      </c>
    </row>
    <row r="1910" customFormat="false" ht="15" hidden="false" customHeight="true" outlineLevel="0" collapsed="false">
      <c r="O1910" s="1" t="n">
        <f aca="false">IF($B1910="",0,IF(AND(OR(Filter!$B$5="(alle)",$N1910=Filter!$B$5),OR(Filter!$E$5="(alle)",$K1910=Filter!$E$5),OR(Filter!$H$5="(alle)",$C1910=Filter!$H$5),OR(Filter!$B$7="(alle)",$E1910=Filter!$B$7),OR(Filter!$E$7="(alle)",ISNUMBER(SEARCH(Filter!$E$7,$J1910))),OR(Filter!$H$7="(alle)",ISNUMBER(SEARCH(Filter!$H$7,$I1910))),OR(Filter!$B$9="",ISNUMBER(SEARCH(Filter!$B$9,$F1910&amp;" "&amp;$G1910)))),COUNTIF($O$6:$O1909,"&gt;0")+1,0))</f>
        <v>0</v>
      </c>
    </row>
    <row r="1911" customFormat="false" ht="15" hidden="false" customHeight="true" outlineLevel="0" collapsed="false">
      <c r="O1911" s="1" t="n">
        <f aca="false">IF($B1911="",0,IF(AND(OR(Filter!$B$5="(alle)",$N1911=Filter!$B$5),OR(Filter!$E$5="(alle)",$K1911=Filter!$E$5),OR(Filter!$H$5="(alle)",$C1911=Filter!$H$5),OR(Filter!$B$7="(alle)",$E1911=Filter!$B$7),OR(Filter!$E$7="(alle)",ISNUMBER(SEARCH(Filter!$E$7,$J1911))),OR(Filter!$H$7="(alle)",ISNUMBER(SEARCH(Filter!$H$7,$I1911))),OR(Filter!$B$9="",ISNUMBER(SEARCH(Filter!$B$9,$F1911&amp;" "&amp;$G1911)))),COUNTIF($O$6:$O1910,"&gt;0")+1,0))</f>
        <v>0</v>
      </c>
    </row>
    <row r="1912" customFormat="false" ht="15" hidden="false" customHeight="true" outlineLevel="0" collapsed="false">
      <c r="O1912" s="1" t="n">
        <f aca="false">IF($B1912="",0,IF(AND(OR(Filter!$B$5="(alle)",$N1912=Filter!$B$5),OR(Filter!$E$5="(alle)",$K1912=Filter!$E$5),OR(Filter!$H$5="(alle)",$C1912=Filter!$H$5),OR(Filter!$B$7="(alle)",$E1912=Filter!$B$7),OR(Filter!$E$7="(alle)",ISNUMBER(SEARCH(Filter!$E$7,$J1912))),OR(Filter!$H$7="(alle)",ISNUMBER(SEARCH(Filter!$H$7,$I1912))),OR(Filter!$B$9="",ISNUMBER(SEARCH(Filter!$B$9,$F1912&amp;" "&amp;$G1912)))),COUNTIF($O$6:$O1911,"&gt;0")+1,0))</f>
        <v>0</v>
      </c>
    </row>
    <row r="1913" customFormat="false" ht="15" hidden="false" customHeight="true" outlineLevel="0" collapsed="false">
      <c r="O1913" s="1" t="n">
        <f aca="false">IF($B1913="",0,IF(AND(OR(Filter!$B$5="(alle)",$N1913=Filter!$B$5),OR(Filter!$E$5="(alle)",$K1913=Filter!$E$5),OR(Filter!$H$5="(alle)",$C1913=Filter!$H$5),OR(Filter!$B$7="(alle)",$E1913=Filter!$B$7),OR(Filter!$E$7="(alle)",ISNUMBER(SEARCH(Filter!$E$7,$J1913))),OR(Filter!$H$7="(alle)",ISNUMBER(SEARCH(Filter!$H$7,$I1913))),OR(Filter!$B$9="",ISNUMBER(SEARCH(Filter!$B$9,$F1913&amp;" "&amp;$G1913)))),COUNTIF($O$6:$O1912,"&gt;0")+1,0))</f>
        <v>0</v>
      </c>
    </row>
    <row r="1914" customFormat="false" ht="15" hidden="false" customHeight="true" outlineLevel="0" collapsed="false">
      <c r="O1914" s="1" t="n">
        <f aca="false">IF($B1914="",0,IF(AND(OR(Filter!$B$5="(alle)",$N1914=Filter!$B$5),OR(Filter!$E$5="(alle)",$K1914=Filter!$E$5),OR(Filter!$H$5="(alle)",$C1914=Filter!$H$5),OR(Filter!$B$7="(alle)",$E1914=Filter!$B$7),OR(Filter!$E$7="(alle)",ISNUMBER(SEARCH(Filter!$E$7,$J1914))),OR(Filter!$H$7="(alle)",ISNUMBER(SEARCH(Filter!$H$7,$I1914))),OR(Filter!$B$9="",ISNUMBER(SEARCH(Filter!$B$9,$F1914&amp;" "&amp;$G1914)))),COUNTIF($O$6:$O1913,"&gt;0")+1,0))</f>
        <v>0</v>
      </c>
    </row>
    <row r="1915" customFormat="false" ht="15" hidden="false" customHeight="true" outlineLevel="0" collapsed="false">
      <c r="O1915" s="1" t="n">
        <f aca="false">IF($B1915="",0,IF(AND(OR(Filter!$B$5="(alle)",$N1915=Filter!$B$5),OR(Filter!$E$5="(alle)",$K1915=Filter!$E$5),OR(Filter!$H$5="(alle)",$C1915=Filter!$H$5),OR(Filter!$B$7="(alle)",$E1915=Filter!$B$7),OR(Filter!$E$7="(alle)",ISNUMBER(SEARCH(Filter!$E$7,$J1915))),OR(Filter!$H$7="(alle)",ISNUMBER(SEARCH(Filter!$H$7,$I1915))),OR(Filter!$B$9="",ISNUMBER(SEARCH(Filter!$B$9,$F1915&amp;" "&amp;$G1915)))),COUNTIF($O$6:$O1914,"&gt;0")+1,0))</f>
        <v>0</v>
      </c>
    </row>
    <row r="1916" customFormat="false" ht="15" hidden="false" customHeight="true" outlineLevel="0" collapsed="false">
      <c r="O1916" s="1" t="n">
        <f aca="false">IF($B1916="",0,IF(AND(OR(Filter!$B$5="(alle)",$N1916=Filter!$B$5),OR(Filter!$E$5="(alle)",$K1916=Filter!$E$5),OR(Filter!$H$5="(alle)",$C1916=Filter!$H$5),OR(Filter!$B$7="(alle)",$E1916=Filter!$B$7),OR(Filter!$E$7="(alle)",ISNUMBER(SEARCH(Filter!$E$7,$J1916))),OR(Filter!$H$7="(alle)",ISNUMBER(SEARCH(Filter!$H$7,$I1916))),OR(Filter!$B$9="",ISNUMBER(SEARCH(Filter!$B$9,$F1916&amp;" "&amp;$G1916)))),COUNTIF($O$6:$O1915,"&gt;0")+1,0))</f>
        <v>0</v>
      </c>
    </row>
    <row r="1917" customFormat="false" ht="15" hidden="false" customHeight="true" outlineLevel="0" collapsed="false">
      <c r="O1917" s="1" t="n">
        <f aca="false">IF($B1917="",0,IF(AND(OR(Filter!$B$5="(alle)",$N1917=Filter!$B$5),OR(Filter!$E$5="(alle)",$K1917=Filter!$E$5),OR(Filter!$H$5="(alle)",$C1917=Filter!$H$5),OR(Filter!$B$7="(alle)",$E1917=Filter!$B$7),OR(Filter!$E$7="(alle)",ISNUMBER(SEARCH(Filter!$E$7,$J1917))),OR(Filter!$H$7="(alle)",ISNUMBER(SEARCH(Filter!$H$7,$I1917))),OR(Filter!$B$9="",ISNUMBER(SEARCH(Filter!$B$9,$F1917&amp;" "&amp;$G1917)))),COUNTIF($O$6:$O1916,"&gt;0")+1,0))</f>
        <v>0</v>
      </c>
    </row>
    <row r="1918" customFormat="false" ht="15" hidden="false" customHeight="true" outlineLevel="0" collapsed="false">
      <c r="O1918" s="1" t="n">
        <f aca="false">IF($B1918="",0,IF(AND(OR(Filter!$B$5="(alle)",$N1918=Filter!$B$5),OR(Filter!$E$5="(alle)",$K1918=Filter!$E$5),OR(Filter!$H$5="(alle)",$C1918=Filter!$H$5),OR(Filter!$B$7="(alle)",$E1918=Filter!$B$7),OR(Filter!$E$7="(alle)",ISNUMBER(SEARCH(Filter!$E$7,$J1918))),OR(Filter!$H$7="(alle)",ISNUMBER(SEARCH(Filter!$H$7,$I1918))),OR(Filter!$B$9="",ISNUMBER(SEARCH(Filter!$B$9,$F1918&amp;" "&amp;$G1918)))),COUNTIF($O$6:$O1917,"&gt;0")+1,0))</f>
        <v>0</v>
      </c>
    </row>
    <row r="1919" customFormat="false" ht="15" hidden="false" customHeight="true" outlineLevel="0" collapsed="false">
      <c r="O1919" s="1" t="n">
        <f aca="false">IF($B1919="",0,IF(AND(OR(Filter!$B$5="(alle)",$N1919=Filter!$B$5),OR(Filter!$E$5="(alle)",$K1919=Filter!$E$5),OR(Filter!$H$5="(alle)",$C1919=Filter!$H$5),OR(Filter!$B$7="(alle)",$E1919=Filter!$B$7),OR(Filter!$E$7="(alle)",ISNUMBER(SEARCH(Filter!$E$7,$J1919))),OR(Filter!$H$7="(alle)",ISNUMBER(SEARCH(Filter!$H$7,$I1919))),OR(Filter!$B$9="",ISNUMBER(SEARCH(Filter!$B$9,$F1919&amp;" "&amp;$G1919)))),COUNTIF($O$6:$O1918,"&gt;0")+1,0))</f>
        <v>0</v>
      </c>
    </row>
    <row r="1920" customFormat="false" ht="15" hidden="false" customHeight="true" outlineLevel="0" collapsed="false">
      <c r="O1920" s="1" t="n">
        <f aca="false">IF($B1920="",0,IF(AND(OR(Filter!$B$5="(alle)",$N1920=Filter!$B$5),OR(Filter!$E$5="(alle)",$K1920=Filter!$E$5),OR(Filter!$H$5="(alle)",$C1920=Filter!$H$5),OR(Filter!$B$7="(alle)",$E1920=Filter!$B$7),OR(Filter!$E$7="(alle)",ISNUMBER(SEARCH(Filter!$E$7,$J1920))),OR(Filter!$H$7="(alle)",ISNUMBER(SEARCH(Filter!$H$7,$I1920))),OR(Filter!$B$9="",ISNUMBER(SEARCH(Filter!$B$9,$F1920&amp;" "&amp;$G1920)))),COUNTIF($O$6:$O1919,"&gt;0")+1,0))</f>
        <v>0</v>
      </c>
    </row>
    <row r="1921" customFormat="false" ht="15" hidden="false" customHeight="true" outlineLevel="0" collapsed="false">
      <c r="O1921" s="1" t="n">
        <f aca="false">IF($B1921="",0,IF(AND(OR(Filter!$B$5="(alle)",$N1921=Filter!$B$5),OR(Filter!$E$5="(alle)",$K1921=Filter!$E$5),OR(Filter!$H$5="(alle)",$C1921=Filter!$H$5),OR(Filter!$B$7="(alle)",$E1921=Filter!$B$7),OR(Filter!$E$7="(alle)",ISNUMBER(SEARCH(Filter!$E$7,$J1921))),OR(Filter!$H$7="(alle)",ISNUMBER(SEARCH(Filter!$H$7,$I1921))),OR(Filter!$B$9="",ISNUMBER(SEARCH(Filter!$B$9,$F1921&amp;" "&amp;$G1921)))),COUNTIF($O$6:$O1920,"&gt;0")+1,0))</f>
        <v>0</v>
      </c>
    </row>
    <row r="1922" customFormat="false" ht="15" hidden="false" customHeight="true" outlineLevel="0" collapsed="false">
      <c r="O1922" s="1" t="n">
        <f aca="false">IF($B1922="",0,IF(AND(OR(Filter!$B$5="(alle)",$N1922=Filter!$B$5),OR(Filter!$E$5="(alle)",$K1922=Filter!$E$5),OR(Filter!$H$5="(alle)",$C1922=Filter!$H$5),OR(Filter!$B$7="(alle)",$E1922=Filter!$B$7),OR(Filter!$E$7="(alle)",ISNUMBER(SEARCH(Filter!$E$7,$J1922))),OR(Filter!$H$7="(alle)",ISNUMBER(SEARCH(Filter!$H$7,$I1922))),OR(Filter!$B$9="",ISNUMBER(SEARCH(Filter!$B$9,$F1922&amp;" "&amp;$G1922)))),COUNTIF($O$6:$O1921,"&gt;0")+1,0))</f>
        <v>0</v>
      </c>
    </row>
    <row r="1923" customFormat="false" ht="15" hidden="false" customHeight="true" outlineLevel="0" collapsed="false">
      <c r="O1923" s="1" t="n">
        <f aca="false">IF($B1923="",0,IF(AND(OR(Filter!$B$5="(alle)",$N1923=Filter!$B$5),OR(Filter!$E$5="(alle)",$K1923=Filter!$E$5),OR(Filter!$H$5="(alle)",$C1923=Filter!$H$5),OR(Filter!$B$7="(alle)",$E1923=Filter!$B$7),OR(Filter!$E$7="(alle)",ISNUMBER(SEARCH(Filter!$E$7,$J1923))),OR(Filter!$H$7="(alle)",ISNUMBER(SEARCH(Filter!$H$7,$I1923))),OR(Filter!$B$9="",ISNUMBER(SEARCH(Filter!$B$9,$F1923&amp;" "&amp;$G1923)))),COUNTIF($O$6:$O1922,"&gt;0")+1,0))</f>
        <v>0</v>
      </c>
    </row>
    <row r="1924" customFormat="false" ht="15" hidden="false" customHeight="true" outlineLevel="0" collapsed="false">
      <c r="O1924" s="1" t="n">
        <f aca="false">IF($B1924="",0,IF(AND(OR(Filter!$B$5="(alle)",$N1924=Filter!$B$5),OR(Filter!$E$5="(alle)",$K1924=Filter!$E$5),OR(Filter!$H$5="(alle)",$C1924=Filter!$H$5),OR(Filter!$B$7="(alle)",$E1924=Filter!$B$7),OR(Filter!$E$7="(alle)",ISNUMBER(SEARCH(Filter!$E$7,$J1924))),OR(Filter!$H$7="(alle)",ISNUMBER(SEARCH(Filter!$H$7,$I1924))),OR(Filter!$B$9="",ISNUMBER(SEARCH(Filter!$B$9,$F1924&amp;" "&amp;$G1924)))),COUNTIF($O$6:$O1923,"&gt;0")+1,0))</f>
        <v>0</v>
      </c>
    </row>
    <row r="1925" customFormat="false" ht="15" hidden="false" customHeight="true" outlineLevel="0" collapsed="false">
      <c r="O1925" s="1" t="n">
        <f aca="false">IF($B1925="",0,IF(AND(OR(Filter!$B$5="(alle)",$N1925=Filter!$B$5),OR(Filter!$E$5="(alle)",$K1925=Filter!$E$5),OR(Filter!$H$5="(alle)",$C1925=Filter!$H$5),OR(Filter!$B$7="(alle)",$E1925=Filter!$B$7),OR(Filter!$E$7="(alle)",ISNUMBER(SEARCH(Filter!$E$7,$J1925))),OR(Filter!$H$7="(alle)",ISNUMBER(SEARCH(Filter!$H$7,$I1925))),OR(Filter!$B$9="",ISNUMBER(SEARCH(Filter!$B$9,$F1925&amp;" "&amp;$G1925)))),COUNTIF($O$6:$O1924,"&gt;0")+1,0))</f>
        <v>0</v>
      </c>
    </row>
    <row r="1926" customFormat="false" ht="15" hidden="false" customHeight="true" outlineLevel="0" collapsed="false">
      <c r="O1926" s="1" t="n">
        <f aca="false">IF($B1926="",0,IF(AND(OR(Filter!$B$5="(alle)",$N1926=Filter!$B$5),OR(Filter!$E$5="(alle)",$K1926=Filter!$E$5),OR(Filter!$H$5="(alle)",$C1926=Filter!$H$5),OR(Filter!$B$7="(alle)",$E1926=Filter!$B$7),OR(Filter!$E$7="(alle)",ISNUMBER(SEARCH(Filter!$E$7,$J1926))),OR(Filter!$H$7="(alle)",ISNUMBER(SEARCH(Filter!$H$7,$I1926))),OR(Filter!$B$9="",ISNUMBER(SEARCH(Filter!$B$9,$F1926&amp;" "&amp;$G1926)))),COUNTIF($O$6:$O1925,"&gt;0")+1,0))</f>
        <v>0</v>
      </c>
    </row>
    <row r="1927" customFormat="false" ht="15" hidden="false" customHeight="true" outlineLevel="0" collapsed="false">
      <c r="O1927" s="1" t="n">
        <f aca="false">IF($B1927="",0,IF(AND(OR(Filter!$B$5="(alle)",$N1927=Filter!$B$5),OR(Filter!$E$5="(alle)",$K1927=Filter!$E$5),OR(Filter!$H$5="(alle)",$C1927=Filter!$H$5),OR(Filter!$B$7="(alle)",$E1927=Filter!$B$7),OR(Filter!$E$7="(alle)",ISNUMBER(SEARCH(Filter!$E$7,$J1927))),OR(Filter!$H$7="(alle)",ISNUMBER(SEARCH(Filter!$H$7,$I1927))),OR(Filter!$B$9="",ISNUMBER(SEARCH(Filter!$B$9,$F1927&amp;" "&amp;$G1927)))),COUNTIF($O$6:$O1926,"&gt;0")+1,0))</f>
        <v>0</v>
      </c>
    </row>
    <row r="1928" customFormat="false" ht="15" hidden="false" customHeight="true" outlineLevel="0" collapsed="false">
      <c r="O1928" s="1" t="n">
        <f aca="false">IF($B1928="",0,IF(AND(OR(Filter!$B$5="(alle)",$N1928=Filter!$B$5),OR(Filter!$E$5="(alle)",$K1928=Filter!$E$5),OR(Filter!$H$5="(alle)",$C1928=Filter!$H$5),OR(Filter!$B$7="(alle)",$E1928=Filter!$B$7),OR(Filter!$E$7="(alle)",ISNUMBER(SEARCH(Filter!$E$7,$J1928))),OR(Filter!$H$7="(alle)",ISNUMBER(SEARCH(Filter!$H$7,$I1928))),OR(Filter!$B$9="",ISNUMBER(SEARCH(Filter!$B$9,$F1928&amp;" "&amp;$G1928)))),COUNTIF($O$6:$O1927,"&gt;0")+1,0))</f>
        <v>0</v>
      </c>
    </row>
    <row r="1929" customFormat="false" ht="15" hidden="false" customHeight="true" outlineLevel="0" collapsed="false">
      <c r="O1929" s="1" t="n">
        <f aca="false">IF($B1929="",0,IF(AND(OR(Filter!$B$5="(alle)",$N1929=Filter!$B$5),OR(Filter!$E$5="(alle)",$K1929=Filter!$E$5),OR(Filter!$H$5="(alle)",$C1929=Filter!$H$5),OR(Filter!$B$7="(alle)",$E1929=Filter!$B$7),OR(Filter!$E$7="(alle)",ISNUMBER(SEARCH(Filter!$E$7,$J1929))),OR(Filter!$H$7="(alle)",ISNUMBER(SEARCH(Filter!$H$7,$I1929))),OR(Filter!$B$9="",ISNUMBER(SEARCH(Filter!$B$9,$F1929&amp;" "&amp;$G1929)))),COUNTIF($O$6:$O1928,"&gt;0")+1,0))</f>
        <v>0</v>
      </c>
    </row>
    <row r="1930" customFormat="false" ht="15" hidden="false" customHeight="true" outlineLevel="0" collapsed="false">
      <c r="O1930" s="1" t="n">
        <f aca="false">IF($B1930="",0,IF(AND(OR(Filter!$B$5="(alle)",$N1930=Filter!$B$5),OR(Filter!$E$5="(alle)",$K1930=Filter!$E$5),OR(Filter!$H$5="(alle)",$C1930=Filter!$H$5),OR(Filter!$B$7="(alle)",$E1930=Filter!$B$7),OR(Filter!$E$7="(alle)",ISNUMBER(SEARCH(Filter!$E$7,$J1930))),OR(Filter!$H$7="(alle)",ISNUMBER(SEARCH(Filter!$H$7,$I1930))),OR(Filter!$B$9="",ISNUMBER(SEARCH(Filter!$B$9,$F1930&amp;" "&amp;$G1930)))),COUNTIF($O$6:$O1929,"&gt;0")+1,0))</f>
        <v>0</v>
      </c>
    </row>
    <row r="1931" customFormat="false" ht="15" hidden="false" customHeight="true" outlineLevel="0" collapsed="false">
      <c r="O1931" s="1" t="n">
        <f aca="false">IF($B1931="",0,IF(AND(OR(Filter!$B$5="(alle)",$N1931=Filter!$B$5),OR(Filter!$E$5="(alle)",$K1931=Filter!$E$5),OR(Filter!$H$5="(alle)",$C1931=Filter!$H$5),OR(Filter!$B$7="(alle)",$E1931=Filter!$B$7),OR(Filter!$E$7="(alle)",ISNUMBER(SEARCH(Filter!$E$7,$J1931))),OR(Filter!$H$7="(alle)",ISNUMBER(SEARCH(Filter!$H$7,$I1931))),OR(Filter!$B$9="",ISNUMBER(SEARCH(Filter!$B$9,$F1931&amp;" "&amp;$G1931)))),COUNTIF($O$6:$O1930,"&gt;0")+1,0))</f>
        <v>0</v>
      </c>
    </row>
    <row r="1932" customFormat="false" ht="15" hidden="false" customHeight="true" outlineLevel="0" collapsed="false">
      <c r="O1932" s="1" t="n">
        <f aca="false">IF($B1932="",0,IF(AND(OR(Filter!$B$5="(alle)",$N1932=Filter!$B$5),OR(Filter!$E$5="(alle)",$K1932=Filter!$E$5),OR(Filter!$H$5="(alle)",$C1932=Filter!$H$5),OR(Filter!$B$7="(alle)",$E1932=Filter!$B$7),OR(Filter!$E$7="(alle)",ISNUMBER(SEARCH(Filter!$E$7,$J1932))),OR(Filter!$H$7="(alle)",ISNUMBER(SEARCH(Filter!$H$7,$I1932))),OR(Filter!$B$9="",ISNUMBER(SEARCH(Filter!$B$9,$F1932&amp;" "&amp;$G1932)))),COUNTIF($O$6:$O1931,"&gt;0")+1,0))</f>
        <v>0</v>
      </c>
    </row>
    <row r="1933" customFormat="false" ht="15" hidden="false" customHeight="true" outlineLevel="0" collapsed="false">
      <c r="O1933" s="1" t="n">
        <f aca="false">IF($B1933="",0,IF(AND(OR(Filter!$B$5="(alle)",$N1933=Filter!$B$5),OR(Filter!$E$5="(alle)",$K1933=Filter!$E$5),OR(Filter!$H$5="(alle)",$C1933=Filter!$H$5),OR(Filter!$B$7="(alle)",$E1933=Filter!$B$7),OR(Filter!$E$7="(alle)",ISNUMBER(SEARCH(Filter!$E$7,$J1933))),OR(Filter!$H$7="(alle)",ISNUMBER(SEARCH(Filter!$H$7,$I1933))),OR(Filter!$B$9="",ISNUMBER(SEARCH(Filter!$B$9,$F1933&amp;" "&amp;$G1933)))),COUNTIF($O$6:$O1932,"&gt;0")+1,0))</f>
        <v>0</v>
      </c>
    </row>
    <row r="1934" customFormat="false" ht="15" hidden="false" customHeight="true" outlineLevel="0" collapsed="false">
      <c r="O1934" s="1" t="n">
        <f aca="false">IF($B1934="",0,IF(AND(OR(Filter!$B$5="(alle)",$N1934=Filter!$B$5),OR(Filter!$E$5="(alle)",$K1934=Filter!$E$5),OR(Filter!$H$5="(alle)",$C1934=Filter!$H$5),OR(Filter!$B$7="(alle)",$E1934=Filter!$B$7),OR(Filter!$E$7="(alle)",ISNUMBER(SEARCH(Filter!$E$7,$J1934))),OR(Filter!$H$7="(alle)",ISNUMBER(SEARCH(Filter!$H$7,$I1934))),OR(Filter!$B$9="",ISNUMBER(SEARCH(Filter!$B$9,$F1934&amp;" "&amp;$G1934)))),COUNTIF($O$6:$O1933,"&gt;0")+1,0))</f>
        <v>0</v>
      </c>
    </row>
    <row r="1935" customFormat="false" ht="15" hidden="false" customHeight="true" outlineLevel="0" collapsed="false">
      <c r="O1935" s="1" t="n">
        <f aca="false">IF($B1935="",0,IF(AND(OR(Filter!$B$5="(alle)",$N1935=Filter!$B$5),OR(Filter!$E$5="(alle)",$K1935=Filter!$E$5),OR(Filter!$H$5="(alle)",$C1935=Filter!$H$5),OR(Filter!$B$7="(alle)",$E1935=Filter!$B$7),OR(Filter!$E$7="(alle)",ISNUMBER(SEARCH(Filter!$E$7,$J1935))),OR(Filter!$H$7="(alle)",ISNUMBER(SEARCH(Filter!$H$7,$I1935))),OR(Filter!$B$9="",ISNUMBER(SEARCH(Filter!$B$9,$F1935&amp;" "&amp;$G1935)))),COUNTIF($O$6:$O1934,"&gt;0")+1,0))</f>
        <v>0</v>
      </c>
    </row>
    <row r="1936" customFormat="false" ht="15" hidden="false" customHeight="true" outlineLevel="0" collapsed="false">
      <c r="O1936" s="1" t="n">
        <f aca="false">IF($B1936="",0,IF(AND(OR(Filter!$B$5="(alle)",$N1936=Filter!$B$5),OR(Filter!$E$5="(alle)",$K1936=Filter!$E$5),OR(Filter!$H$5="(alle)",$C1936=Filter!$H$5),OR(Filter!$B$7="(alle)",$E1936=Filter!$B$7),OR(Filter!$E$7="(alle)",ISNUMBER(SEARCH(Filter!$E$7,$J1936))),OR(Filter!$H$7="(alle)",ISNUMBER(SEARCH(Filter!$H$7,$I1936))),OR(Filter!$B$9="",ISNUMBER(SEARCH(Filter!$B$9,$F1936&amp;" "&amp;$G1936)))),COUNTIF($O$6:$O1935,"&gt;0")+1,0))</f>
        <v>0</v>
      </c>
    </row>
    <row r="1937" customFormat="false" ht="15" hidden="false" customHeight="true" outlineLevel="0" collapsed="false">
      <c r="O1937" s="1" t="n">
        <f aca="false">IF($B1937="",0,IF(AND(OR(Filter!$B$5="(alle)",$N1937=Filter!$B$5),OR(Filter!$E$5="(alle)",$K1937=Filter!$E$5),OR(Filter!$H$5="(alle)",$C1937=Filter!$H$5),OR(Filter!$B$7="(alle)",$E1937=Filter!$B$7),OR(Filter!$E$7="(alle)",ISNUMBER(SEARCH(Filter!$E$7,$J1937))),OR(Filter!$H$7="(alle)",ISNUMBER(SEARCH(Filter!$H$7,$I1937))),OR(Filter!$B$9="",ISNUMBER(SEARCH(Filter!$B$9,$F1937&amp;" "&amp;$G1937)))),COUNTIF($O$6:$O1936,"&gt;0")+1,0))</f>
        <v>0</v>
      </c>
    </row>
    <row r="1938" customFormat="false" ht="15" hidden="false" customHeight="true" outlineLevel="0" collapsed="false">
      <c r="O1938" s="1" t="n">
        <f aca="false">IF($B1938="",0,IF(AND(OR(Filter!$B$5="(alle)",$N1938=Filter!$B$5),OR(Filter!$E$5="(alle)",$K1938=Filter!$E$5),OR(Filter!$H$5="(alle)",$C1938=Filter!$H$5),OR(Filter!$B$7="(alle)",$E1938=Filter!$B$7),OR(Filter!$E$7="(alle)",ISNUMBER(SEARCH(Filter!$E$7,$J1938))),OR(Filter!$H$7="(alle)",ISNUMBER(SEARCH(Filter!$H$7,$I1938))),OR(Filter!$B$9="",ISNUMBER(SEARCH(Filter!$B$9,$F1938&amp;" "&amp;$G1938)))),COUNTIF($O$6:$O1937,"&gt;0")+1,0))</f>
        <v>0</v>
      </c>
    </row>
    <row r="1939" customFormat="false" ht="15" hidden="false" customHeight="true" outlineLevel="0" collapsed="false">
      <c r="O1939" s="1" t="n">
        <f aca="false">IF($B1939="",0,IF(AND(OR(Filter!$B$5="(alle)",$N1939=Filter!$B$5),OR(Filter!$E$5="(alle)",$K1939=Filter!$E$5),OR(Filter!$H$5="(alle)",$C1939=Filter!$H$5),OR(Filter!$B$7="(alle)",$E1939=Filter!$B$7),OR(Filter!$E$7="(alle)",ISNUMBER(SEARCH(Filter!$E$7,$J1939))),OR(Filter!$H$7="(alle)",ISNUMBER(SEARCH(Filter!$H$7,$I1939))),OR(Filter!$B$9="",ISNUMBER(SEARCH(Filter!$B$9,$F1939&amp;" "&amp;$G1939)))),COUNTIF($O$6:$O1938,"&gt;0")+1,0))</f>
        <v>0</v>
      </c>
    </row>
    <row r="1940" customFormat="false" ht="15" hidden="false" customHeight="true" outlineLevel="0" collapsed="false">
      <c r="O1940" s="1" t="n">
        <f aca="false">IF($B1940="",0,IF(AND(OR(Filter!$B$5="(alle)",$N1940=Filter!$B$5),OR(Filter!$E$5="(alle)",$K1940=Filter!$E$5),OR(Filter!$H$5="(alle)",$C1940=Filter!$H$5),OR(Filter!$B$7="(alle)",$E1940=Filter!$B$7),OR(Filter!$E$7="(alle)",ISNUMBER(SEARCH(Filter!$E$7,$J1940))),OR(Filter!$H$7="(alle)",ISNUMBER(SEARCH(Filter!$H$7,$I1940))),OR(Filter!$B$9="",ISNUMBER(SEARCH(Filter!$B$9,$F1940&amp;" "&amp;$G1940)))),COUNTIF($O$6:$O1939,"&gt;0")+1,0))</f>
        <v>0</v>
      </c>
    </row>
    <row r="1941" customFormat="false" ht="15" hidden="false" customHeight="true" outlineLevel="0" collapsed="false">
      <c r="O1941" s="1" t="n">
        <f aca="false">IF($B1941="",0,IF(AND(OR(Filter!$B$5="(alle)",$N1941=Filter!$B$5),OR(Filter!$E$5="(alle)",$K1941=Filter!$E$5),OR(Filter!$H$5="(alle)",$C1941=Filter!$H$5),OR(Filter!$B$7="(alle)",$E1941=Filter!$B$7),OR(Filter!$E$7="(alle)",ISNUMBER(SEARCH(Filter!$E$7,$J1941))),OR(Filter!$H$7="(alle)",ISNUMBER(SEARCH(Filter!$H$7,$I1941))),OR(Filter!$B$9="",ISNUMBER(SEARCH(Filter!$B$9,$F1941&amp;" "&amp;$G1941)))),COUNTIF($O$6:$O1940,"&gt;0")+1,0))</f>
        <v>0</v>
      </c>
    </row>
    <row r="1942" customFormat="false" ht="15" hidden="false" customHeight="true" outlineLevel="0" collapsed="false">
      <c r="O1942" s="1" t="n">
        <f aca="false">IF($B1942="",0,IF(AND(OR(Filter!$B$5="(alle)",$N1942=Filter!$B$5),OR(Filter!$E$5="(alle)",$K1942=Filter!$E$5),OR(Filter!$H$5="(alle)",$C1942=Filter!$H$5),OR(Filter!$B$7="(alle)",$E1942=Filter!$B$7),OR(Filter!$E$7="(alle)",ISNUMBER(SEARCH(Filter!$E$7,$J1942))),OR(Filter!$H$7="(alle)",ISNUMBER(SEARCH(Filter!$H$7,$I1942))),OR(Filter!$B$9="",ISNUMBER(SEARCH(Filter!$B$9,$F1942&amp;" "&amp;$G1942)))),COUNTIF($O$6:$O1941,"&gt;0")+1,0))</f>
        <v>0</v>
      </c>
    </row>
    <row r="1943" customFormat="false" ht="15" hidden="false" customHeight="true" outlineLevel="0" collapsed="false">
      <c r="O1943" s="1" t="n">
        <f aca="false">IF($B1943="",0,IF(AND(OR(Filter!$B$5="(alle)",$N1943=Filter!$B$5),OR(Filter!$E$5="(alle)",$K1943=Filter!$E$5),OR(Filter!$H$5="(alle)",$C1943=Filter!$H$5),OR(Filter!$B$7="(alle)",$E1943=Filter!$B$7),OR(Filter!$E$7="(alle)",ISNUMBER(SEARCH(Filter!$E$7,$J1943))),OR(Filter!$H$7="(alle)",ISNUMBER(SEARCH(Filter!$H$7,$I1943))),OR(Filter!$B$9="",ISNUMBER(SEARCH(Filter!$B$9,$F1943&amp;" "&amp;$G1943)))),COUNTIF($O$6:$O1942,"&gt;0")+1,0))</f>
        <v>0</v>
      </c>
    </row>
    <row r="1944" customFormat="false" ht="15" hidden="false" customHeight="true" outlineLevel="0" collapsed="false">
      <c r="O1944" s="1" t="n">
        <f aca="false">IF($B1944="",0,IF(AND(OR(Filter!$B$5="(alle)",$N1944=Filter!$B$5),OR(Filter!$E$5="(alle)",$K1944=Filter!$E$5),OR(Filter!$H$5="(alle)",$C1944=Filter!$H$5),OR(Filter!$B$7="(alle)",$E1944=Filter!$B$7),OR(Filter!$E$7="(alle)",ISNUMBER(SEARCH(Filter!$E$7,$J1944))),OR(Filter!$H$7="(alle)",ISNUMBER(SEARCH(Filter!$H$7,$I1944))),OR(Filter!$B$9="",ISNUMBER(SEARCH(Filter!$B$9,$F1944&amp;" "&amp;$G1944)))),COUNTIF($O$6:$O1943,"&gt;0")+1,0))</f>
        <v>0</v>
      </c>
    </row>
    <row r="1945" customFormat="false" ht="15" hidden="false" customHeight="true" outlineLevel="0" collapsed="false">
      <c r="O1945" s="1" t="n">
        <f aca="false">IF($B1945="",0,IF(AND(OR(Filter!$B$5="(alle)",$N1945=Filter!$B$5),OR(Filter!$E$5="(alle)",$K1945=Filter!$E$5),OR(Filter!$H$5="(alle)",$C1945=Filter!$H$5),OR(Filter!$B$7="(alle)",$E1945=Filter!$B$7),OR(Filter!$E$7="(alle)",ISNUMBER(SEARCH(Filter!$E$7,$J1945))),OR(Filter!$H$7="(alle)",ISNUMBER(SEARCH(Filter!$H$7,$I1945))),OR(Filter!$B$9="",ISNUMBER(SEARCH(Filter!$B$9,$F1945&amp;" "&amp;$G1945)))),COUNTIF($O$6:$O1944,"&gt;0")+1,0))</f>
        <v>0</v>
      </c>
    </row>
    <row r="1946" customFormat="false" ht="15" hidden="false" customHeight="true" outlineLevel="0" collapsed="false">
      <c r="O1946" s="1" t="n">
        <f aca="false">IF($B1946="",0,IF(AND(OR(Filter!$B$5="(alle)",$N1946=Filter!$B$5),OR(Filter!$E$5="(alle)",$K1946=Filter!$E$5),OR(Filter!$H$5="(alle)",$C1946=Filter!$H$5),OR(Filter!$B$7="(alle)",$E1946=Filter!$B$7),OR(Filter!$E$7="(alle)",ISNUMBER(SEARCH(Filter!$E$7,$J1946))),OR(Filter!$H$7="(alle)",ISNUMBER(SEARCH(Filter!$H$7,$I1946))),OR(Filter!$B$9="",ISNUMBER(SEARCH(Filter!$B$9,$F1946&amp;" "&amp;$G1946)))),COUNTIF($O$6:$O1945,"&gt;0")+1,0))</f>
        <v>0</v>
      </c>
    </row>
    <row r="1947" customFormat="false" ht="15" hidden="false" customHeight="true" outlineLevel="0" collapsed="false">
      <c r="O1947" s="1" t="n">
        <f aca="false">IF($B1947="",0,IF(AND(OR(Filter!$B$5="(alle)",$N1947=Filter!$B$5),OR(Filter!$E$5="(alle)",$K1947=Filter!$E$5),OR(Filter!$H$5="(alle)",$C1947=Filter!$H$5),OR(Filter!$B$7="(alle)",$E1947=Filter!$B$7),OR(Filter!$E$7="(alle)",ISNUMBER(SEARCH(Filter!$E$7,$J1947))),OR(Filter!$H$7="(alle)",ISNUMBER(SEARCH(Filter!$H$7,$I1947))),OR(Filter!$B$9="",ISNUMBER(SEARCH(Filter!$B$9,$F1947&amp;" "&amp;$G1947)))),COUNTIF($O$6:$O1946,"&gt;0")+1,0))</f>
        <v>0</v>
      </c>
    </row>
    <row r="1948" customFormat="false" ht="15" hidden="false" customHeight="true" outlineLevel="0" collapsed="false">
      <c r="O1948" s="1" t="n">
        <f aca="false">IF($B1948="",0,IF(AND(OR(Filter!$B$5="(alle)",$N1948=Filter!$B$5),OR(Filter!$E$5="(alle)",$K1948=Filter!$E$5),OR(Filter!$H$5="(alle)",$C1948=Filter!$H$5),OR(Filter!$B$7="(alle)",$E1948=Filter!$B$7),OR(Filter!$E$7="(alle)",ISNUMBER(SEARCH(Filter!$E$7,$J1948))),OR(Filter!$H$7="(alle)",ISNUMBER(SEARCH(Filter!$H$7,$I1948))),OR(Filter!$B$9="",ISNUMBER(SEARCH(Filter!$B$9,$F1948&amp;" "&amp;$G1948)))),COUNTIF($O$6:$O1947,"&gt;0")+1,0))</f>
        <v>0</v>
      </c>
    </row>
    <row r="1949" customFormat="false" ht="15" hidden="false" customHeight="true" outlineLevel="0" collapsed="false">
      <c r="O1949" s="1" t="n">
        <f aca="false">IF($B1949="",0,IF(AND(OR(Filter!$B$5="(alle)",$N1949=Filter!$B$5),OR(Filter!$E$5="(alle)",$K1949=Filter!$E$5),OR(Filter!$H$5="(alle)",$C1949=Filter!$H$5),OR(Filter!$B$7="(alle)",$E1949=Filter!$B$7),OR(Filter!$E$7="(alle)",ISNUMBER(SEARCH(Filter!$E$7,$J1949))),OR(Filter!$H$7="(alle)",ISNUMBER(SEARCH(Filter!$H$7,$I1949))),OR(Filter!$B$9="",ISNUMBER(SEARCH(Filter!$B$9,$F1949&amp;" "&amp;$G1949)))),COUNTIF($O$6:$O1948,"&gt;0")+1,0))</f>
        <v>0</v>
      </c>
    </row>
    <row r="1950" customFormat="false" ht="15" hidden="false" customHeight="true" outlineLevel="0" collapsed="false">
      <c r="O1950" s="1" t="n">
        <f aca="false">IF($B1950="",0,IF(AND(OR(Filter!$B$5="(alle)",$N1950=Filter!$B$5),OR(Filter!$E$5="(alle)",$K1950=Filter!$E$5),OR(Filter!$H$5="(alle)",$C1950=Filter!$H$5),OR(Filter!$B$7="(alle)",$E1950=Filter!$B$7),OR(Filter!$E$7="(alle)",ISNUMBER(SEARCH(Filter!$E$7,$J1950))),OR(Filter!$H$7="(alle)",ISNUMBER(SEARCH(Filter!$H$7,$I1950))),OR(Filter!$B$9="",ISNUMBER(SEARCH(Filter!$B$9,$F1950&amp;" "&amp;$G1950)))),COUNTIF($O$6:$O1949,"&gt;0")+1,0))</f>
        <v>0</v>
      </c>
    </row>
    <row r="1951" customFormat="false" ht="15" hidden="false" customHeight="true" outlineLevel="0" collapsed="false">
      <c r="O1951" s="1" t="n">
        <f aca="false">IF($B1951="",0,IF(AND(OR(Filter!$B$5="(alle)",$N1951=Filter!$B$5),OR(Filter!$E$5="(alle)",$K1951=Filter!$E$5),OR(Filter!$H$5="(alle)",$C1951=Filter!$H$5),OR(Filter!$B$7="(alle)",$E1951=Filter!$B$7),OR(Filter!$E$7="(alle)",ISNUMBER(SEARCH(Filter!$E$7,$J1951))),OR(Filter!$H$7="(alle)",ISNUMBER(SEARCH(Filter!$H$7,$I1951))),OR(Filter!$B$9="",ISNUMBER(SEARCH(Filter!$B$9,$F1951&amp;" "&amp;$G1951)))),COUNTIF($O$6:$O1950,"&gt;0")+1,0))</f>
        <v>0</v>
      </c>
    </row>
    <row r="1952" customFormat="false" ht="15" hidden="false" customHeight="true" outlineLevel="0" collapsed="false">
      <c r="O1952" s="1" t="n">
        <f aca="false">IF($B1952="",0,IF(AND(OR(Filter!$B$5="(alle)",$N1952=Filter!$B$5),OR(Filter!$E$5="(alle)",$K1952=Filter!$E$5),OR(Filter!$H$5="(alle)",$C1952=Filter!$H$5),OR(Filter!$B$7="(alle)",$E1952=Filter!$B$7),OR(Filter!$E$7="(alle)",ISNUMBER(SEARCH(Filter!$E$7,$J1952))),OR(Filter!$H$7="(alle)",ISNUMBER(SEARCH(Filter!$H$7,$I1952))),OR(Filter!$B$9="",ISNUMBER(SEARCH(Filter!$B$9,$F1952&amp;" "&amp;$G1952)))),COUNTIF($O$6:$O1951,"&gt;0")+1,0))</f>
        <v>0</v>
      </c>
    </row>
    <row r="1953" customFormat="false" ht="15" hidden="false" customHeight="true" outlineLevel="0" collapsed="false">
      <c r="O1953" s="1" t="n">
        <f aca="false">IF($B1953="",0,IF(AND(OR(Filter!$B$5="(alle)",$N1953=Filter!$B$5),OR(Filter!$E$5="(alle)",$K1953=Filter!$E$5),OR(Filter!$H$5="(alle)",$C1953=Filter!$H$5),OR(Filter!$B$7="(alle)",$E1953=Filter!$B$7),OR(Filter!$E$7="(alle)",ISNUMBER(SEARCH(Filter!$E$7,$J1953))),OR(Filter!$H$7="(alle)",ISNUMBER(SEARCH(Filter!$H$7,$I1953))),OR(Filter!$B$9="",ISNUMBER(SEARCH(Filter!$B$9,$F1953&amp;" "&amp;$G1953)))),COUNTIF($O$6:$O1952,"&gt;0")+1,0))</f>
        <v>0</v>
      </c>
    </row>
    <row r="1954" customFormat="false" ht="15" hidden="false" customHeight="true" outlineLevel="0" collapsed="false">
      <c r="O1954" s="1" t="n">
        <f aca="false">IF($B1954="",0,IF(AND(OR(Filter!$B$5="(alle)",$N1954=Filter!$B$5),OR(Filter!$E$5="(alle)",$K1954=Filter!$E$5),OR(Filter!$H$5="(alle)",$C1954=Filter!$H$5),OR(Filter!$B$7="(alle)",$E1954=Filter!$B$7),OR(Filter!$E$7="(alle)",ISNUMBER(SEARCH(Filter!$E$7,$J1954))),OR(Filter!$H$7="(alle)",ISNUMBER(SEARCH(Filter!$H$7,$I1954))),OR(Filter!$B$9="",ISNUMBER(SEARCH(Filter!$B$9,$F1954&amp;" "&amp;$G1954)))),COUNTIF($O$6:$O1953,"&gt;0")+1,0))</f>
        <v>0</v>
      </c>
    </row>
    <row r="1955" customFormat="false" ht="15" hidden="false" customHeight="true" outlineLevel="0" collapsed="false">
      <c r="O1955" s="1" t="n">
        <f aca="false">IF($B1955="",0,IF(AND(OR(Filter!$B$5="(alle)",$N1955=Filter!$B$5),OR(Filter!$E$5="(alle)",$K1955=Filter!$E$5),OR(Filter!$H$5="(alle)",$C1955=Filter!$H$5),OR(Filter!$B$7="(alle)",$E1955=Filter!$B$7),OR(Filter!$E$7="(alle)",ISNUMBER(SEARCH(Filter!$E$7,$J1955))),OR(Filter!$H$7="(alle)",ISNUMBER(SEARCH(Filter!$H$7,$I1955))),OR(Filter!$B$9="",ISNUMBER(SEARCH(Filter!$B$9,$F1955&amp;" "&amp;$G1955)))),COUNTIF($O$6:$O1954,"&gt;0")+1,0))</f>
        <v>0</v>
      </c>
    </row>
    <row r="1956" customFormat="false" ht="15" hidden="false" customHeight="true" outlineLevel="0" collapsed="false">
      <c r="O1956" s="1" t="n">
        <f aca="false">IF($B1956="",0,IF(AND(OR(Filter!$B$5="(alle)",$N1956=Filter!$B$5),OR(Filter!$E$5="(alle)",$K1956=Filter!$E$5),OR(Filter!$H$5="(alle)",$C1956=Filter!$H$5),OR(Filter!$B$7="(alle)",$E1956=Filter!$B$7),OR(Filter!$E$7="(alle)",ISNUMBER(SEARCH(Filter!$E$7,$J1956))),OR(Filter!$H$7="(alle)",ISNUMBER(SEARCH(Filter!$H$7,$I1956))),OR(Filter!$B$9="",ISNUMBER(SEARCH(Filter!$B$9,$F1956&amp;" "&amp;$G1956)))),COUNTIF($O$6:$O1955,"&gt;0")+1,0))</f>
        <v>0</v>
      </c>
    </row>
    <row r="1957" customFormat="false" ht="15" hidden="false" customHeight="true" outlineLevel="0" collapsed="false">
      <c r="O1957" s="1" t="n">
        <f aca="false">IF($B1957="",0,IF(AND(OR(Filter!$B$5="(alle)",$N1957=Filter!$B$5),OR(Filter!$E$5="(alle)",$K1957=Filter!$E$5),OR(Filter!$H$5="(alle)",$C1957=Filter!$H$5),OR(Filter!$B$7="(alle)",$E1957=Filter!$B$7),OR(Filter!$E$7="(alle)",ISNUMBER(SEARCH(Filter!$E$7,$J1957))),OR(Filter!$H$7="(alle)",ISNUMBER(SEARCH(Filter!$H$7,$I1957))),OR(Filter!$B$9="",ISNUMBER(SEARCH(Filter!$B$9,$F1957&amp;" "&amp;$G1957)))),COUNTIF($O$6:$O1956,"&gt;0")+1,0))</f>
        <v>0</v>
      </c>
    </row>
    <row r="1958" customFormat="false" ht="15" hidden="false" customHeight="true" outlineLevel="0" collapsed="false">
      <c r="O1958" s="1" t="n">
        <f aca="false">IF($B1958="",0,IF(AND(OR(Filter!$B$5="(alle)",$N1958=Filter!$B$5),OR(Filter!$E$5="(alle)",$K1958=Filter!$E$5),OR(Filter!$H$5="(alle)",$C1958=Filter!$H$5),OR(Filter!$B$7="(alle)",$E1958=Filter!$B$7),OR(Filter!$E$7="(alle)",ISNUMBER(SEARCH(Filter!$E$7,$J1958))),OR(Filter!$H$7="(alle)",ISNUMBER(SEARCH(Filter!$H$7,$I1958))),OR(Filter!$B$9="",ISNUMBER(SEARCH(Filter!$B$9,$F1958&amp;" "&amp;$G1958)))),COUNTIF($O$6:$O1957,"&gt;0")+1,0))</f>
        <v>0</v>
      </c>
    </row>
    <row r="1959" customFormat="false" ht="15" hidden="false" customHeight="true" outlineLevel="0" collapsed="false">
      <c r="O1959" s="1" t="n">
        <f aca="false">IF($B1959="",0,IF(AND(OR(Filter!$B$5="(alle)",$N1959=Filter!$B$5),OR(Filter!$E$5="(alle)",$K1959=Filter!$E$5),OR(Filter!$H$5="(alle)",$C1959=Filter!$H$5),OR(Filter!$B$7="(alle)",$E1959=Filter!$B$7),OR(Filter!$E$7="(alle)",ISNUMBER(SEARCH(Filter!$E$7,$J1959))),OR(Filter!$H$7="(alle)",ISNUMBER(SEARCH(Filter!$H$7,$I1959))),OR(Filter!$B$9="",ISNUMBER(SEARCH(Filter!$B$9,$F1959&amp;" "&amp;$G1959)))),COUNTIF($O$6:$O1958,"&gt;0")+1,0))</f>
        <v>0</v>
      </c>
    </row>
    <row r="1960" customFormat="false" ht="15" hidden="false" customHeight="true" outlineLevel="0" collapsed="false">
      <c r="O1960" s="1" t="n">
        <f aca="false">IF($B1960="",0,IF(AND(OR(Filter!$B$5="(alle)",$N1960=Filter!$B$5),OR(Filter!$E$5="(alle)",$K1960=Filter!$E$5),OR(Filter!$H$5="(alle)",$C1960=Filter!$H$5),OR(Filter!$B$7="(alle)",$E1960=Filter!$B$7),OR(Filter!$E$7="(alle)",ISNUMBER(SEARCH(Filter!$E$7,$J1960))),OR(Filter!$H$7="(alle)",ISNUMBER(SEARCH(Filter!$H$7,$I1960))),OR(Filter!$B$9="",ISNUMBER(SEARCH(Filter!$B$9,$F1960&amp;" "&amp;$G1960)))),COUNTIF($O$6:$O1959,"&gt;0")+1,0))</f>
        <v>0</v>
      </c>
    </row>
    <row r="1961" customFormat="false" ht="15" hidden="false" customHeight="true" outlineLevel="0" collapsed="false">
      <c r="O1961" s="1" t="n">
        <f aca="false">IF($B1961="",0,IF(AND(OR(Filter!$B$5="(alle)",$N1961=Filter!$B$5),OR(Filter!$E$5="(alle)",$K1961=Filter!$E$5),OR(Filter!$H$5="(alle)",$C1961=Filter!$H$5),OR(Filter!$B$7="(alle)",$E1961=Filter!$B$7),OR(Filter!$E$7="(alle)",ISNUMBER(SEARCH(Filter!$E$7,$J1961))),OR(Filter!$H$7="(alle)",ISNUMBER(SEARCH(Filter!$H$7,$I1961))),OR(Filter!$B$9="",ISNUMBER(SEARCH(Filter!$B$9,$F1961&amp;" "&amp;$G1961)))),COUNTIF($O$6:$O1960,"&gt;0")+1,0))</f>
        <v>0</v>
      </c>
    </row>
    <row r="1962" customFormat="false" ht="15" hidden="false" customHeight="true" outlineLevel="0" collapsed="false">
      <c r="O1962" s="1" t="n">
        <f aca="false">IF($B1962="",0,IF(AND(OR(Filter!$B$5="(alle)",$N1962=Filter!$B$5),OR(Filter!$E$5="(alle)",$K1962=Filter!$E$5),OR(Filter!$H$5="(alle)",$C1962=Filter!$H$5),OR(Filter!$B$7="(alle)",$E1962=Filter!$B$7),OR(Filter!$E$7="(alle)",ISNUMBER(SEARCH(Filter!$E$7,$J1962))),OR(Filter!$H$7="(alle)",ISNUMBER(SEARCH(Filter!$H$7,$I1962))),OR(Filter!$B$9="",ISNUMBER(SEARCH(Filter!$B$9,$F1962&amp;" "&amp;$G1962)))),COUNTIF($O$6:$O1961,"&gt;0")+1,0))</f>
        <v>0</v>
      </c>
    </row>
    <row r="1963" customFormat="false" ht="15" hidden="false" customHeight="true" outlineLevel="0" collapsed="false">
      <c r="O1963" s="1" t="n">
        <f aca="false">IF($B1963="",0,IF(AND(OR(Filter!$B$5="(alle)",$N1963=Filter!$B$5),OR(Filter!$E$5="(alle)",$K1963=Filter!$E$5),OR(Filter!$H$5="(alle)",$C1963=Filter!$H$5),OR(Filter!$B$7="(alle)",$E1963=Filter!$B$7),OR(Filter!$E$7="(alle)",ISNUMBER(SEARCH(Filter!$E$7,$J1963))),OR(Filter!$H$7="(alle)",ISNUMBER(SEARCH(Filter!$H$7,$I1963))),OR(Filter!$B$9="",ISNUMBER(SEARCH(Filter!$B$9,$F1963&amp;" "&amp;$G1963)))),COUNTIF($O$6:$O1962,"&gt;0")+1,0))</f>
        <v>0</v>
      </c>
    </row>
    <row r="1964" customFormat="false" ht="15" hidden="false" customHeight="true" outlineLevel="0" collapsed="false">
      <c r="O1964" s="1" t="n">
        <f aca="false">IF($B1964="",0,IF(AND(OR(Filter!$B$5="(alle)",$N1964=Filter!$B$5),OR(Filter!$E$5="(alle)",$K1964=Filter!$E$5),OR(Filter!$H$5="(alle)",$C1964=Filter!$H$5),OR(Filter!$B$7="(alle)",$E1964=Filter!$B$7),OR(Filter!$E$7="(alle)",ISNUMBER(SEARCH(Filter!$E$7,$J1964))),OR(Filter!$H$7="(alle)",ISNUMBER(SEARCH(Filter!$H$7,$I1964))),OR(Filter!$B$9="",ISNUMBER(SEARCH(Filter!$B$9,$F1964&amp;" "&amp;$G1964)))),COUNTIF($O$6:$O1963,"&gt;0")+1,0))</f>
        <v>0</v>
      </c>
    </row>
    <row r="1965" customFormat="false" ht="15" hidden="false" customHeight="true" outlineLevel="0" collapsed="false">
      <c r="O1965" s="1" t="n">
        <f aca="false">IF($B1965="",0,IF(AND(OR(Filter!$B$5="(alle)",$N1965=Filter!$B$5),OR(Filter!$E$5="(alle)",$K1965=Filter!$E$5),OR(Filter!$H$5="(alle)",$C1965=Filter!$H$5),OR(Filter!$B$7="(alle)",$E1965=Filter!$B$7),OR(Filter!$E$7="(alle)",ISNUMBER(SEARCH(Filter!$E$7,$J1965))),OR(Filter!$H$7="(alle)",ISNUMBER(SEARCH(Filter!$H$7,$I1965))),OR(Filter!$B$9="",ISNUMBER(SEARCH(Filter!$B$9,$F1965&amp;" "&amp;$G1965)))),COUNTIF($O$6:$O1964,"&gt;0")+1,0))</f>
        <v>0</v>
      </c>
    </row>
    <row r="1966" customFormat="false" ht="15" hidden="false" customHeight="true" outlineLevel="0" collapsed="false">
      <c r="O1966" s="1" t="n">
        <f aca="false">IF($B1966="",0,IF(AND(OR(Filter!$B$5="(alle)",$N1966=Filter!$B$5),OR(Filter!$E$5="(alle)",$K1966=Filter!$E$5),OR(Filter!$H$5="(alle)",$C1966=Filter!$H$5),OR(Filter!$B$7="(alle)",$E1966=Filter!$B$7),OR(Filter!$E$7="(alle)",ISNUMBER(SEARCH(Filter!$E$7,$J1966))),OR(Filter!$H$7="(alle)",ISNUMBER(SEARCH(Filter!$H$7,$I1966))),OR(Filter!$B$9="",ISNUMBER(SEARCH(Filter!$B$9,$F1966&amp;" "&amp;$G1966)))),COUNTIF($O$6:$O1965,"&gt;0")+1,0))</f>
        <v>0</v>
      </c>
    </row>
    <row r="1967" customFormat="false" ht="15" hidden="false" customHeight="true" outlineLevel="0" collapsed="false">
      <c r="O1967" s="1" t="n">
        <f aca="false">IF($B1967="",0,IF(AND(OR(Filter!$B$5="(alle)",$N1967=Filter!$B$5),OR(Filter!$E$5="(alle)",$K1967=Filter!$E$5),OR(Filter!$H$5="(alle)",$C1967=Filter!$H$5),OR(Filter!$B$7="(alle)",$E1967=Filter!$B$7),OR(Filter!$E$7="(alle)",ISNUMBER(SEARCH(Filter!$E$7,$J1967))),OR(Filter!$H$7="(alle)",ISNUMBER(SEARCH(Filter!$H$7,$I1967))),OR(Filter!$B$9="",ISNUMBER(SEARCH(Filter!$B$9,$F1967&amp;" "&amp;$G1967)))),COUNTIF($O$6:$O1966,"&gt;0")+1,0))</f>
        <v>0</v>
      </c>
    </row>
    <row r="1968" customFormat="false" ht="15" hidden="false" customHeight="true" outlineLevel="0" collapsed="false">
      <c r="O1968" s="1" t="n">
        <f aca="false">IF($B1968="",0,IF(AND(OR(Filter!$B$5="(alle)",$N1968=Filter!$B$5),OR(Filter!$E$5="(alle)",$K1968=Filter!$E$5),OR(Filter!$H$5="(alle)",$C1968=Filter!$H$5),OR(Filter!$B$7="(alle)",$E1968=Filter!$B$7),OR(Filter!$E$7="(alle)",ISNUMBER(SEARCH(Filter!$E$7,$J1968))),OR(Filter!$H$7="(alle)",ISNUMBER(SEARCH(Filter!$H$7,$I1968))),OR(Filter!$B$9="",ISNUMBER(SEARCH(Filter!$B$9,$F1968&amp;" "&amp;$G1968)))),COUNTIF($O$6:$O1967,"&gt;0")+1,0))</f>
        <v>0</v>
      </c>
    </row>
    <row r="1969" customFormat="false" ht="15" hidden="false" customHeight="true" outlineLevel="0" collapsed="false">
      <c r="O1969" s="1" t="n">
        <f aca="false">IF($B1969="",0,IF(AND(OR(Filter!$B$5="(alle)",$N1969=Filter!$B$5),OR(Filter!$E$5="(alle)",$K1969=Filter!$E$5),OR(Filter!$H$5="(alle)",$C1969=Filter!$H$5),OR(Filter!$B$7="(alle)",$E1969=Filter!$B$7),OR(Filter!$E$7="(alle)",ISNUMBER(SEARCH(Filter!$E$7,$J1969))),OR(Filter!$H$7="(alle)",ISNUMBER(SEARCH(Filter!$H$7,$I1969))),OR(Filter!$B$9="",ISNUMBER(SEARCH(Filter!$B$9,$F1969&amp;" "&amp;$G1969)))),COUNTIF($O$6:$O1968,"&gt;0")+1,0))</f>
        <v>0</v>
      </c>
    </row>
    <row r="1970" customFormat="false" ht="15" hidden="false" customHeight="true" outlineLevel="0" collapsed="false">
      <c r="O1970" s="1" t="n">
        <f aca="false">IF($B1970="",0,IF(AND(OR(Filter!$B$5="(alle)",$N1970=Filter!$B$5),OR(Filter!$E$5="(alle)",$K1970=Filter!$E$5),OR(Filter!$H$5="(alle)",$C1970=Filter!$H$5),OR(Filter!$B$7="(alle)",$E1970=Filter!$B$7),OR(Filter!$E$7="(alle)",ISNUMBER(SEARCH(Filter!$E$7,$J1970))),OR(Filter!$H$7="(alle)",ISNUMBER(SEARCH(Filter!$H$7,$I1970))),OR(Filter!$B$9="",ISNUMBER(SEARCH(Filter!$B$9,$F1970&amp;" "&amp;$G1970)))),COUNTIF($O$6:$O1969,"&gt;0")+1,0))</f>
        <v>0</v>
      </c>
    </row>
    <row r="1971" customFormat="false" ht="15" hidden="false" customHeight="true" outlineLevel="0" collapsed="false">
      <c r="O1971" s="1" t="n">
        <f aca="false">IF($B1971="",0,IF(AND(OR(Filter!$B$5="(alle)",$N1971=Filter!$B$5),OR(Filter!$E$5="(alle)",$K1971=Filter!$E$5),OR(Filter!$H$5="(alle)",$C1971=Filter!$H$5),OR(Filter!$B$7="(alle)",$E1971=Filter!$B$7),OR(Filter!$E$7="(alle)",ISNUMBER(SEARCH(Filter!$E$7,$J1971))),OR(Filter!$H$7="(alle)",ISNUMBER(SEARCH(Filter!$H$7,$I1971))),OR(Filter!$B$9="",ISNUMBER(SEARCH(Filter!$B$9,$F1971&amp;" "&amp;$G1971)))),COUNTIF($O$6:$O1970,"&gt;0")+1,0))</f>
        <v>0</v>
      </c>
    </row>
    <row r="1972" customFormat="false" ht="15" hidden="false" customHeight="true" outlineLevel="0" collapsed="false">
      <c r="O1972" s="1" t="n">
        <f aca="false">IF($B1972="",0,IF(AND(OR(Filter!$B$5="(alle)",$N1972=Filter!$B$5),OR(Filter!$E$5="(alle)",$K1972=Filter!$E$5),OR(Filter!$H$5="(alle)",$C1972=Filter!$H$5),OR(Filter!$B$7="(alle)",$E1972=Filter!$B$7),OR(Filter!$E$7="(alle)",ISNUMBER(SEARCH(Filter!$E$7,$J1972))),OR(Filter!$H$7="(alle)",ISNUMBER(SEARCH(Filter!$H$7,$I1972))),OR(Filter!$B$9="",ISNUMBER(SEARCH(Filter!$B$9,$F1972&amp;" "&amp;$G1972)))),COUNTIF($O$6:$O1971,"&gt;0")+1,0))</f>
        <v>0</v>
      </c>
    </row>
    <row r="1973" customFormat="false" ht="15" hidden="false" customHeight="true" outlineLevel="0" collapsed="false">
      <c r="O1973" s="1" t="n">
        <f aca="false">IF($B1973="",0,IF(AND(OR(Filter!$B$5="(alle)",$N1973=Filter!$B$5),OR(Filter!$E$5="(alle)",$K1973=Filter!$E$5),OR(Filter!$H$5="(alle)",$C1973=Filter!$H$5),OR(Filter!$B$7="(alle)",$E1973=Filter!$B$7),OR(Filter!$E$7="(alle)",ISNUMBER(SEARCH(Filter!$E$7,$J1973))),OR(Filter!$H$7="(alle)",ISNUMBER(SEARCH(Filter!$H$7,$I1973))),OR(Filter!$B$9="",ISNUMBER(SEARCH(Filter!$B$9,$F1973&amp;" "&amp;$G1973)))),COUNTIF($O$6:$O1972,"&gt;0")+1,0))</f>
        <v>0</v>
      </c>
    </row>
    <row r="1974" customFormat="false" ht="15" hidden="false" customHeight="true" outlineLevel="0" collapsed="false">
      <c r="O1974" s="1" t="n">
        <f aca="false">IF($B1974="",0,IF(AND(OR(Filter!$B$5="(alle)",$N1974=Filter!$B$5),OR(Filter!$E$5="(alle)",$K1974=Filter!$E$5),OR(Filter!$H$5="(alle)",$C1974=Filter!$H$5),OR(Filter!$B$7="(alle)",$E1974=Filter!$B$7),OR(Filter!$E$7="(alle)",ISNUMBER(SEARCH(Filter!$E$7,$J1974))),OR(Filter!$H$7="(alle)",ISNUMBER(SEARCH(Filter!$H$7,$I1974))),OR(Filter!$B$9="",ISNUMBER(SEARCH(Filter!$B$9,$F1974&amp;" "&amp;$G1974)))),COUNTIF($O$6:$O1973,"&gt;0")+1,0))</f>
        <v>0</v>
      </c>
    </row>
    <row r="1975" customFormat="false" ht="15" hidden="false" customHeight="true" outlineLevel="0" collapsed="false">
      <c r="O1975" s="1" t="n">
        <f aca="false">IF($B1975="",0,IF(AND(OR(Filter!$B$5="(alle)",$N1975=Filter!$B$5),OR(Filter!$E$5="(alle)",$K1975=Filter!$E$5),OR(Filter!$H$5="(alle)",$C1975=Filter!$H$5),OR(Filter!$B$7="(alle)",$E1975=Filter!$B$7),OR(Filter!$E$7="(alle)",ISNUMBER(SEARCH(Filter!$E$7,$J1975))),OR(Filter!$H$7="(alle)",ISNUMBER(SEARCH(Filter!$H$7,$I1975))),OR(Filter!$B$9="",ISNUMBER(SEARCH(Filter!$B$9,$F1975&amp;" "&amp;$G1975)))),COUNTIF($O$6:$O1974,"&gt;0")+1,0))</f>
        <v>0</v>
      </c>
    </row>
    <row r="1976" customFormat="false" ht="15" hidden="false" customHeight="true" outlineLevel="0" collapsed="false">
      <c r="O1976" s="1" t="n">
        <f aca="false">IF($B1976="",0,IF(AND(OR(Filter!$B$5="(alle)",$N1976=Filter!$B$5),OR(Filter!$E$5="(alle)",$K1976=Filter!$E$5),OR(Filter!$H$5="(alle)",$C1976=Filter!$H$5),OR(Filter!$B$7="(alle)",$E1976=Filter!$B$7),OR(Filter!$E$7="(alle)",ISNUMBER(SEARCH(Filter!$E$7,$J1976))),OR(Filter!$H$7="(alle)",ISNUMBER(SEARCH(Filter!$H$7,$I1976))),OR(Filter!$B$9="",ISNUMBER(SEARCH(Filter!$B$9,$F1976&amp;" "&amp;$G1976)))),COUNTIF($O$6:$O1975,"&gt;0")+1,0))</f>
        <v>0</v>
      </c>
    </row>
    <row r="1977" customFormat="false" ht="15" hidden="false" customHeight="true" outlineLevel="0" collapsed="false">
      <c r="O1977" s="1" t="n">
        <f aca="false">IF($B1977="",0,IF(AND(OR(Filter!$B$5="(alle)",$N1977=Filter!$B$5),OR(Filter!$E$5="(alle)",$K1977=Filter!$E$5),OR(Filter!$H$5="(alle)",$C1977=Filter!$H$5),OR(Filter!$B$7="(alle)",$E1977=Filter!$B$7),OR(Filter!$E$7="(alle)",ISNUMBER(SEARCH(Filter!$E$7,$J1977))),OR(Filter!$H$7="(alle)",ISNUMBER(SEARCH(Filter!$H$7,$I1977))),OR(Filter!$B$9="",ISNUMBER(SEARCH(Filter!$B$9,$F1977&amp;" "&amp;$G1977)))),COUNTIF($O$6:$O1976,"&gt;0")+1,0))</f>
        <v>0</v>
      </c>
    </row>
    <row r="1978" customFormat="false" ht="15" hidden="false" customHeight="true" outlineLevel="0" collapsed="false">
      <c r="O1978" s="1" t="n">
        <f aca="false">IF($B1978="",0,IF(AND(OR(Filter!$B$5="(alle)",$N1978=Filter!$B$5),OR(Filter!$E$5="(alle)",$K1978=Filter!$E$5),OR(Filter!$H$5="(alle)",$C1978=Filter!$H$5),OR(Filter!$B$7="(alle)",$E1978=Filter!$B$7),OR(Filter!$E$7="(alle)",ISNUMBER(SEARCH(Filter!$E$7,$J1978))),OR(Filter!$H$7="(alle)",ISNUMBER(SEARCH(Filter!$H$7,$I1978))),OR(Filter!$B$9="",ISNUMBER(SEARCH(Filter!$B$9,$F1978&amp;" "&amp;$G1978)))),COUNTIF($O$6:$O1977,"&gt;0")+1,0))</f>
        <v>0</v>
      </c>
    </row>
    <row r="1979" customFormat="false" ht="15" hidden="false" customHeight="true" outlineLevel="0" collapsed="false">
      <c r="O1979" s="1" t="n">
        <f aca="false">IF($B1979="",0,IF(AND(OR(Filter!$B$5="(alle)",$N1979=Filter!$B$5),OR(Filter!$E$5="(alle)",$K1979=Filter!$E$5),OR(Filter!$H$5="(alle)",$C1979=Filter!$H$5),OR(Filter!$B$7="(alle)",$E1979=Filter!$B$7),OR(Filter!$E$7="(alle)",ISNUMBER(SEARCH(Filter!$E$7,$J1979))),OR(Filter!$H$7="(alle)",ISNUMBER(SEARCH(Filter!$H$7,$I1979))),OR(Filter!$B$9="",ISNUMBER(SEARCH(Filter!$B$9,$F1979&amp;" "&amp;$G1979)))),COUNTIF($O$6:$O1978,"&gt;0")+1,0))</f>
        <v>0</v>
      </c>
    </row>
    <row r="1980" customFormat="false" ht="15" hidden="false" customHeight="true" outlineLevel="0" collapsed="false">
      <c r="O1980" s="1" t="n">
        <f aca="false">IF($B1980="",0,IF(AND(OR(Filter!$B$5="(alle)",$N1980=Filter!$B$5),OR(Filter!$E$5="(alle)",$K1980=Filter!$E$5),OR(Filter!$H$5="(alle)",$C1980=Filter!$H$5),OR(Filter!$B$7="(alle)",$E1980=Filter!$B$7),OR(Filter!$E$7="(alle)",ISNUMBER(SEARCH(Filter!$E$7,$J1980))),OR(Filter!$H$7="(alle)",ISNUMBER(SEARCH(Filter!$H$7,$I1980))),OR(Filter!$B$9="",ISNUMBER(SEARCH(Filter!$B$9,$F1980&amp;" "&amp;$G1980)))),COUNTIF($O$6:$O1979,"&gt;0")+1,0))</f>
        <v>0</v>
      </c>
    </row>
    <row r="1981" customFormat="false" ht="15" hidden="false" customHeight="true" outlineLevel="0" collapsed="false">
      <c r="O1981" s="1" t="n">
        <f aca="false">IF($B1981="",0,IF(AND(OR(Filter!$B$5="(alle)",$N1981=Filter!$B$5),OR(Filter!$E$5="(alle)",$K1981=Filter!$E$5),OR(Filter!$H$5="(alle)",$C1981=Filter!$H$5),OR(Filter!$B$7="(alle)",$E1981=Filter!$B$7),OR(Filter!$E$7="(alle)",ISNUMBER(SEARCH(Filter!$E$7,$J1981))),OR(Filter!$H$7="(alle)",ISNUMBER(SEARCH(Filter!$H$7,$I1981))),OR(Filter!$B$9="",ISNUMBER(SEARCH(Filter!$B$9,$F1981&amp;" "&amp;$G1981)))),COUNTIF($O$6:$O1980,"&gt;0")+1,0))</f>
        <v>0</v>
      </c>
    </row>
    <row r="1982" customFormat="false" ht="15" hidden="false" customHeight="true" outlineLevel="0" collapsed="false">
      <c r="O1982" s="1" t="n">
        <f aca="false">IF($B1982="",0,IF(AND(OR(Filter!$B$5="(alle)",$N1982=Filter!$B$5),OR(Filter!$E$5="(alle)",$K1982=Filter!$E$5),OR(Filter!$H$5="(alle)",$C1982=Filter!$H$5),OR(Filter!$B$7="(alle)",$E1982=Filter!$B$7),OR(Filter!$E$7="(alle)",ISNUMBER(SEARCH(Filter!$E$7,$J1982))),OR(Filter!$H$7="(alle)",ISNUMBER(SEARCH(Filter!$H$7,$I1982))),OR(Filter!$B$9="",ISNUMBER(SEARCH(Filter!$B$9,$F1982&amp;" "&amp;$G1982)))),COUNTIF($O$6:$O1981,"&gt;0")+1,0))</f>
        <v>0</v>
      </c>
    </row>
    <row r="1983" customFormat="false" ht="15" hidden="false" customHeight="true" outlineLevel="0" collapsed="false">
      <c r="O1983" s="1" t="n">
        <f aca="false">IF($B1983="",0,IF(AND(OR(Filter!$B$5="(alle)",$N1983=Filter!$B$5),OR(Filter!$E$5="(alle)",$K1983=Filter!$E$5),OR(Filter!$H$5="(alle)",$C1983=Filter!$H$5),OR(Filter!$B$7="(alle)",$E1983=Filter!$B$7),OR(Filter!$E$7="(alle)",ISNUMBER(SEARCH(Filter!$E$7,$J1983))),OR(Filter!$H$7="(alle)",ISNUMBER(SEARCH(Filter!$H$7,$I1983))),OR(Filter!$B$9="",ISNUMBER(SEARCH(Filter!$B$9,$F1983&amp;" "&amp;$G1983)))),COUNTIF($O$6:$O1982,"&gt;0")+1,0))</f>
        <v>0</v>
      </c>
    </row>
    <row r="1984" customFormat="false" ht="15" hidden="false" customHeight="true" outlineLevel="0" collapsed="false">
      <c r="O1984" s="1" t="n">
        <f aca="false">IF($B1984="",0,IF(AND(OR(Filter!$B$5="(alle)",$N1984=Filter!$B$5),OR(Filter!$E$5="(alle)",$K1984=Filter!$E$5),OR(Filter!$H$5="(alle)",$C1984=Filter!$H$5),OR(Filter!$B$7="(alle)",$E1984=Filter!$B$7),OR(Filter!$E$7="(alle)",ISNUMBER(SEARCH(Filter!$E$7,$J1984))),OR(Filter!$H$7="(alle)",ISNUMBER(SEARCH(Filter!$H$7,$I1984))),OR(Filter!$B$9="",ISNUMBER(SEARCH(Filter!$B$9,$F1984&amp;" "&amp;$G1984)))),COUNTIF($O$6:$O1983,"&gt;0")+1,0))</f>
        <v>0</v>
      </c>
    </row>
    <row r="1985" customFormat="false" ht="15" hidden="false" customHeight="true" outlineLevel="0" collapsed="false">
      <c r="O1985" s="1" t="n">
        <f aca="false">IF($B1985="",0,IF(AND(OR(Filter!$B$5="(alle)",$N1985=Filter!$B$5),OR(Filter!$E$5="(alle)",$K1985=Filter!$E$5),OR(Filter!$H$5="(alle)",$C1985=Filter!$H$5),OR(Filter!$B$7="(alle)",$E1985=Filter!$B$7),OR(Filter!$E$7="(alle)",ISNUMBER(SEARCH(Filter!$E$7,$J1985))),OR(Filter!$H$7="(alle)",ISNUMBER(SEARCH(Filter!$H$7,$I1985))),OR(Filter!$B$9="",ISNUMBER(SEARCH(Filter!$B$9,$F1985&amp;" "&amp;$G1985)))),COUNTIF($O$6:$O1984,"&gt;0")+1,0))</f>
        <v>0</v>
      </c>
    </row>
    <row r="1986" customFormat="false" ht="15" hidden="false" customHeight="true" outlineLevel="0" collapsed="false">
      <c r="O1986" s="1" t="n">
        <f aca="false">IF($B1986="",0,IF(AND(OR(Filter!$B$5="(alle)",$N1986=Filter!$B$5),OR(Filter!$E$5="(alle)",$K1986=Filter!$E$5),OR(Filter!$H$5="(alle)",$C1986=Filter!$H$5),OR(Filter!$B$7="(alle)",$E1986=Filter!$B$7),OR(Filter!$E$7="(alle)",ISNUMBER(SEARCH(Filter!$E$7,$J1986))),OR(Filter!$H$7="(alle)",ISNUMBER(SEARCH(Filter!$H$7,$I1986))),OR(Filter!$B$9="",ISNUMBER(SEARCH(Filter!$B$9,$F1986&amp;" "&amp;$G1986)))),COUNTIF($O$6:$O1985,"&gt;0")+1,0))</f>
        <v>0</v>
      </c>
    </row>
    <row r="1987" customFormat="false" ht="15" hidden="false" customHeight="true" outlineLevel="0" collapsed="false">
      <c r="O1987" s="1" t="n">
        <f aca="false">IF($B1987="",0,IF(AND(OR(Filter!$B$5="(alle)",$N1987=Filter!$B$5),OR(Filter!$E$5="(alle)",$K1987=Filter!$E$5),OR(Filter!$H$5="(alle)",$C1987=Filter!$H$5),OR(Filter!$B$7="(alle)",$E1987=Filter!$B$7),OR(Filter!$E$7="(alle)",ISNUMBER(SEARCH(Filter!$E$7,$J1987))),OR(Filter!$H$7="(alle)",ISNUMBER(SEARCH(Filter!$H$7,$I1987))),OR(Filter!$B$9="",ISNUMBER(SEARCH(Filter!$B$9,$F1987&amp;" "&amp;$G1987)))),COUNTIF($O$6:$O1986,"&gt;0")+1,0))</f>
        <v>0</v>
      </c>
    </row>
    <row r="1988" customFormat="false" ht="15" hidden="false" customHeight="true" outlineLevel="0" collapsed="false">
      <c r="O1988" s="1" t="n">
        <f aca="false">IF($B1988="",0,IF(AND(OR(Filter!$B$5="(alle)",$N1988=Filter!$B$5),OR(Filter!$E$5="(alle)",$K1988=Filter!$E$5),OR(Filter!$H$5="(alle)",$C1988=Filter!$H$5),OR(Filter!$B$7="(alle)",$E1988=Filter!$B$7),OR(Filter!$E$7="(alle)",ISNUMBER(SEARCH(Filter!$E$7,$J1988))),OR(Filter!$H$7="(alle)",ISNUMBER(SEARCH(Filter!$H$7,$I1988))),OR(Filter!$B$9="",ISNUMBER(SEARCH(Filter!$B$9,$F1988&amp;" "&amp;$G1988)))),COUNTIF($O$6:$O1987,"&gt;0")+1,0))</f>
        <v>0</v>
      </c>
    </row>
    <row r="1989" customFormat="false" ht="15" hidden="false" customHeight="true" outlineLevel="0" collapsed="false">
      <c r="O1989" s="1" t="n">
        <f aca="false">IF($B1989="",0,IF(AND(OR(Filter!$B$5="(alle)",$N1989=Filter!$B$5),OR(Filter!$E$5="(alle)",$K1989=Filter!$E$5),OR(Filter!$H$5="(alle)",$C1989=Filter!$H$5),OR(Filter!$B$7="(alle)",$E1989=Filter!$B$7),OR(Filter!$E$7="(alle)",ISNUMBER(SEARCH(Filter!$E$7,$J1989))),OR(Filter!$H$7="(alle)",ISNUMBER(SEARCH(Filter!$H$7,$I1989))),OR(Filter!$B$9="",ISNUMBER(SEARCH(Filter!$B$9,$F1989&amp;" "&amp;$G1989)))),COUNTIF($O$6:$O1988,"&gt;0")+1,0))</f>
        <v>0</v>
      </c>
    </row>
    <row r="1990" customFormat="false" ht="15" hidden="false" customHeight="true" outlineLevel="0" collapsed="false">
      <c r="O1990" s="1" t="n">
        <f aca="false">IF($B1990="",0,IF(AND(OR(Filter!$B$5="(alle)",$N1990=Filter!$B$5),OR(Filter!$E$5="(alle)",$K1990=Filter!$E$5),OR(Filter!$H$5="(alle)",$C1990=Filter!$H$5),OR(Filter!$B$7="(alle)",$E1990=Filter!$B$7),OR(Filter!$E$7="(alle)",ISNUMBER(SEARCH(Filter!$E$7,$J1990))),OR(Filter!$H$7="(alle)",ISNUMBER(SEARCH(Filter!$H$7,$I1990))),OR(Filter!$B$9="",ISNUMBER(SEARCH(Filter!$B$9,$F1990&amp;" "&amp;$G1990)))),COUNTIF($O$6:$O1989,"&gt;0")+1,0))</f>
        <v>0</v>
      </c>
    </row>
    <row r="1991" customFormat="false" ht="15" hidden="false" customHeight="true" outlineLevel="0" collapsed="false">
      <c r="O1991" s="1" t="n">
        <f aca="false">IF($B1991="",0,IF(AND(OR(Filter!$B$5="(alle)",$N1991=Filter!$B$5),OR(Filter!$E$5="(alle)",$K1991=Filter!$E$5),OR(Filter!$H$5="(alle)",$C1991=Filter!$H$5),OR(Filter!$B$7="(alle)",$E1991=Filter!$B$7),OR(Filter!$E$7="(alle)",ISNUMBER(SEARCH(Filter!$E$7,$J1991))),OR(Filter!$H$7="(alle)",ISNUMBER(SEARCH(Filter!$H$7,$I1991))),OR(Filter!$B$9="",ISNUMBER(SEARCH(Filter!$B$9,$F1991&amp;" "&amp;$G1991)))),COUNTIF($O$6:$O1990,"&gt;0")+1,0))</f>
        <v>0</v>
      </c>
    </row>
    <row r="1992" customFormat="false" ht="15" hidden="false" customHeight="true" outlineLevel="0" collapsed="false">
      <c r="O1992" s="1" t="n">
        <f aca="false">IF($B1992="",0,IF(AND(OR(Filter!$B$5="(alle)",$N1992=Filter!$B$5),OR(Filter!$E$5="(alle)",$K1992=Filter!$E$5),OR(Filter!$H$5="(alle)",$C1992=Filter!$H$5),OR(Filter!$B$7="(alle)",$E1992=Filter!$B$7),OR(Filter!$E$7="(alle)",ISNUMBER(SEARCH(Filter!$E$7,$J1992))),OR(Filter!$H$7="(alle)",ISNUMBER(SEARCH(Filter!$H$7,$I1992))),OR(Filter!$B$9="",ISNUMBER(SEARCH(Filter!$B$9,$F1992&amp;" "&amp;$G1992)))),COUNTIF($O$6:$O1991,"&gt;0")+1,0))</f>
        <v>0</v>
      </c>
    </row>
    <row r="1993" customFormat="false" ht="15" hidden="false" customHeight="true" outlineLevel="0" collapsed="false">
      <c r="O1993" s="1" t="n">
        <f aca="false">IF($B1993="",0,IF(AND(OR(Filter!$B$5="(alle)",$N1993=Filter!$B$5),OR(Filter!$E$5="(alle)",$K1993=Filter!$E$5),OR(Filter!$H$5="(alle)",$C1993=Filter!$H$5),OR(Filter!$B$7="(alle)",$E1993=Filter!$B$7),OR(Filter!$E$7="(alle)",ISNUMBER(SEARCH(Filter!$E$7,$J1993))),OR(Filter!$H$7="(alle)",ISNUMBER(SEARCH(Filter!$H$7,$I1993))),OR(Filter!$B$9="",ISNUMBER(SEARCH(Filter!$B$9,$F1993&amp;" "&amp;$G1993)))),COUNTIF($O$6:$O1992,"&gt;0")+1,0))</f>
        <v>0</v>
      </c>
    </row>
    <row r="1994" customFormat="false" ht="15" hidden="false" customHeight="true" outlineLevel="0" collapsed="false">
      <c r="O1994" s="1" t="n">
        <f aca="false">IF($B1994="",0,IF(AND(OR(Filter!$B$5="(alle)",$N1994=Filter!$B$5),OR(Filter!$E$5="(alle)",$K1994=Filter!$E$5),OR(Filter!$H$5="(alle)",$C1994=Filter!$H$5),OR(Filter!$B$7="(alle)",$E1994=Filter!$B$7),OR(Filter!$E$7="(alle)",ISNUMBER(SEARCH(Filter!$E$7,$J1994))),OR(Filter!$H$7="(alle)",ISNUMBER(SEARCH(Filter!$H$7,$I1994))),OR(Filter!$B$9="",ISNUMBER(SEARCH(Filter!$B$9,$F1994&amp;" "&amp;$G1994)))),COUNTIF($O$6:$O1993,"&gt;0")+1,0))</f>
        <v>0</v>
      </c>
    </row>
    <row r="1995" customFormat="false" ht="15" hidden="false" customHeight="true" outlineLevel="0" collapsed="false">
      <c r="O1995" s="1" t="n">
        <f aca="false">IF($B1995="",0,IF(AND(OR(Filter!$B$5="(alle)",$N1995=Filter!$B$5),OR(Filter!$E$5="(alle)",$K1995=Filter!$E$5),OR(Filter!$H$5="(alle)",$C1995=Filter!$H$5),OR(Filter!$B$7="(alle)",$E1995=Filter!$B$7),OR(Filter!$E$7="(alle)",ISNUMBER(SEARCH(Filter!$E$7,$J1995))),OR(Filter!$H$7="(alle)",ISNUMBER(SEARCH(Filter!$H$7,$I1995))),OR(Filter!$B$9="",ISNUMBER(SEARCH(Filter!$B$9,$F1995&amp;" "&amp;$G1995)))),COUNTIF($O$6:$O1994,"&gt;0")+1,0))</f>
        <v>0</v>
      </c>
    </row>
    <row r="1996" customFormat="false" ht="15" hidden="false" customHeight="true" outlineLevel="0" collapsed="false">
      <c r="O1996" s="1" t="n">
        <f aca="false">IF($B1996="",0,IF(AND(OR(Filter!$B$5="(alle)",$N1996=Filter!$B$5),OR(Filter!$E$5="(alle)",$K1996=Filter!$E$5),OR(Filter!$H$5="(alle)",$C1996=Filter!$H$5),OR(Filter!$B$7="(alle)",$E1996=Filter!$B$7),OR(Filter!$E$7="(alle)",ISNUMBER(SEARCH(Filter!$E$7,$J1996))),OR(Filter!$H$7="(alle)",ISNUMBER(SEARCH(Filter!$H$7,$I1996))),OR(Filter!$B$9="",ISNUMBER(SEARCH(Filter!$B$9,$F1996&amp;" "&amp;$G1996)))),COUNTIF($O$6:$O1995,"&gt;0")+1,0))</f>
        <v>0</v>
      </c>
    </row>
    <row r="1997" customFormat="false" ht="15" hidden="false" customHeight="true" outlineLevel="0" collapsed="false">
      <c r="O1997" s="1" t="n">
        <f aca="false">IF($B1997="",0,IF(AND(OR(Filter!$B$5="(alle)",$N1997=Filter!$B$5),OR(Filter!$E$5="(alle)",$K1997=Filter!$E$5),OR(Filter!$H$5="(alle)",$C1997=Filter!$H$5),OR(Filter!$B$7="(alle)",$E1997=Filter!$B$7),OR(Filter!$E$7="(alle)",ISNUMBER(SEARCH(Filter!$E$7,$J1997))),OR(Filter!$H$7="(alle)",ISNUMBER(SEARCH(Filter!$H$7,$I1997))),OR(Filter!$B$9="",ISNUMBER(SEARCH(Filter!$B$9,$F1997&amp;" "&amp;$G1997)))),COUNTIF($O$6:$O1996,"&gt;0")+1,0))</f>
        <v>0</v>
      </c>
    </row>
    <row r="1998" customFormat="false" ht="15" hidden="false" customHeight="true" outlineLevel="0" collapsed="false">
      <c r="O1998" s="1" t="n">
        <f aca="false">IF($B1998="",0,IF(AND(OR(Filter!$B$5="(alle)",$N1998=Filter!$B$5),OR(Filter!$E$5="(alle)",$K1998=Filter!$E$5),OR(Filter!$H$5="(alle)",$C1998=Filter!$H$5),OR(Filter!$B$7="(alle)",$E1998=Filter!$B$7),OR(Filter!$E$7="(alle)",ISNUMBER(SEARCH(Filter!$E$7,$J1998))),OR(Filter!$H$7="(alle)",ISNUMBER(SEARCH(Filter!$H$7,$I1998))),OR(Filter!$B$9="",ISNUMBER(SEARCH(Filter!$B$9,$F1998&amp;" "&amp;$G1998)))),COUNTIF($O$6:$O1997,"&gt;0")+1,0))</f>
        <v>0</v>
      </c>
    </row>
    <row r="1999" customFormat="false" ht="15" hidden="false" customHeight="true" outlineLevel="0" collapsed="false">
      <c r="O1999" s="1" t="n">
        <f aca="false">IF($B1999="",0,IF(AND(OR(Filter!$B$5="(alle)",$N1999=Filter!$B$5),OR(Filter!$E$5="(alle)",$K1999=Filter!$E$5),OR(Filter!$H$5="(alle)",$C1999=Filter!$H$5),OR(Filter!$B$7="(alle)",$E1999=Filter!$B$7),OR(Filter!$E$7="(alle)",ISNUMBER(SEARCH(Filter!$E$7,$J1999))),OR(Filter!$H$7="(alle)",ISNUMBER(SEARCH(Filter!$H$7,$I1999))),OR(Filter!$B$9="",ISNUMBER(SEARCH(Filter!$B$9,$F1999&amp;" "&amp;$G1999)))),COUNTIF($O$6:$O1998,"&gt;0")+1,0))</f>
        <v>0</v>
      </c>
    </row>
    <row r="2000" customFormat="false" ht="15" hidden="false" customHeight="true" outlineLevel="0" collapsed="false">
      <c r="O2000" s="1" t="n">
        <f aca="false">IF($B2000="",0,IF(AND(OR(Filter!$B$5="(alle)",$N2000=Filter!$B$5),OR(Filter!$E$5="(alle)",$K2000=Filter!$E$5),OR(Filter!$H$5="(alle)",$C2000=Filter!$H$5),OR(Filter!$B$7="(alle)",$E2000=Filter!$B$7),OR(Filter!$E$7="(alle)",ISNUMBER(SEARCH(Filter!$E$7,$J2000))),OR(Filter!$H$7="(alle)",ISNUMBER(SEARCH(Filter!$H$7,$I2000))),OR(Filter!$B$9="",ISNUMBER(SEARCH(Filter!$B$9,$F2000&amp;" "&amp;$G2000)))),COUNTIF($O$6:$O1999,"&gt;0")+1,0))</f>
        <v>0</v>
      </c>
    </row>
  </sheetData>
  <mergeCells count="2">
    <mergeCell ref="B5:J5"/>
    <mergeCell ref="K5:M5"/>
  </mergeCells>
  <conditionalFormatting sqref="K7:K2000">
    <cfRule type="expression" priority="2" aboveAverage="0" equalAverage="0" bottom="0" percent="0" rank="0" text="" dxfId="16">
      <formula>K7="erfasst"</formula>
    </cfRule>
    <cfRule type="expression" priority="3" aboveAverage="0" equalAverage="0" bottom="0" percent="0" rank="0" text="" dxfId="17">
      <formula>K7="bewertet"</formula>
    </cfRule>
    <cfRule type="expression" priority="4" aboveAverage="0" equalAverage="0" bottom="0" percent="0" rank="0" text="" dxfId="18">
      <formula>K7="erfüllt"</formula>
    </cfRule>
    <cfRule type="expression" priority="5" aboveAverage="0" equalAverage="0" bottom="0" percent="0" rank="0" text="" dxfId="19">
      <formula>K7="trifft nicht zu"</formula>
    </cfRule>
  </conditionalFormatting>
  <conditionalFormatting sqref="L7:L2000">
    <cfRule type="expression" priority="6" aboveAverage="0" equalAverage="0" bottom="0" percent="0" rank="0" text="" dxfId="20">
      <formula>AND($K7="erfüllt",$L7="")</formula>
    </cfRule>
    <cfRule type="expression" priority="7" aboveAverage="0" equalAverage="0" bottom="0" percent="0" rank="0" text="" dxfId="21">
      <formula>AND($K7="erfüllt",$L7&lt;&gt;"")</formula>
    </cfRule>
    <cfRule type="expression" priority="8" aboveAverage="0" equalAverage="0" bottom="0" percent="0" rank="0" text="" dxfId="22">
      <formula>AND($K7&lt;&gt;"erfüllt",$L7&lt;&gt;"")</formula>
    </cfRule>
  </conditionalFormatting>
  <conditionalFormatting sqref="M7:M2000">
    <cfRule type="expression" priority="9" aboveAverage="0" equalAverage="0" bottom="0" percent="0" rank="0" text="" dxfId="20">
      <formula>AND($K7="erfüllt",$M7="")</formula>
    </cfRule>
    <cfRule type="expression" priority="10" aboveAverage="0" equalAverage="0" bottom="0" percent="0" rank="0" text="" dxfId="21">
      <formula>AND($K7="erfüllt",$M7&lt;&gt;"")</formula>
    </cfRule>
    <cfRule type="expression" priority="11" aboveAverage="0" equalAverage="0" bottom="0" percent="0" rank="0" text="" dxfId="20">
      <formula>AND($K7="trifft nicht zu",$M7="")</formula>
    </cfRule>
    <cfRule type="expression" priority="12" aboveAverage="0" equalAverage="0" bottom="0" percent="0" rank="0" text="" dxfId="16">
      <formula>AND($K7="trifft nicht zu",$M7&lt;&gt;"")</formula>
    </cfRule>
  </conditionalFormatting>
  <conditionalFormatting sqref="I7:J2000">
    <cfRule type="expression" priority="13" aboveAverage="0" equalAverage="0" bottom="0" percent="0" rank="0" text="" dxfId="23">
      <formula>I7="Zuordnung prüfen"</formula>
    </cfRule>
  </conditionalFormatting>
  <conditionalFormatting sqref="N7:N2000">
    <cfRule type="expression" priority="14" aboveAverage="0" equalAverage="0" bottom="0" percent="0" rank="0" text="" dxfId="24">
      <formula>$N7="außerhalb"</formula>
    </cfRule>
    <cfRule type="expression" priority="15" aboveAverage="0" equalAverage="0" bottom="0" percent="0" rank="0" text="" dxfId="25">
      <formula>$N7="im Umfang"</formula>
    </cfRule>
  </conditionalFormatting>
  <dataValidations count="3">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 allowBlank="false" errorStyle="stop" operator="between" showDropDown="false" showErrorMessage="true" showInputMessage="false" sqref="N7:N2000" type="list">
      <formula1>"im Umfang,außerhalb"</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5"/>
    <col collapsed="false" customWidth="true" hidden="false" outlineLevel="0" max="4" min="4" style="0" width="22"/>
    <col collapsed="false" customWidth="true" hidden="false" outlineLevel="0" max="5" min="5" style="0" width="52"/>
    <col collapsed="false" customWidth="true" hidden="false" outlineLevel="0" max="6" min="6" style="0" width="60"/>
    <col collapsed="false" customWidth="true" hidden="false" outlineLevel="0" max="7" min="7" style="0" width="18"/>
    <col collapsed="false" customWidth="true" hidden="false" outlineLevel="0" max="8" min="8" style="0" width="30"/>
    <col collapsed="false" customWidth="true" hidden="false" outlineLevel="0" max="9" min="9" style="0" width="15"/>
    <col collapsed="false" customWidth="true" hidden="false" outlineLevel="0" max="10" min="10" style="0" width="12"/>
    <col collapsed="false" customWidth="true" hidden="false" outlineLevel="0" max="11" min="11" style="0" width="40"/>
    <col collapsed="false" customWidth="true" hidden="true" outlineLevel="0" max="18" min="18" style="0" width="13"/>
    <col collapsed="false" customWidth="true" hidden="false" outlineLevel="0" max="26" min="21" style="0" width="30"/>
  </cols>
  <sheetData>
    <row r="1" customFormat="false" ht="21.75" hidden="false" customHeight="true" outlineLevel="0" collapsed="false">
      <c r="A1" s="34" t="s">
        <v>6225</v>
      </c>
      <c r="V1" s="35" t="s">
        <v>6226</v>
      </c>
    </row>
    <row r="2" customFormat="false" ht="30" hidden="false" customHeight="true" outlineLevel="0" collapsed="false">
      <c r="A2" s="36" t="s">
        <v>6227</v>
      </c>
      <c r="B2" s="36"/>
      <c r="C2" s="36"/>
      <c r="D2" s="36"/>
      <c r="E2" s="36"/>
      <c r="F2" s="36"/>
      <c r="G2" s="36"/>
      <c r="H2" s="36"/>
      <c r="I2" s="36"/>
      <c r="J2" s="36"/>
      <c r="K2" s="36"/>
      <c r="U2" s="37" t="s">
        <v>6228</v>
      </c>
      <c r="V2" s="37" t="s">
        <v>6228</v>
      </c>
      <c r="W2" s="37" t="s">
        <v>6228</v>
      </c>
      <c r="X2" s="37" t="s">
        <v>6228</v>
      </c>
      <c r="Y2" s="37" t="s">
        <v>6228</v>
      </c>
      <c r="Z2" s="37" t="s">
        <v>6228</v>
      </c>
    </row>
    <row r="3" customFormat="false" ht="15" hidden="false" customHeight="false" outlineLevel="0" collapsed="false">
      <c r="U3" s="37" t="s">
        <v>48</v>
      </c>
      <c r="V3" s="37" t="s">
        <v>175</v>
      </c>
      <c r="W3" s="37" t="s">
        <v>40</v>
      </c>
      <c r="X3" s="37" t="s">
        <v>190</v>
      </c>
      <c r="Y3" s="37" t="s">
        <v>70</v>
      </c>
      <c r="Z3" s="37" t="s">
        <v>158</v>
      </c>
    </row>
    <row r="4" customFormat="false" ht="15" hidden="false" customHeight="false" outlineLevel="0" collapsed="false">
      <c r="B4" s="38" t="s">
        <v>37</v>
      </c>
      <c r="E4" s="38" t="s">
        <v>34</v>
      </c>
      <c r="H4" s="38" t="s">
        <v>26</v>
      </c>
      <c r="U4" s="37" t="s">
        <v>65</v>
      </c>
      <c r="V4" s="37" t="s">
        <v>47</v>
      </c>
      <c r="W4" s="37" t="s">
        <v>286</v>
      </c>
      <c r="X4" s="37" t="s">
        <v>94</v>
      </c>
      <c r="Y4" s="37" t="s">
        <v>56</v>
      </c>
      <c r="Z4" s="37" t="s">
        <v>174</v>
      </c>
    </row>
    <row r="5" customFormat="false" ht="15" hidden="false" customHeight="false" outlineLevel="0" collapsed="false">
      <c r="B5" s="39" t="s">
        <v>6228</v>
      </c>
      <c r="C5" s="39"/>
      <c r="E5" s="39" t="s">
        <v>6228</v>
      </c>
      <c r="F5" s="39"/>
      <c r="H5" s="39" t="s">
        <v>6228</v>
      </c>
      <c r="I5" s="39"/>
      <c r="V5" s="37" t="s">
        <v>167</v>
      </c>
      <c r="W5" s="37" t="s">
        <v>268</v>
      </c>
      <c r="X5" s="37" t="s">
        <v>210</v>
      </c>
      <c r="Y5" s="37" t="s">
        <v>265</v>
      </c>
      <c r="Z5" s="37" t="s">
        <v>301</v>
      </c>
    </row>
    <row r="6" customFormat="false" ht="15" hidden="false" customHeight="false" outlineLevel="0" collapsed="false">
      <c r="B6" s="38" t="s">
        <v>28</v>
      </c>
      <c r="E6" s="38" t="s">
        <v>6229</v>
      </c>
      <c r="H6" s="38" t="s">
        <v>32</v>
      </c>
      <c r="V6" s="37" t="s">
        <v>151</v>
      </c>
      <c r="W6" s="37" t="s">
        <v>280</v>
      </c>
      <c r="X6" s="37" t="s">
        <v>225</v>
      </c>
      <c r="Y6" s="37" t="s">
        <v>225</v>
      </c>
      <c r="Z6" s="37" t="s">
        <v>290</v>
      </c>
    </row>
    <row r="7" customFormat="false" ht="15" hidden="false" customHeight="false" outlineLevel="0" collapsed="false">
      <c r="B7" s="39" t="s">
        <v>6228</v>
      </c>
      <c r="C7" s="39"/>
      <c r="E7" s="39" t="s">
        <v>6228</v>
      </c>
      <c r="F7" s="39"/>
      <c r="H7" s="39" t="s">
        <v>6228</v>
      </c>
      <c r="I7" s="39"/>
      <c r="W7" s="37" t="s">
        <v>177</v>
      </c>
      <c r="X7" s="37" t="s">
        <v>155</v>
      </c>
      <c r="Y7" s="37" t="s">
        <v>341</v>
      </c>
      <c r="Z7" s="37" t="s">
        <v>85</v>
      </c>
    </row>
    <row r="8" customFormat="false" ht="15" hidden="false" customHeight="false" outlineLevel="0" collapsed="false">
      <c r="B8" s="38" t="s">
        <v>6230</v>
      </c>
      <c r="W8" s="37" t="s">
        <v>218</v>
      </c>
      <c r="X8" s="37" t="s">
        <v>355</v>
      </c>
      <c r="Y8" s="37" t="s">
        <v>194</v>
      </c>
      <c r="Z8" s="37" t="s">
        <v>229</v>
      </c>
    </row>
    <row r="9" customFormat="false" ht="15" hidden="false" customHeight="false" outlineLevel="0" collapsed="false">
      <c r="B9" s="39"/>
      <c r="C9" s="39"/>
      <c r="X9" s="37" t="s">
        <v>270</v>
      </c>
      <c r="Y9" s="37" t="s">
        <v>3408</v>
      </c>
      <c r="Z9" s="37" t="s">
        <v>200</v>
      </c>
    </row>
    <row r="10" customFormat="false" ht="15" hidden="false" customHeight="false" outlineLevel="0" collapsed="false">
      <c r="A10" s="40" t="s">
        <v>6231</v>
      </c>
      <c r="B10" s="40"/>
      <c r="C10" s="40"/>
      <c r="D10" s="40"/>
      <c r="E10" s="40"/>
      <c r="F10" s="40"/>
      <c r="G10" s="40"/>
      <c r="H10" s="40"/>
      <c r="I10" s="40"/>
      <c r="J10" s="40"/>
      <c r="K10" s="40"/>
      <c r="X10" s="37" t="s">
        <v>361</v>
      </c>
      <c r="Y10" s="37" t="s">
        <v>159</v>
      </c>
      <c r="Z10" s="37" t="s">
        <v>6232</v>
      </c>
    </row>
    <row r="11" customFormat="false" ht="15" hidden="false" customHeight="false" outlineLevel="0" collapsed="false">
      <c r="X11" s="37" t="s">
        <v>102</v>
      </c>
      <c r="Y11" s="37" t="s">
        <v>274</v>
      </c>
      <c r="Z11" s="37" t="s">
        <v>476</v>
      </c>
    </row>
    <row r="12" customFormat="false" ht="17.35" hidden="false" customHeight="false" outlineLevel="0" collapsed="false">
      <c r="A12" s="38" t="s">
        <v>6233</v>
      </c>
      <c r="B12" s="41" t="n">
        <f aca="false">COUNTIF(Anforderungen!$O$7:$O$2000,"&gt;0")</f>
        <v>1382</v>
      </c>
      <c r="D12" s="42" t="s">
        <v>47</v>
      </c>
      <c r="E12" s="43" t="n">
        <f aca="false">SUMPRODUCT((Anforderungen!$O$7:$O$2000&gt;0)*(Anforderungen!$K$7:$K$2000="erfasst"))</f>
        <v>1211</v>
      </c>
      <c r="F12" s="42" t="s">
        <v>175</v>
      </c>
      <c r="G12" s="43" t="n">
        <f aca="false">SUMPRODUCT((Anforderungen!$O$7:$O$2000&gt;0)*(Anforderungen!$K$7:$K$2000="bewertet"))</f>
        <v>3</v>
      </c>
      <c r="H12" s="42" t="s">
        <v>167</v>
      </c>
      <c r="I12" s="43" t="n">
        <f aca="false">SUMPRODUCT((Anforderungen!$O$7:$O$2000&gt;0)*(Anforderungen!$K$7:$K$2000="erfüllt"))</f>
        <v>10</v>
      </c>
      <c r="J12" s="42" t="s">
        <v>151</v>
      </c>
      <c r="K12" s="43" t="n">
        <f aca="false">SUMPRODUCT((Anforderungen!$O$7:$O$2000&gt;0)*(Anforderungen!$K$7:$K$2000="trifft nicht zu"))</f>
        <v>158</v>
      </c>
      <c r="X12" s="37" t="s">
        <v>42</v>
      </c>
      <c r="Y12" s="37" t="s">
        <v>46</v>
      </c>
      <c r="Z12" s="37" t="s">
        <v>45</v>
      </c>
    </row>
    <row r="13" customFormat="false" ht="15" hidden="false" customHeight="false" outlineLevel="0" collapsed="false">
      <c r="A13" s="40" t="s">
        <v>6234</v>
      </c>
      <c r="B13" s="40"/>
      <c r="C13" s="40"/>
      <c r="D13" s="40"/>
      <c r="E13" s="40"/>
      <c r="F13" s="40"/>
      <c r="G13" s="40"/>
      <c r="H13" s="40"/>
      <c r="I13" s="40"/>
      <c r="J13" s="40"/>
      <c r="K13" s="40"/>
      <c r="X13" s="37" t="s">
        <v>547</v>
      </c>
      <c r="Y13" s="37" t="s">
        <v>808</v>
      </c>
      <c r="Z13" s="37" t="s">
        <v>98</v>
      </c>
    </row>
    <row r="14" customFormat="false" ht="15" hidden="false" customHeight="false" outlineLevel="0" collapsed="false">
      <c r="X14" s="37" t="s">
        <v>604</v>
      </c>
      <c r="Y14" s="37" t="s">
        <v>301</v>
      </c>
      <c r="Z14" s="37" t="s">
        <v>306</v>
      </c>
    </row>
    <row r="15" customFormat="false" ht="27.75" hidden="false" customHeight="true" outlineLevel="0" collapsed="false">
      <c r="A15" s="44" t="s">
        <v>25</v>
      </c>
      <c r="B15" s="44" t="s">
        <v>26</v>
      </c>
      <c r="C15" s="44" t="s">
        <v>27</v>
      </c>
      <c r="D15" s="44" t="s">
        <v>28</v>
      </c>
      <c r="E15" s="44" t="s">
        <v>29</v>
      </c>
      <c r="F15" s="44" t="s">
        <v>6235</v>
      </c>
      <c r="G15" s="44" t="s">
        <v>32</v>
      </c>
      <c r="H15" s="44" t="s">
        <v>33</v>
      </c>
      <c r="I15" s="44" t="s">
        <v>34</v>
      </c>
      <c r="J15" s="44" t="s">
        <v>35</v>
      </c>
      <c r="K15" s="44" t="s">
        <v>36</v>
      </c>
      <c r="X15" s="37" t="s">
        <v>331</v>
      </c>
      <c r="Y15" s="37" t="s">
        <v>86</v>
      </c>
      <c r="Z15" s="37" t="s">
        <v>340</v>
      </c>
    </row>
    <row r="16" customFormat="false" ht="30" hidden="false" customHeight="true" outlineLevel="0" collapsed="false">
      <c r="A16" s="45" t="str">
        <f aca="false">IF($R16="","",INDEX(Anforderungen!$B:$B,$R16))</f>
        <v>ANF-001</v>
      </c>
      <c r="B16" s="45" t="str">
        <f aca="false">IF($R16="","",INDEX(Anforderungen!$C:$C,$R16))</f>
        <v>Betreibervertrag</v>
      </c>
      <c r="C16" s="45" t="str">
        <f aca="false">IF($R16="","",INDEX(Anforderungen!$D:$D,$R16))</f>
        <v>§ 25 (1)</v>
      </c>
      <c r="D16" s="45" t="str">
        <f aca="false">IF($R16="","",INDEX(Anforderungen!$E:$E,$R16))</f>
        <v>Reservierung</v>
      </c>
      <c r="E16" s="45" t="str">
        <f aca="false">IF($R16="","",INDEX(Anforderungen!$F:$F,$R16))</f>
        <v>OCPI Schnittstelle</v>
      </c>
      <c r="F16" s="45" t="str">
        <f aca="false">IF($R16="","",INDEX(Anforderungen!$G:$G,$R16))</f>
        <v>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v>
      </c>
      <c r="G16" s="45" t="str">
        <f aca="false">IF($R16="","",INDEX(Anforderungen!$I:$I,$R16))</f>
        <v>eRound</v>
      </c>
      <c r="H16" s="45" t="str">
        <f aca="false">IF($R16="","",INDEX(Anforderungen!$J:$J,$R16))</f>
        <v>OCPI Buchungskalender</v>
      </c>
      <c r="I16" s="45" t="str">
        <f aca="false">IF($R16="","",INDEX(Anforderungen!$K:$K,$R16))</f>
        <v>erfasst</v>
      </c>
      <c r="J16" s="46" t="n">
        <f aca="false">IF($R16="","",INDEX(Anforderungen!$L:$L,$R16))</f>
        <v>0</v>
      </c>
      <c r="K16" s="45" t="n">
        <f aca="false">IF($R16="","",INDEX(Anforderungen!$M:$M,$R16))</f>
        <v>0</v>
      </c>
      <c r="R16" s="0" t="n">
        <f aca="false">IFERROR(MATCH(ROWS($A$16:$A16),Anforderungen!$O$7:$O$2000,0)+6,"")</f>
        <v>7</v>
      </c>
      <c r="X16" s="37" t="s">
        <v>344</v>
      </c>
      <c r="Y16" s="37" t="s">
        <v>84</v>
      </c>
    </row>
    <row r="17" customFormat="false" ht="30" hidden="false" customHeight="true" outlineLevel="0" collapsed="false">
      <c r="A17" s="45" t="str">
        <f aca="false">IF($R17="","",INDEX(Anforderungen!$B:$B,$R17))</f>
        <v>ANF-002</v>
      </c>
      <c r="B17" s="45" t="str">
        <f aca="false">IF($R17="","",INDEX(Anforderungen!$C:$C,$R17))</f>
        <v>Betreibervertrag</v>
      </c>
      <c r="C17" s="45" t="str">
        <f aca="false">IF($R17="","",INDEX(Anforderungen!$D:$D,$R17))</f>
        <v>§ 25 (2)</v>
      </c>
      <c r="D17" s="45" t="str">
        <f aca="false">IF($R17="","",INDEX(Anforderungen!$E:$E,$R17))</f>
        <v>Reservierung</v>
      </c>
      <c r="E17" s="45" t="str">
        <f aca="false">IF($R17="","",INDEX(Anforderungen!$F:$F,$R17))</f>
        <v>OCPI Kostenfrei</v>
      </c>
      <c r="F17" s="45" t="str">
        <f aca="false">IF($R17="","",INDEX(Anforderungen!$G:$G,$R17))</f>
        <v>Der Auftragnehmer ist verpflichtet, jeder Reservierungsplattform die Anbindung über die in Absatz 1 genannte Schnittstelle kostenfrei zu ermöglichen, soweit die Reservierungsplattform die folgenden Mindestvoraussetzungen erfüllt:</v>
      </c>
      <c r="G17" s="45" t="str">
        <f aca="false">IF($R17="","",INDEX(Anforderungen!$I:$I,$R17))</f>
        <v>eRound</v>
      </c>
      <c r="H17" s="45" t="str">
        <f aca="false">IF($R17="","",INDEX(Anforderungen!$J:$J,$R17))</f>
        <v>OCPI Buchungskalender</v>
      </c>
      <c r="I17" s="45" t="str">
        <f aca="false">IF($R17="","",INDEX(Anforderungen!$K:$K,$R17))</f>
        <v>erfasst</v>
      </c>
      <c r="J17" s="46" t="n">
        <f aca="false">IF($R17="","",INDEX(Anforderungen!$L:$L,$R17))</f>
        <v>0</v>
      </c>
      <c r="K17" s="45" t="n">
        <f aca="false">IF($R17="","",INDEX(Anforderungen!$M:$M,$R17))</f>
        <v>0</v>
      </c>
      <c r="R17" s="0" t="n">
        <f aca="false">IFERROR(MATCH(ROWS($A$16:$A17),Anforderungen!$O$7:$O$2000,0)+6,"")</f>
        <v>8</v>
      </c>
      <c r="X17" s="37" t="s">
        <v>81</v>
      </c>
      <c r="Y17" s="37" t="s">
        <v>476</v>
      </c>
    </row>
    <row r="18" customFormat="false" ht="30" hidden="false" customHeight="true" outlineLevel="0" collapsed="false">
      <c r="A18" s="45" t="str">
        <f aca="false">IF($R18="","",INDEX(Anforderungen!$B:$B,$R18))</f>
        <v>ANF-003</v>
      </c>
      <c r="B18" s="45" t="str">
        <f aca="false">IF($R18="","",INDEX(Anforderungen!$C:$C,$R18))</f>
        <v>Betreibervertrag</v>
      </c>
      <c r="C18" s="45" t="str">
        <f aca="false">IF($R18="","",INDEX(Anforderungen!$D:$D,$R18))</f>
        <v>§ 25 (2) a</v>
      </c>
      <c r="D18" s="45" t="str">
        <f aca="false">IF($R18="","",INDEX(Anforderungen!$E:$E,$R18))</f>
        <v>Reservierung</v>
      </c>
      <c r="E18" s="45" t="str">
        <f aca="false">IF($R18="","",INDEX(Anforderungen!$F:$F,$R18))</f>
        <v>OCPI Kostenfrei</v>
      </c>
      <c r="F18" s="45" t="str">
        <f aca="false">IF($R18="","",INDEX(Anforderungen!$G:$G,$R18))</f>
        <v>Die Reservierungsplattform stellt dem Auftragnehmer für die Anbindung der Reservierungsplattform keine Anbindungskosten in Rechnung</v>
      </c>
      <c r="G18" s="45" t="str">
        <f aca="false">IF($R18="","",INDEX(Anforderungen!$I:$I,$R18))</f>
        <v>eRound</v>
      </c>
      <c r="H18" s="45" t="str">
        <f aca="false">IF($R18="","",INDEX(Anforderungen!$J:$J,$R18))</f>
        <v>Anbindung</v>
      </c>
      <c r="I18" s="45" t="str">
        <f aca="false">IF($R18="","",INDEX(Anforderungen!$K:$K,$R18))</f>
        <v>erfasst</v>
      </c>
      <c r="J18" s="46" t="n">
        <f aca="false">IF($R18="","",INDEX(Anforderungen!$L:$L,$R18))</f>
        <v>0</v>
      </c>
      <c r="K18" s="45" t="n">
        <f aca="false">IF($R18="","",INDEX(Anforderungen!$M:$M,$R18))</f>
        <v>0</v>
      </c>
      <c r="R18" s="0" t="n">
        <f aca="false">IFERROR(MATCH(ROWS($A$16:$A18),Anforderungen!$O$7:$O$2000,0)+6,"")</f>
        <v>9</v>
      </c>
      <c r="Y18" s="37" t="s">
        <v>206</v>
      </c>
    </row>
    <row r="19" customFormat="false" ht="30" hidden="false" customHeight="true" outlineLevel="0" collapsed="false">
      <c r="A19" s="45" t="str">
        <f aca="false">IF($R19="","",INDEX(Anforderungen!$B:$B,$R19))</f>
        <v>ANF-004</v>
      </c>
      <c r="B19" s="45" t="str">
        <f aca="false">IF($R19="","",INDEX(Anforderungen!$C:$C,$R19))</f>
        <v>Betreibervertrag</v>
      </c>
      <c r="C19" s="45" t="str">
        <f aca="false">IF($R19="","",INDEX(Anforderungen!$D:$D,$R19))</f>
        <v>§ 25 (2) b</v>
      </c>
      <c r="D19" s="45" t="str">
        <f aca="false">IF($R19="","",INDEX(Anforderungen!$E:$E,$R19))</f>
        <v>Reservierung</v>
      </c>
      <c r="E19" s="45" t="str">
        <f aca="false">IF($R19="","",INDEX(Anforderungen!$F:$F,$R19))</f>
        <v>Anbindung verpflichtend, wenn alle AN angebunden werden oder AG2 auffordert</v>
      </c>
      <c r="F19" s="45" t="str">
        <f aca="false">IF($R19="","",INDEX(Anforderungen!$G:$G,$R19))</f>
        <v>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v>
      </c>
      <c r="G19" s="45" t="str">
        <f aca="false">IF($R19="","",INDEX(Anforderungen!$I:$I,$R19))</f>
        <v>eRound</v>
      </c>
      <c r="H19" s="45" t="str">
        <f aca="false">IF($R19="","",INDEX(Anforderungen!$J:$J,$R19))</f>
        <v>OCPI Buchungskalender</v>
      </c>
      <c r="I19" s="45" t="str">
        <f aca="false">IF($R19="","",INDEX(Anforderungen!$K:$K,$R19))</f>
        <v>erfasst</v>
      </c>
      <c r="J19" s="46" t="n">
        <f aca="false">IF($R19="","",INDEX(Anforderungen!$L:$L,$R19))</f>
        <v>0</v>
      </c>
      <c r="K19" s="45" t="n">
        <f aca="false">IF($R19="","",INDEX(Anforderungen!$M:$M,$R19))</f>
        <v>0</v>
      </c>
      <c r="R19" s="0" t="n">
        <f aca="false">IFERROR(MATCH(ROWS($A$16:$A19),Anforderungen!$O$7:$O$2000,0)+6,"")</f>
        <v>10</v>
      </c>
    </row>
    <row r="20" customFormat="false" ht="30" hidden="false" customHeight="true" outlineLevel="0" collapsed="false">
      <c r="A20" s="45" t="str">
        <f aca="false">IF($R20="","",INDEX(Anforderungen!$B:$B,$R20))</f>
        <v>ANF-005</v>
      </c>
      <c r="B20" s="45" t="str">
        <f aca="false">IF($R20="","",INDEX(Anforderungen!$C:$C,$R20))</f>
        <v>Betreibervertrag</v>
      </c>
      <c r="C20" s="45" t="str">
        <f aca="false">IF($R20="","",INDEX(Anforderungen!$D:$D,$R20))</f>
        <v>§ 25 (2) c</v>
      </c>
      <c r="D20" s="45" t="str">
        <f aca="false">IF($R20="","",INDEX(Anforderungen!$E:$E,$R20))</f>
        <v>Reservierung</v>
      </c>
      <c r="E20" s="45" t="str">
        <f aca="false">IF($R20="","",INDEX(Anforderungen!$F:$F,$R20))</f>
        <v>Reservierung mit Vorlauf von max. 7 Tagen und min. 15 min.
Kostenfreie Stornierung und Änderung bis 30min vorher.
Kennzeichenabgleich zur Unterbindung von Doppelbuchungen.</v>
      </c>
      <c r="F20" s="45" t="str">
        <f aca="false">IF($R20="","",INDEX(Anforderungen!$G:$G,$R20))</f>
        <v>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v>
      </c>
      <c r="G20" s="45" t="str">
        <f aca="false">IF($R20="","",INDEX(Anforderungen!$I:$I,$R20))</f>
        <v>eRound</v>
      </c>
      <c r="H20" s="45" t="str">
        <f aca="false">IF($R20="","",INDEX(Anforderungen!$J:$J,$R20))</f>
        <v>OCPI Buchungskalender</v>
      </c>
      <c r="I20" s="45" t="str">
        <f aca="false">IF($R20="","",INDEX(Anforderungen!$K:$K,$R20))</f>
        <v>erfasst</v>
      </c>
      <c r="J20" s="46" t="n">
        <f aca="false">IF($R20="","",INDEX(Anforderungen!$L:$L,$R20))</f>
        <v>0</v>
      </c>
      <c r="K20" s="45" t="n">
        <f aca="false">IF($R20="","",INDEX(Anforderungen!$M:$M,$R20))</f>
        <v>0</v>
      </c>
      <c r="R20" s="0" t="n">
        <f aca="false">IFERROR(MATCH(ROWS($A$16:$A20),Anforderungen!$O$7:$O$2000,0)+6,"")</f>
        <v>11</v>
      </c>
    </row>
    <row r="21" customFormat="false" ht="30" hidden="false" customHeight="true" outlineLevel="0" collapsed="false">
      <c r="A21" s="45" t="str">
        <f aca="false">IF($R21="","",INDEX(Anforderungen!$B:$B,$R21))</f>
        <v>ANF-006</v>
      </c>
      <c r="B21" s="45" t="str">
        <f aca="false">IF($R21="","",INDEX(Anforderungen!$C:$C,$R21))</f>
        <v>Betreibervertrag</v>
      </c>
      <c r="C21" s="45" t="str">
        <f aca="false">IF($R21="","",INDEX(Anforderungen!$D:$D,$R21))</f>
        <v>§ 25 (2) d</v>
      </c>
      <c r="D21" s="45" t="str">
        <f aca="false">IF($R21="","",INDEX(Anforderungen!$E:$E,$R21))</f>
        <v>Reservierung</v>
      </c>
      <c r="E21" s="45" t="str">
        <f aca="false">IF($R21="","",INDEX(Anforderungen!$F:$F,$R21))</f>
        <v>Entschädigung an AN von der Reservierungsplattform i.H.v. mind. 30€ nach 15/30 min Wartezeit bei No-Show.</v>
      </c>
      <c r="F21" s="45" t="str">
        <f aca="false">IF($R21="","",INDEX(Anforderungen!$G:$G,$R21))</f>
        <v>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v>
      </c>
      <c r="G21" s="45" t="str">
        <f aca="false">IF($R21="","",INDEX(Anforderungen!$I:$I,$R21))</f>
        <v>eRound</v>
      </c>
      <c r="H21" s="45" t="str">
        <f aca="false">IF($R21="","",INDEX(Anforderungen!$J:$J,$R21))</f>
        <v>Abrechnungskomponente</v>
      </c>
      <c r="I21" s="45" t="str">
        <f aca="false">IF($R21="","",INDEX(Anforderungen!$K:$K,$R21))</f>
        <v>erfasst</v>
      </c>
      <c r="J21" s="46" t="n">
        <f aca="false">IF($R21="","",INDEX(Anforderungen!$L:$L,$R21))</f>
        <v>0</v>
      </c>
      <c r="K21" s="45" t="n">
        <f aca="false">IF($R21="","",INDEX(Anforderungen!$M:$M,$R21))</f>
        <v>0</v>
      </c>
      <c r="R21" s="0" t="n">
        <f aca="false">IFERROR(MATCH(ROWS($A$16:$A21),Anforderungen!$O$7:$O$2000,0)+6,"")</f>
        <v>12</v>
      </c>
    </row>
    <row r="22" customFormat="false" ht="30" hidden="false" customHeight="true" outlineLevel="0" collapsed="false">
      <c r="A22" s="45" t="str">
        <f aca="false">IF($R22="","",INDEX(Anforderungen!$B:$B,$R22))</f>
        <v>ANF-007</v>
      </c>
      <c r="B22" s="45" t="str">
        <f aca="false">IF($R22="","",INDEX(Anforderungen!$C:$C,$R22))</f>
        <v>Betreibervertrag</v>
      </c>
      <c r="C22" s="45" t="str">
        <f aca="false">IF($R22="","",INDEX(Anforderungen!$D:$D,$R22))</f>
        <v>§ 25 (3)</v>
      </c>
      <c r="D22" s="45" t="str">
        <f aca="false">IF($R22="","",INDEX(Anforderungen!$E:$E,$R22))</f>
        <v>Reservierung</v>
      </c>
      <c r="E22" s="45" t="str">
        <f aca="false">IF($R22="","",INDEX(Anforderungen!$F:$F,$R22))</f>
        <v>Anpassung an Marktstandards mit 2 Monaten Vorlauf.</v>
      </c>
      <c r="F22" s="45" t="str">
        <f aca="false">IF($R22="","",INDEX(Anforderungen!$G:$G,$R22))</f>
        <v>Der Auftraggeber 2 ist berechtigt, die in Absatz 2 definierten Mindestvoraussetzungen im Fall abweichender Marktstandards mit einer Vorlaufzeit von zwei Monaten anzupassen</v>
      </c>
      <c r="G22" s="45" t="str">
        <f aca="false">IF($R22="","",INDEX(Anforderungen!$I:$I,$R22))</f>
        <v>eRound</v>
      </c>
      <c r="H22" s="45" t="str">
        <f aca="false">IF($R22="","",INDEX(Anforderungen!$J:$J,$R22))</f>
        <v>OCPI Buchungskalender</v>
      </c>
      <c r="I22" s="45" t="str">
        <f aca="false">IF($R22="","",INDEX(Anforderungen!$K:$K,$R22))</f>
        <v>erfasst</v>
      </c>
      <c r="J22" s="46" t="n">
        <f aca="false">IF($R22="","",INDEX(Anforderungen!$L:$L,$R22))</f>
        <v>0</v>
      </c>
      <c r="K22" s="45" t="n">
        <f aca="false">IF($R22="","",INDEX(Anforderungen!$M:$M,$R22))</f>
        <v>0</v>
      </c>
      <c r="R22" s="0" t="n">
        <f aca="false">IFERROR(MATCH(ROWS($A$16:$A22),Anforderungen!$O$7:$O$2000,0)+6,"")</f>
        <v>13</v>
      </c>
    </row>
    <row r="23" customFormat="false" ht="30" hidden="false" customHeight="true" outlineLevel="0" collapsed="false">
      <c r="A23" s="45" t="str">
        <f aca="false">IF($R23="","",INDEX(Anforderungen!$B:$B,$R23))</f>
        <v>ANF-008</v>
      </c>
      <c r="B23" s="45" t="str">
        <f aca="false">IF($R23="","",INDEX(Anforderungen!$C:$C,$R23))</f>
        <v>Betreibervertrag</v>
      </c>
      <c r="C23" s="45" t="str">
        <f aca="false">IF($R23="","",INDEX(Anforderungen!$D:$D,$R23))</f>
        <v>§ 25 (4)</v>
      </c>
      <c r="D23" s="45" t="str">
        <f aca="false">IF($R23="","",INDEX(Anforderungen!$E:$E,$R23))</f>
        <v>Reservierung</v>
      </c>
      <c r="E23" s="45" t="str">
        <f aca="false">IF($R23="","",INDEX(Anforderungen!$F:$F,$R23))</f>
        <v>Ladepunkte an einem Standort können von der Reservierung ausgenommen werden.</v>
      </c>
      <c r="F23" s="45" t="str">
        <f aca="false">IF($R23="","",INDEX(Anforderungen!$G:$G,$R23))</f>
        <v>Der Auftragnehmer kann CCS- und MCS-Ladepunkten an einem Standort von der Reservierungsmöglichkeit ausnehmen.</v>
      </c>
      <c r="G23" s="45" t="str">
        <f aca="false">IF($R23="","",INDEX(Anforderungen!$I:$I,$R23))</f>
        <v>eRound</v>
      </c>
      <c r="H23" s="45" t="str">
        <f aca="false">IF($R23="","",INDEX(Anforderungen!$J:$J,$R23))</f>
        <v>OCPI Buchungskalender</v>
      </c>
      <c r="I23" s="45" t="str">
        <f aca="false">IF($R23="","",INDEX(Anforderungen!$K:$K,$R23))</f>
        <v>erfasst</v>
      </c>
      <c r="J23" s="46" t="n">
        <f aca="false">IF($R23="","",INDEX(Anforderungen!$L:$L,$R23))</f>
        <v>0</v>
      </c>
      <c r="K23" s="45" t="n">
        <f aca="false">IF($R23="","",INDEX(Anforderungen!$M:$M,$R23))</f>
        <v>0</v>
      </c>
      <c r="R23" s="0" t="n">
        <f aca="false">IFERROR(MATCH(ROWS($A$16:$A23),Anforderungen!$O$7:$O$2000,0)+6,"")</f>
        <v>14</v>
      </c>
    </row>
    <row r="24" customFormat="false" ht="30" hidden="false" customHeight="true" outlineLevel="0" collapsed="false">
      <c r="A24" s="45" t="str">
        <f aca="false">IF($R24="","",INDEX(Anforderungen!$B:$B,$R24))</f>
        <v>ANF-009</v>
      </c>
      <c r="B24" s="45" t="str">
        <f aca="false">IF($R24="","",INDEX(Anforderungen!$C:$C,$R24))</f>
        <v>Betreibervertrag</v>
      </c>
      <c r="C24" s="45" t="str">
        <f aca="false">IF($R24="","",INDEX(Anforderungen!$D:$D,$R24))</f>
        <v>§ 25 (5)</v>
      </c>
      <c r="D24" s="45" t="str">
        <f aca="false">IF($R24="","",INDEX(Anforderungen!$E:$E,$R24))</f>
        <v>Zufahrt &amp; Schranke</v>
      </c>
      <c r="E24" s="45" t="str">
        <f aca="false">IF($R24="","",INDEX(Anforderungen!$F:$F,$R24))</f>
        <v>Bauliche Maßnahme zur Reservierung an jedem Ladepunkt.</v>
      </c>
      <c r="F24" s="45" t="str">
        <f aca="false">IF($R24="","",INDEX(Anforderungen!$G:$G,$R24))</f>
        <v>Der Auftragnehmer hat geeignete Vorkehrungen, insbesondere die in Vertragsanlage 4: Leistungsbeschreibung Errichtung vorgesehenen baulichen Maßnahmen, zu treffen, um ein anderweitiges Laden an dem Ladepunkt der Ladeeinrichtung während des reservierten Zeitraums zu verhindern.</v>
      </c>
      <c r="G24" s="45" t="str">
        <f aca="false">IF($R24="","",INDEX(Anforderungen!$I:$I,$R24))</f>
        <v>Schrankenhersteller</v>
      </c>
      <c r="H24" s="45" t="str">
        <f aca="false">IF($R24="","",INDEX(Anforderungen!$J:$J,$R24))</f>
        <v>Schrankenanlage</v>
      </c>
      <c r="I24" s="45" t="str">
        <f aca="false">IF($R24="","",INDEX(Anforderungen!$K:$K,$R24))</f>
        <v>erfasst</v>
      </c>
      <c r="J24" s="46" t="n">
        <f aca="false">IF($R24="","",INDEX(Anforderungen!$L:$L,$R24))</f>
        <v>0</v>
      </c>
      <c r="K24" s="45" t="n">
        <f aca="false">IF($R24="","",INDEX(Anforderungen!$M:$M,$R24))</f>
        <v>0</v>
      </c>
      <c r="R24" s="0" t="n">
        <f aca="false">IFERROR(MATCH(ROWS($A$16:$A24),Anforderungen!$O$7:$O$2000,0)+6,"")</f>
        <v>15</v>
      </c>
    </row>
    <row r="25" customFormat="false" ht="30" hidden="false" customHeight="true" outlineLevel="0" collapsed="false">
      <c r="A25" s="45" t="str">
        <f aca="false">IF($R25="","",INDEX(Anforderungen!$B:$B,$R25))</f>
        <v>ANF-010</v>
      </c>
      <c r="B25" s="45" t="str">
        <f aca="false">IF($R25="","",INDEX(Anforderungen!$C:$C,$R25))</f>
        <v>Betreibervertrag</v>
      </c>
      <c r="C25" s="45" t="str">
        <f aca="false">IF($R25="","",INDEX(Anforderungen!$D:$D,$R25))</f>
        <v>§ 25 (6)</v>
      </c>
      <c r="D25" s="45" t="str">
        <f aca="false">IF($R25="","",INDEX(Anforderungen!$E:$E,$R25))</f>
        <v>Reservierung</v>
      </c>
      <c r="E25" s="45" t="str">
        <f aca="false">IF($R25="","",INDEX(Anforderungen!$F:$F,$R25))</f>
        <v>Mindestens 40% der Ladepunkte müssen reserviert werden können.</v>
      </c>
      <c r="F25" s="45" t="str">
        <f aca="false">IF($R25="","",INDEX(Anforderungen!$G:$G,$R25))</f>
        <v>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v>
      </c>
      <c r="G25" s="45" t="str">
        <f aca="false">IF($R25="","",INDEX(Anforderungen!$I:$I,$R25))</f>
        <v>eRound</v>
      </c>
      <c r="H25" s="45" t="str">
        <f aca="false">IF($R25="","",INDEX(Anforderungen!$J:$J,$R25))</f>
        <v>OCPI Buchungskalender</v>
      </c>
      <c r="I25" s="45" t="str">
        <f aca="false">IF($R25="","",INDEX(Anforderungen!$K:$K,$R25))</f>
        <v>erfasst</v>
      </c>
      <c r="J25" s="46" t="n">
        <f aca="false">IF($R25="","",INDEX(Anforderungen!$L:$L,$R25))</f>
        <v>0</v>
      </c>
      <c r="K25" s="45" t="n">
        <f aca="false">IF($R25="","",INDEX(Anforderungen!$M:$M,$R25))</f>
        <v>0</v>
      </c>
      <c r="R25" s="0" t="n">
        <f aca="false">IFERROR(MATCH(ROWS($A$16:$A25),Anforderungen!$O$7:$O$2000,0)+6,"")</f>
        <v>16</v>
      </c>
    </row>
    <row r="26" customFormat="false" ht="30" hidden="false" customHeight="true" outlineLevel="0" collapsed="false">
      <c r="A26" s="45" t="str">
        <f aca="false">IF($R26="","",INDEX(Anforderungen!$B:$B,$R26))</f>
        <v>ANF-011</v>
      </c>
      <c r="B26" s="45" t="str">
        <f aca="false">IF($R26="","",INDEX(Anforderungen!$C:$C,$R26))</f>
        <v>Betreibervertrag</v>
      </c>
      <c r="C26" s="45" t="str">
        <f aca="false">IF($R26="","",INDEX(Anforderungen!$D:$D,$R26))</f>
        <v>§ 31 (1)</v>
      </c>
      <c r="D26" s="45" t="str">
        <f aca="false">IF($R26="","",INDEX(Anforderungen!$E:$E,$R26))</f>
        <v>Authentifizierung &amp; Zugang</v>
      </c>
      <c r="E26" s="45" t="str">
        <f aca="false">IF($R26="","",INDEX(Anforderungen!$F:$F,$R26))</f>
        <v>Es muss Adhoc geladen werden können</v>
      </c>
      <c r="F26" s="45" t="str">
        <f aca="false">IF($R26="","",INDEX(Anforderungen!$G:$G,$R26))</f>
        <v>Der Auftragnehmer ist verpflichtet, potenziellen Endnutzern diskriminierungsfrei zu angemessenen Bedingungen ein Ad-hoc-Laden (punktuelles Aufladen i. S. d. AFIR) zu ermöglichen, soweit 
es ihm zumutbar ist (z. B. mit Blick auf die Bonität des Endnutzers).</v>
      </c>
      <c r="G26" s="45" t="str">
        <f aca="false">IF($R26="","",INDEX(Anforderungen!$I:$I,$R26))</f>
        <v>eRound / SCS</v>
      </c>
      <c r="H26" s="45" t="str">
        <f aca="false">IF($R26="","",INDEX(Anforderungen!$J:$J,$R26))</f>
        <v>Authentifizierungskomponente / Schrankensteuerung</v>
      </c>
      <c r="I26" s="45" t="str">
        <f aca="false">IF($R26="","",INDEX(Anforderungen!$K:$K,$R26))</f>
        <v>erfasst</v>
      </c>
      <c r="J26" s="46" t="n">
        <f aca="false">IF($R26="","",INDEX(Anforderungen!$L:$L,$R26))</f>
        <v>0</v>
      </c>
      <c r="K26" s="45" t="n">
        <f aca="false">IF($R26="","",INDEX(Anforderungen!$M:$M,$R26))</f>
        <v>0</v>
      </c>
      <c r="R26" s="0" t="n">
        <f aca="false">IFERROR(MATCH(ROWS($A$16:$A26),Anforderungen!$O$7:$O$2000,0)+6,"")</f>
        <v>17</v>
      </c>
    </row>
    <row r="27" customFormat="false" ht="30" hidden="false" customHeight="true" outlineLevel="0" collapsed="false">
      <c r="A27" s="45" t="str">
        <f aca="false">IF($R27="","",INDEX(Anforderungen!$B:$B,$R27))</f>
        <v>ANF-012</v>
      </c>
      <c r="B27" s="45" t="str">
        <f aca="false">IF($R27="","",INDEX(Anforderungen!$C:$C,$R27))</f>
        <v>Betreibervertrag</v>
      </c>
      <c r="C27" s="45" t="str">
        <f aca="false">IF($R27="","",INDEX(Anforderungen!$D:$D,$R27))</f>
        <v>§ 38 (1)</v>
      </c>
      <c r="D27" s="45" t="str">
        <f aca="false">IF($R27="","",INDEX(Anforderungen!$E:$E,$R27))</f>
        <v>Nutzungszeit &amp; Entgelte</v>
      </c>
      <c r="E27" s="45" t="str">
        <f aca="false">IF($R27="","",INDEX(Anforderungen!$F:$F,$R27))</f>
        <v>Blockadeentgelte und maximale Nutzungsdauer</v>
      </c>
      <c r="F27" s="45" t="str">
        <f aca="false">IF($R27="","",INDEX(Anforderungen!$G:$G,$R27))</f>
        <v>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v>
      </c>
      <c r="G27" s="45" t="str">
        <f aca="false">IF($R27="","",INDEX(Anforderungen!$I:$I,$R27))</f>
        <v>eRound</v>
      </c>
      <c r="H27" s="45" t="str">
        <f aca="false">IF($R27="","",INDEX(Anforderungen!$J:$J,$R27))</f>
        <v>OCPI Buchungskalender</v>
      </c>
      <c r="I27" s="45" t="str">
        <f aca="false">IF($R27="","",INDEX(Anforderungen!$K:$K,$R27))</f>
        <v>erfasst</v>
      </c>
      <c r="J27" s="46" t="n">
        <f aca="false">IF($R27="","",INDEX(Anforderungen!$L:$L,$R27))</f>
        <v>0</v>
      </c>
      <c r="K27" s="45" t="n">
        <f aca="false">IF($R27="","",INDEX(Anforderungen!$M:$M,$R27))</f>
        <v>0</v>
      </c>
      <c r="R27" s="0" t="n">
        <f aca="false">IFERROR(MATCH(ROWS($A$16:$A27),Anforderungen!$O$7:$O$2000,0)+6,"")</f>
        <v>18</v>
      </c>
    </row>
    <row r="28" customFormat="false" ht="30" hidden="false" customHeight="true" outlineLevel="0" collapsed="false">
      <c r="A28" s="45" t="str">
        <f aca="false">IF($R28="","",INDEX(Anforderungen!$B:$B,$R28))</f>
        <v>ANF-013</v>
      </c>
      <c r="B28" s="45" t="str">
        <f aca="false">IF($R28="","",INDEX(Anforderungen!$C:$C,$R28))</f>
        <v>Betreibervertrag</v>
      </c>
      <c r="C28" s="45" t="str">
        <f aca="false">IF($R28="","",INDEX(Anforderungen!$D:$D,$R28))</f>
        <v>§ 38 (1) a</v>
      </c>
      <c r="D28" s="45" t="str">
        <f aca="false">IF($R28="","",INDEX(Anforderungen!$E:$E,$R28))</f>
        <v>Nutzungszeit &amp; Entgelte</v>
      </c>
      <c r="E28" s="45" t="str">
        <f aca="false">IF($R28="","",INDEX(Anforderungen!$F:$F,$R28))</f>
        <v>Maximale Nutzungsdauer Zwischenladen ist 1h.</v>
      </c>
      <c r="F28" s="45" t="str">
        <f aca="false">IF($R28="","",INDEX(Anforderungen!$G:$G,$R28))</f>
        <v>bei MCS-Ladepunkten und CCS-Ladepunkten zum Zwischenladen 1 Stunde.</v>
      </c>
      <c r="G28" s="45" t="str">
        <f aca="false">IF($R28="","",INDEX(Anforderungen!$I:$I,$R28))</f>
        <v>eRound</v>
      </c>
      <c r="H28" s="45" t="str">
        <f aca="false">IF($R28="","",INDEX(Anforderungen!$J:$J,$R28))</f>
        <v>OCPI Buchungskalender</v>
      </c>
      <c r="I28" s="45" t="str">
        <f aca="false">IF($R28="","",INDEX(Anforderungen!$K:$K,$R28))</f>
        <v>erfasst</v>
      </c>
      <c r="J28" s="46" t="n">
        <f aca="false">IF($R28="","",INDEX(Anforderungen!$L:$L,$R28))</f>
        <v>0</v>
      </c>
      <c r="K28" s="45" t="n">
        <f aca="false">IF($R28="","",INDEX(Anforderungen!$M:$M,$R28))</f>
        <v>0</v>
      </c>
      <c r="R28" s="0" t="n">
        <f aca="false">IFERROR(MATCH(ROWS($A$16:$A28),Anforderungen!$O$7:$O$2000,0)+6,"")</f>
        <v>19</v>
      </c>
    </row>
    <row r="29" customFormat="false" ht="30" hidden="false" customHeight="true" outlineLevel="0" collapsed="false">
      <c r="A29" s="45" t="str">
        <f aca="false">IF($R29="","",INDEX(Anforderungen!$B:$B,$R29))</f>
        <v>ANF-014</v>
      </c>
      <c r="B29" s="45" t="str">
        <f aca="false">IF($R29="","",INDEX(Anforderungen!$C:$C,$R29))</f>
        <v>Betreibervertrag</v>
      </c>
      <c r="C29" s="45" t="str">
        <f aca="false">IF($R29="","",INDEX(Anforderungen!$D:$D,$R29))</f>
        <v>§ 38 (1) b</v>
      </c>
      <c r="D29" s="45" t="str">
        <f aca="false">IF($R29="","",INDEX(Anforderungen!$E:$E,$R29))</f>
        <v>Nutzungszeit &amp; Entgelte</v>
      </c>
      <c r="E29" s="45" t="str">
        <f aca="false">IF($R29="","",INDEX(Anforderungen!$F:$F,$R29))</f>
        <v>Maximale Nutzungsdauer Übernachtladen ist 12h.</v>
      </c>
      <c r="F29" s="45" t="str">
        <f aca="false">IF($R29="","",INDEX(Anforderungen!$G:$G,$R29))</f>
        <v>bei CCS-Ladepunkten zum Übernachtladen und MCS- oder CCS-Ladepunkte zum Zwischenladen, die zum Übernachtladen freigegeben wurden, 12 Stunden.</v>
      </c>
      <c r="G29" s="45" t="str">
        <f aca="false">IF($R29="","",INDEX(Anforderungen!$I:$I,$R29))</f>
        <v>eRound</v>
      </c>
      <c r="H29" s="45" t="str">
        <f aca="false">IF($R29="","",INDEX(Anforderungen!$J:$J,$R29))</f>
        <v>OCPI Buchungskalender</v>
      </c>
      <c r="I29" s="45" t="str">
        <f aca="false">IF($R29="","",INDEX(Anforderungen!$K:$K,$R29))</f>
        <v>erfasst</v>
      </c>
      <c r="J29" s="46" t="n">
        <f aca="false">IF($R29="","",INDEX(Anforderungen!$L:$L,$R29))</f>
        <v>0</v>
      </c>
      <c r="K29" s="45" t="n">
        <f aca="false">IF($R29="","",INDEX(Anforderungen!$M:$M,$R29))</f>
        <v>0</v>
      </c>
      <c r="R29" s="0" t="n">
        <f aca="false">IFERROR(MATCH(ROWS($A$16:$A29),Anforderungen!$O$7:$O$2000,0)+6,"")</f>
        <v>20</v>
      </c>
    </row>
    <row r="30" customFormat="false" ht="30" hidden="false" customHeight="true" outlineLevel="0" collapsed="false">
      <c r="A30" s="45" t="str">
        <f aca="false">IF($R30="","",INDEX(Anforderungen!$B:$B,$R30))</f>
        <v>ANF-015</v>
      </c>
      <c r="B30" s="45" t="str">
        <f aca="false">IF($R30="","",INDEX(Anforderungen!$C:$C,$R30))</f>
        <v>Betreibervertrag</v>
      </c>
      <c r="C30" s="45" t="str">
        <f aca="false">IF($R30="","",INDEX(Anforderungen!$D:$D,$R30))</f>
        <v>§ 38 (2)</v>
      </c>
      <c r="D30" s="45" t="str">
        <f aca="false">IF($R30="","",INDEX(Anforderungen!$E:$E,$R30))</f>
        <v>Nutzungszeit &amp; Entgelte</v>
      </c>
      <c r="E30" s="45" t="str">
        <f aca="false">IF($R30="","",INDEX(Anforderungen!$F:$F,$R30))</f>
        <v>Bei nidriger Auslastung kann die maximale Nutzungszeit vom AN verlängert werden.
Bei nachfolgender Reservierung kann die maximale Nutzungszeit verkürzt werden.
Bei Verkürzung zusätzliche Karenzzeit vor Blockadeentgeld von 5min.</v>
      </c>
      <c r="F30" s="45" t="str">
        <f aca="false">IF($R30="","",INDEX(Anforderungen!$G:$G,$R30))</f>
        <v>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v>
      </c>
      <c r="G30" s="45" t="str">
        <f aca="false">IF($R30="","",INDEX(Anforderungen!$I:$I,$R30))</f>
        <v>eRound</v>
      </c>
      <c r="H30" s="45" t="str">
        <f aca="false">IF($R30="","",INDEX(Anforderungen!$J:$J,$R30))</f>
        <v>OCPI Buchungskalender</v>
      </c>
      <c r="I30" s="45" t="str">
        <f aca="false">IF($R30="","",INDEX(Anforderungen!$K:$K,$R30))</f>
        <v>erfasst</v>
      </c>
      <c r="J30" s="46" t="n">
        <f aca="false">IF($R30="","",INDEX(Anforderungen!$L:$L,$R30))</f>
        <v>0</v>
      </c>
      <c r="K30" s="45" t="n">
        <f aca="false">IF($R30="","",INDEX(Anforderungen!$M:$M,$R30))</f>
        <v>0</v>
      </c>
      <c r="R30" s="0" t="n">
        <f aca="false">IFERROR(MATCH(ROWS($A$16:$A30),Anforderungen!$O$7:$O$2000,0)+6,"")</f>
        <v>21</v>
      </c>
    </row>
    <row r="31" customFormat="false" ht="30" hidden="false" customHeight="true" outlineLevel="0" collapsed="false">
      <c r="A31" s="45" t="str">
        <f aca="false">IF($R31="","",INDEX(Anforderungen!$B:$B,$R31))</f>
        <v>ANF-016</v>
      </c>
      <c r="B31" s="45" t="str">
        <f aca="false">IF($R31="","",INDEX(Anforderungen!$C:$C,$R31))</f>
        <v>Betreibervertrag</v>
      </c>
      <c r="C31" s="45" t="str">
        <f aca="false">IF($R31="","",INDEX(Anforderungen!$D:$D,$R31))</f>
        <v>§ 38 (3)</v>
      </c>
      <c r="D31" s="45" t="str">
        <f aca="false">IF($R31="","",INDEX(Anforderungen!$E:$E,$R31))</f>
        <v>Nutzungszeit &amp; Entgelte</v>
      </c>
      <c r="E31" s="45" t="str">
        <f aca="false">IF($R31="","",INDEX(Anforderungen!$F:$F,$R31))</f>
        <v>Maximale Nutzungszeit endet mit Ablauf Reservierung.
Maximale Nutzungsdauer kann vom AN verlängert werden.</v>
      </c>
      <c r="F31" s="45" t="str">
        <f aca="false">IF($R31="","",INDEX(Anforderungen!$G:$G,$R31))</f>
        <v>Hat ein Mobilitätsdienstleister einen Ladepunkt reserviert, so endet die maximale Nutzungszeit mit dem Ablauf des reservierten Zeitraums, auch wenn der Ladeplatz erst später belegt wurde, es sei denn, der Betreiber räumt ihm eine längere maximale Nutzungszeit ein.</v>
      </c>
      <c r="G31" s="45" t="str">
        <f aca="false">IF($R31="","",INDEX(Anforderungen!$I:$I,$R31))</f>
        <v>eRound</v>
      </c>
      <c r="H31" s="45" t="str">
        <f aca="false">IF($R31="","",INDEX(Anforderungen!$J:$J,$R31))</f>
        <v>OCPI Buchungskalender</v>
      </c>
      <c r="I31" s="45" t="str">
        <f aca="false">IF($R31="","",INDEX(Anforderungen!$K:$K,$R31))</f>
        <v>erfasst</v>
      </c>
      <c r="J31" s="46" t="n">
        <f aca="false">IF($R31="","",INDEX(Anforderungen!$L:$L,$R31))</f>
        <v>0</v>
      </c>
      <c r="K31" s="45" t="n">
        <f aca="false">IF($R31="","",INDEX(Anforderungen!$M:$M,$R31))</f>
        <v>0</v>
      </c>
      <c r="R31" s="0" t="n">
        <f aca="false">IFERROR(MATCH(ROWS($A$16:$A31),Anforderungen!$O$7:$O$2000,0)+6,"")</f>
        <v>22</v>
      </c>
    </row>
    <row r="32" customFormat="false" ht="30" hidden="false" customHeight="true" outlineLevel="0" collapsed="false">
      <c r="A32" s="45" t="str">
        <f aca="false">IF($R32="","",INDEX(Anforderungen!$B:$B,$R32))</f>
        <v>ANF-017</v>
      </c>
      <c r="B32" s="45" t="str">
        <f aca="false">IF($R32="","",INDEX(Anforderungen!$C:$C,$R32))</f>
        <v>Betreibervertrag</v>
      </c>
      <c r="C32" s="45" t="str">
        <f aca="false">IF($R32="","",INDEX(Anforderungen!$D:$D,$R32))</f>
        <v>§ 38 (4)</v>
      </c>
      <c r="D32" s="45" t="str">
        <f aca="false">IF($R32="","",INDEX(Anforderungen!$E:$E,$R32))</f>
        <v>Nutzungszeit &amp; Entgelte</v>
      </c>
      <c r="E32" s="45" t="str">
        <f aca="false">IF($R32="","",INDEX(Anforderungen!$F:$F,$R32))</f>
        <v>Ladestart 15min Wartezeit
Blockadeentgeld
ggf. Pönalisierung
Entfall maximale Nutzungsdauer</v>
      </c>
      <c r="F32" s="45" t="str">
        <f aca="false">IF($R32="","",INDEX(Anforderungen!$G:$G,$R32))</f>
        <v>Wird ein Ladevorgang nicht innerhalb von 15 Minuten nach Besetzung des Stellplatzes gestartet, entfällt die maximale Nutzungszeit und es kann ein Blockadeentgelt erhoben werden.</v>
      </c>
      <c r="G32" s="45" t="str">
        <f aca="false">IF($R32="","",INDEX(Anforderungen!$I:$I,$R32))</f>
        <v>eRound / SCS</v>
      </c>
      <c r="H32" s="45" t="str">
        <f aca="false">IF($R32="","",INDEX(Anforderungen!$J:$J,$R32))</f>
        <v>OCPI Buchungskalender / Abrechnungskomponente / Belegungsdetektion / Pönalisierungssystem</v>
      </c>
      <c r="I32" s="45" t="str">
        <f aca="false">IF($R32="","",INDEX(Anforderungen!$K:$K,$R32))</f>
        <v>erfasst</v>
      </c>
      <c r="J32" s="46" t="n">
        <f aca="false">IF($R32="","",INDEX(Anforderungen!$L:$L,$R32))</f>
        <v>0</v>
      </c>
      <c r="K32" s="45" t="n">
        <f aca="false">IF($R32="","",INDEX(Anforderungen!$M:$M,$R32))</f>
        <v>0</v>
      </c>
      <c r="R32" s="0" t="n">
        <f aca="false">IFERROR(MATCH(ROWS($A$16:$A32),Anforderungen!$O$7:$O$2000,0)+6,"")</f>
        <v>23</v>
      </c>
    </row>
    <row r="33" customFormat="false" ht="30" hidden="false" customHeight="true" outlineLevel="0" collapsed="false">
      <c r="A33" s="45" t="str">
        <f aca="false">IF($R33="","",INDEX(Anforderungen!$B:$B,$R33))</f>
        <v>ANF-018</v>
      </c>
      <c r="B33" s="45" t="str">
        <f aca="false">IF($R33="","",INDEX(Anforderungen!$C:$C,$R33))</f>
        <v>Betreibervertrag</v>
      </c>
      <c r="C33" s="45" t="str">
        <f aca="false">IF($R33="","",INDEX(Anforderungen!$D:$D,$R33))</f>
        <v>§ 38 (5)</v>
      </c>
      <c r="D33" s="45" t="str">
        <f aca="false">IF($R33="","",INDEX(Anforderungen!$E:$E,$R33))</f>
        <v>Nutzungszeit &amp; Entgelte</v>
      </c>
      <c r="E33" s="45" t="str">
        <f aca="false">IF($R33="","",INDEX(Anforderungen!$F:$F,$R33))</f>
        <v>Kein Blockadeentgeld während Nachtruhezeiten, Sonn- und Feiertage der Bundesländer.</v>
      </c>
      <c r="F33" s="45" t="str">
        <f aca="false">IF($R33="","",INDEX(Anforderungen!$G:$G,$R33))</f>
        <v>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v>
      </c>
      <c r="G33" s="45" t="str">
        <f aca="false">IF($R33="","",INDEX(Anforderungen!$I:$I,$R33))</f>
        <v>eRound</v>
      </c>
      <c r="H33" s="45" t="str">
        <f aca="false">IF($R33="","",INDEX(Anforderungen!$J:$J,$R33))</f>
        <v>OCPI Buchungskalender</v>
      </c>
      <c r="I33" s="45" t="str">
        <f aca="false">IF($R33="","",INDEX(Anforderungen!$K:$K,$R33))</f>
        <v>erfasst</v>
      </c>
      <c r="J33" s="46" t="n">
        <f aca="false">IF($R33="","",INDEX(Anforderungen!$L:$L,$R33))</f>
        <v>0</v>
      </c>
      <c r="K33" s="45" t="n">
        <f aca="false">IF($R33="","",INDEX(Anforderungen!$M:$M,$R33))</f>
        <v>0</v>
      </c>
      <c r="R33" s="0" t="n">
        <f aca="false">IFERROR(MATCH(ROWS($A$16:$A33),Anforderungen!$O$7:$O$2000,0)+6,"")</f>
        <v>24</v>
      </c>
    </row>
    <row r="34" customFormat="false" ht="30" hidden="false" customHeight="true" outlineLevel="0" collapsed="false">
      <c r="A34" s="45" t="str">
        <f aca="false">IF($R34="","",INDEX(Anforderungen!$B:$B,$R34))</f>
        <v>ANF-019</v>
      </c>
      <c r="B34" s="45" t="str">
        <f aca="false">IF($R34="","",INDEX(Anforderungen!$C:$C,$R34))</f>
        <v>Betreibervertrag</v>
      </c>
      <c r="C34" s="45" t="str">
        <f aca="false">IF($R34="","",INDEX(Anforderungen!$D:$D,$R34))</f>
        <v>§ 38 (6)</v>
      </c>
      <c r="D34" s="45" t="str">
        <f aca="false">IF($R34="","",INDEX(Anforderungen!$E:$E,$R34))</f>
        <v>Nutzungszeit &amp; Entgelte</v>
      </c>
      <c r="E34" s="45" t="str">
        <f aca="false">IF($R34="","",INDEX(Anforderungen!$F:$F,$R34))</f>
        <v>Blockadeentgeld Höhe 0,50€ / 0,15€ pro Min.</v>
      </c>
      <c r="F34" s="45" t="str">
        <f aca="false">IF($R34="","",INDEX(Anforderungen!$G:$G,$R34))</f>
        <v>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v>
      </c>
      <c r="G34" s="45" t="str">
        <f aca="false">IF($R34="","",INDEX(Anforderungen!$I:$I,$R34))</f>
        <v>eRound</v>
      </c>
      <c r="H34" s="45" t="str">
        <f aca="false">IF($R34="","",INDEX(Anforderungen!$J:$J,$R34))</f>
        <v>Abrechnungskomponente</v>
      </c>
      <c r="I34" s="45" t="str">
        <f aca="false">IF($R34="","",INDEX(Anforderungen!$K:$K,$R34))</f>
        <v>erfasst</v>
      </c>
      <c r="J34" s="46" t="n">
        <f aca="false">IF($R34="","",INDEX(Anforderungen!$L:$L,$R34))</f>
        <v>0</v>
      </c>
      <c r="K34" s="45" t="n">
        <f aca="false">IF($R34="","",INDEX(Anforderungen!$M:$M,$R34))</f>
        <v>0</v>
      </c>
      <c r="R34" s="0" t="n">
        <f aca="false">IFERROR(MATCH(ROWS($A$16:$A34),Anforderungen!$O$7:$O$2000,0)+6,"")</f>
        <v>25</v>
      </c>
    </row>
    <row r="35" customFormat="false" ht="30" hidden="false" customHeight="true" outlineLevel="0" collapsed="false">
      <c r="A35" s="45" t="str">
        <f aca="false">IF($R35="","",INDEX(Anforderungen!$B:$B,$R35))</f>
        <v>ANF-020</v>
      </c>
      <c r="B35" s="45" t="str">
        <f aca="false">IF($R35="","",INDEX(Anforderungen!$C:$C,$R35))</f>
        <v>Betreibervertrag</v>
      </c>
      <c r="C35" s="45" t="str">
        <f aca="false">IF($R35="","",INDEX(Anforderungen!$D:$D,$R35))</f>
        <v>§ 38 (7)</v>
      </c>
      <c r="D35" s="45" t="str">
        <f aca="false">IF($R35="","",INDEX(Anforderungen!$E:$E,$R35))</f>
        <v>Nutzungszeit &amp; Entgelte</v>
      </c>
      <c r="E35" s="45" t="str">
        <f aca="false">IF($R35="","",INDEX(Anforderungen!$F:$F,$R35))</f>
        <v>Änderungen an maximaler Nutzungsdauer, Blockadeentgelt und Sperrzeiten mit Vorlauf möglich.</v>
      </c>
      <c r="F35" s="45" t="str">
        <f aca="false">IF($R35="","",INDEX(Anforderungen!$G:$G,$R35))</f>
        <v>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v>
      </c>
      <c r="G35" s="45" t="str">
        <f aca="false">IF($R35="","",INDEX(Anforderungen!$I:$I,$R35))</f>
        <v>eRound</v>
      </c>
      <c r="H35" s="45" t="str">
        <f aca="false">IF($R35="","",INDEX(Anforderungen!$J:$J,$R35))</f>
        <v>Abrechnungskomponente</v>
      </c>
      <c r="I35" s="45" t="str">
        <f aca="false">IF($R35="","",INDEX(Anforderungen!$K:$K,$R35))</f>
        <v>erfasst</v>
      </c>
      <c r="J35" s="46" t="n">
        <f aca="false">IF($R35="","",INDEX(Anforderungen!$L:$L,$R35))</f>
        <v>0</v>
      </c>
      <c r="K35" s="45" t="n">
        <f aca="false">IF($R35="","",INDEX(Anforderungen!$M:$M,$R35))</f>
        <v>0</v>
      </c>
      <c r="R35" s="0" t="n">
        <f aca="false">IFERROR(MATCH(ROWS($A$16:$A35),Anforderungen!$O$7:$O$2000,0)+6,"")</f>
        <v>26</v>
      </c>
    </row>
    <row r="36" customFormat="false" ht="30" hidden="false" customHeight="true" outlineLevel="0" collapsed="false">
      <c r="A36" s="45" t="str">
        <f aca="false">IF($R36="","",INDEX(Anforderungen!$B:$B,$R36))</f>
        <v>ANF-021</v>
      </c>
      <c r="B36" s="45" t="str">
        <f aca="false">IF($R36="","",INDEX(Anforderungen!$C:$C,$R36))</f>
        <v>Betreibervertrag</v>
      </c>
      <c r="C36" s="45" t="str">
        <f aca="false">IF($R36="","",INDEX(Anforderungen!$D:$D,$R36))</f>
        <v>§ 38 (8)</v>
      </c>
      <c r="D36" s="45" t="str">
        <f aca="false">IF($R36="","",INDEX(Anforderungen!$E:$E,$R36))</f>
        <v>Nutzungszeit &amp; Entgelte</v>
      </c>
      <c r="E36" s="45" t="str">
        <f aca="false">IF($R36="","",INDEX(Anforderungen!$F:$F,$R36))</f>
        <v>Mindestabnahmemenge und Vergütung bei Unterschreitung.</v>
      </c>
      <c r="F36" s="45" t="str">
        <f aca="false">IF($R36="","",INDEX(Anforderungen!$G:$G,$R36))</f>
        <v>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v>
      </c>
      <c r="G36" s="45" t="str">
        <f aca="false">IF($R36="","",INDEX(Anforderungen!$I:$I,$R36))</f>
        <v>eRound</v>
      </c>
      <c r="H36" s="45" t="str">
        <f aca="false">IF($R36="","",INDEX(Anforderungen!$J:$J,$R36))</f>
        <v>Abrechnungskomponente</v>
      </c>
      <c r="I36" s="45" t="str">
        <f aca="false">IF($R36="","",INDEX(Anforderungen!$K:$K,$R36))</f>
        <v>erfasst</v>
      </c>
      <c r="J36" s="46" t="n">
        <f aca="false">IF($R36="","",INDEX(Anforderungen!$L:$L,$R36))</f>
        <v>0</v>
      </c>
      <c r="K36" s="45" t="n">
        <f aca="false">IF($R36="","",INDEX(Anforderungen!$M:$M,$R36))</f>
        <v>0</v>
      </c>
      <c r="R36" s="0" t="n">
        <f aca="false">IFERROR(MATCH(ROWS($A$16:$A36),Anforderungen!$O$7:$O$2000,0)+6,"")</f>
        <v>27</v>
      </c>
    </row>
    <row r="37" customFormat="false" ht="30" hidden="false" customHeight="true" outlineLevel="0" collapsed="false">
      <c r="A37" s="45" t="str">
        <f aca="false">IF($R37="","",INDEX(Anforderungen!$B:$B,$R37))</f>
        <v>ANF-022</v>
      </c>
      <c r="B37" s="45" t="str">
        <f aca="false">IF($R37="","",INDEX(Anforderungen!$C:$C,$R37))</f>
        <v>Betreibervertrag</v>
      </c>
      <c r="C37" s="45" t="str">
        <f aca="false">IF($R37="","",INDEX(Anforderungen!$D:$D,$R37))</f>
        <v>§ 38 (9)</v>
      </c>
      <c r="D37" s="45" t="str">
        <f aca="false">IF($R37="","",INDEX(Anforderungen!$E:$E,$R37))</f>
        <v>Nutzungszeit &amp; Entgelte</v>
      </c>
      <c r="E37" s="45" t="str">
        <f aca="false">IF($R37="","",INDEX(Anforderungen!$F:$F,$R37))</f>
        <v>Warnung NutzerIn vor Blockadeentgeld</v>
      </c>
      <c r="F37" s="45" t="str">
        <f aca="false">IF($R37="","",INDEX(Anforderungen!$G:$G,$R37))</f>
        <v>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v>
      </c>
      <c r="G37" s="45" t="str">
        <f aca="false">IF($R37="","",INDEX(Anforderungen!$I:$I,$R37))</f>
        <v>eRound</v>
      </c>
      <c r="H37" s="45" t="str">
        <f aca="false">IF($R37="","",INDEX(Anforderungen!$J:$J,$R37))</f>
        <v>Abrechnungskomponente / Beschilderung</v>
      </c>
      <c r="I37" s="45" t="str">
        <f aca="false">IF($R37="","",INDEX(Anforderungen!$K:$K,$R37))</f>
        <v>trifft nicht zu</v>
      </c>
      <c r="J37" s="46" t="n">
        <f aca="false">IF($R37="","",INDEX(Anforderungen!$L:$L,$R37))</f>
        <v>46259</v>
      </c>
      <c r="K37" s="45" t="str">
        <f aca="false">IF($R37="","",INDEX(Anforderungen!$M:$M,$R37))</f>
        <v>ggf. Thema für eRound ansonsten Beschilderung -&gt; Bau GU</v>
      </c>
      <c r="R37" s="0" t="n">
        <f aca="false">IFERROR(MATCH(ROWS($A$16:$A37),Anforderungen!$O$7:$O$2000,0)+6,"")</f>
        <v>28</v>
      </c>
    </row>
    <row r="38" customFormat="false" ht="30" hidden="false" customHeight="true" outlineLevel="0" collapsed="false">
      <c r="A38" s="45" t="str">
        <f aca="false">IF($R38="","",INDEX(Anforderungen!$B:$B,$R38))</f>
        <v>ANF-023</v>
      </c>
      <c r="B38" s="45" t="str">
        <f aca="false">IF($R38="","",INDEX(Anforderungen!$C:$C,$R38))</f>
        <v>Betreibervertrag</v>
      </c>
      <c r="C38" s="45" t="str">
        <f aca="false">IF($R38="","",INDEX(Anforderungen!$D:$D,$R38))</f>
        <v>§ 42 (5)</v>
      </c>
      <c r="D38" s="45" t="str">
        <f aca="false">IF($R38="","",INDEX(Anforderungen!$E:$E,$R38))</f>
        <v>Betrieb &amp; Auslastung</v>
      </c>
      <c r="E38" s="45" t="str">
        <f aca="false">IF($R38="","",INDEX(Anforderungen!$F:$F,$R38))</f>
        <v>Updates verpflichtend.</v>
      </c>
      <c r="F38" s="45" t="str">
        <f aca="false">IF($R38="","",INDEX(Anforderungen!$G:$G,$R38))</f>
        <v>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v>
      </c>
      <c r="G38" s="45" t="str">
        <f aca="false">IF($R38="","",INDEX(Anforderungen!$I:$I,$R38))</f>
        <v>Alpitronic</v>
      </c>
      <c r="H38" s="45" t="str">
        <f aca="false">IF($R38="","",INDEX(Anforderungen!$J:$J,$R38))</f>
        <v>Ladeeinrichtung</v>
      </c>
      <c r="I38" s="45" t="str">
        <f aca="false">IF($R38="","",INDEX(Anforderungen!$K:$K,$R38))</f>
        <v>trifft nicht zu</v>
      </c>
      <c r="J38" s="46" t="n">
        <f aca="false">IF($R38="","",INDEX(Anforderungen!$L:$L,$R38))</f>
        <v>46260</v>
      </c>
      <c r="K38" s="45" t="str">
        <f aca="false">IF($R38="","",INDEX(Anforderungen!$M:$M,$R38))</f>
        <v>Betrifft LIS</v>
      </c>
      <c r="R38" s="0" t="n">
        <f aca="false">IFERROR(MATCH(ROWS($A$16:$A38),Anforderungen!$O$7:$O$2000,0)+6,"")</f>
        <v>29</v>
      </c>
    </row>
    <row r="39" customFormat="false" ht="30" hidden="false" customHeight="true" outlineLevel="0" collapsed="false">
      <c r="A39" s="45" t="str">
        <f aca="false">IF($R39="","",INDEX(Anforderungen!$B:$B,$R39))</f>
        <v>ANF-024</v>
      </c>
      <c r="B39" s="45" t="str">
        <f aca="false">IF($R39="","",INDEX(Anforderungen!$C:$C,$R39))</f>
        <v>Betreibervertrag</v>
      </c>
      <c r="C39" s="45" t="str">
        <f aca="false">IF($R39="","",INDEX(Anforderungen!$D:$D,$R39))</f>
        <v>§ 22 (3)</v>
      </c>
      <c r="D39" s="45" t="str">
        <f aca="false">IF($R39="","",INDEX(Anforderungen!$E:$E,$R39))</f>
        <v>Betrieb &amp; Auslastung</v>
      </c>
      <c r="E39" s="45" t="str">
        <f aca="false">IF($R39="","",INDEX(Anforderungen!$F:$F,$R39))</f>
        <v>Bei nidriger Auslastung:
Zwischenladepunkte können zwischen 17 und 6 Uhr für Übernachtladen freigegeben werden.
Aber mind. 40% Zwischenladepunkte, aber mind. 2 MCS und 1 CCS.</v>
      </c>
      <c r="F39" s="45" t="str">
        <f aca="false">IF($R39="","",INDEX(Anforderungen!$G:$G,$R39))</f>
        <v>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v>
      </c>
      <c r="G39" s="45" t="str">
        <f aca="false">IF($R39="","",INDEX(Anforderungen!$I:$I,$R39))</f>
        <v>eRound / SCS</v>
      </c>
      <c r="H39" s="45" t="str">
        <f aca="false">IF($R39="","",INDEX(Anforderungen!$J:$J,$R39))</f>
        <v>OCPI Buchungskalender / Dynamische Anzeige</v>
      </c>
      <c r="I39" s="45" t="str">
        <f aca="false">IF($R39="","",INDEX(Anforderungen!$K:$K,$R39))</f>
        <v>erfüllt</v>
      </c>
      <c r="J39" s="46" t="n">
        <f aca="false">IF($R39="","",INDEX(Anforderungen!$L:$L,$R39))</f>
        <v>46259</v>
      </c>
      <c r="K39" s="45" t="str">
        <f aca="false">IF($R39="","",INDEX(Anforderungen!$M:$M,$R39))</f>
        <v>eRound regelt - SCS zeigt an</v>
      </c>
      <c r="R39" s="0" t="n">
        <f aca="false">IFERROR(MATCH(ROWS($A$16:$A39),Anforderungen!$O$7:$O$2000,0)+6,"")</f>
        <v>30</v>
      </c>
    </row>
    <row r="40" customFormat="false" ht="30" hidden="false" customHeight="true" outlineLevel="0" collapsed="false">
      <c r="A40" s="45" t="str">
        <f aca="false">IF($R40="","",INDEX(Anforderungen!$B:$B,$R40))</f>
        <v>ANF-025</v>
      </c>
      <c r="B40" s="45" t="str">
        <f aca="false">IF($R40="","",INDEX(Anforderungen!$C:$C,$R40))</f>
        <v>Betreibervertrag</v>
      </c>
      <c r="C40" s="45" t="str">
        <f aca="false">IF($R40="","",INDEX(Anforderungen!$D:$D,$R40))</f>
        <v>§ 4 (52)</v>
      </c>
      <c r="D40" s="45" t="str">
        <f aca="false">IF($R40="","",INDEX(Anforderungen!$E:$E,$R40))</f>
        <v>Reservierung</v>
      </c>
      <c r="E40" s="45" t="str">
        <f aca="false">IF($R40="","",INDEX(Anforderungen!$F:$F,$R40))</f>
        <v>Mindestens AN plus ein weiterer.</v>
      </c>
      <c r="F40" s="45" t="str">
        <f aca="false">IF($R40="","",INDEX(Anforderungen!$G:$G,$R40))</f>
        <v>"Reservierungssystem“: Ein System zur Reservierung von Ladepunkten, das Mobilitätsdienstleistern ermöglicht, Ladepunkte bei dem Auftragnehmer und mindestens einem weiteren Ladepunktbetreiber zu reservieren.</v>
      </c>
      <c r="G40" s="45" t="str">
        <f aca="false">IF($R40="","",INDEX(Anforderungen!$I:$I,$R40))</f>
        <v>Autostrom+</v>
      </c>
      <c r="H40" s="45" t="str">
        <f aca="false">IF($R40="","",INDEX(Anforderungen!$J:$J,$R40))</f>
        <v>Anbindung</v>
      </c>
      <c r="I40" s="45" t="str">
        <f aca="false">IF($R40="","",INDEX(Anforderungen!$K:$K,$R40))</f>
        <v>bewertet</v>
      </c>
      <c r="J40" s="46" t="n">
        <f aca="false">IF($R40="","",INDEX(Anforderungen!$L:$L,$R40))</f>
        <v>0</v>
      </c>
      <c r="K40" s="45" t="n">
        <f aca="false">IF($R40="","",INDEX(Anforderungen!$M:$M,$R40))</f>
        <v>0</v>
      </c>
      <c r="R40" s="0" t="n">
        <f aca="false">IFERROR(MATCH(ROWS($A$16:$A40),Anforderungen!$O$7:$O$2000,0)+6,"")</f>
        <v>31</v>
      </c>
    </row>
    <row r="41" customFormat="false" ht="30" hidden="false" customHeight="true" outlineLevel="0" collapsed="false">
      <c r="A41" s="45" t="str">
        <f aca="false">IF($R41="","",INDEX(Anforderungen!$B:$B,$R41))</f>
        <v>ANF-026</v>
      </c>
      <c r="B41" s="45" t="str">
        <f aca="false">IF($R41="","",INDEX(Anforderungen!$C:$C,$R41))</f>
        <v>Vertragsanlage 4</v>
      </c>
      <c r="C41" s="45" t="str">
        <f aca="false">IF($R41="","",INDEX(Anforderungen!$D:$D,$R41))</f>
        <v>§ 3.13.2</v>
      </c>
      <c r="D41" s="45" t="str">
        <f aca="false">IF($R41="","",INDEX(Anforderungen!$E:$E,$R41))</f>
        <v>Zufahrt &amp; Schranke</v>
      </c>
      <c r="E41" s="45" t="str">
        <f aca="false">IF($R41="","",INDEX(Anforderungen!$F:$F,$R41))</f>
        <v>Schrankenanlage auf Schrankeninsel</v>
      </c>
      <c r="F41" s="45" t="str">
        <f aca="false">IF($R41="","",INDEX(Anforderungen!$G:$G,$R41))</f>
        <v>Anforderungen an Lade-, Schrankeninseln und physische Zufahrtbeschränkungen</v>
      </c>
      <c r="G41" s="45" t="str">
        <f aca="false">IF($R41="","",INDEX(Anforderungen!$I:$I,$R41))</f>
        <v>Schrankenhersteller</v>
      </c>
      <c r="H41" s="45" t="str">
        <f aca="false">IF($R41="","",INDEX(Anforderungen!$J:$J,$R41))</f>
        <v>Schrankenanlage</v>
      </c>
      <c r="I41" s="45" t="str">
        <f aca="false">IF($R41="","",INDEX(Anforderungen!$K:$K,$R41))</f>
        <v>erfasst</v>
      </c>
      <c r="J41" s="46" t="n">
        <f aca="false">IF($R41="","",INDEX(Anforderungen!$L:$L,$R41))</f>
        <v>46259</v>
      </c>
      <c r="K41" s="45" t="str">
        <f aca="false">IF($R41="","",INDEX(Anforderungen!$M:$M,$R41))</f>
        <v>Schranke auf Schrankeninsel geplant</v>
      </c>
      <c r="R41" s="0" t="n">
        <f aca="false">IFERROR(MATCH(ROWS($A$16:$A41),Anforderungen!$O$7:$O$2000,0)+6,"")</f>
        <v>32</v>
      </c>
    </row>
    <row r="42" customFormat="false" ht="30" hidden="false" customHeight="true" outlineLevel="0" collapsed="false">
      <c r="A42" s="45" t="str">
        <f aca="false">IF($R42="","",INDEX(Anforderungen!$B:$B,$R42))</f>
        <v>ANF-027</v>
      </c>
      <c r="B42" s="45" t="str">
        <f aca="false">IF($R42="","",INDEX(Anforderungen!$C:$C,$R42))</f>
        <v>Vertragsanlage 4</v>
      </c>
      <c r="C42" s="45" t="str">
        <f aca="false">IF($R42="","",INDEX(Anforderungen!$D:$D,$R42))</f>
        <v>§ 3.13.2 (1)</v>
      </c>
      <c r="D42" s="45" t="str">
        <f aca="false">IF($R42="","",INDEX(Anforderungen!$E:$E,$R42))</f>
        <v>Zufahrt &amp; Schranke</v>
      </c>
      <c r="E42" s="45" t="str">
        <f aca="false">IF($R42="","",INDEX(Anforderungen!$F:$F,$R42))</f>
        <v>Schranke an Einfahrt Ladepunkt und Ausfahrt Ladepunkt.
Bei Schrägparken Poller?</v>
      </c>
      <c r="F42" s="45" t="str">
        <f aca="false">IF($R42="","",INDEX(Anforderungen!$G:$G,$R42))</f>
        <v>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v>
      </c>
      <c r="G42" s="45" t="str">
        <f aca="false">IF($R42="","",INDEX(Anforderungen!$I:$I,$R42))</f>
        <v>Schrankenhersteller</v>
      </c>
      <c r="H42" s="45" t="str">
        <f aca="false">IF($R42="","",INDEX(Anforderungen!$J:$J,$R42))</f>
        <v>Schrankenanlage</v>
      </c>
      <c r="I42" s="45" t="str">
        <f aca="false">IF($R42="","",INDEX(Anforderungen!$K:$K,$R42))</f>
        <v>erfüllt</v>
      </c>
      <c r="J42" s="46" t="n">
        <f aca="false">IF($R42="","",INDEX(Anforderungen!$L:$L,$R42))</f>
        <v>46259</v>
      </c>
      <c r="K42" s="45" t="str">
        <f aca="false">IF($R42="","",INDEX(Anforderungen!$M:$M,$R42))</f>
        <v>Schranken auf beiden Seiten gepplant</v>
      </c>
      <c r="R42" s="0" t="n">
        <f aca="false">IFERROR(MATCH(ROWS($A$16:$A42),Anforderungen!$O$7:$O$2000,0)+6,"")</f>
        <v>33</v>
      </c>
    </row>
    <row r="43" customFormat="false" ht="30" hidden="false" customHeight="true" outlineLevel="0" collapsed="false">
      <c r="A43" s="45" t="str">
        <f aca="false">IF($R43="","",INDEX(Anforderungen!$B:$B,$R43))</f>
        <v>ANF-028</v>
      </c>
      <c r="B43" s="45" t="str">
        <f aca="false">IF($R43="","",INDEX(Anforderungen!$C:$C,$R43))</f>
        <v>Vertragsanlage 4</v>
      </c>
      <c r="C43" s="45" t="str">
        <f aca="false">IF($R43="","",INDEX(Anforderungen!$D:$D,$R43))</f>
        <v>§ 3.13.4</v>
      </c>
      <c r="D43" s="45" t="str">
        <f aca="false">IF($R43="","",INDEX(Anforderungen!$E:$E,$R43))</f>
        <v>Anzeige &amp; Beschilderung</v>
      </c>
      <c r="E43" s="45" t="str">
        <f aca="false">IF($R43="","",INDEX(Anforderungen!$F:$F,$R43))</f>
        <v>Darstellung statischer und dynamischer Infos.</v>
      </c>
      <c r="F43" s="45" t="str">
        <f aca="false">IF($R43="","",INDEX(Anforderungen!$G:$G,$R43))</f>
        <v>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v>
      </c>
      <c r="G43" s="45" t="str">
        <f aca="false">IF($R43="","",INDEX(Anforderungen!$I:$I,$R43))</f>
        <v>eRound / SCS</v>
      </c>
      <c r="H43" s="45" t="str">
        <f aca="false">IF($R43="","",INDEX(Anforderungen!$J:$J,$R43))</f>
        <v>Dynamische Anzeige</v>
      </c>
      <c r="I43" s="45" t="str">
        <f aca="false">IF($R43="","",INDEX(Anforderungen!$K:$K,$R43))</f>
        <v>erfüllt</v>
      </c>
      <c r="J43" s="46" t="n">
        <f aca="false">IF($R43="","",INDEX(Anforderungen!$L:$L,$R43))</f>
        <v>46259</v>
      </c>
      <c r="K43" s="45" t="str">
        <f aca="false">IF($R43="","",INDEX(Anforderungen!$M:$M,$R43))</f>
        <v>LIS zeigt Zustand an, Rest auf Anzeige</v>
      </c>
      <c r="R43" s="0" t="n">
        <f aca="false">IFERROR(MATCH(ROWS($A$16:$A43),Anforderungen!$O$7:$O$2000,0)+6,"")</f>
        <v>34</v>
      </c>
    </row>
    <row r="44" customFormat="false" ht="30" hidden="false" customHeight="true" outlineLevel="0" collapsed="false">
      <c r="A44" s="45" t="str">
        <f aca="false">IF($R44="","",INDEX(Anforderungen!$B:$B,$R44))</f>
        <v>ANF-029</v>
      </c>
      <c r="B44" s="45" t="str">
        <f aca="false">IF($R44="","",INDEX(Anforderungen!$C:$C,$R44))</f>
        <v>Vertragsanlage 4</v>
      </c>
      <c r="C44" s="45" t="str">
        <f aca="false">IF($R44="","",INDEX(Anforderungen!$D:$D,$R44))</f>
        <v>§ 3.13.5</v>
      </c>
      <c r="D44" s="45" t="str">
        <f aca="false">IF($R44="","",INDEX(Anforderungen!$E:$E,$R44))</f>
        <v>Zufahrt &amp; Schranke</v>
      </c>
      <c r="E44" s="45" t="n">
        <f aca="false">IF($R44="","",INDEX(Anforderungen!$F:$F,$R44))</f>
        <v>0</v>
      </c>
      <c r="F44" s="45" t="str">
        <f aca="false">IF($R44="","",INDEX(Anforderungen!$G:$G,$R44))</f>
        <v>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v>
      </c>
      <c r="G44" s="45" t="str">
        <f aca="false">IF($R44="","",INDEX(Anforderungen!$I:$I,$R44))</f>
        <v>Schrankenhersteller / SCS / eRound</v>
      </c>
      <c r="H44" s="45" t="str">
        <f aca="false">IF($R44="","",INDEX(Anforderungen!$J:$J,$R44))</f>
        <v>Schrankenanlage</v>
      </c>
      <c r="I44" s="45" t="str">
        <f aca="false">IF($R44="","",INDEX(Anforderungen!$K:$K,$R44))</f>
        <v>erfüllt</v>
      </c>
      <c r="J44" s="46" t="n">
        <f aca="false">IF($R44="","",INDEX(Anforderungen!$L:$L,$R44))</f>
        <v>46260</v>
      </c>
      <c r="K44" s="45" t="str">
        <f aca="false">IF($R44="","",INDEX(Anforderungen!$M:$M,$R44))</f>
        <v>Sicherheitseinrichtung geplant
LED in Schrankenbaum geplant
Integration des Schrankenstatus in eRound</v>
      </c>
      <c r="R44" s="0" t="n">
        <f aca="false">IFERROR(MATCH(ROWS($A$16:$A44),Anforderungen!$O$7:$O$2000,0)+6,"")</f>
        <v>35</v>
      </c>
    </row>
    <row r="45" customFormat="false" ht="30" hidden="false" customHeight="true" outlineLevel="0" collapsed="false">
      <c r="A45" s="45" t="str">
        <f aca="false">IF($R45="","",INDEX(Anforderungen!$B:$B,$R45))</f>
        <v>ANF-030</v>
      </c>
      <c r="B45" s="45" t="str">
        <f aca="false">IF($R45="","",INDEX(Anforderungen!$C:$C,$R45))</f>
        <v>Vertragsanlage 4</v>
      </c>
      <c r="C45" s="45" t="str">
        <f aca="false">IF($R45="","",INDEX(Anforderungen!$D:$D,$R45))</f>
        <v>§ 3.13.2.2</v>
      </c>
      <c r="D45" s="45" t="str">
        <f aca="false">IF($R45="","",INDEX(Anforderungen!$E:$E,$R45))</f>
        <v>Zufahrt &amp; Schranke</v>
      </c>
      <c r="E45" s="45" t="n">
        <f aca="false">IF($R45="","",INDEX(Anforderungen!$F:$F,$R45))</f>
        <v>0</v>
      </c>
      <c r="F45" s="45" t="str">
        <f aca="false">IF($R45="","",INDEX(Anforderungen!$G:$G,$R45))</f>
        <v>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v>
      </c>
      <c r="G45" s="45" t="str">
        <f aca="false">IF($R45="","",INDEX(Anforderungen!$I:$I,$R45))</f>
        <v>Autostrom+</v>
      </c>
      <c r="H45" s="45" t="str">
        <f aca="false">IF($R45="","",INDEX(Anforderungen!$J:$J,$R45))</f>
        <v>–</v>
      </c>
      <c r="I45" s="45" t="str">
        <f aca="false">IF($R45="","",INDEX(Anforderungen!$K:$K,$R45))</f>
        <v>trifft nicht zu</v>
      </c>
      <c r="J45" s="46" t="n">
        <f aca="false">IF($R45="","",INDEX(Anforderungen!$L:$L,$R45))</f>
        <v>45894</v>
      </c>
      <c r="K45" s="45" t="str">
        <f aca="false">IF($R45="","",INDEX(Anforderungen!$M:$M,$R45))</f>
        <v>Los 2 hat keine Poller - betrifft nur längsparkplätze</v>
      </c>
      <c r="R45" s="0" t="n">
        <f aca="false">IFERROR(MATCH(ROWS($A$16:$A45),Anforderungen!$O$7:$O$2000,0)+6,"")</f>
        <v>36</v>
      </c>
    </row>
    <row r="46" customFormat="false" ht="30" hidden="false" customHeight="true" outlineLevel="0" collapsed="false">
      <c r="A46" s="45" t="str">
        <f aca="false">IF($R46="","",INDEX(Anforderungen!$B:$B,$R46))</f>
        <v>ANF-031</v>
      </c>
      <c r="B46" s="45" t="str">
        <f aca="false">IF($R46="","",INDEX(Anforderungen!$C:$C,$R46))</f>
        <v>Vertragsanlage 4</v>
      </c>
      <c r="C46" s="45" t="str">
        <f aca="false">IF($R46="","",INDEX(Anforderungen!$D:$D,$R46))</f>
        <v>§ 3.6</v>
      </c>
      <c r="D46" s="45" t="str">
        <f aca="false">IF($R46="","",INDEX(Anforderungen!$E:$E,$R46))</f>
        <v>Bau &amp; Dokumentation</v>
      </c>
      <c r="E46" s="45" t="n">
        <f aca="false">IF($R46="","",INDEX(Anforderungen!$F:$F,$R46))</f>
        <v>0</v>
      </c>
      <c r="F46" s="45" t="str">
        <f aca="false">IF($R46="","",INDEX(Anforderungen!$G:$G,$R46))</f>
        <v>Antrag auf Baufreigabe und Ausführungs-, Werk- und Montageplanung</v>
      </c>
      <c r="G46" s="45" t="str">
        <f aca="false">IF($R46="","",INDEX(Anforderungen!$I:$I,$R46))</f>
        <v>Autostrom+</v>
      </c>
      <c r="H46" s="45" t="str">
        <f aca="false">IF($R46="","",INDEX(Anforderungen!$J:$J,$R46))</f>
        <v>–</v>
      </c>
      <c r="I46" s="45" t="str">
        <f aca="false">IF($R46="","",INDEX(Anforderungen!$K:$K,$R46))</f>
        <v>bewertet</v>
      </c>
      <c r="J46" s="46" t="n">
        <f aca="false">IF($R46="","",INDEX(Anforderungen!$L:$L,$R46))</f>
        <v>0</v>
      </c>
      <c r="K46" s="45" t="n">
        <f aca="false">IF($R46="","",INDEX(Anforderungen!$M:$M,$R46))</f>
        <v>0</v>
      </c>
      <c r="R46" s="0" t="n">
        <f aca="false">IFERROR(MATCH(ROWS($A$16:$A46),Anforderungen!$O$7:$O$2000,0)+6,"")</f>
        <v>37</v>
      </c>
    </row>
    <row r="47" customFormat="false" ht="30" hidden="false" customHeight="true" outlineLevel="0" collapsed="false">
      <c r="A47" s="45" t="str">
        <f aca="false">IF($R47="","",INDEX(Anforderungen!$B:$B,$R47))</f>
        <v>ANF-032</v>
      </c>
      <c r="B47" s="45" t="str">
        <f aca="false">IF($R47="","",INDEX(Anforderungen!$C:$C,$R47))</f>
        <v>Vertragsanlage 4</v>
      </c>
      <c r="C47" s="45" t="str">
        <f aca="false">IF($R47="","",INDEX(Anforderungen!$D:$D,$R47))</f>
        <v>§ 3.7</v>
      </c>
      <c r="D47" s="45" t="str">
        <f aca="false">IF($R47="","",INDEX(Anforderungen!$E:$E,$R47))</f>
        <v>Bau &amp; Dokumentation</v>
      </c>
      <c r="E47" s="45" t="n">
        <f aca="false">IF($R47="","",INDEX(Anforderungen!$F:$F,$R47))</f>
        <v>0</v>
      </c>
      <c r="F47" s="45" t="str">
        <f aca="false">IF($R47="","",INDEX(Anforderungen!$G:$G,$R47))</f>
        <v>Bestandsunterlagen (As-Built)</v>
      </c>
      <c r="G47" s="45" t="str">
        <f aca="false">IF($R47="","",INDEX(Anforderungen!$I:$I,$R47))</f>
        <v>Autostrom+</v>
      </c>
      <c r="H47" s="45" t="str">
        <f aca="false">IF($R47="","",INDEX(Anforderungen!$J:$J,$R47))</f>
        <v>–</v>
      </c>
      <c r="I47" s="45" t="str">
        <f aca="false">IF($R47="","",INDEX(Anforderungen!$K:$K,$R47))</f>
        <v>bewertet</v>
      </c>
      <c r="J47" s="46" t="n">
        <f aca="false">IF($R47="","",INDEX(Anforderungen!$L:$L,$R47))</f>
        <v>0</v>
      </c>
      <c r="K47" s="45" t="n">
        <f aca="false">IF($R47="","",INDEX(Anforderungen!$M:$M,$R47))</f>
        <v>0</v>
      </c>
      <c r="R47" s="0" t="n">
        <f aca="false">IFERROR(MATCH(ROWS($A$16:$A47),Anforderungen!$O$7:$O$2000,0)+6,"")</f>
        <v>38</v>
      </c>
    </row>
    <row r="48" customFormat="false" ht="30" hidden="false" customHeight="true" outlineLevel="0" collapsed="false">
      <c r="A48" s="45" t="str">
        <f aca="false">IF($R48="","",INDEX(Anforderungen!$B:$B,$R48))</f>
        <v>ANF-033</v>
      </c>
      <c r="B48" s="45" t="str">
        <f aca="false">IF($R48="","",INDEX(Anforderungen!$C:$C,$R48))</f>
        <v>Vertragsanlage 6</v>
      </c>
      <c r="C48" s="45" t="str">
        <f aca="false">IF($R48="","",INDEX(Anforderungen!$D:$D,$R48))</f>
        <v>§ 8</v>
      </c>
      <c r="D48" s="45" t="str">
        <f aca="false">IF($R48="","",INDEX(Anforderungen!$E:$E,$R48))</f>
        <v>Authentifizierung &amp; Zugang</v>
      </c>
      <c r="E48" s="45" t="str">
        <f aca="false">IF($R48="","",INDEX(Anforderungen!$F:$F,$R48))</f>
        <v>Öffnung innerhalb von 45 Sekunden.</v>
      </c>
      <c r="F48" s="45" t="str">
        <f aca="false">IF($R48="","",INDEX(Anforderungen!$G:$G,$R48))</f>
        <v>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v>
      </c>
      <c r="G48" s="45" t="str">
        <f aca="false">IF($R48="","",INDEX(Anforderungen!$I:$I,$R48))</f>
        <v>eRound / SCS</v>
      </c>
      <c r="H48" s="45" t="str">
        <f aca="false">IF($R48="","",INDEX(Anforderungen!$J:$J,$R48))</f>
        <v>Authentifizierungskomponente / Schrankensteuerung</v>
      </c>
      <c r="I48" s="45" t="str">
        <f aca="false">IF($R48="","",INDEX(Anforderungen!$K:$K,$R48))</f>
        <v>erfasst</v>
      </c>
      <c r="J48" s="46" t="n">
        <f aca="false">IF($R48="","",INDEX(Anforderungen!$L:$L,$R48))</f>
        <v>0</v>
      </c>
      <c r="K48" s="45" t="n">
        <f aca="false">IF($R48="","",INDEX(Anforderungen!$M:$M,$R48))</f>
        <v>0</v>
      </c>
      <c r="R48" s="0" t="n">
        <f aca="false">IFERROR(MATCH(ROWS($A$16:$A48),Anforderungen!$O$7:$O$2000,0)+6,"")</f>
        <v>39</v>
      </c>
    </row>
    <row r="49" customFormat="false" ht="30" hidden="false" customHeight="true" outlineLevel="0" collapsed="false">
      <c r="A49" s="45" t="str">
        <f aca="false">IF($R49="","",INDEX(Anforderungen!$B:$B,$R49))</f>
        <v>ANF-034</v>
      </c>
      <c r="B49" s="45" t="str">
        <f aca="false">IF($R49="","",INDEX(Anforderungen!$C:$C,$R49))</f>
        <v>Vertragsanlage 6</v>
      </c>
      <c r="C49" s="45" t="str">
        <f aca="false">IF($R49="","",INDEX(Anforderungen!$D:$D,$R49))</f>
        <v>§ 9 (1)</v>
      </c>
      <c r="D49" s="45" t="str">
        <f aca="false">IF($R49="","",INDEX(Anforderungen!$E:$E,$R49))</f>
        <v>Belegungsdetektion</v>
      </c>
      <c r="E49" s="45" t="str">
        <f aca="false">IF($R49="","",INDEX(Anforderungen!$F:$F,$R49))</f>
        <v>Belegungsdetektion ist gefordert.</v>
      </c>
      <c r="F49" s="45" t="str">
        <f aca="false">IF($R49="","",INDEX(Anforderungen!$G:$G,$R49))</f>
        <v>Jeder MCS- / CCS-Ladepunkt muss über eine Detektion verfügen. Die MCS- / CCSLadeplatzdetektion ist so auszustatten, dass Objekte auf dem zum MCS- / CCSLadepunkt gehörigen MCS- / CCS-Ladeplatz detektiert werden können.</v>
      </c>
      <c r="G49" s="45" t="str">
        <f aca="false">IF($R49="","",INDEX(Anforderungen!$I:$I,$R49))</f>
        <v>Schrankenhersteller / SCS</v>
      </c>
      <c r="H49" s="45" t="str">
        <f aca="false">IF($R49="","",INDEX(Anforderungen!$J:$J,$R49))</f>
        <v>Belegungsdetektion</v>
      </c>
      <c r="I49" s="45" t="str">
        <f aca="false">IF($R49="","",INDEX(Anforderungen!$K:$K,$R49))</f>
        <v>erfüllt</v>
      </c>
      <c r="J49" s="46" t="n">
        <f aca="false">IF($R49="","",INDEX(Anforderungen!$L:$L,$R49))</f>
        <v>46259</v>
      </c>
      <c r="K49" s="45" t="str">
        <f aca="false">IF($R49="","",INDEX(Anforderungen!$M:$M,$R49))</f>
        <v>Radarsensor stellt Belegung der Ladesäule bereit</v>
      </c>
      <c r="R49" s="0" t="n">
        <f aca="false">IFERROR(MATCH(ROWS($A$16:$A49),Anforderungen!$O$7:$O$2000,0)+6,"")</f>
        <v>40</v>
      </c>
    </row>
    <row r="50" customFormat="false" ht="30" hidden="false" customHeight="true" outlineLevel="0" collapsed="false">
      <c r="A50" s="45" t="str">
        <f aca="false">IF($R50="","",INDEX(Anforderungen!$B:$B,$R50))</f>
        <v>ANF-035</v>
      </c>
      <c r="B50" s="45" t="str">
        <f aca="false">IF($R50="","",INDEX(Anforderungen!$C:$C,$R50))</f>
        <v>Vertragsanlage 6</v>
      </c>
      <c r="C50" s="45" t="str">
        <f aca="false">IF($R50="","",INDEX(Anforderungen!$D:$D,$R50))</f>
        <v>§ 9 (2)</v>
      </c>
      <c r="D50" s="45" t="str">
        <f aca="false">IF($R50="","",INDEX(Anforderungen!$E:$E,$R50))</f>
        <v>Belegungsdetektion</v>
      </c>
      <c r="E50" s="45" t="str">
        <f aca="false">IF($R50="","",INDEX(Anforderungen!$F:$F,$R50))</f>
        <v>Roaming-Infos müssen veröffentlicht werden
Pönalisierung gefordert.
Entfernung Falschparker gefordert.</v>
      </c>
      <c r="F50" s="45" t="str">
        <f aca="false">IF($R50="","",INDEX(Anforderungen!$G:$G,$R50))</f>
        <v>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v>
      </c>
      <c r="G50" s="45" t="str">
        <f aca="false">IF($R50="","",INDEX(Anforderungen!$I:$I,$R50))</f>
        <v>eRound / SCS</v>
      </c>
      <c r="H50" s="45" t="str">
        <f aca="false">IF($R50="","",INDEX(Anforderungen!$J:$J,$R50))</f>
        <v>OCPI Buchungskalender / Kennzeichenerfassung / Pönalisierungssystem</v>
      </c>
      <c r="I50" s="45" t="str">
        <f aca="false">IF($R50="","",INDEX(Anforderungen!$K:$K,$R50))</f>
        <v>erfasst</v>
      </c>
      <c r="J50" s="46" t="n">
        <f aca="false">IF($R50="","",INDEX(Anforderungen!$L:$L,$R50))</f>
        <v>0</v>
      </c>
      <c r="K50" s="45" t="n">
        <f aca="false">IF($R50="","",INDEX(Anforderungen!$M:$M,$R50))</f>
        <v>0</v>
      </c>
      <c r="R50" s="0" t="n">
        <f aca="false">IFERROR(MATCH(ROWS($A$16:$A50),Anforderungen!$O$7:$O$2000,0)+6,"")</f>
        <v>41</v>
      </c>
    </row>
    <row r="51" customFormat="false" ht="30" hidden="false" customHeight="true" outlineLevel="0" collapsed="false">
      <c r="A51" s="45" t="str">
        <f aca="false">IF($R51="","",INDEX(Anforderungen!$B:$B,$R51))</f>
        <v>ANF-036</v>
      </c>
      <c r="B51" s="45" t="str">
        <f aca="false">IF($R51="","",INDEX(Anforderungen!$C:$C,$R51))</f>
        <v>Vertragsanlage 6</v>
      </c>
      <c r="C51" s="45" t="str">
        <f aca="false">IF($R51="","",INDEX(Anforderungen!$D:$D,$R51))</f>
        <v>§ 10 (1)</v>
      </c>
      <c r="D51" s="45" t="str">
        <f aca="false">IF($R51="","",INDEX(Anforderungen!$E:$E,$R51))</f>
        <v>Zufahrt &amp; Schranke</v>
      </c>
      <c r="E51" s="45" t="str">
        <f aca="false">IF($R51="","",INDEX(Anforderungen!$F:$F,$R51))</f>
        <v>Einfahrtsschranke
Ausfahrtsschranke
Bei Nichtbelegung beide Schranken geschlossen.</v>
      </c>
      <c r="F51" s="45" t="str">
        <f aca="false">IF($R51="","",INDEX(Anforderungen!$G:$G,$R51))</f>
        <v>Jeder Ladeplatz ist mit einer Einfahrts- und einer Ausfahrtsschranke auszustatten. Die Schranken sind wie folgt zu betreiben:
1) Grundstellung: Beide Schranken sind bei Nichtbelegung des Ladeplatzes geschlossen.</v>
      </c>
      <c r="G51" s="45" t="str">
        <f aca="false">IF($R51="","",INDEX(Anforderungen!$I:$I,$R51))</f>
        <v>Schrankenhersteller</v>
      </c>
      <c r="H51" s="45" t="str">
        <f aca="false">IF($R51="","",INDEX(Anforderungen!$J:$J,$R51))</f>
        <v>Schrankensteuerung</v>
      </c>
      <c r="I51" s="45" t="str">
        <f aca="false">IF($R51="","",INDEX(Anforderungen!$K:$K,$R51))</f>
        <v>erfüllt</v>
      </c>
      <c r="J51" s="46" t="n">
        <f aca="false">IF($R51="","",INDEX(Anforderungen!$L:$L,$R51))</f>
        <v>46259</v>
      </c>
      <c r="K51" s="45" t="str">
        <f aca="false">IF($R51="","",INDEX(Anforderungen!$M:$M,$R51))</f>
        <v>Schranke wird konfiguriert, sodass diese zu ist</v>
      </c>
      <c r="R51" s="0" t="n">
        <f aca="false">IFERROR(MATCH(ROWS($A$16:$A51),Anforderungen!$O$7:$O$2000,0)+6,"")</f>
        <v>42</v>
      </c>
    </row>
    <row r="52" customFormat="false" ht="30" hidden="false" customHeight="true" outlineLevel="0" collapsed="false">
      <c r="A52" s="45" t="str">
        <f aca="false">IF($R52="","",INDEX(Anforderungen!$B:$B,$R52))</f>
        <v>ANF-037</v>
      </c>
      <c r="B52" s="45" t="str">
        <f aca="false">IF($R52="","",INDEX(Anforderungen!$C:$C,$R52))</f>
        <v>Vertragsanlage 6</v>
      </c>
      <c r="C52" s="45" t="str">
        <f aca="false">IF($R52="","",INDEX(Anforderungen!$D:$D,$R52))</f>
        <v>§ 10 (2)</v>
      </c>
      <c r="D52" s="45" t="str">
        <f aca="false">IF($R52="","",INDEX(Anforderungen!$E:$E,$R52))</f>
        <v>Zufahrt &amp; Schranke</v>
      </c>
      <c r="E52" s="45" t="str">
        <f aca="false">IF($R52="","",INDEX(Anforderungen!$F:$F,$R52))</f>
        <v>Einfahrtsschranke öffnet nach Authentifizierung.</v>
      </c>
      <c r="F52" s="45" t="str">
        <f aca="false">IF($R52="","",INDEX(Anforderungen!$G:$G,$R52))</f>
        <v>2) Einfahrt: Die Einfahrtschranke öffnet sich nach erfolgreicher Authentifizierung und gewährt Zugang zum Ladeplatz. Sie bleibt während des gesamten Ladevorgangs geöffnet.</v>
      </c>
      <c r="G52" s="45" t="str">
        <f aca="false">IF($R52="","",INDEX(Anforderungen!$I:$I,$R52))</f>
        <v>eRound / SCS</v>
      </c>
      <c r="H52" s="45" t="str">
        <f aca="false">IF($R52="","",INDEX(Anforderungen!$J:$J,$R52))</f>
        <v>Authentifizierungskomponente / Schrankensteuerung</v>
      </c>
      <c r="I52" s="45" t="str">
        <f aca="false">IF($R52="","",INDEX(Anforderungen!$K:$K,$R52))</f>
        <v>erfüllt</v>
      </c>
      <c r="J52" s="46" t="n">
        <f aca="false">IF($R52="","",INDEX(Anforderungen!$L:$L,$R52))</f>
        <v>46259</v>
      </c>
      <c r="K52" s="45" t="str">
        <f aca="false">IF($R52="","",INDEX(Anforderungen!$M:$M,$R52))</f>
        <v>Radarsensor erkennt Einfahrt bleibt geöffnet bis die Zone wieder frei ist.</v>
      </c>
      <c r="R52" s="0" t="n">
        <f aca="false">IFERROR(MATCH(ROWS($A$16:$A52),Anforderungen!$O$7:$O$2000,0)+6,"")</f>
        <v>43</v>
      </c>
    </row>
    <row r="53" customFormat="false" ht="30" hidden="false" customHeight="true" outlineLevel="0" collapsed="false">
      <c r="A53" s="45" t="str">
        <f aca="false">IF($R53="","",INDEX(Anforderungen!$B:$B,$R53))</f>
        <v>ANF-038</v>
      </c>
      <c r="B53" s="45" t="str">
        <f aca="false">IF($R53="","",INDEX(Anforderungen!$C:$C,$R53))</f>
        <v>Vertragsanlage 6</v>
      </c>
      <c r="C53" s="45" t="str">
        <f aca="false">IF($R53="","",INDEX(Anforderungen!$D:$D,$R53))</f>
        <v>§ 10 (3)</v>
      </c>
      <c r="D53" s="45" t="str">
        <f aca="false">IF($R53="","",INDEX(Anforderungen!$E:$E,$R53))</f>
        <v>Zufahrt &amp; Schranke</v>
      </c>
      <c r="E53" s="45" t="str">
        <f aca="false">IF($R53="","",INDEX(Anforderungen!$F:$F,$R53))</f>
        <v>Ausfahrtsschranke öffnet bei Ankunft LKW.</v>
      </c>
      <c r="F53" s="45" t="str">
        <f aca="false">IF($R53="","",INDEX(Anforderungen!$G:$G,$R53))</f>
        <v>3) Ausfahrtsschaltung: Sobald der Lkw seine Parkposition auf dem Ladeplatz erreicht hat, öffnet sich die Ausfahrtsschranke.</v>
      </c>
      <c r="G53" s="45" t="str">
        <f aca="false">IF($R53="","",INDEX(Anforderungen!$I:$I,$R53))</f>
        <v>Schrankenhersteller / SCS</v>
      </c>
      <c r="H53" s="45" t="str">
        <f aca="false">IF($R53="","",INDEX(Anforderungen!$J:$J,$R53))</f>
        <v>Schrankensteuerung</v>
      </c>
      <c r="I53" s="45" t="str">
        <f aca="false">IF($R53="","",INDEX(Anforderungen!$K:$K,$R53))</f>
        <v>erfüllt</v>
      </c>
      <c r="J53" s="46" t="n">
        <f aca="false">IF($R53="","",INDEX(Anforderungen!$L:$L,$R53))</f>
        <v>46259</v>
      </c>
      <c r="K53" s="45" t="str">
        <f aca="false">IF($R53="","",INDEX(Anforderungen!$M:$M,$R53))</f>
        <v>Die Schranke kann selbstständig öffnen und schließen</v>
      </c>
      <c r="R53" s="0" t="n">
        <f aca="false">IFERROR(MATCH(ROWS($A$16:$A53),Anforderungen!$O$7:$O$2000,0)+6,"")</f>
        <v>44</v>
      </c>
    </row>
    <row r="54" customFormat="false" ht="30" hidden="false" customHeight="true" outlineLevel="0" collapsed="false">
      <c r="A54" s="45" t="str">
        <f aca="false">IF($R54="","",INDEX(Anforderungen!$B:$B,$R54))</f>
        <v>ANF-039</v>
      </c>
      <c r="B54" s="45" t="str">
        <f aca="false">IF($R54="","",INDEX(Anforderungen!$C:$C,$R54))</f>
        <v>Vertragsanlage 6</v>
      </c>
      <c r="C54" s="45" t="str">
        <f aca="false">IF($R54="","",INDEX(Anforderungen!$D:$D,$R54))</f>
        <v>§ 10 (4)</v>
      </c>
      <c r="D54" s="45" t="str">
        <f aca="false">IF($R54="","",INDEX(Anforderungen!$E:$E,$R54))</f>
        <v>Zufahrt &amp; Schranke</v>
      </c>
      <c r="E54" s="45" t="str">
        <f aca="false">IF($R54="","",INDEX(Anforderungen!$F:$F,$R54))</f>
        <v>Ausfahrtsschranke schließt nach Verlassen des LKW.
Fernsteuerung der Schranken.</v>
      </c>
      <c r="F54" s="45" t="str">
        <f aca="false">IF($R54="","",INDEX(Anforderungen!$G:$G,$R54))</f>
        <v>4) Verlassen des Ladeplatzes: Nach Abschluss des Ladevorgangs und dem Verlassen des Ladeplatzes schließt sich die Ausfahrtsschranke wieder. Zudem ist dafür zu sorgen, dass die Einfahrts- und Ausfahrtsschranken im Notfall geöffnet werden können</v>
      </c>
      <c r="G54" s="45" t="str">
        <f aca="false">IF($R54="","",INDEX(Anforderungen!$I:$I,$R54))</f>
        <v>Schrankenhersteller</v>
      </c>
      <c r="H54" s="45" t="str">
        <f aca="false">IF($R54="","",INDEX(Anforderungen!$J:$J,$R54))</f>
        <v>Schrankensteuerung</v>
      </c>
      <c r="I54" s="45" t="str">
        <f aca="false">IF($R54="","",INDEX(Anforderungen!$K:$K,$R54))</f>
        <v>erfüllt</v>
      </c>
      <c r="J54" s="46" t="n">
        <f aca="false">IF($R54="","",INDEX(Anforderungen!$L:$L,$R54))</f>
        <v>46259</v>
      </c>
      <c r="K54" s="45" t="str">
        <f aca="false">IF($R54="","",INDEX(Anforderungen!$M:$M,$R54))</f>
        <v>Schranke schließt von alleine</v>
      </c>
      <c r="R54" s="0" t="n">
        <f aca="false">IFERROR(MATCH(ROWS($A$16:$A54),Anforderungen!$O$7:$O$2000,0)+6,"")</f>
        <v>45</v>
      </c>
    </row>
    <row r="55" customFormat="false" ht="30" hidden="false" customHeight="true" outlineLevel="0" collapsed="false">
      <c r="A55" s="45" t="str">
        <f aca="false">IF($R55="","",INDEX(Anforderungen!$B:$B,$R55))</f>
        <v>ANF-040</v>
      </c>
      <c r="B55" s="45" t="str">
        <f aca="false">IF($R55="","",INDEX(Anforderungen!$C:$C,$R55))</f>
        <v>Vertragsanlage 6</v>
      </c>
      <c r="C55" s="45" t="str">
        <f aca="false">IF($R55="","",INDEX(Anforderungen!$D:$D,$R55))</f>
        <v>§ 4</v>
      </c>
      <c r="D55" s="45" t="str">
        <f aca="false">IF($R55="","",INDEX(Anforderungen!$E:$E,$R55))</f>
        <v>Anzeige &amp; Beschilderung</v>
      </c>
      <c r="E55" s="45" t="str">
        <f aca="false">IF($R55="","",INDEX(Anforderungen!$F:$F,$R55))</f>
        <v>Bezahlterminal für mehrere MCS/CCS Ladepunkte möglich.</v>
      </c>
      <c r="F55" s="45" t="str">
        <f aca="false">IF($R55="","",INDEX(Anforderungen!$G:$G,$R55))</f>
        <v>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v>
      </c>
      <c r="G55" s="45" t="str">
        <f aca="false">IF($R55="","",INDEX(Anforderungen!$I:$I,$R55))</f>
        <v>eRound</v>
      </c>
      <c r="H55" s="45" t="str">
        <f aca="false">IF($R55="","",INDEX(Anforderungen!$J:$J,$R55))</f>
        <v>Authentifizierungskomponente</v>
      </c>
      <c r="I55" s="45" t="str">
        <f aca="false">IF($R55="","",INDEX(Anforderungen!$K:$K,$R55))</f>
        <v>erfüllt</v>
      </c>
      <c r="J55" s="46" t="n">
        <f aca="false">IF($R55="","",INDEX(Anforderungen!$L:$L,$R55))</f>
        <v>46259</v>
      </c>
      <c r="K55" s="45" t="str">
        <f aca="false">IF($R55="","",INDEX(Anforderungen!$M:$M,$R55))</f>
        <v>Jede LIS hat ein Display, rest in KANN-Anforderung</v>
      </c>
      <c r="R55" s="0" t="n">
        <f aca="false">IFERROR(MATCH(ROWS($A$16:$A55),Anforderungen!$O$7:$O$2000,0)+6,"")</f>
        <v>46</v>
      </c>
    </row>
    <row r="56" customFormat="false" ht="30" hidden="false" customHeight="true" outlineLevel="0" collapsed="false">
      <c r="A56" s="45" t="str">
        <f aca="false">IF($R56="","",INDEX(Anforderungen!$B:$B,$R56))</f>
        <v>ANF-041</v>
      </c>
      <c r="B56" s="45" t="str">
        <f aca="false">IF($R56="","",INDEX(Anforderungen!$C:$C,$R56))</f>
        <v>Vertragsanlage 10</v>
      </c>
      <c r="C56" s="45" t="str">
        <f aca="false">IF($R56="","",INDEX(Anforderungen!$D:$D,$R56))</f>
        <v>§ 3.1</v>
      </c>
      <c r="D56" s="45" t="str">
        <f aca="false">IF($R56="","",INDEX(Anforderungen!$E:$E,$R56))</f>
        <v>Monitoring &amp; Reporting</v>
      </c>
      <c r="E56" s="45" t="str">
        <f aca="false">IF($R56="","",INDEX(Anforderungen!$F:$F,$R56))</f>
        <v>Benennung Datenpunkte zu Reservierungen im Monatsbericht.</v>
      </c>
      <c r="F56" s="45" t="str">
        <f aca="false">IF($R56="","",INDEX(Anforderungen!$G:$G,$R56))</f>
        <v>ab_total_reservations Anzahl Reservierungen je Ladepunkt ab_total_reservations_cancelled Anzahl stornierter Reservierungen je Ladepunkt ab_reservations_no-show Anzahl nicht eingehaltener Reservierungen je Ladepunkt</v>
      </c>
      <c r="G56" s="45" t="str">
        <f aca="false">IF($R56="","",INDEX(Anforderungen!$I:$I,$R56))</f>
        <v>eRound</v>
      </c>
      <c r="H56" s="45" t="str">
        <f aca="false">IF($R56="","",INDEX(Anforderungen!$J:$J,$R56))</f>
        <v>Monitoring</v>
      </c>
      <c r="I56" s="45" t="str">
        <f aca="false">IF($R56="","",INDEX(Anforderungen!$K:$K,$R56))</f>
        <v>erfasst</v>
      </c>
      <c r="J56" s="46" t="n">
        <f aca="false">IF($R56="","",INDEX(Anforderungen!$L:$L,$R56))</f>
        <v>0</v>
      </c>
      <c r="K56" s="45" t="n">
        <f aca="false">IF($R56="","",INDEX(Anforderungen!$M:$M,$R56))</f>
        <v>0</v>
      </c>
      <c r="R56" s="0" t="n">
        <f aca="false">IFERROR(MATCH(ROWS($A$16:$A56),Anforderungen!$O$7:$O$2000,0)+6,"")</f>
        <v>47</v>
      </c>
    </row>
    <row r="57" customFormat="false" ht="30" hidden="false" customHeight="true" outlineLevel="0" collapsed="false">
      <c r="A57" s="45" t="str">
        <f aca="false">IF($R57="","",INDEX(Anforderungen!$B:$B,$R57))</f>
        <v>ANF-042</v>
      </c>
      <c r="B57" s="45" t="str">
        <f aca="false">IF($R57="","",INDEX(Anforderungen!$C:$C,$R57))</f>
        <v>Vertragsanlage 10</v>
      </c>
      <c r="C57" s="45" t="str">
        <f aca="false">IF($R57="","",INDEX(Anforderungen!$D:$D,$R57))</f>
        <v>§ 5 (d)</v>
      </c>
      <c r="D57" s="45" t="str">
        <f aca="false">IF($R57="","",INDEX(Anforderungen!$E:$E,$R57))</f>
        <v>Monitoring &amp; Reporting</v>
      </c>
      <c r="E57" s="45" t="str">
        <f aca="false">IF($R57="","",INDEX(Anforderungen!$F:$F,$R57))</f>
        <v>Benennung Datenpunkte zu Reservierungen im Monatsbericht.</v>
      </c>
      <c r="F57" s="45" t="str">
        <f aca="false">IF($R57="","",INDEX(Anforderungen!$G:$G,$R57))</f>
        <v>total_reservation_cost Gesamtsumme aller Kosten im Zusammenhang mit der Reservierung eines Ladepunkts, einschließlich Festpreisbestandteilen (€)</v>
      </c>
      <c r="G57" s="45" t="str">
        <f aca="false">IF($R57="","",INDEX(Anforderungen!$I:$I,$R57))</f>
        <v>eRound</v>
      </c>
      <c r="H57" s="45" t="str">
        <f aca="false">IF($R57="","",INDEX(Anforderungen!$J:$J,$R57))</f>
        <v>Monitoring</v>
      </c>
      <c r="I57" s="45" t="str">
        <f aca="false">IF($R57="","",INDEX(Anforderungen!$K:$K,$R57))</f>
        <v>erfasst</v>
      </c>
      <c r="J57" s="46" t="n">
        <f aca="false">IF($R57="","",INDEX(Anforderungen!$L:$L,$R57))</f>
        <v>0</v>
      </c>
      <c r="K57" s="45" t="n">
        <f aca="false">IF($R57="","",INDEX(Anforderungen!$M:$M,$R57))</f>
        <v>0</v>
      </c>
      <c r="R57" s="0" t="n">
        <f aca="false">IFERROR(MATCH(ROWS($A$16:$A57),Anforderungen!$O$7:$O$2000,0)+6,"")</f>
        <v>48</v>
      </c>
    </row>
    <row r="58" customFormat="false" ht="30" hidden="false" customHeight="true" outlineLevel="0" collapsed="false">
      <c r="A58" s="45" t="str">
        <f aca="false">IF($R58="","",INDEX(Anforderungen!$B:$B,$R58))</f>
        <v>ANF-043</v>
      </c>
      <c r="B58" s="45" t="str">
        <f aca="false">IF($R58="","",INDEX(Anforderungen!$C:$C,$R58))</f>
        <v>Vertragsanlage 13</v>
      </c>
      <c r="C58" s="45" t="str">
        <f aca="false">IF($R58="","",INDEX(Anforderungen!$D:$D,$R58))</f>
        <v>§ 8 (1)</v>
      </c>
      <c r="D58" s="45" t="str">
        <f aca="false">IF($R58="","",INDEX(Anforderungen!$E:$E,$R58))</f>
        <v>Reservierung</v>
      </c>
      <c r="E58" s="45" t="str">
        <f aca="false">IF($R58="","",INDEX(Anforderungen!$F:$F,$R58))</f>
        <v>Mehrfachbuchungen unterbinden</v>
      </c>
      <c r="F58" s="45" t="str">
        <f aca="false">IF($R58="","",INDEX(Anforderungen!$G:$G,$R58))</f>
        <v>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58" s="45" t="str">
        <f aca="false">IF($R58="","",INDEX(Anforderungen!$I:$I,$R58))</f>
        <v>eRound</v>
      </c>
      <c r="H58" s="45" t="str">
        <f aca="false">IF($R58="","",INDEX(Anforderungen!$J:$J,$R58))</f>
        <v>OCPI Buchungskalender</v>
      </c>
      <c r="I58" s="45" t="str">
        <f aca="false">IF($R58="","",INDEX(Anforderungen!$K:$K,$R58))</f>
        <v>erfasst</v>
      </c>
      <c r="J58" s="46" t="n">
        <f aca="false">IF($R58="","",INDEX(Anforderungen!$L:$L,$R58))</f>
        <v>0</v>
      </c>
      <c r="K58" s="45" t="n">
        <f aca="false">IF($R58="","",INDEX(Anforderungen!$M:$M,$R58))</f>
        <v>0</v>
      </c>
      <c r="R58" s="0" t="n">
        <f aca="false">IFERROR(MATCH(ROWS($A$16:$A58),Anforderungen!$O$7:$O$2000,0)+6,"")</f>
        <v>49</v>
      </c>
    </row>
    <row r="59" customFormat="false" ht="30" hidden="false" customHeight="true" outlineLevel="0" collapsed="false">
      <c r="A59" s="45" t="str">
        <f aca="false">IF($R59="","",INDEX(Anforderungen!$B:$B,$R59))</f>
        <v>ANF-044</v>
      </c>
      <c r="B59" s="45" t="str">
        <f aca="false">IF($R59="","",INDEX(Anforderungen!$C:$C,$R59))</f>
        <v>Bieterfragenkatalog</v>
      </c>
      <c r="C59" s="45" t="str">
        <f aca="false">IF($R59="","",INDEX(Anforderungen!$D:$D,$R59))</f>
        <v>§ 351</v>
      </c>
      <c r="D59" s="45" t="str">
        <f aca="false">IF($R59="","",INDEX(Anforderungen!$E:$E,$R59))</f>
        <v>Belegungsdetektion</v>
      </c>
      <c r="E59" s="45" t="str">
        <f aca="false">IF($R59="","",INDEX(Anforderungen!$F:$F,$R59))</f>
        <v>Belegungsdetektion ist gefordert.</v>
      </c>
      <c r="F59" s="45" t="str">
        <f aca="false">IF($R59="","",INDEX(Anforderungen!$G:$G,$R59))</f>
        <v>Nein, auch bei installierten Zufahrtsbeschränkungen sind Sensoren als Redundanz zum Zweck der Detektion des Belegungsstatus des Ladeplatzes vorzusehen.</v>
      </c>
      <c r="G59" s="45" t="str">
        <f aca="false">IF($R59="","",INDEX(Anforderungen!$I:$I,$R59))</f>
        <v>SCS</v>
      </c>
      <c r="H59" s="45" t="str">
        <f aca="false">IF($R59="","",INDEX(Anforderungen!$J:$J,$R59))</f>
        <v>Belegungsdetektion</v>
      </c>
      <c r="I59" s="45" t="str">
        <f aca="false">IF($R59="","",INDEX(Anforderungen!$K:$K,$R59))</f>
        <v>erfasst</v>
      </c>
      <c r="J59" s="46" t="n">
        <f aca="false">IF($R59="","",INDEX(Anforderungen!$L:$L,$R59))</f>
        <v>0</v>
      </c>
      <c r="K59" s="45" t="n">
        <f aca="false">IF($R59="","",INDEX(Anforderungen!$M:$M,$R59))</f>
        <v>0</v>
      </c>
      <c r="R59" s="0" t="n">
        <f aca="false">IFERROR(MATCH(ROWS($A$16:$A59),Anforderungen!$O$7:$O$2000,0)+6,"")</f>
        <v>50</v>
      </c>
    </row>
    <row r="60" customFormat="false" ht="30" hidden="false" customHeight="true" outlineLevel="0" collapsed="false">
      <c r="A60" s="45" t="str">
        <f aca="false">IF($R60="","",INDEX(Anforderungen!$B:$B,$R60))</f>
        <v>ANF-045</v>
      </c>
      <c r="B60" s="45" t="str">
        <f aca="false">IF($R60="","",INDEX(Anforderungen!$C:$C,$R60))</f>
        <v>Bieterfragenkatalog</v>
      </c>
      <c r="C60" s="45" t="str">
        <f aca="false">IF($R60="","",INDEX(Anforderungen!$D:$D,$R60))</f>
        <v>§ 373</v>
      </c>
      <c r="D60" s="45" t="str">
        <f aca="false">IF($R60="","",INDEX(Anforderungen!$E:$E,$R60))</f>
        <v>Reservierung</v>
      </c>
      <c r="E60" s="45" t="str">
        <f aca="false">IF($R60="","",INDEX(Anforderungen!$F:$F,$R60))</f>
        <v>OCPI Schnittstelle für Reservierungen ist gefordert.</v>
      </c>
      <c r="F60" s="45" t="str">
        <f aca="false">IF($R60="","",INDEX(Anforderungen!$G:$G,$R60))</f>
        <v>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v>
      </c>
      <c r="G60" s="45" t="str">
        <f aca="false">IF($R60="","",INDEX(Anforderungen!$I:$I,$R60))</f>
        <v>eRound</v>
      </c>
      <c r="H60" s="45" t="str">
        <f aca="false">IF($R60="","",INDEX(Anforderungen!$J:$J,$R60))</f>
        <v>OCPI Buchungskalender</v>
      </c>
      <c r="I60" s="45" t="str">
        <f aca="false">IF($R60="","",INDEX(Anforderungen!$K:$K,$R60))</f>
        <v>erfasst</v>
      </c>
      <c r="J60" s="46" t="n">
        <f aca="false">IF($R60="","",INDEX(Anforderungen!$L:$L,$R60))</f>
        <v>0</v>
      </c>
      <c r="K60" s="45" t="n">
        <f aca="false">IF($R60="","",INDEX(Anforderungen!$M:$M,$R60))</f>
        <v>0</v>
      </c>
      <c r="R60" s="0" t="n">
        <f aca="false">IFERROR(MATCH(ROWS($A$16:$A60),Anforderungen!$O$7:$O$2000,0)+6,"")</f>
        <v>51</v>
      </c>
    </row>
    <row r="61" customFormat="false" ht="30" hidden="false" customHeight="true" outlineLevel="0" collapsed="false">
      <c r="A61" s="45" t="str">
        <f aca="false">IF($R61="","",INDEX(Anforderungen!$B:$B,$R61))</f>
        <v>ANF-046</v>
      </c>
      <c r="B61" s="45" t="str">
        <f aca="false">IF($R61="","",INDEX(Anforderungen!$C:$C,$R61))</f>
        <v>Bieterfragenkatalog</v>
      </c>
      <c r="C61" s="45" t="str">
        <f aca="false">IF($R61="","",INDEX(Anforderungen!$D:$D,$R61))</f>
        <v>§ 374</v>
      </c>
      <c r="D61" s="45" t="str">
        <f aca="false">IF($R61="","",INDEX(Anforderungen!$E:$E,$R61))</f>
        <v>Reservierung</v>
      </c>
      <c r="E61" s="45" t="str">
        <f aca="false">IF($R61="","",INDEX(Anforderungen!$F:$F,$R61))</f>
        <v>Anbindung muss deutschlandweit sichergestellt sein.</v>
      </c>
      <c r="F61" s="45" t="str">
        <f aca="false">IF($R61="","",INDEX(Anforderungen!$G:$G,$R61))</f>
        <v>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v>
      </c>
      <c r="G61" s="45" t="str">
        <f aca="false">IF($R61="","",INDEX(Anforderungen!$I:$I,$R61))</f>
        <v>Reservierungsplattform</v>
      </c>
      <c r="H61" s="45" t="str">
        <f aca="false">IF($R61="","",INDEX(Anforderungen!$J:$J,$R61))</f>
        <v>Anbindung</v>
      </c>
      <c r="I61" s="45" t="str">
        <f aca="false">IF($R61="","",INDEX(Anforderungen!$K:$K,$R61))</f>
        <v>erfasst</v>
      </c>
      <c r="J61" s="46" t="n">
        <f aca="false">IF($R61="","",INDEX(Anforderungen!$L:$L,$R61))</f>
        <v>0</v>
      </c>
      <c r="K61" s="45" t="n">
        <f aca="false">IF($R61="","",INDEX(Anforderungen!$M:$M,$R61))</f>
        <v>0</v>
      </c>
      <c r="R61" s="0" t="n">
        <f aca="false">IFERROR(MATCH(ROWS($A$16:$A61),Anforderungen!$O$7:$O$2000,0)+6,"")</f>
        <v>52</v>
      </c>
    </row>
    <row r="62" customFormat="false" ht="30" hidden="false" customHeight="true" outlineLevel="0" collapsed="false">
      <c r="A62" s="45" t="str">
        <f aca="false">IF($R62="","",INDEX(Anforderungen!$B:$B,$R62))</f>
        <v>ANF-047</v>
      </c>
      <c r="B62" s="45" t="str">
        <f aca="false">IF($R62="","",INDEX(Anforderungen!$C:$C,$R62))</f>
        <v>Bieterfragenkatalog</v>
      </c>
      <c r="C62" s="45" t="str">
        <f aca="false">IF($R62="","",INDEX(Anforderungen!$D:$D,$R62))</f>
        <v>§ 375</v>
      </c>
      <c r="D62" s="45" t="str">
        <f aca="false">IF($R62="","",INDEX(Anforderungen!$E:$E,$R62))</f>
        <v>Nutzungszeit &amp; Entgelte</v>
      </c>
      <c r="E62" s="45" t="n">
        <f aca="false">IF($R62="","",INDEX(Anforderungen!$F:$F,$R62))</f>
        <v>0</v>
      </c>
      <c r="F62" s="45" t="str">
        <f aca="false">IF($R62="","",INDEX(Anforderungen!$G:$G,$R62))</f>
        <v>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v>
      </c>
      <c r="G62" s="45" t="str">
        <f aca="false">IF($R62="","",INDEX(Anforderungen!$I:$I,$R62))</f>
        <v>offen</v>
      </c>
      <c r="H62" s="45" t="str">
        <f aca="false">IF($R62="","",INDEX(Anforderungen!$J:$J,$R62))</f>
        <v>–</v>
      </c>
      <c r="I62" s="45" t="str">
        <f aca="false">IF($R62="","",INDEX(Anforderungen!$K:$K,$R62))</f>
        <v>erfasst</v>
      </c>
      <c r="J62" s="46" t="n">
        <f aca="false">IF($R62="","",INDEX(Anforderungen!$L:$L,$R62))</f>
        <v>0</v>
      </c>
      <c r="K62" s="45" t="n">
        <f aca="false">IF($R62="","",INDEX(Anforderungen!$M:$M,$R62))</f>
        <v>0</v>
      </c>
      <c r="R62" s="0" t="n">
        <f aca="false">IFERROR(MATCH(ROWS($A$16:$A62),Anforderungen!$O$7:$O$2000,0)+6,"")</f>
        <v>53</v>
      </c>
    </row>
    <row r="63" customFormat="false" ht="30" hidden="false" customHeight="true" outlineLevel="0" collapsed="false">
      <c r="A63" s="45" t="str">
        <f aca="false">IF($R63="","",INDEX(Anforderungen!$B:$B,$R63))</f>
        <v>ANF-048</v>
      </c>
      <c r="B63" s="45" t="str">
        <f aca="false">IF($R63="","",INDEX(Anforderungen!$C:$C,$R63))</f>
        <v>Bieterfragenkatalog</v>
      </c>
      <c r="C63" s="45" t="str">
        <f aca="false">IF($R63="","",INDEX(Anforderungen!$D:$D,$R63))</f>
        <v>§ 376</v>
      </c>
      <c r="D63" s="45" t="str">
        <f aca="false">IF($R63="","",INDEX(Anforderungen!$E:$E,$R63))</f>
        <v>Nutzungszeit &amp; Entgelte</v>
      </c>
      <c r="E63" s="45" t="n">
        <f aca="false">IF($R63="","",INDEX(Anforderungen!$F:$F,$R63))</f>
        <v>0</v>
      </c>
      <c r="F63" s="45" t="str">
        <f aca="false">IF($R63="","",INDEX(Anforderungen!$G:$G,$R63))</f>
        <v>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v>
      </c>
      <c r="G63" s="45" t="str">
        <f aca="false">IF($R63="","",INDEX(Anforderungen!$I:$I,$R63))</f>
        <v>offen</v>
      </c>
      <c r="H63" s="45" t="str">
        <f aca="false">IF($R63="","",INDEX(Anforderungen!$J:$J,$R63))</f>
        <v>–</v>
      </c>
      <c r="I63" s="45" t="str">
        <f aca="false">IF($R63="","",INDEX(Anforderungen!$K:$K,$R63))</f>
        <v>erfasst</v>
      </c>
      <c r="J63" s="46" t="n">
        <f aca="false">IF($R63="","",INDEX(Anforderungen!$L:$L,$R63))</f>
        <v>0</v>
      </c>
      <c r="K63" s="45" t="n">
        <f aca="false">IF($R63="","",INDEX(Anforderungen!$M:$M,$R63))</f>
        <v>0</v>
      </c>
      <c r="R63" s="0" t="n">
        <f aca="false">IFERROR(MATCH(ROWS($A$16:$A63),Anforderungen!$O$7:$O$2000,0)+6,"")</f>
        <v>54</v>
      </c>
    </row>
    <row r="64" customFormat="false" ht="30" hidden="false" customHeight="true" outlineLevel="0" collapsed="false">
      <c r="A64" s="45" t="str">
        <f aca="false">IF($R64="","",INDEX(Anforderungen!$B:$B,$R64))</f>
        <v>ANF-049</v>
      </c>
      <c r="B64" s="45" t="str">
        <f aca="false">IF($R64="","",INDEX(Anforderungen!$C:$C,$R64))</f>
        <v>Bieterfragenkatalog</v>
      </c>
      <c r="C64" s="45" t="str">
        <f aca="false">IF($R64="","",INDEX(Anforderungen!$D:$D,$R64))</f>
        <v>§ 377</v>
      </c>
      <c r="D64" s="45" t="str">
        <f aca="false">IF($R64="","",INDEX(Anforderungen!$E:$E,$R64))</f>
        <v>Reservierung</v>
      </c>
      <c r="E64" s="45" t="n">
        <f aca="false">IF($R64="","",INDEX(Anforderungen!$F:$F,$R64))</f>
        <v>0</v>
      </c>
      <c r="F64" s="45" t="str">
        <f aca="false">IF($R64="","",INDEX(Anforderungen!$G:$G,$R64))</f>
        <v>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v>
      </c>
      <c r="G64" s="45" t="str">
        <f aca="false">IF($R64="","",INDEX(Anforderungen!$I:$I,$R64))</f>
        <v>offen</v>
      </c>
      <c r="H64" s="45" t="str">
        <f aca="false">IF($R64="","",INDEX(Anforderungen!$J:$J,$R64))</f>
        <v>–</v>
      </c>
      <c r="I64" s="45" t="str">
        <f aca="false">IF($R64="","",INDEX(Anforderungen!$K:$K,$R64))</f>
        <v>erfasst</v>
      </c>
      <c r="J64" s="46" t="n">
        <f aca="false">IF($R64="","",INDEX(Anforderungen!$L:$L,$R64))</f>
        <v>0</v>
      </c>
      <c r="K64" s="45" t="n">
        <f aca="false">IF($R64="","",INDEX(Anforderungen!$M:$M,$R64))</f>
        <v>0</v>
      </c>
      <c r="R64" s="0" t="n">
        <f aca="false">IFERROR(MATCH(ROWS($A$16:$A64),Anforderungen!$O$7:$O$2000,0)+6,"")</f>
        <v>55</v>
      </c>
    </row>
    <row r="65" customFormat="false" ht="30" hidden="false" customHeight="true" outlineLevel="0" collapsed="false">
      <c r="A65" s="45" t="str">
        <f aca="false">IF($R65="","",INDEX(Anforderungen!$B:$B,$R65))</f>
        <v>ANF-050</v>
      </c>
      <c r="B65" s="45" t="str">
        <f aca="false">IF($R65="","",INDEX(Anforderungen!$C:$C,$R65))</f>
        <v>Bieterfragenkatalog</v>
      </c>
      <c r="C65" s="45" t="str">
        <f aca="false">IF($R65="","",INDEX(Anforderungen!$D:$D,$R65))</f>
        <v>§ 378</v>
      </c>
      <c r="D65" s="45" t="str">
        <f aca="false">IF($R65="","",INDEX(Anforderungen!$E:$E,$R65))</f>
        <v>Reservierung</v>
      </c>
      <c r="E65" s="45" t="str">
        <f aca="false">IF($R65="","",INDEX(Anforderungen!$F:$F,$R65))</f>
        <v>Anpassung möglich, bei ungewolltem Nutzerverhalten.</v>
      </c>
      <c r="F65" s="45" t="str">
        <f aca="false">IF($R65="","",INDEX(Anforderungen!$G:$G,$R65))</f>
        <v>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65" s="45" t="str">
        <f aca="false">IF($R65="","",INDEX(Anforderungen!$I:$I,$R65))</f>
        <v>eRound</v>
      </c>
      <c r="H65" s="45" t="str">
        <f aca="false">IF($R65="","",INDEX(Anforderungen!$J:$J,$R65))</f>
        <v>OCPI Buchungskalender</v>
      </c>
      <c r="I65" s="45" t="str">
        <f aca="false">IF($R65="","",INDEX(Anforderungen!$K:$K,$R65))</f>
        <v>erfasst</v>
      </c>
      <c r="J65" s="46" t="n">
        <f aca="false">IF($R65="","",INDEX(Anforderungen!$L:$L,$R65))</f>
        <v>0</v>
      </c>
      <c r="K65" s="45" t="n">
        <f aca="false">IF($R65="","",INDEX(Anforderungen!$M:$M,$R65))</f>
        <v>0</v>
      </c>
      <c r="R65" s="0" t="n">
        <f aca="false">IFERROR(MATCH(ROWS($A$16:$A65),Anforderungen!$O$7:$O$2000,0)+6,"")</f>
        <v>56</v>
      </c>
    </row>
    <row r="66" customFormat="false" ht="30" hidden="false" customHeight="true" outlineLevel="0" collapsed="false">
      <c r="A66" s="45" t="str">
        <f aca="false">IF($R66="","",INDEX(Anforderungen!$B:$B,$R66))</f>
        <v>ANF-051</v>
      </c>
      <c r="B66" s="45" t="str">
        <f aca="false">IF($R66="","",INDEX(Anforderungen!$C:$C,$R66))</f>
        <v>Bieterfragenkatalog</v>
      </c>
      <c r="C66" s="45" t="str">
        <f aca="false">IF($R66="","",INDEX(Anforderungen!$D:$D,$R66))</f>
        <v>§ 455</v>
      </c>
      <c r="D66" s="45" t="str">
        <f aca="false">IF($R66="","",INDEX(Anforderungen!$E:$E,$R66))</f>
        <v>Reservierung</v>
      </c>
      <c r="E66" s="45" t="str">
        <f aca="false">IF($R66="","",INDEX(Anforderungen!$F:$F,$R66))</f>
        <v>Reservierungsplattform ist nicht Teil der Ausschreibung.</v>
      </c>
      <c r="F66" s="45" t="str">
        <f aca="false">IF($R66="","",INDEX(Anforderungen!$G:$G,$R66))</f>
        <v>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v>
      </c>
      <c r="G66" s="45" t="str">
        <f aca="false">IF($R66="","",INDEX(Anforderungen!$I:$I,$R66))</f>
        <v>Reservierungsplattform</v>
      </c>
      <c r="H66" s="45" t="str">
        <f aca="false">IF($R66="","",INDEX(Anforderungen!$J:$J,$R66))</f>
        <v>Reservierungsplattform</v>
      </c>
      <c r="I66" s="45" t="str">
        <f aca="false">IF($R66="","",INDEX(Anforderungen!$K:$K,$R66))</f>
        <v>erfasst</v>
      </c>
      <c r="J66" s="46" t="n">
        <f aca="false">IF($R66="","",INDEX(Anforderungen!$L:$L,$R66))</f>
        <v>0</v>
      </c>
      <c r="K66" s="45" t="n">
        <f aca="false">IF($R66="","",INDEX(Anforderungen!$M:$M,$R66))</f>
        <v>0</v>
      </c>
      <c r="R66" s="0" t="n">
        <f aca="false">IFERROR(MATCH(ROWS($A$16:$A66),Anforderungen!$O$7:$O$2000,0)+6,"")</f>
        <v>57</v>
      </c>
    </row>
    <row r="67" customFormat="false" ht="30" hidden="false" customHeight="true" outlineLevel="0" collapsed="false">
      <c r="A67" s="45" t="str">
        <f aca="false">IF($R67="","",INDEX(Anforderungen!$B:$B,$R67))</f>
        <v>ANF-052</v>
      </c>
      <c r="B67" s="45" t="str">
        <f aca="false">IF($R67="","",INDEX(Anforderungen!$C:$C,$R67))</f>
        <v>Bieterfragenkatalog</v>
      </c>
      <c r="C67" s="45" t="str">
        <f aca="false">IF($R67="","",INDEX(Anforderungen!$D:$D,$R67))</f>
        <v>§ 370</v>
      </c>
      <c r="D67" s="45" t="str">
        <f aca="false">IF($R67="","",INDEX(Anforderungen!$E:$E,$R67))</f>
        <v>Reservierung</v>
      </c>
      <c r="E67" s="45" t="str">
        <f aca="false">IF($R67="","",INDEX(Anforderungen!$F:$F,$R67))</f>
        <v>Sämtliche Infos via gängigen Roamingprotokoll / Marktstandard zur verfügung stellen.</v>
      </c>
      <c r="F67" s="45" t="str">
        <f aca="false">IF($R67="","",INDEX(Anforderungen!$G:$G,$R67))</f>
        <v>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v>
      </c>
      <c r="G67" s="45" t="str">
        <f aca="false">IF($R67="","",INDEX(Anforderungen!$I:$I,$R67))</f>
        <v>eRound</v>
      </c>
      <c r="H67" s="45" t="str">
        <f aca="false">IF($R67="","",INDEX(Anforderungen!$J:$J,$R67))</f>
        <v>OCPI Buchungskalender</v>
      </c>
      <c r="I67" s="45" t="str">
        <f aca="false">IF($R67="","",INDEX(Anforderungen!$K:$K,$R67))</f>
        <v>erfasst</v>
      </c>
      <c r="J67" s="46" t="n">
        <f aca="false">IF($R67="","",INDEX(Anforderungen!$L:$L,$R67))</f>
        <v>0</v>
      </c>
      <c r="K67" s="45" t="n">
        <f aca="false">IF($R67="","",INDEX(Anforderungen!$M:$M,$R67))</f>
        <v>0</v>
      </c>
      <c r="R67" s="0" t="n">
        <f aca="false">IFERROR(MATCH(ROWS($A$16:$A67),Anforderungen!$O$7:$O$2000,0)+6,"")</f>
        <v>58</v>
      </c>
    </row>
    <row r="68" customFormat="false" ht="30" hidden="false" customHeight="true" outlineLevel="0" collapsed="false">
      <c r="A68" s="45" t="str">
        <f aca="false">IF($R68="","",INDEX(Anforderungen!$B:$B,$R68))</f>
        <v>ANF-053</v>
      </c>
      <c r="B68" s="45" t="str">
        <f aca="false">IF($R68="","",INDEX(Anforderungen!$C:$C,$R68))</f>
        <v>Bieterfragenkatalog</v>
      </c>
      <c r="C68" s="45" t="str">
        <f aca="false">IF($R68="","",INDEX(Anforderungen!$D:$D,$R68))</f>
        <v>Nr. 1 / S. 1</v>
      </c>
      <c r="D68" s="45" t="str">
        <f aca="false">IF($R68="","",INDEX(Anforderungen!$E:$E,$R68))</f>
        <v>Vergabeverfahren &amp; Angebot</v>
      </c>
      <c r="E68" s="45" t="str">
        <f aca="false">IF($R68="","",INDEX(Anforderungen!$F:$F,$R68))</f>
        <v>Klarstellung: Der Zuschlag wird nicht bereits auf die Erstangebote erteilt. Eine auf die Erstangebote bezogene Bindefrist ist daher gegenstandslos.</v>
      </c>
      <c r="F68" s="45" t="str">
        <f aca="false">IF($R68="","",INDEX(Anforderungen!$G:$G,$R68))</f>
        <v>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v>
      </c>
      <c r="G68" s="45" t="str">
        <f aca="false">IF($R68="","",INDEX(Anforderungen!$I:$I,$R68))</f>
        <v>Autostrom+</v>
      </c>
      <c r="H68" s="45" t="str">
        <f aca="false">IF($R68="","",INDEX(Anforderungen!$J:$J,$R68))</f>
        <v>–</v>
      </c>
      <c r="I68" s="45" t="str">
        <f aca="false">IF($R68="","",INDEX(Anforderungen!$K:$K,$R68))</f>
        <v>trifft nicht zu</v>
      </c>
      <c r="J68" s="46" t="n">
        <f aca="false">IF($R68="","",INDEX(Anforderungen!$L:$L,$R68))</f>
        <v>0</v>
      </c>
      <c r="K68" s="45" t="n">
        <f aca="false">IF($R68="","",INDEX(Anforderungen!$M:$M,$R68))</f>
        <v>0</v>
      </c>
      <c r="R68" s="0" t="n">
        <f aca="false">IFERROR(MATCH(ROWS($A$16:$A68),Anforderungen!$O$7:$O$2000,0)+6,"")</f>
        <v>59</v>
      </c>
    </row>
    <row r="69" customFormat="false" ht="30" hidden="false" customHeight="true" outlineLevel="0" collapsed="false">
      <c r="A69" s="45" t="str">
        <f aca="false">IF($R69="","",INDEX(Anforderungen!$B:$B,$R69))</f>
        <v>ANF-054</v>
      </c>
      <c r="B69" s="45" t="str">
        <f aca="false">IF($R69="","",INDEX(Anforderungen!$C:$C,$R69))</f>
        <v>Bieterfragenkatalog</v>
      </c>
      <c r="C69" s="45" t="str">
        <f aca="false">IF($R69="","",INDEX(Anforderungen!$D:$D,$R69))</f>
        <v>Nr. 2 / S. 1</v>
      </c>
      <c r="D69" s="45" t="str">
        <f aca="false">IF($R69="","",INDEX(Anforderungen!$E:$E,$R69))</f>
        <v>Anzeige &amp; Beschilderung</v>
      </c>
      <c r="E69" s="45" t="str">
        <f aca="false">IF($R69="","",INDEX(Anforderungen!$F:$F,$R69))</f>
        <v>Zusage / Ankündigung: Der AG beabsichtigt, die Unterlagen im weiteren Vergabeverfahren zur Verfügung zu stellen.</v>
      </c>
      <c r="F69" s="45" t="str">
        <f aca="false">IF($R69="","",INDEX(Anforderungen!$G:$G,$R69))</f>
        <v>Wann werden Anlage 04 Anhang 2 (Regelschnitt und Details für die Gestaltung der LKW- Ladeinfrastruktur) und Anlage 04 Anhang 3 (Markierungs- und Beschilderungsplan) zur Verfügung gestellt?</v>
      </c>
      <c r="G69" s="45" t="str">
        <f aca="false">IF($R69="","",INDEX(Anforderungen!$I:$I,$R69))</f>
        <v>tbd</v>
      </c>
      <c r="H69" s="45" t="str">
        <f aca="false">IF($R69="","",INDEX(Anforderungen!$J:$J,$R69))</f>
        <v>Beschilderung</v>
      </c>
      <c r="I69" s="45" t="str">
        <f aca="false">IF($R69="","",INDEX(Anforderungen!$K:$K,$R69))</f>
        <v>erfasst</v>
      </c>
      <c r="J69" s="46" t="n">
        <f aca="false">IF($R69="","",INDEX(Anforderungen!$L:$L,$R69))</f>
        <v>0</v>
      </c>
      <c r="K69" s="45" t="n">
        <f aca="false">IF($R69="","",INDEX(Anforderungen!$M:$M,$R69))</f>
        <v>0</v>
      </c>
      <c r="R69" s="0" t="n">
        <f aca="false">IFERROR(MATCH(ROWS($A$16:$A69),Anforderungen!$O$7:$O$2000,0)+6,"")</f>
        <v>60</v>
      </c>
    </row>
    <row r="70" customFormat="false" ht="30" hidden="false" customHeight="true" outlineLevel="0" collapsed="false">
      <c r="A70" s="45" t="str">
        <f aca="false">IF($R70="","",INDEX(Anforderungen!$B:$B,$R70))</f>
        <v>ANF-055</v>
      </c>
      <c r="B70" s="45" t="str">
        <f aca="false">IF($R70="","",INDEX(Anforderungen!$C:$C,$R70))</f>
        <v>Bieterfragenkatalog</v>
      </c>
      <c r="C70" s="45" t="str">
        <f aca="false">IF($R70="","",INDEX(Anforderungen!$D:$D,$R70))</f>
        <v>Nr. 3 / S. 1</v>
      </c>
      <c r="D70" s="45" t="str">
        <f aca="false">IF($R70="","",INDEX(Anforderungen!$E:$E,$R70))</f>
        <v>Vertrag &amp; Recht</v>
      </c>
      <c r="E70" s="45" t="str">
        <f aca="false">IF($R70="","",INDEX(Anforderungen!$F:$F,$R70))</f>
        <v>Klarstellung: Eine entsprechende Vertragsfassung wird allen für das Verhandlungsverfahren ausgewählten Bewerbern und Bewerbergemeinschaften mit Beantwortung zur Verfügung gestellt.</v>
      </c>
      <c r="F70" s="45" t="str">
        <f aca="false">IF($R70="","",INDEX(Anforderungen!$G:$G,$R70))</f>
        <v>Wir bitte zur besseren Nachverfolgung der Unterlagenfortschreibung um Zusendung einer ChangeVersion, um nachzuvollziehen in welchen Punkte das Vertragswerk angepasst wurde.</v>
      </c>
      <c r="G70" s="45" t="str">
        <f aca="false">IF($R70="","",INDEX(Anforderungen!$I:$I,$R70))</f>
        <v>offen</v>
      </c>
      <c r="H70" s="45" t="str">
        <f aca="false">IF($R70="","",INDEX(Anforderungen!$J:$J,$R70))</f>
        <v>–</v>
      </c>
      <c r="I70" s="45" t="str">
        <f aca="false">IF($R70="","",INDEX(Anforderungen!$K:$K,$R70))</f>
        <v>erfasst</v>
      </c>
      <c r="J70" s="46" t="n">
        <f aca="false">IF($R70="","",INDEX(Anforderungen!$L:$L,$R70))</f>
        <v>0</v>
      </c>
      <c r="K70" s="45" t="n">
        <f aca="false">IF($R70="","",INDEX(Anforderungen!$M:$M,$R70))</f>
        <v>0</v>
      </c>
      <c r="R70" s="0" t="n">
        <f aca="false">IFERROR(MATCH(ROWS($A$16:$A70),Anforderungen!$O$7:$O$2000,0)+6,"")</f>
        <v>61</v>
      </c>
    </row>
    <row r="71" customFormat="false" ht="30" hidden="false" customHeight="true" outlineLevel="0" collapsed="false">
      <c r="A71" s="45" t="str">
        <f aca="false">IF($R71="","",INDEX(Anforderungen!$B:$B,$R71))</f>
        <v>ANF-056</v>
      </c>
      <c r="B71" s="45" t="str">
        <f aca="false">IF($R71="","",INDEX(Anforderungen!$C:$C,$R71))</f>
        <v>Bieterfragenkatalog</v>
      </c>
      <c r="C71" s="45" t="str">
        <f aca="false">IF($R71="","",INDEX(Anforderungen!$D:$D,$R71))</f>
        <v>Nr. 4 / S. 1</v>
      </c>
      <c r="D71" s="45" t="str">
        <f aca="false">IF($R71="","",INDEX(Anforderungen!$E:$E,$R71))</f>
        <v>Vertrag &amp; Recht</v>
      </c>
      <c r="E71" s="45" t="str">
        <f aca="false">IF($R71="","",INDEX(Anforderungen!$F:$F,$R71))</f>
        <v>Zusage / Ankündigung: Anlage 9 zum Vertrag wird dem AN nach Vertragsschluss zu Verfügung gestellt (vgl. Vertragsanlage 4 LB Errichtung, S.13).</v>
      </c>
      <c r="F71" s="45" t="str">
        <f aca="false">IF($R71="","",INDEX(Anforderungen!$G:$G,$R71))</f>
        <v>Die für die zweite Phase der Ausschreibung geteilten Unterlagen enthalten NICHT die Vertragsanlagen 7 ("Logos") und 9 ("Ansprechpartner (losspezifisch)"). Wenn diese bewusst nicht geteilt werden - wann kann mit diesen gerechnet werden?</v>
      </c>
      <c r="G71" s="45" t="str">
        <f aca="false">IF($R71="","",INDEX(Anforderungen!$I:$I,$R71))</f>
        <v>offen</v>
      </c>
      <c r="H71" s="45" t="str">
        <f aca="false">IF($R71="","",INDEX(Anforderungen!$J:$J,$R71))</f>
        <v>–</v>
      </c>
      <c r="I71" s="45" t="str">
        <f aca="false">IF($R71="","",INDEX(Anforderungen!$K:$K,$R71))</f>
        <v>erfasst</v>
      </c>
      <c r="J71" s="46" t="n">
        <f aca="false">IF($R71="","",INDEX(Anforderungen!$L:$L,$R71))</f>
        <v>0</v>
      </c>
      <c r="K71" s="45" t="n">
        <f aca="false">IF($R71="","",INDEX(Anforderungen!$M:$M,$R71))</f>
        <v>0</v>
      </c>
      <c r="R71" s="0" t="n">
        <f aca="false">IFERROR(MATCH(ROWS($A$16:$A71),Anforderungen!$O$7:$O$2000,0)+6,"")</f>
        <v>62</v>
      </c>
    </row>
    <row r="72" customFormat="false" ht="30" hidden="false" customHeight="true" outlineLevel="0" collapsed="false">
      <c r="A72" s="45" t="str">
        <f aca="false">IF($R72="","",INDEX(Anforderungen!$B:$B,$R72))</f>
        <v>ANF-057</v>
      </c>
      <c r="B72" s="45" t="str">
        <f aca="false">IF($R72="","",INDEX(Anforderungen!$C:$C,$R72))</f>
        <v>Bieterfragenkatalog</v>
      </c>
      <c r="C72" s="45" t="str">
        <f aca="false">IF($R72="","",INDEX(Anforderungen!$D:$D,$R72))</f>
        <v>Nr. 5 / S. 1</v>
      </c>
      <c r="D72" s="45" t="str">
        <f aca="false">IF($R72="","",INDEX(Anforderungen!$E:$E,$R72))</f>
        <v>Flächen &amp; Genehmigungen</v>
      </c>
      <c r="E72" s="45" t="str">
        <f aca="false">IF($R72="","",INDEX(Anforderungen!$F:$F,$R72))</f>
        <v>Klarstellung: Die Unterlagen Vertragsanlage 2 ("Standortübersicht (losspezifisch)") und Anlage 2 zum Verfahrensbrief ("Gesamtübersicht über die Lose") wurden entsprechend aktualisiert und stehen Ihnen in der überarbeiteten Version zur …</v>
      </c>
      <c r="F72" s="45" t="str">
        <f aca="false">IF($R72="","",INDEX(Anforderungen!$G:$G,$R72))</f>
        <v>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v>
      </c>
      <c r="G72" s="45" t="str">
        <f aca="false">IF($R72="","",INDEX(Anforderungen!$I:$I,$R72))</f>
        <v>offen</v>
      </c>
      <c r="H72" s="45" t="str">
        <f aca="false">IF($R72="","",INDEX(Anforderungen!$J:$J,$R72))</f>
        <v>–</v>
      </c>
      <c r="I72" s="45" t="str">
        <f aca="false">IF($R72="","",INDEX(Anforderungen!$K:$K,$R72))</f>
        <v>erfasst</v>
      </c>
      <c r="J72" s="46" t="n">
        <f aca="false">IF($R72="","",INDEX(Anforderungen!$L:$L,$R72))</f>
        <v>0</v>
      </c>
      <c r="K72" s="45" t="n">
        <f aca="false">IF($R72="","",INDEX(Anforderungen!$M:$M,$R72))</f>
        <v>0</v>
      </c>
      <c r="R72" s="0" t="n">
        <f aca="false">IFERROR(MATCH(ROWS($A$16:$A72),Anforderungen!$O$7:$O$2000,0)+6,"")</f>
        <v>63</v>
      </c>
    </row>
    <row r="73" customFormat="false" ht="30" hidden="false" customHeight="true" outlineLevel="0" collapsed="false">
      <c r="A73" s="45" t="str">
        <f aca="false">IF($R73="","",INDEX(Anforderungen!$B:$B,$R73))</f>
        <v>ANF-058</v>
      </c>
      <c r="B73" s="45" t="str">
        <f aca="false">IF($R73="","",INDEX(Anforderungen!$C:$C,$R73))</f>
        <v>Bieterfragenkatalog</v>
      </c>
      <c r="C73" s="45" t="str">
        <f aca="false">IF($R73="","",INDEX(Anforderungen!$D:$D,$R73))</f>
        <v>Nr. 6 / S. 1</v>
      </c>
      <c r="D73" s="45" t="str">
        <f aca="false">IF($R73="","",INDEX(Anforderungen!$E:$E,$R73))</f>
        <v>Netzanschluss &amp; Energie</v>
      </c>
      <c r="E73" s="45" t="str">
        <f aca="false">IF($R73="","",INDEX(Anforderungen!$F:$F,$R73))</f>
        <v>Klarstellung: Die Unterlagen Vertragsanlage 2 ("Standortübersicht (losspezifish)") und Anlage 2 zum Verfahrensbrief ("Gesamtübersicht über die Lose") wurden entsprechend aktualisiert und stehen Ihnen in der überarbeiteten Version zur Verfügung.</v>
      </c>
      <c r="F73" s="45" t="str">
        <f aca="false">IF($R73="","",INDEX(Anforderungen!$G:$G,$R73))</f>
        <v>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v>
      </c>
      <c r="G73" s="45" t="str">
        <f aca="false">IF($R73="","",INDEX(Anforderungen!$I:$I,$R73))</f>
        <v>offen</v>
      </c>
      <c r="H73" s="45" t="str">
        <f aca="false">IF($R73="","",INDEX(Anforderungen!$J:$J,$R73))</f>
        <v>–</v>
      </c>
      <c r="I73" s="45" t="str">
        <f aca="false">IF($R73="","",INDEX(Anforderungen!$K:$K,$R73))</f>
        <v>erfasst</v>
      </c>
      <c r="J73" s="46" t="n">
        <f aca="false">IF($R73="","",INDEX(Anforderungen!$L:$L,$R73))</f>
        <v>0</v>
      </c>
      <c r="K73" s="45" t="n">
        <f aca="false">IF($R73="","",INDEX(Anforderungen!$M:$M,$R73))</f>
        <v>0</v>
      </c>
      <c r="R73" s="0" t="n">
        <f aca="false">IFERROR(MATCH(ROWS($A$16:$A73),Anforderungen!$O$7:$O$2000,0)+6,"")</f>
        <v>64</v>
      </c>
    </row>
    <row r="74" customFormat="false" ht="30" hidden="false" customHeight="true" outlineLevel="0" collapsed="false">
      <c r="A74" s="45" t="str">
        <f aca="false">IF($R74="","",INDEX(Anforderungen!$B:$B,$R74))</f>
        <v>ANF-059</v>
      </c>
      <c r="B74" s="45" t="str">
        <f aca="false">IF($R74="","",INDEX(Anforderungen!$C:$C,$R74))</f>
        <v>Bieterfragenkatalog</v>
      </c>
      <c r="C74" s="45" t="str">
        <f aca="false">IF($R74="","",INDEX(Anforderungen!$D:$D,$R74))</f>
        <v>Nr. 7 / S. 2</v>
      </c>
      <c r="D74" s="45" t="str">
        <f aca="false">IF($R74="","",INDEX(Anforderungen!$E:$E,$R74))</f>
        <v>Vergabeverfahren &amp; Angebot</v>
      </c>
      <c r="E74" s="45" t="str">
        <f aca="false">IF($R74="","",INDEX(Anforderungen!$F:$F,$R74))</f>
        <v>Klarstellung: Die Unterlagen Anlage 5 zum Verfahrensbrief wurden entsprechend aktualisiert und stehen Ihnen in der überarbeiteten Version zur Verfügung.</v>
      </c>
      <c r="F74" s="45" t="str">
        <f aca="false">IF($R74="","",INDEX(Anforderungen!$G:$G,$R74))</f>
        <v>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v>
      </c>
      <c r="G74" s="45" t="str">
        <f aca="false">IF($R74="","",INDEX(Anforderungen!$I:$I,$R74))</f>
        <v>offen</v>
      </c>
      <c r="H74" s="45" t="str">
        <f aca="false">IF($R74="","",INDEX(Anforderungen!$J:$J,$R74))</f>
        <v>–</v>
      </c>
      <c r="I74" s="45" t="str">
        <f aca="false">IF($R74="","",INDEX(Anforderungen!$K:$K,$R74))</f>
        <v>trifft nicht zu</v>
      </c>
      <c r="J74" s="46" t="n">
        <f aca="false">IF($R74="","",INDEX(Anforderungen!$L:$L,$R74))</f>
        <v>0</v>
      </c>
      <c r="K74" s="45" t="str">
        <f aca="false">IF($R74="","",INDEX(Anforderungen!$M:$M,$R74))</f>
        <v>Automatisch ausgewertet: Betrifft das Vergabeverfahren (Angebot, Wertung, Unterlagen), nicht die zu erbringende Leistung. Keiner Komponente zugeordnet.</v>
      </c>
      <c r="R74" s="0" t="n">
        <f aca="false">IFERROR(MATCH(ROWS($A$16:$A74),Anforderungen!$O$7:$O$2000,0)+6,"")</f>
        <v>65</v>
      </c>
    </row>
    <row r="75" customFormat="false" ht="30" hidden="false" customHeight="true" outlineLevel="0" collapsed="false">
      <c r="A75" s="45" t="str">
        <f aca="false">IF($R75="","",INDEX(Anforderungen!$B:$B,$R75))</f>
        <v>ANF-060</v>
      </c>
      <c r="B75" s="45" t="str">
        <f aca="false">IF($R75="","",INDEX(Anforderungen!$C:$C,$R75))</f>
        <v>Bieterfragenkatalog</v>
      </c>
      <c r="C75" s="45" t="str">
        <f aca="false">IF($R75="","",INDEX(Anforderungen!$D:$D,$R75))</f>
        <v>Nr. 8 / S. 2</v>
      </c>
      <c r="D75" s="45" t="str">
        <f aca="false">IF($R75="","",INDEX(Anforderungen!$E:$E,$R75))</f>
        <v>Vergabeverfahren &amp; Angebot</v>
      </c>
      <c r="E75" s="45" t="str">
        <f aca="false">IF($R75="","",INDEX(Anforderungen!$F:$F,$R75))</f>
        <v>Zusage / Ankündigung: Siehe die Antwort auf Frage 1. Die Bieter sind dennoch aufgefordert ein zuschlagsfähiges Erstangebot abzugeben.</v>
      </c>
      <c r="F75" s="45" t="str">
        <f aca="false">IF($R75="","",INDEX(Anforderungen!$G:$G,$R75))</f>
        <v>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v>
      </c>
      <c r="G75" s="45" t="str">
        <f aca="false">IF($R75="","",INDEX(Anforderungen!$I:$I,$R75))</f>
        <v>offen</v>
      </c>
      <c r="H75" s="45" t="str">
        <f aca="false">IF($R75="","",INDEX(Anforderungen!$J:$J,$R75))</f>
        <v>–</v>
      </c>
      <c r="I75" s="45" t="str">
        <f aca="false">IF($R75="","",INDEX(Anforderungen!$K:$K,$R75))</f>
        <v>trifft nicht zu</v>
      </c>
      <c r="J75" s="46" t="n">
        <f aca="false">IF($R75="","",INDEX(Anforderungen!$L:$L,$R75))</f>
        <v>0</v>
      </c>
      <c r="K75" s="45" t="str">
        <f aca="false">IF($R75="","",INDEX(Anforderungen!$M:$M,$R75))</f>
        <v>Automatisch ausgewertet: Betrifft das Vergabeverfahren (Angebot, Wertung, Unterlagen), nicht die zu erbringende Leistung. Keiner Komponente zugeordnet.</v>
      </c>
      <c r="R75" s="0" t="n">
        <f aca="false">IFERROR(MATCH(ROWS($A$16:$A75),Anforderungen!$O$7:$O$2000,0)+6,"")</f>
        <v>66</v>
      </c>
    </row>
    <row r="76" customFormat="false" ht="30" hidden="false" customHeight="true" outlineLevel="0" collapsed="false">
      <c r="A76" s="45" t="str">
        <f aca="false">IF($R76="","",INDEX(Anforderungen!$B:$B,$R76))</f>
        <v>ANF-061</v>
      </c>
      <c r="B76" s="45" t="str">
        <f aca="false">IF($R76="","",INDEX(Anforderungen!$C:$C,$R76))</f>
        <v>Bieterfragenkatalog</v>
      </c>
      <c r="C76" s="45" t="str">
        <f aca="false">IF($R76="","",INDEX(Anforderungen!$D:$D,$R76))</f>
        <v>Nr. 9 / S. 2</v>
      </c>
      <c r="D76" s="45" t="str">
        <f aca="false">IF($R76="","",INDEX(Anforderungen!$E:$E,$R76))</f>
        <v>Netzanschluss &amp; Energie</v>
      </c>
      <c r="E76" s="45" t="str">
        <f aca="false">IF($R76="","",INDEX(Anforderungen!$F:$F,$R76))</f>
        <v>Klarstellung: Die Pflicht, mit allen Mobilitätsdienstleistern diskriminierungsfrei Verträge zu schließen ist in §27(1) des Hauptvertrags geregelt.</v>
      </c>
      <c r="F76" s="45" t="str">
        <f aca="false">IF($R76="","",INDEX(Anforderungen!$G:$G,$R76))</f>
        <v>Müssen die Teilnehmer einen Vertrag mit jedem möglichen Mobilitätsdienstleister für das Durchleitungsmodell abschließen oder kann dies von einem einzelnen Akteur aggregiert werden? Vergleichbar mit einer Roaming-Plattform im MSP-Geschäft.</v>
      </c>
      <c r="G76" s="45" t="str">
        <f aca="false">IF($R76="","",INDEX(Anforderungen!$I:$I,$R76))</f>
        <v>eRound</v>
      </c>
      <c r="H76" s="45" t="str">
        <f aca="false">IF($R76="","",INDEX(Anforderungen!$J:$J,$R76))</f>
        <v>OCPI Buchungskalender</v>
      </c>
      <c r="I76" s="45" t="str">
        <f aca="false">IF($R76="","",INDEX(Anforderungen!$K:$K,$R76))</f>
        <v>erfasst</v>
      </c>
      <c r="J76" s="46" t="n">
        <f aca="false">IF($R76="","",INDEX(Anforderungen!$L:$L,$R76))</f>
        <v>0</v>
      </c>
      <c r="K76" s="45" t="n">
        <f aca="false">IF($R76="","",INDEX(Anforderungen!$M:$M,$R76))</f>
        <v>0</v>
      </c>
      <c r="R76" s="0" t="n">
        <f aca="false">IFERROR(MATCH(ROWS($A$16:$A76),Anforderungen!$O$7:$O$2000,0)+6,"")</f>
        <v>67</v>
      </c>
    </row>
    <row r="77" customFormat="false" ht="30" hidden="false" customHeight="true" outlineLevel="0" collapsed="false">
      <c r="A77" s="45" t="str">
        <f aca="false">IF($R77="","",INDEX(Anforderungen!$B:$B,$R77))</f>
        <v>ANF-062</v>
      </c>
      <c r="B77" s="45" t="str">
        <f aca="false">IF($R77="","",INDEX(Anforderungen!$C:$C,$R77))</f>
        <v>Bieterfragenkatalog</v>
      </c>
      <c r="C77" s="45" t="str">
        <f aca="false">IF($R77="","",INDEX(Anforderungen!$D:$D,$R77))</f>
        <v>Nr. 10 / S. 2</v>
      </c>
      <c r="D77" s="45" t="str">
        <f aca="false">IF($R77="","",INDEX(Anforderungen!$E:$E,$R77))</f>
        <v>Vergabeverfahren &amp; Angebot</v>
      </c>
      <c r="E77" s="45" t="str">
        <f aca="false">IF($R77="","",INDEX(Anforderungen!$F:$F,$R77))</f>
        <v>Bestätigt: der Rastplatz mit der Kennung DE-ST-001249 ist "Brockenblick Ost".</v>
      </c>
      <c r="F77" s="45" t="str">
        <f aca="false">IF($R77="","",INDEX(Anforderungen!$G:$G,$R77))</f>
        <v>Bezieht sich "Parkplatz Brockenblick Ost" (DE-ST-001249) tatsächlich auf "Parkplatz Brocken Nord"?</v>
      </c>
      <c r="G77" s="45" t="str">
        <f aca="false">IF($R77="","",INDEX(Anforderungen!$I:$I,$R77))</f>
        <v>offen</v>
      </c>
      <c r="H77" s="45" t="str">
        <f aca="false">IF($R77="","",INDEX(Anforderungen!$J:$J,$R77))</f>
        <v>–</v>
      </c>
      <c r="I77" s="45" t="str">
        <f aca="false">IF($R77="","",INDEX(Anforderungen!$K:$K,$R77))</f>
        <v>trifft nicht zu</v>
      </c>
      <c r="J77" s="46" t="n">
        <f aca="false">IF($R77="","",INDEX(Anforderungen!$L:$L,$R77))</f>
        <v>0</v>
      </c>
      <c r="K77" s="45" t="str">
        <f aca="false">IF($R77="","",INDEX(Anforderungen!$M:$M,$R77))</f>
        <v>Automatisch ausgewertet: Betrifft das Vergabeverfahren (Angebot, Wertung, Unterlagen), nicht die zu erbringende Leistung. Keiner Komponente zugeordnet.</v>
      </c>
      <c r="R77" s="0" t="n">
        <f aca="false">IFERROR(MATCH(ROWS($A$16:$A77),Anforderungen!$O$7:$O$2000,0)+6,"")</f>
        <v>68</v>
      </c>
    </row>
    <row r="78" customFormat="false" ht="30" hidden="false" customHeight="true" outlineLevel="0" collapsed="false">
      <c r="A78" s="45" t="str">
        <f aca="false">IF($R78="","",INDEX(Anforderungen!$B:$B,$R78))</f>
        <v>ANF-063</v>
      </c>
      <c r="B78" s="45" t="str">
        <f aca="false">IF($R78="","",INDEX(Anforderungen!$C:$C,$R78))</f>
        <v>Bieterfragenkatalog</v>
      </c>
      <c r="C78" s="45" t="str">
        <f aca="false">IF($R78="","",INDEX(Anforderungen!$D:$D,$R78))</f>
        <v>Nr. 11 / S. 2</v>
      </c>
      <c r="D78" s="45" t="str">
        <f aca="false">IF($R78="","",INDEX(Anforderungen!$E:$E,$R78))</f>
        <v>Netzanschluss &amp; Energie</v>
      </c>
      <c r="E78" s="45" t="str">
        <f aca="false">IF($R78="","",INDEX(Anforderungen!$F:$F,$R78))</f>
        <v>Verweis des Auftraggebers auf die Antwort zu Bieterfrage 6.</v>
      </c>
      <c r="F78" s="45" t="str">
        <f aca="false">IF($R78="","",INDEX(Anforderungen!$G:$G,$R78))</f>
        <v>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v>
      </c>
      <c r="G78" s="45" t="str">
        <f aca="false">IF($R78="","",INDEX(Anforderungen!$I:$I,$R78))</f>
        <v>offen</v>
      </c>
      <c r="H78" s="45" t="str">
        <f aca="false">IF($R78="","",INDEX(Anforderungen!$J:$J,$R78))</f>
        <v>–</v>
      </c>
      <c r="I78" s="45" t="str">
        <f aca="false">IF($R78="","",INDEX(Anforderungen!$K:$K,$R78))</f>
        <v>trifft nicht zu</v>
      </c>
      <c r="J78" s="46" t="n">
        <f aca="false">IF($R78="","",INDEX(Anforderungen!$L:$L,$R78))</f>
        <v>0</v>
      </c>
      <c r="K78" s="45" t="str">
        <f aca="false">IF($R78="","",INDEX(Anforderungen!$M:$M,$R78))</f>
        <v>Automatisch ausgewertet: Die Antwort des Auftraggebers verweist ausschließlich auf Bieterfrage 6. Keine eigenständige Anforderung – der Inhalt ist unter der dort erfassten Zeile nachzuhalten.</v>
      </c>
      <c r="R78" s="0" t="n">
        <f aca="false">IFERROR(MATCH(ROWS($A$16:$A78),Anforderungen!$O$7:$O$2000,0)+6,"")</f>
        <v>69</v>
      </c>
    </row>
    <row r="79" customFormat="false" ht="30" hidden="false" customHeight="true" outlineLevel="0" collapsed="false">
      <c r="A79" s="45" t="str">
        <f aca="false">IF($R79="","",INDEX(Anforderungen!$B:$B,$R79))</f>
        <v>ANF-064</v>
      </c>
      <c r="B79" s="45" t="str">
        <f aca="false">IF($R79="","",INDEX(Anforderungen!$C:$C,$R79))</f>
        <v>Bieterfragenkatalog</v>
      </c>
      <c r="C79" s="45" t="str">
        <f aca="false">IF($R79="","",INDEX(Anforderungen!$D:$D,$R79))</f>
        <v>Nr. 12 / S. 2</v>
      </c>
      <c r="D79" s="45" t="str">
        <f aca="false">IF($R79="","",INDEX(Anforderungen!$E:$E,$R79))</f>
        <v>Bau &amp; Dokumentation</v>
      </c>
      <c r="E79" s="45" t="str">
        <f aca="false">IF($R79="","",INDEX(Anforderungen!$F:$F,$R79))</f>
        <v>Klarstellung: Siehe Anlage 1 zum Verfahrensbrief - Betreibervertrag, §39 Abs. 3: "Das Errichtungsentgelt für den betreffenden Standort wird, sofern die jeweils nachfolgenden Zahlungsvoraussetzungen vorliegen, [...] gezahlt, […]."</v>
      </c>
      <c r="F79" s="45" t="str">
        <f aca="false">IF($R79="","",INDEX(Anforderungen!$G:$G,$R79))</f>
        <v>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v>
      </c>
      <c r="G79" s="45" t="str">
        <f aca="false">IF($R79="","",INDEX(Anforderungen!$I:$I,$R79))</f>
        <v>offen</v>
      </c>
      <c r="H79" s="45" t="str">
        <f aca="false">IF($R79="","",INDEX(Anforderungen!$J:$J,$R79))</f>
        <v>–</v>
      </c>
      <c r="I79" s="45" t="str">
        <f aca="false">IF($R79="","",INDEX(Anforderungen!$K:$K,$R79))</f>
        <v>erfasst</v>
      </c>
      <c r="J79" s="46" t="n">
        <f aca="false">IF($R79="","",INDEX(Anforderungen!$L:$L,$R79))</f>
        <v>0</v>
      </c>
      <c r="K79" s="45" t="n">
        <f aca="false">IF($R79="","",INDEX(Anforderungen!$M:$M,$R79))</f>
        <v>0</v>
      </c>
      <c r="R79" s="0" t="n">
        <f aca="false">IFERROR(MATCH(ROWS($A$16:$A79),Anforderungen!$O$7:$O$2000,0)+6,"")</f>
        <v>70</v>
      </c>
    </row>
    <row r="80" customFormat="false" ht="30" hidden="false" customHeight="true" outlineLevel="0" collapsed="false">
      <c r="A80" s="45" t="str">
        <f aca="false">IF($R80="","",INDEX(Anforderungen!$B:$B,$R80))</f>
        <v>ANF-065</v>
      </c>
      <c r="B80" s="45" t="str">
        <f aca="false">IF($R80="","",INDEX(Anforderungen!$C:$C,$R80))</f>
        <v>Bieterfragenkatalog</v>
      </c>
      <c r="C80" s="45" t="str">
        <f aca="false">IF($R80="","",INDEX(Anforderungen!$D:$D,$R80))</f>
        <v>Nr. 13 / S. 2</v>
      </c>
      <c r="D80" s="45" t="str">
        <f aca="false">IF($R80="","",INDEX(Anforderungen!$E:$E,$R80))</f>
        <v>Vergabeverfahren &amp; Angebot</v>
      </c>
      <c r="E80" s="45" t="str">
        <f aca="false">IF($R80="","",INDEX(Anforderungen!$F:$F,$R80))</f>
        <v>Verweis des Auftraggebers auf die Antwort zu Bieterfrage 1.</v>
      </c>
      <c r="F80" s="45" t="str">
        <f aca="false">IF($R80="","",INDEX(Anforderungen!$G:$G,$R80))</f>
        <v>Nach Ablauf der Angebotsfrist bleibt der Bieter bis zum Ablauf der vom öffentlichen Auftraggeber festgelegten Bindefrist an sein Angebot gebunden." Inwiefern ist damit das Erstangebot bindend?</v>
      </c>
      <c r="G80" s="45" t="str">
        <f aca="false">IF($R80="","",INDEX(Anforderungen!$I:$I,$R80))</f>
        <v>offen</v>
      </c>
      <c r="H80" s="45" t="str">
        <f aca="false">IF($R80="","",INDEX(Anforderungen!$J:$J,$R80))</f>
        <v>–</v>
      </c>
      <c r="I80" s="45" t="str">
        <f aca="false">IF($R80="","",INDEX(Anforderungen!$K:$K,$R80))</f>
        <v>trifft nicht zu</v>
      </c>
      <c r="J80" s="46" t="n">
        <f aca="false">IF($R80="","",INDEX(Anforderungen!$L:$L,$R80))</f>
        <v>0</v>
      </c>
      <c r="K80" s="45" t="str">
        <f aca="false">IF($R80="","",INDEX(Anforderungen!$M:$M,$R80))</f>
        <v>Automatisch ausgewertet: Die Antwort des Auftraggebers verweist ausschließlich auf Bieterfrage 1. Keine eigenständige Anforderung – der Inhalt ist unter der dort erfassten Zeile nachzuhalten.</v>
      </c>
      <c r="R80" s="0" t="n">
        <f aca="false">IFERROR(MATCH(ROWS($A$16:$A80),Anforderungen!$O$7:$O$2000,0)+6,"")</f>
        <v>71</v>
      </c>
    </row>
    <row r="81" customFormat="false" ht="30" hidden="false" customHeight="true" outlineLevel="0" collapsed="false">
      <c r="A81" s="45" t="str">
        <f aca="false">IF($R81="","",INDEX(Anforderungen!$B:$B,$R81))</f>
        <v>ANF-066</v>
      </c>
      <c r="B81" s="45" t="str">
        <f aca="false">IF($R81="","",INDEX(Anforderungen!$C:$C,$R81))</f>
        <v>Bieterfragenkatalog</v>
      </c>
      <c r="C81" s="45" t="str">
        <f aca="false">IF($R81="","",INDEX(Anforderungen!$D:$D,$R81))</f>
        <v>Nr. 14 / S. 2</v>
      </c>
      <c r="D81" s="45" t="str">
        <f aca="false">IF($R81="","",INDEX(Anforderungen!$E:$E,$R81))</f>
        <v>Reservierung</v>
      </c>
      <c r="E81" s="45" t="str">
        <f aca="false">IF($R81="","",INDEX(Anforderungen!$F:$F,$R81))</f>
        <v>Klarstellung: Etwaige IT Entwicklungskosten sind im Betreiberentgelt kalkulieren. Soweit das Vorgehen als unzweckmäßig erachtet wird, kann dies im Rahmen des Verhanldungsbedarfs (Formblatt A6) an den AG addressiert werden.</v>
      </c>
      <c r="F81" s="45" t="str">
        <f aca="false">IF($R81="","",INDEX(Anforderungen!$G:$G,$R81))</f>
        <v>In welcher Kostenposition Ihrer Vorlage werden IT Entwicklungskosten für die Entwicklung von bspw. Reservierungstool und Durchleitungsmodell hinterlegt?</v>
      </c>
      <c r="G81" s="45" t="str">
        <f aca="false">IF($R81="","",INDEX(Anforderungen!$I:$I,$R81))</f>
        <v>eRound</v>
      </c>
      <c r="H81" s="45" t="str">
        <f aca="false">IF($R81="","",INDEX(Anforderungen!$J:$J,$R81))</f>
        <v>OCPI Buchungskalender</v>
      </c>
      <c r="I81" s="45" t="str">
        <f aca="false">IF($R81="","",INDEX(Anforderungen!$K:$K,$R81))</f>
        <v>erfasst</v>
      </c>
      <c r="J81" s="46" t="n">
        <f aca="false">IF($R81="","",INDEX(Anforderungen!$L:$L,$R81))</f>
        <v>0</v>
      </c>
      <c r="K81" s="45" t="n">
        <f aca="false">IF($R81="","",INDEX(Anforderungen!$M:$M,$R81))</f>
        <v>0</v>
      </c>
      <c r="R81" s="0" t="n">
        <f aca="false">IFERROR(MATCH(ROWS($A$16:$A81),Anforderungen!$O$7:$O$2000,0)+6,"")</f>
        <v>72</v>
      </c>
    </row>
    <row r="82" customFormat="false" ht="30" hidden="false" customHeight="true" outlineLevel="0" collapsed="false">
      <c r="A82" s="45" t="str">
        <f aca="false">IF($R82="","",INDEX(Anforderungen!$B:$B,$R82))</f>
        <v>ANF-067</v>
      </c>
      <c r="B82" s="45" t="str">
        <f aca="false">IF($R82="","",INDEX(Anforderungen!$C:$C,$R82))</f>
        <v>Bieterfragenkatalog</v>
      </c>
      <c r="C82" s="45" t="str">
        <f aca="false">IF($R82="","",INDEX(Anforderungen!$D:$D,$R82))</f>
        <v>Nr. 15 / S. 2</v>
      </c>
      <c r="D82" s="45" t="str">
        <f aca="false">IF($R82="","",INDEX(Anforderungen!$E:$E,$R82))</f>
        <v>Netzanschluss &amp; Energie</v>
      </c>
      <c r="E82" s="45" t="str">
        <f aca="false">IF($R82="","",INDEX(Anforderungen!$F:$F,$R82))</f>
        <v>Klarstellung: Die Verlustenergie wäre nach den aktuellen vertraglichen Regelungen im Angebot in das Betreiberentgelt einzupreisen.</v>
      </c>
      <c r="F82" s="45" t="str">
        <f aca="false">IF($R82="","",INDEX(Anforderungen!$G:$G,$R82))</f>
        <v>In welchem Kostenposten wird die im Durchleitungsmodell auftretende Verlustenergie hinterlegt? Derzeit schätzen wir die Kosten dafür auf 2-stellige Millionenbeträge pro Jahr.</v>
      </c>
      <c r="G82" s="45" t="str">
        <f aca="false">IF($R82="","",INDEX(Anforderungen!$I:$I,$R82))</f>
        <v>offen</v>
      </c>
      <c r="H82" s="45" t="str">
        <f aca="false">IF($R82="","",INDEX(Anforderungen!$J:$J,$R82))</f>
        <v>–</v>
      </c>
      <c r="I82" s="45" t="str">
        <f aca="false">IF($R82="","",INDEX(Anforderungen!$K:$K,$R82))</f>
        <v>erfasst</v>
      </c>
      <c r="J82" s="46" t="n">
        <f aca="false">IF($R82="","",INDEX(Anforderungen!$L:$L,$R82))</f>
        <v>0</v>
      </c>
      <c r="K82" s="45" t="n">
        <f aca="false">IF($R82="","",INDEX(Anforderungen!$M:$M,$R82))</f>
        <v>0</v>
      </c>
      <c r="R82" s="0" t="n">
        <f aca="false">IFERROR(MATCH(ROWS($A$16:$A82),Anforderungen!$O$7:$O$2000,0)+6,"")</f>
        <v>73</v>
      </c>
    </row>
    <row r="83" customFormat="false" ht="30" hidden="false" customHeight="true" outlineLevel="0" collapsed="false">
      <c r="A83" s="45" t="str">
        <f aca="false">IF($R83="","",INDEX(Anforderungen!$B:$B,$R83))</f>
        <v>ANF-068</v>
      </c>
      <c r="B83" s="45" t="str">
        <f aca="false">IF($R83="","",INDEX(Anforderungen!$C:$C,$R83))</f>
        <v>Bieterfragenkatalog</v>
      </c>
      <c r="C83" s="45" t="str">
        <f aca="false">IF($R83="","",INDEX(Anforderungen!$D:$D,$R83))</f>
        <v>Nr. 16 / S. 2</v>
      </c>
      <c r="D83" s="45" t="str">
        <f aca="false">IF($R83="","",INDEX(Anforderungen!$E:$E,$R83))</f>
        <v>Netzanschluss &amp; Energie</v>
      </c>
      <c r="E83" s="45" t="str">
        <f aca="false">IF($R83="","",INDEX(Anforderungen!$F:$F,$R83))</f>
        <v>Klarstellung: Die bilanzielle Zuordnung der Energie im Durchleitungsmodell erfolgt über eine Zuordnungsermächtigung des EMP/MSP zu einem Bilanzkreis.</v>
      </c>
      <c r="F83" s="45" t="str">
        <f aca="false">IF($R83="","",INDEX(Anforderungen!$G:$G,$R83))</f>
        <v>In welchem Kostenposten werden Risikopositionen zu Lieferantenausfällen beim Durchleitungsmodell hinterlegt? Diese sind auslastungsabhängig und somit nicht prognostizierbar.</v>
      </c>
      <c r="G83" s="45" t="str">
        <f aca="false">IF($R83="","",INDEX(Anforderungen!$I:$I,$R83))</f>
        <v>offen</v>
      </c>
      <c r="H83" s="45" t="str">
        <f aca="false">IF($R83="","",INDEX(Anforderungen!$J:$J,$R83))</f>
        <v>–</v>
      </c>
      <c r="I83" s="45" t="str">
        <f aca="false">IF($R83="","",INDEX(Anforderungen!$K:$K,$R83))</f>
        <v>erfasst</v>
      </c>
      <c r="J83" s="46" t="n">
        <f aca="false">IF($R83="","",INDEX(Anforderungen!$L:$L,$R83))</f>
        <v>0</v>
      </c>
      <c r="K83" s="45" t="n">
        <f aca="false">IF($R83="","",INDEX(Anforderungen!$M:$M,$R83))</f>
        <v>0</v>
      </c>
      <c r="R83" s="0" t="n">
        <f aca="false">IFERROR(MATCH(ROWS($A$16:$A83),Anforderungen!$O$7:$O$2000,0)+6,"")</f>
        <v>74</v>
      </c>
    </row>
    <row r="84" customFormat="false" ht="30" hidden="false" customHeight="true" outlineLevel="0" collapsed="false">
      <c r="A84" s="45" t="str">
        <f aca="false">IF($R84="","",INDEX(Anforderungen!$B:$B,$R84))</f>
        <v>ANF-069</v>
      </c>
      <c r="B84" s="45" t="str">
        <f aca="false">IF($R84="","",INDEX(Anforderungen!$C:$C,$R84))</f>
        <v>Bieterfragenkatalog</v>
      </c>
      <c r="C84" s="45" t="str">
        <f aca="false">IF($R84="","",INDEX(Anforderungen!$D:$D,$R84))</f>
        <v>Nr. 17 / S. 2</v>
      </c>
      <c r="D84" s="45" t="str">
        <f aca="false">IF($R84="","",INDEX(Anforderungen!$E:$E,$R84))</f>
        <v>Netzanschluss &amp; Energie</v>
      </c>
      <c r="E84" s="45" t="str">
        <f aca="false">IF($R84="","",INDEX(Anforderungen!$F:$F,$R84))</f>
        <v>Klarstellung: Alle Standorte sind mit der ausgeschriebenen Anzahl an Ladepunkten zu errichten. Soweit die Netzanschlusskapazität an einzelnen Standorten nicht (rechtzeitig) vorliegt, kann der AG an diesen Standorten einen die …</v>
      </c>
      <c r="F84" s="45" t="str">
        <f aca="false">IF($R84="","",INDEX(Anforderungen!$G:$G,$R84))</f>
        <v>Sollen die Standorte mit dem Komplettsetup errichtet werden, ohne dass der endgültige Netzanschluss vorliegt? In diesem Fall können die Leistungsvorgaben der Ausschreibung nicht erfüllt werden.</v>
      </c>
      <c r="G84" s="45" t="str">
        <f aca="false">IF($R84="","",INDEX(Anforderungen!$I:$I,$R84))</f>
        <v>offen</v>
      </c>
      <c r="H84" s="45" t="str">
        <f aca="false">IF($R84="","",INDEX(Anforderungen!$J:$J,$R84))</f>
        <v>–</v>
      </c>
      <c r="I84" s="45" t="str">
        <f aca="false">IF($R84="","",INDEX(Anforderungen!$K:$K,$R84))</f>
        <v>trifft nicht zu</v>
      </c>
      <c r="J84" s="46" t="n">
        <f aca="false">IF($R84="","",INDEX(Anforderungen!$L:$L,$R84))</f>
        <v>0</v>
      </c>
      <c r="K84" s="45" t="n">
        <f aca="false">IF($R84="","",INDEX(Anforderungen!$M:$M,$R84))</f>
        <v>0</v>
      </c>
      <c r="R84" s="0" t="n">
        <f aca="false">IFERROR(MATCH(ROWS($A$16:$A84),Anforderungen!$O$7:$O$2000,0)+6,"")</f>
        <v>75</v>
      </c>
    </row>
    <row r="85" customFormat="false" ht="30" hidden="false" customHeight="true" outlineLevel="0" collapsed="false">
      <c r="A85" s="45" t="str">
        <f aca="false">IF($R85="","",INDEX(Anforderungen!$B:$B,$R85))</f>
        <v>ANF-070</v>
      </c>
      <c r="B85" s="45" t="str">
        <f aca="false">IF($R85="","",INDEX(Anforderungen!$C:$C,$R85))</f>
        <v>Bieterfragenkatalog</v>
      </c>
      <c r="C85" s="45" t="str">
        <f aca="false">IF($R85="","",INDEX(Anforderungen!$D:$D,$R85))</f>
        <v>Nr. 18 / S. 2</v>
      </c>
      <c r="D85" s="45" t="str">
        <f aca="false">IF($R85="","",INDEX(Anforderungen!$E:$E,$R85))</f>
        <v>Nutzungszeit &amp; Entgelte</v>
      </c>
      <c r="E85" s="45" t="str">
        <f aca="false">IF($R85="","",INDEX(Anforderungen!$F:$F,$R85))</f>
        <v>Klarstellung: Der Betreiber kann diese Kosten bei der Kalkulation seines EMP-Entgelts bzw. seines Ad hoc - Ladetarifs berücksichtigten.</v>
      </c>
      <c r="F85" s="45" t="str">
        <f aca="false">IF($R85="","",INDEX(Anforderungen!$G:$G,$R85))</f>
        <v>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v>
      </c>
      <c r="G85" s="45" t="str">
        <f aca="false">IF($R85="","",INDEX(Anforderungen!$I:$I,$R85))</f>
        <v>eRound</v>
      </c>
      <c r="H85" s="45" t="str">
        <f aca="false">IF($R85="","",INDEX(Anforderungen!$J:$J,$R85))</f>
        <v>Abrechnungskomponente</v>
      </c>
      <c r="I85" s="45" t="str">
        <f aca="false">IF($R85="","",INDEX(Anforderungen!$K:$K,$R85))</f>
        <v>erfasst</v>
      </c>
      <c r="J85" s="46" t="n">
        <f aca="false">IF($R85="","",INDEX(Anforderungen!$L:$L,$R85))</f>
        <v>0</v>
      </c>
      <c r="K85" s="45" t="n">
        <f aca="false">IF($R85="","",INDEX(Anforderungen!$M:$M,$R85))</f>
        <v>0</v>
      </c>
      <c r="R85" s="0" t="n">
        <f aca="false">IFERROR(MATCH(ROWS($A$16:$A85),Anforderungen!$O$7:$O$2000,0)+6,"")</f>
        <v>76</v>
      </c>
    </row>
    <row r="86" customFormat="false" ht="30" hidden="false" customHeight="true" outlineLevel="0" collapsed="false">
      <c r="A86" s="45" t="str">
        <f aca="false">IF($R86="","",INDEX(Anforderungen!$B:$B,$R86))</f>
        <v>ANF-071</v>
      </c>
      <c r="B86" s="45" t="str">
        <f aca="false">IF($R86="","",INDEX(Anforderungen!$C:$C,$R86))</f>
        <v>Bieterfragenkatalog</v>
      </c>
      <c r="C86" s="45" t="str">
        <f aca="false">IF($R86="","",INDEX(Anforderungen!$D:$D,$R86))</f>
        <v>Nr. 19 / S. 2</v>
      </c>
      <c r="D86" s="45" t="str">
        <f aca="false">IF($R86="","",INDEX(Anforderungen!$E:$E,$R86))</f>
        <v>Vertrag &amp; Recht</v>
      </c>
      <c r="E86" s="45" t="str">
        <f aca="false">IF($R86="","",INDEX(Anforderungen!$F:$F,$R86))</f>
        <v>Klarstellung: Eine Anpassung des Beginns der Vertragslaufzeit auf Zeitpunkt der Inbetriebnahme der Standorte ist nicht vorgesehen.</v>
      </c>
      <c r="F86" s="45" t="str">
        <f aca="false">IF($R86="","",INDEX(Anforderungen!$G:$G,$R86))</f>
        <v>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v>
      </c>
      <c r="G86" s="45" t="str">
        <f aca="false">IF($R86="","",INDEX(Anforderungen!$I:$I,$R86))</f>
        <v>offen</v>
      </c>
      <c r="H86" s="45" t="str">
        <f aca="false">IF($R86="","",INDEX(Anforderungen!$J:$J,$R86))</f>
        <v>–</v>
      </c>
      <c r="I86" s="45" t="str">
        <f aca="false">IF($R86="","",INDEX(Anforderungen!$K:$K,$R86))</f>
        <v>erfasst</v>
      </c>
      <c r="J86" s="46" t="n">
        <f aca="false">IF($R86="","",INDEX(Anforderungen!$L:$L,$R86))</f>
        <v>0</v>
      </c>
      <c r="K86" s="45" t="n">
        <f aca="false">IF($R86="","",INDEX(Anforderungen!$M:$M,$R86))</f>
        <v>0</v>
      </c>
      <c r="R86" s="0" t="n">
        <f aca="false">IFERROR(MATCH(ROWS($A$16:$A86),Anforderungen!$O$7:$O$2000,0)+6,"")</f>
        <v>77</v>
      </c>
    </row>
    <row r="87" customFormat="false" ht="30" hidden="false" customHeight="true" outlineLevel="0" collapsed="false">
      <c r="A87" s="45" t="str">
        <f aca="false">IF($R87="","",INDEX(Anforderungen!$B:$B,$R87))</f>
        <v>ANF-072</v>
      </c>
      <c r="B87" s="45" t="str">
        <f aca="false">IF($R87="","",INDEX(Anforderungen!$C:$C,$R87))</f>
        <v>Bieterfragenkatalog</v>
      </c>
      <c r="C87" s="45" t="str">
        <f aca="false">IF($R87="","",INDEX(Anforderungen!$D:$D,$R87))</f>
        <v>Nr. 20 / S. 2</v>
      </c>
      <c r="D87" s="45" t="str">
        <f aca="false">IF($R87="","",INDEX(Anforderungen!$E:$E,$R87))</f>
        <v>Vertrag &amp; Recht</v>
      </c>
      <c r="E87" s="45" t="str">
        <f aca="false">IF($R87="","",INDEX(Anforderungen!$F:$F,$R87))</f>
        <v>Verweis des Auftraggebers auf die Antwort zu Bieterfrage 5.</v>
      </c>
      <c r="F87" s="45" t="str">
        <f aca="false">IF($R87="","",INDEX(Anforderungen!$G:$G,$R87))</f>
        <v>Viele der Geokoordinaten in Vertragsanlage 2 und Anlage 2 zum Verfahrensbrief stimmen nicht mit den Rastplätzen überein. Wir bitten Sie, zu spezifizieren welche Angabe massgeblich ist und die unzutreffenden Angaben zu korrigieren.</v>
      </c>
      <c r="G87" s="45" t="str">
        <f aca="false">IF($R87="","",INDEX(Anforderungen!$I:$I,$R87))</f>
        <v>offen</v>
      </c>
      <c r="H87" s="45" t="str">
        <f aca="false">IF($R87="","",INDEX(Anforderungen!$J:$J,$R87))</f>
        <v>–</v>
      </c>
      <c r="I87" s="45" t="str">
        <f aca="false">IF($R87="","",INDEX(Anforderungen!$K:$K,$R87))</f>
        <v>trifft nicht zu</v>
      </c>
      <c r="J87" s="46" t="n">
        <f aca="false">IF($R87="","",INDEX(Anforderungen!$L:$L,$R87))</f>
        <v>0</v>
      </c>
      <c r="K87" s="45" t="str">
        <f aca="false">IF($R87="","",INDEX(Anforderungen!$M:$M,$R87))</f>
        <v>Automatisch ausgewertet: Die Antwort des Auftraggebers verweist ausschließlich auf Bieterfrage 5. Keine eigenständige Anforderung – der Inhalt ist unter der dort erfassten Zeile nachzuhalten.</v>
      </c>
      <c r="R87" s="0" t="n">
        <f aca="false">IFERROR(MATCH(ROWS($A$16:$A87),Anforderungen!$O$7:$O$2000,0)+6,"")</f>
        <v>78</v>
      </c>
    </row>
    <row r="88" customFormat="false" ht="30" hidden="false" customHeight="true" outlineLevel="0" collapsed="false">
      <c r="A88" s="45" t="str">
        <f aca="false">IF($R88="","",INDEX(Anforderungen!$B:$B,$R88))</f>
        <v>ANF-073</v>
      </c>
      <c r="B88" s="45" t="str">
        <f aca="false">IF($R88="","",INDEX(Anforderungen!$C:$C,$R88))</f>
        <v>Bieterfragenkatalog</v>
      </c>
      <c r="C88" s="45" t="str">
        <f aca="false">IF($R88="","",INDEX(Anforderungen!$D:$D,$R88))</f>
        <v>Nr. 21 / S. 2</v>
      </c>
      <c r="D88" s="45" t="str">
        <f aca="false">IF($R88="","",INDEX(Anforderungen!$E:$E,$R88))</f>
        <v>Vertrag &amp; Recht</v>
      </c>
      <c r="E88" s="45" t="str">
        <f aca="false">IF($R88="","",INDEX(Anforderungen!$F:$F,$R88))</f>
        <v>Klarstellung: Die Angaben der Vertragsanlage 03 sind im Fall des Rastplatzes DE-BW-006550 Eichhäuser Hof nicht korrekt.</v>
      </c>
      <c r="F88" s="45" t="str">
        <f aca="false">IF($R88="","",INDEX(Anforderungen!$G:$G,$R88))</f>
        <v>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v>
      </c>
      <c r="G88" s="45" t="str">
        <f aca="false">IF($R88="","",INDEX(Anforderungen!$I:$I,$R88))</f>
        <v>offen</v>
      </c>
      <c r="H88" s="45" t="str">
        <f aca="false">IF($R88="","",INDEX(Anforderungen!$J:$J,$R88))</f>
        <v>–</v>
      </c>
      <c r="I88" s="45" t="str">
        <f aca="false">IF($R88="","",INDEX(Anforderungen!$K:$K,$R88))</f>
        <v>erfasst</v>
      </c>
      <c r="J88" s="46" t="n">
        <f aca="false">IF($R88="","",INDEX(Anforderungen!$L:$L,$R88))</f>
        <v>0</v>
      </c>
      <c r="K88" s="45" t="n">
        <f aca="false">IF($R88="","",INDEX(Anforderungen!$M:$M,$R88))</f>
        <v>0</v>
      </c>
      <c r="R88" s="0" t="n">
        <f aca="false">IFERROR(MATCH(ROWS($A$16:$A88),Anforderungen!$O$7:$O$2000,0)+6,"")</f>
        <v>79</v>
      </c>
    </row>
    <row r="89" customFormat="false" ht="30" hidden="false" customHeight="true" outlineLevel="0" collapsed="false">
      <c r="A89" s="45" t="str">
        <f aca="false">IF($R89="","",INDEX(Anforderungen!$B:$B,$R89))</f>
        <v>ANF-074</v>
      </c>
      <c r="B89" s="45" t="str">
        <f aca="false">IF($R89="","",INDEX(Anforderungen!$C:$C,$R89))</f>
        <v>Bieterfragenkatalog</v>
      </c>
      <c r="C89" s="45" t="str">
        <f aca="false">IF($R89="","",INDEX(Anforderungen!$D:$D,$R89))</f>
        <v>Nr. 22 / S. 3</v>
      </c>
      <c r="D89" s="45" t="str">
        <f aca="false">IF($R89="","",INDEX(Anforderungen!$E:$E,$R89))</f>
        <v>Bau &amp; Dokumentation</v>
      </c>
      <c r="E89" s="45" t="str">
        <f aca="false">IF($R89="","",INDEX(Anforderungen!$F:$F,$R89))</f>
        <v>Klarstellung: Eine Freigabe aller Standorte soll bis zum 31.12.2030 erfolgen. Ein Unterschied zwischen der Inbetriebnahme und der Verkehrsfreigabe besteht nicht.</v>
      </c>
      <c r="F89" s="45" t="str">
        <f aca="false">IF($R89="","",INDEX(Anforderungen!$G:$G,$R89))</f>
        <v>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v>
      </c>
      <c r="G89" s="45" t="str">
        <f aca="false">IF($R89="","",INDEX(Anforderungen!$I:$I,$R89))</f>
        <v>offen</v>
      </c>
      <c r="H89" s="45" t="str">
        <f aca="false">IF($R89="","",INDEX(Anforderungen!$J:$J,$R89))</f>
        <v>–</v>
      </c>
      <c r="I89" s="45" t="str">
        <f aca="false">IF($R89="","",INDEX(Anforderungen!$K:$K,$R89))</f>
        <v>erfasst</v>
      </c>
      <c r="J89" s="46" t="n">
        <f aca="false">IF($R89="","",INDEX(Anforderungen!$L:$L,$R89))</f>
        <v>0</v>
      </c>
      <c r="K89" s="45" t="n">
        <f aca="false">IF($R89="","",INDEX(Anforderungen!$M:$M,$R89))</f>
        <v>0</v>
      </c>
      <c r="R89" s="0" t="n">
        <f aca="false">IFERROR(MATCH(ROWS($A$16:$A89),Anforderungen!$O$7:$O$2000,0)+6,"")</f>
        <v>80</v>
      </c>
    </row>
    <row r="90" customFormat="false" ht="30" hidden="false" customHeight="true" outlineLevel="0" collapsed="false">
      <c r="A90" s="45" t="str">
        <f aca="false">IF($R90="","",INDEX(Anforderungen!$B:$B,$R90))</f>
        <v>ANF-075</v>
      </c>
      <c r="B90" s="45" t="str">
        <f aca="false">IF($R90="","",INDEX(Anforderungen!$C:$C,$R90))</f>
        <v>Bieterfragenkatalog</v>
      </c>
      <c r="C90" s="45" t="str">
        <f aca="false">IF($R90="","",INDEX(Anforderungen!$D:$D,$R90))</f>
        <v>Nr. 23 / S. 3</v>
      </c>
      <c r="D90" s="45" t="str">
        <f aca="false">IF($R90="","",INDEX(Anforderungen!$E:$E,$R90))</f>
        <v>Flächen &amp; Genehmigungen</v>
      </c>
      <c r="E90" s="45" t="str">
        <f aca="false">IF($R90="","",INDEX(Anforderungen!$F:$F,$R90))</f>
        <v>Klarstellung: Zu etwaigen weiteren Ausschreibungen können keine Angaben gemacht werden.</v>
      </c>
      <c r="F90" s="45" t="str">
        <f aca="false">IF($R90="","",INDEX(Anforderungen!$G:$G,$R90))</f>
        <v>Kann es basierend auf dem Ausgang dieser Ausschreibung Einschränkungen bei der Losvergabe der kommenden Ausschreibung (bemannte Rastanlagen) geben? Z.B. zur Vermeidung lokaler Monopole?</v>
      </c>
      <c r="G90" s="45" t="str">
        <f aca="false">IF($R90="","",INDEX(Anforderungen!$I:$I,$R90))</f>
        <v>offen</v>
      </c>
      <c r="H90" s="45" t="str">
        <f aca="false">IF($R90="","",INDEX(Anforderungen!$J:$J,$R90))</f>
        <v>–</v>
      </c>
      <c r="I90" s="45" t="str">
        <f aca="false">IF($R90="","",INDEX(Anforderungen!$K:$K,$R90))</f>
        <v>erfasst</v>
      </c>
      <c r="J90" s="46" t="n">
        <f aca="false">IF($R90="","",INDEX(Anforderungen!$L:$L,$R90))</f>
        <v>0</v>
      </c>
      <c r="K90" s="45" t="n">
        <f aca="false">IF($R90="","",INDEX(Anforderungen!$M:$M,$R90))</f>
        <v>0</v>
      </c>
      <c r="R90" s="0" t="n">
        <f aca="false">IFERROR(MATCH(ROWS($A$16:$A90),Anforderungen!$O$7:$O$2000,0)+6,"")</f>
        <v>81</v>
      </c>
    </row>
    <row r="91" customFormat="false" ht="30" hidden="false" customHeight="true" outlineLevel="0" collapsed="false">
      <c r="A91" s="45" t="str">
        <f aca="false">IF($R91="","",INDEX(Anforderungen!$B:$B,$R91))</f>
        <v>ANF-076</v>
      </c>
      <c r="B91" s="45" t="str">
        <f aca="false">IF($R91="","",INDEX(Anforderungen!$C:$C,$R91))</f>
        <v>Bieterfragenkatalog</v>
      </c>
      <c r="C91" s="45" t="str">
        <f aca="false">IF($R91="","",INDEX(Anforderungen!$D:$D,$R91))</f>
        <v>Nr. 24 / S. 3</v>
      </c>
      <c r="D91" s="45" t="str">
        <f aca="false">IF($R91="","",INDEX(Anforderungen!$E:$E,$R91))</f>
        <v>Vertrag &amp; Recht</v>
      </c>
      <c r="E91" s="45" t="str">
        <f aca="false">IF($R91="","",INDEX(Anforderungen!$F:$F,$R91))</f>
        <v>Klarstellung: Das Betreiberentgelt als Vergütungsbestandteil richtet sich nach §40 des Vertrags (Anlage 01 zum Verfahrensbrief).</v>
      </c>
      <c r="F91" s="45" t="str">
        <f aca="false">IF($R91="","",INDEX(Anforderungen!$G:$G,$R91))</f>
        <v>Was ist im Detail unter dem "Betreiberentgelt" zu verstehen und aus welchen Bestandteilen setzt sich diese zusammen?</v>
      </c>
      <c r="G91" s="45" t="str">
        <f aca="false">IF($R91="","",INDEX(Anforderungen!$I:$I,$R91))</f>
        <v>offen</v>
      </c>
      <c r="H91" s="45" t="str">
        <f aca="false">IF($R91="","",INDEX(Anforderungen!$J:$J,$R91))</f>
        <v>–</v>
      </c>
      <c r="I91" s="45" t="str">
        <f aca="false">IF($R91="","",INDEX(Anforderungen!$K:$K,$R91))</f>
        <v>erfasst</v>
      </c>
      <c r="J91" s="46" t="n">
        <f aca="false">IF($R91="","",INDEX(Anforderungen!$L:$L,$R91))</f>
        <v>0</v>
      </c>
      <c r="K91" s="45" t="n">
        <f aca="false">IF($R91="","",INDEX(Anforderungen!$M:$M,$R91))</f>
        <v>0</v>
      </c>
      <c r="R91" s="0" t="n">
        <f aca="false">IFERROR(MATCH(ROWS($A$16:$A91),Anforderungen!$O$7:$O$2000,0)+6,"")</f>
        <v>82</v>
      </c>
    </row>
    <row r="92" customFormat="false" ht="30" hidden="false" customHeight="true" outlineLevel="0" collapsed="false">
      <c r="A92" s="45" t="str">
        <f aca="false">IF($R92="","",INDEX(Anforderungen!$B:$B,$R92))</f>
        <v>ANF-077</v>
      </c>
      <c r="B92" s="45" t="str">
        <f aca="false">IF($R92="","",INDEX(Anforderungen!$C:$C,$R92))</f>
        <v>Bieterfragenkatalog</v>
      </c>
      <c r="C92" s="45" t="str">
        <f aca="false">IF($R92="","",INDEX(Anforderungen!$D:$D,$R92))</f>
        <v>Nr. 25 / S. 3</v>
      </c>
      <c r="D92" s="45" t="str">
        <f aca="false">IF($R92="","",INDEX(Anforderungen!$E:$E,$R92))</f>
        <v>Reservierung</v>
      </c>
      <c r="E92" s="45" t="str">
        <f aca="false">IF($R92="","",INDEX(Anforderungen!$F:$F,$R92))</f>
        <v>Verneint: das Ad-hoc Entgelt soll nicht gemindert werden. § 19 Abs.</v>
      </c>
      <c r="F92" s="45" t="str">
        <f aca="false">IF($R92="","",INDEX(Anforderungen!$G:$G,$R92))</f>
        <v>§ 19: Ist es gewollt, dass bei Nutzung des Reservierungssystems und Ad-hoc Ladung die Erlöse für den AN gemindert werden?</v>
      </c>
      <c r="G92" s="45" t="str">
        <f aca="false">IF($R92="","",INDEX(Anforderungen!$I:$I,$R92))</f>
        <v>eRound / Reservierungsplattform</v>
      </c>
      <c r="H92" s="45" t="str">
        <f aca="false">IF($R92="","",INDEX(Anforderungen!$J:$J,$R92))</f>
        <v>Authentifizierungskomponente / OCPI Buchungskalender / Reservierungsplattform</v>
      </c>
      <c r="I92" s="45" t="str">
        <f aca="false">IF($R92="","",INDEX(Anforderungen!$K:$K,$R92))</f>
        <v>erfasst</v>
      </c>
      <c r="J92" s="46" t="n">
        <f aca="false">IF($R92="","",INDEX(Anforderungen!$L:$L,$R92))</f>
        <v>0</v>
      </c>
      <c r="K92" s="45" t="n">
        <f aca="false">IF($R92="","",INDEX(Anforderungen!$M:$M,$R92))</f>
        <v>0</v>
      </c>
      <c r="R92" s="0" t="n">
        <f aca="false">IFERROR(MATCH(ROWS($A$16:$A92),Anforderungen!$O$7:$O$2000,0)+6,"")</f>
        <v>83</v>
      </c>
    </row>
    <row r="93" customFormat="false" ht="30" hidden="false" customHeight="true" outlineLevel="0" collapsed="false">
      <c r="A93" s="45" t="str">
        <f aca="false">IF($R93="","",INDEX(Anforderungen!$B:$B,$R93))</f>
        <v>ANF-078</v>
      </c>
      <c r="B93" s="45" t="str">
        <f aca="false">IF($R93="","",INDEX(Anforderungen!$C:$C,$R93))</f>
        <v>Bieterfragenkatalog</v>
      </c>
      <c r="C93" s="45" t="str">
        <f aca="false">IF($R93="","",INDEX(Anforderungen!$D:$D,$R93))</f>
        <v>Nr. 26 / S. 3</v>
      </c>
      <c r="D93" s="45" t="str">
        <f aca="false">IF($R93="","",INDEX(Anforderungen!$E:$E,$R93))</f>
        <v>Vergabeverfahren &amp; Angebot</v>
      </c>
      <c r="E93" s="45" t="str">
        <f aca="false">IF($R93="","",INDEX(Anforderungen!$F:$F,$R93))</f>
        <v>Klarstellung: Die Angebotsfrist ist angemessen und auskömmlich. Eine Fristverlängerung erfolgt nicht.</v>
      </c>
      <c r="F93" s="45" t="str">
        <f aca="false">IF($R93="","",INDEX(Anforderungen!$G:$G,$R93))</f>
        <v>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v>
      </c>
      <c r="G93" s="45" t="str">
        <f aca="false">IF($R93="","",INDEX(Anforderungen!$I:$I,$R93))</f>
        <v>offen</v>
      </c>
      <c r="H93" s="45" t="str">
        <f aca="false">IF($R93="","",INDEX(Anforderungen!$J:$J,$R93))</f>
        <v>–</v>
      </c>
      <c r="I93" s="45" t="str">
        <f aca="false">IF($R93="","",INDEX(Anforderungen!$K:$K,$R93))</f>
        <v>trifft nicht zu</v>
      </c>
      <c r="J93" s="46" t="n">
        <f aca="false">IF($R93="","",INDEX(Anforderungen!$L:$L,$R93))</f>
        <v>0</v>
      </c>
      <c r="K93" s="45" t="str">
        <f aca="false">IF($R93="","",INDEX(Anforderungen!$M:$M,$R93))</f>
        <v>Automatisch ausgewertet: Betrifft das Vergabeverfahren (Angebot, Wertung, Unterlagen), nicht die zu erbringende Leistung. Keiner Komponente zugeordnet.</v>
      </c>
      <c r="R93" s="0" t="n">
        <f aca="false">IFERROR(MATCH(ROWS($A$16:$A93),Anforderungen!$O$7:$O$2000,0)+6,"")</f>
        <v>84</v>
      </c>
    </row>
    <row r="94" customFormat="false" ht="30" hidden="false" customHeight="true" outlineLevel="0" collapsed="false">
      <c r="A94" s="45" t="str">
        <f aca="false">IF($R94="","",INDEX(Anforderungen!$B:$B,$R94))</f>
        <v>ANF-079</v>
      </c>
      <c r="B94" s="45" t="str">
        <f aca="false">IF($R94="","",INDEX(Anforderungen!$C:$C,$R94))</f>
        <v>Bieterfragenkatalog</v>
      </c>
      <c r="C94" s="45" t="str">
        <f aca="false">IF($R94="","",INDEX(Anforderungen!$D:$D,$R94))</f>
        <v>Nr. 27 / S. 3</v>
      </c>
      <c r="D94" s="45" t="str">
        <f aca="false">IF($R94="","",INDEX(Anforderungen!$E:$E,$R94))</f>
        <v>Flächen &amp; Genehmigungen</v>
      </c>
      <c r="E94" s="45" t="str">
        <f aca="false">IF($R94="","",INDEX(Anforderungen!$F:$F,$R94))</f>
        <v>Klarstellung: Die ladeplatzbezogene Beleuchtung ist an die Niederspannungsanalage der Ladeinfrastruktur anzuschließen.</v>
      </c>
      <c r="F94" s="45" t="str">
        <f aca="false">IF($R94="","",INDEX(Anforderungen!$G:$G,$R94))</f>
        <v>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v>
      </c>
      <c r="G94" s="45" t="str">
        <f aca="false">IF($R94="","",INDEX(Anforderungen!$I:$I,$R94))</f>
        <v>Zuordnung prüfen</v>
      </c>
      <c r="H94" s="45" t="str">
        <f aca="false">IF($R94="","",INDEX(Anforderungen!$J:$J,$R94))</f>
        <v>Zuordnung prüfen</v>
      </c>
      <c r="I94" s="45" t="str">
        <f aca="false">IF($R94="","",INDEX(Anforderungen!$K:$K,$R94))</f>
        <v>erfasst</v>
      </c>
      <c r="J94" s="46" t="n">
        <f aca="false">IF($R94="","",INDEX(Anforderungen!$L:$L,$R94))</f>
        <v>0</v>
      </c>
      <c r="K94" s="45" t="n">
        <f aca="false">IF($R94="","",INDEX(Anforderungen!$M:$M,$R94))</f>
        <v>0</v>
      </c>
      <c r="R94" s="0" t="n">
        <f aca="false">IFERROR(MATCH(ROWS($A$16:$A94),Anforderungen!$O$7:$O$2000,0)+6,"")</f>
        <v>85</v>
      </c>
    </row>
    <row r="95" customFormat="false" ht="30" hidden="false" customHeight="true" outlineLevel="0" collapsed="false">
      <c r="A95" s="45" t="str">
        <f aca="false">IF($R95="","",INDEX(Anforderungen!$B:$B,$R95))</f>
        <v>ANF-080</v>
      </c>
      <c r="B95" s="45" t="str">
        <f aca="false">IF($R95="","",INDEX(Anforderungen!$C:$C,$R95))</f>
        <v>Bieterfragenkatalog</v>
      </c>
      <c r="C95" s="45" t="str">
        <f aca="false">IF($R95="","",INDEX(Anforderungen!$D:$D,$R95))</f>
        <v>Nr. 28 / S. 3</v>
      </c>
      <c r="D95" s="45" t="str">
        <f aca="false">IF($R95="","",INDEX(Anforderungen!$E:$E,$R95))</f>
        <v>Netzanschluss &amp; Energie</v>
      </c>
      <c r="E95" s="45" t="str">
        <f aca="false">IF($R95="","",INDEX(Anforderungen!$F:$F,$R95))</f>
        <v>Klarstellung: Die Endausbauleistung für jeden Standort finden Sie in der Vertragsanlage 5 "Details zum Netzanschluss" in der Spalte "beantragte Leistung 2035".</v>
      </c>
      <c r="F95" s="45" t="str">
        <f aca="false">IF($R95="","",INDEX(Anforderungen!$G:$G,$R95))</f>
        <v>Sämtliche Kabelführungen sind auf die Endausbauleistung im Jahr 2035 zu bemessen.Wir bitten um Angabe der Endausbauleistung für jeden Standort.</v>
      </c>
      <c r="G95" s="45" t="str">
        <f aca="false">IF($R95="","",INDEX(Anforderungen!$I:$I,$R95))</f>
        <v>offen</v>
      </c>
      <c r="H95" s="45" t="str">
        <f aca="false">IF($R95="","",INDEX(Anforderungen!$J:$J,$R95))</f>
        <v>–</v>
      </c>
      <c r="I95" s="45" t="str">
        <f aca="false">IF($R95="","",INDEX(Anforderungen!$K:$K,$R95))</f>
        <v>erfasst</v>
      </c>
      <c r="J95" s="46" t="n">
        <f aca="false">IF($R95="","",INDEX(Anforderungen!$L:$L,$R95))</f>
        <v>0</v>
      </c>
      <c r="K95" s="45" t="n">
        <f aca="false">IF($R95="","",INDEX(Anforderungen!$M:$M,$R95))</f>
        <v>0</v>
      </c>
      <c r="R95" s="0" t="n">
        <f aca="false">IFERROR(MATCH(ROWS($A$16:$A95),Anforderungen!$O$7:$O$2000,0)+6,"")</f>
        <v>86</v>
      </c>
    </row>
    <row r="96" customFormat="false" ht="30" hidden="false" customHeight="true" outlineLevel="0" collapsed="false">
      <c r="A96" s="45" t="str">
        <f aca="false">IF($R96="","",INDEX(Anforderungen!$B:$B,$R96))</f>
        <v>ANF-081</v>
      </c>
      <c r="B96" s="45" t="str">
        <f aca="false">IF($R96="","",INDEX(Anforderungen!$C:$C,$R96))</f>
        <v>Bieterfragenkatalog</v>
      </c>
      <c r="C96" s="45" t="str">
        <f aca="false">IF($R96="","",INDEX(Anforderungen!$D:$D,$R96))</f>
        <v>Nr. 29 / S. 3</v>
      </c>
      <c r="D96" s="45" t="str">
        <f aca="false">IF($R96="","",INDEX(Anforderungen!$E:$E,$R96))</f>
        <v>Vertrag &amp; Recht</v>
      </c>
      <c r="E96" s="45" t="str">
        <f aca="false">IF($R96="","",INDEX(Anforderungen!$F:$F,$R96))</f>
        <v>Klarstellung: Es ist vorgesehen, dass das Infrastrukturentgelt über alle Standorte berechnet wird.</v>
      </c>
      <c r="F96" s="45" t="str">
        <f aca="false">IF($R96="","",INDEX(Anforderungen!$G:$G,$R96))</f>
        <v>Wird das Infrastrukturentgelt standortbezogen, losbezogen (und damit anbieterbezogen) oder über alle Standorte berechnet?</v>
      </c>
      <c r="G96" s="45" t="str">
        <f aca="false">IF($R96="","",INDEX(Anforderungen!$I:$I,$R96))</f>
        <v>offen</v>
      </c>
      <c r="H96" s="45" t="str">
        <f aca="false">IF($R96="","",INDEX(Anforderungen!$J:$J,$R96))</f>
        <v>–</v>
      </c>
      <c r="I96" s="45" t="str">
        <f aca="false">IF($R96="","",INDEX(Anforderungen!$K:$K,$R96))</f>
        <v>erfasst</v>
      </c>
      <c r="J96" s="46" t="n">
        <f aca="false">IF($R96="","",INDEX(Anforderungen!$L:$L,$R96))</f>
        <v>0</v>
      </c>
      <c r="K96" s="45" t="n">
        <f aca="false">IF($R96="","",INDEX(Anforderungen!$M:$M,$R96))</f>
        <v>0</v>
      </c>
      <c r="R96" s="0" t="n">
        <f aca="false">IFERROR(MATCH(ROWS($A$16:$A96),Anforderungen!$O$7:$O$2000,0)+6,"")</f>
        <v>87</v>
      </c>
    </row>
    <row r="97" customFormat="false" ht="30" hidden="false" customHeight="true" outlineLevel="0" collapsed="false">
      <c r="A97" s="45" t="str">
        <f aca="false">IF($R97="","",INDEX(Anforderungen!$B:$B,$R97))</f>
        <v>ANF-082</v>
      </c>
      <c r="B97" s="45" t="str">
        <f aca="false">IF($R97="","",INDEX(Anforderungen!$C:$C,$R97))</f>
        <v>Bieterfragenkatalog</v>
      </c>
      <c r="C97" s="45" t="str">
        <f aca="false">IF($R97="","",INDEX(Anforderungen!$D:$D,$R97))</f>
        <v>Nr. 30 / S. 3</v>
      </c>
      <c r="D97" s="45" t="str">
        <f aca="false">IF($R97="","",INDEX(Anforderungen!$E:$E,$R97))</f>
        <v>Netzanschluss &amp; Energie</v>
      </c>
      <c r="E97" s="45" t="str">
        <f aca="false">IF($R97="","",INDEX(Anforderungen!$F:$F,$R97))</f>
        <v>Klarstellung: An der MS-Unterstation können Komponenten wie Ladetechnik, Schaltanlage und Versorgungstransformator angeschlossen sein.</v>
      </c>
      <c r="F97" s="45" t="str">
        <f aca="false">IF($R97="","",INDEX(Anforderungen!$G:$G,$R97))</f>
        <v>In allen Unterlagen im Ordner Vorplanung ist neben der MS-Station, auch eine MS-Unterstation. Welche Funktion hat die MS-Unterstation?</v>
      </c>
      <c r="G97" s="45" t="str">
        <f aca="false">IF($R97="","",INDEX(Anforderungen!$I:$I,$R97))</f>
        <v>offen</v>
      </c>
      <c r="H97" s="45" t="str">
        <f aca="false">IF($R97="","",INDEX(Anforderungen!$J:$J,$R97))</f>
        <v>–</v>
      </c>
      <c r="I97" s="45" t="str">
        <f aca="false">IF($R97="","",INDEX(Anforderungen!$K:$K,$R97))</f>
        <v>erfasst</v>
      </c>
      <c r="J97" s="46" t="n">
        <f aca="false">IF($R97="","",INDEX(Anforderungen!$L:$L,$R97))</f>
        <v>0</v>
      </c>
      <c r="K97" s="45" t="n">
        <f aca="false">IF($R97="","",INDEX(Anforderungen!$M:$M,$R97))</f>
        <v>0</v>
      </c>
      <c r="R97" s="0" t="n">
        <f aca="false">IFERROR(MATCH(ROWS($A$16:$A97),Anforderungen!$O$7:$O$2000,0)+6,"")</f>
        <v>88</v>
      </c>
    </row>
    <row r="98" customFormat="false" ht="30" hidden="false" customHeight="true" outlineLevel="0" collapsed="false">
      <c r="A98" s="45" t="str">
        <f aca="false">IF($R98="","",INDEX(Anforderungen!$B:$B,$R98))</f>
        <v>ANF-083</v>
      </c>
      <c r="B98" s="45" t="str">
        <f aca="false">IF($R98="","",INDEX(Anforderungen!$C:$C,$R98))</f>
        <v>Bieterfragenkatalog</v>
      </c>
      <c r="C98" s="45" t="str">
        <f aca="false">IF($R98="","",INDEX(Anforderungen!$D:$D,$R98))</f>
        <v>Nr. 31 / S. 3</v>
      </c>
      <c r="D98" s="45" t="str">
        <f aca="false">IF($R98="","",INDEX(Anforderungen!$E:$E,$R98))</f>
        <v>Flächen &amp; Genehmigungen</v>
      </c>
      <c r="E98" s="45" t="str">
        <f aca="false">IF($R98="","",INDEX(Anforderungen!$F:$F,$R98))</f>
        <v>Klarstellung: Die in Vertragsanlage 4, Kapitel 3.10.1 aufgeführten Anforderungen an die Beleuchtung sind zu erfüllen.</v>
      </c>
      <c r="F98" s="45" t="str">
        <f aca="false">IF($R98="","",INDEX(Anforderungen!$G:$G,$R98))</f>
        <v>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v>
      </c>
      <c r="G98" s="45" t="str">
        <f aca="false">IF($R98="","",INDEX(Anforderungen!$I:$I,$R98))</f>
        <v>Zuordnung prüfen</v>
      </c>
      <c r="H98" s="45" t="str">
        <f aca="false">IF($R98="","",INDEX(Anforderungen!$J:$J,$R98))</f>
        <v>Zuordnung prüfen</v>
      </c>
      <c r="I98" s="45" t="str">
        <f aca="false">IF($R98="","",INDEX(Anforderungen!$K:$K,$R98))</f>
        <v>erfasst</v>
      </c>
      <c r="J98" s="46" t="n">
        <f aca="false">IF($R98="","",INDEX(Anforderungen!$L:$L,$R98))</f>
        <v>0</v>
      </c>
      <c r="K98" s="45" t="n">
        <f aca="false">IF($R98="","",INDEX(Anforderungen!$M:$M,$R98))</f>
        <v>0</v>
      </c>
      <c r="R98" s="0" t="n">
        <f aca="false">IFERROR(MATCH(ROWS($A$16:$A98),Anforderungen!$O$7:$O$2000,0)+6,"")</f>
        <v>89</v>
      </c>
    </row>
    <row r="99" customFormat="false" ht="30" hidden="false" customHeight="true" outlineLevel="0" collapsed="false">
      <c r="A99" s="45" t="str">
        <f aca="false">IF($R99="","",INDEX(Anforderungen!$B:$B,$R99))</f>
        <v>ANF-084</v>
      </c>
      <c r="B99" s="45" t="str">
        <f aca="false">IF($R99="","",INDEX(Anforderungen!$C:$C,$R99))</f>
        <v>Bieterfragenkatalog</v>
      </c>
      <c r="C99" s="45" t="str">
        <f aca="false">IF($R99="","",INDEX(Anforderungen!$D:$D,$R99))</f>
        <v>Nr. 32 / S. 3</v>
      </c>
      <c r="D99" s="45" t="str">
        <f aca="false">IF($R99="","",INDEX(Anforderungen!$E:$E,$R99))</f>
        <v>Netzanschluss &amp; Energie</v>
      </c>
      <c r="E99" s="45" t="str">
        <f aca="false">IF($R99="","",INDEX(Anforderungen!$F:$F,$R99))</f>
        <v>Klarstellung: Die Installationsaktivitäten sind in den jeweiligen Kostengruppen mitzuberücksichtigen.</v>
      </c>
      <c r="F99" s="45" t="str">
        <f aca="false">IF($R99="","",INDEX(Anforderungen!$G:$G,$R99))</f>
        <v>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v>
      </c>
      <c r="G99" s="45" t="str">
        <f aca="false">IF($R99="","",INDEX(Anforderungen!$I:$I,$R99))</f>
        <v>Alpitronic</v>
      </c>
      <c r="H99" s="45" t="str">
        <f aca="false">IF($R99="","",INDEX(Anforderungen!$J:$J,$R99))</f>
        <v>Ladeeinrichtung</v>
      </c>
      <c r="I99" s="45" t="str">
        <f aca="false">IF($R99="","",INDEX(Anforderungen!$K:$K,$R99))</f>
        <v>erfasst</v>
      </c>
      <c r="J99" s="46" t="n">
        <f aca="false">IF($R99="","",INDEX(Anforderungen!$L:$L,$R99))</f>
        <v>0</v>
      </c>
      <c r="K99" s="45" t="n">
        <f aca="false">IF($R99="","",INDEX(Anforderungen!$M:$M,$R99))</f>
        <v>0</v>
      </c>
      <c r="R99" s="0" t="n">
        <f aca="false">IFERROR(MATCH(ROWS($A$16:$A99),Anforderungen!$O$7:$O$2000,0)+6,"")</f>
        <v>90</v>
      </c>
    </row>
    <row r="100" customFormat="false" ht="30" hidden="false" customHeight="true" outlineLevel="0" collapsed="false">
      <c r="A100" s="45" t="str">
        <f aca="false">IF($R100="","",INDEX(Anforderungen!$B:$B,$R100))</f>
        <v>ANF-085</v>
      </c>
      <c r="B100" s="45" t="str">
        <f aca="false">IF($R100="","",INDEX(Anforderungen!$C:$C,$R100))</f>
        <v>Bieterfragenkatalog</v>
      </c>
      <c r="C100" s="45" t="str">
        <f aca="false">IF($R100="","",INDEX(Anforderungen!$D:$D,$R100))</f>
        <v>Nr. 33 / S. 3</v>
      </c>
      <c r="D100" s="45" t="str">
        <f aca="false">IF($R100="","",INDEX(Anforderungen!$E:$E,$R100))</f>
        <v>Reservierung</v>
      </c>
      <c r="E100" s="45" t="str">
        <f aca="false">IF($R100="","",INDEX(Anforderungen!$F:$F,$R100))</f>
        <v>Zusage / Ankündigung: Die Möglichkeiten und Rahmenbedingungen der Reservierung werden Teil der Bieterverhandlungen sein, hierbei wird insbesondere auch zu erörtern sein, inwieweit die Reservierung von Energiemengen bzw. die Angabe des benötigten …</v>
      </c>
      <c r="F100" s="45" t="str">
        <f aca="false">IF($R100="","",INDEX(Anforderungen!$G:$G,$R100))</f>
        <v>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v>
      </c>
      <c r="G100" s="45" t="str">
        <f aca="false">IF($R100="","",INDEX(Anforderungen!$I:$I,$R100))</f>
        <v>eRound / SCS</v>
      </c>
      <c r="H100" s="45" t="str">
        <f aca="false">IF($R100="","",INDEX(Anforderungen!$J:$J,$R100))</f>
        <v>Schrankensteuerung / OCPI Buchungskalender / Pönalisierungssystem</v>
      </c>
      <c r="I100" s="45" t="str">
        <f aca="false">IF($R100="","",INDEX(Anforderungen!$K:$K,$R100))</f>
        <v>erfasst</v>
      </c>
      <c r="J100" s="46" t="n">
        <f aca="false">IF($R100="","",INDEX(Anforderungen!$L:$L,$R100))</f>
        <v>0</v>
      </c>
      <c r="K100" s="45" t="n">
        <f aca="false">IF($R100="","",INDEX(Anforderungen!$M:$M,$R100))</f>
        <v>0</v>
      </c>
      <c r="R100" s="0" t="n">
        <f aca="false">IFERROR(MATCH(ROWS($A$16:$A100),Anforderungen!$O$7:$O$2000,0)+6,"")</f>
        <v>91</v>
      </c>
    </row>
    <row r="101" customFormat="false" ht="30" hidden="false" customHeight="true" outlineLevel="0" collapsed="false">
      <c r="A101" s="45" t="str">
        <f aca="false">IF($R101="","",INDEX(Anforderungen!$B:$B,$R101))</f>
        <v>ANF-086</v>
      </c>
      <c r="B101" s="45" t="str">
        <f aca="false">IF($R101="","",INDEX(Anforderungen!$C:$C,$R101))</f>
        <v>Bieterfragenkatalog</v>
      </c>
      <c r="C101" s="45" t="str">
        <f aca="false">IF($R101="","",INDEX(Anforderungen!$D:$D,$R101))</f>
        <v>Nr. 34 / S. 3</v>
      </c>
      <c r="D101" s="45" t="str">
        <f aca="false">IF($R101="","",INDEX(Anforderungen!$E:$E,$R101))</f>
        <v>Flächen &amp; Genehmigungen</v>
      </c>
      <c r="E101" s="45" t="str">
        <f aca="false">IF($R101="","",INDEX(Anforderungen!$F:$F,$R101))</f>
        <v>Klarstellung: Sofern sich Ihre Frage auf die Dokumente Anlage 2 zum Verfahrensbrief "Gesamtübersicht über die Lose", Vertragsanlage 2 "Standortübersicht (losspezifisch)" und Anlage 5 zum Verfahrensbrief "Karte zur Losaufteilung" bezieht wurden …</v>
      </c>
      <c r="F101" s="45" t="str">
        <f aca="false">IF($R101="","",INDEX(Anforderungen!$G:$G,$R101))</f>
        <v>Aus der Bereitstellung der neuen Unterlagen am 17.01. geht nicht hervor, welche Änderungen im Vergleich zu den Originalversionen vorgenommen wurden. Kann das bitte kenntlich gemacht werden?</v>
      </c>
      <c r="G101" s="45" t="str">
        <f aca="false">IF($R101="","",INDEX(Anforderungen!$I:$I,$R101))</f>
        <v>offen</v>
      </c>
      <c r="H101" s="45" t="str">
        <f aca="false">IF($R101="","",INDEX(Anforderungen!$J:$J,$R101))</f>
        <v>–</v>
      </c>
      <c r="I101" s="45" t="str">
        <f aca="false">IF($R101="","",INDEX(Anforderungen!$K:$K,$R101))</f>
        <v>erfasst</v>
      </c>
      <c r="J101" s="46" t="n">
        <f aca="false">IF($R101="","",INDEX(Anforderungen!$L:$L,$R101))</f>
        <v>0</v>
      </c>
      <c r="K101" s="45" t="n">
        <f aca="false">IF($R101="","",INDEX(Anforderungen!$M:$M,$R101))</f>
        <v>0</v>
      </c>
      <c r="R101" s="0" t="n">
        <f aca="false">IFERROR(MATCH(ROWS($A$16:$A101),Anforderungen!$O$7:$O$2000,0)+6,"")</f>
        <v>92</v>
      </c>
    </row>
    <row r="102" customFormat="false" ht="30" hidden="false" customHeight="true" outlineLevel="0" collapsed="false">
      <c r="A102" s="45" t="str">
        <f aca="false">IF($R102="","",INDEX(Anforderungen!$B:$B,$R102))</f>
        <v>ANF-087</v>
      </c>
      <c r="B102" s="45" t="str">
        <f aca="false">IF($R102="","",INDEX(Anforderungen!$C:$C,$R102))</f>
        <v>Bieterfragenkatalog</v>
      </c>
      <c r="C102" s="45" t="str">
        <f aca="false">IF($R102="","",INDEX(Anforderungen!$D:$D,$R102))</f>
        <v>Nr. 35 / S. 3</v>
      </c>
      <c r="D102" s="45" t="str">
        <f aca="false">IF($R102="","",INDEX(Anforderungen!$E:$E,$R102))</f>
        <v>Netzanschluss &amp; Energie</v>
      </c>
      <c r="E102" s="45" t="str">
        <f aca="false">IF($R102="","",INDEX(Anforderungen!$F:$F,$R102))</f>
        <v>Verneint: es wurde - wie sich aus den §§ 27 ff. ergibt - nicht gestrichen.</v>
      </c>
      <c r="F102" s="45" t="str">
        <f aca="false">IF($R102="","",INDEX(Anforderungen!$G:$G,$R102))</f>
        <v>Ist das Durchleitungsmodell nicht mehr Grundvoraussetzung für ein Angebot? In den neuen Vertragsunterlagen wurde es unter §3 gestrichen.</v>
      </c>
      <c r="G102" s="45" t="str">
        <f aca="false">IF($R102="","",INDEX(Anforderungen!$I:$I,$R102))</f>
        <v>offen</v>
      </c>
      <c r="H102" s="45" t="str">
        <f aca="false">IF($R102="","",INDEX(Anforderungen!$J:$J,$R102))</f>
        <v>–</v>
      </c>
      <c r="I102" s="45" t="str">
        <f aca="false">IF($R102="","",INDEX(Anforderungen!$K:$K,$R102))</f>
        <v>erfasst</v>
      </c>
      <c r="J102" s="46" t="n">
        <f aca="false">IF($R102="","",INDEX(Anforderungen!$L:$L,$R102))</f>
        <v>0</v>
      </c>
      <c r="K102" s="45" t="n">
        <f aca="false">IF($R102="","",INDEX(Anforderungen!$M:$M,$R102))</f>
        <v>0</v>
      </c>
      <c r="R102" s="0" t="n">
        <f aca="false">IFERROR(MATCH(ROWS($A$16:$A102),Anforderungen!$O$7:$O$2000,0)+6,"")</f>
        <v>93</v>
      </c>
    </row>
    <row r="103" customFormat="false" ht="30" hidden="false" customHeight="true" outlineLevel="0" collapsed="false">
      <c r="A103" s="45" t="str">
        <f aca="false">IF($R103="","",INDEX(Anforderungen!$B:$B,$R103))</f>
        <v>ANF-088</v>
      </c>
      <c r="B103" s="45" t="str">
        <f aca="false">IF($R103="","",INDEX(Anforderungen!$C:$C,$R103))</f>
        <v>Bieterfragenkatalog</v>
      </c>
      <c r="C103" s="45" t="str">
        <f aca="false">IF($R103="","",INDEX(Anforderungen!$D:$D,$R103))</f>
        <v>Nr. 36 / S. 3</v>
      </c>
      <c r="D103" s="45" t="str">
        <f aca="false">IF($R103="","",INDEX(Anforderungen!$E:$E,$R103))</f>
        <v>Flächen &amp; Genehmigungen</v>
      </c>
      <c r="E103" s="45" t="str">
        <f aca="false">IF($R103="","",INDEX(Anforderungen!$F:$F,$R103))</f>
        <v>Vorgaben bleiben unverändert: Soweit nicht ausdrücklich etwas anderes geregelt wird, sind die Bieter an die Vorgaben der Vertragsanlage 4 (Leistungsbeschreibung Errichtung) gebunden.</v>
      </c>
      <c r="F103" s="45" t="str">
        <f aca="false">IF($R103="","",INDEX(Anforderungen!$G:$G,$R103))</f>
        <v>Warum sind gemäß Vorplanungen die MCS-Aufstellflächen 4 Meter breit und die CCS Aufstellflächen nur 3 Meter breit? Sind wir daran gebunden so zu bauen?</v>
      </c>
      <c r="G103" s="45" t="str">
        <f aca="false">IF($R103="","",INDEX(Anforderungen!$I:$I,$R103))</f>
        <v>offen</v>
      </c>
      <c r="H103" s="45" t="str">
        <f aca="false">IF($R103="","",INDEX(Anforderungen!$J:$J,$R103))</f>
        <v>–</v>
      </c>
      <c r="I103" s="45" t="str">
        <f aca="false">IF($R103="","",INDEX(Anforderungen!$K:$K,$R103))</f>
        <v>erfasst</v>
      </c>
      <c r="J103" s="46" t="n">
        <f aca="false">IF($R103="","",INDEX(Anforderungen!$L:$L,$R103))</f>
        <v>0</v>
      </c>
      <c r="K103" s="45" t="n">
        <f aca="false">IF($R103="","",INDEX(Anforderungen!$M:$M,$R103))</f>
        <v>0</v>
      </c>
      <c r="R103" s="0" t="n">
        <f aca="false">IFERROR(MATCH(ROWS($A$16:$A103),Anforderungen!$O$7:$O$2000,0)+6,"")</f>
        <v>94</v>
      </c>
    </row>
    <row r="104" customFormat="false" ht="30" hidden="false" customHeight="true" outlineLevel="0" collapsed="false">
      <c r="A104" s="45" t="str">
        <f aca="false">IF($R104="","",INDEX(Anforderungen!$B:$B,$R104))</f>
        <v>ANF-089</v>
      </c>
      <c r="B104" s="45" t="str">
        <f aca="false">IF($R104="","",INDEX(Anforderungen!$C:$C,$R104))</f>
        <v>Bieterfragenkatalog</v>
      </c>
      <c r="C104" s="45" t="str">
        <f aca="false">IF($R104="","",INDEX(Anforderungen!$D:$D,$R104))</f>
        <v>Nr. 37 / S. 4</v>
      </c>
      <c r="D104" s="45" t="str">
        <f aca="false">IF($R104="","",INDEX(Anforderungen!$E:$E,$R104))</f>
        <v>Vergabeverfahren &amp; Angebot</v>
      </c>
      <c r="E104" s="45" t="str">
        <f aca="false">IF($R104="","",INDEX(Anforderungen!$F:$F,$R104))</f>
        <v>Klarstellung: Ein entsprechendes Vorgehen ist aktuell nicht vorgesehen. Gegenstand dieses Vergabeverfahrens ist ausschließlich LKW Ladeinfrastruktur.</v>
      </c>
      <c r="F104" s="45" t="str">
        <f aca="false">IF($R104="","",INDEX(Anforderungen!$G:$G,$R104))</f>
        <v>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v>
      </c>
      <c r="G104" s="45" t="str">
        <f aca="false">IF($R104="","",INDEX(Anforderungen!$I:$I,$R104))</f>
        <v>offen</v>
      </c>
      <c r="H104" s="45" t="str">
        <f aca="false">IF($R104="","",INDEX(Anforderungen!$J:$J,$R104))</f>
        <v>–</v>
      </c>
      <c r="I104" s="45" t="str">
        <f aca="false">IF($R104="","",INDEX(Anforderungen!$K:$K,$R104))</f>
        <v>trifft nicht zu</v>
      </c>
      <c r="J104" s="46" t="n">
        <f aca="false">IF($R104="","",INDEX(Anforderungen!$L:$L,$R104))</f>
        <v>0</v>
      </c>
      <c r="K104" s="45" t="str">
        <f aca="false">IF($R104="","",INDEX(Anforderungen!$M:$M,$R104))</f>
        <v>Automatisch ausgewertet: Betrifft das Vergabeverfahren (Angebot, Wertung, Unterlagen), nicht die zu erbringende Leistung. Keiner Komponente zugeordnet.</v>
      </c>
      <c r="R104" s="0" t="n">
        <f aca="false">IFERROR(MATCH(ROWS($A$16:$A104),Anforderungen!$O$7:$O$2000,0)+6,"")</f>
        <v>95</v>
      </c>
    </row>
    <row r="105" customFormat="false" ht="30" hidden="false" customHeight="true" outlineLevel="0" collapsed="false">
      <c r="A105" s="45" t="str">
        <f aca="false">IF($R105="","",INDEX(Anforderungen!$B:$B,$R105))</f>
        <v>ANF-090</v>
      </c>
      <c r="B105" s="45" t="str">
        <f aca="false">IF($R105="","",INDEX(Anforderungen!$C:$C,$R105))</f>
        <v>Bieterfragenkatalog</v>
      </c>
      <c r="C105" s="45" t="str">
        <f aca="false">IF($R105="","",INDEX(Anforderungen!$D:$D,$R105))</f>
        <v>Nr. 38 / S. 4</v>
      </c>
      <c r="D105" s="45" t="str">
        <f aca="false">IF($R105="","",INDEX(Anforderungen!$E:$E,$R105))</f>
        <v>Vergabeverfahren &amp; Angebot</v>
      </c>
      <c r="E105" s="45" t="str">
        <f aca="false">IF($R105="","",INDEX(Anforderungen!$F:$F,$R105))</f>
        <v>Klarstellung: Da es sich bei der Angabe um Mindestmengen handelt, können die Mengengrudnsätzlich auch in den jeweiligen Jahren vorgezogen werden.</v>
      </c>
      <c r="F105" s="45" t="str">
        <f aca="false">IF($R105="","",INDEX(Anforderungen!$G:$G,$R105))</f>
        <v>Der Bau verteilt sich auf 2026 bis 2030, wobei hier die Mindestmenge angegeben wird. Können die Mengen in den jeweiligen Jahren vorgezogen werden? Wenn ja, bis zu welchem Maße?</v>
      </c>
      <c r="G105" s="45" t="str">
        <f aca="false">IF($R105="","",INDEX(Anforderungen!$I:$I,$R105))</f>
        <v>offen</v>
      </c>
      <c r="H105" s="45" t="str">
        <f aca="false">IF($R105="","",INDEX(Anforderungen!$J:$J,$R105))</f>
        <v>–</v>
      </c>
      <c r="I105" s="45" t="str">
        <f aca="false">IF($R105="","",INDEX(Anforderungen!$K:$K,$R105))</f>
        <v>trifft nicht zu</v>
      </c>
      <c r="J105" s="46" t="n">
        <f aca="false">IF($R105="","",INDEX(Anforderungen!$L:$L,$R105))</f>
        <v>0</v>
      </c>
      <c r="K105" s="45" t="str">
        <f aca="false">IF($R105="","",INDEX(Anforderungen!$M:$M,$R105))</f>
        <v>Automatisch ausgewertet: Betrifft das Vergabeverfahren (Angebot, Wertung, Unterlagen), nicht die zu erbringende Leistung. Keiner Komponente zugeordnet.</v>
      </c>
      <c r="R105" s="0" t="n">
        <f aca="false">IFERROR(MATCH(ROWS($A$16:$A105),Anforderungen!$O$7:$O$2000,0)+6,"")</f>
        <v>96</v>
      </c>
    </row>
    <row r="106" customFormat="false" ht="30" hidden="false" customHeight="true" outlineLevel="0" collapsed="false">
      <c r="A106" s="45" t="str">
        <f aca="false">IF($R106="","",INDEX(Anforderungen!$B:$B,$R106))</f>
        <v>ANF-091</v>
      </c>
      <c r="B106" s="45" t="str">
        <f aca="false">IF($R106="","",INDEX(Anforderungen!$C:$C,$R106))</f>
        <v>Bieterfragenkatalog</v>
      </c>
      <c r="C106" s="45" t="str">
        <f aca="false">IF($R106="","",INDEX(Anforderungen!$D:$D,$R106))</f>
        <v>Nr. 39 / S. 4</v>
      </c>
      <c r="D106" s="45" t="str">
        <f aca="false">IF($R106="","",INDEX(Anforderungen!$E:$E,$R106))</f>
        <v>Netzanschluss &amp; Energie</v>
      </c>
      <c r="E106" s="45" t="str">
        <f aca="false">IF($R106="","",INDEX(Anforderungen!$F:$F,$R106))</f>
        <v>Klarstellung: Die entsprechenden Informationen werden den Bietern im weiteren Vergabeverfahren mitgeteilt, sobald sie dem AG von dem jeweilgien Netzbetreiber vorliegen.</v>
      </c>
      <c r="F106" s="45" t="str">
        <f aca="false">IF($R106="","",INDEX(Anforderungen!$G:$G,$R106))</f>
        <v>Wie und wann erhält man Info zur MSP-Ebene, 10/20 oder 30 kV macht einen großen Preisunterschied und ist für die Kalkulation wesentlich.</v>
      </c>
      <c r="G106" s="45" t="str">
        <f aca="false">IF($R106="","",INDEX(Anforderungen!$I:$I,$R106))</f>
        <v>offen</v>
      </c>
      <c r="H106" s="45" t="str">
        <f aca="false">IF($R106="","",INDEX(Anforderungen!$J:$J,$R106))</f>
        <v>–</v>
      </c>
      <c r="I106" s="45" t="str">
        <f aca="false">IF($R106="","",INDEX(Anforderungen!$K:$K,$R106))</f>
        <v>erfasst</v>
      </c>
      <c r="J106" s="46" t="n">
        <f aca="false">IF($R106="","",INDEX(Anforderungen!$L:$L,$R106))</f>
        <v>0</v>
      </c>
      <c r="K106" s="45" t="n">
        <f aca="false">IF($R106="","",INDEX(Anforderungen!$M:$M,$R106))</f>
        <v>0</v>
      </c>
      <c r="R106" s="0" t="n">
        <f aca="false">IFERROR(MATCH(ROWS($A$16:$A106),Anforderungen!$O$7:$O$2000,0)+6,"")</f>
        <v>97</v>
      </c>
    </row>
    <row r="107" customFormat="false" ht="30" hidden="false" customHeight="true" outlineLevel="0" collapsed="false">
      <c r="A107" s="45" t="str">
        <f aca="false">IF($R107="","",INDEX(Anforderungen!$B:$B,$R107))</f>
        <v>ANF-092</v>
      </c>
      <c r="B107" s="45" t="str">
        <f aca="false">IF($R107="","",INDEX(Anforderungen!$C:$C,$R107))</f>
        <v>Bieterfragenkatalog</v>
      </c>
      <c r="C107" s="45" t="str">
        <f aca="false">IF($R107="","",INDEX(Anforderungen!$D:$D,$R107))</f>
        <v>Nr. 40 / S. 4</v>
      </c>
      <c r="D107" s="45" t="str">
        <f aca="false">IF($R107="","",INDEX(Anforderungen!$E:$E,$R107))</f>
        <v>Nutzungszeit &amp; Entgelte</v>
      </c>
      <c r="E107" s="45" t="str">
        <f aca="false">IF($R107="","",INDEX(Anforderungen!$F:$F,$R107))</f>
        <v>Klarstellung: Es wird auf §24 Abs. 3 des Vertrages sowie Ziffer 10 der Vertragsanlage 06 "Anforderungen an die Ladeeinrichtung" verwiesen.</v>
      </c>
      <c r="F107" s="45" t="str">
        <f aca="false">IF($R107="","",INDEX(Anforderungen!$G:$G,$R107))</f>
        <v>An jedem Ladepunkt sollen CEE Steckdosen für die Trailer vorhanden sein, muss die Abrechnung eichrechtskonform erfolgen? Zu welchen Konditionen sind die Stromerlöse zwischen AG und AN zu kalkulieren? Sind festgelegte Preise vorgesehen?</v>
      </c>
      <c r="G107" s="45" t="str">
        <f aca="false">IF($R107="","",INDEX(Anforderungen!$I:$I,$R107))</f>
        <v>Alpitronic / eRound</v>
      </c>
      <c r="H107" s="45" t="str">
        <f aca="false">IF($R107="","",INDEX(Anforderungen!$J:$J,$R107))</f>
        <v>Abrechnungskomponente / Ladeeinrichtung</v>
      </c>
      <c r="I107" s="45" t="str">
        <f aca="false">IF($R107="","",INDEX(Anforderungen!$K:$K,$R107))</f>
        <v>erfasst</v>
      </c>
      <c r="J107" s="46" t="n">
        <f aca="false">IF($R107="","",INDEX(Anforderungen!$L:$L,$R107))</f>
        <v>0</v>
      </c>
      <c r="K107" s="45" t="n">
        <f aca="false">IF($R107="","",INDEX(Anforderungen!$M:$M,$R107))</f>
        <v>0</v>
      </c>
      <c r="R107" s="0" t="n">
        <f aca="false">IFERROR(MATCH(ROWS($A$16:$A107),Anforderungen!$O$7:$O$2000,0)+6,"")</f>
        <v>98</v>
      </c>
    </row>
    <row r="108" customFormat="false" ht="30" hidden="false" customHeight="true" outlineLevel="0" collapsed="false">
      <c r="A108" s="45" t="str">
        <f aca="false">IF($R108="","",INDEX(Anforderungen!$B:$B,$R108))</f>
        <v>ANF-093</v>
      </c>
      <c r="B108" s="45" t="str">
        <f aca="false">IF($R108="","",INDEX(Anforderungen!$C:$C,$R108))</f>
        <v>Bieterfragenkatalog</v>
      </c>
      <c r="C108" s="45" t="str">
        <f aca="false">IF($R108="","",INDEX(Anforderungen!$D:$D,$R108))</f>
        <v>Nr. 41 / S. 4</v>
      </c>
      <c r="D108" s="45" t="str">
        <f aca="false">IF($R108="","",INDEX(Anforderungen!$E:$E,$R108))</f>
        <v>Sonstiges / Zuordnung prüfen</v>
      </c>
      <c r="E108" s="45" t="str">
        <f aca="false">IF($R108="","",INDEX(Anforderungen!$F:$F,$R108))</f>
        <v>Klarstellung: Der AG wird die Unterlagen im weiteren Vergabeverfahren zur Verfügung stellen.</v>
      </c>
      <c r="F108" s="45" t="str">
        <f aca="false">IF($R108="","",INDEX(Anforderungen!$G:$G,$R108))</f>
        <v>Kap. 3.1: Lt. Seite 16 ist die Tabelle von Seite 15 nur beispielhaft. Eine vollständige Liste der zu erstellenden und einzureichenden Unterlagen kann dem Anhang 8 entnommenen werden. Diese fehlt in den Ausschreibungsunterlagen. Bitte um Verteilung des Anhangs 8.</v>
      </c>
      <c r="G108" s="45" t="str">
        <f aca="false">IF($R108="","",INDEX(Anforderungen!$I:$I,$R108))</f>
        <v>Zuordnung prüfen</v>
      </c>
      <c r="H108" s="45" t="str">
        <f aca="false">IF($R108="","",INDEX(Anforderungen!$J:$J,$R108))</f>
        <v>Zuordnung prüfen</v>
      </c>
      <c r="I108" s="45" t="str">
        <f aca="false">IF($R108="","",INDEX(Anforderungen!$K:$K,$R108))</f>
        <v>erfasst</v>
      </c>
      <c r="J108" s="46" t="n">
        <f aca="false">IF($R108="","",INDEX(Anforderungen!$L:$L,$R108))</f>
        <v>0</v>
      </c>
      <c r="K108" s="45" t="n">
        <f aca="false">IF($R108="","",INDEX(Anforderungen!$M:$M,$R108))</f>
        <v>0</v>
      </c>
      <c r="R108" s="0" t="n">
        <f aca="false">IFERROR(MATCH(ROWS($A$16:$A108),Anforderungen!$O$7:$O$2000,0)+6,"")</f>
        <v>99</v>
      </c>
    </row>
    <row r="109" customFormat="false" ht="30" hidden="false" customHeight="true" outlineLevel="0" collapsed="false">
      <c r="A109" s="45" t="str">
        <f aca="false">IF($R109="","",INDEX(Anforderungen!$B:$B,$R109))</f>
        <v>ANF-094</v>
      </c>
      <c r="B109" s="45" t="str">
        <f aca="false">IF($R109="","",INDEX(Anforderungen!$C:$C,$R109))</f>
        <v>Bieterfragenkatalog</v>
      </c>
      <c r="C109" s="45" t="str">
        <f aca="false">IF($R109="","",INDEX(Anforderungen!$D:$D,$R109))</f>
        <v>Nr. 42 / S. 4</v>
      </c>
      <c r="D109" s="45" t="str">
        <f aca="false">IF($R109="","",INDEX(Anforderungen!$E:$E,$R109))</f>
        <v>Bau &amp; Dokumentation</v>
      </c>
      <c r="E109" s="45" t="str">
        <f aca="false">IF($R109="","",INDEX(Anforderungen!$F:$F,$R109))</f>
        <v>Klarstellung: Es ist nicht klar, was mit Sicherheitsaudits gemeint ist. Sofern Verkehrssicherheitsaudits gemeint sind, haben diese einmalig im Rahmen der Baufreigabefreigabe zu erfolgen.</v>
      </c>
      <c r="F109" s="45" t="str">
        <f aca="false">IF($R109="","",INDEX(Anforderungen!$G:$G,$R109))</f>
        <v>Sind Sicherheitsaudits durchzuführen? Wenn ja, sind die Leistungen vom AN zu erbringen und wie oft durchzuführen?</v>
      </c>
      <c r="G109" s="45" t="str">
        <f aca="false">IF($R109="","",INDEX(Anforderungen!$I:$I,$R109))</f>
        <v>offen</v>
      </c>
      <c r="H109" s="45" t="str">
        <f aca="false">IF($R109="","",INDEX(Anforderungen!$J:$J,$R109))</f>
        <v>–</v>
      </c>
      <c r="I109" s="45" t="str">
        <f aca="false">IF($R109="","",INDEX(Anforderungen!$K:$K,$R109))</f>
        <v>erfasst</v>
      </c>
      <c r="J109" s="46" t="n">
        <f aca="false">IF($R109="","",INDEX(Anforderungen!$L:$L,$R109))</f>
        <v>0</v>
      </c>
      <c r="K109" s="45" t="n">
        <f aca="false">IF($R109="","",INDEX(Anforderungen!$M:$M,$R109))</f>
        <v>0</v>
      </c>
      <c r="R109" s="0" t="n">
        <f aca="false">IFERROR(MATCH(ROWS($A$16:$A109),Anforderungen!$O$7:$O$2000,0)+6,"")</f>
        <v>100</v>
      </c>
    </row>
    <row r="110" customFormat="false" ht="30" hidden="false" customHeight="true" outlineLevel="0" collapsed="false">
      <c r="A110" s="45" t="str">
        <f aca="false">IF($R110="","",INDEX(Anforderungen!$B:$B,$R110))</f>
        <v>ANF-095</v>
      </c>
      <c r="B110" s="45" t="str">
        <f aca="false">IF($R110="","",INDEX(Anforderungen!$C:$C,$R110))</f>
        <v>Bieterfragenkatalog</v>
      </c>
      <c r="C110" s="45" t="str">
        <f aca="false">IF($R110="","",INDEX(Anforderungen!$D:$D,$R110))</f>
        <v>Nr. 43 / S. 4</v>
      </c>
      <c r="D110" s="45" t="str">
        <f aca="false">IF($R110="","",INDEX(Anforderungen!$E:$E,$R110))</f>
        <v>Flächen &amp; Genehmigungen</v>
      </c>
      <c r="E110" s="45" t="str">
        <f aca="false">IF($R110="","",INDEX(Anforderungen!$F:$F,$R110))</f>
        <v>Klarstellung: Eine Kanalnetzberechnung ist erforderlich, sofern das Regenwassernetz angepasst/ verändert wird.</v>
      </c>
      <c r="F110" s="45" t="str">
        <f aca="false">IF($R110="","",INDEX(Anforderungen!$G:$G,$R110))</f>
        <v>Kap. 3.8.2: Den vorliegenden Unterlagen ist nicht zu entnehmen, ob eine Kanalnetzberechnung der gesamten Rastanlage erforderlich ist. Bitte um Präzisierung der erforderlichen Leistungen.</v>
      </c>
      <c r="G110" s="45" t="str">
        <f aca="false">IF($R110="","",INDEX(Anforderungen!$I:$I,$R110))</f>
        <v>offen</v>
      </c>
      <c r="H110" s="45" t="str">
        <f aca="false">IF($R110="","",INDEX(Anforderungen!$J:$J,$R110))</f>
        <v>–</v>
      </c>
      <c r="I110" s="45" t="str">
        <f aca="false">IF($R110="","",INDEX(Anforderungen!$K:$K,$R110))</f>
        <v>erfasst</v>
      </c>
      <c r="J110" s="46" t="n">
        <f aca="false">IF($R110="","",INDEX(Anforderungen!$L:$L,$R110))</f>
        <v>0</v>
      </c>
      <c r="K110" s="45" t="n">
        <f aca="false">IF($R110="","",INDEX(Anforderungen!$M:$M,$R110))</f>
        <v>0</v>
      </c>
      <c r="R110" s="0" t="n">
        <f aca="false">IFERROR(MATCH(ROWS($A$16:$A110),Anforderungen!$O$7:$O$2000,0)+6,"")</f>
        <v>101</v>
      </c>
    </row>
    <row r="111" customFormat="false" ht="30" hidden="false" customHeight="true" outlineLevel="0" collapsed="false">
      <c r="A111" s="45" t="str">
        <f aca="false">IF($R111="","",INDEX(Anforderungen!$B:$B,$R111))</f>
        <v>ANF-096</v>
      </c>
      <c r="B111" s="45" t="str">
        <f aca="false">IF($R111="","",INDEX(Anforderungen!$C:$C,$R111))</f>
        <v>Bieterfragenkatalog</v>
      </c>
      <c r="C111" s="45" t="str">
        <f aca="false">IF($R111="","",INDEX(Anforderungen!$D:$D,$R111))</f>
        <v>Nr. 44 / S. 4</v>
      </c>
      <c r="D111" s="45" t="str">
        <f aca="false">IF($R111="","",INDEX(Anforderungen!$E:$E,$R111))</f>
        <v>Vergabeverfahren &amp; Angebot</v>
      </c>
      <c r="E111" s="45" t="str">
        <f aca="false">IF($R111="","",INDEX(Anforderungen!$F:$F,$R111))</f>
        <v>Klarstellung: Ein entsprechendes Vorgehen ist, soweit hinsichtlich der jeweiligen konkreten Unterlage sinnvoll, vorgesehen.</v>
      </c>
      <c r="F111" s="45" t="str">
        <f aca="false">IF($R111="","",INDEX(Anforderungen!$G:$G,$R111))</f>
        <v>Bereitstellung von ChangeVersion für sämtliche Unterlagen: Wir bitte darum, bei zukünftigen Änderung der Ausschreibungsunterlagen eine ChangeVersion des jeweiligen Dokuments bereitzustellen um ein Anpassung der Vergabeunterlagen nachvollziehen zu können.</v>
      </c>
      <c r="G111" s="45" t="str">
        <f aca="false">IF($R111="","",INDEX(Anforderungen!$I:$I,$R111))</f>
        <v>offen</v>
      </c>
      <c r="H111" s="45" t="str">
        <f aca="false">IF($R111="","",INDEX(Anforderungen!$J:$J,$R111))</f>
        <v>–</v>
      </c>
      <c r="I111" s="45" t="str">
        <f aca="false">IF($R111="","",INDEX(Anforderungen!$K:$K,$R111))</f>
        <v>trifft nicht zu</v>
      </c>
      <c r="J111" s="46" t="n">
        <f aca="false">IF($R111="","",INDEX(Anforderungen!$L:$L,$R111))</f>
        <v>0</v>
      </c>
      <c r="K111" s="45" t="str">
        <f aca="false">IF($R111="","",INDEX(Anforderungen!$M:$M,$R111))</f>
        <v>Automatisch ausgewertet: Betrifft das Vergabeverfahren (Angebot, Wertung, Unterlagen), nicht die zu erbringende Leistung. Keiner Komponente zugeordnet.</v>
      </c>
      <c r="R111" s="0" t="n">
        <f aca="false">IFERROR(MATCH(ROWS($A$16:$A111),Anforderungen!$O$7:$O$2000,0)+6,"")</f>
        <v>102</v>
      </c>
    </row>
    <row r="112" customFormat="false" ht="30" hidden="false" customHeight="true" outlineLevel="0" collapsed="false">
      <c r="A112" s="45" t="str">
        <f aca="false">IF($R112="","",INDEX(Anforderungen!$B:$B,$R112))</f>
        <v>ANF-097</v>
      </c>
      <c r="B112" s="45" t="str">
        <f aca="false">IF($R112="","",INDEX(Anforderungen!$C:$C,$R112))</f>
        <v>Bieterfragenkatalog</v>
      </c>
      <c r="C112" s="45" t="str">
        <f aca="false">IF($R112="","",INDEX(Anforderungen!$D:$D,$R112))</f>
        <v>Nr. 45 / S. 4</v>
      </c>
      <c r="D112" s="45" t="str">
        <f aca="false">IF($R112="","",INDEX(Anforderungen!$E:$E,$R112))</f>
        <v>Netzanschluss &amp; Energie</v>
      </c>
      <c r="E112" s="45" t="str">
        <f aca="false">IF($R112="","",INDEX(Anforderungen!$F:$F,$R112))</f>
        <v>Klarstellung: Zu den Systemkosten wird aktuell im Vertrag keine ausdrückliche Aussage getroffen. Allerdings ist der Auftragnehmer nach § 44 Abs.</v>
      </c>
      <c r="F112" s="45" t="str">
        <f aca="false">IF($R112="","",INDEX(Anforderungen!$G:$G,$R112))</f>
        <v>§ 44, Abs. 1.: Der AG kann an Standorten Speicher aufstellen. Wir bitten um Bestätigung, dass der AG auch die Kosten des Systemanschlusses trägt.</v>
      </c>
      <c r="G112" s="45" t="str">
        <f aca="false">IF($R112="","",INDEX(Anforderungen!$I:$I,$R112))</f>
        <v>offen</v>
      </c>
      <c r="H112" s="45" t="str">
        <f aca="false">IF($R112="","",INDEX(Anforderungen!$J:$J,$R112))</f>
        <v>–</v>
      </c>
      <c r="I112" s="45" t="str">
        <f aca="false">IF($R112="","",INDEX(Anforderungen!$K:$K,$R112))</f>
        <v>erfasst</v>
      </c>
      <c r="J112" s="46" t="n">
        <f aca="false">IF($R112="","",INDEX(Anforderungen!$L:$L,$R112))</f>
        <v>0</v>
      </c>
      <c r="K112" s="45" t="n">
        <f aca="false">IF($R112="","",INDEX(Anforderungen!$M:$M,$R112))</f>
        <v>0</v>
      </c>
      <c r="R112" s="0" t="n">
        <f aca="false">IFERROR(MATCH(ROWS($A$16:$A112),Anforderungen!$O$7:$O$2000,0)+6,"")</f>
        <v>103</v>
      </c>
    </row>
    <row r="113" customFormat="false" ht="30" hidden="false" customHeight="true" outlineLevel="0" collapsed="false">
      <c r="A113" s="45" t="str">
        <f aca="false">IF($R113="","",INDEX(Anforderungen!$B:$B,$R113))</f>
        <v>ANF-098</v>
      </c>
      <c r="B113" s="45" t="str">
        <f aca="false">IF($R113="","",INDEX(Anforderungen!$C:$C,$R113))</f>
        <v>Bieterfragenkatalog</v>
      </c>
      <c r="C113" s="45" t="str">
        <f aca="false">IF($R113="","",INDEX(Anforderungen!$D:$D,$R113))</f>
        <v>Nr. 46 / S. 4</v>
      </c>
      <c r="D113" s="45" t="str">
        <f aca="false">IF($R113="","",INDEX(Anforderungen!$E:$E,$R113))</f>
        <v>Netzanschluss &amp; Energie</v>
      </c>
      <c r="E113" s="45" t="str">
        <f aca="false">IF($R113="","",INDEX(Anforderungen!$F:$F,$R113))</f>
        <v>Klarstellung: Anzahl und Größe der zum Einsatz kommenden Speicher stehen aktuell noch nicht fest, da der Anschlussprozess der Standorte parallel zum Vergabeverfahren läuft.</v>
      </c>
      <c r="F113" s="45" t="str">
        <f aca="false">IF($R113="","",INDEX(Anforderungen!$G:$G,$R113))</f>
        <v>§ 44, Abs. 1. sowie § 18 Abs. 4: Der AG kann an Standorten Speicher aufstellen. Für die Instandhaltung des Speichers soll der AN verpflichtet sein. Zur Kalkulation de Instandhaltungskosten bitten wir um Angabe der Anzahl und jeweiligen Größe der Speicher.</v>
      </c>
      <c r="G113" s="45" t="str">
        <f aca="false">IF($R113="","",INDEX(Anforderungen!$I:$I,$R113))</f>
        <v>offen</v>
      </c>
      <c r="H113" s="45" t="str">
        <f aca="false">IF($R113="","",INDEX(Anforderungen!$J:$J,$R113))</f>
        <v>–</v>
      </c>
      <c r="I113" s="45" t="str">
        <f aca="false">IF($R113="","",INDEX(Anforderungen!$K:$K,$R113))</f>
        <v>erfasst</v>
      </c>
      <c r="J113" s="46" t="n">
        <f aca="false">IF($R113="","",INDEX(Anforderungen!$L:$L,$R113))</f>
        <v>0</v>
      </c>
      <c r="K113" s="45" t="n">
        <f aca="false">IF($R113="","",INDEX(Anforderungen!$M:$M,$R113))</f>
        <v>0</v>
      </c>
      <c r="R113" s="0" t="n">
        <f aca="false">IFERROR(MATCH(ROWS($A$16:$A113),Anforderungen!$O$7:$O$2000,0)+6,"")</f>
        <v>104</v>
      </c>
    </row>
    <row r="114" customFormat="false" ht="30" hidden="false" customHeight="true" outlineLevel="0" collapsed="false">
      <c r="A114" s="45" t="str">
        <f aca="false">IF($R114="","",INDEX(Anforderungen!$B:$B,$R114))</f>
        <v>ANF-099</v>
      </c>
      <c r="B114" s="45" t="str">
        <f aca="false">IF($R114="","",INDEX(Anforderungen!$C:$C,$R114))</f>
        <v>Bieterfragenkatalog</v>
      </c>
      <c r="C114" s="45" t="str">
        <f aca="false">IF($R114="","",INDEX(Anforderungen!$D:$D,$R114))</f>
        <v>Nr. 47 / S. 4</v>
      </c>
      <c r="D114" s="45" t="str">
        <f aca="false">IF($R114="","",INDEX(Anforderungen!$E:$E,$R114))</f>
        <v>Netzanschluss &amp; Energie</v>
      </c>
      <c r="E114" s="45" t="str">
        <f aca="false">IF($R114="","",INDEX(Anforderungen!$F:$F,$R114))</f>
        <v>Klarstellung: Für die Kalkulation der Erstangebote ist zu unterstellen, dass keine Vermarktung erfolgt. Etwaige Vermarktungstätigkeiten können zum Gegenstand der Bieterverhandlungen gemacht werden.</v>
      </c>
      <c r="F114" s="45" t="str">
        <f aca="false">IF($R114="","",INDEX(Anforderungen!$G:$G,$R114))</f>
        <v>§ 44, Abs. 3.: Der AN kann einen Speicher vermarkten, allerdings nur nach Zustimmung des AG. Zur Kalkulation möglicher Einnahmen bitten wir um Festlegung von Randbedingungen, unter denen eine Zustimmung des AG erfolgt. Andernfalls ist eine Kalkulation von Einnahmen nicht möglich.</v>
      </c>
      <c r="G114" s="45" t="str">
        <f aca="false">IF($R114="","",INDEX(Anforderungen!$I:$I,$R114))</f>
        <v>offen</v>
      </c>
      <c r="H114" s="45" t="str">
        <f aca="false">IF($R114="","",INDEX(Anforderungen!$J:$J,$R114))</f>
        <v>–</v>
      </c>
      <c r="I114" s="45" t="str">
        <f aca="false">IF($R114="","",INDEX(Anforderungen!$K:$K,$R114))</f>
        <v>erfasst</v>
      </c>
      <c r="J114" s="46" t="n">
        <f aca="false">IF($R114="","",INDEX(Anforderungen!$L:$L,$R114))</f>
        <v>0</v>
      </c>
      <c r="K114" s="45" t="n">
        <f aca="false">IF($R114="","",INDEX(Anforderungen!$M:$M,$R114))</f>
        <v>0</v>
      </c>
      <c r="R114" s="0" t="n">
        <f aca="false">IFERROR(MATCH(ROWS($A$16:$A114),Anforderungen!$O$7:$O$2000,0)+6,"")</f>
        <v>105</v>
      </c>
    </row>
    <row r="115" customFormat="false" ht="30" hidden="false" customHeight="true" outlineLevel="0" collapsed="false">
      <c r="A115" s="45" t="str">
        <f aca="false">IF($R115="","",INDEX(Anforderungen!$B:$B,$R115))</f>
        <v>ANF-100</v>
      </c>
      <c r="B115" s="45" t="str">
        <f aca="false">IF($R115="","",INDEX(Anforderungen!$C:$C,$R115))</f>
        <v>Bieterfragenkatalog</v>
      </c>
      <c r="C115" s="45" t="str">
        <f aca="false">IF($R115="","",INDEX(Anforderungen!$D:$D,$R115))</f>
        <v>Nr. 48 / S. 4</v>
      </c>
      <c r="D115" s="45" t="str">
        <f aca="false">IF($R115="","",INDEX(Anforderungen!$E:$E,$R115))</f>
        <v>Netzanschluss &amp; Energie</v>
      </c>
      <c r="E115" s="45" t="str">
        <f aca="false">IF($R115="","",INDEX(Anforderungen!$F:$F,$R115))</f>
        <v>Verneint: dieses Verständnis ist nicht korrekt. Die Startleistung ist eine Mindestleistung, die dann relevant wird, wenn sowohl die für 2030 geplanten Leistungen für die zu errichtenden Ladepunkte als auch die beantragte …</v>
      </c>
      <c r="F115" s="45" t="str">
        <f aca="false">IF($R115="","",INDEX(Anforderungen!$G:$G,$R115))</f>
        <v>Details zum Netzanschluss: Ist das Verständnis richtig, dass die Startleistung 2026 bereits heute vorliegend ist und somit in 2026 auf jeden Fall zur Verfügung stehen wird?</v>
      </c>
      <c r="G115" s="45" t="str">
        <f aca="false">IF($R115="","",INDEX(Anforderungen!$I:$I,$R115))</f>
        <v>offen</v>
      </c>
      <c r="H115" s="45" t="str">
        <f aca="false">IF($R115="","",INDEX(Anforderungen!$J:$J,$R115))</f>
        <v>–</v>
      </c>
      <c r="I115" s="45" t="str">
        <f aca="false">IF($R115="","",INDEX(Anforderungen!$K:$K,$R115))</f>
        <v>erfasst</v>
      </c>
      <c r="J115" s="46" t="n">
        <f aca="false">IF($R115="","",INDEX(Anforderungen!$L:$L,$R115))</f>
        <v>0</v>
      </c>
      <c r="K115" s="45" t="n">
        <f aca="false">IF($R115="","",INDEX(Anforderungen!$M:$M,$R115))</f>
        <v>0</v>
      </c>
      <c r="R115" s="0" t="n">
        <f aca="false">IFERROR(MATCH(ROWS($A$16:$A115),Anforderungen!$O$7:$O$2000,0)+6,"")</f>
        <v>106</v>
      </c>
    </row>
    <row r="116" customFormat="false" ht="30" hidden="false" customHeight="true" outlineLevel="0" collapsed="false">
      <c r="A116" s="45" t="str">
        <f aca="false">IF($R116="","",INDEX(Anforderungen!$B:$B,$R116))</f>
        <v>ANF-101</v>
      </c>
      <c r="B116" s="45" t="str">
        <f aca="false">IF($R116="","",INDEX(Anforderungen!$C:$C,$R116))</f>
        <v>Bieterfragenkatalog</v>
      </c>
      <c r="C116" s="45" t="str">
        <f aca="false">IF($R116="","",INDEX(Anforderungen!$D:$D,$R116))</f>
        <v>Nr. 49 / S. 4</v>
      </c>
      <c r="D116" s="45" t="str">
        <f aca="false">IF($R116="","",INDEX(Anforderungen!$E:$E,$R116))</f>
        <v>Vertrag &amp; Recht</v>
      </c>
      <c r="E116" s="45" t="str">
        <f aca="false">IF($R116="","",INDEX(Anforderungen!$F:$F,$R116))</f>
        <v>Bestätigt: dies ist möglich.</v>
      </c>
      <c r="F116" s="45" t="str">
        <f aca="false">IF($R116="","",INDEX(Anforderungen!$G:$G,$R116))</f>
        <v>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v>
      </c>
      <c r="G116" s="45" t="str">
        <f aca="false">IF($R116="","",INDEX(Anforderungen!$I:$I,$R116))</f>
        <v>offen</v>
      </c>
      <c r="H116" s="45" t="str">
        <f aca="false">IF($R116="","",INDEX(Anforderungen!$J:$J,$R116))</f>
        <v>–</v>
      </c>
      <c r="I116" s="45" t="str">
        <f aca="false">IF($R116="","",INDEX(Anforderungen!$K:$K,$R116))</f>
        <v>erfasst</v>
      </c>
      <c r="J116" s="46" t="n">
        <f aca="false">IF($R116="","",INDEX(Anforderungen!$L:$L,$R116))</f>
        <v>0</v>
      </c>
      <c r="K116" s="45" t="n">
        <f aca="false">IF($R116="","",INDEX(Anforderungen!$M:$M,$R116))</f>
        <v>0</v>
      </c>
      <c r="R116" s="0" t="n">
        <f aca="false">IFERROR(MATCH(ROWS($A$16:$A116),Anforderungen!$O$7:$O$2000,0)+6,"")</f>
        <v>107</v>
      </c>
    </row>
    <row r="117" customFormat="false" ht="30" hidden="false" customHeight="true" outlineLevel="0" collapsed="false">
      <c r="A117" s="45" t="str">
        <f aca="false">IF($R117="","",INDEX(Anforderungen!$B:$B,$R117))</f>
        <v>ANF-102</v>
      </c>
      <c r="B117" s="45" t="str">
        <f aca="false">IF($R117="","",INDEX(Anforderungen!$C:$C,$R117))</f>
        <v>Bieterfragenkatalog</v>
      </c>
      <c r="C117" s="45" t="str">
        <f aca="false">IF($R117="","",INDEX(Anforderungen!$D:$D,$R117))</f>
        <v>Nr. 50 / S. 4</v>
      </c>
      <c r="D117" s="45" t="str">
        <f aca="false">IF($R117="","",INDEX(Anforderungen!$E:$E,$R117))</f>
        <v>Vertrag &amp; Recht</v>
      </c>
      <c r="E117" s="45" t="str">
        <f aca="false">IF($R117="","",INDEX(Anforderungen!$F:$F,$R117))</f>
        <v>Klarstellung: Bei der Personalaufstellung im Rahmen des Errichtungskonzepts sind die Personen zu benennen, die im Auftragsfall die Errichtung vornehmen.</v>
      </c>
      <c r="F117" s="45" t="str">
        <f aca="false">IF($R117="","",INDEX(Anforderungen!$G:$G,$R117))</f>
        <v>Gehen wir recht in der Annahme, dass beim Errichtungskonzept (Personalaufstellung) lediglich die beim Bieter angestellten Personale zu nennen sind (und nur diese bewertet werden) und damit Personale von Nachunternehmern nicht zu nennen sind (und damit nicht bewertet werden)?</v>
      </c>
      <c r="G117" s="45" t="str">
        <f aca="false">IF($R117="","",INDEX(Anforderungen!$I:$I,$R117))</f>
        <v>offen</v>
      </c>
      <c r="H117" s="45" t="str">
        <f aca="false">IF($R117="","",INDEX(Anforderungen!$J:$J,$R117))</f>
        <v>–</v>
      </c>
      <c r="I117" s="45" t="str">
        <f aca="false">IF($R117="","",INDEX(Anforderungen!$K:$K,$R117))</f>
        <v>erfasst</v>
      </c>
      <c r="J117" s="46" t="n">
        <f aca="false">IF($R117="","",INDEX(Anforderungen!$L:$L,$R117))</f>
        <v>0</v>
      </c>
      <c r="K117" s="45" t="n">
        <f aca="false">IF($R117="","",INDEX(Anforderungen!$M:$M,$R117))</f>
        <v>0</v>
      </c>
      <c r="R117" s="0" t="n">
        <f aca="false">IFERROR(MATCH(ROWS($A$16:$A117),Anforderungen!$O$7:$O$2000,0)+6,"")</f>
        <v>108</v>
      </c>
    </row>
    <row r="118" customFormat="false" ht="30" hidden="false" customHeight="true" outlineLevel="0" collapsed="false">
      <c r="A118" s="45" t="str">
        <f aca="false">IF($R118="","",INDEX(Anforderungen!$B:$B,$R118))</f>
        <v>ANF-103</v>
      </c>
      <c r="B118" s="45" t="str">
        <f aca="false">IF($R118="","",INDEX(Anforderungen!$C:$C,$R118))</f>
        <v>Bieterfragenkatalog</v>
      </c>
      <c r="C118" s="45" t="str">
        <f aca="false">IF($R118="","",INDEX(Anforderungen!$D:$D,$R118))</f>
        <v>Nr. 51 / S. 4</v>
      </c>
      <c r="D118" s="45" t="str">
        <f aca="false">IF($R118="","",INDEX(Anforderungen!$E:$E,$R118))</f>
        <v>Authentifizierung &amp; Zugang</v>
      </c>
      <c r="E118" s="45" t="str">
        <f aca="false">IF($R118="","",INDEX(Anforderungen!$F:$F,$R118))</f>
        <v>Verneint: das Durchleitungsmodell steht nicht zur Disposiition des Auftragnehmers, ihr Verstädnis ist unzutreffend.</v>
      </c>
      <c r="F118" s="45" t="str">
        <f aca="false">IF($R118="","",INDEX(Anforderungen!$G:$G,$R118))</f>
        <v>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v>
      </c>
      <c r="G118" s="45" t="str">
        <f aca="false">IF($R118="","",INDEX(Anforderungen!$I:$I,$R118))</f>
        <v>eRound</v>
      </c>
      <c r="H118" s="45" t="str">
        <f aca="false">IF($R118="","",INDEX(Anforderungen!$J:$J,$R118))</f>
        <v>Authentifizierungskomponente / OCPI Buchungskalender</v>
      </c>
      <c r="I118" s="45" t="str">
        <f aca="false">IF($R118="","",INDEX(Anforderungen!$K:$K,$R118))</f>
        <v>erfasst</v>
      </c>
      <c r="J118" s="46" t="n">
        <f aca="false">IF($R118="","",INDEX(Anforderungen!$L:$L,$R118))</f>
        <v>0</v>
      </c>
      <c r="K118" s="45" t="n">
        <f aca="false">IF($R118="","",INDEX(Anforderungen!$M:$M,$R118))</f>
        <v>0</v>
      </c>
      <c r="R118" s="0" t="n">
        <f aca="false">IFERROR(MATCH(ROWS($A$16:$A118),Anforderungen!$O$7:$O$2000,0)+6,"")</f>
        <v>109</v>
      </c>
    </row>
    <row r="119" customFormat="false" ht="30" hidden="false" customHeight="true" outlineLevel="0" collapsed="false">
      <c r="A119" s="45" t="str">
        <f aca="false">IF($R119="","",INDEX(Anforderungen!$B:$B,$R119))</f>
        <v>ANF-104</v>
      </c>
      <c r="B119" s="45" t="str">
        <f aca="false">IF($R119="","",INDEX(Anforderungen!$C:$C,$R119))</f>
        <v>Bieterfragenkatalog</v>
      </c>
      <c r="C119" s="45" t="str">
        <f aca="false">IF($R119="","",INDEX(Anforderungen!$D:$D,$R119))</f>
        <v>Nr. 52 / S. 5</v>
      </c>
      <c r="D119" s="45" t="str">
        <f aca="false">IF($R119="","",INDEX(Anforderungen!$E:$E,$R119))</f>
        <v>Technik Ladeinfrastruktur</v>
      </c>
      <c r="E119" s="45" t="str">
        <f aca="false">IF($R119="","",INDEX(Anforderungen!$F:$F,$R119))</f>
        <v>Klarstellung: Die Form der Angabe, KPI (bspw. Stromstärke über Temperatur und Zeit) oder Leistungskurven der Ladeeinrichtung (Anm.: Ladekurven beziehen sich auf Fahrzeuge), bleiben dem Bieter überlassen.</v>
      </c>
      <c r="F119" s="45" t="str">
        <f aca="false">IF($R119="","",INDEX(Anforderungen!$G:$G,$R119))</f>
        <v>Ziff. 2.1., 2.2.1., 2.2.2. Das Derating-Verhalten ist dem AG anzugeben. In welcher Form wird die Angabe erwartet? Ladekurven oder KPIs zu den jeweiligen Temperaturen?</v>
      </c>
      <c r="G119" s="45" t="str">
        <f aca="false">IF($R119="","",INDEX(Anforderungen!$I:$I,$R119))</f>
        <v>Alpitronic</v>
      </c>
      <c r="H119" s="45" t="str">
        <f aca="false">IF($R119="","",INDEX(Anforderungen!$J:$J,$R119))</f>
        <v>Ladeeinrichtung</v>
      </c>
      <c r="I119" s="45" t="str">
        <f aca="false">IF($R119="","",INDEX(Anforderungen!$K:$K,$R119))</f>
        <v>erfasst</v>
      </c>
      <c r="J119" s="46" t="n">
        <f aca="false">IF($R119="","",INDEX(Anforderungen!$L:$L,$R119))</f>
        <v>0</v>
      </c>
      <c r="K119" s="45" t="n">
        <f aca="false">IF($R119="","",INDEX(Anforderungen!$M:$M,$R119))</f>
        <v>0</v>
      </c>
      <c r="R119" s="0" t="n">
        <f aca="false">IFERROR(MATCH(ROWS($A$16:$A119),Anforderungen!$O$7:$O$2000,0)+6,"")</f>
        <v>110</v>
      </c>
    </row>
    <row r="120" customFormat="false" ht="30" hidden="false" customHeight="true" outlineLevel="0" collapsed="false">
      <c r="A120" s="45" t="str">
        <f aca="false">IF($R120="","",INDEX(Anforderungen!$B:$B,$R120))</f>
        <v>ANF-105</v>
      </c>
      <c r="B120" s="45" t="str">
        <f aca="false">IF($R120="","",INDEX(Anforderungen!$C:$C,$R120))</f>
        <v>Bieterfragenkatalog</v>
      </c>
      <c r="C120" s="45" t="str">
        <f aca="false">IF($R120="","",INDEX(Anforderungen!$D:$D,$R120))</f>
        <v>Nr. 53 / S. 5</v>
      </c>
      <c r="D120" s="45" t="str">
        <f aca="false">IF($R120="","",INDEX(Anforderungen!$E:$E,$R120))</f>
        <v>Netzanschluss &amp; Energie</v>
      </c>
      <c r="E120" s="45" t="str">
        <f aca="false">IF($R120="","",INDEX(Anforderungen!$F:$F,$R120))</f>
        <v>Verneint: es gibt keine konkrete Vorgabe, welche Ladeplätze mit den CCS-Übernacht- und welche mit den CCS-Zwischenladepunkte ausgestattet werden sollen.</v>
      </c>
      <c r="F120" s="45" t="str">
        <f aca="false">IF($R120="","",INDEX(Anforderungen!$G:$G,$R120))</f>
        <v>Gibt es innerhalb der für CCS vorgesehenen Ladeplätze konkretere Vorgaben, welche Ladeplätze mit den CCS-Übernacht- und welche mit den CCS-Zwischenladepunkte ausgestattet werden sollen? (z.B CCS- Zwischenladen immer direkt neben MCS?)</v>
      </c>
      <c r="G120" s="45" t="str">
        <f aca="false">IF($R120="","",INDEX(Anforderungen!$I:$I,$R120))</f>
        <v>offen</v>
      </c>
      <c r="H120" s="45" t="str">
        <f aca="false">IF($R120="","",INDEX(Anforderungen!$J:$J,$R120))</f>
        <v>–</v>
      </c>
      <c r="I120" s="45" t="str">
        <f aca="false">IF($R120="","",INDEX(Anforderungen!$K:$K,$R120))</f>
        <v>erfasst</v>
      </c>
      <c r="J120" s="46" t="n">
        <f aca="false">IF($R120="","",INDEX(Anforderungen!$L:$L,$R120))</f>
        <v>0</v>
      </c>
      <c r="K120" s="45" t="n">
        <f aca="false">IF($R120="","",INDEX(Anforderungen!$M:$M,$R120))</f>
        <v>0</v>
      </c>
      <c r="R120" s="0" t="n">
        <f aca="false">IFERROR(MATCH(ROWS($A$16:$A120),Anforderungen!$O$7:$O$2000,0)+6,"")</f>
        <v>111</v>
      </c>
    </row>
    <row r="121" customFormat="false" ht="30" hidden="false" customHeight="true" outlineLevel="0" collapsed="false">
      <c r="A121" s="45" t="str">
        <f aca="false">IF($R121="","",INDEX(Anforderungen!$B:$B,$R121))</f>
        <v>ANF-106</v>
      </c>
      <c r="B121" s="45" t="str">
        <f aca="false">IF($R121="","",INDEX(Anforderungen!$C:$C,$R121))</f>
        <v>Bieterfragenkatalog</v>
      </c>
      <c r="C121" s="45" t="str">
        <f aca="false">IF($R121="","",INDEX(Anforderungen!$D:$D,$R121))</f>
        <v>Nr. 54 / S. 5</v>
      </c>
      <c r="D121" s="45" t="str">
        <f aca="false">IF($R121="","",INDEX(Anforderungen!$E:$E,$R121))</f>
        <v>Netzanschluss &amp; Energie</v>
      </c>
      <c r="E121" s="45" t="str">
        <f aca="false">IF($R121="","",INDEX(Anforderungen!$F:$F,$R121))</f>
        <v>Klarstellung: Die Entscheidung erfolgt im Einvernehmen zwischen dem AG und dem AN. Soweit ein Einvernehmen nicht hergestellt werden kann, trifft der AG die Entscheidung.</v>
      </c>
      <c r="F121" s="45" t="str">
        <f aca="false">IF($R121="","",INDEX(Anforderungen!$G:$G,$R121))</f>
        <v>Wer entscheidet, wann, welche Ladepunkte wie gedrosselt werden, wenn zu Projektbeginn nicht ausreichend Netzanschlussleistung bereitsteht?</v>
      </c>
      <c r="G121" s="45" t="str">
        <f aca="false">IF($R121="","",INDEX(Anforderungen!$I:$I,$R121))</f>
        <v>offen</v>
      </c>
      <c r="H121" s="45" t="str">
        <f aca="false">IF($R121="","",INDEX(Anforderungen!$J:$J,$R121))</f>
        <v>–</v>
      </c>
      <c r="I121" s="45" t="str">
        <f aca="false">IF($R121="","",INDEX(Anforderungen!$K:$K,$R121))</f>
        <v>erfasst</v>
      </c>
      <c r="J121" s="46" t="n">
        <f aca="false">IF($R121="","",INDEX(Anforderungen!$L:$L,$R121))</f>
        <v>0</v>
      </c>
      <c r="K121" s="45" t="n">
        <f aca="false">IF($R121="","",INDEX(Anforderungen!$M:$M,$R121))</f>
        <v>0</v>
      </c>
      <c r="R121" s="0" t="n">
        <f aca="false">IFERROR(MATCH(ROWS($A$16:$A121),Anforderungen!$O$7:$O$2000,0)+6,"")</f>
        <v>112</v>
      </c>
    </row>
    <row r="122" customFormat="false" ht="30" hidden="false" customHeight="true" outlineLevel="0" collapsed="false">
      <c r="A122" s="45" t="str">
        <f aca="false">IF($R122="","",INDEX(Anforderungen!$B:$B,$R122))</f>
        <v>ANF-107</v>
      </c>
      <c r="B122" s="45" t="str">
        <f aca="false">IF($R122="","",INDEX(Anforderungen!$C:$C,$R122))</f>
        <v>Bieterfragenkatalog</v>
      </c>
      <c r="C122" s="45" t="str">
        <f aca="false">IF($R122="","",INDEX(Anforderungen!$D:$D,$R122))</f>
        <v>Nr. 55 / S. 5</v>
      </c>
      <c r="D122" s="45" t="str">
        <f aca="false">IF($R122="","",INDEX(Anforderungen!$E:$E,$R122))</f>
        <v>Bau &amp; Dokumentation</v>
      </c>
      <c r="E122" s="45" t="str">
        <f aca="false">IF($R122="","",INDEX(Anforderungen!$F:$F,$R122))</f>
        <v>Verweis des Auftraggebers auf die Antwort zu Bieterfrage 41.</v>
      </c>
      <c r="F122" s="45" t="str">
        <f aca="false">IF($R122="","",INDEX(Anforderungen!$G:$G,$R122))</f>
        <v>Vertragsanlage 4, Anhang 8 (Unterlagenliste Baufreigabe) ist nicht Teil der Ausschreibungsunterlagen. (Fehlt)</v>
      </c>
      <c r="G122" s="45" t="str">
        <f aca="false">IF($R122="","",INDEX(Anforderungen!$I:$I,$R122))</f>
        <v>offen</v>
      </c>
      <c r="H122" s="45" t="str">
        <f aca="false">IF($R122="","",INDEX(Anforderungen!$J:$J,$R122))</f>
        <v>–</v>
      </c>
      <c r="I122" s="45" t="str">
        <f aca="false">IF($R122="","",INDEX(Anforderungen!$K:$K,$R122))</f>
        <v>trifft nicht zu</v>
      </c>
      <c r="J122" s="46" t="n">
        <f aca="false">IF($R122="","",INDEX(Anforderungen!$L:$L,$R122))</f>
        <v>0</v>
      </c>
      <c r="K122" s="45" t="str">
        <f aca="false">IF($R122="","",INDEX(Anforderungen!$M:$M,$R122))</f>
        <v>Automatisch ausgewertet: Die Antwort des Auftraggebers verweist ausschließlich auf Bieterfrage 41. Keine eigenständige Anforderung – der Inhalt ist unter der dort erfassten Zeile nachzuhalten.</v>
      </c>
      <c r="R122" s="0" t="n">
        <f aca="false">IFERROR(MATCH(ROWS($A$16:$A122),Anforderungen!$O$7:$O$2000,0)+6,"")</f>
        <v>113</v>
      </c>
    </row>
    <row r="123" customFormat="false" ht="30" hidden="false" customHeight="true" outlineLevel="0" collapsed="false">
      <c r="A123" s="45" t="str">
        <f aca="false">IF($R123="","",INDEX(Anforderungen!$B:$B,$R123))</f>
        <v>ANF-108</v>
      </c>
      <c r="B123" s="45" t="str">
        <f aca="false">IF($R123="","",INDEX(Anforderungen!$C:$C,$R123))</f>
        <v>Bieterfragenkatalog</v>
      </c>
      <c r="C123" s="45" t="str">
        <f aca="false">IF($R123="","",INDEX(Anforderungen!$D:$D,$R123))</f>
        <v>Nr. 56 / S. 5</v>
      </c>
      <c r="D123" s="45" t="str">
        <f aca="false">IF($R123="","",INDEX(Anforderungen!$E:$E,$R123))</f>
        <v>Vergabeverfahren &amp; Angebot</v>
      </c>
      <c r="E123" s="45" t="str">
        <f aca="false">IF($R123="","",INDEX(Anforderungen!$F:$F,$R123))</f>
        <v>Anpassung der Unterlagen: Das Formblatt A1 wurde entsprechend korrigiert.</v>
      </c>
      <c r="F123" s="45" t="str">
        <f aca="false">IF($R123="","",INDEX(Anforderungen!$G:$G,$R123))</f>
        <v>Im Dokument ist die gesperrt eingetragene Angabe "2024" beim Datum der Angebotsanforderung nicht veränderbar - tatsächlich kam die Aufforderung zur Angebotsabgabe aber erst im Jahr 2025.</v>
      </c>
      <c r="G123" s="45" t="str">
        <f aca="false">IF($R123="","",INDEX(Anforderungen!$I:$I,$R123))</f>
        <v>offen</v>
      </c>
      <c r="H123" s="45" t="str">
        <f aca="false">IF($R123="","",INDEX(Anforderungen!$J:$J,$R123))</f>
        <v>–</v>
      </c>
      <c r="I123" s="45" t="str">
        <f aca="false">IF($R123="","",INDEX(Anforderungen!$K:$K,$R123))</f>
        <v>trifft nicht zu</v>
      </c>
      <c r="J123" s="46" t="n">
        <f aca="false">IF($R123="","",INDEX(Anforderungen!$L:$L,$R123))</f>
        <v>0</v>
      </c>
      <c r="K123" s="45" t="str">
        <f aca="false">IF($R123="","",INDEX(Anforderungen!$M:$M,$R123))</f>
        <v>Automatisch ausgewertet: Die Antwort kündigt lediglich eine Anpassung der Vergabeunterlagen an. Die Anforderung selbst steht im geänderten Dokument und ist dort nachzuhalten.</v>
      </c>
      <c r="R123" s="0" t="n">
        <f aca="false">IFERROR(MATCH(ROWS($A$16:$A123),Anforderungen!$O$7:$O$2000,0)+6,"")</f>
        <v>114</v>
      </c>
    </row>
    <row r="124" customFormat="false" ht="30" hidden="false" customHeight="true" outlineLevel="0" collapsed="false">
      <c r="A124" s="45" t="str">
        <f aca="false">IF($R124="","",INDEX(Anforderungen!$B:$B,$R124))</f>
        <v>ANF-109</v>
      </c>
      <c r="B124" s="45" t="str">
        <f aca="false">IF($R124="","",INDEX(Anforderungen!$C:$C,$R124))</f>
        <v>Bieterfragenkatalog</v>
      </c>
      <c r="C124" s="45" t="str">
        <f aca="false">IF($R124="","",INDEX(Anforderungen!$D:$D,$R124))</f>
        <v>Nr. 57 / S. 5</v>
      </c>
      <c r="D124" s="45" t="str">
        <f aca="false">IF($R124="","",INDEX(Anforderungen!$E:$E,$R124))</f>
        <v>Flächen &amp; Genehmigungen</v>
      </c>
      <c r="E124" s="45" t="str">
        <f aca="false">IF($R124="","",INDEX(Anforderungen!$F:$F,$R124))</f>
        <v>Klarstellung: Die Angabe von 4,44m linksseitig der Referenzplanung ist bedeutungungslos. Es handelt sich um einen Fehler in der Bemaßung, 1,50m ist korrekt.</v>
      </c>
      <c r="F124" s="45" t="str">
        <f aca="false">IF($R124="","",INDEX(Anforderungen!$G:$G,$R124))</f>
        <v>Welche Bedeutung hat die Angabe von 4,44m linksseitig in der Referenzplanung für die Ladepunkte entlang des linksseitigen Parkstreifens und warum ist diese nicht auch 1,5m?</v>
      </c>
      <c r="G124" s="45" t="str">
        <f aca="false">IF($R124="","",INDEX(Anforderungen!$I:$I,$R124))</f>
        <v>offen</v>
      </c>
      <c r="H124" s="45" t="str">
        <f aca="false">IF($R124="","",INDEX(Anforderungen!$J:$J,$R124))</f>
        <v>–</v>
      </c>
      <c r="I124" s="45" t="str">
        <f aca="false">IF($R124="","",INDEX(Anforderungen!$K:$K,$R124))</f>
        <v>erfasst</v>
      </c>
      <c r="J124" s="46" t="n">
        <f aca="false">IF($R124="","",INDEX(Anforderungen!$L:$L,$R124))</f>
        <v>0</v>
      </c>
      <c r="K124" s="45" t="n">
        <f aca="false">IF($R124="","",INDEX(Anforderungen!$M:$M,$R124))</f>
        <v>0</v>
      </c>
      <c r="R124" s="0" t="n">
        <f aca="false">IFERROR(MATCH(ROWS($A$16:$A124),Anforderungen!$O$7:$O$2000,0)+6,"")</f>
        <v>115</v>
      </c>
    </row>
    <row r="125" customFormat="false" ht="30" hidden="false" customHeight="true" outlineLevel="0" collapsed="false">
      <c r="A125" s="45" t="str">
        <f aca="false">IF($R125="","",INDEX(Anforderungen!$B:$B,$R125))</f>
        <v>ANF-110</v>
      </c>
      <c r="B125" s="45" t="str">
        <f aca="false">IF($R125="","",INDEX(Anforderungen!$C:$C,$R125))</f>
        <v>Bieterfragenkatalog</v>
      </c>
      <c r="C125" s="45" t="str">
        <f aca="false">IF($R125="","",INDEX(Anforderungen!$D:$D,$R125))</f>
        <v>Nr. 58 / S. 5</v>
      </c>
      <c r="D125" s="45" t="str">
        <f aca="false">IF($R125="","",INDEX(Anforderungen!$E:$E,$R125))</f>
        <v>Nutzungszeit &amp; Entgelte</v>
      </c>
      <c r="E125" s="45" t="str">
        <f aca="false">IF($R125="","",INDEX(Anforderungen!$F:$F,$R125))</f>
        <v>Klarstellung: Kostenerhöhungen sind grds. der Risikosphäre des Bieters zugeordnet. Eine wichtige Ausnahme enthält allerdings § 36 des Vertrags, der einen Erstattungsanspruch bei nachträglichen Änderungen der technischen und rechtlichen Normen …</v>
      </c>
      <c r="F125" s="45" t="str">
        <f aca="false">IF($R125="","",INDEX(Anforderungen!$G:$G,$R125))</f>
        <v>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v>
      </c>
      <c r="G125" s="45" t="str">
        <f aca="false">IF($R125="","",INDEX(Anforderungen!$I:$I,$R125))</f>
        <v>eRound</v>
      </c>
      <c r="H125" s="45" t="str">
        <f aca="false">IF($R125="","",INDEX(Anforderungen!$J:$J,$R125))</f>
        <v>Abrechnungskomponente</v>
      </c>
      <c r="I125" s="45" t="str">
        <f aca="false">IF($R125="","",INDEX(Anforderungen!$K:$K,$R125))</f>
        <v>erfasst</v>
      </c>
      <c r="J125" s="46" t="n">
        <f aca="false">IF($R125="","",INDEX(Anforderungen!$L:$L,$R125))</f>
        <v>0</v>
      </c>
      <c r="K125" s="45" t="n">
        <f aca="false">IF($R125="","",INDEX(Anforderungen!$M:$M,$R125))</f>
        <v>0</v>
      </c>
      <c r="R125" s="0" t="n">
        <f aca="false">IFERROR(MATCH(ROWS($A$16:$A125),Anforderungen!$O$7:$O$2000,0)+6,"")</f>
        <v>116</v>
      </c>
    </row>
    <row r="126" customFormat="false" ht="30" hidden="false" customHeight="true" outlineLevel="0" collapsed="false">
      <c r="A126" s="45" t="str">
        <f aca="false">IF($R126="","",INDEX(Anforderungen!$B:$B,$R126))</f>
        <v>ANF-111</v>
      </c>
      <c r="B126" s="45" t="str">
        <f aca="false">IF($R126="","",INDEX(Anforderungen!$C:$C,$R126))</f>
        <v>Bieterfragenkatalog</v>
      </c>
      <c r="C126" s="45" t="str">
        <f aca="false">IF($R126="","",INDEX(Anforderungen!$D:$D,$R126))</f>
        <v>Nr. 59 / S. 5</v>
      </c>
      <c r="D126" s="45" t="str">
        <f aca="false">IF($R126="","",INDEX(Anforderungen!$E:$E,$R126))</f>
        <v>Netzanschluss &amp; Energie</v>
      </c>
      <c r="E126" s="45" t="str">
        <f aca="false">IF($R126="","",INDEX(Anforderungen!$F:$F,$R126))</f>
        <v>Klarstellung: Wie in Vertragsanlage 4 "Leistungsbeschreibung Errichtung" in Kapitel 4.11.7. beschrieben sind zunächst die "[...] elektrotechnischen Komponenten zur Energieverteilung und Übertragung [...] so zu bemessen, dass die veranschlagte …</v>
      </c>
      <c r="F126" s="45" t="str">
        <f aca="false">IF($R126="","",INDEX(Anforderungen!$G:$G,$R126))</f>
        <v>"Details zum Netzanschluss" gibt die beantragte Leistung 2035 an. Ist es korrekt, dass die Trafotechnik für diese Leistung initial aufzubauen ist?</v>
      </c>
      <c r="G126" s="45" t="str">
        <f aca="false">IF($R126="","",INDEX(Anforderungen!$I:$I,$R126))</f>
        <v>offen</v>
      </c>
      <c r="H126" s="45" t="str">
        <f aca="false">IF($R126="","",INDEX(Anforderungen!$J:$J,$R126))</f>
        <v>–</v>
      </c>
      <c r="I126" s="45" t="str">
        <f aca="false">IF($R126="","",INDEX(Anforderungen!$K:$K,$R126))</f>
        <v>erfasst</v>
      </c>
      <c r="J126" s="46" t="n">
        <f aca="false">IF($R126="","",INDEX(Anforderungen!$L:$L,$R126))</f>
        <v>0</v>
      </c>
      <c r="K126" s="45" t="n">
        <f aca="false">IF($R126="","",INDEX(Anforderungen!$M:$M,$R126))</f>
        <v>0</v>
      </c>
      <c r="R126" s="0" t="n">
        <f aca="false">IFERROR(MATCH(ROWS($A$16:$A126),Anforderungen!$O$7:$O$2000,0)+6,"")</f>
        <v>117</v>
      </c>
    </row>
    <row r="127" customFormat="false" ht="30" hidden="false" customHeight="true" outlineLevel="0" collapsed="false">
      <c r="A127" s="45" t="str">
        <f aca="false">IF($R127="","",INDEX(Anforderungen!$B:$B,$R127))</f>
        <v>ANF-112</v>
      </c>
      <c r="B127" s="45" t="str">
        <f aca="false">IF($R127="","",INDEX(Anforderungen!$C:$C,$R127))</f>
        <v>Bieterfragenkatalog</v>
      </c>
      <c r="C127" s="45" t="str">
        <f aca="false">IF($R127="","",INDEX(Anforderungen!$D:$D,$R127))</f>
        <v>Nr. 60 / S. 5</v>
      </c>
      <c r="D127" s="45" t="str">
        <f aca="false">IF($R127="","",INDEX(Anforderungen!$E:$E,$R127))</f>
        <v>Netzanschluss &amp; Energie</v>
      </c>
      <c r="E127" s="45" t="str">
        <f aca="false">IF($R127="","",INDEX(Anforderungen!$F:$F,$R127))</f>
        <v>Klarstellung: Bei der Ermittlung der Netzanschlussleistung wurde jeder MCS Ladepunkt mit 800 kW und jeder CCS Ladepunkt zum Zwischenladen mit 400 kW berücksichtigt.</v>
      </c>
      <c r="F127" s="45" t="str">
        <f aca="false">IF($R127="","",INDEX(Anforderungen!$G:$G,$R127))</f>
        <v>"Details zum Netzanschluss": Wie wurden die Anschlussleistungen kalkuiert? Wurde der Bedarf der CEE- LIS berücksichtig?</v>
      </c>
      <c r="G127" s="45" t="str">
        <f aca="false">IF($R127="","",INDEX(Anforderungen!$I:$I,$R127))</f>
        <v>offen</v>
      </c>
      <c r="H127" s="45" t="str">
        <f aca="false">IF($R127="","",INDEX(Anforderungen!$J:$J,$R127))</f>
        <v>–</v>
      </c>
      <c r="I127" s="45" t="str">
        <f aca="false">IF($R127="","",INDEX(Anforderungen!$K:$K,$R127))</f>
        <v>erfasst</v>
      </c>
      <c r="J127" s="46" t="n">
        <f aca="false">IF($R127="","",INDEX(Anforderungen!$L:$L,$R127))</f>
        <v>0</v>
      </c>
      <c r="K127" s="45" t="n">
        <f aca="false">IF($R127="","",INDEX(Anforderungen!$M:$M,$R127))</f>
        <v>0</v>
      </c>
      <c r="R127" s="0" t="n">
        <f aca="false">IFERROR(MATCH(ROWS($A$16:$A127),Anforderungen!$O$7:$O$2000,0)+6,"")</f>
        <v>118</v>
      </c>
    </row>
    <row r="128" customFormat="false" ht="30" hidden="false" customHeight="true" outlineLevel="0" collapsed="false">
      <c r="A128" s="45" t="str">
        <f aca="false">IF($R128="","",INDEX(Anforderungen!$B:$B,$R128))</f>
        <v>ANF-113</v>
      </c>
      <c r="B128" s="45" t="str">
        <f aca="false">IF($R128="","",INDEX(Anforderungen!$C:$C,$R128))</f>
        <v>Bieterfragenkatalog</v>
      </c>
      <c r="C128" s="45" t="str">
        <f aca="false">IF($R128="","",INDEX(Anforderungen!$D:$D,$R128))</f>
        <v>Nr. 61 / S. 5</v>
      </c>
      <c r="D128" s="45" t="str">
        <f aca="false">IF($R128="","",INDEX(Anforderungen!$E:$E,$R128))</f>
        <v>Netzanschluss &amp; Energie</v>
      </c>
      <c r="E128" s="45" t="str">
        <f aca="false">IF($R128="","",INDEX(Anforderungen!$F:$F,$R128))</f>
        <v>Klarstellung: Die Frage ist unverständlich.</v>
      </c>
      <c r="F128" s="45" t="str">
        <f aca="false">IF($R128="","",INDEX(Anforderungen!$G:$G,$R128))</f>
        <v>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v>
      </c>
      <c r="G128" s="45" t="str">
        <f aca="false">IF($R128="","",INDEX(Anforderungen!$I:$I,$R128))</f>
        <v>Alpitronic</v>
      </c>
      <c r="H128" s="45" t="str">
        <f aca="false">IF($R128="","",INDEX(Anforderungen!$J:$J,$R128))</f>
        <v>Ladeeinrichtung</v>
      </c>
      <c r="I128" s="45" t="str">
        <f aca="false">IF($R128="","",INDEX(Anforderungen!$K:$K,$R128))</f>
        <v>erfasst</v>
      </c>
      <c r="J128" s="46" t="n">
        <f aca="false">IF($R128="","",INDEX(Anforderungen!$L:$L,$R128))</f>
        <v>0</v>
      </c>
      <c r="K128" s="45" t="n">
        <f aca="false">IF($R128="","",INDEX(Anforderungen!$M:$M,$R128))</f>
        <v>0</v>
      </c>
      <c r="R128" s="0" t="n">
        <f aca="false">IFERROR(MATCH(ROWS($A$16:$A128),Anforderungen!$O$7:$O$2000,0)+6,"")</f>
        <v>119</v>
      </c>
    </row>
    <row r="129" customFormat="false" ht="30" hidden="false" customHeight="true" outlineLevel="0" collapsed="false">
      <c r="A129" s="45" t="str">
        <f aca="false">IF($R129="","",INDEX(Anforderungen!$B:$B,$R129))</f>
        <v>ANF-114</v>
      </c>
      <c r="B129" s="45" t="str">
        <f aca="false">IF($R129="","",INDEX(Anforderungen!$C:$C,$R129))</f>
        <v>Bieterfragenkatalog</v>
      </c>
      <c r="C129" s="45" t="str">
        <f aca="false">IF($R129="","",INDEX(Anforderungen!$D:$D,$R129))</f>
        <v>Nr. 62 / S. 5</v>
      </c>
      <c r="D129" s="45" t="str">
        <f aca="false">IF($R129="","",INDEX(Anforderungen!$E:$E,$R129))</f>
        <v>Netzanschluss &amp; Energie</v>
      </c>
      <c r="E129" s="45" t="str">
        <f aca="false">IF($R129="","",INDEX(Anforderungen!$F:$F,$R129))</f>
        <v>Klarstellung: Die Netzanschlussbegehren wurden auf Basis der Verortung der Übergabestation in den unverbindlichen Vorplanungen gestellt.</v>
      </c>
      <c r="F129" s="45" t="str">
        <f aca="false">IF($R129="","",INDEX(Anforderungen!$G:$G,$R129))</f>
        <v>Ist davon auszugehen, dass sich der Netzanschlussübergabepunkt an der in den Vorplanungen eingeplante MS-Station befindet?</v>
      </c>
      <c r="G129" s="45" t="str">
        <f aca="false">IF($R129="","",INDEX(Anforderungen!$I:$I,$R129))</f>
        <v>offen</v>
      </c>
      <c r="H129" s="45" t="str">
        <f aca="false">IF($R129="","",INDEX(Anforderungen!$J:$J,$R129))</f>
        <v>–</v>
      </c>
      <c r="I129" s="45" t="str">
        <f aca="false">IF($R129="","",INDEX(Anforderungen!$K:$K,$R129))</f>
        <v>erfasst</v>
      </c>
      <c r="J129" s="46" t="n">
        <f aca="false">IF($R129="","",INDEX(Anforderungen!$L:$L,$R129))</f>
        <v>0</v>
      </c>
      <c r="K129" s="45" t="n">
        <f aca="false">IF($R129="","",INDEX(Anforderungen!$M:$M,$R129))</f>
        <v>0</v>
      </c>
      <c r="R129" s="0" t="n">
        <f aca="false">IFERROR(MATCH(ROWS($A$16:$A129),Anforderungen!$O$7:$O$2000,0)+6,"")</f>
        <v>120</v>
      </c>
    </row>
    <row r="130" customFormat="false" ht="30" hidden="false" customHeight="true" outlineLevel="0" collapsed="false">
      <c r="A130" s="45" t="str">
        <f aca="false">IF($R130="","",INDEX(Anforderungen!$B:$B,$R130))</f>
        <v>ANF-115</v>
      </c>
      <c r="B130" s="45" t="str">
        <f aca="false">IF($R130="","",INDEX(Anforderungen!$C:$C,$R130))</f>
        <v>Bieterfragenkatalog</v>
      </c>
      <c r="C130" s="45" t="str">
        <f aca="false">IF($R130="","",INDEX(Anforderungen!$D:$D,$R130))</f>
        <v>Nr. 63 / S. 5</v>
      </c>
      <c r="D130" s="45" t="str">
        <f aca="false">IF($R130="","",INDEX(Anforderungen!$E:$E,$R130))</f>
        <v>Netzanschluss &amp; Energie</v>
      </c>
      <c r="E130" s="45" t="str">
        <f aca="false">IF($R130="","",INDEX(Anforderungen!$F:$F,$R130))</f>
        <v>Klarstellung: Ob die Übergabe- und Transformatorstation zusammen oder getrennt errichtet werden, können Sie durch ihr standortspezifisches Konzept bestimmen bzw. kann sich in Einzelfällen durch die spezifische Anforderung des zuständigen …</v>
      </c>
      <c r="F130" s="45" t="str">
        <f aca="false">IF($R130="","",INDEX(Anforderungen!$G:$G,$R130))</f>
        <v>Besteht das Umspannstationskonzept aus einer Übergabestation und Unterstation?</v>
      </c>
      <c r="G130" s="45" t="str">
        <f aca="false">IF($R130="","",INDEX(Anforderungen!$I:$I,$R130))</f>
        <v>offen</v>
      </c>
      <c r="H130" s="45" t="str">
        <f aca="false">IF($R130="","",INDEX(Anforderungen!$J:$J,$R130))</f>
        <v>–</v>
      </c>
      <c r="I130" s="45" t="str">
        <f aca="false">IF($R130="","",INDEX(Anforderungen!$K:$K,$R130))</f>
        <v>erfasst</v>
      </c>
      <c r="J130" s="46" t="n">
        <f aca="false">IF($R130="","",INDEX(Anforderungen!$L:$L,$R130))</f>
        <v>0</v>
      </c>
      <c r="K130" s="45" t="n">
        <f aca="false">IF($R130="","",INDEX(Anforderungen!$M:$M,$R130))</f>
        <v>0</v>
      </c>
      <c r="R130" s="0" t="n">
        <f aca="false">IFERROR(MATCH(ROWS($A$16:$A130),Anforderungen!$O$7:$O$2000,0)+6,"")</f>
        <v>121</v>
      </c>
    </row>
    <row r="131" customFormat="false" ht="30" hidden="false" customHeight="true" outlineLevel="0" collapsed="false">
      <c r="A131" s="45" t="str">
        <f aca="false">IF($R131="","",INDEX(Anforderungen!$B:$B,$R131))</f>
        <v>ANF-116</v>
      </c>
      <c r="B131" s="45" t="str">
        <f aca="false">IF($R131="","",INDEX(Anforderungen!$C:$C,$R131))</f>
        <v>Bieterfragenkatalog</v>
      </c>
      <c r="C131" s="45" t="str">
        <f aca="false">IF($R131="","",INDEX(Anforderungen!$D:$D,$R131))</f>
        <v>Nr. 64 / S. 5</v>
      </c>
      <c r="D131" s="45" t="str">
        <f aca="false">IF($R131="","",INDEX(Anforderungen!$E:$E,$R131))</f>
        <v>Flächen &amp; Genehmigungen</v>
      </c>
      <c r="E131" s="45" t="str">
        <f aca="false">IF($R131="","",INDEX(Anforderungen!$F:$F,$R131))</f>
        <v>Bestätigt: mehrere Unterstationen sind denkbar. Die finale Ausgestalltung ist im Planungsprozess mit dem AG abzustimmen.</v>
      </c>
      <c r="F131" s="45" t="str">
        <f aca="false">IF($R131="","",INDEX(Anforderungen!$G:$G,$R131))</f>
        <v>Sind mehrere Unterstationen denkbar?</v>
      </c>
      <c r="G131" s="45" t="str">
        <f aca="false">IF($R131="","",INDEX(Anforderungen!$I:$I,$R131))</f>
        <v>offen</v>
      </c>
      <c r="H131" s="45" t="str">
        <f aca="false">IF($R131="","",INDEX(Anforderungen!$J:$J,$R131))</f>
        <v>–</v>
      </c>
      <c r="I131" s="45" t="str">
        <f aca="false">IF($R131="","",INDEX(Anforderungen!$K:$K,$R131))</f>
        <v>erfasst</v>
      </c>
      <c r="J131" s="46" t="n">
        <f aca="false">IF($R131="","",INDEX(Anforderungen!$L:$L,$R131))</f>
        <v>0</v>
      </c>
      <c r="K131" s="45" t="n">
        <f aca="false">IF($R131="","",INDEX(Anforderungen!$M:$M,$R131))</f>
        <v>0</v>
      </c>
      <c r="R131" s="0" t="n">
        <f aca="false">IFERROR(MATCH(ROWS($A$16:$A131),Anforderungen!$O$7:$O$2000,0)+6,"")</f>
        <v>122</v>
      </c>
    </row>
    <row r="132" customFormat="false" ht="30" hidden="false" customHeight="true" outlineLevel="0" collapsed="false">
      <c r="A132" s="45" t="str">
        <f aca="false">IF($R132="","",INDEX(Anforderungen!$B:$B,$R132))</f>
        <v>ANF-117</v>
      </c>
      <c r="B132" s="45" t="str">
        <f aca="false">IF($R132="","",INDEX(Anforderungen!$C:$C,$R132))</f>
        <v>Bieterfragenkatalog</v>
      </c>
      <c r="C132" s="45" t="str">
        <f aca="false">IF($R132="","",INDEX(Anforderungen!$D:$D,$R132))</f>
        <v>Nr. 65 / S. 5</v>
      </c>
      <c r="D132" s="45" t="str">
        <f aca="false">IF($R132="","",INDEX(Anforderungen!$E:$E,$R132))</f>
        <v>Netzanschluss &amp; Energie</v>
      </c>
      <c r="E132" s="45" t="str">
        <f aca="false">IF($R132="","",INDEX(Anforderungen!$F:$F,$R132))</f>
        <v>Klarstellung: Übergabe- und Trafostationen sollen in Standardfarbe nach RAL ausgeführt werden. Der konkrete Farbton wird im weiteren Verfahren bekannt gegeben.</v>
      </c>
      <c r="F132" s="45" t="str">
        <f aca="false">IF($R132="","",INDEX(Anforderungen!$G:$G,$R132))</f>
        <v>Gibt es konkrete Anforderungen an Material und Design der Umspannstationen?</v>
      </c>
      <c r="G132" s="45" t="str">
        <f aca="false">IF($R132="","",INDEX(Anforderungen!$I:$I,$R132))</f>
        <v>offen</v>
      </c>
      <c r="H132" s="45" t="str">
        <f aca="false">IF($R132="","",INDEX(Anforderungen!$J:$J,$R132))</f>
        <v>–</v>
      </c>
      <c r="I132" s="45" t="str">
        <f aca="false">IF($R132="","",INDEX(Anforderungen!$K:$K,$R132))</f>
        <v>erfasst</v>
      </c>
      <c r="J132" s="46" t="n">
        <f aca="false">IF($R132="","",INDEX(Anforderungen!$L:$L,$R132))</f>
        <v>0</v>
      </c>
      <c r="K132" s="45" t="n">
        <f aca="false">IF($R132="","",INDEX(Anforderungen!$M:$M,$R132))</f>
        <v>0</v>
      </c>
      <c r="R132" s="0" t="n">
        <f aca="false">IFERROR(MATCH(ROWS($A$16:$A132),Anforderungen!$O$7:$O$2000,0)+6,"")</f>
        <v>123</v>
      </c>
    </row>
    <row r="133" customFormat="false" ht="30" hidden="false" customHeight="true" outlineLevel="0" collapsed="false">
      <c r="A133" s="45" t="str">
        <f aca="false">IF($R133="","",INDEX(Anforderungen!$B:$B,$R133))</f>
        <v>ANF-118</v>
      </c>
      <c r="B133" s="45" t="str">
        <f aca="false">IF($R133="","",INDEX(Anforderungen!$C:$C,$R133))</f>
        <v>Bieterfragenkatalog</v>
      </c>
      <c r="C133" s="45" t="str">
        <f aca="false">IF($R133="","",INDEX(Anforderungen!$D:$D,$R133))</f>
        <v>Nr. 66 / S. 5</v>
      </c>
      <c r="D133" s="45" t="str">
        <f aca="false">IF($R133="","",INDEX(Anforderungen!$E:$E,$R133))</f>
        <v>Netzanschluss &amp; Energie</v>
      </c>
      <c r="E133" s="45" t="str">
        <f aca="false">IF($R133="","",INDEX(Anforderungen!$F:$F,$R133))</f>
        <v>Verweis des Auftraggebers auf die Antwort zu Bieterfrage 59.</v>
      </c>
      <c r="F133" s="45" t="str">
        <f aca="false">IF($R133="","",INDEX(Anforderungen!$G:$G,$R133))</f>
        <v>Soll die Trafoleistung der Umspannstationen exakt der beantragten Netzleistung 2035 entsprechen?</v>
      </c>
      <c r="G133" s="45" t="str">
        <f aca="false">IF($R133="","",INDEX(Anforderungen!$I:$I,$R133))</f>
        <v>offen</v>
      </c>
      <c r="H133" s="45" t="str">
        <f aca="false">IF($R133="","",INDEX(Anforderungen!$J:$J,$R133))</f>
        <v>–</v>
      </c>
      <c r="I133" s="45" t="str">
        <f aca="false">IF($R133="","",INDEX(Anforderungen!$K:$K,$R133))</f>
        <v>trifft nicht zu</v>
      </c>
      <c r="J133" s="46" t="n">
        <f aca="false">IF($R133="","",INDEX(Anforderungen!$L:$L,$R133))</f>
        <v>0</v>
      </c>
      <c r="K133" s="45" t="str">
        <f aca="false">IF($R133="","",INDEX(Anforderungen!$M:$M,$R133))</f>
        <v>Automatisch ausgewertet: Die Antwort des Auftraggebers verweist ausschließlich auf Bieterfrage 59. Keine eigenständige Anforderung – der Inhalt ist unter der dort erfassten Zeile nachzuhalten.</v>
      </c>
      <c r="R133" s="0" t="n">
        <f aca="false">IFERROR(MATCH(ROWS($A$16:$A133),Anforderungen!$O$7:$O$2000,0)+6,"")</f>
        <v>124</v>
      </c>
    </row>
    <row r="134" customFormat="false" ht="30" hidden="false" customHeight="true" outlineLevel="0" collapsed="false">
      <c r="A134" s="45" t="str">
        <f aca="false">IF($R134="","",INDEX(Anforderungen!$B:$B,$R134))</f>
        <v>ANF-119</v>
      </c>
      <c r="B134" s="45" t="str">
        <f aca="false">IF($R134="","",INDEX(Anforderungen!$C:$C,$R134))</f>
        <v>Bieterfragenkatalog</v>
      </c>
      <c r="C134" s="45" t="str">
        <f aca="false">IF($R134="","",INDEX(Anforderungen!$D:$D,$R134))</f>
        <v>Nr. 67 / S. 5</v>
      </c>
      <c r="D134" s="45" t="str">
        <f aca="false">IF($R134="","",INDEX(Anforderungen!$E:$E,$R134))</f>
        <v>Netzanschluss &amp; Energie</v>
      </c>
      <c r="E134" s="45" t="str">
        <f aca="false">IF($R134="","",INDEX(Anforderungen!$F:$F,$R134))</f>
        <v>Verneint: diese basieren für die unverbindliche Vorplanung auf technischen Grundannahmen und können bei konkreter Planung abweichen.</v>
      </c>
      <c r="F134" s="45" t="str">
        <f aca="false">IF($R134="","",INDEX(Anforderungen!$G:$G,$R134))</f>
        <v>Sind die genannten Maße der Umspannstation aus den Plänen von 12x4x3,2m einzuhalten?</v>
      </c>
      <c r="G134" s="45" t="str">
        <f aca="false">IF($R134="","",INDEX(Anforderungen!$I:$I,$R134))</f>
        <v>offen</v>
      </c>
      <c r="H134" s="45" t="str">
        <f aca="false">IF($R134="","",INDEX(Anforderungen!$J:$J,$R134))</f>
        <v>–</v>
      </c>
      <c r="I134" s="45" t="str">
        <f aca="false">IF($R134="","",INDEX(Anforderungen!$K:$K,$R134))</f>
        <v>erfasst</v>
      </c>
      <c r="J134" s="46" t="n">
        <f aca="false">IF($R134="","",INDEX(Anforderungen!$L:$L,$R134))</f>
        <v>0</v>
      </c>
      <c r="K134" s="45" t="n">
        <f aca="false">IF($R134="","",INDEX(Anforderungen!$M:$M,$R134))</f>
        <v>0</v>
      </c>
      <c r="R134" s="0" t="n">
        <f aca="false">IFERROR(MATCH(ROWS($A$16:$A134),Anforderungen!$O$7:$O$2000,0)+6,"")</f>
        <v>125</v>
      </c>
    </row>
    <row r="135" customFormat="false" ht="30" hidden="false" customHeight="true" outlineLevel="0" collapsed="false">
      <c r="A135" s="45" t="str">
        <f aca="false">IF($R135="","",INDEX(Anforderungen!$B:$B,$R135))</f>
        <v>ANF-120</v>
      </c>
      <c r="B135" s="45" t="str">
        <f aca="false">IF($R135="","",INDEX(Anforderungen!$C:$C,$R135))</f>
        <v>Bieterfragenkatalog</v>
      </c>
      <c r="C135" s="45" t="str">
        <f aca="false">IF($R135="","",INDEX(Anforderungen!$D:$D,$R135))</f>
        <v>Nr. 68 / S. 5</v>
      </c>
      <c r="D135" s="45" t="str">
        <f aca="false">IF($R135="","",INDEX(Anforderungen!$E:$E,$R135))</f>
        <v>Nutzungszeit &amp; Entgelte</v>
      </c>
      <c r="E135" s="45" t="str">
        <f aca="false">IF($R135="","",INDEX(Anforderungen!$F:$F,$R135))</f>
        <v>Klarstellung: Die Thematik Eichrecht wird in § 8 des Vertrags geregelt. Sollten eichrechtskonforme Lösungen am Markt verfügbar sein, so sind diese zu wählen.</v>
      </c>
      <c r="F135" s="45" t="str">
        <f aca="false">IF($R135="","",INDEX(Anforderungen!$G:$G,$R135))</f>
        <v>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v>
      </c>
      <c r="G135" s="45" t="str">
        <f aca="false">IF($R135="","",INDEX(Anforderungen!$I:$I,$R135))</f>
        <v>eRound</v>
      </c>
      <c r="H135" s="45" t="str">
        <f aca="false">IF($R135="","",INDEX(Anforderungen!$J:$J,$R135))</f>
        <v>Abrechnungskomponente</v>
      </c>
      <c r="I135" s="45" t="str">
        <f aca="false">IF($R135="","",INDEX(Anforderungen!$K:$K,$R135))</f>
        <v>erfasst</v>
      </c>
      <c r="J135" s="46" t="n">
        <f aca="false">IF($R135="","",INDEX(Anforderungen!$L:$L,$R135))</f>
        <v>0</v>
      </c>
      <c r="K135" s="45" t="n">
        <f aca="false">IF($R135="","",INDEX(Anforderungen!$M:$M,$R135))</f>
        <v>0</v>
      </c>
      <c r="R135" s="0" t="n">
        <f aca="false">IFERROR(MATCH(ROWS($A$16:$A135),Anforderungen!$O$7:$O$2000,0)+6,"")</f>
        <v>126</v>
      </c>
    </row>
    <row r="136" customFormat="false" ht="30" hidden="false" customHeight="true" outlineLevel="0" collapsed="false">
      <c r="A136" s="45" t="str">
        <f aca="false">IF($R136="","",INDEX(Anforderungen!$B:$B,$R136))</f>
        <v>ANF-121</v>
      </c>
      <c r="B136" s="45" t="str">
        <f aca="false">IF($R136="","",INDEX(Anforderungen!$C:$C,$R136))</f>
        <v>Bieterfragenkatalog</v>
      </c>
      <c r="C136" s="45" t="str">
        <f aca="false">IF($R136="","",INDEX(Anforderungen!$D:$D,$R136))</f>
        <v>Nr. 69 / S. 6</v>
      </c>
      <c r="D136" s="45" t="str">
        <f aca="false">IF($R136="","",INDEX(Anforderungen!$E:$E,$R136))</f>
        <v>Netzanschluss &amp; Energie</v>
      </c>
      <c r="E136" s="45" t="str">
        <f aca="false">IF($R136="","",INDEX(Anforderungen!$F:$F,$R136))</f>
        <v>Klarstellung: Siehe dazu insbesondere Vertragsanlage 4, Ziffer 4.11.7 Abs. 2 - 4: "Eine entsprechende Dimensionierung auf die Endausbauleistung für das Jahr 2035 ist notwendig, um eine im Zuge der zukünftigen Skalierung der Standorte, …</v>
      </c>
      <c r="F136" s="45" t="str">
        <f aca="false">IF($R136="","",INDEX(Anforderungen!$G:$G,$R136))</f>
        <v>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v>
      </c>
      <c r="G136" s="45" t="str">
        <f aca="false">IF($R136="","",INDEX(Anforderungen!$I:$I,$R136))</f>
        <v>Alpitronic</v>
      </c>
      <c r="H136" s="45" t="str">
        <f aca="false">IF($R136="","",INDEX(Anforderungen!$J:$J,$R136))</f>
        <v>Ladeeinrichtung</v>
      </c>
      <c r="I136" s="45" t="str">
        <f aca="false">IF($R136="","",INDEX(Anforderungen!$K:$K,$R136))</f>
        <v>erfasst</v>
      </c>
      <c r="J136" s="46" t="n">
        <f aca="false">IF($R136="","",INDEX(Anforderungen!$L:$L,$R136))</f>
        <v>0</v>
      </c>
      <c r="K136" s="45" t="n">
        <f aca="false">IF($R136="","",INDEX(Anforderungen!$M:$M,$R136))</f>
        <v>0</v>
      </c>
      <c r="R136" s="0" t="n">
        <f aca="false">IFERROR(MATCH(ROWS($A$16:$A136),Anforderungen!$O$7:$O$2000,0)+6,"")</f>
        <v>127</v>
      </c>
    </row>
    <row r="137" customFormat="false" ht="30" hidden="false" customHeight="true" outlineLevel="0" collapsed="false">
      <c r="A137" s="45" t="str">
        <f aca="false">IF($R137="","",INDEX(Anforderungen!$B:$B,$R137))</f>
        <v>ANF-122</v>
      </c>
      <c r="B137" s="45" t="str">
        <f aca="false">IF($R137="","",INDEX(Anforderungen!$C:$C,$R137))</f>
        <v>Bieterfragenkatalog</v>
      </c>
      <c r="C137" s="45" t="str">
        <f aca="false">IF($R137="","",INDEX(Anforderungen!$D:$D,$R137))</f>
        <v>Nr. 70 / S. 6</v>
      </c>
      <c r="D137" s="45" t="str">
        <f aca="false">IF($R137="","",INDEX(Anforderungen!$E:$E,$R137))</f>
        <v>Technik Ladeinfrastruktur</v>
      </c>
      <c r="E137" s="45" t="str">
        <f aca="false">IF($R137="","",INDEX(Anforderungen!$F:$F,$R137))</f>
        <v>Klarstellung: Aktuell ist nicht vorgesehen, dass die Skalierung der Standorte auf die Ausbauleistung von 2035 per Umwandlung von CCS- in MCS-Ladepunkten erfolgt.</v>
      </c>
      <c r="F137" s="45" t="str">
        <f aca="false">IF($R137="","",INDEX(Anforderungen!$G:$G,$R137))</f>
        <v>Es gibt Fälle, z.B. Nr. 49 Geiseltal Ost, bei denen die Ausbauleistung 2035 selbst bei Aufrüstung aller CCS- Ladepunkte auf MCS mit den vorgegebenen Maximalleitungen nicht benötigt wird. Wie soll mit der überschüssigen Leistung verfahren werden?</v>
      </c>
      <c r="G137" s="45" t="str">
        <f aca="false">IF($R137="","",INDEX(Anforderungen!$I:$I,$R137))</f>
        <v>Zuordnung prüfen</v>
      </c>
      <c r="H137" s="45" t="str">
        <f aca="false">IF($R137="","",INDEX(Anforderungen!$J:$J,$R137))</f>
        <v>Zuordnung prüfen</v>
      </c>
      <c r="I137" s="45" t="str">
        <f aca="false">IF($R137="","",INDEX(Anforderungen!$K:$K,$R137))</f>
        <v>erfasst</v>
      </c>
      <c r="J137" s="46" t="n">
        <f aca="false">IF($R137="","",INDEX(Anforderungen!$L:$L,$R137))</f>
        <v>0</v>
      </c>
      <c r="K137" s="45" t="n">
        <f aca="false">IF($R137="","",INDEX(Anforderungen!$M:$M,$R137))</f>
        <v>0</v>
      </c>
      <c r="R137" s="0" t="n">
        <f aca="false">IFERROR(MATCH(ROWS($A$16:$A137),Anforderungen!$O$7:$O$2000,0)+6,"")</f>
        <v>128</v>
      </c>
    </row>
    <row r="138" customFormat="false" ht="30" hidden="false" customHeight="true" outlineLevel="0" collapsed="false">
      <c r="A138" s="45" t="str">
        <f aca="false">IF($R138="","",INDEX(Anforderungen!$B:$B,$R138))</f>
        <v>ANF-123</v>
      </c>
      <c r="B138" s="45" t="str">
        <f aca="false">IF($R138="","",INDEX(Anforderungen!$C:$C,$R138))</f>
        <v>Bieterfragenkatalog</v>
      </c>
      <c r="C138" s="45" t="str">
        <f aca="false">IF($R138="","",INDEX(Anforderungen!$D:$D,$R138))</f>
        <v>Nr. 71 / S. 6</v>
      </c>
      <c r="D138" s="45" t="str">
        <f aca="false">IF($R138="","",INDEX(Anforderungen!$E:$E,$R138))</f>
        <v>Vertrag &amp; Recht</v>
      </c>
      <c r="E138" s="45" t="str">
        <f aca="false">IF($R138="","",INDEX(Anforderungen!$F:$F,$R138))</f>
        <v>Klarstellung: Die angegebenen 2,03m ist das Standardmaß eines Doppelstabmattenzauns.</v>
      </c>
      <c r="F138" s="45" t="str">
        <f aca="false">IF($R138="","",INDEX(Anforderungen!$G:$G,$R138))</f>
        <v>Warum wird die Zaunhöhe für die Einzäunung der Nebenaggregate mit exakt 2,03m angegeben? Was passiert bei kleinen Abweichungen?</v>
      </c>
      <c r="G138" s="45" t="str">
        <f aca="false">IF($R138="","",INDEX(Anforderungen!$I:$I,$R138))</f>
        <v>offen</v>
      </c>
      <c r="H138" s="45" t="str">
        <f aca="false">IF($R138="","",INDEX(Anforderungen!$J:$J,$R138))</f>
        <v>–</v>
      </c>
      <c r="I138" s="45" t="str">
        <f aca="false">IF($R138="","",INDEX(Anforderungen!$K:$K,$R138))</f>
        <v>erfasst</v>
      </c>
      <c r="J138" s="46" t="n">
        <f aca="false">IF($R138="","",INDEX(Anforderungen!$L:$L,$R138))</f>
        <v>0</v>
      </c>
      <c r="K138" s="45" t="n">
        <f aca="false">IF($R138="","",INDEX(Anforderungen!$M:$M,$R138))</f>
        <v>0</v>
      </c>
      <c r="R138" s="0" t="n">
        <f aca="false">IFERROR(MATCH(ROWS($A$16:$A138),Anforderungen!$O$7:$O$2000,0)+6,"")</f>
        <v>129</v>
      </c>
    </row>
    <row r="139" customFormat="false" ht="30" hidden="false" customHeight="true" outlineLevel="0" collapsed="false">
      <c r="A139" s="45" t="str">
        <f aca="false">IF($R139="","",INDEX(Anforderungen!$B:$B,$R139))</f>
        <v>ANF-124</v>
      </c>
      <c r="B139" s="45" t="str">
        <f aca="false">IF($R139="","",INDEX(Anforderungen!$C:$C,$R139))</f>
        <v>Bieterfragenkatalog</v>
      </c>
      <c r="C139" s="45" t="str">
        <f aca="false">IF($R139="","",INDEX(Anforderungen!$D:$D,$R139))</f>
        <v>Nr. 72 / S. 6</v>
      </c>
      <c r="D139" s="45" t="str">
        <f aca="false">IF($R139="","",INDEX(Anforderungen!$E:$E,$R139))</f>
        <v>Flächen &amp; Genehmigungen</v>
      </c>
      <c r="E139" s="45" t="str">
        <f aca="false">IF($R139="","",INDEX(Anforderungen!$F:$F,$R139))</f>
        <v>Klarstellung: Der AN kann die Anordnung der Ladeinseln den örtlichen Gegebenheiten anpassen, sodass die Schleppkurven zum Ein- und Ausrangieren konfliktfrei eingehalten werden können.</v>
      </c>
      <c r="F139" s="45" t="str">
        <f aca="false">IF($R139="","",INDEX(Anforderungen!$G:$G,$R139))</f>
        <v>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v>
      </c>
      <c r="G139" s="45" t="str">
        <f aca="false">IF($R139="","",INDEX(Anforderungen!$I:$I,$R139))</f>
        <v>Alpitronic</v>
      </c>
      <c r="H139" s="45" t="str">
        <f aca="false">IF($R139="","",INDEX(Anforderungen!$J:$J,$R139))</f>
        <v>Ladeeinrichtung</v>
      </c>
      <c r="I139" s="45" t="str">
        <f aca="false">IF($R139="","",INDEX(Anforderungen!$K:$K,$R139))</f>
        <v>erfasst</v>
      </c>
      <c r="J139" s="46" t="n">
        <f aca="false">IF($R139="","",INDEX(Anforderungen!$L:$L,$R139))</f>
        <v>0</v>
      </c>
      <c r="K139" s="45" t="n">
        <f aca="false">IF($R139="","",INDEX(Anforderungen!$M:$M,$R139))</f>
        <v>0</v>
      </c>
      <c r="R139" s="0" t="n">
        <f aca="false">IFERROR(MATCH(ROWS($A$16:$A139),Anforderungen!$O$7:$O$2000,0)+6,"")</f>
        <v>130</v>
      </c>
    </row>
    <row r="140" customFormat="false" ht="30" hidden="false" customHeight="true" outlineLevel="0" collapsed="false">
      <c r="A140" s="45" t="str">
        <f aca="false">IF($R140="","",INDEX(Anforderungen!$B:$B,$R140))</f>
        <v>ANF-125</v>
      </c>
      <c r="B140" s="45" t="str">
        <f aca="false">IF($R140="","",INDEX(Anforderungen!$C:$C,$R140))</f>
        <v>Bieterfragenkatalog</v>
      </c>
      <c r="C140" s="45" t="str">
        <f aca="false">IF($R140="","",INDEX(Anforderungen!$D:$D,$R140))</f>
        <v>Nr. 73 / S. 6</v>
      </c>
      <c r="D140" s="45" t="str">
        <f aca="false">IF($R140="","",INDEX(Anforderungen!$E:$E,$R140))</f>
        <v>Flächen &amp; Genehmigungen</v>
      </c>
      <c r="E140" s="45" t="str">
        <f aca="false">IF($R140="","",INDEX(Anforderungen!$F:$F,$R140))</f>
        <v>Klarstellung: Die Angaben der Anlage 2 zum Verfahrensbrief "Gesamtübersicht über die Lose" zur BAB-Nr sind korrekt.</v>
      </c>
      <c r="F140" s="45" t="str">
        <f aca="false">IF($R140="","",INDEX(Anforderungen!$G:$G,$R140))</f>
        <v>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v>
      </c>
      <c r="G140" s="45" t="str">
        <f aca="false">IF($R140="","",INDEX(Anforderungen!$I:$I,$R140))</f>
        <v>offen</v>
      </c>
      <c r="H140" s="45" t="str">
        <f aca="false">IF($R140="","",INDEX(Anforderungen!$J:$J,$R140))</f>
        <v>–</v>
      </c>
      <c r="I140" s="45" t="str">
        <f aca="false">IF($R140="","",INDEX(Anforderungen!$K:$K,$R140))</f>
        <v>erfasst</v>
      </c>
      <c r="J140" s="46" t="n">
        <f aca="false">IF($R140="","",INDEX(Anforderungen!$L:$L,$R140))</f>
        <v>0</v>
      </c>
      <c r="K140" s="45" t="n">
        <f aca="false">IF($R140="","",INDEX(Anforderungen!$M:$M,$R140))</f>
        <v>0</v>
      </c>
      <c r="R140" s="0" t="n">
        <f aca="false">IFERROR(MATCH(ROWS($A$16:$A140),Anforderungen!$O$7:$O$2000,0)+6,"")</f>
        <v>131</v>
      </c>
    </row>
    <row r="141" customFormat="false" ht="30" hidden="false" customHeight="true" outlineLevel="0" collapsed="false">
      <c r="A141" s="45" t="str">
        <f aca="false">IF($R141="","",INDEX(Anforderungen!$B:$B,$R141))</f>
        <v>ANF-126</v>
      </c>
      <c r="B141" s="45" t="str">
        <f aca="false">IF($R141="","",INDEX(Anforderungen!$C:$C,$R141))</f>
        <v>Bieterfragenkatalog</v>
      </c>
      <c r="C141" s="45" t="str">
        <f aca="false">IF($R141="","",INDEX(Anforderungen!$D:$D,$R141))</f>
        <v>Nr. 74 / S. 6</v>
      </c>
      <c r="D141" s="45" t="str">
        <f aca="false">IF($R141="","",INDEX(Anforderungen!$E:$E,$R141))</f>
        <v>Vergabeverfahren &amp; Angebot</v>
      </c>
      <c r="E141" s="45" t="str">
        <f aca="false">IF($R141="","",INDEX(Anforderungen!$F:$F,$R141))</f>
        <v>Verweis des Auftraggebers auf die Antwort zu Bieterfrage 56.</v>
      </c>
      <c r="F141" s="45" t="str">
        <f aca="false">IF($R141="","",INDEX(Anforderungen!$G:$G,$R141))</f>
        <v>Im genannten Dokument ist das Datum der Angebotsaufforderung beschränkt auf das Jahr 2024. Wir bitten um Anpassung des Dokuments, da sich die Jahreszahl nicht verändern lässt.</v>
      </c>
      <c r="G141" s="45" t="str">
        <f aca="false">IF($R141="","",INDEX(Anforderungen!$I:$I,$R141))</f>
        <v>offen</v>
      </c>
      <c r="H141" s="45" t="str">
        <f aca="false">IF($R141="","",INDEX(Anforderungen!$J:$J,$R141))</f>
        <v>–</v>
      </c>
      <c r="I141" s="45" t="str">
        <f aca="false">IF($R141="","",INDEX(Anforderungen!$K:$K,$R141))</f>
        <v>trifft nicht zu</v>
      </c>
      <c r="J141" s="46" t="n">
        <f aca="false">IF($R141="","",INDEX(Anforderungen!$L:$L,$R141))</f>
        <v>0</v>
      </c>
      <c r="K141" s="45" t="str">
        <f aca="false">IF($R141="","",INDEX(Anforderungen!$M:$M,$R141))</f>
        <v>Automatisch ausgewertet: Die Antwort des Auftraggebers verweist ausschließlich auf Bieterfrage 56. Keine eigenständige Anforderung – der Inhalt ist unter der dort erfassten Zeile nachzuhalten.</v>
      </c>
      <c r="R141" s="0" t="n">
        <f aca="false">IFERROR(MATCH(ROWS($A$16:$A141),Anforderungen!$O$7:$O$2000,0)+6,"")</f>
        <v>132</v>
      </c>
    </row>
    <row r="142" customFormat="false" ht="30" hidden="false" customHeight="true" outlineLevel="0" collapsed="false">
      <c r="A142" s="45" t="str">
        <f aca="false">IF($R142="","",INDEX(Anforderungen!$B:$B,$R142))</f>
        <v>ANF-127</v>
      </c>
      <c r="B142" s="45" t="str">
        <f aca="false">IF($R142="","",INDEX(Anforderungen!$C:$C,$R142))</f>
        <v>Bieterfragenkatalog</v>
      </c>
      <c r="C142" s="45" t="str">
        <f aca="false">IF($R142="","",INDEX(Anforderungen!$D:$D,$R142))</f>
        <v>Nr. 75 / S. 6</v>
      </c>
      <c r="D142" s="45" t="str">
        <f aca="false">IF($R142="","",INDEX(Anforderungen!$E:$E,$R142))</f>
        <v>Bau &amp; Dokumentation</v>
      </c>
      <c r="E142" s="45" t="str">
        <f aca="false">IF($R142="","",INDEX(Anforderungen!$F:$F,$R142))</f>
        <v>Verneint: es ist nicht der Ausdruck Bauzeitenplan gemeint. Richtigerweise muss es jedoch Rahmenterminpläne inkl.</v>
      </c>
      <c r="F142" s="45" t="str">
        <f aca="false">IF($R142="","",INDEX(Anforderungen!$G:$G,$R142))</f>
        <v>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v>
      </c>
      <c r="G142" s="45" t="str">
        <f aca="false">IF($R142="","",INDEX(Anforderungen!$I:$I,$R142))</f>
        <v>offen</v>
      </c>
      <c r="H142" s="45" t="str">
        <f aca="false">IF($R142="","",INDEX(Anforderungen!$J:$J,$R142))</f>
        <v>–</v>
      </c>
      <c r="I142" s="45" t="str">
        <f aca="false">IF($R142="","",INDEX(Anforderungen!$K:$K,$R142))</f>
        <v>erfasst</v>
      </c>
      <c r="J142" s="46" t="n">
        <f aca="false">IF($R142="","",INDEX(Anforderungen!$L:$L,$R142))</f>
        <v>0</v>
      </c>
      <c r="K142" s="45" t="n">
        <f aca="false">IF($R142="","",INDEX(Anforderungen!$M:$M,$R142))</f>
        <v>0</v>
      </c>
      <c r="R142" s="0" t="n">
        <f aca="false">IFERROR(MATCH(ROWS($A$16:$A142),Anforderungen!$O$7:$O$2000,0)+6,"")</f>
        <v>133</v>
      </c>
    </row>
    <row r="143" customFormat="false" ht="30" hidden="false" customHeight="true" outlineLevel="0" collapsed="false">
      <c r="A143" s="45" t="str">
        <f aca="false">IF($R143="","",INDEX(Anforderungen!$B:$B,$R143))</f>
        <v>ANF-128</v>
      </c>
      <c r="B143" s="45" t="str">
        <f aca="false">IF($R143="","",INDEX(Anforderungen!$C:$C,$R143))</f>
        <v>Bieterfragenkatalog</v>
      </c>
      <c r="C143" s="45" t="str">
        <f aca="false">IF($R143="","",INDEX(Anforderungen!$D:$D,$R143))</f>
        <v>Nr. 76 / S. 6</v>
      </c>
      <c r="D143" s="45" t="str">
        <f aca="false">IF($R143="","",INDEX(Anforderungen!$E:$E,$R143))</f>
        <v>Netzanschluss &amp; Energie</v>
      </c>
      <c r="E143" s="45" t="str">
        <f aca="false">IF($R143="","",INDEX(Anforderungen!$F:$F,$R143))</f>
        <v>Klarstellung: Die Übergabestation ist in den Kapiteln 3.8.4 und 4.11.6 der Vertragsanlage 4 "Leistungsbeschreibung Errichtung" beschrieben.</v>
      </c>
      <c r="F143" s="45" t="str">
        <f aca="false">IF($R143="","",INDEX(Anforderungen!$G:$G,$R143))</f>
        <v>Was versteht man unter einer Übergabestation? Ist darin eine Transformatorenstation inbegriffen oder sind Übergabe- und Transformatorenstation verschiedene Komponenten?</v>
      </c>
      <c r="G143" s="45" t="str">
        <f aca="false">IF($R143="","",INDEX(Anforderungen!$I:$I,$R143))</f>
        <v>offen</v>
      </c>
      <c r="H143" s="45" t="str">
        <f aca="false">IF($R143="","",INDEX(Anforderungen!$J:$J,$R143))</f>
        <v>–</v>
      </c>
      <c r="I143" s="45" t="str">
        <f aca="false">IF($R143="","",INDEX(Anforderungen!$K:$K,$R143))</f>
        <v>erfasst</v>
      </c>
      <c r="J143" s="46" t="n">
        <f aca="false">IF($R143="","",INDEX(Anforderungen!$L:$L,$R143))</f>
        <v>0</v>
      </c>
      <c r="K143" s="45" t="n">
        <f aca="false">IF($R143="","",INDEX(Anforderungen!$M:$M,$R143))</f>
        <v>0</v>
      </c>
      <c r="R143" s="0" t="n">
        <f aca="false">IFERROR(MATCH(ROWS($A$16:$A143),Anforderungen!$O$7:$O$2000,0)+6,"")</f>
        <v>134</v>
      </c>
    </row>
    <row r="144" customFormat="false" ht="30" hidden="false" customHeight="true" outlineLevel="0" collapsed="false">
      <c r="A144" s="45" t="str">
        <f aca="false">IF($R144="","",INDEX(Anforderungen!$B:$B,$R144))</f>
        <v>ANF-129</v>
      </c>
      <c r="B144" s="45" t="str">
        <f aca="false">IF($R144="","",INDEX(Anforderungen!$C:$C,$R144))</f>
        <v>Bieterfragenkatalog</v>
      </c>
      <c r="C144" s="45" t="str">
        <f aca="false">IF($R144="","",INDEX(Anforderungen!$D:$D,$R144))</f>
        <v>Nr. 77 / S. 6</v>
      </c>
      <c r="D144" s="45" t="str">
        <f aca="false">IF($R144="","",INDEX(Anforderungen!$E:$E,$R144))</f>
        <v>Netzanschluss &amp; Energie</v>
      </c>
      <c r="E144" s="45" t="str">
        <f aca="false">IF($R144="","",INDEX(Anforderungen!$F:$F,$R144))</f>
        <v>Klarstellung: Es ist richtig, dass die Übergabestation für die beantragte Leistung des Jahres 2035 auszulegen ist.</v>
      </c>
      <c r="F144" s="45" t="str">
        <f aca="false">IF($R144="","",INDEX(Anforderungen!$G:$G,$R144))</f>
        <v>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v>
      </c>
      <c r="G144" s="45" t="str">
        <f aca="false">IF($R144="","",INDEX(Anforderungen!$I:$I,$R144))</f>
        <v>offen</v>
      </c>
      <c r="H144" s="45" t="str">
        <f aca="false">IF($R144="","",INDEX(Anforderungen!$J:$J,$R144))</f>
        <v>–</v>
      </c>
      <c r="I144" s="45" t="str">
        <f aca="false">IF($R144="","",INDEX(Anforderungen!$K:$K,$R144))</f>
        <v>erfasst</v>
      </c>
      <c r="J144" s="46" t="n">
        <f aca="false">IF($R144="","",INDEX(Anforderungen!$L:$L,$R144))</f>
        <v>0</v>
      </c>
      <c r="K144" s="45" t="n">
        <f aca="false">IF($R144="","",INDEX(Anforderungen!$M:$M,$R144))</f>
        <v>0</v>
      </c>
      <c r="R144" s="0" t="n">
        <f aca="false">IFERROR(MATCH(ROWS($A$16:$A144),Anforderungen!$O$7:$O$2000,0)+6,"")</f>
        <v>135</v>
      </c>
    </row>
    <row r="145" customFormat="false" ht="30" hidden="false" customHeight="true" outlineLevel="0" collapsed="false">
      <c r="A145" s="45" t="str">
        <f aca="false">IF($R145="","",INDEX(Anforderungen!$B:$B,$R145))</f>
        <v>ANF-130</v>
      </c>
      <c r="B145" s="45" t="str">
        <f aca="false">IF($R145="","",INDEX(Anforderungen!$C:$C,$R145))</f>
        <v>Bieterfragenkatalog</v>
      </c>
      <c r="C145" s="45" t="str">
        <f aca="false">IF($R145="","",INDEX(Anforderungen!$D:$D,$R145))</f>
        <v>Nr. 78 / S. 6</v>
      </c>
      <c r="D145" s="45" t="str">
        <f aca="false">IF($R145="","",INDEX(Anforderungen!$E:$E,$R145))</f>
        <v>Flächen &amp; Genehmigungen</v>
      </c>
      <c r="E145" s="45" t="str">
        <f aca="false">IF($R145="","",INDEX(Anforderungen!$F:$F,$R145))</f>
        <v>Klarstellung: Aktuell sind keine Spülbohrungen zur Verbindung zweier gegenüberliegender Rastanlagen, zur Herstellung von Netzanschlüssen, einzukalkulieren.</v>
      </c>
      <c r="F145" s="45" t="str">
        <f aca="false">IF($R145="","",INDEX(Anforderungen!$G:$G,$R145))</f>
        <v>Sind aus Sicht der Vergabestelle Spülbohrungen für Arbeiten unter bzw. an den Autobahnen einzukalkulieren?</v>
      </c>
      <c r="G145" s="45" t="str">
        <f aca="false">IF($R145="","",INDEX(Anforderungen!$I:$I,$R145))</f>
        <v>offen</v>
      </c>
      <c r="H145" s="45" t="str">
        <f aca="false">IF($R145="","",INDEX(Anforderungen!$J:$J,$R145))</f>
        <v>–</v>
      </c>
      <c r="I145" s="45" t="str">
        <f aca="false">IF($R145="","",INDEX(Anforderungen!$K:$K,$R145))</f>
        <v>erfasst</v>
      </c>
      <c r="J145" s="46" t="n">
        <f aca="false">IF($R145="","",INDEX(Anforderungen!$L:$L,$R145))</f>
        <v>0</v>
      </c>
      <c r="K145" s="45" t="n">
        <f aca="false">IF($R145="","",INDEX(Anforderungen!$M:$M,$R145))</f>
        <v>0</v>
      </c>
      <c r="R145" s="0" t="n">
        <f aca="false">IFERROR(MATCH(ROWS($A$16:$A145),Anforderungen!$O$7:$O$2000,0)+6,"")</f>
        <v>136</v>
      </c>
    </row>
    <row r="146" customFormat="false" ht="30" hidden="false" customHeight="true" outlineLevel="0" collapsed="false">
      <c r="A146" s="45" t="str">
        <f aca="false">IF($R146="","",INDEX(Anforderungen!$B:$B,$R146))</f>
        <v>ANF-131</v>
      </c>
      <c r="B146" s="45" t="str">
        <f aca="false">IF($R146="","",INDEX(Anforderungen!$C:$C,$R146))</f>
        <v>Bieterfragenkatalog</v>
      </c>
      <c r="C146" s="45" t="str">
        <f aca="false">IF($R146="","",INDEX(Anforderungen!$D:$D,$R146))</f>
        <v>Nr. 79 / S. 6</v>
      </c>
      <c r="D146" s="45" t="str">
        <f aca="false">IF($R146="","",INDEX(Anforderungen!$E:$E,$R146))</f>
        <v>Vertrag &amp; Recht</v>
      </c>
      <c r="E146" s="45" t="str">
        <f aca="false">IF($R146="","",INDEX(Anforderungen!$F:$F,$R146))</f>
        <v>Klarstellung: Ihre Annahme ist zutreffend. Gerne stellen wir wie folgt klar: 1) Maßgeblich für die Wertung des Angebotspreises (Ziffer 1 der Zuschlagskriterien) sind allein die Angaben im Preisblatt (Anlage 04 zum Verfahrensbrief "Preisblatt").</v>
      </c>
      <c r="F146" s="45" t="str">
        <f aca="false">IF($R146="","",INDEX(Anforderungen!$G:$G,$R146))</f>
        <v>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v>
      </c>
      <c r="G146" s="45" t="str">
        <f aca="false">IF($R146="","",INDEX(Anforderungen!$I:$I,$R146))</f>
        <v>offen</v>
      </c>
      <c r="H146" s="45" t="str">
        <f aca="false">IF($R146="","",INDEX(Anforderungen!$J:$J,$R146))</f>
        <v>–</v>
      </c>
      <c r="I146" s="45" t="str">
        <f aca="false">IF($R146="","",INDEX(Anforderungen!$K:$K,$R146))</f>
        <v>erfasst</v>
      </c>
      <c r="J146" s="46" t="n">
        <f aca="false">IF($R146="","",INDEX(Anforderungen!$L:$L,$R146))</f>
        <v>0</v>
      </c>
      <c r="K146" s="45" t="n">
        <f aca="false">IF($R146="","",INDEX(Anforderungen!$M:$M,$R146))</f>
        <v>0</v>
      </c>
      <c r="R146" s="0" t="n">
        <f aca="false">IFERROR(MATCH(ROWS($A$16:$A146),Anforderungen!$O$7:$O$2000,0)+6,"")</f>
        <v>137</v>
      </c>
    </row>
    <row r="147" customFormat="false" ht="30" hidden="false" customHeight="true" outlineLevel="0" collapsed="false">
      <c r="A147" s="45" t="str">
        <f aca="false">IF($R147="","",INDEX(Anforderungen!$B:$B,$R147))</f>
        <v>ANF-132</v>
      </c>
      <c r="B147" s="45" t="str">
        <f aca="false">IF($R147="","",INDEX(Anforderungen!$C:$C,$R147))</f>
        <v>Bieterfragenkatalog</v>
      </c>
      <c r="C147" s="45" t="str">
        <f aca="false">IF($R147="","",INDEX(Anforderungen!$D:$D,$R147))</f>
        <v>Nr. 80 / S. 6</v>
      </c>
      <c r="D147" s="45" t="str">
        <f aca="false">IF($R147="","",INDEX(Anforderungen!$E:$E,$R147))</f>
        <v>Technik Ladeinfrastruktur</v>
      </c>
      <c r="E147" s="45" t="str">
        <f aca="false">IF($R147="","",INDEX(Anforderungen!$F:$F,$R147))</f>
        <v>Bestätigt: die Annahme ist richtig. Die lokale, zum Ladeplatz gehörige Beleuchtung, wird mittels Bewegungsensorik gesteuert.</v>
      </c>
      <c r="F147" s="45" t="str">
        <f aca="false">IF($R147="","",INDEX(Anforderungen!$G:$G,$R147))</f>
        <v>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v>
      </c>
      <c r="G147" s="45" t="str">
        <f aca="false">IF($R147="","",INDEX(Anforderungen!$I:$I,$R147))</f>
        <v>Zuordnung prüfen</v>
      </c>
      <c r="H147" s="45" t="str">
        <f aca="false">IF($R147="","",INDEX(Anforderungen!$J:$J,$R147))</f>
        <v>Zuordnung prüfen</v>
      </c>
      <c r="I147" s="45" t="str">
        <f aca="false">IF($R147="","",INDEX(Anforderungen!$K:$K,$R147))</f>
        <v>erfasst</v>
      </c>
      <c r="J147" s="46" t="n">
        <f aca="false">IF($R147="","",INDEX(Anforderungen!$L:$L,$R147))</f>
        <v>0</v>
      </c>
      <c r="K147" s="45" t="n">
        <f aca="false">IF($R147="","",INDEX(Anforderungen!$M:$M,$R147))</f>
        <v>0</v>
      </c>
      <c r="R147" s="0" t="n">
        <f aca="false">IFERROR(MATCH(ROWS($A$16:$A147),Anforderungen!$O$7:$O$2000,0)+6,"")</f>
        <v>138</v>
      </c>
    </row>
    <row r="148" customFormat="false" ht="30" hidden="false" customHeight="true" outlineLevel="0" collapsed="false">
      <c r="A148" s="45" t="str">
        <f aca="false">IF($R148="","",INDEX(Anforderungen!$B:$B,$R148))</f>
        <v>ANF-133</v>
      </c>
      <c r="B148" s="45" t="str">
        <f aca="false">IF($R148="","",INDEX(Anforderungen!$C:$C,$R148))</f>
        <v>Bieterfragenkatalog</v>
      </c>
      <c r="C148" s="45" t="str">
        <f aca="false">IF($R148="","",INDEX(Anforderungen!$D:$D,$R148))</f>
        <v>Nr. 81 / S. 7</v>
      </c>
      <c r="D148" s="45" t="str">
        <f aca="false">IF($R148="","",INDEX(Anforderungen!$E:$E,$R148))</f>
        <v>Betrieb &amp; Auslastung</v>
      </c>
      <c r="E148" s="45" t="str">
        <f aca="false">IF($R148="","",INDEX(Anforderungen!$F:$F,$R148))</f>
        <v>Klarstellung: Der AG zahlt eine Vergütung für die Errichtung und den Betrieb der Ladeinfrastruktur auf Basis der individuellen Angebotspreise der ausgewählten Betreiber.</v>
      </c>
      <c r="F148" s="45" t="str">
        <f aca="false">IF($R148="","",INDEX(Anforderungen!$G:$G,$R148))</f>
        <v>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v>
      </c>
      <c r="G148" s="45" t="str">
        <f aca="false">IF($R148="","",INDEX(Anforderungen!$I:$I,$R148))</f>
        <v>Zuordnung prüfen</v>
      </c>
      <c r="H148" s="45" t="str">
        <f aca="false">IF($R148="","",INDEX(Anforderungen!$J:$J,$R148))</f>
        <v>Zuordnung prüfen</v>
      </c>
      <c r="I148" s="45" t="str">
        <f aca="false">IF($R148="","",INDEX(Anforderungen!$K:$K,$R148))</f>
        <v>erfasst</v>
      </c>
      <c r="J148" s="46" t="n">
        <f aca="false">IF($R148="","",INDEX(Anforderungen!$L:$L,$R148))</f>
        <v>0</v>
      </c>
      <c r="K148" s="45" t="n">
        <f aca="false">IF($R148="","",INDEX(Anforderungen!$M:$M,$R148))</f>
        <v>0</v>
      </c>
      <c r="R148" s="0" t="n">
        <f aca="false">IFERROR(MATCH(ROWS($A$16:$A148),Anforderungen!$O$7:$O$2000,0)+6,"")</f>
        <v>139</v>
      </c>
    </row>
    <row r="149" customFormat="false" ht="30" hidden="false" customHeight="true" outlineLevel="0" collapsed="false">
      <c r="A149" s="45" t="str">
        <f aca="false">IF($R149="","",INDEX(Anforderungen!$B:$B,$R149))</f>
        <v>ANF-134</v>
      </c>
      <c r="B149" s="45" t="str">
        <f aca="false">IF($R149="","",INDEX(Anforderungen!$C:$C,$R149))</f>
        <v>Bieterfragenkatalog</v>
      </c>
      <c r="C149" s="45" t="str">
        <f aca="false">IF($R149="","",INDEX(Anforderungen!$D:$D,$R149))</f>
        <v>Nr. 82 / S. 7</v>
      </c>
      <c r="D149" s="45" t="str">
        <f aca="false">IF($R149="","",INDEX(Anforderungen!$E:$E,$R149))</f>
        <v>Technik Ladeinfrastruktur</v>
      </c>
      <c r="E149" s="45" t="str">
        <f aca="false">IF($R149="","",INDEX(Anforderungen!$F:$F,$R149))</f>
        <v>Klarstellung: Es erfolgt folgende Klarstellung: Für den Fall, dass nur ein MCS-Ladepunkt vorhanden ist, ist auch nur ein MCS-Ladepunkt für das Zwischenladen nachts freizuhalten.</v>
      </c>
      <c r="F149" s="45" t="str">
        <f aca="false">IF($R149="","",INDEX(Anforderungen!$G:$G,$R149))</f>
        <v>Wir bitten um Überprüfung der Vorgabe in BV §16.4 (min. zwei MCS-Ladepunkte bzw. ein CCS-Ladepunkt sind zum Zwischenladen nachts freizuhalten), da es Standorte gibt, bei denen nur 1 MCS- und 1 CCS- Ladepunkt installiert werden sollen.</v>
      </c>
      <c r="G149" s="45" t="str">
        <f aca="false">IF($R149="","",INDEX(Anforderungen!$I:$I,$R149))</f>
        <v>Zuordnung prüfen</v>
      </c>
      <c r="H149" s="45" t="str">
        <f aca="false">IF($R149="","",INDEX(Anforderungen!$J:$J,$R149))</f>
        <v>Zuordnung prüfen</v>
      </c>
      <c r="I149" s="45" t="str">
        <f aca="false">IF($R149="","",INDEX(Anforderungen!$K:$K,$R149))</f>
        <v>erfasst</v>
      </c>
      <c r="J149" s="46" t="n">
        <f aca="false">IF($R149="","",INDEX(Anforderungen!$L:$L,$R149))</f>
        <v>0</v>
      </c>
      <c r="K149" s="45" t="n">
        <f aca="false">IF($R149="","",INDEX(Anforderungen!$M:$M,$R149))</f>
        <v>0</v>
      </c>
      <c r="R149" s="0" t="n">
        <f aca="false">IFERROR(MATCH(ROWS($A$16:$A149),Anforderungen!$O$7:$O$2000,0)+6,"")</f>
        <v>140</v>
      </c>
    </row>
    <row r="150" customFormat="false" ht="30" hidden="false" customHeight="true" outlineLevel="0" collapsed="false">
      <c r="A150" s="45" t="str">
        <f aca="false">IF($R150="","",INDEX(Anforderungen!$B:$B,$R150))</f>
        <v>ANF-135</v>
      </c>
      <c r="B150" s="45" t="str">
        <f aca="false">IF($R150="","",INDEX(Anforderungen!$C:$C,$R150))</f>
        <v>Bieterfragenkatalog</v>
      </c>
      <c r="C150" s="45" t="str">
        <f aca="false">IF($R150="","",INDEX(Anforderungen!$D:$D,$R150))</f>
        <v>Nr. 83 / S. 7</v>
      </c>
      <c r="D150" s="45" t="str">
        <f aca="false">IF($R150="","",INDEX(Anforderungen!$E:$E,$R150))</f>
        <v>Reservierung</v>
      </c>
      <c r="E150" s="45" t="str">
        <f aca="false">IF($R150="","",INDEX(Anforderungen!$F:$F,$R150))</f>
        <v>Verneint: die Einnahnmen aus dem Reservierungsentgelt sind nach dem aktuellen Stand des Vertrags nicht in der Angebotskalkulation zu berücksichtigen.</v>
      </c>
      <c r="F150" s="45" t="str">
        <f aca="false">IF($R150="","",INDEX(Anforderungen!$G:$G,$R150))</f>
        <v>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v>
      </c>
      <c r="G150" s="45" t="str">
        <f aca="false">IF($R150="","",INDEX(Anforderungen!$I:$I,$R150))</f>
        <v>eRound / Reservierungsplattform</v>
      </c>
      <c r="H150" s="45" t="str">
        <f aca="false">IF($R150="","",INDEX(Anforderungen!$J:$J,$R150))</f>
        <v>OCPI Buchungskalender / Reservierungsplattform</v>
      </c>
      <c r="I150" s="45" t="str">
        <f aca="false">IF($R150="","",INDEX(Anforderungen!$K:$K,$R150))</f>
        <v>erfasst</v>
      </c>
      <c r="J150" s="46" t="n">
        <f aca="false">IF($R150="","",INDEX(Anforderungen!$L:$L,$R150))</f>
        <v>0</v>
      </c>
      <c r="K150" s="45" t="n">
        <f aca="false">IF($R150="","",INDEX(Anforderungen!$M:$M,$R150))</f>
        <v>0</v>
      </c>
      <c r="R150" s="0" t="n">
        <f aca="false">IFERROR(MATCH(ROWS($A$16:$A150),Anforderungen!$O$7:$O$2000,0)+6,"")</f>
        <v>141</v>
      </c>
    </row>
    <row r="151" customFormat="false" ht="30" hidden="false" customHeight="true" outlineLevel="0" collapsed="false">
      <c r="A151" s="45" t="str">
        <f aca="false">IF($R151="","",INDEX(Anforderungen!$B:$B,$R151))</f>
        <v>ANF-136</v>
      </c>
      <c r="B151" s="45" t="str">
        <f aca="false">IF($R151="","",INDEX(Anforderungen!$C:$C,$R151))</f>
        <v>Bieterfragenkatalog</v>
      </c>
      <c r="C151" s="45" t="str">
        <f aca="false">IF($R151="","",INDEX(Anforderungen!$D:$D,$R151))</f>
        <v>Nr. 84 / S. 7</v>
      </c>
      <c r="D151" s="45" t="str">
        <f aca="false">IF($R151="","",INDEX(Anforderungen!$E:$E,$R151))</f>
        <v>Vertrag &amp; Recht</v>
      </c>
      <c r="E151" s="45" t="str">
        <f aca="false">IF($R151="","",INDEX(Anforderungen!$F:$F,$R151))</f>
        <v>Klarstellung: Es ist bei der Konvertierung in das Pdf ein Formatierungsfehler aufgetreten. Der Text von § 56 ("Schadenersatz bei unzulässiger Wettbewerbsbeschränkung") ist am Ende von § 55 Abs.</v>
      </c>
      <c r="F151" s="45" t="str">
        <f aca="false">IF($R151="","",INDEX(Anforderungen!$G:$G,$R151))</f>
        <v>Wir bitten um Überprüfung, ob der fehlende §56 im Betreibervertrag noch ergänzt wird.</v>
      </c>
      <c r="G151" s="45" t="str">
        <f aca="false">IF($R151="","",INDEX(Anforderungen!$I:$I,$R151))</f>
        <v>offen</v>
      </c>
      <c r="H151" s="45" t="str">
        <f aca="false">IF($R151="","",INDEX(Anforderungen!$J:$J,$R151))</f>
        <v>–</v>
      </c>
      <c r="I151" s="45" t="str">
        <f aca="false">IF($R151="","",INDEX(Anforderungen!$K:$K,$R151))</f>
        <v>erfasst</v>
      </c>
      <c r="J151" s="46" t="n">
        <f aca="false">IF($R151="","",INDEX(Anforderungen!$L:$L,$R151))</f>
        <v>0</v>
      </c>
      <c r="K151" s="45" t="n">
        <f aca="false">IF($R151="","",INDEX(Anforderungen!$M:$M,$R151))</f>
        <v>0</v>
      </c>
      <c r="R151" s="0" t="n">
        <f aca="false">IFERROR(MATCH(ROWS($A$16:$A151),Anforderungen!$O$7:$O$2000,0)+6,"")</f>
        <v>142</v>
      </c>
    </row>
    <row r="152" customFormat="false" ht="30" hidden="false" customHeight="true" outlineLevel="0" collapsed="false">
      <c r="A152" s="45" t="str">
        <f aca="false">IF($R152="","",INDEX(Anforderungen!$B:$B,$R152))</f>
        <v>ANF-137</v>
      </c>
      <c r="B152" s="45" t="str">
        <f aca="false">IF($R152="","",INDEX(Anforderungen!$C:$C,$R152))</f>
        <v>Bieterfragenkatalog</v>
      </c>
      <c r="C152" s="45" t="str">
        <f aca="false">IF($R152="","",INDEX(Anforderungen!$D:$D,$R152))</f>
        <v>Nr. 85 / S. 7</v>
      </c>
      <c r="D152" s="45" t="str">
        <f aca="false">IF($R152="","",INDEX(Anforderungen!$E:$E,$R152))</f>
        <v>Netzanschluss &amp; Energie</v>
      </c>
      <c r="E152" s="45" t="str">
        <f aca="false">IF($R152="","",INDEX(Anforderungen!$F:$F,$R152))</f>
        <v>Klarstellung: Der AG verweist auf die Antwort zur Bieterfrage 46.</v>
      </c>
      <c r="F152" s="45" t="str">
        <f aca="false">IF($R152="","",INDEX(Anforderungen!$G:$G,$R152))</f>
        <v>Wann wird der Auftraggeber die Information bereitstellen, an welchen Standorten und zu welchem Zeitpunkt Speicher zum Einsatz kommen? Da der Auftragnehmer für die Instandhaltung und Versicherung der Speicher verantwortlich sein soll, benötigen die Bieter diese Informationen.</v>
      </c>
      <c r="G152" s="45" t="str">
        <f aca="false">IF($R152="","",INDEX(Anforderungen!$I:$I,$R152))</f>
        <v>offen</v>
      </c>
      <c r="H152" s="45" t="str">
        <f aca="false">IF($R152="","",INDEX(Anforderungen!$J:$J,$R152))</f>
        <v>–</v>
      </c>
      <c r="I152" s="45" t="str">
        <f aca="false">IF($R152="","",INDEX(Anforderungen!$K:$K,$R152))</f>
        <v>erfasst</v>
      </c>
      <c r="J152" s="46" t="n">
        <f aca="false">IF($R152="","",INDEX(Anforderungen!$L:$L,$R152))</f>
        <v>0</v>
      </c>
      <c r="K152" s="45" t="n">
        <f aca="false">IF($R152="","",INDEX(Anforderungen!$M:$M,$R152))</f>
        <v>0</v>
      </c>
      <c r="R152" s="0" t="n">
        <f aca="false">IFERROR(MATCH(ROWS($A$16:$A152),Anforderungen!$O$7:$O$2000,0)+6,"")</f>
        <v>143</v>
      </c>
    </row>
    <row r="153" customFormat="false" ht="30" hidden="false" customHeight="true" outlineLevel="0" collapsed="false">
      <c r="A153" s="45" t="str">
        <f aca="false">IF($R153="","",INDEX(Anforderungen!$B:$B,$R153))</f>
        <v>ANF-138</v>
      </c>
      <c r="B153" s="45" t="str">
        <f aca="false">IF($R153="","",INDEX(Anforderungen!$C:$C,$R153))</f>
        <v>Bieterfragenkatalog</v>
      </c>
      <c r="C153" s="45" t="str">
        <f aca="false">IF($R153="","",INDEX(Anforderungen!$D:$D,$R153))</f>
        <v>Nr. 86 / S. 7</v>
      </c>
      <c r="D153" s="45" t="str">
        <f aca="false">IF($R153="","",INDEX(Anforderungen!$E:$E,$R153))</f>
        <v>Vergabeverfahren &amp; Angebot</v>
      </c>
      <c r="E153" s="45" t="str">
        <f aca="false">IF($R153="","",INDEX(Anforderungen!$F:$F,$R153))</f>
        <v>Klarstellung: Die Frist zur Abgabe des Erstangebots wird auf den 20.03.2025, 12 Uhr verlängert.</v>
      </c>
      <c r="F153" s="45" t="str">
        <f aca="false">IF($R153="","",INDEX(Anforderungen!$G:$G,$R153))</f>
        <v>Verlängerung der Frist zur Abgabe eines Erstangebots</v>
      </c>
      <c r="G153" s="45" t="str">
        <f aca="false">IF($R153="","",INDEX(Anforderungen!$I:$I,$R153))</f>
        <v>offen</v>
      </c>
      <c r="H153" s="45" t="str">
        <f aca="false">IF($R153="","",INDEX(Anforderungen!$J:$J,$R153))</f>
        <v>–</v>
      </c>
      <c r="I153" s="45" t="str">
        <f aca="false">IF($R153="","",INDEX(Anforderungen!$K:$K,$R153))</f>
        <v>trifft nicht zu</v>
      </c>
      <c r="J153" s="46" t="n">
        <f aca="false">IF($R153="","",INDEX(Anforderungen!$L:$L,$R153))</f>
        <v>0</v>
      </c>
      <c r="K153" s="45" t="str">
        <f aca="false">IF($R153="","",INDEX(Anforderungen!$M:$M,$R153))</f>
        <v>Automatisch ausgewertet: Betrifft das Vergabeverfahren (Angebot, Wertung, Unterlagen), nicht die zu erbringende Leistung. Keiner Komponente zugeordnet.</v>
      </c>
      <c r="R153" s="0" t="n">
        <f aca="false">IFERROR(MATCH(ROWS($A$16:$A153),Anforderungen!$O$7:$O$2000,0)+6,"")</f>
        <v>144</v>
      </c>
    </row>
    <row r="154" customFormat="false" ht="30" hidden="false" customHeight="true" outlineLevel="0" collapsed="false">
      <c r="A154" s="45" t="str">
        <f aca="false">IF($R154="","",INDEX(Anforderungen!$B:$B,$R154))</f>
        <v>ANF-139</v>
      </c>
      <c r="B154" s="45" t="str">
        <f aca="false">IF($R154="","",INDEX(Anforderungen!$C:$C,$R154))</f>
        <v>Bieterfragenkatalog</v>
      </c>
      <c r="C154" s="45" t="str">
        <f aca="false">IF($R154="","",INDEX(Anforderungen!$D:$D,$R154))</f>
        <v>Nr. 87 / S. 7</v>
      </c>
      <c r="D154" s="45" t="str">
        <f aca="false">IF($R154="","",INDEX(Anforderungen!$E:$E,$R154))</f>
        <v>Bau &amp; Dokumentation</v>
      </c>
      <c r="E154" s="45" t="str">
        <f aca="false">IF($R154="","",INDEX(Anforderungen!$F:$F,$R154))</f>
        <v>Klarstellung: Bezugspunkt der Vertragsstrafe ist das durchschnittliche Errichtungsentgelt, das der Bieter angeboten hat (keine Mengengewichtung).</v>
      </c>
      <c r="F154" s="45" t="str">
        <f aca="false">IF($R154="","",INDEX(Anforderungen!$G:$G,$R154))</f>
        <v>Bezieht sich der Prozentsatz der Vertragsstrafe aus § 14 auf das Entrichtungsgeld des jeweiligen Standorts, oder ggf. auch nur auf einen Teilbereich des Standorts der nicht gemäß Terminplan in Betrieb genommen werden kann?</v>
      </c>
      <c r="G154" s="45" t="str">
        <f aca="false">IF($R154="","",INDEX(Anforderungen!$I:$I,$R154))</f>
        <v>offen</v>
      </c>
      <c r="H154" s="45" t="str">
        <f aca="false">IF($R154="","",INDEX(Anforderungen!$J:$J,$R154))</f>
        <v>–</v>
      </c>
      <c r="I154" s="45" t="str">
        <f aca="false">IF($R154="","",INDEX(Anforderungen!$K:$K,$R154))</f>
        <v>erfasst</v>
      </c>
      <c r="J154" s="46" t="n">
        <f aca="false">IF($R154="","",INDEX(Anforderungen!$L:$L,$R154))</f>
        <v>0</v>
      </c>
      <c r="K154" s="45" t="n">
        <f aca="false">IF($R154="","",INDEX(Anforderungen!$M:$M,$R154))</f>
        <v>0</v>
      </c>
      <c r="R154" s="0" t="n">
        <f aca="false">IFERROR(MATCH(ROWS($A$16:$A154),Anforderungen!$O$7:$O$2000,0)+6,"")</f>
        <v>145</v>
      </c>
    </row>
    <row r="155" customFormat="false" ht="30" hidden="false" customHeight="true" outlineLevel="0" collapsed="false">
      <c r="A155" s="45" t="str">
        <f aca="false">IF($R155="","",INDEX(Anforderungen!$B:$B,$R155))</f>
        <v>ANF-140</v>
      </c>
      <c r="B155" s="45" t="str">
        <f aca="false">IF($R155="","",INDEX(Anforderungen!$C:$C,$R155))</f>
        <v>Bieterfragenkatalog</v>
      </c>
      <c r="C155" s="45" t="str">
        <f aca="false">IF($R155="","",INDEX(Anforderungen!$D:$D,$R155))</f>
        <v>Nr. 88 / S. 7</v>
      </c>
      <c r="D155" s="45" t="str">
        <f aca="false">IF($R155="","",INDEX(Anforderungen!$E:$E,$R155))</f>
        <v>Vergabeverfahren &amp; Angebot</v>
      </c>
      <c r="E155" s="45" t="str">
        <f aca="false">IF($R155="","",INDEX(Anforderungen!$F:$F,$R155))</f>
        <v>Bestätigt: diese Annahme ist zutreffend. Der AG wird den Zuschlag nicht auf die Erstangebote erteilen.</v>
      </c>
      <c r="F155" s="45" t="str">
        <f aca="false">IF($R155="","",INDEX(Anforderungen!$G:$G,$R155))</f>
        <v>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v>
      </c>
      <c r="G155" s="45" t="str">
        <f aca="false">IF($R155="","",INDEX(Anforderungen!$I:$I,$R155))</f>
        <v>offen</v>
      </c>
      <c r="H155" s="45" t="str">
        <f aca="false">IF($R155="","",INDEX(Anforderungen!$J:$J,$R155))</f>
        <v>–</v>
      </c>
      <c r="I155" s="45" t="str">
        <f aca="false">IF($R155="","",INDEX(Anforderungen!$K:$K,$R155))</f>
        <v>trifft nicht zu</v>
      </c>
      <c r="J155" s="46" t="n">
        <f aca="false">IF($R155="","",INDEX(Anforderungen!$L:$L,$R155))</f>
        <v>0</v>
      </c>
      <c r="K155" s="45" t="str">
        <f aca="false">IF($R155="","",INDEX(Anforderungen!$M:$M,$R155))</f>
        <v>Automatisch ausgewertet: Betrifft das Vergabeverfahren (Angebot, Wertung, Unterlagen), nicht die zu erbringende Leistung. Keiner Komponente zugeordnet.</v>
      </c>
      <c r="R155" s="0" t="n">
        <f aca="false">IFERROR(MATCH(ROWS($A$16:$A155),Anforderungen!$O$7:$O$2000,0)+6,"")</f>
        <v>146</v>
      </c>
    </row>
    <row r="156" customFormat="false" ht="30" hidden="false" customHeight="true" outlineLevel="0" collapsed="false">
      <c r="A156" s="45" t="str">
        <f aca="false">IF($R156="","",INDEX(Anforderungen!$B:$B,$R156))</f>
        <v>ANF-141</v>
      </c>
      <c r="B156" s="45" t="str">
        <f aca="false">IF($R156="","",INDEX(Anforderungen!$C:$C,$R156))</f>
        <v>Bieterfragenkatalog</v>
      </c>
      <c r="C156" s="45" t="str">
        <f aca="false">IF($R156="","",INDEX(Anforderungen!$D:$D,$R156))</f>
        <v>Nr. 89 / S. 7</v>
      </c>
      <c r="D156" s="45" t="str">
        <f aca="false">IF($R156="","",INDEX(Anforderungen!$E:$E,$R156))</f>
        <v>Netzanschluss &amp; Energie</v>
      </c>
      <c r="E156" s="45" t="str">
        <f aca="false">IF($R156="","",INDEX(Anforderungen!$F:$F,$R156))</f>
        <v>Klarstellung: Die Informationen zur Mobilfunkabdeckung ergeben sich aus dem Gigabitgrundbuchs mit Stand 07/2024 (https://gigabitgrundbuch.bund.de/GIGA/DE/Downloads_Suche/start.html).</v>
      </c>
      <c r="F156" s="45" t="str">
        <f aca="false">IF($R156="","",INDEX(Anforderungen!$G:$G,$R156))</f>
        <v>In der Anlage "Details zum Netzanschluss" wird für jeden Standort eine 5G-Verfügbarkeit angegeben. Mit welchen Bandbreiten ist mindestens zu rechnen? Gibt es für die Standorte folgende Angaben: Gemessener Pegel RSRP [dBm], Gemessener Pegel RSRQ [dBm]?</v>
      </c>
      <c r="G156" s="45" t="str">
        <f aca="false">IF($R156="","",INDEX(Anforderungen!$I:$I,$R156))</f>
        <v>offen</v>
      </c>
      <c r="H156" s="45" t="str">
        <f aca="false">IF($R156="","",INDEX(Anforderungen!$J:$J,$R156))</f>
        <v>–</v>
      </c>
      <c r="I156" s="45" t="str">
        <f aca="false">IF($R156="","",INDEX(Anforderungen!$K:$K,$R156))</f>
        <v>erfasst</v>
      </c>
      <c r="J156" s="46" t="n">
        <f aca="false">IF($R156="","",INDEX(Anforderungen!$L:$L,$R156))</f>
        <v>0</v>
      </c>
      <c r="K156" s="45" t="n">
        <f aca="false">IF($R156="","",INDEX(Anforderungen!$M:$M,$R156))</f>
        <v>0</v>
      </c>
      <c r="R156" s="0" t="n">
        <f aca="false">IFERROR(MATCH(ROWS($A$16:$A156),Anforderungen!$O$7:$O$2000,0)+6,"")</f>
        <v>147</v>
      </c>
    </row>
    <row r="157" customFormat="false" ht="30" hidden="false" customHeight="true" outlineLevel="0" collapsed="false">
      <c r="A157" s="45" t="str">
        <f aca="false">IF($R157="","",INDEX(Anforderungen!$B:$B,$R157))</f>
        <v>ANF-142</v>
      </c>
      <c r="B157" s="45" t="str">
        <f aca="false">IF($R157="","",INDEX(Anforderungen!$C:$C,$R157))</f>
        <v>Bieterfragenkatalog</v>
      </c>
      <c r="C157" s="45" t="str">
        <f aca="false">IF($R157="","",INDEX(Anforderungen!$D:$D,$R157))</f>
        <v>Nr. 90 / S. 7</v>
      </c>
      <c r="D157" s="45" t="str">
        <f aca="false">IF($R157="","",INDEX(Anforderungen!$E:$E,$R157))</f>
        <v>Reservierung</v>
      </c>
      <c r="E157" s="45" t="str">
        <f aca="false">IF($R157="","",INDEX(Anforderungen!$F:$F,$R157))</f>
        <v>Klarstellung: Die genannten sechs Status aus Vertragsanlage 11 sind dem OCPI Standard entnommen. BLOCKED = The EVSE/Connector is not accessible because of a physical barrier, i.e. a car.</v>
      </c>
      <c r="F157" s="45" t="str">
        <f aca="false">IF($R157="","",INDEX(Anforderungen!$G:$G,$R157))</f>
        <v>Was ist mit dem Status BLOCKED OUTOFORDER PLANNED REMOVED UNKNOWN INOPERATIVE exakt gemeint? Wie unterscheiden diese sich?</v>
      </c>
      <c r="G157" s="45" t="str">
        <f aca="false">IF($R157="","",INDEX(Anforderungen!$I:$I,$R157))</f>
        <v>eRound</v>
      </c>
      <c r="H157" s="45" t="str">
        <f aca="false">IF($R157="","",INDEX(Anforderungen!$J:$J,$R157))</f>
        <v>OCPI Buchungskalender</v>
      </c>
      <c r="I157" s="45" t="str">
        <f aca="false">IF($R157="","",INDEX(Anforderungen!$K:$K,$R157))</f>
        <v>erfasst</v>
      </c>
      <c r="J157" s="46" t="n">
        <f aca="false">IF($R157="","",INDEX(Anforderungen!$L:$L,$R157))</f>
        <v>0</v>
      </c>
      <c r="K157" s="45" t="n">
        <f aca="false">IF($R157="","",INDEX(Anforderungen!$M:$M,$R157))</f>
        <v>0</v>
      </c>
      <c r="R157" s="0" t="n">
        <f aca="false">IFERROR(MATCH(ROWS($A$16:$A157),Anforderungen!$O$7:$O$2000,0)+6,"")</f>
        <v>148</v>
      </c>
    </row>
    <row r="158" customFormat="false" ht="30" hidden="false" customHeight="true" outlineLevel="0" collapsed="false">
      <c r="A158" s="45" t="str">
        <f aca="false">IF($R158="","",INDEX(Anforderungen!$B:$B,$R158))</f>
        <v>ANF-143</v>
      </c>
      <c r="B158" s="45" t="str">
        <f aca="false">IF($R158="","",INDEX(Anforderungen!$C:$C,$R158))</f>
        <v>Bieterfragenkatalog</v>
      </c>
      <c r="C158" s="45" t="str">
        <f aca="false">IF($R158="","",INDEX(Anforderungen!$D:$D,$R158))</f>
        <v>Nr. 91 / S. 7</v>
      </c>
      <c r="D158" s="45" t="str">
        <f aca="false">IF($R158="","",INDEX(Anforderungen!$E:$E,$R158))</f>
        <v>Vergabeverfahren &amp; Angebot</v>
      </c>
      <c r="E158" s="45" t="str">
        <f aca="false">IF($R158="","",INDEX(Anforderungen!$F:$F,$R158))</f>
        <v>Klarstellung: Der AG verweist auf die Antwort auf Bieterfrage 33. Dementsprechend ist für die Erstellung der Erstangebote davon auszugehen, dass blockierende Objekte nicht zu Ausfallzeiten führen werden.</v>
      </c>
      <c r="F158" s="45" t="str">
        <f aca="false">IF($R158="","",INDEX(Anforderungen!$G:$G,$R158))</f>
        <v>Führen blockierende Objekte (z.B. Falschparker, die nicht laden) zu einer pönalisierenden Ausfallzeit?</v>
      </c>
      <c r="G158" s="45" t="str">
        <f aca="false">IF($R158="","",INDEX(Anforderungen!$I:$I,$R158))</f>
        <v>SCS</v>
      </c>
      <c r="H158" s="45" t="str">
        <f aca="false">IF($R158="","",INDEX(Anforderungen!$J:$J,$R158))</f>
        <v>Pönalisierungssystem</v>
      </c>
      <c r="I158" s="45" t="str">
        <f aca="false">IF($R158="","",INDEX(Anforderungen!$K:$K,$R158))</f>
        <v>erfasst</v>
      </c>
      <c r="J158" s="46" t="n">
        <f aca="false">IF($R158="","",INDEX(Anforderungen!$L:$L,$R158))</f>
        <v>0</v>
      </c>
      <c r="K158" s="45" t="n">
        <f aca="false">IF($R158="","",INDEX(Anforderungen!$M:$M,$R158))</f>
        <v>0</v>
      </c>
      <c r="R158" s="0" t="n">
        <f aca="false">IFERROR(MATCH(ROWS($A$16:$A158),Anforderungen!$O$7:$O$2000,0)+6,"")</f>
        <v>149</v>
      </c>
    </row>
    <row r="159" customFormat="false" ht="30" hidden="false" customHeight="true" outlineLevel="0" collapsed="false">
      <c r="A159" s="45" t="str">
        <f aca="false">IF($R159="","",INDEX(Anforderungen!$B:$B,$R159))</f>
        <v>ANF-144</v>
      </c>
      <c r="B159" s="45" t="str">
        <f aca="false">IF($R159="","",INDEX(Anforderungen!$C:$C,$R159))</f>
        <v>Bieterfragenkatalog</v>
      </c>
      <c r="C159" s="45" t="str">
        <f aca="false">IF($R159="","",INDEX(Anforderungen!$D:$D,$R159))</f>
        <v>Nr. 92 / S. 7</v>
      </c>
      <c r="D159" s="45" t="str">
        <f aca="false">IF($R159="","",INDEX(Anforderungen!$E:$E,$R159))</f>
        <v>Sonstiges / Zuordnung prüfen</v>
      </c>
      <c r="E159" s="45" t="str">
        <f aca="false">IF($R159="","",INDEX(Anforderungen!$F:$F,$R159))</f>
        <v>Klarstellung: Diesem Vorschlag kann nicht zugestimmt werden. Es müssen auch artfremde Objekte detektiert werden.</v>
      </c>
      <c r="F159" s="45" t="str">
        <f aca="false">IF($R159="","",INDEX(Anforderungen!$G:$G,$R159))</f>
        <v>"Für die Ableitung einer technischen Lösung der Objektdetektion ist die Abgrenzung des Begriffs "Objektdetektion" wesentlich. Vorschlag: Können wir für die weitere Ausarbeitung der technsichen Lösung den Begriff "Objekt" durch "Kraftfahrzeug" ersetzten?</v>
      </c>
      <c r="G159" s="45" t="str">
        <f aca="false">IF($R159="","",INDEX(Anforderungen!$I:$I,$R159))</f>
        <v>SCS</v>
      </c>
      <c r="H159" s="45" t="str">
        <f aca="false">IF($R159="","",INDEX(Anforderungen!$J:$J,$R159))</f>
        <v>Belegungsdetektion</v>
      </c>
      <c r="I159" s="45" t="str">
        <f aca="false">IF($R159="","",INDEX(Anforderungen!$K:$K,$R159))</f>
        <v>erfasst</v>
      </c>
      <c r="J159" s="46" t="n">
        <f aca="false">IF($R159="","",INDEX(Anforderungen!$L:$L,$R159))</f>
        <v>0</v>
      </c>
      <c r="K159" s="45" t="n">
        <f aca="false">IF($R159="","",INDEX(Anforderungen!$M:$M,$R159))</f>
        <v>0</v>
      </c>
      <c r="R159" s="0" t="n">
        <f aca="false">IFERROR(MATCH(ROWS($A$16:$A159),Anforderungen!$O$7:$O$2000,0)+6,"")</f>
        <v>150</v>
      </c>
    </row>
    <row r="160" customFormat="false" ht="30" hidden="false" customHeight="true" outlineLevel="0" collapsed="false">
      <c r="A160" s="45" t="str">
        <f aca="false">IF($R160="","",INDEX(Anforderungen!$B:$B,$R160))</f>
        <v>ANF-145</v>
      </c>
      <c r="B160" s="45" t="str">
        <f aca="false">IF($R160="","",INDEX(Anforderungen!$C:$C,$R160))</f>
        <v>Bieterfragenkatalog</v>
      </c>
      <c r="C160" s="45" t="str">
        <f aca="false">IF($R160="","",INDEX(Anforderungen!$D:$D,$R160))</f>
        <v>Nr. 93 / S. 7</v>
      </c>
      <c r="D160" s="45" t="str">
        <f aca="false">IF($R160="","",INDEX(Anforderungen!$E:$E,$R160))</f>
        <v>Vergabeverfahren &amp; Angebot</v>
      </c>
      <c r="E160" s="45" t="str">
        <f aca="false">IF($R160="","",INDEX(Anforderungen!$F:$F,$R160))</f>
        <v>Klarstellung: Eine Stoffpreisgleitklausel ist nicht vorgesehen.</v>
      </c>
      <c r="F160" s="45" t="str">
        <f aca="false">IF($R160="","",INDEX(Anforderungen!$G:$G,$R160))</f>
        <v>Kann für das finanzielle Angebot eine Preisgleitklausel in Bezug zu einschlägigen Materialpreisindizes je relevanter Komponentengruppe angewendet werden?</v>
      </c>
      <c r="G160" s="45" t="str">
        <f aca="false">IF($R160="","",INDEX(Anforderungen!$I:$I,$R160))</f>
        <v>offen</v>
      </c>
      <c r="H160" s="45" t="str">
        <f aca="false">IF($R160="","",INDEX(Anforderungen!$J:$J,$R160))</f>
        <v>–</v>
      </c>
      <c r="I160" s="45" t="str">
        <f aca="false">IF($R160="","",INDEX(Anforderungen!$K:$K,$R160))</f>
        <v>trifft nicht zu</v>
      </c>
      <c r="J160" s="46" t="n">
        <f aca="false">IF($R160="","",INDEX(Anforderungen!$L:$L,$R160))</f>
        <v>0</v>
      </c>
      <c r="K160" s="45" t="str">
        <f aca="false">IF($R160="","",INDEX(Anforderungen!$M:$M,$R160))</f>
        <v>Automatisch ausgewertet: Betrifft das Vergabeverfahren (Angebot, Wertung, Unterlagen), nicht die zu erbringende Leistung. Keiner Komponente zugeordnet.</v>
      </c>
      <c r="R160" s="0" t="n">
        <f aca="false">IFERROR(MATCH(ROWS($A$16:$A160),Anforderungen!$O$7:$O$2000,0)+6,"")</f>
        <v>151</v>
      </c>
    </row>
    <row r="161" customFormat="false" ht="30" hidden="false" customHeight="true" outlineLevel="0" collapsed="false">
      <c r="A161" s="45" t="str">
        <f aca="false">IF($R161="","",INDEX(Anforderungen!$B:$B,$R161))</f>
        <v>ANF-146</v>
      </c>
      <c r="B161" s="45" t="str">
        <f aca="false">IF($R161="","",INDEX(Anforderungen!$C:$C,$R161))</f>
        <v>Bieterfragenkatalog</v>
      </c>
      <c r="C161" s="45" t="str">
        <f aca="false">IF($R161="","",INDEX(Anforderungen!$D:$D,$R161))</f>
        <v>Nr. 94 / S. 7</v>
      </c>
      <c r="D161" s="45" t="str">
        <f aca="false">IF($R161="","",INDEX(Anforderungen!$E:$E,$R161))</f>
        <v>Netzanschluss &amp; Energie</v>
      </c>
      <c r="E161" s="45" t="str">
        <f aca="false">IF($R161="","",INDEX(Anforderungen!$F:$F,$R161))</f>
        <v>Klarstellung: Nach dem jetzigen Stand der Vertragsunterlagen sind die Kosten in das Betreiberentgelt einzukalkulieren.</v>
      </c>
      <c r="F161" s="45" t="str">
        <f aca="false">IF($R161="","",INDEX(Anforderungen!$G:$G,$R161))</f>
        <v>Gemäß §7 kann der Ladepunktbetreiber die Kosten für den Messstellenbetrieb nicht an den Mobilitätsdienstleister weitergeben, da das Infrastrukturentgelt von der Autobahn GmbH festgelegt wird. Wer übernimmt die Kosten für den Messstellenbetrieb?</v>
      </c>
      <c r="G161" s="45" t="str">
        <f aca="false">IF($R161="","",INDEX(Anforderungen!$I:$I,$R161))</f>
        <v>offen</v>
      </c>
      <c r="H161" s="45" t="str">
        <f aca="false">IF($R161="","",INDEX(Anforderungen!$J:$J,$R161))</f>
        <v>–</v>
      </c>
      <c r="I161" s="45" t="str">
        <f aca="false">IF($R161="","",INDEX(Anforderungen!$K:$K,$R161))</f>
        <v>erfasst</v>
      </c>
      <c r="J161" s="46" t="n">
        <f aca="false">IF($R161="","",INDEX(Anforderungen!$L:$L,$R161))</f>
        <v>0</v>
      </c>
      <c r="K161" s="45" t="n">
        <f aca="false">IF($R161="","",INDEX(Anforderungen!$M:$M,$R161))</f>
        <v>0</v>
      </c>
      <c r="R161" s="0" t="n">
        <f aca="false">IFERROR(MATCH(ROWS($A$16:$A161),Anforderungen!$O$7:$O$2000,0)+6,"")</f>
        <v>152</v>
      </c>
    </row>
    <row r="162" customFormat="false" ht="30" hidden="false" customHeight="true" outlineLevel="0" collapsed="false">
      <c r="A162" s="45" t="str">
        <f aca="false">IF($R162="","",INDEX(Anforderungen!$B:$B,$R162))</f>
        <v>ANF-147</v>
      </c>
      <c r="B162" s="45" t="str">
        <f aca="false">IF($R162="","",INDEX(Anforderungen!$C:$C,$R162))</f>
        <v>Bieterfragenkatalog</v>
      </c>
      <c r="C162" s="45" t="str">
        <f aca="false">IF($R162="","",INDEX(Anforderungen!$D:$D,$R162))</f>
        <v>Nr. 95 / S. 8</v>
      </c>
      <c r="D162" s="45" t="str">
        <f aca="false">IF($R162="","",INDEX(Anforderungen!$E:$E,$R162))</f>
        <v>Netzanschluss &amp; Energie</v>
      </c>
      <c r="E162" s="45" t="str">
        <f aca="false">IF($R162="","",INDEX(Anforderungen!$F:$F,$R162))</f>
        <v>Verweis des Auftraggebers auf die Antwort zu Bieterfrage 60.</v>
      </c>
      <c r="F162" s="45" t="str">
        <f aca="false">IF($R162="","",INDEX(Anforderungen!$G:$G,$R162))</f>
        <v>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v>
      </c>
      <c r="G162" s="45" t="str">
        <f aca="false">IF($R162="","",INDEX(Anforderungen!$I:$I,$R162))</f>
        <v>offen</v>
      </c>
      <c r="H162" s="45" t="str">
        <f aca="false">IF($R162="","",INDEX(Anforderungen!$J:$J,$R162))</f>
        <v>–</v>
      </c>
      <c r="I162" s="45" t="str">
        <f aca="false">IF($R162="","",INDEX(Anforderungen!$K:$K,$R162))</f>
        <v>trifft nicht zu</v>
      </c>
      <c r="J162" s="46" t="n">
        <f aca="false">IF($R162="","",INDEX(Anforderungen!$L:$L,$R162))</f>
        <v>0</v>
      </c>
      <c r="K162" s="45" t="str">
        <f aca="false">IF($R162="","",INDEX(Anforderungen!$M:$M,$R162))</f>
        <v>Automatisch ausgewertet: Die Antwort des Auftraggebers verweist ausschließlich auf Bieterfrage 60. Keine eigenständige Anforderung – der Inhalt ist unter der dort erfassten Zeile nachzuhalten.</v>
      </c>
      <c r="R162" s="0" t="n">
        <f aca="false">IFERROR(MATCH(ROWS($A$16:$A162),Anforderungen!$O$7:$O$2000,0)+6,"")</f>
        <v>153</v>
      </c>
    </row>
    <row r="163" customFormat="false" ht="30" hidden="false" customHeight="true" outlineLevel="0" collapsed="false">
      <c r="A163" s="45" t="str">
        <f aca="false">IF($R163="","",INDEX(Anforderungen!$B:$B,$R163))</f>
        <v>ANF-148</v>
      </c>
      <c r="B163" s="45" t="str">
        <f aca="false">IF($R163="","",INDEX(Anforderungen!$C:$C,$R163))</f>
        <v>Bieterfragenkatalog</v>
      </c>
      <c r="C163" s="45" t="str">
        <f aca="false">IF($R163="","",INDEX(Anforderungen!$D:$D,$R163))</f>
        <v>Nr. 96 / S. 8</v>
      </c>
      <c r="D163" s="45" t="str">
        <f aca="false">IF($R163="","",INDEX(Anforderungen!$E:$E,$R163))</f>
        <v>Reservierung</v>
      </c>
      <c r="E163" s="45" t="str">
        <f aca="false">IF($R163="","",INDEX(Anforderungen!$F:$F,$R163))</f>
        <v>Zusage / Ankündigung: Siehe Antwort auf die Bieterfrage 33. Danach werden die Möglichkeiten und Rahmenbedingungen der Reservierung Teil der Bieterverhandlungen sein.</v>
      </c>
      <c r="F163" s="45" t="str">
        <f aca="false">IF($R163="","",INDEX(Anforderungen!$G:$G,$R163))</f>
        <v>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v>
      </c>
      <c r="G163" s="45" t="str">
        <f aca="false">IF($R163="","",INDEX(Anforderungen!$I:$I,$R163))</f>
        <v>eRound / SCS / Reservierungsplattform</v>
      </c>
      <c r="H163" s="45" t="str">
        <f aca="false">IF($R163="","",INDEX(Anforderungen!$J:$J,$R163))</f>
        <v>Kennzeichenerfassung / OCPI Buchungskalender / Reservierungsplattform / Pönalisierungssystem</v>
      </c>
      <c r="I163" s="45" t="str">
        <f aca="false">IF($R163="","",INDEX(Anforderungen!$K:$K,$R163))</f>
        <v>erfasst</v>
      </c>
      <c r="J163" s="46" t="n">
        <f aca="false">IF($R163="","",INDEX(Anforderungen!$L:$L,$R163))</f>
        <v>0</v>
      </c>
      <c r="K163" s="45" t="n">
        <f aca="false">IF($R163="","",INDEX(Anforderungen!$M:$M,$R163))</f>
        <v>0</v>
      </c>
      <c r="R163" s="0" t="n">
        <f aca="false">IFERROR(MATCH(ROWS($A$16:$A163),Anforderungen!$O$7:$O$2000,0)+6,"")</f>
        <v>154</v>
      </c>
    </row>
    <row r="164" customFormat="false" ht="30" hidden="false" customHeight="true" outlineLevel="0" collapsed="false">
      <c r="A164" s="45" t="str">
        <f aca="false">IF($R164="","",INDEX(Anforderungen!$B:$B,$R164))</f>
        <v>ANF-149</v>
      </c>
      <c r="B164" s="45" t="str">
        <f aca="false">IF($R164="","",INDEX(Anforderungen!$C:$C,$R164))</f>
        <v>Bieterfragenkatalog</v>
      </c>
      <c r="C164" s="45" t="str">
        <f aca="false">IF($R164="","",INDEX(Anforderungen!$D:$D,$R164))</f>
        <v>Nr. 97 / S. 8</v>
      </c>
      <c r="D164" s="45" t="str">
        <f aca="false">IF($R164="","",INDEX(Anforderungen!$E:$E,$R164))</f>
        <v>Flächen &amp; Genehmigungen</v>
      </c>
      <c r="E164" s="45" t="str">
        <f aca="false">IF($R164="","",INDEX(Anforderungen!$F:$F,$R164))</f>
        <v>Klarstellung: Die Vorplanungen der Standorte DE-BB-444901 Elsteraue und DE-BY-000329 Kirchholz Süd wurden entsprechend aktualisiert und werden den Bietern als Anlage zur Beantwortung dieser Bieterfragen zur Verfügung gestellt.</v>
      </c>
      <c r="F164" s="45" t="str">
        <f aca="false">IF($R164="","",INDEX(Anforderungen!$G:$G,$R164))</f>
        <v>Wann werden die Anlagen 3 (Vorplanungen) der überarbeiteten Anlage 2 (Standortübersicht) angeglichen? Bspw. Unstimmigkeiten bei den Standorten DE-BB-444901 Elsteraue und DE-BY-000329 Kirchholz Süd</v>
      </c>
      <c r="G164" s="45" t="str">
        <f aca="false">IF($R164="","",INDEX(Anforderungen!$I:$I,$R164))</f>
        <v>offen</v>
      </c>
      <c r="H164" s="45" t="str">
        <f aca="false">IF($R164="","",INDEX(Anforderungen!$J:$J,$R164))</f>
        <v>–</v>
      </c>
      <c r="I164" s="45" t="str">
        <f aca="false">IF($R164="","",INDEX(Anforderungen!$K:$K,$R164))</f>
        <v>erfasst</v>
      </c>
      <c r="J164" s="46" t="n">
        <f aca="false">IF($R164="","",INDEX(Anforderungen!$L:$L,$R164))</f>
        <v>0</v>
      </c>
      <c r="K164" s="45" t="n">
        <f aca="false">IF($R164="","",INDEX(Anforderungen!$M:$M,$R164))</f>
        <v>0</v>
      </c>
      <c r="R164" s="0" t="n">
        <f aca="false">IFERROR(MATCH(ROWS($A$16:$A164),Anforderungen!$O$7:$O$2000,0)+6,"")</f>
        <v>155</v>
      </c>
    </row>
    <row r="165" customFormat="false" ht="30" hidden="false" customHeight="true" outlineLevel="0" collapsed="false">
      <c r="A165" s="45" t="str">
        <f aca="false">IF($R165="","",INDEX(Anforderungen!$B:$B,$R165))</f>
        <v>ANF-150</v>
      </c>
      <c r="B165" s="45" t="str">
        <f aca="false">IF($R165="","",INDEX(Anforderungen!$C:$C,$R165))</f>
        <v>Bieterfragenkatalog</v>
      </c>
      <c r="C165" s="45" t="str">
        <f aca="false">IF($R165="","",INDEX(Anforderungen!$D:$D,$R165))</f>
        <v>Nr. 98 / S. 8</v>
      </c>
      <c r="D165" s="45" t="str">
        <f aca="false">IF($R165="","",INDEX(Anforderungen!$E:$E,$R165))</f>
        <v>Bau &amp; Dokumentation</v>
      </c>
      <c r="E165" s="45" t="str">
        <f aca="false">IF($R165="","",INDEX(Anforderungen!$F:$F,$R165))</f>
        <v>Verweis des Auftraggebers auf die Antwort zu Bieterfrage 87.</v>
      </c>
      <c r="F165" s="45" t="str">
        <f aca="false">IF($R165="","",INDEX(Anforderungen!$G:$G,$R165))</f>
        <v>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v>
      </c>
      <c r="G165" s="45" t="str">
        <f aca="false">IF($R165="","",INDEX(Anforderungen!$I:$I,$R165))</f>
        <v>offen</v>
      </c>
      <c r="H165" s="45" t="str">
        <f aca="false">IF($R165="","",INDEX(Anforderungen!$J:$J,$R165))</f>
        <v>–</v>
      </c>
      <c r="I165" s="45" t="str">
        <f aca="false">IF($R165="","",INDEX(Anforderungen!$K:$K,$R165))</f>
        <v>trifft nicht zu</v>
      </c>
      <c r="J165" s="46" t="n">
        <f aca="false">IF($R165="","",INDEX(Anforderungen!$L:$L,$R165))</f>
        <v>0</v>
      </c>
      <c r="K165" s="45" t="str">
        <f aca="false">IF($R165="","",INDEX(Anforderungen!$M:$M,$R165))</f>
        <v>Automatisch ausgewertet: Die Antwort des Auftraggebers verweist ausschließlich auf Bieterfrage 87. Keine eigenständige Anforderung – der Inhalt ist unter der dort erfassten Zeile nachzuhalten.</v>
      </c>
      <c r="R165" s="0" t="n">
        <f aca="false">IFERROR(MATCH(ROWS($A$16:$A165),Anforderungen!$O$7:$O$2000,0)+6,"")</f>
        <v>156</v>
      </c>
    </row>
    <row r="166" customFormat="false" ht="30" hidden="false" customHeight="true" outlineLevel="0" collapsed="false">
      <c r="A166" s="45" t="str">
        <f aca="false">IF($R166="","",INDEX(Anforderungen!$B:$B,$R166))</f>
        <v>ANF-151</v>
      </c>
      <c r="B166" s="45" t="str">
        <f aca="false">IF($R166="","",INDEX(Anforderungen!$C:$C,$R166))</f>
        <v>Bieterfragenkatalog</v>
      </c>
      <c r="C166" s="45" t="str">
        <f aca="false">IF($R166="","",INDEX(Anforderungen!$D:$D,$R166))</f>
        <v>Nr. 99 / S. 8</v>
      </c>
      <c r="D166" s="45" t="str">
        <f aca="false">IF($R166="","",INDEX(Anforderungen!$E:$E,$R166))</f>
        <v>Bau &amp; Dokumentation</v>
      </c>
      <c r="E166" s="45" t="str">
        <f aca="false">IF($R166="","",INDEX(Anforderungen!$F:$F,$R166))</f>
        <v>Klarstellung: Das Auftraggeberinteresse bzw. Bestellerinteresse ist jeweils in versicherungsvertragsrechtlicher Hinsicht zu verstehen.</v>
      </c>
      <c r="F166" s="45" t="str">
        <f aca="false">IF($R166="","",INDEX(Anforderungen!$G:$G,$R166))</f>
        <v>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v>
      </c>
      <c r="G166" s="45" t="str">
        <f aca="false">IF($R166="","",INDEX(Anforderungen!$I:$I,$R166))</f>
        <v>offen</v>
      </c>
      <c r="H166" s="45" t="str">
        <f aca="false">IF($R166="","",INDEX(Anforderungen!$J:$J,$R166))</f>
        <v>–</v>
      </c>
      <c r="I166" s="45" t="str">
        <f aca="false">IF($R166="","",INDEX(Anforderungen!$K:$K,$R166))</f>
        <v>erfasst</v>
      </c>
      <c r="J166" s="46" t="n">
        <f aca="false">IF($R166="","",INDEX(Anforderungen!$L:$L,$R166))</f>
        <v>0</v>
      </c>
      <c r="K166" s="45" t="n">
        <f aca="false">IF($R166="","",INDEX(Anforderungen!$M:$M,$R166))</f>
        <v>0</v>
      </c>
      <c r="R166" s="0" t="n">
        <f aca="false">IFERROR(MATCH(ROWS($A$16:$A166),Anforderungen!$O$7:$O$2000,0)+6,"")</f>
        <v>157</v>
      </c>
    </row>
    <row r="167" customFormat="false" ht="30" hidden="false" customHeight="true" outlineLevel="0" collapsed="false">
      <c r="A167" s="45" t="str">
        <f aca="false">IF($R167="","",INDEX(Anforderungen!$B:$B,$R167))</f>
        <v>ANF-152</v>
      </c>
      <c r="B167" s="45" t="str">
        <f aca="false">IF($R167="","",INDEX(Anforderungen!$C:$C,$R167))</f>
        <v>Bieterfragenkatalog</v>
      </c>
      <c r="C167" s="45" t="str">
        <f aca="false">IF($R167="","",INDEX(Anforderungen!$D:$D,$R167))</f>
        <v>Nr. 100 / S. 8</v>
      </c>
      <c r="D167" s="45" t="str">
        <f aca="false">IF($R167="","",INDEX(Anforderungen!$E:$E,$R167))</f>
        <v>Vertrag &amp; Recht</v>
      </c>
      <c r="E167" s="45" t="str">
        <f aca="false">IF($R167="","",INDEX(Anforderungen!$F:$F,$R167))</f>
        <v>Klarstellung: Erfüllungsgehilfen sind insbesondere die Nachunternehmer des Betreibers. Insoweit ist der Klammerzusatz nur klarstellend.</v>
      </c>
      <c r="F167" s="45" t="str">
        <f aca="false">IF($R167="","",INDEX(Anforderungen!$G:$G,$R167))</f>
        <v>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v>
      </c>
      <c r="G167" s="45" t="str">
        <f aca="false">IF($R167="","",INDEX(Anforderungen!$I:$I,$R167))</f>
        <v>offen</v>
      </c>
      <c r="H167" s="45" t="str">
        <f aca="false">IF($R167="","",INDEX(Anforderungen!$J:$J,$R167))</f>
        <v>–</v>
      </c>
      <c r="I167" s="45" t="str">
        <f aca="false">IF($R167="","",INDEX(Anforderungen!$K:$K,$R167))</f>
        <v>erfasst</v>
      </c>
      <c r="J167" s="46" t="n">
        <f aca="false">IF($R167="","",INDEX(Anforderungen!$L:$L,$R167))</f>
        <v>0</v>
      </c>
      <c r="K167" s="45" t="n">
        <f aca="false">IF($R167="","",INDEX(Anforderungen!$M:$M,$R167))</f>
        <v>0</v>
      </c>
      <c r="R167" s="0" t="n">
        <f aca="false">IFERROR(MATCH(ROWS($A$16:$A167),Anforderungen!$O$7:$O$2000,0)+6,"")</f>
        <v>158</v>
      </c>
    </row>
    <row r="168" customFormat="false" ht="30" hidden="false" customHeight="true" outlineLevel="0" collapsed="false">
      <c r="A168" s="45" t="str">
        <f aca="false">IF($R168="","",INDEX(Anforderungen!$B:$B,$R168))</f>
        <v>ANF-153</v>
      </c>
      <c r="B168" s="45" t="str">
        <f aca="false">IF($R168="","",INDEX(Anforderungen!$C:$C,$R168))</f>
        <v>Bieterfragenkatalog</v>
      </c>
      <c r="C168" s="45" t="str">
        <f aca="false">IF($R168="","",INDEX(Anforderungen!$D:$D,$R168))</f>
        <v>Nr. 101 / S. 8</v>
      </c>
      <c r="D168" s="45" t="str">
        <f aca="false">IF($R168="","",INDEX(Anforderungen!$E:$E,$R168))</f>
        <v>Vertrag &amp; Recht</v>
      </c>
      <c r="E168" s="45" t="str">
        <f aca="false">IF($R168="","",INDEX(Anforderungen!$F:$F,$R168))</f>
        <v>Bestätigt: ein entsprechender Wechsel von Nachunternehmern ist grundsätzlich ebenfalls möglich.</v>
      </c>
      <c r="F168" s="45" t="str">
        <f aca="false">IF($R168="","",INDEX(Anforderungen!$G:$G,$R168))</f>
        <v>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v>
      </c>
      <c r="G168" s="45" t="str">
        <f aca="false">IF($R168="","",INDEX(Anforderungen!$I:$I,$R168))</f>
        <v>offen</v>
      </c>
      <c r="H168" s="45" t="str">
        <f aca="false">IF($R168="","",INDEX(Anforderungen!$J:$J,$R168))</f>
        <v>–</v>
      </c>
      <c r="I168" s="45" t="str">
        <f aca="false">IF($R168="","",INDEX(Anforderungen!$K:$K,$R168))</f>
        <v>erfasst</v>
      </c>
      <c r="J168" s="46" t="n">
        <f aca="false">IF($R168="","",INDEX(Anforderungen!$L:$L,$R168))</f>
        <v>0</v>
      </c>
      <c r="K168" s="45" t="n">
        <f aca="false">IF($R168="","",INDEX(Anforderungen!$M:$M,$R168))</f>
        <v>0</v>
      </c>
      <c r="R168" s="0" t="n">
        <f aca="false">IFERROR(MATCH(ROWS($A$16:$A168),Anforderungen!$O$7:$O$2000,0)+6,"")</f>
        <v>159</v>
      </c>
    </row>
    <row r="169" customFormat="false" ht="30" hidden="false" customHeight="true" outlineLevel="0" collapsed="false">
      <c r="A169" s="45" t="str">
        <f aca="false">IF($R169="","",INDEX(Anforderungen!$B:$B,$R169))</f>
        <v>ANF-154</v>
      </c>
      <c r="B169" s="45" t="str">
        <f aca="false">IF($R169="","",INDEX(Anforderungen!$C:$C,$R169))</f>
        <v>Bieterfragenkatalog</v>
      </c>
      <c r="C169" s="45" t="str">
        <f aca="false">IF($R169="","",INDEX(Anforderungen!$D:$D,$R169))</f>
        <v>Nr. 102 / S. 8</v>
      </c>
      <c r="D169" s="45" t="str">
        <f aca="false">IF($R169="","",INDEX(Anforderungen!$E:$E,$R169))</f>
        <v>Reservierung</v>
      </c>
      <c r="E169" s="45" t="str">
        <f aca="false">IF($R169="","",INDEX(Anforderungen!$F:$F,$R169))</f>
        <v>Klarstellung: Für die Erstellung der Erstangebote ist davon auszugehen, dass eine Weiterleitung an den AG erfolgt.</v>
      </c>
      <c r="F169" s="45" t="str">
        <f aca="false">IF($R169="","",INDEX(Anforderungen!$G:$G,$R169))</f>
        <v>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v>
      </c>
      <c r="G169" s="45" t="str">
        <f aca="false">IF($R169="","",INDEX(Anforderungen!$I:$I,$R169))</f>
        <v>eRound</v>
      </c>
      <c r="H169" s="45" t="str">
        <f aca="false">IF($R169="","",INDEX(Anforderungen!$J:$J,$R169))</f>
        <v>OCPI Buchungskalender</v>
      </c>
      <c r="I169" s="45" t="str">
        <f aca="false">IF($R169="","",INDEX(Anforderungen!$K:$K,$R169))</f>
        <v>erfasst</v>
      </c>
      <c r="J169" s="46" t="n">
        <f aca="false">IF($R169="","",INDEX(Anforderungen!$L:$L,$R169))</f>
        <v>0</v>
      </c>
      <c r="K169" s="45" t="n">
        <f aca="false">IF($R169="","",INDEX(Anforderungen!$M:$M,$R169))</f>
        <v>0</v>
      </c>
      <c r="R169" s="0" t="n">
        <f aca="false">IFERROR(MATCH(ROWS($A$16:$A169),Anforderungen!$O$7:$O$2000,0)+6,"")</f>
        <v>160</v>
      </c>
    </row>
    <row r="170" customFormat="false" ht="30" hidden="false" customHeight="true" outlineLevel="0" collapsed="false">
      <c r="A170" s="45" t="str">
        <f aca="false">IF($R170="","",INDEX(Anforderungen!$B:$B,$R170))</f>
        <v>ANF-155</v>
      </c>
      <c r="B170" s="45" t="str">
        <f aca="false">IF($R170="","",INDEX(Anforderungen!$C:$C,$R170))</f>
        <v>Bieterfragenkatalog</v>
      </c>
      <c r="C170" s="45" t="str">
        <f aca="false">IF($R170="","",INDEX(Anforderungen!$D:$D,$R170))</f>
        <v>Nr. 103 / S. 8</v>
      </c>
      <c r="D170" s="45" t="str">
        <f aca="false">IF($R170="","",INDEX(Anforderungen!$E:$E,$R170))</f>
        <v>Reservierung</v>
      </c>
      <c r="E170" s="45" t="str">
        <f aca="false">IF($R170="","",INDEX(Anforderungen!$F:$F,$R170))</f>
        <v>Klarstellung: Für die Erstellung der Erstangebote ist davon auszugehen, dass die Ladepunkte ausschließlich für "E-LKW" zur Verfügung stehen.</v>
      </c>
      <c r="F170" s="45" t="str">
        <f aca="false">IF($R170="","",INDEX(Anforderungen!$G:$G,$R170))</f>
        <v>Können Ladepunkte an (weitgehend) „LKW-freien Tagen“ (wie z.B. an Sonntagen) ebenfalls für PKW geöffnet werden? Dies würde die Auslastung erhöhen, wobei die LKW, nicht zuletzt wegen der Reservierungsmöglichkeit, weiterhin prioritär behandelt werden würden.</v>
      </c>
      <c r="G170" s="45" t="str">
        <f aca="false">IF($R170="","",INDEX(Anforderungen!$I:$I,$R170))</f>
        <v>eRound</v>
      </c>
      <c r="H170" s="45" t="str">
        <f aca="false">IF($R170="","",INDEX(Anforderungen!$J:$J,$R170))</f>
        <v>OCPI Buchungskalender</v>
      </c>
      <c r="I170" s="45" t="str">
        <f aca="false">IF($R170="","",INDEX(Anforderungen!$K:$K,$R170))</f>
        <v>erfasst</v>
      </c>
      <c r="J170" s="46" t="n">
        <f aca="false">IF($R170="","",INDEX(Anforderungen!$L:$L,$R170))</f>
        <v>0</v>
      </c>
      <c r="K170" s="45" t="n">
        <f aca="false">IF($R170="","",INDEX(Anforderungen!$M:$M,$R170))</f>
        <v>0</v>
      </c>
      <c r="R170" s="0" t="n">
        <f aca="false">IFERROR(MATCH(ROWS($A$16:$A170),Anforderungen!$O$7:$O$2000,0)+6,"")</f>
        <v>161</v>
      </c>
    </row>
    <row r="171" customFormat="false" ht="30" hidden="false" customHeight="true" outlineLevel="0" collapsed="false">
      <c r="A171" s="45" t="str">
        <f aca="false">IF($R171="","",INDEX(Anforderungen!$B:$B,$R171))</f>
        <v>ANF-156</v>
      </c>
      <c r="B171" s="45" t="str">
        <f aca="false">IF($R171="","",INDEX(Anforderungen!$C:$C,$R171))</f>
        <v>Bieterfragenkatalog</v>
      </c>
      <c r="C171" s="45" t="str">
        <f aca="false">IF($R171="","",INDEX(Anforderungen!$D:$D,$R171))</f>
        <v>Nr. 104 / S. 9</v>
      </c>
      <c r="D171" s="45" t="str">
        <f aca="false">IF($R171="","",INDEX(Anforderungen!$E:$E,$R171))</f>
        <v>Netzanschluss &amp; Energie</v>
      </c>
      <c r="E171" s="45" t="str">
        <f aca="false">IF($R171="","",INDEX(Anforderungen!$F:$F,$R171))</f>
        <v>Klarstellung: Eine Preisgleitung für Kabellieferungen ist aktuell nicht vorgesehen.</v>
      </c>
      <c r="F171" s="45" t="str">
        <f aca="false">IF($R171="","",INDEX(Anforderungen!$G:$G,$R171))</f>
        <v>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v>
      </c>
      <c r="G171" s="45" t="str">
        <f aca="false">IF($R171="","",INDEX(Anforderungen!$I:$I,$R171))</f>
        <v>offen</v>
      </c>
      <c r="H171" s="45" t="str">
        <f aca="false">IF($R171="","",INDEX(Anforderungen!$J:$J,$R171))</f>
        <v>–</v>
      </c>
      <c r="I171" s="45" t="str">
        <f aca="false">IF($R171="","",INDEX(Anforderungen!$K:$K,$R171))</f>
        <v>erfasst</v>
      </c>
      <c r="J171" s="46" t="n">
        <f aca="false">IF($R171="","",INDEX(Anforderungen!$L:$L,$R171))</f>
        <v>0</v>
      </c>
      <c r="K171" s="45" t="n">
        <f aca="false">IF($R171="","",INDEX(Anforderungen!$M:$M,$R171))</f>
        <v>0</v>
      </c>
      <c r="R171" s="0" t="n">
        <f aca="false">IFERROR(MATCH(ROWS($A$16:$A171),Anforderungen!$O$7:$O$2000,0)+6,"")</f>
        <v>162</v>
      </c>
    </row>
    <row r="172" customFormat="false" ht="30" hidden="false" customHeight="true" outlineLevel="0" collapsed="false">
      <c r="A172" s="45" t="str">
        <f aca="false">IF($R172="","",INDEX(Anforderungen!$B:$B,$R172))</f>
        <v>ANF-157</v>
      </c>
      <c r="B172" s="45" t="str">
        <f aca="false">IF($R172="","",INDEX(Anforderungen!$C:$C,$R172))</f>
        <v>Bieterfragenkatalog</v>
      </c>
      <c r="C172" s="45" t="str">
        <f aca="false">IF($R172="","",INDEX(Anforderungen!$D:$D,$R172))</f>
        <v>Nr. 105 / S. 9</v>
      </c>
      <c r="D172" s="45" t="str">
        <f aca="false">IF($R172="","",INDEX(Anforderungen!$E:$E,$R172))</f>
        <v>Flächen &amp; Genehmigungen</v>
      </c>
      <c r="E172" s="45" t="str">
        <f aca="false">IF($R172="","",INDEX(Anforderungen!$F:$F,$R172))</f>
        <v>Klarstellung: In der Vorplanung des Standorts DE-BW-006005 Linsenbühl gab es tatsächlich Abweichungen. Diese wurden aktualisiert und werden den Bietern als Anlage zur Beantwortung dieser Bieterfragen zur Verfügung gestellt.</v>
      </c>
      <c r="F172" s="45" t="str">
        <f aca="false">IF($R172="","",INDEX(Anforderungen!$G:$G,$R172))</f>
        <v>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v>
      </c>
      <c r="G172" s="45" t="str">
        <f aca="false">IF($R172="","",INDEX(Anforderungen!$I:$I,$R172))</f>
        <v>offen</v>
      </c>
      <c r="H172" s="45" t="str">
        <f aca="false">IF($R172="","",INDEX(Anforderungen!$J:$J,$R172))</f>
        <v>–</v>
      </c>
      <c r="I172" s="45" t="str">
        <f aca="false">IF($R172="","",INDEX(Anforderungen!$K:$K,$R172))</f>
        <v>erfasst</v>
      </c>
      <c r="J172" s="46" t="n">
        <f aca="false">IF($R172="","",INDEX(Anforderungen!$L:$L,$R172))</f>
        <v>0</v>
      </c>
      <c r="K172" s="45" t="n">
        <f aca="false">IF($R172="","",INDEX(Anforderungen!$M:$M,$R172))</f>
        <v>0</v>
      </c>
      <c r="R172" s="0" t="n">
        <f aca="false">IFERROR(MATCH(ROWS($A$16:$A172),Anforderungen!$O$7:$O$2000,0)+6,"")</f>
        <v>163</v>
      </c>
    </row>
    <row r="173" customFormat="false" ht="30" hidden="false" customHeight="true" outlineLevel="0" collapsed="false">
      <c r="A173" s="45" t="str">
        <f aca="false">IF($R173="","",INDEX(Anforderungen!$B:$B,$R173))</f>
        <v>ANF-158</v>
      </c>
      <c r="B173" s="45" t="str">
        <f aca="false">IF($R173="","",INDEX(Anforderungen!$C:$C,$R173))</f>
        <v>Bieterfragenkatalog</v>
      </c>
      <c r="C173" s="45" t="str">
        <f aca="false">IF($R173="","",INDEX(Anforderungen!$D:$D,$R173))</f>
        <v>Nr. 106 / S. 9</v>
      </c>
      <c r="D173" s="45" t="str">
        <f aca="false">IF($R173="","",INDEX(Anforderungen!$E:$E,$R173))</f>
        <v>Flächen &amp; Genehmigungen</v>
      </c>
      <c r="E173" s="45" t="str">
        <f aca="false">IF($R173="","",INDEX(Anforderungen!$F:$F,$R173))</f>
        <v>Klarstellung: In der Vorplanung des Standorts DE-BY-00329 Kirchholz Südl gab es tatsächlich Abweichungen.</v>
      </c>
      <c r="F173" s="45" t="str">
        <f aca="false">IF($R173="","",INDEX(Anforderungen!$G:$G,$R173))</f>
        <v>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v>
      </c>
      <c r="G173" s="45" t="str">
        <f aca="false">IF($R173="","",INDEX(Anforderungen!$I:$I,$R173))</f>
        <v>offen</v>
      </c>
      <c r="H173" s="45" t="str">
        <f aca="false">IF($R173="","",INDEX(Anforderungen!$J:$J,$R173))</f>
        <v>–</v>
      </c>
      <c r="I173" s="45" t="str">
        <f aca="false">IF($R173="","",INDEX(Anforderungen!$K:$K,$R173))</f>
        <v>erfasst</v>
      </c>
      <c r="J173" s="46" t="n">
        <f aca="false">IF($R173="","",INDEX(Anforderungen!$L:$L,$R173))</f>
        <v>0</v>
      </c>
      <c r="K173" s="45" t="n">
        <f aca="false">IF($R173="","",INDEX(Anforderungen!$M:$M,$R173))</f>
        <v>0</v>
      </c>
      <c r="R173" s="0" t="n">
        <f aca="false">IFERROR(MATCH(ROWS($A$16:$A173),Anforderungen!$O$7:$O$2000,0)+6,"")</f>
        <v>164</v>
      </c>
    </row>
    <row r="174" customFormat="false" ht="30" hidden="false" customHeight="true" outlineLevel="0" collapsed="false">
      <c r="A174" s="45" t="str">
        <f aca="false">IF($R174="","",INDEX(Anforderungen!$B:$B,$R174))</f>
        <v>ANF-159</v>
      </c>
      <c r="B174" s="45" t="str">
        <f aca="false">IF($R174="","",INDEX(Anforderungen!$C:$C,$R174))</f>
        <v>Bieterfragenkatalog</v>
      </c>
      <c r="C174" s="45" t="str">
        <f aca="false">IF($R174="","",INDEX(Anforderungen!$D:$D,$R174))</f>
        <v>Nr. 107 / S. 9</v>
      </c>
      <c r="D174" s="45" t="str">
        <f aca="false">IF($R174="","",INDEX(Anforderungen!$E:$E,$R174))</f>
        <v>Flächen &amp; Genehmigungen</v>
      </c>
      <c r="E174" s="45" t="str">
        <f aca="false">IF($R174="","",INDEX(Anforderungen!$F:$F,$R174))</f>
        <v>Klarstellung: Ihre Annahme ist zutreffend. Grundsätzlich werden die Bestandsgeometrien der Fahrstreifen sowie die Länge der Stellplätze der PWC Anlagen nicht verändert.</v>
      </c>
      <c r="F174" s="45" t="str">
        <f aca="false">IF($R174="","",INDEX(Anforderungen!$G:$G,$R174))</f>
        <v>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v>
      </c>
      <c r="G174" s="45" t="str">
        <f aca="false">IF($R174="","",INDEX(Anforderungen!$I:$I,$R174))</f>
        <v>offen</v>
      </c>
      <c r="H174" s="45" t="str">
        <f aca="false">IF($R174="","",INDEX(Anforderungen!$J:$J,$R174))</f>
        <v>–</v>
      </c>
      <c r="I174" s="45" t="str">
        <f aca="false">IF($R174="","",INDEX(Anforderungen!$K:$K,$R174))</f>
        <v>erfasst</v>
      </c>
      <c r="J174" s="46" t="n">
        <f aca="false">IF($R174="","",INDEX(Anforderungen!$L:$L,$R174))</f>
        <v>0</v>
      </c>
      <c r="K174" s="45" t="n">
        <f aca="false">IF($R174="","",INDEX(Anforderungen!$M:$M,$R174))</f>
        <v>0</v>
      </c>
      <c r="R174" s="0" t="n">
        <f aca="false">IFERROR(MATCH(ROWS($A$16:$A174),Anforderungen!$O$7:$O$2000,0)+6,"")</f>
        <v>165</v>
      </c>
    </row>
    <row r="175" customFormat="false" ht="30" hidden="false" customHeight="true" outlineLevel="0" collapsed="false">
      <c r="A175" s="45" t="str">
        <f aca="false">IF($R175="","",INDEX(Anforderungen!$B:$B,$R175))</f>
        <v>ANF-160</v>
      </c>
      <c r="B175" s="45" t="str">
        <f aca="false">IF($R175="","",INDEX(Anforderungen!$C:$C,$R175))</f>
        <v>Bieterfragenkatalog</v>
      </c>
      <c r="C175" s="45" t="str">
        <f aca="false">IF($R175="","",INDEX(Anforderungen!$D:$D,$R175))</f>
        <v>Nr. 108 / S. 9</v>
      </c>
      <c r="D175" s="45" t="str">
        <f aca="false">IF($R175="","",INDEX(Anforderungen!$E:$E,$R175))</f>
        <v>Vertrag &amp; Recht</v>
      </c>
      <c r="E175" s="45" t="str">
        <f aca="false">IF($R175="","",INDEX(Anforderungen!$F:$F,$R175))</f>
        <v>Klarstellung: Entsprechende Unterlagen können nich tzur Verfügung gestellt werden.</v>
      </c>
      <c r="F175" s="45" t="str">
        <f aca="false">IF($R175="","",INDEX(Anforderungen!$G:$G,$R175))</f>
        <v>Können für alle in Vertragsanlage 02 aufgeführten Standorte alle Aufzeichnungen bzw. Unterlagen über Hochwasserereignisse und Vorfälle, bei denen gefährliche Stoffe freigesetzt wurden, zur Verfügung gestellt werden?</v>
      </c>
      <c r="G175" s="45" t="str">
        <f aca="false">IF($R175="","",INDEX(Anforderungen!$I:$I,$R175))</f>
        <v>offen</v>
      </c>
      <c r="H175" s="45" t="str">
        <f aca="false">IF($R175="","",INDEX(Anforderungen!$J:$J,$R175))</f>
        <v>–</v>
      </c>
      <c r="I175" s="45" t="str">
        <f aca="false">IF($R175="","",INDEX(Anforderungen!$K:$K,$R175))</f>
        <v>erfasst</v>
      </c>
      <c r="J175" s="46" t="n">
        <f aca="false">IF($R175="","",INDEX(Anforderungen!$L:$L,$R175))</f>
        <v>0</v>
      </c>
      <c r="K175" s="45" t="n">
        <f aca="false">IF($R175="","",INDEX(Anforderungen!$M:$M,$R175))</f>
        <v>0</v>
      </c>
      <c r="R175" s="0" t="n">
        <f aca="false">IFERROR(MATCH(ROWS($A$16:$A175),Anforderungen!$O$7:$O$2000,0)+6,"")</f>
        <v>166</v>
      </c>
    </row>
    <row r="176" customFormat="false" ht="30" hidden="false" customHeight="true" outlineLevel="0" collapsed="false">
      <c r="A176" s="45" t="str">
        <f aca="false">IF($R176="","",INDEX(Anforderungen!$B:$B,$R176))</f>
        <v>ANF-161</v>
      </c>
      <c r="B176" s="45" t="str">
        <f aca="false">IF($R176="","",INDEX(Anforderungen!$C:$C,$R176))</f>
        <v>Bieterfragenkatalog</v>
      </c>
      <c r="C176" s="45" t="str">
        <f aca="false">IF($R176="","",INDEX(Anforderungen!$D:$D,$R176))</f>
        <v>Nr. 109 / S. 9</v>
      </c>
      <c r="D176" s="45" t="str">
        <f aca="false">IF($R176="","",INDEX(Anforderungen!$E:$E,$R176))</f>
        <v>Authentifizierung &amp; Zugang</v>
      </c>
      <c r="E176" s="45" t="str">
        <f aca="false">IF($R176="","",INDEX(Anforderungen!$F:$F,$R176))</f>
        <v>Klarstellung: Ihre Annahme ist richtig, es muss demnach korrekterweise heißen, dass auf Abschnitt 5 verwiesen wird.</v>
      </c>
      <c r="F176" s="45" t="str">
        <f aca="false">IF($R176="","",INDEX(Anforderungen!$G:$G,$R176))</f>
        <v>In Vertragsanlage 06, Abschnitt 8 (Authentifizierungsoptionen) wird im vierten Aufzählungspunkt auf Abschnitt 7 verwiesen. Wir bitten um Prüfung, ob es sich dabei nicht um den Verweis auf Abschnitt 5 handeln muss.</v>
      </c>
      <c r="G176" s="45" t="str">
        <f aca="false">IF($R176="","",INDEX(Anforderungen!$I:$I,$R176))</f>
        <v>eRound</v>
      </c>
      <c r="H176" s="45" t="str">
        <f aca="false">IF($R176="","",INDEX(Anforderungen!$J:$J,$R176))</f>
        <v>Authentifizierungskomponente</v>
      </c>
      <c r="I176" s="45" t="str">
        <f aca="false">IF($R176="","",INDEX(Anforderungen!$K:$K,$R176))</f>
        <v>erfasst</v>
      </c>
      <c r="J176" s="46" t="n">
        <f aca="false">IF($R176="","",INDEX(Anforderungen!$L:$L,$R176))</f>
        <v>0</v>
      </c>
      <c r="K176" s="45" t="n">
        <f aca="false">IF($R176="","",INDEX(Anforderungen!$M:$M,$R176))</f>
        <v>0</v>
      </c>
      <c r="R176" s="0" t="n">
        <f aca="false">IFERROR(MATCH(ROWS($A$16:$A176),Anforderungen!$O$7:$O$2000,0)+6,"")</f>
        <v>167</v>
      </c>
    </row>
    <row r="177" customFormat="false" ht="30" hidden="false" customHeight="true" outlineLevel="0" collapsed="false">
      <c r="A177" s="45" t="str">
        <f aca="false">IF($R177="","",INDEX(Anforderungen!$B:$B,$R177))</f>
        <v>ANF-162</v>
      </c>
      <c r="B177" s="45" t="str">
        <f aca="false">IF($R177="","",INDEX(Anforderungen!$C:$C,$R177))</f>
        <v>Bieterfragenkatalog</v>
      </c>
      <c r="C177" s="45" t="str">
        <f aca="false">IF($R177="","",INDEX(Anforderungen!$D:$D,$R177))</f>
        <v>Nr. 110 / S. 9</v>
      </c>
      <c r="D177" s="45" t="str">
        <f aca="false">IF($R177="","",INDEX(Anforderungen!$E:$E,$R177))</f>
        <v>Betrieb &amp; Auslastung</v>
      </c>
      <c r="E177" s="45" t="str">
        <f aca="false">IF($R177="","",INDEX(Anforderungen!$F:$F,$R177))</f>
        <v>Bestätigt: in Abschnitt 7 Unterpunkt 5 der Vertragsanlage 11 muss hinsichtlich des Nichtvertretenmüssens auf § 21 Abs.</v>
      </c>
      <c r="F177" s="45" t="str">
        <f aca="false">IF($R177="","",INDEX(Anforderungen!$G:$G,$R177))</f>
        <v>In Vertragsanlage 11, Abschnitt 7 (Verfügbarkeit), Unterpunkt 5, wird auf BV § 16.1 e) des Vertrags verwiesen. Wir bitten um Prüfung, ob es sich dabei nicht um den Verweis auf BV § 21 Absatz 4 handeln muss.</v>
      </c>
      <c r="G177" s="45" t="str">
        <f aca="false">IF($R177="","",INDEX(Anforderungen!$I:$I,$R177))</f>
        <v>Zuordnung prüfen</v>
      </c>
      <c r="H177" s="45" t="str">
        <f aca="false">IF($R177="","",INDEX(Anforderungen!$J:$J,$R177))</f>
        <v>Zuordnung prüfen</v>
      </c>
      <c r="I177" s="45" t="str">
        <f aca="false">IF($R177="","",INDEX(Anforderungen!$K:$K,$R177))</f>
        <v>erfasst</v>
      </c>
      <c r="J177" s="46" t="n">
        <f aca="false">IF($R177="","",INDEX(Anforderungen!$L:$L,$R177))</f>
        <v>0</v>
      </c>
      <c r="K177" s="45" t="n">
        <f aca="false">IF($R177="","",INDEX(Anforderungen!$M:$M,$R177))</f>
        <v>0</v>
      </c>
      <c r="R177" s="0" t="n">
        <f aca="false">IFERROR(MATCH(ROWS($A$16:$A177),Anforderungen!$O$7:$O$2000,0)+6,"")</f>
        <v>168</v>
      </c>
    </row>
    <row r="178" customFormat="false" ht="30" hidden="false" customHeight="true" outlineLevel="0" collapsed="false">
      <c r="A178" s="45" t="str">
        <f aca="false">IF($R178="","",INDEX(Anforderungen!$B:$B,$R178))</f>
        <v>ANF-163</v>
      </c>
      <c r="B178" s="45" t="str">
        <f aca="false">IF($R178="","",INDEX(Anforderungen!$C:$C,$R178))</f>
        <v>Bieterfragenkatalog</v>
      </c>
      <c r="C178" s="45" t="str">
        <f aca="false">IF($R178="","",INDEX(Anforderungen!$D:$D,$R178))</f>
        <v>Nr. 111 / S. 9</v>
      </c>
      <c r="D178" s="45" t="str">
        <f aca="false">IF($R178="","",INDEX(Anforderungen!$E:$E,$R178))</f>
        <v>Netzanschluss &amp; Energie</v>
      </c>
      <c r="E178" s="45" t="str">
        <f aca="false">IF($R178="","",INDEX(Anforderungen!$F:$F,$R178))</f>
        <v>Klarstellung: Es handelt sich dabei um die Dächer der Technikgebäude (z.B. Übergabestation, Trafostation).</v>
      </c>
      <c r="F178" s="45" t="str">
        <f aca="false">IF($R178="","",INDEX(Anforderungen!$G:$G,$R178))</f>
        <v>In den Abschnitten 6.3 Instandhaltung sowie 6.5 Regelmäßige Prüfung wird die Prüfung, Wartung und Instandhaltung von Dächern bzw. Überdachungen gefordert. Wir bitten um Angabe, um welche Dächer bzw. Überdachungen es sich dabei handelt.</v>
      </c>
      <c r="G178" s="45" t="str">
        <f aca="false">IF($R178="","",INDEX(Anforderungen!$I:$I,$R178))</f>
        <v>offen</v>
      </c>
      <c r="H178" s="45" t="str">
        <f aca="false">IF($R178="","",INDEX(Anforderungen!$J:$J,$R178))</f>
        <v>–</v>
      </c>
      <c r="I178" s="45" t="str">
        <f aca="false">IF($R178="","",INDEX(Anforderungen!$K:$K,$R178))</f>
        <v>erfasst</v>
      </c>
      <c r="J178" s="46" t="n">
        <f aca="false">IF($R178="","",INDEX(Anforderungen!$L:$L,$R178))</f>
        <v>0</v>
      </c>
      <c r="K178" s="45" t="n">
        <f aca="false">IF($R178="","",INDEX(Anforderungen!$M:$M,$R178))</f>
        <v>0</v>
      </c>
      <c r="R178" s="0" t="n">
        <f aca="false">IFERROR(MATCH(ROWS($A$16:$A178),Anforderungen!$O$7:$O$2000,0)+6,"")</f>
        <v>169</v>
      </c>
    </row>
    <row r="179" customFormat="false" ht="30" hidden="false" customHeight="true" outlineLevel="0" collapsed="false">
      <c r="A179" s="45" t="str">
        <f aca="false">IF($R179="","",INDEX(Anforderungen!$B:$B,$R179))</f>
        <v>ANF-164</v>
      </c>
      <c r="B179" s="45" t="str">
        <f aca="false">IF($R179="","",INDEX(Anforderungen!$C:$C,$R179))</f>
        <v>Bieterfragenkatalog</v>
      </c>
      <c r="C179" s="45" t="str">
        <f aca="false">IF($R179="","",INDEX(Anforderungen!$D:$D,$R179))</f>
        <v>Nr. 112 / S. 9</v>
      </c>
      <c r="D179" s="45" t="str">
        <f aca="false">IF($R179="","",INDEX(Anforderungen!$E:$E,$R179))</f>
        <v>Flächen &amp; Genehmigungen</v>
      </c>
      <c r="E179" s="45" t="str">
        <f aca="false">IF($R179="","",INDEX(Anforderungen!$F:$F,$R179))</f>
        <v>Klarstellung: Es ist von den in Vertragsanlage 3 angegebenen Zeiträumen auszugehen.</v>
      </c>
      <c r="F179" s="45" t="str">
        <f aca="false">IF($R179="","",INDEX(Anforderungen!$G:$G,$R179))</f>
        <v>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v>
      </c>
      <c r="G179" s="45" t="str">
        <f aca="false">IF($R179="","",INDEX(Anforderungen!$I:$I,$R179))</f>
        <v>offen</v>
      </c>
      <c r="H179" s="45" t="str">
        <f aca="false">IF($R179="","",INDEX(Anforderungen!$J:$J,$R179))</f>
        <v>–</v>
      </c>
      <c r="I179" s="45" t="str">
        <f aca="false">IF($R179="","",INDEX(Anforderungen!$K:$K,$R179))</f>
        <v>erfasst</v>
      </c>
      <c r="J179" s="46" t="n">
        <f aca="false">IF($R179="","",INDEX(Anforderungen!$L:$L,$R179))</f>
        <v>0</v>
      </c>
      <c r="K179" s="45" t="n">
        <f aca="false">IF($R179="","",INDEX(Anforderungen!$M:$M,$R179))</f>
        <v>0</v>
      </c>
      <c r="R179" s="0" t="n">
        <f aca="false">IFERROR(MATCH(ROWS($A$16:$A179),Anforderungen!$O$7:$O$2000,0)+6,"")</f>
        <v>170</v>
      </c>
    </row>
    <row r="180" customFormat="false" ht="30" hidden="false" customHeight="true" outlineLevel="0" collapsed="false">
      <c r="A180" s="45" t="str">
        <f aca="false">IF($R180="","",INDEX(Anforderungen!$B:$B,$R180))</f>
        <v>ANF-165</v>
      </c>
      <c r="B180" s="45" t="str">
        <f aca="false">IF($R180="","",INDEX(Anforderungen!$C:$C,$R180))</f>
        <v>Bieterfragenkatalog</v>
      </c>
      <c r="C180" s="45" t="str">
        <f aca="false">IF($R180="","",INDEX(Anforderungen!$D:$D,$R180))</f>
        <v>Nr. 113 / S. 9</v>
      </c>
      <c r="D180" s="45" t="str">
        <f aca="false">IF($R180="","",INDEX(Anforderungen!$E:$E,$R180))</f>
        <v>Flächen &amp; Genehmigungen</v>
      </c>
      <c r="E180" s="45" t="str">
        <f aca="false">IF($R180="","",INDEX(Anforderungen!$F:$F,$R180))</f>
        <v>Klarstellung: Richtigerweise muss an dieser Stelle auf Ziffer 4.11.2 der Vertragsanlage 04: Leistungsbeschreibung Errichtung verwiesen werden.</v>
      </c>
      <c r="F180" s="45" t="str">
        <f aca="false">IF($R180="","",INDEX(Anforderungen!$G:$G,$R180))</f>
        <v>Im Hinblick auf die Entwässerungs- und Abwassereinrichtungen verweist der Vertrag auf Ziffer 4.12.2 der Vertragsanlage 4: Leistungsbeschreibung Errichtung. Wir bitten um Berichtigung der Verweisung.</v>
      </c>
      <c r="G180" s="45" t="str">
        <f aca="false">IF($R180="","",INDEX(Anforderungen!$I:$I,$R180))</f>
        <v>offen</v>
      </c>
      <c r="H180" s="45" t="str">
        <f aca="false">IF($R180="","",INDEX(Anforderungen!$J:$J,$R180))</f>
        <v>–</v>
      </c>
      <c r="I180" s="45" t="str">
        <f aca="false">IF($R180="","",INDEX(Anforderungen!$K:$K,$R180))</f>
        <v>erfasst</v>
      </c>
      <c r="J180" s="46" t="n">
        <f aca="false">IF($R180="","",INDEX(Anforderungen!$L:$L,$R180))</f>
        <v>0</v>
      </c>
      <c r="K180" s="45" t="n">
        <f aca="false">IF($R180="","",INDEX(Anforderungen!$M:$M,$R180))</f>
        <v>0</v>
      </c>
      <c r="R180" s="0" t="n">
        <f aca="false">IFERROR(MATCH(ROWS($A$16:$A180),Anforderungen!$O$7:$O$2000,0)+6,"")</f>
        <v>171</v>
      </c>
    </row>
    <row r="181" customFormat="false" ht="30" hidden="false" customHeight="true" outlineLevel="0" collapsed="false">
      <c r="A181" s="45" t="str">
        <f aca="false">IF($R181="","",INDEX(Anforderungen!$B:$B,$R181))</f>
        <v>ANF-166</v>
      </c>
      <c r="B181" s="45" t="str">
        <f aca="false">IF($R181="","",INDEX(Anforderungen!$C:$C,$R181))</f>
        <v>Bieterfragenkatalog</v>
      </c>
      <c r="C181" s="45" t="str">
        <f aca="false">IF($R181="","",INDEX(Anforderungen!$D:$D,$R181))</f>
        <v>Nr. 114 / S. 10</v>
      </c>
      <c r="D181" s="45" t="str">
        <f aca="false">IF($R181="","",INDEX(Anforderungen!$E:$E,$R181))</f>
        <v>Technik Ladeinfrastruktur</v>
      </c>
      <c r="E181" s="45" t="str">
        <f aca="false">IF($R181="","",INDEX(Anforderungen!$F:$F,$R181))</f>
        <v>Klarstellung: Die Ladepunkte für das Übernachtladen müssen technisch eine Ladeleistung von min. 150 kW abgeben können.</v>
      </c>
      <c r="F181" s="45" t="str">
        <f aca="false">IF($R181="","",INDEX(Anforderungen!$G:$G,$R181))</f>
        <v>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v>
      </c>
      <c r="G181" s="45" t="str">
        <f aca="false">IF($R181="","",INDEX(Anforderungen!$I:$I,$R181))</f>
        <v>Zuordnung prüfen</v>
      </c>
      <c r="H181" s="45" t="str">
        <f aca="false">IF($R181="","",INDEX(Anforderungen!$J:$J,$R181))</f>
        <v>Zuordnung prüfen</v>
      </c>
      <c r="I181" s="45" t="str">
        <f aca="false">IF($R181="","",INDEX(Anforderungen!$K:$K,$R181))</f>
        <v>erfasst</v>
      </c>
      <c r="J181" s="46" t="n">
        <f aca="false">IF($R181="","",INDEX(Anforderungen!$L:$L,$R181))</f>
        <v>0</v>
      </c>
      <c r="K181" s="45" t="n">
        <f aca="false">IF($R181="","",INDEX(Anforderungen!$M:$M,$R181))</f>
        <v>0</v>
      </c>
      <c r="R181" s="0" t="n">
        <f aca="false">IFERROR(MATCH(ROWS($A$16:$A181),Anforderungen!$O$7:$O$2000,0)+6,"")</f>
        <v>172</v>
      </c>
    </row>
    <row r="182" customFormat="false" ht="30" hidden="false" customHeight="true" outlineLevel="0" collapsed="false">
      <c r="A182" s="45" t="str">
        <f aca="false">IF($R182="","",INDEX(Anforderungen!$B:$B,$R182))</f>
        <v>ANF-167</v>
      </c>
      <c r="B182" s="45" t="str">
        <f aca="false">IF($R182="","",INDEX(Anforderungen!$C:$C,$R182))</f>
        <v>Bieterfragenkatalog</v>
      </c>
      <c r="C182" s="45" t="str">
        <f aca="false">IF($R182="","",INDEX(Anforderungen!$D:$D,$R182))</f>
        <v>Nr. 115 / S. 10</v>
      </c>
      <c r="D182" s="45" t="str">
        <f aca="false">IF($R182="","",INDEX(Anforderungen!$E:$E,$R182))</f>
        <v>Vertrag &amp; Recht</v>
      </c>
      <c r="E182" s="45" t="str">
        <f aca="false">IF($R182="","",INDEX(Anforderungen!$F:$F,$R182))</f>
        <v>Klarstellung: Die Begriffe „Datenmanipulation und -missbrauch im §62 des Vertrages beziehen sich auch auf nicht personenbezogene Daten.</v>
      </c>
      <c r="F182" s="45" t="str">
        <f aca="false">IF($R182="","",INDEX(Anforderungen!$G:$G,$R182))</f>
        <v>Beziehen sich die Begriffe „Datenmanipulation und -missbrauch“ nur auf personenbezogene Daten im Sinne des Datenschutzrechts oder auch auf nicht-personenbezogene Daten im Sinne der allgemeinen Informationssicherheit?</v>
      </c>
      <c r="G182" s="45" t="str">
        <f aca="false">IF($R182="","",INDEX(Anforderungen!$I:$I,$R182))</f>
        <v>offen</v>
      </c>
      <c r="H182" s="45" t="str">
        <f aca="false">IF($R182="","",INDEX(Anforderungen!$J:$J,$R182))</f>
        <v>–</v>
      </c>
      <c r="I182" s="45" t="str">
        <f aca="false">IF($R182="","",INDEX(Anforderungen!$K:$K,$R182))</f>
        <v>erfasst</v>
      </c>
      <c r="J182" s="46" t="n">
        <f aca="false">IF($R182="","",INDEX(Anforderungen!$L:$L,$R182))</f>
        <v>0</v>
      </c>
      <c r="K182" s="45" t="n">
        <f aca="false">IF($R182="","",INDEX(Anforderungen!$M:$M,$R182))</f>
        <v>0</v>
      </c>
      <c r="R182" s="0" t="n">
        <f aca="false">IFERROR(MATCH(ROWS($A$16:$A182),Anforderungen!$O$7:$O$2000,0)+6,"")</f>
        <v>173</v>
      </c>
    </row>
    <row r="183" customFormat="false" ht="30" hidden="false" customHeight="true" outlineLevel="0" collapsed="false">
      <c r="A183" s="45" t="str">
        <f aca="false">IF($R183="","",INDEX(Anforderungen!$B:$B,$R183))</f>
        <v>ANF-168</v>
      </c>
      <c r="B183" s="45" t="str">
        <f aca="false">IF($R183="","",INDEX(Anforderungen!$C:$C,$R183))</f>
        <v>Bieterfragenkatalog</v>
      </c>
      <c r="C183" s="45" t="str">
        <f aca="false">IF($R183="","",INDEX(Anforderungen!$D:$D,$R183))</f>
        <v>Nr. 116 / S. 10</v>
      </c>
      <c r="D183" s="45" t="str">
        <f aca="false">IF($R183="","",INDEX(Anforderungen!$E:$E,$R183))</f>
        <v>Bau &amp; Dokumentation</v>
      </c>
      <c r="E183" s="45" t="str">
        <f aca="false">IF($R183="","",INDEX(Anforderungen!$F:$F,$R183))</f>
        <v>Klarstellung: Die Bürgschaft sichert sämtliche Verpflichtungen des AN gegenüber dem AG ab (Abs. 1).</v>
      </c>
      <c r="F183" s="45" t="str">
        <f aca="false">IF($R183="","",INDEX(Anforderungen!$G:$G,$R183))</f>
        <v>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v>
      </c>
      <c r="G183" s="45" t="str">
        <f aca="false">IF($R183="","",INDEX(Anforderungen!$I:$I,$R183))</f>
        <v>offen</v>
      </c>
      <c r="H183" s="45" t="str">
        <f aca="false">IF($R183="","",INDEX(Anforderungen!$J:$J,$R183))</f>
        <v>–</v>
      </c>
      <c r="I183" s="45" t="str">
        <f aca="false">IF($R183="","",INDEX(Anforderungen!$K:$K,$R183))</f>
        <v>erfasst</v>
      </c>
      <c r="J183" s="46" t="n">
        <f aca="false">IF($R183="","",INDEX(Anforderungen!$L:$L,$R183))</f>
        <v>0</v>
      </c>
      <c r="K183" s="45" t="n">
        <f aca="false">IF($R183="","",INDEX(Anforderungen!$M:$M,$R183))</f>
        <v>0</v>
      </c>
      <c r="R183" s="0" t="n">
        <f aca="false">IFERROR(MATCH(ROWS($A$16:$A183),Anforderungen!$O$7:$O$2000,0)+6,"")</f>
        <v>174</v>
      </c>
    </row>
    <row r="184" customFormat="false" ht="30" hidden="false" customHeight="true" outlineLevel="0" collapsed="false">
      <c r="A184" s="45" t="str">
        <f aca="false">IF($R184="","",INDEX(Anforderungen!$B:$B,$R184))</f>
        <v>ANF-169</v>
      </c>
      <c r="B184" s="45" t="str">
        <f aca="false">IF($R184="","",INDEX(Anforderungen!$C:$C,$R184))</f>
        <v>Bieterfragenkatalog</v>
      </c>
      <c r="C184" s="45" t="str">
        <f aca="false">IF($R184="","",INDEX(Anforderungen!$D:$D,$R184))</f>
        <v>Nr. 117 / S. 10</v>
      </c>
      <c r="D184" s="45" t="str">
        <f aca="false">IF($R184="","",INDEX(Anforderungen!$E:$E,$R184))</f>
        <v>Netzanschluss &amp; Energie</v>
      </c>
      <c r="E184" s="45" t="str">
        <f aca="false">IF($R184="","",INDEX(Anforderungen!$F:$F,$R184))</f>
        <v>Klarstellung: Für die Erstellung der Erstangebote ist davon auszugehen, dass die Erstattung entsprechend §47 quartalsweise erfolgt.</v>
      </c>
      <c r="F184" s="45" t="str">
        <f aca="false">IF($R184="","",INDEX(Anforderungen!$G:$G,$R184))</f>
        <v>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v>
      </c>
      <c r="G184" s="45" t="str">
        <f aca="false">IF($R184="","",INDEX(Anforderungen!$I:$I,$R184))</f>
        <v>offen</v>
      </c>
      <c r="H184" s="45" t="str">
        <f aca="false">IF($R184="","",INDEX(Anforderungen!$J:$J,$R184))</f>
        <v>–</v>
      </c>
      <c r="I184" s="45" t="str">
        <f aca="false">IF($R184="","",INDEX(Anforderungen!$K:$K,$R184))</f>
        <v>erfasst</v>
      </c>
      <c r="J184" s="46" t="n">
        <f aca="false">IF($R184="","",INDEX(Anforderungen!$L:$L,$R184))</f>
        <v>0</v>
      </c>
      <c r="K184" s="45" t="n">
        <f aca="false">IF($R184="","",INDEX(Anforderungen!$M:$M,$R184))</f>
        <v>0</v>
      </c>
      <c r="R184" s="0" t="n">
        <f aca="false">IFERROR(MATCH(ROWS($A$16:$A184),Anforderungen!$O$7:$O$2000,0)+6,"")</f>
        <v>175</v>
      </c>
    </row>
    <row r="185" customFormat="false" ht="30" hidden="false" customHeight="true" outlineLevel="0" collapsed="false">
      <c r="A185" s="45" t="str">
        <f aca="false">IF($R185="","",INDEX(Anforderungen!$B:$B,$R185))</f>
        <v>ANF-170</v>
      </c>
      <c r="B185" s="45" t="str">
        <f aca="false">IF($R185="","",INDEX(Anforderungen!$C:$C,$R185))</f>
        <v>Bieterfragenkatalog</v>
      </c>
      <c r="C185" s="45" t="str">
        <f aca="false">IF($R185="","",INDEX(Anforderungen!$D:$D,$R185))</f>
        <v>Nr. 118 / S. 10</v>
      </c>
      <c r="D185" s="45" t="str">
        <f aca="false">IF($R185="","",INDEX(Anforderungen!$E:$E,$R185))</f>
        <v>Netzanschluss &amp; Energie</v>
      </c>
      <c r="E185" s="45" t="str">
        <f aca="false">IF($R185="","",INDEX(Anforderungen!$F:$F,$R185))</f>
        <v>Klarstellung: Um eine Vergleichbarkeit der Erstangebote sicherzustellen, müssen die Kosten für auftretende Verlustenergie – entgegen der Antwort zu Frage 15 - nicht in das Betreiberentgelt eingepreist werden.</v>
      </c>
      <c r="F185" s="45" t="str">
        <f aca="false">IF($R185="","",INDEX(Anforderungen!$G:$G,$R185))</f>
        <v>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v>
      </c>
      <c r="G185" s="45" t="str">
        <f aca="false">IF($R185="","",INDEX(Anforderungen!$I:$I,$R185))</f>
        <v>offen</v>
      </c>
      <c r="H185" s="45" t="str">
        <f aca="false">IF($R185="","",INDEX(Anforderungen!$J:$J,$R185))</f>
        <v>–</v>
      </c>
      <c r="I185" s="45" t="str">
        <f aca="false">IF($R185="","",INDEX(Anforderungen!$K:$K,$R185))</f>
        <v>erfasst</v>
      </c>
      <c r="J185" s="46" t="n">
        <f aca="false">IF($R185="","",INDEX(Anforderungen!$L:$L,$R185))</f>
        <v>0</v>
      </c>
      <c r="K185" s="45" t="n">
        <f aca="false">IF($R185="","",INDEX(Anforderungen!$M:$M,$R185))</f>
        <v>0</v>
      </c>
      <c r="R185" s="0" t="n">
        <f aca="false">IFERROR(MATCH(ROWS($A$16:$A185),Anforderungen!$O$7:$O$2000,0)+6,"")</f>
        <v>176</v>
      </c>
    </row>
    <row r="186" customFormat="false" ht="30" hidden="false" customHeight="true" outlineLevel="0" collapsed="false">
      <c r="A186" s="45" t="str">
        <f aca="false">IF($R186="","",INDEX(Anforderungen!$B:$B,$R186))</f>
        <v>ANF-171</v>
      </c>
      <c r="B186" s="45" t="str">
        <f aca="false">IF($R186="","",INDEX(Anforderungen!$C:$C,$R186))</f>
        <v>Bieterfragenkatalog</v>
      </c>
      <c r="C186" s="45" t="str">
        <f aca="false">IF($R186="","",INDEX(Anforderungen!$D:$D,$R186))</f>
        <v>Nr. 119 / S. 10</v>
      </c>
      <c r="D186" s="45" t="str">
        <f aca="false">IF($R186="","",INDEX(Anforderungen!$E:$E,$R186))</f>
        <v>Technik Ladeinfrastruktur</v>
      </c>
      <c r="E186" s="45" t="str">
        <f aca="false">IF($R186="","",INDEX(Anforderungen!$F:$F,$R186))</f>
        <v>Klarstellung: Dies ist richtig, es ist keine Kompensation geplant. Der aktuelle Planungsstand ist der Vertragsanlage 3 zu entnehmen.</v>
      </c>
      <c r="F186" s="45" t="str">
        <f aca="false">IF($R186="","",INDEX(Anforderungen!$G:$G,$R186))</f>
        <v>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v>
      </c>
      <c r="G186" s="45" t="str">
        <f aca="false">IF($R186="","",INDEX(Anforderungen!$I:$I,$R186))</f>
        <v>Zuordnung prüfen</v>
      </c>
      <c r="H186" s="45" t="str">
        <f aca="false">IF($R186="","",INDEX(Anforderungen!$J:$J,$R186))</f>
        <v>Zuordnung prüfen</v>
      </c>
      <c r="I186" s="45" t="str">
        <f aca="false">IF($R186="","",INDEX(Anforderungen!$K:$K,$R186))</f>
        <v>erfasst</v>
      </c>
      <c r="J186" s="46" t="n">
        <f aca="false">IF($R186="","",INDEX(Anforderungen!$L:$L,$R186))</f>
        <v>0</v>
      </c>
      <c r="K186" s="45" t="n">
        <f aca="false">IF($R186="","",INDEX(Anforderungen!$M:$M,$R186))</f>
        <v>0</v>
      </c>
      <c r="R186" s="0" t="n">
        <f aca="false">IFERROR(MATCH(ROWS($A$16:$A186),Anforderungen!$O$7:$O$2000,0)+6,"")</f>
        <v>177</v>
      </c>
    </row>
    <row r="187" customFormat="false" ht="30" hidden="false" customHeight="true" outlineLevel="0" collapsed="false">
      <c r="A187" s="45" t="str">
        <f aca="false">IF($R187="","",INDEX(Anforderungen!$B:$B,$R187))</f>
        <v>ANF-172</v>
      </c>
      <c r="B187" s="45" t="str">
        <f aca="false">IF($R187="","",INDEX(Anforderungen!$C:$C,$R187))</f>
        <v>Bieterfragenkatalog</v>
      </c>
      <c r="C187" s="45" t="str">
        <f aca="false">IF($R187="","",INDEX(Anforderungen!$D:$D,$R187))</f>
        <v>Nr. 120 / S. 10</v>
      </c>
      <c r="D187" s="45" t="str">
        <f aca="false">IF($R187="","",INDEX(Anforderungen!$E:$E,$R187))</f>
        <v>Netzanschluss &amp; Energie</v>
      </c>
      <c r="E187" s="45" t="str">
        <f aca="false">IF($R187="","",INDEX(Anforderungen!$F:$F,$R187))</f>
        <v>Verweis des Auftraggebers auf die Antwort zu Bieterfrage 47.</v>
      </c>
      <c r="F187" s="45" t="str">
        <f aca="false">IF($R187="","",INDEX(Anforderungen!$G:$G,$R187))</f>
        <v>Erfüllen diese potentiellen Speicher die Vorgaben der VDE 4110 mit Verfügbarkeit von Einheitenzertifikaten, sodass für einen netzdienlichen Betrieb zur Teilnahme am Regelenergiemarkt auch das erforderliche Anlagenzertifikat durch den AG 2 beigebracht werden kann?</v>
      </c>
      <c r="G187" s="45" t="str">
        <f aca="false">IF($R187="","",INDEX(Anforderungen!$I:$I,$R187))</f>
        <v>offen</v>
      </c>
      <c r="H187" s="45" t="str">
        <f aca="false">IF($R187="","",INDEX(Anforderungen!$J:$J,$R187))</f>
        <v>–</v>
      </c>
      <c r="I187" s="45" t="str">
        <f aca="false">IF($R187="","",INDEX(Anforderungen!$K:$K,$R187))</f>
        <v>trifft nicht zu</v>
      </c>
      <c r="J187" s="46" t="n">
        <f aca="false">IF($R187="","",INDEX(Anforderungen!$L:$L,$R187))</f>
        <v>0</v>
      </c>
      <c r="K187" s="45" t="str">
        <f aca="false">IF($R187="","",INDEX(Anforderungen!$M:$M,$R187))</f>
        <v>Automatisch ausgewertet: Die Antwort des Auftraggebers verweist ausschließlich auf Bieterfrage 47. Keine eigenständige Anforderung – der Inhalt ist unter der dort erfassten Zeile nachzuhalten.</v>
      </c>
      <c r="R187" s="0" t="n">
        <f aca="false">IFERROR(MATCH(ROWS($A$16:$A187),Anforderungen!$O$7:$O$2000,0)+6,"")</f>
        <v>178</v>
      </c>
    </row>
    <row r="188" customFormat="false" ht="30" hidden="false" customHeight="true" outlineLevel="0" collapsed="false">
      <c r="A188" s="45" t="str">
        <f aca="false">IF($R188="","",INDEX(Anforderungen!$B:$B,$R188))</f>
        <v>ANF-173</v>
      </c>
      <c r="B188" s="45" t="str">
        <f aca="false">IF($R188="","",INDEX(Anforderungen!$C:$C,$R188))</f>
        <v>Bieterfragenkatalog</v>
      </c>
      <c r="C188" s="45" t="str">
        <f aca="false">IF($R188="","",INDEX(Anforderungen!$D:$D,$R188))</f>
        <v>Nr. 121 / S. 10</v>
      </c>
      <c r="D188" s="45" t="str">
        <f aca="false">IF($R188="","",INDEX(Anforderungen!$E:$E,$R188))</f>
        <v>Vertrag &amp; Recht</v>
      </c>
      <c r="E188" s="45" t="str">
        <f aca="false">IF($R188="","",INDEX(Anforderungen!$F:$F,$R188))</f>
        <v>Klarstellung: Die Forderung an eine externe Versorgung von elektrischen Trailern mittels eigenständiger oder kombinierter Spannungsversorgung bleibt bestehen.</v>
      </c>
      <c r="F188" s="45" t="str">
        <f aca="false">IF($R188="","",INDEX(Anforderungen!$G:$G,$R188))</f>
        <v>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v>
      </c>
      <c r="G188" s="45" t="str">
        <f aca="false">IF($R188="","",INDEX(Anforderungen!$I:$I,$R188))</f>
        <v>offen</v>
      </c>
      <c r="H188" s="45" t="str">
        <f aca="false">IF($R188="","",INDEX(Anforderungen!$J:$J,$R188))</f>
        <v>–</v>
      </c>
      <c r="I188" s="45" t="str">
        <f aca="false">IF($R188="","",INDEX(Anforderungen!$K:$K,$R188))</f>
        <v>erfasst</v>
      </c>
      <c r="J188" s="46" t="n">
        <f aca="false">IF($R188="","",INDEX(Anforderungen!$L:$L,$R188))</f>
        <v>0</v>
      </c>
      <c r="K188" s="45" t="n">
        <f aca="false">IF($R188="","",INDEX(Anforderungen!$M:$M,$R188))</f>
        <v>0</v>
      </c>
      <c r="R188" s="0" t="n">
        <f aca="false">IFERROR(MATCH(ROWS($A$16:$A188),Anforderungen!$O$7:$O$2000,0)+6,"")</f>
        <v>179</v>
      </c>
    </row>
    <row r="189" customFormat="false" ht="30" hidden="false" customHeight="true" outlineLevel="0" collapsed="false">
      <c r="A189" s="45" t="str">
        <f aca="false">IF($R189="","",INDEX(Anforderungen!$B:$B,$R189))</f>
        <v>ANF-174</v>
      </c>
      <c r="B189" s="45" t="str">
        <f aca="false">IF($R189="","",INDEX(Anforderungen!$C:$C,$R189))</f>
        <v>Bieterfragenkatalog</v>
      </c>
      <c r="C189" s="45" t="str">
        <f aca="false">IF($R189="","",INDEX(Anforderungen!$D:$D,$R189))</f>
        <v>Nr. 122 / S. 11</v>
      </c>
      <c r="D189" s="45" t="str">
        <f aca="false">IF($R189="","",INDEX(Anforderungen!$E:$E,$R189))</f>
        <v>Betrieb &amp; Auslastung</v>
      </c>
      <c r="E189" s="45" t="str">
        <f aca="false">IF($R189="","",INDEX(Anforderungen!$F:$F,$R189))</f>
        <v>Klarstellung: Die Auslastung der Ladepunkte stellt eine prognostische Entscheidung dar, die aus Erfahrungswerten abzuleiten ist.</v>
      </c>
      <c r="F189" s="45" t="str">
        <f aca="false">IF($R189="","",INDEX(Anforderungen!$G:$G,$R189))</f>
        <v>Bitte definieren Sie in diesem Kontext die Begrifflichkeit "fehlende Auslastung." Gehen wir recht in der Annahme, dass keine baulichen Vorkehrungen zur Freihaltung der Ladepunkte einzukalkulieren sind.</v>
      </c>
      <c r="G189" s="45" t="str">
        <f aca="false">IF($R189="","",INDEX(Anforderungen!$I:$I,$R189))</f>
        <v>Zuordnung prüfen</v>
      </c>
      <c r="H189" s="45" t="str">
        <f aca="false">IF($R189="","",INDEX(Anforderungen!$J:$J,$R189))</f>
        <v>Zuordnung prüfen</v>
      </c>
      <c r="I189" s="45" t="str">
        <f aca="false">IF($R189="","",INDEX(Anforderungen!$K:$K,$R189))</f>
        <v>erfasst</v>
      </c>
      <c r="J189" s="46" t="n">
        <f aca="false">IF($R189="","",INDEX(Anforderungen!$L:$L,$R189))</f>
        <v>0</v>
      </c>
      <c r="K189" s="45" t="n">
        <f aca="false">IF($R189="","",INDEX(Anforderungen!$M:$M,$R189))</f>
        <v>0</v>
      </c>
      <c r="R189" s="0" t="n">
        <f aca="false">IFERROR(MATCH(ROWS($A$16:$A189),Anforderungen!$O$7:$O$2000,0)+6,"")</f>
        <v>180</v>
      </c>
    </row>
    <row r="190" customFormat="false" ht="30" hidden="false" customHeight="true" outlineLevel="0" collapsed="false">
      <c r="A190" s="45" t="str">
        <f aca="false">IF($R190="","",INDEX(Anforderungen!$B:$B,$R190))</f>
        <v>ANF-175</v>
      </c>
      <c r="B190" s="45" t="str">
        <f aca="false">IF($R190="","",INDEX(Anforderungen!$C:$C,$R190))</f>
        <v>Bieterfragenkatalog</v>
      </c>
      <c r="C190" s="45" t="str">
        <f aca="false">IF($R190="","",INDEX(Anforderungen!$D:$D,$R190))</f>
        <v>Nr. 123 / S. 11</v>
      </c>
      <c r="D190" s="45" t="str">
        <f aca="false">IF($R190="","",INDEX(Anforderungen!$E:$E,$R190))</f>
        <v>Technik Ladeinfrastruktur</v>
      </c>
      <c r="E190" s="45" t="str">
        <f aca="false">IF($R190="","",INDEX(Anforderungen!$F:$F,$R190))</f>
        <v>Bestätigt: davon kann für die Abgabe der Erstangebote ausgegangen werden.</v>
      </c>
      <c r="F190" s="45" t="str">
        <f aca="false">IF($R190="","",INDEX(Anforderungen!$G:$G,$R190))</f>
        <v>Gehen wir recht in der Annahme, dass der AG abweichende Vorgaben zur Freigabe von Ladepunkten zum Zwischenladen standortspezifisch lediglich nach Abstimmung mit dem AN festlegen kann?</v>
      </c>
      <c r="G190" s="45" t="str">
        <f aca="false">IF($R190="","",INDEX(Anforderungen!$I:$I,$R190))</f>
        <v>Zuordnung prüfen</v>
      </c>
      <c r="H190" s="45" t="str">
        <f aca="false">IF($R190="","",INDEX(Anforderungen!$J:$J,$R190))</f>
        <v>Zuordnung prüfen</v>
      </c>
      <c r="I190" s="45" t="str">
        <f aca="false">IF($R190="","",INDEX(Anforderungen!$K:$K,$R190))</f>
        <v>erfasst</v>
      </c>
      <c r="J190" s="46" t="n">
        <f aca="false">IF($R190="","",INDEX(Anforderungen!$L:$L,$R190))</f>
        <v>0</v>
      </c>
      <c r="K190" s="45" t="n">
        <f aca="false">IF($R190="","",INDEX(Anforderungen!$M:$M,$R190))</f>
        <v>0</v>
      </c>
      <c r="R190" s="0" t="n">
        <f aca="false">IFERROR(MATCH(ROWS($A$16:$A190),Anforderungen!$O$7:$O$2000,0)+6,"")</f>
        <v>181</v>
      </c>
    </row>
    <row r="191" customFormat="false" ht="30" hidden="false" customHeight="true" outlineLevel="0" collapsed="false">
      <c r="A191" s="45" t="str">
        <f aca="false">IF($R191="","",INDEX(Anforderungen!$B:$B,$R191))</f>
        <v>ANF-176</v>
      </c>
      <c r="B191" s="45" t="str">
        <f aca="false">IF($R191="","",INDEX(Anforderungen!$C:$C,$R191))</f>
        <v>Bieterfragenkatalog</v>
      </c>
      <c r="C191" s="45" t="str">
        <f aca="false">IF($R191="","",INDEX(Anforderungen!$D:$D,$R191))</f>
        <v>Nr. 124 / S. 11</v>
      </c>
      <c r="D191" s="45" t="str">
        <f aca="false">IF($R191="","",INDEX(Anforderungen!$E:$E,$R191))</f>
        <v>Vertrag &amp; Recht</v>
      </c>
      <c r="E191" s="45" t="str">
        <f aca="false">IF($R191="","",INDEX(Anforderungen!$F:$F,$R191))</f>
        <v>Klarstellung: Hinsichtlich der Freianlagen richtet sich die (Wieder-) Herstellung der Oberflächen nach Kap.</v>
      </c>
      <c r="F191" s="45" t="str">
        <f aca="false">IF($R191="","",INDEX(Anforderungen!$G:$G,$R191))</f>
        <v>Bitte konkretisieren Sie, ob Oberflächen nach der Installation der Infrastruktur wieder hergestellt werden müssen, wie Sie vor der Installation vorgefunden wurden.</v>
      </c>
      <c r="G191" s="45" t="str">
        <f aca="false">IF($R191="","",INDEX(Anforderungen!$I:$I,$R191))</f>
        <v>offen</v>
      </c>
      <c r="H191" s="45" t="str">
        <f aca="false">IF($R191="","",INDEX(Anforderungen!$J:$J,$R191))</f>
        <v>–</v>
      </c>
      <c r="I191" s="45" t="str">
        <f aca="false">IF($R191="","",INDEX(Anforderungen!$K:$K,$R191))</f>
        <v>erfasst</v>
      </c>
      <c r="J191" s="46" t="n">
        <f aca="false">IF($R191="","",INDEX(Anforderungen!$L:$L,$R191))</f>
        <v>0</v>
      </c>
      <c r="K191" s="45" t="n">
        <f aca="false">IF($R191="","",INDEX(Anforderungen!$M:$M,$R191))</f>
        <v>0</v>
      </c>
      <c r="R191" s="0" t="n">
        <f aca="false">IFERROR(MATCH(ROWS($A$16:$A191),Anforderungen!$O$7:$O$2000,0)+6,"")</f>
        <v>182</v>
      </c>
    </row>
    <row r="192" customFormat="false" ht="30" hidden="false" customHeight="true" outlineLevel="0" collapsed="false">
      <c r="A192" s="45" t="str">
        <f aca="false">IF($R192="","",INDEX(Anforderungen!$B:$B,$R192))</f>
        <v>ANF-177</v>
      </c>
      <c r="B192" s="45" t="str">
        <f aca="false">IF($R192="","",INDEX(Anforderungen!$C:$C,$R192))</f>
        <v>Bieterfragenkatalog</v>
      </c>
      <c r="C192" s="45" t="str">
        <f aca="false">IF($R192="","",INDEX(Anforderungen!$D:$D,$R192))</f>
        <v>Nr. 125 / S. 11</v>
      </c>
      <c r="D192" s="45" t="str">
        <f aca="false">IF($R192="","",INDEX(Anforderungen!$E:$E,$R192))</f>
        <v>Reservierung</v>
      </c>
      <c r="E192" s="45" t="str">
        <f aca="false">IF($R192="","",INDEX(Anforderungen!$F:$F,$R192))</f>
        <v>Verneint: die Entwicklung eines zentralen Reservierungssystems durch die AG ist nicht geplant.</v>
      </c>
      <c r="F192" s="45" t="str">
        <f aca="false">IF($R192="","",INDEX(Anforderungen!$G:$G,$R192))</f>
        <v>Planen die AGs ein zentrales Reservierungssystem für das LKW-Schnellladenetz zu entwickeln oder ist die Erwartungshaltung, dass der AN weiterhin eine eigene Lösung entwickelt? Im Falle eines zentralen Reservierungssystems: Steht das zentrale Reservierungssystem bereits fest?</v>
      </c>
      <c r="G192" s="45" t="str">
        <f aca="false">IF($R192="","",INDEX(Anforderungen!$I:$I,$R192))</f>
        <v>eRound / Reservierungsplattform</v>
      </c>
      <c r="H192" s="45" t="str">
        <f aca="false">IF($R192="","",INDEX(Anforderungen!$J:$J,$R192))</f>
        <v>OCPI Buchungskalender / Reservierungsplattform</v>
      </c>
      <c r="I192" s="45" t="str">
        <f aca="false">IF($R192="","",INDEX(Anforderungen!$K:$K,$R192))</f>
        <v>erfasst</v>
      </c>
      <c r="J192" s="46" t="n">
        <f aca="false">IF($R192="","",INDEX(Anforderungen!$L:$L,$R192))</f>
        <v>0</v>
      </c>
      <c r="K192" s="45" t="n">
        <f aca="false">IF($R192="","",INDEX(Anforderungen!$M:$M,$R192))</f>
        <v>0</v>
      </c>
      <c r="R192" s="0" t="n">
        <f aca="false">IFERROR(MATCH(ROWS($A$16:$A192),Anforderungen!$O$7:$O$2000,0)+6,"")</f>
        <v>183</v>
      </c>
    </row>
    <row r="193" customFormat="false" ht="30" hidden="false" customHeight="true" outlineLevel="0" collapsed="false">
      <c r="A193" s="45" t="str">
        <f aca="false">IF($R193="","",INDEX(Anforderungen!$B:$B,$R193))</f>
        <v>ANF-178</v>
      </c>
      <c r="B193" s="45" t="str">
        <f aca="false">IF($R193="","",INDEX(Anforderungen!$C:$C,$R193))</f>
        <v>Bieterfragenkatalog</v>
      </c>
      <c r="C193" s="45" t="str">
        <f aca="false">IF($R193="","",INDEX(Anforderungen!$D:$D,$R193))</f>
        <v>Nr. 126 / S. 11</v>
      </c>
      <c r="D193" s="45" t="str">
        <f aca="false">IF($R193="","",INDEX(Anforderungen!$E:$E,$R193))</f>
        <v>Authentifizierung &amp; Zugang</v>
      </c>
      <c r="E193" s="45" t="str">
        <f aca="false">IF($R193="","",INDEX(Anforderungen!$F:$F,$R193))</f>
        <v>Klarstellung: Es ist nicht vorgesehen, dass der Ad-hoc-Preis von den Auftraggebern vorgegeben wird. Bei der Kalkulation und Festsetzung des Ad-hoc-Preises sind jedoch die Vorgaben des § 26 des Vertrages zu beachten.</v>
      </c>
      <c r="F193" s="45" t="str">
        <f aca="false">IF($R193="","",INDEX(Anforderungen!$G:$G,$R193))</f>
        <v>In §26 heißt es, dass der Strompreis für Ad-hoc-Ladevorgänge „angemessen“ und „transparent“ sein muss. Könnten Sie bitte präzisieren, ob Sie planen, die Preisfestsetzung durch die Betreiber in irgendeiner Weise einzuschränken, und wenn ja, in welcher Form?</v>
      </c>
      <c r="G193" s="45" t="str">
        <f aca="false">IF($R193="","",INDEX(Anforderungen!$I:$I,$R193))</f>
        <v>eRound</v>
      </c>
      <c r="H193" s="45" t="str">
        <f aca="false">IF($R193="","",INDEX(Anforderungen!$J:$J,$R193))</f>
        <v>Authentifizierungskomponente / Abrechnungskomponente</v>
      </c>
      <c r="I193" s="45" t="str">
        <f aca="false">IF($R193="","",INDEX(Anforderungen!$K:$K,$R193))</f>
        <v>erfasst</v>
      </c>
      <c r="J193" s="46" t="n">
        <f aca="false">IF($R193="","",INDEX(Anforderungen!$L:$L,$R193))</f>
        <v>0</v>
      </c>
      <c r="K193" s="45" t="n">
        <f aca="false">IF($R193="","",INDEX(Anforderungen!$M:$M,$R193))</f>
        <v>0</v>
      </c>
      <c r="R193" s="0" t="n">
        <f aca="false">IFERROR(MATCH(ROWS($A$16:$A193),Anforderungen!$O$7:$O$2000,0)+6,"")</f>
        <v>184</v>
      </c>
    </row>
    <row r="194" customFormat="false" ht="30" hidden="false" customHeight="true" outlineLevel="0" collapsed="false">
      <c r="A194" s="45" t="str">
        <f aca="false">IF($R194="","",INDEX(Anforderungen!$B:$B,$R194))</f>
        <v>ANF-179</v>
      </c>
      <c r="B194" s="45" t="str">
        <f aca="false">IF($R194="","",INDEX(Anforderungen!$C:$C,$R194))</f>
        <v>Bieterfragenkatalog</v>
      </c>
      <c r="C194" s="45" t="str">
        <f aca="false">IF($R194="","",INDEX(Anforderungen!$D:$D,$R194))</f>
        <v>Nr. 127 / S. 11</v>
      </c>
      <c r="D194" s="45" t="str">
        <f aca="false">IF($R194="","",INDEX(Anforderungen!$E:$E,$R194))</f>
        <v>Vergabeverfahren &amp; Angebot</v>
      </c>
      <c r="E194" s="45" t="str">
        <f aca="false">IF($R194="","",INDEX(Anforderungen!$F:$F,$R194))</f>
        <v>Bestätigt: dies ist möglich. Das Formblatt A6 dient der Vorbereitung der Bieterverhandlungen, um Verhandlungsbedarfe der Bieter zu kennen und sie zum Gegenstand der Bieterverhandlungen zu machen.</v>
      </c>
      <c r="F194" s="45" t="str">
        <f aca="false">IF($R194="","",INDEX(Anforderungen!$G:$G,$R194))</f>
        <v>Können Sie bestätigen, dass Bieter in späteren Phasen über dem in Dokument A6 angegebenen „Verhandlungsbedarf“ hinaus weitere Anmerkungen zu den Hauptverträgen machen dürfen?</v>
      </c>
      <c r="G194" s="45" t="str">
        <f aca="false">IF($R194="","",INDEX(Anforderungen!$I:$I,$R194))</f>
        <v>offen</v>
      </c>
      <c r="H194" s="45" t="str">
        <f aca="false">IF($R194="","",INDEX(Anforderungen!$J:$J,$R194))</f>
        <v>–</v>
      </c>
      <c r="I194" s="45" t="str">
        <f aca="false">IF($R194="","",INDEX(Anforderungen!$K:$K,$R194))</f>
        <v>trifft nicht zu</v>
      </c>
      <c r="J194" s="46" t="n">
        <f aca="false">IF($R194="","",INDEX(Anforderungen!$L:$L,$R194))</f>
        <v>0</v>
      </c>
      <c r="K194" s="45" t="str">
        <f aca="false">IF($R194="","",INDEX(Anforderungen!$M:$M,$R194))</f>
        <v>Automatisch ausgewertet: Betrifft das Vergabeverfahren (Angebot, Wertung, Unterlagen), nicht die zu erbringende Leistung. Keiner Komponente zugeordnet.</v>
      </c>
      <c r="R194" s="0" t="n">
        <f aca="false">IFERROR(MATCH(ROWS($A$16:$A194),Anforderungen!$O$7:$O$2000,0)+6,"")</f>
        <v>185</v>
      </c>
    </row>
    <row r="195" customFormat="false" ht="30" hidden="false" customHeight="true" outlineLevel="0" collapsed="false">
      <c r="A195" s="45" t="str">
        <f aca="false">IF($R195="","",INDEX(Anforderungen!$B:$B,$R195))</f>
        <v>ANF-180</v>
      </c>
      <c r="B195" s="45" t="str">
        <f aca="false">IF($R195="","",INDEX(Anforderungen!$C:$C,$R195))</f>
        <v>Bieterfragenkatalog</v>
      </c>
      <c r="C195" s="45" t="str">
        <f aca="false">IF($R195="","",INDEX(Anforderungen!$D:$D,$R195))</f>
        <v>Nr. 128 / S. 11</v>
      </c>
      <c r="D195" s="45" t="str">
        <f aca="false">IF($R195="","",INDEX(Anforderungen!$E:$E,$R195))</f>
        <v>Vergabeverfahren &amp; Angebot</v>
      </c>
      <c r="E195" s="45" t="str">
        <f aca="false">IF($R195="","",INDEX(Anforderungen!$F:$F,$R195))</f>
        <v>Verneint: es gibt keinen Mindestpreis.</v>
      </c>
      <c r="F195" s="45" t="str">
        <f aca="false">IF($R195="","",INDEX(Anforderungen!$G:$G,$R195))</f>
        <v>Gibt es einen Mindestpreis für das Bau- und Betreiberentgeld, die von den Bietern festgelegt werden müssen? Oder dürfen die Bieter das Geschäftsrisiko selbst tragen, wenn sie hohe Einnahmen aus dem Stromverkauf erwarten?</v>
      </c>
      <c r="G195" s="45" t="str">
        <f aca="false">IF($R195="","",INDEX(Anforderungen!$I:$I,$R195))</f>
        <v>offen</v>
      </c>
      <c r="H195" s="45" t="str">
        <f aca="false">IF($R195="","",INDEX(Anforderungen!$J:$J,$R195))</f>
        <v>–</v>
      </c>
      <c r="I195" s="45" t="str">
        <f aca="false">IF($R195="","",INDEX(Anforderungen!$K:$K,$R195))</f>
        <v>trifft nicht zu</v>
      </c>
      <c r="J195" s="46" t="n">
        <f aca="false">IF($R195="","",INDEX(Anforderungen!$L:$L,$R195))</f>
        <v>0</v>
      </c>
      <c r="K195" s="45" t="str">
        <f aca="false">IF($R195="","",INDEX(Anforderungen!$M:$M,$R195))</f>
        <v>Automatisch ausgewertet: Betrifft das Vergabeverfahren (Angebot, Wertung, Unterlagen), nicht die zu erbringende Leistung. Keiner Komponente zugeordnet.</v>
      </c>
      <c r="R195" s="0" t="n">
        <f aca="false">IFERROR(MATCH(ROWS($A$16:$A195),Anforderungen!$O$7:$O$2000,0)+6,"")</f>
        <v>186</v>
      </c>
    </row>
    <row r="196" customFormat="false" ht="30" hidden="false" customHeight="true" outlineLevel="0" collapsed="false">
      <c r="A196" s="45" t="str">
        <f aca="false">IF($R196="","",INDEX(Anforderungen!$B:$B,$R196))</f>
        <v>ANF-181</v>
      </c>
      <c r="B196" s="45" t="str">
        <f aca="false">IF($R196="","",INDEX(Anforderungen!$C:$C,$R196))</f>
        <v>Bieterfragenkatalog</v>
      </c>
      <c r="C196" s="45" t="str">
        <f aca="false">IF($R196="","",INDEX(Anforderungen!$D:$D,$R196))</f>
        <v>Nr. 129 / S. 11</v>
      </c>
      <c r="D196" s="45" t="str">
        <f aca="false">IF($R196="","",INDEX(Anforderungen!$E:$E,$R196))</f>
        <v>Netzanschluss &amp; Energie</v>
      </c>
      <c r="E196" s="45" t="str">
        <f aca="false">IF($R196="","",INDEX(Anforderungen!$F:$F,$R196))</f>
        <v>Klarstellung: Siehe Antwort auf die Bieterfragen 45-47. Der AG wird den Bietern die entsprechenden Infromationen zur Verfügung stellen, sobald dies möglich ist.</v>
      </c>
      <c r="F196" s="45" t="str">
        <f aca="false">IF($R196="","",INDEX(Anforderungen!$G:$G,$R196))</f>
        <v>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v>
      </c>
      <c r="G196" s="45" t="str">
        <f aca="false">IF($R196="","",INDEX(Anforderungen!$I:$I,$R196))</f>
        <v>offen</v>
      </c>
      <c r="H196" s="45" t="str">
        <f aca="false">IF($R196="","",INDEX(Anforderungen!$J:$J,$R196))</f>
        <v>–</v>
      </c>
      <c r="I196" s="45" t="str">
        <f aca="false">IF($R196="","",INDEX(Anforderungen!$K:$K,$R196))</f>
        <v>erfasst</v>
      </c>
      <c r="J196" s="46" t="n">
        <f aca="false">IF($R196="","",INDEX(Anforderungen!$L:$L,$R196))</f>
        <v>0</v>
      </c>
      <c r="K196" s="45" t="n">
        <f aca="false">IF($R196="","",INDEX(Anforderungen!$M:$M,$R196))</f>
        <v>0</v>
      </c>
      <c r="R196" s="0" t="n">
        <f aca="false">IFERROR(MATCH(ROWS($A$16:$A196),Anforderungen!$O$7:$O$2000,0)+6,"")</f>
        <v>187</v>
      </c>
    </row>
    <row r="197" customFormat="false" ht="30" hidden="false" customHeight="true" outlineLevel="0" collapsed="false">
      <c r="A197" s="45" t="str">
        <f aca="false">IF($R197="","",INDEX(Anforderungen!$B:$B,$R197))</f>
        <v>ANF-182</v>
      </c>
      <c r="B197" s="45" t="str">
        <f aca="false">IF($R197="","",INDEX(Anforderungen!$C:$C,$R197))</f>
        <v>Bieterfragenkatalog</v>
      </c>
      <c r="C197" s="45" t="str">
        <f aca="false">IF($R197="","",INDEX(Anforderungen!$D:$D,$R197))</f>
        <v>Nr. 130 / S. 11</v>
      </c>
      <c r="D197" s="45" t="str">
        <f aca="false">IF($R197="","",INDEX(Anforderungen!$E:$E,$R197))</f>
        <v>Vertrag &amp; Recht</v>
      </c>
      <c r="E197" s="45" t="str">
        <f aca="false">IF($R197="","",INDEX(Anforderungen!$F:$F,$R197))</f>
        <v>Bestätigt: der AG muss der Weitergabe der Informationen zustimmen. Wir bitten Sie auch für solche Anfragen die Nachrichtenfunktion des Vergabeportals zu nutzen.</v>
      </c>
      <c r="F197" s="45" t="str">
        <f aca="false">IF($R197="","",INDEX(Anforderungen!$G:$G,$R197))</f>
        <v>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v>
      </c>
      <c r="G197" s="45" t="str">
        <f aca="false">IF($R197="","",INDEX(Anforderungen!$I:$I,$R197))</f>
        <v>offen</v>
      </c>
      <c r="H197" s="45" t="str">
        <f aca="false">IF($R197="","",INDEX(Anforderungen!$J:$J,$R197))</f>
        <v>–</v>
      </c>
      <c r="I197" s="45" t="str">
        <f aca="false">IF($R197="","",INDEX(Anforderungen!$K:$K,$R197))</f>
        <v>erfasst</v>
      </c>
      <c r="J197" s="46" t="n">
        <f aca="false">IF($R197="","",INDEX(Anforderungen!$L:$L,$R197))</f>
        <v>0</v>
      </c>
      <c r="K197" s="45" t="n">
        <f aca="false">IF($R197="","",INDEX(Anforderungen!$M:$M,$R197))</f>
        <v>0</v>
      </c>
      <c r="R197" s="0" t="n">
        <f aca="false">IFERROR(MATCH(ROWS($A$16:$A197),Anforderungen!$O$7:$O$2000,0)+6,"")</f>
        <v>188</v>
      </c>
    </row>
    <row r="198" customFormat="false" ht="30" hidden="false" customHeight="true" outlineLevel="0" collapsed="false">
      <c r="A198" s="45" t="str">
        <f aca="false">IF($R198="","",INDEX(Anforderungen!$B:$B,$R198))</f>
        <v>ANF-183</v>
      </c>
      <c r="B198" s="45" t="str">
        <f aca="false">IF($R198="","",INDEX(Anforderungen!$C:$C,$R198))</f>
        <v>Bieterfragenkatalog</v>
      </c>
      <c r="C198" s="45" t="str">
        <f aca="false">IF($R198="","",INDEX(Anforderungen!$D:$D,$R198))</f>
        <v>Nr. 131 / S. 11</v>
      </c>
      <c r="D198" s="45" t="str">
        <f aca="false">IF($R198="","",INDEX(Anforderungen!$E:$E,$R198))</f>
        <v>Vertrag &amp; Recht</v>
      </c>
      <c r="E198" s="45" t="str">
        <f aca="false">IF($R198="","",INDEX(Anforderungen!$F:$F,$R198))</f>
        <v>Verneint: die ausdrücklich geregelten Vertragsstrafen sind von der Haftungsbeschränkung in § 50 nicht umfasst.</v>
      </c>
      <c r="F198" s="45" t="str">
        <f aca="false">IF($R198="","",INDEX(Anforderungen!$G:$G,$R198))</f>
        <v>Sind Vertragsstrafen während der Betriebsphase, wie sie z. B. in § 21 oder § 48 definiert sind, auf die in § 50 festgelegte maximale allgemeine Haftung anzurechnen?</v>
      </c>
      <c r="G198" s="45" t="str">
        <f aca="false">IF($R198="","",INDEX(Anforderungen!$I:$I,$R198))</f>
        <v>offen</v>
      </c>
      <c r="H198" s="45" t="str">
        <f aca="false">IF($R198="","",INDEX(Anforderungen!$J:$J,$R198))</f>
        <v>–</v>
      </c>
      <c r="I198" s="45" t="str">
        <f aca="false">IF($R198="","",INDEX(Anforderungen!$K:$K,$R198))</f>
        <v>erfasst</v>
      </c>
      <c r="J198" s="46" t="n">
        <f aca="false">IF($R198="","",INDEX(Anforderungen!$L:$L,$R198))</f>
        <v>0</v>
      </c>
      <c r="K198" s="45" t="n">
        <f aca="false">IF($R198="","",INDEX(Anforderungen!$M:$M,$R198))</f>
        <v>0</v>
      </c>
      <c r="R198" s="0" t="n">
        <f aca="false">IFERROR(MATCH(ROWS($A$16:$A198),Anforderungen!$O$7:$O$2000,0)+6,"")</f>
        <v>189</v>
      </c>
    </row>
    <row r="199" customFormat="false" ht="30" hidden="false" customHeight="true" outlineLevel="0" collapsed="false">
      <c r="A199" s="45" t="str">
        <f aca="false">IF($R199="","",INDEX(Anforderungen!$B:$B,$R199))</f>
        <v>ANF-184</v>
      </c>
      <c r="B199" s="45" t="str">
        <f aca="false">IF($R199="","",INDEX(Anforderungen!$C:$C,$R199))</f>
        <v>Bieterfragenkatalog</v>
      </c>
      <c r="C199" s="45" t="str">
        <f aca="false">IF($R199="","",INDEX(Anforderungen!$D:$D,$R199))</f>
        <v>Nr. 132 / S. 11</v>
      </c>
      <c r="D199" s="45" t="str">
        <f aca="false">IF($R199="","",INDEX(Anforderungen!$E:$E,$R199))</f>
        <v>Vertrag &amp; Recht</v>
      </c>
      <c r="E199" s="45" t="str">
        <f aca="false">IF($R199="","",INDEX(Anforderungen!$F:$F,$R199))</f>
        <v>Klarstellung: Eine Regelung bestimmter Kriterien/Gründe für die Ziehung der Vertragsverlängerungsoption nach §52 Abs.</v>
      </c>
      <c r="F199" s="45" t="str">
        <f aca="false">IF($R199="","",INDEX(Anforderungen!$G:$G,$R199))</f>
        <v>Können Sie uns genauere Informationen über die Bedingungen der optionalen Vertragsverlängerung gemäß §52 geben? Die Verlängerungsoption muss zumindest teilweise auf objektiven Kriterien basieren, damit wir sie in unser Angebot integrieren können.</v>
      </c>
      <c r="G199" s="45" t="str">
        <f aca="false">IF($R199="","",INDEX(Anforderungen!$I:$I,$R199))</f>
        <v>offen</v>
      </c>
      <c r="H199" s="45" t="str">
        <f aca="false">IF($R199="","",INDEX(Anforderungen!$J:$J,$R199))</f>
        <v>–</v>
      </c>
      <c r="I199" s="45" t="str">
        <f aca="false">IF($R199="","",INDEX(Anforderungen!$K:$K,$R199))</f>
        <v>erfasst</v>
      </c>
      <c r="J199" s="46" t="n">
        <f aca="false">IF($R199="","",INDEX(Anforderungen!$L:$L,$R199))</f>
        <v>0</v>
      </c>
      <c r="K199" s="45" t="n">
        <f aca="false">IF($R199="","",INDEX(Anforderungen!$M:$M,$R199))</f>
        <v>0</v>
      </c>
      <c r="R199" s="0" t="n">
        <f aca="false">IFERROR(MATCH(ROWS($A$16:$A199),Anforderungen!$O$7:$O$2000,0)+6,"")</f>
        <v>190</v>
      </c>
    </row>
    <row r="200" customFormat="false" ht="30" hidden="false" customHeight="true" outlineLevel="0" collapsed="false">
      <c r="A200" s="45" t="str">
        <f aca="false">IF($R200="","",INDEX(Anforderungen!$B:$B,$R200))</f>
        <v>ANF-185</v>
      </c>
      <c r="B200" s="45" t="str">
        <f aca="false">IF($R200="","",INDEX(Anforderungen!$C:$C,$R200))</f>
        <v>Bieterfragenkatalog</v>
      </c>
      <c r="C200" s="45" t="str">
        <f aca="false">IF($R200="","",INDEX(Anforderungen!$D:$D,$R200))</f>
        <v>Nr. 133 / S. 11</v>
      </c>
      <c r="D200" s="45" t="str">
        <f aca="false">IF($R200="","",INDEX(Anforderungen!$E:$E,$R200))</f>
        <v>Netzanschluss &amp; Energie</v>
      </c>
      <c r="E200" s="45" t="str">
        <f aca="false">IF($R200="","",INDEX(Anforderungen!$F:$F,$R200))</f>
        <v>Klarstellung: Der Auftragnehmer muss das Durchleitungsmodell anwenden, sofern Mobilitätsdienstleister für Ladevorgänge ihrer Kunden davon Gebrauch machen wollen.</v>
      </c>
      <c r="F200" s="45" t="str">
        <f aca="false">IF($R200="","",INDEX(Anforderungen!$G:$G,$R200))</f>
        <v>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v>
      </c>
      <c r="G200" s="45" t="str">
        <f aca="false">IF($R200="","",INDEX(Anforderungen!$I:$I,$R200))</f>
        <v>offen</v>
      </c>
      <c r="H200" s="45" t="str">
        <f aca="false">IF($R200="","",INDEX(Anforderungen!$J:$J,$R200))</f>
        <v>–</v>
      </c>
      <c r="I200" s="45" t="str">
        <f aca="false">IF($R200="","",INDEX(Anforderungen!$K:$K,$R200))</f>
        <v>erfasst</v>
      </c>
      <c r="J200" s="46" t="n">
        <f aca="false">IF($R200="","",INDEX(Anforderungen!$L:$L,$R200))</f>
        <v>0</v>
      </c>
      <c r="K200" s="45" t="n">
        <f aca="false">IF($R200="","",INDEX(Anforderungen!$M:$M,$R200))</f>
        <v>0</v>
      </c>
      <c r="R200" s="0" t="n">
        <f aca="false">IFERROR(MATCH(ROWS($A$16:$A200),Anforderungen!$O$7:$O$2000,0)+6,"")</f>
        <v>191</v>
      </c>
    </row>
    <row r="201" customFormat="false" ht="30" hidden="false" customHeight="true" outlineLevel="0" collapsed="false">
      <c r="A201" s="45" t="str">
        <f aca="false">IF($R201="","",INDEX(Anforderungen!$B:$B,$R201))</f>
        <v>ANF-186</v>
      </c>
      <c r="B201" s="45" t="str">
        <f aca="false">IF($R201="","",INDEX(Anforderungen!$C:$C,$R201))</f>
        <v>Bieterfragenkatalog</v>
      </c>
      <c r="C201" s="45" t="str">
        <f aca="false">IF($R201="","",INDEX(Anforderungen!$D:$D,$R201))</f>
        <v>Nr. 134 / S. 11</v>
      </c>
      <c r="D201" s="45" t="str">
        <f aca="false">IF($R201="","",INDEX(Anforderungen!$E:$E,$R201))</f>
        <v>Vergabeverfahren &amp; Angebot</v>
      </c>
      <c r="E201" s="45" t="str">
        <f aca="false">IF($R201="","",INDEX(Anforderungen!$F:$F,$R201))</f>
        <v>Verweis des Auftraggebers auf die Antwort zu Bieterfrage 103.</v>
      </c>
      <c r="F201" s="45" t="str">
        <f aca="false">IF($R201="","",INDEX(Anforderungen!$G:$G,$R201))</f>
        <v>Ist erlaubt, sofern technisch möglich, das Laden von E-Autos oder leichten Fahrzeugen auf der Infrastruktur zuzulassen?</v>
      </c>
      <c r="G201" s="45" t="str">
        <f aca="false">IF($R201="","",INDEX(Anforderungen!$I:$I,$R201))</f>
        <v>offen</v>
      </c>
      <c r="H201" s="45" t="str">
        <f aca="false">IF($R201="","",INDEX(Anforderungen!$J:$J,$R201))</f>
        <v>–</v>
      </c>
      <c r="I201" s="45" t="str">
        <f aca="false">IF($R201="","",INDEX(Anforderungen!$K:$K,$R201))</f>
        <v>trifft nicht zu</v>
      </c>
      <c r="J201" s="46" t="n">
        <f aca="false">IF($R201="","",INDEX(Anforderungen!$L:$L,$R201))</f>
        <v>0</v>
      </c>
      <c r="K201" s="45" t="str">
        <f aca="false">IF($R201="","",INDEX(Anforderungen!$M:$M,$R201))</f>
        <v>Automatisch ausgewertet: Die Antwort des Auftraggebers verweist ausschließlich auf Bieterfrage 103. Keine eigenständige Anforderung – der Inhalt ist unter der dort erfassten Zeile nachzuhalten.</v>
      </c>
      <c r="R201" s="0" t="n">
        <f aca="false">IFERROR(MATCH(ROWS($A$16:$A201),Anforderungen!$O$7:$O$2000,0)+6,"")</f>
        <v>192</v>
      </c>
    </row>
    <row r="202" customFormat="false" ht="30" hidden="false" customHeight="true" outlineLevel="0" collapsed="false">
      <c r="A202" s="45" t="str">
        <f aca="false">IF($R202="","",INDEX(Anforderungen!$B:$B,$R202))</f>
        <v>ANF-187</v>
      </c>
      <c r="B202" s="45" t="str">
        <f aca="false">IF($R202="","",INDEX(Anforderungen!$C:$C,$R202))</f>
        <v>Bieterfragenkatalog</v>
      </c>
      <c r="C202" s="45" t="str">
        <f aca="false">IF($R202="","",INDEX(Anforderungen!$D:$D,$R202))</f>
        <v>Nr. 135 / S. 12</v>
      </c>
      <c r="D202" s="45" t="str">
        <f aca="false">IF($R202="","",INDEX(Anforderungen!$E:$E,$R202))</f>
        <v>Vertrag &amp; Recht</v>
      </c>
      <c r="E202" s="45" t="str">
        <f aca="false">IF($R202="","",INDEX(Anforderungen!$F:$F,$R202))</f>
        <v>Klarstellung: Eine entsprechende Festlegung wird im Vergabeverfahren durch den AG erfolgen.</v>
      </c>
      <c r="F202" s="45" t="str">
        <f aca="false">IF($R202="","",INDEX(Anforderungen!$G:$G,$R202))</f>
        <v>§42. Erfolgt die Rückerstattung in einem Mal oder ist es geplant, die aufkommenden Kosten, ähnlich wie das Errichtungsentgeld, über die restliche Vertragsdauer zu strecken ?</v>
      </c>
      <c r="G202" s="45" t="str">
        <f aca="false">IF($R202="","",INDEX(Anforderungen!$I:$I,$R202))</f>
        <v>offen</v>
      </c>
      <c r="H202" s="45" t="str">
        <f aca="false">IF($R202="","",INDEX(Anforderungen!$J:$J,$R202))</f>
        <v>–</v>
      </c>
      <c r="I202" s="45" t="str">
        <f aca="false">IF($R202="","",INDEX(Anforderungen!$K:$K,$R202))</f>
        <v>erfasst</v>
      </c>
      <c r="J202" s="46" t="n">
        <f aca="false">IF($R202="","",INDEX(Anforderungen!$L:$L,$R202))</f>
        <v>0</v>
      </c>
      <c r="K202" s="45" t="n">
        <f aca="false">IF($R202="","",INDEX(Anforderungen!$M:$M,$R202))</f>
        <v>0</v>
      </c>
      <c r="R202" s="0" t="n">
        <f aca="false">IFERROR(MATCH(ROWS($A$16:$A202),Anforderungen!$O$7:$O$2000,0)+6,"")</f>
        <v>193</v>
      </c>
    </row>
    <row r="203" customFormat="false" ht="30" hidden="false" customHeight="true" outlineLevel="0" collapsed="false">
      <c r="A203" s="45" t="str">
        <f aca="false">IF($R203="","",INDEX(Anforderungen!$B:$B,$R203))</f>
        <v>ANF-188</v>
      </c>
      <c r="B203" s="45" t="str">
        <f aca="false">IF($R203="","",INDEX(Anforderungen!$C:$C,$R203))</f>
        <v>Bieterfragenkatalog</v>
      </c>
      <c r="C203" s="45" t="str">
        <f aca="false">IF($R203="","",INDEX(Anforderungen!$D:$D,$R203))</f>
        <v>Nr. 136 / S. 12</v>
      </c>
      <c r="D203" s="45" t="str">
        <f aca="false">IF($R203="","",INDEX(Anforderungen!$E:$E,$R203))</f>
        <v>Vertrag &amp; Recht</v>
      </c>
      <c r="E203" s="45" t="str">
        <f aca="false">IF($R203="","",INDEX(Anforderungen!$F:$F,$R203))</f>
        <v>Klarstellung: Es ist nicht ausgeschlossen, dass entsprechende Leistungen im sachlichen Zusammenhang mit der vertraglichen Leistung stehen können.</v>
      </c>
      <c r="F203" s="45" t="str">
        <f aca="false">IF($R203="","",INDEX(Anforderungen!$G:$G,$R203))</f>
        <v>§35.1 Können Sie „im sachlichen Zusammenhang“ präzisieren? Sind z.B. Zusatzleistungen wie Snackautomaten, Toiletten oder der Bau von Gebäuden im sachlichen Zusammenhang?</v>
      </c>
      <c r="G203" s="45" t="str">
        <f aca="false">IF($R203="","",INDEX(Anforderungen!$I:$I,$R203))</f>
        <v>offen</v>
      </c>
      <c r="H203" s="45" t="str">
        <f aca="false">IF($R203="","",INDEX(Anforderungen!$J:$J,$R203))</f>
        <v>–</v>
      </c>
      <c r="I203" s="45" t="str">
        <f aca="false">IF($R203="","",INDEX(Anforderungen!$K:$K,$R203))</f>
        <v>erfasst</v>
      </c>
      <c r="J203" s="46" t="n">
        <f aca="false">IF($R203="","",INDEX(Anforderungen!$L:$L,$R203))</f>
        <v>0</v>
      </c>
      <c r="K203" s="45" t="n">
        <f aca="false">IF($R203="","",INDEX(Anforderungen!$M:$M,$R203))</f>
        <v>0</v>
      </c>
      <c r="R203" s="0" t="n">
        <f aca="false">IFERROR(MATCH(ROWS($A$16:$A203),Anforderungen!$O$7:$O$2000,0)+6,"")</f>
        <v>194</v>
      </c>
    </row>
    <row r="204" customFormat="false" ht="30" hidden="false" customHeight="true" outlineLevel="0" collapsed="false">
      <c r="A204" s="45" t="str">
        <f aca="false">IF($R204="","",INDEX(Anforderungen!$B:$B,$R204))</f>
        <v>ANF-189</v>
      </c>
      <c r="B204" s="45" t="str">
        <f aca="false">IF($R204="","",INDEX(Anforderungen!$C:$C,$R204))</f>
        <v>Bieterfragenkatalog</v>
      </c>
      <c r="C204" s="45" t="str">
        <f aca="false">IF($R204="","",INDEX(Anforderungen!$D:$D,$R204))</f>
        <v>Nr. 137 / S. 12</v>
      </c>
      <c r="D204" s="45" t="str">
        <f aca="false">IF($R204="","",INDEX(Anforderungen!$E:$E,$R204))</f>
        <v>Vertrag &amp; Recht</v>
      </c>
      <c r="E204" s="45" t="str">
        <f aca="false">IF($R204="","",INDEX(Anforderungen!$F:$F,$R204))</f>
        <v>Klarstellung: Die Regelungen im Vertrag §35.3 sind abschließend. Soweit der AG 2 die Planungsleistungen beistellt, gelten die dort getroffenen Regelungen.</v>
      </c>
      <c r="F204" s="45" t="str">
        <f aca="false">IF($R204="","",INDEX(Anforderungen!$G:$G,$R204))</f>
        <v>§35.3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v>
      </c>
      <c r="G204" s="45" t="str">
        <f aca="false">IF($R204="","",INDEX(Anforderungen!$I:$I,$R204))</f>
        <v>offen</v>
      </c>
      <c r="H204" s="45" t="str">
        <f aca="false">IF($R204="","",INDEX(Anforderungen!$J:$J,$R204))</f>
        <v>–</v>
      </c>
      <c r="I204" s="45" t="str">
        <f aca="false">IF($R204="","",INDEX(Anforderungen!$K:$K,$R204))</f>
        <v>erfasst</v>
      </c>
      <c r="J204" s="46" t="n">
        <f aca="false">IF($R204="","",INDEX(Anforderungen!$L:$L,$R204))</f>
        <v>0</v>
      </c>
      <c r="K204" s="45" t="n">
        <f aca="false">IF($R204="","",INDEX(Anforderungen!$M:$M,$R204))</f>
        <v>0</v>
      </c>
      <c r="R204" s="0" t="n">
        <f aca="false">IFERROR(MATCH(ROWS($A$16:$A204),Anforderungen!$O$7:$O$2000,0)+6,"")</f>
        <v>195</v>
      </c>
    </row>
    <row r="205" customFormat="false" ht="30" hidden="false" customHeight="true" outlineLevel="0" collapsed="false">
      <c r="A205" s="45" t="str">
        <f aca="false">IF($R205="","",INDEX(Anforderungen!$B:$B,$R205))</f>
        <v>ANF-190</v>
      </c>
      <c r="B205" s="45" t="str">
        <f aca="false">IF($R205="","",INDEX(Anforderungen!$C:$C,$R205))</f>
        <v>Bieterfragenkatalog</v>
      </c>
      <c r="C205" s="45" t="str">
        <f aca="false">IF($R205="","",INDEX(Anforderungen!$D:$D,$R205))</f>
        <v>Nr. 138 / S. 12</v>
      </c>
      <c r="D205" s="45" t="str">
        <f aca="false">IF($R205="","",INDEX(Anforderungen!$E:$E,$R205))</f>
        <v>Netzanschluss &amp; Energie</v>
      </c>
      <c r="E205" s="45" t="str">
        <f aca="false">IF($R205="","",INDEX(Anforderungen!$F:$F,$R205))</f>
        <v>Bestätigt: § 43 Abs. 1 gilt sowohl bei einer Skalierung durch Errichtung zusätzlicher Ladepunkte (§33 Abs.</v>
      </c>
      <c r="F205" s="45" t="str">
        <f aca="false">IF($R205="","",INDEX(Anforderungen!$G:$G,$R205))</f>
        <v>§33.1 &amp; 34.1 Gilt bei der Errichtung neuer Standorte gemäß §33 und §34 auch §43.1?</v>
      </c>
      <c r="G205" s="45" t="str">
        <f aca="false">IF($R205="","",INDEX(Anforderungen!$I:$I,$R205))</f>
        <v>offen</v>
      </c>
      <c r="H205" s="45" t="str">
        <f aca="false">IF($R205="","",INDEX(Anforderungen!$J:$J,$R205))</f>
        <v>–</v>
      </c>
      <c r="I205" s="45" t="str">
        <f aca="false">IF($R205="","",INDEX(Anforderungen!$K:$K,$R205))</f>
        <v>erfasst</v>
      </c>
      <c r="J205" s="46" t="n">
        <f aca="false">IF($R205="","",INDEX(Anforderungen!$L:$L,$R205))</f>
        <v>0</v>
      </c>
      <c r="K205" s="45" t="n">
        <f aca="false">IF($R205="","",INDEX(Anforderungen!$M:$M,$R205))</f>
        <v>0</v>
      </c>
      <c r="R205" s="0" t="n">
        <f aca="false">IFERROR(MATCH(ROWS($A$16:$A205),Anforderungen!$O$7:$O$2000,0)+6,"")</f>
        <v>196</v>
      </c>
    </row>
    <row r="206" customFormat="false" ht="30" hidden="false" customHeight="true" outlineLevel="0" collapsed="false">
      <c r="A206" s="45" t="str">
        <f aca="false">IF($R206="","",INDEX(Anforderungen!$B:$B,$R206))</f>
        <v>ANF-191</v>
      </c>
      <c r="B206" s="45" t="str">
        <f aca="false">IF($R206="","",INDEX(Anforderungen!$C:$C,$R206))</f>
        <v>Bieterfragenkatalog</v>
      </c>
      <c r="C206" s="45" t="str">
        <f aca="false">IF($R206="","",INDEX(Anforderungen!$D:$D,$R206))</f>
        <v>Nr. 139 / S. 12</v>
      </c>
      <c r="D206" s="45" t="str">
        <f aca="false">IF($R206="","",INDEX(Anforderungen!$E:$E,$R206))</f>
        <v>Technik Ladeinfrastruktur</v>
      </c>
      <c r="E206" s="45" t="str">
        <f aca="false">IF($R206="","",INDEX(Anforderungen!$F:$F,$R206))</f>
        <v>Bestätigt: der Auftragnehmer wird automatisch bis zum Ende der Vertragslaufzeit zum Betreiber der neuen Ladepunkte.</v>
      </c>
      <c r="F206" s="45" t="str">
        <f aca="false">IF($R206="","",INDEX(Anforderungen!$G:$G,$R206))</f>
        <v>§33.1 &amp; 34.1 Wird der Auftragnehmer automatisch bis zum Ende des laufenden Vertrags zum Betreiber der neuen Ladepunkte erklärt, mit denselben Vertragsbedingungen? Gilt dies insbesonder, wenn die Ladepunkte von einem Drittanbieter errichtet werden?</v>
      </c>
      <c r="G206" s="45" t="str">
        <f aca="false">IF($R206="","",INDEX(Anforderungen!$I:$I,$R206))</f>
        <v>Zuordnung prüfen</v>
      </c>
      <c r="H206" s="45" t="str">
        <f aca="false">IF($R206="","",INDEX(Anforderungen!$J:$J,$R206))</f>
        <v>Zuordnung prüfen</v>
      </c>
      <c r="I206" s="45" t="str">
        <f aca="false">IF($R206="","",INDEX(Anforderungen!$K:$K,$R206))</f>
        <v>erfasst</v>
      </c>
      <c r="J206" s="46" t="n">
        <f aca="false">IF($R206="","",INDEX(Anforderungen!$L:$L,$R206))</f>
        <v>0</v>
      </c>
      <c r="K206" s="45" t="n">
        <f aca="false">IF($R206="","",INDEX(Anforderungen!$M:$M,$R206))</f>
        <v>0</v>
      </c>
      <c r="R206" s="0" t="n">
        <f aca="false">IFERROR(MATCH(ROWS($A$16:$A206),Anforderungen!$O$7:$O$2000,0)+6,"")</f>
        <v>197</v>
      </c>
    </row>
    <row r="207" customFormat="false" ht="30" hidden="false" customHeight="true" outlineLevel="0" collapsed="false">
      <c r="A207" s="45" t="str">
        <f aca="false">IF($R207="","",INDEX(Anforderungen!$B:$B,$R207))</f>
        <v>ANF-192</v>
      </c>
      <c r="B207" s="45" t="str">
        <f aca="false">IF($R207="","",INDEX(Anforderungen!$C:$C,$R207))</f>
        <v>Bieterfragenkatalog</v>
      </c>
      <c r="C207" s="45" t="str">
        <f aca="false">IF($R207="","",INDEX(Anforderungen!$D:$D,$R207))</f>
        <v>Nr. 140 / S. 12</v>
      </c>
      <c r="D207" s="45" t="str">
        <f aca="false">IF($R207="","",INDEX(Anforderungen!$E:$E,$R207))</f>
        <v>Technik Ladeinfrastruktur</v>
      </c>
      <c r="E207" s="45" t="str">
        <f aca="false">IF($R207="","",INDEX(Anforderungen!$F:$F,$R207))</f>
        <v>Klarstellung: § 33 Abs. 6 verweist wegen der Kosten für Abbau und Stillegung auf § 35, der im Falle einer Beauftragung des Auftragnehmers bzw. im Falle der Koordination der Arbeiten eines Dritten, eine Vergütung vorsieht.</v>
      </c>
      <c r="F207" s="45" t="str">
        <f aca="false">IF($R207="","",INDEX(Anforderungen!$G:$G,$R207))</f>
        <v>§33.6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v>
      </c>
      <c r="G207" s="45" t="str">
        <f aca="false">IF($R207="","",INDEX(Anforderungen!$I:$I,$R207))</f>
        <v>Zuordnung prüfen</v>
      </c>
      <c r="H207" s="45" t="str">
        <f aca="false">IF($R207="","",INDEX(Anforderungen!$J:$J,$R207))</f>
        <v>Zuordnung prüfen</v>
      </c>
      <c r="I207" s="45" t="str">
        <f aca="false">IF($R207="","",INDEX(Anforderungen!$K:$K,$R207))</f>
        <v>erfasst</v>
      </c>
      <c r="J207" s="46" t="n">
        <f aca="false">IF($R207="","",INDEX(Anforderungen!$L:$L,$R207))</f>
        <v>0</v>
      </c>
      <c r="K207" s="45" t="n">
        <f aca="false">IF($R207="","",INDEX(Anforderungen!$M:$M,$R207))</f>
        <v>0</v>
      </c>
      <c r="R207" s="0" t="n">
        <f aca="false">IFERROR(MATCH(ROWS($A$16:$A207),Anforderungen!$O$7:$O$2000,0)+6,"")</f>
        <v>198</v>
      </c>
    </row>
    <row r="208" customFormat="false" ht="30" hidden="false" customHeight="true" outlineLevel="0" collapsed="false">
      <c r="A208" s="45" t="str">
        <f aca="false">IF($R208="","",INDEX(Anforderungen!$B:$B,$R208))</f>
        <v>ANF-193</v>
      </c>
      <c r="B208" s="45" t="str">
        <f aca="false">IF($R208="","",INDEX(Anforderungen!$C:$C,$R208))</f>
        <v>Bieterfragenkatalog</v>
      </c>
      <c r="C208" s="45" t="str">
        <f aca="false">IF($R208="","",INDEX(Anforderungen!$D:$D,$R208))</f>
        <v>Nr. 141 / S. 12</v>
      </c>
      <c r="D208" s="45" t="str">
        <f aca="false">IF($R208="","",INDEX(Anforderungen!$E:$E,$R208))</f>
        <v>Netzanschluss &amp; Energie</v>
      </c>
      <c r="E208" s="45" t="str">
        <f aca="false">IF($R208="","",INDEX(Anforderungen!$F:$F,$R208))</f>
        <v>Klarstellung: Restriktionen für Endnutzer sind praktisch nicht zu erwarten und im Übrigen soweit wie möglich zu vermeiden.</v>
      </c>
      <c r="F208" s="45" t="str">
        <f aca="false">IF($R208="","",INDEX(Anforderungen!$G:$G,$R208))</f>
        <v>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v>
      </c>
      <c r="G208" s="45" t="str">
        <f aca="false">IF($R208="","",INDEX(Anforderungen!$I:$I,$R208))</f>
        <v>offen</v>
      </c>
      <c r="H208" s="45" t="str">
        <f aca="false">IF($R208="","",INDEX(Anforderungen!$J:$J,$R208))</f>
        <v>–</v>
      </c>
      <c r="I208" s="45" t="str">
        <f aca="false">IF($R208="","",INDEX(Anforderungen!$K:$K,$R208))</f>
        <v>erfasst</v>
      </c>
      <c r="J208" s="46" t="n">
        <f aca="false">IF($R208="","",INDEX(Anforderungen!$L:$L,$R208))</f>
        <v>0</v>
      </c>
      <c r="K208" s="45" t="n">
        <f aca="false">IF($R208="","",INDEX(Anforderungen!$M:$M,$R208))</f>
        <v>0</v>
      </c>
      <c r="R208" s="0" t="n">
        <f aca="false">IFERROR(MATCH(ROWS($A$16:$A208),Anforderungen!$O$7:$O$2000,0)+6,"")</f>
        <v>199</v>
      </c>
    </row>
    <row r="209" customFormat="false" ht="30" hidden="false" customHeight="true" outlineLevel="0" collapsed="false">
      <c r="A209" s="45" t="str">
        <f aca="false">IF($R209="","",INDEX(Anforderungen!$B:$B,$R209))</f>
        <v>ANF-194</v>
      </c>
      <c r="B209" s="45" t="str">
        <f aca="false">IF($R209="","",INDEX(Anforderungen!$C:$C,$R209))</f>
        <v>Bieterfragenkatalog</v>
      </c>
      <c r="C209" s="45" t="str">
        <f aca="false">IF($R209="","",INDEX(Anforderungen!$D:$D,$R209))</f>
        <v>Nr. 142 / S. 12</v>
      </c>
      <c r="D209" s="45" t="str">
        <f aca="false">IF($R209="","",INDEX(Anforderungen!$E:$E,$R209))</f>
        <v>Netzanschluss &amp; Energie</v>
      </c>
      <c r="E209" s="45" t="str">
        <f aca="false">IF($R209="","",INDEX(Anforderungen!$F:$F,$R209))</f>
        <v>Verweis des Auftraggebers auf die Antwort zu Bieterfrage 81.</v>
      </c>
      <c r="F209" s="45" t="str">
        <f aca="false">IF($R209="","",INDEX(Anforderungen!$G:$G,$R209))</f>
        <v>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v>
      </c>
      <c r="G209" s="45" t="str">
        <f aca="false">IF($R209="","",INDEX(Anforderungen!$I:$I,$R209))</f>
        <v>offen</v>
      </c>
      <c r="H209" s="45" t="str">
        <f aca="false">IF($R209="","",INDEX(Anforderungen!$J:$J,$R209))</f>
        <v>–</v>
      </c>
      <c r="I209" s="45" t="str">
        <f aca="false">IF($R209="","",INDEX(Anforderungen!$K:$K,$R209))</f>
        <v>trifft nicht zu</v>
      </c>
      <c r="J209" s="46" t="n">
        <f aca="false">IF($R209="","",INDEX(Anforderungen!$L:$L,$R209))</f>
        <v>0</v>
      </c>
      <c r="K209" s="45" t="str">
        <f aca="false">IF($R209="","",INDEX(Anforderungen!$M:$M,$R209))</f>
        <v>Automatisch ausgewertet: Die Antwort des Auftraggebers verweist ausschließlich auf Bieterfrage 81. Keine eigenständige Anforderung – der Inhalt ist unter der dort erfassten Zeile nachzuhalten.</v>
      </c>
      <c r="R209" s="0" t="n">
        <f aca="false">IFERROR(MATCH(ROWS($A$16:$A209),Anforderungen!$O$7:$O$2000,0)+6,"")</f>
        <v>200</v>
      </c>
    </row>
    <row r="210" customFormat="false" ht="30" hidden="false" customHeight="true" outlineLevel="0" collapsed="false">
      <c r="A210" s="45" t="str">
        <f aca="false">IF($R210="","",INDEX(Anforderungen!$B:$B,$R210))</f>
        <v>ANF-195</v>
      </c>
      <c r="B210" s="45" t="str">
        <f aca="false">IF($R210="","",INDEX(Anforderungen!$C:$C,$R210))</f>
        <v>Bieterfragenkatalog</v>
      </c>
      <c r="C210" s="45" t="str">
        <f aca="false">IF($R210="","",INDEX(Anforderungen!$D:$D,$R210))</f>
        <v>Nr. 143 / S. 12</v>
      </c>
      <c r="D210" s="45" t="str">
        <f aca="false">IF($R210="","",INDEX(Anforderungen!$E:$E,$R210))</f>
        <v>Vertrag &amp; Recht</v>
      </c>
      <c r="E210" s="45" t="str">
        <f aca="false">IF($R210="","",INDEX(Anforderungen!$F:$F,$R210))</f>
        <v>Klarstellung: Siehe §55 Abs. 2: "Im Falle einer Vertragsbeendigung durch Ablauf der (gegebenenfalls verlängerten) Vertragslaufzeit kann der Auftraggeber 2 den Auftragnehmer gemäß den Regelungen zur Ausführung geänderter oder zusätzlicher …</v>
      </c>
      <c r="F210" s="45" t="str">
        <f aca="false">IF($R210="","",INDEX(Anforderungen!$G:$G,$R210))</f>
        <v>Müssen die Bieter davon ausgehen, dass die Infrastruktur bei Vertragsende stillgelegt wird? Falls ja, sind diese Kosten vom Bieter mit einzuberechnen?</v>
      </c>
      <c r="G210" s="45" t="str">
        <f aca="false">IF($R210="","",INDEX(Anforderungen!$I:$I,$R210))</f>
        <v>offen</v>
      </c>
      <c r="H210" s="45" t="str">
        <f aca="false">IF($R210="","",INDEX(Anforderungen!$J:$J,$R210))</f>
        <v>–</v>
      </c>
      <c r="I210" s="45" t="str">
        <f aca="false">IF($R210="","",INDEX(Anforderungen!$K:$K,$R210))</f>
        <v>erfasst</v>
      </c>
      <c r="J210" s="46" t="n">
        <f aca="false">IF($R210="","",INDEX(Anforderungen!$L:$L,$R210))</f>
        <v>0</v>
      </c>
      <c r="K210" s="45" t="n">
        <f aca="false">IF($R210="","",INDEX(Anforderungen!$M:$M,$R210))</f>
        <v>0</v>
      </c>
      <c r="R210" s="0" t="n">
        <f aca="false">IFERROR(MATCH(ROWS($A$16:$A210),Anforderungen!$O$7:$O$2000,0)+6,"")</f>
        <v>201</v>
      </c>
    </row>
    <row r="211" customFormat="false" ht="30" hidden="false" customHeight="true" outlineLevel="0" collapsed="false">
      <c r="A211" s="45" t="str">
        <f aca="false">IF($R211="","",INDEX(Anforderungen!$B:$B,$R211))</f>
        <v>ANF-196</v>
      </c>
      <c r="B211" s="45" t="str">
        <f aca="false">IF($R211="","",INDEX(Anforderungen!$C:$C,$R211))</f>
        <v>Bieterfragenkatalog</v>
      </c>
      <c r="C211" s="45" t="str">
        <f aca="false">IF($R211="","",INDEX(Anforderungen!$D:$D,$R211))</f>
        <v>Nr. 144 / S. 12</v>
      </c>
      <c r="D211" s="45" t="str">
        <f aca="false">IF($R211="","",INDEX(Anforderungen!$E:$E,$R211))</f>
        <v>Reservierung</v>
      </c>
      <c r="E211" s="45" t="str">
        <f aca="false">IF($R211="","",INDEX(Anforderungen!$F:$F,$R211))</f>
        <v>Klarstellung: Der AG bittet um Konkretisierung, welche Probleme aus Sicht des Bieters zu erwarten sind. Dies kann im Rahmen des Verhanldungsbedarfs mit dem Erstangebot erfolgen.</v>
      </c>
      <c r="F211" s="45" t="str">
        <f aca="false">IF($R211="","",INDEX(Anforderungen!$G:$G,$R211))</f>
        <v>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v>
      </c>
      <c r="G211" s="45" t="str">
        <f aca="false">IF($R211="","",INDEX(Anforderungen!$I:$I,$R211))</f>
        <v>eRound</v>
      </c>
      <c r="H211" s="45" t="str">
        <f aca="false">IF($R211="","",INDEX(Anforderungen!$J:$J,$R211))</f>
        <v>OCPI Buchungskalender</v>
      </c>
      <c r="I211" s="45" t="str">
        <f aca="false">IF($R211="","",INDEX(Anforderungen!$K:$K,$R211))</f>
        <v>erfasst</v>
      </c>
      <c r="J211" s="46" t="n">
        <f aca="false">IF($R211="","",INDEX(Anforderungen!$L:$L,$R211))</f>
        <v>0</v>
      </c>
      <c r="K211" s="45" t="n">
        <f aca="false">IF($R211="","",INDEX(Anforderungen!$M:$M,$R211))</f>
        <v>0</v>
      </c>
      <c r="R211" s="0" t="n">
        <f aca="false">IFERROR(MATCH(ROWS($A$16:$A211),Anforderungen!$O$7:$O$2000,0)+6,"")</f>
        <v>202</v>
      </c>
    </row>
    <row r="212" customFormat="false" ht="30" hidden="false" customHeight="true" outlineLevel="0" collapsed="false">
      <c r="A212" s="45" t="str">
        <f aca="false">IF($R212="","",INDEX(Anforderungen!$B:$B,$R212))</f>
        <v>ANF-197</v>
      </c>
      <c r="B212" s="45" t="str">
        <f aca="false">IF($R212="","",INDEX(Anforderungen!$C:$C,$R212))</f>
        <v>Bieterfragenkatalog</v>
      </c>
      <c r="C212" s="45" t="str">
        <f aca="false">IF($R212="","",INDEX(Anforderungen!$D:$D,$R212))</f>
        <v>Nr. 145 / S. 12</v>
      </c>
      <c r="D212" s="45" t="str">
        <f aca="false">IF($R212="","",INDEX(Anforderungen!$E:$E,$R212))</f>
        <v>Netzanschluss &amp; Energie</v>
      </c>
      <c r="E212" s="45" t="str">
        <f aca="false">IF($R212="","",INDEX(Anforderungen!$F:$F,$R212))</f>
        <v>Klarstellung: Die Mechanik des Durchleitungsmodells wird in der Anlage 14 beschrieben. Sie kann zum Gegenstand des Verhandlungsbedarfs gemacht werden.</v>
      </c>
      <c r="F212" s="45" t="str">
        <f aca="false">IF($R212="","",INDEX(Anforderungen!$G:$G,$R212))</f>
        <v>Wir bitten um präziesere Angaben zu den erwarteten Veranwortlichkeiten, finanziellen Flüssen und dem Datenaustausch im Durchleitungsmodell. Insbesondere: Welchen Spielraum hat der Ladepunktbetreiber, um im Durchleitungsmodell eine Marge pro verkaufter kWh Strom zu erhalten?</v>
      </c>
      <c r="G212" s="45" t="str">
        <f aca="false">IF($R212="","",INDEX(Anforderungen!$I:$I,$R212))</f>
        <v>offen</v>
      </c>
      <c r="H212" s="45" t="str">
        <f aca="false">IF($R212="","",INDEX(Anforderungen!$J:$J,$R212))</f>
        <v>–</v>
      </c>
      <c r="I212" s="45" t="str">
        <f aca="false">IF($R212="","",INDEX(Anforderungen!$K:$K,$R212))</f>
        <v>erfasst</v>
      </c>
      <c r="J212" s="46" t="n">
        <f aca="false">IF($R212="","",INDEX(Anforderungen!$L:$L,$R212))</f>
        <v>0</v>
      </c>
      <c r="K212" s="45" t="n">
        <f aca="false">IF($R212="","",INDEX(Anforderungen!$M:$M,$R212))</f>
        <v>0</v>
      </c>
      <c r="R212" s="0" t="n">
        <f aca="false">IFERROR(MATCH(ROWS($A$16:$A212),Anforderungen!$O$7:$O$2000,0)+6,"")</f>
        <v>203</v>
      </c>
    </row>
    <row r="213" customFormat="false" ht="30" hidden="false" customHeight="true" outlineLevel="0" collapsed="false">
      <c r="A213" s="45" t="str">
        <f aca="false">IF($R213="","",INDEX(Anforderungen!$B:$B,$R213))</f>
        <v>ANF-198</v>
      </c>
      <c r="B213" s="45" t="str">
        <f aca="false">IF($R213="","",INDEX(Anforderungen!$C:$C,$R213))</f>
        <v>Bieterfragenkatalog</v>
      </c>
      <c r="C213" s="45" t="str">
        <f aca="false">IF($R213="","",INDEX(Anforderungen!$D:$D,$R213))</f>
        <v>Nr. 146 / S. 12</v>
      </c>
      <c r="D213" s="45" t="str">
        <f aca="false">IF($R213="","",INDEX(Anforderungen!$E:$E,$R213))</f>
        <v>Flächen &amp; Genehmigungen</v>
      </c>
      <c r="E213" s="45" t="str">
        <f aca="false">IF($R213="","",INDEX(Anforderungen!$F:$F,$R213))</f>
        <v>Klarstellung: Zusätzliche EInrichtungen, wie die genannten, sind nicht zu planen. Das vom AG beschriebene Leistungssoll ist abschließend.</v>
      </c>
      <c r="F213" s="45" t="str">
        <f aca="false">IF($R213="","",INDEX(Anforderungen!$G:$G,$R213))</f>
        <v>Besitzen manche der Standorte bereits Einrichtungen in Betrieb (z.B. Sanitäranlagen, Bänke, Grünflächen), oder müssen diese grundsätzlich auch vom Auftragnehmer mitgeplant werden?</v>
      </c>
      <c r="G213" s="45" t="str">
        <f aca="false">IF($R213="","",INDEX(Anforderungen!$I:$I,$R213))</f>
        <v>offen</v>
      </c>
      <c r="H213" s="45" t="str">
        <f aca="false">IF($R213="","",INDEX(Anforderungen!$J:$J,$R213))</f>
        <v>–</v>
      </c>
      <c r="I213" s="45" t="str">
        <f aca="false">IF($R213="","",INDEX(Anforderungen!$K:$K,$R213))</f>
        <v>erfasst</v>
      </c>
      <c r="J213" s="46" t="n">
        <f aca="false">IF($R213="","",INDEX(Anforderungen!$L:$L,$R213))</f>
        <v>0</v>
      </c>
      <c r="K213" s="45" t="n">
        <f aca="false">IF($R213="","",INDEX(Anforderungen!$M:$M,$R213))</f>
        <v>0</v>
      </c>
      <c r="R213" s="0" t="n">
        <f aca="false">IFERROR(MATCH(ROWS($A$16:$A213),Anforderungen!$O$7:$O$2000,0)+6,"")</f>
        <v>204</v>
      </c>
    </row>
    <row r="214" customFormat="false" ht="30" hidden="false" customHeight="true" outlineLevel="0" collapsed="false">
      <c r="A214" s="45" t="str">
        <f aca="false">IF($R214="","",INDEX(Anforderungen!$B:$B,$R214))</f>
        <v>ANF-199</v>
      </c>
      <c r="B214" s="45" t="str">
        <f aca="false">IF($R214="","",INDEX(Anforderungen!$C:$C,$R214))</f>
        <v>Bieterfragenkatalog</v>
      </c>
      <c r="C214" s="45" t="str">
        <f aca="false">IF($R214="","",INDEX(Anforderungen!$D:$D,$R214))</f>
        <v>Nr. 147 / S. 13</v>
      </c>
      <c r="D214" s="45" t="str">
        <f aca="false">IF($R214="","",INDEX(Anforderungen!$E:$E,$R214))</f>
        <v>Netzanschluss &amp; Energie</v>
      </c>
      <c r="E214" s="45" t="str">
        <f aca="false">IF($R214="","",INDEX(Anforderungen!$F:$F,$R214))</f>
        <v>Klarstellung: Siehe hierzu die Antwort auf die Bieterfrage 78. Die jeweilgen Rastanlagen sollen über einen eigenen Netzanschluss angeschlossen werden.</v>
      </c>
      <c r="F214" s="45" t="str">
        <f aca="false">IF($R214="","",INDEX(Anforderungen!$G:$G,$R214))</f>
        <v>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v>
      </c>
      <c r="G214" s="45" t="str">
        <f aca="false">IF($R214="","",INDEX(Anforderungen!$I:$I,$R214))</f>
        <v>offen</v>
      </c>
      <c r="H214" s="45" t="str">
        <f aca="false">IF($R214="","",INDEX(Anforderungen!$J:$J,$R214))</f>
        <v>–</v>
      </c>
      <c r="I214" s="45" t="str">
        <f aca="false">IF($R214="","",INDEX(Anforderungen!$K:$K,$R214))</f>
        <v>erfasst</v>
      </c>
      <c r="J214" s="46" t="n">
        <f aca="false">IF($R214="","",INDEX(Anforderungen!$L:$L,$R214))</f>
        <v>0</v>
      </c>
      <c r="K214" s="45" t="n">
        <f aca="false">IF($R214="","",INDEX(Anforderungen!$M:$M,$R214))</f>
        <v>0</v>
      </c>
      <c r="R214" s="0" t="n">
        <f aca="false">IFERROR(MATCH(ROWS($A$16:$A214),Anforderungen!$O$7:$O$2000,0)+6,"")</f>
        <v>205</v>
      </c>
    </row>
    <row r="215" customFormat="false" ht="30" hidden="false" customHeight="true" outlineLevel="0" collapsed="false">
      <c r="A215" s="45" t="str">
        <f aca="false">IF($R215="","",INDEX(Anforderungen!$B:$B,$R215))</f>
        <v>ANF-200</v>
      </c>
      <c r="B215" s="45" t="str">
        <f aca="false">IF($R215="","",INDEX(Anforderungen!$C:$C,$R215))</f>
        <v>Bieterfragenkatalog</v>
      </c>
      <c r="C215" s="45" t="str">
        <f aca="false">IF($R215="","",INDEX(Anforderungen!$D:$D,$R215))</f>
        <v>Nr. 148 / S. 13</v>
      </c>
      <c r="D215" s="45" t="str">
        <f aca="false">IF($R215="","",INDEX(Anforderungen!$E:$E,$R215))</f>
        <v>Netzanschluss &amp; Energie</v>
      </c>
      <c r="E215" s="45" t="str">
        <f aca="false">IF($R215="","",INDEX(Anforderungen!$F:$F,$R215))</f>
        <v>Klarstellung: Siehe hierzu die Antwort auf die Bieterfrage 78. Die jeweilgen Rastanlagen sollen über einen eigenen Netzanschluss angeschlossen werden.</v>
      </c>
      <c r="F215" s="45" t="str">
        <f aca="false">IF($R215="","",INDEX(Anforderungen!$G:$G,$R215))</f>
        <v>Wir vermuten, dass bei einigen Rastplätzen durch vorherige Maßnahmen bereits Querungen hergestellt wurden, werden diese ggf. nutzbar sein?</v>
      </c>
      <c r="G215" s="45" t="str">
        <f aca="false">IF($R215="","",INDEX(Anforderungen!$I:$I,$R215))</f>
        <v>offen</v>
      </c>
      <c r="H215" s="45" t="str">
        <f aca="false">IF($R215="","",INDEX(Anforderungen!$J:$J,$R215))</f>
        <v>–</v>
      </c>
      <c r="I215" s="45" t="str">
        <f aca="false">IF($R215="","",INDEX(Anforderungen!$K:$K,$R215))</f>
        <v>erfasst</v>
      </c>
      <c r="J215" s="46" t="n">
        <f aca="false">IF($R215="","",INDEX(Anforderungen!$L:$L,$R215))</f>
        <v>0</v>
      </c>
      <c r="K215" s="45" t="n">
        <f aca="false">IF($R215="","",INDEX(Anforderungen!$M:$M,$R215))</f>
        <v>0</v>
      </c>
      <c r="R215" s="0" t="n">
        <f aca="false">IFERROR(MATCH(ROWS($A$16:$A215),Anforderungen!$O$7:$O$2000,0)+6,"")</f>
        <v>206</v>
      </c>
    </row>
    <row r="216" customFormat="false" ht="30" hidden="false" customHeight="true" outlineLevel="0" collapsed="false">
      <c r="A216" s="45" t="str">
        <f aca="false">IF($R216="","",INDEX(Anforderungen!$B:$B,$R216))</f>
        <v>ANF-201</v>
      </c>
      <c r="B216" s="45" t="str">
        <f aca="false">IF($R216="","",INDEX(Anforderungen!$C:$C,$R216))</f>
        <v>Bieterfragenkatalog</v>
      </c>
      <c r="C216" s="45" t="str">
        <f aca="false">IF($R216="","",INDEX(Anforderungen!$D:$D,$R216))</f>
        <v>Nr. 149 / S. 13</v>
      </c>
      <c r="D216" s="45" t="str">
        <f aca="false">IF($R216="","",INDEX(Anforderungen!$E:$E,$R216))</f>
        <v>Netzanschluss &amp; Energie</v>
      </c>
      <c r="E216" s="45" t="str">
        <f aca="false">IF($R216="","",INDEX(Anforderungen!$F:$F,$R216))</f>
        <v>Klarstellung: Siehe hierzu die Antwort auf die Bieterfrage 78. Die jeweilgen Rastanlagen sollen über einen eigenen Netzanschluss angeschlossen werden.</v>
      </c>
      <c r="F216" s="45" t="str">
        <f aca="false">IF($R216="","",INDEX(Anforderungen!$G:$G,$R216))</f>
        <v>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v>
      </c>
      <c r="G216" s="45" t="str">
        <f aca="false">IF($R216="","",INDEX(Anforderungen!$I:$I,$R216))</f>
        <v>offen</v>
      </c>
      <c r="H216" s="45" t="str">
        <f aca="false">IF($R216="","",INDEX(Anforderungen!$J:$J,$R216))</f>
        <v>–</v>
      </c>
      <c r="I216" s="45" t="str">
        <f aca="false">IF($R216="","",INDEX(Anforderungen!$K:$K,$R216))</f>
        <v>erfasst</v>
      </c>
      <c r="J216" s="46" t="n">
        <f aca="false">IF($R216="","",INDEX(Anforderungen!$L:$L,$R216))</f>
        <v>0</v>
      </c>
      <c r="K216" s="45" t="n">
        <f aca="false">IF($R216="","",INDEX(Anforderungen!$M:$M,$R216))</f>
        <v>0</v>
      </c>
      <c r="R216" s="0" t="n">
        <f aca="false">IFERROR(MATCH(ROWS($A$16:$A216),Anforderungen!$O$7:$O$2000,0)+6,"")</f>
        <v>207</v>
      </c>
    </row>
    <row r="217" customFormat="false" ht="30" hidden="false" customHeight="true" outlineLevel="0" collapsed="false">
      <c r="A217" s="45" t="str">
        <f aca="false">IF($R217="","",INDEX(Anforderungen!$B:$B,$R217))</f>
        <v>ANF-202</v>
      </c>
      <c r="B217" s="45" t="str">
        <f aca="false">IF($R217="","",INDEX(Anforderungen!$C:$C,$R217))</f>
        <v>Bieterfragenkatalog</v>
      </c>
      <c r="C217" s="45" t="str">
        <f aca="false">IF($R217="","",INDEX(Anforderungen!$D:$D,$R217))</f>
        <v>Nr. 150 / S. 13</v>
      </c>
      <c r="D217" s="45" t="str">
        <f aca="false">IF($R217="","",INDEX(Anforderungen!$E:$E,$R217))</f>
        <v>Netzanschluss &amp; Energie</v>
      </c>
      <c r="E217" s="45" t="str">
        <f aca="false">IF($R217="","",INDEX(Anforderungen!$F:$F,$R217))</f>
        <v>Klarstellung: Siehe hierzu die Antwort auf die Bieterfrage 78. Die jeweilgen Rastanlagen sollen über einen eigenen Netzanschluss angeschlossen werden.</v>
      </c>
      <c r="F217" s="45" t="str">
        <f aca="false">IF($R217="","",INDEX(Anforderungen!$G:$G,$R217))</f>
        <v>Die Kalkulation ist maßgeblich von den vorliegenden Bodenklassen abhängig. Bis zu welcher Bodenklasse ist die Kalkulation zu erstellen? Wird der Mehraufwand aus höheren Bodenklassen (z.B. felsiger Boden) gesondert vergütet?</v>
      </c>
      <c r="G217" s="45" t="str">
        <f aca="false">IF($R217="","",INDEX(Anforderungen!$I:$I,$R217))</f>
        <v>offen</v>
      </c>
      <c r="H217" s="45" t="str">
        <f aca="false">IF($R217="","",INDEX(Anforderungen!$J:$J,$R217))</f>
        <v>–</v>
      </c>
      <c r="I217" s="45" t="str">
        <f aca="false">IF($R217="","",INDEX(Anforderungen!$K:$K,$R217))</f>
        <v>erfasst</v>
      </c>
      <c r="J217" s="46" t="n">
        <f aca="false">IF($R217="","",INDEX(Anforderungen!$L:$L,$R217))</f>
        <v>0</v>
      </c>
      <c r="K217" s="45" t="n">
        <f aca="false">IF($R217="","",INDEX(Anforderungen!$M:$M,$R217))</f>
        <v>0</v>
      </c>
      <c r="R217" s="0" t="n">
        <f aca="false">IFERROR(MATCH(ROWS($A$16:$A217),Anforderungen!$O$7:$O$2000,0)+6,"")</f>
        <v>208</v>
      </c>
    </row>
    <row r="218" customFormat="false" ht="30" hidden="false" customHeight="true" outlineLevel="0" collapsed="false">
      <c r="A218" s="45" t="str">
        <f aca="false">IF($R218="","",INDEX(Anforderungen!$B:$B,$R218))</f>
        <v>ANF-203</v>
      </c>
      <c r="B218" s="45" t="str">
        <f aca="false">IF($R218="","",INDEX(Anforderungen!$C:$C,$R218))</f>
        <v>Bieterfragenkatalog</v>
      </c>
      <c r="C218" s="45" t="str">
        <f aca="false">IF($R218="","",INDEX(Anforderungen!$D:$D,$R218))</f>
        <v>Nr. 151 / S. 13</v>
      </c>
      <c r="D218" s="45" t="str">
        <f aca="false">IF($R218="","",INDEX(Anforderungen!$E:$E,$R218))</f>
        <v>Netzanschluss &amp; Energie</v>
      </c>
      <c r="E218" s="45" t="str">
        <f aca="false">IF($R218="","",INDEX(Anforderungen!$F:$F,$R218))</f>
        <v>Klarstellung: Die jeweilgen Rastanlagen sollen über einen eigenen Netzanschluss angeschlossen werden, so dass i.d.R. keine Liegenschaften überquert werden müssen um mit einem Netzanschluss versehen werden zu können.</v>
      </c>
      <c r="F218" s="45" t="str">
        <f aca="false">IF($R218="","",INDEX(Anforderungen!$G:$G,$R218))</f>
        <v>Die Rastplätze liegen z.T. mehrere Kilometer auseinander. Ist davon auszugehen, dass zum Zeitpunkt der geplanten Ausführung alle notwendigen Genehmigungen der zu überquerenden Liegenschaften vorliegen?</v>
      </c>
      <c r="G218" s="45" t="str">
        <f aca="false">IF($R218="","",INDEX(Anforderungen!$I:$I,$R218))</f>
        <v>offen</v>
      </c>
      <c r="H218" s="45" t="str">
        <f aca="false">IF($R218="","",INDEX(Anforderungen!$J:$J,$R218))</f>
        <v>–</v>
      </c>
      <c r="I218" s="45" t="str">
        <f aca="false">IF($R218="","",INDEX(Anforderungen!$K:$K,$R218))</f>
        <v>erfasst</v>
      </c>
      <c r="J218" s="46" t="n">
        <f aca="false">IF($R218="","",INDEX(Anforderungen!$L:$L,$R218))</f>
        <v>0</v>
      </c>
      <c r="K218" s="45" t="n">
        <f aca="false">IF($R218="","",INDEX(Anforderungen!$M:$M,$R218))</f>
        <v>0</v>
      </c>
      <c r="R218" s="0" t="n">
        <f aca="false">IFERROR(MATCH(ROWS($A$16:$A218),Anforderungen!$O$7:$O$2000,0)+6,"")</f>
        <v>209</v>
      </c>
    </row>
    <row r="219" customFormat="false" ht="30" hidden="false" customHeight="true" outlineLevel="0" collapsed="false">
      <c r="A219" s="45" t="str">
        <f aca="false">IF($R219="","",INDEX(Anforderungen!$B:$B,$R219))</f>
        <v>ANF-204</v>
      </c>
      <c r="B219" s="45" t="str">
        <f aca="false">IF($R219="","",INDEX(Anforderungen!$C:$C,$R219))</f>
        <v>Bieterfragenkatalog</v>
      </c>
      <c r="C219" s="45" t="str">
        <f aca="false">IF($R219="","",INDEX(Anforderungen!$D:$D,$R219))</f>
        <v>Nr. 152 / S. 13</v>
      </c>
      <c r="D219" s="45" t="str">
        <f aca="false">IF($R219="","",INDEX(Anforderungen!$E:$E,$R219))</f>
        <v>Netzanschluss &amp; Energie</v>
      </c>
      <c r="E219" s="45" t="str">
        <f aca="false">IF($R219="","",INDEX(Anforderungen!$F:$F,$R219))</f>
        <v>Klarstellung: Siehe hierzu die Antwort auf die Bieterfrage 78. Die jeweilgen Rastanlagen sollen über einen eigenen Netzanschluss angeschlossen werden.</v>
      </c>
      <c r="F219" s="45" t="str">
        <f aca="false">IF($R219="","",INDEX(Anforderungen!$G:$G,$R219))</f>
        <v>An welchen Standorten sind Horizontalbohrungen durchzuführen? In Anlage 4 wird auf Seite 26 auf die Vertragsanlage 5 verwiesen. Allerdings gibt es in der Tabelle von Anlage 5 keine Spalte, die Informationen hierzu aufweist.</v>
      </c>
      <c r="G219" s="45" t="str">
        <f aca="false">IF($R219="","",INDEX(Anforderungen!$I:$I,$R219))</f>
        <v>offen</v>
      </c>
      <c r="H219" s="45" t="str">
        <f aca="false">IF($R219="","",INDEX(Anforderungen!$J:$J,$R219))</f>
        <v>–</v>
      </c>
      <c r="I219" s="45" t="str">
        <f aca="false">IF($R219="","",INDEX(Anforderungen!$K:$K,$R219))</f>
        <v>erfasst</v>
      </c>
      <c r="J219" s="46" t="n">
        <f aca="false">IF($R219="","",INDEX(Anforderungen!$L:$L,$R219))</f>
        <v>0</v>
      </c>
      <c r="K219" s="45" t="n">
        <f aca="false">IF($R219="","",INDEX(Anforderungen!$M:$M,$R219))</f>
        <v>0</v>
      </c>
      <c r="R219" s="0" t="n">
        <f aca="false">IFERROR(MATCH(ROWS($A$16:$A219),Anforderungen!$O$7:$O$2000,0)+6,"")</f>
        <v>210</v>
      </c>
    </row>
    <row r="220" customFormat="false" ht="30" hidden="false" customHeight="true" outlineLevel="0" collapsed="false">
      <c r="A220" s="45" t="str">
        <f aca="false">IF($R220="","",INDEX(Anforderungen!$B:$B,$R220))</f>
        <v>ANF-205</v>
      </c>
      <c r="B220" s="45" t="str">
        <f aca="false">IF($R220="","",INDEX(Anforderungen!$C:$C,$R220))</f>
        <v>Bieterfragenkatalog</v>
      </c>
      <c r="C220" s="45" t="str">
        <f aca="false">IF($R220="","",INDEX(Anforderungen!$D:$D,$R220))</f>
        <v>Nr. 153 / S. 13</v>
      </c>
      <c r="D220" s="45" t="str">
        <f aca="false">IF($R220="","",INDEX(Anforderungen!$E:$E,$R220))</f>
        <v>Bau &amp; Dokumentation</v>
      </c>
      <c r="E220" s="45" t="str">
        <f aca="false">IF($R220="","",INDEX(Anforderungen!$F:$F,$R220))</f>
        <v>Klarstellung: Die zusätzlichen Bauleistungen unter Ziffer 6.1 und 6.2 sind im hiesigen Verfahren nicht gefordert, so dass in den beiden Feldern keine Angaben gemacht werden müssen.</v>
      </c>
      <c r="F220" s="45" t="str">
        <f aca="false">IF($R220="","",INDEX(Anforderungen!$G:$G,$R220))</f>
        <v>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v>
      </c>
      <c r="G220" s="45" t="str">
        <f aca="false">IF($R220="","",INDEX(Anforderungen!$I:$I,$R220))</f>
        <v>offen</v>
      </c>
      <c r="H220" s="45" t="str">
        <f aca="false">IF($R220="","",INDEX(Anforderungen!$J:$J,$R220))</f>
        <v>–</v>
      </c>
      <c r="I220" s="45" t="str">
        <f aca="false">IF($R220="","",INDEX(Anforderungen!$K:$K,$R220))</f>
        <v>erfasst</v>
      </c>
      <c r="J220" s="46" t="n">
        <f aca="false">IF($R220="","",INDEX(Anforderungen!$L:$L,$R220))</f>
        <v>0</v>
      </c>
      <c r="K220" s="45" t="n">
        <f aca="false">IF($R220="","",INDEX(Anforderungen!$M:$M,$R220))</f>
        <v>0</v>
      </c>
      <c r="R220" s="0" t="n">
        <f aca="false">IFERROR(MATCH(ROWS($A$16:$A220),Anforderungen!$O$7:$O$2000,0)+6,"")</f>
        <v>211</v>
      </c>
    </row>
    <row r="221" customFormat="false" ht="30" hidden="false" customHeight="true" outlineLevel="0" collapsed="false">
      <c r="A221" s="45" t="str">
        <f aca="false">IF($R221="","",INDEX(Anforderungen!$B:$B,$R221))</f>
        <v>ANF-206</v>
      </c>
      <c r="B221" s="45" t="str">
        <f aca="false">IF($R221="","",INDEX(Anforderungen!$C:$C,$R221))</f>
        <v>Bieterfragenkatalog</v>
      </c>
      <c r="C221" s="45" t="str">
        <f aca="false">IF($R221="","",INDEX(Anforderungen!$D:$D,$R221))</f>
        <v>Nr. 154 / S. 13</v>
      </c>
      <c r="D221" s="45" t="str">
        <f aca="false">IF($R221="","",INDEX(Anforderungen!$E:$E,$R221))</f>
        <v>Anzeige &amp; Beschilderung</v>
      </c>
      <c r="E221" s="45" t="str">
        <f aca="false">IF($R221="","",INDEX(Anforderungen!$F:$F,$R221))</f>
        <v>Verweis des Auftraggebers auf die Antwort zu Bieterfrage 113.</v>
      </c>
      <c r="F221" s="45" t="str">
        <f aca="false">IF($R221="","",INDEX(Anforderungen!$G:$G,$R221))</f>
        <v>Der erste Satz ist unverständlich und der Verweis auf Ziffer 4.12.2. (Beschilderung und Markierung) der Anlage 4 macht in diesem Zusammenhang keinen Sinn. Bitte um Klärung.</v>
      </c>
      <c r="G221" s="45" t="str">
        <f aca="false">IF($R221="","",INDEX(Anforderungen!$I:$I,$R221))</f>
        <v>tbd</v>
      </c>
      <c r="H221" s="45" t="str">
        <f aca="false">IF($R221="","",INDEX(Anforderungen!$J:$J,$R221))</f>
        <v>Beschilderung</v>
      </c>
      <c r="I221" s="45" t="str">
        <f aca="false">IF($R221="","",INDEX(Anforderungen!$K:$K,$R221))</f>
        <v>trifft nicht zu</v>
      </c>
      <c r="J221" s="46" t="n">
        <f aca="false">IF($R221="","",INDEX(Anforderungen!$L:$L,$R221))</f>
        <v>0</v>
      </c>
      <c r="K221" s="45" t="str">
        <f aca="false">IF($R221="","",INDEX(Anforderungen!$M:$M,$R221))</f>
        <v>Automatisch ausgewertet: Die Antwort des Auftraggebers verweist ausschließlich auf Bieterfrage 113. Keine eigenständige Anforderung – der Inhalt ist unter der dort erfassten Zeile nachzuhalten.</v>
      </c>
      <c r="R221" s="0" t="n">
        <f aca="false">IFERROR(MATCH(ROWS($A$16:$A221),Anforderungen!$O$7:$O$2000,0)+6,"")</f>
        <v>212</v>
      </c>
    </row>
    <row r="222" customFormat="false" ht="30" hidden="false" customHeight="true" outlineLevel="0" collapsed="false">
      <c r="A222" s="45" t="str">
        <f aca="false">IF($R222="","",INDEX(Anforderungen!$B:$B,$R222))</f>
        <v>ANF-207</v>
      </c>
      <c r="B222" s="45" t="str">
        <f aca="false">IF($R222="","",INDEX(Anforderungen!$C:$C,$R222))</f>
        <v>Bieterfragenkatalog</v>
      </c>
      <c r="C222" s="45" t="str">
        <f aca="false">IF($R222="","",INDEX(Anforderungen!$D:$D,$R222))</f>
        <v>Nr. 155 / S. 13</v>
      </c>
      <c r="D222" s="45" t="str">
        <f aca="false">IF($R222="","",INDEX(Anforderungen!$E:$E,$R222))</f>
        <v>Netzanschluss &amp; Energie</v>
      </c>
      <c r="E222" s="45" t="str">
        <f aca="false">IF($R222="","",INDEX(Anforderungen!$F:$F,$R222))</f>
        <v>Klarstellung: Siehe Antwort auf die Bieterfrage 5. Hintergrund war ein technischer Fehler bei der Erstellung und Bereitstellung der Unterlage.</v>
      </c>
      <c r="F222" s="45" t="str">
        <f aca="false">IF($R222="","",INDEX(Anforderungen!$G:$G,$R222))</f>
        <v>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v>
      </c>
      <c r="G222" s="45" t="str">
        <f aca="false">IF($R222="","",INDEX(Anforderungen!$I:$I,$R222))</f>
        <v>offen</v>
      </c>
      <c r="H222" s="45" t="str">
        <f aca="false">IF($R222="","",INDEX(Anforderungen!$J:$J,$R222))</f>
        <v>–</v>
      </c>
      <c r="I222" s="45" t="str">
        <f aca="false">IF($R222="","",INDEX(Anforderungen!$K:$K,$R222))</f>
        <v>erfasst</v>
      </c>
      <c r="J222" s="46" t="n">
        <f aca="false">IF($R222="","",INDEX(Anforderungen!$L:$L,$R222))</f>
        <v>0</v>
      </c>
      <c r="K222" s="45" t="n">
        <f aca="false">IF($R222="","",INDEX(Anforderungen!$M:$M,$R222))</f>
        <v>0</v>
      </c>
      <c r="R222" s="0" t="n">
        <f aca="false">IFERROR(MATCH(ROWS($A$16:$A222),Anforderungen!$O$7:$O$2000,0)+6,"")</f>
        <v>213</v>
      </c>
    </row>
    <row r="223" customFormat="false" ht="30" hidden="false" customHeight="true" outlineLevel="0" collapsed="false">
      <c r="A223" s="45" t="str">
        <f aca="false">IF($R223="","",INDEX(Anforderungen!$B:$B,$R223))</f>
        <v>ANF-208</v>
      </c>
      <c r="B223" s="45" t="str">
        <f aca="false">IF($R223="","",INDEX(Anforderungen!$C:$C,$R223))</f>
        <v>Bieterfragenkatalog</v>
      </c>
      <c r="C223" s="45" t="str">
        <f aca="false">IF($R223="","",INDEX(Anforderungen!$D:$D,$R223))</f>
        <v>Nr. 156 / S. 13</v>
      </c>
      <c r="D223" s="45" t="str">
        <f aca="false">IF($R223="","",INDEX(Anforderungen!$E:$E,$R223))</f>
        <v>Netzanschluss &amp; Energie</v>
      </c>
      <c r="E223" s="45" t="str">
        <f aca="false">IF($R223="","",INDEX(Anforderungen!$F:$F,$R223))</f>
        <v>Klarstellung: Siehe Antwort auf die Bieterfrage 48 und 119. Die konkrete Verfügbarkeit und der ggf. notwendigte Pfad für eine Leistungserhöhung an den einzelnen Standorten sind erst nach Eingang der Erstangebote durch die zuständigen …</v>
      </c>
      <c r="F223" s="45" t="str">
        <f aca="false">IF($R223="","",INDEX(Anforderungen!$G:$G,$R223))</f>
        <v>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v>
      </c>
      <c r="G223" s="45" t="str">
        <f aca="false">IF($R223="","",INDEX(Anforderungen!$I:$I,$R223))</f>
        <v>offen</v>
      </c>
      <c r="H223" s="45" t="str">
        <f aca="false">IF($R223="","",INDEX(Anforderungen!$J:$J,$R223))</f>
        <v>–</v>
      </c>
      <c r="I223" s="45" t="str">
        <f aca="false">IF($R223="","",INDEX(Anforderungen!$K:$K,$R223))</f>
        <v>erfasst</v>
      </c>
      <c r="J223" s="46" t="n">
        <f aca="false">IF($R223="","",INDEX(Anforderungen!$L:$L,$R223))</f>
        <v>0</v>
      </c>
      <c r="K223" s="45" t="n">
        <f aca="false">IF($R223="","",INDEX(Anforderungen!$M:$M,$R223))</f>
        <v>0</v>
      </c>
      <c r="R223" s="0" t="n">
        <f aca="false">IFERROR(MATCH(ROWS($A$16:$A223),Anforderungen!$O$7:$O$2000,0)+6,"")</f>
        <v>214</v>
      </c>
    </row>
    <row r="224" customFormat="false" ht="30" hidden="false" customHeight="true" outlineLevel="0" collapsed="false">
      <c r="A224" s="45" t="str">
        <f aca="false">IF($R224="","",INDEX(Anforderungen!$B:$B,$R224))</f>
        <v>ANF-209</v>
      </c>
      <c r="B224" s="45" t="str">
        <f aca="false">IF($R224="","",INDEX(Anforderungen!$C:$C,$R224))</f>
        <v>Bieterfragenkatalog</v>
      </c>
      <c r="C224" s="45" t="str">
        <f aca="false">IF($R224="","",INDEX(Anforderungen!$D:$D,$R224))</f>
        <v>Nr. 157 / S. 13</v>
      </c>
      <c r="D224" s="45" t="str">
        <f aca="false">IF($R224="","",INDEX(Anforderungen!$E:$E,$R224))</f>
        <v>Vergabeverfahren &amp; Angebot</v>
      </c>
      <c r="E224" s="45" t="str">
        <f aca="false">IF($R224="","",INDEX(Anforderungen!$F:$F,$R224))</f>
        <v>Verweis des Auftraggebers auf die Antwort zu Bieterfrage 44.</v>
      </c>
      <c r="F224" s="45" t="str">
        <f aca="false">IF($R224="","",INDEX(Anforderungen!$G:$G,$R224))</f>
        <v>Wie bereits im Januar geäußert, bitten wir um zeitnahe Bereitstellung von "change versions" zu den überarbeiteten Vergabeunterlagen.</v>
      </c>
      <c r="G224" s="45" t="str">
        <f aca="false">IF($R224="","",INDEX(Anforderungen!$I:$I,$R224))</f>
        <v>offen</v>
      </c>
      <c r="H224" s="45" t="str">
        <f aca="false">IF($R224="","",INDEX(Anforderungen!$J:$J,$R224))</f>
        <v>–</v>
      </c>
      <c r="I224" s="45" t="str">
        <f aca="false">IF($R224="","",INDEX(Anforderungen!$K:$K,$R224))</f>
        <v>trifft nicht zu</v>
      </c>
      <c r="J224" s="46" t="n">
        <f aca="false">IF($R224="","",INDEX(Anforderungen!$L:$L,$R224))</f>
        <v>0</v>
      </c>
      <c r="K224" s="45" t="str">
        <f aca="false">IF($R224="","",INDEX(Anforderungen!$M:$M,$R224))</f>
        <v>Automatisch ausgewertet: Die Antwort des Auftraggebers verweist ausschließlich auf Bieterfrage 44. Keine eigenständige Anforderung – der Inhalt ist unter der dort erfassten Zeile nachzuhalten.</v>
      </c>
      <c r="R224" s="0" t="n">
        <f aca="false">IFERROR(MATCH(ROWS($A$16:$A224),Anforderungen!$O$7:$O$2000,0)+6,"")</f>
        <v>215</v>
      </c>
    </row>
    <row r="225" customFormat="false" ht="30" hidden="false" customHeight="true" outlineLevel="0" collapsed="false">
      <c r="A225" s="45" t="str">
        <f aca="false">IF($R225="","",INDEX(Anforderungen!$B:$B,$R225))</f>
        <v>ANF-210</v>
      </c>
      <c r="B225" s="45" t="str">
        <f aca="false">IF($R225="","",INDEX(Anforderungen!$C:$C,$R225))</f>
        <v>Bieterfragenkatalog</v>
      </c>
      <c r="C225" s="45" t="str">
        <f aca="false">IF($R225="","",INDEX(Anforderungen!$D:$D,$R225))</f>
        <v>Nr. 158 / S. 14</v>
      </c>
      <c r="D225" s="45" t="str">
        <f aca="false">IF($R225="","",INDEX(Anforderungen!$E:$E,$R225))</f>
        <v>Flächen &amp; Genehmigungen</v>
      </c>
      <c r="E225" s="45" t="str">
        <f aca="false">IF($R225="","",INDEX(Anforderungen!$F:$F,$R225))</f>
        <v>Klarstellung: Mit unserer Nachricht am 06.02.2025 wurden Sie zusätzlich darüber informiert, dass bzgl. der Frage 73 ein Änderungspaket folgt: Die Vertragsanlage 02_Standortübersicht wurde losspezifisch überarbeitet.</v>
      </c>
      <c r="F225" s="45" t="str">
        <f aca="false">IF($R225="","",INDEX(Anforderungen!$G:$G,$R225))</f>
        <v>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v>
      </c>
      <c r="G225" s="45" t="str">
        <f aca="false">IF($R225="","",INDEX(Anforderungen!$I:$I,$R225))</f>
        <v>offen</v>
      </c>
      <c r="H225" s="45" t="str">
        <f aca="false">IF($R225="","",INDEX(Anforderungen!$J:$J,$R225))</f>
        <v>–</v>
      </c>
      <c r="I225" s="45" t="str">
        <f aca="false">IF($R225="","",INDEX(Anforderungen!$K:$K,$R225))</f>
        <v>erfasst</v>
      </c>
      <c r="J225" s="46" t="n">
        <f aca="false">IF($R225="","",INDEX(Anforderungen!$L:$L,$R225))</f>
        <v>0</v>
      </c>
      <c r="K225" s="45" t="n">
        <f aca="false">IF($R225="","",INDEX(Anforderungen!$M:$M,$R225))</f>
        <v>0</v>
      </c>
      <c r="R225" s="0" t="n">
        <f aca="false">IFERROR(MATCH(ROWS($A$16:$A225),Anforderungen!$O$7:$O$2000,0)+6,"")</f>
        <v>216</v>
      </c>
    </row>
    <row r="226" customFormat="false" ht="30" hidden="false" customHeight="true" outlineLevel="0" collapsed="false">
      <c r="A226" s="45" t="str">
        <f aca="false">IF($R226="","",INDEX(Anforderungen!$B:$B,$R226))</f>
        <v>ANF-211</v>
      </c>
      <c r="B226" s="45" t="str">
        <f aca="false">IF($R226="","",INDEX(Anforderungen!$C:$C,$R226))</f>
        <v>Bieterfragenkatalog</v>
      </c>
      <c r="C226" s="45" t="str">
        <f aca="false">IF($R226="","",INDEX(Anforderungen!$D:$D,$R226))</f>
        <v>Nr. 159 / S. 14</v>
      </c>
      <c r="D226" s="45" t="str">
        <f aca="false">IF($R226="","",INDEX(Anforderungen!$E:$E,$R226))</f>
        <v>Netzanschluss &amp; Energie</v>
      </c>
      <c r="E226" s="45" t="str">
        <f aca="false">IF($R226="","",INDEX(Anforderungen!$F:$F,$R226))</f>
        <v>Klarstellung: a) Die Bieter können für die Erstellung der Erstangebote davon ausgehen, dass die Errichtung genehmigungsfähig ist.</v>
      </c>
      <c r="F226" s="45" t="str">
        <f aca="false">IF($R226="","",INDEX(Anforderungen!$G:$G,$R226))</f>
        <v>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v>
      </c>
      <c r="G226" s="45" t="str">
        <f aca="false">IF($R226="","",INDEX(Anforderungen!$I:$I,$R226))</f>
        <v>Alpitronic</v>
      </c>
      <c r="H226" s="45" t="str">
        <f aca="false">IF($R226="","",INDEX(Anforderungen!$J:$J,$R226))</f>
        <v>Ladeeinrichtung</v>
      </c>
      <c r="I226" s="45" t="str">
        <f aca="false">IF($R226="","",INDEX(Anforderungen!$K:$K,$R226))</f>
        <v>erfasst</v>
      </c>
      <c r="J226" s="46" t="n">
        <f aca="false">IF($R226="","",INDEX(Anforderungen!$L:$L,$R226))</f>
        <v>0</v>
      </c>
      <c r="K226" s="45" t="n">
        <f aca="false">IF($R226="","",INDEX(Anforderungen!$M:$M,$R226))</f>
        <v>0</v>
      </c>
      <c r="R226" s="0" t="n">
        <f aca="false">IFERROR(MATCH(ROWS($A$16:$A226),Anforderungen!$O$7:$O$2000,0)+6,"")</f>
        <v>217</v>
      </c>
    </row>
    <row r="227" customFormat="false" ht="30" hidden="false" customHeight="true" outlineLevel="0" collapsed="false">
      <c r="A227" s="45" t="str">
        <f aca="false">IF($R227="","",INDEX(Anforderungen!$B:$B,$R227))</f>
        <v>ANF-212</v>
      </c>
      <c r="B227" s="45" t="str">
        <f aca="false">IF($R227="","",INDEX(Anforderungen!$C:$C,$R227))</f>
        <v>Bieterfragenkatalog</v>
      </c>
      <c r="C227" s="45" t="str">
        <f aca="false">IF($R227="","",INDEX(Anforderungen!$D:$D,$R227))</f>
        <v>Nr. 160 / S. 14</v>
      </c>
      <c r="D227" s="45" t="str">
        <f aca="false">IF($R227="","",INDEX(Anforderungen!$E:$E,$R227))</f>
        <v>Flächen &amp; Genehmigungen</v>
      </c>
      <c r="E227" s="45" t="str">
        <f aca="false">IF($R227="","",INDEX(Anforderungen!$F:$F,$R227))</f>
        <v>Klarstellung: Die Annahme ist korrekt. Gemäß Definition der ERS sind Stellflächen auch Verkehrsflächen.</v>
      </c>
      <c r="F227" s="45" t="str">
        <f aca="false">IF($R227="","",INDEX(Anforderungen!$G:$G,$R227))</f>
        <v>Gemäß Vertragsanlage 04 – LB Errichtung; Ziff. 4.11.2 (Erd-, Entwässerungs- und Kanalarbeiten) sind Leitungen unter Verkehrsflächen generell in Leerrohren zu verlegen. Gehen wir recht in der Annahme, dass diese Vorgabe auch für Leitungen (bzw. Kabel) unter Stellflächen gilt?</v>
      </c>
      <c r="G227" s="45" t="str">
        <f aca="false">IF($R227="","",INDEX(Anforderungen!$I:$I,$R227))</f>
        <v>offen</v>
      </c>
      <c r="H227" s="45" t="str">
        <f aca="false">IF($R227="","",INDEX(Anforderungen!$J:$J,$R227))</f>
        <v>–</v>
      </c>
      <c r="I227" s="45" t="str">
        <f aca="false">IF($R227="","",INDEX(Anforderungen!$K:$K,$R227))</f>
        <v>erfasst</v>
      </c>
      <c r="J227" s="46" t="n">
        <f aca="false">IF($R227="","",INDEX(Anforderungen!$L:$L,$R227))</f>
        <v>0</v>
      </c>
      <c r="K227" s="45" t="n">
        <f aca="false">IF($R227="","",INDEX(Anforderungen!$M:$M,$R227))</f>
        <v>0</v>
      </c>
      <c r="R227" s="0" t="n">
        <f aca="false">IFERROR(MATCH(ROWS($A$16:$A227),Anforderungen!$O$7:$O$2000,0)+6,"")</f>
        <v>218</v>
      </c>
    </row>
    <row r="228" customFormat="false" ht="30" hidden="false" customHeight="true" outlineLevel="0" collapsed="false">
      <c r="A228" s="45" t="str">
        <f aca="false">IF($R228="","",INDEX(Anforderungen!$B:$B,$R228))</f>
        <v>ANF-213</v>
      </c>
      <c r="B228" s="45" t="str">
        <f aca="false">IF($R228="","",INDEX(Anforderungen!$C:$C,$R228))</f>
        <v>Bieterfragenkatalog</v>
      </c>
      <c r="C228" s="45" t="str">
        <f aca="false">IF($R228="","",INDEX(Anforderungen!$D:$D,$R228))</f>
        <v>Nr. 161 / S. 14</v>
      </c>
      <c r="D228" s="45" t="str">
        <f aca="false">IF($R228="","",INDEX(Anforderungen!$E:$E,$R228))</f>
        <v>Technik Ladeinfrastruktur</v>
      </c>
      <c r="E228" s="45" t="str">
        <f aca="false">IF($R228="","",INDEX(Anforderungen!$F:$F,$R228))</f>
        <v>Klarstellung: Der Auftragnehmer ist in diesem Fall zur unverzüglichen Wiederherstellung verpflichtet. Die Kostentragung ist nach Maßgabe von § 23 Abs.</v>
      </c>
      <c r="F228" s="45" t="str">
        <f aca="false">IF($R228="","",INDEX(Anforderungen!$G:$G,$R228))</f>
        <v>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v>
      </c>
      <c r="G228" s="45" t="str">
        <f aca="false">IF($R228="","",INDEX(Anforderungen!$I:$I,$R228))</f>
        <v>Alpitronic</v>
      </c>
      <c r="H228" s="45" t="str">
        <f aca="false">IF($R228="","",INDEX(Anforderungen!$J:$J,$R228))</f>
        <v>Ladeeinrichtung</v>
      </c>
      <c r="I228" s="45" t="str">
        <f aca="false">IF($R228="","",INDEX(Anforderungen!$K:$K,$R228))</f>
        <v>erfasst</v>
      </c>
      <c r="J228" s="46" t="n">
        <f aca="false">IF($R228="","",INDEX(Anforderungen!$L:$L,$R228))</f>
        <v>0</v>
      </c>
      <c r="K228" s="45" t="n">
        <f aca="false">IF($R228="","",INDEX(Anforderungen!$M:$M,$R228))</f>
        <v>0</v>
      </c>
      <c r="R228" s="0" t="n">
        <f aca="false">IFERROR(MATCH(ROWS($A$16:$A228),Anforderungen!$O$7:$O$2000,0)+6,"")</f>
        <v>219</v>
      </c>
    </row>
    <row r="229" customFormat="false" ht="30" hidden="false" customHeight="true" outlineLevel="0" collapsed="false">
      <c r="A229" s="45" t="str">
        <f aca="false">IF($R229="","",INDEX(Anforderungen!$B:$B,$R229))</f>
        <v>ANF-214</v>
      </c>
      <c r="B229" s="45" t="str">
        <f aca="false">IF($R229="","",INDEX(Anforderungen!$C:$C,$R229))</f>
        <v>Bieterfragenkatalog</v>
      </c>
      <c r="C229" s="45" t="str">
        <f aca="false">IF($R229="","",INDEX(Anforderungen!$D:$D,$R229))</f>
        <v>Nr. 162 / S. 14</v>
      </c>
      <c r="D229" s="45" t="str">
        <f aca="false">IF($R229="","",INDEX(Anforderungen!$E:$E,$R229))</f>
        <v>Vertrag &amp; Recht</v>
      </c>
      <c r="E229" s="45" t="str">
        <f aca="false">IF($R229="","",INDEX(Anforderungen!$F:$F,$R229))</f>
        <v>Klarstellung: Das Verhältnis der beiden Klauseln wird mit dem nächsten Vertragsupdate klarer gefasst. Siehe hierzu im Übrigen die Antwort auf die Bieterfrage 44.</v>
      </c>
      <c r="F229" s="45" t="str">
        <f aca="false">IF($R229="","",INDEX(Anforderungen!$G:$G,$R229))</f>
        <v>Wir bitten um Mitteilung, wie § 22 Abs. 6 und § 23 Abs. 3 Betreibervertrag voneinander abzugrenzen sind. Dem Wortlaut nach überschneiden sich die Anwen-dungsbereiche dieser beiden Klauseln.</v>
      </c>
      <c r="G229" s="45" t="str">
        <f aca="false">IF($R229="","",INDEX(Anforderungen!$I:$I,$R229))</f>
        <v>offen</v>
      </c>
      <c r="H229" s="45" t="str">
        <f aca="false">IF($R229="","",INDEX(Anforderungen!$J:$J,$R229))</f>
        <v>–</v>
      </c>
      <c r="I229" s="45" t="str">
        <f aca="false">IF($R229="","",INDEX(Anforderungen!$K:$K,$R229))</f>
        <v>erfasst</v>
      </c>
      <c r="J229" s="46" t="n">
        <f aca="false">IF($R229="","",INDEX(Anforderungen!$L:$L,$R229))</f>
        <v>0</v>
      </c>
      <c r="K229" s="45" t="n">
        <f aca="false">IF($R229="","",INDEX(Anforderungen!$M:$M,$R229))</f>
        <v>0</v>
      </c>
      <c r="R229" s="0" t="n">
        <f aca="false">IFERROR(MATCH(ROWS($A$16:$A229),Anforderungen!$O$7:$O$2000,0)+6,"")</f>
        <v>220</v>
      </c>
    </row>
    <row r="230" customFormat="false" ht="30" hidden="false" customHeight="true" outlineLevel="0" collapsed="false">
      <c r="A230" s="45" t="str">
        <f aca="false">IF($R230="","",INDEX(Anforderungen!$B:$B,$R230))</f>
        <v>ANF-215</v>
      </c>
      <c r="B230" s="45" t="str">
        <f aca="false">IF($R230="","",INDEX(Anforderungen!$C:$C,$R230))</f>
        <v>Bieterfragenkatalog</v>
      </c>
      <c r="C230" s="45" t="str">
        <f aca="false">IF($R230="","",INDEX(Anforderungen!$D:$D,$R230))</f>
        <v>Nr. 163 / S. 14</v>
      </c>
      <c r="D230" s="45" t="str">
        <f aca="false">IF($R230="","",INDEX(Anforderungen!$E:$E,$R230))</f>
        <v>Bau &amp; Dokumentation</v>
      </c>
      <c r="E230" s="45" t="str">
        <f aca="false">IF($R230="","",INDEX(Anforderungen!$F:$F,$R230))</f>
        <v>Klarstellung: zu a) Für die Erstellung der Erstangebote ist davon auszugehen, dass die genannten Kosten gemäß §35 vergütet werden. zu b) Für die Erstellung der Erstangebote ist davon auszugehen, dass keine entsprechenden Kompensation …</v>
      </c>
      <c r="F230" s="45" t="str">
        <f aca="false">IF($R230="","",INDEX(Anforderungen!$G:$G,$R230))</f>
        <v>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v>
      </c>
      <c r="G230" s="45" t="str">
        <f aca="false">IF($R230="","",INDEX(Anforderungen!$I:$I,$R230))</f>
        <v>offen</v>
      </c>
      <c r="H230" s="45" t="str">
        <f aca="false">IF($R230="","",INDEX(Anforderungen!$J:$J,$R230))</f>
        <v>–</v>
      </c>
      <c r="I230" s="45" t="str">
        <f aca="false">IF($R230="","",INDEX(Anforderungen!$K:$K,$R230))</f>
        <v>erfasst</v>
      </c>
      <c r="J230" s="46" t="n">
        <f aca="false">IF($R230="","",INDEX(Anforderungen!$L:$L,$R230))</f>
        <v>0</v>
      </c>
      <c r="K230" s="45" t="n">
        <f aca="false">IF($R230="","",INDEX(Anforderungen!$M:$M,$R230))</f>
        <v>0</v>
      </c>
      <c r="R230" s="0" t="n">
        <f aca="false">IFERROR(MATCH(ROWS($A$16:$A230),Anforderungen!$O$7:$O$2000,0)+6,"")</f>
        <v>221</v>
      </c>
    </row>
    <row r="231" customFormat="false" ht="30" hidden="false" customHeight="true" outlineLevel="0" collapsed="false">
      <c r="A231" s="45" t="str">
        <f aca="false">IF($R231="","",INDEX(Anforderungen!$B:$B,$R231))</f>
        <v>ANF-216</v>
      </c>
      <c r="B231" s="45" t="str">
        <f aca="false">IF($R231="","",INDEX(Anforderungen!$C:$C,$R231))</f>
        <v>Bieterfragenkatalog</v>
      </c>
      <c r="C231" s="45" t="str">
        <f aca="false">IF($R231="","",INDEX(Anforderungen!$D:$D,$R231))</f>
        <v>Nr. 164 / S. 14</v>
      </c>
      <c r="D231" s="45" t="str">
        <f aca="false">IF($R231="","",INDEX(Anforderungen!$E:$E,$R231))</f>
        <v>Vergabeverfahren &amp; Angebot</v>
      </c>
      <c r="E231" s="45" t="str">
        <f aca="false">IF($R231="","",INDEX(Anforderungen!$F:$F,$R231))</f>
        <v>Klarstellung: Die Frist für das Einreichen von Bieterfragen endet am 28.02.2025, 12 Uhr.</v>
      </c>
      <c r="F231" s="45" t="str">
        <f aca="false">IF($R231="","",INDEX(Anforderungen!$G:$G,$R231))</f>
        <v>Wir bitten um Auskunft, ob im Zuge der Verlängerung der Angebotsabgabe (Bieterfragenkatalog Nr. 86) ebenfalls die Frist für das Einreichen von Bieterfragen um 3 Wochen verlängert und in diesem Zuge auch die Aufforderung zur Angebotsabgabe angepasst wird.</v>
      </c>
      <c r="G231" s="45" t="str">
        <f aca="false">IF($R231="","",INDEX(Anforderungen!$I:$I,$R231))</f>
        <v>offen</v>
      </c>
      <c r="H231" s="45" t="str">
        <f aca="false">IF($R231="","",INDEX(Anforderungen!$J:$J,$R231))</f>
        <v>–</v>
      </c>
      <c r="I231" s="45" t="str">
        <f aca="false">IF($R231="","",INDEX(Anforderungen!$K:$K,$R231))</f>
        <v>trifft nicht zu</v>
      </c>
      <c r="J231" s="46" t="n">
        <f aca="false">IF($R231="","",INDEX(Anforderungen!$L:$L,$R231))</f>
        <v>0</v>
      </c>
      <c r="K231" s="45" t="str">
        <f aca="false">IF($R231="","",INDEX(Anforderungen!$M:$M,$R231))</f>
        <v>Automatisch ausgewertet: Betrifft das Vergabeverfahren (Angebot, Wertung, Unterlagen), nicht die zu erbringende Leistung. Keiner Komponente zugeordnet.</v>
      </c>
      <c r="R231" s="0" t="n">
        <f aca="false">IFERROR(MATCH(ROWS($A$16:$A231),Anforderungen!$O$7:$O$2000,0)+6,"")</f>
        <v>222</v>
      </c>
    </row>
    <row r="232" customFormat="false" ht="30" hidden="false" customHeight="true" outlineLevel="0" collapsed="false">
      <c r="A232" s="45" t="str">
        <f aca="false">IF($R232="","",INDEX(Anforderungen!$B:$B,$R232))</f>
        <v>ANF-217</v>
      </c>
      <c r="B232" s="45" t="str">
        <f aca="false">IF($R232="","",INDEX(Anforderungen!$C:$C,$R232))</f>
        <v>Bieterfragenkatalog</v>
      </c>
      <c r="C232" s="45" t="str">
        <f aca="false">IF($R232="","",INDEX(Anforderungen!$D:$D,$R232))</f>
        <v>Nr. 165 / S. 15</v>
      </c>
      <c r="D232" s="45" t="str">
        <f aca="false">IF($R232="","",INDEX(Anforderungen!$E:$E,$R232))</f>
        <v>Flächen &amp; Genehmigungen</v>
      </c>
      <c r="E232" s="45" t="str">
        <f aca="false">IF($R232="","",INDEX(Anforderungen!$F:$F,$R232))</f>
        <v>Klarstellung: Der Bieter kann davon ausgehen, dass Standorte während des Vertragszeitraums von Um- und Ausbauarbeiten betroffen sein werden und diese im Rahmen dieser Maßnahmen dann auch entsprechend gesperrt werden (Siehe Vertragsanlage 4, …</v>
      </c>
      <c r="F232" s="45" t="str">
        <f aca="false">IF($R232="","",INDEX(Anforderungen!$G:$G,$R232))</f>
        <v>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v>
      </c>
      <c r="G232" s="45" t="str">
        <f aca="false">IF($R232="","",INDEX(Anforderungen!$I:$I,$R232))</f>
        <v>offen</v>
      </c>
      <c r="H232" s="45" t="str">
        <f aca="false">IF($R232="","",INDEX(Anforderungen!$J:$J,$R232))</f>
        <v>–</v>
      </c>
      <c r="I232" s="45" t="str">
        <f aca="false">IF($R232="","",INDEX(Anforderungen!$K:$K,$R232))</f>
        <v>erfasst</v>
      </c>
      <c r="J232" s="46" t="n">
        <f aca="false">IF($R232="","",INDEX(Anforderungen!$L:$L,$R232))</f>
        <v>0</v>
      </c>
      <c r="K232" s="45" t="n">
        <f aca="false">IF($R232="","",INDEX(Anforderungen!$M:$M,$R232))</f>
        <v>0</v>
      </c>
      <c r="R232" s="0" t="n">
        <f aca="false">IFERROR(MATCH(ROWS($A$16:$A232),Anforderungen!$O$7:$O$2000,0)+6,"")</f>
        <v>223</v>
      </c>
    </row>
    <row r="233" customFormat="false" ht="30" hidden="false" customHeight="true" outlineLevel="0" collapsed="false">
      <c r="A233" s="45" t="str">
        <f aca="false">IF($R233="","",INDEX(Anforderungen!$B:$B,$R233))</f>
        <v>ANF-218</v>
      </c>
      <c r="B233" s="45" t="str">
        <f aca="false">IF($R233="","",INDEX(Anforderungen!$C:$C,$R233))</f>
        <v>Bieterfragenkatalog</v>
      </c>
      <c r="C233" s="45" t="str">
        <f aca="false">IF($R233="","",INDEX(Anforderungen!$D:$D,$R233))</f>
        <v>Nr. 166 / S. 15</v>
      </c>
      <c r="D233" s="45" t="str">
        <f aca="false">IF($R233="","",INDEX(Anforderungen!$E:$E,$R233))</f>
        <v>Netzanschluss &amp; Energie</v>
      </c>
      <c r="E233" s="45" t="str">
        <f aca="false">IF($R233="","",INDEX(Anforderungen!$F:$F,$R233))</f>
        <v>Klarstellung: Ihre Annahme, dass eine Kanalnetzberechnung nur erforderlich sei, wenn das Kanalnetz aufgrund der geplanten Maßnahme in Lage und Höhe verändert wird, ist unzutreffend.</v>
      </c>
      <c r="F233" s="45" t="str">
        <f aca="false">IF($R233="","",INDEX(Anforderungen!$G:$G,$R233))</f>
        <v>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v>
      </c>
      <c r="G233" s="45" t="str">
        <f aca="false">IF($R233="","",INDEX(Anforderungen!$I:$I,$R233))</f>
        <v>offen</v>
      </c>
      <c r="H233" s="45" t="str">
        <f aca="false">IF($R233="","",INDEX(Anforderungen!$J:$J,$R233))</f>
        <v>–</v>
      </c>
      <c r="I233" s="45" t="str">
        <f aca="false">IF($R233="","",INDEX(Anforderungen!$K:$K,$R233))</f>
        <v>erfasst</v>
      </c>
      <c r="J233" s="46" t="n">
        <f aca="false">IF($R233="","",INDEX(Anforderungen!$L:$L,$R233))</f>
        <v>0</v>
      </c>
      <c r="K233" s="45" t="n">
        <f aca="false">IF($R233="","",INDEX(Anforderungen!$M:$M,$R233))</f>
        <v>0</v>
      </c>
      <c r="R233" s="0" t="n">
        <f aca="false">IFERROR(MATCH(ROWS($A$16:$A233),Anforderungen!$O$7:$O$2000,0)+6,"")</f>
        <v>224</v>
      </c>
    </row>
    <row r="234" customFormat="false" ht="30" hidden="false" customHeight="true" outlineLevel="0" collapsed="false">
      <c r="A234" s="45" t="str">
        <f aca="false">IF($R234="","",INDEX(Anforderungen!$B:$B,$R234))</f>
        <v>ANF-219</v>
      </c>
      <c r="B234" s="45" t="str">
        <f aca="false">IF($R234="","",INDEX(Anforderungen!$C:$C,$R234))</f>
        <v>Bieterfragenkatalog</v>
      </c>
      <c r="C234" s="45" t="str">
        <f aca="false">IF($R234="","",INDEX(Anforderungen!$D:$D,$R234))</f>
        <v>Nr. 167 / S. 15</v>
      </c>
      <c r="D234" s="45" t="str">
        <f aca="false">IF($R234="","",INDEX(Anforderungen!$E:$E,$R234))</f>
        <v>Netzanschluss &amp; Energie</v>
      </c>
      <c r="E234" s="45" t="str">
        <f aca="false">IF($R234="","",INDEX(Anforderungen!$F:$F,$R234))</f>
        <v>Klarstellung: Siehe hierzu die Antwort auf Bieterfrage 39. Sollten sich nach Vertragschluss Änderungen gegenüber vor Vertragschluss vom AG definierten Anforderungen ergeben, gelten die entsprechenden Regelungen des Vertrags über geänderte oder …</v>
      </c>
      <c r="F234" s="45" t="str">
        <f aca="false">IF($R234="","",INDEX(Anforderungen!$G:$G,$R234))</f>
        <v>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v>
      </c>
      <c r="G234" s="45" t="str">
        <f aca="false">IF($R234="","",INDEX(Anforderungen!$I:$I,$R234))</f>
        <v>offen</v>
      </c>
      <c r="H234" s="45" t="str">
        <f aca="false">IF($R234="","",INDEX(Anforderungen!$J:$J,$R234))</f>
        <v>–</v>
      </c>
      <c r="I234" s="45" t="str">
        <f aca="false">IF($R234="","",INDEX(Anforderungen!$K:$K,$R234))</f>
        <v>erfasst</v>
      </c>
      <c r="J234" s="46" t="n">
        <f aca="false">IF($R234="","",INDEX(Anforderungen!$L:$L,$R234))</f>
        <v>0</v>
      </c>
      <c r="K234" s="45" t="n">
        <f aca="false">IF($R234="","",INDEX(Anforderungen!$M:$M,$R234))</f>
        <v>0</v>
      </c>
      <c r="R234" s="0" t="n">
        <f aca="false">IFERROR(MATCH(ROWS($A$16:$A234),Anforderungen!$O$7:$O$2000,0)+6,"")</f>
        <v>225</v>
      </c>
    </row>
    <row r="235" customFormat="false" ht="30" hidden="false" customHeight="true" outlineLevel="0" collapsed="false">
      <c r="A235" s="45" t="str">
        <f aca="false">IF($R235="","",INDEX(Anforderungen!$B:$B,$R235))</f>
        <v>ANF-220</v>
      </c>
      <c r="B235" s="45" t="str">
        <f aca="false">IF($R235="","",INDEX(Anforderungen!$C:$C,$R235))</f>
        <v>Bieterfragenkatalog</v>
      </c>
      <c r="C235" s="45" t="str">
        <f aca="false">IF($R235="","",INDEX(Anforderungen!$D:$D,$R235))</f>
        <v>Nr. 168 / S. 15</v>
      </c>
      <c r="D235" s="45" t="str">
        <f aca="false">IF($R235="","",INDEX(Anforderungen!$E:$E,$R235))</f>
        <v>Vertrag &amp; Recht</v>
      </c>
      <c r="E235" s="45" t="str">
        <f aca="false">IF($R235="","",INDEX(Anforderungen!$F:$F,$R235))</f>
        <v>Klarstellung: Mehrkosten, die sich aus einer Änderung von anzuwendenden Rechtsvorschriften oder technischen Regeln und Regelwerken ergeben werden dem Auftragnehmer nach Maßgabe von § 36 des Betreibervertrages erstattet.</v>
      </c>
      <c r="F235" s="45" t="str">
        <f aca="false">IF($R235="","",INDEX(Anforderungen!$G:$G,$R235))</f>
        <v>Die Errichtung der Anlagen können sich bis ins Jahr 2030 hinziehen. Wie soll mit Mehrkosten umgegangen werden, wenn sich in diesem Zeitraum die TAB`s der VNB`s ändern und dadurch Bedingt neue Anforderungen entstehen, die zum heutigen Zeitpunkt nicht bekannt sind?</v>
      </c>
      <c r="G235" s="45" t="str">
        <f aca="false">IF($R235="","",INDEX(Anforderungen!$I:$I,$R235))</f>
        <v>offen</v>
      </c>
      <c r="H235" s="45" t="str">
        <f aca="false">IF($R235="","",INDEX(Anforderungen!$J:$J,$R235))</f>
        <v>–</v>
      </c>
      <c r="I235" s="45" t="str">
        <f aca="false">IF($R235="","",INDEX(Anforderungen!$K:$K,$R235))</f>
        <v>erfasst</v>
      </c>
      <c r="J235" s="46" t="n">
        <f aca="false">IF($R235="","",INDEX(Anforderungen!$L:$L,$R235))</f>
        <v>0</v>
      </c>
      <c r="K235" s="45" t="n">
        <f aca="false">IF($R235="","",INDEX(Anforderungen!$M:$M,$R235))</f>
        <v>0</v>
      </c>
      <c r="R235" s="0" t="n">
        <f aca="false">IFERROR(MATCH(ROWS($A$16:$A235),Anforderungen!$O$7:$O$2000,0)+6,"")</f>
        <v>226</v>
      </c>
    </row>
    <row r="236" customFormat="false" ht="30" hidden="false" customHeight="true" outlineLevel="0" collapsed="false">
      <c r="A236" s="45" t="str">
        <f aca="false">IF($R236="","",INDEX(Anforderungen!$B:$B,$R236))</f>
        <v>ANF-221</v>
      </c>
      <c r="B236" s="45" t="str">
        <f aca="false">IF($R236="","",INDEX(Anforderungen!$C:$C,$R236))</f>
        <v>Bieterfragenkatalog</v>
      </c>
      <c r="C236" s="45" t="str">
        <f aca="false">IF($R236="","",INDEX(Anforderungen!$D:$D,$R236))</f>
        <v>Nr. 169 / S. 15</v>
      </c>
      <c r="D236" s="45" t="str">
        <f aca="false">IF($R236="","",INDEX(Anforderungen!$E:$E,$R236))</f>
        <v>Anzeige &amp; Beschilderung</v>
      </c>
      <c r="E236" s="45" t="str">
        <f aca="false">IF($R236="","",INDEX(Anforderungen!$F:$F,$R236))</f>
        <v>Klarstellung: Die von Ihnen angefragten Informationen und Dokumente können aktuell nicht vom AG zur Verfügung gestellt werden.</v>
      </c>
      <c r="F236" s="45" t="str">
        <f aca="false">IF($R236="","",INDEX(Anforderungen!$G:$G,$R236))</f>
        <v>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v>
      </c>
      <c r="G236" s="45" t="str">
        <f aca="false">IF($R236="","",INDEX(Anforderungen!$I:$I,$R236))</f>
        <v>SCS</v>
      </c>
      <c r="H236" s="45" t="str">
        <f aca="false">IF($R236="","",INDEX(Anforderungen!$J:$J,$R236))</f>
        <v>Dynamische Anzeige</v>
      </c>
      <c r="I236" s="45" t="str">
        <f aca="false">IF($R236="","",INDEX(Anforderungen!$K:$K,$R236))</f>
        <v>erfasst</v>
      </c>
      <c r="J236" s="46" t="n">
        <f aca="false">IF($R236="","",INDEX(Anforderungen!$L:$L,$R236))</f>
        <v>0</v>
      </c>
      <c r="K236" s="45" t="n">
        <f aca="false">IF($R236="","",INDEX(Anforderungen!$M:$M,$R236))</f>
        <v>0</v>
      </c>
      <c r="R236" s="0" t="n">
        <f aca="false">IFERROR(MATCH(ROWS($A$16:$A236),Anforderungen!$O$7:$O$2000,0)+6,"")</f>
        <v>227</v>
      </c>
    </row>
    <row r="237" customFormat="false" ht="30" hidden="false" customHeight="true" outlineLevel="0" collapsed="false">
      <c r="A237" s="45" t="str">
        <f aca="false">IF($R237="","",INDEX(Anforderungen!$B:$B,$R237))</f>
        <v>ANF-222</v>
      </c>
      <c r="B237" s="45" t="str">
        <f aca="false">IF($R237="","",INDEX(Anforderungen!$C:$C,$R237))</f>
        <v>Bieterfragenkatalog</v>
      </c>
      <c r="C237" s="45" t="str">
        <f aca="false">IF($R237="","",INDEX(Anforderungen!$D:$D,$R237))</f>
        <v>Nr. 170 / S. 15</v>
      </c>
      <c r="D237" s="45" t="str">
        <f aca="false">IF($R237="","",INDEX(Anforderungen!$E:$E,$R237))</f>
        <v>Flächen &amp; Genehmigungen</v>
      </c>
      <c r="E237" s="45" t="str">
        <f aca="false">IF($R237="","",INDEX(Anforderungen!$F:$F,$R237))</f>
        <v>Klarstellung: Zu a) Der AG kann nicht bestätigen, dass die heute vorhandene Grundbeleuchtung bereits diese Anforderungen erfüllt.</v>
      </c>
      <c r="F237" s="45" t="str">
        <f aca="false">IF($R237="","",INDEX(Anforderungen!$G:$G,$R237))</f>
        <v>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v>
      </c>
      <c r="G237" s="45" t="str">
        <f aca="false">IF($R237="","",INDEX(Anforderungen!$I:$I,$R237))</f>
        <v>Zuordnung prüfen</v>
      </c>
      <c r="H237" s="45" t="str">
        <f aca="false">IF($R237="","",INDEX(Anforderungen!$J:$J,$R237))</f>
        <v>Zuordnung prüfen</v>
      </c>
      <c r="I237" s="45" t="str">
        <f aca="false">IF($R237="","",INDEX(Anforderungen!$K:$K,$R237))</f>
        <v>erfasst</v>
      </c>
      <c r="J237" s="46" t="n">
        <f aca="false">IF($R237="","",INDEX(Anforderungen!$L:$L,$R237))</f>
        <v>0</v>
      </c>
      <c r="K237" s="45" t="n">
        <f aca="false">IF($R237="","",INDEX(Anforderungen!$M:$M,$R237))</f>
        <v>0</v>
      </c>
      <c r="R237" s="0" t="n">
        <f aca="false">IFERROR(MATCH(ROWS($A$16:$A237),Anforderungen!$O$7:$O$2000,0)+6,"")</f>
        <v>228</v>
      </c>
    </row>
    <row r="238" customFormat="false" ht="30" hidden="false" customHeight="true" outlineLevel="0" collapsed="false">
      <c r="A238" s="45" t="str">
        <f aca="false">IF($R238="","",INDEX(Anforderungen!$B:$B,$R238))</f>
        <v>ANF-223</v>
      </c>
      <c r="B238" s="45" t="str">
        <f aca="false">IF($R238="","",INDEX(Anforderungen!$C:$C,$R238))</f>
        <v>Bieterfragenkatalog</v>
      </c>
      <c r="C238" s="45" t="str">
        <f aca="false">IF($R238="","",INDEX(Anforderungen!$D:$D,$R238))</f>
        <v>Nr. 171 / S. 15</v>
      </c>
      <c r="D238" s="45" t="str">
        <f aca="false">IF($R238="","",INDEX(Anforderungen!$E:$E,$R238))</f>
        <v>Netzanschluss &amp; Energie</v>
      </c>
      <c r="E238" s="45" t="str">
        <f aca="false">IF($R238="","",INDEX(Anforderungen!$F:$F,$R238))</f>
        <v>Klarstellung: Siehe hierzu die Antwort auf die Bieterfrage 45. Die Bieter sollen im Erstangebot keine Vorrüstungen im Bereich der Übergabestation für Speicher vorgesehen.</v>
      </c>
      <c r="F238" s="45" t="str">
        <f aca="false">IF($R238="","",INDEX(Anforderungen!$G:$G,$R238))</f>
        <v>§44, Abs. 1.: Der AG kann an Standorten Speicher aufstellen. Sollen im Angebot bereits Vorrüstungen im Bereich der Übergabestation für Speicher vorgesehen werden?</v>
      </c>
      <c r="G238" s="45" t="str">
        <f aca="false">IF($R238="","",INDEX(Anforderungen!$I:$I,$R238))</f>
        <v>offen</v>
      </c>
      <c r="H238" s="45" t="str">
        <f aca="false">IF($R238="","",INDEX(Anforderungen!$J:$J,$R238))</f>
        <v>–</v>
      </c>
      <c r="I238" s="45" t="str">
        <f aca="false">IF($R238="","",INDEX(Anforderungen!$K:$K,$R238))</f>
        <v>erfasst</v>
      </c>
      <c r="J238" s="46" t="n">
        <f aca="false">IF($R238="","",INDEX(Anforderungen!$L:$L,$R238))</f>
        <v>0</v>
      </c>
      <c r="K238" s="45" t="n">
        <f aca="false">IF($R238="","",INDEX(Anforderungen!$M:$M,$R238))</f>
        <v>0</v>
      </c>
      <c r="R238" s="0" t="n">
        <f aca="false">IFERROR(MATCH(ROWS($A$16:$A238),Anforderungen!$O$7:$O$2000,0)+6,"")</f>
        <v>229</v>
      </c>
    </row>
    <row r="239" customFormat="false" ht="30" hidden="false" customHeight="true" outlineLevel="0" collapsed="false">
      <c r="A239" s="45" t="str">
        <f aca="false">IF($R239="","",INDEX(Anforderungen!$B:$B,$R239))</f>
        <v>ANF-224</v>
      </c>
      <c r="B239" s="45" t="str">
        <f aca="false">IF($R239="","",INDEX(Anforderungen!$C:$C,$R239))</f>
        <v>Bieterfragenkatalog</v>
      </c>
      <c r="C239" s="45" t="str">
        <f aca="false">IF($R239="","",INDEX(Anforderungen!$D:$D,$R239))</f>
        <v>Nr. 172 / S. 16</v>
      </c>
      <c r="D239" s="45" t="str">
        <f aca="false">IF($R239="","",INDEX(Anforderungen!$E:$E,$R239))</f>
        <v>Vertrag &amp; Recht</v>
      </c>
      <c r="E239" s="45" t="str">
        <f aca="false">IF($R239="","",INDEX(Anforderungen!$F:$F,$R239))</f>
        <v>Klarstellung: Ihre Annahme ist zutreffend. Es sollen möglichst viele Bereiche der Verkehrsflächen erhalten bleiben.</v>
      </c>
      <c r="F239" s="45" t="str">
        <f aca="false">IF($R239="","",INDEX(Anforderungen!$G:$G,$R239))</f>
        <v>Gehen wir recht in der Annahme, dass im Bereich der Errichtung der LKW-Ladeinfrstruktur von der Baumaßnahme nicht betroffene Oberflächen im Ausgangszustand belassen werden können und damit an vielen Stellen eine Verbindung von neuer und bestehnder Oberfläche entsteht?</v>
      </c>
      <c r="G239" s="45" t="str">
        <f aca="false">IF($R239="","",INDEX(Anforderungen!$I:$I,$R239))</f>
        <v>offen</v>
      </c>
      <c r="H239" s="45" t="str">
        <f aca="false">IF($R239="","",INDEX(Anforderungen!$J:$J,$R239))</f>
        <v>–</v>
      </c>
      <c r="I239" s="45" t="str">
        <f aca="false">IF($R239="","",INDEX(Anforderungen!$K:$K,$R239))</f>
        <v>erfasst</v>
      </c>
      <c r="J239" s="46" t="n">
        <f aca="false">IF($R239="","",INDEX(Anforderungen!$L:$L,$R239))</f>
        <v>0</v>
      </c>
      <c r="K239" s="45" t="n">
        <f aca="false">IF($R239="","",INDEX(Anforderungen!$M:$M,$R239))</f>
        <v>0</v>
      </c>
      <c r="R239" s="0" t="n">
        <f aca="false">IFERROR(MATCH(ROWS($A$16:$A239),Anforderungen!$O$7:$O$2000,0)+6,"")</f>
        <v>230</v>
      </c>
    </row>
    <row r="240" customFormat="false" ht="30" hidden="false" customHeight="true" outlineLevel="0" collapsed="false">
      <c r="A240" s="45" t="str">
        <f aca="false">IF($R240="","",INDEX(Anforderungen!$B:$B,$R240))</f>
        <v>ANF-225</v>
      </c>
      <c r="B240" s="45" t="str">
        <f aca="false">IF($R240="","",INDEX(Anforderungen!$C:$C,$R240))</f>
        <v>Bieterfragenkatalog</v>
      </c>
      <c r="C240" s="45" t="str">
        <f aca="false">IF($R240="","",INDEX(Anforderungen!$D:$D,$R240))</f>
        <v>Nr. 173 / S. 16</v>
      </c>
      <c r="D240" s="45" t="str">
        <f aca="false">IF($R240="","",INDEX(Anforderungen!$E:$E,$R240))</f>
        <v>Vergabeverfahren &amp; Angebot</v>
      </c>
      <c r="E240" s="45" t="str">
        <f aca="false">IF($R240="","",INDEX(Anforderungen!$F:$F,$R240))</f>
        <v>Klarstellung: Wir verweisen auf unsere Antwort zur Frage 158.</v>
      </c>
      <c r="F240" s="45" t="str">
        <f aca="false">IF($R240="","",INDEX(Anforderungen!$G:$G,$R240))</f>
        <v>Wir haben von Ihnen am 06.02 eine Mitteilung erhalten, das aktualisierte Vergabeunterlagen verfügbar sind. Bedauerlicherweise ist diese Mitteilung ohne Anhang. Handelt es sich hierbei um ein Fehler des Programms?</v>
      </c>
      <c r="G240" s="45" t="str">
        <f aca="false">IF($R240="","",INDEX(Anforderungen!$I:$I,$R240))</f>
        <v>offen</v>
      </c>
      <c r="H240" s="45" t="str">
        <f aca="false">IF($R240="","",INDEX(Anforderungen!$J:$J,$R240))</f>
        <v>–</v>
      </c>
      <c r="I240" s="45" t="str">
        <f aca="false">IF($R240="","",INDEX(Anforderungen!$K:$K,$R240))</f>
        <v>trifft nicht zu</v>
      </c>
      <c r="J240" s="46" t="n">
        <f aca="false">IF($R240="","",INDEX(Anforderungen!$L:$L,$R240))</f>
        <v>0</v>
      </c>
      <c r="K240" s="45" t="str">
        <f aca="false">IF($R240="","",INDEX(Anforderungen!$M:$M,$R240))</f>
        <v>Automatisch ausgewertet: Betrifft das Vergabeverfahren (Angebot, Wertung, Unterlagen), nicht die zu erbringende Leistung. Keiner Komponente zugeordnet.</v>
      </c>
      <c r="R240" s="0" t="n">
        <f aca="false">IFERROR(MATCH(ROWS($A$16:$A240),Anforderungen!$O$7:$O$2000,0)+6,"")</f>
        <v>231</v>
      </c>
    </row>
    <row r="241" customFormat="false" ht="30" hidden="false" customHeight="true" outlineLevel="0" collapsed="false">
      <c r="A241" s="45" t="str">
        <f aca="false">IF($R241="","",INDEX(Anforderungen!$B:$B,$R241))</f>
        <v>ANF-226</v>
      </c>
      <c r="B241" s="45" t="str">
        <f aca="false">IF($R241="","",INDEX(Anforderungen!$C:$C,$R241))</f>
        <v>Bieterfragenkatalog</v>
      </c>
      <c r="C241" s="45" t="str">
        <f aca="false">IF($R241="","",INDEX(Anforderungen!$D:$D,$R241))</f>
        <v>Nr. 174 / S. 16</v>
      </c>
      <c r="D241" s="45" t="str">
        <f aca="false">IF($R241="","",INDEX(Anforderungen!$E:$E,$R241))</f>
        <v>Technik Ladeinfrastruktur</v>
      </c>
      <c r="E241" s="45" t="str">
        <f aca="false">IF($R241="","",INDEX(Anforderungen!$F:$F,$R241))</f>
        <v>Verneint: eine Abweichung von den Vorgaben aus der Vertragsanlage 02 ist nicht vorgesehen.</v>
      </c>
      <c r="F241" s="45" t="str">
        <f aca="false">IF($R241="","",INDEX(Anforderungen!$G:$G,$R241))</f>
        <v>Wäre es zulässig, über die angeforderte Anzahl an Ladepunkten hinaus weitere Anschlüsse oder Ladepunkte im Sinne der AFIR gleichen Typs an den Ladeplätzen vorzusehen, um so ggf. die Zuverlässigkeit zu erhöhen und Vertragsstrafen zu entgehen?</v>
      </c>
      <c r="G241" s="45" t="str">
        <f aca="false">IF($R241="","",INDEX(Anforderungen!$I:$I,$R241))</f>
        <v>Zuordnung prüfen</v>
      </c>
      <c r="H241" s="45" t="str">
        <f aca="false">IF($R241="","",INDEX(Anforderungen!$J:$J,$R241))</f>
        <v>Zuordnung prüfen</v>
      </c>
      <c r="I241" s="45" t="str">
        <f aca="false">IF($R241="","",INDEX(Anforderungen!$K:$K,$R241))</f>
        <v>erfasst</v>
      </c>
      <c r="J241" s="46" t="n">
        <f aca="false">IF($R241="","",INDEX(Anforderungen!$L:$L,$R241))</f>
        <v>0</v>
      </c>
      <c r="K241" s="45" t="n">
        <f aca="false">IF($R241="","",INDEX(Anforderungen!$M:$M,$R241))</f>
        <v>0</v>
      </c>
      <c r="R241" s="0" t="n">
        <f aca="false">IFERROR(MATCH(ROWS($A$16:$A241),Anforderungen!$O$7:$O$2000,0)+6,"")</f>
        <v>232</v>
      </c>
    </row>
    <row r="242" customFormat="false" ht="30" hidden="false" customHeight="true" outlineLevel="0" collapsed="false">
      <c r="A242" s="45" t="str">
        <f aca="false">IF($R242="","",INDEX(Anforderungen!$B:$B,$R242))</f>
        <v>ANF-227</v>
      </c>
      <c r="B242" s="45" t="str">
        <f aca="false">IF($R242="","",INDEX(Anforderungen!$C:$C,$R242))</f>
        <v>Bieterfragenkatalog</v>
      </c>
      <c r="C242" s="45" t="str">
        <f aca="false">IF($R242="","",INDEX(Anforderungen!$D:$D,$R242))</f>
        <v>Nr. 175 / S. 16</v>
      </c>
      <c r="D242" s="45" t="str">
        <f aca="false">IF($R242="","",INDEX(Anforderungen!$E:$E,$R242))</f>
        <v>Technik Ladeinfrastruktur</v>
      </c>
      <c r="E242" s="45" t="str">
        <f aca="false">IF($R242="","",INDEX(Anforderungen!$F:$F,$R242))</f>
        <v>Klarstellung: Dieser Punkt kann zum Gegenstand der Vertragsverhandlungen gemacht werden.</v>
      </c>
      <c r="F242" s="45" t="str">
        <f aca="false">IF($R242="","",INDEX(Anforderungen!$G:$G,$R242))</f>
        <v>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v>
      </c>
      <c r="G242" s="45" t="str">
        <f aca="false">IF($R242="","",INDEX(Anforderungen!$I:$I,$R242))</f>
        <v>Zuordnung prüfen</v>
      </c>
      <c r="H242" s="45" t="str">
        <f aca="false">IF($R242="","",INDEX(Anforderungen!$J:$J,$R242))</f>
        <v>Zuordnung prüfen</v>
      </c>
      <c r="I242" s="45" t="str">
        <f aca="false">IF($R242="","",INDEX(Anforderungen!$K:$K,$R242))</f>
        <v>erfasst</v>
      </c>
      <c r="J242" s="46" t="n">
        <f aca="false">IF($R242="","",INDEX(Anforderungen!$L:$L,$R242))</f>
        <v>0</v>
      </c>
      <c r="K242" s="45" t="n">
        <f aca="false">IF($R242="","",INDEX(Anforderungen!$M:$M,$R242))</f>
        <v>0</v>
      </c>
      <c r="R242" s="0" t="n">
        <f aca="false">IFERROR(MATCH(ROWS($A$16:$A242),Anforderungen!$O$7:$O$2000,0)+6,"")</f>
        <v>233</v>
      </c>
    </row>
    <row r="243" customFormat="false" ht="30" hidden="false" customHeight="true" outlineLevel="0" collapsed="false">
      <c r="A243" s="45" t="str">
        <f aca="false">IF($R243="","",INDEX(Anforderungen!$B:$B,$R243))</f>
        <v>ANF-228</v>
      </c>
      <c r="B243" s="45" t="str">
        <f aca="false">IF($R243="","",INDEX(Anforderungen!$C:$C,$R243))</f>
        <v>Bieterfragenkatalog</v>
      </c>
      <c r="C243" s="45" t="str">
        <f aca="false">IF($R243="","",INDEX(Anforderungen!$D:$D,$R243))</f>
        <v>Nr. 176 / S. 16</v>
      </c>
      <c r="D243" s="45" t="str">
        <f aca="false">IF($R243="","",INDEX(Anforderungen!$E:$E,$R243))</f>
        <v>Technik Ladeinfrastruktur</v>
      </c>
      <c r="E243" s="45" t="str">
        <f aca="false">IF($R243="","",INDEX(Anforderungen!$F:$F,$R243))</f>
        <v>Klarstellung: Eine Anpassug der technischen Anforderungen ist aktuell nicht vorgesehen. Die Länge der CCS-Ladekabel muss ausreichend bemessen sein, um ggf. verschiedene fahrzeugseitige Positionen der CCS-Inlets unproblematisch bedienen zu …</v>
      </c>
      <c r="F243" s="45" t="str">
        <f aca="false">IF($R243="","",INDEX(Anforderungen!$G:$G,$R243))</f>
        <v>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v>
      </c>
      <c r="G243" s="45" t="str">
        <f aca="false">IF($R243="","",INDEX(Anforderungen!$I:$I,$R243))</f>
        <v>Alpitronic</v>
      </c>
      <c r="H243" s="45" t="str">
        <f aca="false">IF($R243="","",INDEX(Anforderungen!$J:$J,$R243))</f>
        <v>Ladeeinrichtung</v>
      </c>
      <c r="I243" s="45" t="str">
        <f aca="false">IF($R243="","",INDEX(Anforderungen!$K:$K,$R243))</f>
        <v>erfasst</v>
      </c>
      <c r="J243" s="46" t="n">
        <f aca="false">IF($R243="","",INDEX(Anforderungen!$L:$L,$R243))</f>
        <v>0</v>
      </c>
      <c r="K243" s="45" t="n">
        <f aca="false">IF($R243="","",INDEX(Anforderungen!$M:$M,$R243))</f>
        <v>0</v>
      </c>
      <c r="R243" s="0" t="n">
        <f aca="false">IFERROR(MATCH(ROWS($A$16:$A243),Anforderungen!$O$7:$O$2000,0)+6,"")</f>
        <v>234</v>
      </c>
    </row>
    <row r="244" customFormat="false" ht="30" hidden="false" customHeight="true" outlineLevel="0" collapsed="false">
      <c r="A244" s="45" t="str">
        <f aca="false">IF($R244="","",INDEX(Anforderungen!$B:$B,$R244))</f>
        <v>ANF-229</v>
      </c>
      <c r="B244" s="45" t="str">
        <f aca="false">IF($R244="","",INDEX(Anforderungen!$C:$C,$R244))</f>
        <v>Bieterfragenkatalog</v>
      </c>
      <c r="C244" s="45" t="str">
        <f aca="false">IF($R244="","",INDEX(Anforderungen!$D:$D,$R244))</f>
        <v>Nr. 177 / S. 16</v>
      </c>
      <c r="D244" s="45" t="str">
        <f aca="false">IF($R244="","",INDEX(Anforderungen!$E:$E,$R244))</f>
        <v>Vertrag &amp; Recht</v>
      </c>
      <c r="E244" s="45" t="str">
        <f aca="false">IF($R244="","",INDEX(Anforderungen!$F:$F,$R244))</f>
        <v>Klarstellung: Die Annahme ist insofern korrekt, dass den Bietern keine weiteren Unterlagen zur Verfügung gestellt werden.</v>
      </c>
      <c r="F244" s="45" t="str">
        <f aca="false">IF($R244="","",INDEX(Anforderungen!$G:$G,$R244))</f>
        <v>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v>
      </c>
      <c r="G244" s="45" t="str">
        <f aca="false">IF($R244="","",INDEX(Anforderungen!$I:$I,$R244))</f>
        <v>offen</v>
      </c>
      <c r="H244" s="45" t="str">
        <f aca="false">IF($R244="","",INDEX(Anforderungen!$J:$J,$R244))</f>
        <v>–</v>
      </c>
      <c r="I244" s="45" t="str">
        <f aca="false">IF($R244="","",INDEX(Anforderungen!$K:$K,$R244))</f>
        <v>erfasst</v>
      </c>
      <c r="J244" s="46" t="n">
        <f aca="false">IF($R244="","",INDEX(Anforderungen!$L:$L,$R244))</f>
        <v>0</v>
      </c>
      <c r="K244" s="45" t="n">
        <f aca="false">IF($R244="","",INDEX(Anforderungen!$M:$M,$R244))</f>
        <v>0</v>
      </c>
      <c r="R244" s="0" t="n">
        <f aca="false">IFERROR(MATCH(ROWS($A$16:$A244),Anforderungen!$O$7:$O$2000,0)+6,"")</f>
        <v>235</v>
      </c>
    </row>
    <row r="245" customFormat="false" ht="30" hidden="false" customHeight="true" outlineLevel="0" collapsed="false">
      <c r="A245" s="45" t="str">
        <f aca="false">IF($R245="","",INDEX(Anforderungen!$B:$B,$R245))</f>
        <v>ANF-230</v>
      </c>
      <c r="B245" s="45" t="str">
        <f aca="false">IF($R245="","",INDEX(Anforderungen!$C:$C,$R245))</f>
        <v>Bieterfragenkatalog</v>
      </c>
      <c r="C245" s="45" t="str">
        <f aca="false">IF($R245="","",INDEX(Anforderungen!$D:$D,$R245))</f>
        <v>Nr. 178 / S. 16</v>
      </c>
      <c r="D245" s="45" t="str">
        <f aca="false">IF($R245="","",INDEX(Anforderungen!$E:$E,$R245))</f>
        <v>Bau &amp; Dokumentation</v>
      </c>
      <c r="E245" s="45" t="str">
        <f aca="false">IF($R245="","",INDEX(Anforderungen!$F:$F,$R245))</f>
        <v>Klarstellung: Ihre Annahme ist unzutreffend. Die allgemeinen Anforderungen inkl.</v>
      </c>
      <c r="F245" s="45" t="str">
        <f aca="false">IF($R245="","",INDEX(Anforderungen!$G:$G,$R245))</f>
        <v>Gehen wir recht in der Annahme, dass die allgemeinen Voraussetzungen für eine Bau- und Betriebsfreigabe durch die Zentrale der Autobahn GmbH als Maximalumfang definiert wird und die Niederlassungen keine strengeren oder zusätzlichen Anforderungen stellen dürfen?</v>
      </c>
      <c r="G245" s="45" t="str">
        <f aca="false">IF($R245="","",INDEX(Anforderungen!$I:$I,$R245))</f>
        <v>offen</v>
      </c>
      <c r="H245" s="45" t="str">
        <f aca="false">IF($R245="","",INDEX(Anforderungen!$J:$J,$R245))</f>
        <v>–</v>
      </c>
      <c r="I245" s="45" t="str">
        <f aca="false">IF($R245="","",INDEX(Anforderungen!$K:$K,$R245))</f>
        <v>erfasst</v>
      </c>
      <c r="J245" s="46" t="n">
        <f aca="false">IF($R245="","",INDEX(Anforderungen!$L:$L,$R245))</f>
        <v>0</v>
      </c>
      <c r="K245" s="45" t="n">
        <f aca="false">IF($R245="","",INDEX(Anforderungen!$M:$M,$R245))</f>
        <v>0</v>
      </c>
      <c r="R245" s="0" t="n">
        <f aca="false">IFERROR(MATCH(ROWS($A$16:$A245),Anforderungen!$O$7:$O$2000,0)+6,"")</f>
        <v>236</v>
      </c>
    </row>
    <row r="246" customFormat="false" ht="30" hidden="false" customHeight="true" outlineLevel="0" collapsed="false">
      <c r="A246" s="45" t="str">
        <f aca="false">IF($R246="","",INDEX(Anforderungen!$B:$B,$R246))</f>
        <v>ANF-231</v>
      </c>
      <c r="B246" s="45" t="str">
        <f aca="false">IF($R246="","",INDEX(Anforderungen!$C:$C,$R246))</f>
        <v>Bieterfragenkatalog</v>
      </c>
      <c r="C246" s="45" t="str">
        <f aca="false">IF($R246="","",INDEX(Anforderungen!$D:$D,$R246))</f>
        <v>Nr. 179 / S. 16</v>
      </c>
      <c r="D246" s="45" t="str">
        <f aca="false">IF($R246="","",INDEX(Anforderungen!$E:$E,$R246))</f>
        <v>Zufahrt &amp; Schranke</v>
      </c>
      <c r="E246" s="45" t="str">
        <f aca="false">IF($R246="","",INDEX(Anforderungen!$F:$F,$R246))</f>
        <v>Verweis des Auftraggebers auf die Antwort zu Bieterfrage 33.</v>
      </c>
      <c r="F246" s="45" t="str">
        <f aca="false">IF($R246="","",INDEX(Anforderungen!$G:$G,$R246))</f>
        <v>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v>
      </c>
      <c r="G246" s="45" t="str">
        <f aca="false">IF($R246="","",INDEX(Anforderungen!$I:$I,$R246))</f>
        <v>SCS / tbd</v>
      </c>
      <c r="H246" s="45" t="str">
        <f aca="false">IF($R246="","",INDEX(Anforderungen!$J:$J,$R246))</f>
        <v>Schrankenanlage / Schrankensteuerung</v>
      </c>
      <c r="I246" s="45" t="str">
        <f aca="false">IF($R246="","",INDEX(Anforderungen!$K:$K,$R246))</f>
        <v>trifft nicht zu</v>
      </c>
      <c r="J246" s="46" t="n">
        <f aca="false">IF($R246="","",INDEX(Anforderungen!$L:$L,$R246))</f>
        <v>0</v>
      </c>
      <c r="K246" s="45" t="str">
        <f aca="false">IF($R246="","",INDEX(Anforderungen!$M:$M,$R246))</f>
        <v>Automatisch ausgewertet: Die Antwort des Auftraggebers verweist ausschließlich auf Bieterfrage 33. Keine eigenständige Anforderung – der Inhalt ist unter der dort erfassten Zeile nachzuhalten.</v>
      </c>
      <c r="R246" s="0" t="n">
        <f aca="false">IFERROR(MATCH(ROWS($A$16:$A246),Anforderungen!$O$7:$O$2000,0)+6,"")</f>
        <v>237</v>
      </c>
    </row>
    <row r="247" customFormat="false" ht="30" hidden="false" customHeight="true" outlineLevel="0" collapsed="false">
      <c r="A247" s="45" t="str">
        <f aca="false">IF($R247="","",INDEX(Anforderungen!$B:$B,$R247))</f>
        <v>ANF-232</v>
      </c>
      <c r="B247" s="45" t="str">
        <f aca="false">IF($R247="","",INDEX(Anforderungen!$C:$C,$R247))</f>
        <v>Bieterfragenkatalog</v>
      </c>
      <c r="C247" s="45" t="str">
        <f aca="false">IF($R247="","",INDEX(Anforderungen!$D:$D,$R247))</f>
        <v>Nr. 180 / S. 16</v>
      </c>
      <c r="D247" s="45" t="str">
        <f aca="false">IF($R247="","",INDEX(Anforderungen!$E:$E,$R247))</f>
        <v>Netzanschluss &amp; Energie</v>
      </c>
      <c r="E247" s="45" t="str">
        <f aca="false">IF($R247="","",INDEX(Anforderungen!$F:$F,$R247))</f>
        <v>Klarstellung: zu a) Ja, der Auftragnehmer darf mit der Planung und Errichtung beginnen, auch bevor der Netzanschluss realisiert wurde. zu b) Die Zahlung des Errichtungsentgelts ohne Inbetriebnahme - etwa bei fehlendem Netzanschluss - richtet …</v>
      </c>
      <c r="F247" s="45" t="str">
        <f aca="false">IF($R247="","",INDEX(Anforderungen!$G:$G,$R247))</f>
        <v>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v>
      </c>
      <c r="G247" s="45" t="str">
        <f aca="false">IF($R247="","",INDEX(Anforderungen!$I:$I,$R247))</f>
        <v>offen</v>
      </c>
      <c r="H247" s="45" t="str">
        <f aca="false">IF($R247="","",INDEX(Anforderungen!$J:$J,$R247))</f>
        <v>–</v>
      </c>
      <c r="I247" s="45" t="str">
        <f aca="false">IF($R247="","",INDEX(Anforderungen!$K:$K,$R247))</f>
        <v>erfasst</v>
      </c>
      <c r="J247" s="46" t="n">
        <f aca="false">IF($R247="","",INDEX(Anforderungen!$L:$L,$R247))</f>
        <v>0</v>
      </c>
      <c r="K247" s="45" t="n">
        <f aca="false">IF($R247="","",INDEX(Anforderungen!$M:$M,$R247))</f>
        <v>0</v>
      </c>
      <c r="R247" s="0" t="n">
        <f aca="false">IFERROR(MATCH(ROWS($A$16:$A247),Anforderungen!$O$7:$O$2000,0)+6,"")</f>
        <v>238</v>
      </c>
    </row>
    <row r="248" customFormat="false" ht="30" hidden="false" customHeight="true" outlineLevel="0" collapsed="false">
      <c r="A248" s="45" t="str">
        <f aca="false">IF($R248="","",INDEX(Anforderungen!$B:$B,$R248))</f>
        <v>ANF-233</v>
      </c>
      <c r="B248" s="45" t="str">
        <f aca="false">IF($R248="","",INDEX(Anforderungen!$C:$C,$R248))</f>
        <v>Bieterfragenkatalog</v>
      </c>
      <c r="C248" s="45" t="str">
        <f aca="false">IF($R248="","",INDEX(Anforderungen!$D:$D,$R248))</f>
        <v>Nr. 181 / S. 16</v>
      </c>
      <c r="D248" s="45" t="str">
        <f aca="false">IF($R248="","",INDEX(Anforderungen!$E:$E,$R248))</f>
        <v>Netzanschluss &amp; Energie</v>
      </c>
      <c r="E248" s="45" t="str">
        <f aca="false">IF($R248="","",INDEX(Anforderungen!$F:$F,$R248))</f>
        <v>Bestätigt: die Beauftragung des Netzanschlusses obliegt dem Auftraggeber.</v>
      </c>
      <c r="F248" s="45" t="str">
        <f aca="false">IF($R248="","",INDEX(Anforderungen!$G:$G,$R248))</f>
        <v>Gehen wir recht in der Annahme, dass die Bereitstellungskosten auch sämtliche Aufwände für die Erstellung der Dokumentation und die Bereitstellung der Formvordrucke für den Netzbetreiber beinhalten?</v>
      </c>
      <c r="G248" s="45" t="str">
        <f aca="false">IF($R248="","",INDEX(Anforderungen!$I:$I,$R248))</f>
        <v>offen</v>
      </c>
      <c r="H248" s="45" t="str">
        <f aca="false">IF($R248="","",INDEX(Anforderungen!$J:$J,$R248))</f>
        <v>–</v>
      </c>
      <c r="I248" s="45" t="str">
        <f aca="false">IF($R248="","",INDEX(Anforderungen!$K:$K,$R248))</f>
        <v>erfasst</v>
      </c>
      <c r="J248" s="46" t="n">
        <f aca="false">IF($R248="","",INDEX(Anforderungen!$L:$L,$R248))</f>
        <v>0</v>
      </c>
      <c r="K248" s="45" t="n">
        <f aca="false">IF($R248="","",INDEX(Anforderungen!$M:$M,$R248))</f>
        <v>0</v>
      </c>
      <c r="R248" s="0" t="n">
        <f aca="false">IFERROR(MATCH(ROWS($A$16:$A248),Anforderungen!$O$7:$O$2000,0)+6,"")</f>
        <v>239</v>
      </c>
    </row>
    <row r="249" customFormat="false" ht="30" hidden="false" customHeight="true" outlineLevel="0" collapsed="false">
      <c r="A249" s="45" t="str">
        <f aca="false">IF($R249="","",INDEX(Anforderungen!$B:$B,$R249))</f>
        <v>ANF-234</v>
      </c>
      <c r="B249" s="45" t="str">
        <f aca="false">IF($R249="","",INDEX(Anforderungen!$C:$C,$R249))</f>
        <v>Bieterfragenkatalog</v>
      </c>
      <c r="C249" s="45" t="str">
        <f aca="false">IF($R249="","",INDEX(Anforderungen!$D:$D,$R249))</f>
        <v>Nr. 182 / S. 16</v>
      </c>
      <c r="D249" s="45" t="str">
        <f aca="false">IF($R249="","",INDEX(Anforderungen!$E:$E,$R249))</f>
        <v>Technik Ladeinfrastruktur</v>
      </c>
      <c r="E249" s="45" t="str">
        <f aca="false">IF($R249="","",INDEX(Anforderungen!$F:$F,$R249))</f>
        <v>Bestätigt: die Ladeleistung soll nur einmal zur Verfügung gestellt werden.</v>
      </c>
      <c r="F249" s="45" t="str">
        <f aca="false">IF($R249="","",INDEX(Anforderungen!$G:$G,$R249))</f>
        <v>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v>
      </c>
      <c r="G249" s="45" t="str">
        <f aca="false">IF($R249="","",INDEX(Anforderungen!$I:$I,$R249))</f>
        <v>Alpitronic</v>
      </c>
      <c r="H249" s="45" t="str">
        <f aca="false">IF($R249="","",INDEX(Anforderungen!$J:$J,$R249))</f>
        <v>Ladeeinrichtung</v>
      </c>
      <c r="I249" s="45" t="str">
        <f aca="false">IF($R249="","",INDEX(Anforderungen!$K:$K,$R249))</f>
        <v>erfasst</v>
      </c>
      <c r="J249" s="46" t="n">
        <f aca="false">IF($R249="","",INDEX(Anforderungen!$L:$L,$R249))</f>
        <v>0</v>
      </c>
      <c r="K249" s="45" t="n">
        <f aca="false">IF($R249="","",INDEX(Anforderungen!$M:$M,$R249))</f>
        <v>0</v>
      </c>
      <c r="R249" s="0" t="n">
        <f aca="false">IFERROR(MATCH(ROWS($A$16:$A249),Anforderungen!$O$7:$O$2000,0)+6,"")</f>
        <v>240</v>
      </c>
    </row>
    <row r="250" customFormat="false" ht="30" hidden="false" customHeight="true" outlineLevel="0" collapsed="false">
      <c r="A250" s="45" t="str">
        <f aca="false">IF($R250="","",INDEX(Anforderungen!$B:$B,$R250))</f>
        <v>ANF-235</v>
      </c>
      <c r="B250" s="45" t="str">
        <f aca="false">IF($R250="","",INDEX(Anforderungen!$C:$C,$R250))</f>
        <v>Bieterfragenkatalog</v>
      </c>
      <c r="C250" s="45" t="str">
        <f aca="false">IF($R250="","",INDEX(Anforderungen!$D:$D,$R250))</f>
        <v>Nr. 183 / S. 17</v>
      </c>
      <c r="D250" s="45" t="str">
        <f aca="false">IF($R250="","",INDEX(Anforderungen!$E:$E,$R250))</f>
        <v>Bau &amp; Dokumentation</v>
      </c>
      <c r="E250" s="45" t="str">
        <f aca="false">IF($R250="","",INDEX(Anforderungen!$F:$F,$R250))</f>
        <v>Klarstellung: Die Frage ist für den AG nicht vollständig klar. Folgendes können wir mitteilen: Soweit dem Standard entsprechende Ladeeinrichtungen nicht verfügbar sind, ist dies in den Planungen zu berücksichtigen.</v>
      </c>
      <c r="F250" s="45" t="str">
        <f aca="false">IF($R250="","",INDEX(Anforderungen!$G:$G,$R250))</f>
        <v>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v>
      </c>
      <c r="G250" s="45" t="str">
        <f aca="false">IF($R250="","",INDEX(Anforderungen!$I:$I,$R250))</f>
        <v>Alpitronic</v>
      </c>
      <c r="H250" s="45" t="str">
        <f aca="false">IF($R250="","",INDEX(Anforderungen!$J:$J,$R250))</f>
        <v>Ladeeinrichtung</v>
      </c>
      <c r="I250" s="45" t="str">
        <f aca="false">IF($R250="","",INDEX(Anforderungen!$K:$K,$R250))</f>
        <v>erfasst</v>
      </c>
      <c r="J250" s="46" t="n">
        <f aca="false">IF($R250="","",INDEX(Anforderungen!$L:$L,$R250))</f>
        <v>0</v>
      </c>
      <c r="K250" s="45" t="n">
        <f aca="false">IF($R250="","",INDEX(Anforderungen!$M:$M,$R250))</f>
        <v>0</v>
      </c>
      <c r="R250" s="0" t="n">
        <f aca="false">IFERROR(MATCH(ROWS($A$16:$A250),Anforderungen!$O$7:$O$2000,0)+6,"")</f>
        <v>241</v>
      </c>
    </row>
    <row r="251" customFormat="false" ht="30" hidden="false" customHeight="true" outlineLevel="0" collapsed="false">
      <c r="A251" s="45" t="str">
        <f aca="false">IF($R251="","",INDEX(Anforderungen!$B:$B,$R251))</f>
        <v>ANF-236</v>
      </c>
      <c r="B251" s="45" t="str">
        <f aca="false">IF($R251="","",INDEX(Anforderungen!$C:$C,$R251))</f>
        <v>Bieterfragenkatalog</v>
      </c>
      <c r="C251" s="45" t="str">
        <f aca="false">IF($R251="","",INDEX(Anforderungen!$D:$D,$R251))</f>
        <v>Nr. 184 / S. 17</v>
      </c>
      <c r="D251" s="45" t="str">
        <f aca="false">IF($R251="","",INDEX(Anforderungen!$E:$E,$R251))</f>
        <v>Reservierung</v>
      </c>
      <c r="E251" s="45" t="str">
        <f aca="false">IF($R251="","",INDEX(Anforderungen!$F:$F,$R251))</f>
        <v>Klarstellung: Die Annahme, dass in den genannten Fällen die Betriebsfreigabe erfolgen kann, kann nicht pauschal bestätigt werden.</v>
      </c>
      <c r="F251" s="45" t="str">
        <f aca="false">IF($R251="","",INDEX(Anforderungen!$G:$G,$R251))</f>
        <v>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v>
      </c>
      <c r="G251" s="45" t="str">
        <f aca="false">IF($R251="","",INDEX(Anforderungen!$I:$I,$R251))</f>
        <v>eRound</v>
      </c>
      <c r="H251" s="45" t="str">
        <f aca="false">IF($R251="","",INDEX(Anforderungen!$J:$J,$R251))</f>
        <v>OCPI Buchungskalender</v>
      </c>
      <c r="I251" s="45" t="str">
        <f aca="false">IF($R251="","",INDEX(Anforderungen!$K:$K,$R251))</f>
        <v>erfasst</v>
      </c>
      <c r="J251" s="46" t="n">
        <f aca="false">IF($R251="","",INDEX(Anforderungen!$L:$L,$R251))</f>
        <v>0</v>
      </c>
      <c r="K251" s="45" t="n">
        <f aca="false">IF($R251="","",INDEX(Anforderungen!$M:$M,$R251))</f>
        <v>0</v>
      </c>
      <c r="R251" s="0" t="n">
        <f aca="false">IFERROR(MATCH(ROWS($A$16:$A251),Anforderungen!$O$7:$O$2000,0)+6,"")</f>
        <v>242</v>
      </c>
    </row>
    <row r="252" customFormat="false" ht="30" hidden="false" customHeight="true" outlineLevel="0" collapsed="false">
      <c r="A252" s="45" t="str">
        <f aca="false">IF($R252="","",INDEX(Anforderungen!$B:$B,$R252))</f>
        <v>ANF-237</v>
      </c>
      <c r="B252" s="45" t="str">
        <f aca="false">IF($R252="","",INDEX(Anforderungen!$C:$C,$R252))</f>
        <v>Bieterfragenkatalog</v>
      </c>
      <c r="C252" s="45" t="str">
        <f aca="false">IF($R252="","",INDEX(Anforderungen!$D:$D,$R252))</f>
        <v>Nr. 185 / S. 17</v>
      </c>
      <c r="D252" s="45" t="str">
        <f aca="false">IF($R252="","",INDEX(Anforderungen!$E:$E,$R252))</f>
        <v>Netzanschluss &amp; Energie</v>
      </c>
      <c r="E252" s="45" t="str">
        <f aca="false">IF($R252="","",INDEX(Anforderungen!$F:$F,$R252))</f>
        <v>Klarstellung: Es wird auf die Kostenerstattungsregelung in §44 Abs. 2 des Vertrages verwiesen.</v>
      </c>
      <c r="F252" s="45" t="str">
        <f aca="false">IF($R252="","",INDEX(Anforderungen!$G:$G,$R252))</f>
        <v>Im Falle, dass der AN die Instandhaltung eines Speichers übernehmen soll, bitten wir um eine vertragliche Konkretisierung über den Umfang der Instandhaltungsverpflichtungen sowie die Verantwortung für Leistungsverluste.</v>
      </c>
      <c r="G252" s="45" t="str">
        <f aca="false">IF($R252="","",INDEX(Anforderungen!$I:$I,$R252))</f>
        <v>offen</v>
      </c>
      <c r="H252" s="45" t="str">
        <f aca="false">IF($R252="","",INDEX(Anforderungen!$J:$J,$R252))</f>
        <v>–</v>
      </c>
      <c r="I252" s="45" t="str">
        <f aca="false">IF($R252="","",INDEX(Anforderungen!$K:$K,$R252))</f>
        <v>erfasst</v>
      </c>
      <c r="J252" s="46" t="n">
        <f aca="false">IF($R252="","",INDEX(Anforderungen!$L:$L,$R252))</f>
        <v>0</v>
      </c>
      <c r="K252" s="45" t="n">
        <f aca="false">IF($R252="","",INDEX(Anforderungen!$M:$M,$R252))</f>
        <v>0</v>
      </c>
      <c r="R252" s="0" t="n">
        <f aca="false">IFERROR(MATCH(ROWS($A$16:$A252),Anforderungen!$O$7:$O$2000,0)+6,"")</f>
        <v>243</v>
      </c>
    </row>
    <row r="253" customFormat="false" ht="30" hidden="false" customHeight="true" outlineLevel="0" collapsed="false">
      <c r="A253" s="45" t="str">
        <f aca="false">IF($R253="","",INDEX(Anforderungen!$B:$B,$R253))</f>
        <v>ANF-238</v>
      </c>
      <c r="B253" s="45" t="str">
        <f aca="false">IF($R253="","",INDEX(Anforderungen!$C:$C,$R253))</f>
        <v>Bieterfragenkatalog</v>
      </c>
      <c r="C253" s="45" t="str">
        <f aca="false">IF($R253="","",INDEX(Anforderungen!$D:$D,$R253))</f>
        <v>Nr. 186 / S. 17</v>
      </c>
      <c r="D253" s="45" t="str">
        <f aca="false">IF($R253="","",INDEX(Anforderungen!$E:$E,$R253))</f>
        <v>Reservierung</v>
      </c>
      <c r="E253" s="45" t="str">
        <f aca="false">IF($R253="","",INDEX(Anforderungen!$F:$F,$R253))</f>
        <v>Klarstellung: Die Umsetzung der OCPI-Schnittstelle muss spätestens erfolgt sein, wenn entsprechende Reservierungsdienstleistungen über Reservierungsplattformen bzw. von Roaminganbietern zentral ermöglicht und angeboten werden.</v>
      </c>
      <c r="F253" s="45" t="str">
        <f aca="false">IF($R253="","",INDEX(Anforderungen!$G:$G,$R253))</f>
        <v>Bitte spezifizieren Sie die Frist zur Umsetzung der OCPI-Schnittstelle für die Reservierungsfunktion.</v>
      </c>
      <c r="G253" s="45" t="str">
        <f aca="false">IF($R253="","",INDEX(Anforderungen!$I:$I,$R253))</f>
        <v>eRound / Reservierungsplattform</v>
      </c>
      <c r="H253" s="45" t="str">
        <f aca="false">IF($R253="","",INDEX(Anforderungen!$J:$J,$R253))</f>
        <v>OCPI Buchungskalender / Reservierungsplattform</v>
      </c>
      <c r="I253" s="45" t="str">
        <f aca="false">IF($R253="","",INDEX(Anforderungen!$K:$K,$R253))</f>
        <v>erfasst</v>
      </c>
      <c r="J253" s="46" t="n">
        <f aca="false">IF($R253="","",INDEX(Anforderungen!$L:$L,$R253))</f>
        <v>0</v>
      </c>
      <c r="K253" s="45" t="n">
        <f aca="false">IF($R253="","",INDEX(Anforderungen!$M:$M,$R253))</f>
        <v>0</v>
      </c>
      <c r="R253" s="0" t="n">
        <f aca="false">IFERROR(MATCH(ROWS($A$16:$A253),Anforderungen!$O$7:$O$2000,0)+6,"")</f>
        <v>244</v>
      </c>
    </row>
    <row r="254" customFormat="false" ht="30" hidden="false" customHeight="true" outlineLevel="0" collapsed="false">
      <c r="A254" s="45" t="str">
        <f aca="false">IF($R254="","",INDEX(Anforderungen!$B:$B,$R254))</f>
        <v>ANF-239</v>
      </c>
      <c r="B254" s="45" t="str">
        <f aca="false">IF($R254="","",INDEX(Anforderungen!$C:$C,$R254))</f>
        <v>Bieterfragenkatalog</v>
      </c>
      <c r="C254" s="45" t="str">
        <f aca="false">IF($R254="","",INDEX(Anforderungen!$D:$D,$R254))</f>
        <v>Nr. 187 / S. 17</v>
      </c>
      <c r="D254" s="45" t="str">
        <f aca="false">IF($R254="","",INDEX(Anforderungen!$E:$E,$R254))</f>
        <v>Netzanschluss &amp; Energie</v>
      </c>
      <c r="E254" s="45" t="str">
        <f aca="false">IF($R254="","",INDEX(Anforderungen!$F:$F,$R254))</f>
        <v>Bestätigt: die THG-Quoten generiert nach aktueller Rechtslage der Auftragnehmer als CPO.</v>
      </c>
      <c r="F254" s="45" t="str">
        <f aca="false">IF($R254="","",INDEX(Anforderungen!$G:$G,$R254))</f>
        <v>Gehen wir recht in der Annahme, dass die Treibhausgas-Minderungsquote im Sinne der Vorschriften des BImSchG ("THG-Quoten") ebenso für geladene Mengen im Rahmen des Durchleitungsmodells für den AN anrechenbar sind?</v>
      </c>
      <c r="G254" s="45" t="str">
        <f aca="false">IF($R254="","",INDEX(Anforderungen!$I:$I,$R254))</f>
        <v>offen</v>
      </c>
      <c r="H254" s="45" t="str">
        <f aca="false">IF($R254="","",INDEX(Anforderungen!$J:$J,$R254))</f>
        <v>–</v>
      </c>
      <c r="I254" s="45" t="str">
        <f aca="false">IF($R254="","",INDEX(Anforderungen!$K:$K,$R254))</f>
        <v>erfasst</v>
      </c>
      <c r="J254" s="46" t="n">
        <f aca="false">IF($R254="","",INDEX(Anforderungen!$L:$L,$R254))</f>
        <v>0</v>
      </c>
      <c r="K254" s="45" t="n">
        <f aca="false">IF($R254="","",INDEX(Anforderungen!$M:$M,$R254))</f>
        <v>0</v>
      </c>
      <c r="R254" s="0" t="n">
        <f aca="false">IFERROR(MATCH(ROWS($A$16:$A254),Anforderungen!$O$7:$O$2000,0)+6,"")</f>
        <v>245</v>
      </c>
    </row>
    <row r="255" customFormat="false" ht="30" hidden="false" customHeight="true" outlineLevel="0" collapsed="false">
      <c r="A255" s="45" t="str">
        <f aca="false">IF($R255="","",INDEX(Anforderungen!$B:$B,$R255))</f>
        <v>ANF-240</v>
      </c>
      <c r="B255" s="45" t="str">
        <f aca="false">IF($R255="","",INDEX(Anforderungen!$C:$C,$R255))</f>
        <v>Bieterfragenkatalog</v>
      </c>
      <c r="C255" s="45" t="str">
        <f aca="false">IF($R255="","",INDEX(Anforderungen!$D:$D,$R255))</f>
        <v>Nr. 188 / S. 17</v>
      </c>
      <c r="D255" s="45" t="str">
        <f aca="false">IF($R255="","",INDEX(Anforderungen!$E:$E,$R255))</f>
        <v>Netzanschluss &amp; Energie</v>
      </c>
      <c r="E255" s="45" t="str">
        <f aca="false">IF($R255="","",INDEX(Anforderungen!$F:$F,$R255))</f>
        <v>Klarstellung: Der Vertragsschluss ist vom MSP diskriminierungsfrei anzubieten. Es steht den Parteien frei, Abweichungen zu vereinbaren, die der Auftragnehmer dritten MSP dann ebenfalls diskriminierungsfrei anbieten muss.</v>
      </c>
      <c r="F255" s="45" t="str">
        <f aca="false">IF($R255="","",INDEX(Anforderungen!$G:$G,$R255))</f>
        <v>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v>
      </c>
      <c r="G255" s="45" t="str">
        <f aca="false">IF($R255="","",INDEX(Anforderungen!$I:$I,$R255))</f>
        <v>offen</v>
      </c>
      <c r="H255" s="45" t="str">
        <f aca="false">IF($R255="","",INDEX(Anforderungen!$J:$J,$R255))</f>
        <v>–</v>
      </c>
      <c r="I255" s="45" t="str">
        <f aca="false">IF($R255="","",INDEX(Anforderungen!$K:$K,$R255))</f>
        <v>erfasst</v>
      </c>
      <c r="J255" s="46" t="n">
        <f aca="false">IF($R255="","",INDEX(Anforderungen!$L:$L,$R255))</f>
        <v>0</v>
      </c>
      <c r="K255" s="45" t="n">
        <f aca="false">IF($R255="","",INDEX(Anforderungen!$M:$M,$R255))</f>
        <v>0</v>
      </c>
      <c r="R255" s="0" t="n">
        <f aca="false">IFERROR(MATCH(ROWS($A$16:$A255),Anforderungen!$O$7:$O$2000,0)+6,"")</f>
        <v>246</v>
      </c>
    </row>
    <row r="256" customFormat="false" ht="30" hidden="false" customHeight="true" outlineLevel="0" collapsed="false">
      <c r="A256" s="45" t="str">
        <f aca="false">IF($R256="","",INDEX(Anforderungen!$B:$B,$R256))</f>
        <v>ANF-241</v>
      </c>
      <c r="B256" s="45" t="str">
        <f aca="false">IF($R256="","",INDEX(Anforderungen!$C:$C,$R256))</f>
        <v>Bieterfragenkatalog</v>
      </c>
      <c r="C256" s="45" t="str">
        <f aca="false">IF($R256="","",INDEX(Anforderungen!$D:$D,$R256))</f>
        <v>Nr. 189 / S. 17</v>
      </c>
      <c r="D256" s="45" t="str">
        <f aca="false">IF($R256="","",INDEX(Anforderungen!$E:$E,$R256))</f>
        <v>Betrieb &amp; Auslastung</v>
      </c>
      <c r="E256" s="45" t="str">
        <f aca="false">IF($R256="","",INDEX(Anforderungen!$F:$F,$R256))</f>
        <v>Klarstellung: Der AG plant keine separate Schnittstelle, die die vom Endnutzer an den AG übermittelten Störungsmeldungen an den AN weitersendet.</v>
      </c>
      <c r="F256" s="45" t="str">
        <f aca="false">IF($R256="","",INDEX(Anforderungen!$G:$G,$R256))</f>
        <v>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v>
      </c>
      <c r="G256" s="45" t="str">
        <f aca="false">IF($R256="","",INDEX(Anforderungen!$I:$I,$R256))</f>
        <v>eRound</v>
      </c>
      <c r="H256" s="45" t="str">
        <f aca="false">IF($R256="","",INDEX(Anforderungen!$J:$J,$R256))</f>
        <v>Monitoring</v>
      </c>
      <c r="I256" s="45" t="str">
        <f aca="false">IF($R256="","",INDEX(Anforderungen!$K:$K,$R256))</f>
        <v>erfasst</v>
      </c>
      <c r="J256" s="46" t="n">
        <f aca="false">IF($R256="","",INDEX(Anforderungen!$L:$L,$R256))</f>
        <v>0</v>
      </c>
      <c r="K256" s="45" t="n">
        <f aca="false">IF($R256="","",INDEX(Anforderungen!$M:$M,$R256))</f>
        <v>0</v>
      </c>
      <c r="R256" s="0" t="n">
        <f aca="false">IFERROR(MATCH(ROWS($A$16:$A256),Anforderungen!$O$7:$O$2000,0)+6,"")</f>
        <v>247</v>
      </c>
    </row>
    <row r="257" customFormat="false" ht="30" hidden="false" customHeight="true" outlineLevel="0" collapsed="false">
      <c r="A257" s="45" t="str">
        <f aca="false">IF($R257="","",INDEX(Anforderungen!$B:$B,$R257))</f>
        <v>ANF-242</v>
      </c>
      <c r="B257" s="45" t="str">
        <f aca="false">IF($R257="","",INDEX(Anforderungen!$C:$C,$R257))</f>
        <v>Bieterfragenkatalog</v>
      </c>
      <c r="C257" s="45" t="str">
        <f aca="false">IF($R257="","",INDEX(Anforderungen!$D:$D,$R257))</f>
        <v>Nr. 190 / S. 17</v>
      </c>
      <c r="D257" s="45" t="str">
        <f aca="false">IF($R257="","",INDEX(Anforderungen!$E:$E,$R257))</f>
        <v>Authentifizierung &amp; Zugang</v>
      </c>
      <c r="E257" s="45" t="str">
        <f aca="false">IF($R257="","",INDEX(Anforderungen!$F:$F,$R257))</f>
        <v>Klarstellung: Die genannte Frist beginnt mit Inkrafttreten des verbindlichen Standards.</v>
      </c>
      <c r="F257" s="45" t="str">
        <f aca="false">IF($R257="","",INDEX(Anforderungen!$G:$G,$R257))</f>
        <v>Gehen wir recht in der Annahme, dass die genannte Frist mit Verabschiedung eines Gesetzes bzw. einer Verordnung beginnt, welche die Verbindlichkeit des Standards zur Authentifizierung vorgibt?</v>
      </c>
      <c r="G257" s="45" t="str">
        <f aca="false">IF($R257="","",INDEX(Anforderungen!$I:$I,$R257))</f>
        <v>eRound</v>
      </c>
      <c r="H257" s="45" t="str">
        <f aca="false">IF($R257="","",INDEX(Anforderungen!$J:$J,$R257))</f>
        <v>Authentifizierungskomponente</v>
      </c>
      <c r="I257" s="45" t="str">
        <f aca="false">IF($R257="","",INDEX(Anforderungen!$K:$K,$R257))</f>
        <v>erfasst</v>
      </c>
      <c r="J257" s="46" t="n">
        <f aca="false">IF($R257="","",INDEX(Anforderungen!$L:$L,$R257))</f>
        <v>0</v>
      </c>
      <c r="K257" s="45" t="n">
        <f aca="false">IF($R257="","",INDEX(Anforderungen!$M:$M,$R257))</f>
        <v>0</v>
      </c>
      <c r="R257" s="0" t="n">
        <f aca="false">IFERROR(MATCH(ROWS($A$16:$A257),Anforderungen!$O$7:$O$2000,0)+6,"")</f>
        <v>248</v>
      </c>
    </row>
    <row r="258" customFormat="false" ht="30" hidden="false" customHeight="true" outlineLevel="0" collapsed="false">
      <c r="A258" s="45" t="str">
        <f aca="false">IF($R258="","",INDEX(Anforderungen!$B:$B,$R258))</f>
        <v>ANF-243</v>
      </c>
      <c r="B258" s="45" t="str">
        <f aca="false">IF($R258="","",INDEX(Anforderungen!$C:$C,$R258))</f>
        <v>Bieterfragenkatalog</v>
      </c>
      <c r="C258" s="45" t="str">
        <f aca="false">IF($R258="","",INDEX(Anforderungen!$D:$D,$R258))</f>
        <v>Nr. 191 / S. 17</v>
      </c>
      <c r="D258" s="45" t="str">
        <f aca="false">IF($R258="","",INDEX(Anforderungen!$E:$E,$R258))</f>
        <v>Vergabeverfahren &amp; Angebot</v>
      </c>
      <c r="E258" s="45" t="str">
        <f aca="false">IF($R258="","",INDEX(Anforderungen!$F:$F,$R258))</f>
        <v>Klarstellung: Soweit ein Bieter Verhandlungsbedarfe hat, bitten wir darum, das Formblatt A6 zu verwenden und dieses mit dem Erstangebot einzureichen.</v>
      </c>
      <c r="F258" s="45" t="str">
        <f aca="false">IF($R258="","",INDEX(Anforderungen!$G:$G,$R258))</f>
        <v>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v>
      </c>
      <c r="G258" s="45" t="str">
        <f aca="false">IF($R258="","",INDEX(Anforderungen!$I:$I,$R258))</f>
        <v>offen</v>
      </c>
      <c r="H258" s="45" t="str">
        <f aca="false">IF($R258="","",INDEX(Anforderungen!$J:$J,$R258))</f>
        <v>–</v>
      </c>
      <c r="I258" s="45" t="str">
        <f aca="false">IF($R258="","",INDEX(Anforderungen!$K:$K,$R258))</f>
        <v>trifft nicht zu</v>
      </c>
      <c r="J258" s="46" t="n">
        <f aca="false">IF($R258="","",INDEX(Anforderungen!$L:$L,$R258))</f>
        <v>0</v>
      </c>
      <c r="K258" s="45" t="str">
        <f aca="false">IF($R258="","",INDEX(Anforderungen!$M:$M,$R258))</f>
        <v>Automatisch ausgewertet: Betrifft das Vergabeverfahren (Angebot, Wertung, Unterlagen), nicht die zu erbringende Leistung. Keiner Komponente zugeordnet.</v>
      </c>
      <c r="R258" s="0" t="n">
        <f aca="false">IFERROR(MATCH(ROWS($A$16:$A258),Anforderungen!$O$7:$O$2000,0)+6,"")</f>
        <v>249</v>
      </c>
    </row>
    <row r="259" customFormat="false" ht="30" hidden="false" customHeight="true" outlineLevel="0" collapsed="false">
      <c r="A259" s="45" t="str">
        <f aca="false">IF($R259="","",INDEX(Anforderungen!$B:$B,$R259))</f>
        <v>ANF-244</v>
      </c>
      <c r="B259" s="45" t="str">
        <f aca="false">IF($R259="","",INDEX(Anforderungen!$C:$C,$R259))</f>
        <v>Bieterfragenkatalog</v>
      </c>
      <c r="C259" s="45" t="str">
        <f aca="false">IF($R259="","",INDEX(Anforderungen!$D:$D,$R259))</f>
        <v>Nr. 192 / S. 17</v>
      </c>
      <c r="D259" s="45" t="str">
        <f aca="false">IF($R259="","",INDEX(Anforderungen!$E:$E,$R259))</f>
        <v>Technik Ladeinfrastruktur</v>
      </c>
      <c r="E259" s="45" t="str">
        <f aca="false">IF($R259="","",INDEX(Anforderungen!$F:$F,$R259))</f>
        <v>Klarstellung: Ihre Annahme ist zutreffend. Maßgeblich sind die Anforderungen an die Ladeeinrichtungen, wie sie sich aus Vertragsanlage 6 ergeben.</v>
      </c>
      <c r="F259" s="45" t="str">
        <f aca="false">IF($R259="","",INDEX(Anforderungen!$G:$G,$R259))</f>
        <v>Gehen wir recht in der Annahme, dass es seitens der AG keine Ausschlusskriterien zu Hardwareherstellern gibt, basierend auf dem Herstellerland, solange die Anforderungen zur Ladeeinrichtung gewährleistet sind?</v>
      </c>
      <c r="G259" s="45" t="str">
        <f aca="false">IF($R259="","",INDEX(Anforderungen!$I:$I,$R259))</f>
        <v>Alpitronic</v>
      </c>
      <c r="H259" s="45" t="str">
        <f aca="false">IF($R259="","",INDEX(Anforderungen!$J:$J,$R259))</f>
        <v>Ladeeinrichtung</v>
      </c>
      <c r="I259" s="45" t="str">
        <f aca="false">IF($R259="","",INDEX(Anforderungen!$K:$K,$R259))</f>
        <v>erfasst</v>
      </c>
      <c r="J259" s="46" t="n">
        <f aca="false">IF($R259="","",INDEX(Anforderungen!$L:$L,$R259))</f>
        <v>0</v>
      </c>
      <c r="K259" s="45" t="n">
        <f aca="false">IF($R259="","",INDEX(Anforderungen!$M:$M,$R259))</f>
        <v>0</v>
      </c>
      <c r="R259" s="0" t="n">
        <f aca="false">IFERROR(MATCH(ROWS($A$16:$A259),Anforderungen!$O$7:$O$2000,0)+6,"")</f>
        <v>250</v>
      </c>
    </row>
    <row r="260" customFormat="false" ht="30" hidden="false" customHeight="true" outlineLevel="0" collapsed="false">
      <c r="A260" s="45" t="str">
        <f aca="false">IF($R260="","",INDEX(Anforderungen!$B:$B,$R260))</f>
        <v>ANF-245</v>
      </c>
      <c r="B260" s="45" t="str">
        <f aca="false">IF($R260="","",INDEX(Anforderungen!$C:$C,$R260))</f>
        <v>Bieterfragenkatalog</v>
      </c>
      <c r="C260" s="45" t="str">
        <f aca="false">IF($R260="","",INDEX(Anforderungen!$D:$D,$R260))</f>
        <v>Nr. 193 / S. 17</v>
      </c>
      <c r="D260" s="45" t="str">
        <f aca="false">IF($R260="","",INDEX(Anforderungen!$E:$E,$R260))</f>
        <v>Bau &amp; Dokumentation</v>
      </c>
      <c r="E260" s="45" t="str">
        <f aca="false">IF($R260="","",INDEX(Anforderungen!$F:$F,$R260))</f>
        <v>Klarstellung: Ihre Annahme ist nicht zutreffend. Grundsätzlich trägt der AN dafür Sorge, dass Baustrom- und Bauwasser vor Ort sichergestellt ist.</v>
      </c>
      <c r="F260" s="45" t="str">
        <f aca="false">IF($R260="","",INDEX(Anforderungen!$G:$G,$R260))</f>
        <v>Gehen wir recht in der Annahme, dass an jedem Standort Wasser- und Stromanschlüsse sichergestellt sind, auf die der AN im Rahmen der Baustelleneinrichtung zugreifen kann?</v>
      </c>
      <c r="G260" s="45" t="str">
        <f aca="false">IF($R260="","",INDEX(Anforderungen!$I:$I,$R260))</f>
        <v>offen</v>
      </c>
      <c r="H260" s="45" t="str">
        <f aca="false">IF($R260="","",INDEX(Anforderungen!$J:$J,$R260))</f>
        <v>–</v>
      </c>
      <c r="I260" s="45" t="str">
        <f aca="false">IF($R260="","",INDEX(Anforderungen!$K:$K,$R260))</f>
        <v>erfasst</v>
      </c>
      <c r="J260" s="46" t="n">
        <f aca="false">IF($R260="","",INDEX(Anforderungen!$L:$L,$R260))</f>
        <v>0</v>
      </c>
      <c r="K260" s="45" t="n">
        <f aca="false">IF($R260="","",INDEX(Anforderungen!$M:$M,$R260))</f>
        <v>0</v>
      </c>
      <c r="R260" s="0" t="n">
        <f aca="false">IFERROR(MATCH(ROWS($A$16:$A260),Anforderungen!$O$7:$O$2000,0)+6,"")</f>
        <v>251</v>
      </c>
    </row>
    <row r="261" customFormat="false" ht="30" hidden="false" customHeight="true" outlineLevel="0" collapsed="false">
      <c r="A261" s="45" t="str">
        <f aca="false">IF($R261="","",INDEX(Anforderungen!$B:$B,$R261))</f>
        <v>ANF-246</v>
      </c>
      <c r="B261" s="45" t="str">
        <f aca="false">IF($R261="","",INDEX(Anforderungen!$C:$C,$R261))</f>
        <v>Bieterfragenkatalog</v>
      </c>
      <c r="C261" s="45" t="str">
        <f aca="false">IF($R261="","",INDEX(Anforderungen!$D:$D,$R261))</f>
        <v>Nr. 194 / S. 18</v>
      </c>
      <c r="D261" s="45" t="str">
        <f aca="false">IF($R261="","",INDEX(Anforderungen!$E:$E,$R261))</f>
        <v>Flächen &amp; Genehmigungen</v>
      </c>
      <c r="E261" s="45" t="str">
        <f aca="false">IF($R261="","",INDEX(Anforderungen!$F:$F,$R261))</f>
        <v>Klarstellung: Die Leistungseinheiten sind als Teil der Ladetechnik und Teil der Rastanlage zu verstehen.</v>
      </c>
      <c r="F261" s="45" t="str">
        <f aca="false">IF($R261="","",INDEX(Anforderungen!$G:$G,$R261))</f>
        <v>Sehen die AG vor, dass der AN eine externe Beleuchtung für die Leistungseinheiten je Standort installiert?</v>
      </c>
      <c r="G261" s="45" t="str">
        <f aca="false">IF($R261="","",INDEX(Anforderungen!$I:$I,$R261))</f>
        <v>Alpitronic</v>
      </c>
      <c r="H261" s="45" t="str">
        <f aca="false">IF($R261="","",INDEX(Anforderungen!$J:$J,$R261))</f>
        <v>Ladeeinrichtung</v>
      </c>
      <c r="I261" s="45" t="str">
        <f aca="false">IF($R261="","",INDEX(Anforderungen!$K:$K,$R261))</f>
        <v>erfasst</v>
      </c>
      <c r="J261" s="46" t="n">
        <f aca="false">IF($R261="","",INDEX(Anforderungen!$L:$L,$R261))</f>
        <v>0</v>
      </c>
      <c r="K261" s="45" t="n">
        <f aca="false">IF($R261="","",INDEX(Anforderungen!$M:$M,$R261))</f>
        <v>0</v>
      </c>
      <c r="R261" s="0" t="n">
        <f aca="false">IFERROR(MATCH(ROWS($A$16:$A261),Anforderungen!$O$7:$O$2000,0)+6,"")</f>
        <v>252</v>
      </c>
    </row>
    <row r="262" customFormat="false" ht="30" hidden="false" customHeight="true" outlineLevel="0" collapsed="false">
      <c r="A262" s="45" t="str">
        <f aca="false">IF($R262="","",INDEX(Anforderungen!$B:$B,$R262))</f>
        <v>ANF-247</v>
      </c>
      <c r="B262" s="45" t="str">
        <f aca="false">IF($R262="","",INDEX(Anforderungen!$C:$C,$R262))</f>
        <v>Bieterfragenkatalog</v>
      </c>
      <c r="C262" s="45" t="str">
        <f aca="false">IF($R262="","",INDEX(Anforderungen!$D:$D,$R262))</f>
        <v>Nr. 195 / S. 18</v>
      </c>
      <c r="D262" s="45" t="str">
        <f aca="false">IF($R262="","",INDEX(Anforderungen!$E:$E,$R262))</f>
        <v>Flächen &amp; Genehmigungen</v>
      </c>
      <c r="E262" s="45" t="str">
        <f aca="false">IF($R262="","",INDEX(Anforderungen!$F:$F,$R262))</f>
        <v>Klarstellung: Ihre Annahme ist unzutreffend. Im Leistungsumfang ist die gesamte unterirdische Vermessung (einschl.</v>
      </c>
      <c r="F262" s="45" t="str">
        <f aca="false">IF($R262="","",INDEX(Anforderungen!$G:$G,$R262))</f>
        <v>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v>
      </c>
      <c r="G262" s="45" t="str">
        <f aca="false">IF($R262="","",INDEX(Anforderungen!$I:$I,$R262))</f>
        <v>offen</v>
      </c>
      <c r="H262" s="45" t="str">
        <f aca="false">IF($R262="","",INDEX(Anforderungen!$J:$J,$R262))</f>
        <v>–</v>
      </c>
      <c r="I262" s="45" t="str">
        <f aca="false">IF($R262="","",INDEX(Anforderungen!$K:$K,$R262))</f>
        <v>erfasst</v>
      </c>
      <c r="J262" s="46" t="n">
        <f aca="false">IF($R262="","",INDEX(Anforderungen!$L:$L,$R262))</f>
        <v>0</v>
      </c>
      <c r="K262" s="45" t="n">
        <f aca="false">IF($R262="","",INDEX(Anforderungen!$M:$M,$R262))</f>
        <v>0</v>
      </c>
      <c r="R262" s="0" t="n">
        <f aca="false">IFERROR(MATCH(ROWS($A$16:$A262),Anforderungen!$O$7:$O$2000,0)+6,"")</f>
        <v>253</v>
      </c>
    </row>
    <row r="263" customFormat="false" ht="30" hidden="false" customHeight="true" outlineLevel="0" collapsed="false">
      <c r="A263" s="45" t="str">
        <f aca="false">IF($R263="","",INDEX(Anforderungen!$B:$B,$R263))</f>
        <v>ANF-248</v>
      </c>
      <c r="B263" s="45" t="str">
        <f aca="false">IF($R263="","",INDEX(Anforderungen!$C:$C,$R263))</f>
        <v>Bieterfragenkatalog</v>
      </c>
      <c r="C263" s="45" t="str">
        <f aca="false">IF($R263="","",INDEX(Anforderungen!$D:$D,$R263))</f>
        <v>Nr. 196 / S. 18</v>
      </c>
      <c r="D263" s="45" t="str">
        <f aca="false">IF($R263="","",INDEX(Anforderungen!$E:$E,$R263))</f>
        <v>Netzanschluss &amp; Energie</v>
      </c>
      <c r="E263" s="45" t="str">
        <f aca="false">IF($R263="","",INDEX(Anforderungen!$F:$F,$R263))</f>
        <v>Klarstellung: Jede Rastanlage soll über einen eigenen Netzanschluss angeschlossen werden.</v>
      </c>
      <c r="F263" s="45" t="str">
        <f aca="false">IF($R263="","",INDEX(Anforderungen!$G:$G,$R263))</f>
        <v>Gehen wir recht in der Annahme, dass je Standort (auch bei gegenüberliegenden Rastanlagen) ein eigener Netzanschluss hergestellt wird?</v>
      </c>
      <c r="G263" s="45" t="str">
        <f aca="false">IF($R263="","",INDEX(Anforderungen!$I:$I,$R263))</f>
        <v>offen</v>
      </c>
      <c r="H263" s="45" t="str">
        <f aca="false">IF($R263="","",INDEX(Anforderungen!$J:$J,$R263))</f>
        <v>–</v>
      </c>
      <c r="I263" s="45" t="str">
        <f aca="false">IF($R263="","",INDEX(Anforderungen!$K:$K,$R263))</f>
        <v>erfasst</v>
      </c>
      <c r="J263" s="46" t="n">
        <f aca="false">IF($R263="","",INDEX(Anforderungen!$L:$L,$R263))</f>
        <v>0</v>
      </c>
      <c r="K263" s="45" t="n">
        <f aca="false">IF($R263="","",INDEX(Anforderungen!$M:$M,$R263))</f>
        <v>0</v>
      </c>
      <c r="R263" s="0" t="n">
        <f aca="false">IFERROR(MATCH(ROWS($A$16:$A263),Anforderungen!$O$7:$O$2000,0)+6,"")</f>
        <v>254</v>
      </c>
    </row>
    <row r="264" customFormat="false" ht="30" hidden="false" customHeight="true" outlineLevel="0" collapsed="false">
      <c r="A264" s="45" t="str">
        <f aca="false">IF($R264="","",INDEX(Anforderungen!$B:$B,$R264))</f>
        <v>ANF-249</v>
      </c>
      <c r="B264" s="45" t="str">
        <f aca="false">IF($R264="","",INDEX(Anforderungen!$C:$C,$R264))</f>
        <v>Bieterfragenkatalog</v>
      </c>
      <c r="C264" s="45" t="str">
        <f aca="false">IF($R264="","",INDEX(Anforderungen!$D:$D,$R264))</f>
        <v>Hinweis des AG / S. 18</v>
      </c>
      <c r="D264" s="45" t="str">
        <f aca="false">IF($R264="","",INDEX(Anforderungen!$E:$E,$R264))</f>
        <v>Vergabeverfahren &amp; Angebot</v>
      </c>
      <c r="E264" s="45" t="str">
        <f aca="false">IF($R264="","",INDEX(Anforderungen!$F:$F,$R264))</f>
        <v>Klarstellung: Wir bitten alle beteiligten Bieter Ihre Fragen in diesem Verfahren ausschließlich über die Vergabeplattform einzureichen.</v>
      </c>
      <c r="F264" s="45" t="str">
        <f aca="false">IF($R264="","",INDEX(Anforderungen!$G:$G,$R264))</f>
        <v>Hinweis des AG</v>
      </c>
      <c r="G264" s="45" t="str">
        <f aca="false">IF($R264="","",INDEX(Anforderungen!$I:$I,$R264))</f>
        <v>offen</v>
      </c>
      <c r="H264" s="45" t="str">
        <f aca="false">IF($R264="","",INDEX(Anforderungen!$J:$J,$R264))</f>
        <v>–</v>
      </c>
      <c r="I264" s="45" t="str">
        <f aca="false">IF($R264="","",INDEX(Anforderungen!$K:$K,$R264))</f>
        <v>trifft nicht zu</v>
      </c>
      <c r="J264" s="46" t="n">
        <f aca="false">IF($R264="","",INDEX(Anforderungen!$L:$L,$R264))</f>
        <v>0</v>
      </c>
      <c r="K264" s="45" t="str">
        <f aca="false">IF($R264="","",INDEX(Anforderungen!$M:$M,$R264))</f>
        <v>Automatisch ausgewertet: Betrifft das Vergabeverfahren (Angebot, Wertung, Unterlagen), nicht die zu erbringende Leistung. Keiner Komponente zugeordnet.</v>
      </c>
      <c r="R264" s="0" t="n">
        <f aca="false">IFERROR(MATCH(ROWS($A$16:$A264),Anforderungen!$O$7:$O$2000,0)+6,"")</f>
        <v>255</v>
      </c>
    </row>
    <row r="265" customFormat="false" ht="30" hidden="false" customHeight="true" outlineLevel="0" collapsed="false">
      <c r="A265" s="45" t="str">
        <f aca="false">IF($R265="","",INDEX(Anforderungen!$B:$B,$R265))</f>
        <v>ANF-250</v>
      </c>
      <c r="B265" s="45" t="str">
        <f aca="false">IF($R265="","",INDEX(Anforderungen!$C:$C,$R265))</f>
        <v>Bieterfragenkatalog</v>
      </c>
      <c r="C265" s="45" t="str">
        <f aca="false">IF($R265="","",INDEX(Anforderungen!$D:$D,$R265))</f>
        <v>Nr. 197 / S. 18</v>
      </c>
      <c r="D265" s="45" t="str">
        <f aca="false">IF($R265="","",INDEX(Anforderungen!$E:$E,$R265))</f>
        <v>Authentifizierung &amp; Zugang</v>
      </c>
      <c r="E265" s="45" t="str">
        <f aca="false">IF($R265="","",INDEX(Anforderungen!$F:$F,$R265))</f>
        <v>Klarstellung: Der AG macht keine Vorgaben zur Höhe der Ladepreise gegenüber Endkunden. Der AG legt insbesondere zwei Faktoren fest, die sich auf die Kalkulation der Endkundenladepreise auswirken können: die Höhe des Infrastrukturentgelts und …</v>
      </c>
      <c r="F265" s="45" t="str">
        <f aca="false">IF($R265="","",INDEX(Anforderungen!$G:$G,$R265))</f>
        <v>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v>
      </c>
      <c r="G265" s="45" t="str">
        <f aca="false">IF($R265="","",INDEX(Anforderungen!$I:$I,$R265))</f>
        <v>eRound</v>
      </c>
      <c r="H265" s="45" t="str">
        <f aca="false">IF($R265="","",INDEX(Anforderungen!$J:$J,$R265))</f>
        <v>Authentifizierungskomponente</v>
      </c>
      <c r="I265" s="45" t="str">
        <f aca="false">IF($R265="","",INDEX(Anforderungen!$K:$K,$R265))</f>
        <v>erfasst</v>
      </c>
      <c r="J265" s="46" t="n">
        <f aca="false">IF($R265="","",INDEX(Anforderungen!$L:$L,$R265))</f>
        <v>0</v>
      </c>
      <c r="K265" s="45" t="n">
        <f aca="false">IF($R265="","",INDEX(Anforderungen!$M:$M,$R265))</f>
        <v>0</v>
      </c>
      <c r="R265" s="0" t="n">
        <f aca="false">IFERROR(MATCH(ROWS($A$16:$A265),Anforderungen!$O$7:$O$2000,0)+6,"")</f>
        <v>256</v>
      </c>
    </row>
    <row r="266" customFormat="false" ht="30" hidden="false" customHeight="true" outlineLevel="0" collapsed="false">
      <c r="A266" s="45" t="str">
        <f aca="false">IF($R266="","",INDEX(Anforderungen!$B:$B,$R266))</f>
        <v>ANF-251</v>
      </c>
      <c r="B266" s="45" t="str">
        <f aca="false">IF($R266="","",INDEX(Anforderungen!$C:$C,$R266))</f>
        <v>Bieterfragenkatalog</v>
      </c>
      <c r="C266" s="45" t="str">
        <f aca="false">IF($R266="","",INDEX(Anforderungen!$D:$D,$R266))</f>
        <v>Nr. 198 / S. 18</v>
      </c>
      <c r="D266" s="45" t="str">
        <f aca="false">IF($R266="","",INDEX(Anforderungen!$E:$E,$R266))</f>
        <v>Reservierung</v>
      </c>
      <c r="E266" s="45" t="str">
        <f aca="false">IF($R266="","",INDEX(Anforderungen!$F:$F,$R266))</f>
        <v>Klarstellung: Siehe Antworten auf die Bieterfragen 25, 33, 83 und 102. Etwaiger darüber hinaus gehender Verhandlungsbedarf kann angemeldet werden.</v>
      </c>
      <c r="F266" s="45" t="str">
        <f aca="false">IF($R266="","",INDEX(Anforderungen!$G:$G,$R266))</f>
        <v>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v>
      </c>
      <c r="G266" s="45" t="str">
        <f aca="false">IF($R266="","",INDEX(Anforderungen!$I:$I,$R266))</f>
        <v>eRound / SCS</v>
      </c>
      <c r="H266" s="45" t="str">
        <f aca="false">IF($R266="","",INDEX(Anforderungen!$J:$J,$R266))</f>
        <v>OCPI Buchungskalender / Pönalisierungssystem</v>
      </c>
      <c r="I266" s="45" t="str">
        <f aca="false">IF($R266="","",INDEX(Anforderungen!$K:$K,$R266))</f>
        <v>erfasst</v>
      </c>
      <c r="J266" s="46" t="n">
        <f aca="false">IF($R266="","",INDEX(Anforderungen!$L:$L,$R266))</f>
        <v>0</v>
      </c>
      <c r="K266" s="45" t="n">
        <f aca="false">IF($R266="","",INDEX(Anforderungen!$M:$M,$R266))</f>
        <v>0</v>
      </c>
      <c r="R266" s="0" t="n">
        <f aca="false">IFERROR(MATCH(ROWS($A$16:$A266),Anforderungen!$O$7:$O$2000,0)+6,"")</f>
        <v>257</v>
      </c>
    </row>
    <row r="267" customFormat="false" ht="30" hidden="false" customHeight="true" outlineLevel="0" collapsed="false">
      <c r="A267" s="45" t="str">
        <f aca="false">IF($R267="","",INDEX(Anforderungen!$B:$B,$R267))</f>
        <v>ANF-252</v>
      </c>
      <c r="B267" s="45" t="str">
        <f aca="false">IF($R267="","",INDEX(Anforderungen!$C:$C,$R267))</f>
        <v>Bieterfragenkatalog</v>
      </c>
      <c r="C267" s="45" t="str">
        <f aca="false">IF($R267="","",INDEX(Anforderungen!$D:$D,$R267))</f>
        <v>Nr. 199 / S. 18</v>
      </c>
      <c r="D267" s="45" t="str">
        <f aca="false">IF($R267="","",INDEX(Anforderungen!$E:$E,$R267))</f>
        <v>Vergabeverfahren &amp; Angebot</v>
      </c>
      <c r="E267" s="45" t="str">
        <f aca="false">IF($R267="","",INDEX(Anforderungen!$F:$F,$R267))</f>
        <v>Klarstellung: Der AG wird mit der Einladung zu den Bieterverhandlungen eine Agenda für das Gespräch übersenden, um die Bieter über den Ablauf der Verhandlungen im Einzelnen zu informieren.</v>
      </c>
      <c r="F267" s="45" t="str">
        <f aca="false">IF($R267="","",INDEX(Anforderungen!$G:$G,$R267))</f>
        <v>Wie läuft die Verhandlungsphase ab? Wer ist von Seiten der Auftraggeber anwesend? Was wird von den Bietern erwartet? Dürfen Berater oder Unterauftragnehmer Teil des Verhandlungsteams sein? Wird ein Übersetzer für nicht-deutschsprachige Kollegen vor Ort sein dürfen?</v>
      </c>
      <c r="G267" s="45" t="str">
        <f aca="false">IF($R267="","",INDEX(Anforderungen!$I:$I,$R267))</f>
        <v>offen</v>
      </c>
      <c r="H267" s="45" t="str">
        <f aca="false">IF($R267="","",INDEX(Anforderungen!$J:$J,$R267))</f>
        <v>–</v>
      </c>
      <c r="I267" s="45" t="str">
        <f aca="false">IF($R267="","",INDEX(Anforderungen!$K:$K,$R267))</f>
        <v>trifft nicht zu</v>
      </c>
      <c r="J267" s="46" t="n">
        <f aca="false">IF($R267="","",INDEX(Anforderungen!$L:$L,$R267))</f>
        <v>0</v>
      </c>
      <c r="K267" s="45" t="str">
        <f aca="false">IF($R267="","",INDEX(Anforderungen!$M:$M,$R267))</f>
        <v>Automatisch ausgewertet: Betrifft das Vergabeverfahren (Angebot, Wertung, Unterlagen), nicht die zu erbringende Leistung. Keiner Komponente zugeordnet.</v>
      </c>
      <c r="R267" s="0" t="n">
        <f aca="false">IFERROR(MATCH(ROWS($A$16:$A267),Anforderungen!$O$7:$O$2000,0)+6,"")</f>
        <v>258</v>
      </c>
    </row>
    <row r="268" customFormat="false" ht="30" hidden="false" customHeight="true" outlineLevel="0" collapsed="false">
      <c r="A268" s="45" t="str">
        <f aca="false">IF($R268="","",INDEX(Anforderungen!$B:$B,$R268))</f>
        <v>ANF-253</v>
      </c>
      <c r="B268" s="45" t="str">
        <f aca="false">IF($R268="","",INDEX(Anforderungen!$C:$C,$R268))</f>
        <v>Bieterfragenkatalog</v>
      </c>
      <c r="C268" s="45" t="str">
        <f aca="false">IF($R268="","",INDEX(Anforderungen!$D:$D,$R268))</f>
        <v>Nr. 200 / S. 18</v>
      </c>
      <c r="D268" s="45" t="str">
        <f aca="false">IF($R268="","",INDEX(Anforderungen!$E:$E,$R268))</f>
        <v>Vertrag &amp; Recht</v>
      </c>
      <c r="E268" s="45" t="str">
        <f aca="false">IF($R268="","",INDEX(Anforderungen!$F:$F,$R268))</f>
        <v>Klarstellung: Der relevante Index ist im Vertrag definiert. Wir bitten darum, diesen zu verwenden.</v>
      </c>
      <c r="F268" s="45" t="str">
        <f aca="false">IF($R268="","",INDEX(Anforderungen!$G:$G,$R268))</f>
        <v>Könnten wir bitte die Werte der Inflationsindizes erhalten, die zur Berechnung der Werte von L0 und M0 in der Formel für das Betreiberentgelt verwendet werden? Bitte bestätigen Sie die aktuellen (bzw. neuesten) Werte.</v>
      </c>
      <c r="G268" s="45" t="str">
        <f aca="false">IF($R268="","",INDEX(Anforderungen!$I:$I,$R268))</f>
        <v>offen</v>
      </c>
      <c r="H268" s="45" t="str">
        <f aca="false">IF($R268="","",INDEX(Anforderungen!$J:$J,$R268))</f>
        <v>–</v>
      </c>
      <c r="I268" s="45" t="str">
        <f aca="false">IF($R268="","",INDEX(Anforderungen!$K:$K,$R268))</f>
        <v>erfasst</v>
      </c>
      <c r="J268" s="46" t="n">
        <f aca="false">IF($R268="","",INDEX(Anforderungen!$L:$L,$R268))</f>
        <v>0</v>
      </c>
      <c r="K268" s="45" t="n">
        <f aca="false">IF($R268="","",INDEX(Anforderungen!$M:$M,$R268))</f>
        <v>0</v>
      </c>
      <c r="R268" s="0" t="n">
        <f aca="false">IFERROR(MATCH(ROWS($A$16:$A268),Anforderungen!$O$7:$O$2000,0)+6,"")</f>
        <v>259</v>
      </c>
    </row>
    <row r="269" customFormat="false" ht="30" hidden="false" customHeight="true" outlineLevel="0" collapsed="false">
      <c r="A269" s="45" t="str">
        <f aca="false">IF($R269="","",INDEX(Anforderungen!$B:$B,$R269))</f>
        <v>ANF-254</v>
      </c>
      <c r="B269" s="45" t="str">
        <f aca="false">IF($R269="","",INDEX(Anforderungen!$C:$C,$R269))</f>
        <v>Bieterfragenkatalog</v>
      </c>
      <c r="C269" s="45" t="str">
        <f aca="false">IF($R269="","",INDEX(Anforderungen!$D:$D,$R269))</f>
        <v>Nr. 201 / S. 18</v>
      </c>
      <c r="D269" s="45" t="str">
        <f aca="false">IF($R269="","",INDEX(Anforderungen!$E:$E,$R269))</f>
        <v>Technik Ladeinfrastruktur</v>
      </c>
      <c r="E269" s="45" t="str">
        <f aca="false">IF($R269="","",INDEX(Anforderungen!$F:$F,$R269))</f>
        <v>Klarstellung: Es ist aktuell nicht vorgesehen eine wie von Ihnen angefragte Toleranz einzuräumen. Wir verweisen auf die Vertragsanlage 6 „Anforderungen an die Ladeeinrichtungen", Abs.</v>
      </c>
      <c r="F269" s="45" t="str">
        <f aca="false">IF($R269="","",INDEX(Anforderungen!$G:$G,$R269))</f>
        <v>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v>
      </c>
      <c r="G269" s="45" t="str">
        <f aca="false">IF($R269="","",INDEX(Anforderungen!$I:$I,$R269))</f>
        <v>Alpitronic</v>
      </c>
      <c r="H269" s="45" t="str">
        <f aca="false">IF($R269="","",INDEX(Anforderungen!$J:$J,$R269))</f>
        <v>Ladeeinrichtung</v>
      </c>
      <c r="I269" s="45" t="str">
        <f aca="false">IF($R269="","",INDEX(Anforderungen!$K:$K,$R269))</f>
        <v>erfasst</v>
      </c>
      <c r="J269" s="46" t="n">
        <f aca="false">IF($R269="","",INDEX(Anforderungen!$L:$L,$R269))</f>
        <v>0</v>
      </c>
      <c r="K269" s="45" t="n">
        <f aca="false">IF($R269="","",INDEX(Anforderungen!$M:$M,$R269))</f>
        <v>0</v>
      </c>
      <c r="R269" s="0" t="n">
        <f aca="false">IFERROR(MATCH(ROWS($A$16:$A269),Anforderungen!$O$7:$O$2000,0)+6,"")</f>
        <v>260</v>
      </c>
    </row>
    <row r="270" customFormat="false" ht="30" hidden="false" customHeight="true" outlineLevel="0" collapsed="false">
      <c r="A270" s="45" t="str">
        <f aca="false">IF($R270="","",INDEX(Anforderungen!$B:$B,$R270))</f>
        <v>ANF-255</v>
      </c>
      <c r="B270" s="45" t="str">
        <f aca="false">IF($R270="","",INDEX(Anforderungen!$C:$C,$R270))</f>
        <v>Bieterfragenkatalog</v>
      </c>
      <c r="C270" s="45" t="str">
        <f aca="false">IF($R270="","",INDEX(Anforderungen!$D:$D,$R270))</f>
        <v>Nr. 202 / S. 18</v>
      </c>
      <c r="D270" s="45" t="str">
        <f aca="false">IF($R270="","",INDEX(Anforderungen!$E:$E,$R270))</f>
        <v>Technik Ladeinfrastruktur</v>
      </c>
      <c r="E270" s="45" t="str">
        <f aca="false">IF($R270="","",INDEX(Anforderungen!$F:$F,$R270))</f>
        <v>Klarstellung: Trailer mit Zugfahrzeugen mit Verbrennungsmotor sind von der Regelung zum Trailerladen nicht adressiert.</v>
      </c>
      <c r="F270" s="45" t="str">
        <f aca="false">IF($R270="","",INDEX(Anforderungen!$G:$G,$R270))</f>
        <v>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v>
      </c>
      <c r="G270" s="45" t="str">
        <f aca="false">IF($R270="","",INDEX(Anforderungen!$I:$I,$R270))</f>
        <v>Zuordnung prüfen</v>
      </c>
      <c r="H270" s="45" t="str">
        <f aca="false">IF($R270="","",INDEX(Anforderungen!$J:$J,$R270))</f>
        <v>Zuordnung prüfen</v>
      </c>
      <c r="I270" s="45" t="str">
        <f aca="false">IF($R270="","",INDEX(Anforderungen!$K:$K,$R270))</f>
        <v>erfasst</v>
      </c>
      <c r="J270" s="46" t="n">
        <f aca="false">IF($R270="","",INDEX(Anforderungen!$L:$L,$R270))</f>
        <v>0</v>
      </c>
      <c r="K270" s="45" t="n">
        <f aca="false">IF($R270="","",INDEX(Anforderungen!$M:$M,$R270))</f>
        <v>0</v>
      </c>
      <c r="R270" s="0" t="n">
        <f aca="false">IFERROR(MATCH(ROWS($A$16:$A270),Anforderungen!$O$7:$O$2000,0)+6,"")</f>
        <v>261</v>
      </c>
    </row>
    <row r="271" customFormat="false" ht="30" hidden="false" customHeight="true" outlineLevel="0" collapsed="false">
      <c r="A271" s="45" t="str">
        <f aca="false">IF($R271="","",INDEX(Anforderungen!$B:$B,$R271))</f>
        <v>ANF-256</v>
      </c>
      <c r="B271" s="45" t="str">
        <f aca="false">IF($R271="","",INDEX(Anforderungen!$C:$C,$R271))</f>
        <v>Bieterfragenkatalog</v>
      </c>
      <c r="C271" s="45" t="str">
        <f aca="false">IF($R271="","",INDEX(Anforderungen!$D:$D,$R271))</f>
        <v>Nr. 203 / S. 19</v>
      </c>
      <c r="D271" s="45" t="str">
        <f aca="false">IF($R271="","",INDEX(Anforderungen!$E:$E,$R271))</f>
        <v>Vertrag &amp; Recht</v>
      </c>
      <c r="E271" s="45" t="str">
        <f aca="false">IF($R271="","",INDEX(Anforderungen!$F:$F,$R271))</f>
        <v>Klarstellung: Zu a) Nein, diese Annahme ist falsch. Im Rahmen des Angebots sollen als Teil des Personalkonzepts personalisierte Profile des für die Auftragsausführung vorgesehenen Personals, also konkreter Mitarbeiter*innen, eingereicht werden.</v>
      </c>
      <c r="F271" s="45" t="str">
        <f aca="false">IF($R271="","",INDEX(Anforderungen!$G:$G,$R271))</f>
        <v>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v>
      </c>
      <c r="G271" s="45" t="str">
        <f aca="false">IF($R271="","",INDEX(Anforderungen!$I:$I,$R271))</f>
        <v>offen</v>
      </c>
      <c r="H271" s="45" t="str">
        <f aca="false">IF($R271="","",INDEX(Anforderungen!$J:$J,$R271))</f>
        <v>–</v>
      </c>
      <c r="I271" s="45" t="str">
        <f aca="false">IF($R271="","",INDEX(Anforderungen!$K:$K,$R271))</f>
        <v>erfasst</v>
      </c>
      <c r="J271" s="46" t="n">
        <f aca="false">IF($R271="","",INDEX(Anforderungen!$L:$L,$R271))</f>
        <v>0</v>
      </c>
      <c r="K271" s="45" t="n">
        <f aca="false">IF($R271="","",INDEX(Anforderungen!$M:$M,$R271))</f>
        <v>0</v>
      </c>
      <c r="R271" s="0" t="n">
        <f aca="false">IFERROR(MATCH(ROWS($A$16:$A271),Anforderungen!$O$7:$O$2000,0)+6,"")</f>
        <v>262</v>
      </c>
    </row>
    <row r="272" customFormat="false" ht="30" hidden="false" customHeight="true" outlineLevel="0" collapsed="false">
      <c r="A272" s="45" t="str">
        <f aca="false">IF($R272="","",INDEX(Anforderungen!$B:$B,$R272))</f>
        <v>ANF-257</v>
      </c>
      <c r="B272" s="45" t="str">
        <f aca="false">IF($R272="","",INDEX(Anforderungen!$C:$C,$R272))</f>
        <v>Bieterfragenkatalog</v>
      </c>
      <c r="C272" s="45" t="str">
        <f aca="false">IF($R272="","",INDEX(Anforderungen!$D:$D,$R272))</f>
        <v>Nr. 204 / S. 19</v>
      </c>
      <c r="D272" s="45" t="str">
        <f aca="false">IF($R272="","",INDEX(Anforderungen!$E:$E,$R272))</f>
        <v>Reservierung</v>
      </c>
      <c r="E272" s="45" t="str">
        <f aca="false">IF($R272="","",INDEX(Anforderungen!$F:$F,$R272))</f>
        <v>Klarstellung: Grundsätzlich basiert die Schnittstellenspezifikation auf dem OCPI-Standard. Es gibt jedoch einzelne Abweichungen, die aufgrund der konkreten Vertragsgestaltung mit individuellen Datenfeldern abgedeckt werden müssen.</v>
      </c>
      <c r="F272" s="45" t="str">
        <f aca="false">IF($R272="","",INDEX(Anforderungen!$G:$G,$R272))</f>
        <v>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v>
      </c>
      <c r="G272" s="45" t="str">
        <f aca="false">IF($R272="","",INDEX(Anforderungen!$I:$I,$R272))</f>
        <v>eRound</v>
      </c>
      <c r="H272" s="45" t="str">
        <f aca="false">IF($R272="","",INDEX(Anforderungen!$J:$J,$R272))</f>
        <v>OCPI Buchungskalender</v>
      </c>
      <c r="I272" s="45" t="str">
        <f aca="false">IF($R272="","",INDEX(Anforderungen!$K:$K,$R272))</f>
        <v>erfasst</v>
      </c>
      <c r="J272" s="46" t="n">
        <f aca="false">IF($R272="","",INDEX(Anforderungen!$L:$L,$R272))</f>
        <v>0</v>
      </c>
      <c r="K272" s="45" t="n">
        <f aca="false">IF($R272="","",INDEX(Anforderungen!$M:$M,$R272))</f>
        <v>0</v>
      </c>
      <c r="R272" s="0" t="n">
        <f aca="false">IFERROR(MATCH(ROWS($A$16:$A272),Anforderungen!$O$7:$O$2000,0)+6,"")</f>
        <v>263</v>
      </c>
    </row>
    <row r="273" customFormat="false" ht="30" hidden="false" customHeight="true" outlineLevel="0" collapsed="false">
      <c r="A273" s="45" t="str">
        <f aca="false">IF($R273="","",INDEX(Anforderungen!$B:$B,$R273))</f>
        <v>ANF-258</v>
      </c>
      <c r="B273" s="45" t="str">
        <f aca="false">IF($R273="","",INDEX(Anforderungen!$C:$C,$R273))</f>
        <v>Bieterfragenkatalog</v>
      </c>
      <c r="C273" s="45" t="str">
        <f aca="false">IF($R273="","",INDEX(Anforderungen!$D:$D,$R273))</f>
        <v>Nr. 205 / S. 19</v>
      </c>
      <c r="D273" s="45" t="str">
        <f aca="false">IF($R273="","",INDEX(Anforderungen!$E:$E,$R273))</f>
        <v>Reservierung</v>
      </c>
      <c r="E273" s="45" t="str">
        <f aca="false">IF($R273="","",INDEX(Anforderungen!$F:$F,$R273))</f>
        <v>Klarstellung: Dieser Punkt kann zum Gegenstand der Vertragsverhandlungen gemacht werden. Der AG bittet um Verwendung der mit dem Erstangebot einzureichenden Verhandlungsbedarfsliste.</v>
      </c>
      <c r="F273" s="45" t="str">
        <f aca="false">IF($R273="","",INDEX(Anforderungen!$G:$G,$R273))</f>
        <v>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v>
      </c>
      <c r="G273" s="45" t="str">
        <f aca="false">IF($R273="","",INDEX(Anforderungen!$I:$I,$R273))</f>
        <v>eRound</v>
      </c>
      <c r="H273" s="45" t="str">
        <f aca="false">IF($R273="","",INDEX(Anforderungen!$J:$J,$R273))</f>
        <v>OCPI Buchungskalender / Monitoring</v>
      </c>
      <c r="I273" s="45" t="str">
        <f aca="false">IF($R273="","",INDEX(Anforderungen!$K:$K,$R273))</f>
        <v>erfasst</v>
      </c>
      <c r="J273" s="46" t="n">
        <f aca="false">IF($R273="","",INDEX(Anforderungen!$L:$L,$R273))</f>
        <v>0</v>
      </c>
      <c r="K273" s="45" t="n">
        <f aca="false">IF($R273="","",INDEX(Anforderungen!$M:$M,$R273))</f>
        <v>0</v>
      </c>
      <c r="R273" s="0" t="n">
        <f aca="false">IFERROR(MATCH(ROWS($A$16:$A273),Anforderungen!$O$7:$O$2000,0)+6,"")</f>
        <v>264</v>
      </c>
    </row>
    <row r="274" customFormat="false" ht="30" hidden="false" customHeight="true" outlineLevel="0" collapsed="false">
      <c r="A274" s="45" t="str">
        <f aca="false">IF($R274="","",INDEX(Anforderungen!$B:$B,$R274))</f>
        <v>ANF-259</v>
      </c>
      <c r="B274" s="45" t="str">
        <f aca="false">IF($R274="","",INDEX(Anforderungen!$C:$C,$R274))</f>
        <v>Bieterfragenkatalog</v>
      </c>
      <c r="C274" s="45" t="str">
        <f aca="false">IF($R274="","",INDEX(Anforderungen!$D:$D,$R274))</f>
        <v>Nr. 206 / S. 19</v>
      </c>
      <c r="D274" s="45" t="str">
        <f aca="false">IF($R274="","",INDEX(Anforderungen!$E:$E,$R274))</f>
        <v>Betrieb &amp; Auslastung</v>
      </c>
      <c r="E274" s="45" t="str">
        <f aca="false">IF($R274="","",INDEX(Anforderungen!$F:$F,$R274))</f>
        <v>Klarstellung: Eine Hohe Verfügbarkeit der Ladepunkte ist von höchster Relevanz. Daher sind Zeiten, in denen der Ladepunkt durch ein nicht-ladendes Fahrzeug blockiert wird zu vermeiden.</v>
      </c>
      <c r="F274" s="45" t="str">
        <f aca="false">IF($R274="","",INDEX(Anforderungen!$G:$G,$R274))</f>
        <v>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v>
      </c>
      <c r="G274" s="45" t="str">
        <f aca="false">IF($R274="","",INDEX(Anforderungen!$I:$I,$R274))</f>
        <v>Zuordnung prüfen</v>
      </c>
      <c r="H274" s="45" t="str">
        <f aca="false">IF($R274="","",INDEX(Anforderungen!$J:$J,$R274))</f>
        <v>Zuordnung prüfen</v>
      </c>
      <c r="I274" s="45" t="str">
        <f aca="false">IF($R274="","",INDEX(Anforderungen!$K:$K,$R274))</f>
        <v>erfasst</v>
      </c>
      <c r="J274" s="46" t="n">
        <f aca="false">IF($R274="","",INDEX(Anforderungen!$L:$L,$R274))</f>
        <v>0</v>
      </c>
      <c r="K274" s="45" t="n">
        <f aca="false">IF($R274="","",INDEX(Anforderungen!$M:$M,$R274))</f>
        <v>0</v>
      </c>
      <c r="R274" s="0" t="n">
        <f aca="false">IFERROR(MATCH(ROWS($A$16:$A274),Anforderungen!$O$7:$O$2000,0)+6,"")</f>
        <v>265</v>
      </c>
    </row>
    <row r="275" customFormat="false" ht="30" hidden="false" customHeight="true" outlineLevel="0" collapsed="false">
      <c r="A275" s="45" t="str">
        <f aca="false">IF($R275="","",INDEX(Anforderungen!$B:$B,$R275))</f>
        <v>ANF-260</v>
      </c>
      <c r="B275" s="45" t="str">
        <f aca="false">IF($R275="","",INDEX(Anforderungen!$C:$C,$R275))</f>
        <v>Bieterfragenkatalog</v>
      </c>
      <c r="C275" s="45" t="str">
        <f aca="false">IF($R275="","",INDEX(Anforderungen!$D:$D,$R275))</f>
        <v>Nr. 207 / S. 19</v>
      </c>
      <c r="D275" s="45" t="str">
        <f aca="false">IF($R275="","",INDEX(Anforderungen!$E:$E,$R275))</f>
        <v>Netzanschluss &amp; Energie</v>
      </c>
      <c r="E275" s="45" t="str">
        <f aca="false">IF($R275="","",INDEX(Anforderungen!$F:$F,$R275))</f>
        <v>Klarstellung: Die Position 3.7 bezieht sich auf die Kosten für die folgenden Komponenten: Trafo, Schaltanlage, Ladetechnik.</v>
      </c>
      <c r="F275" s="45" t="str">
        <f aca="false">IF($R275="","",INDEX(Anforderungen!$G:$G,$R275))</f>
        <v>Inwiefern unterscheiden sich die Positionen 3.7 und 3.9 bzw. insbesondere die Kostenpositionen Ladetechnik in 3.7 vs. Ladebetriebstechnik in 3.9? Welche Kosten sollen jeweils ausgewiesen werden?</v>
      </c>
      <c r="G275" s="45" t="str">
        <f aca="false">IF($R275="","",INDEX(Anforderungen!$I:$I,$R275))</f>
        <v>offen</v>
      </c>
      <c r="H275" s="45" t="str">
        <f aca="false">IF($R275="","",INDEX(Anforderungen!$J:$J,$R275))</f>
        <v>–</v>
      </c>
      <c r="I275" s="45" t="str">
        <f aca="false">IF($R275="","",INDEX(Anforderungen!$K:$K,$R275))</f>
        <v>erfasst</v>
      </c>
      <c r="J275" s="46" t="n">
        <f aca="false">IF($R275="","",INDEX(Anforderungen!$L:$L,$R275))</f>
        <v>0</v>
      </c>
      <c r="K275" s="45" t="n">
        <f aca="false">IF($R275="","",INDEX(Anforderungen!$M:$M,$R275))</f>
        <v>0</v>
      </c>
      <c r="R275" s="0" t="n">
        <f aca="false">IFERROR(MATCH(ROWS($A$16:$A275),Anforderungen!$O$7:$O$2000,0)+6,"")</f>
        <v>266</v>
      </c>
    </row>
    <row r="276" customFormat="false" ht="30" hidden="false" customHeight="true" outlineLevel="0" collapsed="false">
      <c r="A276" s="45" t="str">
        <f aca="false">IF($R276="","",INDEX(Anforderungen!$B:$B,$R276))</f>
        <v>ANF-261</v>
      </c>
      <c r="B276" s="45" t="str">
        <f aca="false">IF($R276="","",INDEX(Anforderungen!$C:$C,$R276))</f>
        <v>Bieterfragenkatalog</v>
      </c>
      <c r="C276" s="45" t="str">
        <f aca="false">IF($R276="","",INDEX(Anforderungen!$D:$D,$R276))</f>
        <v>Nr. 208 / S. 19</v>
      </c>
      <c r="D276" s="45" t="str">
        <f aca="false">IF($R276="","",INDEX(Anforderungen!$E:$E,$R276))</f>
        <v>Netzanschluss &amp; Energie</v>
      </c>
      <c r="E276" s="45" t="str">
        <f aca="false">IF($R276="","",INDEX(Anforderungen!$F:$F,$R276))</f>
        <v>Verweis des Auftraggebers auf die Antwort zu Bieterfrage 111.</v>
      </c>
      <c r="F276" s="45" t="str">
        <f aca="false">IF($R276="","",INDEX(Anforderungen!$G:$G,$R276))</f>
        <v>Bezieht sich diese Leistung ausschließlich auf das Dach der zu errichtenden Übergabe-/Trafostation oder ist der Aufbau weiterer Dächer geplant?</v>
      </c>
      <c r="G276" s="45" t="str">
        <f aca="false">IF($R276="","",INDEX(Anforderungen!$I:$I,$R276))</f>
        <v>offen</v>
      </c>
      <c r="H276" s="45" t="str">
        <f aca="false">IF($R276="","",INDEX(Anforderungen!$J:$J,$R276))</f>
        <v>–</v>
      </c>
      <c r="I276" s="45" t="str">
        <f aca="false">IF($R276="","",INDEX(Anforderungen!$K:$K,$R276))</f>
        <v>trifft nicht zu</v>
      </c>
      <c r="J276" s="46" t="n">
        <f aca="false">IF($R276="","",INDEX(Anforderungen!$L:$L,$R276))</f>
        <v>0</v>
      </c>
      <c r="K276" s="45" t="str">
        <f aca="false">IF($R276="","",INDEX(Anforderungen!$M:$M,$R276))</f>
        <v>Automatisch ausgewertet: Die Antwort des Auftraggebers verweist ausschließlich auf Bieterfrage 111. Keine eigenständige Anforderung – der Inhalt ist unter der dort erfassten Zeile nachzuhalten.</v>
      </c>
      <c r="R276" s="0" t="n">
        <f aca="false">IFERROR(MATCH(ROWS($A$16:$A276),Anforderungen!$O$7:$O$2000,0)+6,"")</f>
        <v>267</v>
      </c>
    </row>
    <row r="277" customFormat="false" ht="30" hidden="false" customHeight="true" outlineLevel="0" collapsed="false">
      <c r="A277" s="45" t="str">
        <f aca="false">IF($R277="","",INDEX(Anforderungen!$B:$B,$R277))</f>
        <v>ANF-262</v>
      </c>
      <c r="B277" s="45" t="str">
        <f aca="false">IF($R277="","",INDEX(Anforderungen!$C:$C,$R277))</f>
        <v>Bieterfragenkatalog</v>
      </c>
      <c r="C277" s="45" t="str">
        <f aca="false">IF($R277="","",INDEX(Anforderungen!$D:$D,$R277))</f>
        <v>Nr. 209 / S. 19</v>
      </c>
      <c r="D277" s="45" t="str">
        <f aca="false">IF($R277="","",INDEX(Anforderungen!$E:$E,$R277))</f>
        <v>Betrieb &amp; Auslastung</v>
      </c>
      <c r="E277" s="45" t="str">
        <f aca="false">IF($R277="","",INDEX(Anforderungen!$F:$F,$R277))</f>
        <v>Klarstellung: Ihre Annahme ist unzutreffend. Die Zuständigkeit liegt während der Vertragslaufzeit bei dem AN.</v>
      </c>
      <c r="F277" s="45" t="str">
        <f aca="false">IF($R277="","",INDEX(Anforderungen!$G:$G,$R277))</f>
        <v>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v>
      </c>
      <c r="G277" s="45" t="str">
        <f aca="false">IF($R277="","",INDEX(Anforderungen!$I:$I,$R277))</f>
        <v>Zuordnung prüfen</v>
      </c>
      <c r="H277" s="45" t="str">
        <f aca="false">IF($R277="","",INDEX(Anforderungen!$J:$J,$R277))</f>
        <v>Zuordnung prüfen</v>
      </c>
      <c r="I277" s="45" t="str">
        <f aca="false">IF($R277="","",INDEX(Anforderungen!$K:$K,$R277))</f>
        <v>erfasst</v>
      </c>
      <c r="J277" s="46" t="n">
        <f aca="false">IF($R277="","",INDEX(Anforderungen!$L:$L,$R277))</f>
        <v>0</v>
      </c>
      <c r="K277" s="45" t="n">
        <f aca="false">IF($R277="","",INDEX(Anforderungen!$M:$M,$R277))</f>
        <v>0</v>
      </c>
      <c r="R277" s="0" t="n">
        <f aca="false">IFERROR(MATCH(ROWS($A$16:$A277),Anforderungen!$O$7:$O$2000,0)+6,"")</f>
        <v>268</v>
      </c>
    </row>
    <row r="278" customFormat="false" ht="30" hidden="false" customHeight="true" outlineLevel="0" collapsed="false">
      <c r="A278" s="45" t="str">
        <f aca="false">IF($R278="","",INDEX(Anforderungen!$B:$B,$R278))</f>
        <v>ANF-263</v>
      </c>
      <c r="B278" s="45" t="str">
        <f aca="false">IF($R278="","",INDEX(Anforderungen!$C:$C,$R278))</f>
        <v>Bieterfragenkatalog</v>
      </c>
      <c r="C278" s="45" t="str">
        <f aca="false">IF($R278="","",INDEX(Anforderungen!$D:$D,$R278))</f>
        <v>Nr. 210 / S. 19</v>
      </c>
      <c r="D278" s="45" t="str">
        <f aca="false">IF($R278="","",INDEX(Anforderungen!$E:$E,$R278))</f>
        <v>Netzanschluss &amp; Energie</v>
      </c>
      <c r="E278" s="45" t="str">
        <f aca="false">IF($R278="","",INDEX(Anforderungen!$F:$F,$R278))</f>
        <v>Klarstellung: Es ist grundsätzlich keine Gleichzeitigkeit festgelegt. Sie ergibt sich aus den Anforderungen der technischen Spezifikationen aus Anlage 6.</v>
      </c>
      <c r="F278" s="45" t="str">
        <f aca="false">IF($R278="","",INDEX(Anforderungen!$G:$G,$R278))</f>
        <v>Mit welcher Gleichzeitigkeit sollen bzw. können die Standorte ausgelegt werden? Eine Gleichzeitigkeit von 1 führt ggf. zu einer (unnötigen) Überdimensionierung der elektrischen Infrastruktur, insb. der Übergabe- und Trafostationen.</v>
      </c>
      <c r="G278" s="45" t="str">
        <f aca="false">IF($R278="","",INDEX(Anforderungen!$I:$I,$R278))</f>
        <v>offen</v>
      </c>
      <c r="H278" s="45" t="str">
        <f aca="false">IF($R278="","",INDEX(Anforderungen!$J:$J,$R278))</f>
        <v>–</v>
      </c>
      <c r="I278" s="45" t="str">
        <f aca="false">IF($R278="","",INDEX(Anforderungen!$K:$K,$R278))</f>
        <v>erfasst</v>
      </c>
      <c r="J278" s="46" t="n">
        <f aca="false">IF($R278="","",INDEX(Anforderungen!$L:$L,$R278))</f>
        <v>0</v>
      </c>
      <c r="K278" s="45" t="n">
        <f aca="false">IF($R278="","",INDEX(Anforderungen!$M:$M,$R278))</f>
        <v>0</v>
      </c>
      <c r="R278" s="0" t="n">
        <f aca="false">IFERROR(MATCH(ROWS($A$16:$A278),Anforderungen!$O$7:$O$2000,0)+6,"")</f>
        <v>269</v>
      </c>
    </row>
    <row r="279" customFormat="false" ht="30" hidden="false" customHeight="true" outlineLevel="0" collapsed="false">
      <c r="A279" s="45" t="str">
        <f aca="false">IF($R279="","",INDEX(Anforderungen!$B:$B,$R279))</f>
        <v>ANF-264</v>
      </c>
      <c r="B279" s="45" t="str">
        <f aca="false">IF($R279="","",INDEX(Anforderungen!$C:$C,$R279))</f>
        <v>Bieterfragenkatalog</v>
      </c>
      <c r="C279" s="45" t="str">
        <f aca="false">IF($R279="","",INDEX(Anforderungen!$D:$D,$R279))</f>
        <v>Nr. 211 / S. 19</v>
      </c>
      <c r="D279" s="45" t="str">
        <f aca="false">IF($R279="","",INDEX(Anforderungen!$E:$E,$R279))</f>
        <v>Netzanschluss &amp; Energie</v>
      </c>
      <c r="E279" s="45" t="str">
        <f aca="false">IF($R279="","",INDEX(Anforderungen!$F:$F,$R279))</f>
        <v>Klarstellung: Eine begrenzte Kapazität ist diskriminierungsfrei zu verteilen, d.h. unabhängig vom Anwendingsfall "Durchleitung".</v>
      </c>
      <c r="F279" s="45" t="str">
        <f aca="false">IF($R279="","",INDEX(Anforderungen!$G:$G,$R279))</f>
        <v>§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v>
      </c>
      <c r="G279" s="45" t="str">
        <f aca="false">IF($R279="","",INDEX(Anforderungen!$I:$I,$R279))</f>
        <v>offen</v>
      </c>
      <c r="H279" s="45" t="str">
        <f aca="false">IF($R279="","",INDEX(Anforderungen!$J:$J,$R279))</f>
        <v>–</v>
      </c>
      <c r="I279" s="45" t="str">
        <f aca="false">IF($R279="","",INDEX(Anforderungen!$K:$K,$R279))</f>
        <v>erfasst</v>
      </c>
      <c r="J279" s="46" t="n">
        <f aca="false">IF($R279="","",INDEX(Anforderungen!$L:$L,$R279))</f>
        <v>0</v>
      </c>
      <c r="K279" s="45" t="n">
        <f aca="false">IF($R279="","",INDEX(Anforderungen!$M:$M,$R279))</f>
        <v>0</v>
      </c>
      <c r="R279" s="0" t="n">
        <f aca="false">IFERROR(MATCH(ROWS($A$16:$A279),Anforderungen!$O$7:$O$2000,0)+6,"")</f>
        <v>270</v>
      </c>
    </row>
    <row r="280" customFormat="false" ht="30" hidden="false" customHeight="true" outlineLevel="0" collapsed="false">
      <c r="A280" s="45" t="str">
        <f aca="false">IF($R280="","",INDEX(Anforderungen!$B:$B,$R280))</f>
        <v>ANF-265</v>
      </c>
      <c r="B280" s="45" t="str">
        <f aca="false">IF($R280="","",INDEX(Anforderungen!$C:$C,$R280))</f>
        <v>Bieterfragenkatalog</v>
      </c>
      <c r="C280" s="45" t="str">
        <f aca="false">IF($R280="","",INDEX(Anforderungen!$D:$D,$R280))</f>
        <v>Nr. 212 / S. 19</v>
      </c>
      <c r="D280" s="45" t="str">
        <f aca="false">IF($R280="","",INDEX(Anforderungen!$E:$E,$R280))</f>
        <v>Technik Ladeinfrastruktur</v>
      </c>
      <c r="E280" s="45" t="str">
        <f aca="false">IF($R280="","",INDEX(Anforderungen!$F:$F,$R280))</f>
        <v>Klarstellung: Es besteht keine Verpflichtung des AN ,die Stromversorgung für Trailer AFIR konform zu gestalten.</v>
      </c>
      <c r="F280" s="45" t="str">
        <f aca="false">IF($R280="","",INDEX(Anforderungen!$G:$G,$R280))</f>
        <v>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v>
      </c>
      <c r="G280" s="45" t="str">
        <f aca="false">IF($R280="","",INDEX(Anforderungen!$I:$I,$R280))</f>
        <v>Zuordnung prüfen</v>
      </c>
      <c r="H280" s="45" t="str">
        <f aca="false">IF($R280="","",INDEX(Anforderungen!$J:$J,$R280))</f>
        <v>Zuordnung prüfen</v>
      </c>
      <c r="I280" s="45" t="str">
        <f aca="false">IF($R280="","",INDEX(Anforderungen!$K:$K,$R280))</f>
        <v>erfasst</v>
      </c>
      <c r="J280" s="46" t="n">
        <f aca="false">IF($R280="","",INDEX(Anforderungen!$L:$L,$R280))</f>
        <v>0</v>
      </c>
      <c r="K280" s="45" t="n">
        <f aca="false">IF($R280="","",INDEX(Anforderungen!$M:$M,$R280))</f>
        <v>0</v>
      </c>
      <c r="R280" s="0" t="n">
        <f aca="false">IFERROR(MATCH(ROWS($A$16:$A280),Anforderungen!$O$7:$O$2000,0)+6,"")</f>
        <v>271</v>
      </c>
    </row>
    <row r="281" customFormat="false" ht="30" hidden="false" customHeight="true" outlineLevel="0" collapsed="false">
      <c r="A281" s="45" t="str">
        <f aca="false">IF($R281="","",INDEX(Anforderungen!$B:$B,$R281))</f>
        <v>ANF-266</v>
      </c>
      <c r="B281" s="45" t="str">
        <f aca="false">IF($R281="","",INDEX(Anforderungen!$C:$C,$R281))</f>
        <v>Bieterfragenkatalog</v>
      </c>
      <c r="C281" s="45" t="str">
        <f aca="false">IF($R281="","",INDEX(Anforderungen!$D:$D,$R281))</f>
        <v>Nr. 213 / S. 20</v>
      </c>
      <c r="D281" s="45" t="str">
        <f aca="false">IF($R281="","",INDEX(Anforderungen!$E:$E,$R281))</f>
        <v>Netzanschluss &amp; Energie</v>
      </c>
      <c r="E281" s="45" t="str">
        <f aca="false">IF($R281="","",INDEX(Anforderungen!$F:$F,$R281))</f>
        <v>Klarstellung: Aktuell ist das Durchleitungsmodell für das Trailerladen nicht vorzusehen. Zur Frage der Anwendbarkeit des § 3 Nr.</v>
      </c>
      <c r="F281" s="45" t="str">
        <f aca="false">IF($R281="","",INDEX(Anforderungen!$G:$G,$R281))</f>
        <v>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v>
      </c>
      <c r="G281" s="45" t="str">
        <f aca="false">IF($R281="","",INDEX(Anforderungen!$I:$I,$R281))</f>
        <v>Alpitronic</v>
      </c>
      <c r="H281" s="45" t="str">
        <f aca="false">IF($R281="","",INDEX(Anforderungen!$J:$J,$R281))</f>
        <v>Ladeeinrichtung</v>
      </c>
      <c r="I281" s="45" t="str">
        <f aca="false">IF($R281="","",INDEX(Anforderungen!$K:$K,$R281))</f>
        <v>erfasst</v>
      </c>
      <c r="J281" s="46" t="n">
        <f aca="false">IF($R281="","",INDEX(Anforderungen!$L:$L,$R281))</f>
        <v>0</v>
      </c>
      <c r="K281" s="45" t="n">
        <f aca="false">IF($R281="","",INDEX(Anforderungen!$M:$M,$R281))</f>
        <v>0</v>
      </c>
      <c r="R281" s="0" t="n">
        <f aca="false">IFERROR(MATCH(ROWS($A$16:$A281),Anforderungen!$O$7:$O$2000,0)+6,"")</f>
        <v>272</v>
      </c>
    </row>
    <row r="282" customFormat="false" ht="30" hidden="false" customHeight="true" outlineLevel="0" collapsed="false">
      <c r="A282" s="45" t="str">
        <f aca="false">IF($R282="","",INDEX(Anforderungen!$B:$B,$R282))</f>
        <v>ANF-267</v>
      </c>
      <c r="B282" s="45" t="str">
        <f aca="false">IF($R282="","",INDEX(Anforderungen!$C:$C,$R282))</f>
        <v>Bieterfragenkatalog</v>
      </c>
      <c r="C282" s="45" t="str">
        <f aca="false">IF($R282="","",INDEX(Anforderungen!$D:$D,$R282))</f>
        <v>Nr. 214 / S. 20</v>
      </c>
      <c r="D282" s="45" t="str">
        <f aca="false">IF($R282="","",INDEX(Anforderungen!$E:$E,$R282))</f>
        <v>Technik Ladeinfrastruktur</v>
      </c>
      <c r="E282" s="45" t="str">
        <f aca="false">IF($R282="","",INDEX(Anforderungen!$F:$F,$R282))</f>
        <v>Klarstellung: Die externe Stromversorgung für Trailer mittels CEE-Standard muss den jeweils gültigen Richtlinien und anerkannten Regeln der Technik entsprechen.</v>
      </c>
      <c r="F282" s="45" t="str">
        <f aca="false">IF($R282="","",INDEX(Anforderungen!$G:$G,$R282))</f>
        <v>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v>
      </c>
      <c r="G282" s="45" t="str">
        <f aca="false">IF($R282="","",INDEX(Anforderungen!$I:$I,$R282))</f>
        <v>Alpitronic</v>
      </c>
      <c r="H282" s="45" t="str">
        <f aca="false">IF($R282="","",INDEX(Anforderungen!$J:$J,$R282))</f>
        <v>Ladeeinrichtung</v>
      </c>
      <c r="I282" s="45" t="str">
        <f aca="false">IF($R282="","",INDEX(Anforderungen!$K:$K,$R282))</f>
        <v>erfasst</v>
      </c>
      <c r="J282" s="46" t="n">
        <f aca="false">IF($R282="","",INDEX(Anforderungen!$L:$L,$R282))</f>
        <v>0</v>
      </c>
      <c r="K282" s="45" t="n">
        <f aca="false">IF($R282="","",INDEX(Anforderungen!$M:$M,$R282))</f>
        <v>0</v>
      </c>
      <c r="R282" s="0" t="n">
        <f aca="false">IFERROR(MATCH(ROWS($A$16:$A282),Anforderungen!$O$7:$O$2000,0)+6,"")</f>
        <v>273</v>
      </c>
    </row>
    <row r="283" customFormat="false" ht="30" hidden="false" customHeight="true" outlineLevel="0" collapsed="false">
      <c r="A283" s="45" t="str">
        <f aca="false">IF($R283="","",INDEX(Anforderungen!$B:$B,$R283))</f>
        <v>ANF-268</v>
      </c>
      <c r="B283" s="45" t="str">
        <f aca="false">IF($R283="","",INDEX(Anforderungen!$C:$C,$R283))</f>
        <v>Bieterfragenkatalog</v>
      </c>
      <c r="C283" s="45" t="str">
        <f aca="false">IF($R283="","",INDEX(Anforderungen!$D:$D,$R283))</f>
        <v>Nr. 215 / S. 20</v>
      </c>
      <c r="D283" s="45" t="str">
        <f aca="false">IF($R283="","",INDEX(Anforderungen!$E:$E,$R283))</f>
        <v>Netzanschluss &amp; Energie</v>
      </c>
      <c r="E283" s="45" t="str">
        <f aca="false">IF($R283="","",INDEX(Anforderungen!$F:$F,$R283))</f>
        <v>Klarstellung: Die Eingangsmittelspannungsebene, an welcher Standorte angebunden werden, kann zum jetzigen Zeitpunkt nicht final benannt werden.</v>
      </c>
      <c r="F283" s="45" t="str">
        <f aca="false">IF($R283="","",INDEX(Anforderungen!$G:$G,$R283))</f>
        <v>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v>
      </c>
      <c r="G283" s="45" t="str">
        <f aca="false">IF($R283="","",INDEX(Anforderungen!$I:$I,$R283))</f>
        <v>offen</v>
      </c>
      <c r="H283" s="45" t="str">
        <f aca="false">IF($R283="","",INDEX(Anforderungen!$J:$J,$R283))</f>
        <v>–</v>
      </c>
      <c r="I283" s="45" t="str">
        <f aca="false">IF($R283="","",INDEX(Anforderungen!$K:$K,$R283))</f>
        <v>erfasst</v>
      </c>
      <c r="J283" s="46" t="n">
        <f aca="false">IF($R283="","",INDEX(Anforderungen!$L:$L,$R283))</f>
        <v>0</v>
      </c>
      <c r="K283" s="45" t="n">
        <f aca="false">IF($R283="","",INDEX(Anforderungen!$M:$M,$R283))</f>
        <v>0</v>
      </c>
      <c r="R283" s="0" t="n">
        <f aca="false">IFERROR(MATCH(ROWS($A$16:$A283),Anforderungen!$O$7:$O$2000,0)+6,"")</f>
        <v>274</v>
      </c>
    </row>
    <row r="284" customFormat="false" ht="30" hidden="false" customHeight="true" outlineLevel="0" collapsed="false">
      <c r="A284" s="45" t="str">
        <f aca="false">IF($R284="","",INDEX(Anforderungen!$B:$B,$R284))</f>
        <v>ANF-269</v>
      </c>
      <c r="B284" s="45" t="str">
        <f aca="false">IF($R284="","",INDEX(Anforderungen!$C:$C,$R284))</f>
        <v>Bieterfragenkatalog</v>
      </c>
      <c r="C284" s="45" t="str">
        <f aca="false">IF($R284="","",INDEX(Anforderungen!$D:$D,$R284))</f>
        <v>Nr. 216 / S. 20</v>
      </c>
      <c r="D284" s="45" t="str">
        <f aca="false">IF($R284="","",INDEX(Anforderungen!$E:$E,$R284))</f>
        <v>Betrieb &amp; Auslastung</v>
      </c>
      <c r="E284" s="45" t="str">
        <f aca="false">IF($R284="","",INDEX(Anforderungen!$F:$F,$R284))</f>
        <v>Klarstellung: Grundsätzlich regelt § 23 die Instandhaltung, Wiederherstellung und Erneuerung der Ladeinfrastruktur.</v>
      </c>
      <c r="F284" s="45" t="str">
        <f aca="false">IF($R284="","",INDEX(Anforderungen!$G:$G,$R284))</f>
        <v>Wie sind Ersatzinvestitionen der Ladehardware bei Inkrafttreten der 4 Jahres Laufzeitoption zu handhaben?</v>
      </c>
      <c r="G284" s="45" t="str">
        <f aca="false">IF($R284="","",INDEX(Anforderungen!$I:$I,$R284))</f>
        <v>Alpitronic</v>
      </c>
      <c r="H284" s="45" t="str">
        <f aca="false">IF($R284="","",INDEX(Anforderungen!$J:$J,$R284))</f>
        <v>Ladeeinrichtung</v>
      </c>
      <c r="I284" s="45" t="str">
        <f aca="false">IF($R284="","",INDEX(Anforderungen!$K:$K,$R284))</f>
        <v>erfasst</v>
      </c>
      <c r="J284" s="46" t="n">
        <f aca="false">IF($R284="","",INDEX(Anforderungen!$L:$L,$R284))</f>
        <v>0</v>
      </c>
      <c r="K284" s="45" t="n">
        <f aca="false">IF($R284="","",INDEX(Anforderungen!$M:$M,$R284))</f>
        <v>0</v>
      </c>
      <c r="R284" s="0" t="n">
        <f aca="false">IFERROR(MATCH(ROWS($A$16:$A284),Anforderungen!$O$7:$O$2000,0)+6,"")</f>
        <v>275</v>
      </c>
    </row>
    <row r="285" customFormat="false" ht="30" hidden="false" customHeight="true" outlineLevel="0" collapsed="false">
      <c r="A285" s="45" t="str">
        <f aca="false">IF($R285="","",INDEX(Anforderungen!$B:$B,$R285))</f>
        <v>ANF-270</v>
      </c>
      <c r="B285" s="45" t="str">
        <f aca="false">IF($R285="","",INDEX(Anforderungen!$C:$C,$R285))</f>
        <v>Bieterfragenkatalog</v>
      </c>
      <c r="C285" s="45" t="str">
        <f aca="false">IF($R285="","",INDEX(Anforderungen!$D:$D,$R285))</f>
        <v>Nr. 217 / S. 20</v>
      </c>
      <c r="D285" s="45" t="str">
        <f aca="false">IF($R285="","",INDEX(Anforderungen!$E:$E,$R285))</f>
        <v>Technik Ladeinfrastruktur</v>
      </c>
      <c r="E285" s="45" t="str">
        <f aca="false">IF($R285="","",INDEX(Anforderungen!$F:$F,$R285))</f>
        <v>Klarstellung: Zum aktuellen Zeitpunkt geht der AG nicht davon aus, dass bei der Umwandlung der Ladeplätze von CCS in MCS die Breiten anzupassen sind.</v>
      </c>
      <c r="F285" s="45" t="str">
        <f aca="false">IF($R285="","",INDEX(Anforderungen!$G:$G,$R285))</f>
        <v>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v>
      </c>
      <c r="G285" s="45" t="str">
        <f aca="false">IF($R285="","",INDEX(Anforderungen!$I:$I,$R285))</f>
        <v>Zuordnung prüfen</v>
      </c>
      <c r="H285" s="45" t="str">
        <f aca="false">IF($R285="","",INDEX(Anforderungen!$J:$J,$R285))</f>
        <v>Zuordnung prüfen</v>
      </c>
      <c r="I285" s="45" t="str">
        <f aca="false">IF($R285="","",INDEX(Anforderungen!$K:$K,$R285))</f>
        <v>erfasst</v>
      </c>
      <c r="J285" s="46" t="n">
        <f aca="false">IF($R285="","",INDEX(Anforderungen!$L:$L,$R285))</f>
        <v>0</v>
      </c>
      <c r="K285" s="45" t="n">
        <f aca="false">IF($R285="","",INDEX(Anforderungen!$M:$M,$R285))</f>
        <v>0</v>
      </c>
      <c r="R285" s="0" t="n">
        <f aca="false">IFERROR(MATCH(ROWS($A$16:$A285),Anforderungen!$O$7:$O$2000,0)+6,"")</f>
        <v>276</v>
      </c>
    </row>
    <row r="286" customFormat="false" ht="30" hidden="false" customHeight="true" outlineLevel="0" collapsed="false">
      <c r="A286" s="45" t="str">
        <f aca="false">IF($R286="","",INDEX(Anforderungen!$B:$B,$R286))</f>
        <v>ANF-271</v>
      </c>
      <c r="B286" s="45" t="str">
        <f aca="false">IF($R286="","",INDEX(Anforderungen!$C:$C,$R286))</f>
        <v>Bieterfragenkatalog</v>
      </c>
      <c r="C286" s="45" t="str">
        <f aca="false">IF($R286="","",INDEX(Anforderungen!$D:$D,$R286))</f>
        <v>Nr. 218 / S. 20</v>
      </c>
      <c r="D286" s="45" t="str">
        <f aca="false">IF($R286="","",INDEX(Anforderungen!$E:$E,$R286))</f>
        <v>Vertrag &amp; Recht</v>
      </c>
      <c r="E286" s="45" t="str">
        <f aca="false">IF($R286="","",INDEX(Anforderungen!$F:$F,$R286))</f>
        <v>Klarstellung: Es ist wie in der Vertragsanlage 4, Abs. 4.11.1 beschrieben, eine "Ökobilanz gemäß DIN EN ISO 14040 und DIN EN ISO 14044 aufzustellen und vorzulegen".</v>
      </c>
      <c r="F286" s="45" t="str">
        <f aca="false">IF($R286="","",INDEX(Anforderungen!$G:$G,$R286))</f>
        <v>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v>
      </c>
      <c r="G286" s="45" t="str">
        <f aca="false">IF($R286="","",INDEX(Anforderungen!$I:$I,$R286))</f>
        <v>offen</v>
      </c>
      <c r="H286" s="45" t="str">
        <f aca="false">IF($R286="","",INDEX(Anforderungen!$J:$J,$R286))</f>
        <v>–</v>
      </c>
      <c r="I286" s="45" t="str">
        <f aca="false">IF($R286="","",INDEX(Anforderungen!$K:$K,$R286))</f>
        <v>erfasst</v>
      </c>
      <c r="J286" s="46" t="n">
        <f aca="false">IF($R286="","",INDEX(Anforderungen!$L:$L,$R286))</f>
        <v>0</v>
      </c>
      <c r="K286" s="45" t="n">
        <f aca="false">IF($R286="","",INDEX(Anforderungen!$M:$M,$R286))</f>
        <v>0</v>
      </c>
      <c r="R286" s="0" t="n">
        <f aca="false">IFERROR(MATCH(ROWS($A$16:$A286),Anforderungen!$O$7:$O$2000,0)+6,"")</f>
        <v>277</v>
      </c>
    </row>
    <row r="287" customFormat="false" ht="30" hidden="false" customHeight="true" outlineLevel="0" collapsed="false">
      <c r="A287" s="45" t="str">
        <f aca="false">IF($R287="","",INDEX(Anforderungen!$B:$B,$R287))</f>
        <v>ANF-272</v>
      </c>
      <c r="B287" s="45" t="str">
        <f aca="false">IF($R287="","",INDEX(Anforderungen!$C:$C,$R287))</f>
        <v>Bieterfragenkatalog</v>
      </c>
      <c r="C287" s="45" t="str">
        <f aca="false">IF($R287="","",INDEX(Anforderungen!$D:$D,$R287))</f>
        <v>Nr. 219 / S. 20</v>
      </c>
      <c r="D287" s="45" t="str">
        <f aca="false">IF($R287="","",INDEX(Anforderungen!$E:$E,$R287))</f>
        <v>Reservierung</v>
      </c>
      <c r="E287" s="45" t="str">
        <f aca="false">IF($R287="","",INDEX(Anforderungen!$F:$F,$R287))</f>
        <v>Klarstellung: Die Platzreserve von 20% bezieht sich auf die gesamte Kabeltrasse. Die Planung der erforderlichen Kabeltrasse und der Einsatz von Kabelzugrohren obliegt dem AN.</v>
      </c>
      <c r="F287" s="45" t="str">
        <f aca="false">IF($R287="","",INDEX(Anforderungen!$G:$G,$R287))</f>
        <v>Wie ist eine Platzreserve von 20% bei Kabelzugrohren zu verstehen? In der Regel füllen die Kabel deutlich weniger als 80% des Volumens eines Zugrohrs, wenn in dieses bereits keine weiteren Kabel mehr eingezogen werden können. Für welche Kabel (Größe) soll Platz reserviert werden?</v>
      </c>
      <c r="G287" s="45" t="str">
        <f aca="false">IF($R287="","",INDEX(Anforderungen!$I:$I,$R287))</f>
        <v>eRound</v>
      </c>
      <c r="H287" s="45" t="str">
        <f aca="false">IF($R287="","",INDEX(Anforderungen!$J:$J,$R287))</f>
        <v>OCPI Buchungskalender</v>
      </c>
      <c r="I287" s="45" t="str">
        <f aca="false">IF($R287="","",INDEX(Anforderungen!$K:$K,$R287))</f>
        <v>erfasst</v>
      </c>
      <c r="J287" s="46" t="n">
        <f aca="false">IF($R287="","",INDEX(Anforderungen!$L:$L,$R287))</f>
        <v>0</v>
      </c>
      <c r="K287" s="45" t="n">
        <f aca="false">IF($R287="","",INDEX(Anforderungen!$M:$M,$R287))</f>
        <v>0</v>
      </c>
      <c r="R287" s="0" t="n">
        <f aca="false">IFERROR(MATCH(ROWS($A$16:$A287),Anforderungen!$O$7:$O$2000,0)+6,"")</f>
        <v>278</v>
      </c>
    </row>
    <row r="288" customFormat="false" ht="30" hidden="false" customHeight="true" outlineLevel="0" collapsed="false">
      <c r="A288" s="45" t="str">
        <f aca="false">IF($R288="","",INDEX(Anforderungen!$B:$B,$R288))</f>
        <v>ANF-273</v>
      </c>
      <c r="B288" s="45" t="str">
        <f aca="false">IF($R288="","",INDEX(Anforderungen!$C:$C,$R288))</f>
        <v>Bieterfragenkatalog</v>
      </c>
      <c r="C288" s="45" t="str">
        <f aca="false">IF($R288="","",INDEX(Anforderungen!$D:$D,$R288))</f>
        <v>Nr. 220 / S. 20</v>
      </c>
      <c r="D288" s="45" t="str">
        <f aca="false">IF($R288="","",INDEX(Anforderungen!$E:$E,$R288))</f>
        <v>Flächen &amp; Genehmigungen</v>
      </c>
      <c r="E288" s="45" t="str">
        <f aca="false">IF($R288="","",INDEX(Anforderungen!$F:$F,$R288))</f>
        <v>Klarstellung: Wir verweisen auf die Vertragsanlage 6 „Anforderungen an die Ladeeinrichtung" Kapitel 3: "Der CCS-Ladepunkt befindet sich links neben dem Fahrzeug, so dass Fahrzeuge mit der Ladebuchse auf der linken Fahrzeugseite grundsätzlich …</v>
      </c>
      <c r="F288" s="45" t="str">
        <f aca="false">IF($R288="","",INDEX(Anforderungen!$G:$G,$R288))</f>
        <v>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v>
      </c>
      <c r="G288" s="45" t="str">
        <f aca="false">IF($R288="","",INDEX(Anforderungen!$I:$I,$R288))</f>
        <v>Alpitronic</v>
      </c>
      <c r="H288" s="45" t="str">
        <f aca="false">IF($R288="","",INDEX(Anforderungen!$J:$J,$R288))</f>
        <v>Ladeeinrichtung</v>
      </c>
      <c r="I288" s="45" t="str">
        <f aca="false">IF($R288="","",INDEX(Anforderungen!$K:$K,$R288))</f>
        <v>erfasst</v>
      </c>
      <c r="J288" s="46" t="n">
        <f aca="false">IF($R288="","",INDEX(Anforderungen!$L:$L,$R288))</f>
        <v>0</v>
      </c>
      <c r="K288" s="45" t="n">
        <f aca="false">IF($R288="","",INDEX(Anforderungen!$M:$M,$R288))</f>
        <v>0</v>
      </c>
      <c r="R288" s="0" t="n">
        <f aca="false">IFERROR(MATCH(ROWS($A$16:$A288),Anforderungen!$O$7:$O$2000,0)+6,"")</f>
        <v>279</v>
      </c>
    </row>
    <row r="289" customFormat="false" ht="30" hidden="false" customHeight="true" outlineLevel="0" collapsed="false">
      <c r="A289" s="45" t="str">
        <f aca="false">IF($R289="","",INDEX(Anforderungen!$B:$B,$R289))</f>
        <v>ANF-274</v>
      </c>
      <c r="B289" s="45" t="str">
        <f aca="false">IF($R289="","",INDEX(Anforderungen!$C:$C,$R289))</f>
        <v>Bieterfragenkatalog</v>
      </c>
      <c r="C289" s="45" t="str">
        <f aca="false">IF($R289="","",INDEX(Anforderungen!$D:$D,$R289))</f>
        <v>Nr. 221 / S. 20</v>
      </c>
      <c r="D289" s="45" t="str">
        <f aca="false">IF($R289="","",INDEX(Anforderungen!$E:$E,$R289))</f>
        <v>Bau &amp; Dokumentation</v>
      </c>
      <c r="E289" s="45" t="str">
        <f aca="false">IF($R289="","",INDEX(Anforderungen!$F:$F,$R289))</f>
        <v>Klarstellung: Die genaue Definition des Arbeitsbeginns als Tagesanbruch bleibt dem AN überlassen. Der morgendliche Arbeitsbeginn ist dabei möglich.</v>
      </c>
      <c r="F289" s="45" t="str">
        <f aca="false">IF($R289="","",INDEX(Anforderungen!$G:$G,$R289))</f>
        <v>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v>
      </c>
      <c r="G289" s="45" t="str">
        <f aca="false">IF($R289="","",INDEX(Anforderungen!$I:$I,$R289))</f>
        <v>offen</v>
      </c>
      <c r="H289" s="45" t="str">
        <f aca="false">IF($R289="","",INDEX(Anforderungen!$J:$J,$R289))</f>
        <v>–</v>
      </c>
      <c r="I289" s="45" t="str">
        <f aca="false">IF($R289="","",INDEX(Anforderungen!$K:$K,$R289))</f>
        <v>erfasst</v>
      </c>
      <c r="J289" s="46" t="n">
        <f aca="false">IF($R289="","",INDEX(Anforderungen!$L:$L,$R289))</f>
        <v>0</v>
      </c>
      <c r="K289" s="45" t="n">
        <f aca="false">IF($R289="","",INDEX(Anforderungen!$M:$M,$R289))</f>
        <v>0</v>
      </c>
      <c r="R289" s="0" t="n">
        <f aca="false">IFERROR(MATCH(ROWS($A$16:$A289),Anforderungen!$O$7:$O$2000,0)+6,"")</f>
        <v>280</v>
      </c>
    </row>
    <row r="290" customFormat="false" ht="30" hidden="false" customHeight="true" outlineLevel="0" collapsed="false">
      <c r="A290" s="45" t="str">
        <f aca="false">IF($R290="","",INDEX(Anforderungen!$B:$B,$R290))</f>
        <v>ANF-275</v>
      </c>
      <c r="B290" s="45" t="str">
        <f aca="false">IF($R290="","",INDEX(Anforderungen!$C:$C,$R290))</f>
        <v>Bieterfragenkatalog</v>
      </c>
      <c r="C290" s="45" t="str">
        <f aca="false">IF($R290="","",INDEX(Anforderungen!$D:$D,$R290))</f>
        <v>Nr. 222 / S. 20</v>
      </c>
      <c r="D290" s="45" t="str">
        <f aca="false">IF($R290="","",INDEX(Anforderungen!$E:$E,$R290))</f>
        <v>Flächen &amp; Genehmigungen</v>
      </c>
      <c r="E290" s="45" t="str">
        <f aca="false">IF($R290="","",INDEX(Anforderungen!$F:$F,$R290))</f>
        <v>Bestätigt: alle auf den Rastanlagen verbauten Materialien, Baustoffe und Anlagen müssen vollumfänglich in Ihrer Quantität und Qualität dokumentiert werden.</v>
      </c>
      <c r="F290" s="45" t="str">
        <f aca="false">IF($R290="","",INDEX(Anforderungen!$G:$G,$R290))</f>
        <v>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v>
      </c>
      <c r="G290" s="45" t="str">
        <f aca="false">IF($R290="","",INDEX(Anforderungen!$I:$I,$R290))</f>
        <v>offen</v>
      </c>
      <c r="H290" s="45" t="str">
        <f aca="false">IF($R290="","",INDEX(Anforderungen!$J:$J,$R290))</f>
        <v>–</v>
      </c>
      <c r="I290" s="45" t="str">
        <f aca="false">IF($R290="","",INDEX(Anforderungen!$K:$K,$R290))</f>
        <v>erfasst</v>
      </c>
      <c r="J290" s="46" t="n">
        <f aca="false">IF($R290="","",INDEX(Anforderungen!$L:$L,$R290))</f>
        <v>0</v>
      </c>
      <c r="K290" s="45" t="n">
        <f aca="false">IF($R290="","",INDEX(Anforderungen!$M:$M,$R290))</f>
        <v>0</v>
      </c>
      <c r="R290" s="0" t="n">
        <f aca="false">IFERROR(MATCH(ROWS($A$16:$A290),Anforderungen!$O$7:$O$2000,0)+6,"")</f>
        <v>281</v>
      </c>
    </row>
    <row r="291" customFormat="false" ht="30" hidden="false" customHeight="true" outlineLevel="0" collapsed="false">
      <c r="A291" s="45" t="str">
        <f aca="false">IF($R291="","",INDEX(Anforderungen!$B:$B,$R291))</f>
        <v>ANF-276</v>
      </c>
      <c r="B291" s="45" t="str">
        <f aca="false">IF($R291="","",INDEX(Anforderungen!$C:$C,$R291))</f>
        <v>Bieterfragenkatalog</v>
      </c>
      <c r="C291" s="45" t="str">
        <f aca="false">IF($R291="","",INDEX(Anforderungen!$D:$D,$R291))</f>
        <v>Nr. 223 / S. 20</v>
      </c>
      <c r="D291" s="45" t="str">
        <f aca="false">IF($R291="","",INDEX(Anforderungen!$E:$E,$R291))</f>
        <v>Vergabeverfahren &amp; Angebot</v>
      </c>
      <c r="E291" s="45" t="str">
        <f aca="false">IF($R291="","",INDEX(Anforderungen!$F:$F,$R291))</f>
        <v>Klarstellung: Auf die Erstangebote wird der Zuschlag nicht erteilt. Wir stellen daher klar, dass es keine Bindefrist für das Erstangebot geben wird.</v>
      </c>
      <c r="F291" s="45" t="str">
        <f aca="false">IF($R291="","",INDEX(Anforderungen!$G:$G,$R291))</f>
        <v>Im Angebotsschreiben heißt es: "Unser Angebot, an das wir uns bis zum Ablauf der Bindefrist gebunden halten,...". Wie ist die Unverbindlichkeit des Angebots mit dieser Aussage vereinbar?</v>
      </c>
      <c r="G291" s="45" t="str">
        <f aca="false">IF($R291="","",INDEX(Anforderungen!$I:$I,$R291))</f>
        <v>offen</v>
      </c>
      <c r="H291" s="45" t="str">
        <f aca="false">IF($R291="","",INDEX(Anforderungen!$J:$J,$R291))</f>
        <v>–</v>
      </c>
      <c r="I291" s="45" t="str">
        <f aca="false">IF($R291="","",INDEX(Anforderungen!$K:$K,$R291))</f>
        <v>trifft nicht zu</v>
      </c>
      <c r="J291" s="46" t="n">
        <f aca="false">IF($R291="","",INDEX(Anforderungen!$L:$L,$R291))</f>
        <v>0</v>
      </c>
      <c r="K291" s="45" t="str">
        <f aca="false">IF($R291="","",INDEX(Anforderungen!$M:$M,$R291))</f>
        <v>Automatisch ausgewertet: Betrifft das Vergabeverfahren (Angebot, Wertung, Unterlagen), nicht die zu erbringende Leistung. Keiner Komponente zugeordnet.</v>
      </c>
      <c r="R291" s="0" t="n">
        <f aca="false">IFERROR(MATCH(ROWS($A$16:$A291),Anforderungen!$O$7:$O$2000,0)+6,"")</f>
        <v>282</v>
      </c>
    </row>
    <row r="292" customFormat="false" ht="30" hidden="false" customHeight="true" outlineLevel="0" collapsed="false">
      <c r="A292" s="45" t="str">
        <f aca="false">IF($R292="","",INDEX(Anforderungen!$B:$B,$R292))</f>
        <v>ANF-277</v>
      </c>
      <c r="B292" s="45" t="str">
        <f aca="false">IF($R292="","",INDEX(Anforderungen!$C:$C,$R292))</f>
        <v>Bieterfragenkatalog</v>
      </c>
      <c r="C292" s="45" t="str">
        <f aca="false">IF($R292="","",INDEX(Anforderungen!$D:$D,$R292))</f>
        <v>Nr. 224 / S. 20</v>
      </c>
      <c r="D292" s="45" t="str">
        <f aca="false">IF($R292="","",INDEX(Anforderungen!$E:$E,$R292))</f>
        <v>Vertrag &amp; Recht</v>
      </c>
      <c r="E292" s="45" t="str">
        <f aca="false">IF($R292="","",INDEX(Anforderungen!$F:$F,$R292))</f>
        <v>Klarstellung: Ihre Annahme ist zutreffend. Das allgemeingültige Projekthandbuch ist innerhalb von 4 Wochen einzureichen.</v>
      </c>
      <c r="F292" s="45" t="str">
        <f aca="false">IF($R292="","",INDEX(Anforderungen!$G:$G,$R292))</f>
        <v>Gehen wir recht in der Annahme, dass die Frist von 4 Wochen für die Einreichung des allgemeinen Projekthandbuchs gilt und nicht für die standortbezogenen? Wann müssen die standortbezogenen Projekthandbücher eingereicht werden?</v>
      </c>
      <c r="G292" s="45" t="str">
        <f aca="false">IF($R292="","",INDEX(Anforderungen!$I:$I,$R292))</f>
        <v>offen</v>
      </c>
      <c r="H292" s="45" t="str">
        <f aca="false">IF($R292="","",INDEX(Anforderungen!$J:$J,$R292))</f>
        <v>–</v>
      </c>
      <c r="I292" s="45" t="str">
        <f aca="false">IF($R292="","",INDEX(Anforderungen!$K:$K,$R292))</f>
        <v>erfasst</v>
      </c>
      <c r="J292" s="46" t="n">
        <f aca="false">IF($R292="","",INDEX(Anforderungen!$L:$L,$R292))</f>
        <v>0</v>
      </c>
      <c r="K292" s="45" t="n">
        <f aca="false">IF($R292="","",INDEX(Anforderungen!$M:$M,$R292))</f>
        <v>0</v>
      </c>
      <c r="R292" s="0" t="n">
        <f aca="false">IFERROR(MATCH(ROWS($A$16:$A292),Anforderungen!$O$7:$O$2000,0)+6,"")</f>
        <v>283</v>
      </c>
    </row>
    <row r="293" customFormat="false" ht="30" hidden="false" customHeight="true" outlineLevel="0" collapsed="false">
      <c r="A293" s="45" t="str">
        <f aca="false">IF($R293="","",INDEX(Anforderungen!$B:$B,$R293))</f>
        <v>ANF-278</v>
      </c>
      <c r="B293" s="45" t="str">
        <f aca="false">IF($R293="","",INDEX(Anforderungen!$C:$C,$R293))</f>
        <v>Bieterfragenkatalog</v>
      </c>
      <c r="C293" s="45" t="str">
        <f aca="false">IF($R293="","",INDEX(Anforderungen!$D:$D,$R293))</f>
        <v>Nr. 225 / S. 20</v>
      </c>
      <c r="D293" s="45" t="str">
        <f aca="false">IF($R293="","",INDEX(Anforderungen!$E:$E,$R293))</f>
        <v>Bau &amp; Dokumentation</v>
      </c>
      <c r="E293" s="45" t="str">
        <f aca="false">IF($R293="","",INDEX(Anforderungen!$F:$F,$R293))</f>
        <v>Anpassung der Unterlagen: Vielen Dank für den Hinweis. In Kap.</v>
      </c>
      <c r="F293" s="45" t="str">
        <f aca="false">IF($R293="","",INDEX(Anforderungen!$G:$G,$R293))</f>
        <v>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v>
      </c>
      <c r="G293" s="45" t="str">
        <f aca="false">IF($R293="","",INDEX(Anforderungen!$I:$I,$R293))</f>
        <v>offen</v>
      </c>
      <c r="H293" s="45" t="str">
        <f aca="false">IF($R293="","",INDEX(Anforderungen!$J:$J,$R293))</f>
        <v>–</v>
      </c>
      <c r="I293" s="45" t="str">
        <f aca="false">IF($R293="","",INDEX(Anforderungen!$K:$K,$R293))</f>
        <v>erfasst</v>
      </c>
      <c r="J293" s="46" t="n">
        <f aca="false">IF($R293="","",INDEX(Anforderungen!$L:$L,$R293))</f>
        <v>0</v>
      </c>
      <c r="K293" s="45" t="n">
        <f aca="false">IF($R293="","",INDEX(Anforderungen!$M:$M,$R293))</f>
        <v>0</v>
      </c>
      <c r="R293" s="0" t="n">
        <f aca="false">IFERROR(MATCH(ROWS($A$16:$A293),Anforderungen!$O$7:$O$2000,0)+6,"")</f>
        <v>284</v>
      </c>
    </row>
    <row r="294" customFormat="false" ht="30" hidden="false" customHeight="true" outlineLevel="0" collapsed="false">
      <c r="A294" s="45" t="str">
        <f aca="false">IF($R294="","",INDEX(Anforderungen!$B:$B,$R294))</f>
        <v>ANF-279</v>
      </c>
      <c r="B294" s="45" t="str">
        <f aca="false">IF($R294="","",INDEX(Anforderungen!$C:$C,$R294))</f>
        <v>Bieterfragenkatalog</v>
      </c>
      <c r="C294" s="45" t="str">
        <f aca="false">IF($R294="","",INDEX(Anforderungen!$D:$D,$R294))</f>
        <v>Nr. 226 / S. 21</v>
      </c>
      <c r="D294" s="45" t="str">
        <f aca="false">IF($R294="","",INDEX(Anforderungen!$E:$E,$R294))</f>
        <v>Netzanschluss &amp; Energie</v>
      </c>
      <c r="E294" s="45" t="str">
        <f aca="false">IF($R294="","",INDEX(Anforderungen!$F:$F,$R294))</f>
        <v>Klarstellung: zu a) Die Annahme ist unzutreffend. Betriebs-, Wartungs-, und Instandhaltungsunterlagen sind für die gesamte Ladeinfrastruktur (Anlage 1 Betreibervertrag, § 4, Abs.</v>
      </c>
      <c r="F294" s="45" t="str">
        <f aca="false">IF($R294="","",INDEX(Anforderungen!$G:$G,$R294))</f>
        <v>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v>
      </c>
      <c r="G294" s="45" t="str">
        <f aca="false">IF($R294="","",INDEX(Anforderungen!$I:$I,$R294))</f>
        <v>Alpitronic</v>
      </c>
      <c r="H294" s="45" t="str">
        <f aca="false">IF($R294="","",INDEX(Anforderungen!$J:$J,$R294))</f>
        <v>Ladeeinrichtung</v>
      </c>
      <c r="I294" s="45" t="str">
        <f aca="false">IF($R294="","",INDEX(Anforderungen!$K:$K,$R294))</f>
        <v>erfasst</v>
      </c>
      <c r="J294" s="46" t="n">
        <f aca="false">IF($R294="","",INDEX(Anforderungen!$L:$L,$R294))</f>
        <v>0</v>
      </c>
      <c r="K294" s="45" t="n">
        <f aca="false">IF($R294="","",INDEX(Anforderungen!$M:$M,$R294))</f>
        <v>0</v>
      </c>
      <c r="R294" s="0" t="n">
        <f aca="false">IFERROR(MATCH(ROWS($A$16:$A294),Anforderungen!$O$7:$O$2000,0)+6,"")</f>
        <v>285</v>
      </c>
    </row>
    <row r="295" customFormat="false" ht="30" hidden="false" customHeight="true" outlineLevel="0" collapsed="false">
      <c r="A295" s="45" t="str">
        <f aca="false">IF($R295="","",INDEX(Anforderungen!$B:$B,$R295))</f>
        <v>ANF-280</v>
      </c>
      <c r="B295" s="45" t="str">
        <f aca="false">IF($R295="","",INDEX(Anforderungen!$C:$C,$R295))</f>
        <v>Bieterfragenkatalog</v>
      </c>
      <c r="C295" s="45" t="str">
        <f aca="false">IF($R295="","",INDEX(Anforderungen!$D:$D,$R295))</f>
        <v>Nr. 227 / S. 21</v>
      </c>
      <c r="D295" s="45" t="str">
        <f aca="false">IF($R295="","",INDEX(Anforderungen!$E:$E,$R295))</f>
        <v>Betrieb &amp; Auslastung</v>
      </c>
      <c r="E295" s="45" t="str">
        <f aca="false">IF($R295="","",INDEX(Anforderungen!$F:$F,$R295))</f>
        <v>Klarstellung: Schadensereignis meint jede Handlung, die den Schaden unmittelbar ausgelöst hat. Hierbei können mehrere Handlungen ein Schadenereignis darstellen, wenn zwischen den einzelnen Handlungen ein sachlicher und zeitlicher Zusammengang …</v>
      </c>
      <c r="F295" s="45" t="str">
        <f aca="false">IF($R295="","",INDEX(Anforderungen!$G:$G,$R295))</f>
        <v>Bitte definieren Sie "Schadenereignis". Wenn ein Standort mehrere Tage in Folge Gegenstand von Vandalismus ist, gilt dies dann als ein einziges Ereignis?</v>
      </c>
      <c r="G295" s="45" t="str">
        <f aca="false">IF($R295="","",INDEX(Anforderungen!$I:$I,$R295))</f>
        <v>Zuordnung prüfen</v>
      </c>
      <c r="H295" s="45" t="str">
        <f aca="false">IF($R295="","",INDEX(Anforderungen!$J:$J,$R295))</f>
        <v>Zuordnung prüfen</v>
      </c>
      <c r="I295" s="45" t="str">
        <f aca="false">IF($R295="","",INDEX(Anforderungen!$K:$K,$R295))</f>
        <v>erfasst</v>
      </c>
      <c r="J295" s="46" t="n">
        <f aca="false">IF($R295="","",INDEX(Anforderungen!$L:$L,$R295))</f>
        <v>0</v>
      </c>
      <c r="K295" s="45" t="n">
        <f aca="false">IF($R295="","",INDEX(Anforderungen!$M:$M,$R295))</f>
        <v>0</v>
      </c>
      <c r="R295" s="0" t="n">
        <f aca="false">IFERROR(MATCH(ROWS($A$16:$A295),Anforderungen!$O$7:$O$2000,0)+6,"")</f>
        <v>286</v>
      </c>
    </row>
    <row r="296" customFormat="false" ht="30" hidden="false" customHeight="true" outlineLevel="0" collapsed="false">
      <c r="A296" s="45" t="str">
        <f aca="false">IF($R296="","",INDEX(Anforderungen!$B:$B,$R296))</f>
        <v>ANF-281</v>
      </c>
      <c r="B296" s="45" t="str">
        <f aca="false">IF($R296="","",INDEX(Anforderungen!$C:$C,$R296))</f>
        <v>Bieterfragenkatalog</v>
      </c>
      <c r="C296" s="45" t="str">
        <f aca="false">IF($R296="","",INDEX(Anforderungen!$D:$D,$R296))</f>
        <v>Nr. 228 / S. 21</v>
      </c>
      <c r="D296" s="45" t="str">
        <f aca="false">IF($R296="","",INDEX(Anforderungen!$E:$E,$R296))</f>
        <v>Vertrag &amp; Recht</v>
      </c>
      <c r="E296" s="45" t="str">
        <f aca="false">IF($R296="","",INDEX(Anforderungen!$F:$F,$R296))</f>
        <v>Klarstellung: Der Zusammenhang zwischen der Versicherungsprämie und der Höchstgrenze für die Wiederherstellung der Ladeinfrastruktur ist für den AG nicht ersichtlich.</v>
      </c>
      <c r="F296" s="45" t="str">
        <f aca="false">IF($R296="","",INDEX(Anforderungen!$G:$G,$R296))</f>
        <v>Umfasst die Berechnung der € 0,5 Mio., die der AN insgesamt über die gesamte Vertragslaufzeit für das Risiko der Beschädigung oder Zerstörung der Ladeinfrastruktur übernimmt, die Kosten der vom AN gezahlten Versicherungsprämie?</v>
      </c>
      <c r="G296" s="45" t="str">
        <f aca="false">IF($R296="","",INDEX(Anforderungen!$I:$I,$R296))</f>
        <v>offen</v>
      </c>
      <c r="H296" s="45" t="str">
        <f aca="false">IF($R296="","",INDEX(Anforderungen!$J:$J,$R296))</f>
        <v>–</v>
      </c>
      <c r="I296" s="45" t="str">
        <f aca="false">IF($R296="","",INDEX(Anforderungen!$K:$K,$R296))</f>
        <v>erfasst</v>
      </c>
      <c r="J296" s="46" t="n">
        <f aca="false">IF($R296="","",INDEX(Anforderungen!$L:$L,$R296))</f>
        <v>0</v>
      </c>
      <c r="K296" s="45" t="n">
        <f aca="false">IF($R296="","",INDEX(Anforderungen!$M:$M,$R296))</f>
        <v>0</v>
      </c>
      <c r="R296" s="0" t="n">
        <f aca="false">IFERROR(MATCH(ROWS($A$16:$A296),Anforderungen!$O$7:$O$2000,0)+6,"")</f>
        <v>287</v>
      </c>
    </row>
    <row r="297" customFormat="false" ht="30" hidden="false" customHeight="true" outlineLevel="0" collapsed="false">
      <c r="A297" s="45" t="str">
        <f aca="false">IF($R297="","",INDEX(Anforderungen!$B:$B,$R297))</f>
        <v>ANF-282</v>
      </c>
      <c r="B297" s="45" t="str">
        <f aca="false">IF($R297="","",INDEX(Anforderungen!$C:$C,$R297))</f>
        <v>Bieterfragenkatalog</v>
      </c>
      <c r="C297" s="45" t="str">
        <f aca="false">IF($R297="","",INDEX(Anforderungen!$D:$D,$R297))</f>
        <v>Nr. 229 / S. 21</v>
      </c>
      <c r="D297" s="45" t="str">
        <f aca="false">IF($R297="","",INDEX(Anforderungen!$E:$E,$R297))</f>
        <v>Vertrag &amp; Recht</v>
      </c>
      <c r="E297" s="45" t="str">
        <f aca="false">IF($R297="","",INDEX(Anforderungen!$F:$F,$R297))</f>
        <v>Klarstellung: Vielen Dank für den Hinweis: es muss AN heißen.</v>
      </c>
      <c r="F297" s="45" t="str">
        <f aca="false">IF($R297="","",INDEX(Anforderungen!$G:$G,$R297))</f>
        <v>Wir bitten um Überprüfung und ggf. Korrektur des Wortes "Auftraggeber" im vorletzten Absatz, letzter Satz des §23.3 ("Wenn und soweit eine Instandsetzung, Wiederherstellung bzw. Erneuerung durch den Auftraggeber…"</v>
      </c>
      <c r="G297" s="45" t="str">
        <f aca="false">IF($R297="","",INDEX(Anforderungen!$I:$I,$R297))</f>
        <v>offen</v>
      </c>
      <c r="H297" s="45" t="str">
        <f aca="false">IF($R297="","",INDEX(Anforderungen!$J:$J,$R297))</f>
        <v>–</v>
      </c>
      <c r="I297" s="45" t="str">
        <f aca="false">IF($R297="","",INDEX(Anforderungen!$K:$K,$R297))</f>
        <v>erfasst</v>
      </c>
      <c r="J297" s="46" t="n">
        <f aca="false">IF($R297="","",INDEX(Anforderungen!$L:$L,$R297))</f>
        <v>0</v>
      </c>
      <c r="K297" s="45" t="n">
        <f aca="false">IF($R297="","",INDEX(Anforderungen!$M:$M,$R297))</f>
        <v>0</v>
      </c>
      <c r="R297" s="0" t="n">
        <f aca="false">IFERROR(MATCH(ROWS($A$16:$A297),Anforderungen!$O$7:$O$2000,0)+6,"")</f>
        <v>288</v>
      </c>
    </row>
    <row r="298" customFormat="false" ht="30" hidden="false" customHeight="true" outlineLevel="0" collapsed="false">
      <c r="A298" s="45" t="str">
        <f aca="false">IF($R298="","",INDEX(Anforderungen!$B:$B,$R298))</f>
        <v>ANF-283</v>
      </c>
      <c r="B298" s="45" t="str">
        <f aca="false">IF($R298="","",INDEX(Anforderungen!$C:$C,$R298))</f>
        <v>Bieterfragenkatalog</v>
      </c>
      <c r="C298" s="45" t="str">
        <f aca="false">IF($R298="","",INDEX(Anforderungen!$D:$D,$R298))</f>
        <v>Nr. 230 / S. 21</v>
      </c>
      <c r="D298" s="45" t="str">
        <f aca="false">IF($R298="","",INDEX(Anforderungen!$E:$E,$R298))</f>
        <v>Netzanschluss &amp; Energie</v>
      </c>
      <c r="E298" s="45" t="str">
        <f aca="false">IF($R298="","",INDEX(Anforderungen!$F:$F,$R298))</f>
        <v>Verweis des Auftraggebers auf die Antwort zu Bieterfrage 211.</v>
      </c>
      <c r="F298" s="45" t="str">
        <f aca="false">IF($R298="","",INDEX(Anforderungen!$G:$G,$R298))</f>
        <v>Aus rechtlicher Sicht ist unklar, wie Strom, der aus einem Speicher entnommen wird, im Durchleitungsmodell behandelt werden soll. Wir bitten um Erläuterung.</v>
      </c>
      <c r="G298" s="45" t="str">
        <f aca="false">IF($R298="","",INDEX(Anforderungen!$I:$I,$R298))</f>
        <v>offen</v>
      </c>
      <c r="H298" s="45" t="str">
        <f aca="false">IF($R298="","",INDEX(Anforderungen!$J:$J,$R298))</f>
        <v>–</v>
      </c>
      <c r="I298" s="45" t="str">
        <f aca="false">IF($R298="","",INDEX(Anforderungen!$K:$K,$R298))</f>
        <v>trifft nicht zu</v>
      </c>
      <c r="J298" s="46" t="n">
        <f aca="false">IF($R298="","",INDEX(Anforderungen!$L:$L,$R298))</f>
        <v>0</v>
      </c>
      <c r="K298" s="45" t="str">
        <f aca="false">IF($R298="","",INDEX(Anforderungen!$M:$M,$R298))</f>
        <v>Automatisch ausgewertet: Die Antwort des Auftraggebers verweist ausschließlich auf Bieterfrage 211. Keine eigenständige Anforderung – der Inhalt ist unter der dort erfassten Zeile nachzuhalten.</v>
      </c>
      <c r="R298" s="0" t="n">
        <f aca="false">IFERROR(MATCH(ROWS($A$16:$A298),Anforderungen!$O$7:$O$2000,0)+6,"")</f>
        <v>289</v>
      </c>
    </row>
    <row r="299" customFormat="false" ht="30" hidden="false" customHeight="true" outlineLevel="0" collapsed="false">
      <c r="A299" s="45" t="str">
        <f aca="false">IF($R299="","",INDEX(Anforderungen!$B:$B,$R299))</f>
        <v>ANF-284</v>
      </c>
      <c r="B299" s="45" t="str">
        <f aca="false">IF($R299="","",INDEX(Anforderungen!$C:$C,$R299))</f>
        <v>Bieterfragenkatalog</v>
      </c>
      <c r="C299" s="45" t="str">
        <f aca="false">IF($R299="","",INDEX(Anforderungen!$D:$D,$R299))</f>
        <v>Nr. 231 / S. 21</v>
      </c>
      <c r="D299" s="45" t="str">
        <f aca="false">IF($R299="","",INDEX(Anforderungen!$E:$E,$R299))</f>
        <v>Vertrag &amp; Recht</v>
      </c>
      <c r="E299" s="45" t="str">
        <f aca="false">IF($R299="","",INDEX(Anforderungen!$F:$F,$R299))</f>
        <v>Klarstellung: Mit der in der Vertragsanlage 3, § 50.2 aufgeführten Bezeichnung: „Dritte“ sind Personen oder Organisationen gemeint, die keine Vertragsparteien sind (z.</v>
      </c>
      <c r="F299" s="45" t="str">
        <f aca="false">IF($R299="","",INDEX(Anforderungen!$G:$G,$R299))</f>
        <v>Wir bitten um beispielhafte Erläuterung, welche Dritten hier gemeint sind und was der Hintergrund für diese Festlegung ist.</v>
      </c>
      <c r="G299" s="45" t="str">
        <f aca="false">IF($R299="","",INDEX(Anforderungen!$I:$I,$R299))</f>
        <v>offen</v>
      </c>
      <c r="H299" s="45" t="str">
        <f aca="false">IF($R299="","",INDEX(Anforderungen!$J:$J,$R299))</f>
        <v>–</v>
      </c>
      <c r="I299" s="45" t="str">
        <f aca="false">IF($R299="","",INDEX(Anforderungen!$K:$K,$R299))</f>
        <v>erfasst</v>
      </c>
      <c r="J299" s="46" t="n">
        <f aca="false">IF($R299="","",INDEX(Anforderungen!$L:$L,$R299))</f>
        <v>0</v>
      </c>
      <c r="K299" s="45" t="n">
        <f aca="false">IF($R299="","",INDEX(Anforderungen!$M:$M,$R299))</f>
        <v>0</v>
      </c>
      <c r="R299" s="0" t="n">
        <f aca="false">IFERROR(MATCH(ROWS($A$16:$A299),Anforderungen!$O$7:$O$2000,0)+6,"")</f>
        <v>290</v>
      </c>
    </row>
    <row r="300" customFormat="false" ht="30" hidden="false" customHeight="true" outlineLevel="0" collapsed="false">
      <c r="A300" s="45" t="str">
        <f aca="false">IF($R300="","",INDEX(Anforderungen!$B:$B,$R300))</f>
        <v>ANF-285</v>
      </c>
      <c r="B300" s="45" t="str">
        <f aca="false">IF($R300="","",INDEX(Anforderungen!$C:$C,$R300))</f>
        <v>Bieterfragenkatalog</v>
      </c>
      <c r="C300" s="45" t="str">
        <f aca="false">IF($R300="","",INDEX(Anforderungen!$D:$D,$R300))</f>
        <v>Nr. 232 / S. 21</v>
      </c>
      <c r="D300" s="45" t="str">
        <f aca="false">IF($R300="","",INDEX(Anforderungen!$E:$E,$R300))</f>
        <v>Vertrag &amp; Recht</v>
      </c>
      <c r="E300" s="45" t="str">
        <f aca="false">IF($R300="","",INDEX(Anforderungen!$F:$F,$R300))</f>
        <v>Klarstellung: Die Festlegung bezieht sich nur auf Nachunternehmer und nicht auf Nach-Nachunternehmer.</v>
      </c>
      <c r="F300" s="45" t="str">
        <f aca="false">IF($R300="","",INDEX(Anforderungen!$G:$G,$R300))</f>
        <v>Gilt die Festlegung bzgl. des Nettoauftragswertes von€ 25.000,00 bei Nachunternehmern ebenso für Nach- Nachunternehmer?</v>
      </c>
      <c r="G300" s="45" t="str">
        <f aca="false">IF($R300="","",INDEX(Anforderungen!$I:$I,$R300))</f>
        <v>offen</v>
      </c>
      <c r="H300" s="45" t="str">
        <f aca="false">IF($R300="","",INDEX(Anforderungen!$J:$J,$R300))</f>
        <v>–</v>
      </c>
      <c r="I300" s="45" t="str">
        <f aca="false">IF($R300="","",INDEX(Anforderungen!$K:$K,$R300))</f>
        <v>erfasst</v>
      </c>
      <c r="J300" s="46" t="n">
        <f aca="false">IF($R300="","",INDEX(Anforderungen!$L:$L,$R300))</f>
        <v>0</v>
      </c>
      <c r="K300" s="45" t="n">
        <f aca="false">IF($R300="","",INDEX(Anforderungen!$M:$M,$R300))</f>
        <v>0</v>
      </c>
      <c r="R300" s="0" t="n">
        <f aca="false">IFERROR(MATCH(ROWS($A$16:$A300),Anforderungen!$O$7:$O$2000,0)+6,"")</f>
        <v>291</v>
      </c>
    </row>
    <row r="301" customFormat="false" ht="30" hidden="false" customHeight="true" outlineLevel="0" collapsed="false">
      <c r="A301" s="45" t="str">
        <f aca="false">IF($R301="","",INDEX(Anforderungen!$B:$B,$R301))</f>
        <v>ANF-286</v>
      </c>
      <c r="B301" s="45" t="str">
        <f aca="false">IF($R301="","",INDEX(Anforderungen!$C:$C,$R301))</f>
        <v>Bieterfragenkatalog</v>
      </c>
      <c r="C301" s="45" t="str">
        <f aca="false">IF($R301="","",INDEX(Anforderungen!$D:$D,$R301))</f>
        <v>Nr. 233 / S. 21</v>
      </c>
      <c r="D301" s="45" t="str">
        <f aca="false">IF($R301="","",INDEX(Anforderungen!$E:$E,$R301))</f>
        <v>Betrieb &amp; Auslastung</v>
      </c>
      <c r="E301" s="45" t="str">
        <f aca="false">IF($R301="","",INDEX(Anforderungen!$F:$F,$R301))</f>
        <v>Klarstellung: Nach aktueller Einschätzung ist weder der Ausbau von Oberleitungssystemen noch der Ausbau von induktivem Laden in absehbarer Zukunft geplant.</v>
      </c>
      <c r="F301" s="45" t="str">
        <f aca="false">IF($R301="","",INDEX(Anforderungen!$G:$G,$R301))</f>
        <v>Wie würde die Kompensation für den AN aussehen, wenn in der Nähe der ausgeschriebenen Standorte Laden während der Fahrt (z.B. Oberleitungsladesysteme oder induktives Laden) ermöglicht wird? Dies würde die Auslastung der Standorte verringern.</v>
      </c>
      <c r="G301" s="45" t="str">
        <f aca="false">IF($R301="","",INDEX(Anforderungen!$I:$I,$R301))</f>
        <v>Zuordnung prüfen</v>
      </c>
      <c r="H301" s="45" t="str">
        <f aca="false">IF($R301="","",INDEX(Anforderungen!$J:$J,$R301))</f>
        <v>Zuordnung prüfen</v>
      </c>
      <c r="I301" s="45" t="str">
        <f aca="false">IF($R301="","",INDEX(Anforderungen!$K:$K,$R301))</f>
        <v>erfasst</v>
      </c>
      <c r="J301" s="46" t="n">
        <f aca="false">IF($R301="","",INDEX(Anforderungen!$L:$L,$R301))</f>
        <v>0</v>
      </c>
      <c r="K301" s="45" t="n">
        <f aca="false">IF($R301="","",INDEX(Anforderungen!$M:$M,$R301))</f>
        <v>0</v>
      </c>
      <c r="R301" s="0" t="n">
        <f aca="false">IFERROR(MATCH(ROWS($A$16:$A301),Anforderungen!$O$7:$O$2000,0)+6,"")</f>
        <v>292</v>
      </c>
    </row>
    <row r="302" customFormat="false" ht="30" hidden="false" customHeight="true" outlineLevel="0" collapsed="false">
      <c r="A302" s="45" t="str">
        <f aca="false">IF($R302="","",INDEX(Anforderungen!$B:$B,$R302))</f>
        <v>ANF-287</v>
      </c>
      <c r="B302" s="45" t="str">
        <f aca="false">IF($R302="","",INDEX(Anforderungen!$C:$C,$R302))</f>
        <v>Bieterfragenkatalog</v>
      </c>
      <c r="C302" s="45" t="str">
        <f aca="false">IF($R302="","",INDEX(Anforderungen!$D:$D,$R302))</f>
        <v>Nr. 234 / S. 21</v>
      </c>
      <c r="D302" s="45" t="str">
        <f aca="false">IF($R302="","",INDEX(Anforderungen!$E:$E,$R302))</f>
        <v>Netzanschluss &amp; Energie</v>
      </c>
      <c r="E302" s="45" t="str">
        <f aca="false">IF($R302="","",INDEX(Anforderungen!$F:$F,$R302))</f>
        <v>Klarstellung: Grundsätzlich ist jeder Teil des Staatsgebietes einer Gemeinde zugewiesen. Maßgeblich ist nicht, dass sich der Standort innerhalb der Gemeinde an sich, sondern innerhalb der einer Gemeinde zugeordneten Gesamtfläche …</v>
      </c>
      <c r="F302" s="45" t="str">
        <f aca="false">IF($R302="","",INDEX(Anforderungen!$G:$G,$R302))</f>
        <v>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v>
      </c>
      <c r="G302" s="45" t="str">
        <f aca="false">IF($R302="","",INDEX(Anforderungen!$I:$I,$R302))</f>
        <v>offen</v>
      </c>
      <c r="H302" s="45" t="str">
        <f aca="false">IF($R302="","",INDEX(Anforderungen!$J:$J,$R302))</f>
        <v>–</v>
      </c>
      <c r="I302" s="45" t="str">
        <f aca="false">IF($R302="","",INDEX(Anforderungen!$K:$K,$R302))</f>
        <v>erfasst</v>
      </c>
      <c r="J302" s="46" t="n">
        <f aca="false">IF($R302="","",INDEX(Anforderungen!$L:$L,$R302))</f>
        <v>0</v>
      </c>
      <c r="K302" s="45" t="n">
        <f aca="false">IF($R302="","",INDEX(Anforderungen!$M:$M,$R302))</f>
        <v>0</v>
      </c>
      <c r="R302" s="0" t="n">
        <f aca="false">IFERROR(MATCH(ROWS($A$16:$A302),Anforderungen!$O$7:$O$2000,0)+6,"")</f>
        <v>293</v>
      </c>
    </row>
    <row r="303" customFormat="false" ht="30" hidden="false" customHeight="true" outlineLevel="0" collapsed="false">
      <c r="A303" s="45" t="str">
        <f aca="false">IF($R303="","",INDEX(Anforderungen!$B:$B,$R303))</f>
        <v>ANF-288</v>
      </c>
      <c r="B303" s="45" t="str">
        <f aca="false">IF($R303="","",INDEX(Anforderungen!$C:$C,$R303))</f>
        <v>Bieterfragenkatalog</v>
      </c>
      <c r="C303" s="45" t="str">
        <f aca="false">IF($R303="","",INDEX(Anforderungen!$D:$D,$R303))</f>
        <v>Nr. 235 / S. 21</v>
      </c>
      <c r="D303" s="45" t="str">
        <f aca="false">IF($R303="","",INDEX(Anforderungen!$E:$E,$R303))</f>
        <v>Technik Ladeinfrastruktur</v>
      </c>
      <c r="E303" s="45" t="str">
        <f aca="false">IF($R303="","",INDEX(Anforderungen!$F:$F,$R303))</f>
        <v>Klarstellung: Vielen Dank für den Hinweis. Der AG wird eine Anpassung prüfen und im weiteren Vergabeverfahren eine entsprechend angepasste Unterlage zur Verfügung stellen.</v>
      </c>
      <c r="F303" s="45" t="str">
        <f aca="false">IF($R303="","",INDEX(Anforderungen!$G:$G,$R303))</f>
        <v>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v>
      </c>
      <c r="G303" s="45" t="str">
        <f aca="false">IF($R303="","",INDEX(Anforderungen!$I:$I,$R303))</f>
        <v>Zuordnung prüfen</v>
      </c>
      <c r="H303" s="45" t="str">
        <f aca="false">IF($R303="","",INDEX(Anforderungen!$J:$J,$R303))</f>
        <v>Zuordnung prüfen</v>
      </c>
      <c r="I303" s="45" t="str">
        <f aca="false">IF($R303="","",INDEX(Anforderungen!$K:$K,$R303))</f>
        <v>erfasst</v>
      </c>
      <c r="J303" s="46" t="n">
        <f aca="false">IF($R303="","",INDEX(Anforderungen!$L:$L,$R303))</f>
        <v>0</v>
      </c>
      <c r="K303" s="45" t="n">
        <f aca="false">IF($R303="","",INDEX(Anforderungen!$M:$M,$R303))</f>
        <v>0</v>
      </c>
      <c r="R303" s="0" t="n">
        <f aca="false">IFERROR(MATCH(ROWS($A$16:$A303),Anforderungen!$O$7:$O$2000,0)+6,"")</f>
        <v>294</v>
      </c>
    </row>
    <row r="304" customFormat="false" ht="30" hidden="false" customHeight="true" outlineLevel="0" collapsed="false">
      <c r="A304" s="45" t="str">
        <f aca="false">IF($R304="","",INDEX(Anforderungen!$B:$B,$R304))</f>
        <v>ANF-289</v>
      </c>
      <c r="B304" s="45" t="str">
        <f aca="false">IF($R304="","",INDEX(Anforderungen!$C:$C,$R304))</f>
        <v>Bieterfragenkatalog</v>
      </c>
      <c r="C304" s="45" t="str">
        <f aca="false">IF($R304="","",INDEX(Anforderungen!$D:$D,$R304))</f>
        <v>Nr. 236 / S. 21</v>
      </c>
      <c r="D304" s="45" t="str">
        <f aca="false">IF($R304="","",INDEX(Anforderungen!$E:$E,$R304))</f>
        <v>Reservierung</v>
      </c>
      <c r="E304" s="45" t="str">
        <f aca="false">IF($R304="","",INDEX(Anforderungen!$F:$F,$R304))</f>
        <v>Klarstellung: Die Zeitangaben sowohl in §19.5 als auch in §32.2 beziehen sich auf den ursprünglich reservierten Zeitraum.</v>
      </c>
      <c r="F304" s="45" t="str">
        <f aca="false">IF($R304="","",INDEX(Anforderungen!$G:$G,$R304))</f>
        <v>§19.5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v>
      </c>
      <c r="G304" s="45" t="str">
        <f aca="false">IF($R304="","",INDEX(Anforderungen!$I:$I,$R304))</f>
        <v>eRound</v>
      </c>
      <c r="H304" s="45" t="str">
        <f aca="false">IF($R304="","",INDEX(Anforderungen!$J:$J,$R304))</f>
        <v>OCPI Buchungskalender / Abrechnungskomponente</v>
      </c>
      <c r="I304" s="45" t="str">
        <f aca="false">IF($R304="","",INDEX(Anforderungen!$K:$K,$R304))</f>
        <v>erfasst</v>
      </c>
      <c r="J304" s="46" t="n">
        <f aca="false">IF($R304="","",INDEX(Anforderungen!$L:$L,$R304))</f>
        <v>0</v>
      </c>
      <c r="K304" s="45" t="n">
        <f aca="false">IF($R304="","",INDEX(Anforderungen!$M:$M,$R304))</f>
        <v>0</v>
      </c>
      <c r="R304" s="0" t="n">
        <f aca="false">IFERROR(MATCH(ROWS($A$16:$A304),Anforderungen!$O$7:$O$2000,0)+6,"")</f>
        <v>295</v>
      </c>
    </row>
    <row r="305" customFormat="false" ht="30" hidden="false" customHeight="true" outlineLevel="0" collapsed="false">
      <c r="A305" s="45" t="str">
        <f aca="false">IF($R305="","",INDEX(Anforderungen!$B:$B,$R305))</f>
        <v>ANF-290</v>
      </c>
      <c r="B305" s="45" t="str">
        <f aca="false">IF($R305="","",INDEX(Anforderungen!$C:$C,$R305))</f>
        <v>Bieterfragenkatalog</v>
      </c>
      <c r="C305" s="45" t="str">
        <f aca="false">IF($R305="","",INDEX(Anforderungen!$D:$D,$R305))</f>
        <v>Nr. 237 / S. 22</v>
      </c>
      <c r="D305" s="45" t="str">
        <f aca="false">IF($R305="","",INDEX(Anforderungen!$E:$E,$R305))</f>
        <v>Vergabeverfahren &amp; Angebot</v>
      </c>
      <c r="E305" s="45" t="str">
        <f aca="false">IF($R305="","",INDEX(Anforderungen!$F:$F,$R305))</f>
        <v>Bestätigt: das ist zutreffend für eignungsverleihende Unterauftragnehmer.</v>
      </c>
      <c r="F305" s="45" t="str">
        <f aca="false">IF($R305="","",INDEX(Anforderungen!$G:$G,$R305))</f>
        <v>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v>
      </c>
      <c r="G305" s="45" t="str">
        <f aca="false">IF($R305="","",INDEX(Anforderungen!$I:$I,$R305))</f>
        <v>offen</v>
      </c>
      <c r="H305" s="45" t="str">
        <f aca="false">IF($R305="","",INDEX(Anforderungen!$J:$J,$R305))</f>
        <v>–</v>
      </c>
      <c r="I305" s="45" t="str">
        <f aca="false">IF($R305="","",INDEX(Anforderungen!$K:$K,$R305))</f>
        <v>trifft nicht zu</v>
      </c>
      <c r="J305" s="46" t="n">
        <f aca="false">IF($R305="","",INDEX(Anforderungen!$L:$L,$R305))</f>
        <v>0</v>
      </c>
      <c r="K305" s="45" t="str">
        <f aca="false">IF($R305="","",INDEX(Anforderungen!$M:$M,$R305))</f>
        <v>Automatisch ausgewertet: Betrifft das Vergabeverfahren (Angebot, Wertung, Unterlagen), nicht die zu erbringende Leistung. Keiner Komponente zugeordnet.</v>
      </c>
      <c r="R305" s="0" t="n">
        <f aca="false">IFERROR(MATCH(ROWS($A$16:$A305),Anforderungen!$O$7:$O$2000,0)+6,"")</f>
        <v>296</v>
      </c>
    </row>
    <row r="306" customFormat="false" ht="30" hidden="false" customHeight="true" outlineLevel="0" collapsed="false">
      <c r="A306" s="45" t="str">
        <f aca="false">IF($R306="","",INDEX(Anforderungen!$B:$B,$R306))</f>
        <v>ANF-291</v>
      </c>
      <c r="B306" s="45" t="str">
        <f aca="false">IF($R306="","",INDEX(Anforderungen!$C:$C,$R306))</f>
        <v>Bieterfragenkatalog</v>
      </c>
      <c r="C306" s="45" t="str">
        <f aca="false">IF($R306="","",INDEX(Anforderungen!$D:$D,$R306))</f>
        <v>Nr. 238 / S. 22</v>
      </c>
      <c r="D306" s="45" t="str">
        <f aca="false">IF($R306="","",INDEX(Anforderungen!$E:$E,$R306))</f>
        <v>Technik Ladeinfrastruktur</v>
      </c>
      <c r="E306" s="45" t="str">
        <f aca="false">IF($R306="","",INDEX(Anforderungen!$F:$F,$R306))</f>
        <v>Klarstellung: Die Formulierung bezieht sich auf die Ladeeinrichtung und ist beispielhaft als ein Aspekt für ein nutzerfreundliches Bedienkonzept aufgeführt.</v>
      </c>
      <c r="F306" s="45" t="str">
        <f aca="false">IF($R306="","",INDEX(Anforderungen!$G:$G,$R306))</f>
        <v>Wir bitten um Erläuterung des Punktes “Nummerierung des Ladevorgangs” unter Betriebskonzept (Bedienbarkeit/Nutzfreundlichkeit).</v>
      </c>
      <c r="G306" s="45" t="str">
        <f aca="false">IF($R306="","",INDEX(Anforderungen!$I:$I,$R306))</f>
        <v>Alpitronic</v>
      </c>
      <c r="H306" s="45" t="str">
        <f aca="false">IF($R306="","",INDEX(Anforderungen!$J:$J,$R306))</f>
        <v>Ladeeinrichtung</v>
      </c>
      <c r="I306" s="45" t="str">
        <f aca="false">IF($R306="","",INDEX(Anforderungen!$K:$K,$R306))</f>
        <v>erfasst</v>
      </c>
      <c r="J306" s="46" t="n">
        <f aca="false">IF($R306="","",INDEX(Anforderungen!$L:$L,$R306))</f>
        <v>0</v>
      </c>
      <c r="K306" s="45" t="n">
        <f aca="false">IF($R306="","",INDEX(Anforderungen!$M:$M,$R306))</f>
        <v>0</v>
      </c>
      <c r="R306" s="0" t="n">
        <f aca="false">IFERROR(MATCH(ROWS($A$16:$A306),Anforderungen!$O$7:$O$2000,0)+6,"")</f>
        <v>297</v>
      </c>
    </row>
    <row r="307" customFormat="false" ht="30" hidden="false" customHeight="true" outlineLevel="0" collapsed="false">
      <c r="A307" s="45" t="str">
        <f aca="false">IF($R307="","",INDEX(Anforderungen!$B:$B,$R307))</f>
        <v>ANF-292</v>
      </c>
      <c r="B307" s="45" t="str">
        <f aca="false">IF($R307="","",INDEX(Anforderungen!$C:$C,$R307))</f>
        <v>Bieterfragenkatalog</v>
      </c>
      <c r="C307" s="45" t="str">
        <f aca="false">IF($R307="","",INDEX(Anforderungen!$D:$D,$R307))</f>
        <v>Nr. 239 / S. 22</v>
      </c>
      <c r="D307" s="45" t="str">
        <f aca="false">IF($R307="","",INDEX(Anforderungen!$E:$E,$R307))</f>
        <v>Vergabeverfahren &amp; Angebot</v>
      </c>
      <c r="E307" s="45" t="str">
        <f aca="false">IF($R307="","",INDEX(Anforderungen!$F:$F,$R307))</f>
        <v>Klarstellung: Diese Annahme ist zutreffend.</v>
      </c>
      <c r="F307" s="45" t="str">
        <f aca="false">IF($R307="","",INDEX(Anforderungen!$G:$G,$R307))</f>
        <v>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v>
      </c>
      <c r="G307" s="45" t="str">
        <f aca="false">IF($R307="","",INDEX(Anforderungen!$I:$I,$R307))</f>
        <v>offen</v>
      </c>
      <c r="H307" s="45" t="str">
        <f aca="false">IF($R307="","",INDEX(Anforderungen!$J:$J,$R307))</f>
        <v>–</v>
      </c>
      <c r="I307" s="45" t="str">
        <f aca="false">IF($R307="","",INDEX(Anforderungen!$K:$K,$R307))</f>
        <v>trifft nicht zu</v>
      </c>
      <c r="J307" s="46" t="n">
        <f aca="false">IF($R307="","",INDEX(Anforderungen!$L:$L,$R307))</f>
        <v>0</v>
      </c>
      <c r="K307" s="45" t="str">
        <f aca="false">IF($R307="","",INDEX(Anforderungen!$M:$M,$R307))</f>
        <v>Automatisch ausgewertet: Betrifft das Vergabeverfahren (Angebot, Wertung, Unterlagen), nicht die zu erbringende Leistung. Keiner Komponente zugeordnet.</v>
      </c>
      <c r="R307" s="0" t="n">
        <f aca="false">IFERROR(MATCH(ROWS($A$16:$A307),Anforderungen!$O$7:$O$2000,0)+6,"")</f>
        <v>298</v>
      </c>
    </row>
    <row r="308" customFormat="false" ht="30" hidden="false" customHeight="true" outlineLevel="0" collapsed="false">
      <c r="A308" s="45" t="str">
        <f aca="false">IF($R308="","",INDEX(Anforderungen!$B:$B,$R308))</f>
        <v>ANF-293</v>
      </c>
      <c r="B308" s="45" t="str">
        <f aca="false">IF($R308="","",INDEX(Anforderungen!$C:$C,$R308))</f>
        <v>Bieterfragenkatalog</v>
      </c>
      <c r="C308" s="45" t="str">
        <f aca="false">IF($R308="","",INDEX(Anforderungen!$D:$D,$R308))</f>
        <v>Nr. 240 / S. 22</v>
      </c>
      <c r="D308" s="45" t="str">
        <f aca="false">IF($R308="","",INDEX(Anforderungen!$E:$E,$R308))</f>
        <v>Vergabeverfahren &amp; Angebot</v>
      </c>
      <c r="E308" s="45" t="str">
        <f aca="false">IF($R308="","",INDEX(Anforderungen!$F:$F,$R308))</f>
        <v>Klarstellung: Vielen Dank für Ihren Hinweis. Die Bieterfrage inklusive Antwort wird erneut zur Verfügung gestellt.</v>
      </c>
      <c r="F308" s="45" t="str">
        <f aca="false">IF($R308="","",INDEX(Anforderungen!$G:$G,$R308))</f>
        <v>Leider ist die Frage des Bieters nicht vollständig lesbar. Wir bitten um Korrektur und möchten an dieser Stelle anmerken, dass wir den Bieterfragenkatalog im Excelformat bevorzugen.</v>
      </c>
      <c r="G308" s="45" t="str">
        <f aca="false">IF($R308="","",INDEX(Anforderungen!$I:$I,$R308))</f>
        <v>offen</v>
      </c>
      <c r="H308" s="45" t="str">
        <f aca="false">IF($R308="","",INDEX(Anforderungen!$J:$J,$R308))</f>
        <v>–</v>
      </c>
      <c r="I308" s="45" t="str">
        <f aca="false">IF($R308="","",INDEX(Anforderungen!$K:$K,$R308))</f>
        <v>trifft nicht zu</v>
      </c>
      <c r="J308" s="46" t="n">
        <f aca="false">IF($R308="","",INDEX(Anforderungen!$L:$L,$R308))</f>
        <v>0</v>
      </c>
      <c r="K308" s="45" t="str">
        <f aca="false">IF($R308="","",INDEX(Anforderungen!$M:$M,$R308))</f>
        <v>Automatisch ausgewertet: Betrifft das Vergabeverfahren (Angebot, Wertung, Unterlagen), nicht die zu erbringende Leistung. Keiner Komponente zugeordnet.</v>
      </c>
      <c r="R308" s="0" t="n">
        <f aca="false">IFERROR(MATCH(ROWS($A$16:$A308),Anforderungen!$O$7:$O$2000,0)+6,"")</f>
        <v>299</v>
      </c>
    </row>
    <row r="309" customFormat="false" ht="30" hidden="false" customHeight="true" outlineLevel="0" collapsed="false">
      <c r="A309" s="45" t="str">
        <f aca="false">IF($R309="","",INDEX(Anforderungen!$B:$B,$R309))</f>
        <v>ANF-294</v>
      </c>
      <c r="B309" s="45" t="str">
        <f aca="false">IF($R309="","",INDEX(Anforderungen!$C:$C,$R309))</f>
        <v>Bieterfragenkatalog</v>
      </c>
      <c r="C309" s="45" t="str">
        <f aca="false">IF($R309="","",INDEX(Anforderungen!$D:$D,$R309))</f>
        <v>Nr. 241 / S. 22</v>
      </c>
      <c r="D309" s="45" t="str">
        <f aca="false">IF($R309="","",INDEX(Anforderungen!$E:$E,$R309))</f>
        <v>Bau &amp; Dokumentation</v>
      </c>
      <c r="E309" s="45" t="str">
        <f aca="false">IF($R309="","",INDEX(Anforderungen!$F:$F,$R309))</f>
        <v>Verneint: die Bürgschaft bezieht sich auf das Nettoerrichtungsentgelt für alle Standorte des gesamten Loses.</v>
      </c>
      <c r="F309" s="45" t="str">
        <f aca="false">IF($R309="","",INDEX(Anforderungen!$G:$G,$R309))</f>
        <v>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v>
      </c>
      <c r="G309" s="45" t="str">
        <f aca="false">IF($R309="","",INDEX(Anforderungen!$I:$I,$R309))</f>
        <v>offen</v>
      </c>
      <c r="H309" s="45" t="str">
        <f aca="false">IF($R309="","",INDEX(Anforderungen!$J:$J,$R309))</f>
        <v>–</v>
      </c>
      <c r="I309" s="45" t="str">
        <f aca="false">IF($R309="","",INDEX(Anforderungen!$K:$K,$R309))</f>
        <v>erfasst</v>
      </c>
      <c r="J309" s="46" t="n">
        <f aca="false">IF($R309="","",INDEX(Anforderungen!$L:$L,$R309))</f>
        <v>0</v>
      </c>
      <c r="K309" s="45" t="n">
        <f aca="false">IF($R309="","",INDEX(Anforderungen!$M:$M,$R309))</f>
        <v>0</v>
      </c>
      <c r="R309" s="0" t="n">
        <f aca="false">IFERROR(MATCH(ROWS($A$16:$A309),Anforderungen!$O$7:$O$2000,0)+6,"")</f>
        <v>300</v>
      </c>
    </row>
    <row r="310" customFormat="false" ht="30" hidden="false" customHeight="true" outlineLevel="0" collapsed="false">
      <c r="A310" s="45" t="str">
        <f aca="false">IF($R310="","",INDEX(Anforderungen!$B:$B,$R310))</f>
        <v>ANF-295</v>
      </c>
      <c r="B310" s="45" t="str">
        <f aca="false">IF($R310="","",INDEX(Anforderungen!$C:$C,$R310))</f>
        <v>Bieterfragenkatalog</v>
      </c>
      <c r="C310" s="45" t="str">
        <f aca="false">IF($R310="","",INDEX(Anforderungen!$D:$D,$R310))</f>
        <v>Nr. 242 / S. 22</v>
      </c>
      <c r="D310" s="45" t="str">
        <f aca="false">IF($R310="","",INDEX(Anforderungen!$E:$E,$R310))</f>
        <v>Bau &amp; Dokumentation</v>
      </c>
      <c r="E310" s="45" t="str">
        <f aca="false">IF($R310="","",INDEX(Anforderungen!$F:$F,$R310))</f>
        <v>Klarstellung: Bitte konkretisieren Sie Ihre Frage. In § 52 Abs.</v>
      </c>
      <c r="F310" s="45" t="str">
        <f aca="false">IF($R310="","",INDEX(Anforderungen!$G:$G,$R310))</f>
        <v>Wir bitten um Überprüfung der Anforderung der Verantwortlichkeit. Unserer Meinung nach sollte sie aus Gründen der Beweislast von „es sei denn, die Zweckgesellschaft ist nicht verantwortlich“ auf „wenn die Zweckgesellschaft verantwortlich ist“ umgestellt werden.</v>
      </c>
      <c r="G310" s="45" t="str">
        <f aca="false">IF($R310="","",INDEX(Anforderungen!$I:$I,$R310))</f>
        <v>offen</v>
      </c>
      <c r="H310" s="45" t="str">
        <f aca="false">IF($R310="","",INDEX(Anforderungen!$J:$J,$R310))</f>
        <v>–</v>
      </c>
      <c r="I310" s="45" t="str">
        <f aca="false">IF($R310="","",INDEX(Anforderungen!$K:$K,$R310))</f>
        <v>erfasst</v>
      </c>
      <c r="J310" s="46" t="n">
        <f aca="false">IF($R310="","",INDEX(Anforderungen!$L:$L,$R310))</f>
        <v>0</v>
      </c>
      <c r="K310" s="45" t="n">
        <f aca="false">IF($R310="","",INDEX(Anforderungen!$M:$M,$R310))</f>
        <v>0</v>
      </c>
      <c r="R310" s="0" t="n">
        <f aca="false">IFERROR(MATCH(ROWS($A$16:$A310),Anforderungen!$O$7:$O$2000,0)+6,"")</f>
        <v>301</v>
      </c>
    </row>
    <row r="311" customFormat="false" ht="30" hidden="false" customHeight="true" outlineLevel="0" collapsed="false">
      <c r="A311" s="45" t="str">
        <f aca="false">IF($R311="","",INDEX(Anforderungen!$B:$B,$R311))</f>
        <v>ANF-296</v>
      </c>
      <c r="B311" s="45" t="str">
        <f aca="false">IF($R311="","",INDEX(Anforderungen!$C:$C,$R311))</f>
        <v>Bieterfragenkatalog</v>
      </c>
      <c r="C311" s="45" t="str">
        <f aca="false">IF($R311="","",INDEX(Anforderungen!$D:$D,$R311))</f>
        <v>Nr. 243 / S. 22</v>
      </c>
      <c r="D311" s="45" t="str">
        <f aca="false">IF($R311="","",INDEX(Anforderungen!$E:$E,$R311))</f>
        <v>Vertrag &amp; Recht</v>
      </c>
      <c r="E311" s="45" t="str">
        <f aca="false">IF($R311="","",INDEX(Anforderungen!$F:$F,$R311))</f>
        <v>Bestätigt: die Begrenzung des § 54 Abs. 7 gilt auch für Schadensersatzansprüche in § 54 Abs.</v>
      </c>
      <c r="F311" s="45" t="str">
        <f aca="false">IF($R311="","",INDEX(Anforderungen!$G:$G,$R311))</f>
        <v>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v>
      </c>
      <c r="G311" s="45" t="str">
        <f aca="false">IF($R311="","",INDEX(Anforderungen!$I:$I,$R311))</f>
        <v>offen</v>
      </c>
      <c r="H311" s="45" t="str">
        <f aca="false">IF($R311="","",INDEX(Anforderungen!$J:$J,$R311))</f>
        <v>–</v>
      </c>
      <c r="I311" s="45" t="str">
        <f aca="false">IF($R311="","",INDEX(Anforderungen!$K:$K,$R311))</f>
        <v>erfasst</v>
      </c>
      <c r="J311" s="46" t="n">
        <f aca="false">IF($R311="","",INDEX(Anforderungen!$L:$L,$R311))</f>
        <v>0</v>
      </c>
      <c r="K311" s="45" t="n">
        <f aca="false">IF($R311="","",INDEX(Anforderungen!$M:$M,$R311))</f>
        <v>0</v>
      </c>
      <c r="R311" s="0" t="n">
        <f aca="false">IFERROR(MATCH(ROWS($A$16:$A311),Anforderungen!$O$7:$O$2000,0)+6,"")</f>
        <v>302</v>
      </c>
    </row>
    <row r="312" customFormat="false" ht="30" hidden="false" customHeight="true" outlineLevel="0" collapsed="false">
      <c r="A312" s="45" t="str">
        <f aca="false">IF($R312="","",INDEX(Anforderungen!$B:$B,$R312))</f>
        <v>ANF-297</v>
      </c>
      <c r="B312" s="45" t="str">
        <f aca="false">IF($R312="","",INDEX(Anforderungen!$C:$C,$R312))</f>
        <v>Bieterfragenkatalog</v>
      </c>
      <c r="C312" s="45" t="str">
        <f aca="false">IF($R312="","",INDEX(Anforderungen!$D:$D,$R312))</f>
        <v>Nr. 244 / S. 22</v>
      </c>
      <c r="D312" s="45" t="str">
        <f aca="false">IF($R312="","",INDEX(Anforderungen!$E:$E,$R312))</f>
        <v>Sonstiges / Zuordnung prüfen</v>
      </c>
      <c r="E312" s="45" t="str">
        <f aca="false">IF($R312="","",INDEX(Anforderungen!$F:$F,$R312))</f>
        <v>Klarstellung: Wir bestätigen, dass Titelblatt und Inhaltsverzeichnis sowie der Rahmenterminplan nicht im Umfang von 20 Seiten enthalten ist.</v>
      </c>
      <c r="F312" s="45" t="str">
        <f aca="false">IF($R312="","",INDEX(Anforderungen!$G:$G,$R312))</f>
        <v>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v>
      </c>
      <c r="G312" s="45" t="str">
        <f aca="false">IF($R312="","",INDEX(Anforderungen!$I:$I,$R312))</f>
        <v>Zuordnung prüfen</v>
      </c>
      <c r="H312" s="45" t="str">
        <f aca="false">IF($R312="","",INDEX(Anforderungen!$J:$J,$R312))</f>
        <v>Zuordnung prüfen</v>
      </c>
      <c r="I312" s="45" t="str">
        <f aca="false">IF($R312="","",INDEX(Anforderungen!$K:$K,$R312))</f>
        <v>erfasst</v>
      </c>
      <c r="J312" s="46" t="n">
        <f aca="false">IF($R312="","",INDEX(Anforderungen!$L:$L,$R312))</f>
        <v>0</v>
      </c>
      <c r="K312" s="45" t="n">
        <f aca="false">IF($R312="","",INDEX(Anforderungen!$M:$M,$R312))</f>
        <v>0</v>
      </c>
      <c r="R312" s="0" t="n">
        <f aca="false">IFERROR(MATCH(ROWS($A$16:$A312),Anforderungen!$O$7:$O$2000,0)+6,"")</f>
        <v>303</v>
      </c>
    </row>
    <row r="313" customFormat="false" ht="30" hidden="false" customHeight="true" outlineLevel="0" collapsed="false">
      <c r="A313" s="45" t="str">
        <f aca="false">IF($R313="","",INDEX(Anforderungen!$B:$B,$R313))</f>
        <v>ANF-298</v>
      </c>
      <c r="B313" s="45" t="str">
        <f aca="false">IF($R313="","",INDEX(Anforderungen!$C:$C,$R313))</f>
        <v>Bieterfragenkatalog</v>
      </c>
      <c r="C313" s="45" t="str">
        <f aca="false">IF($R313="","",INDEX(Anforderungen!$D:$D,$R313))</f>
        <v>Nr. 245 / S. 22</v>
      </c>
      <c r="D313" s="45" t="str">
        <f aca="false">IF($R313="","",INDEX(Anforderungen!$E:$E,$R313))</f>
        <v>Vertrag &amp; Recht</v>
      </c>
      <c r="E313" s="45" t="str">
        <f aca="false">IF($R313="","",INDEX(Anforderungen!$F:$F,$R313))</f>
        <v>Bestätigt: es ist vom Auftragnehmer ein Verkehrssicherheitsaudit in der Phase der Entwurfsplanung in sein Angebot einzukalkulieren.</v>
      </c>
      <c r="F313" s="45" t="str">
        <f aca="false">IF($R313="","",INDEX(Anforderungen!$G:$G,$R313))</f>
        <v>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v>
      </c>
      <c r="G313" s="45" t="str">
        <f aca="false">IF($R313="","",INDEX(Anforderungen!$I:$I,$R313))</f>
        <v>offen</v>
      </c>
      <c r="H313" s="45" t="str">
        <f aca="false">IF($R313="","",INDEX(Anforderungen!$J:$J,$R313))</f>
        <v>–</v>
      </c>
      <c r="I313" s="45" t="str">
        <f aca="false">IF($R313="","",INDEX(Anforderungen!$K:$K,$R313))</f>
        <v>erfasst</v>
      </c>
      <c r="J313" s="46" t="n">
        <f aca="false">IF($R313="","",INDEX(Anforderungen!$L:$L,$R313))</f>
        <v>0</v>
      </c>
      <c r="K313" s="45" t="n">
        <f aca="false">IF($R313="","",INDEX(Anforderungen!$M:$M,$R313))</f>
        <v>0</v>
      </c>
      <c r="R313" s="0" t="n">
        <f aca="false">IFERROR(MATCH(ROWS($A$16:$A313),Anforderungen!$O$7:$O$2000,0)+6,"")</f>
        <v>304</v>
      </c>
    </row>
    <row r="314" customFormat="false" ht="30" hidden="false" customHeight="true" outlineLevel="0" collapsed="false">
      <c r="A314" s="45" t="str">
        <f aca="false">IF($R314="","",INDEX(Anforderungen!$B:$B,$R314))</f>
        <v>ANF-299</v>
      </c>
      <c r="B314" s="45" t="str">
        <f aca="false">IF($R314="","",INDEX(Anforderungen!$C:$C,$R314))</f>
        <v>Bieterfragenkatalog</v>
      </c>
      <c r="C314" s="45" t="str">
        <f aca="false">IF($R314="","",INDEX(Anforderungen!$D:$D,$R314))</f>
        <v>Nr. 246 / S. 22</v>
      </c>
      <c r="D314" s="45" t="str">
        <f aca="false">IF($R314="","",INDEX(Anforderungen!$E:$E,$R314))</f>
        <v>Vertrag &amp; Recht</v>
      </c>
      <c r="E314" s="45" t="str">
        <f aca="false">IF($R314="","",INDEX(Anforderungen!$F:$F,$R314))</f>
        <v>Verneint: der AG muss der Weitergabe zustimmen. Siehe dazu auch Antwort auf Bieterfrage 160.</v>
      </c>
      <c r="F314" s="45" t="str">
        <f aca="false">IF($R314="","",INDEX(Anforderungen!$G:$G,$R314))</f>
        <v>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v>
      </c>
      <c r="G314" s="45" t="str">
        <f aca="false">IF($R314="","",INDEX(Anforderungen!$I:$I,$R314))</f>
        <v>offen</v>
      </c>
      <c r="H314" s="45" t="str">
        <f aca="false">IF($R314="","",INDEX(Anforderungen!$J:$J,$R314))</f>
        <v>–</v>
      </c>
      <c r="I314" s="45" t="str">
        <f aca="false">IF($R314="","",INDEX(Anforderungen!$K:$K,$R314))</f>
        <v>erfasst</v>
      </c>
      <c r="J314" s="46" t="n">
        <f aca="false">IF($R314="","",INDEX(Anforderungen!$L:$L,$R314))</f>
        <v>0</v>
      </c>
      <c r="K314" s="45" t="n">
        <f aca="false">IF($R314="","",INDEX(Anforderungen!$M:$M,$R314))</f>
        <v>0</v>
      </c>
      <c r="R314" s="0" t="n">
        <f aca="false">IFERROR(MATCH(ROWS($A$16:$A314),Anforderungen!$O$7:$O$2000,0)+6,"")</f>
        <v>305</v>
      </c>
    </row>
    <row r="315" customFormat="false" ht="30" hidden="false" customHeight="true" outlineLevel="0" collapsed="false">
      <c r="A315" s="45" t="str">
        <f aca="false">IF($R315="","",INDEX(Anforderungen!$B:$B,$R315))</f>
        <v>ANF-300</v>
      </c>
      <c r="B315" s="45" t="str">
        <f aca="false">IF($R315="","",INDEX(Anforderungen!$C:$C,$R315))</f>
        <v>Bieterfragenkatalog</v>
      </c>
      <c r="C315" s="45" t="str">
        <f aca="false">IF($R315="","",INDEX(Anforderungen!$D:$D,$R315))</f>
        <v>Nr. 247 / S. 22</v>
      </c>
      <c r="D315" s="45" t="str">
        <f aca="false">IF($R315="","",INDEX(Anforderungen!$E:$E,$R315))</f>
        <v>Flächen &amp; Genehmigungen</v>
      </c>
      <c r="E315" s="45" t="str">
        <f aca="false">IF($R315="","",INDEX(Anforderungen!$F:$F,$R315))</f>
        <v>Klarstellung: Die baulichen Vorgaben ergeben sich aus der Vertragsanlage 4 und insbesondere aus dem Anhang 1a „Referenzplanung“.</v>
      </c>
      <c r="F315" s="45" t="str">
        <f aca="false">IF($R315="","",INDEX(Anforderungen!$G:$G,$R315))</f>
        <v>Gibt es bauliche Vorgaben für die Anreichung der Ladestecker, welche den Einsatz von Überkopflösungen in Stahlbauweise betreffen? Überkopflösungen haben hinsichtlich des Baus und der optimalen Flächennutzung erhebliche Vorteile.</v>
      </c>
      <c r="G315" s="45" t="str">
        <f aca="false">IF($R315="","",INDEX(Anforderungen!$I:$I,$R315))</f>
        <v>Alpitronic</v>
      </c>
      <c r="H315" s="45" t="str">
        <f aca="false">IF($R315="","",INDEX(Anforderungen!$J:$J,$R315))</f>
        <v>Ladeeinrichtung</v>
      </c>
      <c r="I315" s="45" t="str">
        <f aca="false">IF($R315="","",INDEX(Anforderungen!$K:$K,$R315))</f>
        <v>erfasst</v>
      </c>
      <c r="J315" s="46" t="n">
        <f aca="false">IF($R315="","",INDEX(Anforderungen!$L:$L,$R315))</f>
        <v>0</v>
      </c>
      <c r="K315" s="45" t="n">
        <f aca="false">IF($R315="","",INDEX(Anforderungen!$M:$M,$R315))</f>
        <v>0</v>
      </c>
      <c r="R315" s="0" t="n">
        <f aca="false">IFERROR(MATCH(ROWS($A$16:$A315),Anforderungen!$O$7:$O$2000,0)+6,"")</f>
        <v>306</v>
      </c>
    </row>
  </sheetData>
  <mergeCells count="10">
    <mergeCell ref="A2:K2"/>
    <mergeCell ref="B5:C5"/>
    <mergeCell ref="E5:F5"/>
    <mergeCell ref="H5:I5"/>
    <mergeCell ref="B7:C7"/>
    <mergeCell ref="E7:F7"/>
    <mergeCell ref="H7:I7"/>
    <mergeCell ref="B9:C9"/>
    <mergeCell ref="A10:K10"/>
    <mergeCell ref="A13:K13"/>
  </mergeCells>
  <conditionalFormatting sqref="A16:K315">
    <cfRule type="expression" priority="2" aboveAverage="0" equalAverage="0" bottom="0" percent="0" rank="0" text="" dxfId="16">
      <formula>$I16="erfasst"</formula>
    </cfRule>
    <cfRule type="expression" priority="3" aboveAverage="0" equalAverage="0" bottom="0" percent="0" rank="0" text="" dxfId="17">
      <formula>$I16="bewertet"</formula>
    </cfRule>
    <cfRule type="expression" priority="4" aboveAverage="0" equalAverage="0" bottom="0" percent="0" rank="0" text="" dxfId="18">
      <formula>$I16="erfüllt"</formula>
    </cfRule>
    <cfRule type="expression" priority="5" aboveAverage="0" equalAverage="0" bottom="0" percent="0" rank="0" text="" dxfId="19">
      <formula>$I16="trifft nicht zu"</formula>
    </cfRule>
    <cfRule type="expression" priority="6" aboveAverage="0" equalAverage="0" bottom="0" percent="0" rank="0" text="" dxfId="26">
      <formula>$I16="außerhalb Umfang"</formula>
    </cfRule>
  </conditionalFormatting>
  <dataValidations count="6">
    <dataValidation allowBlank="false" errorStyle="stop" operator="between" prompt="Umfang auswählen oder „(alle)“" promptTitle="Umfang" showDropDown="false" showErrorMessage="true" showInputMessage="true" sqref="B5" type="list">
      <formula1>$U$2:$U$4</formula1>
      <formula2>0</formula2>
    </dataValidation>
    <dataValidation allowBlank="false" errorStyle="stop" operator="between" prompt="Status auswählen oder „(alle)“" promptTitle="Status" showDropDown="false" showErrorMessage="true" showInputMessage="true" sqref="E5" type="list">
      <formula1>$V$2:$V$6</formula1>
      <formula2>0</formula2>
    </dataValidation>
    <dataValidation allowBlank="false" errorStyle="stop" operator="between" prompt="Dokument auswählen oder „(alle)“" promptTitle="Dokument" showDropDown="false" showErrorMessage="true" showInputMessage="true" sqref="H5" type="list">
      <formula1>$W$2:$W$8</formula1>
      <formula2>0</formula2>
    </dataValidation>
    <dataValidation allowBlank="false" errorStyle="stop" operator="between" prompt="Themenfeld auswählen oder „(alle)“" promptTitle="Themenfeld" showDropDown="false" showErrorMessage="true" showInputMessage="true" sqref="B7" type="list">
      <formula1>$X$2:$X$17</formula1>
      <formula2>0</formula2>
    </dataValidation>
    <dataValidation allowBlank="false" errorStyle="stop" operator="between" prompt="Komponente auswählen oder „(alle)“" promptTitle="Komponente" showDropDown="false" showErrorMessage="true" showInputMessage="true" sqref="E7" type="list">
      <formula1>$Y$2:$Y$18</formula1>
      <formula2>0</formula2>
    </dataValidation>
    <dataValidation allowBlank="false" errorStyle="stop" operator="between" prompt="Partner auswählen oder „(alle)“" promptTitle="Partner" showDropDown="false" showErrorMessage="true" showInputMessage="true" sqref="H7" type="list">
      <formula1>$Z$2:$Z$15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47" t="s">
        <v>6236</v>
      </c>
      <c r="B1" s="47"/>
      <c r="C1" s="47"/>
      <c r="D1" s="47"/>
      <c r="E1" s="47"/>
      <c r="F1" s="47"/>
      <c r="G1" s="47"/>
    </row>
    <row r="2" customFormat="false" ht="15" hidden="false" customHeight="true" outlineLevel="0" collapsed="false">
      <c r="A2" s="3" t="s">
        <v>6237</v>
      </c>
      <c r="B2" s="3"/>
      <c r="C2" s="3"/>
      <c r="D2" s="3"/>
      <c r="E2" s="3"/>
      <c r="F2" s="3"/>
      <c r="G2" s="3"/>
    </row>
    <row r="3" customFormat="false" ht="15" hidden="false" customHeight="true" outlineLevel="0" collapsed="false">
      <c r="A3" s="3" t="s">
        <v>6238</v>
      </c>
      <c r="B3" s="3"/>
      <c r="C3" s="3"/>
      <c r="D3" s="3"/>
      <c r="E3" s="3"/>
      <c r="F3" s="3"/>
      <c r="G3" s="3"/>
    </row>
    <row r="4" customFormat="false" ht="15" hidden="false" customHeight="true" outlineLevel="0" collapsed="false">
      <c r="A4" s="48"/>
      <c r="B4" s="48"/>
      <c r="C4" s="48"/>
      <c r="D4" s="48"/>
      <c r="E4" s="48"/>
      <c r="F4" s="48"/>
      <c r="G4" s="48"/>
    </row>
    <row r="5" customFormat="false" ht="15" hidden="false" customHeight="true" outlineLevel="0" collapsed="false">
      <c r="A5" s="49" t="s">
        <v>6239</v>
      </c>
      <c r="B5" s="49"/>
      <c r="C5" s="49"/>
      <c r="D5" s="49"/>
      <c r="E5" s="49"/>
      <c r="F5" s="49"/>
      <c r="G5" s="49"/>
    </row>
    <row r="6" customFormat="false" ht="15" hidden="false" customHeight="true" outlineLevel="0" collapsed="false">
      <c r="A6" s="50" t="s">
        <v>6240</v>
      </c>
      <c r="B6" s="50" t="s">
        <v>6241</v>
      </c>
      <c r="C6" s="50" t="s">
        <v>6</v>
      </c>
      <c r="D6" s="50" t="s">
        <v>7</v>
      </c>
      <c r="E6" s="50" t="s">
        <v>8</v>
      </c>
      <c r="F6" s="50" t="s">
        <v>10</v>
      </c>
      <c r="G6" s="50" t="s">
        <v>14</v>
      </c>
    </row>
    <row r="7" customFormat="false" ht="15" hidden="false" customHeight="true" outlineLevel="0" collapsed="false">
      <c r="A7" s="51" t="s">
        <v>190</v>
      </c>
      <c r="B7" s="52" t="n">
        <f aca="false">COUNTIF(Anforderungen!$E$7:$E$2000,$A7)</f>
        <v>14</v>
      </c>
      <c r="C7" s="52" t="n">
        <f aca="false">COUNTIFS(Anforderungen!$E$7:$E$2000,$A7,Anforderungen!$K$7:$K$2000,"erfasst")</f>
        <v>11</v>
      </c>
      <c r="D7" s="52" t="n">
        <f aca="false">COUNTIFS(Anforderungen!$E$7:$E$2000,$A7,Anforderungen!$K$7:$K$2000,"bewertet")</f>
        <v>0</v>
      </c>
      <c r="E7" s="52" t="n">
        <f aca="false">COUNTIFS(Anforderungen!$E$7:$E$2000,$A7,Anforderungen!$K$7:$K$2000,"erfüllt")</f>
        <v>2</v>
      </c>
      <c r="F7" s="52" t="n">
        <f aca="false">COUNTIFS(Anforderungen!$E$7:$E$2000,$A7,Anforderungen!$K$7:$K$2000,"trifft nicht zu")</f>
        <v>1</v>
      </c>
      <c r="G7" s="53" t="n">
        <f aca="false">IFERROR(E7/(B7-F7),0)</f>
        <v>0.153846153846154</v>
      </c>
    </row>
    <row r="8" customFormat="false" ht="15" hidden="false" customHeight="true" outlineLevel="0" collapsed="false">
      <c r="A8" s="51" t="s">
        <v>94</v>
      </c>
      <c r="B8" s="52" t="n">
        <f aca="false">COUNTIF(Anforderungen!$E$7:$E$2000,$A8)</f>
        <v>51</v>
      </c>
      <c r="C8" s="52" t="n">
        <f aca="false">COUNTIFS(Anforderungen!$E$7:$E$2000,$A8,Anforderungen!$K$7:$K$2000,"erfasst")</f>
        <v>47</v>
      </c>
      <c r="D8" s="52" t="n">
        <f aca="false">COUNTIFS(Anforderungen!$E$7:$E$2000,$A8,Anforderungen!$K$7:$K$2000,"bewertet")</f>
        <v>0</v>
      </c>
      <c r="E8" s="52" t="n">
        <f aca="false">COUNTIFS(Anforderungen!$E$7:$E$2000,$A8,Anforderungen!$K$7:$K$2000,"erfüllt")</f>
        <v>0</v>
      </c>
      <c r="F8" s="52" t="n">
        <f aca="false">COUNTIFS(Anforderungen!$E$7:$E$2000,$A8,Anforderungen!$K$7:$K$2000,"trifft nicht zu")</f>
        <v>4</v>
      </c>
      <c r="G8" s="53" t="n">
        <f aca="false">IFERROR(E8/(B8-F8),0)</f>
        <v>0</v>
      </c>
    </row>
    <row r="9" customFormat="false" ht="15" hidden="false" customHeight="true" outlineLevel="0" collapsed="false">
      <c r="A9" s="51" t="s">
        <v>210</v>
      </c>
      <c r="B9" s="52" t="n">
        <f aca="false">COUNTIF(Anforderungen!$E$7:$E$2000,$A9)</f>
        <v>98</v>
      </c>
      <c r="C9" s="52" t="n">
        <f aca="false">COUNTIFS(Anforderungen!$E$7:$E$2000,$A9,Anforderungen!$K$7:$K$2000,"erfasst")</f>
        <v>90</v>
      </c>
      <c r="D9" s="52" t="n">
        <f aca="false">COUNTIFS(Anforderungen!$E$7:$E$2000,$A9,Anforderungen!$K$7:$K$2000,"bewertet")</f>
        <v>2</v>
      </c>
      <c r="E9" s="52" t="n">
        <f aca="false">COUNTIFS(Anforderungen!$E$7:$E$2000,$A9,Anforderungen!$K$7:$K$2000,"erfüllt")</f>
        <v>0</v>
      </c>
      <c r="F9" s="52" t="n">
        <f aca="false">COUNTIFS(Anforderungen!$E$7:$E$2000,$A9,Anforderungen!$K$7:$K$2000,"trifft nicht zu")</f>
        <v>6</v>
      </c>
      <c r="G9" s="53" t="n">
        <f aca="false">IFERROR(E9/(B9-F9),0)</f>
        <v>0</v>
      </c>
    </row>
    <row r="10" customFormat="false" ht="15" hidden="false" customHeight="true" outlineLevel="0" collapsed="false">
      <c r="A10" s="51" t="s">
        <v>225</v>
      </c>
      <c r="B10" s="52" t="n">
        <f aca="false">COUNTIF(Anforderungen!$E$7:$E$2000,$A10)</f>
        <v>4</v>
      </c>
      <c r="C10" s="52" t="n">
        <f aca="false">COUNTIFS(Anforderungen!$E$7:$E$2000,$A10,Anforderungen!$K$7:$K$2000,"erfasst")</f>
        <v>3</v>
      </c>
      <c r="D10" s="52" t="n">
        <f aca="false">COUNTIFS(Anforderungen!$E$7:$E$2000,$A10,Anforderungen!$K$7:$K$2000,"bewertet")</f>
        <v>0</v>
      </c>
      <c r="E10" s="52" t="n">
        <f aca="false">COUNTIFS(Anforderungen!$E$7:$E$2000,$A10,Anforderungen!$K$7:$K$2000,"erfüllt")</f>
        <v>1</v>
      </c>
      <c r="F10" s="52" t="n">
        <f aca="false">COUNTIFS(Anforderungen!$E$7:$E$2000,$A10,Anforderungen!$K$7:$K$2000,"trifft nicht zu")</f>
        <v>0</v>
      </c>
      <c r="G10" s="53" t="n">
        <f aca="false">IFERROR(E10/(B10-F10),0)</f>
        <v>0.25</v>
      </c>
    </row>
    <row r="11" customFormat="false" ht="15" hidden="false" customHeight="true" outlineLevel="0" collapsed="false">
      <c r="A11" s="51" t="s">
        <v>155</v>
      </c>
      <c r="B11" s="52" t="n">
        <f aca="false">COUNTIF(Anforderungen!$E$7:$E$2000,$A11)</f>
        <v>76</v>
      </c>
      <c r="C11" s="52" t="n">
        <f aca="false">COUNTIFS(Anforderungen!$E$7:$E$2000,$A11,Anforderungen!$K$7:$K$2000,"erfasst")</f>
        <v>71</v>
      </c>
      <c r="D11" s="52" t="n">
        <f aca="false">COUNTIFS(Anforderungen!$E$7:$E$2000,$A11,Anforderungen!$K$7:$K$2000,"bewertet")</f>
        <v>0</v>
      </c>
      <c r="E11" s="52" t="n">
        <f aca="false">COUNTIFS(Anforderungen!$E$7:$E$2000,$A11,Anforderungen!$K$7:$K$2000,"erfüllt")</f>
        <v>1</v>
      </c>
      <c r="F11" s="52" t="n">
        <f aca="false">COUNTIFS(Anforderungen!$E$7:$E$2000,$A11,Anforderungen!$K$7:$K$2000,"trifft nicht zu")</f>
        <v>4</v>
      </c>
      <c r="G11" s="53" t="n">
        <f aca="false">IFERROR(E11/(B11-F11),0)</f>
        <v>0.0138888888888889</v>
      </c>
    </row>
    <row r="12" customFormat="false" ht="15" hidden="false" customHeight="true" outlineLevel="0" collapsed="false">
      <c r="A12" s="51" t="s">
        <v>355</v>
      </c>
      <c r="B12" s="52" t="n">
        <f aca="false">COUNTIF(Anforderungen!$E$7:$E$2000,$A12)</f>
        <v>94</v>
      </c>
      <c r="C12" s="52" t="n">
        <f aca="false">COUNTIFS(Anforderungen!$E$7:$E$2000,$A12,Anforderungen!$K$7:$K$2000,"erfasst")</f>
        <v>88</v>
      </c>
      <c r="D12" s="52" t="n">
        <f aca="false">COUNTIFS(Anforderungen!$E$7:$E$2000,$A12,Anforderungen!$K$7:$K$2000,"bewertet")</f>
        <v>0</v>
      </c>
      <c r="E12" s="52" t="n">
        <f aca="false">COUNTIFS(Anforderungen!$E$7:$E$2000,$A12,Anforderungen!$K$7:$K$2000,"erfüllt")</f>
        <v>0</v>
      </c>
      <c r="F12" s="52" t="n">
        <f aca="false">COUNTIFS(Anforderungen!$E$7:$E$2000,$A12,Anforderungen!$K$7:$K$2000,"trifft nicht zu")</f>
        <v>6</v>
      </c>
      <c r="G12" s="53" t="n">
        <f aca="false">IFERROR(E12/(B12-F12),0)</f>
        <v>0</v>
      </c>
    </row>
    <row r="13" customFormat="false" ht="15" hidden="false" customHeight="true" outlineLevel="0" collapsed="false">
      <c r="A13" s="51" t="s">
        <v>270</v>
      </c>
      <c r="B13" s="52" t="n">
        <f aca="false">COUNTIF(Anforderungen!$E$7:$E$2000,$A13)</f>
        <v>34</v>
      </c>
      <c r="C13" s="52" t="n">
        <f aca="false">COUNTIFS(Anforderungen!$E$7:$E$2000,$A13,Anforderungen!$K$7:$K$2000,"erfasst")</f>
        <v>34</v>
      </c>
      <c r="D13" s="52" t="n">
        <f aca="false">COUNTIFS(Anforderungen!$E$7:$E$2000,$A13,Anforderungen!$K$7:$K$2000,"bewertet")</f>
        <v>0</v>
      </c>
      <c r="E13" s="52" t="n">
        <f aca="false">COUNTIFS(Anforderungen!$E$7:$E$2000,$A13,Anforderungen!$K$7:$K$2000,"erfüllt")</f>
        <v>0</v>
      </c>
      <c r="F13" s="52" t="n">
        <f aca="false">COUNTIFS(Anforderungen!$E$7:$E$2000,$A13,Anforderungen!$K$7:$K$2000,"trifft nicht zu")</f>
        <v>0</v>
      </c>
      <c r="G13" s="53" t="n">
        <f aca="false">IFERROR(E13/(B13-F13),0)</f>
        <v>0</v>
      </c>
    </row>
    <row r="14" customFormat="false" ht="15" hidden="false" customHeight="true" outlineLevel="0" collapsed="false">
      <c r="A14" s="51" t="s">
        <v>361</v>
      </c>
      <c r="B14" s="52" t="n">
        <f aca="false">COUNTIF(Anforderungen!$E$7:$E$2000,$A14)</f>
        <v>228</v>
      </c>
      <c r="C14" s="52" t="n">
        <f aca="false">COUNTIFS(Anforderungen!$E$7:$E$2000,$A14,Anforderungen!$K$7:$K$2000,"erfasst")</f>
        <v>210</v>
      </c>
      <c r="D14" s="52" t="n">
        <f aca="false">COUNTIFS(Anforderungen!$E$7:$E$2000,$A14,Anforderungen!$K$7:$K$2000,"bewertet")</f>
        <v>0</v>
      </c>
      <c r="E14" s="52" t="n">
        <f aca="false">COUNTIFS(Anforderungen!$E$7:$E$2000,$A14,Anforderungen!$K$7:$K$2000,"erfüllt")</f>
        <v>0</v>
      </c>
      <c r="F14" s="52" t="n">
        <f aca="false">COUNTIFS(Anforderungen!$E$7:$E$2000,$A14,Anforderungen!$K$7:$K$2000,"trifft nicht zu")</f>
        <v>18</v>
      </c>
      <c r="G14" s="53" t="n">
        <f aca="false">IFERROR(E14/(B14-F14),0)</f>
        <v>0</v>
      </c>
    </row>
    <row r="15" customFormat="false" ht="15" hidden="false" customHeight="true" outlineLevel="0" collapsed="false">
      <c r="A15" s="51" t="s">
        <v>102</v>
      </c>
      <c r="B15" s="52" t="n">
        <f aca="false">COUNTIF(Anforderungen!$E$7:$E$2000,$A15)</f>
        <v>44</v>
      </c>
      <c r="C15" s="52" t="n">
        <f aca="false">COUNTIFS(Anforderungen!$E$7:$E$2000,$A15,Anforderungen!$K$7:$K$2000,"erfasst")</f>
        <v>42</v>
      </c>
      <c r="D15" s="52" t="n">
        <f aca="false">COUNTIFS(Anforderungen!$E$7:$E$2000,$A15,Anforderungen!$K$7:$K$2000,"bewertet")</f>
        <v>0</v>
      </c>
      <c r="E15" s="52" t="n">
        <f aca="false">COUNTIFS(Anforderungen!$E$7:$E$2000,$A15,Anforderungen!$K$7:$K$2000,"erfüllt")</f>
        <v>0</v>
      </c>
      <c r="F15" s="52" t="n">
        <f aca="false">COUNTIFS(Anforderungen!$E$7:$E$2000,$A15,Anforderungen!$K$7:$K$2000,"trifft nicht zu")</f>
        <v>2</v>
      </c>
      <c r="G15" s="53" t="n">
        <f aca="false">IFERROR(E15/(B15-F15),0)</f>
        <v>0</v>
      </c>
    </row>
    <row r="16" customFormat="false" ht="15" hidden="false" customHeight="true" outlineLevel="0" collapsed="false">
      <c r="A16" s="51" t="s">
        <v>42</v>
      </c>
      <c r="B16" s="52" t="n">
        <f aca="false">COUNTIF(Anforderungen!$E$7:$E$2000,$A16)</f>
        <v>74</v>
      </c>
      <c r="C16" s="52" t="n">
        <f aca="false">COUNTIFS(Anforderungen!$E$7:$E$2000,$A16,Anforderungen!$K$7:$K$2000,"erfasst")</f>
        <v>71</v>
      </c>
      <c r="D16" s="52" t="n">
        <f aca="false">COUNTIFS(Anforderungen!$E$7:$E$2000,$A16,Anforderungen!$K$7:$K$2000,"bewertet")</f>
        <v>1</v>
      </c>
      <c r="E16" s="52" t="n">
        <f aca="false">COUNTIFS(Anforderungen!$E$7:$E$2000,$A16,Anforderungen!$K$7:$K$2000,"erfüllt")</f>
        <v>0</v>
      </c>
      <c r="F16" s="52" t="n">
        <f aca="false">COUNTIFS(Anforderungen!$E$7:$E$2000,$A16,Anforderungen!$K$7:$K$2000,"trifft nicht zu")</f>
        <v>2</v>
      </c>
      <c r="G16" s="53" t="n">
        <f aca="false">IFERROR(E16/(B16-F16),0)</f>
        <v>0</v>
      </c>
    </row>
    <row r="17" customFormat="false" ht="15" hidden="false" customHeight="true" outlineLevel="0" collapsed="false">
      <c r="A17" s="51" t="s">
        <v>547</v>
      </c>
      <c r="B17" s="52" t="n">
        <f aca="false">COUNTIF(Anforderungen!$E$7:$E$2000,$A17)</f>
        <v>98</v>
      </c>
      <c r="C17" s="52" t="n">
        <f aca="false">COUNTIFS(Anforderungen!$E$7:$E$2000,$A17,Anforderungen!$K$7:$K$2000,"erfasst")</f>
        <v>85</v>
      </c>
      <c r="D17" s="52" t="n">
        <f aca="false">COUNTIFS(Anforderungen!$E$7:$E$2000,$A17,Anforderungen!$K$7:$K$2000,"bewertet")</f>
        <v>0</v>
      </c>
      <c r="E17" s="52" t="n">
        <f aca="false">COUNTIFS(Anforderungen!$E$7:$E$2000,$A17,Anforderungen!$K$7:$K$2000,"erfüllt")</f>
        <v>0</v>
      </c>
      <c r="F17" s="52" t="n">
        <f aca="false">COUNTIFS(Anforderungen!$E$7:$E$2000,$A17,Anforderungen!$K$7:$K$2000,"trifft nicht zu")</f>
        <v>13</v>
      </c>
      <c r="G17" s="53" t="n">
        <f aca="false">IFERROR(E17/(B17-F17),0)</f>
        <v>0</v>
      </c>
    </row>
    <row r="18" customFormat="false" ht="15" hidden="false" customHeight="true" outlineLevel="0" collapsed="false">
      <c r="A18" s="51" t="s">
        <v>604</v>
      </c>
      <c r="B18" s="52" t="n">
        <f aca="false">COUNTIF(Anforderungen!$E$7:$E$2000,$A18)</f>
        <v>153</v>
      </c>
      <c r="C18" s="52" t="n">
        <f aca="false">COUNTIFS(Anforderungen!$E$7:$E$2000,$A18,Anforderungen!$K$7:$K$2000,"erfasst")</f>
        <v>136</v>
      </c>
      <c r="D18" s="52" t="n">
        <f aca="false">COUNTIFS(Anforderungen!$E$7:$E$2000,$A18,Anforderungen!$K$7:$K$2000,"bewertet")</f>
        <v>0</v>
      </c>
      <c r="E18" s="52" t="n">
        <f aca="false">COUNTIFS(Anforderungen!$E$7:$E$2000,$A18,Anforderungen!$K$7:$K$2000,"erfüllt")</f>
        <v>0</v>
      </c>
      <c r="F18" s="52" t="n">
        <f aca="false">COUNTIFS(Anforderungen!$E$7:$E$2000,$A18,Anforderungen!$K$7:$K$2000,"trifft nicht zu")</f>
        <v>17</v>
      </c>
      <c r="G18" s="53" t="n">
        <f aca="false">IFERROR(E18/(B18-F18),0)</f>
        <v>0</v>
      </c>
    </row>
    <row r="19" customFormat="false" ht="15" hidden="false" customHeight="true" outlineLevel="0" collapsed="false">
      <c r="A19" s="51" t="s">
        <v>331</v>
      </c>
      <c r="B19" s="52" t="n">
        <f aca="false">COUNTIF(Anforderungen!$E$7:$E$2000,$A19)</f>
        <v>70</v>
      </c>
      <c r="C19" s="52" t="n">
        <f aca="false">COUNTIFS(Anforderungen!$E$7:$E$2000,$A19,Anforderungen!$K$7:$K$2000,"erfasst")</f>
        <v>1</v>
      </c>
      <c r="D19" s="52" t="n">
        <f aca="false">COUNTIFS(Anforderungen!$E$7:$E$2000,$A19,Anforderungen!$K$7:$K$2000,"bewertet")</f>
        <v>0</v>
      </c>
      <c r="E19" s="52" t="n">
        <f aca="false">COUNTIFS(Anforderungen!$E$7:$E$2000,$A19,Anforderungen!$K$7:$K$2000,"erfüllt")</f>
        <v>0</v>
      </c>
      <c r="F19" s="52" t="n">
        <f aca="false">COUNTIFS(Anforderungen!$E$7:$E$2000,$A19,Anforderungen!$K$7:$K$2000,"trifft nicht zu")</f>
        <v>69</v>
      </c>
      <c r="G19" s="53" t="n">
        <f aca="false">IFERROR(E19/(B19-F19),0)</f>
        <v>0</v>
      </c>
    </row>
    <row r="20" customFormat="false" ht="15" hidden="false" customHeight="true" outlineLevel="0" collapsed="false">
      <c r="A20" s="51" t="s">
        <v>344</v>
      </c>
      <c r="B20" s="52" t="n">
        <f aca="false">COUNTIF(Anforderungen!$E$7:$E$2000,$A20)</f>
        <v>314</v>
      </c>
      <c r="C20" s="52" t="n">
        <f aca="false">COUNTIFS(Anforderungen!$E$7:$E$2000,$A20,Anforderungen!$K$7:$K$2000,"erfasst")</f>
        <v>300</v>
      </c>
      <c r="D20" s="52" t="n">
        <f aca="false">COUNTIFS(Anforderungen!$E$7:$E$2000,$A20,Anforderungen!$K$7:$K$2000,"bewertet")</f>
        <v>0</v>
      </c>
      <c r="E20" s="52" t="n">
        <f aca="false">COUNTIFS(Anforderungen!$E$7:$E$2000,$A20,Anforderungen!$K$7:$K$2000,"erfüllt")</f>
        <v>0</v>
      </c>
      <c r="F20" s="52" t="n">
        <f aca="false">COUNTIFS(Anforderungen!$E$7:$E$2000,$A20,Anforderungen!$K$7:$K$2000,"trifft nicht zu")</f>
        <v>14</v>
      </c>
      <c r="G20" s="53" t="n">
        <f aca="false">IFERROR(E20/(B20-F20),0)</f>
        <v>0</v>
      </c>
    </row>
    <row r="21" customFormat="false" ht="15" hidden="false" customHeight="true" outlineLevel="0" collapsed="false">
      <c r="A21" s="51" t="s">
        <v>81</v>
      </c>
      <c r="B21" s="52" t="n">
        <f aca="false">COUNTIF(Anforderungen!$E$7:$E$2000,$A21)</f>
        <v>30</v>
      </c>
      <c r="C21" s="52" t="n">
        <f aca="false">COUNTIFS(Anforderungen!$E$7:$E$2000,$A21,Anforderungen!$K$7:$K$2000,"erfasst")</f>
        <v>22</v>
      </c>
      <c r="D21" s="52" t="n">
        <f aca="false">COUNTIFS(Anforderungen!$E$7:$E$2000,$A21,Anforderungen!$K$7:$K$2000,"bewertet")</f>
        <v>0</v>
      </c>
      <c r="E21" s="52" t="n">
        <f aca="false">COUNTIFS(Anforderungen!$E$7:$E$2000,$A21,Anforderungen!$K$7:$K$2000,"erfüllt")</f>
        <v>6</v>
      </c>
      <c r="F21" s="52" t="n">
        <f aca="false">COUNTIFS(Anforderungen!$E$7:$E$2000,$A21,Anforderungen!$K$7:$K$2000,"trifft nicht zu")</f>
        <v>2</v>
      </c>
      <c r="G21" s="53" t="n">
        <f aca="false">IFERROR(E21/(B21-F21),0)</f>
        <v>0.214285714285714</v>
      </c>
    </row>
    <row r="22" customFormat="false" ht="15" hidden="false" customHeight="true" outlineLevel="0" collapsed="false">
      <c r="A22" s="51"/>
      <c r="B22" s="52"/>
      <c r="C22" s="54"/>
      <c r="D22" s="55"/>
      <c r="E22" s="48"/>
      <c r="F22" s="48"/>
      <c r="G22" s="56"/>
    </row>
    <row r="23" customFormat="false" ht="15" hidden="false" customHeight="true" outlineLevel="0" collapsed="false">
      <c r="A23" s="51"/>
      <c r="B23" s="52"/>
      <c r="C23" s="54"/>
      <c r="D23" s="55"/>
      <c r="E23" s="48"/>
      <c r="F23" s="48"/>
      <c r="G23" s="56"/>
    </row>
    <row r="24" customFormat="false" ht="15" hidden="false" customHeight="true" outlineLevel="0" collapsed="false">
      <c r="A24" s="49" t="s">
        <v>6242</v>
      </c>
      <c r="B24" s="49"/>
      <c r="C24" s="49"/>
      <c r="D24" s="49"/>
      <c r="E24" s="49"/>
      <c r="F24" s="49"/>
      <c r="G24" s="49"/>
    </row>
    <row r="25" customFormat="false" ht="15" hidden="false" customHeight="true" outlineLevel="0" collapsed="false">
      <c r="A25" s="50" t="s">
        <v>6240</v>
      </c>
      <c r="B25" s="50" t="s">
        <v>6241</v>
      </c>
      <c r="C25" s="50" t="s">
        <v>6</v>
      </c>
      <c r="D25" s="50" t="s">
        <v>7</v>
      </c>
      <c r="E25" s="50" t="s">
        <v>8</v>
      </c>
      <c r="F25" s="50" t="s">
        <v>10</v>
      </c>
      <c r="G25" s="50" t="s">
        <v>14</v>
      </c>
    </row>
    <row r="26" customFormat="false" ht="15" hidden="false" customHeight="true" outlineLevel="0" collapsed="false">
      <c r="A26" s="51" t="s">
        <v>3700</v>
      </c>
      <c r="B26" s="52" t="n">
        <f aca="false">SUMPRODUCT(ISNUMBER(SEARCH($A26,Anforderungen!$I$7:$I$2000))*(Anforderungen!$B$7:$B$2000&lt;&gt;""))</f>
        <v>104</v>
      </c>
      <c r="C26" s="52" t="n">
        <f aca="false">SUMPRODUCT(ISNUMBER(SEARCH($A26,Anforderungen!$I$7:$I$2000))*(Anforderungen!$K$7:$K$2000="erfasst"))</f>
        <v>90</v>
      </c>
      <c r="D26" s="52" t="n">
        <f aca="false">SUMPRODUCT(ISNUMBER(SEARCH($A26,Anforderungen!$I$7:$I$2000))*(Anforderungen!$K$7:$K$2000="bewertet"))</f>
        <v>0</v>
      </c>
      <c r="E26" s="52" t="n">
        <f aca="false">SUMPRODUCT(ISNUMBER(SEARCH($A26,Anforderungen!$I$7:$I$2000))*(Anforderungen!$K$7:$K$2000="erfüllt"))</f>
        <v>0</v>
      </c>
      <c r="F26" s="52" t="n">
        <f aca="false">SUMPRODUCT(ISNUMBER(SEARCH($A26,Anforderungen!$I$7:$I$2000))*(Anforderungen!$K$7:$K$2000="trifft nicht zu"))</f>
        <v>14</v>
      </c>
      <c r="G26" s="53" t="n">
        <f aca="false">IFERROR(E26/(B26-F26),0)</f>
        <v>0</v>
      </c>
    </row>
    <row r="27" customFormat="false" ht="15" hidden="false" customHeight="true" outlineLevel="0" collapsed="false">
      <c r="A27" s="51" t="s">
        <v>45</v>
      </c>
      <c r="B27" s="52" t="n">
        <f aca="false">SUMPRODUCT(ISNUMBER(SEARCH($A27,Anforderungen!$I$7:$I$2000))*(Anforderungen!$B$7:$B$2000&lt;&gt;""))</f>
        <v>225</v>
      </c>
      <c r="C27" s="52" t="n">
        <f aca="false">SUMPRODUCT(ISNUMBER(SEARCH($A27,Anforderungen!$I$7:$I$2000))*(Anforderungen!$K$7:$K$2000="erfasst"))</f>
        <v>211</v>
      </c>
      <c r="D27" s="52" t="n">
        <f aca="false">SUMPRODUCT(ISNUMBER(SEARCH($A27,Anforderungen!$I$7:$I$2000))*(Anforderungen!$K$7:$K$2000="bewertet"))</f>
        <v>0</v>
      </c>
      <c r="E27" s="52" t="n">
        <f aca="false">SUMPRODUCT(ISNUMBER(SEARCH($A27,Anforderungen!$I$7:$I$2000))*(Anforderungen!$K$7:$K$2000="erfüllt"))</f>
        <v>5</v>
      </c>
      <c r="F27" s="52" t="n">
        <f aca="false">SUMPRODUCT(ISNUMBER(SEARCH($A27,Anforderungen!$I$7:$I$2000))*(Anforderungen!$K$7:$K$2000="trifft nicht zu"))</f>
        <v>9</v>
      </c>
      <c r="G27" s="53" t="n">
        <f aca="false">IFERROR(E27/(B27-F27),0)</f>
        <v>0.0231481481481481</v>
      </c>
    </row>
    <row r="28" customFormat="false" ht="15" hidden="false" customHeight="true" outlineLevel="0" collapsed="false">
      <c r="A28" s="51" t="s">
        <v>290</v>
      </c>
      <c r="B28" s="52" t="n">
        <f aca="false">SUMPRODUCT(ISNUMBER(SEARCH($A28,Anforderungen!$I$7:$I$2000))*(Anforderungen!$B$7:$B$2000&lt;&gt;""))</f>
        <v>76</v>
      </c>
      <c r="C28" s="52" t="n">
        <f aca="false">SUMPRODUCT(ISNUMBER(SEARCH($A28,Anforderungen!$I$7:$I$2000))*(Anforderungen!$K$7:$K$2000="erfasst"))</f>
        <v>68</v>
      </c>
      <c r="D28" s="52" t="n">
        <f aca="false">SUMPRODUCT(ISNUMBER(SEARCH($A28,Anforderungen!$I$7:$I$2000))*(Anforderungen!$K$7:$K$2000="bewertet"))</f>
        <v>0</v>
      </c>
      <c r="E28" s="52" t="n">
        <f aca="false">SUMPRODUCT(ISNUMBER(SEARCH($A28,Anforderungen!$I$7:$I$2000))*(Anforderungen!$K$7:$K$2000="erfüllt"))</f>
        <v>6</v>
      </c>
      <c r="F28" s="52" t="n">
        <f aca="false">SUMPRODUCT(ISNUMBER(SEARCH($A28,Anforderungen!$I$7:$I$2000))*(Anforderungen!$K$7:$K$2000="trifft nicht zu"))</f>
        <v>2</v>
      </c>
      <c r="G28" s="53" t="n">
        <f aca="false">IFERROR(E28/(B28-F28),0)</f>
        <v>0.0810810810810811</v>
      </c>
    </row>
    <row r="29" customFormat="false" ht="15" hidden="false" customHeight="true" outlineLevel="0" collapsed="false">
      <c r="A29" s="51" t="s">
        <v>301</v>
      </c>
      <c r="B29" s="52" t="n">
        <f aca="false">SUMPRODUCT(ISNUMBER(SEARCH($A29,Anforderungen!$I$7:$I$2000))*(Anforderungen!$B$7:$B$2000&lt;&gt;""))</f>
        <v>13</v>
      </c>
      <c r="C29" s="52" t="n">
        <f aca="false">SUMPRODUCT(ISNUMBER(SEARCH($A29,Anforderungen!$I$7:$I$2000))*(Anforderungen!$K$7:$K$2000="erfasst"))</f>
        <v>13</v>
      </c>
      <c r="D29" s="52" t="n">
        <f aca="false">SUMPRODUCT(ISNUMBER(SEARCH($A29,Anforderungen!$I$7:$I$2000))*(Anforderungen!$K$7:$K$2000="bewertet"))</f>
        <v>0</v>
      </c>
      <c r="E29" s="52" t="n">
        <f aca="false">SUMPRODUCT(ISNUMBER(SEARCH($A29,Anforderungen!$I$7:$I$2000))*(Anforderungen!$K$7:$K$2000="erfüllt"))</f>
        <v>0</v>
      </c>
      <c r="F29" s="52" t="n">
        <f aca="false">SUMPRODUCT(ISNUMBER(SEARCH($A29,Anforderungen!$I$7:$I$2000))*(Anforderungen!$K$7:$K$2000="trifft nicht zu"))</f>
        <v>0</v>
      </c>
      <c r="G29" s="53" t="n">
        <f aca="false">IFERROR(E29/(B29-F29),0)</f>
        <v>0</v>
      </c>
    </row>
    <row r="30" customFormat="false" ht="15" hidden="false" customHeight="true" outlineLevel="0" collapsed="false">
      <c r="A30" s="51" t="s">
        <v>340</v>
      </c>
      <c r="B30" s="52" t="n">
        <f aca="false">SUMPRODUCT(ISNUMBER(SEARCH($A30,Anforderungen!$I$7:$I$2000))*(Anforderungen!$B$7:$B$2000&lt;&gt;""))</f>
        <v>29</v>
      </c>
      <c r="C30" s="52" t="n">
        <f aca="false">SUMPRODUCT(ISNUMBER(SEARCH($A30,Anforderungen!$I$7:$I$2000))*(Anforderungen!$K$7:$K$2000="erfasst"))</f>
        <v>27</v>
      </c>
      <c r="D30" s="52" t="n">
        <f aca="false">SUMPRODUCT(ISNUMBER(SEARCH($A30,Anforderungen!$I$7:$I$2000))*(Anforderungen!$K$7:$K$2000="bewertet"))</f>
        <v>0</v>
      </c>
      <c r="E30" s="52" t="n">
        <f aca="false">SUMPRODUCT(ISNUMBER(SEARCH($A30,Anforderungen!$I$7:$I$2000))*(Anforderungen!$K$7:$K$2000="erfüllt"))</f>
        <v>0</v>
      </c>
      <c r="F30" s="52" t="n">
        <f aca="false">SUMPRODUCT(ISNUMBER(SEARCH($A30,Anforderungen!$I$7:$I$2000))*(Anforderungen!$K$7:$K$2000="trifft nicht zu"))</f>
        <v>2</v>
      </c>
      <c r="G30" s="53" t="n">
        <f aca="false">IFERROR(E30/(B30-F30),0)</f>
        <v>0</v>
      </c>
    </row>
    <row r="31" customFormat="false" ht="15" hidden="false" customHeight="true" outlineLevel="0" collapsed="false">
      <c r="A31" s="51" t="s">
        <v>306</v>
      </c>
      <c r="B31" s="52" t="n">
        <f aca="false">SUMPRODUCT(ISNUMBER(SEARCH($A31,Anforderungen!$I$7:$I$2000))*(Anforderungen!$B$7:$B$2000&lt;&gt;""))</f>
        <v>731</v>
      </c>
      <c r="C31" s="52" t="n">
        <f aca="false">SUMPRODUCT(ISNUMBER(SEARCH($A31,Anforderungen!$I$7:$I$2000))*(Anforderungen!$K$7:$K$2000="erfasst"))</f>
        <v>626</v>
      </c>
      <c r="D31" s="52" t="n">
        <f aca="false">SUMPRODUCT(ISNUMBER(SEARCH($A31,Anforderungen!$I$7:$I$2000))*(Anforderungen!$K$7:$K$2000="bewertet"))</f>
        <v>0</v>
      </c>
      <c r="E31" s="52" t="n">
        <f aca="false">SUMPRODUCT(ISNUMBER(SEARCH($A31,Anforderungen!$I$7:$I$2000))*(Anforderungen!$K$7:$K$2000="erfüllt"))</f>
        <v>0</v>
      </c>
      <c r="F31" s="52" t="n">
        <f aca="false">SUMPRODUCT(ISNUMBER(SEARCH($A31,Anforderungen!$I$7:$I$2000))*(Anforderungen!$K$7:$K$2000="trifft nicht zu"))</f>
        <v>105</v>
      </c>
      <c r="G31" s="53" t="n">
        <f aca="false">IFERROR(E31/(B31-F31),0)</f>
        <v>0</v>
      </c>
    </row>
    <row r="32" customFormat="false" ht="15" hidden="false" customHeight="true" outlineLevel="0" collapsed="false">
      <c r="A32" s="51" t="s">
        <v>476</v>
      </c>
      <c r="B32" s="52" t="n">
        <f aca="false">SUMPRODUCT(ISNUMBER(SEARCH($A32,Anforderungen!$I$7:$I$2000))*(Anforderungen!$B$7:$B$2000&lt;&gt;""))</f>
        <v>230</v>
      </c>
      <c r="C32" s="52" t="n">
        <f aca="false">SUMPRODUCT(ISNUMBER(SEARCH($A32,Anforderungen!$I$7:$I$2000))*(Anforderungen!$K$7:$K$2000="erfasst"))</f>
        <v>208</v>
      </c>
      <c r="D32" s="52" t="n">
        <f aca="false">SUMPRODUCT(ISNUMBER(SEARCH($A32,Anforderungen!$I$7:$I$2000))*(Anforderungen!$K$7:$K$2000="bewertet"))</f>
        <v>0</v>
      </c>
      <c r="E32" s="52" t="n">
        <f aca="false">SUMPRODUCT(ISNUMBER(SEARCH($A32,Anforderungen!$I$7:$I$2000))*(Anforderungen!$K$7:$K$2000="erfüllt"))</f>
        <v>0</v>
      </c>
      <c r="F32" s="52" t="n">
        <f aca="false">SUMPRODUCT(ISNUMBER(SEARCH($A32,Anforderungen!$I$7:$I$2000))*(Anforderungen!$K$7:$K$2000="trifft nicht zu"))</f>
        <v>22</v>
      </c>
      <c r="G32" s="53" t="n">
        <f aca="false">IFERROR(E32/(B32-F32),0)</f>
        <v>0</v>
      </c>
    </row>
    <row r="33" customFormat="false" ht="15" hidden="false" customHeight="true" outlineLevel="0" collapsed="false">
      <c r="A33" s="51"/>
      <c r="B33" s="52"/>
      <c r="C33" s="54"/>
      <c r="D33" s="55"/>
      <c r="E33" s="48"/>
      <c r="F33" s="48"/>
      <c r="G33" s="56"/>
    </row>
    <row r="34" customFormat="false" ht="15" hidden="false" customHeight="true" outlineLevel="0" collapsed="false">
      <c r="A34" s="51"/>
      <c r="B34" s="52"/>
      <c r="C34" s="54"/>
      <c r="D34" s="55"/>
      <c r="E34" s="48"/>
      <c r="F34" s="48"/>
      <c r="G34" s="56"/>
    </row>
    <row r="35" customFormat="false" ht="15" hidden="false" customHeight="true" outlineLevel="0" collapsed="false">
      <c r="A35" s="49" t="s">
        <v>6243</v>
      </c>
      <c r="B35" s="49"/>
      <c r="C35" s="49"/>
      <c r="D35" s="49"/>
      <c r="E35" s="49"/>
      <c r="F35" s="49"/>
      <c r="G35" s="49"/>
    </row>
    <row r="36" customFormat="false" ht="15" hidden="false" customHeight="true" outlineLevel="0" collapsed="false">
      <c r="A36" s="50" t="s">
        <v>6240</v>
      </c>
      <c r="B36" s="50" t="s">
        <v>6241</v>
      </c>
      <c r="C36" s="50" t="s">
        <v>6</v>
      </c>
      <c r="D36" s="50" t="s">
        <v>7</v>
      </c>
      <c r="E36" s="50" t="s">
        <v>8</v>
      </c>
      <c r="F36" s="50" t="s">
        <v>10</v>
      </c>
      <c r="G36" s="50" t="s">
        <v>14</v>
      </c>
    </row>
    <row r="37" customFormat="false" ht="15" hidden="false" customHeight="true" outlineLevel="0" collapsed="false">
      <c r="A37" s="51" t="s">
        <v>159</v>
      </c>
      <c r="B37" s="52" t="n">
        <f aca="false">SUMPRODUCT(ISNUMBER(SEARCH($A37,Anforderungen!$J$7:$J$2000))*(Anforderungen!$B$7:$B$2000&lt;&gt;""))</f>
        <v>171</v>
      </c>
      <c r="C37" s="52" t="n">
        <f aca="false">SUMPRODUCT(ISNUMBER(SEARCH($A37,Anforderungen!$J$7:$J$2000))*(Anforderungen!$K$7:$K$2000="erfasst"))</f>
        <v>153</v>
      </c>
      <c r="D37" s="52" t="n">
        <f aca="false">SUMPRODUCT(ISNUMBER(SEARCH($A37,Anforderungen!$J$7:$J$2000))*(Anforderungen!$K$7:$K$2000="bewertet"))</f>
        <v>0</v>
      </c>
      <c r="E37" s="52" t="n">
        <f aca="false">SUMPRODUCT(ISNUMBER(SEARCH($A37,Anforderungen!$J$7:$J$2000))*(Anforderungen!$K$7:$K$2000="erfüllt"))</f>
        <v>0</v>
      </c>
      <c r="F37" s="52" t="n">
        <f aca="false">SUMPRODUCT(ISNUMBER(SEARCH($A37,Anforderungen!$J$7:$J$2000))*(Anforderungen!$K$7:$K$2000="trifft nicht zu"))</f>
        <v>18</v>
      </c>
      <c r="G37" s="53" t="n">
        <f aca="false">IFERROR(E37/(B37-F37),0)</f>
        <v>0</v>
      </c>
    </row>
    <row r="38" customFormat="false" ht="15" hidden="false" customHeight="true" outlineLevel="0" collapsed="false">
      <c r="A38" s="51" t="s">
        <v>70</v>
      </c>
      <c r="B38" s="52" t="n">
        <f aca="false">SUMPRODUCT(ISNUMBER(SEARCH($A38,Anforderungen!$J$7:$J$2000))*(Anforderungen!$B$7:$B$2000&lt;&gt;""))</f>
        <v>50</v>
      </c>
      <c r="C38" s="52" t="n">
        <f aca="false">SUMPRODUCT(ISNUMBER(SEARCH($A38,Anforderungen!$J$7:$J$2000))*(Anforderungen!$K$7:$K$2000="erfasst"))</f>
        <v>48</v>
      </c>
      <c r="D38" s="52" t="n">
        <f aca="false">SUMPRODUCT(ISNUMBER(SEARCH($A38,Anforderungen!$J$7:$J$2000))*(Anforderungen!$K$7:$K$2000="bewertet"))</f>
        <v>0</v>
      </c>
      <c r="E38" s="52" t="n">
        <f aca="false">SUMPRODUCT(ISNUMBER(SEARCH($A38,Anforderungen!$J$7:$J$2000))*(Anforderungen!$K$7:$K$2000="erfüllt"))</f>
        <v>0</v>
      </c>
      <c r="F38" s="52" t="n">
        <f aca="false">SUMPRODUCT(ISNUMBER(SEARCH($A38,Anforderungen!$J$7:$J$2000))*(Anforderungen!$K$7:$K$2000="trifft nicht zu"))</f>
        <v>2</v>
      </c>
      <c r="G38" s="53" t="n">
        <f aca="false">IFERROR(E38/(B38-F38),0)</f>
        <v>0</v>
      </c>
    </row>
    <row r="39" customFormat="false" ht="15" hidden="false" customHeight="true" outlineLevel="0" collapsed="false">
      <c r="A39" s="51" t="s">
        <v>265</v>
      </c>
      <c r="B39" s="52" t="n">
        <f aca="false">SUMPRODUCT(ISNUMBER(SEARCH($A39,Anforderungen!$J$7:$J$2000))*(Anforderungen!$B$7:$B$2000&lt;&gt;""))</f>
        <v>66</v>
      </c>
      <c r="C39" s="52" t="n">
        <f aca="false">SUMPRODUCT(ISNUMBER(SEARCH($A39,Anforderungen!$J$7:$J$2000))*(Anforderungen!$K$7:$K$2000="erfasst"))</f>
        <v>60</v>
      </c>
      <c r="D39" s="52" t="n">
        <f aca="false">SUMPRODUCT(ISNUMBER(SEARCH($A39,Anforderungen!$J$7:$J$2000))*(Anforderungen!$K$7:$K$2000="bewertet"))</f>
        <v>0</v>
      </c>
      <c r="E39" s="52" t="n">
        <f aca="false">SUMPRODUCT(ISNUMBER(SEARCH($A39,Anforderungen!$J$7:$J$2000))*(Anforderungen!$K$7:$K$2000="erfüllt"))</f>
        <v>2</v>
      </c>
      <c r="F39" s="52" t="n">
        <f aca="false">SUMPRODUCT(ISNUMBER(SEARCH($A39,Anforderungen!$J$7:$J$2000))*(Anforderungen!$K$7:$K$2000="trifft nicht zu"))</f>
        <v>4</v>
      </c>
      <c r="G39" s="53" t="n">
        <f aca="false">IFERROR(E39/(B39-F39),0)</f>
        <v>0.032258064516129</v>
      </c>
    </row>
    <row r="40" customFormat="false" ht="15" hidden="false" customHeight="true" outlineLevel="0" collapsed="false">
      <c r="A40" s="51" t="s">
        <v>274</v>
      </c>
      <c r="B40" s="52" t="n">
        <f aca="false">SUMPRODUCT(ISNUMBER(SEARCH($A40,Anforderungen!$J$7:$J$2000))*(Anforderungen!$B$7:$B$2000&lt;&gt;""))</f>
        <v>44</v>
      </c>
      <c r="C40" s="52" t="n">
        <f aca="false">SUMPRODUCT(ISNUMBER(SEARCH($A40,Anforderungen!$J$7:$J$2000))*(Anforderungen!$K$7:$K$2000="erfasst"))</f>
        <v>44</v>
      </c>
      <c r="D40" s="52" t="n">
        <f aca="false">SUMPRODUCT(ISNUMBER(SEARCH($A40,Anforderungen!$J$7:$J$2000))*(Anforderungen!$K$7:$K$2000="bewertet"))</f>
        <v>0</v>
      </c>
      <c r="E40" s="52" t="n">
        <f aca="false">SUMPRODUCT(ISNUMBER(SEARCH($A40,Anforderungen!$J$7:$J$2000))*(Anforderungen!$K$7:$K$2000="erfüllt"))</f>
        <v>0</v>
      </c>
      <c r="F40" s="52" t="n">
        <f aca="false">SUMPRODUCT(ISNUMBER(SEARCH($A40,Anforderungen!$J$7:$J$2000))*(Anforderungen!$K$7:$K$2000="trifft nicht zu"))</f>
        <v>0</v>
      </c>
      <c r="G40" s="53" t="n">
        <f aca="false">IFERROR(E40/(B40-F40),0)</f>
        <v>0</v>
      </c>
    </row>
    <row r="41" customFormat="false" ht="15" hidden="false" customHeight="true" outlineLevel="0" collapsed="false">
      <c r="A41" s="51" t="s">
        <v>46</v>
      </c>
      <c r="B41" s="52" t="n">
        <f aca="false">SUMPRODUCT(ISNUMBER(SEARCH($A41,Anforderungen!$J$7:$J$2000))*(Anforderungen!$B$7:$B$2000&lt;&gt;""))</f>
        <v>102</v>
      </c>
      <c r="C41" s="52" t="n">
        <f aca="false">SUMPRODUCT(ISNUMBER(SEARCH($A41,Anforderungen!$J$7:$J$2000))*(Anforderungen!$K$7:$K$2000="erfasst"))</f>
        <v>98</v>
      </c>
      <c r="D41" s="52" t="n">
        <f aca="false">SUMPRODUCT(ISNUMBER(SEARCH($A41,Anforderungen!$J$7:$J$2000))*(Anforderungen!$K$7:$K$2000="bewertet"))</f>
        <v>0</v>
      </c>
      <c r="E41" s="52" t="n">
        <f aca="false">SUMPRODUCT(ISNUMBER(SEARCH($A41,Anforderungen!$J$7:$J$2000))*(Anforderungen!$K$7:$K$2000="erfüllt"))</f>
        <v>1</v>
      </c>
      <c r="F41" s="52" t="n">
        <f aca="false">SUMPRODUCT(ISNUMBER(SEARCH($A41,Anforderungen!$J$7:$J$2000))*(Anforderungen!$K$7:$K$2000="trifft nicht zu"))</f>
        <v>3</v>
      </c>
      <c r="G41" s="53" t="n">
        <f aca="false">IFERROR(E41/(B41-F41),0)</f>
        <v>0.0101010101010101</v>
      </c>
    </row>
    <row r="42" customFormat="false" ht="15" hidden="false" customHeight="true" outlineLevel="0" collapsed="false">
      <c r="A42" s="51" t="s">
        <v>56</v>
      </c>
      <c r="B42" s="52" t="n">
        <f aca="false">SUMPRODUCT(ISNUMBER(SEARCH($A42,Anforderungen!$J$7:$J$2000))*(Anforderungen!$B$7:$B$2000&lt;&gt;""))</f>
        <v>3</v>
      </c>
      <c r="C42" s="52" t="n">
        <f aca="false">SUMPRODUCT(ISNUMBER(SEARCH($A42,Anforderungen!$J$7:$J$2000))*(Anforderungen!$K$7:$K$2000="erfasst"))</f>
        <v>2</v>
      </c>
      <c r="D42" s="52" t="n">
        <f aca="false">SUMPRODUCT(ISNUMBER(SEARCH($A42,Anforderungen!$J$7:$J$2000))*(Anforderungen!$K$7:$K$2000="bewertet"))</f>
        <v>1</v>
      </c>
      <c r="E42" s="52" t="n">
        <f aca="false">SUMPRODUCT(ISNUMBER(SEARCH($A42,Anforderungen!$J$7:$J$2000))*(Anforderungen!$K$7:$K$2000="erfüllt"))</f>
        <v>0</v>
      </c>
      <c r="F42" s="52" t="n">
        <f aca="false">SUMPRODUCT(ISNUMBER(SEARCH($A42,Anforderungen!$J$7:$J$2000))*(Anforderungen!$K$7:$K$2000="trifft nicht zu"))</f>
        <v>0</v>
      </c>
      <c r="G42" s="53" t="n">
        <f aca="false">IFERROR(E42/(B42-F42),0)</f>
        <v>0</v>
      </c>
    </row>
    <row r="43" customFormat="false" ht="15" hidden="false" customHeight="true" outlineLevel="0" collapsed="false">
      <c r="A43" s="51" t="s">
        <v>301</v>
      </c>
      <c r="B43" s="52" t="n">
        <f aca="false">SUMPRODUCT(ISNUMBER(SEARCH($A43,Anforderungen!$J$7:$J$2000))*(Anforderungen!$B$7:$B$2000&lt;&gt;""))</f>
        <v>12</v>
      </c>
      <c r="C43" s="52" t="n">
        <f aca="false">SUMPRODUCT(ISNUMBER(SEARCH($A43,Anforderungen!$J$7:$J$2000))*(Anforderungen!$K$7:$K$2000="erfasst"))</f>
        <v>12</v>
      </c>
      <c r="D43" s="52" t="n">
        <f aca="false">SUMPRODUCT(ISNUMBER(SEARCH($A43,Anforderungen!$J$7:$J$2000))*(Anforderungen!$K$7:$K$2000="bewertet"))</f>
        <v>0</v>
      </c>
      <c r="E43" s="52" t="n">
        <f aca="false">SUMPRODUCT(ISNUMBER(SEARCH($A43,Anforderungen!$J$7:$J$2000))*(Anforderungen!$K$7:$K$2000="erfüllt"))</f>
        <v>0</v>
      </c>
      <c r="F43" s="52" t="n">
        <f aca="false">SUMPRODUCT(ISNUMBER(SEARCH($A43,Anforderungen!$J$7:$J$2000))*(Anforderungen!$K$7:$K$2000="trifft nicht zu"))</f>
        <v>0</v>
      </c>
      <c r="G43" s="53" t="n">
        <f aca="false">IFERROR(E43/(B43-F43),0)</f>
        <v>0</v>
      </c>
    </row>
    <row r="44" customFormat="false" ht="15" hidden="false" customHeight="true" outlineLevel="0" collapsed="false">
      <c r="A44" s="51" t="s">
        <v>225</v>
      </c>
      <c r="B44" s="52" t="n">
        <f aca="false">SUMPRODUCT(ISNUMBER(SEARCH($A44,Anforderungen!$J$7:$J$2000))*(Anforderungen!$B$7:$B$2000&lt;&gt;""))</f>
        <v>5</v>
      </c>
      <c r="C44" s="52" t="n">
        <f aca="false">SUMPRODUCT(ISNUMBER(SEARCH($A44,Anforderungen!$J$7:$J$2000))*(Anforderungen!$K$7:$K$2000="erfasst"))</f>
        <v>4</v>
      </c>
      <c r="D44" s="52" t="n">
        <f aca="false">SUMPRODUCT(ISNUMBER(SEARCH($A44,Anforderungen!$J$7:$J$2000))*(Anforderungen!$K$7:$K$2000="bewertet"))</f>
        <v>0</v>
      </c>
      <c r="E44" s="52" t="n">
        <f aca="false">SUMPRODUCT(ISNUMBER(SEARCH($A44,Anforderungen!$J$7:$J$2000))*(Anforderungen!$K$7:$K$2000="erfüllt"))</f>
        <v>1</v>
      </c>
      <c r="F44" s="52" t="n">
        <f aca="false">SUMPRODUCT(ISNUMBER(SEARCH($A44,Anforderungen!$J$7:$J$2000))*(Anforderungen!$K$7:$K$2000="trifft nicht zu"))</f>
        <v>0</v>
      </c>
      <c r="G44" s="53" t="n">
        <f aca="false">IFERROR(E44/(B44-F44),0)</f>
        <v>0.2</v>
      </c>
    </row>
    <row r="45" customFormat="false" ht="15" hidden="false" customHeight="true" outlineLevel="0" collapsed="false">
      <c r="A45" s="51" t="s">
        <v>194</v>
      </c>
      <c r="B45" s="52" t="n">
        <f aca="false">SUMPRODUCT(ISNUMBER(SEARCH($A45,Anforderungen!$J$7:$J$2000))*(Anforderungen!$B$7:$B$2000&lt;&gt;""))</f>
        <v>12</v>
      </c>
      <c r="C45" s="52" t="n">
        <f aca="false">SUMPRODUCT(ISNUMBER(SEARCH($A45,Anforderungen!$J$7:$J$2000))*(Anforderungen!$K$7:$K$2000="erfasst"))</f>
        <v>10</v>
      </c>
      <c r="D45" s="52" t="n">
        <f aca="false">SUMPRODUCT(ISNUMBER(SEARCH($A45,Anforderungen!$J$7:$J$2000))*(Anforderungen!$K$7:$K$2000="bewertet"))</f>
        <v>0</v>
      </c>
      <c r="E45" s="52" t="n">
        <f aca="false">SUMPRODUCT(ISNUMBER(SEARCH($A45,Anforderungen!$J$7:$J$2000))*(Anforderungen!$K$7:$K$2000="erfüllt"))</f>
        <v>2</v>
      </c>
      <c r="F45" s="52" t="n">
        <f aca="false">SUMPRODUCT(ISNUMBER(SEARCH($A45,Anforderungen!$J$7:$J$2000))*(Anforderungen!$K$7:$K$2000="trifft nicht zu"))</f>
        <v>0</v>
      </c>
      <c r="G45" s="53" t="n">
        <f aca="false">IFERROR(E45/(B45-F45),0)</f>
        <v>0.166666666666667</v>
      </c>
    </row>
    <row r="46" customFormat="false" ht="15" hidden="false" customHeight="true" outlineLevel="0" collapsed="false">
      <c r="A46" s="51" t="s">
        <v>3408</v>
      </c>
      <c r="B46" s="52" t="n">
        <f aca="false">SUMPRODUCT(ISNUMBER(SEARCH($A46,Anforderungen!$J$7:$J$2000))*(Anforderungen!$B$7:$B$2000&lt;&gt;""))</f>
        <v>8</v>
      </c>
      <c r="C46" s="52" t="n">
        <f aca="false">SUMPRODUCT(ISNUMBER(SEARCH($A46,Anforderungen!$J$7:$J$2000))*(Anforderungen!$K$7:$K$2000="erfasst"))</f>
        <v>7</v>
      </c>
      <c r="D46" s="52" t="n">
        <f aca="false">SUMPRODUCT(ISNUMBER(SEARCH($A46,Anforderungen!$J$7:$J$2000))*(Anforderungen!$K$7:$K$2000="bewertet"))</f>
        <v>0</v>
      </c>
      <c r="E46" s="52" t="n">
        <f aca="false">SUMPRODUCT(ISNUMBER(SEARCH($A46,Anforderungen!$J$7:$J$2000))*(Anforderungen!$K$7:$K$2000="erfüllt"))</f>
        <v>0</v>
      </c>
      <c r="F46" s="52" t="n">
        <f aca="false">SUMPRODUCT(ISNUMBER(SEARCH($A46,Anforderungen!$J$7:$J$2000))*(Anforderungen!$K$7:$K$2000="trifft nicht zu"))</f>
        <v>1</v>
      </c>
      <c r="G46" s="53" t="n">
        <f aca="false">IFERROR(E46/(B46-F46),0)</f>
        <v>0</v>
      </c>
    </row>
    <row r="47" customFormat="false" ht="15" hidden="false" customHeight="true" outlineLevel="0" collapsed="false">
      <c r="A47" s="51" t="s">
        <v>808</v>
      </c>
      <c r="B47" s="52" t="n">
        <f aca="false">SUMPRODUCT(ISNUMBER(SEARCH($A47,Anforderungen!$J$7:$J$2000))*(Anforderungen!$B$7:$B$2000&lt;&gt;""))</f>
        <v>35</v>
      </c>
      <c r="C47" s="52" t="n">
        <f aca="false">SUMPRODUCT(ISNUMBER(SEARCH($A47,Anforderungen!$J$7:$J$2000))*(Anforderungen!$K$7:$K$2000="erfasst"))</f>
        <v>34</v>
      </c>
      <c r="D47" s="52" t="n">
        <f aca="false">SUMPRODUCT(ISNUMBER(SEARCH($A47,Anforderungen!$J$7:$J$2000))*(Anforderungen!$K$7:$K$2000="bewertet"))</f>
        <v>0</v>
      </c>
      <c r="E47" s="52" t="n">
        <f aca="false">SUMPRODUCT(ISNUMBER(SEARCH($A47,Anforderungen!$J$7:$J$2000))*(Anforderungen!$K$7:$K$2000="erfüllt"))</f>
        <v>0</v>
      </c>
      <c r="F47" s="52" t="n">
        <f aca="false">SUMPRODUCT(ISNUMBER(SEARCH($A47,Anforderungen!$J$7:$J$2000))*(Anforderungen!$K$7:$K$2000="trifft nicht zu"))</f>
        <v>1</v>
      </c>
      <c r="G47" s="53" t="n">
        <f aca="false">IFERROR(E47/(B47-F47),0)</f>
        <v>0</v>
      </c>
    </row>
    <row r="48" customFormat="false" ht="15" hidden="false" customHeight="true" outlineLevel="0" collapsed="false">
      <c r="A48" s="51" t="s">
        <v>84</v>
      </c>
      <c r="B48" s="52" t="n">
        <f aca="false">SUMPRODUCT(ISNUMBER(SEARCH($A48,Anforderungen!$J$7:$J$2000))*(Anforderungen!$B$7:$B$2000&lt;&gt;""))</f>
        <v>25</v>
      </c>
      <c r="C48" s="52" t="n">
        <f aca="false">SUMPRODUCT(ISNUMBER(SEARCH($A48,Anforderungen!$J$7:$J$2000))*(Anforderungen!$K$7:$K$2000="erfasst"))</f>
        <v>20</v>
      </c>
      <c r="D48" s="52" t="n">
        <f aca="false">SUMPRODUCT(ISNUMBER(SEARCH($A48,Anforderungen!$J$7:$J$2000))*(Anforderungen!$K$7:$K$2000="bewertet"))</f>
        <v>0</v>
      </c>
      <c r="E48" s="52" t="n">
        <f aca="false">SUMPRODUCT(ISNUMBER(SEARCH($A48,Anforderungen!$J$7:$J$2000))*(Anforderungen!$K$7:$K$2000="erfüllt"))</f>
        <v>4</v>
      </c>
      <c r="F48" s="52" t="n">
        <f aca="false">SUMPRODUCT(ISNUMBER(SEARCH($A48,Anforderungen!$J$7:$J$2000))*(Anforderungen!$K$7:$K$2000="trifft nicht zu"))</f>
        <v>1</v>
      </c>
      <c r="G48" s="53" t="n">
        <f aca="false">IFERROR(E48/(B48-F48),0)</f>
        <v>0.166666666666667</v>
      </c>
    </row>
    <row r="49" customFormat="false" ht="15" hidden="false" customHeight="true" outlineLevel="0" collapsed="false">
      <c r="A49" s="51" t="s">
        <v>341</v>
      </c>
      <c r="B49" s="52" t="n">
        <f aca="false">SUMPRODUCT(ISNUMBER(SEARCH($A49,Anforderungen!$J$7:$J$2000))*(Anforderungen!$B$7:$B$2000&lt;&gt;""))</f>
        <v>11</v>
      </c>
      <c r="C49" s="52" t="n">
        <f aca="false">SUMPRODUCT(ISNUMBER(SEARCH($A49,Anforderungen!$J$7:$J$2000))*(Anforderungen!$K$7:$K$2000="erfasst"))</f>
        <v>9</v>
      </c>
      <c r="D49" s="52" t="n">
        <f aca="false">SUMPRODUCT(ISNUMBER(SEARCH($A49,Anforderungen!$J$7:$J$2000))*(Anforderungen!$K$7:$K$2000="bewertet"))</f>
        <v>0</v>
      </c>
      <c r="E49" s="52" t="n">
        <f aca="false">SUMPRODUCT(ISNUMBER(SEARCH($A49,Anforderungen!$J$7:$J$2000))*(Anforderungen!$K$7:$K$2000="erfüllt"))</f>
        <v>0</v>
      </c>
      <c r="F49" s="52" t="n">
        <f aca="false">SUMPRODUCT(ISNUMBER(SEARCH($A49,Anforderungen!$J$7:$J$2000))*(Anforderungen!$K$7:$K$2000="trifft nicht zu"))</f>
        <v>2</v>
      </c>
      <c r="G49" s="53" t="n">
        <f aca="false">IFERROR(E49/(B49-F49),0)</f>
        <v>0</v>
      </c>
    </row>
    <row r="50" customFormat="false" ht="15" hidden="false" customHeight="true" outlineLevel="0" collapsed="false">
      <c r="A50" s="51" t="s">
        <v>86</v>
      </c>
      <c r="B50" s="52" t="n">
        <f aca="false">SUMPRODUCT(ISNUMBER(SEARCH($A50,Anforderungen!$J$7:$J$2000))*(Anforderungen!$B$7:$B$2000&lt;&gt;""))</f>
        <v>23</v>
      </c>
      <c r="C50" s="52" t="n">
        <f aca="false">SUMPRODUCT(ISNUMBER(SEARCH($A50,Anforderungen!$J$7:$J$2000))*(Anforderungen!$K$7:$K$2000="erfasst"))</f>
        <v>20</v>
      </c>
      <c r="D50" s="52" t="n">
        <f aca="false">SUMPRODUCT(ISNUMBER(SEARCH($A50,Anforderungen!$J$7:$J$2000))*(Anforderungen!$K$7:$K$2000="bewertet"))</f>
        <v>0</v>
      </c>
      <c r="E50" s="52" t="n">
        <f aca="false">SUMPRODUCT(ISNUMBER(SEARCH($A50,Anforderungen!$J$7:$J$2000))*(Anforderungen!$K$7:$K$2000="erfüllt"))</f>
        <v>2</v>
      </c>
      <c r="F50" s="52" t="n">
        <f aca="false">SUMPRODUCT(ISNUMBER(SEARCH($A50,Anforderungen!$J$7:$J$2000))*(Anforderungen!$K$7:$K$2000="trifft nicht zu"))</f>
        <v>1</v>
      </c>
      <c r="G50" s="53" t="n">
        <f aca="false">IFERROR(E50/(B50-F50),0)</f>
        <v>0.0909090909090909</v>
      </c>
    </row>
    <row r="51" customFormat="false" ht="15" hidden="false" customHeight="true" outlineLevel="0" collapsed="false">
      <c r="A51" s="51" t="s">
        <v>476</v>
      </c>
      <c r="B51" s="52" t="n">
        <f aca="false">SUMPRODUCT(ISNUMBER(SEARCH($A51,Anforderungen!$J$7:$J$2000))*(Anforderungen!$B$7:$B$2000&lt;&gt;""))</f>
        <v>230</v>
      </c>
      <c r="C51" s="52" t="n">
        <f aca="false">SUMPRODUCT(ISNUMBER(SEARCH($A51,Anforderungen!$J$7:$J$2000))*(Anforderungen!$K$7:$K$2000="erfasst"))</f>
        <v>208</v>
      </c>
      <c r="D51" s="52" t="n">
        <f aca="false">SUMPRODUCT(ISNUMBER(SEARCH($A51,Anforderungen!$J$7:$J$2000))*(Anforderungen!$K$7:$K$2000="bewertet"))</f>
        <v>0</v>
      </c>
      <c r="E51" s="52" t="n">
        <f aca="false">SUMPRODUCT(ISNUMBER(SEARCH($A51,Anforderungen!$J$7:$J$2000))*(Anforderungen!$K$7:$K$2000="erfüllt"))</f>
        <v>0</v>
      </c>
      <c r="F51" s="52" t="n">
        <f aca="false">SUMPRODUCT(ISNUMBER(SEARCH($A51,Anforderungen!$J$7:$J$2000))*(Anforderungen!$K$7:$K$2000="trifft nicht zu"))</f>
        <v>22</v>
      </c>
      <c r="G51" s="53" t="n">
        <f aca="false">IFERROR(E51/(B51-F51),0)</f>
        <v>0</v>
      </c>
    </row>
    <row r="52" customFormat="false" ht="15" hidden="false" customHeight="true" outlineLevel="0" collapsed="false">
      <c r="A52" s="51"/>
      <c r="B52" s="52"/>
      <c r="C52" s="54"/>
      <c r="D52" s="55"/>
      <c r="E52" s="48"/>
      <c r="F52" s="48"/>
      <c r="G52" s="56"/>
    </row>
    <row r="53" customFormat="false" ht="15" hidden="false" customHeight="true" outlineLevel="0" collapsed="false">
      <c r="A53" s="51"/>
      <c r="B53" s="52"/>
      <c r="C53" s="54"/>
      <c r="D53" s="55"/>
      <c r="E53" s="48"/>
      <c r="F53" s="48"/>
      <c r="G53" s="56"/>
    </row>
    <row r="54" customFormat="false" ht="15" hidden="false" customHeight="true" outlineLevel="0" collapsed="false">
      <c r="A54" s="49" t="s">
        <v>6244</v>
      </c>
      <c r="B54" s="49"/>
      <c r="C54" s="49"/>
      <c r="D54" s="49"/>
      <c r="E54" s="49"/>
      <c r="F54" s="49"/>
      <c r="G54" s="49"/>
    </row>
    <row r="55" customFormat="false" ht="15" hidden="false" customHeight="true" outlineLevel="0" collapsed="false">
      <c r="A55" s="50" t="s">
        <v>6240</v>
      </c>
      <c r="B55" s="50" t="s">
        <v>6241</v>
      </c>
      <c r="C55" s="50" t="s">
        <v>6</v>
      </c>
      <c r="D55" s="50" t="s">
        <v>7</v>
      </c>
      <c r="E55" s="50" t="s">
        <v>8</v>
      </c>
      <c r="F55" s="50" t="s">
        <v>10</v>
      </c>
      <c r="G55" s="50" t="s">
        <v>14</v>
      </c>
    </row>
    <row r="56" customFormat="false" ht="15" hidden="false" customHeight="true" outlineLevel="0" collapsed="false">
      <c r="A56" s="51" t="s">
        <v>280</v>
      </c>
      <c r="B56" s="52" t="n">
        <f aca="false">COUNTIF(Anforderungen!$C$7:$C$2000,$A56)</f>
        <v>52</v>
      </c>
      <c r="C56" s="52" t="n">
        <f aca="false">COUNTIFS(Anforderungen!$C$7:$C$2000,$A56,Anforderungen!$K$7:$K$2000,"erfasst")</f>
        <v>52</v>
      </c>
      <c r="D56" s="52" t="n">
        <f aca="false">COUNTIFS(Anforderungen!$C$7:$C$2000,$A56,Anforderungen!$K$7:$K$2000,"bewertet")</f>
        <v>0</v>
      </c>
      <c r="E56" s="52" t="n">
        <f aca="false">COUNTIFS(Anforderungen!$C$7:$C$2000,$A56,Anforderungen!$K$7:$K$2000,"erfüllt")</f>
        <v>0</v>
      </c>
      <c r="F56" s="52" t="n">
        <f aca="false">COUNTIFS(Anforderungen!$C$7:$C$2000,$A56,Anforderungen!$K$7:$K$2000,"trifft nicht zu")</f>
        <v>0</v>
      </c>
      <c r="G56" s="53" t="n">
        <f aca="false">IFERROR(E56/(B56-F56),0)</f>
        <v>0</v>
      </c>
    </row>
    <row r="57" customFormat="false" ht="15" hidden="false" customHeight="true" outlineLevel="0" collapsed="false">
      <c r="A57" s="51" t="s">
        <v>40</v>
      </c>
      <c r="B57" s="52" t="n">
        <f aca="false">COUNTIF(Anforderungen!$C$7:$C$2000,$A57)</f>
        <v>471</v>
      </c>
      <c r="C57" s="52" t="n">
        <f aca="false">COUNTIFS(Anforderungen!$C$7:$C$2000,$A57,Anforderungen!$K$7:$K$2000,"erfasst")</f>
        <v>413</v>
      </c>
      <c r="D57" s="52" t="n">
        <f aca="false">COUNTIFS(Anforderungen!$C$7:$C$2000,$A57,Anforderungen!$K$7:$K$2000,"bewertet")</f>
        <v>1</v>
      </c>
      <c r="E57" s="52" t="n">
        <f aca="false">COUNTIFS(Anforderungen!$C$7:$C$2000,$A57,Anforderungen!$K$7:$K$2000,"erfüllt")</f>
        <v>1</v>
      </c>
      <c r="F57" s="52" t="n">
        <f aca="false">COUNTIFS(Anforderungen!$C$7:$C$2000,$A57,Anforderungen!$K$7:$K$2000,"trifft nicht zu")</f>
        <v>56</v>
      </c>
      <c r="G57" s="53" t="n">
        <f aca="false">IFERROR(E57/(B57-F57),0)</f>
        <v>0.00240963855421687</v>
      </c>
    </row>
    <row r="58" customFormat="false" ht="15" hidden="false" customHeight="true" outlineLevel="0" collapsed="false">
      <c r="A58" s="51" t="s">
        <v>286</v>
      </c>
      <c r="B58" s="52" t="n">
        <f aca="false">COUNTIF(Anforderungen!$C$7:$C$2000,$A58)</f>
        <v>663</v>
      </c>
      <c r="C58" s="52" t="n">
        <f aca="false">COUNTIFS(Anforderungen!$C$7:$C$2000,$A58,Anforderungen!$K$7:$K$2000,"erfasst")</f>
        <v>562</v>
      </c>
      <c r="D58" s="52" t="n">
        <f aca="false">COUNTIFS(Anforderungen!$C$7:$C$2000,$A58,Anforderungen!$K$7:$K$2000,"bewertet")</f>
        <v>0</v>
      </c>
      <c r="E58" s="52" t="n">
        <f aca="false">COUNTIFS(Anforderungen!$C$7:$C$2000,$A58,Anforderungen!$K$7:$K$2000,"erfüllt")</f>
        <v>0</v>
      </c>
      <c r="F58" s="52" t="n">
        <f aca="false">COUNTIFS(Anforderungen!$C$7:$C$2000,$A58,Anforderungen!$K$7:$K$2000,"trifft nicht zu")</f>
        <v>101</v>
      </c>
      <c r="G58" s="53" t="n">
        <f aca="false">IFERROR(E58/(B58-F58),0)</f>
        <v>0</v>
      </c>
    </row>
    <row r="59" customFormat="false" ht="15" hidden="false" customHeight="true" outlineLevel="0" collapsed="false">
      <c r="A59" s="51" t="s">
        <v>268</v>
      </c>
      <c r="B59" s="52" t="n">
        <f aca="false">COUNTIF(Anforderungen!$C$7:$C$2000,$A59)</f>
        <v>107</v>
      </c>
      <c r="C59" s="52" t="n">
        <f aca="false">COUNTIFS(Anforderungen!$C$7:$C$2000,$A59,Anforderungen!$K$7:$K$2000,"erfasst")</f>
        <v>107</v>
      </c>
      <c r="D59" s="52" t="n">
        <f aca="false">COUNTIFS(Anforderungen!$C$7:$C$2000,$A59,Anforderungen!$K$7:$K$2000,"bewertet")</f>
        <v>0</v>
      </c>
      <c r="E59" s="52" t="n">
        <f aca="false">COUNTIFS(Anforderungen!$C$7:$C$2000,$A59,Anforderungen!$K$7:$K$2000,"erfüllt")</f>
        <v>0</v>
      </c>
      <c r="F59" s="52" t="n">
        <f aca="false">COUNTIFS(Anforderungen!$C$7:$C$2000,$A59,Anforderungen!$K$7:$K$2000,"trifft nicht zu")</f>
        <v>0</v>
      </c>
      <c r="G59" s="53" t="n">
        <f aca="false">IFERROR(E59/(B59-F59),0)</f>
        <v>0</v>
      </c>
    </row>
    <row r="60" customFormat="false" ht="15" hidden="false" customHeight="true" outlineLevel="0" collapsed="false">
      <c r="A60" s="51" t="s">
        <v>177</v>
      </c>
      <c r="B60" s="52" t="n">
        <f aca="false">COUNTIF(Anforderungen!$C$7:$C$2000,$A60)</f>
        <v>7</v>
      </c>
      <c r="C60" s="52" t="n">
        <f aca="false">COUNTIFS(Anforderungen!$C$7:$C$2000,$A60,Anforderungen!$K$7:$K$2000,"erfasst")</f>
        <v>1</v>
      </c>
      <c r="D60" s="52" t="n">
        <f aca="false">COUNTIFS(Anforderungen!$C$7:$C$2000,$A60,Anforderungen!$K$7:$K$2000,"bewertet")</f>
        <v>2</v>
      </c>
      <c r="E60" s="52" t="n">
        <f aca="false">COUNTIFS(Anforderungen!$C$7:$C$2000,$A60,Anforderungen!$K$7:$K$2000,"erfüllt")</f>
        <v>3</v>
      </c>
      <c r="F60" s="52" t="n">
        <f aca="false">COUNTIFS(Anforderungen!$C$7:$C$2000,$A60,Anforderungen!$K$7:$K$2000,"trifft nicht zu")</f>
        <v>1</v>
      </c>
      <c r="G60" s="53" t="n">
        <f aca="false">IFERROR(E60/(B60-F60),0)</f>
        <v>0.5</v>
      </c>
    </row>
    <row r="61" customFormat="false" ht="15" hidden="false" customHeight="true" outlineLevel="0" collapsed="false">
      <c r="A61" s="51" t="s">
        <v>218</v>
      </c>
      <c r="B61" s="52" t="n">
        <f aca="false">COUNTIF(Anforderungen!$C$7:$C$2000,$A61)</f>
        <v>82</v>
      </c>
      <c r="C61" s="52" t="n">
        <f aca="false">COUNTIFS(Anforderungen!$C$7:$C$2000,$A61,Anforderungen!$K$7:$K$2000,"erfasst")</f>
        <v>76</v>
      </c>
      <c r="D61" s="52" t="n">
        <f aca="false">COUNTIFS(Anforderungen!$C$7:$C$2000,$A61,Anforderungen!$K$7:$K$2000,"bewertet")</f>
        <v>0</v>
      </c>
      <c r="E61" s="52" t="n">
        <f aca="false">COUNTIFS(Anforderungen!$C$7:$C$2000,$A61,Anforderungen!$K$7:$K$2000,"erfüllt")</f>
        <v>6</v>
      </c>
      <c r="F61" s="52" t="n">
        <f aca="false">COUNTIFS(Anforderungen!$C$7:$C$2000,$A61,Anforderungen!$K$7:$K$2000,"trifft nicht zu")</f>
        <v>0</v>
      </c>
      <c r="G61" s="53" t="n">
        <f aca="false">IFERROR(E61/(B61-F61),0)</f>
        <v>0.0731707317073171</v>
      </c>
    </row>
    <row r="62" customFormat="false" ht="15" hidden="false" customHeight="true" outlineLevel="0" collapsed="false">
      <c r="A62" s="48"/>
      <c r="B62" s="48"/>
      <c r="C62" s="56"/>
      <c r="D62" s="48"/>
      <c r="E62" s="48"/>
      <c r="F62" s="48"/>
      <c r="G62" s="48"/>
    </row>
    <row r="63" customFormat="false" ht="15" hidden="false" customHeight="true" outlineLevel="0" collapsed="false">
      <c r="A63" s="48"/>
      <c r="B63" s="48"/>
      <c r="C63" s="48"/>
      <c r="D63" s="48"/>
      <c r="E63" s="48"/>
      <c r="F63" s="48"/>
      <c r="G63" s="48"/>
    </row>
    <row r="64" customFormat="false" ht="15" hidden="false" customHeight="true" outlineLevel="0" collapsed="false">
      <c r="A64" s="49" t="s">
        <v>6245</v>
      </c>
      <c r="B64" s="49"/>
      <c r="C64" s="49"/>
      <c r="D64" s="49"/>
      <c r="E64" s="49"/>
      <c r="F64" s="49"/>
      <c r="G64" s="49"/>
    </row>
    <row r="65" customFormat="false" ht="26.25" hidden="false" customHeight="true" outlineLevel="0" collapsed="false">
      <c r="A65" s="50" t="s">
        <v>34</v>
      </c>
      <c r="B65" s="50" t="s">
        <v>6246</v>
      </c>
      <c r="C65" s="50" t="s">
        <v>6247</v>
      </c>
      <c r="D65" s="57"/>
      <c r="E65" s="48"/>
      <c r="F65" s="48"/>
      <c r="G65" s="48"/>
    </row>
    <row r="66" customFormat="false" ht="15" hidden="false" customHeight="true" outlineLevel="0" collapsed="false">
      <c r="A66" s="51" t="s">
        <v>47</v>
      </c>
      <c r="B66" s="52" t="n">
        <f aca="false">COUNTIF(Anforderungen!$K$7:$K$2000,A66)</f>
        <v>1211</v>
      </c>
      <c r="C66" s="53" t="n">
        <f aca="false">IFERROR(B66/COUNTA(Anforderungen!$B$7:$B$2000),0)</f>
        <v>0.876266280752533</v>
      </c>
      <c r="D66" s="48"/>
      <c r="E66" s="48"/>
      <c r="F66" s="48"/>
      <c r="G66" s="48"/>
    </row>
    <row r="67" customFormat="false" ht="15" hidden="false" customHeight="true" outlineLevel="0" collapsed="false">
      <c r="A67" s="51" t="s">
        <v>175</v>
      </c>
      <c r="B67" s="52" t="n">
        <f aca="false">COUNTIF(Anforderungen!$K$7:$K$2000,A67)</f>
        <v>3</v>
      </c>
      <c r="C67" s="53" t="n">
        <f aca="false">IFERROR(B67/COUNTA(Anforderungen!$B$7:$B$2000),0)</f>
        <v>0.00217076700434153</v>
      </c>
      <c r="D67" s="48"/>
      <c r="E67" s="48"/>
      <c r="F67" s="48"/>
      <c r="G67" s="48"/>
    </row>
    <row r="68" customFormat="false" ht="15" hidden="false" customHeight="true" outlineLevel="0" collapsed="false">
      <c r="A68" s="51" t="s">
        <v>167</v>
      </c>
      <c r="B68" s="52" t="n">
        <f aca="false">COUNTIF(Anforderungen!$K$7:$K$2000,A68)</f>
        <v>10</v>
      </c>
      <c r="C68" s="53" t="n">
        <f aca="false">IFERROR(B68/COUNTA(Anforderungen!$B$7:$B$2000),0)</f>
        <v>0.00723589001447178</v>
      </c>
      <c r="D68" s="48"/>
      <c r="E68" s="48"/>
      <c r="F68" s="48"/>
      <c r="G68" s="48"/>
    </row>
    <row r="69" customFormat="false" ht="15" hidden="false" customHeight="true" outlineLevel="0" collapsed="false">
      <c r="A69" s="51" t="s">
        <v>151</v>
      </c>
      <c r="B69" s="52" t="n">
        <f aca="false">COUNTIF(Anforderungen!$K$7:$K$2000,A69)</f>
        <v>158</v>
      </c>
      <c r="C69" s="53" t="n">
        <f aca="false">IFERROR(B69/COUNTA(Anforderungen!$B$7:$B$2000),0)</f>
        <v>0.114327062228654</v>
      </c>
      <c r="D69" s="48"/>
      <c r="E69" s="48"/>
      <c r="F69" s="48"/>
      <c r="G69" s="48"/>
    </row>
    <row r="70" customFormat="false" ht="15" hidden="false" customHeight="true" outlineLevel="0" collapsed="false">
      <c r="A70" s="48"/>
      <c r="B70" s="48"/>
      <c r="C70" s="56"/>
      <c r="D70" s="48"/>
      <c r="E70" s="48"/>
      <c r="F70" s="48"/>
      <c r="G70" s="48"/>
    </row>
    <row r="71" customFormat="false" ht="15" hidden="false" customHeight="true" outlineLevel="0" collapsed="false">
      <c r="A71" s="49" t="s">
        <v>6248</v>
      </c>
      <c r="B71" s="49"/>
      <c r="C71" s="49"/>
      <c r="D71" s="49"/>
      <c r="E71" s="49"/>
      <c r="F71" s="49"/>
      <c r="G71" s="49"/>
    </row>
    <row r="72" customFormat="false" ht="26.25" hidden="false" customHeight="true" outlineLevel="0" collapsed="false">
      <c r="A72" s="50" t="s">
        <v>6249</v>
      </c>
      <c r="B72" s="50" t="s">
        <v>6246</v>
      </c>
      <c r="C72" s="50" t="s">
        <v>6250</v>
      </c>
      <c r="D72" s="48"/>
      <c r="E72" s="48"/>
      <c r="F72" s="48"/>
      <c r="G72" s="48"/>
    </row>
    <row r="73" customFormat="false" ht="26.25" hidden="false" customHeight="true" outlineLevel="0" collapsed="false">
      <c r="A73" s="51" t="s">
        <v>6251</v>
      </c>
      <c r="B73" s="52" t="n">
        <f aca="false">COUNTIFS(Anforderungen!$K$7:$K$2000,"erfüllt",Anforderungen!$L$7:$L$2000,"&lt;&gt;",Anforderungen!$M$7:$M$2000,"&lt;&gt;")</f>
        <v>10</v>
      </c>
      <c r="C73" s="51" t="s">
        <v>6252</v>
      </c>
      <c r="D73" s="57"/>
      <c r="E73" s="48"/>
      <c r="F73" s="48"/>
      <c r="G73" s="48"/>
    </row>
    <row r="74" customFormat="false" ht="39" hidden="false" customHeight="true" outlineLevel="0" collapsed="false">
      <c r="A74" s="51" t="s">
        <v>11</v>
      </c>
      <c r="B74" s="52" t="n">
        <f aca="false">COUNTIFS(Anforderungen!$K$7:$K$2000,"erfüllt",Anforderungen!$L$7:$L$2000,"")</f>
        <v>0</v>
      </c>
      <c r="C74" s="51" t="s">
        <v>6253</v>
      </c>
      <c r="D74" s="48"/>
      <c r="E74" s="48"/>
      <c r="F74" s="48"/>
      <c r="G74" s="48"/>
    </row>
    <row r="75" customFormat="false" ht="39" hidden="false" customHeight="true" outlineLevel="0" collapsed="false">
      <c r="A75" s="51" t="s">
        <v>12</v>
      </c>
      <c r="B75" s="52" t="n">
        <f aca="false">COUNTIFS(Anforderungen!$K$7:$K$2000,"erfüllt",Anforderungen!$M$7:$M$2000,"")</f>
        <v>0</v>
      </c>
      <c r="C75" s="51" t="s">
        <v>6254</v>
      </c>
      <c r="D75" s="48"/>
      <c r="E75" s="48"/>
      <c r="F75" s="48"/>
      <c r="G75" s="48"/>
    </row>
    <row r="76" customFormat="false" ht="39" hidden="false" customHeight="true" outlineLevel="0" collapsed="false">
      <c r="A76" s="51" t="s">
        <v>13</v>
      </c>
      <c r="B76" s="52" t="n">
        <f aca="false">COUNTIFS(Anforderungen!$K$7:$K$2000,"trifft nicht zu",Anforderungen!$M$7:$M$2000,"")</f>
        <v>2</v>
      </c>
      <c r="C76" s="51" t="s">
        <v>6255</v>
      </c>
      <c r="D76" s="48"/>
      <c r="E76" s="48"/>
      <c r="F76" s="48"/>
      <c r="G76" s="48"/>
    </row>
    <row r="77" customFormat="false" ht="39" hidden="false" customHeight="true" outlineLevel="0" collapsed="false">
      <c r="A77" s="51" t="s">
        <v>6256</v>
      </c>
      <c r="B77" s="52" t="n">
        <f aca="false">COUNTA(Anforderungen!$B$7:$B$2000)-COUNTIF(Anforderungen!$K$7:$K$2000,"trifft nicht zu")</f>
        <v>1224</v>
      </c>
      <c r="C77" s="51" t="s">
        <v>6257</v>
      </c>
      <c r="D77" s="48"/>
      <c r="E77" s="48"/>
      <c r="F77" s="48"/>
      <c r="G77" s="48"/>
    </row>
    <row r="78" customFormat="false" ht="39" hidden="false" customHeight="true" outlineLevel="0" collapsed="false">
      <c r="A78" s="51" t="s">
        <v>6258</v>
      </c>
      <c r="B78" s="52" t="n">
        <f aca="false">COUNTIF(Anforderungen!$J$7:$J$2000,"Zuordnung prüfen")</f>
        <v>230</v>
      </c>
      <c r="C78" s="51" t="s">
        <v>6259</v>
      </c>
      <c r="D78" s="48"/>
      <c r="E78" s="48"/>
      <c r="F78" s="48"/>
      <c r="G78" s="48"/>
    </row>
    <row r="79" customFormat="false" ht="26.25" hidden="false" customHeight="true" outlineLevel="0" collapsed="false">
      <c r="A79" s="51" t="s">
        <v>6260</v>
      </c>
      <c r="B79" s="52" t="n">
        <f aca="false">COUNTIF(Anforderungen!$I$7:$I$2000,"Zuordnung prüfen")</f>
        <v>230</v>
      </c>
      <c r="C79" s="51" t="s">
        <v>6261</v>
      </c>
      <c r="D79" s="48"/>
      <c r="E79" s="48"/>
      <c r="F79" s="48"/>
      <c r="G79" s="48"/>
    </row>
    <row r="80" customFormat="false" ht="15" hidden="false" customHeight="true" outlineLevel="0" collapsed="false">
      <c r="A80" s="48"/>
      <c r="B80" s="48"/>
      <c r="C80" s="56"/>
      <c r="D80" s="48"/>
      <c r="E80" s="48"/>
      <c r="F80" s="48"/>
      <c r="G80" s="48"/>
    </row>
    <row r="81" customFormat="false" ht="15" hidden="false" customHeight="true" outlineLevel="0" collapsed="false">
      <c r="A81" s="48"/>
      <c r="B81" s="48"/>
      <c r="C81" s="48"/>
      <c r="D81" s="48"/>
      <c r="E81" s="48"/>
      <c r="F81" s="48"/>
      <c r="G81" s="48"/>
    </row>
    <row r="82" customFormat="false" ht="15" hidden="false" customHeight="true" outlineLevel="0" collapsed="false">
      <c r="A82" s="48"/>
      <c r="B82" s="48"/>
      <c r="C82" s="48"/>
      <c r="D82" s="48"/>
      <c r="E82" s="48"/>
      <c r="F82" s="48"/>
      <c r="G82" s="48"/>
    </row>
    <row r="83" customFormat="false" ht="15" hidden="false" customHeight="true" outlineLevel="0" collapsed="false">
      <c r="A83" s="57"/>
      <c r="B83" s="57"/>
      <c r="C83" s="57"/>
      <c r="D83" s="57"/>
      <c r="E83" s="48"/>
      <c r="F83" s="48"/>
      <c r="G83" s="48"/>
    </row>
    <row r="84" customFormat="false" ht="15" hidden="false" customHeight="true" outlineLevel="0" collapsed="false">
      <c r="A84" s="58"/>
      <c r="B84" s="58"/>
      <c r="C84" s="58"/>
      <c r="D84" s="48"/>
      <c r="E84" s="48"/>
      <c r="F84" s="48"/>
      <c r="G84" s="48"/>
    </row>
    <row r="85" customFormat="false" ht="15" hidden="false" customHeight="true" outlineLevel="0" collapsed="false">
      <c r="A85" s="48"/>
      <c r="B85" s="48"/>
      <c r="C85" s="56"/>
      <c r="D85" s="48"/>
      <c r="E85" s="48"/>
      <c r="F85" s="48"/>
      <c r="G85" s="48"/>
    </row>
    <row r="86" customFormat="false" ht="15" hidden="false" customHeight="true" outlineLevel="0" collapsed="false">
      <c r="A86" s="48"/>
      <c r="B86" s="48"/>
      <c r="C86" s="56"/>
      <c r="D86" s="48"/>
      <c r="E86" s="48"/>
      <c r="F86" s="48"/>
      <c r="G86" s="48"/>
    </row>
    <row r="87" customFormat="false" ht="15" hidden="false" customHeight="true" outlineLevel="0" collapsed="false">
      <c r="A87" s="48"/>
      <c r="B87" s="48"/>
      <c r="C87" s="56"/>
      <c r="D87" s="48"/>
      <c r="E87" s="48"/>
      <c r="F87" s="48"/>
      <c r="G87" s="48"/>
    </row>
    <row r="88" customFormat="false" ht="15" hidden="false" customHeight="true" outlineLevel="0" collapsed="false">
      <c r="A88" s="48"/>
      <c r="B88" s="48"/>
      <c r="C88" s="56"/>
      <c r="D88" s="48"/>
      <c r="E88" s="48"/>
      <c r="F88" s="48"/>
      <c r="G88" s="48"/>
    </row>
    <row r="89" customFormat="false" ht="15" hidden="false" customHeight="true" outlineLevel="0" collapsed="false">
      <c r="A89" s="48"/>
      <c r="B89" s="48"/>
      <c r="C89" s="56"/>
      <c r="D89" s="48"/>
      <c r="E89" s="48"/>
      <c r="F89" s="48"/>
      <c r="G89" s="48"/>
    </row>
    <row r="90" customFormat="false" ht="15" hidden="false" customHeight="true" outlineLevel="0" collapsed="false">
      <c r="A90" s="48"/>
      <c r="B90" s="48"/>
      <c r="C90" s="56"/>
      <c r="D90" s="48"/>
      <c r="E90" s="48"/>
      <c r="F90" s="48"/>
      <c r="G90" s="48"/>
    </row>
    <row r="91" customFormat="false" ht="15" hidden="false" customHeight="true" outlineLevel="0" collapsed="false">
      <c r="C91" s="59"/>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{BAA054F1-D069-4141-A357-7C6387177F87}</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{DEAFBA99-6B7B-40C9-8088-34E530B79060}</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{A8695E38-C232-4B12-8764-31461570BEFF}</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{CB412797-19F2-4190-9E2D-5929C1655860}</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AA054F1-D069-4141-A357-7C6387177F87}">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DEAFBA99-6B7B-40C9-8088-34E530B79060}">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A8695E38-C232-4B12-8764-31461570BEFF}">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CB412797-19F2-4190-9E2D-5929C1655860}">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60" t="s">
        <v>6262</v>
      </c>
      <c r="B1" s="48"/>
      <c r="C1" s="48"/>
      <c r="D1" s="48"/>
      <c r="E1" s="48"/>
      <c r="F1" s="48"/>
      <c r="G1" s="48"/>
      <c r="H1" s="48"/>
      <c r="I1" s="48"/>
      <c r="J1" s="48"/>
      <c r="K1" s="48"/>
    </row>
    <row r="2" customFormat="false" ht="27.75" hidden="false" customHeight="true" outlineLevel="0" collapsed="false">
      <c r="A2" s="61" t="s">
        <v>6263</v>
      </c>
      <c r="B2" s="61"/>
      <c r="C2" s="61"/>
      <c r="D2" s="61"/>
      <c r="E2" s="61"/>
      <c r="F2" s="61"/>
      <c r="G2" s="61"/>
      <c r="H2" s="61"/>
      <c r="I2" s="61"/>
      <c r="J2" s="61"/>
      <c r="K2" s="61"/>
    </row>
    <row r="3" customFormat="false" ht="27.75" hidden="false" customHeight="true" outlineLevel="0" collapsed="false">
      <c r="A3" s="62" t="s">
        <v>6264</v>
      </c>
      <c r="B3" s="62"/>
      <c r="C3" s="62"/>
      <c r="D3" s="62"/>
      <c r="E3" s="62"/>
      <c r="F3" s="62"/>
      <c r="G3" s="62"/>
      <c r="H3" s="62"/>
      <c r="I3" s="62"/>
      <c r="J3" s="62"/>
      <c r="K3" s="62"/>
    </row>
    <row r="4" customFormat="false" ht="15" hidden="false" customHeight="true" outlineLevel="0" collapsed="false">
      <c r="A4" s="48"/>
      <c r="B4" s="48"/>
      <c r="C4" s="48"/>
      <c r="D4" s="48"/>
      <c r="E4" s="48"/>
      <c r="F4" s="48"/>
      <c r="G4" s="48"/>
      <c r="H4" s="48"/>
      <c r="I4" s="48"/>
      <c r="J4" s="48"/>
      <c r="K4" s="48"/>
    </row>
    <row r="5" customFormat="false" ht="31.5" hidden="false" customHeight="true" outlineLevel="0" collapsed="false">
      <c r="A5" s="63" t="s">
        <v>6265</v>
      </c>
      <c r="B5" s="63" t="s">
        <v>32</v>
      </c>
      <c r="C5" s="63" t="s">
        <v>6266</v>
      </c>
      <c r="D5" s="63" t="s">
        <v>6229</v>
      </c>
      <c r="E5" s="63" t="s">
        <v>6246</v>
      </c>
      <c r="F5" s="63" t="s">
        <v>47</v>
      </c>
      <c r="G5" s="63" t="s">
        <v>175</v>
      </c>
      <c r="H5" s="63" t="s">
        <v>167</v>
      </c>
      <c r="I5" s="63" t="s">
        <v>151</v>
      </c>
      <c r="J5" s="63" t="s">
        <v>34</v>
      </c>
      <c r="K5" s="63" t="s">
        <v>6267</v>
      </c>
      <c r="N5" s="64" t="s">
        <v>32</v>
      </c>
    </row>
    <row r="6" customFormat="false" ht="30" hidden="false" customHeight="true" outlineLevel="0" collapsed="false">
      <c r="A6" s="65" t="s">
        <v>6268</v>
      </c>
      <c r="B6" s="65" t="s">
        <v>158</v>
      </c>
      <c r="C6" s="65" t="s">
        <v>6229</v>
      </c>
      <c r="D6" s="65" t="s">
        <v>159</v>
      </c>
      <c r="E6" s="66" t="n">
        <f aca="false">IF($D6="","",SUMPRODUCT(ISNUMBER(SEARCH($D6,Anforderungen!$J$7:$J$2000))*(Anforderungen!$B$7:$B$2000&lt;&gt;"")))</f>
        <v>171</v>
      </c>
      <c r="F6" s="66" t="n">
        <f aca="false">IF($D6="","",SUMPRODUCT(ISNUMBER(SEARCH($D6,Anforderungen!$J$7:$J$2000))*(Anforderungen!$K$7:$K$2000="erfasst")))</f>
        <v>153</v>
      </c>
      <c r="G6" s="66" t="n">
        <f aca="false">IF($D6="","",SUMPRODUCT(ISNUMBER(SEARCH($D6,Anforderungen!$J$7:$J$2000))*(Anforderungen!$K$7:$K$2000="bewertet")))</f>
        <v>0</v>
      </c>
      <c r="H6" s="66" t="n">
        <f aca="false">IF($D6="","",SUMPRODUCT(ISNUMBER(SEARCH($D6,Anforderungen!$J$7:$J$2000))*(Anforderungen!$K$7:$K$2000="erfüllt")))</f>
        <v>0</v>
      </c>
      <c r="I6" s="66" t="n">
        <f aca="false">IF($D6="","",SUMPRODUCT(ISNUMBER(SEARCH($D6,Anforderungen!$J$7:$J$2000))*(Anforderungen!$K$7:$K$2000="trifft nicht zu")))</f>
        <v>18</v>
      </c>
      <c r="J6" s="67" t="str">
        <f aca="false">IF($D6="","",IF($E6=0,"keine Anforderungen",IF($F6&gt;0,"erfasst",IF($G6&gt;0,"bewertet",IF($H6&gt;0,"erfüllt","trifft nicht zu")))))</f>
        <v>erfasst</v>
      </c>
      <c r="K6" s="68"/>
      <c r="N6" s="69" t="s">
        <v>158</v>
      </c>
    </row>
    <row r="7" customFormat="false" ht="30" hidden="false" customHeight="true" outlineLevel="0" collapsed="false">
      <c r="A7" s="65" t="s">
        <v>6232</v>
      </c>
      <c r="B7" s="65" t="s">
        <v>45</v>
      </c>
      <c r="C7" s="65" t="s">
        <v>6229</v>
      </c>
      <c r="D7" s="65" t="s">
        <v>70</v>
      </c>
      <c r="E7" s="66" t="n">
        <f aca="false">IF($D7="","",SUMPRODUCT(ISNUMBER(SEARCH($D7,Anforderungen!$J$7:$J$2000))*(Anforderungen!$B$7:$B$2000&lt;&gt;"")))</f>
        <v>50</v>
      </c>
      <c r="F7" s="66" t="n">
        <f aca="false">IF($D7="","",SUMPRODUCT(ISNUMBER(SEARCH($D7,Anforderungen!$J$7:$J$2000))*(Anforderungen!$K$7:$K$2000="erfasst")))</f>
        <v>48</v>
      </c>
      <c r="G7" s="66" t="n">
        <f aca="false">IF($D7="","",SUMPRODUCT(ISNUMBER(SEARCH($D7,Anforderungen!$J$7:$J$2000))*(Anforderungen!$K$7:$K$2000="bewertet")))</f>
        <v>0</v>
      </c>
      <c r="H7" s="66" t="n">
        <f aca="false">IF($D7="","",SUMPRODUCT(ISNUMBER(SEARCH($D7,Anforderungen!$J$7:$J$2000))*(Anforderungen!$K$7:$K$2000="erfüllt")))</f>
        <v>0</v>
      </c>
      <c r="I7" s="66" t="n">
        <f aca="false">IF($D7="","",SUMPRODUCT(ISNUMBER(SEARCH($D7,Anforderungen!$J$7:$J$2000))*(Anforderungen!$K$7:$K$2000="trifft nicht zu")))</f>
        <v>2</v>
      </c>
      <c r="J7" s="67" t="str">
        <f aca="false">IF($D7="","",IF($E7=0,"keine Anforderungen",IF($F7&gt;0,"erfasst",IF($G7&gt;0,"bewertet",IF($H7&gt;0,"erfüllt","trifft nicht zu")))))</f>
        <v>erfasst</v>
      </c>
      <c r="K7" s="68"/>
      <c r="N7" s="69" t="s">
        <v>45</v>
      </c>
    </row>
    <row r="8" customFormat="false" ht="30" hidden="false" customHeight="true" outlineLevel="0" collapsed="false">
      <c r="A8" s="65" t="s">
        <v>6232</v>
      </c>
      <c r="B8" s="65" t="s">
        <v>45</v>
      </c>
      <c r="C8" s="65" t="s">
        <v>6229</v>
      </c>
      <c r="D8" s="65" t="s">
        <v>265</v>
      </c>
      <c r="E8" s="66" t="n">
        <f aca="false">IF($D8="","",SUMPRODUCT(ISNUMBER(SEARCH($D8,Anforderungen!$J$7:$J$2000))*(Anforderungen!$B$7:$B$2000&lt;&gt;"")))</f>
        <v>66</v>
      </c>
      <c r="F8" s="66" t="n">
        <f aca="false">IF($D8="","",SUMPRODUCT(ISNUMBER(SEARCH($D8,Anforderungen!$J$7:$J$2000))*(Anforderungen!$K$7:$K$2000="erfasst")))</f>
        <v>60</v>
      </c>
      <c r="G8" s="66" t="n">
        <f aca="false">IF($D8="","",SUMPRODUCT(ISNUMBER(SEARCH($D8,Anforderungen!$J$7:$J$2000))*(Anforderungen!$K$7:$K$2000="bewertet")))</f>
        <v>0</v>
      </c>
      <c r="H8" s="66" t="n">
        <f aca="false">IF($D8="","",SUMPRODUCT(ISNUMBER(SEARCH($D8,Anforderungen!$J$7:$J$2000))*(Anforderungen!$K$7:$K$2000="erfüllt")))</f>
        <v>2</v>
      </c>
      <c r="I8" s="66" t="n">
        <f aca="false">IF($D8="","",SUMPRODUCT(ISNUMBER(SEARCH($D8,Anforderungen!$J$7:$J$2000))*(Anforderungen!$K$7:$K$2000="trifft nicht zu")))</f>
        <v>4</v>
      </c>
      <c r="J8" s="67" t="str">
        <f aca="false">IF($D8="","",IF($E8=0,"keine Anforderungen",IF($F8&gt;0,"erfasst",IF($G8&gt;0,"bewertet",IF($H8&gt;0,"erfüllt","trifft nicht zu")))))</f>
        <v>erfasst</v>
      </c>
      <c r="K8" s="68"/>
      <c r="N8" s="69" t="s">
        <v>301</v>
      </c>
    </row>
    <row r="9" customFormat="false" ht="30" hidden="false" customHeight="true" outlineLevel="0" collapsed="false">
      <c r="A9" s="65" t="s">
        <v>6232</v>
      </c>
      <c r="B9" s="65" t="s">
        <v>45</v>
      </c>
      <c r="C9" s="65" t="s">
        <v>6229</v>
      </c>
      <c r="D9" s="65" t="s">
        <v>274</v>
      </c>
      <c r="E9" s="66" t="n">
        <f aca="false">IF($D9="","",SUMPRODUCT(ISNUMBER(SEARCH($D9,Anforderungen!$J$7:$J$2000))*(Anforderungen!$B$7:$B$2000&lt;&gt;"")))</f>
        <v>44</v>
      </c>
      <c r="F9" s="66" t="n">
        <f aca="false">IF($D9="","",SUMPRODUCT(ISNUMBER(SEARCH($D9,Anforderungen!$J$7:$J$2000))*(Anforderungen!$K$7:$K$2000="erfasst")))</f>
        <v>44</v>
      </c>
      <c r="G9" s="66" t="n">
        <f aca="false">IF($D9="","",SUMPRODUCT(ISNUMBER(SEARCH($D9,Anforderungen!$J$7:$J$2000))*(Anforderungen!$K$7:$K$2000="bewertet")))</f>
        <v>0</v>
      </c>
      <c r="H9" s="66" t="n">
        <f aca="false">IF($D9="","",SUMPRODUCT(ISNUMBER(SEARCH($D9,Anforderungen!$J$7:$J$2000))*(Anforderungen!$K$7:$K$2000="erfüllt")))</f>
        <v>0</v>
      </c>
      <c r="I9" s="66" t="n">
        <f aca="false">IF($D9="","",SUMPRODUCT(ISNUMBER(SEARCH($D9,Anforderungen!$J$7:$J$2000))*(Anforderungen!$K$7:$K$2000="trifft nicht zu")))</f>
        <v>0</v>
      </c>
      <c r="J9" s="67" t="str">
        <f aca="false">IF($D9="","",IF($E9=0,"keine Anforderungen",IF($F9&gt;0,"erfasst",IF($G9&gt;0,"bewertet",IF($H9&gt;0,"erfüllt","trifft nicht zu")))))</f>
        <v>erfasst</v>
      </c>
      <c r="K9" s="68"/>
      <c r="N9" s="69" t="s">
        <v>290</v>
      </c>
    </row>
    <row r="10" customFormat="false" ht="30" hidden="false" customHeight="true" outlineLevel="0" collapsed="false">
      <c r="A10" s="65" t="s">
        <v>6232</v>
      </c>
      <c r="B10" s="65" t="s">
        <v>45</v>
      </c>
      <c r="C10" s="65" t="s">
        <v>6229</v>
      </c>
      <c r="D10" s="65" t="s">
        <v>46</v>
      </c>
      <c r="E10" s="66" t="n">
        <f aca="false">IF($D10="","",SUMPRODUCT(ISNUMBER(SEARCH($D10,Anforderungen!$J$7:$J$2000))*(Anforderungen!$B$7:$B$2000&lt;&gt;"")))</f>
        <v>102</v>
      </c>
      <c r="F10" s="66" t="n">
        <f aca="false">IF($D10="","",SUMPRODUCT(ISNUMBER(SEARCH($D10,Anforderungen!$J$7:$J$2000))*(Anforderungen!$K$7:$K$2000="erfasst")))</f>
        <v>98</v>
      </c>
      <c r="G10" s="66" t="n">
        <f aca="false">IF($D10="","",SUMPRODUCT(ISNUMBER(SEARCH($D10,Anforderungen!$J$7:$J$2000))*(Anforderungen!$K$7:$K$2000="bewertet")))</f>
        <v>0</v>
      </c>
      <c r="H10" s="66" t="n">
        <f aca="false">IF($D10="","",SUMPRODUCT(ISNUMBER(SEARCH($D10,Anforderungen!$J$7:$J$2000))*(Anforderungen!$K$7:$K$2000="erfüllt")))</f>
        <v>1</v>
      </c>
      <c r="I10" s="66" t="n">
        <f aca="false">IF($D10="","",SUMPRODUCT(ISNUMBER(SEARCH($D10,Anforderungen!$J$7:$J$2000))*(Anforderungen!$K$7:$K$2000="trifft nicht zu")))</f>
        <v>3</v>
      </c>
      <c r="J10" s="67" t="str">
        <f aca="false">IF($D10="","",IF($E10=0,"keine Anforderungen",IF($F10&gt;0,"erfasst",IF($G10&gt;0,"bewertet",IF($H10&gt;0,"erfüllt","trifft nicht zu")))))</f>
        <v>erfasst</v>
      </c>
      <c r="K10" s="68"/>
      <c r="N10" s="69" t="s">
        <v>85</v>
      </c>
    </row>
    <row r="11" customFormat="false" ht="30" hidden="false" customHeight="true" outlineLevel="0" collapsed="false">
      <c r="A11" s="65" t="s">
        <v>6269</v>
      </c>
      <c r="B11" s="65" t="s">
        <v>301</v>
      </c>
      <c r="C11" s="65" t="s">
        <v>6229</v>
      </c>
      <c r="D11" s="65" t="s">
        <v>56</v>
      </c>
      <c r="E11" s="66" t="n">
        <f aca="false">IF($D11="","",SUMPRODUCT(ISNUMBER(SEARCH($D11,Anforderungen!$J$7:$J$2000))*(Anforderungen!$B$7:$B$2000&lt;&gt;"")))</f>
        <v>3</v>
      </c>
      <c r="F11" s="66" t="n">
        <f aca="false">IF($D11="","",SUMPRODUCT(ISNUMBER(SEARCH($D11,Anforderungen!$J$7:$J$2000))*(Anforderungen!$K$7:$K$2000="erfasst")))</f>
        <v>2</v>
      </c>
      <c r="G11" s="66" t="n">
        <f aca="false">IF($D11="","",SUMPRODUCT(ISNUMBER(SEARCH($D11,Anforderungen!$J$7:$J$2000))*(Anforderungen!$K$7:$K$2000="bewertet")))</f>
        <v>1</v>
      </c>
      <c r="H11" s="66" t="n">
        <f aca="false">IF($D11="","",SUMPRODUCT(ISNUMBER(SEARCH($D11,Anforderungen!$J$7:$J$2000))*(Anforderungen!$K$7:$K$2000="erfüllt")))</f>
        <v>0</v>
      </c>
      <c r="I11" s="66" t="n">
        <f aca="false">IF($D11="","",SUMPRODUCT(ISNUMBER(SEARCH($D11,Anforderungen!$J$7:$J$2000))*(Anforderungen!$K$7:$K$2000="trifft nicht zu")))</f>
        <v>0</v>
      </c>
      <c r="J11" s="67" t="str">
        <f aca="false">IF($D11="","",IF($E11=0,"keine Anforderungen",IF($F11&gt;0,"erfasst",IF($G11&gt;0,"bewertet",IF($H11&gt;0,"erfüllt","trifft nicht zu")))))</f>
        <v>erfasst</v>
      </c>
      <c r="K11" s="68"/>
      <c r="N11" s="70" t="s">
        <v>6232</v>
      </c>
    </row>
    <row r="12" customFormat="false" ht="30" hidden="false" customHeight="true" outlineLevel="0" collapsed="false">
      <c r="A12" s="65" t="s">
        <v>6269</v>
      </c>
      <c r="B12" s="65" t="s">
        <v>301</v>
      </c>
      <c r="C12" s="65" t="s">
        <v>6229</v>
      </c>
      <c r="D12" s="65" t="s">
        <v>301</v>
      </c>
      <c r="E12" s="66" t="n">
        <f aca="false">IF($D12="","",SUMPRODUCT(ISNUMBER(SEARCH($D12,Anforderungen!$J$7:$J$2000))*(Anforderungen!$B$7:$B$2000&lt;&gt;"")))</f>
        <v>12</v>
      </c>
      <c r="F12" s="66" t="n">
        <f aca="false">IF($D12="","",SUMPRODUCT(ISNUMBER(SEARCH($D12,Anforderungen!$J$7:$J$2000))*(Anforderungen!$K$7:$K$2000="erfasst")))</f>
        <v>12</v>
      </c>
      <c r="G12" s="66" t="n">
        <f aca="false">IF($D12="","",SUMPRODUCT(ISNUMBER(SEARCH($D12,Anforderungen!$J$7:$J$2000))*(Anforderungen!$K$7:$K$2000="bewertet")))</f>
        <v>0</v>
      </c>
      <c r="H12" s="66" t="n">
        <f aca="false">IF($D12="","",SUMPRODUCT(ISNUMBER(SEARCH($D12,Anforderungen!$J$7:$J$2000))*(Anforderungen!$K$7:$K$2000="erfüllt")))</f>
        <v>0</v>
      </c>
      <c r="I12" s="66" t="n">
        <f aca="false">IF($D12="","",SUMPRODUCT(ISNUMBER(SEARCH($D12,Anforderungen!$J$7:$J$2000))*(Anforderungen!$K$7:$K$2000="trifft nicht zu")))</f>
        <v>0</v>
      </c>
      <c r="J12" s="67" t="str">
        <f aca="false">IF($D12="","",IF($E12=0,"keine Anforderungen",IF($F12&gt;0,"erfasst",IF($G12&gt;0,"bewertet",IF($H12&gt;0,"erfüllt","trifft nicht zu")))))</f>
        <v>erfasst</v>
      </c>
      <c r="K12" s="68"/>
      <c r="N12" s="69" t="s">
        <v>174</v>
      </c>
    </row>
    <row r="13" customFormat="false" ht="30" hidden="false" customHeight="true" outlineLevel="0" collapsed="false">
      <c r="A13" s="65" t="s">
        <v>6269</v>
      </c>
      <c r="B13" s="65" t="s">
        <v>290</v>
      </c>
      <c r="C13" s="65" t="s">
        <v>6229</v>
      </c>
      <c r="D13" s="65" t="s">
        <v>225</v>
      </c>
      <c r="E13" s="66" t="n">
        <f aca="false">IF($D13="","",SUMPRODUCT(ISNUMBER(SEARCH($D13,Anforderungen!$J$7:$J$2000))*(Anforderungen!$B$7:$B$2000&lt;&gt;"")))</f>
        <v>5</v>
      </c>
      <c r="F13" s="66" t="n">
        <f aca="false">IF($D13="","",SUMPRODUCT(ISNUMBER(SEARCH($D13,Anforderungen!$J$7:$J$2000))*(Anforderungen!$K$7:$K$2000="erfasst")))</f>
        <v>4</v>
      </c>
      <c r="G13" s="66" t="n">
        <f aca="false">IF($D13="","",SUMPRODUCT(ISNUMBER(SEARCH($D13,Anforderungen!$J$7:$J$2000))*(Anforderungen!$K$7:$K$2000="bewertet")))</f>
        <v>0</v>
      </c>
      <c r="H13" s="66" t="n">
        <f aca="false">IF($D13="","",SUMPRODUCT(ISNUMBER(SEARCH($D13,Anforderungen!$J$7:$J$2000))*(Anforderungen!$K$7:$K$2000="erfüllt")))</f>
        <v>1</v>
      </c>
      <c r="I13" s="66" t="n">
        <f aca="false">IF($D13="","",SUMPRODUCT(ISNUMBER(SEARCH($D13,Anforderungen!$J$7:$J$2000))*(Anforderungen!$K$7:$K$2000="trifft nicht zu")))</f>
        <v>0</v>
      </c>
      <c r="J13" s="67" t="str">
        <f aca="false">IF($D13="","",IF($E13=0,"keine Anforderungen",IF($F13&gt;0,"erfasst",IF($G13&gt;0,"bewertet",IF($H13&gt;0,"erfüllt","trifft nicht zu")))))</f>
        <v>erfasst</v>
      </c>
      <c r="K13" s="68"/>
      <c r="N13" s="71" t="s">
        <v>98</v>
      </c>
    </row>
    <row r="14" customFormat="false" ht="30" hidden="false" customHeight="true" outlineLevel="0" collapsed="false">
      <c r="A14" s="65" t="s">
        <v>6269</v>
      </c>
      <c r="B14" s="65" t="s">
        <v>290</v>
      </c>
      <c r="C14" s="65" t="s">
        <v>6229</v>
      </c>
      <c r="D14" s="65" t="s">
        <v>194</v>
      </c>
      <c r="E14" s="66" t="n">
        <f aca="false">IF($D14="","",SUMPRODUCT(ISNUMBER(SEARCH($D14,Anforderungen!$J$7:$J$2000))*(Anforderungen!$B$7:$B$2000&lt;&gt;"")))</f>
        <v>12</v>
      </c>
      <c r="F14" s="66" t="n">
        <f aca="false">IF($D14="","",SUMPRODUCT(ISNUMBER(SEARCH($D14,Anforderungen!$J$7:$J$2000))*(Anforderungen!$K$7:$K$2000="erfasst")))</f>
        <v>10</v>
      </c>
      <c r="G14" s="66" t="n">
        <f aca="false">IF($D14="","",SUMPRODUCT(ISNUMBER(SEARCH($D14,Anforderungen!$J$7:$J$2000))*(Anforderungen!$K$7:$K$2000="bewertet")))</f>
        <v>0</v>
      </c>
      <c r="H14" s="66" t="n">
        <f aca="false">IF($D14="","",SUMPRODUCT(ISNUMBER(SEARCH($D14,Anforderungen!$J$7:$J$2000))*(Anforderungen!$K$7:$K$2000="erfüllt")))</f>
        <v>2</v>
      </c>
      <c r="I14" s="66" t="n">
        <f aca="false">IF($D14="","",SUMPRODUCT(ISNUMBER(SEARCH($D14,Anforderungen!$J$7:$J$2000))*(Anforderungen!$K$7:$K$2000="trifft nicht zu")))</f>
        <v>0</v>
      </c>
      <c r="J14" s="67" t="str">
        <f aca="false">IF($D14="","",IF($E14=0,"keine Anforderungen",IF($F14&gt;0,"erfasst",IF($G14&gt;0,"bewertet",IF($H14&gt;0,"erfüllt","trifft nicht zu")))))</f>
        <v>erfasst</v>
      </c>
      <c r="K14" s="68"/>
      <c r="N14" s="69" t="s">
        <v>229</v>
      </c>
    </row>
    <row r="15" customFormat="false" ht="30" hidden="false" customHeight="true" outlineLevel="0" collapsed="false">
      <c r="A15" s="65" t="s">
        <v>6269</v>
      </c>
      <c r="B15" s="65" t="s">
        <v>290</v>
      </c>
      <c r="C15" s="65" t="s">
        <v>6229</v>
      </c>
      <c r="D15" s="65" t="s">
        <v>3408</v>
      </c>
      <c r="E15" s="66" t="n">
        <f aca="false">IF($D15="","",SUMPRODUCT(ISNUMBER(SEARCH($D15,Anforderungen!$J$7:$J$2000))*(Anforderungen!$B$7:$B$2000&lt;&gt;"")))</f>
        <v>8</v>
      </c>
      <c r="F15" s="66" t="n">
        <f aca="false">IF($D15="","",SUMPRODUCT(ISNUMBER(SEARCH($D15,Anforderungen!$J$7:$J$2000))*(Anforderungen!$K$7:$K$2000="erfasst")))</f>
        <v>7</v>
      </c>
      <c r="G15" s="66" t="n">
        <f aca="false">IF($D15="","",SUMPRODUCT(ISNUMBER(SEARCH($D15,Anforderungen!$J$7:$J$2000))*(Anforderungen!$K$7:$K$2000="bewertet")))</f>
        <v>0</v>
      </c>
      <c r="H15" s="66" t="n">
        <f aca="false">IF($D15="","",SUMPRODUCT(ISNUMBER(SEARCH($D15,Anforderungen!$J$7:$J$2000))*(Anforderungen!$K$7:$K$2000="erfüllt")))</f>
        <v>0</v>
      </c>
      <c r="I15" s="66" t="n">
        <f aca="false">IF($D15="","",SUMPRODUCT(ISNUMBER(SEARCH($D15,Anforderungen!$J$7:$J$2000))*(Anforderungen!$K$7:$K$2000="trifft nicht zu")))</f>
        <v>1</v>
      </c>
      <c r="J15" s="67" t="str">
        <f aca="false">IF($D15="","",IF($E15=0,"keine Anforderungen",IF($F15&gt;0,"erfasst",IF($G15&gt;0,"bewertet",IF($H15&gt;0,"erfüllt","trifft nicht zu")))))</f>
        <v>erfasst</v>
      </c>
      <c r="K15" s="68"/>
      <c r="N15" s="69" t="s">
        <v>200</v>
      </c>
    </row>
    <row r="16" customFormat="false" ht="30" hidden="false" customHeight="true" outlineLevel="0" collapsed="false">
      <c r="A16" s="65" t="s">
        <v>6269</v>
      </c>
      <c r="B16" s="65" t="s">
        <v>290</v>
      </c>
      <c r="C16" s="65" t="s">
        <v>6229</v>
      </c>
      <c r="D16" s="65" t="s">
        <v>808</v>
      </c>
      <c r="E16" s="66" t="n">
        <f aca="false">IF($D16="","",SUMPRODUCT(ISNUMBER(SEARCH($D16,Anforderungen!$J$7:$J$2000))*(Anforderungen!$B$7:$B$2000&lt;&gt;"")))</f>
        <v>35</v>
      </c>
      <c r="F16" s="66" t="n">
        <f aca="false">IF($D16="","",SUMPRODUCT(ISNUMBER(SEARCH($D16,Anforderungen!$J$7:$J$2000))*(Anforderungen!$K$7:$K$2000="erfasst")))</f>
        <v>34</v>
      </c>
      <c r="G16" s="66" t="n">
        <f aca="false">IF($D16="","",SUMPRODUCT(ISNUMBER(SEARCH($D16,Anforderungen!$J$7:$J$2000))*(Anforderungen!$K$7:$K$2000="bewertet")))</f>
        <v>0</v>
      </c>
      <c r="H16" s="66" t="n">
        <f aca="false">IF($D16="","",SUMPRODUCT(ISNUMBER(SEARCH($D16,Anforderungen!$J$7:$J$2000))*(Anforderungen!$K$7:$K$2000="erfüllt")))</f>
        <v>0</v>
      </c>
      <c r="I16" s="66" t="n">
        <f aca="false">IF($D16="","",SUMPRODUCT(ISNUMBER(SEARCH($D16,Anforderungen!$J$7:$J$2000))*(Anforderungen!$K$7:$K$2000="trifft nicht zu")))</f>
        <v>1</v>
      </c>
      <c r="J16" s="67" t="str">
        <f aca="false">IF($D16="","",IF($E16=0,"keine Anforderungen",IF($F16&gt;0,"erfasst",IF($G16&gt;0,"bewertet",IF($H16&gt;0,"erfüllt","trifft nicht zu")))))</f>
        <v>erfasst</v>
      </c>
      <c r="K16" s="68"/>
      <c r="N16" s="69"/>
    </row>
    <row r="17" customFormat="false" ht="30" hidden="false" customHeight="true" outlineLevel="0" collapsed="false">
      <c r="A17" s="65" t="s">
        <v>6269</v>
      </c>
      <c r="B17" s="65" t="s">
        <v>290</v>
      </c>
      <c r="C17" s="65" t="s">
        <v>6229</v>
      </c>
      <c r="D17" s="65" t="s">
        <v>84</v>
      </c>
      <c r="E17" s="66" t="n">
        <f aca="false">IF($D17="","",SUMPRODUCT(ISNUMBER(SEARCH($D17,Anforderungen!$J$7:$J$2000))*(Anforderungen!$B$7:$B$2000&lt;&gt;"")))</f>
        <v>25</v>
      </c>
      <c r="F17" s="66" t="n">
        <f aca="false">IF($D17="","",SUMPRODUCT(ISNUMBER(SEARCH($D17,Anforderungen!$J$7:$J$2000))*(Anforderungen!$K$7:$K$2000="erfasst")))</f>
        <v>20</v>
      </c>
      <c r="G17" s="66" t="n">
        <f aca="false">IF($D17="","",SUMPRODUCT(ISNUMBER(SEARCH($D17,Anforderungen!$J$7:$J$2000))*(Anforderungen!$K$7:$K$2000="bewertet")))</f>
        <v>0</v>
      </c>
      <c r="H17" s="66" t="n">
        <f aca="false">IF($D17="","",SUMPRODUCT(ISNUMBER(SEARCH($D17,Anforderungen!$J$7:$J$2000))*(Anforderungen!$K$7:$K$2000="erfüllt")))</f>
        <v>4</v>
      </c>
      <c r="I17" s="66" t="n">
        <f aca="false">IF($D17="","",SUMPRODUCT(ISNUMBER(SEARCH($D17,Anforderungen!$J$7:$J$2000))*(Anforderungen!$K$7:$K$2000="trifft nicht zu")))</f>
        <v>1</v>
      </c>
      <c r="J17" s="67" t="str">
        <f aca="false">IF($D17="","",IF($E17=0,"keine Anforderungen",IF($F17&gt;0,"erfasst",IF($G17&gt;0,"bewertet",IF($H17&gt;0,"erfüllt","trifft nicht zu")))))</f>
        <v>erfasst</v>
      </c>
      <c r="K17" s="68"/>
      <c r="N17" s="71"/>
    </row>
    <row r="18" customFormat="false" ht="30" hidden="false" customHeight="true" outlineLevel="0" collapsed="false">
      <c r="A18" s="65" t="s">
        <v>6270</v>
      </c>
      <c r="B18" s="65" t="s">
        <v>340</v>
      </c>
      <c r="C18" s="65" t="s">
        <v>6229</v>
      </c>
      <c r="D18" s="65" t="s">
        <v>341</v>
      </c>
      <c r="E18" s="66" t="n">
        <f aca="false">IF($D18="","",SUMPRODUCT(ISNUMBER(SEARCH($D18,Anforderungen!$J$7:$J$2000))*(Anforderungen!$B$7:$B$2000&lt;&gt;"")))</f>
        <v>11</v>
      </c>
      <c r="F18" s="66" t="n">
        <f aca="false">IF($D18="","",SUMPRODUCT(ISNUMBER(SEARCH($D18,Anforderungen!$J$7:$J$2000))*(Anforderungen!$K$7:$K$2000="erfasst")))</f>
        <v>9</v>
      </c>
      <c r="G18" s="66" t="n">
        <f aca="false">IF($D18="","",SUMPRODUCT(ISNUMBER(SEARCH($D18,Anforderungen!$J$7:$J$2000))*(Anforderungen!$K$7:$K$2000="bewertet")))</f>
        <v>0</v>
      </c>
      <c r="H18" s="66" t="n">
        <f aca="false">IF($D18="","",SUMPRODUCT(ISNUMBER(SEARCH($D18,Anforderungen!$J$7:$J$2000))*(Anforderungen!$K$7:$K$2000="erfüllt")))</f>
        <v>0</v>
      </c>
      <c r="I18" s="66" t="n">
        <f aca="false">IF($D18="","",SUMPRODUCT(ISNUMBER(SEARCH($D18,Anforderungen!$J$7:$J$2000))*(Anforderungen!$K$7:$K$2000="trifft nicht zu")))</f>
        <v>2</v>
      </c>
      <c r="J18" s="67" t="str">
        <f aca="false">IF($D18="","",IF($E18=0,"keine Anforderungen",IF($F18&gt;0,"erfasst",IF($G18&gt;0,"bewertet",IF($H18&gt;0,"erfüllt","trifft nicht zu")))))</f>
        <v>erfasst</v>
      </c>
      <c r="K18" s="68"/>
      <c r="N18" s="71"/>
    </row>
    <row r="19" customFormat="false" ht="30" hidden="false" customHeight="true" outlineLevel="0" collapsed="false">
      <c r="A19" s="65" t="s">
        <v>6269</v>
      </c>
      <c r="B19" s="65" t="s">
        <v>6271</v>
      </c>
      <c r="C19" s="65" t="s">
        <v>6229</v>
      </c>
      <c r="D19" s="65" t="s">
        <v>86</v>
      </c>
      <c r="E19" s="66" t="n">
        <f aca="false">IF($D19="","",SUMPRODUCT(ISNUMBER(SEARCH($D19,Anforderungen!$J$7:$J$2000))*(Anforderungen!$B$7:$B$2000&lt;&gt;"")))</f>
        <v>23</v>
      </c>
      <c r="F19" s="66" t="n">
        <f aca="false">IF($D19="","",SUMPRODUCT(ISNUMBER(SEARCH($D19,Anforderungen!$J$7:$J$2000))*(Anforderungen!$K$7:$K$2000="erfasst")))</f>
        <v>20</v>
      </c>
      <c r="G19" s="66" t="n">
        <f aca="false">IF($D19="","",SUMPRODUCT(ISNUMBER(SEARCH($D19,Anforderungen!$J$7:$J$2000))*(Anforderungen!$K$7:$K$2000="bewertet")))</f>
        <v>0</v>
      </c>
      <c r="H19" s="66" t="n">
        <f aca="false">IF($D19="","",SUMPRODUCT(ISNUMBER(SEARCH($D19,Anforderungen!$J$7:$J$2000))*(Anforderungen!$K$7:$K$2000="erfüllt")))</f>
        <v>2</v>
      </c>
      <c r="I19" s="66" t="n">
        <f aca="false">IF($D19="","",SUMPRODUCT(ISNUMBER(SEARCH($D19,Anforderungen!$J$7:$J$2000))*(Anforderungen!$K$7:$K$2000="trifft nicht zu")))</f>
        <v>1</v>
      </c>
      <c r="J19" s="67" t="str">
        <f aca="false">IF($D19="","",IF($E19=0,"keine Anforderungen",IF($F19&gt;0,"erfasst",IF($G19&gt;0,"bewertet",IF($H19&gt;0,"erfüllt","trifft nicht zu")))))</f>
        <v>erfasst</v>
      </c>
      <c r="K19" s="68"/>
      <c r="N19" s="71"/>
    </row>
    <row r="20" customFormat="false" ht="30" hidden="false" customHeight="true" outlineLevel="0" collapsed="false">
      <c r="A20" s="65" t="s">
        <v>476</v>
      </c>
      <c r="B20" s="65" t="s">
        <v>98</v>
      </c>
      <c r="C20" s="65" t="s">
        <v>6272</v>
      </c>
      <c r="D20" s="65" t="s">
        <v>127</v>
      </c>
      <c r="E20" s="66"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66" t="n">
        <f aca="false">IF($D20="","",SUMPRODUCT(ISNUMBER(SEARCH("OCPI Buchungskalender",Anforderungen!$J$7:$J$2000))*ISNUMBER(SEARCH("Abrechnungskomponente",Anforderungen!$J$7:$J$2000))*ISNUMBER(SEARCH("Belegungsdetektion",Anforderungen!$J$7:$J$2000))*ISNUMBER(SEARCH("Pönalisierungssystem",Anforderungen!$J$7:$J$2000))*(Anforderungen!$K$7:$K$2000="erfasst")))</f>
        <v>1</v>
      </c>
      <c r="G20" s="66"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66"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66"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67" t="str">
        <f aca="false">IF($D20="","",IF($E20=0,"keine Anforderungen",IF($F20&gt;0,"erfasst",IF($G20&gt;0,"bewertet",IF($H20&gt;0,"erfüllt","trifft nicht zu")))))</f>
        <v>erfasst</v>
      </c>
      <c r="K20" s="68" t="s">
        <v>6273</v>
      </c>
      <c r="N20" s="71"/>
    </row>
    <row r="21" customFormat="false" ht="30" hidden="false" customHeight="true" outlineLevel="0" collapsed="false">
      <c r="A21" s="65" t="s">
        <v>476</v>
      </c>
      <c r="B21" s="65" t="s">
        <v>98</v>
      </c>
      <c r="C21" s="65" t="s">
        <v>6272</v>
      </c>
      <c r="D21" s="65" t="s">
        <v>166</v>
      </c>
      <c r="E21" s="66" t="n">
        <f aca="false">IF($D21="","",SUMPRODUCT(ISNUMBER(SEARCH("OCPI Buchungskalender",Anforderungen!$J$7:$J$2000))*ISNUMBER(SEARCH("Dynamische Anzeige",Anforderungen!$J$7:$J$2000))*(Anforderungen!$B$7:$B$2000&lt;&gt;"")))</f>
        <v>5</v>
      </c>
      <c r="F21" s="66" t="n">
        <f aca="false">IF($D21="","",SUMPRODUCT(ISNUMBER(SEARCH("OCPI Buchungskalender",Anforderungen!$J$7:$J$2000))*ISNUMBER(SEARCH("Dynamische Anzeige",Anforderungen!$J$7:$J$2000))*(Anforderungen!$K$7:$K$2000="erfasst")))</f>
        <v>4</v>
      </c>
      <c r="G21" s="66" t="n">
        <f aca="false">IF($D21="","",SUMPRODUCT(ISNUMBER(SEARCH("OCPI Buchungskalender",Anforderungen!$J$7:$J$2000))*ISNUMBER(SEARCH("Dynamische Anzeige",Anforderungen!$J$7:$J$2000))*(Anforderungen!$K$7:$K$2000="bewertet")))</f>
        <v>0</v>
      </c>
      <c r="H21" s="66" t="n">
        <f aca="false">IF($D21="","",SUMPRODUCT(ISNUMBER(SEARCH("OCPI Buchungskalender",Anforderungen!$J$7:$J$2000))*ISNUMBER(SEARCH("Dynamische Anzeige",Anforderungen!$J$7:$J$2000))*(Anforderungen!$K$7:$K$2000="erfüllt")))</f>
        <v>1</v>
      </c>
      <c r="I21" s="66" t="n">
        <f aca="false">IF($D21="","",SUMPRODUCT(ISNUMBER(SEARCH("OCPI Buchungskalender",Anforderungen!$J$7:$J$2000))*ISNUMBER(SEARCH("Dynamische Anzeige",Anforderungen!$J$7:$J$2000))*(Anforderungen!$K$7:$K$2000="trifft nicht zu")))</f>
        <v>0</v>
      </c>
      <c r="J21" s="67" t="str">
        <f aca="false">IF($D21="","",IF($E21=0,"keine Anforderungen",IF($F21&gt;0,"erfasst",IF($G21&gt;0,"bewertet",IF($H21&gt;0,"erfüllt","trifft nicht zu")))))</f>
        <v>erfasst</v>
      </c>
      <c r="K21" s="68" t="s">
        <v>6273</v>
      </c>
      <c r="N21" s="71"/>
    </row>
    <row r="22" customFormat="false" ht="30" hidden="false" customHeight="true" outlineLevel="0" collapsed="false">
      <c r="A22" s="65" t="s">
        <v>476</v>
      </c>
      <c r="B22" s="65" t="s">
        <v>98</v>
      </c>
      <c r="C22" s="65" t="s">
        <v>6272</v>
      </c>
      <c r="D22" s="65" t="s">
        <v>236</v>
      </c>
      <c r="E22" s="66" t="n">
        <f aca="false">IF($D22="","",SUMPRODUCT(ISNUMBER(SEARCH("OCPI Buchungskalender",Anforderungen!$J$7:$J$2000))*ISNUMBER(SEARCH("Kennzeichenerfassung",Anforderungen!$J$7:$J$2000))*ISNUMBER(SEARCH("Pönalisierungssystem",Anforderungen!$J$7:$J$2000))*(Anforderungen!$B$7:$B$2000&lt;&gt;"")))</f>
        <v>2</v>
      </c>
      <c r="F22" s="66" t="n">
        <f aca="false">IF($D22="","",SUMPRODUCT(ISNUMBER(SEARCH("OCPI Buchungskalender",Anforderungen!$J$7:$J$2000))*ISNUMBER(SEARCH("Kennzeichenerfassung",Anforderungen!$J$7:$J$2000))*ISNUMBER(SEARCH("Pönalisierungssystem",Anforderungen!$J$7:$J$2000))*(Anforderungen!$K$7:$K$2000="erfasst")))</f>
        <v>2</v>
      </c>
      <c r="G22" s="66" t="n">
        <f aca="false">IF($D22="","",SUMPRODUCT(ISNUMBER(SEARCH("OCPI Buchungskalender",Anforderungen!$J$7:$J$2000))*ISNUMBER(SEARCH("Kennzeichenerfassung",Anforderungen!$J$7:$J$2000))*ISNUMBER(SEARCH("Pönalisierungssystem",Anforderungen!$J$7:$J$2000))*(Anforderungen!$K$7:$K$2000="bewertet")))</f>
        <v>0</v>
      </c>
      <c r="H22" s="66" t="n">
        <f aca="false">IF($D22="","",SUMPRODUCT(ISNUMBER(SEARCH("OCPI Buchungskalender",Anforderungen!$J$7:$J$2000))*ISNUMBER(SEARCH("Kennzeichenerfassung",Anforderungen!$J$7:$J$2000))*ISNUMBER(SEARCH("Pönalisierungssystem",Anforderungen!$J$7:$J$2000))*(Anforderungen!$K$7:$K$2000="erfüllt")))</f>
        <v>0</v>
      </c>
      <c r="I22" s="66" t="n">
        <f aca="false">IF($D22="","",SUMPRODUCT(ISNUMBER(SEARCH("OCPI Buchungskalender",Anforderungen!$J$7:$J$2000))*ISNUMBER(SEARCH("Kennzeichenerfassung",Anforderungen!$J$7:$J$2000))*ISNUMBER(SEARCH("Pönalisierungssystem",Anforderungen!$J$7:$J$2000))*(Anforderungen!$K$7:$K$2000="trifft nicht zu")))</f>
        <v>0</v>
      </c>
      <c r="J22" s="67" t="str">
        <f aca="false">IF($D22="","",IF($E22=0,"keine Anforderungen",IF($F22&gt;0,"erfasst",IF($G22&gt;0,"bewertet",IF($H22&gt;0,"erfüllt","trifft nicht zu")))))</f>
        <v>erfasst</v>
      </c>
      <c r="K22" s="68" t="s">
        <v>6273</v>
      </c>
      <c r="N22" s="69"/>
    </row>
    <row r="23" customFormat="false" ht="30" hidden="false" customHeight="true" outlineLevel="0" collapsed="false">
      <c r="A23" s="65" t="s">
        <v>476</v>
      </c>
      <c r="B23" s="65" t="s">
        <v>98</v>
      </c>
      <c r="C23" s="65" t="s">
        <v>6272</v>
      </c>
      <c r="D23" s="65" t="s">
        <v>99</v>
      </c>
      <c r="E23" s="66" t="n">
        <f aca="false">IF($D23="","",SUMPRODUCT(ISNUMBER(SEARCH("Authentifizierungskomponente",Anforderungen!$J$7:$J$2000))*ISNUMBER(SEARCH("Schrankensteuerung",Anforderungen!$J$7:$J$2000))*(Anforderungen!$B$7:$B$2000&lt;&gt;"")))</f>
        <v>8</v>
      </c>
      <c r="F23" s="66" t="n">
        <f aca="false">IF($D23="","",SUMPRODUCT(ISNUMBER(SEARCH("Authentifizierungskomponente",Anforderungen!$J$7:$J$2000))*ISNUMBER(SEARCH("Schrankensteuerung",Anforderungen!$J$7:$J$2000))*(Anforderungen!$K$7:$K$2000="erfasst")))</f>
        <v>7</v>
      </c>
      <c r="G23" s="66" t="n">
        <f aca="false">IF($D23="","",SUMPRODUCT(ISNUMBER(SEARCH("Authentifizierungskomponente",Anforderungen!$J$7:$J$2000))*ISNUMBER(SEARCH("Schrankensteuerung",Anforderungen!$J$7:$J$2000))*(Anforderungen!$K$7:$K$2000="bewertet")))</f>
        <v>0</v>
      </c>
      <c r="H23" s="66" t="n">
        <f aca="false">IF($D23="","",SUMPRODUCT(ISNUMBER(SEARCH("Authentifizierungskomponente",Anforderungen!$J$7:$J$2000))*ISNUMBER(SEARCH("Schrankensteuerung",Anforderungen!$J$7:$J$2000))*(Anforderungen!$K$7:$K$2000="erfüllt")))</f>
        <v>1</v>
      </c>
      <c r="I23" s="66" t="n">
        <f aca="false">IF($D23="","",SUMPRODUCT(ISNUMBER(SEARCH("Authentifizierungskomponente",Anforderungen!$J$7:$J$2000))*ISNUMBER(SEARCH("Schrankensteuerung",Anforderungen!$J$7:$J$2000))*(Anforderungen!$K$7:$K$2000="trifft nicht zu")))</f>
        <v>0</v>
      </c>
      <c r="J23" s="67" t="str">
        <f aca="false">IF($D23="","",IF($E23=0,"keine Anforderungen",IF($F23&gt;0,"erfasst",IF($G23&gt;0,"bewertet",IF($H23&gt;0,"erfüllt","trifft nicht zu")))))</f>
        <v>erfasst</v>
      </c>
      <c r="K23" s="68" t="s">
        <v>6273</v>
      </c>
      <c r="N23" s="71"/>
    </row>
    <row r="24" customFormat="false" ht="30" hidden="false" customHeight="true" outlineLevel="0" collapsed="false">
      <c r="A24" s="65"/>
      <c r="B24" s="65"/>
      <c r="C24" s="65"/>
      <c r="D24" s="65"/>
      <c r="E24" s="66" t="str">
        <f aca="false">IF($D24="","",SUMPRODUCT(ISNUMBER(SEARCH($D24,Anforderungen!$J$7:$J$2000))*(Anforderungen!$B$7:$B$2000&lt;&gt;"")))</f>
        <v/>
      </c>
      <c r="F24" s="66" t="str">
        <f aca="false">IF($D24="","",SUMPRODUCT(ISNUMBER(SEARCH($D24,Anforderungen!$J$7:$J$2000))*(Anforderungen!$K$7:$K$2000="erfasst")))</f>
        <v/>
      </c>
      <c r="G24" s="66" t="str">
        <f aca="false">IF($D24="","",SUMPRODUCT(ISNUMBER(SEARCH($D24,Anforderungen!$J$7:$J$2000))*(Anforderungen!$K$7:$K$2000="bewertet")))</f>
        <v/>
      </c>
      <c r="H24" s="66" t="str">
        <f aca="false">IF($D24="","",SUMPRODUCT(ISNUMBER(SEARCH($D24,Anforderungen!$J$7:$J$2000))*(Anforderungen!$K$7:$K$2000="erfüllt")))</f>
        <v/>
      </c>
      <c r="I24" s="66" t="str">
        <f aca="false">IF($D24="","",SUMPRODUCT(ISNUMBER(SEARCH($D24,Anforderungen!$J$7:$J$2000))*(Anforderungen!$K$7:$K$2000="trifft nicht zu")))</f>
        <v/>
      </c>
      <c r="J24" s="67" t="str">
        <f aca="false">IF($D24="","",IF($E24=0,"keine Anforderungen",IF($F24&gt;0,"erfasst",IF($G24&gt;0,"bewertet",IF($H24&gt;0,"erfüllt","trifft nicht zu")))))</f>
        <v/>
      </c>
      <c r="K24" s="68"/>
      <c r="N24" s="71"/>
    </row>
    <row r="25" customFormat="false" ht="30" hidden="false" customHeight="true" outlineLevel="0" collapsed="false">
      <c r="A25" s="65"/>
      <c r="B25" s="65"/>
      <c r="C25" s="65"/>
      <c r="D25" s="65"/>
      <c r="E25" s="66" t="str">
        <f aca="false">IF($D25="","",SUMPRODUCT(ISNUMBER(SEARCH($D25,Anforderungen!$J$7:$J$2000))*(Anforderungen!$B$7:$B$2000&lt;&gt;"")))</f>
        <v/>
      </c>
      <c r="F25" s="66" t="str">
        <f aca="false">IF($D25="","",SUMPRODUCT(ISNUMBER(SEARCH($D25,Anforderungen!$J$7:$J$2000))*(Anforderungen!$K$7:$K$2000="erfasst")))</f>
        <v/>
      </c>
      <c r="G25" s="66" t="str">
        <f aca="false">IF($D25="","",SUMPRODUCT(ISNUMBER(SEARCH($D25,Anforderungen!$J$7:$J$2000))*(Anforderungen!$K$7:$K$2000="bewertet")))</f>
        <v/>
      </c>
      <c r="H25" s="66" t="str">
        <f aca="false">IF($D25="","",SUMPRODUCT(ISNUMBER(SEARCH($D25,Anforderungen!$J$7:$J$2000))*(Anforderungen!$K$7:$K$2000="erfüllt")))</f>
        <v/>
      </c>
      <c r="I25" s="66" t="str">
        <f aca="false">IF($D25="","",SUMPRODUCT(ISNUMBER(SEARCH($D25,Anforderungen!$J$7:$J$2000))*(Anforderungen!$K$7:$K$2000="trifft nicht zu")))</f>
        <v/>
      </c>
      <c r="J25" s="67" t="str">
        <f aca="false">IF($D25="","",IF($E25=0,"keine Anforderungen",IF($F25&gt;0,"erfasst",IF($G25&gt;0,"bewertet",IF($H25&gt;0,"erfüllt","trifft nicht zu")))))</f>
        <v/>
      </c>
      <c r="K25" s="68"/>
      <c r="N25" s="71"/>
    </row>
    <row r="26" customFormat="false" ht="30" hidden="false" customHeight="true" outlineLevel="0" collapsed="false">
      <c r="A26" s="65"/>
      <c r="B26" s="65"/>
      <c r="C26" s="65"/>
      <c r="D26" s="65"/>
      <c r="E26" s="66" t="str">
        <f aca="false">IF($D26="","",SUMPRODUCT(ISNUMBER(SEARCH($D26,Anforderungen!$J$7:$J$2000))*(Anforderungen!$B$7:$B$2000&lt;&gt;"")))</f>
        <v/>
      </c>
      <c r="F26" s="66" t="str">
        <f aca="false">IF($D26="","",SUMPRODUCT(ISNUMBER(SEARCH($D26,Anforderungen!$J$7:$J$2000))*(Anforderungen!$K$7:$K$2000="erfasst")))</f>
        <v/>
      </c>
      <c r="G26" s="66" t="str">
        <f aca="false">IF($D26="","",SUMPRODUCT(ISNUMBER(SEARCH($D26,Anforderungen!$J$7:$J$2000))*(Anforderungen!$K$7:$K$2000="bewertet")))</f>
        <v/>
      </c>
      <c r="H26" s="66" t="str">
        <f aca="false">IF($D26="","",SUMPRODUCT(ISNUMBER(SEARCH($D26,Anforderungen!$J$7:$J$2000))*(Anforderungen!$K$7:$K$2000="erfüllt")))</f>
        <v/>
      </c>
      <c r="I26" s="66" t="str">
        <f aca="false">IF($D26="","",SUMPRODUCT(ISNUMBER(SEARCH($D26,Anforderungen!$J$7:$J$2000))*(Anforderungen!$K$7:$K$2000="trifft nicht zu")))</f>
        <v/>
      </c>
      <c r="J26" s="67" t="str">
        <f aca="false">IF($D26="","",IF($E26=0,"keine Anforderungen",IF($F26&gt;0,"erfasst",IF($G26&gt;0,"bewertet",IF($H26&gt;0,"erfüllt","trifft nicht zu")))))</f>
        <v/>
      </c>
      <c r="K26" s="68"/>
      <c r="N26" s="71"/>
    </row>
    <row r="27" customFormat="false" ht="30" hidden="false" customHeight="true" outlineLevel="0" collapsed="false">
      <c r="A27" s="65"/>
      <c r="B27" s="65"/>
      <c r="C27" s="65"/>
      <c r="D27" s="65"/>
      <c r="E27" s="66" t="str">
        <f aca="false">IF($D27="","",SUMPRODUCT(ISNUMBER(SEARCH($D27,Anforderungen!$J$7:$J$2000))*(Anforderungen!$B$7:$B$2000&lt;&gt;"")))</f>
        <v/>
      </c>
      <c r="F27" s="66" t="str">
        <f aca="false">IF($D27="","",SUMPRODUCT(ISNUMBER(SEARCH($D27,Anforderungen!$J$7:$J$2000))*(Anforderungen!$K$7:$K$2000="erfasst")))</f>
        <v/>
      </c>
      <c r="G27" s="66" t="str">
        <f aca="false">IF($D27="","",SUMPRODUCT(ISNUMBER(SEARCH($D27,Anforderungen!$J$7:$J$2000))*(Anforderungen!$K$7:$K$2000="bewertet")))</f>
        <v/>
      </c>
      <c r="H27" s="66" t="str">
        <f aca="false">IF($D27="","",SUMPRODUCT(ISNUMBER(SEARCH($D27,Anforderungen!$J$7:$J$2000))*(Anforderungen!$K$7:$K$2000="erfüllt")))</f>
        <v/>
      </c>
      <c r="I27" s="66" t="str">
        <f aca="false">IF($D27="","",SUMPRODUCT(ISNUMBER(SEARCH($D27,Anforderungen!$J$7:$J$2000))*(Anforderungen!$K$7:$K$2000="trifft nicht zu")))</f>
        <v/>
      </c>
      <c r="J27" s="67" t="str">
        <f aca="false">IF($D27="","",IF($E27=0,"keine Anforderungen",IF($F27&gt;0,"erfasst",IF($G27&gt;0,"bewertet",IF($H27&gt;0,"erfüllt","trifft nicht zu")))))</f>
        <v/>
      </c>
      <c r="K27" s="68"/>
      <c r="N27" s="71"/>
    </row>
    <row r="28" customFormat="false" ht="30" hidden="false" customHeight="true" outlineLevel="0" collapsed="false">
      <c r="A28" s="65"/>
      <c r="B28" s="65"/>
      <c r="C28" s="65"/>
      <c r="D28" s="65"/>
      <c r="E28" s="66" t="str">
        <f aca="false">IF($D28="","",SUMPRODUCT(ISNUMBER(SEARCH($D28,Anforderungen!$J$7:$J$2000))*(Anforderungen!$B$7:$B$2000&lt;&gt;"")))</f>
        <v/>
      </c>
      <c r="F28" s="66" t="str">
        <f aca="false">IF($D28="","",SUMPRODUCT(ISNUMBER(SEARCH($D28,Anforderungen!$J$7:$J$2000))*(Anforderungen!$K$7:$K$2000="erfasst")))</f>
        <v/>
      </c>
      <c r="G28" s="66" t="str">
        <f aca="false">IF($D28="","",SUMPRODUCT(ISNUMBER(SEARCH($D28,Anforderungen!$J$7:$J$2000))*(Anforderungen!$K$7:$K$2000="bewertet")))</f>
        <v/>
      </c>
      <c r="H28" s="66" t="str">
        <f aca="false">IF($D28="","",SUMPRODUCT(ISNUMBER(SEARCH($D28,Anforderungen!$J$7:$J$2000))*(Anforderungen!$K$7:$K$2000="erfüllt")))</f>
        <v/>
      </c>
      <c r="I28" s="66" t="str">
        <f aca="false">IF($D28="","",SUMPRODUCT(ISNUMBER(SEARCH($D28,Anforderungen!$J$7:$J$2000))*(Anforderungen!$K$7:$K$2000="trifft nicht zu")))</f>
        <v/>
      </c>
      <c r="J28" s="67" t="str">
        <f aca="false">IF($D28="","",IF($E28=0,"keine Anforderungen",IF($F28&gt;0,"erfasst",IF($G28&gt;0,"bewertet",IF($H28&gt;0,"erfüllt","trifft nicht zu")))))</f>
        <v/>
      </c>
      <c r="K28" s="68"/>
      <c r="N28" s="71"/>
    </row>
    <row r="29" customFormat="false" ht="30" hidden="false" customHeight="true" outlineLevel="0" collapsed="false">
      <c r="A29" s="65"/>
      <c r="B29" s="65"/>
      <c r="C29" s="65"/>
      <c r="D29" s="65"/>
      <c r="E29" s="66" t="str">
        <f aca="false">IF($D29="","",SUMPRODUCT(ISNUMBER(SEARCH($D29,Anforderungen!$J$7:$J$2000))*(Anforderungen!$B$7:$B$2000&lt;&gt;"")))</f>
        <v/>
      </c>
      <c r="F29" s="66" t="str">
        <f aca="false">IF($D29="","",SUMPRODUCT(ISNUMBER(SEARCH($D29,Anforderungen!$J$7:$J$2000))*(Anforderungen!$K$7:$K$2000="erfasst")))</f>
        <v/>
      </c>
      <c r="G29" s="66" t="str">
        <f aca="false">IF($D29="","",SUMPRODUCT(ISNUMBER(SEARCH($D29,Anforderungen!$J$7:$J$2000))*(Anforderungen!$K$7:$K$2000="bewertet")))</f>
        <v/>
      </c>
      <c r="H29" s="66" t="str">
        <f aca="false">IF($D29="","",SUMPRODUCT(ISNUMBER(SEARCH($D29,Anforderungen!$J$7:$J$2000))*(Anforderungen!$K$7:$K$2000="erfüllt")))</f>
        <v/>
      </c>
      <c r="I29" s="66" t="str">
        <f aca="false">IF($D29="","",SUMPRODUCT(ISNUMBER(SEARCH($D29,Anforderungen!$J$7:$J$2000))*(Anforderungen!$K$7:$K$2000="trifft nicht zu")))</f>
        <v/>
      </c>
      <c r="J29" s="67" t="str">
        <f aca="false">IF($D29="","",IF($E29=0,"keine Anforderungen",IF($F29&gt;0,"erfasst",IF($G29&gt;0,"bewertet",IF($H29&gt;0,"erfüllt","trifft nicht zu")))))</f>
        <v/>
      </c>
      <c r="K29" s="68"/>
      <c r="N29" s="69" t="s">
        <v>340</v>
      </c>
    </row>
    <row r="30" customFormat="false" ht="15" hidden="false" customHeight="true" outlineLevel="0" collapsed="false"/>
    <row r="31" customFormat="false" ht="24" hidden="false" customHeight="true" outlineLevel="0" collapsed="false">
      <c r="A31" s="72" t="s">
        <v>6274</v>
      </c>
      <c r="M31" s="73"/>
    </row>
    <row r="32" customFormat="false" ht="27.75" hidden="false" customHeight="true" outlineLevel="0" collapsed="false">
      <c r="A32" s="74"/>
    </row>
    <row r="33" customFormat="false" ht="15" hidden="false" customHeight="true" outlineLevel="0" collapsed="false"/>
    <row r="34" customFormat="false" ht="18" hidden="false" customHeight="true" outlineLevel="0" collapsed="false">
      <c r="M34" s="75"/>
    </row>
    <row r="35" customFormat="false" ht="18" hidden="false" customHeight="true" outlineLevel="0" collapsed="false">
      <c r="M35" s="75"/>
    </row>
    <row r="36" customFormat="false" ht="18" hidden="false" customHeight="true" outlineLevel="0" collapsed="false">
      <c r="M36" s="75"/>
    </row>
    <row r="37" customFormat="false" ht="18" hidden="false" customHeight="true" outlineLevel="0" collapsed="false">
      <c r="M37" s="75"/>
    </row>
    <row r="38" customFormat="false" ht="18" hidden="false" customHeight="true" outlineLevel="0" collapsed="false">
      <c r="M38" s="75"/>
    </row>
    <row r="39" customFormat="false" ht="18" hidden="false" customHeight="true" outlineLevel="0" collapsed="false">
      <c r="M39" s="75"/>
    </row>
    <row r="40" customFormat="false" ht="18" hidden="false" customHeight="true" outlineLevel="0" collapsed="false">
      <c r="M40" s="75"/>
    </row>
    <row r="41" customFormat="false" ht="18" hidden="false" customHeight="true" outlineLevel="0" collapsed="false">
      <c r="M41" s="75"/>
    </row>
    <row r="42" customFormat="false" ht="18" hidden="false" customHeight="true" outlineLevel="0" collapsed="false">
      <c r="M42" s="75"/>
    </row>
    <row r="43" customFormat="false" ht="18" hidden="false" customHeight="true" outlineLevel="0" collapsed="false">
      <c r="M43" s="75"/>
    </row>
    <row r="44" customFormat="false" ht="18" hidden="false" customHeight="true" outlineLevel="0" collapsed="false">
      <c r="M44" s="75"/>
    </row>
    <row r="45" customFormat="false" ht="18" hidden="false" customHeight="true" outlineLevel="0" collapsed="false">
      <c r="M45" s="75"/>
    </row>
    <row r="46" customFormat="false" ht="18" hidden="false" customHeight="true" outlineLevel="0" collapsed="false">
      <c r="M46" s="75"/>
    </row>
    <row r="47" customFormat="false" ht="18" hidden="false" customHeight="true" outlineLevel="0" collapsed="false">
      <c r="M47" s="75"/>
    </row>
    <row r="48" customFormat="false" ht="18" hidden="false" customHeight="true" outlineLevel="0" collapsed="false">
      <c r="M48" s="75"/>
    </row>
    <row r="49" customFormat="false" ht="18" hidden="false" customHeight="true" outlineLevel="0" collapsed="false">
      <c r="M49" s="75"/>
    </row>
    <row r="50" customFormat="false" ht="18" hidden="false" customHeight="true" outlineLevel="0" collapsed="false">
      <c r="M50" s="75"/>
    </row>
    <row r="51" customFormat="false" ht="18" hidden="false" customHeight="true" outlineLevel="0" collapsed="false">
      <c r="M51" s="75"/>
    </row>
    <row r="52" customFormat="false" ht="18" hidden="false" customHeight="true" outlineLevel="0" collapsed="false">
      <c r="M52" s="75"/>
    </row>
    <row r="53" customFormat="false" ht="18" hidden="false" customHeight="true" outlineLevel="0" collapsed="false">
      <c r="M53" s="75"/>
    </row>
    <row r="54" customFormat="false" ht="18" hidden="false" customHeight="true" outlineLevel="0" collapsed="false">
      <c r="M54" s="75"/>
    </row>
    <row r="55" customFormat="false" ht="18" hidden="false" customHeight="true" outlineLevel="0" collapsed="false">
      <c r="M55" s="75"/>
    </row>
    <row r="56" customFormat="false" ht="18" hidden="false" customHeight="true" outlineLevel="0" collapsed="false">
      <c r="M56" s="75"/>
    </row>
    <row r="57" customFormat="false" ht="18" hidden="false" customHeight="true" outlineLevel="0" collapsed="false">
      <c r="M57" s="75"/>
    </row>
    <row r="58" customFormat="false" ht="18" hidden="false" customHeight="true" outlineLevel="0" collapsed="false">
      <c r="M58" s="75"/>
    </row>
    <row r="59" customFormat="false" ht="18" hidden="false" customHeight="true" outlineLevel="0" collapsed="false">
      <c r="M59" s="75"/>
    </row>
    <row r="60" customFormat="false" ht="18" hidden="false" customHeight="true" outlineLevel="0" collapsed="false">
      <c r="M60" s="75"/>
    </row>
    <row r="61" customFormat="false" ht="18" hidden="false" customHeight="true" outlineLevel="0" collapsed="false">
      <c r="M61" s="75"/>
    </row>
    <row r="62" customFormat="false" ht="18" hidden="false" customHeight="true" outlineLevel="0" collapsed="false">
      <c r="M62" s="75"/>
    </row>
    <row r="63" customFormat="false" ht="18" hidden="false" customHeight="true" outlineLevel="0" collapsed="false">
      <c r="M63" s="75"/>
    </row>
    <row r="64" customFormat="false" ht="18" hidden="false" customHeight="true" outlineLevel="0" collapsed="false">
      <c r="M64" s="75"/>
    </row>
    <row r="65" customFormat="false" ht="112.5" hidden="false" customHeight="true" outlineLevel="0" collapsed="false">
      <c r="M65" s="75"/>
    </row>
    <row r="66" customFormat="false" ht="21.75" hidden="false" customHeight="true" outlineLevel="0" collapsed="false">
      <c r="A66" s="76"/>
      <c r="M66" s="75"/>
    </row>
    <row r="67" customFormat="false" ht="25.5" hidden="false" customHeight="true" outlineLevel="0" collapsed="false">
      <c r="A67" s="74"/>
      <c r="M67" s="75"/>
    </row>
    <row r="68" customFormat="false" ht="45.75" hidden="false" customHeight="true" outlineLevel="0" collapsed="false">
      <c r="A68" s="77"/>
      <c r="B68" s="78"/>
      <c r="C68" s="78"/>
      <c r="D68" s="79"/>
      <c r="M68" s="75"/>
    </row>
    <row r="69" customFormat="false" ht="45.75" hidden="false" customHeight="true" outlineLevel="0" collapsed="false">
      <c r="A69" s="77"/>
      <c r="B69" s="78"/>
      <c r="C69" s="78"/>
      <c r="D69" s="79"/>
      <c r="M69" s="75"/>
    </row>
    <row r="70" customFormat="false" ht="45.75" hidden="false" customHeight="true" outlineLevel="0" collapsed="false">
      <c r="A70" s="77"/>
      <c r="B70" s="78"/>
      <c r="C70" s="78"/>
      <c r="D70" s="79"/>
      <c r="M70" s="75"/>
    </row>
    <row r="71" customFormat="false" ht="45.75" hidden="false" customHeight="true" outlineLevel="0" collapsed="false">
      <c r="A71" s="77"/>
      <c r="B71" s="78"/>
      <c r="C71" s="78"/>
      <c r="D71" s="79"/>
      <c r="M71" s="75"/>
    </row>
    <row r="72" customFormat="false" ht="45.75" hidden="false" customHeight="true" outlineLevel="0" collapsed="false">
      <c r="A72" s="77"/>
      <c r="B72" s="78"/>
      <c r="C72" s="78"/>
      <c r="D72" s="79"/>
    </row>
    <row r="73" customFormat="false" ht="45.75" hidden="false" customHeight="true" outlineLevel="0" collapsed="false">
      <c r="A73" s="77"/>
      <c r="B73" s="78"/>
      <c r="C73" s="78"/>
      <c r="D73" s="79"/>
    </row>
    <row r="74" customFormat="false" ht="45.75" hidden="false" customHeight="true" outlineLevel="0" collapsed="false">
      <c r="A74" s="77"/>
      <c r="B74" s="78"/>
      <c r="C74" s="78"/>
      <c r="D74" s="79"/>
    </row>
    <row r="75" customFormat="false" ht="45.75" hidden="false" customHeight="true" outlineLevel="0" collapsed="false">
      <c r="A75" s="77"/>
      <c r="B75" s="78"/>
      <c r="C75" s="78"/>
      <c r="D75" s="79"/>
    </row>
    <row r="76" customFormat="false" ht="45.75" hidden="false" customHeight="true" outlineLevel="0" collapsed="false">
      <c r="A76" s="77"/>
      <c r="B76" s="78"/>
      <c r="C76" s="78"/>
      <c r="D76" s="79"/>
    </row>
    <row r="77" customFormat="false" ht="45.75" hidden="false" customHeight="true" outlineLevel="0" collapsed="false">
      <c r="A77" s="77"/>
      <c r="B77" s="78"/>
      <c r="C77" s="78"/>
      <c r="D77" s="79"/>
    </row>
    <row r="78" customFormat="false" ht="45.75" hidden="false" customHeight="true" outlineLevel="0" collapsed="false">
      <c r="A78" s="77"/>
      <c r="B78" s="78"/>
      <c r="C78" s="78"/>
      <c r="D78" s="79"/>
    </row>
    <row r="79" customFormat="false" ht="45.75" hidden="false" customHeight="true" outlineLevel="0" collapsed="false">
      <c r="A79" s="77"/>
      <c r="B79" s="78"/>
      <c r="C79" s="78"/>
      <c r="D79" s="79"/>
    </row>
    <row r="80" customFormat="false" ht="45.75" hidden="false" customHeight="true" outlineLevel="0" collapsed="false">
      <c r="A80" s="77"/>
      <c r="B80" s="78"/>
      <c r="C80" s="78"/>
      <c r="D80" s="79"/>
    </row>
    <row r="81" customFormat="false" ht="45.75" hidden="false" customHeight="true" outlineLevel="0" collapsed="false">
      <c r="A81" s="77"/>
      <c r="B81" s="78"/>
      <c r="C81" s="78"/>
      <c r="D81" s="79"/>
    </row>
    <row r="82" customFormat="false" ht="45.75" hidden="false" customHeight="true" outlineLevel="0" collapsed="false">
      <c r="A82" s="77"/>
      <c r="B82" s="78"/>
      <c r="C82" s="78"/>
      <c r="D82" s="79"/>
    </row>
    <row r="83" customFormat="false" ht="45.75" hidden="false" customHeight="true" outlineLevel="0" collapsed="false">
      <c r="A83" s="77"/>
      <c r="B83" s="78"/>
      <c r="C83" s="78"/>
      <c r="D83" s="79"/>
    </row>
    <row r="84" customFormat="false" ht="45.75" hidden="false" customHeight="true" outlineLevel="0" collapsed="false">
      <c r="A84" s="77"/>
      <c r="B84" s="78"/>
      <c r="C84" s="78"/>
      <c r="D84" s="79"/>
    </row>
    <row r="85" customFormat="false" ht="45.75" hidden="false" customHeight="true" outlineLevel="0" collapsed="false">
      <c r="A85" s="77"/>
      <c r="B85" s="78"/>
      <c r="C85" s="78"/>
      <c r="D85" s="79"/>
    </row>
    <row r="86" customFormat="false" ht="45.75" hidden="false" customHeight="true" outlineLevel="0" collapsed="false">
      <c r="A86" s="77"/>
      <c r="B86" s="78"/>
      <c r="C86" s="78"/>
      <c r="D86" s="79"/>
    </row>
    <row r="87" customFormat="false" ht="45.75" hidden="false" customHeight="true" outlineLevel="0" collapsed="false">
      <c r="A87" s="77"/>
      <c r="B87" s="78"/>
      <c r="C87" s="78"/>
      <c r="D87" s="79"/>
    </row>
    <row r="88" customFormat="false" ht="45.75" hidden="false" customHeight="true" outlineLevel="0" collapsed="false">
      <c r="A88" s="77"/>
      <c r="B88" s="78"/>
      <c r="C88" s="78"/>
      <c r="D88" s="79"/>
    </row>
    <row r="89" customFormat="false" ht="45.75" hidden="false" customHeight="true" outlineLevel="0" collapsed="false">
      <c r="A89" s="77"/>
      <c r="B89" s="78"/>
      <c r="C89" s="78"/>
      <c r="D89" s="79"/>
    </row>
    <row r="90" customFormat="false" ht="45.75" hidden="false" customHeight="true" outlineLevel="0" collapsed="false">
      <c r="A90" s="77"/>
      <c r="B90" s="78"/>
      <c r="C90" s="78"/>
      <c r="D90" s="79"/>
    </row>
    <row r="91" customFormat="false" ht="45.75" hidden="false" customHeight="true" outlineLevel="0" collapsed="false">
      <c r="A91" s="77"/>
      <c r="B91" s="78"/>
      <c r="C91" s="78"/>
      <c r="D91" s="79"/>
    </row>
    <row r="93" customFormat="false" ht="15" hidden="false" customHeight="true" outlineLevel="0" collapsed="false">
      <c r="A93" s="80"/>
    </row>
    <row r="94" customFormat="false" ht="19.5" hidden="false" customHeight="true" outlineLevel="0" collapsed="false">
      <c r="A94" s="81"/>
      <c r="B94" s="82"/>
      <c r="C94" s="83"/>
      <c r="D94" s="84"/>
      <c r="E94" s="85"/>
    </row>
    <row r="96" customFormat="false" ht="39.75" hidden="false" customHeight="true" outlineLevel="0" collapsed="false">
      <c r="A96" s="86"/>
    </row>
  </sheetData>
  <mergeCells count="2">
    <mergeCell ref="A2:K2"/>
    <mergeCell ref="A3:K3"/>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{BCF4963D-6CAE-41A8-98A9-9623CB6EB4E4}</x14:id>
        </ext>
      </extLst>
    </cfRule>
  </conditionalFormatting>
  <conditionalFormatting sqref="J6:J29">
    <cfRule type="expression" priority="3" aboveAverage="0" equalAverage="0" bottom="0" percent="0" rank="0" text="" dxfId="16">
      <formula>J6="erfasst"</formula>
    </cfRule>
    <cfRule type="expression" priority="4" aboveAverage="0" equalAverage="0" bottom="0" percent="0" rank="0" text="" dxfId="17">
      <formula>J6="bewertet"</formula>
    </cfRule>
    <cfRule type="expression" priority="5" aboveAverage="0" equalAverage="0" bottom="0" percent="0" rank="0" text="" dxfId="18">
      <formula>J6="erfüllt"</formula>
    </cfRule>
    <cfRule type="expression" priority="6" aboveAverage="0" equalAverage="0" bottom="0" percent="0" rank="0" text="" dxfId="19">
      <formula>J6="trifft nicht zu"</formula>
    </cfRule>
    <cfRule type="expression" priority="7" aboveAverage="0" equalAverage="0" bottom="0" percent="0" rank="0" text="" dxfId="28">
      <formula>J6="keine Anforderungen"</formula>
    </cfRule>
  </conditionalFormatting>
  <conditionalFormatting sqref="A6:A29">
    <cfRule type="expression" priority="8" aboveAverage="0" equalAverage="0" bottom="0" percent="0" rank="0" text="" dxfId="23">
      <formula>A6="Zuordnung prüfen"</formula>
    </cfRule>
  </conditionalFormatting>
  <conditionalFormatting sqref="A68:A91">
    <cfRule type="expression" priority="9" aboveAverage="0" equalAverage="0" bottom="0" percent="0" rank="0" text="" dxfId="29">
      <formula>$A68&lt;&gt;""</formula>
    </cfRule>
  </conditionalFormatting>
  <conditionalFormatting sqref="B68:B91">
    <cfRule type="expression" priority="10" aboveAverage="0" equalAverage="0" bottom="0" percent="0" rank="0" text="" dxfId="30">
      <formula>$B68&lt;&gt;""</formula>
    </cfRule>
  </conditionalFormatting>
  <conditionalFormatting sqref="C68:C91">
    <cfRule type="expression" priority="11" aboveAverage="0" equalAverage="0" bottom="0" percent="0" rank="0" text="" dxfId="31">
      <formula>$C68&lt;&gt;""</formula>
    </cfRule>
  </conditionalFormatting>
  <conditionalFormatting sqref="D68:E91">
    <cfRule type="expression" priority="12" aboveAverage="0" equalAverage="0" bottom="0" percent="0" rank="0" text="" dxfId="32">
      <formula>$J6="erfasst"</formula>
    </cfRule>
    <cfRule type="expression" priority="13" aboveAverage="0" equalAverage="0" bottom="0" percent="0" rank="0" text="" dxfId="33">
      <formula>$J6="bewertet"</formula>
    </cfRule>
    <cfRule type="expression" priority="14" aboveAverage="0" equalAverage="0" bottom="0" percent="0" rank="0" text="" dxfId="18">
      <formula>$J6="erfüllt"</formula>
    </cfRule>
    <cfRule type="expression" priority="15" aboveAverage="0" equalAverage="0" bottom="0" percent="0" rank="0" text="" dxfId="19">
      <formula>$J6="trifft nicht zu"</formula>
    </cfRule>
    <cfRule type="expression" priority="16" aboveAverage="0" equalAverage="0" bottom="0" percent="0" rank="0" text="" dxfId="28">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CF4963D-6CAE-41A8-98A9-9623CB6EB4E4}">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30"/>
    <col collapsed="false" customWidth="true" hidden="false" outlineLevel="0" max="5" min="5" style="1" width="13"/>
    <col collapsed="false" customWidth="true" hidden="false" outlineLevel="0" max="26" min="26" style="1" width="46"/>
  </cols>
  <sheetData>
    <row r="1" customFormat="false" ht="21.75" hidden="false" customHeight="true" outlineLevel="0" collapsed="false">
      <c r="A1" s="87" t="s">
        <v>6275</v>
      </c>
    </row>
    <row r="2" customFormat="false" ht="27.75" hidden="false" customHeight="true" outlineLevel="0" collapsed="false">
      <c r="A2" s="36" t="s">
        <v>6276</v>
      </c>
      <c r="B2" s="36"/>
      <c r="C2" s="36"/>
      <c r="D2" s="36"/>
      <c r="E2" s="36"/>
      <c r="F2" s="36"/>
      <c r="G2" s="36"/>
      <c r="H2" s="36"/>
      <c r="I2" s="36"/>
      <c r="J2" s="36"/>
      <c r="K2" s="36"/>
    </row>
    <row r="3" customFormat="false" ht="7.5" hidden="false" customHeight="true" outlineLevel="0" collapsed="false">
      <c r="Z3" s="88" t="s">
        <v>6277</v>
      </c>
    </row>
    <row r="4" customFormat="false" ht="18" hidden="false" customHeight="true" outlineLevel="0" collapsed="false">
      <c r="Z4" s="89" t="str">
        <f aca="false">"SMARTINFRA"&amp;CHAR(10)&amp;COUNTA(Komponenten!$D$6:$D$29)&amp;" Komponenten / Schnittstellen"</f>
        <v>SMARTINFRA
18 Komponenten / Schnittstellen</v>
      </c>
    </row>
    <row r="5" customFormat="false" ht="18" hidden="false" customHeight="true" outlineLevel="0" collapsed="false">
      <c r="Z5" s="89" t="str">
        <f aca="false">Komponenten!$A6&amp;CHAR(10)&amp;COUNTIF(Komponenten!$A$6:$A$29,Komponenten!$A6)&amp;IF(COUNTIF(Komponenten!$A$6:$A$29,Komponenten!$A6)=1," Komponente"," Komponenten")</f>
        <v>LIS
1 Komponente</v>
      </c>
    </row>
    <row r="6" customFormat="false" ht="18" hidden="false" customHeight="true" outlineLevel="0" collapsed="false">
      <c r="Z6" s="89" t="str">
        <f aca="false">Komponenten!$A7&amp;CHAR(10)&amp;COUNTIF(Komponenten!$A$6:$A$29,Komponenten!$A7)&amp;IF(COUNTIF(Komponenten!$A$6:$A$29,Komponenten!$A7)=1," Komponente"," Komponenten")</f>
        <v>WWL
4 Komponenten</v>
      </c>
    </row>
    <row r="7" customFormat="false" ht="18" hidden="false" customHeight="true" outlineLevel="0" collapsed="false">
      <c r="Z7" s="89" t="str">
        <f aca="false">Komponenten!$A11&amp;CHAR(10)&amp;COUNTIF(Komponenten!$A$6:$A$29,Komponenten!$A11)&amp;IF(COUNTIF(Komponenten!$A$6:$A$29,Komponenten!$A11)=1," Komponente"," Komponenten")</f>
        <v>SmartInfra
8 Komponenten</v>
      </c>
    </row>
    <row r="8" customFormat="false" ht="18" hidden="false" customHeight="true" outlineLevel="0" collapsed="false">
      <c r="Z8" s="89" t="str">
        <f aca="false">Komponenten!$A18&amp;CHAR(10)&amp;COUNTIF(Komponenten!$A$6:$A$29,Komponenten!$A18)&amp;IF(COUNTIF(Komponenten!$A$6:$A$29,Komponenten!$A18)=1," Komponente"," Komponenten")</f>
        <v>AUP
1 Komponente</v>
      </c>
    </row>
    <row r="9" customFormat="false" ht="18" hidden="false" customHeight="true" outlineLevel="0" collapsed="false">
      <c r="Z9" s="89" t="str">
        <f aca="false">Komponenten!$A20&amp;CHAR(10)&amp;COUNTIF(Komponenten!$A$6:$A$29,Komponenten!$A20)&amp;IF(COUNTIF(Komponenten!$A$6:$A$29,Komponenten!$A20)=1," Komponente"," Komponenten")</f>
        <v>Zuordnung prüfen
4 Komponenten</v>
      </c>
    </row>
    <row r="10" customFormat="false" ht="18" hidden="false" customHeight="true" outlineLevel="0" collapsed="false">
      <c r="Z10" s="89" t="str">
        <f aca="false">Komponenten!$B6&amp;CHAR(10)&amp;COUNTIFS(Komponenten!$A$6:$A$29,Komponenten!$A6,Komponenten!$B$6:$B$29,Komponenten!$B6)&amp;IF(COUNTIFS(Komponenten!$A$6:$A$29,Komponenten!$A6,Komponenten!$B$6:$B$29,Komponenten!$B6)=1," Komponente"," Komponenten")</f>
        <v>Alpitronic
1 Komponente</v>
      </c>
    </row>
    <row r="11" customFormat="false" ht="18" hidden="false" customHeight="true" outlineLevel="0" collapsed="false">
      <c r="Z11" s="89" t="str">
        <f aca="false">Komponenten!$B7&amp;CHAR(10)&amp;COUNTIFS(Komponenten!$A$6:$A$29,Komponenten!$A7,Komponenten!$B$6:$B$29,Komponenten!$B7)&amp;IF(COUNTIFS(Komponenten!$A$6:$A$29,Komponenten!$A7,Komponenten!$B$6:$B$29,Komponenten!$B7)=1," Komponente"," Komponenten")</f>
        <v>eRound
4 Komponenten</v>
      </c>
    </row>
    <row r="12" customFormat="false" ht="18" hidden="false" customHeight="true" outlineLevel="0" collapsed="false">
      <c r="Z12" s="89" t="str">
        <f aca="false">Komponenten!$B11&amp;CHAR(10)&amp;COUNTIFS(Komponenten!$A$6:$A$29,Komponenten!$A11,Komponenten!$B$6:$B$29,Komponenten!$B11)&amp;IF(COUNTIFS(Komponenten!$A$6:$A$29,Komponenten!$A11,Komponenten!$B$6:$B$29,Komponenten!$B11)=1," Komponente"," Komponenten")</f>
        <v>Reservierungsplattform
2 Komponenten</v>
      </c>
    </row>
    <row r="13" customFormat="false" ht="18" hidden="false" customHeight="true" outlineLevel="0" collapsed="false">
      <c r="Z13" s="89" t="str">
        <f aca="false">Komponenten!$B13&amp;CHAR(10)&amp;COUNTIFS(Komponenten!$A$6:$A$29,Komponenten!$A13,Komponenten!$B$6:$B$29,Komponenten!$B13)&amp;IF(COUNTIFS(Komponenten!$A$6:$A$29,Komponenten!$A13,Komponenten!$B$6:$B$29,Komponenten!$B13)=1," Komponente"," Komponenten")</f>
        <v>SCS
5 Komponenten</v>
      </c>
    </row>
    <row r="14" customFormat="false" ht="18" hidden="false" customHeight="true" outlineLevel="0" collapsed="false">
      <c r="Z14" s="89" t="str">
        <f aca="false">Komponenten!$B19&amp;CHAR(10)&amp;COUNTIFS(Komponenten!$A$6:$A$29,Komponenten!$A19,Komponenten!$B$6:$B$29,Komponenten!$B19)&amp;IF(COUNTIFS(Komponenten!$A$6:$A$29,Komponenten!$A19,Komponenten!$B$6:$B$29,Komponenten!$B19)=1," Komponente"," Komponenten")</f>
        <v>CAME
1 Komponente</v>
      </c>
    </row>
    <row r="15" customFormat="false" ht="18" hidden="false" customHeight="true" outlineLevel="0" collapsed="false">
      <c r="Z15" s="89" t="str">
        <f aca="false">Komponenten!$B18&amp;CHAR(10)&amp;COUNTIFS(Komponenten!$A$6:$A$29,Komponenten!$A18,Komponenten!$B$6:$B$29,Komponenten!$B18)&amp;IF(COUNTIFS(Komponenten!$A$6:$A$29,Komponenten!$A18,Komponenten!$B$6:$B$29,Komponenten!$B18)=1," Komponente"," Komponenten")</f>
        <v>tbd
1 Komponente</v>
      </c>
    </row>
    <row r="16" customFormat="false" ht="18" hidden="false" customHeight="true" outlineLevel="0" collapsed="false">
      <c r="Z16" s="89" t="str">
        <f aca="false">Komponenten!$B20&amp;CHAR(10)&amp;COUNTIFS(Komponenten!$A$6:$A$29,Komponenten!$A20,Komponenten!$B$6:$B$29,Komponenten!$B20)&amp;IF(COUNTIFS(Komponenten!$A$6:$A$29,Komponenten!$A20,Komponenten!$B$6:$B$29,Komponenten!$B20)=1," Komponente"," Komponenten")</f>
        <v>eRound / SCS
4 Komponenten</v>
      </c>
    </row>
    <row r="17" customFormat="false" ht="18" hidden="false" customHeight="true" outlineLevel="0" collapsed="false">
      <c r="Z17" s="89" t="str">
        <f aca="false">Komponenten!$C6&amp;CHAR(10)&amp;COUNTIFS(Komponenten!$A$6:$A$29,Komponenten!$A6,Komponenten!$B$6:$B$29,Komponenten!$B6,Komponenten!$C$6:$C$29,Komponenten!$C6)&amp;IF(COUNTIFS(Komponenten!$A$6:$A$29,Komponenten!$A6,Komponenten!$B$6:$B$29,Komponenten!$B6,Komponenten!$C$6:$C$29,Komponenten!$C6)=1," Eintrag"," Einträge")</f>
        <v>Komponente
1 Eintrag</v>
      </c>
    </row>
    <row r="18" customFormat="false" ht="18" hidden="false" customHeight="true" outlineLevel="0" collapsed="false">
      <c r="Z18" s="89" t="str">
        <f aca="false">Komponenten!$C7&amp;CHAR(10)&amp;COUNTIFS(Komponenten!$A$6:$A$29,Komponenten!$A7,Komponenten!$B$6:$B$29,Komponenten!$B7,Komponenten!$C$6:$C$29,Komponenten!$C7)&amp;IF(COUNTIFS(Komponenten!$A$6:$A$29,Komponenten!$A7,Komponenten!$B$6:$B$29,Komponenten!$B7,Komponenten!$C$6:$C$29,Komponenten!$C7)=1," Eintrag"," Einträge")</f>
        <v>Komponente
4 Einträge</v>
      </c>
    </row>
    <row r="19" customFormat="false" ht="18" hidden="false" customHeight="true" outlineLevel="0" collapsed="false">
      <c r="Z19" s="89" t="str">
        <f aca="false">Komponenten!$C11&amp;CHAR(10)&amp;COUNTIFS(Komponenten!$A$6:$A$29,Komponenten!$A11,Komponenten!$B$6:$B$29,Komponenten!$B11,Komponenten!$C$6:$C$29,Komponenten!$C11)&amp;IF(COUNTIFS(Komponenten!$A$6:$A$29,Komponenten!$A11,Komponenten!$B$6:$B$29,Komponenten!$B11,Komponenten!$C$6:$C$29,Komponenten!$C11)=1," Eintrag"," Einträge")</f>
        <v>Komponente
2 Einträge</v>
      </c>
    </row>
    <row r="20" customFormat="false" ht="18" hidden="false" customHeight="true" outlineLevel="0" collapsed="false">
      <c r="Z20" s="89" t="str">
        <f aca="false">Komponenten!$C13&amp;CHAR(10)&amp;COUNTIFS(Komponenten!$A$6:$A$29,Komponenten!$A13,Komponenten!$B$6:$B$29,Komponenten!$B13,Komponenten!$C$6:$C$29,Komponenten!$C13)&amp;IF(COUNTIFS(Komponenten!$A$6:$A$29,Komponenten!$A13,Komponenten!$B$6:$B$29,Komponenten!$B13,Komponenten!$C$6:$C$29,Komponenten!$C13)=1," Eintrag"," Einträge")</f>
        <v>Komponente
5 Einträge</v>
      </c>
    </row>
    <row r="21" customFormat="false" ht="18" hidden="false" customHeight="true" outlineLevel="0" collapsed="false">
      <c r="Z21" s="89" t="str">
        <f aca="false">Komponenten!$C19&amp;CHAR(10)&amp;COUNTIFS(Komponenten!$A$6:$A$29,Komponenten!$A19,Komponenten!$B$6:$B$29,Komponenten!$B19,Komponenten!$C$6:$C$29,Komponenten!$C19)&amp;IF(COUNTIFS(Komponenten!$A$6:$A$29,Komponenten!$A19,Komponenten!$B$6:$B$29,Komponenten!$B19,Komponenten!$C$6:$C$29,Komponenten!$C19)=1," Eintrag"," Einträge")</f>
        <v>Komponente
1 Eintrag</v>
      </c>
    </row>
    <row r="22" customFormat="false" ht="18" hidden="false" customHeight="true" outlineLevel="0" collapsed="false">
      <c r="Z22" s="89" t="str">
        <f aca="false">Komponenten!$C18&amp;CHAR(10)&amp;COUNTIFS(Komponenten!$A$6:$A$29,Komponenten!$A18,Komponenten!$B$6:$B$29,Komponenten!$B18,Komponenten!$C$6:$C$29,Komponenten!$C18)&amp;IF(COUNTIFS(Komponenten!$A$6:$A$29,Komponenten!$A18,Komponenten!$B$6:$B$29,Komponenten!$B18,Komponenten!$C$6:$C$29,Komponenten!$C18)=1," Eintrag"," Einträge")</f>
        <v>Komponente
1 Eintrag</v>
      </c>
    </row>
    <row r="23" customFormat="false" ht="18" hidden="false" customHeight="true" outlineLevel="0" collapsed="false">
      <c r="Z23" s="89" t="str">
        <f aca="false">Komponenten!$C20&amp;CHAR(10)&amp;COUNTIFS(Komponenten!$A$6:$A$29,Komponenten!$A20,Komponenten!$B$6:$B$29,Komponenten!$B20,Komponenten!$C$6:$C$29,Komponenten!$C20)&amp;IF(COUNTIFS(Komponenten!$A$6:$A$29,Komponenten!$A20,Komponenten!$B$6:$B$29,Komponenten!$B20,Komponenten!$C$6:$C$29,Komponenten!$C20)=1," Eintrag"," Einträge")</f>
        <v>Schnittstelle
4 Einträge</v>
      </c>
    </row>
    <row r="24" customFormat="false" ht="18" hidden="false" customHeight="true" outlineLevel="0" collapsed="false">
      <c r="Z24" s="89" t="str">
        <f aca="false">IF(Komponenten!$D6="","",Komponenten!$D6&amp;CHAR(10)&amp;Komponenten!$E6&amp;IF(Komponenten!$E6=1," Anforderung"," Anforderungen")&amp;" · "&amp;Komponenten!$H6&amp;"/"&amp;Komponenten!$E6&amp;" erfüllt"&amp;CHAR(10)&amp;"Status: "&amp;Komponenten!$J6)</f>
        <v>Ladeeinrichtung
171 Anforderungen · 0/171 erfüllt
Status: erfasst</v>
      </c>
    </row>
    <row r="25" customFormat="false" ht="18" hidden="false" customHeight="true" outlineLevel="0" collapsed="false">
      <c r="Z25" s="89" t="str">
        <f aca="false">IF(Komponenten!$D7="","",Komponenten!$D7&amp;CHAR(10)&amp;Komponenten!$E7&amp;IF(Komponenten!$E7=1," Anforderung"," Anforderungen")&amp;" · "&amp;Komponenten!$H7&amp;"/"&amp;Komponenten!$E7&amp;" erfüllt"&amp;CHAR(10)&amp;"Status: "&amp;Komponenten!$J7)</f>
        <v>Abrechnungskomponente
50 Anforderungen · 0/50 erfüllt
Status: erfasst</v>
      </c>
    </row>
    <row r="26" customFormat="false" ht="18" hidden="false" customHeight="true" outlineLevel="0" collapsed="false">
      <c r="Z26" s="89" t="str">
        <f aca="false">IF(Komponenten!$D8="","",Komponenten!$D8&amp;CHAR(10)&amp;Komponenten!$E8&amp;IF(Komponenten!$E8=1," Anforderung"," Anforderungen")&amp;" · "&amp;Komponenten!$H8&amp;"/"&amp;Komponenten!$E8&amp;" erfüllt"&amp;CHAR(10)&amp;"Status: "&amp;Komponenten!$J8)</f>
        <v>Authentifizierungskomponente
66 Anforderungen · 2/66 erfüllt
Status: erfasst</v>
      </c>
    </row>
    <row r="27" customFormat="false" ht="18" hidden="false" customHeight="true" outlineLevel="0" collapsed="false">
      <c r="Z27" s="89" t="str">
        <f aca="false">IF(Komponenten!$D9="","",Komponenten!$D9&amp;CHAR(10)&amp;Komponenten!$E9&amp;IF(Komponenten!$E9=1," Anforderung"," Anforderungen")&amp;" · "&amp;Komponenten!$H9&amp;"/"&amp;Komponenten!$E9&amp;" erfüllt"&amp;CHAR(10)&amp;"Status: "&amp;Komponenten!$J9)</f>
        <v>Monitoring
44 Anforderungen · 0/44 erfüllt
Status: erfasst</v>
      </c>
    </row>
    <row r="28" customFormat="false" ht="18" hidden="false" customHeight="true" outlineLevel="0" collapsed="false">
      <c r="Z28" s="89" t="str">
        <f aca="false">IF(Komponenten!$D10="","",Komponenten!$D10&amp;CHAR(10)&amp;Komponenten!$E10&amp;IF(Komponenten!$E10=1," Anforderung"," Anforderungen")&amp;" · "&amp;Komponenten!$H10&amp;"/"&amp;Komponenten!$E10&amp;" erfüllt"&amp;CHAR(10)&amp;"Status: "&amp;Komponenten!$J10)</f>
        <v>OCPI Buchungskalender
102 Anforderungen · 1/102 erfüllt
Status: erfasst</v>
      </c>
    </row>
    <row r="29" customFormat="false" ht="18" hidden="false" customHeight="true" outlineLevel="0" collapsed="false">
      <c r="Z29" s="89" t="str">
        <f aca="false">IF(Komponenten!$D11="","",Komponenten!$D11&amp;CHAR(10)&amp;Komponenten!$E11&amp;IF(Komponenten!$E11=1," Anforderung"," Anforderungen")&amp;" · "&amp;Komponenten!$H11&amp;"/"&amp;Komponenten!$E11&amp;" erfüllt"&amp;CHAR(10)&amp;"Status: "&amp;Komponenten!$J11)</f>
        <v>Anbindung
3 Anforderungen · 0/3 erfüllt
Status: erfasst</v>
      </c>
    </row>
    <row r="30" customFormat="false" ht="18" hidden="false" customHeight="true" outlineLevel="0" collapsed="false">
      <c r="Z30" s="89" t="str">
        <f aca="false">IF(Komponenten!$D12="","",Komponenten!$D12&amp;CHAR(10)&amp;Komponenten!$E12&amp;IF(Komponenten!$E12=1," Anforderung"," Anforderungen")&amp;" · "&amp;Komponenten!$H12&amp;"/"&amp;Komponenten!$E12&amp;" erfüllt"&amp;CHAR(10)&amp;"Status: "&amp;Komponenten!$J12)</f>
        <v>Reservierungsplattform
12 Anforderungen · 0/12 erfüllt
Status: erfasst</v>
      </c>
    </row>
    <row r="31" customFormat="false" ht="18" hidden="false" customHeight="true" outlineLevel="0" collapsed="false">
      <c r="Z31" s="89" t="str">
        <f aca="false">IF(Komponenten!$D13="","",Komponenten!$D13&amp;CHAR(10)&amp;Komponenten!$E13&amp;IF(Komponenten!$E13=1," Anforderung"," Anforderungen")&amp;" · "&amp;Komponenten!$H13&amp;"/"&amp;Komponenten!$E13&amp;" erfüllt"&amp;CHAR(10)&amp;"Status: "&amp;Komponenten!$J13)</f>
        <v>Belegungsdetektion
5 Anforderungen · 1/5 erfüllt
Status: erfasst</v>
      </c>
    </row>
    <row r="32" customFormat="false" ht="18" hidden="false" customHeight="true" outlineLevel="0" collapsed="false">
      <c r="Z32" s="89" t="str">
        <f aca="false">IF(Komponenten!$D14="","",Komponenten!$D14&amp;CHAR(10)&amp;Komponenten!$E14&amp;IF(Komponenten!$E14=1," Anforderung"," Anforderungen")&amp;" · "&amp;Komponenten!$H14&amp;"/"&amp;Komponenten!$E14&amp;" erfüllt"&amp;CHAR(10)&amp;"Status: "&amp;Komponenten!$J14)</f>
        <v>Dynamische Anzeige
12 Anforderungen · 2/12 erfüllt
Status: erfasst</v>
      </c>
    </row>
    <row r="33" customFormat="false" ht="18" hidden="false" customHeight="true" outlineLevel="0" collapsed="false">
      <c r="Z33" s="89" t="str">
        <f aca="false">IF(Komponenten!$D15="","",Komponenten!$D15&amp;CHAR(10)&amp;Komponenten!$E15&amp;IF(Komponenten!$E15=1," Anforderung"," Anforderungen")&amp;" · "&amp;Komponenten!$H15&amp;"/"&amp;Komponenten!$E15&amp;" erfüllt"&amp;CHAR(10)&amp;"Status: "&amp;Komponenten!$J15)</f>
        <v>Kennzeichenerfassung
8 Anforderungen · 0/8 erfüllt
Status: erfasst</v>
      </c>
    </row>
    <row r="34" customFormat="false" ht="18" hidden="false" customHeight="true" outlineLevel="0" collapsed="false">
      <c r="Z34" s="89" t="str">
        <f aca="false">IF(Komponenten!$D16="","",Komponenten!$D16&amp;CHAR(10)&amp;Komponenten!$E16&amp;IF(Komponenten!$E16=1," Anforderung"," Anforderungen")&amp;" · "&amp;Komponenten!$H16&amp;"/"&amp;Komponenten!$E16&amp;" erfüllt"&amp;CHAR(10)&amp;"Status: "&amp;Komponenten!$J16)</f>
        <v>Pönalisierungssystem
35 Anforderungen · 0/35 erfüllt
Status: erfasst</v>
      </c>
    </row>
    <row r="35" customFormat="false" ht="27.75" hidden="false" customHeight="true" outlineLevel="0" collapsed="false">
      <c r="Z35" s="89" t="str">
        <f aca="false">IF(Komponenten!$D17="","",Komponenten!$D17&amp;CHAR(10)&amp;Komponenten!$E17&amp;IF(Komponenten!$E17=1," Anforderung"," Anforderungen")&amp;" · "&amp;Komponenten!$H17&amp;"/"&amp;Komponenten!$E17&amp;" erfüllt"&amp;CHAR(10)&amp;"Status: "&amp;Komponenten!$J17)</f>
        <v>Schrankensteuerung
25 Anforderungen · 4/25 erfüllt
Status: erfasst</v>
      </c>
    </row>
    <row r="36" customFormat="false" ht="27.75" hidden="false" customHeight="true" outlineLevel="0" collapsed="false">
      <c r="A36" s="90" t="s">
        <v>6278</v>
      </c>
      <c r="B36" s="90"/>
      <c r="C36" s="90"/>
      <c r="D36" s="90"/>
      <c r="E36" s="90"/>
      <c r="Z36" s="89" t="str">
        <f aca="false">IF(Komponenten!$D19="","",Komponenten!$D19&amp;CHAR(10)&amp;Komponenten!$E19&amp;IF(Komponenten!$E19=1," Anforderung"," Anforderungen")&amp;" · "&amp;Komponenten!$H19&amp;"/"&amp;Komponenten!$E19&amp;" erfüllt"&amp;CHAR(10)&amp;"Status: "&amp;Komponenten!$J19)</f>
        <v>Schrankenanlage
23 Anforderungen · 2/23 erfüllt
Status: erfasst</v>
      </c>
    </row>
    <row r="37" customFormat="false" ht="45.75" hidden="false" customHeight="true" outlineLevel="0" collapsed="false">
      <c r="A37" s="91" t="str">
        <f aca="false">IF(Komponenten!$D6="","",IF(Komponenten!$A6=Komponenten!$A5,"",Komponenten!$A6))</f>
        <v>LIS</v>
      </c>
      <c r="B37" s="92" t="str">
        <f aca="false">IF(Komponenten!$D6="","",IF(AND(Komponenten!$A6=Komponenten!$A5,Komponenten!$B6=Komponenten!$B5),"","└ "&amp;Komponenten!$B6))</f>
        <v>└ Alpitronic</v>
      </c>
      <c r="C37" s="92" t="str">
        <f aca="false">IF(Komponenten!$D6="","",IF(AND(Komponenten!$A6=Komponenten!$A5,Komponenten!$B6=Komponenten!$B5,Komponenten!$C6=Komponenten!$C5),"","└ "&amp;Komponenten!$C6))</f>
        <v>└ Komponente</v>
      </c>
      <c r="D37" s="93" t="str">
        <f aca="false">IF(Komponenten!$D6="","","└ "&amp;Komponenten!$D6&amp;CHAR(10)&amp;Komponenten!$E6&amp;" Anforderungen · "&amp;Komponenten!$H6&amp;"/"&amp;Komponenten!$E6&amp;" erfüllt"&amp;CHAR(10)&amp;"Status: "&amp;Komponenten!$J6)</f>
        <v>└ Ladeeinrichtung
171 Anforderungen · 0/171 erfüllt
Status: erfasst</v>
      </c>
      <c r="E37" s="93"/>
      <c r="Z37" s="89" t="str">
        <f aca="false">IF(Komponenten!$D18="","",Komponenten!$D18&amp;CHAR(10)&amp;Komponenten!$E18&amp;IF(Komponenten!$E18=1," Anforderung"," Anforderungen")&amp;" · "&amp;Komponenten!$H18&amp;"/"&amp;Komponenten!$E18&amp;" erfüllt"&amp;CHAR(10)&amp;"Status: "&amp;Komponenten!$J18)</f>
        <v>Beschilderung
11 Anforderungen · 0/11 erfüllt
Status: erfasst</v>
      </c>
    </row>
    <row r="38" customFormat="false" ht="45.75" hidden="false" customHeight="true" outlineLevel="0" collapsed="false">
      <c r="A38" s="91" t="str">
        <f aca="false">IF(Komponenten!$D7="","",IF(Komponenten!$A7=Komponenten!$A6,"",Komponenten!$A7))</f>
        <v>WWL</v>
      </c>
      <c r="B38" s="92" t="str">
        <f aca="false">IF(Komponenten!$D7="","",IF(AND(Komponenten!$A7=Komponenten!$A6,Komponenten!$B7=Komponenten!$B6),"","└ "&amp;Komponenten!$B7))</f>
        <v>└ eRound</v>
      </c>
      <c r="C38" s="92" t="str">
        <f aca="false">IF(Komponenten!$D7="","",IF(AND(Komponenten!$A7=Komponenten!$A6,Komponenten!$B7=Komponenten!$B6,Komponenten!$C7=Komponenten!$C6),"","└ "&amp;Komponenten!$C7))</f>
        <v>└ Komponente</v>
      </c>
      <c r="D38" s="93" t="str">
        <f aca="false">IF(Komponenten!$D7="","","└ "&amp;Komponenten!$D7&amp;CHAR(10)&amp;Komponenten!$E7&amp;" Anforderungen · "&amp;Komponenten!$H7&amp;"/"&amp;Komponenten!$E7&amp;" erfüllt"&amp;CHAR(10)&amp;"Status: "&amp;Komponenten!$J7)</f>
        <v>└ Abrechnungskomponente
50 Anforderungen · 0/50 erfüllt
Status: erfasst</v>
      </c>
      <c r="E38" s="93"/>
      <c r="Z38" s="89" t="str">
        <f aca="false">IF(Komponenten!$D20="","",Komponenten!$D20&amp;CHAR(10)&amp;Komponenten!$E20&amp;IF(Komponenten!$E20=1," Anforderung"," Anforderungen")&amp;" · "&amp;Komponenten!$H20&amp;"/"&amp;Komponenten!$E20&amp;" erfüllt"&amp;CHAR(10)&amp;"Status: "&amp;Komponenten!$J20)</f>
        <v>OCPI Buchungskalender / Abrechnungskomponente / Belegungsdetektion / Pönalisierungssystem
1 Anforderung · 0/1 erfüllt
Status: erfasst</v>
      </c>
    </row>
    <row r="39" customFormat="false" ht="45.75" hidden="false" customHeight="true" outlineLevel="0" collapsed="false">
      <c r="A39" s="91" t="str">
        <f aca="false">IF(Komponenten!$D8="","",IF(Komponenten!$A8=Komponenten!$A7,"",Komponenten!$A8))</f>
        <v/>
      </c>
      <c r="B39" s="92" t="str">
        <f aca="false">IF(Komponenten!$D8="","",IF(AND(Komponenten!$A8=Komponenten!$A7,Komponenten!$B8=Komponenten!$B7),"","└ "&amp;Komponenten!$B8))</f>
        <v/>
      </c>
      <c r="C39" s="92" t="str">
        <f aca="false">IF(Komponenten!$D8="","",IF(AND(Komponenten!$A8=Komponenten!$A7,Komponenten!$B8=Komponenten!$B7,Komponenten!$C8=Komponenten!$C7),"","└ "&amp;Komponenten!$C8))</f>
        <v/>
      </c>
      <c r="D39" s="93" t="str">
        <f aca="false">IF(Komponenten!$D8="","","└ "&amp;Komponenten!$D8&amp;CHAR(10)&amp;Komponenten!$E8&amp;" Anforderungen · "&amp;Komponenten!$H8&amp;"/"&amp;Komponenten!$E8&amp;" erfüllt"&amp;CHAR(10)&amp;"Status: "&amp;Komponenten!$J8)</f>
        <v>└ Authentifizierungskomponente
66 Anforderungen · 2/66 erfüllt
Status: erfasst</v>
      </c>
      <c r="E39" s="93"/>
      <c r="Z39" s="89" t="str">
        <f aca="false">IF(Komponenten!$D21="","",Komponenten!$D21&amp;CHAR(10)&amp;Komponenten!$E21&amp;IF(Komponenten!$E21=1," Anforderung"," Anforderungen")&amp;" · "&amp;Komponenten!$H21&amp;"/"&amp;Komponenten!$E21&amp;" erfüllt"&amp;CHAR(10)&amp;"Status: "&amp;Komponenten!$J21)</f>
        <v>OCPI Buchungskalender / Dynamische Anzeige
5 Anforderungen · 1/5 erfüllt
Status: erfasst</v>
      </c>
    </row>
    <row r="40" customFormat="false" ht="45.75" hidden="false" customHeight="true" outlineLevel="0" collapsed="false">
      <c r="A40" s="91" t="str">
        <f aca="false">IF(Komponenten!$D9="","",IF(Komponenten!$A9=Komponenten!$A8,"",Komponenten!$A9))</f>
        <v/>
      </c>
      <c r="B40" s="92" t="str">
        <f aca="false">IF(Komponenten!$D9="","",IF(AND(Komponenten!$A9=Komponenten!$A8,Komponenten!$B9=Komponenten!$B8),"","└ "&amp;Komponenten!$B9))</f>
        <v/>
      </c>
      <c r="C40" s="92" t="str">
        <f aca="false">IF(Komponenten!$D9="","",IF(AND(Komponenten!$A9=Komponenten!$A8,Komponenten!$B9=Komponenten!$B8,Komponenten!$C9=Komponenten!$C8),"","└ "&amp;Komponenten!$C9))</f>
        <v/>
      </c>
      <c r="D40" s="93" t="str">
        <f aca="false">IF(Komponenten!$D9="","","└ "&amp;Komponenten!$D9&amp;CHAR(10)&amp;Komponenten!$E9&amp;" Anforderungen · "&amp;Komponenten!$H9&amp;"/"&amp;Komponenten!$E9&amp;" erfüllt"&amp;CHAR(10)&amp;"Status: "&amp;Komponenten!$J9)</f>
        <v>└ Monitoring
44 Anforderungen · 0/44 erfüllt
Status: erfasst</v>
      </c>
      <c r="E40" s="93"/>
      <c r="Z40" s="89" t="str">
        <f aca="false">IF(Komponenten!$D22="","",Komponenten!$D22&amp;CHAR(10)&amp;Komponenten!$E22&amp;IF(Komponenten!$E22=1," Anforderung"," Anforderungen")&amp;" · "&amp;Komponenten!$H22&amp;"/"&amp;Komponenten!$E22&amp;" erfüllt"&amp;CHAR(10)&amp;"Status: "&amp;Komponenten!$J22)</f>
        <v>OCPI Buchungskalender / Kennzeichenerfassung / Pönalisierungssystem
2 Anforderungen · 0/2 erfüllt
Status: erfasst</v>
      </c>
    </row>
    <row r="41" customFormat="false" ht="45.75" hidden="false" customHeight="true" outlineLevel="0" collapsed="false">
      <c r="A41" s="91" t="str">
        <f aca="false">IF(Komponenten!$D10="","",IF(Komponenten!$A10=Komponenten!$A9,"",Komponenten!$A10))</f>
        <v/>
      </c>
      <c r="B41" s="92" t="str">
        <f aca="false">IF(Komponenten!$D10="","",IF(AND(Komponenten!$A10=Komponenten!$A9,Komponenten!$B10=Komponenten!$B9),"","└ "&amp;Komponenten!$B10))</f>
        <v/>
      </c>
      <c r="C41" s="92" t="str">
        <f aca="false">IF(Komponenten!$D10="","",IF(AND(Komponenten!$A10=Komponenten!$A9,Komponenten!$B10=Komponenten!$B9,Komponenten!$C10=Komponenten!$C9),"","└ "&amp;Komponenten!$C10))</f>
        <v/>
      </c>
      <c r="D41" s="93" t="str">
        <f aca="false">IF(Komponenten!$D10="","","└ "&amp;Komponenten!$D10&amp;CHAR(10)&amp;Komponenten!$E10&amp;" Anforderungen · "&amp;Komponenten!$H10&amp;"/"&amp;Komponenten!$E10&amp;" erfüllt"&amp;CHAR(10)&amp;"Status: "&amp;Komponenten!$J10)</f>
        <v>└ OCPI Buchungskalender
102 Anforderungen · 1/102 erfüllt
Status: erfasst</v>
      </c>
      <c r="E41" s="93"/>
      <c r="Z41" s="89" t="str">
        <f aca="false">IF(Komponenten!$D23="","",Komponenten!$D23&amp;CHAR(10)&amp;Komponenten!$E23&amp;IF(Komponenten!$E23=1," Anforderung"," Anforderungen")&amp;" · "&amp;Komponenten!$H23&amp;"/"&amp;Komponenten!$E23&amp;" erfüllt"&amp;CHAR(10)&amp;"Status: "&amp;Komponenten!$J23)</f>
        <v>Authentifizierungskomponente / Schrankensteuerung
8 Anforderungen · 1/8 erfüllt
Status: erfasst</v>
      </c>
    </row>
    <row r="42" customFormat="false" ht="45.75" hidden="false" customHeight="true" outlineLevel="0" collapsed="false">
      <c r="A42" s="91" t="str">
        <f aca="false">IF(Komponenten!$D11="","",IF(Komponenten!$A11=Komponenten!$A10,"",Komponenten!$A11))</f>
        <v>SmartInfra</v>
      </c>
      <c r="B42" s="92" t="str">
        <f aca="false">IF(Komponenten!$D11="","",IF(AND(Komponenten!$A11=Komponenten!$A10,Komponenten!$B11=Komponenten!$B10),"","└ "&amp;Komponenten!$B11))</f>
        <v>└ Reservierungsplattform</v>
      </c>
      <c r="C42" s="92" t="str">
        <f aca="false">IF(Komponenten!$D11="","",IF(AND(Komponenten!$A11=Komponenten!$A10,Komponenten!$B11=Komponenten!$B10,Komponenten!$C11=Komponenten!$C10),"","└ "&amp;Komponenten!$C11))</f>
        <v>└ Komponente</v>
      </c>
      <c r="D42" s="93" t="str">
        <f aca="false">IF(Komponenten!$D11="","","└ "&amp;Komponenten!$D11&amp;CHAR(10)&amp;Komponenten!$E11&amp;" Anforderungen · "&amp;Komponenten!$H11&amp;"/"&amp;Komponenten!$E11&amp;" erfüllt"&amp;CHAR(10)&amp;"Status: "&amp;Komponenten!$J11)</f>
        <v>└ Anbindung
3 Anforderungen · 0/3 erfüllt
Status: erfasst</v>
      </c>
      <c r="E42" s="93"/>
    </row>
    <row r="43" customFormat="false" ht="45.75" hidden="false" customHeight="true" outlineLevel="0" collapsed="false">
      <c r="A43" s="91" t="str">
        <f aca="false">IF(Komponenten!$D12="","",IF(Komponenten!$A12=Komponenten!$A11,"",Komponenten!$A12))</f>
        <v/>
      </c>
      <c r="B43" s="92" t="str">
        <f aca="false">IF(Komponenten!$D12="","",IF(AND(Komponenten!$A12=Komponenten!$A11,Komponenten!$B12=Komponenten!$B11),"","└ "&amp;Komponenten!$B12))</f>
        <v/>
      </c>
      <c r="C43" s="92" t="str">
        <f aca="false">IF(Komponenten!$D12="","",IF(AND(Komponenten!$A12=Komponenten!$A11,Komponenten!$B12=Komponenten!$B11,Komponenten!$C12=Komponenten!$C11),"","└ "&amp;Komponenten!$C12))</f>
        <v/>
      </c>
      <c r="D43" s="93" t="str">
        <f aca="false">IF(Komponenten!$D12="","","└ "&amp;Komponenten!$D12&amp;CHAR(10)&amp;Komponenten!$E12&amp;" Anforderungen · "&amp;Komponenten!$H12&amp;"/"&amp;Komponenten!$E12&amp;" erfüllt"&amp;CHAR(10)&amp;"Status: "&amp;Komponenten!$J12)</f>
        <v>└ Reservierungsplattform
12 Anforderungen · 0/12 erfüllt
Status: erfasst</v>
      </c>
      <c r="E43" s="93"/>
    </row>
    <row r="44" customFormat="false" ht="45.75" hidden="false" customHeight="true" outlineLevel="0" collapsed="false">
      <c r="A44" s="91" t="str">
        <f aca="false">IF(Komponenten!$D13="","",IF(Komponenten!$A13=Komponenten!$A12,"",Komponenten!$A13))</f>
        <v/>
      </c>
      <c r="B44" s="92" t="str">
        <f aca="false">IF(Komponenten!$D13="","",IF(AND(Komponenten!$A13=Komponenten!$A12,Komponenten!$B13=Komponenten!$B12),"","└ "&amp;Komponenten!$B13))</f>
        <v>└ SCS</v>
      </c>
      <c r="C44" s="92" t="str">
        <f aca="false">IF(Komponenten!$D13="","",IF(AND(Komponenten!$A13=Komponenten!$A12,Komponenten!$B13=Komponenten!$B12,Komponenten!$C13=Komponenten!$C12),"","└ "&amp;Komponenten!$C13))</f>
        <v>└ Komponente</v>
      </c>
      <c r="D44" s="93" t="str">
        <f aca="false">IF(Komponenten!$D13="","","└ "&amp;Komponenten!$D13&amp;CHAR(10)&amp;Komponenten!$E13&amp;" Anforderungen · "&amp;Komponenten!$H13&amp;"/"&amp;Komponenten!$E13&amp;" erfüllt"&amp;CHAR(10)&amp;"Status: "&amp;Komponenten!$J13)</f>
        <v>└ Belegungsdetektion
5 Anforderungen · 1/5 erfüllt
Status: erfasst</v>
      </c>
      <c r="E44" s="93"/>
    </row>
    <row r="45" customFormat="false" ht="45.75" hidden="false" customHeight="true" outlineLevel="0" collapsed="false">
      <c r="A45" s="91" t="str">
        <f aca="false">IF(Komponenten!$D14="","",IF(Komponenten!$A14=Komponenten!$A13,"",Komponenten!$A14))</f>
        <v/>
      </c>
      <c r="B45" s="92" t="str">
        <f aca="false">IF(Komponenten!$D14="","",IF(AND(Komponenten!$A14=Komponenten!$A13,Komponenten!$B14=Komponenten!$B13),"","└ "&amp;Komponenten!$B14))</f>
        <v/>
      </c>
      <c r="C45" s="92" t="str">
        <f aca="false">IF(Komponenten!$D14="","",IF(AND(Komponenten!$A14=Komponenten!$A13,Komponenten!$B14=Komponenten!$B13,Komponenten!$C14=Komponenten!$C13),"","└ "&amp;Komponenten!$C14))</f>
        <v/>
      </c>
      <c r="D45" s="93" t="str">
        <f aca="false">IF(Komponenten!$D14="","","└ "&amp;Komponenten!$D14&amp;CHAR(10)&amp;Komponenten!$E14&amp;" Anforderungen · "&amp;Komponenten!$H14&amp;"/"&amp;Komponenten!$E14&amp;" erfüllt"&amp;CHAR(10)&amp;"Status: "&amp;Komponenten!$J14)</f>
        <v>└ Dynamische Anzeige
12 Anforderungen · 2/12 erfüllt
Status: erfasst</v>
      </c>
      <c r="E45" s="93"/>
    </row>
    <row r="46" customFormat="false" ht="45.75" hidden="false" customHeight="true" outlineLevel="0" collapsed="false">
      <c r="A46" s="91" t="str">
        <f aca="false">IF(Komponenten!$D15="","",IF(Komponenten!$A15=Komponenten!$A14,"",Komponenten!$A15))</f>
        <v/>
      </c>
      <c r="B46" s="92" t="str">
        <f aca="false">IF(Komponenten!$D15="","",IF(AND(Komponenten!$A15=Komponenten!$A14,Komponenten!$B15=Komponenten!$B14),"","└ "&amp;Komponenten!$B15))</f>
        <v/>
      </c>
      <c r="C46" s="92" t="str">
        <f aca="false">IF(Komponenten!$D15="","",IF(AND(Komponenten!$A15=Komponenten!$A14,Komponenten!$B15=Komponenten!$B14,Komponenten!$C15=Komponenten!$C14),"","└ "&amp;Komponenten!$C15))</f>
        <v/>
      </c>
      <c r="D46" s="93" t="str">
        <f aca="false">IF(Komponenten!$D15="","","└ "&amp;Komponenten!$D15&amp;CHAR(10)&amp;Komponenten!$E15&amp;" Anforderungen · "&amp;Komponenten!$H15&amp;"/"&amp;Komponenten!$E15&amp;" erfüllt"&amp;CHAR(10)&amp;"Status: "&amp;Komponenten!$J15)</f>
        <v>└ Kennzeichenerfassung
8 Anforderungen · 0/8 erfüllt
Status: erfasst</v>
      </c>
      <c r="E46" s="93"/>
    </row>
    <row r="47" customFormat="false" ht="45.75" hidden="false" customHeight="true" outlineLevel="0" collapsed="false">
      <c r="A47" s="91" t="str">
        <f aca="false">IF(Komponenten!$D16="","",IF(Komponenten!$A16=Komponenten!$A15,"",Komponenten!$A16))</f>
        <v/>
      </c>
      <c r="B47" s="92" t="str">
        <f aca="false">IF(Komponenten!$D16="","",IF(AND(Komponenten!$A16=Komponenten!$A15,Komponenten!$B16=Komponenten!$B15),"","└ "&amp;Komponenten!$B16))</f>
        <v/>
      </c>
      <c r="C47" s="92" t="str">
        <f aca="false">IF(Komponenten!$D16="","",IF(AND(Komponenten!$A16=Komponenten!$A15,Komponenten!$B16=Komponenten!$B15,Komponenten!$C16=Komponenten!$C15),"","└ "&amp;Komponenten!$C16))</f>
        <v/>
      </c>
      <c r="D47" s="93" t="str">
        <f aca="false">IF(Komponenten!$D16="","","└ "&amp;Komponenten!$D16&amp;CHAR(10)&amp;Komponenten!$E16&amp;" Anforderungen · "&amp;Komponenten!$H16&amp;"/"&amp;Komponenten!$E16&amp;" erfüllt"&amp;CHAR(10)&amp;"Status: "&amp;Komponenten!$J16)</f>
        <v>└ Pönalisierungssystem
35 Anforderungen · 0/35 erfüllt
Status: erfasst</v>
      </c>
      <c r="E47" s="93"/>
    </row>
    <row r="48" customFormat="false" ht="45.75" hidden="false" customHeight="true" outlineLevel="0" collapsed="false">
      <c r="A48" s="91" t="str">
        <f aca="false">IF(Komponenten!$D17="","",IF(Komponenten!$A17=Komponenten!$A16,"",Komponenten!$A17))</f>
        <v/>
      </c>
      <c r="B48" s="92" t="str">
        <f aca="false">IF(Komponenten!$D17="","",IF(AND(Komponenten!$A17=Komponenten!$A16,Komponenten!$B17=Komponenten!$B16),"","└ "&amp;Komponenten!$B17))</f>
        <v/>
      </c>
      <c r="C48" s="92" t="str">
        <f aca="false">IF(Komponenten!$D17="","",IF(AND(Komponenten!$A17=Komponenten!$A16,Komponenten!$B17=Komponenten!$B16,Komponenten!$C17=Komponenten!$C16),"","└ "&amp;Komponenten!$C17))</f>
        <v/>
      </c>
      <c r="D48" s="93" t="str">
        <f aca="false">IF(Komponenten!$D17="","","└ "&amp;Komponenten!$D17&amp;CHAR(10)&amp;Komponenten!$E17&amp;" Anforderungen · "&amp;Komponenten!$H17&amp;"/"&amp;Komponenten!$E17&amp;" erfüllt"&amp;CHAR(10)&amp;"Status: "&amp;Komponenten!$J17)</f>
        <v>└ Schrankensteuerung
25 Anforderungen · 4/25 erfüllt
Status: erfasst</v>
      </c>
      <c r="E48" s="93"/>
    </row>
    <row r="49" customFormat="false" ht="45.75" hidden="false" customHeight="true" outlineLevel="0" collapsed="false">
      <c r="A49" s="91" t="str">
        <f aca="false">IF(Komponenten!$D18="","",IF(Komponenten!$A18=Komponenten!$A17,"",Komponenten!$A18))</f>
        <v>AUP</v>
      </c>
      <c r="B49" s="92" t="str">
        <f aca="false">IF(Komponenten!$D18="","",IF(AND(Komponenten!$A18=Komponenten!$A17,Komponenten!$B18=Komponenten!$B17),"","└ "&amp;Komponenten!$B18))</f>
        <v>└ tbd</v>
      </c>
      <c r="C49" s="92" t="str">
        <f aca="false">IF(Komponenten!$D18="","",IF(AND(Komponenten!$A18=Komponenten!$A17,Komponenten!$B18=Komponenten!$B17,Komponenten!$C18=Komponenten!$C17),"","└ "&amp;Komponenten!$C18))</f>
        <v>└ Komponente</v>
      </c>
      <c r="D49" s="93" t="str">
        <f aca="false">IF(Komponenten!$D18="","","└ "&amp;Komponenten!$D18&amp;CHAR(10)&amp;Komponenten!$E18&amp;" Anforderungen · "&amp;Komponenten!$H18&amp;"/"&amp;Komponenten!$E18&amp;" erfüllt"&amp;CHAR(10)&amp;"Status: "&amp;Komponenten!$J18)</f>
        <v>└ Beschilderung
11 Anforderungen · 0/11 erfüllt
Status: erfasst</v>
      </c>
      <c r="E49" s="93"/>
    </row>
    <row r="50" customFormat="false" ht="45.75" hidden="false" customHeight="true" outlineLevel="0" collapsed="false">
      <c r="A50" s="91" t="str">
        <f aca="false">IF(Komponenten!$D19="","",IF(Komponenten!$A19=Komponenten!$A18,"",Komponenten!$A19))</f>
        <v>SmartInfra</v>
      </c>
      <c r="B50" s="92" t="str">
        <f aca="false">IF(Komponenten!$D19="","",IF(AND(Komponenten!$A19=Komponenten!$A18,Komponenten!$B19=Komponenten!$B18),"","└ "&amp;Komponenten!$B19))</f>
        <v>└ CAME</v>
      </c>
      <c r="C50" s="92" t="str">
        <f aca="false">IF(Komponenten!$D19="","",IF(AND(Komponenten!$A19=Komponenten!$A18,Komponenten!$B19=Komponenten!$B18,Komponenten!$C19=Komponenten!$C18),"","└ "&amp;Komponenten!$C19))</f>
        <v>└ Komponente</v>
      </c>
      <c r="D50" s="93" t="str">
        <f aca="false">IF(Komponenten!$D19="","","└ "&amp;Komponenten!$D19&amp;CHAR(10)&amp;Komponenten!$E19&amp;" Anforderungen · "&amp;Komponenten!$H19&amp;"/"&amp;Komponenten!$E19&amp;" erfüllt"&amp;CHAR(10)&amp;"Status: "&amp;Komponenten!$J19)</f>
        <v>└ Schrankenanlage
23 Anforderungen · 2/23 erfüllt
Status: erfasst</v>
      </c>
      <c r="E50" s="93"/>
    </row>
    <row r="51" customFormat="false" ht="45.75" hidden="false" customHeight="true" outlineLevel="0" collapsed="false">
      <c r="A51" s="91" t="str">
        <f aca="false">IF(Komponenten!$D20="","",IF(Komponenten!$A20=Komponenten!$A19,"",Komponenten!$A20))</f>
        <v>Zuordnung prüfen</v>
      </c>
      <c r="B51" s="92" t="str">
        <f aca="false">IF(Komponenten!$D20="","",IF(AND(Komponenten!$A20=Komponenten!$A19,Komponenten!$B20=Komponenten!$B19),"","└ "&amp;Komponenten!$B20))</f>
        <v>└ eRound / SCS</v>
      </c>
      <c r="C51" s="92" t="str">
        <f aca="false">IF(Komponenten!$D20="","",IF(AND(Komponenten!$A20=Komponenten!$A19,Komponenten!$B20=Komponenten!$B19,Komponenten!$C20=Komponenten!$C19),"","└ "&amp;Komponenten!$C20))</f>
        <v>└ Schnittstelle</v>
      </c>
      <c r="D51" s="93" t="str">
        <f aca="false">IF(Komponenten!$D20="","","└ "&amp;Komponenten!$D20&amp;CHAR(10)&amp;Komponenten!$E20&amp;" Anforderungen · "&amp;Komponenten!$H20&amp;"/"&amp;Komponenten!$E20&amp;" erfüllt"&amp;CHAR(10)&amp;"Status: "&amp;Komponenten!$J20)</f>
        <v>└ OCPI Buchungskalender / Abrechnungskomponente / Belegungsdetektion / Pönalisierungssystem
1 Anforderungen · 0/1 erfüllt
Status: erfasst</v>
      </c>
      <c r="E51" s="93"/>
    </row>
    <row r="52" customFormat="false" ht="45.75" hidden="false" customHeight="true" outlineLevel="0" collapsed="false">
      <c r="A52" s="91" t="str">
        <f aca="false">IF(Komponenten!$D21="","",IF(Komponenten!$A21=Komponenten!$A20,"",Komponenten!$A21))</f>
        <v/>
      </c>
      <c r="B52" s="92" t="str">
        <f aca="false">IF(Komponenten!$D21="","",IF(AND(Komponenten!$A21=Komponenten!$A20,Komponenten!$B21=Komponenten!$B20),"","└ "&amp;Komponenten!$B21))</f>
        <v/>
      </c>
      <c r="C52" s="92" t="str">
        <f aca="false">IF(Komponenten!$D21="","",IF(AND(Komponenten!$A21=Komponenten!$A20,Komponenten!$B21=Komponenten!$B20,Komponenten!$C21=Komponenten!$C20),"","└ "&amp;Komponenten!$C21))</f>
        <v/>
      </c>
      <c r="D52" s="93" t="str">
        <f aca="false">IF(Komponenten!$D21="","","└ "&amp;Komponenten!$D21&amp;CHAR(10)&amp;Komponenten!$E21&amp;" Anforderungen · "&amp;Komponenten!$H21&amp;"/"&amp;Komponenten!$E21&amp;" erfüllt"&amp;CHAR(10)&amp;"Status: "&amp;Komponenten!$J21)</f>
        <v>└ OCPI Buchungskalender / Dynamische Anzeige
5 Anforderungen · 1/5 erfüllt
Status: erfasst</v>
      </c>
      <c r="E52" s="93"/>
    </row>
    <row r="53" customFormat="false" ht="45.75" hidden="false" customHeight="true" outlineLevel="0" collapsed="false">
      <c r="A53" s="91" t="str">
        <f aca="false">IF(Komponenten!$D22="","",IF(Komponenten!$A22=Komponenten!$A21,"",Komponenten!$A22))</f>
        <v/>
      </c>
      <c r="B53" s="92" t="str">
        <f aca="false">IF(Komponenten!$D22="","",IF(AND(Komponenten!$A22=Komponenten!$A21,Komponenten!$B22=Komponenten!$B21),"","└ "&amp;Komponenten!$B22))</f>
        <v/>
      </c>
      <c r="C53" s="92" t="str">
        <f aca="false">IF(Komponenten!$D22="","",IF(AND(Komponenten!$A22=Komponenten!$A21,Komponenten!$B22=Komponenten!$B21,Komponenten!$C22=Komponenten!$C21),"","└ "&amp;Komponenten!$C22))</f>
        <v/>
      </c>
      <c r="D53" s="93" t="str">
        <f aca="false">IF(Komponenten!$D22="","","└ "&amp;Komponenten!$D22&amp;CHAR(10)&amp;Komponenten!$E22&amp;" Anforderungen · "&amp;Komponenten!$H22&amp;"/"&amp;Komponenten!$E22&amp;" erfüllt"&amp;CHAR(10)&amp;"Status: "&amp;Komponenten!$J22)</f>
        <v>└ OCPI Buchungskalender / Kennzeichenerfassung / Pönalisierungssystem
2 Anforderungen · 0/2 erfüllt
Status: erfasst</v>
      </c>
      <c r="E53" s="93"/>
    </row>
    <row r="54" customFormat="false" ht="45.75" hidden="false" customHeight="true" outlineLevel="0" collapsed="false">
      <c r="A54" s="91" t="str">
        <f aca="false">IF(Komponenten!$D23="","",IF(Komponenten!$A23=Komponenten!$A22,"",Komponenten!$A23))</f>
        <v/>
      </c>
      <c r="B54" s="92" t="str">
        <f aca="false">IF(Komponenten!$D23="","",IF(AND(Komponenten!$A23=Komponenten!$A22,Komponenten!$B23=Komponenten!$B22),"","└ "&amp;Komponenten!$B23))</f>
        <v/>
      </c>
      <c r="C54" s="92" t="str">
        <f aca="false">IF(Komponenten!$D23="","",IF(AND(Komponenten!$A23=Komponenten!$A22,Komponenten!$B23=Komponenten!$B22,Komponenten!$C23=Komponenten!$C22),"","└ "&amp;Komponenten!$C23))</f>
        <v/>
      </c>
      <c r="D54" s="93" t="str">
        <f aca="false">IF(Komponenten!$D23="","","└ "&amp;Komponenten!$D23&amp;CHAR(10)&amp;Komponenten!$E23&amp;" Anforderungen · "&amp;Komponenten!$H23&amp;"/"&amp;Komponenten!$E23&amp;" erfüllt"&amp;CHAR(10)&amp;"Status: "&amp;Komponenten!$J23)</f>
        <v>└ Authentifizierungskomponente / Schrankensteuerung
8 Anforderungen · 1/8 erfüllt
Status: erfasst</v>
      </c>
      <c r="E54" s="93"/>
    </row>
    <row r="55" customFormat="false" ht="45.75" hidden="false" customHeight="true" outlineLevel="0" collapsed="false">
      <c r="A55" s="91" t="str">
        <f aca="false">IF(Komponenten!$D24="","",IF(Komponenten!$A24=Komponenten!$A23,"",Komponenten!$A24))</f>
        <v/>
      </c>
      <c r="B55" s="92" t="str">
        <f aca="false">IF(Komponenten!$D24="","",IF(AND(Komponenten!$A24=Komponenten!$A23,Komponenten!$B24=Komponenten!$B23),"","└ "&amp;Komponenten!$B24))</f>
        <v/>
      </c>
      <c r="C55" s="92" t="str">
        <f aca="false">IF(Komponenten!$D24="","",IF(AND(Komponenten!$A24=Komponenten!$A23,Komponenten!$B24=Komponenten!$B23,Komponenten!$C24=Komponenten!$C23),"","└ "&amp;Komponenten!$C24))</f>
        <v/>
      </c>
      <c r="D55" s="93" t="str">
        <f aca="false">IF(Komponenten!$D24="","","└ "&amp;Komponenten!$D24&amp;CHAR(10)&amp;Komponenten!$E24&amp;" Anforderungen · "&amp;Komponenten!$H24&amp;"/"&amp;Komponenten!$E24&amp;" erfüllt"&amp;CHAR(10)&amp;"Status: "&amp;Komponenten!$J24)</f>
        <v/>
      </c>
      <c r="E55" s="93"/>
    </row>
    <row r="56" customFormat="false" ht="45.75" hidden="false" customHeight="true" outlineLevel="0" collapsed="false">
      <c r="A56" s="91" t="str">
        <f aca="false">IF(Komponenten!$D25="","",IF(Komponenten!$A25=Komponenten!$A24,"",Komponenten!$A25))</f>
        <v/>
      </c>
      <c r="B56" s="92" t="str">
        <f aca="false">IF(Komponenten!$D25="","",IF(AND(Komponenten!$A25=Komponenten!$A24,Komponenten!$B25=Komponenten!$B24),"","└ "&amp;Komponenten!$B25))</f>
        <v/>
      </c>
      <c r="C56" s="92" t="str">
        <f aca="false">IF(Komponenten!$D25="","",IF(AND(Komponenten!$A25=Komponenten!$A24,Komponenten!$B25=Komponenten!$B24,Komponenten!$C25=Komponenten!$C24),"","└ "&amp;Komponenten!$C25))</f>
        <v/>
      </c>
      <c r="D56" s="93" t="str">
        <f aca="false">IF(Komponenten!$D25="","","└ "&amp;Komponenten!$D25&amp;CHAR(10)&amp;Komponenten!$E25&amp;" Anforderungen · "&amp;Komponenten!$H25&amp;"/"&amp;Komponenten!$E25&amp;" erfüllt"&amp;CHAR(10)&amp;"Status: "&amp;Komponenten!$J25)</f>
        <v/>
      </c>
      <c r="E56" s="93"/>
    </row>
    <row r="57" customFormat="false" ht="45.75" hidden="false" customHeight="true" outlineLevel="0" collapsed="false">
      <c r="A57" s="91" t="str">
        <f aca="false">IF(Komponenten!$D26="","",IF(Komponenten!$A26=Komponenten!$A25,"",Komponenten!$A26))</f>
        <v/>
      </c>
      <c r="B57" s="92" t="str">
        <f aca="false">IF(Komponenten!$D26="","",IF(AND(Komponenten!$A26=Komponenten!$A25,Komponenten!$B26=Komponenten!$B25),"","└ "&amp;Komponenten!$B26))</f>
        <v/>
      </c>
      <c r="C57" s="92" t="str">
        <f aca="false">IF(Komponenten!$D26="","",IF(AND(Komponenten!$A26=Komponenten!$A25,Komponenten!$B26=Komponenten!$B25,Komponenten!$C26=Komponenten!$C25),"","└ "&amp;Komponenten!$C26))</f>
        <v/>
      </c>
      <c r="D57" s="93" t="str">
        <f aca="false">IF(Komponenten!$D26="","","└ "&amp;Komponenten!$D26&amp;CHAR(10)&amp;Komponenten!$E26&amp;" Anforderungen · "&amp;Komponenten!$H26&amp;"/"&amp;Komponenten!$E26&amp;" erfüllt"&amp;CHAR(10)&amp;"Status: "&amp;Komponenten!$J26)</f>
        <v/>
      </c>
      <c r="E57" s="93"/>
    </row>
    <row r="58" customFormat="false" ht="45.75" hidden="false" customHeight="true" outlineLevel="0" collapsed="false">
      <c r="A58" s="91" t="str">
        <f aca="false">IF(Komponenten!$D27="","",IF(Komponenten!$A27=Komponenten!$A26,"",Komponenten!$A27))</f>
        <v/>
      </c>
      <c r="B58" s="92" t="str">
        <f aca="false">IF(Komponenten!$D27="","",IF(AND(Komponenten!$A27=Komponenten!$A26,Komponenten!$B27=Komponenten!$B26),"","└ "&amp;Komponenten!$B27))</f>
        <v/>
      </c>
      <c r="C58" s="92" t="str">
        <f aca="false">IF(Komponenten!$D27="","",IF(AND(Komponenten!$A27=Komponenten!$A26,Komponenten!$B27=Komponenten!$B26,Komponenten!$C27=Komponenten!$C26),"","└ "&amp;Komponenten!$C27))</f>
        <v/>
      </c>
      <c r="D58" s="93" t="str">
        <f aca="false">IF(Komponenten!$D27="","","└ "&amp;Komponenten!$D27&amp;CHAR(10)&amp;Komponenten!$E27&amp;" Anforderungen · "&amp;Komponenten!$H27&amp;"/"&amp;Komponenten!$E27&amp;" erfüllt"&amp;CHAR(10)&amp;"Status: "&amp;Komponenten!$J27)</f>
        <v/>
      </c>
      <c r="E58" s="93"/>
    </row>
    <row r="59" customFormat="false" ht="45.75" hidden="false" customHeight="true" outlineLevel="0" collapsed="false">
      <c r="A59" s="91" t="str">
        <f aca="false">IF(Komponenten!$D28="","",IF(Komponenten!$A28=Komponenten!$A27,"",Komponenten!$A28))</f>
        <v/>
      </c>
      <c r="B59" s="92" t="str">
        <f aca="false">IF(Komponenten!$D28="","",IF(AND(Komponenten!$A28=Komponenten!$A27,Komponenten!$B28=Komponenten!$B27),"","└ "&amp;Komponenten!$B28))</f>
        <v/>
      </c>
      <c r="C59" s="92" t="str">
        <f aca="false">IF(Komponenten!$D28="","",IF(AND(Komponenten!$A28=Komponenten!$A27,Komponenten!$B28=Komponenten!$B27,Komponenten!$C28=Komponenten!$C27),"","└ "&amp;Komponenten!$C28))</f>
        <v/>
      </c>
      <c r="D59" s="93" t="str">
        <f aca="false">IF(Komponenten!$D28="","","└ "&amp;Komponenten!$D28&amp;CHAR(10)&amp;Komponenten!$E28&amp;" Anforderungen · "&amp;Komponenten!$H28&amp;"/"&amp;Komponenten!$E28&amp;" erfüllt"&amp;CHAR(10)&amp;"Status: "&amp;Komponenten!$J28)</f>
        <v/>
      </c>
      <c r="E59" s="93"/>
    </row>
    <row r="60" customFormat="false" ht="45.75" hidden="false" customHeight="true" outlineLevel="0" collapsed="false">
      <c r="A60" s="91" t="str">
        <f aca="false">IF(Komponenten!$D29="","",IF(Komponenten!$A29=Komponenten!$A28,"",Komponenten!$A29))</f>
        <v/>
      </c>
      <c r="B60" s="92" t="str">
        <f aca="false">IF(Komponenten!$D29="","",IF(AND(Komponenten!$A29=Komponenten!$A28,Komponenten!$B29=Komponenten!$B28),"","└ "&amp;Komponenten!$B29))</f>
        <v/>
      </c>
      <c r="C60" s="92" t="str">
        <f aca="false">IF(Komponenten!$D29="","",IF(AND(Komponenten!$A29=Komponenten!$A28,Komponenten!$B29=Komponenten!$B28,Komponenten!$C29=Komponenten!$C28),"","└ "&amp;Komponenten!$C29))</f>
        <v/>
      </c>
      <c r="D60" s="93" t="str">
        <f aca="false">IF(Komponenten!$D29="","","└ "&amp;Komponenten!$D29&amp;CHAR(10)&amp;Komponenten!$E29&amp;" Anforderungen · "&amp;Komponenten!$H29&amp;"/"&amp;Komponenten!$E29&amp;" erfüllt"&amp;CHAR(10)&amp;"Status: "&amp;Komponenten!$J29)</f>
        <v/>
      </c>
      <c r="E60" s="93"/>
    </row>
    <row r="62" customFormat="false" ht="15" hidden="false" customHeight="true" outlineLevel="0" collapsed="false">
      <c r="A62" s="94" t="s">
        <v>6279</v>
      </c>
    </row>
    <row r="63" customFormat="false" ht="15" hidden="false" customHeight="true" outlineLevel="0" collapsed="false">
      <c r="A63" s="95" t="s">
        <v>47</v>
      </c>
      <c r="B63" s="96" t="s">
        <v>175</v>
      </c>
      <c r="C63" s="97" t="s">
        <v>167</v>
      </c>
      <c r="D63" s="98" t="s">
        <v>151</v>
      </c>
      <c r="E63" s="99" t="s">
        <v>6280</v>
      </c>
    </row>
  </sheetData>
  <mergeCells count="26">
    <mergeCell ref="A2:K2"/>
    <mergeCell ref="A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s>
  <conditionalFormatting sqref="A37:A60">
    <cfRule type="expression" priority="2" aboveAverage="0" equalAverage="0" bottom="0" percent="0" rank="0" text="" dxfId="29">
      <formula>$A37&lt;&gt;""</formula>
    </cfRule>
  </conditionalFormatting>
  <conditionalFormatting sqref="B37:B60">
    <cfRule type="expression" priority="3" aboveAverage="0" equalAverage="0" bottom="0" percent="0" rank="0" text="" dxfId="30">
      <formula>$B37&lt;&gt;""</formula>
    </cfRule>
  </conditionalFormatting>
  <conditionalFormatting sqref="C37:C60">
    <cfRule type="expression" priority="4" aboveAverage="0" equalAverage="0" bottom="0" percent="0" rank="0" text="" dxfId="31">
      <formula>$C37&lt;&gt;""</formula>
    </cfRule>
  </conditionalFormatting>
  <conditionalFormatting sqref="D37:E60">
    <cfRule type="expression" priority="5" aboveAverage="0" equalAverage="0" bottom="0" percent="0" rank="0" text="" dxfId="32">
      <formula>Komponenten!$J$6="erfasst"</formula>
    </cfRule>
    <cfRule type="expression" priority="6" aboveAverage="0" equalAverage="0" bottom="0" percent="0" rank="0" text="" dxfId="33">
      <formula>Komponenten!$J$6="bewertet"</formula>
    </cfRule>
    <cfRule type="expression" priority="7" aboveAverage="0" equalAverage="0" bottom="0" percent="0" rank="0" text="" dxfId="18">
      <formula>Komponenten!$J$6="erfüllt"</formula>
    </cfRule>
    <cfRule type="expression" priority="8" aboveAverage="0" equalAverage="0" bottom="0" percent="0" rank="0" text="" dxfId="19">
      <formula>Komponenten!$J$6="trifft nicht zu"</formula>
    </cfRule>
    <cfRule type="expression" priority="9" aboveAverage="0" equalAverage="0" bottom="0" percent="0" rank="0" text="" dxfId="28">
      <formula>Komponenten!$J$6="keine Anforderungen"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Org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6281</v>
      </c>
      <c r="B1" s="2"/>
    </row>
    <row r="2" customFormat="false" ht="15" hidden="false" customHeight="true" outlineLevel="0" collapsed="false">
      <c r="A2" s="100" t="s">
        <v>6282</v>
      </c>
      <c r="B2" s="100"/>
    </row>
    <row r="5" customFormat="false" ht="33.75" hidden="false" customHeight="true" outlineLevel="0" collapsed="false">
      <c r="A5" s="101" t="s">
        <v>6283</v>
      </c>
      <c r="B5" s="102" t="s">
        <v>6284</v>
      </c>
    </row>
    <row r="6" customFormat="false" ht="33.75" hidden="false" customHeight="true" outlineLevel="0" collapsed="false">
      <c r="A6" s="101" t="s">
        <v>6246</v>
      </c>
      <c r="B6" s="102" t="s">
        <v>6285</v>
      </c>
    </row>
    <row r="7" customFormat="false" ht="33.75" hidden="false" customHeight="true" outlineLevel="0" collapsed="false">
      <c r="A7" s="101" t="s">
        <v>6286</v>
      </c>
      <c r="B7" s="102" t="s">
        <v>6287</v>
      </c>
    </row>
    <row r="8" customFormat="false" ht="33.75" hidden="false" customHeight="true" outlineLevel="0" collapsed="false">
      <c r="A8" s="101" t="s">
        <v>6288</v>
      </c>
      <c r="B8" s="102" t="s">
        <v>6289</v>
      </c>
    </row>
    <row r="9" customFormat="false" ht="33.75" hidden="false" customHeight="true" outlineLevel="0" collapsed="false">
      <c r="A9" s="101" t="s">
        <v>6290</v>
      </c>
      <c r="B9" s="102" t="s">
        <v>6291</v>
      </c>
    </row>
    <row r="10" customFormat="false" ht="33.75" hidden="false" customHeight="true" outlineLevel="0" collapsed="false">
      <c r="A10" s="101" t="s">
        <v>6292</v>
      </c>
      <c r="B10" s="102" t="s">
        <v>6293</v>
      </c>
    </row>
    <row r="11" customFormat="false" ht="15" hidden="false" customHeight="true" outlineLevel="0" collapsed="false">
      <c r="A11" s="103"/>
      <c r="B11" s="48"/>
    </row>
    <row r="12" customFormat="false" ht="33.75" hidden="false" customHeight="true" outlineLevel="0" collapsed="false">
      <c r="A12" s="101" t="s">
        <v>6294</v>
      </c>
      <c r="B12" s="102" t="s">
        <v>6295</v>
      </c>
    </row>
    <row r="13" customFormat="false" ht="33.75" hidden="false" customHeight="true" outlineLevel="0" collapsed="false">
      <c r="A13" s="101" t="s">
        <v>6296</v>
      </c>
      <c r="B13" s="102" t="s">
        <v>6297</v>
      </c>
    </row>
    <row r="14" customFormat="false" ht="33.75" hidden="false" customHeight="true" outlineLevel="0" collapsed="false">
      <c r="A14" s="101" t="s">
        <v>6298</v>
      </c>
      <c r="B14" s="102" t="s">
        <v>6299</v>
      </c>
    </row>
    <row r="15" customFormat="false" ht="33.75" hidden="false" customHeight="true" outlineLevel="0" collapsed="false">
      <c r="A15" s="101" t="s">
        <v>6300</v>
      </c>
      <c r="B15" s="102" t="s">
        <v>6301</v>
      </c>
    </row>
    <row r="16" customFormat="false" ht="30" hidden="false" customHeight="true" outlineLevel="0" collapsed="false">
      <c r="A16" s="103" t="s">
        <v>35</v>
      </c>
      <c r="B16" s="48" t="s">
        <v>6302</v>
      </c>
    </row>
    <row r="17" customFormat="false" ht="33.75" hidden="false" customHeight="true" outlineLevel="0" collapsed="false">
      <c r="A17" s="101" t="s">
        <v>36</v>
      </c>
      <c r="B17" s="102" t="s">
        <v>6303</v>
      </c>
    </row>
    <row r="18" customFormat="false" ht="33.75" hidden="false" customHeight="true" outlineLevel="0" collapsed="false">
      <c r="A18" s="101" t="s">
        <v>6304</v>
      </c>
      <c r="B18" s="102" t="s">
        <v>6305</v>
      </c>
    </row>
    <row r="19" customFormat="false" ht="30" hidden="false" customHeight="true" outlineLevel="0" collapsed="false">
      <c r="A19" s="103" t="s">
        <v>14</v>
      </c>
      <c r="B19" s="48" t="s">
        <v>6306</v>
      </c>
    </row>
    <row r="20" customFormat="false" ht="30" hidden="false" customHeight="true" outlineLevel="0" collapsed="false">
      <c r="A20" s="103" t="s">
        <v>6307</v>
      </c>
      <c r="B20" s="48" t="s">
        <v>6308</v>
      </c>
    </row>
    <row r="21" customFormat="false" ht="30" hidden="false" customHeight="true" outlineLevel="0" collapsed="false">
      <c r="A21" s="103" t="s">
        <v>6235</v>
      </c>
      <c r="B21" s="48" t="s">
        <v>6309</v>
      </c>
    </row>
    <row r="22" customFormat="false" ht="15" hidden="false" customHeight="true" outlineLevel="0" collapsed="false">
      <c r="A22" s="104"/>
      <c r="B22" s="48"/>
    </row>
    <row r="23" customFormat="false" ht="42" hidden="false" customHeight="true" outlineLevel="0" collapsed="false">
      <c r="A23" s="103" t="s">
        <v>286</v>
      </c>
      <c r="B23" s="48" t="s">
        <v>6310</v>
      </c>
    </row>
    <row r="24" customFormat="false" ht="42" hidden="false" customHeight="true" outlineLevel="0" collapsed="false">
      <c r="A24" s="103" t="s">
        <v>29</v>
      </c>
      <c r="B24" s="48" t="s">
        <v>6311</v>
      </c>
    </row>
    <row r="25" customFormat="false" ht="42" hidden="false" customHeight="true" outlineLevel="0" collapsed="false">
      <c r="A25" s="103" t="s">
        <v>6312</v>
      </c>
      <c r="B25" s="48" t="s">
        <v>6313</v>
      </c>
    </row>
    <row r="26" customFormat="false" ht="42" hidden="false" customHeight="true" outlineLevel="0" collapsed="false">
      <c r="A26" s="103" t="s">
        <v>476</v>
      </c>
      <c r="B26" s="48" t="s">
        <v>6314</v>
      </c>
    </row>
    <row r="27" customFormat="false" ht="42" hidden="false" customHeight="true" outlineLevel="0" collapsed="false">
      <c r="A27" s="103" t="s">
        <v>6265</v>
      </c>
      <c r="B27" s="48" t="s">
        <v>6315</v>
      </c>
    </row>
    <row r="28" customFormat="false" ht="42" hidden="false" customHeight="true" outlineLevel="0" collapsed="false">
      <c r="A28" s="103" t="s">
        <v>6316</v>
      </c>
      <c r="B28" s="48" t="s">
        <v>6317</v>
      </c>
    </row>
    <row r="29" customFormat="false" ht="42" hidden="false" customHeight="true" outlineLevel="0" collapsed="false">
      <c r="A29" s="103" t="s">
        <v>6318</v>
      </c>
      <c r="B29" s="48" t="s">
        <v>6319</v>
      </c>
    </row>
    <row r="30" customFormat="false" ht="42" hidden="false" customHeight="true" outlineLevel="0" collapsed="false">
      <c r="A30" s="103" t="s">
        <v>6320</v>
      </c>
      <c r="B30" s="48" t="s">
        <v>6321</v>
      </c>
    </row>
    <row r="31" customFormat="false" ht="42" hidden="false" customHeight="true" outlineLevel="0" collapsed="false">
      <c r="A31" s="103" t="s">
        <v>37</v>
      </c>
      <c r="B31" s="48" t="s">
        <v>6322</v>
      </c>
    </row>
    <row r="32" customFormat="false" ht="42" hidden="false" customHeight="true" outlineLevel="0" collapsed="false">
      <c r="A32" s="103" t="s">
        <v>6320</v>
      </c>
      <c r="B32" s="48" t="s">
        <v>6321</v>
      </c>
    </row>
    <row r="33" customFormat="false" ht="42" hidden="false" customHeight="true" outlineLevel="0" collapsed="false">
      <c r="A33" s="103" t="s">
        <v>6320</v>
      </c>
      <c r="B33" s="48" t="s">
        <v>6321</v>
      </c>
    </row>
    <row r="34" customFormat="false" ht="42" hidden="false" customHeight="true" outlineLevel="0" collapsed="false">
      <c r="A34" s="103" t="s">
        <v>6320</v>
      </c>
      <c r="B34" s="48" t="s">
        <v>6321</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2026-08-31T09:36:44Z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