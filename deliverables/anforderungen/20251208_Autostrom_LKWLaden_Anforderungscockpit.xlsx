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ckpit" sheetId="1" state="visible" r:id="rId1"/>
    <sheet name="Anforderungen" sheetId="2" state="visible" r:id="rId2"/>
    <sheet name="Auswertung" sheetId="3" state="visible" r:id="rId3"/>
    <sheet name="Komponenten" sheetId="4" state="visible" r:id="rId4"/>
    <sheet name="Anzeigekonzept" sheetId="5" state="visible" r:id="rId5"/>
    <sheet name="Lesehilfe" sheetId="6" state="visible" r:id="rId6"/>
  </sheets>
  <definedNames>
    <definedName name="_xlnm.Print_Titles" localSheetId="1">'Anforderungen'!$6:$6</definedName>
    <definedName name="_xlnm.Print_Area" localSheetId="2">'Auswertung'!$A$1:$D$56</definedName>
    <definedName name="_xlnm._FilterDatabase" localSheetId="3" hidden="1">'Komponenten'!$A$5:$F$22</definedName>
  </definedNames>
  <calcPr calcId="124519" fullCalcOnLoad="1"/>
</workbook>
</file>

<file path=xl/styles.xml><?xml version="1.0" encoding="utf-8"?>
<styleSheet xmlns="http://schemas.openxmlformats.org/spreadsheetml/2006/main">
  <numFmts count="2">
    <numFmt numFmtId="164" formatCode="DD.MM.YYYY"/>
    <numFmt numFmtId="165" formatCode="0 %"/>
  </numFmts>
  <fonts count="10">
    <font>
      <name val="Calibri"/>
      <family val="2"/>
      <color theme="1"/>
      <sz val="11"/>
      <scheme val="minor"/>
    </font>
    <font>
      <name val="Arial"/>
      <b val="1"/>
      <color rgb="001F3864"/>
      <sz val="16"/>
    </font>
    <font>
      <name val="Arial"/>
      <color rgb="00595959"/>
      <sz val="10"/>
    </font>
    <font>
      <name val="Arial"/>
      <i val="1"/>
      <color rgb="00808080"/>
      <sz val="9"/>
    </font>
    <font>
      <name val="Arial"/>
      <b val="1"/>
      <color rgb="00FFFFFF"/>
      <sz val="10"/>
    </font>
    <font>
      <name val="Arial"/>
      <color rgb="00000000"/>
      <sz val="10"/>
    </font>
    <font>
      <name val="Arial"/>
      <b val="1"/>
      <color rgb="001F3864"/>
      <sz val="10"/>
    </font>
    <font>
      <name val="Arial"/>
      <b val="1"/>
      <color rgb="00000000"/>
      <sz val="10"/>
    </font>
    <font>
      <name val="Arial"/>
      <color rgb="00404040"/>
      <sz val="9"/>
    </font>
    <font>
      <name val="Arial"/>
      <b val="1"/>
      <color rgb="001F3864"/>
      <sz val="11"/>
    </font>
  </fonts>
  <fills count="7">
    <fill>
      <patternFill/>
    </fill>
    <fill>
      <patternFill patternType="gray125"/>
    </fill>
    <fill>
      <patternFill patternType="solid">
        <fgColor rgb="001F3864"/>
      </patternFill>
    </fill>
    <fill>
      <patternFill patternType="solid">
        <fgColor rgb="00F2F2F2"/>
      </patternFill>
    </fill>
    <fill>
      <patternFill patternType="solid">
        <fgColor rgb="00FFF9E1"/>
      </patternFill>
    </fill>
    <fill>
      <patternFill patternType="solid">
        <fgColor rgb="00D9E2F3"/>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7" fillId="6" borderId="1" pivotButton="0" quotePrefix="0" xfId="0"/>
    <xf numFmtId="1" fontId="7" fillId="6" borderId="1" applyAlignment="1" pivotButton="0" quotePrefix="0" xfId="0">
      <alignment horizontal="center"/>
    </xf>
    <xf numFmtId="0" fontId="5" fillId="3" borderId="1" pivotButton="0" quotePrefix="0" xfId="0"/>
    <xf numFmtId="1" fontId="5" fillId="3" borderId="1" applyAlignment="1" pivotButton="0" quotePrefix="0" xfId="0">
      <alignment horizontal="center"/>
    </xf>
    <xf numFmtId="165" fontId="7" fillId="6" borderId="1" applyAlignment="1" pivotButton="0" quotePrefix="0" xfId="0">
      <alignment horizontal="center"/>
    </xf>
    <xf numFmtId="0" fontId="4" fillId="2" borderId="1" applyAlignment="1" pivotButton="0" quotePrefix="0" xfId="0">
      <alignment horizontal="left" vertical="center" wrapText="1"/>
    </xf>
    <xf numFmtId="0" fontId="6" fillId="3" borderId="1" applyAlignment="1" pivotButton="0" quotePrefix="0" xfId="0">
      <alignment vertical="top" wrapText="1"/>
    </xf>
    <xf numFmtId="0" fontId="5" fillId="0" borderId="1" applyAlignment="1" pivotButton="0" quotePrefix="0" xfId="0">
      <alignment vertical="top" wrapText="1"/>
    </xf>
    <xf numFmtId="0" fontId="5" fillId="3"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5" fillId="3" borderId="1" applyAlignment="1" pivotButton="0" quotePrefix="0" xfId="0">
      <alignment horizontal="center" vertical="top"/>
    </xf>
    <xf numFmtId="0" fontId="5" fillId="4" borderId="1" applyAlignment="1" pivotButton="0" quotePrefix="0" xfId="0">
      <alignment vertical="top" wrapText="1"/>
    </xf>
    <xf numFmtId="164" fontId="5" fillId="4" borderId="1" applyAlignment="1" pivotButton="0" quotePrefix="0" xfId="0">
      <alignment vertical="top" wrapText="1"/>
    </xf>
    <xf numFmtId="0" fontId="9" fillId="5" borderId="1" pivotButton="0" quotePrefix="0" xfId="0"/>
    <xf numFmtId="0" fontId="0" fillId="5" borderId="1" pivotButton="0" quotePrefix="0" xfId="0"/>
    <xf numFmtId="0" fontId="4" fillId="2" borderId="1" applyAlignment="1" pivotButton="0" quotePrefix="0" xfId="0">
      <alignment horizontal="left" wrapText="1"/>
    </xf>
    <xf numFmtId="0" fontId="4" fillId="2" borderId="1" applyAlignment="1" pivotButton="0" quotePrefix="0" xfId="0">
      <alignment horizontal="center" wrapText="1"/>
    </xf>
    <xf numFmtId="0" fontId="7" fillId="3" borderId="1" applyAlignment="1" pivotButton="0" quotePrefix="0" xfId="0">
      <alignment horizontal="center"/>
    </xf>
    <xf numFmtId="0" fontId="5" fillId="3" borderId="1" applyAlignment="1" pivotButton="0" quotePrefix="0" xfId="0">
      <alignment horizontal="center"/>
    </xf>
    <xf numFmtId="165" fontId="5" fillId="3" borderId="1" applyAlignment="1" pivotButton="0" quotePrefix="0" xfId="0">
      <alignment horizontal="center"/>
    </xf>
    <xf numFmtId="0" fontId="4" fillId="2" borderId="1" applyAlignment="1" pivotButton="0" quotePrefix="0" xfId="0">
      <alignment vertical="center" wrapText="1"/>
    </xf>
    <xf numFmtId="0" fontId="7" fillId="3" borderId="1" applyAlignment="1" pivotButton="0" quotePrefix="0" xfId="0">
      <alignment vertical="center" wrapText="1"/>
    </xf>
    <xf numFmtId="0" fontId="5" fillId="3" borderId="1" applyAlignment="1" pivotButton="0" quotePrefix="0" xfId="0">
      <alignment vertical="center" wrapText="1"/>
    </xf>
    <xf numFmtId="0" fontId="5" fillId="6" borderId="1" applyAlignment="1" pivotButton="0" quotePrefix="0" xfId="0">
      <alignment vertical="center" wrapText="1"/>
    </xf>
    <xf numFmtId="0" fontId="9" fillId="0" borderId="0" pivotButton="0" quotePrefix="0" xfId="0"/>
    <xf numFmtId="0" fontId="5" fillId="0" borderId="0" applyAlignment="1" pivotButton="0" quotePrefix="0" xfId="0">
      <alignment vertical="top" wrapText="1"/>
    </xf>
    <xf numFmtId="0" fontId="6" fillId="5" borderId="1" applyAlignment="1" pivotButton="0" quotePrefix="0" xfId="0">
      <alignment vertical="top" wrapText="1"/>
    </xf>
  </cellXfs>
  <cellStyles count="1">
    <cellStyle name="Normal" xfId="0" builtinId="0" hidden="0"/>
  </cellStyles>
  <dxfs count="3">
    <dxf>
      <font>
        <name val="Arial"/>
        <b val="1"/>
        <color rgb="009C3400"/>
        <sz val="10"/>
      </font>
      <fill>
        <patternFill patternType="solid">
          <bgColor rgb="00FCE4D6"/>
        </patternFill>
      </fill>
    </dxf>
    <dxf>
      <font>
        <name val="Arial"/>
        <color rgb="00006100"/>
        <sz val="10"/>
      </font>
      <fill>
        <patternFill patternType="solid">
          <bgColor rgb="00C6EFCE"/>
        </patternFill>
      </fill>
    </dxf>
    <dxf>
      <font>
        <name val="Arial"/>
        <color rgb="009C0006"/>
        <sz val="10"/>
      </font>
      <fill>
        <patternFill patternType="solid">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Nach Themenfeld</a:t>
            </a:r>
          </a:p>
        </rich>
      </tx>
    </title>
    <plotArea>
      <barChart>
        <barDir val="bar"/>
        <grouping val="clustered"/>
        <ser>
          <idx val="0"/>
          <order val="0"/>
          <tx>
            <v>Anforderungen</v>
          </tx>
          <spPr>
            <a:solidFill>
              <a:srgbClr val="4472C4"/>
            </a:solidFill>
            <a:ln>
              <a:prstDash val="solid"/>
            </a:ln>
          </spPr>
          <cat>
            <numRef>
              <f>'Auswertung'!$A$7:$A$15</f>
            </numRef>
          </cat>
          <val>
            <numRef>
              <f>'Auswertung'!$B$7:$B$15</f>
            </numRef>
          </val>
        </ser>
        <gapWidth val="40"/>
        <axId val="10"/>
        <axId val="100"/>
      </barChart>
      <catAx>
        <axId val="10"/>
        <scaling>
          <orientation val="minMax"/>
        </scaling>
        <delete val="0"/>
        <axPos val="l"/>
        <majorTickMark val="none"/>
        <minorTickMark val="none"/>
        <crossAx val="100"/>
        <lblOffset val="100"/>
        <tickLblSkip val="1"/>
        <tickMarkSkip val="1"/>
      </catAx>
      <valAx>
        <axId val="100"/>
        <scaling>
          <orientation val="minMax"/>
        </scaling>
        <delete val="0"/>
        <axPos val="b"/>
        <majorTickMark val="none"/>
        <minorTickMark val="none"/>
        <crossAx val="10"/>
      </valAx>
    </plotArea>
    <plotVisOnly val="1"/>
    <dispBlanksAs val="gap"/>
  </chart>
  <spPr>
    <a:solidFill>
      <a:srgbClr val="FFFFFF"/>
    </a:solidFill>
    <a:ln>
      <a:solidFill>
        <a:srgbClr val="BFBFBF"/>
      </a:solidFill>
      <a:prstDash val="solid"/>
    </a:ln>
  </spPr>
</chartSpace>
</file>

<file path=xl/charts/chart2.xml><?xml version="1.0" encoding="utf-8"?>
<chartSpace xmlns:a="http://schemas.openxmlformats.org/drawingml/2006/main" xmlns="http://schemas.openxmlformats.org/drawingml/2006/chart">
  <chart>
    <title>
      <tx>
        <rich>
          <a:bodyPr/>
          <a:p>
            <a:pPr>
              <a:defRPr/>
            </a:pPr>
            <a:r>
              <a:t>Nach Partner</a:t>
            </a:r>
          </a:p>
        </rich>
      </tx>
    </title>
    <plotArea>
      <barChart>
        <barDir val="bar"/>
        <grouping val="clustered"/>
        <ser>
          <idx val="0"/>
          <order val="0"/>
          <tx>
            <v>Anforderungen</v>
          </tx>
          <spPr>
            <a:solidFill>
              <a:srgbClr val="ED7D31"/>
            </a:solidFill>
            <a:ln>
              <a:prstDash val="solid"/>
            </a:ln>
          </spPr>
          <cat>
            <numRef>
              <f>'Auswertung'!$A$20:$A$25</f>
            </numRef>
          </cat>
          <val>
            <numRef>
              <f>'Auswertung'!$B$20:$B$25</f>
            </numRef>
          </val>
        </ser>
        <gapWidth val="40"/>
        <axId val="10"/>
        <axId val="100"/>
      </barChart>
      <catAx>
        <axId val="10"/>
        <scaling>
          <orientation val="minMax"/>
        </scaling>
        <delete val="0"/>
        <axPos val="l"/>
        <majorTickMark val="none"/>
        <minorTickMark val="none"/>
        <crossAx val="100"/>
        <lblOffset val="100"/>
        <tickLblSkip val="1"/>
        <tickMarkSkip val="1"/>
      </catAx>
      <valAx>
        <axId val="100"/>
        <scaling>
          <orientation val="minMax"/>
        </scaling>
        <delete val="0"/>
        <axPos val="b"/>
        <majorTickMark val="none"/>
        <minorTickMark val="none"/>
        <crossAx val="10"/>
      </valAx>
    </plotArea>
    <plotVisOnly val="1"/>
    <dispBlanksAs val="gap"/>
  </chart>
  <spPr>
    <a:solidFill>
      <a:srgbClr val="FFFFFF"/>
    </a:solidFill>
    <a:ln>
      <a:solidFill>
        <a:srgbClr val="BFBFBF"/>
      </a:solidFill>
      <a:prstDash val="solid"/>
    </a:ln>
  </spPr>
</chartSpace>
</file>

<file path=xl/charts/chart3.xml><?xml version="1.0" encoding="utf-8"?>
<chartSpace xmlns:a="http://schemas.openxmlformats.org/drawingml/2006/main" xmlns="http://schemas.openxmlformats.org/drawingml/2006/chart">
  <chart>
    <title>
      <tx>
        <rich>
          <a:bodyPr/>
          <a:p>
            <a:pPr>
              <a:defRPr/>
            </a:pPr>
            <a:r>
              <a:t>Nach Komponente</a:t>
            </a:r>
          </a:p>
        </rich>
      </tx>
    </title>
    <plotArea>
      <barChart>
        <barDir val="bar"/>
        <grouping val="clustered"/>
        <ser>
          <idx val="0"/>
          <order val="0"/>
          <tx>
            <v>Anforderungen</v>
          </tx>
          <spPr>
            <a:solidFill>
              <a:srgbClr val="70AD47"/>
            </a:solidFill>
            <a:ln>
              <a:prstDash val="solid"/>
            </a:ln>
          </spPr>
          <cat>
            <numRef>
              <f>'Auswertung'!$A$30:$A$43</f>
            </numRef>
          </cat>
          <val>
            <numRef>
              <f>'Auswertung'!$B$30:$B$43</f>
            </numRef>
          </val>
        </ser>
        <gapWidth val="40"/>
        <axId val="10"/>
        <axId val="100"/>
      </barChart>
      <catAx>
        <axId val="10"/>
        <scaling>
          <orientation val="minMax"/>
        </scaling>
        <delete val="0"/>
        <axPos val="l"/>
        <majorTickMark val="none"/>
        <minorTickMark val="none"/>
        <crossAx val="100"/>
        <lblOffset val="100"/>
        <tickLblSkip val="1"/>
        <tickMarkSkip val="1"/>
      </catAx>
      <valAx>
        <axId val="100"/>
        <scaling>
          <orientation val="minMax"/>
        </scaling>
        <delete val="0"/>
        <axPos val="b"/>
        <majorTickMark val="none"/>
        <minorTickMark val="none"/>
        <crossAx val="10"/>
      </valAx>
    </plotArea>
    <plotVisOnly val="1"/>
    <dispBlanksAs val="gap"/>
  </chart>
  <spPr>
    <a:solidFill>
      <a:srgbClr val="FFFFFF"/>
    </a:solidFill>
    <a:ln>
      <a:solidFill>
        <a:srgbClr val="BFBFBF"/>
      </a:solidFill>
      <a:prstDash val="solid"/>
    </a:ln>
  </spPr>
</chartSpace>
</file>

<file path=xl/charts/chart4.xml><?xml version="1.0" encoding="utf-8"?>
<chartSpace xmlns:a="http://schemas.openxmlformats.org/drawingml/2006/main" xmlns="http://schemas.openxmlformats.org/drawingml/2006/chart">
  <chart>
    <title>
      <tx>
        <rich>
          <a:bodyPr/>
          <a:p>
            <a:pPr>
              <a:defRPr/>
            </a:pPr>
            <a:r>
              <a:t>Nach Dokument</a:t>
            </a:r>
          </a:p>
        </rich>
      </tx>
    </title>
    <plotArea>
      <barChart>
        <barDir val="bar"/>
        <grouping val="clustered"/>
        <ser>
          <idx val="0"/>
          <order val="0"/>
          <tx>
            <v>Anforderungen</v>
          </tx>
          <spPr>
            <a:solidFill>
              <a:srgbClr val="7030A0"/>
            </a:solidFill>
            <a:ln>
              <a:prstDash val="solid"/>
            </a:ln>
          </spPr>
          <cat>
            <numRef>
              <f>'Auswertung'!$A$48:$A$53</f>
            </numRef>
          </cat>
          <val>
            <numRef>
              <f>'Auswertung'!$B$48:$B$53</f>
            </numRef>
          </val>
        </ser>
        <gapWidth val="40"/>
        <axId val="10"/>
        <axId val="100"/>
      </barChart>
      <catAx>
        <axId val="10"/>
        <scaling>
          <orientation val="minMax"/>
        </scaling>
        <delete val="0"/>
        <axPos val="l"/>
        <majorTickMark val="none"/>
        <minorTickMark val="none"/>
        <crossAx val="100"/>
        <lblOffset val="100"/>
        <tickLblSkip val="1"/>
        <tickMarkSkip val="1"/>
      </catAx>
      <valAx>
        <axId val="100"/>
        <scaling>
          <orientation val="minMax"/>
        </scaling>
        <delete val="0"/>
        <axPos val="b"/>
        <majorTickMark val="none"/>
        <minorTickMark val="none"/>
        <crossAx val="10"/>
      </valAx>
    </plotArea>
    <plotVisOnly val="1"/>
    <dispBlanksAs val="gap"/>
  </chart>
  <spPr>
    <a:solidFill>
      <a:srgbClr val="FFFFFF"/>
    </a:solidFill>
    <a:ln>
      <a:solidFill>
        <a:srgbClr val="BFBFBF"/>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220000" cy="29448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22</row>
      <rowOff>0</rowOff>
    </from>
    <ext cx="5220000" cy="2880000"/>
    <graphicFrame>
      <nvGraphicFramePr>
        <cNvPr id="2" name="Chart 2"/>
        <cNvGraphicFramePr/>
      </nvGraphicFramePr>
      <xfrm/>
      <a:graphic>
        <a:graphicData uri="http://schemas.openxmlformats.org/drawingml/2006/chart">
          <c:chart r:id="rId2"/>
        </a:graphicData>
      </a:graphic>
    </graphicFrame>
    <clientData/>
  </oneCellAnchor>
  <oneCellAnchor>
    <from>
      <col>11</col>
      <colOff>0</colOff>
      <row>4</row>
      <rowOff>0</rowOff>
    </from>
    <ext cx="5220000" cy="4060800"/>
    <graphicFrame>
      <nvGraphicFramePr>
        <cNvPr id="3" name="Chart 3"/>
        <cNvGraphicFramePr/>
      </nvGraphicFramePr>
      <xfrm/>
      <a:graphic>
        <a:graphicData uri="http://schemas.openxmlformats.org/drawingml/2006/chart">
          <c:chart r:id="rId3"/>
        </a:graphicData>
      </a:graphic>
    </graphicFrame>
    <clientData/>
  </oneCellAnchor>
  <oneCellAnchor>
    <from>
      <col>11</col>
      <colOff>0</colOff>
      <row>28</row>
      <rowOff>0</rowOff>
    </from>
    <ext cx="5220000" cy="2880000"/>
    <graphicFrame>
      <nvGraphicFramePr>
        <cNvPr id="4" name="Chart 4"/>
        <cNvGraphicFramePr/>
      </nvGraphicFramePr>
      <xfrm/>
      <a:graphic>
        <a:graphicData uri="http://schemas.openxmlformats.org/drawingml/2006/chart">
          <c:chart r:id="rId4"/>
        </a:graphicData>
      </a:graphic>
    </graphicFrame>
    <clientData/>
  </oneCellAnchor>
</wsDr>
</file>

<file path=xl/tables/table1.xml><?xml version="1.0" encoding="utf-8"?>
<table xmlns="http://schemas.openxmlformats.org/spreadsheetml/2006/main" id="1" name="tblAnf" displayName="tblAnf" ref="A6:O58" headerRowCount="1">
  <autoFilter ref="A6:O58"/>
  <tableColumns count="15">
    <tableColumn id="1" name="ID"/>
    <tableColumn id="2" name="Dokument"/>
    <tableColumn id="3" name="Fundstelle"/>
    <tableColumn id="4" name="Themenfeld"/>
    <tableColumn id="5" name="Kernaussage"/>
    <tableColumn id="6" name="Anforderung (Originaltext)"/>
    <tableColumn id="7" name="Bemerkung / Klärung"/>
    <tableColumn id="8" name="Partner"/>
    <tableColumn id="9" name="Komponente(n)"/>
    <tableColumn id="10" name="Klärungsbedarf"/>
    <tableColumn id="11" name="Status"/>
    <tableColumn id="12" name="Priorität"/>
    <tableColumn id="13" name="Verantwortlich"/>
    <tableColumn id="14" name="Fällig bis"/>
    <tableColumn id="15" name="Nachweis / Umsetzung"/>
  </tableColumns>
  <tableStyleInfo name="TableStyleLight8"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fitToPage="1"/>
  </sheetPr>
  <dimension ref="A1:B14"/>
  <sheetViews>
    <sheetView showGridLines="0" workbookViewId="0">
      <selection activeCell="A1" sqref="A1"/>
    </sheetView>
  </sheetViews>
  <sheetFormatPr baseColWidth="8" defaultRowHeight="15"/>
  <cols>
    <col width="30" customWidth="1" min="1" max="1"/>
    <col width="14" customWidth="1" min="2" max="2"/>
  </cols>
  <sheetData>
    <row r="1">
      <c r="A1" s="1" t="inlineStr">
        <is>
          <t>Cockpit – Anforderungen Autostrom / LKW-Laden</t>
        </is>
      </c>
    </row>
    <row r="2">
      <c r="A2" s="2" t="inlineStr">
        <is>
          <t>Reservierung, Zufahrt, Entgelte und Nachweise aus der Ausschreibung auf einen Blick</t>
        </is>
      </c>
    </row>
    <row r="3">
      <c r="A3" s="3" t="inlineStr">
        <is>
          <t>Alle Kacheln und Diagramme rechnen live aus dem Register „Anforderungen“.</t>
        </is>
      </c>
    </row>
    <row r="5">
      <c r="A5" s="4" t="inlineStr">
        <is>
          <t>Kennzahl</t>
        </is>
      </c>
      <c r="B5" s="4" t="inlineStr">
        <is>
          <t>Wert</t>
        </is>
      </c>
    </row>
    <row r="6">
      <c r="A6" s="5" t="inlineStr">
        <is>
          <t>Anforderungen gesamt</t>
        </is>
      </c>
      <c r="B6" s="6">
        <f>COUNTA(tblAnf[ID])</f>
        <v/>
      </c>
    </row>
    <row r="7">
      <c r="A7" s="5" t="inlineStr">
        <is>
          <t>mit Klärungsbedarf</t>
        </is>
      </c>
      <c r="B7" s="6">
        <f>COUNTIF(tblAnf[Klärungsbedarf],"ja")</f>
        <v/>
      </c>
    </row>
    <row r="8">
      <c r="A8" s="7" t="inlineStr">
        <is>
          <t>ohne zugeordneten Partner</t>
        </is>
      </c>
      <c r="B8" s="8">
        <f>COUNTIF(tblAnf[Partner],"offen")+COUNTIF(tblAnf[Partner],"*tbd*")</f>
        <v/>
      </c>
    </row>
    <row r="9">
      <c r="A9" s="7" t="inlineStr">
        <is>
          <t>Themenfelder</t>
        </is>
      </c>
      <c r="B9" s="8">
        <f>9</f>
        <v/>
      </c>
    </row>
    <row r="10">
      <c r="A10" s="7" t="inlineStr">
        <is>
          <t>Status offen</t>
        </is>
      </c>
      <c r="B10" s="8">
        <f>COUNTIF(tblAnf[Status],"offen")</f>
        <v/>
      </c>
    </row>
    <row r="11">
      <c r="A11" s="7" t="inlineStr">
        <is>
          <t>Status in Klärung</t>
        </is>
      </c>
      <c r="B11" s="8">
        <f>COUNTIF(tblAnf[Status],"in Klärung")</f>
        <v/>
      </c>
    </row>
    <row r="12">
      <c r="A12" s="7" t="inlineStr">
        <is>
          <t>Status in Umsetzung</t>
        </is>
      </c>
      <c r="B12" s="8">
        <f>COUNTIF(tblAnf[Status],"in Umsetzung")</f>
        <v/>
      </c>
    </row>
    <row r="13">
      <c r="A13" s="7" t="inlineStr">
        <is>
          <t>Status umgesetzt</t>
        </is>
      </c>
      <c r="B13" s="8">
        <f>COUNTIF(tblAnf[Status],"umgesetzt")</f>
        <v/>
      </c>
    </row>
    <row r="14">
      <c r="A14" s="5" t="inlineStr">
        <is>
          <t>Bearbeitungsgrad</t>
        </is>
      </c>
      <c r="B14" s="9">
        <f>IFERROR(COUNTIF(tblAnf[Status],"umgesetzt")/COUNTA(tblAnf[ID]),0)</f>
        <v/>
      </c>
    </row>
  </sheetData>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O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9" customWidth="1" min="1" max="1"/>
    <col width="19" customWidth="1" min="2" max="2"/>
    <col width="16" customWidth="1" min="3" max="3"/>
    <col width="24" customWidth="1" min="4" max="4"/>
    <col width="46" customWidth="1" min="5" max="5"/>
    <col width="78" customWidth="1" min="6" max="6"/>
    <col width="34" customWidth="1" min="7" max="7"/>
    <col width="16" customWidth="1" min="8" max="8"/>
    <col width="30" customWidth="1" min="9" max="9"/>
    <col width="13" customWidth="1" min="10" max="10"/>
    <col width="14" customWidth="1" min="11" max="11"/>
    <col width="11" customWidth="1" min="12" max="12"/>
    <col width="18" customWidth="1" min="13" max="13"/>
    <col width="13" customWidth="1" min="14" max="14"/>
    <col width="34" customWidth="1" min="15" max="15"/>
  </cols>
  <sheetData>
    <row r="1">
      <c r="A1" s="1" t="inlineStr">
        <is>
          <t>Anforderungsregister – Autostrom / LKW-Laden</t>
        </is>
      </c>
    </row>
    <row r="2">
      <c r="A2" s="2" t="inlineStr">
        <is>
          <t>Quelle: Betreibervertrag, Vertragsanlagen, Bieterfragen, Anlage 13 (Stand der Auswertung: 08.12.2025)</t>
        </is>
      </c>
    </row>
    <row r="3">
      <c r="A3" s="3" t="inlineStr">
        <is>
          <t>Weiß = Inhalt aus der Ausschreibung (nicht ändern) · Gelb = eigene Steuerung · Grau = automatisch berechnet</t>
        </is>
      </c>
    </row>
    <row r="6" ht="32" customHeight="1">
      <c r="A6" s="10" t="inlineStr">
        <is>
          <t>ID</t>
        </is>
      </c>
      <c r="B6" s="10" t="inlineStr">
        <is>
          <t>Dokument</t>
        </is>
      </c>
      <c r="C6" s="10" t="inlineStr">
        <is>
          <t>Fundstelle</t>
        </is>
      </c>
      <c r="D6" s="10" t="inlineStr">
        <is>
          <t>Themenfeld</t>
        </is>
      </c>
      <c r="E6" s="10" t="inlineStr">
        <is>
          <t>Kernaussage</t>
        </is>
      </c>
      <c r="F6" s="10" t="inlineStr">
        <is>
          <t>Anforderung (Originaltext)</t>
        </is>
      </c>
      <c r="G6" s="10" t="inlineStr">
        <is>
          <t>Bemerkung / Klärung</t>
        </is>
      </c>
      <c r="H6" s="10" t="inlineStr">
        <is>
          <t>Partner</t>
        </is>
      </c>
      <c r="I6" s="10" t="inlineStr">
        <is>
          <t>Komponente(n)</t>
        </is>
      </c>
      <c r="J6" s="10" t="inlineStr">
        <is>
          <t>Klärungsbedarf</t>
        </is>
      </c>
      <c r="K6" s="10" t="inlineStr">
        <is>
          <t>Status</t>
        </is>
      </c>
      <c r="L6" s="10" t="inlineStr">
        <is>
          <t>Priorität</t>
        </is>
      </c>
      <c r="M6" s="10" t="inlineStr">
        <is>
          <t>Verantwortlich</t>
        </is>
      </c>
      <c r="N6" s="10" t="inlineStr">
        <is>
          <t>Fällig bis</t>
        </is>
      </c>
      <c r="O6" s="10" t="inlineStr">
        <is>
          <t>Nachweis / Umsetzung</t>
        </is>
      </c>
    </row>
    <row r="7" ht="92" customHeight="1">
      <c r="A7" s="11" t="inlineStr">
        <is>
          <t>ANF-001</t>
        </is>
      </c>
      <c r="B7" s="12" t="inlineStr">
        <is>
          <t>Anlage 13</t>
        </is>
      </c>
      <c r="C7" s="13" t="inlineStr">
        <is>
          <t>§ 8 (1)</t>
        </is>
      </c>
      <c r="D7" s="13" t="inlineStr">
        <is>
          <t>Reservierung</t>
        </is>
      </c>
      <c r="E7" s="14" t="inlineStr">
        <is>
          <t>Mehrfachbuchungen unterbinden</t>
        </is>
      </c>
      <c r="F7" s="15" t="inlineStr">
        <is>
          <t>Grundsätzlich möchte der Auftraggeber den Nutzern eine gewisse Flexibilität ermöglichen, da die Inanspruchnahme einer Reservierung z.B. aufgrund kurzfristiger Staus auch ohne Verschulden ggf. nicht wahrgenommen werden kann. Ein missbräuchliches Verhalten durch Nutzer, z.B. durch mehrfache Reservierungsbuchungen am gleichen Standort und am gleichen Tag, ist nicht im Interesse des Auftraggebers. Sollte sich ein solches Verhalten einstellen, besteht vor dem Hintergrund eines abweichenden Marktstandards nach §23 Abs. 3 des Betreibervertrags die Möglichkeit, die definierten Mindestvoraussetzungen an Reservierungsplattformen zu ändern.</t>
        </is>
      </c>
      <c r="G7" s="12" t="inlineStr">
        <is>
          <t>identisch zu Paragraph 38 - 1</t>
        </is>
      </c>
      <c r="H7" s="12" t="inlineStr">
        <is>
          <t>eRound</t>
        </is>
      </c>
      <c r="I7" s="12" t="inlineStr">
        <is>
          <t>OCPI Buchungskalender</t>
        </is>
      </c>
      <c r="J7" s="16">
        <f>IF(OR($H7="offen",ISNUMBER(SEARCH("tbd",$H7)),ISNUMBER(SEARCH("?",$G7))),"ja","nein")</f>
        <v/>
      </c>
      <c r="K7" s="17" t="n"/>
      <c r="L7" s="17" t="n"/>
      <c r="M7" s="17" t="n"/>
      <c r="N7" s="18" t="n"/>
      <c r="O7" s="17" t="n"/>
    </row>
    <row r="8" ht="92" customHeight="1">
      <c r="A8" s="11" t="inlineStr">
        <is>
          <t>ANF-002</t>
        </is>
      </c>
      <c r="B8" s="12" t="inlineStr">
        <is>
          <t>Betreibervertrag</t>
        </is>
      </c>
      <c r="C8" s="13" t="inlineStr">
        <is>
          <t>§ 25 (1)</t>
        </is>
      </c>
      <c r="D8" s="13" t="inlineStr">
        <is>
          <t>Reservierung</t>
        </is>
      </c>
      <c r="E8" s="14" t="inlineStr">
        <is>
          <t>OCPI Schnittstelle</t>
        </is>
      </c>
      <c r="F8" s="15" t="inlineStr">
        <is>
          <t>Der Auftragnehmer stellt sicher, dass die Reservierung von Ladepunkten über Reservierungsplattformen während der Laufzeit dieses Vertrags möglich ist. Hierzu hält der Auftragnehmer eine auf OCPI (Open Charge Point Interface) basierende Schnittstelle vor, über die sich Reservierungsplattformen nach Maßgabe der folgenden Absätze anbinden können.</t>
        </is>
      </c>
      <c r="G8" s="12" t="inlineStr"/>
      <c r="H8" s="12" t="inlineStr">
        <is>
          <t>eRound</t>
        </is>
      </c>
      <c r="I8" s="12" t="inlineStr">
        <is>
          <t>OCPI Buchungskalender</t>
        </is>
      </c>
      <c r="J8" s="16">
        <f>IF(OR($H8="offen",ISNUMBER(SEARCH("tbd",$H8)),ISNUMBER(SEARCH("?",$G8))),"ja","nein")</f>
        <v/>
      </c>
      <c r="K8" s="17" t="n"/>
      <c r="L8" s="17" t="n"/>
      <c r="M8" s="17" t="n"/>
      <c r="N8" s="18" t="n"/>
      <c r="O8" s="17" t="n"/>
    </row>
    <row r="9" ht="92" customHeight="1">
      <c r="A9" s="11" t="inlineStr">
        <is>
          <t>ANF-003</t>
        </is>
      </c>
      <c r="B9" s="12" t="inlineStr">
        <is>
          <t>Betreibervertrag</t>
        </is>
      </c>
      <c r="C9" s="13" t="inlineStr">
        <is>
          <t>§ 25 (2)</t>
        </is>
      </c>
      <c r="D9" s="13" t="inlineStr">
        <is>
          <t>Reservierung</t>
        </is>
      </c>
      <c r="E9" s="14" t="inlineStr">
        <is>
          <t>OCPI Kostenfrei</t>
        </is>
      </c>
      <c r="F9" s="15" t="inlineStr">
        <is>
          <t>Der Auftragnehmer ist verpflichtet, jeder Reservierungsplattform die Anbindung über die in Absatz 1 genannte Schnittstelle kostenfrei zu ermöglichen, soweit die Reservierungsplattform die folgenden Mindestvoraussetzungen erfüllt:</t>
        </is>
      </c>
      <c r="G9" s="12" t="inlineStr"/>
      <c r="H9" s="12" t="inlineStr">
        <is>
          <t>eRound</t>
        </is>
      </c>
      <c r="I9" s="12" t="inlineStr">
        <is>
          <t>OCPI Buchungskalender</t>
        </is>
      </c>
      <c r="J9" s="16">
        <f>IF(OR($H9="offen",ISNUMBER(SEARCH("tbd",$H9)),ISNUMBER(SEARCH("?",$G9))),"ja","nein")</f>
        <v/>
      </c>
      <c r="K9" s="17" t="n"/>
      <c r="L9" s="17" t="n"/>
      <c r="M9" s="17" t="n"/>
      <c r="N9" s="18" t="n"/>
      <c r="O9" s="17" t="n"/>
    </row>
    <row r="10" ht="92" customHeight="1">
      <c r="A10" s="11" t="inlineStr">
        <is>
          <t>ANF-004</t>
        </is>
      </c>
      <c r="B10" s="12" t="inlineStr">
        <is>
          <t>Betreibervertrag</t>
        </is>
      </c>
      <c r="C10" s="13" t="inlineStr">
        <is>
          <t>§ 25 (2) a</t>
        </is>
      </c>
      <c r="D10" s="13" t="inlineStr">
        <is>
          <t>Reservierung</t>
        </is>
      </c>
      <c r="E10" s="14" t="inlineStr">
        <is>
          <t>OCPI Kostenfrei</t>
        </is>
      </c>
      <c r="F10" s="15" t="inlineStr">
        <is>
          <t>Die Reservierungsplattform stellt dem Auftragnehmer für die Anbindung der Reservierungsplattform keine Anbindungskosten in Rechnung</t>
        </is>
      </c>
      <c r="G10" s="12" t="inlineStr"/>
      <c r="H10" s="12" t="inlineStr">
        <is>
          <t>Reservierungsplattform</t>
        </is>
      </c>
      <c r="I10" s="12" t="inlineStr">
        <is>
          <t>Anbindung</t>
        </is>
      </c>
      <c r="J10" s="16">
        <f>IF(OR($H10="offen",ISNUMBER(SEARCH("tbd",$H10)),ISNUMBER(SEARCH("?",$G10))),"ja","nein")</f>
        <v/>
      </c>
      <c r="K10" s="17" t="n"/>
      <c r="L10" s="17" t="n"/>
      <c r="M10" s="17" t="n"/>
      <c r="N10" s="18" t="n"/>
      <c r="O10" s="17" t="n"/>
    </row>
    <row r="11" ht="92" customHeight="1">
      <c r="A11" s="11" t="inlineStr">
        <is>
          <t>ANF-005</t>
        </is>
      </c>
      <c r="B11" s="12" t="inlineStr">
        <is>
          <t>Betreibervertrag</t>
        </is>
      </c>
      <c r="C11" s="13" t="inlineStr">
        <is>
          <t>§ 25 (2) b</t>
        </is>
      </c>
      <c r="D11" s="13" t="inlineStr">
        <is>
          <t>Reservierung</t>
        </is>
      </c>
      <c r="E11" s="14" t="inlineStr">
        <is>
          <t>Anbindung verpflichtend, wenn alle AN angebunden werden oder AG2 auffordert</t>
        </is>
      </c>
      <c r="F11" s="15" t="inlineStr">
        <is>
          <t>Die Reservierungsplattform ermöglicht Endnutzern und Mobilitätsdienstleistern die Reservierung von Ladepunkten im gesamten Gebiet der Bundesrepublik Deutschland gegen ein angemessenes Entgelt. Ermöglicht eine Reservierungsplattform eine Reservierung von Ladepunkten nur in Teilen des Gebiets der Bundesrepublik Deutschland, ist der Auftragnehmer zur Anbindung nur verpflichtet, wenn der Auftraggeber 2 den Auftragnehmer hierzu auffordert.</t>
        </is>
      </c>
      <c r="G11" s="12" t="inlineStr"/>
      <c r="H11" s="12" t="inlineStr">
        <is>
          <t>eRound</t>
        </is>
      </c>
      <c r="I11" s="12" t="inlineStr">
        <is>
          <t>OCPI Buchungskalender</t>
        </is>
      </c>
      <c r="J11" s="16">
        <f>IF(OR($H11="offen",ISNUMBER(SEARCH("tbd",$H11)),ISNUMBER(SEARCH("?",$G11))),"ja","nein")</f>
        <v/>
      </c>
      <c r="K11" s="17" t="n"/>
      <c r="L11" s="17" t="n"/>
      <c r="M11" s="17" t="n"/>
      <c r="N11" s="18" t="n"/>
      <c r="O11" s="17" t="n"/>
    </row>
    <row r="12" ht="92" customHeight="1">
      <c r="A12" s="11" t="inlineStr">
        <is>
          <t>ANF-006</t>
        </is>
      </c>
      <c r="B12" s="12" t="inlineStr">
        <is>
          <t>Betreibervertrag</t>
        </is>
      </c>
      <c r="C12" s="13" t="inlineStr">
        <is>
          <t>§ 25 (2) c</t>
        </is>
      </c>
      <c r="D12" s="13" t="inlineStr">
        <is>
          <t>Reservierung</t>
        </is>
      </c>
      <c r="E12" s="14" t="inlineStr">
        <is>
          <t>Reservierung mit Vorlauf von max. 7 Tagen und min. 15 min.
Kostenfreie Stornierung und Änderung bis 30min vorher.
Kennzeichenabgleich zur Unterbindung von Doppelbuchungen.</t>
        </is>
      </c>
      <c r="F12" s="15" t="inlineStr">
        <is>
          <t>Die Reservierungsplattform ermöglicht eine Reservierung von Ladepunkten mit einer Vorlaufzeit von maximal 7 Kalendertagen und mindestens 15 Minuten. Eine kostenfreie Stornierung oder Änderung der Reservierung über die Reservierungsplattform muss, soweit möglich, bis zu 30 Minuten vor Beginn des in der Reservierung angegebenen Startzeitpunkts möglich sein. Die Reservierungsplattform stellt durch geeignete Vorkehrungen (z. B. durch einen Kennzeichenabgleich) sicher, dass für einen E-LKW in einem Zeitintervall nur ein Ladepunkt reserviert wird.</t>
        </is>
      </c>
      <c r="G12" s="12" t="inlineStr"/>
      <c r="H12" s="12" t="inlineStr">
        <is>
          <t>eRound</t>
        </is>
      </c>
      <c r="I12" s="12" t="inlineStr">
        <is>
          <t>OCPI Buchungskalender</t>
        </is>
      </c>
      <c r="J12" s="16">
        <f>IF(OR($H12="offen",ISNUMBER(SEARCH("tbd",$H12)),ISNUMBER(SEARCH("?",$G12))),"ja","nein")</f>
        <v/>
      </c>
      <c r="K12" s="17" t="n"/>
      <c r="L12" s="17" t="n"/>
      <c r="M12" s="17" t="n"/>
      <c r="N12" s="18" t="n"/>
      <c r="O12" s="17" t="n"/>
    </row>
    <row r="13" ht="92" customHeight="1">
      <c r="A13" s="11" t="inlineStr">
        <is>
          <t>ANF-007</t>
        </is>
      </c>
      <c r="B13" s="12" t="inlineStr">
        <is>
          <t>Betreibervertrag</t>
        </is>
      </c>
      <c r="C13" s="13" t="inlineStr">
        <is>
          <t>§ 25 (2) d</t>
        </is>
      </c>
      <c r="D13" s="13" t="inlineStr">
        <is>
          <t>Reservierung</t>
        </is>
      </c>
      <c r="E13" s="14" t="inlineStr">
        <is>
          <t>Entschädigung an AN von der Reservierungsplattform i.H.v. mind. 30€ nach 15/30 min Wartezeit bei No-Show.</t>
        </is>
      </c>
      <c r="F13" s="15" t="inlineStr">
        <is>
          <t>Die Reservierungsplattform entschädigt den Auftragnehmer in angemessener Höhe, wenn an der reservierten Ladeeinrichtung ab dem in der Reservierung angegebenen Startzeitpunkt und Ablauf einer Wartezeit von 15 Minuten bei Ladepunkten zum Zwischenladen, bzw. 30 Minuten bei Ladepunkten zum Übernachtladen (sog. „no-show“) kein Start eines Ladevorgangs erfolgt. Die Entschädigung des Auftragnehmers ist angemessen, wenn der Auftragnehmer im Fall eines „no-show“ mindestens € 30,00 erhält.</t>
        </is>
      </c>
      <c r="G13" s="12" t="inlineStr"/>
      <c r="H13" s="12" t="inlineStr">
        <is>
          <t>eRound</t>
        </is>
      </c>
      <c r="I13" s="12" t="inlineStr">
        <is>
          <t>Abrechnungskomponente</t>
        </is>
      </c>
      <c r="J13" s="16">
        <f>IF(OR($H13="offen",ISNUMBER(SEARCH("tbd",$H13)),ISNUMBER(SEARCH("?",$G13))),"ja","nein")</f>
        <v/>
      </c>
      <c r="K13" s="17" t="n"/>
      <c r="L13" s="17" t="n"/>
      <c r="M13" s="17" t="n"/>
      <c r="N13" s="18" t="n"/>
      <c r="O13" s="17" t="n"/>
    </row>
    <row r="14" ht="92" customHeight="1">
      <c r="A14" s="11" t="inlineStr">
        <is>
          <t>ANF-008</t>
        </is>
      </c>
      <c r="B14" s="12" t="inlineStr">
        <is>
          <t>Betreibervertrag</t>
        </is>
      </c>
      <c r="C14" s="13" t="inlineStr">
        <is>
          <t>§ 25 (3)</t>
        </is>
      </c>
      <c r="D14" s="13" t="inlineStr">
        <is>
          <t>Reservierung</t>
        </is>
      </c>
      <c r="E14" s="14" t="inlineStr">
        <is>
          <t>Anpassung an Marktstandards mit 2 Monaten Vorlauf.</t>
        </is>
      </c>
      <c r="F14" s="15" t="inlineStr">
        <is>
          <t>Der Auftraggeber 2 ist berechtigt, die in Absatz 2 definierten Mindestvoraussetzungen im Fall abweichender Marktstandards mit einer Vorlaufzeit von zwei Monaten anzupassen</t>
        </is>
      </c>
      <c r="G14" s="12" t="inlineStr"/>
      <c r="H14" s="12" t="inlineStr">
        <is>
          <t>eRound</t>
        </is>
      </c>
      <c r="I14" s="12" t="inlineStr">
        <is>
          <t>OCPI Buchungskalender</t>
        </is>
      </c>
      <c r="J14" s="16">
        <f>IF(OR($H14="offen",ISNUMBER(SEARCH("tbd",$H14)),ISNUMBER(SEARCH("?",$G14))),"ja","nein")</f>
        <v/>
      </c>
      <c r="K14" s="17" t="n"/>
      <c r="L14" s="17" t="n"/>
      <c r="M14" s="17" t="n"/>
      <c r="N14" s="18" t="n"/>
      <c r="O14" s="17" t="n"/>
    </row>
    <row r="15" ht="92" customHeight="1">
      <c r="A15" s="11" t="inlineStr">
        <is>
          <t>ANF-009</t>
        </is>
      </c>
      <c r="B15" s="12" t="inlineStr">
        <is>
          <t>Betreibervertrag</t>
        </is>
      </c>
      <c r="C15" s="13" t="inlineStr">
        <is>
          <t>§ 25 (4)</t>
        </is>
      </c>
      <c r="D15" s="13" t="inlineStr">
        <is>
          <t>Reservierung</t>
        </is>
      </c>
      <c r="E15" s="14" t="inlineStr">
        <is>
          <t>Ladepunkte an einem Standort können von der Reservierung ausgenommen werden.</t>
        </is>
      </c>
      <c r="F15" s="15" t="inlineStr">
        <is>
          <t>Der Auftragnehmer kann CCS- und MCS-Ladepunkten an einem Standort von der Reservierungsmöglichkeit ausnehmen.</t>
        </is>
      </c>
      <c r="G15" s="12" t="inlineStr"/>
      <c r="H15" s="12" t="inlineStr">
        <is>
          <t>eRound</t>
        </is>
      </c>
      <c r="I15" s="12" t="inlineStr">
        <is>
          <t>OCPI Buchungskalender</t>
        </is>
      </c>
      <c r="J15" s="16">
        <f>IF(OR($H15="offen",ISNUMBER(SEARCH("tbd",$H15)),ISNUMBER(SEARCH("?",$G15))),"ja","nein")</f>
        <v/>
      </c>
      <c r="K15" s="17" t="n"/>
      <c r="L15" s="17" t="n"/>
      <c r="M15" s="17" t="n"/>
      <c r="N15" s="18" t="n"/>
      <c r="O15" s="17" t="n"/>
    </row>
    <row r="16" ht="92" customHeight="1">
      <c r="A16" s="11" t="inlineStr">
        <is>
          <t>ANF-010</t>
        </is>
      </c>
      <c r="B16" s="12" t="inlineStr">
        <is>
          <t>Betreibervertrag</t>
        </is>
      </c>
      <c r="C16" s="13" t="inlineStr">
        <is>
          <t>§ 25 (5)</t>
        </is>
      </c>
      <c r="D16" s="13" t="inlineStr">
        <is>
          <t>Zufahrt &amp; Schranke</t>
        </is>
      </c>
      <c r="E16" s="14" t="inlineStr">
        <is>
          <t>Bauliche Maßnahme zur Reservierung an jedem Ladepunkt.</t>
        </is>
      </c>
      <c r="F16" s="15" t="inlineStr">
        <is>
          <t>Der Auftragnehmer hat geeignete Vorkehrungen, insbesondere die in Vertragsanlage 4: Leistungsbeschreibung Errichtung vorgesehenen baulichen Maßnahmen, zu treffen, um ein anderweitiges Laden an dem Ladepunkt der Ladeeinrichtung während des reservierten Zeitraums zu verhindern.</t>
        </is>
      </c>
      <c r="G16" s="12" t="inlineStr">
        <is>
          <t>Schrankensteuerung</t>
        </is>
      </c>
      <c r="H16" s="12" t="inlineStr">
        <is>
          <t>tbd</t>
        </is>
      </c>
      <c r="I16" s="12" t="inlineStr">
        <is>
          <t>Schrankenanlage</t>
        </is>
      </c>
      <c r="J16" s="16">
        <f>IF(OR($H16="offen",ISNUMBER(SEARCH("tbd",$H16)),ISNUMBER(SEARCH("?",$G16))),"ja","nein")</f>
        <v/>
      </c>
      <c r="K16" s="17" t="n"/>
      <c r="L16" s="17" t="n"/>
      <c r="M16" s="17" t="n"/>
      <c r="N16" s="18" t="n"/>
      <c r="O16" s="17" t="n"/>
    </row>
    <row r="17" ht="92" customHeight="1">
      <c r="A17" s="11" t="inlineStr">
        <is>
          <t>ANF-011</t>
        </is>
      </c>
      <c r="B17" s="12" t="inlineStr">
        <is>
          <t>Betreibervertrag</t>
        </is>
      </c>
      <c r="C17" s="13" t="inlineStr">
        <is>
          <t>§ 25 (6)</t>
        </is>
      </c>
      <c r="D17" s="13" t="inlineStr">
        <is>
          <t>Reservierung</t>
        </is>
      </c>
      <c r="E17" s="14" t="inlineStr">
        <is>
          <t>Mindestens 40% der Ladepunkte müssen reserviert werden können.</t>
        </is>
      </c>
      <c r="F17" s="15" t="inlineStr">
        <is>
          <t>Verstößt der Auftragnehmer gegen die Pflicht nach Absatz 1, wird für jeden Standort, an dem die Reservierung von Ladepunkten aufgrund des Verstoßes gegen die Pflicht nach Absatz 1 nicht möglich ist, eine Vertragsstrafe fällig. Die Reservierung von Ladepunkten an einem Standort gilt als nicht möglich, wenn mindestens 40 % der Ladepunkte an dem Standort nicht reserviert werden können. Die Höhe der Vertragsstrafe beträgt € 2.500,00 für jeden Kalendertag, an dem die Reservierung von Ladepunkten an einem Standort nicht möglich ist, höchstens jedoch € 40.000,00 pro Kalendermonat und pro Standort.</t>
        </is>
      </c>
      <c r="G17" s="12" t="inlineStr">
        <is>
          <t>40% der Ladepunkte nicht reservierbar</t>
        </is>
      </c>
      <c r="H17" s="12" t="inlineStr">
        <is>
          <t>eRound</t>
        </is>
      </c>
      <c r="I17" s="12" t="inlineStr">
        <is>
          <t>OCPI Buchungskalender</t>
        </is>
      </c>
      <c r="J17" s="16">
        <f>IF(OR($H17="offen",ISNUMBER(SEARCH("tbd",$H17)),ISNUMBER(SEARCH("?",$G17))),"ja","nein")</f>
        <v/>
      </c>
      <c r="K17" s="17" t="n"/>
      <c r="L17" s="17" t="n"/>
      <c r="M17" s="17" t="n"/>
      <c r="N17" s="18" t="n"/>
      <c r="O17" s="17" t="n"/>
    </row>
    <row r="18" ht="92" customHeight="1">
      <c r="A18" s="11" t="inlineStr">
        <is>
          <t>ANF-012</t>
        </is>
      </c>
      <c r="B18" s="12" t="inlineStr">
        <is>
          <t>Betreibervertrag</t>
        </is>
      </c>
      <c r="C18" s="13" t="inlineStr">
        <is>
          <t>§ 31 (1)</t>
        </is>
      </c>
      <c r="D18" s="13" t="inlineStr">
        <is>
          <t>Authentifizierung &amp; Zugang</t>
        </is>
      </c>
      <c r="E18" s="14" t="inlineStr">
        <is>
          <t>Es muss Adhoc geladen werden können</t>
        </is>
      </c>
      <c r="F18" s="15" t="inlineStr">
        <is>
          <t>Der Auftragnehmer ist verpflichtet, potenziellen Endnutzern diskriminierungsfrei zu angemessenen Bedingungen ein Ad-hoc-Laden (punktuelles Aufladen i. S. d. AFIR) zu ermöglichen, soweit 
es ihm zumutbar ist (z. B. mit Blick auf die Bonität des Endnutzers).</t>
        </is>
      </c>
      <c r="G18" s="12" t="inlineStr">
        <is>
          <t>Adhoc muss möglich sein -&gt; Schranke -&gt; wie?</t>
        </is>
      </c>
      <c r="H18" s="12" t="inlineStr">
        <is>
          <t>eRound / tbd</t>
        </is>
      </c>
      <c r="I18" s="12" t="inlineStr">
        <is>
          <t>Authentifizierungskomponente / Schrankensteuerung</t>
        </is>
      </c>
      <c r="J18" s="16">
        <f>IF(OR($H18="offen",ISNUMBER(SEARCH("tbd",$H18)),ISNUMBER(SEARCH("?",$G18))),"ja","nein")</f>
        <v/>
      </c>
      <c r="K18" s="17" t="n"/>
      <c r="L18" s="17" t="n"/>
      <c r="M18" s="17" t="n"/>
      <c r="N18" s="18" t="n"/>
      <c r="O18" s="17" t="n"/>
    </row>
    <row r="19" ht="92" customHeight="1">
      <c r="A19" s="11" t="inlineStr">
        <is>
          <t>ANF-013</t>
        </is>
      </c>
      <c r="B19" s="12" t="inlineStr">
        <is>
          <t>Betreibervertrag</t>
        </is>
      </c>
      <c r="C19" s="13" t="inlineStr">
        <is>
          <t>§ 38 (1)</t>
        </is>
      </c>
      <c r="D19" s="13" t="inlineStr">
        <is>
          <t>Nutzungszeit &amp; Entgelte</t>
        </is>
      </c>
      <c r="E19" s="14" t="inlineStr">
        <is>
          <t>Blockadeentgelte und maximale Nutzungsdauer</t>
        </is>
      </c>
      <c r="F19" s="15" t="inlineStr">
        <is>
          <t>Start- und zeitabhängige Entgelte dürfen nicht erhoben werden. Dies gilt nicht für vertraglich vereinbarte Blockadeentgelte, die nach Ablauf einer maximalen Nutzungszeit vom Endnutzer bzw. Mobilitätsdienstleister unabhängig davon, welches der Zugangsmodelle des § 30 Abs. 2 gewählt wird, erhoben werden. Die maximale Nutzungszeit beginnt mit Beginn des Ladevorgangs und beträgt</t>
        </is>
      </c>
      <c r="G19" s="12" t="inlineStr">
        <is>
          <t>Schnittstelle Nutzungszeit</t>
        </is>
      </c>
      <c r="H19" s="12" t="inlineStr">
        <is>
          <t>eRound</t>
        </is>
      </c>
      <c r="I19" s="12" t="inlineStr">
        <is>
          <t>OCPI Buchungskalender</t>
        </is>
      </c>
      <c r="J19" s="16">
        <f>IF(OR($H19="offen",ISNUMBER(SEARCH("tbd",$H19)),ISNUMBER(SEARCH("?",$G19))),"ja","nein")</f>
        <v/>
      </c>
      <c r="K19" s="17" t="n"/>
      <c r="L19" s="17" t="n"/>
      <c r="M19" s="17" t="n"/>
      <c r="N19" s="18" t="n"/>
      <c r="O19" s="17" t="n"/>
    </row>
    <row r="20" ht="92" customHeight="1">
      <c r="A20" s="11" t="inlineStr">
        <is>
          <t>ANF-014</t>
        </is>
      </c>
      <c r="B20" s="12" t="inlineStr">
        <is>
          <t>Betreibervertrag</t>
        </is>
      </c>
      <c r="C20" s="13" t="inlineStr">
        <is>
          <t>§ 38 (1) a</t>
        </is>
      </c>
      <c r="D20" s="13" t="inlineStr">
        <is>
          <t>Nutzungszeit &amp; Entgelte</t>
        </is>
      </c>
      <c r="E20" s="14" t="inlineStr">
        <is>
          <t>Maximale Nutzungsdauer Zwischenladen ist 1h.</t>
        </is>
      </c>
      <c r="F20" s="15" t="inlineStr">
        <is>
          <t>bei MCS-Ladepunkten und CCS-Ladepunkten zum Zwischenladen 1 Stunde.</t>
        </is>
      </c>
      <c r="G20" s="12" t="inlineStr">
        <is>
          <t>Schnittstelle Nutzungszeit</t>
        </is>
      </c>
      <c r="H20" s="12" t="inlineStr">
        <is>
          <t>eRound</t>
        </is>
      </c>
      <c r="I20" s="12" t="inlineStr">
        <is>
          <t>OCPI Buchungskalender</t>
        </is>
      </c>
      <c r="J20" s="16">
        <f>IF(OR($H20="offen",ISNUMBER(SEARCH("tbd",$H20)),ISNUMBER(SEARCH("?",$G20))),"ja","nein")</f>
        <v/>
      </c>
      <c r="K20" s="17" t="n"/>
      <c r="L20" s="17" t="n"/>
      <c r="M20" s="17" t="n"/>
      <c r="N20" s="18" t="n"/>
      <c r="O20" s="17" t="n"/>
    </row>
    <row r="21" ht="92" customHeight="1">
      <c r="A21" s="11" t="inlineStr">
        <is>
          <t>ANF-015</t>
        </is>
      </c>
      <c r="B21" s="12" t="inlineStr">
        <is>
          <t>Betreibervertrag</t>
        </is>
      </c>
      <c r="C21" s="13" t="inlineStr">
        <is>
          <t>§ 38 (1) b</t>
        </is>
      </c>
      <c r="D21" s="13" t="inlineStr">
        <is>
          <t>Nutzungszeit &amp; Entgelte</t>
        </is>
      </c>
      <c r="E21" s="14" t="inlineStr">
        <is>
          <t>Maximale Nutzungsdauer Übernachtladen ist 12h.</t>
        </is>
      </c>
      <c r="F21" s="15" t="inlineStr">
        <is>
          <t>bei CCS-Ladepunkten zum Übernachtladen und MCS- oder CCS-Ladepunkte zum Zwischenladen, die zum Übernachtladen freigegeben wurden, 12 Stunden.</t>
        </is>
      </c>
      <c r="G21" s="12" t="inlineStr">
        <is>
          <t>Schnittstelle Nutzungszeit</t>
        </is>
      </c>
      <c r="H21" s="12" t="inlineStr">
        <is>
          <t>eRound</t>
        </is>
      </c>
      <c r="I21" s="12" t="inlineStr">
        <is>
          <t>OCPI Buchungskalender</t>
        </is>
      </c>
      <c r="J21" s="16">
        <f>IF(OR($H21="offen",ISNUMBER(SEARCH("tbd",$H21)),ISNUMBER(SEARCH("?",$G21))),"ja","nein")</f>
        <v/>
      </c>
      <c r="K21" s="17" t="n"/>
      <c r="L21" s="17" t="n"/>
      <c r="M21" s="17" t="n"/>
      <c r="N21" s="18" t="n"/>
      <c r="O21" s="17" t="n"/>
    </row>
    <row r="22" ht="92" customHeight="1">
      <c r="A22" s="11" t="inlineStr">
        <is>
          <t>ANF-016</t>
        </is>
      </c>
      <c r="B22" s="12" t="inlineStr">
        <is>
          <t>Betreibervertrag</t>
        </is>
      </c>
      <c r="C22" s="13" t="inlineStr">
        <is>
          <t>§ 38 (2)</t>
        </is>
      </c>
      <c r="D22" s="13" t="inlineStr">
        <is>
          <t>Nutzungszeit &amp; Entgelte</t>
        </is>
      </c>
      <c r="E22" s="14" t="inlineStr">
        <is>
          <t>Bei nidriger Auslastung kann die maximale Nutzungszeit vom AN verlängert werden.
Bei nachfolgender Reservierung kann die maximale Nutzungszeit verkürzt werden.
Bei Verkürzung zusätzliche Karenzzeit vor Blockadeentgeld von 5min.</t>
        </is>
      </c>
      <c r="F22" s="15" t="inlineStr">
        <is>
          <t>Der Auftragnehmer kann die maximalen Nutzungszeiten in Zeiten geringer Auslastung verlängern. Zudem kann er mit der Gestattung der Nutzung von MCS-Ladepunkten und CCS-Ladepunkten zum Zwischenladen dem Endnutzer bzw. Mobilitätsdienstleister auch ausdrücklich eine kürzere maximale Nutzungszeit einräumen, wenn wegen nachfolgender Reservierungen die maximale Nutzungszeit nach Absatz 1 lit. a nicht eingeräumt werden kann. In den Fällen des Satzes 2 ist dem Endnutzer bzw. Mobilitätsdienstleister zusätzlich eine Karenzzeit zum Verlassen des Ladeplatzes von 5 Minuten einzuräumen, nach deren Ablauf erst ein Blockadeentgelt erhoben werden darf</t>
        </is>
      </c>
      <c r="G22" s="12" t="inlineStr">
        <is>
          <t>SCS: Reaktionszeit System</t>
        </is>
      </c>
      <c r="H22" s="12" t="inlineStr">
        <is>
          <t>eRound</t>
        </is>
      </c>
      <c r="I22" s="12" t="inlineStr">
        <is>
          <t>OCPI Buchungskalender</t>
        </is>
      </c>
      <c r="J22" s="16">
        <f>IF(OR($H22="offen",ISNUMBER(SEARCH("tbd",$H22)),ISNUMBER(SEARCH("?",$G22))),"ja","nein")</f>
        <v/>
      </c>
      <c r="K22" s="17" t="n"/>
      <c r="L22" s="17" t="n"/>
      <c r="M22" s="17" t="n"/>
      <c r="N22" s="18" t="n"/>
      <c r="O22" s="17" t="n"/>
    </row>
    <row r="23" ht="92" customHeight="1">
      <c r="A23" s="11" t="inlineStr">
        <is>
          <t>ANF-017</t>
        </is>
      </c>
      <c r="B23" s="12" t="inlineStr">
        <is>
          <t>Betreibervertrag</t>
        </is>
      </c>
      <c r="C23" s="13" t="inlineStr">
        <is>
          <t>§ 38 (3)</t>
        </is>
      </c>
      <c r="D23" s="13" t="inlineStr">
        <is>
          <t>Nutzungszeit &amp; Entgelte</t>
        </is>
      </c>
      <c r="E23" s="14" t="inlineStr">
        <is>
          <t>Maximale Nutzungszeit endet mit Ablauf Reservierung.
Maximale Nutzungsdauer kann vom AN verlängert werden.</t>
        </is>
      </c>
      <c r="F23" s="15" t="inlineStr">
        <is>
          <t>Hat ein Mobilitätsdienstleister einen Ladepunkt reserviert, so endet die maximale Nutzungszeit mit dem Ablauf des reservierten Zeitraums, auch wenn der Ladeplatz erst später belegt wurde, es sei denn, der Betreiber räumt ihm eine längere maximale Nutzungszeit ein.</t>
        </is>
      </c>
      <c r="G23" s="12" t="inlineStr"/>
      <c r="H23" s="12" t="inlineStr">
        <is>
          <t>eRound</t>
        </is>
      </c>
      <c r="I23" s="12" t="inlineStr">
        <is>
          <t>OCPI Buchungskalender</t>
        </is>
      </c>
      <c r="J23" s="16">
        <f>IF(OR($H23="offen",ISNUMBER(SEARCH("tbd",$H23)),ISNUMBER(SEARCH("?",$G23))),"ja","nein")</f>
        <v/>
      </c>
      <c r="K23" s="17" t="n"/>
      <c r="L23" s="17" t="n"/>
      <c r="M23" s="17" t="n"/>
      <c r="N23" s="18" t="n"/>
      <c r="O23" s="17" t="n"/>
    </row>
    <row r="24" ht="92" customHeight="1">
      <c r="A24" s="11" t="inlineStr">
        <is>
          <t>ANF-018</t>
        </is>
      </c>
      <c r="B24" s="12" t="inlineStr">
        <is>
          <t>Betreibervertrag</t>
        </is>
      </c>
      <c r="C24" s="13" t="inlineStr">
        <is>
          <t>§ 38 (4)</t>
        </is>
      </c>
      <c r="D24" s="13" t="inlineStr">
        <is>
          <t>Nutzungszeit &amp; Entgelte</t>
        </is>
      </c>
      <c r="E24" s="14" t="inlineStr">
        <is>
          <t>Ladestart 15min Wartezeit
Blockadeentgeld
ggf. Pönalisierung
Entfall maximale Nutzungsdauer</t>
        </is>
      </c>
      <c r="F24" s="15" t="inlineStr">
        <is>
          <t>Wird ein Ladevorgang nicht innerhalb von 15 Minuten nach Besetzung des Stellplatzes gestartet, entfällt die maximale Nutzungszeit und es kann ein Blockadeentgelt erhoben werden.</t>
        </is>
      </c>
      <c r="G24" s="12" t="inlineStr"/>
      <c r="H24" s="12" t="inlineStr">
        <is>
          <t>eRound / SCS</t>
        </is>
      </c>
      <c r="I24" s="12" t="inlineStr">
        <is>
          <t>OCPI Buchungskalender / Abrechnungskomponente / Belegungsdetektion / Pönalisierungssystem</t>
        </is>
      </c>
      <c r="J24" s="16">
        <f>IF(OR($H24="offen",ISNUMBER(SEARCH("tbd",$H24)),ISNUMBER(SEARCH("?",$G24))),"ja","nein")</f>
        <v/>
      </c>
      <c r="K24" s="17" t="n"/>
      <c r="L24" s="17" t="n"/>
      <c r="M24" s="17" t="n"/>
      <c r="N24" s="18" t="n"/>
      <c r="O24" s="17" t="n"/>
    </row>
    <row r="25" ht="92" customHeight="1">
      <c r="A25" s="11" t="inlineStr">
        <is>
          <t>ANF-019</t>
        </is>
      </c>
      <c r="B25" s="12" t="inlineStr">
        <is>
          <t>Betreibervertrag</t>
        </is>
      </c>
      <c r="C25" s="13" t="inlineStr">
        <is>
          <t>§ 38 (5)</t>
        </is>
      </c>
      <c r="D25" s="13" t="inlineStr">
        <is>
          <t>Nutzungszeit &amp; Entgelte</t>
        </is>
      </c>
      <c r="E25" s="14" t="inlineStr">
        <is>
          <t>Kein Blockadeentgeld während Nachtruhezeiten, Sonn- und Feiertage der Bundesländer.</t>
        </is>
      </c>
      <c r="F25" s="15" t="inlineStr">
        <is>
          <t>An Sonn- und Feiertagen sowie zwischen 22 Uhr abends und 5 Uhr morgens (Nachtruhezeit) darf der Auftragnehmer für CCS-Ladepunkte zum Übernachtladen bzw. MCS- und CCS- Ladepunkten zum Zwischenladen, die zum Übernachtladen freigegeben wurden, keine Blockadeentgelte erheben. Hat der Ladevorgang bereits vor Beginn der Nachtruhezeiten begonnen und endet die maximale Nutzungszeit nach Absatz 1 während der Nachtruhezeit, so werden Blockadeentgelte mithin erst nach Ende der Nachtruhezeit berechnet. Satz 1 und 2 gelten entsprechend für Sonntage und gesetzliche Feiertage in dem Bundesland, in dem der jeweilige Standort gelegen ist.</t>
        </is>
      </c>
      <c r="G25" s="12" t="inlineStr">
        <is>
          <t>Einfluss auf Reservierung?</t>
        </is>
      </c>
      <c r="H25" s="12" t="inlineStr">
        <is>
          <t>eRound</t>
        </is>
      </c>
      <c r="I25" s="12" t="inlineStr">
        <is>
          <t>OCPI Buchungskalender</t>
        </is>
      </c>
      <c r="J25" s="16">
        <f>IF(OR($H25="offen",ISNUMBER(SEARCH("tbd",$H25)),ISNUMBER(SEARCH("?",$G25))),"ja","nein")</f>
        <v/>
      </c>
      <c r="K25" s="17" t="n"/>
      <c r="L25" s="17" t="n"/>
      <c r="M25" s="17" t="n"/>
      <c r="N25" s="18" t="n"/>
      <c r="O25" s="17" t="n"/>
    </row>
    <row r="26" ht="92" customHeight="1">
      <c r="A26" s="11" t="inlineStr">
        <is>
          <t>ANF-020</t>
        </is>
      </c>
      <c r="B26" s="12" t="inlineStr">
        <is>
          <t>Betreibervertrag</t>
        </is>
      </c>
      <c r="C26" s="13" t="inlineStr">
        <is>
          <t>§ 38 (6)</t>
        </is>
      </c>
      <c r="D26" s="13" t="inlineStr">
        <is>
          <t>Nutzungszeit &amp; Entgelte</t>
        </is>
      </c>
      <c r="E26" s="14" t="inlineStr">
        <is>
          <t>Blockadeentgeld Höhe 0,50€ / 0,15€ pro Min.</t>
        </is>
      </c>
      <c r="F26" s="15" t="inlineStr">
        <is>
          <t>Die Höhe des Blockadeentgelts darf bei MCS-Ladepunkten und bei CCS-Ladepunkten zum Zwischenladen maximal 0,50 €/Minute und bei CCS-Ladepunkten bzw. CCS- und MCS- Ladepunkten zum Zwischenladen, während des Zeitraums, für den sie zum Übernachtladen freigegeben wurden, maximal 0,15 €/Minute betragen. Das vereinnahmte Blockadeentgelt steht dem Auftragnehmer zu.</t>
        </is>
      </c>
      <c r="G26" s="12" t="inlineStr"/>
      <c r="H26" s="12" t="inlineStr">
        <is>
          <t>eRound</t>
        </is>
      </c>
      <c r="I26" s="12" t="inlineStr">
        <is>
          <t>Abrechnungskomponente</t>
        </is>
      </c>
      <c r="J26" s="16">
        <f>IF(OR($H26="offen",ISNUMBER(SEARCH("tbd",$H26)),ISNUMBER(SEARCH("?",$G26))),"ja","nein")</f>
        <v/>
      </c>
      <c r="K26" s="17" t="n"/>
      <c r="L26" s="17" t="n"/>
      <c r="M26" s="17" t="n"/>
      <c r="N26" s="18" t="n"/>
      <c r="O26" s="17" t="n"/>
    </row>
    <row r="27" ht="92" customHeight="1">
      <c r="A27" s="11" t="inlineStr">
        <is>
          <t>ANF-021</t>
        </is>
      </c>
      <c r="B27" s="12" t="inlineStr">
        <is>
          <t>Betreibervertrag</t>
        </is>
      </c>
      <c r="C27" s="13" t="inlineStr">
        <is>
          <t>§ 38 (7)</t>
        </is>
      </c>
      <c r="D27" s="13" t="inlineStr">
        <is>
          <t>Nutzungszeit &amp; Entgelte</t>
        </is>
      </c>
      <c r="E27" s="14" t="inlineStr">
        <is>
          <t>Änderungen an maximaler Nutzungsdauer, Blockadeentgelt und Sperrzeiten mit Vorlauf möglich.</t>
        </is>
      </c>
      <c r="F27" s="15" t="inlineStr">
        <is>
          <t>Der Auftraggeber 2 kann die maximale Höhe der Blockadeentgelte nach Absatz 6 und die maximalen Nutzungszeiten bzw. Sperrzeiten für die Erhebung eines Blockadeentgeltes nach den Absätzen 1 bis 4 während der Laufzeit des Vertrags mit einer Frist von vier Monaten auf den Beginn eines Quartals schriftlich mit Wirkung gegenüber dem Auftragnehmer anpassen. Absenkungen der Höhe oder Verlängerungen die maximalen Nutzungszeiten bzw. Sperrzeiten sind nur mit Zustimmung des Auftragnehmers zulässig. Die Zustimmung gilt als erteilt, sofern der Auftragnehmer dem Auftraggeber 2 nicht innerhalb von zwei Wochen nach Mitteilung der geplanten Absenkung in Textform widerspricht.</t>
        </is>
      </c>
      <c r="G27" s="12" t="inlineStr"/>
      <c r="H27" s="12" t="inlineStr">
        <is>
          <t>eRound</t>
        </is>
      </c>
      <c r="I27" s="12" t="inlineStr">
        <is>
          <t>Abrechnungskomponente</t>
        </is>
      </c>
      <c r="J27" s="16">
        <f>IF(OR($H27="offen",ISNUMBER(SEARCH("tbd",$H27)),ISNUMBER(SEARCH("?",$G27))),"ja","nein")</f>
        <v/>
      </c>
      <c r="K27" s="17" t="n"/>
      <c r="L27" s="17" t="n"/>
      <c r="M27" s="17" t="n"/>
      <c r="N27" s="18" t="n"/>
      <c r="O27" s="17" t="n"/>
    </row>
    <row r="28" ht="92" customHeight="1">
      <c r="A28" s="11" t="inlineStr">
        <is>
          <t>ANF-022</t>
        </is>
      </c>
      <c r="B28" s="12" t="inlineStr">
        <is>
          <t>Betreibervertrag</t>
        </is>
      </c>
      <c r="C28" s="13" t="inlineStr">
        <is>
          <t>§ 38 (8)</t>
        </is>
      </c>
      <c r="D28" s="13" t="inlineStr">
        <is>
          <t>Nutzungszeit &amp; Entgelte</t>
        </is>
      </c>
      <c r="E28" s="14" t="inlineStr">
        <is>
          <t>Mindestabnahmemenge und Vergütung bei Unterschreitung.</t>
        </is>
      </c>
      <c r="F28" s="15" t="inlineStr">
        <is>
          <t>Für jeden Übernachtladevorgang ist eine Mindestabnahmemenge von 150 kWh vorzusehen, dies gilt auch für MCS- und CCS-Ladepunkte, die nach Maßgabe dieses Vertrags zum Übernachtladen freigegeben werden. Wird die Mindestabnahmemenge nicht erreicht, so ist für die Differenz zwischen der tatsächlich abgenommenen Strommenge und der vertraglich vorgesehenen Mindestabnahmemenge vom Endnutzer bzw. Mobilitätsdienstleister eine Entschädigung in Höhe von 30 ct/kWh an den Auftragnehmer zu leisten. Die Entschädigungshöhe kann vom Auftraggeber 2 in Absprache mit dem Auftragnehmer zu einem späteren Zeitpunkt angepasst werden.</t>
        </is>
      </c>
      <c r="G28" s="12" t="inlineStr"/>
      <c r="H28" s="12" t="inlineStr">
        <is>
          <t>eRound</t>
        </is>
      </c>
      <c r="I28" s="12" t="inlineStr">
        <is>
          <t>Abrechnungskomponente</t>
        </is>
      </c>
      <c r="J28" s="16">
        <f>IF(OR($H28="offen",ISNUMBER(SEARCH("tbd",$H28)),ISNUMBER(SEARCH("?",$G28))),"ja","nein")</f>
        <v/>
      </c>
      <c r="K28" s="17" t="n"/>
      <c r="L28" s="17" t="n"/>
      <c r="M28" s="17" t="n"/>
      <c r="N28" s="18" t="n"/>
      <c r="O28" s="17" t="n"/>
    </row>
    <row r="29" ht="92" customHeight="1">
      <c r="A29" s="11" t="inlineStr">
        <is>
          <t>ANF-023</t>
        </is>
      </c>
      <c r="B29" s="12" t="inlineStr">
        <is>
          <t>Betreibervertrag</t>
        </is>
      </c>
      <c r="C29" s="13" t="inlineStr">
        <is>
          <t>§ 38 (9)</t>
        </is>
      </c>
      <c r="D29" s="13" t="inlineStr">
        <is>
          <t>Nutzungszeit &amp; Entgelte</t>
        </is>
      </c>
      <c r="E29" s="14" t="inlineStr">
        <is>
          <t>Warnung NutzerIn vor Blockadeentgeld</t>
        </is>
      </c>
      <c r="F29" s="15" t="inlineStr">
        <is>
          <t>Endnutzer sind über eine gut sichtbare Beschilderung darauf hinzuweisen, dass der Stellplatz nach Abschluss des Ladevorgangs unverzüglich freizugeben ist; der Text der Beschilderung bedarf der Zustimmung des Auftraggebers 2. Zusätzlich soll der Endnutzer über eine App oder – falls er eine solche nicht nutzt – an der Ladeeinrichtung, vor Erhebung von Blockadeentgelt oder einer Vertragsstrafe einen Hinweis erhalten, dass der Ladevorgang beendet wurde und der Ladeplatz unverzüglich zu räumen ist</t>
        </is>
      </c>
      <c r="G29" s="12" t="inlineStr">
        <is>
          <t>ggf. Mitteilung?</t>
        </is>
      </c>
      <c r="H29" s="12" t="inlineStr">
        <is>
          <t>eRound / tbd</t>
        </is>
      </c>
      <c r="I29" s="12" t="inlineStr">
        <is>
          <t>Abrechnungskomponente / Beschilderung</t>
        </is>
      </c>
      <c r="J29" s="16">
        <f>IF(OR($H29="offen",ISNUMBER(SEARCH("tbd",$H29)),ISNUMBER(SEARCH("?",$G29))),"ja","nein")</f>
        <v/>
      </c>
      <c r="K29" s="17" t="n"/>
      <c r="L29" s="17" t="n"/>
      <c r="M29" s="17" t="n"/>
      <c r="N29" s="18" t="n"/>
      <c r="O29" s="17" t="n"/>
    </row>
    <row r="30" ht="92" customHeight="1">
      <c r="A30" s="11" t="inlineStr">
        <is>
          <t>ANF-024</t>
        </is>
      </c>
      <c r="B30" s="12" t="inlineStr">
        <is>
          <t>Betreibervertrag</t>
        </is>
      </c>
      <c r="C30" s="13" t="inlineStr">
        <is>
          <t>§ 42 (5)</t>
        </is>
      </c>
      <c r="D30" s="13" t="inlineStr">
        <is>
          <t>Betrieb &amp; Auslastung</t>
        </is>
      </c>
      <c r="E30" s="14" t="inlineStr">
        <is>
          <t>Updates verpflichtend.</t>
        </is>
      </c>
      <c r="F30" s="15" t="inlineStr">
        <is>
          <t>Der Auftragnehmer ist auf Aufforderung des Auftraggebers 2 verpflichtet, die Ladeeinrichtungen technisch und/oder mit Blick auf die Software (insbesondere Schnittstellen und Protokolle) weiterzuentwickeln und zu verbessern. Die Erstattung der tatsächlich erforderlichen Kosten (zuzüglich angemessener Zuschläge für allgemeine Geschäftskosten, Wagnis und Gewinn) erfolgt nach den Regelungen über geänderte oder zusätzliche Leistungen nach § 40.</t>
        </is>
      </c>
      <c r="G30" s="12" t="inlineStr"/>
      <c r="H30" s="12" t="inlineStr">
        <is>
          <t>Aplitronic</t>
        </is>
      </c>
      <c r="I30" s="12" t="inlineStr">
        <is>
          <t>Ladeeinrichtung</t>
        </is>
      </c>
      <c r="J30" s="16">
        <f>IF(OR($H30="offen",ISNUMBER(SEARCH("tbd",$H30)),ISNUMBER(SEARCH("?",$G30))),"ja","nein")</f>
        <v/>
      </c>
      <c r="K30" s="17" t="n"/>
      <c r="L30" s="17" t="n"/>
      <c r="M30" s="17" t="n"/>
      <c r="N30" s="18" t="n"/>
      <c r="O30" s="17" t="n"/>
    </row>
    <row r="31" ht="92" customHeight="1">
      <c r="A31" s="11" t="inlineStr">
        <is>
          <t>ANF-025</t>
        </is>
      </c>
      <c r="B31" s="12" t="inlineStr">
        <is>
          <t>Betreibervertrag</t>
        </is>
      </c>
      <c r="C31" s="13" t="inlineStr">
        <is>
          <t>§ 22 (3)</t>
        </is>
      </c>
      <c r="D31" s="13" t="inlineStr">
        <is>
          <t>Betrieb &amp; Auslastung</t>
        </is>
      </c>
      <c r="E31" s="14" t="inlineStr">
        <is>
          <t>Bei nidriger Auslastung:
Zwischenladepunkte können zwischen 17 und 6 Uhr für Übernachtladen freigegeben werden.
Aber mind. 40% Zwischenladepunkte, aber mind. 2 MCS und 1 CCS.</t>
        </is>
      </c>
      <c r="F31" s="15" t="inlineStr">
        <is>
          <t>CCS- und MCS-Ladepunkte zum Zwischenladen sind bei fehlender Auslastung ab 17:00 Uhr sowie an Wochenenden zum Übernachtladen freizugegeben. Es müssen jedoch auch in dieser Zeit 40 %, aber mindestens zwei MCS-Ladepunkte bzw. ein CCS-Ladepunkt, zum Zwischenladen für das Zwischenladen freigehalten werden. An Standorten, an denen nur ein MCS-Ladepunkt vorhanden ist, ist dieser für das Zwischenladen freizuhalten. Der Auftragnehmer hat sicherzustellen, dass die MCS- und CCS-Ladepunkte zum Zwischenladen ab 06:00 Uhr wieder für das Zwischenladen bereitstehen. Auftragnehmer und Auftraggeber 2 können sich je nach Auslastung der Ladepunkte auf abweichende Vorgaben zur Freigabe von Ladepunkten zum Zwischenladen einigen.</t>
        </is>
      </c>
      <c r="G31" s="12" t="inlineStr">
        <is>
          <t>40% Zwischenladen</t>
        </is>
      </c>
      <c r="H31" s="12" t="inlineStr">
        <is>
          <t>eRound / SCS</t>
        </is>
      </c>
      <c r="I31" s="12" t="inlineStr">
        <is>
          <t>OCPI Buchungskalender / Dynamische Anzeige</t>
        </is>
      </c>
      <c r="J31" s="16">
        <f>IF(OR($H31="offen",ISNUMBER(SEARCH("tbd",$H31)),ISNUMBER(SEARCH("?",$G31))),"ja","nein")</f>
        <v/>
      </c>
      <c r="K31" s="17" t="n"/>
      <c r="L31" s="17" t="n"/>
      <c r="M31" s="17" t="n"/>
      <c r="N31" s="18" t="n"/>
      <c r="O31" s="17" t="n"/>
    </row>
    <row r="32" ht="92" customHeight="1">
      <c r="A32" s="11" t="inlineStr">
        <is>
          <t>ANF-026</t>
        </is>
      </c>
      <c r="B32" s="12" t="inlineStr">
        <is>
          <t>Betreibervertrag</t>
        </is>
      </c>
      <c r="C32" s="13" t="inlineStr">
        <is>
          <t>§ 4 (52)</t>
        </is>
      </c>
      <c r="D32" s="13" t="inlineStr">
        <is>
          <t>Reservierung</t>
        </is>
      </c>
      <c r="E32" s="14" t="inlineStr">
        <is>
          <t>Mindestens AN plus ein weiterer.</t>
        </is>
      </c>
      <c r="F32" s="15" t="inlineStr">
        <is>
          <t>"Reservierungssystem“: Ein System zur Reservierung von Ladepunkten, das Mobilitätsdienstleistern ermöglicht, Ladepunkte bei dem Auftragnehmer und mindestens einem weiteren Ladepunktbetreiber zu reservieren.</t>
        </is>
      </c>
      <c r="G32" s="12" t="inlineStr">
        <is>
          <t>Mehr als 1 Anbieter</t>
        </is>
      </c>
      <c r="H32" s="12" t="inlineStr">
        <is>
          <t>Reservierungsplattform</t>
        </is>
      </c>
      <c r="I32" s="12" t="inlineStr">
        <is>
          <t>Anbindung</t>
        </is>
      </c>
      <c r="J32" s="16">
        <f>IF(OR($H32="offen",ISNUMBER(SEARCH("tbd",$H32)),ISNUMBER(SEARCH("?",$G32))),"ja","nein")</f>
        <v/>
      </c>
      <c r="K32" s="17" t="n"/>
      <c r="L32" s="17" t="n"/>
      <c r="M32" s="17" t="n"/>
      <c r="N32" s="18" t="n"/>
      <c r="O32" s="17" t="n"/>
    </row>
    <row r="33" ht="92" customHeight="1">
      <c r="A33" s="11" t="inlineStr">
        <is>
          <t>ANF-027</t>
        </is>
      </c>
      <c r="B33" s="12" t="inlineStr">
        <is>
          <t>Bieterfrage</t>
        </is>
      </c>
      <c r="C33" s="13" t="inlineStr">
        <is>
          <t>§ 351</t>
        </is>
      </c>
      <c r="D33" s="13" t="inlineStr">
        <is>
          <t>Belegungsdetektion</t>
        </is>
      </c>
      <c r="E33" s="14" t="inlineStr">
        <is>
          <t>Belegungsdetektion ist gefordert.</t>
        </is>
      </c>
      <c r="F33" s="15" t="inlineStr">
        <is>
          <t>Nein, auch bei installierten Zufahrtsbeschränkungen sind Sensoren als Redundanz zum Zweck der Detektion des Belegungsstatus des Ladeplatzes vorzusehen.</t>
        </is>
      </c>
      <c r="G33" s="12" t="inlineStr"/>
      <c r="H33" s="12" t="inlineStr">
        <is>
          <t>SCS</t>
        </is>
      </c>
      <c r="I33" s="12" t="inlineStr">
        <is>
          <t>Belegungsdetektion</t>
        </is>
      </c>
      <c r="J33" s="16">
        <f>IF(OR($H33="offen",ISNUMBER(SEARCH("tbd",$H33)),ISNUMBER(SEARCH("?",$G33))),"ja","nein")</f>
        <v/>
      </c>
      <c r="K33" s="17" t="n"/>
      <c r="L33" s="17" t="n"/>
      <c r="M33" s="17" t="n"/>
      <c r="N33" s="18" t="n"/>
      <c r="O33" s="17" t="n"/>
    </row>
    <row r="34" ht="92" customHeight="1">
      <c r="A34" s="11" t="inlineStr">
        <is>
          <t>ANF-028</t>
        </is>
      </c>
      <c r="B34" s="12" t="inlineStr">
        <is>
          <t>Bieterfrage</t>
        </is>
      </c>
      <c r="C34" s="13" t="inlineStr">
        <is>
          <t>§ 373</t>
        </is>
      </c>
      <c r="D34" s="13" t="inlineStr">
        <is>
          <t>Reservierung</t>
        </is>
      </c>
      <c r="E34" s="14" t="inlineStr">
        <is>
          <t>OCPI Schnittstelle für Reservierungen ist gefordert.</t>
        </is>
      </c>
      <c r="F34" s="15" t="inlineStr">
        <is>
          <t>Frage:
Laut Ziff. 3.4 im 4. Verfahrensbrief soll es nur ein zentrales Reservierungssystem geben. zugleich ist in § 23 Abs. 1 des Betreibervertrags von Reservierungsplattformen (Mehrzahl) die Rede. Wie passt dies zusammen?
Antwort:
Die überarbeitete Regelung im Betreibervertrag (§ 24) sieht vor, dass der Auftragnehmer eine Anbindung von Reservierungsplattformen über eine OCPI basierte
Schnittstelle sicherstellt und Reservierungsplattformen über diese Schnittstelle ermöglicht, wenn sie die im Vertrag genannten Mindestvoraussetzungen erfüllt.</t>
        </is>
      </c>
      <c r="G34" s="12" t="inlineStr">
        <is>
          <t>OCPI Schnittstelle</t>
        </is>
      </c>
      <c r="H34" s="12" t="inlineStr">
        <is>
          <t>eRound</t>
        </is>
      </c>
      <c r="I34" s="12" t="inlineStr">
        <is>
          <t>OCPI Buchungskalender</t>
        </is>
      </c>
      <c r="J34" s="16">
        <f>IF(OR($H34="offen",ISNUMBER(SEARCH("tbd",$H34)),ISNUMBER(SEARCH("?",$G34))),"ja","nein")</f>
        <v/>
      </c>
      <c r="K34" s="17" t="n"/>
      <c r="L34" s="17" t="n"/>
      <c r="M34" s="17" t="n"/>
      <c r="N34" s="18" t="n"/>
      <c r="O34" s="17" t="n"/>
    </row>
    <row r="35" ht="92" customHeight="1">
      <c r="A35" s="11" t="inlineStr">
        <is>
          <t>ANF-029</t>
        </is>
      </c>
      <c r="B35" s="12" t="inlineStr">
        <is>
          <t>Bieterfrage</t>
        </is>
      </c>
      <c r="C35" s="13" t="inlineStr">
        <is>
          <t>§ 374</t>
        </is>
      </c>
      <c r="D35" s="13" t="inlineStr">
        <is>
          <t>Reservierung</t>
        </is>
      </c>
      <c r="E35" s="14" t="inlineStr">
        <is>
          <t>Anbindung muss deutschlandweit sichergestellt sein.</t>
        </is>
      </c>
      <c r="F35" s="15" t="inlineStr">
        <is>
          <t>Frage:
Bei einer Reservierungsplattform handelt es sich um Software, die damit grundsätzlich weltweit verfügbar ist. Wie ist der Passus zu verstehen, dass die Plattform im gesamten Gebiet der Bundesrepublik Deutschland Reservierungen ermöglichen soll?
Antwort:
Es muss sichergestellt sein, dass die Reservierung für alle Rastanlagen mit Ladeinfrastruktur für E-LKW auf Bundesautobahnen möglich ist</t>
        </is>
      </c>
      <c r="G35" s="12" t="inlineStr"/>
      <c r="H35" s="12" t="inlineStr">
        <is>
          <t>Reservierungsplattform</t>
        </is>
      </c>
      <c r="I35" s="12" t="inlineStr">
        <is>
          <t>Anbindung</t>
        </is>
      </c>
      <c r="J35" s="16">
        <f>IF(OR($H35="offen",ISNUMBER(SEARCH("tbd",$H35)),ISNUMBER(SEARCH("?",$G35))),"ja","nein")</f>
        <v/>
      </c>
      <c r="K35" s="17" t="n"/>
      <c r="L35" s="17" t="n"/>
      <c r="M35" s="17" t="n"/>
      <c r="N35" s="18" t="n"/>
      <c r="O35" s="17" t="n"/>
    </row>
    <row r="36" ht="92" customHeight="1">
      <c r="A36" s="11" t="inlineStr">
        <is>
          <t>ANF-030</t>
        </is>
      </c>
      <c r="B36" s="12" t="inlineStr">
        <is>
          <t>Bieterfrage</t>
        </is>
      </c>
      <c r="C36" s="13" t="inlineStr">
        <is>
          <t>§ 375</t>
        </is>
      </c>
      <c r="D36" s="13" t="inlineStr">
        <is>
          <t>Nutzungszeit &amp; Entgelte</t>
        </is>
      </c>
      <c r="E36" s="14" t="inlineStr"/>
      <c r="F36" s="15" t="inlineStr">
        <is>
          <t>Es ist in Verbindung mit §36 das Erheben eines Blockadeentgeltes möglich, welches (bei Erscheinen) erst nach 75 min greift. Gehen wir recht in der Annahme, dass der CPO mit einer Belegung durch einen Reservierungsvorgang von 75 min rechnen muss, bevor er die Ladestation erneut als verfügbar meldet?</t>
        </is>
      </c>
      <c r="G36" s="12" t="inlineStr">
        <is>
          <t>leer 10.12.2025</t>
        </is>
      </c>
      <c r="H36" s="12" t="inlineStr">
        <is>
          <t>offen</t>
        </is>
      </c>
      <c r="I36" s="12" t="inlineStr">
        <is>
          <t>–</t>
        </is>
      </c>
      <c r="J36" s="16">
        <f>IF(OR($H36="offen",ISNUMBER(SEARCH("tbd",$H36)),ISNUMBER(SEARCH("?",$G36))),"ja","nein")</f>
        <v/>
      </c>
      <c r="K36" s="17" t="n"/>
      <c r="L36" s="17" t="n"/>
      <c r="M36" s="17" t="n"/>
      <c r="N36" s="18" t="n"/>
      <c r="O36" s="17" t="n"/>
    </row>
    <row r="37" ht="92" customHeight="1">
      <c r="A37" s="11" t="inlineStr">
        <is>
          <t>ANF-031</t>
        </is>
      </c>
      <c r="B37" s="12" t="inlineStr">
        <is>
          <t>Bieterfrage</t>
        </is>
      </c>
      <c r="C37" s="13" t="inlineStr">
        <is>
          <t>§ 376</t>
        </is>
      </c>
      <c r="D37" s="13" t="inlineStr">
        <is>
          <t>Nutzungszeit &amp; Entgelte</t>
        </is>
      </c>
      <c r="E37" s="14" t="inlineStr"/>
      <c r="F37" s="15" t="inlineStr">
        <is>
          <t>Frage:
Der Vertrag sieht eine spätere mögliche Anpassung der Höhe des Blockadeentgeltes vor, aber keine Anpassungsoption hinsichtlich der Wartezeit. Gehen wir richtig in der Annahme, dass der AG nicht beabsichtigt, mögliche Optimierungspotenziale durch kürzere Wartezeiten während der Vertragslaufzeit zu realisieren?
Antwort:
Der Betreibervertrag wird mit der Aufforderung der Abgabe verbindlicher Angebote aktualisiert.</t>
        </is>
      </c>
      <c r="G37" s="12" t="inlineStr">
        <is>
          <t>Verweis Ausschreibungsunterlagen</t>
        </is>
      </c>
      <c r="H37" s="12" t="inlineStr">
        <is>
          <t>offen</t>
        </is>
      </c>
      <c r="I37" s="12" t="inlineStr">
        <is>
          <t>–</t>
        </is>
      </c>
      <c r="J37" s="16">
        <f>IF(OR($H37="offen",ISNUMBER(SEARCH("tbd",$H37)),ISNUMBER(SEARCH("?",$G37))),"ja","nein")</f>
        <v/>
      </c>
      <c r="K37" s="17" t="n"/>
      <c r="L37" s="17" t="n"/>
      <c r="M37" s="17" t="n"/>
      <c r="N37" s="18" t="n"/>
      <c r="O37" s="17" t="n"/>
    </row>
    <row r="38" ht="92" customHeight="1">
      <c r="A38" s="11" t="inlineStr">
        <is>
          <t>ANF-032</t>
        </is>
      </c>
      <c r="B38" s="12" t="inlineStr">
        <is>
          <t>Bieterfrage</t>
        </is>
      </c>
      <c r="C38" s="13" t="inlineStr">
        <is>
          <t>§ 377</t>
        </is>
      </c>
      <c r="D38" s="13" t="inlineStr">
        <is>
          <t>Reservierung</t>
        </is>
      </c>
      <c r="E38" s="14" t="inlineStr"/>
      <c r="F38" s="15" t="inlineStr">
        <is>
          <t>Im In § 23 Abs. 4 BV heißt es, dass der Auftragnehmer verpflichtet ist, Endnutzern bzw. anderen Mobilitätsdienstleistern die Nutzung von MCS- oder CCS auch ohne vorherige Reservierung zu ermöglichen. Gehen wir recht in der Annahme, dass mit CCS nur Ladepunkte zum Zwischenladen gemeint sind und keine Ladepunkte zum Übernachtladen? Gehen wir weiter recht in der Annahme, dass sich dies auf die Ladepunkte eines Standortes bezieht und nicht auf jeden einzelnen Ladepunkt? Falls nein, heißt dies, dass es zulässig ist, ab weniger als 1h vor dem nächsten reservierten Lade Slot, keinen neuen Ladevorgang an dem betreffenden Ladepunkt mehr zuzulassen, da eine Blockiergebühr erst nach 60 min zulässig ist? Inwiefern sieht es die Vergabestelle als zulässig an, dass der adhoc-Nutzer einen spätesten Abfahrtzeitpunkt bestätigen muss, bei dessen Überschreiten eine Blockiergebühr erhoben werden darf?</t>
        </is>
      </c>
      <c r="G38" s="12" t="inlineStr">
        <is>
          <t>Verweis Ausschreibungsunterlagen</t>
        </is>
      </c>
      <c r="H38" s="12" t="inlineStr">
        <is>
          <t>offen</t>
        </is>
      </c>
      <c r="I38" s="12" t="inlineStr">
        <is>
          <t>–</t>
        </is>
      </c>
      <c r="J38" s="16">
        <f>IF(OR($H38="offen",ISNUMBER(SEARCH("tbd",$H38)),ISNUMBER(SEARCH("?",$G38))),"ja","nein")</f>
        <v/>
      </c>
      <c r="K38" s="17" t="n"/>
      <c r="L38" s="17" t="n"/>
      <c r="M38" s="17" t="n"/>
      <c r="N38" s="18" t="n"/>
      <c r="O38" s="17" t="n"/>
    </row>
    <row r="39" ht="92" customHeight="1">
      <c r="A39" s="11" t="inlineStr">
        <is>
          <t>ANF-033</t>
        </is>
      </c>
      <c r="B39" s="12" t="inlineStr">
        <is>
          <t>Bieterfrage</t>
        </is>
      </c>
      <c r="C39" s="13" t="inlineStr">
        <is>
          <t>§ 378</t>
        </is>
      </c>
      <c r="D39" s="13" t="inlineStr">
        <is>
          <t>Reservierung</t>
        </is>
      </c>
      <c r="E39" s="14" t="inlineStr">
        <is>
          <t>Anpassung möglich, bei ungewolltem Nutzerverhalten.</t>
        </is>
      </c>
      <c r="F39" s="15" t="inlineStr">
        <is>
          <t>Frage:
Aus Sicht eines Kunden liegt es nahe, ggf. mehr als einen Standort zu reservieren, solange eine Buchung kostenlos storniert werden kann. Eine Stornierung und damit Freigabe eines Ladepunkts 30 Minuten vor dem geplanten Nutzungsbeginn führt jedoch dazu, dass die Wahrscheinlichkeit einer tatsächlichen Nutzung des zuvor reservierten Ladepunkts deutlich sinkt. Welche Maßnahmen sieht der AG vor, um ein derartiges Verhalten der Nutzer zu verhindern?
Antwort:
Grundsätzlich möchte der Auftraggeber den Nutzern eine gewisse Flexibilität ermöglichen, da die Inanspruchnahme einer Reservierung z.B. aufgrund kurzfristiger Staus auch ohne Verschulden ggf. nicht wahrgenommen werden kann. Ein missbräuchliches Verhalten durch Nutzer, z.B. durch mehrfache Reservierungsbuchungen am gleichen Standort und am gleichen Tag, ist nicht im Interesse des Auftraggebers. Sollte sich ein solches Verhalten einstellen, besteht vor dem Hintergrund eines abweichenden Marktstandards nach §23 Abs. 3 des Betreibervertrags die Möglichkeit, die definierten Mindestvoraussetzungen an Reservierungsplattformen zu ändern.</t>
        </is>
      </c>
      <c r="G39" s="12" t="inlineStr"/>
      <c r="H39" s="12" t="inlineStr">
        <is>
          <t>eRound</t>
        </is>
      </c>
      <c r="I39" s="12" t="inlineStr">
        <is>
          <t>OCPI Buchungskalender</t>
        </is>
      </c>
      <c r="J39" s="16">
        <f>IF(OR($H39="offen",ISNUMBER(SEARCH("tbd",$H39)),ISNUMBER(SEARCH("?",$G39))),"ja","nein")</f>
        <v/>
      </c>
      <c r="K39" s="17" t="n"/>
      <c r="L39" s="17" t="n"/>
      <c r="M39" s="17" t="n"/>
      <c r="N39" s="18" t="n"/>
      <c r="O39" s="17" t="n"/>
    </row>
    <row r="40" ht="92" customHeight="1">
      <c r="A40" s="11" t="inlineStr">
        <is>
          <t>ANF-034</t>
        </is>
      </c>
      <c r="B40" s="12" t="inlineStr">
        <is>
          <t>Bieterfrage</t>
        </is>
      </c>
      <c r="C40" s="13" t="inlineStr">
        <is>
          <t>§ 455</t>
        </is>
      </c>
      <c r="D40" s="13" t="inlineStr">
        <is>
          <t>Reservierung</t>
        </is>
      </c>
      <c r="E40" s="14" t="inlineStr">
        <is>
          <t>Reservierungsplattform ist nicht Teil der Ausschreibung.</t>
        </is>
      </c>
      <c r="F40" s="15" t="inlineStr">
        <is>
          <t>Frage:
Im vierten Verfahrensbrief findet sich folgende Aussage unter 3.4.: „Die Vorgaben zum Reservierungssystem wurden dahingehend angepasst, dass es nunmehr ein zentrales Reservierungssystem geben wird.“ Im Betreibervertrag unter § 23, 2. Lesen wir allerdings: „Der Auftragnehmer ist verpflichtet, jeder Reservierungsplattform die Anbindung über die in Absatz 1 genannte Schnittstelle kostenfrei zu ermöglichen, soweit die Reservierungsplattform die folgenden Mindestvoraussetzungen erfüllt: (…)“ Dies stellt aus unserer Sicht ggf. einen Widerspruch dar. Wir bitten darum, die geplante Architektur des Reservierungsökosystems einmal zu erläutern.
Antwort:
Der Vertrag gilt. Sobald Reservierungsplattformen die im Vertrag genannten Mindestvoraussetzungen erfüllen, werden sie als anbindungsfähig und als zentral angesehen. In diesem Fall hat der Auftragnehmer auf Wunsch der externen Reservierungsplattformen eine Anbindung über eine OCPI-basierte Schnittstelle zu gewährleisten. Ein durch den Auftraggeber (z.B. per Vergabeverfahren) organisiertes, zentrales Reservierungssystem ist nicht in Planung.</t>
        </is>
      </c>
      <c r="G40" s="12" t="inlineStr">
        <is>
          <t>Zentrales Reservierungssystem</t>
        </is>
      </c>
      <c r="H40" s="12" t="inlineStr">
        <is>
          <t>Reservierungsplattform</t>
        </is>
      </c>
      <c r="I40" s="12" t="inlineStr">
        <is>
          <t>Reservierungsplattform</t>
        </is>
      </c>
      <c r="J40" s="16">
        <f>IF(OR($H40="offen",ISNUMBER(SEARCH("tbd",$H40)),ISNUMBER(SEARCH("?",$G40))),"ja","nein")</f>
        <v/>
      </c>
      <c r="K40" s="17" t="n"/>
      <c r="L40" s="17" t="n"/>
      <c r="M40" s="17" t="n"/>
      <c r="N40" s="18" t="n"/>
      <c r="O40" s="17" t="n"/>
    </row>
    <row r="41" ht="92" customHeight="1">
      <c r="A41" s="11" t="inlineStr">
        <is>
          <t>ANF-035</t>
        </is>
      </c>
      <c r="B41" s="12" t="inlineStr">
        <is>
          <t>Bieterfrage</t>
        </is>
      </c>
      <c r="C41" s="13" t="inlineStr">
        <is>
          <t>§ 370</t>
        </is>
      </c>
      <c r="D41" s="13" t="inlineStr">
        <is>
          <t>Reservierung</t>
        </is>
      </c>
      <c r="E41" s="14" t="inlineStr">
        <is>
          <t>Sämtliche Infos via gängigen Roamingprotokoll / Marktstandard zur verfügung stellen.</t>
        </is>
      </c>
      <c r="F41" s="15" t="inlineStr">
        <is>
          <t>Frage:
Welche Informationen der Reservierung sollen MSP und sonstigen bereitgestellt werden?
Antwort:
Es ist vom AN sicherzustellen, dass sämtliche Statusinformationen der Reservierungen bereitgestellt werden, die mittels der gängigen Roamingprotokolle übermittelt werden können und dem gängigen Marktstandard entsprechen.</t>
        </is>
      </c>
      <c r="G41" s="12" t="inlineStr"/>
      <c r="H41" s="12" t="inlineStr">
        <is>
          <t>eRound</t>
        </is>
      </c>
      <c r="I41" s="12" t="inlineStr">
        <is>
          <t>OCPI Buchungskalender</t>
        </is>
      </c>
      <c r="J41" s="16">
        <f>IF(OR($H41="offen",ISNUMBER(SEARCH("tbd",$H41)),ISNUMBER(SEARCH("?",$G41))),"ja","nein")</f>
        <v/>
      </c>
      <c r="K41" s="17" t="n"/>
      <c r="L41" s="17" t="n"/>
      <c r="M41" s="17" t="n"/>
      <c r="N41" s="18" t="n"/>
      <c r="O41" s="17" t="n"/>
    </row>
    <row r="42" ht="92" customHeight="1">
      <c r="A42" s="11" t="inlineStr">
        <is>
          <t>ANF-036</t>
        </is>
      </c>
      <c r="B42" s="12" t="inlineStr">
        <is>
          <t>Vertragsanlage 10</t>
        </is>
      </c>
      <c r="C42" s="13" t="inlineStr">
        <is>
          <t>§ 3.1</t>
        </is>
      </c>
      <c r="D42" s="13" t="inlineStr">
        <is>
          <t>Monitoring &amp; Reporting</t>
        </is>
      </c>
      <c r="E42" s="14" t="inlineStr">
        <is>
          <t>Benennung Datenpunkte zu Reservierungen im Monatsbericht.</t>
        </is>
      </c>
      <c r="F42" s="15" t="inlineStr">
        <is>
          <t>ab_total_reservations Anzahl Reservierungen je Ladepunkt ab_total_reservations_cancelled Anzahl stornierter Reservierungen je Ladepunkt ab_reservations_no-show Anzahl nicht eingehaltener Reservierungen je Ladepunkt</t>
        </is>
      </c>
      <c r="G42" s="12" t="inlineStr">
        <is>
          <t>Datentabelle Monatsbericht Verfügbarkeit</t>
        </is>
      </c>
      <c r="H42" s="12" t="inlineStr">
        <is>
          <t>eRound</t>
        </is>
      </c>
      <c r="I42" s="12" t="inlineStr">
        <is>
          <t>Monitoring</t>
        </is>
      </c>
      <c r="J42" s="16">
        <f>IF(OR($H42="offen",ISNUMBER(SEARCH("tbd",$H42)),ISNUMBER(SEARCH("?",$G42))),"ja","nein")</f>
        <v/>
      </c>
      <c r="K42" s="17" t="n"/>
      <c r="L42" s="17" t="n"/>
      <c r="M42" s="17" t="n"/>
      <c r="N42" s="18" t="n"/>
      <c r="O42" s="17" t="n"/>
    </row>
    <row r="43" ht="92" customHeight="1">
      <c r="A43" s="11" t="inlineStr">
        <is>
          <t>ANF-037</t>
        </is>
      </c>
      <c r="B43" s="12" t="inlineStr">
        <is>
          <t>Vertragsanlage 10</t>
        </is>
      </c>
      <c r="C43" s="13" t="inlineStr">
        <is>
          <t>§ 5 (d)</t>
        </is>
      </c>
      <c r="D43" s="13" t="inlineStr">
        <is>
          <t>Monitoring &amp; Reporting</t>
        </is>
      </c>
      <c r="E43" s="14" t="inlineStr">
        <is>
          <t>Benennung Datenpunkte zu Reservierungen im Monatsbericht.</t>
        </is>
      </c>
      <c r="F43" s="15" t="inlineStr">
        <is>
          <t>total_reservation_cost Gesamtsumme aller Kosten im Zusammenhang mit der Reservierung eines Ladepunkts, einschließlich Festpreisbestandteilen (€)</t>
        </is>
      </c>
      <c r="G43" s="12" t="inlineStr">
        <is>
          <t>Datentabelle Reservierungskosten</t>
        </is>
      </c>
      <c r="H43" s="12" t="inlineStr">
        <is>
          <t>eRound</t>
        </is>
      </c>
      <c r="I43" s="12" t="inlineStr">
        <is>
          <t>Monitoring</t>
        </is>
      </c>
      <c r="J43" s="16">
        <f>IF(OR($H43="offen",ISNUMBER(SEARCH("tbd",$H43)),ISNUMBER(SEARCH("?",$G43))),"ja","nein")</f>
        <v/>
      </c>
      <c r="K43" s="17" t="n"/>
      <c r="L43" s="17" t="n"/>
      <c r="M43" s="17" t="n"/>
      <c r="N43" s="18" t="n"/>
      <c r="O43" s="17" t="n"/>
    </row>
    <row r="44" ht="92" customHeight="1">
      <c r="A44" s="11" t="inlineStr">
        <is>
          <t>ANF-038</t>
        </is>
      </c>
      <c r="B44" s="12" t="inlineStr">
        <is>
          <t>Vertragsanlage 4</t>
        </is>
      </c>
      <c r="C44" s="13" t="inlineStr">
        <is>
          <t>§ 3.13.2</t>
        </is>
      </c>
      <c r="D44" s="13" t="inlineStr">
        <is>
          <t>Zufahrt &amp; Schranke</t>
        </is>
      </c>
      <c r="E44" s="14" t="inlineStr">
        <is>
          <t>Schrankenanlage auf Schrankeninsel</t>
        </is>
      </c>
      <c r="F44" s="15" t="inlineStr">
        <is>
          <t>Anforderungen an Lade-, Schrankeninseln und physische Zufahrtbeschränkungen</t>
        </is>
      </c>
      <c r="G44" s="12" t="inlineStr"/>
      <c r="H44" s="12" t="inlineStr">
        <is>
          <t>tbd</t>
        </is>
      </c>
      <c r="I44" s="12" t="inlineStr">
        <is>
          <t>Schrankenanlage</t>
        </is>
      </c>
      <c r="J44" s="16">
        <f>IF(OR($H44="offen",ISNUMBER(SEARCH("tbd",$H44)),ISNUMBER(SEARCH("?",$G44))),"ja","nein")</f>
        <v/>
      </c>
      <c r="K44" s="17" t="n"/>
      <c r="L44" s="17" t="n"/>
      <c r="M44" s="17" t="n"/>
      <c r="N44" s="18" t="n"/>
      <c r="O44" s="17" t="n"/>
    </row>
    <row r="45" ht="92" customHeight="1">
      <c r="A45" s="11" t="inlineStr">
        <is>
          <t>ANF-039</t>
        </is>
      </c>
      <c r="B45" s="12" t="inlineStr">
        <is>
          <t>Vertragsanlage 4</t>
        </is>
      </c>
      <c r="C45" s="13" t="inlineStr">
        <is>
          <t>§ 3.13.2 (1)</t>
        </is>
      </c>
      <c r="D45" s="13" t="inlineStr">
        <is>
          <t>Zufahrt &amp; Schranke</t>
        </is>
      </c>
      <c r="E45" s="14" t="inlineStr">
        <is>
          <t>Schranke an Einfahrt Ladepunkt und Ausfahrt Ladepunkt.
Bei Schrägparken Poller?</t>
        </is>
      </c>
      <c r="F45" s="15" t="inlineStr">
        <is>
          <t>Für den Zweck einer geordneten Zufahrt und Abfahrt sowie zur Sicherstellung der Verfügbarkeit der Ladeinfrastruktur sind Ladeinseln, Schrankeninseln sowie physische Zufahrtsbeschränkungen zu errichten. Diese dienen der Vermeidung unbefugter Inanspruchnahmen der Ladeplätze durch nichtladende Fahrzeuge aus allen Fahrtrichtungen und gewährleisten den bestimmungsgemäßen Betrieb der Ladeinfrastruktur.</t>
        </is>
      </c>
      <c r="G45" s="12" t="inlineStr">
        <is>
          <t>Schranke gefordert aus allen Richtungen</t>
        </is>
      </c>
      <c r="H45" s="12" t="inlineStr">
        <is>
          <t>tbd</t>
        </is>
      </c>
      <c r="I45" s="12" t="inlineStr">
        <is>
          <t>Schrankenanlage</t>
        </is>
      </c>
      <c r="J45" s="16">
        <f>IF(OR($H45="offen",ISNUMBER(SEARCH("tbd",$H45)),ISNUMBER(SEARCH("?",$G45))),"ja","nein")</f>
        <v/>
      </c>
      <c r="K45" s="17" t="n"/>
      <c r="L45" s="17" t="n"/>
      <c r="M45" s="17" t="n"/>
      <c r="N45" s="18" t="n"/>
      <c r="O45" s="17" t="n"/>
    </row>
    <row r="46" ht="92" customHeight="1">
      <c r="A46" s="11" t="inlineStr">
        <is>
          <t>ANF-040</t>
        </is>
      </c>
      <c r="B46" s="12" t="inlineStr">
        <is>
          <t>Vertragsanlage 4</t>
        </is>
      </c>
      <c r="C46" s="13" t="inlineStr">
        <is>
          <t>§ 3.13.4</t>
        </is>
      </c>
      <c r="D46" s="13" t="inlineStr">
        <is>
          <t>Anzeige &amp; Beschilderung</t>
        </is>
      </c>
      <c r="E46" s="14" t="inlineStr">
        <is>
          <t>Darstellung statischer und dynamischer Infos.</t>
        </is>
      </c>
      <c r="F46" s="15" t="inlineStr">
        <is>
          <t>Jeder Ladeplatz ist mit einer Kennzeichnung bzw. Anzeige mit folgenden Informationen auszurüsten:
- Ladeplatznummer (Schild mit schwarzer Nummer auf weißem retroreflektierendem Hintergrund mit der Reflektionsklasse RA1 A)
- Dynamische Anzeige mit
 - Typ des Ladeplatzes (MCS, CCS-Zwischenladen, CCS-Übernachtladen)
 - Leistung der Ladesäule
 - Status (verfügbar, reserviert ab XX:XX Uhr, belegt, außer Betrieb)
 - optional: Kennzeichen/Reservierungsnummer
- Der Status des Ladeplatzes ist zusätzlich zur dynamischen Anzeige über eine farbcodierte Statuskennzeichnung darzustellen (Grün = verfügbar, Gelb = reserviert, Rot = belegt / außer Betrieb). Die farbcodierte Kennzeichnung dient der optischen Erkennbarkeit des Betriebszustands, insbesondere bei Ausfall der digitalen Anzeige.
Die Platzierung der Kennzeichnung und Anzeigen hat bei Parkständen in Schrägaufstellung gut sichtbar auf der Schrankeninsel zu erfolgen.
Die Platzierung der Kennzeichnung und Anzeigen hat bei Parkständen in Längsaufstellung gut sichtbar, dem entsprechenden Ladeplatz zugehörig im Bereich der Ladeinsel bzw. Ladesäule zu erfolgen.
Weitere Anforderungen im Zusammenhang mit dynamischen Anzeigen sind der Vertragsanlage 6: Anforderungen an die Ladeinfrastruktur zu entnehmen.</t>
        </is>
      </c>
      <c r="G46" s="12" t="inlineStr">
        <is>
          <t>LED Anzeigen</t>
        </is>
      </c>
      <c r="H46" s="12" t="inlineStr">
        <is>
          <t>SCS / tbd</t>
        </is>
      </c>
      <c r="I46" s="12" t="inlineStr">
        <is>
          <t>Beschilderung / Dynamische Anzeige</t>
        </is>
      </c>
      <c r="J46" s="16">
        <f>IF(OR($H46="offen",ISNUMBER(SEARCH("tbd",$H46)),ISNUMBER(SEARCH("?",$G46))),"ja","nein")</f>
        <v/>
      </c>
      <c r="K46" s="17" t="n"/>
      <c r="L46" s="17" t="n"/>
      <c r="M46" s="17" t="n"/>
      <c r="N46" s="18" t="n"/>
      <c r="O46" s="17" t="n"/>
    </row>
    <row r="47" ht="92" customHeight="1">
      <c r="A47" s="11" t="inlineStr">
        <is>
          <t>ANF-041</t>
        </is>
      </c>
      <c r="B47" s="12" t="inlineStr">
        <is>
          <t>Vertragsanlage 6</t>
        </is>
      </c>
      <c r="C47" s="13" t="inlineStr">
        <is>
          <t>§ 8</t>
        </is>
      </c>
      <c r="D47" s="13" t="inlineStr">
        <is>
          <t>Authentifizierung &amp; Zugang</t>
        </is>
      </c>
      <c r="E47" s="14" t="inlineStr">
        <is>
          <t>Öffnung innerhalb von 45 Sekunden.</t>
        </is>
      </c>
      <c r="F47" s="15" t="inlineStr">
        <is>
          <t>Folgende Authentifizierungsoptionen (Anmeldung, Freischaltung der physischen 
Zufahrtsbeschränkungen und Start des Ladevorgangs etc.) müssen möglich sein:
▪ RFID-Token (Ladekarte etc.) von vertraglich angebundenen Mobilitätsdienstleister,
▪ App von vertraglich angebundenen Mobilitätsdienstleister,
▪ Ad hoc-Laden ohne Registrierung und
▪ ISO 15118 (nach Verfügbarkeit – s. o. Abschnitt 7.).
Der Authentifizierungsvorgang zur Freigabe des Ladeplatzes muss innerhalb von maximal 
45 Sekunden abgeschlossen sein und sollte so gestaltet sein, dass der Verkehrsfluss möglichst 
wenig beeinträchtigt wird. Die angegebene Zeitspanne umfasst alle praktische und technische 
Schritte der Authentifizierung bis zur Öffnung der Schranke bzw. des Pollers und gilt für alle 
vorgesehenen Zugangsarten</t>
        </is>
      </c>
      <c r="G47" s="12" t="inlineStr">
        <is>
          <t>45 Sekunden (!)
Wie (wer) Erfüllt das?
Bieterfrage 441 nach Bezahlterminal ?</t>
        </is>
      </c>
      <c r="H47" s="12" t="inlineStr">
        <is>
          <t>eRound / tbd</t>
        </is>
      </c>
      <c r="I47" s="12" t="inlineStr">
        <is>
          <t>Authentifizierungskomponente / Schrankensteuerung</t>
        </is>
      </c>
      <c r="J47" s="16">
        <f>IF(OR($H47="offen",ISNUMBER(SEARCH("tbd",$H47)),ISNUMBER(SEARCH("?",$G47))),"ja","nein")</f>
        <v/>
      </c>
      <c r="K47" s="17" t="n"/>
      <c r="L47" s="17" t="n"/>
      <c r="M47" s="17" t="n"/>
      <c r="N47" s="18" t="n"/>
      <c r="O47" s="17" t="n"/>
    </row>
    <row r="48" ht="92" customHeight="1">
      <c r="A48" s="11" t="inlineStr">
        <is>
          <t>ANF-042</t>
        </is>
      </c>
      <c r="B48" s="12" t="inlineStr">
        <is>
          <t>Vertragsanlage 6</t>
        </is>
      </c>
      <c r="C48" s="13" t="inlineStr">
        <is>
          <t>§ 9 (1)</t>
        </is>
      </c>
      <c r="D48" s="13" t="inlineStr">
        <is>
          <t>Belegungsdetektion</t>
        </is>
      </c>
      <c r="E48" s="14" t="inlineStr">
        <is>
          <t>Belegungsdetektion ist gefordert.</t>
        </is>
      </c>
      <c r="F48" s="15" t="inlineStr">
        <is>
          <t>Jeder MCS- / CCS-Ladepunkt muss über eine Detektion verfügen. Die MCS- / CCSLadeplatzdetektion ist so auszustatten, dass Objekte auf dem zum MCS- / CCSLadepunkt gehörigen MCS- / CCS-Ladeplatz detektiert werden können.</t>
        </is>
      </c>
      <c r="G48" s="12" t="inlineStr">
        <is>
          <t>Deckensensoren
Pönalisierung / Falschparker</t>
        </is>
      </c>
      <c r="H48" s="12" t="inlineStr">
        <is>
          <t>SCS</t>
        </is>
      </c>
      <c r="I48" s="12" t="inlineStr">
        <is>
          <t>Belegungsdetektion</t>
        </is>
      </c>
      <c r="J48" s="16">
        <f>IF(OR($H48="offen",ISNUMBER(SEARCH("tbd",$H48)),ISNUMBER(SEARCH("?",$G48))),"ja","nein")</f>
        <v/>
      </c>
      <c r="K48" s="17" t="n"/>
      <c r="L48" s="17" t="n"/>
      <c r="M48" s="17" t="n"/>
      <c r="N48" s="18" t="n"/>
      <c r="O48" s="17" t="n"/>
    </row>
    <row r="49" ht="92" customHeight="1">
      <c r="A49" s="11" t="inlineStr">
        <is>
          <t>ANF-043</t>
        </is>
      </c>
      <c r="B49" s="12" t="inlineStr">
        <is>
          <t>Vertragsanlage 6</t>
        </is>
      </c>
      <c r="C49" s="13" t="inlineStr">
        <is>
          <t>§ 9 (2)</t>
        </is>
      </c>
      <c r="D49" s="13" t="inlineStr">
        <is>
          <t>Belegungsdetektion</t>
        </is>
      </c>
      <c r="E49" s="14" t="inlineStr">
        <is>
          <t>Roaming-Infos müssen veröffentlicht werden
Pönalisierung gefordert.
Entfernung Falschparker gefordert.</t>
        </is>
      </c>
      <c r="F49" s="15" t="inlineStr">
        <is>
          <t>Die Information der Reservierung des MCS- / CCS-Ladepunkts muss dem IT-Backend der MCS- / CCS-Ladeeinrichtung zur Verfügung stehen und muss angebundenen Mobilitätsdienstleistern und Betreibern von Online-Plattformen zur Darstellung von Statusinformationen zur Verfügung gestellt werden. Zudem soll dem Betreiber die Pönalisierung und Entfernung von Falschparkern ermöglicht werden.</t>
        </is>
      </c>
      <c r="G49" s="12" t="inlineStr">
        <is>
          <t>Pönalisierung / Falschparker</t>
        </is>
      </c>
      <c r="H49" s="12" t="inlineStr">
        <is>
          <t>eRound / SCS</t>
        </is>
      </c>
      <c r="I49" s="12" t="inlineStr">
        <is>
          <t>OCPI Buchungskalender / Kennzeichenerfassung / Pönalisierungssystem</t>
        </is>
      </c>
      <c r="J49" s="16">
        <f>IF(OR($H49="offen",ISNUMBER(SEARCH("tbd",$H49)),ISNUMBER(SEARCH("?",$G49))),"ja","nein")</f>
        <v/>
      </c>
      <c r="K49" s="17" t="n"/>
      <c r="L49" s="17" t="n"/>
      <c r="M49" s="17" t="n"/>
      <c r="N49" s="18" t="n"/>
      <c r="O49" s="17" t="n"/>
    </row>
    <row r="50" ht="92" customHeight="1">
      <c r="A50" s="11" t="inlineStr">
        <is>
          <t>ANF-044</t>
        </is>
      </c>
      <c r="B50" s="12" t="inlineStr">
        <is>
          <t>Vertragsanlage 6</t>
        </is>
      </c>
      <c r="C50" s="13" t="inlineStr">
        <is>
          <t>§ 10 (1)</t>
        </is>
      </c>
      <c r="D50" s="13" t="inlineStr">
        <is>
          <t>Zufahrt &amp; Schranke</t>
        </is>
      </c>
      <c r="E50" s="14" t="inlineStr">
        <is>
          <t>Einfahrtsschranke
Ausfahrtsschranke
Bei Nichtbelegung beide Schranken geschlossen.</t>
        </is>
      </c>
      <c r="F50" s="15" t="inlineStr">
        <is>
          <t>Jeder Ladeplatz ist mit einer Einfahrts- und einer Ausfahrtsschranke auszustatten. Die Schranken sind wie folgt zu betreiben:
1) Grundstellung: Beide Schranken sind bei Nichtbelegung des Ladeplatzes geschlossen.</t>
        </is>
      </c>
      <c r="G50" s="12" t="inlineStr"/>
      <c r="H50" s="12" t="inlineStr">
        <is>
          <t>tbd</t>
        </is>
      </c>
      <c r="I50" s="12" t="inlineStr">
        <is>
          <t>Schrankensteuerung</t>
        </is>
      </c>
      <c r="J50" s="16">
        <f>IF(OR($H50="offen",ISNUMBER(SEARCH("tbd",$H50)),ISNUMBER(SEARCH("?",$G50))),"ja","nein")</f>
        <v/>
      </c>
      <c r="K50" s="17" t="n"/>
      <c r="L50" s="17" t="n"/>
      <c r="M50" s="17" t="n"/>
      <c r="N50" s="18" t="n"/>
      <c r="O50" s="17" t="n"/>
    </row>
    <row r="51" ht="92" customHeight="1">
      <c r="A51" s="11" t="inlineStr">
        <is>
          <t>ANF-045</t>
        </is>
      </c>
      <c r="B51" s="12" t="inlineStr">
        <is>
          <t>Vertragsanlage 6</t>
        </is>
      </c>
      <c r="C51" s="13" t="inlineStr">
        <is>
          <t>§ 10 (2)</t>
        </is>
      </c>
      <c r="D51" s="13" t="inlineStr">
        <is>
          <t>Zufahrt &amp; Schranke</t>
        </is>
      </c>
      <c r="E51" s="14" t="inlineStr">
        <is>
          <t>Einfahrtsschranke öffnet nach Authentifizierung.</t>
        </is>
      </c>
      <c r="F51" s="15" t="inlineStr">
        <is>
          <t>2) Einfahrt: Die Einfahrtschranke öffnet sich nach erfolgreicher Authentifizierung und gewährt Zugang zum Ladeplatz. Sie bleibt während des gesamten Ladevorgangs geöffnet.</t>
        </is>
      </c>
      <c r="G51" s="12" t="inlineStr">
        <is>
          <t>Schnittstelle notwendig:
Öffnen direkt nach Authentifizierung
Schließen bei Ende Ladevorgang</t>
        </is>
      </c>
      <c r="H51" s="12" t="inlineStr">
        <is>
          <t>eRound / tbd</t>
        </is>
      </c>
      <c r="I51" s="12" t="inlineStr">
        <is>
          <t>Authentifizierungskomponente / Schrankensteuerung</t>
        </is>
      </c>
      <c r="J51" s="16">
        <f>IF(OR($H51="offen",ISNUMBER(SEARCH("tbd",$H51)),ISNUMBER(SEARCH("?",$G51))),"ja","nein")</f>
        <v/>
      </c>
      <c r="K51" s="17" t="n"/>
      <c r="L51" s="17" t="n"/>
      <c r="M51" s="17" t="n"/>
      <c r="N51" s="18" t="n"/>
      <c r="O51" s="17" t="n"/>
    </row>
    <row r="52" ht="92" customHeight="1">
      <c r="A52" s="11" t="inlineStr">
        <is>
          <t>ANF-046</t>
        </is>
      </c>
      <c r="B52" s="12" t="inlineStr">
        <is>
          <t>Vertragsanlage 6</t>
        </is>
      </c>
      <c r="C52" s="13" t="inlineStr">
        <is>
          <t>§ 10 (3)</t>
        </is>
      </c>
      <c r="D52" s="13" t="inlineStr">
        <is>
          <t>Zufahrt &amp; Schranke</t>
        </is>
      </c>
      <c r="E52" s="14" t="inlineStr">
        <is>
          <t>Ausfahrtsschranke öffnet bei Ankunft LKW.</t>
        </is>
      </c>
      <c r="F52" s="15" t="inlineStr">
        <is>
          <t>3) Ausfahrtsschaltung: Sobald der Lkw seine Parkposition auf dem Ladeplatz erreicht hat, öffnet sich die Ausfahrtsschranke.</t>
        </is>
      </c>
      <c r="G52" s="12" t="inlineStr">
        <is>
          <t>Ausfahrtsschranke also recht dumm -&gt; komplett durch SCS möglich?</t>
        </is>
      </c>
      <c r="H52" s="12" t="inlineStr">
        <is>
          <t>tbd</t>
        </is>
      </c>
      <c r="I52" s="12" t="inlineStr">
        <is>
          <t>Schrankensteuerung</t>
        </is>
      </c>
      <c r="J52" s="16">
        <f>IF(OR($H52="offen",ISNUMBER(SEARCH("tbd",$H52)),ISNUMBER(SEARCH("?",$G52))),"ja","nein")</f>
        <v/>
      </c>
      <c r="K52" s="17" t="n"/>
      <c r="L52" s="17" t="n"/>
      <c r="M52" s="17" t="n"/>
      <c r="N52" s="18" t="n"/>
      <c r="O52" s="17" t="n"/>
    </row>
    <row r="53" ht="92" customHeight="1">
      <c r="A53" s="11" t="inlineStr">
        <is>
          <t>ANF-047</t>
        </is>
      </c>
      <c r="B53" s="12" t="inlineStr">
        <is>
          <t>Vertragsanlage 6</t>
        </is>
      </c>
      <c r="C53" s="13" t="inlineStr">
        <is>
          <t>§ 10 (4)</t>
        </is>
      </c>
      <c r="D53" s="13" t="inlineStr">
        <is>
          <t>Zufahrt &amp; Schranke</t>
        </is>
      </c>
      <c r="E53" s="14" t="inlineStr">
        <is>
          <t>Ausfahrtsschranke schließt nach Verlassen des LKW.
Fernsteuerung der Schranken.</t>
        </is>
      </c>
      <c r="F53" s="15" t="inlineStr">
        <is>
          <t>4) Verlassen des Ladeplatzes: Nach Abschluss des Ladevorgangs und dem Verlassen des Ladeplatzes schließt sich die Ausfahrtsschranke wieder. Zudem ist dafür zu sorgen, dass die Einfahrts- und Ausfahrtsschranken im Notfall geöffnet werden können</t>
        </is>
      </c>
      <c r="G53" s="12" t="inlineStr">
        <is>
          <t>Schließen nach Ausfahrt -&gt; Schranke selbst / SCS?</t>
        </is>
      </c>
      <c r="H53" s="12" t="inlineStr">
        <is>
          <t>tbd</t>
        </is>
      </c>
      <c r="I53" s="12" t="inlineStr">
        <is>
          <t>Schrankensteuerung</t>
        </is>
      </c>
      <c r="J53" s="16">
        <f>IF(OR($H53="offen",ISNUMBER(SEARCH("tbd",$H53)),ISNUMBER(SEARCH("?",$G53))),"ja","nein")</f>
        <v/>
      </c>
      <c r="K53" s="17" t="n"/>
      <c r="L53" s="17" t="n"/>
      <c r="M53" s="17" t="n"/>
      <c r="N53" s="18" t="n"/>
      <c r="O53" s="17" t="n"/>
    </row>
    <row r="54" ht="92" customHeight="1">
      <c r="A54" s="11" t="inlineStr">
        <is>
          <t>ANF-048</t>
        </is>
      </c>
      <c r="B54" s="12" t="inlineStr">
        <is>
          <t>Vertragsanlage 6</t>
        </is>
      </c>
      <c r="C54" s="13" t="inlineStr">
        <is>
          <t>§ 4</t>
        </is>
      </c>
      <c r="D54" s="13" t="inlineStr">
        <is>
          <t>Anzeige &amp; Beschilderung</t>
        </is>
      </c>
      <c r="E54" s="14" t="inlineStr">
        <is>
          <t>Bezahlterminal für mehrere MCS/CCS Ladepunkte möglich.</t>
        </is>
      </c>
      <c r="F54" s="15" t="inlineStr">
        <is>
          <t>Display zur Anzeige von Informationen zum Ladevorgang (Ad hoc-Preis des CPO, geladene Energiemenge in kWh, Blockadeentgelt, Anweisungen zum Ablauf des Ladens). ▪ Das Display muss sowohl bei Tageslicht unter Sonneneinstrahlung als auch bei Dunkelheit gut ablesbar sein. ▪ Die Menüführung erfolgt mindestens in den Sprachen Deutsch und Englisch. ▪ RFID-Multireader zum Lesen von allen gängigen und zukünftig erwartbaren Ladekarten von Fahrstromanbietern (z.B. unter Berücksichtigung VDE-AR-E 2532-100) zum Authentifizieren und Starten von Ladevorgängen. Bezahlterminal für das Bezahlen von Ad hoc-Ladevorgängen (ohne Dauerschuldverhältnis). Dieses muss bargeldlose Zahlungen entsprechend den Vorgaben der AFIR ermöglichen. Zusätzliche Authentifizierungs- und Zahlungsmöglichkeiten können den Nutzern kostenlos eingeräumt werden. Dabei ist NFC-Technologie (Nahfeldkommunikation) und PinEingabe erforderlich. Von der Möglichkeit einer Pin-Eingabe kann abgesehen werden, wenn die Notwendigkeit der Pin-Eingabe dauerhaft bei allen relevanten Karten, insbesondere bei Präsentation einer physischen Karte zum Bezahlen von Fahrstrom entfällt. ▪ Ein Bezahlterminal kann auch zur Bezahlung von Ladevorgängen mehrerer MCS- bzw. CCS-Ladeeinrichtungen bzw. -Ladepunkten dienen</t>
        </is>
      </c>
      <c r="G54" s="12" t="inlineStr">
        <is>
          <t>Bezahlterminal kann für mehrere MCS / CCS</t>
        </is>
      </c>
      <c r="H54" s="12" t="inlineStr">
        <is>
          <t>eRound</t>
        </is>
      </c>
      <c r="I54" s="12" t="inlineStr">
        <is>
          <t>Authentifizierungskomponente</t>
        </is>
      </c>
      <c r="J54" s="16">
        <f>IF(OR($H54="offen",ISNUMBER(SEARCH("tbd",$H54)),ISNUMBER(SEARCH("?",$G54))),"ja","nein")</f>
        <v/>
      </c>
      <c r="K54" s="17" t="n"/>
      <c r="L54" s="17" t="n"/>
      <c r="M54" s="17" t="n"/>
      <c r="N54" s="18" t="n"/>
      <c r="O54" s="17" t="n"/>
    </row>
    <row r="55" ht="92" customHeight="1">
      <c r="A55" s="11" t="inlineStr">
        <is>
          <t>ANF-049</t>
        </is>
      </c>
      <c r="B55" s="12" t="inlineStr">
        <is>
          <t>Vertragsanlage 4</t>
        </is>
      </c>
      <c r="C55" s="13" t="inlineStr">
        <is>
          <t>§ 3.13.5</t>
        </is>
      </c>
      <c r="D55" s="13" t="inlineStr">
        <is>
          <t>Zufahrt &amp; Schranke</t>
        </is>
      </c>
      <c r="E55" s="14" t="inlineStr"/>
      <c r="F55" s="15" t="inlineStr">
        <is>
          <t>Zur Gewährleistung eines sicheren und zuverlässigen Betriebs sind Schrankenanlagen und automatische Poller gemäß den folgenden technischen Anforderungen auszuführen:
- robuste Witterungsbeständige und korrosionsgeschützte Ausführung für den ganzjährigen Einsatz im Außenbereich
- automatisches Öffnen nach Abschluss des Ladevorgangs oder bei entsprechender Systemfreigabe
- Erkennung der Fahrzeugposition sowie von Hindernissen vor dem Schließvorgang zur Vermeidung von Kollisionen 
- manuelle Notentriegelung durch autorisiertes Personal, um die Betriebsfähigkeit auch im Stör- oder Spannungsfall sicherzustellen
- Integration in das zentrale Steuerungssystem (Backend oder lokales Steuergerät) zur Überwachung, Steuerung und Protokollierung der Schranken- und Pollerfunktionen
- Schrankenbäume sind gemäß geltender Vorschriften mit rot-weißer Schraffierung zu kennzeichnen
- Ausstattung von Schrankenbäumen und automatischen Pollern mit integrierter Beleuchtung zur Verbesserung der Sichtbarkeit und Betriebssicherheit; dabei sind die Vorgaben zur Blendwirkung gemäß ERS zu beachten
Weitere Anforderungen für den Betrieb der Schranken sind der Vertragsanlage 6: Anforderungen an die Ladeinfrastruktur zu entnehmen.</t>
        </is>
      </c>
      <c r="G55" s="12" t="inlineStr">
        <is>
          <t>Öffnen bei Ladevorgangs-Ende wiederspricht sich mit Vertragsanlage 6 §10 Abs 2
Und funktioniert für Poller nicht -&gt; da LKW darüber steht.
Einheitliche Ansteuerung reduziert komplexität Bei Partnern</t>
        </is>
      </c>
      <c r="H55" s="12" t="inlineStr">
        <is>
          <t>offen</t>
        </is>
      </c>
      <c r="I55" s="12" t="inlineStr">
        <is>
          <t>–</t>
        </is>
      </c>
      <c r="J55" s="16">
        <f>IF(OR($H55="offen",ISNUMBER(SEARCH("tbd",$H55)),ISNUMBER(SEARCH("?",$G55))),"ja","nein")</f>
        <v/>
      </c>
      <c r="K55" s="17" t="n"/>
      <c r="L55" s="17" t="n"/>
      <c r="M55" s="17" t="n"/>
      <c r="N55" s="18" t="n"/>
      <c r="O55" s="17" t="n"/>
    </row>
    <row r="56" ht="92" customHeight="1">
      <c r="A56" s="11" t="inlineStr">
        <is>
          <t>ANF-050</t>
        </is>
      </c>
      <c r="B56" s="12" t="inlineStr">
        <is>
          <t>Vertragsanlage 4</t>
        </is>
      </c>
      <c r="C56" s="13" t="inlineStr">
        <is>
          <t>§ 3.13.2.2</t>
        </is>
      </c>
      <c r="D56" s="13" t="inlineStr">
        <is>
          <t>Zufahrt &amp; Schranke</t>
        </is>
      </c>
      <c r="E56" s="14" t="inlineStr"/>
      <c r="F56" s="15" t="inlineStr">
        <is>
          <t>Bei Parkständen in Längsaufstellung sind automatisch versenkbare Poller zur Zufahrtsbeschränkung vorzusehen. Pro Parkstand sind drei Poller so anzuordnen, dass Fehlbelegungen ausgeschlossen sind. Die Abstände der Poller untereinander sowie zur Fahrgasse ergeben sich aus der Referenzplanung (Anhang 1a: Referenzplanung Längs- und Schrägparken). Das Ein- und Ausfahren zum Ladeplatz muss jederzeit gewährleistet bleiben, auch wenn die benachbarten Stellplätze durch ausgefahrene Poller gesichert sind. Die Dauer der Öffnungs- und Schließvorgänge ist auf das technisch mögliche Minimum zu begrenzen, um einen unterbrechungsarmen Verkehrsfluss sicherzustellen.
Die Regelbreite der Parkstände muss 4,50 m betragen, die Länge entspricht den Vorgaben gemäß ERS 
für Längsparker von 25,00 m. Ergeben sich aufgrund der örtlichen Bestandsituation Abweichungen von 
der Regelbreite, ist die Befahrbarkeit stets durch einen Schleppkurvennachweis zu belegen.
Die Poller sind elektrisch oder hydraulisch versenkbar auszuführen und müssen über eine automatische Höhenverstellung verfügen. Das Absenken erfolgt im Regelbetrieb ausschließlich bei autorisiertem Zugang (Ladevorgang oder Reservierung). Nach Beendigung des Ladevorgangs und nach erfolgter 
Ausfahrt des Fahrzeuges müssen sich Poller automatisch wieder heben. Eine Notabsenkung bei Ausfall 
muss durch autorisiertes Personal jederzeit möglich sein.
Die Poller müssen widerstandsfähig gegen Anprall und sonstige auf Rastplätzen zu erwartende Einwirkungen sein sowie frost- und salzbeständig ausgeführt werden. Zudem ist ein Schutz gegen Fremdsteuerung und Manipulation sicherzustellen. Die Steuerung der Poller muss in das übergeordnete Zugangskontrollsystem integrierbar sein. Die Erkennbarkeit des Hindernissesist stets sicherzustellen. Die Poller 
sind zu beleuchten. 
Die Ladesäule ist im Randbereich des Stellplatzes in einem praktikablen Abstand zum fahrzeugseitigen 
Ladeanschluss zu positionieren. Die Fläche um die Ladesäule ist in Betonbauweise auszuführen und 
mit zweckdienlichen Mitteln gegen Anprall und sonstige übliche Einwirkungen auf Rastplätzen zu sichern. Befindet sich im Randbereich bereits eine Bordanlage, ist eine zusätzliche Hochbordabsicherung 
der Ladesäule nicht erforderlich. In allen übrigen Fällen ist, neben einem Anprallschutz, eine ausreichend dimensionierte Ladeinsel zum Schutz der Ladeinfrastruktur vorzusehen.</t>
        </is>
      </c>
      <c r="G56" s="12" t="inlineStr"/>
      <c r="H56" s="12" t="inlineStr">
        <is>
          <t>offen</t>
        </is>
      </c>
      <c r="I56" s="12" t="inlineStr">
        <is>
          <t>–</t>
        </is>
      </c>
      <c r="J56" s="16">
        <f>IF(OR($H56="offen",ISNUMBER(SEARCH("tbd",$H56)),ISNUMBER(SEARCH("?",$G56))),"ja","nein")</f>
        <v/>
      </c>
      <c r="K56" s="17" t="n"/>
      <c r="L56" s="17" t="n"/>
      <c r="M56" s="17" t="n"/>
      <c r="N56" s="18" t="n"/>
      <c r="O56" s="17" t="n"/>
    </row>
    <row r="57" ht="92" customHeight="1">
      <c r="A57" s="11" t="inlineStr">
        <is>
          <t>ANF-051</t>
        </is>
      </c>
      <c r="B57" s="12" t="inlineStr">
        <is>
          <t>Vertragsanlage 4</t>
        </is>
      </c>
      <c r="C57" s="13" t="inlineStr">
        <is>
          <t>§ 3.6</t>
        </is>
      </c>
      <c r="D57" s="13" t="inlineStr">
        <is>
          <t>Bau &amp; Dokumentation</t>
        </is>
      </c>
      <c r="E57" s="14" t="inlineStr"/>
      <c r="F57" s="15" t="inlineStr">
        <is>
          <t>rag auf Baufreigabe und Ausführungs-, Werk- und Montageplanung</t>
        </is>
      </c>
      <c r="G57" s="12" t="inlineStr">
        <is>
          <t>Mitwirkung an Planung und Freigabe</t>
        </is>
      </c>
      <c r="H57" s="12" t="inlineStr">
        <is>
          <t>offen</t>
        </is>
      </c>
      <c r="I57" s="12" t="inlineStr">
        <is>
          <t>–</t>
        </is>
      </c>
      <c r="J57" s="16">
        <f>IF(OR($H57="offen",ISNUMBER(SEARCH("tbd",$H57)),ISNUMBER(SEARCH("?",$G57))),"ja","nein")</f>
        <v/>
      </c>
      <c r="K57" s="17" t="n"/>
      <c r="L57" s="17" t="n"/>
      <c r="M57" s="17" t="n"/>
      <c r="N57" s="18" t="n"/>
      <c r="O57" s="17" t="n"/>
    </row>
    <row r="58" ht="92" customHeight="1">
      <c r="A58" s="11" t="inlineStr">
        <is>
          <t>ANF-052</t>
        </is>
      </c>
      <c r="B58" s="12" t="inlineStr">
        <is>
          <t>Vertragsanlage 4</t>
        </is>
      </c>
      <c r="C58" s="13" t="inlineStr">
        <is>
          <t>§ 3.7</t>
        </is>
      </c>
      <c r="D58" s="13" t="inlineStr">
        <is>
          <t>Bau &amp; Dokumentation</t>
        </is>
      </c>
      <c r="E58" s="14" t="inlineStr"/>
      <c r="F58" s="15" t="inlineStr">
        <is>
          <t>Bestandsunterlagen (As-Built)</t>
        </is>
      </c>
      <c r="G58" s="12" t="inlineStr">
        <is>
          <t>Verantwortlich für Dokumentation und Erstellung Unterlagen</t>
        </is>
      </c>
      <c r="H58" s="12" t="inlineStr">
        <is>
          <t>offen</t>
        </is>
      </c>
      <c r="I58" s="12" t="inlineStr">
        <is>
          <t>–</t>
        </is>
      </c>
      <c r="J58" s="16">
        <f>IF(OR($H58="offen",ISNUMBER(SEARCH("tbd",$H58)),ISNUMBER(SEARCH("?",$G58))),"ja","nein")</f>
        <v/>
      </c>
      <c r="K58" s="17" t="n"/>
      <c r="L58" s="17" t="n"/>
      <c r="M58" s="17" t="n"/>
      <c r="N58" s="18" t="n"/>
      <c r="O58" s="17" t="n"/>
    </row>
  </sheetData>
  <conditionalFormatting sqref="J7:J58">
    <cfRule type="cellIs" priority="1" operator="equal" dxfId="0">
      <formula>"ja"</formula>
    </cfRule>
  </conditionalFormatting>
  <conditionalFormatting sqref="K7:K58">
    <cfRule type="cellIs" priority="2" operator="equal" dxfId="1">
      <formula>"umgesetzt"</formula>
    </cfRule>
    <cfRule type="cellIs" priority="3" operator="equal" dxfId="2">
      <formula>"offen"</formula>
    </cfRule>
  </conditionalFormatting>
  <dataValidations count="2">
    <dataValidation sqref="K7:K158" showDropDown="0" showInputMessage="0" showErrorMessage="0" allowBlank="1" type="list">
      <formula1>"offen,in Klärung,in Umsetzung,umgesetzt,entfällt"</formula1>
    </dataValidation>
    <dataValidation sqref="L7:L158" showDropDown="0" showInputMessage="0" showErrorMessage="0" allowBlank="1" type="list">
      <formula1>"hoch,mittel,niedrig"</formula1>
    </dataValidation>
  </dataValidation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D53"/>
  <sheetViews>
    <sheetView showGridLines="0" workbookViewId="0">
      <selection activeCell="A1" sqref="A1"/>
    </sheetView>
  </sheetViews>
  <sheetFormatPr baseColWidth="8" defaultRowHeight="15"/>
  <cols>
    <col width="38" customWidth="1" min="1" max="1"/>
    <col width="15" customWidth="1" min="2" max="2"/>
    <col width="20" customWidth="1" min="3" max="3"/>
    <col width="12" customWidth="1" min="4" max="4"/>
  </cols>
  <sheetData>
    <row r="1">
      <c r="A1" s="1" t="inlineStr">
        <is>
          <t>Auswertung</t>
        </is>
      </c>
    </row>
    <row r="2">
      <c r="A2" s="2" t="inlineStr">
        <is>
          <t>Alle Zahlen zählen automatisch aus dem Register „Anforderungen“.</t>
        </is>
      </c>
    </row>
    <row r="3">
      <c r="A3" s="3" t="inlineStr">
        <is>
          <t>Neue Zeilen im Register werden automatisch mitgezählt.</t>
        </is>
      </c>
    </row>
    <row r="5">
      <c r="A5" s="19" t="inlineStr">
        <is>
          <t>1  Nach Themenfeld</t>
        </is>
      </c>
      <c r="B5" s="20" t="n"/>
      <c r="C5" s="20" t="n"/>
      <c r="D5" s="20" t="n"/>
    </row>
    <row r="6">
      <c r="A6" s="21" t="inlineStr">
        <is>
          <t>Merkmal</t>
        </is>
      </c>
      <c r="B6" s="22" t="inlineStr">
        <is>
          <t>Anforderungen</t>
        </is>
      </c>
      <c r="C6" s="22" t="inlineStr">
        <is>
          <t>davon Klärungsbedarf</t>
        </is>
      </c>
      <c r="D6" s="22" t="inlineStr">
        <is>
          <t>Anteil</t>
        </is>
      </c>
    </row>
    <row r="7">
      <c r="A7" s="7" t="inlineStr">
        <is>
          <t>Reservierung</t>
        </is>
      </c>
      <c r="B7" s="23">
        <f>COUNTIFS(tblAnf[Themenfeld],"*"&amp;A7&amp;"*")</f>
        <v/>
      </c>
      <c r="C7" s="24">
        <f>COUNTIFS(tblAnf[Themenfeld],"*"&amp;A7&amp;"*",tblAnf[Klärungsbedarf],"ja")</f>
        <v/>
      </c>
      <c r="D7" s="25">
        <f>IFERROR(B7/COUNTA(tblAnf[ID]),0)</f>
        <v/>
      </c>
    </row>
    <row r="8">
      <c r="A8" s="7" t="inlineStr">
        <is>
          <t>Nutzungszeit &amp; Entgelte</t>
        </is>
      </c>
      <c r="B8" s="23">
        <f>COUNTIFS(tblAnf[Themenfeld],"*"&amp;A8&amp;"*")</f>
        <v/>
      </c>
      <c r="C8" s="24">
        <f>COUNTIFS(tblAnf[Themenfeld],"*"&amp;A8&amp;"*",tblAnf[Klärungsbedarf],"ja")</f>
        <v/>
      </c>
      <c r="D8" s="25">
        <f>IFERROR(B8/COUNTA(tblAnf[ID]),0)</f>
        <v/>
      </c>
    </row>
    <row r="9">
      <c r="A9" s="7" t="inlineStr">
        <is>
          <t>Zufahrt &amp; Schranke</t>
        </is>
      </c>
      <c r="B9" s="23">
        <f>COUNTIFS(tblAnf[Themenfeld],"*"&amp;A9&amp;"*")</f>
        <v/>
      </c>
      <c r="C9" s="24">
        <f>COUNTIFS(tblAnf[Themenfeld],"*"&amp;A9&amp;"*",tblAnf[Klärungsbedarf],"ja")</f>
        <v/>
      </c>
      <c r="D9" s="25">
        <f>IFERROR(B9/COUNTA(tblAnf[ID]),0)</f>
        <v/>
      </c>
    </row>
    <row r="10">
      <c r="A10" s="7" t="inlineStr">
        <is>
          <t>Belegungsdetektion</t>
        </is>
      </c>
      <c r="B10" s="23">
        <f>COUNTIFS(tblAnf[Themenfeld],"*"&amp;A10&amp;"*")</f>
        <v/>
      </c>
      <c r="C10" s="24">
        <f>COUNTIFS(tblAnf[Themenfeld],"*"&amp;A10&amp;"*",tblAnf[Klärungsbedarf],"ja")</f>
        <v/>
      </c>
      <c r="D10" s="25">
        <f>IFERROR(B10/COUNTA(tblAnf[ID]),0)</f>
        <v/>
      </c>
    </row>
    <row r="11">
      <c r="A11" s="7" t="inlineStr">
        <is>
          <t>Authentifizierung &amp; Zugang</t>
        </is>
      </c>
      <c r="B11" s="23">
        <f>COUNTIFS(tblAnf[Themenfeld],"*"&amp;A11&amp;"*")</f>
        <v/>
      </c>
      <c r="C11" s="24">
        <f>COUNTIFS(tblAnf[Themenfeld],"*"&amp;A11&amp;"*",tblAnf[Klärungsbedarf],"ja")</f>
        <v/>
      </c>
      <c r="D11" s="25">
        <f>IFERROR(B11/COUNTA(tblAnf[ID]),0)</f>
        <v/>
      </c>
    </row>
    <row r="12">
      <c r="A12" s="7" t="inlineStr">
        <is>
          <t>Anzeige &amp; Beschilderung</t>
        </is>
      </c>
      <c r="B12" s="23">
        <f>COUNTIFS(tblAnf[Themenfeld],"*"&amp;A12&amp;"*")</f>
        <v/>
      </c>
      <c r="C12" s="24">
        <f>COUNTIFS(tblAnf[Themenfeld],"*"&amp;A12&amp;"*",tblAnf[Klärungsbedarf],"ja")</f>
        <v/>
      </c>
      <c r="D12" s="25">
        <f>IFERROR(B12/COUNTA(tblAnf[ID]),0)</f>
        <v/>
      </c>
    </row>
    <row r="13">
      <c r="A13" s="7" t="inlineStr">
        <is>
          <t>Monitoring &amp; Reporting</t>
        </is>
      </c>
      <c r="B13" s="23">
        <f>COUNTIFS(tblAnf[Themenfeld],"*"&amp;A13&amp;"*")</f>
        <v/>
      </c>
      <c r="C13" s="24">
        <f>COUNTIFS(tblAnf[Themenfeld],"*"&amp;A13&amp;"*",tblAnf[Klärungsbedarf],"ja")</f>
        <v/>
      </c>
      <c r="D13" s="25">
        <f>IFERROR(B13/COUNTA(tblAnf[ID]),0)</f>
        <v/>
      </c>
    </row>
    <row r="14">
      <c r="A14" s="7" t="inlineStr">
        <is>
          <t>Betrieb &amp; Auslastung</t>
        </is>
      </c>
      <c r="B14" s="23">
        <f>COUNTIFS(tblAnf[Themenfeld],"*"&amp;A14&amp;"*")</f>
        <v/>
      </c>
      <c r="C14" s="24">
        <f>COUNTIFS(tblAnf[Themenfeld],"*"&amp;A14&amp;"*",tblAnf[Klärungsbedarf],"ja")</f>
        <v/>
      </c>
      <c r="D14" s="25">
        <f>IFERROR(B14/COUNTA(tblAnf[ID]),0)</f>
        <v/>
      </c>
    </row>
    <row r="15">
      <c r="A15" s="7" t="inlineStr">
        <is>
          <t>Bau &amp; Dokumentation</t>
        </is>
      </c>
      <c r="B15" s="23">
        <f>COUNTIFS(tblAnf[Themenfeld],"*"&amp;A15&amp;"*")</f>
        <v/>
      </c>
      <c r="C15" s="24">
        <f>COUNTIFS(tblAnf[Themenfeld],"*"&amp;A15&amp;"*",tblAnf[Klärungsbedarf],"ja")</f>
        <v/>
      </c>
      <c r="D15" s="25">
        <f>IFERROR(B15/COUNTA(tblAnf[ID]),0)</f>
        <v/>
      </c>
    </row>
    <row r="18">
      <c r="A18" s="19" t="inlineStr">
        <is>
          <t>2  Nach Partner</t>
        </is>
      </c>
      <c r="B18" s="20" t="n"/>
      <c r="C18" s="20" t="n"/>
      <c r="D18" s="20" t="n"/>
    </row>
    <row r="19">
      <c r="A19" s="21" t="inlineStr">
        <is>
          <t>Merkmal</t>
        </is>
      </c>
      <c r="B19" s="22" t="inlineStr">
        <is>
          <t>Anforderungen</t>
        </is>
      </c>
      <c r="C19" s="22" t="inlineStr">
        <is>
          <t>davon Klärungsbedarf</t>
        </is>
      </c>
      <c r="D19" s="22" t="inlineStr">
        <is>
          <t>Anteil</t>
        </is>
      </c>
    </row>
    <row r="20">
      <c r="A20" s="7" t="inlineStr">
        <is>
          <t>Aplitronic</t>
        </is>
      </c>
      <c r="B20" s="23">
        <f>COUNTIFS(tblAnf[Partner],"*"&amp;A20&amp;"*")</f>
        <v/>
      </c>
      <c r="C20" s="24">
        <f>COUNTIFS(tblAnf[Partner],"*"&amp;A20&amp;"*",tblAnf[Klärungsbedarf],"ja")</f>
        <v/>
      </c>
      <c r="D20" s="25">
        <f>IFERROR(B20/COUNTA(tblAnf[ID]),0)</f>
        <v/>
      </c>
    </row>
    <row r="21">
      <c r="A21" s="7" t="inlineStr">
        <is>
          <t>Reservierungsplattform</t>
        </is>
      </c>
      <c r="B21" s="23">
        <f>COUNTIFS(tblAnf[Partner],"*"&amp;A21&amp;"*")</f>
        <v/>
      </c>
      <c r="C21" s="24">
        <f>COUNTIFS(tblAnf[Partner],"*"&amp;A21&amp;"*",tblAnf[Klärungsbedarf],"ja")</f>
        <v/>
      </c>
      <c r="D21" s="25">
        <f>IFERROR(B21/COUNTA(tblAnf[ID]),0)</f>
        <v/>
      </c>
    </row>
    <row r="22">
      <c r="A22" s="7" t="inlineStr">
        <is>
          <t>SCS</t>
        </is>
      </c>
      <c r="B22" s="23">
        <f>COUNTIFS(tblAnf[Partner],"*"&amp;A22&amp;"*")</f>
        <v/>
      </c>
      <c r="C22" s="24">
        <f>COUNTIFS(tblAnf[Partner],"*"&amp;A22&amp;"*",tblAnf[Klärungsbedarf],"ja")</f>
        <v/>
      </c>
      <c r="D22" s="25">
        <f>IFERROR(B22/COUNTA(tblAnf[ID]),0)</f>
        <v/>
      </c>
    </row>
    <row r="23">
      <c r="A23" s="7" t="inlineStr">
        <is>
          <t>eRound</t>
        </is>
      </c>
      <c r="B23" s="23">
        <f>COUNTIFS(tblAnf[Partner],"*"&amp;A23&amp;"*")</f>
        <v/>
      </c>
      <c r="C23" s="24">
        <f>COUNTIFS(tblAnf[Partner],"*"&amp;A23&amp;"*",tblAnf[Klärungsbedarf],"ja")</f>
        <v/>
      </c>
      <c r="D23" s="25">
        <f>IFERROR(B23/COUNTA(tblAnf[ID]),0)</f>
        <v/>
      </c>
    </row>
    <row r="24">
      <c r="A24" s="7" t="inlineStr">
        <is>
          <t>offen</t>
        </is>
      </c>
      <c r="B24" s="23">
        <f>COUNTIFS(tblAnf[Partner],"*"&amp;A24&amp;"*")</f>
        <v/>
      </c>
      <c r="C24" s="24">
        <f>COUNTIFS(tblAnf[Partner],"*"&amp;A24&amp;"*",tblAnf[Klärungsbedarf],"ja")</f>
        <v/>
      </c>
      <c r="D24" s="25">
        <f>IFERROR(B24/COUNTA(tblAnf[ID]),0)</f>
        <v/>
      </c>
    </row>
    <row r="25">
      <c r="A25" s="7" t="inlineStr">
        <is>
          <t>tbd</t>
        </is>
      </c>
      <c r="B25" s="23">
        <f>COUNTIFS(tblAnf[Partner],"*"&amp;A25&amp;"*")</f>
        <v/>
      </c>
      <c r="C25" s="24">
        <f>COUNTIFS(tblAnf[Partner],"*"&amp;A25&amp;"*",tblAnf[Klärungsbedarf],"ja")</f>
        <v/>
      </c>
      <c r="D25" s="25">
        <f>IFERROR(B25/COUNTA(tblAnf[ID]),0)</f>
        <v/>
      </c>
    </row>
    <row r="28">
      <c r="A28" s="19" t="inlineStr">
        <is>
          <t>3  Nach Komponente</t>
        </is>
      </c>
      <c r="B28" s="20" t="n"/>
      <c r="C28" s="20" t="n"/>
      <c r="D28" s="20" t="n"/>
    </row>
    <row r="29">
      <c r="A29" s="21" t="inlineStr">
        <is>
          <t>Merkmal</t>
        </is>
      </c>
      <c r="B29" s="22" t="inlineStr">
        <is>
          <t>Anforderungen</t>
        </is>
      </c>
      <c r="C29" s="22" t="inlineStr">
        <is>
          <t>davon Klärungsbedarf</t>
        </is>
      </c>
      <c r="D29" s="22" t="inlineStr">
        <is>
          <t>Anteil</t>
        </is>
      </c>
    </row>
    <row r="30">
      <c r="A30" s="7" t="inlineStr">
        <is>
          <t>Abrechnungskomponente</t>
        </is>
      </c>
      <c r="B30" s="23">
        <f>COUNTIFS(tblAnf[Komponente(n)],"*"&amp;A30&amp;"*")</f>
        <v/>
      </c>
      <c r="C30" s="24">
        <f>COUNTIFS(tblAnf[Komponente(n)],"*"&amp;A30&amp;"*",tblAnf[Klärungsbedarf],"ja")</f>
        <v/>
      </c>
      <c r="D30" s="25">
        <f>IFERROR(B30/COUNTA(tblAnf[ID]),0)</f>
        <v/>
      </c>
    </row>
    <row r="31">
      <c r="A31" s="7" t="inlineStr">
        <is>
          <t>Anbindung</t>
        </is>
      </c>
      <c r="B31" s="23">
        <f>COUNTIFS(tblAnf[Komponente(n)],"*"&amp;A31&amp;"*")</f>
        <v/>
      </c>
      <c r="C31" s="24">
        <f>COUNTIFS(tblAnf[Komponente(n)],"*"&amp;A31&amp;"*",tblAnf[Klärungsbedarf],"ja")</f>
        <v/>
      </c>
      <c r="D31" s="25">
        <f>IFERROR(B31/COUNTA(tblAnf[ID]),0)</f>
        <v/>
      </c>
    </row>
    <row r="32">
      <c r="A32" s="7" t="inlineStr">
        <is>
          <t>Authentifizierungskomponente</t>
        </is>
      </c>
      <c r="B32" s="23">
        <f>COUNTIFS(tblAnf[Komponente(n)],"*"&amp;A32&amp;"*")</f>
        <v/>
      </c>
      <c r="C32" s="24">
        <f>COUNTIFS(tblAnf[Komponente(n)],"*"&amp;A32&amp;"*",tblAnf[Klärungsbedarf],"ja")</f>
        <v/>
      </c>
      <c r="D32" s="25">
        <f>IFERROR(B32/COUNTA(tblAnf[ID]),0)</f>
        <v/>
      </c>
    </row>
    <row r="33">
      <c r="A33" s="7" t="inlineStr">
        <is>
          <t>Belegungsdetektion</t>
        </is>
      </c>
      <c r="B33" s="23">
        <f>COUNTIFS(tblAnf[Komponente(n)],"*"&amp;A33&amp;"*")</f>
        <v/>
      </c>
      <c r="C33" s="24">
        <f>COUNTIFS(tblAnf[Komponente(n)],"*"&amp;A33&amp;"*",tblAnf[Klärungsbedarf],"ja")</f>
        <v/>
      </c>
      <c r="D33" s="25">
        <f>IFERROR(B33/COUNTA(tblAnf[ID]),0)</f>
        <v/>
      </c>
    </row>
    <row r="34">
      <c r="A34" s="7" t="inlineStr">
        <is>
          <t>Beschilderung</t>
        </is>
      </c>
      <c r="B34" s="23">
        <f>COUNTIFS(tblAnf[Komponente(n)],"*"&amp;A34&amp;"*")</f>
        <v/>
      </c>
      <c r="C34" s="24">
        <f>COUNTIFS(tblAnf[Komponente(n)],"*"&amp;A34&amp;"*",tblAnf[Klärungsbedarf],"ja")</f>
        <v/>
      </c>
      <c r="D34" s="25">
        <f>IFERROR(B34/COUNTA(tblAnf[ID]),0)</f>
        <v/>
      </c>
    </row>
    <row r="35">
      <c r="A35" s="7" t="inlineStr">
        <is>
          <t>Dynamische Anzeige</t>
        </is>
      </c>
      <c r="B35" s="23">
        <f>COUNTIFS(tblAnf[Komponente(n)],"*"&amp;A35&amp;"*")</f>
        <v/>
      </c>
      <c r="C35" s="24">
        <f>COUNTIFS(tblAnf[Komponente(n)],"*"&amp;A35&amp;"*",tblAnf[Klärungsbedarf],"ja")</f>
        <v/>
      </c>
      <c r="D35" s="25">
        <f>IFERROR(B35/COUNTA(tblAnf[ID]),0)</f>
        <v/>
      </c>
    </row>
    <row r="36">
      <c r="A36" s="7" t="inlineStr">
        <is>
          <t>Kennzeichenerfassung</t>
        </is>
      </c>
      <c r="B36" s="23">
        <f>COUNTIFS(tblAnf[Komponente(n)],"*"&amp;A36&amp;"*")</f>
        <v/>
      </c>
      <c r="C36" s="24">
        <f>COUNTIFS(tblAnf[Komponente(n)],"*"&amp;A36&amp;"*",tblAnf[Klärungsbedarf],"ja")</f>
        <v/>
      </c>
      <c r="D36" s="25">
        <f>IFERROR(B36/COUNTA(tblAnf[ID]),0)</f>
        <v/>
      </c>
    </row>
    <row r="37">
      <c r="A37" s="7" t="inlineStr">
        <is>
          <t>Ladeeinrichtung</t>
        </is>
      </c>
      <c r="B37" s="23">
        <f>COUNTIFS(tblAnf[Komponente(n)],"*"&amp;A37&amp;"*")</f>
        <v/>
      </c>
      <c r="C37" s="24">
        <f>COUNTIFS(tblAnf[Komponente(n)],"*"&amp;A37&amp;"*",tblAnf[Klärungsbedarf],"ja")</f>
        <v/>
      </c>
      <c r="D37" s="25">
        <f>IFERROR(B37/COUNTA(tblAnf[ID]),0)</f>
        <v/>
      </c>
    </row>
    <row r="38">
      <c r="A38" s="7" t="inlineStr">
        <is>
          <t>Monitoring</t>
        </is>
      </c>
      <c r="B38" s="23">
        <f>COUNTIFS(tblAnf[Komponente(n)],"*"&amp;A38&amp;"*")</f>
        <v/>
      </c>
      <c r="C38" s="24">
        <f>COUNTIFS(tblAnf[Komponente(n)],"*"&amp;A38&amp;"*",tblAnf[Klärungsbedarf],"ja")</f>
        <v/>
      </c>
      <c r="D38" s="25">
        <f>IFERROR(B38/COUNTA(tblAnf[ID]),0)</f>
        <v/>
      </c>
    </row>
    <row r="39">
      <c r="A39" s="7" t="inlineStr">
        <is>
          <t>OCPI Buchungskalender</t>
        </is>
      </c>
      <c r="B39" s="23">
        <f>COUNTIFS(tblAnf[Komponente(n)],"*"&amp;A39&amp;"*")</f>
        <v/>
      </c>
      <c r="C39" s="24">
        <f>COUNTIFS(tblAnf[Komponente(n)],"*"&amp;A39&amp;"*",tblAnf[Klärungsbedarf],"ja")</f>
        <v/>
      </c>
      <c r="D39" s="25">
        <f>IFERROR(B39/COUNTA(tblAnf[ID]),0)</f>
        <v/>
      </c>
    </row>
    <row r="40">
      <c r="A40" s="7" t="inlineStr">
        <is>
          <t>Pönalisierungssystem</t>
        </is>
      </c>
      <c r="B40" s="23">
        <f>COUNTIFS(tblAnf[Komponente(n)],"*"&amp;A40&amp;"*")</f>
        <v/>
      </c>
      <c r="C40" s="24">
        <f>COUNTIFS(tblAnf[Komponente(n)],"*"&amp;A40&amp;"*",tblAnf[Klärungsbedarf],"ja")</f>
        <v/>
      </c>
      <c r="D40" s="25">
        <f>IFERROR(B40/COUNTA(tblAnf[ID]),0)</f>
        <v/>
      </c>
    </row>
    <row r="41">
      <c r="A41" s="7" t="inlineStr">
        <is>
          <t>Reservierungsplattform</t>
        </is>
      </c>
      <c r="B41" s="23">
        <f>COUNTIFS(tblAnf[Komponente(n)],"*"&amp;A41&amp;"*")</f>
        <v/>
      </c>
      <c r="C41" s="24">
        <f>COUNTIFS(tblAnf[Komponente(n)],"*"&amp;A41&amp;"*",tblAnf[Klärungsbedarf],"ja")</f>
        <v/>
      </c>
      <c r="D41" s="25">
        <f>IFERROR(B41/COUNTA(tblAnf[ID]),0)</f>
        <v/>
      </c>
    </row>
    <row r="42">
      <c r="A42" s="7" t="inlineStr">
        <is>
          <t>Schrankenanlage</t>
        </is>
      </c>
      <c r="B42" s="23">
        <f>COUNTIFS(tblAnf[Komponente(n)],"*"&amp;A42&amp;"*")</f>
        <v/>
      </c>
      <c r="C42" s="24">
        <f>COUNTIFS(tblAnf[Komponente(n)],"*"&amp;A42&amp;"*",tblAnf[Klärungsbedarf],"ja")</f>
        <v/>
      </c>
      <c r="D42" s="25">
        <f>IFERROR(B42/COUNTA(tblAnf[ID]),0)</f>
        <v/>
      </c>
    </row>
    <row r="43">
      <c r="A43" s="7" t="inlineStr">
        <is>
          <t>Schrankensteuerung</t>
        </is>
      </c>
      <c r="B43" s="23">
        <f>COUNTIFS(tblAnf[Komponente(n)],"*"&amp;A43&amp;"*")</f>
        <v/>
      </c>
      <c r="C43" s="24">
        <f>COUNTIFS(tblAnf[Komponente(n)],"*"&amp;A43&amp;"*",tblAnf[Klärungsbedarf],"ja")</f>
        <v/>
      </c>
      <c r="D43" s="25">
        <f>IFERROR(B43/COUNTA(tblAnf[ID]),0)</f>
        <v/>
      </c>
    </row>
    <row r="46">
      <c r="A46" s="19" t="inlineStr">
        <is>
          <t>4  Nach Dokument</t>
        </is>
      </c>
      <c r="B46" s="20" t="n"/>
      <c r="C46" s="20" t="n"/>
      <c r="D46" s="20" t="n"/>
    </row>
    <row r="47">
      <c r="A47" s="21" t="inlineStr">
        <is>
          <t>Merkmal</t>
        </is>
      </c>
      <c r="B47" s="22" t="inlineStr">
        <is>
          <t>Anforderungen</t>
        </is>
      </c>
      <c r="C47" s="22" t="inlineStr">
        <is>
          <t>davon Klärungsbedarf</t>
        </is>
      </c>
      <c r="D47" s="22" t="inlineStr">
        <is>
          <t>Anteil</t>
        </is>
      </c>
    </row>
    <row r="48">
      <c r="A48" s="7" t="inlineStr">
        <is>
          <t>Anlage 13</t>
        </is>
      </c>
      <c r="B48" s="23">
        <f>COUNTIFS(tblAnf[Dokument],"*"&amp;A48&amp;"*")</f>
        <v/>
      </c>
      <c r="C48" s="24">
        <f>COUNTIFS(tblAnf[Dokument],"*"&amp;A48&amp;"*",tblAnf[Klärungsbedarf],"ja")</f>
        <v/>
      </c>
      <c r="D48" s="25">
        <f>IFERROR(B48/COUNTA(tblAnf[ID]),0)</f>
        <v/>
      </c>
    </row>
    <row r="49">
      <c r="A49" s="7" t="inlineStr">
        <is>
          <t>Betreibervertrag</t>
        </is>
      </c>
      <c r="B49" s="23">
        <f>COUNTIFS(tblAnf[Dokument],"*"&amp;A49&amp;"*")</f>
        <v/>
      </c>
      <c r="C49" s="24">
        <f>COUNTIFS(tblAnf[Dokument],"*"&amp;A49&amp;"*",tblAnf[Klärungsbedarf],"ja")</f>
        <v/>
      </c>
      <c r="D49" s="25">
        <f>IFERROR(B49/COUNTA(tblAnf[ID]),0)</f>
        <v/>
      </c>
    </row>
    <row r="50">
      <c r="A50" s="7" t="inlineStr">
        <is>
          <t>Bieterfrage</t>
        </is>
      </c>
      <c r="B50" s="23">
        <f>COUNTIFS(tblAnf[Dokument],"*"&amp;A50&amp;"*")</f>
        <v/>
      </c>
      <c r="C50" s="24">
        <f>COUNTIFS(tblAnf[Dokument],"*"&amp;A50&amp;"*",tblAnf[Klärungsbedarf],"ja")</f>
        <v/>
      </c>
      <c r="D50" s="25">
        <f>IFERROR(B50/COUNTA(tblAnf[ID]),0)</f>
        <v/>
      </c>
    </row>
    <row r="51">
      <c r="A51" s="7" t="inlineStr">
        <is>
          <t>Vertragsanlage 10</t>
        </is>
      </c>
      <c r="B51" s="23">
        <f>COUNTIFS(tblAnf[Dokument],"*"&amp;A51&amp;"*")</f>
        <v/>
      </c>
      <c r="C51" s="24">
        <f>COUNTIFS(tblAnf[Dokument],"*"&amp;A51&amp;"*",tblAnf[Klärungsbedarf],"ja")</f>
        <v/>
      </c>
      <c r="D51" s="25">
        <f>IFERROR(B51/COUNTA(tblAnf[ID]),0)</f>
        <v/>
      </c>
    </row>
    <row r="52">
      <c r="A52" s="7" t="inlineStr">
        <is>
          <t>Vertragsanlage 4</t>
        </is>
      </c>
      <c r="B52" s="23">
        <f>COUNTIFS(tblAnf[Dokument],"*"&amp;A52&amp;"*")</f>
        <v/>
      </c>
      <c r="C52" s="24">
        <f>COUNTIFS(tblAnf[Dokument],"*"&amp;A52&amp;"*",tblAnf[Klärungsbedarf],"ja")</f>
        <v/>
      </c>
      <c r="D52" s="25">
        <f>IFERROR(B52/COUNTA(tblAnf[ID]),0)</f>
        <v/>
      </c>
    </row>
    <row r="53">
      <c r="A53" s="7" t="inlineStr">
        <is>
          <t>Vertragsanlage 6</t>
        </is>
      </c>
      <c r="B53" s="23">
        <f>COUNTIFS(tblAnf[Dokument],"*"&amp;A53&amp;"*")</f>
        <v/>
      </c>
      <c r="C53" s="24">
        <f>COUNTIFS(tblAnf[Dokument],"*"&amp;A53&amp;"*",tblAnf[Klärungsbedarf],"ja")</f>
        <v/>
      </c>
      <c r="D53" s="25">
        <f>IFERROR(B53/COUNTA(tblAnf[ID]),0)</f>
        <v/>
      </c>
    </row>
  </sheetData>
  <conditionalFormatting sqref="B7:B15">
    <cfRule type="dataBar" priority="1">
      <dataBar showValue="1">
        <cfvo type="num" val="0"/>
        <cfvo type="max"/>
        <color rgb="004472C4"/>
      </dataBar>
    </cfRule>
  </conditionalFormatting>
  <conditionalFormatting sqref="B20:B25">
    <cfRule type="dataBar" priority="2">
      <dataBar showValue="1">
        <cfvo type="num" val="0"/>
        <cfvo type="max"/>
        <color rgb="004472C4"/>
      </dataBar>
    </cfRule>
  </conditionalFormatting>
  <conditionalFormatting sqref="B30:B43">
    <cfRule type="dataBar" priority="3">
      <dataBar showValue="1">
        <cfvo type="num" val="0"/>
        <cfvo type="max"/>
        <color rgb="004472C4"/>
      </dataBar>
    </cfRule>
  </conditionalFormatting>
  <conditionalFormatting sqref="B48:B53">
    <cfRule type="dataBar" priority="4">
      <dataBar showValue="1">
        <cfvo type="num" val="0"/>
        <cfvo type="max"/>
        <color rgb="004472C4"/>
      </dataBar>
    </cfRule>
  </conditionalFormatting>
  <pageMargins left="0.75" right="0.75" top="1" bottom="1" header="0.5" footer="0.5"/>
  <pageSetup orientation="portrait" fitToHeight="0" fitToWidth="1"/>
</worksheet>
</file>

<file path=xl/worksheets/sheet4.xml><?xml version="1.0" encoding="utf-8"?>
<worksheet xmlns="http://schemas.openxmlformats.org/spreadsheetml/2006/main">
  <sheetPr>
    <outlinePr summaryBelow="1" summaryRight="1"/>
    <pageSetUpPr/>
  </sheetPr>
  <dimension ref="A1:F22"/>
  <sheetViews>
    <sheetView showGridLines="0" workbookViewId="0">
      <pane ySplit="5" topLeftCell="A6" activePane="bottomLeft" state="frozen"/>
      <selection pane="bottomLeft" activeCell="A1" sqref="A1"/>
    </sheetView>
  </sheetViews>
  <sheetFormatPr baseColWidth="8" defaultRowHeight="15"/>
  <cols>
    <col width="16" customWidth="1" min="1" max="1"/>
    <col width="24" customWidth="1" min="2" max="2"/>
    <col width="44" customWidth="1" min="3" max="3"/>
    <col width="15" customWidth="1" min="4" max="4"/>
    <col width="20" customWidth="1" min="5" max="5"/>
    <col width="40" customWidth="1" min="6" max="6"/>
  </cols>
  <sheetData>
    <row r="1">
      <c r="A1" s="1" t="inlineStr">
        <is>
          <t>Komponenten &amp; Schnittstellen</t>
        </is>
      </c>
    </row>
    <row r="2">
      <c r="A2" s="2" t="inlineStr">
        <is>
          <t>Wer liefert was – und wie viele Anforderungen hängen daran</t>
        </is>
      </c>
    </row>
    <row r="3">
      <c r="A3" s="3" t="inlineStr">
        <is>
          <t>Die Anzahl rechnet automatisch aus dem Register.</t>
        </is>
      </c>
    </row>
    <row r="5" ht="30" customHeight="1">
      <c r="A5" s="26" t="inlineStr">
        <is>
          <t>Art</t>
        </is>
      </c>
      <c r="B5" s="26" t="inlineStr">
        <is>
          <t>Partner</t>
        </is>
      </c>
      <c r="C5" s="26" t="inlineStr">
        <is>
          <t>Komponente(n)</t>
        </is>
      </c>
      <c r="D5" s="26" t="inlineStr">
        <is>
          <t>Anforderungen</t>
        </is>
      </c>
      <c r="E5" s="26" t="inlineStr">
        <is>
          <t>davon Klärungsbedarf</t>
        </is>
      </c>
      <c r="F5" s="26" t="inlineStr">
        <is>
          <t>Bemerkung</t>
        </is>
      </c>
    </row>
    <row r="6" ht="30" customHeight="1">
      <c r="A6" s="13" t="inlineStr">
        <is>
          <t>Komponente</t>
        </is>
      </c>
      <c r="B6" s="13" t="inlineStr">
        <is>
          <t>Aplitronic</t>
        </is>
      </c>
      <c r="C6" s="13" t="inlineStr">
        <is>
          <t>Ladeeinrichtung</t>
        </is>
      </c>
      <c r="D6" s="24">
        <f>COUNTIFS(tblAnf[Komponente(n)],"*Ladeeinrichtung*")</f>
        <v/>
      </c>
      <c r="E6" s="24">
        <f>COUNTIFS(tblAnf[Komponente(n)],"*Ladeeinrichtung*",tblAnf[Klärungsbedarf],"ja")</f>
        <v/>
      </c>
      <c r="F6" s="17" t="n"/>
    </row>
    <row r="7" ht="30" customHeight="1">
      <c r="A7" s="13" t="inlineStr">
        <is>
          <t>Komponente</t>
        </is>
      </c>
      <c r="B7" s="13" t="inlineStr">
        <is>
          <t>eRound</t>
        </is>
      </c>
      <c r="C7" s="13" t="inlineStr">
        <is>
          <t>Abrechnungskomponente</t>
        </is>
      </c>
      <c r="D7" s="24">
        <f>COUNTIFS(tblAnf[Komponente(n)],"*Abrechnungskomponente*")</f>
        <v/>
      </c>
      <c r="E7" s="24">
        <f>COUNTIFS(tblAnf[Komponente(n)],"*Abrechnungskomponente*",tblAnf[Klärungsbedarf],"ja")</f>
        <v/>
      </c>
      <c r="F7" s="17" t="n"/>
    </row>
    <row r="8" ht="30" customHeight="1">
      <c r="A8" s="13" t="inlineStr">
        <is>
          <t>Komponente</t>
        </is>
      </c>
      <c r="B8" s="13" t="inlineStr">
        <is>
          <t>eRound</t>
        </is>
      </c>
      <c r="C8" s="13" t="inlineStr">
        <is>
          <t>Monitoring</t>
        </is>
      </c>
      <c r="D8" s="24">
        <f>COUNTIFS(tblAnf[Komponente(n)],"*Monitoring*")</f>
        <v/>
      </c>
      <c r="E8" s="24">
        <f>COUNTIFS(tblAnf[Komponente(n)],"*Monitoring*",tblAnf[Klärungsbedarf],"ja")</f>
        <v/>
      </c>
      <c r="F8" s="17" t="n"/>
    </row>
    <row r="9" ht="30" customHeight="1">
      <c r="A9" s="13" t="inlineStr">
        <is>
          <t>Komponente</t>
        </is>
      </c>
      <c r="B9" s="13" t="inlineStr">
        <is>
          <t>eRound</t>
        </is>
      </c>
      <c r="C9" s="13" t="inlineStr">
        <is>
          <t>OCPI Buchungskalender</t>
        </is>
      </c>
      <c r="D9" s="24">
        <f>COUNTIFS(tblAnf[Komponente(n)],"*OCPI Buchungskalender*")</f>
        <v/>
      </c>
      <c r="E9" s="24">
        <f>COUNTIFS(tblAnf[Komponente(n)],"*OCPI Buchungskalender*",tblAnf[Klärungsbedarf],"ja")</f>
        <v/>
      </c>
      <c r="F9" s="17" t="n"/>
    </row>
    <row r="10" ht="30" customHeight="1">
      <c r="A10" s="13" t="inlineStr">
        <is>
          <t>Komponente</t>
        </is>
      </c>
      <c r="B10" s="13" t="inlineStr">
        <is>
          <t>Reservierungsplattform</t>
        </is>
      </c>
      <c r="C10" s="13" t="inlineStr">
        <is>
          <t>Anbindung</t>
        </is>
      </c>
      <c r="D10" s="24">
        <f>COUNTIFS(tblAnf[Komponente(n)],"*Anbindung*")</f>
        <v/>
      </c>
      <c r="E10" s="24">
        <f>COUNTIFS(tblAnf[Komponente(n)],"*Anbindung*",tblAnf[Klärungsbedarf],"ja")</f>
        <v/>
      </c>
      <c r="F10" s="17" t="n"/>
    </row>
    <row r="11" ht="30" customHeight="1">
      <c r="A11" s="13" t="inlineStr">
        <is>
          <t>Komponente</t>
        </is>
      </c>
      <c r="B11" s="13" t="inlineStr">
        <is>
          <t>Reservierungsplattform</t>
        </is>
      </c>
      <c r="C11" s="13" t="inlineStr">
        <is>
          <t>Reservierungsplattform</t>
        </is>
      </c>
      <c r="D11" s="24">
        <f>COUNTIFS(tblAnf[Komponente(n)],"*Reservierungsplattform*")</f>
        <v/>
      </c>
      <c r="E11" s="24">
        <f>COUNTIFS(tblAnf[Komponente(n)],"*Reservierungsplattform*",tblAnf[Klärungsbedarf],"ja")</f>
        <v/>
      </c>
      <c r="F11" s="17" t="n"/>
    </row>
    <row r="12" ht="30" customHeight="1">
      <c r="A12" s="13" t="inlineStr">
        <is>
          <t>Komponente</t>
        </is>
      </c>
      <c r="B12" s="13" t="inlineStr">
        <is>
          <t>SCS</t>
        </is>
      </c>
      <c r="C12" s="13" t="inlineStr">
        <is>
          <t>Belegungsdetektion</t>
        </is>
      </c>
      <c r="D12" s="24">
        <f>COUNTIFS(tblAnf[Komponente(n)],"*Belegungsdetektion*")</f>
        <v/>
      </c>
      <c r="E12" s="24">
        <f>COUNTIFS(tblAnf[Komponente(n)],"*Belegungsdetektion*",tblAnf[Klärungsbedarf],"ja")</f>
        <v/>
      </c>
      <c r="F12" s="17" t="n"/>
    </row>
    <row r="13" ht="30" customHeight="1">
      <c r="A13" s="13" t="inlineStr">
        <is>
          <t>Komponente</t>
        </is>
      </c>
      <c r="B13" s="13" t="inlineStr">
        <is>
          <t>SCS</t>
        </is>
      </c>
      <c r="C13" s="13" t="inlineStr">
        <is>
          <t>Dynamische Anzeige</t>
        </is>
      </c>
      <c r="D13" s="24">
        <f>COUNTIFS(tblAnf[Komponente(n)],"*Dynamische Anzeige*")</f>
        <v/>
      </c>
      <c r="E13" s="24">
        <f>COUNTIFS(tblAnf[Komponente(n)],"*Dynamische Anzeige*",tblAnf[Klärungsbedarf],"ja")</f>
        <v/>
      </c>
      <c r="F13" s="17" t="n"/>
    </row>
    <row r="14" ht="30" customHeight="1">
      <c r="A14" s="13" t="inlineStr">
        <is>
          <t>Komponente</t>
        </is>
      </c>
      <c r="B14" s="13" t="inlineStr">
        <is>
          <t>SCS</t>
        </is>
      </c>
      <c r="C14" s="13" t="inlineStr">
        <is>
          <t>Kennzeichenerfassung</t>
        </is>
      </c>
      <c r="D14" s="24">
        <f>COUNTIFS(tblAnf[Komponente(n)],"*Kennzeichenerfassung*")</f>
        <v/>
      </c>
      <c r="E14" s="24">
        <f>COUNTIFS(tblAnf[Komponente(n)],"*Kennzeichenerfassung*",tblAnf[Klärungsbedarf],"ja")</f>
        <v/>
      </c>
      <c r="F14" s="17" t="n"/>
    </row>
    <row r="15" ht="30" customHeight="1">
      <c r="A15" s="13" t="inlineStr">
        <is>
          <t>Komponente</t>
        </is>
      </c>
      <c r="B15" s="13" t="inlineStr">
        <is>
          <t>SCS</t>
        </is>
      </c>
      <c r="C15" s="13" t="inlineStr">
        <is>
          <t>Pönalisierungssystem</t>
        </is>
      </c>
      <c r="D15" s="24">
        <f>COUNTIFS(tblAnf[Komponente(n)],"*Pönalisierungssystem*")</f>
        <v/>
      </c>
      <c r="E15" s="24">
        <f>COUNTIFS(tblAnf[Komponente(n)],"*Pönalisierungssystem*",tblAnf[Klärungsbedarf],"ja")</f>
        <v/>
      </c>
      <c r="F15" s="17" t="n"/>
    </row>
    <row r="16" ht="30" customHeight="1">
      <c r="A16" s="13" t="inlineStr">
        <is>
          <t>Komponente</t>
        </is>
      </c>
      <c r="B16" s="13" t="inlineStr">
        <is>
          <t>tbd</t>
        </is>
      </c>
      <c r="C16" s="13" t="inlineStr">
        <is>
          <t>Beschilderung</t>
        </is>
      </c>
      <c r="D16" s="24">
        <f>COUNTIFS(tblAnf[Komponente(n)],"*Beschilderung*")</f>
        <v/>
      </c>
      <c r="E16" s="24">
        <f>COUNTIFS(tblAnf[Komponente(n)],"*Beschilderung*",tblAnf[Klärungsbedarf],"ja")</f>
        <v/>
      </c>
      <c r="F16" s="17" t="n"/>
    </row>
    <row r="17" ht="30" customHeight="1">
      <c r="A17" s="13" t="inlineStr">
        <is>
          <t>Komponente</t>
        </is>
      </c>
      <c r="B17" s="13" t="inlineStr">
        <is>
          <t>tbd</t>
        </is>
      </c>
      <c r="C17" s="13" t="inlineStr">
        <is>
          <t>Schrankenanlage</t>
        </is>
      </c>
      <c r="D17" s="24">
        <f>COUNTIFS(tblAnf[Komponente(n)],"*Schrankenanlage*")</f>
        <v/>
      </c>
      <c r="E17" s="24">
        <f>COUNTIFS(tblAnf[Komponente(n)],"*Schrankenanlage*",tblAnf[Klärungsbedarf],"ja")</f>
        <v/>
      </c>
      <c r="F17" s="17" t="n"/>
    </row>
    <row r="18" ht="30" customHeight="1">
      <c r="A18" s="13" t="inlineStr">
        <is>
          <t>Komponente</t>
        </is>
      </c>
      <c r="B18" s="13" t="inlineStr">
        <is>
          <t>SCS</t>
        </is>
      </c>
      <c r="C18" s="13" t="inlineStr">
        <is>
          <t>Schrankensteuerung</t>
        </is>
      </c>
      <c r="D18" s="24">
        <f>COUNTIFS(tblAnf[Komponente(n)],"*Schrankensteuerung*")</f>
        <v/>
      </c>
      <c r="E18" s="24">
        <f>COUNTIFS(tblAnf[Komponente(n)],"*Schrankensteuerung*",tblAnf[Klärungsbedarf],"ja")</f>
        <v/>
      </c>
      <c r="F18" s="17" t="n"/>
    </row>
    <row r="19" ht="30" customHeight="1">
      <c r="A19" s="13" t="inlineStr">
        <is>
          <t>Schnittstelle</t>
        </is>
      </c>
      <c r="B19" s="13" t="inlineStr">
        <is>
          <t>eRound / SCS</t>
        </is>
      </c>
      <c r="C19" s="13" t="inlineStr">
        <is>
          <t>OCPI Buchungskalender / Abrechnungskomponente / Belegungsdetektion / Pönalisierungssystem</t>
        </is>
      </c>
      <c r="D19" s="24">
        <f>COUNTIFS(tblAnf[Komponente(n)],"*OCPI Buchungskalender*")</f>
        <v/>
      </c>
      <c r="E19" s="24">
        <f>COUNTIFS(tblAnf[Komponente(n)],"*OCPI Buchungskalender*",tblAnf[Klärungsbedarf],"ja")</f>
        <v/>
      </c>
      <c r="F19" s="17" t="n"/>
    </row>
    <row r="20" ht="30" customHeight="1">
      <c r="A20" s="13" t="inlineStr">
        <is>
          <t>Schnittstelle</t>
        </is>
      </c>
      <c r="B20" s="13" t="inlineStr">
        <is>
          <t>eRound / SCS</t>
        </is>
      </c>
      <c r="C20" s="13" t="inlineStr">
        <is>
          <t>OCPI Buchungskalender / Dynamische Anzeige</t>
        </is>
      </c>
      <c r="D20" s="24">
        <f>COUNTIFS(tblAnf[Komponente(n)],"*OCPI Buchungskalender*")</f>
        <v/>
      </c>
      <c r="E20" s="24">
        <f>COUNTIFS(tblAnf[Komponente(n)],"*OCPI Buchungskalender*",tblAnf[Klärungsbedarf],"ja")</f>
        <v/>
      </c>
      <c r="F20" s="17" t="n"/>
    </row>
    <row r="21" ht="30" customHeight="1">
      <c r="A21" s="13" t="inlineStr">
        <is>
          <t>Schnittstelle</t>
        </is>
      </c>
      <c r="B21" s="13" t="inlineStr">
        <is>
          <t>eRound / SCS</t>
        </is>
      </c>
      <c r="C21" s="13" t="inlineStr">
        <is>
          <t>OCPI Buchungskalender / Kennzeichenerfassung / Pönalisierungssystem</t>
        </is>
      </c>
      <c r="D21" s="24">
        <f>COUNTIFS(tblAnf[Komponente(n)],"*OCPI Buchungskalender*")</f>
        <v/>
      </c>
      <c r="E21" s="24">
        <f>COUNTIFS(tblAnf[Komponente(n)],"*OCPI Buchungskalender*",tblAnf[Klärungsbedarf],"ja")</f>
        <v/>
      </c>
      <c r="F21" s="17" t="n"/>
    </row>
    <row r="22" ht="30" customHeight="1">
      <c r="A22" s="13" t="inlineStr">
        <is>
          <t>Schnittstelle</t>
        </is>
      </c>
      <c r="B22" s="13" t="inlineStr">
        <is>
          <t>eRound / tbd</t>
        </is>
      </c>
      <c r="C22" s="13" t="inlineStr">
        <is>
          <t>Authentifizierungskomponente / Schrankensteuerung</t>
        </is>
      </c>
      <c r="D22" s="24">
        <f>COUNTIFS(tblAnf[Komponente(n)],"*Authentifizierungskomponente*")</f>
        <v/>
      </c>
      <c r="E22" s="24">
        <f>COUNTIFS(tblAnf[Komponente(n)],"*Authentifizierungskomponente*",tblAnf[Klärungsbedarf],"ja")</f>
        <v/>
      </c>
      <c r="F22" s="17" t="n"/>
    </row>
  </sheetData>
  <autoFilter ref="A5:F22"/>
  <conditionalFormatting sqref="D6:D22">
    <cfRule type="dataBar" priority="1">
      <dataBar showValue="1">
        <cfvo type="num" val="0"/>
        <cfvo type="max"/>
        <color rgb="004472C4"/>
      </dataBar>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7"/>
  <sheetViews>
    <sheetView showGridLines="0" workbookViewId="0">
      <selection activeCell="A1" sqref="A1"/>
    </sheetView>
  </sheetViews>
  <sheetFormatPr baseColWidth="8" defaultRowHeight="15"/>
  <cols>
    <col width="10" customWidth="1" min="1" max="1"/>
    <col width="52" customWidth="1" min="2" max="2"/>
    <col width="22" customWidth="1" min="3" max="3"/>
    <col width="24" customWidth="1" min="4" max="4"/>
    <col width="24" customWidth="1" min="5" max="5"/>
  </cols>
  <sheetData>
    <row r="1">
      <c r="A1" s="1" t="inlineStr">
        <is>
          <t>Anzeigekonzept Ladeplatz</t>
        </is>
      </c>
    </row>
    <row r="2">
      <c r="A2" s="2" t="inlineStr">
        <is>
          <t>Dynamische Anzeige je Ladeplatz – Vorgabe aus Vertragsanlage 4, Ziffer 3.13.4 (ANF-040)</t>
        </is>
      </c>
    </row>
    <row r="3">
      <c r="A3" s="3" t="inlineStr">
        <is>
          <t>Offener Punkt aus der Quelldatei: die Breite der Anzeige reicht für die geforderten Inhalte nicht aus.</t>
        </is>
      </c>
    </row>
    <row r="5" ht="30" customHeight="1">
      <c r="A5" s="26" t="inlineStr">
        <is>
          <t>Zeile</t>
        </is>
      </c>
      <c r="B5" s="26" t="inlineStr">
        <is>
          <t>Geforderter Inhalt</t>
        </is>
      </c>
      <c r="C5" s="26" t="inlineStr">
        <is>
          <t>MCS</t>
        </is>
      </c>
      <c r="D5" s="26" t="inlineStr">
        <is>
          <t>CCS – Zwischenladen</t>
        </is>
      </c>
      <c r="E5" s="26" t="inlineStr">
        <is>
          <t>CCS – Übernachtladen</t>
        </is>
      </c>
    </row>
    <row r="6" ht="26" customHeight="1">
      <c r="A6" s="27" t="inlineStr">
        <is>
          <t>Zeile 1</t>
        </is>
      </c>
      <c r="B6" s="28" t="inlineStr">
        <is>
          <t>Typ des Ladeplatzes</t>
        </is>
      </c>
      <c r="C6" s="29" t="inlineStr">
        <is>
          <t>MCS</t>
        </is>
      </c>
      <c r="D6" s="29" t="inlineStr">
        <is>
          <t>CCS-Zwischenladen</t>
        </is>
      </c>
      <c r="E6" s="29" t="inlineStr">
        <is>
          <t>CCS-Übernachtladen</t>
        </is>
      </c>
    </row>
    <row r="7" ht="26" customHeight="1">
      <c r="A7" s="27" t="inlineStr">
        <is>
          <t>Zeile 2</t>
        </is>
      </c>
      <c r="B7" s="28" t="inlineStr">
        <is>
          <t>Leistung der Ladesäule</t>
        </is>
      </c>
      <c r="C7" s="29" t="inlineStr">
        <is>
          <t>1000 kW</t>
        </is>
      </c>
      <c r="D7" s="29" t="inlineStr">
        <is>
          <t>400 kW</t>
        </is>
      </c>
      <c r="E7" s="29" t="inlineStr">
        <is>
          <t>200 kW  (siehe Hinweis)</t>
        </is>
      </c>
    </row>
    <row r="8" ht="26" customHeight="1">
      <c r="A8" s="27" t="inlineStr">
        <is>
          <t>Zeile 3</t>
        </is>
      </c>
      <c r="B8" s="28" t="inlineStr">
        <is>
          <t>Status (verfügbar, reserviert ab XX:XX Uhr, belegt, außer Betrieb)</t>
        </is>
      </c>
      <c r="C8" s="29" t="inlineStr">
        <is>
          <t>verfügbar</t>
        </is>
      </c>
      <c r="D8" s="29" t="inlineStr">
        <is>
          <t>reserviert ab 15:00 Uhr</t>
        </is>
      </c>
      <c r="E8" s="29" t="inlineStr">
        <is>
          <t>belegt / außer Betrieb</t>
        </is>
      </c>
    </row>
    <row r="9" ht="26" customHeight="1">
      <c r="A9" s="27" t="inlineStr">
        <is>
          <t>Zeile 4</t>
        </is>
      </c>
      <c r="B9" s="28" t="inlineStr">
        <is>
          <t>optional: Kennzeichen bzw. Reservierungsnummer</t>
        </is>
      </c>
      <c r="C9" s="29" t="inlineStr">
        <is>
          <t>bis 15:00 Uhr</t>
        </is>
      </c>
      <c r="D9" s="29" t="inlineStr">
        <is>
          <t>HH-MM 1234</t>
        </is>
      </c>
      <c r="E9" s="29" t="inlineStr">
        <is>
          <t>–</t>
        </is>
      </c>
    </row>
    <row r="12">
      <c r="A12" s="30" t="inlineStr">
        <is>
          <t>Zusätzlich gefordert</t>
        </is>
      </c>
    </row>
    <row r="13" ht="30" customHeight="1">
      <c r="A13" s="31" t="inlineStr">
        <is>
          <t>•  Ladeplatznummer als Schild: schwarze Nummer auf weißem, retroreflektierendem Grund, Reflexionsklasse RA1 A (Vertragsanlage 4, 3.13.4)</t>
        </is>
      </c>
    </row>
    <row r="14" ht="30" customHeight="1">
      <c r="A14" s="31" t="inlineStr">
        <is>
          <t>•  Beschilderung mit Hinweis, dass der Stellplatz nach dem Ladevorgang unverzüglich freizugeben ist – Text bedarf der Zustimmung des Auftraggebers 2 (Betreibervertrag § 38 Abs. 9)</t>
        </is>
      </c>
    </row>
    <row r="15" ht="30" customHeight="1">
      <c r="A15" s="31" t="inlineStr">
        <is>
          <t>•  Display an der Ladeeinrichtung: Ad-hoc-Preis, geladene Energiemenge, Blockadeentgelt, Bedienhinweise; ablesbar bei Sonne und Dunkelheit, Menü mindestens Deutsch und Englisch (Vertragsanlage 6, Ziffer 4)</t>
        </is>
      </c>
    </row>
    <row r="16" ht="30" customHeight="1">
      <c r="A16" s="31" t="inlineStr">
        <is>
          <t>•  Offener Punkt: die vorgesehene Anzeigenbreite reicht laut Prüfung nicht für alle vier Zeilen – Layout oder Hardware klären.</t>
        </is>
      </c>
    </row>
    <row r="17" ht="30" customHeight="1">
      <c r="A17" s="31" t="inlineStr">
        <is>
          <t>•  Offener Punkt: die Quelldatei nennt für CCS-Übernachtladen an einer Stelle 250 kW und an anderer 200 kW – zu vereinheitlichen.</t>
        </is>
      </c>
    </row>
  </sheetData>
  <mergeCells count="5">
    <mergeCell ref="A16:E16"/>
    <mergeCell ref="A15:E15"/>
    <mergeCell ref="A13:E13"/>
    <mergeCell ref="A14:E14"/>
    <mergeCell ref="A17:E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8"/>
  <sheetViews>
    <sheetView showGridLines="0" workbookViewId="0">
      <selection activeCell="A1" sqref="A1"/>
    </sheetView>
  </sheetViews>
  <sheetFormatPr baseColWidth="8" defaultRowHeight="15"/>
  <cols>
    <col width="26" customWidth="1" min="1" max="1"/>
    <col width="96" customWidth="1" min="2" max="2"/>
  </cols>
  <sheetData>
    <row r="1">
      <c r="A1" s="1" t="inlineStr">
        <is>
          <t>Lesehilfe</t>
        </is>
      </c>
    </row>
    <row r="2">
      <c r="A2" s="2" t="inlineStr">
        <is>
          <t>Wie diese Mappe aufgebaut ist und wie damit gearbeitet wird</t>
        </is>
      </c>
    </row>
    <row r="5" ht="34" customHeight="1">
      <c r="A5" s="32" t="inlineStr">
        <is>
          <t>Zweck</t>
        </is>
      </c>
      <c r="B5" s="13" t="inlineStr">
        <is>
          <t>Die Mappe führt alle vertraglichen Anforderungen aus der Ausschreibung „Autostrom / LKW-Laden“ an einer Stelle zusammen: was gefordert ist, wo es steht, wer es liefert und wie weit die Umsetzung ist.</t>
        </is>
      </c>
    </row>
    <row r="6" ht="34" customHeight="1">
      <c r="A6" s="32" t="inlineStr">
        <is>
          <t>Cockpit</t>
        </is>
      </c>
      <c r="B6" s="13" t="inlineStr">
        <is>
          <t>Kennzahlen und vier Diagramme: Anforderungen je Themenfeld, Partner, Komponente und Quelldokument. Rechnet live mit.</t>
        </is>
      </c>
    </row>
    <row r="7" ht="34" customHeight="1">
      <c r="A7" s="32" t="inlineStr">
        <is>
          <t>Anforderungen</t>
        </is>
      </c>
      <c r="B7" s="13" t="inlineStr">
        <is>
          <t>Das Register mit 52 Anforderungen. Weiße Spalten enthalten den Inhalt aus der Ausschreibung, gelbe Spalten sind eure Steuerung (Status, Priorität, Verantwortlich, Fällig, Nachweis).</t>
        </is>
      </c>
    </row>
    <row r="8" ht="34" customHeight="1">
      <c r="A8" s="32" t="inlineStr">
        <is>
          <t>Auswertung</t>
        </is>
      </c>
      <c r="B8" s="13" t="inlineStr">
        <is>
          <t>Zählt Anforderungen und offene Klärungen je Themenfeld, Partner, Komponente und Dokument.</t>
        </is>
      </c>
    </row>
    <row r="9" ht="34" customHeight="1">
      <c r="A9" s="32" t="inlineStr">
        <is>
          <t>Komponenten</t>
        </is>
      </c>
      <c r="B9" s="13" t="inlineStr">
        <is>
          <t>Die 17 Komponenten und Schnittstellen aus der Quelldatei mit der Anzahl daran hängender Anforderungen.</t>
        </is>
      </c>
    </row>
    <row r="10" ht="34" customHeight="1">
      <c r="A10" s="32" t="inlineStr">
        <is>
          <t>Anzeigekonzept</t>
        </is>
      </c>
      <c r="B10" s="13" t="inlineStr">
        <is>
          <t>Der Inhalt der dynamischen Ladeplatzanzeige je Ladeplatztyp inklusive des offenen Punktes zur Anzeigenbreite.</t>
        </is>
      </c>
    </row>
    <row r="12" ht="34" customHeight="1">
      <c r="A12" s="32" t="inlineStr">
        <is>
          <t>Spalte „Fundstelle“</t>
        </is>
      </c>
      <c r="B12" s="13" t="inlineStr">
        <is>
          <t>Paragraf, Absatz und Unterpunkt des Quelldokuments, z. B. § 25 (2) c.</t>
        </is>
      </c>
    </row>
    <row r="13" ht="34" customHeight="1">
      <c r="A13" s="32" t="inlineStr">
        <is>
          <t>Spalte „Themenfeld“</t>
        </is>
      </c>
      <c r="B13" s="13" t="inlineStr">
        <is>
          <t>Fachliche Bündelung: Reservierung, Nutzungszeit &amp; Entgelte, Zufahrt &amp; Schranke, Belegungsdetektion, Authentifizierung &amp; Zugang, Anzeige &amp; Beschilderung, Monitoring &amp; Reporting, Betrieb &amp; Auslastung, Bau &amp; Dokumentation.</t>
        </is>
      </c>
    </row>
    <row r="14" ht="34" customHeight="1">
      <c r="A14" s="32" t="inlineStr">
        <is>
          <t>Spalte „Klärungsbedarf“</t>
        </is>
      </c>
      <c r="B14" s="13" t="inlineStr">
        <is>
          <t>Wird automatisch auf „ja“ gesetzt, wenn kein Partner feststeht (offen oder tbd) oder die Bemerkung eine Frage enthält.</t>
        </is>
      </c>
    </row>
    <row r="15" ht="34" customHeight="1">
      <c r="A15" s="32" t="inlineStr">
        <is>
          <t>Spalte „Status“</t>
        </is>
      </c>
      <c r="B15" s="13" t="inlineStr">
        <is>
          <t>Auswahl: offen, in Klärung, in Umsetzung, umgesetzt, entfällt.</t>
        </is>
      </c>
    </row>
    <row r="17" ht="34" customHeight="1">
      <c r="A17" s="32" t="inlineStr">
        <is>
          <t>Neue Anforderung</t>
        </is>
      </c>
      <c r="B17" s="13" t="inlineStr">
        <is>
          <t>Direkt unter der letzten Zeile des Registers eintragen – die Tabelle wächst automatisch, alle Zählungen und Diagramme ziehen mit.</t>
        </is>
      </c>
    </row>
    <row r="18" ht="34" customHeight="1">
      <c r="A18" s="32" t="inlineStr">
        <is>
          <t>Originaltexte</t>
        </is>
      </c>
      <c r="B18" s="13" t="inlineStr">
        <is>
          <t>Die Anforderungstexte wurden unverändert übernommen; lediglich die Trennzeichen aus dem PDF-Import (_x0002_) wurden entfernt.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2026-08-17T11:20:49Z</dcterms:created>
  <dcterms:modified xsi:type="dcterms:W3CDTF">2026-08-17T11:20:49Z</dcterms:modified>
</cp:coreProperties>
</file>