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ckpit" sheetId="1" state="visible" r:id="rId1"/>
    <sheet name="Anforderungen" sheetId="2" state="visible" r:id="rId2"/>
    <sheet name="Auswertung" sheetId="3" state="visible" r:id="rId3"/>
    <sheet name="Komponenten" sheetId="4" state="visible" r:id="rId4"/>
    <sheet name="Anzeigekonzept" sheetId="5" state="visible" r:id="rId5"/>
    <sheet name="Lesehilfe" sheetId="6" state="visible" r:id="rId6"/>
  </sheets>
  <definedNames>
    <definedName name="_xlnm._FilterDatabase" localSheetId="1" hidden="1">'Anforderungen'!$A$6:$O$58</definedName>
    <definedName name="_xlnm.Print_Titles" localSheetId="1">'Anforderungen'!$6:$6</definedName>
    <definedName name="_xlnm.Print_Area" localSheetId="2">'Auswertung'!$A$1:$D$56</definedName>
    <definedName name="_xlnm._FilterDatabase" localSheetId="3" hidden="1">'Komponenten'!$A$5:$F$22</definedName>
  </definedNames>
  <calcPr calcId="124519" fullCalcOnLoad="1"/>
</workbook>
</file>

<file path=xl/styles.xml><?xml version="1.0" encoding="utf-8"?>
<styleSheet xmlns="http://schemas.openxmlformats.org/spreadsheetml/2006/main">
  <numFmts count="2">
    <numFmt numFmtId="164" formatCode="DD.MM.YYYY"/>
    <numFmt numFmtId="165" formatCode="0 %"/>
  </numFmts>
  <fonts count="10">
    <font>
      <name val="Calibri"/>
      <family val="2"/>
      <color theme="1"/>
      <sz val="11"/>
      <scheme val="minor"/>
    </font>
    <font>
      <name val="Arial"/>
      <b val="1"/>
      <color rgb="001F3864"/>
      <sz val="16"/>
    </font>
    <font>
      <name val="Arial"/>
      <color rgb="00595959"/>
      <sz val="10"/>
    </font>
    <font>
      <name val="Arial"/>
      <i val="1"/>
      <color rgb="00808080"/>
      <sz val="9"/>
    </font>
    <font>
      <name val="Arial"/>
      <b val="1"/>
      <color rgb="00FFFFFF"/>
      <sz val="10"/>
    </font>
    <font>
      <name val="Arial"/>
      <color rgb="00000000"/>
      <sz val="10"/>
    </font>
    <font>
      <name val="Arial"/>
      <b val="1"/>
      <color rgb="001F3864"/>
      <sz val="10"/>
    </font>
    <font>
      <name val="Arial"/>
      <b val="1"/>
      <color rgb="00000000"/>
      <sz val="10"/>
    </font>
    <font>
      <name val="Arial"/>
      <color rgb="00404040"/>
      <sz val="9"/>
    </font>
    <font>
      <name val="Arial"/>
      <b val="1"/>
      <color rgb="001F3864"/>
      <sz val="11"/>
    </font>
  </fonts>
  <fills count="7">
    <fill>
      <patternFill/>
    </fill>
    <fill>
      <patternFill patternType="gray125"/>
    </fill>
    <fill>
      <patternFill patternType="solid">
        <fgColor rgb="001F3864"/>
      </patternFill>
    </fill>
    <fill>
      <patternFill patternType="solid">
        <fgColor rgb="00F2F2F2"/>
      </patternFill>
    </fill>
    <fill>
      <patternFill patternType="solid">
        <fgColor rgb="00FFF9E1"/>
      </patternFill>
    </fill>
    <fill>
      <patternFill patternType="solid">
        <fgColor rgb="00D9E2F3"/>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7" fillId="6" borderId="1" pivotButton="0" quotePrefix="0" xfId="0"/>
    <xf numFmtId="1" fontId="7" fillId="6" borderId="1" applyAlignment="1" pivotButton="0" quotePrefix="0" xfId="0">
      <alignment horizontal="center"/>
    </xf>
    <xf numFmtId="0" fontId="5" fillId="3" borderId="1" pivotButton="0" quotePrefix="0" xfId="0"/>
    <xf numFmtId="1" fontId="5" fillId="3" borderId="1" applyAlignment="1" pivotButton="0" quotePrefix="0" xfId="0">
      <alignment horizontal="center"/>
    </xf>
    <xf numFmtId="165" fontId="7" fillId="6" borderId="1" applyAlignment="1" pivotButton="0" quotePrefix="0" xfId="0">
      <alignment horizontal="center"/>
    </xf>
    <xf numFmtId="0" fontId="4" fillId="2" borderId="1" applyAlignment="1" pivotButton="0" quotePrefix="0" xfId="0">
      <alignment horizontal="left" vertical="center" wrapText="1"/>
    </xf>
    <xf numFmtId="0" fontId="6" fillId="3"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5" fillId="3" borderId="1" applyAlignment="1" pivotButton="0" quotePrefix="0" xfId="0">
      <alignment horizontal="center" vertical="top"/>
    </xf>
    <xf numFmtId="0" fontId="5" fillId="4" borderId="1" applyAlignment="1" pivotButton="0" quotePrefix="0" xfId="0">
      <alignment vertical="top" wrapText="1"/>
    </xf>
    <xf numFmtId="164" fontId="5" fillId="4" borderId="1" applyAlignment="1" pivotButton="0" quotePrefix="0" xfId="0">
      <alignment vertical="top" wrapText="1"/>
    </xf>
    <xf numFmtId="0" fontId="9" fillId="5" borderId="1" pivotButton="0" quotePrefix="0" xfId="0"/>
    <xf numFmtId="0" fontId="0" fillId="5" borderId="1" pivotButton="0" quotePrefix="0" xfId="0"/>
    <xf numFmtId="0" fontId="4" fillId="2" borderId="1" applyAlignment="1" pivotButton="0" quotePrefix="0" xfId="0">
      <alignment horizontal="left" wrapText="1"/>
    </xf>
    <xf numFmtId="0" fontId="4" fillId="2" borderId="1" applyAlignment="1" pivotButton="0" quotePrefix="0" xfId="0">
      <alignment horizontal="center" wrapText="1"/>
    </xf>
    <xf numFmtId="0" fontId="7" fillId="3" borderId="1" applyAlignment="1" pivotButton="0" quotePrefix="0" xfId="0">
      <alignment horizontal="center"/>
    </xf>
    <xf numFmtId="0" fontId="5" fillId="3" borderId="1" applyAlignment="1" pivotButton="0" quotePrefix="0" xfId="0">
      <alignment horizontal="center"/>
    </xf>
    <xf numFmtId="165" fontId="5" fillId="3" borderId="1" applyAlignment="1" pivotButton="0" quotePrefix="0" xfId="0">
      <alignment horizontal="center"/>
    </xf>
    <xf numFmtId="0" fontId="4" fillId="2" borderId="1" applyAlignment="1" pivotButton="0" quotePrefix="0" xfId="0">
      <alignment vertical="center" wrapText="1"/>
    </xf>
    <xf numFmtId="0" fontId="7" fillId="3" borderId="1" applyAlignment="1" pivotButton="0" quotePrefix="0" xfId="0">
      <alignment vertical="center" wrapText="1"/>
    </xf>
    <xf numFmtId="0" fontId="5" fillId="3" borderId="1" applyAlignment="1" pivotButton="0" quotePrefix="0" xfId="0">
      <alignment vertical="center" wrapText="1"/>
    </xf>
    <xf numFmtId="0" fontId="5" fillId="6" borderId="1" applyAlignment="1" pivotButton="0" quotePrefix="0" xfId="0">
      <alignment vertical="center" wrapText="1"/>
    </xf>
    <xf numFmtId="0" fontId="9" fillId="0" borderId="0" pivotButton="0" quotePrefix="0" xfId="0"/>
    <xf numFmtId="0" fontId="5" fillId="0" borderId="0"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dxfs count="3">
    <dxf>
      <font>
        <name val="Arial"/>
        <b val="1"/>
        <color rgb="009C3400"/>
        <sz val="10"/>
      </font>
      <fill>
        <patternFill patternType="solid">
          <bgColor rgb="00FCE4D6"/>
        </patternFill>
      </fill>
    </dxf>
    <dxf>
      <font>
        <name val="Arial"/>
        <color rgb="00006100"/>
        <sz val="10"/>
      </font>
      <fill>
        <patternFill patternType="solid">
          <bgColor rgb="00C6EFCE"/>
        </patternFill>
      </fill>
    </dxf>
    <dxf>
      <font>
        <name val="Arial"/>
        <color rgb="009C0006"/>
        <sz val="10"/>
      </font>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Nach Themenfeld</a:t>
            </a:r>
          </a:p>
        </rich>
      </tx>
    </title>
    <plotArea>
      <barChart>
        <barDir val="bar"/>
        <grouping val="clustered"/>
        <ser>
          <idx val="0"/>
          <order val="0"/>
          <tx>
            <v>Anforderungen</v>
          </tx>
          <spPr>
            <a:solidFill>
              <a:srgbClr val="4472C4"/>
            </a:solidFill>
            <a:ln>
              <a:prstDash val="solid"/>
            </a:ln>
          </spPr>
          <cat>
            <numRef>
              <f>'Auswertung'!$A$7:$A$15</f>
            </numRef>
          </cat>
          <val>
            <numRef>
              <f>'Auswertung'!$B$7:$B$15</f>
            </numRef>
          </val>
        </ser>
        <gapWidth val="40"/>
        <axId val="10"/>
        <axId val="100"/>
      </barChart>
      <catAx>
        <axId val="10"/>
        <scaling>
          <orientation val="minMax"/>
        </scaling>
        <delete val="0"/>
        <axPos val="l"/>
        <majorTickMark val="none"/>
        <minorTickMark val="none"/>
        <crossAx val="100"/>
        <lblOffset val="100"/>
        <tickLblSkip val="1"/>
        <tickMarkSkip val="1"/>
      </catAx>
      <valAx>
        <axId val="100"/>
        <scaling>
          <orientation val="minMax"/>
        </scaling>
        <delete val="0"/>
        <axPos val="b"/>
        <majorTickMark val="none"/>
        <minorTickMark val="none"/>
        <crossAx val="10"/>
      </valAx>
    </plotArea>
    <plotVisOnly val="1"/>
    <dispBlanksAs val="gap"/>
  </chart>
  <spPr>
    <a:solidFill>
      <a:srgbClr val="FFFFFF"/>
    </a:solidFill>
    <a:ln>
      <a:solidFill>
        <a:srgbClr val="BFBFBF"/>
      </a:solidFill>
      <a:prstDash val="solid"/>
    </a:ln>
  </spPr>
</chartSpace>
</file>

<file path=xl/charts/chart2.xml><?xml version="1.0" encoding="utf-8"?>
<chartSpace xmlns:a="http://schemas.openxmlformats.org/drawingml/2006/main" xmlns="http://schemas.openxmlformats.org/drawingml/2006/chart">
  <chart>
    <title>
      <tx>
        <rich>
          <a:bodyPr/>
          <a:p>
            <a:pPr>
              <a:defRPr/>
            </a:pPr>
            <a:r>
              <a:t>Nach Partner</a:t>
            </a:r>
          </a:p>
        </rich>
      </tx>
    </title>
    <plotArea>
      <barChart>
        <barDir val="bar"/>
        <grouping val="clustered"/>
        <ser>
          <idx val="0"/>
          <order val="0"/>
          <tx>
            <v>Anforderungen</v>
          </tx>
          <spPr>
            <a:solidFill>
              <a:srgbClr val="ED7D31"/>
            </a:solidFill>
            <a:ln>
              <a:prstDash val="solid"/>
            </a:ln>
          </spPr>
          <cat>
            <numRef>
              <f>'Auswertung'!$A$20:$A$25</f>
            </numRef>
          </cat>
          <val>
            <numRef>
              <f>'Auswertung'!$B$20:$B$25</f>
            </numRef>
          </val>
        </ser>
        <gapWidth val="40"/>
        <axId val="10"/>
        <axId val="100"/>
      </barChart>
      <catAx>
        <axId val="10"/>
        <scaling>
          <orientation val="minMax"/>
        </scaling>
        <delete val="0"/>
        <axPos val="l"/>
        <majorTickMark val="none"/>
        <minorTickMark val="none"/>
        <crossAx val="100"/>
        <lblOffset val="100"/>
        <tickLblSkip val="1"/>
        <tickMarkSkip val="1"/>
      </catAx>
      <valAx>
        <axId val="100"/>
        <scaling>
          <orientation val="minMax"/>
        </scaling>
        <delete val="0"/>
        <axPos val="b"/>
        <majorTickMark val="none"/>
        <minorTickMark val="none"/>
        <crossAx val="10"/>
      </valAx>
    </plotArea>
    <plotVisOnly val="1"/>
    <dispBlanksAs val="gap"/>
  </chart>
  <spPr>
    <a:solidFill>
      <a:srgbClr val="FFFFFF"/>
    </a:solidFill>
    <a:ln>
      <a:solidFill>
        <a:srgbClr val="BFBFBF"/>
      </a:solidFill>
      <a:prstDash val="solid"/>
    </a:ln>
  </spPr>
</chartSpace>
</file>

<file path=xl/charts/chart3.xml><?xml version="1.0" encoding="utf-8"?>
<chartSpace xmlns:a="http://schemas.openxmlformats.org/drawingml/2006/main" xmlns="http://schemas.openxmlformats.org/drawingml/2006/chart">
  <chart>
    <title>
      <tx>
        <rich>
          <a:bodyPr/>
          <a:p>
            <a:pPr>
              <a:defRPr/>
            </a:pPr>
            <a:r>
              <a:t>Nach Komponente</a:t>
            </a:r>
          </a:p>
        </rich>
      </tx>
    </title>
    <plotArea>
      <barChart>
        <barDir val="bar"/>
        <grouping val="clustered"/>
        <ser>
          <idx val="0"/>
          <order val="0"/>
          <tx>
            <v>Anforderungen</v>
          </tx>
          <spPr>
            <a:solidFill>
              <a:srgbClr val="70AD47"/>
            </a:solidFill>
            <a:ln>
              <a:prstDash val="solid"/>
            </a:ln>
          </spPr>
          <cat>
            <numRef>
              <f>'Auswertung'!$A$30:$A$43</f>
            </numRef>
          </cat>
          <val>
            <numRef>
              <f>'Auswertung'!$B$30:$B$43</f>
            </numRef>
          </val>
        </ser>
        <gapWidth val="40"/>
        <axId val="10"/>
        <axId val="100"/>
      </barChart>
      <catAx>
        <axId val="10"/>
        <scaling>
          <orientation val="minMax"/>
        </scaling>
        <delete val="0"/>
        <axPos val="l"/>
        <majorTickMark val="none"/>
        <minorTickMark val="none"/>
        <crossAx val="100"/>
        <lblOffset val="100"/>
        <tickLblSkip val="1"/>
        <tickMarkSkip val="1"/>
      </catAx>
      <valAx>
        <axId val="100"/>
        <scaling>
          <orientation val="minMax"/>
        </scaling>
        <delete val="0"/>
        <axPos val="b"/>
        <majorTickMark val="none"/>
        <minorTickMark val="none"/>
        <crossAx val="10"/>
      </valAx>
    </plotArea>
    <plotVisOnly val="1"/>
    <dispBlanksAs val="gap"/>
  </chart>
  <spPr>
    <a:solidFill>
      <a:srgbClr val="FFFFFF"/>
    </a:solidFill>
    <a:ln>
      <a:solidFill>
        <a:srgbClr val="BFBFBF"/>
      </a:solidFill>
      <a:prstDash val="solid"/>
    </a:ln>
  </spPr>
</chartSpace>
</file>

<file path=xl/charts/chart4.xml><?xml version="1.0" encoding="utf-8"?>
<chartSpace xmlns:a="http://schemas.openxmlformats.org/drawingml/2006/main" xmlns="http://schemas.openxmlformats.org/drawingml/2006/chart">
  <chart>
    <title>
      <tx>
        <rich>
          <a:bodyPr/>
          <a:p>
            <a:pPr>
              <a:defRPr/>
            </a:pPr>
            <a:r>
              <a:t>Nach Dokument</a:t>
            </a:r>
          </a:p>
        </rich>
      </tx>
    </title>
    <plotArea>
      <barChart>
        <barDir val="bar"/>
        <grouping val="clustered"/>
        <ser>
          <idx val="0"/>
          <order val="0"/>
          <tx>
            <v>Anforderungen</v>
          </tx>
          <spPr>
            <a:solidFill>
              <a:srgbClr val="7030A0"/>
            </a:solidFill>
            <a:ln>
              <a:prstDash val="solid"/>
            </a:ln>
          </spPr>
          <cat>
            <numRef>
              <f>'Auswertung'!$A$48:$A$53</f>
            </numRef>
          </cat>
          <val>
            <numRef>
              <f>'Auswertung'!$B$48:$B$53</f>
            </numRef>
          </val>
        </ser>
        <gapWidth val="40"/>
        <axId val="10"/>
        <axId val="100"/>
      </barChart>
      <catAx>
        <axId val="10"/>
        <scaling>
          <orientation val="minMax"/>
        </scaling>
        <delete val="0"/>
        <axPos val="l"/>
        <majorTickMark val="none"/>
        <minorTickMark val="none"/>
        <crossAx val="100"/>
        <lblOffset val="100"/>
        <tickLblSkip val="1"/>
        <tickMarkSkip val="1"/>
      </catAx>
      <valAx>
        <axId val="100"/>
        <scaling>
          <orientation val="minMax"/>
        </scaling>
        <delete val="0"/>
        <axPos val="b"/>
        <majorTickMark val="none"/>
        <minorTickMark val="none"/>
        <crossAx val="10"/>
      </valAx>
    </plotArea>
    <plotVisOnly val="1"/>
    <dispBlanksAs val="gap"/>
  </chart>
  <spPr>
    <a:solidFill>
      <a:srgbClr val="FFFFFF"/>
    </a:solidFill>
    <a:ln>
      <a:solidFill>
        <a:srgbClr val="BFBFBF"/>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row>
      <rowOff>0</rowOff>
    </from>
    <ext cx="5220000" cy="29448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22</row>
      <rowOff>0</rowOff>
    </from>
    <ext cx="5220000" cy="288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row>
      <rowOff>0</rowOff>
    </from>
    <ext cx="5220000" cy="40608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28</row>
      <rowOff>0</rowOff>
    </from>
    <ext cx="5220000" cy="2880000"/>
    <graphicFrame>
      <nvGraphicFramePr>
        <cNvPr id="4" name="Chart 4"/>
        <cNvGraphicFramePr/>
      </nvGraphicFramePr>
      <xfrm/>
      <a:graphic>
        <a:graphicData uri="http://schemas.openxmlformats.org/drawingml/2006/chart">
          <c:chart r:id="rId4"/>
        </a:graphicData>
      </a:graphic>
    </graphicFrame>
    <clientData/>
  </oneCellAnchor>
</wsDr>
</file>

<file path=xl/tables/table1.xml><?xml version="1.0" encoding="utf-8"?>
<table xmlns="http://schemas.openxmlformats.org/spreadsheetml/2006/main" id="1" name="tblAnf" displayName="tblAnf" ref="A6:O58" headerRowCount="1">
  <autoFilter ref="A6:O58"/>
  <tableColumns count="15">
    <tableColumn id="1" name="ID"/>
    <tableColumn id="2" name="Dokument"/>
    <tableColumn id="3" name="Fundstelle"/>
    <tableColumn id="4" name="Themenfeld"/>
    <tableColumn id="5" name="Kernaussage"/>
    <tableColumn id="6" name="Anforderung (Originaltext)"/>
    <tableColumn id="7" name="Bemerkung / Klärung"/>
    <tableColumn id="8" name="Partner"/>
    <tableColumn id="9" name="Komponente(n)"/>
    <tableColumn id="10" name="Klärungsbedarf"/>
    <tableColumn id="11" name="Status"/>
    <tableColumn id="12" name="Priorität"/>
    <tableColumn id="13" name="Verantwortlich"/>
    <tableColumn id="14" name="Fällig bis"/>
    <tableColumn id="15" name="Nachweis / Umsetzung"/>
  </tableColumns>
  <tableStyleInfo name="TableStyleLight8"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fitToPage="1"/>
  </sheetPr>
  <dimension ref="A1:B14"/>
  <sheetViews>
    <sheetView showGridLines="0" workbookViewId="0">
      <selection activeCell="A1" sqref="A1"/>
    </sheetView>
  </sheetViews>
  <sheetFormatPr baseColWidth="8" defaultRowHeight="15"/>
  <cols>
    <col width="30" customWidth="1" min="1" max="1"/>
    <col width="14" customWidth="1" min="2" max="2"/>
  </cols>
  <sheetData>
    <row r="1">
      <c r="A1" s="1" t="inlineStr">
        <is>
          <t>Cockpit – Anforderungen Autostrom / LKW-Laden</t>
        </is>
      </c>
    </row>
    <row r="2">
      <c r="A2" s="2" t="inlineStr">
        <is>
          <t>Reservierung, Zufahrt, Entgelte und Nachweise aus der Ausschreibung auf einen Blick</t>
        </is>
      </c>
    </row>
    <row r="3">
      <c r="A3" s="3" t="inlineStr">
        <is>
          <t>Alle Kacheln und Diagramme rechnen live aus dem Register „Anforderungen“.</t>
        </is>
      </c>
    </row>
    <row r="5">
      <c r="A5" s="4" t="inlineStr">
        <is>
          <t>Kennzahl</t>
        </is>
      </c>
      <c r="B5" s="4" t="inlineStr">
        <is>
          <t>Wert</t>
        </is>
      </c>
    </row>
    <row r="6">
      <c r="A6" s="5" t="inlineStr">
        <is>
          <t>Anforderungen gesamt</t>
        </is>
      </c>
      <c r="B6" s="6">
        <f>COUNTA(tblAnf[ID])</f>
        <v/>
      </c>
    </row>
    <row r="7">
      <c r="A7" s="5" t="inlineStr">
        <is>
          <t>mit Klärungsbedarf</t>
        </is>
      </c>
      <c r="B7" s="6">
        <f>COUNTIF(tblAnf[Klärungsbedarf],"ja")</f>
        <v/>
      </c>
    </row>
    <row r="8">
      <c r="A8" s="7" t="inlineStr">
        <is>
          <t>ohne zugeordneten Partner</t>
        </is>
      </c>
      <c r="B8" s="8">
        <f>COUNTIF(tblAnf[Partner],"offen")+COUNTIF(tblAnf[Partner],"*tbd*")</f>
        <v/>
      </c>
    </row>
    <row r="9">
      <c r="A9" s="7" t="inlineStr">
        <is>
          <t>Themenfelder</t>
        </is>
      </c>
      <c r="B9" s="8">
        <f>9</f>
        <v/>
      </c>
    </row>
    <row r="10">
      <c r="A10" s="7" t="inlineStr">
        <is>
          <t>Status offen</t>
        </is>
      </c>
      <c r="B10" s="8">
        <f>COUNTIF(tblAnf[Status],"offen")</f>
        <v/>
      </c>
    </row>
    <row r="11">
      <c r="A11" s="7" t="inlineStr">
        <is>
          <t>Status in Klärung</t>
        </is>
      </c>
      <c r="B11" s="8">
        <f>COUNTIF(tblAnf[Status],"in Klärung")</f>
        <v/>
      </c>
    </row>
    <row r="12">
      <c r="A12" s="7" t="inlineStr">
        <is>
          <t>Status in Umsetzung</t>
        </is>
      </c>
      <c r="B12" s="8">
        <f>COUNTIF(tblAnf[Status],"in Umsetzung")</f>
        <v/>
      </c>
    </row>
    <row r="13">
      <c r="A13" s="7" t="inlineStr">
        <is>
          <t>Status umgesetzt</t>
        </is>
      </c>
      <c r="B13" s="8">
        <f>COUNTIF(tblAnf[Status],"umgesetzt")</f>
        <v/>
      </c>
    </row>
    <row r="14">
      <c r="A14" s="5" t="inlineStr">
        <is>
          <t>Bearbeitungsgrad</t>
        </is>
      </c>
      <c r="B14" s="9">
        <f>IFERROR(COUNTIF(tblAnf[Status],"umgesetzt")/COUNTA(tblAnf[ID]),0)</f>
        <v/>
      </c>
    </row>
  </sheetData>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O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19" customWidth="1" min="2" max="2"/>
    <col width="16" customWidth="1" min="3" max="3"/>
    <col width="24" customWidth="1" min="4" max="4"/>
    <col width="46" customWidth="1" min="5" max="5"/>
    <col width="78" customWidth="1" min="6" max="6"/>
    <col width="34" customWidth="1" min="7" max="7"/>
    <col width="16" customWidth="1" min="8" max="8"/>
    <col width="30" customWidth="1" min="9" max="9"/>
    <col width="13" customWidth="1" min="10" max="10"/>
    <col width="14" customWidth="1" min="11" max="11"/>
    <col width="11" customWidth="1" min="12" max="12"/>
    <col width="18" customWidth="1" min="13" max="13"/>
    <col width="13" customWidth="1" min="14" max="14"/>
    <col width="34" customWidth="1" min="15" max="15"/>
  </cols>
  <sheetData>
    <row r="1">
      <c r="A1" s="1" t="inlineStr">
        <is>
          <t>Anforderungsregister – Autostrom / LKW-Laden</t>
        </is>
      </c>
    </row>
    <row r="2">
      <c r="A2" s="2" t="inlineStr">
        <is>
          <t>Quelle: Betreibervertrag, Vertragsanlagen, Bieterfragen, Anlage 13 (Stand der Auswertung: 08.12.2025)</t>
        </is>
      </c>
    </row>
    <row r="3">
      <c r="A3" s="3" t="inlineStr">
        <is>
          <t>Weiß = Inhalt aus der Ausschreibung (nicht ändern) · Gelb = eigene Steuerung · Grau = automatisch berechnet</t>
        </is>
      </c>
    </row>
    <row r="6" ht="32" customHeight="1">
      <c r="A6" s="10" t="inlineStr">
        <is>
          <t>ID</t>
        </is>
      </c>
      <c r="B6" s="10" t="inlineStr">
        <is>
          <t>Dokument</t>
        </is>
      </c>
      <c r="C6" s="10" t="inlineStr">
        <is>
          <t>Fundstelle</t>
        </is>
      </c>
      <c r="D6" s="10" t="inlineStr">
        <is>
          <t>Themenfeld</t>
        </is>
      </c>
      <c r="E6" s="10" t="inlineStr">
        <is>
          <t>Kernaussage</t>
        </is>
      </c>
      <c r="F6" s="10" t="inlineStr">
        <is>
          <t>Anforderung (Originaltext)</t>
        </is>
      </c>
      <c r="G6" s="10" t="inlineStr">
        <is>
          <t>Bemerkung / Klärung</t>
        </is>
      </c>
      <c r="H6" s="10" t="inlineStr">
        <is>
          <t>Partner</t>
        </is>
      </c>
      <c r="I6" s="10" t="inlineStr">
        <is>
          <t>Komponente(n)</t>
        </is>
      </c>
      <c r="J6" s="10" t="inlineStr">
        <is>
          <t>Klärungsbedarf</t>
        </is>
      </c>
      <c r="K6" s="10" t="inlineStr">
        <is>
          <t>Status</t>
        </is>
      </c>
      <c r="L6" s="10" t="inlineStr">
        <is>
          <t>Priorität</t>
        </is>
      </c>
      <c r="M6" s="10" t="inlineStr">
        <is>
          <t>Verantwortlich</t>
        </is>
      </c>
      <c r="N6" s="10" t="inlineStr">
        <is>
          <t>Fällig bis</t>
        </is>
      </c>
      <c r="O6" s="10" t="inlineStr">
        <is>
          <t>Nachweis / Umsetzung</t>
        </is>
      </c>
    </row>
    <row r="7" ht="92" customHeight="1">
      <c r="A7" s="11" t="inlineStr">
        <is>
          <t>ANF-001</t>
        </is>
      </c>
      <c r="B7" s="12" t="inlineStr">
        <is>
          <t>Anlage 13</t>
        </is>
      </c>
      <c r="C7" s="13" t="inlineStr">
        <is>
          <t>§ 8 (1)</t>
        </is>
      </c>
      <c r="D7" s="13" t="inlineStr">
        <is>
          <t>Reservierung</t>
        </is>
      </c>
      <c r="E7" s="14" t="inlineStr">
        <is>
          <t>Mehrfachbuchungen unterbinden</t>
        </is>
      </c>
      <c r="F7" s="15" t="inlineStr">
        <is>
          <t>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is>
      </c>
      <c r="G7" s="12" t="inlineStr">
        <is>
          <t>identisch zu Paragraph 38 - 1</t>
        </is>
      </c>
      <c r="H7" s="12" t="inlineStr">
        <is>
          <t>eRound</t>
        </is>
      </c>
      <c r="I7" s="12" t="inlineStr">
        <is>
          <t>OCPI Buchungskalender</t>
        </is>
      </c>
      <c r="J7" s="16">
        <f>IF(OR($H7="offen",ISNUMBER(SEARCH("tbd",$H7)),ISNUMBER(SEARCH("?",$G7))),"ja","nein")</f>
        <v/>
      </c>
      <c r="K7" s="17" t="n"/>
      <c r="L7" s="17" t="n"/>
      <c r="M7" s="17" t="n"/>
      <c r="N7" s="18" t="n"/>
      <c r="O7" s="17" t="n"/>
    </row>
    <row r="8" ht="92" customHeight="1">
      <c r="A8" s="11" t="inlineStr">
        <is>
          <t>ANF-002</t>
        </is>
      </c>
      <c r="B8" s="12" t="inlineStr">
        <is>
          <t>Betreibervertrag</t>
        </is>
      </c>
      <c r="C8" s="13" t="inlineStr">
        <is>
          <t>§ 25 (1)</t>
        </is>
      </c>
      <c r="D8" s="13" t="inlineStr">
        <is>
          <t>Reservierung</t>
        </is>
      </c>
      <c r="E8" s="14" t="inlineStr">
        <is>
          <t>OCPI Schnittstelle</t>
        </is>
      </c>
      <c r="F8" s="15" t="inlineStr">
        <is>
          <t>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t>
        </is>
      </c>
      <c r="G8" s="12" t="inlineStr"/>
      <c r="H8" s="12" t="inlineStr">
        <is>
          <t>eRound</t>
        </is>
      </c>
      <c r="I8" s="12" t="inlineStr">
        <is>
          <t>OCPI Buchungskalender</t>
        </is>
      </c>
      <c r="J8" s="16">
        <f>IF(OR($H8="offen",ISNUMBER(SEARCH("tbd",$H8)),ISNUMBER(SEARCH("?",$G8))),"ja","nein")</f>
        <v/>
      </c>
      <c r="K8" s="17" t="n"/>
      <c r="L8" s="17" t="n"/>
      <c r="M8" s="17" t="n"/>
      <c r="N8" s="18" t="n"/>
      <c r="O8" s="17" t="n"/>
    </row>
    <row r="9" ht="92" customHeight="1">
      <c r="A9" s="11" t="inlineStr">
        <is>
          <t>ANF-003</t>
        </is>
      </c>
      <c r="B9" s="12" t="inlineStr">
        <is>
          <t>Betreibervertrag</t>
        </is>
      </c>
      <c r="C9" s="13" t="inlineStr">
        <is>
          <t>§ 25 (2)</t>
        </is>
      </c>
      <c r="D9" s="13" t="inlineStr">
        <is>
          <t>Reservierung</t>
        </is>
      </c>
      <c r="E9" s="14" t="inlineStr">
        <is>
          <t>OCPI Kostenfrei</t>
        </is>
      </c>
      <c r="F9" s="15" t="inlineStr">
        <is>
          <t>Der Auftragnehmer ist verpflichtet, jeder Reservierungsplattform die Anbindung über die in Absatz 1 genannte Schnittstelle kostenfrei zu ermöglichen, soweit die Reservierungsplattform die folgenden Mindestvoraussetzungen erfüllt:</t>
        </is>
      </c>
      <c r="G9" s="12" t="inlineStr"/>
      <c r="H9" s="12" t="inlineStr">
        <is>
          <t>eRound</t>
        </is>
      </c>
      <c r="I9" s="12" t="inlineStr">
        <is>
          <t>OCPI Buchungskalender</t>
        </is>
      </c>
      <c r="J9" s="16">
        <f>IF(OR($H9="offen",ISNUMBER(SEARCH("tbd",$H9)),ISNUMBER(SEARCH("?",$G9))),"ja","nein")</f>
        <v/>
      </c>
      <c r="K9" s="17" t="n"/>
      <c r="L9" s="17" t="n"/>
      <c r="M9" s="17" t="n"/>
      <c r="N9" s="18" t="n"/>
      <c r="O9" s="17" t="n"/>
    </row>
    <row r="10" ht="92" customHeight="1">
      <c r="A10" s="11" t="inlineStr">
        <is>
          <t>ANF-004</t>
        </is>
      </c>
      <c r="B10" s="12" t="inlineStr">
        <is>
          <t>Betreibervertrag</t>
        </is>
      </c>
      <c r="C10" s="13" t="inlineStr">
        <is>
          <t>§ 25 (2) a</t>
        </is>
      </c>
      <c r="D10" s="13" t="inlineStr">
        <is>
          <t>Reservierung</t>
        </is>
      </c>
      <c r="E10" s="14" t="inlineStr">
        <is>
          <t>OCPI Kostenfrei</t>
        </is>
      </c>
      <c r="F10" s="15" t="inlineStr">
        <is>
          <t>Die Reservierungsplattform stellt dem Auftragnehmer für die Anbindung der Reservierungsplattform keine Anbindungskosten in Rechnung</t>
        </is>
      </c>
      <c r="G10" s="12" t="inlineStr"/>
      <c r="H10" s="12" t="inlineStr">
        <is>
          <t>Reservierungsplattform</t>
        </is>
      </c>
      <c r="I10" s="12" t="inlineStr">
        <is>
          <t>Anbindung</t>
        </is>
      </c>
      <c r="J10" s="16">
        <f>IF(OR($H10="offen",ISNUMBER(SEARCH("tbd",$H10)),ISNUMBER(SEARCH("?",$G10))),"ja","nein")</f>
        <v/>
      </c>
      <c r="K10" s="17" t="n"/>
      <c r="L10" s="17" t="n"/>
      <c r="M10" s="17" t="n"/>
      <c r="N10" s="18" t="n"/>
      <c r="O10" s="17" t="n"/>
    </row>
    <row r="11" ht="92" customHeight="1">
      <c r="A11" s="11" t="inlineStr">
        <is>
          <t>ANF-005</t>
        </is>
      </c>
      <c r="B11" s="12" t="inlineStr">
        <is>
          <t>Betreibervertrag</t>
        </is>
      </c>
      <c r="C11" s="13" t="inlineStr">
        <is>
          <t>§ 25 (2) b</t>
        </is>
      </c>
      <c r="D11" s="13" t="inlineStr">
        <is>
          <t>Reservierung</t>
        </is>
      </c>
      <c r="E11" s="14" t="inlineStr">
        <is>
          <t>Anbindung verpflichtend, wenn alle AN angebunden werden oder AG2 auffordert</t>
        </is>
      </c>
      <c r="F11" s="15" t="inlineStr">
        <is>
          <t>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t>
        </is>
      </c>
      <c r="G11" s="12" t="inlineStr"/>
      <c r="H11" s="12" t="inlineStr">
        <is>
          <t>eRound</t>
        </is>
      </c>
      <c r="I11" s="12" t="inlineStr">
        <is>
          <t>OCPI Buchungskalender</t>
        </is>
      </c>
      <c r="J11" s="16">
        <f>IF(OR($H11="offen",ISNUMBER(SEARCH("tbd",$H11)),ISNUMBER(SEARCH("?",$G11))),"ja","nein")</f>
        <v/>
      </c>
      <c r="K11" s="17" t="n"/>
      <c r="L11" s="17" t="n"/>
      <c r="M11" s="17" t="n"/>
      <c r="N11" s="18" t="n"/>
      <c r="O11" s="17" t="n"/>
    </row>
    <row r="12" ht="92" customHeight="1">
      <c r="A12" s="11" t="inlineStr">
        <is>
          <t>ANF-006</t>
        </is>
      </c>
      <c r="B12" s="12" t="inlineStr">
        <is>
          <t>Betreibervertrag</t>
        </is>
      </c>
      <c r="C12" s="13" t="inlineStr">
        <is>
          <t>§ 25 (2) c</t>
        </is>
      </c>
      <c r="D12" s="13" t="inlineStr">
        <is>
          <t>Reservierung</t>
        </is>
      </c>
      <c r="E12" s="14" t="inlineStr">
        <is>
          <t>Reservierung mit Vorlauf von max. 7 Tagen und min. 15 min.
Kostenfreie Stornierung und Änderung bis 30min vorher.
Kennzeichenabgleich zur Unterbindung von Doppelbuchungen.</t>
        </is>
      </c>
      <c r="F12" s="15" t="inlineStr">
        <is>
          <t>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t>
        </is>
      </c>
      <c r="G12" s="12" t="inlineStr"/>
      <c r="H12" s="12" t="inlineStr">
        <is>
          <t>eRound</t>
        </is>
      </c>
      <c r="I12" s="12" t="inlineStr">
        <is>
          <t>OCPI Buchungskalender</t>
        </is>
      </c>
      <c r="J12" s="16">
        <f>IF(OR($H12="offen",ISNUMBER(SEARCH("tbd",$H12)),ISNUMBER(SEARCH("?",$G12))),"ja","nein")</f>
        <v/>
      </c>
      <c r="K12" s="17" t="n"/>
      <c r="L12" s="17" t="n"/>
      <c r="M12" s="17" t="n"/>
      <c r="N12" s="18" t="n"/>
      <c r="O12" s="17" t="n"/>
    </row>
    <row r="13" ht="92" customHeight="1">
      <c r="A13" s="11" t="inlineStr">
        <is>
          <t>ANF-007</t>
        </is>
      </c>
      <c r="B13" s="12" t="inlineStr">
        <is>
          <t>Betreibervertrag</t>
        </is>
      </c>
      <c r="C13" s="13" t="inlineStr">
        <is>
          <t>§ 25 (2) d</t>
        </is>
      </c>
      <c r="D13" s="13" t="inlineStr">
        <is>
          <t>Reservierung</t>
        </is>
      </c>
      <c r="E13" s="14" t="inlineStr">
        <is>
          <t>Entschädigung an AN von der Reservierungsplattform i.H.v. mind. 30€ nach 15/30 min Wartezeit bei No-Show.</t>
        </is>
      </c>
      <c r="F13" s="15" t="inlineStr">
        <is>
          <t>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t>
        </is>
      </c>
      <c r="G13" s="12" t="inlineStr"/>
      <c r="H13" s="12" t="inlineStr">
        <is>
          <t>eRound</t>
        </is>
      </c>
      <c r="I13" s="12" t="inlineStr">
        <is>
          <t>Abrechnungskomponente</t>
        </is>
      </c>
      <c r="J13" s="16">
        <f>IF(OR($H13="offen",ISNUMBER(SEARCH("tbd",$H13)),ISNUMBER(SEARCH("?",$G13))),"ja","nein")</f>
        <v/>
      </c>
      <c r="K13" s="17" t="n"/>
      <c r="L13" s="17" t="n"/>
      <c r="M13" s="17" t="n"/>
      <c r="N13" s="18" t="n"/>
      <c r="O13" s="17" t="n"/>
    </row>
    <row r="14" ht="92" customHeight="1">
      <c r="A14" s="11" t="inlineStr">
        <is>
          <t>ANF-008</t>
        </is>
      </c>
      <c r="B14" s="12" t="inlineStr">
        <is>
          <t>Betreibervertrag</t>
        </is>
      </c>
      <c r="C14" s="13" t="inlineStr">
        <is>
          <t>§ 25 (3)</t>
        </is>
      </c>
      <c r="D14" s="13" t="inlineStr">
        <is>
          <t>Reservierung</t>
        </is>
      </c>
      <c r="E14" s="14" t="inlineStr">
        <is>
          <t>Anpassung an Marktstandards mit 2 Monaten Vorlauf.</t>
        </is>
      </c>
      <c r="F14" s="15" t="inlineStr">
        <is>
          <t>Der Auftraggeber 2 ist berechtigt, die in Absatz 2 definierten Mindestvoraussetzungen im Fall abweichender Marktstandards mit einer Vorlaufzeit von zwei Monaten anzupassen</t>
        </is>
      </c>
      <c r="G14" s="12" t="inlineStr"/>
      <c r="H14" s="12" t="inlineStr">
        <is>
          <t>eRound</t>
        </is>
      </c>
      <c r="I14" s="12" t="inlineStr">
        <is>
          <t>OCPI Buchungskalender</t>
        </is>
      </c>
      <c r="J14" s="16">
        <f>IF(OR($H14="offen",ISNUMBER(SEARCH("tbd",$H14)),ISNUMBER(SEARCH("?",$G14))),"ja","nein")</f>
        <v/>
      </c>
      <c r="K14" s="17" t="n"/>
      <c r="L14" s="17" t="n"/>
      <c r="M14" s="17" t="n"/>
      <c r="N14" s="18" t="n"/>
      <c r="O14" s="17" t="n"/>
    </row>
    <row r="15" ht="92" customHeight="1">
      <c r="A15" s="11" t="inlineStr">
        <is>
          <t>ANF-009</t>
        </is>
      </c>
      <c r="B15" s="12" t="inlineStr">
        <is>
          <t>Betreibervertrag</t>
        </is>
      </c>
      <c r="C15" s="13" t="inlineStr">
        <is>
          <t>§ 25 (4)</t>
        </is>
      </c>
      <c r="D15" s="13" t="inlineStr">
        <is>
          <t>Reservierung</t>
        </is>
      </c>
      <c r="E15" s="14" t="inlineStr">
        <is>
          <t>Ladepunkte an einem Standort können von der Reservierung ausgenommen werden.</t>
        </is>
      </c>
      <c r="F15" s="15" t="inlineStr">
        <is>
          <t>Der Auftragnehmer kann CCS- und MCS-Ladepunkten an einem Standort von der Reservierungsmöglichkeit ausnehmen.</t>
        </is>
      </c>
      <c r="G15" s="12" t="inlineStr"/>
      <c r="H15" s="12" t="inlineStr">
        <is>
          <t>eRound</t>
        </is>
      </c>
      <c r="I15" s="12" t="inlineStr">
        <is>
          <t>OCPI Buchungskalender</t>
        </is>
      </c>
      <c r="J15" s="16">
        <f>IF(OR($H15="offen",ISNUMBER(SEARCH("tbd",$H15)),ISNUMBER(SEARCH("?",$G15))),"ja","nein")</f>
        <v/>
      </c>
      <c r="K15" s="17" t="n"/>
      <c r="L15" s="17" t="n"/>
      <c r="M15" s="17" t="n"/>
      <c r="N15" s="18" t="n"/>
      <c r="O15" s="17" t="n"/>
    </row>
    <row r="16" ht="92" customHeight="1">
      <c r="A16" s="11" t="inlineStr">
        <is>
          <t>ANF-010</t>
        </is>
      </c>
      <c r="B16" s="12" t="inlineStr">
        <is>
          <t>Betreibervertrag</t>
        </is>
      </c>
      <c r="C16" s="13" t="inlineStr">
        <is>
          <t>§ 25 (5)</t>
        </is>
      </c>
      <c r="D16" s="13" t="inlineStr">
        <is>
          <t>Zufahrt &amp; Schranke</t>
        </is>
      </c>
      <c r="E16" s="14" t="inlineStr">
        <is>
          <t>Bauliche Maßnahme zur Reservierung an jedem Ladepunkt.</t>
        </is>
      </c>
      <c r="F16" s="15" t="inlineStr">
        <is>
          <t>Der Auftragnehmer hat geeignete Vorkehrungen, insbesondere die in Vertragsanlage 4: Leistungsbeschreibung Errichtung vorgesehenen baulichen Maßnahmen, zu treffen, um ein anderweitiges Laden an dem Ladepunkt der Ladeeinrichtung während des reservierten Zeitraums zu verhindern.</t>
        </is>
      </c>
      <c r="G16" s="12" t="inlineStr">
        <is>
          <t>Schrankensteuerung</t>
        </is>
      </c>
      <c r="H16" s="12" t="inlineStr">
        <is>
          <t>tbd</t>
        </is>
      </c>
      <c r="I16" s="12" t="inlineStr">
        <is>
          <t>Schrankenanlage</t>
        </is>
      </c>
      <c r="J16" s="16">
        <f>IF(OR($H16="offen",ISNUMBER(SEARCH("tbd",$H16)),ISNUMBER(SEARCH("?",$G16))),"ja","nein")</f>
        <v/>
      </c>
      <c r="K16" s="17" t="n"/>
      <c r="L16" s="17" t="n"/>
      <c r="M16" s="17" t="n"/>
      <c r="N16" s="18" t="n"/>
      <c r="O16" s="17" t="n"/>
    </row>
    <row r="17" ht="92" customHeight="1">
      <c r="A17" s="11" t="inlineStr">
        <is>
          <t>ANF-011</t>
        </is>
      </c>
      <c r="B17" s="12" t="inlineStr">
        <is>
          <t>Betreibervertrag</t>
        </is>
      </c>
      <c r="C17" s="13" t="inlineStr">
        <is>
          <t>§ 25 (6)</t>
        </is>
      </c>
      <c r="D17" s="13" t="inlineStr">
        <is>
          <t>Reservierung</t>
        </is>
      </c>
      <c r="E17" s="14" t="inlineStr">
        <is>
          <t>Mindestens 40% der Ladepunkte müssen reserviert werden können.</t>
        </is>
      </c>
      <c r="F17" s="15" t="inlineStr">
        <is>
          <t>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t>
        </is>
      </c>
      <c r="G17" s="12" t="inlineStr">
        <is>
          <t>40% der Ladepunkte nicht reservierbar</t>
        </is>
      </c>
      <c r="H17" s="12" t="inlineStr">
        <is>
          <t>eRound</t>
        </is>
      </c>
      <c r="I17" s="12" t="inlineStr">
        <is>
          <t>OCPI Buchungskalender</t>
        </is>
      </c>
      <c r="J17" s="16">
        <f>IF(OR($H17="offen",ISNUMBER(SEARCH("tbd",$H17)),ISNUMBER(SEARCH("?",$G17))),"ja","nein")</f>
        <v/>
      </c>
      <c r="K17" s="17" t="n"/>
      <c r="L17" s="17" t="n"/>
      <c r="M17" s="17" t="n"/>
      <c r="N17" s="18" t="n"/>
      <c r="O17" s="17" t="n"/>
    </row>
    <row r="18" ht="92" customHeight="1">
      <c r="A18" s="11" t="inlineStr">
        <is>
          <t>ANF-012</t>
        </is>
      </c>
      <c r="B18" s="12" t="inlineStr">
        <is>
          <t>Betreibervertrag</t>
        </is>
      </c>
      <c r="C18" s="13" t="inlineStr">
        <is>
          <t>§ 31 (1)</t>
        </is>
      </c>
      <c r="D18" s="13" t="inlineStr">
        <is>
          <t>Authentifizierung &amp; Zugang</t>
        </is>
      </c>
      <c r="E18" s="14" t="inlineStr">
        <is>
          <t>Es muss Adhoc geladen werden können</t>
        </is>
      </c>
      <c r="F18" s="15" t="inlineStr">
        <is>
          <t>Der Auftragnehmer ist verpflichtet, potenziellen Endnutzern diskriminierungsfrei zu angemessenen Bedingungen ein Ad-hoc-Laden (punktuelles Aufladen i. S. d. AFIR) zu ermöglichen, soweit 
es ihm zumutbar ist (z. B. mit Blick auf die Bonität des Endnutzers).</t>
        </is>
      </c>
      <c r="G18" s="12" t="inlineStr">
        <is>
          <t>Adhoc muss möglich sein -&gt; Schranke -&gt; wie?</t>
        </is>
      </c>
      <c r="H18" s="12" t="inlineStr">
        <is>
          <t>eRound / tbd</t>
        </is>
      </c>
      <c r="I18" s="12" t="inlineStr">
        <is>
          <t>Authentifizierungskomponente / Schrankensteuerung</t>
        </is>
      </c>
      <c r="J18" s="16">
        <f>IF(OR($H18="offen",ISNUMBER(SEARCH("tbd",$H18)),ISNUMBER(SEARCH("?",$G18))),"ja","nein")</f>
        <v/>
      </c>
      <c r="K18" s="17" t="n"/>
      <c r="L18" s="17" t="n"/>
      <c r="M18" s="17" t="n"/>
      <c r="N18" s="18" t="n"/>
      <c r="O18" s="17" t="n"/>
    </row>
    <row r="19" ht="92" customHeight="1">
      <c r="A19" s="11" t="inlineStr">
        <is>
          <t>ANF-013</t>
        </is>
      </c>
      <c r="B19" s="12" t="inlineStr">
        <is>
          <t>Betreibervertrag</t>
        </is>
      </c>
      <c r="C19" s="13" t="inlineStr">
        <is>
          <t>§ 38 (1)</t>
        </is>
      </c>
      <c r="D19" s="13" t="inlineStr">
        <is>
          <t>Nutzungszeit &amp; Entgelte</t>
        </is>
      </c>
      <c r="E19" s="14" t="inlineStr">
        <is>
          <t>Blockadeentgelte und maximale Nutzungsdauer</t>
        </is>
      </c>
      <c r="F19" s="15" t="inlineStr">
        <is>
          <t>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t>
        </is>
      </c>
      <c r="G19" s="12" t="inlineStr">
        <is>
          <t>Schnittstelle Nutzungszeit</t>
        </is>
      </c>
      <c r="H19" s="12" t="inlineStr">
        <is>
          <t>eRound</t>
        </is>
      </c>
      <c r="I19" s="12" t="inlineStr">
        <is>
          <t>OCPI Buchungskalender</t>
        </is>
      </c>
      <c r="J19" s="16">
        <f>IF(OR($H19="offen",ISNUMBER(SEARCH("tbd",$H19)),ISNUMBER(SEARCH("?",$G19))),"ja","nein")</f>
        <v/>
      </c>
      <c r="K19" s="17" t="n"/>
      <c r="L19" s="17" t="n"/>
      <c r="M19" s="17" t="n"/>
      <c r="N19" s="18" t="n"/>
      <c r="O19" s="17" t="n"/>
    </row>
    <row r="20" ht="92" customHeight="1">
      <c r="A20" s="11" t="inlineStr">
        <is>
          <t>ANF-014</t>
        </is>
      </c>
      <c r="B20" s="12" t="inlineStr">
        <is>
          <t>Betreibervertrag</t>
        </is>
      </c>
      <c r="C20" s="13" t="inlineStr">
        <is>
          <t>§ 38 (1) a</t>
        </is>
      </c>
      <c r="D20" s="13" t="inlineStr">
        <is>
          <t>Nutzungszeit &amp; Entgelte</t>
        </is>
      </c>
      <c r="E20" s="14" t="inlineStr">
        <is>
          <t>Maximale Nutzungsdauer Zwischenladen ist 1h.</t>
        </is>
      </c>
      <c r="F20" s="15" t="inlineStr">
        <is>
          <t>bei MCS-Ladepunkten und CCS-Ladepunkten zum Zwischenladen 1 Stunde.</t>
        </is>
      </c>
      <c r="G20" s="12" t="inlineStr">
        <is>
          <t>Schnittstelle Nutzungszeit</t>
        </is>
      </c>
      <c r="H20" s="12" t="inlineStr">
        <is>
          <t>eRound</t>
        </is>
      </c>
      <c r="I20" s="12" t="inlineStr">
        <is>
          <t>OCPI Buchungskalender</t>
        </is>
      </c>
      <c r="J20" s="16">
        <f>IF(OR($H20="offen",ISNUMBER(SEARCH("tbd",$H20)),ISNUMBER(SEARCH("?",$G20))),"ja","nein")</f>
        <v/>
      </c>
      <c r="K20" s="17" t="n"/>
      <c r="L20" s="17" t="n"/>
      <c r="M20" s="17" t="n"/>
      <c r="N20" s="18" t="n"/>
      <c r="O20" s="17" t="n"/>
    </row>
    <row r="21" ht="92" customHeight="1">
      <c r="A21" s="11" t="inlineStr">
        <is>
          <t>ANF-015</t>
        </is>
      </c>
      <c r="B21" s="12" t="inlineStr">
        <is>
          <t>Betreibervertrag</t>
        </is>
      </c>
      <c r="C21" s="13" t="inlineStr">
        <is>
          <t>§ 38 (1) b</t>
        </is>
      </c>
      <c r="D21" s="13" t="inlineStr">
        <is>
          <t>Nutzungszeit &amp; Entgelte</t>
        </is>
      </c>
      <c r="E21" s="14" t="inlineStr">
        <is>
          <t>Maximale Nutzungsdauer Übernachtladen ist 12h.</t>
        </is>
      </c>
      <c r="F21" s="15" t="inlineStr">
        <is>
          <t>bei CCS-Ladepunkten zum Übernachtladen und MCS- oder CCS-Ladepunkte zum Zwischenladen, die zum Übernachtladen freigegeben wurden, 12 Stunden.</t>
        </is>
      </c>
      <c r="G21" s="12" t="inlineStr">
        <is>
          <t>Schnittstelle Nutzungszeit</t>
        </is>
      </c>
      <c r="H21" s="12" t="inlineStr">
        <is>
          <t>eRound</t>
        </is>
      </c>
      <c r="I21" s="12" t="inlineStr">
        <is>
          <t>OCPI Buchungskalender</t>
        </is>
      </c>
      <c r="J21" s="16">
        <f>IF(OR($H21="offen",ISNUMBER(SEARCH("tbd",$H21)),ISNUMBER(SEARCH("?",$G21))),"ja","nein")</f>
        <v/>
      </c>
      <c r="K21" s="17" t="n"/>
      <c r="L21" s="17" t="n"/>
      <c r="M21" s="17" t="n"/>
      <c r="N21" s="18" t="n"/>
      <c r="O21" s="17" t="n"/>
    </row>
    <row r="22" ht="92" customHeight="1">
      <c r="A22" s="11" t="inlineStr">
        <is>
          <t>ANF-016</t>
        </is>
      </c>
      <c r="B22" s="12" t="inlineStr">
        <is>
          <t>Betreibervertrag</t>
        </is>
      </c>
      <c r="C22" s="13" t="inlineStr">
        <is>
          <t>§ 38 (2)</t>
        </is>
      </c>
      <c r="D22" s="13" t="inlineStr">
        <is>
          <t>Nutzungszeit &amp; Entgelte</t>
        </is>
      </c>
      <c r="E22" s="14" t="inlineStr">
        <is>
          <t>Bei nidriger Auslastung kann die maximale Nutzungszeit vom AN verlängert werden.
Bei nachfolgender Reservierung kann die maximale Nutzungszeit verkürzt werden.
Bei Verkürzung zusätzliche Karenzzeit vor Blockadeentgeld von 5min.</t>
        </is>
      </c>
      <c r="F22" s="15" t="inlineStr">
        <is>
          <t>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t>
        </is>
      </c>
      <c r="G22" s="12" t="inlineStr">
        <is>
          <t>SCS: Reaktionszeit System</t>
        </is>
      </c>
      <c r="H22" s="12" t="inlineStr">
        <is>
          <t>eRound</t>
        </is>
      </c>
      <c r="I22" s="12" t="inlineStr">
        <is>
          <t>OCPI Buchungskalender</t>
        </is>
      </c>
      <c r="J22" s="16">
        <f>IF(OR($H22="offen",ISNUMBER(SEARCH("tbd",$H22)),ISNUMBER(SEARCH("?",$G22))),"ja","nein")</f>
        <v/>
      </c>
      <c r="K22" s="17" t="n"/>
      <c r="L22" s="17" t="n"/>
      <c r="M22" s="17" t="n"/>
      <c r="N22" s="18" t="n"/>
      <c r="O22" s="17" t="n"/>
    </row>
    <row r="23" ht="92" customHeight="1">
      <c r="A23" s="11" t="inlineStr">
        <is>
          <t>ANF-017</t>
        </is>
      </c>
      <c r="B23" s="12" t="inlineStr">
        <is>
          <t>Betreibervertrag</t>
        </is>
      </c>
      <c r="C23" s="13" t="inlineStr">
        <is>
          <t>§ 38 (3)</t>
        </is>
      </c>
      <c r="D23" s="13" t="inlineStr">
        <is>
          <t>Nutzungszeit &amp; Entgelte</t>
        </is>
      </c>
      <c r="E23" s="14" t="inlineStr">
        <is>
          <t>Maximale Nutzungszeit endet mit Ablauf Reservierung.
Maximale Nutzungsdauer kann vom AN verlängert werden.</t>
        </is>
      </c>
      <c r="F23" s="15" t="inlineStr">
        <is>
          <t>Hat ein Mobilitätsdienstleister einen Ladepunkt reserviert, so endet die maximale Nutzungszeit mit dem Ablauf des reservierten Zeitraums, auch wenn der Ladeplatz erst später belegt wurde, es sei denn, der Betreiber räumt ihm eine längere maximale Nutzungszeit ein.</t>
        </is>
      </c>
      <c r="G23" s="12" t="inlineStr"/>
      <c r="H23" s="12" t="inlineStr">
        <is>
          <t>eRound</t>
        </is>
      </c>
      <c r="I23" s="12" t="inlineStr">
        <is>
          <t>OCPI Buchungskalender</t>
        </is>
      </c>
      <c r="J23" s="16">
        <f>IF(OR($H23="offen",ISNUMBER(SEARCH("tbd",$H23)),ISNUMBER(SEARCH("?",$G23))),"ja","nein")</f>
        <v/>
      </c>
      <c r="K23" s="17" t="n"/>
      <c r="L23" s="17" t="n"/>
      <c r="M23" s="17" t="n"/>
      <c r="N23" s="18" t="n"/>
      <c r="O23" s="17" t="n"/>
    </row>
    <row r="24" ht="92" customHeight="1">
      <c r="A24" s="11" t="inlineStr">
        <is>
          <t>ANF-018</t>
        </is>
      </c>
      <c r="B24" s="12" t="inlineStr">
        <is>
          <t>Betreibervertrag</t>
        </is>
      </c>
      <c r="C24" s="13" t="inlineStr">
        <is>
          <t>§ 38 (4)</t>
        </is>
      </c>
      <c r="D24" s="13" t="inlineStr">
        <is>
          <t>Nutzungszeit &amp; Entgelte</t>
        </is>
      </c>
      <c r="E24" s="14" t="inlineStr">
        <is>
          <t>Ladestart 15min Wartezeit
Blockadeentgeld
ggf. Pönalisierung
Entfall maximale Nutzungsdauer</t>
        </is>
      </c>
      <c r="F24" s="15" t="inlineStr">
        <is>
          <t>Wird ein Ladevorgang nicht innerhalb von 15 Minuten nach Besetzung des Stellplatzes gestartet, entfällt die maximale Nutzungszeit und es kann ein Blockadeentgelt erhoben werden.</t>
        </is>
      </c>
      <c r="G24" s="12" t="inlineStr"/>
      <c r="H24" s="12" t="inlineStr">
        <is>
          <t>eRound / SCS</t>
        </is>
      </c>
      <c r="I24" s="12" t="inlineStr">
        <is>
          <t>OCPI Buchungskalender / Abrechnungskomponente / Belegungsdetektion / Pönalisierungssystem</t>
        </is>
      </c>
      <c r="J24" s="16">
        <f>IF(OR($H24="offen",ISNUMBER(SEARCH("tbd",$H24)),ISNUMBER(SEARCH("?",$G24))),"ja","nein")</f>
        <v/>
      </c>
      <c r="K24" s="17" t="n"/>
      <c r="L24" s="17" t="n"/>
      <c r="M24" s="17" t="n"/>
      <c r="N24" s="18" t="n"/>
      <c r="O24" s="17" t="n"/>
    </row>
    <row r="25" ht="92" customHeight="1">
      <c r="A25" s="11" t="inlineStr">
        <is>
          <t>ANF-019</t>
        </is>
      </c>
      <c r="B25" s="12" t="inlineStr">
        <is>
          <t>Betreibervertrag</t>
        </is>
      </c>
      <c r="C25" s="13" t="inlineStr">
        <is>
          <t>§ 38 (5)</t>
        </is>
      </c>
      <c r="D25" s="13" t="inlineStr">
        <is>
          <t>Nutzungszeit &amp; Entgelte</t>
        </is>
      </c>
      <c r="E25" s="14" t="inlineStr">
        <is>
          <t>Kein Blockadeentgeld während Nachtruhezeiten, Sonn- und Feiertage der Bundesländer.</t>
        </is>
      </c>
      <c r="F25" s="15" t="inlineStr">
        <is>
          <t>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t>
        </is>
      </c>
      <c r="G25" s="12" t="inlineStr">
        <is>
          <t>Einfluss auf Reservierung?</t>
        </is>
      </c>
      <c r="H25" s="12" t="inlineStr">
        <is>
          <t>eRound</t>
        </is>
      </c>
      <c r="I25" s="12" t="inlineStr">
        <is>
          <t>OCPI Buchungskalender</t>
        </is>
      </c>
      <c r="J25" s="16">
        <f>IF(OR($H25="offen",ISNUMBER(SEARCH("tbd",$H25)),ISNUMBER(SEARCH("?",$G25))),"ja","nein")</f>
        <v/>
      </c>
      <c r="K25" s="17" t="n"/>
      <c r="L25" s="17" t="n"/>
      <c r="M25" s="17" t="n"/>
      <c r="N25" s="18" t="n"/>
      <c r="O25" s="17" t="n"/>
    </row>
    <row r="26" ht="92" customHeight="1">
      <c r="A26" s="11" t="inlineStr">
        <is>
          <t>ANF-020</t>
        </is>
      </c>
      <c r="B26" s="12" t="inlineStr">
        <is>
          <t>Betreibervertrag</t>
        </is>
      </c>
      <c r="C26" s="13" t="inlineStr">
        <is>
          <t>§ 38 (6)</t>
        </is>
      </c>
      <c r="D26" s="13" t="inlineStr">
        <is>
          <t>Nutzungszeit &amp; Entgelte</t>
        </is>
      </c>
      <c r="E26" s="14" t="inlineStr">
        <is>
          <t>Blockadeentgeld Höhe 0,50€ / 0,15€ pro Min.</t>
        </is>
      </c>
      <c r="F26" s="15" t="inlineStr">
        <is>
          <t>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t>
        </is>
      </c>
      <c r="G26" s="12" t="inlineStr"/>
      <c r="H26" s="12" t="inlineStr">
        <is>
          <t>eRound</t>
        </is>
      </c>
      <c r="I26" s="12" t="inlineStr">
        <is>
          <t>Abrechnungskomponente</t>
        </is>
      </c>
      <c r="J26" s="16">
        <f>IF(OR($H26="offen",ISNUMBER(SEARCH("tbd",$H26)),ISNUMBER(SEARCH("?",$G26))),"ja","nein")</f>
        <v/>
      </c>
      <c r="K26" s="17" t="n"/>
      <c r="L26" s="17" t="n"/>
      <c r="M26" s="17" t="n"/>
      <c r="N26" s="18" t="n"/>
      <c r="O26" s="17" t="n"/>
    </row>
    <row r="27" ht="92" customHeight="1">
      <c r="A27" s="11" t="inlineStr">
        <is>
          <t>ANF-021</t>
        </is>
      </c>
      <c r="B27" s="12" t="inlineStr">
        <is>
          <t>Betreibervertrag</t>
        </is>
      </c>
      <c r="C27" s="13" t="inlineStr">
        <is>
          <t>§ 38 (7)</t>
        </is>
      </c>
      <c r="D27" s="13" t="inlineStr">
        <is>
          <t>Nutzungszeit &amp; Entgelte</t>
        </is>
      </c>
      <c r="E27" s="14" t="inlineStr">
        <is>
          <t>Änderungen an maximaler Nutzungsdauer, Blockadeentgelt und Sperrzeiten mit Vorlauf möglich.</t>
        </is>
      </c>
      <c r="F27" s="15" t="inlineStr">
        <is>
          <t>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t>
        </is>
      </c>
      <c r="G27" s="12" t="inlineStr"/>
      <c r="H27" s="12" t="inlineStr">
        <is>
          <t>eRound</t>
        </is>
      </c>
      <c r="I27" s="12" t="inlineStr">
        <is>
          <t>Abrechnungskomponente</t>
        </is>
      </c>
      <c r="J27" s="16">
        <f>IF(OR($H27="offen",ISNUMBER(SEARCH("tbd",$H27)),ISNUMBER(SEARCH("?",$G27))),"ja","nein")</f>
        <v/>
      </c>
      <c r="K27" s="17" t="n"/>
      <c r="L27" s="17" t="n"/>
      <c r="M27" s="17" t="n"/>
      <c r="N27" s="18" t="n"/>
      <c r="O27" s="17" t="n"/>
    </row>
    <row r="28" ht="92" customHeight="1">
      <c r="A28" s="11" t="inlineStr">
        <is>
          <t>ANF-022</t>
        </is>
      </c>
      <c r="B28" s="12" t="inlineStr">
        <is>
          <t>Betreibervertrag</t>
        </is>
      </c>
      <c r="C28" s="13" t="inlineStr">
        <is>
          <t>§ 38 (8)</t>
        </is>
      </c>
      <c r="D28" s="13" t="inlineStr">
        <is>
          <t>Nutzungszeit &amp; Entgelte</t>
        </is>
      </c>
      <c r="E28" s="14" t="inlineStr">
        <is>
          <t>Mindestabnahmemenge und Vergütung bei Unterschreitung.</t>
        </is>
      </c>
      <c r="F28" s="15" t="inlineStr">
        <is>
          <t>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t>
        </is>
      </c>
      <c r="G28" s="12" t="inlineStr"/>
      <c r="H28" s="12" t="inlineStr">
        <is>
          <t>eRound</t>
        </is>
      </c>
      <c r="I28" s="12" t="inlineStr">
        <is>
          <t>Abrechnungskomponente</t>
        </is>
      </c>
      <c r="J28" s="16">
        <f>IF(OR($H28="offen",ISNUMBER(SEARCH("tbd",$H28)),ISNUMBER(SEARCH("?",$G28))),"ja","nein")</f>
        <v/>
      </c>
      <c r="K28" s="17" t="n"/>
      <c r="L28" s="17" t="n"/>
      <c r="M28" s="17" t="n"/>
      <c r="N28" s="18" t="n"/>
      <c r="O28" s="17" t="n"/>
    </row>
    <row r="29" ht="92" customHeight="1">
      <c r="A29" s="11" t="inlineStr">
        <is>
          <t>ANF-023</t>
        </is>
      </c>
      <c r="B29" s="12" t="inlineStr">
        <is>
          <t>Betreibervertrag</t>
        </is>
      </c>
      <c r="C29" s="13" t="inlineStr">
        <is>
          <t>§ 38 (9)</t>
        </is>
      </c>
      <c r="D29" s="13" t="inlineStr">
        <is>
          <t>Nutzungszeit &amp; Entgelte</t>
        </is>
      </c>
      <c r="E29" s="14" t="inlineStr">
        <is>
          <t>Warnung NutzerIn vor Blockadeentgeld</t>
        </is>
      </c>
      <c r="F29" s="15" t="inlineStr">
        <is>
          <t>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t>
        </is>
      </c>
      <c r="G29" s="12" t="inlineStr">
        <is>
          <t>ggf. Mitteilung?</t>
        </is>
      </c>
      <c r="H29" s="12" t="inlineStr">
        <is>
          <t>eRound / tbd</t>
        </is>
      </c>
      <c r="I29" s="12" t="inlineStr">
        <is>
          <t>Abrechnungskomponente / Beschilderung</t>
        </is>
      </c>
      <c r="J29" s="16">
        <f>IF(OR($H29="offen",ISNUMBER(SEARCH("tbd",$H29)),ISNUMBER(SEARCH("?",$G29))),"ja","nein")</f>
        <v/>
      </c>
      <c r="K29" s="17" t="n"/>
      <c r="L29" s="17" t="n"/>
      <c r="M29" s="17" t="n"/>
      <c r="N29" s="18" t="n"/>
      <c r="O29" s="17" t="n"/>
    </row>
    <row r="30" ht="92" customHeight="1">
      <c r="A30" s="11" t="inlineStr">
        <is>
          <t>ANF-024</t>
        </is>
      </c>
      <c r="B30" s="12" t="inlineStr">
        <is>
          <t>Betreibervertrag</t>
        </is>
      </c>
      <c r="C30" s="13" t="inlineStr">
        <is>
          <t>§ 42 (5)</t>
        </is>
      </c>
      <c r="D30" s="13" t="inlineStr">
        <is>
          <t>Betrieb &amp; Auslastung</t>
        </is>
      </c>
      <c r="E30" s="14" t="inlineStr">
        <is>
          <t>Updates verpflichtend.</t>
        </is>
      </c>
      <c r="F30" s="15" t="inlineStr">
        <is>
          <t>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t>
        </is>
      </c>
      <c r="G30" s="12" t="inlineStr"/>
      <c r="H30" s="12" t="inlineStr">
        <is>
          <t>Aplitronic</t>
        </is>
      </c>
      <c r="I30" s="12" t="inlineStr">
        <is>
          <t>Ladeeinrichtung</t>
        </is>
      </c>
      <c r="J30" s="16">
        <f>IF(OR($H30="offen",ISNUMBER(SEARCH("tbd",$H30)),ISNUMBER(SEARCH("?",$G30))),"ja","nein")</f>
        <v/>
      </c>
      <c r="K30" s="17" t="n"/>
      <c r="L30" s="17" t="n"/>
      <c r="M30" s="17" t="n"/>
      <c r="N30" s="18" t="n"/>
      <c r="O30" s="17" t="n"/>
    </row>
    <row r="31" ht="92" customHeight="1">
      <c r="A31" s="11" t="inlineStr">
        <is>
          <t>ANF-025</t>
        </is>
      </c>
      <c r="B31" s="12" t="inlineStr">
        <is>
          <t>Betreibervertrag</t>
        </is>
      </c>
      <c r="C31" s="13" t="inlineStr">
        <is>
          <t>§ 22 (3)</t>
        </is>
      </c>
      <c r="D31" s="13" t="inlineStr">
        <is>
          <t>Betrieb &amp; Auslastung</t>
        </is>
      </c>
      <c r="E31" s="14" t="inlineStr">
        <is>
          <t>Bei nidriger Auslastung:
Zwischenladepunkte können zwischen 17 und 6 Uhr für Übernachtladen freigegeben werden.
Aber mind. 40% Zwischenladepunkte, aber mind. 2 MCS und 1 CCS.</t>
        </is>
      </c>
      <c r="F31" s="15" t="inlineStr">
        <is>
          <t>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t>
        </is>
      </c>
      <c r="G31" s="12" t="inlineStr">
        <is>
          <t>40% Zwischenladen</t>
        </is>
      </c>
      <c r="H31" s="12" t="inlineStr">
        <is>
          <t>eRound / SCS</t>
        </is>
      </c>
      <c r="I31" s="12" t="inlineStr">
        <is>
          <t>OCPI Buchungskalender / Dynamische Anzeige</t>
        </is>
      </c>
      <c r="J31" s="16">
        <f>IF(OR($H31="offen",ISNUMBER(SEARCH("tbd",$H31)),ISNUMBER(SEARCH("?",$G31))),"ja","nein")</f>
        <v/>
      </c>
      <c r="K31" s="17" t="n"/>
      <c r="L31" s="17" t="n"/>
      <c r="M31" s="17" t="n"/>
      <c r="N31" s="18" t="n"/>
      <c r="O31" s="17" t="n"/>
    </row>
    <row r="32" ht="92" customHeight="1">
      <c r="A32" s="11" t="inlineStr">
        <is>
          <t>ANF-026</t>
        </is>
      </c>
      <c r="B32" s="12" t="inlineStr">
        <is>
          <t>Betreibervertrag</t>
        </is>
      </c>
      <c r="C32" s="13" t="inlineStr">
        <is>
          <t>§ 4 (52)</t>
        </is>
      </c>
      <c r="D32" s="13" t="inlineStr">
        <is>
          <t>Reservierung</t>
        </is>
      </c>
      <c r="E32" s="14" t="inlineStr">
        <is>
          <t>Mindestens AN plus ein weiterer.</t>
        </is>
      </c>
      <c r="F32" s="15" t="inlineStr">
        <is>
          <t>"Reservierungssystem“: Ein System zur Reservierung von Ladepunkten, das Mobilitätsdienstleistern ermöglicht, Ladepunkte bei dem Auftragnehmer und mindestens einem weiteren Ladepunktbetreiber zu reservieren.</t>
        </is>
      </c>
      <c r="G32" s="12" t="inlineStr">
        <is>
          <t>Mehr als 1 Anbieter</t>
        </is>
      </c>
      <c r="H32" s="12" t="inlineStr">
        <is>
          <t>Reservierungsplattform</t>
        </is>
      </c>
      <c r="I32" s="12" t="inlineStr">
        <is>
          <t>Anbindung</t>
        </is>
      </c>
      <c r="J32" s="16">
        <f>IF(OR($H32="offen",ISNUMBER(SEARCH("tbd",$H32)),ISNUMBER(SEARCH("?",$G32))),"ja","nein")</f>
        <v/>
      </c>
      <c r="K32" s="17" t="n"/>
      <c r="L32" s="17" t="n"/>
      <c r="M32" s="17" t="n"/>
      <c r="N32" s="18" t="n"/>
      <c r="O32" s="17" t="n"/>
    </row>
    <row r="33" ht="92" customHeight="1">
      <c r="A33" s="11" t="inlineStr">
        <is>
          <t>ANF-027</t>
        </is>
      </c>
      <c r="B33" s="12" t="inlineStr">
        <is>
          <t>Bieterfrage</t>
        </is>
      </c>
      <c r="C33" s="13" t="inlineStr">
        <is>
          <t>§ 351</t>
        </is>
      </c>
      <c r="D33" s="13" t="inlineStr">
        <is>
          <t>Belegungsdetektion</t>
        </is>
      </c>
      <c r="E33" s="14" t="inlineStr">
        <is>
          <t>Belegungsdetektion ist gefordert.</t>
        </is>
      </c>
      <c r="F33" s="15" t="inlineStr">
        <is>
          <t>Nein, auch bei installierten Zufahrtsbeschränkungen sind Sensoren als Redundanz zum Zweck der Detektion des Belegungsstatus des Ladeplatzes vorzusehen.</t>
        </is>
      </c>
      <c r="G33" s="12" t="inlineStr"/>
      <c r="H33" s="12" t="inlineStr">
        <is>
          <t>SCS</t>
        </is>
      </c>
      <c r="I33" s="12" t="inlineStr">
        <is>
          <t>Belegungsdetektion</t>
        </is>
      </c>
      <c r="J33" s="16">
        <f>IF(OR($H33="offen",ISNUMBER(SEARCH("tbd",$H33)),ISNUMBER(SEARCH("?",$G33))),"ja","nein")</f>
        <v/>
      </c>
      <c r="K33" s="17" t="n"/>
      <c r="L33" s="17" t="n"/>
      <c r="M33" s="17" t="n"/>
      <c r="N33" s="18" t="n"/>
      <c r="O33" s="17" t="n"/>
    </row>
    <row r="34" ht="92" customHeight="1">
      <c r="A34" s="11" t="inlineStr">
        <is>
          <t>ANF-028</t>
        </is>
      </c>
      <c r="B34" s="12" t="inlineStr">
        <is>
          <t>Bieterfrage</t>
        </is>
      </c>
      <c r="C34" s="13" t="inlineStr">
        <is>
          <t>§ 373</t>
        </is>
      </c>
      <c r="D34" s="13" t="inlineStr">
        <is>
          <t>Reservierung</t>
        </is>
      </c>
      <c r="E34" s="14" t="inlineStr">
        <is>
          <t>OCPI Schnittstelle für Reservierungen ist gefordert.</t>
        </is>
      </c>
      <c r="F34" s="15" t="inlineStr">
        <is>
          <t>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is>
      </c>
      <c r="G34" s="12" t="inlineStr">
        <is>
          <t>OCPI Schnittstelle</t>
        </is>
      </c>
      <c r="H34" s="12" t="inlineStr">
        <is>
          <t>eRound</t>
        </is>
      </c>
      <c r="I34" s="12" t="inlineStr">
        <is>
          <t>OCPI Buchungskalender</t>
        </is>
      </c>
      <c r="J34" s="16">
        <f>IF(OR($H34="offen",ISNUMBER(SEARCH("tbd",$H34)),ISNUMBER(SEARCH("?",$G34))),"ja","nein")</f>
        <v/>
      </c>
      <c r="K34" s="17" t="n"/>
      <c r="L34" s="17" t="n"/>
      <c r="M34" s="17" t="n"/>
      <c r="N34" s="18" t="n"/>
      <c r="O34" s="17" t="n"/>
    </row>
    <row r="35" ht="92" customHeight="1">
      <c r="A35" s="11" t="inlineStr">
        <is>
          <t>ANF-029</t>
        </is>
      </c>
      <c r="B35" s="12" t="inlineStr">
        <is>
          <t>Bieterfrage</t>
        </is>
      </c>
      <c r="C35" s="13" t="inlineStr">
        <is>
          <t>§ 374</t>
        </is>
      </c>
      <c r="D35" s="13" t="inlineStr">
        <is>
          <t>Reservierung</t>
        </is>
      </c>
      <c r="E35" s="14" t="inlineStr">
        <is>
          <t>Anbindung muss deutschlandweit sichergestellt sein.</t>
        </is>
      </c>
      <c r="F35" s="15" t="inlineStr">
        <is>
          <t>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t>
        </is>
      </c>
      <c r="G35" s="12" t="inlineStr"/>
      <c r="H35" s="12" t="inlineStr">
        <is>
          <t>Reservierungsplattform</t>
        </is>
      </c>
      <c r="I35" s="12" t="inlineStr">
        <is>
          <t>Anbindung</t>
        </is>
      </c>
      <c r="J35" s="16">
        <f>IF(OR($H35="offen",ISNUMBER(SEARCH("tbd",$H35)),ISNUMBER(SEARCH("?",$G35))),"ja","nein")</f>
        <v/>
      </c>
      <c r="K35" s="17" t="n"/>
      <c r="L35" s="17" t="n"/>
      <c r="M35" s="17" t="n"/>
      <c r="N35" s="18" t="n"/>
      <c r="O35" s="17" t="n"/>
    </row>
    <row r="36" ht="92" customHeight="1">
      <c r="A36" s="11" t="inlineStr">
        <is>
          <t>ANF-030</t>
        </is>
      </c>
      <c r="B36" s="12" t="inlineStr">
        <is>
          <t>Bieterfrage</t>
        </is>
      </c>
      <c r="C36" s="13" t="inlineStr">
        <is>
          <t>§ 375</t>
        </is>
      </c>
      <c r="D36" s="13" t="inlineStr">
        <is>
          <t>Nutzungszeit &amp; Entgelte</t>
        </is>
      </c>
      <c r="E36" s="14" t="inlineStr"/>
      <c r="F36" s="15" t="inlineStr">
        <is>
          <t>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t>
        </is>
      </c>
      <c r="G36" s="12" t="inlineStr">
        <is>
          <t>leer 10.12.2025</t>
        </is>
      </c>
      <c r="H36" s="12" t="inlineStr">
        <is>
          <t>offen</t>
        </is>
      </c>
      <c r="I36" s="12" t="inlineStr">
        <is>
          <t>–</t>
        </is>
      </c>
      <c r="J36" s="16">
        <f>IF(OR($H36="offen",ISNUMBER(SEARCH("tbd",$H36)),ISNUMBER(SEARCH("?",$G36))),"ja","nein")</f>
        <v/>
      </c>
      <c r="K36" s="17" t="n"/>
      <c r="L36" s="17" t="n"/>
      <c r="M36" s="17" t="n"/>
      <c r="N36" s="18" t="n"/>
      <c r="O36" s="17" t="n"/>
    </row>
    <row r="37" ht="92" customHeight="1">
      <c r="A37" s="11" t="inlineStr">
        <is>
          <t>ANF-031</t>
        </is>
      </c>
      <c r="B37" s="12" t="inlineStr">
        <is>
          <t>Bieterfrage</t>
        </is>
      </c>
      <c r="C37" s="13" t="inlineStr">
        <is>
          <t>§ 376</t>
        </is>
      </c>
      <c r="D37" s="13" t="inlineStr">
        <is>
          <t>Nutzungszeit &amp; Entgelte</t>
        </is>
      </c>
      <c r="E37" s="14" t="inlineStr"/>
      <c r="F37" s="15" t="inlineStr">
        <is>
          <t>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t>
        </is>
      </c>
      <c r="G37" s="12" t="inlineStr">
        <is>
          <t>Verweis Ausschreibungsunterlagen</t>
        </is>
      </c>
      <c r="H37" s="12" t="inlineStr">
        <is>
          <t>offen</t>
        </is>
      </c>
      <c r="I37" s="12" t="inlineStr">
        <is>
          <t>–</t>
        </is>
      </c>
      <c r="J37" s="16">
        <f>IF(OR($H37="offen",ISNUMBER(SEARCH("tbd",$H37)),ISNUMBER(SEARCH("?",$G37))),"ja","nein")</f>
        <v/>
      </c>
      <c r="K37" s="17" t="n"/>
      <c r="L37" s="17" t="n"/>
      <c r="M37" s="17" t="n"/>
      <c r="N37" s="18" t="n"/>
      <c r="O37" s="17" t="n"/>
    </row>
    <row r="38" ht="92" customHeight="1">
      <c r="A38" s="11" t="inlineStr">
        <is>
          <t>ANF-032</t>
        </is>
      </c>
      <c r="B38" s="12" t="inlineStr">
        <is>
          <t>Bieterfrage</t>
        </is>
      </c>
      <c r="C38" s="13" t="inlineStr">
        <is>
          <t>§ 377</t>
        </is>
      </c>
      <c r="D38" s="13" t="inlineStr">
        <is>
          <t>Reservierung</t>
        </is>
      </c>
      <c r="E38" s="14" t="inlineStr"/>
      <c r="F38" s="15" t="inlineStr">
        <is>
          <t>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t>
        </is>
      </c>
      <c r="G38" s="12" t="inlineStr">
        <is>
          <t>Verweis Ausschreibungsunterlagen</t>
        </is>
      </c>
      <c r="H38" s="12" t="inlineStr">
        <is>
          <t>offen</t>
        </is>
      </c>
      <c r="I38" s="12" t="inlineStr">
        <is>
          <t>–</t>
        </is>
      </c>
      <c r="J38" s="16">
        <f>IF(OR($H38="offen",ISNUMBER(SEARCH("tbd",$H38)),ISNUMBER(SEARCH("?",$G38))),"ja","nein")</f>
        <v/>
      </c>
      <c r="K38" s="17" t="n"/>
      <c r="L38" s="17" t="n"/>
      <c r="M38" s="17" t="n"/>
      <c r="N38" s="18" t="n"/>
      <c r="O38" s="17" t="n"/>
    </row>
    <row r="39" ht="92" customHeight="1">
      <c r="A39" s="11" t="inlineStr">
        <is>
          <t>ANF-033</t>
        </is>
      </c>
      <c r="B39" s="12" t="inlineStr">
        <is>
          <t>Bieterfrage</t>
        </is>
      </c>
      <c r="C39" s="13" t="inlineStr">
        <is>
          <t>§ 378</t>
        </is>
      </c>
      <c r="D39" s="13" t="inlineStr">
        <is>
          <t>Reservierung</t>
        </is>
      </c>
      <c r="E39" s="14" t="inlineStr">
        <is>
          <t>Anpassung möglich, bei ungewolltem Nutzerverhalten.</t>
        </is>
      </c>
      <c r="F39" s="15" t="inlineStr">
        <is>
          <t>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is>
      </c>
      <c r="G39" s="12" t="inlineStr"/>
      <c r="H39" s="12" t="inlineStr">
        <is>
          <t>eRound</t>
        </is>
      </c>
      <c r="I39" s="12" t="inlineStr">
        <is>
          <t>OCPI Buchungskalender</t>
        </is>
      </c>
      <c r="J39" s="16">
        <f>IF(OR($H39="offen",ISNUMBER(SEARCH("tbd",$H39)),ISNUMBER(SEARCH("?",$G39))),"ja","nein")</f>
        <v/>
      </c>
      <c r="K39" s="17" t="n"/>
      <c r="L39" s="17" t="n"/>
      <c r="M39" s="17" t="n"/>
      <c r="N39" s="18" t="n"/>
      <c r="O39" s="17" t="n"/>
    </row>
    <row r="40" ht="92" customHeight="1">
      <c r="A40" s="11" t="inlineStr">
        <is>
          <t>ANF-034</t>
        </is>
      </c>
      <c r="B40" s="12" t="inlineStr">
        <is>
          <t>Bieterfrage</t>
        </is>
      </c>
      <c r="C40" s="13" t="inlineStr">
        <is>
          <t>§ 455</t>
        </is>
      </c>
      <c r="D40" s="13" t="inlineStr">
        <is>
          <t>Reservierung</t>
        </is>
      </c>
      <c r="E40" s="14" t="inlineStr">
        <is>
          <t>Reservierungsplattform ist nicht Teil der Ausschreibung.</t>
        </is>
      </c>
      <c r="F40" s="15" t="inlineStr">
        <is>
          <t>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is>
      </c>
      <c r="G40" s="12" t="inlineStr">
        <is>
          <t>Zentrales Reservierungssystem</t>
        </is>
      </c>
      <c r="H40" s="12" t="inlineStr">
        <is>
          <t>Reservierungsplattform</t>
        </is>
      </c>
      <c r="I40" s="12" t="inlineStr">
        <is>
          <t>Reservierungsplattform</t>
        </is>
      </c>
      <c r="J40" s="16">
        <f>IF(OR($H40="offen",ISNUMBER(SEARCH("tbd",$H40)),ISNUMBER(SEARCH("?",$G40))),"ja","nein")</f>
        <v/>
      </c>
      <c r="K40" s="17" t="n"/>
      <c r="L40" s="17" t="n"/>
      <c r="M40" s="17" t="n"/>
      <c r="N40" s="18" t="n"/>
      <c r="O40" s="17" t="n"/>
    </row>
    <row r="41" ht="92" customHeight="1">
      <c r="A41" s="11" t="inlineStr">
        <is>
          <t>ANF-035</t>
        </is>
      </c>
      <c r="B41" s="12" t="inlineStr">
        <is>
          <t>Bieterfrage</t>
        </is>
      </c>
      <c r="C41" s="13" t="inlineStr">
        <is>
          <t>§ 370</t>
        </is>
      </c>
      <c r="D41" s="13" t="inlineStr">
        <is>
          <t>Reservierung</t>
        </is>
      </c>
      <c r="E41" s="14" t="inlineStr">
        <is>
          <t>Sämtliche Infos via gängigen Roamingprotokoll / Marktstandard zur verfügung stellen.</t>
        </is>
      </c>
      <c r="F41" s="15" t="inlineStr">
        <is>
          <t>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t>
        </is>
      </c>
      <c r="G41" s="12" t="inlineStr"/>
      <c r="H41" s="12" t="inlineStr">
        <is>
          <t>eRound</t>
        </is>
      </c>
      <c r="I41" s="12" t="inlineStr">
        <is>
          <t>OCPI Buchungskalender</t>
        </is>
      </c>
      <c r="J41" s="16">
        <f>IF(OR($H41="offen",ISNUMBER(SEARCH("tbd",$H41)),ISNUMBER(SEARCH("?",$G41))),"ja","nein")</f>
        <v/>
      </c>
      <c r="K41" s="17" t="n"/>
      <c r="L41" s="17" t="n"/>
      <c r="M41" s="17" t="n"/>
      <c r="N41" s="18" t="n"/>
      <c r="O41" s="17" t="n"/>
    </row>
    <row r="42" ht="92" customHeight="1">
      <c r="A42" s="11" t="inlineStr">
        <is>
          <t>ANF-036</t>
        </is>
      </c>
      <c r="B42" s="12" t="inlineStr">
        <is>
          <t>Vertragsanlage 10</t>
        </is>
      </c>
      <c r="C42" s="13" t="inlineStr">
        <is>
          <t>§ 3.1</t>
        </is>
      </c>
      <c r="D42" s="13" t="inlineStr">
        <is>
          <t>Monitoring &amp; Reporting</t>
        </is>
      </c>
      <c r="E42" s="14" t="inlineStr">
        <is>
          <t>Benennung Datenpunkte zu Reservierungen im Monatsbericht.</t>
        </is>
      </c>
      <c r="F42" s="15" t="inlineStr">
        <is>
          <t>ab_total_reservations Anzahl Reservierungen je Ladepunkt ab_total_reservations_cancelled Anzahl stornierter Reservierungen je Ladepunkt ab_reservations_no-show Anzahl nicht eingehaltener Reservierungen je Ladepunkt</t>
        </is>
      </c>
      <c r="G42" s="12" t="inlineStr">
        <is>
          <t>Datentabelle Monatsbericht Verfügbarkeit</t>
        </is>
      </c>
      <c r="H42" s="12" t="inlineStr">
        <is>
          <t>eRound</t>
        </is>
      </c>
      <c r="I42" s="12" t="inlineStr">
        <is>
          <t>Monitoring</t>
        </is>
      </c>
      <c r="J42" s="16">
        <f>IF(OR($H42="offen",ISNUMBER(SEARCH("tbd",$H42)),ISNUMBER(SEARCH("?",$G42))),"ja","nein")</f>
        <v/>
      </c>
      <c r="K42" s="17" t="n"/>
      <c r="L42" s="17" t="n"/>
      <c r="M42" s="17" t="n"/>
      <c r="N42" s="18" t="n"/>
      <c r="O42" s="17" t="n"/>
    </row>
    <row r="43" ht="92" customHeight="1">
      <c r="A43" s="11" t="inlineStr">
        <is>
          <t>ANF-037</t>
        </is>
      </c>
      <c r="B43" s="12" t="inlineStr">
        <is>
          <t>Vertragsanlage 10</t>
        </is>
      </c>
      <c r="C43" s="13" t="inlineStr">
        <is>
          <t>§ 5 (d)</t>
        </is>
      </c>
      <c r="D43" s="13" t="inlineStr">
        <is>
          <t>Monitoring &amp; Reporting</t>
        </is>
      </c>
      <c r="E43" s="14" t="inlineStr">
        <is>
          <t>Benennung Datenpunkte zu Reservierungen im Monatsbericht.</t>
        </is>
      </c>
      <c r="F43" s="15" t="inlineStr">
        <is>
          <t>total_reservation_cost Gesamtsumme aller Kosten im Zusammenhang mit der Reservierung eines Ladepunkts, einschließlich Festpreisbestandteilen (€)</t>
        </is>
      </c>
      <c r="G43" s="12" t="inlineStr">
        <is>
          <t>Datentabelle Reservierungskosten</t>
        </is>
      </c>
      <c r="H43" s="12" t="inlineStr">
        <is>
          <t>eRound</t>
        </is>
      </c>
      <c r="I43" s="12" t="inlineStr">
        <is>
          <t>Monitoring</t>
        </is>
      </c>
      <c r="J43" s="16">
        <f>IF(OR($H43="offen",ISNUMBER(SEARCH("tbd",$H43)),ISNUMBER(SEARCH("?",$G43))),"ja","nein")</f>
        <v/>
      </c>
      <c r="K43" s="17" t="n"/>
      <c r="L43" s="17" t="n"/>
      <c r="M43" s="17" t="n"/>
      <c r="N43" s="18" t="n"/>
      <c r="O43" s="17" t="n"/>
    </row>
    <row r="44" ht="92" customHeight="1">
      <c r="A44" s="11" t="inlineStr">
        <is>
          <t>ANF-038</t>
        </is>
      </c>
      <c r="B44" s="12" t="inlineStr">
        <is>
          <t>Vertragsanlage 4</t>
        </is>
      </c>
      <c r="C44" s="13" t="inlineStr">
        <is>
          <t>§ 3.13.2</t>
        </is>
      </c>
      <c r="D44" s="13" t="inlineStr">
        <is>
          <t>Zufahrt &amp; Schranke</t>
        </is>
      </c>
      <c r="E44" s="14" t="inlineStr">
        <is>
          <t>Schrankenanlage auf Schrankeninsel</t>
        </is>
      </c>
      <c r="F44" s="15" t="inlineStr">
        <is>
          <t>Anforderungen an Lade-, Schrankeninseln und physische Zufahrtbeschränkungen</t>
        </is>
      </c>
      <c r="G44" s="12" t="inlineStr"/>
      <c r="H44" s="12" t="inlineStr">
        <is>
          <t>tbd</t>
        </is>
      </c>
      <c r="I44" s="12" t="inlineStr">
        <is>
          <t>Schrankenanlage</t>
        </is>
      </c>
      <c r="J44" s="16">
        <f>IF(OR($H44="offen",ISNUMBER(SEARCH("tbd",$H44)),ISNUMBER(SEARCH("?",$G44))),"ja","nein")</f>
        <v/>
      </c>
      <c r="K44" s="17" t="n"/>
      <c r="L44" s="17" t="n"/>
      <c r="M44" s="17" t="n"/>
      <c r="N44" s="18" t="n"/>
      <c r="O44" s="17" t="n"/>
    </row>
    <row r="45" ht="92" customHeight="1">
      <c r="A45" s="11" t="inlineStr">
        <is>
          <t>ANF-039</t>
        </is>
      </c>
      <c r="B45" s="12" t="inlineStr">
        <is>
          <t>Vertragsanlage 4</t>
        </is>
      </c>
      <c r="C45" s="13" t="inlineStr">
        <is>
          <t>§ 3.13.2 (1)</t>
        </is>
      </c>
      <c r="D45" s="13" t="inlineStr">
        <is>
          <t>Zufahrt &amp; Schranke</t>
        </is>
      </c>
      <c r="E45" s="14" t="inlineStr">
        <is>
          <t>Schranke an Einfahrt Ladepunkt und Ausfahrt Ladepunkt.
Bei Schrägparken Poller?</t>
        </is>
      </c>
      <c r="F45" s="15" t="inlineStr">
        <is>
          <t>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t>
        </is>
      </c>
      <c r="G45" s="12" t="inlineStr">
        <is>
          <t>Schranke gefordert aus allen Richtungen</t>
        </is>
      </c>
      <c r="H45" s="12" t="inlineStr">
        <is>
          <t>tbd</t>
        </is>
      </c>
      <c r="I45" s="12" t="inlineStr">
        <is>
          <t>Schrankenanlage</t>
        </is>
      </c>
      <c r="J45" s="16">
        <f>IF(OR($H45="offen",ISNUMBER(SEARCH("tbd",$H45)),ISNUMBER(SEARCH("?",$G45))),"ja","nein")</f>
        <v/>
      </c>
      <c r="K45" s="17" t="n"/>
      <c r="L45" s="17" t="n"/>
      <c r="M45" s="17" t="n"/>
      <c r="N45" s="18" t="n"/>
      <c r="O45" s="17" t="n"/>
    </row>
    <row r="46" ht="92" customHeight="1">
      <c r="A46" s="11" t="inlineStr">
        <is>
          <t>ANF-040</t>
        </is>
      </c>
      <c r="B46" s="12" t="inlineStr">
        <is>
          <t>Vertragsanlage 4</t>
        </is>
      </c>
      <c r="C46" s="13" t="inlineStr">
        <is>
          <t>§ 3.13.4</t>
        </is>
      </c>
      <c r="D46" s="13" t="inlineStr">
        <is>
          <t>Anzeige &amp; Beschilderung</t>
        </is>
      </c>
      <c r="E46" s="14" t="inlineStr">
        <is>
          <t>Darstellung statischer und dynamischer Infos.</t>
        </is>
      </c>
      <c r="F46" s="15" t="inlineStr">
        <is>
          <t>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t>
        </is>
      </c>
      <c r="G46" s="12" t="inlineStr">
        <is>
          <t>LED Anzeigen</t>
        </is>
      </c>
      <c r="H46" s="12" t="inlineStr">
        <is>
          <t>SCS / tbd</t>
        </is>
      </c>
      <c r="I46" s="12" t="inlineStr">
        <is>
          <t>Beschilderung / Dynamische Anzeige</t>
        </is>
      </c>
      <c r="J46" s="16">
        <f>IF(OR($H46="offen",ISNUMBER(SEARCH("tbd",$H46)),ISNUMBER(SEARCH("?",$G46))),"ja","nein")</f>
        <v/>
      </c>
      <c r="K46" s="17" t="n"/>
      <c r="L46" s="17" t="n"/>
      <c r="M46" s="17" t="n"/>
      <c r="N46" s="18" t="n"/>
      <c r="O46" s="17" t="n"/>
    </row>
    <row r="47" ht="92" customHeight="1">
      <c r="A47" s="11" t="inlineStr">
        <is>
          <t>ANF-041</t>
        </is>
      </c>
      <c r="B47" s="12" t="inlineStr">
        <is>
          <t>Vertragsanlage 6</t>
        </is>
      </c>
      <c r="C47" s="13" t="inlineStr">
        <is>
          <t>§ 8</t>
        </is>
      </c>
      <c r="D47" s="13" t="inlineStr">
        <is>
          <t>Authentifizierung &amp; Zugang</t>
        </is>
      </c>
      <c r="E47" s="14" t="inlineStr">
        <is>
          <t>Öffnung innerhalb von 45 Sekunden.</t>
        </is>
      </c>
      <c r="F47" s="15" t="inlineStr">
        <is>
          <t>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is>
      </c>
      <c r="G47" s="12" t="inlineStr">
        <is>
          <t>45 Sekunden (!)
Wie (wer) Erfüllt das?
Bieterfrage 441 nach Bezahlterminal ?</t>
        </is>
      </c>
      <c r="H47" s="12" t="inlineStr">
        <is>
          <t>eRound / tbd</t>
        </is>
      </c>
      <c r="I47" s="12" t="inlineStr">
        <is>
          <t>Authentifizierungskomponente / Schrankensteuerung</t>
        </is>
      </c>
      <c r="J47" s="16">
        <f>IF(OR($H47="offen",ISNUMBER(SEARCH("tbd",$H47)),ISNUMBER(SEARCH("?",$G47))),"ja","nein")</f>
        <v/>
      </c>
      <c r="K47" s="17" t="n"/>
      <c r="L47" s="17" t="n"/>
      <c r="M47" s="17" t="n"/>
      <c r="N47" s="18" t="n"/>
      <c r="O47" s="17" t="n"/>
    </row>
    <row r="48" ht="92" customHeight="1">
      <c r="A48" s="11" t="inlineStr">
        <is>
          <t>ANF-042</t>
        </is>
      </c>
      <c r="B48" s="12" t="inlineStr">
        <is>
          <t>Vertragsanlage 6</t>
        </is>
      </c>
      <c r="C48" s="13" t="inlineStr">
        <is>
          <t>§ 9 (1)</t>
        </is>
      </c>
      <c r="D48" s="13" t="inlineStr">
        <is>
          <t>Belegungsdetektion</t>
        </is>
      </c>
      <c r="E48" s="14" t="inlineStr">
        <is>
          <t>Belegungsdetektion ist gefordert.</t>
        </is>
      </c>
      <c r="F48" s="15" t="inlineStr">
        <is>
          <t>Jeder MCS- / CCS-Ladepunkt muss über eine Detektion verfügen. Die MCS- / CCSLadeplatzdetektion ist so auszustatten, dass Objekte auf dem zum MCS- / CCSLadepunkt gehörigen MCS- / CCS-Ladeplatz detektiert werden können.</t>
        </is>
      </c>
      <c r="G48" s="12" t="inlineStr">
        <is>
          <t>Deckensensoren
Pönalisierung / Falschparker</t>
        </is>
      </c>
      <c r="H48" s="12" t="inlineStr">
        <is>
          <t>SCS</t>
        </is>
      </c>
      <c r="I48" s="12" t="inlineStr">
        <is>
          <t>Belegungsdetektion</t>
        </is>
      </c>
      <c r="J48" s="16">
        <f>IF(OR($H48="offen",ISNUMBER(SEARCH("tbd",$H48)),ISNUMBER(SEARCH("?",$G48))),"ja","nein")</f>
        <v/>
      </c>
      <c r="K48" s="17" t="n"/>
      <c r="L48" s="17" t="n"/>
      <c r="M48" s="17" t="n"/>
      <c r="N48" s="18" t="n"/>
      <c r="O48" s="17" t="n"/>
    </row>
    <row r="49" ht="92" customHeight="1">
      <c r="A49" s="11" t="inlineStr">
        <is>
          <t>ANF-043</t>
        </is>
      </c>
      <c r="B49" s="12" t="inlineStr">
        <is>
          <t>Vertragsanlage 6</t>
        </is>
      </c>
      <c r="C49" s="13" t="inlineStr">
        <is>
          <t>§ 9 (2)</t>
        </is>
      </c>
      <c r="D49" s="13" t="inlineStr">
        <is>
          <t>Belegungsdetektion</t>
        </is>
      </c>
      <c r="E49" s="14" t="inlineStr">
        <is>
          <t>Roaming-Infos müssen veröffentlicht werden
Pönalisierung gefordert.
Entfernung Falschparker gefordert.</t>
        </is>
      </c>
      <c r="F49" s="15" t="inlineStr">
        <is>
          <t>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t>
        </is>
      </c>
      <c r="G49" s="12" t="inlineStr">
        <is>
          <t>Pönalisierung / Falschparker</t>
        </is>
      </c>
      <c r="H49" s="12" t="inlineStr">
        <is>
          <t>eRound / SCS</t>
        </is>
      </c>
      <c r="I49" s="12" t="inlineStr">
        <is>
          <t>OCPI Buchungskalender / Kennzeichenerfassung / Pönalisierungssystem</t>
        </is>
      </c>
      <c r="J49" s="16">
        <f>IF(OR($H49="offen",ISNUMBER(SEARCH("tbd",$H49)),ISNUMBER(SEARCH("?",$G49))),"ja","nein")</f>
        <v/>
      </c>
      <c r="K49" s="17" t="n"/>
      <c r="L49" s="17" t="n"/>
      <c r="M49" s="17" t="n"/>
      <c r="N49" s="18" t="n"/>
      <c r="O49" s="17" t="n"/>
    </row>
    <row r="50" ht="92" customHeight="1">
      <c r="A50" s="11" t="inlineStr">
        <is>
          <t>ANF-044</t>
        </is>
      </c>
      <c r="B50" s="12" t="inlineStr">
        <is>
          <t>Vertragsanlage 6</t>
        </is>
      </c>
      <c r="C50" s="13" t="inlineStr">
        <is>
          <t>§ 10 (1)</t>
        </is>
      </c>
      <c r="D50" s="13" t="inlineStr">
        <is>
          <t>Zufahrt &amp; Schranke</t>
        </is>
      </c>
      <c r="E50" s="14" t="inlineStr">
        <is>
          <t>Einfahrtsschranke
Ausfahrtsschranke
Bei Nichtbelegung beide Schranken geschlossen.</t>
        </is>
      </c>
      <c r="F50" s="15" t="inlineStr">
        <is>
          <t>Jeder Ladeplatz ist mit einer Einfahrts- und einer Ausfahrtsschranke auszustatten. Die Schranken sind wie folgt zu betreiben:
1) Grundstellung: Beide Schranken sind bei Nichtbelegung des Ladeplatzes geschlossen.</t>
        </is>
      </c>
      <c r="G50" s="12" t="inlineStr"/>
      <c r="H50" s="12" t="inlineStr">
        <is>
          <t>tbd</t>
        </is>
      </c>
      <c r="I50" s="12" t="inlineStr">
        <is>
          <t>Schrankensteuerung</t>
        </is>
      </c>
      <c r="J50" s="16">
        <f>IF(OR($H50="offen",ISNUMBER(SEARCH("tbd",$H50)),ISNUMBER(SEARCH("?",$G50))),"ja","nein")</f>
        <v/>
      </c>
      <c r="K50" s="17" t="n"/>
      <c r="L50" s="17" t="n"/>
      <c r="M50" s="17" t="n"/>
      <c r="N50" s="18" t="n"/>
      <c r="O50" s="17" t="n"/>
    </row>
    <row r="51" ht="92" customHeight="1">
      <c r="A51" s="11" t="inlineStr">
        <is>
          <t>ANF-045</t>
        </is>
      </c>
      <c r="B51" s="12" t="inlineStr">
        <is>
          <t>Vertragsanlage 6</t>
        </is>
      </c>
      <c r="C51" s="13" t="inlineStr">
        <is>
          <t>§ 10 (2)</t>
        </is>
      </c>
      <c r="D51" s="13" t="inlineStr">
        <is>
          <t>Zufahrt &amp; Schranke</t>
        </is>
      </c>
      <c r="E51" s="14" t="inlineStr">
        <is>
          <t>Einfahrtsschranke öffnet nach Authentifizierung.</t>
        </is>
      </c>
      <c r="F51" s="15" t="inlineStr">
        <is>
          <t>2) Einfahrt: Die Einfahrtschranke öffnet sich nach erfolgreicher Authentifizierung und gewährt Zugang zum Ladeplatz. Sie bleibt während des gesamten Ladevorgangs geöffnet.</t>
        </is>
      </c>
      <c r="G51" s="12" t="inlineStr">
        <is>
          <t>Schnittstelle notwendig:
Öffnen direkt nach Authentifizierung
Schließen bei Ende Ladevorgang</t>
        </is>
      </c>
      <c r="H51" s="12" t="inlineStr">
        <is>
          <t>eRound / tbd</t>
        </is>
      </c>
      <c r="I51" s="12" t="inlineStr">
        <is>
          <t>Authentifizierungskomponente / Schrankensteuerung</t>
        </is>
      </c>
      <c r="J51" s="16">
        <f>IF(OR($H51="offen",ISNUMBER(SEARCH("tbd",$H51)),ISNUMBER(SEARCH("?",$G51))),"ja","nein")</f>
        <v/>
      </c>
      <c r="K51" s="17" t="n"/>
      <c r="L51" s="17" t="n"/>
      <c r="M51" s="17" t="n"/>
      <c r="N51" s="18" t="n"/>
      <c r="O51" s="17" t="n"/>
    </row>
    <row r="52" ht="92" customHeight="1">
      <c r="A52" s="11" t="inlineStr">
        <is>
          <t>ANF-046</t>
        </is>
      </c>
      <c r="B52" s="12" t="inlineStr">
        <is>
          <t>Vertragsanlage 6</t>
        </is>
      </c>
      <c r="C52" s="13" t="inlineStr">
        <is>
          <t>§ 10 (3)</t>
        </is>
      </c>
      <c r="D52" s="13" t="inlineStr">
        <is>
          <t>Zufahrt &amp; Schranke</t>
        </is>
      </c>
      <c r="E52" s="14" t="inlineStr">
        <is>
          <t>Ausfahrtsschranke öffnet bei Ankunft LKW.</t>
        </is>
      </c>
      <c r="F52" s="15" t="inlineStr">
        <is>
          <t>3) Ausfahrtsschaltung: Sobald der Lkw seine Parkposition auf dem Ladeplatz erreicht hat, öffnet sich die Ausfahrtsschranke.</t>
        </is>
      </c>
      <c r="G52" s="12" t="inlineStr">
        <is>
          <t>Ausfahrtsschranke also recht dumm -&gt; komplett durch SCS möglich?</t>
        </is>
      </c>
      <c r="H52" s="12" t="inlineStr">
        <is>
          <t>tbd</t>
        </is>
      </c>
      <c r="I52" s="12" t="inlineStr">
        <is>
          <t>Schrankensteuerung</t>
        </is>
      </c>
      <c r="J52" s="16">
        <f>IF(OR($H52="offen",ISNUMBER(SEARCH("tbd",$H52)),ISNUMBER(SEARCH("?",$G52))),"ja","nein")</f>
        <v/>
      </c>
      <c r="K52" s="17" t="n"/>
      <c r="L52" s="17" t="n"/>
      <c r="M52" s="17" t="n"/>
      <c r="N52" s="18" t="n"/>
      <c r="O52" s="17" t="n"/>
    </row>
    <row r="53" ht="92" customHeight="1">
      <c r="A53" s="11" t="inlineStr">
        <is>
          <t>ANF-047</t>
        </is>
      </c>
      <c r="B53" s="12" t="inlineStr">
        <is>
          <t>Vertragsanlage 6</t>
        </is>
      </c>
      <c r="C53" s="13" t="inlineStr">
        <is>
          <t>§ 10 (4)</t>
        </is>
      </c>
      <c r="D53" s="13" t="inlineStr">
        <is>
          <t>Zufahrt &amp; Schranke</t>
        </is>
      </c>
      <c r="E53" s="14" t="inlineStr">
        <is>
          <t>Ausfahrtsschranke schließt nach Verlassen des LKW.
Fernsteuerung der Schranken.</t>
        </is>
      </c>
      <c r="F53" s="15" t="inlineStr">
        <is>
          <t>4) Verlassen des Ladeplatzes: Nach Abschluss des Ladevorgangs und dem Verlassen des Ladeplatzes schließt sich die Ausfahrtsschranke wieder. Zudem ist dafür zu sorgen, dass die Einfahrts- und Ausfahrtsschranken im Notfall geöffnet werden können</t>
        </is>
      </c>
      <c r="G53" s="12" t="inlineStr">
        <is>
          <t>Schließen nach Ausfahrt -&gt; Schranke selbst / SCS?</t>
        </is>
      </c>
      <c r="H53" s="12" t="inlineStr">
        <is>
          <t>tbd</t>
        </is>
      </c>
      <c r="I53" s="12" t="inlineStr">
        <is>
          <t>Schrankensteuerung</t>
        </is>
      </c>
      <c r="J53" s="16">
        <f>IF(OR($H53="offen",ISNUMBER(SEARCH("tbd",$H53)),ISNUMBER(SEARCH("?",$G53))),"ja","nein")</f>
        <v/>
      </c>
      <c r="K53" s="17" t="n"/>
      <c r="L53" s="17" t="n"/>
      <c r="M53" s="17" t="n"/>
      <c r="N53" s="18" t="n"/>
      <c r="O53" s="17" t="n"/>
    </row>
    <row r="54" ht="92" customHeight="1">
      <c r="A54" s="11" t="inlineStr">
        <is>
          <t>ANF-048</t>
        </is>
      </c>
      <c r="B54" s="12" t="inlineStr">
        <is>
          <t>Vertragsanlage 6</t>
        </is>
      </c>
      <c r="C54" s="13" t="inlineStr">
        <is>
          <t>§ 4</t>
        </is>
      </c>
      <c r="D54" s="13" t="inlineStr">
        <is>
          <t>Anzeige &amp; Beschilderung</t>
        </is>
      </c>
      <c r="E54" s="14" t="inlineStr">
        <is>
          <t>Bezahlterminal für mehrere MCS/CCS Ladepunkte möglich.</t>
        </is>
      </c>
      <c r="F54" s="15" t="inlineStr">
        <is>
          <t>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t>
        </is>
      </c>
      <c r="G54" s="12" t="inlineStr">
        <is>
          <t>Bezahlterminal kann für mehrere MCS / CCS</t>
        </is>
      </c>
      <c r="H54" s="12" t="inlineStr">
        <is>
          <t>eRound</t>
        </is>
      </c>
      <c r="I54" s="12" t="inlineStr">
        <is>
          <t>Authentifizierungskomponente</t>
        </is>
      </c>
      <c r="J54" s="16">
        <f>IF(OR($H54="offen",ISNUMBER(SEARCH("tbd",$H54)),ISNUMBER(SEARCH("?",$G54))),"ja","nein")</f>
        <v/>
      </c>
      <c r="K54" s="17" t="n"/>
      <c r="L54" s="17" t="n"/>
      <c r="M54" s="17" t="n"/>
      <c r="N54" s="18" t="n"/>
      <c r="O54" s="17" t="n"/>
    </row>
    <row r="55" ht="92" customHeight="1">
      <c r="A55" s="11" t="inlineStr">
        <is>
          <t>ANF-049</t>
        </is>
      </c>
      <c r="B55" s="12" t="inlineStr">
        <is>
          <t>Vertragsanlage 4</t>
        </is>
      </c>
      <c r="C55" s="13" t="inlineStr">
        <is>
          <t>§ 3.13.5</t>
        </is>
      </c>
      <c r="D55" s="13" t="inlineStr">
        <is>
          <t>Zufahrt &amp; Schranke</t>
        </is>
      </c>
      <c r="E55" s="14" t="inlineStr"/>
      <c r="F55" s="15" t="inlineStr">
        <is>
          <t>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t>
        </is>
      </c>
      <c r="G55" s="12" t="inlineStr">
        <is>
          <t>Öffnen bei Ladevorgangs-Ende wiederspricht sich mit Vertragsanlage 6 §10 Abs 2
Und funktioniert für Poller nicht -&gt; da LKW darüber steht.
Einheitliche Ansteuerung reduziert komplexität Bei Partnern</t>
        </is>
      </c>
      <c r="H55" s="12" t="inlineStr">
        <is>
          <t>offen</t>
        </is>
      </c>
      <c r="I55" s="12" t="inlineStr">
        <is>
          <t>–</t>
        </is>
      </c>
      <c r="J55" s="16">
        <f>IF(OR($H55="offen",ISNUMBER(SEARCH("tbd",$H55)),ISNUMBER(SEARCH("?",$G55))),"ja","nein")</f>
        <v/>
      </c>
      <c r="K55" s="17" t="n"/>
      <c r="L55" s="17" t="n"/>
      <c r="M55" s="17" t="n"/>
      <c r="N55" s="18" t="n"/>
      <c r="O55" s="17" t="n"/>
    </row>
    <row r="56" ht="92" customHeight="1">
      <c r="A56" s="11" t="inlineStr">
        <is>
          <t>ANF-050</t>
        </is>
      </c>
      <c r="B56" s="12" t="inlineStr">
        <is>
          <t>Vertragsanlage 4</t>
        </is>
      </c>
      <c r="C56" s="13" t="inlineStr">
        <is>
          <t>§ 3.13.2.2</t>
        </is>
      </c>
      <c r="D56" s="13" t="inlineStr">
        <is>
          <t>Zufahrt &amp; Schranke</t>
        </is>
      </c>
      <c r="E56" s="14" t="inlineStr"/>
      <c r="F56" s="15" t="inlineStr">
        <is>
          <t>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t>
        </is>
      </c>
      <c r="G56" s="12" t="inlineStr"/>
      <c r="H56" s="12" t="inlineStr">
        <is>
          <t>offen</t>
        </is>
      </c>
      <c r="I56" s="12" t="inlineStr">
        <is>
          <t>–</t>
        </is>
      </c>
      <c r="J56" s="16">
        <f>IF(OR($H56="offen",ISNUMBER(SEARCH("tbd",$H56)),ISNUMBER(SEARCH("?",$G56))),"ja","nein")</f>
        <v/>
      </c>
      <c r="K56" s="17" t="n"/>
      <c r="L56" s="17" t="n"/>
      <c r="M56" s="17" t="n"/>
      <c r="N56" s="18" t="n"/>
      <c r="O56" s="17" t="n"/>
    </row>
    <row r="57" ht="92" customHeight="1">
      <c r="A57" s="11" t="inlineStr">
        <is>
          <t>ANF-051</t>
        </is>
      </c>
      <c r="B57" s="12" t="inlineStr">
        <is>
          <t>Vertragsanlage 4</t>
        </is>
      </c>
      <c r="C57" s="13" t="inlineStr">
        <is>
          <t>§ 3.6</t>
        </is>
      </c>
      <c r="D57" s="13" t="inlineStr">
        <is>
          <t>Bau &amp; Dokumentation</t>
        </is>
      </c>
      <c r="E57" s="14" t="inlineStr"/>
      <c r="F57" s="15" t="inlineStr">
        <is>
          <t>rag auf Baufreigabe und Ausführungs-, Werk- und Montageplanung</t>
        </is>
      </c>
      <c r="G57" s="12" t="inlineStr">
        <is>
          <t>Mitwirkung an Planung und Freigabe</t>
        </is>
      </c>
      <c r="H57" s="12" t="inlineStr">
        <is>
          <t>offen</t>
        </is>
      </c>
      <c r="I57" s="12" t="inlineStr">
        <is>
          <t>–</t>
        </is>
      </c>
      <c r="J57" s="16">
        <f>IF(OR($H57="offen",ISNUMBER(SEARCH("tbd",$H57)),ISNUMBER(SEARCH("?",$G57))),"ja","nein")</f>
        <v/>
      </c>
      <c r="K57" s="17" t="n"/>
      <c r="L57" s="17" t="n"/>
      <c r="M57" s="17" t="n"/>
      <c r="N57" s="18" t="n"/>
      <c r="O57" s="17" t="n"/>
    </row>
    <row r="58" ht="92" customHeight="1">
      <c r="A58" s="11" t="inlineStr">
        <is>
          <t>ANF-052</t>
        </is>
      </c>
      <c r="B58" s="12" t="inlineStr">
        <is>
          <t>Vertragsanlage 4</t>
        </is>
      </c>
      <c r="C58" s="13" t="inlineStr">
        <is>
          <t>§ 3.7</t>
        </is>
      </c>
      <c r="D58" s="13" t="inlineStr">
        <is>
          <t>Bau &amp; Dokumentation</t>
        </is>
      </c>
      <c r="E58" s="14" t="inlineStr"/>
      <c r="F58" s="15" t="inlineStr">
        <is>
          <t>Bestandsunterlagen (As-Built)</t>
        </is>
      </c>
      <c r="G58" s="12" t="inlineStr">
        <is>
          <t>Verantwortlich für Dokumentation und Erstellung Unterlagen</t>
        </is>
      </c>
      <c r="H58" s="12" t="inlineStr">
        <is>
          <t>offen</t>
        </is>
      </c>
      <c r="I58" s="12" t="inlineStr">
        <is>
          <t>–</t>
        </is>
      </c>
      <c r="J58" s="16">
        <f>IF(OR($H58="offen",ISNUMBER(SEARCH("tbd",$H58)),ISNUMBER(SEARCH("?",$G58))),"ja","nein")</f>
        <v/>
      </c>
      <c r="K58" s="17" t="n"/>
      <c r="L58" s="17" t="n"/>
      <c r="M58" s="17" t="n"/>
      <c r="N58" s="18" t="n"/>
      <c r="O58" s="17" t="n"/>
    </row>
  </sheetData>
  <autoFilter ref="A6:O58"/>
  <conditionalFormatting sqref="J7:J58">
    <cfRule type="cellIs" priority="1" operator="equal" dxfId="0">
      <formula>"ja"</formula>
    </cfRule>
  </conditionalFormatting>
  <conditionalFormatting sqref="K7:K58">
    <cfRule type="cellIs" priority="2" operator="equal" dxfId="1">
      <formula>"umgesetzt"</formula>
    </cfRule>
    <cfRule type="cellIs" priority="3" operator="equal" dxfId="2">
      <formula>"offen"</formula>
    </cfRule>
  </conditionalFormatting>
  <dataValidations count="2">
    <dataValidation sqref="K7:K158" showDropDown="0" showInputMessage="0" showErrorMessage="0" allowBlank="1" type="list">
      <formula1>"offen,in Klärung,in Umsetzung,umgesetzt,entfällt"</formula1>
    </dataValidation>
    <dataValidation sqref="L7:L158" showDropDown="0" showInputMessage="0" showErrorMessage="0" allowBlank="1" type="list">
      <formula1>"hoch,mittel,niedrig"</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D53"/>
  <sheetViews>
    <sheetView showGridLines="0" workbookViewId="0">
      <selection activeCell="A1" sqref="A1"/>
    </sheetView>
  </sheetViews>
  <sheetFormatPr baseColWidth="8" defaultRowHeight="15"/>
  <cols>
    <col width="38" customWidth="1" min="1" max="1"/>
    <col width="15" customWidth="1" min="2" max="2"/>
    <col width="20" customWidth="1" min="3" max="3"/>
    <col width="12" customWidth="1" min="4" max="4"/>
  </cols>
  <sheetData>
    <row r="1">
      <c r="A1" s="1" t="inlineStr">
        <is>
          <t>Auswertung</t>
        </is>
      </c>
    </row>
    <row r="2">
      <c r="A2" s="2" t="inlineStr">
        <is>
          <t>Alle Zahlen zählen automatisch aus dem Register „Anforderungen“.</t>
        </is>
      </c>
    </row>
    <row r="3">
      <c r="A3" s="3" t="inlineStr">
        <is>
          <t>Neue Zeilen im Register werden automatisch mitgezählt.</t>
        </is>
      </c>
    </row>
    <row r="5">
      <c r="A5" s="19" t="inlineStr">
        <is>
          <t>1  Nach Themenfeld</t>
        </is>
      </c>
      <c r="B5" s="20" t="n"/>
      <c r="C5" s="20" t="n"/>
      <c r="D5" s="20" t="n"/>
    </row>
    <row r="6">
      <c r="A6" s="21" t="inlineStr">
        <is>
          <t>Merkmal</t>
        </is>
      </c>
      <c r="B6" s="22" t="inlineStr">
        <is>
          <t>Anforderungen</t>
        </is>
      </c>
      <c r="C6" s="22" t="inlineStr">
        <is>
          <t>davon Klärungsbedarf</t>
        </is>
      </c>
      <c r="D6" s="22" t="inlineStr">
        <is>
          <t>Anteil</t>
        </is>
      </c>
    </row>
    <row r="7">
      <c r="A7" s="7" t="inlineStr">
        <is>
          <t>Reservierung</t>
        </is>
      </c>
      <c r="B7" s="23">
        <f>COUNTIFS(tblAnf[Themenfeld],"*"&amp;A7&amp;"*")</f>
        <v/>
      </c>
      <c r="C7" s="24">
        <f>COUNTIFS(tblAnf[Themenfeld],"*"&amp;A7&amp;"*",tblAnf[Klärungsbedarf],"ja")</f>
        <v/>
      </c>
      <c r="D7" s="25">
        <f>IFERROR(B7/COUNTA(tblAnf[ID]),0)</f>
        <v/>
      </c>
    </row>
    <row r="8">
      <c r="A8" s="7" t="inlineStr">
        <is>
          <t>Nutzungszeit &amp; Entgelte</t>
        </is>
      </c>
      <c r="B8" s="23">
        <f>COUNTIFS(tblAnf[Themenfeld],"*"&amp;A8&amp;"*")</f>
        <v/>
      </c>
      <c r="C8" s="24">
        <f>COUNTIFS(tblAnf[Themenfeld],"*"&amp;A8&amp;"*",tblAnf[Klärungsbedarf],"ja")</f>
        <v/>
      </c>
      <c r="D8" s="25">
        <f>IFERROR(B8/COUNTA(tblAnf[ID]),0)</f>
        <v/>
      </c>
    </row>
    <row r="9">
      <c r="A9" s="7" t="inlineStr">
        <is>
          <t>Zufahrt &amp; Schranke</t>
        </is>
      </c>
      <c r="B9" s="23">
        <f>COUNTIFS(tblAnf[Themenfeld],"*"&amp;A9&amp;"*")</f>
        <v/>
      </c>
      <c r="C9" s="24">
        <f>COUNTIFS(tblAnf[Themenfeld],"*"&amp;A9&amp;"*",tblAnf[Klärungsbedarf],"ja")</f>
        <v/>
      </c>
      <c r="D9" s="25">
        <f>IFERROR(B9/COUNTA(tblAnf[ID]),0)</f>
        <v/>
      </c>
    </row>
    <row r="10">
      <c r="A10" s="7" t="inlineStr">
        <is>
          <t>Belegungsdetektion</t>
        </is>
      </c>
      <c r="B10" s="23">
        <f>COUNTIFS(tblAnf[Themenfeld],"*"&amp;A10&amp;"*")</f>
        <v/>
      </c>
      <c r="C10" s="24">
        <f>COUNTIFS(tblAnf[Themenfeld],"*"&amp;A10&amp;"*",tblAnf[Klärungsbedarf],"ja")</f>
        <v/>
      </c>
      <c r="D10" s="25">
        <f>IFERROR(B10/COUNTA(tblAnf[ID]),0)</f>
        <v/>
      </c>
    </row>
    <row r="11">
      <c r="A11" s="7" t="inlineStr">
        <is>
          <t>Authentifizierung &amp; Zugang</t>
        </is>
      </c>
      <c r="B11" s="23">
        <f>COUNTIFS(tblAnf[Themenfeld],"*"&amp;A11&amp;"*")</f>
        <v/>
      </c>
      <c r="C11" s="24">
        <f>COUNTIFS(tblAnf[Themenfeld],"*"&amp;A11&amp;"*",tblAnf[Klärungsbedarf],"ja")</f>
        <v/>
      </c>
      <c r="D11" s="25">
        <f>IFERROR(B11/COUNTA(tblAnf[ID]),0)</f>
        <v/>
      </c>
    </row>
    <row r="12">
      <c r="A12" s="7" t="inlineStr">
        <is>
          <t>Anzeige &amp; Beschilderung</t>
        </is>
      </c>
      <c r="B12" s="23">
        <f>COUNTIFS(tblAnf[Themenfeld],"*"&amp;A12&amp;"*")</f>
        <v/>
      </c>
      <c r="C12" s="24">
        <f>COUNTIFS(tblAnf[Themenfeld],"*"&amp;A12&amp;"*",tblAnf[Klärungsbedarf],"ja")</f>
        <v/>
      </c>
      <c r="D12" s="25">
        <f>IFERROR(B12/COUNTA(tblAnf[ID]),0)</f>
        <v/>
      </c>
    </row>
    <row r="13">
      <c r="A13" s="7" t="inlineStr">
        <is>
          <t>Monitoring &amp; Reporting</t>
        </is>
      </c>
      <c r="B13" s="23">
        <f>COUNTIFS(tblAnf[Themenfeld],"*"&amp;A13&amp;"*")</f>
        <v/>
      </c>
      <c r="C13" s="24">
        <f>COUNTIFS(tblAnf[Themenfeld],"*"&amp;A13&amp;"*",tblAnf[Klärungsbedarf],"ja")</f>
        <v/>
      </c>
      <c r="D13" s="25">
        <f>IFERROR(B13/COUNTA(tblAnf[ID]),0)</f>
        <v/>
      </c>
    </row>
    <row r="14">
      <c r="A14" s="7" t="inlineStr">
        <is>
          <t>Betrieb &amp; Auslastung</t>
        </is>
      </c>
      <c r="B14" s="23">
        <f>COUNTIFS(tblAnf[Themenfeld],"*"&amp;A14&amp;"*")</f>
        <v/>
      </c>
      <c r="C14" s="24">
        <f>COUNTIFS(tblAnf[Themenfeld],"*"&amp;A14&amp;"*",tblAnf[Klärungsbedarf],"ja")</f>
        <v/>
      </c>
      <c r="D14" s="25">
        <f>IFERROR(B14/COUNTA(tblAnf[ID]),0)</f>
        <v/>
      </c>
    </row>
    <row r="15">
      <c r="A15" s="7" t="inlineStr">
        <is>
          <t>Bau &amp; Dokumentation</t>
        </is>
      </c>
      <c r="B15" s="23">
        <f>COUNTIFS(tblAnf[Themenfeld],"*"&amp;A15&amp;"*")</f>
        <v/>
      </c>
      <c r="C15" s="24">
        <f>COUNTIFS(tblAnf[Themenfeld],"*"&amp;A15&amp;"*",tblAnf[Klärungsbedarf],"ja")</f>
        <v/>
      </c>
      <c r="D15" s="25">
        <f>IFERROR(B15/COUNTA(tblAnf[ID]),0)</f>
        <v/>
      </c>
    </row>
    <row r="18">
      <c r="A18" s="19" t="inlineStr">
        <is>
          <t>2  Nach Partner</t>
        </is>
      </c>
      <c r="B18" s="20" t="n"/>
      <c r="C18" s="20" t="n"/>
      <c r="D18" s="20" t="n"/>
    </row>
    <row r="19">
      <c r="A19" s="21" t="inlineStr">
        <is>
          <t>Merkmal</t>
        </is>
      </c>
      <c r="B19" s="22" t="inlineStr">
        <is>
          <t>Anforderungen</t>
        </is>
      </c>
      <c r="C19" s="22" t="inlineStr">
        <is>
          <t>davon Klärungsbedarf</t>
        </is>
      </c>
      <c r="D19" s="22" t="inlineStr">
        <is>
          <t>Anteil</t>
        </is>
      </c>
    </row>
    <row r="20">
      <c r="A20" s="7" t="inlineStr">
        <is>
          <t>Aplitronic</t>
        </is>
      </c>
      <c r="B20" s="23">
        <f>COUNTIFS(tblAnf[Partner],"*"&amp;A20&amp;"*")</f>
        <v/>
      </c>
      <c r="C20" s="24">
        <f>COUNTIFS(tblAnf[Partner],"*"&amp;A20&amp;"*",tblAnf[Klärungsbedarf],"ja")</f>
        <v/>
      </c>
      <c r="D20" s="25">
        <f>IFERROR(B20/COUNTA(tblAnf[ID]),0)</f>
        <v/>
      </c>
    </row>
    <row r="21">
      <c r="A21" s="7" t="inlineStr">
        <is>
          <t>Reservierungsplattform</t>
        </is>
      </c>
      <c r="B21" s="23">
        <f>COUNTIFS(tblAnf[Partner],"*"&amp;A21&amp;"*")</f>
        <v/>
      </c>
      <c r="C21" s="24">
        <f>COUNTIFS(tblAnf[Partner],"*"&amp;A21&amp;"*",tblAnf[Klärungsbedarf],"ja")</f>
        <v/>
      </c>
      <c r="D21" s="25">
        <f>IFERROR(B21/COUNTA(tblAnf[ID]),0)</f>
        <v/>
      </c>
    </row>
    <row r="22">
      <c r="A22" s="7" t="inlineStr">
        <is>
          <t>SCS</t>
        </is>
      </c>
      <c r="B22" s="23">
        <f>COUNTIFS(tblAnf[Partner],"*"&amp;A22&amp;"*")</f>
        <v/>
      </c>
      <c r="C22" s="24">
        <f>COUNTIFS(tblAnf[Partner],"*"&amp;A22&amp;"*",tblAnf[Klärungsbedarf],"ja")</f>
        <v/>
      </c>
      <c r="D22" s="25">
        <f>IFERROR(B22/COUNTA(tblAnf[ID]),0)</f>
        <v/>
      </c>
    </row>
    <row r="23">
      <c r="A23" s="7" t="inlineStr">
        <is>
          <t>eRound</t>
        </is>
      </c>
      <c r="B23" s="23">
        <f>COUNTIFS(tblAnf[Partner],"*"&amp;A23&amp;"*")</f>
        <v/>
      </c>
      <c r="C23" s="24">
        <f>COUNTIFS(tblAnf[Partner],"*"&amp;A23&amp;"*",tblAnf[Klärungsbedarf],"ja")</f>
        <v/>
      </c>
      <c r="D23" s="25">
        <f>IFERROR(B23/COUNTA(tblAnf[ID]),0)</f>
        <v/>
      </c>
    </row>
    <row r="24">
      <c r="A24" s="7" t="inlineStr">
        <is>
          <t>offen</t>
        </is>
      </c>
      <c r="B24" s="23">
        <f>COUNTIFS(tblAnf[Partner],"*"&amp;A24&amp;"*")</f>
        <v/>
      </c>
      <c r="C24" s="24">
        <f>COUNTIFS(tblAnf[Partner],"*"&amp;A24&amp;"*",tblAnf[Klärungsbedarf],"ja")</f>
        <v/>
      </c>
      <c r="D24" s="25">
        <f>IFERROR(B24/COUNTA(tblAnf[ID]),0)</f>
        <v/>
      </c>
    </row>
    <row r="25">
      <c r="A25" s="7" t="inlineStr">
        <is>
          <t>tbd</t>
        </is>
      </c>
      <c r="B25" s="23">
        <f>COUNTIFS(tblAnf[Partner],"*"&amp;A25&amp;"*")</f>
        <v/>
      </c>
      <c r="C25" s="24">
        <f>COUNTIFS(tblAnf[Partner],"*"&amp;A25&amp;"*",tblAnf[Klärungsbedarf],"ja")</f>
        <v/>
      </c>
      <c r="D25" s="25">
        <f>IFERROR(B25/COUNTA(tblAnf[ID]),0)</f>
        <v/>
      </c>
    </row>
    <row r="28">
      <c r="A28" s="19" t="inlineStr">
        <is>
          <t>3  Nach Komponente</t>
        </is>
      </c>
      <c r="B28" s="20" t="n"/>
      <c r="C28" s="20" t="n"/>
      <c r="D28" s="20" t="n"/>
    </row>
    <row r="29">
      <c r="A29" s="21" t="inlineStr">
        <is>
          <t>Merkmal</t>
        </is>
      </c>
      <c r="B29" s="22" t="inlineStr">
        <is>
          <t>Anforderungen</t>
        </is>
      </c>
      <c r="C29" s="22" t="inlineStr">
        <is>
          <t>davon Klärungsbedarf</t>
        </is>
      </c>
      <c r="D29" s="22" t="inlineStr">
        <is>
          <t>Anteil</t>
        </is>
      </c>
    </row>
    <row r="30">
      <c r="A30" s="7" t="inlineStr">
        <is>
          <t>Abrechnungskomponente</t>
        </is>
      </c>
      <c r="B30" s="23">
        <f>COUNTIFS(tblAnf[Komponente(n)],"*"&amp;A30&amp;"*")</f>
        <v/>
      </c>
      <c r="C30" s="24">
        <f>COUNTIFS(tblAnf[Komponente(n)],"*"&amp;A30&amp;"*",tblAnf[Klärungsbedarf],"ja")</f>
        <v/>
      </c>
      <c r="D30" s="25">
        <f>IFERROR(B30/COUNTA(tblAnf[ID]),0)</f>
        <v/>
      </c>
    </row>
    <row r="31">
      <c r="A31" s="7" t="inlineStr">
        <is>
          <t>Anbindung</t>
        </is>
      </c>
      <c r="B31" s="23">
        <f>COUNTIFS(tblAnf[Komponente(n)],"*"&amp;A31&amp;"*")</f>
        <v/>
      </c>
      <c r="C31" s="24">
        <f>COUNTIFS(tblAnf[Komponente(n)],"*"&amp;A31&amp;"*",tblAnf[Klärungsbedarf],"ja")</f>
        <v/>
      </c>
      <c r="D31" s="25">
        <f>IFERROR(B31/COUNTA(tblAnf[ID]),0)</f>
        <v/>
      </c>
    </row>
    <row r="32">
      <c r="A32" s="7" t="inlineStr">
        <is>
          <t>Authentifizierungskomponente</t>
        </is>
      </c>
      <c r="B32" s="23">
        <f>COUNTIFS(tblAnf[Komponente(n)],"*"&amp;A32&amp;"*")</f>
        <v/>
      </c>
      <c r="C32" s="24">
        <f>COUNTIFS(tblAnf[Komponente(n)],"*"&amp;A32&amp;"*",tblAnf[Klärungsbedarf],"ja")</f>
        <v/>
      </c>
      <c r="D32" s="25">
        <f>IFERROR(B32/COUNTA(tblAnf[ID]),0)</f>
        <v/>
      </c>
    </row>
    <row r="33">
      <c r="A33" s="7" t="inlineStr">
        <is>
          <t>Belegungsdetektion</t>
        </is>
      </c>
      <c r="B33" s="23">
        <f>COUNTIFS(tblAnf[Komponente(n)],"*"&amp;A33&amp;"*")</f>
        <v/>
      </c>
      <c r="C33" s="24">
        <f>COUNTIFS(tblAnf[Komponente(n)],"*"&amp;A33&amp;"*",tblAnf[Klärungsbedarf],"ja")</f>
        <v/>
      </c>
      <c r="D33" s="25">
        <f>IFERROR(B33/COUNTA(tblAnf[ID]),0)</f>
        <v/>
      </c>
    </row>
    <row r="34">
      <c r="A34" s="7" t="inlineStr">
        <is>
          <t>Beschilderung</t>
        </is>
      </c>
      <c r="B34" s="23">
        <f>COUNTIFS(tblAnf[Komponente(n)],"*"&amp;A34&amp;"*")</f>
        <v/>
      </c>
      <c r="C34" s="24">
        <f>COUNTIFS(tblAnf[Komponente(n)],"*"&amp;A34&amp;"*",tblAnf[Klärungsbedarf],"ja")</f>
        <v/>
      </c>
      <c r="D34" s="25">
        <f>IFERROR(B34/COUNTA(tblAnf[ID]),0)</f>
        <v/>
      </c>
    </row>
    <row r="35">
      <c r="A35" s="7" t="inlineStr">
        <is>
          <t>Dynamische Anzeige</t>
        </is>
      </c>
      <c r="B35" s="23">
        <f>COUNTIFS(tblAnf[Komponente(n)],"*"&amp;A35&amp;"*")</f>
        <v/>
      </c>
      <c r="C35" s="24">
        <f>COUNTIFS(tblAnf[Komponente(n)],"*"&amp;A35&amp;"*",tblAnf[Klärungsbedarf],"ja")</f>
        <v/>
      </c>
      <c r="D35" s="25">
        <f>IFERROR(B35/COUNTA(tblAnf[ID]),0)</f>
        <v/>
      </c>
    </row>
    <row r="36">
      <c r="A36" s="7" t="inlineStr">
        <is>
          <t>Kennzeichenerfassung</t>
        </is>
      </c>
      <c r="B36" s="23">
        <f>COUNTIFS(tblAnf[Komponente(n)],"*"&amp;A36&amp;"*")</f>
        <v/>
      </c>
      <c r="C36" s="24">
        <f>COUNTIFS(tblAnf[Komponente(n)],"*"&amp;A36&amp;"*",tblAnf[Klärungsbedarf],"ja")</f>
        <v/>
      </c>
      <c r="D36" s="25">
        <f>IFERROR(B36/COUNTA(tblAnf[ID]),0)</f>
        <v/>
      </c>
    </row>
    <row r="37">
      <c r="A37" s="7" t="inlineStr">
        <is>
          <t>Ladeeinrichtung</t>
        </is>
      </c>
      <c r="B37" s="23">
        <f>COUNTIFS(tblAnf[Komponente(n)],"*"&amp;A37&amp;"*")</f>
        <v/>
      </c>
      <c r="C37" s="24">
        <f>COUNTIFS(tblAnf[Komponente(n)],"*"&amp;A37&amp;"*",tblAnf[Klärungsbedarf],"ja")</f>
        <v/>
      </c>
      <c r="D37" s="25">
        <f>IFERROR(B37/COUNTA(tblAnf[ID]),0)</f>
        <v/>
      </c>
    </row>
    <row r="38">
      <c r="A38" s="7" t="inlineStr">
        <is>
          <t>Monitoring</t>
        </is>
      </c>
      <c r="B38" s="23">
        <f>COUNTIFS(tblAnf[Komponente(n)],"*"&amp;A38&amp;"*")</f>
        <v/>
      </c>
      <c r="C38" s="24">
        <f>COUNTIFS(tblAnf[Komponente(n)],"*"&amp;A38&amp;"*",tblAnf[Klärungsbedarf],"ja")</f>
        <v/>
      </c>
      <c r="D38" s="25">
        <f>IFERROR(B38/COUNTA(tblAnf[ID]),0)</f>
        <v/>
      </c>
    </row>
    <row r="39">
      <c r="A39" s="7" t="inlineStr">
        <is>
          <t>OCPI Buchungskalender</t>
        </is>
      </c>
      <c r="B39" s="23">
        <f>COUNTIFS(tblAnf[Komponente(n)],"*"&amp;A39&amp;"*")</f>
        <v/>
      </c>
      <c r="C39" s="24">
        <f>COUNTIFS(tblAnf[Komponente(n)],"*"&amp;A39&amp;"*",tblAnf[Klärungsbedarf],"ja")</f>
        <v/>
      </c>
      <c r="D39" s="25">
        <f>IFERROR(B39/COUNTA(tblAnf[ID]),0)</f>
        <v/>
      </c>
    </row>
    <row r="40">
      <c r="A40" s="7" t="inlineStr">
        <is>
          <t>Pönalisierungssystem</t>
        </is>
      </c>
      <c r="B40" s="23">
        <f>COUNTIFS(tblAnf[Komponente(n)],"*"&amp;A40&amp;"*")</f>
        <v/>
      </c>
      <c r="C40" s="24">
        <f>COUNTIFS(tblAnf[Komponente(n)],"*"&amp;A40&amp;"*",tblAnf[Klärungsbedarf],"ja")</f>
        <v/>
      </c>
      <c r="D40" s="25">
        <f>IFERROR(B40/COUNTA(tblAnf[ID]),0)</f>
        <v/>
      </c>
    </row>
    <row r="41">
      <c r="A41" s="7" t="inlineStr">
        <is>
          <t>Reservierungsplattform</t>
        </is>
      </c>
      <c r="B41" s="23">
        <f>COUNTIFS(tblAnf[Komponente(n)],"*"&amp;A41&amp;"*")</f>
        <v/>
      </c>
      <c r="C41" s="24">
        <f>COUNTIFS(tblAnf[Komponente(n)],"*"&amp;A41&amp;"*",tblAnf[Klärungsbedarf],"ja")</f>
        <v/>
      </c>
      <c r="D41" s="25">
        <f>IFERROR(B41/COUNTA(tblAnf[ID]),0)</f>
        <v/>
      </c>
    </row>
    <row r="42">
      <c r="A42" s="7" t="inlineStr">
        <is>
          <t>Schrankenanlage</t>
        </is>
      </c>
      <c r="B42" s="23">
        <f>COUNTIFS(tblAnf[Komponente(n)],"*"&amp;A42&amp;"*")</f>
        <v/>
      </c>
      <c r="C42" s="24">
        <f>COUNTIFS(tblAnf[Komponente(n)],"*"&amp;A42&amp;"*",tblAnf[Klärungsbedarf],"ja")</f>
        <v/>
      </c>
      <c r="D42" s="25">
        <f>IFERROR(B42/COUNTA(tblAnf[ID]),0)</f>
        <v/>
      </c>
    </row>
    <row r="43">
      <c r="A43" s="7" t="inlineStr">
        <is>
          <t>Schrankensteuerung</t>
        </is>
      </c>
      <c r="B43" s="23">
        <f>COUNTIFS(tblAnf[Komponente(n)],"*"&amp;A43&amp;"*")</f>
        <v/>
      </c>
      <c r="C43" s="24">
        <f>COUNTIFS(tblAnf[Komponente(n)],"*"&amp;A43&amp;"*",tblAnf[Klärungsbedarf],"ja")</f>
        <v/>
      </c>
      <c r="D43" s="25">
        <f>IFERROR(B43/COUNTA(tblAnf[ID]),0)</f>
        <v/>
      </c>
    </row>
    <row r="46">
      <c r="A46" s="19" t="inlineStr">
        <is>
          <t>4  Nach Dokument</t>
        </is>
      </c>
      <c r="B46" s="20" t="n"/>
      <c r="C46" s="20" t="n"/>
      <c r="D46" s="20" t="n"/>
    </row>
    <row r="47">
      <c r="A47" s="21" t="inlineStr">
        <is>
          <t>Merkmal</t>
        </is>
      </c>
      <c r="B47" s="22" t="inlineStr">
        <is>
          <t>Anforderungen</t>
        </is>
      </c>
      <c r="C47" s="22" t="inlineStr">
        <is>
          <t>davon Klärungsbedarf</t>
        </is>
      </c>
      <c r="D47" s="22" t="inlineStr">
        <is>
          <t>Anteil</t>
        </is>
      </c>
    </row>
    <row r="48">
      <c r="A48" s="7" t="inlineStr">
        <is>
          <t>Anlage 13</t>
        </is>
      </c>
      <c r="B48" s="23">
        <f>COUNTIFS(tblAnf[Dokument],"*"&amp;A48&amp;"*")</f>
        <v/>
      </c>
      <c r="C48" s="24">
        <f>COUNTIFS(tblAnf[Dokument],"*"&amp;A48&amp;"*",tblAnf[Klärungsbedarf],"ja")</f>
        <v/>
      </c>
      <c r="D48" s="25">
        <f>IFERROR(B48/COUNTA(tblAnf[ID]),0)</f>
        <v/>
      </c>
    </row>
    <row r="49">
      <c r="A49" s="7" t="inlineStr">
        <is>
          <t>Betreibervertrag</t>
        </is>
      </c>
      <c r="B49" s="23">
        <f>COUNTIFS(tblAnf[Dokument],"*"&amp;A49&amp;"*")</f>
        <v/>
      </c>
      <c r="C49" s="24">
        <f>COUNTIFS(tblAnf[Dokument],"*"&amp;A49&amp;"*",tblAnf[Klärungsbedarf],"ja")</f>
        <v/>
      </c>
      <c r="D49" s="25">
        <f>IFERROR(B49/COUNTA(tblAnf[ID]),0)</f>
        <v/>
      </c>
    </row>
    <row r="50">
      <c r="A50" s="7" t="inlineStr">
        <is>
          <t>Bieterfrage</t>
        </is>
      </c>
      <c r="B50" s="23">
        <f>COUNTIFS(tblAnf[Dokument],"*"&amp;A50&amp;"*")</f>
        <v/>
      </c>
      <c r="C50" s="24">
        <f>COUNTIFS(tblAnf[Dokument],"*"&amp;A50&amp;"*",tblAnf[Klärungsbedarf],"ja")</f>
        <v/>
      </c>
      <c r="D50" s="25">
        <f>IFERROR(B50/COUNTA(tblAnf[ID]),0)</f>
        <v/>
      </c>
    </row>
    <row r="51">
      <c r="A51" s="7" t="inlineStr">
        <is>
          <t>Vertragsanlage 10</t>
        </is>
      </c>
      <c r="B51" s="23">
        <f>COUNTIFS(tblAnf[Dokument],"*"&amp;A51&amp;"*")</f>
        <v/>
      </c>
      <c r="C51" s="24">
        <f>COUNTIFS(tblAnf[Dokument],"*"&amp;A51&amp;"*",tblAnf[Klärungsbedarf],"ja")</f>
        <v/>
      </c>
      <c r="D51" s="25">
        <f>IFERROR(B51/COUNTA(tblAnf[ID]),0)</f>
        <v/>
      </c>
    </row>
    <row r="52">
      <c r="A52" s="7" t="inlineStr">
        <is>
          <t>Vertragsanlage 4</t>
        </is>
      </c>
      <c r="B52" s="23">
        <f>COUNTIFS(tblAnf[Dokument],"*"&amp;A52&amp;"*")</f>
        <v/>
      </c>
      <c r="C52" s="24">
        <f>COUNTIFS(tblAnf[Dokument],"*"&amp;A52&amp;"*",tblAnf[Klärungsbedarf],"ja")</f>
        <v/>
      </c>
      <c r="D52" s="25">
        <f>IFERROR(B52/COUNTA(tblAnf[ID]),0)</f>
        <v/>
      </c>
    </row>
    <row r="53">
      <c r="A53" s="7" t="inlineStr">
        <is>
          <t>Vertragsanlage 6</t>
        </is>
      </c>
      <c r="B53" s="23">
        <f>COUNTIFS(tblAnf[Dokument],"*"&amp;A53&amp;"*")</f>
        <v/>
      </c>
      <c r="C53" s="24">
        <f>COUNTIFS(tblAnf[Dokument],"*"&amp;A53&amp;"*",tblAnf[Klärungsbedarf],"ja")</f>
        <v/>
      </c>
      <c r="D53" s="25">
        <f>IFERROR(B53/COUNTA(tblAnf[ID]),0)</f>
        <v/>
      </c>
    </row>
  </sheetData>
  <conditionalFormatting sqref="B7:B15">
    <cfRule type="dataBar" priority="1">
      <dataBar showValue="1">
        <cfvo type="num" val="0"/>
        <cfvo type="max"/>
        <color rgb="004472C4"/>
      </dataBar>
    </cfRule>
  </conditionalFormatting>
  <conditionalFormatting sqref="B20:B25">
    <cfRule type="dataBar" priority="2">
      <dataBar showValue="1">
        <cfvo type="num" val="0"/>
        <cfvo type="max"/>
        <color rgb="004472C4"/>
      </dataBar>
    </cfRule>
  </conditionalFormatting>
  <conditionalFormatting sqref="B30:B43">
    <cfRule type="dataBar" priority="3">
      <dataBar showValue="1">
        <cfvo type="num" val="0"/>
        <cfvo type="max"/>
        <color rgb="004472C4"/>
      </dataBar>
    </cfRule>
  </conditionalFormatting>
  <conditionalFormatting sqref="B48:B53">
    <cfRule type="dataBar" priority="4">
      <dataBar showValue="1">
        <cfvo type="num" val="0"/>
        <cfvo type="max"/>
        <color rgb="004472C4"/>
      </dataBar>
    </cfRule>
  </conditionalFormatting>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sheetPr>
  <dimension ref="A1:F22"/>
  <sheetViews>
    <sheetView showGridLines="0" workbookViewId="0">
      <pane ySplit="5" topLeftCell="A6" activePane="bottomLeft" state="frozen"/>
      <selection pane="bottomLeft" activeCell="A1" sqref="A1"/>
    </sheetView>
  </sheetViews>
  <sheetFormatPr baseColWidth="8" defaultRowHeight="15"/>
  <cols>
    <col width="16" customWidth="1" min="1" max="1"/>
    <col width="24" customWidth="1" min="2" max="2"/>
    <col width="44" customWidth="1" min="3" max="3"/>
    <col width="15" customWidth="1" min="4" max="4"/>
    <col width="20" customWidth="1" min="5" max="5"/>
    <col width="40" customWidth="1" min="6" max="6"/>
  </cols>
  <sheetData>
    <row r="1">
      <c r="A1" s="1" t="inlineStr">
        <is>
          <t>Komponenten &amp; Schnittstellen</t>
        </is>
      </c>
    </row>
    <row r="2">
      <c r="A2" s="2" t="inlineStr">
        <is>
          <t>Wer liefert was – und wie viele Anforderungen hängen daran</t>
        </is>
      </c>
    </row>
    <row r="3">
      <c r="A3" s="3" t="inlineStr">
        <is>
          <t>Die Anzahl rechnet automatisch aus dem Register.</t>
        </is>
      </c>
    </row>
    <row r="5" ht="30" customHeight="1">
      <c r="A5" s="26" t="inlineStr">
        <is>
          <t>Art</t>
        </is>
      </c>
      <c r="B5" s="26" t="inlineStr">
        <is>
          <t>Partner</t>
        </is>
      </c>
      <c r="C5" s="26" t="inlineStr">
        <is>
          <t>Komponente(n)</t>
        </is>
      </c>
      <c r="D5" s="26" t="inlineStr">
        <is>
          <t>Anforderungen</t>
        </is>
      </c>
      <c r="E5" s="26" t="inlineStr">
        <is>
          <t>davon Klärungsbedarf</t>
        </is>
      </c>
      <c r="F5" s="26" t="inlineStr">
        <is>
          <t>Bemerkung</t>
        </is>
      </c>
    </row>
    <row r="6" ht="30" customHeight="1">
      <c r="A6" s="13" t="inlineStr">
        <is>
          <t>Komponente</t>
        </is>
      </c>
      <c r="B6" s="13" t="inlineStr">
        <is>
          <t>Aplitronic</t>
        </is>
      </c>
      <c r="C6" s="13" t="inlineStr">
        <is>
          <t>Ladeeinrichtung</t>
        </is>
      </c>
      <c r="D6" s="24">
        <f>COUNTIFS(tblAnf[Komponente(n)],"*Ladeeinrichtung*")</f>
        <v/>
      </c>
      <c r="E6" s="24">
        <f>COUNTIFS(tblAnf[Komponente(n)],"*Ladeeinrichtung*",tblAnf[Klärungsbedarf],"ja")</f>
        <v/>
      </c>
      <c r="F6" s="17" t="n"/>
    </row>
    <row r="7" ht="30" customHeight="1">
      <c r="A7" s="13" t="inlineStr">
        <is>
          <t>Komponente</t>
        </is>
      </c>
      <c r="B7" s="13" t="inlineStr">
        <is>
          <t>eRound</t>
        </is>
      </c>
      <c r="C7" s="13" t="inlineStr">
        <is>
          <t>Abrechnungskomponente</t>
        </is>
      </c>
      <c r="D7" s="24">
        <f>COUNTIFS(tblAnf[Komponente(n)],"*Abrechnungskomponente*")</f>
        <v/>
      </c>
      <c r="E7" s="24">
        <f>COUNTIFS(tblAnf[Komponente(n)],"*Abrechnungskomponente*",tblAnf[Klärungsbedarf],"ja")</f>
        <v/>
      </c>
      <c r="F7" s="17" t="n"/>
    </row>
    <row r="8" ht="30" customHeight="1">
      <c r="A8" s="13" t="inlineStr">
        <is>
          <t>Komponente</t>
        </is>
      </c>
      <c r="B8" s="13" t="inlineStr">
        <is>
          <t>eRound</t>
        </is>
      </c>
      <c r="C8" s="13" t="inlineStr">
        <is>
          <t>Monitoring</t>
        </is>
      </c>
      <c r="D8" s="24">
        <f>COUNTIFS(tblAnf[Komponente(n)],"*Monitoring*")</f>
        <v/>
      </c>
      <c r="E8" s="24">
        <f>COUNTIFS(tblAnf[Komponente(n)],"*Monitoring*",tblAnf[Klärungsbedarf],"ja")</f>
        <v/>
      </c>
      <c r="F8" s="17" t="n"/>
    </row>
    <row r="9" ht="30" customHeight="1">
      <c r="A9" s="13" t="inlineStr">
        <is>
          <t>Komponente</t>
        </is>
      </c>
      <c r="B9" s="13" t="inlineStr">
        <is>
          <t>eRound</t>
        </is>
      </c>
      <c r="C9" s="13" t="inlineStr">
        <is>
          <t>OCPI Buchungskalender</t>
        </is>
      </c>
      <c r="D9" s="24">
        <f>COUNTIFS(tblAnf[Komponente(n)],"*OCPI Buchungskalender*")</f>
        <v/>
      </c>
      <c r="E9" s="24">
        <f>COUNTIFS(tblAnf[Komponente(n)],"*OCPI Buchungskalender*",tblAnf[Klärungsbedarf],"ja")</f>
        <v/>
      </c>
      <c r="F9" s="17" t="n"/>
    </row>
    <row r="10" ht="30" customHeight="1">
      <c r="A10" s="13" t="inlineStr">
        <is>
          <t>Komponente</t>
        </is>
      </c>
      <c r="B10" s="13" t="inlineStr">
        <is>
          <t>Reservierungsplattform</t>
        </is>
      </c>
      <c r="C10" s="13" t="inlineStr">
        <is>
          <t>Anbindung</t>
        </is>
      </c>
      <c r="D10" s="24">
        <f>COUNTIFS(tblAnf[Komponente(n)],"*Anbindung*")</f>
        <v/>
      </c>
      <c r="E10" s="24">
        <f>COUNTIFS(tblAnf[Komponente(n)],"*Anbindung*",tblAnf[Klärungsbedarf],"ja")</f>
        <v/>
      </c>
      <c r="F10" s="17" t="n"/>
    </row>
    <row r="11" ht="30" customHeight="1">
      <c r="A11" s="13" t="inlineStr">
        <is>
          <t>Komponente</t>
        </is>
      </c>
      <c r="B11" s="13" t="inlineStr">
        <is>
          <t>Reservierungsplattform</t>
        </is>
      </c>
      <c r="C11" s="13" t="inlineStr">
        <is>
          <t>Reservierungsplattform</t>
        </is>
      </c>
      <c r="D11" s="24">
        <f>COUNTIFS(tblAnf[Komponente(n)],"*Reservierungsplattform*")</f>
        <v/>
      </c>
      <c r="E11" s="24">
        <f>COUNTIFS(tblAnf[Komponente(n)],"*Reservierungsplattform*",tblAnf[Klärungsbedarf],"ja")</f>
        <v/>
      </c>
      <c r="F11" s="17" t="n"/>
    </row>
    <row r="12" ht="30" customHeight="1">
      <c r="A12" s="13" t="inlineStr">
        <is>
          <t>Komponente</t>
        </is>
      </c>
      <c r="B12" s="13" t="inlineStr">
        <is>
          <t>SCS</t>
        </is>
      </c>
      <c r="C12" s="13" t="inlineStr">
        <is>
          <t>Belegungsdetektion</t>
        </is>
      </c>
      <c r="D12" s="24">
        <f>COUNTIFS(tblAnf[Komponente(n)],"*Belegungsdetektion*")</f>
        <v/>
      </c>
      <c r="E12" s="24">
        <f>COUNTIFS(tblAnf[Komponente(n)],"*Belegungsdetektion*",tblAnf[Klärungsbedarf],"ja")</f>
        <v/>
      </c>
      <c r="F12" s="17" t="n"/>
    </row>
    <row r="13" ht="30" customHeight="1">
      <c r="A13" s="13" t="inlineStr">
        <is>
          <t>Komponente</t>
        </is>
      </c>
      <c r="B13" s="13" t="inlineStr">
        <is>
          <t>SCS</t>
        </is>
      </c>
      <c r="C13" s="13" t="inlineStr">
        <is>
          <t>Dynamische Anzeige</t>
        </is>
      </c>
      <c r="D13" s="24">
        <f>COUNTIFS(tblAnf[Komponente(n)],"*Dynamische Anzeige*")</f>
        <v/>
      </c>
      <c r="E13" s="24">
        <f>COUNTIFS(tblAnf[Komponente(n)],"*Dynamische Anzeige*",tblAnf[Klärungsbedarf],"ja")</f>
        <v/>
      </c>
      <c r="F13" s="17" t="n"/>
    </row>
    <row r="14" ht="30" customHeight="1">
      <c r="A14" s="13" t="inlineStr">
        <is>
          <t>Komponente</t>
        </is>
      </c>
      <c r="B14" s="13" t="inlineStr">
        <is>
          <t>SCS</t>
        </is>
      </c>
      <c r="C14" s="13" t="inlineStr">
        <is>
          <t>Kennzeichenerfassung</t>
        </is>
      </c>
      <c r="D14" s="24">
        <f>COUNTIFS(tblAnf[Komponente(n)],"*Kennzeichenerfassung*")</f>
        <v/>
      </c>
      <c r="E14" s="24">
        <f>COUNTIFS(tblAnf[Komponente(n)],"*Kennzeichenerfassung*",tblAnf[Klärungsbedarf],"ja")</f>
        <v/>
      </c>
      <c r="F14" s="17" t="n"/>
    </row>
    <row r="15" ht="30" customHeight="1">
      <c r="A15" s="13" t="inlineStr">
        <is>
          <t>Komponente</t>
        </is>
      </c>
      <c r="B15" s="13" t="inlineStr">
        <is>
          <t>SCS</t>
        </is>
      </c>
      <c r="C15" s="13" t="inlineStr">
        <is>
          <t>Pönalisierungssystem</t>
        </is>
      </c>
      <c r="D15" s="24">
        <f>COUNTIFS(tblAnf[Komponente(n)],"*Pönalisierungssystem*")</f>
        <v/>
      </c>
      <c r="E15" s="24">
        <f>COUNTIFS(tblAnf[Komponente(n)],"*Pönalisierungssystem*",tblAnf[Klärungsbedarf],"ja")</f>
        <v/>
      </c>
      <c r="F15" s="17" t="n"/>
    </row>
    <row r="16" ht="30" customHeight="1">
      <c r="A16" s="13" t="inlineStr">
        <is>
          <t>Komponente</t>
        </is>
      </c>
      <c r="B16" s="13" t="inlineStr">
        <is>
          <t>tbd</t>
        </is>
      </c>
      <c r="C16" s="13" t="inlineStr">
        <is>
          <t>Beschilderung</t>
        </is>
      </c>
      <c r="D16" s="24">
        <f>COUNTIFS(tblAnf[Komponente(n)],"*Beschilderung*")</f>
        <v/>
      </c>
      <c r="E16" s="24">
        <f>COUNTIFS(tblAnf[Komponente(n)],"*Beschilderung*",tblAnf[Klärungsbedarf],"ja")</f>
        <v/>
      </c>
      <c r="F16" s="17" t="n"/>
    </row>
    <row r="17" ht="30" customHeight="1">
      <c r="A17" s="13" t="inlineStr">
        <is>
          <t>Komponente</t>
        </is>
      </c>
      <c r="B17" s="13" t="inlineStr">
        <is>
          <t>tbd</t>
        </is>
      </c>
      <c r="C17" s="13" t="inlineStr">
        <is>
          <t>Schrankenanlage</t>
        </is>
      </c>
      <c r="D17" s="24">
        <f>COUNTIFS(tblAnf[Komponente(n)],"*Schrankenanlage*")</f>
        <v/>
      </c>
      <c r="E17" s="24">
        <f>COUNTIFS(tblAnf[Komponente(n)],"*Schrankenanlage*",tblAnf[Klärungsbedarf],"ja")</f>
        <v/>
      </c>
      <c r="F17" s="17" t="n"/>
    </row>
    <row r="18" ht="30" customHeight="1">
      <c r="A18" s="13" t="inlineStr">
        <is>
          <t>Komponente</t>
        </is>
      </c>
      <c r="B18" s="13" t="inlineStr">
        <is>
          <t>SCS</t>
        </is>
      </c>
      <c r="C18" s="13" t="inlineStr">
        <is>
          <t>Schrankensteuerung</t>
        </is>
      </c>
      <c r="D18" s="24">
        <f>COUNTIFS(tblAnf[Komponente(n)],"*Schrankensteuerung*")</f>
        <v/>
      </c>
      <c r="E18" s="24">
        <f>COUNTIFS(tblAnf[Komponente(n)],"*Schrankensteuerung*",tblAnf[Klärungsbedarf],"ja")</f>
        <v/>
      </c>
      <c r="F18" s="17" t="n"/>
    </row>
    <row r="19" ht="30" customHeight="1">
      <c r="A19" s="13" t="inlineStr">
        <is>
          <t>Schnittstelle</t>
        </is>
      </c>
      <c r="B19" s="13" t="inlineStr">
        <is>
          <t>eRound / SCS</t>
        </is>
      </c>
      <c r="C19" s="13" t="inlineStr">
        <is>
          <t>OCPI Buchungskalender / Abrechnungskomponente / Belegungsdetektion / Pönalisierungssystem</t>
        </is>
      </c>
      <c r="D19" s="24">
        <f>COUNTIFS(tblAnf[Komponente(n)],"*OCPI Buchungskalender*")</f>
        <v/>
      </c>
      <c r="E19" s="24">
        <f>COUNTIFS(tblAnf[Komponente(n)],"*OCPI Buchungskalender*",tblAnf[Klärungsbedarf],"ja")</f>
        <v/>
      </c>
      <c r="F19" s="17" t="n"/>
    </row>
    <row r="20" ht="30" customHeight="1">
      <c r="A20" s="13" t="inlineStr">
        <is>
          <t>Schnittstelle</t>
        </is>
      </c>
      <c r="B20" s="13" t="inlineStr">
        <is>
          <t>eRound / SCS</t>
        </is>
      </c>
      <c r="C20" s="13" t="inlineStr">
        <is>
          <t>OCPI Buchungskalender / Dynamische Anzeige</t>
        </is>
      </c>
      <c r="D20" s="24">
        <f>COUNTIFS(tblAnf[Komponente(n)],"*OCPI Buchungskalender*")</f>
        <v/>
      </c>
      <c r="E20" s="24">
        <f>COUNTIFS(tblAnf[Komponente(n)],"*OCPI Buchungskalender*",tblAnf[Klärungsbedarf],"ja")</f>
        <v/>
      </c>
      <c r="F20" s="17" t="n"/>
    </row>
    <row r="21" ht="30" customHeight="1">
      <c r="A21" s="13" t="inlineStr">
        <is>
          <t>Schnittstelle</t>
        </is>
      </c>
      <c r="B21" s="13" t="inlineStr">
        <is>
          <t>eRound / SCS</t>
        </is>
      </c>
      <c r="C21" s="13" t="inlineStr">
        <is>
          <t>OCPI Buchungskalender / Kennzeichenerfassung / Pönalisierungssystem</t>
        </is>
      </c>
      <c r="D21" s="24">
        <f>COUNTIFS(tblAnf[Komponente(n)],"*OCPI Buchungskalender*")</f>
        <v/>
      </c>
      <c r="E21" s="24">
        <f>COUNTIFS(tblAnf[Komponente(n)],"*OCPI Buchungskalender*",tblAnf[Klärungsbedarf],"ja")</f>
        <v/>
      </c>
      <c r="F21" s="17" t="n"/>
    </row>
    <row r="22" ht="30" customHeight="1">
      <c r="A22" s="13" t="inlineStr">
        <is>
          <t>Schnittstelle</t>
        </is>
      </c>
      <c r="B22" s="13" t="inlineStr">
        <is>
          <t>eRound / tbd</t>
        </is>
      </c>
      <c r="C22" s="13" t="inlineStr">
        <is>
          <t>Authentifizierungskomponente / Schrankensteuerung</t>
        </is>
      </c>
      <c r="D22" s="24">
        <f>COUNTIFS(tblAnf[Komponente(n)],"*Authentifizierungskomponente*")</f>
        <v/>
      </c>
      <c r="E22" s="24">
        <f>COUNTIFS(tblAnf[Komponente(n)],"*Authentifizierungskomponente*",tblAnf[Klärungsbedarf],"ja")</f>
        <v/>
      </c>
      <c r="F22" s="17" t="n"/>
    </row>
  </sheetData>
  <autoFilter ref="A5:F22"/>
  <conditionalFormatting sqref="D6:D22">
    <cfRule type="dataBar" priority="1">
      <dataBar showValue="1">
        <cfvo type="num" val="0"/>
        <cfvo type="max"/>
        <color rgb="004472C4"/>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10" customWidth="1" min="1" max="1"/>
    <col width="52" customWidth="1" min="2" max="2"/>
    <col width="22" customWidth="1" min="3" max="3"/>
    <col width="24" customWidth="1" min="4" max="4"/>
    <col width="24" customWidth="1" min="5" max="5"/>
  </cols>
  <sheetData>
    <row r="1">
      <c r="A1" s="1" t="inlineStr">
        <is>
          <t>Anzeigekonzept Ladeplatz</t>
        </is>
      </c>
    </row>
    <row r="2">
      <c r="A2" s="2" t="inlineStr">
        <is>
          <t>Dynamische Anzeige je Ladeplatz – Vorgabe aus Vertragsanlage 4, Ziffer 3.13.4 (ANF-040)</t>
        </is>
      </c>
    </row>
    <row r="3">
      <c r="A3" s="3" t="inlineStr">
        <is>
          <t>Offener Punkt aus der Quelldatei: die Breite der Anzeige reicht für die geforderten Inhalte nicht aus.</t>
        </is>
      </c>
    </row>
    <row r="5" ht="30" customHeight="1">
      <c r="A5" s="26" t="inlineStr">
        <is>
          <t>Zeile</t>
        </is>
      </c>
      <c r="B5" s="26" t="inlineStr">
        <is>
          <t>Geforderter Inhalt</t>
        </is>
      </c>
      <c r="C5" s="26" t="inlineStr">
        <is>
          <t>MCS</t>
        </is>
      </c>
      <c r="D5" s="26" t="inlineStr">
        <is>
          <t>CCS – Zwischenladen</t>
        </is>
      </c>
      <c r="E5" s="26" t="inlineStr">
        <is>
          <t>CCS – Übernachtladen</t>
        </is>
      </c>
    </row>
    <row r="6" ht="26" customHeight="1">
      <c r="A6" s="27" t="inlineStr">
        <is>
          <t>Zeile 1</t>
        </is>
      </c>
      <c r="B6" s="28" t="inlineStr">
        <is>
          <t>Typ des Ladeplatzes</t>
        </is>
      </c>
      <c r="C6" s="29" t="inlineStr">
        <is>
          <t>MCS</t>
        </is>
      </c>
      <c r="D6" s="29" t="inlineStr">
        <is>
          <t>CCS-Zwischenladen</t>
        </is>
      </c>
      <c r="E6" s="29" t="inlineStr">
        <is>
          <t>CCS-Übernachtladen</t>
        </is>
      </c>
    </row>
    <row r="7" ht="26" customHeight="1">
      <c r="A7" s="27" t="inlineStr">
        <is>
          <t>Zeile 2</t>
        </is>
      </c>
      <c r="B7" s="28" t="inlineStr">
        <is>
          <t>Leistung der Ladesäule</t>
        </is>
      </c>
      <c r="C7" s="29" t="inlineStr">
        <is>
          <t>1000 kW</t>
        </is>
      </c>
      <c r="D7" s="29" t="inlineStr">
        <is>
          <t>400 kW</t>
        </is>
      </c>
      <c r="E7" s="29" t="inlineStr">
        <is>
          <t>200 kW  (siehe Hinweis)</t>
        </is>
      </c>
    </row>
    <row r="8" ht="26" customHeight="1">
      <c r="A8" s="27" t="inlineStr">
        <is>
          <t>Zeile 3</t>
        </is>
      </c>
      <c r="B8" s="28" t="inlineStr">
        <is>
          <t>Status (verfügbar, reserviert ab XX:XX Uhr, belegt, außer Betrieb)</t>
        </is>
      </c>
      <c r="C8" s="29" t="inlineStr">
        <is>
          <t>verfügbar</t>
        </is>
      </c>
      <c r="D8" s="29" t="inlineStr">
        <is>
          <t>reserviert ab 15:00 Uhr</t>
        </is>
      </c>
      <c r="E8" s="29" t="inlineStr">
        <is>
          <t>belegt / außer Betrieb</t>
        </is>
      </c>
    </row>
    <row r="9" ht="26" customHeight="1">
      <c r="A9" s="27" t="inlineStr">
        <is>
          <t>Zeile 4</t>
        </is>
      </c>
      <c r="B9" s="28" t="inlineStr">
        <is>
          <t>optional: Kennzeichen bzw. Reservierungsnummer</t>
        </is>
      </c>
      <c r="C9" s="29" t="inlineStr">
        <is>
          <t>bis 15:00 Uhr</t>
        </is>
      </c>
      <c r="D9" s="29" t="inlineStr">
        <is>
          <t>HH-MM 1234</t>
        </is>
      </c>
      <c r="E9" s="29" t="inlineStr">
        <is>
          <t>–</t>
        </is>
      </c>
    </row>
    <row r="12">
      <c r="A12" s="30" t="inlineStr">
        <is>
          <t>Zusätzlich gefordert</t>
        </is>
      </c>
    </row>
    <row r="13" ht="30" customHeight="1">
      <c r="A13" s="31" t="inlineStr">
        <is>
          <t>•  Ladeplatznummer als Schild: schwarze Nummer auf weißem, retroreflektierendem Grund, Reflexionsklasse RA1 A (Vertragsanlage 4, 3.13.4)</t>
        </is>
      </c>
    </row>
    <row r="14" ht="30" customHeight="1">
      <c r="A14" s="31" t="inlineStr">
        <is>
          <t>•  Beschilderung mit Hinweis, dass der Stellplatz nach dem Ladevorgang unverzüglich freizugeben ist – Text bedarf der Zustimmung des Auftraggebers 2 (Betreibervertrag § 38 Abs. 9)</t>
        </is>
      </c>
    </row>
    <row r="15" ht="30" customHeight="1">
      <c r="A15" s="31" t="inlineStr">
        <is>
          <t>•  Display an der Ladeeinrichtung: Ad-hoc-Preis, geladene Energiemenge, Blockadeentgelt, Bedienhinweise; ablesbar bei Sonne und Dunkelheit, Menü mindestens Deutsch und Englisch (Vertragsanlage 6, Ziffer 4)</t>
        </is>
      </c>
    </row>
    <row r="16" ht="30" customHeight="1">
      <c r="A16" s="31" t="inlineStr">
        <is>
          <t>•  Offener Punkt: die vorgesehene Anzeigenbreite reicht laut Prüfung nicht für alle vier Zeilen – Layout oder Hardware klären.</t>
        </is>
      </c>
    </row>
    <row r="17" ht="30" customHeight="1">
      <c r="A17" s="31" t="inlineStr">
        <is>
          <t>•  Offener Punkt: die Quelldatei nennt für CCS-Übernachtladen an einer Stelle 250 kW und an anderer 200 kW – zu vereinheitlichen.</t>
        </is>
      </c>
    </row>
  </sheetData>
  <mergeCells count="5">
    <mergeCell ref="A16:E16"/>
    <mergeCell ref="A15:E15"/>
    <mergeCell ref="A13:E13"/>
    <mergeCell ref="A14:E14"/>
    <mergeCell ref="A17:E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6" customWidth="1" min="1" max="1"/>
    <col width="96" customWidth="1" min="2" max="2"/>
  </cols>
  <sheetData>
    <row r="1">
      <c r="A1" s="1" t="inlineStr">
        <is>
          <t>Lesehilfe</t>
        </is>
      </c>
    </row>
    <row r="2">
      <c r="A2" s="2" t="inlineStr">
        <is>
          <t>Wie diese Mappe aufgebaut ist und wie damit gearbeitet wird</t>
        </is>
      </c>
    </row>
    <row r="5" ht="34" customHeight="1">
      <c r="A5" s="32" t="inlineStr">
        <is>
          <t>Zweck</t>
        </is>
      </c>
      <c r="B5" s="13" t="inlineStr">
        <is>
          <t>Die Mappe führt alle vertraglichen Anforderungen aus der Ausschreibung „Autostrom / LKW-Laden“ an einer Stelle zusammen: was gefordert ist, wo es steht, wer es liefert und wie weit die Umsetzung ist.</t>
        </is>
      </c>
    </row>
    <row r="6" ht="34" customHeight="1">
      <c r="A6" s="32" t="inlineStr">
        <is>
          <t>Cockpit</t>
        </is>
      </c>
      <c r="B6" s="13" t="inlineStr">
        <is>
          <t>Kennzahlen und vier Diagramme: Anforderungen je Themenfeld, Partner, Komponente und Quelldokument. Rechnet live mit.</t>
        </is>
      </c>
    </row>
    <row r="7" ht="34" customHeight="1">
      <c r="A7" s="32" t="inlineStr">
        <is>
          <t>Anforderungen</t>
        </is>
      </c>
      <c r="B7" s="13" t="inlineStr">
        <is>
          <t>Das Register mit 52 Anforderungen. Weiße Spalten enthalten den Inhalt aus der Ausschreibung, gelbe Spalten sind eure Steuerung (Status, Priorität, Verantwortlich, Fällig, Nachweis).</t>
        </is>
      </c>
    </row>
    <row r="8" ht="34" customHeight="1">
      <c r="A8" s="32" t="inlineStr">
        <is>
          <t>Auswertung</t>
        </is>
      </c>
      <c r="B8" s="13" t="inlineStr">
        <is>
          <t>Zählt Anforderungen und offene Klärungen je Themenfeld, Partner, Komponente und Dokument.</t>
        </is>
      </c>
    </row>
    <row r="9" ht="34" customHeight="1">
      <c r="A9" s="32" t="inlineStr">
        <is>
          <t>Komponenten</t>
        </is>
      </c>
      <c r="B9" s="13" t="inlineStr">
        <is>
          <t>Die 17 Komponenten und Schnittstellen aus der Quelldatei mit der Anzahl daran hängender Anforderungen.</t>
        </is>
      </c>
    </row>
    <row r="10" ht="34" customHeight="1">
      <c r="A10" s="32" t="inlineStr">
        <is>
          <t>Anzeigekonzept</t>
        </is>
      </c>
      <c r="B10" s="13" t="inlineStr">
        <is>
          <t>Der Inhalt der dynamischen Ladeplatzanzeige je Ladeplatztyp inklusive des offenen Punktes zur Anzeigenbreite.</t>
        </is>
      </c>
    </row>
    <row r="12" ht="34" customHeight="1">
      <c r="A12" s="32" t="inlineStr">
        <is>
          <t>Spalte „Fundstelle“</t>
        </is>
      </c>
      <c r="B12" s="13" t="inlineStr">
        <is>
          <t>Paragraf, Absatz und Unterpunkt des Quelldokuments, z. B. § 25 (2) c.</t>
        </is>
      </c>
    </row>
    <row r="13" ht="34" customHeight="1">
      <c r="A13" s="32" t="inlineStr">
        <is>
          <t>Spalte „Themenfeld“</t>
        </is>
      </c>
      <c r="B13" s="13" t="inlineStr">
        <is>
          <t>Fachliche Bündelung: Reservierung, Nutzungszeit &amp; Entgelte, Zufahrt &amp; Schranke, Belegungsdetektion, Authentifizierung &amp; Zugang, Anzeige &amp; Beschilderung, Monitoring &amp; Reporting, Betrieb &amp; Auslastung, Bau &amp; Dokumentation.</t>
        </is>
      </c>
    </row>
    <row r="14" ht="34" customHeight="1">
      <c r="A14" s="32" t="inlineStr">
        <is>
          <t>Spalte „Klärungsbedarf“</t>
        </is>
      </c>
      <c r="B14" s="13" t="inlineStr">
        <is>
          <t>Wird automatisch auf „ja“ gesetzt, wenn kein Partner feststeht (offen oder tbd) oder die Bemerkung eine Frage enthält.</t>
        </is>
      </c>
    </row>
    <row r="15" ht="34" customHeight="1">
      <c r="A15" s="32" t="inlineStr">
        <is>
          <t>Spalte „Status“</t>
        </is>
      </c>
      <c r="B15" s="13" t="inlineStr">
        <is>
          <t>Auswahl: offen, in Klärung, in Umsetzung, umgesetzt, entfällt.</t>
        </is>
      </c>
    </row>
    <row r="17" ht="34" customHeight="1">
      <c r="A17" s="32" t="inlineStr">
        <is>
          <t>Neue Anforderung</t>
        </is>
      </c>
      <c r="B17" s="13" t="inlineStr">
        <is>
          <t>Direkt unter der letzten Zeile des Registers eintragen – die Tabelle wächst automatisch, alle Zählungen und Diagramme ziehen mit.</t>
        </is>
      </c>
    </row>
    <row r="18" ht="34" customHeight="1">
      <c r="A18" s="32" t="inlineStr">
        <is>
          <t>Originaltexte</t>
        </is>
      </c>
      <c r="B18" s="13" t="inlineStr">
        <is>
          <t>Die Anforderungstexte wurden unverändert übernommen; lediglich die Trennzeichen aus dem PDF-Import (_x0002_) wurden entfernt.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2026-08-17T08:35:42Z</dcterms:created>
  <dcterms:modified xsi:type="dcterms:W3CDTF">2026-08-17T08:35:42Z</dcterms:modified>
</cp:coreProperties>
</file>