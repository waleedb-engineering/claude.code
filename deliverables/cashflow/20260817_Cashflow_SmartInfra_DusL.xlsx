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500" firstSheet="0" activeTab="2" autoFilterDateGrouping="1"/>
  </bookViews>
  <sheets>
    <sheet name="Übersicht" sheetId="1" state="visible" r:id="rId1"/>
    <sheet name="Cashflow" sheetId="2" state="visible" r:id="rId2"/>
    <sheet name="Aufträge" sheetId="3" state="visible" r:id="rId3"/>
  </sheets>
  <definedNames>
    <definedName name="_xlnm.Print_Titles" localSheetId="1">'Cashflow'!$6:$6,'Cashflow'!$A:$B</definedName>
    <definedName name="_xlnm.Print_Area" localSheetId="1">'Cashflow'!$A$1:$BJ$109</definedName>
    <definedName name="_xlnm.Print_Titles" localSheetId="2">'Aufträge'!$6:$6</definedName>
    <definedName name="_xlnm.Print_Area" localSheetId="2">'Aufträge'!$A$1:$I$156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5">
    <numFmt numFmtId="164" formatCode="dd\.mm\.yyyy"/>
    <numFmt numFmtId="165" formatCode="#,##0.00&quot; €&quot;;[Red]\-#,##0.00&quot; €&quot;;\–"/>
    <numFmt numFmtId="166" formatCode="0\ %"/>
    <numFmt numFmtId="167" formatCode="_-* #,##0.00\ &quot;€&quot;_-;\-* #,##0.00\ &quot;€&quot;_-;_-* &quot;-&quot;??\ &quot;€&quot;_-;_-@_-"/>
    <numFmt numFmtId="168" formatCode="yyyy-mm-dd"/>
  </numFmts>
  <fonts count="30">
    <font>
      <name val="Calibri"/>
      <charset val="1"/>
      <family val="2"/>
      <color theme="1"/>
      <sz val="11"/>
    </font>
    <font>
      <name val="Arial"/>
      <family val="2"/>
      <b val="1"/>
      <color rgb="FF1F3864"/>
      <sz val="16"/>
    </font>
    <font>
      <name val="Arial"/>
      <family val="2"/>
      <color rgb="FF000000"/>
      <sz val="10"/>
    </font>
    <font>
      <name val="Arial"/>
      <family val="2"/>
      <i val="1"/>
      <color rgb="FF808080"/>
      <sz val="9"/>
    </font>
    <font>
      <name val="Arial"/>
      <family val="2"/>
      <color rgb="FF808080"/>
      <sz val="8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000000"/>
      <sz val="10"/>
    </font>
    <font>
      <name val="Arial"/>
      <family val="2"/>
      <color rgb="FF1F3864"/>
      <sz val="10"/>
    </font>
    <font>
      <name val="Arial"/>
      <family val="2"/>
      <b val="1"/>
      <color rgb="FF1F3864"/>
      <sz val="10"/>
    </font>
    <font>
      <name val="Arial"/>
      <family val="2"/>
      <color rgb="FF595959"/>
      <sz val="10"/>
    </font>
    <font>
      <name val="Arial"/>
      <family val="2"/>
      <sz val="10"/>
    </font>
    <font>
      <name val="Calibri"/>
      <charset val="1"/>
      <family val="2"/>
      <sz val="11"/>
    </font>
    <font>
      <name val="Arial"/>
      <family val="2"/>
      <color rgb="FFC00000"/>
      <sz val="10"/>
    </font>
    <font>
      <name val="Arial"/>
      <family val="2"/>
      <b val="1"/>
      <sz val="10"/>
    </font>
    <font>
      <name val="Arial"/>
      <family val="2"/>
      <color rgb="FF000000"/>
      <sz val="9"/>
    </font>
    <font>
      <name val="Calibri"/>
      <charset val="1"/>
      <family val="2"/>
      <color theme="1"/>
      <sz val="9"/>
    </font>
    <font>
      <name val="Arial"/>
      <family val="2"/>
      <color rgb="FF000000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1F3864"/>
      <sz val="10"/>
    </font>
    <font>
      <name val="Arial"/>
      <family val="2"/>
      <b val="1"/>
      <color rgb="FF000000"/>
      <sz val="10"/>
    </font>
    <font>
      <name val="Arial"/>
      <family val="2"/>
      <color rgb="FF1F3864"/>
      <sz val="10"/>
    </font>
    <font>
      <name val="Calibri"/>
      <charset val="1"/>
      <family val="2"/>
      <b val="1"/>
      <color theme="4" tint="-0.249977111117893"/>
      <sz val="11"/>
    </font>
    <font>
      <name val="Calibri"/>
      <charset val="1"/>
      <family val="2"/>
      <sz val="8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1F3864"/>
      <sz val="11"/>
    </font>
    <font>
      <name val="Calibri"/>
      <charset val="1"/>
      <family val="2"/>
      <color theme="1"/>
      <sz val="11"/>
    </font>
    <font>
      <name val="Arial"/>
      <family val="2"/>
      <b val="1"/>
      <color rgb="FFC00000"/>
      <sz val="10"/>
    </font>
    <font>
      <name val="Calibri"/>
      <charset val="1"/>
      <family val="2"/>
      <color rgb="FFC00000"/>
      <sz val="11"/>
    </font>
    <font>
      <name val="Arial"/>
      <color rgb="FFC00000"/>
      <sz val="10"/>
    </font>
  </fonts>
  <fills count="1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9E1"/>
        <bgColor rgb="FFF2F2F2"/>
      </patternFill>
    </fill>
    <fill>
      <patternFill patternType="solid">
        <fgColor rgb="FFF2F2F2"/>
        <bgColor rgb="FFFFF9E1"/>
      </patternFill>
    </fill>
    <fill>
      <patternFill patternType="solid">
        <fgColor rgb="FFE2EFDA"/>
        <bgColor rgb="FFF2F2F2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EA9DB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double">
        <color rgb="FFBFBFBF"/>
      </top>
      <bottom/>
      <diagonal/>
    </border>
    <border>
      <left style="thin">
        <color rgb="FFBFBFBF"/>
      </left>
      <right/>
      <top style="double">
        <color rgb="FFBFBFBF"/>
      </top>
      <bottom style="thin">
        <color rgb="FFBFBFBF"/>
      </bottom>
      <diagonal/>
    </border>
    <border>
      <left/>
      <right/>
      <top style="double">
        <color rgb="FFBFBFBF"/>
      </top>
      <bottom style="thin">
        <color rgb="FFBFBFBF"/>
      </bottom>
      <diagonal/>
    </border>
    <border>
      <left/>
      <right style="thin">
        <color rgb="FFBFBFBF"/>
      </right>
      <top style="double">
        <color rgb="FFBFBFBF"/>
      </top>
      <bottom style="thin">
        <color rgb="FFBFBFBF"/>
      </bottom>
      <diagonal/>
    </border>
    <border>
      <left/>
      <right/>
      <top style="double">
        <color rgb="FFBFBFBF"/>
      </top>
      <bottom/>
      <diagonal/>
    </border>
  </borders>
  <cellStyleXfs count="2">
    <xf numFmtId="0" fontId="26" fillId="0" borderId="0"/>
    <xf numFmtId="44" fontId="26" fillId="0" borderId="0"/>
  </cellStyleXfs>
  <cellXfs count="10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164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1" pivotButton="0" quotePrefix="0" xfId="0"/>
    <xf numFmtId="165" fontId="2" fillId="5" borderId="1" pivotButton="0" quotePrefix="0" xfId="0"/>
    <xf numFmtId="0" fontId="8" fillId="5" borderId="1" pivotButton="0" quotePrefix="0" xfId="0"/>
    <xf numFmtId="0" fontId="9" fillId="6" borderId="2" pivotButton="0" quotePrefix="0" xfId="0"/>
    <xf numFmtId="0" fontId="9" fillId="6" borderId="1" pivotButton="0" quotePrefix="0" xfId="0"/>
    <xf numFmtId="165" fontId="7" fillId="6" borderId="1" pivotButton="0" quotePrefix="0" xfId="0"/>
    <xf numFmtId="0" fontId="9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center"/>
    </xf>
    <xf numFmtId="0" fontId="9" fillId="3" borderId="1" pivotButton="0" quotePrefix="0" xfId="0"/>
    <xf numFmtId="0" fontId="2" fillId="0" borderId="1" applyAlignment="1" pivotButton="0" quotePrefix="0" xfId="0">
      <alignment indent="1"/>
    </xf>
    <xf numFmtId="0" fontId="7" fillId="0" borderId="1" applyAlignment="1" pivotButton="0" quotePrefix="0" xfId="0">
      <alignment indent="1"/>
    </xf>
    <xf numFmtId="0" fontId="11" fillId="0" borderId="1" applyAlignment="1" pivotButton="0" quotePrefix="0" xfId="0">
      <alignment horizontal="left"/>
    </xf>
    <xf numFmtId="0" fontId="12" fillId="0" borderId="0" pivotButton="0" quotePrefix="0" xfId="0"/>
    <xf numFmtId="164" fontId="11" fillId="0" borderId="1" pivotButton="0" quotePrefix="0" xfId="0"/>
    <xf numFmtId="165" fontId="11" fillId="0" borderId="1" pivotButton="0" quotePrefix="0" xfId="0"/>
    <xf numFmtId="166" fontId="11" fillId="0" borderId="1" pivotButton="0" quotePrefix="0" xfId="0"/>
    <xf numFmtId="165" fontId="13" fillId="0" borderId="1" pivotButton="0" quotePrefix="0" xfId="0"/>
    <xf numFmtId="164" fontId="13" fillId="0" borderId="1" pivotButton="0" quotePrefix="0" xfId="0"/>
    <xf numFmtId="0" fontId="15" fillId="0" borderId="0" pivotButton="0" quotePrefix="0" xfId="0"/>
    <xf numFmtId="0" fontId="16" fillId="4" borderId="1" pivotButton="0" quotePrefix="0" xfId="0"/>
    <xf numFmtId="0" fontId="16" fillId="5" borderId="1" pivotButton="0" quotePrefix="0" xfId="0"/>
    <xf numFmtId="0" fontId="16" fillId="6" borderId="1" pivotButton="0" quotePrefix="0" xfId="0"/>
    <xf numFmtId="0" fontId="14" fillId="0" borderId="5" applyAlignment="1" pivotButton="0" quotePrefix="0" xfId="0">
      <alignment horizontal="left" vertical="center"/>
    </xf>
    <xf numFmtId="0" fontId="11" fillId="0" borderId="5" applyAlignment="1" pivotButton="0" quotePrefix="0" xfId="0">
      <alignment indent="1"/>
    </xf>
    <xf numFmtId="0" fontId="11" fillId="0" borderId="5" pivotButton="0" quotePrefix="0" xfId="0"/>
    <xf numFmtId="0" fontId="17" fillId="0" borderId="0" applyAlignment="1" pivotButton="0" quotePrefix="0" xfId="0">
      <alignment vertical="center"/>
    </xf>
    <xf numFmtId="165" fontId="13" fillId="5" borderId="1" pivotButton="0" quotePrefix="0" xfId="0"/>
    <xf numFmtId="0" fontId="8" fillId="5" borderId="6" pivotButton="0" quotePrefix="0" xfId="0"/>
    <xf numFmtId="165" fontId="2" fillId="5" borderId="7" pivotButton="0" quotePrefix="0" xfId="0"/>
    <xf numFmtId="165" fontId="13" fillId="5" borderId="7" pivotButton="0" quotePrefix="0" xfId="0"/>
    <xf numFmtId="0" fontId="8" fillId="5" borderId="10" pivotButton="0" quotePrefix="0" xfId="0"/>
    <xf numFmtId="165" fontId="13" fillId="5" borderId="4" pivotButton="0" quotePrefix="0" xfId="0"/>
    <xf numFmtId="165" fontId="13" fillId="5" borderId="11" pivotButton="0" quotePrefix="0" xfId="0"/>
    <xf numFmtId="165" fontId="17" fillId="5" borderId="7" pivotButton="0" quotePrefix="0" xfId="0"/>
    <xf numFmtId="0" fontId="21" fillId="5" borderId="6" pivotButton="0" quotePrefix="0" xfId="0"/>
    <xf numFmtId="0" fontId="6" fillId="3" borderId="8" pivotButton="0" quotePrefix="0" xfId="0"/>
    <xf numFmtId="0" fontId="0" fillId="3" borderId="3" pivotButton="0" quotePrefix="0" xfId="0"/>
    <xf numFmtId="0" fontId="0" fillId="3" borderId="9" pivotButton="0" quotePrefix="0" xfId="0"/>
    <xf numFmtId="0" fontId="11" fillId="0" borderId="6" pivotButton="0" quotePrefix="0" xfId="0"/>
    <xf numFmtId="165" fontId="14" fillId="0" borderId="7" pivotButton="0" quotePrefix="0" xfId="0"/>
    <xf numFmtId="0" fontId="11" fillId="0" borderId="10" pivotButton="0" quotePrefix="0" xfId="0"/>
    <xf numFmtId="165" fontId="11" fillId="0" borderId="4" pivotButton="0" quotePrefix="0" xfId="0"/>
    <xf numFmtId="165" fontId="11" fillId="0" borderId="11" pivotButton="0" quotePrefix="0" xfId="0"/>
    <xf numFmtId="0" fontId="18" fillId="3" borderId="8" pivotButton="0" quotePrefix="0" xfId="0"/>
    <xf numFmtId="165" fontId="20" fillId="6" borderId="2" pivotButton="0" quotePrefix="0" xfId="0"/>
    <xf numFmtId="0" fontId="19" fillId="6" borderId="2" pivotButton="0" quotePrefix="0" xfId="0"/>
    <xf numFmtId="17" fontId="0" fillId="3" borderId="3" pivotButton="0" quotePrefix="0" xfId="0"/>
    <xf numFmtId="17" fontId="22" fillId="3" borderId="1" pivotButton="0" quotePrefix="0" xfId="0"/>
    <xf numFmtId="0" fontId="11" fillId="0" borderId="5" applyAlignment="1" pivotButton="0" quotePrefix="0" xfId="0">
      <alignment horizontal="left"/>
    </xf>
    <xf numFmtId="0" fontId="21" fillId="5" borderId="10" pivotButton="0" quotePrefix="0" xfId="0"/>
    <xf numFmtId="0" fontId="25" fillId="3" borderId="8" pivotButton="0" quotePrefix="0" xfId="0"/>
    <xf numFmtId="0" fontId="22" fillId="3" borderId="1" pivotButton="0" quotePrefix="0" xfId="0"/>
    <xf numFmtId="165" fontId="11" fillId="5" borderId="1" pivotButton="0" quotePrefix="0" xfId="0"/>
    <xf numFmtId="165" fontId="11" fillId="5" borderId="7" pivotButton="0" quotePrefix="0" xfId="0"/>
    <xf numFmtId="0" fontId="5" fillId="0" borderId="3" applyAlignment="1" pivotButton="0" quotePrefix="0" xfId="0">
      <alignment horizontal="left" vertical="center" wrapText="1"/>
    </xf>
    <xf numFmtId="165" fontId="11" fillId="0" borderId="7" pivotButton="0" quotePrefix="0" xfId="0"/>
    <xf numFmtId="0" fontId="0" fillId="0" borderId="12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12" fillId="0" borderId="12" pivotButton="0" quotePrefix="0" xfId="0"/>
    <xf numFmtId="0" fontId="12" fillId="0" borderId="5" pivotButton="0" quotePrefix="0" xfId="0"/>
    <xf numFmtId="164" fontId="13" fillId="0" borderId="5" pivotButton="0" quotePrefix="0" xfId="0"/>
    <xf numFmtId="0" fontId="11" fillId="0" borderId="4" applyAlignment="1" pivotButton="0" quotePrefix="0" xfId="0">
      <alignment horizontal="left"/>
    </xf>
    <xf numFmtId="164" fontId="11" fillId="0" borderId="4" pivotButton="0" quotePrefix="0" xfId="0"/>
    <xf numFmtId="165" fontId="13" fillId="0" borderId="4" pivotButton="0" quotePrefix="0" xfId="0"/>
    <xf numFmtId="0" fontId="12" fillId="0" borderId="13" pivotButton="0" quotePrefix="0" xfId="0"/>
    <xf numFmtId="0" fontId="12" fillId="0" borderId="14" pivotButton="0" quotePrefix="0" xfId="0"/>
    <xf numFmtId="0" fontId="11" fillId="0" borderId="15" applyAlignment="1" pivotButton="0" quotePrefix="0" xfId="0">
      <alignment horizontal="left"/>
    </xf>
    <xf numFmtId="0" fontId="12" fillId="0" borderId="15" pivotButton="0" quotePrefix="0" xfId="0"/>
    <xf numFmtId="0" fontId="13" fillId="0" borderId="15" pivotButton="0" quotePrefix="0" xfId="0"/>
    <xf numFmtId="0" fontId="11" fillId="0" borderId="15" pivotButton="0" quotePrefix="0" xfId="0"/>
    <xf numFmtId="165" fontId="13" fillId="0" borderId="15" pivotButton="0" quotePrefix="0" xfId="0"/>
    <xf numFmtId="165" fontId="11" fillId="0" borderId="16" pivotButton="0" quotePrefix="0" xfId="0"/>
    <xf numFmtId="0" fontId="0" fillId="0" borderId="17" pivotButton="0" quotePrefix="0" xfId="0"/>
    <xf numFmtId="167" fontId="12" fillId="0" borderId="5" pivotButton="0" quotePrefix="0" xfId="1"/>
    <xf numFmtId="167" fontId="28" fillId="0" borderId="5" pivotButton="0" quotePrefix="0" xfId="1"/>
    <xf numFmtId="0" fontId="24" fillId="7" borderId="3" applyAlignment="1" pivotButton="0" quotePrefix="0" xfId="0">
      <alignment horizontal="left" vertical="center" wrapText="1"/>
    </xf>
    <xf numFmtId="0" fontId="24" fillId="7" borderId="9" applyAlignment="1" pivotButton="0" quotePrefix="0" xfId="0">
      <alignment horizontal="left" vertical="center" wrapText="1"/>
    </xf>
    <xf numFmtId="165" fontId="27" fillId="0" borderId="7" pivotButton="0" quotePrefix="0" xfId="0"/>
    <xf numFmtId="165" fontId="13" fillId="0" borderId="11" pivotButton="0" quotePrefix="0" xfId="0"/>
    <xf numFmtId="165" fontId="27" fillId="6" borderId="2" pivotButton="0" quotePrefix="0" xfId="0"/>
    <xf numFmtId="164" fontId="29" fillId="0" borderId="1" pivotButton="0" quotePrefix="0" xfId="0"/>
    <xf numFmtId="0" fontId="12" fillId="0" borderId="1" pivotButton="0" quotePrefix="0" xfId="0"/>
    <xf numFmtId="167" fontId="28" fillId="0" borderId="1" pivotButton="0" quotePrefix="0" xfId="1"/>
    <xf numFmtId="167" fontId="13" fillId="0" borderId="5" pivotButton="0" quotePrefix="0" xfId="1"/>
    <xf numFmtId="0" fontId="2" fillId="8" borderId="1" applyAlignment="1" pivotButton="0" quotePrefix="0" xfId="0">
      <alignment indent="1"/>
    </xf>
    <xf numFmtId="0" fontId="7" fillId="9" borderId="1" applyAlignment="1" pivotButton="0" quotePrefix="0" xfId="0">
      <alignment indent="1"/>
    </xf>
    <xf numFmtId="167" fontId="28" fillId="0" borderId="5" pivotButton="0" quotePrefix="0" xfId="1"/>
    <xf numFmtId="167" fontId="12" fillId="0" borderId="5" pivotButton="0" quotePrefix="0" xfId="1"/>
    <xf numFmtId="167" fontId="28" fillId="0" borderId="1" pivotButton="0" quotePrefix="0" xfId="1"/>
    <xf numFmtId="167" fontId="13" fillId="0" borderId="5" pivotButton="0" quotePrefix="0" xfId="1"/>
  </cellXfs>
  <cellStyles count="2">
    <cellStyle name="Standard" xfId="0" builtinId="0"/>
    <cellStyle name="Währung" xfId="1" builtinId="4"/>
  </cellStyles>
  <dxfs count="156"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rgb="FF1F3864"/>
        <extend val="0"/>
        <sz val="10"/>
        <vertAlign val="baseline"/>
      </font>
      <fill>
        <patternFill patternType="solid">
          <fgColor rgb="FFFFF9E1"/>
          <bgColor rgb="FFF2F2F2"/>
        </patternFill>
      </fill>
      <border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fill>
        <patternFill patternType="solid">
          <fgColor rgb="FFFFF9E1"/>
          <bgColor rgb="FFF2F2F2"/>
        </patternFill>
      </fill>
    </dxf>
    <dxf>
      <border outline="0">
        <bottom style="thin">
          <color rgb="FFBFBFBF"/>
        </bottom>
      </border>
    </dxf>
    <dxf>
      <fill>
        <patternFill patternType="solid">
          <fgColor rgb="FFD9D9D9"/>
          <bgColor rgb="FFD9E2F3"/>
        </patternFill>
      </fill>
      <border outline="0">
        <left style="thin">
          <color rgb="FFBFBFBF"/>
        </left>
        <right style="thin">
          <color rgb="FFBFBFBF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 patternType="solid">
          <fgColor rgb="FFFFF9E1"/>
          <bgColor rgb="FFF2F2F2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1F3864"/>
        <extend val="0"/>
        <sz val="10"/>
        <vertAlign val="baseline"/>
      </font>
      <fill>
        <patternFill patternType="solid">
          <fgColor rgb="FFFFF9E1"/>
          <bgColor rgb="FFF2F2F2"/>
        </patternFill>
      </fill>
      <border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fill>
        <patternFill patternType="solid">
          <fgColor rgb="FFFFF9E1"/>
          <bgColor rgb="FFF2F2F2"/>
        </patternFill>
      </fill>
    </dxf>
    <dxf>
      <border outline="0">
        <bottom style="thin">
          <color rgb="FFBFBFBF"/>
        </bottom>
      </border>
    </dxf>
    <dxf>
      <fill>
        <patternFill patternType="solid">
          <fgColor rgb="FFD9D9D9"/>
          <bgColor rgb="FFD9E2F3"/>
        </patternFill>
      </fill>
      <border outline="0">
        <left style="thin">
          <color rgb="FFBFBFBF"/>
        </left>
        <right style="thin">
          <color rgb="FFBFBFBF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auto="1"/>
        </patternFill>
      </fill>
      <border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auto="1"/>
        </patternFill>
      </fill>
    </dxf>
    <dxf>
      <border outline="0">
        <bottom style="thin">
          <color rgb="FFBFBFBF"/>
        </bottom>
      </border>
    </dxf>
    <dxf>
      <fill>
        <patternFill patternType="solid">
          <fgColor rgb="FFD9D9D9"/>
          <bgColor rgb="FFD9E2F3"/>
        </patternFill>
      </fill>
      <border outline="0">
        <left style="thin">
          <color rgb="FFBFBFBF"/>
        </left>
        <right style="thin">
          <color rgb="FFBFBFBF"/>
        </right>
        <top/>
        <bottom/>
      </border>
    </dxf>
    <dxf>
      <font>
        <name val="Arial"/>
        <charset val="1"/>
        <b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fill>
        <patternFill>
          <fgColor indexed="64"/>
          <bgColor auto="1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auto="1"/>
        </patternFill>
      </fill>
      <border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auto="1"/>
        </patternFill>
      </fill>
    </dxf>
    <dxf>
      <border outline="0">
        <bottom style="thin">
          <color rgb="FFBFBFBF"/>
        </bottom>
      </border>
    </dxf>
    <dxf>
      <fill>
        <patternFill patternType="solid">
          <fgColor rgb="FFD9D9D9"/>
          <bgColor rgb="FFD9E2F3"/>
        </patternFill>
      </fill>
      <border outline="0">
        <left style="thin">
          <color rgb="FFBFBFBF"/>
        </left>
        <right style="thin">
          <color rgb="FFBFBFBF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&quot; €&quot;;[Red]\-#,##0.00&quot; €&quot;;\–"/>
      <border outline="0">
        <left/>
        <right style="thin">
          <color rgb="FFBFBFBF"/>
        </right>
        <top style="double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lor auto="1"/>
        <sz val="10"/>
        <vertAlign val="baseline"/>
      </font>
      <numFmt numFmtId="165" formatCode="#,##0.00&quot; €&quot;;[Red]\-#,##0.00&quot; €&quot;;\–"/>
      <fill>
        <patternFill>
          <fgColor indexed="64"/>
          <bgColor indexed="65"/>
        </patternFill>
      </fill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 style="thin">
          <color rgb="FFBFBFBF"/>
        </vertical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numFmt numFmtId="165" formatCode="#,##0.00&quot; €&quot;;[Red]\-#,##0.00&quot; €&quot;;\–"/>
      <border outline="0">
        <left/>
        <right/>
        <top style="double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lor rgb="FFC00000"/>
        <sz val="10"/>
        <vertAlign val="baseline"/>
      </font>
      <fill>
        <patternFill>
          <fgColor indexed="64"/>
          <bgColor auto="1"/>
        </patternFill>
      </fill>
      <border>
        <left style="thin">
          <color rgb="FFBFBFBF"/>
        </left>
        <right style="thin">
          <color rgb="FFBFBFBF"/>
        </right>
        <vertical style="thin">
          <color rgb="FFBFBFBF"/>
        </vertic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border outline="0">
        <left/>
        <right style="thin">
          <color rgb="FFBFBFBF"/>
        </right>
        <top style="double">
          <color rgb="FFBFBFBF"/>
        </top>
        <bottom/>
      </border>
    </dxf>
    <dxf>
      <font>
        <strike val="0"/>
        <outline val="0"/>
        <shadow val="0"/>
        <color auto="1"/>
        <vertAlign val="baseline"/>
      </font>
      <fill>
        <patternFill>
          <fgColor indexed="64"/>
          <bgColor indexed="65"/>
        </patternFill>
      </fill>
      <border>
        <left style="thin">
          <color rgb="FFBFBFBF"/>
        </left>
        <right style="thin">
          <color rgb="FFBFBFBF"/>
        </right>
        <top/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border outline="0">
        <left/>
        <right/>
        <top style="double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lor auto="1"/>
        <sz val="10"/>
        <vertAlign val="baseline"/>
      </font>
      <numFmt numFmtId="166" formatCode="0\ %"/>
      <fill>
        <patternFill>
          <fgColor indexed="64"/>
          <bgColor indexed="65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/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border outline="0">
        <left/>
        <right/>
        <top style="double">
          <color rgb="FFBFBFBF"/>
        </top>
        <bottom style="thin">
          <color rgb="FFBFBFBF"/>
        </bottom>
      </border>
    </dxf>
    <dxf>
      <font>
        <strike val="0"/>
        <outline val="0"/>
        <shadow val="0"/>
        <color auto="1"/>
        <vertAlign val="baseline"/>
      </font>
      <fill>
        <patternFill>
          <fgColor indexed="64"/>
          <bgColor indexed="65"/>
        </patternFill>
      </fill>
      <border outline="0">
        <left style="thin">
          <color rgb="FFBFBFBF"/>
        </left>
        <right style="thin">
          <color rgb="FFBFBFBF"/>
        </right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border outline="0">
        <left/>
        <right/>
        <top style="double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lor auto="1"/>
        <sz val="10"/>
        <vertAlign val="baseline"/>
      </font>
      <numFmt numFmtId="164" formatCode="dd\.mm\.yyyy"/>
      <fill>
        <patternFill>
          <fgColor indexed="64"/>
          <bgColor indexed="65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border outline="0">
        <left/>
        <right/>
        <top style="double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lor rgb="FFC00000"/>
        <sz val="10"/>
        <vertAlign val="baseline"/>
      </font>
      <fill>
        <patternFill>
          <fgColor indexed="64"/>
          <bgColor indexed="65"/>
        </patternFill>
      </fill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rgb="FFC00000"/>
        <extend val="0"/>
        <sz val="10"/>
        <vertAlign val="baseline"/>
      </font>
      <border outline="0">
        <left/>
        <right/>
        <top style="double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lor rgb="FFC00000"/>
        <sz val="10"/>
        <vertAlign val="baseline"/>
      </font>
      <fill>
        <patternFill>
          <fgColor indexed="64"/>
          <bgColor auto="1"/>
        </patternFill>
      </fill>
      <border>
        <left style="thin">
          <color rgb="FFBFBFBF"/>
        </left>
        <right style="thin">
          <color rgb="FFBFBFBF"/>
        </right>
        <vertical style="thin">
          <color rgb="FFBFBFBF"/>
        </vertic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border outline="0">
        <left/>
        <right/>
        <top style="double">
          <color rgb="FFBFBFBF"/>
        </top>
        <bottom style="thin">
          <color rgb="FFBFBFBF"/>
        </bottom>
      </border>
    </dxf>
    <dxf>
      <font>
        <strike val="0"/>
        <outline val="0"/>
        <shadow val="0"/>
        <color auto="1"/>
        <vertAlign val="baseline"/>
      </font>
      <fill>
        <patternFill>
          <fgColor indexed="64"/>
          <bgColor auto="1"/>
        </patternFill>
      </fill>
      <border>
        <left style="thin">
          <color rgb="FFBFBFBF"/>
        </left>
        <right style="thin">
          <color rgb="FFBFBFBF"/>
        </right>
        <vertical style="thin">
          <color rgb="FFBFBFBF"/>
        </vertic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border outline="0">
        <left/>
        <right/>
        <top style="double">
          <color rgb="FFBFBFBF"/>
        </top>
        <bottom style="thin">
          <color rgb="FFBFBFBF"/>
        </bottom>
      </border>
    </dxf>
    <dxf>
      <font>
        <strike val="0"/>
        <outline val="0"/>
        <shadow val="0"/>
        <color auto="1"/>
        <vertAlign val="baseline"/>
      </font>
      <fill>
        <patternFill>
          <fgColor indexed="64"/>
          <bgColor auto="1"/>
        </patternFill>
      </fill>
      <border>
        <left style="thin">
          <color rgb="FFBFBFBF"/>
        </left>
        <right style="thin">
          <color rgb="FFBFBFBF"/>
        </right>
        <vertical style="thin">
          <color rgb="FFBFBFBF"/>
        </vertical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left" vertical="bottom"/>
      <border outline="0">
        <left/>
        <right/>
        <top style="double">
          <color rgb="FFBFBFBF"/>
        </top>
        <bottom style="thin">
          <color rgb="FFBFBFBF"/>
        </bottom>
      </border>
    </dxf>
    <dxf>
      <font>
        <name val="Arial"/>
        <charset val="1"/>
        <strike val="0"/>
        <outline val="0"/>
        <shadow val="0"/>
        <color auto="1"/>
        <sz val="10"/>
        <vertAlign val="baseline"/>
      </font>
      <fill>
        <patternFill>
          <fgColor indexed="64"/>
          <bgColor auto="1"/>
        </patternFill>
      </fill>
      <alignment horizontal="left" vertical="bottom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border outline="0">
        <left style="thin">
          <color rgb="FFBFBFBF"/>
        </left>
        <right/>
        <top style="double">
          <color rgb="FFBFBFBF"/>
        </top>
        <bottom style="thin">
          <color rgb="FFBFBFBF"/>
        </bottom>
      </border>
    </dxf>
    <dxf>
      <font>
        <strike val="0"/>
        <outline val="0"/>
        <shadow val="0"/>
        <color auto="1"/>
        <vertAlign val="baseline"/>
      </font>
      <fill>
        <patternFill>
          <fgColor indexed="64"/>
          <bgColor auto="1"/>
        </patternFill>
      </fill>
      <border>
        <left style="thin">
          <color rgb="FFBFBFBF"/>
        </left>
        <right style="thin">
          <color rgb="FFBFBFBF"/>
        </right>
        <vertical style="thin">
          <color rgb="FFBFBFBF"/>
        </vertical>
      </border>
    </dxf>
    <dxf>
      <border>
        <top style="double">
          <color rgb="FFBFBFBF"/>
        </top>
      </border>
    </dxf>
    <dxf>
      <border>
        <left style="thin">
          <color rgb="FFBFBFBF"/>
        </left>
        <right style="thin">
          <color rgb="FFBFBFBF"/>
        </right>
        <vertical style="thin">
          <color rgb="FFBFBFBF"/>
        </vertical>
      </border>
    </dxf>
    <dxf>
      <border>
        <left style="thin">
          <color rgb="FFBFBFBF"/>
        </left>
        <right style="thin">
          <color rgb="FFBFBFBF"/>
        </right>
        <top/>
        <bottom/>
      </border>
    </dxf>
    <dxf>
      <font>
        <strike val="0"/>
        <outline val="0"/>
        <shadow val="0"/>
        <color auto="1"/>
        <vertAlign val="baseline"/>
      </font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alignment horizontal="left"/>
      <border>
        <left style="thin">
          <color rgb="FFBFBFBF"/>
        </left>
        <right style="thin">
          <color rgb="FFBFBFBF"/>
        </right>
        <vertical style="thin">
          <color rgb="FFBFBFBF"/>
        </vertical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9E1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D9E2F3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Einnahmen vs. Ausgaben (monatlich)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Cashflow!$B$76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'Cashflow'!$C$6:$BD$6</f>
            </numRef>
          </cat>
          <val>
            <numRef>
              <f>'Cashflow'!$C$76:$BD$76</f>
            </numRef>
          </val>
        </ser>
        <ser>
          <idx val="1"/>
          <order val="1"/>
          <tx>
            <strRef>
              <f>Cashflow!$B$77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'Cashflow'!$C$6:$BD$6</f>
            </numRef>
          </cat>
          <val>
            <numRef>
              <f>'Cashflow'!$C$77:$BD$77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low"/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numFmt formatCode="#,##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  <spPr>
    <a:solidFill>
      <a:srgbClr val="FFFFFF"/>
    </a:solidFill>
    <a:ln>
      <a:solidFill>
        <a:srgbClr val="BFBFBF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Netto-Cashflow und kumulierter Cashflow (monatlich)</a:t>
            </a:r>
          </a:p>
        </rich>
      </tx>
    </title>
    <plotArea>
      <lineChart>
        <grouping val="standard"/>
        <ser>
          <idx val="0"/>
          <order val="0"/>
          <tx>
            <strRef>
              <f>Cashflow!$B$78</f>
            </strRef>
          </tx>
          <spPr>
            <a:ln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'Cashflow'!$C$6:$BD$6</f>
            </numRef>
          </cat>
          <val>
            <numRef>
              <f>'Cashflow'!$C$78:$BD$78</f>
            </numRef>
          </val>
          <smooth val="0"/>
        </ser>
        <ser>
          <idx val="1"/>
          <order val="1"/>
          <tx>
            <strRef>
              <f>Cashflow!$B$79</f>
            </strRef>
          </tx>
          <spPr>
            <a:ln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'Cashflow'!$C$6:$BD$6</f>
            </numRef>
          </cat>
          <val>
            <numRef>
              <f>'Cashflow'!$C$79:$BD$79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low"/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numFmt formatCode="#,##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  <spPr>
    <a:solidFill>
      <a:srgbClr val="FFFFFF"/>
    </a:solidFill>
    <a:ln>
      <a:solidFill>
        <a:srgbClr val="BFBFBF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115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le3" displayName="Tabelle3" ref="B7:BJ38" headerRowCount="1" totalsRowShown="0" headerRowDxfId="126" dataDxfId="124" headerRowBorderDxfId="125" tableBorderDxfId="123" totalsRowBorderDxfId="122">
  <autoFilter ref="B7:BJ38"/>
  <tableColumns count="61">
    <tableColumn id="1" name="1  EINNAHMEN  (Quelle: Reiter „Aufträge“)"/>
    <tableColumn id="2" name="Jul 26"/>
    <tableColumn id="3" name="Aug 26"/>
    <tableColumn id="4" name="Sep 26"/>
    <tableColumn id="5" name="Okt 26"/>
    <tableColumn id="6" name="Nov 26"/>
    <tableColumn id="7" name="Dez 26"/>
    <tableColumn id="8" name="Jan 27"/>
    <tableColumn id="9" name="Feb 27"/>
    <tableColumn id="10" name="Mrz 27"/>
    <tableColumn id="11" name="Apr 27"/>
    <tableColumn id="12" name="Mai 27"/>
    <tableColumn id="13" name="Jun 27"/>
    <tableColumn id="14" name="Jul 27"/>
    <tableColumn id="15" name="Aug 27"/>
    <tableColumn id="16" name="Sep 27"/>
    <tableColumn id="17" name="Okt 27"/>
    <tableColumn id="18" name="Nov 27"/>
    <tableColumn id="19" name="Dez 27"/>
    <tableColumn id="20" name="Jan 28"/>
    <tableColumn id="21" name="Feb 28"/>
    <tableColumn id="22" name="Mär 28"/>
    <tableColumn id="23" name="Apr 28"/>
    <tableColumn id="24" name="Mai 28"/>
    <tableColumn id="25" name="Jun 28"/>
    <tableColumn id="26" name="Jul 28"/>
    <tableColumn id="27" name="Aug 28"/>
    <tableColumn id="28" name="Sep 28"/>
    <tableColumn id="29" name="Okt 28"/>
    <tableColumn id="30" name="Nov 28"/>
    <tableColumn id="31" name="Dez 28"/>
    <tableColumn id="32" name="Jan 29"/>
    <tableColumn id="33" name="Feb 29"/>
    <tableColumn id="34" name="Mär 29"/>
    <tableColumn id="35" name="Apr 29"/>
    <tableColumn id="36" name="Mai 29"/>
    <tableColumn id="37" name="Jun 29"/>
    <tableColumn id="38" name="Jul 29"/>
    <tableColumn id="39" name="Aug 29"/>
    <tableColumn id="40" name="Sep 29"/>
    <tableColumn id="41" name="Okt 29"/>
    <tableColumn id="42" name="Nov 29"/>
    <tableColumn id="43" name="Dez 29"/>
    <tableColumn id="44" name="Jan 30"/>
    <tableColumn id="45" name="Feb 30"/>
    <tableColumn id="46" name="Mär 30"/>
    <tableColumn id="47" name="Apr 30"/>
    <tableColumn id="48" name="Mai 30"/>
    <tableColumn id="49" name="Jun 30"/>
    <tableColumn id="50" name="Jul 30"/>
    <tableColumn id="51" name="Aug 30"/>
    <tableColumn id="52" name="Sep 30"/>
    <tableColumn id="53" name="Okt 30"/>
    <tableColumn id="54" name="Nov 30"/>
    <tableColumn id="55" name="Dez 30"/>
    <tableColumn id="56" name="Summe H2 26"/>
    <tableColumn id="57" name="Summe 27"/>
    <tableColumn id="58" name="Summe 28"/>
    <tableColumn id="59" name="Summe 29"/>
    <tableColumn id="60" name="Summe 30"/>
    <tableColumn id="61" name="Gesamt"/>
  </tableColumns>
  <tableStyleInfo name="TableStyleLight2" showFirstColumn="1" showLastColumn="0" showRowStripes="1" showColumnStripes="0"/>
</table>
</file>

<file path=xl/tables/table2.xml><?xml version="1.0" encoding="utf-8"?>
<table xmlns="http://schemas.openxmlformats.org/spreadsheetml/2006/main" id="2" name="Tabelle4" displayName="Tabelle4" ref="B41:BJ72" headerRowCount="1" totalsRowShown="0" headerRowDxfId="99" dataDxfId="97" headerRowBorderDxfId="98" tableBorderDxfId="96" totalsRowBorderDxfId="95">
  <autoFilter ref="B41:BJ72"/>
  <tableColumns count="61">
    <tableColumn id="1" name="2  AUSGABEN  (Quelle: Reiter „Aufträge“)"/>
    <tableColumn id="2" name="Jul 26"/>
    <tableColumn id="3" name="Aug 26"/>
    <tableColumn id="4" name="Sep 26"/>
    <tableColumn id="5" name="Okt 26"/>
    <tableColumn id="6" name="Nov 26"/>
    <tableColumn id="7" name="Dez 26"/>
    <tableColumn id="8" name="Jan 27"/>
    <tableColumn id="9" name="Feb 27"/>
    <tableColumn id="10" name="Mrz 27"/>
    <tableColumn id="11" name="Apr 27"/>
    <tableColumn id="12" name="Mai 27"/>
    <tableColumn id="13" name="Jun 27"/>
    <tableColumn id="14" name="Jul 27"/>
    <tableColumn id="15" name="Aug 27"/>
    <tableColumn id="16" name="Sep 27"/>
    <tableColumn id="17" name="Okt 27"/>
    <tableColumn id="18" name="Nov 27"/>
    <tableColumn id="19" name="Dez 27"/>
    <tableColumn id="20" name="Jan 28"/>
    <tableColumn id="21" name="Feb 28"/>
    <tableColumn id="22" name="Mär 28"/>
    <tableColumn id="23" name="Apr 28"/>
    <tableColumn id="24" name="Mai 28"/>
    <tableColumn id="25" name="Jun 28"/>
    <tableColumn id="26" name="Jul 28"/>
    <tableColumn id="27" name="Aug 28"/>
    <tableColumn id="28" name="Sep 28"/>
    <tableColumn id="29" name="Okt 28"/>
    <tableColumn id="30" name="Nov 28"/>
    <tableColumn id="31" name="Dez 28"/>
    <tableColumn id="32" name="Jan 29"/>
    <tableColumn id="33" name="Feb 29"/>
    <tableColumn id="34" name="Mär 29"/>
    <tableColumn id="35" name="Apr 29"/>
    <tableColumn id="36" name="Mai 29"/>
    <tableColumn id="37" name="Jun 29"/>
    <tableColumn id="38" name="Jul 29"/>
    <tableColumn id="39" name="Aug 29"/>
    <tableColumn id="40" name="Sep 29"/>
    <tableColumn id="41" name="Okt 29"/>
    <tableColumn id="42" name="Nov 29"/>
    <tableColumn id="43" name="Dez 29"/>
    <tableColumn id="44" name="Jan 30"/>
    <tableColumn id="45" name="Feb 30"/>
    <tableColumn id="46" name="Mär 30"/>
    <tableColumn id="47" name="Apr 30"/>
    <tableColumn id="48" name="Mai 30"/>
    <tableColumn id="49" name="Jun 30"/>
    <tableColumn id="50" name="Jul 30"/>
    <tableColumn id="51" name="Aug 30"/>
    <tableColumn id="52" name="Sep 30"/>
    <tableColumn id="53" name="Okt 30"/>
    <tableColumn id="54" name="Nov 30"/>
    <tableColumn id="55" name="Dez 30"/>
    <tableColumn id="56" name="Summe H2 26"/>
    <tableColumn id="57" name="Summe 27"/>
    <tableColumn id="58" name="Summe 28"/>
    <tableColumn id="59" name="Summe 29"/>
    <tableColumn id="60" name="Summe 30"/>
    <tableColumn id="61" name="Gesamt"/>
  </tableColumns>
  <tableStyleInfo name="TableStyleLight2" showFirstColumn="1" showLastColumn="0" showRowStripes="1" showColumnStripes="0"/>
</table>
</file>

<file path=xl/tables/table3.xml><?xml version="1.0" encoding="utf-8"?>
<table xmlns="http://schemas.openxmlformats.org/spreadsheetml/2006/main" id="3" name="Tabelle5" displayName="Tabelle5" ref="B81:BJ89" headerRowCount="1" totalsRowShown="0" headerRowDxfId="72" dataDxfId="70" headerRowBorderDxfId="71" tableBorderDxfId="69" totalsRowBorderDxfId="68">
  <autoFilter ref="B81:BJ89"/>
  <tableColumns count="61">
    <tableColumn id="1" name="4  AUSWERTUNG NACH THEMENFELD"/>
    <tableColumn id="2" name="Jul 26"/>
    <tableColumn id="3" name="Aug 26"/>
    <tableColumn id="4" name="Sep 26"/>
    <tableColumn id="5" name="Okt 26"/>
    <tableColumn id="6" name="Nov 26"/>
    <tableColumn id="7" name="Dez 26"/>
    <tableColumn id="8" name="Jan 27"/>
    <tableColumn id="9" name="Feb 27"/>
    <tableColumn id="10" name="Mrz 27"/>
    <tableColumn id="11" name="Apr 27"/>
    <tableColumn id="12" name="Mai 27"/>
    <tableColumn id="13" name="Jun 27"/>
    <tableColumn id="14" name="Jul 27"/>
    <tableColumn id="15" name="Aug 27"/>
    <tableColumn id="16" name="Sep 27"/>
    <tableColumn id="17" name="Okt 27"/>
    <tableColumn id="18" name="Nov 27"/>
    <tableColumn id="19" name="Dez 27"/>
    <tableColumn id="20" name="Jan 28"/>
    <tableColumn id="21" name="Feb 28"/>
    <tableColumn id="22" name="Mär 28"/>
    <tableColumn id="23" name="Apr 28"/>
    <tableColumn id="24" name="Mai 28"/>
    <tableColumn id="25" name="Jun 28"/>
    <tableColumn id="26" name="Jul 28"/>
    <tableColumn id="27" name="Aug 28"/>
    <tableColumn id="28" name="Sep 28"/>
    <tableColumn id="29" name="Okt 28"/>
    <tableColumn id="30" name="Nov 28"/>
    <tableColumn id="31" name="Dez 28"/>
    <tableColumn id="32" name="Jan 29"/>
    <tableColumn id="33" name="Feb 29"/>
    <tableColumn id="34" name="Mär 29"/>
    <tableColumn id="35" name="Apr 29"/>
    <tableColumn id="36" name="Mai 29"/>
    <tableColumn id="37" name="Jun 29"/>
    <tableColumn id="38" name="Jul 29"/>
    <tableColumn id="39" name="Aug 29"/>
    <tableColumn id="40" name="Sep 29"/>
    <tableColumn id="41" name="Okt 29"/>
    <tableColumn id="42" name="Nov 29"/>
    <tableColumn id="43" name="Dez 29"/>
    <tableColumn id="44" name="Jan 30"/>
    <tableColumn id="45" name="Feb 30"/>
    <tableColumn id="46" name="Mär 30"/>
    <tableColumn id="47" name="Apr 30"/>
    <tableColumn id="48" name="Mai 30"/>
    <tableColumn id="49" name="Jun 30"/>
    <tableColumn id="50" name="Jul 30"/>
    <tableColumn id="51" name="Aug 30"/>
    <tableColumn id="52" name="Sep 30"/>
    <tableColumn id="53" name="Okt 30"/>
    <tableColumn id="54" name="Nov 30"/>
    <tableColumn id="55" name="Dez 30"/>
    <tableColumn id="56" name="Summe H2 26"/>
    <tableColumn id="57" name="Summe 27"/>
    <tableColumn id="58" name="Summe 28"/>
    <tableColumn id="59" name="Summe 29"/>
    <tableColumn id="60" name="Summe 30"/>
    <tableColumn id="61" name="Gesam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le6" displayName="Tabelle6" ref="B91:BJ99" headerRowCount="1" totalsRowShown="0" headerRowDxfId="45" dataDxfId="43" headerRowBorderDxfId="44" tableBorderDxfId="42" totalsRowBorderDxfId="41">
  <autoFilter ref="B91:BJ99"/>
  <tableColumns count="61">
    <tableColumn id="1" name="5  AUSWERTUNG NACH KATEGORIE"/>
    <tableColumn id="2" name="Jul 26"/>
    <tableColumn id="3" name="Aug 26"/>
    <tableColumn id="4" name="Sep 26"/>
    <tableColumn id="5" name="Okt 26"/>
    <tableColumn id="6" name="Nov 26"/>
    <tableColumn id="7" name="Dez 26"/>
    <tableColumn id="8" name="Jan 27"/>
    <tableColumn id="9" name="Feb 27"/>
    <tableColumn id="10" name="Mrz 27"/>
    <tableColumn id="11" name="Apr 27"/>
    <tableColumn id="12" name="Mai 27"/>
    <tableColumn id="13" name="Jun 27"/>
    <tableColumn id="14" name="Jul 27"/>
    <tableColumn id="15" name="Aug 27"/>
    <tableColumn id="16" name="Sep 27"/>
    <tableColumn id="17" name="Okt 27"/>
    <tableColumn id="18" name="Nov 27"/>
    <tableColumn id="19" name="Dez 27"/>
    <tableColumn id="20" name="Jan 28"/>
    <tableColumn id="21" name="Feb 28"/>
    <tableColumn id="22" name="Mär 28"/>
    <tableColumn id="23" name="Apr 28"/>
    <tableColumn id="24" name="Mai 28"/>
    <tableColumn id="25" name="Jun 28"/>
    <tableColumn id="26" name="Jul 28"/>
    <tableColumn id="27" name="Aug 28"/>
    <tableColumn id="28" name="Sep 28"/>
    <tableColumn id="29" name="Okt 28"/>
    <tableColumn id="30" name="Nov 28"/>
    <tableColumn id="31" name="Dez 28"/>
    <tableColumn id="32" name="Jan 29"/>
    <tableColumn id="33" name="Feb 29"/>
    <tableColumn id="34" name="Mär 29"/>
    <tableColumn id="35" name="Apr 29"/>
    <tableColumn id="36" name="Mai 29"/>
    <tableColumn id="37" name="Jun 29"/>
    <tableColumn id="38" name="Jul 29"/>
    <tableColumn id="39" name="Aug 29"/>
    <tableColumn id="40" name="Sep 29"/>
    <tableColumn id="41" name="Okt 29"/>
    <tableColumn id="42" name="Nov 29"/>
    <tableColumn id="43" name="Dez 29"/>
    <tableColumn id="44" name="Jan 30"/>
    <tableColumn id="45" name="Feb 30"/>
    <tableColumn id="46" name="Mär 30"/>
    <tableColumn id="47" name="Apr 30"/>
    <tableColumn id="48" name="Mai 30"/>
    <tableColumn id="49" name="Jun 30"/>
    <tableColumn id="50" name="Jul 30"/>
    <tableColumn id="51" name="Aug 30"/>
    <tableColumn id="52" name="Sep 30"/>
    <tableColumn id="53" name="Okt 30"/>
    <tableColumn id="54" name="Nov 30"/>
    <tableColumn id="55" name="Dez 30"/>
    <tableColumn id="56" name="Summe H2 26"/>
    <tableColumn id="57" name="Summe 27"/>
    <tableColumn id="58" name="Summe 28"/>
    <tableColumn id="59" name="Summe 29"/>
    <tableColumn id="60" name="Summe 30"/>
    <tableColumn id="61" name="Gesam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uftraege" displayName="tblAuftraege" ref="B6:M157" headerRowCount="1" totalsRowCount="1" headerRowDxfId="155" dataDxfId="154" totalsRowDxfId="152" tableBorderDxfId="153" totalsRowBorderDxfId="151">
  <autoFilter ref="B6:M156"/>
  <tableColumns count="12">
    <tableColumn id="1" name="Themenfeld" dataDxfId="150" totalsRowDxfId="149"/>
    <tableColumn id="4" name="Kostenstelle" dataDxfId="148" totalsRowDxfId="147"/>
    <tableColumn id="2" name="Kategorie" dataDxfId="146" totalsRowDxfId="145"/>
    <tableColumn id="3" name="Auftrag" dataDxfId="144" totalsRowDxfId="143"/>
    <tableColumn id="6" name="Datum_x000a_Ausgaben" dataDxfId="142" totalsRowDxfId="141"/>
    <tableColumn id="12" name="Ausgaben" dataDxfId="140" totalsRowDxfId="139" dataCellStyle="Währung"/>
    <tableColumn id="5" name="Datum_x000a_Einnahmen" dataDxfId="138" totalsRowDxfId="137" dataCellStyle="Währung"/>
    <tableColumn id="13" name="Einnahmen" dataDxfId="136" totalsRowDxfId="135" dataCellStyle="Währung"/>
    <tableColumn id="9" name="Auftrags-_x000a_wahrscheinlichkeit" dataDxfId="134" totalsRowDxfId="133"/>
    <tableColumn id="10" name="Bemerkung" totalsRowLabel="Ergebnis" dataDxfId="132" totalsRowDxfId="131"/>
    <tableColumn id="8" name="Kalk._x000a_Ausgaben" totalsRowFunction="sum" dataDxfId="130" totalsRowDxfId="129">
      <calculatedColumnFormula>tblAuftraege[[#This Row],[Ausgaben]]*tblAuftraege[[#This Row],[Auftrags-
wahrscheinlichkeit]]</calculatedColumnFormula>
    </tableColumn>
    <tableColumn id="7" name="Kalk._x000a_Einnahmen" totalsRowFunction="sum" dataDxfId="128" totalsRowDxfId="127">
      <calculatedColumnFormula>tblAuftraege[[#This Row],[Einnahmen]]*tblAuftraege[[#This Row],[Auftrags-
wahrscheinlichkeit]]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9"/>
  <sheetViews>
    <sheetView showGridLines="0" zoomScaleNormal="100" workbookViewId="0">
      <selection activeCell="C19" sqref="C19"/>
    </sheetView>
  </sheetViews>
  <sheetFormatPr baseColWidth="10" defaultColWidth="8.5703125" defaultRowHeight="15"/>
  <cols>
    <col width="34" customWidth="1" min="1" max="1"/>
    <col width="20" customWidth="1" min="2" max="2"/>
  </cols>
  <sheetData>
    <row r="1" ht="20.25" customHeight="1">
      <c r="A1" s="14" t="inlineStr">
        <is>
          <t>Übersicht Cashflow – SmartInfra / DuSL</t>
        </is>
      </c>
    </row>
    <row r="2">
      <c r="A2" s="16" t="inlineStr">
        <is>
          <t>SmartInfra / DuSL  ·  Juli 2026 – Dezember 2030</t>
        </is>
      </c>
    </row>
    <row r="3">
      <c r="A3" s="2" t="inlineStr">
        <is>
          <t>Alle Werte werden automatisch aus dem Blatt „Cashflow“ übernommen.</t>
        </is>
      </c>
    </row>
    <row r="5">
      <c r="A5" s="17" t="inlineStr">
        <is>
          <t>Kennzahl</t>
        </is>
      </c>
      <c r="B5" s="18" t="inlineStr">
        <is>
          <t>Betrag</t>
        </is>
      </c>
    </row>
    <row r="6">
      <c r="A6" s="19" t="inlineStr">
        <is>
          <t>H2 2026 (Jul – Dez 2026)</t>
        </is>
      </c>
      <c r="B6" s="7" t="n"/>
    </row>
    <row r="7">
      <c r="A7" s="95" t="inlineStr">
        <is>
          <t>Einnahmen H2 2026</t>
        </is>
      </c>
      <c r="B7" s="8">
        <f>Cashflow!BE76</f>
        <v/>
      </c>
    </row>
    <row r="8">
      <c r="A8" s="95" t="inlineStr">
        <is>
          <t>Ausgaben H2 2026</t>
        </is>
      </c>
      <c r="B8" s="8">
        <f>Cashflow!BE77</f>
        <v/>
      </c>
    </row>
    <row r="9">
      <c r="A9" s="96" t="inlineStr">
        <is>
          <t>Netto-Cashflow H2 2026</t>
        </is>
      </c>
      <c r="B9" s="12">
        <f>Cashflow!BE78</f>
        <v/>
      </c>
    </row>
    <row r="10">
      <c r="A10" s="19" t="inlineStr">
        <is>
          <t>Geschäftsjahr 2027</t>
        </is>
      </c>
      <c r="B10" s="7" t="n"/>
    </row>
    <row r="11">
      <c r="A11" s="95" t="inlineStr">
        <is>
          <t>Einnahmen 2027</t>
        </is>
      </c>
      <c r="B11" s="8">
        <f>Cashflow!BF76</f>
        <v/>
      </c>
    </row>
    <row r="12">
      <c r="A12" s="95" t="inlineStr">
        <is>
          <t>Ausgaben 2027</t>
        </is>
      </c>
      <c r="B12" s="8">
        <f>Cashflow!BF77</f>
        <v/>
      </c>
    </row>
    <row r="13">
      <c r="A13" s="96" t="inlineStr">
        <is>
          <t>Netto-Cashflow 2027</t>
        </is>
      </c>
      <c r="B13" s="12">
        <f>Cashflow!BF78</f>
        <v/>
      </c>
    </row>
    <row r="14">
      <c r="A14" s="19" t="inlineStr">
        <is>
          <t>Geschäftsjahr 2028</t>
        </is>
      </c>
      <c r="B14" s="7" t="n"/>
    </row>
    <row r="15">
      <c r="A15" s="95" t="inlineStr">
        <is>
          <t>Einnahmen 2028</t>
        </is>
      </c>
      <c r="B15" s="8">
        <f>Cashflow!BG76</f>
        <v/>
      </c>
    </row>
    <row r="16">
      <c r="A16" s="95" t="inlineStr">
        <is>
          <t>Ausgaben 2028</t>
        </is>
      </c>
      <c r="B16" s="8">
        <f>Cashflow!BG77</f>
        <v/>
      </c>
    </row>
    <row r="17">
      <c r="A17" s="96" t="inlineStr">
        <is>
          <t>Netto-Cashflow 2028</t>
        </is>
      </c>
      <c r="B17" s="12">
        <f>Cashflow!BG78</f>
        <v/>
      </c>
    </row>
    <row r="18">
      <c r="A18" s="19" t="inlineStr">
        <is>
          <t>Geschäftsjahr 2029</t>
        </is>
      </c>
      <c r="B18" s="7" t="n"/>
    </row>
    <row r="19">
      <c r="A19" s="95" t="inlineStr">
        <is>
          <t>Einnahmen 2029</t>
        </is>
      </c>
      <c r="B19" s="8">
        <f>Cashflow!BH76</f>
        <v/>
      </c>
    </row>
    <row r="20">
      <c r="A20" s="95" t="inlineStr">
        <is>
          <t>Ausgaben 2029</t>
        </is>
      </c>
      <c r="B20" s="8">
        <f>Cashflow!BH77</f>
        <v/>
      </c>
    </row>
    <row r="21">
      <c r="A21" s="96" t="inlineStr">
        <is>
          <t>Netto-Cashflow 2029</t>
        </is>
      </c>
      <c r="B21" s="12">
        <f>Cashflow!BH78</f>
        <v/>
      </c>
    </row>
    <row r="22">
      <c r="A22" s="19" t="inlineStr">
        <is>
          <t>Geschäftsjahr 2030</t>
        </is>
      </c>
      <c r="B22" s="7" t="n"/>
    </row>
    <row r="23">
      <c r="A23" s="95" t="inlineStr">
        <is>
          <t>Einnahmen 2030</t>
        </is>
      </c>
      <c r="B23" s="8">
        <f>Cashflow!BI76</f>
        <v/>
      </c>
    </row>
    <row r="24">
      <c r="A24" s="95" t="inlineStr">
        <is>
          <t>Ausgaben 2030</t>
        </is>
      </c>
      <c r="B24" s="8">
        <f>Cashflow!BI77</f>
        <v/>
      </c>
    </row>
    <row r="25">
      <c r="A25" s="96" t="inlineStr">
        <is>
          <t>Netto-Cashflow 2030</t>
        </is>
      </c>
      <c r="B25" s="12">
        <f>Cashflow!BI78</f>
        <v/>
      </c>
    </row>
    <row r="26">
      <c r="A26" s="19" t="inlineStr">
        <is>
          <t>Gesamtzeitraum (54 Monate)</t>
        </is>
      </c>
      <c r="B26" s="7" t="n"/>
    </row>
    <row r="27">
      <c r="A27" s="95" t="inlineStr">
        <is>
          <t>Gesamteinnahmen</t>
        </is>
      </c>
      <c r="B27" s="8">
        <f>Cashflow!BJ76</f>
        <v/>
      </c>
    </row>
    <row r="28">
      <c r="A28" s="95" t="inlineStr">
        <is>
          <t>Gesamtausgaben</t>
        </is>
      </c>
      <c r="B28" s="8">
        <f>Cashflow!BJ77</f>
        <v/>
      </c>
    </row>
    <row r="29">
      <c r="A29" s="96" t="inlineStr">
        <is>
          <t>Gesamt-Netto-Cashflow</t>
        </is>
      </c>
      <c r="B29" s="12">
        <f>Cashflow!BJ78</f>
        <v/>
      </c>
    </row>
  </sheetData>
  <conditionalFormatting sqref="B6:B29">
    <cfRule type="cellIs" priority="2" operator="lessThan" dxfId="9">
      <formula>0</formula>
    </cfRule>
    <cfRule type="cellIs" priority="3" operator="greaterThan" dxfId="10">
      <formula>0</formula>
    </cfRule>
  </conditionalFormatting>
  <pageMargins left="0.75" right="0.75" top="1" bottom="1" header="0.511811023622047" footer="0.511811023622047"/>
  <pageSetup orientation="portrait" paperSize="9" fitToHeight="0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J109"/>
  <sheetViews>
    <sheetView showGridLines="0" zoomScaleNormal="100" workbookViewId="0">
      <pane xSplit="2" ySplit="6" topLeftCell="I7" activePane="bottomRight" state="frozen"/>
      <selection pane="topRight" activeCell="C1" sqref="C1"/>
      <selection pane="bottomLeft" activeCell="A7" sqref="A7"/>
      <selection pane="bottomRight" activeCell="J2" sqref="J2"/>
    </sheetView>
  </sheetViews>
  <sheetFormatPr baseColWidth="10" defaultColWidth="8.5703125" defaultRowHeight="15"/>
  <cols>
    <col width="2.85546875" customWidth="1" style="23" min="1" max="1"/>
    <col width="58.28515625" bestFit="1" customWidth="1" min="2" max="2"/>
    <col width="13" customWidth="1" min="3" max="20"/>
    <col width="13" customWidth="1" min="21" max="23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</cols>
  <sheetData>
    <row r="1" ht="20.25" customHeight="1">
      <c r="A1" s="1" t="inlineStr">
        <is>
          <t>Cashflow-Planung</t>
        </is>
      </c>
    </row>
    <row r="2">
      <c r="A2" s="36" t="inlineStr">
        <is>
          <t>Bereich:  SmartInfra / DuSL</t>
        </is>
      </c>
    </row>
    <row r="3">
      <c r="A3" s="36" t="inlineStr">
        <is>
          <t>Zeitraum:  Juli 2026 – Dezember 2027  (18 Monate, monatlich)</t>
        </is>
      </c>
    </row>
    <row r="4">
      <c r="A4" s="2" t="inlineStr">
        <is>
          <t>Alle Beträge werden automatisch aus dem Reiter „Aufträge“ berechnet – im Cashflow werden nur Position und Kostenstelle (gelb) gepflegt.</t>
        </is>
      </c>
    </row>
    <row r="5" hidden="1">
      <c r="C5" s="3" t="n">
        <v>46204</v>
      </c>
      <c r="D5" s="3" t="n">
        <v>46235</v>
      </c>
      <c r="E5" s="3" t="n">
        <v>46266</v>
      </c>
      <c r="F5" s="3" t="n">
        <v>46296</v>
      </c>
      <c r="G5" s="3" t="n">
        <v>46327</v>
      </c>
      <c r="H5" s="3" t="n">
        <v>46357</v>
      </c>
      <c r="I5" s="3" t="n">
        <v>46388</v>
      </c>
      <c r="J5" s="3" t="n">
        <v>46419</v>
      </c>
      <c r="K5" s="3" t="n">
        <v>46447</v>
      </c>
      <c r="L5" s="3" t="n">
        <v>46478</v>
      </c>
      <c r="M5" s="3" t="n">
        <v>46508</v>
      </c>
      <c r="N5" s="3" t="n">
        <v>46539</v>
      </c>
      <c r="O5" s="3" t="n">
        <v>46569</v>
      </c>
      <c r="P5" s="3" t="n">
        <v>46600</v>
      </c>
      <c r="Q5" s="3" t="n">
        <v>46631</v>
      </c>
      <c r="R5" s="3" t="n">
        <v>46661</v>
      </c>
      <c r="S5" s="3" t="n">
        <v>46692</v>
      </c>
      <c r="T5" s="3" t="n">
        <v>46722</v>
      </c>
      <c r="U5" s="3" t="n">
        <v>46753</v>
      </c>
      <c r="V5" s="3" t="n">
        <v>46784</v>
      </c>
      <c r="W5" s="3" t="n">
        <v>46813</v>
      </c>
      <c r="X5" s="3" t="n">
        <v>46844</v>
      </c>
      <c r="Y5" s="3" t="n">
        <v>46874</v>
      </c>
      <c r="Z5" s="3" t="n">
        <v>46905</v>
      </c>
      <c r="AA5" s="3" t="n">
        <v>46935</v>
      </c>
      <c r="AB5" s="3" t="n">
        <v>46966</v>
      </c>
      <c r="AC5" s="3" t="n">
        <v>46997</v>
      </c>
      <c r="AD5" s="3" t="n">
        <v>47027</v>
      </c>
      <c r="AE5" s="3" t="n">
        <v>47058</v>
      </c>
      <c r="AF5" s="3" t="n">
        <v>47088</v>
      </c>
      <c r="AG5" s="3" t="n">
        <v>47119</v>
      </c>
      <c r="AH5" s="3" t="n">
        <v>47150</v>
      </c>
      <c r="AI5" s="3" t="n">
        <v>47178</v>
      </c>
      <c r="AJ5" s="3" t="n">
        <v>47209</v>
      </c>
      <c r="AK5" s="3" t="n">
        <v>47239</v>
      </c>
      <c r="AL5" s="3" t="n">
        <v>47270</v>
      </c>
      <c r="AM5" s="3" t="n">
        <v>47300</v>
      </c>
      <c r="AN5" s="3" t="n">
        <v>47331</v>
      </c>
      <c r="AO5" s="3" t="n">
        <v>47362</v>
      </c>
      <c r="AP5" s="3" t="n">
        <v>47392</v>
      </c>
      <c r="AQ5" s="3" t="n">
        <v>47423</v>
      </c>
      <c r="AR5" s="3" t="n">
        <v>47453</v>
      </c>
      <c r="AS5" s="3" t="n">
        <v>47484</v>
      </c>
      <c r="AT5" s="3" t="n">
        <v>47515</v>
      </c>
      <c r="AU5" s="3" t="n">
        <v>47543</v>
      </c>
      <c r="AV5" s="3" t="n">
        <v>47574</v>
      </c>
      <c r="AW5" s="3" t="n">
        <v>47604</v>
      </c>
      <c r="AX5" s="3" t="n">
        <v>47635</v>
      </c>
      <c r="AY5" s="3" t="n">
        <v>47665</v>
      </c>
      <c r="AZ5" s="3" t="n">
        <v>47696</v>
      </c>
      <c r="BA5" s="3" t="n">
        <v>47727</v>
      </c>
      <c r="BB5" s="3" t="n">
        <v>47757</v>
      </c>
      <c r="BC5" s="3" t="n">
        <v>47788</v>
      </c>
      <c r="BD5" s="3" t="n">
        <v>47818</v>
      </c>
    </row>
    <row r="6" ht="30" customHeight="1">
      <c r="A6" s="33" t="n"/>
      <c r="B6" s="4" t="inlineStr">
        <is>
          <t>Kostenstelle</t>
        </is>
      </c>
      <c r="C6" s="5" t="inlineStr">
        <is>
          <t>Jul 26</t>
        </is>
      </c>
      <c r="D6" s="5" t="inlineStr">
        <is>
          <t>Aug 26</t>
        </is>
      </c>
      <c r="E6" s="5" t="inlineStr">
        <is>
          <t>Sep 26</t>
        </is>
      </c>
      <c r="F6" s="5" t="inlineStr">
        <is>
          <t>Okt 26</t>
        </is>
      </c>
      <c r="G6" s="5" t="inlineStr">
        <is>
          <t>Nov 26</t>
        </is>
      </c>
      <c r="H6" s="5" t="inlineStr">
        <is>
          <t>Dez 26</t>
        </is>
      </c>
      <c r="I6" s="5" t="inlineStr">
        <is>
          <t>Jan 27</t>
        </is>
      </c>
      <c r="J6" s="5" t="inlineStr">
        <is>
          <t>Feb 27</t>
        </is>
      </c>
      <c r="K6" s="5" t="inlineStr">
        <is>
          <t>Mär 27</t>
        </is>
      </c>
      <c r="L6" s="5" t="inlineStr">
        <is>
          <t>Apr 27</t>
        </is>
      </c>
      <c r="M6" s="5" t="inlineStr">
        <is>
          <t>Mai 27</t>
        </is>
      </c>
      <c r="N6" s="5" t="inlineStr">
        <is>
          <t>Jun 27</t>
        </is>
      </c>
      <c r="O6" s="5" t="inlineStr">
        <is>
          <t>Jul 27</t>
        </is>
      </c>
      <c r="P6" s="5" t="inlineStr">
        <is>
          <t>Aug 27</t>
        </is>
      </c>
      <c r="Q6" s="5" t="inlineStr">
        <is>
          <t>Sep 27</t>
        </is>
      </c>
      <c r="R6" s="5" t="inlineStr">
        <is>
          <t>Okt 27</t>
        </is>
      </c>
      <c r="S6" s="5" t="inlineStr">
        <is>
          <t>Nov 27</t>
        </is>
      </c>
      <c r="T6" s="5" t="inlineStr">
        <is>
          <t>Dez 27</t>
        </is>
      </c>
      <c r="U6" s="5" t="inlineStr">
        <is>
          <t>Jan 28</t>
        </is>
      </c>
      <c r="V6" s="5" t="inlineStr">
        <is>
          <t>Feb 28</t>
        </is>
      </c>
      <c r="W6" s="5" t="inlineStr">
        <is>
          <t>Mär 28</t>
        </is>
      </c>
      <c r="X6" s="5" t="inlineStr">
        <is>
          <t>Apr 28</t>
        </is>
      </c>
      <c r="Y6" s="5" t="inlineStr">
        <is>
          <t>Mai 28</t>
        </is>
      </c>
      <c r="Z6" s="5" t="inlineStr">
        <is>
          <t>Jun 28</t>
        </is>
      </c>
      <c r="AA6" s="5" t="inlineStr">
        <is>
          <t>Jul 28</t>
        </is>
      </c>
      <c r="AB6" s="5" t="inlineStr">
        <is>
          <t>Aug 28</t>
        </is>
      </c>
      <c r="AC6" s="5" t="inlineStr">
        <is>
          <t>Sep 28</t>
        </is>
      </c>
      <c r="AD6" s="5" t="inlineStr">
        <is>
          <t>Okt 28</t>
        </is>
      </c>
      <c r="AE6" s="5" t="inlineStr">
        <is>
          <t>Nov 28</t>
        </is>
      </c>
      <c r="AF6" s="5" t="inlineStr">
        <is>
          <t>Dez 28</t>
        </is>
      </c>
      <c r="AG6" s="5" t="inlineStr">
        <is>
          <t>Jan 29</t>
        </is>
      </c>
      <c r="AH6" s="5" t="inlineStr">
        <is>
          <t>Feb 29</t>
        </is>
      </c>
      <c r="AI6" s="5" t="inlineStr">
        <is>
          <t>Mär 29</t>
        </is>
      </c>
      <c r="AJ6" s="5" t="inlineStr">
        <is>
          <t>Apr 29</t>
        </is>
      </c>
      <c r="AK6" s="5" t="inlineStr">
        <is>
          <t>Mai 29</t>
        </is>
      </c>
      <c r="AL6" s="5" t="inlineStr">
        <is>
          <t>Jun 29</t>
        </is>
      </c>
      <c r="AM6" s="5" t="inlineStr">
        <is>
          <t>Jul 29</t>
        </is>
      </c>
      <c r="AN6" s="5" t="inlineStr">
        <is>
          <t>Aug 29</t>
        </is>
      </c>
      <c r="AO6" s="5" t="inlineStr">
        <is>
          <t>Sep 29</t>
        </is>
      </c>
      <c r="AP6" s="5" t="inlineStr">
        <is>
          <t>Okt 29</t>
        </is>
      </c>
      <c r="AQ6" s="5" t="inlineStr">
        <is>
          <t>Nov 29</t>
        </is>
      </c>
      <c r="AR6" s="5" t="inlineStr">
        <is>
          <t>Dez 29</t>
        </is>
      </c>
      <c r="AS6" s="5" t="inlineStr">
        <is>
          <t>Jan 30</t>
        </is>
      </c>
      <c r="AT6" s="5" t="inlineStr">
        <is>
          <t>Feb 30</t>
        </is>
      </c>
      <c r="AU6" s="5" t="inlineStr">
        <is>
          <t>Mär 30</t>
        </is>
      </c>
      <c r="AV6" s="5" t="inlineStr">
        <is>
          <t>Apr 30</t>
        </is>
      </c>
      <c r="AW6" s="5" t="inlineStr">
        <is>
          <t>Mai 30</t>
        </is>
      </c>
      <c r="AX6" s="5" t="inlineStr">
        <is>
          <t>Jun 30</t>
        </is>
      </c>
      <c r="AY6" s="5" t="inlineStr">
        <is>
          <t>Jul 30</t>
        </is>
      </c>
      <c r="AZ6" s="5" t="inlineStr">
        <is>
          <t>Aug 30</t>
        </is>
      </c>
      <c r="BA6" s="5" t="inlineStr">
        <is>
          <t>Sep 30</t>
        </is>
      </c>
      <c r="BB6" s="5" t="inlineStr">
        <is>
          <t>Okt 30</t>
        </is>
      </c>
      <c r="BC6" s="5" t="inlineStr">
        <is>
          <t>Nov 30</t>
        </is>
      </c>
      <c r="BD6" s="5" t="inlineStr">
        <is>
          <t>Dez 30</t>
        </is>
      </c>
      <c r="BE6" s="5" t="inlineStr">
        <is>
          <t>Summe H2 2026</t>
        </is>
      </c>
      <c r="BF6" s="5" t="inlineStr">
        <is>
          <t>Summe 2027</t>
        </is>
      </c>
      <c r="BG6" s="5" t="inlineStr">
        <is>
          <t>Summe 2028</t>
        </is>
      </c>
      <c r="BH6" s="5" t="inlineStr">
        <is>
          <t>Summe 2029</t>
        </is>
      </c>
      <c r="BI6" s="5" t="inlineStr">
        <is>
          <t>Summe 2030</t>
        </is>
      </c>
      <c r="BJ6" s="5" t="inlineStr">
        <is>
          <t>Gesamt</t>
        </is>
      </c>
    </row>
    <row r="7" ht="19.5" customHeight="1">
      <c r="B7" s="46" t="inlineStr">
        <is>
          <t>1  EINNAHMEN  (Quelle: Reiter „Aufträge“)</t>
        </is>
      </c>
      <c r="C7" s="57" t="inlineStr">
        <is>
          <t>Jul 26</t>
        </is>
      </c>
      <c r="D7" s="57" t="inlineStr">
        <is>
          <t>Aug 26</t>
        </is>
      </c>
      <c r="E7" s="57" t="inlineStr">
        <is>
          <t>Sep 26</t>
        </is>
      </c>
      <c r="F7" s="57" t="inlineStr">
        <is>
          <t>Okt 26</t>
        </is>
      </c>
      <c r="G7" s="57" t="inlineStr">
        <is>
          <t>Nov 26</t>
        </is>
      </c>
      <c r="H7" s="57" t="inlineStr">
        <is>
          <t>Dez 26</t>
        </is>
      </c>
      <c r="I7" s="57" t="inlineStr">
        <is>
          <t>Jan 27</t>
        </is>
      </c>
      <c r="J7" s="57" t="inlineStr">
        <is>
          <t>Feb 27</t>
        </is>
      </c>
      <c r="K7" s="57" t="inlineStr">
        <is>
          <t>Mrz 27</t>
        </is>
      </c>
      <c r="L7" s="57" t="inlineStr">
        <is>
          <t>Apr 27</t>
        </is>
      </c>
      <c r="M7" s="57" t="inlineStr">
        <is>
          <t>Mai 27</t>
        </is>
      </c>
      <c r="N7" s="57" t="inlineStr">
        <is>
          <t>Jun 27</t>
        </is>
      </c>
      <c r="O7" s="58" t="inlineStr">
        <is>
          <t>Jul 27</t>
        </is>
      </c>
      <c r="P7" s="58" t="inlineStr">
        <is>
          <t>Aug 27</t>
        </is>
      </c>
      <c r="Q7" s="58" t="inlineStr">
        <is>
          <t>Sep 27</t>
        </is>
      </c>
      <c r="R7" s="58" t="inlineStr">
        <is>
          <t>Okt 27</t>
        </is>
      </c>
      <c r="S7" s="58" t="inlineStr">
        <is>
          <t>Nov 27</t>
        </is>
      </c>
      <c r="T7" s="58" t="inlineStr">
        <is>
          <t>Dez 27</t>
        </is>
      </c>
      <c r="U7" s="58" t="inlineStr">
        <is>
          <t>Jan 28</t>
        </is>
      </c>
      <c r="V7" s="58" t="inlineStr">
        <is>
          <t>Feb 28</t>
        </is>
      </c>
      <c r="W7" s="58" t="inlineStr">
        <is>
          <t>Mär 28</t>
        </is>
      </c>
      <c r="X7" s="58" t="inlineStr">
        <is>
          <t>Apr 28</t>
        </is>
      </c>
      <c r="Y7" s="58" t="inlineStr">
        <is>
          <t>Mai 28</t>
        </is>
      </c>
      <c r="Z7" s="58" t="inlineStr">
        <is>
          <t>Jun 28</t>
        </is>
      </c>
      <c r="AA7" s="58" t="inlineStr">
        <is>
          <t>Jul 28</t>
        </is>
      </c>
      <c r="AB7" s="58" t="inlineStr">
        <is>
          <t>Aug 28</t>
        </is>
      </c>
      <c r="AC7" s="58" t="inlineStr">
        <is>
          <t>Sep 28</t>
        </is>
      </c>
      <c r="AD7" s="58" t="inlineStr">
        <is>
          <t>Okt 28</t>
        </is>
      </c>
      <c r="AE7" s="58" t="inlineStr">
        <is>
          <t>Nov 28</t>
        </is>
      </c>
      <c r="AF7" s="58" t="inlineStr">
        <is>
          <t>Dez 28</t>
        </is>
      </c>
      <c r="AG7" s="58" t="inlineStr">
        <is>
          <t>Jan 29</t>
        </is>
      </c>
      <c r="AH7" s="58" t="inlineStr">
        <is>
          <t>Feb 29</t>
        </is>
      </c>
      <c r="AI7" s="58" t="inlineStr">
        <is>
          <t>Mär 29</t>
        </is>
      </c>
      <c r="AJ7" s="58" t="inlineStr">
        <is>
          <t>Apr 29</t>
        </is>
      </c>
      <c r="AK7" s="58" t="inlineStr">
        <is>
          <t>Mai 29</t>
        </is>
      </c>
      <c r="AL7" s="58" t="inlineStr">
        <is>
          <t>Jun 29</t>
        </is>
      </c>
      <c r="AM7" s="58" t="inlineStr">
        <is>
          <t>Jul 29</t>
        </is>
      </c>
      <c r="AN7" s="58" t="inlineStr">
        <is>
          <t>Aug 29</t>
        </is>
      </c>
      <c r="AO7" s="58" t="inlineStr">
        <is>
          <t>Sep 29</t>
        </is>
      </c>
      <c r="AP7" s="58" t="inlineStr">
        <is>
          <t>Okt 29</t>
        </is>
      </c>
      <c r="AQ7" s="58" t="inlineStr">
        <is>
          <t>Nov 29</t>
        </is>
      </c>
      <c r="AR7" s="58" t="inlineStr">
        <is>
          <t>Dez 29</t>
        </is>
      </c>
      <c r="AS7" s="58" t="inlineStr">
        <is>
          <t>Jan 30</t>
        </is>
      </c>
      <c r="AT7" s="58" t="inlineStr">
        <is>
          <t>Feb 30</t>
        </is>
      </c>
      <c r="AU7" s="58" t="inlineStr">
        <is>
          <t>Mär 30</t>
        </is>
      </c>
      <c r="AV7" s="58" t="inlineStr">
        <is>
          <t>Apr 30</t>
        </is>
      </c>
      <c r="AW7" s="58" t="inlineStr">
        <is>
          <t>Mai 30</t>
        </is>
      </c>
      <c r="AX7" s="58" t="inlineStr">
        <is>
          <t>Jun 30</t>
        </is>
      </c>
      <c r="AY7" s="58" t="inlineStr">
        <is>
          <t>Jul 30</t>
        </is>
      </c>
      <c r="AZ7" s="58" t="inlineStr">
        <is>
          <t>Aug 30</t>
        </is>
      </c>
      <c r="BA7" s="58" t="inlineStr">
        <is>
          <t>Sep 30</t>
        </is>
      </c>
      <c r="BB7" s="58" t="inlineStr">
        <is>
          <t>Okt 30</t>
        </is>
      </c>
      <c r="BC7" s="58" t="inlineStr">
        <is>
          <t>Nov 30</t>
        </is>
      </c>
      <c r="BD7" s="58" t="inlineStr">
        <is>
          <t>Dez 30</t>
        </is>
      </c>
      <c r="BE7" s="58" t="inlineStr">
        <is>
          <t>Summe H2 26</t>
        </is>
      </c>
      <c r="BF7" s="58" t="inlineStr">
        <is>
          <t>Summe 27</t>
        </is>
      </c>
      <c r="BG7" s="58" t="inlineStr">
        <is>
          <t>Summe 28</t>
        </is>
      </c>
      <c r="BH7" s="58" t="inlineStr">
        <is>
          <t>Summe 29</t>
        </is>
      </c>
      <c r="BI7" s="58" t="inlineStr">
        <is>
          <t>Summe 30</t>
        </is>
      </c>
      <c r="BJ7" s="58" t="inlineStr">
        <is>
          <t>Gesamt</t>
        </is>
      </c>
    </row>
    <row r="8">
      <c r="A8" s="34" t="n"/>
      <c r="B8" s="49" t="inlineStr">
        <is>
          <t>87001004 - Airbus</t>
        </is>
      </c>
      <c r="C8" s="25">
        <f>IF($B8="",0,SUMIFS(tblAuftraege[Kalk.
Einnahmen],tblAuftraege[Datum
Einnahmen],"&gt;="&amp;C$5,tblAuftraege[Datum
Einnahmen],"&lt;"&amp;EDATE(C$5,1),tblAuftraege[Kostenstelle],$B8))</f>
        <v/>
      </c>
      <c r="D8" s="25">
        <f>IF($B8="",0,SUMIFS(tblAuftraege[Kalk.
Einnahmen],tblAuftraege[Datum
Einnahmen],"&gt;="&amp;D$5,tblAuftraege[Datum
Einnahmen],"&lt;"&amp;EDATE(D$5,1),tblAuftraege[Kostenstelle],$B8))</f>
        <v/>
      </c>
      <c r="E8" s="25">
        <f>IF($B8="",0,SUMIFS(tblAuftraege[Kalk.
Einnahmen],tblAuftraege[Datum
Einnahmen],"&gt;="&amp;E$5,tblAuftraege[Datum
Einnahmen],"&lt;"&amp;EDATE(E$5,1),tblAuftraege[Kostenstelle],$B8))</f>
        <v/>
      </c>
      <c r="F8" s="25">
        <f>IF($B8="",0,SUMIFS(tblAuftraege[Kalk.
Einnahmen],tblAuftraege[Datum
Einnahmen],"&gt;="&amp;F$5,tblAuftraege[Datum
Einnahmen],"&lt;"&amp;EDATE(F$5,1),tblAuftraege[Kostenstelle],$B8))</f>
        <v/>
      </c>
      <c r="G8" s="25">
        <f>IF($B8="",0,SUMIFS(tblAuftraege[Kalk.
Einnahmen],tblAuftraege[Datum
Einnahmen],"&gt;="&amp;G$5,tblAuftraege[Datum
Einnahmen],"&lt;"&amp;EDATE(G$5,1),tblAuftraege[Kostenstelle],$B8))</f>
        <v/>
      </c>
      <c r="H8" s="25">
        <f>IF($B8="",0,SUMIFS(tblAuftraege[Kalk.
Einnahmen],tblAuftraege[Datum
Einnahmen],"&gt;="&amp;H$5,tblAuftraege[Datum
Einnahmen],"&lt;"&amp;EDATE(H$5,1),tblAuftraege[Kostenstelle],$B8))</f>
        <v/>
      </c>
      <c r="I8" s="25">
        <f>IF($B8="",0,SUMIFS(tblAuftraege[Kalk.
Einnahmen],tblAuftraege[Datum
Einnahmen],"&gt;="&amp;I$5,tblAuftraege[Datum
Einnahmen],"&lt;"&amp;EDATE(I$5,1),tblAuftraege[Kostenstelle],$B8))</f>
        <v/>
      </c>
      <c r="J8" s="25">
        <f>IF($B8="",0,SUMIFS(tblAuftraege[Kalk.
Einnahmen],tblAuftraege[Datum
Einnahmen],"&gt;="&amp;J$5,tblAuftraege[Datum
Einnahmen],"&lt;"&amp;EDATE(J$5,1),tblAuftraege[Kostenstelle],$B8))</f>
        <v/>
      </c>
      <c r="K8" s="25">
        <f>IF($B8="",0,SUMIFS(tblAuftraege[Kalk.
Einnahmen],tblAuftraege[Datum
Einnahmen],"&gt;="&amp;K$5,tblAuftraege[Datum
Einnahmen],"&lt;"&amp;EDATE(K$5,1),tblAuftraege[Kostenstelle],$B8))</f>
        <v/>
      </c>
      <c r="L8" s="25">
        <f>IF($B8="",0,SUMIFS(tblAuftraege[Kalk.
Einnahmen],tblAuftraege[Datum
Einnahmen],"&gt;="&amp;L$5,tblAuftraege[Datum
Einnahmen],"&lt;"&amp;EDATE(L$5,1),tblAuftraege[Kostenstelle],$B8))</f>
        <v/>
      </c>
      <c r="M8" s="25">
        <f>IF($B8="",0,SUMIFS(tblAuftraege[Kalk.
Einnahmen],tblAuftraege[Datum
Einnahmen],"&gt;="&amp;M$5,tblAuftraege[Datum
Einnahmen],"&lt;"&amp;EDATE(M$5,1),tblAuftraege[Kostenstelle],$B8))</f>
        <v/>
      </c>
      <c r="N8" s="25">
        <f>IF($B8="",0,SUMIFS(tblAuftraege[Kalk.
Einnahmen],tblAuftraege[Datum
Einnahmen],"&gt;="&amp;N$5,tblAuftraege[Datum
Einnahmen],"&lt;"&amp;EDATE(N$5,1),tblAuftraege[Kostenstelle],$B8))</f>
        <v/>
      </c>
      <c r="O8" s="25">
        <f>IF($B8="",0,SUMIFS(tblAuftraege[Kalk.
Einnahmen],tblAuftraege[Datum
Einnahmen],"&gt;="&amp;O$5,tblAuftraege[Datum
Einnahmen],"&lt;"&amp;EDATE(O$5,1),tblAuftraege[Kostenstelle],$B8))</f>
        <v/>
      </c>
      <c r="P8" s="25">
        <f>IF($B8="",0,SUMIFS(tblAuftraege[Kalk.
Einnahmen],tblAuftraege[Datum
Einnahmen],"&gt;="&amp;P$5,tblAuftraege[Datum
Einnahmen],"&lt;"&amp;EDATE(P$5,1),tblAuftraege[Kostenstelle],$B8))</f>
        <v/>
      </c>
      <c r="Q8" s="25">
        <f>IF($B8="",0,SUMIFS(tblAuftraege[Kalk.
Einnahmen],tblAuftraege[Datum
Einnahmen],"&gt;="&amp;Q$5,tblAuftraege[Datum
Einnahmen],"&lt;"&amp;EDATE(Q$5,1),tblAuftraege[Kostenstelle],$B8))</f>
        <v/>
      </c>
      <c r="R8" s="25">
        <f>IF($B8="",0,SUMIFS(tblAuftraege[Kalk.
Einnahmen],tblAuftraege[Datum
Einnahmen],"&gt;="&amp;R$5,tblAuftraege[Datum
Einnahmen],"&lt;"&amp;EDATE(R$5,1),tblAuftraege[Kostenstelle],$B8))</f>
        <v/>
      </c>
      <c r="S8" s="25">
        <f>IF($B8="",0,SUMIFS(tblAuftraege[Kalk.
Einnahmen],tblAuftraege[Datum
Einnahmen],"&gt;="&amp;S$5,tblAuftraege[Datum
Einnahmen],"&lt;"&amp;EDATE(S$5,1),tblAuftraege[Kostenstelle],$B8))</f>
        <v/>
      </c>
      <c r="T8" s="25">
        <f>IF($B8="",0,SUMIFS(tblAuftraege[Kalk.
Einnahmen],tblAuftraege[Datum
Einnahmen],"&gt;="&amp;T$5,tblAuftraege[Datum
Einnahmen],"&lt;"&amp;EDATE(T$5,1),tblAuftraege[Kostenstelle],$B8))</f>
        <v/>
      </c>
      <c r="U8" s="25">
        <f>IF($B8="",0,SUMIFS(tblAuftraege[Kalk.
Einnahmen],tblAuftraege[Datum
Einnahmen],"&gt;="&amp;U$5,tblAuftraege[Datum
Einnahmen],"&lt;"&amp;EDATE(U$5,1),tblAuftraege[Kostenstelle],$B8))</f>
        <v/>
      </c>
      <c r="V8" s="25">
        <f>IF($B8="",0,SUMIFS(tblAuftraege[Kalk.
Einnahmen],tblAuftraege[Datum
Einnahmen],"&gt;="&amp;V$5,tblAuftraege[Datum
Einnahmen],"&lt;"&amp;EDATE(V$5,1),tblAuftraege[Kostenstelle],$B8))</f>
        <v/>
      </c>
      <c r="W8" s="25">
        <f>IF($B8="",0,SUMIFS(tblAuftraege[Kalk.
Einnahmen],tblAuftraege[Datum
Einnahmen],"&gt;="&amp;W$5,tblAuftraege[Datum
Einnahmen],"&lt;"&amp;EDATE(W$5,1),tblAuftraege[Kostenstelle],$B8))</f>
        <v/>
      </c>
      <c r="X8" s="25">
        <f>IF($B8="",0,SUMIFS(tblAuftraege[Kalk.
Einnahmen],tblAuftraege[Datum
Einnahmen],"&gt;="&amp;X$5,tblAuftraege[Datum
Einnahmen],"&lt;"&amp;EDATE(X$5,1),tblAuftraege[Kostenstelle],$B8))</f>
        <v/>
      </c>
      <c r="Y8" s="25">
        <f>IF($B8="",0,SUMIFS(tblAuftraege[Kalk.
Einnahmen],tblAuftraege[Datum
Einnahmen],"&gt;="&amp;Y$5,tblAuftraege[Datum
Einnahmen],"&lt;"&amp;EDATE(Y$5,1),tblAuftraege[Kostenstelle],$B8))</f>
        <v/>
      </c>
      <c r="Z8" s="25">
        <f>IF($B8="",0,SUMIFS(tblAuftraege[Kalk.
Einnahmen],tblAuftraege[Datum
Einnahmen],"&gt;="&amp;Z$5,tblAuftraege[Datum
Einnahmen],"&lt;"&amp;EDATE(Z$5,1),tblAuftraege[Kostenstelle],$B8))</f>
        <v/>
      </c>
      <c r="AA8" s="25">
        <f>IF($B8="",0,SUMIFS(tblAuftraege[Kalk.
Einnahmen],tblAuftraege[Datum
Einnahmen],"&gt;="&amp;AA$5,tblAuftraege[Datum
Einnahmen],"&lt;"&amp;EDATE(AA$5,1),tblAuftraege[Kostenstelle],$B8))</f>
        <v/>
      </c>
      <c r="AB8" s="25">
        <f>IF($B8="",0,SUMIFS(tblAuftraege[Kalk.
Einnahmen],tblAuftraege[Datum
Einnahmen],"&gt;="&amp;AB$5,tblAuftraege[Datum
Einnahmen],"&lt;"&amp;EDATE(AB$5,1),tblAuftraege[Kostenstelle],$B8))</f>
        <v/>
      </c>
      <c r="AC8" s="25">
        <f>IF($B8="",0,SUMIFS(tblAuftraege[Kalk.
Einnahmen],tblAuftraege[Datum
Einnahmen],"&gt;="&amp;AC$5,tblAuftraege[Datum
Einnahmen],"&lt;"&amp;EDATE(AC$5,1),tblAuftraege[Kostenstelle],$B8))</f>
        <v/>
      </c>
      <c r="AD8" s="25">
        <f>IF($B8="",0,SUMIFS(tblAuftraege[Kalk.
Einnahmen],tblAuftraege[Datum
Einnahmen],"&gt;="&amp;AD$5,tblAuftraege[Datum
Einnahmen],"&lt;"&amp;EDATE(AD$5,1),tblAuftraege[Kostenstelle],$B8))</f>
        <v/>
      </c>
      <c r="AE8" s="25">
        <f>IF($B8="",0,SUMIFS(tblAuftraege[Kalk.
Einnahmen],tblAuftraege[Datum
Einnahmen],"&gt;="&amp;AE$5,tblAuftraege[Datum
Einnahmen],"&lt;"&amp;EDATE(AE$5,1),tblAuftraege[Kostenstelle],$B8))</f>
        <v/>
      </c>
      <c r="AF8" s="25">
        <f>IF($B8="",0,SUMIFS(tblAuftraege[Kalk.
Einnahmen],tblAuftraege[Datum
Einnahmen],"&gt;="&amp;AF$5,tblAuftraege[Datum
Einnahmen],"&lt;"&amp;EDATE(AF$5,1),tblAuftraege[Kostenstelle],$B8))</f>
        <v/>
      </c>
      <c r="AG8" s="25">
        <f>IF($B8="",0,SUMIFS(tblAuftraege[Kalk.
Einnahmen],tblAuftraege[Datum
Einnahmen],"&gt;="&amp;AG$5,tblAuftraege[Datum
Einnahmen],"&lt;"&amp;EDATE(AG$5,1),tblAuftraege[Kostenstelle],$B8))</f>
        <v/>
      </c>
      <c r="AH8" s="25">
        <f>IF($B8="",0,SUMIFS(tblAuftraege[Kalk.
Einnahmen],tblAuftraege[Datum
Einnahmen],"&gt;="&amp;AH$5,tblAuftraege[Datum
Einnahmen],"&lt;"&amp;EDATE(AH$5,1),tblAuftraege[Kostenstelle],$B8))</f>
        <v/>
      </c>
      <c r="AI8" s="25">
        <f>IF($B8="",0,SUMIFS(tblAuftraege[Kalk.
Einnahmen],tblAuftraege[Datum
Einnahmen],"&gt;="&amp;AI$5,tblAuftraege[Datum
Einnahmen],"&lt;"&amp;EDATE(AI$5,1),tblAuftraege[Kostenstelle],$B8))</f>
        <v/>
      </c>
      <c r="AJ8" s="25">
        <f>IF($B8="",0,SUMIFS(tblAuftraege[Kalk.
Einnahmen],tblAuftraege[Datum
Einnahmen],"&gt;="&amp;AJ$5,tblAuftraege[Datum
Einnahmen],"&lt;"&amp;EDATE(AJ$5,1),tblAuftraege[Kostenstelle],$B8))</f>
        <v/>
      </c>
      <c r="AK8" s="25">
        <f>IF($B8="",0,SUMIFS(tblAuftraege[Kalk.
Einnahmen],tblAuftraege[Datum
Einnahmen],"&gt;="&amp;AK$5,tblAuftraege[Datum
Einnahmen],"&lt;"&amp;EDATE(AK$5,1),tblAuftraege[Kostenstelle],$B8))</f>
        <v/>
      </c>
      <c r="AL8" s="25">
        <f>IF($B8="",0,SUMIFS(tblAuftraege[Kalk.
Einnahmen],tblAuftraege[Datum
Einnahmen],"&gt;="&amp;AL$5,tblAuftraege[Datum
Einnahmen],"&lt;"&amp;EDATE(AL$5,1),tblAuftraege[Kostenstelle],$B8))</f>
        <v/>
      </c>
      <c r="AM8" s="25">
        <f>IF($B8="",0,SUMIFS(tblAuftraege[Kalk.
Einnahmen],tblAuftraege[Datum
Einnahmen],"&gt;="&amp;AM$5,tblAuftraege[Datum
Einnahmen],"&lt;"&amp;EDATE(AM$5,1),tblAuftraege[Kostenstelle],$B8))</f>
        <v/>
      </c>
      <c r="AN8" s="25">
        <f>IF($B8="",0,SUMIFS(tblAuftraege[Kalk.
Einnahmen],tblAuftraege[Datum
Einnahmen],"&gt;="&amp;AN$5,tblAuftraege[Datum
Einnahmen],"&lt;"&amp;EDATE(AN$5,1),tblAuftraege[Kostenstelle],$B8))</f>
        <v/>
      </c>
      <c r="AO8" s="25">
        <f>IF($B8="",0,SUMIFS(tblAuftraege[Kalk.
Einnahmen],tblAuftraege[Datum
Einnahmen],"&gt;="&amp;AO$5,tblAuftraege[Datum
Einnahmen],"&lt;"&amp;EDATE(AO$5,1),tblAuftraege[Kostenstelle],$B8))</f>
        <v/>
      </c>
      <c r="AP8" s="25">
        <f>IF($B8="",0,SUMIFS(tblAuftraege[Kalk.
Einnahmen],tblAuftraege[Datum
Einnahmen],"&gt;="&amp;AP$5,tblAuftraege[Datum
Einnahmen],"&lt;"&amp;EDATE(AP$5,1),tblAuftraege[Kostenstelle],$B8))</f>
        <v/>
      </c>
      <c r="AQ8" s="25">
        <f>IF($B8="",0,SUMIFS(tblAuftraege[Kalk.
Einnahmen],tblAuftraege[Datum
Einnahmen],"&gt;="&amp;AQ$5,tblAuftraege[Datum
Einnahmen],"&lt;"&amp;EDATE(AQ$5,1),tblAuftraege[Kostenstelle],$B8))</f>
        <v/>
      </c>
      <c r="AR8" s="25">
        <f>IF($B8="",0,SUMIFS(tblAuftraege[Kalk.
Einnahmen],tblAuftraege[Datum
Einnahmen],"&gt;="&amp;AR$5,tblAuftraege[Datum
Einnahmen],"&lt;"&amp;EDATE(AR$5,1),tblAuftraege[Kostenstelle],$B8))</f>
        <v/>
      </c>
      <c r="AS8" s="25">
        <f>IF($B8="",0,SUMIFS(tblAuftraege[Kalk.
Einnahmen],tblAuftraege[Datum
Einnahmen],"&gt;="&amp;AS$5,tblAuftraege[Datum
Einnahmen],"&lt;"&amp;EDATE(AS$5,1),tblAuftraege[Kostenstelle],$B8))</f>
        <v/>
      </c>
      <c r="AT8" s="25">
        <f>IF($B8="",0,SUMIFS(tblAuftraege[Kalk.
Einnahmen],tblAuftraege[Datum
Einnahmen],"&gt;="&amp;AT$5,tblAuftraege[Datum
Einnahmen],"&lt;"&amp;EDATE(AT$5,1),tblAuftraege[Kostenstelle],$B8))</f>
        <v/>
      </c>
      <c r="AU8" s="25">
        <f>IF($B8="",0,SUMIFS(tblAuftraege[Kalk.
Einnahmen],tblAuftraege[Datum
Einnahmen],"&gt;="&amp;AU$5,tblAuftraege[Datum
Einnahmen],"&lt;"&amp;EDATE(AU$5,1),tblAuftraege[Kostenstelle],$B8))</f>
        <v/>
      </c>
      <c r="AV8" s="25">
        <f>IF($B8="",0,SUMIFS(tblAuftraege[Kalk.
Einnahmen],tblAuftraege[Datum
Einnahmen],"&gt;="&amp;AV$5,tblAuftraege[Datum
Einnahmen],"&lt;"&amp;EDATE(AV$5,1),tblAuftraege[Kostenstelle],$B8))</f>
        <v/>
      </c>
      <c r="AW8" s="25">
        <f>IF($B8="",0,SUMIFS(tblAuftraege[Kalk.
Einnahmen],tblAuftraege[Datum
Einnahmen],"&gt;="&amp;AW$5,tblAuftraege[Datum
Einnahmen],"&lt;"&amp;EDATE(AW$5,1),tblAuftraege[Kostenstelle],$B8))</f>
        <v/>
      </c>
      <c r="AX8" s="25">
        <f>IF($B8="",0,SUMIFS(tblAuftraege[Kalk.
Einnahmen],tblAuftraege[Datum
Einnahmen],"&gt;="&amp;AX$5,tblAuftraege[Datum
Einnahmen],"&lt;"&amp;EDATE(AX$5,1),tblAuftraege[Kostenstelle],$B8))</f>
        <v/>
      </c>
      <c r="AY8" s="25">
        <f>IF($B8="",0,SUMIFS(tblAuftraege[Kalk.
Einnahmen],tblAuftraege[Datum
Einnahmen],"&gt;="&amp;AY$5,tblAuftraege[Datum
Einnahmen],"&lt;"&amp;EDATE(AY$5,1),tblAuftraege[Kostenstelle],$B8))</f>
        <v/>
      </c>
      <c r="AZ8" s="25">
        <f>IF($B8="",0,SUMIFS(tblAuftraege[Kalk.
Einnahmen],tblAuftraege[Datum
Einnahmen],"&gt;="&amp;AZ$5,tblAuftraege[Datum
Einnahmen],"&lt;"&amp;EDATE(AZ$5,1),tblAuftraege[Kostenstelle],$B8))</f>
        <v/>
      </c>
      <c r="BA8" s="25">
        <f>IF($B8="",0,SUMIFS(tblAuftraege[Kalk.
Einnahmen],tblAuftraege[Datum
Einnahmen],"&gt;="&amp;BA$5,tblAuftraege[Datum
Einnahmen],"&lt;"&amp;EDATE(BA$5,1),tblAuftraege[Kostenstelle],$B8))</f>
        <v/>
      </c>
      <c r="BB8" s="25">
        <f>IF($B8="",0,SUMIFS(tblAuftraege[Kalk.
Einnahmen],tblAuftraege[Datum
Einnahmen],"&gt;="&amp;BB$5,tblAuftraege[Datum
Einnahmen],"&lt;"&amp;EDATE(BB$5,1),tblAuftraege[Kostenstelle],$B8))</f>
        <v/>
      </c>
      <c r="BC8" s="25">
        <f>IF($B8="",0,SUMIFS(tblAuftraege[Kalk.
Einnahmen],tblAuftraege[Datum
Einnahmen],"&gt;="&amp;BC$5,tblAuftraege[Datum
Einnahmen],"&lt;"&amp;EDATE(BC$5,1),tblAuftraege[Kostenstelle],$B8))</f>
        <v/>
      </c>
      <c r="BD8" s="25">
        <f>IF($B8="",0,SUMIFS(tblAuftraege[Kalk.
Einnahmen],tblAuftraege[Datum
Einnahmen],"&gt;="&amp;BD$5,tblAuftraege[Datum
Einnahmen],"&lt;"&amp;EDATE(BD$5,1),tblAuftraege[Kostenstelle],$B8))</f>
        <v/>
      </c>
      <c r="BE8" s="25">
        <f>SUM(C8:H8)</f>
        <v/>
      </c>
      <c r="BF8" s="25">
        <f>SUM(I8:T8)</f>
        <v/>
      </c>
      <c r="BG8" s="25">
        <f>SUM(U8:AF8)</f>
        <v/>
      </c>
      <c r="BH8" s="25">
        <f>SUM(AG8:AR8)</f>
        <v/>
      </c>
      <c r="BI8" s="25">
        <f>SUM(AS8:BD8)</f>
        <v/>
      </c>
      <c r="BJ8" s="25">
        <f>SUM(C8:BD8)</f>
        <v/>
      </c>
    </row>
    <row r="9">
      <c r="A9" s="34" t="n"/>
      <c r="B9" s="49" t="inlineStr">
        <is>
          <t>87001001 - Stadt Rendsburg</t>
        </is>
      </c>
      <c r="C9" s="25">
        <f>IF($B9="",0,SUMIFS(tblAuftraege[Kalk.
Einnahmen],tblAuftraege[Datum
Einnahmen],"&gt;="&amp;C$5,tblAuftraege[Datum
Einnahmen],"&lt;"&amp;EDATE(C$5,1),tblAuftraege[Kostenstelle],$B9))</f>
        <v/>
      </c>
      <c r="D9" s="25">
        <f>IF($B9="",0,SUMIFS(tblAuftraege[Kalk.
Einnahmen],tblAuftraege[Datum
Einnahmen],"&gt;="&amp;D$5,tblAuftraege[Datum
Einnahmen],"&lt;"&amp;EDATE(D$5,1),tblAuftraege[Kostenstelle],$B9))</f>
        <v/>
      </c>
      <c r="E9" s="25">
        <f>IF($B9="",0,SUMIFS(tblAuftraege[Kalk.
Einnahmen],tblAuftraege[Datum
Einnahmen],"&gt;="&amp;E$5,tblAuftraege[Datum
Einnahmen],"&lt;"&amp;EDATE(E$5,1),tblAuftraege[Kostenstelle],$B9))</f>
        <v/>
      </c>
      <c r="F9" s="25">
        <f>IF($B9="",0,SUMIFS(tblAuftraege[Kalk.
Einnahmen],tblAuftraege[Datum
Einnahmen],"&gt;="&amp;F$5,tblAuftraege[Datum
Einnahmen],"&lt;"&amp;EDATE(F$5,1),tblAuftraege[Kostenstelle],$B9))</f>
        <v/>
      </c>
      <c r="G9" s="25">
        <f>IF($B9="",0,SUMIFS(tblAuftraege[Kalk.
Einnahmen],tblAuftraege[Datum
Einnahmen],"&gt;="&amp;G$5,tblAuftraege[Datum
Einnahmen],"&lt;"&amp;EDATE(G$5,1),tblAuftraege[Kostenstelle],$B9))</f>
        <v/>
      </c>
      <c r="H9" s="25">
        <f>IF($B9="",0,SUMIFS(tblAuftraege[Kalk.
Einnahmen],tblAuftraege[Datum
Einnahmen],"&gt;="&amp;H$5,tblAuftraege[Datum
Einnahmen],"&lt;"&amp;EDATE(H$5,1),tblAuftraege[Kostenstelle],$B9))</f>
        <v/>
      </c>
      <c r="I9" s="25">
        <f>IF($B9="",0,SUMIFS(tblAuftraege[Kalk.
Einnahmen],tblAuftraege[Datum
Einnahmen],"&gt;="&amp;I$5,tblAuftraege[Datum
Einnahmen],"&lt;"&amp;EDATE(I$5,1),tblAuftraege[Kostenstelle],$B9))</f>
        <v/>
      </c>
      <c r="J9" s="25">
        <f>IF($B9="",0,SUMIFS(tblAuftraege[Kalk.
Einnahmen],tblAuftraege[Datum
Einnahmen],"&gt;="&amp;J$5,tblAuftraege[Datum
Einnahmen],"&lt;"&amp;EDATE(J$5,1),tblAuftraege[Kostenstelle],$B9))</f>
        <v/>
      </c>
      <c r="K9" s="25">
        <f>IF($B9="",0,SUMIFS(tblAuftraege[Kalk.
Einnahmen],tblAuftraege[Datum
Einnahmen],"&gt;="&amp;K$5,tblAuftraege[Datum
Einnahmen],"&lt;"&amp;EDATE(K$5,1),tblAuftraege[Kostenstelle],$B9))</f>
        <v/>
      </c>
      <c r="L9" s="25">
        <f>IF($B9="",0,SUMIFS(tblAuftraege[Kalk.
Einnahmen],tblAuftraege[Datum
Einnahmen],"&gt;="&amp;L$5,tblAuftraege[Datum
Einnahmen],"&lt;"&amp;EDATE(L$5,1),tblAuftraege[Kostenstelle],$B9))</f>
        <v/>
      </c>
      <c r="M9" s="25">
        <f>IF($B9="",0,SUMIFS(tblAuftraege[Kalk.
Einnahmen],tblAuftraege[Datum
Einnahmen],"&gt;="&amp;M$5,tblAuftraege[Datum
Einnahmen],"&lt;"&amp;EDATE(M$5,1),tblAuftraege[Kostenstelle],$B9))</f>
        <v/>
      </c>
      <c r="N9" s="25">
        <f>IF($B9="",0,SUMIFS(tblAuftraege[Kalk.
Einnahmen],tblAuftraege[Datum
Einnahmen],"&gt;="&amp;N$5,tblAuftraege[Datum
Einnahmen],"&lt;"&amp;EDATE(N$5,1),tblAuftraege[Kostenstelle],$B9))</f>
        <v/>
      </c>
      <c r="O9" s="25">
        <f>IF($B9="",0,SUMIFS(tblAuftraege[Kalk.
Einnahmen],tblAuftraege[Datum
Einnahmen],"&gt;="&amp;O$5,tblAuftraege[Datum
Einnahmen],"&lt;"&amp;EDATE(O$5,1),tblAuftraege[Kostenstelle],$B9))</f>
        <v/>
      </c>
      <c r="P9" s="25">
        <f>IF($B9="",0,SUMIFS(tblAuftraege[Kalk.
Einnahmen],tblAuftraege[Datum
Einnahmen],"&gt;="&amp;P$5,tblAuftraege[Datum
Einnahmen],"&lt;"&amp;EDATE(P$5,1),tblAuftraege[Kostenstelle],$B9))</f>
        <v/>
      </c>
      <c r="Q9" s="25">
        <f>IF($B9="",0,SUMIFS(tblAuftraege[Kalk.
Einnahmen],tblAuftraege[Datum
Einnahmen],"&gt;="&amp;Q$5,tblAuftraege[Datum
Einnahmen],"&lt;"&amp;EDATE(Q$5,1),tblAuftraege[Kostenstelle],$B9))</f>
        <v/>
      </c>
      <c r="R9" s="25">
        <f>IF($B9="",0,SUMIFS(tblAuftraege[Kalk.
Einnahmen],tblAuftraege[Datum
Einnahmen],"&gt;="&amp;R$5,tblAuftraege[Datum
Einnahmen],"&lt;"&amp;EDATE(R$5,1),tblAuftraege[Kostenstelle],$B9))</f>
        <v/>
      </c>
      <c r="S9" s="25">
        <f>IF($B9="",0,SUMIFS(tblAuftraege[Kalk.
Einnahmen],tblAuftraege[Datum
Einnahmen],"&gt;="&amp;S$5,tblAuftraege[Datum
Einnahmen],"&lt;"&amp;EDATE(S$5,1),tblAuftraege[Kostenstelle],$B9))</f>
        <v/>
      </c>
      <c r="T9" s="25">
        <f>IF($B9="",0,SUMIFS(tblAuftraege[Kalk.
Einnahmen],tblAuftraege[Datum
Einnahmen],"&gt;="&amp;T$5,tblAuftraege[Datum
Einnahmen],"&lt;"&amp;EDATE(T$5,1),tblAuftraege[Kostenstelle],$B9))</f>
        <v/>
      </c>
      <c r="U9" s="25">
        <f>IF($B9="",0,SUMIFS(tblAuftraege[Kalk.
Einnahmen],tblAuftraege[Datum
Einnahmen],"&gt;="&amp;U$5,tblAuftraege[Datum
Einnahmen],"&lt;"&amp;EDATE(U$5,1),tblAuftraege[Kostenstelle],$B9))</f>
        <v/>
      </c>
      <c r="V9" s="25">
        <f>IF($B9="",0,SUMIFS(tblAuftraege[Kalk.
Einnahmen],tblAuftraege[Datum
Einnahmen],"&gt;="&amp;V$5,tblAuftraege[Datum
Einnahmen],"&lt;"&amp;EDATE(V$5,1),tblAuftraege[Kostenstelle],$B9))</f>
        <v/>
      </c>
      <c r="W9" s="25">
        <f>IF($B9="",0,SUMIFS(tblAuftraege[Kalk.
Einnahmen],tblAuftraege[Datum
Einnahmen],"&gt;="&amp;W$5,tblAuftraege[Datum
Einnahmen],"&lt;"&amp;EDATE(W$5,1),tblAuftraege[Kostenstelle],$B9))</f>
        <v/>
      </c>
      <c r="X9" s="25">
        <f>IF($B9="",0,SUMIFS(tblAuftraege[Kalk.
Einnahmen],tblAuftraege[Datum
Einnahmen],"&gt;="&amp;X$5,tblAuftraege[Datum
Einnahmen],"&lt;"&amp;EDATE(X$5,1),tblAuftraege[Kostenstelle],$B9))</f>
        <v/>
      </c>
      <c r="Y9" s="25">
        <f>IF($B9="",0,SUMIFS(tblAuftraege[Kalk.
Einnahmen],tblAuftraege[Datum
Einnahmen],"&gt;="&amp;Y$5,tblAuftraege[Datum
Einnahmen],"&lt;"&amp;EDATE(Y$5,1),tblAuftraege[Kostenstelle],$B9))</f>
        <v/>
      </c>
      <c r="Z9" s="25">
        <f>IF($B9="",0,SUMIFS(tblAuftraege[Kalk.
Einnahmen],tblAuftraege[Datum
Einnahmen],"&gt;="&amp;Z$5,tblAuftraege[Datum
Einnahmen],"&lt;"&amp;EDATE(Z$5,1),tblAuftraege[Kostenstelle],$B9))</f>
        <v/>
      </c>
      <c r="AA9" s="25">
        <f>IF($B9="",0,SUMIFS(tblAuftraege[Kalk.
Einnahmen],tblAuftraege[Datum
Einnahmen],"&gt;="&amp;AA$5,tblAuftraege[Datum
Einnahmen],"&lt;"&amp;EDATE(AA$5,1),tblAuftraege[Kostenstelle],$B9))</f>
        <v/>
      </c>
      <c r="AB9" s="25">
        <f>IF($B9="",0,SUMIFS(tblAuftraege[Kalk.
Einnahmen],tblAuftraege[Datum
Einnahmen],"&gt;="&amp;AB$5,tblAuftraege[Datum
Einnahmen],"&lt;"&amp;EDATE(AB$5,1),tblAuftraege[Kostenstelle],$B9))</f>
        <v/>
      </c>
      <c r="AC9" s="25">
        <f>IF($B9="",0,SUMIFS(tblAuftraege[Kalk.
Einnahmen],tblAuftraege[Datum
Einnahmen],"&gt;="&amp;AC$5,tblAuftraege[Datum
Einnahmen],"&lt;"&amp;EDATE(AC$5,1),tblAuftraege[Kostenstelle],$B9))</f>
        <v/>
      </c>
      <c r="AD9" s="25">
        <f>IF($B9="",0,SUMIFS(tblAuftraege[Kalk.
Einnahmen],tblAuftraege[Datum
Einnahmen],"&gt;="&amp;AD$5,tblAuftraege[Datum
Einnahmen],"&lt;"&amp;EDATE(AD$5,1),tblAuftraege[Kostenstelle],$B9))</f>
        <v/>
      </c>
      <c r="AE9" s="25">
        <f>IF($B9="",0,SUMIFS(tblAuftraege[Kalk.
Einnahmen],tblAuftraege[Datum
Einnahmen],"&gt;="&amp;AE$5,tblAuftraege[Datum
Einnahmen],"&lt;"&amp;EDATE(AE$5,1),tblAuftraege[Kostenstelle],$B9))</f>
        <v/>
      </c>
      <c r="AF9" s="25">
        <f>IF($B9="",0,SUMIFS(tblAuftraege[Kalk.
Einnahmen],tblAuftraege[Datum
Einnahmen],"&gt;="&amp;AF$5,tblAuftraege[Datum
Einnahmen],"&lt;"&amp;EDATE(AF$5,1),tblAuftraege[Kostenstelle],$B9))</f>
        <v/>
      </c>
      <c r="AG9" s="25">
        <f>IF($B9="",0,SUMIFS(tblAuftraege[Kalk.
Einnahmen],tblAuftraege[Datum
Einnahmen],"&gt;="&amp;AG$5,tblAuftraege[Datum
Einnahmen],"&lt;"&amp;EDATE(AG$5,1),tblAuftraege[Kostenstelle],$B9))</f>
        <v/>
      </c>
      <c r="AH9" s="25">
        <f>IF($B9="",0,SUMIFS(tblAuftraege[Kalk.
Einnahmen],tblAuftraege[Datum
Einnahmen],"&gt;="&amp;AH$5,tblAuftraege[Datum
Einnahmen],"&lt;"&amp;EDATE(AH$5,1),tblAuftraege[Kostenstelle],$B9))</f>
        <v/>
      </c>
      <c r="AI9" s="25">
        <f>IF($B9="",0,SUMIFS(tblAuftraege[Kalk.
Einnahmen],tblAuftraege[Datum
Einnahmen],"&gt;="&amp;AI$5,tblAuftraege[Datum
Einnahmen],"&lt;"&amp;EDATE(AI$5,1),tblAuftraege[Kostenstelle],$B9))</f>
        <v/>
      </c>
      <c r="AJ9" s="25">
        <f>IF($B9="",0,SUMIFS(tblAuftraege[Kalk.
Einnahmen],tblAuftraege[Datum
Einnahmen],"&gt;="&amp;AJ$5,tblAuftraege[Datum
Einnahmen],"&lt;"&amp;EDATE(AJ$5,1),tblAuftraege[Kostenstelle],$B9))</f>
        <v/>
      </c>
      <c r="AK9" s="25">
        <f>IF($B9="",0,SUMIFS(tblAuftraege[Kalk.
Einnahmen],tblAuftraege[Datum
Einnahmen],"&gt;="&amp;AK$5,tblAuftraege[Datum
Einnahmen],"&lt;"&amp;EDATE(AK$5,1),tblAuftraege[Kostenstelle],$B9))</f>
        <v/>
      </c>
      <c r="AL9" s="25">
        <f>IF($B9="",0,SUMIFS(tblAuftraege[Kalk.
Einnahmen],tblAuftraege[Datum
Einnahmen],"&gt;="&amp;AL$5,tblAuftraege[Datum
Einnahmen],"&lt;"&amp;EDATE(AL$5,1),tblAuftraege[Kostenstelle],$B9))</f>
        <v/>
      </c>
      <c r="AM9" s="25">
        <f>IF($B9="",0,SUMIFS(tblAuftraege[Kalk.
Einnahmen],tblAuftraege[Datum
Einnahmen],"&gt;="&amp;AM$5,tblAuftraege[Datum
Einnahmen],"&lt;"&amp;EDATE(AM$5,1),tblAuftraege[Kostenstelle],$B9))</f>
        <v/>
      </c>
      <c r="AN9" s="25">
        <f>IF($B9="",0,SUMIFS(tblAuftraege[Kalk.
Einnahmen],tblAuftraege[Datum
Einnahmen],"&gt;="&amp;AN$5,tblAuftraege[Datum
Einnahmen],"&lt;"&amp;EDATE(AN$5,1),tblAuftraege[Kostenstelle],$B9))</f>
        <v/>
      </c>
      <c r="AO9" s="25">
        <f>IF($B9="",0,SUMIFS(tblAuftraege[Kalk.
Einnahmen],tblAuftraege[Datum
Einnahmen],"&gt;="&amp;AO$5,tblAuftraege[Datum
Einnahmen],"&lt;"&amp;EDATE(AO$5,1),tblAuftraege[Kostenstelle],$B9))</f>
        <v/>
      </c>
      <c r="AP9" s="25">
        <f>IF($B9="",0,SUMIFS(tblAuftraege[Kalk.
Einnahmen],tblAuftraege[Datum
Einnahmen],"&gt;="&amp;AP$5,tblAuftraege[Datum
Einnahmen],"&lt;"&amp;EDATE(AP$5,1),tblAuftraege[Kostenstelle],$B9))</f>
        <v/>
      </c>
      <c r="AQ9" s="25">
        <f>IF($B9="",0,SUMIFS(tblAuftraege[Kalk.
Einnahmen],tblAuftraege[Datum
Einnahmen],"&gt;="&amp;AQ$5,tblAuftraege[Datum
Einnahmen],"&lt;"&amp;EDATE(AQ$5,1),tblAuftraege[Kostenstelle],$B9))</f>
        <v/>
      </c>
      <c r="AR9" s="25">
        <f>IF($B9="",0,SUMIFS(tblAuftraege[Kalk.
Einnahmen],tblAuftraege[Datum
Einnahmen],"&gt;="&amp;AR$5,tblAuftraege[Datum
Einnahmen],"&lt;"&amp;EDATE(AR$5,1),tblAuftraege[Kostenstelle],$B9))</f>
        <v/>
      </c>
      <c r="AS9" s="25">
        <f>IF($B9="",0,SUMIFS(tblAuftraege[Kalk.
Einnahmen],tblAuftraege[Datum
Einnahmen],"&gt;="&amp;AS$5,tblAuftraege[Datum
Einnahmen],"&lt;"&amp;EDATE(AS$5,1),tblAuftraege[Kostenstelle],$B9))</f>
        <v/>
      </c>
      <c r="AT9" s="25">
        <f>IF($B9="",0,SUMIFS(tblAuftraege[Kalk.
Einnahmen],tblAuftraege[Datum
Einnahmen],"&gt;="&amp;AT$5,tblAuftraege[Datum
Einnahmen],"&lt;"&amp;EDATE(AT$5,1),tblAuftraege[Kostenstelle],$B9))</f>
        <v/>
      </c>
      <c r="AU9" s="25">
        <f>IF($B9="",0,SUMIFS(tblAuftraege[Kalk.
Einnahmen],tblAuftraege[Datum
Einnahmen],"&gt;="&amp;AU$5,tblAuftraege[Datum
Einnahmen],"&lt;"&amp;EDATE(AU$5,1),tblAuftraege[Kostenstelle],$B9))</f>
        <v/>
      </c>
      <c r="AV9" s="25">
        <f>IF($B9="",0,SUMIFS(tblAuftraege[Kalk.
Einnahmen],tblAuftraege[Datum
Einnahmen],"&gt;="&amp;AV$5,tblAuftraege[Datum
Einnahmen],"&lt;"&amp;EDATE(AV$5,1),tblAuftraege[Kostenstelle],$B9))</f>
        <v/>
      </c>
      <c r="AW9" s="25">
        <f>IF($B9="",0,SUMIFS(tblAuftraege[Kalk.
Einnahmen],tblAuftraege[Datum
Einnahmen],"&gt;="&amp;AW$5,tblAuftraege[Datum
Einnahmen],"&lt;"&amp;EDATE(AW$5,1),tblAuftraege[Kostenstelle],$B9))</f>
        <v/>
      </c>
      <c r="AX9" s="25">
        <f>IF($B9="",0,SUMIFS(tblAuftraege[Kalk.
Einnahmen],tblAuftraege[Datum
Einnahmen],"&gt;="&amp;AX$5,tblAuftraege[Datum
Einnahmen],"&lt;"&amp;EDATE(AX$5,1),tblAuftraege[Kostenstelle],$B9))</f>
        <v/>
      </c>
      <c r="AY9" s="25">
        <f>IF($B9="",0,SUMIFS(tblAuftraege[Kalk.
Einnahmen],tblAuftraege[Datum
Einnahmen],"&gt;="&amp;AY$5,tblAuftraege[Datum
Einnahmen],"&lt;"&amp;EDATE(AY$5,1),tblAuftraege[Kostenstelle],$B9))</f>
        <v/>
      </c>
      <c r="AZ9" s="25">
        <f>IF($B9="",0,SUMIFS(tblAuftraege[Kalk.
Einnahmen],tblAuftraege[Datum
Einnahmen],"&gt;="&amp;AZ$5,tblAuftraege[Datum
Einnahmen],"&lt;"&amp;EDATE(AZ$5,1),tblAuftraege[Kostenstelle],$B9))</f>
        <v/>
      </c>
      <c r="BA9" s="25">
        <f>IF($B9="",0,SUMIFS(tblAuftraege[Kalk.
Einnahmen],tblAuftraege[Datum
Einnahmen],"&gt;="&amp;BA$5,tblAuftraege[Datum
Einnahmen],"&lt;"&amp;EDATE(BA$5,1),tblAuftraege[Kostenstelle],$B9))</f>
        <v/>
      </c>
      <c r="BB9" s="25">
        <f>IF($B9="",0,SUMIFS(tblAuftraege[Kalk.
Einnahmen],tblAuftraege[Datum
Einnahmen],"&gt;="&amp;BB$5,tblAuftraege[Datum
Einnahmen],"&lt;"&amp;EDATE(BB$5,1),tblAuftraege[Kostenstelle],$B9))</f>
        <v/>
      </c>
      <c r="BC9" s="25">
        <f>IF($B9="",0,SUMIFS(tblAuftraege[Kalk.
Einnahmen],tblAuftraege[Datum
Einnahmen],"&gt;="&amp;BC$5,tblAuftraege[Datum
Einnahmen],"&lt;"&amp;EDATE(BC$5,1),tblAuftraege[Kostenstelle],$B9))</f>
        <v/>
      </c>
      <c r="BD9" s="25">
        <f>IF($B9="",0,SUMIFS(tblAuftraege[Kalk.
Einnahmen],tblAuftraege[Datum
Einnahmen],"&gt;="&amp;BD$5,tblAuftraege[Datum
Einnahmen],"&lt;"&amp;EDATE(BD$5,1),tblAuftraege[Kostenstelle],$B9))</f>
        <v/>
      </c>
      <c r="BE9" s="25">
        <f>SUM(C9:H9)</f>
        <v/>
      </c>
      <c r="BF9" s="25">
        <f>SUM(I9:T9)</f>
        <v/>
      </c>
      <c r="BG9" s="25">
        <f>SUM(U9:AF9)</f>
        <v/>
      </c>
      <c r="BH9" s="25">
        <f>SUM(AG9:AR9)</f>
        <v/>
      </c>
      <c r="BI9" s="25">
        <f>SUM(AS9:BD9)</f>
        <v/>
      </c>
      <c r="BJ9" s="25">
        <f>SUM(C9:BD9)</f>
        <v/>
      </c>
    </row>
    <row r="10">
      <c r="A10" s="34" t="n"/>
      <c r="B10" s="49" t="inlineStr">
        <is>
          <t>87001009 - Stadtwerke Husum</t>
        </is>
      </c>
      <c r="C10" s="25">
        <f>IF($B10="",0,SUMIFS(tblAuftraege[Kalk.
Einnahmen],tblAuftraege[Datum
Einnahmen],"&gt;="&amp;C$5,tblAuftraege[Datum
Einnahmen],"&lt;"&amp;EDATE(C$5,1),tblAuftraege[Kostenstelle],$B10))</f>
        <v/>
      </c>
      <c r="D10" s="25">
        <f>IF($B10="",0,SUMIFS(tblAuftraege[Kalk.
Einnahmen],tblAuftraege[Datum
Einnahmen],"&gt;="&amp;D$5,tblAuftraege[Datum
Einnahmen],"&lt;"&amp;EDATE(D$5,1),tblAuftraege[Kostenstelle],$B10))</f>
        <v/>
      </c>
      <c r="E10" s="25">
        <f>IF($B10="",0,SUMIFS(tblAuftraege[Kalk.
Einnahmen],tblAuftraege[Datum
Einnahmen],"&gt;="&amp;E$5,tblAuftraege[Datum
Einnahmen],"&lt;"&amp;EDATE(E$5,1),tblAuftraege[Kostenstelle],$B10))</f>
        <v/>
      </c>
      <c r="F10" s="25">
        <f>IF($B10="",0,SUMIFS(tblAuftraege[Kalk.
Einnahmen],tblAuftraege[Datum
Einnahmen],"&gt;="&amp;F$5,tblAuftraege[Datum
Einnahmen],"&lt;"&amp;EDATE(F$5,1),tblAuftraege[Kostenstelle],$B10))</f>
        <v/>
      </c>
      <c r="G10" s="25">
        <f>IF($B10="",0,SUMIFS(tblAuftraege[Kalk.
Einnahmen],tblAuftraege[Datum
Einnahmen],"&gt;="&amp;G$5,tblAuftraege[Datum
Einnahmen],"&lt;"&amp;EDATE(G$5,1),tblAuftraege[Kostenstelle],$B10))</f>
        <v/>
      </c>
      <c r="H10" s="25">
        <f>IF($B10="",0,SUMIFS(tblAuftraege[Kalk.
Einnahmen],tblAuftraege[Datum
Einnahmen],"&gt;="&amp;H$5,tblAuftraege[Datum
Einnahmen],"&lt;"&amp;EDATE(H$5,1),tblAuftraege[Kostenstelle],$B10))</f>
        <v/>
      </c>
      <c r="I10" s="25">
        <f>IF($B10="",0,SUMIFS(tblAuftraege[Kalk.
Einnahmen],tblAuftraege[Datum
Einnahmen],"&gt;="&amp;I$5,tblAuftraege[Datum
Einnahmen],"&lt;"&amp;EDATE(I$5,1),tblAuftraege[Kostenstelle],$B10))</f>
        <v/>
      </c>
      <c r="J10" s="25">
        <f>IF($B10="",0,SUMIFS(tblAuftraege[Kalk.
Einnahmen],tblAuftraege[Datum
Einnahmen],"&gt;="&amp;J$5,tblAuftraege[Datum
Einnahmen],"&lt;"&amp;EDATE(J$5,1),tblAuftraege[Kostenstelle],$B10))</f>
        <v/>
      </c>
      <c r="K10" s="25">
        <f>IF($B10="",0,SUMIFS(tblAuftraege[Kalk.
Einnahmen],tblAuftraege[Datum
Einnahmen],"&gt;="&amp;K$5,tblAuftraege[Datum
Einnahmen],"&lt;"&amp;EDATE(K$5,1),tblAuftraege[Kostenstelle],$B10))</f>
        <v/>
      </c>
      <c r="L10" s="25">
        <f>IF($B10="",0,SUMIFS(tblAuftraege[Kalk.
Einnahmen],tblAuftraege[Datum
Einnahmen],"&gt;="&amp;L$5,tblAuftraege[Datum
Einnahmen],"&lt;"&amp;EDATE(L$5,1),tblAuftraege[Kostenstelle],$B10))</f>
        <v/>
      </c>
      <c r="M10" s="25">
        <f>IF($B10="",0,SUMIFS(tblAuftraege[Kalk.
Einnahmen],tblAuftraege[Datum
Einnahmen],"&gt;="&amp;M$5,tblAuftraege[Datum
Einnahmen],"&lt;"&amp;EDATE(M$5,1),tblAuftraege[Kostenstelle],$B10))</f>
        <v/>
      </c>
      <c r="N10" s="25">
        <f>IF($B10="",0,SUMIFS(tblAuftraege[Kalk.
Einnahmen],tblAuftraege[Datum
Einnahmen],"&gt;="&amp;N$5,tblAuftraege[Datum
Einnahmen],"&lt;"&amp;EDATE(N$5,1),tblAuftraege[Kostenstelle],$B10))</f>
        <v/>
      </c>
      <c r="O10" s="25">
        <f>IF($B10="",0,SUMIFS(tblAuftraege[Kalk.
Einnahmen],tblAuftraege[Datum
Einnahmen],"&gt;="&amp;O$5,tblAuftraege[Datum
Einnahmen],"&lt;"&amp;EDATE(O$5,1),tblAuftraege[Kostenstelle],$B10))</f>
        <v/>
      </c>
      <c r="P10" s="25">
        <f>IF($B10="",0,SUMIFS(tblAuftraege[Kalk.
Einnahmen],tblAuftraege[Datum
Einnahmen],"&gt;="&amp;P$5,tblAuftraege[Datum
Einnahmen],"&lt;"&amp;EDATE(P$5,1),tblAuftraege[Kostenstelle],$B10))</f>
        <v/>
      </c>
      <c r="Q10" s="25">
        <f>IF($B10="",0,SUMIFS(tblAuftraege[Kalk.
Einnahmen],tblAuftraege[Datum
Einnahmen],"&gt;="&amp;Q$5,tblAuftraege[Datum
Einnahmen],"&lt;"&amp;EDATE(Q$5,1),tblAuftraege[Kostenstelle],$B10))</f>
        <v/>
      </c>
      <c r="R10" s="25">
        <f>IF($B10="",0,SUMIFS(tblAuftraege[Kalk.
Einnahmen],tblAuftraege[Datum
Einnahmen],"&gt;="&amp;R$5,tblAuftraege[Datum
Einnahmen],"&lt;"&amp;EDATE(R$5,1),tblAuftraege[Kostenstelle],$B10))</f>
        <v/>
      </c>
      <c r="S10" s="25">
        <f>IF($B10="",0,SUMIFS(tblAuftraege[Kalk.
Einnahmen],tblAuftraege[Datum
Einnahmen],"&gt;="&amp;S$5,tblAuftraege[Datum
Einnahmen],"&lt;"&amp;EDATE(S$5,1),tblAuftraege[Kostenstelle],$B10))</f>
        <v/>
      </c>
      <c r="T10" s="25">
        <f>IF($B10="",0,SUMIFS(tblAuftraege[Kalk.
Einnahmen],tblAuftraege[Datum
Einnahmen],"&gt;="&amp;T$5,tblAuftraege[Datum
Einnahmen],"&lt;"&amp;EDATE(T$5,1),tblAuftraege[Kostenstelle],$B10))</f>
        <v/>
      </c>
      <c r="U10" s="25">
        <f>IF($B10="",0,SUMIFS(tblAuftraege[Kalk.
Einnahmen],tblAuftraege[Datum
Einnahmen],"&gt;="&amp;U$5,tblAuftraege[Datum
Einnahmen],"&lt;"&amp;EDATE(U$5,1),tblAuftraege[Kostenstelle],$B10))</f>
        <v/>
      </c>
      <c r="V10" s="25">
        <f>IF($B10="",0,SUMIFS(tblAuftraege[Kalk.
Einnahmen],tblAuftraege[Datum
Einnahmen],"&gt;="&amp;V$5,tblAuftraege[Datum
Einnahmen],"&lt;"&amp;EDATE(V$5,1),tblAuftraege[Kostenstelle],$B10))</f>
        <v/>
      </c>
      <c r="W10" s="25">
        <f>IF($B10="",0,SUMIFS(tblAuftraege[Kalk.
Einnahmen],tblAuftraege[Datum
Einnahmen],"&gt;="&amp;W$5,tblAuftraege[Datum
Einnahmen],"&lt;"&amp;EDATE(W$5,1),tblAuftraege[Kostenstelle],$B10))</f>
        <v/>
      </c>
      <c r="X10" s="25">
        <f>IF($B10="",0,SUMIFS(tblAuftraege[Kalk.
Einnahmen],tblAuftraege[Datum
Einnahmen],"&gt;="&amp;X$5,tblAuftraege[Datum
Einnahmen],"&lt;"&amp;EDATE(X$5,1),tblAuftraege[Kostenstelle],$B10))</f>
        <v/>
      </c>
      <c r="Y10" s="25">
        <f>IF($B10="",0,SUMIFS(tblAuftraege[Kalk.
Einnahmen],tblAuftraege[Datum
Einnahmen],"&gt;="&amp;Y$5,tblAuftraege[Datum
Einnahmen],"&lt;"&amp;EDATE(Y$5,1),tblAuftraege[Kostenstelle],$B10))</f>
        <v/>
      </c>
      <c r="Z10" s="25">
        <f>IF($B10="",0,SUMIFS(tblAuftraege[Kalk.
Einnahmen],tblAuftraege[Datum
Einnahmen],"&gt;="&amp;Z$5,tblAuftraege[Datum
Einnahmen],"&lt;"&amp;EDATE(Z$5,1),tblAuftraege[Kostenstelle],$B10))</f>
        <v/>
      </c>
      <c r="AA10" s="25">
        <f>IF($B10="",0,SUMIFS(tblAuftraege[Kalk.
Einnahmen],tblAuftraege[Datum
Einnahmen],"&gt;="&amp;AA$5,tblAuftraege[Datum
Einnahmen],"&lt;"&amp;EDATE(AA$5,1),tblAuftraege[Kostenstelle],$B10))</f>
        <v/>
      </c>
      <c r="AB10" s="25">
        <f>IF($B10="",0,SUMIFS(tblAuftraege[Kalk.
Einnahmen],tblAuftraege[Datum
Einnahmen],"&gt;="&amp;AB$5,tblAuftraege[Datum
Einnahmen],"&lt;"&amp;EDATE(AB$5,1),tblAuftraege[Kostenstelle],$B10))</f>
        <v/>
      </c>
      <c r="AC10" s="25">
        <f>IF($B10="",0,SUMIFS(tblAuftraege[Kalk.
Einnahmen],tblAuftraege[Datum
Einnahmen],"&gt;="&amp;AC$5,tblAuftraege[Datum
Einnahmen],"&lt;"&amp;EDATE(AC$5,1),tblAuftraege[Kostenstelle],$B10))</f>
        <v/>
      </c>
      <c r="AD10" s="25">
        <f>IF($B10="",0,SUMIFS(tblAuftraege[Kalk.
Einnahmen],tblAuftraege[Datum
Einnahmen],"&gt;="&amp;AD$5,tblAuftraege[Datum
Einnahmen],"&lt;"&amp;EDATE(AD$5,1),tblAuftraege[Kostenstelle],$B10))</f>
        <v/>
      </c>
      <c r="AE10" s="25">
        <f>IF($B10="",0,SUMIFS(tblAuftraege[Kalk.
Einnahmen],tblAuftraege[Datum
Einnahmen],"&gt;="&amp;AE$5,tblAuftraege[Datum
Einnahmen],"&lt;"&amp;EDATE(AE$5,1),tblAuftraege[Kostenstelle],$B10))</f>
        <v/>
      </c>
      <c r="AF10" s="25">
        <f>IF($B10="",0,SUMIFS(tblAuftraege[Kalk.
Einnahmen],tblAuftraege[Datum
Einnahmen],"&gt;="&amp;AF$5,tblAuftraege[Datum
Einnahmen],"&lt;"&amp;EDATE(AF$5,1),tblAuftraege[Kostenstelle],$B10))</f>
        <v/>
      </c>
      <c r="AG10" s="25">
        <f>IF($B10="",0,SUMIFS(tblAuftraege[Kalk.
Einnahmen],tblAuftraege[Datum
Einnahmen],"&gt;="&amp;AG$5,tblAuftraege[Datum
Einnahmen],"&lt;"&amp;EDATE(AG$5,1),tblAuftraege[Kostenstelle],$B10))</f>
        <v/>
      </c>
      <c r="AH10" s="25">
        <f>IF($B10="",0,SUMIFS(tblAuftraege[Kalk.
Einnahmen],tblAuftraege[Datum
Einnahmen],"&gt;="&amp;AH$5,tblAuftraege[Datum
Einnahmen],"&lt;"&amp;EDATE(AH$5,1),tblAuftraege[Kostenstelle],$B10))</f>
        <v/>
      </c>
      <c r="AI10" s="25">
        <f>IF($B10="",0,SUMIFS(tblAuftraege[Kalk.
Einnahmen],tblAuftraege[Datum
Einnahmen],"&gt;="&amp;AI$5,tblAuftraege[Datum
Einnahmen],"&lt;"&amp;EDATE(AI$5,1),tblAuftraege[Kostenstelle],$B10))</f>
        <v/>
      </c>
      <c r="AJ10" s="25">
        <f>IF($B10="",0,SUMIFS(tblAuftraege[Kalk.
Einnahmen],tblAuftraege[Datum
Einnahmen],"&gt;="&amp;AJ$5,tblAuftraege[Datum
Einnahmen],"&lt;"&amp;EDATE(AJ$5,1),tblAuftraege[Kostenstelle],$B10))</f>
        <v/>
      </c>
      <c r="AK10" s="25">
        <f>IF($B10="",0,SUMIFS(tblAuftraege[Kalk.
Einnahmen],tblAuftraege[Datum
Einnahmen],"&gt;="&amp;AK$5,tblAuftraege[Datum
Einnahmen],"&lt;"&amp;EDATE(AK$5,1),tblAuftraege[Kostenstelle],$B10))</f>
        <v/>
      </c>
      <c r="AL10" s="25">
        <f>IF($B10="",0,SUMIFS(tblAuftraege[Kalk.
Einnahmen],tblAuftraege[Datum
Einnahmen],"&gt;="&amp;AL$5,tblAuftraege[Datum
Einnahmen],"&lt;"&amp;EDATE(AL$5,1),tblAuftraege[Kostenstelle],$B10))</f>
        <v/>
      </c>
      <c r="AM10" s="25">
        <f>IF($B10="",0,SUMIFS(tblAuftraege[Kalk.
Einnahmen],tblAuftraege[Datum
Einnahmen],"&gt;="&amp;AM$5,tblAuftraege[Datum
Einnahmen],"&lt;"&amp;EDATE(AM$5,1),tblAuftraege[Kostenstelle],$B10))</f>
        <v/>
      </c>
      <c r="AN10" s="25">
        <f>IF($B10="",0,SUMIFS(tblAuftraege[Kalk.
Einnahmen],tblAuftraege[Datum
Einnahmen],"&gt;="&amp;AN$5,tblAuftraege[Datum
Einnahmen],"&lt;"&amp;EDATE(AN$5,1),tblAuftraege[Kostenstelle],$B10))</f>
        <v/>
      </c>
      <c r="AO10" s="25">
        <f>IF($B10="",0,SUMIFS(tblAuftraege[Kalk.
Einnahmen],tblAuftraege[Datum
Einnahmen],"&gt;="&amp;AO$5,tblAuftraege[Datum
Einnahmen],"&lt;"&amp;EDATE(AO$5,1),tblAuftraege[Kostenstelle],$B10))</f>
        <v/>
      </c>
      <c r="AP10" s="25">
        <f>IF($B10="",0,SUMIFS(tblAuftraege[Kalk.
Einnahmen],tblAuftraege[Datum
Einnahmen],"&gt;="&amp;AP$5,tblAuftraege[Datum
Einnahmen],"&lt;"&amp;EDATE(AP$5,1),tblAuftraege[Kostenstelle],$B10))</f>
        <v/>
      </c>
      <c r="AQ10" s="25">
        <f>IF($B10="",0,SUMIFS(tblAuftraege[Kalk.
Einnahmen],tblAuftraege[Datum
Einnahmen],"&gt;="&amp;AQ$5,tblAuftraege[Datum
Einnahmen],"&lt;"&amp;EDATE(AQ$5,1),tblAuftraege[Kostenstelle],$B10))</f>
        <v/>
      </c>
      <c r="AR10" s="25">
        <f>IF($B10="",0,SUMIFS(tblAuftraege[Kalk.
Einnahmen],tblAuftraege[Datum
Einnahmen],"&gt;="&amp;AR$5,tblAuftraege[Datum
Einnahmen],"&lt;"&amp;EDATE(AR$5,1),tblAuftraege[Kostenstelle],$B10))</f>
        <v/>
      </c>
      <c r="AS10" s="25">
        <f>IF($B10="",0,SUMIFS(tblAuftraege[Kalk.
Einnahmen],tblAuftraege[Datum
Einnahmen],"&gt;="&amp;AS$5,tblAuftraege[Datum
Einnahmen],"&lt;"&amp;EDATE(AS$5,1),tblAuftraege[Kostenstelle],$B10))</f>
        <v/>
      </c>
      <c r="AT10" s="25">
        <f>IF($B10="",0,SUMIFS(tblAuftraege[Kalk.
Einnahmen],tblAuftraege[Datum
Einnahmen],"&gt;="&amp;AT$5,tblAuftraege[Datum
Einnahmen],"&lt;"&amp;EDATE(AT$5,1),tblAuftraege[Kostenstelle],$B10))</f>
        <v/>
      </c>
      <c r="AU10" s="25">
        <f>IF($B10="",0,SUMIFS(tblAuftraege[Kalk.
Einnahmen],tblAuftraege[Datum
Einnahmen],"&gt;="&amp;AU$5,tblAuftraege[Datum
Einnahmen],"&lt;"&amp;EDATE(AU$5,1),tblAuftraege[Kostenstelle],$B10))</f>
        <v/>
      </c>
      <c r="AV10" s="25">
        <f>IF($B10="",0,SUMIFS(tblAuftraege[Kalk.
Einnahmen],tblAuftraege[Datum
Einnahmen],"&gt;="&amp;AV$5,tblAuftraege[Datum
Einnahmen],"&lt;"&amp;EDATE(AV$5,1),tblAuftraege[Kostenstelle],$B10))</f>
        <v/>
      </c>
      <c r="AW10" s="25">
        <f>IF($B10="",0,SUMIFS(tblAuftraege[Kalk.
Einnahmen],tblAuftraege[Datum
Einnahmen],"&gt;="&amp;AW$5,tblAuftraege[Datum
Einnahmen],"&lt;"&amp;EDATE(AW$5,1),tblAuftraege[Kostenstelle],$B10))</f>
        <v/>
      </c>
      <c r="AX10" s="25">
        <f>IF($B10="",0,SUMIFS(tblAuftraege[Kalk.
Einnahmen],tblAuftraege[Datum
Einnahmen],"&gt;="&amp;AX$5,tblAuftraege[Datum
Einnahmen],"&lt;"&amp;EDATE(AX$5,1),tblAuftraege[Kostenstelle],$B10))</f>
        <v/>
      </c>
      <c r="AY10" s="25">
        <f>IF($B10="",0,SUMIFS(tblAuftraege[Kalk.
Einnahmen],tblAuftraege[Datum
Einnahmen],"&gt;="&amp;AY$5,tblAuftraege[Datum
Einnahmen],"&lt;"&amp;EDATE(AY$5,1),tblAuftraege[Kostenstelle],$B10))</f>
        <v/>
      </c>
      <c r="AZ10" s="25">
        <f>IF($B10="",0,SUMIFS(tblAuftraege[Kalk.
Einnahmen],tblAuftraege[Datum
Einnahmen],"&gt;="&amp;AZ$5,tblAuftraege[Datum
Einnahmen],"&lt;"&amp;EDATE(AZ$5,1),tblAuftraege[Kostenstelle],$B10))</f>
        <v/>
      </c>
      <c r="BA10" s="25">
        <f>IF($B10="",0,SUMIFS(tblAuftraege[Kalk.
Einnahmen],tblAuftraege[Datum
Einnahmen],"&gt;="&amp;BA$5,tblAuftraege[Datum
Einnahmen],"&lt;"&amp;EDATE(BA$5,1),tblAuftraege[Kostenstelle],$B10))</f>
        <v/>
      </c>
      <c r="BB10" s="25">
        <f>IF($B10="",0,SUMIFS(tblAuftraege[Kalk.
Einnahmen],tblAuftraege[Datum
Einnahmen],"&gt;="&amp;BB$5,tblAuftraege[Datum
Einnahmen],"&lt;"&amp;EDATE(BB$5,1),tblAuftraege[Kostenstelle],$B10))</f>
        <v/>
      </c>
      <c r="BC10" s="25">
        <f>IF($B10="",0,SUMIFS(tblAuftraege[Kalk.
Einnahmen],tblAuftraege[Datum
Einnahmen],"&gt;="&amp;BC$5,tblAuftraege[Datum
Einnahmen],"&lt;"&amp;EDATE(BC$5,1),tblAuftraege[Kostenstelle],$B10))</f>
        <v/>
      </c>
      <c r="BD10" s="25">
        <f>IF($B10="",0,SUMIFS(tblAuftraege[Kalk.
Einnahmen],tblAuftraege[Datum
Einnahmen],"&gt;="&amp;BD$5,tblAuftraege[Datum
Einnahmen],"&lt;"&amp;EDATE(BD$5,1),tblAuftraege[Kostenstelle],$B10))</f>
        <v/>
      </c>
      <c r="BE10" s="25">
        <f>SUM(C10:H10)</f>
        <v/>
      </c>
      <c r="BF10" s="25">
        <f>SUM(I10:T10)</f>
        <v/>
      </c>
      <c r="BG10" s="25">
        <f>SUM(U10:AF10)</f>
        <v/>
      </c>
      <c r="BH10" s="25">
        <f>SUM(AG10:AR10)</f>
        <v/>
      </c>
      <c r="BI10" s="25">
        <f>SUM(AS10:BD10)</f>
        <v/>
      </c>
      <c r="BJ10" s="25">
        <f>SUM(C10:BD10)</f>
        <v/>
      </c>
    </row>
    <row r="11">
      <c r="A11" s="34" t="n"/>
      <c r="B11" s="49" t="inlineStr">
        <is>
          <t>87001011 - Stadtwerke NMS</t>
        </is>
      </c>
      <c r="C11" s="25">
        <f>IF($B11="",0,SUMIFS(tblAuftraege[Kalk.
Einnahmen],tblAuftraege[Datum
Einnahmen],"&gt;="&amp;C$5,tblAuftraege[Datum
Einnahmen],"&lt;"&amp;EDATE(C$5,1),tblAuftraege[Kostenstelle],$B11))</f>
        <v/>
      </c>
      <c r="D11" s="25">
        <f>IF($B11="",0,SUMIFS(tblAuftraege[Kalk.
Einnahmen],tblAuftraege[Datum
Einnahmen],"&gt;="&amp;D$5,tblAuftraege[Datum
Einnahmen],"&lt;"&amp;EDATE(D$5,1),tblAuftraege[Kostenstelle],$B11))</f>
        <v/>
      </c>
      <c r="E11" s="25">
        <f>IF($B11="",0,SUMIFS(tblAuftraege[Kalk.
Einnahmen],tblAuftraege[Datum
Einnahmen],"&gt;="&amp;E$5,tblAuftraege[Datum
Einnahmen],"&lt;"&amp;EDATE(E$5,1),tblAuftraege[Kostenstelle],$B11))</f>
        <v/>
      </c>
      <c r="F11" s="25">
        <f>IF($B11="",0,SUMIFS(tblAuftraege[Kalk.
Einnahmen],tblAuftraege[Datum
Einnahmen],"&gt;="&amp;F$5,tblAuftraege[Datum
Einnahmen],"&lt;"&amp;EDATE(F$5,1),tblAuftraege[Kostenstelle],$B11))</f>
        <v/>
      </c>
      <c r="G11" s="25">
        <f>IF($B11="",0,SUMIFS(tblAuftraege[Kalk.
Einnahmen],tblAuftraege[Datum
Einnahmen],"&gt;="&amp;G$5,tblAuftraege[Datum
Einnahmen],"&lt;"&amp;EDATE(G$5,1),tblAuftraege[Kostenstelle],$B11))</f>
        <v/>
      </c>
      <c r="H11" s="25">
        <f>IF($B11="",0,SUMIFS(tblAuftraege[Kalk.
Einnahmen],tblAuftraege[Datum
Einnahmen],"&gt;="&amp;H$5,tblAuftraege[Datum
Einnahmen],"&lt;"&amp;EDATE(H$5,1),tblAuftraege[Kostenstelle],$B11))</f>
        <v/>
      </c>
      <c r="I11" s="25">
        <f>IF($B11="",0,SUMIFS(tblAuftraege[Kalk.
Einnahmen],tblAuftraege[Datum
Einnahmen],"&gt;="&amp;I$5,tblAuftraege[Datum
Einnahmen],"&lt;"&amp;EDATE(I$5,1),tblAuftraege[Kostenstelle],$B11))</f>
        <v/>
      </c>
      <c r="J11" s="25">
        <f>IF($B11="",0,SUMIFS(tblAuftraege[Kalk.
Einnahmen],tblAuftraege[Datum
Einnahmen],"&gt;="&amp;J$5,tblAuftraege[Datum
Einnahmen],"&lt;"&amp;EDATE(J$5,1),tblAuftraege[Kostenstelle],$B11))</f>
        <v/>
      </c>
      <c r="K11" s="25">
        <f>IF($B11="",0,SUMIFS(tblAuftraege[Kalk.
Einnahmen],tblAuftraege[Datum
Einnahmen],"&gt;="&amp;K$5,tblAuftraege[Datum
Einnahmen],"&lt;"&amp;EDATE(K$5,1),tblAuftraege[Kostenstelle],$B11))</f>
        <v/>
      </c>
      <c r="L11" s="25">
        <f>IF($B11="",0,SUMIFS(tblAuftraege[Kalk.
Einnahmen],tblAuftraege[Datum
Einnahmen],"&gt;="&amp;L$5,tblAuftraege[Datum
Einnahmen],"&lt;"&amp;EDATE(L$5,1),tblAuftraege[Kostenstelle],$B11))</f>
        <v/>
      </c>
      <c r="M11" s="25">
        <f>IF($B11="",0,SUMIFS(tblAuftraege[Kalk.
Einnahmen],tblAuftraege[Datum
Einnahmen],"&gt;="&amp;M$5,tblAuftraege[Datum
Einnahmen],"&lt;"&amp;EDATE(M$5,1),tblAuftraege[Kostenstelle],$B11))</f>
        <v/>
      </c>
      <c r="N11" s="25">
        <f>IF($B11="",0,SUMIFS(tblAuftraege[Kalk.
Einnahmen],tblAuftraege[Datum
Einnahmen],"&gt;="&amp;N$5,tblAuftraege[Datum
Einnahmen],"&lt;"&amp;EDATE(N$5,1),tblAuftraege[Kostenstelle],$B11))</f>
        <v/>
      </c>
      <c r="O11" s="25">
        <f>IF($B11="",0,SUMIFS(tblAuftraege[Kalk.
Einnahmen],tblAuftraege[Datum
Einnahmen],"&gt;="&amp;O$5,tblAuftraege[Datum
Einnahmen],"&lt;"&amp;EDATE(O$5,1),tblAuftraege[Kostenstelle],$B11))</f>
        <v/>
      </c>
      <c r="P11" s="25">
        <f>IF($B11="",0,SUMIFS(tblAuftraege[Kalk.
Einnahmen],tblAuftraege[Datum
Einnahmen],"&gt;="&amp;P$5,tblAuftraege[Datum
Einnahmen],"&lt;"&amp;EDATE(P$5,1),tblAuftraege[Kostenstelle],$B11))</f>
        <v/>
      </c>
      <c r="Q11" s="25">
        <f>IF($B11="",0,SUMIFS(tblAuftraege[Kalk.
Einnahmen],tblAuftraege[Datum
Einnahmen],"&gt;="&amp;Q$5,tblAuftraege[Datum
Einnahmen],"&lt;"&amp;EDATE(Q$5,1),tblAuftraege[Kostenstelle],$B11))</f>
        <v/>
      </c>
      <c r="R11" s="25">
        <f>IF($B11="",0,SUMIFS(tblAuftraege[Kalk.
Einnahmen],tblAuftraege[Datum
Einnahmen],"&gt;="&amp;R$5,tblAuftraege[Datum
Einnahmen],"&lt;"&amp;EDATE(R$5,1),tblAuftraege[Kostenstelle],$B11))</f>
        <v/>
      </c>
      <c r="S11" s="25">
        <f>IF($B11="",0,SUMIFS(tblAuftraege[Kalk.
Einnahmen],tblAuftraege[Datum
Einnahmen],"&gt;="&amp;S$5,tblAuftraege[Datum
Einnahmen],"&lt;"&amp;EDATE(S$5,1),tblAuftraege[Kostenstelle],$B11))</f>
        <v/>
      </c>
      <c r="T11" s="25">
        <f>IF($B11="",0,SUMIFS(tblAuftraege[Kalk.
Einnahmen],tblAuftraege[Datum
Einnahmen],"&gt;="&amp;T$5,tblAuftraege[Datum
Einnahmen],"&lt;"&amp;EDATE(T$5,1),tblAuftraege[Kostenstelle],$B11))</f>
        <v/>
      </c>
      <c r="U11" s="25">
        <f>IF($B11="",0,SUMIFS(tblAuftraege[Kalk.
Einnahmen],tblAuftraege[Datum
Einnahmen],"&gt;="&amp;U$5,tblAuftraege[Datum
Einnahmen],"&lt;"&amp;EDATE(U$5,1),tblAuftraege[Kostenstelle],$B11))</f>
        <v/>
      </c>
      <c r="V11" s="25">
        <f>IF($B11="",0,SUMIFS(tblAuftraege[Kalk.
Einnahmen],tblAuftraege[Datum
Einnahmen],"&gt;="&amp;V$5,tblAuftraege[Datum
Einnahmen],"&lt;"&amp;EDATE(V$5,1),tblAuftraege[Kostenstelle],$B11))</f>
        <v/>
      </c>
      <c r="W11" s="25">
        <f>IF($B11="",0,SUMIFS(tblAuftraege[Kalk.
Einnahmen],tblAuftraege[Datum
Einnahmen],"&gt;="&amp;W$5,tblAuftraege[Datum
Einnahmen],"&lt;"&amp;EDATE(W$5,1),tblAuftraege[Kostenstelle],$B11))</f>
        <v/>
      </c>
      <c r="X11" s="25">
        <f>IF($B11="",0,SUMIFS(tblAuftraege[Kalk.
Einnahmen],tblAuftraege[Datum
Einnahmen],"&gt;="&amp;X$5,tblAuftraege[Datum
Einnahmen],"&lt;"&amp;EDATE(X$5,1),tblAuftraege[Kostenstelle],$B11))</f>
        <v/>
      </c>
      <c r="Y11" s="25">
        <f>IF($B11="",0,SUMIFS(tblAuftraege[Kalk.
Einnahmen],tblAuftraege[Datum
Einnahmen],"&gt;="&amp;Y$5,tblAuftraege[Datum
Einnahmen],"&lt;"&amp;EDATE(Y$5,1),tblAuftraege[Kostenstelle],$B11))</f>
        <v/>
      </c>
      <c r="Z11" s="25">
        <f>IF($B11="",0,SUMIFS(tblAuftraege[Kalk.
Einnahmen],tblAuftraege[Datum
Einnahmen],"&gt;="&amp;Z$5,tblAuftraege[Datum
Einnahmen],"&lt;"&amp;EDATE(Z$5,1),tblAuftraege[Kostenstelle],$B11))</f>
        <v/>
      </c>
      <c r="AA11" s="25">
        <f>IF($B11="",0,SUMIFS(tblAuftraege[Kalk.
Einnahmen],tblAuftraege[Datum
Einnahmen],"&gt;="&amp;AA$5,tblAuftraege[Datum
Einnahmen],"&lt;"&amp;EDATE(AA$5,1),tblAuftraege[Kostenstelle],$B11))</f>
        <v/>
      </c>
      <c r="AB11" s="25">
        <f>IF($B11="",0,SUMIFS(tblAuftraege[Kalk.
Einnahmen],tblAuftraege[Datum
Einnahmen],"&gt;="&amp;AB$5,tblAuftraege[Datum
Einnahmen],"&lt;"&amp;EDATE(AB$5,1),tblAuftraege[Kostenstelle],$B11))</f>
        <v/>
      </c>
      <c r="AC11" s="25">
        <f>IF($B11="",0,SUMIFS(tblAuftraege[Kalk.
Einnahmen],tblAuftraege[Datum
Einnahmen],"&gt;="&amp;AC$5,tblAuftraege[Datum
Einnahmen],"&lt;"&amp;EDATE(AC$5,1),tblAuftraege[Kostenstelle],$B11))</f>
        <v/>
      </c>
      <c r="AD11" s="25">
        <f>IF($B11="",0,SUMIFS(tblAuftraege[Kalk.
Einnahmen],tblAuftraege[Datum
Einnahmen],"&gt;="&amp;AD$5,tblAuftraege[Datum
Einnahmen],"&lt;"&amp;EDATE(AD$5,1),tblAuftraege[Kostenstelle],$B11))</f>
        <v/>
      </c>
      <c r="AE11" s="25">
        <f>IF($B11="",0,SUMIFS(tblAuftraege[Kalk.
Einnahmen],tblAuftraege[Datum
Einnahmen],"&gt;="&amp;AE$5,tblAuftraege[Datum
Einnahmen],"&lt;"&amp;EDATE(AE$5,1),tblAuftraege[Kostenstelle],$B11))</f>
        <v/>
      </c>
      <c r="AF11" s="25">
        <f>IF($B11="",0,SUMIFS(tblAuftraege[Kalk.
Einnahmen],tblAuftraege[Datum
Einnahmen],"&gt;="&amp;AF$5,tblAuftraege[Datum
Einnahmen],"&lt;"&amp;EDATE(AF$5,1),tblAuftraege[Kostenstelle],$B11))</f>
        <v/>
      </c>
      <c r="AG11" s="25">
        <f>IF($B11="",0,SUMIFS(tblAuftraege[Kalk.
Einnahmen],tblAuftraege[Datum
Einnahmen],"&gt;="&amp;AG$5,tblAuftraege[Datum
Einnahmen],"&lt;"&amp;EDATE(AG$5,1),tblAuftraege[Kostenstelle],$B11))</f>
        <v/>
      </c>
      <c r="AH11" s="25">
        <f>IF($B11="",0,SUMIFS(tblAuftraege[Kalk.
Einnahmen],tblAuftraege[Datum
Einnahmen],"&gt;="&amp;AH$5,tblAuftraege[Datum
Einnahmen],"&lt;"&amp;EDATE(AH$5,1),tblAuftraege[Kostenstelle],$B11))</f>
        <v/>
      </c>
      <c r="AI11" s="25">
        <f>IF($B11="",0,SUMIFS(tblAuftraege[Kalk.
Einnahmen],tblAuftraege[Datum
Einnahmen],"&gt;="&amp;AI$5,tblAuftraege[Datum
Einnahmen],"&lt;"&amp;EDATE(AI$5,1),tblAuftraege[Kostenstelle],$B11))</f>
        <v/>
      </c>
      <c r="AJ11" s="25">
        <f>IF($B11="",0,SUMIFS(tblAuftraege[Kalk.
Einnahmen],tblAuftraege[Datum
Einnahmen],"&gt;="&amp;AJ$5,tblAuftraege[Datum
Einnahmen],"&lt;"&amp;EDATE(AJ$5,1),tblAuftraege[Kostenstelle],$B11))</f>
        <v/>
      </c>
      <c r="AK11" s="25">
        <f>IF($B11="",0,SUMIFS(tblAuftraege[Kalk.
Einnahmen],tblAuftraege[Datum
Einnahmen],"&gt;="&amp;AK$5,tblAuftraege[Datum
Einnahmen],"&lt;"&amp;EDATE(AK$5,1),tblAuftraege[Kostenstelle],$B11))</f>
        <v/>
      </c>
      <c r="AL11" s="25">
        <f>IF($B11="",0,SUMIFS(tblAuftraege[Kalk.
Einnahmen],tblAuftraege[Datum
Einnahmen],"&gt;="&amp;AL$5,tblAuftraege[Datum
Einnahmen],"&lt;"&amp;EDATE(AL$5,1),tblAuftraege[Kostenstelle],$B11))</f>
        <v/>
      </c>
      <c r="AM11" s="25">
        <f>IF($B11="",0,SUMIFS(tblAuftraege[Kalk.
Einnahmen],tblAuftraege[Datum
Einnahmen],"&gt;="&amp;AM$5,tblAuftraege[Datum
Einnahmen],"&lt;"&amp;EDATE(AM$5,1),tblAuftraege[Kostenstelle],$B11))</f>
        <v/>
      </c>
      <c r="AN11" s="25">
        <f>IF($B11="",0,SUMIFS(tblAuftraege[Kalk.
Einnahmen],tblAuftraege[Datum
Einnahmen],"&gt;="&amp;AN$5,tblAuftraege[Datum
Einnahmen],"&lt;"&amp;EDATE(AN$5,1),tblAuftraege[Kostenstelle],$B11))</f>
        <v/>
      </c>
      <c r="AO11" s="25">
        <f>IF($B11="",0,SUMIFS(tblAuftraege[Kalk.
Einnahmen],tblAuftraege[Datum
Einnahmen],"&gt;="&amp;AO$5,tblAuftraege[Datum
Einnahmen],"&lt;"&amp;EDATE(AO$5,1),tblAuftraege[Kostenstelle],$B11))</f>
        <v/>
      </c>
      <c r="AP11" s="25">
        <f>IF($B11="",0,SUMIFS(tblAuftraege[Kalk.
Einnahmen],tblAuftraege[Datum
Einnahmen],"&gt;="&amp;AP$5,tblAuftraege[Datum
Einnahmen],"&lt;"&amp;EDATE(AP$5,1),tblAuftraege[Kostenstelle],$B11))</f>
        <v/>
      </c>
      <c r="AQ11" s="25">
        <f>IF($B11="",0,SUMIFS(tblAuftraege[Kalk.
Einnahmen],tblAuftraege[Datum
Einnahmen],"&gt;="&amp;AQ$5,tblAuftraege[Datum
Einnahmen],"&lt;"&amp;EDATE(AQ$5,1),tblAuftraege[Kostenstelle],$B11))</f>
        <v/>
      </c>
      <c r="AR11" s="25">
        <f>IF($B11="",0,SUMIFS(tblAuftraege[Kalk.
Einnahmen],tblAuftraege[Datum
Einnahmen],"&gt;="&amp;AR$5,tblAuftraege[Datum
Einnahmen],"&lt;"&amp;EDATE(AR$5,1),tblAuftraege[Kostenstelle],$B11))</f>
        <v/>
      </c>
      <c r="AS11" s="25">
        <f>IF($B11="",0,SUMIFS(tblAuftraege[Kalk.
Einnahmen],tblAuftraege[Datum
Einnahmen],"&gt;="&amp;AS$5,tblAuftraege[Datum
Einnahmen],"&lt;"&amp;EDATE(AS$5,1),tblAuftraege[Kostenstelle],$B11))</f>
        <v/>
      </c>
      <c r="AT11" s="25">
        <f>IF($B11="",0,SUMIFS(tblAuftraege[Kalk.
Einnahmen],tblAuftraege[Datum
Einnahmen],"&gt;="&amp;AT$5,tblAuftraege[Datum
Einnahmen],"&lt;"&amp;EDATE(AT$5,1),tblAuftraege[Kostenstelle],$B11))</f>
        <v/>
      </c>
      <c r="AU11" s="25">
        <f>IF($B11="",0,SUMIFS(tblAuftraege[Kalk.
Einnahmen],tblAuftraege[Datum
Einnahmen],"&gt;="&amp;AU$5,tblAuftraege[Datum
Einnahmen],"&lt;"&amp;EDATE(AU$5,1),tblAuftraege[Kostenstelle],$B11))</f>
        <v/>
      </c>
      <c r="AV11" s="25">
        <f>IF($B11="",0,SUMIFS(tblAuftraege[Kalk.
Einnahmen],tblAuftraege[Datum
Einnahmen],"&gt;="&amp;AV$5,tblAuftraege[Datum
Einnahmen],"&lt;"&amp;EDATE(AV$5,1),tblAuftraege[Kostenstelle],$B11))</f>
        <v/>
      </c>
      <c r="AW11" s="25">
        <f>IF($B11="",0,SUMIFS(tblAuftraege[Kalk.
Einnahmen],tblAuftraege[Datum
Einnahmen],"&gt;="&amp;AW$5,tblAuftraege[Datum
Einnahmen],"&lt;"&amp;EDATE(AW$5,1),tblAuftraege[Kostenstelle],$B11))</f>
        <v/>
      </c>
      <c r="AX11" s="25">
        <f>IF($B11="",0,SUMIFS(tblAuftraege[Kalk.
Einnahmen],tblAuftraege[Datum
Einnahmen],"&gt;="&amp;AX$5,tblAuftraege[Datum
Einnahmen],"&lt;"&amp;EDATE(AX$5,1),tblAuftraege[Kostenstelle],$B11))</f>
        <v/>
      </c>
      <c r="AY11" s="25">
        <f>IF($B11="",0,SUMIFS(tblAuftraege[Kalk.
Einnahmen],tblAuftraege[Datum
Einnahmen],"&gt;="&amp;AY$5,tblAuftraege[Datum
Einnahmen],"&lt;"&amp;EDATE(AY$5,1),tblAuftraege[Kostenstelle],$B11))</f>
        <v/>
      </c>
      <c r="AZ11" s="25">
        <f>IF($B11="",0,SUMIFS(tblAuftraege[Kalk.
Einnahmen],tblAuftraege[Datum
Einnahmen],"&gt;="&amp;AZ$5,tblAuftraege[Datum
Einnahmen],"&lt;"&amp;EDATE(AZ$5,1),tblAuftraege[Kostenstelle],$B11))</f>
        <v/>
      </c>
      <c r="BA11" s="25">
        <f>IF($B11="",0,SUMIFS(tblAuftraege[Kalk.
Einnahmen],tblAuftraege[Datum
Einnahmen],"&gt;="&amp;BA$5,tblAuftraege[Datum
Einnahmen],"&lt;"&amp;EDATE(BA$5,1),tblAuftraege[Kostenstelle],$B11))</f>
        <v/>
      </c>
      <c r="BB11" s="25">
        <f>IF($B11="",0,SUMIFS(tblAuftraege[Kalk.
Einnahmen],tblAuftraege[Datum
Einnahmen],"&gt;="&amp;BB$5,tblAuftraege[Datum
Einnahmen],"&lt;"&amp;EDATE(BB$5,1),tblAuftraege[Kostenstelle],$B11))</f>
        <v/>
      </c>
      <c r="BC11" s="25">
        <f>IF($B11="",0,SUMIFS(tblAuftraege[Kalk.
Einnahmen],tblAuftraege[Datum
Einnahmen],"&gt;="&amp;BC$5,tblAuftraege[Datum
Einnahmen],"&lt;"&amp;EDATE(BC$5,1),tblAuftraege[Kostenstelle],$B11))</f>
        <v/>
      </c>
      <c r="BD11" s="25">
        <f>IF($B11="",0,SUMIFS(tblAuftraege[Kalk.
Einnahmen],tblAuftraege[Datum
Einnahmen],"&gt;="&amp;BD$5,tblAuftraege[Datum
Einnahmen],"&lt;"&amp;EDATE(BD$5,1),tblAuftraege[Kostenstelle],$B11))</f>
        <v/>
      </c>
      <c r="BE11" s="25">
        <f>SUM(C11:H11)</f>
        <v/>
      </c>
      <c r="BF11" s="25">
        <f>SUM(I11:T11)</f>
        <v/>
      </c>
      <c r="BG11" s="25">
        <f>SUM(U11:AF11)</f>
        <v/>
      </c>
      <c r="BH11" s="25">
        <f>SUM(AG11:AR11)</f>
        <v/>
      </c>
      <c r="BI11" s="25">
        <f>SUM(AS11:BD11)</f>
        <v/>
      </c>
      <c r="BJ11" s="25">
        <f>SUM(C11:BD11)</f>
        <v/>
      </c>
    </row>
    <row r="12">
      <c r="A12" s="34" t="n"/>
      <c r="B12" s="49" t="inlineStr">
        <is>
          <t>87002004 - Statdwerke Neustadt</t>
        </is>
      </c>
      <c r="C12" s="25">
        <f>IF($B12="",0,SUMIFS(tblAuftraege[Kalk.
Einnahmen],tblAuftraege[Datum
Einnahmen],"&gt;="&amp;C$5,tblAuftraege[Datum
Einnahmen],"&lt;"&amp;EDATE(C$5,1),tblAuftraege[Kostenstelle],$B12))</f>
        <v/>
      </c>
      <c r="D12" s="25">
        <f>IF($B12="",0,SUMIFS(tblAuftraege[Kalk.
Einnahmen],tblAuftraege[Datum
Einnahmen],"&gt;="&amp;D$5,tblAuftraege[Datum
Einnahmen],"&lt;"&amp;EDATE(D$5,1),tblAuftraege[Kostenstelle],$B12))</f>
        <v/>
      </c>
      <c r="E12" s="25">
        <f>IF($B12="",0,SUMIFS(tblAuftraege[Kalk.
Einnahmen],tblAuftraege[Datum
Einnahmen],"&gt;="&amp;E$5,tblAuftraege[Datum
Einnahmen],"&lt;"&amp;EDATE(E$5,1),tblAuftraege[Kostenstelle],$B12))</f>
        <v/>
      </c>
      <c r="F12" s="25">
        <f>IF($B12="",0,SUMIFS(tblAuftraege[Kalk.
Einnahmen],tblAuftraege[Datum
Einnahmen],"&gt;="&amp;F$5,tblAuftraege[Datum
Einnahmen],"&lt;"&amp;EDATE(F$5,1),tblAuftraege[Kostenstelle],$B12))</f>
        <v/>
      </c>
      <c r="G12" s="25">
        <f>IF($B12="",0,SUMIFS(tblAuftraege[Kalk.
Einnahmen],tblAuftraege[Datum
Einnahmen],"&gt;="&amp;G$5,tblAuftraege[Datum
Einnahmen],"&lt;"&amp;EDATE(G$5,1),tblAuftraege[Kostenstelle],$B12))</f>
        <v/>
      </c>
      <c r="H12" s="25">
        <f>IF($B12="",0,SUMIFS(tblAuftraege[Kalk.
Einnahmen],tblAuftraege[Datum
Einnahmen],"&gt;="&amp;H$5,tblAuftraege[Datum
Einnahmen],"&lt;"&amp;EDATE(H$5,1),tblAuftraege[Kostenstelle],$B12))</f>
        <v/>
      </c>
      <c r="I12" s="25">
        <f>IF($B12="",0,SUMIFS(tblAuftraege[Kalk.
Einnahmen],tblAuftraege[Datum
Einnahmen],"&gt;="&amp;I$5,tblAuftraege[Datum
Einnahmen],"&lt;"&amp;EDATE(I$5,1),tblAuftraege[Kostenstelle],$B12))</f>
        <v/>
      </c>
      <c r="J12" s="25">
        <f>IF($B12="",0,SUMIFS(tblAuftraege[Kalk.
Einnahmen],tblAuftraege[Datum
Einnahmen],"&gt;="&amp;J$5,tblAuftraege[Datum
Einnahmen],"&lt;"&amp;EDATE(J$5,1),tblAuftraege[Kostenstelle],$B12))</f>
        <v/>
      </c>
      <c r="K12" s="25">
        <f>IF($B12="",0,SUMIFS(tblAuftraege[Kalk.
Einnahmen],tblAuftraege[Datum
Einnahmen],"&gt;="&amp;K$5,tblAuftraege[Datum
Einnahmen],"&lt;"&amp;EDATE(K$5,1),tblAuftraege[Kostenstelle],$B12))</f>
        <v/>
      </c>
      <c r="L12" s="25">
        <f>IF($B12="",0,SUMIFS(tblAuftraege[Kalk.
Einnahmen],tblAuftraege[Datum
Einnahmen],"&gt;="&amp;L$5,tblAuftraege[Datum
Einnahmen],"&lt;"&amp;EDATE(L$5,1),tblAuftraege[Kostenstelle],$B12))</f>
        <v/>
      </c>
      <c r="M12" s="25">
        <f>IF($B12="",0,SUMIFS(tblAuftraege[Kalk.
Einnahmen],tblAuftraege[Datum
Einnahmen],"&gt;="&amp;M$5,tblAuftraege[Datum
Einnahmen],"&lt;"&amp;EDATE(M$5,1),tblAuftraege[Kostenstelle],$B12))</f>
        <v/>
      </c>
      <c r="N12" s="25">
        <f>IF($B12="",0,SUMIFS(tblAuftraege[Kalk.
Einnahmen],tblAuftraege[Datum
Einnahmen],"&gt;="&amp;N$5,tblAuftraege[Datum
Einnahmen],"&lt;"&amp;EDATE(N$5,1),tblAuftraege[Kostenstelle],$B12))</f>
        <v/>
      </c>
      <c r="O12" s="25">
        <f>IF($B12="",0,SUMIFS(tblAuftraege[Kalk.
Einnahmen],tblAuftraege[Datum
Einnahmen],"&gt;="&amp;O$5,tblAuftraege[Datum
Einnahmen],"&lt;"&amp;EDATE(O$5,1),tblAuftraege[Kostenstelle],$B12))</f>
        <v/>
      </c>
      <c r="P12" s="25">
        <f>IF($B12="",0,SUMIFS(tblAuftraege[Kalk.
Einnahmen],tblAuftraege[Datum
Einnahmen],"&gt;="&amp;P$5,tblAuftraege[Datum
Einnahmen],"&lt;"&amp;EDATE(P$5,1),tblAuftraege[Kostenstelle],$B12))</f>
        <v/>
      </c>
      <c r="Q12" s="25">
        <f>IF($B12="",0,SUMIFS(tblAuftraege[Kalk.
Einnahmen],tblAuftraege[Datum
Einnahmen],"&gt;="&amp;Q$5,tblAuftraege[Datum
Einnahmen],"&lt;"&amp;EDATE(Q$5,1),tblAuftraege[Kostenstelle],$B12))</f>
        <v/>
      </c>
      <c r="R12" s="25">
        <f>IF($B12="",0,SUMIFS(tblAuftraege[Kalk.
Einnahmen],tblAuftraege[Datum
Einnahmen],"&gt;="&amp;R$5,tblAuftraege[Datum
Einnahmen],"&lt;"&amp;EDATE(R$5,1),tblAuftraege[Kostenstelle],$B12))</f>
        <v/>
      </c>
      <c r="S12" s="25">
        <f>IF($B12="",0,SUMIFS(tblAuftraege[Kalk.
Einnahmen],tblAuftraege[Datum
Einnahmen],"&gt;="&amp;S$5,tblAuftraege[Datum
Einnahmen],"&lt;"&amp;EDATE(S$5,1),tblAuftraege[Kostenstelle],$B12))</f>
        <v/>
      </c>
      <c r="T12" s="25">
        <f>IF($B12="",0,SUMIFS(tblAuftraege[Kalk.
Einnahmen],tblAuftraege[Datum
Einnahmen],"&gt;="&amp;T$5,tblAuftraege[Datum
Einnahmen],"&lt;"&amp;EDATE(T$5,1),tblAuftraege[Kostenstelle],$B12))</f>
        <v/>
      </c>
      <c r="U12" s="25">
        <f>IF($B12="",0,SUMIFS(tblAuftraege[Kalk.
Einnahmen],tblAuftraege[Datum
Einnahmen],"&gt;="&amp;U$5,tblAuftraege[Datum
Einnahmen],"&lt;"&amp;EDATE(U$5,1),tblAuftraege[Kostenstelle],$B12))</f>
        <v/>
      </c>
      <c r="V12" s="25">
        <f>IF($B12="",0,SUMIFS(tblAuftraege[Kalk.
Einnahmen],tblAuftraege[Datum
Einnahmen],"&gt;="&amp;V$5,tblAuftraege[Datum
Einnahmen],"&lt;"&amp;EDATE(V$5,1),tblAuftraege[Kostenstelle],$B12))</f>
        <v/>
      </c>
      <c r="W12" s="25">
        <f>IF($B12="",0,SUMIFS(tblAuftraege[Kalk.
Einnahmen],tblAuftraege[Datum
Einnahmen],"&gt;="&amp;W$5,tblAuftraege[Datum
Einnahmen],"&lt;"&amp;EDATE(W$5,1),tblAuftraege[Kostenstelle],$B12))</f>
        <v/>
      </c>
      <c r="X12" s="25">
        <f>IF($B12="",0,SUMIFS(tblAuftraege[Kalk.
Einnahmen],tblAuftraege[Datum
Einnahmen],"&gt;="&amp;X$5,tblAuftraege[Datum
Einnahmen],"&lt;"&amp;EDATE(X$5,1),tblAuftraege[Kostenstelle],$B12))</f>
        <v/>
      </c>
      <c r="Y12" s="25">
        <f>IF($B12="",0,SUMIFS(tblAuftraege[Kalk.
Einnahmen],tblAuftraege[Datum
Einnahmen],"&gt;="&amp;Y$5,tblAuftraege[Datum
Einnahmen],"&lt;"&amp;EDATE(Y$5,1),tblAuftraege[Kostenstelle],$B12))</f>
        <v/>
      </c>
      <c r="Z12" s="25">
        <f>IF($B12="",0,SUMIFS(tblAuftraege[Kalk.
Einnahmen],tblAuftraege[Datum
Einnahmen],"&gt;="&amp;Z$5,tblAuftraege[Datum
Einnahmen],"&lt;"&amp;EDATE(Z$5,1),tblAuftraege[Kostenstelle],$B12))</f>
        <v/>
      </c>
      <c r="AA12" s="25">
        <f>IF($B12="",0,SUMIFS(tblAuftraege[Kalk.
Einnahmen],tblAuftraege[Datum
Einnahmen],"&gt;="&amp;AA$5,tblAuftraege[Datum
Einnahmen],"&lt;"&amp;EDATE(AA$5,1),tblAuftraege[Kostenstelle],$B12))</f>
        <v/>
      </c>
      <c r="AB12" s="25">
        <f>IF($B12="",0,SUMIFS(tblAuftraege[Kalk.
Einnahmen],tblAuftraege[Datum
Einnahmen],"&gt;="&amp;AB$5,tblAuftraege[Datum
Einnahmen],"&lt;"&amp;EDATE(AB$5,1),tblAuftraege[Kostenstelle],$B12))</f>
        <v/>
      </c>
      <c r="AC12" s="25">
        <f>IF($B12="",0,SUMIFS(tblAuftraege[Kalk.
Einnahmen],tblAuftraege[Datum
Einnahmen],"&gt;="&amp;AC$5,tblAuftraege[Datum
Einnahmen],"&lt;"&amp;EDATE(AC$5,1),tblAuftraege[Kostenstelle],$B12))</f>
        <v/>
      </c>
      <c r="AD12" s="25">
        <f>IF($B12="",0,SUMIFS(tblAuftraege[Kalk.
Einnahmen],tblAuftraege[Datum
Einnahmen],"&gt;="&amp;AD$5,tblAuftraege[Datum
Einnahmen],"&lt;"&amp;EDATE(AD$5,1),tblAuftraege[Kostenstelle],$B12))</f>
        <v/>
      </c>
      <c r="AE12" s="25">
        <f>IF($B12="",0,SUMIFS(tblAuftraege[Kalk.
Einnahmen],tblAuftraege[Datum
Einnahmen],"&gt;="&amp;AE$5,tblAuftraege[Datum
Einnahmen],"&lt;"&amp;EDATE(AE$5,1),tblAuftraege[Kostenstelle],$B12))</f>
        <v/>
      </c>
      <c r="AF12" s="25">
        <f>IF($B12="",0,SUMIFS(tblAuftraege[Kalk.
Einnahmen],tblAuftraege[Datum
Einnahmen],"&gt;="&amp;AF$5,tblAuftraege[Datum
Einnahmen],"&lt;"&amp;EDATE(AF$5,1),tblAuftraege[Kostenstelle],$B12))</f>
        <v/>
      </c>
      <c r="AG12" s="25">
        <f>IF($B12="",0,SUMIFS(tblAuftraege[Kalk.
Einnahmen],tblAuftraege[Datum
Einnahmen],"&gt;="&amp;AG$5,tblAuftraege[Datum
Einnahmen],"&lt;"&amp;EDATE(AG$5,1),tblAuftraege[Kostenstelle],$B12))</f>
        <v/>
      </c>
      <c r="AH12" s="25">
        <f>IF($B12="",0,SUMIFS(tblAuftraege[Kalk.
Einnahmen],tblAuftraege[Datum
Einnahmen],"&gt;="&amp;AH$5,tblAuftraege[Datum
Einnahmen],"&lt;"&amp;EDATE(AH$5,1),tblAuftraege[Kostenstelle],$B12))</f>
        <v/>
      </c>
      <c r="AI12" s="25">
        <f>IF($B12="",0,SUMIFS(tblAuftraege[Kalk.
Einnahmen],tblAuftraege[Datum
Einnahmen],"&gt;="&amp;AI$5,tblAuftraege[Datum
Einnahmen],"&lt;"&amp;EDATE(AI$5,1),tblAuftraege[Kostenstelle],$B12))</f>
        <v/>
      </c>
      <c r="AJ12" s="25">
        <f>IF($B12="",0,SUMIFS(tblAuftraege[Kalk.
Einnahmen],tblAuftraege[Datum
Einnahmen],"&gt;="&amp;AJ$5,tblAuftraege[Datum
Einnahmen],"&lt;"&amp;EDATE(AJ$5,1),tblAuftraege[Kostenstelle],$B12))</f>
        <v/>
      </c>
      <c r="AK12" s="25">
        <f>IF($B12="",0,SUMIFS(tblAuftraege[Kalk.
Einnahmen],tblAuftraege[Datum
Einnahmen],"&gt;="&amp;AK$5,tblAuftraege[Datum
Einnahmen],"&lt;"&amp;EDATE(AK$5,1),tblAuftraege[Kostenstelle],$B12))</f>
        <v/>
      </c>
      <c r="AL12" s="25">
        <f>IF($B12="",0,SUMIFS(tblAuftraege[Kalk.
Einnahmen],tblAuftraege[Datum
Einnahmen],"&gt;="&amp;AL$5,tblAuftraege[Datum
Einnahmen],"&lt;"&amp;EDATE(AL$5,1),tblAuftraege[Kostenstelle],$B12))</f>
        <v/>
      </c>
      <c r="AM12" s="25">
        <f>IF($B12="",0,SUMIFS(tblAuftraege[Kalk.
Einnahmen],tblAuftraege[Datum
Einnahmen],"&gt;="&amp;AM$5,tblAuftraege[Datum
Einnahmen],"&lt;"&amp;EDATE(AM$5,1),tblAuftraege[Kostenstelle],$B12))</f>
        <v/>
      </c>
      <c r="AN12" s="25">
        <f>IF($B12="",0,SUMIFS(tblAuftraege[Kalk.
Einnahmen],tblAuftraege[Datum
Einnahmen],"&gt;="&amp;AN$5,tblAuftraege[Datum
Einnahmen],"&lt;"&amp;EDATE(AN$5,1),tblAuftraege[Kostenstelle],$B12))</f>
        <v/>
      </c>
      <c r="AO12" s="25">
        <f>IF($B12="",0,SUMIFS(tblAuftraege[Kalk.
Einnahmen],tblAuftraege[Datum
Einnahmen],"&gt;="&amp;AO$5,tblAuftraege[Datum
Einnahmen],"&lt;"&amp;EDATE(AO$5,1),tblAuftraege[Kostenstelle],$B12))</f>
        <v/>
      </c>
      <c r="AP12" s="25">
        <f>IF($B12="",0,SUMIFS(tblAuftraege[Kalk.
Einnahmen],tblAuftraege[Datum
Einnahmen],"&gt;="&amp;AP$5,tblAuftraege[Datum
Einnahmen],"&lt;"&amp;EDATE(AP$5,1),tblAuftraege[Kostenstelle],$B12))</f>
        <v/>
      </c>
      <c r="AQ12" s="25">
        <f>IF($B12="",0,SUMIFS(tblAuftraege[Kalk.
Einnahmen],tblAuftraege[Datum
Einnahmen],"&gt;="&amp;AQ$5,tblAuftraege[Datum
Einnahmen],"&lt;"&amp;EDATE(AQ$5,1),tblAuftraege[Kostenstelle],$B12))</f>
        <v/>
      </c>
      <c r="AR12" s="25">
        <f>IF($B12="",0,SUMIFS(tblAuftraege[Kalk.
Einnahmen],tblAuftraege[Datum
Einnahmen],"&gt;="&amp;AR$5,tblAuftraege[Datum
Einnahmen],"&lt;"&amp;EDATE(AR$5,1),tblAuftraege[Kostenstelle],$B12))</f>
        <v/>
      </c>
      <c r="AS12" s="25">
        <f>IF($B12="",0,SUMIFS(tblAuftraege[Kalk.
Einnahmen],tblAuftraege[Datum
Einnahmen],"&gt;="&amp;AS$5,tblAuftraege[Datum
Einnahmen],"&lt;"&amp;EDATE(AS$5,1),tblAuftraege[Kostenstelle],$B12))</f>
        <v/>
      </c>
      <c r="AT12" s="25">
        <f>IF($B12="",0,SUMIFS(tblAuftraege[Kalk.
Einnahmen],tblAuftraege[Datum
Einnahmen],"&gt;="&amp;AT$5,tblAuftraege[Datum
Einnahmen],"&lt;"&amp;EDATE(AT$5,1),tblAuftraege[Kostenstelle],$B12))</f>
        <v/>
      </c>
      <c r="AU12" s="25">
        <f>IF($B12="",0,SUMIFS(tblAuftraege[Kalk.
Einnahmen],tblAuftraege[Datum
Einnahmen],"&gt;="&amp;AU$5,tblAuftraege[Datum
Einnahmen],"&lt;"&amp;EDATE(AU$5,1),tblAuftraege[Kostenstelle],$B12))</f>
        <v/>
      </c>
      <c r="AV12" s="25">
        <f>IF($B12="",0,SUMIFS(tblAuftraege[Kalk.
Einnahmen],tblAuftraege[Datum
Einnahmen],"&gt;="&amp;AV$5,tblAuftraege[Datum
Einnahmen],"&lt;"&amp;EDATE(AV$5,1),tblAuftraege[Kostenstelle],$B12))</f>
        <v/>
      </c>
      <c r="AW12" s="25">
        <f>IF($B12="",0,SUMIFS(tblAuftraege[Kalk.
Einnahmen],tblAuftraege[Datum
Einnahmen],"&gt;="&amp;AW$5,tblAuftraege[Datum
Einnahmen],"&lt;"&amp;EDATE(AW$5,1),tblAuftraege[Kostenstelle],$B12))</f>
        <v/>
      </c>
      <c r="AX12" s="25">
        <f>IF($B12="",0,SUMIFS(tblAuftraege[Kalk.
Einnahmen],tblAuftraege[Datum
Einnahmen],"&gt;="&amp;AX$5,tblAuftraege[Datum
Einnahmen],"&lt;"&amp;EDATE(AX$5,1),tblAuftraege[Kostenstelle],$B12))</f>
        <v/>
      </c>
      <c r="AY12" s="25">
        <f>IF($B12="",0,SUMIFS(tblAuftraege[Kalk.
Einnahmen],tblAuftraege[Datum
Einnahmen],"&gt;="&amp;AY$5,tblAuftraege[Datum
Einnahmen],"&lt;"&amp;EDATE(AY$5,1),tblAuftraege[Kostenstelle],$B12))</f>
        <v/>
      </c>
      <c r="AZ12" s="25">
        <f>IF($B12="",0,SUMIFS(tblAuftraege[Kalk.
Einnahmen],tblAuftraege[Datum
Einnahmen],"&gt;="&amp;AZ$5,tblAuftraege[Datum
Einnahmen],"&lt;"&amp;EDATE(AZ$5,1),tblAuftraege[Kostenstelle],$B12))</f>
        <v/>
      </c>
      <c r="BA12" s="25">
        <f>IF($B12="",0,SUMIFS(tblAuftraege[Kalk.
Einnahmen],tblAuftraege[Datum
Einnahmen],"&gt;="&amp;BA$5,tblAuftraege[Datum
Einnahmen],"&lt;"&amp;EDATE(BA$5,1),tblAuftraege[Kostenstelle],$B12))</f>
        <v/>
      </c>
      <c r="BB12" s="25">
        <f>IF($B12="",0,SUMIFS(tblAuftraege[Kalk.
Einnahmen],tblAuftraege[Datum
Einnahmen],"&gt;="&amp;BB$5,tblAuftraege[Datum
Einnahmen],"&lt;"&amp;EDATE(BB$5,1),tblAuftraege[Kostenstelle],$B12))</f>
        <v/>
      </c>
      <c r="BC12" s="25">
        <f>IF($B12="",0,SUMIFS(tblAuftraege[Kalk.
Einnahmen],tblAuftraege[Datum
Einnahmen],"&gt;="&amp;BC$5,tblAuftraege[Datum
Einnahmen],"&lt;"&amp;EDATE(BC$5,1),tblAuftraege[Kostenstelle],$B12))</f>
        <v/>
      </c>
      <c r="BD12" s="25">
        <f>IF($B12="",0,SUMIFS(tblAuftraege[Kalk.
Einnahmen],tblAuftraege[Datum
Einnahmen],"&gt;="&amp;BD$5,tblAuftraege[Datum
Einnahmen],"&lt;"&amp;EDATE(BD$5,1),tblAuftraege[Kostenstelle],$B12))</f>
        <v/>
      </c>
      <c r="BE12" s="25">
        <f>SUM(C12:H12)</f>
        <v/>
      </c>
      <c r="BF12" s="25">
        <f>SUM(I12:T12)</f>
        <v/>
      </c>
      <c r="BG12" s="25">
        <f>SUM(U12:AF12)</f>
        <v/>
      </c>
      <c r="BH12" s="25">
        <f>SUM(AG12:AR12)</f>
        <v/>
      </c>
      <c r="BI12" s="25">
        <f>SUM(AS12:BD12)</f>
        <v/>
      </c>
      <c r="BJ12" s="25">
        <f>SUM(C12:BD12)</f>
        <v/>
      </c>
    </row>
    <row r="13">
      <c r="A13" s="34" t="n"/>
      <c r="B13" s="49" t="inlineStr">
        <is>
          <t>87002007 - Schulbau Hamburg</t>
        </is>
      </c>
      <c r="C13" s="25">
        <f>IF($B13="",0,SUMIFS(tblAuftraege[Kalk.
Einnahmen],tblAuftraege[Datum
Einnahmen],"&gt;="&amp;C$5,tblAuftraege[Datum
Einnahmen],"&lt;"&amp;EDATE(C$5,1),tblAuftraege[Kostenstelle],$B13))</f>
        <v/>
      </c>
      <c r="D13" s="25">
        <f>IF($B13="",0,SUMIFS(tblAuftraege[Kalk.
Einnahmen],tblAuftraege[Datum
Einnahmen],"&gt;="&amp;D$5,tblAuftraege[Datum
Einnahmen],"&lt;"&amp;EDATE(D$5,1),tblAuftraege[Kostenstelle],$B13))</f>
        <v/>
      </c>
      <c r="E13" s="25">
        <f>IF($B13="",0,SUMIFS(tblAuftraege[Kalk.
Einnahmen],tblAuftraege[Datum
Einnahmen],"&gt;="&amp;E$5,tblAuftraege[Datum
Einnahmen],"&lt;"&amp;EDATE(E$5,1),tblAuftraege[Kostenstelle],$B13))</f>
        <v/>
      </c>
      <c r="F13" s="25">
        <f>IF($B13="",0,SUMIFS(tblAuftraege[Kalk.
Einnahmen],tblAuftraege[Datum
Einnahmen],"&gt;="&amp;F$5,tblAuftraege[Datum
Einnahmen],"&lt;"&amp;EDATE(F$5,1),tblAuftraege[Kostenstelle],$B13))</f>
        <v/>
      </c>
      <c r="G13" s="25">
        <f>IF($B13="",0,SUMIFS(tblAuftraege[Kalk.
Einnahmen],tblAuftraege[Datum
Einnahmen],"&gt;="&amp;G$5,tblAuftraege[Datum
Einnahmen],"&lt;"&amp;EDATE(G$5,1),tblAuftraege[Kostenstelle],$B13))</f>
        <v/>
      </c>
      <c r="H13" s="25">
        <f>IF($B13="",0,SUMIFS(tblAuftraege[Kalk.
Einnahmen],tblAuftraege[Datum
Einnahmen],"&gt;="&amp;H$5,tblAuftraege[Datum
Einnahmen],"&lt;"&amp;EDATE(H$5,1),tblAuftraege[Kostenstelle],$B13))</f>
        <v/>
      </c>
      <c r="I13" s="25">
        <f>IF($B13="",0,SUMIFS(tblAuftraege[Kalk.
Einnahmen],tblAuftraege[Datum
Einnahmen],"&gt;="&amp;I$5,tblAuftraege[Datum
Einnahmen],"&lt;"&amp;EDATE(I$5,1),tblAuftraege[Kostenstelle],$B13))</f>
        <v/>
      </c>
      <c r="J13" s="25">
        <f>IF($B13="",0,SUMIFS(tblAuftraege[Kalk.
Einnahmen],tblAuftraege[Datum
Einnahmen],"&gt;="&amp;J$5,tblAuftraege[Datum
Einnahmen],"&lt;"&amp;EDATE(J$5,1),tblAuftraege[Kostenstelle],$B13))</f>
        <v/>
      </c>
      <c r="K13" s="25">
        <f>IF($B13="",0,SUMIFS(tblAuftraege[Kalk.
Einnahmen],tblAuftraege[Datum
Einnahmen],"&gt;="&amp;K$5,tblAuftraege[Datum
Einnahmen],"&lt;"&amp;EDATE(K$5,1),tblAuftraege[Kostenstelle],$B13))</f>
        <v/>
      </c>
      <c r="L13" s="25">
        <f>IF($B13="",0,SUMIFS(tblAuftraege[Kalk.
Einnahmen],tblAuftraege[Datum
Einnahmen],"&gt;="&amp;L$5,tblAuftraege[Datum
Einnahmen],"&lt;"&amp;EDATE(L$5,1),tblAuftraege[Kostenstelle],$B13))</f>
        <v/>
      </c>
      <c r="M13" s="25">
        <f>IF($B13="",0,SUMIFS(tblAuftraege[Kalk.
Einnahmen],tblAuftraege[Datum
Einnahmen],"&gt;="&amp;M$5,tblAuftraege[Datum
Einnahmen],"&lt;"&amp;EDATE(M$5,1),tblAuftraege[Kostenstelle],$B13))</f>
        <v/>
      </c>
      <c r="N13" s="25">
        <f>IF($B13="",0,SUMIFS(tblAuftraege[Kalk.
Einnahmen],tblAuftraege[Datum
Einnahmen],"&gt;="&amp;N$5,tblAuftraege[Datum
Einnahmen],"&lt;"&amp;EDATE(N$5,1),tblAuftraege[Kostenstelle],$B13))</f>
        <v/>
      </c>
      <c r="O13" s="25">
        <f>IF($B13="",0,SUMIFS(tblAuftraege[Kalk.
Einnahmen],tblAuftraege[Datum
Einnahmen],"&gt;="&amp;O$5,tblAuftraege[Datum
Einnahmen],"&lt;"&amp;EDATE(O$5,1),tblAuftraege[Kostenstelle],$B13))</f>
        <v/>
      </c>
      <c r="P13" s="25">
        <f>IF($B13="",0,SUMIFS(tblAuftraege[Kalk.
Einnahmen],tblAuftraege[Datum
Einnahmen],"&gt;="&amp;P$5,tblAuftraege[Datum
Einnahmen],"&lt;"&amp;EDATE(P$5,1),tblAuftraege[Kostenstelle],$B13))</f>
        <v/>
      </c>
      <c r="Q13" s="25">
        <f>IF($B13="",0,SUMIFS(tblAuftraege[Kalk.
Einnahmen],tblAuftraege[Datum
Einnahmen],"&gt;="&amp;Q$5,tblAuftraege[Datum
Einnahmen],"&lt;"&amp;EDATE(Q$5,1),tblAuftraege[Kostenstelle],$B13))</f>
        <v/>
      </c>
      <c r="R13" s="25">
        <f>IF($B13="",0,SUMIFS(tblAuftraege[Kalk.
Einnahmen],tblAuftraege[Datum
Einnahmen],"&gt;="&amp;R$5,tblAuftraege[Datum
Einnahmen],"&lt;"&amp;EDATE(R$5,1),tblAuftraege[Kostenstelle],$B13))</f>
        <v/>
      </c>
      <c r="S13" s="25">
        <f>IF($B13="",0,SUMIFS(tblAuftraege[Kalk.
Einnahmen],tblAuftraege[Datum
Einnahmen],"&gt;="&amp;S$5,tblAuftraege[Datum
Einnahmen],"&lt;"&amp;EDATE(S$5,1),tblAuftraege[Kostenstelle],$B13))</f>
        <v/>
      </c>
      <c r="T13" s="25">
        <f>IF($B13="",0,SUMIFS(tblAuftraege[Kalk.
Einnahmen],tblAuftraege[Datum
Einnahmen],"&gt;="&amp;T$5,tblAuftraege[Datum
Einnahmen],"&lt;"&amp;EDATE(T$5,1),tblAuftraege[Kostenstelle],$B13))</f>
        <v/>
      </c>
      <c r="U13" s="25">
        <f>IF($B13="",0,SUMIFS(tblAuftraege[Kalk.
Einnahmen],tblAuftraege[Datum
Einnahmen],"&gt;="&amp;U$5,tblAuftraege[Datum
Einnahmen],"&lt;"&amp;EDATE(U$5,1),tblAuftraege[Kostenstelle],$B13))</f>
        <v/>
      </c>
      <c r="V13" s="25">
        <f>IF($B13="",0,SUMIFS(tblAuftraege[Kalk.
Einnahmen],tblAuftraege[Datum
Einnahmen],"&gt;="&amp;V$5,tblAuftraege[Datum
Einnahmen],"&lt;"&amp;EDATE(V$5,1),tblAuftraege[Kostenstelle],$B13))</f>
        <v/>
      </c>
      <c r="W13" s="25">
        <f>IF($B13="",0,SUMIFS(tblAuftraege[Kalk.
Einnahmen],tblAuftraege[Datum
Einnahmen],"&gt;="&amp;W$5,tblAuftraege[Datum
Einnahmen],"&lt;"&amp;EDATE(W$5,1),tblAuftraege[Kostenstelle],$B13))</f>
        <v/>
      </c>
      <c r="X13" s="25">
        <f>IF($B13="",0,SUMIFS(tblAuftraege[Kalk.
Einnahmen],tblAuftraege[Datum
Einnahmen],"&gt;="&amp;X$5,tblAuftraege[Datum
Einnahmen],"&lt;"&amp;EDATE(X$5,1),tblAuftraege[Kostenstelle],$B13))</f>
        <v/>
      </c>
      <c r="Y13" s="25">
        <f>IF($B13="",0,SUMIFS(tblAuftraege[Kalk.
Einnahmen],tblAuftraege[Datum
Einnahmen],"&gt;="&amp;Y$5,tblAuftraege[Datum
Einnahmen],"&lt;"&amp;EDATE(Y$5,1),tblAuftraege[Kostenstelle],$B13))</f>
        <v/>
      </c>
      <c r="Z13" s="25">
        <f>IF($B13="",0,SUMIFS(tblAuftraege[Kalk.
Einnahmen],tblAuftraege[Datum
Einnahmen],"&gt;="&amp;Z$5,tblAuftraege[Datum
Einnahmen],"&lt;"&amp;EDATE(Z$5,1),tblAuftraege[Kostenstelle],$B13))</f>
        <v/>
      </c>
      <c r="AA13" s="25">
        <f>IF($B13="",0,SUMIFS(tblAuftraege[Kalk.
Einnahmen],tblAuftraege[Datum
Einnahmen],"&gt;="&amp;AA$5,tblAuftraege[Datum
Einnahmen],"&lt;"&amp;EDATE(AA$5,1),tblAuftraege[Kostenstelle],$B13))</f>
        <v/>
      </c>
      <c r="AB13" s="25">
        <f>IF($B13="",0,SUMIFS(tblAuftraege[Kalk.
Einnahmen],tblAuftraege[Datum
Einnahmen],"&gt;="&amp;AB$5,tblAuftraege[Datum
Einnahmen],"&lt;"&amp;EDATE(AB$5,1),tblAuftraege[Kostenstelle],$B13))</f>
        <v/>
      </c>
      <c r="AC13" s="25">
        <f>IF($B13="",0,SUMIFS(tblAuftraege[Kalk.
Einnahmen],tblAuftraege[Datum
Einnahmen],"&gt;="&amp;AC$5,tblAuftraege[Datum
Einnahmen],"&lt;"&amp;EDATE(AC$5,1),tblAuftraege[Kostenstelle],$B13))</f>
        <v/>
      </c>
      <c r="AD13" s="25">
        <f>IF($B13="",0,SUMIFS(tblAuftraege[Kalk.
Einnahmen],tblAuftraege[Datum
Einnahmen],"&gt;="&amp;AD$5,tblAuftraege[Datum
Einnahmen],"&lt;"&amp;EDATE(AD$5,1),tblAuftraege[Kostenstelle],$B13))</f>
        <v/>
      </c>
      <c r="AE13" s="25">
        <f>IF($B13="",0,SUMIFS(tblAuftraege[Kalk.
Einnahmen],tblAuftraege[Datum
Einnahmen],"&gt;="&amp;AE$5,tblAuftraege[Datum
Einnahmen],"&lt;"&amp;EDATE(AE$5,1),tblAuftraege[Kostenstelle],$B13))</f>
        <v/>
      </c>
      <c r="AF13" s="25">
        <f>IF($B13="",0,SUMIFS(tblAuftraege[Kalk.
Einnahmen],tblAuftraege[Datum
Einnahmen],"&gt;="&amp;AF$5,tblAuftraege[Datum
Einnahmen],"&lt;"&amp;EDATE(AF$5,1),tblAuftraege[Kostenstelle],$B13))</f>
        <v/>
      </c>
      <c r="AG13" s="25">
        <f>IF($B13="",0,SUMIFS(tblAuftraege[Kalk.
Einnahmen],tblAuftraege[Datum
Einnahmen],"&gt;="&amp;AG$5,tblAuftraege[Datum
Einnahmen],"&lt;"&amp;EDATE(AG$5,1),tblAuftraege[Kostenstelle],$B13))</f>
        <v/>
      </c>
      <c r="AH13" s="25">
        <f>IF($B13="",0,SUMIFS(tblAuftraege[Kalk.
Einnahmen],tblAuftraege[Datum
Einnahmen],"&gt;="&amp;AH$5,tblAuftraege[Datum
Einnahmen],"&lt;"&amp;EDATE(AH$5,1),tblAuftraege[Kostenstelle],$B13))</f>
        <v/>
      </c>
      <c r="AI13" s="25">
        <f>IF($B13="",0,SUMIFS(tblAuftraege[Kalk.
Einnahmen],tblAuftraege[Datum
Einnahmen],"&gt;="&amp;AI$5,tblAuftraege[Datum
Einnahmen],"&lt;"&amp;EDATE(AI$5,1),tblAuftraege[Kostenstelle],$B13))</f>
        <v/>
      </c>
      <c r="AJ13" s="25">
        <f>IF($B13="",0,SUMIFS(tblAuftraege[Kalk.
Einnahmen],tblAuftraege[Datum
Einnahmen],"&gt;="&amp;AJ$5,tblAuftraege[Datum
Einnahmen],"&lt;"&amp;EDATE(AJ$5,1),tblAuftraege[Kostenstelle],$B13))</f>
        <v/>
      </c>
      <c r="AK13" s="25">
        <f>IF($B13="",0,SUMIFS(tblAuftraege[Kalk.
Einnahmen],tblAuftraege[Datum
Einnahmen],"&gt;="&amp;AK$5,tblAuftraege[Datum
Einnahmen],"&lt;"&amp;EDATE(AK$5,1),tblAuftraege[Kostenstelle],$B13))</f>
        <v/>
      </c>
      <c r="AL13" s="25">
        <f>IF($B13="",0,SUMIFS(tblAuftraege[Kalk.
Einnahmen],tblAuftraege[Datum
Einnahmen],"&gt;="&amp;AL$5,tblAuftraege[Datum
Einnahmen],"&lt;"&amp;EDATE(AL$5,1),tblAuftraege[Kostenstelle],$B13))</f>
        <v/>
      </c>
      <c r="AM13" s="25">
        <f>IF($B13="",0,SUMIFS(tblAuftraege[Kalk.
Einnahmen],tblAuftraege[Datum
Einnahmen],"&gt;="&amp;AM$5,tblAuftraege[Datum
Einnahmen],"&lt;"&amp;EDATE(AM$5,1),tblAuftraege[Kostenstelle],$B13))</f>
        <v/>
      </c>
      <c r="AN13" s="25">
        <f>IF($B13="",0,SUMIFS(tblAuftraege[Kalk.
Einnahmen],tblAuftraege[Datum
Einnahmen],"&gt;="&amp;AN$5,tblAuftraege[Datum
Einnahmen],"&lt;"&amp;EDATE(AN$5,1),tblAuftraege[Kostenstelle],$B13))</f>
        <v/>
      </c>
      <c r="AO13" s="25">
        <f>IF($B13="",0,SUMIFS(tblAuftraege[Kalk.
Einnahmen],tblAuftraege[Datum
Einnahmen],"&gt;="&amp;AO$5,tblAuftraege[Datum
Einnahmen],"&lt;"&amp;EDATE(AO$5,1),tblAuftraege[Kostenstelle],$B13))</f>
        <v/>
      </c>
      <c r="AP13" s="25">
        <f>IF($B13="",0,SUMIFS(tblAuftraege[Kalk.
Einnahmen],tblAuftraege[Datum
Einnahmen],"&gt;="&amp;AP$5,tblAuftraege[Datum
Einnahmen],"&lt;"&amp;EDATE(AP$5,1),tblAuftraege[Kostenstelle],$B13))</f>
        <v/>
      </c>
      <c r="AQ13" s="25">
        <f>IF($B13="",0,SUMIFS(tblAuftraege[Kalk.
Einnahmen],tblAuftraege[Datum
Einnahmen],"&gt;="&amp;AQ$5,tblAuftraege[Datum
Einnahmen],"&lt;"&amp;EDATE(AQ$5,1),tblAuftraege[Kostenstelle],$B13))</f>
        <v/>
      </c>
      <c r="AR13" s="25">
        <f>IF($B13="",0,SUMIFS(tblAuftraege[Kalk.
Einnahmen],tblAuftraege[Datum
Einnahmen],"&gt;="&amp;AR$5,tblAuftraege[Datum
Einnahmen],"&lt;"&amp;EDATE(AR$5,1),tblAuftraege[Kostenstelle],$B13))</f>
        <v/>
      </c>
      <c r="AS13" s="25">
        <f>IF($B13="",0,SUMIFS(tblAuftraege[Kalk.
Einnahmen],tblAuftraege[Datum
Einnahmen],"&gt;="&amp;AS$5,tblAuftraege[Datum
Einnahmen],"&lt;"&amp;EDATE(AS$5,1),tblAuftraege[Kostenstelle],$B13))</f>
        <v/>
      </c>
      <c r="AT13" s="25">
        <f>IF($B13="",0,SUMIFS(tblAuftraege[Kalk.
Einnahmen],tblAuftraege[Datum
Einnahmen],"&gt;="&amp;AT$5,tblAuftraege[Datum
Einnahmen],"&lt;"&amp;EDATE(AT$5,1),tblAuftraege[Kostenstelle],$B13))</f>
        <v/>
      </c>
      <c r="AU13" s="25">
        <f>IF($B13="",0,SUMIFS(tblAuftraege[Kalk.
Einnahmen],tblAuftraege[Datum
Einnahmen],"&gt;="&amp;AU$5,tblAuftraege[Datum
Einnahmen],"&lt;"&amp;EDATE(AU$5,1),tblAuftraege[Kostenstelle],$B13))</f>
        <v/>
      </c>
      <c r="AV13" s="25">
        <f>IF($B13="",0,SUMIFS(tblAuftraege[Kalk.
Einnahmen],tblAuftraege[Datum
Einnahmen],"&gt;="&amp;AV$5,tblAuftraege[Datum
Einnahmen],"&lt;"&amp;EDATE(AV$5,1),tblAuftraege[Kostenstelle],$B13))</f>
        <v/>
      </c>
      <c r="AW13" s="25">
        <f>IF($B13="",0,SUMIFS(tblAuftraege[Kalk.
Einnahmen],tblAuftraege[Datum
Einnahmen],"&gt;="&amp;AW$5,tblAuftraege[Datum
Einnahmen],"&lt;"&amp;EDATE(AW$5,1),tblAuftraege[Kostenstelle],$B13))</f>
        <v/>
      </c>
      <c r="AX13" s="25">
        <f>IF($B13="",0,SUMIFS(tblAuftraege[Kalk.
Einnahmen],tblAuftraege[Datum
Einnahmen],"&gt;="&amp;AX$5,tblAuftraege[Datum
Einnahmen],"&lt;"&amp;EDATE(AX$5,1),tblAuftraege[Kostenstelle],$B13))</f>
        <v/>
      </c>
      <c r="AY13" s="25">
        <f>IF($B13="",0,SUMIFS(tblAuftraege[Kalk.
Einnahmen],tblAuftraege[Datum
Einnahmen],"&gt;="&amp;AY$5,tblAuftraege[Datum
Einnahmen],"&lt;"&amp;EDATE(AY$5,1),tblAuftraege[Kostenstelle],$B13))</f>
        <v/>
      </c>
      <c r="AZ13" s="25">
        <f>IF($B13="",0,SUMIFS(tblAuftraege[Kalk.
Einnahmen],tblAuftraege[Datum
Einnahmen],"&gt;="&amp;AZ$5,tblAuftraege[Datum
Einnahmen],"&lt;"&amp;EDATE(AZ$5,1),tblAuftraege[Kostenstelle],$B13))</f>
        <v/>
      </c>
      <c r="BA13" s="25">
        <f>IF($B13="",0,SUMIFS(tblAuftraege[Kalk.
Einnahmen],tblAuftraege[Datum
Einnahmen],"&gt;="&amp;BA$5,tblAuftraege[Datum
Einnahmen],"&lt;"&amp;EDATE(BA$5,1),tblAuftraege[Kostenstelle],$B13))</f>
        <v/>
      </c>
      <c r="BB13" s="25">
        <f>IF($B13="",0,SUMIFS(tblAuftraege[Kalk.
Einnahmen],tblAuftraege[Datum
Einnahmen],"&gt;="&amp;BB$5,tblAuftraege[Datum
Einnahmen],"&lt;"&amp;EDATE(BB$5,1),tblAuftraege[Kostenstelle],$B13))</f>
        <v/>
      </c>
      <c r="BC13" s="25">
        <f>IF($B13="",0,SUMIFS(tblAuftraege[Kalk.
Einnahmen],tblAuftraege[Datum
Einnahmen],"&gt;="&amp;BC$5,tblAuftraege[Datum
Einnahmen],"&lt;"&amp;EDATE(BC$5,1),tblAuftraege[Kostenstelle],$B13))</f>
        <v/>
      </c>
      <c r="BD13" s="25">
        <f>IF($B13="",0,SUMIFS(tblAuftraege[Kalk.
Einnahmen],tblAuftraege[Datum
Einnahmen],"&gt;="&amp;BD$5,tblAuftraege[Datum
Einnahmen],"&lt;"&amp;EDATE(BD$5,1),tblAuftraege[Kostenstelle],$B13))</f>
        <v/>
      </c>
      <c r="BE13" s="25">
        <f>SUM(C13:H13)</f>
        <v/>
      </c>
      <c r="BF13" s="25">
        <f>SUM(I13:T13)</f>
        <v/>
      </c>
      <c r="BG13" s="25">
        <f>SUM(U13:AF13)</f>
        <v/>
      </c>
      <c r="BH13" s="25">
        <f>SUM(AG13:AR13)</f>
        <v/>
      </c>
      <c r="BI13" s="25">
        <f>SUM(AS13:BD13)</f>
        <v/>
      </c>
      <c r="BJ13" s="25">
        <f>SUM(C13:BD13)</f>
        <v/>
      </c>
    </row>
    <row r="14">
      <c r="A14" s="34" t="n"/>
      <c r="B14" s="49" t="inlineStr">
        <is>
          <t>87002011 - Bayernwerk</t>
        </is>
      </c>
      <c r="C14" s="25">
        <f>IF($B14="",0,SUMIFS(tblAuftraege[Kalk.
Einnahmen],tblAuftraege[Datum
Einnahmen],"&gt;="&amp;C$5,tblAuftraege[Datum
Einnahmen],"&lt;"&amp;EDATE(C$5,1),tblAuftraege[Kostenstelle],$B14))</f>
        <v/>
      </c>
      <c r="D14" s="25">
        <f>IF($B14="",0,SUMIFS(tblAuftraege[Kalk.
Einnahmen],tblAuftraege[Datum
Einnahmen],"&gt;="&amp;D$5,tblAuftraege[Datum
Einnahmen],"&lt;"&amp;EDATE(D$5,1),tblAuftraege[Kostenstelle],$B14))</f>
        <v/>
      </c>
      <c r="E14" s="25">
        <f>IF($B14="",0,SUMIFS(tblAuftraege[Kalk.
Einnahmen],tblAuftraege[Datum
Einnahmen],"&gt;="&amp;E$5,tblAuftraege[Datum
Einnahmen],"&lt;"&amp;EDATE(E$5,1),tblAuftraege[Kostenstelle],$B14))</f>
        <v/>
      </c>
      <c r="F14" s="25">
        <f>IF($B14="",0,SUMIFS(tblAuftraege[Kalk.
Einnahmen],tblAuftraege[Datum
Einnahmen],"&gt;="&amp;F$5,tblAuftraege[Datum
Einnahmen],"&lt;"&amp;EDATE(F$5,1),tblAuftraege[Kostenstelle],$B14))</f>
        <v/>
      </c>
      <c r="G14" s="25">
        <f>IF($B14="",0,SUMIFS(tblAuftraege[Kalk.
Einnahmen],tblAuftraege[Datum
Einnahmen],"&gt;="&amp;G$5,tblAuftraege[Datum
Einnahmen],"&lt;"&amp;EDATE(G$5,1),tblAuftraege[Kostenstelle],$B14))</f>
        <v/>
      </c>
      <c r="H14" s="25">
        <f>IF($B14="",0,SUMIFS(tblAuftraege[Kalk.
Einnahmen],tblAuftraege[Datum
Einnahmen],"&gt;="&amp;H$5,tblAuftraege[Datum
Einnahmen],"&lt;"&amp;EDATE(H$5,1),tblAuftraege[Kostenstelle],$B14))</f>
        <v/>
      </c>
      <c r="I14" s="25">
        <f>IF($B14="",0,SUMIFS(tblAuftraege[Kalk.
Einnahmen],tblAuftraege[Datum
Einnahmen],"&gt;="&amp;I$5,tblAuftraege[Datum
Einnahmen],"&lt;"&amp;EDATE(I$5,1),tblAuftraege[Kostenstelle],$B14))</f>
        <v/>
      </c>
      <c r="J14" s="25">
        <f>IF($B14="",0,SUMIFS(tblAuftraege[Kalk.
Einnahmen],tblAuftraege[Datum
Einnahmen],"&gt;="&amp;J$5,tblAuftraege[Datum
Einnahmen],"&lt;"&amp;EDATE(J$5,1),tblAuftraege[Kostenstelle],$B14))</f>
        <v/>
      </c>
      <c r="K14" s="25">
        <f>IF($B14="",0,SUMIFS(tblAuftraege[Kalk.
Einnahmen],tblAuftraege[Datum
Einnahmen],"&gt;="&amp;K$5,tblAuftraege[Datum
Einnahmen],"&lt;"&amp;EDATE(K$5,1),tblAuftraege[Kostenstelle],$B14))</f>
        <v/>
      </c>
      <c r="L14" s="25">
        <f>IF($B14="",0,SUMIFS(tblAuftraege[Kalk.
Einnahmen],tblAuftraege[Datum
Einnahmen],"&gt;="&amp;L$5,tblAuftraege[Datum
Einnahmen],"&lt;"&amp;EDATE(L$5,1),tblAuftraege[Kostenstelle],$B14))</f>
        <v/>
      </c>
      <c r="M14" s="25">
        <f>IF($B14="",0,SUMIFS(tblAuftraege[Kalk.
Einnahmen],tblAuftraege[Datum
Einnahmen],"&gt;="&amp;M$5,tblAuftraege[Datum
Einnahmen],"&lt;"&amp;EDATE(M$5,1),tblAuftraege[Kostenstelle],$B14))</f>
        <v/>
      </c>
      <c r="N14" s="25">
        <f>IF($B14="",0,SUMIFS(tblAuftraege[Kalk.
Einnahmen],tblAuftraege[Datum
Einnahmen],"&gt;="&amp;N$5,tblAuftraege[Datum
Einnahmen],"&lt;"&amp;EDATE(N$5,1),tblAuftraege[Kostenstelle],$B14))</f>
        <v/>
      </c>
      <c r="O14" s="25">
        <f>IF($B14="",0,SUMIFS(tblAuftraege[Kalk.
Einnahmen],tblAuftraege[Datum
Einnahmen],"&gt;="&amp;O$5,tblAuftraege[Datum
Einnahmen],"&lt;"&amp;EDATE(O$5,1),tblAuftraege[Kostenstelle],$B14))</f>
        <v/>
      </c>
      <c r="P14" s="25">
        <f>IF($B14="",0,SUMIFS(tblAuftraege[Kalk.
Einnahmen],tblAuftraege[Datum
Einnahmen],"&gt;="&amp;P$5,tblAuftraege[Datum
Einnahmen],"&lt;"&amp;EDATE(P$5,1),tblAuftraege[Kostenstelle],$B14))</f>
        <v/>
      </c>
      <c r="Q14" s="25">
        <f>IF($B14="",0,SUMIFS(tblAuftraege[Kalk.
Einnahmen],tblAuftraege[Datum
Einnahmen],"&gt;="&amp;Q$5,tblAuftraege[Datum
Einnahmen],"&lt;"&amp;EDATE(Q$5,1),tblAuftraege[Kostenstelle],$B14))</f>
        <v/>
      </c>
      <c r="R14" s="25">
        <f>IF($B14="",0,SUMIFS(tblAuftraege[Kalk.
Einnahmen],tblAuftraege[Datum
Einnahmen],"&gt;="&amp;R$5,tblAuftraege[Datum
Einnahmen],"&lt;"&amp;EDATE(R$5,1),tblAuftraege[Kostenstelle],$B14))</f>
        <v/>
      </c>
      <c r="S14" s="25">
        <f>IF($B14="",0,SUMIFS(tblAuftraege[Kalk.
Einnahmen],tblAuftraege[Datum
Einnahmen],"&gt;="&amp;S$5,tblAuftraege[Datum
Einnahmen],"&lt;"&amp;EDATE(S$5,1),tblAuftraege[Kostenstelle],$B14))</f>
        <v/>
      </c>
      <c r="T14" s="25">
        <f>IF($B14="",0,SUMIFS(tblAuftraege[Kalk.
Einnahmen],tblAuftraege[Datum
Einnahmen],"&gt;="&amp;T$5,tblAuftraege[Datum
Einnahmen],"&lt;"&amp;EDATE(T$5,1),tblAuftraege[Kostenstelle],$B14))</f>
        <v/>
      </c>
      <c r="U14" s="25">
        <f>IF($B14="",0,SUMIFS(tblAuftraege[Kalk.
Einnahmen],tblAuftraege[Datum
Einnahmen],"&gt;="&amp;U$5,tblAuftraege[Datum
Einnahmen],"&lt;"&amp;EDATE(U$5,1),tblAuftraege[Kostenstelle],$B14))</f>
        <v/>
      </c>
      <c r="V14" s="25">
        <f>IF($B14="",0,SUMIFS(tblAuftraege[Kalk.
Einnahmen],tblAuftraege[Datum
Einnahmen],"&gt;="&amp;V$5,tblAuftraege[Datum
Einnahmen],"&lt;"&amp;EDATE(V$5,1),tblAuftraege[Kostenstelle],$B14))</f>
        <v/>
      </c>
      <c r="W14" s="25">
        <f>IF($B14="",0,SUMIFS(tblAuftraege[Kalk.
Einnahmen],tblAuftraege[Datum
Einnahmen],"&gt;="&amp;W$5,tblAuftraege[Datum
Einnahmen],"&lt;"&amp;EDATE(W$5,1),tblAuftraege[Kostenstelle],$B14))</f>
        <v/>
      </c>
      <c r="X14" s="25">
        <f>IF($B14="",0,SUMIFS(tblAuftraege[Kalk.
Einnahmen],tblAuftraege[Datum
Einnahmen],"&gt;="&amp;X$5,tblAuftraege[Datum
Einnahmen],"&lt;"&amp;EDATE(X$5,1),tblAuftraege[Kostenstelle],$B14))</f>
        <v/>
      </c>
      <c r="Y14" s="25">
        <f>IF($B14="",0,SUMIFS(tblAuftraege[Kalk.
Einnahmen],tblAuftraege[Datum
Einnahmen],"&gt;="&amp;Y$5,tblAuftraege[Datum
Einnahmen],"&lt;"&amp;EDATE(Y$5,1),tblAuftraege[Kostenstelle],$B14))</f>
        <v/>
      </c>
      <c r="Z14" s="25">
        <f>IF($B14="",0,SUMIFS(tblAuftraege[Kalk.
Einnahmen],tblAuftraege[Datum
Einnahmen],"&gt;="&amp;Z$5,tblAuftraege[Datum
Einnahmen],"&lt;"&amp;EDATE(Z$5,1),tblAuftraege[Kostenstelle],$B14))</f>
        <v/>
      </c>
      <c r="AA14" s="25">
        <f>IF($B14="",0,SUMIFS(tblAuftraege[Kalk.
Einnahmen],tblAuftraege[Datum
Einnahmen],"&gt;="&amp;AA$5,tblAuftraege[Datum
Einnahmen],"&lt;"&amp;EDATE(AA$5,1),tblAuftraege[Kostenstelle],$B14))</f>
        <v/>
      </c>
      <c r="AB14" s="25">
        <f>IF($B14="",0,SUMIFS(tblAuftraege[Kalk.
Einnahmen],tblAuftraege[Datum
Einnahmen],"&gt;="&amp;AB$5,tblAuftraege[Datum
Einnahmen],"&lt;"&amp;EDATE(AB$5,1),tblAuftraege[Kostenstelle],$B14))</f>
        <v/>
      </c>
      <c r="AC14" s="25">
        <f>IF($B14="",0,SUMIFS(tblAuftraege[Kalk.
Einnahmen],tblAuftraege[Datum
Einnahmen],"&gt;="&amp;AC$5,tblAuftraege[Datum
Einnahmen],"&lt;"&amp;EDATE(AC$5,1),tblAuftraege[Kostenstelle],$B14))</f>
        <v/>
      </c>
      <c r="AD14" s="25">
        <f>IF($B14="",0,SUMIFS(tblAuftraege[Kalk.
Einnahmen],tblAuftraege[Datum
Einnahmen],"&gt;="&amp;AD$5,tblAuftraege[Datum
Einnahmen],"&lt;"&amp;EDATE(AD$5,1),tblAuftraege[Kostenstelle],$B14))</f>
        <v/>
      </c>
      <c r="AE14" s="25">
        <f>IF($B14="",0,SUMIFS(tblAuftraege[Kalk.
Einnahmen],tblAuftraege[Datum
Einnahmen],"&gt;="&amp;AE$5,tblAuftraege[Datum
Einnahmen],"&lt;"&amp;EDATE(AE$5,1),tblAuftraege[Kostenstelle],$B14))</f>
        <v/>
      </c>
      <c r="AF14" s="25">
        <f>IF($B14="",0,SUMIFS(tblAuftraege[Kalk.
Einnahmen],tblAuftraege[Datum
Einnahmen],"&gt;="&amp;AF$5,tblAuftraege[Datum
Einnahmen],"&lt;"&amp;EDATE(AF$5,1),tblAuftraege[Kostenstelle],$B14))</f>
        <v/>
      </c>
      <c r="AG14" s="25">
        <f>IF($B14="",0,SUMIFS(tblAuftraege[Kalk.
Einnahmen],tblAuftraege[Datum
Einnahmen],"&gt;="&amp;AG$5,tblAuftraege[Datum
Einnahmen],"&lt;"&amp;EDATE(AG$5,1),tblAuftraege[Kostenstelle],$B14))</f>
        <v/>
      </c>
      <c r="AH14" s="25">
        <f>IF($B14="",0,SUMIFS(tblAuftraege[Kalk.
Einnahmen],tblAuftraege[Datum
Einnahmen],"&gt;="&amp;AH$5,tblAuftraege[Datum
Einnahmen],"&lt;"&amp;EDATE(AH$5,1),tblAuftraege[Kostenstelle],$B14))</f>
        <v/>
      </c>
      <c r="AI14" s="25">
        <f>IF($B14="",0,SUMIFS(tblAuftraege[Kalk.
Einnahmen],tblAuftraege[Datum
Einnahmen],"&gt;="&amp;AI$5,tblAuftraege[Datum
Einnahmen],"&lt;"&amp;EDATE(AI$5,1),tblAuftraege[Kostenstelle],$B14))</f>
        <v/>
      </c>
      <c r="AJ14" s="25">
        <f>IF($B14="",0,SUMIFS(tblAuftraege[Kalk.
Einnahmen],tblAuftraege[Datum
Einnahmen],"&gt;="&amp;AJ$5,tblAuftraege[Datum
Einnahmen],"&lt;"&amp;EDATE(AJ$5,1),tblAuftraege[Kostenstelle],$B14))</f>
        <v/>
      </c>
      <c r="AK14" s="25">
        <f>IF($B14="",0,SUMIFS(tblAuftraege[Kalk.
Einnahmen],tblAuftraege[Datum
Einnahmen],"&gt;="&amp;AK$5,tblAuftraege[Datum
Einnahmen],"&lt;"&amp;EDATE(AK$5,1),tblAuftraege[Kostenstelle],$B14))</f>
        <v/>
      </c>
      <c r="AL14" s="25">
        <f>IF($B14="",0,SUMIFS(tblAuftraege[Kalk.
Einnahmen],tblAuftraege[Datum
Einnahmen],"&gt;="&amp;AL$5,tblAuftraege[Datum
Einnahmen],"&lt;"&amp;EDATE(AL$5,1),tblAuftraege[Kostenstelle],$B14))</f>
        <v/>
      </c>
      <c r="AM14" s="25">
        <f>IF($B14="",0,SUMIFS(tblAuftraege[Kalk.
Einnahmen],tblAuftraege[Datum
Einnahmen],"&gt;="&amp;AM$5,tblAuftraege[Datum
Einnahmen],"&lt;"&amp;EDATE(AM$5,1),tblAuftraege[Kostenstelle],$B14))</f>
        <v/>
      </c>
      <c r="AN14" s="25">
        <f>IF($B14="",0,SUMIFS(tblAuftraege[Kalk.
Einnahmen],tblAuftraege[Datum
Einnahmen],"&gt;="&amp;AN$5,tblAuftraege[Datum
Einnahmen],"&lt;"&amp;EDATE(AN$5,1),tblAuftraege[Kostenstelle],$B14))</f>
        <v/>
      </c>
      <c r="AO14" s="25">
        <f>IF($B14="",0,SUMIFS(tblAuftraege[Kalk.
Einnahmen],tblAuftraege[Datum
Einnahmen],"&gt;="&amp;AO$5,tblAuftraege[Datum
Einnahmen],"&lt;"&amp;EDATE(AO$5,1),tblAuftraege[Kostenstelle],$B14))</f>
        <v/>
      </c>
      <c r="AP14" s="25">
        <f>IF($B14="",0,SUMIFS(tblAuftraege[Kalk.
Einnahmen],tblAuftraege[Datum
Einnahmen],"&gt;="&amp;AP$5,tblAuftraege[Datum
Einnahmen],"&lt;"&amp;EDATE(AP$5,1),tblAuftraege[Kostenstelle],$B14))</f>
        <v/>
      </c>
      <c r="AQ14" s="25">
        <f>IF($B14="",0,SUMIFS(tblAuftraege[Kalk.
Einnahmen],tblAuftraege[Datum
Einnahmen],"&gt;="&amp;AQ$5,tblAuftraege[Datum
Einnahmen],"&lt;"&amp;EDATE(AQ$5,1),tblAuftraege[Kostenstelle],$B14))</f>
        <v/>
      </c>
      <c r="AR14" s="25">
        <f>IF($B14="",0,SUMIFS(tblAuftraege[Kalk.
Einnahmen],tblAuftraege[Datum
Einnahmen],"&gt;="&amp;AR$5,tblAuftraege[Datum
Einnahmen],"&lt;"&amp;EDATE(AR$5,1),tblAuftraege[Kostenstelle],$B14))</f>
        <v/>
      </c>
      <c r="AS14" s="25">
        <f>IF($B14="",0,SUMIFS(tblAuftraege[Kalk.
Einnahmen],tblAuftraege[Datum
Einnahmen],"&gt;="&amp;AS$5,tblAuftraege[Datum
Einnahmen],"&lt;"&amp;EDATE(AS$5,1),tblAuftraege[Kostenstelle],$B14))</f>
        <v/>
      </c>
      <c r="AT14" s="25">
        <f>IF($B14="",0,SUMIFS(tblAuftraege[Kalk.
Einnahmen],tblAuftraege[Datum
Einnahmen],"&gt;="&amp;AT$5,tblAuftraege[Datum
Einnahmen],"&lt;"&amp;EDATE(AT$5,1),tblAuftraege[Kostenstelle],$B14))</f>
        <v/>
      </c>
      <c r="AU14" s="25">
        <f>IF($B14="",0,SUMIFS(tblAuftraege[Kalk.
Einnahmen],tblAuftraege[Datum
Einnahmen],"&gt;="&amp;AU$5,tblAuftraege[Datum
Einnahmen],"&lt;"&amp;EDATE(AU$5,1),tblAuftraege[Kostenstelle],$B14))</f>
        <v/>
      </c>
      <c r="AV14" s="25">
        <f>IF($B14="",0,SUMIFS(tblAuftraege[Kalk.
Einnahmen],tblAuftraege[Datum
Einnahmen],"&gt;="&amp;AV$5,tblAuftraege[Datum
Einnahmen],"&lt;"&amp;EDATE(AV$5,1),tblAuftraege[Kostenstelle],$B14))</f>
        <v/>
      </c>
      <c r="AW14" s="25">
        <f>IF($B14="",0,SUMIFS(tblAuftraege[Kalk.
Einnahmen],tblAuftraege[Datum
Einnahmen],"&gt;="&amp;AW$5,tblAuftraege[Datum
Einnahmen],"&lt;"&amp;EDATE(AW$5,1),tblAuftraege[Kostenstelle],$B14))</f>
        <v/>
      </c>
      <c r="AX14" s="25">
        <f>IF($B14="",0,SUMIFS(tblAuftraege[Kalk.
Einnahmen],tblAuftraege[Datum
Einnahmen],"&gt;="&amp;AX$5,tblAuftraege[Datum
Einnahmen],"&lt;"&amp;EDATE(AX$5,1),tblAuftraege[Kostenstelle],$B14))</f>
        <v/>
      </c>
      <c r="AY14" s="25">
        <f>IF($B14="",0,SUMIFS(tblAuftraege[Kalk.
Einnahmen],tblAuftraege[Datum
Einnahmen],"&gt;="&amp;AY$5,tblAuftraege[Datum
Einnahmen],"&lt;"&amp;EDATE(AY$5,1),tblAuftraege[Kostenstelle],$B14))</f>
        <v/>
      </c>
      <c r="AZ14" s="25">
        <f>IF($B14="",0,SUMIFS(tblAuftraege[Kalk.
Einnahmen],tblAuftraege[Datum
Einnahmen],"&gt;="&amp;AZ$5,tblAuftraege[Datum
Einnahmen],"&lt;"&amp;EDATE(AZ$5,1),tblAuftraege[Kostenstelle],$B14))</f>
        <v/>
      </c>
      <c r="BA14" s="25">
        <f>IF($B14="",0,SUMIFS(tblAuftraege[Kalk.
Einnahmen],tblAuftraege[Datum
Einnahmen],"&gt;="&amp;BA$5,tblAuftraege[Datum
Einnahmen],"&lt;"&amp;EDATE(BA$5,1),tblAuftraege[Kostenstelle],$B14))</f>
        <v/>
      </c>
      <c r="BB14" s="25">
        <f>IF($B14="",0,SUMIFS(tblAuftraege[Kalk.
Einnahmen],tblAuftraege[Datum
Einnahmen],"&gt;="&amp;BB$5,tblAuftraege[Datum
Einnahmen],"&lt;"&amp;EDATE(BB$5,1),tblAuftraege[Kostenstelle],$B14))</f>
        <v/>
      </c>
      <c r="BC14" s="25">
        <f>IF($B14="",0,SUMIFS(tblAuftraege[Kalk.
Einnahmen],tblAuftraege[Datum
Einnahmen],"&gt;="&amp;BC$5,tblAuftraege[Datum
Einnahmen],"&lt;"&amp;EDATE(BC$5,1),tblAuftraege[Kostenstelle],$B14))</f>
        <v/>
      </c>
      <c r="BD14" s="25">
        <f>IF($B14="",0,SUMIFS(tblAuftraege[Kalk.
Einnahmen],tblAuftraege[Datum
Einnahmen],"&gt;="&amp;BD$5,tblAuftraege[Datum
Einnahmen],"&lt;"&amp;EDATE(BD$5,1),tblAuftraege[Kostenstelle],$B14))</f>
        <v/>
      </c>
      <c r="BE14" s="25">
        <f>SUM(C14:H14)</f>
        <v/>
      </c>
      <c r="BF14" s="25">
        <f>SUM(I14:T14)</f>
        <v/>
      </c>
      <c r="BG14" s="25">
        <f>SUM(U14:AF14)</f>
        <v/>
      </c>
      <c r="BH14" s="25">
        <f>SUM(AG14:AR14)</f>
        <v/>
      </c>
      <c r="BI14" s="25">
        <f>SUM(AS14:BD14)</f>
        <v/>
      </c>
      <c r="BJ14" s="25">
        <f>SUM(C14:BD14)</f>
        <v/>
      </c>
    </row>
    <row r="15">
      <c r="A15" s="34" t="n"/>
      <c r="B15" s="49" t="inlineStr">
        <is>
          <t>87003001 - Stadtwerke Rendsburg</t>
        </is>
      </c>
      <c r="C15" s="25">
        <f>IF($B15="",0,SUMIFS(tblAuftraege[Kalk.
Einnahmen],tblAuftraege[Datum
Einnahmen],"&gt;="&amp;C$5,tblAuftraege[Datum
Einnahmen],"&lt;"&amp;EDATE(C$5,1),tblAuftraege[Kostenstelle],$B15))</f>
        <v/>
      </c>
      <c r="D15" s="25">
        <f>IF($B15="",0,SUMIFS(tblAuftraege[Kalk.
Einnahmen],tblAuftraege[Datum
Einnahmen],"&gt;="&amp;D$5,tblAuftraege[Datum
Einnahmen],"&lt;"&amp;EDATE(D$5,1),tblAuftraege[Kostenstelle],$B15))</f>
        <v/>
      </c>
      <c r="E15" s="25">
        <f>IF($B15="",0,SUMIFS(tblAuftraege[Kalk.
Einnahmen],tblAuftraege[Datum
Einnahmen],"&gt;="&amp;E$5,tblAuftraege[Datum
Einnahmen],"&lt;"&amp;EDATE(E$5,1),tblAuftraege[Kostenstelle],$B15))</f>
        <v/>
      </c>
      <c r="F15" s="25">
        <f>IF($B15="",0,SUMIFS(tblAuftraege[Kalk.
Einnahmen],tblAuftraege[Datum
Einnahmen],"&gt;="&amp;F$5,tblAuftraege[Datum
Einnahmen],"&lt;"&amp;EDATE(F$5,1),tblAuftraege[Kostenstelle],$B15))</f>
        <v/>
      </c>
      <c r="G15" s="25">
        <f>IF($B15="",0,SUMIFS(tblAuftraege[Kalk.
Einnahmen],tblAuftraege[Datum
Einnahmen],"&gt;="&amp;G$5,tblAuftraege[Datum
Einnahmen],"&lt;"&amp;EDATE(G$5,1),tblAuftraege[Kostenstelle],$B15))</f>
        <v/>
      </c>
      <c r="H15" s="25">
        <f>IF($B15="",0,SUMIFS(tblAuftraege[Kalk.
Einnahmen],tblAuftraege[Datum
Einnahmen],"&gt;="&amp;H$5,tblAuftraege[Datum
Einnahmen],"&lt;"&amp;EDATE(H$5,1),tblAuftraege[Kostenstelle],$B15))</f>
        <v/>
      </c>
      <c r="I15" s="25">
        <f>IF($B15="",0,SUMIFS(tblAuftraege[Kalk.
Einnahmen],tblAuftraege[Datum
Einnahmen],"&gt;="&amp;I$5,tblAuftraege[Datum
Einnahmen],"&lt;"&amp;EDATE(I$5,1),tblAuftraege[Kostenstelle],$B15))</f>
        <v/>
      </c>
      <c r="J15" s="25">
        <f>IF($B15="",0,SUMIFS(tblAuftraege[Kalk.
Einnahmen],tblAuftraege[Datum
Einnahmen],"&gt;="&amp;J$5,tblAuftraege[Datum
Einnahmen],"&lt;"&amp;EDATE(J$5,1),tblAuftraege[Kostenstelle],$B15))</f>
        <v/>
      </c>
      <c r="K15" s="25">
        <f>IF($B15="",0,SUMIFS(tblAuftraege[Kalk.
Einnahmen],tblAuftraege[Datum
Einnahmen],"&gt;="&amp;K$5,tblAuftraege[Datum
Einnahmen],"&lt;"&amp;EDATE(K$5,1),tblAuftraege[Kostenstelle],$B15))</f>
        <v/>
      </c>
      <c r="L15" s="25">
        <f>IF($B15="",0,SUMIFS(tblAuftraege[Kalk.
Einnahmen],tblAuftraege[Datum
Einnahmen],"&gt;="&amp;L$5,tblAuftraege[Datum
Einnahmen],"&lt;"&amp;EDATE(L$5,1),tblAuftraege[Kostenstelle],$B15))</f>
        <v/>
      </c>
      <c r="M15" s="25">
        <f>IF($B15="",0,SUMIFS(tblAuftraege[Kalk.
Einnahmen],tblAuftraege[Datum
Einnahmen],"&gt;="&amp;M$5,tblAuftraege[Datum
Einnahmen],"&lt;"&amp;EDATE(M$5,1),tblAuftraege[Kostenstelle],$B15))</f>
        <v/>
      </c>
      <c r="N15" s="25">
        <f>IF($B15="",0,SUMIFS(tblAuftraege[Kalk.
Einnahmen],tblAuftraege[Datum
Einnahmen],"&gt;="&amp;N$5,tblAuftraege[Datum
Einnahmen],"&lt;"&amp;EDATE(N$5,1),tblAuftraege[Kostenstelle],$B15))</f>
        <v/>
      </c>
      <c r="O15" s="25">
        <f>IF($B15="",0,SUMIFS(tblAuftraege[Kalk.
Einnahmen],tblAuftraege[Datum
Einnahmen],"&gt;="&amp;O$5,tblAuftraege[Datum
Einnahmen],"&lt;"&amp;EDATE(O$5,1),tblAuftraege[Kostenstelle],$B15))</f>
        <v/>
      </c>
      <c r="P15" s="25">
        <f>IF($B15="",0,SUMIFS(tblAuftraege[Kalk.
Einnahmen],tblAuftraege[Datum
Einnahmen],"&gt;="&amp;P$5,tblAuftraege[Datum
Einnahmen],"&lt;"&amp;EDATE(P$5,1),tblAuftraege[Kostenstelle],$B15))</f>
        <v/>
      </c>
      <c r="Q15" s="25">
        <f>IF($B15="",0,SUMIFS(tblAuftraege[Kalk.
Einnahmen],tblAuftraege[Datum
Einnahmen],"&gt;="&amp;Q$5,tblAuftraege[Datum
Einnahmen],"&lt;"&amp;EDATE(Q$5,1),tblAuftraege[Kostenstelle],$B15))</f>
        <v/>
      </c>
      <c r="R15" s="25">
        <f>IF($B15="",0,SUMIFS(tblAuftraege[Kalk.
Einnahmen],tblAuftraege[Datum
Einnahmen],"&gt;="&amp;R$5,tblAuftraege[Datum
Einnahmen],"&lt;"&amp;EDATE(R$5,1),tblAuftraege[Kostenstelle],$B15))</f>
        <v/>
      </c>
      <c r="S15" s="25">
        <f>IF($B15="",0,SUMIFS(tblAuftraege[Kalk.
Einnahmen],tblAuftraege[Datum
Einnahmen],"&gt;="&amp;S$5,tblAuftraege[Datum
Einnahmen],"&lt;"&amp;EDATE(S$5,1),tblAuftraege[Kostenstelle],$B15))</f>
        <v/>
      </c>
      <c r="T15" s="25">
        <f>IF($B15="",0,SUMIFS(tblAuftraege[Kalk.
Einnahmen],tblAuftraege[Datum
Einnahmen],"&gt;="&amp;T$5,tblAuftraege[Datum
Einnahmen],"&lt;"&amp;EDATE(T$5,1),tblAuftraege[Kostenstelle],$B15))</f>
        <v/>
      </c>
      <c r="U15" s="25">
        <f>IF($B15="",0,SUMIFS(tblAuftraege[Kalk.
Einnahmen],tblAuftraege[Datum
Einnahmen],"&gt;="&amp;U$5,tblAuftraege[Datum
Einnahmen],"&lt;"&amp;EDATE(U$5,1),tblAuftraege[Kostenstelle],$B15))</f>
        <v/>
      </c>
      <c r="V15" s="25">
        <f>IF($B15="",0,SUMIFS(tblAuftraege[Kalk.
Einnahmen],tblAuftraege[Datum
Einnahmen],"&gt;="&amp;V$5,tblAuftraege[Datum
Einnahmen],"&lt;"&amp;EDATE(V$5,1),tblAuftraege[Kostenstelle],$B15))</f>
        <v/>
      </c>
      <c r="W15" s="25">
        <f>IF($B15="",0,SUMIFS(tblAuftraege[Kalk.
Einnahmen],tblAuftraege[Datum
Einnahmen],"&gt;="&amp;W$5,tblAuftraege[Datum
Einnahmen],"&lt;"&amp;EDATE(W$5,1),tblAuftraege[Kostenstelle],$B15))</f>
        <v/>
      </c>
      <c r="X15" s="25">
        <f>IF($B15="",0,SUMIFS(tblAuftraege[Kalk.
Einnahmen],tblAuftraege[Datum
Einnahmen],"&gt;="&amp;X$5,tblAuftraege[Datum
Einnahmen],"&lt;"&amp;EDATE(X$5,1),tblAuftraege[Kostenstelle],$B15))</f>
        <v/>
      </c>
      <c r="Y15" s="25">
        <f>IF($B15="",0,SUMIFS(tblAuftraege[Kalk.
Einnahmen],tblAuftraege[Datum
Einnahmen],"&gt;="&amp;Y$5,tblAuftraege[Datum
Einnahmen],"&lt;"&amp;EDATE(Y$5,1),tblAuftraege[Kostenstelle],$B15))</f>
        <v/>
      </c>
      <c r="Z15" s="25">
        <f>IF($B15="",0,SUMIFS(tblAuftraege[Kalk.
Einnahmen],tblAuftraege[Datum
Einnahmen],"&gt;="&amp;Z$5,tblAuftraege[Datum
Einnahmen],"&lt;"&amp;EDATE(Z$5,1),tblAuftraege[Kostenstelle],$B15))</f>
        <v/>
      </c>
      <c r="AA15" s="25">
        <f>IF($B15="",0,SUMIFS(tblAuftraege[Kalk.
Einnahmen],tblAuftraege[Datum
Einnahmen],"&gt;="&amp;AA$5,tblAuftraege[Datum
Einnahmen],"&lt;"&amp;EDATE(AA$5,1),tblAuftraege[Kostenstelle],$B15))</f>
        <v/>
      </c>
      <c r="AB15" s="25">
        <f>IF($B15="",0,SUMIFS(tblAuftraege[Kalk.
Einnahmen],tblAuftraege[Datum
Einnahmen],"&gt;="&amp;AB$5,tblAuftraege[Datum
Einnahmen],"&lt;"&amp;EDATE(AB$5,1),tblAuftraege[Kostenstelle],$B15))</f>
        <v/>
      </c>
      <c r="AC15" s="25">
        <f>IF($B15="",0,SUMIFS(tblAuftraege[Kalk.
Einnahmen],tblAuftraege[Datum
Einnahmen],"&gt;="&amp;AC$5,tblAuftraege[Datum
Einnahmen],"&lt;"&amp;EDATE(AC$5,1),tblAuftraege[Kostenstelle],$B15))</f>
        <v/>
      </c>
      <c r="AD15" s="25">
        <f>IF($B15="",0,SUMIFS(tblAuftraege[Kalk.
Einnahmen],tblAuftraege[Datum
Einnahmen],"&gt;="&amp;AD$5,tblAuftraege[Datum
Einnahmen],"&lt;"&amp;EDATE(AD$5,1),tblAuftraege[Kostenstelle],$B15))</f>
        <v/>
      </c>
      <c r="AE15" s="25">
        <f>IF($B15="",0,SUMIFS(tblAuftraege[Kalk.
Einnahmen],tblAuftraege[Datum
Einnahmen],"&gt;="&amp;AE$5,tblAuftraege[Datum
Einnahmen],"&lt;"&amp;EDATE(AE$5,1),tblAuftraege[Kostenstelle],$B15))</f>
        <v/>
      </c>
      <c r="AF15" s="25">
        <f>IF($B15="",0,SUMIFS(tblAuftraege[Kalk.
Einnahmen],tblAuftraege[Datum
Einnahmen],"&gt;="&amp;AF$5,tblAuftraege[Datum
Einnahmen],"&lt;"&amp;EDATE(AF$5,1),tblAuftraege[Kostenstelle],$B15))</f>
        <v/>
      </c>
      <c r="AG15" s="25">
        <f>IF($B15="",0,SUMIFS(tblAuftraege[Kalk.
Einnahmen],tblAuftraege[Datum
Einnahmen],"&gt;="&amp;AG$5,tblAuftraege[Datum
Einnahmen],"&lt;"&amp;EDATE(AG$5,1),tblAuftraege[Kostenstelle],$B15))</f>
        <v/>
      </c>
      <c r="AH15" s="25">
        <f>IF($B15="",0,SUMIFS(tblAuftraege[Kalk.
Einnahmen],tblAuftraege[Datum
Einnahmen],"&gt;="&amp;AH$5,tblAuftraege[Datum
Einnahmen],"&lt;"&amp;EDATE(AH$5,1),tblAuftraege[Kostenstelle],$B15))</f>
        <v/>
      </c>
      <c r="AI15" s="25">
        <f>IF($B15="",0,SUMIFS(tblAuftraege[Kalk.
Einnahmen],tblAuftraege[Datum
Einnahmen],"&gt;="&amp;AI$5,tblAuftraege[Datum
Einnahmen],"&lt;"&amp;EDATE(AI$5,1),tblAuftraege[Kostenstelle],$B15))</f>
        <v/>
      </c>
      <c r="AJ15" s="25">
        <f>IF($B15="",0,SUMIFS(tblAuftraege[Kalk.
Einnahmen],tblAuftraege[Datum
Einnahmen],"&gt;="&amp;AJ$5,tblAuftraege[Datum
Einnahmen],"&lt;"&amp;EDATE(AJ$5,1),tblAuftraege[Kostenstelle],$B15))</f>
        <v/>
      </c>
      <c r="AK15" s="25">
        <f>IF($B15="",0,SUMIFS(tblAuftraege[Kalk.
Einnahmen],tblAuftraege[Datum
Einnahmen],"&gt;="&amp;AK$5,tblAuftraege[Datum
Einnahmen],"&lt;"&amp;EDATE(AK$5,1),tblAuftraege[Kostenstelle],$B15))</f>
        <v/>
      </c>
      <c r="AL15" s="25">
        <f>IF($B15="",0,SUMIFS(tblAuftraege[Kalk.
Einnahmen],tblAuftraege[Datum
Einnahmen],"&gt;="&amp;AL$5,tblAuftraege[Datum
Einnahmen],"&lt;"&amp;EDATE(AL$5,1),tblAuftraege[Kostenstelle],$B15))</f>
        <v/>
      </c>
      <c r="AM15" s="25">
        <f>IF($B15="",0,SUMIFS(tblAuftraege[Kalk.
Einnahmen],tblAuftraege[Datum
Einnahmen],"&gt;="&amp;AM$5,tblAuftraege[Datum
Einnahmen],"&lt;"&amp;EDATE(AM$5,1),tblAuftraege[Kostenstelle],$B15))</f>
        <v/>
      </c>
      <c r="AN15" s="25">
        <f>IF($B15="",0,SUMIFS(tblAuftraege[Kalk.
Einnahmen],tblAuftraege[Datum
Einnahmen],"&gt;="&amp;AN$5,tblAuftraege[Datum
Einnahmen],"&lt;"&amp;EDATE(AN$5,1),tblAuftraege[Kostenstelle],$B15))</f>
        <v/>
      </c>
      <c r="AO15" s="25">
        <f>IF($B15="",0,SUMIFS(tblAuftraege[Kalk.
Einnahmen],tblAuftraege[Datum
Einnahmen],"&gt;="&amp;AO$5,tblAuftraege[Datum
Einnahmen],"&lt;"&amp;EDATE(AO$5,1),tblAuftraege[Kostenstelle],$B15))</f>
        <v/>
      </c>
      <c r="AP15" s="25">
        <f>IF($B15="",0,SUMIFS(tblAuftraege[Kalk.
Einnahmen],tblAuftraege[Datum
Einnahmen],"&gt;="&amp;AP$5,tblAuftraege[Datum
Einnahmen],"&lt;"&amp;EDATE(AP$5,1),tblAuftraege[Kostenstelle],$B15))</f>
        <v/>
      </c>
      <c r="AQ15" s="25">
        <f>IF($B15="",0,SUMIFS(tblAuftraege[Kalk.
Einnahmen],tblAuftraege[Datum
Einnahmen],"&gt;="&amp;AQ$5,tblAuftraege[Datum
Einnahmen],"&lt;"&amp;EDATE(AQ$5,1),tblAuftraege[Kostenstelle],$B15))</f>
        <v/>
      </c>
      <c r="AR15" s="25">
        <f>IF($B15="",0,SUMIFS(tblAuftraege[Kalk.
Einnahmen],tblAuftraege[Datum
Einnahmen],"&gt;="&amp;AR$5,tblAuftraege[Datum
Einnahmen],"&lt;"&amp;EDATE(AR$5,1),tblAuftraege[Kostenstelle],$B15))</f>
        <v/>
      </c>
      <c r="AS15" s="25">
        <f>IF($B15="",0,SUMIFS(tblAuftraege[Kalk.
Einnahmen],tblAuftraege[Datum
Einnahmen],"&gt;="&amp;AS$5,tblAuftraege[Datum
Einnahmen],"&lt;"&amp;EDATE(AS$5,1),tblAuftraege[Kostenstelle],$B15))</f>
        <v/>
      </c>
      <c r="AT15" s="25">
        <f>IF($B15="",0,SUMIFS(tblAuftraege[Kalk.
Einnahmen],tblAuftraege[Datum
Einnahmen],"&gt;="&amp;AT$5,tblAuftraege[Datum
Einnahmen],"&lt;"&amp;EDATE(AT$5,1),tblAuftraege[Kostenstelle],$B15))</f>
        <v/>
      </c>
      <c r="AU15" s="25">
        <f>IF($B15="",0,SUMIFS(tblAuftraege[Kalk.
Einnahmen],tblAuftraege[Datum
Einnahmen],"&gt;="&amp;AU$5,tblAuftraege[Datum
Einnahmen],"&lt;"&amp;EDATE(AU$5,1),tblAuftraege[Kostenstelle],$B15))</f>
        <v/>
      </c>
      <c r="AV15" s="25">
        <f>IF($B15="",0,SUMIFS(tblAuftraege[Kalk.
Einnahmen],tblAuftraege[Datum
Einnahmen],"&gt;="&amp;AV$5,tblAuftraege[Datum
Einnahmen],"&lt;"&amp;EDATE(AV$5,1),tblAuftraege[Kostenstelle],$B15))</f>
        <v/>
      </c>
      <c r="AW15" s="25">
        <f>IF($B15="",0,SUMIFS(tblAuftraege[Kalk.
Einnahmen],tblAuftraege[Datum
Einnahmen],"&gt;="&amp;AW$5,tblAuftraege[Datum
Einnahmen],"&lt;"&amp;EDATE(AW$5,1),tblAuftraege[Kostenstelle],$B15))</f>
        <v/>
      </c>
      <c r="AX15" s="25">
        <f>IF($B15="",0,SUMIFS(tblAuftraege[Kalk.
Einnahmen],tblAuftraege[Datum
Einnahmen],"&gt;="&amp;AX$5,tblAuftraege[Datum
Einnahmen],"&lt;"&amp;EDATE(AX$5,1),tblAuftraege[Kostenstelle],$B15))</f>
        <v/>
      </c>
      <c r="AY15" s="25">
        <f>IF($B15="",0,SUMIFS(tblAuftraege[Kalk.
Einnahmen],tblAuftraege[Datum
Einnahmen],"&gt;="&amp;AY$5,tblAuftraege[Datum
Einnahmen],"&lt;"&amp;EDATE(AY$5,1),tblAuftraege[Kostenstelle],$B15))</f>
        <v/>
      </c>
      <c r="AZ15" s="25">
        <f>IF($B15="",0,SUMIFS(tblAuftraege[Kalk.
Einnahmen],tblAuftraege[Datum
Einnahmen],"&gt;="&amp;AZ$5,tblAuftraege[Datum
Einnahmen],"&lt;"&amp;EDATE(AZ$5,1),tblAuftraege[Kostenstelle],$B15))</f>
        <v/>
      </c>
      <c r="BA15" s="25">
        <f>IF($B15="",0,SUMIFS(tblAuftraege[Kalk.
Einnahmen],tblAuftraege[Datum
Einnahmen],"&gt;="&amp;BA$5,tblAuftraege[Datum
Einnahmen],"&lt;"&amp;EDATE(BA$5,1),tblAuftraege[Kostenstelle],$B15))</f>
        <v/>
      </c>
      <c r="BB15" s="25">
        <f>IF($B15="",0,SUMIFS(tblAuftraege[Kalk.
Einnahmen],tblAuftraege[Datum
Einnahmen],"&gt;="&amp;BB$5,tblAuftraege[Datum
Einnahmen],"&lt;"&amp;EDATE(BB$5,1),tblAuftraege[Kostenstelle],$B15))</f>
        <v/>
      </c>
      <c r="BC15" s="25">
        <f>IF($B15="",0,SUMIFS(tblAuftraege[Kalk.
Einnahmen],tblAuftraege[Datum
Einnahmen],"&gt;="&amp;BC$5,tblAuftraege[Datum
Einnahmen],"&lt;"&amp;EDATE(BC$5,1),tblAuftraege[Kostenstelle],$B15))</f>
        <v/>
      </c>
      <c r="BD15" s="25">
        <f>IF($B15="",0,SUMIFS(tblAuftraege[Kalk.
Einnahmen],tblAuftraege[Datum
Einnahmen],"&gt;="&amp;BD$5,tblAuftraege[Datum
Einnahmen],"&lt;"&amp;EDATE(BD$5,1),tblAuftraege[Kostenstelle],$B15))</f>
        <v/>
      </c>
      <c r="BE15" s="25">
        <f>SUM(C15:H15)</f>
        <v/>
      </c>
      <c r="BF15" s="25">
        <f>SUM(I15:T15)</f>
        <v/>
      </c>
      <c r="BG15" s="25">
        <f>SUM(U15:AF15)</f>
        <v/>
      </c>
      <c r="BH15" s="25">
        <f>SUM(AG15:AR15)</f>
        <v/>
      </c>
      <c r="BI15" s="25">
        <f>SUM(AS15:BD15)</f>
        <v/>
      </c>
      <c r="BJ15" s="25">
        <f>SUM(C15:BD15)</f>
        <v/>
      </c>
    </row>
    <row r="16">
      <c r="A16" s="34" t="n"/>
      <c r="B16" s="49" t="inlineStr">
        <is>
          <t>87004001 - Dataport</t>
        </is>
      </c>
      <c r="C16" s="25">
        <f>IF($B16="",0,SUMIFS(tblAuftraege[Kalk.
Einnahmen],tblAuftraege[Datum
Einnahmen],"&gt;="&amp;C$5,tblAuftraege[Datum
Einnahmen],"&lt;"&amp;EDATE(C$5,1),tblAuftraege[Kostenstelle],$B16))</f>
        <v/>
      </c>
      <c r="D16" s="25">
        <f>IF($B16="",0,SUMIFS(tblAuftraege[Kalk.
Einnahmen],tblAuftraege[Datum
Einnahmen],"&gt;="&amp;D$5,tblAuftraege[Datum
Einnahmen],"&lt;"&amp;EDATE(D$5,1),tblAuftraege[Kostenstelle],$B16))</f>
        <v/>
      </c>
      <c r="E16" s="25">
        <f>IF($B16="",0,SUMIFS(tblAuftraege[Kalk.
Einnahmen],tblAuftraege[Datum
Einnahmen],"&gt;="&amp;E$5,tblAuftraege[Datum
Einnahmen],"&lt;"&amp;EDATE(E$5,1),tblAuftraege[Kostenstelle],$B16))</f>
        <v/>
      </c>
      <c r="F16" s="25">
        <f>IF($B16="",0,SUMIFS(tblAuftraege[Kalk.
Einnahmen],tblAuftraege[Datum
Einnahmen],"&gt;="&amp;F$5,tblAuftraege[Datum
Einnahmen],"&lt;"&amp;EDATE(F$5,1),tblAuftraege[Kostenstelle],$B16))</f>
        <v/>
      </c>
      <c r="G16" s="25">
        <f>IF($B16="",0,SUMIFS(tblAuftraege[Kalk.
Einnahmen],tblAuftraege[Datum
Einnahmen],"&gt;="&amp;G$5,tblAuftraege[Datum
Einnahmen],"&lt;"&amp;EDATE(G$5,1),tblAuftraege[Kostenstelle],$B16))</f>
        <v/>
      </c>
      <c r="H16" s="25">
        <f>IF($B16="",0,SUMIFS(tblAuftraege[Kalk.
Einnahmen],tblAuftraege[Datum
Einnahmen],"&gt;="&amp;H$5,tblAuftraege[Datum
Einnahmen],"&lt;"&amp;EDATE(H$5,1),tblAuftraege[Kostenstelle],$B16))</f>
        <v/>
      </c>
      <c r="I16" s="25">
        <f>IF($B16="",0,SUMIFS(tblAuftraege[Kalk.
Einnahmen],tblAuftraege[Datum
Einnahmen],"&gt;="&amp;I$5,tblAuftraege[Datum
Einnahmen],"&lt;"&amp;EDATE(I$5,1),tblAuftraege[Kostenstelle],$B16))</f>
        <v/>
      </c>
      <c r="J16" s="25">
        <f>IF($B16="",0,SUMIFS(tblAuftraege[Kalk.
Einnahmen],tblAuftraege[Datum
Einnahmen],"&gt;="&amp;J$5,tblAuftraege[Datum
Einnahmen],"&lt;"&amp;EDATE(J$5,1),tblAuftraege[Kostenstelle],$B16))</f>
        <v/>
      </c>
      <c r="K16" s="25">
        <f>IF($B16="",0,SUMIFS(tblAuftraege[Kalk.
Einnahmen],tblAuftraege[Datum
Einnahmen],"&gt;="&amp;K$5,tblAuftraege[Datum
Einnahmen],"&lt;"&amp;EDATE(K$5,1),tblAuftraege[Kostenstelle],$B16))</f>
        <v/>
      </c>
      <c r="L16" s="25">
        <f>IF($B16="",0,SUMIFS(tblAuftraege[Kalk.
Einnahmen],tblAuftraege[Datum
Einnahmen],"&gt;="&amp;L$5,tblAuftraege[Datum
Einnahmen],"&lt;"&amp;EDATE(L$5,1),tblAuftraege[Kostenstelle],$B16))</f>
        <v/>
      </c>
      <c r="M16" s="25">
        <f>IF($B16="",0,SUMIFS(tblAuftraege[Kalk.
Einnahmen],tblAuftraege[Datum
Einnahmen],"&gt;="&amp;M$5,tblAuftraege[Datum
Einnahmen],"&lt;"&amp;EDATE(M$5,1),tblAuftraege[Kostenstelle],$B16))</f>
        <v/>
      </c>
      <c r="N16" s="25">
        <f>IF($B16="",0,SUMIFS(tblAuftraege[Kalk.
Einnahmen],tblAuftraege[Datum
Einnahmen],"&gt;="&amp;N$5,tblAuftraege[Datum
Einnahmen],"&lt;"&amp;EDATE(N$5,1),tblAuftraege[Kostenstelle],$B16))</f>
        <v/>
      </c>
      <c r="O16" s="25">
        <f>IF($B16="",0,SUMIFS(tblAuftraege[Kalk.
Einnahmen],tblAuftraege[Datum
Einnahmen],"&gt;="&amp;O$5,tblAuftraege[Datum
Einnahmen],"&lt;"&amp;EDATE(O$5,1),tblAuftraege[Kostenstelle],$B16))</f>
        <v/>
      </c>
      <c r="P16" s="25">
        <f>IF($B16="",0,SUMIFS(tblAuftraege[Kalk.
Einnahmen],tblAuftraege[Datum
Einnahmen],"&gt;="&amp;P$5,tblAuftraege[Datum
Einnahmen],"&lt;"&amp;EDATE(P$5,1),tblAuftraege[Kostenstelle],$B16))</f>
        <v/>
      </c>
      <c r="Q16" s="25">
        <f>IF($B16="",0,SUMIFS(tblAuftraege[Kalk.
Einnahmen],tblAuftraege[Datum
Einnahmen],"&gt;="&amp;Q$5,tblAuftraege[Datum
Einnahmen],"&lt;"&amp;EDATE(Q$5,1),tblAuftraege[Kostenstelle],$B16))</f>
        <v/>
      </c>
      <c r="R16" s="25">
        <f>IF($B16="",0,SUMIFS(tblAuftraege[Kalk.
Einnahmen],tblAuftraege[Datum
Einnahmen],"&gt;="&amp;R$5,tblAuftraege[Datum
Einnahmen],"&lt;"&amp;EDATE(R$5,1),tblAuftraege[Kostenstelle],$B16))</f>
        <v/>
      </c>
      <c r="S16" s="25">
        <f>IF($B16="",0,SUMIFS(tblAuftraege[Kalk.
Einnahmen],tblAuftraege[Datum
Einnahmen],"&gt;="&amp;S$5,tblAuftraege[Datum
Einnahmen],"&lt;"&amp;EDATE(S$5,1),tblAuftraege[Kostenstelle],$B16))</f>
        <v/>
      </c>
      <c r="T16" s="25">
        <f>IF($B16="",0,SUMIFS(tblAuftraege[Kalk.
Einnahmen],tblAuftraege[Datum
Einnahmen],"&gt;="&amp;T$5,tblAuftraege[Datum
Einnahmen],"&lt;"&amp;EDATE(T$5,1),tblAuftraege[Kostenstelle],$B16))</f>
        <v/>
      </c>
      <c r="U16" s="25">
        <f>IF($B16="",0,SUMIFS(tblAuftraege[Kalk.
Einnahmen],tblAuftraege[Datum
Einnahmen],"&gt;="&amp;U$5,tblAuftraege[Datum
Einnahmen],"&lt;"&amp;EDATE(U$5,1),tblAuftraege[Kostenstelle],$B16))</f>
        <v/>
      </c>
      <c r="V16" s="25">
        <f>IF($B16="",0,SUMIFS(tblAuftraege[Kalk.
Einnahmen],tblAuftraege[Datum
Einnahmen],"&gt;="&amp;V$5,tblAuftraege[Datum
Einnahmen],"&lt;"&amp;EDATE(V$5,1),tblAuftraege[Kostenstelle],$B16))</f>
        <v/>
      </c>
      <c r="W16" s="25">
        <f>IF($B16="",0,SUMIFS(tblAuftraege[Kalk.
Einnahmen],tblAuftraege[Datum
Einnahmen],"&gt;="&amp;W$5,tblAuftraege[Datum
Einnahmen],"&lt;"&amp;EDATE(W$5,1),tblAuftraege[Kostenstelle],$B16))</f>
        <v/>
      </c>
      <c r="X16" s="25">
        <f>IF($B16="",0,SUMIFS(tblAuftraege[Kalk.
Einnahmen],tblAuftraege[Datum
Einnahmen],"&gt;="&amp;X$5,tblAuftraege[Datum
Einnahmen],"&lt;"&amp;EDATE(X$5,1),tblAuftraege[Kostenstelle],$B16))</f>
        <v/>
      </c>
      <c r="Y16" s="25">
        <f>IF($B16="",0,SUMIFS(tblAuftraege[Kalk.
Einnahmen],tblAuftraege[Datum
Einnahmen],"&gt;="&amp;Y$5,tblAuftraege[Datum
Einnahmen],"&lt;"&amp;EDATE(Y$5,1),tblAuftraege[Kostenstelle],$B16))</f>
        <v/>
      </c>
      <c r="Z16" s="25">
        <f>IF($B16="",0,SUMIFS(tblAuftraege[Kalk.
Einnahmen],tblAuftraege[Datum
Einnahmen],"&gt;="&amp;Z$5,tblAuftraege[Datum
Einnahmen],"&lt;"&amp;EDATE(Z$5,1),tblAuftraege[Kostenstelle],$B16))</f>
        <v/>
      </c>
      <c r="AA16" s="25">
        <f>IF($B16="",0,SUMIFS(tblAuftraege[Kalk.
Einnahmen],tblAuftraege[Datum
Einnahmen],"&gt;="&amp;AA$5,tblAuftraege[Datum
Einnahmen],"&lt;"&amp;EDATE(AA$5,1),tblAuftraege[Kostenstelle],$B16))</f>
        <v/>
      </c>
      <c r="AB16" s="25">
        <f>IF($B16="",0,SUMIFS(tblAuftraege[Kalk.
Einnahmen],tblAuftraege[Datum
Einnahmen],"&gt;="&amp;AB$5,tblAuftraege[Datum
Einnahmen],"&lt;"&amp;EDATE(AB$5,1),tblAuftraege[Kostenstelle],$B16))</f>
        <v/>
      </c>
      <c r="AC16" s="25">
        <f>IF($B16="",0,SUMIFS(tblAuftraege[Kalk.
Einnahmen],tblAuftraege[Datum
Einnahmen],"&gt;="&amp;AC$5,tblAuftraege[Datum
Einnahmen],"&lt;"&amp;EDATE(AC$5,1),tblAuftraege[Kostenstelle],$B16))</f>
        <v/>
      </c>
      <c r="AD16" s="25">
        <f>IF($B16="",0,SUMIFS(tblAuftraege[Kalk.
Einnahmen],tblAuftraege[Datum
Einnahmen],"&gt;="&amp;AD$5,tblAuftraege[Datum
Einnahmen],"&lt;"&amp;EDATE(AD$5,1),tblAuftraege[Kostenstelle],$B16))</f>
        <v/>
      </c>
      <c r="AE16" s="25">
        <f>IF($B16="",0,SUMIFS(tblAuftraege[Kalk.
Einnahmen],tblAuftraege[Datum
Einnahmen],"&gt;="&amp;AE$5,tblAuftraege[Datum
Einnahmen],"&lt;"&amp;EDATE(AE$5,1),tblAuftraege[Kostenstelle],$B16))</f>
        <v/>
      </c>
      <c r="AF16" s="25">
        <f>IF($B16="",0,SUMIFS(tblAuftraege[Kalk.
Einnahmen],tblAuftraege[Datum
Einnahmen],"&gt;="&amp;AF$5,tblAuftraege[Datum
Einnahmen],"&lt;"&amp;EDATE(AF$5,1),tblAuftraege[Kostenstelle],$B16))</f>
        <v/>
      </c>
      <c r="AG16" s="25">
        <f>IF($B16="",0,SUMIFS(tblAuftraege[Kalk.
Einnahmen],tblAuftraege[Datum
Einnahmen],"&gt;="&amp;AG$5,tblAuftraege[Datum
Einnahmen],"&lt;"&amp;EDATE(AG$5,1),tblAuftraege[Kostenstelle],$B16))</f>
        <v/>
      </c>
      <c r="AH16" s="25">
        <f>IF($B16="",0,SUMIFS(tblAuftraege[Kalk.
Einnahmen],tblAuftraege[Datum
Einnahmen],"&gt;="&amp;AH$5,tblAuftraege[Datum
Einnahmen],"&lt;"&amp;EDATE(AH$5,1),tblAuftraege[Kostenstelle],$B16))</f>
        <v/>
      </c>
      <c r="AI16" s="25">
        <f>IF($B16="",0,SUMIFS(tblAuftraege[Kalk.
Einnahmen],tblAuftraege[Datum
Einnahmen],"&gt;="&amp;AI$5,tblAuftraege[Datum
Einnahmen],"&lt;"&amp;EDATE(AI$5,1),tblAuftraege[Kostenstelle],$B16))</f>
        <v/>
      </c>
      <c r="AJ16" s="25">
        <f>IF($B16="",0,SUMIFS(tblAuftraege[Kalk.
Einnahmen],tblAuftraege[Datum
Einnahmen],"&gt;="&amp;AJ$5,tblAuftraege[Datum
Einnahmen],"&lt;"&amp;EDATE(AJ$5,1),tblAuftraege[Kostenstelle],$B16))</f>
        <v/>
      </c>
      <c r="AK16" s="25">
        <f>IF($B16="",0,SUMIFS(tblAuftraege[Kalk.
Einnahmen],tblAuftraege[Datum
Einnahmen],"&gt;="&amp;AK$5,tblAuftraege[Datum
Einnahmen],"&lt;"&amp;EDATE(AK$5,1),tblAuftraege[Kostenstelle],$B16))</f>
        <v/>
      </c>
      <c r="AL16" s="25">
        <f>IF($B16="",0,SUMIFS(tblAuftraege[Kalk.
Einnahmen],tblAuftraege[Datum
Einnahmen],"&gt;="&amp;AL$5,tblAuftraege[Datum
Einnahmen],"&lt;"&amp;EDATE(AL$5,1),tblAuftraege[Kostenstelle],$B16))</f>
        <v/>
      </c>
      <c r="AM16" s="25">
        <f>IF($B16="",0,SUMIFS(tblAuftraege[Kalk.
Einnahmen],tblAuftraege[Datum
Einnahmen],"&gt;="&amp;AM$5,tblAuftraege[Datum
Einnahmen],"&lt;"&amp;EDATE(AM$5,1),tblAuftraege[Kostenstelle],$B16))</f>
        <v/>
      </c>
      <c r="AN16" s="25">
        <f>IF($B16="",0,SUMIFS(tblAuftraege[Kalk.
Einnahmen],tblAuftraege[Datum
Einnahmen],"&gt;="&amp;AN$5,tblAuftraege[Datum
Einnahmen],"&lt;"&amp;EDATE(AN$5,1),tblAuftraege[Kostenstelle],$B16))</f>
        <v/>
      </c>
      <c r="AO16" s="25">
        <f>IF($B16="",0,SUMIFS(tblAuftraege[Kalk.
Einnahmen],tblAuftraege[Datum
Einnahmen],"&gt;="&amp;AO$5,tblAuftraege[Datum
Einnahmen],"&lt;"&amp;EDATE(AO$5,1),tblAuftraege[Kostenstelle],$B16))</f>
        <v/>
      </c>
      <c r="AP16" s="25">
        <f>IF($B16="",0,SUMIFS(tblAuftraege[Kalk.
Einnahmen],tblAuftraege[Datum
Einnahmen],"&gt;="&amp;AP$5,tblAuftraege[Datum
Einnahmen],"&lt;"&amp;EDATE(AP$5,1),tblAuftraege[Kostenstelle],$B16))</f>
        <v/>
      </c>
      <c r="AQ16" s="25">
        <f>IF($B16="",0,SUMIFS(tblAuftraege[Kalk.
Einnahmen],tblAuftraege[Datum
Einnahmen],"&gt;="&amp;AQ$5,tblAuftraege[Datum
Einnahmen],"&lt;"&amp;EDATE(AQ$5,1),tblAuftraege[Kostenstelle],$B16))</f>
        <v/>
      </c>
      <c r="AR16" s="25">
        <f>IF($B16="",0,SUMIFS(tblAuftraege[Kalk.
Einnahmen],tblAuftraege[Datum
Einnahmen],"&gt;="&amp;AR$5,tblAuftraege[Datum
Einnahmen],"&lt;"&amp;EDATE(AR$5,1),tblAuftraege[Kostenstelle],$B16))</f>
        <v/>
      </c>
      <c r="AS16" s="25">
        <f>IF($B16="",0,SUMIFS(tblAuftraege[Kalk.
Einnahmen],tblAuftraege[Datum
Einnahmen],"&gt;="&amp;AS$5,tblAuftraege[Datum
Einnahmen],"&lt;"&amp;EDATE(AS$5,1),tblAuftraege[Kostenstelle],$B16))</f>
        <v/>
      </c>
      <c r="AT16" s="25">
        <f>IF($B16="",0,SUMIFS(tblAuftraege[Kalk.
Einnahmen],tblAuftraege[Datum
Einnahmen],"&gt;="&amp;AT$5,tblAuftraege[Datum
Einnahmen],"&lt;"&amp;EDATE(AT$5,1),tblAuftraege[Kostenstelle],$B16))</f>
        <v/>
      </c>
      <c r="AU16" s="25">
        <f>IF($B16="",0,SUMIFS(tblAuftraege[Kalk.
Einnahmen],tblAuftraege[Datum
Einnahmen],"&gt;="&amp;AU$5,tblAuftraege[Datum
Einnahmen],"&lt;"&amp;EDATE(AU$5,1),tblAuftraege[Kostenstelle],$B16))</f>
        <v/>
      </c>
      <c r="AV16" s="25">
        <f>IF($B16="",0,SUMIFS(tblAuftraege[Kalk.
Einnahmen],tblAuftraege[Datum
Einnahmen],"&gt;="&amp;AV$5,tblAuftraege[Datum
Einnahmen],"&lt;"&amp;EDATE(AV$5,1),tblAuftraege[Kostenstelle],$B16))</f>
        <v/>
      </c>
      <c r="AW16" s="25">
        <f>IF($B16="",0,SUMIFS(tblAuftraege[Kalk.
Einnahmen],tblAuftraege[Datum
Einnahmen],"&gt;="&amp;AW$5,tblAuftraege[Datum
Einnahmen],"&lt;"&amp;EDATE(AW$5,1),tblAuftraege[Kostenstelle],$B16))</f>
        <v/>
      </c>
      <c r="AX16" s="25">
        <f>IF($B16="",0,SUMIFS(tblAuftraege[Kalk.
Einnahmen],tblAuftraege[Datum
Einnahmen],"&gt;="&amp;AX$5,tblAuftraege[Datum
Einnahmen],"&lt;"&amp;EDATE(AX$5,1),tblAuftraege[Kostenstelle],$B16))</f>
        <v/>
      </c>
      <c r="AY16" s="25">
        <f>IF($B16="",0,SUMIFS(tblAuftraege[Kalk.
Einnahmen],tblAuftraege[Datum
Einnahmen],"&gt;="&amp;AY$5,tblAuftraege[Datum
Einnahmen],"&lt;"&amp;EDATE(AY$5,1),tblAuftraege[Kostenstelle],$B16))</f>
        <v/>
      </c>
      <c r="AZ16" s="25">
        <f>IF($B16="",0,SUMIFS(tblAuftraege[Kalk.
Einnahmen],tblAuftraege[Datum
Einnahmen],"&gt;="&amp;AZ$5,tblAuftraege[Datum
Einnahmen],"&lt;"&amp;EDATE(AZ$5,1),tblAuftraege[Kostenstelle],$B16))</f>
        <v/>
      </c>
      <c r="BA16" s="25">
        <f>IF($B16="",0,SUMIFS(tblAuftraege[Kalk.
Einnahmen],tblAuftraege[Datum
Einnahmen],"&gt;="&amp;BA$5,tblAuftraege[Datum
Einnahmen],"&lt;"&amp;EDATE(BA$5,1),tblAuftraege[Kostenstelle],$B16))</f>
        <v/>
      </c>
      <c r="BB16" s="25">
        <f>IF($B16="",0,SUMIFS(tblAuftraege[Kalk.
Einnahmen],tblAuftraege[Datum
Einnahmen],"&gt;="&amp;BB$5,tblAuftraege[Datum
Einnahmen],"&lt;"&amp;EDATE(BB$5,1),tblAuftraege[Kostenstelle],$B16))</f>
        <v/>
      </c>
      <c r="BC16" s="25">
        <f>IF($B16="",0,SUMIFS(tblAuftraege[Kalk.
Einnahmen],tblAuftraege[Datum
Einnahmen],"&gt;="&amp;BC$5,tblAuftraege[Datum
Einnahmen],"&lt;"&amp;EDATE(BC$5,1),tblAuftraege[Kostenstelle],$B16))</f>
        <v/>
      </c>
      <c r="BD16" s="25">
        <f>IF($B16="",0,SUMIFS(tblAuftraege[Kalk.
Einnahmen],tblAuftraege[Datum
Einnahmen],"&gt;="&amp;BD$5,tblAuftraege[Datum
Einnahmen],"&lt;"&amp;EDATE(BD$5,1),tblAuftraege[Kostenstelle],$B16))</f>
        <v/>
      </c>
      <c r="BE16" s="25">
        <f>SUM(C16:H16)</f>
        <v/>
      </c>
      <c r="BF16" s="25">
        <f>SUM(I16:T16)</f>
        <v/>
      </c>
      <c r="BG16" s="25">
        <f>SUM(U16:AF16)</f>
        <v/>
      </c>
      <c r="BH16" s="25">
        <f>SUM(AG16:AR16)</f>
        <v/>
      </c>
      <c r="BI16" s="25">
        <f>SUM(AS16:BD16)</f>
        <v/>
      </c>
      <c r="BJ16" s="25">
        <f>SUM(C16:BD16)</f>
        <v/>
      </c>
    </row>
    <row r="17">
      <c r="A17" s="34" t="n"/>
      <c r="B17" s="49" t="inlineStr">
        <is>
          <t>87004006 - Autostrom PKW</t>
        </is>
      </c>
      <c r="C17" s="25">
        <f>IF($B17="",0,SUMIFS(tblAuftraege[Kalk.
Einnahmen],tblAuftraege[Datum
Einnahmen],"&gt;="&amp;C$5,tblAuftraege[Datum
Einnahmen],"&lt;"&amp;EDATE(C$5,1),tblAuftraege[Kostenstelle],$B17))</f>
        <v/>
      </c>
      <c r="D17" s="25">
        <f>IF($B17="",0,SUMIFS(tblAuftraege[Kalk.
Einnahmen],tblAuftraege[Datum
Einnahmen],"&gt;="&amp;D$5,tblAuftraege[Datum
Einnahmen],"&lt;"&amp;EDATE(D$5,1),tblAuftraege[Kostenstelle],$B17))</f>
        <v/>
      </c>
      <c r="E17" s="25">
        <f>IF($B17="",0,SUMIFS(tblAuftraege[Kalk.
Einnahmen],tblAuftraege[Datum
Einnahmen],"&gt;="&amp;E$5,tblAuftraege[Datum
Einnahmen],"&lt;"&amp;EDATE(E$5,1),tblAuftraege[Kostenstelle],$B17))</f>
        <v/>
      </c>
      <c r="F17" s="25">
        <f>IF($B17="",0,SUMIFS(tblAuftraege[Kalk.
Einnahmen],tblAuftraege[Datum
Einnahmen],"&gt;="&amp;F$5,tblAuftraege[Datum
Einnahmen],"&lt;"&amp;EDATE(F$5,1),tblAuftraege[Kostenstelle],$B17))</f>
        <v/>
      </c>
      <c r="G17" s="25">
        <f>IF($B17="",0,SUMIFS(tblAuftraege[Kalk.
Einnahmen],tblAuftraege[Datum
Einnahmen],"&gt;="&amp;G$5,tblAuftraege[Datum
Einnahmen],"&lt;"&amp;EDATE(G$5,1),tblAuftraege[Kostenstelle],$B17))</f>
        <v/>
      </c>
      <c r="H17" s="25">
        <f>IF($B17="",0,SUMIFS(tblAuftraege[Kalk.
Einnahmen],tblAuftraege[Datum
Einnahmen],"&gt;="&amp;H$5,tblAuftraege[Datum
Einnahmen],"&lt;"&amp;EDATE(H$5,1),tblAuftraege[Kostenstelle],$B17))</f>
        <v/>
      </c>
      <c r="I17" s="25">
        <f>IF($B17="",0,SUMIFS(tblAuftraege[Kalk.
Einnahmen],tblAuftraege[Datum
Einnahmen],"&gt;="&amp;I$5,tblAuftraege[Datum
Einnahmen],"&lt;"&amp;EDATE(I$5,1),tblAuftraege[Kostenstelle],$B17))</f>
        <v/>
      </c>
      <c r="J17" s="25">
        <f>IF($B17="",0,SUMIFS(tblAuftraege[Kalk.
Einnahmen],tblAuftraege[Datum
Einnahmen],"&gt;="&amp;J$5,tblAuftraege[Datum
Einnahmen],"&lt;"&amp;EDATE(J$5,1),tblAuftraege[Kostenstelle],$B17))</f>
        <v/>
      </c>
      <c r="K17" s="25">
        <f>IF($B17="",0,SUMIFS(tblAuftraege[Kalk.
Einnahmen],tblAuftraege[Datum
Einnahmen],"&gt;="&amp;K$5,tblAuftraege[Datum
Einnahmen],"&lt;"&amp;EDATE(K$5,1),tblAuftraege[Kostenstelle],$B17))</f>
        <v/>
      </c>
      <c r="L17" s="25">
        <f>IF($B17="",0,SUMIFS(tblAuftraege[Kalk.
Einnahmen],tblAuftraege[Datum
Einnahmen],"&gt;="&amp;L$5,tblAuftraege[Datum
Einnahmen],"&lt;"&amp;EDATE(L$5,1),tblAuftraege[Kostenstelle],$B17))</f>
        <v/>
      </c>
      <c r="M17" s="25">
        <f>IF($B17="",0,SUMIFS(tblAuftraege[Kalk.
Einnahmen],tblAuftraege[Datum
Einnahmen],"&gt;="&amp;M$5,tblAuftraege[Datum
Einnahmen],"&lt;"&amp;EDATE(M$5,1),tblAuftraege[Kostenstelle],$B17))</f>
        <v/>
      </c>
      <c r="N17" s="25">
        <f>IF($B17="",0,SUMIFS(tblAuftraege[Kalk.
Einnahmen],tblAuftraege[Datum
Einnahmen],"&gt;="&amp;N$5,tblAuftraege[Datum
Einnahmen],"&lt;"&amp;EDATE(N$5,1),tblAuftraege[Kostenstelle],$B17))</f>
        <v/>
      </c>
      <c r="O17" s="25">
        <f>IF($B17="",0,SUMIFS(tblAuftraege[Kalk.
Einnahmen],tblAuftraege[Datum
Einnahmen],"&gt;="&amp;O$5,tblAuftraege[Datum
Einnahmen],"&lt;"&amp;EDATE(O$5,1),tblAuftraege[Kostenstelle],$B17))</f>
        <v/>
      </c>
      <c r="P17" s="25">
        <f>IF($B17="",0,SUMIFS(tblAuftraege[Kalk.
Einnahmen],tblAuftraege[Datum
Einnahmen],"&gt;="&amp;P$5,tblAuftraege[Datum
Einnahmen],"&lt;"&amp;EDATE(P$5,1),tblAuftraege[Kostenstelle],$B17))</f>
        <v/>
      </c>
      <c r="Q17" s="25">
        <f>IF($B17="",0,SUMIFS(tblAuftraege[Kalk.
Einnahmen],tblAuftraege[Datum
Einnahmen],"&gt;="&amp;Q$5,tblAuftraege[Datum
Einnahmen],"&lt;"&amp;EDATE(Q$5,1),tblAuftraege[Kostenstelle],$B17))</f>
        <v/>
      </c>
      <c r="R17" s="25">
        <f>IF($B17="",0,SUMIFS(tblAuftraege[Kalk.
Einnahmen],tblAuftraege[Datum
Einnahmen],"&gt;="&amp;R$5,tblAuftraege[Datum
Einnahmen],"&lt;"&amp;EDATE(R$5,1),tblAuftraege[Kostenstelle],$B17))</f>
        <v/>
      </c>
      <c r="S17" s="25">
        <f>IF($B17="",0,SUMIFS(tblAuftraege[Kalk.
Einnahmen],tblAuftraege[Datum
Einnahmen],"&gt;="&amp;S$5,tblAuftraege[Datum
Einnahmen],"&lt;"&amp;EDATE(S$5,1),tblAuftraege[Kostenstelle],$B17))</f>
        <v/>
      </c>
      <c r="T17" s="25">
        <f>IF($B17="",0,SUMIFS(tblAuftraege[Kalk.
Einnahmen],tblAuftraege[Datum
Einnahmen],"&gt;="&amp;T$5,tblAuftraege[Datum
Einnahmen],"&lt;"&amp;EDATE(T$5,1),tblAuftraege[Kostenstelle],$B17))</f>
        <v/>
      </c>
      <c r="U17" s="25">
        <f>IF($B17="",0,SUMIFS(tblAuftraege[Kalk.
Einnahmen],tblAuftraege[Datum
Einnahmen],"&gt;="&amp;U$5,tblAuftraege[Datum
Einnahmen],"&lt;"&amp;EDATE(U$5,1),tblAuftraege[Kostenstelle],$B17))</f>
        <v/>
      </c>
      <c r="V17" s="25">
        <f>IF($B17="",0,SUMIFS(tblAuftraege[Kalk.
Einnahmen],tblAuftraege[Datum
Einnahmen],"&gt;="&amp;V$5,tblAuftraege[Datum
Einnahmen],"&lt;"&amp;EDATE(V$5,1),tblAuftraege[Kostenstelle],$B17))</f>
        <v/>
      </c>
      <c r="W17" s="25">
        <f>IF($B17="",0,SUMIFS(tblAuftraege[Kalk.
Einnahmen],tblAuftraege[Datum
Einnahmen],"&gt;="&amp;W$5,tblAuftraege[Datum
Einnahmen],"&lt;"&amp;EDATE(W$5,1),tblAuftraege[Kostenstelle],$B17))</f>
        <v/>
      </c>
      <c r="X17" s="25">
        <f>IF($B17="",0,SUMIFS(tblAuftraege[Kalk.
Einnahmen],tblAuftraege[Datum
Einnahmen],"&gt;="&amp;X$5,tblAuftraege[Datum
Einnahmen],"&lt;"&amp;EDATE(X$5,1),tblAuftraege[Kostenstelle],$B17))</f>
        <v/>
      </c>
      <c r="Y17" s="25">
        <f>IF($B17="",0,SUMIFS(tblAuftraege[Kalk.
Einnahmen],tblAuftraege[Datum
Einnahmen],"&gt;="&amp;Y$5,tblAuftraege[Datum
Einnahmen],"&lt;"&amp;EDATE(Y$5,1),tblAuftraege[Kostenstelle],$B17))</f>
        <v/>
      </c>
      <c r="Z17" s="25">
        <f>IF($B17="",0,SUMIFS(tblAuftraege[Kalk.
Einnahmen],tblAuftraege[Datum
Einnahmen],"&gt;="&amp;Z$5,tblAuftraege[Datum
Einnahmen],"&lt;"&amp;EDATE(Z$5,1),tblAuftraege[Kostenstelle],$B17))</f>
        <v/>
      </c>
      <c r="AA17" s="25">
        <f>IF($B17="",0,SUMIFS(tblAuftraege[Kalk.
Einnahmen],tblAuftraege[Datum
Einnahmen],"&gt;="&amp;AA$5,tblAuftraege[Datum
Einnahmen],"&lt;"&amp;EDATE(AA$5,1),tblAuftraege[Kostenstelle],$B17))</f>
        <v/>
      </c>
      <c r="AB17" s="25">
        <f>IF($B17="",0,SUMIFS(tblAuftraege[Kalk.
Einnahmen],tblAuftraege[Datum
Einnahmen],"&gt;="&amp;AB$5,tblAuftraege[Datum
Einnahmen],"&lt;"&amp;EDATE(AB$5,1),tblAuftraege[Kostenstelle],$B17))</f>
        <v/>
      </c>
      <c r="AC17" s="25">
        <f>IF($B17="",0,SUMIFS(tblAuftraege[Kalk.
Einnahmen],tblAuftraege[Datum
Einnahmen],"&gt;="&amp;AC$5,tblAuftraege[Datum
Einnahmen],"&lt;"&amp;EDATE(AC$5,1),tblAuftraege[Kostenstelle],$B17))</f>
        <v/>
      </c>
      <c r="AD17" s="25">
        <f>IF($B17="",0,SUMIFS(tblAuftraege[Kalk.
Einnahmen],tblAuftraege[Datum
Einnahmen],"&gt;="&amp;AD$5,tblAuftraege[Datum
Einnahmen],"&lt;"&amp;EDATE(AD$5,1),tblAuftraege[Kostenstelle],$B17))</f>
        <v/>
      </c>
      <c r="AE17" s="25">
        <f>IF($B17="",0,SUMIFS(tblAuftraege[Kalk.
Einnahmen],tblAuftraege[Datum
Einnahmen],"&gt;="&amp;AE$5,tblAuftraege[Datum
Einnahmen],"&lt;"&amp;EDATE(AE$5,1),tblAuftraege[Kostenstelle],$B17))</f>
        <v/>
      </c>
      <c r="AF17" s="25">
        <f>IF($B17="",0,SUMIFS(tblAuftraege[Kalk.
Einnahmen],tblAuftraege[Datum
Einnahmen],"&gt;="&amp;AF$5,tblAuftraege[Datum
Einnahmen],"&lt;"&amp;EDATE(AF$5,1),tblAuftraege[Kostenstelle],$B17))</f>
        <v/>
      </c>
      <c r="AG17" s="25">
        <f>IF($B17="",0,SUMIFS(tblAuftraege[Kalk.
Einnahmen],tblAuftraege[Datum
Einnahmen],"&gt;="&amp;AG$5,tblAuftraege[Datum
Einnahmen],"&lt;"&amp;EDATE(AG$5,1),tblAuftraege[Kostenstelle],$B17))</f>
        <v/>
      </c>
      <c r="AH17" s="25">
        <f>IF($B17="",0,SUMIFS(tblAuftraege[Kalk.
Einnahmen],tblAuftraege[Datum
Einnahmen],"&gt;="&amp;AH$5,tblAuftraege[Datum
Einnahmen],"&lt;"&amp;EDATE(AH$5,1),tblAuftraege[Kostenstelle],$B17))</f>
        <v/>
      </c>
      <c r="AI17" s="25">
        <f>IF($B17="",0,SUMIFS(tblAuftraege[Kalk.
Einnahmen],tblAuftraege[Datum
Einnahmen],"&gt;="&amp;AI$5,tblAuftraege[Datum
Einnahmen],"&lt;"&amp;EDATE(AI$5,1),tblAuftraege[Kostenstelle],$B17))</f>
        <v/>
      </c>
      <c r="AJ17" s="25">
        <f>IF($B17="",0,SUMIFS(tblAuftraege[Kalk.
Einnahmen],tblAuftraege[Datum
Einnahmen],"&gt;="&amp;AJ$5,tblAuftraege[Datum
Einnahmen],"&lt;"&amp;EDATE(AJ$5,1),tblAuftraege[Kostenstelle],$B17))</f>
        <v/>
      </c>
      <c r="AK17" s="25">
        <f>IF($B17="",0,SUMIFS(tblAuftraege[Kalk.
Einnahmen],tblAuftraege[Datum
Einnahmen],"&gt;="&amp;AK$5,tblAuftraege[Datum
Einnahmen],"&lt;"&amp;EDATE(AK$5,1),tblAuftraege[Kostenstelle],$B17))</f>
        <v/>
      </c>
      <c r="AL17" s="25">
        <f>IF($B17="",0,SUMIFS(tblAuftraege[Kalk.
Einnahmen],tblAuftraege[Datum
Einnahmen],"&gt;="&amp;AL$5,tblAuftraege[Datum
Einnahmen],"&lt;"&amp;EDATE(AL$5,1),tblAuftraege[Kostenstelle],$B17))</f>
        <v/>
      </c>
      <c r="AM17" s="25">
        <f>IF($B17="",0,SUMIFS(tblAuftraege[Kalk.
Einnahmen],tblAuftraege[Datum
Einnahmen],"&gt;="&amp;AM$5,tblAuftraege[Datum
Einnahmen],"&lt;"&amp;EDATE(AM$5,1),tblAuftraege[Kostenstelle],$B17))</f>
        <v/>
      </c>
      <c r="AN17" s="25">
        <f>IF($B17="",0,SUMIFS(tblAuftraege[Kalk.
Einnahmen],tblAuftraege[Datum
Einnahmen],"&gt;="&amp;AN$5,tblAuftraege[Datum
Einnahmen],"&lt;"&amp;EDATE(AN$5,1),tblAuftraege[Kostenstelle],$B17))</f>
        <v/>
      </c>
      <c r="AO17" s="25">
        <f>IF($B17="",0,SUMIFS(tblAuftraege[Kalk.
Einnahmen],tblAuftraege[Datum
Einnahmen],"&gt;="&amp;AO$5,tblAuftraege[Datum
Einnahmen],"&lt;"&amp;EDATE(AO$5,1),tblAuftraege[Kostenstelle],$B17))</f>
        <v/>
      </c>
      <c r="AP17" s="25">
        <f>IF($B17="",0,SUMIFS(tblAuftraege[Kalk.
Einnahmen],tblAuftraege[Datum
Einnahmen],"&gt;="&amp;AP$5,tblAuftraege[Datum
Einnahmen],"&lt;"&amp;EDATE(AP$5,1),tblAuftraege[Kostenstelle],$B17))</f>
        <v/>
      </c>
      <c r="AQ17" s="25">
        <f>IF($B17="",0,SUMIFS(tblAuftraege[Kalk.
Einnahmen],tblAuftraege[Datum
Einnahmen],"&gt;="&amp;AQ$5,tblAuftraege[Datum
Einnahmen],"&lt;"&amp;EDATE(AQ$5,1),tblAuftraege[Kostenstelle],$B17))</f>
        <v/>
      </c>
      <c r="AR17" s="25">
        <f>IF($B17="",0,SUMIFS(tblAuftraege[Kalk.
Einnahmen],tblAuftraege[Datum
Einnahmen],"&gt;="&amp;AR$5,tblAuftraege[Datum
Einnahmen],"&lt;"&amp;EDATE(AR$5,1),tblAuftraege[Kostenstelle],$B17))</f>
        <v/>
      </c>
      <c r="AS17" s="25">
        <f>IF($B17="",0,SUMIFS(tblAuftraege[Kalk.
Einnahmen],tblAuftraege[Datum
Einnahmen],"&gt;="&amp;AS$5,tblAuftraege[Datum
Einnahmen],"&lt;"&amp;EDATE(AS$5,1),tblAuftraege[Kostenstelle],$B17))</f>
        <v/>
      </c>
      <c r="AT17" s="25">
        <f>IF($B17="",0,SUMIFS(tblAuftraege[Kalk.
Einnahmen],tblAuftraege[Datum
Einnahmen],"&gt;="&amp;AT$5,tblAuftraege[Datum
Einnahmen],"&lt;"&amp;EDATE(AT$5,1),tblAuftraege[Kostenstelle],$B17))</f>
        <v/>
      </c>
      <c r="AU17" s="25">
        <f>IF($B17="",0,SUMIFS(tblAuftraege[Kalk.
Einnahmen],tblAuftraege[Datum
Einnahmen],"&gt;="&amp;AU$5,tblAuftraege[Datum
Einnahmen],"&lt;"&amp;EDATE(AU$5,1),tblAuftraege[Kostenstelle],$B17))</f>
        <v/>
      </c>
      <c r="AV17" s="25">
        <f>IF($B17="",0,SUMIFS(tblAuftraege[Kalk.
Einnahmen],tblAuftraege[Datum
Einnahmen],"&gt;="&amp;AV$5,tblAuftraege[Datum
Einnahmen],"&lt;"&amp;EDATE(AV$5,1),tblAuftraege[Kostenstelle],$B17))</f>
        <v/>
      </c>
      <c r="AW17" s="25">
        <f>IF($B17="",0,SUMIFS(tblAuftraege[Kalk.
Einnahmen],tblAuftraege[Datum
Einnahmen],"&gt;="&amp;AW$5,tblAuftraege[Datum
Einnahmen],"&lt;"&amp;EDATE(AW$5,1),tblAuftraege[Kostenstelle],$B17))</f>
        <v/>
      </c>
      <c r="AX17" s="25">
        <f>IF($B17="",0,SUMIFS(tblAuftraege[Kalk.
Einnahmen],tblAuftraege[Datum
Einnahmen],"&gt;="&amp;AX$5,tblAuftraege[Datum
Einnahmen],"&lt;"&amp;EDATE(AX$5,1),tblAuftraege[Kostenstelle],$B17))</f>
        <v/>
      </c>
      <c r="AY17" s="25">
        <f>IF($B17="",0,SUMIFS(tblAuftraege[Kalk.
Einnahmen],tblAuftraege[Datum
Einnahmen],"&gt;="&amp;AY$5,tblAuftraege[Datum
Einnahmen],"&lt;"&amp;EDATE(AY$5,1),tblAuftraege[Kostenstelle],$B17))</f>
        <v/>
      </c>
      <c r="AZ17" s="25">
        <f>IF($B17="",0,SUMIFS(tblAuftraege[Kalk.
Einnahmen],tblAuftraege[Datum
Einnahmen],"&gt;="&amp;AZ$5,tblAuftraege[Datum
Einnahmen],"&lt;"&amp;EDATE(AZ$5,1),tblAuftraege[Kostenstelle],$B17))</f>
        <v/>
      </c>
      <c r="BA17" s="25">
        <f>IF($B17="",0,SUMIFS(tblAuftraege[Kalk.
Einnahmen],tblAuftraege[Datum
Einnahmen],"&gt;="&amp;BA$5,tblAuftraege[Datum
Einnahmen],"&lt;"&amp;EDATE(BA$5,1),tblAuftraege[Kostenstelle],$B17))</f>
        <v/>
      </c>
      <c r="BB17" s="25">
        <f>IF($B17="",0,SUMIFS(tblAuftraege[Kalk.
Einnahmen],tblAuftraege[Datum
Einnahmen],"&gt;="&amp;BB$5,tblAuftraege[Datum
Einnahmen],"&lt;"&amp;EDATE(BB$5,1),tblAuftraege[Kostenstelle],$B17))</f>
        <v/>
      </c>
      <c r="BC17" s="25">
        <f>IF($B17="",0,SUMIFS(tblAuftraege[Kalk.
Einnahmen],tblAuftraege[Datum
Einnahmen],"&gt;="&amp;BC$5,tblAuftraege[Datum
Einnahmen],"&lt;"&amp;EDATE(BC$5,1),tblAuftraege[Kostenstelle],$B17))</f>
        <v/>
      </c>
      <c r="BD17" s="25">
        <f>IF($B17="",0,SUMIFS(tblAuftraege[Kalk.
Einnahmen],tblAuftraege[Datum
Einnahmen],"&gt;="&amp;BD$5,tblAuftraege[Datum
Einnahmen],"&lt;"&amp;EDATE(BD$5,1),tblAuftraege[Kostenstelle],$B17))</f>
        <v/>
      </c>
      <c r="BE17" s="25">
        <f>SUM(C17:H17)</f>
        <v/>
      </c>
      <c r="BF17" s="25">
        <f>SUM(I17:T17)</f>
        <v/>
      </c>
      <c r="BG17" s="25">
        <f>SUM(U17:AF17)</f>
        <v/>
      </c>
      <c r="BH17" s="25">
        <f>SUM(AG17:AR17)</f>
        <v/>
      </c>
      <c r="BI17" s="25">
        <f>SUM(AS17:BD17)</f>
        <v/>
      </c>
      <c r="BJ17" s="25">
        <f>SUM(C17:BD17)</f>
        <v/>
      </c>
    </row>
    <row r="18">
      <c r="A18" s="34" t="n"/>
      <c r="B18" s="49" t="inlineStr">
        <is>
          <t>87105002 - eWerk Sachsenwald</t>
        </is>
      </c>
      <c r="C18" s="25">
        <f>IF($B18="",0,SUMIFS(tblAuftraege[Kalk.
Einnahmen],tblAuftraege[Datum
Einnahmen],"&gt;="&amp;C$5,tblAuftraege[Datum
Einnahmen],"&lt;"&amp;EDATE(C$5,1),tblAuftraege[Kostenstelle],$B18))</f>
        <v/>
      </c>
      <c r="D18" s="25">
        <f>IF($B18="",0,SUMIFS(tblAuftraege[Kalk.
Einnahmen],tblAuftraege[Datum
Einnahmen],"&gt;="&amp;D$5,tblAuftraege[Datum
Einnahmen],"&lt;"&amp;EDATE(D$5,1),tblAuftraege[Kostenstelle],$B18))</f>
        <v/>
      </c>
      <c r="E18" s="25">
        <f>IF($B18="",0,SUMIFS(tblAuftraege[Kalk.
Einnahmen],tblAuftraege[Datum
Einnahmen],"&gt;="&amp;E$5,tblAuftraege[Datum
Einnahmen],"&lt;"&amp;EDATE(E$5,1),tblAuftraege[Kostenstelle],$B18))</f>
        <v/>
      </c>
      <c r="F18" s="25">
        <f>IF($B18="",0,SUMIFS(tblAuftraege[Kalk.
Einnahmen],tblAuftraege[Datum
Einnahmen],"&gt;="&amp;F$5,tblAuftraege[Datum
Einnahmen],"&lt;"&amp;EDATE(F$5,1),tblAuftraege[Kostenstelle],$B18))</f>
        <v/>
      </c>
      <c r="G18" s="25">
        <f>IF($B18="",0,SUMIFS(tblAuftraege[Kalk.
Einnahmen],tblAuftraege[Datum
Einnahmen],"&gt;="&amp;G$5,tblAuftraege[Datum
Einnahmen],"&lt;"&amp;EDATE(G$5,1),tblAuftraege[Kostenstelle],$B18))</f>
        <v/>
      </c>
      <c r="H18" s="25">
        <f>IF($B18="",0,SUMIFS(tblAuftraege[Kalk.
Einnahmen],tblAuftraege[Datum
Einnahmen],"&gt;="&amp;H$5,tblAuftraege[Datum
Einnahmen],"&lt;"&amp;EDATE(H$5,1),tblAuftraege[Kostenstelle],$B18))</f>
        <v/>
      </c>
      <c r="I18" s="25">
        <f>IF($B18="",0,SUMIFS(tblAuftraege[Kalk.
Einnahmen],tblAuftraege[Datum
Einnahmen],"&gt;="&amp;I$5,tblAuftraege[Datum
Einnahmen],"&lt;"&amp;EDATE(I$5,1),tblAuftraege[Kostenstelle],$B18))</f>
        <v/>
      </c>
      <c r="J18" s="25">
        <f>IF($B18="",0,SUMIFS(tblAuftraege[Kalk.
Einnahmen],tblAuftraege[Datum
Einnahmen],"&gt;="&amp;J$5,tblAuftraege[Datum
Einnahmen],"&lt;"&amp;EDATE(J$5,1),tblAuftraege[Kostenstelle],$B18))</f>
        <v/>
      </c>
      <c r="K18" s="25">
        <f>IF($B18="",0,SUMIFS(tblAuftraege[Kalk.
Einnahmen],tblAuftraege[Datum
Einnahmen],"&gt;="&amp;K$5,tblAuftraege[Datum
Einnahmen],"&lt;"&amp;EDATE(K$5,1),tblAuftraege[Kostenstelle],$B18))</f>
        <v/>
      </c>
      <c r="L18" s="25">
        <f>IF($B18="",0,SUMIFS(tblAuftraege[Kalk.
Einnahmen],tblAuftraege[Datum
Einnahmen],"&gt;="&amp;L$5,tblAuftraege[Datum
Einnahmen],"&lt;"&amp;EDATE(L$5,1),tblAuftraege[Kostenstelle],$B18))</f>
        <v/>
      </c>
      <c r="M18" s="25">
        <f>IF($B18="",0,SUMIFS(tblAuftraege[Kalk.
Einnahmen],tblAuftraege[Datum
Einnahmen],"&gt;="&amp;M$5,tblAuftraege[Datum
Einnahmen],"&lt;"&amp;EDATE(M$5,1),tblAuftraege[Kostenstelle],$B18))</f>
        <v/>
      </c>
      <c r="N18" s="25">
        <f>IF($B18="",0,SUMIFS(tblAuftraege[Kalk.
Einnahmen],tblAuftraege[Datum
Einnahmen],"&gt;="&amp;N$5,tblAuftraege[Datum
Einnahmen],"&lt;"&amp;EDATE(N$5,1),tblAuftraege[Kostenstelle],$B18))</f>
        <v/>
      </c>
      <c r="O18" s="25">
        <f>IF($B18="",0,SUMIFS(tblAuftraege[Kalk.
Einnahmen],tblAuftraege[Datum
Einnahmen],"&gt;="&amp;O$5,tblAuftraege[Datum
Einnahmen],"&lt;"&amp;EDATE(O$5,1),tblAuftraege[Kostenstelle],$B18))</f>
        <v/>
      </c>
      <c r="P18" s="25">
        <f>IF($B18="",0,SUMIFS(tblAuftraege[Kalk.
Einnahmen],tblAuftraege[Datum
Einnahmen],"&gt;="&amp;P$5,tblAuftraege[Datum
Einnahmen],"&lt;"&amp;EDATE(P$5,1),tblAuftraege[Kostenstelle],$B18))</f>
        <v/>
      </c>
      <c r="Q18" s="25">
        <f>IF($B18="",0,SUMIFS(tblAuftraege[Kalk.
Einnahmen],tblAuftraege[Datum
Einnahmen],"&gt;="&amp;Q$5,tblAuftraege[Datum
Einnahmen],"&lt;"&amp;EDATE(Q$5,1),tblAuftraege[Kostenstelle],$B18))</f>
        <v/>
      </c>
      <c r="R18" s="25">
        <f>IF($B18="",0,SUMIFS(tblAuftraege[Kalk.
Einnahmen],tblAuftraege[Datum
Einnahmen],"&gt;="&amp;R$5,tblAuftraege[Datum
Einnahmen],"&lt;"&amp;EDATE(R$5,1),tblAuftraege[Kostenstelle],$B18))</f>
        <v/>
      </c>
      <c r="S18" s="25">
        <f>IF($B18="",0,SUMIFS(tblAuftraege[Kalk.
Einnahmen],tblAuftraege[Datum
Einnahmen],"&gt;="&amp;S$5,tblAuftraege[Datum
Einnahmen],"&lt;"&amp;EDATE(S$5,1),tblAuftraege[Kostenstelle],$B18))</f>
        <v/>
      </c>
      <c r="T18" s="25">
        <f>IF($B18="",0,SUMIFS(tblAuftraege[Kalk.
Einnahmen],tblAuftraege[Datum
Einnahmen],"&gt;="&amp;T$5,tblAuftraege[Datum
Einnahmen],"&lt;"&amp;EDATE(T$5,1),tblAuftraege[Kostenstelle],$B18))</f>
        <v/>
      </c>
      <c r="U18" s="25">
        <f>IF($B18="",0,SUMIFS(tblAuftraege[Kalk.
Einnahmen],tblAuftraege[Datum
Einnahmen],"&gt;="&amp;U$5,tblAuftraege[Datum
Einnahmen],"&lt;"&amp;EDATE(U$5,1),tblAuftraege[Kostenstelle],$B18))</f>
        <v/>
      </c>
      <c r="V18" s="25">
        <f>IF($B18="",0,SUMIFS(tblAuftraege[Kalk.
Einnahmen],tblAuftraege[Datum
Einnahmen],"&gt;="&amp;V$5,tblAuftraege[Datum
Einnahmen],"&lt;"&amp;EDATE(V$5,1),tblAuftraege[Kostenstelle],$B18))</f>
        <v/>
      </c>
      <c r="W18" s="25">
        <f>IF($B18="",0,SUMIFS(tblAuftraege[Kalk.
Einnahmen],tblAuftraege[Datum
Einnahmen],"&gt;="&amp;W$5,tblAuftraege[Datum
Einnahmen],"&lt;"&amp;EDATE(W$5,1),tblAuftraege[Kostenstelle],$B18))</f>
        <v/>
      </c>
      <c r="X18" s="25">
        <f>IF($B18="",0,SUMIFS(tblAuftraege[Kalk.
Einnahmen],tblAuftraege[Datum
Einnahmen],"&gt;="&amp;X$5,tblAuftraege[Datum
Einnahmen],"&lt;"&amp;EDATE(X$5,1),tblAuftraege[Kostenstelle],$B18))</f>
        <v/>
      </c>
      <c r="Y18" s="25">
        <f>IF($B18="",0,SUMIFS(tblAuftraege[Kalk.
Einnahmen],tblAuftraege[Datum
Einnahmen],"&gt;="&amp;Y$5,tblAuftraege[Datum
Einnahmen],"&lt;"&amp;EDATE(Y$5,1),tblAuftraege[Kostenstelle],$B18))</f>
        <v/>
      </c>
      <c r="Z18" s="25">
        <f>IF($B18="",0,SUMIFS(tblAuftraege[Kalk.
Einnahmen],tblAuftraege[Datum
Einnahmen],"&gt;="&amp;Z$5,tblAuftraege[Datum
Einnahmen],"&lt;"&amp;EDATE(Z$5,1),tblAuftraege[Kostenstelle],$B18))</f>
        <v/>
      </c>
      <c r="AA18" s="25">
        <f>IF($B18="",0,SUMIFS(tblAuftraege[Kalk.
Einnahmen],tblAuftraege[Datum
Einnahmen],"&gt;="&amp;AA$5,tblAuftraege[Datum
Einnahmen],"&lt;"&amp;EDATE(AA$5,1),tblAuftraege[Kostenstelle],$B18))</f>
        <v/>
      </c>
      <c r="AB18" s="25">
        <f>IF($B18="",0,SUMIFS(tblAuftraege[Kalk.
Einnahmen],tblAuftraege[Datum
Einnahmen],"&gt;="&amp;AB$5,tblAuftraege[Datum
Einnahmen],"&lt;"&amp;EDATE(AB$5,1),tblAuftraege[Kostenstelle],$B18))</f>
        <v/>
      </c>
      <c r="AC18" s="25">
        <f>IF($B18="",0,SUMIFS(tblAuftraege[Kalk.
Einnahmen],tblAuftraege[Datum
Einnahmen],"&gt;="&amp;AC$5,tblAuftraege[Datum
Einnahmen],"&lt;"&amp;EDATE(AC$5,1),tblAuftraege[Kostenstelle],$B18))</f>
        <v/>
      </c>
      <c r="AD18" s="25">
        <f>IF($B18="",0,SUMIFS(tblAuftraege[Kalk.
Einnahmen],tblAuftraege[Datum
Einnahmen],"&gt;="&amp;AD$5,tblAuftraege[Datum
Einnahmen],"&lt;"&amp;EDATE(AD$5,1),tblAuftraege[Kostenstelle],$B18))</f>
        <v/>
      </c>
      <c r="AE18" s="25">
        <f>IF($B18="",0,SUMIFS(tblAuftraege[Kalk.
Einnahmen],tblAuftraege[Datum
Einnahmen],"&gt;="&amp;AE$5,tblAuftraege[Datum
Einnahmen],"&lt;"&amp;EDATE(AE$5,1),tblAuftraege[Kostenstelle],$B18))</f>
        <v/>
      </c>
      <c r="AF18" s="25">
        <f>IF($B18="",0,SUMIFS(tblAuftraege[Kalk.
Einnahmen],tblAuftraege[Datum
Einnahmen],"&gt;="&amp;AF$5,tblAuftraege[Datum
Einnahmen],"&lt;"&amp;EDATE(AF$5,1),tblAuftraege[Kostenstelle],$B18))</f>
        <v/>
      </c>
      <c r="AG18" s="25">
        <f>IF($B18="",0,SUMIFS(tblAuftraege[Kalk.
Einnahmen],tblAuftraege[Datum
Einnahmen],"&gt;="&amp;AG$5,tblAuftraege[Datum
Einnahmen],"&lt;"&amp;EDATE(AG$5,1),tblAuftraege[Kostenstelle],$B18))</f>
        <v/>
      </c>
      <c r="AH18" s="25">
        <f>IF($B18="",0,SUMIFS(tblAuftraege[Kalk.
Einnahmen],tblAuftraege[Datum
Einnahmen],"&gt;="&amp;AH$5,tblAuftraege[Datum
Einnahmen],"&lt;"&amp;EDATE(AH$5,1),tblAuftraege[Kostenstelle],$B18))</f>
        <v/>
      </c>
      <c r="AI18" s="25">
        <f>IF($B18="",0,SUMIFS(tblAuftraege[Kalk.
Einnahmen],tblAuftraege[Datum
Einnahmen],"&gt;="&amp;AI$5,tblAuftraege[Datum
Einnahmen],"&lt;"&amp;EDATE(AI$5,1),tblAuftraege[Kostenstelle],$B18))</f>
        <v/>
      </c>
      <c r="AJ18" s="25">
        <f>IF($B18="",0,SUMIFS(tblAuftraege[Kalk.
Einnahmen],tblAuftraege[Datum
Einnahmen],"&gt;="&amp;AJ$5,tblAuftraege[Datum
Einnahmen],"&lt;"&amp;EDATE(AJ$5,1),tblAuftraege[Kostenstelle],$B18))</f>
        <v/>
      </c>
      <c r="AK18" s="25">
        <f>IF($B18="",0,SUMIFS(tblAuftraege[Kalk.
Einnahmen],tblAuftraege[Datum
Einnahmen],"&gt;="&amp;AK$5,tblAuftraege[Datum
Einnahmen],"&lt;"&amp;EDATE(AK$5,1),tblAuftraege[Kostenstelle],$B18))</f>
        <v/>
      </c>
      <c r="AL18" s="25">
        <f>IF($B18="",0,SUMIFS(tblAuftraege[Kalk.
Einnahmen],tblAuftraege[Datum
Einnahmen],"&gt;="&amp;AL$5,tblAuftraege[Datum
Einnahmen],"&lt;"&amp;EDATE(AL$5,1),tblAuftraege[Kostenstelle],$B18))</f>
        <v/>
      </c>
      <c r="AM18" s="25">
        <f>IF($B18="",0,SUMIFS(tblAuftraege[Kalk.
Einnahmen],tblAuftraege[Datum
Einnahmen],"&gt;="&amp;AM$5,tblAuftraege[Datum
Einnahmen],"&lt;"&amp;EDATE(AM$5,1),tblAuftraege[Kostenstelle],$B18))</f>
        <v/>
      </c>
      <c r="AN18" s="25">
        <f>IF($B18="",0,SUMIFS(tblAuftraege[Kalk.
Einnahmen],tblAuftraege[Datum
Einnahmen],"&gt;="&amp;AN$5,tblAuftraege[Datum
Einnahmen],"&lt;"&amp;EDATE(AN$5,1),tblAuftraege[Kostenstelle],$B18))</f>
        <v/>
      </c>
      <c r="AO18" s="25">
        <f>IF($B18="",0,SUMIFS(tblAuftraege[Kalk.
Einnahmen],tblAuftraege[Datum
Einnahmen],"&gt;="&amp;AO$5,tblAuftraege[Datum
Einnahmen],"&lt;"&amp;EDATE(AO$5,1),tblAuftraege[Kostenstelle],$B18))</f>
        <v/>
      </c>
      <c r="AP18" s="25">
        <f>IF($B18="",0,SUMIFS(tblAuftraege[Kalk.
Einnahmen],tblAuftraege[Datum
Einnahmen],"&gt;="&amp;AP$5,tblAuftraege[Datum
Einnahmen],"&lt;"&amp;EDATE(AP$5,1),tblAuftraege[Kostenstelle],$B18))</f>
        <v/>
      </c>
      <c r="AQ18" s="25">
        <f>IF($B18="",0,SUMIFS(tblAuftraege[Kalk.
Einnahmen],tblAuftraege[Datum
Einnahmen],"&gt;="&amp;AQ$5,tblAuftraege[Datum
Einnahmen],"&lt;"&amp;EDATE(AQ$5,1),tblAuftraege[Kostenstelle],$B18))</f>
        <v/>
      </c>
      <c r="AR18" s="25">
        <f>IF($B18="",0,SUMIFS(tblAuftraege[Kalk.
Einnahmen],tblAuftraege[Datum
Einnahmen],"&gt;="&amp;AR$5,tblAuftraege[Datum
Einnahmen],"&lt;"&amp;EDATE(AR$5,1),tblAuftraege[Kostenstelle],$B18))</f>
        <v/>
      </c>
      <c r="AS18" s="25">
        <f>IF($B18="",0,SUMIFS(tblAuftraege[Kalk.
Einnahmen],tblAuftraege[Datum
Einnahmen],"&gt;="&amp;AS$5,tblAuftraege[Datum
Einnahmen],"&lt;"&amp;EDATE(AS$5,1),tblAuftraege[Kostenstelle],$B18))</f>
        <v/>
      </c>
      <c r="AT18" s="25">
        <f>IF($B18="",0,SUMIFS(tblAuftraege[Kalk.
Einnahmen],tblAuftraege[Datum
Einnahmen],"&gt;="&amp;AT$5,tblAuftraege[Datum
Einnahmen],"&lt;"&amp;EDATE(AT$5,1),tblAuftraege[Kostenstelle],$B18))</f>
        <v/>
      </c>
      <c r="AU18" s="25">
        <f>IF($B18="",0,SUMIFS(tblAuftraege[Kalk.
Einnahmen],tblAuftraege[Datum
Einnahmen],"&gt;="&amp;AU$5,tblAuftraege[Datum
Einnahmen],"&lt;"&amp;EDATE(AU$5,1),tblAuftraege[Kostenstelle],$B18))</f>
        <v/>
      </c>
      <c r="AV18" s="25">
        <f>IF($B18="",0,SUMIFS(tblAuftraege[Kalk.
Einnahmen],tblAuftraege[Datum
Einnahmen],"&gt;="&amp;AV$5,tblAuftraege[Datum
Einnahmen],"&lt;"&amp;EDATE(AV$5,1),tblAuftraege[Kostenstelle],$B18))</f>
        <v/>
      </c>
      <c r="AW18" s="25">
        <f>IF($B18="",0,SUMIFS(tblAuftraege[Kalk.
Einnahmen],tblAuftraege[Datum
Einnahmen],"&gt;="&amp;AW$5,tblAuftraege[Datum
Einnahmen],"&lt;"&amp;EDATE(AW$5,1),tblAuftraege[Kostenstelle],$B18))</f>
        <v/>
      </c>
      <c r="AX18" s="25">
        <f>IF($B18="",0,SUMIFS(tblAuftraege[Kalk.
Einnahmen],tblAuftraege[Datum
Einnahmen],"&gt;="&amp;AX$5,tblAuftraege[Datum
Einnahmen],"&lt;"&amp;EDATE(AX$5,1),tblAuftraege[Kostenstelle],$B18))</f>
        <v/>
      </c>
      <c r="AY18" s="25">
        <f>IF($B18="",0,SUMIFS(tblAuftraege[Kalk.
Einnahmen],tblAuftraege[Datum
Einnahmen],"&gt;="&amp;AY$5,tblAuftraege[Datum
Einnahmen],"&lt;"&amp;EDATE(AY$5,1),tblAuftraege[Kostenstelle],$B18))</f>
        <v/>
      </c>
      <c r="AZ18" s="25">
        <f>IF($B18="",0,SUMIFS(tblAuftraege[Kalk.
Einnahmen],tblAuftraege[Datum
Einnahmen],"&gt;="&amp;AZ$5,tblAuftraege[Datum
Einnahmen],"&lt;"&amp;EDATE(AZ$5,1),tblAuftraege[Kostenstelle],$B18))</f>
        <v/>
      </c>
      <c r="BA18" s="25">
        <f>IF($B18="",0,SUMIFS(tblAuftraege[Kalk.
Einnahmen],tblAuftraege[Datum
Einnahmen],"&gt;="&amp;BA$5,tblAuftraege[Datum
Einnahmen],"&lt;"&amp;EDATE(BA$5,1),tblAuftraege[Kostenstelle],$B18))</f>
        <v/>
      </c>
      <c r="BB18" s="25">
        <f>IF($B18="",0,SUMIFS(tblAuftraege[Kalk.
Einnahmen],tblAuftraege[Datum
Einnahmen],"&gt;="&amp;BB$5,tblAuftraege[Datum
Einnahmen],"&lt;"&amp;EDATE(BB$5,1),tblAuftraege[Kostenstelle],$B18))</f>
        <v/>
      </c>
      <c r="BC18" s="25">
        <f>IF($B18="",0,SUMIFS(tblAuftraege[Kalk.
Einnahmen],tblAuftraege[Datum
Einnahmen],"&gt;="&amp;BC$5,tblAuftraege[Datum
Einnahmen],"&lt;"&amp;EDATE(BC$5,1),tblAuftraege[Kostenstelle],$B18))</f>
        <v/>
      </c>
      <c r="BD18" s="25">
        <f>IF($B18="",0,SUMIFS(tblAuftraege[Kalk.
Einnahmen],tblAuftraege[Datum
Einnahmen],"&gt;="&amp;BD$5,tblAuftraege[Datum
Einnahmen],"&lt;"&amp;EDATE(BD$5,1),tblAuftraege[Kostenstelle],$B18))</f>
        <v/>
      </c>
      <c r="BE18" s="25">
        <f>SUM(C18:H18)</f>
        <v/>
      </c>
      <c r="BF18" s="25">
        <f>SUM(I18:T18)</f>
        <v/>
      </c>
      <c r="BG18" s="25">
        <f>SUM(U18:AF18)</f>
        <v/>
      </c>
      <c r="BH18" s="25">
        <f>SUM(AG18:AR18)</f>
        <v/>
      </c>
      <c r="BI18" s="25">
        <f>SUM(AS18:BD18)</f>
        <v/>
      </c>
      <c r="BJ18" s="25">
        <f>SUM(C18:BD18)</f>
        <v/>
      </c>
    </row>
    <row r="19">
      <c r="A19" s="34" t="n"/>
      <c r="B19" s="49" t="inlineStr">
        <is>
          <t>87105003 - HNE Allgemein</t>
        </is>
      </c>
      <c r="C19" s="25">
        <f>IF($B19="",0,SUMIFS(tblAuftraege[Kalk.
Einnahmen],tblAuftraege[Datum
Einnahmen],"&gt;="&amp;C$5,tblAuftraege[Datum
Einnahmen],"&lt;"&amp;EDATE(C$5,1),tblAuftraege[Kostenstelle],$B19))</f>
        <v/>
      </c>
      <c r="D19" s="25">
        <f>IF($B19="",0,SUMIFS(tblAuftraege[Kalk.
Einnahmen],tblAuftraege[Datum
Einnahmen],"&gt;="&amp;D$5,tblAuftraege[Datum
Einnahmen],"&lt;"&amp;EDATE(D$5,1),tblAuftraege[Kostenstelle],$B19))</f>
        <v/>
      </c>
      <c r="E19" s="25">
        <f>IF($B19="",0,SUMIFS(tblAuftraege[Kalk.
Einnahmen],tblAuftraege[Datum
Einnahmen],"&gt;="&amp;E$5,tblAuftraege[Datum
Einnahmen],"&lt;"&amp;EDATE(E$5,1),tblAuftraege[Kostenstelle],$B19))</f>
        <v/>
      </c>
      <c r="F19" s="25">
        <f>IF($B19="",0,SUMIFS(tblAuftraege[Kalk.
Einnahmen],tblAuftraege[Datum
Einnahmen],"&gt;="&amp;F$5,tblAuftraege[Datum
Einnahmen],"&lt;"&amp;EDATE(F$5,1),tblAuftraege[Kostenstelle],$B19))</f>
        <v/>
      </c>
      <c r="G19" s="25">
        <f>IF($B19="",0,SUMIFS(tblAuftraege[Kalk.
Einnahmen],tblAuftraege[Datum
Einnahmen],"&gt;="&amp;G$5,tblAuftraege[Datum
Einnahmen],"&lt;"&amp;EDATE(G$5,1),tblAuftraege[Kostenstelle],$B19))</f>
        <v/>
      </c>
      <c r="H19" s="25">
        <f>IF($B19="",0,SUMIFS(tblAuftraege[Kalk.
Einnahmen],tblAuftraege[Datum
Einnahmen],"&gt;="&amp;H$5,tblAuftraege[Datum
Einnahmen],"&lt;"&amp;EDATE(H$5,1),tblAuftraege[Kostenstelle],$B19))</f>
        <v/>
      </c>
      <c r="I19" s="25">
        <f>IF($B19="",0,SUMIFS(tblAuftraege[Kalk.
Einnahmen],tblAuftraege[Datum
Einnahmen],"&gt;="&amp;I$5,tblAuftraege[Datum
Einnahmen],"&lt;"&amp;EDATE(I$5,1),tblAuftraege[Kostenstelle],$B19))</f>
        <v/>
      </c>
      <c r="J19" s="25">
        <f>IF($B19="",0,SUMIFS(tblAuftraege[Kalk.
Einnahmen],tblAuftraege[Datum
Einnahmen],"&gt;="&amp;J$5,tblAuftraege[Datum
Einnahmen],"&lt;"&amp;EDATE(J$5,1),tblAuftraege[Kostenstelle],$B19))</f>
        <v/>
      </c>
      <c r="K19" s="25">
        <f>IF($B19="",0,SUMIFS(tblAuftraege[Kalk.
Einnahmen],tblAuftraege[Datum
Einnahmen],"&gt;="&amp;K$5,tblAuftraege[Datum
Einnahmen],"&lt;"&amp;EDATE(K$5,1),tblAuftraege[Kostenstelle],$B19))</f>
        <v/>
      </c>
      <c r="L19" s="25">
        <f>IF($B19="",0,SUMIFS(tblAuftraege[Kalk.
Einnahmen],tblAuftraege[Datum
Einnahmen],"&gt;="&amp;L$5,tblAuftraege[Datum
Einnahmen],"&lt;"&amp;EDATE(L$5,1),tblAuftraege[Kostenstelle],$B19))</f>
        <v/>
      </c>
      <c r="M19" s="25">
        <f>IF($B19="",0,SUMIFS(tblAuftraege[Kalk.
Einnahmen],tblAuftraege[Datum
Einnahmen],"&gt;="&amp;M$5,tblAuftraege[Datum
Einnahmen],"&lt;"&amp;EDATE(M$5,1),tblAuftraege[Kostenstelle],$B19))</f>
        <v/>
      </c>
      <c r="N19" s="25">
        <f>IF($B19="",0,SUMIFS(tblAuftraege[Kalk.
Einnahmen],tblAuftraege[Datum
Einnahmen],"&gt;="&amp;N$5,tblAuftraege[Datum
Einnahmen],"&lt;"&amp;EDATE(N$5,1),tblAuftraege[Kostenstelle],$B19))</f>
        <v/>
      </c>
      <c r="O19" s="25">
        <f>IF($B19="",0,SUMIFS(tblAuftraege[Kalk.
Einnahmen],tblAuftraege[Datum
Einnahmen],"&gt;="&amp;O$5,tblAuftraege[Datum
Einnahmen],"&lt;"&amp;EDATE(O$5,1),tblAuftraege[Kostenstelle],$B19))</f>
        <v/>
      </c>
      <c r="P19" s="25">
        <f>IF($B19="",0,SUMIFS(tblAuftraege[Kalk.
Einnahmen],tblAuftraege[Datum
Einnahmen],"&gt;="&amp;P$5,tblAuftraege[Datum
Einnahmen],"&lt;"&amp;EDATE(P$5,1),tblAuftraege[Kostenstelle],$B19))</f>
        <v/>
      </c>
      <c r="Q19" s="25">
        <f>IF($B19="",0,SUMIFS(tblAuftraege[Kalk.
Einnahmen],tblAuftraege[Datum
Einnahmen],"&gt;="&amp;Q$5,tblAuftraege[Datum
Einnahmen],"&lt;"&amp;EDATE(Q$5,1),tblAuftraege[Kostenstelle],$B19))</f>
        <v/>
      </c>
      <c r="R19" s="25">
        <f>IF($B19="",0,SUMIFS(tblAuftraege[Kalk.
Einnahmen],tblAuftraege[Datum
Einnahmen],"&gt;="&amp;R$5,tblAuftraege[Datum
Einnahmen],"&lt;"&amp;EDATE(R$5,1),tblAuftraege[Kostenstelle],$B19))</f>
        <v/>
      </c>
      <c r="S19" s="25">
        <f>IF($B19="",0,SUMIFS(tblAuftraege[Kalk.
Einnahmen],tblAuftraege[Datum
Einnahmen],"&gt;="&amp;S$5,tblAuftraege[Datum
Einnahmen],"&lt;"&amp;EDATE(S$5,1),tblAuftraege[Kostenstelle],$B19))</f>
        <v/>
      </c>
      <c r="T19" s="25">
        <f>IF($B19="",0,SUMIFS(tblAuftraege[Kalk.
Einnahmen],tblAuftraege[Datum
Einnahmen],"&gt;="&amp;T$5,tblAuftraege[Datum
Einnahmen],"&lt;"&amp;EDATE(T$5,1),tblAuftraege[Kostenstelle],$B19))</f>
        <v/>
      </c>
      <c r="U19" s="25">
        <f>IF($B19="",0,SUMIFS(tblAuftraege[Kalk.
Einnahmen],tblAuftraege[Datum
Einnahmen],"&gt;="&amp;U$5,tblAuftraege[Datum
Einnahmen],"&lt;"&amp;EDATE(U$5,1),tblAuftraege[Kostenstelle],$B19))</f>
        <v/>
      </c>
      <c r="V19" s="25">
        <f>IF($B19="",0,SUMIFS(tblAuftraege[Kalk.
Einnahmen],tblAuftraege[Datum
Einnahmen],"&gt;="&amp;V$5,tblAuftraege[Datum
Einnahmen],"&lt;"&amp;EDATE(V$5,1),tblAuftraege[Kostenstelle],$B19))</f>
        <v/>
      </c>
      <c r="W19" s="25">
        <f>IF($B19="",0,SUMIFS(tblAuftraege[Kalk.
Einnahmen],tblAuftraege[Datum
Einnahmen],"&gt;="&amp;W$5,tblAuftraege[Datum
Einnahmen],"&lt;"&amp;EDATE(W$5,1),tblAuftraege[Kostenstelle],$B19))</f>
        <v/>
      </c>
      <c r="X19" s="25">
        <f>IF($B19="",0,SUMIFS(tblAuftraege[Kalk.
Einnahmen],tblAuftraege[Datum
Einnahmen],"&gt;="&amp;X$5,tblAuftraege[Datum
Einnahmen],"&lt;"&amp;EDATE(X$5,1),tblAuftraege[Kostenstelle],$B19))</f>
        <v/>
      </c>
      <c r="Y19" s="25">
        <f>IF($B19="",0,SUMIFS(tblAuftraege[Kalk.
Einnahmen],tblAuftraege[Datum
Einnahmen],"&gt;="&amp;Y$5,tblAuftraege[Datum
Einnahmen],"&lt;"&amp;EDATE(Y$5,1),tblAuftraege[Kostenstelle],$B19))</f>
        <v/>
      </c>
      <c r="Z19" s="25">
        <f>IF($B19="",0,SUMIFS(tblAuftraege[Kalk.
Einnahmen],tblAuftraege[Datum
Einnahmen],"&gt;="&amp;Z$5,tblAuftraege[Datum
Einnahmen],"&lt;"&amp;EDATE(Z$5,1),tblAuftraege[Kostenstelle],$B19))</f>
        <v/>
      </c>
      <c r="AA19" s="25">
        <f>IF($B19="",0,SUMIFS(tblAuftraege[Kalk.
Einnahmen],tblAuftraege[Datum
Einnahmen],"&gt;="&amp;AA$5,tblAuftraege[Datum
Einnahmen],"&lt;"&amp;EDATE(AA$5,1),tblAuftraege[Kostenstelle],$B19))</f>
        <v/>
      </c>
      <c r="AB19" s="25">
        <f>IF($B19="",0,SUMIFS(tblAuftraege[Kalk.
Einnahmen],tblAuftraege[Datum
Einnahmen],"&gt;="&amp;AB$5,tblAuftraege[Datum
Einnahmen],"&lt;"&amp;EDATE(AB$5,1),tblAuftraege[Kostenstelle],$B19))</f>
        <v/>
      </c>
      <c r="AC19" s="25">
        <f>IF($B19="",0,SUMIFS(tblAuftraege[Kalk.
Einnahmen],tblAuftraege[Datum
Einnahmen],"&gt;="&amp;AC$5,tblAuftraege[Datum
Einnahmen],"&lt;"&amp;EDATE(AC$5,1),tblAuftraege[Kostenstelle],$B19))</f>
        <v/>
      </c>
      <c r="AD19" s="25">
        <f>IF($B19="",0,SUMIFS(tblAuftraege[Kalk.
Einnahmen],tblAuftraege[Datum
Einnahmen],"&gt;="&amp;AD$5,tblAuftraege[Datum
Einnahmen],"&lt;"&amp;EDATE(AD$5,1),tblAuftraege[Kostenstelle],$B19))</f>
        <v/>
      </c>
      <c r="AE19" s="25">
        <f>IF($B19="",0,SUMIFS(tblAuftraege[Kalk.
Einnahmen],tblAuftraege[Datum
Einnahmen],"&gt;="&amp;AE$5,tblAuftraege[Datum
Einnahmen],"&lt;"&amp;EDATE(AE$5,1),tblAuftraege[Kostenstelle],$B19))</f>
        <v/>
      </c>
      <c r="AF19" s="25">
        <f>IF($B19="",0,SUMIFS(tblAuftraege[Kalk.
Einnahmen],tblAuftraege[Datum
Einnahmen],"&gt;="&amp;AF$5,tblAuftraege[Datum
Einnahmen],"&lt;"&amp;EDATE(AF$5,1),tblAuftraege[Kostenstelle],$B19))</f>
        <v/>
      </c>
      <c r="AG19" s="25">
        <f>IF($B19="",0,SUMIFS(tblAuftraege[Kalk.
Einnahmen],tblAuftraege[Datum
Einnahmen],"&gt;="&amp;AG$5,tblAuftraege[Datum
Einnahmen],"&lt;"&amp;EDATE(AG$5,1),tblAuftraege[Kostenstelle],$B19))</f>
        <v/>
      </c>
      <c r="AH19" s="25">
        <f>IF($B19="",0,SUMIFS(tblAuftraege[Kalk.
Einnahmen],tblAuftraege[Datum
Einnahmen],"&gt;="&amp;AH$5,tblAuftraege[Datum
Einnahmen],"&lt;"&amp;EDATE(AH$5,1),tblAuftraege[Kostenstelle],$B19))</f>
        <v/>
      </c>
      <c r="AI19" s="25">
        <f>IF($B19="",0,SUMIFS(tblAuftraege[Kalk.
Einnahmen],tblAuftraege[Datum
Einnahmen],"&gt;="&amp;AI$5,tblAuftraege[Datum
Einnahmen],"&lt;"&amp;EDATE(AI$5,1),tblAuftraege[Kostenstelle],$B19))</f>
        <v/>
      </c>
      <c r="AJ19" s="25">
        <f>IF($B19="",0,SUMIFS(tblAuftraege[Kalk.
Einnahmen],tblAuftraege[Datum
Einnahmen],"&gt;="&amp;AJ$5,tblAuftraege[Datum
Einnahmen],"&lt;"&amp;EDATE(AJ$5,1),tblAuftraege[Kostenstelle],$B19))</f>
        <v/>
      </c>
      <c r="AK19" s="25">
        <f>IF($B19="",0,SUMIFS(tblAuftraege[Kalk.
Einnahmen],tblAuftraege[Datum
Einnahmen],"&gt;="&amp;AK$5,tblAuftraege[Datum
Einnahmen],"&lt;"&amp;EDATE(AK$5,1),tblAuftraege[Kostenstelle],$B19))</f>
        <v/>
      </c>
      <c r="AL19" s="25">
        <f>IF($B19="",0,SUMIFS(tblAuftraege[Kalk.
Einnahmen],tblAuftraege[Datum
Einnahmen],"&gt;="&amp;AL$5,tblAuftraege[Datum
Einnahmen],"&lt;"&amp;EDATE(AL$5,1),tblAuftraege[Kostenstelle],$B19))</f>
        <v/>
      </c>
      <c r="AM19" s="25">
        <f>IF($B19="",0,SUMIFS(tblAuftraege[Kalk.
Einnahmen],tblAuftraege[Datum
Einnahmen],"&gt;="&amp;AM$5,tblAuftraege[Datum
Einnahmen],"&lt;"&amp;EDATE(AM$5,1),tblAuftraege[Kostenstelle],$B19))</f>
        <v/>
      </c>
      <c r="AN19" s="25">
        <f>IF($B19="",0,SUMIFS(tblAuftraege[Kalk.
Einnahmen],tblAuftraege[Datum
Einnahmen],"&gt;="&amp;AN$5,tblAuftraege[Datum
Einnahmen],"&lt;"&amp;EDATE(AN$5,1),tblAuftraege[Kostenstelle],$B19))</f>
        <v/>
      </c>
      <c r="AO19" s="25">
        <f>IF($B19="",0,SUMIFS(tblAuftraege[Kalk.
Einnahmen],tblAuftraege[Datum
Einnahmen],"&gt;="&amp;AO$5,tblAuftraege[Datum
Einnahmen],"&lt;"&amp;EDATE(AO$5,1),tblAuftraege[Kostenstelle],$B19))</f>
        <v/>
      </c>
      <c r="AP19" s="25">
        <f>IF($B19="",0,SUMIFS(tblAuftraege[Kalk.
Einnahmen],tblAuftraege[Datum
Einnahmen],"&gt;="&amp;AP$5,tblAuftraege[Datum
Einnahmen],"&lt;"&amp;EDATE(AP$5,1),tblAuftraege[Kostenstelle],$B19))</f>
        <v/>
      </c>
      <c r="AQ19" s="25">
        <f>IF($B19="",0,SUMIFS(tblAuftraege[Kalk.
Einnahmen],tblAuftraege[Datum
Einnahmen],"&gt;="&amp;AQ$5,tblAuftraege[Datum
Einnahmen],"&lt;"&amp;EDATE(AQ$5,1),tblAuftraege[Kostenstelle],$B19))</f>
        <v/>
      </c>
      <c r="AR19" s="25">
        <f>IF($B19="",0,SUMIFS(tblAuftraege[Kalk.
Einnahmen],tblAuftraege[Datum
Einnahmen],"&gt;="&amp;AR$5,tblAuftraege[Datum
Einnahmen],"&lt;"&amp;EDATE(AR$5,1),tblAuftraege[Kostenstelle],$B19))</f>
        <v/>
      </c>
      <c r="AS19" s="25">
        <f>IF($B19="",0,SUMIFS(tblAuftraege[Kalk.
Einnahmen],tblAuftraege[Datum
Einnahmen],"&gt;="&amp;AS$5,tblAuftraege[Datum
Einnahmen],"&lt;"&amp;EDATE(AS$5,1),tblAuftraege[Kostenstelle],$B19))</f>
        <v/>
      </c>
      <c r="AT19" s="25">
        <f>IF($B19="",0,SUMIFS(tblAuftraege[Kalk.
Einnahmen],tblAuftraege[Datum
Einnahmen],"&gt;="&amp;AT$5,tblAuftraege[Datum
Einnahmen],"&lt;"&amp;EDATE(AT$5,1),tblAuftraege[Kostenstelle],$B19))</f>
        <v/>
      </c>
      <c r="AU19" s="25">
        <f>IF($B19="",0,SUMIFS(tblAuftraege[Kalk.
Einnahmen],tblAuftraege[Datum
Einnahmen],"&gt;="&amp;AU$5,tblAuftraege[Datum
Einnahmen],"&lt;"&amp;EDATE(AU$5,1),tblAuftraege[Kostenstelle],$B19))</f>
        <v/>
      </c>
      <c r="AV19" s="25">
        <f>IF($B19="",0,SUMIFS(tblAuftraege[Kalk.
Einnahmen],tblAuftraege[Datum
Einnahmen],"&gt;="&amp;AV$5,tblAuftraege[Datum
Einnahmen],"&lt;"&amp;EDATE(AV$5,1),tblAuftraege[Kostenstelle],$B19))</f>
        <v/>
      </c>
      <c r="AW19" s="25">
        <f>IF($B19="",0,SUMIFS(tblAuftraege[Kalk.
Einnahmen],tblAuftraege[Datum
Einnahmen],"&gt;="&amp;AW$5,tblAuftraege[Datum
Einnahmen],"&lt;"&amp;EDATE(AW$5,1),tblAuftraege[Kostenstelle],$B19))</f>
        <v/>
      </c>
      <c r="AX19" s="25">
        <f>IF($B19="",0,SUMIFS(tblAuftraege[Kalk.
Einnahmen],tblAuftraege[Datum
Einnahmen],"&gt;="&amp;AX$5,tblAuftraege[Datum
Einnahmen],"&lt;"&amp;EDATE(AX$5,1),tblAuftraege[Kostenstelle],$B19))</f>
        <v/>
      </c>
      <c r="AY19" s="25">
        <f>IF($B19="",0,SUMIFS(tblAuftraege[Kalk.
Einnahmen],tblAuftraege[Datum
Einnahmen],"&gt;="&amp;AY$5,tblAuftraege[Datum
Einnahmen],"&lt;"&amp;EDATE(AY$5,1),tblAuftraege[Kostenstelle],$B19))</f>
        <v/>
      </c>
      <c r="AZ19" s="25">
        <f>IF($B19="",0,SUMIFS(tblAuftraege[Kalk.
Einnahmen],tblAuftraege[Datum
Einnahmen],"&gt;="&amp;AZ$5,tblAuftraege[Datum
Einnahmen],"&lt;"&amp;EDATE(AZ$5,1),tblAuftraege[Kostenstelle],$B19))</f>
        <v/>
      </c>
      <c r="BA19" s="25">
        <f>IF($B19="",0,SUMIFS(tblAuftraege[Kalk.
Einnahmen],tblAuftraege[Datum
Einnahmen],"&gt;="&amp;BA$5,tblAuftraege[Datum
Einnahmen],"&lt;"&amp;EDATE(BA$5,1),tblAuftraege[Kostenstelle],$B19))</f>
        <v/>
      </c>
      <c r="BB19" s="25">
        <f>IF($B19="",0,SUMIFS(tblAuftraege[Kalk.
Einnahmen],tblAuftraege[Datum
Einnahmen],"&gt;="&amp;BB$5,tblAuftraege[Datum
Einnahmen],"&lt;"&amp;EDATE(BB$5,1),tblAuftraege[Kostenstelle],$B19))</f>
        <v/>
      </c>
      <c r="BC19" s="25">
        <f>IF($B19="",0,SUMIFS(tblAuftraege[Kalk.
Einnahmen],tblAuftraege[Datum
Einnahmen],"&gt;="&amp;BC$5,tblAuftraege[Datum
Einnahmen],"&lt;"&amp;EDATE(BC$5,1),tblAuftraege[Kostenstelle],$B19))</f>
        <v/>
      </c>
      <c r="BD19" s="25">
        <f>IF($B19="",0,SUMIFS(tblAuftraege[Kalk.
Einnahmen],tblAuftraege[Datum
Einnahmen],"&gt;="&amp;BD$5,tblAuftraege[Datum
Einnahmen],"&lt;"&amp;EDATE(BD$5,1),tblAuftraege[Kostenstelle],$B19))</f>
        <v/>
      </c>
      <c r="BE19" s="25">
        <f>SUM(C19:H19)</f>
        <v/>
      </c>
      <c r="BF19" s="25">
        <f>SUM(I19:T19)</f>
        <v/>
      </c>
      <c r="BG19" s="25">
        <f>SUM(U19:AF19)</f>
        <v/>
      </c>
      <c r="BH19" s="25">
        <f>SUM(AG19:AR19)</f>
        <v/>
      </c>
      <c r="BI19" s="25">
        <f>SUM(AS19:BD19)</f>
        <v/>
      </c>
      <c r="BJ19" s="25">
        <f>SUM(C19:BD19)</f>
        <v/>
      </c>
    </row>
    <row r="20">
      <c r="A20" s="34" t="n"/>
      <c r="B20" s="49" t="inlineStr">
        <is>
          <t>87105004 - HanseWerk Natur</t>
        </is>
      </c>
      <c r="C20" s="25">
        <f>IF($B20="",0,SUMIFS(tblAuftraege[Kalk.
Einnahmen],tblAuftraege[Datum
Einnahmen],"&gt;="&amp;C$5,tblAuftraege[Datum
Einnahmen],"&lt;"&amp;EDATE(C$5,1),tblAuftraege[Kostenstelle],$B20))</f>
        <v/>
      </c>
      <c r="D20" s="25">
        <f>IF($B20="",0,SUMIFS(tblAuftraege[Kalk.
Einnahmen],tblAuftraege[Datum
Einnahmen],"&gt;="&amp;D$5,tblAuftraege[Datum
Einnahmen],"&lt;"&amp;EDATE(D$5,1),tblAuftraege[Kostenstelle],$B20))</f>
        <v/>
      </c>
      <c r="E20" s="25">
        <f>IF($B20="",0,SUMIFS(tblAuftraege[Kalk.
Einnahmen],tblAuftraege[Datum
Einnahmen],"&gt;="&amp;E$5,tblAuftraege[Datum
Einnahmen],"&lt;"&amp;EDATE(E$5,1),tblAuftraege[Kostenstelle],$B20))</f>
        <v/>
      </c>
      <c r="F20" s="25">
        <f>IF($B20="",0,SUMIFS(tblAuftraege[Kalk.
Einnahmen],tblAuftraege[Datum
Einnahmen],"&gt;="&amp;F$5,tblAuftraege[Datum
Einnahmen],"&lt;"&amp;EDATE(F$5,1),tblAuftraege[Kostenstelle],$B20))</f>
        <v/>
      </c>
      <c r="G20" s="25">
        <f>IF($B20="",0,SUMIFS(tblAuftraege[Kalk.
Einnahmen],tblAuftraege[Datum
Einnahmen],"&gt;="&amp;G$5,tblAuftraege[Datum
Einnahmen],"&lt;"&amp;EDATE(G$5,1),tblAuftraege[Kostenstelle],$B20))</f>
        <v/>
      </c>
      <c r="H20" s="25">
        <f>IF($B20="",0,SUMIFS(tblAuftraege[Kalk.
Einnahmen],tblAuftraege[Datum
Einnahmen],"&gt;="&amp;H$5,tblAuftraege[Datum
Einnahmen],"&lt;"&amp;EDATE(H$5,1),tblAuftraege[Kostenstelle],$B20))</f>
        <v/>
      </c>
      <c r="I20" s="25">
        <f>IF($B20="",0,SUMIFS(tblAuftraege[Kalk.
Einnahmen],tblAuftraege[Datum
Einnahmen],"&gt;="&amp;I$5,tblAuftraege[Datum
Einnahmen],"&lt;"&amp;EDATE(I$5,1),tblAuftraege[Kostenstelle],$B20))</f>
        <v/>
      </c>
      <c r="J20" s="25">
        <f>IF($B20="",0,SUMIFS(tblAuftraege[Kalk.
Einnahmen],tblAuftraege[Datum
Einnahmen],"&gt;="&amp;J$5,tblAuftraege[Datum
Einnahmen],"&lt;"&amp;EDATE(J$5,1),tblAuftraege[Kostenstelle],$B20))</f>
        <v/>
      </c>
      <c r="K20" s="25">
        <f>IF($B20="",0,SUMIFS(tblAuftraege[Kalk.
Einnahmen],tblAuftraege[Datum
Einnahmen],"&gt;="&amp;K$5,tblAuftraege[Datum
Einnahmen],"&lt;"&amp;EDATE(K$5,1),tblAuftraege[Kostenstelle],$B20))</f>
        <v/>
      </c>
      <c r="L20" s="25">
        <f>IF($B20="",0,SUMIFS(tblAuftraege[Kalk.
Einnahmen],tblAuftraege[Datum
Einnahmen],"&gt;="&amp;L$5,tblAuftraege[Datum
Einnahmen],"&lt;"&amp;EDATE(L$5,1),tblAuftraege[Kostenstelle],$B20))</f>
        <v/>
      </c>
      <c r="M20" s="25">
        <f>IF($B20="",0,SUMIFS(tblAuftraege[Kalk.
Einnahmen],tblAuftraege[Datum
Einnahmen],"&gt;="&amp;M$5,tblAuftraege[Datum
Einnahmen],"&lt;"&amp;EDATE(M$5,1),tblAuftraege[Kostenstelle],$B20))</f>
        <v/>
      </c>
      <c r="N20" s="25">
        <f>IF($B20="",0,SUMIFS(tblAuftraege[Kalk.
Einnahmen],tblAuftraege[Datum
Einnahmen],"&gt;="&amp;N$5,tblAuftraege[Datum
Einnahmen],"&lt;"&amp;EDATE(N$5,1),tblAuftraege[Kostenstelle],$B20))</f>
        <v/>
      </c>
      <c r="O20" s="25">
        <f>IF($B20="",0,SUMIFS(tblAuftraege[Kalk.
Einnahmen],tblAuftraege[Datum
Einnahmen],"&gt;="&amp;O$5,tblAuftraege[Datum
Einnahmen],"&lt;"&amp;EDATE(O$5,1),tblAuftraege[Kostenstelle],$B20))</f>
        <v/>
      </c>
      <c r="P20" s="25">
        <f>IF($B20="",0,SUMIFS(tblAuftraege[Kalk.
Einnahmen],tblAuftraege[Datum
Einnahmen],"&gt;="&amp;P$5,tblAuftraege[Datum
Einnahmen],"&lt;"&amp;EDATE(P$5,1),tblAuftraege[Kostenstelle],$B20))</f>
        <v/>
      </c>
      <c r="Q20" s="25">
        <f>IF($B20="",0,SUMIFS(tblAuftraege[Kalk.
Einnahmen],tblAuftraege[Datum
Einnahmen],"&gt;="&amp;Q$5,tblAuftraege[Datum
Einnahmen],"&lt;"&amp;EDATE(Q$5,1),tblAuftraege[Kostenstelle],$B20))</f>
        <v/>
      </c>
      <c r="R20" s="25">
        <f>IF($B20="",0,SUMIFS(tblAuftraege[Kalk.
Einnahmen],tblAuftraege[Datum
Einnahmen],"&gt;="&amp;R$5,tblAuftraege[Datum
Einnahmen],"&lt;"&amp;EDATE(R$5,1),tblAuftraege[Kostenstelle],$B20))</f>
        <v/>
      </c>
      <c r="S20" s="25">
        <f>IF($B20="",0,SUMIFS(tblAuftraege[Kalk.
Einnahmen],tblAuftraege[Datum
Einnahmen],"&gt;="&amp;S$5,tblAuftraege[Datum
Einnahmen],"&lt;"&amp;EDATE(S$5,1),tblAuftraege[Kostenstelle],$B20))</f>
        <v/>
      </c>
      <c r="T20" s="25">
        <f>IF($B20="",0,SUMIFS(tblAuftraege[Kalk.
Einnahmen],tblAuftraege[Datum
Einnahmen],"&gt;="&amp;T$5,tblAuftraege[Datum
Einnahmen],"&lt;"&amp;EDATE(T$5,1),tblAuftraege[Kostenstelle],$B20))</f>
        <v/>
      </c>
      <c r="U20" s="25">
        <f>IF($B20="",0,SUMIFS(tblAuftraege[Kalk.
Einnahmen],tblAuftraege[Datum
Einnahmen],"&gt;="&amp;U$5,tblAuftraege[Datum
Einnahmen],"&lt;"&amp;EDATE(U$5,1),tblAuftraege[Kostenstelle],$B20))</f>
        <v/>
      </c>
      <c r="V20" s="25">
        <f>IF($B20="",0,SUMIFS(tblAuftraege[Kalk.
Einnahmen],tblAuftraege[Datum
Einnahmen],"&gt;="&amp;V$5,tblAuftraege[Datum
Einnahmen],"&lt;"&amp;EDATE(V$5,1),tblAuftraege[Kostenstelle],$B20))</f>
        <v/>
      </c>
      <c r="W20" s="25">
        <f>IF($B20="",0,SUMIFS(tblAuftraege[Kalk.
Einnahmen],tblAuftraege[Datum
Einnahmen],"&gt;="&amp;W$5,tblAuftraege[Datum
Einnahmen],"&lt;"&amp;EDATE(W$5,1),tblAuftraege[Kostenstelle],$B20))</f>
        <v/>
      </c>
      <c r="X20" s="25">
        <f>IF($B20="",0,SUMIFS(tblAuftraege[Kalk.
Einnahmen],tblAuftraege[Datum
Einnahmen],"&gt;="&amp;X$5,tblAuftraege[Datum
Einnahmen],"&lt;"&amp;EDATE(X$5,1),tblAuftraege[Kostenstelle],$B20))</f>
        <v/>
      </c>
      <c r="Y20" s="25">
        <f>IF($B20="",0,SUMIFS(tblAuftraege[Kalk.
Einnahmen],tblAuftraege[Datum
Einnahmen],"&gt;="&amp;Y$5,tblAuftraege[Datum
Einnahmen],"&lt;"&amp;EDATE(Y$5,1),tblAuftraege[Kostenstelle],$B20))</f>
        <v/>
      </c>
      <c r="Z20" s="25">
        <f>IF($B20="",0,SUMIFS(tblAuftraege[Kalk.
Einnahmen],tblAuftraege[Datum
Einnahmen],"&gt;="&amp;Z$5,tblAuftraege[Datum
Einnahmen],"&lt;"&amp;EDATE(Z$5,1),tblAuftraege[Kostenstelle],$B20))</f>
        <v/>
      </c>
      <c r="AA20" s="25">
        <f>IF($B20="",0,SUMIFS(tblAuftraege[Kalk.
Einnahmen],tblAuftraege[Datum
Einnahmen],"&gt;="&amp;AA$5,tblAuftraege[Datum
Einnahmen],"&lt;"&amp;EDATE(AA$5,1),tblAuftraege[Kostenstelle],$B20))</f>
        <v/>
      </c>
      <c r="AB20" s="25">
        <f>IF($B20="",0,SUMIFS(tblAuftraege[Kalk.
Einnahmen],tblAuftraege[Datum
Einnahmen],"&gt;="&amp;AB$5,tblAuftraege[Datum
Einnahmen],"&lt;"&amp;EDATE(AB$5,1),tblAuftraege[Kostenstelle],$B20))</f>
        <v/>
      </c>
      <c r="AC20" s="25">
        <f>IF($B20="",0,SUMIFS(tblAuftraege[Kalk.
Einnahmen],tblAuftraege[Datum
Einnahmen],"&gt;="&amp;AC$5,tblAuftraege[Datum
Einnahmen],"&lt;"&amp;EDATE(AC$5,1),tblAuftraege[Kostenstelle],$B20))</f>
        <v/>
      </c>
      <c r="AD20" s="25">
        <f>IF($B20="",0,SUMIFS(tblAuftraege[Kalk.
Einnahmen],tblAuftraege[Datum
Einnahmen],"&gt;="&amp;AD$5,tblAuftraege[Datum
Einnahmen],"&lt;"&amp;EDATE(AD$5,1),tblAuftraege[Kostenstelle],$B20))</f>
        <v/>
      </c>
      <c r="AE20" s="25">
        <f>IF($B20="",0,SUMIFS(tblAuftraege[Kalk.
Einnahmen],tblAuftraege[Datum
Einnahmen],"&gt;="&amp;AE$5,tblAuftraege[Datum
Einnahmen],"&lt;"&amp;EDATE(AE$5,1),tblAuftraege[Kostenstelle],$B20))</f>
        <v/>
      </c>
      <c r="AF20" s="25">
        <f>IF($B20="",0,SUMIFS(tblAuftraege[Kalk.
Einnahmen],tblAuftraege[Datum
Einnahmen],"&gt;="&amp;AF$5,tblAuftraege[Datum
Einnahmen],"&lt;"&amp;EDATE(AF$5,1),tblAuftraege[Kostenstelle],$B20))</f>
        <v/>
      </c>
      <c r="AG20" s="25">
        <f>IF($B20="",0,SUMIFS(tblAuftraege[Kalk.
Einnahmen],tblAuftraege[Datum
Einnahmen],"&gt;="&amp;AG$5,tblAuftraege[Datum
Einnahmen],"&lt;"&amp;EDATE(AG$5,1),tblAuftraege[Kostenstelle],$B20))</f>
        <v/>
      </c>
      <c r="AH20" s="25">
        <f>IF($B20="",0,SUMIFS(tblAuftraege[Kalk.
Einnahmen],tblAuftraege[Datum
Einnahmen],"&gt;="&amp;AH$5,tblAuftraege[Datum
Einnahmen],"&lt;"&amp;EDATE(AH$5,1),tblAuftraege[Kostenstelle],$B20))</f>
        <v/>
      </c>
      <c r="AI20" s="25">
        <f>IF($B20="",0,SUMIFS(tblAuftraege[Kalk.
Einnahmen],tblAuftraege[Datum
Einnahmen],"&gt;="&amp;AI$5,tblAuftraege[Datum
Einnahmen],"&lt;"&amp;EDATE(AI$5,1),tblAuftraege[Kostenstelle],$B20))</f>
        <v/>
      </c>
      <c r="AJ20" s="25">
        <f>IF($B20="",0,SUMIFS(tblAuftraege[Kalk.
Einnahmen],tblAuftraege[Datum
Einnahmen],"&gt;="&amp;AJ$5,tblAuftraege[Datum
Einnahmen],"&lt;"&amp;EDATE(AJ$5,1),tblAuftraege[Kostenstelle],$B20))</f>
        <v/>
      </c>
      <c r="AK20" s="25">
        <f>IF($B20="",0,SUMIFS(tblAuftraege[Kalk.
Einnahmen],tblAuftraege[Datum
Einnahmen],"&gt;="&amp;AK$5,tblAuftraege[Datum
Einnahmen],"&lt;"&amp;EDATE(AK$5,1),tblAuftraege[Kostenstelle],$B20))</f>
        <v/>
      </c>
      <c r="AL20" s="25">
        <f>IF($B20="",0,SUMIFS(tblAuftraege[Kalk.
Einnahmen],tblAuftraege[Datum
Einnahmen],"&gt;="&amp;AL$5,tblAuftraege[Datum
Einnahmen],"&lt;"&amp;EDATE(AL$5,1),tblAuftraege[Kostenstelle],$B20))</f>
        <v/>
      </c>
      <c r="AM20" s="25">
        <f>IF($B20="",0,SUMIFS(tblAuftraege[Kalk.
Einnahmen],tblAuftraege[Datum
Einnahmen],"&gt;="&amp;AM$5,tblAuftraege[Datum
Einnahmen],"&lt;"&amp;EDATE(AM$5,1),tblAuftraege[Kostenstelle],$B20))</f>
        <v/>
      </c>
      <c r="AN20" s="25">
        <f>IF($B20="",0,SUMIFS(tblAuftraege[Kalk.
Einnahmen],tblAuftraege[Datum
Einnahmen],"&gt;="&amp;AN$5,tblAuftraege[Datum
Einnahmen],"&lt;"&amp;EDATE(AN$5,1),tblAuftraege[Kostenstelle],$B20))</f>
        <v/>
      </c>
      <c r="AO20" s="25">
        <f>IF($B20="",0,SUMIFS(tblAuftraege[Kalk.
Einnahmen],tblAuftraege[Datum
Einnahmen],"&gt;="&amp;AO$5,tblAuftraege[Datum
Einnahmen],"&lt;"&amp;EDATE(AO$5,1),tblAuftraege[Kostenstelle],$B20))</f>
        <v/>
      </c>
      <c r="AP20" s="25">
        <f>IF($B20="",0,SUMIFS(tblAuftraege[Kalk.
Einnahmen],tblAuftraege[Datum
Einnahmen],"&gt;="&amp;AP$5,tblAuftraege[Datum
Einnahmen],"&lt;"&amp;EDATE(AP$5,1),tblAuftraege[Kostenstelle],$B20))</f>
        <v/>
      </c>
      <c r="AQ20" s="25">
        <f>IF($B20="",0,SUMIFS(tblAuftraege[Kalk.
Einnahmen],tblAuftraege[Datum
Einnahmen],"&gt;="&amp;AQ$5,tblAuftraege[Datum
Einnahmen],"&lt;"&amp;EDATE(AQ$5,1),tblAuftraege[Kostenstelle],$B20))</f>
        <v/>
      </c>
      <c r="AR20" s="25">
        <f>IF($B20="",0,SUMIFS(tblAuftraege[Kalk.
Einnahmen],tblAuftraege[Datum
Einnahmen],"&gt;="&amp;AR$5,tblAuftraege[Datum
Einnahmen],"&lt;"&amp;EDATE(AR$5,1),tblAuftraege[Kostenstelle],$B20))</f>
        <v/>
      </c>
      <c r="AS20" s="25">
        <f>IF($B20="",0,SUMIFS(tblAuftraege[Kalk.
Einnahmen],tblAuftraege[Datum
Einnahmen],"&gt;="&amp;AS$5,tblAuftraege[Datum
Einnahmen],"&lt;"&amp;EDATE(AS$5,1),tblAuftraege[Kostenstelle],$B20))</f>
        <v/>
      </c>
      <c r="AT20" s="25">
        <f>IF($B20="",0,SUMIFS(tblAuftraege[Kalk.
Einnahmen],tblAuftraege[Datum
Einnahmen],"&gt;="&amp;AT$5,tblAuftraege[Datum
Einnahmen],"&lt;"&amp;EDATE(AT$5,1),tblAuftraege[Kostenstelle],$B20))</f>
        <v/>
      </c>
      <c r="AU20" s="25">
        <f>IF($B20="",0,SUMIFS(tblAuftraege[Kalk.
Einnahmen],tblAuftraege[Datum
Einnahmen],"&gt;="&amp;AU$5,tblAuftraege[Datum
Einnahmen],"&lt;"&amp;EDATE(AU$5,1),tblAuftraege[Kostenstelle],$B20))</f>
        <v/>
      </c>
      <c r="AV20" s="25">
        <f>IF($B20="",0,SUMIFS(tblAuftraege[Kalk.
Einnahmen],tblAuftraege[Datum
Einnahmen],"&gt;="&amp;AV$5,tblAuftraege[Datum
Einnahmen],"&lt;"&amp;EDATE(AV$5,1),tblAuftraege[Kostenstelle],$B20))</f>
        <v/>
      </c>
      <c r="AW20" s="25">
        <f>IF($B20="",0,SUMIFS(tblAuftraege[Kalk.
Einnahmen],tblAuftraege[Datum
Einnahmen],"&gt;="&amp;AW$5,tblAuftraege[Datum
Einnahmen],"&lt;"&amp;EDATE(AW$5,1),tblAuftraege[Kostenstelle],$B20))</f>
        <v/>
      </c>
      <c r="AX20" s="25">
        <f>IF($B20="",0,SUMIFS(tblAuftraege[Kalk.
Einnahmen],tblAuftraege[Datum
Einnahmen],"&gt;="&amp;AX$5,tblAuftraege[Datum
Einnahmen],"&lt;"&amp;EDATE(AX$5,1),tblAuftraege[Kostenstelle],$B20))</f>
        <v/>
      </c>
      <c r="AY20" s="25">
        <f>IF($B20="",0,SUMIFS(tblAuftraege[Kalk.
Einnahmen],tblAuftraege[Datum
Einnahmen],"&gt;="&amp;AY$5,tblAuftraege[Datum
Einnahmen],"&lt;"&amp;EDATE(AY$5,1),tblAuftraege[Kostenstelle],$B20))</f>
        <v/>
      </c>
      <c r="AZ20" s="25">
        <f>IF($B20="",0,SUMIFS(tblAuftraege[Kalk.
Einnahmen],tblAuftraege[Datum
Einnahmen],"&gt;="&amp;AZ$5,tblAuftraege[Datum
Einnahmen],"&lt;"&amp;EDATE(AZ$5,1),tblAuftraege[Kostenstelle],$B20))</f>
        <v/>
      </c>
      <c r="BA20" s="25">
        <f>IF($B20="",0,SUMIFS(tblAuftraege[Kalk.
Einnahmen],tblAuftraege[Datum
Einnahmen],"&gt;="&amp;BA$5,tblAuftraege[Datum
Einnahmen],"&lt;"&amp;EDATE(BA$5,1),tblAuftraege[Kostenstelle],$B20))</f>
        <v/>
      </c>
      <c r="BB20" s="25">
        <f>IF($B20="",0,SUMIFS(tblAuftraege[Kalk.
Einnahmen],tblAuftraege[Datum
Einnahmen],"&gt;="&amp;BB$5,tblAuftraege[Datum
Einnahmen],"&lt;"&amp;EDATE(BB$5,1),tblAuftraege[Kostenstelle],$B20))</f>
        <v/>
      </c>
      <c r="BC20" s="25">
        <f>IF($B20="",0,SUMIFS(tblAuftraege[Kalk.
Einnahmen],tblAuftraege[Datum
Einnahmen],"&gt;="&amp;BC$5,tblAuftraege[Datum
Einnahmen],"&lt;"&amp;EDATE(BC$5,1),tblAuftraege[Kostenstelle],$B20))</f>
        <v/>
      </c>
      <c r="BD20" s="25">
        <f>IF($B20="",0,SUMIFS(tblAuftraege[Kalk.
Einnahmen],tblAuftraege[Datum
Einnahmen],"&gt;="&amp;BD$5,tblAuftraege[Datum
Einnahmen],"&lt;"&amp;EDATE(BD$5,1),tblAuftraege[Kostenstelle],$B20))</f>
        <v/>
      </c>
      <c r="BE20" s="25">
        <f>SUM(C20:H20)</f>
        <v/>
      </c>
      <c r="BF20" s="25">
        <f>SUM(I20:T20)</f>
        <v/>
      </c>
      <c r="BG20" s="25">
        <f>SUM(U20:AF20)</f>
        <v/>
      </c>
      <c r="BH20" s="25">
        <f>SUM(AG20:AR20)</f>
        <v/>
      </c>
      <c r="BI20" s="25">
        <f>SUM(AS20:BD20)</f>
        <v/>
      </c>
      <c r="BJ20" s="25">
        <f>SUM(C20:BD20)</f>
        <v/>
      </c>
    </row>
    <row r="21">
      <c r="A21" s="34" t="n"/>
      <c r="B21" s="49" t="inlineStr">
        <is>
          <t>87106001 - SH-Netz IoT</t>
        </is>
      </c>
      <c r="C21" s="25">
        <f>IF($B21="",0,SUMIFS(tblAuftraege[Kalk.
Einnahmen],tblAuftraege[Datum
Einnahmen],"&gt;="&amp;C$5,tblAuftraege[Datum
Einnahmen],"&lt;"&amp;EDATE(C$5,1),tblAuftraege[Kostenstelle],$B21))</f>
        <v/>
      </c>
      <c r="D21" s="25">
        <f>IF($B21="",0,SUMIFS(tblAuftraege[Kalk.
Einnahmen],tblAuftraege[Datum
Einnahmen],"&gt;="&amp;D$5,tblAuftraege[Datum
Einnahmen],"&lt;"&amp;EDATE(D$5,1),tblAuftraege[Kostenstelle],$B21))</f>
        <v/>
      </c>
      <c r="E21" s="25">
        <f>IF($B21="",0,SUMIFS(tblAuftraege[Kalk.
Einnahmen],tblAuftraege[Datum
Einnahmen],"&gt;="&amp;E$5,tblAuftraege[Datum
Einnahmen],"&lt;"&amp;EDATE(E$5,1),tblAuftraege[Kostenstelle],$B21))</f>
        <v/>
      </c>
      <c r="F21" s="25">
        <f>IF($B21="",0,SUMIFS(tblAuftraege[Kalk.
Einnahmen],tblAuftraege[Datum
Einnahmen],"&gt;="&amp;F$5,tblAuftraege[Datum
Einnahmen],"&lt;"&amp;EDATE(F$5,1),tblAuftraege[Kostenstelle],$B21))</f>
        <v/>
      </c>
      <c r="G21" s="25">
        <f>IF($B21="",0,SUMIFS(tblAuftraege[Kalk.
Einnahmen],tblAuftraege[Datum
Einnahmen],"&gt;="&amp;G$5,tblAuftraege[Datum
Einnahmen],"&lt;"&amp;EDATE(G$5,1),tblAuftraege[Kostenstelle],$B21))</f>
        <v/>
      </c>
      <c r="H21" s="25">
        <f>IF($B21="",0,SUMIFS(tblAuftraege[Kalk.
Einnahmen],tblAuftraege[Datum
Einnahmen],"&gt;="&amp;H$5,tblAuftraege[Datum
Einnahmen],"&lt;"&amp;EDATE(H$5,1),tblAuftraege[Kostenstelle],$B21))</f>
        <v/>
      </c>
      <c r="I21" s="25">
        <f>IF($B21="",0,SUMIFS(tblAuftraege[Kalk.
Einnahmen],tblAuftraege[Datum
Einnahmen],"&gt;="&amp;I$5,tblAuftraege[Datum
Einnahmen],"&lt;"&amp;EDATE(I$5,1),tblAuftraege[Kostenstelle],$B21))</f>
        <v/>
      </c>
      <c r="J21" s="25">
        <f>IF($B21="",0,SUMIFS(tblAuftraege[Kalk.
Einnahmen],tblAuftraege[Datum
Einnahmen],"&gt;="&amp;J$5,tblAuftraege[Datum
Einnahmen],"&lt;"&amp;EDATE(J$5,1),tblAuftraege[Kostenstelle],$B21))</f>
        <v/>
      </c>
      <c r="K21" s="25">
        <f>IF($B21="",0,SUMIFS(tblAuftraege[Kalk.
Einnahmen],tblAuftraege[Datum
Einnahmen],"&gt;="&amp;K$5,tblAuftraege[Datum
Einnahmen],"&lt;"&amp;EDATE(K$5,1),tblAuftraege[Kostenstelle],$B21))</f>
        <v/>
      </c>
      <c r="L21" s="25">
        <f>IF($B21="",0,SUMIFS(tblAuftraege[Kalk.
Einnahmen],tblAuftraege[Datum
Einnahmen],"&gt;="&amp;L$5,tblAuftraege[Datum
Einnahmen],"&lt;"&amp;EDATE(L$5,1),tblAuftraege[Kostenstelle],$B21))</f>
        <v/>
      </c>
      <c r="M21" s="25">
        <f>IF($B21="",0,SUMIFS(tblAuftraege[Kalk.
Einnahmen],tblAuftraege[Datum
Einnahmen],"&gt;="&amp;M$5,tblAuftraege[Datum
Einnahmen],"&lt;"&amp;EDATE(M$5,1),tblAuftraege[Kostenstelle],$B21))</f>
        <v/>
      </c>
      <c r="N21" s="25">
        <f>IF($B21="",0,SUMIFS(tblAuftraege[Kalk.
Einnahmen],tblAuftraege[Datum
Einnahmen],"&gt;="&amp;N$5,tblAuftraege[Datum
Einnahmen],"&lt;"&amp;EDATE(N$5,1),tblAuftraege[Kostenstelle],$B21))</f>
        <v/>
      </c>
      <c r="O21" s="25">
        <f>IF($B21="",0,SUMIFS(tblAuftraege[Kalk.
Einnahmen],tblAuftraege[Datum
Einnahmen],"&gt;="&amp;O$5,tblAuftraege[Datum
Einnahmen],"&lt;"&amp;EDATE(O$5,1),tblAuftraege[Kostenstelle],$B21))</f>
        <v/>
      </c>
      <c r="P21" s="25">
        <f>IF($B21="",0,SUMIFS(tblAuftraege[Kalk.
Einnahmen],tblAuftraege[Datum
Einnahmen],"&gt;="&amp;P$5,tblAuftraege[Datum
Einnahmen],"&lt;"&amp;EDATE(P$5,1),tblAuftraege[Kostenstelle],$B21))</f>
        <v/>
      </c>
      <c r="Q21" s="25">
        <f>IF($B21="",0,SUMIFS(tblAuftraege[Kalk.
Einnahmen],tblAuftraege[Datum
Einnahmen],"&gt;="&amp;Q$5,tblAuftraege[Datum
Einnahmen],"&lt;"&amp;EDATE(Q$5,1),tblAuftraege[Kostenstelle],$B21))</f>
        <v/>
      </c>
      <c r="R21" s="25">
        <f>IF($B21="",0,SUMIFS(tblAuftraege[Kalk.
Einnahmen],tblAuftraege[Datum
Einnahmen],"&gt;="&amp;R$5,tblAuftraege[Datum
Einnahmen],"&lt;"&amp;EDATE(R$5,1),tblAuftraege[Kostenstelle],$B21))</f>
        <v/>
      </c>
      <c r="S21" s="25">
        <f>IF($B21="",0,SUMIFS(tblAuftraege[Kalk.
Einnahmen],tblAuftraege[Datum
Einnahmen],"&gt;="&amp;S$5,tblAuftraege[Datum
Einnahmen],"&lt;"&amp;EDATE(S$5,1),tblAuftraege[Kostenstelle],$B21))</f>
        <v/>
      </c>
      <c r="T21" s="25">
        <f>IF($B21="",0,SUMIFS(tblAuftraege[Kalk.
Einnahmen],tblAuftraege[Datum
Einnahmen],"&gt;="&amp;T$5,tblAuftraege[Datum
Einnahmen],"&lt;"&amp;EDATE(T$5,1),tblAuftraege[Kostenstelle],$B21))</f>
        <v/>
      </c>
      <c r="U21" s="25">
        <f>IF($B21="",0,SUMIFS(tblAuftraege[Kalk.
Einnahmen],tblAuftraege[Datum
Einnahmen],"&gt;="&amp;U$5,tblAuftraege[Datum
Einnahmen],"&lt;"&amp;EDATE(U$5,1),tblAuftraege[Kostenstelle],$B21))</f>
        <v/>
      </c>
      <c r="V21" s="25">
        <f>IF($B21="",0,SUMIFS(tblAuftraege[Kalk.
Einnahmen],tblAuftraege[Datum
Einnahmen],"&gt;="&amp;V$5,tblAuftraege[Datum
Einnahmen],"&lt;"&amp;EDATE(V$5,1),tblAuftraege[Kostenstelle],$B21))</f>
        <v/>
      </c>
      <c r="W21" s="25">
        <f>IF($B21="",0,SUMIFS(tblAuftraege[Kalk.
Einnahmen],tblAuftraege[Datum
Einnahmen],"&gt;="&amp;W$5,tblAuftraege[Datum
Einnahmen],"&lt;"&amp;EDATE(W$5,1),tblAuftraege[Kostenstelle],$B21))</f>
        <v/>
      </c>
      <c r="X21" s="25">
        <f>IF($B21="",0,SUMIFS(tblAuftraege[Kalk.
Einnahmen],tblAuftraege[Datum
Einnahmen],"&gt;="&amp;X$5,tblAuftraege[Datum
Einnahmen],"&lt;"&amp;EDATE(X$5,1),tblAuftraege[Kostenstelle],$B21))</f>
        <v/>
      </c>
      <c r="Y21" s="25">
        <f>IF($B21="",0,SUMIFS(tblAuftraege[Kalk.
Einnahmen],tblAuftraege[Datum
Einnahmen],"&gt;="&amp;Y$5,tblAuftraege[Datum
Einnahmen],"&lt;"&amp;EDATE(Y$5,1),tblAuftraege[Kostenstelle],$B21))</f>
        <v/>
      </c>
      <c r="Z21" s="25">
        <f>IF($B21="",0,SUMIFS(tblAuftraege[Kalk.
Einnahmen],tblAuftraege[Datum
Einnahmen],"&gt;="&amp;Z$5,tblAuftraege[Datum
Einnahmen],"&lt;"&amp;EDATE(Z$5,1),tblAuftraege[Kostenstelle],$B21))</f>
        <v/>
      </c>
      <c r="AA21" s="25">
        <f>IF($B21="",0,SUMIFS(tblAuftraege[Kalk.
Einnahmen],tblAuftraege[Datum
Einnahmen],"&gt;="&amp;AA$5,tblAuftraege[Datum
Einnahmen],"&lt;"&amp;EDATE(AA$5,1),tblAuftraege[Kostenstelle],$B21))</f>
        <v/>
      </c>
      <c r="AB21" s="25">
        <f>IF($B21="",0,SUMIFS(tblAuftraege[Kalk.
Einnahmen],tblAuftraege[Datum
Einnahmen],"&gt;="&amp;AB$5,tblAuftraege[Datum
Einnahmen],"&lt;"&amp;EDATE(AB$5,1),tblAuftraege[Kostenstelle],$B21))</f>
        <v/>
      </c>
      <c r="AC21" s="25">
        <f>IF($B21="",0,SUMIFS(tblAuftraege[Kalk.
Einnahmen],tblAuftraege[Datum
Einnahmen],"&gt;="&amp;AC$5,tblAuftraege[Datum
Einnahmen],"&lt;"&amp;EDATE(AC$5,1),tblAuftraege[Kostenstelle],$B21))</f>
        <v/>
      </c>
      <c r="AD21" s="25">
        <f>IF($B21="",0,SUMIFS(tblAuftraege[Kalk.
Einnahmen],tblAuftraege[Datum
Einnahmen],"&gt;="&amp;AD$5,tblAuftraege[Datum
Einnahmen],"&lt;"&amp;EDATE(AD$5,1),tblAuftraege[Kostenstelle],$B21))</f>
        <v/>
      </c>
      <c r="AE21" s="25">
        <f>IF($B21="",0,SUMIFS(tblAuftraege[Kalk.
Einnahmen],tblAuftraege[Datum
Einnahmen],"&gt;="&amp;AE$5,tblAuftraege[Datum
Einnahmen],"&lt;"&amp;EDATE(AE$5,1),tblAuftraege[Kostenstelle],$B21))</f>
        <v/>
      </c>
      <c r="AF21" s="25">
        <f>IF($B21="",0,SUMIFS(tblAuftraege[Kalk.
Einnahmen],tblAuftraege[Datum
Einnahmen],"&gt;="&amp;AF$5,tblAuftraege[Datum
Einnahmen],"&lt;"&amp;EDATE(AF$5,1),tblAuftraege[Kostenstelle],$B21))</f>
        <v/>
      </c>
      <c r="AG21" s="25">
        <f>IF($B21="",0,SUMIFS(tblAuftraege[Kalk.
Einnahmen],tblAuftraege[Datum
Einnahmen],"&gt;="&amp;AG$5,tblAuftraege[Datum
Einnahmen],"&lt;"&amp;EDATE(AG$5,1),tblAuftraege[Kostenstelle],$B21))</f>
        <v/>
      </c>
      <c r="AH21" s="25">
        <f>IF($B21="",0,SUMIFS(tblAuftraege[Kalk.
Einnahmen],tblAuftraege[Datum
Einnahmen],"&gt;="&amp;AH$5,tblAuftraege[Datum
Einnahmen],"&lt;"&amp;EDATE(AH$5,1),tblAuftraege[Kostenstelle],$B21))</f>
        <v/>
      </c>
      <c r="AI21" s="25">
        <f>IF($B21="",0,SUMIFS(tblAuftraege[Kalk.
Einnahmen],tblAuftraege[Datum
Einnahmen],"&gt;="&amp;AI$5,tblAuftraege[Datum
Einnahmen],"&lt;"&amp;EDATE(AI$5,1),tblAuftraege[Kostenstelle],$B21))</f>
        <v/>
      </c>
      <c r="AJ21" s="25">
        <f>IF($B21="",0,SUMIFS(tblAuftraege[Kalk.
Einnahmen],tblAuftraege[Datum
Einnahmen],"&gt;="&amp;AJ$5,tblAuftraege[Datum
Einnahmen],"&lt;"&amp;EDATE(AJ$5,1),tblAuftraege[Kostenstelle],$B21))</f>
        <v/>
      </c>
      <c r="AK21" s="25">
        <f>IF($B21="",0,SUMIFS(tblAuftraege[Kalk.
Einnahmen],tblAuftraege[Datum
Einnahmen],"&gt;="&amp;AK$5,tblAuftraege[Datum
Einnahmen],"&lt;"&amp;EDATE(AK$5,1),tblAuftraege[Kostenstelle],$B21))</f>
        <v/>
      </c>
      <c r="AL21" s="25">
        <f>IF($B21="",0,SUMIFS(tblAuftraege[Kalk.
Einnahmen],tblAuftraege[Datum
Einnahmen],"&gt;="&amp;AL$5,tblAuftraege[Datum
Einnahmen],"&lt;"&amp;EDATE(AL$5,1),tblAuftraege[Kostenstelle],$B21))</f>
        <v/>
      </c>
      <c r="AM21" s="25">
        <f>IF($B21="",0,SUMIFS(tblAuftraege[Kalk.
Einnahmen],tblAuftraege[Datum
Einnahmen],"&gt;="&amp;AM$5,tblAuftraege[Datum
Einnahmen],"&lt;"&amp;EDATE(AM$5,1),tblAuftraege[Kostenstelle],$B21))</f>
        <v/>
      </c>
      <c r="AN21" s="25">
        <f>IF($B21="",0,SUMIFS(tblAuftraege[Kalk.
Einnahmen],tblAuftraege[Datum
Einnahmen],"&gt;="&amp;AN$5,tblAuftraege[Datum
Einnahmen],"&lt;"&amp;EDATE(AN$5,1),tblAuftraege[Kostenstelle],$B21))</f>
        <v/>
      </c>
      <c r="AO21" s="25">
        <f>IF($B21="",0,SUMIFS(tblAuftraege[Kalk.
Einnahmen],tblAuftraege[Datum
Einnahmen],"&gt;="&amp;AO$5,tblAuftraege[Datum
Einnahmen],"&lt;"&amp;EDATE(AO$5,1),tblAuftraege[Kostenstelle],$B21))</f>
        <v/>
      </c>
      <c r="AP21" s="25">
        <f>IF($B21="",0,SUMIFS(tblAuftraege[Kalk.
Einnahmen],tblAuftraege[Datum
Einnahmen],"&gt;="&amp;AP$5,tblAuftraege[Datum
Einnahmen],"&lt;"&amp;EDATE(AP$5,1),tblAuftraege[Kostenstelle],$B21))</f>
        <v/>
      </c>
      <c r="AQ21" s="25">
        <f>IF($B21="",0,SUMIFS(tblAuftraege[Kalk.
Einnahmen],tblAuftraege[Datum
Einnahmen],"&gt;="&amp;AQ$5,tblAuftraege[Datum
Einnahmen],"&lt;"&amp;EDATE(AQ$5,1),tblAuftraege[Kostenstelle],$B21))</f>
        <v/>
      </c>
      <c r="AR21" s="25">
        <f>IF($B21="",0,SUMIFS(tblAuftraege[Kalk.
Einnahmen],tblAuftraege[Datum
Einnahmen],"&gt;="&amp;AR$5,tblAuftraege[Datum
Einnahmen],"&lt;"&amp;EDATE(AR$5,1),tblAuftraege[Kostenstelle],$B21))</f>
        <v/>
      </c>
      <c r="AS21" s="25">
        <f>IF($B21="",0,SUMIFS(tblAuftraege[Kalk.
Einnahmen],tblAuftraege[Datum
Einnahmen],"&gt;="&amp;AS$5,tblAuftraege[Datum
Einnahmen],"&lt;"&amp;EDATE(AS$5,1),tblAuftraege[Kostenstelle],$B21))</f>
        <v/>
      </c>
      <c r="AT21" s="25">
        <f>IF($B21="",0,SUMIFS(tblAuftraege[Kalk.
Einnahmen],tblAuftraege[Datum
Einnahmen],"&gt;="&amp;AT$5,tblAuftraege[Datum
Einnahmen],"&lt;"&amp;EDATE(AT$5,1),tblAuftraege[Kostenstelle],$B21))</f>
        <v/>
      </c>
      <c r="AU21" s="25">
        <f>IF($B21="",0,SUMIFS(tblAuftraege[Kalk.
Einnahmen],tblAuftraege[Datum
Einnahmen],"&gt;="&amp;AU$5,tblAuftraege[Datum
Einnahmen],"&lt;"&amp;EDATE(AU$5,1),tblAuftraege[Kostenstelle],$B21))</f>
        <v/>
      </c>
      <c r="AV21" s="25">
        <f>IF($B21="",0,SUMIFS(tblAuftraege[Kalk.
Einnahmen],tblAuftraege[Datum
Einnahmen],"&gt;="&amp;AV$5,tblAuftraege[Datum
Einnahmen],"&lt;"&amp;EDATE(AV$5,1),tblAuftraege[Kostenstelle],$B21))</f>
        <v/>
      </c>
      <c r="AW21" s="25">
        <f>IF($B21="",0,SUMIFS(tblAuftraege[Kalk.
Einnahmen],tblAuftraege[Datum
Einnahmen],"&gt;="&amp;AW$5,tblAuftraege[Datum
Einnahmen],"&lt;"&amp;EDATE(AW$5,1),tblAuftraege[Kostenstelle],$B21))</f>
        <v/>
      </c>
      <c r="AX21" s="25">
        <f>IF($B21="",0,SUMIFS(tblAuftraege[Kalk.
Einnahmen],tblAuftraege[Datum
Einnahmen],"&gt;="&amp;AX$5,tblAuftraege[Datum
Einnahmen],"&lt;"&amp;EDATE(AX$5,1),tblAuftraege[Kostenstelle],$B21))</f>
        <v/>
      </c>
      <c r="AY21" s="25">
        <f>IF($B21="",0,SUMIFS(tblAuftraege[Kalk.
Einnahmen],tblAuftraege[Datum
Einnahmen],"&gt;="&amp;AY$5,tblAuftraege[Datum
Einnahmen],"&lt;"&amp;EDATE(AY$5,1),tblAuftraege[Kostenstelle],$B21))</f>
        <v/>
      </c>
      <c r="AZ21" s="25">
        <f>IF($B21="",0,SUMIFS(tblAuftraege[Kalk.
Einnahmen],tblAuftraege[Datum
Einnahmen],"&gt;="&amp;AZ$5,tblAuftraege[Datum
Einnahmen],"&lt;"&amp;EDATE(AZ$5,1),tblAuftraege[Kostenstelle],$B21))</f>
        <v/>
      </c>
      <c r="BA21" s="25">
        <f>IF($B21="",0,SUMIFS(tblAuftraege[Kalk.
Einnahmen],tblAuftraege[Datum
Einnahmen],"&gt;="&amp;BA$5,tblAuftraege[Datum
Einnahmen],"&lt;"&amp;EDATE(BA$5,1),tblAuftraege[Kostenstelle],$B21))</f>
        <v/>
      </c>
      <c r="BB21" s="25">
        <f>IF($B21="",0,SUMIFS(tblAuftraege[Kalk.
Einnahmen],tblAuftraege[Datum
Einnahmen],"&gt;="&amp;BB$5,tblAuftraege[Datum
Einnahmen],"&lt;"&amp;EDATE(BB$5,1),tblAuftraege[Kostenstelle],$B21))</f>
        <v/>
      </c>
      <c r="BC21" s="25">
        <f>IF($B21="",0,SUMIFS(tblAuftraege[Kalk.
Einnahmen],tblAuftraege[Datum
Einnahmen],"&gt;="&amp;BC$5,tblAuftraege[Datum
Einnahmen],"&lt;"&amp;EDATE(BC$5,1),tblAuftraege[Kostenstelle],$B21))</f>
        <v/>
      </c>
      <c r="BD21" s="25">
        <f>IF($B21="",0,SUMIFS(tblAuftraege[Kalk.
Einnahmen],tblAuftraege[Datum
Einnahmen],"&gt;="&amp;BD$5,tblAuftraege[Datum
Einnahmen],"&lt;"&amp;EDATE(BD$5,1),tblAuftraege[Kostenstelle],$B21))</f>
        <v/>
      </c>
      <c r="BE21" s="25">
        <f>SUM(C21:H21)</f>
        <v/>
      </c>
      <c r="BF21" s="25">
        <f>SUM(I21:T21)</f>
        <v/>
      </c>
      <c r="BG21" s="25">
        <f>SUM(U21:AF21)</f>
        <v/>
      </c>
      <c r="BH21" s="25">
        <f>SUM(AG21:AR21)</f>
        <v/>
      </c>
      <c r="BI21" s="25">
        <f>SUM(AS21:BD21)</f>
        <v/>
      </c>
      <c r="BJ21" s="25">
        <f>SUM(C21:BD21)</f>
        <v/>
      </c>
    </row>
    <row r="22">
      <c r="A22" s="34" t="n"/>
      <c r="B22" s="49" t="inlineStr">
        <is>
          <t>87004006 - Autostrom LKW</t>
        </is>
      </c>
      <c r="C22" s="25">
        <f>IF($B22="",0,SUMIFS(tblAuftraege[Kalk.
Einnahmen],tblAuftraege[Datum
Einnahmen],"&gt;="&amp;C$5,tblAuftraege[Datum
Einnahmen],"&lt;"&amp;EDATE(C$5,1),tblAuftraege[Kostenstelle],$B22))</f>
        <v/>
      </c>
      <c r="D22" s="25">
        <f>IF($B22="",0,SUMIFS(tblAuftraege[Kalk.
Einnahmen],tblAuftraege[Datum
Einnahmen],"&gt;="&amp;D$5,tblAuftraege[Datum
Einnahmen],"&lt;"&amp;EDATE(D$5,1),tblAuftraege[Kostenstelle],$B22))</f>
        <v/>
      </c>
      <c r="E22" s="25">
        <f>IF($B22="",0,SUMIFS(tblAuftraege[Kalk.
Einnahmen],tblAuftraege[Datum
Einnahmen],"&gt;="&amp;E$5,tblAuftraege[Datum
Einnahmen],"&lt;"&amp;EDATE(E$5,1),tblAuftraege[Kostenstelle],$B22))</f>
        <v/>
      </c>
      <c r="F22" s="25">
        <f>IF($B22="",0,SUMIFS(tblAuftraege[Kalk.
Einnahmen],tblAuftraege[Datum
Einnahmen],"&gt;="&amp;F$5,tblAuftraege[Datum
Einnahmen],"&lt;"&amp;EDATE(F$5,1),tblAuftraege[Kostenstelle],$B22))</f>
        <v/>
      </c>
      <c r="G22" s="25">
        <f>IF($B22="",0,SUMIFS(tblAuftraege[Kalk.
Einnahmen],tblAuftraege[Datum
Einnahmen],"&gt;="&amp;G$5,tblAuftraege[Datum
Einnahmen],"&lt;"&amp;EDATE(G$5,1),tblAuftraege[Kostenstelle],$B22))</f>
        <v/>
      </c>
      <c r="H22" s="25">
        <f>IF($B22="",0,SUMIFS(tblAuftraege[Kalk.
Einnahmen],tblAuftraege[Datum
Einnahmen],"&gt;="&amp;H$5,tblAuftraege[Datum
Einnahmen],"&lt;"&amp;EDATE(H$5,1),tblAuftraege[Kostenstelle],$B22))</f>
        <v/>
      </c>
      <c r="I22" s="25">
        <f>IF($B22="",0,SUMIFS(tblAuftraege[Kalk.
Einnahmen],tblAuftraege[Datum
Einnahmen],"&gt;="&amp;I$5,tblAuftraege[Datum
Einnahmen],"&lt;"&amp;EDATE(I$5,1),tblAuftraege[Kostenstelle],$B22))</f>
        <v/>
      </c>
      <c r="J22" s="25">
        <f>IF($B22="",0,SUMIFS(tblAuftraege[Kalk.
Einnahmen],tblAuftraege[Datum
Einnahmen],"&gt;="&amp;J$5,tblAuftraege[Datum
Einnahmen],"&lt;"&amp;EDATE(J$5,1),tblAuftraege[Kostenstelle],$B22))</f>
        <v/>
      </c>
      <c r="K22" s="25">
        <f>IF($B22="",0,SUMIFS(tblAuftraege[Kalk.
Einnahmen],tblAuftraege[Datum
Einnahmen],"&gt;="&amp;K$5,tblAuftraege[Datum
Einnahmen],"&lt;"&amp;EDATE(K$5,1),tblAuftraege[Kostenstelle],$B22))</f>
        <v/>
      </c>
      <c r="L22" s="25">
        <f>IF($B22="",0,SUMIFS(tblAuftraege[Kalk.
Einnahmen],tblAuftraege[Datum
Einnahmen],"&gt;="&amp;L$5,tblAuftraege[Datum
Einnahmen],"&lt;"&amp;EDATE(L$5,1),tblAuftraege[Kostenstelle],$B22))</f>
        <v/>
      </c>
      <c r="M22" s="25">
        <f>IF($B22="",0,SUMIFS(tblAuftraege[Kalk.
Einnahmen],tblAuftraege[Datum
Einnahmen],"&gt;="&amp;M$5,tblAuftraege[Datum
Einnahmen],"&lt;"&amp;EDATE(M$5,1),tblAuftraege[Kostenstelle],$B22))</f>
        <v/>
      </c>
      <c r="N22" s="25">
        <f>IF($B22="",0,SUMIFS(tblAuftraege[Kalk.
Einnahmen],tblAuftraege[Datum
Einnahmen],"&gt;="&amp;N$5,tblAuftraege[Datum
Einnahmen],"&lt;"&amp;EDATE(N$5,1),tblAuftraege[Kostenstelle],$B22))</f>
        <v/>
      </c>
      <c r="O22" s="25">
        <f>IF($B22="",0,SUMIFS(tblAuftraege[Kalk.
Einnahmen],tblAuftraege[Datum
Einnahmen],"&gt;="&amp;O$5,tblAuftraege[Datum
Einnahmen],"&lt;"&amp;EDATE(O$5,1),tblAuftraege[Kostenstelle],$B22))</f>
        <v/>
      </c>
      <c r="P22" s="25">
        <f>IF($B22="",0,SUMIFS(tblAuftraege[Kalk.
Einnahmen],tblAuftraege[Datum
Einnahmen],"&gt;="&amp;P$5,tblAuftraege[Datum
Einnahmen],"&lt;"&amp;EDATE(P$5,1),tblAuftraege[Kostenstelle],$B22))</f>
        <v/>
      </c>
      <c r="Q22" s="25">
        <f>IF($B22="",0,SUMIFS(tblAuftraege[Kalk.
Einnahmen],tblAuftraege[Datum
Einnahmen],"&gt;="&amp;Q$5,tblAuftraege[Datum
Einnahmen],"&lt;"&amp;EDATE(Q$5,1),tblAuftraege[Kostenstelle],$B22))</f>
        <v/>
      </c>
      <c r="R22" s="25">
        <f>IF($B22="",0,SUMIFS(tblAuftraege[Kalk.
Einnahmen],tblAuftraege[Datum
Einnahmen],"&gt;="&amp;R$5,tblAuftraege[Datum
Einnahmen],"&lt;"&amp;EDATE(R$5,1),tblAuftraege[Kostenstelle],$B22))</f>
        <v/>
      </c>
      <c r="S22" s="25">
        <f>IF($B22="",0,SUMIFS(tblAuftraege[Kalk.
Einnahmen],tblAuftraege[Datum
Einnahmen],"&gt;="&amp;S$5,tblAuftraege[Datum
Einnahmen],"&lt;"&amp;EDATE(S$5,1),tblAuftraege[Kostenstelle],$B22))</f>
        <v/>
      </c>
      <c r="T22" s="25">
        <f>IF($B22="",0,SUMIFS(tblAuftraege[Kalk.
Einnahmen],tblAuftraege[Datum
Einnahmen],"&gt;="&amp;T$5,tblAuftraege[Datum
Einnahmen],"&lt;"&amp;EDATE(T$5,1),tblAuftraege[Kostenstelle],$B22))</f>
        <v/>
      </c>
      <c r="U22" s="25">
        <f>IF($B22="",0,SUMIFS(tblAuftraege[Kalk.
Einnahmen],tblAuftraege[Datum
Einnahmen],"&gt;="&amp;U$5,tblAuftraege[Datum
Einnahmen],"&lt;"&amp;EDATE(U$5,1),tblAuftraege[Kostenstelle],$B22))</f>
        <v/>
      </c>
      <c r="V22" s="25">
        <f>IF($B22="",0,SUMIFS(tblAuftraege[Kalk.
Einnahmen],tblAuftraege[Datum
Einnahmen],"&gt;="&amp;V$5,tblAuftraege[Datum
Einnahmen],"&lt;"&amp;EDATE(V$5,1),tblAuftraege[Kostenstelle],$B22))</f>
        <v/>
      </c>
      <c r="W22" s="25">
        <f>IF($B22="",0,SUMIFS(tblAuftraege[Kalk.
Einnahmen],tblAuftraege[Datum
Einnahmen],"&gt;="&amp;W$5,tblAuftraege[Datum
Einnahmen],"&lt;"&amp;EDATE(W$5,1),tblAuftraege[Kostenstelle],$B22))</f>
        <v/>
      </c>
      <c r="X22" s="25">
        <f>IF($B22="",0,SUMIFS(tblAuftraege[Kalk.
Einnahmen],tblAuftraege[Datum
Einnahmen],"&gt;="&amp;X$5,tblAuftraege[Datum
Einnahmen],"&lt;"&amp;EDATE(X$5,1),tblAuftraege[Kostenstelle],$B22))</f>
        <v/>
      </c>
      <c r="Y22" s="25">
        <f>IF($B22="",0,SUMIFS(tblAuftraege[Kalk.
Einnahmen],tblAuftraege[Datum
Einnahmen],"&gt;="&amp;Y$5,tblAuftraege[Datum
Einnahmen],"&lt;"&amp;EDATE(Y$5,1),tblAuftraege[Kostenstelle],$B22))</f>
        <v/>
      </c>
      <c r="Z22" s="25">
        <f>IF($B22="",0,SUMIFS(tblAuftraege[Kalk.
Einnahmen],tblAuftraege[Datum
Einnahmen],"&gt;="&amp;Z$5,tblAuftraege[Datum
Einnahmen],"&lt;"&amp;EDATE(Z$5,1),tblAuftraege[Kostenstelle],$B22))</f>
        <v/>
      </c>
      <c r="AA22" s="25">
        <f>IF($B22="",0,SUMIFS(tblAuftraege[Kalk.
Einnahmen],tblAuftraege[Datum
Einnahmen],"&gt;="&amp;AA$5,tblAuftraege[Datum
Einnahmen],"&lt;"&amp;EDATE(AA$5,1),tblAuftraege[Kostenstelle],$B22))</f>
        <v/>
      </c>
      <c r="AB22" s="25">
        <f>IF($B22="",0,SUMIFS(tblAuftraege[Kalk.
Einnahmen],tblAuftraege[Datum
Einnahmen],"&gt;="&amp;AB$5,tblAuftraege[Datum
Einnahmen],"&lt;"&amp;EDATE(AB$5,1),tblAuftraege[Kostenstelle],$B22))</f>
        <v/>
      </c>
      <c r="AC22" s="25">
        <f>IF($B22="",0,SUMIFS(tblAuftraege[Kalk.
Einnahmen],tblAuftraege[Datum
Einnahmen],"&gt;="&amp;AC$5,tblAuftraege[Datum
Einnahmen],"&lt;"&amp;EDATE(AC$5,1),tblAuftraege[Kostenstelle],$B22))</f>
        <v/>
      </c>
      <c r="AD22" s="25">
        <f>IF($B22="",0,SUMIFS(tblAuftraege[Kalk.
Einnahmen],tblAuftraege[Datum
Einnahmen],"&gt;="&amp;AD$5,tblAuftraege[Datum
Einnahmen],"&lt;"&amp;EDATE(AD$5,1),tblAuftraege[Kostenstelle],$B22))</f>
        <v/>
      </c>
      <c r="AE22" s="25">
        <f>IF($B22="",0,SUMIFS(tblAuftraege[Kalk.
Einnahmen],tblAuftraege[Datum
Einnahmen],"&gt;="&amp;AE$5,tblAuftraege[Datum
Einnahmen],"&lt;"&amp;EDATE(AE$5,1),tblAuftraege[Kostenstelle],$B22))</f>
        <v/>
      </c>
      <c r="AF22" s="25">
        <f>IF($B22="",0,SUMIFS(tblAuftraege[Kalk.
Einnahmen],tblAuftraege[Datum
Einnahmen],"&gt;="&amp;AF$5,tblAuftraege[Datum
Einnahmen],"&lt;"&amp;EDATE(AF$5,1),tblAuftraege[Kostenstelle],$B22))</f>
        <v/>
      </c>
      <c r="AG22" s="25">
        <f>IF($B22="",0,SUMIFS(tblAuftraege[Kalk.
Einnahmen],tblAuftraege[Datum
Einnahmen],"&gt;="&amp;AG$5,tblAuftraege[Datum
Einnahmen],"&lt;"&amp;EDATE(AG$5,1),tblAuftraege[Kostenstelle],$B22))</f>
        <v/>
      </c>
      <c r="AH22" s="25">
        <f>IF($B22="",0,SUMIFS(tblAuftraege[Kalk.
Einnahmen],tblAuftraege[Datum
Einnahmen],"&gt;="&amp;AH$5,tblAuftraege[Datum
Einnahmen],"&lt;"&amp;EDATE(AH$5,1),tblAuftraege[Kostenstelle],$B22))</f>
        <v/>
      </c>
      <c r="AI22" s="25">
        <f>IF($B22="",0,SUMIFS(tblAuftraege[Kalk.
Einnahmen],tblAuftraege[Datum
Einnahmen],"&gt;="&amp;AI$5,tblAuftraege[Datum
Einnahmen],"&lt;"&amp;EDATE(AI$5,1),tblAuftraege[Kostenstelle],$B22))</f>
        <v/>
      </c>
      <c r="AJ22" s="25">
        <f>IF($B22="",0,SUMIFS(tblAuftraege[Kalk.
Einnahmen],tblAuftraege[Datum
Einnahmen],"&gt;="&amp;AJ$5,tblAuftraege[Datum
Einnahmen],"&lt;"&amp;EDATE(AJ$5,1),tblAuftraege[Kostenstelle],$B22))</f>
        <v/>
      </c>
      <c r="AK22" s="25">
        <f>IF($B22="",0,SUMIFS(tblAuftraege[Kalk.
Einnahmen],tblAuftraege[Datum
Einnahmen],"&gt;="&amp;AK$5,tblAuftraege[Datum
Einnahmen],"&lt;"&amp;EDATE(AK$5,1),tblAuftraege[Kostenstelle],$B22))</f>
        <v/>
      </c>
      <c r="AL22" s="25">
        <f>IF($B22="",0,SUMIFS(tblAuftraege[Kalk.
Einnahmen],tblAuftraege[Datum
Einnahmen],"&gt;="&amp;AL$5,tblAuftraege[Datum
Einnahmen],"&lt;"&amp;EDATE(AL$5,1),tblAuftraege[Kostenstelle],$B22))</f>
        <v/>
      </c>
      <c r="AM22" s="25">
        <f>IF($B22="",0,SUMIFS(tblAuftraege[Kalk.
Einnahmen],tblAuftraege[Datum
Einnahmen],"&gt;="&amp;AM$5,tblAuftraege[Datum
Einnahmen],"&lt;"&amp;EDATE(AM$5,1),tblAuftraege[Kostenstelle],$B22))</f>
        <v/>
      </c>
      <c r="AN22" s="25">
        <f>IF($B22="",0,SUMIFS(tblAuftraege[Kalk.
Einnahmen],tblAuftraege[Datum
Einnahmen],"&gt;="&amp;AN$5,tblAuftraege[Datum
Einnahmen],"&lt;"&amp;EDATE(AN$5,1),tblAuftraege[Kostenstelle],$B22))</f>
        <v/>
      </c>
      <c r="AO22" s="25">
        <f>IF($B22="",0,SUMIFS(tblAuftraege[Kalk.
Einnahmen],tblAuftraege[Datum
Einnahmen],"&gt;="&amp;AO$5,tblAuftraege[Datum
Einnahmen],"&lt;"&amp;EDATE(AO$5,1),tblAuftraege[Kostenstelle],$B22))</f>
        <v/>
      </c>
      <c r="AP22" s="25">
        <f>IF($B22="",0,SUMIFS(tblAuftraege[Kalk.
Einnahmen],tblAuftraege[Datum
Einnahmen],"&gt;="&amp;AP$5,tblAuftraege[Datum
Einnahmen],"&lt;"&amp;EDATE(AP$5,1),tblAuftraege[Kostenstelle],$B22))</f>
        <v/>
      </c>
      <c r="AQ22" s="25">
        <f>IF($B22="",0,SUMIFS(tblAuftraege[Kalk.
Einnahmen],tblAuftraege[Datum
Einnahmen],"&gt;="&amp;AQ$5,tblAuftraege[Datum
Einnahmen],"&lt;"&amp;EDATE(AQ$5,1),tblAuftraege[Kostenstelle],$B22))</f>
        <v/>
      </c>
      <c r="AR22" s="25">
        <f>IF($B22="",0,SUMIFS(tblAuftraege[Kalk.
Einnahmen],tblAuftraege[Datum
Einnahmen],"&gt;="&amp;AR$5,tblAuftraege[Datum
Einnahmen],"&lt;"&amp;EDATE(AR$5,1),tblAuftraege[Kostenstelle],$B22))</f>
        <v/>
      </c>
      <c r="AS22" s="25">
        <f>IF($B22="",0,SUMIFS(tblAuftraege[Kalk.
Einnahmen],tblAuftraege[Datum
Einnahmen],"&gt;="&amp;AS$5,tblAuftraege[Datum
Einnahmen],"&lt;"&amp;EDATE(AS$5,1),tblAuftraege[Kostenstelle],$B22))</f>
        <v/>
      </c>
      <c r="AT22" s="25">
        <f>IF($B22="",0,SUMIFS(tblAuftraege[Kalk.
Einnahmen],tblAuftraege[Datum
Einnahmen],"&gt;="&amp;AT$5,tblAuftraege[Datum
Einnahmen],"&lt;"&amp;EDATE(AT$5,1),tblAuftraege[Kostenstelle],$B22))</f>
        <v/>
      </c>
      <c r="AU22" s="25">
        <f>IF($B22="",0,SUMIFS(tblAuftraege[Kalk.
Einnahmen],tblAuftraege[Datum
Einnahmen],"&gt;="&amp;AU$5,tblAuftraege[Datum
Einnahmen],"&lt;"&amp;EDATE(AU$5,1),tblAuftraege[Kostenstelle],$B22))</f>
        <v/>
      </c>
      <c r="AV22" s="25">
        <f>IF($B22="",0,SUMIFS(tblAuftraege[Kalk.
Einnahmen],tblAuftraege[Datum
Einnahmen],"&gt;="&amp;AV$5,tblAuftraege[Datum
Einnahmen],"&lt;"&amp;EDATE(AV$5,1),tblAuftraege[Kostenstelle],$B22))</f>
        <v/>
      </c>
      <c r="AW22" s="25">
        <f>IF($B22="",0,SUMIFS(tblAuftraege[Kalk.
Einnahmen],tblAuftraege[Datum
Einnahmen],"&gt;="&amp;AW$5,tblAuftraege[Datum
Einnahmen],"&lt;"&amp;EDATE(AW$5,1),tblAuftraege[Kostenstelle],$B22))</f>
        <v/>
      </c>
      <c r="AX22" s="25">
        <f>IF($B22="",0,SUMIFS(tblAuftraege[Kalk.
Einnahmen],tblAuftraege[Datum
Einnahmen],"&gt;="&amp;AX$5,tblAuftraege[Datum
Einnahmen],"&lt;"&amp;EDATE(AX$5,1),tblAuftraege[Kostenstelle],$B22))</f>
        <v/>
      </c>
      <c r="AY22" s="25">
        <f>IF($B22="",0,SUMIFS(tblAuftraege[Kalk.
Einnahmen],tblAuftraege[Datum
Einnahmen],"&gt;="&amp;AY$5,tblAuftraege[Datum
Einnahmen],"&lt;"&amp;EDATE(AY$5,1),tblAuftraege[Kostenstelle],$B22))</f>
        <v/>
      </c>
      <c r="AZ22" s="25">
        <f>IF($B22="",0,SUMIFS(tblAuftraege[Kalk.
Einnahmen],tblAuftraege[Datum
Einnahmen],"&gt;="&amp;AZ$5,tblAuftraege[Datum
Einnahmen],"&lt;"&amp;EDATE(AZ$5,1),tblAuftraege[Kostenstelle],$B22))</f>
        <v/>
      </c>
      <c r="BA22" s="25">
        <f>IF($B22="",0,SUMIFS(tblAuftraege[Kalk.
Einnahmen],tblAuftraege[Datum
Einnahmen],"&gt;="&amp;BA$5,tblAuftraege[Datum
Einnahmen],"&lt;"&amp;EDATE(BA$5,1),tblAuftraege[Kostenstelle],$B22))</f>
        <v/>
      </c>
      <c r="BB22" s="25">
        <f>IF($B22="",0,SUMIFS(tblAuftraege[Kalk.
Einnahmen],tblAuftraege[Datum
Einnahmen],"&gt;="&amp;BB$5,tblAuftraege[Datum
Einnahmen],"&lt;"&amp;EDATE(BB$5,1),tblAuftraege[Kostenstelle],$B22))</f>
        <v/>
      </c>
      <c r="BC22" s="25">
        <f>IF($B22="",0,SUMIFS(tblAuftraege[Kalk.
Einnahmen],tblAuftraege[Datum
Einnahmen],"&gt;="&amp;BC$5,tblAuftraege[Datum
Einnahmen],"&lt;"&amp;EDATE(BC$5,1),tblAuftraege[Kostenstelle],$B22))</f>
        <v/>
      </c>
      <c r="BD22" s="25">
        <f>IF($B22="",0,SUMIFS(tblAuftraege[Kalk.
Einnahmen],tblAuftraege[Datum
Einnahmen],"&gt;="&amp;BD$5,tblAuftraege[Datum
Einnahmen],"&lt;"&amp;EDATE(BD$5,1),tblAuftraege[Kostenstelle],$B22))</f>
        <v/>
      </c>
      <c r="BE22" s="25">
        <f>SUM(C22:H22)</f>
        <v/>
      </c>
      <c r="BF22" s="25">
        <f>SUM(I22:T22)</f>
        <v/>
      </c>
      <c r="BG22" s="25">
        <f>SUM(U22:AF22)</f>
        <v/>
      </c>
      <c r="BH22" s="25">
        <f>SUM(AG22:AR22)</f>
        <v/>
      </c>
      <c r="BI22" s="25">
        <f>SUM(AS22:BD22)</f>
        <v/>
      </c>
      <c r="BJ22" s="25">
        <f>SUM(C22:BD22)</f>
        <v/>
      </c>
    </row>
    <row r="23">
      <c r="A23" s="34" t="n"/>
      <c r="B23" s="49" t="inlineStr">
        <is>
          <t>85309000 - Bereichskostenstelle EDM</t>
        </is>
      </c>
      <c r="C23" s="25">
        <f>IF($B23="",0,SUMIFS(tblAuftraege[Kalk.
Einnahmen],tblAuftraege[Datum
Einnahmen],"&gt;="&amp;C$5,tblAuftraege[Datum
Einnahmen],"&lt;"&amp;EDATE(C$5,1),tblAuftraege[Kostenstelle],$B23))</f>
        <v/>
      </c>
      <c r="D23" s="25">
        <f>IF($B23="",0,SUMIFS(tblAuftraege[Kalk.
Einnahmen],tblAuftraege[Datum
Einnahmen],"&gt;="&amp;D$5,tblAuftraege[Datum
Einnahmen],"&lt;"&amp;EDATE(D$5,1),tblAuftraege[Kostenstelle],$B23))</f>
        <v/>
      </c>
      <c r="E23" s="25">
        <f>IF($B23="",0,SUMIFS(tblAuftraege[Kalk.
Einnahmen],tblAuftraege[Datum
Einnahmen],"&gt;="&amp;E$5,tblAuftraege[Datum
Einnahmen],"&lt;"&amp;EDATE(E$5,1),tblAuftraege[Kostenstelle],$B23))</f>
        <v/>
      </c>
      <c r="F23" s="25">
        <f>IF($B23="",0,SUMIFS(tblAuftraege[Kalk.
Einnahmen],tblAuftraege[Datum
Einnahmen],"&gt;="&amp;F$5,tblAuftraege[Datum
Einnahmen],"&lt;"&amp;EDATE(F$5,1),tblAuftraege[Kostenstelle],$B23))</f>
        <v/>
      </c>
      <c r="G23" s="25">
        <f>IF($B23="",0,SUMIFS(tblAuftraege[Kalk.
Einnahmen],tblAuftraege[Datum
Einnahmen],"&gt;="&amp;G$5,tblAuftraege[Datum
Einnahmen],"&lt;"&amp;EDATE(G$5,1),tblAuftraege[Kostenstelle],$B23))</f>
        <v/>
      </c>
      <c r="H23" s="25">
        <f>IF($B23="",0,SUMIFS(tblAuftraege[Kalk.
Einnahmen],tblAuftraege[Datum
Einnahmen],"&gt;="&amp;H$5,tblAuftraege[Datum
Einnahmen],"&lt;"&amp;EDATE(H$5,1),tblAuftraege[Kostenstelle],$B23))</f>
        <v/>
      </c>
      <c r="I23" s="25">
        <f>IF($B23="",0,SUMIFS(tblAuftraege[Kalk.
Einnahmen],tblAuftraege[Datum
Einnahmen],"&gt;="&amp;I$5,tblAuftraege[Datum
Einnahmen],"&lt;"&amp;EDATE(I$5,1),tblAuftraege[Kostenstelle],$B23))</f>
        <v/>
      </c>
      <c r="J23" s="25">
        <f>IF($B23="",0,SUMIFS(tblAuftraege[Kalk.
Einnahmen],tblAuftraege[Datum
Einnahmen],"&gt;="&amp;J$5,tblAuftraege[Datum
Einnahmen],"&lt;"&amp;EDATE(J$5,1),tblAuftraege[Kostenstelle],$B23))</f>
        <v/>
      </c>
      <c r="K23" s="25">
        <f>IF($B23="",0,SUMIFS(tblAuftraege[Kalk.
Einnahmen],tblAuftraege[Datum
Einnahmen],"&gt;="&amp;K$5,tblAuftraege[Datum
Einnahmen],"&lt;"&amp;EDATE(K$5,1),tblAuftraege[Kostenstelle],$B23))</f>
        <v/>
      </c>
      <c r="L23" s="25">
        <f>IF($B23="",0,SUMIFS(tblAuftraege[Kalk.
Einnahmen],tblAuftraege[Datum
Einnahmen],"&gt;="&amp;L$5,tblAuftraege[Datum
Einnahmen],"&lt;"&amp;EDATE(L$5,1),tblAuftraege[Kostenstelle],$B23))</f>
        <v/>
      </c>
      <c r="M23" s="25">
        <f>IF($B23="",0,SUMIFS(tblAuftraege[Kalk.
Einnahmen],tblAuftraege[Datum
Einnahmen],"&gt;="&amp;M$5,tblAuftraege[Datum
Einnahmen],"&lt;"&amp;EDATE(M$5,1),tblAuftraege[Kostenstelle],$B23))</f>
        <v/>
      </c>
      <c r="N23" s="25">
        <f>IF($B23="",0,SUMIFS(tblAuftraege[Kalk.
Einnahmen],tblAuftraege[Datum
Einnahmen],"&gt;="&amp;N$5,tblAuftraege[Datum
Einnahmen],"&lt;"&amp;EDATE(N$5,1),tblAuftraege[Kostenstelle],$B23))</f>
        <v/>
      </c>
      <c r="O23" s="25">
        <f>IF($B23="",0,SUMIFS(tblAuftraege[Kalk.
Einnahmen],tblAuftraege[Datum
Einnahmen],"&gt;="&amp;O$5,tblAuftraege[Datum
Einnahmen],"&lt;"&amp;EDATE(O$5,1),tblAuftraege[Kostenstelle],$B23))</f>
        <v/>
      </c>
      <c r="P23" s="25">
        <f>IF($B23="",0,SUMIFS(tblAuftraege[Kalk.
Einnahmen],tblAuftraege[Datum
Einnahmen],"&gt;="&amp;P$5,tblAuftraege[Datum
Einnahmen],"&lt;"&amp;EDATE(P$5,1),tblAuftraege[Kostenstelle],$B23))</f>
        <v/>
      </c>
      <c r="Q23" s="25">
        <f>IF($B23="",0,SUMIFS(tblAuftraege[Kalk.
Einnahmen],tblAuftraege[Datum
Einnahmen],"&gt;="&amp;Q$5,tblAuftraege[Datum
Einnahmen],"&lt;"&amp;EDATE(Q$5,1),tblAuftraege[Kostenstelle],$B23))</f>
        <v/>
      </c>
      <c r="R23" s="25">
        <f>IF($B23="",0,SUMIFS(tblAuftraege[Kalk.
Einnahmen],tblAuftraege[Datum
Einnahmen],"&gt;="&amp;R$5,tblAuftraege[Datum
Einnahmen],"&lt;"&amp;EDATE(R$5,1),tblAuftraege[Kostenstelle],$B23))</f>
        <v/>
      </c>
      <c r="S23" s="25">
        <f>IF($B23="",0,SUMIFS(tblAuftraege[Kalk.
Einnahmen],tblAuftraege[Datum
Einnahmen],"&gt;="&amp;S$5,tblAuftraege[Datum
Einnahmen],"&lt;"&amp;EDATE(S$5,1),tblAuftraege[Kostenstelle],$B23))</f>
        <v/>
      </c>
      <c r="T23" s="25">
        <f>IF($B23="",0,SUMIFS(tblAuftraege[Kalk.
Einnahmen],tblAuftraege[Datum
Einnahmen],"&gt;="&amp;T$5,tblAuftraege[Datum
Einnahmen],"&lt;"&amp;EDATE(T$5,1),tblAuftraege[Kostenstelle],$B23))</f>
        <v/>
      </c>
      <c r="U23" s="25">
        <f>IF($B23="",0,SUMIFS(tblAuftraege[Kalk.
Einnahmen],tblAuftraege[Datum
Einnahmen],"&gt;="&amp;U$5,tblAuftraege[Datum
Einnahmen],"&lt;"&amp;EDATE(U$5,1),tblAuftraege[Kostenstelle],$B23))</f>
        <v/>
      </c>
      <c r="V23" s="25">
        <f>IF($B23="",0,SUMIFS(tblAuftraege[Kalk.
Einnahmen],tblAuftraege[Datum
Einnahmen],"&gt;="&amp;V$5,tblAuftraege[Datum
Einnahmen],"&lt;"&amp;EDATE(V$5,1),tblAuftraege[Kostenstelle],$B23))</f>
        <v/>
      </c>
      <c r="W23" s="25">
        <f>IF($B23="",0,SUMIFS(tblAuftraege[Kalk.
Einnahmen],tblAuftraege[Datum
Einnahmen],"&gt;="&amp;W$5,tblAuftraege[Datum
Einnahmen],"&lt;"&amp;EDATE(W$5,1),tblAuftraege[Kostenstelle],$B23))</f>
        <v/>
      </c>
      <c r="X23" s="25">
        <f>IF($B23="",0,SUMIFS(tblAuftraege[Kalk.
Einnahmen],tblAuftraege[Datum
Einnahmen],"&gt;="&amp;X$5,tblAuftraege[Datum
Einnahmen],"&lt;"&amp;EDATE(X$5,1),tblAuftraege[Kostenstelle],$B23))</f>
        <v/>
      </c>
      <c r="Y23" s="25">
        <f>IF($B23="",0,SUMIFS(tblAuftraege[Kalk.
Einnahmen],tblAuftraege[Datum
Einnahmen],"&gt;="&amp;Y$5,tblAuftraege[Datum
Einnahmen],"&lt;"&amp;EDATE(Y$5,1),tblAuftraege[Kostenstelle],$B23))</f>
        <v/>
      </c>
      <c r="Z23" s="25">
        <f>IF($B23="",0,SUMIFS(tblAuftraege[Kalk.
Einnahmen],tblAuftraege[Datum
Einnahmen],"&gt;="&amp;Z$5,tblAuftraege[Datum
Einnahmen],"&lt;"&amp;EDATE(Z$5,1),tblAuftraege[Kostenstelle],$B23))</f>
        <v/>
      </c>
      <c r="AA23" s="25">
        <f>IF($B23="",0,SUMIFS(tblAuftraege[Kalk.
Einnahmen],tblAuftraege[Datum
Einnahmen],"&gt;="&amp;AA$5,tblAuftraege[Datum
Einnahmen],"&lt;"&amp;EDATE(AA$5,1),tblAuftraege[Kostenstelle],$B23))</f>
        <v/>
      </c>
      <c r="AB23" s="25">
        <f>IF($B23="",0,SUMIFS(tblAuftraege[Kalk.
Einnahmen],tblAuftraege[Datum
Einnahmen],"&gt;="&amp;AB$5,tblAuftraege[Datum
Einnahmen],"&lt;"&amp;EDATE(AB$5,1),tblAuftraege[Kostenstelle],$B23))</f>
        <v/>
      </c>
      <c r="AC23" s="25">
        <f>IF($B23="",0,SUMIFS(tblAuftraege[Kalk.
Einnahmen],tblAuftraege[Datum
Einnahmen],"&gt;="&amp;AC$5,tblAuftraege[Datum
Einnahmen],"&lt;"&amp;EDATE(AC$5,1),tblAuftraege[Kostenstelle],$B23))</f>
        <v/>
      </c>
      <c r="AD23" s="25">
        <f>IF($B23="",0,SUMIFS(tblAuftraege[Kalk.
Einnahmen],tblAuftraege[Datum
Einnahmen],"&gt;="&amp;AD$5,tblAuftraege[Datum
Einnahmen],"&lt;"&amp;EDATE(AD$5,1),tblAuftraege[Kostenstelle],$B23))</f>
        <v/>
      </c>
      <c r="AE23" s="25">
        <f>IF($B23="",0,SUMIFS(tblAuftraege[Kalk.
Einnahmen],tblAuftraege[Datum
Einnahmen],"&gt;="&amp;AE$5,tblAuftraege[Datum
Einnahmen],"&lt;"&amp;EDATE(AE$5,1),tblAuftraege[Kostenstelle],$B23))</f>
        <v/>
      </c>
      <c r="AF23" s="25">
        <f>IF($B23="",0,SUMIFS(tblAuftraege[Kalk.
Einnahmen],tblAuftraege[Datum
Einnahmen],"&gt;="&amp;AF$5,tblAuftraege[Datum
Einnahmen],"&lt;"&amp;EDATE(AF$5,1),tblAuftraege[Kostenstelle],$B23))</f>
        <v/>
      </c>
      <c r="AG23" s="25">
        <f>IF($B23="",0,SUMIFS(tblAuftraege[Kalk.
Einnahmen],tblAuftraege[Datum
Einnahmen],"&gt;="&amp;AG$5,tblAuftraege[Datum
Einnahmen],"&lt;"&amp;EDATE(AG$5,1),tblAuftraege[Kostenstelle],$B23))</f>
        <v/>
      </c>
      <c r="AH23" s="25">
        <f>IF($B23="",0,SUMIFS(tblAuftraege[Kalk.
Einnahmen],tblAuftraege[Datum
Einnahmen],"&gt;="&amp;AH$5,tblAuftraege[Datum
Einnahmen],"&lt;"&amp;EDATE(AH$5,1),tblAuftraege[Kostenstelle],$B23))</f>
        <v/>
      </c>
      <c r="AI23" s="25">
        <f>IF($B23="",0,SUMIFS(tblAuftraege[Kalk.
Einnahmen],tblAuftraege[Datum
Einnahmen],"&gt;="&amp;AI$5,tblAuftraege[Datum
Einnahmen],"&lt;"&amp;EDATE(AI$5,1),tblAuftraege[Kostenstelle],$B23))</f>
        <v/>
      </c>
      <c r="AJ23" s="25">
        <f>IF($B23="",0,SUMIFS(tblAuftraege[Kalk.
Einnahmen],tblAuftraege[Datum
Einnahmen],"&gt;="&amp;AJ$5,tblAuftraege[Datum
Einnahmen],"&lt;"&amp;EDATE(AJ$5,1),tblAuftraege[Kostenstelle],$B23))</f>
        <v/>
      </c>
      <c r="AK23" s="25">
        <f>IF($B23="",0,SUMIFS(tblAuftraege[Kalk.
Einnahmen],tblAuftraege[Datum
Einnahmen],"&gt;="&amp;AK$5,tblAuftraege[Datum
Einnahmen],"&lt;"&amp;EDATE(AK$5,1),tblAuftraege[Kostenstelle],$B23))</f>
        <v/>
      </c>
      <c r="AL23" s="25">
        <f>IF($B23="",0,SUMIFS(tblAuftraege[Kalk.
Einnahmen],tblAuftraege[Datum
Einnahmen],"&gt;="&amp;AL$5,tblAuftraege[Datum
Einnahmen],"&lt;"&amp;EDATE(AL$5,1),tblAuftraege[Kostenstelle],$B23))</f>
        <v/>
      </c>
      <c r="AM23" s="25">
        <f>IF($B23="",0,SUMIFS(tblAuftraege[Kalk.
Einnahmen],tblAuftraege[Datum
Einnahmen],"&gt;="&amp;AM$5,tblAuftraege[Datum
Einnahmen],"&lt;"&amp;EDATE(AM$5,1),tblAuftraege[Kostenstelle],$B23))</f>
        <v/>
      </c>
      <c r="AN23" s="25">
        <f>IF($B23="",0,SUMIFS(tblAuftraege[Kalk.
Einnahmen],tblAuftraege[Datum
Einnahmen],"&gt;="&amp;AN$5,tblAuftraege[Datum
Einnahmen],"&lt;"&amp;EDATE(AN$5,1),tblAuftraege[Kostenstelle],$B23))</f>
        <v/>
      </c>
      <c r="AO23" s="25">
        <f>IF($B23="",0,SUMIFS(tblAuftraege[Kalk.
Einnahmen],tblAuftraege[Datum
Einnahmen],"&gt;="&amp;AO$5,tblAuftraege[Datum
Einnahmen],"&lt;"&amp;EDATE(AO$5,1),tblAuftraege[Kostenstelle],$B23))</f>
        <v/>
      </c>
      <c r="AP23" s="25">
        <f>IF($B23="",0,SUMIFS(tblAuftraege[Kalk.
Einnahmen],tblAuftraege[Datum
Einnahmen],"&gt;="&amp;AP$5,tblAuftraege[Datum
Einnahmen],"&lt;"&amp;EDATE(AP$5,1),tblAuftraege[Kostenstelle],$B23))</f>
        <v/>
      </c>
      <c r="AQ23" s="25">
        <f>IF($B23="",0,SUMIFS(tblAuftraege[Kalk.
Einnahmen],tblAuftraege[Datum
Einnahmen],"&gt;="&amp;AQ$5,tblAuftraege[Datum
Einnahmen],"&lt;"&amp;EDATE(AQ$5,1),tblAuftraege[Kostenstelle],$B23))</f>
        <v/>
      </c>
      <c r="AR23" s="25">
        <f>IF($B23="",0,SUMIFS(tblAuftraege[Kalk.
Einnahmen],tblAuftraege[Datum
Einnahmen],"&gt;="&amp;AR$5,tblAuftraege[Datum
Einnahmen],"&lt;"&amp;EDATE(AR$5,1),tblAuftraege[Kostenstelle],$B23))</f>
        <v/>
      </c>
      <c r="AS23" s="25">
        <f>IF($B23="",0,SUMIFS(tblAuftraege[Kalk.
Einnahmen],tblAuftraege[Datum
Einnahmen],"&gt;="&amp;AS$5,tblAuftraege[Datum
Einnahmen],"&lt;"&amp;EDATE(AS$5,1),tblAuftraege[Kostenstelle],$B23))</f>
        <v/>
      </c>
      <c r="AT23" s="25">
        <f>IF($B23="",0,SUMIFS(tblAuftraege[Kalk.
Einnahmen],tblAuftraege[Datum
Einnahmen],"&gt;="&amp;AT$5,tblAuftraege[Datum
Einnahmen],"&lt;"&amp;EDATE(AT$5,1),tblAuftraege[Kostenstelle],$B23))</f>
        <v/>
      </c>
      <c r="AU23" s="25">
        <f>IF($B23="",0,SUMIFS(tblAuftraege[Kalk.
Einnahmen],tblAuftraege[Datum
Einnahmen],"&gt;="&amp;AU$5,tblAuftraege[Datum
Einnahmen],"&lt;"&amp;EDATE(AU$5,1),tblAuftraege[Kostenstelle],$B23))</f>
        <v/>
      </c>
      <c r="AV23" s="25">
        <f>IF($B23="",0,SUMIFS(tblAuftraege[Kalk.
Einnahmen],tblAuftraege[Datum
Einnahmen],"&gt;="&amp;AV$5,tblAuftraege[Datum
Einnahmen],"&lt;"&amp;EDATE(AV$5,1),tblAuftraege[Kostenstelle],$B23))</f>
        <v/>
      </c>
      <c r="AW23" s="25">
        <f>IF($B23="",0,SUMIFS(tblAuftraege[Kalk.
Einnahmen],tblAuftraege[Datum
Einnahmen],"&gt;="&amp;AW$5,tblAuftraege[Datum
Einnahmen],"&lt;"&amp;EDATE(AW$5,1),tblAuftraege[Kostenstelle],$B23))</f>
        <v/>
      </c>
      <c r="AX23" s="25">
        <f>IF($B23="",0,SUMIFS(tblAuftraege[Kalk.
Einnahmen],tblAuftraege[Datum
Einnahmen],"&gt;="&amp;AX$5,tblAuftraege[Datum
Einnahmen],"&lt;"&amp;EDATE(AX$5,1),tblAuftraege[Kostenstelle],$B23))</f>
        <v/>
      </c>
      <c r="AY23" s="25">
        <f>IF($B23="",0,SUMIFS(tblAuftraege[Kalk.
Einnahmen],tblAuftraege[Datum
Einnahmen],"&gt;="&amp;AY$5,tblAuftraege[Datum
Einnahmen],"&lt;"&amp;EDATE(AY$5,1),tblAuftraege[Kostenstelle],$B23))</f>
        <v/>
      </c>
      <c r="AZ23" s="25">
        <f>IF($B23="",0,SUMIFS(tblAuftraege[Kalk.
Einnahmen],tblAuftraege[Datum
Einnahmen],"&gt;="&amp;AZ$5,tblAuftraege[Datum
Einnahmen],"&lt;"&amp;EDATE(AZ$5,1),tblAuftraege[Kostenstelle],$B23))</f>
        <v/>
      </c>
      <c r="BA23" s="25">
        <f>IF($B23="",0,SUMIFS(tblAuftraege[Kalk.
Einnahmen],tblAuftraege[Datum
Einnahmen],"&gt;="&amp;BA$5,tblAuftraege[Datum
Einnahmen],"&lt;"&amp;EDATE(BA$5,1),tblAuftraege[Kostenstelle],$B23))</f>
        <v/>
      </c>
      <c r="BB23" s="25">
        <f>IF($B23="",0,SUMIFS(tblAuftraege[Kalk.
Einnahmen],tblAuftraege[Datum
Einnahmen],"&gt;="&amp;BB$5,tblAuftraege[Datum
Einnahmen],"&lt;"&amp;EDATE(BB$5,1),tblAuftraege[Kostenstelle],$B23))</f>
        <v/>
      </c>
      <c r="BC23" s="25">
        <f>IF($B23="",0,SUMIFS(tblAuftraege[Kalk.
Einnahmen],tblAuftraege[Datum
Einnahmen],"&gt;="&amp;BC$5,tblAuftraege[Datum
Einnahmen],"&lt;"&amp;EDATE(BC$5,1),tblAuftraege[Kostenstelle],$B23))</f>
        <v/>
      </c>
      <c r="BD23" s="25">
        <f>IF($B23="",0,SUMIFS(tblAuftraege[Kalk.
Einnahmen],tblAuftraege[Datum
Einnahmen],"&gt;="&amp;BD$5,tblAuftraege[Datum
Einnahmen],"&lt;"&amp;EDATE(BD$5,1),tblAuftraege[Kostenstelle],$B23))</f>
        <v/>
      </c>
      <c r="BE23" s="25">
        <f>SUM(C23:H23)</f>
        <v/>
      </c>
      <c r="BF23" s="25">
        <f>SUM(I23:T23)</f>
        <v/>
      </c>
      <c r="BG23" s="25">
        <f>SUM(U23:AF23)</f>
        <v/>
      </c>
      <c r="BH23" s="25">
        <f>SUM(AG23:AR23)</f>
        <v/>
      </c>
      <c r="BI23" s="25">
        <f>SUM(AS23:BD23)</f>
        <v/>
      </c>
      <c r="BJ23" s="25">
        <f>SUM(C23:BD23)</f>
        <v/>
      </c>
    </row>
    <row r="24">
      <c r="A24" s="34" t="n"/>
      <c r="B24" s="49" t="inlineStr">
        <is>
          <t>85109000 - Bereichskostenstelle IoT</t>
        </is>
      </c>
      <c r="C24" s="25">
        <f>IF($B24="",0,SUMIFS(tblAuftraege[Kalk.
Einnahmen],tblAuftraege[Datum
Einnahmen],"&gt;="&amp;C$5,tblAuftraege[Datum
Einnahmen],"&lt;"&amp;EDATE(C$5,1),tblAuftraege[Kostenstelle],$B24))</f>
        <v/>
      </c>
      <c r="D24" s="25">
        <f>IF($B24="",0,SUMIFS(tblAuftraege[Kalk.
Einnahmen],tblAuftraege[Datum
Einnahmen],"&gt;="&amp;D$5,tblAuftraege[Datum
Einnahmen],"&lt;"&amp;EDATE(D$5,1),tblAuftraege[Kostenstelle],$B24))</f>
        <v/>
      </c>
      <c r="E24" s="25">
        <f>IF($B24="",0,SUMIFS(tblAuftraege[Kalk.
Einnahmen],tblAuftraege[Datum
Einnahmen],"&gt;="&amp;E$5,tblAuftraege[Datum
Einnahmen],"&lt;"&amp;EDATE(E$5,1),tblAuftraege[Kostenstelle],$B24))</f>
        <v/>
      </c>
      <c r="F24" s="25">
        <f>IF($B24="",0,SUMIFS(tblAuftraege[Kalk.
Einnahmen],tblAuftraege[Datum
Einnahmen],"&gt;="&amp;F$5,tblAuftraege[Datum
Einnahmen],"&lt;"&amp;EDATE(F$5,1),tblAuftraege[Kostenstelle],$B24))</f>
        <v/>
      </c>
      <c r="G24" s="25">
        <f>IF($B24="",0,SUMIFS(tblAuftraege[Kalk.
Einnahmen],tblAuftraege[Datum
Einnahmen],"&gt;="&amp;G$5,tblAuftraege[Datum
Einnahmen],"&lt;"&amp;EDATE(G$5,1),tblAuftraege[Kostenstelle],$B24))</f>
        <v/>
      </c>
      <c r="H24" s="25">
        <f>IF($B24="",0,SUMIFS(tblAuftraege[Kalk.
Einnahmen],tblAuftraege[Datum
Einnahmen],"&gt;="&amp;H$5,tblAuftraege[Datum
Einnahmen],"&lt;"&amp;EDATE(H$5,1),tblAuftraege[Kostenstelle],$B24))</f>
        <v/>
      </c>
      <c r="I24" s="25">
        <f>IF($B24="",0,SUMIFS(tblAuftraege[Kalk.
Einnahmen],tblAuftraege[Datum
Einnahmen],"&gt;="&amp;I$5,tblAuftraege[Datum
Einnahmen],"&lt;"&amp;EDATE(I$5,1),tblAuftraege[Kostenstelle],$B24))</f>
        <v/>
      </c>
      <c r="J24" s="25">
        <f>IF($B24="",0,SUMIFS(tblAuftraege[Kalk.
Einnahmen],tblAuftraege[Datum
Einnahmen],"&gt;="&amp;J$5,tblAuftraege[Datum
Einnahmen],"&lt;"&amp;EDATE(J$5,1),tblAuftraege[Kostenstelle],$B24))</f>
        <v/>
      </c>
      <c r="K24" s="25">
        <f>IF($B24="",0,SUMIFS(tblAuftraege[Kalk.
Einnahmen],tblAuftraege[Datum
Einnahmen],"&gt;="&amp;K$5,tblAuftraege[Datum
Einnahmen],"&lt;"&amp;EDATE(K$5,1),tblAuftraege[Kostenstelle],$B24))</f>
        <v/>
      </c>
      <c r="L24" s="25">
        <f>IF($B24="",0,SUMIFS(tblAuftraege[Kalk.
Einnahmen],tblAuftraege[Datum
Einnahmen],"&gt;="&amp;L$5,tblAuftraege[Datum
Einnahmen],"&lt;"&amp;EDATE(L$5,1),tblAuftraege[Kostenstelle],$B24))</f>
        <v/>
      </c>
      <c r="M24" s="25">
        <f>IF($B24="",0,SUMIFS(tblAuftraege[Kalk.
Einnahmen],tblAuftraege[Datum
Einnahmen],"&gt;="&amp;M$5,tblAuftraege[Datum
Einnahmen],"&lt;"&amp;EDATE(M$5,1),tblAuftraege[Kostenstelle],$B24))</f>
        <v/>
      </c>
      <c r="N24" s="25">
        <f>IF($B24="",0,SUMIFS(tblAuftraege[Kalk.
Einnahmen],tblAuftraege[Datum
Einnahmen],"&gt;="&amp;N$5,tblAuftraege[Datum
Einnahmen],"&lt;"&amp;EDATE(N$5,1),tblAuftraege[Kostenstelle],$B24))</f>
        <v/>
      </c>
      <c r="O24" s="25">
        <f>IF($B24="",0,SUMIFS(tblAuftraege[Kalk.
Einnahmen],tblAuftraege[Datum
Einnahmen],"&gt;="&amp;O$5,tblAuftraege[Datum
Einnahmen],"&lt;"&amp;EDATE(O$5,1),tblAuftraege[Kostenstelle],$B24))</f>
        <v/>
      </c>
      <c r="P24" s="25">
        <f>IF($B24="",0,SUMIFS(tblAuftraege[Kalk.
Einnahmen],tblAuftraege[Datum
Einnahmen],"&gt;="&amp;P$5,tblAuftraege[Datum
Einnahmen],"&lt;"&amp;EDATE(P$5,1),tblAuftraege[Kostenstelle],$B24))</f>
        <v/>
      </c>
      <c r="Q24" s="25">
        <f>IF($B24="",0,SUMIFS(tblAuftraege[Kalk.
Einnahmen],tblAuftraege[Datum
Einnahmen],"&gt;="&amp;Q$5,tblAuftraege[Datum
Einnahmen],"&lt;"&amp;EDATE(Q$5,1),tblAuftraege[Kostenstelle],$B24))</f>
        <v/>
      </c>
      <c r="R24" s="25">
        <f>IF($B24="",0,SUMIFS(tblAuftraege[Kalk.
Einnahmen],tblAuftraege[Datum
Einnahmen],"&gt;="&amp;R$5,tblAuftraege[Datum
Einnahmen],"&lt;"&amp;EDATE(R$5,1),tblAuftraege[Kostenstelle],$B24))</f>
        <v/>
      </c>
      <c r="S24" s="25">
        <f>IF($B24="",0,SUMIFS(tblAuftraege[Kalk.
Einnahmen],tblAuftraege[Datum
Einnahmen],"&gt;="&amp;S$5,tblAuftraege[Datum
Einnahmen],"&lt;"&amp;EDATE(S$5,1),tblAuftraege[Kostenstelle],$B24))</f>
        <v/>
      </c>
      <c r="T24" s="25">
        <f>IF($B24="",0,SUMIFS(tblAuftraege[Kalk.
Einnahmen],tblAuftraege[Datum
Einnahmen],"&gt;="&amp;T$5,tblAuftraege[Datum
Einnahmen],"&lt;"&amp;EDATE(T$5,1),tblAuftraege[Kostenstelle],$B24))</f>
        <v/>
      </c>
      <c r="U24" s="25">
        <f>IF($B24="",0,SUMIFS(tblAuftraege[Kalk.
Einnahmen],tblAuftraege[Datum
Einnahmen],"&gt;="&amp;U$5,tblAuftraege[Datum
Einnahmen],"&lt;"&amp;EDATE(U$5,1),tblAuftraege[Kostenstelle],$B24))</f>
        <v/>
      </c>
      <c r="V24" s="25">
        <f>IF($B24="",0,SUMIFS(tblAuftraege[Kalk.
Einnahmen],tblAuftraege[Datum
Einnahmen],"&gt;="&amp;V$5,tblAuftraege[Datum
Einnahmen],"&lt;"&amp;EDATE(V$5,1),tblAuftraege[Kostenstelle],$B24))</f>
        <v/>
      </c>
      <c r="W24" s="25">
        <f>IF($B24="",0,SUMIFS(tblAuftraege[Kalk.
Einnahmen],tblAuftraege[Datum
Einnahmen],"&gt;="&amp;W$5,tblAuftraege[Datum
Einnahmen],"&lt;"&amp;EDATE(W$5,1),tblAuftraege[Kostenstelle],$B24))</f>
        <v/>
      </c>
      <c r="X24" s="25">
        <f>IF($B24="",0,SUMIFS(tblAuftraege[Kalk.
Einnahmen],tblAuftraege[Datum
Einnahmen],"&gt;="&amp;X$5,tblAuftraege[Datum
Einnahmen],"&lt;"&amp;EDATE(X$5,1),tblAuftraege[Kostenstelle],$B24))</f>
        <v/>
      </c>
      <c r="Y24" s="25">
        <f>IF($B24="",0,SUMIFS(tblAuftraege[Kalk.
Einnahmen],tblAuftraege[Datum
Einnahmen],"&gt;="&amp;Y$5,tblAuftraege[Datum
Einnahmen],"&lt;"&amp;EDATE(Y$5,1),tblAuftraege[Kostenstelle],$B24))</f>
        <v/>
      </c>
      <c r="Z24" s="25">
        <f>IF($B24="",0,SUMIFS(tblAuftraege[Kalk.
Einnahmen],tblAuftraege[Datum
Einnahmen],"&gt;="&amp;Z$5,tblAuftraege[Datum
Einnahmen],"&lt;"&amp;EDATE(Z$5,1),tblAuftraege[Kostenstelle],$B24))</f>
        <v/>
      </c>
      <c r="AA24" s="25">
        <f>IF($B24="",0,SUMIFS(tblAuftraege[Kalk.
Einnahmen],tblAuftraege[Datum
Einnahmen],"&gt;="&amp;AA$5,tblAuftraege[Datum
Einnahmen],"&lt;"&amp;EDATE(AA$5,1),tblAuftraege[Kostenstelle],$B24))</f>
        <v/>
      </c>
      <c r="AB24" s="25">
        <f>IF($B24="",0,SUMIFS(tblAuftraege[Kalk.
Einnahmen],tblAuftraege[Datum
Einnahmen],"&gt;="&amp;AB$5,tblAuftraege[Datum
Einnahmen],"&lt;"&amp;EDATE(AB$5,1),tblAuftraege[Kostenstelle],$B24))</f>
        <v/>
      </c>
      <c r="AC24" s="25">
        <f>IF($B24="",0,SUMIFS(tblAuftraege[Kalk.
Einnahmen],tblAuftraege[Datum
Einnahmen],"&gt;="&amp;AC$5,tblAuftraege[Datum
Einnahmen],"&lt;"&amp;EDATE(AC$5,1),tblAuftraege[Kostenstelle],$B24))</f>
        <v/>
      </c>
      <c r="AD24" s="25">
        <f>IF($B24="",0,SUMIFS(tblAuftraege[Kalk.
Einnahmen],tblAuftraege[Datum
Einnahmen],"&gt;="&amp;AD$5,tblAuftraege[Datum
Einnahmen],"&lt;"&amp;EDATE(AD$5,1),tblAuftraege[Kostenstelle],$B24))</f>
        <v/>
      </c>
      <c r="AE24" s="25">
        <f>IF($B24="",0,SUMIFS(tblAuftraege[Kalk.
Einnahmen],tblAuftraege[Datum
Einnahmen],"&gt;="&amp;AE$5,tblAuftraege[Datum
Einnahmen],"&lt;"&amp;EDATE(AE$5,1),tblAuftraege[Kostenstelle],$B24))</f>
        <v/>
      </c>
      <c r="AF24" s="25">
        <f>IF($B24="",0,SUMIFS(tblAuftraege[Kalk.
Einnahmen],tblAuftraege[Datum
Einnahmen],"&gt;="&amp;AF$5,tblAuftraege[Datum
Einnahmen],"&lt;"&amp;EDATE(AF$5,1),tblAuftraege[Kostenstelle],$B24))</f>
        <v/>
      </c>
      <c r="AG24" s="25">
        <f>IF($B24="",0,SUMIFS(tblAuftraege[Kalk.
Einnahmen],tblAuftraege[Datum
Einnahmen],"&gt;="&amp;AG$5,tblAuftraege[Datum
Einnahmen],"&lt;"&amp;EDATE(AG$5,1),tblAuftraege[Kostenstelle],$B24))</f>
        <v/>
      </c>
      <c r="AH24" s="25">
        <f>IF($B24="",0,SUMIFS(tblAuftraege[Kalk.
Einnahmen],tblAuftraege[Datum
Einnahmen],"&gt;="&amp;AH$5,tblAuftraege[Datum
Einnahmen],"&lt;"&amp;EDATE(AH$5,1),tblAuftraege[Kostenstelle],$B24))</f>
        <v/>
      </c>
      <c r="AI24" s="25">
        <f>IF($B24="",0,SUMIFS(tblAuftraege[Kalk.
Einnahmen],tblAuftraege[Datum
Einnahmen],"&gt;="&amp;AI$5,tblAuftraege[Datum
Einnahmen],"&lt;"&amp;EDATE(AI$5,1),tblAuftraege[Kostenstelle],$B24))</f>
        <v/>
      </c>
      <c r="AJ24" s="25">
        <f>IF($B24="",0,SUMIFS(tblAuftraege[Kalk.
Einnahmen],tblAuftraege[Datum
Einnahmen],"&gt;="&amp;AJ$5,tblAuftraege[Datum
Einnahmen],"&lt;"&amp;EDATE(AJ$5,1),tblAuftraege[Kostenstelle],$B24))</f>
        <v/>
      </c>
      <c r="AK24" s="25">
        <f>IF($B24="",0,SUMIFS(tblAuftraege[Kalk.
Einnahmen],tblAuftraege[Datum
Einnahmen],"&gt;="&amp;AK$5,tblAuftraege[Datum
Einnahmen],"&lt;"&amp;EDATE(AK$5,1),tblAuftraege[Kostenstelle],$B24))</f>
        <v/>
      </c>
      <c r="AL24" s="25">
        <f>IF($B24="",0,SUMIFS(tblAuftraege[Kalk.
Einnahmen],tblAuftraege[Datum
Einnahmen],"&gt;="&amp;AL$5,tblAuftraege[Datum
Einnahmen],"&lt;"&amp;EDATE(AL$5,1),tblAuftraege[Kostenstelle],$B24))</f>
        <v/>
      </c>
      <c r="AM24" s="25">
        <f>IF($B24="",0,SUMIFS(tblAuftraege[Kalk.
Einnahmen],tblAuftraege[Datum
Einnahmen],"&gt;="&amp;AM$5,tblAuftraege[Datum
Einnahmen],"&lt;"&amp;EDATE(AM$5,1),tblAuftraege[Kostenstelle],$B24))</f>
        <v/>
      </c>
      <c r="AN24" s="25">
        <f>IF($B24="",0,SUMIFS(tblAuftraege[Kalk.
Einnahmen],tblAuftraege[Datum
Einnahmen],"&gt;="&amp;AN$5,tblAuftraege[Datum
Einnahmen],"&lt;"&amp;EDATE(AN$5,1),tblAuftraege[Kostenstelle],$B24))</f>
        <v/>
      </c>
      <c r="AO24" s="25">
        <f>IF($B24="",0,SUMIFS(tblAuftraege[Kalk.
Einnahmen],tblAuftraege[Datum
Einnahmen],"&gt;="&amp;AO$5,tblAuftraege[Datum
Einnahmen],"&lt;"&amp;EDATE(AO$5,1),tblAuftraege[Kostenstelle],$B24))</f>
        <v/>
      </c>
      <c r="AP24" s="25">
        <f>IF($B24="",0,SUMIFS(tblAuftraege[Kalk.
Einnahmen],tblAuftraege[Datum
Einnahmen],"&gt;="&amp;AP$5,tblAuftraege[Datum
Einnahmen],"&lt;"&amp;EDATE(AP$5,1),tblAuftraege[Kostenstelle],$B24))</f>
        <v/>
      </c>
      <c r="AQ24" s="25">
        <f>IF($B24="",0,SUMIFS(tblAuftraege[Kalk.
Einnahmen],tblAuftraege[Datum
Einnahmen],"&gt;="&amp;AQ$5,tblAuftraege[Datum
Einnahmen],"&lt;"&amp;EDATE(AQ$5,1),tblAuftraege[Kostenstelle],$B24))</f>
        <v/>
      </c>
      <c r="AR24" s="25">
        <f>IF($B24="",0,SUMIFS(tblAuftraege[Kalk.
Einnahmen],tblAuftraege[Datum
Einnahmen],"&gt;="&amp;AR$5,tblAuftraege[Datum
Einnahmen],"&lt;"&amp;EDATE(AR$5,1),tblAuftraege[Kostenstelle],$B24))</f>
        <v/>
      </c>
      <c r="AS24" s="25">
        <f>IF($B24="",0,SUMIFS(tblAuftraege[Kalk.
Einnahmen],tblAuftraege[Datum
Einnahmen],"&gt;="&amp;AS$5,tblAuftraege[Datum
Einnahmen],"&lt;"&amp;EDATE(AS$5,1),tblAuftraege[Kostenstelle],$B24))</f>
        <v/>
      </c>
      <c r="AT24" s="25">
        <f>IF($B24="",0,SUMIFS(tblAuftraege[Kalk.
Einnahmen],tblAuftraege[Datum
Einnahmen],"&gt;="&amp;AT$5,tblAuftraege[Datum
Einnahmen],"&lt;"&amp;EDATE(AT$5,1),tblAuftraege[Kostenstelle],$B24))</f>
        <v/>
      </c>
      <c r="AU24" s="25">
        <f>IF($B24="",0,SUMIFS(tblAuftraege[Kalk.
Einnahmen],tblAuftraege[Datum
Einnahmen],"&gt;="&amp;AU$5,tblAuftraege[Datum
Einnahmen],"&lt;"&amp;EDATE(AU$5,1),tblAuftraege[Kostenstelle],$B24))</f>
        <v/>
      </c>
      <c r="AV24" s="25">
        <f>IF($B24="",0,SUMIFS(tblAuftraege[Kalk.
Einnahmen],tblAuftraege[Datum
Einnahmen],"&gt;="&amp;AV$5,tblAuftraege[Datum
Einnahmen],"&lt;"&amp;EDATE(AV$5,1),tblAuftraege[Kostenstelle],$B24))</f>
        <v/>
      </c>
      <c r="AW24" s="25">
        <f>IF($B24="",0,SUMIFS(tblAuftraege[Kalk.
Einnahmen],tblAuftraege[Datum
Einnahmen],"&gt;="&amp;AW$5,tblAuftraege[Datum
Einnahmen],"&lt;"&amp;EDATE(AW$5,1),tblAuftraege[Kostenstelle],$B24))</f>
        <v/>
      </c>
      <c r="AX24" s="25">
        <f>IF($B24="",0,SUMIFS(tblAuftraege[Kalk.
Einnahmen],tblAuftraege[Datum
Einnahmen],"&gt;="&amp;AX$5,tblAuftraege[Datum
Einnahmen],"&lt;"&amp;EDATE(AX$5,1),tblAuftraege[Kostenstelle],$B24))</f>
        <v/>
      </c>
      <c r="AY24" s="25">
        <f>IF($B24="",0,SUMIFS(tblAuftraege[Kalk.
Einnahmen],tblAuftraege[Datum
Einnahmen],"&gt;="&amp;AY$5,tblAuftraege[Datum
Einnahmen],"&lt;"&amp;EDATE(AY$5,1),tblAuftraege[Kostenstelle],$B24))</f>
        <v/>
      </c>
      <c r="AZ24" s="25">
        <f>IF($B24="",0,SUMIFS(tblAuftraege[Kalk.
Einnahmen],tblAuftraege[Datum
Einnahmen],"&gt;="&amp;AZ$5,tblAuftraege[Datum
Einnahmen],"&lt;"&amp;EDATE(AZ$5,1),tblAuftraege[Kostenstelle],$B24))</f>
        <v/>
      </c>
      <c r="BA24" s="25">
        <f>IF($B24="",0,SUMIFS(tblAuftraege[Kalk.
Einnahmen],tblAuftraege[Datum
Einnahmen],"&gt;="&amp;BA$5,tblAuftraege[Datum
Einnahmen],"&lt;"&amp;EDATE(BA$5,1),tblAuftraege[Kostenstelle],$B24))</f>
        <v/>
      </c>
      <c r="BB24" s="25">
        <f>IF($B24="",0,SUMIFS(tblAuftraege[Kalk.
Einnahmen],tblAuftraege[Datum
Einnahmen],"&gt;="&amp;BB$5,tblAuftraege[Datum
Einnahmen],"&lt;"&amp;EDATE(BB$5,1),tblAuftraege[Kostenstelle],$B24))</f>
        <v/>
      </c>
      <c r="BC24" s="25">
        <f>IF($B24="",0,SUMIFS(tblAuftraege[Kalk.
Einnahmen],tblAuftraege[Datum
Einnahmen],"&gt;="&amp;BC$5,tblAuftraege[Datum
Einnahmen],"&lt;"&amp;EDATE(BC$5,1),tblAuftraege[Kostenstelle],$B24))</f>
        <v/>
      </c>
      <c r="BD24" s="25">
        <f>IF($B24="",0,SUMIFS(tblAuftraege[Kalk.
Einnahmen],tblAuftraege[Datum
Einnahmen],"&gt;="&amp;BD$5,tblAuftraege[Datum
Einnahmen],"&lt;"&amp;EDATE(BD$5,1),tblAuftraege[Kostenstelle],$B24))</f>
        <v/>
      </c>
      <c r="BE24" s="25">
        <f>SUM(C24:H24)</f>
        <v/>
      </c>
      <c r="BF24" s="25">
        <f>SUM(I24:T24)</f>
        <v/>
      </c>
      <c r="BG24" s="25">
        <f>SUM(U24:AF24)</f>
        <v/>
      </c>
      <c r="BH24" s="25">
        <f>SUM(AG24:AR24)</f>
        <v/>
      </c>
      <c r="BI24" s="25">
        <f>SUM(AS24:BD24)</f>
        <v/>
      </c>
      <c r="BJ24" s="25">
        <f>SUM(C24:BD24)</f>
        <v/>
      </c>
    </row>
    <row r="25">
      <c r="A25" s="34" t="n"/>
      <c r="B25" s="49" t="n"/>
      <c r="C25" s="25">
        <f>IF($B25="",0,SUMIFS(tblAuftraege[Kalk.
Einnahmen],tblAuftraege[Datum
Einnahmen],"&gt;="&amp;C$5,tblAuftraege[Datum
Einnahmen],"&lt;"&amp;EDATE(C$5,1),tblAuftraege[Kostenstelle],$B25))</f>
        <v/>
      </c>
      <c r="D25" s="25">
        <f>IF($B25="",0,SUMIFS(tblAuftraege[Kalk.
Einnahmen],tblAuftraege[Datum
Einnahmen],"&gt;="&amp;D$5,tblAuftraege[Datum
Einnahmen],"&lt;"&amp;EDATE(D$5,1),tblAuftraege[Kostenstelle],$B25))</f>
        <v/>
      </c>
      <c r="E25" s="25">
        <f>IF($B25="",0,SUMIFS(tblAuftraege[Kalk.
Einnahmen],tblAuftraege[Datum
Einnahmen],"&gt;="&amp;E$5,tblAuftraege[Datum
Einnahmen],"&lt;"&amp;EDATE(E$5,1),tblAuftraege[Kostenstelle],$B25))</f>
        <v/>
      </c>
      <c r="F25" s="25">
        <f>IF($B25="",0,SUMIFS(tblAuftraege[Kalk.
Einnahmen],tblAuftraege[Datum
Einnahmen],"&gt;="&amp;F$5,tblAuftraege[Datum
Einnahmen],"&lt;"&amp;EDATE(F$5,1),tblAuftraege[Kostenstelle],$B25))</f>
        <v/>
      </c>
      <c r="G25" s="25">
        <f>IF($B25="",0,SUMIFS(tblAuftraege[Kalk.
Einnahmen],tblAuftraege[Datum
Einnahmen],"&gt;="&amp;G$5,tblAuftraege[Datum
Einnahmen],"&lt;"&amp;EDATE(G$5,1),tblAuftraege[Kostenstelle],$B25))</f>
        <v/>
      </c>
      <c r="H25" s="25">
        <f>IF($B25="",0,SUMIFS(tblAuftraege[Kalk.
Einnahmen],tblAuftraege[Datum
Einnahmen],"&gt;="&amp;H$5,tblAuftraege[Datum
Einnahmen],"&lt;"&amp;EDATE(H$5,1),tblAuftraege[Kostenstelle],$B25))</f>
        <v/>
      </c>
      <c r="I25" s="25">
        <f>IF($B25="",0,SUMIFS(tblAuftraege[Kalk.
Einnahmen],tblAuftraege[Datum
Einnahmen],"&gt;="&amp;I$5,tblAuftraege[Datum
Einnahmen],"&lt;"&amp;EDATE(I$5,1),tblAuftraege[Kostenstelle],$B25))</f>
        <v/>
      </c>
      <c r="J25" s="25">
        <f>IF($B25="",0,SUMIFS(tblAuftraege[Kalk.
Einnahmen],tblAuftraege[Datum
Einnahmen],"&gt;="&amp;J$5,tblAuftraege[Datum
Einnahmen],"&lt;"&amp;EDATE(J$5,1),tblAuftraege[Kostenstelle],$B25))</f>
        <v/>
      </c>
      <c r="K25" s="25">
        <f>IF($B25="",0,SUMIFS(tblAuftraege[Kalk.
Einnahmen],tblAuftraege[Datum
Einnahmen],"&gt;="&amp;K$5,tblAuftraege[Datum
Einnahmen],"&lt;"&amp;EDATE(K$5,1),tblAuftraege[Kostenstelle],$B25))</f>
        <v/>
      </c>
      <c r="L25" s="25">
        <f>IF($B25="",0,SUMIFS(tblAuftraege[Kalk.
Einnahmen],tblAuftraege[Datum
Einnahmen],"&gt;="&amp;L$5,tblAuftraege[Datum
Einnahmen],"&lt;"&amp;EDATE(L$5,1),tblAuftraege[Kostenstelle],$B25))</f>
        <v/>
      </c>
      <c r="M25" s="25">
        <f>IF($B25="",0,SUMIFS(tblAuftraege[Kalk.
Einnahmen],tblAuftraege[Datum
Einnahmen],"&gt;="&amp;M$5,tblAuftraege[Datum
Einnahmen],"&lt;"&amp;EDATE(M$5,1),tblAuftraege[Kostenstelle],$B25))</f>
        <v/>
      </c>
      <c r="N25" s="25">
        <f>IF($B25="",0,SUMIFS(tblAuftraege[Kalk.
Einnahmen],tblAuftraege[Datum
Einnahmen],"&gt;="&amp;N$5,tblAuftraege[Datum
Einnahmen],"&lt;"&amp;EDATE(N$5,1),tblAuftraege[Kostenstelle],$B25))</f>
        <v/>
      </c>
      <c r="O25" s="25">
        <f>IF($B25="",0,SUMIFS(tblAuftraege[Kalk.
Einnahmen],tblAuftraege[Datum
Einnahmen],"&gt;="&amp;O$5,tblAuftraege[Datum
Einnahmen],"&lt;"&amp;EDATE(O$5,1),tblAuftraege[Kostenstelle],$B25))</f>
        <v/>
      </c>
      <c r="P25" s="25">
        <f>IF($B25="",0,SUMIFS(tblAuftraege[Kalk.
Einnahmen],tblAuftraege[Datum
Einnahmen],"&gt;="&amp;P$5,tblAuftraege[Datum
Einnahmen],"&lt;"&amp;EDATE(P$5,1),tblAuftraege[Kostenstelle],$B25))</f>
        <v/>
      </c>
      <c r="Q25" s="25">
        <f>IF($B25="",0,SUMIFS(tblAuftraege[Kalk.
Einnahmen],tblAuftraege[Datum
Einnahmen],"&gt;="&amp;Q$5,tblAuftraege[Datum
Einnahmen],"&lt;"&amp;EDATE(Q$5,1),tblAuftraege[Kostenstelle],$B25))</f>
        <v/>
      </c>
      <c r="R25" s="25">
        <f>IF($B25="",0,SUMIFS(tblAuftraege[Kalk.
Einnahmen],tblAuftraege[Datum
Einnahmen],"&gt;="&amp;R$5,tblAuftraege[Datum
Einnahmen],"&lt;"&amp;EDATE(R$5,1),tblAuftraege[Kostenstelle],$B25))</f>
        <v/>
      </c>
      <c r="S25" s="25">
        <f>IF($B25="",0,SUMIFS(tblAuftraege[Kalk.
Einnahmen],tblAuftraege[Datum
Einnahmen],"&gt;="&amp;S$5,tblAuftraege[Datum
Einnahmen],"&lt;"&amp;EDATE(S$5,1),tblAuftraege[Kostenstelle],$B25))</f>
        <v/>
      </c>
      <c r="T25" s="25">
        <f>IF($B25="",0,SUMIFS(tblAuftraege[Kalk.
Einnahmen],tblAuftraege[Datum
Einnahmen],"&gt;="&amp;T$5,tblAuftraege[Datum
Einnahmen],"&lt;"&amp;EDATE(T$5,1),tblAuftraege[Kostenstelle],$B25))</f>
        <v/>
      </c>
      <c r="U25" s="25">
        <f>IF($B25="",0,SUMIFS(tblAuftraege[Kalk.
Einnahmen],tblAuftraege[Datum
Einnahmen],"&gt;="&amp;U$5,tblAuftraege[Datum
Einnahmen],"&lt;"&amp;EDATE(U$5,1),tblAuftraege[Kostenstelle],$B25))</f>
        <v/>
      </c>
      <c r="V25" s="25">
        <f>IF($B25="",0,SUMIFS(tblAuftraege[Kalk.
Einnahmen],tblAuftraege[Datum
Einnahmen],"&gt;="&amp;V$5,tblAuftraege[Datum
Einnahmen],"&lt;"&amp;EDATE(V$5,1),tblAuftraege[Kostenstelle],$B25))</f>
        <v/>
      </c>
      <c r="W25" s="25">
        <f>IF($B25="",0,SUMIFS(tblAuftraege[Kalk.
Einnahmen],tblAuftraege[Datum
Einnahmen],"&gt;="&amp;W$5,tblAuftraege[Datum
Einnahmen],"&lt;"&amp;EDATE(W$5,1),tblAuftraege[Kostenstelle],$B25))</f>
        <v/>
      </c>
      <c r="X25" s="25">
        <f>IF($B25="",0,SUMIFS(tblAuftraege[Kalk.
Einnahmen],tblAuftraege[Datum
Einnahmen],"&gt;="&amp;X$5,tblAuftraege[Datum
Einnahmen],"&lt;"&amp;EDATE(X$5,1),tblAuftraege[Kostenstelle],$B25))</f>
        <v/>
      </c>
      <c r="Y25" s="25">
        <f>IF($B25="",0,SUMIFS(tblAuftraege[Kalk.
Einnahmen],tblAuftraege[Datum
Einnahmen],"&gt;="&amp;Y$5,tblAuftraege[Datum
Einnahmen],"&lt;"&amp;EDATE(Y$5,1),tblAuftraege[Kostenstelle],$B25))</f>
        <v/>
      </c>
      <c r="Z25" s="25">
        <f>IF($B25="",0,SUMIFS(tblAuftraege[Kalk.
Einnahmen],tblAuftraege[Datum
Einnahmen],"&gt;="&amp;Z$5,tblAuftraege[Datum
Einnahmen],"&lt;"&amp;EDATE(Z$5,1),tblAuftraege[Kostenstelle],$B25))</f>
        <v/>
      </c>
      <c r="AA25" s="25">
        <f>IF($B25="",0,SUMIFS(tblAuftraege[Kalk.
Einnahmen],tblAuftraege[Datum
Einnahmen],"&gt;="&amp;AA$5,tblAuftraege[Datum
Einnahmen],"&lt;"&amp;EDATE(AA$5,1),tblAuftraege[Kostenstelle],$B25))</f>
        <v/>
      </c>
      <c r="AB25" s="25">
        <f>IF($B25="",0,SUMIFS(tblAuftraege[Kalk.
Einnahmen],tblAuftraege[Datum
Einnahmen],"&gt;="&amp;AB$5,tblAuftraege[Datum
Einnahmen],"&lt;"&amp;EDATE(AB$5,1),tblAuftraege[Kostenstelle],$B25))</f>
        <v/>
      </c>
      <c r="AC25" s="25">
        <f>IF($B25="",0,SUMIFS(tblAuftraege[Kalk.
Einnahmen],tblAuftraege[Datum
Einnahmen],"&gt;="&amp;AC$5,tblAuftraege[Datum
Einnahmen],"&lt;"&amp;EDATE(AC$5,1),tblAuftraege[Kostenstelle],$B25))</f>
        <v/>
      </c>
      <c r="AD25" s="25">
        <f>IF($B25="",0,SUMIFS(tblAuftraege[Kalk.
Einnahmen],tblAuftraege[Datum
Einnahmen],"&gt;="&amp;AD$5,tblAuftraege[Datum
Einnahmen],"&lt;"&amp;EDATE(AD$5,1),tblAuftraege[Kostenstelle],$B25))</f>
        <v/>
      </c>
      <c r="AE25" s="25">
        <f>IF($B25="",0,SUMIFS(tblAuftraege[Kalk.
Einnahmen],tblAuftraege[Datum
Einnahmen],"&gt;="&amp;AE$5,tblAuftraege[Datum
Einnahmen],"&lt;"&amp;EDATE(AE$5,1),tblAuftraege[Kostenstelle],$B25))</f>
        <v/>
      </c>
      <c r="AF25" s="25">
        <f>IF($B25="",0,SUMIFS(tblAuftraege[Kalk.
Einnahmen],tblAuftraege[Datum
Einnahmen],"&gt;="&amp;AF$5,tblAuftraege[Datum
Einnahmen],"&lt;"&amp;EDATE(AF$5,1),tblAuftraege[Kostenstelle],$B25))</f>
        <v/>
      </c>
      <c r="AG25" s="25">
        <f>IF($B25="",0,SUMIFS(tblAuftraege[Kalk.
Einnahmen],tblAuftraege[Datum
Einnahmen],"&gt;="&amp;AG$5,tblAuftraege[Datum
Einnahmen],"&lt;"&amp;EDATE(AG$5,1),tblAuftraege[Kostenstelle],$B25))</f>
        <v/>
      </c>
      <c r="AH25" s="25">
        <f>IF($B25="",0,SUMIFS(tblAuftraege[Kalk.
Einnahmen],tblAuftraege[Datum
Einnahmen],"&gt;="&amp;AH$5,tblAuftraege[Datum
Einnahmen],"&lt;"&amp;EDATE(AH$5,1),tblAuftraege[Kostenstelle],$B25))</f>
        <v/>
      </c>
      <c r="AI25" s="25">
        <f>IF($B25="",0,SUMIFS(tblAuftraege[Kalk.
Einnahmen],tblAuftraege[Datum
Einnahmen],"&gt;="&amp;AI$5,tblAuftraege[Datum
Einnahmen],"&lt;"&amp;EDATE(AI$5,1),tblAuftraege[Kostenstelle],$B25))</f>
        <v/>
      </c>
      <c r="AJ25" s="25">
        <f>IF($B25="",0,SUMIFS(tblAuftraege[Kalk.
Einnahmen],tblAuftraege[Datum
Einnahmen],"&gt;="&amp;AJ$5,tblAuftraege[Datum
Einnahmen],"&lt;"&amp;EDATE(AJ$5,1),tblAuftraege[Kostenstelle],$B25))</f>
        <v/>
      </c>
      <c r="AK25" s="25">
        <f>IF($B25="",0,SUMIFS(tblAuftraege[Kalk.
Einnahmen],tblAuftraege[Datum
Einnahmen],"&gt;="&amp;AK$5,tblAuftraege[Datum
Einnahmen],"&lt;"&amp;EDATE(AK$5,1),tblAuftraege[Kostenstelle],$B25))</f>
        <v/>
      </c>
      <c r="AL25" s="25">
        <f>IF($B25="",0,SUMIFS(tblAuftraege[Kalk.
Einnahmen],tblAuftraege[Datum
Einnahmen],"&gt;="&amp;AL$5,tblAuftraege[Datum
Einnahmen],"&lt;"&amp;EDATE(AL$5,1),tblAuftraege[Kostenstelle],$B25))</f>
        <v/>
      </c>
      <c r="AM25" s="25">
        <f>IF($B25="",0,SUMIFS(tblAuftraege[Kalk.
Einnahmen],tblAuftraege[Datum
Einnahmen],"&gt;="&amp;AM$5,tblAuftraege[Datum
Einnahmen],"&lt;"&amp;EDATE(AM$5,1),tblAuftraege[Kostenstelle],$B25))</f>
        <v/>
      </c>
      <c r="AN25" s="25">
        <f>IF($B25="",0,SUMIFS(tblAuftraege[Kalk.
Einnahmen],tblAuftraege[Datum
Einnahmen],"&gt;="&amp;AN$5,tblAuftraege[Datum
Einnahmen],"&lt;"&amp;EDATE(AN$5,1),tblAuftraege[Kostenstelle],$B25))</f>
        <v/>
      </c>
      <c r="AO25" s="25">
        <f>IF($B25="",0,SUMIFS(tblAuftraege[Kalk.
Einnahmen],tblAuftraege[Datum
Einnahmen],"&gt;="&amp;AO$5,tblAuftraege[Datum
Einnahmen],"&lt;"&amp;EDATE(AO$5,1),tblAuftraege[Kostenstelle],$B25))</f>
        <v/>
      </c>
      <c r="AP25" s="25">
        <f>IF($B25="",0,SUMIFS(tblAuftraege[Kalk.
Einnahmen],tblAuftraege[Datum
Einnahmen],"&gt;="&amp;AP$5,tblAuftraege[Datum
Einnahmen],"&lt;"&amp;EDATE(AP$5,1),tblAuftraege[Kostenstelle],$B25))</f>
        <v/>
      </c>
      <c r="AQ25" s="25">
        <f>IF($B25="",0,SUMIFS(tblAuftraege[Kalk.
Einnahmen],tblAuftraege[Datum
Einnahmen],"&gt;="&amp;AQ$5,tblAuftraege[Datum
Einnahmen],"&lt;"&amp;EDATE(AQ$5,1),tblAuftraege[Kostenstelle],$B25))</f>
        <v/>
      </c>
      <c r="AR25" s="25">
        <f>IF($B25="",0,SUMIFS(tblAuftraege[Kalk.
Einnahmen],tblAuftraege[Datum
Einnahmen],"&gt;="&amp;AR$5,tblAuftraege[Datum
Einnahmen],"&lt;"&amp;EDATE(AR$5,1),tblAuftraege[Kostenstelle],$B25))</f>
        <v/>
      </c>
      <c r="AS25" s="25">
        <f>IF($B25="",0,SUMIFS(tblAuftraege[Kalk.
Einnahmen],tblAuftraege[Datum
Einnahmen],"&gt;="&amp;AS$5,tblAuftraege[Datum
Einnahmen],"&lt;"&amp;EDATE(AS$5,1),tblAuftraege[Kostenstelle],$B25))</f>
        <v/>
      </c>
      <c r="AT25" s="25">
        <f>IF($B25="",0,SUMIFS(tblAuftraege[Kalk.
Einnahmen],tblAuftraege[Datum
Einnahmen],"&gt;="&amp;AT$5,tblAuftraege[Datum
Einnahmen],"&lt;"&amp;EDATE(AT$5,1),tblAuftraege[Kostenstelle],$B25))</f>
        <v/>
      </c>
      <c r="AU25" s="25">
        <f>IF($B25="",0,SUMIFS(tblAuftraege[Kalk.
Einnahmen],tblAuftraege[Datum
Einnahmen],"&gt;="&amp;AU$5,tblAuftraege[Datum
Einnahmen],"&lt;"&amp;EDATE(AU$5,1),tblAuftraege[Kostenstelle],$B25))</f>
        <v/>
      </c>
      <c r="AV25" s="25">
        <f>IF($B25="",0,SUMIFS(tblAuftraege[Kalk.
Einnahmen],tblAuftraege[Datum
Einnahmen],"&gt;="&amp;AV$5,tblAuftraege[Datum
Einnahmen],"&lt;"&amp;EDATE(AV$5,1),tblAuftraege[Kostenstelle],$B25))</f>
        <v/>
      </c>
      <c r="AW25" s="25">
        <f>IF($B25="",0,SUMIFS(tblAuftraege[Kalk.
Einnahmen],tblAuftraege[Datum
Einnahmen],"&gt;="&amp;AW$5,tblAuftraege[Datum
Einnahmen],"&lt;"&amp;EDATE(AW$5,1),tblAuftraege[Kostenstelle],$B25))</f>
        <v/>
      </c>
      <c r="AX25" s="25">
        <f>IF($B25="",0,SUMIFS(tblAuftraege[Kalk.
Einnahmen],tblAuftraege[Datum
Einnahmen],"&gt;="&amp;AX$5,tblAuftraege[Datum
Einnahmen],"&lt;"&amp;EDATE(AX$5,1),tblAuftraege[Kostenstelle],$B25))</f>
        <v/>
      </c>
      <c r="AY25" s="25">
        <f>IF($B25="",0,SUMIFS(tblAuftraege[Kalk.
Einnahmen],tblAuftraege[Datum
Einnahmen],"&gt;="&amp;AY$5,tblAuftraege[Datum
Einnahmen],"&lt;"&amp;EDATE(AY$5,1),tblAuftraege[Kostenstelle],$B25))</f>
        <v/>
      </c>
      <c r="AZ25" s="25">
        <f>IF($B25="",0,SUMIFS(tblAuftraege[Kalk.
Einnahmen],tblAuftraege[Datum
Einnahmen],"&gt;="&amp;AZ$5,tblAuftraege[Datum
Einnahmen],"&lt;"&amp;EDATE(AZ$5,1),tblAuftraege[Kostenstelle],$B25))</f>
        <v/>
      </c>
      <c r="BA25" s="25">
        <f>IF($B25="",0,SUMIFS(tblAuftraege[Kalk.
Einnahmen],tblAuftraege[Datum
Einnahmen],"&gt;="&amp;BA$5,tblAuftraege[Datum
Einnahmen],"&lt;"&amp;EDATE(BA$5,1),tblAuftraege[Kostenstelle],$B25))</f>
        <v/>
      </c>
      <c r="BB25" s="25">
        <f>IF($B25="",0,SUMIFS(tblAuftraege[Kalk.
Einnahmen],tblAuftraege[Datum
Einnahmen],"&gt;="&amp;BB$5,tblAuftraege[Datum
Einnahmen],"&lt;"&amp;EDATE(BB$5,1),tblAuftraege[Kostenstelle],$B25))</f>
        <v/>
      </c>
      <c r="BC25" s="25">
        <f>IF($B25="",0,SUMIFS(tblAuftraege[Kalk.
Einnahmen],tblAuftraege[Datum
Einnahmen],"&gt;="&amp;BC$5,tblAuftraege[Datum
Einnahmen],"&lt;"&amp;EDATE(BC$5,1),tblAuftraege[Kostenstelle],$B25))</f>
        <v/>
      </c>
      <c r="BD25" s="25">
        <f>IF($B25="",0,SUMIFS(tblAuftraege[Kalk.
Einnahmen],tblAuftraege[Datum
Einnahmen],"&gt;="&amp;BD$5,tblAuftraege[Datum
Einnahmen],"&lt;"&amp;EDATE(BD$5,1),tblAuftraege[Kostenstelle],$B25))</f>
        <v/>
      </c>
      <c r="BE25" s="25">
        <f>SUM(C25:H25)</f>
        <v/>
      </c>
      <c r="BF25" s="25">
        <f>SUM(I25:T25)</f>
        <v/>
      </c>
      <c r="BG25" s="25">
        <f>SUM(U25:AF25)</f>
        <v/>
      </c>
      <c r="BH25" s="25">
        <f>SUM(AG25:AR25)</f>
        <v/>
      </c>
      <c r="BI25" s="25">
        <f>SUM(AS25:BD25)</f>
        <v/>
      </c>
      <c r="BJ25" s="25">
        <f>SUM(C25:BD25)</f>
        <v/>
      </c>
    </row>
    <row r="26">
      <c r="A26" s="34" t="n"/>
      <c r="B26" s="49" t="n"/>
      <c r="C26" s="25">
        <f>IF($B26="",0,SUMIFS(tblAuftraege[Kalk.
Einnahmen],tblAuftraege[Datum
Einnahmen],"&gt;="&amp;C$5,tblAuftraege[Datum
Einnahmen],"&lt;"&amp;EDATE(C$5,1),tblAuftraege[Kostenstelle],$B26))</f>
        <v/>
      </c>
      <c r="D26" s="25">
        <f>IF($B26="",0,SUMIFS(tblAuftraege[Kalk.
Einnahmen],tblAuftraege[Datum
Einnahmen],"&gt;="&amp;D$5,tblAuftraege[Datum
Einnahmen],"&lt;"&amp;EDATE(D$5,1),tblAuftraege[Kostenstelle],$B26))</f>
        <v/>
      </c>
      <c r="E26" s="25">
        <f>IF($B26="",0,SUMIFS(tblAuftraege[Kalk.
Einnahmen],tblAuftraege[Datum
Einnahmen],"&gt;="&amp;E$5,tblAuftraege[Datum
Einnahmen],"&lt;"&amp;EDATE(E$5,1),tblAuftraege[Kostenstelle],$B26))</f>
        <v/>
      </c>
      <c r="F26" s="25">
        <f>IF($B26="",0,SUMIFS(tblAuftraege[Kalk.
Einnahmen],tblAuftraege[Datum
Einnahmen],"&gt;="&amp;F$5,tblAuftraege[Datum
Einnahmen],"&lt;"&amp;EDATE(F$5,1),tblAuftraege[Kostenstelle],$B26))</f>
        <v/>
      </c>
      <c r="G26" s="25">
        <f>IF($B26="",0,SUMIFS(tblAuftraege[Kalk.
Einnahmen],tblAuftraege[Datum
Einnahmen],"&gt;="&amp;G$5,tblAuftraege[Datum
Einnahmen],"&lt;"&amp;EDATE(G$5,1),tblAuftraege[Kostenstelle],$B26))</f>
        <v/>
      </c>
      <c r="H26" s="25">
        <f>IF($B26="",0,SUMIFS(tblAuftraege[Kalk.
Einnahmen],tblAuftraege[Datum
Einnahmen],"&gt;="&amp;H$5,tblAuftraege[Datum
Einnahmen],"&lt;"&amp;EDATE(H$5,1),tblAuftraege[Kostenstelle],$B26))</f>
        <v/>
      </c>
      <c r="I26" s="25">
        <f>IF($B26="",0,SUMIFS(tblAuftraege[Kalk.
Einnahmen],tblAuftraege[Datum
Einnahmen],"&gt;="&amp;I$5,tblAuftraege[Datum
Einnahmen],"&lt;"&amp;EDATE(I$5,1),tblAuftraege[Kostenstelle],$B26))</f>
        <v/>
      </c>
      <c r="J26" s="25">
        <f>IF($B26="",0,SUMIFS(tblAuftraege[Kalk.
Einnahmen],tblAuftraege[Datum
Einnahmen],"&gt;="&amp;J$5,tblAuftraege[Datum
Einnahmen],"&lt;"&amp;EDATE(J$5,1),tblAuftraege[Kostenstelle],$B26))</f>
        <v/>
      </c>
      <c r="K26" s="25">
        <f>IF($B26="",0,SUMIFS(tblAuftraege[Kalk.
Einnahmen],tblAuftraege[Datum
Einnahmen],"&gt;="&amp;K$5,tblAuftraege[Datum
Einnahmen],"&lt;"&amp;EDATE(K$5,1),tblAuftraege[Kostenstelle],$B26))</f>
        <v/>
      </c>
      <c r="L26" s="25">
        <f>IF($B26="",0,SUMIFS(tblAuftraege[Kalk.
Einnahmen],tblAuftraege[Datum
Einnahmen],"&gt;="&amp;L$5,tblAuftraege[Datum
Einnahmen],"&lt;"&amp;EDATE(L$5,1),tblAuftraege[Kostenstelle],$B26))</f>
        <v/>
      </c>
      <c r="M26" s="25">
        <f>IF($B26="",0,SUMIFS(tblAuftraege[Kalk.
Einnahmen],tblAuftraege[Datum
Einnahmen],"&gt;="&amp;M$5,tblAuftraege[Datum
Einnahmen],"&lt;"&amp;EDATE(M$5,1),tblAuftraege[Kostenstelle],$B26))</f>
        <v/>
      </c>
      <c r="N26" s="25">
        <f>IF($B26="",0,SUMIFS(tblAuftraege[Kalk.
Einnahmen],tblAuftraege[Datum
Einnahmen],"&gt;="&amp;N$5,tblAuftraege[Datum
Einnahmen],"&lt;"&amp;EDATE(N$5,1),tblAuftraege[Kostenstelle],$B26))</f>
        <v/>
      </c>
      <c r="O26" s="25">
        <f>IF($B26="",0,SUMIFS(tblAuftraege[Kalk.
Einnahmen],tblAuftraege[Datum
Einnahmen],"&gt;="&amp;O$5,tblAuftraege[Datum
Einnahmen],"&lt;"&amp;EDATE(O$5,1),tblAuftraege[Kostenstelle],$B26))</f>
        <v/>
      </c>
      <c r="P26" s="25">
        <f>IF($B26="",0,SUMIFS(tblAuftraege[Kalk.
Einnahmen],tblAuftraege[Datum
Einnahmen],"&gt;="&amp;P$5,tblAuftraege[Datum
Einnahmen],"&lt;"&amp;EDATE(P$5,1),tblAuftraege[Kostenstelle],$B26))</f>
        <v/>
      </c>
      <c r="Q26" s="25">
        <f>IF($B26="",0,SUMIFS(tblAuftraege[Kalk.
Einnahmen],tblAuftraege[Datum
Einnahmen],"&gt;="&amp;Q$5,tblAuftraege[Datum
Einnahmen],"&lt;"&amp;EDATE(Q$5,1),tblAuftraege[Kostenstelle],$B26))</f>
        <v/>
      </c>
      <c r="R26" s="25">
        <f>IF($B26="",0,SUMIFS(tblAuftraege[Kalk.
Einnahmen],tblAuftraege[Datum
Einnahmen],"&gt;="&amp;R$5,tblAuftraege[Datum
Einnahmen],"&lt;"&amp;EDATE(R$5,1),tblAuftraege[Kostenstelle],$B26))</f>
        <v/>
      </c>
      <c r="S26" s="25">
        <f>IF($B26="",0,SUMIFS(tblAuftraege[Kalk.
Einnahmen],tblAuftraege[Datum
Einnahmen],"&gt;="&amp;S$5,tblAuftraege[Datum
Einnahmen],"&lt;"&amp;EDATE(S$5,1),tblAuftraege[Kostenstelle],$B26))</f>
        <v/>
      </c>
      <c r="T26" s="25">
        <f>IF($B26="",0,SUMIFS(tblAuftraege[Kalk.
Einnahmen],tblAuftraege[Datum
Einnahmen],"&gt;="&amp;T$5,tblAuftraege[Datum
Einnahmen],"&lt;"&amp;EDATE(T$5,1),tblAuftraege[Kostenstelle],$B26))</f>
        <v/>
      </c>
      <c r="U26" s="25">
        <f>IF($B26="",0,SUMIFS(tblAuftraege[Kalk.
Einnahmen],tblAuftraege[Datum
Einnahmen],"&gt;="&amp;U$5,tblAuftraege[Datum
Einnahmen],"&lt;"&amp;EDATE(U$5,1),tblAuftraege[Kostenstelle],$B26))</f>
        <v/>
      </c>
      <c r="V26" s="25">
        <f>IF($B26="",0,SUMIFS(tblAuftraege[Kalk.
Einnahmen],tblAuftraege[Datum
Einnahmen],"&gt;="&amp;V$5,tblAuftraege[Datum
Einnahmen],"&lt;"&amp;EDATE(V$5,1),tblAuftraege[Kostenstelle],$B26))</f>
        <v/>
      </c>
      <c r="W26" s="25">
        <f>IF($B26="",0,SUMIFS(tblAuftraege[Kalk.
Einnahmen],tblAuftraege[Datum
Einnahmen],"&gt;="&amp;W$5,tblAuftraege[Datum
Einnahmen],"&lt;"&amp;EDATE(W$5,1),tblAuftraege[Kostenstelle],$B26))</f>
        <v/>
      </c>
      <c r="X26" s="25">
        <f>IF($B26="",0,SUMIFS(tblAuftraege[Kalk.
Einnahmen],tblAuftraege[Datum
Einnahmen],"&gt;="&amp;X$5,tblAuftraege[Datum
Einnahmen],"&lt;"&amp;EDATE(X$5,1),tblAuftraege[Kostenstelle],$B26))</f>
        <v/>
      </c>
      <c r="Y26" s="25">
        <f>IF($B26="",0,SUMIFS(tblAuftraege[Kalk.
Einnahmen],tblAuftraege[Datum
Einnahmen],"&gt;="&amp;Y$5,tblAuftraege[Datum
Einnahmen],"&lt;"&amp;EDATE(Y$5,1),tblAuftraege[Kostenstelle],$B26))</f>
        <v/>
      </c>
      <c r="Z26" s="25">
        <f>IF($B26="",0,SUMIFS(tblAuftraege[Kalk.
Einnahmen],tblAuftraege[Datum
Einnahmen],"&gt;="&amp;Z$5,tblAuftraege[Datum
Einnahmen],"&lt;"&amp;EDATE(Z$5,1),tblAuftraege[Kostenstelle],$B26))</f>
        <v/>
      </c>
      <c r="AA26" s="25">
        <f>IF($B26="",0,SUMIFS(tblAuftraege[Kalk.
Einnahmen],tblAuftraege[Datum
Einnahmen],"&gt;="&amp;AA$5,tblAuftraege[Datum
Einnahmen],"&lt;"&amp;EDATE(AA$5,1),tblAuftraege[Kostenstelle],$B26))</f>
        <v/>
      </c>
      <c r="AB26" s="25">
        <f>IF($B26="",0,SUMIFS(tblAuftraege[Kalk.
Einnahmen],tblAuftraege[Datum
Einnahmen],"&gt;="&amp;AB$5,tblAuftraege[Datum
Einnahmen],"&lt;"&amp;EDATE(AB$5,1),tblAuftraege[Kostenstelle],$B26))</f>
        <v/>
      </c>
      <c r="AC26" s="25">
        <f>IF($B26="",0,SUMIFS(tblAuftraege[Kalk.
Einnahmen],tblAuftraege[Datum
Einnahmen],"&gt;="&amp;AC$5,tblAuftraege[Datum
Einnahmen],"&lt;"&amp;EDATE(AC$5,1),tblAuftraege[Kostenstelle],$B26))</f>
        <v/>
      </c>
      <c r="AD26" s="25">
        <f>IF($B26="",0,SUMIFS(tblAuftraege[Kalk.
Einnahmen],tblAuftraege[Datum
Einnahmen],"&gt;="&amp;AD$5,tblAuftraege[Datum
Einnahmen],"&lt;"&amp;EDATE(AD$5,1),tblAuftraege[Kostenstelle],$B26))</f>
        <v/>
      </c>
      <c r="AE26" s="25">
        <f>IF($B26="",0,SUMIFS(tblAuftraege[Kalk.
Einnahmen],tblAuftraege[Datum
Einnahmen],"&gt;="&amp;AE$5,tblAuftraege[Datum
Einnahmen],"&lt;"&amp;EDATE(AE$5,1),tblAuftraege[Kostenstelle],$B26))</f>
        <v/>
      </c>
      <c r="AF26" s="25">
        <f>IF($B26="",0,SUMIFS(tblAuftraege[Kalk.
Einnahmen],tblAuftraege[Datum
Einnahmen],"&gt;="&amp;AF$5,tblAuftraege[Datum
Einnahmen],"&lt;"&amp;EDATE(AF$5,1),tblAuftraege[Kostenstelle],$B26))</f>
        <v/>
      </c>
      <c r="AG26" s="25">
        <f>IF($B26="",0,SUMIFS(tblAuftraege[Kalk.
Einnahmen],tblAuftraege[Datum
Einnahmen],"&gt;="&amp;AG$5,tblAuftraege[Datum
Einnahmen],"&lt;"&amp;EDATE(AG$5,1),tblAuftraege[Kostenstelle],$B26))</f>
        <v/>
      </c>
      <c r="AH26" s="25">
        <f>IF($B26="",0,SUMIFS(tblAuftraege[Kalk.
Einnahmen],tblAuftraege[Datum
Einnahmen],"&gt;="&amp;AH$5,tblAuftraege[Datum
Einnahmen],"&lt;"&amp;EDATE(AH$5,1),tblAuftraege[Kostenstelle],$B26))</f>
        <v/>
      </c>
      <c r="AI26" s="25">
        <f>IF($B26="",0,SUMIFS(tblAuftraege[Kalk.
Einnahmen],tblAuftraege[Datum
Einnahmen],"&gt;="&amp;AI$5,tblAuftraege[Datum
Einnahmen],"&lt;"&amp;EDATE(AI$5,1),tblAuftraege[Kostenstelle],$B26))</f>
        <v/>
      </c>
      <c r="AJ26" s="25">
        <f>IF($B26="",0,SUMIFS(tblAuftraege[Kalk.
Einnahmen],tblAuftraege[Datum
Einnahmen],"&gt;="&amp;AJ$5,tblAuftraege[Datum
Einnahmen],"&lt;"&amp;EDATE(AJ$5,1),tblAuftraege[Kostenstelle],$B26))</f>
        <v/>
      </c>
      <c r="AK26" s="25">
        <f>IF($B26="",0,SUMIFS(tblAuftraege[Kalk.
Einnahmen],tblAuftraege[Datum
Einnahmen],"&gt;="&amp;AK$5,tblAuftraege[Datum
Einnahmen],"&lt;"&amp;EDATE(AK$5,1),tblAuftraege[Kostenstelle],$B26))</f>
        <v/>
      </c>
      <c r="AL26" s="25">
        <f>IF($B26="",0,SUMIFS(tblAuftraege[Kalk.
Einnahmen],tblAuftraege[Datum
Einnahmen],"&gt;="&amp;AL$5,tblAuftraege[Datum
Einnahmen],"&lt;"&amp;EDATE(AL$5,1),tblAuftraege[Kostenstelle],$B26))</f>
        <v/>
      </c>
      <c r="AM26" s="25">
        <f>IF($B26="",0,SUMIFS(tblAuftraege[Kalk.
Einnahmen],tblAuftraege[Datum
Einnahmen],"&gt;="&amp;AM$5,tblAuftraege[Datum
Einnahmen],"&lt;"&amp;EDATE(AM$5,1),tblAuftraege[Kostenstelle],$B26))</f>
        <v/>
      </c>
      <c r="AN26" s="25">
        <f>IF($B26="",0,SUMIFS(tblAuftraege[Kalk.
Einnahmen],tblAuftraege[Datum
Einnahmen],"&gt;="&amp;AN$5,tblAuftraege[Datum
Einnahmen],"&lt;"&amp;EDATE(AN$5,1),tblAuftraege[Kostenstelle],$B26))</f>
        <v/>
      </c>
      <c r="AO26" s="25">
        <f>IF($B26="",0,SUMIFS(tblAuftraege[Kalk.
Einnahmen],tblAuftraege[Datum
Einnahmen],"&gt;="&amp;AO$5,tblAuftraege[Datum
Einnahmen],"&lt;"&amp;EDATE(AO$5,1),tblAuftraege[Kostenstelle],$B26))</f>
        <v/>
      </c>
      <c r="AP26" s="25">
        <f>IF($B26="",0,SUMIFS(tblAuftraege[Kalk.
Einnahmen],tblAuftraege[Datum
Einnahmen],"&gt;="&amp;AP$5,tblAuftraege[Datum
Einnahmen],"&lt;"&amp;EDATE(AP$5,1),tblAuftraege[Kostenstelle],$B26))</f>
        <v/>
      </c>
      <c r="AQ26" s="25">
        <f>IF($B26="",0,SUMIFS(tblAuftraege[Kalk.
Einnahmen],tblAuftraege[Datum
Einnahmen],"&gt;="&amp;AQ$5,tblAuftraege[Datum
Einnahmen],"&lt;"&amp;EDATE(AQ$5,1),tblAuftraege[Kostenstelle],$B26))</f>
        <v/>
      </c>
      <c r="AR26" s="25">
        <f>IF($B26="",0,SUMIFS(tblAuftraege[Kalk.
Einnahmen],tblAuftraege[Datum
Einnahmen],"&gt;="&amp;AR$5,tblAuftraege[Datum
Einnahmen],"&lt;"&amp;EDATE(AR$5,1),tblAuftraege[Kostenstelle],$B26))</f>
        <v/>
      </c>
      <c r="AS26" s="25">
        <f>IF($B26="",0,SUMIFS(tblAuftraege[Kalk.
Einnahmen],tblAuftraege[Datum
Einnahmen],"&gt;="&amp;AS$5,tblAuftraege[Datum
Einnahmen],"&lt;"&amp;EDATE(AS$5,1),tblAuftraege[Kostenstelle],$B26))</f>
        <v/>
      </c>
      <c r="AT26" s="25">
        <f>IF($B26="",0,SUMIFS(tblAuftraege[Kalk.
Einnahmen],tblAuftraege[Datum
Einnahmen],"&gt;="&amp;AT$5,tblAuftraege[Datum
Einnahmen],"&lt;"&amp;EDATE(AT$5,1),tblAuftraege[Kostenstelle],$B26))</f>
        <v/>
      </c>
      <c r="AU26" s="25">
        <f>IF($B26="",0,SUMIFS(tblAuftraege[Kalk.
Einnahmen],tblAuftraege[Datum
Einnahmen],"&gt;="&amp;AU$5,tblAuftraege[Datum
Einnahmen],"&lt;"&amp;EDATE(AU$5,1),tblAuftraege[Kostenstelle],$B26))</f>
        <v/>
      </c>
      <c r="AV26" s="25">
        <f>IF($B26="",0,SUMIFS(tblAuftraege[Kalk.
Einnahmen],tblAuftraege[Datum
Einnahmen],"&gt;="&amp;AV$5,tblAuftraege[Datum
Einnahmen],"&lt;"&amp;EDATE(AV$5,1),tblAuftraege[Kostenstelle],$B26))</f>
        <v/>
      </c>
      <c r="AW26" s="25">
        <f>IF($B26="",0,SUMIFS(tblAuftraege[Kalk.
Einnahmen],tblAuftraege[Datum
Einnahmen],"&gt;="&amp;AW$5,tblAuftraege[Datum
Einnahmen],"&lt;"&amp;EDATE(AW$5,1),tblAuftraege[Kostenstelle],$B26))</f>
        <v/>
      </c>
      <c r="AX26" s="25">
        <f>IF($B26="",0,SUMIFS(tblAuftraege[Kalk.
Einnahmen],tblAuftraege[Datum
Einnahmen],"&gt;="&amp;AX$5,tblAuftraege[Datum
Einnahmen],"&lt;"&amp;EDATE(AX$5,1),tblAuftraege[Kostenstelle],$B26))</f>
        <v/>
      </c>
      <c r="AY26" s="25">
        <f>IF($B26="",0,SUMIFS(tblAuftraege[Kalk.
Einnahmen],tblAuftraege[Datum
Einnahmen],"&gt;="&amp;AY$5,tblAuftraege[Datum
Einnahmen],"&lt;"&amp;EDATE(AY$5,1),tblAuftraege[Kostenstelle],$B26))</f>
        <v/>
      </c>
      <c r="AZ26" s="25">
        <f>IF($B26="",0,SUMIFS(tblAuftraege[Kalk.
Einnahmen],tblAuftraege[Datum
Einnahmen],"&gt;="&amp;AZ$5,tblAuftraege[Datum
Einnahmen],"&lt;"&amp;EDATE(AZ$5,1),tblAuftraege[Kostenstelle],$B26))</f>
        <v/>
      </c>
      <c r="BA26" s="25">
        <f>IF($B26="",0,SUMIFS(tblAuftraege[Kalk.
Einnahmen],tblAuftraege[Datum
Einnahmen],"&gt;="&amp;BA$5,tblAuftraege[Datum
Einnahmen],"&lt;"&amp;EDATE(BA$5,1),tblAuftraege[Kostenstelle],$B26))</f>
        <v/>
      </c>
      <c r="BB26" s="25">
        <f>IF($B26="",0,SUMIFS(tblAuftraege[Kalk.
Einnahmen],tblAuftraege[Datum
Einnahmen],"&gt;="&amp;BB$5,tblAuftraege[Datum
Einnahmen],"&lt;"&amp;EDATE(BB$5,1),tblAuftraege[Kostenstelle],$B26))</f>
        <v/>
      </c>
      <c r="BC26" s="25">
        <f>IF($B26="",0,SUMIFS(tblAuftraege[Kalk.
Einnahmen],tblAuftraege[Datum
Einnahmen],"&gt;="&amp;BC$5,tblAuftraege[Datum
Einnahmen],"&lt;"&amp;EDATE(BC$5,1),tblAuftraege[Kostenstelle],$B26))</f>
        <v/>
      </c>
      <c r="BD26" s="25">
        <f>IF($B26="",0,SUMIFS(tblAuftraege[Kalk.
Einnahmen],tblAuftraege[Datum
Einnahmen],"&gt;="&amp;BD$5,tblAuftraege[Datum
Einnahmen],"&lt;"&amp;EDATE(BD$5,1),tblAuftraege[Kostenstelle],$B26))</f>
        <v/>
      </c>
      <c r="BE26" s="25">
        <f>SUM(C26:H26)</f>
        <v/>
      </c>
      <c r="BF26" s="25">
        <f>SUM(I26:T26)</f>
        <v/>
      </c>
      <c r="BG26" s="25">
        <f>SUM(U26:AF26)</f>
        <v/>
      </c>
      <c r="BH26" s="25">
        <f>SUM(AG26:AR26)</f>
        <v/>
      </c>
      <c r="BI26" s="25">
        <f>SUM(AS26:BD26)</f>
        <v/>
      </c>
      <c r="BJ26" s="25">
        <f>SUM(C26:BD26)</f>
        <v/>
      </c>
    </row>
    <row r="27">
      <c r="A27" s="34" t="n"/>
      <c r="B27" s="49" t="n"/>
      <c r="C27" s="25">
        <f>IF($B27="",0,SUMIFS(tblAuftraege[Kalk.
Einnahmen],tblAuftraege[Datum
Einnahmen],"&gt;="&amp;C$5,tblAuftraege[Datum
Einnahmen],"&lt;"&amp;EDATE(C$5,1),tblAuftraege[Kostenstelle],$B27))</f>
        <v/>
      </c>
      <c r="D27" s="25">
        <f>IF($B27="",0,SUMIFS(tblAuftraege[Kalk.
Einnahmen],tblAuftraege[Datum
Einnahmen],"&gt;="&amp;D$5,tblAuftraege[Datum
Einnahmen],"&lt;"&amp;EDATE(D$5,1),tblAuftraege[Kostenstelle],$B27))</f>
        <v/>
      </c>
      <c r="E27" s="25">
        <f>IF($B27="",0,SUMIFS(tblAuftraege[Kalk.
Einnahmen],tblAuftraege[Datum
Einnahmen],"&gt;="&amp;E$5,tblAuftraege[Datum
Einnahmen],"&lt;"&amp;EDATE(E$5,1),tblAuftraege[Kostenstelle],$B27))</f>
        <v/>
      </c>
      <c r="F27" s="25">
        <f>IF($B27="",0,SUMIFS(tblAuftraege[Kalk.
Einnahmen],tblAuftraege[Datum
Einnahmen],"&gt;="&amp;F$5,tblAuftraege[Datum
Einnahmen],"&lt;"&amp;EDATE(F$5,1),tblAuftraege[Kostenstelle],$B27))</f>
        <v/>
      </c>
      <c r="G27" s="25">
        <f>IF($B27="",0,SUMIFS(tblAuftraege[Kalk.
Einnahmen],tblAuftraege[Datum
Einnahmen],"&gt;="&amp;G$5,tblAuftraege[Datum
Einnahmen],"&lt;"&amp;EDATE(G$5,1),tblAuftraege[Kostenstelle],$B27))</f>
        <v/>
      </c>
      <c r="H27" s="25">
        <f>IF($B27="",0,SUMIFS(tblAuftraege[Kalk.
Einnahmen],tblAuftraege[Datum
Einnahmen],"&gt;="&amp;H$5,tblAuftraege[Datum
Einnahmen],"&lt;"&amp;EDATE(H$5,1),tblAuftraege[Kostenstelle],$B27))</f>
        <v/>
      </c>
      <c r="I27" s="25">
        <f>IF($B27="",0,SUMIFS(tblAuftraege[Kalk.
Einnahmen],tblAuftraege[Datum
Einnahmen],"&gt;="&amp;I$5,tblAuftraege[Datum
Einnahmen],"&lt;"&amp;EDATE(I$5,1),tblAuftraege[Kostenstelle],$B27))</f>
        <v/>
      </c>
      <c r="J27" s="25">
        <f>IF($B27="",0,SUMIFS(tblAuftraege[Kalk.
Einnahmen],tblAuftraege[Datum
Einnahmen],"&gt;="&amp;J$5,tblAuftraege[Datum
Einnahmen],"&lt;"&amp;EDATE(J$5,1),tblAuftraege[Kostenstelle],$B27))</f>
        <v/>
      </c>
      <c r="K27" s="25">
        <f>IF($B27="",0,SUMIFS(tblAuftraege[Kalk.
Einnahmen],tblAuftraege[Datum
Einnahmen],"&gt;="&amp;K$5,tblAuftraege[Datum
Einnahmen],"&lt;"&amp;EDATE(K$5,1),tblAuftraege[Kostenstelle],$B27))</f>
        <v/>
      </c>
      <c r="L27" s="25">
        <f>IF($B27="",0,SUMIFS(tblAuftraege[Kalk.
Einnahmen],tblAuftraege[Datum
Einnahmen],"&gt;="&amp;L$5,tblAuftraege[Datum
Einnahmen],"&lt;"&amp;EDATE(L$5,1),tblAuftraege[Kostenstelle],$B27))</f>
        <v/>
      </c>
      <c r="M27" s="25">
        <f>IF($B27="",0,SUMIFS(tblAuftraege[Kalk.
Einnahmen],tblAuftraege[Datum
Einnahmen],"&gt;="&amp;M$5,tblAuftraege[Datum
Einnahmen],"&lt;"&amp;EDATE(M$5,1),tblAuftraege[Kostenstelle],$B27))</f>
        <v/>
      </c>
      <c r="N27" s="25">
        <f>IF($B27="",0,SUMIFS(tblAuftraege[Kalk.
Einnahmen],tblAuftraege[Datum
Einnahmen],"&gt;="&amp;N$5,tblAuftraege[Datum
Einnahmen],"&lt;"&amp;EDATE(N$5,1),tblAuftraege[Kostenstelle],$B27))</f>
        <v/>
      </c>
      <c r="O27" s="25">
        <f>IF($B27="",0,SUMIFS(tblAuftraege[Kalk.
Einnahmen],tblAuftraege[Datum
Einnahmen],"&gt;="&amp;O$5,tblAuftraege[Datum
Einnahmen],"&lt;"&amp;EDATE(O$5,1),tblAuftraege[Kostenstelle],$B27))</f>
        <v/>
      </c>
      <c r="P27" s="25">
        <f>IF($B27="",0,SUMIFS(tblAuftraege[Kalk.
Einnahmen],tblAuftraege[Datum
Einnahmen],"&gt;="&amp;P$5,tblAuftraege[Datum
Einnahmen],"&lt;"&amp;EDATE(P$5,1),tblAuftraege[Kostenstelle],$B27))</f>
        <v/>
      </c>
      <c r="Q27" s="25">
        <f>IF($B27="",0,SUMIFS(tblAuftraege[Kalk.
Einnahmen],tblAuftraege[Datum
Einnahmen],"&gt;="&amp;Q$5,tblAuftraege[Datum
Einnahmen],"&lt;"&amp;EDATE(Q$5,1),tblAuftraege[Kostenstelle],$B27))</f>
        <v/>
      </c>
      <c r="R27" s="25">
        <f>IF($B27="",0,SUMIFS(tblAuftraege[Kalk.
Einnahmen],tblAuftraege[Datum
Einnahmen],"&gt;="&amp;R$5,tblAuftraege[Datum
Einnahmen],"&lt;"&amp;EDATE(R$5,1),tblAuftraege[Kostenstelle],$B27))</f>
        <v/>
      </c>
      <c r="S27" s="25">
        <f>IF($B27="",0,SUMIFS(tblAuftraege[Kalk.
Einnahmen],tblAuftraege[Datum
Einnahmen],"&gt;="&amp;S$5,tblAuftraege[Datum
Einnahmen],"&lt;"&amp;EDATE(S$5,1),tblAuftraege[Kostenstelle],$B27))</f>
        <v/>
      </c>
      <c r="T27" s="25">
        <f>IF($B27="",0,SUMIFS(tblAuftraege[Kalk.
Einnahmen],tblAuftraege[Datum
Einnahmen],"&gt;="&amp;T$5,tblAuftraege[Datum
Einnahmen],"&lt;"&amp;EDATE(T$5,1),tblAuftraege[Kostenstelle],$B27))</f>
        <v/>
      </c>
      <c r="U27" s="25">
        <f>IF($B27="",0,SUMIFS(tblAuftraege[Kalk.
Einnahmen],tblAuftraege[Datum
Einnahmen],"&gt;="&amp;U$5,tblAuftraege[Datum
Einnahmen],"&lt;"&amp;EDATE(U$5,1),tblAuftraege[Kostenstelle],$B27))</f>
        <v/>
      </c>
      <c r="V27" s="25">
        <f>IF($B27="",0,SUMIFS(tblAuftraege[Kalk.
Einnahmen],tblAuftraege[Datum
Einnahmen],"&gt;="&amp;V$5,tblAuftraege[Datum
Einnahmen],"&lt;"&amp;EDATE(V$5,1),tblAuftraege[Kostenstelle],$B27))</f>
        <v/>
      </c>
      <c r="W27" s="25">
        <f>IF($B27="",0,SUMIFS(tblAuftraege[Kalk.
Einnahmen],tblAuftraege[Datum
Einnahmen],"&gt;="&amp;W$5,tblAuftraege[Datum
Einnahmen],"&lt;"&amp;EDATE(W$5,1),tblAuftraege[Kostenstelle],$B27))</f>
        <v/>
      </c>
      <c r="X27" s="25">
        <f>IF($B27="",0,SUMIFS(tblAuftraege[Kalk.
Einnahmen],tblAuftraege[Datum
Einnahmen],"&gt;="&amp;X$5,tblAuftraege[Datum
Einnahmen],"&lt;"&amp;EDATE(X$5,1),tblAuftraege[Kostenstelle],$B27))</f>
        <v/>
      </c>
      <c r="Y27" s="25">
        <f>IF($B27="",0,SUMIFS(tblAuftraege[Kalk.
Einnahmen],tblAuftraege[Datum
Einnahmen],"&gt;="&amp;Y$5,tblAuftraege[Datum
Einnahmen],"&lt;"&amp;EDATE(Y$5,1),tblAuftraege[Kostenstelle],$B27))</f>
        <v/>
      </c>
      <c r="Z27" s="25">
        <f>IF($B27="",0,SUMIFS(tblAuftraege[Kalk.
Einnahmen],tblAuftraege[Datum
Einnahmen],"&gt;="&amp;Z$5,tblAuftraege[Datum
Einnahmen],"&lt;"&amp;EDATE(Z$5,1),tblAuftraege[Kostenstelle],$B27))</f>
        <v/>
      </c>
      <c r="AA27" s="25">
        <f>IF($B27="",0,SUMIFS(tblAuftraege[Kalk.
Einnahmen],tblAuftraege[Datum
Einnahmen],"&gt;="&amp;AA$5,tblAuftraege[Datum
Einnahmen],"&lt;"&amp;EDATE(AA$5,1),tblAuftraege[Kostenstelle],$B27))</f>
        <v/>
      </c>
      <c r="AB27" s="25">
        <f>IF($B27="",0,SUMIFS(tblAuftraege[Kalk.
Einnahmen],tblAuftraege[Datum
Einnahmen],"&gt;="&amp;AB$5,tblAuftraege[Datum
Einnahmen],"&lt;"&amp;EDATE(AB$5,1),tblAuftraege[Kostenstelle],$B27))</f>
        <v/>
      </c>
      <c r="AC27" s="25">
        <f>IF($B27="",0,SUMIFS(tblAuftraege[Kalk.
Einnahmen],tblAuftraege[Datum
Einnahmen],"&gt;="&amp;AC$5,tblAuftraege[Datum
Einnahmen],"&lt;"&amp;EDATE(AC$5,1),tblAuftraege[Kostenstelle],$B27))</f>
        <v/>
      </c>
      <c r="AD27" s="25">
        <f>IF($B27="",0,SUMIFS(tblAuftraege[Kalk.
Einnahmen],tblAuftraege[Datum
Einnahmen],"&gt;="&amp;AD$5,tblAuftraege[Datum
Einnahmen],"&lt;"&amp;EDATE(AD$5,1),tblAuftraege[Kostenstelle],$B27))</f>
        <v/>
      </c>
      <c r="AE27" s="25">
        <f>IF($B27="",0,SUMIFS(tblAuftraege[Kalk.
Einnahmen],tblAuftraege[Datum
Einnahmen],"&gt;="&amp;AE$5,tblAuftraege[Datum
Einnahmen],"&lt;"&amp;EDATE(AE$5,1),tblAuftraege[Kostenstelle],$B27))</f>
        <v/>
      </c>
      <c r="AF27" s="25">
        <f>IF($B27="",0,SUMIFS(tblAuftraege[Kalk.
Einnahmen],tblAuftraege[Datum
Einnahmen],"&gt;="&amp;AF$5,tblAuftraege[Datum
Einnahmen],"&lt;"&amp;EDATE(AF$5,1),tblAuftraege[Kostenstelle],$B27))</f>
        <v/>
      </c>
      <c r="AG27" s="25">
        <f>IF($B27="",0,SUMIFS(tblAuftraege[Kalk.
Einnahmen],tblAuftraege[Datum
Einnahmen],"&gt;="&amp;AG$5,tblAuftraege[Datum
Einnahmen],"&lt;"&amp;EDATE(AG$5,1),tblAuftraege[Kostenstelle],$B27))</f>
        <v/>
      </c>
      <c r="AH27" s="25">
        <f>IF($B27="",0,SUMIFS(tblAuftraege[Kalk.
Einnahmen],tblAuftraege[Datum
Einnahmen],"&gt;="&amp;AH$5,tblAuftraege[Datum
Einnahmen],"&lt;"&amp;EDATE(AH$5,1),tblAuftraege[Kostenstelle],$B27))</f>
        <v/>
      </c>
      <c r="AI27" s="25">
        <f>IF($B27="",0,SUMIFS(tblAuftraege[Kalk.
Einnahmen],tblAuftraege[Datum
Einnahmen],"&gt;="&amp;AI$5,tblAuftraege[Datum
Einnahmen],"&lt;"&amp;EDATE(AI$5,1),tblAuftraege[Kostenstelle],$B27))</f>
        <v/>
      </c>
      <c r="AJ27" s="25">
        <f>IF($B27="",0,SUMIFS(tblAuftraege[Kalk.
Einnahmen],tblAuftraege[Datum
Einnahmen],"&gt;="&amp;AJ$5,tblAuftraege[Datum
Einnahmen],"&lt;"&amp;EDATE(AJ$5,1),tblAuftraege[Kostenstelle],$B27))</f>
        <v/>
      </c>
      <c r="AK27" s="25">
        <f>IF($B27="",0,SUMIFS(tblAuftraege[Kalk.
Einnahmen],tblAuftraege[Datum
Einnahmen],"&gt;="&amp;AK$5,tblAuftraege[Datum
Einnahmen],"&lt;"&amp;EDATE(AK$5,1),tblAuftraege[Kostenstelle],$B27))</f>
        <v/>
      </c>
      <c r="AL27" s="25">
        <f>IF($B27="",0,SUMIFS(tblAuftraege[Kalk.
Einnahmen],tblAuftraege[Datum
Einnahmen],"&gt;="&amp;AL$5,tblAuftraege[Datum
Einnahmen],"&lt;"&amp;EDATE(AL$5,1),tblAuftraege[Kostenstelle],$B27))</f>
        <v/>
      </c>
      <c r="AM27" s="25">
        <f>IF($B27="",0,SUMIFS(tblAuftraege[Kalk.
Einnahmen],tblAuftraege[Datum
Einnahmen],"&gt;="&amp;AM$5,tblAuftraege[Datum
Einnahmen],"&lt;"&amp;EDATE(AM$5,1),tblAuftraege[Kostenstelle],$B27))</f>
        <v/>
      </c>
      <c r="AN27" s="25">
        <f>IF($B27="",0,SUMIFS(tblAuftraege[Kalk.
Einnahmen],tblAuftraege[Datum
Einnahmen],"&gt;="&amp;AN$5,tblAuftraege[Datum
Einnahmen],"&lt;"&amp;EDATE(AN$5,1),tblAuftraege[Kostenstelle],$B27))</f>
        <v/>
      </c>
      <c r="AO27" s="25">
        <f>IF($B27="",0,SUMIFS(tblAuftraege[Kalk.
Einnahmen],tblAuftraege[Datum
Einnahmen],"&gt;="&amp;AO$5,tblAuftraege[Datum
Einnahmen],"&lt;"&amp;EDATE(AO$5,1),tblAuftraege[Kostenstelle],$B27))</f>
        <v/>
      </c>
      <c r="AP27" s="25">
        <f>IF($B27="",0,SUMIFS(tblAuftraege[Kalk.
Einnahmen],tblAuftraege[Datum
Einnahmen],"&gt;="&amp;AP$5,tblAuftraege[Datum
Einnahmen],"&lt;"&amp;EDATE(AP$5,1),tblAuftraege[Kostenstelle],$B27))</f>
        <v/>
      </c>
      <c r="AQ27" s="25">
        <f>IF($B27="",0,SUMIFS(tblAuftraege[Kalk.
Einnahmen],tblAuftraege[Datum
Einnahmen],"&gt;="&amp;AQ$5,tblAuftraege[Datum
Einnahmen],"&lt;"&amp;EDATE(AQ$5,1),tblAuftraege[Kostenstelle],$B27))</f>
        <v/>
      </c>
      <c r="AR27" s="25">
        <f>IF($B27="",0,SUMIFS(tblAuftraege[Kalk.
Einnahmen],tblAuftraege[Datum
Einnahmen],"&gt;="&amp;AR$5,tblAuftraege[Datum
Einnahmen],"&lt;"&amp;EDATE(AR$5,1),tblAuftraege[Kostenstelle],$B27))</f>
        <v/>
      </c>
      <c r="AS27" s="25">
        <f>IF($B27="",0,SUMIFS(tblAuftraege[Kalk.
Einnahmen],tblAuftraege[Datum
Einnahmen],"&gt;="&amp;AS$5,tblAuftraege[Datum
Einnahmen],"&lt;"&amp;EDATE(AS$5,1),tblAuftraege[Kostenstelle],$B27))</f>
        <v/>
      </c>
      <c r="AT27" s="25">
        <f>IF($B27="",0,SUMIFS(tblAuftraege[Kalk.
Einnahmen],tblAuftraege[Datum
Einnahmen],"&gt;="&amp;AT$5,tblAuftraege[Datum
Einnahmen],"&lt;"&amp;EDATE(AT$5,1),tblAuftraege[Kostenstelle],$B27))</f>
        <v/>
      </c>
      <c r="AU27" s="25">
        <f>IF($B27="",0,SUMIFS(tblAuftraege[Kalk.
Einnahmen],tblAuftraege[Datum
Einnahmen],"&gt;="&amp;AU$5,tblAuftraege[Datum
Einnahmen],"&lt;"&amp;EDATE(AU$5,1),tblAuftraege[Kostenstelle],$B27))</f>
        <v/>
      </c>
      <c r="AV27" s="25">
        <f>IF($B27="",0,SUMIFS(tblAuftraege[Kalk.
Einnahmen],tblAuftraege[Datum
Einnahmen],"&gt;="&amp;AV$5,tblAuftraege[Datum
Einnahmen],"&lt;"&amp;EDATE(AV$5,1),tblAuftraege[Kostenstelle],$B27))</f>
        <v/>
      </c>
      <c r="AW27" s="25">
        <f>IF($B27="",0,SUMIFS(tblAuftraege[Kalk.
Einnahmen],tblAuftraege[Datum
Einnahmen],"&gt;="&amp;AW$5,tblAuftraege[Datum
Einnahmen],"&lt;"&amp;EDATE(AW$5,1),tblAuftraege[Kostenstelle],$B27))</f>
        <v/>
      </c>
      <c r="AX27" s="25">
        <f>IF($B27="",0,SUMIFS(tblAuftraege[Kalk.
Einnahmen],tblAuftraege[Datum
Einnahmen],"&gt;="&amp;AX$5,tblAuftraege[Datum
Einnahmen],"&lt;"&amp;EDATE(AX$5,1),tblAuftraege[Kostenstelle],$B27))</f>
        <v/>
      </c>
      <c r="AY27" s="25">
        <f>IF($B27="",0,SUMIFS(tblAuftraege[Kalk.
Einnahmen],tblAuftraege[Datum
Einnahmen],"&gt;="&amp;AY$5,tblAuftraege[Datum
Einnahmen],"&lt;"&amp;EDATE(AY$5,1),tblAuftraege[Kostenstelle],$B27))</f>
        <v/>
      </c>
      <c r="AZ27" s="25">
        <f>IF($B27="",0,SUMIFS(tblAuftraege[Kalk.
Einnahmen],tblAuftraege[Datum
Einnahmen],"&gt;="&amp;AZ$5,tblAuftraege[Datum
Einnahmen],"&lt;"&amp;EDATE(AZ$5,1),tblAuftraege[Kostenstelle],$B27))</f>
        <v/>
      </c>
      <c r="BA27" s="25">
        <f>IF($B27="",0,SUMIFS(tblAuftraege[Kalk.
Einnahmen],tblAuftraege[Datum
Einnahmen],"&gt;="&amp;BA$5,tblAuftraege[Datum
Einnahmen],"&lt;"&amp;EDATE(BA$5,1),tblAuftraege[Kostenstelle],$B27))</f>
        <v/>
      </c>
      <c r="BB27" s="25">
        <f>IF($B27="",0,SUMIFS(tblAuftraege[Kalk.
Einnahmen],tblAuftraege[Datum
Einnahmen],"&gt;="&amp;BB$5,tblAuftraege[Datum
Einnahmen],"&lt;"&amp;EDATE(BB$5,1),tblAuftraege[Kostenstelle],$B27))</f>
        <v/>
      </c>
      <c r="BC27" s="25">
        <f>IF($B27="",0,SUMIFS(tblAuftraege[Kalk.
Einnahmen],tblAuftraege[Datum
Einnahmen],"&gt;="&amp;BC$5,tblAuftraege[Datum
Einnahmen],"&lt;"&amp;EDATE(BC$5,1),tblAuftraege[Kostenstelle],$B27))</f>
        <v/>
      </c>
      <c r="BD27" s="25">
        <f>IF($B27="",0,SUMIFS(tblAuftraege[Kalk.
Einnahmen],tblAuftraege[Datum
Einnahmen],"&gt;="&amp;BD$5,tblAuftraege[Datum
Einnahmen],"&lt;"&amp;EDATE(BD$5,1),tblAuftraege[Kostenstelle],$B27))</f>
        <v/>
      </c>
      <c r="BE27" s="25">
        <f>SUM(C27:H27)</f>
        <v/>
      </c>
      <c r="BF27" s="25">
        <f>SUM(I27:T27)</f>
        <v/>
      </c>
      <c r="BG27" s="25">
        <f>SUM(U27:AF27)</f>
        <v/>
      </c>
      <c r="BH27" s="25">
        <f>SUM(AG27:AR27)</f>
        <v/>
      </c>
      <c r="BI27" s="25">
        <f>SUM(AS27:BD27)</f>
        <v/>
      </c>
      <c r="BJ27" s="25">
        <f>SUM(C27:BD27)</f>
        <v/>
      </c>
    </row>
    <row r="28">
      <c r="A28" s="34" t="n"/>
      <c r="B28" s="49" t="n"/>
      <c r="C28" s="25">
        <f>IF($B28="",0,SUMIFS(tblAuftraege[Kalk.
Einnahmen],tblAuftraege[Datum
Einnahmen],"&gt;="&amp;C$5,tblAuftraege[Datum
Einnahmen],"&lt;"&amp;EDATE(C$5,1),tblAuftraege[Kostenstelle],$B28))</f>
        <v/>
      </c>
      <c r="D28" s="25">
        <f>IF($B28="",0,SUMIFS(tblAuftraege[Kalk.
Einnahmen],tblAuftraege[Datum
Einnahmen],"&gt;="&amp;D$5,tblAuftraege[Datum
Einnahmen],"&lt;"&amp;EDATE(D$5,1),tblAuftraege[Kostenstelle],$B28))</f>
        <v/>
      </c>
      <c r="E28" s="25">
        <f>IF($B28="",0,SUMIFS(tblAuftraege[Kalk.
Einnahmen],tblAuftraege[Datum
Einnahmen],"&gt;="&amp;E$5,tblAuftraege[Datum
Einnahmen],"&lt;"&amp;EDATE(E$5,1),tblAuftraege[Kostenstelle],$B28))</f>
        <v/>
      </c>
      <c r="F28" s="25">
        <f>IF($B28="",0,SUMIFS(tblAuftraege[Kalk.
Einnahmen],tblAuftraege[Datum
Einnahmen],"&gt;="&amp;F$5,tblAuftraege[Datum
Einnahmen],"&lt;"&amp;EDATE(F$5,1),tblAuftraege[Kostenstelle],$B28))</f>
        <v/>
      </c>
      <c r="G28" s="25">
        <f>IF($B28="",0,SUMIFS(tblAuftraege[Kalk.
Einnahmen],tblAuftraege[Datum
Einnahmen],"&gt;="&amp;G$5,tblAuftraege[Datum
Einnahmen],"&lt;"&amp;EDATE(G$5,1),tblAuftraege[Kostenstelle],$B28))</f>
        <v/>
      </c>
      <c r="H28" s="25">
        <f>IF($B28="",0,SUMIFS(tblAuftraege[Kalk.
Einnahmen],tblAuftraege[Datum
Einnahmen],"&gt;="&amp;H$5,tblAuftraege[Datum
Einnahmen],"&lt;"&amp;EDATE(H$5,1),tblAuftraege[Kostenstelle],$B28))</f>
        <v/>
      </c>
      <c r="I28" s="25">
        <f>IF($B28="",0,SUMIFS(tblAuftraege[Kalk.
Einnahmen],tblAuftraege[Datum
Einnahmen],"&gt;="&amp;I$5,tblAuftraege[Datum
Einnahmen],"&lt;"&amp;EDATE(I$5,1),tblAuftraege[Kostenstelle],$B28))</f>
        <v/>
      </c>
      <c r="J28" s="25">
        <f>IF($B28="",0,SUMIFS(tblAuftraege[Kalk.
Einnahmen],tblAuftraege[Datum
Einnahmen],"&gt;="&amp;J$5,tblAuftraege[Datum
Einnahmen],"&lt;"&amp;EDATE(J$5,1),tblAuftraege[Kostenstelle],$B28))</f>
        <v/>
      </c>
      <c r="K28" s="25">
        <f>IF($B28="",0,SUMIFS(tblAuftraege[Kalk.
Einnahmen],tblAuftraege[Datum
Einnahmen],"&gt;="&amp;K$5,tblAuftraege[Datum
Einnahmen],"&lt;"&amp;EDATE(K$5,1),tblAuftraege[Kostenstelle],$B28))</f>
        <v/>
      </c>
      <c r="L28" s="25">
        <f>IF($B28="",0,SUMIFS(tblAuftraege[Kalk.
Einnahmen],tblAuftraege[Datum
Einnahmen],"&gt;="&amp;L$5,tblAuftraege[Datum
Einnahmen],"&lt;"&amp;EDATE(L$5,1),tblAuftraege[Kostenstelle],$B28))</f>
        <v/>
      </c>
      <c r="M28" s="25">
        <f>IF($B28="",0,SUMIFS(tblAuftraege[Kalk.
Einnahmen],tblAuftraege[Datum
Einnahmen],"&gt;="&amp;M$5,tblAuftraege[Datum
Einnahmen],"&lt;"&amp;EDATE(M$5,1),tblAuftraege[Kostenstelle],$B28))</f>
        <v/>
      </c>
      <c r="N28" s="25">
        <f>IF($B28="",0,SUMIFS(tblAuftraege[Kalk.
Einnahmen],tblAuftraege[Datum
Einnahmen],"&gt;="&amp;N$5,tblAuftraege[Datum
Einnahmen],"&lt;"&amp;EDATE(N$5,1),tblAuftraege[Kostenstelle],$B28))</f>
        <v/>
      </c>
      <c r="O28" s="25">
        <f>IF($B28="",0,SUMIFS(tblAuftraege[Kalk.
Einnahmen],tblAuftraege[Datum
Einnahmen],"&gt;="&amp;O$5,tblAuftraege[Datum
Einnahmen],"&lt;"&amp;EDATE(O$5,1),tblAuftraege[Kostenstelle],$B28))</f>
        <v/>
      </c>
      <c r="P28" s="25">
        <f>IF($B28="",0,SUMIFS(tblAuftraege[Kalk.
Einnahmen],tblAuftraege[Datum
Einnahmen],"&gt;="&amp;P$5,tblAuftraege[Datum
Einnahmen],"&lt;"&amp;EDATE(P$5,1),tblAuftraege[Kostenstelle],$B28))</f>
        <v/>
      </c>
      <c r="Q28" s="25">
        <f>IF($B28="",0,SUMIFS(tblAuftraege[Kalk.
Einnahmen],tblAuftraege[Datum
Einnahmen],"&gt;="&amp;Q$5,tblAuftraege[Datum
Einnahmen],"&lt;"&amp;EDATE(Q$5,1),tblAuftraege[Kostenstelle],$B28))</f>
        <v/>
      </c>
      <c r="R28" s="25">
        <f>IF($B28="",0,SUMIFS(tblAuftraege[Kalk.
Einnahmen],tblAuftraege[Datum
Einnahmen],"&gt;="&amp;R$5,tblAuftraege[Datum
Einnahmen],"&lt;"&amp;EDATE(R$5,1),tblAuftraege[Kostenstelle],$B28))</f>
        <v/>
      </c>
      <c r="S28" s="25">
        <f>IF($B28="",0,SUMIFS(tblAuftraege[Kalk.
Einnahmen],tblAuftraege[Datum
Einnahmen],"&gt;="&amp;S$5,tblAuftraege[Datum
Einnahmen],"&lt;"&amp;EDATE(S$5,1),tblAuftraege[Kostenstelle],$B28))</f>
        <v/>
      </c>
      <c r="T28" s="25">
        <f>IF($B28="",0,SUMIFS(tblAuftraege[Kalk.
Einnahmen],tblAuftraege[Datum
Einnahmen],"&gt;="&amp;T$5,tblAuftraege[Datum
Einnahmen],"&lt;"&amp;EDATE(T$5,1),tblAuftraege[Kostenstelle],$B28))</f>
        <v/>
      </c>
      <c r="U28" s="25">
        <f>IF($B28="",0,SUMIFS(tblAuftraege[Kalk.
Einnahmen],tblAuftraege[Datum
Einnahmen],"&gt;="&amp;U$5,tblAuftraege[Datum
Einnahmen],"&lt;"&amp;EDATE(U$5,1),tblAuftraege[Kostenstelle],$B28))</f>
        <v/>
      </c>
      <c r="V28" s="25">
        <f>IF($B28="",0,SUMIFS(tblAuftraege[Kalk.
Einnahmen],tblAuftraege[Datum
Einnahmen],"&gt;="&amp;V$5,tblAuftraege[Datum
Einnahmen],"&lt;"&amp;EDATE(V$5,1),tblAuftraege[Kostenstelle],$B28))</f>
        <v/>
      </c>
      <c r="W28" s="25">
        <f>IF($B28="",0,SUMIFS(tblAuftraege[Kalk.
Einnahmen],tblAuftraege[Datum
Einnahmen],"&gt;="&amp;W$5,tblAuftraege[Datum
Einnahmen],"&lt;"&amp;EDATE(W$5,1),tblAuftraege[Kostenstelle],$B28))</f>
        <v/>
      </c>
      <c r="X28" s="25">
        <f>IF($B28="",0,SUMIFS(tblAuftraege[Kalk.
Einnahmen],tblAuftraege[Datum
Einnahmen],"&gt;="&amp;X$5,tblAuftraege[Datum
Einnahmen],"&lt;"&amp;EDATE(X$5,1),tblAuftraege[Kostenstelle],$B28))</f>
        <v/>
      </c>
      <c r="Y28" s="25">
        <f>IF($B28="",0,SUMIFS(tblAuftraege[Kalk.
Einnahmen],tblAuftraege[Datum
Einnahmen],"&gt;="&amp;Y$5,tblAuftraege[Datum
Einnahmen],"&lt;"&amp;EDATE(Y$5,1),tblAuftraege[Kostenstelle],$B28))</f>
        <v/>
      </c>
      <c r="Z28" s="25">
        <f>IF($B28="",0,SUMIFS(tblAuftraege[Kalk.
Einnahmen],tblAuftraege[Datum
Einnahmen],"&gt;="&amp;Z$5,tblAuftraege[Datum
Einnahmen],"&lt;"&amp;EDATE(Z$5,1),tblAuftraege[Kostenstelle],$B28))</f>
        <v/>
      </c>
      <c r="AA28" s="25">
        <f>IF($B28="",0,SUMIFS(tblAuftraege[Kalk.
Einnahmen],tblAuftraege[Datum
Einnahmen],"&gt;="&amp;AA$5,tblAuftraege[Datum
Einnahmen],"&lt;"&amp;EDATE(AA$5,1),tblAuftraege[Kostenstelle],$B28))</f>
        <v/>
      </c>
      <c r="AB28" s="25">
        <f>IF($B28="",0,SUMIFS(tblAuftraege[Kalk.
Einnahmen],tblAuftraege[Datum
Einnahmen],"&gt;="&amp;AB$5,tblAuftraege[Datum
Einnahmen],"&lt;"&amp;EDATE(AB$5,1),tblAuftraege[Kostenstelle],$B28))</f>
        <v/>
      </c>
      <c r="AC28" s="25">
        <f>IF($B28="",0,SUMIFS(tblAuftraege[Kalk.
Einnahmen],tblAuftraege[Datum
Einnahmen],"&gt;="&amp;AC$5,tblAuftraege[Datum
Einnahmen],"&lt;"&amp;EDATE(AC$5,1),tblAuftraege[Kostenstelle],$B28))</f>
        <v/>
      </c>
      <c r="AD28" s="25">
        <f>IF($B28="",0,SUMIFS(tblAuftraege[Kalk.
Einnahmen],tblAuftraege[Datum
Einnahmen],"&gt;="&amp;AD$5,tblAuftraege[Datum
Einnahmen],"&lt;"&amp;EDATE(AD$5,1),tblAuftraege[Kostenstelle],$B28))</f>
        <v/>
      </c>
      <c r="AE28" s="25">
        <f>IF($B28="",0,SUMIFS(tblAuftraege[Kalk.
Einnahmen],tblAuftraege[Datum
Einnahmen],"&gt;="&amp;AE$5,tblAuftraege[Datum
Einnahmen],"&lt;"&amp;EDATE(AE$5,1),tblAuftraege[Kostenstelle],$B28))</f>
        <v/>
      </c>
      <c r="AF28" s="25">
        <f>IF($B28="",0,SUMIFS(tblAuftraege[Kalk.
Einnahmen],tblAuftraege[Datum
Einnahmen],"&gt;="&amp;AF$5,tblAuftraege[Datum
Einnahmen],"&lt;"&amp;EDATE(AF$5,1),tblAuftraege[Kostenstelle],$B28))</f>
        <v/>
      </c>
      <c r="AG28" s="25">
        <f>IF($B28="",0,SUMIFS(tblAuftraege[Kalk.
Einnahmen],tblAuftraege[Datum
Einnahmen],"&gt;="&amp;AG$5,tblAuftraege[Datum
Einnahmen],"&lt;"&amp;EDATE(AG$5,1),tblAuftraege[Kostenstelle],$B28))</f>
        <v/>
      </c>
      <c r="AH28" s="25">
        <f>IF($B28="",0,SUMIFS(tblAuftraege[Kalk.
Einnahmen],tblAuftraege[Datum
Einnahmen],"&gt;="&amp;AH$5,tblAuftraege[Datum
Einnahmen],"&lt;"&amp;EDATE(AH$5,1),tblAuftraege[Kostenstelle],$B28))</f>
        <v/>
      </c>
      <c r="AI28" s="25">
        <f>IF($B28="",0,SUMIFS(tblAuftraege[Kalk.
Einnahmen],tblAuftraege[Datum
Einnahmen],"&gt;="&amp;AI$5,tblAuftraege[Datum
Einnahmen],"&lt;"&amp;EDATE(AI$5,1),tblAuftraege[Kostenstelle],$B28))</f>
        <v/>
      </c>
      <c r="AJ28" s="25">
        <f>IF($B28="",0,SUMIFS(tblAuftraege[Kalk.
Einnahmen],tblAuftraege[Datum
Einnahmen],"&gt;="&amp;AJ$5,tblAuftraege[Datum
Einnahmen],"&lt;"&amp;EDATE(AJ$5,1),tblAuftraege[Kostenstelle],$B28))</f>
        <v/>
      </c>
      <c r="AK28" s="25">
        <f>IF($B28="",0,SUMIFS(tblAuftraege[Kalk.
Einnahmen],tblAuftraege[Datum
Einnahmen],"&gt;="&amp;AK$5,tblAuftraege[Datum
Einnahmen],"&lt;"&amp;EDATE(AK$5,1),tblAuftraege[Kostenstelle],$B28))</f>
        <v/>
      </c>
      <c r="AL28" s="25">
        <f>IF($B28="",0,SUMIFS(tblAuftraege[Kalk.
Einnahmen],tblAuftraege[Datum
Einnahmen],"&gt;="&amp;AL$5,tblAuftraege[Datum
Einnahmen],"&lt;"&amp;EDATE(AL$5,1),tblAuftraege[Kostenstelle],$B28))</f>
        <v/>
      </c>
      <c r="AM28" s="25">
        <f>IF($B28="",0,SUMIFS(tblAuftraege[Kalk.
Einnahmen],tblAuftraege[Datum
Einnahmen],"&gt;="&amp;AM$5,tblAuftraege[Datum
Einnahmen],"&lt;"&amp;EDATE(AM$5,1),tblAuftraege[Kostenstelle],$B28))</f>
        <v/>
      </c>
      <c r="AN28" s="25">
        <f>IF($B28="",0,SUMIFS(tblAuftraege[Kalk.
Einnahmen],tblAuftraege[Datum
Einnahmen],"&gt;="&amp;AN$5,tblAuftraege[Datum
Einnahmen],"&lt;"&amp;EDATE(AN$5,1),tblAuftraege[Kostenstelle],$B28))</f>
        <v/>
      </c>
      <c r="AO28" s="25">
        <f>IF($B28="",0,SUMIFS(tblAuftraege[Kalk.
Einnahmen],tblAuftraege[Datum
Einnahmen],"&gt;="&amp;AO$5,tblAuftraege[Datum
Einnahmen],"&lt;"&amp;EDATE(AO$5,1),tblAuftraege[Kostenstelle],$B28))</f>
        <v/>
      </c>
      <c r="AP28" s="25">
        <f>IF($B28="",0,SUMIFS(tblAuftraege[Kalk.
Einnahmen],tblAuftraege[Datum
Einnahmen],"&gt;="&amp;AP$5,tblAuftraege[Datum
Einnahmen],"&lt;"&amp;EDATE(AP$5,1),tblAuftraege[Kostenstelle],$B28))</f>
        <v/>
      </c>
      <c r="AQ28" s="25">
        <f>IF($B28="",0,SUMIFS(tblAuftraege[Kalk.
Einnahmen],tblAuftraege[Datum
Einnahmen],"&gt;="&amp;AQ$5,tblAuftraege[Datum
Einnahmen],"&lt;"&amp;EDATE(AQ$5,1),tblAuftraege[Kostenstelle],$B28))</f>
        <v/>
      </c>
      <c r="AR28" s="25">
        <f>IF($B28="",0,SUMIFS(tblAuftraege[Kalk.
Einnahmen],tblAuftraege[Datum
Einnahmen],"&gt;="&amp;AR$5,tblAuftraege[Datum
Einnahmen],"&lt;"&amp;EDATE(AR$5,1),tblAuftraege[Kostenstelle],$B28))</f>
        <v/>
      </c>
      <c r="AS28" s="25">
        <f>IF($B28="",0,SUMIFS(tblAuftraege[Kalk.
Einnahmen],tblAuftraege[Datum
Einnahmen],"&gt;="&amp;AS$5,tblAuftraege[Datum
Einnahmen],"&lt;"&amp;EDATE(AS$5,1),tblAuftraege[Kostenstelle],$B28))</f>
        <v/>
      </c>
      <c r="AT28" s="25">
        <f>IF($B28="",0,SUMIFS(tblAuftraege[Kalk.
Einnahmen],tblAuftraege[Datum
Einnahmen],"&gt;="&amp;AT$5,tblAuftraege[Datum
Einnahmen],"&lt;"&amp;EDATE(AT$5,1),tblAuftraege[Kostenstelle],$B28))</f>
        <v/>
      </c>
      <c r="AU28" s="25">
        <f>IF($B28="",0,SUMIFS(tblAuftraege[Kalk.
Einnahmen],tblAuftraege[Datum
Einnahmen],"&gt;="&amp;AU$5,tblAuftraege[Datum
Einnahmen],"&lt;"&amp;EDATE(AU$5,1),tblAuftraege[Kostenstelle],$B28))</f>
        <v/>
      </c>
      <c r="AV28" s="25">
        <f>IF($B28="",0,SUMIFS(tblAuftraege[Kalk.
Einnahmen],tblAuftraege[Datum
Einnahmen],"&gt;="&amp;AV$5,tblAuftraege[Datum
Einnahmen],"&lt;"&amp;EDATE(AV$5,1),tblAuftraege[Kostenstelle],$B28))</f>
        <v/>
      </c>
      <c r="AW28" s="25">
        <f>IF($B28="",0,SUMIFS(tblAuftraege[Kalk.
Einnahmen],tblAuftraege[Datum
Einnahmen],"&gt;="&amp;AW$5,tblAuftraege[Datum
Einnahmen],"&lt;"&amp;EDATE(AW$5,1),tblAuftraege[Kostenstelle],$B28))</f>
        <v/>
      </c>
      <c r="AX28" s="25">
        <f>IF($B28="",0,SUMIFS(tblAuftraege[Kalk.
Einnahmen],tblAuftraege[Datum
Einnahmen],"&gt;="&amp;AX$5,tblAuftraege[Datum
Einnahmen],"&lt;"&amp;EDATE(AX$5,1),tblAuftraege[Kostenstelle],$B28))</f>
        <v/>
      </c>
      <c r="AY28" s="25">
        <f>IF($B28="",0,SUMIFS(tblAuftraege[Kalk.
Einnahmen],tblAuftraege[Datum
Einnahmen],"&gt;="&amp;AY$5,tblAuftraege[Datum
Einnahmen],"&lt;"&amp;EDATE(AY$5,1),tblAuftraege[Kostenstelle],$B28))</f>
        <v/>
      </c>
      <c r="AZ28" s="25">
        <f>IF($B28="",0,SUMIFS(tblAuftraege[Kalk.
Einnahmen],tblAuftraege[Datum
Einnahmen],"&gt;="&amp;AZ$5,tblAuftraege[Datum
Einnahmen],"&lt;"&amp;EDATE(AZ$5,1),tblAuftraege[Kostenstelle],$B28))</f>
        <v/>
      </c>
      <c r="BA28" s="25">
        <f>IF($B28="",0,SUMIFS(tblAuftraege[Kalk.
Einnahmen],tblAuftraege[Datum
Einnahmen],"&gt;="&amp;BA$5,tblAuftraege[Datum
Einnahmen],"&lt;"&amp;EDATE(BA$5,1),tblAuftraege[Kostenstelle],$B28))</f>
        <v/>
      </c>
      <c r="BB28" s="25">
        <f>IF($B28="",0,SUMIFS(tblAuftraege[Kalk.
Einnahmen],tblAuftraege[Datum
Einnahmen],"&gt;="&amp;BB$5,tblAuftraege[Datum
Einnahmen],"&lt;"&amp;EDATE(BB$5,1),tblAuftraege[Kostenstelle],$B28))</f>
        <v/>
      </c>
      <c r="BC28" s="25">
        <f>IF($B28="",0,SUMIFS(tblAuftraege[Kalk.
Einnahmen],tblAuftraege[Datum
Einnahmen],"&gt;="&amp;BC$5,tblAuftraege[Datum
Einnahmen],"&lt;"&amp;EDATE(BC$5,1),tblAuftraege[Kostenstelle],$B28))</f>
        <v/>
      </c>
      <c r="BD28" s="25">
        <f>IF($B28="",0,SUMIFS(tblAuftraege[Kalk.
Einnahmen],tblAuftraege[Datum
Einnahmen],"&gt;="&amp;BD$5,tblAuftraege[Datum
Einnahmen],"&lt;"&amp;EDATE(BD$5,1),tblAuftraege[Kostenstelle],$B28))</f>
        <v/>
      </c>
      <c r="BE28" s="25">
        <f>SUM(C28:H28)</f>
        <v/>
      </c>
      <c r="BF28" s="25">
        <f>SUM(I28:T28)</f>
        <v/>
      </c>
      <c r="BG28" s="25">
        <f>SUM(U28:AF28)</f>
        <v/>
      </c>
      <c r="BH28" s="25">
        <f>SUM(AG28:AR28)</f>
        <v/>
      </c>
      <c r="BI28" s="25">
        <f>SUM(AS28:BD28)</f>
        <v/>
      </c>
      <c r="BJ28" s="25">
        <f>SUM(C28:BD28)</f>
        <v/>
      </c>
    </row>
    <row r="29">
      <c r="A29" s="34" t="n"/>
      <c r="B29" s="49" t="n"/>
      <c r="C29" s="25">
        <f>IF($B29="",0,SUMIFS(tblAuftraege[Kalk.
Einnahmen],tblAuftraege[Datum
Einnahmen],"&gt;="&amp;C$5,tblAuftraege[Datum
Einnahmen],"&lt;"&amp;EDATE(C$5,1),tblAuftraege[Kostenstelle],$B29))</f>
        <v/>
      </c>
      <c r="D29" s="25">
        <f>IF($B29="",0,SUMIFS(tblAuftraege[Kalk.
Einnahmen],tblAuftraege[Datum
Einnahmen],"&gt;="&amp;D$5,tblAuftraege[Datum
Einnahmen],"&lt;"&amp;EDATE(D$5,1),tblAuftraege[Kostenstelle],$B29))</f>
        <v/>
      </c>
      <c r="E29" s="25">
        <f>IF($B29="",0,SUMIFS(tblAuftraege[Kalk.
Einnahmen],tblAuftraege[Datum
Einnahmen],"&gt;="&amp;E$5,tblAuftraege[Datum
Einnahmen],"&lt;"&amp;EDATE(E$5,1),tblAuftraege[Kostenstelle],$B29))</f>
        <v/>
      </c>
      <c r="F29" s="25">
        <f>IF($B29="",0,SUMIFS(tblAuftraege[Kalk.
Einnahmen],tblAuftraege[Datum
Einnahmen],"&gt;="&amp;F$5,tblAuftraege[Datum
Einnahmen],"&lt;"&amp;EDATE(F$5,1),tblAuftraege[Kostenstelle],$B29))</f>
        <v/>
      </c>
      <c r="G29" s="25">
        <f>IF($B29="",0,SUMIFS(tblAuftraege[Kalk.
Einnahmen],tblAuftraege[Datum
Einnahmen],"&gt;="&amp;G$5,tblAuftraege[Datum
Einnahmen],"&lt;"&amp;EDATE(G$5,1),tblAuftraege[Kostenstelle],$B29))</f>
        <v/>
      </c>
      <c r="H29" s="25">
        <f>IF($B29="",0,SUMIFS(tblAuftraege[Kalk.
Einnahmen],tblAuftraege[Datum
Einnahmen],"&gt;="&amp;H$5,tblAuftraege[Datum
Einnahmen],"&lt;"&amp;EDATE(H$5,1),tblAuftraege[Kostenstelle],$B29))</f>
        <v/>
      </c>
      <c r="I29" s="25">
        <f>IF($B29="",0,SUMIFS(tblAuftraege[Kalk.
Einnahmen],tblAuftraege[Datum
Einnahmen],"&gt;="&amp;I$5,tblAuftraege[Datum
Einnahmen],"&lt;"&amp;EDATE(I$5,1),tblAuftraege[Kostenstelle],$B29))</f>
        <v/>
      </c>
      <c r="J29" s="25">
        <f>IF($B29="",0,SUMIFS(tblAuftraege[Kalk.
Einnahmen],tblAuftraege[Datum
Einnahmen],"&gt;="&amp;J$5,tblAuftraege[Datum
Einnahmen],"&lt;"&amp;EDATE(J$5,1),tblAuftraege[Kostenstelle],$B29))</f>
        <v/>
      </c>
      <c r="K29" s="25">
        <f>IF($B29="",0,SUMIFS(tblAuftraege[Kalk.
Einnahmen],tblAuftraege[Datum
Einnahmen],"&gt;="&amp;K$5,tblAuftraege[Datum
Einnahmen],"&lt;"&amp;EDATE(K$5,1),tblAuftraege[Kostenstelle],$B29))</f>
        <v/>
      </c>
      <c r="L29" s="25">
        <f>IF($B29="",0,SUMIFS(tblAuftraege[Kalk.
Einnahmen],tblAuftraege[Datum
Einnahmen],"&gt;="&amp;L$5,tblAuftraege[Datum
Einnahmen],"&lt;"&amp;EDATE(L$5,1),tblAuftraege[Kostenstelle],$B29))</f>
        <v/>
      </c>
      <c r="M29" s="25">
        <f>IF($B29="",0,SUMIFS(tblAuftraege[Kalk.
Einnahmen],tblAuftraege[Datum
Einnahmen],"&gt;="&amp;M$5,tblAuftraege[Datum
Einnahmen],"&lt;"&amp;EDATE(M$5,1),tblAuftraege[Kostenstelle],$B29))</f>
        <v/>
      </c>
      <c r="N29" s="25">
        <f>IF($B29="",0,SUMIFS(tblAuftraege[Kalk.
Einnahmen],tblAuftraege[Datum
Einnahmen],"&gt;="&amp;N$5,tblAuftraege[Datum
Einnahmen],"&lt;"&amp;EDATE(N$5,1),tblAuftraege[Kostenstelle],$B29))</f>
        <v/>
      </c>
      <c r="O29" s="25">
        <f>IF($B29="",0,SUMIFS(tblAuftraege[Kalk.
Einnahmen],tblAuftraege[Datum
Einnahmen],"&gt;="&amp;O$5,tblAuftraege[Datum
Einnahmen],"&lt;"&amp;EDATE(O$5,1),tblAuftraege[Kostenstelle],$B29))</f>
        <v/>
      </c>
      <c r="P29" s="25">
        <f>IF($B29="",0,SUMIFS(tblAuftraege[Kalk.
Einnahmen],tblAuftraege[Datum
Einnahmen],"&gt;="&amp;P$5,tblAuftraege[Datum
Einnahmen],"&lt;"&amp;EDATE(P$5,1),tblAuftraege[Kostenstelle],$B29))</f>
        <v/>
      </c>
      <c r="Q29" s="25">
        <f>IF($B29="",0,SUMIFS(tblAuftraege[Kalk.
Einnahmen],tblAuftraege[Datum
Einnahmen],"&gt;="&amp;Q$5,tblAuftraege[Datum
Einnahmen],"&lt;"&amp;EDATE(Q$5,1),tblAuftraege[Kostenstelle],$B29))</f>
        <v/>
      </c>
      <c r="R29" s="25">
        <f>IF($B29="",0,SUMIFS(tblAuftraege[Kalk.
Einnahmen],tblAuftraege[Datum
Einnahmen],"&gt;="&amp;R$5,tblAuftraege[Datum
Einnahmen],"&lt;"&amp;EDATE(R$5,1),tblAuftraege[Kostenstelle],$B29))</f>
        <v/>
      </c>
      <c r="S29" s="25">
        <f>IF($B29="",0,SUMIFS(tblAuftraege[Kalk.
Einnahmen],tblAuftraege[Datum
Einnahmen],"&gt;="&amp;S$5,tblAuftraege[Datum
Einnahmen],"&lt;"&amp;EDATE(S$5,1),tblAuftraege[Kostenstelle],$B29))</f>
        <v/>
      </c>
      <c r="T29" s="25">
        <f>IF($B29="",0,SUMIFS(tblAuftraege[Kalk.
Einnahmen],tblAuftraege[Datum
Einnahmen],"&gt;="&amp;T$5,tblAuftraege[Datum
Einnahmen],"&lt;"&amp;EDATE(T$5,1),tblAuftraege[Kostenstelle],$B29))</f>
        <v/>
      </c>
      <c r="U29" s="25">
        <f>IF($B29="",0,SUMIFS(tblAuftraege[Kalk.
Einnahmen],tblAuftraege[Datum
Einnahmen],"&gt;="&amp;U$5,tblAuftraege[Datum
Einnahmen],"&lt;"&amp;EDATE(U$5,1),tblAuftraege[Kostenstelle],$B29))</f>
        <v/>
      </c>
      <c r="V29" s="25">
        <f>IF($B29="",0,SUMIFS(tblAuftraege[Kalk.
Einnahmen],tblAuftraege[Datum
Einnahmen],"&gt;="&amp;V$5,tblAuftraege[Datum
Einnahmen],"&lt;"&amp;EDATE(V$5,1),tblAuftraege[Kostenstelle],$B29))</f>
        <v/>
      </c>
      <c r="W29" s="25">
        <f>IF($B29="",0,SUMIFS(tblAuftraege[Kalk.
Einnahmen],tblAuftraege[Datum
Einnahmen],"&gt;="&amp;W$5,tblAuftraege[Datum
Einnahmen],"&lt;"&amp;EDATE(W$5,1),tblAuftraege[Kostenstelle],$B29))</f>
        <v/>
      </c>
      <c r="X29" s="25">
        <f>IF($B29="",0,SUMIFS(tblAuftraege[Kalk.
Einnahmen],tblAuftraege[Datum
Einnahmen],"&gt;="&amp;X$5,tblAuftraege[Datum
Einnahmen],"&lt;"&amp;EDATE(X$5,1),tblAuftraege[Kostenstelle],$B29))</f>
        <v/>
      </c>
      <c r="Y29" s="25">
        <f>IF($B29="",0,SUMIFS(tblAuftraege[Kalk.
Einnahmen],tblAuftraege[Datum
Einnahmen],"&gt;="&amp;Y$5,tblAuftraege[Datum
Einnahmen],"&lt;"&amp;EDATE(Y$5,1),tblAuftraege[Kostenstelle],$B29))</f>
        <v/>
      </c>
      <c r="Z29" s="25">
        <f>IF($B29="",0,SUMIFS(tblAuftraege[Kalk.
Einnahmen],tblAuftraege[Datum
Einnahmen],"&gt;="&amp;Z$5,tblAuftraege[Datum
Einnahmen],"&lt;"&amp;EDATE(Z$5,1),tblAuftraege[Kostenstelle],$B29))</f>
        <v/>
      </c>
      <c r="AA29" s="25">
        <f>IF($B29="",0,SUMIFS(tblAuftraege[Kalk.
Einnahmen],tblAuftraege[Datum
Einnahmen],"&gt;="&amp;AA$5,tblAuftraege[Datum
Einnahmen],"&lt;"&amp;EDATE(AA$5,1),tblAuftraege[Kostenstelle],$B29))</f>
        <v/>
      </c>
      <c r="AB29" s="25">
        <f>IF($B29="",0,SUMIFS(tblAuftraege[Kalk.
Einnahmen],tblAuftraege[Datum
Einnahmen],"&gt;="&amp;AB$5,tblAuftraege[Datum
Einnahmen],"&lt;"&amp;EDATE(AB$5,1),tblAuftraege[Kostenstelle],$B29))</f>
        <v/>
      </c>
      <c r="AC29" s="25">
        <f>IF($B29="",0,SUMIFS(tblAuftraege[Kalk.
Einnahmen],tblAuftraege[Datum
Einnahmen],"&gt;="&amp;AC$5,tblAuftraege[Datum
Einnahmen],"&lt;"&amp;EDATE(AC$5,1),tblAuftraege[Kostenstelle],$B29))</f>
        <v/>
      </c>
      <c r="AD29" s="25">
        <f>IF($B29="",0,SUMIFS(tblAuftraege[Kalk.
Einnahmen],tblAuftraege[Datum
Einnahmen],"&gt;="&amp;AD$5,tblAuftraege[Datum
Einnahmen],"&lt;"&amp;EDATE(AD$5,1),tblAuftraege[Kostenstelle],$B29))</f>
        <v/>
      </c>
      <c r="AE29" s="25">
        <f>IF($B29="",0,SUMIFS(tblAuftraege[Kalk.
Einnahmen],tblAuftraege[Datum
Einnahmen],"&gt;="&amp;AE$5,tblAuftraege[Datum
Einnahmen],"&lt;"&amp;EDATE(AE$5,1),tblAuftraege[Kostenstelle],$B29))</f>
        <v/>
      </c>
      <c r="AF29" s="25">
        <f>IF($B29="",0,SUMIFS(tblAuftraege[Kalk.
Einnahmen],tblAuftraege[Datum
Einnahmen],"&gt;="&amp;AF$5,tblAuftraege[Datum
Einnahmen],"&lt;"&amp;EDATE(AF$5,1),tblAuftraege[Kostenstelle],$B29))</f>
        <v/>
      </c>
      <c r="AG29" s="25">
        <f>IF($B29="",0,SUMIFS(tblAuftraege[Kalk.
Einnahmen],tblAuftraege[Datum
Einnahmen],"&gt;="&amp;AG$5,tblAuftraege[Datum
Einnahmen],"&lt;"&amp;EDATE(AG$5,1),tblAuftraege[Kostenstelle],$B29))</f>
        <v/>
      </c>
      <c r="AH29" s="25">
        <f>IF($B29="",0,SUMIFS(tblAuftraege[Kalk.
Einnahmen],tblAuftraege[Datum
Einnahmen],"&gt;="&amp;AH$5,tblAuftraege[Datum
Einnahmen],"&lt;"&amp;EDATE(AH$5,1),tblAuftraege[Kostenstelle],$B29))</f>
        <v/>
      </c>
      <c r="AI29" s="25">
        <f>IF($B29="",0,SUMIFS(tblAuftraege[Kalk.
Einnahmen],tblAuftraege[Datum
Einnahmen],"&gt;="&amp;AI$5,tblAuftraege[Datum
Einnahmen],"&lt;"&amp;EDATE(AI$5,1),tblAuftraege[Kostenstelle],$B29))</f>
        <v/>
      </c>
      <c r="AJ29" s="25">
        <f>IF($B29="",0,SUMIFS(tblAuftraege[Kalk.
Einnahmen],tblAuftraege[Datum
Einnahmen],"&gt;="&amp;AJ$5,tblAuftraege[Datum
Einnahmen],"&lt;"&amp;EDATE(AJ$5,1),tblAuftraege[Kostenstelle],$B29))</f>
        <v/>
      </c>
      <c r="AK29" s="25">
        <f>IF($B29="",0,SUMIFS(tblAuftraege[Kalk.
Einnahmen],tblAuftraege[Datum
Einnahmen],"&gt;="&amp;AK$5,tblAuftraege[Datum
Einnahmen],"&lt;"&amp;EDATE(AK$5,1),tblAuftraege[Kostenstelle],$B29))</f>
        <v/>
      </c>
      <c r="AL29" s="25">
        <f>IF($B29="",0,SUMIFS(tblAuftraege[Kalk.
Einnahmen],tblAuftraege[Datum
Einnahmen],"&gt;="&amp;AL$5,tblAuftraege[Datum
Einnahmen],"&lt;"&amp;EDATE(AL$5,1),tblAuftraege[Kostenstelle],$B29))</f>
        <v/>
      </c>
      <c r="AM29" s="25">
        <f>IF($B29="",0,SUMIFS(tblAuftraege[Kalk.
Einnahmen],tblAuftraege[Datum
Einnahmen],"&gt;="&amp;AM$5,tblAuftraege[Datum
Einnahmen],"&lt;"&amp;EDATE(AM$5,1),tblAuftraege[Kostenstelle],$B29))</f>
        <v/>
      </c>
      <c r="AN29" s="25">
        <f>IF($B29="",0,SUMIFS(tblAuftraege[Kalk.
Einnahmen],tblAuftraege[Datum
Einnahmen],"&gt;="&amp;AN$5,tblAuftraege[Datum
Einnahmen],"&lt;"&amp;EDATE(AN$5,1),tblAuftraege[Kostenstelle],$B29))</f>
        <v/>
      </c>
      <c r="AO29" s="25">
        <f>IF($B29="",0,SUMIFS(tblAuftraege[Kalk.
Einnahmen],tblAuftraege[Datum
Einnahmen],"&gt;="&amp;AO$5,tblAuftraege[Datum
Einnahmen],"&lt;"&amp;EDATE(AO$5,1),tblAuftraege[Kostenstelle],$B29))</f>
        <v/>
      </c>
      <c r="AP29" s="25">
        <f>IF($B29="",0,SUMIFS(tblAuftraege[Kalk.
Einnahmen],tblAuftraege[Datum
Einnahmen],"&gt;="&amp;AP$5,tblAuftraege[Datum
Einnahmen],"&lt;"&amp;EDATE(AP$5,1),tblAuftraege[Kostenstelle],$B29))</f>
        <v/>
      </c>
      <c r="AQ29" s="25">
        <f>IF($B29="",0,SUMIFS(tblAuftraege[Kalk.
Einnahmen],tblAuftraege[Datum
Einnahmen],"&gt;="&amp;AQ$5,tblAuftraege[Datum
Einnahmen],"&lt;"&amp;EDATE(AQ$5,1),tblAuftraege[Kostenstelle],$B29))</f>
        <v/>
      </c>
      <c r="AR29" s="25">
        <f>IF($B29="",0,SUMIFS(tblAuftraege[Kalk.
Einnahmen],tblAuftraege[Datum
Einnahmen],"&gt;="&amp;AR$5,tblAuftraege[Datum
Einnahmen],"&lt;"&amp;EDATE(AR$5,1),tblAuftraege[Kostenstelle],$B29))</f>
        <v/>
      </c>
      <c r="AS29" s="25">
        <f>IF($B29="",0,SUMIFS(tblAuftraege[Kalk.
Einnahmen],tblAuftraege[Datum
Einnahmen],"&gt;="&amp;AS$5,tblAuftraege[Datum
Einnahmen],"&lt;"&amp;EDATE(AS$5,1),tblAuftraege[Kostenstelle],$B29))</f>
        <v/>
      </c>
      <c r="AT29" s="25">
        <f>IF($B29="",0,SUMIFS(tblAuftraege[Kalk.
Einnahmen],tblAuftraege[Datum
Einnahmen],"&gt;="&amp;AT$5,tblAuftraege[Datum
Einnahmen],"&lt;"&amp;EDATE(AT$5,1),tblAuftraege[Kostenstelle],$B29))</f>
        <v/>
      </c>
      <c r="AU29" s="25">
        <f>IF($B29="",0,SUMIFS(tblAuftraege[Kalk.
Einnahmen],tblAuftraege[Datum
Einnahmen],"&gt;="&amp;AU$5,tblAuftraege[Datum
Einnahmen],"&lt;"&amp;EDATE(AU$5,1),tblAuftraege[Kostenstelle],$B29))</f>
        <v/>
      </c>
      <c r="AV29" s="25">
        <f>IF($B29="",0,SUMIFS(tblAuftraege[Kalk.
Einnahmen],tblAuftraege[Datum
Einnahmen],"&gt;="&amp;AV$5,tblAuftraege[Datum
Einnahmen],"&lt;"&amp;EDATE(AV$5,1),tblAuftraege[Kostenstelle],$B29))</f>
        <v/>
      </c>
      <c r="AW29" s="25">
        <f>IF($B29="",0,SUMIFS(tblAuftraege[Kalk.
Einnahmen],tblAuftraege[Datum
Einnahmen],"&gt;="&amp;AW$5,tblAuftraege[Datum
Einnahmen],"&lt;"&amp;EDATE(AW$5,1),tblAuftraege[Kostenstelle],$B29))</f>
        <v/>
      </c>
      <c r="AX29" s="25">
        <f>IF($B29="",0,SUMIFS(tblAuftraege[Kalk.
Einnahmen],tblAuftraege[Datum
Einnahmen],"&gt;="&amp;AX$5,tblAuftraege[Datum
Einnahmen],"&lt;"&amp;EDATE(AX$5,1),tblAuftraege[Kostenstelle],$B29))</f>
        <v/>
      </c>
      <c r="AY29" s="25">
        <f>IF($B29="",0,SUMIFS(tblAuftraege[Kalk.
Einnahmen],tblAuftraege[Datum
Einnahmen],"&gt;="&amp;AY$5,tblAuftraege[Datum
Einnahmen],"&lt;"&amp;EDATE(AY$5,1),tblAuftraege[Kostenstelle],$B29))</f>
        <v/>
      </c>
      <c r="AZ29" s="25">
        <f>IF($B29="",0,SUMIFS(tblAuftraege[Kalk.
Einnahmen],tblAuftraege[Datum
Einnahmen],"&gt;="&amp;AZ$5,tblAuftraege[Datum
Einnahmen],"&lt;"&amp;EDATE(AZ$5,1),tblAuftraege[Kostenstelle],$B29))</f>
        <v/>
      </c>
      <c r="BA29" s="25">
        <f>IF($B29="",0,SUMIFS(tblAuftraege[Kalk.
Einnahmen],tblAuftraege[Datum
Einnahmen],"&gt;="&amp;BA$5,tblAuftraege[Datum
Einnahmen],"&lt;"&amp;EDATE(BA$5,1),tblAuftraege[Kostenstelle],$B29))</f>
        <v/>
      </c>
      <c r="BB29" s="25">
        <f>IF($B29="",0,SUMIFS(tblAuftraege[Kalk.
Einnahmen],tblAuftraege[Datum
Einnahmen],"&gt;="&amp;BB$5,tblAuftraege[Datum
Einnahmen],"&lt;"&amp;EDATE(BB$5,1),tblAuftraege[Kostenstelle],$B29))</f>
        <v/>
      </c>
      <c r="BC29" s="25">
        <f>IF($B29="",0,SUMIFS(tblAuftraege[Kalk.
Einnahmen],tblAuftraege[Datum
Einnahmen],"&gt;="&amp;BC$5,tblAuftraege[Datum
Einnahmen],"&lt;"&amp;EDATE(BC$5,1),tblAuftraege[Kostenstelle],$B29))</f>
        <v/>
      </c>
      <c r="BD29" s="25">
        <f>IF($B29="",0,SUMIFS(tblAuftraege[Kalk.
Einnahmen],tblAuftraege[Datum
Einnahmen],"&gt;="&amp;BD$5,tblAuftraege[Datum
Einnahmen],"&lt;"&amp;EDATE(BD$5,1),tblAuftraege[Kostenstelle],$B29))</f>
        <v/>
      </c>
      <c r="BE29" s="25">
        <f>SUM(C29:H29)</f>
        <v/>
      </c>
      <c r="BF29" s="25">
        <f>SUM(I29:T29)</f>
        <v/>
      </c>
      <c r="BG29" s="25">
        <f>SUM(U29:AF29)</f>
        <v/>
      </c>
      <c r="BH29" s="25">
        <f>SUM(AG29:AR29)</f>
        <v/>
      </c>
      <c r="BI29" s="25">
        <f>SUM(AS29:BD29)</f>
        <v/>
      </c>
      <c r="BJ29" s="25">
        <f>SUM(C29:BD29)</f>
        <v/>
      </c>
    </row>
    <row r="30">
      <c r="A30" s="34" t="n"/>
      <c r="B30" s="49" t="n"/>
      <c r="C30" s="25">
        <f>IF($B30="",0,SUMIFS(tblAuftraege[Kalk.
Einnahmen],tblAuftraege[Datum
Einnahmen],"&gt;="&amp;C$5,tblAuftraege[Datum
Einnahmen],"&lt;"&amp;EDATE(C$5,1),tblAuftraege[Kostenstelle],$B30))</f>
        <v/>
      </c>
      <c r="D30" s="25">
        <f>IF($B30="",0,SUMIFS(tblAuftraege[Kalk.
Einnahmen],tblAuftraege[Datum
Einnahmen],"&gt;="&amp;D$5,tblAuftraege[Datum
Einnahmen],"&lt;"&amp;EDATE(D$5,1),tblAuftraege[Kostenstelle],$B30))</f>
        <v/>
      </c>
      <c r="E30" s="25">
        <f>IF($B30="",0,SUMIFS(tblAuftraege[Kalk.
Einnahmen],tblAuftraege[Datum
Einnahmen],"&gt;="&amp;E$5,tblAuftraege[Datum
Einnahmen],"&lt;"&amp;EDATE(E$5,1),tblAuftraege[Kostenstelle],$B30))</f>
        <v/>
      </c>
      <c r="F30" s="25">
        <f>IF($B30="",0,SUMIFS(tblAuftraege[Kalk.
Einnahmen],tblAuftraege[Datum
Einnahmen],"&gt;="&amp;F$5,tblAuftraege[Datum
Einnahmen],"&lt;"&amp;EDATE(F$5,1),tblAuftraege[Kostenstelle],$B30))</f>
        <v/>
      </c>
      <c r="G30" s="25">
        <f>IF($B30="",0,SUMIFS(tblAuftraege[Kalk.
Einnahmen],tblAuftraege[Datum
Einnahmen],"&gt;="&amp;G$5,tblAuftraege[Datum
Einnahmen],"&lt;"&amp;EDATE(G$5,1),tblAuftraege[Kostenstelle],$B30))</f>
        <v/>
      </c>
      <c r="H30" s="25">
        <f>IF($B30="",0,SUMIFS(tblAuftraege[Kalk.
Einnahmen],tblAuftraege[Datum
Einnahmen],"&gt;="&amp;H$5,tblAuftraege[Datum
Einnahmen],"&lt;"&amp;EDATE(H$5,1),tblAuftraege[Kostenstelle],$B30))</f>
        <v/>
      </c>
      <c r="I30" s="25">
        <f>IF($B30="",0,SUMIFS(tblAuftraege[Kalk.
Einnahmen],tblAuftraege[Datum
Einnahmen],"&gt;="&amp;I$5,tblAuftraege[Datum
Einnahmen],"&lt;"&amp;EDATE(I$5,1),tblAuftraege[Kostenstelle],$B30))</f>
        <v/>
      </c>
      <c r="J30" s="25">
        <f>IF($B30="",0,SUMIFS(tblAuftraege[Kalk.
Einnahmen],tblAuftraege[Datum
Einnahmen],"&gt;="&amp;J$5,tblAuftraege[Datum
Einnahmen],"&lt;"&amp;EDATE(J$5,1),tblAuftraege[Kostenstelle],$B30))</f>
        <v/>
      </c>
      <c r="K30" s="25">
        <f>IF($B30="",0,SUMIFS(tblAuftraege[Kalk.
Einnahmen],tblAuftraege[Datum
Einnahmen],"&gt;="&amp;K$5,tblAuftraege[Datum
Einnahmen],"&lt;"&amp;EDATE(K$5,1),tblAuftraege[Kostenstelle],$B30))</f>
        <v/>
      </c>
      <c r="L30" s="25">
        <f>IF($B30="",0,SUMIFS(tblAuftraege[Kalk.
Einnahmen],tblAuftraege[Datum
Einnahmen],"&gt;="&amp;L$5,tblAuftraege[Datum
Einnahmen],"&lt;"&amp;EDATE(L$5,1),tblAuftraege[Kostenstelle],$B30))</f>
        <v/>
      </c>
      <c r="M30" s="25">
        <f>IF($B30="",0,SUMIFS(tblAuftraege[Kalk.
Einnahmen],tblAuftraege[Datum
Einnahmen],"&gt;="&amp;M$5,tblAuftraege[Datum
Einnahmen],"&lt;"&amp;EDATE(M$5,1),tblAuftraege[Kostenstelle],$B30))</f>
        <v/>
      </c>
      <c r="N30" s="25">
        <f>IF($B30="",0,SUMIFS(tblAuftraege[Kalk.
Einnahmen],tblAuftraege[Datum
Einnahmen],"&gt;="&amp;N$5,tblAuftraege[Datum
Einnahmen],"&lt;"&amp;EDATE(N$5,1),tblAuftraege[Kostenstelle],$B30))</f>
        <v/>
      </c>
      <c r="O30" s="25">
        <f>IF($B30="",0,SUMIFS(tblAuftraege[Kalk.
Einnahmen],tblAuftraege[Datum
Einnahmen],"&gt;="&amp;O$5,tblAuftraege[Datum
Einnahmen],"&lt;"&amp;EDATE(O$5,1),tblAuftraege[Kostenstelle],$B30))</f>
        <v/>
      </c>
      <c r="P30" s="25">
        <f>IF($B30="",0,SUMIFS(tblAuftraege[Kalk.
Einnahmen],tblAuftraege[Datum
Einnahmen],"&gt;="&amp;P$5,tblAuftraege[Datum
Einnahmen],"&lt;"&amp;EDATE(P$5,1),tblAuftraege[Kostenstelle],$B30))</f>
        <v/>
      </c>
      <c r="Q30" s="25">
        <f>IF($B30="",0,SUMIFS(tblAuftraege[Kalk.
Einnahmen],tblAuftraege[Datum
Einnahmen],"&gt;="&amp;Q$5,tblAuftraege[Datum
Einnahmen],"&lt;"&amp;EDATE(Q$5,1),tblAuftraege[Kostenstelle],$B30))</f>
        <v/>
      </c>
      <c r="R30" s="25">
        <f>IF($B30="",0,SUMIFS(tblAuftraege[Kalk.
Einnahmen],tblAuftraege[Datum
Einnahmen],"&gt;="&amp;R$5,tblAuftraege[Datum
Einnahmen],"&lt;"&amp;EDATE(R$5,1),tblAuftraege[Kostenstelle],$B30))</f>
        <v/>
      </c>
      <c r="S30" s="25">
        <f>IF($B30="",0,SUMIFS(tblAuftraege[Kalk.
Einnahmen],tblAuftraege[Datum
Einnahmen],"&gt;="&amp;S$5,tblAuftraege[Datum
Einnahmen],"&lt;"&amp;EDATE(S$5,1),tblAuftraege[Kostenstelle],$B30))</f>
        <v/>
      </c>
      <c r="T30" s="25">
        <f>IF($B30="",0,SUMIFS(tblAuftraege[Kalk.
Einnahmen],tblAuftraege[Datum
Einnahmen],"&gt;="&amp;T$5,tblAuftraege[Datum
Einnahmen],"&lt;"&amp;EDATE(T$5,1),tblAuftraege[Kostenstelle],$B30))</f>
        <v/>
      </c>
      <c r="U30" s="25">
        <f>IF($B30="",0,SUMIFS(tblAuftraege[Kalk.
Einnahmen],tblAuftraege[Datum
Einnahmen],"&gt;="&amp;U$5,tblAuftraege[Datum
Einnahmen],"&lt;"&amp;EDATE(U$5,1),tblAuftraege[Kostenstelle],$B30))</f>
        <v/>
      </c>
      <c r="V30" s="25">
        <f>IF($B30="",0,SUMIFS(tblAuftraege[Kalk.
Einnahmen],tblAuftraege[Datum
Einnahmen],"&gt;="&amp;V$5,tblAuftraege[Datum
Einnahmen],"&lt;"&amp;EDATE(V$5,1),tblAuftraege[Kostenstelle],$B30))</f>
        <v/>
      </c>
      <c r="W30" s="25">
        <f>IF($B30="",0,SUMIFS(tblAuftraege[Kalk.
Einnahmen],tblAuftraege[Datum
Einnahmen],"&gt;="&amp;W$5,tblAuftraege[Datum
Einnahmen],"&lt;"&amp;EDATE(W$5,1),tblAuftraege[Kostenstelle],$B30))</f>
        <v/>
      </c>
      <c r="X30" s="25">
        <f>IF($B30="",0,SUMIFS(tblAuftraege[Kalk.
Einnahmen],tblAuftraege[Datum
Einnahmen],"&gt;="&amp;X$5,tblAuftraege[Datum
Einnahmen],"&lt;"&amp;EDATE(X$5,1),tblAuftraege[Kostenstelle],$B30))</f>
        <v/>
      </c>
      <c r="Y30" s="25">
        <f>IF($B30="",0,SUMIFS(tblAuftraege[Kalk.
Einnahmen],tblAuftraege[Datum
Einnahmen],"&gt;="&amp;Y$5,tblAuftraege[Datum
Einnahmen],"&lt;"&amp;EDATE(Y$5,1),tblAuftraege[Kostenstelle],$B30))</f>
        <v/>
      </c>
      <c r="Z30" s="25">
        <f>IF($B30="",0,SUMIFS(tblAuftraege[Kalk.
Einnahmen],tblAuftraege[Datum
Einnahmen],"&gt;="&amp;Z$5,tblAuftraege[Datum
Einnahmen],"&lt;"&amp;EDATE(Z$5,1),tblAuftraege[Kostenstelle],$B30))</f>
        <v/>
      </c>
      <c r="AA30" s="25">
        <f>IF($B30="",0,SUMIFS(tblAuftraege[Kalk.
Einnahmen],tblAuftraege[Datum
Einnahmen],"&gt;="&amp;AA$5,tblAuftraege[Datum
Einnahmen],"&lt;"&amp;EDATE(AA$5,1),tblAuftraege[Kostenstelle],$B30))</f>
        <v/>
      </c>
      <c r="AB30" s="25">
        <f>IF($B30="",0,SUMIFS(tblAuftraege[Kalk.
Einnahmen],tblAuftraege[Datum
Einnahmen],"&gt;="&amp;AB$5,tblAuftraege[Datum
Einnahmen],"&lt;"&amp;EDATE(AB$5,1),tblAuftraege[Kostenstelle],$B30))</f>
        <v/>
      </c>
      <c r="AC30" s="25">
        <f>IF($B30="",0,SUMIFS(tblAuftraege[Kalk.
Einnahmen],tblAuftraege[Datum
Einnahmen],"&gt;="&amp;AC$5,tblAuftraege[Datum
Einnahmen],"&lt;"&amp;EDATE(AC$5,1),tblAuftraege[Kostenstelle],$B30))</f>
        <v/>
      </c>
      <c r="AD30" s="25">
        <f>IF($B30="",0,SUMIFS(tblAuftraege[Kalk.
Einnahmen],tblAuftraege[Datum
Einnahmen],"&gt;="&amp;AD$5,tblAuftraege[Datum
Einnahmen],"&lt;"&amp;EDATE(AD$5,1),tblAuftraege[Kostenstelle],$B30))</f>
        <v/>
      </c>
      <c r="AE30" s="25">
        <f>IF($B30="",0,SUMIFS(tblAuftraege[Kalk.
Einnahmen],tblAuftraege[Datum
Einnahmen],"&gt;="&amp;AE$5,tblAuftraege[Datum
Einnahmen],"&lt;"&amp;EDATE(AE$5,1),tblAuftraege[Kostenstelle],$B30))</f>
        <v/>
      </c>
      <c r="AF30" s="25">
        <f>IF($B30="",0,SUMIFS(tblAuftraege[Kalk.
Einnahmen],tblAuftraege[Datum
Einnahmen],"&gt;="&amp;AF$5,tblAuftraege[Datum
Einnahmen],"&lt;"&amp;EDATE(AF$5,1),tblAuftraege[Kostenstelle],$B30))</f>
        <v/>
      </c>
      <c r="AG30" s="25">
        <f>IF($B30="",0,SUMIFS(tblAuftraege[Kalk.
Einnahmen],tblAuftraege[Datum
Einnahmen],"&gt;="&amp;AG$5,tblAuftraege[Datum
Einnahmen],"&lt;"&amp;EDATE(AG$5,1),tblAuftraege[Kostenstelle],$B30))</f>
        <v/>
      </c>
      <c r="AH30" s="25">
        <f>IF($B30="",0,SUMIFS(tblAuftraege[Kalk.
Einnahmen],tblAuftraege[Datum
Einnahmen],"&gt;="&amp;AH$5,tblAuftraege[Datum
Einnahmen],"&lt;"&amp;EDATE(AH$5,1),tblAuftraege[Kostenstelle],$B30))</f>
        <v/>
      </c>
      <c r="AI30" s="25">
        <f>IF($B30="",0,SUMIFS(tblAuftraege[Kalk.
Einnahmen],tblAuftraege[Datum
Einnahmen],"&gt;="&amp;AI$5,tblAuftraege[Datum
Einnahmen],"&lt;"&amp;EDATE(AI$5,1),tblAuftraege[Kostenstelle],$B30))</f>
        <v/>
      </c>
      <c r="AJ30" s="25">
        <f>IF($B30="",0,SUMIFS(tblAuftraege[Kalk.
Einnahmen],tblAuftraege[Datum
Einnahmen],"&gt;="&amp;AJ$5,tblAuftraege[Datum
Einnahmen],"&lt;"&amp;EDATE(AJ$5,1),tblAuftraege[Kostenstelle],$B30))</f>
        <v/>
      </c>
      <c r="AK30" s="25">
        <f>IF($B30="",0,SUMIFS(tblAuftraege[Kalk.
Einnahmen],tblAuftraege[Datum
Einnahmen],"&gt;="&amp;AK$5,tblAuftraege[Datum
Einnahmen],"&lt;"&amp;EDATE(AK$5,1),tblAuftraege[Kostenstelle],$B30))</f>
        <v/>
      </c>
      <c r="AL30" s="25">
        <f>IF($B30="",0,SUMIFS(tblAuftraege[Kalk.
Einnahmen],tblAuftraege[Datum
Einnahmen],"&gt;="&amp;AL$5,tblAuftraege[Datum
Einnahmen],"&lt;"&amp;EDATE(AL$5,1),tblAuftraege[Kostenstelle],$B30))</f>
        <v/>
      </c>
      <c r="AM30" s="25">
        <f>IF($B30="",0,SUMIFS(tblAuftraege[Kalk.
Einnahmen],tblAuftraege[Datum
Einnahmen],"&gt;="&amp;AM$5,tblAuftraege[Datum
Einnahmen],"&lt;"&amp;EDATE(AM$5,1),tblAuftraege[Kostenstelle],$B30))</f>
        <v/>
      </c>
      <c r="AN30" s="25">
        <f>IF($B30="",0,SUMIFS(tblAuftraege[Kalk.
Einnahmen],tblAuftraege[Datum
Einnahmen],"&gt;="&amp;AN$5,tblAuftraege[Datum
Einnahmen],"&lt;"&amp;EDATE(AN$5,1),tblAuftraege[Kostenstelle],$B30))</f>
        <v/>
      </c>
      <c r="AO30" s="25">
        <f>IF($B30="",0,SUMIFS(tblAuftraege[Kalk.
Einnahmen],tblAuftraege[Datum
Einnahmen],"&gt;="&amp;AO$5,tblAuftraege[Datum
Einnahmen],"&lt;"&amp;EDATE(AO$5,1),tblAuftraege[Kostenstelle],$B30))</f>
        <v/>
      </c>
      <c r="AP30" s="25">
        <f>IF($B30="",0,SUMIFS(tblAuftraege[Kalk.
Einnahmen],tblAuftraege[Datum
Einnahmen],"&gt;="&amp;AP$5,tblAuftraege[Datum
Einnahmen],"&lt;"&amp;EDATE(AP$5,1),tblAuftraege[Kostenstelle],$B30))</f>
        <v/>
      </c>
      <c r="AQ30" s="25">
        <f>IF($B30="",0,SUMIFS(tblAuftraege[Kalk.
Einnahmen],tblAuftraege[Datum
Einnahmen],"&gt;="&amp;AQ$5,tblAuftraege[Datum
Einnahmen],"&lt;"&amp;EDATE(AQ$5,1),tblAuftraege[Kostenstelle],$B30))</f>
        <v/>
      </c>
      <c r="AR30" s="25">
        <f>IF($B30="",0,SUMIFS(tblAuftraege[Kalk.
Einnahmen],tblAuftraege[Datum
Einnahmen],"&gt;="&amp;AR$5,tblAuftraege[Datum
Einnahmen],"&lt;"&amp;EDATE(AR$5,1),tblAuftraege[Kostenstelle],$B30))</f>
        <v/>
      </c>
      <c r="AS30" s="25">
        <f>IF($B30="",0,SUMIFS(tblAuftraege[Kalk.
Einnahmen],tblAuftraege[Datum
Einnahmen],"&gt;="&amp;AS$5,tblAuftraege[Datum
Einnahmen],"&lt;"&amp;EDATE(AS$5,1),tblAuftraege[Kostenstelle],$B30))</f>
        <v/>
      </c>
      <c r="AT30" s="25">
        <f>IF($B30="",0,SUMIFS(tblAuftraege[Kalk.
Einnahmen],tblAuftraege[Datum
Einnahmen],"&gt;="&amp;AT$5,tblAuftraege[Datum
Einnahmen],"&lt;"&amp;EDATE(AT$5,1),tblAuftraege[Kostenstelle],$B30))</f>
        <v/>
      </c>
      <c r="AU30" s="25">
        <f>IF($B30="",0,SUMIFS(tblAuftraege[Kalk.
Einnahmen],tblAuftraege[Datum
Einnahmen],"&gt;="&amp;AU$5,tblAuftraege[Datum
Einnahmen],"&lt;"&amp;EDATE(AU$5,1),tblAuftraege[Kostenstelle],$B30))</f>
        <v/>
      </c>
      <c r="AV30" s="25">
        <f>IF($B30="",0,SUMIFS(tblAuftraege[Kalk.
Einnahmen],tblAuftraege[Datum
Einnahmen],"&gt;="&amp;AV$5,tblAuftraege[Datum
Einnahmen],"&lt;"&amp;EDATE(AV$5,1),tblAuftraege[Kostenstelle],$B30))</f>
        <v/>
      </c>
      <c r="AW30" s="25">
        <f>IF($B30="",0,SUMIFS(tblAuftraege[Kalk.
Einnahmen],tblAuftraege[Datum
Einnahmen],"&gt;="&amp;AW$5,tblAuftraege[Datum
Einnahmen],"&lt;"&amp;EDATE(AW$5,1),tblAuftraege[Kostenstelle],$B30))</f>
        <v/>
      </c>
      <c r="AX30" s="25">
        <f>IF($B30="",0,SUMIFS(tblAuftraege[Kalk.
Einnahmen],tblAuftraege[Datum
Einnahmen],"&gt;="&amp;AX$5,tblAuftraege[Datum
Einnahmen],"&lt;"&amp;EDATE(AX$5,1),tblAuftraege[Kostenstelle],$B30))</f>
        <v/>
      </c>
      <c r="AY30" s="25">
        <f>IF($B30="",0,SUMIFS(tblAuftraege[Kalk.
Einnahmen],tblAuftraege[Datum
Einnahmen],"&gt;="&amp;AY$5,tblAuftraege[Datum
Einnahmen],"&lt;"&amp;EDATE(AY$5,1),tblAuftraege[Kostenstelle],$B30))</f>
        <v/>
      </c>
      <c r="AZ30" s="25">
        <f>IF($B30="",0,SUMIFS(tblAuftraege[Kalk.
Einnahmen],tblAuftraege[Datum
Einnahmen],"&gt;="&amp;AZ$5,tblAuftraege[Datum
Einnahmen],"&lt;"&amp;EDATE(AZ$5,1),tblAuftraege[Kostenstelle],$B30))</f>
        <v/>
      </c>
      <c r="BA30" s="25">
        <f>IF($B30="",0,SUMIFS(tblAuftraege[Kalk.
Einnahmen],tblAuftraege[Datum
Einnahmen],"&gt;="&amp;BA$5,tblAuftraege[Datum
Einnahmen],"&lt;"&amp;EDATE(BA$5,1),tblAuftraege[Kostenstelle],$B30))</f>
        <v/>
      </c>
      <c r="BB30" s="25">
        <f>IF($B30="",0,SUMIFS(tblAuftraege[Kalk.
Einnahmen],tblAuftraege[Datum
Einnahmen],"&gt;="&amp;BB$5,tblAuftraege[Datum
Einnahmen],"&lt;"&amp;EDATE(BB$5,1),tblAuftraege[Kostenstelle],$B30))</f>
        <v/>
      </c>
      <c r="BC30" s="25">
        <f>IF($B30="",0,SUMIFS(tblAuftraege[Kalk.
Einnahmen],tblAuftraege[Datum
Einnahmen],"&gt;="&amp;BC$5,tblAuftraege[Datum
Einnahmen],"&lt;"&amp;EDATE(BC$5,1),tblAuftraege[Kostenstelle],$B30))</f>
        <v/>
      </c>
      <c r="BD30" s="25">
        <f>IF($B30="",0,SUMIFS(tblAuftraege[Kalk.
Einnahmen],tblAuftraege[Datum
Einnahmen],"&gt;="&amp;BD$5,tblAuftraege[Datum
Einnahmen],"&lt;"&amp;EDATE(BD$5,1),tblAuftraege[Kostenstelle],$B30))</f>
        <v/>
      </c>
      <c r="BE30" s="25">
        <f>SUM(C30:H30)</f>
        <v/>
      </c>
      <c r="BF30" s="25">
        <f>SUM(I30:T30)</f>
        <v/>
      </c>
      <c r="BG30" s="25">
        <f>SUM(U30:AF30)</f>
        <v/>
      </c>
      <c r="BH30" s="25">
        <f>SUM(AG30:AR30)</f>
        <v/>
      </c>
      <c r="BI30" s="25">
        <f>SUM(AS30:BD30)</f>
        <v/>
      </c>
      <c r="BJ30" s="25">
        <f>SUM(C30:BD30)</f>
        <v/>
      </c>
    </row>
    <row r="31">
      <c r="A31" s="34" t="n"/>
      <c r="B31" s="49" t="n"/>
      <c r="C31" s="25">
        <f>IF($B31="",0,SUMIFS(tblAuftraege[Kalk.
Einnahmen],tblAuftraege[Datum
Einnahmen],"&gt;="&amp;C$5,tblAuftraege[Datum
Einnahmen],"&lt;"&amp;EDATE(C$5,1),tblAuftraege[Kostenstelle],$B31))</f>
        <v/>
      </c>
      <c r="D31" s="25">
        <f>IF($B31="",0,SUMIFS(tblAuftraege[Kalk.
Einnahmen],tblAuftraege[Datum
Einnahmen],"&gt;="&amp;D$5,tblAuftraege[Datum
Einnahmen],"&lt;"&amp;EDATE(D$5,1),tblAuftraege[Kostenstelle],$B31))</f>
        <v/>
      </c>
      <c r="E31" s="25">
        <f>IF($B31="",0,SUMIFS(tblAuftraege[Kalk.
Einnahmen],tblAuftraege[Datum
Einnahmen],"&gt;="&amp;E$5,tblAuftraege[Datum
Einnahmen],"&lt;"&amp;EDATE(E$5,1),tblAuftraege[Kostenstelle],$B31))</f>
        <v/>
      </c>
      <c r="F31" s="25">
        <f>IF($B31="",0,SUMIFS(tblAuftraege[Kalk.
Einnahmen],tblAuftraege[Datum
Einnahmen],"&gt;="&amp;F$5,tblAuftraege[Datum
Einnahmen],"&lt;"&amp;EDATE(F$5,1),tblAuftraege[Kostenstelle],$B31))</f>
        <v/>
      </c>
      <c r="G31" s="25">
        <f>IF($B31="",0,SUMIFS(tblAuftraege[Kalk.
Einnahmen],tblAuftraege[Datum
Einnahmen],"&gt;="&amp;G$5,tblAuftraege[Datum
Einnahmen],"&lt;"&amp;EDATE(G$5,1),tblAuftraege[Kostenstelle],$B31))</f>
        <v/>
      </c>
      <c r="H31" s="25">
        <f>IF($B31="",0,SUMIFS(tblAuftraege[Kalk.
Einnahmen],tblAuftraege[Datum
Einnahmen],"&gt;="&amp;H$5,tblAuftraege[Datum
Einnahmen],"&lt;"&amp;EDATE(H$5,1),tblAuftraege[Kostenstelle],$B31))</f>
        <v/>
      </c>
      <c r="I31" s="25">
        <f>IF($B31="",0,SUMIFS(tblAuftraege[Kalk.
Einnahmen],tblAuftraege[Datum
Einnahmen],"&gt;="&amp;I$5,tblAuftraege[Datum
Einnahmen],"&lt;"&amp;EDATE(I$5,1),tblAuftraege[Kostenstelle],$B31))</f>
        <v/>
      </c>
      <c r="J31" s="25">
        <f>IF($B31="",0,SUMIFS(tblAuftraege[Kalk.
Einnahmen],tblAuftraege[Datum
Einnahmen],"&gt;="&amp;J$5,tblAuftraege[Datum
Einnahmen],"&lt;"&amp;EDATE(J$5,1),tblAuftraege[Kostenstelle],$B31))</f>
        <v/>
      </c>
      <c r="K31" s="25">
        <f>IF($B31="",0,SUMIFS(tblAuftraege[Kalk.
Einnahmen],tblAuftraege[Datum
Einnahmen],"&gt;="&amp;K$5,tblAuftraege[Datum
Einnahmen],"&lt;"&amp;EDATE(K$5,1),tblAuftraege[Kostenstelle],$B31))</f>
        <v/>
      </c>
      <c r="L31" s="25">
        <f>IF($B31="",0,SUMIFS(tblAuftraege[Kalk.
Einnahmen],tblAuftraege[Datum
Einnahmen],"&gt;="&amp;L$5,tblAuftraege[Datum
Einnahmen],"&lt;"&amp;EDATE(L$5,1),tblAuftraege[Kostenstelle],$B31))</f>
        <v/>
      </c>
      <c r="M31" s="25">
        <f>IF($B31="",0,SUMIFS(tblAuftraege[Kalk.
Einnahmen],tblAuftraege[Datum
Einnahmen],"&gt;="&amp;M$5,tblAuftraege[Datum
Einnahmen],"&lt;"&amp;EDATE(M$5,1),tblAuftraege[Kostenstelle],$B31))</f>
        <v/>
      </c>
      <c r="N31" s="25">
        <f>IF($B31="",0,SUMIFS(tblAuftraege[Kalk.
Einnahmen],tblAuftraege[Datum
Einnahmen],"&gt;="&amp;N$5,tblAuftraege[Datum
Einnahmen],"&lt;"&amp;EDATE(N$5,1),tblAuftraege[Kostenstelle],$B31))</f>
        <v/>
      </c>
      <c r="O31" s="25">
        <f>IF($B31="",0,SUMIFS(tblAuftraege[Kalk.
Einnahmen],tblAuftraege[Datum
Einnahmen],"&gt;="&amp;O$5,tblAuftraege[Datum
Einnahmen],"&lt;"&amp;EDATE(O$5,1),tblAuftraege[Kostenstelle],$B31))</f>
        <v/>
      </c>
      <c r="P31" s="25">
        <f>IF($B31="",0,SUMIFS(tblAuftraege[Kalk.
Einnahmen],tblAuftraege[Datum
Einnahmen],"&gt;="&amp;P$5,tblAuftraege[Datum
Einnahmen],"&lt;"&amp;EDATE(P$5,1),tblAuftraege[Kostenstelle],$B31))</f>
        <v/>
      </c>
      <c r="Q31" s="25">
        <f>IF($B31="",0,SUMIFS(tblAuftraege[Kalk.
Einnahmen],tblAuftraege[Datum
Einnahmen],"&gt;="&amp;Q$5,tblAuftraege[Datum
Einnahmen],"&lt;"&amp;EDATE(Q$5,1),tblAuftraege[Kostenstelle],$B31))</f>
        <v/>
      </c>
      <c r="R31" s="25">
        <f>IF($B31="",0,SUMIFS(tblAuftraege[Kalk.
Einnahmen],tblAuftraege[Datum
Einnahmen],"&gt;="&amp;R$5,tblAuftraege[Datum
Einnahmen],"&lt;"&amp;EDATE(R$5,1),tblAuftraege[Kostenstelle],$B31))</f>
        <v/>
      </c>
      <c r="S31" s="25">
        <f>IF($B31="",0,SUMIFS(tblAuftraege[Kalk.
Einnahmen],tblAuftraege[Datum
Einnahmen],"&gt;="&amp;S$5,tblAuftraege[Datum
Einnahmen],"&lt;"&amp;EDATE(S$5,1),tblAuftraege[Kostenstelle],$B31))</f>
        <v/>
      </c>
      <c r="T31" s="25">
        <f>IF($B31="",0,SUMIFS(tblAuftraege[Kalk.
Einnahmen],tblAuftraege[Datum
Einnahmen],"&gt;="&amp;T$5,tblAuftraege[Datum
Einnahmen],"&lt;"&amp;EDATE(T$5,1),tblAuftraege[Kostenstelle],$B31))</f>
        <v/>
      </c>
      <c r="U31" s="25">
        <f>IF($B31="",0,SUMIFS(tblAuftraege[Kalk.
Einnahmen],tblAuftraege[Datum
Einnahmen],"&gt;="&amp;U$5,tblAuftraege[Datum
Einnahmen],"&lt;"&amp;EDATE(U$5,1),tblAuftraege[Kostenstelle],$B31))</f>
        <v/>
      </c>
      <c r="V31" s="25">
        <f>IF($B31="",0,SUMIFS(tblAuftraege[Kalk.
Einnahmen],tblAuftraege[Datum
Einnahmen],"&gt;="&amp;V$5,tblAuftraege[Datum
Einnahmen],"&lt;"&amp;EDATE(V$5,1),tblAuftraege[Kostenstelle],$B31))</f>
        <v/>
      </c>
      <c r="W31" s="25">
        <f>IF($B31="",0,SUMIFS(tblAuftraege[Kalk.
Einnahmen],tblAuftraege[Datum
Einnahmen],"&gt;="&amp;W$5,tblAuftraege[Datum
Einnahmen],"&lt;"&amp;EDATE(W$5,1),tblAuftraege[Kostenstelle],$B31))</f>
        <v/>
      </c>
      <c r="X31" s="25">
        <f>IF($B31="",0,SUMIFS(tblAuftraege[Kalk.
Einnahmen],tblAuftraege[Datum
Einnahmen],"&gt;="&amp;X$5,tblAuftraege[Datum
Einnahmen],"&lt;"&amp;EDATE(X$5,1),tblAuftraege[Kostenstelle],$B31))</f>
        <v/>
      </c>
      <c r="Y31" s="25">
        <f>IF($B31="",0,SUMIFS(tblAuftraege[Kalk.
Einnahmen],tblAuftraege[Datum
Einnahmen],"&gt;="&amp;Y$5,tblAuftraege[Datum
Einnahmen],"&lt;"&amp;EDATE(Y$5,1),tblAuftraege[Kostenstelle],$B31))</f>
        <v/>
      </c>
      <c r="Z31" s="25">
        <f>IF($B31="",0,SUMIFS(tblAuftraege[Kalk.
Einnahmen],tblAuftraege[Datum
Einnahmen],"&gt;="&amp;Z$5,tblAuftraege[Datum
Einnahmen],"&lt;"&amp;EDATE(Z$5,1),tblAuftraege[Kostenstelle],$B31))</f>
        <v/>
      </c>
      <c r="AA31" s="25">
        <f>IF($B31="",0,SUMIFS(tblAuftraege[Kalk.
Einnahmen],tblAuftraege[Datum
Einnahmen],"&gt;="&amp;AA$5,tblAuftraege[Datum
Einnahmen],"&lt;"&amp;EDATE(AA$5,1),tblAuftraege[Kostenstelle],$B31))</f>
        <v/>
      </c>
      <c r="AB31" s="25">
        <f>IF($B31="",0,SUMIFS(tblAuftraege[Kalk.
Einnahmen],tblAuftraege[Datum
Einnahmen],"&gt;="&amp;AB$5,tblAuftraege[Datum
Einnahmen],"&lt;"&amp;EDATE(AB$5,1),tblAuftraege[Kostenstelle],$B31))</f>
        <v/>
      </c>
      <c r="AC31" s="25">
        <f>IF($B31="",0,SUMIFS(tblAuftraege[Kalk.
Einnahmen],tblAuftraege[Datum
Einnahmen],"&gt;="&amp;AC$5,tblAuftraege[Datum
Einnahmen],"&lt;"&amp;EDATE(AC$5,1),tblAuftraege[Kostenstelle],$B31))</f>
        <v/>
      </c>
      <c r="AD31" s="25">
        <f>IF($B31="",0,SUMIFS(tblAuftraege[Kalk.
Einnahmen],tblAuftraege[Datum
Einnahmen],"&gt;="&amp;AD$5,tblAuftraege[Datum
Einnahmen],"&lt;"&amp;EDATE(AD$5,1),tblAuftraege[Kostenstelle],$B31))</f>
        <v/>
      </c>
      <c r="AE31" s="25">
        <f>IF($B31="",0,SUMIFS(tblAuftraege[Kalk.
Einnahmen],tblAuftraege[Datum
Einnahmen],"&gt;="&amp;AE$5,tblAuftraege[Datum
Einnahmen],"&lt;"&amp;EDATE(AE$5,1),tblAuftraege[Kostenstelle],$B31))</f>
        <v/>
      </c>
      <c r="AF31" s="25">
        <f>IF($B31="",0,SUMIFS(tblAuftraege[Kalk.
Einnahmen],tblAuftraege[Datum
Einnahmen],"&gt;="&amp;AF$5,tblAuftraege[Datum
Einnahmen],"&lt;"&amp;EDATE(AF$5,1),tblAuftraege[Kostenstelle],$B31))</f>
        <v/>
      </c>
      <c r="AG31" s="25">
        <f>IF($B31="",0,SUMIFS(tblAuftraege[Kalk.
Einnahmen],tblAuftraege[Datum
Einnahmen],"&gt;="&amp;AG$5,tblAuftraege[Datum
Einnahmen],"&lt;"&amp;EDATE(AG$5,1),tblAuftraege[Kostenstelle],$B31))</f>
        <v/>
      </c>
      <c r="AH31" s="25">
        <f>IF($B31="",0,SUMIFS(tblAuftraege[Kalk.
Einnahmen],tblAuftraege[Datum
Einnahmen],"&gt;="&amp;AH$5,tblAuftraege[Datum
Einnahmen],"&lt;"&amp;EDATE(AH$5,1),tblAuftraege[Kostenstelle],$B31))</f>
        <v/>
      </c>
      <c r="AI31" s="25">
        <f>IF($B31="",0,SUMIFS(tblAuftraege[Kalk.
Einnahmen],tblAuftraege[Datum
Einnahmen],"&gt;="&amp;AI$5,tblAuftraege[Datum
Einnahmen],"&lt;"&amp;EDATE(AI$5,1),tblAuftraege[Kostenstelle],$B31))</f>
        <v/>
      </c>
      <c r="AJ31" s="25">
        <f>IF($B31="",0,SUMIFS(tblAuftraege[Kalk.
Einnahmen],tblAuftraege[Datum
Einnahmen],"&gt;="&amp;AJ$5,tblAuftraege[Datum
Einnahmen],"&lt;"&amp;EDATE(AJ$5,1),tblAuftraege[Kostenstelle],$B31))</f>
        <v/>
      </c>
      <c r="AK31" s="25">
        <f>IF($B31="",0,SUMIFS(tblAuftraege[Kalk.
Einnahmen],tblAuftraege[Datum
Einnahmen],"&gt;="&amp;AK$5,tblAuftraege[Datum
Einnahmen],"&lt;"&amp;EDATE(AK$5,1),tblAuftraege[Kostenstelle],$B31))</f>
        <v/>
      </c>
      <c r="AL31" s="25">
        <f>IF($B31="",0,SUMIFS(tblAuftraege[Kalk.
Einnahmen],tblAuftraege[Datum
Einnahmen],"&gt;="&amp;AL$5,tblAuftraege[Datum
Einnahmen],"&lt;"&amp;EDATE(AL$5,1),tblAuftraege[Kostenstelle],$B31))</f>
        <v/>
      </c>
      <c r="AM31" s="25">
        <f>IF($B31="",0,SUMIFS(tblAuftraege[Kalk.
Einnahmen],tblAuftraege[Datum
Einnahmen],"&gt;="&amp;AM$5,tblAuftraege[Datum
Einnahmen],"&lt;"&amp;EDATE(AM$5,1),tblAuftraege[Kostenstelle],$B31))</f>
        <v/>
      </c>
      <c r="AN31" s="25">
        <f>IF($B31="",0,SUMIFS(tblAuftraege[Kalk.
Einnahmen],tblAuftraege[Datum
Einnahmen],"&gt;="&amp;AN$5,tblAuftraege[Datum
Einnahmen],"&lt;"&amp;EDATE(AN$5,1),tblAuftraege[Kostenstelle],$B31))</f>
        <v/>
      </c>
      <c r="AO31" s="25">
        <f>IF($B31="",0,SUMIFS(tblAuftraege[Kalk.
Einnahmen],tblAuftraege[Datum
Einnahmen],"&gt;="&amp;AO$5,tblAuftraege[Datum
Einnahmen],"&lt;"&amp;EDATE(AO$5,1),tblAuftraege[Kostenstelle],$B31))</f>
        <v/>
      </c>
      <c r="AP31" s="25">
        <f>IF($B31="",0,SUMIFS(tblAuftraege[Kalk.
Einnahmen],tblAuftraege[Datum
Einnahmen],"&gt;="&amp;AP$5,tblAuftraege[Datum
Einnahmen],"&lt;"&amp;EDATE(AP$5,1),tblAuftraege[Kostenstelle],$B31))</f>
        <v/>
      </c>
      <c r="AQ31" s="25">
        <f>IF($B31="",0,SUMIFS(tblAuftraege[Kalk.
Einnahmen],tblAuftraege[Datum
Einnahmen],"&gt;="&amp;AQ$5,tblAuftraege[Datum
Einnahmen],"&lt;"&amp;EDATE(AQ$5,1),tblAuftraege[Kostenstelle],$B31))</f>
        <v/>
      </c>
      <c r="AR31" s="25">
        <f>IF($B31="",0,SUMIFS(tblAuftraege[Kalk.
Einnahmen],tblAuftraege[Datum
Einnahmen],"&gt;="&amp;AR$5,tblAuftraege[Datum
Einnahmen],"&lt;"&amp;EDATE(AR$5,1),tblAuftraege[Kostenstelle],$B31))</f>
        <v/>
      </c>
      <c r="AS31" s="25">
        <f>IF($B31="",0,SUMIFS(tblAuftraege[Kalk.
Einnahmen],tblAuftraege[Datum
Einnahmen],"&gt;="&amp;AS$5,tblAuftraege[Datum
Einnahmen],"&lt;"&amp;EDATE(AS$5,1),tblAuftraege[Kostenstelle],$B31))</f>
        <v/>
      </c>
      <c r="AT31" s="25">
        <f>IF($B31="",0,SUMIFS(tblAuftraege[Kalk.
Einnahmen],tblAuftraege[Datum
Einnahmen],"&gt;="&amp;AT$5,tblAuftraege[Datum
Einnahmen],"&lt;"&amp;EDATE(AT$5,1),tblAuftraege[Kostenstelle],$B31))</f>
        <v/>
      </c>
      <c r="AU31" s="25">
        <f>IF($B31="",0,SUMIFS(tblAuftraege[Kalk.
Einnahmen],tblAuftraege[Datum
Einnahmen],"&gt;="&amp;AU$5,tblAuftraege[Datum
Einnahmen],"&lt;"&amp;EDATE(AU$5,1),tblAuftraege[Kostenstelle],$B31))</f>
        <v/>
      </c>
      <c r="AV31" s="25">
        <f>IF($B31="",0,SUMIFS(tblAuftraege[Kalk.
Einnahmen],tblAuftraege[Datum
Einnahmen],"&gt;="&amp;AV$5,tblAuftraege[Datum
Einnahmen],"&lt;"&amp;EDATE(AV$5,1),tblAuftraege[Kostenstelle],$B31))</f>
        <v/>
      </c>
      <c r="AW31" s="25">
        <f>IF($B31="",0,SUMIFS(tblAuftraege[Kalk.
Einnahmen],tblAuftraege[Datum
Einnahmen],"&gt;="&amp;AW$5,tblAuftraege[Datum
Einnahmen],"&lt;"&amp;EDATE(AW$5,1),tblAuftraege[Kostenstelle],$B31))</f>
        <v/>
      </c>
      <c r="AX31" s="25">
        <f>IF($B31="",0,SUMIFS(tblAuftraege[Kalk.
Einnahmen],tblAuftraege[Datum
Einnahmen],"&gt;="&amp;AX$5,tblAuftraege[Datum
Einnahmen],"&lt;"&amp;EDATE(AX$5,1),tblAuftraege[Kostenstelle],$B31))</f>
        <v/>
      </c>
      <c r="AY31" s="25">
        <f>IF($B31="",0,SUMIFS(tblAuftraege[Kalk.
Einnahmen],tblAuftraege[Datum
Einnahmen],"&gt;="&amp;AY$5,tblAuftraege[Datum
Einnahmen],"&lt;"&amp;EDATE(AY$5,1),tblAuftraege[Kostenstelle],$B31))</f>
        <v/>
      </c>
      <c r="AZ31" s="25">
        <f>IF($B31="",0,SUMIFS(tblAuftraege[Kalk.
Einnahmen],tblAuftraege[Datum
Einnahmen],"&gt;="&amp;AZ$5,tblAuftraege[Datum
Einnahmen],"&lt;"&amp;EDATE(AZ$5,1),tblAuftraege[Kostenstelle],$B31))</f>
        <v/>
      </c>
      <c r="BA31" s="25">
        <f>IF($B31="",0,SUMIFS(tblAuftraege[Kalk.
Einnahmen],tblAuftraege[Datum
Einnahmen],"&gt;="&amp;BA$5,tblAuftraege[Datum
Einnahmen],"&lt;"&amp;EDATE(BA$5,1),tblAuftraege[Kostenstelle],$B31))</f>
        <v/>
      </c>
      <c r="BB31" s="25">
        <f>IF($B31="",0,SUMIFS(tblAuftraege[Kalk.
Einnahmen],tblAuftraege[Datum
Einnahmen],"&gt;="&amp;BB$5,tblAuftraege[Datum
Einnahmen],"&lt;"&amp;EDATE(BB$5,1),tblAuftraege[Kostenstelle],$B31))</f>
        <v/>
      </c>
      <c r="BC31" s="25">
        <f>IF($B31="",0,SUMIFS(tblAuftraege[Kalk.
Einnahmen],tblAuftraege[Datum
Einnahmen],"&gt;="&amp;BC$5,tblAuftraege[Datum
Einnahmen],"&lt;"&amp;EDATE(BC$5,1),tblAuftraege[Kostenstelle],$B31))</f>
        <v/>
      </c>
      <c r="BD31" s="25">
        <f>IF($B31="",0,SUMIFS(tblAuftraege[Kalk.
Einnahmen],tblAuftraege[Datum
Einnahmen],"&gt;="&amp;BD$5,tblAuftraege[Datum
Einnahmen],"&lt;"&amp;EDATE(BD$5,1),tblAuftraege[Kostenstelle],$B31))</f>
        <v/>
      </c>
      <c r="BE31" s="25">
        <f>SUM(C31:H31)</f>
        <v/>
      </c>
      <c r="BF31" s="25">
        <f>SUM(I31:T31)</f>
        <v/>
      </c>
      <c r="BG31" s="25">
        <f>SUM(U31:AF31)</f>
        <v/>
      </c>
      <c r="BH31" s="25">
        <f>SUM(AG31:AR31)</f>
        <v/>
      </c>
      <c r="BI31" s="25">
        <f>SUM(AS31:BD31)</f>
        <v/>
      </c>
      <c r="BJ31" s="25">
        <f>SUM(C31:BD31)</f>
        <v/>
      </c>
    </row>
    <row r="32">
      <c r="A32" s="34" t="n"/>
      <c r="B32" s="49" t="n"/>
      <c r="C32" s="25">
        <f>IF($B32="",0,SUMIFS(tblAuftraege[Kalk.
Einnahmen],tblAuftraege[Datum
Einnahmen],"&gt;="&amp;C$5,tblAuftraege[Datum
Einnahmen],"&lt;"&amp;EDATE(C$5,1),tblAuftraege[Kostenstelle],$B32))</f>
        <v/>
      </c>
      <c r="D32" s="25">
        <f>IF($B32="",0,SUMIFS(tblAuftraege[Kalk.
Einnahmen],tblAuftraege[Datum
Einnahmen],"&gt;="&amp;D$5,tblAuftraege[Datum
Einnahmen],"&lt;"&amp;EDATE(D$5,1),tblAuftraege[Kostenstelle],$B32))</f>
        <v/>
      </c>
      <c r="E32" s="25">
        <f>IF($B32="",0,SUMIFS(tblAuftraege[Kalk.
Einnahmen],tblAuftraege[Datum
Einnahmen],"&gt;="&amp;E$5,tblAuftraege[Datum
Einnahmen],"&lt;"&amp;EDATE(E$5,1),tblAuftraege[Kostenstelle],$B32))</f>
        <v/>
      </c>
      <c r="F32" s="25">
        <f>IF($B32="",0,SUMIFS(tblAuftraege[Kalk.
Einnahmen],tblAuftraege[Datum
Einnahmen],"&gt;="&amp;F$5,tblAuftraege[Datum
Einnahmen],"&lt;"&amp;EDATE(F$5,1),tblAuftraege[Kostenstelle],$B32))</f>
        <v/>
      </c>
      <c r="G32" s="25">
        <f>IF($B32="",0,SUMIFS(tblAuftraege[Kalk.
Einnahmen],tblAuftraege[Datum
Einnahmen],"&gt;="&amp;G$5,tblAuftraege[Datum
Einnahmen],"&lt;"&amp;EDATE(G$5,1),tblAuftraege[Kostenstelle],$B32))</f>
        <v/>
      </c>
      <c r="H32" s="25">
        <f>IF($B32="",0,SUMIFS(tblAuftraege[Kalk.
Einnahmen],tblAuftraege[Datum
Einnahmen],"&gt;="&amp;H$5,tblAuftraege[Datum
Einnahmen],"&lt;"&amp;EDATE(H$5,1),tblAuftraege[Kostenstelle],$B32))</f>
        <v/>
      </c>
      <c r="I32" s="25">
        <f>IF($B32="",0,SUMIFS(tblAuftraege[Kalk.
Einnahmen],tblAuftraege[Datum
Einnahmen],"&gt;="&amp;I$5,tblAuftraege[Datum
Einnahmen],"&lt;"&amp;EDATE(I$5,1),tblAuftraege[Kostenstelle],$B32))</f>
        <v/>
      </c>
      <c r="J32" s="25">
        <f>IF($B32="",0,SUMIFS(tblAuftraege[Kalk.
Einnahmen],tblAuftraege[Datum
Einnahmen],"&gt;="&amp;J$5,tblAuftraege[Datum
Einnahmen],"&lt;"&amp;EDATE(J$5,1),tblAuftraege[Kostenstelle],$B32))</f>
        <v/>
      </c>
      <c r="K32" s="25">
        <f>IF($B32="",0,SUMIFS(tblAuftraege[Kalk.
Einnahmen],tblAuftraege[Datum
Einnahmen],"&gt;="&amp;K$5,tblAuftraege[Datum
Einnahmen],"&lt;"&amp;EDATE(K$5,1),tblAuftraege[Kostenstelle],$B32))</f>
        <v/>
      </c>
      <c r="L32" s="25">
        <f>IF($B32="",0,SUMIFS(tblAuftraege[Kalk.
Einnahmen],tblAuftraege[Datum
Einnahmen],"&gt;="&amp;L$5,tblAuftraege[Datum
Einnahmen],"&lt;"&amp;EDATE(L$5,1),tblAuftraege[Kostenstelle],$B32))</f>
        <v/>
      </c>
      <c r="M32" s="25">
        <f>IF($B32="",0,SUMIFS(tblAuftraege[Kalk.
Einnahmen],tblAuftraege[Datum
Einnahmen],"&gt;="&amp;M$5,tblAuftraege[Datum
Einnahmen],"&lt;"&amp;EDATE(M$5,1),tblAuftraege[Kostenstelle],$B32))</f>
        <v/>
      </c>
      <c r="N32" s="25">
        <f>IF($B32="",0,SUMIFS(tblAuftraege[Kalk.
Einnahmen],tblAuftraege[Datum
Einnahmen],"&gt;="&amp;N$5,tblAuftraege[Datum
Einnahmen],"&lt;"&amp;EDATE(N$5,1),tblAuftraege[Kostenstelle],$B32))</f>
        <v/>
      </c>
      <c r="O32" s="25">
        <f>IF($B32="",0,SUMIFS(tblAuftraege[Kalk.
Einnahmen],tblAuftraege[Datum
Einnahmen],"&gt;="&amp;O$5,tblAuftraege[Datum
Einnahmen],"&lt;"&amp;EDATE(O$5,1),tblAuftraege[Kostenstelle],$B32))</f>
        <v/>
      </c>
      <c r="P32" s="25">
        <f>IF($B32="",0,SUMIFS(tblAuftraege[Kalk.
Einnahmen],tblAuftraege[Datum
Einnahmen],"&gt;="&amp;P$5,tblAuftraege[Datum
Einnahmen],"&lt;"&amp;EDATE(P$5,1),tblAuftraege[Kostenstelle],$B32))</f>
        <v/>
      </c>
      <c r="Q32" s="25">
        <f>IF($B32="",0,SUMIFS(tblAuftraege[Kalk.
Einnahmen],tblAuftraege[Datum
Einnahmen],"&gt;="&amp;Q$5,tblAuftraege[Datum
Einnahmen],"&lt;"&amp;EDATE(Q$5,1),tblAuftraege[Kostenstelle],$B32))</f>
        <v/>
      </c>
      <c r="R32" s="25">
        <f>IF($B32="",0,SUMIFS(tblAuftraege[Kalk.
Einnahmen],tblAuftraege[Datum
Einnahmen],"&gt;="&amp;R$5,tblAuftraege[Datum
Einnahmen],"&lt;"&amp;EDATE(R$5,1),tblAuftraege[Kostenstelle],$B32))</f>
        <v/>
      </c>
      <c r="S32" s="25">
        <f>IF($B32="",0,SUMIFS(tblAuftraege[Kalk.
Einnahmen],tblAuftraege[Datum
Einnahmen],"&gt;="&amp;S$5,tblAuftraege[Datum
Einnahmen],"&lt;"&amp;EDATE(S$5,1),tblAuftraege[Kostenstelle],$B32))</f>
        <v/>
      </c>
      <c r="T32" s="25">
        <f>IF($B32="",0,SUMIFS(tblAuftraege[Kalk.
Einnahmen],tblAuftraege[Datum
Einnahmen],"&gt;="&amp;T$5,tblAuftraege[Datum
Einnahmen],"&lt;"&amp;EDATE(T$5,1),tblAuftraege[Kostenstelle],$B32))</f>
        <v/>
      </c>
      <c r="U32" s="25">
        <f>IF($B32="",0,SUMIFS(tblAuftraege[Kalk.
Einnahmen],tblAuftraege[Datum
Einnahmen],"&gt;="&amp;U$5,tblAuftraege[Datum
Einnahmen],"&lt;"&amp;EDATE(U$5,1),tblAuftraege[Kostenstelle],$B32))</f>
        <v/>
      </c>
      <c r="V32" s="25">
        <f>IF($B32="",0,SUMIFS(tblAuftraege[Kalk.
Einnahmen],tblAuftraege[Datum
Einnahmen],"&gt;="&amp;V$5,tblAuftraege[Datum
Einnahmen],"&lt;"&amp;EDATE(V$5,1),tblAuftraege[Kostenstelle],$B32))</f>
        <v/>
      </c>
      <c r="W32" s="25">
        <f>IF($B32="",0,SUMIFS(tblAuftraege[Kalk.
Einnahmen],tblAuftraege[Datum
Einnahmen],"&gt;="&amp;W$5,tblAuftraege[Datum
Einnahmen],"&lt;"&amp;EDATE(W$5,1),tblAuftraege[Kostenstelle],$B32))</f>
        <v/>
      </c>
      <c r="X32" s="25">
        <f>IF($B32="",0,SUMIFS(tblAuftraege[Kalk.
Einnahmen],tblAuftraege[Datum
Einnahmen],"&gt;="&amp;X$5,tblAuftraege[Datum
Einnahmen],"&lt;"&amp;EDATE(X$5,1),tblAuftraege[Kostenstelle],$B32))</f>
        <v/>
      </c>
      <c r="Y32" s="25">
        <f>IF($B32="",0,SUMIFS(tblAuftraege[Kalk.
Einnahmen],tblAuftraege[Datum
Einnahmen],"&gt;="&amp;Y$5,tblAuftraege[Datum
Einnahmen],"&lt;"&amp;EDATE(Y$5,1),tblAuftraege[Kostenstelle],$B32))</f>
        <v/>
      </c>
      <c r="Z32" s="25">
        <f>IF($B32="",0,SUMIFS(tblAuftraege[Kalk.
Einnahmen],tblAuftraege[Datum
Einnahmen],"&gt;="&amp;Z$5,tblAuftraege[Datum
Einnahmen],"&lt;"&amp;EDATE(Z$5,1),tblAuftraege[Kostenstelle],$B32))</f>
        <v/>
      </c>
      <c r="AA32" s="25">
        <f>IF($B32="",0,SUMIFS(tblAuftraege[Kalk.
Einnahmen],tblAuftraege[Datum
Einnahmen],"&gt;="&amp;AA$5,tblAuftraege[Datum
Einnahmen],"&lt;"&amp;EDATE(AA$5,1),tblAuftraege[Kostenstelle],$B32))</f>
        <v/>
      </c>
      <c r="AB32" s="25">
        <f>IF($B32="",0,SUMIFS(tblAuftraege[Kalk.
Einnahmen],tblAuftraege[Datum
Einnahmen],"&gt;="&amp;AB$5,tblAuftraege[Datum
Einnahmen],"&lt;"&amp;EDATE(AB$5,1),tblAuftraege[Kostenstelle],$B32))</f>
        <v/>
      </c>
      <c r="AC32" s="25">
        <f>IF($B32="",0,SUMIFS(tblAuftraege[Kalk.
Einnahmen],tblAuftraege[Datum
Einnahmen],"&gt;="&amp;AC$5,tblAuftraege[Datum
Einnahmen],"&lt;"&amp;EDATE(AC$5,1),tblAuftraege[Kostenstelle],$B32))</f>
        <v/>
      </c>
      <c r="AD32" s="25">
        <f>IF($B32="",0,SUMIFS(tblAuftraege[Kalk.
Einnahmen],tblAuftraege[Datum
Einnahmen],"&gt;="&amp;AD$5,tblAuftraege[Datum
Einnahmen],"&lt;"&amp;EDATE(AD$5,1),tblAuftraege[Kostenstelle],$B32))</f>
        <v/>
      </c>
      <c r="AE32" s="25">
        <f>IF($B32="",0,SUMIFS(tblAuftraege[Kalk.
Einnahmen],tblAuftraege[Datum
Einnahmen],"&gt;="&amp;AE$5,tblAuftraege[Datum
Einnahmen],"&lt;"&amp;EDATE(AE$5,1),tblAuftraege[Kostenstelle],$B32))</f>
        <v/>
      </c>
      <c r="AF32" s="25">
        <f>IF($B32="",0,SUMIFS(tblAuftraege[Kalk.
Einnahmen],tblAuftraege[Datum
Einnahmen],"&gt;="&amp;AF$5,tblAuftraege[Datum
Einnahmen],"&lt;"&amp;EDATE(AF$5,1),tblAuftraege[Kostenstelle],$B32))</f>
        <v/>
      </c>
      <c r="AG32" s="25">
        <f>IF($B32="",0,SUMIFS(tblAuftraege[Kalk.
Einnahmen],tblAuftraege[Datum
Einnahmen],"&gt;="&amp;AG$5,tblAuftraege[Datum
Einnahmen],"&lt;"&amp;EDATE(AG$5,1),tblAuftraege[Kostenstelle],$B32))</f>
        <v/>
      </c>
      <c r="AH32" s="25">
        <f>IF($B32="",0,SUMIFS(tblAuftraege[Kalk.
Einnahmen],tblAuftraege[Datum
Einnahmen],"&gt;="&amp;AH$5,tblAuftraege[Datum
Einnahmen],"&lt;"&amp;EDATE(AH$5,1),tblAuftraege[Kostenstelle],$B32))</f>
        <v/>
      </c>
      <c r="AI32" s="25">
        <f>IF($B32="",0,SUMIFS(tblAuftraege[Kalk.
Einnahmen],tblAuftraege[Datum
Einnahmen],"&gt;="&amp;AI$5,tblAuftraege[Datum
Einnahmen],"&lt;"&amp;EDATE(AI$5,1),tblAuftraege[Kostenstelle],$B32))</f>
        <v/>
      </c>
      <c r="AJ32" s="25">
        <f>IF($B32="",0,SUMIFS(tblAuftraege[Kalk.
Einnahmen],tblAuftraege[Datum
Einnahmen],"&gt;="&amp;AJ$5,tblAuftraege[Datum
Einnahmen],"&lt;"&amp;EDATE(AJ$5,1),tblAuftraege[Kostenstelle],$B32))</f>
        <v/>
      </c>
      <c r="AK32" s="25">
        <f>IF($B32="",0,SUMIFS(tblAuftraege[Kalk.
Einnahmen],tblAuftraege[Datum
Einnahmen],"&gt;="&amp;AK$5,tblAuftraege[Datum
Einnahmen],"&lt;"&amp;EDATE(AK$5,1),tblAuftraege[Kostenstelle],$B32))</f>
        <v/>
      </c>
      <c r="AL32" s="25">
        <f>IF($B32="",0,SUMIFS(tblAuftraege[Kalk.
Einnahmen],tblAuftraege[Datum
Einnahmen],"&gt;="&amp;AL$5,tblAuftraege[Datum
Einnahmen],"&lt;"&amp;EDATE(AL$5,1),tblAuftraege[Kostenstelle],$B32))</f>
        <v/>
      </c>
      <c r="AM32" s="25">
        <f>IF($B32="",0,SUMIFS(tblAuftraege[Kalk.
Einnahmen],tblAuftraege[Datum
Einnahmen],"&gt;="&amp;AM$5,tblAuftraege[Datum
Einnahmen],"&lt;"&amp;EDATE(AM$5,1),tblAuftraege[Kostenstelle],$B32))</f>
        <v/>
      </c>
      <c r="AN32" s="25">
        <f>IF($B32="",0,SUMIFS(tblAuftraege[Kalk.
Einnahmen],tblAuftraege[Datum
Einnahmen],"&gt;="&amp;AN$5,tblAuftraege[Datum
Einnahmen],"&lt;"&amp;EDATE(AN$5,1),tblAuftraege[Kostenstelle],$B32))</f>
        <v/>
      </c>
      <c r="AO32" s="25">
        <f>IF($B32="",0,SUMIFS(tblAuftraege[Kalk.
Einnahmen],tblAuftraege[Datum
Einnahmen],"&gt;="&amp;AO$5,tblAuftraege[Datum
Einnahmen],"&lt;"&amp;EDATE(AO$5,1),tblAuftraege[Kostenstelle],$B32))</f>
        <v/>
      </c>
      <c r="AP32" s="25">
        <f>IF($B32="",0,SUMIFS(tblAuftraege[Kalk.
Einnahmen],tblAuftraege[Datum
Einnahmen],"&gt;="&amp;AP$5,tblAuftraege[Datum
Einnahmen],"&lt;"&amp;EDATE(AP$5,1),tblAuftraege[Kostenstelle],$B32))</f>
        <v/>
      </c>
      <c r="AQ32" s="25">
        <f>IF($B32="",0,SUMIFS(tblAuftraege[Kalk.
Einnahmen],tblAuftraege[Datum
Einnahmen],"&gt;="&amp;AQ$5,tblAuftraege[Datum
Einnahmen],"&lt;"&amp;EDATE(AQ$5,1),tblAuftraege[Kostenstelle],$B32))</f>
        <v/>
      </c>
      <c r="AR32" s="25">
        <f>IF($B32="",0,SUMIFS(tblAuftraege[Kalk.
Einnahmen],tblAuftraege[Datum
Einnahmen],"&gt;="&amp;AR$5,tblAuftraege[Datum
Einnahmen],"&lt;"&amp;EDATE(AR$5,1),tblAuftraege[Kostenstelle],$B32))</f>
        <v/>
      </c>
      <c r="AS32" s="25">
        <f>IF($B32="",0,SUMIFS(tblAuftraege[Kalk.
Einnahmen],tblAuftraege[Datum
Einnahmen],"&gt;="&amp;AS$5,tblAuftraege[Datum
Einnahmen],"&lt;"&amp;EDATE(AS$5,1),tblAuftraege[Kostenstelle],$B32))</f>
        <v/>
      </c>
      <c r="AT32" s="25">
        <f>IF($B32="",0,SUMIFS(tblAuftraege[Kalk.
Einnahmen],tblAuftraege[Datum
Einnahmen],"&gt;="&amp;AT$5,tblAuftraege[Datum
Einnahmen],"&lt;"&amp;EDATE(AT$5,1),tblAuftraege[Kostenstelle],$B32))</f>
        <v/>
      </c>
      <c r="AU32" s="25">
        <f>IF($B32="",0,SUMIFS(tblAuftraege[Kalk.
Einnahmen],tblAuftraege[Datum
Einnahmen],"&gt;="&amp;AU$5,tblAuftraege[Datum
Einnahmen],"&lt;"&amp;EDATE(AU$5,1),tblAuftraege[Kostenstelle],$B32))</f>
        <v/>
      </c>
      <c r="AV32" s="25">
        <f>IF($B32="",0,SUMIFS(tblAuftraege[Kalk.
Einnahmen],tblAuftraege[Datum
Einnahmen],"&gt;="&amp;AV$5,tblAuftraege[Datum
Einnahmen],"&lt;"&amp;EDATE(AV$5,1),tblAuftraege[Kostenstelle],$B32))</f>
        <v/>
      </c>
      <c r="AW32" s="25">
        <f>IF($B32="",0,SUMIFS(tblAuftraege[Kalk.
Einnahmen],tblAuftraege[Datum
Einnahmen],"&gt;="&amp;AW$5,tblAuftraege[Datum
Einnahmen],"&lt;"&amp;EDATE(AW$5,1),tblAuftraege[Kostenstelle],$B32))</f>
        <v/>
      </c>
      <c r="AX32" s="25">
        <f>IF($B32="",0,SUMIFS(tblAuftraege[Kalk.
Einnahmen],tblAuftraege[Datum
Einnahmen],"&gt;="&amp;AX$5,tblAuftraege[Datum
Einnahmen],"&lt;"&amp;EDATE(AX$5,1),tblAuftraege[Kostenstelle],$B32))</f>
        <v/>
      </c>
      <c r="AY32" s="25">
        <f>IF($B32="",0,SUMIFS(tblAuftraege[Kalk.
Einnahmen],tblAuftraege[Datum
Einnahmen],"&gt;="&amp;AY$5,tblAuftraege[Datum
Einnahmen],"&lt;"&amp;EDATE(AY$5,1),tblAuftraege[Kostenstelle],$B32))</f>
        <v/>
      </c>
      <c r="AZ32" s="25">
        <f>IF($B32="",0,SUMIFS(tblAuftraege[Kalk.
Einnahmen],tblAuftraege[Datum
Einnahmen],"&gt;="&amp;AZ$5,tblAuftraege[Datum
Einnahmen],"&lt;"&amp;EDATE(AZ$5,1),tblAuftraege[Kostenstelle],$B32))</f>
        <v/>
      </c>
      <c r="BA32" s="25">
        <f>IF($B32="",0,SUMIFS(tblAuftraege[Kalk.
Einnahmen],tblAuftraege[Datum
Einnahmen],"&gt;="&amp;BA$5,tblAuftraege[Datum
Einnahmen],"&lt;"&amp;EDATE(BA$5,1),tblAuftraege[Kostenstelle],$B32))</f>
        <v/>
      </c>
      <c r="BB32" s="25">
        <f>IF($B32="",0,SUMIFS(tblAuftraege[Kalk.
Einnahmen],tblAuftraege[Datum
Einnahmen],"&gt;="&amp;BB$5,tblAuftraege[Datum
Einnahmen],"&lt;"&amp;EDATE(BB$5,1),tblAuftraege[Kostenstelle],$B32))</f>
        <v/>
      </c>
      <c r="BC32" s="25">
        <f>IF($B32="",0,SUMIFS(tblAuftraege[Kalk.
Einnahmen],tblAuftraege[Datum
Einnahmen],"&gt;="&amp;BC$5,tblAuftraege[Datum
Einnahmen],"&lt;"&amp;EDATE(BC$5,1),tblAuftraege[Kostenstelle],$B32))</f>
        <v/>
      </c>
      <c r="BD32" s="25">
        <f>IF($B32="",0,SUMIFS(tblAuftraege[Kalk.
Einnahmen],tblAuftraege[Datum
Einnahmen],"&gt;="&amp;BD$5,tblAuftraege[Datum
Einnahmen],"&lt;"&amp;EDATE(BD$5,1),tblAuftraege[Kostenstelle],$B32))</f>
        <v/>
      </c>
      <c r="BE32" s="25">
        <f>SUM(C32:H32)</f>
        <v/>
      </c>
      <c r="BF32" s="25">
        <f>SUM(I32:T32)</f>
        <v/>
      </c>
      <c r="BG32" s="25">
        <f>SUM(U32:AF32)</f>
        <v/>
      </c>
      <c r="BH32" s="25">
        <f>SUM(AG32:AR32)</f>
        <v/>
      </c>
      <c r="BI32" s="25">
        <f>SUM(AS32:BD32)</f>
        <v/>
      </c>
      <c r="BJ32" s="25">
        <f>SUM(C32:BD32)</f>
        <v/>
      </c>
    </row>
    <row r="33">
      <c r="A33" s="34" t="n"/>
      <c r="B33" s="49" t="n"/>
      <c r="C33" s="25">
        <f>IF($B33="",0,SUMIFS(tblAuftraege[Kalk.
Einnahmen],tblAuftraege[Datum
Einnahmen],"&gt;="&amp;C$5,tblAuftraege[Datum
Einnahmen],"&lt;"&amp;EDATE(C$5,1),tblAuftraege[Kostenstelle],$B33))</f>
        <v/>
      </c>
      <c r="D33" s="25">
        <f>IF($B33="",0,SUMIFS(tblAuftraege[Kalk.
Einnahmen],tblAuftraege[Datum
Einnahmen],"&gt;="&amp;D$5,tblAuftraege[Datum
Einnahmen],"&lt;"&amp;EDATE(D$5,1),tblAuftraege[Kostenstelle],$B33))</f>
        <v/>
      </c>
      <c r="E33" s="25">
        <f>IF($B33="",0,SUMIFS(tblAuftraege[Kalk.
Einnahmen],tblAuftraege[Datum
Einnahmen],"&gt;="&amp;E$5,tblAuftraege[Datum
Einnahmen],"&lt;"&amp;EDATE(E$5,1),tblAuftraege[Kostenstelle],$B33))</f>
        <v/>
      </c>
      <c r="F33" s="25">
        <f>IF($B33="",0,SUMIFS(tblAuftraege[Kalk.
Einnahmen],tblAuftraege[Datum
Einnahmen],"&gt;="&amp;F$5,tblAuftraege[Datum
Einnahmen],"&lt;"&amp;EDATE(F$5,1),tblAuftraege[Kostenstelle],$B33))</f>
        <v/>
      </c>
      <c r="G33" s="25">
        <f>IF($B33="",0,SUMIFS(tblAuftraege[Kalk.
Einnahmen],tblAuftraege[Datum
Einnahmen],"&gt;="&amp;G$5,tblAuftraege[Datum
Einnahmen],"&lt;"&amp;EDATE(G$5,1),tblAuftraege[Kostenstelle],$B33))</f>
        <v/>
      </c>
      <c r="H33" s="25">
        <f>IF($B33="",0,SUMIFS(tblAuftraege[Kalk.
Einnahmen],tblAuftraege[Datum
Einnahmen],"&gt;="&amp;H$5,tblAuftraege[Datum
Einnahmen],"&lt;"&amp;EDATE(H$5,1),tblAuftraege[Kostenstelle],$B33))</f>
        <v/>
      </c>
      <c r="I33" s="25">
        <f>IF($B33="",0,SUMIFS(tblAuftraege[Kalk.
Einnahmen],tblAuftraege[Datum
Einnahmen],"&gt;="&amp;I$5,tblAuftraege[Datum
Einnahmen],"&lt;"&amp;EDATE(I$5,1),tblAuftraege[Kostenstelle],$B33))</f>
        <v/>
      </c>
      <c r="J33" s="25">
        <f>IF($B33="",0,SUMIFS(tblAuftraege[Kalk.
Einnahmen],tblAuftraege[Datum
Einnahmen],"&gt;="&amp;J$5,tblAuftraege[Datum
Einnahmen],"&lt;"&amp;EDATE(J$5,1),tblAuftraege[Kostenstelle],$B33))</f>
        <v/>
      </c>
      <c r="K33" s="25">
        <f>IF($B33="",0,SUMIFS(tblAuftraege[Kalk.
Einnahmen],tblAuftraege[Datum
Einnahmen],"&gt;="&amp;K$5,tblAuftraege[Datum
Einnahmen],"&lt;"&amp;EDATE(K$5,1),tblAuftraege[Kostenstelle],$B33))</f>
        <v/>
      </c>
      <c r="L33" s="25">
        <f>IF($B33="",0,SUMIFS(tblAuftraege[Kalk.
Einnahmen],tblAuftraege[Datum
Einnahmen],"&gt;="&amp;L$5,tblAuftraege[Datum
Einnahmen],"&lt;"&amp;EDATE(L$5,1),tblAuftraege[Kostenstelle],$B33))</f>
        <v/>
      </c>
      <c r="M33" s="25">
        <f>IF($B33="",0,SUMIFS(tblAuftraege[Kalk.
Einnahmen],tblAuftraege[Datum
Einnahmen],"&gt;="&amp;M$5,tblAuftraege[Datum
Einnahmen],"&lt;"&amp;EDATE(M$5,1),tblAuftraege[Kostenstelle],$B33))</f>
        <v/>
      </c>
      <c r="N33" s="25">
        <f>IF($B33="",0,SUMIFS(tblAuftraege[Kalk.
Einnahmen],tblAuftraege[Datum
Einnahmen],"&gt;="&amp;N$5,tblAuftraege[Datum
Einnahmen],"&lt;"&amp;EDATE(N$5,1),tblAuftraege[Kostenstelle],$B33))</f>
        <v/>
      </c>
      <c r="O33" s="25">
        <f>IF($B33="",0,SUMIFS(tblAuftraege[Kalk.
Einnahmen],tblAuftraege[Datum
Einnahmen],"&gt;="&amp;O$5,tblAuftraege[Datum
Einnahmen],"&lt;"&amp;EDATE(O$5,1),tblAuftraege[Kostenstelle],$B33))</f>
        <v/>
      </c>
      <c r="P33" s="25">
        <f>IF($B33="",0,SUMIFS(tblAuftraege[Kalk.
Einnahmen],tblAuftraege[Datum
Einnahmen],"&gt;="&amp;P$5,tblAuftraege[Datum
Einnahmen],"&lt;"&amp;EDATE(P$5,1),tblAuftraege[Kostenstelle],$B33))</f>
        <v/>
      </c>
      <c r="Q33" s="25">
        <f>IF($B33="",0,SUMIFS(tblAuftraege[Kalk.
Einnahmen],tblAuftraege[Datum
Einnahmen],"&gt;="&amp;Q$5,tblAuftraege[Datum
Einnahmen],"&lt;"&amp;EDATE(Q$5,1),tblAuftraege[Kostenstelle],$B33))</f>
        <v/>
      </c>
      <c r="R33" s="25">
        <f>IF($B33="",0,SUMIFS(tblAuftraege[Kalk.
Einnahmen],tblAuftraege[Datum
Einnahmen],"&gt;="&amp;R$5,tblAuftraege[Datum
Einnahmen],"&lt;"&amp;EDATE(R$5,1),tblAuftraege[Kostenstelle],$B33))</f>
        <v/>
      </c>
      <c r="S33" s="25">
        <f>IF($B33="",0,SUMIFS(tblAuftraege[Kalk.
Einnahmen],tblAuftraege[Datum
Einnahmen],"&gt;="&amp;S$5,tblAuftraege[Datum
Einnahmen],"&lt;"&amp;EDATE(S$5,1),tblAuftraege[Kostenstelle],$B33))</f>
        <v/>
      </c>
      <c r="T33" s="25">
        <f>IF($B33="",0,SUMIFS(tblAuftraege[Kalk.
Einnahmen],tblAuftraege[Datum
Einnahmen],"&gt;="&amp;T$5,tblAuftraege[Datum
Einnahmen],"&lt;"&amp;EDATE(T$5,1),tblAuftraege[Kostenstelle],$B33))</f>
        <v/>
      </c>
      <c r="U33" s="25">
        <f>IF($B33="",0,SUMIFS(tblAuftraege[Kalk.
Einnahmen],tblAuftraege[Datum
Einnahmen],"&gt;="&amp;U$5,tblAuftraege[Datum
Einnahmen],"&lt;"&amp;EDATE(U$5,1),tblAuftraege[Kostenstelle],$B33))</f>
        <v/>
      </c>
      <c r="V33" s="25">
        <f>IF($B33="",0,SUMIFS(tblAuftraege[Kalk.
Einnahmen],tblAuftraege[Datum
Einnahmen],"&gt;="&amp;V$5,tblAuftraege[Datum
Einnahmen],"&lt;"&amp;EDATE(V$5,1),tblAuftraege[Kostenstelle],$B33))</f>
        <v/>
      </c>
      <c r="W33" s="25">
        <f>IF($B33="",0,SUMIFS(tblAuftraege[Kalk.
Einnahmen],tblAuftraege[Datum
Einnahmen],"&gt;="&amp;W$5,tblAuftraege[Datum
Einnahmen],"&lt;"&amp;EDATE(W$5,1),tblAuftraege[Kostenstelle],$B33))</f>
        <v/>
      </c>
      <c r="X33" s="25">
        <f>IF($B33="",0,SUMIFS(tblAuftraege[Kalk.
Einnahmen],tblAuftraege[Datum
Einnahmen],"&gt;="&amp;X$5,tblAuftraege[Datum
Einnahmen],"&lt;"&amp;EDATE(X$5,1),tblAuftraege[Kostenstelle],$B33))</f>
        <v/>
      </c>
      <c r="Y33" s="25">
        <f>IF($B33="",0,SUMIFS(tblAuftraege[Kalk.
Einnahmen],tblAuftraege[Datum
Einnahmen],"&gt;="&amp;Y$5,tblAuftraege[Datum
Einnahmen],"&lt;"&amp;EDATE(Y$5,1),tblAuftraege[Kostenstelle],$B33))</f>
        <v/>
      </c>
      <c r="Z33" s="25">
        <f>IF($B33="",0,SUMIFS(tblAuftraege[Kalk.
Einnahmen],tblAuftraege[Datum
Einnahmen],"&gt;="&amp;Z$5,tblAuftraege[Datum
Einnahmen],"&lt;"&amp;EDATE(Z$5,1),tblAuftraege[Kostenstelle],$B33))</f>
        <v/>
      </c>
      <c r="AA33" s="25">
        <f>IF($B33="",0,SUMIFS(tblAuftraege[Kalk.
Einnahmen],tblAuftraege[Datum
Einnahmen],"&gt;="&amp;AA$5,tblAuftraege[Datum
Einnahmen],"&lt;"&amp;EDATE(AA$5,1),tblAuftraege[Kostenstelle],$B33))</f>
        <v/>
      </c>
      <c r="AB33" s="25">
        <f>IF($B33="",0,SUMIFS(tblAuftraege[Kalk.
Einnahmen],tblAuftraege[Datum
Einnahmen],"&gt;="&amp;AB$5,tblAuftraege[Datum
Einnahmen],"&lt;"&amp;EDATE(AB$5,1),tblAuftraege[Kostenstelle],$B33))</f>
        <v/>
      </c>
      <c r="AC33" s="25">
        <f>IF($B33="",0,SUMIFS(tblAuftraege[Kalk.
Einnahmen],tblAuftraege[Datum
Einnahmen],"&gt;="&amp;AC$5,tblAuftraege[Datum
Einnahmen],"&lt;"&amp;EDATE(AC$5,1),tblAuftraege[Kostenstelle],$B33))</f>
        <v/>
      </c>
      <c r="AD33" s="25">
        <f>IF($B33="",0,SUMIFS(tblAuftraege[Kalk.
Einnahmen],tblAuftraege[Datum
Einnahmen],"&gt;="&amp;AD$5,tblAuftraege[Datum
Einnahmen],"&lt;"&amp;EDATE(AD$5,1),tblAuftraege[Kostenstelle],$B33))</f>
        <v/>
      </c>
      <c r="AE33" s="25">
        <f>IF($B33="",0,SUMIFS(tblAuftraege[Kalk.
Einnahmen],tblAuftraege[Datum
Einnahmen],"&gt;="&amp;AE$5,tblAuftraege[Datum
Einnahmen],"&lt;"&amp;EDATE(AE$5,1),tblAuftraege[Kostenstelle],$B33))</f>
        <v/>
      </c>
      <c r="AF33" s="25">
        <f>IF($B33="",0,SUMIFS(tblAuftraege[Kalk.
Einnahmen],tblAuftraege[Datum
Einnahmen],"&gt;="&amp;AF$5,tblAuftraege[Datum
Einnahmen],"&lt;"&amp;EDATE(AF$5,1),tblAuftraege[Kostenstelle],$B33))</f>
        <v/>
      </c>
      <c r="AG33" s="25">
        <f>IF($B33="",0,SUMIFS(tblAuftraege[Kalk.
Einnahmen],tblAuftraege[Datum
Einnahmen],"&gt;="&amp;AG$5,tblAuftraege[Datum
Einnahmen],"&lt;"&amp;EDATE(AG$5,1),tblAuftraege[Kostenstelle],$B33))</f>
        <v/>
      </c>
      <c r="AH33" s="25">
        <f>IF($B33="",0,SUMIFS(tblAuftraege[Kalk.
Einnahmen],tblAuftraege[Datum
Einnahmen],"&gt;="&amp;AH$5,tblAuftraege[Datum
Einnahmen],"&lt;"&amp;EDATE(AH$5,1),tblAuftraege[Kostenstelle],$B33))</f>
        <v/>
      </c>
      <c r="AI33" s="25">
        <f>IF($B33="",0,SUMIFS(tblAuftraege[Kalk.
Einnahmen],tblAuftraege[Datum
Einnahmen],"&gt;="&amp;AI$5,tblAuftraege[Datum
Einnahmen],"&lt;"&amp;EDATE(AI$5,1),tblAuftraege[Kostenstelle],$B33))</f>
        <v/>
      </c>
      <c r="AJ33" s="25">
        <f>IF($B33="",0,SUMIFS(tblAuftraege[Kalk.
Einnahmen],tblAuftraege[Datum
Einnahmen],"&gt;="&amp;AJ$5,tblAuftraege[Datum
Einnahmen],"&lt;"&amp;EDATE(AJ$5,1),tblAuftraege[Kostenstelle],$B33))</f>
        <v/>
      </c>
      <c r="AK33" s="25">
        <f>IF($B33="",0,SUMIFS(tblAuftraege[Kalk.
Einnahmen],tblAuftraege[Datum
Einnahmen],"&gt;="&amp;AK$5,tblAuftraege[Datum
Einnahmen],"&lt;"&amp;EDATE(AK$5,1),tblAuftraege[Kostenstelle],$B33))</f>
        <v/>
      </c>
      <c r="AL33" s="25">
        <f>IF($B33="",0,SUMIFS(tblAuftraege[Kalk.
Einnahmen],tblAuftraege[Datum
Einnahmen],"&gt;="&amp;AL$5,tblAuftraege[Datum
Einnahmen],"&lt;"&amp;EDATE(AL$5,1),tblAuftraege[Kostenstelle],$B33))</f>
        <v/>
      </c>
      <c r="AM33" s="25">
        <f>IF($B33="",0,SUMIFS(tblAuftraege[Kalk.
Einnahmen],tblAuftraege[Datum
Einnahmen],"&gt;="&amp;AM$5,tblAuftraege[Datum
Einnahmen],"&lt;"&amp;EDATE(AM$5,1),tblAuftraege[Kostenstelle],$B33))</f>
        <v/>
      </c>
      <c r="AN33" s="25">
        <f>IF($B33="",0,SUMIFS(tblAuftraege[Kalk.
Einnahmen],tblAuftraege[Datum
Einnahmen],"&gt;="&amp;AN$5,tblAuftraege[Datum
Einnahmen],"&lt;"&amp;EDATE(AN$5,1),tblAuftraege[Kostenstelle],$B33))</f>
        <v/>
      </c>
      <c r="AO33" s="25">
        <f>IF($B33="",0,SUMIFS(tblAuftraege[Kalk.
Einnahmen],tblAuftraege[Datum
Einnahmen],"&gt;="&amp;AO$5,tblAuftraege[Datum
Einnahmen],"&lt;"&amp;EDATE(AO$5,1),tblAuftraege[Kostenstelle],$B33))</f>
        <v/>
      </c>
      <c r="AP33" s="25">
        <f>IF($B33="",0,SUMIFS(tblAuftraege[Kalk.
Einnahmen],tblAuftraege[Datum
Einnahmen],"&gt;="&amp;AP$5,tblAuftraege[Datum
Einnahmen],"&lt;"&amp;EDATE(AP$5,1),tblAuftraege[Kostenstelle],$B33))</f>
        <v/>
      </c>
      <c r="AQ33" s="25">
        <f>IF($B33="",0,SUMIFS(tblAuftraege[Kalk.
Einnahmen],tblAuftraege[Datum
Einnahmen],"&gt;="&amp;AQ$5,tblAuftraege[Datum
Einnahmen],"&lt;"&amp;EDATE(AQ$5,1),tblAuftraege[Kostenstelle],$B33))</f>
        <v/>
      </c>
      <c r="AR33" s="25">
        <f>IF($B33="",0,SUMIFS(tblAuftraege[Kalk.
Einnahmen],tblAuftraege[Datum
Einnahmen],"&gt;="&amp;AR$5,tblAuftraege[Datum
Einnahmen],"&lt;"&amp;EDATE(AR$5,1),tblAuftraege[Kostenstelle],$B33))</f>
        <v/>
      </c>
      <c r="AS33" s="25">
        <f>IF($B33="",0,SUMIFS(tblAuftraege[Kalk.
Einnahmen],tblAuftraege[Datum
Einnahmen],"&gt;="&amp;AS$5,tblAuftraege[Datum
Einnahmen],"&lt;"&amp;EDATE(AS$5,1),tblAuftraege[Kostenstelle],$B33))</f>
        <v/>
      </c>
      <c r="AT33" s="25">
        <f>IF($B33="",0,SUMIFS(tblAuftraege[Kalk.
Einnahmen],tblAuftraege[Datum
Einnahmen],"&gt;="&amp;AT$5,tblAuftraege[Datum
Einnahmen],"&lt;"&amp;EDATE(AT$5,1),tblAuftraege[Kostenstelle],$B33))</f>
        <v/>
      </c>
      <c r="AU33" s="25">
        <f>IF($B33="",0,SUMIFS(tblAuftraege[Kalk.
Einnahmen],tblAuftraege[Datum
Einnahmen],"&gt;="&amp;AU$5,tblAuftraege[Datum
Einnahmen],"&lt;"&amp;EDATE(AU$5,1),tblAuftraege[Kostenstelle],$B33))</f>
        <v/>
      </c>
      <c r="AV33" s="25">
        <f>IF($B33="",0,SUMIFS(tblAuftraege[Kalk.
Einnahmen],tblAuftraege[Datum
Einnahmen],"&gt;="&amp;AV$5,tblAuftraege[Datum
Einnahmen],"&lt;"&amp;EDATE(AV$5,1),tblAuftraege[Kostenstelle],$B33))</f>
        <v/>
      </c>
      <c r="AW33" s="25">
        <f>IF($B33="",0,SUMIFS(tblAuftraege[Kalk.
Einnahmen],tblAuftraege[Datum
Einnahmen],"&gt;="&amp;AW$5,tblAuftraege[Datum
Einnahmen],"&lt;"&amp;EDATE(AW$5,1),tblAuftraege[Kostenstelle],$B33))</f>
        <v/>
      </c>
      <c r="AX33" s="25">
        <f>IF($B33="",0,SUMIFS(tblAuftraege[Kalk.
Einnahmen],tblAuftraege[Datum
Einnahmen],"&gt;="&amp;AX$5,tblAuftraege[Datum
Einnahmen],"&lt;"&amp;EDATE(AX$5,1),tblAuftraege[Kostenstelle],$B33))</f>
        <v/>
      </c>
      <c r="AY33" s="25">
        <f>IF($B33="",0,SUMIFS(tblAuftraege[Kalk.
Einnahmen],tblAuftraege[Datum
Einnahmen],"&gt;="&amp;AY$5,tblAuftraege[Datum
Einnahmen],"&lt;"&amp;EDATE(AY$5,1),tblAuftraege[Kostenstelle],$B33))</f>
        <v/>
      </c>
      <c r="AZ33" s="25">
        <f>IF($B33="",0,SUMIFS(tblAuftraege[Kalk.
Einnahmen],tblAuftraege[Datum
Einnahmen],"&gt;="&amp;AZ$5,tblAuftraege[Datum
Einnahmen],"&lt;"&amp;EDATE(AZ$5,1),tblAuftraege[Kostenstelle],$B33))</f>
        <v/>
      </c>
      <c r="BA33" s="25">
        <f>IF($B33="",0,SUMIFS(tblAuftraege[Kalk.
Einnahmen],tblAuftraege[Datum
Einnahmen],"&gt;="&amp;BA$5,tblAuftraege[Datum
Einnahmen],"&lt;"&amp;EDATE(BA$5,1),tblAuftraege[Kostenstelle],$B33))</f>
        <v/>
      </c>
      <c r="BB33" s="25">
        <f>IF($B33="",0,SUMIFS(tblAuftraege[Kalk.
Einnahmen],tblAuftraege[Datum
Einnahmen],"&gt;="&amp;BB$5,tblAuftraege[Datum
Einnahmen],"&lt;"&amp;EDATE(BB$5,1),tblAuftraege[Kostenstelle],$B33))</f>
        <v/>
      </c>
      <c r="BC33" s="25">
        <f>IF($B33="",0,SUMIFS(tblAuftraege[Kalk.
Einnahmen],tblAuftraege[Datum
Einnahmen],"&gt;="&amp;BC$5,tblAuftraege[Datum
Einnahmen],"&lt;"&amp;EDATE(BC$5,1),tblAuftraege[Kostenstelle],$B33))</f>
        <v/>
      </c>
      <c r="BD33" s="25">
        <f>IF($B33="",0,SUMIFS(tblAuftraege[Kalk.
Einnahmen],tblAuftraege[Datum
Einnahmen],"&gt;="&amp;BD$5,tblAuftraege[Datum
Einnahmen],"&lt;"&amp;EDATE(BD$5,1),tblAuftraege[Kostenstelle],$B33))</f>
        <v/>
      </c>
      <c r="BE33" s="25">
        <f>SUM(C33:H33)</f>
        <v/>
      </c>
      <c r="BF33" s="25">
        <f>SUM(I33:T33)</f>
        <v/>
      </c>
      <c r="BG33" s="25">
        <f>SUM(U33:AF33)</f>
        <v/>
      </c>
      <c r="BH33" s="25">
        <f>SUM(AG33:AR33)</f>
        <v/>
      </c>
      <c r="BI33" s="25">
        <f>SUM(AS33:BD33)</f>
        <v/>
      </c>
      <c r="BJ33" s="25">
        <f>SUM(C33:BD33)</f>
        <v/>
      </c>
    </row>
    <row r="34">
      <c r="A34" s="34" t="n"/>
      <c r="B34" s="49" t="n"/>
      <c r="C34" s="25">
        <f>IF($B34="",0,SUMIFS(tblAuftraege[Kalk.
Einnahmen],tblAuftraege[Datum
Einnahmen],"&gt;="&amp;C$5,tblAuftraege[Datum
Einnahmen],"&lt;"&amp;EDATE(C$5,1),tblAuftraege[Kostenstelle],$B34))</f>
        <v/>
      </c>
      <c r="D34" s="25">
        <f>IF($B34="",0,SUMIFS(tblAuftraege[Kalk.
Einnahmen],tblAuftraege[Datum
Einnahmen],"&gt;="&amp;D$5,tblAuftraege[Datum
Einnahmen],"&lt;"&amp;EDATE(D$5,1),tblAuftraege[Kostenstelle],$B34))</f>
        <v/>
      </c>
      <c r="E34" s="25">
        <f>IF($B34="",0,SUMIFS(tblAuftraege[Kalk.
Einnahmen],tblAuftraege[Datum
Einnahmen],"&gt;="&amp;E$5,tblAuftraege[Datum
Einnahmen],"&lt;"&amp;EDATE(E$5,1),tblAuftraege[Kostenstelle],$B34))</f>
        <v/>
      </c>
      <c r="F34" s="25">
        <f>IF($B34="",0,SUMIFS(tblAuftraege[Kalk.
Einnahmen],tblAuftraege[Datum
Einnahmen],"&gt;="&amp;F$5,tblAuftraege[Datum
Einnahmen],"&lt;"&amp;EDATE(F$5,1),tblAuftraege[Kostenstelle],$B34))</f>
        <v/>
      </c>
      <c r="G34" s="25">
        <f>IF($B34="",0,SUMIFS(tblAuftraege[Kalk.
Einnahmen],tblAuftraege[Datum
Einnahmen],"&gt;="&amp;G$5,tblAuftraege[Datum
Einnahmen],"&lt;"&amp;EDATE(G$5,1),tblAuftraege[Kostenstelle],$B34))</f>
        <v/>
      </c>
      <c r="H34" s="25">
        <f>IF($B34="",0,SUMIFS(tblAuftraege[Kalk.
Einnahmen],tblAuftraege[Datum
Einnahmen],"&gt;="&amp;H$5,tblAuftraege[Datum
Einnahmen],"&lt;"&amp;EDATE(H$5,1),tblAuftraege[Kostenstelle],$B34))</f>
        <v/>
      </c>
      <c r="I34" s="25">
        <f>IF($B34="",0,SUMIFS(tblAuftraege[Kalk.
Einnahmen],tblAuftraege[Datum
Einnahmen],"&gt;="&amp;I$5,tblAuftraege[Datum
Einnahmen],"&lt;"&amp;EDATE(I$5,1),tblAuftraege[Kostenstelle],$B34))</f>
        <v/>
      </c>
      <c r="J34" s="25">
        <f>IF($B34="",0,SUMIFS(tblAuftraege[Kalk.
Einnahmen],tblAuftraege[Datum
Einnahmen],"&gt;="&amp;J$5,tblAuftraege[Datum
Einnahmen],"&lt;"&amp;EDATE(J$5,1),tblAuftraege[Kostenstelle],$B34))</f>
        <v/>
      </c>
      <c r="K34" s="25">
        <f>IF($B34="",0,SUMIFS(tblAuftraege[Kalk.
Einnahmen],tblAuftraege[Datum
Einnahmen],"&gt;="&amp;K$5,tblAuftraege[Datum
Einnahmen],"&lt;"&amp;EDATE(K$5,1),tblAuftraege[Kostenstelle],$B34))</f>
        <v/>
      </c>
      <c r="L34" s="25">
        <f>IF($B34="",0,SUMIFS(tblAuftraege[Kalk.
Einnahmen],tblAuftraege[Datum
Einnahmen],"&gt;="&amp;L$5,tblAuftraege[Datum
Einnahmen],"&lt;"&amp;EDATE(L$5,1),tblAuftraege[Kostenstelle],$B34))</f>
        <v/>
      </c>
      <c r="M34" s="25">
        <f>IF($B34="",0,SUMIFS(tblAuftraege[Kalk.
Einnahmen],tblAuftraege[Datum
Einnahmen],"&gt;="&amp;M$5,tblAuftraege[Datum
Einnahmen],"&lt;"&amp;EDATE(M$5,1),tblAuftraege[Kostenstelle],$B34))</f>
        <v/>
      </c>
      <c r="N34" s="25">
        <f>IF($B34="",0,SUMIFS(tblAuftraege[Kalk.
Einnahmen],tblAuftraege[Datum
Einnahmen],"&gt;="&amp;N$5,tblAuftraege[Datum
Einnahmen],"&lt;"&amp;EDATE(N$5,1),tblAuftraege[Kostenstelle],$B34))</f>
        <v/>
      </c>
      <c r="O34" s="25">
        <f>IF($B34="",0,SUMIFS(tblAuftraege[Kalk.
Einnahmen],tblAuftraege[Datum
Einnahmen],"&gt;="&amp;O$5,tblAuftraege[Datum
Einnahmen],"&lt;"&amp;EDATE(O$5,1),tblAuftraege[Kostenstelle],$B34))</f>
        <v/>
      </c>
      <c r="P34" s="25">
        <f>IF($B34="",0,SUMIFS(tblAuftraege[Kalk.
Einnahmen],tblAuftraege[Datum
Einnahmen],"&gt;="&amp;P$5,tblAuftraege[Datum
Einnahmen],"&lt;"&amp;EDATE(P$5,1),tblAuftraege[Kostenstelle],$B34))</f>
        <v/>
      </c>
      <c r="Q34" s="25">
        <f>IF($B34="",0,SUMIFS(tblAuftraege[Kalk.
Einnahmen],tblAuftraege[Datum
Einnahmen],"&gt;="&amp;Q$5,tblAuftraege[Datum
Einnahmen],"&lt;"&amp;EDATE(Q$5,1),tblAuftraege[Kostenstelle],$B34))</f>
        <v/>
      </c>
      <c r="R34" s="25">
        <f>IF($B34="",0,SUMIFS(tblAuftraege[Kalk.
Einnahmen],tblAuftraege[Datum
Einnahmen],"&gt;="&amp;R$5,tblAuftraege[Datum
Einnahmen],"&lt;"&amp;EDATE(R$5,1),tblAuftraege[Kostenstelle],$B34))</f>
        <v/>
      </c>
      <c r="S34" s="25">
        <f>IF($B34="",0,SUMIFS(tblAuftraege[Kalk.
Einnahmen],tblAuftraege[Datum
Einnahmen],"&gt;="&amp;S$5,tblAuftraege[Datum
Einnahmen],"&lt;"&amp;EDATE(S$5,1),tblAuftraege[Kostenstelle],$B34))</f>
        <v/>
      </c>
      <c r="T34" s="25">
        <f>IF($B34="",0,SUMIFS(tblAuftraege[Kalk.
Einnahmen],tblAuftraege[Datum
Einnahmen],"&gt;="&amp;T$5,tblAuftraege[Datum
Einnahmen],"&lt;"&amp;EDATE(T$5,1),tblAuftraege[Kostenstelle],$B34))</f>
        <v/>
      </c>
      <c r="U34" s="25">
        <f>IF($B34="",0,SUMIFS(tblAuftraege[Kalk.
Einnahmen],tblAuftraege[Datum
Einnahmen],"&gt;="&amp;U$5,tblAuftraege[Datum
Einnahmen],"&lt;"&amp;EDATE(U$5,1),tblAuftraege[Kostenstelle],$B34))</f>
        <v/>
      </c>
      <c r="V34" s="25">
        <f>IF($B34="",0,SUMIFS(tblAuftraege[Kalk.
Einnahmen],tblAuftraege[Datum
Einnahmen],"&gt;="&amp;V$5,tblAuftraege[Datum
Einnahmen],"&lt;"&amp;EDATE(V$5,1),tblAuftraege[Kostenstelle],$B34))</f>
        <v/>
      </c>
      <c r="W34" s="25">
        <f>IF($B34="",0,SUMIFS(tblAuftraege[Kalk.
Einnahmen],tblAuftraege[Datum
Einnahmen],"&gt;="&amp;W$5,tblAuftraege[Datum
Einnahmen],"&lt;"&amp;EDATE(W$5,1),tblAuftraege[Kostenstelle],$B34))</f>
        <v/>
      </c>
      <c r="X34" s="25">
        <f>IF($B34="",0,SUMIFS(tblAuftraege[Kalk.
Einnahmen],tblAuftraege[Datum
Einnahmen],"&gt;="&amp;X$5,tblAuftraege[Datum
Einnahmen],"&lt;"&amp;EDATE(X$5,1),tblAuftraege[Kostenstelle],$B34))</f>
        <v/>
      </c>
      <c r="Y34" s="25">
        <f>IF($B34="",0,SUMIFS(tblAuftraege[Kalk.
Einnahmen],tblAuftraege[Datum
Einnahmen],"&gt;="&amp;Y$5,tblAuftraege[Datum
Einnahmen],"&lt;"&amp;EDATE(Y$5,1),tblAuftraege[Kostenstelle],$B34))</f>
        <v/>
      </c>
      <c r="Z34" s="25">
        <f>IF($B34="",0,SUMIFS(tblAuftraege[Kalk.
Einnahmen],tblAuftraege[Datum
Einnahmen],"&gt;="&amp;Z$5,tblAuftraege[Datum
Einnahmen],"&lt;"&amp;EDATE(Z$5,1),tblAuftraege[Kostenstelle],$B34))</f>
        <v/>
      </c>
      <c r="AA34" s="25">
        <f>IF($B34="",0,SUMIFS(tblAuftraege[Kalk.
Einnahmen],tblAuftraege[Datum
Einnahmen],"&gt;="&amp;AA$5,tblAuftraege[Datum
Einnahmen],"&lt;"&amp;EDATE(AA$5,1),tblAuftraege[Kostenstelle],$B34))</f>
        <v/>
      </c>
      <c r="AB34" s="25">
        <f>IF($B34="",0,SUMIFS(tblAuftraege[Kalk.
Einnahmen],tblAuftraege[Datum
Einnahmen],"&gt;="&amp;AB$5,tblAuftraege[Datum
Einnahmen],"&lt;"&amp;EDATE(AB$5,1),tblAuftraege[Kostenstelle],$B34))</f>
        <v/>
      </c>
      <c r="AC34" s="25">
        <f>IF($B34="",0,SUMIFS(tblAuftraege[Kalk.
Einnahmen],tblAuftraege[Datum
Einnahmen],"&gt;="&amp;AC$5,tblAuftraege[Datum
Einnahmen],"&lt;"&amp;EDATE(AC$5,1),tblAuftraege[Kostenstelle],$B34))</f>
        <v/>
      </c>
      <c r="AD34" s="25">
        <f>IF($B34="",0,SUMIFS(tblAuftraege[Kalk.
Einnahmen],tblAuftraege[Datum
Einnahmen],"&gt;="&amp;AD$5,tblAuftraege[Datum
Einnahmen],"&lt;"&amp;EDATE(AD$5,1),tblAuftraege[Kostenstelle],$B34))</f>
        <v/>
      </c>
      <c r="AE34" s="25">
        <f>IF($B34="",0,SUMIFS(tblAuftraege[Kalk.
Einnahmen],tblAuftraege[Datum
Einnahmen],"&gt;="&amp;AE$5,tblAuftraege[Datum
Einnahmen],"&lt;"&amp;EDATE(AE$5,1),tblAuftraege[Kostenstelle],$B34))</f>
        <v/>
      </c>
      <c r="AF34" s="25">
        <f>IF($B34="",0,SUMIFS(tblAuftraege[Kalk.
Einnahmen],tblAuftraege[Datum
Einnahmen],"&gt;="&amp;AF$5,tblAuftraege[Datum
Einnahmen],"&lt;"&amp;EDATE(AF$5,1),tblAuftraege[Kostenstelle],$B34))</f>
        <v/>
      </c>
      <c r="AG34" s="25">
        <f>IF($B34="",0,SUMIFS(tblAuftraege[Kalk.
Einnahmen],tblAuftraege[Datum
Einnahmen],"&gt;="&amp;AG$5,tblAuftraege[Datum
Einnahmen],"&lt;"&amp;EDATE(AG$5,1),tblAuftraege[Kostenstelle],$B34))</f>
        <v/>
      </c>
      <c r="AH34" s="25">
        <f>IF($B34="",0,SUMIFS(tblAuftraege[Kalk.
Einnahmen],tblAuftraege[Datum
Einnahmen],"&gt;="&amp;AH$5,tblAuftraege[Datum
Einnahmen],"&lt;"&amp;EDATE(AH$5,1),tblAuftraege[Kostenstelle],$B34))</f>
        <v/>
      </c>
      <c r="AI34" s="25">
        <f>IF($B34="",0,SUMIFS(tblAuftraege[Kalk.
Einnahmen],tblAuftraege[Datum
Einnahmen],"&gt;="&amp;AI$5,tblAuftraege[Datum
Einnahmen],"&lt;"&amp;EDATE(AI$5,1),tblAuftraege[Kostenstelle],$B34))</f>
        <v/>
      </c>
      <c r="AJ34" s="25">
        <f>IF($B34="",0,SUMIFS(tblAuftraege[Kalk.
Einnahmen],tblAuftraege[Datum
Einnahmen],"&gt;="&amp;AJ$5,tblAuftraege[Datum
Einnahmen],"&lt;"&amp;EDATE(AJ$5,1),tblAuftraege[Kostenstelle],$B34))</f>
        <v/>
      </c>
      <c r="AK34" s="25">
        <f>IF($B34="",0,SUMIFS(tblAuftraege[Kalk.
Einnahmen],tblAuftraege[Datum
Einnahmen],"&gt;="&amp;AK$5,tblAuftraege[Datum
Einnahmen],"&lt;"&amp;EDATE(AK$5,1),tblAuftraege[Kostenstelle],$B34))</f>
        <v/>
      </c>
      <c r="AL34" s="25">
        <f>IF($B34="",0,SUMIFS(tblAuftraege[Kalk.
Einnahmen],tblAuftraege[Datum
Einnahmen],"&gt;="&amp;AL$5,tblAuftraege[Datum
Einnahmen],"&lt;"&amp;EDATE(AL$5,1),tblAuftraege[Kostenstelle],$B34))</f>
        <v/>
      </c>
      <c r="AM34" s="25">
        <f>IF($B34="",0,SUMIFS(tblAuftraege[Kalk.
Einnahmen],tblAuftraege[Datum
Einnahmen],"&gt;="&amp;AM$5,tblAuftraege[Datum
Einnahmen],"&lt;"&amp;EDATE(AM$5,1),tblAuftraege[Kostenstelle],$B34))</f>
        <v/>
      </c>
      <c r="AN34" s="25">
        <f>IF($B34="",0,SUMIFS(tblAuftraege[Kalk.
Einnahmen],tblAuftraege[Datum
Einnahmen],"&gt;="&amp;AN$5,tblAuftraege[Datum
Einnahmen],"&lt;"&amp;EDATE(AN$5,1),tblAuftraege[Kostenstelle],$B34))</f>
        <v/>
      </c>
      <c r="AO34" s="25">
        <f>IF($B34="",0,SUMIFS(tblAuftraege[Kalk.
Einnahmen],tblAuftraege[Datum
Einnahmen],"&gt;="&amp;AO$5,tblAuftraege[Datum
Einnahmen],"&lt;"&amp;EDATE(AO$5,1),tblAuftraege[Kostenstelle],$B34))</f>
        <v/>
      </c>
      <c r="AP34" s="25">
        <f>IF($B34="",0,SUMIFS(tblAuftraege[Kalk.
Einnahmen],tblAuftraege[Datum
Einnahmen],"&gt;="&amp;AP$5,tblAuftraege[Datum
Einnahmen],"&lt;"&amp;EDATE(AP$5,1),tblAuftraege[Kostenstelle],$B34))</f>
        <v/>
      </c>
      <c r="AQ34" s="25">
        <f>IF($B34="",0,SUMIFS(tblAuftraege[Kalk.
Einnahmen],tblAuftraege[Datum
Einnahmen],"&gt;="&amp;AQ$5,tblAuftraege[Datum
Einnahmen],"&lt;"&amp;EDATE(AQ$5,1),tblAuftraege[Kostenstelle],$B34))</f>
        <v/>
      </c>
      <c r="AR34" s="25">
        <f>IF($B34="",0,SUMIFS(tblAuftraege[Kalk.
Einnahmen],tblAuftraege[Datum
Einnahmen],"&gt;="&amp;AR$5,tblAuftraege[Datum
Einnahmen],"&lt;"&amp;EDATE(AR$5,1),tblAuftraege[Kostenstelle],$B34))</f>
        <v/>
      </c>
      <c r="AS34" s="25">
        <f>IF($B34="",0,SUMIFS(tblAuftraege[Kalk.
Einnahmen],tblAuftraege[Datum
Einnahmen],"&gt;="&amp;AS$5,tblAuftraege[Datum
Einnahmen],"&lt;"&amp;EDATE(AS$5,1),tblAuftraege[Kostenstelle],$B34))</f>
        <v/>
      </c>
      <c r="AT34" s="25">
        <f>IF($B34="",0,SUMIFS(tblAuftraege[Kalk.
Einnahmen],tblAuftraege[Datum
Einnahmen],"&gt;="&amp;AT$5,tblAuftraege[Datum
Einnahmen],"&lt;"&amp;EDATE(AT$5,1),tblAuftraege[Kostenstelle],$B34))</f>
        <v/>
      </c>
      <c r="AU34" s="25">
        <f>IF($B34="",0,SUMIFS(tblAuftraege[Kalk.
Einnahmen],tblAuftraege[Datum
Einnahmen],"&gt;="&amp;AU$5,tblAuftraege[Datum
Einnahmen],"&lt;"&amp;EDATE(AU$5,1),tblAuftraege[Kostenstelle],$B34))</f>
        <v/>
      </c>
      <c r="AV34" s="25">
        <f>IF($B34="",0,SUMIFS(tblAuftraege[Kalk.
Einnahmen],tblAuftraege[Datum
Einnahmen],"&gt;="&amp;AV$5,tblAuftraege[Datum
Einnahmen],"&lt;"&amp;EDATE(AV$5,1),tblAuftraege[Kostenstelle],$B34))</f>
        <v/>
      </c>
      <c r="AW34" s="25">
        <f>IF($B34="",0,SUMIFS(tblAuftraege[Kalk.
Einnahmen],tblAuftraege[Datum
Einnahmen],"&gt;="&amp;AW$5,tblAuftraege[Datum
Einnahmen],"&lt;"&amp;EDATE(AW$5,1),tblAuftraege[Kostenstelle],$B34))</f>
        <v/>
      </c>
      <c r="AX34" s="25">
        <f>IF($B34="",0,SUMIFS(tblAuftraege[Kalk.
Einnahmen],tblAuftraege[Datum
Einnahmen],"&gt;="&amp;AX$5,tblAuftraege[Datum
Einnahmen],"&lt;"&amp;EDATE(AX$5,1),tblAuftraege[Kostenstelle],$B34))</f>
        <v/>
      </c>
      <c r="AY34" s="25">
        <f>IF($B34="",0,SUMIFS(tblAuftraege[Kalk.
Einnahmen],tblAuftraege[Datum
Einnahmen],"&gt;="&amp;AY$5,tblAuftraege[Datum
Einnahmen],"&lt;"&amp;EDATE(AY$5,1),tblAuftraege[Kostenstelle],$B34))</f>
        <v/>
      </c>
      <c r="AZ34" s="25">
        <f>IF($B34="",0,SUMIFS(tblAuftraege[Kalk.
Einnahmen],tblAuftraege[Datum
Einnahmen],"&gt;="&amp;AZ$5,tblAuftraege[Datum
Einnahmen],"&lt;"&amp;EDATE(AZ$5,1),tblAuftraege[Kostenstelle],$B34))</f>
        <v/>
      </c>
      <c r="BA34" s="25">
        <f>IF($B34="",0,SUMIFS(tblAuftraege[Kalk.
Einnahmen],tblAuftraege[Datum
Einnahmen],"&gt;="&amp;BA$5,tblAuftraege[Datum
Einnahmen],"&lt;"&amp;EDATE(BA$5,1),tblAuftraege[Kostenstelle],$B34))</f>
        <v/>
      </c>
      <c r="BB34" s="25">
        <f>IF($B34="",0,SUMIFS(tblAuftraege[Kalk.
Einnahmen],tblAuftraege[Datum
Einnahmen],"&gt;="&amp;BB$5,tblAuftraege[Datum
Einnahmen],"&lt;"&amp;EDATE(BB$5,1),tblAuftraege[Kostenstelle],$B34))</f>
        <v/>
      </c>
      <c r="BC34" s="25">
        <f>IF($B34="",0,SUMIFS(tblAuftraege[Kalk.
Einnahmen],tblAuftraege[Datum
Einnahmen],"&gt;="&amp;BC$5,tblAuftraege[Datum
Einnahmen],"&lt;"&amp;EDATE(BC$5,1),tblAuftraege[Kostenstelle],$B34))</f>
        <v/>
      </c>
      <c r="BD34" s="25">
        <f>IF($B34="",0,SUMIFS(tblAuftraege[Kalk.
Einnahmen],tblAuftraege[Datum
Einnahmen],"&gt;="&amp;BD$5,tblAuftraege[Datum
Einnahmen],"&lt;"&amp;EDATE(BD$5,1),tblAuftraege[Kostenstelle],$B34))</f>
        <v/>
      </c>
      <c r="BE34" s="25">
        <f>SUM(C34:H34)</f>
        <v/>
      </c>
      <c r="BF34" s="25">
        <f>SUM(I34:T34)</f>
        <v/>
      </c>
      <c r="BG34" s="25">
        <f>SUM(U34:AF34)</f>
        <v/>
      </c>
      <c r="BH34" s="25">
        <f>SUM(AG34:AR34)</f>
        <v/>
      </c>
      <c r="BI34" s="25">
        <f>SUM(AS34:BD34)</f>
        <v/>
      </c>
      <c r="BJ34" s="25">
        <f>SUM(C34:BD34)</f>
        <v/>
      </c>
    </row>
    <row r="35">
      <c r="A35" s="34" t="n"/>
      <c r="B35" s="49" t="n"/>
      <c r="C35" s="25">
        <f>IF($B35="",0,SUMIFS(tblAuftraege[Kalk.
Einnahmen],tblAuftraege[Datum
Einnahmen],"&gt;="&amp;C$5,tblAuftraege[Datum
Einnahmen],"&lt;"&amp;EDATE(C$5,1),tblAuftraege[Kostenstelle],$B35))</f>
        <v/>
      </c>
      <c r="D35" s="25">
        <f>IF($B35="",0,SUMIFS(tblAuftraege[Kalk.
Einnahmen],tblAuftraege[Datum
Einnahmen],"&gt;="&amp;D$5,tblAuftraege[Datum
Einnahmen],"&lt;"&amp;EDATE(D$5,1),tblAuftraege[Kostenstelle],$B35))</f>
        <v/>
      </c>
      <c r="E35" s="25">
        <f>IF($B35="",0,SUMIFS(tblAuftraege[Kalk.
Einnahmen],tblAuftraege[Datum
Einnahmen],"&gt;="&amp;E$5,tblAuftraege[Datum
Einnahmen],"&lt;"&amp;EDATE(E$5,1),tblAuftraege[Kostenstelle],$B35))</f>
        <v/>
      </c>
      <c r="F35" s="25">
        <f>IF($B35="",0,SUMIFS(tblAuftraege[Kalk.
Einnahmen],tblAuftraege[Datum
Einnahmen],"&gt;="&amp;F$5,tblAuftraege[Datum
Einnahmen],"&lt;"&amp;EDATE(F$5,1),tblAuftraege[Kostenstelle],$B35))</f>
        <v/>
      </c>
      <c r="G35" s="25">
        <f>IF($B35="",0,SUMIFS(tblAuftraege[Kalk.
Einnahmen],tblAuftraege[Datum
Einnahmen],"&gt;="&amp;G$5,tblAuftraege[Datum
Einnahmen],"&lt;"&amp;EDATE(G$5,1),tblAuftraege[Kostenstelle],$B35))</f>
        <v/>
      </c>
      <c r="H35" s="25">
        <f>IF($B35="",0,SUMIFS(tblAuftraege[Kalk.
Einnahmen],tblAuftraege[Datum
Einnahmen],"&gt;="&amp;H$5,tblAuftraege[Datum
Einnahmen],"&lt;"&amp;EDATE(H$5,1),tblAuftraege[Kostenstelle],$B35))</f>
        <v/>
      </c>
      <c r="I35" s="25">
        <f>IF($B35="",0,SUMIFS(tblAuftraege[Kalk.
Einnahmen],tblAuftraege[Datum
Einnahmen],"&gt;="&amp;I$5,tblAuftraege[Datum
Einnahmen],"&lt;"&amp;EDATE(I$5,1),tblAuftraege[Kostenstelle],$B35))</f>
        <v/>
      </c>
      <c r="J35" s="25">
        <f>IF($B35="",0,SUMIFS(tblAuftraege[Kalk.
Einnahmen],tblAuftraege[Datum
Einnahmen],"&gt;="&amp;J$5,tblAuftraege[Datum
Einnahmen],"&lt;"&amp;EDATE(J$5,1),tblAuftraege[Kostenstelle],$B35))</f>
        <v/>
      </c>
      <c r="K35" s="25">
        <f>IF($B35="",0,SUMIFS(tblAuftraege[Kalk.
Einnahmen],tblAuftraege[Datum
Einnahmen],"&gt;="&amp;K$5,tblAuftraege[Datum
Einnahmen],"&lt;"&amp;EDATE(K$5,1),tblAuftraege[Kostenstelle],$B35))</f>
        <v/>
      </c>
      <c r="L35" s="25">
        <f>IF($B35="",0,SUMIFS(tblAuftraege[Kalk.
Einnahmen],tblAuftraege[Datum
Einnahmen],"&gt;="&amp;L$5,tblAuftraege[Datum
Einnahmen],"&lt;"&amp;EDATE(L$5,1),tblAuftraege[Kostenstelle],$B35))</f>
        <v/>
      </c>
      <c r="M35" s="25">
        <f>IF($B35="",0,SUMIFS(tblAuftraege[Kalk.
Einnahmen],tblAuftraege[Datum
Einnahmen],"&gt;="&amp;M$5,tblAuftraege[Datum
Einnahmen],"&lt;"&amp;EDATE(M$5,1),tblAuftraege[Kostenstelle],$B35))</f>
        <v/>
      </c>
      <c r="N35" s="25">
        <f>IF($B35="",0,SUMIFS(tblAuftraege[Kalk.
Einnahmen],tblAuftraege[Datum
Einnahmen],"&gt;="&amp;N$5,tblAuftraege[Datum
Einnahmen],"&lt;"&amp;EDATE(N$5,1),tblAuftraege[Kostenstelle],$B35))</f>
        <v/>
      </c>
      <c r="O35" s="25">
        <f>IF($B35="",0,SUMIFS(tblAuftraege[Kalk.
Einnahmen],tblAuftraege[Datum
Einnahmen],"&gt;="&amp;O$5,tblAuftraege[Datum
Einnahmen],"&lt;"&amp;EDATE(O$5,1),tblAuftraege[Kostenstelle],$B35))</f>
        <v/>
      </c>
      <c r="P35" s="25">
        <f>IF($B35="",0,SUMIFS(tblAuftraege[Kalk.
Einnahmen],tblAuftraege[Datum
Einnahmen],"&gt;="&amp;P$5,tblAuftraege[Datum
Einnahmen],"&lt;"&amp;EDATE(P$5,1),tblAuftraege[Kostenstelle],$B35))</f>
        <v/>
      </c>
      <c r="Q35" s="25">
        <f>IF($B35="",0,SUMIFS(tblAuftraege[Kalk.
Einnahmen],tblAuftraege[Datum
Einnahmen],"&gt;="&amp;Q$5,tblAuftraege[Datum
Einnahmen],"&lt;"&amp;EDATE(Q$5,1),tblAuftraege[Kostenstelle],$B35))</f>
        <v/>
      </c>
      <c r="R35" s="25">
        <f>IF($B35="",0,SUMIFS(tblAuftraege[Kalk.
Einnahmen],tblAuftraege[Datum
Einnahmen],"&gt;="&amp;R$5,tblAuftraege[Datum
Einnahmen],"&lt;"&amp;EDATE(R$5,1),tblAuftraege[Kostenstelle],$B35))</f>
        <v/>
      </c>
      <c r="S35" s="25">
        <f>IF($B35="",0,SUMIFS(tblAuftraege[Kalk.
Einnahmen],tblAuftraege[Datum
Einnahmen],"&gt;="&amp;S$5,tblAuftraege[Datum
Einnahmen],"&lt;"&amp;EDATE(S$5,1),tblAuftraege[Kostenstelle],$B35))</f>
        <v/>
      </c>
      <c r="T35" s="25">
        <f>IF($B35="",0,SUMIFS(tblAuftraege[Kalk.
Einnahmen],tblAuftraege[Datum
Einnahmen],"&gt;="&amp;T$5,tblAuftraege[Datum
Einnahmen],"&lt;"&amp;EDATE(T$5,1),tblAuftraege[Kostenstelle],$B35))</f>
        <v/>
      </c>
      <c r="U35" s="25">
        <f>IF($B35="",0,SUMIFS(tblAuftraege[Kalk.
Einnahmen],tblAuftraege[Datum
Einnahmen],"&gt;="&amp;U$5,tblAuftraege[Datum
Einnahmen],"&lt;"&amp;EDATE(U$5,1),tblAuftraege[Kostenstelle],$B35))</f>
        <v/>
      </c>
      <c r="V35" s="25">
        <f>IF($B35="",0,SUMIFS(tblAuftraege[Kalk.
Einnahmen],tblAuftraege[Datum
Einnahmen],"&gt;="&amp;V$5,tblAuftraege[Datum
Einnahmen],"&lt;"&amp;EDATE(V$5,1),tblAuftraege[Kostenstelle],$B35))</f>
        <v/>
      </c>
      <c r="W35" s="25">
        <f>IF($B35="",0,SUMIFS(tblAuftraege[Kalk.
Einnahmen],tblAuftraege[Datum
Einnahmen],"&gt;="&amp;W$5,tblAuftraege[Datum
Einnahmen],"&lt;"&amp;EDATE(W$5,1),tblAuftraege[Kostenstelle],$B35))</f>
        <v/>
      </c>
      <c r="X35" s="25">
        <f>IF($B35="",0,SUMIFS(tblAuftraege[Kalk.
Einnahmen],tblAuftraege[Datum
Einnahmen],"&gt;="&amp;X$5,tblAuftraege[Datum
Einnahmen],"&lt;"&amp;EDATE(X$5,1),tblAuftraege[Kostenstelle],$B35))</f>
        <v/>
      </c>
      <c r="Y35" s="25">
        <f>IF($B35="",0,SUMIFS(tblAuftraege[Kalk.
Einnahmen],tblAuftraege[Datum
Einnahmen],"&gt;="&amp;Y$5,tblAuftraege[Datum
Einnahmen],"&lt;"&amp;EDATE(Y$5,1),tblAuftraege[Kostenstelle],$B35))</f>
        <v/>
      </c>
      <c r="Z35" s="25">
        <f>IF($B35="",0,SUMIFS(tblAuftraege[Kalk.
Einnahmen],tblAuftraege[Datum
Einnahmen],"&gt;="&amp;Z$5,tblAuftraege[Datum
Einnahmen],"&lt;"&amp;EDATE(Z$5,1),tblAuftraege[Kostenstelle],$B35))</f>
        <v/>
      </c>
      <c r="AA35" s="25">
        <f>IF($B35="",0,SUMIFS(tblAuftraege[Kalk.
Einnahmen],tblAuftraege[Datum
Einnahmen],"&gt;="&amp;AA$5,tblAuftraege[Datum
Einnahmen],"&lt;"&amp;EDATE(AA$5,1),tblAuftraege[Kostenstelle],$B35))</f>
        <v/>
      </c>
      <c r="AB35" s="25">
        <f>IF($B35="",0,SUMIFS(tblAuftraege[Kalk.
Einnahmen],tblAuftraege[Datum
Einnahmen],"&gt;="&amp;AB$5,tblAuftraege[Datum
Einnahmen],"&lt;"&amp;EDATE(AB$5,1),tblAuftraege[Kostenstelle],$B35))</f>
        <v/>
      </c>
      <c r="AC35" s="25">
        <f>IF($B35="",0,SUMIFS(tblAuftraege[Kalk.
Einnahmen],tblAuftraege[Datum
Einnahmen],"&gt;="&amp;AC$5,tblAuftraege[Datum
Einnahmen],"&lt;"&amp;EDATE(AC$5,1),tblAuftraege[Kostenstelle],$B35))</f>
        <v/>
      </c>
      <c r="AD35" s="25">
        <f>IF($B35="",0,SUMIFS(tblAuftraege[Kalk.
Einnahmen],tblAuftraege[Datum
Einnahmen],"&gt;="&amp;AD$5,tblAuftraege[Datum
Einnahmen],"&lt;"&amp;EDATE(AD$5,1),tblAuftraege[Kostenstelle],$B35))</f>
        <v/>
      </c>
      <c r="AE35" s="25">
        <f>IF($B35="",0,SUMIFS(tblAuftraege[Kalk.
Einnahmen],tblAuftraege[Datum
Einnahmen],"&gt;="&amp;AE$5,tblAuftraege[Datum
Einnahmen],"&lt;"&amp;EDATE(AE$5,1),tblAuftraege[Kostenstelle],$B35))</f>
        <v/>
      </c>
      <c r="AF35" s="25">
        <f>IF($B35="",0,SUMIFS(tblAuftraege[Kalk.
Einnahmen],tblAuftraege[Datum
Einnahmen],"&gt;="&amp;AF$5,tblAuftraege[Datum
Einnahmen],"&lt;"&amp;EDATE(AF$5,1),tblAuftraege[Kostenstelle],$B35))</f>
        <v/>
      </c>
      <c r="AG35" s="25">
        <f>IF($B35="",0,SUMIFS(tblAuftraege[Kalk.
Einnahmen],tblAuftraege[Datum
Einnahmen],"&gt;="&amp;AG$5,tblAuftraege[Datum
Einnahmen],"&lt;"&amp;EDATE(AG$5,1),tblAuftraege[Kostenstelle],$B35))</f>
        <v/>
      </c>
      <c r="AH35" s="25">
        <f>IF($B35="",0,SUMIFS(tblAuftraege[Kalk.
Einnahmen],tblAuftraege[Datum
Einnahmen],"&gt;="&amp;AH$5,tblAuftraege[Datum
Einnahmen],"&lt;"&amp;EDATE(AH$5,1),tblAuftraege[Kostenstelle],$B35))</f>
        <v/>
      </c>
      <c r="AI35" s="25">
        <f>IF($B35="",0,SUMIFS(tblAuftraege[Kalk.
Einnahmen],tblAuftraege[Datum
Einnahmen],"&gt;="&amp;AI$5,tblAuftraege[Datum
Einnahmen],"&lt;"&amp;EDATE(AI$5,1),tblAuftraege[Kostenstelle],$B35))</f>
        <v/>
      </c>
      <c r="AJ35" s="25">
        <f>IF($B35="",0,SUMIFS(tblAuftraege[Kalk.
Einnahmen],tblAuftraege[Datum
Einnahmen],"&gt;="&amp;AJ$5,tblAuftraege[Datum
Einnahmen],"&lt;"&amp;EDATE(AJ$5,1),tblAuftraege[Kostenstelle],$B35))</f>
        <v/>
      </c>
      <c r="AK35" s="25">
        <f>IF($B35="",0,SUMIFS(tblAuftraege[Kalk.
Einnahmen],tblAuftraege[Datum
Einnahmen],"&gt;="&amp;AK$5,tblAuftraege[Datum
Einnahmen],"&lt;"&amp;EDATE(AK$5,1),tblAuftraege[Kostenstelle],$B35))</f>
        <v/>
      </c>
      <c r="AL35" s="25">
        <f>IF($B35="",0,SUMIFS(tblAuftraege[Kalk.
Einnahmen],tblAuftraege[Datum
Einnahmen],"&gt;="&amp;AL$5,tblAuftraege[Datum
Einnahmen],"&lt;"&amp;EDATE(AL$5,1),tblAuftraege[Kostenstelle],$B35))</f>
        <v/>
      </c>
      <c r="AM35" s="25">
        <f>IF($B35="",0,SUMIFS(tblAuftraege[Kalk.
Einnahmen],tblAuftraege[Datum
Einnahmen],"&gt;="&amp;AM$5,tblAuftraege[Datum
Einnahmen],"&lt;"&amp;EDATE(AM$5,1),tblAuftraege[Kostenstelle],$B35))</f>
        <v/>
      </c>
      <c r="AN35" s="25">
        <f>IF($B35="",0,SUMIFS(tblAuftraege[Kalk.
Einnahmen],tblAuftraege[Datum
Einnahmen],"&gt;="&amp;AN$5,tblAuftraege[Datum
Einnahmen],"&lt;"&amp;EDATE(AN$5,1),tblAuftraege[Kostenstelle],$B35))</f>
        <v/>
      </c>
      <c r="AO35" s="25">
        <f>IF($B35="",0,SUMIFS(tblAuftraege[Kalk.
Einnahmen],tblAuftraege[Datum
Einnahmen],"&gt;="&amp;AO$5,tblAuftraege[Datum
Einnahmen],"&lt;"&amp;EDATE(AO$5,1),tblAuftraege[Kostenstelle],$B35))</f>
        <v/>
      </c>
      <c r="AP35" s="25">
        <f>IF($B35="",0,SUMIFS(tblAuftraege[Kalk.
Einnahmen],tblAuftraege[Datum
Einnahmen],"&gt;="&amp;AP$5,tblAuftraege[Datum
Einnahmen],"&lt;"&amp;EDATE(AP$5,1),tblAuftraege[Kostenstelle],$B35))</f>
        <v/>
      </c>
      <c r="AQ35" s="25">
        <f>IF($B35="",0,SUMIFS(tblAuftraege[Kalk.
Einnahmen],tblAuftraege[Datum
Einnahmen],"&gt;="&amp;AQ$5,tblAuftraege[Datum
Einnahmen],"&lt;"&amp;EDATE(AQ$5,1),tblAuftraege[Kostenstelle],$B35))</f>
        <v/>
      </c>
      <c r="AR35" s="25">
        <f>IF($B35="",0,SUMIFS(tblAuftraege[Kalk.
Einnahmen],tblAuftraege[Datum
Einnahmen],"&gt;="&amp;AR$5,tblAuftraege[Datum
Einnahmen],"&lt;"&amp;EDATE(AR$5,1),tblAuftraege[Kostenstelle],$B35))</f>
        <v/>
      </c>
      <c r="AS35" s="25">
        <f>IF($B35="",0,SUMIFS(tblAuftraege[Kalk.
Einnahmen],tblAuftraege[Datum
Einnahmen],"&gt;="&amp;AS$5,tblAuftraege[Datum
Einnahmen],"&lt;"&amp;EDATE(AS$5,1),tblAuftraege[Kostenstelle],$B35))</f>
        <v/>
      </c>
      <c r="AT35" s="25">
        <f>IF($B35="",0,SUMIFS(tblAuftraege[Kalk.
Einnahmen],tblAuftraege[Datum
Einnahmen],"&gt;="&amp;AT$5,tblAuftraege[Datum
Einnahmen],"&lt;"&amp;EDATE(AT$5,1),tblAuftraege[Kostenstelle],$B35))</f>
        <v/>
      </c>
      <c r="AU35" s="25">
        <f>IF($B35="",0,SUMIFS(tblAuftraege[Kalk.
Einnahmen],tblAuftraege[Datum
Einnahmen],"&gt;="&amp;AU$5,tblAuftraege[Datum
Einnahmen],"&lt;"&amp;EDATE(AU$5,1),tblAuftraege[Kostenstelle],$B35))</f>
        <v/>
      </c>
      <c r="AV35" s="25">
        <f>IF($B35="",0,SUMIFS(tblAuftraege[Kalk.
Einnahmen],tblAuftraege[Datum
Einnahmen],"&gt;="&amp;AV$5,tblAuftraege[Datum
Einnahmen],"&lt;"&amp;EDATE(AV$5,1),tblAuftraege[Kostenstelle],$B35))</f>
        <v/>
      </c>
      <c r="AW35" s="25">
        <f>IF($B35="",0,SUMIFS(tblAuftraege[Kalk.
Einnahmen],tblAuftraege[Datum
Einnahmen],"&gt;="&amp;AW$5,tblAuftraege[Datum
Einnahmen],"&lt;"&amp;EDATE(AW$5,1),tblAuftraege[Kostenstelle],$B35))</f>
        <v/>
      </c>
      <c r="AX35" s="25">
        <f>IF($B35="",0,SUMIFS(tblAuftraege[Kalk.
Einnahmen],tblAuftraege[Datum
Einnahmen],"&gt;="&amp;AX$5,tblAuftraege[Datum
Einnahmen],"&lt;"&amp;EDATE(AX$5,1),tblAuftraege[Kostenstelle],$B35))</f>
        <v/>
      </c>
      <c r="AY35" s="25">
        <f>IF($B35="",0,SUMIFS(tblAuftraege[Kalk.
Einnahmen],tblAuftraege[Datum
Einnahmen],"&gt;="&amp;AY$5,tblAuftraege[Datum
Einnahmen],"&lt;"&amp;EDATE(AY$5,1),tblAuftraege[Kostenstelle],$B35))</f>
        <v/>
      </c>
      <c r="AZ35" s="25">
        <f>IF($B35="",0,SUMIFS(tblAuftraege[Kalk.
Einnahmen],tblAuftraege[Datum
Einnahmen],"&gt;="&amp;AZ$5,tblAuftraege[Datum
Einnahmen],"&lt;"&amp;EDATE(AZ$5,1),tblAuftraege[Kostenstelle],$B35))</f>
        <v/>
      </c>
      <c r="BA35" s="25">
        <f>IF($B35="",0,SUMIFS(tblAuftraege[Kalk.
Einnahmen],tblAuftraege[Datum
Einnahmen],"&gt;="&amp;BA$5,tblAuftraege[Datum
Einnahmen],"&lt;"&amp;EDATE(BA$5,1),tblAuftraege[Kostenstelle],$B35))</f>
        <v/>
      </c>
      <c r="BB35" s="25">
        <f>IF($B35="",0,SUMIFS(tblAuftraege[Kalk.
Einnahmen],tblAuftraege[Datum
Einnahmen],"&gt;="&amp;BB$5,tblAuftraege[Datum
Einnahmen],"&lt;"&amp;EDATE(BB$5,1),tblAuftraege[Kostenstelle],$B35))</f>
        <v/>
      </c>
      <c r="BC35" s="25">
        <f>IF($B35="",0,SUMIFS(tblAuftraege[Kalk.
Einnahmen],tblAuftraege[Datum
Einnahmen],"&gt;="&amp;BC$5,tblAuftraege[Datum
Einnahmen],"&lt;"&amp;EDATE(BC$5,1),tblAuftraege[Kostenstelle],$B35))</f>
        <v/>
      </c>
      <c r="BD35" s="25">
        <f>IF($B35="",0,SUMIFS(tblAuftraege[Kalk.
Einnahmen],tblAuftraege[Datum
Einnahmen],"&gt;="&amp;BD$5,tblAuftraege[Datum
Einnahmen],"&lt;"&amp;EDATE(BD$5,1),tblAuftraege[Kostenstelle],$B35))</f>
        <v/>
      </c>
      <c r="BE35" s="25">
        <f>SUM(C35:H35)</f>
        <v/>
      </c>
      <c r="BF35" s="25">
        <f>SUM(I35:T35)</f>
        <v/>
      </c>
      <c r="BG35" s="25">
        <f>SUM(U35:AF35)</f>
        <v/>
      </c>
      <c r="BH35" s="25">
        <f>SUM(AG35:AR35)</f>
        <v/>
      </c>
      <c r="BI35" s="25">
        <f>SUM(AS35:BD35)</f>
        <v/>
      </c>
      <c r="BJ35" s="25">
        <f>SUM(C35:BD35)</f>
        <v/>
      </c>
    </row>
    <row r="36">
      <c r="A36" s="34" t="n"/>
      <c r="B36" s="49" t="n"/>
      <c r="C36" s="25">
        <f>IF($B36="",0,SUMIFS(tblAuftraege[Kalk.
Einnahmen],tblAuftraege[Datum
Einnahmen],"&gt;="&amp;C$5,tblAuftraege[Datum
Einnahmen],"&lt;"&amp;EDATE(C$5,1),tblAuftraege[Kostenstelle],$B36))</f>
        <v/>
      </c>
      <c r="D36" s="25">
        <f>IF($B36="",0,SUMIFS(tblAuftraege[Kalk.
Einnahmen],tblAuftraege[Datum
Einnahmen],"&gt;="&amp;D$5,tblAuftraege[Datum
Einnahmen],"&lt;"&amp;EDATE(D$5,1),tblAuftraege[Kostenstelle],$B36))</f>
        <v/>
      </c>
      <c r="E36" s="25">
        <f>IF($B36="",0,SUMIFS(tblAuftraege[Kalk.
Einnahmen],tblAuftraege[Datum
Einnahmen],"&gt;="&amp;E$5,tblAuftraege[Datum
Einnahmen],"&lt;"&amp;EDATE(E$5,1),tblAuftraege[Kostenstelle],$B36))</f>
        <v/>
      </c>
      <c r="F36" s="25">
        <f>IF($B36="",0,SUMIFS(tblAuftraege[Kalk.
Einnahmen],tblAuftraege[Datum
Einnahmen],"&gt;="&amp;F$5,tblAuftraege[Datum
Einnahmen],"&lt;"&amp;EDATE(F$5,1),tblAuftraege[Kostenstelle],$B36))</f>
        <v/>
      </c>
      <c r="G36" s="25">
        <f>IF($B36="",0,SUMIFS(tblAuftraege[Kalk.
Einnahmen],tblAuftraege[Datum
Einnahmen],"&gt;="&amp;G$5,tblAuftraege[Datum
Einnahmen],"&lt;"&amp;EDATE(G$5,1),tblAuftraege[Kostenstelle],$B36))</f>
        <v/>
      </c>
      <c r="H36" s="25">
        <f>IF($B36="",0,SUMIFS(tblAuftraege[Kalk.
Einnahmen],tblAuftraege[Datum
Einnahmen],"&gt;="&amp;H$5,tblAuftraege[Datum
Einnahmen],"&lt;"&amp;EDATE(H$5,1),tblAuftraege[Kostenstelle],$B36))</f>
        <v/>
      </c>
      <c r="I36" s="25">
        <f>IF($B36="",0,SUMIFS(tblAuftraege[Kalk.
Einnahmen],tblAuftraege[Datum
Einnahmen],"&gt;="&amp;I$5,tblAuftraege[Datum
Einnahmen],"&lt;"&amp;EDATE(I$5,1),tblAuftraege[Kostenstelle],$B36))</f>
        <v/>
      </c>
      <c r="J36" s="25">
        <f>IF($B36="",0,SUMIFS(tblAuftraege[Kalk.
Einnahmen],tblAuftraege[Datum
Einnahmen],"&gt;="&amp;J$5,tblAuftraege[Datum
Einnahmen],"&lt;"&amp;EDATE(J$5,1),tblAuftraege[Kostenstelle],$B36))</f>
        <v/>
      </c>
      <c r="K36" s="25">
        <f>IF($B36="",0,SUMIFS(tblAuftraege[Kalk.
Einnahmen],tblAuftraege[Datum
Einnahmen],"&gt;="&amp;K$5,tblAuftraege[Datum
Einnahmen],"&lt;"&amp;EDATE(K$5,1),tblAuftraege[Kostenstelle],$B36))</f>
        <v/>
      </c>
      <c r="L36" s="25">
        <f>IF($B36="",0,SUMIFS(tblAuftraege[Kalk.
Einnahmen],tblAuftraege[Datum
Einnahmen],"&gt;="&amp;L$5,tblAuftraege[Datum
Einnahmen],"&lt;"&amp;EDATE(L$5,1),tblAuftraege[Kostenstelle],$B36))</f>
        <v/>
      </c>
      <c r="M36" s="25">
        <f>IF($B36="",0,SUMIFS(tblAuftraege[Kalk.
Einnahmen],tblAuftraege[Datum
Einnahmen],"&gt;="&amp;M$5,tblAuftraege[Datum
Einnahmen],"&lt;"&amp;EDATE(M$5,1),tblAuftraege[Kostenstelle],$B36))</f>
        <v/>
      </c>
      <c r="N36" s="25">
        <f>IF($B36="",0,SUMIFS(tblAuftraege[Kalk.
Einnahmen],tblAuftraege[Datum
Einnahmen],"&gt;="&amp;N$5,tblAuftraege[Datum
Einnahmen],"&lt;"&amp;EDATE(N$5,1),tblAuftraege[Kostenstelle],$B36))</f>
        <v/>
      </c>
      <c r="O36" s="25">
        <f>IF($B36="",0,SUMIFS(tblAuftraege[Kalk.
Einnahmen],tblAuftraege[Datum
Einnahmen],"&gt;="&amp;O$5,tblAuftraege[Datum
Einnahmen],"&lt;"&amp;EDATE(O$5,1),tblAuftraege[Kostenstelle],$B36))</f>
        <v/>
      </c>
      <c r="P36" s="25">
        <f>IF($B36="",0,SUMIFS(tblAuftraege[Kalk.
Einnahmen],tblAuftraege[Datum
Einnahmen],"&gt;="&amp;P$5,tblAuftraege[Datum
Einnahmen],"&lt;"&amp;EDATE(P$5,1),tblAuftraege[Kostenstelle],$B36))</f>
        <v/>
      </c>
      <c r="Q36" s="25">
        <f>IF($B36="",0,SUMIFS(tblAuftraege[Kalk.
Einnahmen],tblAuftraege[Datum
Einnahmen],"&gt;="&amp;Q$5,tblAuftraege[Datum
Einnahmen],"&lt;"&amp;EDATE(Q$5,1),tblAuftraege[Kostenstelle],$B36))</f>
        <v/>
      </c>
      <c r="R36" s="25">
        <f>IF($B36="",0,SUMIFS(tblAuftraege[Kalk.
Einnahmen],tblAuftraege[Datum
Einnahmen],"&gt;="&amp;R$5,tblAuftraege[Datum
Einnahmen],"&lt;"&amp;EDATE(R$5,1),tblAuftraege[Kostenstelle],$B36))</f>
        <v/>
      </c>
      <c r="S36" s="25">
        <f>IF($B36="",0,SUMIFS(tblAuftraege[Kalk.
Einnahmen],tblAuftraege[Datum
Einnahmen],"&gt;="&amp;S$5,tblAuftraege[Datum
Einnahmen],"&lt;"&amp;EDATE(S$5,1),tblAuftraege[Kostenstelle],$B36))</f>
        <v/>
      </c>
      <c r="T36" s="25">
        <f>IF($B36="",0,SUMIFS(tblAuftraege[Kalk.
Einnahmen],tblAuftraege[Datum
Einnahmen],"&gt;="&amp;T$5,tblAuftraege[Datum
Einnahmen],"&lt;"&amp;EDATE(T$5,1),tblAuftraege[Kostenstelle],$B36))</f>
        <v/>
      </c>
      <c r="U36" s="25">
        <f>IF($B36="",0,SUMIFS(tblAuftraege[Kalk.
Einnahmen],tblAuftraege[Datum
Einnahmen],"&gt;="&amp;U$5,tblAuftraege[Datum
Einnahmen],"&lt;"&amp;EDATE(U$5,1),tblAuftraege[Kostenstelle],$B36))</f>
        <v/>
      </c>
      <c r="V36" s="25">
        <f>IF($B36="",0,SUMIFS(tblAuftraege[Kalk.
Einnahmen],tblAuftraege[Datum
Einnahmen],"&gt;="&amp;V$5,tblAuftraege[Datum
Einnahmen],"&lt;"&amp;EDATE(V$5,1),tblAuftraege[Kostenstelle],$B36))</f>
        <v/>
      </c>
      <c r="W36" s="25">
        <f>IF($B36="",0,SUMIFS(tblAuftraege[Kalk.
Einnahmen],tblAuftraege[Datum
Einnahmen],"&gt;="&amp;W$5,tblAuftraege[Datum
Einnahmen],"&lt;"&amp;EDATE(W$5,1),tblAuftraege[Kostenstelle],$B36))</f>
        <v/>
      </c>
      <c r="X36" s="25">
        <f>IF($B36="",0,SUMIFS(tblAuftraege[Kalk.
Einnahmen],tblAuftraege[Datum
Einnahmen],"&gt;="&amp;X$5,tblAuftraege[Datum
Einnahmen],"&lt;"&amp;EDATE(X$5,1),tblAuftraege[Kostenstelle],$B36))</f>
        <v/>
      </c>
      <c r="Y36" s="25">
        <f>IF($B36="",0,SUMIFS(tblAuftraege[Kalk.
Einnahmen],tblAuftraege[Datum
Einnahmen],"&gt;="&amp;Y$5,tblAuftraege[Datum
Einnahmen],"&lt;"&amp;EDATE(Y$5,1),tblAuftraege[Kostenstelle],$B36))</f>
        <v/>
      </c>
      <c r="Z36" s="25">
        <f>IF($B36="",0,SUMIFS(tblAuftraege[Kalk.
Einnahmen],tblAuftraege[Datum
Einnahmen],"&gt;="&amp;Z$5,tblAuftraege[Datum
Einnahmen],"&lt;"&amp;EDATE(Z$5,1),tblAuftraege[Kostenstelle],$B36))</f>
        <v/>
      </c>
      <c r="AA36" s="25">
        <f>IF($B36="",0,SUMIFS(tblAuftraege[Kalk.
Einnahmen],tblAuftraege[Datum
Einnahmen],"&gt;="&amp;AA$5,tblAuftraege[Datum
Einnahmen],"&lt;"&amp;EDATE(AA$5,1),tblAuftraege[Kostenstelle],$B36))</f>
        <v/>
      </c>
      <c r="AB36" s="25">
        <f>IF($B36="",0,SUMIFS(tblAuftraege[Kalk.
Einnahmen],tblAuftraege[Datum
Einnahmen],"&gt;="&amp;AB$5,tblAuftraege[Datum
Einnahmen],"&lt;"&amp;EDATE(AB$5,1),tblAuftraege[Kostenstelle],$B36))</f>
        <v/>
      </c>
      <c r="AC36" s="25">
        <f>IF($B36="",0,SUMIFS(tblAuftraege[Kalk.
Einnahmen],tblAuftraege[Datum
Einnahmen],"&gt;="&amp;AC$5,tblAuftraege[Datum
Einnahmen],"&lt;"&amp;EDATE(AC$5,1),tblAuftraege[Kostenstelle],$B36))</f>
        <v/>
      </c>
      <c r="AD36" s="25">
        <f>IF($B36="",0,SUMIFS(tblAuftraege[Kalk.
Einnahmen],tblAuftraege[Datum
Einnahmen],"&gt;="&amp;AD$5,tblAuftraege[Datum
Einnahmen],"&lt;"&amp;EDATE(AD$5,1),tblAuftraege[Kostenstelle],$B36))</f>
        <v/>
      </c>
      <c r="AE36" s="25">
        <f>IF($B36="",0,SUMIFS(tblAuftraege[Kalk.
Einnahmen],tblAuftraege[Datum
Einnahmen],"&gt;="&amp;AE$5,tblAuftraege[Datum
Einnahmen],"&lt;"&amp;EDATE(AE$5,1),tblAuftraege[Kostenstelle],$B36))</f>
        <v/>
      </c>
      <c r="AF36" s="25">
        <f>IF($B36="",0,SUMIFS(tblAuftraege[Kalk.
Einnahmen],tblAuftraege[Datum
Einnahmen],"&gt;="&amp;AF$5,tblAuftraege[Datum
Einnahmen],"&lt;"&amp;EDATE(AF$5,1),tblAuftraege[Kostenstelle],$B36))</f>
        <v/>
      </c>
      <c r="AG36" s="25">
        <f>IF($B36="",0,SUMIFS(tblAuftraege[Kalk.
Einnahmen],tblAuftraege[Datum
Einnahmen],"&gt;="&amp;AG$5,tblAuftraege[Datum
Einnahmen],"&lt;"&amp;EDATE(AG$5,1),tblAuftraege[Kostenstelle],$B36))</f>
        <v/>
      </c>
      <c r="AH36" s="25">
        <f>IF($B36="",0,SUMIFS(tblAuftraege[Kalk.
Einnahmen],tblAuftraege[Datum
Einnahmen],"&gt;="&amp;AH$5,tblAuftraege[Datum
Einnahmen],"&lt;"&amp;EDATE(AH$5,1),tblAuftraege[Kostenstelle],$B36))</f>
        <v/>
      </c>
      <c r="AI36" s="25">
        <f>IF($B36="",0,SUMIFS(tblAuftraege[Kalk.
Einnahmen],tblAuftraege[Datum
Einnahmen],"&gt;="&amp;AI$5,tblAuftraege[Datum
Einnahmen],"&lt;"&amp;EDATE(AI$5,1),tblAuftraege[Kostenstelle],$B36))</f>
        <v/>
      </c>
      <c r="AJ36" s="25">
        <f>IF($B36="",0,SUMIFS(tblAuftraege[Kalk.
Einnahmen],tblAuftraege[Datum
Einnahmen],"&gt;="&amp;AJ$5,tblAuftraege[Datum
Einnahmen],"&lt;"&amp;EDATE(AJ$5,1),tblAuftraege[Kostenstelle],$B36))</f>
        <v/>
      </c>
      <c r="AK36" s="25">
        <f>IF($B36="",0,SUMIFS(tblAuftraege[Kalk.
Einnahmen],tblAuftraege[Datum
Einnahmen],"&gt;="&amp;AK$5,tblAuftraege[Datum
Einnahmen],"&lt;"&amp;EDATE(AK$5,1),tblAuftraege[Kostenstelle],$B36))</f>
        <v/>
      </c>
      <c r="AL36" s="25">
        <f>IF($B36="",0,SUMIFS(tblAuftraege[Kalk.
Einnahmen],tblAuftraege[Datum
Einnahmen],"&gt;="&amp;AL$5,tblAuftraege[Datum
Einnahmen],"&lt;"&amp;EDATE(AL$5,1),tblAuftraege[Kostenstelle],$B36))</f>
        <v/>
      </c>
      <c r="AM36" s="25">
        <f>IF($B36="",0,SUMIFS(tblAuftraege[Kalk.
Einnahmen],tblAuftraege[Datum
Einnahmen],"&gt;="&amp;AM$5,tblAuftraege[Datum
Einnahmen],"&lt;"&amp;EDATE(AM$5,1),tblAuftraege[Kostenstelle],$B36))</f>
        <v/>
      </c>
      <c r="AN36" s="25">
        <f>IF($B36="",0,SUMIFS(tblAuftraege[Kalk.
Einnahmen],tblAuftraege[Datum
Einnahmen],"&gt;="&amp;AN$5,tblAuftraege[Datum
Einnahmen],"&lt;"&amp;EDATE(AN$5,1),tblAuftraege[Kostenstelle],$B36))</f>
        <v/>
      </c>
      <c r="AO36" s="25">
        <f>IF($B36="",0,SUMIFS(tblAuftraege[Kalk.
Einnahmen],tblAuftraege[Datum
Einnahmen],"&gt;="&amp;AO$5,tblAuftraege[Datum
Einnahmen],"&lt;"&amp;EDATE(AO$5,1),tblAuftraege[Kostenstelle],$B36))</f>
        <v/>
      </c>
      <c r="AP36" s="25">
        <f>IF($B36="",0,SUMIFS(tblAuftraege[Kalk.
Einnahmen],tblAuftraege[Datum
Einnahmen],"&gt;="&amp;AP$5,tblAuftraege[Datum
Einnahmen],"&lt;"&amp;EDATE(AP$5,1),tblAuftraege[Kostenstelle],$B36))</f>
        <v/>
      </c>
      <c r="AQ36" s="25">
        <f>IF($B36="",0,SUMIFS(tblAuftraege[Kalk.
Einnahmen],tblAuftraege[Datum
Einnahmen],"&gt;="&amp;AQ$5,tblAuftraege[Datum
Einnahmen],"&lt;"&amp;EDATE(AQ$5,1),tblAuftraege[Kostenstelle],$B36))</f>
        <v/>
      </c>
      <c r="AR36" s="25">
        <f>IF($B36="",0,SUMIFS(tblAuftraege[Kalk.
Einnahmen],tblAuftraege[Datum
Einnahmen],"&gt;="&amp;AR$5,tblAuftraege[Datum
Einnahmen],"&lt;"&amp;EDATE(AR$5,1),tblAuftraege[Kostenstelle],$B36))</f>
        <v/>
      </c>
      <c r="AS36" s="25">
        <f>IF($B36="",0,SUMIFS(tblAuftraege[Kalk.
Einnahmen],tblAuftraege[Datum
Einnahmen],"&gt;="&amp;AS$5,tblAuftraege[Datum
Einnahmen],"&lt;"&amp;EDATE(AS$5,1),tblAuftraege[Kostenstelle],$B36))</f>
        <v/>
      </c>
      <c r="AT36" s="25">
        <f>IF($B36="",0,SUMIFS(tblAuftraege[Kalk.
Einnahmen],tblAuftraege[Datum
Einnahmen],"&gt;="&amp;AT$5,tblAuftraege[Datum
Einnahmen],"&lt;"&amp;EDATE(AT$5,1),tblAuftraege[Kostenstelle],$B36))</f>
        <v/>
      </c>
      <c r="AU36" s="25">
        <f>IF($B36="",0,SUMIFS(tblAuftraege[Kalk.
Einnahmen],tblAuftraege[Datum
Einnahmen],"&gt;="&amp;AU$5,tblAuftraege[Datum
Einnahmen],"&lt;"&amp;EDATE(AU$5,1),tblAuftraege[Kostenstelle],$B36))</f>
        <v/>
      </c>
      <c r="AV36" s="25">
        <f>IF($B36="",0,SUMIFS(tblAuftraege[Kalk.
Einnahmen],tblAuftraege[Datum
Einnahmen],"&gt;="&amp;AV$5,tblAuftraege[Datum
Einnahmen],"&lt;"&amp;EDATE(AV$5,1),tblAuftraege[Kostenstelle],$B36))</f>
        <v/>
      </c>
      <c r="AW36" s="25">
        <f>IF($B36="",0,SUMIFS(tblAuftraege[Kalk.
Einnahmen],tblAuftraege[Datum
Einnahmen],"&gt;="&amp;AW$5,tblAuftraege[Datum
Einnahmen],"&lt;"&amp;EDATE(AW$5,1),tblAuftraege[Kostenstelle],$B36))</f>
        <v/>
      </c>
      <c r="AX36" s="25">
        <f>IF($B36="",0,SUMIFS(tblAuftraege[Kalk.
Einnahmen],tblAuftraege[Datum
Einnahmen],"&gt;="&amp;AX$5,tblAuftraege[Datum
Einnahmen],"&lt;"&amp;EDATE(AX$5,1),tblAuftraege[Kostenstelle],$B36))</f>
        <v/>
      </c>
      <c r="AY36" s="25">
        <f>IF($B36="",0,SUMIFS(tblAuftraege[Kalk.
Einnahmen],tblAuftraege[Datum
Einnahmen],"&gt;="&amp;AY$5,tblAuftraege[Datum
Einnahmen],"&lt;"&amp;EDATE(AY$5,1),tblAuftraege[Kostenstelle],$B36))</f>
        <v/>
      </c>
      <c r="AZ36" s="25">
        <f>IF($B36="",0,SUMIFS(tblAuftraege[Kalk.
Einnahmen],tblAuftraege[Datum
Einnahmen],"&gt;="&amp;AZ$5,tblAuftraege[Datum
Einnahmen],"&lt;"&amp;EDATE(AZ$5,1),tblAuftraege[Kostenstelle],$B36))</f>
        <v/>
      </c>
      <c r="BA36" s="25">
        <f>IF($B36="",0,SUMIFS(tblAuftraege[Kalk.
Einnahmen],tblAuftraege[Datum
Einnahmen],"&gt;="&amp;BA$5,tblAuftraege[Datum
Einnahmen],"&lt;"&amp;EDATE(BA$5,1),tblAuftraege[Kostenstelle],$B36))</f>
        <v/>
      </c>
      <c r="BB36" s="25">
        <f>IF($B36="",0,SUMIFS(tblAuftraege[Kalk.
Einnahmen],tblAuftraege[Datum
Einnahmen],"&gt;="&amp;BB$5,tblAuftraege[Datum
Einnahmen],"&lt;"&amp;EDATE(BB$5,1),tblAuftraege[Kostenstelle],$B36))</f>
        <v/>
      </c>
      <c r="BC36" s="25">
        <f>IF($B36="",0,SUMIFS(tblAuftraege[Kalk.
Einnahmen],tblAuftraege[Datum
Einnahmen],"&gt;="&amp;BC$5,tblAuftraege[Datum
Einnahmen],"&lt;"&amp;EDATE(BC$5,1),tblAuftraege[Kostenstelle],$B36))</f>
        <v/>
      </c>
      <c r="BD36" s="25">
        <f>IF($B36="",0,SUMIFS(tblAuftraege[Kalk.
Einnahmen],tblAuftraege[Datum
Einnahmen],"&gt;="&amp;BD$5,tblAuftraege[Datum
Einnahmen],"&lt;"&amp;EDATE(BD$5,1),tblAuftraege[Kostenstelle],$B36))</f>
        <v/>
      </c>
      <c r="BE36" s="25">
        <f>SUM(C36:H36)</f>
        <v/>
      </c>
      <c r="BF36" s="25">
        <f>SUM(I36:T36)</f>
        <v/>
      </c>
      <c r="BG36" s="25">
        <f>SUM(U36:AF36)</f>
        <v/>
      </c>
      <c r="BH36" s="25">
        <f>SUM(AG36:AR36)</f>
        <v/>
      </c>
      <c r="BI36" s="25">
        <f>SUM(AS36:BD36)</f>
        <v/>
      </c>
      <c r="BJ36" s="25">
        <f>SUM(C36:BD36)</f>
        <v/>
      </c>
    </row>
    <row r="37">
      <c r="A37" s="34" t="n"/>
      <c r="B37" s="49" t="n"/>
      <c r="C37" s="25">
        <f>IF($B37="",0,SUMIFS(tblAuftraege[Kalk.
Einnahmen],tblAuftraege[Datum
Einnahmen],"&gt;="&amp;C$5,tblAuftraege[Datum
Einnahmen],"&lt;"&amp;EDATE(C$5,1),tblAuftraege[Kostenstelle],$B37))</f>
        <v/>
      </c>
      <c r="D37" s="25">
        <f>IF($B37="",0,SUMIFS(tblAuftraege[Kalk.
Einnahmen],tblAuftraege[Datum
Einnahmen],"&gt;="&amp;D$5,tblAuftraege[Datum
Einnahmen],"&lt;"&amp;EDATE(D$5,1),tblAuftraege[Kostenstelle],$B37))</f>
        <v/>
      </c>
      <c r="E37" s="25">
        <f>IF($B37="",0,SUMIFS(tblAuftraege[Kalk.
Einnahmen],tblAuftraege[Datum
Einnahmen],"&gt;="&amp;E$5,tblAuftraege[Datum
Einnahmen],"&lt;"&amp;EDATE(E$5,1),tblAuftraege[Kostenstelle],$B37))</f>
        <v/>
      </c>
      <c r="F37" s="25">
        <f>IF($B37="",0,SUMIFS(tblAuftraege[Kalk.
Einnahmen],tblAuftraege[Datum
Einnahmen],"&gt;="&amp;F$5,tblAuftraege[Datum
Einnahmen],"&lt;"&amp;EDATE(F$5,1),tblAuftraege[Kostenstelle],$B37))</f>
        <v/>
      </c>
      <c r="G37" s="25">
        <f>IF($B37="",0,SUMIFS(tblAuftraege[Kalk.
Einnahmen],tblAuftraege[Datum
Einnahmen],"&gt;="&amp;G$5,tblAuftraege[Datum
Einnahmen],"&lt;"&amp;EDATE(G$5,1),tblAuftraege[Kostenstelle],$B37))</f>
        <v/>
      </c>
      <c r="H37" s="25">
        <f>IF($B37="",0,SUMIFS(tblAuftraege[Kalk.
Einnahmen],tblAuftraege[Datum
Einnahmen],"&gt;="&amp;H$5,tblAuftraege[Datum
Einnahmen],"&lt;"&amp;EDATE(H$5,1),tblAuftraege[Kostenstelle],$B37))</f>
        <v/>
      </c>
      <c r="I37" s="25">
        <f>IF($B37="",0,SUMIFS(tblAuftraege[Kalk.
Einnahmen],tblAuftraege[Datum
Einnahmen],"&gt;="&amp;I$5,tblAuftraege[Datum
Einnahmen],"&lt;"&amp;EDATE(I$5,1),tblAuftraege[Kostenstelle],$B37))</f>
        <v/>
      </c>
      <c r="J37" s="25">
        <f>IF($B37="",0,SUMIFS(tblAuftraege[Kalk.
Einnahmen],tblAuftraege[Datum
Einnahmen],"&gt;="&amp;J$5,tblAuftraege[Datum
Einnahmen],"&lt;"&amp;EDATE(J$5,1),tblAuftraege[Kostenstelle],$B37))</f>
        <v/>
      </c>
      <c r="K37" s="25">
        <f>IF($B37="",0,SUMIFS(tblAuftraege[Kalk.
Einnahmen],tblAuftraege[Datum
Einnahmen],"&gt;="&amp;K$5,tblAuftraege[Datum
Einnahmen],"&lt;"&amp;EDATE(K$5,1),tblAuftraege[Kostenstelle],$B37))</f>
        <v/>
      </c>
      <c r="L37" s="25">
        <f>IF($B37="",0,SUMIFS(tblAuftraege[Kalk.
Einnahmen],tblAuftraege[Datum
Einnahmen],"&gt;="&amp;L$5,tblAuftraege[Datum
Einnahmen],"&lt;"&amp;EDATE(L$5,1),tblAuftraege[Kostenstelle],$B37))</f>
        <v/>
      </c>
      <c r="M37" s="25">
        <f>IF($B37="",0,SUMIFS(tblAuftraege[Kalk.
Einnahmen],tblAuftraege[Datum
Einnahmen],"&gt;="&amp;M$5,tblAuftraege[Datum
Einnahmen],"&lt;"&amp;EDATE(M$5,1),tblAuftraege[Kostenstelle],$B37))</f>
        <v/>
      </c>
      <c r="N37" s="25">
        <f>IF($B37="",0,SUMIFS(tblAuftraege[Kalk.
Einnahmen],tblAuftraege[Datum
Einnahmen],"&gt;="&amp;N$5,tblAuftraege[Datum
Einnahmen],"&lt;"&amp;EDATE(N$5,1),tblAuftraege[Kostenstelle],$B37))</f>
        <v/>
      </c>
      <c r="O37" s="25">
        <f>IF($B37="",0,SUMIFS(tblAuftraege[Kalk.
Einnahmen],tblAuftraege[Datum
Einnahmen],"&gt;="&amp;O$5,tblAuftraege[Datum
Einnahmen],"&lt;"&amp;EDATE(O$5,1),tblAuftraege[Kostenstelle],$B37))</f>
        <v/>
      </c>
      <c r="P37" s="25">
        <f>IF($B37="",0,SUMIFS(tblAuftraege[Kalk.
Einnahmen],tblAuftraege[Datum
Einnahmen],"&gt;="&amp;P$5,tblAuftraege[Datum
Einnahmen],"&lt;"&amp;EDATE(P$5,1),tblAuftraege[Kostenstelle],$B37))</f>
        <v/>
      </c>
      <c r="Q37" s="25">
        <f>IF($B37="",0,SUMIFS(tblAuftraege[Kalk.
Einnahmen],tblAuftraege[Datum
Einnahmen],"&gt;="&amp;Q$5,tblAuftraege[Datum
Einnahmen],"&lt;"&amp;EDATE(Q$5,1),tblAuftraege[Kostenstelle],$B37))</f>
        <v/>
      </c>
      <c r="R37" s="25">
        <f>IF($B37="",0,SUMIFS(tblAuftraege[Kalk.
Einnahmen],tblAuftraege[Datum
Einnahmen],"&gt;="&amp;R$5,tblAuftraege[Datum
Einnahmen],"&lt;"&amp;EDATE(R$5,1),tblAuftraege[Kostenstelle],$B37))</f>
        <v/>
      </c>
      <c r="S37" s="25">
        <f>IF($B37="",0,SUMIFS(tblAuftraege[Kalk.
Einnahmen],tblAuftraege[Datum
Einnahmen],"&gt;="&amp;S$5,tblAuftraege[Datum
Einnahmen],"&lt;"&amp;EDATE(S$5,1),tblAuftraege[Kostenstelle],$B37))</f>
        <v/>
      </c>
      <c r="T37" s="25">
        <f>IF($B37="",0,SUMIFS(tblAuftraege[Kalk.
Einnahmen],tblAuftraege[Datum
Einnahmen],"&gt;="&amp;T$5,tblAuftraege[Datum
Einnahmen],"&lt;"&amp;EDATE(T$5,1),tblAuftraege[Kostenstelle],$B37))</f>
        <v/>
      </c>
      <c r="U37" s="25">
        <f>IF($B37="",0,SUMIFS(tblAuftraege[Kalk.
Einnahmen],tblAuftraege[Datum
Einnahmen],"&gt;="&amp;U$5,tblAuftraege[Datum
Einnahmen],"&lt;"&amp;EDATE(U$5,1),tblAuftraege[Kostenstelle],$B37))</f>
        <v/>
      </c>
      <c r="V37" s="25">
        <f>IF($B37="",0,SUMIFS(tblAuftraege[Kalk.
Einnahmen],tblAuftraege[Datum
Einnahmen],"&gt;="&amp;V$5,tblAuftraege[Datum
Einnahmen],"&lt;"&amp;EDATE(V$5,1),tblAuftraege[Kostenstelle],$B37))</f>
        <v/>
      </c>
      <c r="W37" s="25">
        <f>IF($B37="",0,SUMIFS(tblAuftraege[Kalk.
Einnahmen],tblAuftraege[Datum
Einnahmen],"&gt;="&amp;W$5,tblAuftraege[Datum
Einnahmen],"&lt;"&amp;EDATE(W$5,1),tblAuftraege[Kostenstelle],$B37))</f>
        <v/>
      </c>
      <c r="X37" s="25">
        <f>IF($B37="",0,SUMIFS(tblAuftraege[Kalk.
Einnahmen],tblAuftraege[Datum
Einnahmen],"&gt;="&amp;X$5,tblAuftraege[Datum
Einnahmen],"&lt;"&amp;EDATE(X$5,1),tblAuftraege[Kostenstelle],$B37))</f>
        <v/>
      </c>
      <c r="Y37" s="25">
        <f>IF($B37="",0,SUMIFS(tblAuftraege[Kalk.
Einnahmen],tblAuftraege[Datum
Einnahmen],"&gt;="&amp;Y$5,tblAuftraege[Datum
Einnahmen],"&lt;"&amp;EDATE(Y$5,1),tblAuftraege[Kostenstelle],$B37))</f>
        <v/>
      </c>
      <c r="Z37" s="25">
        <f>IF($B37="",0,SUMIFS(tblAuftraege[Kalk.
Einnahmen],tblAuftraege[Datum
Einnahmen],"&gt;="&amp;Z$5,tblAuftraege[Datum
Einnahmen],"&lt;"&amp;EDATE(Z$5,1),tblAuftraege[Kostenstelle],$B37))</f>
        <v/>
      </c>
      <c r="AA37" s="25">
        <f>IF($B37="",0,SUMIFS(tblAuftraege[Kalk.
Einnahmen],tblAuftraege[Datum
Einnahmen],"&gt;="&amp;AA$5,tblAuftraege[Datum
Einnahmen],"&lt;"&amp;EDATE(AA$5,1),tblAuftraege[Kostenstelle],$B37))</f>
        <v/>
      </c>
      <c r="AB37" s="25">
        <f>IF($B37="",0,SUMIFS(tblAuftraege[Kalk.
Einnahmen],tblAuftraege[Datum
Einnahmen],"&gt;="&amp;AB$5,tblAuftraege[Datum
Einnahmen],"&lt;"&amp;EDATE(AB$5,1),tblAuftraege[Kostenstelle],$B37))</f>
        <v/>
      </c>
      <c r="AC37" s="25">
        <f>IF($B37="",0,SUMIFS(tblAuftraege[Kalk.
Einnahmen],tblAuftraege[Datum
Einnahmen],"&gt;="&amp;AC$5,tblAuftraege[Datum
Einnahmen],"&lt;"&amp;EDATE(AC$5,1),tblAuftraege[Kostenstelle],$B37))</f>
        <v/>
      </c>
      <c r="AD37" s="25">
        <f>IF($B37="",0,SUMIFS(tblAuftraege[Kalk.
Einnahmen],tblAuftraege[Datum
Einnahmen],"&gt;="&amp;AD$5,tblAuftraege[Datum
Einnahmen],"&lt;"&amp;EDATE(AD$5,1),tblAuftraege[Kostenstelle],$B37))</f>
        <v/>
      </c>
      <c r="AE37" s="25">
        <f>IF($B37="",0,SUMIFS(tblAuftraege[Kalk.
Einnahmen],tblAuftraege[Datum
Einnahmen],"&gt;="&amp;AE$5,tblAuftraege[Datum
Einnahmen],"&lt;"&amp;EDATE(AE$5,1),tblAuftraege[Kostenstelle],$B37))</f>
        <v/>
      </c>
      <c r="AF37" s="25">
        <f>IF($B37="",0,SUMIFS(tblAuftraege[Kalk.
Einnahmen],tblAuftraege[Datum
Einnahmen],"&gt;="&amp;AF$5,tblAuftraege[Datum
Einnahmen],"&lt;"&amp;EDATE(AF$5,1),tblAuftraege[Kostenstelle],$B37))</f>
        <v/>
      </c>
      <c r="AG37" s="25">
        <f>IF($B37="",0,SUMIFS(tblAuftraege[Kalk.
Einnahmen],tblAuftraege[Datum
Einnahmen],"&gt;="&amp;AG$5,tblAuftraege[Datum
Einnahmen],"&lt;"&amp;EDATE(AG$5,1),tblAuftraege[Kostenstelle],$B37))</f>
        <v/>
      </c>
      <c r="AH37" s="25">
        <f>IF($B37="",0,SUMIFS(tblAuftraege[Kalk.
Einnahmen],tblAuftraege[Datum
Einnahmen],"&gt;="&amp;AH$5,tblAuftraege[Datum
Einnahmen],"&lt;"&amp;EDATE(AH$5,1),tblAuftraege[Kostenstelle],$B37))</f>
        <v/>
      </c>
      <c r="AI37" s="25">
        <f>IF($B37="",0,SUMIFS(tblAuftraege[Kalk.
Einnahmen],tblAuftraege[Datum
Einnahmen],"&gt;="&amp;AI$5,tblAuftraege[Datum
Einnahmen],"&lt;"&amp;EDATE(AI$5,1),tblAuftraege[Kostenstelle],$B37))</f>
        <v/>
      </c>
      <c r="AJ37" s="25">
        <f>IF($B37="",0,SUMIFS(tblAuftraege[Kalk.
Einnahmen],tblAuftraege[Datum
Einnahmen],"&gt;="&amp;AJ$5,tblAuftraege[Datum
Einnahmen],"&lt;"&amp;EDATE(AJ$5,1),tblAuftraege[Kostenstelle],$B37))</f>
        <v/>
      </c>
      <c r="AK37" s="25">
        <f>IF($B37="",0,SUMIFS(tblAuftraege[Kalk.
Einnahmen],tblAuftraege[Datum
Einnahmen],"&gt;="&amp;AK$5,tblAuftraege[Datum
Einnahmen],"&lt;"&amp;EDATE(AK$5,1),tblAuftraege[Kostenstelle],$B37))</f>
        <v/>
      </c>
      <c r="AL37" s="25">
        <f>IF($B37="",0,SUMIFS(tblAuftraege[Kalk.
Einnahmen],tblAuftraege[Datum
Einnahmen],"&gt;="&amp;AL$5,tblAuftraege[Datum
Einnahmen],"&lt;"&amp;EDATE(AL$5,1),tblAuftraege[Kostenstelle],$B37))</f>
        <v/>
      </c>
      <c r="AM37" s="25">
        <f>IF($B37="",0,SUMIFS(tblAuftraege[Kalk.
Einnahmen],tblAuftraege[Datum
Einnahmen],"&gt;="&amp;AM$5,tblAuftraege[Datum
Einnahmen],"&lt;"&amp;EDATE(AM$5,1),tblAuftraege[Kostenstelle],$B37))</f>
        <v/>
      </c>
      <c r="AN37" s="25">
        <f>IF($B37="",0,SUMIFS(tblAuftraege[Kalk.
Einnahmen],tblAuftraege[Datum
Einnahmen],"&gt;="&amp;AN$5,tblAuftraege[Datum
Einnahmen],"&lt;"&amp;EDATE(AN$5,1),tblAuftraege[Kostenstelle],$B37))</f>
        <v/>
      </c>
      <c r="AO37" s="25">
        <f>IF($B37="",0,SUMIFS(tblAuftraege[Kalk.
Einnahmen],tblAuftraege[Datum
Einnahmen],"&gt;="&amp;AO$5,tblAuftraege[Datum
Einnahmen],"&lt;"&amp;EDATE(AO$5,1),tblAuftraege[Kostenstelle],$B37))</f>
        <v/>
      </c>
      <c r="AP37" s="25">
        <f>IF($B37="",0,SUMIFS(tblAuftraege[Kalk.
Einnahmen],tblAuftraege[Datum
Einnahmen],"&gt;="&amp;AP$5,tblAuftraege[Datum
Einnahmen],"&lt;"&amp;EDATE(AP$5,1),tblAuftraege[Kostenstelle],$B37))</f>
        <v/>
      </c>
      <c r="AQ37" s="25">
        <f>IF($B37="",0,SUMIFS(tblAuftraege[Kalk.
Einnahmen],tblAuftraege[Datum
Einnahmen],"&gt;="&amp;AQ$5,tblAuftraege[Datum
Einnahmen],"&lt;"&amp;EDATE(AQ$5,1),tblAuftraege[Kostenstelle],$B37))</f>
        <v/>
      </c>
      <c r="AR37" s="25">
        <f>IF($B37="",0,SUMIFS(tblAuftraege[Kalk.
Einnahmen],tblAuftraege[Datum
Einnahmen],"&gt;="&amp;AR$5,tblAuftraege[Datum
Einnahmen],"&lt;"&amp;EDATE(AR$5,1),tblAuftraege[Kostenstelle],$B37))</f>
        <v/>
      </c>
      <c r="AS37" s="25">
        <f>IF($B37="",0,SUMIFS(tblAuftraege[Kalk.
Einnahmen],tblAuftraege[Datum
Einnahmen],"&gt;="&amp;AS$5,tblAuftraege[Datum
Einnahmen],"&lt;"&amp;EDATE(AS$5,1),tblAuftraege[Kostenstelle],$B37))</f>
        <v/>
      </c>
      <c r="AT37" s="25">
        <f>IF($B37="",0,SUMIFS(tblAuftraege[Kalk.
Einnahmen],tblAuftraege[Datum
Einnahmen],"&gt;="&amp;AT$5,tblAuftraege[Datum
Einnahmen],"&lt;"&amp;EDATE(AT$5,1),tblAuftraege[Kostenstelle],$B37))</f>
        <v/>
      </c>
      <c r="AU37" s="25">
        <f>IF($B37="",0,SUMIFS(tblAuftraege[Kalk.
Einnahmen],tblAuftraege[Datum
Einnahmen],"&gt;="&amp;AU$5,tblAuftraege[Datum
Einnahmen],"&lt;"&amp;EDATE(AU$5,1),tblAuftraege[Kostenstelle],$B37))</f>
        <v/>
      </c>
      <c r="AV37" s="25">
        <f>IF($B37="",0,SUMIFS(tblAuftraege[Kalk.
Einnahmen],tblAuftraege[Datum
Einnahmen],"&gt;="&amp;AV$5,tblAuftraege[Datum
Einnahmen],"&lt;"&amp;EDATE(AV$5,1),tblAuftraege[Kostenstelle],$B37))</f>
        <v/>
      </c>
      <c r="AW37" s="25">
        <f>IF($B37="",0,SUMIFS(tblAuftraege[Kalk.
Einnahmen],tblAuftraege[Datum
Einnahmen],"&gt;="&amp;AW$5,tblAuftraege[Datum
Einnahmen],"&lt;"&amp;EDATE(AW$5,1),tblAuftraege[Kostenstelle],$B37))</f>
        <v/>
      </c>
      <c r="AX37" s="25">
        <f>IF($B37="",0,SUMIFS(tblAuftraege[Kalk.
Einnahmen],tblAuftraege[Datum
Einnahmen],"&gt;="&amp;AX$5,tblAuftraege[Datum
Einnahmen],"&lt;"&amp;EDATE(AX$5,1),tblAuftraege[Kostenstelle],$B37))</f>
        <v/>
      </c>
      <c r="AY37" s="25">
        <f>IF($B37="",0,SUMIFS(tblAuftraege[Kalk.
Einnahmen],tblAuftraege[Datum
Einnahmen],"&gt;="&amp;AY$5,tblAuftraege[Datum
Einnahmen],"&lt;"&amp;EDATE(AY$5,1),tblAuftraege[Kostenstelle],$B37))</f>
        <v/>
      </c>
      <c r="AZ37" s="25">
        <f>IF($B37="",0,SUMIFS(tblAuftraege[Kalk.
Einnahmen],tblAuftraege[Datum
Einnahmen],"&gt;="&amp;AZ$5,tblAuftraege[Datum
Einnahmen],"&lt;"&amp;EDATE(AZ$5,1),tblAuftraege[Kostenstelle],$B37))</f>
        <v/>
      </c>
      <c r="BA37" s="25">
        <f>IF($B37="",0,SUMIFS(tblAuftraege[Kalk.
Einnahmen],tblAuftraege[Datum
Einnahmen],"&gt;="&amp;BA$5,tblAuftraege[Datum
Einnahmen],"&lt;"&amp;EDATE(BA$5,1),tblAuftraege[Kostenstelle],$B37))</f>
        <v/>
      </c>
      <c r="BB37" s="25">
        <f>IF($B37="",0,SUMIFS(tblAuftraege[Kalk.
Einnahmen],tblAuftraege[Datum
Einnahmen],"&gt;="&amp;BB$5,tblAuftraege[Datum
Einnahmen],"&lt;"&amp;EDATE(BB$5,1),tblAuftraege[Kostenstelle],$B37))</f>
        <v/>
      </c>
      <c r="BC37" s="25">
        <f>IF($B37="",0,SUMIFS(tblAuftraege[Kalk.
Einnahmen],tblAuftraege[Datum
Einnahmen],"&gt;="&amp;BC$5,tblAuftraege[Datum
Einnahmen],"&lt;"&amp;EDATE(BC$5,1),tblAuftraege[Kostenstelle],$B37))</f>
        <v/>
      </c>
      <c r="BD37" s="25">
        <f>IF($B37="",0,SUMIFS(tblAuftraege[Kalk.
Einnahmen],tblAuftraege[Datum
Einnahmen],"&gt;="&amp;BD$5,tblAuftraege[Datum
Einnahmen],"&lt;"&amp;EDATE(BD$5,1),tblAuftraege[Kostenstelle],$B37))</f>
        <v/>
      </c>
      <c r="BE37" s="25">
        <f>SUM(C37:H37)</f>
        <v/>
      </c>
      <c r="BF37" s="25">
        <f>SUM(I37:T37)</f>
        <v/>
      </c>
      <c r="BG37" s="25">
        <f>SUM(U37:AF37)</f>
        <v/>
      </c>
      <c r="BH37" s="25">
        <f>SUM(AG37:AR37)</f>
        <v/>
      </c>
      <c r="BI37" s="25">
        <f>SUM(AS37:BD37)</f>
        <v/>
      </c>
      <c r="BJ37" s="25">
        <f>SUM(C37:BD37)</f>
        <v/>
      </c>
    </row>
    <row r="38" ht="15.75" customHeight="1" thickBot="1">
      <c r="B38" s="51" t="inlineStr">
        <is>
          <t>Aufträge ohne Kostenstellen-Zuordnung</t>
        </is>
      </c>
      <c r="C38" s="52">
        <f>C39-SUM(C8:C37)</f>
        <v/>
      </c>
      <c r="D38" s="52">
        <f>D39-SUM(D8:D37)</f>
        <v/>
      </c>
      <c r="E38" s="52">
        <f>E39-SUM(E8:E37)</f>
        <v/>
      </c>
      <c r="F38" s="52">
        <f>F39-SUM(F8:F37)</f>
        <v/>
      </c>
      <c r="G38" s="52">
        <f>G39-SUM(G8:G37)</f>
        <v/>
      </c>
      <c r="H38" s="52">
        <f>H39-SUM(H8:H37)</f>
        <v/>
      </c>
      <c r="I38" s="52">
        <f>I39-SUM(I8:I37)</f>
        <v/>
      </c>
      <c r="J38" s="52">
        <f>J39-SUM(J8:J37)</f>
        <v/>
      </c>
      <c r="K38" s="52">
        <f>K39-SUM(K8:K37)</f>
        <v/>
      </c>
      <c r="L38" s="52">
        <f>L39-SUM(L8:L37)</f>
        <v/>
      </c>
      <c r="M38" s="52">
        <f>M39-SUM(M8:M37)</f>
        <v/>
      </c>
      <c r="N38" s="52">
        <f>N39-SUM(N8:N37)</f>
        <v/>
      </c>
      <c r="O38" s="52">
        <f>O39-SUM(O8:O37)</f>
        <v/>
      </c>
      <c r="P38" s="52">
        <f>P39-SUM(P8:P37)</f>
        <v/>
      </c>
      <c r="Q38" s="52">
        <f>Q39-SUM(Q8:Q37)</f>
        <v/>
      </c>
      <c r="R38" s="52">
        <f>R39-SUM(R8:R37)</f>
        <v/>
      </c>
      <c r="S38" s="52">
        <f>S39-SUM(S8:S37)</f>
        <v/>
      </c>
      <c r="T38" s="52">
        <f>T39-SUM(T8:T37)</f>
        <v/>
      </c>
      <c r="U38" s="52">
        <f>U39-SUM(U8:U37)</f>
        <v/>
      </c>
      <c r="V38" s="52">
        <f>V39-SUM(V8:V37)</f>
        <v/>
      </c>
      <c r="W38" s="52">
        <f>W39-SUM(W8:W37)</f>
        <v/>
      </c>
      <c r="X38" s="52">
        <f>X39-SUM(X8:X37)</f>
        <v/>
      </c>
      <c r="Y38" s="52">
        <f>Y39-SUM(Y8:Y37)</f>
        <v/>
      </c>
      <c r="Z38" s="52">
        <f>Z39-SUM(Z8:Z37)</f>
        <v/>
      </c>
      <c r="AA38" s="52">
        <f>AA39-SUM(AA8:AA37)</f>
        <v/>
      </c>
      <c r="AB38" s="52">
        <f>AB39-SUM(AB8:AB37)</f>
        <v/>
      </c>
      <c r="AC38" s="52">
        <f>AC39-SUM(AC8:AC37)</f>
        <v/>
      </c>
      <c r="AD38" s="52">
        <f>AD39-SUM(AD8:AD37)</f>
        <v/>
      </c>
      <c r="AE38" s="52">
        <f>AE39-SUM(AE8:AE37)</f>
        <v/>
      </c>
      <c r="AF38" s="52">
        <f>AF39-SUM(AF8:AF37)</f>
        <v/>
      </c>
      <c r="AG38" s="52">
        <f>AG39-SUM(AG8:AG37)</f>
        <v/>
      </c>
      <c r="AH38" s="52">
        <f>AH39-SUM(AH8:AH37)</f>
        <v/>
      </c>
      <c r="AI38" s="52">
        <f>AI39-SUM(AI8:AI37)</f>
        <v/>
      </c>
      <c r="AJ38" s="52">
        <f>AJ39-SUM(AJ8:AJ37)</f>
        <v/>
      </c>
      <c r="AK38" s="52">
        <f>AK39-SUM(AK8:AK37)</f>
        <v/>
      </c>
      <c r="AL38" s="52">
        <f>AL39-SUM(AL8:AL37)</f>
        <v/>
      </c>
      <c r="AM38" s="52">
        <f>AM39-SUM(AM8:AM37)</f>
        <v/>
      </c>
      <c r="AN38" s="52">
        <f>AN39-SUM(AN8:AN37)</f>
        <v/>
      </c>
      <c r="AO38" s="52">
        <f>AO39-SUM(AO8:AO37)</f>
        <v/>
      </c>
      <c r="AP38" s="52">
        <f>AP39-SUM(AP8:AP37)</f>
        <v/>
      </c>
      <c r="AQ38" s="52">
        <f>AQ39-SUM(AQ8:AQ37)</f>
        <v/>
      </c>
      <c r="AR38" s="52">
        <f>AR39-SUM(AR8:AR37)</f>
        <v/>
      </c>
      <c r="AS38" s="52">
        <f>AS39-SUM(AS8:AS37)</f>
        <v/>
      </c>
      <c r="AT38" s="52">
        <f>AT39-SUM(AT8:AT37)</f>
        <v/>
      </c>
      <c r="AU38" s="52">
        <f>AU39-SUM(AU8:AU37)</f>
        <v/>
      </c>
      <c r="AV38" s="52">
        <f>AV39-SUM(AV8:AV37)</f>
        <v/>
      </c>
      <c r="AW38" s="52">
        <f>AW39-SUM(AW8:AW37)</f>
        <v/>
      </c>
      <c r="AX38" s="52">
        <f>AX39-SUM(AX8:AX37)</f>
        <v/>
      </c>
      <c r="AY38" s="52">
        <f>AY39-SUM(AY8:AY37)</f>
        <v/>
      </c>
      <c r="AZ38" s="52">
        <f>AZ39-SUM(AZ8:AZ37)</f>
        <v/>
      </c>
      <c r="BA38" s="52">
        <f>BA39-SUM(BA8:BA37)</f>
        <v/>
      </c>
      <c r="BB38" s="52">
        <f>BB39-SUM(BB8:BB37)</f>
        <v/>
      </c>
      <c r="BC38" s="52">
        <f>BC39-SUM(BC8:BC37)</f>
        <v/>
      </c>
      <c r="BD38" s="52">
        <f>BD39-SUM(BD8:BD37)</f>
        <v/>
      </c>
      <c r="BE38" s="52">
        <f>BE39-SUM(BE8:BE37)</f>
        <v/>
      </c>
      <c r="BF38" s="52">
        <f>BF39-SUM(BF8:BF37)</f>
        <v/>
      </c>
      <c r="BG38" s="52">
        <f>BG39-SUM(BG8:BG37)</f>
        <v/>
      </c>
      <c r="BH38" s="52">
        <f>BH39-SUM(BH8:BH37)</f>
        <v/>
      </c>
      <c r="BI38" s="52">
        <f>BI39-SUM(BI8:BI37)</f>
        <v/>
      </c>
      <c r="BJ38" s="52">
        <f>BJ39-SUM(BJ8:BJ37)</f>
        <v/>
      </c>
    </row>
    <row r="39">
      <c r="B39" s="56" t="inlineStr">
        <is>
          <t>Summe Einnahmen</t>
        </is>
      </c>
      <c r="C39" s="55">
        <f>SUMIFS(tblAuftraege[Kalk.
Einnahmen],tblAuftraege[Datum
Einnahmen],"&gt;="&amp;C$5,tblAuftraege[Datum
Einnahmen],"&lt;"&amp;EDATE(C$5,1))</f>
        <v/>
      </c>
      <c r="D39" s="55">
        <f>SUMIFS(tblAuftraege[Kalk.
Einnahmen],tblAuftraege[Datum
Einnahmen],"&gt;="&amp;D$5,tblAuftraege[Datum
Einnahmen],"&lt;"&amp;EDATE(D$5,1))</f>
        <v/>
      </c>
      <c r="E39" s="55">
        <f>SUMIFS(tblAuftraege[Kalk.
Einnahmen],tblAuftraege[Datum
Einnahmen],"&gt;="&amp;E$5,tblAuftraege[Datum
Einnahmen],"&lt;"&amp;EDATE(E$5,1))</f>
        <v/>
      </c>
      <c r="F39" s="55">
        <f>SUMIFS(tblAuftraege[Kalk.
Einnahmen],tblAuftraege[Datum
Einnahmen],"&gt;="&amp;F$5,tblAuftraege[Datum
Einnahmen],"&lt;"&amp;EDATE(F$5,1))</f>
        <v/>
      </c>
      <c r="G39" s="55">
        <f>SUMIFS(tblAuftraege[Kalk.
Einnahmen],tblAuftraege[Datum
Einnahmen],"&gt;="&amp;G$5,tblAuftraege[Datum
Einnahmen],"&lt;"&amp;EDATE(G$5,1))</f>
        <v/>
      </c>
      <c r="H39" s="55">
        <f>SUMIFS(tblAuftraege[Kalk.
Einnahmen],tblAuftraege[Datum
Einnahmen],"&gt;="&amp;H$5,tblAuftraege[Datum
Einnahmen],"&lt;"&amp;EDATE(H$5,1))</f>
        <v/>
      </c>
      <c r="I39" s="55">
        <f>SUMIFS(tblAuftraege[Kalk.
Einnahmen],tblAuftraege[Datum
Einnahmen],"&gt;="&amp;I$5,tblAuftraege[Datum
Einnahmen],"&lt;"&amp;EDATE(I$5,1))</f>
        <v/>
      </c>
      <c r="J39" s="55">
        <f>SUMIFS(tblAuftraege[Kalk.
Einnahmen],tblAuftraege[Datum
Einnahmen],"&gt;="&amp;J$5,tblAuftraege[Datum
Einnahmen],"&lt;"&amp;EDATE(J$5,1))</f>
        <v/>
      </c>
      <c r="K39" s="55">
        <f>SUMIFS(tblAuftraege[Kalk.
Einnahmen],tblAuftraege[Datum
Einnahmen],"&gt;="&amp;K$5,tblAuftraege[Datum
Einnahmen],"&lt;"&amp;EDATE(K$5,1))</f>
        <v/>
      </c>
      <c r="L39" s="55">
        <f>SUMIFS(tblAuftraege[Kalk.
Einnahmen],tblAuftraege[Datum
Einnahmen],"&gt;="&amp;L$5,tblAuftraege[Datum
Einnahmen],"&lt;"&amp;EDATE(L$5,1))</f>
        <v/>
      </c>
      <c r="M39" s="55">
        <f>SUMIFS(tblAuftraege[Kalk.
Einnahmen],tblAuftraege[Datum
Einnahmen],"&gt;="&amp;M$5,tblAuftraege[Datum
Einnahmen],"&lt;"&amp;EDATE(M$5,1))</f>
        <v/>
      </c>
      <c r="N39" s="55">
        <f>SUMIFS(tblAuftraege[Kalk.
Einnahmen],tblAuftraege[Datum
Einnahmen],"&gt;="&amp;N$5,tblAuftraege[Datum
Einnahmen],"&lt;"&amp;EDATE(N$5,1))</f>
        <v/>
      </c>
      <c r="O39" s="55">
        <f>SUMIFS(tblAuftraege[Kalk.
Einnahmen],tblAuftraege[Datum
Einnahmen],"&gt;="&amp;O$5,tblAuftraege[Datum
Einnahmen],"&lt;"&amp;EDATE(O$5,1))</f>
        <v/>
      </c>
      <c r="P39" s="55">
        <f>SUMIFS(tblAuftraege[Kalk.
Einnahmen],tblAuftraege[Datum
Einnahmen],"&gt;="&amp;P$5,tblAuftraege[Datum
Einnahmen],"&lt;"&amp;EDATE(P$5,1))</f>
        <v/>
      </c>
      <c r="Q39" s="55">
        <f>SUMIFS(tblAuftraege[Kalk.
Einnahmen],tblAuftraege[Datum
Einnahmen],"&gt;="&amp;Q$5,tblAuftraege[Datum
Einnahmen],"&lt;"&amp;EDATE(Q$5,1))</f>
        <v/>
      </c>
      <c r="R39" s="55">
        <f>SUMIFS(tblAuftraege[Kalk.
Einnahmen],tblAuftraege[Datum
Einnahmen],"&gt;="&amp;R$5,tblAuftraege[Datum
Einnahmen],"&lt;"&amp;EDATE(R$5,1))</f>
        <v/>
      </c>
      <c r="S39" s="55">
        <f>SUMIFS(tblAuftraege[Kalk.
Einnahmen],tblAuftraege[Datum
Einnahmen],"&gt;="&amp;S$5,tblAuftraege[Datum
Einnahmen],"&lt;"&amp;EDATE(S$5,1))</f>
        <v/>
      </c>
      <c r="T39" s="55">
        <f>SUMIFS(tblAuftraege[Kalk.
Einnahmen],tblAuftraege[Datum
Einnahmen],"&gt;="&amp;T$5,tblAuftraege[Datum
Einnahmen],"&lt;"&amp;EDATE(T$5,1))</f>
        <v/>
      </c>
      <c r="U39" s="55">
        <f>SUMIFS(tblAuftraege[Kalk.
Einnahmen],tblAuftraege[Datum
Einnahmen],"&gt;="&amp;U$5,tblAuftraege[Datum
Einnahmen],"&lt;"&amp;EDATE(U$5,1))</f>
        <v/>
      </c>
      <c r="V39" s="55">
        <f>SUMIFS(tblAuftraege[Kalk.
Einnahmen],tblAuftraege[Datum
Einnahmen],"&gt;="&amp;V$5,tblAuftraege[Datum
Einnahmen],"&lt;"&amp;EDATE(V$5,1))</f>
        <v/>
      </c>
      <c r="W39" s="55">
        <f>SUMIFS(tblAuftraege[Kalk.
Einnahmen],tblAuftraege[Datum
Einnahmen],"&gt;="&amp;W$5,tblAuftraege[Datum
Einnahmen],"&lt;"&amp;EDATE(W$5,1))</f>
        <v/>
      </c>
      <c r="X39" s="55">
        <f>SUMIFS(tblAuftraege[Kalk.
Einnahmen],tblAuftraege[Datum
Einnahmen],"&gt;="&amp;X$5,tblAuftraege[Datum
Einnahmen],"&lt;"&amp;EDATE(X$5,1))</f>
        <v/>
      </c>
      <c r="Y39" s="55">
        <f>SUMIFS(tblAuftraege[Kalk.
Einnahmen],tblAuftraege[Datum
Einnahmen],"&gt;="&amp;Y$5,tblAuftraege[Datum
Einnahmen],"&lt;"&amp;EDATE(Y$5,1))</f>
        <v/>
      </c>
      <c r="Z39" s="55">
        <f>SUMIFS(tblAuftraege[Kalk.
Einnahmen],tblAuftraege[Datum
Einnahmen],"&gt;="&amp;Z$5,tblAuftraege[Datum
Einnahmen],"&lt;"&amp;EDATE(Z$5,1))</f>
        <v/>
      </c>
      <c r="AA39" s="55">
        <f>SUMIFS(tblAuftraege[Kalk.
Einnahmen],tblAuftraege[Datum
Einnahmen],"&gt;="&amp;AA$5,tblAuftraege[Datum
Einnahmen],"&lt;"&amp;EDATE(AA$5,1))</f>
        <v/>
      </c>
      <c r="AB39" s="55">
        <f>SUMIFS(tblAuftraege[Kalk.
Einnahmen],tblAuftraege[Datum
Einnahmen],"&gt;="&amp;AB$5,tblAuftraege[Datum
Einnahmen],"&lt;"&amp;EDATE(AB$5,1))</f>
        <v/>
      </c>
      <c r="AC39" s="55">
        <f>SUMIFS(tblAuftraege[Kalk.
Einnahmen],tblAuftraege[Datum
Einnahmen],"&gt;="&amp;AC$5,tblAuftraege[Datum
Einnahmen],"&lt;"&amp;EDATE(AC$5,1))</f>
        <v/>
      </c>
      <c r="AD39" s="55">
        <f>SUMIFS(tblAuftraege[Kalk.
Einnahmen],tblAuftraege[Datum
Einnahmen],"&gt;="&amp;AD$5,tblAuftraege[Datum
Einnahmen],"&lt;"&amp;EDATE(AD$5,1))</f>
        <v/>
      </c>
      <c r="AE39" s="55">
        <f>SUMIFS(tblAuftraege[Kalk.
Einnahmen],tblAuftraege[Datum
Einnahmen],"&gt;="&amp;AE$5,tblAuftraege[Datum
Einnahmen],"&lt;"&amp;EDATE(AE$5,1))</f>
        <v/>
      </c>
      <c r="AF39" s="55">
        <f>SUMIFS(tblAuftraege[Kalk.
Einnahmen],tblAuftraege[Datum
Einnahmen],"&gt;="&amp;AF$5,tblAuftraege[Datum
Einnahmen],"&lt;"&amp;EDATE(AF$5,1))</f>
        <v/>
      </c>
      <c r="AG39" s="55">
        <f>SUMIFS(tblAuftraege[Kalk.
Einnahmen],tblAuftraege[Datum
Einnahmen],"&gt;="&amp;AG$5,tblAuftraege[Datum
Einnahmen],"&lt;"&amp;EDATE(AG$5,1))</f>
        <v/>
      </c>
      <c r="AH39" s="55">
        <f>SUMIFS(tblAuftraege[Kalk.
Einnahmen],tblAuftraege[Datum
Einnahmen],"&gt;="&amp;AH$5,tblAuftraege[Datum
Einnahmen],"&lt;"&amp;EDATE(AH$5,1))</f>
        <v/>
      </c>
      <c r="AI39" s="55">
        <f>SUMIFS(tblAuftraege[Kalk.
Einnahmen],tblAuftraege[Datum
Einnahmen],"&gt;="&amp;AI$5,tblAuftraege[Datum
Einnahmen],"&lt;"&amp;EDATE(AI$5,1))</f>
        <v/>
      </c>
      <c r="AJ39" s="55">
        <f>SUMIFS(tblAuftraege[Kalk.
Einnahmen],tblAuftraege[Datum
Einnahmen],"&gt;="&amp;AJ$5,tblAuftraege[Datum
Einnahmen],"&lt;"&amp;EDATE(AJ$5,1))</f>
        <v/>
      </c>
      <c r="AK39" s="55">
        <f>SUMIFS(tblAuftraege[Kalk.
Einnahmen],tblAuftraege[Datum
Einnahmen],"&gt;="&amp;AK$5,tblAuftraege[Datum
Einnahmen],"&lt;"&amp;EDATE(AK$5,1))</f>
        <v/>
      </c>
      <c r="AL39" s="55">
        <f>SUMIFS(tblAuftraege[Kalk.
Einnahmen],tblAuftraege[Datum
Einnahmen],"&gt;="&amp;AL$5,tblAuftraege[Datum
Einnahmen],"&lt;"&amp;EDATE(AL$5,1))</f>
        <v/>
      </c>
      <c r="AM39" s="55">
        <f>SUMIFS(tblAuftraege[Kalk.
Einnahmen],tblAuftraege[Datum
Einnahmen],"&gt;="&amp;AM$5,tblAuftraege[Datum
Einnahmen],"&lt;"&amp;EDATE(AM$5,1))</f>
        <v/>
      </c>
      <c r="AN39" s="55">
        <f>SUMIFS(tblAuftraege[Kalk.
Einnahmen],tblAuftraege[Datum
Einnahmen],"&gt;="&amp;AN$5,tblAuftraege[Datum
Einnahmen],"&lt;"&amp;EDATE(AN$5,1))</f>
        <v/>
      </c>
      <c r="AO39" s="55">
        <f>SUMIFS(tblAuftraege[Kalk.
Einnahmen],tblAuftraege[Datum
Einnahmen],"&gt;="&amp;AO$5,tblAuftraege[Datum
Einnahmen],"&lt;"&amp;EDATE(AO$5,1))</f>
        <v/>
      </c>
      <c r="AP39" s="55">
        <f>SUMIFS(tblAuftraege[Kalk.
Einnahmen],tblAuftraege[Datum
Einnahmen],"&gt;="&amp;AP$5,tblAuftraege[Datum
Einnahmen],"&lt;"&amp;EDATE(AP$5,1))</f>
        <v/>
      </c>
      <c r="AQ39" s="55">
        <f>SUMIFS(tblAuftraege[Kalk.
Einnahmen],tblAuftraege[Datum
Einnahmen],"&gt;="&amp;AQ$5,tblAuftraege[Datum
Einnahmen],"&lt;"&amp;EDATE(AQ$5,1))</f>
        <v/>
      </c>
      <c r="AR39" s="55">
        <f>SUMIFS(tblAuftraege[Kalk.
Einnahmen],tblAuftraege[Datum
Einnahmen],"&gt;="&amp;AR$5,tblAuftraege[Datum
Einnahmen],"&lt;"&amp;EDATE(AR$5,1))</f>
        <v/>
      </c>
      <c r="AS39" s="55">
        <f>SUMIFS(tblAuftraege[Kalk.
Einnahmen],tblAuftraege[Datum
Einnahmen],"&gt;="&amp;AS$5,tblAuftraege[Datum
Einnahmen],"&lt;"&amp;EDATE(AS$5,1))</f>
        <v/>
      </c>
      <c r="AT39" s="55">
        <f>SUMIFS(tblAuftraege[Kalk.
Einnahmen],tblAuftraege[Datum
Einnahmen],"&gt;="&amp;AT$5,tblAuftraege[Datum
Einnahmen],"&lt;"&amp;EDATE(AT$5,1))</f>
        <v/>
      </c>
      <c r="AU39" s="55">
        <f>SUMIFS(tblAuftraege[Kalk.
Einnahmen],tblAuftraege[Datum
Einnahmen],"&gt;="&amp;AU$5,tblAuftraege[Datum
Einnahmen],"&lt;"&amp;EDATE(AU$5,1))</f>
        <v/>
      </c>
      <c r="AV39" s="55">
        <f>SUMIFS(tblAuftraege[Kalk.
Einnahmen],tblAuftraege[Datum
Einnahmen],"&gt;="&amp;AV$5,tblAuftraege[Datum
Einnahmen],"&lt;"&amp;EDATE(AV$5,1))</f>
        <v/>
      </c>
      <c r="AW39" s="55">
        <f>SUMIFS(tblAuftraege[Kalk.
Einnahmen],tblAuftraege[Datum
Einnahmen],"&gt;="&amp;AW$5,tblAuftraege[Datum
Einnahmen],"&lt;"&amp;EDATE(AW$5,1))</f>
        <v/>
      </c>
      <c r="AX39" s="55">
        <f>SUMIFS(tblAuftraege[Kalk.
Einnahmen],tblAuftraege[Datum
Einnahmen],"&gt;="&amp;AX$5,tblAuftraege[Datum
Einnahmen],"&lt;"&amp;EDATE(AX$5,1))</f>
        <v/>
      </c>
      <c r="AY39" s="55">
        <f>SUMIFS(tblAuftraege[Kalk.
Einnahmen],tblAuftraege[Datum
Einnahmen],"&gt;="&amp;AY$5,tblAuftraege[Datum
Einnahmen],"&lt;"&amp;EDATE(AY$5,1))</f>
        <v/>
      </c>
      <c r="AZ39" s="55">
        <f>SUMIFS(tblAuftraege[Kalk.
Einnahmen],tblAuftraege[Datum
Einnahmen],"&gt;="&amp;AZ$5,tblAuftraege[Datum
Einnahmen],"&lt;"&amp;EDATE(AZ$5,1))</f>
        <v/>
      </c>
      <c r="BA39" s="55">
        <f>SUMIFS(tblAuftraege[Kalk.
Einnahmen],tblAuftraege[Datum
Einnahmen],"&gt;="&amp;BA$5,tblAuftraege[Datum
Einnahmen],"&lt;"&amp;EDATE(BA$5,1))</f>
        <v/>
      </c>
      <c r="BB39" s="55">
        <f>SUMIFS(tblAuftraege[Kalk.
Einnahmen],tblAuftraege[Datum
Einnahmen],"&gt;="&amp;BB$5,tblAuftraege[Datum
Einnahmen],"&lt;"&amp;EDATE(BB$5,1))</f>
        <v/>
      </c>
      <c r="BC39" s="55">
        <f>SUMIFS(tblAuftraege[Kalk.
Einnahmen],tblAuftraege[Datum
Einnahmen],"&gt;="&amp;BC$5,tblAuftraege[Datum
Einnahmen],"&lt;"&amp;EDATE(BC$5,1))</f>
        <v/>
      </c>
      <c r="BD39" s="55">
        <f>SUMIFS(tblAuftraege[Kalk.
Einnahmen],tblAuftraege[Datum
Einnahmen],"&gt;="&amp;BD$5,tblAuftraege[Datum
Einnahmen],"&lt;"&amp;EDATE(BD$5,1))</f>
        <v/>
      </c>
      <c r="BE39" s="55">
        <f>SUM(C39:H39)</f>
        <v/>
      </c>
      <c r="BF39" s="55">
        <f>SUM(I39:T39)</f>
        <v/>
      </c>
      <c r="BG39" s="55">
        <f>SUM(U39:AF39)</f>
        <v/>
      </c>
      <c r="BH39" s="55">
        <f>SUM(AG39:AR39)</f>
        <v/>
      </c>
      <c r="BI39" s="55">
        <f>SUM(AS39:BD39)</f>
        <v/>
      </c>
      <c r="BJ39" s="55">
        <f>SUM(C39:BD39)</f>
        <v/>
      </c>
    </row>
    <row r="41" ht="19.5" customHeight="1">
      <c r="B41" s="46" t="inlineStr">
        <is>
          <t>2  AUSGABEN  (Quelle: Reiter „Aufträge“)</t>
        </is>
      </c>
      <c r="C41" s="57" t="inlineStr">
        <is>
          <t>Jul 26</t>
        </is>
      </c>
      <c r="D41" s="57" t="inlineStr">
        <is>
          <t>Aug 26</t>
        </is>
      </c>
      <c r="E41" s="57" t="inlineStr">
        <is>
          <t>Sep 26</t>
        </is>
      </c>
      <c r="F41" s="57" t="inlineStr">
        <is>
          <t>Okt 26</t>
        </is>
      </c>
      <c r="G41" s="57" t="inlineStr">
        <is>
          <t>Nov 26</t>
        </is>
      </c>
      <c r="H41" s="57" t="inlineStr">
        <is>
          <t>Dez 26</t>
        </is>
      </c>
      <c r="I41" s="57" t="inlineStr">
        <is>
          <t>Jan 27</t>
        </is>
      </c>
      <c r="J41" s="57" t="inlineStr">
        <is>
          <t>Feb 27</t>
        </is>
      </c>
      <c r="K41" s="57" t="inlineStr">
        <is>
          <t>Mrz 27</t>
        </is>
      </c>
      <c r="L41" s="57" t="inlineStr">
        <is>
          <t>Apr 27</t>
        </is>
      </c>
      <c r="M41" s="57" t="inlineStr">
        <is>
          <t>Mai 27</t>
        </is>
      </c>
      <c r="N41" s="57" t="inlineStr">
        <is>
          <t>Jun 27</t>
        </is>
      </c>
      <c r="O41" s="58" t="inlineStr">
        <is>
          <t>Jul 27</t>
        </is>
      </c>
      <c r="P41" s="58" t="inlineStr">
        <is>
          <t>Aug 27</t>
        </is>
      </c>
      <c r="Q41" s="58" t="inlineStr">
        <is>
          <t>Sep 27</t>
        </is>
      </c>
      <c r="R41" s="58" t="inlineStr">
        <is>
          <t>Okt 27</t>
        </is>
      </c>
      <c r="S41" s="58" t="inlineStr">
        <is>
          <t>Nov 27</t>
        </is>
      </c>
      <c r="T41" s="58" t="inlineStr">
        <is>
          <t>Dez 27</t>
        </is>
      </c>
      <c r="U41" s="58" t="inlineStr">
        <is>
          <t>Jan 28</t>
        </is>
      </c>
      <c r="V41" s="58" t="inlineStr">
        <is>
          <t>Feb 28</t>
        </is>
      </c>
      <c r="W41" s="58" t="inlineStr">
        <is>
          <t>Mär 28</t>
        </is>
      </c>
      <c r="X41" s="58" t="inlineStr">
        <is>
          <t>Apr 28</t>
        </is>
      </c>
      <c r="Y41" s="58" t="inlineStr">
        <is>
          <t>Mai 28</t>
        </is>
      </c>
      <c r="Z41" s="58" t="inlineStr">
        <is>
          <t>Jun 28</t>
        </is>
      </c>
      <c r="AA41" s="58" t="inlineStr">
        <is>
          <t>Jul 28</t>
        </is>
      </c>
      <c r="AB41" s="58" t="inlineStr">
        <is>
          <t>Aug 28</t>
        </is>
      </c>
      <c r="AC41" s="58" t="inlineStr">
        <is>
          <t>Sep 28</t>
        </is>
      </c>
      <c r="AD41" s="58" t="inlineStr">
        <is>
          <t>Okt 28</t>
        </is>
      </c>
      <c r="AE41" s="58" t="inlineStr">
        <is>
          <t>Nov 28</t>
        </is>
      </c>
      <c r="AF41" s="58" t="inlineStr">
        <is>
          <t>Dez 28</t>
        </is>
      </c>
      <c r="AG41" s="58" t="inlineStr">
        <is>
          <t>Jan 29</t>
        </is>
      </c>
      <c r="AH41" s="58" t="inlineStr">
        <is>
          <t>Feb 29</t>
        </is>
      </c>
      <c r="AI41" s="58" t="inlineStr">
        <is>
          <t>Mär 29</t>
        </is>
      </c>
      <c r="AJ41" s="58" t="inlineStr">
        <is>
          <t>Apr 29</t>
        </is>
      </c>
      <c r="AK41" s="58" t="inlineStr">
        <is>
          <t>Mai 29</t>
        </is>
      </c>
      <c r="AL41" s="58" t="inlineStr">
        <is>
          <t>Jun 29</t>
        </is>
      </c>
      <c r="AM41" s="58" t="inlineStr">
        <is>
          <t>Jul 29</t>
        </is>
      </c>
      <c r="AN41" s="58" t="inlineStr">
        <is>
          <t>Aug 29</t>
        </is>
      </c>
      <c r="AO41" s="58" t="inlineStr">
        <is>
          <t>Sep 29</t>
        </is>
      </c>
      <c r="AP41" s="58" t="inlineStr">
        <is>
          <t>Okt 29</t>
        </is>
      </c>
      <c r="AQ41" s="58" t="inlineStr">
        <is>
          <t>Nov 29</t>
        </is>
      </c>
      <c r="AR41" s="58" t="inlineStr">
        <is>
          <t>Dez 29</t>
        </is>
      </c>
      <c r="AS41" s="58" t="inlineStr">
        <is>
          <t>Jan 30</t>
        </is>
      </c>
      <c r="AT41" s="58" t="inlineStr">
        <is>
          <t>Feb 30</t>
        </is>
      </c>
      <c r="AU41" s="58" t="inlineStr">
        <is>
          <t>Mär 30</t>
        </is>
      </c>
      <c r="AV41" s="58" t="inlineStr">
        <is>
          <t>Apr 30</t>
        </is>
      </c>
      <c r="AW41" s="58" t="inlineStr">
        <is>
          <t>Mai 30</t>
        </is>
      </c>
      <c r="AX41" s="58" t="inlineStr">
        <is>
          <t>Jun 30</t>
        </is>
      </c>
      <c r="AY41" s="58" t="inlineStr">
        <is>
          <t>Jul 30</t>
        </is>
      </c>
      <c r="AZ41" s="58" t="inlineStr">
        <is>
          <t>Aug 30</t>
        </is>
      </c>
      <c r="BA41" s="58" t="inlineStr">
        <is>
          <t>Sep 30</t>
        </is>
      </c>
      <c r="BB41" s="58" t="inlineStr">
        <is>
          <t>Okt 30</t>
        </is>
      </c>
      <c r="BC41" s="58" t="inlineStr">
        <is>
          <t>Nov 30</t>
        </is>
      </c>
      <c r="BD41" s="58" t="inlineStr">
        <is>
          <t>Dez 30</t>
        </is>
      </c>
      <c r="BE41" s="58" t="inlineStr">
        <is>
          <t>Summe H2 26</t>
        </is>
      </c>
      <c r="BF41" s="58" t="inlineStr">
        <is>
          <t>Summe 27</t>
        </is>
      </c>
      <c r="BG41" s="58" t="inlineStr">
        <is>
          <t>Summe 28</t>
        </is>
      </c>
      <c r="BH41" s="58" t="inlineStr">
        <is>
          <t>Summe 29</t>
        </is>
      </c>
      <c r="BI41" s="58" t="inlineStr">
        <is>
          <t>Summe 30</t>
        </is>
      </c>
      <c r="BJ41" s="58" t="inlineStr">
        <is>
          <t>Gesamt</t>
        </is>
      </c>
    </row>
    <row r="42">
      <c r="A42" s="34" t="n"/>
      <c r="B42" s="49">
        <f>IF(ISBLANK(B8),"",B8)</f>
        <v/>
      </c>
      <c r="C42" s="27">
        <f>IF($B42="",0,SUMIFS(tblAuftraege[Kalk.
Ausgaben],tblAuftraege[Datum
Ausgaben],"&gt;="&amp;C$5,tblAuftraege[Datum
Ausgaben],"&lt;"&amp;EDATE(C$5,1),tblAuftraege[Kostenstelle],$B42))</f>
        <v/>
      </c>
      <c r="D42" s="27">
        <f>IF($B42="",0,SUMIFS(tblAuftraege[Kalk.
Ausgaben],tblAuftraege[Datum
Ausgaben],"&gt;="&amp;D$5,tblAuftraege[Datum
Ausgaben],"&lt;"&amp;EDATE(D$5,1),tblAuftraege[Kostenstelle],$B42))</f>
        <v/>
      </c>
      <c r="E42" s="27">
        <f>IF($B42="",0,SUMIFS(tblAuftraege[Kalk.
Ausgaben],tblAuftraege[Datum
Ausgaben],"&gt;="&amp;E$5,tblAuftraege[Datum
Ausgaben],"&lt;"&amp;EDATE(E$5,1),tblAuftraege[Kostenstelle],$B42))</f>
        <v/>
      </c>
      <c r="F42" s="27">
        <f>IF($B42="",0,SUMIFS(tblAuftraege[Kalk.
Ausgaben],tblAuftraege[Datum
Ausgaben],"&gt;="&amp;F$5,tblAuftraege[Datum
Ausgaben],"&lt;"&amp;EDATE(F$5,1),tblAuftraege[Kostenstelle],$B42))</f>
        <v/>
      </c>
      <c r="G42" s="27">
        <f>IF($B42="",0,SUMIFS(tblAuftraege[Kalk.
Ausgaben],tblAuftraege[Datum
Ausgaben],"&gt;="&amp;G$5,tblAuftraege[Datum
Ausgaben],"&lt;"&amp;EDATE(G$5,1),tblAuftraege[Kostenstelle],$B42))</f>
        <v/>
      </c>
      <c r="H42" s="27">
        <f>IF($B42="",0,SUMIFS(tblAuftraege[Kalk.
Ausgaben],tblAuftraege[Datum
Ausgaben],"&gt;="&amp;H$5,tblAuftraege[Datum
Ausgaben],"&lt;"&amp;EDATE(H$5,1),tblAuftraege[Kostenstelle],$B42))</f>
        <v/>
      </c>
      <c r="I42" s="27">
        <f>IF($B42="",0,SUMIFS(tblAuftraege[Kalk.
Ausgaben],tblAuftraege[Datum
Ausgaben],"&gt;="&amp;I$5,tblAuftraege[Datum
Ausgaben],"&lt;"&amp;EDATE(I$5,1),tblAuftraege[Kostenstelle],$B42))</f>
        <v/>
      </c>
      <c r="J42" s="27">
        <f>IF($B42="",0,SUMIFS(tblAuftraege[Kalk.
Ausgaben],tblAuftraege[Datum
Ausgaben],"&gt;="&amp;J$5,tblAuftraege[Datum
Ausgaben],"&lt;"&amp;EDATE(J$5,1),tblAuftraege[Kostenstelle],$B42))</f>
        <v/>
      </c>
      <c r="K42" s="27">
        <f>IF($B42="",0,SUMIFS(tblAuftraege[Kalk.
Ausgaben],tblAuftraege[Datum
Ausgaben],"&gt;="&amp;K$5,tblAuftraege[Datum
Ausgaben],"&lt;"&amp;EDATE(K$5,1),tblAuftraege[Kostenstelle],$B42))</f>
        <v/>
      </c>
      <c r="L42" s="27">
        <f>IF($B42="",0,SUMIFS(tblAuftraege[Kalk.
Ausgaben],tblAuftraege[Datum
Ausgaben],"&gt;="&amp;L$5,tblAuftraege[Datum
Ausgaben],"&lt;"&amp;EDATE(L$5,1),tblAuftraege[Kostenstelle],$B42))</f>
        <v/>
      </c>
      <c r="M42" s="27">
        <f>IF($B42="",0,SUMIFS(tblAuftraege[Kalk.
Ausgaben],tblAuftraege[Datum
Ausgaben],"&gt;="&amp;M$5,tblAuftraege[Datum
Ausgaben],"&lt;"&amp;EDATE(M$5,1),tblAuftraege[Kostenstelle],$B42))</f>
        <v/>
      </c>
      <c r="N42" s="27">
        <f>IF($B42="",0,SUMIFS(tblAuftraege[Kalk.
Ausgaben],tblAuftraege[Datum
Ausgaben],"&gt;="&amp;N$5,tblAuftraege[Datum
Ausgaben],"&lt;"&amp;EDATE(N$5,1),tblAuftraege[Kostenstelle],$B42))</f>
        <v/>
      </c>
      <c r="O42" s="27">
        <f>IF($B42="",0,SUMIFS(tblAuftraege[Kalk.
Ausgaben],tblAuftraege[Datum
Ausgaben],"&gt;="&amp;O$5,tblAuftraege[Datum
Ausgaben],"&lt;"&amp;EDATE(O$5,1),tblAuftraege[Kostenstelle],$B42))</f>
        <v/>
      </c>
      <c r="P42" s="27">
        <f>IF($B42="",0,SUMIFS(tblAuftraege[Kalk.
Ausgaben],tblAuftraege[Datum
Ausgaben],"&gt;="&amp;P$5,tblAuftraege[Datum
Ausgaben],"&lt;"&amp;EDATE(P$5,1),tblAuftraege[Kostenstelle],$B42))</f>
        <v/>
      </c>
      <c r="Q42" s="27">
        <f>IF($B42="",0,SUMIFS(tblAuftraege[Kalk.
Ausgaben],tblAuftraege[Datum
Ausgaben],"&gt;="&amp;Q$5,tblAuftraege[Datum
Ausgaben],"&lt;"&amp;EDATE(Q$5,1),tblAuftraege[Kostenstelle],$B42))</f>
        <v/>
      </c>
      <c r="R42" s="27">
        <f>IF($B42="",0,SUMIFS(tblAuftraege[Kalk.
Ausgaben],tblAuftraege[Datum
Ausgaben],"&gt;="&amp;R$5,tblAuftraege[Datum
Ausgaben],"&lt;"&amp;EDATE(R$5,1),tblAuftraege[Kostenstelle],$B42))</f>
        <v/>
      </c>
      <c r="S42" s="27">
        <f>IF($B42="",0,SUMIFS(tblAuftraege[Kalk.
Ausgaben],tblAuftraege[Datum
Ausgaben],"&gt;="&amp;S$5,tblAuftraege[Datum
Ausgaben],"&lt;"&amp;EDATE(S$5,1),tblAuftraege[Kostenstelle],$B42))</f>
        <v/>
      </c>
      <c r="T42" s="27">
        <f>IF($B42="",0,SUMIFS(tblAuftraege[Kalk.
Ausgaben],tblAuftraege[Datum
Ausgaben],"&gt;="&amp;T$5,tblAuftraege[Datum
Ausgaben],"&lt;"&amp;EDATE(T$5,1),tblAuftraege[Kostenstelle],$B42))</f>
        <v/>
      </c>
      <c r="U42" s="27">
        <f>IF($B42="",0,SUMIFS(tblAuftraege[Kalk.
Ausgaben],tblAuftraege[Datum
Ausgaben],"&gt;="&amp;U$5,tblAuftraege[Datum
Ausgaben],"&lt;"&amp;EDATE(U$5,1),tblAuftraege[Kostenstelle],$B42))</f>
        <v/>
      </c>
      <c r="V42" s="27">
        <f>IF($B42="",0,SUMIFS(tblAuftraege[Kalk.
Ausgaben],tblAuftraege[Datum
Ausgaben],"&gt;="&amp;V$5,tblAuftraege[Datum
Ausgaben],"&lt;"&amp;EDATE(V$5,1),tblAuftraege[Kostenstelle],$B42))</f>
        <v/>
      </c>
      <c r="W42" s="27">
        <f>IF($B42="",0,SUMIFS(tblAuftraege[Kalk.
Ausgaben],tblAuftraege[Datum
Ausgaben],"&gt;="&amp;W$5,tblAuftraege[Datum
Ausgaben],"&lt;"&amp;EDATE(W$5,1),tblAuftraege[Kostenstelle],$B42))</f>
        <v/>
      </c>
      <c r="X42" s="27">
        <f>IF($B42="",0,SUMIFS(tblAuftraege[Kalk.
Ausgaben],tblAuftraege[Datum
Ausgaben],"&gt;="&amp;X$5,tblAuftraege[Datum
Ausgaben],"&lt;"&amp;EDATE(X$5,1),tblAuftraege[Kostenstelle],$B42))</f>
        <v/>
      </c>
      <c r="Y42" s="27">
        <f>IF($B42="",0,SUMIFS(tblAuftraege[Kalk.
Ausgaben],tblAuftraege[Datum
Ausgaben],"&gt;="&amp;Y$5,tblAuftraege[Datum
Ausgaben],"&lt;"&amp;EDATE(Y$5,1),tblAuftraege[Kostenstelle],$B42))</f>
        <v/>
      </c>
      <c r="Z42" s="27">
        <f>IF($B42="",0,SUMIFS(tblAuftraege[Kalk.
Ausgaben],tblAuftraege[Datum
Ausgaben],"&gt;="&amp;Z$5,tblAuftraege[Datum
Ausgaben],"&lt;"&amp;EDATE(Z$5,1),tblAuftraege[Kostenstelle],$B42))</f>
        <v/>
      </c>
      <c r="AA42" s="27">
        <f>IF($B42="",0,SUMIFS(tblAuftraege[Kalk.
Ausgaben],tblAuftraege[Datum
Ausgaben],"&gt;="&amp;AA$5,tblAuftraege[Datum
Ausgaben],"&lt;"&amp;EDATE(AA$5,1),tblAuftraege[Kostenstelle],$B42))</f>
        <v/>
      </c>
      <c r="AB42" s="27">
        <f>IF($B42="",0,SUMIFS(tblAuftraege[Kalk.
Ausgaben],tblAuftraege[Datum
Ausgaben],"&gt;="&amp;AB$5,tblAuftraege[Datum
Ausgaben],"&lt;"&amp;EDATE(AB$5,1),tblAuftraege[Kostenstelle],$B42))</f>
        <v/>
      </c>
      <c r="AC42" s="27">
        <f>IF($B42="",0,SUMIFS(tblAuftraege[Kalk.
Ausgaben],tblAuftraege[Datum
Ausgaben],"&gt;="&amp;AC$5,tblAuftraege[Datum
Ausgaben],"&lt;"&amp;EDATE(AC$5,1),tblAuftraege[Kostenstelle],$B42))</f>
        <v/>
      </c>
      <c r="AD42" s="27">
        <f>IF($B42="",0,SUMIFS(tblAuftraege[Kalk.
Ausgaben],tblAuftraege[Datum
Ausgaben],"&gt;="&amp;AD$5,tblAuftraege[Datum
Ausgaben],"&lt;"&amp;EDATE(AD$5,1),tblAuftraege[Kostenstelle],$B42))</f>
        <v/>
      </c>
      <c r="AE42" s="27">
        <f>IF($B42="",0,SUMIFS(tblAuftraege[Kalk.
Ausgaben],tblAuftraege[Datum
Ausgaben],"&gt;="&amp;AE$5,tblAuftraege[Datum
Ausgaben],"&lt;"&amp;EDATE(AE$5,1),tblAuftraege[Kostenstelle],$B42))</f>
        <v/>
      </c>
      <c r="AF42" s="27">
        <f>IF($B42="",0,SUMIFS(tblAuftraege[Kalk.
Ausgaben],tblAuftraege[Datum
Ausgaben],"&gt;="&amp;AF$5,tblAuftraege[Datum
Ausgaben],"&lt;"&amp;EDATE(AF$5,1),tblAuftraege[Kostenstelle],$B42))</f>
        <v/>
      </c>
      <c r="AG42" s="27">
        <f>IF($B42="",0,SUMIFS(tblAuftraege[Kalk.
Ausgaben],tblAuftraege[Datum
Ausgaben],"&gt;="&amp;AG$5,tblAuftraege[Datum
Ausgaben],"&lt;"&amp;EDATE(AG$5,1),tblAuftraege[Kostenstelle],$B42))</f>
        <v/>
      </c>
      <c r="AH42" s="27">
        <f>IF($B42="",0,SUMIFS(tblAuftraege[Kalk.
Ausgaben],tblAuftraege[Datum
Ausgaben],"&gt;="&amp;AH$5,tblAuftraege[Datum
Ausgaben],"&lt;"&amp;EDATE(AH$5,1),tblAuftraege[Kostenstelle],$B42))</f>
        <v/>
      </c>
      <c r="AI42" s="27">
        <f>IF($B42="",0,SUMIFS(tblAuftraege[Kalk.
Ausgaben],tblAuftraege[Datum
Ausgaben],"&gt;="&amp;AI$5,tblAuftraege[Datum
Ausgaben],"&lt;"&amp;EDATE(AI$5,1),tblAuftraege[Kostenstelle],$B42))</f>
        <v/>
      </c>
      <c r="AJ42" s="27">
        <f>IF($B42="",0,SUMIFS(tblAuftraege[Kalk.
Ausgaben],tblAuftraege[Datum
Ausgaben],"&gt;="&amp;AJ$5,tblAuftraege[Datum
Ausgaben],"&lt;"&amp;EDATE(AJ$5,1),tblAuftraege[Kostenstelle],$B42))</f>
        <v/>
      </c>
      <c r="AK42" s="27">
        <f>IF($B42="",0,SUMIFS(tblAuftraege[Kalk.
Ausgaben],tblAuftraege[Datum
Ausgaben],"&gt;="&amp;AK$5,tblAuftraege[Datum
Ausgaben],"&lt;"&amp;EDATE(AK$5,1),tblAuftraege[Kostenstelle],$B42))</f>
        <v/>
      </c>
      <c r="AL42" s="27">
        <f>IF($B42="",0,SUMIFS(tblAuftraege[Kalk.
Ausgaben],tblAuftraege[Datum
Ausgaben],"&gt;="&amp;AL$5,tblAuftraege[Datum
Ausgaben],"&lt;"&amp;EDATE(AL$5,1),tblAuftraege[Kostenstelle],$B42))</f>
        <v/>
      </c>
      <c r="AM42" s="27">
        <f>IF($B42="",0,SUMIFS(tblAuftraege[Kalk.
Ausgaben],tblAuftraege[Datum
Ausgaben],"&gt;="&amp;AM$5,tblAuftraege[Datum
Ausgaben],"&lt;"&amp;EDATE(AM$5,1),tblAuftraege[Kostenstelle],$B42))</f>
        <v/>
      </c>
      <c r="AN42" s="27">
        <f>IF($B42="",0,SUMIFS(tblAuftraege[Kalk.
Ausgaben],tblAuftraege[Datum
Ausgaben],"&gt;="&amp;AN$5,tblAuftraege[Datum
Ausgaben],"&lt;"&amp;EDATE(AN$5,1),tblAuftraege[Kostenstelle],$B42))</f>
        <v/>
      </c>
      <c r="AO42" s="27">
        <f>IF($B42="",0,SUMIFS(tblAuftraege[Kalk.
Ausgaben],tblAuftraege[Datum
Ausgaben],"&gt;="&amp;AO$5,tblAuftraege[Datum
Ausgaben],"&lt;"&amp;EDATE(AO$5,1),tblAuftraege[Kostenstelle],$B42))</f>
        <v/>
      </c>
      <c r="AP42" s="27">
        <f>IF($B42="",0,SUMIFS(tblAuftraege[Kalk.
Ausgaben],tblAuftraege[Datum
Ausgaben],"&gt;="&amp;AP$5,tblAuftraege[Datum
Ausgaben],"&lt;"&amp;EDATE(AP$5,1),tblAuftraege[Kostenstelle],$B42))</f>
        <v/>
      </c>
      <c r="AQ42" s="27">
        <f>IF($B42="",0,SUMIFS(tblAuftraege[Kalk.
Ausgaben],tblAuftraege[Datum
Ausgaben],"&gt;="&amp;AQ$5,tblAuftraege[Datum
Ausgaben],"&lt;"&amp;EDATE(AQ$5,1),tblAuftraege[Kostenstelle],$B42))</f>
        <v/>
      </c>
      <c r="AR42" s="27">
        <f>IF($B42="",0,SUMIFS(tblAuftraege[Kalk.
Ausgaben],tblAuftraege[Datum
Ausgaben],"&gt;="&amp;AR$5,tblAuftraege[Datum
Ausgaben],"&lt;"&amp;EDATE(AR$5,1),tblAuftraege[Kostenstelle],$B42))</f>
        <v/>
      </c>
      <c r="AS42" s="27">
        <f>IF($B42="",0,SUMIFS(tblAuftraege[Kalk.
Ausgaben],tblAuftraege[Datum
Ausgaben],"&gt;="&amp;AS$5,tblAuftraege[Datum
Ausgaben],"&lt;"&amp;EDATE(AS$5,1),tblAuftraege[Kostenstelle],$B42))</f>
        <v/>
      </c>
      <c r="AT42" s="27">
        <f>IF($B42="",0,SUMIFS(tblAuftraege[Kalk.
Ausgaben],tblAuftraege[Datum
Ausgaben],"&gt;="&amp;AT$5,tblAuftraege[Datum
Ausgaben],"&lt;"&amp;EDATE(AT$5,1),tblAuftraege[Kostenstelle],$B42))</f>
        <v/>
      </c>
      <c r="AU42" s="27">
        <f>IF($B42="",0,SUMIFS(tblAuftraege[Kalk.
Ausgaben],tblAuftraege[Datum
Ausgaben],"&gt;="&amp;AU$5,tblAuftraege[Datum
Ausgaben],"&lt;"&amp;EDATE(AU$5,1),tblAuftraege[Kostenstelle],$B42))</f>
        <v/>
      </c>
      <c r="AV42" s="27">
        <f>IF($B42="",0,SUMIFS(tblAuftraege[Kalk.
Ausgaben],tblAuftraege[Datum
Ausgaben],"&gt;="&amp;AV$5,tblAuftraege[Datum
Ausgaben],"&lt;"&amp;EDATE(AV$5,1),tblAuftraege[Kostenstelle],$B42))</f>
        <v/>
      </c>
      <c r="AW42" s="27">
        <f>IF($B42="",0,SUMIFS(tblAuftraege[Kalk.
Ausgaben],tblAuftraege[Datum
Ausgaben],"&gt;="&amp;AW$5,tblAuftraege[Datum
Ausgaben],"&lt;"&amp;EDATE(AW$5,1),tblAuftraege[Kostenstelle],$B42))</f>
        <v/>
      </c>
      <c r="AX42" s="27">
        <f>IF($B42="",0,SUMIFS(tblAuftraege[Kalk.
Ausgaben],tblAuftraege[Datum
Ausgaben],"&gt;="&amp;AX$5,tblAuftraege[Datum
Ausgaben],"&lt;"&amp;EDATE(AX$5,1),tblAuftraege[Kostenstelle],$B42))</f>
        <v/>
      </c>
      <c r="AY42" s="27">
        <f>IF($B42="",0,SUMIFS(tblAuftraege[Kalk.
Ausgaben],tblAuftraege[Datum
Ausgaben],"&gt;="&amp;AY$5,tblAuftraege[Datum
Ausgaben],"&lt;"&amp;EDATE(AY$5,1),tblAuftraege[Kostenstelle],$B42))</f>
        <v/>
      </c>
      <c r="AZ42" s="27">
        <f>IF($B42="",0,SUMIFS(tblAuftraege[Kalk.
Ausgaben],tblAuftraege[Datum
Ausgaben],"&gt;="&amp;AZ$5,tblAuftraege[Datum
Ausgaben],"&lt;"&amp;EDATE(AZ$5,1),tblAuftraege[Kostenstelle],$B42))</f>
        <v/>
      </c>
      <c r="BA42" s="27">
        <f>IF($B42="",0,SUMIFS(tblAuftraege[Kalk.
Ausgaben],tblAuftraege[Datum
Ausgaben],"&gt;="&amp;BA$5,tblAuftraege[Datum
Ausgaben],"&lt;"&amp;EDATE(BA$5,1),tblAuftraege[Kostenstelle],$B42))</f>
        <v/>
      </c>
      <c r="BB42" s="27">
        <f>IF($B42="",0,SUMIFS(tblAuftraege[Kalk.
Ausgaben],tblAuftraege[Datum
Ausgaben],"&gt;="&amp;BB$5,tblAuftraege[Datum
Ausgaben],"&lt;"&amp;EDATE(BB$5,1),tblAuftraege[Kostenstelle],$B42))</f>
        <v/>
      </c>
      <c r="BC42" s="27">
        <f>IF($B42="",0,SUMIFS(tblAuftraege[Kalk.
Ausgaben],tblAuftraege[Datum
Ausgaben],"&gt;="&amp;BC$5,tblAuftraege[Datum
Ausgaben],"&lt;"&amp;EDATE(BC$5,1),tblAuftraege[Kostenstelle],$B42))</f>
        <v/>
      </c>
      <c r="BD42" s="27">
        <f>IF($B42="",0,SUMIFS(tblAuftraege[Kalk.
Ausgaben],tblAuftraege[Datum
Ausgaben],"&gt;="&amp;BD$5,tblAuftraege[Datum
Ausgaben],"&lt;"&amp;EDATE(BD$5,1),tblAuftraege[Kostenstelle],$B42))</f>
        <v/>
      </c>
      <c r="BE42" s="27">
        <f>SUM(C42:H42)</f>
        <v/>
      </c>
      <c r="BF42" s="27">
        <f>SUM(I42:T42)</f>
        <v/>
      </c>
      <c r="BG42" s="27">
        <f>SUM(U42:AF42)</f>
        <v/>
      </c>
      <c r="BH42" s="27">
        <f>SUM(AG42:AR42)</f>
        <v/>
      </c>
      <c r="BI42" s="27">
        <f>SUM(AS42:BD42)</f>
        <v/>
      </c>
      <c r="BJ42" s="27">
        <f>SUM(C42:BD42)</f>
        <v/>
      </c>
    </row>
    <row r="43">
      <c r="A43" s="34" t="n"/>
      <c r="B43" s="49">
        <f>IF(ISBLANK(B9),"",B9)</f>
        <v/>
      </c>
      <c r="C43" s="27">
        <f>IF($B43="",0,SUMIFS(tblAuftraege[Kalk.
Ausgaben],tblAuftraege[Datum
Ausgaben],"&gt;="&amp;C$5,tblAuftraege[Datum
Ausgaben],"&lt;"&amp;EDATE(C$5,1),tblAuftraege[Kostenstelle],$B43))</f>
        <v/>
      </c>
      <c r="D43" s="27">
        <f>IF($B43="",0,SUMIFS(tblAuftraege[Kalk.
Ausgaben],tblAuftraege[Datum
Ausgaben],"&gt;="&amp;D$5,tblAuftraege[Datum
Ausgaben],"&lt;"&amp;EDATE(D$5,1),tblAuftraege[Kostenstelle],$B43))</f>
        <v/>
      </c>
      <c r="E43" s="27">
        <f>IF($B43="",0,SUMIFS(tblAuftraege[Kalk.
Ausgaben],tblAuftraege[Datum
Ausgaben],"&gt;="&amp;E$5,tblAuftraege[Datum
Ausgaben],"&lt;"&amp;EDATE(E$5,1),tblAuftraege[Kostenstelle],$B43))</f>
        <v/>
      </c>
      <c r="F43" s="27">
        <f>IF($B43="",0,SUMIFS(tblAuftraege[Kalk.
Ausgaben],tblAuftraege[Datum
Ausgaben],"&gt;="&amp;F$5,tblAuftraege[Datum
Ausgaben],"&lt;"&amp;EDATE(F$5,1),tblAuftraege[Kostenstelle],$B43))</f>
        <v/>
      </c>
      <c r="G43" s="27">
        <f>IF($B43="",0,SUMIFS(tblAuftraege[Kalk.
Ausgaben],tblAuftraege[Datum
Ausgaben],"&gt;="&amp;G$5,tblAuftraege[Datum
Ausgaben],"&lt;"&amp;EDATE(G$5,1),tblAuftraege[Kostenstelle],$B43))</f>
        <v/>
      </c>
      <c r="H43" s="27">
        <f>IF($B43="",0,SUMIFS(tblAuftraege[Kalk.
Ausgaben],tblAuftraege[Datum
Ausgaben],"&gt;="&amp;H$5,tblAuftraege[Datum
Ausgaben],"&lt;"&amp;EDATE(H$5,1),tblAuftraege[Kostenstelle],$B43))</f>
        <v/>
      </c>
      <c r="I43" s="27">
        <f>IF($B43="",0,SUMIFS(tblAuftraege[Kalk.
Ausgaben],tblAuftraege[Datum
Ausgaben],"&gt;="&amp;I$5,tblAuftraege[Datum
Ausgaben],"&lt;"&amp;EDATE(I$5,1),tblAuftraege[Kostenstelle],$B43))</f>
        <v/>
      </c>
      <c r="J43" s="27">
        <f>IF($B43="",0,SUMIFS(tblAuftraege[Kalk.
Ausgaben],tblAuftraege[Datum
Ausgaben],"&gt;="&amp;J$5,tblAuftraege[Datum
Ausgaben],"&lt;"&amp;EDATE(J$5,1),tblAuftraege[Kostenstelle],$B43))</f>
        <v/>
      </c>
      <c r="K43" s="27">
        <f>IF($B43="",0,SUMIFS(tblAuftraege[Kalk.
Ausgaben],tblAuftraege[Datum
Ausgaben],"&gt;="&amp;K$5,tblAuftraege[Datum
Ausgaben],"&lt;"&amp;EDATE(K$5,1),tblAuftraege[Kostenstelle],$B43))</f>
        <v/>
      </c>
      <c r="L43" s="27">
        <f>IF($B43="",0,SUMIFS(tblAuftraege[Kalk.
Ausgaben],tblAuftraege[Datum
Ausgaben],"&gt;="&amp;L$5,tblAuftraege[Datum
Ausgaben],"&lt;"&amp;EDATE(L$5,1),tblAuftraege[Kostenstelle],$B43))</f>
        <v/>
      </c>
      <c r="M43" s="27">
        <f>IF($B43="",0,SUMIFS(tblAuftraege[Kalk.
Ausgaben],tblAuftraege[Datum
Ausgaben],"&gt;="&amp;M$5,tblAuftraege[Datum
Ausgaben],"&lt;"&amp;EDATE(M$5,1),tblAuftraege[Kostenstelle],$B43))</f>
        <v/>
      </c>
      <c r="N43" s="27">
        <f>IF($B43="",0,SUMIFS(tblAuftraege[Kalk.
Ausgaben],tblAuftraege[Datum
Ausgaben],"&gt;="&amp;N$5,tblAuftraege[Datum
Ausgaben],"&lt;"&amp;EDATE(N$5,1),tblAuftraege[Kostenstelle],$B43))</f>
        <v/>
      </c>
      <c r="O43" s="27">
        <f>IF($B43="",0,SUMIFS(tblAuftraege[Kalk.
Ausgaben],tblAuftraege[Datum
Ausgaben],"&gt;="&amp;O$5,tblAuftraege[Datum
Ausgaben],"&lt;"&amp;EDATE(O$5,1),tblAuftraege[Kostenstelle],$B43))</f>
        <v/>
      </c>
      <c r="P43" s="27">
        <f>IF($B43="",0,SUMIFS(tblAuftraege[Kalk.
Ausgaben],tblAuftraege[Datum
Ausgaben],"&gt;="&amp;P$5,tblAuftraege[Datum
Ausgaben],"&lt;"&amp;EDATE(P$5,1),tblAuftraege[Kostenstelle],$B43))</f>
        <v/>
      </c>
      <c r="Q43" s="27">
        <f>IF($B43="",0,SUMIFS(tblAuftraege[Kalk.
Ausgaben],tblAuftraege[Datum
Ausgaben],"&gt;="&amp;Q$5,tblAuftraege[Datum
Ausgaben],"&lt;"&amp;EDATE(Q$5,1),tblAuftraege[Kostenstelle],$B43))</f>
        <v/>
      </c>
      <c r="R43" s="27">
        <f>IF($B43="",0,SUMIFS(tblAuftraege[Kalk.
Ausgaben],tblAuftraege[Datum
Ausgaben],"&gt;="&amp;R$5,tblAuftraege[Datum
Ausgaben],"&lt;"&amp;EDATE(R$5,1),tblAuftraege[Kostenstelle],$B43))</f>
        <v/>
      </c>
      <c r="S43" s="27">
        <f>IF($B43="",0,SUMIFS(tblAuftraege[Kalk.
Ausgaben],tblAuftraege[Datum
Ausgaben],"&gt;="&amp;S$5,tblAuftraege[Datum
Ausgaben],"&lt;"&amp;EDATE(S$5,1),tblAuftraege[Kostenstelle],$B43))</f>
        <v/>
      </c>
      <c r="T43" s="27">
        <f>IF($B43="",0,SUMIFS(tblAuftraege[Kalk.
Ausgaben],tblAuftraege[Datum
Ausgaben],"&gt;="&amp;T$5,tblAuftraege[Datum
Ausgaben],"&lt;"&amp;EDATE(T$5,1),tblAuftraege[Kostenstelle],$B43))</f>
        <v/>
      </c>
      <c r="U43" s="27">
        <f>IF($B43="",0,SUMIFS(tblAuftraege[Kalk.
Ausgaben],tblAuftraege[Datum
Ausgaben],"&gt;="&amp;U$5,tblAuftraege[Datum
Ausgaben],"&lt;"&amp;EDATE(U$5,1),tblAuftraege[Kostenstelle],$B43))</f>
        <v/>
      </c>
      <c r="V43" s="27">
        <f>IF($B43="",0,SUMIFS(tblAuftraege[Kalk.
Ausgaben],tblAuftraege[Datum
Ausgaben],"&gt;="&amp;V$5,tblAuftraege[Datum
Ausgaben],"&lt;"&amp;EDATE(V$5,1),tblAuftraege[Kostenstelle],$B43))</f>
        <v/>
      </c>
      <c r="W43" s="27">
        <f>IF($B43="",0,SUMIFS(tblAuftraege[Kalk.
Ausgaben],tblAuftraege[Datum
Ausgaben],"&gt;="&amp;W$5,tblAuftraege[Datum
Ausgaben],"&lt;"&amp;EDATE(W$5,1),tblAuftraege[Kostenstelle],$B43))</f>
        <v/>
      </c>
      <c r="X43" s="27">
        <f>IF($B43="",0,SUMIFS(tblAuftraege[Kalk.
Ausgaben],tblAuftraege[Datum
Ausgaben],"&gt;="&amp;X$5,tblAuftraege[Datum
Ausgaben],"&lt;"&amp;EDATE(X$5,1),tblAuftraege[Kostenstelle],$B43))</f>
        <v/>
      </c>
      <c r="Y43" s="27">
        <f>IF($B43="",0,SUMIFS(tblAuftraege[Kalk.
Ausgaben],tblAuftraege[Datum
Ausgaben],"&gt;="&amp;Y$5,tblAuftraege[Datum
Ausgaben],"&lt;"&amp;EDATE(Y$5,1),tblAuftraege[Kostenstelle],$B43))</f>
        <v/>
      </c>
      <c r="Z43" s="27">
        <f>IF($B43="",0,SUMIFS(tblAuftraege[Kalk.
Ausgaben],tblAuftraege[Datum
Ausgaben],"&gt;="&amp;Z$5,tblAuftraege[Datum
Ausgaben],"&lt;"&amp;EDATE(Z$5,1),tblAuftraege[Kostenstelle],$B43))</f>
        <v/>
      </c>
      <c r="AA43" s="27">
        <f>IF($B43="",0,SUMIFS(tblAuftraege[Kalk.
Ausgaben],tblAuftraege[Datum
Ausgaben],"&gt;="&amp;AA$5,tblAuftraege[Datum
Ausgaben],"&lt;"&amp;EDATE(AA$5,1),tblAuftraege[Kostenstelle],$B43))</f>
        <v/>
      </c>
      <c r="AB43" s="27">
        <f>IF($B43="",0,SUMIFS(tblAuftraege[Kalk.
Ausgaben],tblAuftraege[Datum
Ausgaben],"&gt;="&amp;AB$5,tblAuftraege[Datum
Ausgaben],"&lt;"&amp;EDATE(AB$5,1),tblAuftraege[Kostenstelle],$B43))</f>
        <v/>
      </c>
      <c r="AC43" s="27">
        <f>IF($B43="",0,SUMIFS(tblAuftraege[Kalk.
Ausgaben],tblAuftraege[Datum
Ausgaben],"&gt;="&amp;AC$5,tblAuftraege[Datum
Ausgaben],"&lt;"&amp;EDATE(AC$5,1),tblAuftraege[Kostenstelle],$B43))</f>
        <v/>
      </c>
      <c r="AD43" s="27">
        <f>IF($B43="",0,SUMIFS(tblAuftraege[Kalk.
Ausgaben],tblAuftraege[Datum
Ausgaben],"&gt;="&amp;AD$5,tblAuftraege[Datum
Ausgaben],"&lt;"&amp;EDATE(AD$5,1),tblAuftraege[Kostenstelle],$B43))</f>
        <v/>
      </c>
      <c r="AE43" s="27">
        <f>IF($B43="",0,SUMIFS(tblAuftraege[Kalk.
Ausgaben],tblAuftraege[Datum
Ausgaben],"&gt;="&amp;AE$5,tblAuftraege[Datum
Ausgaben],"&lt;"&amp;EDATE(AE$5,1),tblAuftraege[Kostenstelle],$B43))</f>
        <v/>
      </c>
      <c r="AF43" s="27">
        <f>IF($B43="",0,SUMIFS(tblAuftraege[Kalk.
Ausgaben],tblAuftraege[Datum
Ausgaben],"&gt;="&amp;AF$5,tblAuftraege[Datum
Ausgaben],"&lt;"&amp;EDATE(AF$5,1),tblAuftraege[Kostenstelle],$B43))</f>
        <v/>
      </c>
      <c r="AG43" s="27">
        <f>IF($B43="",0,SUMIFS(tblAuftraege[Kalk.
Ausgaben],tblAuftraege[Datum
Ausgaben],"&gt;="&amp;AG$5,tblAuftraege[Datum
Ausgaben],"&lt;"&amp;EDATE(AG$5,1),tblAuftraege[Kostenstelle],$B43))</f>
        <v/>
      </c>
      <c r="AH43" s="27">
        <f>IF($B43="",0,SUMIFS(tblAuftraege[Kalk.
Ausgaben],tblAuftraege[Datum
Ausgaben],"&gt;="&amp;AH$5,tblAuftraege[Datum
Ausgaben],"&lt;"&amp;EDATE(AH$5,1),tblAuftraege[Kostenstelle],$B43))</f>
        <v/>
      </c>
      <c r="AI43" s="27">
        <f>IF($B43="",0,SUMIFS(tblAuftraege[Kalk.
Ausgaben],tblAuftraege[Datum
Ausgaben],"&gt;="&amp;AI$5,tblAuftraege[Datum
Ausgaben],"&lt;"&amp;EDATE(AI$5,1),tblAuftraege[Kostenstelle],$B43))</f>
        <v/>
      </c>
      <c r="AJ43" s="27">
        <f>IF($B43="",0,SUMIFS(tblAuftraege[Kalk.
Ausgaben],tblAuftraege[Datum
Ausgaben],"&gt;="&amp;AJ$5,tblAuftraege[Datum
Ausgaben],"&lt;"&amp;EDATE(AJ$5,1),tblAuftraege[Kostenstelle],$B43))</f>
        <v/>
      </c>
      <c r="AK43" s="27">
        <f>IF($B43="",0,SUMIFS(tblAuftraege[Kalk.
Ausgaben],tblAuftraege[Datum
Ausgaben],"&gt;="&amp;AK$5,tblAuftraege[Datum
Ausgaben],"&lt;"&amp;EDATE(AK$5,1),tblAuftraege[Kostenstelle],$B43))</f>
        <v/>
      </c>
      <c r="AL43" s="27">
        <f>IF($B43="",0,SUMIFS(tblAuftraege[Kalk.
Ausgaben],tblAuftraege[Datum
Ausgaben],"&gt;="&amp;AL$5,tblAuftraege[Datum
Ausgaben],"&lt;"&amp;EDATE(AL$5,1),tblAuftraege[Kostenstelle],$B43))</f>
        <v/>
      </c>
      <c r="AM43" s="27">
        <f>IF($B43="",0,SUMIFS(tblAuftraege[Kalk.
Ausgaben],tblAuftraege[Datum
Ausgaben],"&gt;="&amp;AM$5,tblAuftraege[Datum
Ausgaben],"&lt;"&amp;EDATE(AM$5,1),tblAuftraege[Kostenstelle],$B43))</f>
        <v/>
      </c>
      <c r="AN43" s="27">
        <f>IF($B43="",0,SUMIFS(tblAuftraege[Kalk.
Ausgaben],tblAuftraege[Datum
Ausgaben],"&gt;="&amp;AN$5,tblAuftraege[Datum
Ausgaben],"&lt;"&amp;EDATE(AN$5,1),tblAuftraege[Kostenstelle],$B43))</f>
        <v/>
      </c>
      <c r="AO43" s="27">
        <f>IF($B43="",0,SUMIFS(tblAuftraege[Kalk.
Ausgaben],tblAuftraege[Datum
Ausgaben],"&gt;="&amp;AO$5,tblAuftraege[Datum
Ausgaben],"&lt;"&amp;EDATE(AO$5,1),tblAuftraege[Kostenstelle],$B43))</f>
        <v/>
      </c>
      <c r="AP43" s="27">
        <f>IF($B43="",0,SUMIFS(tblAuftraege[Kalk.
Ausgaben],tblAuftraege[Datum
Ausgaben],"&gt;="&amp;AP$5,tblAuftraege[Datum
Ausgaben],"&lt;"&amp;EDATE(AP$5,1),tblAuftraege[Kostenstelle],$B43))</f>
        <v/>
      </c>
      <c r="AQ43" s="27">
        <f>IF($B43="",0,SUMIFS(tblAuftraege[Kalk.
Ausgaben],tblAuftraege[Datum
Ausgaben],"&gt;="&amp;AQ$5,tblAuftraege[Datum
Ausgaben],"&lt;"&amp;EDATE(AQ$5,1),tblAuftraege[Kostenstelle],$B43))</f>
        <v/>
      </c>
      <c r="AR43" s="27">
        <f>IF($B43="",0,SUMIFS(tblAuftraege[Kalk.
Ausgaben],tblAuftraege[Datum
Ausgaben],"&gt;="&amp;AR$5,tblAuftraege[Datum
Ausgaben],"&lt;"&amp;EDATE(AR$5,1),tblAuftraege[Kostenstelle],$B43))</f>
        <v/>
      </c>
      <c r="AS43" s="27">
        <f>IF($B43="",0,SUMIFS(tblAuftraege[Kalk.
Ausgaben],tblAuftraege[Datum
Ausgaben],"&gt;="&amp;AS$5,tblAuftraege[Datum
Ausgaben],"&lt;"&amp;EDATE(AS$5,1),tblAuftraege[Kostenstelle],$B43))</f>
        <v/>
      </c>
      <c r="AT43" s="27">
        <f>IF($B43="",0,SUMIFS(tblAuftraege[Kalk.
Ausgaben],tblAuftraege[Datum
Ausgaben],"&gt;="&amp;AT$5,tblAuftraege[Datum
Ausgaben],"&lt;"&amp;EDATE(AT$5,1),tblAuftraege[Kostenstelle],$B43))</f>
        <v/>
      </c>
      <c r="AU43" s="27">
        <f>IF($B43="",0,SUMIFS(tblAuftraege[Kalk.
Ausgaben],tblAuftraege[Datum
Ausgaben],"&gt;="&amp;AU$5,tblAuftraege[Datum
Ausgaben],"&lt;"&amp;EDATE(AU$5,1),tblAuftraege[Kostenstelle],$B43))</f>
        <v/>
      </c>
      <c r="AV43" s="27">
        <f>IF($B43="",0,SUMIFS(tblAuftraege[Kalk.
Ausgaben],tblAuftraege[Datum
Ausgaben],"&gt;="&amp;AV$5,tblAuftraege[Datum
Ausgaben],"&lt;"&amp;EDATE(AV$5,1),tblAuftraege[Kostenstelle],$B43))</f>
        <v/>
      </c>
      <c r="AW43" s="27">
        <f>IF($B43="",0,SUMIFS(tblAuftraege[Kalk.
Ausgaben],tblAuftraege[Datum
Ausgaben],"&gt;="&amp;AW$5,tblAuftraege[Datum
Ausgaben],"&lt;"&amp;EDATE(AW$5,1),tblAuftraege[Kostenstelle],$B43))</f>
        <v/>
      </c>
      <c r="AX43" s="27">
        <f>IF($B43="",0,SUMIFS(tblAuftraege[Kalk.
Ausgaben],tblAuftraege[Datum
Ausgaben],"&gt;="&amp;AX$5,tblAuftraege[Datum
Ausgaben],"&lt;"&amp;EDATE(AX$5,1),tblAuftraege[Kostenstelle],$B43))</f>
        <v/>
      </c>
      <c r="AY43" s="27">
        <f>IF($B43="",0,SUMIFS(tblAuftraege[Kalk.
Ausgaben],tblAuftraege[Datum
Ausgaben],"&gt;="&amp;AY$5,tblAuftraege[Datum
Ausgaben],"&lt;"&amp;EDATE(AY$5,1),tblAuftraege[Kostenstelle],$B43))</f>
        <v/>
      </c>
      <c r="AZ43" s="27">
        <f>IF($B43="",0,SUMIFS(tblAuftraege[Kalk.
Ausgaben],tblAuftraege[Datum
Ausgaben],"&gt;="&amp;AZ$5,tblAuftraege[Datum
Ausgaben],"&lt;"&amp;EDATE(AZ$5,1),tblAuftraege[Kostenstelle],$B43))</f>
        <v/>
      </c>
      <c r="BA43" s="27">
        <f>IF($B43="",0,SUMIFS(tblAuftraege[Kalk.
Ausgaben],tblAuftraege[Datum
Ausgaben],"&gt;="&amp;BA$5,tblAuftraege[Datum
Ausgaben],"&lt;"&amp;EDATE(BA$5,1),tblAuftraege[Kostenstelle],$B43))</f>
        <v/>
      </c>
      <c r="BB43" s="27">
        <f>IF($B43="",0,SUMIFS(tblAuftraege[Kalk.
Ausgaben],tblAuftraege[Datum
Ausgaben],"&gt;="&amp;BB$5,tblAuftraege[Datum
Ausgaben],"&lt;"&amp;EDATE(BB$5,1),tblAuftraege[Kostenstelle],$B43))</f>
        <v/>
      </c>
      <c r="BC43" s="27">
        <f>IF($B43="",0,SUMIFS(tblAuftraege[Kalk.
Ausgaben],tblAuftraege[Datum
Ausgaben],"&gt;="&amp;BC$5,tblAuftraege[Datum
Ausgaben],"&lt;"&amp;EDATE(BC$5,1),tblAuftraege[Kostenstelle],$B43))</f>
        <v/>
      </c>
      <c r="BD43" s="27">
        <f>IF($B43="",0,SUMIFS(tblAuftraege[Kalk.
Ausgaben],tblAuftraege[Datum
Ausgaben],"&gt;="&amp;BD$5,tblAuftraege[Datum
Ausgaben],"&lt;"&amp;EDATE(BD$5,1),tblAuftraege[Kostenstelle],$B43))</f>
        <v/>
      </c>
      <c r="BE43" s="27">
        <f>SUM(C43:H43)</f>
        <v/>
      </c>
      <c r="BF43" s="27">
        <f>SUM(I43:T43)</f>
        <v/>
      </c>
      <c r="BG43" s="27">
        <f>SUM(U43:AF43)</f>
        <v/>
      </c>
      <c r="BH43" s="27">
        <f>SUM(AG43:AR43)</f>
        <v/>
      </c>
      <c r="BI43" s="27">
        <f>SUM(AS43:BD43)</f>
        <v/>
      </c>
      <c r="BJ43" s="27">
        <f>SUM(C43:BD43)</f>
        <v/>
      </c>
    </row>
    <row r="44">
      <c r="A44" s="34" t="n"/>
      <c r="B44" s="49">
        <f>IF(ISBLANK(B10),"",B10)</f>
        <v/>
      </c>
      <c r="C44" s="27">
        <f>IF($B44="",0,SUMIFS(tblAuftraege[Kalk.
Ausgaben],tblAuftraege[Datum
Ausgaben],"&gt;="&amp;C$5,tblAuftraege[Datum
Ausgaben],"&lt;"&amp;EDATE(C$5,1),tblAuftraege[Kostenstelle],$B44))</f>
        <v/>
      </c>
      <c r="D44" s="27">
        <f>IF($B44="",0,SUMIFS(tblAuftraege[Kalk.
Ausgaben],tblAuftraege[Datum
Ausgaben],"&gt;="&amp;D$5,tblAuftraege[Datum
Ausgaben],"&lt;"&amp;EDATE(D$5,1),tblAuftraege[Kostenstelle],$B44))</f>
        <v/>
      </c>
      <c r="E44" s="27">
        <f>IF($B44="",0,SUMIFS(tblAuftraege[Kalk.
Ausgaben],tblAuftraege[Datum
Ausgaben],"&gt;="&amp;E$5,tblAuftraege[Datum
Ausgaben],"&lt;"&amp;EDATE(E$5,1),tblAuftraege[Kostenstelle],$B44))</f>
        <v/>
      </c>
      <c r="F44" s="27">
        <f>IF($B44="",0,SUMIFS(tblAuftraege[Kalk.
Ausgaben],tblAuftraege[Datum
Ausgaben],"&gt;="&amp;F$5,tblAuftraege[Datum
Ausgaben],"&lt;"&amp;EDATE(F$5,1),tblAuftraege[Kostenstelle],$B44))</f>
        <v/>
      </c>
      <c r="G44" s="27">
        <f>IF($B44="",0,SUMIFS(tblAuftraege[Kalk.
Ausgaben],tblAuftraege[Datum
Ausgaben],"&gt;="&amp;G$5,tblAuftraege[Datum
Ausgaben],"&lt;"&amp;EDATE(G$5,1),tblAuftraege[Kostenstelle],$B44))</f>
        <v/>
      </c>
      <c r="H44" s="27">
        <f>IF($B44="",0,SUMIFS(tblAuftraege[Kalk.
Ausgaben],tblAuftraege[Datum
Ausgaben],"&gt;="&amp;H$5,tblAuftraege[Datum
Ausgaben],"&lt;"&amp;EDATE(H$5,1),tblAuftraege[Kostenstelle],$B44))</f>
        <v/>
      </c>
      <c r="I44" s="27">
        <f>IF($B44="",0,SUMIFS(tblAuftraege[Kalk.
Ausgaben],tblAuftraege[Datum
Ausgaben],"&gt;="&amp;I$5,tblAuftraege[Datum
Ausgaben],"&lt;"&amp;EDATE(I$5,1),tblAuftraege[Kostenstelle],$B44))</f>
        <v/>
      </c>
      <c r="J44" s="27">
        <f>IF($B44="",0,SUMIFS(tblAuftraege[Kalk.
Ausgaben],tblAuftraege[Datum
Ausgaben],"&gt;="&amp;J$5,tblAuftraege[Datum
Ausgaben],"&lt;"&amp;EDATE(J$5,1),tblAuftraege[Kostenstelle],$B44))</f>
        <v/>
      </c>
      <c r="K44" s="27">
        <f>IF($B44="",0,SUMIFS(tblAuftraege[Kalk.
Ausgaben],tblAuftraege[Datum
Ausgaben],"&gt;="&amp;K$5,tblAuftraege[Datum
Ausgaben],"&lt;"&amp;EDATE(K$5,1),tblAuftraege[Kostenstelle],$B44))</f>
        <v/>
      </c>
      <c r="L44" s="27">
        <f>IF($B44="",0,SUMIFS(tblAuftraege[Kalk.
Ausgaben],tblAuftraege[Datum
Ausgaben],"&gt;="&amp;L$5,tblAuftraege[Datum
Ausgaben],"&lt;"&amp;EDATE(L$5,1),tblAuftraege[Kostenstelle],$B44))</f>
        <v/>
      </c>
      <c r="M44" s="27">
        <f>IF($B44="",0,SUMIFS(tblAuftraege[Kalk.
Ausgaben],tblAuftraege[Datum
Ausgaben],"&gt;="&amp;M$5,tblAuftraege[Datum
Ausgaben],"&lt;"&amp;EDATE(M$5,1),tblAuftraege[Kostenstelle],$B44))</f>
        <v/>
      </c>
      <c r="N44" s="27">
        <f>IF($B44="",0,SUMIFS(tblAuftraege[Kalk.
Ausgaben],tblAuftraege[Datum
Ausgaben],"&gt;="&amp;N$5,tblAuftraege[Datum
Ausgaben],"&lt;"&amp;EDATE(N$5,1),tblAuftraege[Kostenstelle],$B44))</f>
        <v/>
      </c>
      <c r="O44" s="27">
        <f>IF($B44="",0,SUMIFS(tblAuftraege[Kalk.
Ausgaben],tblAuftraege[Datum
Ausgaben],"&gt;="&amp;O$5,tblAuftraege[Datum
Ausgaben],"&lt;"&amp;EDATE(O$5,1),tblAuftraege[Kostenstelle],$B44))</f>
        <v/>
      </c>
      <c r="P44" s="27">
        <f>IF($B44="",0,SUMIFS(tblAuftraege[Kalk.
Ausgaben],tblAuftraege[Datum
Ausgaben],"&gt;="&amp;P$5,tblAuftraege[Datum
Ausgaben],"&lt;"&amp;EDATE(P$5,1),tblAuftraege[Kostenstelle],$B44))</f>
        <v/>
      </c>
      <c r="Q44" s="27">
        <f>IF($B44="",0,SUMIFS(tblAuftraege[Kalk.
Ausgaben],tblAuftraege[Datum
Ausgaben],"&gt;="&amp;Q$5,tblAuftraege[Datum
Ausgaben],"&lt;"&amp;EDATE(Q$5,1),tblAuftraege[Kostenstelle],$B44))</f>
        <v/>
      </c>
      <c r="R44" s="27">
        <f>IF($B44="",0,SUMIFS(tblAuftraege[Kalk.
Ausgaben],tblAuftraege[Datum
Ausgaben],"&gt;="&amp;R$5,tblAuftraege[Datum
Ausgaben],"&lt;"&amp;EDATE(R$5,1),tblAuftraege[Kostenstelle],$B44))</f>
        <v/>
      </c>
      <c r="S44" s="27">
        <f>IF($B44="",0,SUMIFS(tblAuftraege[Kalk.
Ausgaben],tblAuftraege[Datum
Ausgaben],"&gt;="&amp;S$5,tblAuftraege[Datum
Ausgaben],"&lt;"&amp;EDATE(S$5,1),tblAuftraege[Kostenstelle],$B44))</f>
        <v/>
      </c>
      <c r="T44" s="27">
        <f>IF($B44="",0,SUMIFS(tblAuftraege[Kalk.
Ausgaben],tblAuftraege[Datum
Ausgaben],"&gt;="&amp;T$5,tblAuftraege[Datum
Ausgaben],"&lt;"&amp;EDATE(T$5,1),tblAuftraege[Kostenstelle],$B44))</f>
        <v/>
      </c>
      <c r="U44" s="27">
        <f>IF($B44="",0,SUMIFS(tblAuftraege[Kalk.
Ausgaben],tblAuftraege[Datum
Ausgaben],"&gt;="&amp;U$5,tblAuftraege[Datum
Ausgaben],"&lt;"&amp;EDATE(U$5,1),tblAuftraege[Kostenstelle],$B44))</f>
        <v/>
      </c>
      <c r="V44" s="27">
        <f>IF($B44="",0,SUMIFS(tblAuftraege[Kalk.
Ausgaben],tblAuftraege[Datum
Ausgaben],"&gt;="&amp;V$5,tblAuftraege[Datum
Ausgaben],"&lt;"&amp;EDATE(V$5,1),tblAuftraege[Kostenstelle],$B44))</f>
        <v/>
      </c>
      <c r="W44" s="27">
        <f>IF($B44="",0,SUMIFS(tblAuftraege[Kalk.
Ausgaben],tblAuftraege[Datum
Ausgaben],"&gt;="&amp;W$5,tblAuftraege[Datum
Ausgaben],"&lt;"&amp;EDATE(W$5,1),tblAuftraege[Kostenstelle],$B44))</f>
        <v/>
      </c>
      <c r="X44" s="27">
        <f>IF($B44="",0,SUMIFS(tblAuftraege[Kalk.
Ausgaben],tblAuftraege[Datum
Ausgaben],"&gt;="&amp;X$5,tblAuftraege[Datum
Ausgaben],"&lt;"&amp;EDATE(X$5,1),tblAuftraege[Kostenstelle],$B44))</f>
        <v/>
      </c>
      <c r="Y44" s="27">
        <f>IF($B44="",0,SUMIFS(tblAuftraege[Kalk.
Ausgaben],tblAuftraege[Datum
Ausgaben],"&gt;="&amp;Y$5,tblAuftraege[Datum
Ausgaben],"&lt;"&amp;EDATE(Y$5,1),tblAuftraege[Kostenstelle],$B44))</f>
        <v/>
      </c>
      <c r="Z44" s="27">
        <f>IF($B44="",0,SUMIFS(tblAuftraege[Kalk.
Ausgaben],tblAuftraege[Datum
Ausgaben],"&gt;="&amp;Z$5,tblAuftraege[Datum
Ausgaben],"&lt;"&amp;EDATE(Z$5,1),tblAuftraege[Kostenstelle],$B44))</f>
        <v/>
      </c>
      <c r="AA44" s="27">
        <f>IF($B44="",0,SUMIFS(tblAuftraege[Kalk.
Ausgaben],tblAuftraege[Datum
Ausgaben],"&gt;="&amp;AA$5,tblAuftraege[Datum
Ausgaben],"&lt;"&amp;EDATE(AA$5,1),tblAuftraege[Kostenstelle],$B44))</f>
        <v/>
      </c>
      <c r="AB44" s="27">
        <f>IF($B44="",0,SUMIFS(tblAuftraege[Kalk.
Ausgaben],tblAuftraege[Datum
Ausgaben],"&gt;="&amp;AB$5,tblAuftraege[Datum
Ausgaben],"&lt;"&amp;EDATE(AB$5,1),tblAuftraege[Kostenstelle],$B44))</f>
        <v/>
      </c>
      <c r="AC44" s="27">
        <f>IF($B44="",0,SUMIFS(tblAuftraege[Kalk.
Ausgaben],tblAuftraege[Datum
Ausgaben],"&gt;="&amp;AC$5,tblAuftraege[Datum
Ausgaben],"&lt;"&amp;EDATE(AC$5,1),tblAuftraege[Kostenstelle],$B44))</f>
        <v/>
      </c>
      <c r="AD44" s="27">
        <f>IF($B44="",0,SUMIFS(tblAuftraege[Kalk.
Ausgaben],tblAuftraege[Datum
Ausgaben],"&gt;="&amp;AD$5,tblAuftraege[Datum
Ausgaben],"&lt;"&amp;EDATE(AD$5,1),tblAuftraege[Kostenstelle],$B44))</f>
        <v/>
      </c>
      <c r="AE44" s="27">
        <f>IF($B44="",0,SUMIFS(tblAuftraege[Kalk.
Ausgaben],tblAuftraege[Datum
Ausgaben],"&gt;="&amp;AE$5,tblAuftraege[Datum
Ausgaben],"&lt;"&amp;EDATE(AE$5,1),tblAuftraege[Kostenstelle],$B44))</f>
        <v/>
      </c>
      <c r="AF44" s="27">
        <f>IF($B44="",0,SUMIFS(tblAuftraege[Kalk.
Ausgaben],tblAuftraege[Datum
Ausgaben],"&gt;="&amp;AF$5,tblAuftraege[Datum
Ausgaben],"&lt;"&amp;EDATE(AF$5,1),tblAuftraege[Kostenstelle],$B44))</f>
        <v/>
      </c>
      <c r="AG44" s="27">
        <f>IF($B44="",0,SUMIFS(tblAuftraege[Kalk.
Ausgaben],tblAuftraege[Datum
Ausgaben],"&gt;="&amp;AG$5,tblAuftraege[Datum
Ausgaben],"&lt;"&amp;EDATE(AG$5,1),tblAuftraege[Kostenstelle],$B44))</f>
        <v/>
      </c>
      <c r="AH44" s="27">
        <f>IF($B44="",0,SUMIFS(tblAuftraege[Kalk.
Ausgaben],tblAuftraege[Datum
Ausgaben],"&gt;="&amp;AH$5,tblAuftraege[Datum
Ausgaben],"&lt;"&amp;EDATE(AH$5,1),tblAuftraege[Kostenstelle],$B44))</f>
        <v/>
      </c>
      <c r="AI44" s="27">
        <f>IF($B44="",0,SUMIFS(tblAuftraege[Kalk.
Ausgaben],tblAuftraege[Datum
Ausgaben],"&gt;="&amp;AI$5,tblAuftraege[Datum
Ausgaben],"&lt;"&amp;EDATE(AI$5,1),tblAuftraege[Kostenstelle],$B44))</f>
        <v/>
      </c>
      <c r="AJ44" s="27">
        <f>IF($B44="",0,SUMIFS(tblAuftraege[Kalk.
Ausgaben],tblAuftraege[Datum
Ausgaben],"&gt;="&amp;AJ$5,tblAuftraege[Datum
Ausgaben],"&lt;"&amp;EDATE(AJ$5,1),tblAuftraege[Kostenstelle],$B44))</f>
        <v/>
      </c>
      <c r="AK44" s="27">
        <f>IF($B44="",0,SUMIFS(tblAuftraege[Kalk.
Ausgaben],tblAuftraege[Datum
Ausgaben],"&gt;="&amp;AK$5,tblAuftraege[Datum
Ausgaben],"&lt;"&amp;EDATE(AK$5,1),tblAuftraege[Kostenstelle],$B44))</f>
        <v/>
      </c>
      <c r="AL44" s="27">
        <f>IF($B44="",0,SUMIFS(tblAuftraege[Kalk.
Ausgaben],tblAuftraege[Datum
Ausgaben],"&gt;="&amp;AL$5,tblAuftraege[Datum
Ausgaben],"&lt;"&amp;EDATE(AL$5,1),tblAuftraege[Kostenstelle],$B44))</f>
        <v/>
      </c>
      <c r="AM44" s="27">
        <f>IF($B44="",0,SUMIFS(tblAuftraege[Kalk.
Ausgaben],tblAuftraege[Datum
Ausgaben],"&gt;="&amp;AM$5,tblAuftraege[Datum
Ausgaben],"&lt;"&amp;EDATE(AM$5,1),tblAuftraege[Kostenstelle],$B44))</f>
        <v/>
      </c>
      <c r="AN44" s="27">
        <f>IF($B44="",0,SUMIFS(tblAuftraege[Kalk.
Ausgaben],tblAuftraege[Datum
Ausgaben],"&gt;="&amp;AN$5,tblAuftraege[Datum
Ausgaben],"&lt;"&amp;EDATE(AN$5,1),tblAuftraege[Kostenstelle],$B44))</f>
        <v/>
      </c>
      <c r="AO44" s="27">
        <f>IF($B44="",0,SUMIFS(tblAuftraege[Kalk.
Ausgaben],tblAuftraege[Datum
Ausgaben],"&gt;="&amp;AO$5,tblAuftraege[Datum
Ausgaben],"&lt;"&amp;EDATE(AO$5,1),tblAuftraege[Kostenstelle],$B44))</f>
        <v/>
      </c>
      <c r="AP44" s="27">
        <f>IF($B44="",0,SUMIFS(tblAuftraege[Kalk.
Ausgaben],tblAuftraege[Datum
Ausgaben],"&gt;="&amp;AP$5,tblAuftraege[Datum
Ausgaben],"&lt;"&amp;EDATE(AP$5,1),tblAuftraege[Kostenstelle],$B44))</f>
        <v/>
      </c>
      <c r="AQ44" s="27">
        <f>IF($B44="",0,SUMIFS(tblAuftraege[Kalk.
Ausgaben],tblAuftraege[Datum
Ausgaben],"&gt;="&amp;AQ$5,tblAuftraege[Datum
Ausgaben],"&lt;"&amp;EDATE(AQ$5,1),tblAuftraege[Kostenstelle],$B44))</f>
        <v/>
      </c>
      <c r="AR44" s="27">
        <f>IF($B44="",0,SUMIFS(tblAuftraege[Kalk.
Ausgaben],tblAuftraege[Datum
Ausgaben],"&gt;="&amp;AR$5,tblAuftraege[Datum
Ausgaben],"&lt;"&amp;EDATE(AR$5,1),tblAuftraege[Kostenstelle],$B44))</f>
        <v/>
      </c>
      <c r="AS44" s="27">
        <f>IF($B44="",0,SUMIFS(tblAuftraege[Kalk.
Ausgaben],tblAuftraege[Datum
Ausgaben],"&gt;="&amp;AS$5,tblAuftraege[Datum
Ausgaben],"&lt;"&amp;EDATE(AS$5,1),tblAuftraege[Kostenstelle],$B44))</f>
        <v/>
      </c>
      <c r="AT44" s="27">
        <f>IF($B44="",0,SUMIFS(tblAuftraege[Kalk.
Ausgaben],tblAuftraege[Datum
Ausgaben],"&gt;="&amp;AT$5,tblAuftraege[Datum
Ausgaben],"&lt;"&amp;EDATE(AT$5,1),tblAuftraege[Kostenstelle],$B44))</f>
        <v/>
      </c>
      <c r="AU44" s="27">
        <f>IF($B44="",0,SUMIFS(tblAuftraege[Kalk.
Ausgaben],tblAuftraege[Datum
Ausgaben],"&gt;="&amp;AU$5,tblAuftraege[Datum
Ausgaben],"&lt;"&amp;EDATE(AU$5,1),tblAuftraege[Kostenstelle],$B44))</f>
        <v/>
      </c>
      <c r="AV44" s="27">
        <f>IF($B44="",0,SUMIFS(tblAuftraege[Kalk.
Ausgaben],tblAuftraege[Datum
Ausgaben],"&gt;="&amp;AV$5,tblAuftraege[Datum
Ausgaben],"&lt;"&amp;EDATE(AV$5,1),tblAuftraege[Kostenstelle],$B44))</f>
        <v/>
      </c>
      <c r="AW44" s="27">
        <f>IF($B44="",0,SUMIFS(tblAuftraege[Kalk.
Ausgaben],tblAuftraege[Datum
Ausgaben],"&gt;="&amp;AW$5,tblAuftraege[Datum
Ausgaben],"&lt;"&amp;EDATE(AW$5,1),tblAuftraege[Kostenstelle],$B44))</f>
        <v/>
      </c>
      <c r="AX44" s="27">
        <f>IF($B44="",0,SUMIFS(tblAuftraege[Kalk.
Ausgaben],tblAuftraege[Datum
Ausgaben],"&gt;="&amp;AX$5,tblAuftraege[Datum
Ausgaben],"&lt;"&amp;EDATE(AX$5,1),tblAuftraege[Kostenstelle],$B44))</f>
        <v/>
      </c>
      <c r="AY44" s="27">
        <f>IF($B44="",0,SUMIFS(tblAuftraege[Kalk.
Ausgaben],tblAuftraege[Datum
Ausgaben],"&gt;="&amp;AY$5,tblAuftraege[Datum
Ausgaben],"&lt;"&amp;EDATE(AY$5,1),tblAuftraege[Kostenstelle],$B44))</f>
        <v/>
      </c>
      <c r="AZ44" s="27">
        <f>IF($B44="",0,SUMIFS(tblAuftraege[Kalk.
Ausgaben],tblAuftraege[Datum
Ausgaben],"&gt;="&amp;AZ$5,tblAuftraege[Datum
Ausgaben],"&lt;"&amp;EDATE(AZ$5,1),tblAuftraege[Kostenstelle],$B44))</f>
        <v/>
      </c>
      <c r="BA44" s="27">
        <f>IF($B44="",0,SUMIFS(tblAuftraege[Kalk.
Ausgaben],tblAuftraege[Datum
Ausgaben],"&gt;="&amp;BA$5,tblAuftraege[Datum
Ausgaben],"&lt;"&amp;EDATE(BA$5,1),tblAuftraege[Kostenstelle],$B44))</f>
        <v/>
      </c>
      <c r="BB44" s="27">
        <f>IF($B44="",0,SUMIFS(tblAuftraege[Kalk.
Ausgaben],tblAuftraege[Datum
Ausgaben],"&gt;="&amp;BB$5,tblAuftraege[Datum
Ausgaben],"&lt;"&amp;EDATE(BB$5,1),tblAuftraege[Kostenstelle],$B44))</f>
        <v/>
      </c>
      <c r="BC44" s="27">
        <f>IF($B44="",0,SUMIFS(tblAuftraege[Kalk.
Ausgaben],tblAuftraege[Datum
Ausgaben],"&gt;="&amp;BC$5,tblAuftraege[Datum
Ausgaben],"&lt;"&amp;EDATE(BC$5,1),tblAuftraege[Kostenstelle],$B44))</f>
        <v/>
      </c>
      <c r="BD44" s="27">
        <f>IF($B44="",0,SUMIFS(tblAuftraege[Kalk.
Ausgaben],tblAuftraege[Datum
Ausgaben],"&gt;="&amp;BD$5,tblAuftraege[Datum
Ausgaben],"&lt;"&amp;EDATE(BD$5,1),tblAuftraege[Kostenstelle],$B44))</f>
        <v/>
      </c>
      <c r="BE44" s="27">
        <f>SUM(C44:H44)</f>
        <v/>
      </c>
      <c r="BF44" s="27">
        <f>SUM(I44:T44)</f>
        <v/>
      </c>
      <c r="BG44" s="27">
        <f>SUM(U44:AF44)</f>
        <v/>
      </c>
      <c r="BH44" s="27">
        <f>SUM(AG44:AR44)</f>
        <v/>
      </c>
      <c r="BI44" s="27">
        <f>SUM(AS44:BD44)</f>
        <v/>
      </c>
      <c r="BJ44" s="27">
        <f>SUM(C44:BD44)</f>
        <v/>
      </c>
    </row>
    <row r="45">
      <c r="A45" s="34" t="n"/>
      <c r="B45" s="49">
        <f>IF(ISBLANK(B11),"",B11)</f>
        <v/>
      </c>
      <c r="C45" s="27">
        <f>IF($B45="",0,SUMIFS(tblAuftraege[Kalk.
Ausgaben],tblAuftraege[Datum
Ausgaben],"&gt;="&amp;C$5,tblAuftraege[Datum
Ausgaben],"&lt;"&amp;EDATE(C$5,1),tblAuftraege[Kostenstelle],$B45))</f>
        <v/>
      </c>
      <c r="D45" s="27">
        <f>IF($B45="",0,SUMIFS(tblAuftraege[Kalk.
Ausgaben],tblAuftraege[Datum
Ausgaben],"&gt;="&amp;D$5,tblAuftraege[Datum
Ausgaben],"&lt;"&amp;EDATE(D$5,1),tblAuftraege[Kostenstelle],$B45))</f>
        <v/>
      </c>
      <c r="E45" s="27">
        <f>IF($B45="",0,SUMIFS(tblAuftraege[Kalk.
Ausgaben],tblAuftraege[Datum
Ausgaben],"&gt;="&amp;E$5,tblAuftraege[Datum
Ausgaben],"&lt;"&amp;EDATE(E$5,1),tblAuftraege[Kostenstelle],$B45))</f>
        <v/>
      </c>
      <c r="F45" s="27">
        <f>IF($B45="",0,SUMIFS(tblAuftraege[Kalk.
Ausgaben],tblAuftraege[Datum
Ausgaben],"&gt;="&amp;F$5,tblAuftraege[Datum
Ausgaben],"&lt;"&amp;EDATE(F$5,1),tblAuftraege[Kostenstelle],$B45))</f>
        <v/>
      </c>
      <c r="G45" s="27">
        <f>IF($B45="",0,SUMIFS(tblAuftraege[Kalk.
Ausgaben],tblAuftraege[Datum
Ausgaben],"&gt;="&amp;G$5,tblAuftraege[Datum
Ausgaben],"&lt;"&amp;EDATE(G$5,1),tblAuftraege[Kostenstelle],$B45))</f>
        <v/>
      </c>
      <c r="H45" s="27">
        <f>IF($B45="",0,SUMIFS(tblAuftraege[Kalk.
Ausgaben],tblAuftraege[Datum
Ausgaben],"&gt;="&amp;H$5,tblAuftraege[Datum
Ausgaben],"&lt;"&amp;EDATE(H$5,1),tblAuftraege[Kostenstelle],$B45))</f>
        <v/>
      </c>
      <c r="I45" s="27">
        <f>IF($B45="",0,SUMIFS(tblAuftraege[Kalk.
Ausgaben],tblAuftraege[Datum
Ausgaben],"&gt;="&amp;I$5,tblAuftraege[Datum
Ausgaben],"&lt;"&amp;EDATE(I$5,1),tblAuftraege[Kostenstelle],$B45))</f>
        <v/>
      </c>
      <c r="J45" s="27">
        <f>IF($B45="",0,SUMIFS(tblAuftraege[Kalk.
Ausgaben],tblAuftraege[Datum
Ausgaben],"&gt;="&amp;J$5,tblAuftraege[Datum
Ausgaben],"&lt;"&amp;EDATE(J$5,1),tblAuftraege[Kostenstelle],$B45))</f>
        <v/>
      </c>
      <c r="K45" s="27">
        <f>IF($B45="",0,SUMIFS(tblAuftraege[Kalk.
Ausgaben],tblAuftraege[Datum
Ausgaben],"&gt;="&amp;K$5,tblAuftraege[Datum
Ausgaben],"&lt;"&amp;EDATE(K$5,1),tblAuftraege[Kostenstelle],$B45))</f>
        <v/>
      </c>
      <c r="L45" s="27">
        <f>IF($B45="",0,SUMIFS(tblAuftraege[Kalk.
Ausgaben],tblAuftraege[Datum
Ausgaben],"&gt;="&amp;L$5,tblAuftraege[Datum
Ausgaben],"&lt;"&amp;EDATE(L$5,1),tblAuftraege[Kostenstelle],$B45))</f>
        <v/>
      </c>
      <c r="M45" s="27">
        <f>IF($B45="",0,SUMIFS(tblAuftraege[Kalk.
Ausgaben],tblAuftraege[Datum
Ausgaben],"&gt;="&amp;M$5,tblAuftraege[Datum
Ausgaben],"&lt;"&amp;EDATE(M$5,1),tblAuftraege[Kostenstelle],$B45))</f>
        <v/>
      </c>
      <c r="N45" s="27">
        <f>IF($B45="",0,SUMIFS(tblAuftraege[Kalk.
Ausgaben],tblAuftraege[Datum
Ausgaben],"&gt;="&amp;N$5,tblAuftraege[Datum
Ausgaben],"&lt;"&amp;EDATE(N$5,1),tblAuftraege[Kostenstelle],$B45))</f>
        <v/>
      </c>
      <c r="O45" s="27">
        <f>IF($B45="",0,SUMIFS(tblAuftraege[Kalk.
Ausgaben],tblAuftraege[Datum
Ausgaben],"&gt;="&amp;O$5,tblAuftraege[Datum
Ausgaben],"&lt;"&amp;EDATE(O$5,1),tblAuftraege[Kostenstelle],$B45))</f>
        <v/>
      </c>
      <c r="P45" s="27">
        <f>IF($B45="",0,SUMIFS(tblAuftraege[Kalk.
Ausgaben],tblAuftraege[Datum
Ausgaben],"&gt;="&amp;P$5,tblAuftraege[Datum
Ausgaben],"&lt;"&amp;EDATE(P$5,1),tblAuftraege[Kostenstelle],$B45))</f>
        <v/>
      </c>
      <c r="Q45" s="27">
        <f>IF($B45="",0,SUMIFS(tblAuftraege[Kalk.
Ausgaben],tblAuftraege[Datum
Ausgaben],"&gt;="&amp;Q$5,tblAuftraege[Datum
Ausgaben],"&lt;"&amp;EDATE(Q$5,1),tblAuftraege[Kostenstelle],$B45))</f>
        <v/>
      </c>
      <c r="R45" s="27">
        <f>IF($B45="",0,SUMIFS(tblAuftraege[Kalk.
Ausgaben],tblAuftraege[Datum
Ausgaben],"&gt;="&amp;R$5,tblAuftraege[Datum
Ausgaben],"&lt;"&amp;EDATE(R$5,1),tblAuftraege[Kostenstelle],$B45))</f>
        <v/>
      </c>
      <c r="S45" s="27">
        <f>IF($B45="",0,SUMIFS(tblAuftraege[Kalk.
Ausgaben],tblAuftraege[Datum
Ausgaben],"&gt;="&amp;S$5,tblAuftraege[Datum
Ausgaben],"&lt;"&amp;EDATE(S$5,1),tblAuftraege[Kostenstelle],$B45))</f>
        <v/>
      </c>
      <c r="T45" s="27">
        <f>IF($B45="",0,SUMIFS(tblAuftraege[Kalk.
Ausgaben],tblAuftraege[Datum
Ausgaben],"&gt;="&amp;T$5,tblAuftraege[Datum
Ausgaben],"&lt;"&amp;EDATE(T$5,1),tblAuftraege[Kostenstelle],$B45))</f>
        <v/>
      </c>
      <c r="U45" s="27">
        <f>IF($B45="",0,SUMIFS(tblAuftraege[Kalk.
Ausgaben],tblAuftraege[Datum
Ausgaben],"&gt;="&amp;U$5,tblAuftraege[Datum
Ausgaben],"&lt;"&amp;EDATE(U$5,1),tblAuftraege[Kostenstelle],$B45))</f>
        <v/>
      </c>
      <c r="V45" s="27">
        <f>IF($B45="",0,SUMIFS(tblAuftraege[Kalk.
Ausgaben],tblAuftraege[Datum
Ausgaben],"&gt;="&amp;V$5,tblAuftraege[Datum
Ausgaben],"&lt;"&amp;EDATE(V$5,1),tblAuftraege[Kostenstelle],$B45))</f>
        <v/>
      </c>
      <c r="W45" s="27">
        <f>IF($B45="",0,SUMIFS(tblAuftraege[Kalk.
Ausgaben],tblAuftraege[Datum
Ausgaben],"&gt;="&amp;W$5,tblAuftraege[Datum
Ausgaben],"&lt;"&amp;EDATE(W$5,1),tblAuftraege[Kostenstelle],$B45))</f>
        <v/>
      </c>
      <c r="X45" s="27">
        <f>IF($B45="",0,SUMIFS(tblAuftraege[Kalk.
Ausgaben],tblAuftraege[Datum
Ausgaben],"&gt;="&amp;X$5,tblAuftraege[Datum
Ausgaben],"&lt;"&amp;EDATE(X$5,1),tblAuftraege[Kostenstelle],$B45))</f>
        <v/>
      </c>
      <c r="Y45" s="27">
        <f>IF($B45="",0,SUMIFS(tblAuftraege[Kalk.
Ausgaben],tblAuftraege[Datum
Ausgaben],"&gt;="&amp;Y$5,tblAuftraege[Datum
Ausgaben],"&lt;"&amp;EDATE(Y$5,1),tblAuftraege[Kostenstelle],$B45))</f>
        <v/>
      </c>
      <c r="Z45" s="27">
        <f>IF($B45="",0,SUMIFS(tblAuftraege[Kalk.
Ausgaben],tblAuftraege[Datum
Ausgaben],"&gt;="&amp;Z$5,tblAuftraege[Datum
Ausgaben],"&lt;"&amp;EDATE(Z$5,1),tblAuftraege[Kostenstelle],$B45))</f>
        <v/>
      </c>
      <c r="AA45" s="27">
        <f>IF($B45="",0,SUMIFS(tblAuftraege[Kalk.
Ausgaben],tblAuftraege[Datum
Ausgaben],"&gt;="&amp;AA$5,tblAuftraege[Datum
Ausgaben],"&lt;"&amp;EDATE(AA$5,1),tblAuftraege[Kostenstelle],$B45))</f>
        <v/>
      </c>
      <c r="AB45" s="27">
        <f>IF($B45="",0,SUMIFS(tblAuftraege[Kalk.
Ausgaben],tblAuftraege[Datum
Ausgaben],"&gt;="&amp;AB$5,tblAuftraege[Datum
Ausgaben],"&lt;"&amp;EDATE(AB$5,1),tblAuftraege[Kostenstelle],$B45))</f>
        <v/>
      </c>
      <c r="AC45" s="27">
        <f>IF($B45="",0,SUMIFS(tblAuftraege[Kalk.
Ausgaben],tblAuftraege[Datum
Ausgaben],"&gt;="&amp;AC$5,tblAuftraege[Datum
Ausgaben],"&lt;"&amp;EDATE(AC$5,1),tblAuftraege[Kostenstelle],$B45))</f>
        <v/>
      </c>
      <c r="AD45" s="27">
        <f>IF($B45="",0,SUMIFS(tblAuftraege[Kalk.
Ausgaben],tblAuftraege[Datum
Ausgaben],"&gt;="&amp;AD$5,tblAuftraege[Datum
Ausgaben],"&lt;"&amp;EDATE(AD$5,1),tblAuftraege[Kostenstelle],$B45))</f>
        <v/>
      </c>
      <c r="AE45" s="27">
        <f>IF($B45="",0,SUMIFS(tblAuftraege[Kalk.
Ausgaben],tblAuftraege[Datum
Ausgaben],"&gt;="&amp;AE$5,tblAuftraege[Datum
Ausgaben],"&lt;"&amp;EDATE(AE$5,1),tblAuftraege[Kostenstelle],$B45))</f>
        <v/>
      </c>
      <c r="AF45" s="27">
        <f>IF($B45="",0,SUMIFS(tblAuftraege[Kalk.
Ausgaben],tblAuftraege[Datum
Ausgaben],"&gt;="&amp;AF$5,tblAuftraege[Datum
Ausgaben],"&lt;"&amp;EDATE(AF$5,1),tblAuftraege[Kostenstelle],$B45))</f>
        <v/>
      </c>
      <c r="AG45" s="27">
        <f>IF($B45="",0,SUMIFS(tblAuftraege[Kalk.
Ausgaben],tblAuftraege[Datum
Ausgaben],"&gt;="&amp;AG$5,tblAuftraege[Datum
Ausgaben],"&lt;"&amp;EDATE(AG$5,1),tblAuftraege[Kostenstelle],$B45))</f>
        <v/>
      </c>
      <c r="AH45" s="27">
        <f>IF($B45="",0,SUMIFS(tblAuftraege[Kalk.
Ausgaben],tblAuftraege[Datum
Ausgaben],"&gt;="&amp;AH$5,tblAuftraege[Datum
Ausgaben],"&lt;"&amp;EDATE(AH$5,1),tblAuftraege[Kostenstelle],$B45))</f>
        <v/>
      </c>
      <c r="AI45" s="27">
        <f>IF($B45="",0,SUMIFS(tblAuftraege[Kalk.
Ausgaben],tblAuftraege[Datum
Ausgaben],"&gt;="&amp;AI$5,tblAuftraege[Datum
Ausgaben],"&lt;"&amp;EDATE(AI$5,1),tblAuftraege[Kostenstelle],$B45))</f>
        <v/>
      </c>
      <c r="AJ45" s="27">
        <f>IF($B45="",0,SUMIFS(tblAuftraege[Kalk.
Ausgaben],tblAuftraege[Datum
Ausgaben],"&gt;="&amp;AJ$5,tblAuftraege[Datum
Ausgaben],"&lt;"&amp;EDATE(AJ$5,1),tblAuftraege[Kostenstelle],$B45))</f>
        <v/>
      </c>
      <c r="AK45" s="27">
        <f>IF($B45="",0,SUMIFS(tblAuftraege[Kalk.
Ausgaben],tblAuftraege[Datum
Ausgaben],"&gt;="&amp;AK$5,tblAuftraege[Datum
Ausgaben],"&lt;"&amp;EDATE(AK$5,1),tblAuftraege[Kostenstelle],$B45))</f>
        <v/>
      </c>
      <c r="AL45" s="27">
        <f>IF($B45="",0,SUMIFS(tblAuftraege[Kalk.
Ausgaben],tblAuftraege[Datum
Ausgaben],"&gt;="&amp;AL$5,tblAuftraege[Datum
Ausgaben],"&lt;"&amp;EDATE(AL$5,1),tblAuftraege[Kostenstelle],$B45))</f>
        <v/>
      </c>
      <c r="AM45" s="27">
        <f>IF($B45="",0,SUMIFS(tblAuftraege[Kalk.
Ausgaben],tblAuftraege[Datum
Ausgaben],"&gt;="&amp;AM$5,tblAuftraege[Datum
Ausgaben],"&lt;"&amp;EDATE(AM$5,1),tblAuftraege[Kostenstelle],$B45))</f>
        <v/>
      </c>
      <c r="AN45" s="27">
        <f>IF($B45="",0,SUMIFS(tblAuftraege[Kalk.
Ausgaben],tblAuftraege[Datum
Ausgaben],"&gt;="&amp;AN$5,tblAuftraege[Datum
Ausgaben],"&lt;"&amp;EDATE(AN$5,1),tblAuftraege[Kostenstelle],$B45))</f>
        <v/>
      </c>
      <c r="AO45" s="27">
        <f>IF($B45="",0,SUMIFS(tblAuftraege[Kalk.
Ausgaben],tblAuftraege[Datum
Ausgaben],"&gt;="&amp;AO$5,tblAuftraege[Datum
Ausgaben],"&lt;"&amp;EDATE(AO$5,1),tblAuftraege[Kostenstelle],$B45))</f>
        <v/>
      </c>
      <c r="AP45" s="27">
        <f>IF($B45="",0,SUMIFS(tblAuftraege[Kalk.
Ausgaben],tblAuftraege[Datum
Ausgaben],"&gt;="&amp;AP$5,tblAuftraege[Datum
Ausgaben],"&lt;"&amp;EDATE(AP$5,1),tblAuftraege[Kostenstelle],$B45))</f>
        <v/>
      </c>
      <c r="AQ45" s="27">
        <f>IF($B45="",0,SUMIFS(tblAuftraege[Kalk.
Ausgaben],tblAuftraege[Datum
Ausgaben],"&gt;="&amp;AQ$5,tblAuftraege[Datum
Ausgaben],"&lt;"&amp;EDATE(AQ$5,1),tblAuftraege[Kostenstelle],$B45))</f>
        <v/>
      </c>
      <c r="AR45" s="27">
        <f>IF($B45="",0,SUMIFS(tblAuftraege[Kalk.
Ausgaben],tblAuftraege[Datum
Ausgaben],"&gt;="&amp;AR$5,tblAuftraege[Datum
Ausgaben],"&lt;"&amp;EDATE(AR$5,1),tblAuftraege[Kostenstelle],$B45))</f>
        <v/>
      </c>
      <c r="AS45" s="27">
        <f>IF($B45="",0,SUMIFS(tblAuftraege[Kalk.
Ausgaben],tblAuftraege[Datum
Ausgaben],"&gt;="&amp;AS$5,tblAuftraege[Datum
Ausgaben],"&lt;"&amp;EDATE(AS$5,1),tblAuftraege[Kostenstelle],$B45))</f>
        <v/>
      </c>
      <c r="AT45" s="27">
        <f>IF($B45="",0,SUMIFS(tblAuftraege[Kalk.
Ausgaben],tblAuftraege[Datum
Ausgaben],"&gt;="&amp;AT$5,tblAuftraege[Datum
Ausgaben],"&lt;"&amp;EDATE(AT$5,1),tblAuftraege[Kostenstelle],$B45))</f>
        <v/>
      </c>
      <c r="AU45" s="27">
        <f>IF($B45="",0,SUMIFS(tblAuftraege[Kalk.
Ausgaben],tblAuftraege[Datum
Ausgaben],"&gt;="&amp;AU$5,tblAuftraege[Datum
Ausgaben],"&lt;"&amp;EDATE(AU$5,1),tblAuftraege[Kostenstelle],$B45))</f>
        <v/>
      </c>
      <c r="AV45" s="27">
        <f>IF($B45="",0,SUMIFS(tblAuftraege[Kalk.
Ausgaben],tblAuftraege[Datum
Ausgaben],"&gt;="&amp;AV$5,tblAuftraege[Datum
Ausgaben],"&lt;"&amp;EDATE(AV$5,1),tblAuftraege[Kostenstelle],$B45))</f>
        <v/>
      </c>
      <c r="AW45" s="27">
        <f>IF($B45="",0,SUMIFS(tblAuftraege[Kalk.
Ausgaben],tblAuftraege[Datum
Ausgaben],"&gt;="&amp;AW$5,tblAuftraege[Datum
Ausgaben],"&lt;"&amp;EDATE(AW$5,1),tblAuftraege[Kostenstelle],$B45))</f>
        <v/>
      </c>
      <c r="AX45" s="27">
        <f>IF($B45="",0,SUMIFS(tblAuftraege[Kalk.
Ausgaben],tblAuftraege[Datum
Ausgaben],"&gt;="&amp;AX$5,tblAuftraege[Datum
Ausgaben],"&lt;"&amp;EDATE(AX$5,1),tblAuftraege[Kostenstelle],$B45))</f>
        <v/>
      </c>
      <c r="AY45" s="27">
        <f>IF($B45="",0,SUMIFS(tblAuftraege[Kalk.
Ausgaben],tblAuftraege[Datum
Ausgaben],"&gt;="&amp;AY$5,tblAuftraege[Datum
Ausgaben],"&lt;"&amp;EDATE(AY$5,1),tblAuftraege[Kostenstelle],$B45))</f>
        <v/>
      </c>
      <c r="AZ45" s="27">
        <f>IF($B45="",0,SUMIFS(tblAuftraege[Kalk.
Ausgaben],tblAuftraege[Datum
Ausgaben],"&gt;="&amp;AZ$5,tblAuftraege[Datum
Ausgaben],"&lt;"&amp;EDATE(AZ$5,1),tblAuftraege[Kostenstelle],$B45))</f>
        <v/>
      </c>
      <c r="BA45" s="27">
        <f>IF($B45="",0,SUMIFS(tblAuftraege[Kalk.
Ausgaben],tblAuftraege[Datum
Ausgaben],"&gt;="&amp;BA$5,tblAuftraege[Datum
Ausgaben],"&lt;"&amp;EDATE(BA$5,1),tblAuftraege[Kostenstelle],$B45))</f>
        <v/>
      </c>
      <c r="BB45" s="27">
        <f>IF($B45="",0,SUMIFS(tblAuftraege[Kalk.
Ausgaben],tblAuftraege[Datum
Ausgaben],"&gt;="&amp;BB$5,tblAuftraege[Datum
Ausgaben],"&lt;"&amp;EDATE(BB$5,1),tblAuftraege[Kostenstelle],$B45))</f>
        <v/>
      </c>
      <c r="BC45" s="27">
        <f>IF($B45="",0,SUMIFS(tblAuftraege[Kalk.
Ausgaben],tblAuftraege[Datum
Ausgaben],"&gt;="&amp;BC$5,tblAuftraege[Datum
Ausgaben],"&lt;"&amp;EDATE(BC$5,1),tblAuftraege[Kostenstelle],$B45))</f>
        <v/>
      </c>
      <c r="BD45" s="27">
        <f>IF($B45="",0,SUMIFS(tblAuftraege[Kalk.
Ausgaben],tblAuftraege[Datum
Ausgaben],"&gt;="&amp;BD$5,tblAuftraege[Datum
Ausgaben],"&lt;"&amp;EDATE(BD$5,1),tblAuftraege[Kostenstelle],$B45))</f>
        <v/>
      </c>
      <c r="BE45" s="27">
        <f>SUM(C45:H45)</f>
        <v/>
      </c>
      <c r="BF45" s="27">
        <f>SUM(I45:T45)</f>
        <v/>
      </c>
      <c r="BG45" s="27">
        <f>SUM(U45:AF45)</f>
        <v/>
      </c>
      <c r="BH45" s="27">
        <f>SUM(AG45:AR45)</f>
        <v/>
      </c>
      <c r="BI45" s="27">
        <f>SUM(AS45:BD45)</f>
        <v/>
      </c>
      <c r="BJ45" s="27">
        <f>SUM(C45:BD45)</f>
        <v/>
      </c>
    </row>
    <row r="46">
      <c r="A46" s="34" t="n"/>
      <c r="B46" s="49">
        <f>IF(ISBLANK(B12),"",B12)</f>
        <v/>
      </c>
      <c r="C46" s="27">
        <f>IF($B46="",0,SUMIFS(tblAuftraege[Kalk.
Ausgaben],tblAuftraege[Datum
Ausgaben],"&gt;="&amp;C$5,tblAuftraege[Datum
Ausgaben],"&lt;"&amp;EDATE(C$5,1),tblAuftraege[Kostenstelle],$B46))</f>
        <v/>
      </c>
      <c r="D46" s="27">
        <f>IF($B46="",0,SUMIFS(tblAuftraege[Kalk.
Ausgaben],tblAuftraege[Datum
Ausgaben],"&gt;="&amp;D$5,tblAuftraege[Datum
Ausgaben],"&lt;"&amp;EDATE(D$5,1),tblAuftraege[Kostenstelle],$B46))</f>
        <v/>
      </c>
      <c r="E46" s="27">
        <f>IF($B46="",0,SUMIFS(tblAuftraege[Kalk.
Ausgaben],tblAuftraege[Datum
Ausgaben],"&gt;="&amp;E$5,tblAuftraege[Datum
Ausgaben],"&lt;"&amp;EDATE(E$5,1),tblAuftraege[Kostenstelle],$B46))</f>
        <v/>
      </c>
      <c r="F46" s="27">
        <f>IF($B46="",0,SUMIFS(tblAuftraege[Kalk.
Ausgaben],tblAuftraege[Datum
Ausgaben],"&gt;="&amp;F$5,tblAuftraege[Datum
Ausgaben],"&lt;"&amp;EDATE(F$5,1),tblAuftraege[Kostenstelle],$B46))</f>
        <v/>
      </c>
      <c r="G46" s="27">
        <f>IF($B46="",0,SUMIFS(tblAuftraege[Kalk.
Ausgaben],tblAuftraege[Datum
Ausgaben],"&gt;="&amp;G$5,tblAuftraege[Datum
Ausgaben],"&lt;"&amp;EDATE(G$5,1),tblAuftraege[Kostenstelle],$B46))</f>
        <v/>
      </c>
      <c r="H46" s="27">
        <f>IF($B46="",0,SUMIFS(tblAuftraege[Kalk.
Ausgaben],tblAuftraege[Datum
Ausgaben],"&gt;="&amp;H$5,tblAuftraege[Datum
Ausgaben],"&lt;"&amp;EDATE(H$5,1),tblAuftraege[Kostenstelle],$B46))</f>
        <v/>
      </c>
      <c r="I46" s="27">
        <f>IF($B46="",0,SUMIFS(tblAuftraege[Kalk.
Ausgaben],tblAuftraege[Datum
Ausgaben],"&gt;="&amp;I$5,tblAuftraege[Datum
Ausgaben],"&lt;"&amp;EDATE(I$5,1),tblAuftraege[Kostenstelle],$B46))</f>
        <v/>
      </c>
      <c r="J46" s="27">
        <f>IF($B46="",0,SUMIFS(tblAuftraege[Kalk.
Ausgaben],tblAuftraege[Datum
Ausgaben],"&gt;="&amp;J$5,tblAuftraege[Datum
Ausgaben],"&lt;"&amp;EDATE(J$5,1),tblAuftraege[Kostenstelle],$B46))</f>
        <v/>
      </c>
      <c r="K46" s="27">
        <f>IF($B46="",0,SUMIFS(tblAuftraege[Kalk.
Ausgaben],tblAuftraege[Datum
Ausgaben],"&gt;="&amp;K$5,tblAuftraege[Datum
Ausgaben],"&lt;"&amp;EDATE(K$5,1),tblAuftraege[Kostenstelle],$B46))</f>
        <v/>
      </c>
      <c r="L46" s="27">
        <f>IF($B46="",0,SUMIFS(tblAuftraege[Kalk.
Ausgaben],tblAuftraege[Datum
Ausgaben],"&gt;="&amp;L$5,tblAuftraege[Datum
Ausgaben],"&lt;"&amp;EDATE(L$5,1),tblAuftraege[Kostenstelle],$B46))</f>
        <v/>
      </c>
      <c r="M46" s="27">
        <f>IF($B46="",0,SUMIFS(tblAuftraege[Kalk.
Ausgaben],tblAuftraege[Datum
Ausgaben],"&gt;="&amp;M$5,tblAuftraege[Datum
Ausgaben],"&lt;"&amp;EDATE(M$5,1),tblAuftraege[Kostenstelle],$B46))</f>
        <v/>
      </c>
      <c r="N46" s="27">
        <f>IF($B46="",0,SUMIFS(tblAuftraege[Kalk.
Ausgaben],tblAuftraege[Datum
Ausgaben],"&gt;="&amp;N$5,tblAuftraege[Datum
Ausgaben],"&lt;"&amp;EDATE(N$5,1),tblAuftraege[Kostenstelle],$B46))</f>
        <v/>
      </c>
      <c r="O46" s="27">
        <f>IF($B46="",0,SUMIFS(tblAuftraege[Kalk.
Ausgaben],tblAuftraege[Datum
Ausgaben],"&gt;="&amp;O$5,tblAuftraege[Datum
Ausgaben],"&lt;"&amp;EDATE(O$5,1),tblAuftraege[Kostenstelle],$B46))</f>
        <v/>
      </c>
      <c r="P46" s="27">
        <f>IF($B46="",0,SUMIFS(tblAuftraege[Kalk.
Ausgaben],tblAuftraege[Datum
Ausgaben],"&gt;="&amp;P$5,tblAuftraege[Datum
Ausgaben],"&lt;"&amp;EDATE(P$5,1),tblAuftraege[Kostenstelle],$B46))</f>
        <v/>
      </c>
      <c r="Q46" s="27">
        <f>IF($B46="",0,SUMIFS(tblAuftraege[Kalk.
Ausgaben],tblAuftraege[Datum
Ausgaben],"&gt;="&amp;Q$5,tblAuftraege[Datum
Ausgaben],"&lt;"&amp;EDATE(Q$5,1),tblAuftraege[Kostenstelle],$B46))</f>
        <v/>
      </c>
      <c r="R46" s="27">
        <f>IF($B46="",0,SUMIFS(tblAuftraege[Kalk.
Ausgaben],tblAuftraege[Datum
Ausgaben],"&gt;="&amp;R$5,tblAuftraege[Datum
Ausgaben],"&lt;"&amp;EDATE(R$5,1),tblAuftraege[Kostenstelle],$B46))</f>
        <v/>
      </c>
      <c r="S46" s="27">
        <f>IF($B46="",0,SUMIFS(tblAuftraege[Kalk.
Ausgaben],tblAuftraege[Datum
Ausgaben],"&gt;="&amp;S$5,tblAuftraege[Datum
Ausgaben],"&lt;"&amp;EDATE(S$5,1),tblAuftraege[Kostenstelle],$B46))</f>
        <v/>
      </c>
      <c r="T46" s="27">
        <f>IF($B46="",0,SUMIFS(tblAuftraege[Kalk.
Ausgaben],tblAuftraege[Datum
Ausgaben],"&gt;="&amp;T$5,tblAuftraege[Datum
Ausgaben],"&lt;"&amp;EDATE(T$5,1),tblAuftraege[Kostenstelle],$B46))</f>
        <v/>
      </c>
      <c r="U46" s="27">
        <f>IF($B46="",0,SUMIFS(tblAuftraege[Kalk.
Ausgaben],tblAuftraege[Datum
Ausgaben],"&gt;="&amp;U$5,tblAuftraege[Datum
Ausgaben],"&lt;"&amp;EDATE(U$5,1),tblAuftraege[Kostenstelle],$B46))</f>
        <v/>
      </c>
      <c r="V46" s="27">
        <f>IF($B46="",0,SUMIFS(tblAuftraege[Kalk.
Ausgaben],tblAuftraege[Datum
Ausgaben],"&gt;="&amp;V$5,tblAuftraege[Datum
Ausgaben],"&lt;"&amp;EDATE(V$5,1),tblAuftraege[Kostenstelle],$B46))</f>
        <v/>
      </c>
      <c r="W46" s="27">
        <f>IF($B46="",0,SUMIFS(tblAuftraege[Kalk.
Ausgaben],tblAuftraege[Datum
Ausgaben],"&gt;="&amp;W$5,tblAuftraege[Datum
Ausgaben],"&lt;"&amp;EDATE(W$5,1),tblAuftraege[Kostenstelle],$B46))</f>
        <v/>
      </c>
      <c r="X46" s="27">
        <f>IF($B46="",0,SUMIFS(tblAuftraege[Kalk.
Ausgaben],tblAuftraege[Datum
Ausgaben],"&gt;="&amp;X$5,tblAuftraege[Datum
Ausgaben],"&lt;"&amp;EDATE(X$5,1),tblAuftraege[Kostenstelle],$B46))</f>
        <v/>
      </c>
      <c r="Y46" s="27">
        <f>IF($B46="",0,SUMIFS(tblAuftraege[Kalk.
Ausgaben],tblAuftraege[Datum
Ausgaben],"&gt;="&amp;Y$5,tblAuftraege[Datum
Ausgaben],"&lt;"&amp;EDATE(Y$5,1),tblAuftraege[Kostenstelle],$B46))</f>
        <v/>
      </c>
      <c r="Z46" s="27">
        <f>IF($B46="",0,SUMIFS(tblAuftraege[Kalk.
Ausgaben],tblAuftraege[Datum
Ausgaben],"&gt;="&amp;Z$5,tblAuftraege[Datum
Ausgaben],"&lt;"&amp;EDATE(Z$5,1),tblAuftraege[Kostenstelle],$B46))</f>
        <v/>
      </c>
      <c r="AA46" s="27">
        <f>IF($B46="",0,SUMIFS(tblAuftraege[Kalk.
Ausgaben],tblAuftraege[Datum
Ausgaben],"&gt;="&amp;AA$5,tblAuftraege[Datum
Ausgaben],"&lt;"&amp;EDATE(AA$5,1),tblAuftraege[Kostenstelle],$B46))</f>
        <v/>
      </c>
      <c r="AB46" s="27">
        <f>IF($B46="",0,SUMIFS(tblAuftraege[Kalk.
Ausgaben],tblAuftraege[Datum
Ausgaben],"&gt;="&amp;AB$5,tblAuftraege[Datum
Ausgaben],"&lt;"&amp;EDATE(AB$5,1),tblAuftraege[Kostenstelle],$B46))</f>
        <v/>
      </c>
      <c r="AC46" s="27">
        <f>IF($B46="",0,SUMIFS(tblAuftraege[Kalk.
Ausgaben],tblAuftraege[Datum
Ausgaben],"&gt;="&amp;AC$5,tblAuftraege[Datum
Ausgaben],"&lt;"&amp;EDATE(AC$5,1),tblAuftraege[Kostenstelle],$B46))</f>
        <v/>
      </c>
      <c r="AD46" s="27">
        <f>IF($B46="",0,SUMIFS(tblAuftraege[Kalk.
Ausgaben],tblAuftraege[Datum
Ausgaben],"&gt;="&amp;AD$5,tblAuftraege[Datum
Ausgaben],"&lt;"&amp;EDATE(AD$5,1),tblAuftraege[Kostenstelle],$B46))</f>
        <v/>
      </c>
      <c r="AE46" s="27">
        <f>IF($B46="",0,SUMIFS(tblAuftraege[Kalk.
Ausgaben],tblAuftraege[Datum
Ausgaben],"&gt;="&amp;AE$5,tblAuftraege[Datum
Ausgaben],"&lt;"&amp;EDATE(AE$5,1),tblAuftraege[Kostenstelle],$B46))</f>
        <v/>
      </c>
      <c r="AF46" s="27">
        <f>IF($B46="",0,SUMIFS(tblAuftraege[Kalk.
Ausgaben],tblAuftraege[Datum
Ausgaben],"&gt;="&amp;AF$5,tblAuftraege[Datum
Ausgaben],"&lt;"&amp;EDATE(AF$5,1),tblAuftraege[Kostenstelle],$B46))</f>
        <v/>
      </c>
      <c r="AG46" s="27">
        <f>IF($B46="",0,SUMIFS(tblAuftraege[Kalk.
Ausgaben],tblAuftraege[Datum
Ausgaben],"&gt;="&amp;AG$5,tblAuftraege[Datum
Ausgaben],"&lt;"&amp;EDATE(AG$5,1),tblAuftraege[Kostenstelle],$B46))</f>
        <v/>
      </c>
      <c r="AH46" s="27">
        <f>IF($B46="",0,SUMIFS(tblAuftraege[Kalk.
Ausgaben],tblAuftraege[Datum
Ausgaben],"&gt;="&amp;AH$5,tblAuftraege[Datum
Ausgaben],"&lt;"&amp;EDATE(AH$5,1),tblAuftraege[Kostenstelle],$B46))</f>
        <v/>
      </c>
      <c r="AI46" s="27">
        <f>IF($B46="",0,SUMIFS(tblAuftraege[Kalk.
Ausgaben],tblAuftraege[Datum
Ausgaben],"&gt;="&amp;AI$5,tblAuftraege[Datum
Ausgaben],"&lt;"&amp;EDATE(AI$5,1),tblAuftraege[Kostenstelle],$B46))</f>
        <v/>
      </c>
      <c r="AJ46" s="27">
        <f>IF($B46="",0,SUMIFS(tblAuftraege[Kalk.
Ausgaben],tblAuftraege[Datum
Ausgaben],"&gt;="&amp;AJ$5,tblAuftraege[Datum
Ausgaben],"&lt;"&amp;EDATE(AJ$5,1),tblAuftraege[Kostenstelle],$B46))</f>
        <v/>
      </c>
      <c r="AK46" s="27">
        <f>IF($B46="",0,SUMIFS(tblAuftraege[Kalk.
Ausgaben],tblAuftraege[Datum
Ausgaben],"&gt;="&amp;AK$5,tblAuftraege[Datum
Ausgaben],"&lt;"&amp;EDATE(AK$5,1),tblAuftraege[Kostenstelle],$B46))</f>
        <v/>
      </c>
      <c r="AL46" s="27">
        <f>IF($B46="",0,SUMIFS(tblAuftraege[Kalk.
Ausgaben],tblAuftraege[Datum
Ausgaben],"&gt;="&amp;AL$5,tblAuftraege[Datum
Ausgaben],"&lt;"&amp;EDATE(AL$5,1),tblAuftraege[Kostenstelle],$B46))</f>
        <v/>
      </c>
      <c r="AM46" s="27">
        <f>IF($B46="",0,SUMIFS(tblAuftraege[Kalk.
Ausgaben],tblAuftraege[Datum
Ausgaben],"&gt;="&amp;AM$5,tblAuftraege[Datum
Ausgaben],"&lt;"&amp;EDATE(AM$5,1),tblAuftraege[Kostenstelle],$B46))</f>
        <v/>
      </c>
      <c r="AN46" s="27">
        <f>IF($B46="",0,SUMIFS(tblAuftraege[Kalk.
Ausgaben],tblAuftraege[Datum
Ausgaben],"&gt;="&amp;AN$5,tblAuftraege[Datum
Ausgaben],"&lt;"&amp;EDATE(AN$5,1),tblAuftraege[Kostenstelle],$B46))</f>
        <v/>
      </c>
      <c r="AO46" s="27">
        <f>IF($B46="",0,SUMIFS(tblAuftraege[Kalk.
Ausgaben],tblAuftraege[Datum
Ausgaben],"&gt;="&amp;AO$5,tblAuftraege[Datum
Ausgaben],"&lt;"&amp;EDATE(AO$5,1),tblAuftraege[Kostenstelle],$B46))</f>
        <v/>
      </c>
      <c r="AP46" s="27">
        <f>IF($B46="",0,SUMIFS(tblAuftraege[Kalk.
Ausgaben],tblAuftraege[Datum
Ausgaben],"&gt;="&amp;AP$5,tblAuftraege[Datum
Ausgaben],"&lt;"&amp;EDATE(AP$5,1),tblAuftraege[Kostenstelle],$B46))</f>
        <v/>
      </c>
      <c r="AQ46" s="27">
        <f>IF($B46="",0,SUMIFS(tblAuftraege[Kalk.
Ausgaben],tblAuftraege[Datum
Ausgaben],"&gt;="&amp;AQ$5,tblAuftraege[Datum
Ausgaben],"&lt;"&amp;EDATE(AQ$5,1),tblAuftraege[Kostenstelle],$B46))</f>
        <v/>
      </c>
      <c r="AR46" s="27">
        <f>IF($B46="",0,SUMIFS(tblAuftraege[Kalk.
Ausgaben],tblAuftraege[Datum
Ausgaben],"&gt;="&amp;AR$5,tblAuftraege[Datum
Ausgaben],"&lt;"&amp;EDATE(AR$5,1),tblAuftraege[Kostenstelle],$B46))</f>
        <v/>
      </c>
      <c r="AS46" s="27">
        <f>IF($B46="",0,SUMIFS(tblAuftraege[Kalk.
Ausgaben],tblAuftraege[Datum
Ausgaben],"&gt;="&amp;AS$5,tblAuftraege[Datum
Ausgaben],"&lt;"&amp;EDATE(AS$5,1),tblAuftraege[Kostenstelle],$B46))</f>
        <v/>
      </c>
      <c r="AT46" s="27">
        <f>IF($B46="",0,SUMIFS(tblAuftraege[Kalk.
Ausgaben],tblAuftraege[Datum
Ausgaben],"&gt;="&amp;AT$5,tblAuftraege[Datum
Ausgaben],"&lt;"&amp;EDATE(AT$5,1),tblAuftraege[Kostenstelle],$B46))</f>
        <v/>
      </c>
      <c r="AU46" s="27">
        <f>IF($B46="",0,SUMIFS(tblAuftraege[Kalk.
Ausgaben],tblAuftraege[Datum
Ausgaben],"&gt;="&amp;AU$5,tblAuftraege[Datum
Ausgaben],"&lt;"&amp;EDATE(AU$5,1),tblAuftraege[Kostenstelle],$B46))</f>
        <v/>
      </c>
      <c r="AV46" s="27">
        <f>IF($B46="",0,SUMIFS(tblAuftraege[Kalk.
Ausgaben],tblAuftraege[Datum
Ausgaben],"&gt;="&amp;AV$5,tblAuftraege[Datum
Ausgaben],"&lt;"&amp;EDATE(AV$5,1),tblAuftraege[Kostenstelle],$B46))</f>
        <v/>
      </c>
      <c r="AW46" s="27">
        <f>IF($B46="",0,SUMIFS(tblAuftraege[Kalk.
Ausgaben],tblAuftraege[Datum
Ausgaben],"&gt;="&amp;AW$5,tblAuftraege[Datum
Ausgaben],"&lt;"&amp;EDATE(AW$5,1),tblAuftraege[Kostenstelle],$B46))</f>
        <v/>
      </c>
      <c r="AX46" s="27">
        <f>IF($B46="",0,SUMIFS(tblAuftraege[Kalk.
Ausgaben],tblAuftraege[Datum
Ausgaben],"&gt;="&amp;AX$5,tblAuftraege[Datum
Ausgaben],"&lt;"&amp;EDATE(AX$5,1),tblAuftraege[Kostenstelle],$B46))</f>
        <v/>
      </c>
      <c r="AY46" s="27">
        <f>IF($B46="",0,SUMIFS(tblAuftraege[Kalk.
Ausgaben],tblAuftraege[Datum
Ausgaben],"&gt;="&amp;AY$5,tblAuftraege[Datum
Ausgaben],"&lt;"&amp;EDATE(AY$5,1),tblAuftraege[Kostenstelle],$B46))</f>
        <v/>
      </c>
      <c r="AZ46" s="27">
        <f>IF($B46="",0,SUMIFS(tblAuftraege[Kalk.
Ausgaben],tblAuftraege[Datum
Ausgaben],"&gt;="&amp;AZ$5,tblAuftraege[Datum
Ausgaben],"&lt;"&amp;EDATE(AZ$5,1),tblAuftraege[Kostenstelle],$B46))</f>
        <v/>
      </c>
      <c r="BA46" s="27">
        <f>IF($B46="",0,SUMIFS(tblAuftraege[Kalk.
Ausgaben],tblAuftraege[Datum
Ausgaben],"&gt;="&amp;BA$5,tblAuftraege[Datum
Ausgaben],"&lt;"&amp;EDATE(BA$5,1),tblAuftraege[Kostenstelle],$B46))</f>
        <v/>
      </c>
      <c r="BB46" s="27">
        <f>IF($B46="",0,SUMIFS(tblAuftraege[Kalk.
Ausgaben],tblAuftraege[Datum
Ausgaben],"&gt;="&amp;BB$5,tblAuftraege[Datum
Ausgaben],"&lt;"&amp;EDATE(BB$5,1),tblAuftraege[Kostenstelle],$B46))</f>
        <v/>
      </c>
      <c r="BC46" s="27">
        <f>IF($B46="",0,SUMIFS(tblAuftraege[Kalk.
Ausgaben],tblAuftraege[Datum
Ausgaben],"&gt;="&amp;BC$5,tblAuftraege[Datum
Ausgaben],"&lt;"&amp;EDATE(BC$5,1),tblAuftraege[Kostenstelle],$B46))</f>
        <v/>
      </c>
      <c r="BD46" s="27">
        <f>IF($B46="",0,SUMIFS(tblAuftraege[Kalk.
Ausgaben],tblAuftraege[Datum
Ausgaben],"&gt;="&amp;BD$5,tblAuftraege[Datum
Ausgaben],"&lt;"&amp;EDATE(BD$5,1),tblAuftraege[Kostenstelle],$B46))</f>
        <v/>
      </c>
      <c r="BE46" s="27">
        <f>SUM(C46:H46)</f>
        <v/>
      </c>
      <c r="BF46" s="27">
        <f>SUM(I46:T46)</f>
        <v/>
      </c>
      <c r="BG46" s="27">
        <f>SUM(U46:AF46)</f>
        <v/>
      </c>
      <c r="BH46" s="27">
        <f>SUM(AG46:AR46)</f>
        <v/>
      </c>
      <c r="BI46" s="27">
        <f>SUM(AS46:BD46)</f>
        <v/>
      </c>
      <c r="BJ46" s="27">
        <f>SUM(C46:BD46)</f>
        <v/>
      </c>
    </row>
    <row r="47">
      <c r="A47" s="34" t="n"/>
      <c r="B47" s="49">
        <f>IF(ISBLANK(B13),"",B13)</f>
        <v/>
      </c>
      <c r="C47" s="27">
        <f>IF($B47="",0,SUMIFS(tblAuftraege[Kalk.
Ausgaben],tblAuftraege[Datum
Ausgaben],"&gt;="&amp;C$5,tblAuftraege[Datum
Ausgaben],"&lt;"&amp;EDATE(C$5,1),tblAuftraege[Kostenstelle],$B47))</f>
        <v/>
      </c>
      <c r="D47" s="27">
        <f>IF($B47="",0,SUMIFS(tblAuftraege[Kalk.
Ausgaben],tblAuftraege[Datum
Ausgaben],"&gt;="&amp;D$5,tblAuftraege[Datum
Ausgaben],"&lt;"&amp;EDATE(D$5,1),tblAuftraege[Kostenstelle],$B47))</f>
        <v/>
      </c>
      <c r="E47" s="27">
        <f>IF($B47="",0,SUMIFS(tblAuftraege[Kalk.
Ausgaben],tblAuftraege[Datum
Ausgaben],"&gt;="&amp;E$5,tblAuftraege[Datum
Ausgaben],"&lt;"&amp;EDATE(E$5,1),tblAuftraege[Kostenstelle],$B47))</f>
        <v/>
      </c>
      <c r="F47" s="27">
        <f>IF($B47="",0,SUMIFS(tblAuftraege[Kalk.
Ausgaben],tblAuftraege[Datum
Ausgaben],"&gt;="&amp;F$5,tblAuftraege[Datum
Ausgaben],"&lt;"&amp;EDATE(F$5,1),tblAuftraege[Kostenstelle],$B47))</f>
        <v/>
      </c>
      <c r="G47" s="27">
        <f>IF($B47="",0,SUMIFS(tblAuftraege[Kalk.
Ausgaben],tblAuftraege[Datum
Ausgaben],"&gt;="&amp;G$5,tblAuftraege[Datum
Ausgaben],"&lt;"&amp;EDATE(G$5,1),tblAuftraege[Kostenstelle],$B47))</f>
        <v/>
      </c>
      <c r="H47" s="27">
        <f>IF($B47="",0,SUMIFS(tblAuftraege[Kalk.
Ausgaben],tblAuftraege[Datum
Ausgaben],"&gt;="&amp;H$5,tblAuftraege[Datum
Ausgaben],"&lt;"&amp;EDATE(H$5,1),tblAuftraege[Kostenstelle],$B47))</f>
        <v/>
      </c>
      <c r="I47" s="27">
        <f>IF($B47="",0,SUMIFS(tblAuftraege[Kalk.
Ausgaben],tblAuftraege[Datum
Ausgaben],"&gt;="&amp;I$5,tblAuftraege[Datum
Ausgaben],"&lt;"&amp;EDATE(I$5,1),tblAuftraege[Kostenstelle],$B47))</f>
        <v/>
      </c>
      <c r="J47" s="27">
        <f>IF($B47="",0,SUMIFS(tblAuftraege[Kalk.
Ausgaben],tblAuftraege[Datum
Ausgaben],"&gt;="&amp;J$5,tblAuftraege[Datum
Ausgaben],"&lt;"&amp;EDATE(J$5,1),tblAuftraege[Kostenstelle],$B47))</f>
        <v/>
      </c>
      <c r="K47" s="27">
        <f>IF($B47="",0,SUMIFS(tblAuftraege[Kalk.
Ausgaben],tblAuftraege[Datum
Ausgaben],"&gt;="&amp;K$5,tblAuftraege[Datum
Ausgaben],"&lt;"&amp;EDATE(K$5,1),tblAuftraege[Kostenstelle],$B47))</f>
        <v/>
      </c>
      <c r="L47" s="27">
        <f>IF($B47="",0,SUMIFS(tblAuftraege[Kalk.
Ausgaben],tblAuftraege[Datum
Ausgaben],"&gt;="&amp;L$5,tblAuftraege[Datum
Ausgaben],"&lt;"&amp;EDATE(L$5,1),tblAuftraege[Kostenstelle],$B47))</f>
        <v/>
      </c>
      <c r="M47" s="27">
        <f>IF($B47="",0,SUMIFS(tblAuftraege[Kalk.
Ausgaben],tblAuftraege[Datum
Ausgaben],"&gt;="&amp;M$5,tblAuftraege[Datum
Ausgaben],"&lt;"&amp;EDATE(M$5,1),tblAuftraege[Kostenstelle],$B47))</f>
        <v/>
      </c>
      <c r="N47" s="27">
        <f>IF($B47="",0,SUMIFS(tblAuftraege[Kalk.
Ausgaben],tblAuftraege[Datum
Ausgaben],"&gt;="&amp;N$5,tblAuftraege[Datum
Ausgaben],"&lt;"&amp;EDATE(N$5,1),tblAuftraege[Kostenstelle],$B47))</f>
        <v/>
      </c>
      <c r="O47" s="27">
        <f>IF($B47="",0,SUMIFS(tblAuftraege[Kalk.
Ausgaben],tblAuftraege[Datum
Ausgaben],"&gt;="&amp;O$5,tblAuftraege[Datum
Ausgaben],"&lt;"&amp;EDATE(O$5,1),tblAuftraege[Kostenstelle],$B47))</f>
        <v/>
      </c>
      <c r="P47" s="27">
        <f>IF($B47="",0,SUMIFS(tblAuftraege[Kalk.
Ausgaben],tblAuftraege[Datum
Ausgaben],"&gt;="&amp;P$5,tblAuftraege[Datum
Ausgaben],"&lt;"&amp;EDATE(P$5,1),tblAuftraege[Kostenstelle],$B47))</f>
        <v/>
      </c>
      <c r="Q47" s="27">
        <f>IF($B47="",0,SUMIFS(tblAuftraege[Kalk.
Ausgaben],tblAuftraege[Datum
Ausgaben],"&gt;="&amp;Q$5,tblAuftraege[Datum
Ausgaben],"&lt;"&amp;EDATE(Q$5,1),tblAuftraege[Kostenstelle],$B47))</f>
        <v/>
      </c>
      <c r="R47" s="27">
        <f>IF($B47="",0,SUMIFS(tblAuftraege[Kalk.
Ausgaben],tblAuftraege[Datum
Ausgaben],"&gt;="&amp;R$5,tblAuftraege[Datum
Ausgaben],"&lt;"&amp;EDATE(R$5,1),tblAuftraege[Kostenstelle],$B47))</f>
        <v/>
      </c>
      <c r="S47" s="27">
        <f>IF($B47="",0,SUMIFS(tblAuftraege[Kalk.
Ausgaben],tblAuftraege[Datum
Ausgaben],"&gt;="&amp;S$5,tblAuftraege[Datum
Ausgaben],"&lt;"&amp;EDATE(S$5,1),tblAuftraege[Kostenstelle],$B47))</f>
        <v/>
      </c>
      <c r="T47" s="27">
        <f>IF($B47="",0,SUMIFS(tblAuftraege[Kalk.
Ausgaben],tblAuftraege[Datum
Ausgaben],"&gt;="&amp;T$5,tblAuftraege[Datum
Ausgaben],"&lt;"&amp;EDATE(T$5,1),tblAuftraege[Kostenstelle],$B47))</f>
        <v/>
      </c>
      <c r="U47" s="27">
        <f>IF($B47="",0,SUMIFS(tblAuftraege[Kalk.
Ausgaben],tblAuftraege[Datum
Ausgaben],"&gt;="&amp;U$5,tblAuftraege[Datum
Ausgaben],"&lt;"&amp;EDATE(U$5,1),tblAuftraege[Kostenstelle],$B47))</f>
        <v/>
      </c>
      <c r="V47" s="27">
        <f>IF($B47="",0,SUMIFS(tblAuftraege[Kalk.
Ausgaben],tblAuftraege[Datum
Ausgaben],"&gt;="&amp;V$5,tblAuftraege[Datum
Ausgaben],"&lt;"&amp;EDATE(V$5,1),tblAuftraege[Kostenstelle],$B47))</f>
        <v/>
      </c>
      <c r="W47" s="27">
        <f>IF($B47="",0,SUMIFS(tblAuftraege[Kalk.
Ausgaben],tblAuftraege[Datum
Ausgaben],"&gt;="&amp;W$5,tblAuftraege[Datum
Ausgaben],"&lt;"&amp;EDATE(W$5,1),tblAuftraege[Kostenstelle],$B47))</f>
        <v/>
      </c>
      <c r="X47" s="27">
        <f>IF($B47="",0,SUMIFS(tblAuftraege[Kalk.
Ausgaben],tblAuftraege[Datum
Ausgaben],"&gt;="&amp;X$5,tblAuftraege[Datum
Ausgaben],"&lt;"&amp;EDATE(X$5,1),tblAuftraege[Kostenstelle],$B47))</f>
        <v/>
      </c>
      <c r="Y47" s="27">
        <f>IF($B47="",0,SUMIFS(tblAuftraege[Kalk.
Ausgaben],tblAuftraege[Datum
Ausgaben],"&gt;="&amp;Y$5,tblAuftraege[Datum
Ausgaben],"&lt;"&amp;EDATE(Y$5,1),tblAuftraege[Kostenstelle],$B47))</f>
        <v/>
      </c>
      <c r="Z47" s="27">
        <f>IF($B47="",0,SUMIFS(tblAuftraege[Kalk.
Ausgaben],tblAuftraege[Datum
Ausgaben],"&gt;="&amp;Z$5,tblAuftraege[Datum
Ausgaben],"&lt;"&amp;EDATE(Z$5,1),tblAuftraege[Kostenstelle],$B47))</f>
        <v/>
      </c>
      <c r="AA47" s="27">
        <f>IF($B47="",0,SUMIFS(tblAuftraege[Kalk.
Ausgaben],tblAuftraege[Datum
Ausgaben],"&gt;="&amp;AA$5,tblAuftraege[Datum
Ausgaben],"&lt;"&amp;EDATE(AA$5,1),tblAuftraege[Kostenstelle],$B47))</f>
        <v/>
      </c>
      <c r="AB47" s="27">
        <f>IF($B47="",0,SUMIFS(tblAuftraege[Kalk.
Ausgaben],tblAuftraege[Datum
Ausgaben],"&gt;="&amp;AB$5,tblAuftraege[Datum
Ausgaben],"&lt;"&amp;EDATE(AB$5,1),tblAuftraege[Kostenstelle],$B47))</f>
        <v/>
      </c>
      <c r="AC47" s="27">
        <f>IF($B47="",0,SUMIFS(tblAuftraege[Kalk.
Ausgaben],tblAuftraege[Datum
Ausgaben],"&gt;="&amp;AC$5,tblAuftraege[Datum
Ausgaben],"&lt;"&amp;EDATE(AC$5,1),tblAuftraege[Kostenstelle],$B47))</f>
        <v/>
      </c>
      <c r="AD47" s="27">
        <f>IF($B47="",0,SUMIFS(tblAuftraege[Kalk.
Ausgaben],tblAuftraege[Datum
Ausgaben],"&gt;="&amp;AD$5,tblAuftraege[Datum
Ausgaben],"&lt;"&amp;EDATE(AD$5,1),tblAuftraege[Kostenstelle],$B47))</f>
        <v/>
      </c>
      <c r="AE47" s="27">
        <f>IF($B47="",0,SUMIFS(tblAuftraege[Kalk.
Ausgaben],tblAuftraege[Datum
Ausgaben],"&gt;="&amp;AE$5,tblAuftraege[Datum
Ausgaben],"&lt;"&amp;EDATE(AE$5,1),tblAuftraege[Kostenstelle],$B47))</f>
        <v/>
      </c>
      <c r="AF47" s="27">
        <f>IF($B47="",0,SUMIFS(tblAuftraege[Kalk.
Ausgaben],tblAuftraege[Datum
Ausgaben],"&gt;="&amp;AF$5,tblAuftraege[Datum
Ausgaben],"&lt;"&amp;EDATE(AF$5,1),tblAuftraege[Kostenstelle],$B47))</f>
        <v/>
      </c>
      <c r="AG47" s="27">
        <f>IF($B47="",0,SUMIFS(tblAuftraege[Kalk.
Ausgaben],tblAuftraege[Datum
Ausgaben],"&gt;="&amp;AG$5,tblAuftraege[Datum
Ausgaben],"&lt;"&amp;EDATE(AG$5,1),tblAuftraege[Kostenstelle],$B47))</f>
        <v/>
      </c>
      <c r="AH47" s="27">
        <f>IF($B47="",0,SUMIFS(tblAuftraege[Kalk.
Ausgaben],tblAuftraege[Datum
Ausgaben],"&gt;="&amp;AH$5,tblAuftraege[Datum
Ausgaben],"&lt;"&amp;EDATE(AH$5,1),tblAuftraege[Kostenstelle],$B47))</f>
        <v/>
      </c>
      <c r="AI47" s="27">
        <f>IF($B47="",0,SUMIFS(tblAuftraege[Kalk.
Ausgaben],tblAuftraege[Datum
Ausgaben],"&gt;="&amp;AI$5,tblAuftraege[Datum
Ausgaben],"&lt;"&amp;EDATE(AI$5,1),tblAuftraege[Kostenstelle],$B47))</f>
        <v/>
      </c>
      <c r="AJ47" s="27">
        <f>IF($B47="",0,SUMIFS(tblAuftraege[Kalk.
Ausgaben],tblAuftraege[Datum
Ausgaben],"&gt;="&amp;AJ$5,tblAuftraege[Datum
Ausgaben],"&lt;"&amp;EDATE(AJ$5,1),tblAuftraege[Kostenstelle],$B47))</f>
        <v/>
      </c>
      <c r="AK47" s="27">
        <f>IF($B47="",0,SUMIFS(tblAuftraege[Kalk.
Ausgaben],tblAuftraege[Datum
Ausgaben],"&gt;="&amp;AK$5,tblAuftraege[Datum
Ausgaben],"&lt;"&amp;EDATE(AK$5,1),tblAuftraege[Kostenstelle],$B47))</f>
        <v/>
      </c>
      <c r="AL47" s="27">
        <f>IF($B47="",0,SUMIFS(tblAuftraege[Kalk.
Ausgaben],tblAuftraege[Datum
Ausgaben],"&gt;="&amp;AL$5,tblAuftraege[Datum
Ausgaben],"&lt;"&amp;EDATE(AL$5,1),tblAuftraege[Kostenstelle],$B47))</f>
        <v/>
      </c>
      <c r="AM47" s="27">
        <f>IF($B47="",0,SUMIFS(tblAuftraege[Kalk.
Ausgaben],tblAuftraege[Datum
Ausgaben],"&gt;="&amp;AM$5,tblAuftraege[Datum
Ausgaben],"&lt;"&amp;EDATE(AM$5,1),tblAuftraege[Kostenstelle],$B47))</f>
        <v/>
      </c>
      <c r="AN47" s="27">
        <f>IF($B47="",0,SUMIFS(tblAuftraege[Kalk.
Ausgaben],tblAuftraege[Datum
Ausgaben],"&gt;="&amp;AN$5,tblAuftraege[Datum
Ausgaben],"&lt;"&amp;EDATE(AN$5,1),tblAuftraege[Kostenstelle],$B47))</f>
        <v/>
      </c>
      <c r="AO47" s="27">
        <f>IF($B47="",0,SUMIFS(tblAuftraege[Kalk.
Ausgaben],tblAuftraege[Datum
Ausgaben],"&gt;="&amp;AO$5,tblAuftraege[Datum
Ausgaben],"&lt;"&amp;EDATE(AO$5,1),tblAuftraege[Kostenstelle],$B47))</f>
        <v/>
      </c>
      <c r="AP47" s="27">
        <f>IF($B47="",0,SUMIFS(tblAuftraege[Kalk.
Ausgaben],tblAuftraege[Datum
Ausgaben],"&gt;="&amp;AP$5,tblAuftraege[Datum
Ausgaben],"&lt;"&amp;EDATE(AP$5,1),tblAuftraege[Kostenstelle],$B47))</f>
        <v/>
      </c>
      <c r="AQ47" s="27">
        <f>IF($B47="",0,SUMIFS(tblAuftraege[Kalk.
Ausgaben],tblAuftraege[Datum
Ausgaben],"&gt;="&amp;AQ$5,tblAuftraege[Datum
Ausgaben],"&lt;"&amp;EDATE(AQ$5,1),tblAuftraege[Kostenstelle],$B47))</f>
        <v/>
      </c>
      <c r="AR47" s="27">
        <f>IF($B47="",0,SUMIFS(tblAuftraege[Kalk.
Ausgaben],tblAuftraege[Datum
Ausgaben],"&gt;="&amp;AR$5,tblAuftraege[Datum
Ausgaben],"&lt;"&amp;EDATE(AR$5,1),tblAuftraege[Kostenstelle],$B47))</f>
        <v/>
      </c>
      <c r="AS47" s="27">
        <f>IF($B47="",0,SUMIFS(tblAuftraege[Kalk.
Ausgaben],tblAuftraege[Datum
Ausgaben],"&gt;="&amp;AS$5,tblAuftraege[Datum
Ausgaben],"&lt;"&amp;EDATE(AS$5,1),tblAuftraege[Kostenstelle],$B47))</f>
        <v/>
      </c>
      <c r="AT47" s="27">
        <f>IF($B47="",0,SUMIFS(tblAuftraege[Kalk.
Ausgaben],tblAuftraege[Datum
Ausgaben],"&gt;="&amp;AT$5,tblAuftraege[Datum
Ausgaben],"&lt;"&amp;EDATE(AT$5,1),tblAuftraege[Kostenstelle],$B47))</f>
        <v/>
      </c>
      <c r="AU47" s="27">
        <f>IF($B47="",0,SUMIFS(tblAuftraege[Kalk.
Ausgaben],tblAuftraege[Datum
Ausgaben],"&gt;="&amp;AU$5,tblAuftraege[Datum
Ausgaben],"&lt;"&amp;EDATE(AU$5,1),tblAuftraege[Kostenstelle],$B47))</f>
        <v/>
      </c>
      <c r="AV47" s="27">
        <f>IF($B47="",0,SUMIFS(tblAuftraege[Kalk.
Ausgaben],tblAuftraege[Datum
Ausgaben],"&gt;="&amp;AV$5,tblAuftraege[Datum
Ausgaben],"&lt;"&amp;EDATE(AV$5,1),tblAuftraege[Kostenstelle],$B47))</f>
        <v/>
      </c>
      <c r="AW47" s="27">
        <f>IF($B47="",0,SUMIFS(tblAuftraege[Kalk.
Ausgaben],tblAuftraege[Datum
Ausgaben],"&gt;="&amp;AW$5,tblAuftraege[Datum
Ausgaben],"&lt;"&amp;EDATE(AW$5,1),tblAuftraege[Kostenstelle],$B47))</f>
        <v/>
      </c>
      <c r="AX47" s="27">
        <f>IF($B47="",0,SUMIFS(tblAuftraege[Kalk.
Ausgaben],tblAuftraege[Datum
Ausgaben],"&gt;="&amp;AX$5,tblAuftraege[Datum
Ausgaben],"&lt;"&amp;EDATE(AX$5,1),tblAuftraege[Kostenstelle],$B47))</f>
        <v/>
      </c>
      <c r="AY47" s="27">
        <f>IF($B47="",0,SUMIFS(tblAuftraege[Kalk.
Ausgaben],tblAuftraege[Datum
Ausgaben],"&gt;="&amp;AY$5,tblAuftraege[Datum
Ausgaben],"&lt;"&amp;EDATE(AY$5,1),tblAuftraege[Kostenstelle],$B47))</f>
        <v/>
      </c>
      <c r="AZ47" s="27">
        <f>IF($B47="",0,SUMIFS(tblAuftraege[Kalk.
Ausgaben],tblAuftraege[Datum
Ausgaben],"&gt;="&amp;AZ$5,tblAuftraege[Datum
Ausgaben],"&lt;"&amp;EDATE(AZ$5,1),tblAuftraege[Kostenstelle],$B47))</f>
        <v/>
      </c>
      <c r="BA47" s="27">
        <f>IF($B47="",0,SUMIFS(tblAuftraege[Kalk.
Ausgaben],tblAuftraege[Datum
Ausgaben],"&gt;="&amp;BA$5,tblAuftraege[Datum
Ausgaben],"&lt;"&amp;EDATE(BA$5,1),tblAuftraege[Kostenstelle],$B47))</f>
        <v/>
      </c>
      <c r="BB47" s="27">
        <f>IF($B47="",0,SUMIFS(tblAuftraege[Kalk.
Ausgaben],tblAuftraege[Datum
Ausgaben],"&gt;="&amp;BB$5,tblAuftraege[Datum
Ausgaben],"&lt;"&amp;EDATE(BB$5,1),tblAuftraege[Kostenstelle],$B47))</f>
        <v/>
      </c>
      <c r="BC47" s="27">
        <f>IF($B47="",0,SUMIFS(tblAuftraege[Kalk.
Ausgaben],tblAuftraege[Datum
Ausgaben],"&gt;="&amp;BC$5,tblAuftraege[Datum
Ausgaben],"&lt;"&amp;EDATE(BC$5,1),tblAuftraege[Kostenstelle],$B47))</f>
        <v/>
      </c>
      <c r="BD47" s="27">
        <f>IF($B47="",0,SUMIFS(tblAuftraege[Kalk.
Ausgaben],tblAuftraege[Datum
Ausgaben],"&gt;="&amp;BD$5,tblAuftraege[Datum
Ausgaben],"&lt;"&amp;EDATE(BD$5,1),tblAuftraege[Kostenstelle],$B47))</f>
        <v/>
      </c>
      <c r="BE47" s="27">
        <f>SUM(C47:H47)</f>
        <v/>
      </c>
      <c r="BF47" s="27">
        <f>SUM(I47:T47)</f>
        <v/>
      </c>
      <c r="BG47" s="27">
        <f>SUM(U47:AF47)</f>
        <v/>
      </c>
      <c r="BH47" s="27">
        <f>SUM(AG47:AR47)</f>
        <v/>
      </c>
      <c r="BI47" s="27">
        <f>SUM(AS47:BD47)</f>
        <v/>
      </c>
      <c r="BJ47" s="27">
        <f>SUM(C47:BD47)</f>
        <v/>
      </c>
    </row>
    <row r="48">
      <c r="A48" s="34" t="n"/>
      <c r="B48" s="49">
        <f>IF(ISBLANK(B14),"",B14)</f>
        <v/>
      </c>
      <c r="C48" s="27">
        <f>IF($B48="",0,SUMIFS(tblAuftraege[Kalk.
Ausgaben],tblAuftraege[Datum
Ausgaben],"&gt;="&amp;C$5,tblAuftraege[Datum
Ausgaben],"&lt;"&amp;EDATE(C$5,1),tblAuftraege[Kostenstelle],$B48))</f>
        <v/>
      </c>
      <c r="D48" s="27">
        <f>IF($B48="",0,SUMIFS(tblAuftraege[Kalk.
Ausgaben],tblAuftraege[Datum
Ausgaben],"&gt;="&amp;D$5,tblAuftraege[Datum
Ausgaben],"&lt;"&amp;EDATE(D$5,1),tblAuftraege[Kostenstelle],$B48))</f>
        <v/>
      </c>
      <c r="E48" s="27">
        <f>IF($B48="",0,SUMIFS(tblAuftraege[Kalk.
Ausgaben],tblAuftraege[Datum
Ausgaben],"&gt;="&amp;E$5,tblAuftraege[Datum
Ausgaben],"&lt;"&amp;EDATE(E$5,1),tblAuftraege[Kostenstelle],$B48))</f>
        <v/>
      </c>
      <c r="F48" s="27">
        <f>IF($B48="",0,SUMIFS(tblAuftraege[Kalk.
Ausgaben],tblAuftraege[Datum
Ausgaben],"&gt;="&amp;F$5,tblAuftraege[Datum
Ausgaben],"&lt;"&amp;EDATE(F$5,1),tblAuftraege[Kostenstelle],$B48))</f>
        <v/>
      </c>
      <c r="G48" s="27">
        <f>IF($B48="",0,SUMIFS(tblAuftraege[Kalk.
Ausgaben],tblAuftraege[Datum
Ausgaben],"&gt;="&amp;G$5,tblAuftraege[Datum
Ausgaben],"&lt;"&amp;EDATE(G$5,1),tblAuftraege[Kostenstelle],$B48))</f>
        <v/>
      </c>
      <c r="H48" s="27">
        <f>IF($B48="",0,SUMIFS(tblAuftraege[Kalk.
Ausgaben],tblAuftraege[Datum
Ausgaben],"&gt;="&amp;H$5,tblAuftraege[Datum
Ausgaben],"&lt;"&amp;EDATE(H$5,1),tblAuftraege[Kostenstelle],$B48))</f>
        <v/>
      </c>
      <c r="I48" s="27">
        <f>IF($B48="",0,SUMIFS(tblAuftraege[Kalk.
Ausgaben],tblAuftraege[Datum
Ausgaben],"&gt;="&amp;I$5,tblAuftraege[Datum
Ausgaben],"&lt;"&amp;EDATE(I$5,1),tblAuftraege[Kostenstelle],$B48))</f>
        <v/>
      </c>
      <c r="J48" s="27">
        <f>IF($B48="",0,SUMIFS(tblAuftraege[Kalk.
Ausgaben],tblAuftraege[Datum
Ausgaben],"&gt;="&amp;J$5,tblAuftraege[Datum
Ausgaben],"&lt;"&amp;EDATE(J$5,1),tblAuftraege[Kostenstelle],$B48))</f>
        <v/>
      </c>
      <c r="K48" s="27">
        <f>IF($B48="",0,SUMIFS(tblAuftraege[Kalk.
Ausgaben],tblAuftraege[Datum
Ausgaben],"&gt;="&amp;K$5,tblAuftraege[Datum
Ausgaben],"&lt;"&amp;EDATE(K$5,1),tblAuftraege[Kostenstelle],$B48))</f>
        <v/>
      </c>
      <c r="L48" s="27">
        <f>IF($B48="",0,SUMIFS(tblAuftraege[Kalk.
Ausgaben],tblAuftraege[Datum
Ausgaben],"&gt;="&amp;L$5,tblAuftraege[Datum
Ausgaben],"&lt;"&amp;EDATE(L$5,1),tblAuftraege[Kostenstelle],$B48))</f>
        <v/>
      </c>
      <c r="M48" s="27">
        <f>IF($B48="",0,SUMIFS(tblAuftraege[Kalk.
Ausgaben],tblAuftraege[Datum
Ausgaben],"&gt;="&amp;M$5,tblAuftraege[Datum
Ausgaben],"&lt;"&amp;EDATE(M$5,1),tblAuftraege[Kostenstelle],$B48))</f>
        <v/>
      </c>
      <c r="N48" s="27">
        <f>IF($B48="",0,SUMIFS(tblAuftraege[Kalk.
Ausgaben],tblAuftraege[Datum
Ausgaben],"&gt;="&amp;N$5,tblAuftraege[Datum
Ausgaben],"&lt;"&amp;EDATE(N$5,1),tblAuftraege[Kostenstelle],$B48))</f>
        <v/>
      </c>
      <c r="O48" s="27">
        <f>IF($B48="",0,SUMIFS(tblAuftraege[Kalk.
Ausgaben],tblAuftraege[Datum
Ausgaben],"&gt;="&amp;O$5,tblAuftraege[Datum
Ausgaben],"&lt;"&amp;EDATE(O$5,1),tblAuftraege[Kostenstelle],$B48))</f>
        <v/>
      </c>
      <c r="P48" s="27">
        <f>IF($B48="",0,SUMIFS(tblAuftraege[Kalk.
Ausgaben],tblAuftraege[Datum
Ausgaben],"&gt;="&amp;P$5,tblAuftraege[Datum
Ausgaben],"&lt;"&amp;EDATE(P$5,1),tblAuftraege[Kostenstelle],$B48))</f>
        <v/>
      </c>
      <c r="Q48" s="27">
        <f>IF($B48="",0,SUMIFS(tblAuftraege[Kalk.
Ausgaben],tblAuftraege[Datum
Ausgaben],"&gt;="&amp;Q$5,tblAuftraege[Datum
Ausgaben],"&lt;"&amp;EDATE(Q$5,1),tblAuftraege[Kostenstelle],$B48))</f>
        <v/>
      </c>
      <c r="R48" s="27">
        <f>IF($B48="",0,SUMIFS(tblAuftraege[Kalk.
Ausgaben],tblAuftraege[Datum
Ausgaben],"&gt;="&amp;R$5,tblAuftraege[Datum
Ausgaben],"&lt;"&amp;EDATE(R$5,1),tblAuftraege[Kostenstelle],$B48))</f>
        <v/>
      </c>
      <c r="S48" s="27">
        <f>IF($B48="",0,SUMIFS(tblAuftraege[Kalk.
Ausgaben],tblAuftraege[Datum
Ausgaben],"&gt;="&amp;S$5,tblAuftraege[Datum
Ausgaben],"&lt;"&amp;EDATE(S$5,1),tblAuftraege[Kostenstelle],$B48))</f>
        <v/>
      </c>
      <c r="T48" s="27">
        <f>IF($B48="",0,SUMIFS(tblAuftraege[Kalk.
Ausgaben],tblAuftraege[Datum
Ausgaben],"&gt;="&amp;T$5,tblAuftraege[Datum
Ausgaben],"&lt;"&amp;EDATE(T$5,1),tblAuftraege[Kostenstelle],$B48))</f>
        <v/>
      </c>
      <c r="U48" s="27">
        <f>IF($B48="",0,SUMIFS(tblAuftraege[Kalk.
Ausgaben],tblAuftraege[Datum
Ausgaben],"&gt;="&amp;U$5,tblAuftraege[Datum
Ausgaben],"&lt;"&amp;EDATE(U$5,1),tblAuftraege[Kostenstelle],$B48))</f>
        <v/>
      </c>
      <c r="V48" s="27">
        <f>IF($B48="",0,SUMIFS(tblAuftraege[Kalk.
Ausgaben],tblAuftraege[Datum
Ausgaben],"&gt;="&amp;V$5,tblAuftraege[Datum
Ausgaben],"&lt;"&amp;EDATE(V$5,1),tblAuftraege[Kostenstelle],$B48))</f>
        <v/>
      </c>
      <c r="W48" s="27">
        <f>IF($B48="",0,SUMIFS(tblAuftraege[Kalk.
Ausgaben],tblAuftraege[Datum
Ausgaben],"&gt;="&amp;W$5,tblAuftraege[Datum
Ausgaben],"&lt;"&amp;EDATE(W$5,1),tblAuftraege[Kostenstelle],$B48))</f>
        <v/>
      </c>
      <c r="X48" s="27">
        <f>IF($B48="",0,SUMIFS(tblAuftraege[Kalk.
Ausgaben],tblAuftraege[Datum
Ausgaben],"&gt;="&amp;X$5,tblAuftraege[Datum
Ausgaben],"&lt;"&amp;EDATE(X$5,1),tblAuftraege[Kostenstelle],$B48))</f>
        <v/>
      </c>
      <c r="Y48" s="27">
        <f>IF($B48="",0,SUMIFS(tblAuftraege[Kalk.
Ausgaben],tblAuftraege[Datum
Ausgaben],"&gt;="&amp;Y$5,tblAuftraege[Datum
Ausgaben],"&lt;"&amp;EDATE(Y$5,1),tblAuftraege[Kostenstelle],$B48))</f>
        <v/>
      </c>
      <c r="Z48" s="27">
        <f>IF($B48="",0,SUMIFS(tblAuftraege[Kalk.
Ausgaben],tblAuftraege[Datum
Ausgaben],"&gt;="&amp;Z$5,tblAuftraege[Datum
Ausgaben],"&lt;"&amp;EDATE(Z$5,1),tblAuftraege[Kostenstelle],$B48))</f>
        <v/>
      </c>
      <c r="AA48" s="27">
        <f>IF($B48="",0,SUMIFS(tblAuftraege[Kalk.
Ausgaben],tblAuftraege[Datum
Ausgaben],"&gt;="&amp;AA$5,tblAuftraege[Datum
Ausgaben],"&lt;"&amp;EDATE(AA$5,1),tblAuftraege[Kostenstelle],$B48))</f>
        <v/>
      </c>
      <c r="AB48" s="27">
        <f>IF($B48="",0,SUMIFS(tblAuftraege[Kalk.
Ausgaben],tblAuftraege[Datum
Ausgaben],"&gt;="&amp;AB$5,tblAuftraege[Datum
Ausgaben],"&lt;"&amp;EDATE(AB$5,1),tblAuftraege[Kostenstelle],$B48))</f>
        <v/>
      </c>
      <c r="AC48" s="27">
        <f>IF($B48="",0,SUMIFS(tblAuftraege[Kalk.
Ausgaben],tblAuftraege[Datum
Ausgaben],"&gt;="&amp;AC$5,tblAuftraege[Datum
Ausgaben],"&lt;"&amp;EDATE(AC$5,1),tblAuftraege[Kostenstelle],$B48))</f>
        <v/>
      </c>
      <c r="AD48" s="27">
        <f>IF($B48="",0,SUMIFS(tblAuftraege[Kalk.
Ausgaben],tblAuftraege[Datum
Ausgaben],"&gt;="&amp;AD$5,tblAuftraege[Datum
Ausgaben],"&lt;"&amp;EDATE(AD$5,1),tblAuftraege[Kostenstelle],$B48))</f>
        <v/>
      </c>
      <c r="AE48" s="27">
        <f>IF($B48="",0,SUMIFS(tblAuftraege[Kalk.
Ausgaben],tblAuftraege[Datum
Ausgaben],"&gt;="&amp;AE$5,tblAuftraege[Datum
Ausgaben],"&lt;"&amp;EDATE(AE$5,1),tblAuftraege[Kostenstelle],$B48))</f>
        <v/>
      </c>
      <c r="AF48" s="27">
        <f>IF($B48="",0,SUMIFS(tblAuftraege[Kalk.
Ausgaben],tblAuftraege[Datum
Ausgaben],"&gt;="&amp;AF$5,tblAuftraege[Datum
Ausgaben],"&lt;"&amp;EDATE(AF$5,1),tblAuftraege[Kostenstelle],$B48))</f>
        <v/>
      </c>
      <c r="AG48" s="27">
        <f>IF($B48="",0,SUMIFS(tblAuftraege[Kalk.
Ausgaben],tblAuftraege[Datum
Ausgaben],"&gt;="&amp;AG$5,tblAuftraege[Datum
Ausgaben],"&lt;"&amp;EDATE(AG$5,1),tblAuftraege[Kostenstelle],$B48))</f>
        <v/>
      </c>
      <c r="AH48" s="27">
        <f>IF($B48="",0,SUMIFS(tblAuftraege[Kalk.
Ausgaben],tblAuftraege[Datum
Ausgaben],"&gt;="&amp;AH$5,tblAuftraege[Datum
Ausgaben],"&lt;"&amp;EDATE(AH$5,1),tblAuftraege[Kostenstelle],$B48))</f>
        <v/>
      </c>
      <c r="AI48" s="27">
        <f>IF($B48="",0,SUMIFS(tblAuftraege[Kalk.
Ausgaben],tblAuftraege[Datum
Ausgaben],"&gt;="&amp;AI$5,tblAuftraege[Datum
Ausgaben],"&lt;"&amp;EDATE(AI$5,1),tblAuftraege[Kostenstelle],$B48))</f>
        <v/>
      </c>
      <c r="AJ48" s="27">
        <f>IF($B48="",0,SUMIFS(tblAuftraege[Kalk.
Ausgaben],tblAuftraege[Datum
Ausgaben],"&gt;="&amp;AJ$5,tblAuftraege[Datum
Ausgaben],"&lt;"&amp;EDATE(AJ$5,1),tblAuftraege[Kostenstelle],$B48))</f>
        <v/>
      </c>
      <c r="AK48" s="27">
        <f>IF($B48="",0,SUMIFS(tblAuftraege[Kalk.
Ausgaben],tblAuftraege[Datum
Ausgaben],"&gt;="&amp;AK$5,tblAuftraege[Datum
Ausgaben],"&lt;"&amp;EDATE(AK$5,1),tblAuftraege[Kostenstelle],$B48))</f>
        <v/>
      </c>
      <c r="AL48" s="27">
        <f>IF($B48="",0,SUMIFS(tblAuftraege[Kalk.
Ausgaben],tblAuftraege[Datum
Ausgaben],"&gt;="&amp;AL$5,tblAuftraege[Datum
Ausgaben],"&lt;"&amp;EDATE(AL$5,1),tblAuftraege[Kostenstelle],$B48))</f>
        <v/>
      </c>
      <c r="AM48" s="27">
        <f>IF($B48="",0,SUMIFS(tblAuftraege[Kalk.
Ausgaben],tblAuftraege[Datum
Ausgaben],"&gt;="&amp;AM$5,tblAuftraege[Datum
Ausgaben],"&lt;"&amp;EDATE(AM$5,1),tblAuftraege[Kostenstelle],$B48))</f>
        <v/>
      </c>
      <c r="AN48" s="27">
        <f>IF($B48="",0,SUMIFS(tblAuftraege[Kalk.
Ausgaben],tblAuftraege[Datum
Ausgaben],"&gt;="&amp;AN$5,tblAuftraege[Datum
Ausgaben],"&lt;"&amp;EDATE(AN$5,1),tblAuftraege[Kostenstelle],$B48))</f>
        <v/>
      </c>
      <c r="AO48" s="27">
        <f>IF($B48="",0,SUMIFS(tblAuftraege[Kalk.
Ausgaben],tblAuftraege[Datum
Ausgaben],"&gt;="&amp;AO$5,tblAuftraege[Datum
Ausgaben],"&lt;"&amp;EDATE(AO$5,1),tblAuftraege[Kostenstelle],$B48))</f>
        <v/>
      </c>
      <c r="AP48" s="27">
        <f>IF($B48="",0,SUMIFS(tblAuftraege[Kalk.
Ausgaben],tblAuftraege[Datum
Ausgaben],"&gt;="&amp;AP$5,tblAuftraege[Datum
Ausgaben],"&lt;"&amp;EDATE(AP$5,1),tblAuftraege[Kostenstelle],$B48))</f>
        <v/>
      </c>
      <c r="AQ48" s="27">
        <f>IF($B48="",0,SUMIFS(tblAuftraege[Kalk.
Ausgaben],tblAuftraege[Datum
Ausgaben],"&gt;="&amp;AQ$5,tblAuftraege[Datum
Ausgaben],"&lt;"&amp;EDATE(AQ$5,1),tblAuftraege[Kostenstelle],$B48))</f>
        <v/>
      </c>
      <c r="AR48" s="27">
        <f>IF($B48="",0,SUMIFS(tblAuftraege[Kalk.
Ausgaben],tblAuftraege[Datum
Ausgaben],"&gt;="&amp;AR$5,tblAuftraege[Datum
Ausgaben],"&lt;"&amp;EDATE(AR$5,1),tblAuftraege[Kostenstelle],$B48))</f>
        <v/>
      </c>
      <c r="AS48" s="27">
        <f>IF($B48="",0,SUMIFS(tblAuftraege[Kalk.
Ausgaben],tblAuftraege[Datum
Ausgaben],"&gt;="&amp;AS$5,tblAuftraege[Datum
Ausgaben],"&lt;"&amp;EDATE(AS$5,1),tblAuftraege[Kostenstelle],$B48))</f>
        <v/>
      </c>
      <c r="AT48" s="27">
        <f>IF($B48="",0,SUMIFS(tblAuftraege[Kalk.
Ausgaben],tblAuftraege[Datum
Ausgaben],"&gt;="&amp;AT$5,tblAuftraege[Datum
Ausgaben],"&lt;"&amp;EDATE(AT$5,1),tblAuftraege[Kostenstelle],$B48))</f>
        <v/>
      </c>
      <c r="AU48" s="27">
        <f>IF($B48="",0,SUMIFS(tblAuftraege[Kalk.
Ausgaben],tblAuftraege[Datum
Ausgaben],"&gt;="&amp;AU$5,tblAuftraege[Datum
Ausgaben],"&lt;"&amp;EDATE(AU$5,1),tblAuftraege[Kostenstelle],$B48))</f>
        <v/>
      </c>
      <c r="AV48" s="27">
        <f>IF($B48="",0,SUMIFS(tblAuftraege[Kalk.
Ausgaben],tblAuftraege[Datum
Ausgaben],"&gt;="&amp;AV$5,tblAuftraege[Datum
Ausgaben],"&lt;"&amp;EDATE(AV$5,1),tblAuftraege[Kostenstelle],$B48))</f>
        <v/>
      </c>
      <c r="AW48" s="27">
        <f>IF($B48="",0,SUMIFS(tblAuftraege[Kalk.
Ausgaben],tblAuftraege[Datum
Ausgaben],"&gt;="&amp;AW$5,tblAuftraege[Datum
Ausgaben],"&lt;"&amp;EDATE(AW$5,1),tblAuftraege[Kostenstelle],$B48))</f>
        <v/>
      </c>
      <c r="AX48" s="27">
        <f>IF($B48="",0,SUMIFS(tblAuftraege[Kalk.
Ausgaben],tblAuftraege[Datum
Ausgaben],"&gt;="&amp;AX$5,tblAuftraege[Datum
Ausgaben],"&lt;"&amp;EDATE(AX$5,1),tblAuftraege[Kostenstelle],$B48))</f>
        <v/>
      </c>
      <c r="AY48" s="27">
        <f>IF($B48="",0,SUMIFS(tblAuftraege[Kalk.
Ausgaben],tblAuftraege[Datum
Ausgaben],"&gt;="&amp;AY$5,tblAuftraege[Datum
Ausgaben],"&lt;"&amp;EDATE(AY$5,1),tblAuftraege[Kostenstelle],$B48))</f>
        <v/>
      </c>
      <c r="AZ48" s="27">
        <f>IF($B48="",0,SUMIFS(tblAuftraege[Kalk.
Ausgaben],tblAuftraege[Datum
Ausgaben],"&gt;="&amp;AZ$5,tblAuftraege[Datum
Ausgaben],"&lt;"&amp;EDATE(AZ$5,1),tblAuftraege[Kostenstelle],$B48))</f>
        <v/>
      </c>
      <c r="BA48" s="27">
        <f>IF($B48="",0,SUMIFS(tblAuftraege[Kalk.
Ausgaben],tblAuftraege[Datum
Ausgaben],"&gt;="&amp;BA$5,tblAuftraege[Datum
Ausgaben],"&lt;"&amp;EDATE(BA$5,1),tblAuftraege[Kostenstelle],$B48))</f>
        <v/>
      </c>
      <c r="BB48" s="27">
        <f>IF($B48="",0,SUMIFS(tblAuftraege[Kalk.
Ausgaben],tblAuftraege[Datum
Ausgaben],"&gt;="&amp;BB$5,tblAuftraege[Datum
Ausgaben],"&lt;"&amp;EDATE(BB$5,1),tblAuftraege[Kostenstelle],$B48))</f>
        <v/>
      </c>
      <c r="BC48" s="27">
        <f>IF($B48="",0,SUMIFS(tblAuftraege[Kalk.
Ausgaben],tblAuftraege[Datum
Ausgaben],"&gt;="&amp;BC$5,tblAuftraege[Datum
Ausgaben],"&lt;"&amp;EDATE(BC$5,1),tblAuftraege[Kostenstelle],$B48))</f>
        <v/>
      </c>
      <c r="BD48" s="27">
        <f>IF($B48="",0,SUMIFS(tblAuftraege[Kalk.
Ausgaben],tblAuftraege[Datum
Ausgaben],"&gt;="&amp;BD$5,tblAuftraege[Datum
Ausgaben],"&lt;"&amp;EDATE(BD$5,1),tblAuftraege[Kostenstelle],$B48))</f>
        <v/>
      </c>
      <c r="BE48" s="27">
        <f>SUM(C48:H48)</f>
        <v/>
      </c>
      <c r="BF48" s="27">
        <f>SUM(I48:T48)</f>
        <v/>
      </c>
      <c r="BG48" s="27">
        <f>SUM(U48:AF48)</f>
        <v/>
      </c>
      <c r="BH48" s="27">
        <f>SUM(AG48:AR48)</f>
        <v/>
      </c>
      <c r="BI48" s="27">
        <f>SUM(AS48:BD48)</f>
        <v/>
      </c>
      <c r="BJ48" s="27">
        <f>SUM(C48:BD48)</f>
        <v/>
      </c>
    </row>
    <row r="49">
      <c r="A49" s="34" t="n"/>
      <c r="B49" s="49">
        <f>IF(ISBLANK(B15),"",B15)</f>
        <v/>
      </c>
      <c r="C49" s="27">
        <f>IF($B49="",0,SUMIFS(tblAuftraege[Kalk.
Ausgaben],tblAuftraege[Datum
Ausgaben],"&gt;="&amp;C$5,tblAuftraege[Datum
Ausgaben],"&lt;"&amp;EDATE(C$5,1),tblAuftraege[Kostenstelle],$B49))</f>
        <v/>
      </c>
      <c r="D49" s="27">
        <f>IF($B49="",0,SUMIFS(tblAuftraege[Kalk.
Ausgaben],tblAuftraege[Datum
Ausgaben],"&gt;="&amp;D$5,tblAuftraege[Datum
Ausgaben],"&lt;"&amp;EDATE(D$5,1),tblAuftraege[Kostenstelle],$B49))</f>
        <v/>
      </c>
      <c r="E49" s="27">
        <f>IF($B49="",0,SUMIFS(tblAuftraege[Kalk.
Ausgaben],tblAuftraege[Datum
Ausgaben],"&gt;="&amp;E$5,tblAuftraege[Datum
Ausgaben],"&lt;"&amp;EDATE(E$5,1),tblAuftraege[Kostenstelle],$B49))</f>
        <v/>
      </c>
      <c r="F49" s="27">
        <f>IF($B49="",0,SUMIFS(tblAuftraege[Kalk.
Ausgaben],tblAuftraege[Datum
Ausgaben],"&gt;="&amp;F$5,tblAuftraege[Datum
Ausgaben],"&lt;"&amp;EDATE(F$5,1),tblAuftraege[Kostenstelle],$B49))</f>
        <v/>
      </c>
      <c r="G49" s="27">
        <f>IF($B49="",0,SUMIFS(tblAuftraege[Kalk.
Ausgaben],tblAuftraege[Datum
Ausgaben],"&gt;="&amp;G$5,tblAuftraege[Datum
Ausgaben],"&lt;"&amp;EDATE(G$5,1),tblAuftraege[Kostenstelle],$B49))</f>
        <v/>
      </c>
      <c r="H49" s="27">
        <f>IF($B49="",0,SUMIFS(tblAuftraege[Kalk.
Ausgaben],tblAuftraege[Datum
Ausgaben],"&gt;="&amp;H$5,tblAuftraege[Datum
Ausgaben],"&lt;"&amp;EDATE(H$5,1),tblAuftraege[Kostenstelle],$B49))</f>
        <v/>
      </c>
      <c r="I49" s="27">
        <f>IF($B49="",0,SUMIFS(tblAuftraege[Kalk.
Ausgaben],tblAuftraege[Datum
Ausgaben],"&gt;="&amp;I$5,tblAuftraege[Datum
Ausgaben],"&lt;"&amp;EDATE(I$5,1),tblAuftraege[Kostenstelle],$B49))</f>
        <v/>
      </c>
      <c r="J49" s="27">
        <f>IF($B49="",0,SUMIFS(tblAuftraege[Kalk.
Ausgaben],tblAuftraege[Datum
Ausgaben],"&gt;="&amp;J$5,tblAuftraege[Datum
Ausgaben],"&lt;"&amp;EDATE(J$5,1),tblAuftraege[Kostenstelle],$B49))</f>
        <v/>
      </c>
      <c r="K49" s="27">
        <f>IF($B49="",0,SUMIFS(tblAuftraege[Kalk.
Ausgaben],tblAuftraege[Datum
Ausgaben],"&gt;="&amp;K$5,tblAuftraege[Datum
Ausgaben],"&lt;"&amp;EDATE(K$5,1),tblAuftraege[Kostenstelle],$B49))</f>
        <v/>
      </c>
      <c r="L49" s="27">
        <f>IF($B49="",0,SUMIFS(tblAuftraege[Kalk.
Ausgaben],tblAuftraege[Datum
Ausgaben],"&gt;="&amp;L$5,tblAuftraege[Datum
Ausgaben],"&lt;"&amp;EDATE(L$5,1),tblAuftraege[Kostenstelle],$B49))</f>
        <v/>
      </c>
      <c r="M49" s="27">
        <f>IF($B49="",0,SUMIFS(tblAuftraege[Kalk.
Ausgaben],tblAuftraege[Datum
Ausgaben],"&gt;="&amp;M$5,tblAuftraege[Datum
Ausgaben],"&lt;"&amp;EDATE(M$5,1),tblAuftraege[Kostenstelle],$B49))</f>
        <v/>
      </c>
      <c r="N49" s="27">
        <f>IF($B49="",0,SUMIFS(tblAuftraege[Kalk.
Ausgaben],tblAuftraege[Datum
Ausgaben],"&gt;="&amp;N$5,tblAuftraege[Datum
Ausgaben],"&lt;"&amp;EDATE(N$5,1),tblAuftraege[Kostenstelle],$B49))</f>
        <v/>
      </c>
      <c r="O49" s="27">
        <f>IF($B49="",0,SUMIFS(tblAuftraege[Kalk.
Ausgaben],tblAuftraege[Datum
Ausgaben],"&gt;="&amp;O$5,tblAuftraege[Datum
Ausgaben],"&lt;"&amp;EDATE(O$5,1),tblAuftraege[Kostenstelle],$B49))</f>
        <v/>
      </c>
      <c r="P49" s="27">
        <f>IF($B49="",0,SUMIFS(tblAuftraege[Kalk.
Ausgaben],tblAuftraege[Datum
Ausgaben],"&gt;="&amp;P$5,tblAuftraege[Datum
Ausgaben],"&lt;"&amp;EDATE(P$5,1),tblAuftraege[Kostenstelle],$B49))</f>
        <v/>
      </c>
      <c r="Q49" s="27">
        <f>IF($B49="",0,SUMIFS(tblAuftraege[Kalk.
Ausgaben],tblAuftraege[Datum
Ausgaben],"&gt;="&amp;Q$5,tblAuftraege[Datum
Ausgaben],"&lt;"&amp;EDATE(Q$5,1),tblAuftraege[Kostenstelle],$B49))</f>
        <v/>
      </c>
      <c r="R49" s="27">
        <f>IF($B49="",0,SUMIFS(tblAuftraege[Kalk.
Ausgaben],tblAuftraege[Datum
Ausgaben],"&gt;="&amp;R$5,tblAuftraege[Datum
Ausgaben],"&lt;"&amp;EDATE(R$5,1),tblAuftraege[Kostenstelle],$B49))</f>
        <v/>
      </c>
      <c r="S49" s="27">
        <f>IF($B49="",0,SUMIFS(tblAuftraege[Kalk.
Ausgaben],tblAuftraege[Datum
Ausgaben],"&gt;="&amp;S$5,tblAuftraege[Datum
Ausgaben],"&lt;"&amp;EDATE(S$5,1),tblAuftraege[Kostenstelle],$B49))</f>
        <v/>
      </c>
      <c r="T49" s="27">
        <f>IF($B49="",0,SUMIFS(tblAuftraege[Kalk.
Ausgaben],tblAuftraege[Datum
Ausgaben],"&gt;="&amp;T$5,tblAuftraege[Datum
Ausgaben],"&lt;"&amp;EDATE(T$5,1),tblAuftraege[Kostenstelle],$B49))</f>
        <v/>
      </c>
      <c r="U49" s="27">
        <f>IF($B49="",0,SUMIFS(tblAuftraege[Kalk.
Ausgaben],tblAuftraege[Datum
Ausgaben],"&gt;="&amp;U$5,tblAuftraege[Datum
Ausgaben],"&lt;"&amp;EDATE(U$5,1),tblAuftraege[Kostenstelle],$B49))</f>
        <v/>
      </c>
      <c r="V49" s="27">
        <f>IF($B49="",0,SUMIFS(tblAuftraege[Kalk.
Ausgaben],tblAuftraege[Datum
Ausgaben],"&gt;="&amp;V$5,tblAuftraege[Datum
Ausgaben],"&lt;"&amp;EDATE(V$5,1),tblAuftraege[Kostenstelle],$B49))</f>
        <v/>
      </c>
      <c r="W49" s="27">
        <f>IF($B49="",0,SUMIFS(tblAuftraege[Kalk.
Ausgaben],tblAuftraege[Datum
Ausgaben],"&gt;="&amp;W$5,tblAuftraege[Datum
Ausgaben],"&lt;"&amp;EDATE(W$5,1),tblAuftraege[Kostenstelle],$B49))</f>
        <v/>
      </c>
      <c r="X49" s="27">
        <f>IF($B49="",0,SUMIFS(tblAuftraege[Kalk.
Ausgaben],tblAuftraege[Datum
Ausgaben],"&gt;="&amp;X$5,tblAuftraege[Datum
Ausgaben],"&lt;"&amp;EDATE(X$5,1),tblAuftraege[Kostenstelle],$B49))</f>
        <v/>
      </c>
      <c r="Y49" s="27">
        <f>IF($B49="",0,SUMIFS(tblAuftraege[Kalk.
Ausgaben],tblAuftraege[Datum
Ausgaben],"&gt;="&amp;Y$5,tblAuftraege[Datum
Ausgaben],"&lt;"&amp;EDATE(Y$5,1),tblAuftraege[Kostenstelle],$B49))</f>
        <v/>
      </c>
      <c r="Z49" s="27">
        <f>IF($B49="",0,SUMIFS(tblAuftraege[Kalk.
Ausgaben],tblAuftraege[Datum
Ausgaben],"&gt;="&amp;Z$5,tblAuftraege[Datum
Ausgaben],"&lt;"&amp;EDATE(Z$5,1),tblAuftraege[Kostenstelle],$B49))</f>
        <v/>
      </c>
      <c r="AA49" s="27">
        <f>IF($B49="",0,SUMIFS(tblAuftraege[Kalk.
Ausgaben],tblAuftraege[Datum
Ausgaben],"&gt;="&amp;AA$5,tblAuftraege[Datum
Ausgaben],"&lt;"&amp;EDATE(AA$5,1),tblAuftraege[Kostenstelle],$B49))</f>
        <v/>
      </c>
      <c r="AB49" s="27">
        <f>IF($B49="",0,SUMIFS(tblAuftraege[Kalk.
Ausgaben],tblAuftraege[Datum
Ausgaben],"&gt;="&amp;AB$5,tblAuftraege[Datum
Ausgaben],"&lt;"&amp;EDATE(AB$5,1),tblAuftraege[Kostenstelle],$B49))</f>
        <v/>
      </c>
      <c r="AC49" s="27">
        <f>IF($B49="",0,SUMIFS(tblAuftraege[Kalk.
Ausgaben],tblAuftraege[Datum
Ausgaben],"&gt;="&amp;AC$5,tblAuftraege[Datum
Ausgaben],"&lt;"&amp;EDATE(AC$5,1),tblAuftraege[Kostenstelle],$B49))</f>
        <v/>
      </c>
      <c r="AD49" s="27">
        <f>IF($B49="",0,SUMIFS(tblAuftraege[Kalk.
Ausgaben],tblAuftraege[Datum
Ausgaben],"&gt;="&amp;AD$5,tblAuftraege[Datum
Ausgaben],"&lt;"&amp;EDATE(AD$5,1),tblAuftraege[Kostenstelle],$B49))</f>
        <v/>
      </c>
      <c r="AE49" s="27">
        <f>IF($B49="",0,SUMIFS(tblAuftraege[Kalk.
Ausgaben],tblAuftraege[Datum
Ausgaben],"&gt;="&amp;AE$5,tblAuftraege[Datum
Ausgaben],"&lt;"&amp;EDATE(AE$5,1),tblAuftraege[Kostenstelle],$B49))</f>
        <v/>
      </c>
      <c r="AF49" s="27">
        <f>IF($B49="",0,SUMIFS(tblAuftraege[Kalk.
Ausgaben],tblAuftraege[Datum
Ausgaben],"&gt;="&amp;AF$5,tblAuftraege[Datum
Ausgaben],"&lt;"&amp;EDATE(AF$5,1),tblAuftraege[Kostenstelle],$B49))</f>
        <v/>
      </c>
      <c r="AG49" s="27">
        <f>IF($B49="",0,SUMIFS(tblAuftraege[Kalk.
Ausgaben],tblAuftraege[Datum
Ausgaben],"&gt;="&amp;AG$5,tblAuftraege[Datum
Ausgaben],"&lt;"&amp;EDATE(AG$5,1),tblAuftraege[Kostenstelle],$B49))</f>
        <v/>
      </c>
      <c r="AH49" s="27">
        <f>IF($B49="",0,SUMIFS(tblAuftraege[Kalk.
Ausgaben],tblAuftraege[Datum
Ausgaben],"&gt;="&amp;AH$5,tblAuftraege[Datum
Ausgaben],"&lt;"&amp;EDATE(AH$5,1),tblAuftraege[Kostenstelle],$B49))</f>
        <v/>
      </c>
      <c r="AI49" s="27">
        <f>IF($B49="",0,SUMIFS(tblAuftraege[Kalk.
Ausgaben],tblAuftraege[Datum
Ausgaben],"&gt;="&amp;AI$5,tblAuftraege[Datum
Ausgaben],"&lt;"&amp;EDATE(AI$5,1),tblAuftraege[Kostenstelle],$B49))</f>
        <v/>
      </c>
      <c r="AJ49" s="27">
        <f>IF($B49="",0,SUMIFS(tblAuftraege[Kalk.
Ausgaben],tblAuftraege[Datum
Ausgaben],"&gt;="&amp;AJ$5,tblAuftraege[Datum
Ausgaben],"&lt;"&amp;EDATE(AJ$5,1),tblAuftraege[Kostenstelle],$B49))</f>
        <v/>
      </c>
      <c r="AK49" s="27">
        <f>IF($B49="",0,SUMIFS(tblAuftraege[Kalk.
Ausgaben],tblAuftraege[Datum
Ausgaben],"&gt;="&amp;AK$5,tblAuftraege[Datum
Ausgaben],"&lt;"&amp;EDATE(AK$5,1),tblAuftraege[Kostenstelle],$B49))</f>
        <v/>
      </c>
      <c r="AL49" s="27">
        <f>IF($B49="",0,SUMIFS(tblAuftraege[Kalk.
Ausgaben],tblAuftraege[Datum
Ausgaben],"&gt;="&amp;AL$5,tblAuftraege[Datum
Ausgaben],"&lt;"&amp;EDATE(AL$5,1),tblAuftraege[Kostenstelle],$B49))</f>
        <v/>
      </c>
      <c r="AM49" s="27">
        <f>IF($B49="",0,SUMIFS(tblAuftraege[Kalk.
Ausgaben],tblAuftraege[Datum
Ausgaben],"&gt;="&amp;AM$5,tblAuftraege[Datum
Ausgaben],"&lt;"&amp;EDATE(AM$5,1),tblAuftraege[Kostenstelle],$B49))</f>
        <v/>
      </c>
      <c r="AN49" s="27">
        <f>IF($B49="",0,SUMIFS(tblAuftraege[Kalk.
Ausgaben],tblAuftraege[Datum
Ausgaben],"&gt;="&amp;AN$5,tblAuftraege[Datum
Ausgaben],"&lt;"&amp;EDATE(AN$5,1),tblAuftraege[Kostenstelle],$B49))</f>
        <v/>
      </c>
      <c r="AO49" s="27">
        <f>IF($B49="",0,SUMIFS(tblAuftraege[Kalk.
Ausgaben],tblAuftraege[Datum
Ausgaben],"&gt;="&amp;AO$5,tblAuftraege[Datum
Ausgaben],"&lt;"&amp;EDATE(AO$5,1),tblAuftraege[Kostenstelle],$B49))</f>
        <v/>
      </c>
      <c r="AP49" s="27">
        <f>IF($B49="",0,SUMIFS(tblAuftraege[Kalk.
Ausgaben],tblAuftraege[Datum
Ausgaben],"&gt;="&amp;AP$5,tblAuftraege[Datum
Ausgaben],"&lt;"&amp;EDATE(AP$5,1),tblAuftraege[Kostenstelle],$B49))</f>
        <v/>
      </c>
      <c r="AQ49" s="27">
        <f>IF($B49="",0,SUMIFS(tblAuftraege[Kalk.
Ausgaben],tblAuftraege[Datum
Ausgaben],"&gt;="&amp;AQ$5,tblAuftraege[Datum
Ausgaben],"&lt;"&amp;EDATE(AQ$5,1),tblAuftraege[Kostenstelle],$B49))</f>
        <v/>
      </c>
      <c r="AR49" s="27">
        <f>IF($B49="",0,SUMIFS(tblAuftraege[Kalk.
Ausgaben],tblAuftraege[Datum
Ausgaben],"&gt;="&amp;AR$5,tblAuftraege[Datum
Ausgaben],"&lt;"&amp;EDATE(AR$5,1),tblAuftraege[Kostenstelle],$B49))</f>
        <v/>
      </c>
      <c r="AS49" s="27">
        <f>IF($B49="",0,SUMIFS(tblAuftraege[Kalk.
Ausgaben],tblAuftraege[Datum
Ausgaben],"&gt;="&amp;AS$5,tblAuftraege[Datum
Ausgaben],"&lt;"&amp;EDATE(AS$5,1),tblAuftraege[Kostenstelle],$B49))</f>
        <v/>
      </c>
      <c r="AT49" s="27">
        <f>IF($B49="",0,SUMIFS(tblAuftraege[Kalk.
Ausgaben],tblAuftraege[Datum
Ausgaben],"&gt;="&amp;AT$5,tblAuftraege[Datum
Ausgaben],"&lt;"&amp;EDATE(AT$5,1),tblAuftraege[Kostenstelle],$B49))</f>
        <v/>
      </c>
      <c r="AU49" s="27">
        <f>IF($B49="",0,SUMIFS(tblAuftraege[Kalk.
Ausgaben],tblAuftraege[Datum
Ausgaben],"&gt;="&amp;AU$5,tblAuftraege[Datum
Ausgaben],"&lt;"&amp;EDATE(AU$5,1),tblAuftraege[Kostenstelle],$B49))</f>
        <v/>
      </c>
      <c r="AV49" s="27">
        <f>IF($B49="",0,SUMIFS(tblAuftraege[Kalk.
Ausgaben],tblAuftraege[Datum
Ausgaben],"&gt;="&amp;AV$5,tblAuftraege[Datum
Ausgaben],"&lt;"&amp;EDATE(AV$5,1),tblAuftraege[Kostenstelle],$B49))</f>
        <v/>
      </c>
      <c r="AW49" s="27">
        <f>IF($B49="",0,SUMIFS(tblAuftraege[Kalk.
Ausgaben],tblAuftraege[Datum
Ausgaben],"&gt;="&amp;AW$5,tblAuftraege[Datum
Ausgaben],"&lt;"&amp;EDATE(AW$5,1),tblAuftraege[Kostenstelle],$B49))</f>
        <v/>
      </c>
      <c r="AX49" s="27">
        <f>IF($B49="",0,SUMIFS(tblAuftraege[Kalk.
Ausgaben],tblAuftraege[Datum
Ausgaben],"&gt;="&amp;AX$5,tblAuftraege[Datum
Ausgaben],"&lt;"&amp;EDATE(AX$5,1),tblAuftraege[Kostenstelle],$B49))</f>
        <v/>
      </c>
      <c r="AY49" s="27">
        <f>IF($B49="",0,SUMIFS(tblAuftraege[Kalk.
Ausgaben],tblAuftraege[Datum
Ausgaben],"&gt;="&amp;AY$5,tblAuftraege[Datum
Ausgaben],"&lt;"&amp;EDATE(AY$5,1),tblAuftraege[Kostenstelle],$B49))</f>
        <v/>
      </c>
      <c r="AZ49" s="27">
        <f>IF($B49="",0,SUMIFS(tblAuftraege[Kalk.
Ausgaben],tblAuftraege[Datum
Ausgaben],"&gt;="&amp;AZ$5,tblAuftraege[Datum
Ausgaben],"&lt;"&amp;EDATE(AZ$5,1),tblAuftraege[Kostenstelle],$B49))</f>
        <v/>
      </c>
      <c r="BA49" s="27">
        <f>IF($B49="",0,SUMIFS(tblAuftraege[Kalk.
Ausgaben],tblAuftraege[Datum
Ausgaben],"&gt;="&amp;BA$5,tblAuftraege[Datum
Ausgaben],"&lt;"&amp;EDATE(BA$5,1),tblAuftraege[Kostenstelle],$B49))</f>
        <v/>
      </c>
      <c r="BB49" s="27">
        <f>IF($B49="",0,SUMIFS(tblAuftraege[Kalk.
Ausgaben],tblAuftraege[Datum
Ausgaben],"&gt;="&amp;BB$5,tblAuftraege[Datum
Ausgaben],"&lt;"&amp;EDATE(BB$5,1),tblAuftraege[Kostenstelle],$B49))</f>
        <v/>
      </c>
      <c r="BC49" s="27">
        <f>IF($B49="",0,SUMIFS(tblAuftraege[Kalk.
Ausgaben],tblAuftraege[Datum
Ausgaben],"&gt;="&amp;BC$5,tblAuftraege[Datum
Ausgaben],"&lt;"&amp;EDATE(BC$5,1),tblAuftraege[Kostenstelle],$B49))</f>
        <v/>
      </c>
      <c r="BD49" s="27">
        <f>IF($B49="",0,SUMIFS(tblAuftraege[Kalk.
Ausgaben],tblAuftraege[Datum
Ausgaben],"&gt;="&amp;BD$5,tblAuftraege[Datum
Ausgaben],"&lt;"&amp;EDATE(BD$5,1),tblAuftraege[Kostenstelle],$B49))</f>
        <v/>
      </c>
      <c r="BE49" s="27">
        <f>SUM(C49:H49)</f>
        <v/>
      </c>
      <c r="BF49" s="27">
        <f>SUM(I49:T49)</f>
        <v/>
      </c>
      <c r="BG49" s="27">
        <f>SUM(U49:AF49)</f>
        <v/>
      </c>
      <c r="BH49" s="27">
        <f>SUM(AG49:AR49)</f>
        <v/>
      </c>
      <c r="BI49" s="27">
        <f>SUM(AS49:BD49)</f>
        <v/>
      </c>
      <c r="BJ49" s="27">
        <f>SUM(C49:BD49)</f>
        <v/>
      </c>
    </row>
    <row r="50">
      <c r="A50" s="34" t="n"/>
      <c r="B50" s="49">
        <f>IF(ISBLANK(B16),"",B16)</f>
        <v/>
      </c>
      <c r="C50" s="27">
        <f>IF($B50="",0,SUMIFS(tblAuftraege[Kalk.
Ausgaben],tblAuftraege[Datum
Ausgaben],"&gt;="&amp;C$5,tblAuftraege[Datum
Ausgaben],"&lt;"&amp;EDATE(C$5,1),tblAuftraege[Kostenstelle],$B50))</f>
        <v/>
      </c>
      <c r="D50" s="27">
        <f>IF($B50="",0,SUMIFS(tblAuftraege[Kalk.
Ausgaben],tblAuftraege[Datum
Ausgaben],"&gt;="&amp;D$5,tblAuftraege[Datum
Ausgaben],"&lt;"&amp;EDATE(D$5,1),tblAuftraege[Kostenstelle],$B50))</f>
        <v/>
      </c>
      <c r="E50" s="27">
        <f>IF($B50="",0,SUMIFS(tblAuftraege[Kalk.
Ausgaben],tblAuftraege[Datum
Ausgaben],"&gt;="&amp;E$5,tblAuftraege[Datum
Ausgaben],"&lt;"&amp;EDATE(E$5,1),tblAuftraege[Kostenstelle],$B50))</f>
        <v/>
      </c>
      <c r="F50" s="27">
        <f>IF($B50="",0,SUMIFS(tblAuftraege[Kalk.
Ausgaben],tblAuftraege[Datum
Ausgaben],"&gt;="&amp;F$5,tblAuftraege[Datum
Ausgaben],"&lt;"&amp;EDATE(F$5,1),tblAuftraege[Kostenstelle],$B50))</f>
        <v/>
      </c>
      <c r="G50" s="27">
        <f>IF($B50="",0,SUMIFS(tblAuftraege[Kalk.
Ausgaben],tblAuftraege[Datum
Ausgaben],"&gt;="&amp;G$5,tblAuftraege[Datum
Ausgaben],"&lt;"&amp;EDATE(G$5,1),tblAuftraege[Kostenstelle],$B50))</f>
        <v/>
      </c>
      <c r="H50" s="27">
        <f>IF($B50="",0,SUMIFS(tblAuftraege[Kalk.
Ausgaben],tblAuftraege[Datum
Ausgaben],"&gt;="&amp;H$5,tblAuftraege[Datum
Ausgaben],"&lt;"&amp;EDATE(H$5,1),tblAuftraege[Kostenstelle],$B50))</f>
        <v/>
      </c>
      <c r="I50" s="27">
        <f>IF($B50="",0,SUMIFS(tblAuftraege[Kalk.
Ausgaben],tblAuftraege[Datum
Ausgaben],"&gt;="&amp;I$5,tblAuftraege[Datum
Ausgaben],"&lt;"&amp;EDATE(I$5,1),tblAuftraege[Kostenstelle],$B50))</f>
        <v/>
      </c>
      <c r="J50" s="27">
        <f>IF($B50="",0,SUMIFS(tblAuftraege[Kalk.
Ausgaben],tblAuftraege[Datum
Ausgaben],"&gt;="&amp;J$5,tblAuftraege[Datum
Ausgaben],"&lt;"&amp;EDATE(J$5,1),tblAuftraege[Kostenstelle],$B50))</f>
        <v/>
      </c>
      <c r="K50" s="27">
        <f>IF($B50="",0,SUMIFS(tblAuftraege[Kalk.
Ausgaben],tblAuftraege[Datum
Ausgaben],"&gt;="&amp;K$5,tblAuftraege[Datum
Ausgaben],"&lt;"&amp;EDATE(K$5,1),tblAuftraege[Kostenstelle],$B50))</f>
        <v/>
      </c>
      <c r="L50" s="27">
        <f>IF($B50="",0,SUMIFS(tblAuftraege[Kalk.
Ausgaben],tblAuftraege[Datum
Ausgaben],"&gt;="&amp;L$5,tblAuftraege[Datum
Ausgaben],"&lt;"&amp;EDATE(L$5,1),tblAuftraege[Kostenstelle],$B50))</f>
        <v/>
      </c>
      <c r="M50" s="27">
        <f>IF($B50="",0,SUMIFS(tblAuftraege[Kalk.
Ausgaben],tblAuftraege[Datum
Ausgaben],"&gt;="&amp;M$5,tblAuftraege[Datum
Ausgaben],"&lt;"&amp;EDATE(M$5,1),tblAuftraege[Kostenstelle],$B50))</f>
        <v/>
      </c>
      <c r="N50" s="27">
        <f>IF($B50="",0,SUMIFS(tblAuftraege[Kalk.
Ausgaben],tblAuftraege[Datum
Ausgaben],"&gt;="&amp;N$5,tblAuftraege[Datum
Ausgaben],"&lt;"&amp;EDATE(N$5,1),tblAuftraege[Kostenstelle],$B50))</f>
        <v/>
      </c>
      <c r="O50" s="27">
        <f>IF($B50="",0,SUMIFS(tblAuftraege[Kalk.
Ausgaben],tblAuftraege[Datum
Ausgaben],"&gt;="&amp;O$5,tblAuftraege[Datum
Ausgaben],"&lt;"&amp;EDATE(O$5,1),tblAuftraege[Kostenstelle],$B50))</f>
        <v/>
      </c>
      <c r="P50" s="27">
        <f>IF($B50="",0,SUMIFS(tblAuftraege[Kalk.
Ausgaben],tblAuftraege[Datum
Ausgaben],"&gt;="&amp;P$5,tblAuftraege[Datum
Ausgaben],"&lt;"&amp;EDATE(P$5,1),tblAuftraege[Kostenstelle],$B50))</f>
        <v/>
      </c>
      <c r="Q50" s="27">
        <f>IF($B50="",0,SUMIFS(tblAuftraege[Kalk.
Ausgaben],tblAuftraege[Datum
Ausgaben],"&gt;="&amp;Q$5,tblAuftraege[Datum
Ausgaben],"&lt;"&amp;EDATE(Q$5,1),tblAuftraege[Kostenstelle],$B50))</f>
        <v/>
      </c>
      <c r="R50" s="27">
        <f>IF($B50="",0,SUMIFS(tblAuftraege[Kalk.
Ausgaben],tblAuftraege[Datum
Ausgaben],"&gt;="&amp;R$5,tblAuftraege[Datum
Ausgaben],"&lt;"&amp;EDATE(R$5,1),tblAuftraege[Kostenstelle],$B50))</f>
        <v/>
      </c>
      <c r="S50" s="27">
        <f>IF($B50="",0,SUMIFS(tblAuftraege[Kalk.
Ausgaben],tblAuftraege[Datum
Ausgaben],"&gt;="&amp;S$5,tblAuftraege[Datum
Ausgaben],"&lt;"&amp;EDATE(S$5,1),tblAuftraege[Kostenstelle],$B50))</f>
        <v/>
      </c>
      <c r="T50" s="27">
        <f>IF($B50="",0,SUMIFS(tblAuftraege[Kalk.
Ausgaben],tblAuftraege[Datum
Ausgaben],"&gt;="&amp;T$5,tblAuftraege[Datum
Ausgaben],"&lt;"&amp;EDATE(T$5,1),tblAuftraege[Kostenstelle],$B50))</f>
        <v/>
      </c>
      <c r="U50" s="27">
        <f>IF($B50="",0,SUMIFS(tblAuftraege[Kalk.
Ausgaben],tblAuftraege[Datum
Ausgaben],"&gt;="&amp;U$5,tblAuftraege[Datum
Ausgaben],"&lt;"&amp;EDATE(U$5,1),tblAuftraege[Kostenstelle],$B50))</f>
        <v/>
      </c>
      <c r="V50" s="27">
        <f>IF($B50="",0,SUMIFS(tblAuftraege[Kalk.
Ausgaben],tblAuftraege[Datum
Ausgaben],"&gt;="&amp;V$5,tblAuftraege[Datum
Ausgaben],"&lt;"&amp;EDATE(V$5,1),tblAuftraege[Kostenstelle],$B50))</f>
        <v/>
      </c>
      <c r="W50" s="27">
        <f>IF($B50="",0,SUMIFS(tblAuftraege[Kalk.
Ausgaben],tblAuftraege[Datum
Ausgaben],"&gt;="&amp;W$5,tblAuftraege[Datum
Ausgaben],"&lt;"&amp;EDATE(W$5,1),tblAuftraege[Kostenstelle],$B50))</f>
        <v/>
      </c>
      <c r="X50" s="27">
        <f>IF($B50="",0,SUMIFS(tblAuftraege[Kalk.
Ausgaben],tblAuftraege[Datum
Ausgaben],"&gt;="&amp;X$5,tblAuftraege[Datum
Ausgaben],"&lt;"&amp;EDATE(X$5,1),tblAuftraege[Kostenstelle],$B50))</f>
        <v/>
      </c>
      <c r="Y50" s="27">
        <f>IF($B50="",0,SUMIFS(tblAuftraege[Kalk.
Ausgaben],tblAuftraege[Datum
Ausgaben],"&gt;="&amp;Y$5,tblAuftraege[Datum
Ausgaben],"&lt;"&amp;EDATE(Y$5,1),tblAuftraege[Kostenstelle],$B50))</f>
        <v/>
      </c>
      <c r="Z50" s="27">
        <f>IF($B50="",0,SUMIFS(tblAuftraege[Kalk.
Ausgaben],tblAuftraege[Datum
Ausgaben],"&gt;="&amp;Z$5,tblAuftraege[Datum
Ausgaben],"&lt;"&amp;EDATE(Z$5,1),tblAuftraege[Kostenstelle],$B50))</f>
        <v/>
      </c>
      <c r="AA50" s="27">
        <f>IF($B50="",0,SUMIFS(tblAuftraege[Kalk.
Ausgaben],tblAuftraege[Datum
Ausgaben],"&gt;="&amp;AA$5,tblAuftraege[Datum
Ausgaben],"&lt;"&amp;EDATE(AA$5,1),tblAuftraege[Kostenstelle],$B50))</f>
        <v/>
      </c>
      <c r="AB50" s="27">
        <f>IF($B50="",0,SUMIFS(tblAuftraege[Kalk.
Ausgaben],tblAuftraege[Datum
Ausgaben],"&gt;="&amp;AB$5,tblAuftraege[Datum
Ausgaben],"&lt;"&amp;EDATE(AB$5,1),tblAuftraege[Kostenstelle],$B50))</f>
        <v/>
      </c>
      <c r="AC50" s="27">
        <f>IF($B50="",0,SUMIFS(tblAuftraege[Kalk.
Ausgaben],tblAuftraege[Datum
Ausgaben],"&gt;="&amp;AC$5,tblAuftraege[Datum
Ausgaben],"&lt;"&amp;EDATE(AC$5,1),tblAuftraege[Kostenstelle],$B50))</f>
        <v/>
      </c>
      <c r="AD50" s="27">
        <f>IF($B50="",0,SUMIFS(tblAuftraege[Kalk.
Ausgaben],tblAuftraege[Datum
Ausgaben],"&gt;="&amp;AD$5,tblAuftraege[Datum
Ausgaben],"&lt;"&amp;EDATE(AD$5,1),tblAuftraege[Kostenstelle],$B50))</f>
        <v/>
      </c>
      <c r="AE50" s="27">
        <f>IF($B50="",0,SUMIFS(tblAuftraege[Kalk.
Ausgaben],tblAuftraege[Datum
Ausgaben],"&gt;="&amp;AE$5,tblAuftraege[Datum
Ausgaben],"&lt;"&amp;EDATE(AE$5,1),tblAuftraege[Kostenstelle],$B50))</f>
        <v/>
      </c>
      <c r="AF50" s="27">
        <f>IF($B50="",0,SUMIFS(tblAuftraege[Kalk.
Ausgaben],tblAuftraege[Datum
Ausgaben],"&gt;="&amp;AF$5,tblAuftraege[Datum
Ausgaben],"&lt;"&amp;EDATE(AF$5,1),tblAuftraege[Kostenstelle],$B50))</f>
        <v/>
      </c>
      <c r="AG50" s="27">
        <f>IF($B50="",0,SUMIFS(tblAuftraege[Kalk.
Ausgaben],tblAuftraege[Datum
Ausgaben],"&gt;="&amp;AG$5,tblAuftraege[Datum
Ausgaben],"&lt;"&amp;EDATE(AG$5,1),tblAuftraege[Kostenstelle],$B50))</f>
        <v/>
      </c>
      <c r="AH50" s="27">
        <f>IF($B50="",0,SUMIFS(tblAuftraege[Kalk.
Ausgaben],tblAuftraege[Datum
Ausgaben],"&gt;="&amp;AH$5,tblAuftraege[Datum
Ausgaben],"&lt;"&amp;EDATE(AH$5,1),tblAuftraege[Kostenstelle],$B50))</f>
        <v/>
      </c>
      <c r="AI50" s="27">
        <f>IF($B50="",0,SUMIFS(tblAuftraege[Kalk.
Ausgaben],tblAuftraege[Datum
Ausgaben],"&gt;="&amp;AI$5,tblAuftraege[Datum
Ausgaben],"&lt;"&amp;EDATE(AI$5,1),tblAuftraege[Kostenstelle],$B50))</f>
        <v/>
      </c>
      <c r="AJ50" s="27">
        <f>IF($B50="",0,SUMIFS(tblAuftraege[Kalk.
Ausgaben],tblAuftraege[Datum
Ausgaben],"&gt;="&amp;AJ$5,tblAuftraege[Datum
Ausgaben],"&lt;"&amp;EDATE(AJ$5,1),tblAuftraege[Kostenstelle],$B50))</f>
        <v/>
      </c>
      <c r="AK50" s="27">
        <f>IF($B50="",0,SUMIFS(tblAuftraege[Kalk.
Ausgaben],tblAuftraege[Datum
Ausgaben],"&gt;="&amp;AK$5,tblAuftraege[Datum
Ausgaben],"&lt;"&amp;EDATE(AK$5,1),tblAuftraege[Kostenstelle],$B50))</f>
        <v/>
      </c>
      <c r="AL50" s="27">
        <f>IF($B50="",0,SUMIFS(tblAuftraege[Kalk.
Ausgaben],tblAuftraege[Datum
Ausgaben],"&gt;="&amp;AL$5,tblAuftraege[Datum
Ausgaben],"&lt;"&amp;EDATE(AL$5,1),tblAuftraege[Kostenstelle],$B50))</f>
        <v/>
      </c>
      <c r="AM50" s="27">
        <f>IF($B50="",0,SUMIFS(tblAuftraege[Kalk.
Ausgaben],tblAuftraege[Datum
Ausgaben],"&gt;="&amp;AM$5,tblAuftraege[Datum
Ausgaben],"&lt;"&amp;EDATE(AM$5,1),tblAuftraege[Kostenstelle],$B50))</f>
        <v/>
      </c>
      <c r="AN50" s="27">
        <f>IF($B50="",0,SUMIFS(tblAuftraege[Kalk.
Ausgaben],tblAuftraege[Datum
Ausgaben],"&gt;="&amp;AN$5,tblAuftraege[Datum
Ausgaben],"&lt;"&amp;EDATE(AN$5,1),tblAuftraege[Kostenstelle],$B50))</f>
        <v/>
      </c>
      <c r="AO50" s="27">
        <f>IF($B50="",0,SUMIFS(tblAuftraege[Kalk.
Ausgaben],tblAuftraege[Datum
Ausgaben],"&gt;="&amp;AO$5,tblAuftraege[Datum
Ausgaben],"&lt;"&amp;EDATE(AO$5,1),tblAuftraege[Kostenstelle],$B50))</f>
        <v/>
      </c>
      <c r="AP50" s="27">
        <f>IF($B50="",0,SUMIFS(tblAuftraege[Kalk.
Ausgaben],tblAuftraege[Datum
Ausgaben],"&gt;="&amp;AP$5,tblAuftraege[Datum
Ausgaben],"&lt;"&amp;EDATE(AP$5,1),tblAuftraege[Kostenstelle],$B50))</f>
        <v/>
      </c>
      <c r="AQ50" s="27">
        <f>IF($B50="",0,SUMIFS(tblAuftraege[Kalk.
Ausgaben],tblAuftraege[Datum
Ausgaben],"&gt;="&amp;AQ$5,tblAuftraege[Datum
Ausgaben],"&lt;"&amp;EDATE(AQ$5,1),tblAuftraege[Kostenstelle],$B50))</f>
        <v/>
      </c>
      <c r="AR50" s="27">
        <f>IF($B50="",0,SUMIFS(tblAuftraege[Kalk.
Ausgaben],tblAuftraege[Datum
Ausgaben],"&gt;="&amp;AR$5,tblAuftraege[Datum
Ausgaben],"&lt;"&amp;EDATE(AR$5,1),tblAuftraege[Kostenstelle],$B50))</f>
        <v/>
      </c>
      <c r="AS50" s="27">
        <f>IF($B50="",0,SUMIFS(tblAuftraege[Kalk.
Ausgaben],tblAuftraege[Datum
Ausgaben],"&gt;="&amp;AS$5,tblAuftraege[Datum
Ausgaben],"&lt;"&amp;EDATE(AS$5,1),tblAuftraege[Kostenstelle],$B50))</f>
        <v/>
      </c>
      <c r="AT50" s="27">
        <f>IF($B50="",0,SUMIFS(tblAuftraege[Kalk.
Ausgaben],tblAuftraege[Datum
Ausgaben],"&gt;="&amp;AT$5,tblAuftraege[Datum
Ausgaben],"&lt;"&amp;EDATE(AT$5,1),tblAuftraege[Kostenstelle],$B50))</f>
        <v/>
      </c>
      <c r="AU50" s="27">
        <f>IF($B50="",0,SUMIFS(tblAuftraege[Kalk.
Ausgaben],tblAuftraege[Datum
Ausgaben],"&gt;="&amp;AU$5,tblAuftraege[Datum
Ausgaben],"&lt;"&amp;EDATE(AU$5,1),tblAuftraege[Kostenstelle],$B50))</f>
        <v/>
      </c>
      <c r="AV50" s="27">
        <f>IF($B50="",0,SUMIFS(tblAuftraege[Kalk.
Ausgaben],tblAuftraege[Datum
Ausgaben],"&gt;="&amp;AV$5,tblAuftraege[Datum
Ausgaben],"&lt;"&amp;EDATE(AV$5,1),tblAuftraege[Kostenstelle],$B50))</f>
        <v/>
      </c>
      <c r="AW50" s="27">
        <f>IF($B50="",0,SUMIFS(tblAuftraege[Kalk.
Ausgaben],tblAuftraege[Datum
Ausgaben],"&gt;="&amp;AW$5,tblAuftraege[Datum
Ausgaben],"&lt;"&amp;EDATE(AW$5,1),tblAuftraege[Kostenstelle],$B50))</f>
        <v/>
      </c>
      <c r="AX50" s="27">
        <f>IF($B50="",0,SUMIFS(tblAuftraege[Kalk.
Ausgaben],tblAuftraege[Datum
Ausgaben],"&gt;="&amp;AX$5,tblAuftraege[Datum
Ausgaben],"&lt;"&amp;EDATE(AX$5,1),tblAuftraege[Kostenstelle],$B50))</f>
        <v/>
      </c>
      <c r="AY50" s="27">
        <f>IF($B50="",0,SUMIFS(tblAuftraege[Kalk.
Ausgaben],tblAuftraege[Datum
Ausgaben],"&gt;="&amp;AY$5,tblAuftraege[Datum
Ausgaben],"&lt;"&amp;EDATE(AY$5,1),tblAuftraege[Kostenstelle],$B50))</f>
        <v/>
      </c>
      <c r="AZ50" s="27">
        <f>IF($B50="",0,SUMIFS(tblAuftraege[Kalk.
Ausgaben],tblAuftraege[Datum
Ausgaben],"&gt;="&amp;AZ$5,tblAuftraege[Datum
Ausgaben],"&lt;"&amp;EDATE(AZ$5,1),tblAuftraege[Kostenstelle],$B50))</f>
        <v/>
      </c>
      <c r="BA50" s="27">
        <f>IF($B50="",0,SUMIFS(tblAuftraege[Kalk.
Ausgaben],tblAuftraege[Datum
Ausgaben],"&gt;="&amp;BA$5,tblAuftraege[Datum
Ausgaben],"&lt;"&amp;EDATE(BA$5,1),tblAuftraege[Kostenstelle],$B50))</f>
        <v/>
      </c>
      <c r="BB50" s="27">
        <f>IF($B50="",0,SUMIFS(tblAuftraege[Kalk.
Ausgaben],tblAuftraege[Datum
Ausgaben],"&gt;="&amp;BB$5,tblAuftraege[Datum
Ausgaben],"&lt;"&amp;EDATE(BB$5,1),tblAuftraege[Kostenstelle],$B50))</f>
        <v/>
      </c>
      <c r="BC50" s="27">
        <f>IF($B50="",0,SUMIFS(tblAuftraege[Kalk.
Ausgaben],tblAuftraege[Datum
Ausgaben],"&gt;="&amp;BC$5,tblAuftraege[Datum
Ausgaben],"&lt;"&amp;EDATE(BC$5,1),tblAuftraege[Kostenstelle],$B50))</f>
        <v/>
      </c>
      <c r="BD50" s="27">
        <f>IF($B50="",0,SUMIFS(tblAuftraege[Kalk.
Ausgaben],tblAuftraege[Datum
Ausgaben],"&gt;="&amp;BD$5,tblAuftraege[Datum
Ausgaben],"&lt;"&amp;EDATE(BD$5,1),tblAuftraege[Kostenstelle],$B50))</f>
        <v/>
      </c>
      <c r="BE50" s="27">
        <f>SUM(C50:H50)</f>
        <v/>
      </c>
      <c r="BF50" s="27">
        <f>SUM(I50:T50)</f>
        <v/>
      </c>
      <c r="BG50" s="27">
        <f>SUM(U50:AF50)</f>
        <v/>
      </c>
      <c r="BH50" s="27">
        <f>SUM(AG50:AR50)</f>
        <v/>
      </c>
      <c r="BI50" s="27">
        <f>SUM(AS50:BD50)</f>
        <v/>
      </c>
      <c r="BJ50" s="27">
        <f>SUM(C50:BD50)</f>
        <v/>
      </c>
    </row>
    <row r="51">
      <c r="A51" s="34" t="n"/>
      <c r="B51" s="49">
        <f>IF(ISBLANK(B17),"",B17)</f>
        <v/>
      </c>
      <c r="C51" s="27">
        <f>IF($B51="",0,SUMIFS(tblAuftraege[Kalk.
Ausgaben],tblAuftraege[Datum
Ausgaben],"&gt;="&amp;C$5,tblAuftraege[Datum
Ausgaben],"&lt;"&amp;EDATE(C$5,1),tblAuftraege[Kostenstelle],$B51))</f>
        <v/>
      </c>
      <c r="D51" s="27">
        <f>IF($B51="",0,SUMIFS(tblAuftraege[Kalk.
Ausgaben],tblAuftraege[Datum
Ausgaben],"&gt;="&amp;D$5,tblAuftraege[Datum
Ausgaben],"&lt;"&amp;EDATE(D$5,1),tblAuftraege[Kostenstelle],$B51))</f>
        <v/>
      </c>
      <c r="E51" s="27">
        <f>IF($B51="",0,SUMIFS(tblAuftraege[Kalk.
Ausgaben],tblAuftraege[Datum
Ausgaben],"&gt;="&amp;E$5,tblAuftraege[Datum
Ausgaben],"&lt;"&amp;EDATE(E$5,1),tblAuftraege[Kostenstelle],$B51))</f>
        <v/>
      </c>
      <c r="F51" s="27">
        <f>IF($B51="",0,SUMIFS(tblAuftraege[Kalk.
Ausgaben],tblAuftraege[Datum
Ausgaben],"&gt;="&amp;F$5,tblAuftraege[Datum
Ausgaben],"&lt;"&amp;EDATE(F$5,1),tblAuftraege[Kostenstelle],$B51))</f>
        <v/>
      </c>
      <c r="G51" s="27">
        <f>IF($B51="",0,SUMIFS(tblAuftraege[Kalk.
Ausgaben],tblAuftraege[Datum
Ausgaben],"&gt;="&amp;G$5,tblAuftraege[Datum
Ausgaben],"&lt;"&amp;EDATE(G$5,1),tblAuftraege[Kostenstelle],$B51))</f>
        <v/>
      </c>
      <c r="H51" s="27">
        <f>IF($B51="",0,SUMIFS(tblAuftraege[Kalk.
Ausgaben],tblAuftraege[Datum
Ausgaben],"&gt;="&amp;H$5,tblAuftraege[Datum
Ausgaben],"&lt;"&amp;EDATE(H$5,1),tblAuftraege[Kostenstelle],$B51))</f>
        <v/>
      </c>
      <c r="I51" s="27">
        <f>IF($B51="",0,SUMIFS(tblAuftraege[Kalk.
Ausgaben],tblAuftraege[Datum
Ausgaben],"&gt;="&amp;I$5,tblAuftraege[Datum
Ausgaben],"&lt;"&amp;EDATE(I$5,1),tblAuftraege[Kostenstelle],$B51))</f>
        <v/>
      </c>
      <c r="J51" s="27">
        <f>IF($B51="",0,SUMIFS(tblAuftraege[Kalk.
Ausgaben],tblAuftraege[Datum
Ausgaben],"&gt;="&amp;J$5,tblAuftraege[Datum
Ausgaben],"&lt;"&amp;EDATE(J$5,1),tblAuftraege[Kostenstelle],$B51))</f>
        <v/>
      </c>
      <c r="K51" s="27">
        <f>IF($B51="",0,SUMIFS(tblAuftraege[Kalk.
Ausgaben],tblAuftraege[Datum
Ausgaben],"&gt;="&amp;K$5,tblAuftraege[Datum
Ausgaben],"&lt;"&amp;EDATE(K$5,1),tblAuftraege[Kostenstelle],$B51))</f>
        <v/>
      </c>
      <c r="L51" s="27">
        <f>IF($B51="",0,SUMIFS(tblAuftraege[Kalk.
Ausgaben],tblAuftraege[Datum
Ausgaben],"&gt;="&amp;L$5,tblAuftraege[Datum
Ausgaben],"&lt;"&amp;EDATE(L$5,1),tblAuftraege[Kostenstelle],$B51))</f>
        <v/>
      </c>
      <c r="M51" s="27">
        <f>IF($B51="",0,SUMIFS(tblAuftraege[Kalk.
Ausgaben],tblAuftraege[Datum
Ausgaben],"&gt;="&amp;M$5,tblAuftraege[Datum
Ausgaben],"&lt;"&amp;EDATE(M$5,1),tblAuftraege[Kostenstelle],$B51))</f>
        <v/>
      </c>
      <c r="N51" s="27">
        <f>IF($B51="",0,SUMIFS(tblAuftraege[Kalk.
Ausgaben],tblAuftraege[Datum
Ausgaben],"&gt;="&amp;N$5,tblAuftraege[Datum
Ausgaben],"&lt;"&amp;EDATE(N$5,1),tblAuftraege[Kostenstelle],$B51))</f>
        <v/>
      </c>
      <c r="O51" s="27">
        <f>IF($B51="",0,SUMIFS(tblAuftraege[Kalk.
Ausgaben],tblAuftraege[Datum
Ausgaben],"&gt;="&amp;O$5,tblAuftraege[Datum
Ausgaben],"&lt;"&amp;EDATE(O$5,1),tblAuftraege[Kostenstelle],$B51))</f>
        <v/>
      </c>
      <c r="P51" s="27">
        <f>IF($B51="",0,SUMIFS(tblAuftraege[Kalk.
Ausgaben],tblAuftraege[Datum
Ausgaben],"&gt;="&amp;P$5,tblAuftraege[Datum
Ausgaben],"&lt;"&amp;EDATE(P$5,1),tblAuftraege[Kostenstelle],$B51))</f>
        <v/>
      </c>
      <c r="Q51" s="27">
        <f>IF($B51="",0,SUMIFS(tblAuftraege[Kalk.
Ausgaben],tblAuftraege[Datum
Ausgaben],"&gt;="&amp;Q$5,tblAuftraege[Datum
Ausgaben],"&lt;"&amp;EDATE(Q$5,1),tblAuftraege[Kostenstelle],$B51))</f>
        <v/>
      </c>
      <c r="R51" s="27">
        <f>IF($B51="",0,SUMIFS(tblAuftraege[Kalk.
Ausgaben],tblAuftraege[Datum
Ausgaben],"&gt;="&amp;R$5,tblAuftraege[Datum
Ausgaben],"&lt;"&amp;EDATE(R$5,1),tblAuftraege[Kostenstelle],$B51))</f>
        <v/>
      </c>
      <c r="S51" s="27">
        <f>IF($B51="",0,SUMIFS(tblAuftraege[Kalk.
Ausgaben],tblAuftraege[Datum
Ausgaben],"&gt;="&amp;S$5,tblAuftraege[Datum
Ausgaben],"&lt;"&amp;EDATE(S$5,1),tblAuftraege[Kostenstelle],$B51))</f>
        <v/>
      </c>
      <c r="T51" s="27">
        <f>IF($B51="",0,SUMIFS(tblAuftraege[Kalk.
Ausgaben],tblAuftraege[Datum
Ausgaben],"&gt;="&amp;T$5,tblAuftraege[Datum
Ausgaben],"&lt;"&amp;EDATE(T$5,1),tblAuftraege[Kostenstelle],$B51))</f>
        <v/>
      </c>
      <c r="U51" s="27">
        <f>IF($B51="",0,SUMIFS(tblAuftraege[Kalk.
Ausgaben],tblAuftraege[Datum
Ausgaben],"&gt;="&amp;U$5,tblAuftraege[Datum
Ausgaben],"&lt;"&amp;EDATE(U$5,1),tblAuftraege[Kostenstelle],$B51))</f>
        <v/>
      </c>
      <c r="V51" s="27">
        <f>IF($B51="",0,SUMIFS(tblAuftraege[Kalk.
Ausgaben],tblAuftraege[Datum
Ausgaben],"&gt;="&amp;V$5,tblAuftraege[Datum
Ausgaben],"&lt;"&amp;EDATE(V$5,1),tblAuftraege[Kostenstelle],$B51))</f>
        <v/>
      </c>
      <c r="W51" s="27">
        <f>IF($B51="",0,SUMIFS(tblAuftraege[Kalk.
Ausgaben],tblAuftraege[Datum
Ausgaben],"&gt;="&amp;W$5,tblAuftraege[Datum
Ausgaben],"&lt;"&amp;EDATE(W$5,1),tblAuftraege[Kostenstelle],$B51))</f>
        <v/>
      </c>
      <c r="X51" s="27">
        <f>IF($B51="",0,SUMIFS(tblAuftraege[Kalk.
Ausgaben],tblAuftraege[Datum
Ausgaben],"&gt;="&amp;X$5,tblAuftraege[Datum
Ausgaben],"&lt;"&amp;EDATE(X$5,1),tblAuftraege[Kostenstelle],$B51))</f>
        <v/>
      </c>
      <c r="Y51" s="27">
        <f>IF($B51="",0,SUMIFS(tblAuftraege[Kalk.
Ausgaben],tblAuftraege[Datum
Ausgaben],"&gt;="&amp;Y$5,tblAuftraege[Datum
Ausgaben],"&lt;"&amp;EDATE(Y$5,1),tblAuftraege[Kostenstelle],$B51))</f>
        <v/>
      </c>
      <c r="Z51" s="27">
        <f>IF($B51="",0,SUMIFS(tblAuftraege[Kalk.
Ausgaben],tblAuftraege[Datum
Ausgaben],"&gt;="&amp;Z$5,tblAuftraege[Datum
Ausgaben],"&lt;"&amp;EDATE(Z$5,1),tblAuftraege[Kostenstelle],$B51))</f>
        <v/>
      </c>
      <c r="AA51" s="27">
        <f>IF($B51="",0,SUMIFS(tblAuftraege[Kalk.
Ausgaben],tblAuftraege[Datum
Ausgaben],"&gt;="&amp;AA$5,tblAuftraege[Datum
Ausgaben],"&lt;"&amp;EDATE(AA$5,1),tblAuftraege[Kostenstelle],$B51))</f>
        <v/>
      </c>
      <c r="AB51" s="27">
        <f>IF($B51="",0,SUMIFS(tblAuftraege[Kalk.
Ausgaben],tblAuftraege[Datum
Ausgaben],"&gt;="&amp;AB$5,tblAuftraege[Datum
Ausgaben],"&lt;"&amp;EDATE(AB$5,1),tblAuftraege[Kostenstelle],$B51))</f>
        <v/>
      </c>
      <c r="AC51" s="27">
        <f>IF($B51="",0,SUMIFS(tblAuftraege[Kalk.
Ausgaben],tblAuftraege[Datum
Ausgaben],"&gt;="&amp;AC$5,tblAuftraege[Datum
Ausgaben],"&lt;"&amp;EDATE(AC$5,1),tblAuftraege[Kostenstelle],$B51))</f>
        <v/>
      </c>
      <c r="AD51" s="27">
        <f>IF($B51="",0,SUMIFS(tblAuftraege[Kalk.
Ausgaben],tblAuftraege[Datum
Ausgaben],"&gt;="&amp;AD$5,tblAuftraege[Datum
Ausgaben],"&lt;"&amp;EDATE(AD$5,1),tblAuftraege[Kostenstelle],$B51))</f>
        <v/>
      </c>
      <c r="AE51" s="27">
        <f>IF($B51="",0,SUMIFS(tblAuftraege[Kalk.
Ausgaben],tblAuftraege[Datum
Ausgaben],"&gt;="&amp;AE$5,tblAuftraege[Datum
Ausgaben],"&lt;"&amp;EDATE(AE$5,1),tblAuftraege[Kostenstelle],$B51))</f>
        <v/>
      </c>
      <c r="AF51" s="27">
        <f>IF($B51="",0,SUMIFS(tblAuftraege[Kalk.
Ausgaben],tblAuftraege[Datum
Ausgaben],"&gt;="&amp;AF$5,tblAuftraege[Datum
Ausgaben],"&lt;"&amp;EDATE(AF$5,1),tblAuftraege[Kostenstelle],$B51))</f>
        <v/>
      </c>
      <c r="AG51" s="27">
        <f>IF($B51="",0,SUMIFS(tblAuftraege[Kalk.
Ausgaben],tblAuftraege[Datum
Ausgaben],"&gt;="&amp;AG$5,tblAuftraege[Datum
Ausgaben],"&lt;"&amp;EDATE(AG$5,1),tblAuftraege[Kostenstelle],$B51))</f>
        <v/>
      </c>
      <c r="AH51" s="27">
        <f>IF($B51="",0,SUMIFS(tblAuftraege[Kalk.
Ausgaben],tblAuftraege[Datum
Ausgaben],"&gt;="&amp;AH$5,tblAuftraege[Datum
Ausgaben],"&lt;"&amp;EDATE(AH$5,1),tblAuftraege[Kostenstelle],$B51))</f>
        <v/>
      </c>
      <c r="AI51" s="27">
        <f>IF($B51="",0,SUMIFS(tblAuftraege[Kalk.
Ausgaben],tblAuftraege[Datum
Ausgaben],"&gt;="&amp;AI$5,tblAuftraege[Datum
Ausgaben],"&lt;"&amp;EDATE(AI$5,1),tblAuftraege[Kostenstelle],$B51))</f>
        <v/>
      </c>
      <c r="AJ51" s="27">
        <f>IF($B51="",0,SUMIFS(tblAuftraege[Kalk.
Ausgaben],tblAuftraege[Datum
Ausgaben],"&gt;="&amp;AJ$5,tblAuftraege[Datum
Ausgaben],"&lt;"&amp;EDATE(AJ$5,1),tblAuftraege[Kostenstelle],$B51))</f>
        <v/>
      </c>
      <c r="AK51" s="27">
        <f>IF($B51="",0,SUMIFS(tblAuftraege[Kalk.
Ausgaben],tblAuftraege[Datum
Ausgaben],"&gt;="&amp;AK$5,tblAuftraege[Datum
Ausgaben],"&lt;"&amp;EDATE(AK$5,1),tblAuftraege[Kostenstelle],$B51))</f>
        <v/>
      </c>
      <c r="AL51" s="27">
        <f>IF($B51="",0,SUMIFS(tblAuftraege[Kalk.
Ausgaben],tblAuftraege[Datum
Ausgaben],"&gt;="&amp;AL$5,tblAuftraege[Datum
Ausgaben],"&lt;"&amp;EDATE(AL$5,1),tblAuftraege[Kostenstelle],$B51))</f>
        <v/>
      </c>
      <c r="AM51" s="27">
        <f>IF($B51="",0,SUMIFS(tblAuftraege[Kalk.
Ausgaben],tblAuftraege[Datum
Ausgaben],"&gt;="&amp;AM$5,tblAuftraege[Datum
Ausgaben],"&lt;"&amp;EDATE(AM$5,1),tblAuftraege[Kostenstelle],$B51))</f>
        <v/>
      </c>
      <c r="AN51" s="27">
        <f>IF($B51="",0,SUMIFS(tblAuftraege[Kalk.
Ausgaben],tblAuftraege[Datum
Ausgaben],"&gt;="&amp;AN$5,tblAuftraege[Datum
Ausgaben],"&lt;"&amp;EDATE(AN$5,1),tblAuftraege[Kostenstelle],$B51))</f>
        <v/>
      </c>
      <c r="AO51" s="27">
        <f>IF($B51="",0,SUMIFS(tblAuftraege[Kalk.
Ausgaben],tblAuftraege[Datum
Ausgaben],"&gt;="&amp;AO$5,tblAuftraege[Datum
Ausgaben],"&lt;"&amp;EDATE(AO$5,1),tblAuftraege[Kostenstelle],$B51))</f>
        <v/>
      </c>
      <c r="AP51" s="27">
        <f>IF($B51="",0,SUMIFS(tblAuftraege[Kalk.
Ausgaben],tblAuftraege[Datum
Ausgaben],"&gt;="&amp;AP$5,tblAuftraege[Datum
Ausgaben],"&lt;"&amp;EDATE(AP$5,1),tblAuftraege[Kostenstelle],$B51))</f>
        <v/>
      </c>
      <c r="AQ51" s="27">
        <f>IF($B51="",0,SUMIFS(tblAuftraege[Kalk.
Ausgaben],tblAuftraege[Datum
Ausgaben],"&gt;="&amp;AQ$5,tblAuftraege[Datum
Ausgaben],"&lt;"&amp;EDATE(AQ$5,1),tblAuftraege[Kostenstelle],$B51))</f>
        <v/>
      </c>
      <c r="AR51" s="27">
        <f>IF($B51="",0,SUMIFS(tblAuftraege[Kalk.
Ausgaben],tblAuftraege[Datum
Ausgaben],"&gt;="&amp;AR$5,tblAuftraege[Datum
Ausgaben],"&lt;"&amp;EDATE(AR$5,1),tblAuftraege[Kostenstelle],$B51))</f>
        <v/>
      </c>
      <c r="AS51" s="27">
        <f>IF($B51="",0,SUMIFS(tblAuftraege[Kalk.
Ausgaben],tblAuftraege[Datum
Ausgaben],"&gt;="&amp;AS$5,tblAuftraege[Datum
Ausgaben],"&lt;"&amp;EDATE(AS$5,1),tblAuftraege[Kostenstelle],$B51))</f>
        <v/>
      </c>
      <c r="AT51" s="27">
        <f>IF($B51="",0,SUMIFS(tblAuftraege[Kalk.
Ausgaben],tblAuftraege[Datum
Ausgaben],"&gt;="&amp;AT$5,tblAuftraege[Datum
Ausgaben],"&lt;"&amp;EDATE(AT$5,1),tblAuftraege[Kostenstelle],$B51))</f>
        <v/>
      </c>
      <c r="AU51" s="27">
        <f>IF($B51="",0,SUMIFS(tblAuftraege[Kalk.
Ausgaben],tblAuftraege[Datum
Ausgaben],"&gt;="&amp;AU$5,tblAuftraege[Datum
Ausgaben],"&lt;"&amp;EDATE(AU$5,1),tblAuftraege[Kostenstelle],$B51))</f>
        <v/>
      </c>
      <c r="AV51" s="27">
        <f>IF($B51="",0,SUMIFS(tblAuftraege[Kalk.
Ausgaben],tblAuftraege[Datum
Ausgaben],"&gt;="&amp;AV$5,tblAuftraege[Datum
Ausgaben],"&lt;"&amp;EDATE(AV$5,1),tblAuftraege[Kostenstelle],$B51))</f>
        <v/>
      </c>
      <c r="AW51" s="27">
        <f>IF($B51="",0,SUMIFS(tblAuftraege[Kalk.
Ausgaben],tblAuftraege[Datum
Ausgaben],"&gt;="&amp;AW$5,tblAuftraege[Datum
Ausgaben],"&lt;"&amp;EDATE(AW$5,1),tblAuftraege[Kostenstelle],$B51))</f>
        <v/>
      </c>
      <c r="AX51" s="27">
        <f>IF($B51="",0,SUMIFS(tblAuftraege[Kalk.
Ausgaben],tblAuftraege[Datum
Ausgaben],"&gt;="&amp;AX$5,tblAuftraege[Datum
Ausgaben],"&lt;"&amp;EDATE(AX$5,1),tblAuftraege[Kostenstelle],$B51))</f>
        <v/>
      </c>
      <c r="AY51" s="27">
        <f>IF($B51="",0,SUMIFS(tblAuftraege[Kalk.
Ausgaben],tblAuftraege[Datum
Ausgaben],"&gt;="&amp;AY$5,tblAuftraege[Datum
Ausgaben],"&lt;"&amp;EDATE(AY$5,1),tblAuftraege[Kostenstelle],$B51))</f>
        <v/>
      </c>
      <c r="AZ51" s="27">
        <f>IF($B51="",0,SUMIFS(tblAuftraege[Kalk.
Ausgaben],tblAuftraege[Datum
Ausgaben],"&gt;="&amp;AZ$5,tblAuftraege[Datum
Ausgaben],"&lt;"&amp;EDATE(AZ$5,1),tblAuftraege[Kostenstelle],$B51))</f>
        <v/>
      </c>
      <c r="BA51" s="27">
        <f>IF($B51="",0,SUMIFS(tblAuftraege[Kalk.
Ausgaben],tblAuftraege[Datum
Ausgaben],"&gt;="&amp;BA$5,tblAuftraege[Datum
Ausgaben],"&lt;"&amp;EDATE(BA$5,1),tblAuftraege[Kostenstelle],$B51))</f>
        <v/>
      </c>
      <c r="BB51" s="27">
        <f>IF($B51="",0,SUMIFS(tblAuftraege[Kalk.
Ausgaben],tblAuftraege[Datum
Ausgaben],"&gt;="&amp;BB$5,tblAuftraege[Datum
Ausgaben],"&lt;"&amp;EDATE(BB$5,1),tblAuftraege[Kostenstelle],$B51))</f>
        <v/>
      </c>
      <c r="BC51" s="27">
        <f>IF($B51="",0,SUMIFS(tblAuftraege[Kalk.
Ausgaben],tblAuftraege[Datum
Ausgaben],"&gt;="&amp;BC$5,tblAuftraege[Datum
Ausgaben],"&lt;"&amp;EDATE(BC$5,1),tblAuftraege[Kostenstelle],$B51))</f>
        <v/>
      </c>
      <c r="BD51" s="27">
        <f>IF($B51="",0,SUMIFS(tblAuftraege[Kalk.
Ausgaben],tblAuftraege[Datum
Ausgaben],"&gt;="&amp;BD$5,tblAuftraege[Datum
Ausgaben],"&lt;"&amp;EDATE(BD$5,1),tblAuftraege[Kostenstelle],$B51))</f>
        <v/>
      </c>
      <c r="BE51" s="27">
        <f>SUM(C51:H51)</f>
        <v/>
      </c>
      <c r="BF51" s="27">
        <f>SUM(I51:T51)</f>
        <v/>
      </c>
      <c r="BG51" s="27">
        <f>SUM(U51:AF51)</f>
        <v/>
      </c>
      <c r="BH51" s="27">
        <f>SUM(AG51:AR51)</f>
        <v/>
      </c>
      <c r="BI51" s="27">
        <f>SUM(AS51:BD51)</f>
        <v/>
      </c>
      <c r="BJ51" s="27">
        <f>SUM(C51:BD51)</f>
        <v/>
      </c>
    </row>
    <row r="52">
      <c r="A52" s="34" t="n"/>
      <c r="B52" s="49">
        <f>IF(ISBLANK(B18),"",B18)</f>
        <v/>
      </c>
      <c r="C52" s="27">
        <f>IF($B52="",0,SUMIFS(tblAuftraege[Kalk.
Ausgaben],tblAuftraege[Datum
Ausgaben],"&gt;="&amp;C$5,tblAuftraege[Datum
Ausgaben],"&lt;"&amp;EDATE(C$5,1),tblAuftraege[Kostenstelle],$B52))</f>
        <v/>
      </c>
      <c r="D52" s="27">
        <f>IF($B52="",0,SUMIFS(tblAuftraege[Kalk.
Ausgaben],tblAuftraege[Datum
Ausgaben],"&gt;="&amp;D$5,tblAuftraege[Datum
Ausgaben],"&lt;"&amp;EDATE(D$5,1),tblAuftraege[Kostenstelle],$B52))</f>
        <v/>
      </c>
      <c r="E52" s="27">
        <f>IF($B52="",0,SUMIFS(tblAuftraege[Kalk.
Ausgaben],tblAuftraege[Datum
Ausgaben],"&gt;="&amp;E$5,tblAuftraege[Datum
Ausgaben],"&lt;"&amp;EDATE(E$5,1),tblAuftraege[Kostenstelle],$B52))</f>
        <v/>
      </c>
      <c r="F52" s="27">
        <f>IF($B52="",0,SUMIFS(tblAuftraege[Kalk.
Ausgaben],tblAuftraege[Datum
Ausgaben],"&gt;="&amp;F$5,tblAuftraege[Datum
Ausgaben],"&lt;"&amp;EDATE(F$5,1),tblAuftraege[Kostenstelle],$B52))</f>
        <v/>
      </c>
      <c r="G52" s="27">
        <f>IF($B52="",0,SUMIFS(tblAuftraege[Kalk.
Ausgaben],tblAuftraege[Datum
Ausgaben],"&gt;="&amp;G$5,tblAuftraege[Datum
Ausgaben],"&lt;"&amp;EDATE(G$5,1),tblAuftraege[Kostenstelle],$B52))</f>
        <v/>
      </c>
      <c r="H52" s="27">
        <f>IF($B52="",0,SUMIFS(tblAuftraege[Kalk.
Ausgaben],tblAuftraege[Datum
Ausgaben],"&gt;="&amp;H$5,tblAuftraege[Datum
Ausgaben],"&lt;"&amp;EDATE(H$5,1),tblAuftraege[Kostenstelle],$B52))</f>
        <v/>
      </c>
      <c r="I52" s="27">
        <f>IF($B52="",0,SUMIFS(tblAuftraege[Kalk.
Ausgaben],tblAuftraege[Datum
Ausgaben],"&gt;="&amp;I$5,tblAuftraege[Datum
Ausgaben],"&lt;"&amp;EDATE(I$5,1),tblAuftraege[Kostenstelle],$B52))</f>
        <v/>
      </c>
      <c r="J52" s="27">
        <f>IF($B52="",0,SUMIFS(tblAuftraege[Kalk.
Ausgaben],tblAuftraege[Datum
Ausgaben],"&gt;="&amp;J$5,tblAuftraege[Datum
Ausgaben],"&lt;"&amp;EDATE(J$5,1),tblAuftraege[Kostenstelle],$B52))</f>
        <v/>
      </c>
      <c r="K52" s="27">
        <f>IF($B52="",0,SUMIFS(tblAuftraege[Kalk.
Ausgaben],tblAuftraege[Datum
Ausgaben],"&gt;="&amp;K$5,tblAuftraege[Datum
Ausgaben],"&lt;"&amp;EDATE(K$5,1),tblAuftraege[Kostenstelle],$B52))</f>
        <v/>
      </c>
      <c r="L52" s="27">
        <f>IF($B52="",0,SUMIFS(tblAuftraege[Kalk.
Ausgaben],tblAuftraege[Datum
Ausgaben],"&gt;="&amp;L$5,tblAuftraege[Datum
Ausgaben],"&lt;"&amp;EDATE(L$5,1),tblAuftraege[Kostenstelle],$B52))</f>
        <v/>
      </c>
      <c r="M52" s="27">
        <f>IF($B52="",0,SUMIFS(tblAuftraege[Kalk.
Ausgaben],tblAuftraege[Datum
Ausgaben],"&gt;="&amp;M$5,tblAuftraege[Datum
Ausgaben],"&lt;"&amp;EDATE(M$5,1),tblAuftraege[Kostenstelle],$B52))</f>
        <v/>
      </c>
      <c r="N52" s="27">
        <f>IF($B52="",0,SUMIFS(tblAuftraege[Kalk.
Ausgaben],tblAuftraege[Datum
Ausgaben],"&gt;="&amp;N$5,tblAuftraege[Datum
Ausgaben],"&lt;"&amp;EDATE(N$5,1),tblAuftraege[Kostenstelle],$B52))</f>
        <v/>
      </c>
      <c r="O52" s="27">
        <f>IF($B52="",0,SUMIFS(tblAuftraege[Kalk.
Ausgaben],tblAuftraege[Datum
Ausgaben],"&gt;="&amp;O$5,tblAuftraege[Datum
Ausgaben],"&lt;"&amp;EDATE(O$5,1),tblAuftraege[Kostenstelle],$B52))</f>
        <v/>
      </c>
      <c r="P52" s="27">
        <f>IF($B52="",0,SUMIFS(tblAuftraege[Kalk.
Ausgaben],tblAuftraege[Datum
Ausgaben],"&gt;="&amp;P$5,tblAuftraege[Datum
Ausgaben],"&lt;"&amp;EDATE(P$5,1),tblAuftraege[Kostenstelle],$B52))</f>
        <v/>
      </c>
      <c r="Q52" s="27">
        <f>IF($B52="",0,SUMIFS(tblAuftraege[Kalk.
Ausgaben],tblAuftraege[Datum
Ausgaben],"&gt;="&amp;Q$5,tblAuftraege[Datum
Ausgaben],"&lt;"&amp;EDATE(Q$5,1),tblAuftraege[Kostenstelle],$B52))</f>
        <v/>
      </c>
      <c r="R52" s="27">
        <f>IF($B52="",0,SUMIFS(tblAuftraege[Kalk.
Ausgaben],tblAuftraege[Datum
Ausgaben],"&gt;="&amp;R$5,tblAuftraege[Datum
Ausgaben],"&lt;"&amp;EDATE(R$5,1),tblAuftraege[Kostenstelle],$B52))</f>
        <v/>
      </c>
      <c r="S52" s="27">
        <f>IF($B52="",0,SUMIFS(tblAuftraege[Kalk.
Ausgaben],tblAuftraege[Datum
Ausgaben],"&gt;="&amp;S$5,tblAuftraege[Datum
Ausgaben],"&lt;"&amp;EDATE(S$5,1),tblAuftraege[Kostenstelle],$B52))</f>
        <v/>
      </c>
      <c r="T52" s="27">
        <f>IF($B52="",0,SUMIFS(tblAuftraege[Kalk.
Ausgaben],tblAuftraege[Datum
Ausgaben],"&gt;="&amp;T$5,tblAuftraege[Datum
Ausgaben],"&lt;"&amp;EDATE(T$5,1),tblAuftraege[Kostenstelle],$B52))</f>
        <v/>
      </c>
      <c r="U52" s="27">
        <f>IF($B52="",0,SUMIFS(tblAuftraege[Kalk.
Ausgaben],tblAuftraege[Datum
Ausgaben],"&gt;="&amp;U$5,tblAuftraege[Datum
Ausgaben],"&lt;"&amp;EDATE(U$5,1),tblAuftraege[Kostenstelle],$B52))</f>
        <v/>
      </c>
      <c r="V52" s="27">
        <f>IF($B52="",0,SUMIFS(tblAuftraege[Kalk.
Ausgaben],tblAuftraege[Datum
Ausgaben],"&gt;="&amp;V$5,tblAuftraege[Datum
Ausgaben],"&lt;"&amp;EDATE(V$5,1),tblAuftraege[Kostenstelle],$B52))</f>
        <v/>
      </c>
      <c r="W52" s="27">
        <f>IF($B52="",0,SUMIFS(tblAuftraege[Kalk.
Ausgaben],tblAuftraege[Datum
Ausgaben],"&gt;="&amp;W$5,tblAuftraege[Datum
Ausgaben],"&lt;"&amp;EDATE(W$5,1),tblAuftraege[Kostenstelle],$B52))</f>
        <v/>
      </c>
      <c r="X52" s="27">
        <f>IF($B52="",0,SUMIFS(tblAuftraege[Kalk.
Ausgaben],tblAuftraege[Datum
Ausgaben],"&gt;="&amp;X$5,tblAuftraege[Datum
Ausgaben],"&lt;"&amp;EDATE(X$5,1),tblAuftraege[Kostenstelle],$B52))</f>
        <v/>
      </c>
      <c r="Y52" s="27">
        <f>IF($B52="",0,SUMIFS(tblAuftraege[Kalk.
Ausgaben],tblAuftraege[Datum
Ausgaben],"&gt;="&amp;Y$5,tblAuftraege[Datum
Ausgaben],"&lt;"&amp;EDATE(Y$5,1),tblAuftraege[Kostenstelle],$B52))</f>
        <v/>
      </c>
      <c r="Z52" s="27">
        <f>IF($B52="",0,SUMIFS(tblAuftraege[Kalk.
Ausgaben],tblAuftraege[Datum
Ausgaben],"&gt;="&amp;Z$5,tblAuftraege[Datum
Ausgaben],"&lt;"&amp;EDATE(Z$5,1),tblAuftraege[Kostenstelle],$B52))</f>
        <v/>
      </c>
      <c r="AA52" s="27">
        <f>IF($B52="",0,SUMIFS(tblAuftraege[Kalk.
Ausgaben],tblAuftraege[Datum
Ausgaben],"&gt;="&amp;AA$5,tblAuftraege[Datum
Ausgaben],"&lt;"&amp;EDATE(AA$5,1),tblAuftraege[Kostenstelle],$B52))</f>
        <v/>
      </c>
      <c r="AB52" s="27">
        <f>IF($B52="",0,SUMIFS(tblAuftraege[Kalk.
Ausgaben],tblAuftraege[Datum
Ausgaben],"&gt;="&amp;AB$5,tblAuftraege[Datum
Ausgaben],"&lt;"&amp;EDATE(AB$5,1),tblAuftraege[Kostenstelle],$B52))</f>
        <v/>
      </c>
      <c r="AC52" s="27">
        <f>IF($B52="",0,SUMIFS(tblAuftraege[Kalk.
Ausgaben],tblAuftraege[Datum
Ausgaben],"&gt;="&amp;AC$5,tblAuftraege[Datum
Ausgaben],"&lt;"&amp;EDATE(AC$5,1),tblAuftraege[Kostenstelle],$B52))</f>
        <v/>
      </c>
      <c r="AD52" s="27">
        <f>IF($B52="",0,SUMIFS(tblAuftraege[Kalk.
Ausgaben],tblAuftraege[Datum
Ausgaben],"&gt;="&amp;AD$5,tblAuftraege[Datum
Ausgaben],"&lt;"&amp;EDATE(AD$5,1),tblAuftraege[Kostenstelle],$B52))</f>
        <v/>
      </c>
      <c r="AE52" s="27">
        <f>IF($B52="",0,SUMIFS(tblAuftraege[Kalk.
Ausgaben],tblAuftraege[Datum
Ausgaben],"&gt;="&amp;AE$5,tblAuftraege[Datum
Ausgaben],"&lt;"&amp;EDATE(AE$5,1),tblAuftraege[Kostenstelle],$B52))</f>
        <v/>
      </c>
      <c r="AF52" s="27">
        <f>IF($B52="",0,SUMIFS(tblAuftraege[Kalk.
Ausgaben],tblAuftraege[Datum
Ausgaben],"&gt;="&amp;AF$5,tblAuftraege[Datum
Ausgaben],"&lt;"&amp;EDATE(AF$5,1),tblAuftraege[Kostenstelle],$B52))</f>
        <v/>
      </c>
      <c r="AG52" s="27">
        <f>IF($B52="",0,SUMIFS(tblAuftraege[Kalk.
Ausgaben],tblAuftraege[Datum
Ausgaben],"&gt;="&amp;AG$5,tblAuftraege[Datum
Ausgaben],"&lt;"&amp;EDATE(AG$5,1),tblAuftraege[Kostenstelle],$B52))</f>
        <v/>
      </c>
      <c r="AH52" s="27">
        <f>IF($B52="",0,SUMIFS(tblAuftraege[Kalk.
Ausgaben],tblAuftraege[Datum
Ausgaben],"&gt;="&amp;AH$5,tblAuftraege[Datum
Ausgaben],"&lt;"&amp;EDATE(AH$5,1),tblAuftraege[Kostenstelle],$B52))</f>
        <v/>
      </c>
      <c r="AI52" s="27">
        <f>IF($B52="",0,SUMIFS(tblAuftraege[Kalk.
Ausgaben],tblAuftraege[Datum
Ausgaben],"&gt;="&amp;AI$5,tblAuftraege[Datum
Ausgaben],"&lt;"&amp;EDATE(AI$5,1),tblAuftraege[Kostenstelle],$B52))</f>
        <v/>
      </c>
      <c r="AJ52" s="27">
        <f>IF($B52="",0,SUMIFS(tblAuftraege[Kalk.
Ausgaben],tblAuftraege[Datum
Ausgaben],"&gt;="&amp;AJ$5,tblAuftraege[Datum
Ausgaben],"&lt;"&amp;EDATE(AJ$5,1),tblAuftraege[Kostenstelle],$B52))</f>
        <v/>
      </c>
      <c r="AK52" s="27">
        <f>IF($B52="",0,SUMIFS(tblAuftraege[Kalk.
Ausgaben],tblAuftraege[Datum
Ausgaben],"&gt;="&amp;AK$5,tblAuftraege[Datum
Ausgaben],"&lt;"&amp;EDATE(AK$5,1),tblAuftraege[Kostenstelle],$B52))</f>
        <v/>
      </c>
      <c r="AL52" s="27">
        <f>IF($B52="",0,SUMIFS(tblAuftraege[Kalk.
Ausgaben],tblAuftraege[Datum
Ausgaben],"&gt;="&amp;AL$5,tblAuftraege[Datum
Ausgaben],"&lt;"&amp;EDATE(AL$5,1),tblAuftraege[Kostenstelle],$B52))</f>
        <v/>
      </c>
      <c r="AM52" s="27">
        <f>IF($B52="",0,SUMIFS(tblAuftraege[Kalk.
Ausgaben],tblAuftraege[Datum
Ausgaben],"&gt;="&amp;AM$5,tblAuftraege[Datum
Ausgaben],"&lt;"&amp;EDATE(AM$5,1),tblAuftraege[Kostenstelle],$B52))</f>
        <v/>
      </c>
      <c r="AN52" s="27">
        <f>IF($B52="",0,SUMIFS(tblAuftraege[Kalk.
Ausgaben],tblAuftraege[Datum
Ausgaben],"&gt;="&amp;AN$5,tblAuftraege[Datum
Ausgaben],"&lt;"&amp;EDATE(AN$5,1),tblAuftraege[Kostenstelle],$B52))</f>
        <v/>
      </c>
      <c r="AO52" s="27">
        <f>IF($B52="",0,SUMIFS(tblAuftraege[Kalk.
Ausgaben],tblAuftraege[Datum
Ausgaben],"&gt;="&amp;AO$5,tblAuftraege[Datum
Ausgaben],"&lt;"&amp;EDATE(AO$5,1),tblAuftraege[Kostenstelle],$B52))</f>
        <v/>
      </c>
      <c r="AP52" s="27">
        <f>IF($B52="",0,SUMIFS(tblAuftraege[Kalk.
Ausgaben],tblAuftraege[Datum
Ausgaben],"&gt;="&amp;AP$5,tblAuftraege[Datum
Ausgaben],"&lt;"&amp;EDATE(AP$5,1),tblAuftraege[Kostenstelle],$B52))</f>
        <v/>
      </c>
      <c r="AQ52" s="27">
        <f>IF($B52="",0,SUMIFS(tblAuftraege[Kalk.
Ausgaben],tblAuftraege[Datum
Ausgaben],"&gt;="&amp;AQ$5,tblAuftraege[Datum
Ausgaben],"&lt;"&amp;EDATE(AQ$5,1),tblAuftraege[Kostenstelle],$B52))</f>
        <v/>
      </c>
      <c r="AR52" s="27">
        <f>IF($B52="",0,SUMIFS(tblAuftraege[Kalk.
Ausgaben],tblAuftraege[Datum
Ausgaben],"&gt;="&amp;AR$5,tblAuftraege[Datum
Ausgaben],"&lt;"&amp;EDATE(AR$5,1),tblAuftraege[Kostenstelle],$B52))</f>
        <v/>
      </c>
      <c r="AS52" s="27">
        <f>IF($B52="",0,SUMIFS(tblAuftraege[Kalk.
Ausgaben],tblAuftraege[Datum
Ausgaben],"&gt;="&amp;AS$5,tblAuftraege[Datum
Ausgaben],"&lt;"&amp;EDATE(AS$5,1),tblAuftraege[Kostenstelle],$B52))</f>
        <v/>
      </c>
      <c r="AT52" s="27">
        <f>IF($B52="",0,SUMIFS(tblAuftraege[Kalk.
Ausgaben],tblAuftraege[Datum
Ausgaben],"&gt;="&amp;AT$5,tblAuftraege[Datum
Ausgaben],"&lt;"&amp;EDATE(AT$5,1),tblAuftraege[Kostenstelle],$B52))</f>
        <v/>
      </c>
      <c r="AU52" s="27">
        <f>IF($B52="",0,SUMIFS(tblAuftraege[Kalk.
Ausgaben],tblAuftraege[Datum
Ausgaben],"&gt;="&amp;AU$5,tblAuftraege[Datum
Ausgaben],"&lt;"&amp;EDATE(AU$5,1),tblAuftraege[Kostenstelle],$B52))</f>
        <v/>
      </c>
      <c r="AV52" s="27">
        <f>IF($B52="",0,SUMIFS(tblAuftraege[Kalk.
Ausgaben],tblAuftraege[Datum
Ausgaben],"&gt;="&amp;AV$5,tblAuftraege[Datum
Ausgaben],"&lt;"&amp;EDATE(AV$5,1),tblAuftraege[Kostenstelle],$B52))</f>
        <v/>
      </c>
      <c r="AW52" s="27">
        <f>IF($B52="",0,SUMIFS(tblAuftraege[Kalk.
Ausgaben],tblAuftraege[Datum
Ausgaben],"&gt;="&amp;AW$5,tblAuftraege[Datum
Ausgaben],"&lt;"&amp;EDATE(AW$5,1),tblAuftraege[Kostenstelle],$B52))</f>
        <v/>
      </c>
      <c r="AX52" s="27">
        <f>IF($B52="",0,SUMIFS(tblAuftraege[Kalk.
Ausgaben],tblAuftraege[Datum
Ausgaben],"&gt;="&amp;AX$5,tblAuftraege[Datum
Ausgaben],"&lt;"&amp;EDATE(AX$5,1),tblAuftraege[Kostenstelle],$B52))</f>
        <v/>
      </c>
      <c r="AY52" s="27">
        <f>IF($B52="",0,SUMIFS(tblAuftraege[Kalk.
Ausgaben],tblAuftraege[Datum
Ausgaben],"&gt;="&amp;AY$5,tblAuftraege[Datum
Ausgaben],"&lt;"&amp;EDATE(AY$5,1),tblAuftraege[Kostenstelle],$B52))</f>
        <v/>
      </c>
      <c r="AZ52" s="27">
        <f>IF($B52="",0,SUMIFS(tblAuftraege[Kalk.
Ausgaben],tblAuftraege[Datum
Ausgaben],"&gt;="&amp;AZ$5,tblAuftraege[Datum
Ausgaben],"&lt;"&amp;EDATE(AZ$5,1),tblAuftraege[Kostenstelle],$B52))</f>
        <v/>
      </c>
      <c r="BA52" s="27">
        <f>IF($B52="",0,SUMIFS(tblAuftraege[Kalk.
Ausgaben],tblAuftraege[Datum
Ausgaben],"&gt;="&amp;BA$5,tblAuftraege[Datum
Ausgaben],"&lt;"&amp;EDATE(BA$5,1),tblAuftraege[Kostenstelle],$B52))</f>
        <v/>
      </c>
      <c r="BB52" s="27">
        <f>IF($B52="",0,SUMIFS(tblAuftraege[Kalk.
Ausgaben],tblAuftraege[Datum
Ausgaben],"&gt;="&amp;BB$5,tblAuftraege[Datum
Ausgaben],"&lt;"&amp;EDATE(BB$5,1),tblAuftraege[Kostenstelle],$B52))</f>
        <v/>
      </c>
      <c r="BC52" s="27">
        <f>IF($B52="",0,SUMIFS(tblAuftraege[Kalk.
Ausgaben],tblAuftraege[Datum
Ausgaben],"&gt;="&amp;BC$5,tblAuftraege[Datum
Ausgaben],"&lt;"&amp;EDATE(BC$5,1),tblAuftraege[Kostenstelle],$B52))</f>
        <v/>
      </c>
      <c r="BD52" s="27">
        <f>IF($B52="",0,SUMIFS(tblAuftraege[Kalk.
Ausgaben],tblAuftraege[Datum
Ausgaben],"&gt;="&amp;BD$5,tblAuftraege[Datum
Ausgaben],"&lt;"&amp;EDATE(BD$5,1),tblAuftraege[Kostenstelle],$B52))</f>
        <v/>
      </c>
      <c r="BE52" s="27">
        <f>SUM(C52:H52)</f>
        <v/>
      </c>
      <c r="BF52" s="27">
        <f>SUM(I52:T52)</f>
        <v/>
      </c>
      <c r="BG52" s="27">
        <f>SUM(U52:AF52)</f>
        <v/>
      </c>
      <c r="BH52" s="27">
        <f>SUM(AG52:AR52)</f>
        <v/>
      </c>
      <c r="BI52" s="27">
        <f>SUM(AS52:BD52)</f>
        <v/>
      </c>
      <c r="BJ52" s="27">
        <f>SUM(C52:BD52)</f>
        <v/>
      </c>
    </row>
    <row r="53">
      <c r="A53" s="34" t="n"/>
      <c r="B53" s="49">
        <f>IF(ISBLANK(B19),"",B19)</f>
        <v/>
      </c>
      <c r="C53" s="27">
        <f>IF($B53="",0,SUMIFS(tblAuftraege[Kalk.
Ausgaben],tblAuftraege[Datum
Ausgaben],"&gt;="&amp;C$5,tblAuftraege[Datum
Ausgaben],"&lt;"&amp;EDATE(C$5,1),tblAuftraege[Kostenstelle],$B53))</f>
        <v/>
      </c>
      <c r="D53" s="27">
        <f>IF($B53="",0,SUMIFS(tblAuftraege[Kalk.
Ausgaben],tblAuftraege[Datum
Ausgaben],"&gt;="&amp;D$5,tblAuftraege[Datum
Ausgaben],"&lt;"&amp;EDATE(D$5,1),tblAuftraege[Kostenstelle],$B53))</f>
        <v/>
      </c>
      <c r="E53" s="27">
        <f>IF($B53="",0,SUMIFS(tblAuftraege[Kalk.
Ausgaben],tblAuftraege[Datum
Ausgaben],"&gt;="&amp;E$5,tblAuftraege[Datum
Ausgaben],"&lt;"&amp;EDATE(E$5,1),tblAuftraege[Kostenstelle],$B53))</f>
        <v/>
      </c>
      <c r="F53" s="27">
        <f>IF($B53="",0,SUMIFS(tblAuftraege[Kalk.
Ausgaben],tblAuftraege[Datum
Ausgaben],"&gt;="&amp;F$5,tblAuftraege[Datum
Ausgaben],"&lt;"&amp;EDATE(F$5,1),tblAuftraege[Kostenstelle],$B53))</f>
        <v/>
      </c>
      <c r="G53" s="27">
        <f>IF($B53="",0,SUMIFS(tblAuftraege[Kalk.
Ausgaben],tblAuftraege[Datum
Ausgaben],"&gt;="&amp;G$5,tblAuftraege[Datum
Ausgaben],"&lt;"&amp;EDATE(G$5,1),tblAuftraege[Kostenstelle],$B53))</f>
        <v/>
      </c>
      <c r="H53" s="27">
        <f>IF($B53="",0,SUMIFS(tblAuftraege[Kalk.
Ausgaben],tblAuftraege[Datum
Ausgaben],"&gt;="&amp;H$5,tblAuftraege[Datum
Ausgaben],"&lt;"&amp;EDATE(H$5,1),tblAuftraege[Kostenstelle],$B53))</f>
        <v/>
      </c>
      <c r="I53" s="27">
        <f>IF($B53="",0,SUMIFS(tblAuftraege[Kalk.
Ausgaben],tblAuftraege[Datum
Ausgaben],"&gt;="&amp;I$5,tblAuftraege[Datum
Ausgaben],"&lt;"&amp;EDATE(I$5,1),tblAuftraege[Kostenstelle],$B53))</f>
        <v/>
      </c>
      <c r="J53" s="27">
        <f>IF($B53="",0,SUMIFS(tblAuftraege[Kalk.
Ausgaben],tblAuftraege[Datum
Ausgaben],"&gt;="&amp;J$5,tblAuftraege[Datum
Ausgaben],"&lt;"&amp;EDATE(J$5,1),tblAuftraege[Kostenstelle],$B53))</f>
        <v/>
      </c>
      <c r="K53" s="27">
        <f>IF($B53="",0,SUMIFS(tblAuftraege[Kalk.
Ausgaben],tblAuftraege[Datum
Ausgaben],"&gt;="&amp;K$5,tblAuftraege[Datum
Ausgaben],"&lt;"&amp;EDATE(K$5,1),tblAuftraege[Kostenstelle],$B53))</f>
        <v/>
      </c>
      <c r="L53" s="27">
        <f>IF($B53="",0,SUMIFS(tblAuftraege[Kalk.
Ausgaben],tblAuftraege[Datum
Ausgaben],"&gt;="&amp;L$5,tblAuftraege[Datum
Ausgaben],"&lt;"&amp;EDATE(L$5,1),tblAuftraege[Kostenstelle],$B53))</f>
        <v/>
      </c>
      <c r="M53" s="27">
        <f>IF($B53="",0,SUMIFS(tblAuftraege[Kalk.
Ausgaben],tblAuftraege[Datum
Ausgaben],"&gt;="&amp;M$5,tblAuftraege[Datum
Ausgaben],"&lt;"&amp;EDATE(M$5,1),tblAuftraege[Kostenstelle],$B53))</f>
        <v/>
      </c>
      <c r="N53" s="27">
        <f>IF($B53="",0,SUMIFS(tblAuftraege[Kalk.
Ausgaben],tblAuftraege[Datum
Ausgaben],"&gt;="&amp;N$5,tblAuftraege[Datum
Ausgaben],"&lt;"&amp;EDATE(N$5,1),tblAuftraege[Kostenstelle],$B53))</f>
        <v/>
      </c>
      <c r="O53" s="27">
        <f>IF($B53="",0,SUMIFS(tblAuftraege[Kalk.
Ausgaben],tblAuftraege[Datum
Ausgaben],"&gt;="&amp;O$5,tblAuftraege[Datum
Ausgaben],"&lt;"&amp;EDATE(O$5,1),tblAuftraege[Kostenstelle],$B53))</f>
        <v/>
      </c>
      <c r="P53" s="27">
        <f>IF($B53="",0,SUMIFS(tblAuftraege[Kalk.
Ausgaben],tblAuftraege[Datum
Ausgaben],"&gt;="&amp;P$5,tblAuftraege[Datum
Ausgaben],"&lt;"&amp;EDATE(P$5,1),tblAuftraege[Kostenstelle],$B53))</f>
        <v/>
      </c>
      <c r="Q53" s="27">
        <f>IF($B53="",0,SUMIFS(tblAuftraege[Kalk.
Ausgaben],tblAuftraege[Datum
Ausgaben],"&gt;="&amp;Q$5,tblAuftraege[Datum
Ausgaben],"&lt;"&amp;EDATE(Q$5,1),tblAuftraege[Kostenstelle],$B53))</f>
        <v/>
      </c>
      <c r="R53" s="27">
        <f>IF($B53="",0,SUMIFS(tblAuftraege[Kalk.
Ausgaben],tblAuftraege[Datum
Ausgaben],"&gt;="&amp;R$5,tblAuftraege[Datum
Ausgaben],"&lt;"&amp;EDATE(R$5,1),tblAuftraege[Kostenstelle],$B53))</f>
        <v/>
      </c>
      <c r="S53" s="27">
        <f>IF($B53="",0,SUMIFS(tblAuftraege[Kalk.
Ausgaben],tblAuftraege[Datum
Ausgaben],"&gt;="&amp;S$5,tblAuftraege[Datum
Ausgaben],"&lt;"&amp;EDATE(S$5,1),tblAuftraege[Kostenstelle],$B53))</f>
        <v/>
      </c>
      <c r="T53" s="27">
        <f>IF($B53="",0,SUMIFS(tblAuftraege[Kalk.
Ausgaben],tblAuftraege[Datum
Ausgaben],"&gt;="&amp;T$5,tblAuftraege[Datum
Ausgaben],"&lt;"&amp;EDATE(T$5,1),tblAuftraege[Kostenstelle],$B53))</f>
        <v/>
      </c>
      <c r="U53" s="27">
        <f>IF($B53="",0,SUMIFS(tblAuftraege[Kalk.
Ausgaben],tblAuftraege[Datum
Ausgaben],"&gt;="&amp;U$5,tblAuftraege[Datum
Ausgaben],"&lt;"&amp;EDATE(U$5,1),tblAuftraege[Kostenstelle],$B53))</f>
        <v/>
      </c>
      <c r="V53" s="27">
        <f>IF($B53="",0,SUMIFS(tblAuftraege[Kalk.
Ausgaben],tblAuftraege[Datum
Ausgaben],"&gt;="&amp;V$5,tblAuftraege[Datum
Ausgaben],"&lt;"&amp;EDATE(V$5,1),tblAuftraege[Kostenstelle],$B53))</f>
        <v/>
      </c>
      <c r="W53" s="27">
        <f>IF($B53="",0,SUMIFS(tblAuftraege[Kalk.
Ausgaben],tblAuftraege[Datum
Ausgaben],"&gt;="&amp;W$5,tblAuftraege[Datum
Ausgaben],"&lt;"&amp;EDATE(W$5,1),tblAuftraege[Kostenstelle],$B53))</f>
        <v/>
      </c>
      <c r="X53" s="27">
        <f>IF($B53="",0,SUMIFS(tblAuftraege[Kalk.
Ausgaben],tblAuftraege[Datum
Ausgaben],"&gt;="&amp;X$5,tblAuftraege[Datum
Ausgaben],"&lt;"&amp;EDATE(X$5,1),tblAuftraege[Kostenstelle],$B53))</f>
        <v/>
      </c>
      <c r="Y53" s="27">
        <f>IF($B53="",0,SUMIFS(tblAuftraege[Kalk.
Ausgaben],tblAuftraege[Datum
Ausgaben],"&gt;="&amp;Y$5,tblAuftraege[Datum
Ausgaben],"&lt;"&amp;EDATE(Y$5,1),tblAuftraege[Kostenstelle],$B53))</f>
        <v/>
      </c>
      <c r="Z53" s="27">
        <f>IF($B53="",0,SUMIFS(tblAuftraege[Kalk.
Ausgaben],tblAuftraege[Datum
Ausgaben],"&gt;="&amp;Z$5,tblAuftraege[Datum
Ausgaben],"&lt;"&amp;EDATE(Z$5,1),tblAuftraege[Kostenstelle],$B53))</f>
        <v/>
      </c>
      <c r="AA53" s="27">
        <f>IF($B53="",0,SUMIFS(tblAuftraege[Kalk.
Ausgaben],tblAuftraege[Datum
Ausgaben],"&gt;="&amp;AA$5,tblAuftraege[Datum
Ausgaben],"&lt;"&amp;EDATE(AA$5,1),tblAuftraege[Kostenstelle],$B53))</f>
        <v/>
      </c>
      <c r="AB53" s="27">
        <f>IF($B53="",0,SUMIFS(tblAuftraege[Kalk.
Ausgaben],tblAuftraege[Datum
Ausgaben],"&gt;="&amp;AB$5,tblAuftraege[Datum
Ausgaben],"&lt;"&amp;EDATE(AB$5,1),tblAuftraege[Kostenstelle],$B53))</f>
        <v/>
      </c>
      <c r="AC53" s="27">
        <f>IF($B53="",0,SUMIFS(tblAuftraege[Kalk.
Ausgaben],tblAuftraege[Datum
Ausgaben],"&gt;="&amp;AC$5,tblAuftraege[Datum
Ausgaben],"&lt;"&amp;EDATE(AC$5,1),tblAuftraege[Kostenstelle],$B53))</f>
        <v/>
      </c>
      <c r="AD53" s="27">
        <f>IF($B53="",0,SUMIFS(tblAuftraege[Kalk.
Ausgaben],tblAuftraege[Datum
Ausgaben],"&gt;="&amp;AD$5,tblAuftraege[Datum
Ausgaben],"&lt;"&amp;EDATE(AD$5,1),tblAuftraege[Kostenstelle],$B53))</f>
        <v/>
      </c>
      <c r="AE53" s="27">
        <f>IF($B53="",0,SUMIFS(tblAuftraege[Kalk.
Ausgaben],tblAuftraege[Datum
Ausgaben],"&gt;="&amp;AE$5,tblAuftraege[Datum
Ausgaben],"&lt;"&amp;EDATE(AE$5,1),tblAuftraege[Kostenstelle],$B53))</f>
        <v/>
      </c>
      <c r="AF53" s="27">
        <f>IF($B53="",0,SUMIFS(tblAuftraege[Kalk.
Ausgaben],tblAuftraege[Datum
Ausgaben],"&gt;="&amp;AF$5,tblAuftraege[Datum
Ausgaben],"&lt;"&amp;EDATE(AF$5,1),tblAuftraege[Kostenstelle],$B53))</f>
        <v/>
      </c>
      <c r="AG53" s="27">
        <f>IF($B53="",0,SUMIFS(tblAuftraege[Kalk.
Ausgaben],tblAuftraege[Datum
Ausgaben],"&gt;="&amp;AG$5,tblAuftraege[Datum
Ausgaben],"&lt;"&amp;EDATE(AG$5,1),tblAuftraege[Kostenstelle],$B53))</f>
        <v/>
      </c>
      <c r="AH53" s="27">
        <f>IF($B53="",0,SUMIFS(tblAuftraege[Kalk.
Ausgaben],tblAuftraege[Datum
Ausgaben],"&gt;="&amp;AH$5,tblAuftraege[Datum
Ausgaben],"&lt;"&amp;EDATE(AH$5,1),tblAuftraege[Kostenstelle],$B53))</f>
        <v/>
      </c>
      <c r="AI53" s="27">
        <f>IF($B53="",0,SUMIFS(tblAuftraege[Kalk.
Ausgaben],tblAuftraege[Datum
Ausgaben],"&gt;="&amp;AI$5,tblAuftraege[Datum
Ausgaben],"&lt;"&amp;EDATE(AI$5,1),tblAuftraege[Kostenstelle],$B53))</f>
        <v/>
      </c>
      <c r="AJ53" s="27">
        <f>IF($B53="",0,SUMIFS(tblAuftraege[Kalk.
Ausgaben],tblAuftraege[Datum
Ausgaben],"&gt;="&amp;AJ$5,tblAuftraege[Datum
Ausgaben],"&lt;"&amp;EDATE(AJ$5,1),tblAuftraege[Kostenstelle],$B53))</f>
        <v/>
      </c>
      <c r="AK53" s="27">
        <f>IF($B53="",0,SUMIFS(tblAuftraege[Kalk.
Ausgaben],tblAuftraege[Datum
Ausgaben],"&gt;="&amp;AK$5,tblAuftraege[Datum
Ausgaben],"&lt;"&amp;EDATE(AK$5,1),tblAuftraege[Kostenstelle],$B53))</f>
        <v/>
      </c>
      <c r="AL53" s="27">
        <f>IF($B53="",0,SUMIFS(tblAuftraege[Kalk.
Ausgaben],tblAuftraege[Datum
Ausgaben],"&gt;="&amp;AL$5,tblAuftraege[Datum
Ausgaben],"&lt;"&amp;EDATE(AL$5,1),tblAuftraege[Kostenstelle],$B53))</f>
        <v/>
      </c>
      <c r="AM53" s="27">
        <f>IF($B53="",0,SUMIFS(tblAuftraege[Kalk.
Ausgaben],tblAuftraege[Datum
Ausgaben],"&gt;="&amp;AM$5,tblAuftraege[Datum
Ausgaben],"&lt;"&amp;EDATE(AM$5,1),tblAuftraege[Kostenstelle],$B53))</f>
        <v/>
      </c>
      <c r="AN53" s="27">
        <f>IF($B53="",0,SUMIFS(tblAuftraege[Kalk.
Ausgaben],tblAuftraege[Datum
Ausgaben],"&gt;="&amp;AN$5,tblAuftraege[Datum
Ausgaben],"&lt;"&amp;EDATE(AN$5,1),tblAuftraege[Kostenstelle],$B53))</f>
        <v/>
      </c>
      <c r="AO53" s="27">
        <f>IF($B53="",0,SUMIFS(tblAuftraege[Kalk.
Ausgaben],tblAuftraege[Datum
Ausgaben],"&gt;="&amp;AO$5,tblAuftraege[Datum
Ausgaben],"&lt;"&amp;EDATE(AO$5,1),tblAuftraege[Kostenstelle],$B53))</f>
        <v/>
      </c>
      <c r="AP53" s="27">
        <f>IF($B53="",0,SUMIFS(tblAuftraege[Kalk.
Ausgaben],tblAuftraege[Datum
Ausgaben],"&gt;="&amp;AP$5,tblAuftraege[Datum
Ausgaben],"&lt;"&amp;EDATE(AP$5,1),tblAuftraege[Kostenstelle],$B53))</f>
        <v/>
      </c>
      <c r="AQ53" s="27">
        <f>IF($B53="",0,SUMIFS(tblAuftraege[Kalk.
Ausgaben],tblAuftraege[Datum
Ausgaben],"&gt;="&amp;AQ$5,tblAuftraege[Datum
Ausgaben],"&lt;"&amp;EDATE(AQ$5,1),tblAuftraege[Kostenstelle],$B53))</f>
        <v/>
      </c>
      <c r="AR53" s="27">
        <f>IF($B53="",0,SUMIFS(tblAuftraege[Kalk.
Ausgaben],tblAuftraege[Datum
Ausgaben],"&gt;="&amp;AR$5,tblAuftraege[Datum
Ausgaben],"&lt;"&amp;EDATE(AR$5,1),tblAuftraege[Kostenstelle],$B53))</f>
        <v/>
      </c>
      <c r="AS53" s="27">
        <f>IF($B53="",0,SUMIFS(tblAuftraege[Kalk.
Ausgaben],tblAuftraege[Datum
Ausgaben],"&gt;="&amp;AS$5,tblAuftraege[Datum
Ausgaben],"&lt;"&amp;EDATE(AS$5,1),tblAuftraege[Kostenstelle],$B53))</f>
        <v/>
      </c>
      <c r="AT53" s="27">
        <f>IF($B53="",0,SUMIFS(tblAuftraege[Kalk.
Ausgaben],tblAuftraege[Datum
Ausgaben],"&gt;="&amp;AT$5,tblAuftraege[Datum
Ausgaben],"&lt;"&amp;EDATE(AT$5,1),tblAuftraege[Kostenstelle],$B53))</f>
        <v/>
      </c>
      <c r="AU53" s="27">
        <f>IF($B53="",0,SUMIFS(tblAuftraege[Kalk.
Ausgaben],tblAuftraege[Datum
Ausgaben],"&gt;="&amp;AU$5,tblAuftraege[Datum
Ausgaben],"&lt;"&amp;EDATE(AU$5,1),tblAuftraege[Kostenstelle],$B53))</f>
        <v/>
      </c>
      <c r="AV53" s="27">
        <f>IF($B53="",0,SUMIFS(tblAuftraege[Kalk.
Ausgaben],tblAuftraege[Datum
Ausgaben],"&gt;="&amp;AV$5,tblAuftraege[Datum
Ausgaben],"&lt;"&amp;EDATE(AV$5,1),tblAuftraege[Kostenstelle],$B53))</f>
        <v/>
      </c>
      <c r="AW53" s="27">
        <f>IF($B53="",0,SUMIFS(tblAuftraege[Kalk.
Ausgaben],tblAuftraege[Datum
Ausgaben],"&gt;="&amp;AW$5,tblAuftraege[Datum
Ausgaben],"&lt;"&amp;EDATE(AW$5,1),tblAuftraege[Kostenstelle],$B53))</f>
        <v/>
      </c>
      <c r="AX53" s="27">
        <f>IF($B53="",0,SUMIFS(tblAuftraege[Kalk.
Ausgaben],tblAuftraege[Datum
Ausgaben],"&gt;="&amp;AX$5,tblAuftraege[Datum
Ausgaben],"&lt;"&amp;EDATE(AX$5,1),tblAuftraege[Kostenstelle],$B53))</f>
        <v/>
      </c>
      <c r="AY53" s="27">
        <f>IF($B53="",0,SUMIFS(tblAuftraege[Kalk.
Ausgaben],tblAuftraege[Datum
Ausgaben],"&gt;="&amp;AY$5,tblAuftraege[Datum
Ausgaben],"&lt;"&amp;EDATE(AY$5,1),tblAuftraege[Kostenstelle],$B53))</f>
        <v/>
      </c>
      <c r="AZ53" s="27">
        <f>IF($B53="",0,SUMIFS(tblAuftraege[Kalk.
Ausgaben],tblAuftraege[Datum
Ausgaben],"&gt;="&amp;AZ$5,tblAuftraege[Datum
Ausgaben],"&lt;"&amp;EDATE(AZ$5,1),tblAuftraege[Kostenstelle],$B53))</f>
        <v/>
      </c>
      <c r="BA53" s="27">
        <f>IF($B53="",0,SUMIFS(tblAuftraege[Kalk.
Ausgaben],tblAuftraege[Datum
Ausgaben],"&gt;="&amp;BA$5,tblAuftraege[Datum
Ausgaben],"&lt;"&amp;EDATE(BA$5,1),tblAuftraege[Kostenstelle],$B53))</f>
        <v/>
      </c>
      <c r="BB53" s="27">
        <f>IF($B53="",0,SUMIFS(tblAuftraege[Kalk.
Ausgaben],tblAuftraege[Datum
Ausgaben],"&gt;="&amp;BB$5,tblAuftraege[Datum
Ausgaben],"&lt;"&amp;EDATE(BB$5,1),tblAuftraege[Kostenstelle],$B53))</f>
        <v/>
      </c>
      <c r="BC53" s="27">
        <f>IF($B53="",0,SUMIFS(tblAuftraege[Kalk.
Ausgaben],tblAuftraege[Datum
Ausgaben],"&gt;="&amp;BC$5,tblAuftraege[Datum
Ausgaben],"&lt;"&amp;EDATE(BC$5,1),tblAuftraege[Kostenstelle],$B53))</f>
        <v/>
      </c>
      <c r="BD53" s="27">
        <f>IF($B53="",0,SUMIFS(tblAuftraege[Kalk.
Ausgaben],tblAuftraege[Datum
Ausgaben],"&gt;="&amp;BD$5,tblAuftraege[Datum
Ausgaben],"&lt;"&amp;EDATE(BD$5,1),tblAuftraege[Kostenstelle],$B53))</f>
        <v/>
      </c>
      <c r="BE53" s="27">
        <f>SUM(C53:H53)</f>
        <v/>
      </c>
      <c r="BF53" s="27">
        <f>SUM(I53:T53)</f>
        <v/>
      </c>
      <c r="BG53" s="27">
        <f>SUM(U53:AF53)</f>
        <v/>
      </c>
      <c r="BH53" s="27">
        <f>SUM(AG53:AR53)</f>
        <v/>
      </c>
      <c r="BI53" s="27">
        <f>SUM(AS53:BD53)</f>
        <v/>
      </c>
      <c r="BJ53" s="27">
        <f>SUM(C53:BD53)</f>
        <v/>
      </c>
    </row>
    <row r="54">
      <c r="A54" s="34" t="n"/>
      <c r="B54" s="49">
        <f>IF(ISBLANK(B20),"",B20)</f>
        <v/>
      </c>
      <c r="C54" s="27">
        <f>IF($B54="",0,SUMIFS(tblAuftraege[Kalk.
Ausgaben],tblAuftraege[Datum
Ausgaben],"&gt;="&amp;C$5,tblAuftraege[Datum
Ausgaben],"&lt;"&amp;EDATE(C$5,1),tblAuftraege[Kostenstelle],$B54))</f>
        <v/>
      </c>
      <c r="D54" s="27">
        <f>IF($B54="",0,SUMIFS(tblAuftraege[Kalk.
Ausgaben],tblAuftraege[Datum
Ausgaben],"&gt;="&amp;D$5,tblAuftraege[Datum
Ausgaben],"&lt;"&amp;EDATE(D$5,1),tblAuftraege[Kostenstelle],$B54))</f>
        <v/>
      </c>
      <c r="E54" s="27">
        <f>IF($B54="",0,SUMIFS(tblAuftraege[Kalk.
Ausgaben],tblAuftraege[Datum
Ausgaben],"&gt;="&amp;E$5,tblAuftraege[Datum
Ausgaben],"&lt;"&amp;EDATE(E$5,1),tblAuftraege[Kostenstelle],$B54))</f>
        <v/>
      </c>
      <c r="F54" s="27">
        <f>IF($B54="",0,SUMIFS(tblAuftraege[Kalk.
Ausgaben],tblAuftraege[Datum
Ausgaben],"&gt;="&amp;F$5,tblAuftraege[Datum
Ausgaben],"&lt;"&amp;EDATE(F$5,1),tblAuftraege[Kostenstelle],$B54))</f>
        <v/>
      </c>
      <c r="G54" s="27">
        <f>IF($B54="",0,SUMIFS(tblAuftraege[Kalk.
Ausgaben],tblAuftraege[Datum
Ausgaben],"&gt;="&amp;G$5,tblAuftraege[Datum
Ausgaben],"&lt;"&amp;EDATE(G$5,1),tblAuftraege[Kostenstelle],$B54))</f>
        <v/>
      </c>
      <c r="H54" s="27">
        <f>IF($B54="",0,SUMIFS(tblAuftraege[Kalk.
Ausgaben],tblAuftraege[Datum
Ausgaben],"&gt;="&amp;H$5,tblAuftraege[Datum
Ausgaben],"&lt;"&amp;EDATE(H$5,1),tblAuftraege[Kostenstelle],$B54))</f>
        <v/>
      </c>
      <c r="I54" s="27">
        <f>IF($B54="",0,SUMIFS(tblAuftraege[Kalk.
Ausgaben],tblAuftraege[Datum
Ausgaben],"&gt;="&amp;I$5,tblAuftraege[Datum
Ausgaben],"&lt;"&amp;EDATE(I$5,1),tblAuftraege[Kostenstelle],$B54))</f>
        <v/>
      </c>
      <c r="J54" s="27">
        <f>IF($B54="",0,SUMIFS(tblAuftraege[Kalk.
Ausgaben],tblAuftraege[Datum
Ausgaben],"&gt;="&amp;J$5,tblAuftraege[Datum
Ausgaben],"&lt;"&amp;EDATE(J$5,1),tblAuftraege[Kostenstelle],$B54))</f>
        <v/>
      </c>
      <c r="K54" s="27">
        <f>IF($B54="",0,SUMIFS(tblAuftraege[Kalk.
Ausgaben],tblAuftraege[Datum
Ausgaben],"&gt;="&amp;K$5,tblAuftraege[Datum
Ausgaben],"&lt;"&amp;EDATE(K$5,1),tblAuftraege[Kostenstelle],$B54))</f>
        <v/>
      </c>
      <c r="L54" s="27">
        <f>IF($B54="",0,SUMIFS(tblAuftraege[Kalk.
Ausgaben],tblAuftraege[Datum
Ausgaben],"&gt;="&amp;L$5,tblAuftraege[Datum
Ausgaben],"&lt;"&amp;EDATE(L$5,1),tblAuftraege[Kostenstelle],$B54))</f>
        <v/>
      </c>
      <c r="M54" s="27">
        <f>IF($B54="",0,SUMIFS(tblAuftraege[Kalk.
Ausgaben],tblAuftraege[Datum
Ausgaben],"&gt;="&amp;M$5,tblAuftraege[Datum
Ausgaben],"&lt;"&amp;EDATE(M$5,1),tblAuftraege[Kostenstelle],$B54))</f>
        <v/>
      </c>
      <c r="N54" s="27">
        <f>IF($B54="",0,SUMIFS(tblAuftraege[Kalk.
Ausgaben],tblAuftraege[Datum
Ausgaben],"&gt;="&amp;N$5,tblAuftraege[Datum
Ausgaben],"&lt;"&amp;EDATE(N$5,1),tblAuftraege[Kostenstelle],$B54))</f>
        <v/>
      </c>
      <c r="O54" s="27">
        <f>IF($B54="",0,SUMIFS(tblAuftraege[Kalk.
Ausgaben],tblAuftraege[Datum
Ausgaben],"&gt;="&amp;O$5,tblAuftraege[Datum
Ausgaben],"&lt;"&amp;EDATE(O$5,1),tblAuftraege[Kostenstelle],$B54))</f>
        <v/>
      </c>
      <c r="P54" s="27">
        <f>IF($B54="",0,SUMIFS(tblAuftraege[Kalk.
Ausgaben],tblAuftraege[Datum
Ausgaben],"&gt;="&amp;P$5,tblAuftraege[Datum
Ausgaben],"&lt;"&amp;EDATE(P$5,1),tblAuftraege[Kostenstelle],$B54))</f>
        <v/>
      </c>
      <c r="Q54" s="27">
        <f>IF($B54="",0,SUMIFS(tblAuftraege[Kalk.
Ausgaben],tblAuftraege[Datum
Ausgaben],"&gt;="&amp;Q$5,tblAuftraege[Datum
Ausgaben],"&lt;"&amp;EDATE(Q$5,1),tblAuftraege[Kostenstelle],$B54))</f>
        <v/>
      </c>
      <c r="R54" s="27">
        <f>IF($B54="",0,SUMIFS(tblAuftraege[Kalk.
Ausgaben],tblAuftraege[Datum
Ausgaben],"&gt;="&amp;R$5,tblAuftraege[Datum
Ausgaben],"&lt;"&amp;EDATE(R$5,1),tblAuftraege[Kostenstelle],$B54))</f>
        <v/>
      </c>
      <c r="S54" s="27">
        <f>IF($B54="",0,SUMIFS(tblAuftraege[Kalk.
Ausgaben],tblAuftraege[Datum
Ausgaben],"&gt;="&amp;S$5,tblAuftraege[Datum
Ausgaben],"&lt;"&amp;EDATE(S$5,1),tblAuftraege[Kostenstelle],$B54))</f>
        <v/>
      </c>
      <c r="T54" s="27">
        <f>IF($B54="",0,SUMIFS(tblAuftraege[Kalk.
Ausgaben],tblAuftraege[Datum
Ausgaben],"&gt;="&amp;T$5,tblAuftraege[Datum
Ausgaben],"&lt;"&amp;EDATE(T$5,1),tblAuftraege[Kostenstelle],$B54))</f>
        <v/>
      </c>
      <c r="U54" s="27">
        <f>IF($B54="",0,SUMIFS(tblAuftraege[Kalk.
Ausgaben],tblAuftraege[Datum
Ausgaben],"&gt;="&amp;U$5,tblAuftraege[Datum
Ausgaben],"&lt;"&amp;EDATE(U$5,1),tblAuftraege[Kostenstelle],$B54))</f>
        <v/>
      </c>
      <c r="V54" s="27">
        <f>IF($B54="",0,SUMIFS(tblAuftraege[Kalk.
Ausgaben],tblAuftraege[Datum
Ausgaben],"&gt;="&amp;V$5,tblAuftraege[Datum
Ausgaben],"&lt;"&amp;EDATE(V$5,1),tblAuftraege[Kostenstelle],$B54))</f>
        <v/>
      </c>
      <c r="W54" s="27">
        <f>IF($B54="",0,SUMIFS(tblAuftraege[Kalk.
Ausgaben],tblAuftraege[Datum
Ausgaben],"&gt;="&amp;W$5,tblAuftraege[Datum
Ausgaben],"&lt;"&amp;EDATE(W$5,1),tblAuftraege[Kostenstelle],$B54))</f>
        <v/>
      </c>
      <c r="X54" s="27">
        <f>IF($B54="",0,SUMIFS(tblAuftraege[Kalk.
Ausgaben],tblAuftraege[Datum
Ausgaben],"&gt;="&amp;X$5,tblAuftraege[Datum
Ausgaben],"&lt;"&amp;EDATE(X$5,1),tblAuftraege[Kostenstelle],$B54))</f>
        <v/>
      </c>
      <c r="Y54" s="27">
        <f>IF($B54="",0,SUMIFS(tblAuftraege[Kalk.
Ausgaben],tblAuftraege[Datum
Ausgaben],"&gt;="&amp;Y$5,tblAuftraege[Datum
Ausgaben],"&lt;"&amp;EDATE(Y$5,1),tblAuftraege[Kostenstelle],$B54))</f>
        <v/>
      </c>
      <c r="Z54" s="27">
        <f>IF($B54="",0,SUMIFS(tblAuftraege[Kalk.
Ausgaben],tblAuftraege[Datum
Ausgaben],"&gt;="&amp;Z$5,tblAuftraege[Datum
Ausgaben],"&lt;"&amp;EDATE(Z$5,1),tblAuftraege[Kostenstelle],$B54))</f>
        <v/>
      </c>
      <c r="AA54" s="27">
        <f>IF($B54="",0,SUMIFS(tblAuftraege[Kalk.
Ausgaben],tblAuftraege[Datum
Ausgaben],"&gt;="&amp;AA$5,tblAuftraege[Datum
Ausgaben],"&lt;"&amp;EDATE(AA$5,1),tblAuftraege[Kostenstelle],$B54))</f>
        <v/>
      </c>
      <c r="AB54" s="27">
        <f>IF($B54="",0,SUMIFS(tblAuftraege[Kalk.
Ausgaben],tblAuftraege[Datum
Ausgaben],"&gt;="&amp;AB$5,tblAuftraege[Datum
Ausgaben],"&lt;"&amp;EDATE(AB$5,1),tblAuftraege[Kostenstelle],$B54))</f>
        <v/>
      </c>
      <c r="AC54" s="27">
        <f>IF($B54="",0,SUMIFS(tblAuftraege[Kalk.
Ausgaben],tblAuftraege[Datum
Ausgaben],"&gt;="&amp;AC$5,tblAuftraege[Datum
Ausgaben],"&lt;"&amp;EDATE(AC$5,1),tblAuftraege[Kostenstelle],$B54))</f>
        <v/>
      </c>
      <c r="AD54" s="27">
        <f>IF($B54="",0,SUMIFS(tblAuftraege[Kalk.
Ausgaben],tblAuftraege[Datum
Ausgaben],"&gt;="&amp;AD$5,tblAuftraege[Datum
Ausgaben],"&lt;"&amp;EDATE(AD$5,1),tblAuftraege[Kostenstelle],$B54))</f>
        <v/>
      </c>
      <c r="AE54" s="27">
        <f>IF($B54="",0,SUMIFS(tblAuftraege[Kalk.
Ausgaben],tblAuftraege[Datum
Ausgaben],"&gt;="&amp;AE$5,tblAuftraege[Datum
Ausgaben],"&lt;"&amp;EDATE(AE$5,1),tblAuftraege[Kostenstelle],$B54))</f>
        <v/>
      </c>
      <c r="AF54" s="27">
        <f>IF($B54="",0,SUMIFS(tblAuftraege[Kalk.
Ausgaben],tblAuftraege[Datum
Ausgaben],"&gt;="&amp;AF$5,tblAuftraege[Datum
Ausgaben],"&lt;"&amp;EDATE(AF$5,1),tblAuftraege[Kostenstelle],$B54))</f>
        <v/>
      </c>
      <c r="AG54" s="27">
        <f>IF($B54="",0,SUMIFS(tblAuftraege[Kalk.
Ausgaben],tblAuftraege[Datum
Ausgaben],"&gt;="&amp;AG$5,tblAuftraege[Datum
Ausgaben],"&lt;"&amp;EDATE(AG$5,1),tblAuftraege[Kostenstelle],$B54))</f>
        <v/>
      </c>
      <c r="AH54" s="27">
        <f>IF($B54="",0,SUMIFS(tblAuftraege[Kalk.
Ausgaben],tblAuftraege[Datum
Ausgaben],"&gt;="&amp;AH$5,tblAuftraege[Datum
Ausgaben],"&lt;"&amp;EDATE(AH$5,1),tblAuftraege[Kostenstelle],$B54))</f>
        <v/>
      </c>
      <c r="AI54" s="27">
        <f>IF($B54="",0,SUMIFS(tblAuftraege[Kalk.
Ausgaben],tblAuftraege[Datum
Ausgaben],"&gt;="&amp;AI$5,tblAuftraege[Datum
Ausgaben],"&lt;"&amp;EDATE(AI$5,1),tblAuftraege[Kostenstelle],$B54))</f>
        <v/>
      </c>
      <c r="AJ54" s="27">
        <f>IF($B54="",0,SUMIFS(tblAuftraege[Kalk.
Ausgaben],tblAuftraege[Datum
Ausgaben],"&gt;="&amp;AJ$5,tblAuftraege[Datum
Ausgaben],"&lt;"&amp;EDATE(AJ$5,1),tblAuftraege[Kostenstelle],$B54))</f>
        <v/>
      </c>
      <c r="AK54" s="27">
        <f>IF($B54="",0,SUMIFS(tblAuftraege[Kalk.
Ausgaben],tblAuftraege[Datum
Ausgaben],"&gt;="&amp;AK$5,tblAuftraege[Datum
Ausgaben],"&lt;"&amp;EDATE(AK$5,1),tblAuftraege[Kostenstelle],$B54))</f>
        <v/>
      </c>
      <c r="AL54" s="27">
        <f>IF($B54="",0,SUMIFS(tblAuftraege[Kalk.
Ausgaben],tblAuftraege[Datum
Ausgaben],"&gt;="&amp;AL$5,tblAuftraege[Datum
Ausgaben],"&lt;"&amp;EDATE(AL$5,1),tblAuftraege[Kostenstelle],$B54))</f>
        <v/>
      </c>
      <c r="AM54" s="27">
        <f>IF($B54="",0,SUMIFS(tblAuftraege[Kalk.
Ausgaben],tblAuftraege[Datum
Ausgaben],"&gt;="&amp;AM$5,tblAuftraege[Datum
Ausgaben],"&lt;"&amp;EDATE(AM$5,1),tblAuftraege[Kostenstelle],$B54))</f>
        <v/>
      </c>
      <c r="AN54" s="27">
        <f>IF($B54="",0,SUMIFS(tblAuftraege[Kalk.
Ausgaben],tblAuftraege[Datum
Ausgaben],"&gt;="&amp;AN$5,tblAuftraege[Datum
Ausgaben],"&lt;"&amp;EDATE(AN$5,1),tblAuftraege[Kostenstelle],$B54))</f>
        <v/>
      </c>
      <c r="AO54" s="27">
        <f>IF($B54="",0,SUMIFS(tblAuftraege[Kalk.
Ausgaben],tblAuftraege[Datum
Ausgaben],"&gt;="&amp;AO$5,tblAuftraege[Datum
Ausgaben],"&lt;"&amp;EDATE(AO$5,1),tblAuftraege[Kostenstelle],$B54))</f>
        <v/>
      </c>
      <c r="AP54" s="27">
        <f>IF($B54="",0,SUMIFS(tblAuftraege[Kalk.
Ausgaben],tblAuftraege[Datum
Ausgaben],"&gt;="&amp;AP$5,tblAuftraege[Datum
Ausgaben],"&lt;"&amp;EDATE(AP$5,1),tblAuftraege[Kostenstelle],$B54))</f>
        <v/>
      </c>
      <c r="AQ54" s="27">
        <f>IF($B54="",0,SUMIFS(tblAuftraege[Kalk.
Ausgaben],tblAuftraege[Datum
Ausgaben],"&gt;="&amp;AQ$5,tblAuftraege[Datum
Ausgaben],"&lt;"&amp;EDATE(AQ$5,1),tblAuftraege[Kostenstelle],$B54))</f>
        <v/>
      </c>
      <c r="AR54" s="27">
        <f>IF($B54="",0,SUMIFS(tblAuftraege[Kalk.
Ausgaben],tblAuftraege[Datum
Ausgaben],"&gt;="&amp;AR$5,tblAuftraege[Datum
Ausgaben],"&lt;"&amp;EDATE(AR$5,1),tblAuftraege[Kostenstelle],$B54))</f>
        <v/>
      </c>
      <c r="AS54" s="27">
        <f>IF($B54="",0,SUMIFS(tblAuftraege[Kalk.
Ausgaben],tblAuftraege[Datum
Ausgaben],"&gt;="&amp;AS$5,tblAuftraege[Datum
Ausgaben],"&lt;"&amp;EDATE(AS$5,1),tblAuftraege[Kostenstelle],$B54))</f>
        <v/>
      </c>
      <c r="AT54" s="27">
        <f>IF($B54="",0,SUMIFS(tblAuftraege[Kalk.
Ausgaben],tblAuftraege[Datum
Ausgaben],"&gt;="&amp;AT$5,tblAuftraege[Datum
Ausgaben],"&lt;"&amp;EDATE(AT$5,1),tblAuftraege[Kostenstelle],$B54))</f>
        <v/>
      </c>
      <c r="AU54" s="27">
        <f>IF($B54="",0,SUMIFS(tblAuftraege[Kalk.
Ausgaben],tblAuftraege[Datum
Ausgaben],"&gt;="&amp;AU$5,tblAuftraege[Datum
Ausgaben],"&lt;"&amp;EDATE(AU$5,1),tblAuftraege[Kostenstelle],$B54))</f>
        <v/>
      </c>
      <c r="AV54" s="27">
        <f>IF($B54="",0,SUMIFS(tblAuftraege[Kalk.
Ausgaben],tblAuftraege[Datum
Ausgaben],"&gt;="&amp;AV$5,tblAuftraege[Datum
Ausgaben],"&lt;"&amp;EDATE(AV$5,1),tblAuftraege[Kostenstelle],$B54))</f>
        <v/>
      </c>
      <c r="AW54" s="27">
        <f>IF($B54="",0,SUMIFS(tblAuftraege[Kalk.
Ausgaben],tblAuftraege[Datum
Ausgaben],"&gt;="&amp;AW$5,tblAuftraege[Datum
Ausgaben],"&lt;"&amp;EDATE(AW$5,1),tblAuftraege[Kostenstelle],$B54))</f>
        <v/>
      </c>
      <c r="AX54" s="27">
        <f>IF($B54="",0,SUMIFS(tblAuftraege[Kalk.
Ausgaben],tblAuftraege[Datum
Ausgaben],"&gt;="&amp;AX$5,tblAuftraege[Datum
Ausgaben],"&lt;"&amp;EDATE(AX$5,1),tblAuftraege[Kostenstelle],$B54))</f>
        <v/>
      </c>
      <c r="AY54" s="27">
        <f>IF($B54="",0,SUMIFS(tblAuftraege[Kalk.
Ausgaben],tblAuftraege[Datum
Ausgaben],"&gt;="&amp;AY$5,tblAuftraege[Datum
Ausgaben],"&lt;"&amp;EDATE(AY$5,1),tblAuftraege[Kostenstelle],$B54))</f>
        <v/>
      </c>
      <c r="AZ54" s="27">
        <f>IF($B54="",0,SUMIFS(tblAuftraege[Kalk.
Ausgaben],tblAuftraege[Datum
Ausgaben],"&gt;="&amp;AZ$5,tblAuftraege[Datum
Ausgaben],"&lt;"&amp;EDATE(AZ$5,1),tblAuftraege[Kostenstelle],$B54))</f>
        <v/>
      </c>
      <c r="BA54" s="27">
        <f>IF($B54="",0,SUMIFS(tblAuftraege[Kalk.
Ausgaben],tblAuftraege[Datum
Ausgaben],"&gt;="&amp;BA$5,tblAuftraege[Datum
Ausgaben],"&lt;"&amp;EDATE(BA$5,1),tblAuftraege[Kostenstelle],$B54))</f>
        <v/>
      </c>
      <c r="BB54" s="27">
        <f>IF($B54="",0,SUMIFS(tblAuftraege[Kalk.
Ausgaben],tblAuftraege[Datum
Ausgaben],"&gt;="&amp;BB$5,tblAuftraege[Datum
Ausgaben],"&lt;"&amp;EDATE(BB$5,1),tblAuftraege[Kostenstelle],$B54))</f>
        <v/>
      </c>
      <c r="BC54" s="27">
        <f>IF($B54="",0,SUMIFS(tblAuftraege[Kalk.
Ausgaben],tblAuftraege[Datum
Ausgaben],"&gt;="&amp;BC$5,tblAuftraege[Datum
Ausgaben],"&lt;"&amp;EDATE(BC$5,1),tblAuftraege[Kostenstelle],$B54))</f>
        <v/>
      </c>
      <c r="BD54" s="27">
        <f>IF($B54="",0,SUMIFS(tblAuftraege[Kalk.
Ausgaben],tblAuftraege[Datum
Ausgaben],"&gt;="&amp;BD$5,tblAuftraege[Datum
Ausgaben],"&lt;"&amp;EDATE(BD$5,1),tblAuftraege[Kostenstelle],$B54))</f>
        <v/>
      </c>
      <c r="BE54" s="27">
        <f>SUM(C54:H54)</f>
        <v/>
      </c>
      <c r="BF54" s="27">
        <f>SUM(I54:T54)</f>
        <v/>
      </c>
      <c r="BG54" s="27">
        <f>SUM(U54:AF54)</f>
        <v/>
      </c>
      <c r="BH54" s="27">
        <f>SUM(AG54:AR54)</f>
        <v/>
      </c>
      <c r="BI54" s="27">
        <f>SUM(AS54:BD54)</f>
        <v/>
      </c>
      <c r="BJ54" s="27">
        <f>SUM(C54:BD54)</f>
        <v/>
      </c>
    </row>
    <row r="55">
      <c r="A55" s="34" t="n"/>
      <c r="B55" s="49">
        <f>IF(ISBLANK(B21),"",B21)</f>
        <v/>
      </c>
      <c r="C55" s="27">
        <f>IF($B55="",0,SUMIFS(tblAuftraege[Kalk.
Ausgaben],tblAuftraege[Datum
Ausgaben],"&gt;="&amp;C$5,tblAuftraege[Datum
Ausgaben],"&lt;"&amp;EDATE(C$5,1),tblAuftraege[Kostenstelle],$B55))</f>
        <v/>
      </c>
      <c r="D55" s="27">
        <f>IF($B55="",0,SUMIFS(tblAuftraege[Kalk.
Ausgaben],tblAuftraege[Datum
Ausgaben],"&gt;="&amp;D$5,tblAuftraege[Datum
Ausgaben],"&lt;"&amp;EDATE(D$5,1),tblAuftraege[Kostenstelle],$B55))</f>
        <v/>
      </c>
      <c r="E55" s="27">
        <f>IF($B55="",0,SUMIFS(tblAuftraege[Kalk.
Ausgaben],tblAuftraege[Datum
Ausgaben],"&gt;="&amp;E$5,tblAuftraege[Datum
Ausgaben],"&lt;"&amp;EDATE(E$5,1),tblAuftraege[Kostenstelle],$B55))</f>
        <v/>
      </c>
      <c r="F55" s="27">
        <f>IF($B55="",0,SUMIFS(tblAuftraege[Kalk.
Ausgaben],tblAuftraege[Datum
Ausgaben],"&gt;="&amp;F$5,tblAuftraege[Datum
Ausgaben],"&lt;"&amp;EDATE(F$5,1),tblAuftraege[Kostenstelle],$B55))</f>
        <v/>
      </c>
      <c r="G55" s="27">
        <f>IF($B55="",0,SUMIFS(tblAuftraege[Kalk.
Ausgaben],tblAuftraege[Datum
Ausgaben],"&gt;="&amp;G$5,tblAuftraege[Datum
Ausgaben],"&lt;"&amp;EDATE(G$5,1),tblAuftraege[Kostenstelle],$B55))</f>
        <v/>
      </c>
      <c r="H55" s="27">
        <f>IF($B55="",0,SUMIFS(tblAuftraege[Kalk.
Ausgaben],tblAuftraege[Datum
Ausgaben],"&gt;="&amp;H$5,tblAuftraege[Datum
Ausgaben],"&lt;"&amp;EDATE(H$5,1),tblAuftraege[Kostenstelle],$B55))</f>
        <v/>
      </c>
      <c r="I55" s="27">
        <f>IF($B55="",0,SUMIFS(tblAuftraege[Kalk.
Ausgaben],tblAuftraege[Datum
Ausgaben],"&gt;="&amp;I$5,tblAuftraege[Datum
Ausgaben],"&lt;"&amp;EDATE(I$5,1),tblAuftraege[Kostenstelle],$B55))</f>
        <v/>
      </c>
      <c r="J55" s="27">
        <f>IF($B55="",0,SUMIFS(tblAuftraege[Kalk.
Ausgaben],tblAuftraege[Datum
Ausgaben],"&gt;="&amp;J$5,tblAuftraege[Datum
Ausgaben],"&lt;"&amp;EDATE(J$5,1),tblAuftraege[Kostenstelle],$B55))</f>
        <v/>
      </c>
      <c r="K55" s="27">
        <f>IF($B55="",0,SUMIFS(tblAuftraege[Kalk.
Ausgaben],tblAuftraege[Datum
Ausgaben],"&gt;="&amp;K$5,tblAuftraege[Datum
Ausgaben],"&lt;"&amp;EDATE(K$5,1),tblAuftraege[Kostenstelle],$B55))</f>
        <v/>
      </c>
      <c r="L55" s="27">
        <f>IF($B55="",0,SUMIFS(tblAuftraege[Kalk.
Ausgaben],tblAuftraege[Datum
Ausgaben],"&gt;="&amp;L$5,tblAuftraege[Datum
Ausgaben],"&lt;"&amp;EDATE(L$5,1),tblAuftraege[Kostenstelle],$B55))</f>
        <v/>
      </c>
      <c r="M55" s="27">
        <f>IF($B55="",0,SUMIFS(tblAuftraege[Kalk.
Ausgaben],tblAuftraege[Datum
Ausgaben],"&gt;="&amp;M$5,tblAuftraege[Datum
Ausgaben],"&lt;"&amp;EDATE(M$5,1),tblAuftraege[Kostenstelle],$B55))</f>
        <v/>
      </c>
      <c r="N55" s="27">
        <f>IF($B55="",0,SUMIFS(tblAuftraege[Kalk.
Ausgaben],tblAuftraege[Datum
Ausgaben],"&gt;="&amp;N$5,tblAuftraege[Datum
Ausgaben],"&lt;"&amp;EDATE(N$5,1),tblAuftraege[Kostenstelle],$B55))</f>
        <v/>
      </c>
      <c r="O55" s="27">
        <f>IF($B55="",0,SUMIFS(tblAuftraege[Kalk.
Ausgaben],tblAuftraege[Datum
Ausgaben],"&gt;="&amp;O$5,tblAuftraege[Datum
Ausgaben],"&lt;"&amp;EDATE(O$5,1),tblAuftraege[Kostenstelle],$B55))</f>
        <v/>
      </c>
      <c r="P55" s="27">
        <f>IF($B55="",0,SUMIFS(tblAuftraege[Kalk.
Ausgaben],tblAuftraege[Datum
Ausgaben],"&gt;="&amp;P$5,tblAuftraege[Datum
Ausgaben],"&lt;"&amp;EDATE(P$5,1),tblAuftraege[Kostenstelle],$B55))</f>
        <v/>
      </c>
      <c r="Q55" s="27">
        <f>IF($B55="",0,SUMIFS(tblAuftraege[Kalk.
Ausgaben],tblAuftraege[Datum
Ausgaben],"&gt;="&amp;Q$5,tblAuftraege[Datum
Ausgaben],"&lt;"&amp;EDATE(Q$5,1),tblAuftraege[Kostenstelle],$B55))</f>
        <v/>
      </c>
      <c r="R55" s="27">
        <f>IF($B55="",0,SUMIFS(tblAuftraege[Kalk.
Ausgaben],tblAuftraege[Datum
Ausgaben],"&gt;="&amp;R$5,tblAuftraege[Datum
Ausgaben],"&lt;"&amp;EDATE(R$5,1),tblAuftraege[Kostenstelle],$B55))</f>
        <v/>
      </c>
      <c r="S55" s="27">
        <f>IF($B55="",0,SUMIFS(tblAuftraege[Kalk.
Ausgaben],tblAuftraege[Datum
Ausgaben],"&gt;="&amp;S$5,tblAuftraege[Datum
Ausgaben],"&lt;"&amp;EDATE(S$5,1),tblAuftraege[Kostenstelle],$B55))</f>
        <v/>
      </c>
      <c r="T55" s="27">
        <f>IF($B55="",0,SUMIFS(tblAuftraege[Kalk.
Ausgaben],tblAuftraege[Datum
Ausgaben],"&gt;="&amp;T$5,tblAuftraege[Datum
Ausgaben],"&lt;"&amp;EDATE(T$5,1),tblAuftraege[Kostenstelle],$B55))</f>
        <v/>
      </c>
      <c r="U55" s="27">
        <f>IF($B55="",0,SUMIFS(tblAuftraege[Kalk.
Ausgaben],tblAuftraege[Datum
Ausgaben],"&gt;="&amp;U$5,tblAuftraege[Datum
Ausgaben],"&lt;"&amp;EDATE(U$5,1),tblAuftraege[Kostenstelle],$B55))</f>
        <v/>
      </c>
      <c r="V55" s="27">
        <f>IF($B55="",0,SUMIFS(tblAuftraege[Kalk.
Ausgaben],tblAuftraege[Datum
Ausgaben],"&gt;="&amp;V$5,tblAuftraege[Datum
Ausgaben],"&lt;"&amp;EDATE(V$5,1),tblAuftraege[Kostenstelle],$B55))</f>
        <v/>
      </c>
      <c r="W55" s="27">
        <f>IF($B55="",0,SUMIFS(tblAuftraege[Kalk.
Ausgaben],tblAuftraege[Datum
Ausgaben],"&gt;="&amp;W$5,tblAuftraege[Datum
Ausgaben],"&lt;"&amp;EDATE(W$5,1),tblAuftraege[Kostenstelle],$B55))</f>
        <v/>
      </c>
      <c r="X55" s="27">
        <f>IF($B55="",0,SUMIFS(tblAuftraege[Kalk.
Ausgaben],tblAuftraege[Datum
Ausgaben],"&gt;="&amp;X$5,tblAuftraege[Datum
Ausgaben],"&lt;"&amp;EDATE(X$5,1),tblAuftraege[Kostenstelle],$B55))</f>
        <v/>
      </c>
      <c r="Y55" s="27">
        <f>IF($B55="",0,SUMIFS(tblAuftraege[Kalk.
Ausgaben],tblAuftraege[Datum
Ausgaben],"&gt;="&amp;Y$5,tblAuftraege[Datum
Ausgaben],"&lt;"&amp;EDATE(Y$5,1),tblAuftraege[Kostenstelle],$B55))</f>
        <v/>
      </c>
      <c r="Z55" s="27">
        <f>IF($B55="",0,SUMIFS(tblAuftraege[Kalk.
Ausgaben],tblAuftraege[Datum
Ausgaben],"&gt;="&amp;Z$5,tblAuftraege[Datum
Ausgaben],"&lt;"&amp;EDATE(Z$5,1),tblAuftraege[Kostenstelle],$B55))</f>
        <v/>
      </c>
      <c r="AA55" s="27">
        <f>IF($B55="",0,SUMIFS(tblAuftraege[Kalk.
Ausgaben],tblAuftraege[Datum
Ausgaben],"&gt;="&amp;AA$5,tblAuftraege[Datum
Ausgaben],"&lt;"&amp;EDATE(AA$5,1),tblAuftraege[Kostenstelle],$B55))</f>
        <v/>
      </c>
      <c r="AB55" s="27">
        <f>IF($B55="",0,SUMIFS(tblAuftraege[Kalk.
Ausgaben],tblAuftraege[Datum
Ausgaben],"&gt;="&amp;AB$5,tblAuftraege[Datum
Ausgaben],"&lt;"&amp;EDATE(AB$5,1),tblAuftraege[Kostenstelle],$B55))</f>
        <v/>
      </c>
      <c r="AC55" s="27">
        <f>IF($B55="",0,SUMIFS(tblAuftraege[Kalk.
Ausgaben],tblAuftraege[Datum
Ausgaben],"&gt;="&amp;AC$5,tblAuftraege[Datum
Ausgaben],"&lt;"&amp;EDATE(AC$5,1),tblAuftraege[Kostenstelle],$B55))</f>
        <v/>
      </c>
      <c r="AD55" s="27">
        <f>IF($B55="",0,SUMIFS(tblAuftraege[Kalk.
Ausgaben],tblAuftraege[Datum
Ausgaben],"&gt;="&amp;AD$5,tblAuftraege[Datum
Ausgaben],"&lt;"&amp;EDATE(AD$5,1),tblAuftraege[Kostenstelle],$B55))</f>
        <v/>
      </c>
      <c r="AE55" s="27">
        <f>IF($B55="",0,SUMIFS(tblAuftraege[Kalk.
Ausgaben],tblAuftraege[Datum
Ausgaben],"&gt;="&amp;AE$5,tblAuftraege[Datum
Ausgaben],"&lt;"&amp;EDATE(AE$5,1),tblAuftraege[Kostenstelle],$B55))</f>
        <v/>
      </c>
      <c r="AF55" s="27">
        <f>IF($B55="",0,SUMIFS(tblAuftraege[Kalk.
Ausgaben],tblAuftraege[Datum
Ausgaben],"&gt;="&amp;AF$5,tblAuftraege[Datum
Ausgaben],"&lt;"&amp;EDATE(AF$5,1),tblAuftraege[Kostenstelle],$B55))</f>
        <v/>
      </c>
      <c r="AG55" s="27">
        <f>IF($B55="",0,SUMIFS(tblAuftraege[Kalk.
Ausgaben],tblAuftraege[Datum
Ausgaben],"&gt;="&amp;AG$5,tblAuftraege[Datum
Ausgaben],"&lt;"&amp;EDATE(AG$5,1),tblAuftraege[Kostenstelle],$B55))</f>
        <v/>
      </c>
      <c r="AH55" s="27">
        <f>IF($B55="",0,SUMIFS(tblAuftraege[Kalk.
Ausgaben],tblAuftraege[Datum
Ausgaben],"&gt;="&amp;AH$5,tblAuftraege[Datum
Ausgaben],"&lt;"&amp;EDATE(AH$5,1),tblAuftraege[Kostenstelle],$B55))</f>
        <v/>
      </c>
      <c r="AI55" s="27">
        <f>IF($B55="",0,SUMIFS(tblAuftraege[Kalk.
Ausgaben],tblAuftraege[Datum
Ausgaben],"&gt;="&amp;AI$5,tblAuftraege[Datum
Ausgaben],"&lt;"&amp;EDATE(AI$5,1),tblAuftraege[Kostenstelle],$B55))</f>
        <v/>
      </c>
      <c r="AJ55" s="27">
        <f>IF($B55="",0,SUMIFS(tblAuftraege[Kalk.
Ausgaben],tblAuftraege[Datum
Ausgaben],"&gt;="&amp;AJ$5,tblAuftraege[Datum
Ausgaben],"&lt;"&amp;EDATE(AJ$5,1),tblAuftraege[Kostenstelle],$B55))</f>
        <v/>
      </c>
      <c r="AK55" s="27">
        <f>IF($B55="",0,SUMIFS(tblAuftraege[Kalk.
Ausgaben],tblAuftraege[Datum
Ausgaben],"&gt;="&amp;AK$5,tblAuftraege[Datum
Ausgaben],"&lt;"&amp;EDATE(AK$5,1),tblAuftraege[Kostenstelle],$B55))</f>
        <v/>
      </c>
      <c r="AL55" s="27">
        <f>IF($B55="",0,SUMIFS(tblAuftraege[Kalk.
Ausgaben],tblAuftraege[Datum
Ausgaben],"&gt;="&amp;AL$5,tblAuftraege[Datum
Ausgaben],"&lt;"&amp;EDATE(AL$5,1),tblAuftraege[Kostenstelle],$B55))</f>
        <v/>
      </c>
      <c r="AM55" s="27">
        <f>IF($B55="",0,SUMIFS(tblAuftraege[Kalk.
Ausgaben],tblAuftraege[Datum
Ausgaben],"&gt;="&amp;AM$5,tblAuftraege[Datum
Ausgaben],"&lt;"&amp;EDATE(AM$5,1),tblAuftraege[Kostenstelle],$B55))</f>
        <v/>
      </c>
      <c r="AN55" s="27">
        <f>IF($B55="",0,SUMIFS(tblAuftraege[Kalk.
Ausgaben],tblAuftraege[Datum
Ausgaben],"&gt;="&amp;AN$5,tblAuftraege[Datum
Ausgaben],"&lt;"&amp;EDATE(AN$5,1),tblAuftraege[Kostenstelle],$B55))</f>
        <v/>
      </c>
      <c r="AO55" s="27">
        <f>IF($B55="",0,SUMIFS(tblAuftraege[Kalk.
Ausgaben],tblAuftraege[Datum
Ausgaben],"&gt;="&amp;AO$5,tblAuftraege[Datum
Ausgaben],"&lt;"&amp;EDATE(AO$5,1),tblAuftraege[Kostenstelle],$B55))</f>
        <v/>
      </c>
      <c r="AP55" s="27">
        <f>IF($B55="",0,SUMIFS(tblAuftraege[Kalk.
Ausgaben],tblAuftraege[Datum
Ausgaben],"&gt;="&amp;AP$5,tblAuftraege[Datum
Ausgaben],"&lt;"&amp;EDATE(AP$5,1),tblAuftraege[Kostenstelle],$B55))</f>
        <v/>
      </c>
      <c r="AQ55" s="27">
        <f>IF($B55="",0,SUMIFS(tblAuftraege[Kalk.
Ausgaben],tblAuftraege[Datum
Ausgaben],"&gt;="&amp;AQ$5,tblAuftraege[Datum
Ausgaben],"&lt;"&amp;EDATE(AQ$5,1),tblAuftraege[Kostenstelle],$B55))</f>
        <v/>
      </c>
      <c r="AR55" s="27">
        <f>IF($B55="",0,SUMIFS(tblAuftraege[Kalk.
Ausgaben],tblAuftraege[Datum
Ausgaben],"&gt;="&amp;AR$5,tblAuftraege[Datum
Ausgaben],"&lt;"&amp;EDATE(AR$5,1),tblAuftraege[Kostenstelle],$B55))</f>
        <v/>
      </c>
      <c r="AS55" s="27">
        <f>IF($B55="",0,SUMIFS(tblAuftraege[Kalk.
Ausgaben],tblAuftraege[Datum
Ausgaben],"&gt;="&amp;AS$5,tblAuftraege[Datum
Ausgaben],"&lt;"&amp;EDATE(AS$5,1),tblAuftraege[Kostenstelle],$B55))</f>
        <v/>
      </c>
      <c r="AT55" s="27">
        <f>IF($B55="",0,SUMIFS(tblAuftraege[Kalk.
Ausgaben],tblAuftraege[Datum
Ausgaben],"&gt;="&amp;AT$5,tblAuftraege[Datum
Ausgaben],"&lt;"&amp;EDATE(AT$5,1),tblAuftraege[Kostenstelle],$B55))</f>
        <v/>
      </c>
      <c r="AU55" s="27">
        <f>IF($B55="",0,SUMIFS(tblAuftraege[Kalk.
Ausgaben],tblAuftraege[Datum
Ausgaben],"&gt;="&amp;AU$5,tblAuftraege[Datum
Ausgaben],"&lt;"&amp;EDATE(AU$5,1),tblAuftraege[Kostenstelle],$B55))</f>
        <v/>
      </c>
      <c r="AV55" s="27">
        <f>IF($B55="",0,SUMIFS(tblAuftraege[Kalk.
Ausgaben],tblAuftraege[Datum
Ausgaben],"&gt;="&amp;AV$5,tblAuftraege[Datum
Ausgaben],"&lt;"&amp;EDATE(AV$5,1),tblAuftraege[Kostenstelle],$B55))</f>
        <v/>
      </c>
      <c r="AW55" s="27">
        <f>IF($B55="",0,SUMIFS(tblAuftraege[Kalk.
Ausgaben],tblAuftraege[Datum
Ausgaben],"&gt;="&amp;AW$5,tblAuftraege[Datum
Ausgaben],"&lt;"&amp;EDATE(AW$5,1),tblAuftraege[Kostenstelle],$B55))</f>
        <v/>
      </c>
      <c r="AX55" s="27">
        <f>IF($B55="",0,SUMIFS(tblAuftraege[Kalk.
Ausgaben],tblAuftraege[Datum
Ausgaben],"&gt;="&amp;AX$5,tblAuftraege[Datum
Ausgaben],"&lt;"&amp;EDATE(AX$5,1),tblAuftraege[Kostenstelle],$B55))</f>
        <v/>
      </c>
      <c r="AY55" s="27">
        <f>IF($B55="",0,SUMIFS(tblAuftraege[Kalk.
Ausgaben],tblAuftraege[Datum
Ausgaben],"&gt;="&amp;AY$5,tblAuftraege[Datum
Ausgaben],"&lt;"&amp;EDATE(AY$5,1),tblAuftraege[Kostenstelle],$B55))</f>
        <v/>
      </c>
      <c r="AZ55" s="27">
        <f>IF($B55="",0,SUMIFS(tblAuftraege[Kalk.
Ausgaben],tblAuftraege[Datum
Ausgaben],"&gt;="&amp;AZ$5,tblAuftraege[Datum
Ausgaben],"&lt;"&amp;EDATE(AZ$5,1),tblAuftraege[Kostenstelle],$B55))</f>
        <v/>
      </c>
      <c r="BA55" s="27">
        <f>IF($B55="",0,SUMIFS(tblAuftraege[Kalk.
Ausgaben],tblAuftraege[Datum
Ausgaben],"&gt;="&amp;BA$5,tblAuftraege[Datum
Ausgaben],"&lt;"&amp;EDATE(BA$5,1),tblAuftraege[Kostenstelle],$B55))</f>
        <v/>
      </c>
      <c r="BB55" s="27">
        <f>IF($B55="",0,SUMIFS(tblAuftraege[Kalk.
Ausgaben],tblAuftraege[Datum
Ausgaben],"&gt;="&amp;BB$5,tblAuftraege[Datum
Ausgaben],"&lt;"&amp;EDATE(BB$5,1),tblAuftraege[Kostenstelle],$B55))</f>
        <v/>
      </c>
      <c r="BC55" s="27">
        <f>IF($B55="",0,SUMIFS(tblAuftraege[Kalk.
Ausgaben],tblAuftraege[Datum
Ausgaben],"&gt;="&amp;BC$5,tblAuftraege[Datum
Ausgaben],"&lt;"&amp;EDATE(BC$5,1),tblAuftraege[Kostenstelle],$B55))</f>
        <v/>
      </c>
      <c r="BD55" s="27">
        <f>IF($B55="",0,SUMIFS(tblAuftraege[Kalk.
Ausgaben],tblAuftraege[Datum
Ausgaben],"&gt;="&amp;BD$5,tblAuftraege[Datum
Ausgaben],"&lt;"&amp;EDATE(BD$5,1),tblAuftraege[Kostenstelle],$B55))</f>
        <v/>
      </c>
      <c r="BE55" s="27">
        <f>SUM(C55:H55)</f>
        <v/>
      </c>
      <c r="BF55" s="27">
        <f>SUM(I55:T55)</f>
        <v/>
      </c>
      <c r="BG55" s="27">
        <f>SUM(U55:AF55)</f>
        <v/>
      </c>
      <c r="BH55" s="27">
        <f>SUM(AG55:AR55)</f>
        <v/>
      </c>
      <c r="BI55" s="27">
        <f>SUM(AS55:BD55)</f>
        <v/>
      </c>
      <c r="BJ55" s="27">
        <f>SUM(C55:BD55)</f>
        <v/>
      </c>
    </row>
    <row r="56">
      <c r="A56" s="34" t="n"/>
      <c r="B56" s="49">
        <f>IF(ISBLANK(B22),"",B22)</f>
        <v/>
      </c>
      <c r="C56" s="27">
        <f>IF($B56="",0,SUMIFS(tblAuftraege[Kalk.
Ausgaben],tblAuftraege[Datum
Ausgaben],"&gt;="&amp;C$5,tblAuftraege[Datum
Ausgaben],"&lt;"&amp;EDATE(C$5,1),tblAuftraege[Kostenstelle],$B56))</f>
        <v/>
      </c>
      <c r="D56" s="27">
        <f>IF($B56="",0,SUMIFS(tblAuftraege[Kalk.
Ausgaben],tblAuftraege[Datum
Ausgaben],"&gt;="&amp;D$5,tblAuftraege[Datum
Ausgaben],"&lt;"&amp;EDATE(D$5,1),tblAuftraege[Kostenstelle],$B56))</f>
        <v/>
      </c>
      <c r="E56" s="27">
        <f>IF($B56="",0,SUMIFS(tblAuftraege[Kalk.
Ausgaben],tblAuftraege[Datum
Ausgaben],"&gt;="&amp;E$5,tblAuftraege[Datum
Ausgaben],"&lt;"&amp;EDATE(E$5,1),tblAuftraege[Kostenstelle],$B56))</f>
        <v/>
      </c>
      <c r="F56" s="27">
        <f>IF($B56="",0,SUMIFS(tblAuftraege[Kalk.
Ausgaben],tblAuftraege[Datum
Ausgaben],"&gt;="&amp;F$5,tblAuftraege[Datum
Ausgaben],"&lt;"&amp;EDATE(F$5,1),tblAuftraege[Kostenstelle],$B56))</f>
        <v/>
      </c>
      <c r="G56" s="27">
        <f>IF($B56="",0,SUMIFS(tblAuftraege[Kalk.
Ausgaben],tblAuftraege[Datum
Ausgaben],"&gt;="&amp;G$5,tblAuftraege[Datum
Ausgaben],"&lt;"&amp;EDATE(G$5,1),tblAuftraege[Kostenstelle],$B56))</f>
        <v/>
      </c>
      <c r="H56" s="27">
        <f>IF($B56="",0,SUMIFS(tblAuftraege[Kalk.
Ausgaben],tblAuftraege[Datum
Ausgaben],"&gt;="&amp;H$5,tblAuftraege[Datum
Ausgaben],"&lt;"&amp;EDATE(H$5,1),tblAuftraege[Kostenstelle],$B56))</f>
        <v/>
      </c>
      <c r="I56" s="27">
        <f>IF($B56="",0,SUMIFS(tblAuftraege[Kalk.
Ausgaben],tblAuftraege[Datum
Ausgaben],"&gt;="&amp;I$5,tblAuftraege[Datum
Ausgaben],"&lt;"&amp;EDATE(I$5,1),tblAuftraege[Kostenstelle],$B56))</f>
        <v/>
      </c>
      <c r="J56" s="27">
        <f>IF($B56="",0,SUMIFS(tblAuftraege[Kalk.
Ausgaben],tblAuftraege[Datum
Ausgaben],"&gt;="&amp;J$5,tblAuftraege[Datum
Ausgaben],"&lt;"&amp;EDATE(J$5,1),tblAuftraege[Kostenstelle],$B56))</f>
        <v/>
      </c>
      <c r="K56" s="27">
        <f>IF($B56="",0,SUMIFS(tblAuftraege[Kalk.
Ausgaben],tblAuftraege[Datum
Ausgaben],"&gt;="&amp;K$5,tblAuftraege[Datum
Ausgaben],"&lt;"&amp;EDATE(K$5,1),tblAuftraege[Kostenstelle],$B56))</f>
        <v/>
      </c>
      <c r="L56" s="27">
        <f>IF($B56="",0,SUMIFS(tblAuftraege[Kalk.
Ausgaben],tblAuftraege[Datum
Ausgaben],"&gt;="&amp;L$5,tblAuftraege[Datum
Ausgaben],"&lt;"&amp;EDATE(L$5,1),tblAuftraege[Kostenstelle],$B56))</f>
        <v/>
      </c>
      <c r="M56" s="27">
        <f>IF($B56="",0,SUMIFS(tblAuftraege[Kalk.
Ausgaben],tblAuftraege[Datum
Ausgaben],"&gt;="&amp;M$5,tblAuftraege[Datum
Ausgaben],"&lt;"&amp;EDATE(M$5,1),tblAuftraege[Kostenstelle],$B56))</f>
        <v/>
      </c>
      <c r="N56" s="27">
        <f>IF($B56="",0,SUMIFS(tblAuftraege[Kalk.
Ausgaben],tblAuftraege[Datum
Ausgaben],"&gt;="&amp;N$5,tblAuftraege[Datum
Ausgaben],"&lt;"&amp;EDATE(N$5,1),tblAuftraege[Kostenstelle],$B56))</f>
        <v/>
      </c>
      <c r="O56" s="27">
        <f>IF($B56="",0,SUMIFS(tblAuftraege[Kalk.
Ausgaben],tblAuftraege[Datum
Ausgaben],"&gt;="&amp;O$5,tblAuftraege[Datum
Ausgaben],"&lt;"&amp;EDATE(O$5,1),tblAuftraege[Kostenstelle],$B56))</f>
        <v/>
      </c>
      <c r="P56" s="27">
        <f>IF($B56="",0,SUMIFS(tblAuftraege[Kalk.
Ausgaben],tblAuftraege[Datum
Ausgaben],"&gt;="&amp;P$5,tblAuftraege[Datum
Ausgaben],"&lt;"&amp;EDATE(P$5,1),tblAuftraege[Kostenstelle],$B56))</f>
        <v/>
      </c>
      <c r="Q56" s="27">
        <f>IF($B56="",0,SUMIFS(tblAuftraege[Kalk.
Ausgaben],tblAuftraege[Datum
Ausgaben],"&gt;="&amp;Q$5,tblAuftraege[Datum
Ausgaben],"&lt;"&amp;EDATE(Q$5,1),tblAuftraege[Kostenstelle],$B56))</f>
        <v/>
      </c>
      <c r="R56" s="27">
        <f>IF($B56="",0,SUMIFS(tblAuftraege[Kalk.
Ausgaben],tblAuftraege[Datum
Ausgaben],"&gt;="&amp;R$5,tblAuftraege[Datum
Ausgaben],"&lt;"&amp;EDATE(R$5,1),tblAuftraege[Kostenstelle],$B56))</f>
        <v/>
      </c>
      <c r="S56" s="27">
        <f>IF($B56="",0,SUMIFS(tblAuftraege[Kalk.
Ausgaben],tblAuftraege[Datum
Ausgaben],"&gt;="&amp;S$5,tblAuftraege[Datum
Ausgaben],"&lt;"&amp;EDATE(S$5,1),tblAuftraege[Kostenstelle],$B56))</f>
        <v/>
      </c>
      <c r="T56" s="27">
        <f>IF($B56="",0,SUMIFS(tblAuftraege[Kalk.
Ausgaben],tblAuftraege[Datum
Ausgaben],"&gt;="&amp;T$5,tblAuftraege[Datum
Ausgaben],"&lt;"&amp;EDATE(T$5,1),tblAuftraege[Kostenstelle],$B56))</f>
        <v/>
      </c>
      <c r="U56" s="27">
        <f>IF($B56="",0,SUMIFS(tblAuftraege[Kalk.
Ausgaben],tblAuftraege[Datum
Ausgaben],"&gt;="&amp;U$5,tblAuftraege[Datum
Ausgaben],"&lt;"&amp;EDATE(U$5,1),tblAuftraege[Kostenstelle],$B56))</f>
        <v/>
      </c>
      <c r="V56" s="27">
        <f>IF($B56="",0,SUMIFS(tblAuftraege[Kalk.
Ausgaben],tblAuftraege[Datum
Ausgaben],"&gt;="&amp;V$5,tblAuftraege[Datum
Ausgaben],"&lt;"&amp;EDATE(V$5,1),tblAuftraege[Kostenstelle],$B56))</f>
        <v/>
      </c>
      <c r="W56" s="27">
        <f>IF($B56="",0,SUMIFS(tblAuftraege[Kalk.
Ausgaben],tblAuftraege[Datum
Ausgaben],"&gt;="&amp;W$5,tblAuftraege[Datum
Ausgaben],"&lt;"&amp;EDATE(W$5,1),tblAuftraege[Kostenstelle],$B56))</f>
        <v/>
      </c>
      <c r="X56" s="27">
        <f>IF($B56="",0,SUMIFS(tblAuftraege[Kalk.
Ausgaben],tblAuftraege[Datum
Ausgaben],"&gt;="&amp;X$5,tblAuftraege[Datum
Ausgaben],"&lt;"&amp;EDATE(X$5,1),tblAuftraege[Kostenstelle],$B56))</f>
        <v/>
      </c>
      <c r="Y56" s="27">
        <f>IF($B56="",0,SUMIFS(tblAuftraege[Kalk.
Ausgaben],tblAuftraege[Datum
Ausgaben],"&gt;="&amp;Y$5,tblAuftraege[Datum
Ausgaben],"&lt;"&amp;EDATE(Y$5,1),tblAuftraege[Kostenstelle],$B56))</f>
        <v/>
      </c>
      <c r="Z56" s="27">
        <f>IF($B56="",0,SUMIFS(tblAuftraege[Kalk.
Ausgaben],tblAuftraege[Datum
Ausgaben],"&gt;="&amp;Z$5,tblAuftraege[Datum
Ausgaben],"&lt;"&amp;EDATE(Z$5,1),tblAuftraege[Kostenstelle],$B56))</f>
        <v/>
      </c>
      <c r="AA56" s="27">
        <f>IF($B56="",0,SUMIFS(tblAuftraege[Kalk.
Ausgaben],tblAuftraege[Datum
Ausgaben],"&gt;="&amp;AA$5,tblAuftraege[Datum
Ausgaben],"&lt;"&amp;EDATE(AA$5,1),tblAuftraege[Kostenstelle],$B56))</f>
        <v/>
      </c>
      <c r="AB56" s="27">
        <f>IF($B56="",0,SUMIFS(tblAuftraege[Kalk.
Ausgaben],tblAuftraege[Datum
Ausgaben],"&gt;="&amp;AB$5,tblAuftraege[Datum
Ausgaben],"&lt;"&amp;EDATE(AB$5,1),tblAuftraege[Kostenstelle],$B56))</f>
        <v/>
      </c>
      <c r="AC56" s="27">
        <f>IF($B56="",0,SUMIFS(tblAuftraege[Kalk.
Ausgaben],tblAuftraege[Datum
Ausgaben],"&gt;="&amp;AC$5,tblAuftraege[Datum
Ausgaben],"&lt;"&amp;EDATE(AC$5,1),tblAuftraege[Kostenstelle],$B56))</f>
        <v/>
      </c>
      <c r="AD56" s="27">
        <f>IF($B56="",0,SUMIFS(tblAuftraege[Kalk.
Ausgaben],tblAuftraege[Datum
Ausgaben],"&gt;="&amp;AD$5,tblAuftraege[Datum
Ausgaben],"&lt;"&amp;EDATE(AD$5,1),tblAuftraege[Kostenstelle],$B56))</f>
        <v/>
      </c>
      <c r="AE56" s="27">
        <f>IF($B56="",0,SUMIFS(tblAuftraege[Kalk.
Ausgaben],tblAuftraege[Datum
Ausgaben],"&gt;="&amp;AE$5,tblAuftraege[Datum
Ausgaben],"&lt;"&amp;EDATE(AE$5,1),tblAuftraege[Kostenstelle],$B56))</f>
        <v/>
      </c>
      <c r="AF56" s="27">
        <f>IF($B56="",0,SUMIFS(tblAuftraege[Kalk.
Ausgaben],tblAuftraege[Datum
Ausgaben],"&gt;="&amp;AF$5,tblAuftraege[Datum
Ausgaben],"&lt;"&amp;EDATE(AF$5,1),tblAuftraege[Kostenstelle],$B56))</f>
        <v/>
      </c>
      <c r="AG56" s="27">
        <f>IF($B56="",0,SUMIFS(tblAuftraege[Kalk.
Ausgaben],tblAuftraege[Datum
Ausgaben],"&gt;="&amp;AG$5,tblAuftraege[Datum
Ausgaben],"&lt;"&amp;EDATE(AG$5,1),tblAuftraege[Kostenstelle],$B56))</f>
        <v/>
      </c>
      <c r="AH56" s="27">
        <f>IF($B56="",0,SUMIFS(tblAuftraege[Kalk.
Ausgaben],tblAuftraege[Datum
Ausgaben],"&gt;="&amp;AH$5,tblAuftraege[Datum
Ausgaben],"&lt;"&amp;EDATE(AH$5,1),tblAuftraege[Kostenstelle],$B56))</f>
        <v/>
      </c>
      <c r="AI56" s="27">
        <f>IF($B56="",0,SUMIFS(tblAuftraege[Kalk.
Ausgaben],tblAuftraege[Datum
Ausgaben],"&gt;="&amp;AI$5,tblAuftraege[Datum
Ausgaben],"&lt;"&amp;EDATE(AI$5,1),tblAuftraege[Kostenstelle],$B56))</f>
        <v/>
      </c>
      <c r="AJ56" s="27">
        <f>IF($B56="",0,SUMIFS(tblAuftraege[Kalk.
Ausgaben],tblAuftraege[Datum
Ausgaben],"&gt;="&amp;AJ$5,tblAuftraege[Datum
Ausgaben],"&lt;"&amp;EDATE(AJ$5,1),tblAuftraege[Kostenstelle],$B56))</f>
        <v/>
      </c>
      <c r="AK56" s="27">
        <f>IF($B56="",0,SUMIFS(tblAuftraege[Kalk.
Ausgaben],tblAuftraege[Datum
Ausgaben],"&gt;="&amp;AK$5,tblAuftraege[Datum
Ausgaben],"&lt;"&amp;EDATE(AK$5,1),tblAuftraege[Kostenstelle],$B56))</f>
        <v/>
      </c>
      <c r="AL56" s="27">
        <f>IF($B56="",0,SUMIFS(tblAuftraege[Kalk.
Ausgaben],tblAuftraege[Datum
Ausgaben],"&gt;="&amp;AL$5,tblAuftraege[Datum
Ausgaben],"&lt;"&amp;EDATE(AL$5,1),tblAuftraege[Kostenstelle],$B56))</f>
        <v/>
      </c>
      <c r="AM56" s="27">
        <f>IF($B56="",0,SUMIFS(tblAuftraege[Kalk.
Ausgaben],tblAuftraege[Datum
Ausgaben],"&gt;="&amp;AM$5,tblAuftraege[Datum
Ausgaben],"&lt;"&amp;EDATE(AM$5,1),tblAuftraege[Kostenstelle],$B56))</f>
        <v/>
      </c>
      <c r="AN56" s="27">
        <f>IF($B56="",0,SUMIFS(tblAuftraege[Kalk.
Ausgaben],tblAuftraege[Datum
Ausgaben],"&gt;="&amp;AN$5,tblAuftraege[Datum
Ausgaben],"&lt;"&amp;EDATE(AN$5,1),tblAuftraege[Kostenstelle],$B56))</f>
        <v/>
      </c>
      <c r="AO56" s="27">
        <f>IF($B56="",0,SUMIFS(tblAuftraege[Kalk.
Ausgaben],tblAuftraege[Datum
Ausgaben],"&gt;="&amp;AO$5,tblAuftraege[Datum
Ausgaben],"&lt;"&amp;EDATE(AO$5,1),tblAuftraege[Kostenstelle],$B56))</f>
        <v/>
      </c>
      <c r="AP56" s="27">
        <f>IF($B56="",0,SUMIFS(tblAuftraege[Kalk.
Ausgaben],tblAuftraege[Datum
Ausgaben],"&gt;="&amp;AP$5,tblAuftraege[Datum
Ausgaben],"&lt;"&amp;EDATE(AP$5,1),tblAuftraege[Kostenstelle],$B56))</f>
        <v/>
      </c>
      <c r="AQ56" s="27">
        <f>IF($B56="",0,SUMIFS(tblAuftraege[Kalk.
Ausgaben],tblAuftraege[Datum
Ausgaben],"&gt;="&amp;AQ$5,tblAuftraege[Datum
Ausgaben],"&lt;"&amp;EDATE(AQ$5,1),tblAuftraege[Kostenstelle],$B56))</f>
        <v/>
      </c>
      <c r="AR56" s="27">
        <f>IF($B56="",0,SUMIFS(tblAuftraege[Kalk.
Ausgaben],tblAuftraege[Datum
Ausgaben],"&gt;="&amp;AR$5,tblAuftraege[Datum
Ausgaben],"&lt;"&amp;EDATE(AR$5,1),tblAuftraege[Kostenstelle],$B56))</f>
        <v/>
      </c>
      <c r="AS56" s="27">
        <f>IF($B56="",0,SUMIFS(tblAuftraege[Kalk.
Ausgaben],tblAuftraege[Datum
Ausgaben],"&gt;="&amp;AS$5,tblAuftraege[Datum
Ausgaben],"&lt;"&amp;EDATE(AS$5,1),tblAuftraege[Kostenstelle],$B56))</f>
        <v/>
      </c>
      <c r="AT56" s="27">
        <f>IF($B56="",0,SUMIFS(tblAuftraege[Kalk.
Ausgaben],tblAuftraege[Datum
Ausgaben],"&gt;="&amp;AT$5,tblAuftraege[Datum
Ausgaben],"&lt;"&amp;EDATE(AT$5,1),tblAuftraege[Kostenstelle],$B56))</f>
        <v/>
      </c>
      <c r="AU56" s="27">
        <f>IF($B56="",0,SUMIFS(tblAuftraege[Kalk.
Ausgaben],tblAuftraege[Datum
Ausgaben],"&gt;="&amp;AU$5,tblAuftraege[Datum
Ausgaben],"&lt;"&amp;EDATE(AU$5,1),tblAuftraege[Kostenstelle],$B56))</f>
        <v/>
      </c>
      <c r="AV56" s="27">
        <f>IF($B56="",0,SUMIFS(tblAuftraege[Kalk.
Ausgaben],tblAuftraege[Datum
Ausgaben],"&gt;="&amp;AV$5,tblAuftraege[Datum
Ausgaben],"&lt;"&amp;EDATE(AV$5,1),tblAuftraege[Kostenstelle],$B56))</f>
        <v/>
      </c>
      <c r="AW56" s="27">
        <f>IF($B56="",0,SUMIFS(tblAuftraege[Kalk.
Ausgaben],tblAuftraege[Datum
Ausgaben],"&gt;="&amp;AW$5,tblAuftraege[Datum
Ausgaben],"&lt;"&amp;EDATE(AW$5,1),tblAuftraege[Kostenstelle],$B56))</f>
        <v/>
      </c>
      <c r="AX56" s="27">
        <f>IF($B56="",0,SUMIFS(tblAuftraege[Kalk.
Ausgaben],tblAuftraege[Datum
Ausgaben],"&gt;="&amp;AX$5,tblAuftraege[Datum
Ausgaben],"&lt;"&amp;EDATE(AX$5,1),tblAuftraege[Kostenstelle],$B56))</f>
        <v/>
      </c>
      <c r="AY56" s="27">
        <f>IF($B56="",0,SUMIFS(tblAuftraege[Kalk.
Ausgaben],tblAuftraege[Datum
Ausgaben],"&gt;="&amp;AY$5,tblAuftraege[Datum
Ausgaben],"&lt;"&amp;EDATE(AY$5,1),tblAuftraege[Kostenstelle],$B56))</f>
        <v/>
      </c>
      <c r="AZ56" s="27">
        <f>IF($B56="",0,SUMIFS(tblAuftraege[Kalk.
Ausgaben],tblAuftraege[Datum
Ausgaben],"&gt;="&amp;AZ$5,tblAuftraege[Datum
Ausgaben],"&lt;"&amp;EDATE(AZ$5,1),tblAuftraege[Kostenstelle],$B56))</f>
        <v/>
      </c>
      <c r="BA56" s="27">
        <f>IF($B56="",0,SUMIFS(tblAuftraege[Kalk.
Ausgaben],tblAuftraege[Datum
Ausgaben],"&gt;="&amp;BA$5,tblAuftraege[Datum
Ausgaben],"&lt;"&amp;EDATE(BA$5,1),tblAuftraege[Kostenstelle],$B56))</f>
        <v/>
      </c>
      <c r="BB56" s="27">
        <f>IF($B56="",0,SUMIFS(tblAuftraege[Kalk.
Ausgaben],tblAuftraege[Datum
Ausgaben],"&gt;="&amp;BB$5,tblAuftraege[Datum
Ausgaben],"&lt;"&amp;EDATE(BB$5,1),tblAuftraege[Kostenstelle],$B56))</f>
        <v/>
      </c>
      <c r="BC56" s="27">
        <f>IF($B56="",0,SUMIFS(tblAuftraege[Kalk.
Ausgaben],tblAuftraege[Datum
Ausgaben],"&gt;="&amp;BC$5,tblAuftraege[Datum
Ausgaben],"&lt;"&amp;EDATE(BC$5,1),tblAuftraege[Kostenstelle],$B56))</f>
        <v/>
      </c>
      <c r="BD56" s="27">
        <f>IF($B56="",0,SUMIFS(tblAuftraege[Kalk.
Ausgaben],tblAuftraege[Datum
Ausgaben],"&gt;="&amp;BD$5,tblAuftraege[Datum
Ausgaben],"&lt;"&amp;EDATE(BD$5,1),tblAuftraege[Kostenstelle],$B56))</f>
        <v/>
      </c>
      <c r="BE56" s="27">
        <f>SUM(C56:H56)</f>
        <v/>
      </c>
      <c r="BF56" s="27">
        <f>SUM(I56:T56)</f>
        <v/>
      </c>
      <c r="BG56" s="27">
        <f>SUM(U56:AF56)</f>
        <v/>
      </c>
      <c r="BH56" s="27">
        <f>SUM(AG56:AR56)</f>
        <v/>
      </c>
      <c r="BI56" s="27">
        <f>SUM(AS56:BD56)</f>
        <v/>
      </c>
      <c r="BJ56" s="27">
        <f>SUM(C56:BD56)</f>
        <v/>
      </c>
    </row>
    <row r="57">
      <c r="A57" s="34" t="n"/>
      <c r="B57" s="49">
        <f>IF(ISBLANK(B23),"",B23)</f>
        <v/>
      </c>
      <c r="C57" s="27">
        <f>IF($B57="",0,SUMIFS(tblAuftraege[Kalk.
Ausgaben],tblAuftraege[Datum
Ausgaben],"&gt;="&amp;C$5,tblAuftraege[Datum
Ausgaben],"&lt;"&amp;EDATE(C$5,1),tblAuftraege[Kostenstelle],$B57))</f>
        <v/>
      </c>
      <c r="D57" s="27">
        <f>IF($B57="",0,SUMIFS(tblAuftraege[Kalk.
Ausgaben],tblAuftraege[Datum
Ausgaben],"&gt;="&amp;D$5,tblAuftraege[Datum
Ausgaben],"&lt;"&amp;EDATE(D$5,1),tblAuftraege[Kostenstelle],$B57))</f>
        <v/>
      </c>
      <c r="E57" s="27">
        <f>IF($B57="",0,SUMIFS(tblAuftraege[Kalk.
Ausgaben],tblAuftraege[Datum
Ausgaben],"&gt;="&amp;E$5,tblAuftraege[Datum
Ausgaben],"&lt;"&amp;EDATE(E$5,1),tblAuftraege[Kostenstelle],$B57))</f>
        <v/>
      </c>
      <c r="F57" s="27">
        <f>IF($B57="",0,SUMIFS(tblAuftraege[Kalk.
Ausgaben],tblAuftraege[Datum
Ausgaben],"&gt;="&amp;F$5,tblAuftraege[Datum
Ausgaben],"&lt;"&amp;EDATE(F$5,1),tblAuftraege[Kostenstelle],$B57))</f>
        <v/>
      </c>
      <c r="G57" s="27">
        <f>IF($B57="",0,SUMIFS(tblAuftraege[Kalk.
Ausgaben],tblAuftraege[Datum
Ausgaben],"&gt;="&amp;G$5,tblAuftraege[Datum
Ausgaben],"&lt;"&amp;EDATE(G$5,1),tblAuftraege[Kostenstelle],$B57))</f>
        <v/>
      </c>
      <c r="H57" s="27">
        <f>IF($B57="",0,SUMIFS(tblAuftraege[Kalk.
Ausgaben],tblAuftraege[Datum
Ausgaben],"&gt;="&amp;H$5,tblAuftraege[Datum
Ausgaben],"&lt;"&amp;EDATE(H$5,1),tblAuftraege[Kostenstelle],$B57))</f>
        <v/>
      </c>
      <c r="I57" s="27">
        <f>IF($B57="",0,SUMIFS(tblAuftraege[Kalk.
Ausgaben],tblAuftraege[Datum
Ausgaben],"&gt;="&amp;I$5,tblAuftraege[Datum
Ausgaben],"&lt;"&amp;EDATE(I$5,1),tblAuftraege[Kostenstelle],$B57))</f>
        <v/>
      </c>
      <c r="J57" s="27">
        <f>IF($B57="",0,SUMIFS(tblAuftraege[Kalk.
Ausgaben],tblAuftraege[Datum
Ausgaben],"&gt;="&amp;J$5,tblAuftraege[Datum
Ausgaben],"&lt;"&amp;EDATE(J$5,1),tblAuftraege[Kostenstelle],$B57))</f>
        <v/>
      </c>
      <c r="K57" s="27">
        <f>IF($B57="",0,SUMIFS(tblAuftraege[Kalk.
Ausgaben],tblAuftraege[Datum
Ausgaben],"&gt;="&amp;K$5,tblAuftraege[Datum
Ausgaben],"&lt;"&amp;EDATE(K$5,1),tblAuftraege[Kostenstelle],$B57))</f>
        <v/>
      </c>
      <c r="L57" s="27">
        <f>IF($B57="",0,SUMIFS(tblAuftraege[Kalk.
Ausgaben],tblAuftraege[Datum
Ausgaben],"&gt;="&amp;L$5,tblAuftraege[Datum
Ausgaben],"&lt;"&amp;EDATE(L$5,1),tblAuftraege[Kostenstelle],$B57))</f>
        <v/>
      </c>
      <c r="M57" s="27">
        <f>IF($B57="",0,SUMIFS(tblAuftraege[Kalk.
Ausgaben],tblAuftraege[Datum
Ausgaben],"&gt;="&amp;M$5,tblAuftraege[Datum
Ausgaben],"&lt;"&amp;EDATE(M$5,1),tblAuftraege[Kostenstelle],$B57))</f>
        <v/>
      </c>
      <c r="N57" s="27">
        <f>IF($B57="",0,SUMIFS(tblAuftraege[Kalk.
Ausgaben],tblAuftraege[Datum
Ausgaben],"&gt;="&amp;N$5,tblAuftraege[Datum
Ausgaben],"&lt;"&amp;EDATE(N$5,1),tblAuftraege[Kostenstelle],$B57))</f>
        <v/>
      </c>
      <c r="O57" s="27">
        <f>IF($B57="",0,SUMIFS(tblAuftraege[Kalk.
Ausgaben],tblAuftraege[Datum
Ausgaben],"&gt;="&amp;O$5,tblAuftraege[Datum
Ausgaben],"&lt;"&amp;EDATE(O$5,1),tblAuftraege[Kostenstelle],$B57))</f>
        <v/>
      </c>
      <c r="P57" s="27">
        <f>IF($B57="",0,SUMIFS(tblAuftraege[Kalk.
Ausgaben],tblAuftraege[Datum
Ausgaben],"&gt;="&amp;P$5,tblAuftraege[Datum
Ausgaben],"&lt;"&amp;EDATE(P$5,1),tblAuftraege[Kostenstelle],$B57))</f>
        <v/>
      </c>
      <c r="Q57" s="27">
        <f>IF($B57="",0,SUMIFS(tblAuftraege[Kalk.
Ausgaben],tblAuftraege[Datum
Ausgaben],"&gt;="&amp;Q$5,tblAuftraege[Datum
Ausgaben],"&lt;"&amp;EDATE(Q$5,1),tblAuftraege[Kostenstelle],$B57))</f>
        <v/>
      </c>
      <c r="R57" s="27">
        <f>IF($B57="",0,SUMIFS(tblAuftraege[Kalk.
Ausgaben],tblAuftraege[Datum
Ausgaben],"&gt;="&amp;R$5,tblAuftraege[Datum
Ausgaben],"&lt;"&amp;EDATE(R$5,1),tblAuftraege[Kostenstelle],$B57))</f>
        <v/>
      </c>
      <c r="S57" s="27">
        <f>IF($B57="",0,SUMIFS(tblAuftraege[Kalk.
Ausgaben],tblAuftraege[Datum
Ausgaben],"&gt;="&amp;S$5,tblAuftraege[Datum
Ausgaben],"&lt;"&amp;EDATE(S$5,1),tblAuftraege[Kostenstelle],$B57))</f>
        <v/>
      </c>
      <c r="T57" s="27">
        <f>IF($B57="",0,SUMIFS(tblAuftraege[Kalk.
Ausgaben],tblAuftraege[Datum
Ausgaben],"&gt;="&amp;T$5,tblAuftraege[Datum
Ausgaben],"&lt;"&amp;EDATE(T$5,1),tblAuftraege[Kostenstelle],$B57))</f>
        <v/>
      </c>
      <c r="U57" s="27">
        <f>IF($B57="",0,SUMIFS(tblAuftraege[Kalk.
Ausgaben],tblAuftraege[Datum
Ausgaben],"&gt;="&amp;U$5,tblAuftraege[Datum
Ausgaben],"&lt;"&amp;EDATE(U$5,1),tblAuftraege[Kostenstelle],$B57))</f>
        <v/>
      </c>
      <c r="V57" s="27">
        <f>IF($B57="",0,SUMIFS(tblAuftraege[Kalk.
Ausgaben],tblAuftraege[Datum
Ausgaben],"&gt;="&amp;V$5,tblAuftraege[Datum
Ausgaben],"&lt;"&amp;EDATE(V$5,1),tblAuftraege[Kostenstelle],$B57))</f>
        <v/>
      </c>
      <c r="W57" s="27">
        <f>IF($B57="",0,SUMIFS(tblAuftraege[Kalk.
Ausgaben],tblAuftraege[Datum
Ausgaben],"&gt;="&amp;W$5,tblAuftraege[Datum
Ausgaben],"&lt;"&amp;EDATE(W$5,1),tblAuftraege[Kostenstelle],$B57))</f>
        <v/>
      </c>
      <c r="X57" s="27">
        <f>IF($B57="",0,SUMIFS(tblAuftraege[Kalk.
Ausgaben],tblAuftraege[Datum
Ausgaben],"&gt;="&amp;X$5,tblAuftraege[Datum
Ausgaben],"&lt;"&amp;EDATE(X$5,1),tblAuftraege[Kostenstelle],$B57))</f>
        <v/>
      </c>
      <c r="Y57" s="27">
        <f>IF($B57="",0,SUMIFS(tblAuftraege[Kalk.
Ausgaben],tblAuftraege[Datum
Ausgaben],"&gt;="&amp;Y$5,tblAuftraege[Datum
Ausgaben],"&lt;"&amp;EDATE(Y$5,1),tblAuftraege[Kostenstelle],$B57))</f>
        <v/>
      </c>
      <c r="Z57" s="27">
        <f>IF($B57="",0,SUMIFS(tblAuftraege[Kalk.
Ausgaben],tblAuftraege[Datum
Ausgaben],"&gt;="&amp;Z$5,tblAuftraege[Datum
Ausgaben],"&lt;"&amp;EDATE(Z$5,1),tblAuftraege[Kostenstelle],$B57))</f>
        <v/>
      </c>
      <c r="AA57" s="27">
        <f>IF($B57="",0,SUMIFS(tblAuftraege[Kalk.
Ausgaben],tblAuftraege[Datum
Ausgaben],"&gt;="&amp;AA$5,tblAuftraege[Datum
Ausgaben],"&lt;"&amp;EDATE(AA$5,1),tblAuftraege[Kostenstelle],$B57))</f>
        <v/>
      </c>
      <c r="AB57" s="27">
        <f>IF($B57="",0,SUMIFS(tblAuftraege[Kalk.
Ausgaben],tblAuftraege[Datum
Ausgaben],"&gt;="&amp;AB$5,tblAuftraege[Datum
Ausgaben],"&lt;"&amp;EDATE(AB$5,1),tblAuftraege[Kostenstelle],$B57))</f>
        <v/>
      </c>
      <c r="AC57" s="27">
        <f>IF($B57="",0,SUMIFS(tblAuftraege[Kalk.
Ausgaben],tblAuftraege[Datum
Ausgaben],"&gt;="&amp;AC$5,tblAuftraege[Datum
Ausgaben],"&lt;"&amp;EDATE(AC$5,1),tblAuftraege[Kostenstelle],$B57))</f>
        <v/>
      </c>
      <c r="AD57" s="27">
        <f>IF($B57="",0,SUMIFS(tblAuftraege[Kalk.
Ausgaben],tblAuftraege[Datum
Ausgaben],"&gt;="&amp;AD$5,tblAuftraege[Datum
Ausgaben],"&lt;"&amp;EDATE(AD$5,1),tblAuftraege[Kostenstelle],$B57))</f>
        <v/>
      </c>
      <c r="AE57" s="27">
        <f>IF($B57="",0,SUMIFS(tblAuftraege[Kalk.
Ausgaben],tblAuftraege[Datum
Ausgaben],"&gt;="&amp;AE$5,tblAuftraege[Datum
Ausgaben],"&lt;"&amp;EDATE(AE$5,1),tblAuftraege[Kostenstelle],$B57))</f>
        <v/>
      </c>
      <c r="AF57" s="27">
        <f>IF($B57="",0,SUMIFS(tblAuftraege[Kalk.
Ausgaben],tblAuftraege[Datum
Ausgaben],"&gt;="&amp;AF$5,tblAuftraege[Datum
Ausgaben],"&lt;"&amp;EDATE(AF$5,1),tblAuftraege[Kostenstelle],$B57))</f>
        <v/>
      </c>
      <c r="AG57" s="27">
        <f>IF($B57="",0,SUMIFS(tblAuftraege[Kalk.
Ausgaben],tblAuftraege[Datum
Ausgaben],"&gt;="&amp;AG$5,tblAuftraege[Datum
Ausgaben],"&lt;"&amp;EDATE(AG$5,1),tblAuftraege[Kostenstelle],$B57))</f>
        <v/>
      </c>
      <c r="AH57" s="27">
        <f>IF($B57="",0,SUMIFS(tblAuftraege[Kalk.
Ausgaben],tblAuftraege[Datum
Ausgaben],"&gt;="&amp;AH$5,tblAuftraege[Datum
Ausgaben],"&lt;"&amp;EDATE(AH$5,1),tblAuftraege[Kostenstelle],$B57))</f>
        <v/>
      </c>
      <c r="AI57" s="27">
        <f>IF($B57="",0,SUMIFS(tblAuftraege[Kalk.
Ausgaben],tblAuftraege[Datum
Ausgaben],"&gt;="&amp;AI$5,tblAuftraege[Datum
Ausgaben],"&lt;"&amp;EDATE(AI$5,1),tblAuftraege[Kostenstelle],$B57))</f>
        <v/>
      </c>
      <c r="AJ57" s="27">
        <f>IF($B57="",0,SUMIFS(tblAuftraege[Kalk.
Ausgaben],tblAuftraege[Datum
Ausgaben],"&gt;="&amp;AJ$5,tblAuftraege[Datum
Ausgaben],"&lt;"&amp;EDATE(AJ$5,1),tblAuftraege[Kostenstelle],$B57))</f>
        <v/>
      </c>
      <c r="AK57" s="27">
        <f>IF($B57="",0,SUMIFS(tblAuftraege[Kalk.
Ausgaben],tblAuftraege[Datum
Ausgaben],"&gt;="&amp;AK$5,tblAuftraege[Datum
Ausgaben],"&lt;"&amp;EDATE(AK$5,1),tblAuftraege[Kostenstelle],$B57))</f>
        <v/>
      </c>
      <c r="AL57" s="27">
        <f>IF($B57="",0,SUMIFS(tblAuftraege[Kalk.
Ausgaben],tblAuftraege[Datum
Ausgaben],"&gt;="&amp;AL$5,tblAuftraege[Datum
Ausgaben],"&lt;"&amp;EDATE(AL$5,1),tblAuftraege[Kostenstelle],$B57))</f>
        <v/>
      </c>
      <c r="AM57" s="27">
        <f>IF($B57="",0,SUMIFS(tblAuftraege[Kalk.
Ausgaben],tblAuftraege[Datum
Ausgaben],"&gt;="&amp;AM$5,tblAuftraege[Datum
Ausgaben],"&lt;"&amp;EDATE(AM$5,1),tblAuftraege[Kostenstelle],$B57))</f>
        <v/>
      </c>
      <c r="AN57" s="27">
        <f>IF($B57="",0,SUMIFS(tblAuftraege[Kalk.
Ausgaben],tblAuftraege[Datum
Ausgaben],"&gt;="&amp;AN$5,tblAuftraege[Datum
Ausgaben],"&lt;"&amp;EDATE(AN$5,1),tblAuftraege[Kostenstelle],$B57))</f>
        <v/>
      </c>
      <c r="AO57" s="27">
        <f>IF($B57="",0,SUMIFS(tblAuftraege[Kalk.
Ausgaben],tblAuftraege[Datum
Ausgaben],"&gt;="&amp;AO$5,tblAuftraege[Datum
Ausgaben],"&lt;"&amp;EDATE(AO$5,1),tblAuftraege[Kostenstelle],$B57))</f>
        <v/>
      </c>
      <c r="AP57" s="27">
        <f>IF($B57="",0,SUMIFS(tblAuftraege[Kalk.
Ausgaben],tblAuftraege[Datum
Ausgaben],"&gt;="&amp;AP$5,tblAuftraege[Datum
Ausgaben],"&lt;"&amp;EDATE(AP$5,1),tblAuftraege[Kostenstelle],$B57))</f>
        <v/>
      </c>
      <c r="AQ57" s="27">
        <f>IF($B57="",0,SUMIFS(tblAuftraege[Kalk.
Ausgaben],tblAuftraege[Datum
Ausgaben],"&gt;="&amp;AQ$5,tblAuftraege[Datum
Ausgaben],"&lt;"&amp;EDATE(AQ$5,1),tblAuftraege[Kostenstelle],$B57))</f>
        <v/>
      </c>
      <c r="AR57" s="27">
        <f>IF($B57="",0,SUMIFS(tblAuftraege[Kalk.
Ausgaben],tblAuftraege[Datum
Ausgaben],"&gt;="&amp;AR$5,tblAuftraege[Datum
Ausgaben],"&lt;"&amp;EDATE(AR$5,1),tblAuftraege[Kostenstelle],$B57))</f>
        <v/>
      </c>
      <c r="AS57" s="27">
        <f>IF($B57="",0,SUMIFS(tblAuftraege[Kalk.
Ausgaben],tblAuftraege[Datum
Ausgaben],"&gt;="&amp;AS$5,tblAuftraege[Datum
Ausgaben],"&lt;"&amp;EDATE(AS$5,1),tblAuftraege[Kostenstelle],$B57))</f>
        <v/>
      </c>
      <c r="AT57" s="27">
        <f>IF($B57="",0,SUMIFS(tblAuftraege[Kalk.
Ausgaben],tblAuftraege[Datum
Ausgaben],"&gt;="&amp;AT$5,tblAuftraege[Datum
Ausgaben],"&lt;"&amp;EDATE(AT$5,1),tblAuftraege[Kostenstelle],$B57))</f>
        <v/>
      </c>
      <c r="AU57" s="27">
        <f>IF($B57="",0,SUMIFS(tblAuftraege[Kalk.
Ausgaben],tblAuftraege[Datum
Ausgaben],"&gt;="&amp;AU$5,tblAuftraege[Datum
Ausgaben],"&lt;"&amp;EDATE(AU$5,1),tblAuftraege[Kostenstelle],$B57))</f>
        <v/>
      </c>
      <c r="AV57" s="27">
        <f>IF($B57="",0,SUMIFS(tblAuftraege[Kalk.
Ausgaben],tblAuftraege[Datum
Ausgaben],"&gt;="&amp;AV$5,tblAuftraege[Datum
Ausgaben],"&lt;"&amp;EDATE(AV$5,1),tblAuftraege[Kostenstelle],$B57))</f>
        <v/>
      </c>
      <c r="AW57" s="27">
        <f>IF($B57="",0,SUMIFS(tblAuftraege[Kalk.
Ausgaben],tblAuftraege[Datum
Ausgaben],"&gt;="&amp;AW$5,tblAuftraege[Datum
Ausgaben],"&lt;"&amp;EDATE(AW$5,1),tblAuftraege[Kostenstelle],$B57))</f>
        <v/>
      </c>
      <c r="AX57" s="27">
        <f>IF($B57="",0,SUMIFS(tblAuftraege[Kalk.
Ausgaben],tblAuftraege[Datum
Ausgaben],"&gt;="&amp;AX$5,tblAuftraege[Datum
Ausgaben],"&lt;"&amp;EDATE(AX$5,1),tblAuftraege[Kostenstelle],$B57))</f>
        <v/>
      </c>
      <c r="AY57" s="27">
        <f>IF($B57="",0,SUMIFS(tblAuftraege[Kalk.
Ausgaben],tblAuftraege[Datum
Ausgaben],"&gt;="&amp;AY$5,tblAuftraege[Datum
Ausgaben],"&lt;"&amp;EDATE(AY$5,1),tblAuftraege[Kostenstelle],$B57))</f>
        <v/>
      </c>
      <c r="AZ57" s="27">
        <f>IF($B57="",0,SUMIFS(tblAuftraege[Kalk.
Ausgaben],tblAuftraege[Datum
Ausgaben],"&gt;="&amp;AZ$5,tblAuftraege[Datum
Ausgaben],"&lt;"&amp;EDATE(AZ$5,1),tblAuftraege[Kostenstelle],$B57))</f>
        <v/>
      </c>
      <c r="BA57" s="27">
        <f>IF($B57="",0,SUMIFS(tblAuftraege[Kalk.
Ausgaben],tblAuftraege[Datum
Ausgaben],"&gt;="&amp;BA$5,tblAuftraege[Datum
Ausgaben],"&lt;"&amp;EDATE(BA$5,1),tblAuftraege[Kostenstelle],$B57))</f>
        <v/>
      </c>
      <c r="BB57" s="27">
        <f>IF($B57="",0,SUMIFS(tblAuftraege[Kalk.
Ausgaben],tblAuftraege[Datum
Ausgaben],"&gt;="&amp;BB$5,tblAuftraege[Datum
Ausgaben],"&lt;"&amp;EDATE(BB$5,1),tblAuftraege[Kostenstelle],$B57))</f>
        <v/>
      </c>
      <c r="BC57" s="27">
        <f>IF($B57="",0,SUMIFS(tblAuftraege[Kalk.
Ausgaben],tblAuftraege[Datum
Ausgaben],"&gt;="&amp;BC$5,tblAuftraege[Datum
Ausgaben],"&lt;"&amp;EDATE(BC$5,1),tblAuftraege[Kostenstelle],$B57))</f>
        <v/>
      </c>
      <c r="BD57" s="27">
        <f>IF($B57="",0,SUMIFS(tblAuftraege[Kalk.
Ausgaben],tblAuftraege[Datum
Ausgaben],"&gt;="&amp;BD$5,tblAuftraege[Datum
Ausgaben],"&lt;"&amp;EDATE(BD$5,1),tblAuftraege[Kostenstelle],$B57))</f>
        <v/>
      </c>
      <c r="BE57" s="27">
        <f>SUM(C57:H57)</f>
        <v/>
      </c>
      <c r="BF57" s="27">
        <f>SUM(I57:T57)</f>
        <v/>
      </c>
      <c r="BG57" s="27">
        <f>SUM(U57:AF57)</f>
        <v/>
      </c>
      <c r="BH57" s="27">
        <f>SUM(AG57:AR57)</f>
        <v/>
      </c>
      <c r="BI57" s="27">
        <f>SUM(AS57:BD57)</f>
        <v/>
      </c>
      <c r="BJ57" s="27">
        <f>SUM(C57:BD57)</f>
        <v/>
      </c>
    </row>
    <row r="58">
      <c r="A58" s="34" t="n"/>
      <c r="B58" s="49">
        <f>IF(ISBLANK(B24),"",B24)</f>
        <v/>
      </c>
      <c r="C58" s="27">
        <f>IF($B58="",0,SUMIFS(tblAuftraege[Kalk.
Ausgaben],tblAuftraege[Datum
Ausgaben],"&gt;="&amp;C$5,tblAuftraege[Datum
Ausgaben],"&lt;"&amp;EDATE(C$5,1),tblAuftraege[Kostenstelle],$B58))</f>
        <v/>
      </c>
      <c r="D58" s="27">
        <f>IF($B58="",0,SUMIFS(tblAuftraege[Kalk.
Ausgaben],tblAuftraege[Datum
Ausgaben],"&gt;="&amp;D$5,tblAuftraege[Datum
Ausgaben],"&lt;"&amp;EDATE(D$5,1),tblAuftraege[Kostenstelle],$B58))</f>
        <v/>
      </c>
      <c r="E58" s="27">
        <f>IF($B58="",0,SUMIFS(tblAuftraege[Kalk.
Ausgaben],tblAuftraege[Datum
Ausgaben],"&gt;="&amp;E$5,tblAuftraege[Datum
Ausgaben],"&lt;"&amp;EDATE(E$5,1),tblAuftraege[Kostenstelle],$B58))</f>
        <v/>
      </c>
      <c r="F58" s="27">
        <f>IF($B58="",0,SUMIFS(tblAuftraege[Kalk.
Ausgaben],tblAuftraege[Datum
Ausgaben],"&gt;="&amp;F$5,tblAuftraege[Datum
Ausgaben],"&lt;"&amp;EDATE(F$5,1),tblAuftraege[Kostenstelle],$B58))</f>
        <v/>
      </c>
      <c r="G58" s="27">
        <f>IF($B58="",0,SUMIFS(tblAuftraege[Kalk.
Ausgaben],tblAuftraege[Datum
Ausgaben],"&gt;="&amp;G$5,tblAuftraege[Datum
Ausgaben],"&lt;"&amp;EDATE(G$5,1),tblAuftraege[Kostenstelle],$B58))</f>
        <v/>
      </c>
      <c r="H58" s="27">
        <f>IF($B58="",0,SUMIFS(tblAuftraege[Kalk.
Ausgaben],tblAuftraege[Datum
Ausgaben],"&gt;="&amp;H$5,tblAuftraege[Datum
Ausgaben],"&lt;"&amp;EDATE(H$5,1),tblAuftraege[Kostenstelle],$B58))</f>
        <v/>
      </c>
      <c r="I58" s="27">
        <f>IF($B58="",0,SUMIFS(tblAuftraege[Kalk.
Ausgaben],tblAuftraege[Datum
Ausgaben],"&gt;="&amp;I$5,tblAuftraege[Datum
Ausgaben],"&lt;"&amp;EDATE(I$5,1),tblAuftraege[Kostenstelle],$B58))</f>
        <v/>
      </c>
      <c r="J58" s="27">
        <f>IF($B58="",0,SUMIFS(tblAuftraege[Kalk.
Ausgaben],tblAuftraege[Datum
Ausgaben],"&gt;="&amp;J$5,tblAuftraege[Datum
Ausgaben],"&lt;"&amp;EDATE(J$5,1),tblAuftraege[Kostenstelle],$B58))</f>
        <v/>
      </c>
      <c r="K58" s="27">
        <f>IF($B58="",0,SUMIFS(tblAuftraege[Kalk.
Ausgaben],tblAuftraege[Datum
Ausgaben],"&gt;="&amp;K$5,tblAuftraege[Datum
Ausgaben],"&lt;"&amp;EDATE(K$5,1),tblAuftraege[Kostenstelle],$B58))</f>
        <v/>
      </c>
      <c r="L58" s="27">
        <f>IF($B58="",0,SUMIFS(tblAuftraege[Kalk.
Ausgaben],tblAuftraege[Datum
Ausgaben],"&gt;="&amp;L$5,tblAuftraege[Datum
Ausgaben],"&lt;"&amp;EDATE(L$5,1),tblAuftraege[Kostenstelle],$B58))</f>
        <v/>
      </c>
      <c r="M58" s="27">
        <f>IF($B58="",0,SUMIFS(tblAuftraege[Kalk.
Ausgaben],tblAuftraege[Datum
Ausgaben],"&gt;="&amp;M$5,tblAuftraege[Datum
Ausgaben],"&lt;"&amp;EDATE(M$5,1),tblAuftraege[Kostenstelle],$B58))</f>
        <v/>
      </c>
      <c r="N58" s="27">
        <f>IF($B58="",0,SUMIFS(tblAuftraege[Kalk.
Ausgaben],tblAuftraege[Datum
Ausgaben],"&gt;="&amp;N$5,tblAuftraege[Datum
Ausgaben],"&lt;"&amp;EDATE(N$5,1),tblAuftraege[Kostenstelle],$B58))</f>
        <v/>
      </c>
      <c r="O58" s="27">
        <f>IF($B58="",0,SUMIFS(tblAuftraege[Kalk.
Ausgaben],tblAuftraege[Datum
Ausgaben],"&gt;="&amp;O$5,tblAuftraege[Datum
Ausgaben],"&lt;"&amp;EDATE(O$5,1),tblAuftraege[Kostenstelle],$B58))</f>
        <v/>
      </c>
      <c r="P58" s="27">
        <f>IF($B58="",0,SUMIFS(tblAuftraege[Kalk.
Ausgaben],tblAuftraege[Datum
Ausgaben],"&gt;="&amp;P$5,tblAuftraege[Datum
Ausgaben],"&lt;"&amp;EDATE(P$5,1),tblAuftraege[Kostenstelle],$B58))</f>
        <v/>
      </c>
      <c r="Q58" s="27">
        <f>IF($B58="",0,SUMIFS(tblAuftraege[Kalk.
Ausgaben],tblAuftraege[Datum
Ausgaben],"&gt;="&amp;Q$5,tblAuftraege[Datum
Ausgaben],"&lt;"&amp;EDATE(Q$5,1),tblAuftraege[Kostenstelle],$B58))</f>
        <v/>
      </c>
      <c r="R58" s="27">
        <f>IF($B58="",0,SUMIFS(tblAuftraege[Kalk.
Ausgaben],tblAuftraege[Datum
Ausgaben],"&gt;="&amp;R$5,tblAuftraege[Datum
Ausgaben],"&lt;"&amp;EDATE(R$5,1),tblAuftraege[Kostenstelle],$B58))</f>
        <v/>
      </c>
      <c r="S58" s="27">
        <f>IF($B58="",0,SUMIFS(tblAuftraege[Kalk.
Ausgaben],tblAuftraege[Datum
Ausgaben],"&gt;="&amp;S$5,tblAuftraege[Datum
Ausgaben],"&lt;"&amp;EDATE(S$5,1),tblAuftraege[Kostenstelle],$B58))</f>
        <v/>
      </c>
      <c r="T58" s="27">
        <f>IF($B58="",0,SUMIFS(tblAuftraege[Kalk.
Ausgaben],tblAuftraege[Datum
Ausgaben],"&gt;="&amp;T$5,tblAuftraege[Datum
Ausgaben],"&lt;"&amp;EDATE(T$5,1),tblAuftraege[Kostenstelle],$B58))</f>
        <v/>
      </c>
      <c r="U58" s="27">
        <f>IF($B58="",0,SUMIFS(tblAuftraege[Kalk.
Ausgaben],tblAuftraege[Datum
Ausgaben],"&gt;="&amp;U$5,tblAuftraege[Datum
Ausgaben],"&lt;"&amp;EDATE(U$5,1),tblAuftraege[Kostenstelle],$B58))</f>
        <v/>
      </c>
      <c r="V58" s="27">
        <f>IF($B58="",0,SUMIFS(tblAuftraege[Kalk.
Ausgaben],tblAuftraege[Datum
Ausgaben],"&gt;="&amp;V$5,tblAuftraege[Datum
Ausgaben],"&lt;"&amp;EDATE(V$5,1),tblAuftraege[Kostenstelle],$B58))</f>
        <v/>
      </c>
      <c r="W58" s="27">
        <f>IF($B58="",0,SUMIFS(tblAuftraege[Kalk.
Ausgaben],tblAuftraege[Datum
Ausgaben],"&gt;="&amp;W$5,tblAuftraege[Datum
Ausgaben],"&lt;"&amp;EDATE(W$5,1),tblAuftraege[Kostenstelle],$B58))</f>
        <v/>
      </c>
      <c r="X58" s="27">
        <f>IF($B58="",0,SUMIFS(tblAuftraege[Kalk.
Ausgaben],tblAuftraege[Datum
Ausgaben],"&gt;="&amp;X$5,tblAuftraege[Datum
Ausgaben],"&lt;"&amp;EDATE(X$5,1),tblAuftraege[Kostenstelle],$B58))</f>
        <v/>
      </c>
      <c r="Y58" s="27">
        <f>IF($B58="",0,SUMIFS(tblAuftraege[Kalk.
Ausgaben],tblAuftraege[Datum
Ausgaben],"&gt;="&amp;Y$5,tblAuftraege[Datum
Ausgaben],"&lt;"&amp;EDATE(Y$5,1),tblAuftraege[Kostenstelle],$B58))</f>
        <v/>
      </c>
      <c r="Z58" s="27">
        <f>IF($B58="",0,SUMIFS(tblAuftraege[Kalk.
Ausgaben],tblAuftraege[Datum
Ausgaben],"&gt;="&amp;Z$5,tblAuftraege[Datum
Ausgaben],"&lt;"&amp;EDATE(Z$5,1),tblAuftraege[Kostenstelle],$B58))</f>
        <v/>
      </c>
      <c r="AA58" s="27">
        <f>IF($B58="",0,SUMIFS(tblAuftraege[Kalk.
Ausgaben],tblAuftraege[Datum
Ausgaben],"&gt;="&amp;AA$5,tblAuftraege[Datum
Ausgaben],"&lt;"&amp;EDATE(AA$5,1),tblAuftraege[Kostenstelle],$B58))</f>
        <v/>
      </c>
      <c r="AB58" s="27">
        <f>IF($B58="",0,SUMIFS(tblAuftraege[Kalk.
Ausgaben],tblAuftraege[Datum
Ausgaben],"&gt;="&amp;AB$5,tblAuftraege[Datum
Ausgaben],"&lt;"&amp;EDATE(AB$5,1),tblAuftraege[Kostenstelle],$B58))</f>
        <v/>
      </c>
      <c r="AC58" s="27">
        <f>IF($B58="",0,SUMIFS(tblAuftraege[Kalk.
Ausgaben],tblAuftraege[Datum
Ausgaben],"&gt;="&amp;AC$5,tblAuftraege[Datum
Ausgaben],"&lt;"&amp;EDATE(AC$5,1),tblAuftraege[Kostenstelle],$B58))</f>
        <v/>
      </c>
      <c r="AD58" s="27">
        <f>IF($B58="",0,SUMIFS(tblAuftraege[Kalk.
Ausgaben],tblAuftraege[Datum
Ausgaben],"&gt;="&amp;AD$5,tblAuftraege[Datum
Ausgaben],"&lt;"&amp;EDATE(AD$5,1),tblAuftraege[Kostenstelle],$B58))</f>
        <v/>
      </c>
      <c r="AE58" s="27">
        <f>IF($B58="",0,SUMIFS(tblAuftraege[Kalk.
Ausgaben],tblAuftraege[Datum
Ausgaben],"&gt;="&amp;AE$5,tblAuftraege[Datum
Ausgaben],"&lt;"&amp;EDATE(AE$5,1),tblAuftraege[Kostenstelle],$B58))</f>
        <v/>
      </c>
      <c r="AF58" s="27">
        <f>IF($B58="",0,SUMIFS(tblAuftraege[Kalk.
Ausgaben],tblAuftraege[Datum
Ausgaben],"&gt;="&amp;AF$5,tblAuftraege[Datum
Ausgaben],"&lt;"&amp;EDATE(AF$5,1),tblAuftraege[Kostenstelle],$B58))</f>
        <v/>
      </c>
      <c r="AG58" s="27">
        <f>IF($B58="",0,SUMIFS(tblAuftraege[Kalk.
Ausgaben],tblAuftraege[Datum
Ausgaben],"&gt;="&amp;AG$5,tblAuftraege[Datum
Ausgaben],"&lt;"&amp;EDATE(AG$5,1),tblAuftraege[Kostenstelle],$B58))</f>
        <v/>
      </c>
      <c r="AH58" s="27">
        <f>IF($B58="",0,SUMIFS(tblAuftraege[Kalk.
Ausgaben],tblAuftraege[Datum
Ausgaben],"&gt;="&amp;AH$5,tblAuftraege[Datum
Ausgaben],"&lt;"&amp;EDATE(AH$5,1),tblAuftraege[Kostenstelle],$B58))</f>
        <v/>
      </c>
      <c r="AI58" s="27">
        <f>IF($B58="",0,SUMIFS(tblAuftraege[Kalk.
Ausgaben],tblAuftraege[Datum
Ausgaben],"&gt;="&amp;AI$5,tblAuftraege[Datum
Ausgaben],"&lt;"&amp;EDATE(AI$5,1),tblAuftraege[Kostenstelle],$B58))</f>
        <v/>
      </c>
      <c r="AJ58" s="27">
        <f>IF($B58="",0,SUMIFS(tblAuftraege[Kalk.
Ausgaben],tblAuftraege[Datum
Ausgaben],"&gt;="&amp;AJ$5,tblAuftraege[Datum
Ausgaben],"&lt;"&amp;EDATE(AJ$5,1),tblAuftraege[Kostenstelle],$B58))</f>
        <v/>
      </c>
      <c r="AK58" s="27">
        <f>IF($B58="",0,SUMIFS(tblAuftraege[Kalk.
Ausgaben],tblAuftraege[Datum
Ausgaben],"&gt;="&amp;AK$5,tblAuftraege[Datum
Ausgaben],"&lt;"&amp;EDATE(AK$5,1),tblAuftraege[Kostenstelle],$B58))</f>
        <v/>
      </c>
      <c r="AL58" s="27">
        <f>IF($B58="",0,SUMIFS(tblAuftraege[Kalk.
Ausgaben],tblAuftraege[Datum
Ausgaben],"&gt;="&amp;AL$5,tblAuftraege[Datum
Ausgaben],"&lt;"&amp;EDATE(AL$5,1),tblAuftraege[Kostenstelle],$B58))</f>
        <v/>
      </c>
      <c r="AM58" s="27">
        <f>IF($B58="",0,SUMIFS(tblAuftraege[Kalk.
Ausgaben],tblAuftraege[Datum
Ausgaben],"&gt;="&amp;AM$5,tblAuftraege[Datum
Ausgaben],"&lt;"&amp;EDATE(AM$5,1),tblAuftraege[Kostenstelle],$B58))</f>
        <v/>
      </c>
      <c r="AN58" s="27">
        <f>IF($B58="",0,SUMIFS(tblAuftraege[Kalk.
Ausgaben],tblAuftraege[Datum
Ausgaben],"&gt;="&amp;AN$5,tblAuftraege[Datum
Ausgaben],"&lt;"&amp;EDATE(AN$5,1),tblAuftraege[Kostenstelle],$B58))</f>
        <v/>
      </c>
      <c r="AO58" s="27">
        <f>IF($B58="",0,SUMIFS(tblAuftraege[Kalk.
Ausgaben],tblAuftraege[Datum
Ausgaben],"&gt;="&amp;AO$5,tblAuftraege[Datum
Ausgaben],"&lt;"&amp;EDATE(AO$5,1),tblAuftraege[Kostenstelle],$B58))</f>
        <v/>
      </c>
      <c r="AP58" s="27">
        <f>IF($B58="",0,SUMIFS(tblAuftraege[Kalk.
Ausgaben],tblAuftraege[Datum
Ausgaben],"&gt;="&amp;AP$5,tblAuftraege[Datum
Ausgaben],"&lt;"&amp;EDATE(AP$5,1),tblAuftraege[Kostenstelle],$B58))</f>
        <v/>
      </c>
      <c r="AQ58" s="27">
        <f>IF($B58="",0,SUMIFS(tblAuftraege[Kalk.
Ausgaben],tblAuftraege[Datum
Ausgaben],"&gt;="&amp;AQ$5,tblAuftraege[Datum
Ausgaben],"&lt;"&amp;EDATE(AQ$5,1),tblAuftraege[Kostenstelle],$B58))</f>
        <v/>
      </c>
      <c r="AR58" s="27">
        <f>IF($B58="",0,SUMIFS(tblAuftraege[Kalk.
Ausgaben],tblAuftraege[Datum
Ausgaben],"&gt;="&amp;AR$5,tblAuftraege[Datum
Ausgaben],"&lt;"&amp;EDATE(AR$5,1),tblAuftraege[Kostenstelle],$B58))</f>
        <v/>
      </c>
      <c r="AS58" s="27">
        <f>IF($B58="",0,SUMIFS(tblAuftraege[Kalk.
Ausgaben],tblAuftraege[Datum
Ausgaben],"&gt;="&amp;AS$5,tblAuftraege[Datum
Ausgaben],"&lt;"&amp;EDATE(AS$5,1),tblAuftraege[Kostenstelle],$B58))</f>
        <v/>
      </c>
      <c r="AT58" s="27">
        <f>IF($B58="",0,SUMIFS(tblAuftraege[Kalk.
Ausgaben],tblAuftraege[Datum
Ausgaben],"&gt;="&amp;AT$5,tblAuftraege[Datum
Ausgaben],"&lt;"&amp;EDATE(AT$5,1),tblAuftraege[Kostenstelle],$B58))</f>
        <v/>
      </c>
      <c r="AU58" s="27">
        <f>IF($B58="",0,SUMIFS(tblAuftraege[Kalk.
Ausgaben],tblAuftraege[Datum
Ausgaben],"&gt;="&amp;AU$5,tblAuftraege[Datum
Ausgaben],"&lt;"&amp;EDATE(AU$5,1),tblAuftraege[Kostenstelle],$B58))</f>
        <v/>
      </c>
      <c r="AV58" s="27">
        <f>IF($B58="",0,SUMIFS(tblAuftraege[Kalk.
Ausgaben],tblAuftraege[Datum
Ausgaben],"&gt;="&amp;AV$5,tblAuftraege[Datum
Ausgaben],"&lt;"&amp;EDATE(AV$5,1),tblAuftraege[Kostenstelle],$B58))</f>
        <v/>
      </c>
      <c r="AW58" s="27">
        <f>IF($B58="",0,SUMIFS(tblAuftraege[Kalk.
Ausgaben],tblAuftraege[Datum
Ausgaben],"&gt;="&amp;AW$5,tblAuftraege[Datum
Ausgaben],"&lt;"&amp;EDATE(AW$5,1),tblAuftraege[Kostenstelle],$B58))</f>
        <v/>
      </c>
      <c r="AX58" s="27">
        <f>IF($B58="",0,SUMIFS(tblAuftraege[Kalk.
Ausgaben],tblAuftraege[Datum
Ausgaben],"&gt;="&amp;AX$5,tblAuftraege[Datum
Ausgaben],"&lt;"&amp;EDATE(AX$5,1),tblAuftraege[Kostenstelle],$B58))</f>
        <v/>
      </c>
      <c r="AY58" s="27">
        <f>IF($B58="",0,SUMIFS(tblAuftraege[Kalk.
Ausgaben],tblAuftraege[Datum
Ausgaben],"&gt;="&amp;AY$5,tblAuftraege[Datum
Ausgaben],"&lt;"&amp;EDATE(AY$5,1),tblAuftraege[Kostenstelle],$B58))</f>
        <v/>
      </c>
      <c r="AZ58" s="27">
        <f>IF($B58="",0,SUMIFS(tblAuftraege[Kalk.
Ausgaben],tblAuftraege[Datum
Ausgaben],"&gt;="&amp;AZ$5,tblAuftraege[Datum
Ausgaben],"&lt;"&amp;EDATE(AZ$5,1),tblAuftraege[Kostenstelle],$B58))</f>
        <v/>
      </c>
      <c r="BA58" s="27">
        <f>IF($B58="",0,SUMIFS(tblAuftraege[Kalk.
Ausgaben],tblAuftraege[Datum
Ausgaben],"&gt;="&amp;BA$5,tblAuftraege[Datum
Ausgaben],"&lt;"&amp;EDATE(BA$5,1),tblAuftraege[Kostenstelle],$B58))</f>
        <v/>
      </c>
      <c r="BB58" s="27">
        <f>IF($B58="",0,SUMIFS(tblAuftraege[Kalk.
Ausgaben],tblAuftraege[Datum
Ausgaben],"&gt;="&amp;BB$5,tblAuftraege[Datum
Ausgaben],"&lt;"&amp;EDATE(BB$5,1),tblAuftraege[Kostenstelle],$B58))</f>
        <v/>
      </c>
      <c r="BC58" s="27">
        <f>IF($B58="",0,SUMIFS(tblAuftraege[Kalk.
Ausgaben],tblAuftraege[Datum
Ausgaben],"&gt;="&amp;BC$5,tblAuftraege[Datum
Ausgaben],"&lt;"&amp;EDATE(BC$5,1),tblAuftraege[Kostenstelle],$B58))</f>
        <v/>
      </c>
      <c r="BD58" s="27">
        <f>IF($B58="",0,SUMIFS(tblAuftraege[Kalk.
Ausgaben],tblAuftraege[Datum
Ausgaben],"&gt;="&amp;BD$5,tblAuftraege[Datum
Ausgaben],"&lt;"&amp;EDATE(BD$5,1),tblAuftraege[Kostenstelle],$B58))</f>
        <v/>
      </c>
      <c r="BE58" s="27">
        <f>SUM(C58:H58)</f>
        <v/>
      </c>
      <c r="BF58" s="27">
        <f>SUM(I58:T58)</f>
        <v/>
      </c>
      <c r="BG58" s="27">
        <f>SUM(U58:AF58)</f>
        <v/>
      </c>
      <c r="BH58" s="27">
        <f>SUM(AG58:AR58)</f>
        <v/>
      </c>
      <c r="BI58" s="27">
        <f>SUM(AS58:BD58)</f>
        <v/>
      </c>
      <c r="BJ58" s="27">
        <f>SUM(C58:BD58)</f>
        <v/>
      </c>
    </row>
    <row r="59">
      <c r="A59" s="34" t="n"/>
      <c r="B59" s="49">
        <f>IF(ISBLANK(B25),"",B25)</f>
        <v/>
      </c>
      <c r="C59" s="27">
        <f>IF($B59="",0,SUMIFS(tblAuftraege[Kalk.
Ausgaben],tblAuftraege[Datum
Ausgaben],"&gt;="&amp;C$5,tblAuftraege[Datum
Ausgaben],"&lt;"&amp;EDATE(C$5,1),tblAuftraege[Kostenstelle],$B59))</f>
        <v/>
      </c>
      <c r="D59" s="27">
        <f>IF($B59="",0,SUMIFS(tblAuftraege[Kalk.
Ausgaben],tblAuftraege[Datum
Ausgaben],"&gt;="&amp;D$5,tblAuftraege[Datum
Ausgaben],"&lt;"&amp;EDATE(D$5,1),tblAuftraege[Kostenstelle],$B59))</f>
        <v/>
      </c>
      <c r="E59" s="27">
        <f>IF($B59="",0,SUMIFS(tblAuftraege[Kalk.
Ausgaben],tblAuftraege[Datum
Ausgaben],"&gt;="&amp;E$5,tblAuftraege[Datum
Ausgaben],"&lt;"&amp;EDATE(E$5,1),tblAuftraege[Kostenstelle],$B59))</f>
        <v/>
      </c>
      <c r="F59" s="27">
        <f>IF($B59="",0,SUMIFS(tblAuftraege[Kalk.
Ausgaben],tblAuftraege[Datum
Ausgaben],"&gt;="&amp;F$5,tblAuftraege[Datum
Ausgaben],"&lt;"&amp;EDATE(F$5,1),tblAuftraege[Kostenstelle],$B59))</f>
        <v/>
      </c>
      <c r="G59" s="27">
        <f>IF($B59="",0,SUMIFS(tblAuftraege[Kalk.
Ausgaben],tblAuftraege[Datum
Ausgaben],"&gt;="&amp;G$5,tblAuftraege[Datum
Ausgaben],"&lt;"&amp;EDATE(G$5,1),tblAuftraege[Kostenstelle],$B59))</f>
        <v/>
      </c>
      <c r="H59" s="27">
        <f>IF($B59="",0,SUMIFS(tblAuftraege[Kalk.
Ausgaben],tblAuftraege[Datum
Ausgaben],"&gt;="&amp;H$5,tblAuftraege[Datum
Ausgaben],"&lt;"&amp;EDATE(H$5,1),tblAuftraege[Kostenstelle],$B59))</f>
        <v/>
      </c>
      <c r="I59" s="27">
        <f>IF($B59="",0,SUMIFS(tblAuftraege[Kalk.
Ausgaben],tblAuftraege[Datum
Ausgaben],"&gt;="&amp;I$5,tblAuftraege[Datum
Ausgaben],"&lt;"&amp;EDATE(I$5,1),tblAuftraege[Kostenstelle],$B59))</f>
        <v/>
      </c>
      <c r="J59" s="27">
        <f>IF($B59="",0,SUMIFS(tblAuftraege[Kalk.
Ausgaben],tblAuftraege[Datum
Ausgaben],"&gt;="&amp;J$5,tblAuftraege[Datum
Ausgaben],"&lt;"&amp;EDATE(J$5,1),tblAuftraege[Kostenstelle],$B59))</f>
        <v/>
      </c>
      <c r="K59" s="27">
        <f>IF($B59="",0,SUMIFS(tblAuftraege[Kalk.
Ausgaben],tblAuftraege[Datum
Ausgaben],"&gt;="&amp;K$5,tblAuftraege[Datum
Ausgaben],"&lt;"&amp;EDATE(K$5,1),tblAuftraege[Kostenstelle],$B59))</f>
        <v/>
      </c>
      <c r="L59" s="27">
        <f>IF($B59="",0,SUMIFS(tblAuftraege[Kalk.
Ausgaben],tblAuftraege[Datum
Ausgaben],"&gt;="&amp;L$5,tblAuftraege[Datum
Ausgaben],"&lt;"&amp;EDATE(L$5,1),tblAuftraege[Kostenstelle],$B59))</f>
        <v/>
      </c>
      <c r="M59" s="27">
        <f>IF($B59="",0,SUMIFS(tblAuftraege[Kalk.
Ausgaben],tblAuftraege[Datum
Ausgaben],"&gt;="&amp;M$5,tblAuftraege[Datum
Ausgaben],"&lt;"&amp;EDATE(M$5,1),tblAuftraege[Kostenstelle],$B59))</f>
        <v/>
      </c>
      <c r="N59" s="27">
        <f>IF($B59="",0,SUMIFS(tblAuftraege[Kalk.
Ausgaben],tblAuftraege[Datum
Ausgaben],"&gt;="&amp;N$5,tblAuftraege[Datum
Ausgaben],"&lt;"&amp;EDATE(N$5,1),tblAuftraege[Kostenstelle],$B59))</f>
        <v/>
      </c>
      <c r="O59" s="27">
        <f>IF($B59="",0,SUMIFS(tblAuftraege[Kalk.
Ausgaben],tblAuftraege[Datum
Ausgaben],"&gt;="&amp;O$5,tblAuftraege[Datum
Ausgaben],"&lt;"&amp;EDATE(O$5,1),tblAuftraege[Kostenstelle],$B59))</f>
        <v/>
      </c>
      <c r="P59" s="27">
        <f>IF($B59="",0,SUMIFS(tblAuftraege[Kalk.
Ausgaben],tblAuftraege[Datum
Ausgaben],"&gt;="&amp;P$5,tblAuftraege[Datum
Ausgaben],"&lt;"&amp;EDATE(P$5,1),tblAuftraege[Kostenstelle],$B59))</f>
        <v/>
      </c>
      <c r="Q59" s="27">
        <f>IF($B59="",0,SUMIFS(tblAuftraege[Kalk.
Ausgaben],tblAuftraege[Datum
Ausgaben],"&gt;="&amp;Q$5,tblAuftraege[Datum
Ausgaben],"&lt;"&amp;EDATE(Q$5,1),tblAuftraege[Kostenstelle],$B59))</f>
        <v/>
      </c>
      <c r="R59" s="27">
        <f>IF($B59="",0,SUMIFS(tblAuftraege[Kalk.
Ausgaben],tblAuftraege[Datum
Ausgaben],"&gt;="&amp;R$5,tblAuftraege[Datum
Ausgaben],"&lt;"&amp;EDATE(R$5,1),tblAuftraege[Kostenstelle],$B59))</f>
        <v/>
      </c>
      <c r="S59" s="27">
        <f>IF($B59="",0,SUMIFS(tblAuftraege[Kalk.
Ausgaben],tblAuftraege[Datum
Ausgaben],"&gt;="&amp;S$5,tblAuftraege[Datum
Ausgaben],"&lt;"&amp;EDATE(S$5,1),tblAuftraege[Kostenstelle],$B59))</f>
        <v/>
      </c>
      <c r="T59" s="27">
        <f>IF($B59="",0,SUMIFS(tblAuftraege[Kalk.
Ausgaben],tblAuftraege[Datum
Ausgaben],"&gt;="&amp;T$5,tblAuftraege[Datum
Ausgaben],"&lt;"&amp;EDATE(T$5,1),tblAuftraege[Kostenstelle],$B59))</f>
        <v/>
      </c>
      <c r="U59" s="27">
        <f>IF($B59="",0,SUMIFS(tblAuftraege[Kalk.
Ausgaben],tblAuftraege[Datum
Ausgaben],"&gt;="&amp;U$5,tblAuftraege[Datum
Ausgaben],"&lt;"&amp;EDATE(U$5,1),tblAuftraege[Kostenstelle],$B59))</f>
        <v/>
      </c>
      <c r="V59" s="27">
        <f>IF($B59="",0,SUMIFS(tblAuftraege[Kalk.
Ausgaben],tblAuftraege[Datum
Ausgaben],"&gt;="&amp;V$5,tblAuftraege[Datum
Ausgaben],"&lt;"&amp;EDATE(V$5,1),tblAuftraege[Kostenstelle],$B59))</f>
        <v/>
      </c>
      <c r="W59" s="27">
        <f>IF($B59="",0,SUMIFS(tblAuftraege[Kalk.
Ausgaben],tblAuftraege[Datum
Ausgaben],"&gt;="&amp;W$5,tblAuftraege[Datum
Ausgaben],"&lt;"&amp;EDATE(W$5,1),tblAuftraege[Kostenstelle],$B59))</f>
        <v/>
      </c>
      <c r="X59" s="27">
        <f>IF($B59="",0,SUMIFS(tblAuftraege[Kalk.
Ausgaben],tblAuftraege[Datum
Ausgaben],"&gt;="&amp;X$5,tblAuftraege[Datum
Ausgaben],"&lt;"&amp;EDATE(X$5,1),tblAuftraege[Kostenstelle],$B59))</f>
        <v/>
      </c>
      <c r="Y59" s="27">
        <f>IF($B59="",0,SUMIFS(tblAuftraege[Kalk.
Ausgaben],tblAuftraege[Datum
Ausgaben],"&gt;="&amp;Y$5,tblAuftraege[Datum
Ausgaben],"&lt;"&amp;EDATE(Y$5,1),tblAuftraege[Kostenstelle],$B59))</f>
        <v/>
      </c>
      <c r="Z59" s="27">
        <f>IF($B59="",0,SUMIFS(tblAuftraege[Kalk.
Ausgaben],tblAuftraege[Datum
Ausgaben],"&gt;="&amp;Z$5,tblAuftraege[Datum
Ausgaben],"&lt;"&amp;EDATE(Z$5,1),tblAuftraege[Kostenstelle],$B59))</f>
        <v/>
      </c>
      <c r="AA59" s="27">
        <f>IF($B59="",0,SUMIFS(tblAuftraege[Kalk.
Ausgaben],tblAuftraege[Datum
Ausgaben],"&gt;="&amp;AA$5,tblAuftraege[Datum
Ausgaben],"&lt;"&amp;EDATE(AA$5,1),tblAuftraege[Kostenstelle],$B59))</f>
        <v/>
      </c>
      <c r="AB59" s="27">
        <f>IF($B59="",0,SUMIFS(tblAuftraege[Kalk.
Ausgaben],tblAuftraege[Datum
Ausgaben],"&gt;="&amp;AB$5,tblAuftraege[Datum
Ausgaben],"&lt;"&amp;EDATE(AB$5,1),tblAuftraege[Kostenstelle],$B59))</f>
        <v/>
      </c>
      <c r="AC59" s="27">
        <f>IF($B59="",0,SUMIFS(tblAuftraege[Kalk.
Ausgaben],tblAuftraege[Datum
Ausgaben],"&gt;="&amp;AC$5,tblAuftraege[Datum
Ausgaben],"&lt;"&amp;EDATE(AC$5,1),tblAuftraege[Kostenstelle],$B59))</f>
        <v/>
      </c>
      <c r="AD59" s="27">
        <f>IF($B59="",0,SUMIFS(tblAuftraege[Kalk.
Ausgaben],tblAuftraege[Datum
Ausgaben],"&gt;="&amp;AD$5,tblAuftraege[Datum
Ausgaben],"&lt;"&amp;EDATE(AD$5,1),tblAuftraege[Kostenstelle],$B59))</f>
        <v/>
      </c>
      <c r="AE59" s="27">
        <f>IF($B59="",0,SUMIFS(tblAuftraege[Kalk.
Ausgaben],tblAuftraege[Datum
Ausgaben],"&gt;="&amp;AE$5,tblAuftraege[Datum
Ausgaben],"&lt;"&amp;EDATE(AE$5,1),tblAuftraege[Kostenstelle],$B59))</f>
        <v/>
      </c>
      <c r="AF59" s="27">
        <f>IF($B59="",0,SUMIFS(tblAuftraege[Kalk.
Ausgaben],tblAuftraege[Datum
Ausgaben],"&gt;="&amp;AF$5,tblAuftraege[Datum
Ausgaben],"&lt;"&amp;EDATE(AF$5,1),tblAuftraege[Kostenstelle],$B59))</f>
        <v/>
      </c>
      <c r="AG59" s="27">
        <f>IF($B59="",0,SUMIFS(tblAuftraege[Kalk.
Ausgaben],tblAuftraege[Datum
Ausgaben],"&gt;="&amp;AG$5,tblAuftraege[Datum
Ausgaben],"&lt;"&amp;EDATE(AG$5,1),tblAuftraege[Kostenstelle],$B59))</f>
        <v/>
      </c>
      <c r="AH59" s="27">
        <f>IF($B59="",0,SUMIFS(tblAuftraege[Kalk.
Ausgaben],tblAuftraege[Datum
Ausgaben],"&gt;="&amp;AH$5,tblAuftraege[Datum
Ausgaben],"&lt;"&amp;EDATE(AH$5,1),tblAuftraege[Kostenstelle],$B59))</f>
        <v/>
      </c>
      <c r="AI59" s="27">
        <f>IF($B59="",0,SUMIFS(tblAuftraege[Kalk.
Ausgaben],tblAuftraege[Datum
Ausgaben],"&gt;="&amp;AI$5,tblAuftraege[Datum
Ausgaben],"&lt;"&amp;EDATE(AI$5,1),tblAuftraege[Kostenstelle],$B59))</f>
        <v/>
      </c>
      <c r="AJ59" s="27">
        <f>IF($B59="",0,SUMIFS(tblAuftraege[Kalk.
Ausgaben],tblAuftraege[Datum
Ausgaben],"&gt;="&amp;AJ$5,tblAuftraege[Datum
Ausgaben],"&lt;"&amp;EDATE(AJ$5,1),tblAuftraege[Kostenstelle],$B59))</f>
        <v/>
      </c>
      <c r="AK59" s="27">
        <f>IF($B59="",0,SUMIFS(tblAuftraege[Kalk.
Ausgaben],tblAuftraege[Datum
Ausgaben],"&gt;="&amp;AK$5,tblAuftraege[Datum
Ausgaben],"&lt;"&amp;EDATE(AK$5,1),tblAuftraege[Kostenstelle],$B59))</f>
        <v/>
      </c>
      <c r="AL59" s="27">
        <f>IF($B59="",0,SUMIFS(tblAuftraege[Kalk.
Ausgaben],tblAuftraege[Datum
Ausgaben],"&gt;="&amp;AL$5,tblAuftraege[Datum
Ausgaben],"&lt;"&amp;EDATE(AL$5,1),tblAuftraege[Kostenstelle],$B59))</f>
        <v/>
      </c>
      <c r="AM59" s="27">
        <f>IF($B59="",0,SUMIFS(tblAuftraege[Kalk.
Ausgaben],tblAuftraege[Datum
Ausgaben],"&gt;="&amp;AM$5,tblAuftraege[Datum
Ausgaben],"&lt;"&amp;EDATE(AM$5,1),tblAuftraege[Kostenstelle],$B59))</f>
        <v/>
      </c>
      <c r="AN59" s="27">
        <f>IF($B59="",0,SUMIFS(tblAuftraege[Kalk.
Ausgaben],tblAuftraege[Datum
Ausgaben],"&gt;="&amp;AN$5,tblAuftraege[Datum
Ausgaben],"&lt;"&amp;EDATE(AN$5,1),tblAuftraege[Kostenstelle],$B59))</f>
        <v/>
      </c>
      <c r="AO59" s="27">
        <f>IF($B59="",0,SUMIFS(tblAuftraege[Kalk.
Ausgaben],tblAuftraege[Datum
Ausgaben],"&gt;="&amp;AO$5,tblAuftraege[Datum
Ausgaben],"&lt;"&amp;EDATE(AO$5,1),tblAuftraege[Kostenstelle],$B59))</f>
        <v/>
      </c>
      <c r="AP59" s="27">
        <f>IF($B59="",0,SUMIFS(tblAuftraege[Kalk.
Ausgaben],tblAuftraege[Datum
Ausgaben],"&gt;="&amp;AP$5,tblAuftraege[Datum
Ausgaben],"&lt;"&amp;EDATE(AP$5,1),tblAuftraege[Kostenstelle],$B59))</f>
        <v/>
      </c>
      <c r="AQ59" s="27">
        <f>IF($B59="",0,SUMIFS(tblAuftraege[Kalk.
Ausgaben],tblAuftraege[Datum
Ausgaben],"&gt;="&amp;AQ$5,tblAuftraege[Datum
Ausgaben],"&lt;"&amp;EDATE(AQ$5,1),tblAuftraege[Kostenstelle],$B59))</f>
        <v/>
      </c>
      <c r="AR59" s="27">
        <f>IF($B59="",0,SUMIFS(tblAuftraege[Kalk.
Ausgaben],tblAuftraege[Datum
Ausgaben],"&gt;="&amp;AR$5,tblAuftraege[Datum
Ausgaben],"&lt;"&amp;EDATE(AR$5,1),tblAuftraege[Kostenstelle],$B59))</f>
        <v/>
      </c>
      <c r="AS59" s="27">
        <f>IF($B59="",0,SUMIFS(tblAuftraege[Kalk.
Ausgaben],tblAuftraege[Datum
Ausgaben],"&gt;="&amp;AS$5,tblAuftraege[Datum
Ausgaben],"&lt;"&amp;EDATE(AS$5,1),tblAuftraege[Kostenstelle],$B59))</f>
        <v/>
      </c>
      <c r="AT59" s="27">
        <f>IF($B59="",0,SUMIFS(tblAuftraege[Kalk.
Ausgaben],tblAuftraege[Datum
Ausgaben],"&gt;="&amp;AT$5,tblAuftraege[Datum
Ausgaben],"&lt;"&amp;EDATE(AT$5,1),tblAuftraege[Kostenstelle],$B59))</f>
        <v/>
      </c>
      <c r="AU59" s="27">
        <f>IF($B59="",0,SUMIFS(tblAuftraege[Kalk.
Ausgaben],tblAuftraege[Datum
Ausgaben],"&gt;="&amp;AU$5,tblAuftraege[Datum
Ausgaben],"&lt;"&amp;EDATE(AU$5,1),tblAuftraege[Kostenstelle],$B59))</f>
        <v/>
      </c>
      <c r="AV59" s="27">
        <f>IF($B59="",0,SUMIFS(tblAuftraege[Kalk.
Ausgaben],tblAuftraege[Datum
Ausgaben],"&gt;="&amp;AV$5,tblAuftraege[Datum
Ausgaben],"&lt;"&amp;EDATE(AV$5,1),tblAuftraege[Kostenstelle],$B59))</f>
        <v/>
      </c>
      <c r="AW59" s="27">
        <f>IF($B59="",0,SUMIFS(tblAuftraege[Kalk.
Ausgaben],tblAuftraege[Datum
Ausgaben],"&gt;="&amp;AW$5,tblAuftraege[Datum
Ausgaben],"&lt;"&amp;EDATE(AW$5,1),tblAuftraege[Kostenstelle],$B59))</f>
        <v/>
      </c>
      <c r="AX59" s="27">
        <f>IF($B59="",0,SUMIFS(tblAuftraege[Kalk.
Ausgaben],tblAuftraege[Datum
Ausgaben],"&gt;="&amp;AX$5,tblAuftraege[Datum
Ausgaben],"&lt;"&amp;EDATE(AX$5,1),tblAuftraege[Kostenstelle],$B59))</f>
        <v/>
      </c>
      <c r="AY59" s="27">
        <f>IF($B59="",0,SUMIFS(tblAuftraege[Kalk.
Ausgaben],tblAuftraege[Datum
Ausgaben],"&gt;="&amp;AY$5,tblAuftraege[Datum
Ausgaben],"&lt;"&amp;EDATE(AY$5,1),tblAuftraege[Kostenstelle],$B59))</f>
        <v/>
      </c>
      <c r="AZ59" s="27">
        <f>IF($B59="",0,SUMIFS(tblAuftraege[Kalk.
Ausgaben],tblAuftraege[Datum
Ausgaben],"&gt;="&amp;AZ$5,tblAuftraege[Datum
Ausgaben],"&lt;"&amp;EDATE(AZ$5,1),tblAuftraege[Kostenstelle],$B59))</f>
        <v/>
      </c>
      <c r="BA59" s="27">
        <f>IF($B59="",0,SUMIFS(tblAuftraege[Kalk.
Ausgaben],tblAuftraege[Datum
Ausgaben],"&gt;="&amp;BA$5,tblAuftraege[Datum
Ausgaben],"&lt;"&amp;EDATE(BA$5,1),tblAuftraege[Kostenstelle],$B59))</f>
        <v/>
      </c>
      <c r="BB59" s="27">
        <f>IF($B59="",0,SUMIFS(tblAuftraege[Kalk.
Ausgaben],tblAuftraege[Datum
Ausgaben],"&gt;="&amp;BB$5,tblAuftraege[Datum
Ausgaben],"&lt;"&amp;EDATE(BB$5,1),tblAuftraege[Kostenstelle],$B59))</f>
        <v/>
      </c>
      <c r="BC59" s="27">
        <f>IF($B59="",0,SUMIFS(tblAuftraege[Kalk.
Ausgaben],tblAuftraege[Datum
Ausgaben],"&gt;="&amp;BC$5,tblAuftraege[Datum
Ausgaben],"&lt;"&amp;EDATE(BC$5,1),tblAuftraege[Kostenstelle],$B59))</f>
        <v/>
      </c>
      <c r="BD59" s="27">
        <f>IF($B59="",0,SUMIFS(tblAuftraege[Kalk.
Ausgaben],tblAuftraege[Datum
Ausgaben],"&gt;="&amp;BD$5,tblAuftraege[Datum
Ausgaben],"&lt;"&amp;EDATE(BD$5,1),tblAuftraege[Kostenstelle],$B59))</f>
        <v/>
      </c>
      <c r="BE59" s="27">
        <f>SUM(C59:H59)</f>
        <v/>
      </c>
      <c r="BF59" s="27">
        <f>SUM(I59:T59)</f>
        <v/>
      </c>
      <c r="BG59" s="27">
        <f>SUM(U59:AF59)</f>
        <v/>
      </c>
      <c r="BH59" s="27">
        <f>SUM(AG59:AR59)</f>
        <v/>
      </c>
      <c r="BI59" s="27">
        <f>SUM(AS59:BD59)</f>
        <v/>
      </c>
      <c r="BJ59" s="27">
        <f>SUM(C59:BD59)</f>
        <v/>
      </c>
    </row>
    <row r="60">
      <c r="A60" s="34" t="n"/>
      <c r="B60" s="49">
        <f>IF(ISBLANK(B26),"",B26)</f>
        <v/>
      </c>
      <c r="C60" s="27">
        <f>IF($B60="",0,SUMIFS(tblAuftraege[Kalk.
Ausgaben],tblAuftraege[Datum
Ausgaben],"&gt;="&amp;C$5,tblAuftraege[Datum
Ausgaben],"&lt;"&amp;EDATE(C$5,1),tblAuftraege[Kostenstelle],$B60))</f>
        <v/>
      </c>
      <c r="D60" s="27">
        <f>IF($B60="",0,SUMIFS(tblAuftraege[Kalk.
Ausgaben],tblAuftraege[Datum
Ausgaben],"&gt;="&amp;D$5,tblAuftraege[Datum
Ausgaben],"&lt;"&amp;EDATE(D$5,1),tblAuftraege[Kostenstelle],$B60))</f>
        <v/>
      </c>
      <c r="E60" s="27">
        <f>IF($B60="",0,SUMIFS(tblAuftraege[Kalk.
Ausgaben],tblAuftraege[Datum
Ausgaben],"&gt;="&amp;E$5,tblAuftraege[Datum
Ausgaben],"&lt;"&amp;EDATE(E$5,1),tblAuftraege[Kostenstelle],$B60))</f>
        <v/>
      </c>
      <c r="F60" s="27">
        <f>IF($B60="",0,SUMIFS(tblAuftraege[Kalk.
Ausgaben],tblAuftraege[Datum
Ausgaben],"&gt;="&amp;F$5,tblAuftraege[Datum
Ausgaben],"&lt;"&amp;EDATE(F$5,1),tblAuftraege[Kostenstelle],$B60))</f>
        <v/>
      </c>
      <c r="G60" s="27">
        <f>IF($B60="",0,SUMIFS(tblAuftraege[Kalk.
Ausgaben],tblAuftraege[Datum
Ausgaben],"&gt;="&amp;G$5,tblAuftraege[Datum
Ausgaben],"&lt;"&amp;EDATE(G$5,1),tblAuftraege[Kostenstelle],$B60))</f>
        <v/>
      </c>
      <c r="H60" s="27">
        <f>IF($B60="",0,SUMIFS(tblAuftraege[Kalk.
Ausgaben],tblAuftraege[Datum
Ausgaben],"&gt;="&amp;H$5,tblAuftraege[Datum
Ausgaben],"&lt;"&amp;EDATE(H$5,1),tblAuftraege[Kostenstelle],$B60))</f>
        <v/>
      </c>
      <c r="I60" s="27">
        <f>IF($B60="",0,SUMIFS(tblAuftraege[Kalk.
Ausgaben],tblAuftraege[Datum
Ausgaben],"&gt;="&amp;I$5,tblAuftraege[Datum
Ausgaben],"&lt;"&amp;EDATE(I$5,1),tblAuftraege[Kostenstelle],$B60))</f>
        <v/>
      </c>
      <c r="J60" s="27">
        <f>IF($B60="",0,SUMIFS(tblAuftraege[Kalk.
Ausgaben],tblAuftraege[Datum
Ausgaben],"&gt;="&amp;J$5,tblAuftraege[Datum
Ausgaben],"&lt;"&amp;EDATE(J$5,1),tblAuftraege[Kostenstelle],$B60))</f>
        <v/>
      </c>
      <c r="K60" s="27">
        <f>IF($B60="",0,SUMIFS(tblAuftraege[Kalk.
Ausgaben],tblAuftraege[Datum
Ausgaben],"&gt;="&amp;K$5,tblAuftraege[Datum
Ausgaben],"&lt;"&amp;EDATE(K$5,1),tblAuftraege[Kostenstelle],$B60))</f>
        <v/>
      </c>
      <c r="L60" s="27">
        <f>IF($B60="",0,SUMIFS(tblAuftraege[Kalk.
Ausgaben],tblAuftraege[Datum
Ausgaben],"&gt;="&amp;L$5,tblAuftraege[Datum
Ausgaben],"&lt;"&amp;EDATE(L$5,1),tblAuftraege[Kostenstelle],$B60))</f>
        <v/>
      </c>
      <c r="M60" s="27">
        <f>IF($B60="",0,SUMIFS(tblAuftraege[Kalk.
Ausgaben],tblAuftraege[Datum
Ausgaben],"&gt;="&amp;M$5,tblAuftraege[Datum
Ausgaben],"&lt;"&amp;EDATE(M$5,1),tblAuftraege[Kostenstelle],$B60))</f>
        <v/>
      </c>
      <c r="N60" s="27">
        <f>IF($B60="",0,SUMIFS(tblAuftraege[Kalk.
Ausgaben],tblAuftraege[Datum
Ausgaben],"&gt;="&amp;N$5,tblAuftraege[Datum
Ausgaben],"&lt;"&amp;EDATE(N$5,1),tblAuftraege[Kostenstelle],$B60))</f>
        <v/>
      </c>
      <c r="O60" s="27">
        <f>IF($B60="",0,SUMIFS(tblAuftraege[Kalk.
Ausgaben],tblAuftraege[Datum
Ausgaben],"&gt;="&amp;O$5,tblAuftraege[Datum
Ausgaben],"&lt;"&amp;EDATE(O$5,1),tblAuftraege[Kostenstelle],$B60))</f>
        <v/>
      </c>
      <c r="P60" s="27">
        <f>IF($B60="",0,SUMIFS(tblAuftraege[Kalk.
Ausgaben],tblAuftraege[Datum
Ausgaben],"&gt;="&amp;P$5,tblAuftraege[Datum
Ausgaben],"&lt;"&amp;EDATE(P$5,1),tblAuftraege[Kostenstelle],$B60))</f>
        <v/>
      </c>
      <c r="Q60" s="27">
        <f>IF($B60="",0,SUMIFS(tblAuftraege[Kalk.
Ausgaben],tblAuftraege[Datum
Ausgaben],"&gt;="&amp;Q$5,tblAuftraege[Datum
Ausgaben],"&lt;"&amp;EDATE(Q$5,1),tblAuftraege[Kostenstelle],$B60))</f>
        <v/>
      </c>
      <c r="R60" s="27">
        <f>IF($B60="",0,SUMIFS(tblAuftraege[Kalk.
Ausgaben],tblAuftraege[Datum
Ausgaben],"&gt;="&amp;R$5,tblAuftraege[Datum
Ausgaben],"&lt;"&amp;EDATE(R$5,1),tblAuftraege[Kostenstelle],$B60))</f>
        <v/>
      </c>
      <c r="S60" s="27">
        <f>IF($B60="",0,SUMIFS(tblAuftraege[Kalk.
Ausgaben],tblAuftraege[Datum
Ausgaben],"&gt;="&amp;S$5,tblAuftraege[Datum
Ausgaben],"&lt;"&amp;EDATE(S$5,1),tblAuftraege[Kostenstelle],$B60))</f>
        <v/>
      </c>
      <c r="T60" s="27">
        <f>IF($B60="",0,SUMIFS(tblAuftraege[Kalk.
Ausgaben],tblAuftraege[Datum
Ausgaben],"&gt;="&amp;T$5,tblAuftraege[Datum
Ausgaben],"&lt;"&amp;EDATE(T$5,1),tblAuftraege[Kostenstelle],$B60))</f>
        <v/>
      </c>
      <c r="U60" s="27">
        <f>IF($B60="",0,SUMIFS(tblAuftraege[Kalk.
Ausgaben],tblAuftraege[Datum
Ausgaben],"&gt;="&amp;U$5,tblAuftraege[Datum
Ausgaben],"&lt;"&amp;EDATE(U$5,1),tblAuftraege[Kostenstelle],$B60))</f>
        <v/>
      </c>
      <c r="V60" s="27">
        <f>IF($B60="",0,SUMIFS(tblAuftraege[Kalk.
Ausgaben],tblAuftraege[Datum
Ausgaben],"&gt;="&amp;V$5,tblAuftraege[Datum
Ausgaben],"&lt;"&amp;EDATE(V$5,1),tblAuftraege[Kostenstelle],$B60))</f>
        <v/>
      </c>
      <c r="W60" s="27">
        <f>IF($B60="",0,SUMIFS(tblAuftraege[Kalk.
Ausgaben],tblAuftraege[Datum
Ausgaben],"&gt;="&amp;W$5,tblAuftraege[Datum
Ausgaben],"&lt;"&amp;EDATE(W$5,1),tblAuftraege[Kostenstelle],$B60))</f>
        <v/>
      </c>
      <c r="X60" s="27">
        <f>IF($B60="",0,SUMIFS(tblAuftraege[Kalk.
Ausgaben],tblAuftraege[Datum
Ausgaben],"&gt;="&amp;X$5,tblAuftraege[Datum
Ausgaben],"&lt;"&amp;EDATE(X$5,1),tblAuftraege[Kostenstelle],$B60))</f>
        <v/>
      </c>
      <c r="Y60" s="27">
        <f>IF($B60="",0,SUMIFS(tblAuftraege[Kalk.
Ausgaben],tblAuftraege[Datum
Ausgaben],"&gt;="&amp;Y$5,tblAuftraege[Datum
Ausgaben],"&lt;"&amp;EDATE(Y$5,1),tblAuftraege[Kostenstelle],$B60))</f>
        <v/>
      </c>
      <c r="Z60" s="27">
        <f>IF($B60="",0,SUMIFS(tblAuftraege[Kalk.
Ausgaben],tblAuftraege[Datum
Ausgaben],"&gt;="&amp;Z$5,tblAuftraege[Datum
Ausgaben],"&lt;"&amp;EDATE(Z$5,1),tblAuftraege[Kostenstelle],$B60))</f>
        <v/>
      </c>
      <c r="AA60" s="27">
        <f>IF($B60="",0,SUMIFS(tblAuftraege[Kalk.
Ausgaben],tblAuftraege[Datum
Ausgaben],"&gt;="&amp;AA$5,tblAuftraege[Datum
Ausgaben],"&lt;"&amp;EDATE(AA$5,1),tblAuftraege[Kostenstelle],$B60))</f>
        <v/>
      </c>
      <c r="AB60" s="27">
        <f>IF($B60="",0,SUMIFS(tblAuftraege[Kalk.
Ausgaben],tblAuftraege[Datum
Ausgaben],"&gt;="&amp;AB$5,tblAuftraege[Datum
Ausgaben],"&lt;"&amp;EDATE(AB$5,1),tblAuftraege[Kostenstelle],$B60))</f>
        <v/>
      </c>
      <c r="AC60" s="27">
        <f>IF($B60="",0,SUMIFS(tblAuftraege[Kalk.
Ausgaben],tblAuftraege[Datum
Ausgaben],"&gt;="&amp;AC$5,tblAuftraege[Datum
Ausgaben],"&lt;"&amp;EDATE(AC$5,1),tblAuftraege[Kostenstelle],$B60))</f>
        <v/>
      </c>
      <c r="AD60" s="27">
        <f>IF($B60="",0,SUMIFS(tblAuftraege[Kalk.
Ausgaben],tblAuftraege[Datum
Ausgaben],"&gt;="&amp;AD$5,tblAuftraege[Datum
Ausgaben],"&lt;"&amp;EDATE(AD$5,1),tblAuftraege[Kostenstelle],$B60))</f>
        <v/>
      </c>
      <c r="AE60" s="27">
        <f>IF($B60="",0,SUMIFS(tblAuftraege[Kalk.
Ausgaben],tblAuftraege[Datum
Ausgaben],"&gt;="&amp;AE$5,tblAuftraege[Datum
Ausgaben],"&lt;"&amp;EDATE(AE$5,1),tblAuftraege[Kostenstelle],$B60))</f>
        <v/>
      </c>
      <c r="AF60" s="27">
        <f>IF($B60="",0,SUMIFS(tblAuftraege[Kalk.
Ausgaben],tblAuftraege[Datum
Ausgaben],"&gt;="&amp;AF$5,tblAuftraege[Datum
Ausgaben],"&lt;"&amp;EDATE(AF$5,1),tblAuftraege[Kostenstelle],$B60))</f>
        <v/>
      </c>
      <c r="AG60" s="27">
        <f>IF($B60="",0,SUMIFS(tblAuftraege[Kalk.
Ausgaben],tblAuftraege[Datum
Ausgaben],"&gt;="&amp;AG$5,tblAuftraege[Datum
Ausgaben],"&lt;"&amp;EDATE(AG$5,1),tblAuftraege[Kostenstelle],$B60))</f>
        <v/>
      </c>
      <c r="AH60" s="27">
        <f>IF($B60="",0,SUMIFS(tblAuftraege[Kalk.
Ausgaben],tblAuftraege[Datum
Ausgaben],"&gt;="&amp;AH$5,tblAuftraege[Datum
Ausgaben],"&lt;"&amp;EDATE(AH$5,1),tblAuftraege[Kostenstelle],$B60))</f>
        <v/>
      </c>
      <c r="AI60" s="27">
        <f>IF($B60="",0,SUMIFS(tblAuftraege[Kalk.
Ausgaben],tblAuftraege[Datum
Ausgaben],"&gt;="&amp;AI$5,tblAuftraege[Datum
Ausgaben],"&lt;"&amp;EDATE(AI$5,1),tblAuftraege[Kostenstelle],$B60))</f>
        <v/>
      </c>
      <c r="AJ60" s="27">
        <f>IF($B60="",0,SUMIFS(tblAuftraege[Kalk.
Ausgaben],tblAuftraege[Datum
Ausgaben],"&gt;="&amp;AJ$5,tblAuftraege[Datum
Ausgaben],"&lt;"&amp;EDATE(AJ$5,1),tblAuftraege[Kostenstelle],$B60))</f>
        <v/>
      </c>
      <c r="AK60" s="27">
        <f>IF($B60="",0,SUMIFS(tblAuftraege[Kalk.
Ausgaben],tblAuftraege[Datum
Ausgaben],"&gt;="&amp;AK$5,tblAuftraege[Datum
Ausgaben],"&lt;"&amp;EDATE(AK$5,1),tblAuftraege[Kostenstelle],$B60))</f>
        <v/>
      </c>
      <c r="AL60" s="27">
        <f>IF($B60="",0,SUMIFS(tblAuftraege[Kalk.
Ausgaben],tblAuftraege[Datum
Ausgaben],"&gt;="&amp;AL$5,tblAuftraege[Datum
Ausgaben],"&lt;"&amp;EDATE(AL$5,1),tblAuftraege[Kostenstelle],$B60))</f>
        <v/>
      </c>
      <c r="AM60" s="27">
        <f>IF($B60="",0,SUMIFS(tblAuftraege[Kalk.
Ausgaben],tblAuftraege[Datum
Ausgaben],"&gt;="&amp;AM$5,tblAuftraege[Datum
Ausgaben],"&lt;"&amp;EDATE(AM$5,1),tblAuftraege[Kostenstelle],$B60))</f>
        <v/>
      </c>
      <c r="AN60" s="27">
        <f>IF($B60="",0,SUMIFS(tblAuftraege[Kalk.
Ausgaben],tblAuftraege[Datum
Ausgaben],"&gt;="&amp;AN$5,tblAuftraege[Datum
Ausgaben],"&lt;"&amp;EDATE(AN$5,1),tblAuftraege[Kostenstelle],$B60))</f>
        <v/>
      </c>
      <c r="AO60" s="27">
        <f>IF($B60="",0,SUMIFS(tblAuftraege[Kalk.
Ausgaben],tblAuftraege[Datum
Ausgaben],"&gt;="&amp;AO$5,tblAuftraege[Datum
Ausgaben],"&lt;"&amp;EDATE(AO$5,1),tblAuftraege[Kostenstelle],$B60))</f>
        <v/>
      </c>
      <c r="AP60" s="27">
        <f>IF($B60="",0,SUMIFS(tblAuftraege[Kalk.
Ausgaben],tblAuftraege[Datum
Ausgaben],"&gt;="&amp;AP$5,tblAuftraege[Datum
Ausgaben],"&lt;"&amp;EDATE(AP$5,1),tblAuftraege[Kostenstelle],$B60))</f>
        <v/>
      </c>
      <c r="AQ60" s="27">
        <f>IF($B60="",0,SUMIFS(tblAuftraege[Kalk.
Ausgaben],tblAuftraege[Datum
Ausgaben],"&gt;="&amp;AQ$5,tblAuftraege[Datum
Ausgaben],"&lt;"&amp;EDATE(AQ$5,1),tblAuftraege[Kostenstelle],$B60))</f>
        <v/>
      </c>
      <c r="AR60" s="27">
        <f>IF($B60="",0,SUMIFS(tblAuftraege[Kalk.
Ausgaben],tblAuftraege[Datum
Ausgaben],"&gt;="&amp;AR$5,tblAuftraege[Datum
Ausgaben],"&lt;"&amp;EDATE(AR$5,1),tblAuftraege[Kostenstelle],$B60))</f>
        <v/>
      </c>
      <c r="AS60" s="27">
        <f>IF($B60="",0,SUMIFS(tblAuftraege[Kalk.
Ausgaben],tblAuftraege[Datum
Ausgaben],"&gt;="&amp;AS$5,tblAuftraege[Datum
Ausgaben],"&lt;"&amp;EDATE(AS$5,1),tblAuftraege[Kostenstelle],$B60))</f>
        <v/>
      </c>
      <c r="AT60" s="27">
        <f>IF($B60="",0,SUMIFS(tblAuftraege[Kalk.
Ausgaben],tblAuftraege[Datum
Ausgaben],"&gt;="&amp;AT$5,tblAuftraege[Datum
Ausgaben],"&lt;"&amp;EDATE(AT$5,1),tblAuftraege[Kostenstelle],$B60))</f>
        <v/>
      </c>
      <c r="AU60" s="27">
        <f>IF($B60="",0,SUMIFS(tblAuftraege[Kalk.
Ausgaben],tblAuftraege[Datum
Ausgaben],"&gt;="&amp;AU$5,tblAuftraege[Datum
Ausgaben],"&lt;"&amp;EDATE(AU$5,1),tblAuftraege[Kostenstelle],$B60))</f>
        <v/>
      </c>
      <c r="AV60" s="27">
        <f>IF($B60="",0,SUMIFS(tblAuftraege[Kalk.
Ausgaben],tblAuftraege[Datum
Ausgaben],"&gt;="&amp;AV$5,tblAuftraege[Datum
Ausgaben],"&lt;"&amp;EDATE(AV$5,1),tblAuftraege[Kostenstelle],$B60))</f>
        <v/>
      </c>
      <c r="AW60" s="27">
        <f>IF($B60="",0,SUMIFS(tblAuftraege[Kalk.
Ausgaben],tblAuftraege[Datum
Ausgaben],"&gt;="&amp;AW$5,tblAuftraege[Datum
Ausgaben],"&lt;"&amp;EDATE(AW$5,1),tblAuftraege[Kostenstelle],$B60))</f>
        <v/>
      </c>
      <c r="AX60" s="27">
        <f>IF($B60="",0,SUMIFS(tblAuftraege[Kalk.
Ausgaben],tblAuftraege[Datum
Ausgaben],"&gt;="&amp;AX$5,tblAuftraege[Datum
Ausgaben],"&lt;"&amp;EDATE(AX$5,1),tblAuftraege[Kostenstelle],$B60))</f>
        <v/>
      </c>
      <c r="AY60" s="27">
        <f>IF($B60="",0,SUMIFS(tblAuftraege[Kalk.
Ausgaben],tblAuftraege[Datum
Ausgaben],"&gt;="&amp;AY$5,tblAuftraege[Datum
Ausgaben],"&lt;"&amp;EDATE(AY$5,1),tblAuftraege[Kostenstelle],$B60))</f>
        <v/>
      </c>
      <c r="AZ60" s="27">
        <f>IF($B60="",0,SUMIFS(tblAuftraege[Kalk.
Ausgaben],tblAuftraege[Datum
Ausgaben],"&gt;="&amp;AZ$5,tblAuftraege[Datum
Ausgaben],"&lt;"&amp;EDATE(AZ$5,1),tblAuftraege[Kostenstelle],$B60))</f>
        <v/>
      </c>
      <c r="BA60" s="27">
        <f>IF($B60="",0,SUMIFS(tblAuftraege[Kalk.
Ausgaben],tblAuftraege[Datum
Ausgaben],"&gt;="&amp;BA$5,tblAuftraege[Datum
Ausgaben],"&lt;"&amp;EDATE(BA$5,1),tblAuftraege[Kostenstelle],$B60))</f>
        <v/>
      </c>
      <c r="BB60" s="27">
        <f>IF($B60="",0,SUMIFS(tblAuftraege[Kalk.
Ausgaben],tblAuftraege[Datum
Ausgaben],"&gt;="&amp;BB$5,tblAuftraege[Datum
Ausgaben],"&lt;"&amp;EDATE(BB$5,1),tblAuftraege[Kostenstelle],$B60))</f>
        <v/>
      </c>
      <c r="BC60" s="27">
        <f>IF($B60="",0,SUMIFS(tblAuftraege[Kalk.
Ausgaben],tblAuftraege[Datum
Ausgaben],"&gt;="&amp;BC$5,tblAuftraege[Datum
Ausgaben],"&lt;"&amp;EDATE(BC$5,1),tblAuftraege[Kostenstelle],$B60))</f>
        <v/>
      </c>
      <c r="BD60" s="27">
        <f>IF($B60="",0,SUMIFS(tblAuftraege[Kalk.
Ausgaben],tblAuftraege[Datum
Ausgaben],"&gt;="&amp;BD$5,tblAuftraege[Datum
Ausgaben],"&lt;"&amp;EDATE(BD$5,1),tblAuftraege[Kostenstelle],$B60))</f>
        <v/>
      </c>
      <c r="BE60" s="27">
        <f>SUM(C60:H60)</f>
        <v/>
      </c>
      <c r="BF60" s="27">
        <f>SUM(I60:T60)</f>
        <v/>
      </c>
      <c r="BG60" s="27">
        <f>SUM(U60:AF60)</f>
        <v/>
      </c>
      <c r="BH60" s="27">
        <f>SUM(AG60:AR60)</f>
        <v/>
      </c>
      <c r="BI60" s="27">
        <f>SUM(AS60:BD60)</f>
        <v/>
      </c>
      <c r="BJ60" s="27">
        <f>SUM(C60:BD60)</f>
        <v/>
      </c>
    </row>
    <row r="61">
      <c r="A61" s="34" t="n"/>
      <c r="B61" s="49">
        <f>IF(ISBLANK(B27),"",B27)</f>
        <v/>
      </c>
      <c r="C61" s="27">
        <f>IF($B61="",0,SUMIFS(tblAuftraege[Kalk.
Ausgaben],tblAuftraege[Datum
Ausgaben],"&gt;="&amp;C$5,tblAuftraege[Datum
Ausgaben],"&lt;"&amp;EDATE(C$5,1),tblAuftraege[Kostenstelle],$B61))</f>
        <v/>
      </c>
      <c r="D61" s="27">
        <f>IF($B61="",0,SUMIFS(tblAuftraege[Kalk.
Ausgaben],tblAuftraege[Datum
Ausgaben],"&gt;="&amp;D$5,tblAuftraege[Datum
Ausgaben],"&lt;"&amp;EDATE(D$5,1),tblAuftraege[Kostenstelle],$B61))</f>
        <v/>
      </c>
      <c r="E61" s="27">
        <f>IF($B61="",0,SUMIFS(tblAuftraege[Kalk.
Ausgaben],tblAuftraege[Datum
Ausgaben],"&gt;="&amp;E$5,tblAuftraege[Datum
Ausgaben],"&lt;"&amp;EDATE(E$5,1),tblAuftraege[Kostenstelle],$B61))</f>
        <v/>
      </c>
      <c r="F61" s="27">
        <f>IF($B61="",0,SUMIFS(tblAuftraege[Kalk.
Ausgaben],tblAuftraege[Datum
Ausgaben],"&gt;="&amp;F$5,tblAuftraege[Datum
Ausgaben],"&lt;"&amp;EDATE(F$5,1),tblAuftraege[Kostenstelle],$B61))</f>
        <v/>
      </c>
      <c r="G61" s="27">
        <f>IF($B61="",0,SUMIFS(tblAuftraege[Kalk.
Ausgaben],tblAuftraege[Datum
Ausgaben],"&gt;="&amp;G$5,tblAuftraege[Datum
Ausgaben],"&lt;"&amp;EDATE(G$5,1),tblAuftraege[Kostenstelle],$B61))</f>
        <v/>
      </c>
      <c r="H61" s="27">
        <f>IF($B61="",0,SUMIFS(tblAuftraege[Kalk.
Ausgaben],tblAuftraege[Datum
Ausgaben],"&gt;="&amp;H$5,tblAuftraege[Datum
Ausgaben],"&lt;"&amp;EDATE(H$5,1),tblAuftraege[Kostenstelle],$B61))</f>
        <v/>
      </c>
      <c r="I61" s="27">
        <f>IF($B61="",0,SUMIFS(tblAuftraege[Kalk.
Ausgaben],tblAuftraege[Datum
Ausgaben],"&gt;="&amp;I$5,tblAuftraege[Datum
Ausgaben],"&lt;"&amp;EDATE(I$5,1),tblAuftraege[Kostenstelle],$B61))</f>
        <v/>
      </c>
      <c r="J61" s="27">
        <f>IF($B61="",0,SUMIFS(tblAuftraege[Kalk.
Ausgaben],tblAuftraege[Datum
Ausgaben],"&gt;="&amp;J$5,tblAuftraege[Datum
Ausgaben],"&lt;"&amp;EDATE(J$5,1),tblAuftraege[Kostenstelle],$B61))</f>
        <v/>
      </c>
      <c r="K61" s="27">
        <f>IF($B61="",0,SUMIFS(tblAuftraege[Kalk.
Ausgaben],tblAuftraege[Datum
Ausgaben],"&gt;="&amp;K$5,tblAuftraege[Datum
Ausgaben],"&lt;"&amp;EDATE(K$5,1),tblAuftraege[Kostenstelle],$B61))</f>
        <v/>
      </c>
      <c r="L61" s="27">
        <f>IF($B61="",0,SUMIFS(tblAuftraege[Kalk.
Ausgaben],tblAuftraege[Datum
Ausgaben],"&gt;="&amp;L$5,tblAuftraege[Datum
Ausgaben],"&lt;"&amp;EDATE(L$5,1),tblAuftraege[Kostenstelle],$B61))</f>
        <v/>
      </c>
      <c r="M61" s="27">
        <f>IF($B61="",0,SUMIFS(tblAuftraege[Kalk.
Ausgaben],tblAuftraege[Datum
Ausgaben],"&gt;="&amp;M$5,tblAuftraege[Datum
Ausgaben],"&lt;"&amp;EDATE(M$5,1),tblAuftraege[Kostenstelle],$B61))</f>
        <v/>
      </c>
      <c r="N61" s="27">
        <f>IF($B61="",0,SUMIFS(tblAuftraege[Kalk.
Ausgaben],tblAuftraege[Datum
Ausgaben],"&gt;="&amp;N$5,tblAuftraege[Datum
Ausgaben],"&lt;"&amp;EDATE(N$5,1),tblAuftraege[Kostenstelle],$B61))</f>
        <v/>
      </c>
      <c r="O61" s="27">
        <f>IF($B61="",0,SUMIFS(tblAuftraege[Kalk.
Ausgaben],tblAuftraege[Datum
Ausgaben],"&gt;="&amp;O$5,tblAuftraege[Datum
Ausgaben],"&lt;"&amp;EDATE(O$5,1),tblAuftraege[Kostenstelle],$B61))</f>
        <v/>
      </c>
      <c r="P61" s="27">
        <f>IF($B61="",0,SUMIFS(tblAuftraege[Kalk.
Ausgaben],tblAuftraege[Datum
Ausgaben],"&gt;="&amp;P$5,tblAuftraege[Datum
Ausgaben],"&lt;"&amp;EDATE(P$5,1),tblAuftraege[Kostenstelle],$B61))</f>
        <v/>
      </c>
      <c r="Q61" s="27">
        <f>IF($B61="",0,SUMIFS(tblAuftraege[Kalk.
Ausgaben],tblAuftraege[Datum
Ausgaben],"&gt;="&amp;Q$5,tblAuftraege[Datum
Ausgaben],"&lt;"&amp;EDATE(Q$5,1),tblAuftraege[Kostenstelle],$B61))</f>
        <v/>
      </c>
      <c r="R61" s="27">
        <f>IF($B61="",0,SUMIFS(tblAuftraege[Kalk.
Ausgaben],tblAuftraege[Datum
Ausgaben],"&gt;="&amp;R$5,tblAuftraege[Datum
Ausgaben],"&lt;"&amp;EDATE(R$5,1),tblAuftraege[Kostenstelle],$B61))</f>
        <v/>
      </c>
      <c r="S61" s="27">
        <f>IF($B61="",0,SUMIFS(tblAuftraege[Kalk.
Ausgaben],tblAuftraege[Datum
Ausgaben],"&gt;="&amp;S$5,tblAuftraege[Datum
Ausgaben],"&lt;"&amp;EDATE(S$5,1),tblAuftraege[Kostenstelle],$B61))</f>
        <v/>
      </c>
      <c r="T61" s="27">
        <f>IF($B61="",0,SUMIFS(tblAuftraege[Kalk.
Ausgaben],tblAuftraege[Datum
Ausgaben],"&gt;="&amp;T$5,tblAuftraege[Datum
Ausgaben],"&lt;"&amp;EDATE(T$5,1),tblAuftraege[Kostenstelle],$B61))</f>
        <v/>
      </c>
      <c r="U61" s="27">
        <f>IF($B61="",0,SUMIFS(tblAuftraege[Kalk.
Ausgaben],tblAuftraege[Datum
Ausgaben],"&gt;="&amp;U$5,tblAuftraege[Datum
Ausgaben],"&lt;"&amp;EDATE(U$5,1),tblAuftraege[Kostenstelle],$B61))</f>
        <v/>
      </c>
      <c r="V61" s="27">
        <f>IF($B61="",0,SUMIFS(tblAuftraege[Kalk.
Ausgaben],tblAuftraege[Datum
Ausgaben],"&gt;="&amp;V$5,tblAuftraege[Datum
Ausgaben],"&lt;"&amp;EDATE(V$5,1),tblAuftraege[Kostenstelle],$B61))</f>
        <v/>
      </c>
      <c r="W61" s="27">
        <f>IF($B61="",0,SUMIFS(tblAuftraege[Kalk.
Ausgaben],tblAuftraege[Datum
Ausgaben],"&gt;="&amp;W$5,tblAuftraege[Datum
Ausgaben],"&lt;"&amp;EDATE(W$5,1),tblAuftraege[Kostenstelle],$B61))</f>
        <v/>
      </c>
      <c r="X61" s="27">
        <f>IF($B61="",0,SUMIFS(tblAuftraege[Kalk.
Ausgaben],tblAuftraege[Datum
Ausgaben],"&gt;="&amp;X$5,tblAuftraege[Datum
Ausgaben],"&lt;"&amp;EDATE(X$5,1),tblAuftraege[Kostenstelle],$B61))</f>
        <v/>
      </c>
      <c r="Y61" s="27">
        <f>IF($B61="",0,SUMIFS(tblAuftraege[Kalk.
Ausgaben],tblAuftraege[Datum
Ausgaben],"&gt;="&amp;Y$5,tblAuftraege[Datum
Ausgaben],"&lt;"&amp;EDATE(Y$5,1),tblAuftraege[Kostenstelle],$B61))</f>
        <v/>
      </c>
      <c r="Z61" s="27">
        <f>IF($B61="",0,SUMIFS(tblAuftraege[Kalk.
Ausgaben],tblAuftraege[Datum
Ausgaben],"&gt;="&amp;Z$5,tblAuftraege[Datum
Ausgaben],"&lt;"&amp;EDATE(Z$5,1),tblAuftraege[Kostenstelle],$B61))</f>
        <v/>
      </c>
      <c r="AA61" s="27">
        <f>IF($B61="",0,SUMIFS(tblAuftraege[Kalk.
Ausgaben],tblAuftraege[Datum
Ausgaben],"&gt;="&amp;AA$5,tblAuftraege[Datum
Ausgaben],"&lt;"&amp;EDATE(AA$5,1),tblAuftraege[Kostenstelle],$B61))</f>
        <v/>
      </c>
      <c r="AB61" s="27">
        <f>IF($B61="",0,SUMIFS(tblAuftraege[Kalk.
Ausgaben],tblAuftraege[Datum
Ausgaben],"&gt;="&amp;AB$5,tblAuftraege[Datum
Ausgaben],"&lt;"&amp;EDATE(AB$5,1),tblAuftraege[Kostenstelle],$B61))</f>
        <v/>
      </c>
      <c r="AC61" s="27">
        <f>IF($B61="",0,SUMIFS(tblAuftraege[Kalk.
Ausgaben],tblAuftraege[Datum
Ausgaben],"&gt;="&amp;AC$5,tblAuftraege[Datum
Ausgaben],"&lt;"&amp;EDATE(AC$5,1),tblAuftraege[Kostenstelle],$B61))</f>
        <v/>
      </c>
      <c r="AD61" s="27">
        <f>IF($B61="",0,SUMIFS(tblAuftraege[Kalk.
Ausgaben],tblAuftraege[Datum
Ausgaben],"&gt;="&amp;AD$5,tblAuftraege[Datum
Ausgaben],"&lt;"&amp;EDATE(AD$5,1),tblAuftraege[Kostenstelle],$B61))</f>
        <v/>
      </c>
      <c r="AE61" s="27">
        <f>IF($B61="",0,SUMIFS(tblAuftraege[Kalk.
Ausgaben],tblAuftraege[Datum
Ausgaben],"&gt;="&amp;AE$5,tblAuftraege[Datum
Ausgaben],"&lt;"&amp;EDATE(AE$5,1),tblAuftraege[Kostenstelle],$B61))</f>
        <v/>
      </c>
      <c r="AF61" s="27">
        <f>IF($B61="",0,SUMIFS(tblAuftraege[Kalk.
Ausgaben],tblAuftraege[Datum
Ausgaben],"&gt;="&amp;AF$5,tblAuftraege[Datum
Ausgaben],"&lt;"&amp;EDATE(AF$5,1),tblAuftraege[Kostenstelle],$B61))</f>
        <v/>
      </c>
      <c r="AG61" s="27">
        <f>IF($B61="",0,SUMIFS(tblAuftraege[Kalk.
Ausgaben],tblAuftraege[Datum
Ausgaben],"&gt;="&amp;AG$5,tblAuftraege[Datum
Ausgaben],"&lt;"&amp;EDATE(AG$5,1),tblAuftraege[Kostenstelle],$B61))</f>
        <v/>
      </c>
      <c r="AH61" s="27">
        <f>IF($B61="",0,SUMIFS(tblAuftraege[Kalk.
Ausgaben],tblAuftraege[Datum
Ausgaben],"&gt;="&amp;AH$5,tblAuftraege[Datum
Ausgaben],"&lt;"&amp;EDATE(AH$5,1),tblAuftraege[Kostenstelle],$B61))</f>
        <v/>
      </c>
      <c r="AI61" s="27">
        <f>IF($B61="",0,SUMIFS(tblAuftraege[Kalk.
Ausgaben],tblAuftraege[Datum
Ausgaben],"&gt;="&amp;AI$5,tblAuftraege[Datum
Ausgaben],"&lt;"&amp;EDATE(AI$5,1),tblAuftraege[Kostenstelle],$B61))</f>
        <v/>
      </c>
      <c r="AJ61" s="27">
        <f>IF($B61="",0,SUMIFS(tblAuftraege[Kalk.
Ausgaben],tblAuftraege[Datum
Ausgaben],"&gt;="&amp;AJ$5,tblAuftraege[Datum
Ausgaben],"&lt;"&amp;EDATE(AJ$5,1),tblAuftraege[Kostenstelle],$B61))</f>
        <v/>
      </c>
      <c r="AK61" s="27">
        <f>IF($B61="",0,SUMIFS(tblAuftraege[Kalk.
Ausgaben],tblAuftraege[Datum
Ausgaben],"&gt;="&amp;AK$5,tblAuftraege[Datum
Ausgaben],"&lt;"&amp;EDATE(AK$5,1),tblAuftraege[Kostenstelle],$B61))</f>
        <v/>
      </c>
      <c r="AL61" s="27">
        <f>IF($B61="",0,SUMIFS(tblAuftraege[Kalk.
Ausgaben],tblAuftraege[Datum
Ausgaben],"&gt;="&amp;AL$5,tblAuftraege[Datum
Ausgaben],"&lt;"&amp;EDATE(AL$5,1),tblAuftraege[Kostenstelle],$B61))</f>
        <v/>
      </c>
      <c r="AM61" s="27">
        <f>IF($B61="",0,SUMIFS(tblAuftraege[Kalk.
Ausgaben],tblAuftraege[Datum
Ausgaben],"&gt;="&amp;AM$5,tblAuftraege[Datum
Ausgaben],"&lt;"&amp;EDATE(AM$5,1),tblAuftraege[Kostenstelle],$B61))</f>
        <v/>
      </c>
      <c r="AN61" s="27">
        <f>IF($B61="",0,SUMIFS(tblAuftraege[Kalk.
Ausgaben],tblAuftraege[Datum
Ausgaben],"&gt;="&amp;AN$5,tblAuftraege[Datum
Ausgaben],"&lt;"&amp;EDATE(AN$5,1),tblAuftraege[Kostenstelle],$B61))</f>
        <v/>
      </c>
      <c r="AO61" s="27">
        <f>IF($B61="",0,SUMIFS(tblAuftraege[Kalk.
Ausgaben],tblAuftraege[Datum
Ausgaben],"&gt;="&amp;AO$5,tblAuftraege[Datum
Ausgaben],"&lt;"&amp;EDATE(AO$5,1),tblAuftraege[Kostenstelle],$B61))</f>
        <v/>
      </c>
      <c r="AP61" s="27">
        <f>IF($B61="",0,SUMIFS(tblAuftraege[Kalk.
Ausgaben],tblAuftraege[Datum
Ausgaben],"&gt;="&amp;AP$5,tblAuftraege[Datum
Ausgaben],"&lt;"&amp;EDATE(AP$5,1),tblAuftraege[Kostenstelle],$B61))</f>
        <v/>
      </c>
      <c r="AQ61" s="27">
        <f>IF($B61="",0,SUMIFS(tblAuftraege[Kalk.
Ausgaben],tblAuftraege[Datum
Ausgaben],"&gt;="&amp;AQ$5,tblAuftraege[Datum
Ausgaben],"&lt;"&amp;EDATE(AQ$5,1),tblAuftraege[Kostenstelle],$B61))</f>
        <v/>
      </c>
      <c r="AR61" s="27">
        <f>IF($B61="",0,SUMIFS(tblAuftraege[Kalk.
Ausgaben],tblAuftraege[Datum
Ausgaben],"&gt;="&amp;AR$5,tblAuftraege[Datum
Ausgaben],"&lt;"&amp;EDATE(AR$5,1),tblAuftraege[Kostenstelle],$B61))</f>
        <v/>
      </c>
      <c r="AS61" s="27">
        <f>IF($B61="",0,SUMIFS(tblAuftraege[Kalk.
Ausgaben],tblAuftraege[Datum
Ausgaben],"&gt;="&amp;AS$5,tblAuftraege[Datum
Ausgaben],"&lt;"&amp;EDATE(AS$5,1),tblAuftraege[Kostenstelle],$B61))</f>
        <v/>
      </c>
      <c r="AT61" s="27">
        <f>IF($B61="",0,SUMIFS(tblAuftraege[Kalk.
Ausgaben],tblAuftraege[Datum
Ausgaben],"&gt;="&amp;AT$5,tblAuftraege[Datum
Ausgaben],"&lt;"&amp;EDATE(AT$5,1),tblAuftraege[Kostenstelle],$B61))</f>
        <v/>
      </c>
      <c r="AU61" s="27">
        <f>IF($B61="",0,SUMIFS(tblAuftraege[Kalk.
Ausgaben],tblAuftraege[Datum
Ausgaben],"&gt;="&amp;AU$5,tblAuftraege[Datum
Ausgaben],"&lt;"&amp;EDATE(AU$5,1),tblAuftraege[Kostenstelle],$B61))</f>
        <v/>
      </c>
      <c r="AV61" s="27">
        <f>IF($B61="",0,SUMIFS(tblAuftraege[Kalk.
Ausgaben],tblAuftraege[Datum
Ausgaben],"&gt;="&amp;AV$5,tblAuftraege[Datum
Ausgaben],"&lt;"&amp;EDATE(AV$5,1),tblAuftraege[Kostenstelle],$B61))</f>
        <v/>
      </c>
      <c r="AW61" s="27">
        <f>IF($B61="",0,SUMIFS(tblAuftraege[Kalk.
Ausgaben],tblAuftraege[Datum
Ausgaben],"&gt;="&amp;AW$5,tblAuftraege[Datum
Ausgaben],"&lt;"&amp;EDATE(AW$5,1),tblAuftraege[Kostenstelle],$B61))</f>
        <v/>
      </c>
      <c r="AX61" s="27">
        <f>IF($B61="",0,SUMIFS(tblAuftraege[Kalk.
Ausgaben],tblAuftraege[Datum
Ausgaben],"&gt;="&amp;AX$5,tblAuftraege[Datum
Ausgaben],"&lt;"&amp;EDATE(AX$5,1),tblAuftraege[Kostenstelle],$B61))</f>
        <v/>
      </c>
      <c r="AY61" s="27">
        <f>IF($B61="",0,SUMIFS(tblAuftraege[Kalk.
Ausgaben],tblAuftraege[Datum
Ausgaben],"&gt;="&amp;AY$5,tblAuftraege[Datum
Ausgaben],"&lt;"&amp;EDATE(AY$5,1),tblAuftraege[Kostenstelle],$B61))</f>
        <v/>
      </c>
      <c r="AZ61" s="27">
        <f>IF($B61="",0,SUMIFS(tblAuftraege[Kalk.
Ausgaben],tblAuftraege[Datum
Ausgaben],"&gt;="&amp;AZ$5,tblAuftraege[Datum
Ausgaben],"&lt;"&amp;EDATE(AZ$5,1),tblAuftraege[Kostenstelle],$B61))</f>
        <v/>
      </c>
      <c r="BA61" s="27">
        <f>IF($B61="",0,SUMIFS(tblAuftraege[Kalk.
Ausgaben],tblAuftraege[Datum
Ausgaben],"&gt;="&amp;BA$5,tblAuftraege[Datum
Ausgaben],"&lt;"&amp;EDATE(BA$5,1),tblAuftraege[Kostenstelle],$B61))</f>
        <v/>
      </c>
      <c r="BB61" s="27">
        <f>IF($B61="",0,SUMIFS(tblAuftraege[Kalk.
Ausgaben],tblAuftraege[Datum
Ausgaben],"&gt;="&amp;BB$5,tblAuftraege[Datum
Ausgaben],"&lt;"&amp;EDATE(BB$5,1),tblAuftraege[Kostenstelle],$B61))</f>
        <v/>
      </c>
      <c r="BC61" s="27">
        <f>IF($B61="",0,SUMIFS(tblAuftraege[Kalk.
Ausgaben],tblAuftraege[Datum
Ausgaben],"&gt;="&amp;BC$5,tblAuftraege[Datum
Ausgaben],"&lt;"&amp;EDATE(BC$5,1),tblAuftraege[Kostenstelle],$B61))</f>
        <v/>
      </c>
      <c r="BD61" s="27">
        <f>IF($B61="",0,SUMIFS(tblAuftraege[Kalk.
Ausgaben],tblAuftraege[Datum
Ausgaben],"&gt;="&amp;BD$5,tblAuftraege[Datum
Ausgaben],"&lt;"&amp;EDATE(BD$5,1),tblAuftraege[Kostenstelle],$B61))</f>
        <v/>
      </c>
      <c r="BE61" s="27">
        <f>SUM(C61:H61)</f>
        <v/>
      </c>
      <c r="BF61" s="27">
        <f>SUM(I61:T61)</f>
        <v/>
      </c>
      <c r="BG61" s="27">
        <f>SUM(U61:AF61)</f>
        <v/>
      </c>
      <c r="BH61" s="27">
        <f>SUM(AG61:AR61)</f>
        <v/>
      </c>
      <c r="BI61" s="27">
        <f>SUM(AS61:BD61)</f>
        <v/>
      </c>
      <c r="BJ61" s="27">
        <f>SUM(C61:BD61)</f>
        <v/>
      </c>
    </row>
    <row r="62">
      <c r="A62" s="34" t="n"/>
      <c r="B62" s="49">
        <f>IF(ISBLANK(B28),"",B28)</f>
        <v/>
      </c>
      <c r="C62" s="27">
        <f>IF($B62="",0,SUMIFS(tblAuftraege[Kalk.
Ausgaben],tblAuftraege[Datum
Ausgaben],"&gt;="&amp;C$5,tblAuftraege[Datum
Ausgaben],"&lt;"&amp;EDATE(C$5,1),tblAuftraege[Kostenstelle],$B62))</f>
        <v/>
      </c>
      <c r="D62" s="27">
        <f>IF($B62="",0,SUMIFS(tblAuftraege[Kalk.
Ausgaben],tblAuftraege[Datum
Ausgaben],"&gt;="&amp;D$5,tblAuftraege[Datum
Ausgaben],"&lt;"&amp;EDATE(D$5,1),tblAuftraege[Kostenstelle],$B62))</f>
        <v/>
      </c>
      <c r="E62" s="27">
        <f>IF($B62="",0,SUMIFS(tblAuftraege[Kalk.
Ausgaben],tblAuftraege[Datum
Ausgaben],"&gt;="&amp;E$5,tblAuftraege[Datum
Ausgaben],"&lt;"&amp;EDATE(E$5,1),tblAuftraege[Kostenstelle],$B62))</f>
        <v/>
      </c>
      <c r="F62" s="27">
        <f>IF($B62="",0,SUMIFS(tblAuftraege[Kalk.
Ausgaben],tblAuftraege[Datum
Ausgaben],"&gt;="&amp;F$5,tblAuftraege[Datum
Ausgaben],"&lt;"&amp;EDATE(F$5,1),tblAuftraege[Kostenstelle],$B62))</f>
        <v/>
      </c>
      <c r="G62" s="27">
        <f>IF($B62="",0,SUMIFS(tblAuftraege[Kalk.
Ausgaben],tblAuftraege[Datum
Ausgaben],"&gt;="&amp;G$5,tblAuftraege[Datum
Ausgaben],"&lt;"&amp;EDATE(G$5,1),tblAuftraege[Kostenstelle],$B62))</f>
        <v/>
      </c>
      <c r="H62" s="27">
        <f>IF($B62="",0,SUMIFS(tblAuftraege[Kalk.
Ausgaben],tblAuftraege[Datum
Ausgaben],"&gt;="&amp;H$5,tblAuftraege[Datum
Ausgaben],"&lt;"&amp;EDATE(H$5,1),tblAuftraege[Kostenstelle],$B62))</f>
        <v/>
      </c>
      <c r="I62" s="27">
        <f>IF($B62="",0,SUMIFS(tblAuftraege[Kalk.
Ausgaben],tblAuftraege[Datum
Ausgaben],"&gt;="&amp;I$5,tblAuftraege[Datum
Ausgaben],"&lt;"&amp;EDATE(I$5,1),tblAuftraege[Kostenstelle],$B62))</f>
        <v/>
      </c>
      <c r="J62" s="27">
        <f>IF($B62="",0,SUMIFS(tblAuftraege[Kalk.
Ausgaben],tblAuftraege[Datum
Ausgaben],"&gt;="&amp;J$5,tblAuftraege[Datum
Ausgaben],"&lt;"&amp;EDATE(J$5,1),tblAuftraege[Kostenstelle],$B62))</f>
        <v/>
      </c>
      <c r="K62" s="27">
        <f>IF($B62="",0,SUMIFS(tblAuftraege[Kalk.
Ausgaben],tblAuftraege[Datum
Ausgaben],"&gt;="&amp;K$5,tblAuftraege[Datum
Ausgaben],"&lt;"&amp;EDATE(K$5,1),tblAuftraege[Kostenstelle],$B62))</f>
        <v/>
      </c>
      <c r="L62" s="27">
        <f>IF($B62="",0,SUMIFS(tblAuftraege[Kalk.
Ausgaben],tblAuftraege[Datum
Ausgaben],"&gt;="&amp;L$5,tblAuftraege[Datum
Ausgaben],"&lt;"&amp;EDATE(L$5,1),tblAuftraege[Kostenstelle],$B62))</f>
        <v/>
      </c>
      <c r="M62" s="27">
        <f>IF($B62="",0,SUMIFS(tblAuftraege[Kalk.
Ausgaben],tblAuftraege[Datum
Ausgaben],"&gt;="&amp;M$5,tblAuftraege[Datum
Ausgaben],"&lt;"&amp;EDATE(M$5,1),tblAuftraege[Kostenstelle],$B62))</f>
        <v/>
      </c>
      <c r="N62" s="27">
        <f>IF($B62="",0,SUMIFS(tblAuftraege[Kalk.
Ausgaben],tblAuftraege[Datum
Ausgaben],"&gt;="&amp;N$5,tblAuftraege[Datum
Ausgaben],"&lt;"&amp;EDATE(N$5,1),tblAuftraege[Kostenstelle],$B62))</f>
        <v/>
      </c>
      <c r="O62" s="27">
        <f>IF($B62="",0,SUMIFS(tblAuftraege[Kalk.
Ausgaben],tblAuftraege[Datum
Ausgaben],"&gt;="&amp;O$5,tblAuftraege[Datum
Ausgaben],"&lt;"&amp;EDATE(O$5,1),tblAuftraege[Kostenstelle],$B62))</f>
        <v/>
      </c>
      <c r="P62" s="27">
        <f>IF($B62="",0,SUMIFS(tblAuftraege[Kalk.
Ausgaben],tblAuftraege[Datum
Ausgaben],"&gt;="&amp;P$5,tblAuftraege[Datum
Ausgaben],"&lt;"&amp;EDATE(P$5,1),tblAuftraege[Kostenstelle],$B62))</f>
        <v/>
      </c>
      <c r="Q62" s="27">
        <f>IF($B62="",0,SUMIFS(tblAuftraege[Kalk.
Ausgaben],tblAuftraege[Datum
Ausgaben],"&gt;="&amp;Q$5,tblAuftraege[Datum
Ausgaben],"&lt;"&amp;EDATE(Q$5,1),tblAuftraege[Kostenstelle],$B62))</f>
        <v/>
      </c>
      <c r="R62" s="27">
        <f>IF($B62="",0,SUMIFS(tblAuftraege[Kalk.
Ausgaben],tblAuftraege[Datum
Ausgaben],"&gt;="&amp;R$5,tblAuftraege[Datum
Ausgaben],"&lt;"&amp;EDATE(R$5,1),tblAuftraege[Kostenstelle],$B62))</f>
        <v/>
      </c>
      <c r="S62" s="27">
        <f>IF($B62="",0,SUMIFS(tblAuftraege[Kalk.
Ausgaben],tblAuftraege[Datum
Ausgaben],"&gt;="&amp;S$5,tblAuftraege[Datum
Ausgaben],"&lt;"&amp;EDATE(S$5,1),tblAuftraege[Kostenstelle],$B62))</f>
        <v/>
      </c>
      <c r="T62" s="27">
        <f>IF($B62="",0,SUMIFS(tblAuftraege[Kalk.
Ausgaben],tblAuftraege[Datum
Ausgaben],"&gt;="&amp;T$5,tblAuftraege[Datum
Ausgaben],"&lt;"&amp;EDATE(T$5,1),tblAuftraege[Kostenstelle],$B62))</f>
        <v/>
      </c>
      <c r="U62" s="27">
        <f>IF($B62="",0,SUMIFS(tblAuftraege[Kalk.
Ausgaben],tblAuftraege[Datum
Ausgaben],"&gt;="&amp;U$5,tblAuftraege[Datum
Ausgaben],"&lt;"&amp;EDATE(U$5,1),tblAuftraege[Kostenstelle],$B62))</f>
        <v/>
      </c>
      <c r="V62" s="27">
        <f>IF($B62="",0,SUMIFS(tblAuftraege[Kalk.
Ausgaben],tblAuftraege[Datum
Ausgaben],"&gt;="&amp;V$5,tblAuftraege[Datum
Ausgaben],"&lt;"&amp;EDATE(V$5,1),tblAuftraege[Kostenstelle],$B62))</f>
        <v/>
      </c>
      <c r="W62" s="27">
        <f>IF($B62="",0,SUMIFS(tblAuftraege[Kalk.
Ausgaben],tblAuftraege[Datum
Ausgaben],"&gt;="&amp;W$5,tblAuftraege[Datum
Ausgaben],"&lt;"&amp;EDATE(W$5,1),tblAuftraege[Kostenstelle],$B62))</f>
        <v/>
      </c>
      <c r="X62" s="27">
        <f>IF($B62="",0,SUMIFS(tblAuftraege[Kalk.
Ausgaben],tblAuftraege[Datum
Ausgaben],"&gt;="&amp;X$5,tblAuftraege[Datum
Ausgaben],"&lt;"&amp;EDATE(X$5,1),tblAuftraege[Kostenstelle],$B62))</f>
        <v/>
      </c>
      <c r="Y62" s="27">
        <f>IF($B62="",0,SUMIFS(tblAuftraege[Kalk.
Ausgaben],tblAuftraege[Datum
Ausgaben],"&gt;="&amp;Y$5,tblAuftraege[Datum
Ausgaben],"&lt;"&amp;EDATE(Y$5,1),tblAuftraege[Kostenstelle],$B62))</f>
        <v/>
      </c>
      <c r="Z62" s="27">
        <f>IF($B62="",0,SUMIFS(tblAuftraege[Kalk.
Ausgaben],tblAuftraege[Datum
Ausgaben],"&gt;="&amp;Z$5,tblAuftraege[Datum
Ausgaben],"&lt;"&amp;EDATE(Z$5,1),tblAuftraege[Kostenstelle],$B62))</f>
        <v/>
      </c>
      <c r="AA62" s="27">
        <f>IF($B62="",0,SUMIFS(tblAuftraege[Kalk.
Ausgaben],tblAuftraege[Datum
Ausgaben],"&gt;="&amp;AA$5,tblAuftraege[Datum
Ausgaben],"&lt;"&amp;EDATE(AA$5,1),tblAuftraege[Kostenstelle],$B62))</f>
        <v/>
      </c>
      <c r="AB62" s="27">
        <f>IF($B62="",0,SUMIFS(tblAuftraege[Kalk.
Ausgaben],tblAuftraege[Datum
Ausgaben],"&gt;="&amp;AB$5,tblAuftraege[Datum
Ausgaben],"&lt;"&amp;EDATE(AB$5,1),tblAuftraege[Kostenstelle],$B62))</f>
        <v/>
      </c>
      <c r="AC62" s="27">
        <f>IF($B62="",0,SUMIFS(tblAuftraege[Kalk.
Ausgaben],tblAuftraege[Datum
Ausgaben],"&gt;="&amp;AC$5,tblAuftraege[Datum
Ausgaben],"&lt;"&amp;EDATE(AC$5,1),tblAuftraege[Kostenstelle],$B62))</f>
        <v/>
      </c>
      <c r="AD62" s="27">
        <f>IF($B62="",0,SUMIFS(tblAuftraege[Kalk.
Ausgaben],tblAuftraege[Datum
Ausgaben],"&gt;="&amp;AD$5,tblAuftraege[Datum
Ausgaben],"&lt;"&amp;EDATE(AD$5,1),tblAuftraege[Kostenstelle],$B62))</f>
        <v/>
      </c>
      <c r="AE62" s="27">
        <f>IF($B62="",0,SUMIFS(tblAuftraege[Kalk.
Ausgaben],tblAuftraege[Datum
Ausgaben],"&gt;="&amp;AE$5,tblAuftraege[Datum
Ausgaben],"&lt;"&amp;EDATE(AE$5,1),tblAuftraege[Kostenstelle],$B62))</f>
        <v/>
      </c>
      <c r="AF62" s="27">
        <f>IF($B62="",0,SUMIFS(tblAuftraege[Kalk.
Ausgaben],tblAuftraege[Datum
Ausgaben],"&gt;="&amp;AF$5,tblAuftraege[Datum
Ausgaben],"&lt;"&amp;EDATE(AF$5,1),tblAuftraege[Kostenstelle],$B62))</f>
        <v/>
      </c>
      <c r="AG62" s="27">
        <f>IF($B62="",0,SUMIFS(tblAuftraege[Kalk.
Ausgaben],tblAuftraege[Datum
Ausgaben],"&gt;="&amp;AG$5,tblAuftraege[Datum
Ausgaben],"&lt;"&amp;EDATE(AG$5,1),tblAuftraege[Kostenstelle],$B62))</f>
        <v/>
      </c>
      <c r="AH62" s="27">
        <f>IF($B62="",0,SUMIFS(tblAuftraege[Kalk.
Ausgaben],tblAuftraege[Datum
Ausgaben],"&gt;="&amp;AH$5,tblAuftraege[Datum
Ausgaben],"&lt;"&amp;EDATE(AH$5,1),tblAuftraege[Kostenstelle],$B62))</f>
        <v/>
      </c>
      <c r="AI62" s="27">
        <f>IF($B62="",0,SUMIFS(tblAuftraege[Kalk.
Ausgaben],tblAuftraege[Datum
Ausgaben],"&gt;="&amp;AI$5,tblAuftraege[Datum
Ausgaben],"&lt;"&amp;EDATE(AI$5,1),tblAuftraege[Kostenstelle],$B62))</f>
        <v/>
      </c>
      <c r="AJ62" s="27">
        <f>IF($B62="",0,SUMIFS(tblAuftraege[Kalk.
Ausgaben],tblAuftraege[Datum
Ausgaben],"&gt;="&amp;AJ$5,tblAuftraege[Datum
Ausgaben],"&lt;"&amp;EDATE(AJ$5,1),tblAuftraege[Kostenstelle],$B62))</f>
        <v/>
      </c>
      <c r="AK62" s="27">
        <f>IF($B62="",0,SUMIFS(tblAuftraege[Kalk.
Ausgaben],tblAuftraege[Datum
Ausgaben],"&gt;="&amp;AK$5,tblAuftraege[Datum
Ausgaben],"&lt;"&amp;EDATE(AK$5,1),tblAuftraege[Kostenstelle],$B62))</f>
        <v/>
      </c>
      <c r="AL62" s="27">
        <f>IF($B62="",0,SUMIFS(tblAuftraege[Kalk.
Ausgaben],tblAuftraege[Datum
Ausgaben],"&gt;="&amp;AL$5,tblAuftraege[Datum
Ausgaben],"&lt;"&amp;EDATE(AL$5,1),tblAuftraege[Kostenstelle],$B62))</f>
        <v/>
      </c>
      <c r="AM62" s="27">
        <f>IF($B62="",0,SUMIFS(tblAuftraege[Kalk.
Ausgaben],tblAuftraege[Datum
Ausgaben],"&gt;="&amp;AM$5,tblAuftraege[Datum
Ausgaben],"&lt;"&amp;EDATE(AM$5,1),tblAuftraege[Kostenstelle],$B62))</f>
        <v/>
      </c>
      <c r="AN62" s="27">
        <f>IF($B62="",0,SUMIFS(tblAuftraege[Kalk.
Ausgaben],tblAuftraege[Datum
Ausgaben],"&gt;="&amp;AN$5,tblAuftraege[Datum
Ausgaben],"&lt;"&amp;EDATE(AN$5,1),tblAuftraege[Kostenstelle],$B62))</f>
        <v/>
      </c>
      <c r="AO62" s="27">
        <f>IF($B62="",0,SUMIFS(tblAuftraege[Kalk.
Ausgaben],tblAuftraege[Datum
Ausgaben],"&gt;="&amp;AO$5,tblAuftraege[Datum
Ausgaben],"&lt;"&amp;EDATE(AO$5,1),tblAuftraege[Kostenstelle],$B62))</f>
        <v/>
      </c>
      <c r="AP62" s="27">
        <f>IF($B62="",0,SUMIFS(tblAuftraege[Kalk.
Ausgaben],tblAuftraege[Datum
Ausgaben],"&gt;="&amp;AP$5,tblAuftraege[Datum
Ausgaben],"&lt;"&amp;EDATE(AP$5,1),tblAuftraege[Kostenstelle],$B62))</f>
        <v/>
      </c>
      <c r="AQ62" s="27">
        <f>IF($B62="",0,SUMIFS(tblAuftraege[Kalk.
Ausgaben],tblAuftraege[Datum
Ausgaben],"&gt;="&amp;AQ$5,tblAuftraege[Datum
Ausgaben],"&lt;"&amp;EDATE(AQ$5,1),tblAuftraege[Kostenstelle],$B62))</f>
        <v/>
      </c>
      <c r="AR62" s="27">
        <f>IF($B62="",0,SUMIFS(tblAuftraege[Kalk.
Ausgaben],tblAuftraege[Datum
Ausgaben],"&gt;="&amp;AR$5,tblAuftraege[Datum
Ausgaben],"&lt;"&amp;EDATE(AR$5,1),tblAuftraege[Kostenstelle],$B62))</f>
        <v/>
      </c>
      <c r="AS62" s="27">
        <f>IF($B62="",0,SUMIFS(tblAuftraege[Kalk.
Ausgaben],tblAuftraege[Datum
Ausgaben],"&gt;="&amp;AS$5,tblAuftraege[Datum
Ausgaben],"&lt;"&amp;EDATE(AS$5,1),tblAuftraege[Kostenstelle],$B62))</f>
        <v/>
      </c>
      <c r="AT62" s="27">
        <f>IF($B62="",0,SUMIFS(tblAuftraege[Kalk.
Ausgaben],tblAuftraege[Datum
Ausgaben],"&gt;="&amp;AT$5,tblAuftraege[Datum
Ausgaben],"&lt;"&amp;EDATE(AT$5,1),tblAuftraege[Kostenstelle],$B62))</f>
        <v/>
      </c>
      <c r="AU62" s="27">
        <f>IF($B62="",0,SUMIFS(tblAuftraege[Kalk.
Ausgaben],tblAuftraege[Datum
Ausgaben],"&gt;="&amp;AU$5,tblAuftraege[Datum
Ausgaben],"&lt;"&amp;EDATE(AU$5,1),tblAuftraege[Kostenstelle],$B62))</f>
        <v/>
      </c>
      <c r="AV62" s="27">
        <f>IF($B62="",0,SUMIFS(tblAuftraege[Kalk.
Ausgaben],tblAuftraege[Datum
Ausgaben],"&gt;="&amp;AV$5,tblAuftraege[Datum
Ausgaben],"&lt;"&amp;EDATE(AV$5,1),tblAuftraege[Kostenstelle],$B62))</f>
        <v/>
      </c>
      <c r="AW62" s="27">
        <f>IF($B62="",0,SUMIFS(tblAuftraege[Kalk.
Ausgaben],tblAuftraege[Datum
Ausgaben],"&gt;="&amp;AW$5,tblAuftraege[Datum
Ausgaben],"&lt;"&amp;EDATE(AW$5,1),tblAuftraege[Kostenstelle],$B62))</f>
        <v/>
      </c>
      <c r="AX62" s="27">
        <f>IF($B62="",0,SUMIFS(tblAuftraege[Kalk.
Ausgaben],tblAuftraege[Datum
Ausgaben],"&gt;="&amp;AX$5,tblAuftraege[Datum
Ausgaben],"&lt;"&amp;EDATE(AX$5,1),tblAuftraege[Kostenstelle],$B62))</f>
        <v/>
      </c>
      <c r="AY62" s="27">
        <f>IF($B62="",0,SUMIFS(tblAuftraege[Kalk.
Ausgaben],tblAuftraege[Datum
Ausgaben],"&gt;="&amp;AY$5,tblAuftraege[Datum
Ausgaben],"&lt;"&amp;EDATE(AY$5,1),tblAuftraege[Kostenstelle],$B62))</f>
        <v/>
      </c>
      <c r="AZ62" s="27">
        <f>IF($B62="",0,SUMIFS(tblAuftraege[Kalk.
Ausgaben],tblAuftraege[Datum
Ausgaben],"&gt;="&amp;AZ$5,tblAuftraege[Datum
Ausgaben],"&lt;"&amp;EDATE(AZ$5,1),tblAuftraege[Kostenstelle],$B62))</f>
        <v/>
      </c>
      <c r="BA62" s="27">
        <f>IF($B62="",0,SUMIFS(tblAuftraege[Kalk.
Ausgaben],tblAuftraege[Datum
Ausgaben],"&gt;="&amp;BA$5,tblAuftraege[Datum
Ausgaben],"&lt;"&amp;EDATE(BA$5,1),tblAuftraege[Kostenstelle],$B62))</f>
        <v/>
      </c>
      <c r="BB62" s="27">
        <f>IF($B62="",0,SUMIFS(tblAuftraege[Kalk.
Ausgaben],tblAuftraege[Datum
Ausgaben],"&gt;="&amp;BB$5,tblAuftraege[Datum
Ausgaben],"&lt;"&amp;EDATE(BB$5,1),tblAuftraege[Kostenstelle],$B62))</f>
        <v/>
      </c>
      <c r="BC62" s="27">
        <f>IF($B62="",0,SUMIFS(tblAuftraege[Kalk.
Ausgaben],tblAuftraege[Datum
Ausgaben],"&gt;="&amp;BC$5,tblAuftraege[Datum
Ausgaben],"&lt;"&amp;EDATE(BC$5,1),tblAuftraege[Kostenstelle],$B62))</f>
        <v/>
      </c>
      <c r="BD62" s="27">
        <f>IF($B62="",0,SUMIFS(tblAuftraege[Kalk.
Ausgaben],tblAuftraege[Datum
Ausgaben],"&gt;="&amp;BD$5,tblAuftraege[Datum
Ausgaben],"&lt;"&amp;EDATE(BD$5,1),tblAuftraege[Kostenstelle],$B62))</f>
        <v/>
      </c>
      <c r="BE62" s="27">
        <f>SUM(C62:H62)</f>
        <v/>
      </c>
      <c r="BF62" s="27">
        <f>SUM(I62:T62)</f>
        <v/>
      </c>
      <c r="BG62" s="27">
        <f>SUM(U62:AF62)</f>
        <v/>
      </c>
      <c r="BH62" s="27">
        <f>SUM(AG62:AR62)</f>
        <v/>
      </c>
      <c r="BI62" s="27">
        <f>SUM(AS62:BD62)</f>
        <v/>
      </c>
      <c r="BJ62" s="27">
        <f>SUM(C62:BD62)</f>
        <v/>
      </c>
    </row>
    <row r="63">
      <c r="A63" s="34" t="n"/>
      <c r="B63" s="49">
        <f>IF(ISBLANK(B29),"",B29)</f>
        <v/>
      </c>
      <c r="C63" s="27">
        <f>IF($B63="",0,SUMIFS(tblAuftraege[Kalk.
Ausgaben],tblAuftraege[Datum
Ausgaben],"&gt;="&amp;C$5,tblAuftraege[Datum
Ausgaben],"&lt;"&amp;EDATE(C$5,1),tblAuftraege[Kostenstelle],$B63))</f>
        <v/>
      </c>
      <c r="D63" s="27">
        <f>IF($B63="",0,SUMIFS(tblAuftraege[Kalk.
Ausgaben],tblAuftraege[Datum
Ausgaben],"&gt;="&amp;D$5,tblAuftraege[Datum
Ausgaben],"&lt;"&amp;EDATE(D$5,1),tblAuftraege[Kostenstelle],$B63))</f>
        <v/>
      </c>
      <c r="E63" s="27">
        <f>IF($B63="",0,SUMIFS(tblAuftraege[Kalk.
Ausgaben],tblAuftraege[Datum
Ausgaben],"&gt;="&amp;E$5,tblAuftraege[Datum
Ausgaben],"&lt;"&amp;EDATE(E$5,1),tblAuftraege[Kostenstelle],$B63))</f>
        <v/>
      </c>
      <c r="F63" s="27">
        <f>IF($B63="",0,SUMIFS(tblAuftraege[Kalk.
Ausgaben],tblAuftraege[Datum
Ausgaben],"&gt;="&amp;F$5,tblAuftraege[Datum
Ausgaben],"&lt;"&amp;EDATE(F$5,1),tblAuftraege[Kostenstelle],$B63))</f>
        <v/>
      </c>
      <c r="G63" s="27">
        <f>IF($B63="",0,SUMIFS(tblAuftraege[Kalk.
Ausgaben],tblAuftraege[Datum
Ausgaben],"&gt;="&amp;G$5,tblAuftraege[Datum
Ausgaben],"&lt;"&amp;EDATE(G$5,1),tblAuftraege[Kostenstelle],$B63))</f>
        <v/>
      </c>
      <c r="H63" s="27">
        <f>IF($B63="",0,SUMIFS(tblAuftraege[Kalk.
Ausgaben],tblAuftraege[Datum
Ausgaben],"&gt;="&amp;H$5,tblAuftraege[Datum
Ausgaben],"&lt;"&amp;EDATE(H$5,1),tblAuftraege[Kostenstelle],$B63))</f>
        <v/>
      </c>
      <c r="I63" s="27">
        <f>IF($B63="",0,SUMIFS(tblAuftraege[Kalk.
Ausgaben],tblAuftraege[Datum
Ausgaben],"&gt;="&amp;I$5,tblAuftraege[Datum
Ausgaben],"&lt;"&amp;EDATE(I$5,1),tblAuftraege[Kostenstelle],$B63))</f>
        <v/>
      </c>
      <c r="J63" s="27">
        <f>IF($B63="",0,SUMIFS(tblAuftraege[Kalk.
Ausgaben],tblAuftraege[Datum
Ausgaben],"&gt;="&amp;J$5,tblAuftraege[Datum
Ausgaben],"&lt;"&amp;EDATE(J$5,1),tblAuftraege[Kostenstelle],$B63))</f>
        <v/>
      </c>
      <c r="K63" s="27">
        <f>IF($B63="",0,SUMIFS(tblAuftraege[Kalk.
Ausgaben],tblAuftraege[Datum
Ausgaben],"&gt;="&amp;K$5,tblAuftraege[Datum
Ausgaben],"&lt;"&amp;EDATE(K$5,1),tblAuftraege[Kostenstelle],$B63))</f>
        <v/>
      </c>
      <c r="L63" s="27">
        <f>IF($B63="",0,SUMIFS(tblAuftraege[Kalk.
Ausgaben],tblAuftraege[Datum
Ausgaben],"&gt;="&amp;L$5,tblAuftraege[Datum
Ausgaben],"&lt;"&amp;EDATE(L$5,1),tblAuftraege[Kostenstelle],$B63))</f>
        <v/>
      </c>
      <c r="M63" s="27">
        <f>IF($B63="",0,SUMIFS(tblAuftraege[Kalk.
Ausgaben],tblAuftraege[Datum
Ausgaben],"&gt;="&amp;M$5,tblAuftraege[Datum
Ausgaben],"&lt;"&amp;EDATE(M$5,1),tblAuftraege[Kostenstelle],$B63))</f>
        <v/>
      </c>
      <c r="N63" s="27">
        <f>IF($B63="",0,SUMIFS(tblAuftraege[Kalk.
Ausgaben],tblAuftraege[Datum
Ausgaben],"&gt;="&amp;N$5,tblAuftraege[Datum
Ausgaben],"&lt;"&amp;EDATE(N$5,1),tblAuftraege[Kostenstelle],$B63))</f>
        <v/>
      </c>
      <c r="O63" s="27">
        <f>IF($B63="",0,SUMIFS(tblAuftraege[Kalk.
Ausgaben],tblAuftraege[Datum
Ausgaben],"&gt;="&amp;O$5,tblAuftraege[Datum
Ausgaben],"&lt;"&amp;EDATE(O$5,1),tblAuftraege[Kostenstelle],$B63))</f>
        <v/>
      </c>
      <c r="P63" s="27">
        <f>IF($B63="",0,SUMIFS(tblAuftraege[Kalk.
Ausgaben],tblAuftraege[Datum
Ausgaben],"&gt;="&amp;P$5,tblAuftraege[Datum
Ausgaben],"&lt;"&amp;EDATE(P$5,1),tblAuftraege[Kostenstelle],$B63))</f>
        <v/>
      </c>
      <c r="Q63" s="27">
        <f>IF($B63="",0,SUMIFS(tblAuftraege[Kalk.
Ausgaben],tblAuftraege[Datum
Ausgaben],"&gt;="&amp;Q$5,tblAuftraege[Datum
Ausgaben],"&lt;"&amp;EDATE(Q$5,1),tblAuftraege[Kostenstelle],$B63))</f>
        <v/>
      </c>
      <c r="R63" s="27">
        <f>IF($B63="",0,SUMIFS(tblAuftraege[Kalk.
Ausgaben],tblAuftraege[Datum
Ausgaben],"&gt;="&amp;R$5,tblAuftraege[Datum
Ausgaben],"&lt;"&amp;EDATE(R$5,1),tblAuftraege[Kostenstelle],$B63))</f>
        <v/>
      </c>
      <c r="S63" s="27">
        <f>IF($B63="",0,SUMIFS(tblAuftraege[Kalk.
Ausgaben],tblAuftraege[Datum
Ausgaben],"&gt;="&amp;S$5,tblAuftraege[Datum
Ausgaben],"&lt;"&amp;EDATE(S$5,1),tblAuftraege[Kostenstelle],$B63))</f>
        <v/>
      </c>
      <c r="T63" s="27">
        <f>IF($B63="",0,SUMIFS(tblAuftraege[Kalk.
Ausgaben],tblAuftraege[Datum
Ausgaben],"&gt;="&amp;T$5,tblAuftraege[Datum
Ausgaben],"&lt;"&amp;EDATE(T$5,1),tblAuftraege[Kostenstelle],$B63))</f>
        <v/>
      </c>
      <c r="U63" s="27">
        <f>IF($B63="",0,SUMIFS(tblAuftraege[Kalk.
Ausgaben],tblAuftraege[Datum
Ausgaben],"&gt;="&amp;U$5,tblAuftraege[Datum
Ausgaben],"&lt;"&amp;EDATE(U$5,1),tblAuftraege[Kostenstelle],$B63))</f>
        <v/>
      </c>
      <c r="V63" s="27">
        <f>IF($B63="",0,SUMIFS(tblAuftraege[Kalk.
Ausgaben],tblAuftraege[Datum
Ausgaben],"&gt;="&amp;V$5,tblAuftraege[Datum
Ausgaben],"&lt;"&amp;EDATE(V$5,1),tblAuftraege[Kostenstelle],$B63))</f>
        <v/>
      </c>
      <c r="W63" s="27">
        <f>IF($B63="",0,SUMIFS(tblAuftraege[Kalk.
Ausgaben],tblAuftraege[Datum
Ausgaben],"&gt;="&amp;W$5,tblAuftraege[Datum
Ausgaben],"&lt;"&amp;EDATE(W$5,1),tblAuftraege[Kostenstelle],$B63))</f>
        <v/>
      </c>
      <c r="X63" s="27">
        <f>IF($B63="",0,SUMIFS(tblAuftraege[Kalk.
Ausgaben],tblAuftraege[Datum
Ausgaben],"&gt;="&amp;X$5,tblAuftraege[Datum
Ausgaben],"&lt;"&amp;EDATE(X$5,1),tblAuftraege[Kostenstelle],$B63))</f>
        <v/>
      </c>
      <c r="Y63" s="27">
        <f>IF($B63="",0,SUMIFS(tblAuftraege[Kalk.
Ausgaben],tblAuftraege[Datum
Ausgaben],"&gt;="&amp;Y$5,tblAuftraege[Datum
Ausgaben],"&lt;"&amp;EDATE(Y$5,1),tblAuftraege[Kostenstelle],$B63))</f>
        <v/>
      </c>
      <c r="Z63" s="27">
        <f>IF($B63="",0,SUMIFS(tblAuftraege[Kalk.
Ausgaben],tblAuftraege[Datum
Ausgaben],"&gt;="&amp;Z$5,tblAuftraege[Datum
Ausgaben],"&lt;"&amp;EDATE(Z$5,1),tblAuftraege[Kostenstelle],$B63))</f>
        <v/>
      </c>
      <c r="AA63" s="27">
        <f>IF($B63="",0,SUMIFS(tblAuftraege[Kalk.
Ausgaben],tblAuftraege[Datum
Ausgaben],"&gt;="&amp;AA$5,tblAuftraege[Datum
Ausgaben],"&lt;"&amp;EDATE(AA$5,1),tblAuftraege[Kostenstelle],$B63))</f>
        <v/>
      </c>
      <c r="AB63" s="27">
        <f>IF($B63="",0,SUMIFS(tblAuftraege[Kalk.
Ausgaben],tblAuftraege[Datum
Ausgaben],"&gt;="&amp;AB$5,tblAuftraege[Datum
Ausgaben],"&lt;"&amp;EDATE(AB$5,1),tblAuftraege[Kostenstelle],$B63))</f>
        <v/>
      </c>
      <c r="AC63" s="27">
        <f>IF($B63="",0,SUMIFS(tblAuftraege[Kalk.
Ausgaben],tblAuftraege[Datum
Ausgaben],"&gt;="&amp;AC$5,tblAuftraege[Datum
Ausgaben],"&lt;"&amp;EDATE(AC$5,1),tblAuftraege[Kostenstelle],$B63))</f>
        <v/>
      </c>
      <c r="AD63" s="27">
        <f>IF($B63="",0,SUMIFS(tblAuftraege[Kalk.
Ausgaben],tblAuftraege[Datum
Ausgaben],"&gt;="&amp;AD$5,tblAuftraege[Datum
Ausgaben],"&lt;"&amp;EDATE(AD$5,1),tblAuftraege[Kostenstelle],$B63))</f>
        <v/>
      </c>
      <c r="AE63" s="27">
        <f>IF($B63="",0,SUMIFS(tblAuftraege[Kalk.
Ausgaben],tblAuftraege[Datum
Ausgaben],"&gt;="&amp;AE$5,tblAuftraege[Datum
Ausgaben],"&lt;"&amp;EDATE(AE$5,1),tblAuftraege[Kostenstelle],$B63))</f>
        <v/>
      </c>
      <c r="AF63" s="27">
        <f>IF($B63="",0,SUMIFS(tblAuftraege[Kalk.
Ausgaben],tblAuftraege[Datum
Ausgaben],"&gt;="&amp;AF$5,tblAuftraege[Datum
Ausgaben],"&lt;"&amp;EDATE(AF$5,1),tblAuftraege[Kostenstelle],$B63))</f>
        <v/>
      </c>
      <c r="AG63" s="27">
        <f>IF($B63="",0,SUMIFS(tblAuftraege[Kalk.
Ausgaben],tblAuftraege[Datum
Ausgaben],"&gt;="&amp;AG$5,tblAuftraege[Datum
Ausgaben],"&lt;"&amp;EDATE(AG$5,1),tblAuftraege[Kostenstelle],$B63))</f>
        <v/>
      </c>
      <c r="AH63" s="27">
        <f>IF($B63="",0,SUMIFS(tblAuftraege[Kalk.
Ausgaben],tblAuftraege[Datum
Ausgaben],"&gt;="&amp;AH$5,tblAuftraege[Datum
Ausgaben],"&lt;"&amp;EDATE(AH$5,1),tblAuftraege[Kostenstelle],$B63))</f>
        <v/>
      </c>
      <c r="AI63" s="27">
        <f>IF($B63="",0,SUMIFS(tblAuftraege[Kalk.
Ausgaben],tblAuftraege[Datum
Ausgaben],"&gt;="&amp;AI$5,tblAuftraege[Datum
Ausgaben],"&lt;"&amp;EDATE(AI$5,1),tblAuftraege[Kostenstelle],$B63))</f>
        <v/>
      </c>
      <c r="AJ63" s="27">
        <f>IF($B63="",0,SUMIFS(tblAuftraege[Kalk.
Ausgaben],tblAuftraege[Datum
Ausgaben],"&gt;="&amp;AJ$5,tblAuftraege[Datum
Ausgaben],"&lt;"&amp;EDATE(AJ$5,1),tblAuftraege[Kostenstelle],$B63))</f>
        <v/>
      </c>
      <c r="AK63" s="27">
        <f>IF($B63="",0,SUMIFS(tblAuftraege[Kalk.
Ausgaben],tblAuftraege[Datum
Ausgaben],"&gt;="&amp;AK$5,tblAuftraege[Datum
Ausgaben],"&lt;"&amp;EDATE(AK$5,1),tblAuftraege[Kostenstelle],$B63))</f>
        <v/>
      </c>
      <c r="AL63" s="27">
        <f>IF($B63="",0,SUMIFS(tblAuftraege[Kalk.
Ausgaben],tblAuftraege[Datum
Ausgaben],"&gt;="&amp;AL$5,tblAuftraege[Datum
Ausgaben],"&lt;"&amp;EDATE(AL$5,1),tblAuftraege[Kostenstelle],$B63))</f>
        <v/>
      </c>
      <c r="AM63" s="27">
        <f>IF($B63="",0,SUMIFS(tblAuftraege[Kalk.
Ausgaben],tblAuftraege[Datum
Ausgaben],"&gt;="&amp;AM$5,tblAuftraege[Datum
Ausgaben],"&lt;"&amp;EDATE(AM$5,1),tblAuftraege[Kostenstelle],$B63))</f>
        <v/>
      </c>
      <c r="AN63" s="27">
        <f>IF($B63="",0,SUMIFS(tblAuftraege[Kalk.
Ausgaben],tblAuftraege[Datum
Ausgaben],"&gt;="&amp;AN$5,tblAuftraege[Datum
Ausgaben],"&lt;"&amp;EDATE(AN$5,1),tblAuftraege[Kostenstelle],$B63))</f>
        <v/>
      </c>
      <c r="AO63" s="27">
        <f>IF($B63="",0,SUMIFS(tblAuftraege[Kalk.
Ausgaben],tblAuftraege[Datum
Ausgaben],"&gt;="&amp;AO$5,tblAuftraege[Datum
Ausgaben],"&lt;"&amp;EDATE(AO$5,1),tblAuftraege[Kostenstelle],$B63))</f>
        <v/>
      </c>
      <c r="AP63" s="27">
        <f>IF($B63="",0,SUMIFS(tblAuftraege[Kalk.
Ausgaben],tblAuftraege[Datum
Ausgaben],"&gt;="&amp;AP$5,tblAuftraege[Datum
Ausgaben],"&lt;"&amp;EDATE(AP$5,1),tblAuftraege[Kostenstelle],$B63))</f>
        <v/>
      </c>
      <c r="AQ63" s="27">
        <f>IF($B63="",0,SUMIFS(tblAuftraege[Kalk.
Ausgaben],tblAuftraege[Datum
Ausgaben],"&gt;="&amp;AQ$5,tblAuftraege[Datum
Ausgaben],"&lt;"&amp;EDATE(AQ$5,1),tblAuftraege[Kostenstelle],$B63))</f>
        <v/>
      </c>
      <c r="AR63" s="27">
        <f>IF($B63="",0,SUMIFS(tblAuftraege[Kalk.
Ausgaben],tblAuftraege[Datum
Ausgaben],"&gt;="&amp;AR$5,tblAuftraege[Datum
Ausgaben],"&lt;"&amp;EDATE(AR$5,1),tblAuftraege[Kostenstelle],$B63))</f>
        <v/>
      </c>
      <c r="AS63" s="27">
        <f>IF($B63="",0,SUMIFS(tblAuftraege[Kalk.
Ausgaben],tblAuftraege[Datum
Ausgaben],"&gt;="&amp;AS$5,tblAuftraege[Datum
Ausgaben],"&lt;"&amp;EDATE(AS$5,1),tblAuftraege[Kostenstelle],$B63))</f>
        <v/>
      </c>
      <c r="AT63" s="27">
        <f>IF($B63="",0,SUMIFS(tblAuftraege[Kalk.
Ausgaben],tblAuftraege[Datum
Ausgaben],"&gt;="&amp;AT$5,tblAuftraege[Datum
Ausgaben],"&lt;"&amp;EDATE(AT$5,1),tblAuftraege[Kostenstelle],$B63))</f>
        <v/>
      </c>
      <c r="AU63" s="27">
        <f>IF($B63="",0,SUMIFS(tblAuftraege[Kalk.
Ausgaben],tblAuftraege[Datum
Ausgaben],"&gt;="&amp;AU$5,tblAuftraege[Datum
Ausgaben],"&lt;"&amp;EDATE(AU$5,1),tblAuftraege[Kostenstelle],$B63))</f>
        <v/>
      </c>
      <c r="AV63" s="27">
        <f>IF($B63="",0,SUMIFS(tblAuftraege[Kalk.
Ausgaben],tblAuftraege[Datum
Ausgaben],"&gt;="&amp;AV$5,tblAuftraege[Datum
Ausgaben],"&lt;"&amp;EDATE(AV$5,1),tblAuftraege[Kostenstelle],$B63))</f>
        <v/>
      </c>
      <c r="AW63" s="27">
        <f>IF($B63="",0,SUMIFS(tblAuftraege[Kalk.
Ausgaben],tblAuftraege[Datum
Ausgaben],"&gt;="&amp;AW$5,tblAuftraege[Datum
Ausgaben],"&lt;"&amp;EDATE(AW$5,1),tblAuftraege[Kostenstelle],$B63))</f>
        <v/>
      </c>
      <c r="AX63" s="27">
        <f>IF($B63="",0,SUMIFS(tblAuftraege[Kalk.
Ausgaben],tblAuftraege[Datum
Ausgaben],"&gt;="&amp;AX$5,tblAuftraege[Datum
Ausgaben],"&lt;"&amp;EDATE(AX$5,1),tblAuftraege[Kostenstelle],$B63))</f>
        <v/>
      </c>
      <c r="AY63" s="27">
        <f>IF($B63="",0,SUMIFS(tblAuftraege[Kalk.
Ausgaben],tblAuftraege[Datum
Ausgaben],"&gt;="&amp;AY$5,tblAuftraege[Datum
Ausgaben],"&lt;"&amp;EDATE(AY$5,1),tblAuftraege[Kostenstelle],$B63))</f>
        <v/>
      </c>
      <c r="AZ63" s="27">
        <f>IF($B63="",0,SUMIFS(tblAuftraege[Kalk.
Ausgaben],tblAuftraege[Datum
Ausgaben],"&gt;="&amp;AZ$5,tblAuftraege[Datum
Ausgaben],"&lt;"&amp;EDATE(AZ$5,1),tblAuftraege[Kostenstelle],$B63))</f>
        <v/>
      </c>
      <c r="BA63" s="27">
        <f>IF($B63="",0,SUMIFS(tblAuftraege[Kalk.
Ausgaben],tblAuftraege[Datum
Ausgaben],"&gt;="&amp;BA$5,tblAuftraege[Datum
Ausgaben],"&lt;"&amp;EDATE(BA$5,1),tblAuftraege[Kostenstelle],$B63))</f>
        <v/>
      </c>
      <c r="BB63" s="27">
        <f>IF($B63="",0,SUMIFS(tblAuftraege[Kalk.
Ausgaben],tblAuftraege[Datum
Ausgaben],"&gt;="&amp;BB$5,tblAuftraege[Datum
Ausgaben],"&lt;"&amp;EDATE(BB$5,1),tblAuftraege[Kostenstelle],$B63))</f>
        <v/>
      </c>
      <c r="BC63" s="27">
        <f>IF($B63="",0,SUMIFS(tblAuftraege[Kalk.
Ausgaben],tblAuftraege[Datum
Ausgaben],"&gt;="&amp;BC$5,tblAuftraege[Datum
Ausgaben],"&lt;"&amp;EDATE(BC$5,1),tblAuftraege[Kostenstelle],$B63))</f>
        <v/>
      </c>
      <c r="BD63" s="27">
        <f>IF($B63="",0,SUMIFS(tblAuftraege[Kalk.
Ausgaben],tblAuftraege[Datum
Ausgaben],"&gt;="&amp;BD$5,tblAuftraege[Datum
Ausgaben],"&lt;"&amp;EDATE(BD$5,1),tblAuftraege[Kostenstelle],$B63))</f>
        <v/>
      </c>
      <c r="BE63" s="27">
        <f>SUM(C63:H63)</f>
        <v/>
      </c>
      <c r="BF63" s="27">
        <f>SUM(I63:T63)</f>
        <v/>
      </c>
      <c r="BG63" s="27">
        <f>SUM(U63:AF63)</f>
        <v/>
      </c>
      <c r="BH63" s="27">
        <f>SUM(AG63:AR63)</f>
        <v/>
      </c>
      <c r="BI63" s="27">
        <f>SUM(AS63:BD63)</f>
        <v/>
      </c>
      <c r="BJ63" s="27">
        <f>SUM(C63:BD63)</f>
        <v/>
      </c>
    </row>
    <row r="64">
      <c r="A64" s="34" t="n"/>
      <c r="B64" s="49">
        <f>IF(ISBLANK(B30),"",B30)</f>
        <v/>
      </c>
      <c r="C64" s="27">
        <f>IF($B64="",0,SUMIFS(tblAuftraege[Kalk.
Ausgaben],tblAuftraege[Datum
Ausgaben],"&gt;="&amp;C$5,tblAuftraege[Datum
Ausgaben],"&lt;"&amp;EDATE(C$5,1),tblAuftraege[Kostenstelle],$B64))</f>
        <v/>
      </c>
      <c r="D64" s="27">
        <f>IF($B64="",0,SUMIFS(tblAuftraege[Kalk.
Ausgaben],tblAuftraege[Datum
Ausgaben],"&gt;="&amp;D$5,tblAuftraege[Datum
Ausgaben],"&lt;"&amp;EDATE(D$5,1),tblAuftraege[Kostenstelle],$B64))</f>
        <v/>
      </c>
      <c r="E64" s="27">
        <f>IF($B64="",0,SUMIFS(tblAuftraege[Kalk.
Ausgaben],tblAuftraege[Datum
Ausgaben],"&gt;="&amp;E$5,tblAuftraege[Datum
Ausgaben],"&lt;"&amp;EDATE(E$5,1),tblAuftraege[Kostenstelle],$B64))</f>
        <v/>
      </c>
      <c r="F64" s="27">
        <f>IF($B64="",0,SUMIFS(tblAuftraege[Kalk.
Ausgaben],tblAuftraege[Datum
Ausgaben],"&gt;="&amp;F$5,tblAuftraege[Datum
Ausgaben],"&lt;"&amp;EDATE(F$5,1),tblAuftraege[Kostenstelle],$B64))</f>
        <v/>
      </c>
      <c r="G64" s="27">
        <f>IF($B64="",0,SUMIFS(tblAuftraege[Kalk.
Ausgaben],tblAuftraege[Datum
Ausgaben],"&gt;="&amp;G$5,tblAuftraege[Datum
Ausgaben],"&lt;"&amp;EDATE(G$5,1),tblAuftraege[Kostenstelle],$B64))</f>
        <v/>
      </c>
      <c r="H64" s="27">
        <f>IF($B64="",0,SUMIFS(tblAuftraege[Kalk.
Ausgaben],tblAuftraege[Datum
Ausgaben],"&gt;="&amp;H$5,tblAuftraege[Datum
Ausgaben],"&lt;"&amp;EDATE(H$5,1),tblAuftraege[Kostenstelle],$B64))</f>
        <v/>
      </c>
      <c r="I64" s="27">
        <f>IF($B64="",0,SUMIFS(tblAuftraege[Kalk.
Ausgaben],tblAuftraege[Datum
Ausgaben],"&gt;="&amp;I$5,tblAuftraege[Datum
Ausgaben],"&lt;"&amp;EDATE(I$5,1),tblAuftraege[Kostenstelle],$B64))</f>
        <v/>
      </c>
      <c r="J64" s="27">
        <f>IF($B64="",0,SUMIFS(tblAuftraege[Kalk.
Ausgaben],tblAuftraege[Datum
Ausgaben],"&gt;="&amp;J$5,tblAuftraege[Datum
Ausgaben],"&lt;"&amp;EDATE(J$5,1),tblAuftraege[Kostenstelle],$B64))</f>
        <v/>
      </c>
      <c r="K64" s="27">
        <f>IF($B64="",0,SUMIFS(tblAuftraege[Kalk.
Ausgaben],tblAuftraege[Datum
Ausgaben],"&gt;="&amp;K$5,tblAuftraege[Datum
Ausgaben],"&lt;"&amp;EDATE(K$5,1),tblAuftraege[Kostenstelle],$B64))</f>
        <v/>
      </c>
      <c r="L64" s="27">
        <f>IF($B64="",0,SUMIFS(tblAuftraege[Kalk.
Ausgaben],tblAuftraege[Datum
Ausgaben],"&gt;="&amp;L$5,tblAuftraege[Datum
Ausgaben],"&lt;"&amp;EDATE(L$5,1),tblAuftraege[Kostenstelle],$B64))</f>
        <v/>
      </c>
      <c r="M64" s="27">
        <f>IF($B64="",0,SUMIFS(tblAuftraege[Kalk.
Ausgaben],tblAuftraege[Datum
Ausgaben],"&gt;="&amp;M$5,tblAuftraege[Datum
Ausgaben],"&lt;"&amp;EDATE(M$5,1),tblAuftraege[Kostenstelle],$B64))</f>
        <v/>
      </c>
      <c r="N64" s="27">
        <f>IF($B64="",0,SUMIFS(tblAuftraege[Kalk.
Ausgaben],tblAuftraege[Datum
Ausgaben],"&gt;="&amp;N$5,tblAuftraege[Datum
Ausgaben],"&lt;"&amp;EDATE(N$5,1),tblAuftraege[Kostenstelle],$B64))</f>
        <v/>
      </c>
      <c r="O64" s="27">
        <f>IF($B64="",0,SUMIFS(tblAuftraege[Kalk.
Ausgaben],tblAuftraege[Datum
Ausgaben],"&gt;="&amp;O$5,tblAuftraege[Datum
Ausgaben],"&lt;"&amp;EDATE(O$5,1),tblAuftraege[Kostenstelle],$B64))</f>
        <v/>
      </c>
      <c r="P64" s="27">
        <f>IF($B64="",0,SUMIFS(tblAuftraege[Kalk.
Ausgaben],tblAuftraege[Datum
Ausgaben],"&gt;="&amp;P$5,tblAuftraege[Datum
Ausgaben],"&lt;"&amp;EDATE(P$5,1),tblAuftraege[Kostenstelle],$B64))</f>
        <v/>
      </c>
      <c r="Q64" s="27">
        <f>IF($B64="",0,SUMIFS(tblAuftraege[Kalk.
Ausgaben],tblAuftraege[Datum
Ausgaben],"&gt;="&amp;Q$5,tblAuftraege[Datum
Ausgaben],"&lt;"&amp;EDATE(Q$5,1),tblAuftraege[Kostenstelle],$B64))</f>
        <v/>
      </c>
      <c r="R64" s="27">
        <f>IF($B64="",0,SUMIFS(tblAuftraege[Kalk.
Ausgaben],tblAuftraege[Datum
Ausgaben],"&gt;="&amp;R$5,tblAuftraege[Datum
Ausgaben],"&lt;"&amp;EDATE(R$5,1),tblAuftraege[Kostenstelle],$B64))</f>
        <v/>
      </c>
      <c r="S64" s="27">
        <f>IF($B64="",0,SUMIFS(tblAuftraege[Kalk.
Ausgaben],tblAuftraege[Datum
Ausgaben],"&gt;="&amp;S$5,tblAuftraege[Datum
Ausgaben],"&lt;"&amp;EDATE(S$5,1),tblAuftraege[Kostenstelle],$B64))</f>
        <v/>
      </c>
      <c r="T64" s="27">
        <f>IF($B64="",0,SUMIFS(tblAuftraege[Kalk.
Ausgaben],tblAuftraege[Datum
Ausgaben],"&gt;="&amp;T$5,tblAuftraege[Datum
Ausgaben],"&lt;"&amp;EDATE(T$5,1),tblAuftraege[Kostenstelle],$B64))</f>
        <v/>
      </c>
      <c r="U64" s="27">
        <f>IF($B64="",0,SUMIFS(tblAuftraege[Kalk.
Ausgaben],tblAuftraege[Datum
Ausgaben],"&gt;="&amp;U$5,tblAuftraege[Datum
Ausgaben],"&lt;"&amp;EDATE(U$5,1),tblAuftraege[Kostenstelle],$B64))</f>
        <v/>
      </c>
      <c r="V64" s="27">
        <f>IF($B64="",0,SUMIFS(tblAuftraege[Kalk.
Ausgaben],tblAuftraege[Datum
Ausgaben],"&gt;="&amp;V$5,tblAuftraege[Datum
Ausgaben],"&lt;"&amp;EDATE(V$5,1),tblAuftraege[Kostenstelle],$B64))</f>
        <v/>
      </c>
      <c r="W64" s="27">
        <f>IF($B64="",0,SUMIFS(tblAuftraege[Kalk.
Ausgaben],tblAuftraege[Datum
Ausgaben],"&gt;="&amp;W$5,tblAuftraege[Datum
Ausgaben],"&lt;"&amp;EDATE(W$5,1),tblAuftraege[Kostenstelle],$B64))</f>
        <v/>
      </c>
      <c r="X64" s="27">
        <f>IF($B64="",0,SUMIFS(tblAuftraege[Kalk.
Ausgaben],tblAuftraege[Datum
Ausgaben],"&gt;="&amp;X$5,tblAuftraege[Datum
Ausgaben],"&lt;"&amp;EDATE(X$5,1),tblAuftraege[Kostenstelle],$B64))</f>
        <v/>
      </c>
      <c r="Y64" s="27">
        <f>IF($B64="",0,SUMIFS(tblAuftraege[Kalk.
Ausgaben],tblAuftraege[Datum
Ausgaben],"&gt;="&amp;Y$5,tblAuftraege[Datum
Ausgaben],"&lt;"&amp;EDATE(Y$5,1),tblAuftraege[Kostenstelle],$B64))</f>
        <v/>
      </c>
      <c r="Z64" s="27">
        <f>IF($B64="",0,SUMIFS(tblAuftraege[Kalk.
Ausgaben],tblAuftraege[Datum
Ausgaben],"&gt;="&amp;Z$5,tblAuftraege[Datum
Ausgaben],"&lt;"&amp;EDATE(Z$5,1),tblAuftraege[Kostenstelle],$B64))</f>
        <v/>
      </c>
      <c r="AA64" s="27">
        <f>IF($B64="",0,SUMIFS(tblAuftraege[Kalk.
Ausgaben],tblAuftraege[Datum
Ausgaben],"&gt;="&amp;AA$5,tblAuftraege[Datum
Ausgaben],"&lt;"&amp;EDATE(AA$5,1),tblAuftraege[Kostenstelle],$B64))</f>
        <v/>
      </c>
      <c r="AB64" s="27">
        <f>IF($B64="",0,SUMIFS(tblAuftraege[Kalk.
Ausgaben],tblAuftraege[Datum
Ausgaben],"&gt;="&amp;AB$5,tblAuftraege[Datum
Ausgaben],"&lt;"&amp;EDATE(AB$5,1),tblAuftraege[Kostenstelle],$B64))</f>
        <v/>
      </c>
      <c r="AC64" s="27">
        <f>IF($B64="",0,SUMIFS(tblAuftraege[Kalk.
Ausgaben],tblAuftraege[Datum
Ausgaben],"&gt;="&amp;AC$5,tblAuftraege[Datum
Ausgaben],"&lt;"&amp;EDATE(AC$5,1),tblAuftraege[Kostenstelle],$B64))</f>
        <v/>
      </c>
      <c r="AD64" s="27">
        <f>IF($B64="",0,SUMIFS(tblAuftraege[Kalk.
Ausgaben],tblAuftraege[Datum
Ausgaben],"&gt;="&amp;AD$5,tblAuftraege[Datum
Ausgaben],"&lt;"&amp;EDATE(AD$5,1),tblAuftraege[Kostenstelle],$B64))</f>
        <v/>
      </c>
      <c r="AE64" s="27">
        <f>IF($B64="",0,SUMIFS(tblAuftraege[Kalk.
Ausgaben],tblAuftraege[Datum
Ausgaben],"&gt;="&amp;AE$5,tblAuftraege[Datum
Ausgaben],"&lt;"&amp;EDATE(AE$5,1),tblAuftraege[Kostenstelle],$B64))</f>
        <v/>
      </c>
      <c r="AF64" s="27">
        <f>IF($B64="",0,SUMIFS(tblAuftraege[Kalk.
Ausgaben],tblAuftraege[Datum
Ausgaben],"&gt;="&amp;AF$5,tblAuftraege[Datum
Ausgaben],"&lt;"&amp;EDATE(AF$5,1),tblAuftraege[Kostenstelle],$B64))</f>
        <v/>
      </c>
      <c r="AG64" s="27">
        <f>IF($B64="",0,SUMIFS(tblAuftraege[Kalk.
Ausgaben],tblAuftraege[Datum
Ausgaben],"&gt;="&amp;AG$5,tblAuftraege[Datum
Ausgaben],"&lt;"&amp;EDATE(AG$5,1),tblAuftraege[Kostenstelle],$B64))</f>
        <v/>
      </c>
      <c r="AH64" s="27">
        <f>IF($B64="",0,SUMIFS(tblAuftraege[Kalk.
Ausgaben],tblAuftraege[Datum
Ausgaben],"&gt;="&amp;AH$5,tblAuftraege[Datum
Ausgaben],"&lt;"&amp;EDATE(AH$5,1),tblAuftraege[Kostenstelle],$B64))</f>
        <v/>
      </c>
      <c r="AI64" s="27">
        <f>IF($B64="",0,SUMIFS(tblAuftraege[Kalk.
Ausgaben],tblAuftraege[Datum
Ausgaben],"&gt;="&amp;AI$5,tblAuftraege[Datum
Ausgaben],"&lt;"&amp;EDATE(AI$5,1),tblAuftraege[Kostenstelle],$B64))</f>
        <v/>
      </c>
      <c r="AJ64" s="27">
        <f>IF($B64="",0,SUMIFS(tblAuftraege[Kalk.
Ausgaben],tblAuftraege[Datum
Ausgaben],"&gt;="&amp;AJ$5,tblAuftraege[Datum
Ausgaben],"&lt;"&amp;EDATE(AJ$5,1),tblAuftraege[Kostenstelle],$B64))</f>
        <v/>
      </c>
      <c r="AK64" s="27">
        <f>IF($B64="",0,SUMIFS(tblAuftraege[Kalk.
Ausgaben],tblAuftraege[Datum
Ausgaben],"&gt;="&amp;AK$5,tblAuftraege[Datum
Ausgaben],"&lt;"&amp;EDATE(AK$5,1),tblAuftraege[Kostenstelle],$B64))</f>
        <v/>
      </c>
      <c r="AL64" s="27">
        <f>IF($B64="",0,SUMIFS(tblAuftraege[Kalk.
Ausgaben],tblAuftraege[Datum
Ausgaben],"&gt;="&amp;AL$5,tblAuftraege[Datum
Ausgaben],"&lt;"&amp;EDATE(AL$5,1),tblAuftraege[Kostenstelle],$B64))</f>
        <v/>
      </c>
      <c r="AM64" s="27">
        <f>IF($B64="",0,SUMIFS(tblAuftraege[Kalk.
Ausgaben],tblAuftraege[Datum
Ausgaben],"&gt;="&amp;AM$5,tblAuftraege[Datum
Ausgaben],"&lt;"&amp;EDATE(AM$5,1),tblAuftraege[Kostenstelle],$B64))</f>
        <v/>
      </c>
      <c r="AN64" s="27">
        <f>IF($B64="",0,SUMIFS(tblAuftraege[Kalk.
Ausgaben],tblAuftraege[Datum
Ausgaben],"&gt;="&amp;AN$5,tblAuftraege[Datum
Ausgaben],"&lt;"&amp;EDATE(AN$5,1),tblAuftraege[Kostenstelle],$B64))</f>
        <v/>
      </c>
      <c r="AO64" s="27">
        <f>IF($B64="",0,SUMIFS(tblAuftraege[Kalk.
Ausgaben],tblAuftraege[Datum
Ausgaben],"&gt;="&amp;AO$5,tblAuftraege[Datum
Ausgaben],"&lt;"&amp;EDATE(AO$5,1),tblAuftraege[Kostenstelle],$B64))</f>
        <v/>
      </c>
      <c r="AP64" s="27">
        <f>IF($B64="",0,SUMIFS(tblAuftraege[Kalk.
Ausgaben],tblAuftraege[Datum
Ausgaben],"&gt;="&amp;AP$5,tblAuftraege[Datum
Ausgaben],"&lt;"&amp;EDATE(AP$5,1),tblAuftraege[Kostenstelle],$B64))</f>
        <v/>
      </c>
      <c r="AQ64" s="27">
        <f>IF($B64="",0,SUMIFS(tblAuftraege[Kalk.
Ausgaben],tblAuftraege[Datum
Ausgaben],"&gt;="&amp;AQ$5,tblAuftraege[Datum
Ausgaben],"&lt;"&amp;EDATE(AQ$5,1),tblAuftraege[Kostenstelle],$B64))</f>
        <v/>
      </c>
      <c r="AR64" s="27">
        <f>IF($B64="",0,SUMIFS(tblAuftraege[Kalk.
Ausgaben],tblAuftraege[Datum
Ausgaben],"&gt;="&amp;AR$5,tblAuftraege[Datum
Ausgaben],"&lt;"&amp;EDATE(AR$5,1),tblAuftraege[Kostenstelle],$B64))</f>
        <v/>
      </c>
      <c r="AS64" s="27">
        <f>IF($B64="",0,SUMIFS(tblAuftraege[Kalk.
Ausgaben],tblAuftraege[Datum
Ausgaben],"&gt;="&amp;AS$5,tblAuftraege[Datum
Ausgaben],"&lt;"&amp;EDATE(AS$5,1),tblAuftraege[Kostenstelle],$B64))</f>
        <v/>
      </c>
      <c r="AT64" s="27">
        <f>IF($B64="",0,SUMIFS(tblAuftraege[Kalk.
Ausgaben],tblAuftraege[Datum
Ausgaben],"&gt;="&amp;AT$5,tblAuftraege[Datum
Ausgaben],"&lt;"&amp;EDATE(AT$5,1),tblAuftraege[Kostenstelle],$B64))</f>
        <v/>
      </c>
      <c r="AU64" s="27">
        <f>IF($B64="",0,SUMIFS(tblAuftraege[Kalk.
Ausgaben],tblAuftraege[Datum
Ausgaben],"&gt;="&amp;AU$5,tblAuftraege[Datum
Ausgaben],"&lt;"&amp;EDATE(AU$5,1),tblAuftraege[Kostenstelle],$B64))</f>
        <v/>
      </c>
      <c r="AV64" s="27">
        <f>IF($B64="",0,SUMIFS(tblAuftraege[Kalk.
Ausgaben],tblAuftraege[Datum
Ausgaben],"&gt;="&amp;AV$5,tblAuftraege[Datum
Ausgaben],"&lt;"&amp;EDATE(AV$5,1),tblAuftraege[Kostenstelle],$B64))</f>
        <v/>
      </c>
      <c r="AW64" s="27">
        <f>IF($B64="",0,SUMIFS(tblAuftraege[Kalk.
Ausgaben],tblAuftraege[Datum
Ausgaben],"&gt;="&amp;AW$5,tblAuftraege[Datum
Ausgaben],"&lt;"&amp;EDATE(AW$5,1),tblAuftraege[Kostenstelle],$B64))</f>
        <v/>
      </c>
      <c r="AX64" s="27">
        <f>IF($B64="",0,SUMIFS(tblAuftraege[Kalk.
Ausgaben],tblAuftraege[Datum
Ausgaben],"&gt;="&amp;AX$5,tblAuftraege[Datum
Ausgaben],"&lt;"&amp;EDATE(AX$5,1),tblAuftraege[Kostenstelle],$B64))</f>
        <v/>
      </c>
      <c r="AY64" s="27">
        <f>IF($B64="",0,SUMIFS(tblAuftraege[Kalk.
Ausgaben],tblAuftraege[Datum
Ausgaben],"&gt;="&amp;AY$5,tblAuftraege[Datum
Ausgaben],"&lt;"&amp;EDATE(AY$5,1),tblAuftraege[Kostenstelle],$B64))</f>
        <v/>
      </c>
      <c r="AZ64" s="27">
        <f>IF($B64="",0,SUMIFS(tblAuftraege[Kalk.
Ausgaben],tblAuftraege[Datum
Ausgaben],"&gt;="&amp;AZ$5,tblAuftraege[Datum
Ausgaben],"&lt;"&amp;EDATE(AZ$5,1),tblAuftraege[Kostenstelle],$B64))</f>
        <v/>
      </c>
      <c r="BA64" s="27">
        <f>IF($B64="",0,SUMIFS(tblAuftraege[Kalk.
Ausgaben],tblAuftraege[Datum
Ausgaben],"&gt;="&amp;BA$5,tblAuftraege[Datum
Ausgaben],"&lt;"&amp;EDATE(BA$5,1),tblAuftraege[Kostenstelle],$B64))</f>
        <v/>
      </c>
      <c r="BB64" s="27">
        <f>IF($B64="",0,SUMIFS(tblAuftraege[Kalk.
Ausgaben],tblAuftraege[Datum
Ausgaben],"&gt;="&amp;BB$5,tblAuftraege[Datum
Ausgaben],"&lt;"&amp;EDATE(BB$5,1),tblAuftraege[Kostenstelle],$B64))</f>
        <v/>
      </c>
      <c r="BC64" s="27">
        <f>IF($B64="",0,SUMIFS(tblAuftraege[Kalk.
Ausgaben],tblAuftraege[Datum
Ausgaben],"&gt;="&amp;BC$5,tblAuftraege[Datum
Ausgaben],"&lt;"&amp;EDATE(BC$5,1),tblAuftraege[Kostenstelle],$B64))</f>
        <v/>
      </c>
      <c r="BD64" s="27">
        <f>IF($B64="",0,SUMIFS(tblAuftraege[Kalk.
Ausgaben],tblAuftraege[Datum
Ausgaben],"&gt;="&amp;BD$5,tblAuftraege[Datum
Ausgaben],"&lt;"&amp;EDATE(BD$5,1),tblAuftraege[Kostenstelle],$B64))</f>
        <v/>
      </c>
      <c r="BE64" s="27">
        <f>SUM(C64:H64)</f>
        <v/>
      </c>
      <c r="BF64" s="27">
        <f>SUM(I64:T64)</f>
        <v/>
      </c>
      <c r="BG64" s="27">
        <f>SUM(U64:AF64)</f>
        <v/>
      </c>
      <c r="BH64" s="27">
        <f>SUM(AG64:AR64)</f>
        <v/>
      </c>
      <c r="BI64" s="27">
        <f>SUM(AS64:BD64)</f>
        <v/>
      </c>
      <c r="BJ64" s="27">
        <f>SUM(C64:BD64)</f>
        <v/>
      </c>
    </row>
    <row r="65">
      <c r="A65" s="34" t="n"/>
      <c r="B65" s="49">
        <f>IF(ISBLANK(B31),"",B31)</f>
        <v/>
      </c>
      <c r="C65" s="27">
        <f>IF($B65="",0,SUMIFS(tblAuftraege[Kalk.
Ausgaben],tblAuftraege[Datum
Ausgaben],"&gt;="&amp;C$5,tblAuftraege[Datum
Ausgaben],"&lt;"&amp;EDATE(C$5,1),tblAuftraege[Kostenstelle],$B65))</f>
        <v/>
      </c>
      <c r="D65" s="27">
        <f>IF($B65="",0,SUMIFS(tblAuftraege[Kalk.
Ausgaben],tblAuftraege[Datum
Ausgaben],"&gt;="&amp;D$5,tblAuftraege[Datum
Ausgaben],"&lt;"&amp;EDATE(D$5,1),tblAuftraege[Kostenstelle],$B65))</f>
        <v/>
      </c>
      <c r="E65" s="27">
        <f>IF($B65="",0,SUMIFS(tblAuftraege[Kalk.
Ausgaben],tblAuftraege[Datum
Ausgaben],"&gt;="&amp;E$5,tblAuftraege[Datum
Ausgaben],"&lt;"&amp;EDATE(E$5,1),tblAuftraege[Kostenstelle],$B65))</f>
        <v/>
      </c>
      <c r="F65" s="27">
        <f>IF($B65="",0,SUMIFS(tblAuftraege[Kalk.
Ausgaben],tblAuftraege[Datum
Ausgaben],"&gt;="&amp;F$5,tblAuftraege[Datum
Ausgaben],"&lt;"&amp;EDATE(F$5,1),tblAuftraege[Kostenstelle],$B65))</f>
        <v/>
      </c>
      <c r="G65" s="27">
        <f>IF($B65="",0,SUMIFS(tblAuftraege[Kalk.
Ausgaben],tblAuftraege[Datum
Ausgaben],"&gt;="&amp;G$5,tblAuftraege[Datum
Ausgaben],"&lt;"&amp;EDATE(G$5,1),tblAuftraege[Kostenstelle],$B65))</f>
        <v/>
      </c>
      <c r="H65" s="27">
        <f>IF($B65="",0,SUMIFS(tblAuftraege[Kalk.
Ausgaben],tblAuftraege[Datum
Ausgaben],"&gt;="&amp;H$5,tblAuftraege[Datum
Ausgaben],"&lt;"&amp;EDATE(H$5,1),tblAuftraege[Kostenstelle],$B65))</f>
        <v/>
      </c>
      <c r="I65" s="27">
        <f>IF($B65="",0,SUMIFS(tblAuftraege[Kalk.
Ausgaben],tblAuftraege[Datum
Ausgaben],"&gt;="&amp;I$5,tblAuftraege[Datum
Ausgaben],"&lt;"&amp;EDATE(I$5,1),tblAuftraege[Kostenstelle],$B65))</f>
        <v/>
      </c>
      <c r="J65" s="27">
        <f>IF($B65="",0,SUMIFS(tblAuftraege[Kalk.
Ausgaben],tblAuftraege[Datum
Ausgaben],"&gt;="&amp;J$5,tblAuftraege[Datum
Ausgaben],"&lt;"&amp;EDATE(J$5,1),tblAuftraege[Kostenstelle],$B65))</f>
        <v/>
      </c>
      <c r="K65" s="27">
        <f>IF($B65="",0,SUMIFS(tblAuftraege[Kalk.
Ausgaben],tblAuftraege[Datum
Ausgaben],"&gt;="&amp;K$5,tblAuftraege[Datum
Ausgaben],"&lt;"&amp;EDATE(K$5,1),tblAuftraege[Kostenstelle],$B65))</f>
        <v/>
      </c>
      <c r="L65" s="27">
        <f>IF($B65="",0,SUMIFS(tblAuftraege[Kalk.
Ausgaben],tblAuftraege[Datum
Ausgaben],"&gt;="&amp;L$5,tblAuftraege[Datum
Ausgaben],"&lt;"&amp;EDATE(L$5,1),tblAuftraege[Kostenstelle],$B65))</f>
        <v/>
      </c>
      <c r="M65" s="27">
        <f>IF($B65="",0,SUMIFS(tblAuftraege[Kalk.
Ausgaben],tblAuftraege[Datum
Ausgaben],"&gt;="&amp;M$5,tblAuftraege[Datum
Ausgaben],"&lt;"&amp;EDATE(M$5,1),tblAuftraege[Kostenstelle],$B65))</f>
        <v/>
      </c>
      <c r="N65" s="27">
        <f>IF($B65="",0,SUMIFS(tblAuftraege[Kalk.
Ausgaben],tblAuftraege[Datum
Ausgaben],"&gt;="&amp;N$5,tblAuftraege[Datum
Ausgaben],"&lt;"&amp;EDATE(N$5,1),tblAuftraege[Kostenstelle],$B65))</f>
        <v/>
      </c>
      <c r="O65" s="27">
        <f>IF($B65="",0,SUMIFS(tblAuftraege[Kalk.
Ausgaben],tblAuftraege[Datum
Ausgaben],"&gt;="&amp;O$5,tblAuftraege[Datum
Ausgaben],"&lt;"&amp;EDATE(O$5,1),tblAuftraege[Kostenstelle],$B65))</f>
        <v/>
      </c>
      <c r="P65" s="27">
        <f>IF($B65="",0,SUMIFS(tblAuftraege[Kalk.
Ausgaben],tblAuftraege[Datum
Ausgaben],"&gt;="&amp;P$5,tblAuftraege[Datum
Ausgaben],"&lt;"&amp;EDATE(P$5,1),tblAuftraege[Kostenstelle],$B65))</f>
        <v/>
      </c>
      <c r="Q65" s="27">
        <f>IF($B65="",0,SUMIFS(tblAuftraege[Kalk.
Ausgaben],tblAuftraege[Datum
Ausgaben],"&gt;="&amp;Q$5,tblAuftraege[Datum
Ausgaben],"&lt;"&amp;EDATE(Q$5,1),tblAuftraege[Kostenstelle],$B65))</f>
        <v/>
      </c>
      <c r="R65" s="27">
        <f>IF($B65="",0,SUMIFS(tblAuftraege[Kalk.
Ausgaben],tblAuftraege[Datum
Ausgaben],"&gt;="&amp;R$5,tblAuftraege[Datum
Ausgaben],"&lt;"&amp;EDATE(R$5,1),tblAuftraege[Kostenstelle],$B65))</f>
        <v/>
      </c>
      <c r="S65" s="27">
        <f>IF($B65="",0,SUMIFS(tblAuftraege[Kalk.
Ausgaben],tblAuftraege[Datum
Ausgaben],"&gt;="&amp;S$5,tblAuftraege[Datum
Ausgaben],"&lt;"&amp;EDATE(S$5,1),tblAuftraege[Kostenstelle],$B65))</f>
        <v/>
      </c>
      <c r="T65" s="27">
        <f>IF($B65="",0,SUMIFS(tblAuftraege[Kalk.
Ausgaben],tblAuftraege[Datum
Ausgaben],"&gt;="&amp;T$5,tblAuftraege[Datum
Ausgaben],"&lt;"&amp;EDATE(T$5,1),tblAuftraege[Kostenstelle],$B65))</f>
        <v/>
      </c>
      <c r="U65" s="27">
        <f>IF($B65="",0,SUMIFS(tblAuftraege[Kalk.
Ausgaben],tblAuftraege[Datum
Ausgaben],"&gt;="&amp;U$5,tblAuftraege[Datum
Ausgaben],"&lt;"&amp;EDATE(U$5,1),tblAuftraege[Kostenstelle],$B65))</f>
        <v/>
      </c>
      <c r="V65" s="27">
        <f>IF($B65="",0,SUMIFS(tblAuftraege[Kalk.
Ausgaben],tblAuftraege[Datum
Ausgaben],"&gt;="&amp;V$5,tblAuftraege[Datum
Ausgaben],"&lt;"&amp;EDATE(V$5,1),tblAuftraege[Kostenstelle],$B65))</f>
        <v/>
      </c>
      <c r="W65" s="27">
        <f>IF($B65="",0,SUMIFS(tblAuftraege[Kalk.
Ausgaben],tblAuftraege[Datum
Ausgaben],"&gt;="&amp;W$5,tblAuftraege[Datum
Ausgaben],"&lt;"&amp;EDATE(W$5,1),tblAuftraege[Kostenstelle],$B65))</f>
        <v/>
      </c>
      <c r="X65" s="27">
        <f>IF($B65="",0,SUMIFS(tblAuftraege[Kalk.
Ausgaben],tblAuftraege[Datum
Ausgaben],"&gt;="&amp;X$5,tblAuftraege[Datum
Ausgaben],"&lt;"&amp;EDATE(X$5,1),tblAuftraege[Kostenstelle],$B65))</f>
        <v/>
      </c>
      <c r="Y65" s="27">
        <f>IF($B65="",0,SUMIFS(tblAuftraege[Kalk.
Ausgaben],tblAuftraege[Datum
Ausgaben],"&gt;="&amp;Y$5,tblAuftraege[Datum
Ausgaben],"&lt;"&amp;EDATE(Y$5,1),tblAuftraege[Kostenstelle],$B65))</f>
        <v/>
      </c>
      <c r="Z65" s="27">
        <f>IF($B65="",0,SUMIFS(tblAuftraege[Kalk.
Ausgaben],tblAuftraege[Datum
Ausgaben],"&gt;="&amp;Z$5,tblAuftraege[Datum
Ausgaben],"&lt;"&amp;EDATE(Z$5,1),tblAuftraege[Kostenstelle],$B65))</f>
        <v/>
      </c>
      <c r="AA65" s="27">
        <f>IF($B65="",0,SUMIFS(tblAuftraege[Kalk.
Ausgaben],tblAuftraege[Datum
Ausgaben],"&gt;="&amp;AA$5,tblAuftraege[Datum
Ausgaben],"&lt;"&amp;EDATE(AA$5,1),tblAuftraege[Kostenstelle],$B65))</f>
        <v/>
      </c>
      <c r="AB65" s="27">
        <f>IF($B65="",0,SUMIFS(tblAuftraege[Kalk.
Ausgaben],tblAuftraege[Datum
Ausgaben],"&gt;="&amp;AB$5,tblAuftraege[Datum
Ausgaben],"&lt;"&amp;EDATE(AB$5,1),tblAuftraege[Kostenstelle],$B65))</f>
        <v/>
      </c>
      <c r="AC65" s="27">
        <f>IF($B65="",0,SUMIFS(tblAuftraege[Kalk.
Ausgaben],tblAuftraege[Datum
Ausgaben],"&gt;="&amp;AC$5,tblAuftraege[Datum
Ausgaben],"&lt;"&amp;EDATE(AC$5,1),tblAuftraege[Kostenstelle],$B65))</f>
        <v/>
      </c>
      <c r="AD65" s="27">
        <f>IF($B65="",0,SUMIFS(tblAuftraege[Kalk.
Ausgaben],tblAuftraege[Datum
Ausgaben],"&gt;="&amp;AD$5,tblAuftraege[Datum
Ausgaben],"&lt;"&amp;EDATE(AD$5,1),tblAuftraege[Kostenstelle],$B65))</f>
        <v/>
      </c>
      <c r="AE65" s="27">
        <f>IF($B65="",0,SUMIFS(tblAuftraege[Kalk.
Ausgaben],tblAuftraege[Datum
Ausgaben],"&gt;="&amp;AE$5,tblAuftraege[Datum
Ausgaben],"&lt;"&amp;EDATE(AE$5,1),tblAuftraege[Kostenstelle],$B65))</f>
        <v/>
      </c>
      <c r="AF65" s="27">
        <f>IF($B65="",0,SUMIFS(tblAuftraege[Kalk.
Ausgaben],tblAuftraege[Datum
Ausgaben],"&gt;="&amp;AF$5,tblAuftraege[Datum
Ausgaben],"&lt;"&amp;EDATE(AF$5,1),tblAuftraege[Kostenstelle],$B65))</f>
        <v/>
      </c>
      <c r="AG65" s="27">
        <f>IF($B65="",0,SUMIFS(tblAuftraege[Kalk.
Ausgaben],tblAuftraege[Datum
Ausgaben],"&gt;="&amp;AG$5,tblAuftraege[Datum
Ausgaben],"&lt;"&amp;EDATE(AG$5,1),tblAuftraege[Kostenstelle],$B65))</f>
        <v/>
      </c>
      <c r="AH65" s="27">
        <f>IF($B65="",0,SUMIFS(tblAuftraege[Kalk.
Ausgaben],tblAuftraege[Datum
Ausgaben],"&gt;="&amp;AH$5,tblAuftraege[Datum
Ausgaben],"&lt;"&amp;EDATE(AH$5,1),tblAuftraege[Kostenstelle],$B65))</f>
        <v/>
      </c>
      <c r="AI65" s="27">
        <f>IF($B65="",0,SUMIFS(tblAuftraege[Kalk.
Ausgaben],tblAuftraege[Datum
Ausgaben],"&gt;="&amp;AI$5,tblAuftraege[Datum
Ausgaben],"&lt;"&amp;EDATE(AI$5,1),tblAuftraege[Kostenstelle],$B65))</f>
        <v/>
      </c>
      <c r="AJ65" s="27">
        <f>IF($B65="",0,SUMIFS(tblAuftraege[Kalk.
Ausgaben],tblAuftraege[Datum
Ausgaben],"&gt;="&amp;AJ$5,tblAuftraege[Datum
Ausgaben],"&lt;"&amp;EDATE(AJ$5,1),tblAuftraege[Kostenstelle],$B65))</f>
        <v/>
      </c>
      <c r="AK65" s="27">
        <f>IF($B65="",0,SUMIFS(tblAuftraege[Kalk.
Ausgaben],tblAuftraege[Datum
Ausgaben],"&gt;="&amp;AK$5,tblAuftraege[Datum
Ausgaben],"&lt;"&amp;EDATE(AK$5,1),tblAuftraege[Kostenstelle],$B65))</f>
        <v/>
      </c>
      <c r="AL65" s="27">
        <f>IF($B65="",0,SUMIFS(tblAuftraege[Kalk.
Ausgaben],tblAuftraege[Datum
Ausgaben],"&gt;="&amp;AL$5,tblAuftraege[Datum
Ausgaben],"&lt;"&amp;EDATE(AL$5,1),tblAuftraege[Kostenstelle],$B65))</f>
        <v/>
      </c>
      <c r="AM65" s="27">
        <f>IF($B65="",0,SUMIFS(tblAuftraege[Kalk.
Ausgaben],tblAuftraege[Datum
Ausgaben],"&gt;="&amp;AM$5,tblAuftraege[Datum
Ausgaben],"&lt;"&amp;EDATE(AM$5,1),tblAuftraege[Kostenstelle],$B65))</f>
        <v/>
      </c>
      <c r="AN65" s="27">
        <f>IF($B65="",0,SUMIFS(tblAuftraege[Kalk.
Ausgaben],tblAuftraege[Datum
Ausgaben],"&gt;="&amp;AN$5,tblAuftraege[Datum
Ausgaben],"&lt;"&amp;EDATE(AN$5,1),tblAuftraege[Kostenstelle],$B65))</f>
        <v/>
      </c>
      <c r="AO65" s="27">
        <f>IF($B65="",0,SUMIFS(tblAuftraege[Kalk.
Ausgaben],tblAuftraege[Datum
Ausgaben],"&gt;="&amp;AO$5,tblAuftraege[Datum
Ausgaben],"&lt;"&amp;EDATE(AO$5,1),tblAuftraege[Kostenstelle],$B65))</f>
        <v/>
      </c>
      <c r="AP65" s="27">
        <f>IF($B65="",0,SUMIFS(tblAuftraege[Kalk.
Ausgaben],tblAuftraege[Datum
Ausgaben],"&gt;="&amp;AP$5,tblAuftraege[Datum
Ausgaben],"&lt;"&amp;EDATE(AP$5,1),tblAuftraege[Kostenstelle],$B65))</f>
        <v/>
      </c>
      <c r="AQ65" s="27">
        <f>IF($B65="",0,SUMIFS(tblAuftraege[Kalk.
Ausgaben],tblAuftraege[Datum
Ausgaben],"&gt;="&amp;AQ$5,tblAuftraege[Datum
Ausgaben],"&lt;"&amp;EDATE(AQ$5,1),tblAuftraege[Kostenstelle],$B65))</f>
        <v/>
      </c>
      <c r="AR65" s="27">
        <f>IF($B65="",0,SUMIFS(tblAuftraege[Kalk.
Ausgaben],tblAuftraege[Datum
Ausgaben],"&gt;="&amp;AR$5,tblAuftraege[Datum
Ausgaben],"&lt;"&amp;EDATE(AR$5,1),tblAuftraege[Kostenstelle],$B65))</f>
        <v/>
      </c>
      <c r="AS65" s="27">
        <f>IF($B65="",0,SUMIFS(tblAuftraege[Kalk.
Ausgaben],tblAuftraege[Datum
Ausgaben],"&gt;="&amp;AS$5,tblAuftraege[Datum
Ausgaben],"&lt;"&amp;EDATE(AS$5,1),tblAuftraege[Kostenstelle],$B65))</f>
        <v/>
      </c>
      <c r="AT65" s="27">
        <f>IF($B65="",0,SUMIFS(tblAuftraege[Kalk.
Ausgaben],tblAuftraege[Datum
Ausgaben],"&gt;="&amp;AT$5,tblAuftraege[Datum
Ausgaben],"&lt;"&amp;EDATE(AT$5,1),tblAuftraege[Kostenstelle],$B65))</f>
        <v/>
      </c>
      <c r="AU65" s="27">
        <f>IF($B65="",0,SUMIFS(tblAuftraege[Kalk.
Ausgaben],tblAuftraege[Datum
Ausgaben],"&gt;="&amp;AU$5,tblAuftraege[Datum
Ausgaben],"&lt;"&amp;EDATE(AU$5,1),tblAuftraege[Kostenstelle],$B65))</f>
        <v/>
      </c>
      <c r="AV65" s="27">
        <f>IF($B65="",0,SUMIFS(tblAuftraege[Kalk.
Ausgaben],tblAuftraege[Datum
Ausgaben],"&gt;="&amp;AV$5,tblAuftraege[Datum
Ausgaben],"&lt;"&amp;EDATE(AV$5,1),tblAuftraege[Kostenstelle],$B65))</f>
        <v/>
      </c>
      <c r="AW65" s="27">
        <f>IF($B65="",0,SUMIFS(tblAuftraege[Kalk.
Ausgaben],tblAuftraege[Datum
Ausgaben],"&gt;="&amp;AW$5,tblAuftraege[Datum
Ausgaben],"&lt;"&amp;EDATE(AW$5,1),tblAuftraege[Kostenstelle],$B65))</f>
        <v/>
      </c>
      <c r="AX65" s="27">
        <f>IF($B65="",0,SUMIFS(tblAuftraege[Kalk.
Ausgaben],tblAuftraege[Datum
Ausgaben],"&gt;="&amp;AX$5,tblAuftraege[Datum
Ausgaben],"&lt;"&amp;EDATE(AX$5,1),tblAuftraege[Kostenstelle],$B65))</f>
        <v/>
      </c>
      <c r="AY65" s="27">
        <f>IF($B65="",0,SUMIFS(tblAuftraege[Kalk.
Ausgaben],tblAuftraege[Datum
Ausgaben],"&gt;="&amp;AY$5,tblAuftraege[Datum
Ausgaben],"&lt;"&amp;EDATE(AY$5,1),tblAuftraege[Kostenstelle],$B65))</f>
        <v/>
      </c>
      <c r="AZ65" s="27">
        <f>IF($B65="",0,SUMIFS(tblAuftraege[Kalk.
Ausgaben],tblAuftraege[Datum
Ausgaben],"&gt;="&amp;AZ$5,tblAuftraege[Datum
Ausgaben],"&lt;"&amp;EDATE(AZ$5,1),tblAuftraege[Kostenstelle],$B65))</f>
        <v/>
      </c>
      <c r="BA65" s="27">
        <f>IF($B65="",0,SUMIFS(tblAuftraege[Kalk.
Ausgaben],tblAuftraege[Datum
Ausgaben],"&gt;="&amp;BA$5,tblAuftraege[Datum
Ausgaben],"&lt;"&amp;EDATE(BA$5,1),tblAuftraege[Kostenstelle],$B65))</f>
        <v/>
      </c>
      <c r="BB65" s="27">
        <f>IF($B65="",0,SUMIFS(tblAuftraege[Kalk.
Ausgaben],tblAuftraege[Datum
Ausgaben],"&gt;="&amp;BB$5,tblAuftraege[Datum
Ausgaben],"&lt;"&amp;EDATE(BB$5,1),tblAuftraege[Kostenstelle],$B65))</f>
        <v/>
      </c>
      <c r="BC65" s="27">
        <f>IF($B65="",0,SUMIFS(tblAuftraege[Kalk.
Ausgaben],tblAuftraege[Datum
Ausgaben],"&gt;="&amp;BC$5,tblAuftraege[Datum
Ausgaben],"&lt;"&amp;EDATE(BC$5,1),tblAuftraege[Kostenstelle],$B65))</f>
        <v/>
      </c>
      <c r="BD65" s="27">
        <f>IF($B65="",0,SUMIFS(tblAuftraege[Kalk.
Ausgaben],tblAuftraege[Datum
Ausgaben],"&gt;="&amp;BD$5,tblAuftraege[Datum
Ausgaben],"&lt;"&amp;EDATE(BD$5,1),tblAuftraege[Kostenstelle],$B65))</f>
        <v/>
      </c>
      <c r="BE65" s="27">
        <f>SUM(C65:H65)</f>
        <v/>
      </c>
      <c r="BF65" s="27">
        <f>SUM(I65:T65)</f>
        <v/>
      </c>
      <c r="BG65" s="27">
        <f>SUM(U65:AF65)</f>
        <v/>
      </c>
      <c r="BH65" s="27">
        <f>SUM(AG65:AR65)</f>
        <v/>
      </c>
      <c r="BI65" s="27">
        <f>SUM(AS65:BD65)</f>
        <v/>
      </c>
      <c r="BJ65" s="27">
        <f>SUM(C65:BD65)</f>
        <v/>
      </c>
    </row>
    <row r="66">
      <c r="A66" s="34" t="n"/>
      <c r="B66" s="49">
        <f>IF(ISBLANK(B32),"",B32)</f>
        <v/>
      </c>
      <c r="C66" s="27">
        <f>IF($B66="",0,SUMIFS(tblAuftraege[Kalk.
Ausgaben],tblAuftraege[Datum
Ausgaben],"&gt;="&amp;C$5,tblAuftraege[Datum
Ausgaben],"&lt;"&amp;EDATE(C$5,1),tblAuftraege[Kostenstelle],$B66))</f>
        <v/>
      </c>
      <c r="D66" s="27">
        <f>IF($B66="",0,SUMIFS(tblAuftraege[Kalk.
Ausgaben],tblAuftraege[Datum
Ausgaben],"&gt;="&amp;D$5,tblAuftraege[Datum
Ausgaben],"&lt;"&amp;EDATE(D$5,1),tblAuftraege[Kostenstelle],$B66))</f>
        <v/>
      </c>
      <c r="E66" s="27">
        <f>IF($B66="",0,SUMIFS(tblAuftraege[Kalk.
Ausgaben],tblAuftraege[Datum
Ausgaben],"&gt;="&amp;E$5,tblAuftraege[Datum
Ausgaben],"&lt;"&amp;EDATE(E$5,1),tblAuftraege[Kostenstelle],$B66))</f>
        <v/>
      </c>
      <c r="F66" s="27">
        <f>IF($B66="",0,SUMIFS(tblAuftraege[Kalk.
Ausgaben],tblAuftraege[Datum
Ausgaben],"&gt;="&amp;F$5,tblAuftraege[Datum
Ausgaben],"&lt;"&amp;EDATE(F$5,1),tblAuftraege[Kostenstelle],$B66))</f>
        <v/>
      </c>
      <c r="G66" s="27">
        <f>IF($B66="",0,SUMIFS(tblAuftraege[Kalk.
Ausgaben],tblAuftraege[Datum
Ausgaben],"&gt;="&amp;G$5,tblAuftraege[Datum
Ausgaben],"&lt;"&amp;EDATE(G$5,1),tblAuftraege[Kostenstelle],$B66))</f>
        <v/>
      </c>
      <c r="H66" s="27">
        <f>IF($B66="",0,SUMIFS(tblAuftraege[Kalk.
Ausgaben],tblAuftraege[Datum
Ausgaben],"&gt;="&amp;H$5,tblAuftraege[Datum
Ausgaben],"&lt;"&amp;EDATE(H$5,1),tblAuftraege[Kostenstelle],$B66))</f>
        <v/>
      </c>
      <c r="I66" s="27">
        <f>IF($B66="",0,SUMIFS(tblAuftraege[Kalk.
Ausgaben],tblAuftraege[Datum
Ausgaben],"&gt;="&amp;I$5,tblAuftraege[Datum
Ausgaben],"&lt;"&amp;EDATE(I$5,1),tblAuftraege[Kostenstelle],$B66))</f>
        <v/>
      </c>
      <c r="J66" s="27">
        <f>IF($B66="",0,SUMIFS(tblAuftraege[Kalk.
Ausgaben],tblAuftraege[Datum
Ausgaben],"&gt;="&amp;J$5,tblAuftraege[Datum
Ausgaben],"&lt;"&amp;EDATE(J$5,1),tblAuftraege[Kostenstelle],$B66))</f>
        <v/>
      </c>
      <c r="K66" s="27">
        <f>IF($B66="",0,SUMIFS(tblAuftraege[Kalk.
Ausgaben],tblAuftraege[Datum
Ausgaben],"&gt;="&amp;K$5,tblAuftraege[Datum
Ausgaben],"&lt;"&amp;EDATE(K$5,1),tblAuftraege[Kostenstelle],$B66))</f>
        <v/>
      </c>
      <c r="L66" s="27">
        <f>IF($B66="",0,SUMIFS(tblAuftraege[Kalk.
Ausgaben],tblAuftraege[Datum
Ausgaben],"&gt;="&amp;L$5,tblAuftraege[Datum
Ausgaben],"&lt;"&amp;EDATE(L$5,1),tblAuftraege[Kostenstelle],$B66))</f>
        <v/>
      </c>
      <c r="M66" s="27">
        <f>IF($B66="",0,SUMIFS(tblAuftraege[Kalk.
Ausgaben],tblAuftraege[Datum
Ausgaben],"&gt;="&amp;M$5,tblAuftraege[Datum
Ausgaben],"&lt;"&amp;EDATE(M$5,1),tblAuftraege[Kostenstelle],$B66))</f>
        <v/>
      </c>
      <c r="N66" s="27">
        <f>IF($B66="",0,SUMIFS(tblAuftraege[Kalk.
Ausgaben],tblAuftraege[Datum
Ausgaben],"&gt;="&amp;N$5,tblAuftraege[Datum
Ausgaben],"&lt;"&amp;EDATE(N$5,1),tblAuftraege[Kostenstelle],$B66))</f>
        <v/>
      </c>
      <c r="O66" s="27">
        <f>IF($B66="",0,SUMIFS(tblAuftraege[Kalk.
Ausgaben],tblAuftraege[Datum
Ausgaben],"&gt;="&amp;O$5,tblAuftraege[Datum
Ausgaben],"&lt;"&amp;EDATE(O$5,1),tblAuftraege[Kostenstelle],$B66))</f>
        <v/>
      </c>
      <c r="P66" s="27">
        <f>IF($B66="",0,SUMIFS(tblAuftraege[Kalk.
Ausgaben],tblAuftraege[Datum
Ausgaben],"&gt;="&amp;P$5,tblAuftraege[Datum
Ausgaben],"&lt;"&amp;EDATE(P$5,1),tblAuftraege[Kostenstelle],$B66))</f>
        <v/>
      </c>
      <c r="Q66" s="27">
        <f>IF($B66="",0,SUMIFS(tblAuftraege[Kalk.
Ausgaben],tblAuftraege[Datum
Ausgaben],"&gt;="&amp;Q$5,tblAuftraege[Datum
Ausgaben],"&lt;"&amp;EDATE(Q$5,1),tblAuftraege[Kostenstelle],$B66))</f>
        <v/>
      </c>
      <c r="R66" s="27">
        <f>IF($B66="",0,SUMIFS(tblAuftraege[Kalk.
Ausgaben],tblAuftraege[Datum
Ausgaben],"&gt;="&amp;R$5,tblAuftraege[Datum
Ausgaben],"&lt;"&amp;EDATE(R$5,1),tblAuftraege[Kostenstelle],$B66))</f>
        <v/>
      </c>
      <c r="S66" s="27">
        <f>IF($B66="",0,SUMIFS(tblAuftraege[Kalk.
Ausgaben],tblAuftraege[Datum
Ausgaben],"&gt;="&amp;S$5,tblAuftraege[Datum
Ausgaben],"&lt;"&amp;EDATE(S$5,1),tblAuftraege[Kostenstelle],$B66))</f>
        <v/>
      </c>
      <c r="T66" s="27">
        <f>IF($B66="",0,SUMIFS(tblAuftraege[Kalk.
Ausgaben],tblAuftraege[Datum
Ausgaben],"&gt;="&amp;T$5,tblAuftraege[Datum
Ausgaben],"&lt;"&amp;EDATE(T$5,1),tblAuftraege[Kostenstelle],$B66))</f>
        <v/>
      </c>
      <c r="U66" s="27">
        <f>IF($B66="",0,SUMIFS(tblAuftraege[Kalk.
Ausgaben],tblAuftraege[Datum
Ausgaben],"&gt;="&amp;U$5,tblAuftraege[Datum
Ausgaben],"&lt;"&amp;EDATE(U$5,1),tblAuftraege[Kostenstelle],$B66))</f>
        <v/>
      </c>
      <c r="V66" s="27">
        <f>IF($B66="",0,SUMIFS(tblAuftraege[Kalk.
Ausgaben],tblAuftraege[Datum
Ausgaben],"&gt;="&amp;V$5,tblAuftraege[Datum
Ausgaben],"&lt;"&amp;EDATE(V$5,1),tblAuftraege[Kostenstelle],$B66))</f>
        <v/>
      </c>
      <c r="W66" s="27">
        <f>IF($B66="",0,SUMIFS(tblAuftraege[Kalk.
Ausgaben],tblAuftraege[Datum
Ausgaben],"&gt;="&amp;W$5,tblAuftraege[Datum
Ausgaben],"&lt;"&amp;EDATE(W$5,1),tblAuftraege[Kostenstelle],$B66))</f>
        <v/>
      </c>
      <c r="X66" s="27">
        <f>IF($B66="",0,SUMIFS(tblAuftraege[Kalk.
Ausgaben],tblAuftraege[Datum
Ausgaben],"&gt;="&amp;X$5,tblAuftraege[Datum
Ausgaben],"&lt;"&amp;EDATE(X$5,1),tblAuftraege[Kostenstelle],$B66))</f>
        <v/>
      </c>
      <c r="Y66" s="27">
        <f>IF($B66="",0,SUMIFS(tblAuftraege[Kalk.
Ausgaben],tblAuftraege[Datum
Ausgaben],"&gt;="&amp;Y$5,tblAuftraege[Datum
Ausgaben],"&lt;"&amp;EDATE(Y$5,1),tblAuftraege[Kostenstelle],$B66))</f>
        <v/>
      </c>
      <c r="Z66" s="27">
        <f>IF($B66="",0,SUMIFS(tblAuftraege[Kalk.
Ausgaben],tblAuftraege[Datum
Ausgaben],"&gt;="&amp;Z$5,tblAuftraege[Datum
Ausgaben],"&lt;"&amp;EDATE(Z$5,1),tblAuftraege[Kostenstelle],$B66))</f>
        <v/>
      </c>
      <c r="AA66" s="27">
        <f>IF($B66="",0,SUMIFS(tblAuftraege[Kalk.
Ausgaben],tblAuftraege[Datum
Ausgaben],"&gt;="&amp;AA$5,tblAuftraege[Datum
Ausgaben],"&lt;"&amp;EDATE(AA$5,1),tblAuftraege[Kostenstelle],$B66))</f>
        <v/>
      </c>
      <c r="AB66" s="27">
        <f>IF($B66="",0,SUMIFS(tblAuftraege[Kalk.
Ausgaben],tblAuftraege[Datum
Ausgaben],"&gt;="&amp;AB$5,tblAuftraege[Datum
Ausgaben],"&lt;"&amp;EDATE(AB$5,1),tblAuftraege[Kostenstelle],$B66))</f>
        <v/>
      </c>
      <c r="AC66" s="27">
        <f>IF($B66="",0,SUMIFS(tblAuftraege[Kalk.
Ausgaben],tblAuftraege[Datum
Ausgaben],"&gt;="&amp;AC$5,tblAuftraege[Datum
Ausgaben],"&lt;"&amp;EDATE(AC$5,1),tblAuftraege[Kostenstelle],$B66))</f>
        <v/>
      </c>
      <c r="AD66" s="27">
        <f>IF($B66="",0,SUMIFS(tblAuftraege[Kalk.
Ausgaben],tblAuftraege[Datum
Ausgaben],"&gt;="&amp;AD$5,tblAuftraege[Datum
Ausgaben],"&lt;"&amp;EDATE(AD$5,1),tblAuftraege[Kostenstelle],$B66))</f>
        <v/>
      </c>
      <c r="AE66" s="27">
        <f>IF($B66="",0,SUMIFS(tblAuftraege[Kalk.
Ausgaben],tblAuftraege[Datum
Ausgaben],"&gt;="&amp;AE$5,tblAuftraege[Datum
Ausgaben],"&lt;"&amp;EDATE(AE$5,1),tblAuftraege[Kostenstelle],$B66))</f>
        <v/>
      </c>
      <c r="AF66" s="27">
        <f>IF($B66="",0,SUMIFS(tblAuftraege[Kalk.
Ausgaben],tblAuftraege[Datum
Ausgaben],"&gt;="&amp;AF$5,tblAuftraege[Datum
Ausgaben],"&lt;"&amp;EDATE(AF$5,1),tblAuftraege[Kostenstelle],$B66))</f>
        <v/>
      </c>
      <c r="AG66" s="27">
        <f>IF($B66="",0,SUMIFS(tblAuftraege[Kalk.
Ausgaben],tblAuftraege[Datum
Ausgaben],"&gt;="&amp;AG$5,tblAuftraege[Datum
Ausgaben],"&lt;"&amp;EDATE(AG$5,1),tblAuftraege[Kostenstelle],$B66))</f>
        <v/>
      </c>
      <c r="AH66" s="27">
        <f>IF($B66="",0,SUMIFS(tblAuftraege[Kalk.
Ausgaben],tblAuftraege[Datum
Ausgaben],"&gt;="&amp;AH$5,tblAuftraege[Datum
Ausgaben],"&lt;"&amp;EDATE(AH$5,1),tblAuftraege[Kostenstelle],$B66))</f>
        <v/>
      </c>
      <c r="AI66" s="27">
        <f>IF($B66="",0,SUMIFS(tblAuftraege[Kalk.
Ausgaben],tblAuftraege[Datum
Ausgaben],"&gt;="&amp;AI$5,tblAuftraege[Datum
Ausgaben],"&lt;"&amp;EDATE(AI$5,1),tblAuftraege[Kostenstelle],$B66))</f>
        <v/>
      </c>
      <c r="AJ66" s="27">
        <f>IF($B66="",0,SUMIFS(tblAuftraege[Kalk.
Ausgaben],tblAuftraege[Datum
Ausgaben],"&gt;="&amp;AJ$5,tblAuftraege[Datum
Ausgaben],"&lt;"&amp;EDATE(AJ$5,1),tblAuftraege[Kostenstelle],$B66))</f>
        <v/>
      </c>
      <c r="AK66" s="27">
        <f>IF($B66="",0,SUMIFS(tblAuftraege[Kalk.
Ausgaben],tblAuftraege[Datum
Ausgaben],"&gt;="&amp;AK$5,tblAuftraege[Datum
Ausgaben],"&lt;"&amp;EDATE(AK$5,1),tblAuftraege[Kostenstelle],$B66))</f>
        <v/>
      </c>
      <c r="AL66" s="27">
        <f>IF($B66="",0,SUMIFS(tblAuftraege[Kalk.
Ausgaben],tblAuftraege[Datum
Ausgaben],"&gt;="&amp;AL$5,tblAuftraege[Datum
Ausgaben],"&lt;"&amp;EDATE(AL$5,1),tblAuftraege[Kostenstelle],$B66))</f>
        <v/>
      </c>
      <c r="AM66" s="27">
        <f>IF($B66="",0,SUMIFS(tblAuftraege[Kalk.
Ausgaben],tblAuftraege[Datum
Ausgaben],"&gt;="&amp;AM$5,tblAuftraege[Datum
Ausgaben],"&lt;"&amp;EDATE(AM$5,1),tblAuftraege[Kostenstelle],$B66))</f>
        <v/>
      </c>
      <c r="AN66" s="27">
        <f>IF($B66="",0,SUMIFS(tblAuftraege[Kalk.
Ausgaben],tblAuftraege[Datum
Ausgaben],"&gt;="&amp;AN$5,tblAuftraege[Datum
Ausgaben],"&lt;"&amp;EDATE(AN$5,1),tblAuftraege[Kostenstelle],$B66))</f>
        <v/>
      </c>
      <c r="AO66" s="27">
        <f>IF($B66="",0,SUMIFS(tblAuftraege[Kalk.
Ausgaben],tblAuftraege[Datum
Ausgaben],"&gt;="&amp;AO$5,tblAuftraege[Datum
Ausgaben],"&lt;"&amp;EDATE(AO$5,1),tblAuftraege[Kostenstelle],$B66))</f>
        <v/>
      </c>
      <c r="AP66" s="27">
        <f>IF($B66="",0,SUMIFS(tblAuftraege[Kalk.
Ausgaben],tblAuftraege[Datum
Ausgaben],"&gt;="&amp;AP$5,tblAuftraege[Datum
Ausgaben],"&lt;"&amp;EDATE(AP$5,1),tblAuftraege[Kostenstelle],$B66))</f>
        <v/>
      </c>
      <c r="AQ66" s="27">
        <f>IF($B66="",0,SUMIFS(tblAuftraege[Kalk.
Ausgaben],tblAuftraege[Datum
Ausgaben],"&gt;="&amp;AQ$5,tblAuftraege[Datum
Ausgaben],"&lt;"&amp;EDATE(AQ$5,1),tblAuftraege[Kostenstelle],$B66))</f>
        <v/>
      </c>
      <c r="AR66" s="27">
        <f>IF($B66="",0,SUMIFS(tblAuftraege[Kalk.
Ausgaben],tblAuftraege[Datum
Ausgaben],"&gt;="&amp;AR$5,tblAuftraege[Datum
Ausgaben],"&lt;"&amp;EDATE(AR$5,1),tblAuftraege[Kostenstelle],$B66))</f>
        <v/>
      </c>
      <c r="AS66" s="27">
        <f>IF($B66="",0,SUMIFS(tblAuftraege[Kalk.
Ausgaben],tblAuftraege[Datum
Ausgaben],"&gt;="&amp;AS$5,tblAuftraege[Datum
Ausgaben],"&lt;"&amp;EDATE(AS$5,1),tblAuftraege[Kostenstelle],$B66))</f>
        <v/>
      </c>
      <c r="AT66" s="27">
        <f>IF($B66="",0,SUMIFS(tblAuftraege[Kalk.
Ausgaben],tblAuftraege[Datum
Ausgaben],"&gt;="&amp;AT$5,tblAuftraege[Datum
Ausgaben],"&lt;"&amp;EDATE(AT$5,1),tblAuftraege[Kostenstelle],$B66))</f>
        <v/>
      </c>
      <c r="AU66" s="27">
        <f>IF($B66="",0,SUMIFS(tblAuftraege[Kalk.
Ausgaben],tblAuftraege[Datum
Ausgaben],"&gt;="&amp;AU$5,tblAuftraege[Datum
Ausgaben],"&lt;"&amp;EDATE(AU$5,1),tblAuftraege[Kostenstelle],$B66))</f>
        <v/>
      </c>
      <c r="AV66" s="27">
        <f>IF($B66="",0,SUMIFS(tblAuftraege[Kalk.
Ausgaben],tblAuftraege[Datum
Ausgaben],"&gt;="&amp;AV$5,tblAuftraege[Datum
Ausgaben],"&lt;"&amp;EDATE(AV$5,1),tblAuftraege[Kostenstelle],$B66))</f>
        <v/>
      </c>
      <c r="AW66" s="27">
        <f>IF($B66="",0,SUMIFS(tblAuftraege[Kalk.
Ausgaben],tblAuftraege[Datum
Ausgaben],"&gt;="&amp;AW$5,tblAuftraege[Datum
Ausgaben],"&lt;"&amp;EDATE(AW$5,1),tblAuftraege[Kostenstelle],$B66))</f>
        <v/>
      </c>
      <c r="AX66" s="27">
        <f>IF($B66="",0,SUMIFS(tblAuftraege[Kalk.
Ausgaben],tblAuftraege[Datum
Ausgaben],"&gt;="&amp;AX$5,tblAuftraege[Datum
Ausgaben],"&lt;"&amp;EDATE(AX$5,1),tblAuftraege[Kostenstelle],$B66))</f>
        <v/>
      </c>
      <c r="AY66" s="27">
        <f>IF($B66="",0,SUMIFS(tblAuftraege[Kalk.
Ausgaben],tblAuftraege[Datum
Ausgaben],"&gt;="&amp;AY$5,tblAuftraege[Datum
Ausgaben],"&lt;"&amp;EDATE(AY$5,1),tblAuftraege[Kostenstelle],$B66))</f>
        <v/>
      </c>
      <c r="AZ66" s="27">
        <f>IF($B66="",0,SUMIFS(tblAuftraege[Kalk.
Ausgaben],tblAuftraege[Datum
Ausgaben],"&gt;="&amp;AZ$5,tblAuftraege[Datum
Ausgaben],"&lt;"&amp;EDATE(AZ$5,1),tblAuftraege[Kostenstelle],$B66))</f>
        <v/>
      </c>
      <c r="BA66" s="27">
        <f>IF($B66="",0,SUMIFS(tblAuftraege[Kalk.
Ausgaben],tblAuftraege[Datum
Ausgaben],"&gt;="&amp;BA$5,tblAuftraege[Datum
Ausgaben],"&lt;"&amp;EDATE(BA$5,1),tblAuftraege[Kostenstelle],$B66))</f>
        <v/>
      </c>
      <c r="BB66" s="27">
        <f>IF($B66="",0,SUMIFS(tblAuftraege[Kalk.
Ausgaben],tblAuftraege[Datum
Ausgaben],"&gt;="&amp;BB$5,tblAuftraege[Datum
Ausgaben],"&lt;"&amp;EDATE(BB$5,1),tblAuftraege[Kostenstelle],$B66))</f>
        <v/>
      </c>
      <c r="BC66" s="27">
        <f>IF($B66="",0,SUMIFS(tblAuftraege[Kalk.
Ausgaben],tblAuftraege[Datum
Ausgaben],"&gt;="&amp;BC$5,tblAuftraege[Datum
Ausgaben],"&lt;"&amp;EDATE(BC$5,1),tblAuftraege[Kostenstelle],$B66))</f>
        <v/>
      </c>
      <c r="BD66" s="27">
        <f>IF($B66="",0,SUMIFS(tblAuftraege[Kalk.
Ausgaben],tblAuftraege[Datum
Ausgaben],"&gt;="&amp;BD$5,tblAuftraege[Datum
Ausgaben],"&lt;"&amp;EDATE(BD$5,1),tblAuftraege[Kostenstelle],$B66))</f>
        <v/>
      </c>
      <c r="BE66" s="27">
        <f>SUM(C66:H66)</f>
        <v/>
      </c>
      <c r="BF66" s="27">
        <f>SUM(I66:T66)</f>
        <v/>
      </c>
      <c r="BG66" s="27">
        <f>SUM(U66:AF66)</f>
        <v/>
      </c>
      <c r="BH66" s="27">
        <f>SUM(AG66:AR66)</f>
        <v/>
      </c>
      <c r="BI66" s="27">
        <f>SUM(AS66:BD66)</f>
        <v/>
      </c>
      <c r="BJ66" s="27">
        <f>SUM(C66:BD66)</f>
        <v/>
      </c>
    </row>
    <row r="67">
      <c r="A67" s="34" t="n"/>
      <c r="B67" s="49">
        <f>IF(ISBLANK(B33),"",B33)</f>
        <v/>
      </c>
      <c r="C67" s="27">
        <f>IF($B67="",0,SUMIFS(tblAuftraege[Kalk.
Ausgaben],tblAuftraege[Datum
Ausgaben],"&gt;="&amp;C$5,tblAuftraege[Datum
Ausgaben],"&lt;"&amp;EDATE(C$5,1),tblAuftraege[Kostenstelle],$B67))</f>
        <v/>
      </c>
      <c r="D67" s="27">
        <f>IF($B67="",0,SUMIFS(tblAuftraege[Kalk.
Ausgaben],tblAuftraege[Datum
Ausgaben],"&gt;="&amp;D$5,tblAuftraege[Datum
Ausgaben],"&lt;"&amp;EDATE(D$5,1),tblAuftraege[Kostenstelle],$B67))</f>
        <v/>
      </c>
      <c r="E67" s="27">
        <f>IF($B67="",0,SUMIFS(tblAuftraege[Kalk.
Ausgaben],tblAuftraege[Datum
Ausgaben],"&gt;="&amp;E$5,tblAuftraege[Datum
Ausgaben],"&lt;"&amp;EDATE(E$5,1),tblAuftraege[Kostenstelle],$B67))</f>
        <v/>
      </c>
      <c r="F67" s="27">
        <f>IF($B67="",0,SUMIFS(tblAuftraege[Kalk.
Ausgaben],tblAuftraege[Datum
Ausgaben],"&gt;="&amp;F$5,tblAuftraege[Datum
Ausgaben],"&lt;"&amp;EDATE(F$5,1),tblAuftraege[Kostenstelle],$B67))</f>
        <v/>
      </c>
      <c r="G67" s="27">
        <f>IF($B67="",0,SUMIFS(tblAuftraege[Kalk.
Ausgaben],tblAuftraege[Datum
Ausgaben],"&gt;="&amp;G$5,tblAuftraege[Datum
Ausgaben],"&lt;"&amp;EDATE(G$5,1),tblAuftraege[Kostenstelle],$B67))</f>
        <v/>
      </c>
      <c r="H67" s="27">
        <f>IF($B67="",0,SUMIFS(tblAuftraege[Kalk.
Ausgaben],tblAuftraege[Datum
Ausgaben],"&gt;="&amp;H$5,tblAuftraege[Datum
Ausgaben],"&lt;"&amp;EDATE(H$5,1),tblAuftraege[Kostenstelle],$B67))</f>
        <v/>
      </c>
      <c r="I67" s="27">
        <f>IF($B67="",0,SUMIFS(tblAuftraege[Kalk.
Ausgaben],tblAuftraege[Datum
Ausgaben],"&gt;="&amp;I$5,tblAuftraege[Datum
Ausgaben],"&lt;"&amp;EDATE(I$5,1),tblAuftraege[Kostenstelle],$B67))</f>
        <v/>
      </c>
      <c r="J67" s="27">
        <f>IF($B67="",0,SUMIFS(tblAuftraege[Kalk.
Ausgaben],tblAuftraege[Datum
Ausgaben],"&gt;="&amp;J$5,tblAuftraege[Datum
Ausgaben],"&lt;"&amp;EDATE(J$5,1),tblAuftraege[Kostenstelle],$B67))</f>
        <v/>
      </c>
      <c r="K67" s="27">
        <f>IF($B67="",0,SUMIFS(tblAuftraege[Kalk.
Ausgaben],tblAuftraege[Datum
Ausgaben],"&gt;="&amp;K$5,tblAuftraege[Datum
Ausgaben],"&lt;"&amp;EDATE(K$5,1),tblAuftraege[Kostenstelle],$B67))</f>
        <v/>
      </c>
      <c r="L67" s="27">
        <f>IF($B67="",0,SUMIFS(tblAuftraege[Kalk.
Ausgaben],tblAuftraege[Datum
Ausgaben],"&gt;="&amp;L$5,tblAuftraege[Datum
Ausgaben],"&lt;"&amp;EDATE(L$5,1),tblAuftraege[Kostenstelle],$B67))</f>
        <v/>
      </c>
      <c r="M67" s="27">
        <f>IF($B67="",0,SUMIFS(tblAuftraege[Kalk.
Ausgaben],tblAuftraege[Datum
Ausgaben],"&gt;="&amp;M$5,tblAuftraege[Datum
Ausgaben],"&lt;"&amp;EDATE(M$5,1),tblAuftraege[Kostenstelle],$B67))</f>
        <v/>
      </c>
      <c r="N67" s="27">
        <f>IF($B67="",0,SUMIFS(tblAuftraege[Kalk.
Ausgaben],tblAuftraege[Datum
Ausgaben],"&gt;="&amp;N$5,tblAuftraege[Datum
Ausgaben],"&lt;"&amp;EDATE(N$5,1),tblAuftraege[Kostenstelle],$B67))</f>
        <v/>
      </c>
      <c r="O67" s="27">
        <f>IF($B67="",0,SUMIFS(tblAuftraege[Kalk.
Ausgaben],tblAuftraege[Datum
Ausgaben],"&gt;="&amp;O$5,tblAuftraege[Datum
Ausgaben],"&lt;"&amp;EDATE(O$5,1),tblAuftraege[Kostenstelle],$B67))</f>
        <v/>
      </c>
      <c r="P67" s="27">
        <f>IF($B67="",0,SUMIFS(tblAuftraege[Kalk.
Ausgaben],tblAuftraege[Datum
Ausgaben],"&gt;="&amp;P$5,tblAuftraege[Datum
Ausgaben],"&lt;"&amp;EDATE(P$5,1),tblAuftraege[Kostenstelle],$B67))</f>
        <v/>
      </c>
      <c r="Q67" s="27">
        <f>IF($B67="",0,SUMIFS(tblAuftraege[Kalk.
Ausgaben],tblAuftraege[Datum
Ausgaben],"&gt;="&amp;Q$5,tblAuftraege[Datum
Ausgaben],"&lt;"&amp;EDATE(Q$5,1),tblAuftraege[Kostenstelle],$B67))</f>
        <v/>
      </c>
      <c r="R67" s="27">
        <f>IF($B67="",0,SUMIFS(tblAuftraege[Kalk.
Ausgaben],tblAuftraege[Datum
Ausgaben],"&gt;="&amp;R$5,tblAuftraege[Datum
Ausgaben],"&lt;"&amp;EDATE(R$5,1),tblAuftraege[Kostenstelle],$B67))</f>
        <v/>
      </c>
      <c r="S67" s="27">
        <f>IF($B67="",0,SUMIFS(tblAuftraege[Kalk.
Ausgaben],tblAuftraege[Datum
Ausgaben],"&gt;="&amp;S$5,tblAuftraege[Datum
Ausgaben],"&lt;"&amp;EDATE(S$5,1),tblAuftraege[Kostenstelle],$B67))</f>
        <v/>
      </c>
      <c r="T67" s="27">
        <f>IF($B67="",0,SUMIFS(tblAuftraege[Kalk.
Ausgaben],tblAuftraege[Datum
Ausgaben],"&gt;="&amp;T$5,tblAuftraege[Datum
Ausgaben],"&lt;"&amp;EDATE(T$5,1),tblAuftraege[Kostenstelle],$B67))</f>
        <v/>
      </c>
      <c r="U67" s="27">
        <f>IF($B67="",0,SUMIFS(tblAuftraege[Kalk.
Ausgaben],tblAuftraege[Datum
Ausgaben],"&gt;="&amp;U$5,tblAuftraege[Datum
Ausgaben],"&lt;"&amp;EDATE(U$5,1),tblAuftraege[Kostenstelle],$B67))</f>
        <v/>
      </c>
      <c r="V67" s="27">
        <f>IF($B67="",0,SUMIFS(tblAuftraege[Kalk.
Ausgaben],tblAuftraege[Datum
Ausgaben],"&gt;="&amp;V$5,tblAuftraege[Datum
Ausgaben],"&lt;"&amp;EDATE(V$5,1),tblAuftraege[Kostenstelle],$B67))</f>
        <v/>
      </c>
      <c r="W67" s="27">
        <f>IF($B67="",0,SUMIFS(tblAuftraege[Kalk.
Ausgaben],tblAuftraege[Datum
Ausgaben],"&gt;="&amp;W$5,tblAuftraege[Datum
Ausgaben],"&lt;"&amp;EDATE(W$5,1),tblAuftraege[Kostenstelle],$B67))</f>
        <v/>
      </c>
      <c r="X67" s="27">
        <f>IF($B67="",0,SUMIFS(tblAuftraege[Kalk.
Ausgaben],tblAuftraege[Datum
Ausgaben],"&gt;="&amp;X$5,tblAuftraege[Datum
Ausgaben],"&lt;"&amp;EDATE(X$5,1),tblAuftraege[Kostenstelle],$B67))</f>
        <v/>
      </c>
      <c r="Y67" s="27">
        <f>IF($B67="",0,SUMIFS(tblAuftraege[Kalk.
Ausgaben],tblAuftraege[Datum
Ausgaben],"&gt;="&amp;Y$5,tblAuftraege[Datum
Ausgaben],"&lt;"&amp;EDATE(Y$5,1),tblAuftraege[Kostenstelle],$B67))</f>
        <v/>
      </c>
      <c r="Z67" s="27">
        <f>IF($B67="",0,SUMIFS(tblAuftraege[Kalk.
Ausgaben],tblAuftraege[Datum
Ausgaben],"&gt;="&amp;Z$5,tblAuftraege[Datum
Ausgaben],"&lt;"&amp;EDATE(Z$5,1),tblAuftraege[Kostenstelle],$B67))</f>
        <v/>
      </c>
      <c r="AA67" s="27">
        <f>IF($B67="",0,SUMIFS(tblAuftraege[Kalk.
Ausgaben],tblAuftraege[Datum
Ausgaben],"&gt;="&amp;AA$5,tblAuftraege[Datum
Ausgaben],"&lt;"&amp;EDATE(AA$5,1),tblAuftraege[Kostenstelle],$B67))</f>
        <v/>
      </c>
      <c r="AB67" s="27">
        <f>IF($B67="",0,SUMIFS(tblAuftraege[Kalk.
Ausgaben],tblAuftraege[Datum
Ausgaben],"&gt;="&amp;AB$5,tblAuftraege[Datum
Ausgaben],"&lt;"&amp;EDATE(AB$5,1),tblAuftraege[Kostenstelle],$B67))</f>
        <v/>
      </c>
      <c r="AC67" s="27">
        <f>IF($B67="",0,SUMIFS(tblAuftraege[Kalk.
Ausgaben],tblAuftraege[Datum
Ausgaben],"&gt;="&amp;AC$5,tblAuftraege[Datum
Ausgaben],"&lt;"&amp;EDATE(AC$5,1),tblAuftraege[Kostenstelle],$B67))</f>
        <v/>
      </c>
      <c r="AD67" s="27">
        <f>IF($B67="",0,SUMIFS(tblAuftraege[Kalk.
Ausgaben],tblAuftraege[Datum
Ausgaben],"&gt;="&amp;AD$5,tblAuftraege[Datum
Ausgaben],"&lt;"&amp;EDATE(AD$5,1),tblAuftraege[Kostenstelle],$B67))</f>
        <v/>
      </c>
      <c r="AE67" s="27">
        <f>IF($B67="",0,SUMIFS(tblAuftraege[Kalk.
Ausgaben],tblAuftraege[Datum
Ausgaben],"&gt;="&amp;AE$5,tblAuftraege[Datum
Ausgaben],"&lt;"&amp;EDATE(AE$5,1),tblAuftraege[Kostenstelle],$B67))</f>
        <v/>
      </c>
      <c r="AF67" s="27">
        <f>IF($B67="",0,SUMIFS(tblAuftraege[Kalk.
Ausgaben],tblAuftraege[Datum
Ausgaben],"&gt;="&amp;AF$5,tblAuftraege[Datum
Ausgaben],"&lt;"&amp;EDATE(AF$5,1),tblAuftraege[Kostenstelle],$B67))</f>
        <v/>
      </c>
      <c r="AG67" s="27">
        <f>IF($B67="",0,SUMIFS(tblAuftraege[Kalk.
Ausgaben],tblAuftraege[Datum
Ausgaben],"&gt;="&amp;AG$5,tblAuftraege[Datum
Ausgaben],"&lt;"&amp;EDATE(AG$5,1),tblAuftraege[Kostenstelle],$B67))</f>
        <v/>
      </c>
      <c r="AH67" s="27">
        <f>IF($B67="",0,SUMIFS(tblAuftraege[Kalk.
Ausgaben],tblAuftraege[Datum
Ausgaben],"&gt;="&amp;AH$5,tblAuftraege[Datum
Ausgaben],"&lt;"&amp;EDATE(AH$5,1),tblAuftraege[Kostenstelle],$B67))</f>
        <v/>
      </c>
      <c r="AI67" s="27">
        <f>IF($B67="",0,SUMIFS(tblAuftraege[Kalk.
Ausgaben],tblAuftraege[Datum
Ausgaben],"&gt;="&amp;AI$5,tblAuftraege[Datum
Ausgaben],"&lt;"&amp;EDATE(AI$5,1),tblAuftraege[Kostenstelle],$B67))</f>
        <v/>
      </c>
      <c r="AJ67" s="27">
        <f>IF($B67="",0,SUMIFS(tblAuftraege[Kalk.
Ausgaben],tblAuftraege[Datum
Ausgaben],"&gt;="&amp;AJ$5,tblAuftraege[Datum
Ausgaben],"&lt;"&amp;EDATE(AJ$5,1),tblAuftraege[Kostenstelle],$B67))</f>
        <v/>
      </c>
      <c r="AK67" s="27">
        <f>IF($B67="",0,SUMIFS(tblAuftraege[Kalk.
Ausgaben],tblAuftraege[Datum
Ausgaben],"&gt;="&amp;AK$5,tblAuftraege[Datum
Ausgaben],"&lt;"&amp;EDATE(AK$5,1),tblAuftraege[Kostenstelle],$B67))</f>
        <v/>
      </c>
      <c r="AL67" s="27">
        <f>IF($B67="",0,SUMIFS(tblAuftraege[Kalk.
Ausgaben],tblAuftraege[Datum
Ausgaben],"&gt;="&amp;AL$5,tblAuftraege[Datum
Ausgaben],"&lt;"&amp;EDATE(AL$5,1),tblAuftraege[Kostenstelle],$B67))</f>
        <v/>
      </c>
      <c r="AM67" s="27">
        <f>IF($B67="",0,SUMIFS(tblAuftraege[Kalk.
Ausgaben],tblAuftraege[Datum
Ausgaben],"&gt;="&amp;AM$5,tblAuftraege[Datum
Ausgaben],"&lt;"&amp;EDATE(AM$5,1),tblAuftraege[Kostenstelle],$B67))</f>
        <v/>
      </c>
      <c r="AN67" s="27">
        <f>IF($B67="",0,SUMIFS(tblAuftraege[Kalk.
Ausgaben],tblAuftraege[Datum
Ausgaben],"&gt;="&amp;AN$5,tblAuftraege[Datum
Ausgaben],"&lt;"&amp;EDATE(AN$5,1),tblAuftraege[Kostenstelle],$B67))</f>
        <v/>
      </c>
      <c r="AO67" s="27">
        <f>IF($B67="",0,SUMIFS(tblAuftraege[Kalk.
Ausgaben],tblAuftraege[Datum
Ausgaben],"&gt;="&amp;AO$5,tblAuftraege[Datum
Ausgaben],"&lt;"&amp;EDATE(AO$5,1),tblAuftraege[Kostenstelle],$B67))</f>
        <v/>
      </c>
      <c r="AP67" s="27">
        <f>IF($B67="",0,SUMIFS(tblAuftraege[Kalk.
Ausgaben],tblAuftraege[Datum
Ausgaben],"&gt;="&amp;AP$5,tblAuftraege[Datum
Ausgaben],"&lt;"&amp;EDATE(AP$5,1),tblAuftraege[Kostenstelle],$B67))</f>
        <v/>
      </c>
      <c r="AQ67" s="27">
        <f>IF($B67="",0,SUMIFS(tblAuftraege[Kalk.
Ausgaben],tblAuftraege[Datum
Ausgaben],"&gt;="&amp;AQ$5,tblAuftraege[Datum
Ausgaben],"&lt;"&amp;EDATE(AQ$5,1),tblAuftraege[Kostenstelle],$B67))</f>
        <v/>
      </c>
      <c r="AR67" s="27">
        <f>IF($B67="",0,SUMIFS(tblAuftraege[Kalk.
Ausgaben],tblAuftraege[Datum
Ausgaben],"&gt;="&amp;AR$5,tblAuftraege[Datum
Ausgaben],"&lt;"&amp;EDATE(AR$5,1),tblAuftraege[Kostenstelle],$B67))</f>
        <v/>
      </c>
      <c r="AS67" s="27">
        <f>IF($B67="",0,SUMIFS(tblAuftraege[Kalk.
Ausgaben],tblAuftraege[Datum
Ausgaben],"&gt;="&amp;AS$5,tblAuftraege[Datum
Ausgaben],"&lt;"&amp;EDATE(AS$5,1),tblAuftraege[Kostenstelle],$B67))</f>
        <v/>
      </c>
      <c r="AT67" s="27">
        <f>IF($B67="",0,SUMIFS(tblAuftraege[Kalk.
Ausgaben],tblAuftraege[Datum
Ausgaben],"&gt;="&amp;AT$5,tblAuftraege[Datum
Ausgaben],"&lt;"&amp;EDATE(AT$5,1),tblAuftraege[Kostenstelle],$B67))</f>
        <v/>
      </c>
      <c r="AU67" s="27">
        <f>IF($B67="",0,SUMIFS(tblAuftraege[Kalk.
Ausgaben],tblAuftraege[Datum
Ausgaben],"&gt;="&amp;AU$5,tblAuftraege[Datum
Ausgaben],"&lt;"&amp;EDATE(AU$5,1),tblAuftraege[Kostenstelle],$B67))</f>
        <v/>
      </c>
      <c r="AV67" s="27">
        <f>IF($B67="",0,SUMIFS(tblAuftraege[Kalk.
Ausgaben],tblAuftraege[Datum
Ausgaben],"&gt;="&amp;AV$5,tblAuftraege[Datum
Ausgaben],"&lt;"&amp;EDATE(AV$5,1),tblAuftraege[Kostenstelle],$B67))</f>
        <v/>
      </c>
      <c r="AW67" s="27">
        <f>IF($B67="",0,SUMIFS(tblAuftraege[Kalk.
Ausgaben],tblAuftraege[Datum
Ausgaben],"&gt;="&amp;AW$5,tblAuftraege[Datum
Ausgaben],"&lt;"&amp;EDATE(AW$5,1),tblAuftraege[Kostenstelle],$B67))</f>
        <v/>
      </c>
      <c r="AX67" s="27">
        <f>IF($B67="",0,SUMIFS(tblAuftraege[Kalk.
Ausgaben],tblAuftraege[Datum
Ausgaben],"&gt;="&amp;AX$5,tblAuftraege[Datum
Ausgaben],"&lt;"&amp;EDATE(AX$5,1),tblAuftraege[Kostenstelle],$B67))</f>
        <v/>
      </c>
      <c r="AY67" s="27">
        <f>IF($B67="",0,SUMIFS(tblAuftraege[Kalk.
Ausgaben],tblAuftraege[Datum
Ausgaben],"&gt;="&amp;AY$5,tblAuftraege[Datum
Ausgaben],"&lt;"&amp;EDATE(AY$5,1),tblAuftraege[Kostenstelle],$B67))</f>
        <v/>
      </c>
      <c r="AZ67" s="27">
        <f>IF($B67="",0,SUMIFS(tblAuftraege[Kalk.
Ausgaben],tblAuftraege[Datum
Ausgaben],"&gt;="&amp;AZ$5,tblAuftraege[Datum
Ausgaben],"&lt;"&amp;EDATE(AZ$5,1),tblAuftraege[Kostenstelle],$B67))</f>
        <v/>
      </c>
      <c r="BA67" s="27">
        <f>IF($B67="",0,SUMIFS(tblAuftraege[Kalk.
Ausgaben],tblAuftraege[Datum
Ausgaben],"&gt;="&amp;BA$5,tblAuftraege[Datum
Ausgaben],"&lt;"&amp;EDATE(BA$5,1),tblAuftraege[Kostenstelle],$B67))</f>
        <v/>
      </c>
      <c r="BB67" s="27">
        <f>IF($B67="",0,SUMIFS(tblAuftraege[Kalk.
Ausgaben],tblAuftraege[Datum
Ausgaben],"&gt;="&amp;BB$5,tblAuftraege[Datum
Ausgaben],"&lt;"&amp;EDATE(BB$5,1),tblAuftraege[Kostenstelle],$B67))</f>
        <v/>
      </c>
      <c r="BC67" s="27">
        <f>IF($B67="",0,SUMIFS(tblAuftraege[Kalk.
Ausgaben],tblAuftraege[Datum
Ausgaben],"&gt;="&amp;BC$5,tblAuftraege[Datum
Ausgaben],"&lt;"&amp;EDATE(BC$5,1),tblAuftraege[Kostenstelle],$B67))</f>
        <v/>
      </c>
      <c r="BD67" s="27">
        <f>IF($B67="",0,SUMIFS(tblAuftraege[Kalk.
Ausgaben],tblAuftraege[Datum
Ausgaben],"&gt;="&amp;BD$5,tblAuftraege[Datum
Ausgaben],"&lt;"&amp;EDATE(BD$5,1),tblAuftraege[Kostenstelle],$B67))</f>
        <v/>
      </c>
      <c r="BE67" s="27">
        <f>SUM(C67:H67)</f>
        <v/>
      </c>
      <c r="BF67" s="27">
        <f>SUM(I67:T67)</f>
        <v/>
      </c>
      <c r="BG67" s="27">
        <f>SUM(U67:AF67)</f>
        <v/>
      </c>
      <c r="BH67" s="27">
        <f>SUM(AG67:AR67)</f>
        <v/>
      </c>
      <c r="BI67" s="27">
        <f>SUM(AS67:BD67)</f>
        <v/>
      </c>
      <c r="BJ67" s="27">
        <f>SUM(C67:BD67)</f>
        <v/>
      </c>
    </row>
    <row r="68">
      <c r="A68" s="34" t="n"/>
      <c r="B68" s="49">
        <f>IF(ISBLANK(B34),"",B34)</f>
        <v/>
      </c>
      <c r="C68" s="27">
        <f>IF($B68="",0,SUMIFS(tblAuftraege[Kalk.
Ausgaben],tblAuftraege[Datum
Ausgaben],"&gt;="&amp;C$5,tblAuftraege[Datum
Ausgaben],"&lt;"&amp;EDATE(C$5,1),tblAuftraege[Kostenstelle],$B68))</f>
        <v/>
      </c>
      <c r="D68" s="27">
        <f>IF($B68="",0,SUMIFS(tblAuftraege[Kalk.
Ausgaben],tblAuftraege[Datum
Ausgaben],"&gt;="&amp;D$5,tblAuftraege[Datum
Ausgaben],"&lt;"&amp;EDATE(D$5,1),tblAuftraege[Kostenstelle],$B68))</f>
        <v/>
      </c>
      <c r="E68" s="27">
        <f>IF($B68="",0,SUMIFS(tblAuftraege[Kalk.
Ausgaben],tblAuftraege[Datum
Ausgaben],"&gt;="&amp;E$5,tblAuftraege[Datum
Ausgaben],"&lt;"&amp;EDATE(E$5,1),tblAuftraege[Kostenstelle],$B68))</f>
        <v/>
      </c>
      <c r="F68" s="27">
        <f>IF($B68="",0,SUMIFS(tblAuftraege[Kalk.
Ausgaben],tblAuftraege[Datum
Ausgaben],"&gt;="&amp;F$5,tblAuftraege[Datum
Ausgaben],"&lt;"&amp;EDATE(F$5,1),tblAuftraege[Kostenstelle],$B68))</f>
        <v/>
      </c>
      <c r="G68" s="27">
        <f>IF($B68="",0,SUMIFS(tblAuftraege[Kalk.
Ausgaben],tblAuftraege[Datum
Ausgaben],"&gt;="&amp;G$5,tblAuftraege[Datum
Ausgaben],"&lt;"&amp;EDATE(G$5,1),tblAuftraege[Kostenstelle],$B68))</f>
        <v/>
      </c>
      <c r="H68" s="27">
        <f>IF($B68="",0,SUMIFS(tblAuftraege[Kalk.
Ausgaben],tblAuftraege[Datum
Ausgaben],"&gt;="&amp;H$5,tblAuftraege[Datum
Ausgaben],"&lt;"&amp;EDATE(H$5,1),tblAuftraege[Kostenstelle],$B68))</f>
        <v/>
      </c>
      <c r="I68" s="27">
        <f>IF($B68="",0,SUMIFS(tblAuftraege[Kalk.
Ausgaben],tblAuftraege[Datum
Ausgaben],"&gt;="&amp;I$5,tblAuftraege[Datum
Ausgaben],"&lt;"&amp;EDATE(I$5,1),tblAuftraege[Kostenstelle],$B68))</f>
        <v/>
      </c>
      <c r="J68" s="27">
        <f>IF($B68="",0,SUMIFS(tblAuftraege[Kalk.
Ausgaben],tblAuftraege[Datum
Ausgaben],"&gt;="&amp;J$5,tblAuftraege[Datum
Ausgaben],"&lt;"&amp;EDATE(J$5,1),tblAuftraege[Kostenstelle],$B68))</f>
        <v/>
      </c>
      <c r="K68" s="27">
        <f>IF($B68="",0,SUMIFS(tblAuftraege[Kalk.
Ausgaben],tblAuftraege[Datum
Ausgaben],"&gt;="&amp;K$5,tblAuftraege[Datum
Ausgaben],"&lt;"&amp;EDATE(K$5,1),tblAuftraege[Kostenstelle],$B68))</f>
        <v/>
      </c>
      <c r="L68" s="27">
        <f>IF($B68="",0,SUMIFS(tblAuftraege[Kalk.
Ausgaben],tblAuftraege[Datum
Ausgaben],"&gt;="&amp;L$5,tblAuftraege[Datum
Ausgaben],"&lt;"&amp;EDATE(L$5,1),tblAuftraege[Kostenstelle],$B68))</f>
        <v/>
      </c>
      <c r="M68" s="27">
        <f>IF($B68="",0,SUMIFS(tblAuftraege[Kalk.
Ausgaben],tblAuftraege[Datum
Ausgaben],"&gt;="&amp;M$5,tblAuftraege[Datum
Ausgaben],"&lt;"&amp;EDATE(M$5,1),tblAuftraege[Kostenstelle],$B68))</f>
        <v/>
      </c>
      <c r="N68" s="27">
        <f>IF($B68="",0,SUMIFS(tblAuftraege[Kalk.
Ausgaben],tblAuftraege[Datum
Ausgaben],"&gt;="&amp;N$5,tblAuftraege[Datum
Ausgaben],"&lt;"&amp;EDATE(N$5,1),tblAuftraege[Kostenstelle],$B68))</f>
        <v/>
      </c>
      <c r="O68" s="27">
        <f>IF($B68="",0,SUMIFS(tblAuftraege[Kalk.
Ausgaben],tblAuftraege[Datum
Ausgaben],"&gt;="&amp;O$5,tblAuftraege[Datum
Ausgaben],"&lt;"&amp;EDATE(O$5,1),tblAuftraege[Kostenstelle],$B68))</f>
        <v/>
      </c>
      <c r="P68" s="27">
        <f>IF($B68="",0,SUMIFS(tblAuftraege[Kalk.
Ausgaben],tblAuftraege[Datum
Ausgaben],"&gt;="&amp;P$5,tblAuftraege[Datum
Ausgaben],"&lt;"&amp;EDATE(P$5,1),tblAuftraege[Kostenstelle],$B68))</f>
        <v/>
      </c>
      <c r="Q68" s="27">
        <f>IF($B68="",0,SUMIFS(tblAuftraege[Kalk.
Ausgaben],tblAuftraege[Datum
Ausgaben],"&gt;="&amp;Q$5,tblAuftraege[Datum
Ausgaben],"&lt;"&amp;EDATE(Q$5,1),tblAuftraege[Kostenstelle],$B68))</f>
        <v/>
      </c>
      <c r="R68" s="27">
        <f>IF($B68="",0,SUMIFS(tblAuftraege[Kalk.
Ausgaben],tblAuftraege[Datum
Ausgaben],"&gt;="&amp;R$5,tblAuftraege[Datum
Ausgaben],"&lt;"&amp;EDATE(R$5,1),tblAuftraege[Kostenstelle],$B68))</f>
        <v/>
      </c>
      <c r="S68" s="27">
        <f>IF($B68="",0,SUMIFS(tblAuftraege[Kalk.
Ausgaben],tblAuftraege[Datum
Ausgaben],"&gt;="&amp;S$5,tblAuftraege[Datum
Ausgaben],"&lt;"&amp;EDATE(S$5,1),tblAuftraege[Kostenstelle],$B68))</f>
        <v/>
      </c>
      <c r="T68" s="27">
        <f>IF($B68="",0,SUMIFS(tblAuftraege[Kalk.
Ausgaben],tblAuftraege[Datum
Ausgaben],"&gt;="&amp;T$5,tblAuftraege[Datum
Ausgaben],"&lt;"&amp;EDATE(T$5,1),tblAuftraege[Kostenstelle],$B68))</f>
        <v/>
      </c>
      <c r="U68" s="27">
        <f>IF($B68="",0,SUMIFS(tblAuftraege[Kalk.
Ausgaben],tblAuftraege[Datum
Ausgaben],"&gt;="&amp;U$5,tblAuftraege[Datum
Ausgaben],"&lt;"&amp;EDATE(U$5,1),tblAuftraege[Kostenstelle],$B68))</f>
        <v/>
      </c>
      <c r="V68" s="27">
        <f>IF($B68="",0,SUMIFS(tblAuftraege[Kalk.
Ausgaben],tblAuftraege[Datum
Ausgaben],"&gt;="&amp;V$5,tblAuftraege[Datum
Ausgaben],"&lt;"&amp;EDATE(V$5,1),tblAuftraege[Kostenstelle],$B68))</f>
        <v/>
      </c>
      <c r="W68" s="27">
        <f>IF($B68="",0,SUMIFS(tblAuftraege[Kalk.
Ausgaben],tblAuftraege[Datum
Ausgaben],"&gt;="&amp;W$5,tblAuftraege[Datum
Ausgaben],"&lt;"&amp;EDATE(W$5,1),tblAuftraege[Kostenstelle],$B68))</f>
        <v/>
      </c>
      <c r="X68" s="27">
        <f>IF($B68="",0,SUMIFS(tblAuftraege[Kalk.
Ausgaben],tblAuftraege[Datum
Ausgaben],"&gt;="&amp;X$5,tblAuftraege[Datum
Ausgaben],"&lt;"&amp;EDATE(X$5,1),tblAuftraege[Kostenstelle],$B68))</f>
        <v/>
      </c>
      <c r="Y68" s="27">
        <f>IF($B68="",0,SUMIFS(tblAuftraege[Kalk.
Ausgaben],tblAuftraege[Datum
Ausgaben],"&gt;="&amp;Y$5,tblAuftraege[Datum
Ausgaben],"&lt;"&amp;EDATE(Y$5,1),tblAuftraege[Kostenstelle],$B68))</f>
        <v/>
      </c>
      <c r="Z68" s="27">
        <f>IF($B68="",0,SUMIFS(tblAuftraege[Kalk.
Ausgaben],tblAuftraege[Datum
Ausgaben],"&gt;="&amp;Z$5,tblAuftraege[Datum
Ausgaben],"&lt;"&amp;EDATE(Z$5,1),tblAuftraege[Kostenstelle],$B68))</f>
        <v/>
      </c>
      <c r="AA68" s="27">
        <f>IF($B68="",0,SUMIFS(tblAuftraege[Kalk.
Ausgaben],tblAuftraege[Datum
Ausgaben],"&gt;="&amp;AA$5,tblAuftraege[Datum
Ausgaben],"&lt;"&amp;EDATE(AA$5,1),tblAuftraege[Kostenstelle],$B68))</f>
        <v/>
      </c>
      <c r="AB68" s="27">
        <f>IF($B68="",0,SUMIFS(tblAuftraege[Kalk.
Ausgaben],tblAuftraege[Datum
Ausgaben],"&gt;="&amp;AB$5,tblAuftraege[Datum
Ausgaben],"&lt;"&amp;EDATE(AB$5,1),tblAuftraege[Kostenstelle],$B68))</f>
        <v/>
      </c>
      <c r="AC68" s="27">
        <f>IF($B68="",0,SUMIFS(tblAuftraege[Kalk.
Ausgaben],tblAuftraege[Datum
Ausgaben],"&gt;="&amp;AC$5,tblAuftraege[Datum
Ausgaben],"&lt;"&amp;EDATE(AC$5,1),tblAuftraege[Kostenstelle],$B68))</f>
        <v/>
      </c>
      <c r="AD68" s="27">
        <f>IF($B68="",0,SUMIFS(tblAuftraege[Kalk.
Ausgaben],tblAuftraege[Datum
Ausgaben],"&gt;="&amp;AD$5,tblAuftraege[Datum
Ausgaben],"&lt;"&amp;EDATE(AD$5,1),tblAuftraege[Kostenstelle],$B68))</f>
        <v/>
      </c>
      <c r="AE68" s="27">
        <f>IF($B68="",0,SUMIFS(tblAuftraege[Kalk.
Ausgaben],tblAuftraege[Datum
Ausgaben],"&gt;="&amp;AE$5,tblAuftraege[Datum
Ausgaben],"&lt;"&amp;EDATE(AE$5,1),tblAuftraege[Kostenstelle],$B68))</f>
        <v/>
      </c>
      <c r="AF68" s="27">
        <f>IF($B68="",0,SUMIFS(tblAuftraege[Kalk.
Ausgaben],tblAuftraege[Datum
Ausgaben],"&gt;="&amp;AF$5,tblAuftraege[Datum
Ausgaben],"&lt;"&amp;EDATE(AF$5,1),tblAuftraege[Kostenstelle],$B68))</f>
        <v/>
      </c>
      <c r="AG68" s="27">
        <f>IF($B68="",0,SUMIFS(tblAuftraege[Kalk.
Ausgaben],tblAuftraege[Datum
Ausgaben],"&gt;="&amp;AG$5,tblAuftraege[Datum
Ausgaben],"&lt;"&amp;EDATE(AG$5,1),tblAuftraege[Kostenstelle],$B68))</f>
        <v/>
      </c>
      <c r="AH68" s="27">
        <f>IF($B68="",0,SUMIFS(tblAuftraege[Kalk.
Ausgaben],tblAuftraege[Datum
Ausgaben],"&gt;="&amp;AH$5,tblAuftraege[Datum
Ausgaben],"&lt;"&amp;EDATE(AH$5,1),tblAuftraege[Kostenstelle],$B68))</f>
        <v/>
      </c>
      <c r="AI68" s="27">
        <f>IF($B68="",0,SUMIFS(tblAuftraege[Kalk.
Ausgaben],tblAuftraege[Datum
Ausgaben],"&gt;="&amp;AI$5,tblAuftraege[Datum
Ausgaben],"&lt;"&amp;EDATE(AI$5,1),tblAuftraege[Kostenstelle],$B68))</f>
        <v/>
      </c>
      <c r="AJ68" s="27">
        <f>IF($B68="",0,SUMIFS(tblAuftraege[Kalk.
Ausgaben],tblAuftraege[Datum
Ausgaben],"&gt;="&amp;AJ$5,tblAuftraege[Datum
Ausgaben],"&lt;"&amp;EDATE(AJ$5,1),tblAuftraege[Kostenstelle],$B68))</f>
        <v/>
      </c>
      <c r="AK68" s="27">
        <f>IF($B68="",0,SUMIFS(tblAuftraege[Kalk.
Ausgaben],tblAuftraege[Datum
Ausgaben],"&gt;="&amp;AK$5,tblAuftraege[Datum
Ausgaben],"&lt;"&amp;EDATE(AK$5,1),tblAuftraege[Kostenstelle],$B68))</f>
        <v/>
      </c>
      <c r="AL68" s="27">
        <f>IF($B68="",0,SUMIFS(tblAuftraege[Kalk.
Ausgaben],tblAuftraege[Datum
Ausgaben],"&gt;="&amp;AL$5,tblAuftraege[Datum
Ausgaben],"&lt;"&amp;EDATE(AL$5,1),tblAuftraege[Kostenstelle],$B68))</f>
        <v/>
      </c>
      <c r="AM68" s="27">
        <f>IF($B68="",0,SUMIFS(tblAuftraege[Kalk.
Ausgaben],tblAuftraege[Datum
Ausgaben],"&gt;="&amp;AM$5,tblAuftraege[Datum
Ausgaben],"&lt;"&amp;EDATE(AM$5,1),tblAuftraege[Kostenstelle],$B68))</f>
        <v/>
      </c>
      <c r="AN68" s="27">
        <f>IF($B68="",0,SUMIFS(tblAuftraege[Kalk.
Ausgaben],tblAuftraege[Datum
Ausgaben],"&gt;="&amp;AN$5,tblAuftraege[Datum
Ausgaben],"&lt;"&amp;EDATE(AN$5,1),tblAuftraege[Kostenstelle],$B68))</f>
        <v/>
      </c>
      <c r="AO68" s="27">
        <f>IF($B68="",0,SUMIFS(tblAuftraege[Kalk.
Ausgaben],tblAuftraege[Datum
Ausgaben],"&gt;="&amp;AO$5,tblAuftraege[Datum
Ausgaben],"&lt;"&amp;EDATE(AO$5,1),tblAuftraege[Kostenstelle],$B68))</f>
        <v/>
      </c>
      <c r="AP68" s="27">
        <f>IF($B68="",0,SUMIFS(tblAuftraege[Kalk.
Ausgaben],tblAuftraege[Datum
Ausgaben],"&gt;="&amp;AP$5,tblAuftraege[Datum
Ausgaben],"&lt;"&amp;EDATE(AP$5,1),tblAuftraege[Kostenstelle],$B68))</f>
        <v/>
      </c>
      <c r="AQ68" s="27">
        <f>IF($B68="",0,SUMIFS(tblAuftraege[Kalk.
Ausgaben],tblAuftraege[Datum
Ausgaben],"&gt;="&amp;AQ$5,tblAuftraege[Datum
Ausgaben],"&lt;"&amp;EDATE(AQ$5,1),tblAuftraege[Kostenstelle],$B68))</f>
        <v/>
      </c>
      <c r="AR68" s="27">
        <f>IF($B68="",0,SUMIFS(tblAuftraege[Kalk.
Ausgaben],tblAuftraege[Datum
Ausgaben],"&gt;="&amp;AR$5,tblAuftraege[Datum
Ausgaben],"&lt;"&amp;EDATE(AR$5,1),tblAuftraege[Kostenstelle],$B68))</f>
        <v/>
      </c>
      <c r="AS68" s="27">
        <f>IF($B68="",0,SUMIFS(tblAuftraege[Kalk.
Ausgaben],tblAuftraege[Datum
Ausgaben],"&gt;="&amp;AS$5,tblAuftraege[Datum
Ausgaben],"&lt;"&amp;EDATE(AS$5,1),tblAuftraege[Kostenstelle],$B68))</f>
        <v/>
      </c>
      <c r="AT68" s="27">
        <f>IF($B68="",0,SUMIFS(tblAuftraege[Kalk.
Ausgaben],tblAuftraege[Datum
Ausgaben],"&gt;="&amp;AT$5,tblAuftraege[Datum
Ausgaben],"&lt;"&amp;EDATE(AT$5,1),tblAuftraege[Kostenstelle],$B68))</f>
        <v/>
      </c>
      <c r="AU68" s="27">
        <f>IF($B68="",0,SUMIFS(tblAuftraege[Kalk.
Ausgaben],tblAuftraege[Datum
Ausgaben],"&gt;="&amp;AU$5,tblAuftraege[Datum
Ausgaben],"&lt;"&amp;EDATE(AU$5,1),tblAuftraege[Kostenstelle],$B68))</f>
        <v/>
      </c>
      <c r="AV68" s="27">
        <f>IF($B68="",0,SUMIFS(tblAuftraege[Kalk.
Ausgaben],tblAuftraege[Datum
Ausgaben],"&gt;="&amp;AV$5,tblAuftraege[Datum
Ausgaben],"&lt;"&amp;EDATE(AV$5,1),tblAuftraege[Kostenstelle],$B68))</f>
        <v/>
      </c>
      <c r="AW68" s="27">
        <f>IF($B68="",0,SUMIFS(tblAuftraege[Kalk.
Ausgaben],tblAuftraege[Datum
Ausgaben],"&gt;="&amp;AW$5,tblAuftraege[Datum
Ausgaben],"&lt;"&amp;EDATE(AW$5,1),tblAuftraege[Kostenstelle],$B68))</f>
        <v/>
      </c>
      <c r="AX68" s="27">
        <f>IF($B68="",0,SUMIFS(tblAuftraege[Kalk.
Ausgaben],tblAuftraege[Datum
Ausgaben],"&gt;="&amp;AX$5,tblAuftraege[Datum
Ausgaben],"&lt;"&amp;EDATE(AX$5,1),tblAuftraege[Kostenstelle],$B68))</f>
        <v/>
      </c>
      <c r="AY68" s="27">
        <f>IF($B68="",0,SUMIFS(tblAuftraege[Kalk.
Ausgaben],tblAuftraege[Datum
Ausgaben],"&gt;="&amp;AY$5,tblAuftraege[Datum
Ausgaben],"&lt;"&amp;EDATE(AY$5,1),tblAuftraege[Kostenstelle],$B68))</f>
        <v/>
      </c>
      <c r="AZ68" s="27">
        <f>IF($B68="",0,SUMIFS(tblAuftraege[Kalk.
Ausgaben],tblAuftraege[Datum
Ausgaben],"&gt;="&amp;AZ$5,tblAuftraege[Datum
Ausgaben],"&lt;"&amp;EDATE(AZ$5,1),tblAuftraege[Kostenstelle],$B68))</f>
        <v/>
      </c>
      <c r="BA68" s="27">
        <f>IF($B68="",0,SUMIFS(tblAuftraege[Kalk.
Ausgaben],tblAuftraege[Datum
Ausgaben],"&gt;="&amp;BA$5,tblAuftraege[Datum
Ausgaben],"&lt;"&amp;EDATE(BA$5,1),tblAuftraege[Kostenstelle],$B68))</f>
        <v/>
      </c>
      <c r="BB68" s="27">
        <f>IF($B68="",0,SUMIFS(tblAuftraege[Kalk.
Ausgaben],tblAuftraege[Datum
Ausgaben],"&gt;="&amp;BB$5,tblAuftraege[Datum
Ausgaben],"&lt;"&amp;EDATE(BB$5,1),tblAuftraege[Kostenstelle],$B68))</f>
        <v/>
      </c>
      <c r="BC68" s="27">
        <f>IF($B68="",0,SUMIFS(tblAuftraege[Kalk.
Ausgaben],tblAuftraege[Datum
Ausgaben],"&gt;="&amp;BC$5,tblAuftraege[Datum
Ausgaben],"&lt;"&amp;EDATE(BC$5,1),tblAuftraege[Kostenstelle],$B68))</f>
        <v/>
      </c>
      <c r="BD68" s="27">
        <f>IF($B68="",0,SUMIFS(tblAuftraege[Kalk.
Ausgaben],tblAuftraege[Datum
Ausgaben],"&gt;="&amp;BD$5,tblAuftraege[Datum
Ausgaben],"&lt;"&amp;EDATE(BD$5,1),tblAuftraege[Kostenstelle],$B68))</f>
        <v/>
      </c>
      <c r="BE68" s="27">
        <f>SUM(C68:H68)</f>
        <v/>
      </c>
      <c r="BF68" s="27">
        <f>SUM(I68:T68)</f>
        <v/>
      </c>
      <c r="BG68" s="27">
        <f>SUM(U68:AF68)</f>
        <v/>
      </c>
      <c r="BH68" s="27">
        <f>SUM(AG68:AR68)</f>
        <v/>
      </c>
      <c r="BI68" s="27">
        <f>SUM(AS68:BD68)</f>
        <v/>
      </c>
      <c r="BJ68" s="27">
        <f>SUM(C68:BD68)</f>
        <v/>
      </c>
    </row>
    <row r="69">
      <c r="A69" s="34" t="n"/>
      <c r="B69" s="49">
        <f>IF(ISBLANK(B35),"",B35)</f>
        <v/>
      </c>
      <c r="C69" s="27">
        <f>IF($B69="",0,SUMIFS(tblAuftraege[Kalk.
Ausgaben],tblAuftraege[Datum
Ausgaben],"&gt;="&amp;C$5,tblAuftraege[Datum
Ausgaben],"&lt;"&amp;EDATE(C$5,1),tblAuftraege[Kostenstelle],$B69))</f>
        <v/>
      </c>
      <c r="D69" s="27">
        <f>IF($B69="",0,SUMIFS(tblAuftraege[Kalk.
Ausgaben],tblAuftraege[Datum
Ausgaben],"&gt;="&amp;D$5,tblAuftraege[Datum
Ausgaben],"&lt;"&amp;EDATE(D$5,1),tblAuftraege[Kostenstelle],$B69))</f>
        <v/>
      </c>
      <c r="E69" s="27">
        <f>IF($B69="",0,SUMIFS(tblAuftraege[Kalk.
Ausgaben],tblAuftraege[Datum
Ausgaben],"&gt;="&amp;E$5,tblAuftraege[Datum
Ausgaben],"&lt;"&amp;EDATE(E$5,1),tblAuftraege[Kostenstelle],$B69))</f>
        <v/>
      </c>
      <c r="F69" s="27">
        <f>IF($B69="",0,SUMIFS(tblAuftraege[Kalk.
Ausgaben],tblAuftraege[Datum
Ausgaben],"&gt;="&amp;F$5,tblAuftraege[Datum
Ausgaben],"&lt;"&amp;EDATE(F$5,1),tblAuftraege[Kostenstelle],$B69))</f>
        <v/>
      </c>
      <c r="G69" s="27">
        <f>IF($B69="",0,SUMIFS(tblAuftraege[Kalk.
Ausgaben],tblAuftraege[Datum
Ausgaben],"&gt;="&amp;G$5,tblAuftraege[Datum
Ausgaben],"&lt;"&amp;EDATE(G$5,1),tblAuftraege[Kostenstelle],$B69))</f>
        <v/>
      </c>
      <c r="H69" s="27">
        <f>IF($B69="",0,SUMIFS(tblAuftraege[Kalk.
Ausgaben],tblAuftraege[Datum
Ausgaben],"&gt;="&amp;H$5,tblAuftraege[Datum
Ausgaben],"&lt;"&amp;EDATE(H$5,1),tblAuftraege[Kostenstelle],$B69))</f>
        <v/>
      </c>
      <c r="I69" s="27">
        <f>IF($B69="",0,SUMIFS(tblAuftraege[Kalk.
Ausgaben],tblAuftraege[Datum
Ausgaben],"&gt;="&amp;I$5,tblAuftraege[Datum
Ausgaben],"&lt;"&amp;EDATE(I$5,1),tblAuftraege[Kostenstelle],$B69))</f>
        <v/>
      </c>
      <c r="J69" s="27">
        <f>IF($B69="",0,SUMIFS(tblAuftraege[Kalk.
Ausgaben],tblAuftraege[Datum
Ausgaben],"&gt;="&amp;J$5,tblAuftraege[Datum
Ausgaben],"&lt;"&amp;EDATE(J$5,1),tblAuftraege[Kostenstelle],$B69))</f>
        <v/>
      </c>
      <c r="K69" s="27">
        <f>IF($B69="",0,SUMIFS(tblAuftraege[Kalk.
Ausgaben],tblAuftraege[Datum
Ausgaben],"&gt;="&amp;K$5,tblAuftraege[Datum
Ausgaben],"&lt;"&amp;EDATE(K$5,1),tblAuftraege[Kostenstelle],$B69))</f>
        <v/>
      </c>
      <c r="L69" s="27">
        <f>IF($B69="",0,SUMIFS(tblAuftraege[Kalk.
Ausgaben],tblAuftraege[Datum
Ausgaben],"&gt;="&amp;L$5,tblAuftraege[Datum
Ausgaben],"&lt;"&amp;EDATE(L$5,1),tblAuftraege[Kostenstelle],$B69))</f>
        <v/>
      </c>
      <c r="M69" s="27">
        <f>IF($B69="",0,SUMIFS(tblAuftraege[Kalk.
Ausgaben],tblAuftraege[Datum
Ausgaben],"&gt;="&amp;M$5,tblAuftraege[Datum
Ausgaben],"&lt;"&amp;EDATE(M$5,1),tblAuftraege[Kostenstelle],$B69))</f>
        <v/>
      </c>
      <c r="N69" s="27">
        <f>IF($B69="",0,SUMIFS(tblAuftraege[Kalk.
Ausgaben],tblAuftraege[Datum
Ausgaben],"&gt;="&amp;N$5,tblAuftraege[Datum
Ausgaben],"&lt;"&amp;EDATE(N$5,1),tblAuftraege[Kostenstelle],$B69))</f>
        <v/>
      </c>
      <c r="O69" s="27">
        <f>IF($B69="",0,SUMIFS(tblAuftraege[Kalk.
Ausgaben],tblAuftraege[Datum
Ausgaben],"&gt;="&amp;O$5,tblAuftraege[Datum
Ausgaben],"&lt;"&amp;EDATE(O$5,1),tblAuftraege[Kostenstelle],$B69))</f>
        <v/>
      </c>
      <c r="P69" s="27">
        <f>IF($B69="",0,SUMIFS(tblAuftraege[Kalk.
Ausgaben],tblAuftraege[Datum
Ausgaben],"&gt;="&amp;P$5,tblAuftraege[Datum
Ausgaben],"&lt;"&amp;EDATE(P$5,1),tblAuftraege[Kostenstelle],$B69))</f>
        <v/>
      </c>
      <c r="Q69" s="27">
        <f>IF($B69="",0,SUMIFS(tblAuftraege[Kalk.
Ausgaben],tblAuftraege[Datum
Ausgaben],"&gt;="&amp;Q$5,tblAuftraege[Datum
Ausgaben],"&lt;"&amp;EDATE(Q$5,1),tblAuftraege[Kostenstelle],$B69))</f>
        <v/>
      </c>
      <c r="R69" s="27">
        <f>IF($B69="",0,SUMIFS(tblAuftraege[Kalk.
Ausgaben],tblAuftraege[Datum
Ausgaben],"&gt;="&amp;R$5,tblAuftraege[Datum
Ausgaben],"&lt;"&amp;EDATE(R$5,1),tblAuftraege[Kostenstelle],$B69))</f>
        <v/>
      </c>
      <c r="S69" s="27">
        <f>IF($B69="",0,SUMIFS(tblAuftraege[Kalk.
Ausgaben],tblAuftraege[Datum
Ausgaben],"&gt;="&amp;S$5,tblAuftraege[Datum
Ausgaben],"&lt;"&amp;EDATE(S$5,1),tblAuftraege[Kostenstelle],$B69))</f>
        <v/>
      </c>
      <c r="T69" s="27">
        <f>IF($B69="",0,SUMIFS(tblAuftraege[Kalk.
Ausgaben],tblAuftraege[Datum
Ausgaben],"&gt;="&amp;T$5,tblAuftraege[Datum
Ausgaben],"&lt;"&amp;EDATE(T$5,1),tblAuftraege[Kostenstelle],$B69))</f>
        <v/>
      </c>
      <c r="U69" s="27">
        <f>IF($B69="",0,SUMIFS(tblAuftraege[Kalk.
Ausgaben],tblAuftraege[Datum
Ausgaben],"&gt;="&amp;U$5,tblAuftraege[Datum
Ausgaben],"&lt;"&amp;EDATE(U$5,1),tblAuftraege[Kostenstelle],$B69))</f>
        <v/>
      </c>
      <c r="V69" s="27">
        <f>IF($B69="",0,SUMIFS(tblAuftraege[Kalk.
Ausgaben],tblAuftraege[Datum
Ausgaben],"&gt;="&amp;V$5,tblAuftraege[Datum
Ausgaben],"&lt;"&amp;EDATE(V$5,1),tblAuftraege[Kostenstelle],$B69))</f>
        <v/>
      </c>
      <c r="W69" s="27">
        <f>IF($B69="",0,SUMIFS(tblAuftraege[Kalk.
Ausgaben],tblAuftraege[Datum
Ausgaben],"&gt;="&amp;W$5,tblAuftraege[Datum
Ausgaben],"&lt;"&amp;EDATE(W$5,1),tblAuftraege[Kostenstelle],$B69))</f>
        <v/>
      </c>
      <c r="X69" s="27">
        <f>IF($B69="",0,SUMIFS(tblAuftraege[Kalk.
Ausgaben],tblAuftraege[Datum
Ausgaben],"&gt;="&amp;X$5,tblAuftraege[Datum
Ausgaben],"&lt;"&amp;EDATE(X$5,1),tblAuftraege[Kostenstelle],$B69))</f>
        <v/>
      </c>
      <c r="Y69" s="27">
        <f>IF($B69="",0,SUMIFS(tblAuftraege[Kalk.
Ausgaben],tblAuftraege[Datum
Ausgaben],"&gt;="&amp;Y$5,tblAuftraege[Datum
Ausgaben],"&lt;"&amp;EDATE(Y$5,1),tblAuftraege[Kostenstelle],$B69))</f>
        <v/>
      </c>
      <c r="Z69" s="27">
        <f>IF($B69="",0,SUMIFS(tblAuftraege[Kalk.
Ausgaben],tblAuftraege[Datum
Ausgaben],"&gt;="&amp;Z$5,tblAuftraege[Datum
Ausgaben],"&lt;"&amp;EDATE(Z$5,1),tblAuftraege[Kostenstelle],$B69))</f>
        <v/>
      </c>
      <c r="AA69" s="27">
        <f>IF($B69="",0,SUMIFS(tblAuftraege[Kalk.
Ausgaben],tblAuftraege[Datum
Ausgaben],"&gt;="&amp;AA$5,tblAuftraege[Datum
Ausgaben],"&lt;"&amp;EDATE(AA$5,1),tblAuftraege[Kostenstelle],$B69))</f>
        <v/>
      </c>
      <c r="AB69" s="27">
        <f>IF($B69="",0,SUMIFS(tblAuftraege[Kalk.
Ausgaben],tblAuftraege[Datum
Ausgaben],"&gt;="&amp;AB$5,tblAuftraege[Datum
Ausgaben],"&lt;"&amp;EDATE(AB$5,1),tblAuftraege[Kostenstelle],$B69))</f>
        <v/>
      </c>
      <c r="AC69" s="27">
        <f>IF($B69="",0,SUMIFS(tblAuftraege[Kalk.
Ausgaben],tblAuftraege[Datum
Ausgaben],"&gt;="&amp;AC$5,tblAuftraege[Datum
Ausgaben],"&lt;"&amp;EDATE(AC$5,1),tblAuftraege[Kostenstelle],$B69))</f>
        <v/>
      </c>
      <c r="AD69" s="27">
        <f>IF($B69="",0,SUMIFS(tblAuftraege[Kalk.
Ausgaben],tblAuftraege[Datum
Ausgaben],"&gt;="&amp;AD$5,tblAuftraege[Datum
Ausgaben],"&lt;"&amp;EDATE(AD$5,1),tblAuftraege[Kostenstelle],$B69))</f>
        <v/>
      </c>
      <c r="AE69" s="27">
        <f>IF($B69="",0,SUMIFS(tblAuftraege[Kalk.
Ausgaben],tblAuftraege[Datum
Ausgaben],"&gt;="&amp;AE$5,tblAuftraege[Datum
Ausgaben],"&lt;"&amp;EDATE(AE$5,1),tblAuftraege[Kostenstelle],$B69))</f>
        <v/>
      </c>
      <c r="AF69" s="27">
        <f>IF($B69="",0,SUMIFS(tblAuftraege[Kalk.
Ausgaben],tblAuftraege[Datum
Ausgaben],"&gt;="&amp;AF$5,tblAuftraege[Datum
Ausgaben],"&lt;"&amp;EDATE(AF$5,1),tblAuftraege[Kostenstelle],$B69))</f>
        <v/>
      </c>
      <c r="AG69" s="27">
        <f>IF($B69="",0,SUMIFS(tblAuftraege[Kalk.
Ausgaben],tblAuftraege[Datum
Ausgaben],"&gt;="&amp;AG$5,tblAuftraege[Datum
Ausgaben],"&lt;"&amp;EDATE(AG$5,1),tblAuftraege[Kostenstelle],$B69))</f>
        <v/>
      </c>
      <c r="AH69" s="27">
        <f>IF($B69="",0,SUMIFS(tblAuftraege[Kalk.
Ausgaben],tblAuftraege[Datum
Ausgaben],"&gt;="&amp;AH$5,tblAuftraege[Datum
Ausgaben],"&lt;"&amp;EDATE(AH$5,1),tblAuftraege[Kostenstelle],$B69))</f>
        <v/>
      </c>
      <c r="AI69" s="27">
        <f>IF($B69="",0,SUMIFS(tblAuftraege[Kalk.
Ausgaben],tblAuftraege[Datum
Ausgaben],"&gt;="&amp;AI$5,tblAuftraege[Datum
Ausgaben],"&lt;"&amp;EDATE(AI$5,1),tblAuftraege[Kostenstelle],$B69))</f>
        <v/>
      </c>
      <c r="AJ69" s="27">
        <f>IF($B69="",0,SUMIFS(tblAuftraege[Kalk.
Ausgaben],tblAuftraege[Datum
Ausgaben],"&gt;="&amp;AJ$5,tblAuftraege[Datum
Ausgaben],"&lt;"&amp;EDATE(AJ$5,1),tblAuftraege[Kostenstelle],$B69))</f>
        <v/>
      </c>
      <c r="AK69" s="27">
        <f>IF($B69="",0,SUMIFS(tblAuftraege[Kalk.
Ausgaben],tblAuftraege[Datum
Ausgaben],"&gt;="&amp;AK$5,tblAuftraege[Datum
Ausgaben],"&lt;"&amp;EDATE(AK$5,1),tblAuftraege[Kostenstelle],$B69))</f>
        <v/>
      </c>
      <c r="AL69" s="27">
        <f>IF($B69="",0,SUMIFS(tblAuftraege[Kalk.
Ausgaben],tblAuftraege[Datum
Ausgaben],"&gt;="&amp;AL$5,tblAuftraege[Datum
Ausgaben],"&lt;"&amp;EDATE(AL$5,1),tblAuftraege[Kostenstelle],$B69))</f>
        <v/>
      </c>
      <c r="AM69" s="27">
        <f>IF($B69="",0,SUMIFS(tblAuftraege[Kalk.
Ausgaben],tblAuftraege[Datum
Ausgaben],"&gt;="&amp;AM$5,tblAuftraege[Datum
Ausgaben],"&lt;"&amp;EDATE(AM$5,1),tblAuftraege[Kostenstelle],$B69))</f>
        <v/>
      </c>
      <c r="AN69" s="27">
        <f>IF($B69="",0,SUMIFS(tblAuftraege[Kalk.
Ausgaben],tblAuftraege[Datum
Ausgaben],"&gt;="&amp;AN$5,tblAuftraege[Datum
Ausgaben],"&lt;"&amp;EDATE(AN$5,1),tblAuftraege[Kostenstelle],$B69))</f>
        <v/>
      </c>
      <c r="AO69" s="27">
        <f>IF($B69="",0,SUMIFS(tblAuftraege[Kalk.
Ausgaben],tblAuftraege[Datum
Ausgaben],"&gt;="&amp;AO$5,tblAuftraege[Datum
Ausgaben],"&lt;"&amp;EDATE(AO$5,1),tblAuftraege[Kostenstelle],$B69))</f>
        <v/>
      </c>
      <c r="AP69" s="27">
        <f>IF($B69="",0,SUMIFS(tblAuftraege[Kalk.
Ausgaben],tblAuftraege[Datum
Ausgaben],"&gt;="&amp;AP$5,tblAuftraege[Datum
Ausgaben],"&lt;"&amp;EDATE(AP$5,1),tblAuftraege[Kostenstelle],$B69))</f>
        <v/>
      </c>
      <c r="AQ69" s="27">
        <f>IF($B69="",0,SUMIFS(tblAuftraege[Kalk.
Ausgaben],tblAuftraege[Datum
Ausgaben],"&gt;="&amp;AQ$5,tblAuftraege[Datum
Ausgaben],"&lt;"&amp;EDATE(AQ$5,1),tblAuftraege[Kostenstelle],$B69))</f>
        <v/>
      </c>
      <c r="AR69" s="27">
        <f>IF($B69="",0,SUMIFS(tblAuftraege[Kalk.
Ausgaben],tblAuftraege[Datum
Ausgaben],"&gt;="&amp;AR$5,tblAuftraege[Datum
Ausgaben],"&lt;"&amp;EDATE(AR$5,1),tblAuftraege[Kostenstelle],$B69))</f>
        <v/>
      </c>
      <c r="AS69" s="27">
        <f>IF($B69="",0,SUMIFS(tblAuftraege[Kalk.
Ausgaben],tblAuftraege[Datum
Ausgaben],"&gt;="&amp;AS$5,tblAuftraege[Datum
Ausgaben],"&lt;"&amp;EDATE(AS$5,1),tblAuftraege[Kostenstelle],$B69))</f>
        <v/>
      </c>
      <c r="AT69" s="27">
        <f>IF($B69="",0,SUMIFS(tblAuftraege[Kalk.
Ausgaben],tblAuftraege[Datum
Ausgaben],"&gt;="&amp;AT$5,tblAuftraege[Datum
Ausgaben],"&lt;"&amp;EDATE(AT$5,1),tblAuftraege[Kostenstelle],$B69))</f>
        <v/>
      </c>
      <c r="AU69" s="27">
        <f>IF($B69="",0,SUMIFS(tblAuftraege[Kalk.
Ausgaben],tblAuftraege[Datum
Ausgaben],"&gt;="&amp;AU$5,tblAuftraege[Datum
Ausgaben],"&lt;"&amp;EDATE(AU$5,1),tblAuftraege[Kostenstelle],$B69))</f>
        <v/>
      </c>
      <c r="AV69" s="27">
        <f>IF($B69="",0,SUMIFS(tblAuftraege[Kalk.
Ausgaben],tblAuftraege[Datum
Ausgaben],"&gt;="&amp;AV$5,tblAuftraege[Datum
Ausgaben],"&lt;"&amp;EDATE(AV$5,1),tblAuftraege[Kostenstelle],$B69))</f>
        <v/>
      </c>
      <c r="AW69" s="27">
        <f>IF($B69="",0,SUMIFS(tblAuftraege[Kalk.
Ausgaben],tblAuftraege[Datum
Ausgaben],"&gt;="&amp;AW$5,tblAuftraege[Datum
Ausgaben],"&lt;"&amp;EDATE(AW$5,1),tblAuftraege[Kostenstelle],$B69))</f>
        <v/>
      </c>
      <c r="AX69" s="27">
        <f>IF($B69="",0,SUMIFS(tblAuftraege[Kalk.
Ausgaben],tblAuftraege[Datum
Ausgaben],"&gt;="&amp;AX$5,tblAuftraege[Datum
Ausgaben],"&lt;"&amp;EDATE(AX$5,1),tblAuftraege[Kostenstelle],$B69))</f>
        <v/>
      </c>
      <c r="AY69" s="27">
        <f>IF($B69="",0,SUMIFS(tblAuftraege[Kalk.
Ausgaben],tblAuftraege[Datum
Ausgaben],"&gt;="&amp;AY$5,tblAuftraege[Datum
Ausgaben],"&lt;"&amp;EDATE(AY$5,1),tblAuftraege[Kostenstelle],$B69))</f>
        <v/>
      </c>
      <c r="AZ69" s="27">
        <f>IF($B69="",0,SUMIFS(tblAuftraege[Kalk.
Ausgaben],tblAuftraege[Datum
Ausgaben],"&gt;="&amp;AZ$5,tblAuftraege[Datum
Ausgaben],"&lt;"&amp;EDATE(AZ$5,1),tblAuftraege[Kostenstelle],$B69))</f>
        <v/>
      </c>
      <c r="BA69" s="27">
        <f>IF($B69="",0,SUMIFS(tblAuftraege[Kalk.
Ausgaben],tblAuftraege[Datum
Ausgaben],"&gt;="&amp;BA$5,tblAuftraege[Datum
Ausgaben],"&lt;"&amp;EDATE(BA$5,1),tblAuftraege[Kostenstelle],$B69))</f>
        <v/>
      </c>
      <c r="BB69" s="27">
        <f>IF($B69="",0,SUMIFS(tblAuftraege[Kalk.
Ausgaben],tblAuftraege[Datum
Ausgaben],"&gt;="&amp;BB$5,tblAuftraege[Datum
Ausgaben],"&lt;"&amp;EDATE(BB$5,1),tblAuftraege[Kostenstelle],$B69))</f>
        <v/>
      </c>
      <c r="BC69" s="27">
        <f>IF($B69="",0,SUMIFS(tblAuftraege[Kalk.
Ausgaben],tblAuftraege[Datum
Ausgaben],"&gt;="&amp;BC$5,tblAuftraege[Datum
Ausgaben],"&lt;"&amp;EDATE(BC$5,1),tblAuftraege[Kostenstelle],$B69))</f>
        <v/>
      </c>
      <c r="BD69" s="27">
        <f>IF($B69="",0,SUMIFS(tblAuftraege[Kalk.
Ausgaben],tblAuftraege[Datum
Ausgaben],"&gt;="&amp;BD$5,tblAuftraege[Datum
Ausgaben],"&lt;"&amp;EDATE(BD$5,1),tblAuftraege[Kostenstelle],$B69))</f>
        <v/>
      </c>
      <c r="BE69" s="27">
        <f>SUM(C69:H69)</f>
        <v/>
      </c>
      <c r="BF69" s="27">
        <f>SUM(I69:T69)</f>
        <v/>
      </c>
      <c r="BG69" s="27">
        <f>SUM(U69:AF69)</f>
        <v/>
      </c>
      <c r="BH69" s="27">
        <f>SUM(AG69:AR69)</f>
        <v/>
      </c>
      <c r="BI69" s="27">
        <f>SUM(AS69:BD69)</f>
        <v/>
      </c>
      <c r="BJ69" s="27">
        <f>SUM(C69:BD69)</f>
        <v/>
      </c>
    </row>
    <row r="70">
      <c r="A70" s="34" t="n"/>
      <c r="B70" s="49">
        <f>IF(ISBLANK(B36),"",B36)</f>
        <v/>
      </c>
      <c r="C70" s="27">
        <f>IF($B70="",0,SUMIFS(tblAuftraege[Kalk.
Ausgaben],tblAuftraege[Datum
Ausgaben],"&gt;="&amp;C$5,tblAuftraege[Datum
Ausgaben],"&lt;"&amp;EDATE(C$5,1),tblAuftraege[Kostenstelle],$B70))</f>
        <v/>
      </c>
      <c r="D70" s="27">
        <f>IF($B70="",0,SUMIFS(tblAuftraege[Kalk.
Ausgaben],tblAuftraege[Datum
Ausgaben],"&gt;="&amp;D$5,tblAuftraege[Datum
Ausgaben],"&lt;"&amp;EDATE(D$5,1),tblAuftraege[Kostenstelle],$B70))</f>
        <v/>
      </c>
      <c r="E70" s="27">
        <f>IF($B70="",0,SUMIFS(tblAuftraege[Kalk.
Ausgaben],tblAuftraege[Datum
Ausgaben],"&gt;="&amp;E$5,tblAuftraege[Datum
Ausgaben],"&lt;"&amp;EDATE(E$5,1),tblAuftraege[Kostenstelle],$B70))</f>
        <v/>
      </c>
      <c r="F70" s="27">
        <f>IF($B70="",0,SUMIFS(tblAuftraege[Kalk.
Ausgaben],tblAuftraege[Datum
Ausgaben],"&gt;="&amp;F$5,tblAuftraege[Datum
Ausgaben],"&lt;"&amp;EDATE(F$5,1),tblAuftraege[Kostenstelle],$B70))</f>
        <v/>
      </c>
      <c r="G70" s="27">
        <f>IF($B70="",0,SUMIFS(tblAuftraege[Kalk.
Ausgaben],tblAuftraege[Datum
Ausgaben],"&gt;="&amp;G$5,tblAuftraege[Datum
Ausgaben],"&lt;"&amp;EDATE(G$5,1),tblAuftraege[Kostenstelle],$B70))</f>
        <v/>
      </c>
      <c r="H70" s="27">
        <f>IF($B70="",0,SUMIFS(tblAuftraege[Kalk.
Ausgaben],tblAuftraege[Datum
Ausgaben],"&gt;="&amp;H$5,tblAuftraege[Datum
Ausgaben],"&lt;"&amp;EDATE(H$5,1),tblAuftraege[Kostenstelle],$B70))</f>
        <v/>
      </c>
      <c r="I70" s="27">
        <f>IF($B70="",0,SUMIFS(tblAuftraege[Kalk.
Ausgaben],tblAuftraege[Datum
Ausgaben],"&gt;="&amp;I$5,tblAuftraege[Datum
Ausgaben],"&lt;"&amp;EDATE(I$5,1),tblAuftraege[Kostenstelle],$B70))</f>
        <v/>
      </c>
      <c r="J70" s="27">
        <f>IF($B70="",0,SUMIFS(tblAuftraege[Kalk.
Ausgaben],tblAuftraege[Datum
Ausgaben],"&gt;="&amp;J$5,tblAuftraege[Datum
Ausgaben],"&lt;"&amp;EDATE(J$5,1),tblAuftraege[Kostenstelle],$B70))</f>
        <v/>
      </c>
      <c r="K70" s="27">
        <f>IF($B70="",0,SUMIFS(tblAuftraege[Kalk.
Ausgaben],tblAuftraege[Datum
Ausgaben],"&gt;="&amp;K$5,tblAuftraege[Datum
Ausgaben],"&lt;"&amp;EDATE(K$5,1),tblAuftraege[Kostenstelle],$B70))</f>
        <v/>
      </c>
      <c r="L70" s="27">
        <f>IF($B70="",0,SUMIFS(tblAuftraege[Kalk.
Ausgaben],tblAuftraege[Datum
Ausgaben],"&gt;="&amp;L$5,tblAuftraege[Datum
Ausgaben],"&lt;"&amp;EDATE(L$5,1),tblAuftraege[Kostenstelle],$B70))</f>
        <v/>
      </c>
      <c r="M70" s="27">
        <f>IF($B70="",0,SUMIFS(tblAuftraege[Kalk.
Ausgaben],tblAuftraege[Datum
Ausgaben],"&gt;="&amp;M$5,tblAuftraege[Datum
Ausgaben],"&lt;"&amp;EDATE(M$5,1),tblAuftraege[Kostenstelle],$B70))</f>
        <v/>
      </c>
      <c r="N70" s="27">
        <f>IF($B70="",0,SUMIFS(tblAuftraege[Kalk.
Ausgaben],tblAuftraege[Datum
Ausgaben],"&gt;="&amp;N$5,tblAuftraege[Datum
Ausgaben],"&lt;"&amp;EDATE(N$5,1),tblAuftraege[Kostenstelle],$B70))</f>
        <v/>
      </c>
      <c r="O70" s="27">
        <f>IF($B70="",0,SUMIFS(tblAuftraege[Kalk.
Ausgaben],tblAuftraege[Datum
Ausgaben],"&gt;="&amp;O$5,tblAuftraege[Datum
Ausgaben],"&lt;"&amp;EDATE(O$5,1),tblAuftraege[Kostenstelle],$B70))</f>
        <v/>
      </c>
      <c r="P70" s="27">
        <f>IF($B70="",0,SUMIFS(tblAuftraege[Kalk.
Ausgaben],tblAuftraege[Datum
Ausgaben],"&gt;="&amp;P$5,tblAuftraege[Datum
Ausgaben],"&lt;"&amp;EDATE(P$5,1),tblAuftraege[Kostenstelle],$B70))</f>
        <v/>
      </c>
      <c r="Q70" s="27">
        <f>IF($B70="",0,SUMIFS(tblAuftraege[Kalk.
Ausgaben],tblAuftraege[Datum
Ausgaben],"&gt;="&amp;Q$5,tblAuftraege[Datum
Ausgaben],"&lt;"&amp;EDATE(Q$5,1),tblAuftraege[Kostenstelle],$B70))</f>
        <v/>
      </c>
      <c r="R70" s="27">
        <f>IF($B70="",0,SUMIFS(tblAuftraege[Kalk.
Ausgaben],tblAuftraege[Datum
Ausgaben],"&gt;="&amp;R$5,tblAuftraege[Datum
Ausgaben],"&lt;"&amp;EDATE(R$5,1),tblAuftraege[Kostenstelle],$B70))</f>
        <v/>
      </c>
      <c r="S70" s="27">
        <f>IF($B70="",0,SUMIFS(tblAuftraege[Kalk.
Ausgaben],tblAuftraege[Datum
Ausgaben],"&gt;="&amp;S$5,tblAuftraege[Datum
Ausgaben],"&lt;"&amp;EDATE(S$5,1),tblAuftraege[Kostenstelle],$B70))</f>
        <v/>
      </c>
      <c r="T70" s="27">
        <f>IF($B70="",0,SUMIFS(tblAuftraege[Kalk.
Ausgaben],tblAuftraege[Datum
Ausgaben],"&gt;="&amp;T$5,tblAuftraege[Datum
Ausgaben],"&lt;"&amp;EDATE(T$5,1),tblAuftraege[Kostenstelle],$B70))</f>
        <v/>
      </c>
      <c r="U70" s="27">
        <f>IF($B70="",0,SUMIFS(tblAuftraege[Kalk.
Ausgaben],tblAuftraege[Datum
Ausgaben],"&gt;="&amp;U$5,tblAuftraege[Datum
Ausgaben],"&lt;"&amp;EDATE(U$5,1),tblAuftraege[Kostenstelle],$B70))</f>
        <v/>
      </c>
      <c r="V70" s="27">
        <f>IF($B70="",0,SUMIFS(tblAuftraege[Kalk.
Ausgaben],tblAuftraege[Datum
Ausgaben],"&gt;="&amp;V$5,tblAuftraege[Datum
Ausgaben],"&lt;"&amp;EDATE(V$5,1),tblAuftraege[Kostenstelle],$B70))</f>
        <v/>
      </c>
      <c r="W70" s="27">
        <f>IF($B70="",0,SUMIFS(tblAuftraege[Kalk.
Ausgaben],tblAuftraege[Datum
Ausgaben],"&gt;="&amp;W$5,tblAuftraege[Datum
Ausgaben],"&lt;"&amp;EDATE(W$5,1),tblAuftraege[Kostenstelle],$B70))</f>
        <v/>
      </c>
      <c r="X70" s="27">
        <f>IF($B70="",0,SUMIFS(tblAuftraege[Kalk.
Ausgaben],tblAuftraege[Datum
Ausgaben],"&gt;="&amp;X$5,tblAuftraege[Datum
Ausgaben],"&lt;"&amp;EDATE(X$5,1),tblAuftraege[Kostenstelle],$B70))</f>
        <v/>
      </c>
      <c r="Y70" s="27">
        <f>IF($B70="",0,SUMIFS(tblAuftraege[Kalk.
Ausgaben],tblAuftraege[Datum
Ausgaben],"&gt;="&amp;Y$5,tblAuftraege[Datum
Ausgaben],"&lt;"&amp;EDATE(Y$5,1),tblAuftraege[Kostenstelle],$B70))</f>
        <v/>
      </c>
      <c r="Z70" s="27">
        <f>IF($B70="",0,SUMIFS(tblAuftraege[Kalk.
Ausgaben],tblAuftraege[Datum
Ausgaben],"&gt;="&amp;Z$5,tblAuftraege[Datum
Ausgaben],"&lt;"&amp;EDATE(Z$5,1),tblAuftraege[Kostenstelle],$B70))</f>
        <v/>
      </c>
      <c r="AA70" s="27">
        <f>IF($B70="",0,SUMIFS(tblAuftraege[Kalk.
Ausgaben],tblAuftraege[Datum
Ausgaben],"&gt;="&amp;AA$5,tblAuftraege[Datum
Ausgaben],"&lt;"&amp;EDATE(AA$5,1),tblAuftraege[Kostenstelle],$B70))</f>
        <v/>
      </c>
      <c r="AB70" s="27">
        <f>IF($B70="",0,SUMIFS(tblAuftraege[Kalk.
Ausgaben],tblAuftraege[Datum
Ausgaben],"&gt;="&amp;AB$5,tblAuftraege[Datum
Ausgaben],"&lt;"&amp;EDATE(AB$5,1),tblAuftraege[Kostenstelle],$B70))</f>
        <v/>
      </c>
      <c r="AC70" s="27">
        <f>IF($B70="",0,SUMIFS(tblAuftraege[Kalk.
Ausgaben],tblAuftraege[Datum
Ausgaben],"&gt;="&amp;AC$5,tblAuftraege[Datum
Ausgaben],"&lt;"&amp;EDATE(AC$5,1),tblAuftraege[Kostenstelle],$B70))</f>
        <v/>
      </c>
      <c r="AD70" s="27">
        <f>IF($B70="",0,SUMIFS(tblAuftraege[Kalk.
Ausgaben],tblAuftraege[Datum
Ausgaben],"&gt;="&amp;AD$5,tblAuftraege[Datum
Ausgaben],"&lt;"&amp;EDATE(AD$5,1),tblAuftraege[Kostenstelle],$B70))</f>
        <v/>
      </c>
      <c r="AE70" s="27">
        <f>IF($B70="",0,SUMIFS(tblAuftraege[Kalk.
Ausgaben],tblAuftraege[Datum
Ausgaben],"&gt;="&amp;AE$5,tblAuftraege[Datum
Ausgaben],"&lt;"&amp;EDATE(AE$5,1),tblAuftraege[Kostenstelle],$B70))</f>
        <v/>
      </c>
      <c r="AF70" s="27">
        <f>IF($B70="",0,SUMIFS(tblAuftraege[Kalk.
Ausgaben],tblAuftraege[Datum
Ausgaben],"&gt;="&amp;AF$5,tblAuftraege[Datum
Ausgaben],"&lt;"&amp;EDATE(AF$5,1),tblAuftraege[Kostenstelle],$B70))</f>
        <v/>
      </c>
      <c r="AG70" s="27">
        <f>IF($B70="",0,SUMIFS(tblAuftraege[Kalk.
Ausgaben],tblAuftraege[Datum
Ausgaben],"&gt;="&amp;AG$5,tblAuftraege[Datum
Ausgaben],"&lt;"&amp;EDATE(AG$5,1),tblAuftraege[Kostenstelle],$B70))</f>
        <v/>
      </c>
      <c r="AH70" s="27">
        <f>IF($B70="",0,SUMIFS(tblAuftraege[Kalk.
Ausgaben],tblAuftraege[Datum
Ausgaben],"&gt;="&amp;AH$5,tblAuftraege[Datum
Ausgaben],"&lt;"&amp;EDATE(AH$5,1),tblAuftraege[Kostenstelle],$B70))</f>
        <v/>
      </c>
      <c r="AI70" s="27">
        <f>IF($B70="",0,SUMIFS(tblAuftraege[Kalk.
Ausgaben],tblAuftraege[Datum
Ausgaben],"&gt;="&amp;AI$5,tblAuftraege[Datum
Ausgaben],"&lt;"&amp;EDATE(AI$5,1),tblAuftraege[Kostenstelle],$B70))</f>
        <v/>
      </c>
      <c r="AJ70" s="27">
        <f>IF($B70="",0,SUMIFS(tblAuftraege[Kalk.
Ausgaben],tblAuftraege[Datum
Ausgaben],"&gt;="&amp;AJ$5,tblAuftraege[Datum
Ausgaben],"&lt;"&amp;EDATE(AJ$5,1),tblAuftraege[Kostenstelle],$B70))</f>
        <v/>
      </c>
      <c r="AK70" s="27">
        <f>IF($B70="",0,SUMIFS(tblAuftraege[Kalk.
Ausgaben],tblAuftraege[Datum
Ausgaben],"&gt;="&amp;AK$5,tblAuftraege[Datum
Ausgaben],"&lt;"&amp;EDATE(AK$5,1),tblAuftraege[Kostenstelle],$B70))</f>
        <v/>
      </c>
      <c r="AL70" s="27">
        <f>IF($B70="",0,SUMIFS(tblAuftraege[Kalk.
Ausgaben],tblAuftraege[Datum
Ausgaben],"&gt;="&amp;AL$5,tblAuftraege[Datum
Ausgaben],"&lt;"&amp;EDATE(AL$5,1),tblAuftraege[Kostenstelle],$B70))</f>
        <v/>
      </c>
      <c r="AM70" s="27">
        <f>IF($B70="",0,SUMIFS(tblAuftraege[Kalk.
Ausgaben],tblAuftraege[Datum
Ausgaben],"&gt;="&amp;AM$5,tblAuftraege[Datum
Ausgaben],"&lt;"&amp;EDATE(AM$5,1),tblAuftraege[Kostenstelle],$B70))</f>
        <v/>
      </c>
      <c r="AN70" s="27">
        <f>IF($B70="",0,SUMIFS(tblAuftraege[Kalk.
Ausgaben],tblAuftraege[Datum
Ausgaben],"&gt;="&amp;AN$5,tblAuftraege[Datum
Ausgaben],"&lt;"&amp;EDATE(AN$5,1),tblAuftraege[Kostenstelle],$B70))</f>
        <v/>
      </c>
      <c r="AO70" s="27">
        <f>IF($B70="",0,SUMIFS(tblAuftraege[Kalk.
Ausgaben],tblAuftraege[Datum
Ausgaben],"&gt;="&amp;AO$5,tblAuftraege[Datum
Ausgaben],"&lt;"&amp;EDATE(AO$5,1),tblAuftraege[Kostenstelle],$B70))</f>
        <v/>
      </c>
      <c r="AP70" s="27">
        <f>IF($B70="",0,SUMIFS(tblAuftraege[Kalk.
Ausgaben],tblAuftraege[Datum
Ausgaben],"&gt;="&amp;AP$5,tblAuftraege[Datum
Ausgaben],"&lt;"&amp;EDATE(AP$5,1),tblAuftraege[Kostenstelle],$B70))</f>
        <v/>
      </c>
      <c r="AQ70" s="27">
        <f>IF($B70="",0,SUMIFS(tblAuftraege[Kalk.
Ausgaben],tblAuftraege[Datum
Ausgaben],"&gt;="&amp;AQ$5,tblAuftraege[Datum
Ausgaben],"&lt;"&amp;EDATE(AQ$5,1),tblAuftraege[Kostenstelle],$B70))</f>
        <v/>
      </c>
      <c r="AR70" s="27">
        <f>IF($B70="",0,SUMIFS(tblAuftraege[Kalk.
Ausgaben],tblAuftraege[Datum
Ausgaben],"&gt;="&amp;AR$5,tblAuftraege[Datum
Ausgaben],"&lt;"&amp;EDATE(AR$5,1),tblAuftraege[Kostenstelle],$B70))</f>
        <v/>
      </c>
      <c r="AS70" s="27">
        <f>IF($B70="",0,SUMIFS(tblAuftraege[Kalk.
Ausgaben],tblAuftraege[Datum
Ausgaben],"&gt;="&amp;AS$5,tblAuftraege[Datum
Ausgaben],"&lt;"&amp;EDATE(AS$5,1),tblAuftraege[Kostenstelle],$B70))</f>
        <v/>
      </c>
      <c r="AT70" s="27">
        <f>IF($B70="",0,SUMIFS(tblAuftraege[Kalk.
Ausgaben],tblAuftraege[Datum
Ausgaben],"&gt;="&amp;AT$5,tblAuftraege[Datum
Ausgaben],"&lt;"&amp;EDATE(AT$5,1),tblAuftraege[Kostenstelle],$B70))</f>
        <v/>
      </c>
      <c r="AU70" s="27">
        <f>IF($B70="",0,SUMIFS(tblAuftraege[Kalk.
Ausgaben],tblAuftraege[Datum
Ausgaben],"&gt;="&amp;AU$5,tblAuftraege[Datum
Ausgaben],"&lt;"&amp;EDATE(AU$5,1),tblAuftraege[Kostenstelle],$B70))</f>
        <v/>
      </c>
      <c r="AV70" s="27">
        <f>IF($B70="",0,SUMIFS(tblAuftraege[Kalk.
Ausgaben],tblAuftraege[Datum
Ausgaben],"&gt;="&amp;AV$5,tblAuftraege[Datum
Ausgaben],"&lt;"&amp;EDATE(AV$5,1),tblAuftraege[Kostenstelle],$B70))</f>
        <v/>
      </c>
      <c r="AW70" s="27">
        <f>IF($B70="",0,SUMIFS(tblAuftraege[Kalk.
Ausgaben],tblAuftraege[Datum
Ausgaben],"&gt;="&amp;AW$5,tblAuftraege[Datum
Ausgaben],"&lt;"&amp;EDATE(AW$5,1),tblAuftraege[Kostenstelle],$B70))</f>
        <v/>
      </c>
      <c r="AX70" s="27">
        <f>IF($B70="",0,SUMIFS(tblAuftraege[Kalk.
Ausgaben],tblAuftraege[Datum
Ausgaben],"&gt;="&amp;AX$5,tblAuftraege[Datum
Ausgaben],"&lt;"&amp;EDATE(AX$5,1),tblAuftraege[Kostenstelle],$B70))</f>
        <v/>
      </c>
      <c r="AY70" s="27">
        <f>IF($B70="",0,SUMIFS(tblAuftraege[Kalk.
Ausgaben],tblAuftraege[Datum
Ausgaben],"&gt;="&amp;AY$5,tblAuftraege[Datum
Ausgaben],"&lt;"&amp;EDATE(AY$5,1),tblAuftraege[Kostenstelle],$B70))</f>
        <v/>
      </c>
      <c r="AZ70" s="27">
        <f>IF($B70="",0,SUMIFS(tblAuftraege[Kalk.
Ausgaben],tblAuftraege[Datum
Ausgaben],"&gt;="&amp;AZ$5,tblAuftraege[Datum
Ausgaben],"&lt;"&amp;EDATE(AZ$5,1),tblAuftraege[Kostenstelle],$B70))</f>
        <v/>
      </c>
      <c r="BA70" s="27">
        <f>IF($B70="",0,SUMIFS(tblAuftraege[Kalk.
Ausgaben],tblAuftraege[Datum
Ausgaben],"&gt;="&amp;BA$5,tblAuftraege[Datum
Ausgaben],"&lt;"&amp;EDATE(BA$5,1),tblAuftraege[Kostenstelle],$B70))</f>
        <v/>
      </c>
      <c r="BB70" s="27">
        <f>IF($B70="",0,SUMIFS(tblAuftraege[Kalk.
Ausgaben],tblAuftraege[Datum
Ausgaben],"&gt;="&amp;BB$5,tblAuftraege[Datum
Ausgaben],"&lt;"&amp;EDATE(BB$5,1),tblAuftraege[Kostenstelle],$B70))</f>
        <v/>
      </c>
      <c r="BC70" s="27">
        <f>IF($B70="",0,SUMIFS(tblAuftraege[Kalk.
Ausgaben],tblAuftraege[Datum
Ausgaben],"&gt;="&amp;BC$5,tblAuftraege[Datum
Ausgaben],"&lt;"&amp;EDATE(BC$5,1),tblAuftraege[Kostenstelle],$B70))</f>
        <v/>
      </c>
      <c r="BD70" s="27">
        <f>IF($B70="",0,SUMIFS(tblAuftraege[Kalk.
Ausgaben],tblAuftraege[Datum
Ausgaben],"&gt;="&amp;BD$5,tblAuftraege[Datum
Ausgaben],"&lt;"&amp;EDATE(BD$5,1),tblAuftraege[Kostenstelle],$B70))</f>
        <v/>
      </c>
      <c r="BE70" s="27">
        <f>SUM(C70:H70)</f>
        <v/>
      </c>
      <c r="BF70" s="27">
        <f>SUM(I70:T70)</f>
        <v/>
      </c>
      <c r="BG70" s="27">
        <f>SUM(U70:AF70)</f>
        <v/>
      </c>
      <c r="BH70" s="27">
        <f>SUM(AG70:AR70)</f>
        <v/>
      </c>
      <c r="BI70" s="27">
        <f>SUM(AS70:BD70)</f>
        <v/>
      </c>
      <c r="BJ70" s="27">
        <f>SUM(C70:BD70)</f>
        <v/>
      </c>
    </row>
    <row r="71">
      <c r="A71" s="34" t="n"/>
      <c r="B71" s="49">
        <f>IF(ISBLANK(B37),"",B37)</f>
        <v/>
      </c>
      <c r="C71" s="27">
        <f>IF($B71="",0,SUMIFS(tblAuftraege[Kalk.
Ausgaben],tblAuftraege[Datum
Ausgaben],"&gt;="&amp;C$5,tblAuftraege[Datum
Ausgaben],"&lt;"&amp;EDATE(C$5,1),tblAuftraege[Kostenstelle],$B71))</f>
        <v/>
      </c>
      <c r="D71" s="27">
        <f>IF($B71="",0,SUMIFS(tblAuftraege[Kalk.
Ausgaben],tblAuftraege[Datum
Ausgaben],"&gt;="&amp;D$5,tblAuftraege[Datum
Ausgaben],"&lt;"&amp;EDATE(D$5,1),tblAuftraege[Kostenstelle],$B71))</f>
        <v/>
      </c>
      <c r="E71" s="27">
        <f>IF($B71="",0,SUMIFS(tblAuftraege[Kalk.
Ausgaben],tblAuftraege[Datum
Ausgaben],"&gt;="&amp;E$5,tblAuftraege[Datum
Ausgaben],"&lt;"&amp;EDATE(E$5,1),tblAuftraege[Kostenstelle],$B71))</f>
        <v/>
      </c>
      <c r="F71" s="27">
        <f>IF($B71="",0,SUMIFS(tblAuftraege[Kalk.
Ausgaben],tblAuftraege[Datum
Ausgaben],"&gt;="&amp;F$5,tblAuftraege[Datum
Ausgaben],"&lt;"&amp;EDATE(F$5,1),tblAuftraege[Kostenstelle],$B71))</f>
        <v/>
      </c>
      <c r="G71" s="27">
        <f>IF($B71="",0,SUMIFS(tblAuftraege[Kalk.
Ausgaben],tblAuftraege[Datum
Ausgaben],"&gt;="&amp;G$5,tblAuftraege[Datum
Ausgaben],"&lt;"&amp;EDATE(G$5,1),tblAuftraege[Kostenstelle],$B71))</f>
        <v/>
      </c>
      <c r="H71" s="27">
        <f>IF($B71="",0,SUMIFS(tblAuftraege[Kalk.
Ausgaben],tblAuftraege[Datum
Ausgaben],"&gt;="&amp;H$5,tblAuftraege[Datum
Ausgaben],"&lt;"&amp;EDATE(H$5,1),tblAuftraege[Kostenstelle],$B71))</f>
        <v/>
      </c>
      <c r="I71" s="27">
        <f>IF($B71="",0,SUMIFS(tblAuftraege[Kalk.
Ausgaben],tblAuftraege[Datum
Ausgaben],"&gt;="&amp;I$5,tblAuftraege[Datum
Ausgaben],"&lt;"&amp;EDATE(I$5,1),tblAuftraege[Kostenstelle],$B71))</f>
        <v/>
      </c>
      <c r="J71" s="27">
        <f>IF($B71="",0,SUMIFS(tblAuftraege[Kalk.
Ausgaben],tblAuftraege[Datum
Ausgaben],"&gt;="&amp;J$5,tblAuftraege[Datum
Ausgaben],"&lt;"&amp;EDATE(J$5,1),tblAuftraege[Kostenstelle],$B71))</f>
        <v/>
      </c>
      <c r="K71" s="27">
        <f>IF($B71="",0,SUMIFS(tblAuftraege[Kalk.
Ausgaben],tblAuftraege[Datum
Ausgaben],"&gt;="&amp;K$5,tblAuftraege[Datum
Ausgaben],"&lt;"&amp;EDATE(K$5,1),tblAuftraege[Kostenstelle],$B71))</f>
        <v/>
      </c>
      <c r="L71" s="27">
        <f>IF($B71="",0,SUMIFS(tblAuftraege[Kalk.
Ausgaben],tblAuftraege[Datum
Ausgaben],"&gt;="&amp;L$5,tblAuftraege[Datum
Ausgaben],"&lt;"&amp;EDATE(L$5,1),tblAuftraege[Kostenstelle],$B71))</f>
        <v/>
      </c>
      <c r="M71" s="27">
        <f>IF($B71="",0,SUMIFS(tblAuftraege[Kalk.
Ausgaben],tblAuftraege[Datum
Ausgaben],"&gt;="&amp;M$5,tblAuftraege[Datum
Ausgaben],"&lt;"&amp;EDATE(M$5,1),tblAuftraege[Kostenstelle],$B71))</f>
        <v/>
      </c>
      <c r="N71" s="27">
        <f>IF($B71="",0,SUMIFS(tblAuftraege[Kalk.
Ausgaben],tblAuftraege[Datum
Ausgaben],"&gt;="&amp;N$5,tblAuftraege[Datum
Ausgaben],"&lt;"&amp;EDATE(N$5,1),tblAuftraege[Kostenstelle],$B71))</f>
        <v/>
      </c>
      <c r="O71" s="27">
        <f>IF($B71="",0,SUMIFS(tblAuftraege[Kalk.
Ausgaben],tblAuftraege[Datum
Ausgaben],"&gt;="&amp;O$5,tblAuftraege[Datum
Ausgaben],"&lt;"&amp;EDATE(O$5,1),tblAuftraege[Kostenstelle],$B71))</f>
        <v/>
      </c>
      <c r="P71" s="27">
        <f>IF($B71="",0,SUMIFS(tblAuftraege[Kalk.
Ausgaben],tblAuftraege[Datum
Ausgaben],"&gt;="&amp;P$5,tblAuftraege[Datum
Ausgaben],"&lt;"&amp;EDATE(P$5,1),tblAuftraege[Kostenstelle],$B71))</f>
        <v/>
      </c>
      <c r="Q71" s="27">
        <f>IF($B71="",0,SUMIFS(tblAuftraege[Kalk.
Ausgaben],tblAuftraege[Datum
Ausgaben],"&gt;="&amp;Q$5,tblAuftraege[Datum
Ausgaben],"&lt;"&amp;EDATE(Q$5,1),tblAuftraege[Kostenstelle],$B71))</f>
        <v/>
      </c>
      <c r="R71" s="27">
        <f>IF($B71="",0,SUMIFS(tblAuftraege[Kalk.
Ausgaben],tblAuftraege[Datum
Ausgaben],"&gt;="&amp;R$5,tblAuftraege[Datum
Ausgaben],"&lt;"&amp;EDATE(R$5,1),tblAuftraege[Kostenstelle],$B71))</f>
        <v/>
      </c>
      <c r="S71" s="27">
        <f>IF($B71="",0,SUMIFS(tblAuftraege[Kalk.
Ausgaben],tblAuftraege[Datum
Ausgaben],"&gt;="&amp;S$5,tblAuftraege[Datum
Ausgaben],"&lt;"&amp;EDATE(S$5,1),tblAuftraege[Kostenstelle],$B71))</f>
        <v/>
      </c>
      <c r="T71" s="27">
        <f>IF($B71="",0,SUMIFS(tblAuftraege[Kalk.
Ausgaben],tblAuftraege[Datum
Ausgaben],"&gt;="&amp;T$5,tblAuftraege[Datum
Ausgaben],"&lt;"&amp;EDATE(T$5,1),tblAuftraege[Kostenstelle],$B71))</f>
        <v/>
      </c>
      <c r="U71" s="27">
        <f>IF($B71="",0,SUMIFS(tblAuftraege[Kalk.
Ausgaben],tblAuftraege[Datum
Ausgaben],"&gt;="&amp;U$5,tblAuftraege[Datum
Ausgaben],"&lt;"&amp;EDATE(U$5,1),tblAuftraege[Kostenstelle],$B71))</f>
        <v/>
      </c>
      <c r="V71" s="27">
        <f>IF($B71="",0,SUMIFS(tblAuftraege[Kalk.
Ausgaben],tblAuftraege[Datum
Ausgaben],"&gt;="&amp;V$5,tblAuftraege[Datum
Ausgaben],"&lt;"&amp;EDATE(V$5,1),tblAuftraege[Kostenstelle],$B71))</f>
        <v/>
      </c>
      <c r="W71" s="27">
        <f>IF($B71="",0,SUMIFS(tblAuftraege[Kalk.
Ausgaben],tblAuftraege[Datum
Ausgaben],"&gt;="&amp;W$5,tblAuftraege[Datum
Ausgaben],"&lt;"&amp;EDATE(W$5,1),tblAuftraege[Kostenstelle],$B71))</f>
        <v/>
      </c>
      <c r="X71" s="27">
        <f>IF($B71="",0,SUMIFS(tblAuftraege[Kalk.
Ausgaben],tblAuftraege[Datum
Ausgaben],"&gt;="&amp;X$5,tblAuftraege[Datum
Ausgaben],"&lt;"&amp;EDATE(X$5,1),tblAuftraege[Kostenstelle],$B71))</f>
        <v/>
      </c>
      <c r="Y71" s="27">
        <f>IF($B71="",0,SUMIFS(tblAuftraege[Kalk.
Ausgaben],tblAuftraege[Datum
Ausgaben],"&gt;="&amp;Y$5,tblAuftraege[Datum
Ausgaben],"&lt;"&amp;EDATE(Y$5,1),tblAuftraege[Kostenstelle],$B71))</f>
        <v/>
      </c>
      <c r="Z71" s="27">
        <f>IF($B71="",0,SUMIFS(tblAuftraege[Kalk.
Ausgaben],tblAuftraege[Datum
Ausgaben],"&gt;="&amp;Z$5,tblAuftraege[Datum
Ausgaben],"&lt;"&amp;EDATE(Z$5,1),tblAuftraege[Kostenstelle],$B71))</f>
        <v/>
      </c>
      <c r="AA71" s="27">
        <f>IF($B71="",0,SUMIFS(tblAuftraege[Kalk.
Ausgaben],tblAuftraege[Datum
Ausgaben],"&gt;="&amp;AA$5,tblAuftraege[Datum
Ausgaben],"&lt;"&amp;EDATE(AA$5,1),tblAuftraege[Kostenstelle],$B71))</f>
        <v/>
      </c>
      <c r="AB71" s="27">
        <f>IF($B71="",0,SUMIFS(tblAuftraege[Kalk.
Ausgaben],tblAuftraege[Datum
Ausgaben],"&gt;="&amp;AB$5,tblAuftraege[Datum
Ausgaben],"&lt;"&amp;EDATE(AB$5,1),tblAuftraege[Kostenstelle],$B71))</f>
        <v/>
      </c>
      <c r="AC71" s="27">
        <f>IF($B71="",0,SUMIFS(tblAuftraege[Kalk.
Ausgaben],tblAuftraege[Datum
Ausgaben],"&gt;="&amp;AC$5,tblAuftraege[Datum
Ausgaben],"&lt;"&amp;EDATE(AC$5,1),tblAuftraege[Kostenstelle],$B71))</f>
        <v/>
      </c>
      <c r="AD71" s="27">
        <f>IF($B71="",0,SUMIFS(tblAuftraege[Kalk.
Ausgaben],tblAuftraege[Datum
Ausgaben],"&gt;="&amp;AD$5,tblAuftraege[Datum
Ausgaben],"&lt;"&amp;EDATE(AD$5,1),tblAuftraege[Kostenstelle],$B71))</f>
        <v/>
      </c>
      <c r="AE71" s="27">
        <f>IF($B71="",0,SUMIFS(tblAuftraege[Kalk.
Ausgaben],tblAuftraege[Datum
Ausgaben],"&gt;="&amp;AE$5,tblAuftraege[Datum
Ausgaben],"&lt;"&amp;EDATE(AE$5,1),tblAuftraege[Kostenstelle],$B71))</f>
        <v/>
      </c>
      <c r="AF71" s="27">
        <f>IF($B71="",0,SUMIFS(tblAuftraege[Kalk.
Ausgaben],tblAuftraege[Datum
Ausgaben],"&gt;="&amp;AF$5,tblAuftraege[Datum
Ausgaben],"&lt;"&amp;EDATE(AF$5,1),tblAuftraege[Kostenstelle],$B71))</f>
        <v/>
      </c>
      <c r="AG71" s="27">
        <f>IF($B71="",0,SUMIFS(tblAuftraege[Kalk.
Ausgaben],tblAuftraege[Datum
Ausgaben],"&gt;="&amp;AG$5,tblAuftraege[Datum
Ausgaben],"&lt;"&amp;EDATE(AG$5,1),tblAuftraege[Kostenstelle],$B71))</f>
        <v/>
      </c>
      <c r="AH71" s="27">
        <f>IF($B71="",0,SUMIFS(tblAuftraege[Kalk.
Ausgaben],tblAuftraege[Datum
Ausgaben],"&gt;="&amp;AH$5,tblAuftraege[Datum
Ausgaben],"&lt;"&amp;EDATE(AH$5,1),tblAuftraege[Kostenstelle],$B71))</f>
        <v/>
      </c>
      <c r="AI71" s="27">
        <f>IF($B71="",0,SUMIFS(tblAuftraege[Kalk.
Ausgaben],tblAuftraege[Datum
Ausgaben],"&gt;="&amp;AI$5,tblAuftraege[Datum
Ausgaben],"&lt;"&amp;EDATE(AI$5,1),tblAuftraege[Kostenstelle],$B71))</f>
        <v/>
      </c>
      <c r="AJ71" s="27">
        <f>IF($B71="",0,SUMIFS(tblAuftraege[Kalk.
Ausgaben],tblAuftraege[Datum
Ausgaben],"&gt;="&amp;AJ$5,tblAuftraege[Datum
Ausgaben],"&lt;"&amp;EDATE(AJ$5,1),tblAuftraege[Kostenstelle],$B71))</f>
        <v/>
      </c>
      <c r="AK71" s="27">
        <f>IF($B71="",0,SUMIFS(tblAuftraege[Kalk.
Ausgaben],tblAuftraege[Datum
Ausgaben],"&gt;="&amp;AK$5,tblAuftraege[Datum
Ausgaben],"&lt;"&amp;EDATE(AK$5,1),tblAuftraege[Kostenstelle],$B71))</f>
        <v/>
      </c>
      <c r="AL71" s="27">
        <f>IF($B71="",0,SUMIFS(tblAuftraege[Kalk.
Ausgaben],tblAuftraege[Datum
Ausgaben],"&gt;="&amp;AL$5,tblAuftraege[Datum
Ausgaben],"&lt;"&amp;EDATE(AL$5,1),tblAuftraege[Kostenstelle],$B71))</f>
        <v/>
      </c>
      <c r="AM71" s="27">
        <f>IF($B71="",0,SUMIFS(tblAuftraege[Kalk.
Ausgaben],tblAuftraege[Datum
Ausgaben],"&gt;="&amp;AM$5,tblAuftraege[Datum
Ausgaben],"&lt;"&amp;EDATE(AM$5,1),tblAuftraege[Kostenstelle],$B71))</f>
        <v/>
      </c>
      <c r="AN71" s="27">
        <f>IF($B71="",0,SUMIFS(tblAuftraege[Kalk.
Ausgaben],tblAuftraege[Datum
Ausgaben],"&gt;="&amp;AN$5,tblAuftraege[Datum
Ausgaben],"&lt;"&amp;EDATE(AN$5,1),tblAuftraege[Kostenstelle],$B71))</f>
        <v/>
      </c>
      <c r="AO71" s="27">
        <f>IF($B71="",0,SUMIFS(tblAuftraege[Kalk.
Ausgaben],tblAuftraege[Datum
Ausgaben],"&gt;="&amp;AO$5,tblAuftraege[Datum
Ausgaben],"&lt;"&amp;EDATE(AO$5,1),tblAuftraege[Kostenstelle],$B71))</f>
        <v/>
      </c>
      <c r="AP71" s="27">
        <f>IF($B71="",0,SUMIFS(tblAuftraege[Kalk.
Ausgaben],tblAuftraege[Datum
Ausgaben],"&gt;="&amp;AP$5,tblAuftraege[Datum
Ausgaben],"&lt;"&amp;EDATE(AP$5,1),tblAuftraege[Kostenstelle],$B71))</f>
        <v/>
      </c>
      <c r="AQ71" s="27">
        <f>IF($B71="",0,SUMIFS(tblAuftraege[Kalk.
Ausgaben],tblAuftraege[Datum
Ausgaben],"&gt;="&amp;AQ$5,tblAuftraege[Datum
Ausgaben],"&lt;"&amp;EDATE(AQ$5,1),tblAuftraege[Kostenstelle],$B71))</f>
        <v/>
      </c>
      <c r="AR71" s="27">
        <f>IF($B71="",0,SUMIFS(tblAuftraege[Kalk.
Ausgaben],tblAuftraege[Datum
Ausgaben],"&gt;="&amp;AR$5,tblAuftraege[Datum
Ausgaben],"&lt;"&amp;EDATE(AR$5,1),tblAuftraege[Kostenstelle],$B71))</f>
        <v/>
      </c>
      <c r="AS71" s="27">
        <f>IF($B71="",0,SUMIFS(tblAuftraege[Kalk.
Ausgaben],tblAuftraege[Datum
Ausgaben],"&gt;="&amp;AS$5,tblAuftraege[Datum
Ausgaben],"&lt;"&amp;EDATE(AS$5,1),tblAuftraege[Kostenstelle],$B71))</f>
        <v/>
      </c>
      <c r="AT71" s="27">
        <f>IF($B71="",0,SUMIFS(tblAuftraege[Kalk.
Ausgaben],tblAuftraege[Datum
Ausgaben],"&gt;="&amp;AT$5,tblAuftraege[Datum
Ausgaben],"&lt;"&amp;EDATE(AT$5,1),tblAuftraege[Kostenstelle],$B71))</f>
        <v/>
      </c>
      <c r="AU71" s="27">
        <f>IF($B71="",0,SUMIFS(tblAuftraege[Kalk.
Ausgaben],tblAuftraege[Datum
Ausgaben],"&gt;="&amp;AU$5,tblAuftraege[Datum
Ausgaben],"&lt;"&amp;EDATE(AU$5,1),tblAuftraege[Kostenstelle],$B71))</f>
        <v/>
      </c>
      <c r="AV71" s="27">
        <f>IF($B71="",0,SUMIFS(tblAuftraege[Kalk.
Ausgaben],tblAuftraege[Datum
Ausgaben],"&gt;="&amp;AV$5,tblAuftraege[Datum
Ausgaben],"&lt;"&amp;EDATE(AV$5,1),tblAuftraege[Kostenstelle],$B71))</f>
        <v/>
      </c>
      <c r="AW71" s="27">
        <f>IF($B71="",0,SUMIFS(tblAuftraege[Kalk.
Ausgaben],tblAuftraege[Datum
Ausgaben],"&gt;="&amp;AW$5,tblAuftraege[Datum
Ausgaben],"&lt;"&amp;EDATE(AW$5,1),tblAuftraege[Kostenstelle],$B71))</f>
        <v/>
      </c>
      <c r="AX71" s="27">
        <f>IF($B71="",0,SUMIFS(tblAuftraege[Kalk.
Ausgaben],tblAuftraege[Datum
Ausgaben],"&gt;="&amp;AX$5,tblAuftraege[Datum
Ausgaben],"&lt;"&amp;EDATE(AX$5,1),tblAuftraege[Kostenstelle],$B71))</f>
        <v/>
      </c>
      <c r="AY71" s="27">
        <f>IF($B71="",0,SUMIFS(tblAuftraege[Kalk.
Ausgaben],tblAuftraege[Datum
Ausgaben],"&gt;="&amp;AY$5,tblAuftraege[Datum
Ausgaben],"&lt;"&amp;EDATE(AY$5,1),tblAuftraege[Kostenstelle],$B71))</f>
        <v/>
      </c>
      <c r="AZ71" s="27">
        <f>IF($B71="",0,SUMIFS(tblAuftraege[Kalk.
Ausgaben],tblAuftraege[Datum
Ausgaben],"&gt;="&amp;AZ$5,tblAuftraege[Datum
Ausgaben],"&lt;"&amp;EDATE(AZ$5,1),tblAuftraege[Kostenstelle],$B71))</f>
        <v/>
      </c>
      <c r="BA71" s="27">
        <f>IF($B71="",0,SUMIFS(tblAuftraege[Kalk.
Ausgaben],tblAuftraege[Datum
Ausgaben],"&gt;="&amp;BA$5,tblAuftraege[Datum
Ausgaben],"&lt;"&amp;EDATE(BA$5,1),tblAuftraege[Kostenstelle],$B71))</f>
        <v/>
      </c>
      <c r="BB71" s="27">
        <f>IF($B71="",0,SUMIFS(tblAuftraege[Kalk.
Ausgaben],tblAuftraege[Datum
Ausgaben],"&gt;="&amp;BB$5,tblAuftraege[Datum
Ausgaben],"&lt;"&amp;EDATE(BB$5,1),tblAuftraege[Kostenstelle],$B71))</f>
        <v/>
      </c>
      <c r="BC71" s="27">
        <f>IF($B71="",0,SUMIFS(tblAuftraege[Kalk.
Ausgaben],tblAuftraege[Datum
Ausgaben],"&gt;="&amp;BC$5,tblAuftraege[Datum
Ausgaben],"&lt;"&amp;EDATE(BC$5,1),tblAuftraege[Kostenstelle],$B71))</f>
        <v/>
      </c>
      <c r="BD71" s="27">
        <f>IF($B71="",0,SUMIFS(tblAuftraege[Kalk.
Ausgaben],tblAuftraege[Datum
Ausgaben],"&gt;="&amp;BD$5,tblAuftraege[Datum
Ausgaben],"&lt;"&amp;EDATE(BD$5,1),tblAuftraege[Kostenstelle],$B71))</f>
        <v/>
      </c>
      <c r="BE71" s="27">
        <f>SUM(C71:H71)</f>
        <v/>
      </c>
      <c r="BF71" s="27">
        <f>SUM(I71:T71)</f>
        <v/>
      </c>
      <c r="BG71" s="27">
        <f>SUM(U71:AF71)</f>
        <v/>
      </c>
      <c r="BH71" s="27">
        <f>SUM(AG71:AR71)</f>
        <v/>
      </c>
      <c r="BI71" s="27">
        <f>SUM(AS71:BD71)</f>
        <v/>
      </c>
      <c r="BJ71" s="27">
        <f>SUM(C71:BD71)</f>
        <v/>
      </c>
    </row>
    <row r="72" ht="15.75" customHeight="1" thickBot="1">
      <c r="A72" s="35" t="n"/>
      <c r="B72" s="51">
        <f>B38</f>
        <v/>
      </c>
      <c r="C72" s="74">
        <f>C73-SUM(C42:C71)</f>
        <v/>
      </c>
      <c r="D72" s="74">
        <f>D73-SUM(D42:D71)</f>
        <v/>
      </c>
      <c r="E72" s="74">
        <f>E73-SUM(E42:E71)</f>
        <v/>
      </c>
      <c r="F72" s="74">
        <f>F73-SUM(F42:F71)</f>
        <v/>
      </c>
      <c r="G72" s="74">
        <f>G73-SUM(G42:G71)</f>
        <v/>
      </c>
      <c r="H72" s="74">
        <f>H73-SUM(H42:H71)</f>
        <v/>
      </c>
      <c r="I72" s="74">
        <f>I73-SUM(I42:I71)</f>
        <v/>
      </c>
      <c r="J72" s="74">
        <f>J73-SUM(J42:J71)</f>
        <v/>
      </c>
      <c r="K72" s="74">
        <f>K73-SUM(K42:K71)</f>
        <v/>
      </c>
      <c r="L72" s="74">
        <f>L73-SUM(L42:L71)</f>
        <v/>
      </c>
      <c r="M72" s="74">
        <f>M73-SUM(M42:M71)</f>
        <v/>
      </c>
      <c r="N72" s="74">
        <f>N73-SUM(N42:N71)</f>
        <v/>
      </c>
      <c r="O72" s="74">
        <f>O73-SUM(O42:O71)</f>
        <v/>
      </c>
      <c r="P72" s="74">
        <f>P73-SUM(P42:P71)</f>
        <v/>
      </c>
      <c r="Q72" s="74">
        <f>Q73-SUM(Q42:Q71)</f>
        <v/>
      </c>
      <c r="R72" s="74">
        <f>R73-SUM(R42:R71)</f>
        <v/>
      </c>
      <c r="S72" s="74">
        <f>S73-SUM(S42:S71)</f>
        <v/>
      </c>
      <c r="T72" s="74">
        <f>T73-SUM(T42:T71)</f>
        <v/>
      </c>
      <c r="U72" s="74">
        <f>U73-SUM(U42:U71)</f>
        <v/>
      </c>
      <c r="V72" s="74">
        <f>V73-SUM(V42:V71)</f>
        <v/>
      </c>
      <c r="W72" s="74">
        <f>W73-SUM(W42:W71)</f>
        <v/>
      </c>
      <c r="X72" s="74">
        <f>X73-SUM(X42:X71)</f>
        <v/>
      </c>
      <c r="Y72" s="74">
        <f>Y73-SUM(Y42:Y71)</f>
        <v/>
      </c>
      <c r="Z72" s="74">
        <f>Z73-SUM(Z42:Z71)</f>
        <v/>
      </c>
      <c r="AA72" s="74">
        <f>AA73-SUM(AA42:AA71)</f>
        <v/>
      </c>
      <c r="AB72" s="74">
        <f>AB73-SUM(AB42:AB71)</f>
        <v/>
      </c>
      <c r="AC72" s="74">
        <f>AC73-SUM(AC42:AC71)</f>
        <v/>
      </c>
      <c r="AD72" s="74">
        <f>AD73-SUM(AD42:AD71)</f>
        <v/>
      </c>
      <c r="AE72" s="74">
        <f>AE73-SUM(AE42:AE71)</f>
        <v/>
      </c>
      <c r="AF72" s="74">
        <f>AF73-SUM(AF42:AF71)</f>
        <v/>
      </c>
      <c r="AG72" s="74">
        <f>AG73-SUM(AG42:AG71)</f>
        <v/>
      </c>
      <c r="AH72" s="74">
        <f>AH73-SUM(AH42:AH71)</f>
        <v/>
      </c>
      <c r="AI72" s="74">
        <f>AI73-SUM(AI42:AI71)</f>
        <v/>
      </c>
      <c r="AJ72" s="74">
        <f>AJ73-SUM(AJ42:AJ71)</f>
        <v/>
      </c>
      <c r="AK72" s="74">
        <f>AK73-SUM(AK42:AK71)</f>
        <v/>
      </c>
      <c r="AL72" s="74">
        <f>AL73-SUM(AL42:AL71)</f>
        <v/>
      </c>
      <c r="AM72" s="74">
        <f>AM73-SUM(AM42:AM71)</f>
        <v/>
      </c>
      <c r="AN72" s="74">
        <f>AN73-SUM(AN42:AN71)</f>
        <v/>
      </c>
      <c r="AO72" s="74">
        <f>AO73-SUM(AO42:AO71)</f>
        <v/>
      </c>
      <c r="AP72" s="74">
        <f>AP73-SUM(AP42:AP71)</f>
        <v/>
      </c>
      <c r="AQ72" s="74">
        <f>AQ73-SUM(AQ42:AQ71)</f>
        <v/>
      </c>
      <c r="AR72" s="74">
        <f>AR73-SUM(AR42:AR71)</f>
        <v/>
      </c>
      <c r="AS72" s="74">
        <f>AS73-SUM(AS42:AS71)</f>
        <v/>
      </c>
      <c r="AT72" s="74">
        <f>AT73-SUM(AT42:AT71)</f>
        <v/>
      </c>
      <c r="AU72" s="74">
        <f>AU73-SUM(AU42:AU71)</f>
        <v/>
      </c>
      <c r="AV72" s="74">
        <f>AV73-SUM(AV42:AV71)</f>
        <v/>
      </c>
      <c r="AW72" s="74">
        <f>AW73-SUM(AW42:AW71)</f>
        <v/>
      </c>
      <c r="AX72" s="74">
        <f>AX73-SUM(AX42:AX71)</f>
        <v/>
      </c>
      <c r="AY72" s="74">
        <f>AY73-SUM(AY42:AY71)</f>
        <v/>
      </c>
      <c r="AZ72" s="74">
        <f>AZ73-SUM(AZ42:AZ71)</f>
        <v/>
      </c>
      <c r="BA72" s="74">
        <f>BA73-SUM(BA42:BA71)</f>
        <v/>
      </c>
      <c r="BB72" s="74">
        <f>BB73-SUM(BB42:BB71)</f>
        <v/>
      </c>
      <c r="BC72" s="74">
        <f>BC73-SUM(BC42:BC71)</f>
        <v/>
      </c>
      <c r="BD72" s="74">
        <f>BD73-SUM(BD42:BD71)</f>
        <v/>
      </c>
      <c r="BE72" s="74">
        <f>BE73-SUM(BE42:BE71)</f>
        <v/>
      </c>
      <c r="BF72" s="74">
        <f>BF73-SUM(BF42:BF71)</f>
        <v/>
      </c>
      <c r="BG72" s="74">
        <f>BG73-SUM(BG42:BG71)</f>
        <v/>
      </c>
      <c r="BH72" s="74">
        <f>BH73-SUM(BH42:BH71)</f>
        <v/>
      </c>
      <c r="BI72" s="74">
        <f>BI73-SUM(BI42:BI71)</f>
        <v/>
      </c>
      <c r="BJ72" s="74">
        <f>BJ73-SUM(BJ42:BJ71)</f>
        <v/>
      </c>
    </row>
    <row r="73">
      <c r="B73" s="10" t="inlineStr">
        <is>
          <t>Summe Ausgaben</t>
        </is>
      </c>
      <c r="C73" s="90">
        <f>SUMIFS(tblAuftraege[Kalk.
Ausgaben],tblAuftraege[Datum
Ausgaben],"&gt;="&amp;C$5,tblAuftraege[Datum
Ausgaben],"&lt;"&amp;EDATE(C$5,1))</f>
        <v/>
      </c>
      <c r="D73" s="90">
        <f>SUMIFS(tblAuftraege[Kalk.
Ausgaben],tblAuftraege[Datum
Ausgaben],"&gt;="&amp;D$5,tblAuftraege[Datum
Ausgaben],"&lt;"&amp;EDATE(D$5,1))</f>
        <v/>
      </c>
      <c r="E73" s="90">
        <f>SUMIFS(tblAuftraege[Kalk.
Ausgaben],tblAuftraege[Datum
Ausgaben],"&gt;="&amp;E$5,tblAuftraege[Datum
Ausgaben],"&lt;"&amp;EDATE(E$5,1))</f>
        <v/>
      </c>
      <c r="F73" s="90">
        <f>SUMIFS(tblAuftraege[Kalk.
Ausgaben],tblAuftraege[Datum
Ausgaben],"&gt;="&amp;F$5,tblAuftraege[Datum
Ausgaben],"&lt;"&amp;EDATE(F$5,1))</f>
        <v/>
      </c>
      <c r="G73" s="90">
        <f>SUMIFS(tblAuftraege[Kalk.
Ausgaben],tblAuftraege[Datum
Ausgaben],"&gt;="&amp;G$5,tblAuftraege[Datum
Ausgaben],"&lt;"&amp;EDATE(G$5,1))</f>
        <v/>
      </c>
      <c r="H73" s="90">
        <f>SUMIFS(tblAuftraege[Kalk.
Ausgaben],tblAuftraege[Datum
Ausgaben],"&gt;="&amp;H$5,tblAuftraege[Datum
Ausgaben],"&lt;"&amp;EDATE(H$5,1))</f>
        <v/>
      </c>
      <c r="I73" s="90">
        <f>SUMIFS(tblAuftraege[Kalk.
Ausgaben],tblAuftraege[Datum
Ausgaben],"&gt;="&amp;I$5,tblAuftraege[Datum
Ausgaben],"&lt;"&amp;EDATE(I$5,1))</f>
        <v/>
      </c>
      <c r="J73" s="90">
        <f>SUMIFS(tblAuftraege[Kalk.
Ausgaben],tblAuftraege[Datum
Ausgaben],"&gt;="&amp;J$5,tblAuftraege[Datum
Ausgaben],"&lt;"&amp;EDATE(J$5,1))</f>
        <v/>
      </c>
      <c r="K73" s="90">
        <f>SUMIFS(tblAuftraege[Kalk.
Ausgaben],tblAuftraege[Datum
Ausgaben],"&gt;="&amp;K$5,tblAuftraege[Datum
Ausgaben],"&lt;"&amp;EDATE(K$5,1))</f>
        <v/>
      </c>
      <c r="L73" s="90">
        <f>SUMIFS(tblAuftraege[Kalk.
Ausgaben],tblAuftraege[Datum
Ausgaben],"&gt;="&amp;L$5,tblAuftraege[Datum
Ausgaben],"&lt;"&amp;EDATE(L$5,1))</f>
        <v/>
      </c>
      <c r="M73" s="90">
        <f>SUMIFS(tblAuftraege[Kalk.
Ausgaben],tblAuftraege[Datum
Ausgaben],"&gt;="&amp;M$5,tblAuftraege[Datum
Ausgaben],"&lt;"&amp;EDATE(M$5,1))</f>
        <v/>
      </c>
      <c r="N73" s="90">
        <f>SUMIFS(tblAuftraege[Kalk.
Ausgaben],tblAuftraege[Datum
Ausgaben],"&gt;="&amp;N$5,tblAuftraege[Datum
Ausgaben],"&lt;"&amp;EDATE(N$5,1))</f>
        <v/>
      </c>
      <c r="O73" s="90">
        <f>SUMIFS(tblAuftraege[Kalk.
Ausgaben],tblAuftraege[Datum
Ausgaben],"&gt;="&amp;O$5,tblAuftraege[Datum
Ausgaben],"&lt;"&amp;EDATE(O$5,1))</f>
        <v/>
      </c>
      <c r="P73" s="90">
        <f>SUMIFS(tblAuftraege[Kalk.
Ausgaben],tblAuftraege[Datum
Ausgaben],"&gt;="&amp;P$5,tblAuftraege[Datum
Ausgaben],"&lt;"&amp;EDATE(P$5,1))</f>
        <v/>
      </c>
      <c r="Q73" s="90">
        <f>SUMIFS(tblAuftraege[Kalk.
Ausgaben],tblAuftraege[Datum
Ausgaben],"&gt;="&amp;Q$5,tblAuftraege[Datum
Ausgaben],"&lt;"&amp;EDATE(Q$5,1))</f>
        <v/>
      </c>
      <c r="R73" s="90">
        <f>SUMIFS(tblAuftraege[Kalk.
Ausgaben],tblAuftraege[Datum
Ausgaben],"&gt;="&amp;R$5,tblAuftraege[Datum
Ausgaben],"&lt;"&amp;EDATE(R$5,1))</f>
        <v/>
      </c>
      <c r="S73" s="90">
        <f>SUMIFS(tblAuftraege[Kalk.
Ausgaben],tblAuftraege[Datum
Ausgaben],"&gt;="&amp;S$5,tblAuftraege[Datum
Ausgaben],"&lt;"&amp;EDATE(S$5,1))</f>
        <v/>
      </c>
      <c r="T73" s="90">
        <f>SUMIFS(tblAuftraege[Kalk.
Ausgaben],tblAuftraege[Datum
Ausgaben],"&gt;="&amp;T$5,tblAuftraege[Datum
Ausgaben],"&lt;"&amp;EDATE(T$5,1))</f>
        <v/>
      </c>
      <c r="U73" s="90">
        <f>SUMIFS(tblAuftraege[Kalk.
Ausgaben],tblAuftraege[Datum
Ausgaben],"&gt;="&amp;U$5,tblAuftraege[Datum
Ausgaben],"&lt;"&amp;EDATE(U$5,1))</f>
        <v/>
      </c>
      <c r="V73" s="90">
        <f>SUMIFS(tblAuftraege[Kalk.
Ausgaben],tblAuftraege[Datum
Ausgaben],"&gt;="&amp;V$5,tblAuftraege[Datum
Ausgaben],"&lt;"&amp;EDATE(V$5,1))</f>
        <v/>
      </c>
      <c r="W73" s="90">
        <f>SUMIFS(tblAuftraege[Kalk.
Ausgaben],tblAuftraege[Datum
Ausgaben],"&gt;="&amp;W$5,tblAuftraege[Datum
Ausgaben],"&lt;"&amp;EDATE(W$5,1))</f>
        <v/>
      </c>
      <c r="X73" s="90">
        <f>SUMIFS(tblAuftraege[Kalk.
Ausgaben],tblAuftraege[Datum
Ausgaben],"&gt;="&amp;X$5,tblAuftraege[Datum
Ausgaben],"&lt;"&amp;EDATE(X$5,1))</f>
        <v/>
      </c>
      <c r="Y73" s="90">
        <f>SUMIFS(tblAuftraege[Kalk.
Ausgaben],tblAuftraege[Datum
Ausgaben],"&gt;="&amp;Y$5,tblAuftraege[Datum
Ausgaben],"&lt;"&amp;EDATE(Y$5,1))</f>
        <v/>
      </c>
      <c r="Z73" s="90">
        <f>SUMIFS(tblAuftraege[Kalk.
Ausgaben],tblAuftraege[Datum
Ausgaben],"&gt;="&amp;Z$5,tblAuftraege[Datum
Ausgaben],"&lt;"&amp;EDATE(Z$5,1))</f>
        <v/>
      </c>
      <c r="AA73" s="90">
        <f>SUMIFS(tblAuftraege[Kalk.
Ausgaben],tblAuftraege[Datum
Ausgaben],"&gt;="&amp;AA$5,tblAuftraege[Datum
Ausgaben],"&lt;"&amp;EDATE(AA$5,1))</f>
        <v/>
      </c>
      <c r="AB73" s="90">
        <f>SUMIFS(tblAuftraege[Kalk.
Ausgaben],tblAuftraege[Datum
Ausgaben],"&gt;="&amp;AB$5,tblAuftraege[Datum
Ausgaben],"&lt;"&amp;EDATE(AB$5,1))</f>
        <v/>
      </c>
      <c r="AC73" s="90">
        <f>SUMIFS(tblAuftraege[Kalk.
Ausgaben],tblAuftraege[Datum
Ausgaben],"&gt;="&amp;AC$5,tblAuftraege[Datum
Ausgaben],"&lt;"&amp;EDATE(AC$5,1))</f>
        <v/>
      </c>
      <c r="AD73" s="90">
        <f>SUMIFS(tblAuftraege[Kalk.
Ausgaben],tblAuftraege[Datum
Ausgaben],"&gt;="&amp;AD$5,tblAuftraege[Datum
Ausgaben],"&lt;"&amp;EDATE(AD$5,1))</f>
        <v/>
      </c>
      <c r="AE73" s="90">
        <f>SUMIFS(tblAuftraege[Kalk.
Ausgaben],tblAuftraege[Datum
Ausgaben],"&gt;="&amp;AE$5,tblAuftraege[Datum
Ausgaben],"&lt;"&amp;EDATE(AE$5,1))</f>
        <v/>
      </c>
      <c r="AF73" s="90">
        <f>SUMIFS(tblAuftraege[Kalk.
Ausgaben],tblAuftraege[Datum
Ausgaben],"&gt;="&amp;AF$5,tblAuftraege[Datum
Ausgaben],"&lt;"&amp;EDATE(AF$5,1))</f>
        <v/>
      </c>
      <c r="AG73" s="90">
        <f>SUMIFS(tblAuftraege[Kalk.
Ausgaben],tblAuftraege[Datum
Ausgaben],"&gt;="&amp;AG$5,tblAuftraege[Datum
Ausgaben],"&lt;"&amp;EDATE(AG$5,1))</f>
        <v/>
      </c>
      <c r="AH73" s="90">
        <f>SUMIFS(tblAuftraege[Kalk.
Ausgaben],tblAuftraege[Datum
Ausgaben],"&gt;="&amp;AH$5,tblAuftraege[Datum
Ausgaben],"&lt;"&amp;EDATE(AH$5,1))</f>
        <v/>
      </c>
      <c r="AI73" s="90">
        <f>SUMIFS(tblAuftraege[Kalk.
Ausgaben],tblAuftraege[Datum
Ausgaben],"&gt;="&amp;AI$5,tblAuftraege[Datum
Ausgaben],"&lt;"&amp;EDATE(AI$5,1))</f>
        <v/>
      </c>
      <c r="AJ73" s="90">
        <f>SUMIFS(tblAuftraege[Kalk.
Ausgaben],tblAuftraege[Datum
Ausgaben],"&gt;="&amp;AJ$5,tblAuftraege[Datum
Ausgaben],"&lt;"&amp;EDATE(AJ$5,1))</f>
        <v/>
      </c>
      <c r="AK73" s="90">
        <f>SUMIFS(tblAuftraege[Kalk.
Ausgaben],tblAuftraege[Datum
Ausgaben],"&gt;="&amp;AK$5,tblAuftraege[Datum
Ausgaben],"&lt;"&amp;EDATE(AK$5,1))</f>
        <v/>
      </c>
      <c r="AL73" s="90">
        <f>SUMIFS(tblAuftraege[Kalk.
Ausgaben],tblAuftraege[Datum
Ausgaben],"&gt;="&amp;AL$5,tblAuftraege[Datum
Ausgaben],"&lt;"&amp;EDATE(AL$5,1))</f>
        <v/>
      </c>
      <c r="AM73" s="90">
        <f>SUMIFS(tblAuftraege[Kalk.
Ausgaben],tblAuftraege[Datum
Ausgaben],"&gt;="&amp;AM$5,tblAuftraege[Datum
Ausgaben],"&lt;"&amp;EDATE(AM$5,1))</f>
        <v/>
      </c>
      <c r="AN73" s="90">
        <f>SUMIFS(tblAuftraege[Kalk.
Ausgaben],tblAuftraege[Datum
Ausgaben],"&gt;="&amp;AN$5,tblAuftraege[Datum
Ausgaben],"&lt;"&amp;EDATE(AN$5,1))</f>
        <v/>
      </c>
      <c r="AO73" s="90">
        <f>SUMIFS(tblAuftraege[Kalk.
Ausgaben],tblAuftraege[Datum
Ausgaben],"&gt;="&amp;AO$5,tblAuftraege[Datum
Ausgaben],"&lt;"&amp;EDATE(AO$5,1))</f>
        <v/>
      </c>
      <c r="AP73" s="90">
        <f>SUMIFS(tblAuftraege[Kalk.
Ausgaben],tblAuftraege[Datum
Ausgaben],"&gt;="&amp;AP$5,tblAuftraege[Datum
Ausgaben],"&lt;"&amp;EDATE(AP$5,1))</f>
        <v/>
      </c>
      <c r="AQ73" s="90">
        <f>SUMIFS(tblAuftraege[Kalk.
Ausgaben],tblAuftraege[Datum
Ausgaben],"&gt;="&amp;AQ$5,tblAuftraege[Datum
Ausgaben],"&lt;"&amp;EDATE(AQ$5,1))</f>
        <v/>
      </c>
      <c r="AR73" s="90">
        <f>SUMIFS(tblAuftraege[Kalk.
Ausgaben],tblAuftraege[Datum
Ausgaben],"&gt;="&amp;AR$5,tblAuftraege[Datum
Ausgaben],"&lt;"&amp;EDATE(AR$5,1))</f>
        <v/>
      </c>
      <c r="AS73" s="90">
        <f>SUMIFS(tblAuftraege[Kalk.
Ausgaben],tblAuftraege[Datum
Ausgaben],"&gt;="&amp;AS$5,tblAuftraege[Datum
Ausgaben],"&lt;"&amp;EDATE(AS$5,1))</f>
        <v/>
      </c>
      <c r="AT73" s="90">
        <f>SUMIFS(tblAuftraege[Kalk.
Ausgaben],tblAuftraege[Datum
Ausgaben],"&gt;="&amp;AT$5,tblAuftraege[Datum
Ausgaben],"&lt;"&amp;EDATE(AT$5,1))</f>
        <v/>
      </c>
      <c r="AU73" s="90">
        <f>SUMIFS(tblAuftraege[Kalk.
Ausgaben],tblAuftraege[Datum
Ausgaben],"&gt;="&amp;AU$5,tblAuftraege[Datum
Ausgaben],"&lt;"&amp;EDATE(AU$5,1))</f>
        <v/>
      </c>
      <c r="AV73" s="90">
        <f>SUMIFS(tblAuftraege[Kalk.
Ausgaben],tblAuftraege[Datum
Ausgaben],"&gt;="&amp;AV$5,tblAuftraege[Datum
Ausgaben],"&lt;"&amp;EDATE(AV$5,1))</f>
        <v/>
      </c>
      <c r="AW73" s="90">
        <f>SUMIFS(tblAuftraege[Kalk.
Ausgaben],tblAuftraege[Datum
Ausgaben],"&gt;="&amp;AW$5,tblAuftraege[Datum
Ausgaben],"&lt;"&amp;EDATE(AW$5,1))</f>
        <v/>
      </c>
      <c r="AX73" s="90">
        <f>SUMIFS(tblAuftraege[Kalk.
Ausgaben],tblAuftraege[Datum
Ausgaben],"&gt;="&amp;AX$5,tblAuftraege[Datum
Ausgaben],"&lt;"&amp;EDATE(AX$5,1))</f>
        <v/>
      </c>
      <c r="AY73" s="90">
        <f>SUMIFS(tblAuftraege[Kalk.
Ausgaben],tblAuftraege[Datum
Ausgaben],"&gt;="&amp;AY$5,tblAuftraege[Datum
Ausgaben],"&lt;"&amp;EDATE(AY$5,1))</f>
        <v/>
      </c>
      <c r="AZ73" s="90">
        <f>SUMIFS(tblAuftraege[Kalk.
Ausgaben],tblAuftraege[Datum
Ausgaben],"&gt;="&amp;AZ$5,tblAuftraege[Datum
Ausgaben],"&lt;"&amp;EDATE(AZ$5,1))</f>
        <v/>
      </c>
      <c r="BA73" s="90">
        <f>SUMIFS(tblAuftraege[Kalk.
Ausgaben],tblAuftraege[Datum
Ausgaben],"&gt;="&amp;BA$5,tblAuftraege[Datum
Ausgaben],"&lt;"&amp;EDATE(BA$5,1))</f>
        <v/>
      </c>
      <c r="BB73" s="90">
        <f>SUMIFS(tblAuftraege[Kalk.
Ausgaben],tblAuftraege[Datum
Ausgaben],"&gt;="&amp;BB$5,tblAuftraege[Datum
Ausgaben],"&lt;"&amp;EDATE(BB$5,1))</f>
        <v/>
      </c>
      <c r="BC73" s="90">
        <f>SUMIFS(tblAuftraege[Kalk.
Ausgaben],tblAuftraege[Datum
Ausgaben],"&gt;="&amp;BC$5,tblAuftraege[Datum
Ausgaben],"&lt;"&amp;EDATE(BC$5,1))</f>
        <v/>
      </c>
      <c r="BD73" s="90">
        <f>SUMIFS(tblAuftraege[Kalk.
Ausgaben],tblAuftraege[Datum
Ausgaben],"&gt;="&amp;BD$5,tblAuftraege[Datum
Ausgaben],"&lt;"&amp;EDATE(BD$5,1))</f>
        <v/>
      </c>
      <c r="BE73" s="90">
        <f>SUM(C73:H73)</f>
        <v/>
      </c>
      <c r="BF73" s="90">
        <f>SUM(I73:T73)</f>
        <v/>
      </c>
      <c r="BG73" s="90">
        <f>SUM(U73:AF73)</f>
        <v/>
      </c>
      <c r="BH73" s="90">
        <f>SUM(AG73:AR73)</f>
        <v/>
      </c>
      <c r="BI73" s="90">
        <f>SUM(AS73:BD73)</f>
        <v/>
      </c>
      <c r="BJ73" s="90">
        <f>SUM(C73:BD73)</f>
        <v/>
      </c>
    </row>
    <row r="75" ht="19.5" customHeight="1">
      <c r="B75" s="6" t="inlineStr">
        <is>
          <t>3  KENNZAHLEN (automatisch berechnet)</t>
        </is>
      </c>
      <c r="C75" s="58" t="inlineStr">
        <is>
          <t>Jul 26</t>
        </is>
      </c>
      <c r="D75" s="58" t="inlineStr">
        <is>
          <t>Aug 26</t>
        </is>
      </c>
      <c r="E75" s="58" t="inlineStr">
        <is>
          <t>Sep 26</t>
        </is>
      </c>
      <c r="F75" s="58" t="inlineStr">
        <is>
          <t>Okt 26</t>
        </is>
      </c>
      <c r="G75" s="58" t="inlineStr">
        <is>
          <t>Nov 26</t>
        </is>
      </c>
      <c r="H75" s="58" t="inlineStr">
        <is>
          <t>Dez 26</t>
        </is>
      </c>
      <c r="I75" s="58" t="inlineStr">
        <is>
          <t>Jan 27</t>
        </is>
      </c>
      <c r="J75" s="58" t="inlineStr">
        <is>
          <t>Feb 27</t>
        </is>
      </c>
      <c r="K75" s="58" t="inlineStr">
        <is>
          <t>Mrz 27</t>
        </is>
      </c>
      <c r="L75" s="58" t="inlineStr">
        <is>
          <t>Apr 27</t>
        </is>
      </c>
      <c r="M75" s="58" t="inlineStr">
        <is>
          <t>Mai 27</t>
        </is>
      </c>
      <c r="N75" s="58" t="inlineStr">
        <is>
          <t>Jun 27</t>
        </is>
      </c>
      <c r="O75" s="58" t="inlineStr">
        <is>
          <t>Jul 27</t>
        </is>
      </c>
      <c r="P75" s="58" t="inlineStr">
        <is>
          <t>Aug 27</t>
        </is>
      </c>
      <c r="Q75" s="58" t="inlineStr">
        <is>
          <t>Sep 27</t>
        </is>
      </c>
      <c r="R75" s="58" t="inlineStr">
        <is>
          <t>Okt 27</t>
        </is>
      </c>
      <c r="S75" s="58" t="inlineStr">
        <is>
          <t>Nov 27</t>
        </is>
      </c>
      <c r="T75" s="58" t="inlineStr">
        <is>
          <t>Dez 27</t>
        </is>
      </c>
      <c r="U75" s="58" t="inlineStr">
        <is>
          <t>Jan 28</t>
        </is>
      </c>
      <c r="V75" s="58" t="inlineStr">
        <is>
          <t>Feb 28</t>
        </is>
      </c>
      <c r="W75" s="58" t="inlineStr">
        <is>
          <t>Mär 28</t>
        </is>
      </c>
      <c r="X75" s="58" t="inlineStr">
        <is>
          <t>Apr 28</t>
        </is>
      </c>
      <c r="Y75" s="58" t="inlineStr">
        <is>
          <t>Mai 28</t>
        </is>
      </c>
      <c r="Z75" s="58" t="inlineStr">
        <is>
          <t>Jun 28</t>
        </is>
      </c>
      <c r="AA75" s="58" t="inlineStr">
        <is>
          <t>Jul 28</t>
        </is>
      </c>
      <c r="AB75" s="58" t="inlineStr">
        <is>
          <t>Aug 28</t>
        </is>
      </c>
      <c r="AC75" s="58" t="inlineStr">
        <is>
          <t>Sep 28</t>
        </is>
      </c>
      <c r="AD75" s="58" t="inlineStr">
        <is>
          <t>Okt 28</t>
        </is>
      </c>
      <c r="AE75" s="58" t="inlineStr">
        <is>
          <t>Nov 28</t>
        </is>
      </c>
      <c r="AF75" s="58" t="inlineStr">
        <is>
          <t>Dez 28</t>
        </is>
      </c>
      <c r="AG75" s="58" t="inlineStr">
        <is>
          <t>Jan 29</t>
        </is>
      </c>
      <c r="AH75" s="58" t="inlineStr">
        <is>
          <t>Feb 29</t>
        </is>
      </c>
      <c r="AI75" s="58" t="inlineStr">
        <is>
          <t>Mär 29</t>
        </is>
      </c>
      <c r="AJ75" s="58" t="inlineStr">
        <is>
          <t>Apr 29</t>
        </is>
      </c>
      <c r="AK75" s="58" t="inlineStr">
        <is>
          <t>Mai 29</t>
        </is>
      </c>
      <c r="AL75" s="58" t="inlineStr">
        <is>
          <t>Jun 29</t>
        </is>
      </c>
      <c r="AM75" s="58" t="inlineStr">
        <is>
          <t>Jul 29</t>
        </is>
      </c>
      <c r="AN75" s="58" t="inlineStr">
        <is>
          <t>Aug 29</t>
        </is>
      </c>
      <c r="AO75" s="58" t="inlineStr">
        <is>
          <t>Sep 29</t>
        </is>
      </c>
      <c r="AP75" s="58" t="inlineStr">
        <is>
          <t>Okt 29</t>
        </is>
      </c>
      <c r="AQ75" s="58" t="inlineStr">
        <is>
          <t>Nov 29</t>
        </is>
      </c>
      <c r="AR75" s="58" t="inlineStr">
        <is>
          <t>Dez 29</t>
        </is>
      </c>
      <c r="AS75" s="58" t="inlineStr">
        <is>
          <t>Jan 30</t>
        </is>
      </c>
      <c r="AT75" s="58" t="inlineStr">
        <is>
          <t>Feb 30</t>
        </is>
      </c>
      <c r="AU75" s="58" t="inlineStr">
        <is>
          <t>Mär 30</t>
        </is>
      </c>
      <c r="AV75" s="58" t="inlineStr">
        <is>
          <t>Apr 30</t>
        </is>
      </c>
      <c r="AW75" s="58" t="inlineStr">
        <is>
          <t>Mai 30</t>
        </is>
      </c>
      <c r="AX75" s="58" t="inlineStr">
        <is>
          <t>Jun 30</t>
        </is>
      </c>
      <c r="AY75" s="58" t="inlineStr">
        <is>
          <t>Jul 30</t>
        </is>
      </c>
      <c r="AZ75" s="58" t="inlineStr">
        <is>
          <t>Aug 30</t>
        </is>
      </c>
      <c r="BA75" s="58" t="inlineStr">
        <is>
          <t>Sep 30</t>
        </is>
      </c>
      <c r="BB75" s="58" t="inlineStr">
        <is>
          <t>Okt 30</t>
        </is>
      </c>
      <c r="BC75" s="58" t="inlineStr">
        <is>
          <t>Nov 30</t>
        </is>
      </c>
      <c r="BD75" s="58" t="inlineStr">
        <is>
          <t>Dez 30</t>
        </is>
      </c>
      <c r="BE75" s="58" t="inlineStr">
        <is>
          <t>Summe H2 26</t>
        </is>
      </c>
      <c r="BF75" s="58" t="inlineStr">
        <is>
          <t>Summe 27</t>
        </is>
      </c>
      <c r="BG75" s="58" t="inlineStr">
        <is>
          <t>Summe 28</t>
        </is>
      </c>
      <c r="BH75" s="58" t="inlineStr">
        <is>
          <t>Summe 29</t>
        </is>
      </c>
      <c r="BI75" s="58" t="inlineStr">
        <is>
          <t>Summe 30</t>
        </is>
      </c>
      <c r="BJ75" s="58" t="inlineStr">
        <is>
          <t>Gesamt</t>
        </is>
      </c>
    </row>
    <row r="76">
      <c r="B76" s="9" t="inlineStr">
        <is>
          <t>Summe Einnahmen</t>
        </is>
      </c>
      <c r="C76" s="8">
        <f>C39</f>
        <v/>
      </c>
      <c r="D76" s="8">
        <f>D39</f>
        <v/>
      </c>
      <c r="E76" s="8">
        <f>E39</f>
        <v/>
      </c>
      <c r="F76" s="8">
        <f>F39</f>
        <v/>
      </c>
      <c r="G76" s="8">
        <f>G39</f>
        <v/>
      </c>
      <c r="H76" s="8">
        <f>H39</f>
        <v/>
      </c>
      <c r="I76" s="8">
        <f>I39</f>
        <v/>
      </c>
      <c r="J76" s="8">
        <f>J39</f>
        <v/>
      </c>
      <c r="K76" s="8">
        <f>K39</f>
        <v/>
      </c>
      <c r="L76" s="8">
        <f>L39</f>
        <v/>
      </c>
      <c r="M76" s="8">
        <f>M39</f>
        <v/>
      </c>
      <c r="N76" s="8">
        <f>N39</f>
        <v/>
      </c>
      <c r="O76" s="8">
        <f>O39</f>
        <v/>
      </c>
      <c r="P76" s="8">
        <f>P39</f>
        <v/>
      </c>
      <c r="Q76" s="8">
        <f>Q39</f>
        <v/>
      </c>
      <c r="R76" s="8">
        <f>R39</f>
        <v/>
      </c>
      <c r="S76" s="8">
        <f>S39</f>
        <v/>
      </c>
      <c r="T76" s="8">
        <f>T39</f>
        <v/>
      </c>
      <c r="U76" s="8">
        <f>U39</f>
        <v/>
      </c>
      <c r="V76" s="8">
        <f>V39</f>
        <v/>
      </c>
      <c r="W76" s="8">
        <f>W39</f>
        <v/>
      </c>
      <c r="X76" s="8">
        <f>X39</f>
        <v/>
      </c>
      <c r="Y76" s="8">
        <f>Y39</f>
        <v/>
      </c>
      <c r="Z76" s="8">
        <f>Z39</f>
        <v/>
      </c>
      <c r="AA76" s="8">
        <f>AA39</f>
        <v/>
      </c>
      <c r="AB76" s="8">
        <f>AB39</f>
        <v/>
      </c>
      <c r="AC76" s="8">
        <f>AC39</f>
        <v/>
      </c>
      <c r="AD76" s="8">
        <f>AD39</f>
        <v/>
      </c>
      <c r="AE76" s="8">
        <f>AE39</f>
        <v/>
      </c>
      <c r="AF76" s="8">
        <f>AF39</f>
        <v/>
      </c>
      <c r="AG76" s="8">
        <f>AG39</f>
        <v/>
      </c>
      <c r="AH76" s="8">
        <f>AH39</f>
        <v/>
      </c>
      <c r="AI76" s="8">
        <f>AI39</f>
        <v/>
      </c>
      <c r="AJ76" s="8">
        <f>AJ39</f>
        <v/>
      </c>
      <c r="AK76" s="8">
        <f>AK39</f>
        <v/>
      </c>
      <c r="AL76" s="8">
        <f>AL39</f>
        <v/>
      </c>
      <c r="AM76" s="8">
        <f>AM39</f>
        <v/>
      </c>
      <c r="AN76" s="8">
        <f>AN39</f>
        <v/>
      </c>
      <c r="AO76" s="8">
        <f>AO39</f>
        <v/>
      </c>
      <c r="AP76" s="8">
        <f>AP39</f>
        <v/>
      </c>
      <c r="AQ76" s="8">
        <f>AQ39</f>
        <v/>
      </c>
      <c r="AR76" s="8">
        <f>AR39</f>
        <v/>
      </c>
      <c r="AS76" s="8">
        <f>AS39</f>
        <v/>
      </c>
      <c r="AT76" s="8">
        <f>AT39</f>
        <v/>
      </c>
      <c r="AU76" s="8">
        <f>AU39</f>
        <v/>
      </c>
      <c r="AV76" s="8">
        <f>AV39</f>
        <v/>
      </c>
      <c r="AW76" s="8">
        <f>AW39</f>
        <v/>
      </c>
      <c r="AX76" s="8">
        <f>AX39</f>
        <v/>
      </c>
      <c r="AY76" s="8">
        <f>AY39</f>
        <v/>
      </c>
      <c r="AZ76" s="8">
        <f>AZ39</f>
        <v/>
      </c>
      <c r="BA76" s="8">
        <f>BA39</f>
        <v/>
      </c>
      <c r="BB76" s="8">
        <f>BB39</f>
        <v/>
      </c>
      <c r="BC76" s="8">
        <f>BC39</f>
        <v/>
      </c>
      <c r="BD76" s="8">
        <f>BD39</f>
        <v/>
      </c>
      <c r="BE76" s="8">
        <f>BE39</f>
        <v/>
      </c>
      <c r="BF76" s="8">
        <f>BF39</f>
        <v/>
      </c>
      <c r="BG76" s="8">
        <f>BG39</f>
        <v/>
      </c>
      <c r="BH76" s="8">
        <f>BH39</f>
        <v/>
      </c>
      <c r="BI76" s="8">
        <f>BI39</f>
        <v/>
      </c>
      <c r="BJ76" s="8">
        <f>BJ39</f>
        <v/>
      </c>
    </row>
    <row r="77">
      <c r="B77" s="9" t="inlineStr">
        <is>
          <t>Summe Ausgaben</t>
        </is>
      </c>
      <c r="C77" s="8">
        <f>C73</f>
        <v/>
      </c>
      <c r="D77" s="8">
        <f>D73</f>
        <v/>
      </c>
      <c r="E77" s="8">
        <f>E73</f>
        <v/>
      </c>
      <c r="F77" s="8">
        <f>F73</f>
        <v/>
      </c>
      <c r="G77" s="8">
        <f>G73</f>
        <v/>
      </c>
      <c r="H77" s="8">
        <f>H73</f>
        <v/>
      </c>
      <c r="I77" s="8">
        <f>I73</f>
        <v/>
      </c>
      <c r="J77" s="8">
        <f>J73</f>
        <v/>
      </c>
      <c r="K77" s="8">
        <f>K73</f>
        <v/>
      </c>
      <c r="L77" s="8">
        <f>L73</f>
        <v/>
      </c>
      <c r="M77" s="8">
        <f>M73</f>
        <v/>
      </c>
      <c r="N77" s="8">
        <f>N73</f>
        <v/>
      </c>
      <c r="O77" s="8">
        <f>O73</f>
        <v/>
      </c>
      <c r="P77" s="8">
        <f>P73</f>
        <v/>
      </c>
      <c r="Q77" s="8">
        <f>Q73</f>
        <v/>
      </c>
      <c r="R77" s="8">
        <f>R73</f>
        <v/>
      </c>
      <c r="S77" s="8">
        <f>S73</f>
        <v/>
      </c>
      <c r="T77" s="8">
        <f>T73</f>
        <v/>
      </c>
      <c r="U77" s="8">
        <f>U73</f>
        <v/>
      </c>
      <c r="V77" s="8">
        <f>V73</f>
        <v/>
      </c>
      <c r="W77" s="8">
        <f>W73</f>
        <v/>
      </c>
      <c r="X77" s="8">
        <f>X73</f>
        <v/>
      </c>
      <c r="Y77" s="8">
        <f>Y73</f>
        <v/>
      </c>
      <c r="Z77" s="8">
        <f>Z73</f>
        <v/>
      </c>
      <c r="AA77" s="8">
        <f>AA73</f>
        <v/>
      </c>
      <c r="AB77" s="8">
        <f>AB73</f>
        <v/>
      </c>
      <c r="AC77" s="8">
        <f>AC73</f>
        <v/>
      </c>
      <c r="AD77" s="8">
        <f>AD73</f>
        <v/>
      </c>
      <c r="AE77" s="8">
        <f>AE73</f>
        <v/>
      </c>
      <c r="AF77" s="8">
        <f>AF73</f>
        <v/>
      </c>
      <c r="AG77" s="8">
        <f>AG73</f>
        <v/>
      </c>
      <c r="AH77" s="8">
        <f>AH73</f>
        <v/>
      </c>
      <c r="AI77" s="8">
        <f>AI73</f>
        <v/>
      </c>
      <c r="AJ77" s="8">
        <f>AJ73</f>
        <v/>
      </c>
      <c r="AK77" s="8">
        <f>AK73</f>
        <v/>
      </c>
      <c r="AL77" s="8">
        <f>AL73</f>
        <v/>
      </c>
      <c r="AM77" s="8">
        <f>AM73</f>
        <v/>
      </c>
      <c r="AN77" s="8">
        <f>AN73</f>
        <v/>
      </c>
      <c r="AO77" s="8">
        <f>AO73</f>
        <v/>
      </c>
      <c r="AP77" s="8">
        <f>AP73</f>
        <v/>
      </c>
      <c r="AQ77" s="8">
        <f>AQ73</f>
        <v/>
      </c>
      <c r="AR77" s="8">
        <f>AR73</f>
        <v/>
      </c>
      <c r="AS77" s="8">
        <f>AS73</f>
        <v/>
      </c>
      <c r="AT77" s="8">
        <f>AT73</f>
        <v/>
      </c>
      <c r="AU77" s="8">
        <f>AU73</f>
        <v/>
      </c>
      <c r="AV77" s="8">
        <f>AV73</f>
        <v/>
      </c>
      <c r="AW77" s="8">
        <f>AW73</f>
        <v/>
      </c>
      <c r="AX77" s="8">
        <f>AX73</f>
        <v/>
      </c>
      <c r="AY77" s="8">
        <f>AY73</f>
        <v/>
      </c>
      <c r="AZ77" s="8">
        <f>AZ73</f>
        <v/>
      </c>
      <c r="BA77" s="8">
        <f>BA73</f>
        <v/>
      </c>
      <c r="BB77" s="8">
        <f>BB73</f>
        <v/>
      </c>
      <c r="BC77" s="8">
        <f>BC73</f>
        <v/>
      </c>
      <c r="BD77" s="8">
        <f>BD73</f>
        <v/>
      </c>
      <c r="BE77" s="8">
        <f>BE73</f>
        <v/>
      </c>
      <c r="BF77" s="8">
        <f>BF73</f>
        <v/>
      </c>
      <c r="BG77" s="8">
        <f>BG73</f>
        <v/>
      </c>
      <c r="BH77" s="8">
        <f>BH73</f>
        <v/>
      </c>
      <c r="BI77" s="8">
        <f>BI73</f>
        <v/>
      </c>
      <c r="BJ77" s="8">
        <f>BJ73</f>
        <v/>
      </c>
    </row>
    <row r="78">
      <c r="B78" s="11" t="inlineStr">
        <is>
          <t>Netto-Cashflow (Monat)</t>
        </is>
      </c>
      <c r="C78" s="12">
        <f>C76-C77</f>
        <v/>
      </c>
      <c r="D78" s="12">
        <f>D76-D77</f>
        <v/>
      </c>
      <c r="E78" s="12">
        <f>E76-E77</f>
        <v/>
      </c>
      <c r="F78" s="12">
        <f>F76-F77</f>
        <v/>
      </c>
      <c r="G78" s="12">
        <f>G76-G77</f>
        <v/>
      </c>
      <c r="H78" s="12">
        <f>H76-H77</f>
        <v/>
      </c>
      <c r="I78" s="12">
        <f>I76-I77</f>
        <v/>
      </c>
      <c r="J78" s="12">
        <f>J76-J77</f>
        <v/>
      </c>
      <c r="K78" s="12">
        <f>K76-K77</f>
        <v/>
      </c>
      <c r="L78" s="12">
        <f>L76-L77</f>
        <v/>
      </c>
      <c r="M78" s="12">
        <f>M76-M77</f>
        <v/>
      </c>
      <c r="N78" s="12">
        <f>N76-N77</f>
        <v/>
      </c>
      <c r="O78" s="12">
        <f>O76-O77</f>
        <v/>
      </c>
      <c r="P78" s="12">
        <f>P76-P77</f>
        <v/>
      </c>
      <c r="Q78" s="12">
        <f>Q76-Q77</f>
        <v/>
      </c>
      <c r="R78" s="12">
        <f>R76-R77</f>
        <v/>
      </c>
      <c r="S78" s="12">
        <f>S76-S77</f>
        <v/>
      </c>
      <c r="T78" s="12">
        <f>T76-T77</f>
        <v/>
      </c>
      <c r="U78" s="12">
        <f>U76-U77</f>
        <v/>
      </c>
      <c r="V78" s="12">
        <f>V76-V77</f>
        <v/>
      </c>
      <c r="W78" s="12">
        <f>W76-W77</f>
        <v/>
      </c>
      <c r="X78" s="12">
        <f>X76-X77</f>
        <v/>
      </c>
      <c r="Y78" s="12">
        <f>Y76-Y77</f>
        <v/>
      </c>
      <c r="Z78" s="12">
        <f>Z76-Z77</f>
        <v/>
      </c>
      <c r="AA78" s="12">
        <f>AA76-AA77</f>
        <v/>
      </c>
      <c r="AB78" s="12">
        <f>AB76-AB77</f>
        <v/>
      </c>
      <c r="AC78" s="12">
        <f>AC76-AC77</f>
        <v/>
      </c>
      <c r="AD78" s="12">
        <f>AD76-AD77</f>
        <v/>
      </c>
      <c r="AE78" s="12">
        <f>AE76-AE77</f>
        <v/>
      </c>
      <c r="AF78" s="12">
        <f>AF76-AF77</f>
        <v/>
      </c>
      <c r="AG78" s="12">
        <f>AG76-AG77</f>
        <v/>
      </c>
      <c r="AH78" s="12">
        <f>AH76-AH77</f>
        <v/>
      </c>
      <c r="AI78" s="12">
        <f>AI76-AI77</f>
        <v/>
      </c>
      <c r="AJ78" s="12">
        <f>AJ76-AJ77</f>
        <v/>
      </c>
      <c r="AK78" s="12">
        <f>AK76-AK77</f>
        <v/>
      </c>
      <c r="AL78" s="12">
        <f>AL76-AL77</f>
        <v/>
      </c>
      <c r="AM78" s="12">
        <f>AM76-AM77</f>
        <v/>
      </c>
      <c r="AN78" s="12">
        <f>AN76-AN77</f>
        <v/>
      </c>
      <c r="AO78" s="12">
        <f>AO76-AO77</f>
        <v/>
      </c>
      <c r="AP78" s="12">
        <f>AP76-AP77</f>
        <v/>
      </c>
      <c r="AQ78" s="12">
        <f>AQ76-AQ77</f>
        <v/>
      </c>
      <c r="AR78" s="12">
        <f>AR76-AR77</f>
        <v/>
      </c>
      <c r="AS78" s="12">
        <f>AS76-AS77</f>
        <v/>
      </c>
      <c r="AT78" s="12">
        <f>AT76-AT77</f>
        <v/>
      </c>
      <c r="AU78" s="12">
        <f>AU76-AU77</f>
        <v/>
      </c>
      <c r="AV78" s="12">
        <f>AV76-AV77</f>
        <v/>
      </c>
      <c r="AW78" s="12">
        <f>AW76-AW77</f>
        <v/>
      </c>
      <c r="AX78" s="12">
        <f>AX76-AX77</f>
        <v/>
      </c>
      <c r="AY78" s="12">
        <f>AY76-AY77</f>
        <v/>
      </c>
      <c r="AZ78" s="12">
        <f>AZ76-AZ77</f>
        <v/>
      </c>
      <c r="BA78" s="12">
        <f>BA76-BA77</f>
        <v/>
      </c>
      <c r="BB78" s="12">
        <f>BB76-BB77</f>
        <v/>
      </c>
      <c r="BC78" s="12">
        <f>BC76-BC77</f>
        <v/>
      </c>
      <c r="BD78" s="12">
        <f>BD76-BD77</f>
        <v/>
      </c>
      <c r="BE78" s="12">
        <f>BE76-BE77</f>
        <v/>
      </c>
      <c r="BF78" s="12">
        <f>BF76-BF77</f>
        <v/>
      </c>
      <c r="BG78" s="12">
        <f>BG76-BG77</f>
        <v/>
      </c>
      <c r="BH78" s="12">
        <f>BH76-BH77</f>
        <v/>
      </c>
      <c r="BI78" s="12">
        <f>BI76-BI77</f>
        <v/>
      </c>
      <c r="BJ78" s="12">
        <f>BJ76-BJ77</f>
        <v/>
      </c>
    </row>
    <row r="79">
      <c r="B79" s="11" t="inlineStr">
        <is>
          <t>Kumulierter Cashflow</t>
        </is>
      </c>
      <c r="C79" s="12">
        <f>C78</f>
        <v/>
      </c>
      <c r="D79" s="12">
        <f>C79+D78</f>
        <v/>
      </c>
      <c r="E79" s="12">
        <f>D79+E78</f>
        <v/>
      </c>
      <c r="F79" s="12">
        <f>E79+F78</f>
        <v/>
      </c>
      <c r="G79" s="12">
        <f>F79+G78</f>
        <v/>
      </c>
      <c r="H79" s="12">
        <f>G79+H78</f>
        <v/>
      </c>
      <c r="I79" s="12">
        <f>H79+I78</f>
        <v/>
      </c>
      <c r="J79" s="12">
        <f>I79+J78</f>
        <v/>
      </c>
      <c r="K79" s="12">
        <f>J79+K78</f>
        <v/>
      </c>
      <c r="L79" s="12">
        <f>K79+L78</f>
        <v/>
      </c>
      <c r="M79" s="12">
        <f>L79+M78</f>
        <v/>
      </c>
      <c r="N79" s="12">
        <f>M79+N78</f>
        <v/>
      </c>
      <c r="O79" s="12">
        <f>N79+O78</f>
        <v/>
      </c>
      <c r="P79" s="12">
        <f>O79+P78</f>
        <v/>
      </c>
      <c r="Q79" s="12">
        <f>P79+Q78</f>
        <v/>
      </c>
      <c r="R79" s="12">
        <f>Q79+R78</f>
        <v/>
      </c>
      <c r="S79" s="12">
        <f>R79+S78</f>
        <v/>
      </c>
      <c r="T79" s="12">
        <f>S79+T78</f>
        <v/>
      </c>
      <c r="U79" s="12">
        <f>T79+U78</f>
        <v/>
      </c>
      <c r="V79" s="12">
        <f>U79+V78</f>
        <v/>
      </c>
      <c r="W79" s="12">
        <f>V79+W78</f>
        <v/>
      </c>
      <c r="X79" s="12">
        <f>W79+X78</f>
        <v/>
      </c>
      <c r="Y79" s="12">
        <f>X79+Y78</f>
        <v/>
      </c>
      <c r="Z79" s="12">
        <f>Y79+Z78</f>
        <v/>
      </c>
      <c r="AA79" s="12">
        <f>Z79+AA78</f>
        <v/>
      </c>
      <c r="AB79" s="12">
        <f>AA79+AB78</f>
        <v/>
      </c>
      <c r="AC79" s="12">
        <f>AB79+AC78</f>
        <v/>
      </c>
      <c r="AD79" s="12">
        <f>AC79+AD78</f>
        <v/>
      </c>
      <c r="AE79" s="12">
        <f>AD79+AE78</f>
        <v/>
      </c>
      <c r="AF79" s="12">
        <f>AE79+AF78</f>
        <v/>
      </c>
      <c r="AG79" s="12">
        <f>AF79+AG78</f>
        <v/>
      </c>
      <c r="AH79" s="12">
        <f>AG79+AH78</f>
        <v/>
      </c>
      <c r="AI79" s="12">
        <f>AH79+AI78</f>
        <v/>
      </c>
      <c r="AJ79" s="12">
        <f>AI79+AJ78</f>
        <v/>
      </c>
      <c r="AK79" s="12">
        <f>AJ79+AK78</f>
        <v/>
      </c>
      <c r="AL79" s="12">
        <f>AK79+AL78</f>
        <v/>
      </c>
      <c r="AM79" s="12">
        <f>AL79+AM78</f>
        <v/>
      </c>
      <c r="AN79" s="12">
        <f>AM79+AN78</f>
        <v/>
      </c>
      <c r="AO79" s="12">
        <f>AN79+AO78</f>
        <v/>
      </c>
      <c r="AP79" s="12">
        <f>AO79+AP78</f>
        <v/>
      </c>
      <c r="AQ79" s="12">
        <f>AP79+AQ78</f>
        <v/>
      </c>
      <c r="AR79" s="12">
        <f>AQ79+AR78</f>
        <v/>
      </c>
      <c r="AS79" s="12">
        <f>AR79+AS78</f>
        <v/>
      </c>
      <c r="AT79" s="12">
        <f>AS79+AT78</f>
        <v/>
      </c>
      <c r="AU79" s="12">
        <f>AT79+AU78</f>
        <v/>
      </c>
      <c r="AV79" s="12">
        <f>AU79+AV78</f>
        <v/>
      </c>
      <c r="AW79" s="12">
        <f>AV79+AW78</f>
        <v/>
      </c>
      <c r="AX79" s="12">
        <f>AW79+AX78</f>
        <v/>
      </c>
      <c r="AY79" s="12">
        <f>AX79+AY78</f>
        <v/>
      </c>
      <c r="AZ79" s="12">
        <f>AY79+AZ78</f>
        <v/>
      </c>
      <c r="BA79" s="12">
        <f>AZ79+BA78</f>
        <v/>
      </c>
      <c r="BB79" s="12">
        <f>BA79+BB78</f>
        <v/>
      </c>
      <c r="BC79" s="12">
        <f>BB79+BC78</f>
        <v/>
      </c>
      <c r="BD79" s="12">
        <f>BC79+BD78</f>
        <v/>
      </c>
      <c r="BE79" s="12">
        <f>H79</f>
        <v/>
      </c>
      <c r="BF79" s="12">
        <f>T79</f>
        <v/>
      </c>
      <c r="BG79" s="12">
        <f>AF79</f>
        <v/>
      </c>
      <c r="BH79" s="12">
        <f>AR79</f>
        <v/>
      </c>
      <c r="BI79" s="12">
        <f>BD79</f>
        <v/>
      </c>
      <c r="BJ79" s="12">
        <f>BD79</f>
        <v/>
      </c>
    </row>
    <row r="81" ht="19.5" customHeight="1">
      <c r="B81" s="61" t="inlineStr">
        <is>
          <t>4  AUSWERTUNG NACH THEMENFELD</t>
        </is>
      </c>
      <c r="C81" s="58" t="inlineStr">
        <is>
          <t>Jul 26</t>
        </is>
      </c>
      <c r="D81" s="58" t="inlineStr">
        <is>
          <t>Aug 26</t>
        </is>
      </c>
      <c r="E81" s="58" t="inlineStr">
        <is>
          <t>Sep 26</t>
        </is>
      </c>
      <c r="F81" s="58" t="inlineStr">
        <is>
          <t>Okt 26</t>
        </is>
      </c>
      <c r="G81" s="58" t="inlineStr">
        <is>
          <t>Nov 26</t>
        </is>
      </c>
      <c r="H81" s="58" t="inlineStr">
        <is>
          <t>Dez 26</t>
        </is>
      </c>
      <c r="I81" s="58" t="inlineStr">
        <is>
          <t>Jan 27</t>
        </is>
      </c>
      <c r="J81" s="58" t="inlineStr">
        <is>
          <t>Feb 27</t>
        </is>
      </c>
      <c r="K81" s="58" t="inlineStr">
        <is>
          <t>Mrz 27</t>
        </is>
      </c>
      <c r="L81" s="58" t="inlineStr">
        <is>
          <t>Apr 27</t>
        </is>
      </c>
      <c r="M81" s="58" t="inlineStr">
        <is>
          <t>Mai 27</t>
        </is>
      </c>
      <c r="N81" s="58" t="inlineStr">
        <is>
          <t>Jun 27</t>
        </is>
      </c>
      <c r="O81" s="58" t="inlineStr">
        <is>
          <t>Jul 27</t>
        </is>
      </c>
      <c r="P81" s="58" t="inlineStr">
        <is>
          <t>Aug 27</t>
        </is>
      </c>
      <c r="Q81" s="58" t="inlineStr">
        <is>
          <t>Sep 27</t>
        </is>
      </c>
      <c r="R81" s="58" t="inlineStr">
        <is>
          <t>Okt 27</t>
        </is>
      </c>
      <c r="S81" s="58" t="inlineStr">
        <is>
          <t>Nov 27</t>
        </is>
      </c>
      <c r="T81" s="58" t="inlineStr">
        <is>
          <t>Dez 27</t>
        </is>
      </c>
      <c r="U81" s="58" t="inlineStr">
        <is>
          <t>Jan 28</t>
        </is>
      </c>
      <c r="V81" s="58" t="inlineStr">
        <is>
          <t>Feb 28</t>
        </is>
      </c>
      <c r="W81" s="58" t="inlineStr">
        <is>
          <t>Mär 28</t>
        </is>
      </c>
      <c r="X81" s="58" t="inlineStr">
        <is>
          <t>Apr 28</t>
        </is>
      </c>
      <c r="Y81" s="58" t="inlineStr">
        <is>
          <t>Mai 28</t>
        </is>
      </c>
      <c r="Z81" s="58" t="inlineStr">
        <is>
          <t>Jun 28</t>
        </is>
      </c>
      <c r="AA81" s="58" t="inlineStr">
        <is>
          <t>Jul 28</t>
        </is>
      </c>
      <c r="AB81" s="58" t="inlineStr">
        <is>
          <t>Aug 28</t>
        </is>
      </c>
      <c r="AC81" s="58" t="inlineStr">
        <is>
          <t>Sep 28</t>
        </is>
      </c>
      <c r="AD81" s="58" t="inlineStr">
        <is>
          <t>Okt 28</t>
        </is>
      </c>
      <c r="AE81" s="58" t="inlineStr">
        <is>
          <t>Nov 28</t>
        </is>
      </c>
      <c r="AF81" s="58" t="inlineStr">
        <is>
          <t>Dez 28</t>
        </is>
      </c>
      <c r="AG81" s="58" t="inlineStr">
        <is>
          <t>Jan 29</t>
        </is>
      </c>
      <c r="AH81" s="58" t="inlineStr">
        <is>
          <t>Feb 29</t>
        </is>
      </c>
      <c r="AI81" s="58" t="inlineStr">
        <is>
          <t>Mär 29</t>
        </is>
      </c>
      <c r="AJ81" s="58" t="inlineStr">
        <is>
          <t>Apr 29</t>
        </is>
      </c>
      <c r="AK81" s="58" t="inlineStr">
        <is>
          <t>Mai 29</t>
        </is>
      </c>
      <c r="AL81" s="58" t="inlineStr">
        <is>
          <t>Jun 29</t>
        </is>
      </c>
      <c r="AM81" s="58" t="inlineStr">
        <is>
          <t>Jul 29</t>
        </is>
      </c>
      <c r="AN81" s="58" t="inlineStr">
        <is>
          <t>Aug 29</t>
        </is>
      </c>
      <c r="AO81" s="58" t="inlineStr">
        <is>
          <t>Sep 29</t>
        </is>
      </c>
      <c r="AP81" s="58" t="inlineStr">
        <is>
          <t>Okt 29</t>
        </is>
      </c>
      <c r="AQ81" s="58" t="inlineStr">
        <is>
          <t>Nov 29</t>
        </is>
      </c>
      <c r="AR81" s="58" t="inlineStr">
        <is>
          <t>Dez 29</t>
        </is>
      </c>
      <c r="AS81" s="58" t="inlineStr">
        <is>
          <t>Jan 30</t>
        </is>
      </c>
      <c r="AT81" s="58" t="inlineStr">
        <is>
          <t>Feb 30</t>
        </is>
      </c>
      <c r="AU81" s="58" t="inlineStr">
        <is>
          <t>Mär 30</t>
        </is>
      </c>
      <c r="AV81" s="58" t="inlineStr">
        <is>
          <t>Apr 30</t>
        </is>
      </c>
      <c r="AW81" s="58" t="inlineStr">
        <is>
          <t>Mai 30</t>
        </is>
      </c>
      <c r="AX81" s="58" t="inlineStr">
        <is>
          <t>Jun 30</t>
        </is>
      </c>
      <c r="AY81" s="58" t="inlineStr">
        <is>
          <t>Jul 30</t>
        </is>
      </c>
      <c r="AZ81" s="58" t="inlineStr">
        <is>
          <t>Aug 30</t>
        </is>
      </c>
      <c r="BA81" s="58" t="inlineStr">
        <is>
          <t>Sep 30</t>
        </is>
      </c>
      <c r="BB81" s="58" t="inlineStr">
        <is>
          <t>Okt 30</t>
        </is>
      </c>
      <c r="BC81" s="58" t="inlineStr">
        <is>
          <t>Nov 30</t>
        </is>
      </c>
      <c r="BD81" s="58" t="inlineStr">
        <is>
          <t>Dez 30</t>
        </is>
      </c>
      <c r="BE81" s="58" t="inlineStr">
        <is>
          <t>Summe H2 26</t>
        </is>
      </c>
      <c r="BF81" s="58" t="inlineStr">
        <is>
          <t>Summe 27</t>
        </is>
      </c>
      <c r="BG81" s="58" t="inlineStr">
        <is>
          <t>Summe 28</t>
        </is>
      </c>
      <c r="BH81" s="58" t="inlineStr">
        <is>
          <t>Summe 29</t>
        </is>
      </c>
      <c r="BI81" s="58" t="inlineStr">
        <is>
          <t>Summe 30</t>
        </is>
      </c>
      <c r="BJ81" s="58" t="inlineStr">
        <is>
          <t>Gesamt</t>
        </is>
      </c>
    </row>
    <row r="82">
      <c r="B82" s="45" t="inlineStr">
        <is>
          <t>EDM – Einnahmen</t>
        </is>
      </c>
      <c r="C82" s="8">
        <f>SUMIFS(tblAuftraege[Kalk.
Einnahmen],tblAuftraege[Datum
Einnahmen],"&gt;="&amp;C$5,tblAuftraege[Datum
Einnahmen],"&lt;"&amp;EDATE(C$5,1),tblAuftraege[Themenfeld],"EDM")</f>
        <v/>
      </c>
      <c r="D82" s="8">
        <f>SUMIFS(tblAuftraege[Kalk.
Einnahmen],tblAuftraege[Datum
Einnahmen],"&gt;="&amp;D$5,tblAuftraege[Datum
Einnahmen],"&lt;"&amp;EDATE(D$5,1),tblAuftraege[Themenfeld],"EDM")</f>
        <v/>
      </c>
      <c r="E82" s="8">
        <f>SUMIFS(tblAuftraege[Kalk.
Einnahmen],tblAuftraege[Datum
Einnahmen],"&gt;="&amp;E$5,tblAuftraege[Datum
Einnahmen],"&lt;"&amp;EDATE(E$5,1),tblAuftraege[Themenfeld],"EDM")</f>
        <v/>
      </c>
      <c r="F82" s="8">
        <f>SUMIFS(tblAuftraege[Kalk.
Einnahmen],tblAuftraege[Datum
Einnahmen],"&gt;="&amp;F$5,tblAuftraege[Datum
Einnahmen],"&lt;"&amp;EDATE(F$5,1),tblAuftraege[Themenfeld],"EDM")</f>
        <v/>
      </c>
      <c r="G82" s="8">
        <f>SUMIFS(tblAuftraege[Kalk.
Einnahmen],tblAuftraege[Datum
Einnahmen],"&gt;="&amp;G$5,tblAuftraege[Datum
Einnahmen],"&lt;"&amp;EDATE(G$5,1),tblAuftraege[Themenfeld],"EDM")</f>
        <v/>
      </c>
      <c r="H82" s="8">
        <f>SUMIFS(tblAuftraege[Kalk.
Einnahmen],tblAuftraege[Datum
Einnahmen],"&gt;="&amp;H$5,tblAuftraege[Datum
Einnahmen],"&lt;"&amp;EDATE(H$5,1),tblAuftraege[Themenfeld],"EDM")</f>
        <v/>
      </c>
      <c r="I82" s="8">
        <f>SUMIFS(tblAuftraege[Kalk.
Einnahmen],tblAuftraege[Datum
Einnahmen],"&gt;="&amp;I$5,tblAuftraege[Datum
Einnahmen],"&lt;"&amp;EDATE(I$5,1),tblAuftraege[Themenfeld],"EDM")</f>
        <v/>
      </c>
      <c r="J82" s="8">
        <f>SUMIFS(tblAuftraege[Kalk.
Einnahmen],tblAuftraege[Datum
Einnahmen],"&gt;="&amp;J$5,tblAuftraege[Datum
Einnahmen],"&lt;"&amp;EDATE(J$5,1),tblAuftraege[Themenfeld],"EDM")</f>
        <v/>
      </c>
      <c r="K82" s="8">
        <f>SUMIFS(tblAuftraege[Kalk.
Einnahmen],tblAuftraege[Datum
Einnahmen],"&gt;="&amp;K$5,tblAuftraege[Datum
Einnahmen],"&lt;"&amp;EDATE(K$5,1),tblAuftraege[Themenfeld],"EDM")</f>
        <v/>
      </c>
      <c r="L82" s="8">
        <f>SUMIFS(tblAuftraege[Kalk.
Einnahmen],tblAuftraege[Datum
Einnahmen],"&gt;="&amp;L$5,tblAuftraege[Datum
Einnahmen],"&lt;"&amp;EDATE(L$5,1),tblAuftraege[Themenfeld],"EDM")</f>
        <v/>
      </c>
      <c r="M82" s="8">
        <f>SUMIFS(tblAuftraege[Kalk.
Einnahmen],tblAuftraege[Datum
Einnahmen],"&gt;="&amp;M$5,tblAuftraege[Datum
Einnahmen],"&lt;"&amp;EDATE(M$5,1),tblAuftraege[Themenfeld],"EDM")</f>
        <v/>
      </c>
      <c r="N82" s="8">
        <f>SUMIFS(tblAuftraege[Kalk.
Einnahmen],tblAuftraege[Datum
Einnahmen],"&gt;="&amp;N$5,tblAuftraege[Datum
Einnahmen],"&lt;"&amp;EDATE(N$5,1),tblAuftraege[Themenfeld],"EDM")</f>
        <v/>
      </c>
      <c r="O82" s="8">
        <f>SUMIFS(tblAuftraege[Kalk.
Einnahmen],tblAuftraege[Datum
Einnahmen],"&gt;="&amp;O$5,tblAuftraege[Datum
Einnahmen],"&lt;"&amp;EDATE(O$5,1),tblAuftraege[Themenfeld],"EDM")</f>
        <v/>
      </c>
      <c r="P82" s="8">
        <f>SUMIFS(tblAuftraege[Kalk.
Einnahmen],tblAuftraege[Datum
Einnahmen],"&gt;="&amp;P$5,tblAuftraege[Datum
Einnahmen],"&lt;"&amp;EDATE(P$5,1),tblAuftraege[Themenfeld],"EDM")</f>
        <v/>
      </c>
      <c r="Q82" s="8">
        <f>SUMIFS(tblAuftraege[Kalk.
Einnahmen],tblAuftraege[Datum
Einnahmen],"&gt;="&amp;Q$5,tblAuftraege[Datum
Einnahmen],"&lt;"&amp;EDATE(Q$5,1),tblAuftraege[Themenfeld],"EDM")</f>
        <v/>
      </c>
      <c r="R82" s="8">
        <f>SUMIFS(tblAuftraege[Kalk.
Einnahmen],tblAuftraege[Datum
Einnahmen],"&gt;="&amp;R$5,tblAuftraege[Datum
Einnahmen],"&lt;"&amp;EDATE(R$5,1),tblAuftraege[Themenfeld],"EDM")</f>
        <v/>
      </c>
      <c r="S82" s="8">
        <f>SUMIFS(tblAuftraege[Kalk.
Einnahmen],tblAuftraege[Datum
Einnahmen],"&gt;="&amp;S$5,tblAuftraege[Datum
Einnahmen],"&lt;"&amp;EDATE(S$5,1),tblAuftraege[Themenfeld],"EDM")</f>
        <v/>
      </c>
      <c r="T82" s="8">
        <f>SUMIFS(tblAuftraege[Kalk.
Einnahmen],tblAuftraege[Datum
Einnahmen],"&gt;="&amp;T$5,tblAuftraege[Datum
Einnahmen],"&lt;"&amp;EDATE(T$5,1),tblAuftraege[Themenfeld],"EDM")</f>
        <v/>
      </c>
      <c r="U82" s="8">
        <f>SUMIFS(tblAuftraege[Kalk.
Einnahmen],tblAuftraege[Datum
Einnahmen],"&gt;="&amp;U$5,tblAuftraege[Datum
Einnahmen],"&lt;"&amp;EDATE(U$5,1),tblAuftraege[Themenfeld],"EDM")</f>
        <v/>
      </c>
      <c r="V82" s="8">
        <f>SUMIFS(tblAuftraege[Kalk.
Einnahmen],tblAuftraege[Datum
Einnahmen],"&gt;="&amp;V$5,tblAuftraege[Datum
Einnahmen],"&lt;"&amp;EDATE(V$5,1),tblAuftraege[Themenfeld],"EDM")</f>
        <v/>
      </c>
      <c r="W82" s="8">
        <f>SUMIFS(tblAuftraege[Kalk.
Einnahmen],tblAuftraege[Datum
Einnahmen],"&gt;="&amp;W$5,tblAuftraege[Datum
Einnahmen],"&lt;"&amp;EDATE(W$5,1),tblAuftraege[Themenfeld],"EDM")</f>
        <v/>
      </c>
      <c r="X82" s="8">
        <f>SUMIFS(tblAuftraege[Kalk.
Einnahmen],tblAuftraege[Datum
Einnahmen],"&gt;="&amp;X$5,tblAuftraege[Datum
Einnahmen],"&lt;"&amp;EDATE(X$5,1),tblAuftraege[Themenfeld],"EDM")</f>
        <v/>
      </c>
      <c r="Y82" s="8">
        <f>SUMIFS(tblAuftraege[Kalk.
Einnahmen],tblAuftraege[Datum
Einnahmen],"&gt;="&amp;Y$5,tblAuftraege[Datum
Einnahmen],"&lt;"&amp;EDATE(Y$5,1),tblAuftraege[Themenfeld],"EDM")</f>
        <v/>
      </c>
      <c r="Z82" s="8">
        <f>SUMIFS(tblAuftraege[Kalk.
Einnahmen],tblAuftraege[Datum
Einnahmen],"&gt;="&amp;Z$5,tblAuftraege[Datum
Einnahmen],"&lt;"&amp;EDATE(Z$5,1),tblAuftraege[Themenfeld],"EDM")</f>
        <v/>
      </c>
      <c r="AA82" s="8">
        <f>SUMIFS(tblAuftraege[Kalk.
Einnahmen],tblAuftraege[Datum
Einnahmen],"&gt;="&amp;AA$5,tblAuftraege[Datum
Einnahmen],"&lt;"&amp;EDATE(AA$5,1),tblAuftraege[Themenfeld],"EDM")</f>
        <v/>
      </c>
      <c r="AB82" s="8">
        <f>SUMIFS(tblAuftraege[Kalk.
Einnahmen],tblAuftraege[Datum
Einnahmen],"&gt;="&amp;AB$5,tblAuftraege[Datum
Einnahmen],"&lt;"&amp;EDATE(AB$5,1),tblAuftraege[Themenfeld],"EDM")</f>
        <v/>
      </c>
      <c r="AC82" s="8">
        <f>SUMIFS(tblAuftraege[Kalk.
Einnahmen],tblAuftraege[Datum
Einnahmen],"&gt;="&amp;AC$5,tblAuftraege[Datum
Einnahmen],"&lt;"&amp;EDATE(AC$5,1),tblAuftraege[Themenfeld],"EDM")</f>
        <v/>
      </c>
      <c r="AD82" s="8">
        <f>SUMIFS(tblAuftraege[Kalk.
Einnahmen],tblAuftraege[Datum
Einnahmen],"&gt;="&amp;AD$5,tblAuftraege[Datum
Einnahmen],"&lt;"&amp;EDATE(AD$5,1),tblAuftraege[Themenfeld],"EDM")</f>
        <v/>
      </c>
      <c r="AE82" s="8">
        <f>SUMIFS(tblAuftraege[Kalk.
Einnahmen],tblAuftraege[Datum
Einnahmen],"&gt;="&amp;AE$5,tblAuftraege[Datum
Einnahmen],"&lt;"&amp;EDATE(AE$5,1),tblAuftraege[Themenfeld],"EDM")</f>
        <v/>
      </c>
      <c r="AF82" s="8">
        <f>SUMIFS(tblAuftraege[Kalk.
Einnahmen],tblAuftraege[Datum
Einnahmen],"&gt;="&amp;AF$5,tblAuftraege[Datum
Einnahmen],"&lt;"&amp;EDATE(AF$5,1),tblAuftraege[Themenfeld],"EDM")</f>
        <v/>
      </c>
      <c r="AG82" s="8">
        <f>SUMIFS(tblAuftraege[Kalk.
Einnahmen],tblAuftraege[Datum
Einnahmen],"&gt;="&amp;AG$5,tblAuftraege[Datum
Einnahmen],"&lt;"&amp;EDATE(AG$5,1),tblAuftraege[Themenfeld],"EDM")</f>
        <v/>
      </c>
      <c r="AH82" s="8">
        <f>SUMIFS(tblAuftraege[Kalk.
Einnahmen],tblAuftraege[Datum
Einnahmen],"&gt;="&amp;AH$5,tblAuftraege[Datum
Einnahmen],"&lt;"&amp;EDATE(AH$5,1),tblAuftraege[Themenfeld],"EDM")</f>
        <v/>
      </c>
      <c r="AI82" s="8">
        <f>SUMIFS(tblAuftraege[Kalk.
Einnahmen],tblAuftraege[Datum
Einnahmen],"&gt;="&amp;AI$5,tblAuftraege[Datum
Einnahmen],"&lt;"&amp;EDATE(AI$5,1),tblAuftraege[Themenfeld],"EDM")</f>
        <v/>
      </c>
      <c r="AJ82" s="8">
        <f>SUMIFS(tblAuftraege[Kalk.
Einnahmen],tblAuftraege[Datum
Einnahmen],"&gt;="&amp;AJ$5,tblAuftraege[Datum
Einnahmen],"&lt;"&amp;EDATE(AJ$5,1),tblAuftraege[Themenfeld],"EDM")</f>
        <v/>
      </c>
      <c r="AK82" s="8">
        <f>SUMIFS(tblAuftraege[Kalk.
Einnahmen],tblAuftraege[Datum
Einnahmen],"&gt;="&amp;AK$5,tblAuftraege[Datum
Einnahmen],"&lt;"&amp;EDATE(AK$5,1),tblAuftraege[Themenfeld],"EDM")</f>
        <v/>
      </c>
      <c r="AL82" s="8">
        <f>SUMIFS(tblAuftraege[Kalk.
Einnahmen],tblAuftraege[Datum
Einnahmen],"&gt;="&amp;AL$5,tblAuftraege[Datum
Einnahmen],"&lt;"&amp;EDATE(AL$5,1),tblAuftraege[Themenfeld],"EDM")</f>
        <v/>
      </c>
      <c r="AM82" s="8">
        <f>SUMIFS(tblAuftraege[Kalk.
Einnahmen],tblAuftraege[Datum
Einnahmen],"&gt;="&amp;AM$5,tblAuftraege[Datum
Einnahmen],"&lt;"&amp;EDATE(AM$5,1),tblAuftraege[Themenfeld],"EDM")</f>
        <v/>
      </c>
      <c r="AN82" s="8">
        <f>SUMIFS(tblAuftraege[Kalk.
Einnahmen],tblAuftraege[Datum
Einnahmen],"&gt;="&amp;AN$5,tblAuftraege[Datum
Einnahmen],"&lt;"&amp;EDATE(AN$5,1),tblAuftraege[Themenfeld],"EDM")</f>
        <v/>
      </c>
      <c r="AO82" s="8">
        <f>SUMIFS(tblAuftraege[Kalk.
Einnahmen],tblAuftraege[Datum
Einnahmen],"&gt;="&amp;AO$5,tblAuftraege[Datum
Einnahmen],"&lt;"&amp;EDATE(AO$5,1),tblAuftraege[Themenfeld],"EDM")</f>
        <v/>
      </c>
      <c r="AP82" s="8">
        <f>SUMIFS(tblAuftraege[Kalk.
Einnahmen],tblAuftraege[Datum
Einnahmen],"&gt;="&amp;AP$5,tblAuftraege[Datum
Einnahmen],"&lt;"&amp;EDATE(AP$5,1),tblAuftraege[Themenfeld],"EDM")</f>
        <v/>
      </c>
      <c r="AQ82" s="8">
        <f>SUMIFS(tblAuftraege[Kalk.
Einnahmen],tblAuftraege[Datum
Einnahmen],"&gt;="&amp;AQ$5,tblAuftraege[Datum
Einnahmen],"&lt;"&amp;EDATE(AQ$5,1),tblAuftraege[Themenfeld],"EDM")</f>
        <v/>
      </c>
      <c r="AR82" s="8">
        <f>SUMIFS(tblAuftraege[Kalk.
Einnahmen],tblAuftraege[Datum
Einnahmen],"&gt;="&amp;AR$5,tblAuftraege[Datum
Einnahmen],"&lt;"&amp;EDATE(AR$5,1),tblAuftraege[Themenfeld],"EDM")</f>
        <v/>
      </c>
      <c r="AS82" s="8">
        <f>SUMIFS(tblAuftraege[Kalk.
Einnahmen],tblAuftraege[Datum
Einnahmen],"&gt;="&amp;AS$5,tblAuftraege[Datum
Einnahmen],"&lt;"&amp;EDATE(AS$5,1),tblAuftraege[Themenfeld],"EDM")</f>
        <v/>
      </c>
      <c r="AT82" s="8">
        <f>SUMIFS(tblAuftraege[Kalk.
Einnahmen],tblAuftraege[Datum
Einnahmen],"&gt;="&amp;AT$5,tblAuftraege[Datum
Einnahmen],"&lt;"&amp;EDATE(AT$5,1),tblAuftraege[Themenfeld],"EDM")</f>
        <v/>
      </c>
      <c r="AU82" s="8">
        <f>SUMIFS(tblAuftraege[Kalk.
Einnahmen],tblAuftraege[Datum
Einnahmen],"&gt;="&amp;AU$5,tblAuftraege[Datum
Einnahmen],"&lt;"&amp;EDATE(AU$5,1),tblAuftraege[Themenfeld],"EDM")</f>
        <v/>
      </c>
      <c r="AV82" s="8">
        <f>SUMIFS(tblAuftraege[Kalk.
Einnahmen],tblAuftraege[Datum
Einnahmen],"&gt;="&amp;AV$5,tblAuftraege[Datum
Einnahmen],"&lt;"&amp;EDATE(AV$5,1),tblAuftraege[Themenfeld],"EDM")</f>
        <v/>
      </c>
      <c r="AW82" s="8">
        <f>SUMIFS(tblAuftraege[Kalk.
Einnahmen],tblAuftraege[Datum
Einnahmen],"&gt;="&amp;AW$5,tblAuftraege[Datum
Einnahmen],"&lt;"&amp;EDATE(AW$5,1),tblAuftraege[Themenfeld],"EDM")</f>
        <v/>
      </c>
      <c r="AX82" s="8">
        <f>SUMIFS(tblAuftraege[Kalk.
Einnahmen],tblAuftraege[Datum
Einnahmen],"&gt;="&amp;AX$5,tblAuftraege[Datum
Einnahmen],"&lt;"&amp;EDATE(AX$5,1),tblAuftraege[Themenfeld],"EDM")</f>
        <v/>
      </c>
      <c r="AY82" s="8">
        <f>SUMIFS(tblAuftraege[Kalk.
Einnahmen],tblAuftraege[Datum
Einnahmen],"&gt;="&amp;AY$5,tblAuftraege[Datum
Einnahmen],"&lt;"&amp;EDATE(AY$5,1),tblAuftraege[Themenfeld],"EDM")</f>
        <v/>
      </c>
      <c r="AZ82" s="8">
        <f>SUMIFS(tblAuftraege[Kalk.
Einnahmen],tblAuftraege[Datum
Einnahmen],"&gt;="&amp;AZ$5,tblAuftraege[Datum
Einnahmen],"&lt;"&amp;EDATE(AZ$5,1),tblAuftraege[Themenfeld],"EDM")</f>
        <v/>
      </c>
      <c r="BA82" s="8">
        <f>SUMIFS(tblAuftraege[Kalk.
Einnahmen],tblAuftraege[Datum
Einnahmen],"&gt;="&amp;BA$5,tblAuftraege[Datum
Einnahmen],"&lt;"&amp;EDATE(BA$5,1),tblAuftraege[Themenfeld],"EDM")</f>
        <v/>
      </c>
      <c r="BB82" s="8">
        <f>SUMIFS(tblAuftraege[Kalk.
Einnahmen],tblAuftraege[Datum
Einnahmen],"&gt;="&amp;BB$5,tblAuftraege[Datum
Einnahmen],"&lt;"&amp;EDATE(BB$5,1),tblAuftraege[Themenfeld],"EDM")</f>
        <v/>
      </c>
      <c r="BC82" s="8">
        <f>SUMIFS(tblAuftraege[Kalk.
Einnahmen],tblAuftraege[Datum
Einnahmen],"&gt;="&amp;BC$5,tblAuftraege[Datum
Einnahmen],"&lt;"&amp;EDATE(BC$5,1),tblAuftraege[Themenfeld],"EDM")</f>
        <v/>
      </c>
      <c r="BD82" s="8">
        <f>SUMIFS(tblAuftraege[Kalk.
Einnahmen],tblAuftraege[Datum
Einnahmen],"&gt;="&amp;BD$5,tblAuftraege[Datum
Einnahmen],"&lt;"&amp;EDATE(BD$5,1),tblAuftraege[Themenfeld],"EDM")</f>
        <v/>
      </c>
      <c r="BE82" s="8">
        <f>SUM(C82:H82)</f>
        <v/>
      </c>
      <c r="BF82" s="8">
        <f>SUM(I82:T82)</f>
        <v/>
      </c>
      <c r="BG82" s="8">
        <f>SUM(U82:AF82)</f>
        <v/>
      </c>
      <c r="BH82" s="8">
        <f>SUM(AG82:AR82)</f>
        <v/>
      </c>
      <c r="BI82" s="8">
        <f>SUM(AS82:BD82)</f>
        <v/>
      </c>
      <c r="BJ82" s="8">
        <f>SUM(C82:BD82)</f>
        <v/>
      </c>
    </row>
    <row r="83">
      <c r="B83" s="45" t="inlineStr">
        <is>
          <t>EDM – Ausgaben</t>
        </is>
      </c>
      <c r="C83" s="37">
        <f>SUMIFS(tblAuftraege[Kalk.
Ausgaben],tblAuftraege[Datum
Ausgaben],"&gt;="&amp;C$5,tblAuftraege[Datum
Ausgaben],"&lt;"&amp;EDATE(C$5,1),tblAuftraege[Themenfeld],"EDM")</f>
        <v/>
      </c>
      <c r="D83" s="37">
        <f>SUMIFS(tblAuftraege[Kalk.
Ausgaben],tblAuftraege[Datum
Ausgaben],"&gt;="&amp;D$5,tblAuftraege[Datum
Ausgaben],"&lt;"&amp;EDATE(D$5,1),tblAuftraege[Themenfeld],"EDM")</f>
        <v/>
      </c>
      <c r="E83" s="37">
        <f>SUMIFS(tblAuftraege[Kalk.
Ausgaben],tblAuftraege[Datum
Ausgaben],"&gt;="&amp;E$5,tblAuftraege[Datum
Ausgaben],"&lt;"&amp;EDATE(E$5,1),tblAuftraege[Themenfeld],"EDM")</f>
        <v/>
      </c>
      <c r="F83" s="37">
        <f>SUMIFS(tblAuftraege[Kalk.
Ausgaben],tblAuftraege[Datum
Ausgaben],"&gt;="&amp;F$5,tblAuftraege[Datum
Ausgaben],"&lt;"&amp;EDATE(F$5,1),tblAuftraege[Themenfeld],"EDM")</f>
        <v/>
      </c>
      <c r="G83" s="37">
        <f>SUMIFS(tblAuftraege[Kalk.
Ausgaben],tblAuftraege[Datum
Ausgaben],"&gt;="&amp;G$5,tblAuftraege[Datum
Ausgaben],"&lt;"&amp;EDATE(G$5,1),tblAuftraege[Themenfeld],"EDM")</f>
        <v/>
      </c>
      <c r="H83" s="37">
        <f>SUMIFS(tblAuftraege[Kalk.
Ausgaben],tblAuftraege[Datum
Ausgaben],"&gt;="&amp;H$5,tblAuftraege[Datum
Ausgaben],"&lt;"&amp;EDATE(H$5,1),tblAuftraege[Themenfeld],"EDM")</f>
        <v/>
      </c>
      <c r="I83" s="37">
        <f>SUMIFS(tblAuftraege[Kalk.
Ausgaben],tblAuftraege[Datum
Ausgaben],"&gt;="&amp;I$5,tblAuftraege[Datum
Ausgaben],"&lt;"&amp;EDATE(I$5,1),tblAuftraege[Themenfeld],"EDM")</f>
        <v/>
      </c>
      <c r="J83" s="37">
        <f>SUMIFS(tblAuftraege[Kalk.
Ausgaben],tblAuftraege[Datum
Ausgaben],"&gt;="&amp;J$5,tblAuftraege[Datum
Ausgaben],"&lt;"&amp;EDATE(J$5,1),tblAuftraege[Themenfeld],"EDM")</f>
        <v/>
      </c>
      <c r="K83" s="37">
        <f>SUMIFS(tblAuftraege[Kalk.
Ausgaben],tblAuftraege[Datum
Ausgaben],"&gt;="&amp;K$5,tblAuftraege[Datum
Ausgaben],"&lt;"&amp;EDATE(K$5,1),tblAuftraege[Themenfeld],"EDM")</f>
        <v/>
      </c>
      <c r="L83" s="37">
        <f>SUMIFS(tblAuftraege[Kalk.
Ausgaben],tblAuftraege[Datum
Ausgaben],"&gt;="&amp;L$5,tblAuftraege[Datum
Ausgaben],"&lt;"&amp;EDATE(L$5,1),tblAuftraege[Themenfeld],"EDM")</f>
        <v/>
      </c>
      <c r="M83" s="37">
        <f>SUMIFS(tblAuftraege[Kalk.
Ausgaben],tblAuftraege[Datum
Ausgaben],"&gt;="&amp;M$5,tblAuftraege[Datum
Ausgaben],"&lt;"&amp;EDATE(M$5,1),tblAuftraege[Themenfeld],"EDM")</f>
        <v/>
      </c>
      <c r="N83" s="37">
        <f>SUMIFS(tblAuftraege[Kalk.
Ausgaben],tblAuftraege[Datum
Ausgaben],"&gt;="&amp;N$5,tblAuftraege[Datum
Ausgaben],"&lt;"&amp;EDATE(N$5,1),tblAuftraege[Themenfeld],"EDM")</f>
        <v/>
      </c>
      <c r="O83" s="37">
        <f>SUMIFS(tblAuftraege[Kalk.
Ausgaben],tblAuftraege[Datum
Ausgaben],"&gt;="&amp;O$5,tblAuftraege[Datum
Ausgaben],"&lt;"&amp;EDATE(O$5,1),tblAuftraege[Themenfeld],"EDM")</f>
        <v/>
      </c>
      <c r="P83" s="37">
        <f>SUMIFS(tblAuftraege[Kalk.
Ausgaben],tblAuftraege[Datum
Ausgaben],"&gt;="&amp;P$5,tblAuftraege[Datum
Ausgaben],"&lt;"&amp;EDATE(P$5,1),tblAuftraege[Themenfeld],"EDM")</f>
        <v/>
      </c>
      <c r="Q83" s="37">
        <f>SUMIFS(tblAuftraege[Kalk.
Ausgaben],tblAuftraege[Datum
Ausgaben],"&gt;="&amp;Q$5,tblAuftraege[Datum
Ausgaben],"&lt;"&amp;EDATE(Q$5,1),tblAuftraege[Themenfeld],"EDM")</f>
        <v/>
      </c>
      <c r="R83" s="37">
        <f>SUMIFS(tblAuftraege[Kalk.
Ausgaben],tblAuftraege[Datum
Ausgaben],"&gt;="&amp;R$5,tblAuftraege[Datum
Ausgaben],"&lt;"&amp;EDATE(R$5,1),tblAuftraege[Themenfeld],"EDM")</f>
        <v/>
      </c>
      <c r="S83" s="37">
        <f>SUMIFS(tblAuftraege[Kalk.
Ausgaben],tblAuftraege[Datum
Ausgaben],"&gt;="&amp;S$5,tblAuftraege[Datum
Ausgaben],"&lt;"&amp;EDATE(S$5,1),tblAuftraege[Themenfeld],"EDM")</f>
        <v/>
      </c>
      <c r="T83" s="37">
        <f>SUMIFS(tblAuftraege[Kalk.
Ausgaben],tblAuftraege[Datum
Ausgaben],"&gt;="&amp;T$5,tblAuftraege[Datum
Ausgaben],"&lt;"&amp;EDATE(T$5,1),tblAuftraege[Themenfeld],"EDM")</f>
        <v/>
      </c>
      <c r="U83" s="37">
        <f>SUMIFS(tblAuftraege[Kalk.
Ausgaben],tblAuftraege[Datum
Ausgaben],"&gt;="&amp;U$5,tblAuftraege[Datum
Ausgaben],"&lt;"&amp;EDATE(U$5,1),tblAuftraege[Themenfeld],"EDM")</f>
        <v/>
      </c>
      <c r="V83" s="37">
        <f>SUMIFS(tblAuftraege[Kalk.
Ausgaben],tblAuftraege[Datum
Ausgaben],"&gt;="&amp;V$5,tblAuftraege[Datum
Ausgaben],"&lt;"&amp;EDATE(V$5,1),tblAuftraege[Themenfeld],"EDM")</f>
        <v/>
      </c>
      <c r="W83" s="37">
        <f>SUMIFS(tblAuftraege[Kalk.
Ausgaben],tblAuftraege[Datum
Ausgaben],"&gt;="&amp;W$5,tblAuftraege[Datum
Ausgaben],"&lt;"&amp;EDATE(W$5,1),tblAuftraege[Themenfeld],"EDM")</f>
        <v/>
      </c>
      <c r="X83" s="37">
        <f>SUMIFS(tblAuftraege[Kalk.
Ausgaben],tblAuftraege[Datum
Ausgaben],"&gt;="&amp;X$5,tblAuftraege[Datum
Ausgaben],"&lt;"&amp;EDATE(X$5,1),tblAuftraege[Themenfeld],"EDM")</f>
        <v/>
      </c>
      <c r="Y83" s="37">
        <f>SUMIFS(tblAuftraege[Kalk.
Ausgaben],tblAuftraege[Datum
Ausgaben],"&gt;="&amp;Y$5,tblAuftraege[Datum
Ausgaben],"&lt;"&amp;EDATE(Y$5,1),tblAuftraege[Themenfeld],"EDM")</f>
        <v/>
      </c>
      <c r="Z83" s="37">
        <f>SUMIFS(tblAuftraege[Kalk.
Ausgaben],tblAuftraege[Datum
Ausgaben],"&gt;="&amp;Z$5,tblAuftraege[Datum
Ausgaben],"&lt;"&amp;EDATE(Z$5,1),tblAuftraege[Themenfeld],"EDM")</f>
        <v/>
      </c>
      <c r="AA83" s="37">
        <f>SUMIFS(tblAuftraege[Kalk.
Ausgaben],tblAuftraege[Datum
Ausgaben],"&gt;="&amp;AA$5,tblAuftraege[Datum
Ausgaben],"&lt;"&amp;EDATE(AA$5,1),tblAuftraege[Themenfeld],"EDM")</f>
        <v/>
      </c>
      <c r="AB83" s="37">
        <f>SUMIFS(tblAuftraege[Kalk.
Ausgaben],tblAuftraege[Datum
Ausgaben],"&gt;="&amp;AB$5,tblAuftraege[Datum
Ausgaben],"&lt;"&amp;EDATE(AB$5,1),tblAuftraege[Themenfeld],"EDM")</f>
        <v/>
      </c>
      <c r="AC83" s="37">
        <f>SUMIFS(tblAuftraege[Kalk.
Ausgaben],tblAuftraege[Datum
Ausgaben],"&gt;="&amp;AC$5,tblAuftraege[Datum
Ausgaben],"&lt;"&amp;EDATE(AC$5,1),tblAuftraege[Themenfeld],"EDM")</f>
        <v/>
      </c>
      <c r="AD83" s="37">
        <f>SUMIFS(tblAuftraege[Kalk.
Ausgaben],tblAuftraege[Datum
Ausgaben],"&gt;="&amp;AD$5,tblAuftraege[Datum
Ausgaben],"&lt;"&amp;EDATE(AD$5,1),tblAuftraege[Themenfeld],"EDM")</f>
        <v/>
      </c>
      <c r="AE83" s="37">
        <f>SUMIFS(tblAuftraege[Kalk.
Ausgaben],tblAuftraege[Datum
Ausgaben],"&gt;="&amp;AE$5,tblAuftraege[Datum
Ausgaben],"&lt;"&amp;EDATE(AE$5,1),tblAuftraege[Themenfeld],"EDM")</f>
        <v/>
      </c>
      <c r="AF83" s="37">
        <f>SUMIFS(tblAuftraege[Kalk.
Ausgaben],tblAuftraege[Datum
Ausgaben],"&gt;="&amp;AF$5,tblAuftraege[Datum
Ausgaben],"&lt;"&amp;EDATE(AF$5,1),tblAuftraege[Themenfeld],"EDM")</f>
        <v/>
      </c>
      <c r="AG83" s="37">
        <f>SUMIFS(tblAuftraege[Kalk.
Ausgaben],tblAuftraege[Datum
Ausgaben],"&gt;="&amp;AG$5,tblAuftraege[Datum
Ausgaben],"&lt;"&amp;EDATE(AG$5,1),tblAuftraege[Themenfeld],"EDM")</f>
        <v/>
      </c>
      <c r="AH83" s="37">
        <f>SUMIFS(tblAuftraege[Kalk.
Ausgaben],tblAuftraege[Datum
Ausgaben],"&gt;="&amp;AH$5,tblAuftraege[Datum
Ausgaben],"&lt;"&amp;EDATE(AH$5,1),tblAuftraege[Themenfeld],"EDM")</f>
        <v/>
      </c>
      <c r="AI83" s="37">
        <f>SUMIFS(tblAuftraege[Kalk.
Ausgaben],tblAuftraege[Datum
Ausgaben],"&gt;="&amp;AI$5,tblAuftraege[Datum
Ausgaben],"&lt;"&amp;EDATE(AI$5,1),tblAuftraege[Themenfeld],"EDM")</f>
        <v/>
      </c>
      <c r="AJ83" s="37">
        <f>SUMIFS(tblAuftraege[Kalk.
Ausgaben],tblAuftraege[Datum
Ausgaben],"&gt;="&amp;AJ$5,tblAuftraege[Datum
Ausgaben],"&lt;"&amp;EDATE(AJ$5,1),tblAuftraege[Themenfeld],"EDM")</f>
        <v/>
      </c>
      <c r="AK83" s="37">
        <f>SUMIFS(tblAuftraege[Kalk.
Ausgaben],tblAuftraege[Datum
Ausgaben],"&gt;="&amp;AK$5,tblAuftraege[Datum
Ausgaben],"&lt;"&amp;EDATE(AK$5,1),tblAuftraege[Themenfeld],"EDM")</f>
        <v/>
      </c>
      <c r="AL83" s="37">
        <f>SUMIFS(tblAuftraege[Kalk.
Ausgaben],tblAuftraege[Datum
Ausgaben],"&gt;="&amp;AL$5,tblAuftraege[Datum
Ausgaben],"&lt;"&amp;EDATE(AL$5,1),tblAuftraege[Themenfeld],"EDM")</f>
        <v/>
      </c>
      <c r="AM83" s="37">
        <f>SUMIFS(tblAuftraege[Kalk.
Ausgaben],tblAuftraege[Datum
Ausgaben],"&gt;="&amp;AM$5,tblAuftraege[Datum
Ausgaben],"&lt;"&amp;EDATE(AM$5,1),tblAuftraege[Themenfeld],"EDM")</f>
        <v/>
      </c>
      <c r="AN83" s="37">
        <f>SUMIFS(tblAuftraege[Kalk.
Ausgaben],tblAuftraege[Datum
Ausgaben],"&gt;="&amp;AN$5,tblAuftraege[Datum
Ausgaben],"&lt;"&amp;EDATE(AN$5,1),tblAuftraege[Themenfeld],"EDM")</f>
        <v/>
      </c>
      <c r="AO83" s="37">
        <f>SUMIFS(tblAuftraege[Kalk.
Ausgaben],tblAuftraege[Datum
Ausgaben],"&gt;="&amp;AO$5,tblAuftraege[Datum
Ausgaben],"&lt;"&amp;EDATE(AO$5,1),tblAuftraege[Themenfeld],"EDM")</f>
        <v/>
      </c>
      <c r="AP83" s="37">
        <f>SUMIFS(tblAuftraege[Kalk.
Ausgaben],tblAuftraege[Datum
Ausgaben],"&gt;="&amp;AP$5,tblAuftraege[Datum
Ausgaben],"&lt;"&amp;EDATE(AP$5,1),tblAuftraege[Themenfeld],"EDM")</f>
        <v/>
      </c>
      <c r="AQ83" s="37">
        <f>SUMIFS(tblAuftraege[Kalk.
Ausgaben],tblAuftraege[Datum
Ausgaben],"&gt;="&amp;AQ$5,tblAuftraege[Datum
Ausgaben],"&lt;"&amp;EDATE(AQ$5,1),tblAuftraege[Themenfeld],"EDM")</f>
        <v/>
      </c>
      <c r="AR83" s="37">
        <f>SUMIFS(tblAuftraege[Kalk.
Ausgaben],tblAuftraege[Datum
Ausgaben],"&gt;="&amp;AR$5,tblAuftraege[Datum
Ausgaben],"&lt;"&amp;EDATE(AR$5,1),tblAuftraege[Themenfeld],"EDM")</f>
        <v/>
      </c>
      <c r="AS83" s="37">
        <f>SUMIFS(tblAuftraege[Kalk.
Ausgaben],tblAuftraege[Datum
Ausgaben],"&gt;="&amp;AS$5,tblAuftraege[Datum
Ausgaben],"&lt;"&amp;EDATE(AS$5,1),tblAuftraege[Themenfeld],"EDM")</f>
        <v/>
      </c>
      <c r="AT83" s="37">
        <f>SUMIFS(tblAuftraege[Kalk.
Ausgaben],tblAuftraege[Datum
Ausgaben],"&gt;="&amp;AT$5,tblAuftraege[Datum
Ausgaben],"&lt;"&amp;EDATE(AT$5,1),tblAuftraege[Themenfeld],"EDM")</f>
        <v/>
      </c>
      <c r="AU83" s="37">
        <f>SUMIFS(tblAuftraege[Kalk.
Ausgaben],tblAuftraege[Datum
Ausgaben],"&gt;="&amp;AU$5,tblAuftraege[Datum
Ausgaben],"&lt;"&amp;EDATE(AU$5,1),tblAuftraege[Themenfeld],"EDM")</f>
        <v/>
      </c>
      <c r="AV83" s="37">
        <f>SUMIFS(tblAuftraege[Kalk.
Ausgaben],tblAuftraege[Datum
Ausgaben],"&gt;="&amp;AV$5,tblAuftraege[Datum
Ausgaben],"&lt;"&amp;EDATE(AV$5,1),tblAuftraege[Themenfeld],"EDM")</f>
        <v/>
      </c>
      <c r="AW83" s="37">
        <f>SUMIFS(tblAuftraege[Kalk.
Ausgaben],tblAuftraege[Datum
Ausgaben],"&gt;="&amp;AW$5,tblAuftraege[Datum
Ausgaben],"&lt;"&amp;EDATE(AW$5,1),tblAuftraege[Themenfeld],"EDM")</f>
        <v/>
      </c>
      <c r="AX83" s="37">
        <f>SUMIFS(tblAuftraege[Kalk.
Ausgaben],tblAuftraege[Datum
Ausgaben],"&gt;="&amp;AX$5,tblAuftraege[Datum
Ausgaben],"&lt;"&amp;EDATE(AX$5,1),tblAuftraege[Themenfeld],"EDM")</f>
        <v/>
      </c>
      <c r="AY83" s="37">
        <f>SUMIFS(tblAuftraege[Kalk.
Ausgaben],tblAuftraege[Datum
Ausgaben],"&gt;="&amp;AY$5,tblAuftraege[Datum
Ausgaben],"&lt;"&amp;EDATE(AY$5,1),tblAuftraege[Themenfeld],"EDM")</f>
        <v/>
      </c>
      <c r="AZ83" s="37">
        <f>SUMIFS(tblAuftraege[Kalk.
Ausgaben],tblAuftraege[Datum
Ausgaben],"&gt;="&amp;AZ$5,tblAuftraege[Datum
Ausgaben],"&lt;"&amp;EDATE(AZ$5,1),tblAuftraege[Themenfeld],"EDM")</f>
        <v/>
      </c>
      <c r="BA83" s="37">
        <f>SUMIFS(tblAuftraege[Kalk.
Ausgaben],tblAuftraege[Datum
Ausgaben],"&gt;="&amp;BA$5,tblAuftraege[Datum
Ausgaben],"&lt;"&amp;EDATE(BA$5,1),tblAuftraege[Themenfeld],"EDM")</f>
        <v/>
      </c>
      <c r="BB83" s="37">
        <f>SUMIFS(tblAuftraege[Kalk.
Ausgaben],tblAuftraege[Datum
Ausgaben],"&gt;="&amp;BB$5,tblAuftraege[Datum
Ausgaben],"&lt;"&amp;EDATE(BB$5,1),tblAuftraege[Themenfeld],"EDM")</f>
        <v/>
      </c>
      <c r="BC83" s="37">
        <f>SUMIFS(tblAuftraege[Kalk.
Ausgaben],tblAuftraege[Datum
Ausgaben],"&gt;="&amp;BC$5,tblAuftraege[Datum
Ausgaben],"&lt;"&amp;EDATE(BC$5,1),tblAuftraege[Themenfeld],"EDM")</f>
        <v/>
      </c>
      <c r="BD83" s="37">
        <f>SUMIFS(tblAuftraege[Kalk.
Ausgaben],tblAuftraege[Datum
Ausgaben],"&gt;="&amp;BD$5,tblAuftraege[Datum
Ausgaben],"&lt;"&amp;EDATE(BD$5,1),tblAuftraege[Themenfeld],"EDM")</f>
        <v/>
      </c>
      <c r="BE83" s="37">
        <f>SUM(C83:H83)</f>
        <v/>
      </c>
      <c r="BF83" s="37">
        <f>SUM(I83:T83)</f>
        <v/>
      </c>
      <c r="BG83" s="37">
        <f>SUM(U83:AF83)</f>
        <v/>
      </c>
      <c r="BH83" s="37">
        <f>SUM(AG83:AR83)</f>
        <v/>
      </c>
      <c r="BI83" s="37">
        <f>SUM(AS83:BD83)</f>
        <v/>
      </c>
      <c r="BJ83" s="37">
        <f>SUM(C83:BD83)</f>
        <v/>
      </c>
    </row>
    <row r="84">
      <c r="B84" s="45" t="inlineStr">
        <is>
          <t>LLM – Einnahmen</t>
        </is>
      </c>
      <c r="C84" s="8">
        <f>SUMIFS(tblAuftraege[Kalk.
Einnahmen],tblAuftraege[Datum
Einnahmen],"&gt;="&amp;C$5,tblAuftraege[Datum
Einnahmen],"&lt;"&amp;EDATE(C$5,1),tblAuftraege[Themenfeld],"LLM")</f>
        <v/>
      </c>
      <c r="D84" s="8">
        <f>SUMIFS(tblAuftraege[Kalk.
Einnahmen],tblAuftraege[Datum
Einnahmen],"&gt;="&amp;D$5,tblAuftraege[Datum
Einnahmen],"&lt;"&amp;EDATE(D$5,1),tblAuftraege[Themenfeld],"LLM")</f>
        <v/>
      </c>
      <c r="E84" s="8">
        <f>SUMIFS(tblAuftraege[Kalk.
Einnahmen],tblAuftraege[Datum
Einnahmen],"&gt;="&amp;E$5,tblAuftraege[Datum
Einnahmen],"&lt;"&amp;EDATE(E$5,1),tblAuftraege[Themenfeld],"LLM")</f>
        <v/>
      </c>
      <c r="F84" s="8">
        <f>SUMIFS(tblAuftraege[Kalk.
Einnahmen],tblAuftraege[Datum
Einnahmen],"&gt;="&amp;F$5,tblAuftraege[Datum
Einnahmen],"&lt;"&amp;EDATE(F$5,1),tblAuftraege[Themenfeld],"LLM")</f>
        <v/>
      </c>
      <c r="G84" s="8">
        <f>SUMIFS(tblAuftraege[Kalk.
Einnahmen],tblAuftraege[Datum
Einnahmen],"&gt;="&amp;G$5,tblAuftraege[Datum
Einnahmen],"&lt;"&amp;EDATE(G$5,1),tblAuftraege[Themenfeld],"LLM")</f>
        <v/>
      </c>
      <c r="H84" s="8">
        <f>SUMIFS(tblAuftraege[Kalk.
Einnahmen],tblAuftraege[Datum
Einnahmen],"&gt;="&amp;H$5,tblAuftraege[Datum
Einnahmen],"&lt;"&amp;EDATE(H$5,1),tblAuftraege[Themenfeld],"LLM")</f>
        <v/>
      </c>
      <c r="I84" s="8">
        <f>SUMIFS(tblAuftraege[Kalk.
Einnahmen],tblAuftraege[Datum
Einnahmen],"&gt;="&amp;I$5,tblAuftraege[Datum
Einnahmen],"&lt;"&amp;EDATE(I$5,1),tblAuftraege[Themenfeld],"LLM")</f>
        <v/>
      </c>
      <c r="J84" s="8">
        <f>SUMIFS(tblAuftraege[Kalk.
Einnahmen],tblAuftraege[Datum
Einnahmen],"&gt;="&amp;J$5,tblAuftraege[Datum
Einnahmen],"&lt;"&amp;EDATE(J$5,1),tblAuftraege[Themenfeld],"LLM")</f>
        <v/>
      </c>
      <c r="K84" s="8">
        <f>SUMIFS(tblAuftraege[Kalk.
Einnahmen],tblAuftraege[Datum
Einnahmen],"&gt;="&amp;K$5,tblAuftraege[Datum
Einnahmen],"&lt;"&amp;EDATE(K$5,1),tblAuftraege[Themenfeld],"LLM")</f>
        <v/>
      </c>
      <c r="L84" s="8">
        <f>SUMIFS(tblAuftraege[Kalk.
Einnahmen],tblAuftraege[Datum
Einnahmen],"&gt;="&amp;L$5,tblAuftraege[Datum
Einnahmen],"&lt;"&amp;EDATE(L$5,1),tblAuftraege[Themenfeld],"LLM")</f>
        <v/>
      </c>
      <c r="M84" s="8">
        <f>SUMIFS(tblAuftraege[Kalk.
Einnahmen],tblAuftraege[Datum
Einnahmen],"&gt;="&amp;M$5,tblAuftraege[Datum
Einnahmen],"&lt;"&amp;EDATE(M$5,1),tblAuftraege[Themenfeld],"LLM")</f>
        <v/>
      </c>
      <c r="N84" s="8">
        <f>SUMIFS(tblAuftraege[Kalk.
Einnahmen],tblAuftraege[Datum
Einnahmen],"&gt;="&amp;N$5,tblAuftraege[Datum
Einnahmen],"&lt;"&amp;EDATE(N$5,1),tblAuftraege[Themenfeld],"LLM")</f>
        <v/>
      </c>
      <c r="O84" s="8">
        <f>SUMIFS(tblAuftraege[Kalk.
Einnahmen],tblAuftraege[Datum
Einnahmen],"&gt;="&amp;O$5,tblAuftraege[Datum
Einnahmen],"&lt;"&amp;EDATE(O$5,1),tblAuftraege[Themenfeld],"LLM")</f>
        <v/>
      </c>
      <c r="P84" s="8">
        <f>SUMIFS(tblAuftraege[Kalk.
Einnahmen],tblAuftraege[Datum
Einnahmen],"&gt;="&amp;P$5,tblAuftraege[Datum
Einnahmen],"&lt;"&amp;EDATE(P$5,1),tblAuftraege[Themenfeld],"LLM")</f>
        <v/>
      </c>
      <c r="Q84" s="8">
        <f>SUMIFS(tblAuftraege[Kalk.
Einnahmen],tblAuftraege[Datum
Einnahmen],"&gt;="&amp;Q$5,tblAuftraege[Datum
Einnahmen],"&lt;"&amp;EDATE(Q$5,1),tblAuftraege[Themenfeld],"LLM")</f>
        <v/>
      </c>
      <c r="R84" s="8">
        <f>SUMIFS(tblAuftraege[Kalk.
Einnahmen],tblAuftraege[Datum
Einnahmen],"&gt;="&amp;R$5,tblAuftraege[Datum
Einnahmen],"&lt;"&amp;EDATE(R$5,1),tblAuftraege[Themenfeld],"LLM")</f>
        <v/>
      </c>
      <c r="S84" s="8">
        <f>SUMIFS(tblAuftraege[Kalk.
Einnahmen],tblAuftraege[Datum
Einnahmen],"&gt;="&amp;S$5,tblAuftraege[Datum
Einnahmen],"&lt;"&amp;EDATE(S$5,1),tblAuftraege[Themenfeld],"LLM")</f>
        <v/>
      </c>
      <c r="T84" s="8">
        <f>SUMIFS(tblAuftraege[Kalk.
Einnahmen],tblAuftraege[Datum
Einnahmen],"&gt;="&amp;T$5,tblAuftraege[Datum
Einnahmen],"&lt;"&amp;EDATE(T$5,1),tblAuftraege[Themenfeld],"LLM")</f>
        <v/>
      </c>
      <c r="U84" s="8">
        <f>SUMIFS(tblAuftraege[Kalk.
Einnahmen],tblAuftraege[Datum
Einnahmen],"&gt;="&amp;U$5,tblAuftraege[Datum
Einnahmen],"&lt;"&amp;EDATE(U$5,1),tblAuftraege[Themenfeld],"LLM")</f>
        <v/>
      </c>
      <c r="V84" s="8">
        <f>SUMIFS(tblAuftraege[Kalk.
Einnahmen],tblAuftraege[Datum
Einnahmen],"&gt;="&amp;V$5,tblAuftraege[Datum
Einnahmen],"&lt;"&amp;EDATE(V$5,1),tblAuftraege[Themenfeld],"LLM")</f>
        <v/>
      </c>
      <c r="W84" s="8">
        <f>SUMIFS(tblAuftraege[Kalk.
Einnahmen],tblAuftraege[Datum
Einnahmen],"&gt;="&amp;W$5,tblAuftraege[Datum
Einnahmen],"&lt;"&amp;EDATE(W$5,1),tblAuftraege[Themenfeld],"LLM")</f>
        <v/>
      </c>
      <c r="X84" s="8">
        <f>SUMIFS(tblAuftraege[Kalk.
Einnahmen],tblAuftraege[Datum
Einnahmen],"&gt;="&amp;X$5,tblAuftraege[Datum
Einnahmen],"&lt;"&amp;EDATE(X$5,1),tblAuftraege[Themenfeld],"LLM")</f>
        <v/>
      </c>
      <c r="Y84" s="8">
        <f>SUMIFS(tblAuftraege[Kalk.
Einnahmen],tblAuftraege[Datum
Einnahmen],"&gt;="&amp;Y$5,tblAuftraege[Datum
Einnahmen],"&lt;"&amp;EDATE(Y$5,1),tblAuftraege[Themenfeld],"LLM")</f>
        <v/>
      </c>
      <c r="Z84" s="8">
        <f>SUMIFS(tblAuftraege[Kalk.
Einnahmen],tblAuftraege[Datum
Einnahmen],"&gt;="&amp;Z$5,tblAuftraege[Datum
Einnahmen],"&lt;"&amp;EDATE(Z$5,1),tblAuftraege[Themenfeld],"LLM")</f>
        <v/>
      </c>
      <c r="AA84" s="8">
        <f>SUMIFS(tblAuftraege[Kalk.
Einnahmen],tblAuftraege[Datum
Einnahmen],"&gt;="&amp;AA$5,tblAuftraege[Datum
Einnahmen],"&lt;"&amp;EDATE(AA$5,1),tblAuftraege[Themenfeld],"LLM")</f>
        <v/>
      </c>
      <c r="AB84" s="8">
        <f>SUMIFS(tblAuftraege[Kalk.
Einnahmen],tblAuftraege[Datum
Einnahmen],"&gt;="&amp;AB$5,tblAuftraege[Datum
Einnahmen],"&lt;"&amp;EDATE(AB$5,1),tblAuftraege[Themenfeld],"LLM")</f>
        <v/>
      </c>
      <c r="AC84" s="8">
        <f>SUMIFS(tblAuftraege[Kalk.
Einnahmen],tblAuftraege[Datum
Einnahmen],"&gt;="&amp;AC$5,tblAuftraege[Datum
Einnahmen],"&lt;"&amp;EDATE(AC$5,1),tblAuftraege[Themenfeld],"LLM")</f>
        <v/>
      </c>
      <c r="AD84" s="8">
        <f>SUMIFS(tblAuftraege[Kalk.
Einnahmen],tblAuftraege[Datum
Einnahmen],"&gt;="&amp;AD$5,tblAuftraege[Datum
Einnahmen],"&lt;"&amp;EDATE(AD$5,1),tblAuftraege[Themenfeld],"LLM")</f>
        <v/>
      </c>
      <c r="AE84" s="8">
        <f>SUMIFS(tblAuftraege[Kalk.
Einnahmen],tblAuftraege[Datum
Einnahmen],"&gt;="&amp;AE$5,tblAuftraege[Datum
Einnahmen],"&lt;"&amp;EDATE(AE$5,1),tblAuftraege[Themenfeld],"LLM")</f>
        <v/>
      </c>
      <c r="AF84" s="8">
        <f>SUMIFS(tblAuftraege[Kalk.
Einnahmen],tblAuftraege[Datum
Einnahmen],"&gt;="&amp;AF$5,tblAuftraege[Datum
Einnahmen],"&lt;"&amp;EDATE(AF$5,1),tblAuftraege[Themenfeld],"LLM")</f>
        <v/>
      </c>
      <c r="AG84" s="8">
        <f>SUMIFS(tblAuftraege[Kalk.
Einnahmen],tblAuftraege[Datum
Einnahmen],"&gt;="&amp;AG$5,tblAuftraege[Datum
Einnahmen],"&lt;"&amp;EDATE(AG$5,1),tblAuftraege[Themenfeld],"LLM")</f>
        <v/>
      </c>
      <c r="AH84" s="8">
        <f>SUMIFS(tblAuftraege[Kalk.
Einnahmen],tblAuftraege[Datum
Einnahmen],"&gt;="&amp;AH$5,tblAuftraege[Datum
Einnahmen],"&lt;"&amp;EDATE(AH$5,1),tblAuftraege[Themenfeld],"LLM")</f>
        <v/>
      </c>
      <c r="AI84" s="8">
        <f>SUMIFS(tblAuftraege[Kalk.
Einnahmen],tblAuftraege[Datum
Einnahmen],"&gt;="&amp;AI$5,tblAuftraege[Datum
Einnahmen],"&lt;"&amp;EDATE(AI$5,1),tblAuftraege[Themenfeld],"LLM")</f>
        <v/>
      </c>
      <c r="AJ84" s="8">
        <f>SUMIFS(tblAuftraege[Kalk.
Einnahmen],tblAuftraege[Datum
Einnahmen],"&gt;="&amp;AJ$5,tblAuftraege[Datum
Einnahmen],"&lt;"&amp;EDATE(AJ$5,1),tblAuftraege[Themenfeld],"LLM")</f>
        <v/>
      </c>
      <c r="AK84" s="8">
        <f>SUMIFS(tblAuftraege[Kalk.
Einnahmen],tblAuftraege[Datum
Einnahmen],"&gt;="&amp;AK$5,tblAuftraege[Datum
Einnahmen],"&lt;"&amp;EDATE(AK$5,1),tblAuftraege[Themenfeld],"LLM")</f>
        <v/>
      </c>
      <c r="AL84" s="8">
        <f>SUMIFS(tblAuftraege[Kalk.
Einnahmen],tblAuftraege[Datum
Einnahmen],"&gt;="&amp;AL$5,tblAuftraege[Datum
Einnahmen],"&lt;"&amp;EDATE(AL$5,1),tblAuftraege[Themenfeld],"LLM")</f>
        <v/>
      </c>
      <c r="AM84" s="8">
        <f>SUMIFS(tblAuftraege[Kalk.
Einnahmen],tblAuftraege[Datum
Einnahmen],"&gt;="&amp;AM$5,tblAuftraege[Datum
Einnahmen],"&lt;"&amp;EDATE(AM$5,1),tblAuftraege[Themenfeld],"LLM")</f>
        <v/>
      </c>
      <c r="AN84" s="8">
        <f>SUMIFS(tblAuftraege[Kalk.
Einnahmen],tblAuftraege[Datum
Einnahmen],"&gt;="&amp;AN$5,tblAuftraege[Datum
Einnahmen],"&lt;"&amp;EDATE(AN$5,1),tblAuftraege[Themenfeld],"LLM")</f>
        <v/>
      </c>
      <c r="AO84" s="8">
        <f>SUMIFS(tblAuftraege[Kalk.
Einnahmen],tblAuftraege[Datum
Einnahmen],"&gt;="&amp;AO$5,tblAuftraege[Datum
Einnahmen],"&lt;"&amp;EDATE(AO$5,1),tblAuftraege[Themenfeld],"LLM")</f>
        <v/>
      </c>
      <c r="AP84" s="8">
        <f>SUMIFS(tblAuftraege[Kalk.
Einnahmen],tblAuftraege[Datum
Einnahmen],"&gt;="&amp;AP$5,tblAuftraege[Datum
Einnahmen],"&lt;"&amp;EDATE(AP$5,1),tblAuftraege[Themenfeld],"LLM")</f>
        <v/>
      </c>
      <c r="AQ84" s="8">
        <f>SUMIFS(tblAuftraege[Kalk.
Einnahmen],tblAuftraege[Datum
Einnahmen],"&gt;="&amp;AQ$5,tblAuftraege[Datum
Einnahmen],"&lt;"&amp;EDATE(AQ$5,1),tblAuftraege[Themenfeld],"LLM")</f>
        <v/>
      </c>
      <c r="AR84" s="8">
        <f>SUMIFS(tblAuftraege[Kalk.
Einnahmen],tblAuftraege[Datum
Einnahmen],"&gt;="&amp;AR$5,tblAuftraege[Datum
Einnahmen],"&lt;"&amp;EDATE(AR$5,1),tblAuftraege[Themenfeld],"LLM")</f>
        <v/>
      </c>
      <c r="AS84" s="8">
        <f>SUMIFS(tblAuftraege[Kalk.
Einnahmen],tblAuftraege[Datum
Einnahmen],"&gt;="&amp;AS$5,tblAuftraege[Datum
Einnahmen],"&lt;"&amp;EDATE(AS$5,1),tblAuftraege[Themenfeld],"LLM")</f>
        <v/>
      </c>
      <c r="AT84" s="8">
        <f>SUMIFS(tblAuftraege[Kalk.
Einnahmen],tblAuftraege[Datum
Einnahmen],"&gt;="&amp;AT$5,tblAuftraege[Datum
Einnahmen],"&lt;"&amp;EDATE(AT$5,1),tblAuftraege[Themenfeld],"LLM")</f>
        <v/>
      </c>
      <c r="AU84" s="8">
        <f>SUMIFS(tblAuftraege[Kalk.
Einnahmen],tblAuftraege[Datum
Einnahmen],"&gt;="&amp;AU$5,tblAuftraege[Datum
Einnahmen],"&lt;"&amp;EDATE(AU$5,1),tblAuftraege[Themenfeld],"LLM")</f>
        <v/>
      </c>
      <c r="AV84" s="8">
        <f>SUMIFS(tblAuftraege[Kalk.
Einnahmen],tblAuftraege[Datum
Einnahmen],"&gt;="&amp;AV$5,tblAuftraege[Datum
Einnahmen],"&lt;"&amp;EDATE(AV$5,1),tblAuftraege[Themenfeld],"LLM")</f>
        <v/>
      </c>
      <c r="AW84" s="8">
        <f>SUMIFS(tblAuftraege[Kalk.
Einnahmen],tblAuftraege[Datum
Einnahmen],"&gt;="&amp;AW$5,tblAuftraege[Datum
Einnahmen],"&lt;"&amp;EDATE(AW$5,1),tblAuftraege[Themenfeld],"LLM")</f>
        <v/>
      </c>
      <c r="AX84" s="8">
        <f>SUMIFS(tblAuftraege[Kalk.
Einnahmen],tblAuftraege[Datum
Einnahmen],"&gt;="&amp;AX$5,tblAuftraege[Datum
Einnahmen],"&lt;"&amp;EDATE(AX$5,1),tblAuftraege[Themenfeld],"LLM")</f>
        <v/>
      </c>
      <c r="AY84" s="8">
        <f>SUMIFS(tblAuftraege[Kalk.
Einnahmen],tblAuftraege[Datum
Einnahmen],"&gt;="&amp;AY$5,tblAuftraege[Datum
Einnahmen],"&lt;"&amp;EDATE(AY$5,1),tblAuftraege[Themenfeld],"LLM")</f>
        <v/>
      </c>
      <c r="AZ84" s="8">
        <f>SUMIFS(tblAuftraege[Kalk.
Einnahmen],tblAuftraege[Datum
Einnahmen],"&gt;="&amp;AZ$5,tblAuftraege[Datum
Einnahmen],"&lt;"&amp;EDATE(AZ$5,1),tblAuftraege[Themenfeld],"LLM")</f>
        <v/>
      </c>
      <c r="BA84" s="8">
        <f>SUMIFS(tblAuftraege[Kalk.
Einnahmen],tblAuftraege[Datum
Einnahmen],"&gt;="&amp;BA$5,tblAuftraege[Datum
Einnahmen],"&lt;"&amp;EDATE(BA$5,1),tblAuftraege[Themenfeld],"LLM")</f>
        <v/>
      </c>
      <c r="BB84" s="8">
        <f>SUMIFS(tblAuftraege[Kalk.
Einnahmen],tblAuftraege[Datum
Einnahmen],"&gt;="&amp;BB$5,tblAuftraege[Datum
Einnahmen],"&lt;"&amp;EDATE(BB$5,1),tblAuftraege[Themenfeld],"LLM")</f>
        <v/>
      </c>
      <c r="BC84" s="8">
        <f>SUMIFS(tblAuftraege[Kalk.
Einnahmen],tblAuftraege[Datum
Einnahmen],"&gt;="&amp;BC$5,tblAuftraege[Datum
Einnahmen],"&lt;"&amp;EDATE(BC$5,1),tblAuftraege[Themenfeld],"LLM")</f>
        <v/>
      </c>
      <c r="BD84" s="8">
        <f>SUMIFS(tblAuftraege[Kalk.
Einnahmen],tblAuftraege[Datum
Einnahmen],"&gt;="&amp;BD$5,tblAuftraege[Datum
Einnahmen],"&lt;"&amp;EDATE(BD$5,1),tblAuftraege[Themenfeld],"LLM")</f>
        <v/>
      </c>
      <c r="BE84" s="8">
        <f>SUM(C84:H84)</f>
        <v/>
      </c>
      <c r="BF84" s="8">
        <f>SUM(I84:T84)</f>
        <v/>
      </c>
      <c r="BG84" s="8">
        <f>SUM(U84:AF84)</f>
        <v/>
      </c>
      <c r="BH84" s="8">
        <f>SUM(AG84:AR84)</f>
        <v/>
      </c>
      <c r="BI84" s="8">
        <f>SUM(AS84:BD84)</f>
        <v/>
      </c>
      <c r="BJ84" s="8">
        <f>SUM(C84:BD84)</f>
        <v/>
      </c>
    </row>
    <row r="85">
      <c r="B85" s="60" t="inlineStr">
        <is>
          <t>LLM – Ausgaben</t>
        </is>
      </c>
      <c r="C85" s="42">
        <f>SUMIFS(tblAuftraege[Kalk.
Ausgaben],tblAuftraege[Datum
Ausgaben],"&gt;="&amp;C$5,tblAuftraege[Datum
Ausgaben],"&lt;"&amp;EDATE(C$5,1),tblAuftraege[Themenfeld],"LLM")</f>
        <v/>
      </c>
      <c r="D85" s="42">
        <f>SUMIFS(tblAuftraege[Kalk.
Ausgaben],tblAuftraege[Datum
Ausgaben],"&gt;="&amp;D$5,tblAuftraege[Datum
Ausgaben],"&lt;"&amp;EDATE(D$5,1),tblAuftraege[Themenfeld],"LLM")</f>
        <v/>
      </c>
      <c r="E85" s="42">
        <f>SUMIFS(tblAuftraege[Kalk.
Ausgaben],tblAuftraege[Datum
Ausgaben],"&gt;="&amp;E$5,tblAuftraege[Datum
Ausgaben],"&lt;"&amp;EDATE(E$5,1),tblAuftraege[Themenfeld],"LLM")</f>
        <v/>
      </c>
      <c r="F85" s="42">
        <f>SUMIFS(tblAuftraege[Kalk.
Ausgaben],tblAuftraege[Datum
Ausgaben],"&gt;="&amp;F$5,tblAuftraege[Datum
Ausgaben],"&lt;"&amp;EDATE(F$5,1),tblAuftraege[Themenfeld],"LLM")</f>
        <v/>
      </c>
      <c r="G85" s="42">
        <f>SUMIFS(tblAuftraege[Kalk.
Ausgaben],tblAuftraege[Datum
Ausgaben],"&gt;="&amp;G$5,tblAuftraege[Datum
Ausgaben],"&lt;"&amp;EDATE(G$5,1),tblAuftraege[Themenfeld],"LLM")</f>
        <v/>
      </c>
      <c r="H85" s="42">
        <f>SUMIFS(tblAuftraege[Kalk.
Ausgaben],tblAuftraege[Datum
Ausgaben],"&gt;="&amp;H$5,tblAuftraege[Datum
Ausgaben],"&lt;"&amp;EDATE(H$5,1),tblAuftraege[Themenfeld],"LLM")</f>
        <v/>
      </c>
      <c r="I85" s="42">
        <f>SUMIFS(tblAuftraege[Kalk.
Ausgaben],tblAuftraege[Datum
Ausgaben],"&gt;="&amp;I$5,tblAuftraege[Datum
Ausgaben],"&lt;"&amp;EDATE(I$5,1),tblAuftraege[Themenfeld],"LLM")</f>
        <v/>
      </c>
      <c r="J85" s="42">
        <f>SUMIFS(tblAuftraege[Kalk.
Ausgaben],tblAuftraege[Datum
Ausgaben],"&gt;="&amp;J$5,tblAuftraege[Datum
Ausgaben],"&lt;"&amp;EDATE(J$5,1),tblAuftraege[Themenfeld],"LLM")</f>
        <v/>
      </c>
      <c r="K85" s="42">
        <f>SUMIFS(tblAuftraege[Kalk.
Ausgaben],tblAuftraege[Datum
Ausgaben],"&gt;="&amp;K$5,tblAuftraege[Datum
Ausgaben],"&lt;"&amp;EDATE(K$5,1),tblAuftraege[Themenfeld],"LLM")</f>
        <v/>
      </c>
      <c r="L85" s="42">
        <f>SUMIFS(tblAuftraege[Kalk.
Ausgaben],tblAuftraege[Datum
Ausgaben],"&gt;="&amp;L$5,tblAuftraege[Datum
Ausgaben],"&lt;"&amp;EDATE(L$5,1),tblAuftraege[Themenfeld],"LLM")</f>
        <v/>
      </c>
      <c r="M85" s="42">
        <f>SUMIFS(tblAuftraege[Kalk.
Ausgaben],tblAuftraege[Datum
Ausgaben],"&gt;="&amp;M$5,tblAuftraege[Datum
Ausgaben],"&lt;"&amp;EDATE(M$5,1),tblAuftraege[Themenfeld],"LLM")</f>
        <v/>
      </c>
      <c r="N85" s="42">
        <f>SUMIFS(tblAuftraege[Kalk.
Ausgaben],tblAuftraege[Datum
Ausgaben],"&gt;="&amp;N$5,tblAuftraege[Datum
Ausgaben],"&lt;"&amp;EDATE(N$5,1),tblAuftraege[Themenfeld],"LLM")</f>
        <v/>
      </c>
      <c r="O85" s="42">
        <f>SUMIFS(tblAuftraege[Kalk.
Ausgaben],tblAuftraege[Datum
Ausgaben],"&gt;="&amp;O$5,tblAuftraege[Datum
Ausgaben],"&lt;"&amp;EDATE(O$5,1),tblAuftraege[Themenfeld],"LLM")</f>
        <v/>
      </c>
      <c r="P85" s="42">
        <f>SUMIFS(tblAuftraege[Kalk.
Ausgaben],tblAuftraege[Datum
Ausgaben],"&gt;="&amp;P$5,tblAuftraege[Datum
Ausgaben],"&lt;"&amp;EDATE(P$5,1),tblAuftraege[Themenfeld],"LLM")</f>
        <v/>
      </c>
      <c r="Q85" s="42">
        <f>SUMIFS(tblAuftraege[Kalk.
Ausgaben],tblAuftraege[Datum
Ausgaben],"&gt;="&amp;Q$5,tblAuftraege[Datum
Ausgaben],"&lt;"&amp;EDATE(Q$5,1),tblAuftraege[Themenfeld],"LLM")</f>
        <v/>
      </c>
      <c r="R85" s="42">
        <f>SUMIFS(tblAuftraege[Kalk.
Ausgaben],tblAuftraege[Datum
Ausgaben],"&gt;="&amp;R$5,tblAuftraege[Datum
Ausgaben],"&lt;"&amp;EDATE(R$5,1),tblAuftraege[Themenfeld],"LLM")</f>
        <v/>
      </c>
      <c r="S85" s="42">
        <f>SUMIFS(tblAuftraege[Kalk.
Ausgaben],tblAuftraege[Datum
Ausgaben],"&gt;="&amp;S$5,tblAuftraege[Datum
Ausgaben],"&lt;"&amp;EDATE(S$5,1),tblAuftraege[Themenfeld],"LLM")</f>
        <v/>
      </c>
      <c r="T85" s="42">
        <f>SUMIFS(tblAuftraege[Kalk.
Ausgaben],tblAuftraege[Datum
Ausgaben],"&gt;="&amp;T$5,tblAuftraege[Datum
Ausgaben],"&lt;"&amp;EDATE(T$5,1),tblAuftraege[Themenfeld],"LLM")</f>
        <v/>
      </c>
      <c r="U85" s="42">
        <f>SUMIFS(tblAuftraege[Kalk.
Ausgaben],tblAuftraege[Datum
Ausgaben],"&gt;="&amp;U$5,tblAuftraege[Datum
Ausgaben],"&lt;"&amp;EDATE(U$5,1),tblAuftraege[Themenfeld],"LLM")</f>
        <v/>
      </c>
      <c r="V85" s="42">
        <f>SUMIFS(tblAuftraege[Kalk.
Ausgaben],tblAuftraege[Datum
Ausgaben],"&gt;="&amp;V$5,tblAuftraege[Datum
Ausgaben],"&lt;"&amp;EDATE(V$5,1),tblAuftraege[Themenfeld],"LLM")</f>
        <v/>
      </c>
      <c r="W85" s="42">
        <f>SUMIFS(tblAuftraege[Kalk.
Ausgaben],tblAuftraege[Datum
Ausgaben],"&gt;="&amp;W$5,tblAuftraege[Datum
Ausgaben],"&lt;"&amp;EDATE(W$5,1),tblAuftraege[Themenfeld],"LLM")</f>
        <v/>
      </c>
      <c r="X85" s="42">
        <f>SUMIFS(tblAuftraege[Kalk.
Ausgaben],tblAuftraege[Datum
Ausgaben],"&gt;="&amp;X$5,tblAuftraege[Datum
Ausgaben],"&lt;"&amp;EDATE(X$5,1),tblAuftraege[Themenfeld],"LLM")</f>
        <v/>
      </c>
      <c r="Y85" s="42">
        <f>SUMIFS(tblAuftraege[Kalk.
Ausgaben],tblAuftraege[Datum
Ausgaben],"&gt;="&amp;Y$5,tblAuftraege[Datum
Ausgaben],"&lt;"&amp;EDATE(Y$5,1),tblAuftraege[Themenfeld],"LLM")</f>
        <v/>
      </c>
      <c r="Z85" s="42">
        <f>SUMIFS(tblAuftraege[Kalk.
Ausgaben],tblAuftraege[Datum
Ausgaben],"&gt;="&amp;Z$5,tblAuftraege[Datum
Ausgaben],"&lt;"&amp;EDATE(Z$5,1),tblAuftraege[Themenfeld],"LLM")</f>
        <v/>
      </c>
      <c r="AA85" s="42">
        <f>SUMIFS(tblAuftraege[Kalk.
Ausgaben],tblAuftraege[Datum
Ausgaben],"&gt;="&amp;AA$5,tblAuftraege[Datum
Ausgaben],"&lt;"&amp;EDATE(AA$5,1),tblAuftraege[Themenfeld],"LLM")</f>
        <v/>
      </c>
      <c r="AB85" s="42">
        <f>SUMIFS(tblAuftraege[Kalk.
Ausgaben],tblAuftraege[Datum
Ausgaben],"&gt;="&amp;AB$5,tblAuftraege[Datum
Ausgaben],"&lt;"&amp;EDATE(AB$5,1),tblAuftraege[Themenfeld],"LLM")</f>
        <v/>
      </c>
      <c r="AC85" s="42">
        <f>SUMIFS(tblAuftraege[Kalk.
Ausgaben],tblAuftraege[Datum
Ausgaben],"&gt;="&amp;AC$5,tblAuftraege[Datum
Ausgaben],"&lt;"&amp;EDATE(AC$5,1),tblAuftraege[Themenfeld],"LLM")</f>
        <v/>
      </c>
      <c r="AD85" s="42">
        <f>SUMIFS(tblAuftraege[Kalk.
Ausgaben],tblAuftraege[Datum
Ausgaben],"&gt;="&amp;AD$5,tblAuftraege[Datum
Ausgaben],"&lt;"&amp;EDATE(AD$5,1),tblAuftraege[Themenfeld],"LLM")</f>
        <v/>
      </c>
      <c r="AE85" s="42">
        <f>SUMIFS(tblAuftraege[Kalk.
Ausgaben],tblAuftraege[Datum
Ausgaben],"&gt;="&amp;AE$5,tblAuftraege[Datum
Ausgaben],"&lt;"&amp;EDATE(AE$5,1),tblAuftraege[Themenfeld],"LLM")</f>
        <v/>
      </c>
      <c r="AF85" s="42">
        <f>SUMIFS(tblAuftraege[Kalk.
Ausgaben],tblAuftraege[Datum
Ausgaben],"&gt;="&amp;AF$5,tblAuftraege[Datum
Ausgaben],"&lt;"&amp;EDATE(AF$5,1),tblAuftraege[Themenfeld],"LLM")</f>
        <v/>
      </c>
      <c r="AG85" s="42">
        <f>SUMIFS(tblAuftraege[Kalk.
Ausgaben],tblAuftraege[Datum
Ausgaben],"&gt;="&amp;AG$5,tblAuftraege[Datum
Ausgaben],"&lt;"&amp;EDATE(AG$5,1),tblAuftraege[Themenfeld],"LLM")</f>
        <v/>
      </c>
      <c r="AH85" s="42">
        <f>SUMIFS(tblAuftraege[Kalk.
Ausgaben],tblAuftraege[Datum
Ausgaben],"&gt;="&amp;AH$5,tblAuftraege[Datum
Ausgaben],"&lt;"&amp;EDATE(AH$5,1),tblAuftraege[Themenfeld],"LLM")</f>
        <v/>
      </c>
      <c r="AI85" s="42">
        <f>SUMIFS(tblAuftraege[Kalk.
Ausgaben],tblAuftraege[Datum
Ausgaben],"&gt;="&amp;AI$5,tblAuftraege[Datum
Ausgaben],"&lt;"&amp;EDATE(AI$5,1),tblAuftraege[Themenfeld],"LLM")</f>
        <v/>
      </c>
      <c r="AJ85" s="42">
        <f>SUMIFS(tblAuftraege[Kalk.
Ausgaben],tblAuftraege[Datum
Ausgaben],"&gt;="&amp;AJ$5,tblAuftraege[Datum
Ausgaben],"&lt;"&amp;EDATE(AJ$5,1),tblAuftraege[Themenfeld],"LLM")</f>
        <v/>
      </c>
      <c r="AK85" s="42">
        <f>SUMIFS(tblAuftraege[Kalk.
Ausgaben],tblAuftraege[Datum
Ausgaben],"&gt;="&amp;AK$5,tblAuftraege[Datum
Ausgaben],"&lt;"&amp;EDATE(AK$5,1),tblAuftraege[Themenfeld],"LLM")</f>
        <v/>
      </c>
      <c r="AL85" s="42">
        <f>SUMIFS(tblAuftraege[Kalk.
Ausgaben],tblAuftraege[Datum
Ausgaben],"&gt;="&amp;AL$5,tblAuftraege[Datum
Ausgaben],"&lt;"&amp;EDATE(AL$5,1),tblAuftraege[Themenfeld],"LLM")</f>
        <v/>
      </c>
      <c r="AM85" s="42">
        <f>SUMIFS(tblAuftraege[Kalk.
Ausgaben],tblAuftraege[Datum
Ausgaben],"&gt;="&amp;AM$5,tblAuftraege[Datum
Ausgaben],"&lt;"&amp;EDATE(AM$5,1),tblAuftraege[Themenfeld],"LLM")</f>
        <v/>
      </c>
      <c r="AN85" s="42">
        <f>SUMIFS(tblAuftraege[Kalk.
Ausgaben],tblAuftraege[Datum
Ausgaben],"&gt;="&amp;AN$5,tblAuftraege[Datum
Ausgaben],"&lt;"&amp;EDATE(AN$5,1),tblAuftraege[Themenfeld],"LLM")</f>
        <v/>
      </c>
      <c r="AO85" s="42">
        <f>SUMIFS(tblAuftraege[Kalk.
Ausgaben],tblAuftraege[Datum
Ausgaben],"&gt;="&amp;AO$5,tblAuftraege[Datum
Ausgaben],"&lt;"&amp;EDATE(AO$5,1),tblAuftraege[Themenfeld],"LLM")</f>
        <v/>
      </c>
      <c r="AP85" s="42">
        <f>SUMIFS(tblAuftraege[Kalk.
Ausgaben],tblAuftraege[Datum
Ausgaben],"&gt;="&amp;AP$5,tblAuftraege[Datum
Ausgaben],"&lt;"&amp;EDATE(AP$5,1),tblAuftraege[Themenfeld],"LLM")</f>
        <v/>
      </c>
      <c r="AQ85" s="42">
        <f>SUMIFS(tblAuftraege[Kalk.
Ausgaben],tblAuftraege[Datum
Ausgaben],"&gt;="&amp;AQ$5,tblAuftraege[Datum
Ausgaben],"&lt;"&amp;EDATE(AQ$5,1),tblAuftraege[Themenfeld],"LLM")</f>
        <v/>
      </c>
      <c r="AR85" s="42">
        <f>SUMIFS(tblAuftraege[Kalk.
Ausgaben],tblAuftraege[Datum
Ausgaben],"&gt;="&amp;AR$5,tblAuftraege[Datum
Ausgaben],"&lt;"&amp;EDATE(AR$5,1),tblAuftraege[Themenfeld],"LLM")</f>
        <v/>
      </c>
      <c r="AS85" s="42">
        <f>SUMIFS(tblAuftraege[Kalk.
Ausgaben],tblAuftraege[Datum
Ausgaben],"&gt;="&amp;AS$5,tblAuftraege[Datum
Ausgaben],"&lt;"&amp;EDATE(AS$5,1),tblAuftraege[Themenfeld],"LLM")</f>
        <v/>
      </c>
      <c r="AT85" s="42">
        <f>SUMIFS(tblAuftraege[Kalk.
Ausgaben],tblAuftraege[Datum
Ausgaben],"&gt;="&amp;AT$5,tblAuftraege[Datum
Ausgaben],"&lt;"&amp;EDATE(AT$5,1),tblAuftraege[Themenfeld],"LLM")</f>
        <v/>
      </c>
      <c r="AU85" s="42">
        <f>SUMIFS(tblAuftraege[Kalk.
Ausgaben],tblAuftraege[Datum
Ausgaben],"&gt;="&amp;AU$5,tblAuftraege[Datum
Ausgaben],"&lt;"&amp;EDATE(AU$5,1),tblAuftraege[Themenfeld],"LLM")</f>
        <v/>
      </c>
      <c r="AV85" s="42">
        <f>SUMIFS(tblAuftraege[Kalk.
Ausgaben],tblAuftraege[Datum
Ausgaben],"&gt;="&amp;AV$5,tblAuftraege[Datum
Ausgaben],"&lt;"&amp;EDATE(AV$5,1),tblAuftraege[Themenfeld],"LLM")</f>
        <v/>
      </c>
      <c r="AW85" s="42">
        <f>SUMIFS(tblAuftraege[Kalk.
Ausgaben],tblAuftraege[Datum
Ausgaben],"&gt;="&amp;AW$5,tblAuftraege[Datum
Ausgaben],"&lt;"&amp;EDATE(AW$5,1),tblAuftraege[Themenfeld],"LLM")</f>
        <v/>
      </c>
      <c r="AX85" s="42">
        <f>SUMIFS(tblAuftraege[Kalk.
Ausgaben],tblAuftraege[Datum
Ausgaben],"&gt;="&amp;AX$5,tblAuftraege[Datum
Ausgaben],"&lt;"&amp;EDATE(AX$5,1),tblAuftraege[Themenfeld],"LLM")</f>
        <v/>
      </c>
      <c r="AY85" s="42">
        <f>SUMIFS(tblAuftraege[Kalk.
Ausgaben],tblAuftraege[Datum
Ausgaben],"&gt;="&amp;AY$5,tblAuftraege[Datum
Ausgaben],"&lt;"&amp;EDATE(AY$5,1),tblAuftraege[Themenfeld],"LLM")</f>
        <v/>
      </c>
      <c r="AZ85" s="42">
        <f>SUMIFS(tblAuftraege[Kalk.
Ausgaben],tblAuftraege[Datum
Ausgaben],"&gt;="&amp;AZ$5,tblAuftraege[Datum
Ausgaben],"&lt;"&amp;EDATE(AZ$5,1),tblAuftraege[Themenfeld],"LLM")</f>
        <v/>
      </c>
      <c r="BA85" s="42">
        <f>SUMIFS(tblAuftraege[Kalk.
Ausgaben],tblAuftraege[Datum
Ausgaben],"&gt;="&amp;BA$5,tblAuftraege[Datum
Ausgaben],"&lt;"&amp;EDATE(BA$5,1),tblAuftraege[Themenfeld],"LLM")</f>
        <v/>
      </c>
      <c r="BB85" s="42">
        <f>SUMIFS(tblAuftraege[Kalk.
Ausgaben],tblAuftraege[Datum
Ausgaben],"&gt;="&amp;BB$5,tblAuftraege[Datum
Ausgaben],"&lt;"&amp;EDATE(BB$5,1),tblAuftraege[Themenfeld],"LLM")</f>
        <v/>
      </c>
      <c r="BC85" s="42">
        <f>SUMIFS(tblAuftraege[Kalk.
Ausgaben],tblAuftraege[Datum
Ausgaben],"&gt;="&amp;BC$5,tblAuftraege[Datum
Ausgaben],"&lt;"&amp;EDATE(BC$5,1),tblAuftraege[Themenfeld],"LLM")</f>
        <v/>
      </c>
      <c r="BD85" s="42">
        <f>SUMIFS(tblAuftraege[Kalk.
Ausgaben],tblAuftraege[Datum
Ausgaben],"&gt;="&amp;BD$5,tblAuftraege[Datum
Ausgaben],"&lt;"&amp;EDATE(BD$5,1),tblAuftraege[Themenfeld],"LLM")</f>
        <v/>
      </c>
      <c r="BE85" s="42">
        <f>SUM(C85:H85)</f>
        <v/>
      </c>
      <c r="BF85" s="42">
        <f>SUM(I85:T85)</f>
        <v/>
      </c>
      <c r="BG85" s="42">
        <f>SUM(U85:AF85)</f>
        <v/>
      </c>
      <c r="BH85" s="42">
        <f>SUM(AG85:AR85)</f>
        <v/>
      </c>
      <c r="BI85" s="42">
        <f>SUM(AS85:BD85)</f>
        <v/>
      </c>
      <c r="BJ85" s="42">
        <f>SUM(C85:BD85)</f>
        <v/>
      </c>
    </row>
    <row r="86">
      <c r="B86" s="45" t="inlineStr">
        <is>
          <t>Parking – Einnahmen</t>
        </is>
      </c>
      <c r="C86" s="8">
        <f>SUMIFS(tblAuftraege[Kalk.
Einnahmen],tblAuftraege[Datum
Einnahmen],"&gt;="&amp;C$5,tblAuftraege[Datum
Einnahmen],"&lt;"&amp;EDATE(C$5,1),tblAuftraege[Themenfeld],"Parking")</f>
        <v/>
      </c>
      <c r="D86" s="8">
        <f>SUMIFS(tblAuftraege[Kalk.
Einnahmen],tblAuftraege[Datum
Einnahmen],"&gt;="&amp;D$5,tblAuftraege[Datum
Einnahmen],"&lt;"&amp;EDATE(D$5,1),tblAuftraege[Themenfeld],"Parking")</f>
        <v/>
      </c>
      <c r="E86" s="8">
        <f>SUMIFS(tblAuftraege[Kalk.
Einnahmen],tblAuftraege[Datum
Einnahmen],"&gt;="&amp;E$5,tblAuftraege[Datum
Einnahmen],"&lt;"&amp;EDATE(E$5,1),tblAuftraege[Themenfeld],"Parking")</f>
        <v/>
      </c>
      <c r="F86" s="8">
        <f>SUMIFS(tblAuftraege[Kalk.
Einnahmen],tblAuftraege[Datum
Einnahmen],"&gt;="&amp;F$5,tblAuftraege[Datum
Einnahmen],"&lt;"&amp;EDATE(F$5,1),tblAuftraege[Themenfeld],"Parking")</f>
        <v/>
      </c>
      <c r="G86" s="8">
        <f>SUMIFS(tblAuftraege[Kalk.
Einnahmen],tblAuftraege[Datum
Einnahmen],"&gt;="&amp;G$5,tblAuftraege[Datum
Einnahmen],"&lt;"&amp;EDATE(G$5,1),tblAuftraege[Themenfeld],"Parking")</f>
        <v/>
      </c>
      <c r="H86" s="8">
        <f>SUMIFS(tblAuftraege[Kalk.
Einnahmen],tblAuftraege[Datum
Einnahmen],"&gt;="&amp;H$5,tblAuftraege[Datum
Einnahmen],"&lt;"&amp;EDATE(H$5,1),tblAuftraege[Themenfeld],"Parking")</f>
        <v/>
      </c>
      <c r="I86" s="8">
        <f>SUMIFS(tblAuftraege[Kalk.
Einnahmen],tblAuftraege[Datum
Einnahmen],"&gt;="&amp;I$5,tblAuftraege[Datum
Einnahmen],"&lt;"&amp;EDATE(I$5,1),tblAuftraege[Themenfeld],"Parking")</f>
        <v/>
      </c>
      <c r="J86" s="8">
        <f>SUMIFS(tblAuftraege[Kalk.
Einnahmen],tblAuftraege[Datum
Einnahmen],"&gt;="&amp;J$5,tblAuftraege[Datum
Einnahmen],"&lt;"&amp;EDATE(J$5,1),tblAuftraege[Themenfeld],"Parking")</f>
        <v/>
      </c>
      <c r="K86" s="8">
        <f>SUMIFS(tblAuftraege[Kalk.
Einnahmen],tblAuftraege[Datum
Einnahmen],"&gt;="&amp;K$5,tblAuftraege[Datum
Einnahmen],"&lt;"&amp;EDATE(K$5,1),tblAuftraege[Themenfeld],"Parking")</f>
        <v/>
      </c>
      <c r="L86" s="8">
        <f>SUMIFS(tblAuftraege[Kalk.
Einnahmen],tblAuftraege[Datum
Einnahmen],"&gt;="&amp;L$5,tblAuftraege[Datum
Einnahmen],"&lt;"&amp;EDATE(L$5,1),tblAuftraege[Themenfeld],"Parking")</f>
        <v/>
      </c>
      <c r="M86" s="8">
        <f>SUMIFS(tblAuftraege[Kalk.
Einnahmen],tblAuftraege[Datum
Einnahmen],"&gt;="&amp;M$5,tblAuftraege[Datum
Einnahmen],"&lt;"&amp;EDATE(M$5,1),tblAuftraege[Themenfeld],"Parking")</f>
        <v/>
      </c>
      <c r="N86" s="8">
        <f>SUMIFS(tblAuftraege[Kalk.
Einnahmen],tblAuftraege[Datum
Einnahmen],"&gt;="&amp;N$5,tblAuftraege[Datum
Einnahmen],"&lt;"&amp;EDATE(N$5,1),tblAuftraege[Themenfeld],"Parking")</f>
        <v/>
      </c>
      <c r="O86" s="8">
        <f>SUMIFS(tblAuftraege[Kalk.
Einnahmen],tblAuftraege[Datum
Einnahmen],"&gt;="&amp;O$5,tblAuftraege[Datum
Einnahmen],"&lt;"&amp;EDATE(O$5,1),tblAuftraege[Themenfeld],"Parking")</f>
        <v/>
      </c>
      <c r="P86" s="8">
        <f>SUMIFS(tblAuftraege[Kalk.
Einnahmen],tblAuftraege[Datum
Einnahmen],"&gt;="&amp;P$5,tblAuftraege[Datum
Einnahmen],"&lt;"&amp;EDATE(P$5,1),tblAuftraege[Themenfeld],"Parking")</f>
        <v/>
      </c>
      <c r="Q86" s="8">
        <f>SUMIFS(tblAuftraege[Kalk.
Einnahmen],tblAuftraege[Datum
Einnahmen],"&gt;="&amp;Q$5,tblAuftraege[Datum
Einnahmen],"&lt;"&amp;EDATE(Q$5,1),tblAuftraege[Themenfeld],"Parking")</f>
        <v/>
      </c>
      <c r="R86" s="8">
        <f>SUMIFS(tblAuftraege[Kalk.
Einnahmen],tblAuftraege[Datum
Einnahmen],"&gt;="&amp;R$5,tblAuftraege[Datum
Einnahmen],"&lt;"&amp;EDATE(R$5,1),tblAuftraege[Themenfeld],"Parking")</f>
        <v/>
      </c>
      <c r="S86" s="8">
        <f>SUMIFS(tblAuftraege[Kalk.
Einnahmen],tblAuftraege[Datum
Einnahmen],"&gt;="&amp;S$5,tblAuftraege[Datum
Einnahmen],"&lt;"&amp;EDATE(S$5,1),tblAuftraege[Themenfeld],"Parking")</f>
        <v/>
      </c>
      <c r="T86" s="8">
        <f>SUMIFS(tblAuftraege[Kalk.
Einnahmen],tblAuftraege[Datum
Einnahmen],"&gt;="&amp;T$5,tblAuftraege[Datum
Einnahmen],"&lt;"&amp;EDATE(T$5,1),tblAuftraege[Themenfeld],"Parking")</f>
        <v/>
      </c>
      <c r="U86" s="8">
        <f>SUMIFS(tblAuftraege[Kalk.
Einnahmen],tblAuftraege[Datum
Einnahmen],"&gt;="&amp;U$5,tblAuftraege[Datum
Einnahmen],"&lt;"&amp;EDATE(U$5,1),tblAuftraege[Themenfeld],"Parking")</f>
        <v/>
      </c>
      <c r="V86" s="8">
        <f>SUMIFS(tblAuftraege[Kalk.
Einnahmen],tblAuftraege[Datum
Einnahmen],"&gt;="&amp;V$5,tblAuftraege[Datum
Einnahmen],"&lt;"&amp;EDATE(V$5,1),tblAuftraege[Themenfeld],"Parking")</f>
        <v/>
      </c>
      <c r="W86" s="8">
        <f>SUMIFS(tblAuftraege[Kalk.
Einnahmen],tblAuftraege[Datum
Einnahmen],"&gt;="&amp;W$5,tblAuftraege[Datum
Einnahmen],"&lt;"&amp;EDATE(W$5,1),tblAuftraege[Themenfeld],"Parking")</f>
        <v/>
      </c>
      <c r="X86" s="8">
        <f>SUMIFS(tblAuftraege[Kalk.
Einnahmen],tblAuftraege[Datum
Einnahmen],"&gt;="&amp;X$5,tblAuftraege[Datum
Einnahmen],"&lt;"&amp;EDATE(X$5,1),tblAuftraege[Themenfeld],"Parking")</f>
        <v/>
      </c>
      <c r="Y86" s="8">
        <f>SUMIFS(tblAuftraege[Kalk.
Einnahmen],tblAuftraege[Datum
Einnahmen],"&gt;="&amp;Y$5,tblAuftraege[Datum
Einnahmen],"&lt;"&amp;EDATE(Y$5,1),tblAuftraege[Themenfeld],"Parking")</f>
        <v/>
      </c>
      <c r="Z86" s="8">
        <f>SUMIFS(tblAuftraege[Kalk.
Einnahmen],tblAuftraege[Datum
Einnahmen],"&gt;="&amp;Z$5,tblAuftraege[Datum
Einnahmen],"&lt;"&amp;EDATE(Z$5,1),tblAuftraege[Themenfeld],"Parking")</f>
        <v/>
      </c>
      <c r="AA86" s="8">
        <f>SUMIFS(tblAuftraege[Kalk.
Einnahmen],tblAuftraege[Datum
Einnahmen],"&gt;="&amp;AA$5,tblAuftraege[Datum
Einnahmen],"&lt;"&amp;EDATE(AA$5,1),tblAuftraege[Themenfeld],"Parking")</f>
        <v/>
      </c>
      <c r="AB86" s="8">
        <f>SUMIFS(tblAuftraege[Kalk.
Einnahmen],tblAuftraege[Datum
Einnahmen],"&gt;="&amp;AB$5,tblAuftraege[Datum
Einnahmen],"&lt;"&amp;EDATE(AB$5,1),tblAuftraege[Themenfeld],"Parking")</f>
        <v/>
      </c>
      <c r="AC86" s="8">
        <f>SUMIFS(tblAuftraege[Kalk.
Einnahmen],tblAuftraege[Datum
Einnahmen],"&gt;="&amp;AC$5,tblAuftraege[Datum
Einnahmen],"&lt;"&amp;EDATE(AC$5,1),tblAuftraege[Themenfeld],"Parking")</f>
        <v/>
      </c>
      <c r="AD86" s="8">
        <f>SUMIFS(tblAuftraege[Kalk.
Einnahmen],tblAuftraege[Datum
Einnahmen],"&gt;="&amp;AD$5,tblAuftraege[Datum
Einnahmen],"&lt;"&amp;EDATE(AD$5,1),tblAuftraege[Themenfeld],"Parking")</f>
        <v/>
      </c>
      <c r="AE86" s="8">
        <f>SUMIFS(tblAuftraege[Kalk.
Einnahmen],tblAuftraege[Datum
Einnahmen],"&gt;="&amp;AE$5,tblAuftraege[Datum
Einnahmen],"&lt;"&amp;EDATE(AE$5,1),tblAuftraege[Themenfeld],"Parking")</f>
        <v/>
      </c>
      <c r="AF86" s="8">
        <f>SUMIFS(tblAuftraege[Kalk.
Einnahmen],tblAuftraege[Datum
Einnahmen],"&gt;="&amp;AF$5,tblAuftraege[Datum
Einnahmen],"&lt;"&amp;EDATE(AF$5,1),tblAuftraege[Themenfeld],"Parking")</f>
        <v/>
      </c>
      <c r="AG86" s="8">
        <f>SUMIFS(tblAuftraege[Kalk.
Einnahmen],tblAuftraege[Datum
Einnahmen],"&gt;="&amp;AG$5,tblAuftraege[Datum
Einnahmen],"&lt;"&amp;EDATE(AG$5,1),tblAuftraege[Themenfeld],"Parking")</f>
        <v/>
      </c>
      <c r="AH86" s="8">
        <f>SUMIFS(tblAuftraege[Kalk.
Einnahmen],tblAuftraege[Datum
Einnahmen],"&gt;="&amp;AH$5,tblAuftraege[Datum
Einnahmen],"&lt;"&amp;EDATE(AH$5,1),tblAuftraege[Themenfeld],"Parking")</f>
        <v/>
      </c>
      <c r="AI86" s="8">
        <f>SUMIFS(tblAuftraege[Kalk.
Einnahmen],tblAuftraege[Datum
Einnahmen],"&gt;="&amp;AI$5,tblAuftraege[Datum
Einnahmen],"&lt;"&amp;EDATE(AI$5,1),tblAuftraege[Themenfeld],"Parking")</f>
        <v/>
      </c>
      <c r="AJ86" s="8">
        <f>SUMIFS(tblAuftraege[Kalk.
Einnahmen],tblAuftraege[Datum
Einnahmen],"&gt;="&amp;AJ$5,tblAuftraege[Datum
Einnahmen],"&lt;"&amp;EDATE(AJ$5,1),tblAuftraege[Themenfeld],"Parking")</f>
        <v/>
      </c>
      <c r="AK86" s="8">
        <f>SUMIFS(tblAuftraege[Kalk.
Einnahmen],tblAuftraege[Datum
Einnahmen],"&gt;="&amp;AK$5,tblAuftraege[Datum
Einnahmen],"&lt;"&amp;EDATE(AK$5,1),tblAuftraege[Themenfeld],"Parking")</f>
        <v/>
      </c>
      <c r="AL86" s="8">
        <f>SUMIFS(tblAuftraege[Kalk.
Einnahmen],tblAuftraege[Datum
Einnahmen],"&gt;="&amp;AL$5,tblAuftraege[Datum
Einnahmen],"&lt;"&amp;EDATE(AL$5,1),tblAuftraege[Themenfeld],"Parking")</f>
        <v/>
      </c>
      <c r="AM86" s="8">
        <f>SUMIFS(tblAuftraege[Kalk.
Einnahmen],tblAuftraege[Datum
Einnahmen],"&gt;="&amp;AM$5,tblAuftraege[Datum
Einnahmen],"&lt;"&amp;EDATE(AM$5,1),tblAuftraege[Themenfeld],"Parking")</f>
        <v/>
      </c>
      <c r="AN86" s="8">
        <f>SUMIFS(tblAuftraege[Kalk.
Einnahmen],tblAuftraege[Datum
Einnahmen],"&gt;="&amp;AN$5,tblAuftraege[Datum
Einnahmen],"&lt;"&amp;EDATE(AN$5,1),tblAuftraege[Themenfeld],"Parking")</f>
        <v/>
      </c>
      <c r="AO86" s="8">
        <f>SUMIFS(tblAuftraege[Kalk.
Einnahmen],tblAuftraege[Datum
Einnahmen],"&gt;="&amp;AO$5,tblAuftraege[Datum
Einnahmen],"&lt;"&amp;EDATE(AO$5,1),tblAuftraege[Themenfeld],"Parking")</f>
        <v/>
      </c>
      <c r="AP86" s="8">
        <f>SUMIFS(tblAuftraege[Kalk.
Einnahmen],tblAuftraege[Datum
Einnahmen],"&gt;="&amp;AP$5,tblAuftraege[Datum
Einnahmen],"&lt;"&amp;EDATE(AP$5,1),tblAuftraege[Themenfeld],"Parking")</f>
        <v/>
      </c>
      <c r="AQ86" s="8">
        <f>SUMIFS(tblAuftraege[Kalk.
Einnahmen],tblAuftraege[Datum
Einnahmen],"&gt;="&amp;AQ$5,tblAuftraege[Datum
Einnahmen],"&lt;"&amp;EDATE(AQ$5,1),tblAuftraege[Themenfeld],"Parking")</f>
        <v/>
      </c>
      <c r="AR86" s="8">
        <f>SUMIFS(tblAuftraege[Kalk.
Einnahmen],tblAuftraege[Datum
Einnahmen],"&gt;="&amp;AR$5,tblAuftraege[Datum
Einnahmen],"&lt;"&amp;EDATE(AR$5,1),tblAuftraege[Themenfeld],"Parking")</f>
        <v/>
      </c>
      <c r="AS86" s="8">
        <f>SUMIFS(tblAuftraege[Kalk.
Einnahmen],tblAuftraege[Datum
Einnahmen],"&gt;="&amp;AS$5,tblAuftraege[Datum
Einnahmen],"&lt;"&amp;EDATE(AS$5,1),tblAuftraege[Themenfeld],"Parking")</f>
        <v/>
      </c>
      <c r="AT86" s="8">
        <f>SUMIFS(tblAuftraege[Kalk.
Einnahmen],tblAuftraege[Datum
Einnahmen],"&gt;="&amp;AT$5,tblAuftraege[Datum
Einnahmen],"&lt;"&amp;EDATE(AT$5,1),tblAuftraege[Themenfeld],"Parking")</f>
        <v/>
      </c>
      <c r="AU86" s="8">
        <f>SUMIFS(tblAuftraege[Kalk.
Einnahmen],tblAuftraege[Datum
Einnahmen],"&gt;="&amp;AU$5,tblAuftraege[Datum
Einnahmen],"&lt;"&amp;EDATE(AU$5,1),tblAuftraege[Themenfeld],"Parking")</f>
        <v/>
      </c>
      <c r="AV86" s="8">
        <f>SUMIFS(tblAuftraege[Kalk.
Einnahmen],tblAuftraege[Datum
Einnahmen],"&gt;="&amp;AV$5,tblAuftraege[Datum
Einnahmen],"&lt;"&amp;EDATE(AV$5,1),tblAuftraege[Themenfeld],"Parking")</f>
        <v/>
      </c>
      <c r="AW86" s="8">
        <f>SUMIFS(tblAuftraege[Kalk.
Einnahmen],tblAuftraege[Datum
Einnahmen],"&gt;="&amp;AW$5,tblAuftraege[Datum
Einnahmen],"&lt;"&amp;EDATE(AW$5,1),tblAuftraege[Themenfeld],"Parking")</f>
        <v/>
      </c>
      <c r="AX86" s="8">
        <f>SUMIFS(tblAuftraege[Kalk.
Einnahmen],tblAuftraege[Datum
Einnahmen],"&gt;="&amp;AX$5,tblAuftraege[Datum
Einnahmen],"&lt;"&amp;EDATE(AX$5,1),tblAuftraege[Themenfeld],"Parking")</f>
        <v/>
      </c>
      <c r="AY86" s="8">
        <f>SUMIFS(tblAuftraege[Kalk.
Einnahmen],tblAuftraege[Datum
Einnahmen],"&gt;="&amp;AY$5,tblAuftraege[Datum
Einnahmen],"&lt;"&amp;EDATE(AY$5,1),tblAuftraege[Themenfeld],"Parking")</f>
        <v/>
      </c>
      <c r="AZ86" s="8">
        <f>SUMIFS(tblAuftraege[Kalk.
Einnahmen],tblAuftraege[Datum
Einnahmen],"&gt;="&amp;AZ$5,tblAuftraege[Datum
Einnahmen],"&lt;"&amp;EDATE(AZ$5,1),tblAuftraege[Themenfeld],"Parking")</f>
        <v/>
      </c>
      <c r="BA86" s="8">
        <f>SUMIFS(tblAuftraege[Kalk.
Einnahmen],tblAuftraege[Datum
Einnahmen],"&gt;="&amp;BA$5,tblAuftraege[Datum
Einnahmen],"&lt;"&amp;EDATE(BA$5,1),tblAuftraege[Themenfeld],"Parking")</f>
        <v/>
      </c>
      <c r="BB86" s="8">
        <f>SUMIFS(tblAuftraege[Kalk.
Einnahmen],tblAuftraege[Datum
Einnahmen],"&gt;="&amp;BB$5,tblAuftraege[Datum
Einnahmen],"&lt;"&amp;EDATE(BB$5,1),tblAuftraege[Themenfeld],"Parking")</f>
        <v/>
      </c>
      <c r="BC86" s="8">
        <f>SUMIFS(tblAuftraege[Kalk.
Einnahmen],tblAuftraege[Datum
Einnahmen],"&gt;="&amp;BC$5,tblAuftraege[Datum
Einnahmen],"&lt;"&amp;EDATE(BC$5,1),tblAuftraege[Themenfeld],"Parking")</f>
        <v/>
      </c>
      <c r="BD86" s="8">
        <f>SUMIFS(tblAuftraege[Kalk.
Einnahmen],tblAuftraege[Datum
Einnahmen],"&gt;="&amp;BD$5,tblAuftraege[Datum
Einnahmen],"&lt;"&amp;EDATE(BD$5,1),tblAuftraege[Themenfeld],"Parking")</f>
        <v/>
      </c>
      <c r="BE86" s="8">
        <f>SUM(C86:H86)</f>
        <v/>
      </c>
      <c r="BF86" s="8">
        <f>SUM(I86:T86)</f>
        <v/>
      </c>
      <c r="BG86" s="8">
        <f>SUM(U86:AF86)</f>
        <v/>
      </c>
      <c r="BH86" s="8">
        <f>SUM(AG86:AR86)</f>
        <v/>
      </c>
      <c r="BI86" s="8">
        <f>SUM(AS86:BD86)</f>
        <v/>
      </c>
      <c r="BJ86" s="8">
        <f>SUM(C86:BD86)</f>
        <v/>
      </c>
    </row>
    <row r="87">
      <c r="B87" s="45" t="inlineStr">
        <is>
          <t>Parking – Ausgaben</t>
        </is>
      </c>
      <c r="C87" s="37">
        <f>SUMIFS(tblAuftraege[Kalk.
Ausgaben],tblAuftraege[Datum
Ausgaben],"&gt;="&amp;C$5,tblAuftraege[Datum
Ausgaben],"&lt;"&amp;EDATE(C$5,1),tblAuftraege[Themenfeld],"Parking")</f>
        <v/>
      </c>
      <c r="D87" s="37">
        <f>SUMIFS(tblAuftraege[Kalk.
Ausgaben],tblAuftraege[Datum
Ausgaben],"&gt;="&amp;D$5,tblAuftraege[Datum
Ausgaben],"&lt;"&amp;EDATE(D$5,1),tblAuftraege[Themenfeld],"Parking")</f>
        <v/>
      </c>
      <c r="E87" s="37">
        <f>SUMIFS(tblAuftraege[Kalk.
Ausgaben],tblAuftraege[Datum
Ausgaben],"&gt;="&amp;E$5,tblAuftraege[Datum
Ausgaben],"&lt;"&amp;EDATE(E$5,1),tblAuftraege[Themenfeld],"Parking")</f>
        <v/>
      </c>
      <c r="F87" s="37">
        <f>SUMIFS(tblAuftraege[Kalk.
Ausgaben],tblAuftraege[Datum
Ausgaben],"&gt;="&amp;F$5,tblAuftraege[Datum
Ausgaben],"&lt;"&amp;EDATE(F$5,1),tblAuftraege[Themenfeld],"Parking")</f>
        <v/>
      </c>
      <c r="G87" s="37">
        <f>SUMIFS(tblAuftraege[Kalk.
Ausgaben],tblAuftraege[Datum
Ausgaben],"&gt;="&amp;G$5,tblAuftraege[Datum
Ausgaben],"&lt;"&amp;EDATE(G$5,1),tblAuftraege[Themenfeld],"Parking")</f>
        <v/>
      </c>
      <c r="H87" s="37">
        <f>SUMIFS(tblAuftraege[Kalk.
Ausgaben],tblAuftraege[Datum
Ausgaben],"&gt;="&amp;H$5,tblAuftraege[Datum
Ausgaben],"&lt;"&amp;EDATE(H$5,1),tblAuftraege[Themenfeld],"Parking")</f>
        <v/>
      </c>
      <c r="I87" s="37">
        <f>SUMIFS(tblAuftraege[Kalk.
Ausgaben],tblAuftraege[Datum
Ausgaben],"&gt;="&amp;I$5,tblAuftraege[Datum
Ausgaben],"&lt;"&amp;EDATE(I$5,1),tblAuftraege[Themenfeld],"Parking")</f>
        <v/>
      </c>
      <c r="J87" s="37">
        <f>SUMIFS(tblAuftraege[Kalk.
Ausgaben],tblAuftraege[Datum
Ausgaben],"&gt;="&amp;J$5,tblAuftraege[Datum
Ausgaben],"&lt;"&amp;EDATE(J$5,1),tblAuftraege[Themenfeld],"Parking")</f>
        <v/>
      </c>
      <c r="K87" s="37">
        <f>SUMIFS(tblAuftraege[Kalk.
Ausgaben],tblAuftraege[Datum
Ausgaben],"&gt;="&amp;K$5,tblAuftraege[Datum
Ausgaben],"&lt;"&amp;EDATE(K$5,1),tblAuftraege[Themenfeld],"Parking")</f>
        <v/>
      </c>
      <c r="L87" s="37">
        <f>SUMIFS(tblAuftraege[Kalk.
Ausgaben],tblAuftraege[Datum
Ausgaben],"&gt;="&amp;L$5,tblAuftraege[Datum
Ausgaben],"&lt;"&amp;EDATE(L$5,1),tblAuftraege[Themenfeld],"Parking")</f>
        <v/>
      </c>
      <c r="M87" s="37">
        <f>SUMIFS(tblAuftraege[Kalk.
Ausgaben],tblAuftraege[Datum
Ausgaben],"&gt;="&amp;M$5,tblAuftraege[Datum
Ausgaben],"&lt;"&amp;EDATE(M$5,1),tblAuftraege[Themenfeld],"Parking")</f>
        <v/>
      </c>
      <c r="N87" s="37">
        <f>SUMIFS(tblAuftraege[Kalk.
Ausgaben],tblAuftraege[Datum
Ausgaben],"&gt;="&amp;N$5,tblAuftraege[Datum
Ausgaben],"&lt;"&amp;EDATE(N$5,1),tblAuftraege[Themenfeld],"Parking")</f>
        <v/>
      </c>
      <c r="O87" s="37">
        <f>SUMIFS(tblAuftraege[Kalk.
Ausgaben],tblAuftraege[Datum
Ausgaben],"&gt;="&amp;O$5,tblAuftraege[Datum
Ausgaben],"&lt;"&amp;EDATE(O$5,1),tblAuftraege[Themenfeld],"Parking")</f>
        <v/>
      </c>
      <c r="P87" s="37">
        <f>SUMIFS(tblAuftraege[Kalk.
Ausgaben],tblAuftraege[Datum
Ausgaben],"&gt;="&amp;P$5,tblAuftraege[Datum
Ausgaben],"&lt;"&amp;EDATE(P$5,1),tblAuftraege[Themenfeld],"Parking")</f>
        <v/>
      </c>
      <c r="Q87" s="37">
        <f>SUMIFS(tblAuftraege[Kalk.
Ausgaben],tblAuftraege[Datum
Ausgaben],"&gt;="&amp;Q$5,tblAuftraege[Datum
Ausgaben],"&lt;"&amp;EDATE(Q$5,1),tblAuftraege[Themenfeld],"Parking")</f>
        <v/>
      </c>
      <c r="R87" s="37">
        <f>SUMIFS(tblAuftraege[Kalk.
Ausgaben],tblAuftraege[Datum
Ausgaben],"&gt;="&amp;R$5,tblAuftraege[Datum
Ausgaben],"&lt;"&amp;EDATE(R$5,1),tblAuftraege[Themenfeld],"Parking")</f>
        <v/>
      </c>
      <c r="S87" s="37">
        <f>SUMIFS(tblAuftraege[Kalk.
Ausgaben],tblAuftraege[Datum
Ausgaben],"&gt;="&amp;S$5,tblAuftraege[Datum
Ausgaben],"&lt;"&amp;EDATE(S$5,1),tblAuftraege[Themenfeld],"Parking")</f>
        <v/>
      </c>
      <c r="T87" s="37">
        <f>SUMIFS(tblAuftraege[Kalk.
Ausgaben],tblAuftraege[Datum
Ausgaben],"&gt;="&amp;T$5,tblAuftraege[Datum
Ausgaben],"&lt;"&amp;EDATE(T$5,1),tblAuftraege[Themenfeld],"Parking")</f>
        <v/>
      </c>
      <c r="U87" s="37">
        <f>SUMIFS(tblAuftraege[Kalk.
Ausgaben],tblAuftraege[Datum
Ausgaben],"&gt;="&amp;U$5,tblAuftraege[Datum
Ausgaben],"&lt;"&amp;EDATE(U$5,1),tblAuftraege[Themenfeld],"Parking")</f>
        <v/>
      </c>
      <c r="V87" s="37">
        <f>SUMIFS(tblAuftraege[Kalk.
Ausgaben],tblAuftraege[Datum
Ausgaben],"&gt;="&amp;V$5,tblAuftraege[Datum
Ausgaben],"&lt;"&amp;EDATE(V$5,1),tblAuftraege[Themenfeld],"Parking")</f>
        <v/>
      </c>
      <c r="W87" s="37">
        <f>SUMIFS(tblAuftraege[Kalk.
Ausgaben],tblAuftraege[Datum
Ausgaben],"&gt;="&amp;W$5,tblAuftraege[Datum
Ausgaben],"&lt;"&amp;EDATE(W$5,1),tblAuftraege[Themenfeld],"Parking")</f>
        <v/>
      </c>
      <c r="X87" s="37">
        <f>SUMIFS(tblAuftraege[Kalk.
Ausgaben],tblAuftraege[Datum
Ausgaben],"&gt;="&amp;X$5,tblAuftraege[Datum
Ausgaben],"&lt;"&amp;EDATE(X$5,1),tblAuftraege[Themenfeld],"Parking")</f>
        <v/>
      </c>
      <c r="Y87" s="37">
        <f>SUMIFS(tblAuftraege[Kalk.
Ausgaben],tblAuftraege[Datum
Ausgaben],"&gt;="&amp;Y$5,tblAuftraege[Datum
Ausgaben],"&lt;"&amp;EDATE(Y$5,1),tblAuftraege[Themenfeld],"Parking")</f>
        <v/>
      </c>
      <c r="Z87" s="37">
        <f>SUMIFS(tblAuftraege[Kalk.
Ausgaben],tblAuftraege[Datum
Ausgaben],"&gt;="&amp;Z$5,tblAuftraege[Datum
Ausgaben],"&lt;"&amp;EDATE(Z$5,1),tblAuftraege[Themenfeld],"Parking")</f>
        <v/>
      </c>
      <c r="AA87" s="37">
        <f>SUMIFS(tblAuftraege[Kalk.
Ausgaben],tblAuftraege[Datum
Ausgaben],"&gt;="&amp;AA$5,tblAuftraege[Datum
Ausgaben],"&lt;"&amp;EDATE(AA$5,1),tblAuftraege[Themenfeld],"Parking")</f>
        <v/>
      </c>
      <c r="AB87" s="37">
        <f>SUMIFS(tblAuftraege[Kalk.
Ausgaben],tblAuftraege[Datum
Ausgaben],"&gt;="&amp;AB$5,tblAuftraege[Datum
Ausgaben],"&lt;"&amp;EDATE(AB$5,1),tblAuftraege[Themenfeld],"Parking")</f>
        <v/>
      </c>
      <c r="AC87" s="37">
        <f>SUMIFS(tblAuftraege[Kalk.
Ausgaben],tblAuftraege[Datum
Ausgaben],"&gt;="&amp;AC$5,tblAuftraege[Datum
Ausgaben],"&lt;"&amp;EDATE(AC$5,1),tblAuftraege[Themenfeld],"Parking")</f>
        <v/>
      </c>
      <c r="AD87" s="37">
        <f>SUMIFS(tblAuftraege[Kalk.
Ausgaben],tblAuftraege[Datum
Ausgaben],"&gt;="&amp;AD$5,tblAuftraege[Datum
Ausgaben],"&lt;"&amp;EDATE(AD$5,1),tblAuftraege[Themenfeld],"Parking")</f>
        <v/>
      </c>
      <c r="AE87" s="37">
        <f>SUMIFS(tblAuftraege[Kalk.
Ausgaben],tblAuftraege[Datum
Ausgaben],"&gt;="&amp;AE$5,tblAuftraege[Datum
Ausgaben],"&lt;"&amp;EDATE(AE$5,1),tblAuftraege[Themenfeld],"Parking")</f>
        <v/>
      </c>
      <c r="AF87" s="37">
        <f>SUMIFS(tblAuftraege[Kalk.
Ausgaben],tblAuftraege[Datum
Ausgaben],"&gt;="&amp;AF$5,tblAuftraege[Datum
Ausgaben],"&lt;"&amp;EDATE(AF$5,1),tblAuftraege[Themenfeld],"Parking")</f>
        <v/>
      </c>
      <c r="AG87" s="37">
        <f>SUMIFS(tblAuftraege[Kalk.
Ausgaben],tblAuftraege[Datum
Ausgaben],"&gt;="&amp;AG$5,tblAuftraege[Datum
Ausgaben],"&lt;"&amp;EDATE(AG$5,1),tblAuftraege[Themenfeld],"Parking")</f>
        <v/>
      </c>
      <c r="AH87" s="37">
        <f>SUMIFS(tblAuftraege[Kalk.
Ausgaben],tblAuftraege[Datum
Ausgaben],"&gt;="&amp;AH$5,tblAuftraege[Datum
Ausgaben],"&lt;"&amp;EDATE(AH$5,1),tblAuftraege[Themenfeld],"Parking")</f>
        <v/>
      </c>
      <c r="AI87" s="37">
        <f>SUMIFS(tblAuftraege[Kalk.
Ausgaben],tblAuftraege[Datum
Ausgaben],"&gt;="&amp;AI$5,tblAuftraege[Datum
Ausgaben],"&lt;"&amp;EDATE(AI$5,1),tblAuftraege[Themenfeld],"Parking")</f>
        <v/>
      </c>
      <c r="AJ87" s="37">
        <f>SUMIFS(tblAuftraege[Kalk.
Ausgaben],tblAuftraege[Datum
Ausgaben],"&gt;="&amp;AJ$5,tblAuftraege[Datum
Ausgaben],"&lt;"&amp;EDATE(AJ$5,1),tblAuftraege[Themenfeld],"Parking")</f>
        <v/>
      </c>
      <c r="AK87" s="37">
        <f>SUMIFS(tblAuftraege[Kalk.
Ausgaben],tblAuftraege[Datum
Ausgaben],"&gt;="&amp;AK$5,tblAuftraege[Datum
Ausgaben],"&lt;"&amp;EDATE(AK$5,1),tblAuftraege[Themenfeld],"Parking")</f>
        <v/>
      </c>
      <c r="AL87" s="37">
        <f>SUMIFS(tblAuftraege[Kalk.
Ausgaben],tblAuftraege[Datum
Ausgaben],"&gt;="&amp;AL$5,tblAuftraege[Datum
Ausgaben],"&lt;"&amp;EDATE(AL$5,1),tblAuftraege[Themenfeld],"Parking")</f>
        <v/>
      </c>
      <c r="AM87" s="37">
        <f>SUMIFS(tblAuftraege[Kalk.
Ausgaben],tblAuftraege[Datum
Ausgaben],"&gt;="&amp;AM$5,tblAuftraege[Datum
Ausgaben],"&lt;"&amp;EDATE(AM$5,1),tblAuftraege[Themenfeld],"Parking")</f>
        <v/>
      </c>
      <c r="AN87" s="37">
        <f>SUMIFS(tblAuftraege[Kalk.
Ausgaben],tblAuftraege[Datum
Ausgaben],"&gt;="&amp;AN$5,tblAuftraege[Datum
Ausgaben],"&lt;"&amp;EDATE(AN$5,1),tblAuftraege[Themenfeld],"Parking")</f>
        <v/>
      </c>
      <c r="AO87" s="37">
        <f>SUMIFS(tblAuftraege[Kalk.
Ausgaben],tblAuftraege[Datum
Ausgaben],"&gt;="&amp;AO$5,tblAuftraege[Datum
Ausgaben],"&lt;"&amp;EDATE(AO$5,1),tblAuftraege[Themenfeld],"Parking")</f>
        <v/>
      </c>
      <c r="AP87" s="37">
        <f>SUMIFS(tblAuftraege[Kalk.
Ausgaben],tblAuftraege[Datum
Ausgaben],"&gt;="&amp;AP$5,tblAuftraege[Datum
Ausgaben],"&lt;"&amp;EDATE(AP$5,1),tblAuftraege[Themenfeld],"Parking")</f>
        <v/>
      </c>
      <c r="AQ87" s="37">
        <f>SUMIFS(tblAuftraege[Kalk.
Ausgaben],tblAuftraege[Datum
Ausgaben],"&gt;="&amp;AQ$5,tblAuftraege[Datum
Ausgaben],"&lt;"&amp;EDATE(AQ$5,1),tblAuftraege[Themenfeld],"Parking")</f>
        <v/>
      </c>
      <c r="AR87" s="37">
        <f>SUMIFS(tblAuftraege[Kalk.
Ausgaben],tblAuftraege[Datum
Ausgaben],"&gt;="&amp;AR$5,tblAuftraege[Datum
Ausgaben],"&lt;"&amp;EDATE(AR$5,1),tblAuftraege[Themenfeld],"Parking")</f>
        <v/>
      </c>
      <c r="AS87" s="37">
        <f>SUMIFS(tblAuftraege[Kalk.
Ausgaben],tblAuftraege[Datum
Ausgaben],"&gt;="&amp;AS$5,tblAuftraege[Datum
Ausgaben],"&lt;"&amp;EDATE(AS$5,1),tblAuftraege[Themenfeld],"Parking")</f>
        <v/>
      </c>
      <c r="AT87" s="37">
        <f>SUMIFS(tblAuftraege[Kalk.
Ausgaben],tblAuftraege[Datum
Ausgaben],"&gt;="&amp;AT$5,tblAuftraege[Datum
Ausgaben],"&lt;"&amp;EDATE(AT$5,1),tblAuftraege[Themenfeld],"Parking")</f>
        <v/>
      </c>
      <c r="AU87" s="37">
        <f>SUMIFS(tblAuftraege[Kalk.
Ausgaben],tblAuftraege[Datum
Ausgaben],"&gt;="&amp;AU$5,tblAuftraege[Datum
Ausgaben],"&lt;"&amp;EDATE(AU$5,1),tblAuftraege[Themenfeld],"Parking")</f>
        <v/>
      </c>
      <c r="AV87" s="37">
        <f>SUMIFS(tblAuftraege[Kalk.
Ausgaben],tblAuftraege[Datum
Ausgaben],"&gt;="&amp;AV$5,tblAuftraege[Datum
Ausgaben],"&lt;"&amp;EDATE(AV$5,1),tblAuftraege[Themenfeld],"Parking")</f>
        <v/>
      </c>
      <c r="AW87" s="37">
        <f>SUMIFS(tblAuftraege[Kalk.
Ausgaben],tblAuftraege[Datum
Ausgaben],"&gt;="&amp;AW$5,tblAuftraege[Datum
Ausgaben],"&lt;"&amp;EDATE(AW$5,1),tblAuftraege[Themenfeld],"Parking")</f>
        <v/>
      </c>
      <c r="AX87" s="37">
        <f>SUMIFS(tblAuftraege[Kalk.
Ausgaben],tblAuftraege[Datum
Ausgaben],"&gt;="&amp;AX$5,tblAuftraege[Datum
Ausgaben],"&lt;"&amp;EDATE(AX$5,1),tblAuftraege[Themenfeld],"Parking")</f>
        <v/>
      </c>
      <c r="AY87" s="37">
        <f>SUMIFS(tblAuftraege[Kalk.
Ausgaben],tblAuftraege[Datum
Ausgaben],"&gt;="&amp;AY$5,tblAuftraege[Datum
Ausgaben],"&lt;"&amp;EDATE(AY$5,1),tblAuftraege[Themenfeld],"Parking")</f>
        <v/>
      </c>
      <c r="AZ87" s="37">
        <f>SUMIFS(tblAuftraege[Kalk.
Ausgaben],tblAuftraege[Datum
Ausgaben],"&gt;="&amp;AZ$5,tblAuftraege[Datum
Ausgaben],"&lt;"&amp;EDATE(AZ$5,1),tblAuftraege[Themenfeld],"Parking")</f>
        <v/>
      </c>
      <c r="BA87" s="37">
        <f>SUMIFS(tblAuftraege[Kalk.
Ausgaben],tblAuftraege[Datum
Ausgaben],"&gt;="&amp;BA$5,tblAuftraege[Datum
Ausgaben],"&lt;"&amp;EDATE(BA$5,1),tblAuftraege[Themenfeld],"Parking")</f>
        <v/>
      </c>
      <c r="BB87" s="37">
        <f>SUMIFS(tblAuftraege[Kalk.
Ausgaben],tblAuftraege[Datum
Ausgaben],"&gt;="&amp;BB$5,tblAuftraege[Datum
Ausgaben],"&lt;"&amp;EDATE(BB$5,1),tblAuftraege[Themenfeld],"Parking")</f>
        <v/>
      </c>
      <c r="BC87" s="37">
        <f>SUMIFS(tblAuftraege[Kalk.
Ausgaben],tblAuftraege[Datum
Ausgaben],"&gt;="&amp;BC$5,tblAuftraege[Datum
Ausgaben],"&lt;"&amp;EDATE(BC$5,1),tblAuftraege[Themenfeld],"Parking")</f>
        <v/>
      </c>
      <c r="BD87" s="37">
        <f>SUMIFS(tblAuftraege[Kalk.
Ausgaben],tblAuftraege[Datum
Ausgaben],"&gt;="&amp;BD$5,tblAuftraege[Datum
Ausgaben],"&lt;"&amp;EDATE(BD$5,1),tblAuftraege[Themenfeld],"Parking")</f>
        <v/>
      </c>
      <c r="BE87" s="37">
        <f>SUM(C87:H87)</f>
        <v/>
      </c>
      <c r="BF87" s="37">
        <f>SUM(I87:T87)</f>
        <v/>
      </c>
      <c r="BG87" s="37">
        <f>SUM(U87:AF87)</f>
        <v/>
      </c>
      <c r="BH87" s="37">
        <f>SUM(AG87:AR87)</f>
        <v/>
      </c>
      <c r="BI87" s="37">
        <f>SUM(AS87:BD87)</f>
        <v/>
      </c>
      <c r="BJ87" s="37">
        <f>SUM(C87:BD87)</f>
        <v/>
      </c>
    </row>
    <row r="88">
      <c r="B88" s="45" t="inlineStr">
        <is>
          <t>IoT – Einnahmen</t>
        </is>
      </c>
      <c r="C88" s="63">
        <f>SUMIFS(tblAuftraege[Kalk.
Einnahmen],tblAuftraege[Datum
Einnahmen],"&gt;="&amp;C$5,tblAuftraege[Datum
Einnahmen],"&lt;"&amp;EDATE(C$5,1),tblAuftraege[Themenfeld],"IoT")</f>
        <v/>
      </c>
      <c r="D88" s="63">
        <f>SUMIFS(tblAuftraege[Kalk.
Einnahmen],tblAuftraege[Datum
Einnahmen],"&gt;="&amp;D$5,tblAuftraege[Datum
Einnahmen],"&lt;"&amp;EDATE(D$5,1),tblAuftraege[Themenfeld],"IoT")</f>
        <v/>
      </c>
      <c r="E88" s="63">
        <f>SUMIFS(tblAuftraege[Kalk.
Einnahmen],tblAuftraege[Datum
Einnahmen],"&gt;="&amp;E$5,tblAuftraege[Datum
Einnahmen],"&lt;"&amp;EDATE(E$5,1),tblAuftraege[Themenfeld],"IoT")</f>
        <v/>
      </c>
      <c r="F88" s="63">
        <f>SUMIFS(tblAuftraege[Kalk.
Einnahmen],tblAuftraege[Datum
Einnahmen],"&gt;="&amp;F$5,tblAuftraege[Datum
Einnahmen],"&lt;"&amp;EDATE(F$5,1),tblAuftraege[Themenfeld],"IoT")</f>
        <v/>
      </c>
      <c r="G88" s="63">
        <f>SUMIFS(tblAuftraege[Kalk.
Einnahmen],tblAuftraege[Datum
Einnahmen],"&gt;="&amp;G$5,tblAuftraege[Datum
Einnahmen],"&lt;"&amp;EDATE(G$5,1),tblAuftraege[Themenfeld],"IoT")</f>
        <v/>
      </c>
      <c r="H88" s="63">
        <f>SUMIFS(tblAuftraege[Kalk.
Einnahmen],tblAuftraege[Datum
Einnahmen],"&gt;="&amp;H$5,tblAuftraege[Datum
Einnahmen],"&lt;"&amp;EDATE(H$5,1),tblAuftraege[Themenfeld],"IoT")</f>
        <v/>
      </c>
      <c r="I88" s="63">
        <f>SUMIFS(tblAuftraege[Kalk.
Einnahmen],tblAuftraege[Datum
Einnahmen],"&gt;="&amp;I$5,tblAuftraege[Datum
Einnahmen],"&lt;"&amp;EDATE(I$5,1),tblAuftraege[Themenfeld],"IoT")</f>
        <v/>
      </c>
      <c r="J88" s="63">
        <f>SUMIFS(tblAuftraege[Kalk.
Einnahmen],tblAuftraege[Datum
Einnahmen],"&gt;="&amp;J$5,tblAuftraege[Datum
Einnahmen],"&lt;"&amp;EDATE(J$5,1),tblAuftraege[Themenfeld],"IoT")</f>
        <v/>
      </c>
      <c r="K88" s="63">
        <f>SUMIFS(tblAuftraege[Kalk.
Einnahmen],tblAuftraege[Datum
Einnahmen],"&gt;="&amp;K$5,tblAuftraege[Datum
Einnahmen],"&lt;"&amp;EDATE(K$5,1),tblAuftraege[Themenfeld],"IoT")</f>
        <v/>
      </c>
      <c r="L88" s="63">
        <f>SUMIFS(tblAuftraege[Kalk.
Einnahmen],tblAuftraege[Datum
Einnahmen],"&gt;="&amp;L$5,tblAuftraege[Datum
Einnahmen],"&lt;"&amp;EDATE(L$5,1),tblAuftraege[Themenfeld],"IoT")</f>
        <v/>
      </c>
      <c r="M88" s="63">
        <f>SUMIFS(tblAuftraege[Kalk.
Einnahmen],tblAuftraege[Datum
Einnahmen],"&gt;="&amp;M$5,tblAuftraege[Datum
Einnahmen],"&lt;"&amp;EDATE(M$5,1),tblAuftraege[Themenfeld],"IoT")</f>
        <v/>
      </c>
      <c r="N88" s="63">
        <f>SUMIFS(tblAuftraege[Kalk.
Einnahmen],tblAuftraege[Datum
Einnahmen],"&gt;="&amp;N$5,tblAuftraege[Datum
Einnahmen],"&lt;"&amp;EDATE(N$5,1),tblAuftraege[Themenfeld],"IoT")</f>
        <v/>
      </c>
      <c r="O88" s="63">
        <f>SUMIFS(tblAuftraege[Kalk.
Einnahmen],tblAuftraege[Datum
Einnahmen],"&gt;="&amp;O$5,tblAuftraege[Datum
Einnahmen],"&lt;"&amp;EDATE(O$5,1),tblAuftraege[Themenfeld],"IoT")</f>
        <v/>
      </c>
      <c r="P88" s="63">
        <f>SUMIFS(tblAuftraege[Kalk.
Einnahmen],tblAuftraege[Datum
Einnahmen],"&gt;="&amp;P$5,tblAuftraege[Datum
Einnahmen],"&lt;"&amp;EDATE(P$5,1),tblAuftraege[Themenfeld],"IoT")</f>
        <v/>
      </c>
      <c r="Q88" s="63">
        <f>SUMIFS(tblAuftraege[Kalk.
Einnahmen],tblAuftraege[Datum
Einnahmen],"&gt;="&amp;Q$5,tblAuftraege[Datum
Einnahmen],"&lt;"&amp;EDATE(Q$5,1),tblAuftraege[Themenfeld],"IoT")</f>
        <v/>
      </c>
      <c r="R88" s="63">
        <f>SUMIFS(tblAuftraege[Kalk.
Einnahmen],tblAuftraege[Datum
Einnahmen],"&gt;="&amp;R$5,tblAuftraege[Datum
Einnahmen],"&lt;"&amp;EDATE(R$5,1),tblAuftraege[Themenfeld],"IoT")</f>
        <v/>
      </c>
      <c r="S88" s="63">
        <f>SUMIFS(tblAuftraege[Kalk.
Einnahmen],tblAuftraege[Datum
Einnahmen],"&gt;="&amp;S$5,tblAuftraege[Datum
Einnahmen],"&lt;"&amp;EDATE(S$5,1),tblAuftraege[Themenfeld],"IoT")</f>
        <v/>
      </c>
      <c r="T88" s="63">
        <f>SUMIFS(tblAuftraege[Kalk.
Einnahmen],tblAuftraege[Datum
Einnahmen],"&gt;="&amp;T$5,tblAuftraege[Datum
Einnahmen],"&lt;"&amp;EDATE(T$5,1),tblAuftraege[Themenfeld],"IoT")</f>
        <v/>
      </c>
      <c r="U88" s="63">
        <f>SUMIFS(tblAuftraege[Kalk.
Einnahmen],tblAuftraege[Datum
Einnahmen],"&gt;="&amp;U$5,tblAuftraege[Datum
Einnahmen],"&lt;"&amp;EDATE(U$5,1),tblAuftraege[Themenfeld],"IoT")</f>
        <v/>
      </c>
      <c r="V88" s="63">
        <f>SUMIFS(tblAuftraege[Kalk.
Einnahmen],tblAuftraege[Datum
Einnahmen],"&gt;="&amp;V$5,tblAuftraege[Datum
Einnahmen],"&lt;"&amp;EDATE(V$5,1),tblAuftraege[Themenfeld],"IoT")</f>
        <v/>
      </c>
      <c r="W88" s="63">
        <f>SUMIFS(tblAuftraege[Kalk.
Einnahmen],tblAuftraege[Datum
Einnahmen],"&gt;="&amp;W$5,tblAuftraege[Datum
Einnahmen],"&lt;"&amp;EDATE(W$5,1),tblAuftraege[Themenfeld],"IoT")</f>
        <v/>
      </c>
      <c r="X88" s="63">
        <f>SUMIFS(tblAuftraege[Kalk.
Einnahmen],tblAuftraege[Datum
Einnahmen],"&gt;="&amp;X$5,tblAuftraege[Datum
Einnahmen],"&lt;"&amp;EDATE(X$5,1),tblAuftraege[Themenfeld],"IoT")</f>
        <v/>
      </c>
      <c r="Y88" s="63">
        <f>SUMIFS(tblAuftraege[Kalk.
Einnahmen],tblAuftraege[Datum
Einnahmen],"&gt;="&amp;Y$5,tblAuftraege[Datum
Einnahmen],"&lt;"&amp;EDATE(Y$5,1),tblAuftraege[Themenfeld],"IoT")</f>
        <v/>
      </c>
      <c r="Z88" s="63">
        <f>SUMIFS(tblAuftraege[Kalk.
Einnahmen],tblAuftraege[Datum
Einnahmen],"&gt;="&amp;Z$5,tblAuftraege[Datum
Einnahmen],"&lt;"&amp;EDATE(Z$5,1),tblAuftraege[Themenfeld],"IoT")</f>
        <v/>
      </c>
      <c r="AA88" s="63">
        <f>SUMIFS(tblAuftraege[Kalk.
Einnahmen],tblAuftraege[Datum
Einnahmen],"&gt;="&amp;AA$5,tblAuftraege[Datum
Einnahmen],"&lt;"&amp;EDATE(AA$5,1),tblAuftraege[Themenfeld],"IoT")</f>
        <v/>
      </c>
      <c r="AB88" s="63">
        <f>SUMIFS(tblAuftraege[Kalk.
Einnahmen],tblAuftraege[Datum
Einnahmen],"&gt;="&amp;AB$5,tblAuftraege[Datum
Einnahmen],"&lt;"&amp;EDATE(AB$5,1),tblAuftraege[Themenfeld],"IoT")</f>
        <v/>
      </c>
      <c r="AC88" s="63">
        <f>SUMIFS(tblAuftraege[Kalk.
Einnahmen],tblAuftraege[Datum
Einnahmen],"&gt;="&amp;AC$5,tblAuftraege[Datum
Einnahmen],"&lt;"&amp;EDATE(AC$5,1),tblAuftraege[Themenfeld],"IoT")</f>
        <v/>
      </c>
      <c r="AD88" s="63">
        <f>SUMIFS(tblAuftraege[Kalk.
Einnahmen],tblAuftraege[Datum
Einnahmen],"&gt;="&amp;AD$5,tblAuftraege[Datum
Einnahmen],"&lt;"&amp;EDATE(AD$5,1),tblAuftraege[Themenfeld],"IoT")</f>
        <v/>
      </c>
      <c r="AE88" s="63">
        <f>SUMIFS(tblAuftraege[Kalk.
Einnahmen],tblAuftraege[Datum
Einnahmen],"&gt;="&amp;AE$5,tblAuftraege[Datum
Einnahmen],"&lt;"&amp;EDATE(AE$5,1),tblAuftraege[Themenfeld],"IoT")</f>
        <v/>
      </c>
      <c r="AF88" s="63">
        <f>SUMIFS(tblAuftraege[Kalk.
Einnahmen],tblAuftraege[Datum
Einnahmen],"&gt;="&amp;AF$5,tblAuftraege[Datum
Einnahmen],"&lt;"&amp;EDATE(AF$5,1),tblAuftraege[Themenfeld],"IoT")</f>
        <v/>
      </c>
      <c r="AG88" s="63">
        <f>SUMIFS(tblAuftraege[Kalk.
Einnahmen],tblAuftraege[Datum
Einnahmen],"&gt;="&amp;AG$5,tblAuftraege[Datum
Einnahmen],"&lt;"&amp;EDATE(AG$5,1),tblAuftraege[Themenfeld],"IoT")</f>
        <v/>
      </c>
      <c r="AH88" s="63">
        <f>SUMIFS(tblAuftraege[Kalk.
Einnahmen],tblAuftraege[Datum
Einnahmen],"&gt;="&amp;AH$5,tblAuftraege[Datum
Einnahmen],"&lt;"&amp;EDATE(AH$5,1),tblAuftraege[Themenfeld],"IoT")</f>
        <v/>
      </c>
      <c r="AI88" s="63">
        <f>SUMIFS(tblAuftraege[Kalk.
Einnahmen],tblAuftraege[Datum
Einnahmen],"&gt;="&amp;AI$5,tblAuftraege[Datum
Einnahmen],"&lt;"&amp;EDATE(AI$5,1),tblAuftraege[Themenfeld],"IoT")</f>
        <v/>
      </c>
      <c r="AJ88" s="63">
        <f>SUMIFS(tblAuftraege[Kalk.
Einnahmen],tblAuftraege[Datum
Einnahmen],"&gt;="&amp;AJ$5,tblAuftraege[Datum
Einnahmen],"&lt;"&amp;EDATE(AJ$5,1),tblAuftraege[Themenfeld],"IoT")</f>
        <v/>
      </c>
      <c r="AK88" s="63">
        <f>SUMIFS(tblAuftraege[Kalk.
Einnahmen],tblAuftraege[Datum
Einnahmen],"&gt;="&amp;AK$5,tblAuftraege[Datum
Einnahmen],"&lt;"&amp;EDATE(AK$5,1),tblAuftraege[Themenfeld],"IoT")</f>
        <v/>
      </c>
      <c r="AL88" s="63">
        <f>SUMIFS(tblAuftraege[Kalk.
Einnahmen],tblAuftraege[Datum
Einnahmen],"&gt;="&amp;AL$5,tblAuftraege[Datum
Einnahmen],"&lt;"&amp;EDATE(AL$5,1),tblAuftraege[Themenfeld],"IoT")</f>
        <v/>
      </c>
      <c r="AM88" s="63">
        <f>SUMIFS(tblAuftraege[Kalk.
Einnahmen],tblAuftraege[Datum
Einnahmen],"&gt;="&amp;AM$5,tblAuftraege[Datum
Einnahmen],"&lt;"&amp;EDATE(AM$5,1),tblAuftraege[Themenfeld],"IoT")</f>
        <v/>
      </c>
      <c r="AN88" s="63">
        <f>SUMIFS(tblAuftraege[Kalk.
Einnahmen],tblAuftraege[Datum
Einnahmen],"&gt;="&amp;AN$5,tblAuftraege[Datum
Einnahmen],"&lt;"&amp;EDATE(AN$5,1),tblAuftraege[Themenfeld],"IoT")</f>
        <v/>
      </c>
      <c r="AO88" s="63">
        <f>SUMIFS(tblAuftraege[Kalk.
Einnahmen],tblAuftraege[Datum
Einnahmen],"&gt;="&amp;AO$5,tblAuftraege[Datum
Einnahmen],"&lt;"&amp;EDATE(AO$5,1),tblAuftraege[Themenfeld],"IoT")</f>
        <v/>
      </c>
      <c r="AP88" s="63">
        <f>SUMIFS(tblAuftraege[Kalk.
Einnahmen],tblAuftraege[Datum
Einnahmen],"&gt;="&amp;AP$5,tblAuftraege[Datum
Einnahmen],"&lt;"&amp;EDATE(AP$5,1),tblAuftraege[Themenfeld],"IoT")</f>
        <v/>
      </c>
      <c r="AQ88" s="63">
        <f>SUMIFS(tblAuftraege[Kalk.
Einnahmen],tblAuftraege[Datum
Einnahmen],"&gt;="&amp;AQ$5,tblAuftraege[Datum
Einnahmen],"&lt;"&amp;EDATE(AQ$5,1),tblAuftraege[Themenfeld],"IoT")</f>
        <v/>
      </c>
      <c r="AR88" s="63">
        <f>SUMIFS(tblAuftraege[Kalk.
Einnahmen],tblAuftraege[Datum
Einnahmen],"&gt;="&amp;AR$5,tblAuftraege[Datum
Einnahmen],"&lt;"&amp;EDATE(AR$5,1),tblAuftraege[Themenfeld],"IoT")</f>
        <v/>
      </c>
      <c r="AS88" s="63">
        <f>SUMIFS(tblAuftraege[Kalk.
Einnahmen],tblAuftraege[Datum
Einnahmen],"&gt;="&amp;AS$5,tblAuftraege[Datum
Einnahmen],"&lt;"&amp;EDATE(AS$5,1),tblAuftraege[Themenfeld],"IoT")</f>
        <v/>
      </c>
      <c r="AT88" s="63">
        <f>SUMIFS(tblAuftraege[Kalk.
Einnahmen],tblAuftraege[Datum
Einnahmen],"&gt;="&amp;AT$5,tblAuftraege[Datum
Einnahmen],"&lt;"&amp;EDATE(AT$5,1),tblAuftraege[Themenfeld],"IoT")</f>
        <v/>
      </c>
      <c r="AU88" s="63">
        <f>SUMIFS(tblAuftraege[Kalk.
Einnahmen],tblAuftraege[Datum
Einnahmen],"&gt;="&amp;AU$5,tblAuftraege[Datum
Einnahmen],"&lt;"&amp;EDATE(AU$5,1),tblAuftraege[Themenfeld],"IoT")</f>
        <v/>
      </c>
      <c r="AV88" s="63">
        <f>SUMIFS(tblAuftraege[Kalk.
Einnahmen],tblAuftraege[Datum
Einnahmen],"&gt;="&amp;AV$5,tblAuftraege[Datum
Einnahmen],"&lt;"&amp;EDATE(AV$5,1),tblAuftraege[Themenfeld],"IoT")</f>
        <v/>
      </c>
      <c r="AW88" s="63">
        <f>SUMIFS(tblAuftraege[Kalk.
Einnahmen],tblAuftraege[Datum
Einnahmen],"&gt;="&amp;AW$5,tblAuftraege[Datum
Einnahmen],"&lt;"&amp;EDATE(AW$5,1),tblAuftraege[Themenfeld],"IoT")</f>
        <v/>
      </c>
      <c r="AX88" s="63">
        <f>SUMIFS(tblAuftraege[Kalk.
Einnahmen],tblAuftraege[Datum
Einnahmen],"&gt;="&amp;AX$5,tblAuftraege[Datum
Einnahmen],"&lt;"&amp;EDATE(AX$5,1),tblAuftraege[Themenfeld],"IoT")</f>
        <v/>
      </c>
      <c r="AY88" s="63">
        <f>SUMIFS(tblAuftraege[Kalk.
Einnahmen],tblAuftraege[Datum
Einnahmen],"&gt;="&amp;AY$5,tblAuftraege[Datum
Einnahmen],"&lt;"&amp;EDATE(AY$5,1),tblAuftraege[Themenfeld],"IoT")</f>
        <v/>
      </c>
      <c r="AZ88" s="63">
        <f>SUMIFS(tblAuftraege[Kalk.
Einnahmen],tblAuftraege[Datum
Einnahmen],"&gt;="&amp;AZ$5,tblAuftraege[Datum
Einnahmen],"&lt;"&amp;EDATE(AZ$5,1),tblAuftraege[Themenfeld],"IoT")</f>
        <v/>
      </c>
      <c r="BA88" s="63">
        <f>SUMIFS(tblAuftraege[Kalk.
Einnahmen],tblAuftraege[Datum
Einnahmen],"&gt;="&amp;BA$5,tblAuftraege[Datum
Einnahmen],"&lt;"&amp;EDATE(BA$5,1),tblAuftraege[Themenfeld],"IoT")</f>
        <v/>
      </c>
      <c r="BB88" s="63">
        <f>SUMIFS(tblAuftraege[Kalk.
Einnahmen],tblAuftraege[Datum
Einnahmen],"&gt;="&amp;BB$5,tblAuftraege[Datum
Einnahmen],"&lt;"&amp;EDATE(BB$5,1),tblAuftraege[Themenfeld],"IoT")</f>
        <v/>
      </c>
      <c r="BC88" s="63">
        <f>SUMIFS(tblAuftraege[Kalk.
Einnahmen],tblAuftraege[Datum
Einnahmen],"&gt;="&amp;BC$5,tblAuftraege[Datum
Einnahmen],"&lt;"&amp;EDATE(BC$5,1),tblAuftraege[Themenfeld],"IoT")</f>
        <v/>
      </c>
      <c r="BD88" s="63">
        <f>SUMIFS(tblAuftraege[Kalk.
Einnahmen],tblAuftraege[Datum
Einnahmen],"&gt;="&amp;BD$5,tblAuftraege[Datum
Einnahmen],"&lt;"&amp;EDATE(BD$5,1),tblAuftraege[Themenfeld],"IoT")</f>
        <v/>
      </c>
      <c r="BE88" s="63">
        <f>SUM(C88:H88)</f>
        <v/>
      </c>
      <c r="BF88" s="63">
        <f>SUM(I88:T88)</f>
        <v/>
      </c>
      <c r="BG88" s="63">
        <f>SUM(U88:AF88)</f>
        <v/>
      </c>
      <c r="BH88" s="63">
        <f>SUM(AG88:AR88)</f>
        <v/>
      </c>
      <c r="BI88" s="63">
        <f>SUM(AS88:BD88)</f>
        <v/>
      </c>
      <c r="BJ88" s="63">
        <f>SUM(C88:BD88)</f>
        <v/>
      </c>
    </row>
    <row r="89">
      <c r="B89" s="60" t="inlineStr">
        <is>
          <t>IoT – Ausgaben</t>
        </is>
      </c>
      <c r="C89" s="42">
        <f>SUMIFS(tblAuftraege[Kalk.
Ausgaben],tblAuftraege[Datum
Ausgaben],"&gt;="&amp;C$5,tblAuftraege[Datum
Ausgaben],"&lt;"&amp;EDATE(C$5,1),tblAuftraege[Themenfeld],"IoT")</f>
        <v/>
      </c>
      <c r="D89" s="42">
        <f>SUMIFS(tblAuftraege[Kalk.
Ausgaben],tblAuftraege[Datum
Ausgaben],"&gt;="&amp;D$5,tblAuftraege[Datum
Ausgaben],"&lt;"&amp;EDATE(D$5,1),tblAuftraege[Themenfeld],"IoT")</f>
        <v/>
      </c>
      <c r="E89" s="42">
        <f>SUMIFS(tblAuftraege[Kalk.
Ausgaben],tblAuftraege[Datum
Ausgaben],"&gt;="&amp;E$5,tblAuftraege[Datum
Ausgaben],"&lt;"&amp;EDATE(E$5,1),tblAuftraege[Themenfeld],"IoT")</f>
        <v/>
      </c>
      <c r="F89" s="42">
        <f>SUMIFS(tblAuftraege[Kalk.
Ausgaben],tblAuftraege[Datum
Ausgaben],"&gt;="&amp;F$5,tblAuftraege[Datum
Ausgaben],"&lt;"&amp;EDATE(F$5,1),tblAuftraege[Themenfeld],"IoT")</f>
        <v/>
      </c>
      <c r="G89" s="42">
        <f>SUMIFS(tblAuftraege[Kalk.
Ausgaben],tblAuftraege[Datum
Ausgaben],"&gt;="&amp;G$5,tblAuftraege[Datum
Ausgaben],"&lt;"&amp;EDATE(G$5,1),tblAuftraege[Themenfeld],"IoT")</f>
        <v/>
      </c>
      <c r="H89" s="42">
        <f>SUMIFS(tblAuftraege[Kalk.
Ausgaben],tblAuftraege[Datum
Ausgaben],"&gt;="&amp;H$5,tblAuftraege[Datum
Ausgaben],"&lt;"&amp;EDATE(H$5,1),tblAuftraege[Themenfeld],"IoT")</f>
        <v/>
      </c>
      <c r="I89" s="42">
        <f>SUMIFS(tblAuftraege[Kalk.
Ausgaben],tblAuftraege[Datum
Ausgaben],"&gt;="&amp;I$5,tblAuftraege[Datum
Ausgaben],"&lt;"&amp;EDATE(I$5,1),tblAuftraege[Themenfeld],"IoT")</f>
        <v/>
      </c>
      <c r="J89" s="42">
        <f>SUMIFS(tblAuftraege[Kalk.
Ausgaben],tblAuftraege[Datum
Ausgaben],"&gt;="&amp;J$5,tblAuftraege[Datum
Ausgaben],"&lt;"&amp;EDATE(J$5,1),tblAuftraege[Themenfeld],"IoT")</f>
        <v/>
      </c>
      <c r="K89" s="42">
        <f>SUMIFS(tblAuftraege[Kalk.
Ausgaben],tblAuftraege[Datum
Ausgaben],"&gt;="&amp;K$5,tblAuftraege[Datum
Ausgaben],"&lt;"&amp;EDATE(K$5,1),tblAuftraege[Themenfeld],"IoT")</f>
        <v/>
      </c>
      <c r="L89" s="42">
        <f>SUMIFS(tblAuftraege[Kalk.
Ausgaben],tblAuftraege[Datum
Ausgaben],"&gt;="&amp;L$5,tblAuftraege[Datum
Ausgaben],"&lt;"&amp;EDATE(L$5,1),tblAuftraege[Themenfeld],"IoT")</f>
        <v/>
      </c>
      <c r="M89" s="42">
        <f>SUMIFS(tblAuftraege[Kalk.
Ausgaben],tblAuftraege[Datum
Ausgaben],"&gt;="&amp;M$5,tblAuftraege[Datum
Ausgaben],"&lt;"&amp;EDATE(M$5,1),tblAuftraege[Themenfeld],"IoT")</f>
        <v/>
      </c>
      <c r="N89" s="42">
        <f>SUMIFS(tblAuftraege[Kalk.
Ausgaben],tblAuftraege[Datum
Ausgaben],"&gt;="&amp;N$5,tblAuftraege[Datum
Ausgaben],"&lt;"&amp;EDATE(N$5,1),tblAuftraege[Themenfeld],"IoT")</f>
        <v/>
      </c>
      <c r="O89" s="42">
        <f>SUMIFS(tblAuftraege[Kalk.
Ausgaben],tblAuftraege[Datum
Ausgaben],"&gt;="&amp;O$5,tblAuftraege[Datum
Ausgaben],"&lt;"&amp;EDATE(O$5,1),tblAuftraege[Themenfeld],"IoT")</f>
        <v/>
      </c>
      <c r="P89" s="42">
        <f>SUMIFS(tblAuftraege[Kalk.
Ausgaben],tblAuftraege[Datum
Ausgaben],"&gt;="&amp;P$5,tblAuftraege[Datum
Ausgaben],"&lt;"&amp;EDATE(P$5,1),tblAuftraege[Themenfeld],"IoT")</f>
        <v/>
      </c>
      <c r="Q89" s="42">
        <f>SUMIFS(tblAuftraege[Kalk.
Ausgaben],tblAuftraege[Datum
Ausgaben],"&gt;="&amp;Q$5,tblAuftraege[Datum
Ausgaben],"&lt;"&amp;EDATE(Q$5,1),tblAuftraege[Themenfeld],"IoT")</f>
        <v/>
      </c>
      <c r="R89" s="42">
        <f>SUMIFS(tblAuftraege[Kalk.
Ausgaben],tblAuftraege[Datum
Ausgaben],"&gt;="&amp;R$5,tblAuftraege[Datum
Ausgaben],"&lt;"&amp;EDATE(R$5,1),tblAuftraege[Themenfeld],"IoT")</f>
        <v/>
      </c>
      <c r="S89" s="42">
        <f>SUMIFS(tblAuftraege[Kalk.
Ausgaben],tblAuftraege[Datum
Ausgaben],"&gt;="&amp;S$5,tblAuftraege[Datum
Ausgaben],"&lt;"&amp;EDATE(S$5,1),tblAuftraege[Themenfeld],"IoT")</f>
        <v/>
      </c>
      <c r="T89" s="42">
        <f>SUMIFS(tblAuftraege[Kalk.
Ausgaben],tblAuftraege[Datum
Ausgaben],"&gt;="&amp;T$5,tblAuftraege[Datum
Ausgaben],"&lt;"&amp;EDATE(T$5,1),tblAuftraege[Themenfeld],"IoT")</f>
        <v/>
      </c>
      <c r="U89" s="42">
        <f>SUMIFS(tblAuftraege[Kalk.
Ausgaben],tblAuftraege[Datum
Ausgaben],"&gt;="&amp;U$5,tblAuftraege[Datum
Ausgaben],"&lt;"&amp;EDATE(U$5,1),tblAuftraege[Themenfeld],"IoT")</f>
        <v/>
      </c>
      <c r="V89" s="42">
        <f>SUMIFS(tblAuftraege[Kalk.
Ausgaben],tblAuftraege[Datum
Ausgaben],"&gt;="&amp;V$5,tblAuftraege[Datum
Ausgaben],"&lt;"&amp;EDATE(V$5,1),tblAuftraege[Themenfeld],"IoT")</f>
        <v/>
      </c>
      <c r="W89" s="42">
        <f>SUMIFS(tblAuftraege[Kalk.
Ausgaben],tblAuftraege[Datum
Ausgaben],"&gt;="&amp;W$5,tblAuftraege[Datum
Ausgaben],"&lt;"&amp;EDATE(W$5,1),tblAuftraege[Themenfeld],"IoT")</f>
        <v/>
      </c>
      <c r="X89" s="42">
        <f>SUMIFS(tblAuftraege[Kalk.
Ausgaben],tblAuftraege[Datum
Ausgaben],"&gt;="&amp;X$5,tblAuftraege[Datum
Ausgaben],"&lt;"&amp;EDATE(X$5,1),tblAuftraege[Themenfeld],"IoT")</f>
        <v/>
      </c>
      <c r="Y89" s="42">
        <f>SUMIFS(tblAuftraege[Kalk.
Ausgaben],tblAuftraege[Datum
Ausgaben],"&gt;="&amp;Y$5,tblAuftraege[Datum
Ausgaben],"&lt;"&amp;EDATE(Y$5,1),tblAuftraege[Themenfeld],"IoT")</f>
        <v/>
      </c>
      <c r="Z89" s="42">
        <f>SUMIFS(tblAuftraege[Kalk.
Ausgaben],tblAuftraege[Datum
Ausgaben],"&gt;="&amp;Z$5,tblAuftraege[Datum
Ausgaben],"&lt;"&amp;EDATE(Z$5,1),tblAuftraege[Themenfeld],"IoT")</f>
        <v/>
      </c>
      <c r="AA89" s="42">
        <f>SUMIFS(tblAuftraege[Kalk.
Ausgaben],tblAuftraege[Datum
Ausgaben],"&gt;="&amp;AA$5,tblAuftraege[Datum
Ausgaben],"&lt;"&amp;EDATE(AA$5,1),tblAuftraege[Themenfeld],"IoT")</f>
        <v/>
      </c>
      <c r="AB89" s="42">
        <f>SUMIFS(tblAuftraege[Kalk.
Ausgaben],tblAuftraege[Datum
Ausgaben],"&gt;="&amp;AB$5,tblAuftraege[Datum
Ausgaben],"&lt;"&amp;EDATE(AB$5,1),tblAuftraege[Themenfeld],"IoT")</f>
        <v/>
      </c>
      <c r="AC89" s="42">
        <f>SUMIFS(tblAuftraege[Kalk.
Ausgaben],tblAuftraege[Datum
Ausgaben],"&gt;="&amp;AC$5,tblAuftraege[Datum
Ausgaben],"&lt;"&amp;EDATE(AC$5,1),tblAuftraege[Themenfeld],"IoT")</f>
        <v/>
      </c>
      <c r="AD89" s="42">
        <f>SUMIFS(tblAuftraege[Kalk.
Ausgaben],tblAuftraege[Datum
Ausgaben],"&gt;="&amp;AD$5,tblAuftraege[Datum
Ausgaben],"&lt;"&amp;EDATE(AD$5,1),tblAuftraege[Themenfeld],"IoT")</f>
        <v/>
      </c>
      <c r="AE89" s="42">
        <f>SUMIFS(tblAuftraege[Kalk.
Ausgaben],tblAuftraege[Datum
Ausgaben],"&gt;="&amp;AE$5,tblAuftraege[Datum
Ausgaben],"&lt;"&amp;EDATE(AE$5,1),tblAuftraege[Themenfeld],"IoT")</f>
        <v/>
      </c>
      <c r="AF89" s="42">
        <f>SUMIFS(tblAuftraege[Kalk.
Ausgaben],tblAuftraege[Datum
Ausgaben],"&gt;="&amp;AF$5,tblAuftraege[Datum
Ausgaben],"&lt;"&amp;EDATE(AF$5,1),tblAuftraege[Themenfeld],"IoT")</f>
        <v/>
      </c>
      <c r="AG89" s="42">
        <f>SUMIFS(tblAuftraege[Kalk.
Ausgaben],tblAuftraege[Datum
Ausgaben],"&gt;="&amp;AG$5,tblAuftraege[Datum
Ausgaben],"&lt;"&amp;EDATE(AG$5,1),tblAuftraege[Themenfeld],"IoT")</f>
        <v/>
      </c>
      <c r="AH89" s="42">
        <f>SUMIFS(tblAuftraege[Kalk.
Ausgaben],tblAuftraege[Datum
Ausgaben],"&gt;="&amp;AH$5,tblAuftraege[Datum
Ausgaben],"&lt;"&amp;EDATE(AH$5,1),tblAuftraege[Themenfeld],"IoT")</f>
        <v/>
      </c>
      <c r="AI89" s="42">
        <f>SUMIFS(tblAuftraege[Kalk.
Ausgaben],tblAuftraege[Datum
Ausgaben],"&gt;="&amp;AI$5,tblAuftraege[Datum
Ausgaben],"&lt;"&amp;EDATE(AI$5,1),tblAuftraege[Themenfeld],"IoT")</f>
        <v/>
      </c>
      <c r="AJ89" s="42">
        <f>SUMIFS(tblAuftraege[Kalk.
Ausgaben],tblAuftraege[Datum
Ausgaben],"&gt;="&amp;AJ$5,tblAuftraege[Datum
Ausgaben],"&lt;"&amp;EDATE(AJ$5,1),tblAuftraege[Themenfeld],"IoT")</f>
        <v/>
      </c>
      <c r="AK89" s="42">
        <f>SUMIFS(tblAuftraege[Kalk.
Ausgaben],tblAuftraege[Datum
Ausgaben],"&gt;="&amp;AK$5,tblAuftraege[Datum
Ausgaben],"&lt;"&amp;EDATE(AK$5,1),tblAuftraege[Themenfeld],"IoT")</f>
        <v/>
      </c>
      <c r="AL89" s="42">
        <f>SUMIFS(tblAuftraege[Kalk.
Ausgaben],tblAuftraege[Datum
Ausgaben],"&gt;="&amp;AL$5,tblAuftraege[Datum
Ausgaben],"&lt;"&amp;EDATE(AL$5,1),tblAuftraege[Themenfeld],"IoT")</f>
        <v/>
      </c>
      <c r="AM89" s="42">
        <f>SUMIFS(tblAuftraege[Kalk.
Ausgaben],tblAuftraege[Datum
Ausgaben],"&gt;="&amp;AM$5,tblAuftraege[Datum
Ausgaben],"&lt;"&amp;EDATE(AM$5,1),tblAuftraege[Themenfeld],"IoT")</f>
        <v/>
      </c>
      <c r="AN89" s="42">
        <f>SUMIFS(tblAuftraege[Kalk.
Ausgaben],tblAuftraege[Datum
Ausgaben],"&gt;="&amp;AN$5,tblAuftraege[Datum
Ausgaben],"&lt;"&amp;EDATE(AN$5,1),tblAuftraege[Themenfeld],"IoT")</f>
        <v/>
      </c>
      <c r="AO89" s="42">
        <f>SUMIFS(tblAuftraege[Kalk.
Ausgaben],tblAuftraege[Datum
Ausgaben],"&gt;="&amp;AO$5,tblAuftraege[Datum
Ausgaben],"&lt;"&amp;EDATE(AO$5,1),tblAuftraege[Themenfeld],"IoT")</f>
        <v/>
      </c>
      <c r="AP89" s="42">
        <f>SUMIFS(tblAuftraege[Kalk.
Ausgaben],tblAuftraege[Datum
Ausgaben],"&gt;="&amp;AP$5,tblAuftraege[Datum
Ausgaben],"&lt;"&amp;EDATE(AP$5,1),tblAuftraege[Themenfeld],"IoT")</f>
        <v/>
      </c>
      <c r="AQ89" s="42">
        <f>SUMIFS(tblAuftraege[Kalk.
Ausgaben],tblAuftraege[Datum
Ausgaben],"&gt;="&amp;AQ$5,tblAuftraege[Datum
Ausgaben],"&lt;"&amp;EDATE(AQ$5,1),tblAuftraege[Themenfeld],"IoT")</f>
        <v/>
      </c>
      <c r="AR89" s="42">
        <f>SUMIFS(tblAuftraege[Kalk.
Ausgaben],tblAuftraege[Datum
Ausgaben],"&gt;="&amp;AR$5,tblAuftraege[Datum
Ausgaben],"&lt;"&amp;EDATE(AR$5,1),tblAuftraege[Themenfeld],"IoT")</f>
        <v/>
      </c>
      <c r="AS89" s="42">
        <f>SUMIFS(tblAuftraege[Kalk.
Ausgaben],tblAuftraege[Datum
Ausgaben],"&gt;="&amp;AS$5,tblAuftraege[Datum
Ausgaben],"&lt;"&amp;EDATE(AS$5,1),tblAuftraege[Themenfeld],"IoT")</f>
        <v/>
      </c>
      <c r="AT89" s="42">
        <f>SUMIFS(tblAuftraege[Kalk.
Ausgaben],tblAuftraege[Datum
Ausgaben],"&gt;="&amp;AT$5,tblAuftraege[Datum
Ausgaben],"&lt;"&amp;EDATE(AT$5,1),tblAuftraege[Themenfeld],"IoT")</f>
        <v/>
      </c>
      <c r="AU89" s="42">
        <f>SUMIFS(tblAuftraege[Kalk.
Ausgaben],tblAuftraege[Datum
Ausgaben],"&gt;="&amp;AU$5,tblAuftraege[Datum
Ausgaben],"&lt;"&amp;EDATE(AU$5,1),tblAuftraege[Themenfeld],"IoT")</f>
        <v/>
      </c>
      <c r="AV89" s="42">
        <f>SUMIFS(tblAuftraege[Kalk.
Ausgaben],tblAuftraege[Datum
Ausgaben],"&gt;="&amp;AV$5,tblAuftraege[Datum
Ausgaben],"&lt;"&amp;EDATE(AV$5,1),tblAuftraege[Themenfeld],"IoT")</f>
        <v/>
      </c>
      <c r="AW89" s="42">
        <f>SUMIFS(tblAuftraege[Kalk.
Ausgaben],tblAuftraege[Datum
Ausgaben],"&gt;="&amp;AW$5,tblAuftraege[Datum
Ausgaben],"&lt;"&amp;EDATE(AW$5,1),tblAuftraege[Themenfeld],"IoT")</f>
        <v/>
      </c>
      <c r="AX89" s="42">
        <f>SUMIFS(tblAuftraege[Kalk.
Ausgaben],tblAuftraege[Datum
Ausgaben],"&gt;="&amp;AX$5,tblAuftraege[Datum
Ausgaben],"&lt;"&amp;EDATE(AX$5,1),tblAuftraege[Themenfeld],"IoT")</f>
        <v/>
      </c>
      <c r="AY89" s="42">
        <f>SUMIFS(tblAuftraege[Kalk.
Ausgaben],tblAuftraege[Datum
Ausgaben],"&gt;="&amp;AY$5,tblAuftraege[Datum
Ausgaben],"&lt;"&amp;EDATE(AY$5,1),tblAuftraege[Themenfeld],"IoT")</f>
        <v/>
      </c>
      <c r="AZ89" s="42">
        <f>SUMIFS(tblAuftraege[Kalk.
Ausgaben],tblAuftraege[Datum
Ausgaben],"&gt;="&amp;AZ$5,tblAuftraege[Datum
Ausgaben],"&lt;"&amp;EDATE(AZ$5,1),tblAuftraege[Themenfeld],"IoT")</f>
        <v/>
      </c>
      <c r="BA89" s="42">
        <f>SUMIFS(tblAuftraege[Kalk.
Ausgaben],tblAuftraege[Datum
Ausgaben],"&gt;="&amp;BA$5,tblAuftraege[Datum
Ausgaben],"&lt;"&amp;EDATE(BA$5,1),tblAuftraege[Themenfeld],"IoT")</f>
        <v/>
      </c>
      <c r="BB89" s="42">
        <f>SUMIFS(tblAuftraege[Kalk.
Ausgaben],tblAuftraege[Datum
Ausgaben],"&gt;="&amp;BB$5,tblAuftraege[Datum
Ausgaben],"&lt;"&amp;EDATE(BB$5,1),tblAuftraege[Themenfeld],"IoT")</f>
        <v/>
      </c>
      <c r="BC89" s="42">
        <f>SUMIFS(tblAuftraege[Kalk.
Ausgaben],tblAuftraege[Datum
Ausgaben],"&gt;="&amp;BC$5,tblAuftraege[Datum
Ausgaben],"&lt;"&amp;EDATE(BC$5,1),tblAuftraege[Themenfeld],"IoT")</f>
        <v/>
      </c>
      <c r="BD89" s="42">
        <f>SUMIFS(tblAuftraege[Kalk.
Ausgaben],tblAuftraege[Datum
Ausgaben],"&gt;="&amp;BD$5,tblAuftraege[Datum
Ausgaben],"&lt;"&amp;EDATE(BD$5,1),tblAuftraege[Themenfeld],"IoT")</f>
        <v/>
      </c>
      <c r="BE89" s="42">
        <f>SUM(C89:H89)</f>
        <v/>
      </c>
      <c r="BF89" s="42">
        <f>SUM(I89:T89)</f>
        <v/>
      </c>
      <c r="BG89" s="42">
        <f>SUM(U89:AF89)</f>
        <v/>
      </c>
      <c r="BH89" s="42">
        <f>SUM(AG89:AR89)</f>
        <v/>
      </c>
      <c r="BI89" s="42">
        <f>SUM(AS89:BD89)</f>
        <v/>
      </c>
      <c r="BJ89" s="42">
        <f>SUM(C89:BD89)</f>
        <v/>
      </c>
    </row>
    <row r="91" ht="19.5" customHeight="1">
      <c r="B91" s="54" t="inlineStr">
        <is>
          <t>5  AUSWERTUNG NACH KATEGORIE</t>
        </is>
      </c>
      <c r="C91" s="58" t="inlineStr">
        <is>
          <t>Jul 26</t>
        </is>
      </c>
      <c r="D91" s="58" t="inlineStr">
        <is>
          <t>Aug 26</t>
        </is>
      </c>
      <c r="E91" s="58" t="inlineStr">
        <is>
          <t>Sep 26</t>
        </is>
      </c>
      <c r="F91" s="58" t="inlineStr">
        <is>
          <t>Okt 26</t>
        </is>
      </c>
      <c r="G91" s="58" t="inlineStr">
        <is>
          <t>Nov 26</t>
        </is>
      </c>
      <c r="H91" s="58" t="inlineStr">
        <is>
          <t>Dez 26</t>
        </is>
      </c>
      <c r="I91" s="58" t="inlineStr">
        <is>
          <t>Jan 27</t>
        </is>
      </c>
      <c r="J91" s="58" t="inlineStr">
        <is>
          <t>Feb 27</t>
        </is>
      </c>
      <c r="K91" s="58" t="inlineStr">
        <is>
          <t>Mrz 27</t>
        </is>
      </c>
      <c r="L91" s="58" t="inlineStr">
        <is>
          <t>Apr 27</t>
        </is>
      </c>
      <c r="M91" s="58" t="inlineStr">
        <is>
          <t>Mai 27</t>
        </is>
      </c>
      <c r="N91" s="58" t="inlineStr">
        <is>
          <t>Jun 27</t>
        </is>
      </c>
      <c r="O91" s="58" t="inlineStr">
        <is>
          <t>Jul 27</t>
        </is>
      </c>
      <c r="P91" s="58" t="inlineStr">
        <is>
          <t>Aug 27</t>
        </is>
      </c>
      <c r="Q91" s="58" t="inlineStr">
        <is>
          <t>Sep 27</t>
        </is>
      </c>
      <c r="R91" s="58" t="inlineStr">
        <is>
          <t>Okt 27</t>
        </is>
      </c>
      <c r="S91" s="58" t="inlineStr">
        <is>
          <t>Nov 27</t>
        </is>
      </c>
      <c r="T91" s="58" t="inlineStr">
        <is>
          <t>Dez 27</t>
        </is>
      </c>
      <c r="U91" s="58" t="inlineStr">
        <is>
          <t>Jan 28</t>
        </is>
      </c>
      <c r="V91" s="58" t="inlineStr">
        <is>
          <t>Feb 28</t>
        </is>
      </c>
      <c r="W91" s="58" t="inlineStr">
        <is>
          <t>Mär 28</t>
        </is>
      </c>
      <c r="X91" s="58" t="inlineStr">
        <is>
          <t>Apr 28</t>
        </is>
      </c>
      <c r="Y91" s="58" t="inlineStr">
        <is>
          <t>Mai 28</t>
        </is>
      </c>
      <c r="Z91" s="58" t="inlineStr">
        <is>
          <t>Jun 28</t>
        </is>
      </c>
      <c r="AA91" s="58" t="inlineStr">
        <is>
          <t>Jul 28</t>
        </is>
      </c>
      <c r="AB91" s="58" t="inlineStr">
        <is>
          <t>Aug 28</t>
        </is>
      </c>
      <c r="AC91" s="58" t="inlineStr">
        <is>
          <t>Sep 28</t>
        </is>
      </c>
      <c r="AD91" s="58" t="inlineStr">
        <is>
          <t>Okt 28</t>
        </is>
      </c>
      <c r="AE91" s="58" t="inlineStr">
        <is>
          <t>Nov 28</t>
        </is>
      </c>
      <c r="AF91" s="58" t="inlineStr">
        <is>
          <t>Dez 28</t>
        </is>
      </c>
      <c r="AG91" s="58" t="inlineStr">
        <is>
          <t>Jan 29</t>
        </is>
      </c>
      <c r="AH91" s="58" t="inlineStr">
        <is>
          <t>Feb 29</t>
        </is>
      </c>
      <c r="AI91" s="58" t="inlineStr">
        <is>
          <t>Mär 29</t>
        </is>
      </c>
      <c r="AJ91" s="58" t="inlineStr">
        <is>
          <t>Apr 29</t>
        </is>
      </c>
      <c r="AK91" s="58" t="inlineStr">
        <is>
          <t>Mai 29</t>
        </is>
      </c>
      <c r="AL91" s="58" t="inlineStr">
        <is>
          <t>Jun 29</t>
        </is>
      </c>
      <c r="AM91" s="58" t="inlineStr">
        <is>
          <t>Jul 29</t>
        </is>
      </c>
      <c r="AN91" s="58" t="inlineStr">
        <is>
          <t>Aug 29</t>
        </is>
      </c>
      <c r="AO91" s="58" t="inlineStr">
        <is>
          <t>Sep 29</t>
        </is>
      </c>
      <c r="AP91" s="58" t="inlineStr">
        <is>
          <t>Okt 29</t>
        </is>
      </c>
      <c r="AQ91" s="58" t="inlineStr">
        <is>
          <t>Nov 29</t>
        </is>
      </c>
      <c r="AR91" s="58" t="inlineStr">
        <is>
          <t>Dez 29</t>
        </is>
      </c>
      <c r="AS91" s="58" t="inlineStr">
        <is>
          <t>Jan 30</t>
        </is>
      </c>
      <c r="AT91" s="58" t="inlineStr">
        <is>
          <t>Feb 30</t>
        </is>
      </c>
      <c r="AU91" s="58" t="inlineStr">
        <is>
          <t>Mär 30</t>
        </is>
      </c>
      <c r="AV91" s="58" t="inlineStr">
        <is>
          <t>Apr 30</t>
        </is>
      </c>
      <c r="AW91" s="58" t="inlineStr">
        <is>
          <t>Mai 30</t>
        </is>
      </c>
      <c r="AX91" s="58" t="inlineStr">
        <is>
          <t>Jun 30</t>
        </is>
      </c>
      <c r="AY91" s="58" t="inlineStr">
        <is>
          <t>Jul 30</t>
        </is>
      </c>
      <c r="AZ91" s="58" t="inlineStr">
        <is>
          <t>Aug 30</t>
        </is>
      </c>
      <c r="BA91" s="58" t="inlineStr">
        <is>
          <t>Sep 30</t>
        </is>
      </c>
      <c r="BB91" s="58" t="inlineStr">
        <is>
          <t>Okt 30</t>
        </is>
      </c>
      <c r="BC91" s="58" t="inlineStr">
        <is>
          <t>Nov 30</t>
        </is>
      </c>
      <c r="BD91" s="58" t="inlineStr">
        <is>
          <t>Dez 30</t>
        </is>
      </c>
      <c r="BE91" s="58" t="inlineStr">
        <is>
          <t>Summe H2 26</t>
        </is>
      </c>
      <c r="BF91" s="58" t="inlineStr">
        <is>
          <t>Summe 27</t>
        </is>
      </c>
      <c r="BG91" s="58" t="inlineStr">
        <is>
          <t>Summe 28</t>
        </is>
      </c>
      <c r="BH91" s="58" t="inlineStr">
        <is>
          <t>Summe 29</t>
        </is>
      </c>
      <c r="BI91" s="58" t="inlineStr">
        <is>
          <t>Summe 30</t>
        </is>
      </c>
      <c r="BJ91" s="58" t="inlineStr">
        <is>
          <t>Gesamt</t>
        </is>
      </c>
    </row>
    <row r="92">
      <c r="B92" s="38" t="inlineStr">
        <is>
          <t>Hardware – Einnahmen</t>
        </is>
      </c>
      <c r="C92" s="8">
        <f>SUMIFS(tblAuftraege[Kalk.
Einnahmen],tblAuftraege[Datum
Einnahmen],"&gt;="&amp;C$5,tblAuftraege[Datum
Einnahmen],"&lt;"&amp;EDATE(C$5,1),tblAuftraege[Kategorie],"Hardware")</f>
        <v/>
      </c>
      <c r="D92" s="8">
        <f>SUMIFS(tblAuftraege[Kalk.
Einnahmen],tblAuftraege[Datum
Einnahmen],"&gt;="&amp;D$5,tblAuftraege[Datum
Einnahmen],"&lt;"&amp;EDATE(D$5,1),tblAuftraege[Kategorie],"Hardware")</f>
        <v/>
      </c>
      <c r="E92" s="8">
        <f>SUMIFS(tblAuftraege[Kalk.
Einnahmen],tblAuftraege[Datum
Einnahmen],"&gt;="&amp;E$5,tblAuftraege[Datum
Einnahmen],"&lt;"&amp;EDATE(E$5,1),tblAuftraege[Kategorie],"Hardware")</f>
        <v/>
      </c>
      <c r="F92" s="8">
        <f>SUMIFS(tblAuftraege[Kalk.
Einnahmen],tblAuftraege[Datum
Einnahmen],"&gt;="&amp;F$5,tblAuftraege[Datum
Einnahmen],"&lt;"&amp;EDATE(F$5,1),tblAuftraege[Kategorie],"Hardware")</f>
        <v/>
      </c>
      <c r="G92" s="8">
        <f>SUMIFS(tblAuftraege[Kalk.
Einnahmen],tblAuftraege[Datum
Einnahmen],"&gt;="&amp;G$5,tblAuftraege[Datum
Einnahmen],"&lt;"&amp;EDATE(G$5,1),tblAuftraege[Kategorie],"Hardware")</f>
        <v/>
      </c>
      <c r="H92" s="8">
        <f>SUMIFS(tblAuftraege[Kalk.
Einnahmen],tblAuftraege[Datum
Einnahmen],"&gt;="&amp;H$5,tblAuftraege[Datum
Einnahmen],"&lt;"&amp;EDATE(H$5,1),tblAuftraege[Kategorie],"Hardware")</f>
        <v/>
      </c>
      <c r="I92" s="8">
        <f>SUMIFS(tblAuftraege[Kalk.
Einnahmen],tblAuftraege[Datum
Einnahmen],"&gt;="&amp;I$5,tblAuftraege[Datum
Einnahmen],"&lt;"&amp;EDATE(I$5,1),tblAuftraege[Kategorie],"Hardware")</f>
        <v/>
      </c>
      <c r="J92" s="8">
        <f>SUMIFS(tblAuftraege[Kalk.
Einnahmen],tblAuftraege[Datum
Einnahmen],"&gt;="&amp;J$5,tblAuftraege[Datum
Einnahmen],"&lt;"&amp;EDATE(J$5,1),tblAuftraege[Kategorie],"Hardware")</f>
        <v/>
      </c>
      <c r="K92" s="8">
        <f>SUMIFS(tblAuftraege[Kalk.
Einnahmen],tblAuftraege[Datum
Einnahmen],"&gt;="&amp;K$5,tblAuftraege[Datum
Einnahmen],"&lt;"&amp;EDATE(K$5,1),tblAuftraege[Kategorie],"Hardware")</f>
        <v/>
      </c>
      <c r="L92" s="8">
        <f>SUMIFS(tblAuftraege[Kalk.
Einnahmen],tblAuftraege[Datum
Einnahmen],"&gt;="&amp;L$5,tblAuftraege[Datum
Einnahmen],"&lt;"&amp;EDATE(L$5,1),tblAuftraege[Kategorie],"Hardware")</f>
        <v/>
      </c>
      <c r="M92" s="8">
        <f>SUMIFS(tblAuftraege[Kalk.
Einnahmen],tblAuftraege[Datum
Einnahmen],"&gt;="&amp;M$5,tblAuftraege[Datum
Einnahmen],"&lt;"&amp;EDATE(M$5,1),tblAuftraege[Kategorie],"Hardware")</f>
        <v/>
      </c>
      <c r="N92" s="8">
        <f>SUMIFS(tblAuftraege[Kalk.
Einnahmen],tblAuftraege[Datum
Einnahmen],"&gt;="&amp;N$5,tblAuftraege[Datum
Einnahmen],"&lt;"&amp;EDATE(N$5,1),tblAuftraege[Kategorie],"Hardware")</f>
        <v/>
      </c>
      <c r="O92" s="8">
        <f>SUMIFS(tblAuftraege[Kalk.
Einnahmen],tblAuftraege[Datum
Einnahmen],"&gt;="&amp;O$5,tblAuftraege[Datum
Einnahmen],"&lt;"&amp;EDATE(O$5,1),tblAuftraege[Kategorie],"Hardware")</f>
        <v/>
      </c>
      <c r="P92" s="8">
        <f>SUMIFS(tblAuftraege[Kalk.
Einnahmen],tblAuftraege[Datum
Einnahmen],"&gt;="&amp;P$5,tblAuftraege[Datum
Einnahmen],"&lt;"&amp;EDATE(P$5,1),tblAuftraege[Kategorie],"Hardware")</f>
        <v/>
      </c>
      <c r="Q92" s="8">
        <f>SUMIFS(tblAuftraege[Kalk.
Einnahmen],tblAuftraege[Datum
Einnahmen],"&gt;="&amp;Q$5,tblAuftraege[Datum
Einnahmen],"&lt;"&amp;EDATE(Q$5,1),tblAuftraege[Kategorie],"Hardware")</f>
        <v/>
      </c>
      <c r="R92" s="8">
        <f>SUMIFS(tblAuftraege[Kalk.
Einnahmen],tblAuftraege[Datum
Einnahmen],"&gt;="&amp;R$5,tblAuftraege[Datum
Einnahmen],"&lt;"&amp;EDATE(R$5,1),tblAuftraege[Kategorie],"Hardware")</f>
        <v/>
      </c>
      <c r="S92" s="8">
        <f>SUMIFS(tblAuftraege[Kalk.
Einnahmen],tblAuftraege[Datum
Einnahmen],"&gt;="&amp;S$5,tblAuftraege[Datum
Einnahmen],"&lt;"&amp;EDATE(S$5,1),tblAuftraege[Kategorie],"Hardware")</f>
        <v/>
      </c>
      <c r="T92" s="8">
        <f>SUMIFS(tblAuftraege[Kalk.
Einnahmen],tblAuftraege[Datum
Einnahmen],"&gt;="&amp;T$5,tblAuftraege[Datum
Einnahmen],"&lt;"&amp;EDATE(T$5,1),tblAuftraege[Kategorie],"Hardware")</f>
        <v/>
      </c>
      <c r="U92" s="8">
        <f>SUMIFS(tblAuftraege[Kalk.
Einnahmen],tblAuftraege[Datum
Einnahmen],"&gt;="&amp;U$5,tblAuftraege[Datum
Einnahmen],"&lt;"&amp;EDATE(U$5,1),tblAuftraege[Kategorie],"Hardware")</f>
        <v/>
      </c>
      <c r="V92" s="8">
        <f>SUMIFS(tblAuftraege[Kalk.
Einnahmen],tblAuftraege[Datum
Einnahmen],"&gt;="&amp;V$5,tblAuftraege[Datum
Einnahmen],"&lt;"&amp;EDATE(V$5,1),tblAuftraege[Kategorie],"Hardware")</f>
        <v/>
      </c>
      <c r="W92" s="8">
        <f>SUMIFS(tblAuftraege[Kalk.
Einnahmen],tblAuftraege[Datum
Einnahmen],"&gt;="&amp;W$5,tblAuftraege[Datum
Einnahmen],"&lt;"&amp;EDATE(W$5,1),tblAuftraege[Kategorie],"Hardware")</f>
        <v/>
      </c>
      <c r="X92" s="8">
        <f>SUMIFS(tblAuftraege[Kalk.
Einnahmen],tblAuftraege[Datum
Einnahmen],"&gt;="&amp;X$5,tblAuftraege[Datum
Einnahmen],"&lt;"&amp;EDATE(X$5,1),tblAuftraege[Kategorie],"Hardware")</f>
        <v/>
      </c>
      <c r="Y92" s="8">
        <f>SUMIFS(tblAuftraege[Kalk.
Einnahmen],tblAuftraege[Datum
Einnahmen],"&gt;="&amp;Y$5,tblAuftraege[Datum
Einnahmen],"&lt;"&amp;EDATE(Y$5,1),tblAuftraege[Kategorie],"Hardware")</f>
        <v/>
      </c>
      <c r="Z92" s="8">
        <f>SUMIFS(tblAuftraege[Kalk.
Einnahmen],tblAuftraege[Datum
Einnahmen],"&gt;="&amp;Z$5,tblAuftraege[Datum
Einnahmen],"&lt;"&amp;EDATE(Z$5,1),tblAuftraege[Kategorie],"Hardware")</f>
        <v/>
      </c>
      <c r="AA92" s="8">
        <f>SUMIFS(tblAuftraege[Kalk.
Einnahmen],tblAuftraege[Datum
Einnahmen],"&gt;="&amp;AA$5,tblAuftraege[Datum
Einnahmen],"&lt;"&amp;EDATE(AA$5,1),tblAuftraege[Kategorie],"Hardware")</f>
        <v/>
      </c>
      <c r="AB92" s="8">
        <f>SUMIFS(tblAuftraege[Kalk.
Einnahmen],tblAuftraege[Datum
Einnahmen],"&gt;="&amp;AB$5,tblAuftraege[Datum
Einnahmen],"&lt;"&amp;EDATE(AB$5,1),tblAuftraege[Kategorie],"Hardware")</f>
        <v/>
      </c>
      <c r="AC92" s="8">
        <f>SUMIFS(tblAuftraege[Kalk.
Einnahmen],tblAuftraege[Datum
Einnahmen],"&gt;="&amp;AC$5,tblAuftraege[Datum
Einnahmen],"&lt;"&amp;EDATE(AC$5,1),tblAuftraege[Kategorie],"Hardware")</f>
        <v/>
      </c>
      <c r="AD92" s="8">
        <f>SUMIFS(tblAuftraege[Kalk.
Einnahmen],tblAuftraege[Datum
Einnahmen],"&gt;="&amp;AD$5,tblAuftraege[Datum
Einnahmen],"&lt;"&amp;EDATE(AD$5,1),tblAuftraege[Kategorie],"Hardware")</f>
        <v/>
      </c>
      <c r="AE92" s="8">
        <f>SUMIFS(tblAuftraege[Kalk.
Einnahmen],tblAuftraege[Datum
Einnahmen],"&gt;="&amp;AE$5,tblAuftraege[Datum
Einnahmen],"&lt;"&amp;EDATE(AE$5,1),tblAuftraege[Kategorie],"Hardware")</f>
        <v/>
      </c>
      <c r="AF92" s="8">
        <f>SUMIFS(tblAuftraege[Kalk.
Einnahmen],tblAuftraege[Datum
Einnahmen],"&gt;="&amp;AF$5,tblAuftraege[Datum
Einnahmen],"&lt;"&amp;EDATE(AF$5,1),tblAuftraege[Kategorie],"Hardware")</f>
        <v/>
      </c>
      <c r="AG92" s="8">
        <f>SUMIFS(tblAuftraege[Kalk.
Einnahmen],tblAuftraege[Datum
Einnahmen],"&gt;="&amp;AG$5,tblAuftraege[Datum
Einnahmen],"&lt;"&amp;EDATE(AG$5,1),tblAuftraege[Kategorie],"Hardware")</f>
        <v/>
      </c>
      <c r="AH92" s="8">
        <f>SUMIFS(tblAuftraege[Kalk.
Einnahmen],tblAuftraege[Datum
Einnahmen],"&gt;="&amp;AH$5,tblAuftraege[Datum
Einnahmen],"&lt;"&amp;EDATE(AH$5,1),tblAuftraege[Kategorie],"Hardware")</f>
        <v/>
      </c>
      <c r="AI92" s="8">
        <f>SUMIFS(tblAuftraege[Kalk.
Einnahmen],tblAuftraege[Datum
Einnahmen],"&gt;="&amp;AI$5,tblAuftraege[Datum
Einnahmen],"&lt;"&amp;EDATE(AI$5,1),tblAuftraege[Kategorie],"Hardware")</f>
        <v/>
      </c>
      <c r="AJ92" s="8">
        <f>SUMIFS(tblAuftraege[Kalk.
Einnahmen],tblAuftraege[Datum
Einnahmen],"&gt;="&amp;AJ$5,tblAuftraege[Datum
Einnahmen],"&lt;"&amp;EDATE(AJ$5,1),tblAuftraege[Kategorie],"Hardware")</f>
        <v/>
      </c>
      <c r="AK92" s="8">
        <f>SUMIFS(tblAuftraege[Kalk.
Einnahmen],tblAuftraege[Datum
Einnahmen],"&gt;="&amp;AK$5,tblAuftraege[Datum
Einnahmen],"&lt;"&amp;EDATE(AK$5,1),tblAuftraege[Kategorie],"Hardware")</f>
        <v/>
      </c>
      <c r="AL92" s="8">
        <f>SUMIFS(tblAuftraege[Kalk.
Einnahmen],tblAuftraege[Datum
Einnahmen],"&gt;="&amp;AL$5,tblAuftraege[Datum
Einnahmen],"&lt;"&amp;EDATE(AL$5,1),tblAuftraege[Kategorie],"Hardware")</f>
        <v/>
      </c>
      <c r="AM92" s="8">
        <f>SUMIFS(tblAuftraege[Kalk.
Einnahmen],tblAuftraege[Datum
Einnahmen],"&gt;="&amp;AM$5,tblAuftraege[Datum
Einnahmen],"&lt;"&amp;EDATE(AM$5,1),tblAuftraege[Kategorie],"Hardware")</f>
        <v/>
      </c>
      <c r="AN92" s="8">
        <f>SUMIFS(tblAuftraege[Kalk.
Einnahmen],tblAuftraege[Datum
Einnahmen],"&gt;="&amp;AN$5,tblAuftraege[Datum
Einnahmen],"&lt;"&amp;EDATE(AN$5,1),tblAuftraege[Kategorie],"Hardware")</f>
        <v/>
      </c>
      <c r="AO92" s="8">
        <f>SUMIFS(tblAuftraege[Kalk.
Einnahmen],tblAuftraege[Datum
Einnahmen],"&gt;="&amp;AO$5,tblAuftraege[Datum
Einnahmen],"&lt;"&amp;EDATE(AO$5,1),tblAuftraege[Kategorie],"Hardware")</f>
        <v/>
      </c>
      <c r="AP92" s="8">
        <f>SUMIFS(tblAuftraege[Kalk.
Einnahmen],tblAuftraege[Datum
Einnahmen],"&gt;="&amp;AP$5,tblAuftraege[Datum
Einnahmen],"&lt;"&amp;EDATE(AP$5,1),tblAuftraege[Kategorie],"Hardware")</f>
        <v/>
      </c>
      <c r="AQ92" s="8">
        <f>SUMIFS(tblAuftraege[Kalk.
Einnahmen],tblAuftraege[Datum
Einnahmen],"&gt;="&amp;AQ$5,tblAuftraege[Datum
Einnahmen],"&lt;"&amp;EDATE(AQ$5,1),tblAuftraege[Kategorie],"Hardware")</f>
        <v/>
      </c>
      <c r="AR92" s="8">
        <f>SUMIFS(tblAuftraege[Kalk.
Einnahmen],tblAuftraege[Datum
Einnahmen],"&gt;="&amp;AR$5,tblAuftraege[Datum
Einnahmen],"&lt;"&amp;EDATE(AR$5,1),tblAuftraege[Kategorie],"Hardware")</f>
        <v/>
      </c>
      <c r="AS92" s="8">
        <f>SUMIFS(tblAuftraege[Kalk.
Einnahmen],tblAuftraege[Datum
Einnahmen],"&gt;="&amp;AS$5,tblAuftraege[Datum
Einnahmen],"&lt;"&amp;EDATE(AS$5,1),tblAuftraege[Kategorie],"Hardware")</f>
        <v/>
      </c>
      <c r="AT92" s="8">
        <f>SUMIFS(tblAuftraege[Kalk.
Einnahmen],tblAuftraege[Datum
Einnahmen],"&gt;="&amp;AT$5,tblAuftraege[Datum
Einnahmen],"&lt;"&amp;EDATE(AT$5,1),tblAuftraege[Kategorie],"Hardware")</f>
        <v/>
      </c>
      <c r="AU92" s="8">
        <f>SUMIFS(tblAuftraege[Kalk.
Einnahmen],tblAuftraege[Datum
Einnahmen],"&gt;="&amp;AU$5,tblAuftraege[Datum
Einnahmen],"&lt;"&amp;EDATE(AU$5,1),tblAuftraege[Kategorie],"Hardware")</f>
        <v/>
      </c>
      <c r="AV92" s="8">
        <f>SUMIFS(tblAuftraege[Kalk.
Einnahmen],tblAuftraege[Datum
Einnahmen],"&gt;="&amp;AV$5,tblAuftraege[Datum
Einnahmen],"&lt;"&amp;EDATE(AV$5,1),tblAuftraege[Kategorie],"Hardware")</f>
        <v/>
      </c>
      <c r="AW92" s="8">
        <f>SUMIFS(tblAuftraege[Kalk.
Einnahmen],tblAuftraege[Datum
Einnahmen],"&gt;="&amp;AW$5,tblAuftraege[Datum
Einnahmen],"&lt;"&amp;EDATE(AW$5,1),tblAuftraege[Kategorie],"Hardware")</f>
        <v/>
      </c>
      <c r="AX92" s="8">
        <f>SUMIFS(tblAuftraege[Kalk.
Einnahmen],tblAuftraege[Datum
Einnahmen],"&gt;="&amp;AX$5,tblAuftraege[Datum
Einnahmen],"&lt;"&amp;EDATE(AX$5,1),tblAuftraege[Kategorie],"Hardware")</f>
        <v/>
      </c>
      <c r="AY92" s="8">
        <f>SUMIFS(tblAuftraege[Kalk.
Einnahmen],tblAuftraege[Datum
Einnahmen],"&gt;="&amp;AY$5,tblAuftraege[Datum
Einnahmen],"&lt;"&amp;EDATE(AY$5,1),tblAuftraege[Kategorie],"Hardware")</f>
        <v/>
      </c>
      <c r="AZ92" s="8">
        <f>SUMIFS(tblAuftraege[Kalk.
Einnahmen],tblAuftraege[Datum
Einnahmen],"&gt;="&amp;AZ$5,tblAuftraege[Datum
Einnahmen],"&lt;"&amp;EDATE(AZ$5,1),tblAuftraege[Kategorie],"Hardware")</f>
        <v/>
      </c>
      <c r="BA92" s="8">
        <f>SUMIFS(tblAuftraege[Kalk.
Einnahmen],tblAuftraege[Datum
Einnahmen],"&gt;="&amp;BA$5,tblAuftraege[Datum
Einnahmen],"&lt;"&amp;EDATE(BA$5,1),tblAuftraege[Kategorie],"Hardware")</f>
        <v/>
      </c>
      <c r="BB92" s="8">
        <f>SUMIFS(tblAuftraege[Kalk.
Einnahmen],tblAuftraege[Datum
Einnahmen],"&gt;="&amp;BB$5,tblAuftraege[Datum
Einnahmen],"&lt;"&amp;EDATE(BB$5,1),tblAuftraege[Kategorie],"Hardware")</f>
        <v/>
      </c>
      <c r="BC92" s="8">
        <f>SUMIFS(tblAuftraege[Kalk.
Einnahmen],tblAuftraege[Datum
Einnahmen],"&gt;="&amp;BC$5,tblAuftraege[Datum
Einnahmen],"&lt;"&amp;EDATE(BC$5,1),tblAuftraege[Kategorie],"Hardware")</f>
        <v/>
      </c>
      <c r="BD92" s="8">
        <f>SUMIFS(tblAuftraege[Kalk.
Einnahmen],tblAuftraege[Datum
Einnahmen],"&gt;="&amp;BD$5,tblAuftraege[Datum
Einnahmen],"&lt;"&amp;EDATE(BD$5,1),tblAuftraege[Kategorie],"Hardware")</f>
        <v/>
      </c>
      <c r="BE92" s="8">
        <f>SUM(C92:H92)</f>
        <v/>
      </c>
      <c r="BF92" s="8">
        <f>SUM(I92:T92)</f>
        <v/>
      </c>
      <c r="BG92" s="8">
        <f>SUM(U92:AF92)</f>
        <v/>
      </c>
      <c r="BH92" s="8">
        <f>SUM(AG92:AR92)</f>
        <v/>
      </c>
      <c r="BI92" s="8">
        <f>SUM(AS92:BD92)</f>
        <v/>
      </c>
      <c r="BJ92" s="8">
        <f>SUM(C92:BD92)</f>
        <v/>
      </c>
    </row>
    <row r="93">
      <c r="B93" s="38" t="inlineStr">
        <is>
          <t>Hardware – Ausgaben</t>
        </is>
      </c>
      <c r="C93" s="37">
        <f>SUMIFS(tblAuftraege[Kalk.
Ausgaben],tblAuftraege[Datum
Ausgaben],"&gt;="&amp;C$5,tblAuftraege[Datum
Ausgaben],"&lt;"&amp;EDATE(C$5,1),tblAuftraege[Kategorie],"Hardware")</f>
        <v/>
      </c>
      <c r="D93" s="37">
        <f>SUMIFS(tblAuftraege[Kalk.
Ausgaben],tblAuftraege[Datum
Ausgaben],"&gt;="&amp;D$5,tblAuftraege[Datum
Ausgaben],"&lt;"&amp;EDATE(D$5,1),tblAuftraege[Kategorie],"Hardware")</f>
        <v/>
      </c>
      <c r="E93" s="37">
        <f>SUMIFS(tblAuftraege[Kalk.
Ausgaben],tblAuftraege[Datum
Ausgaben],"&gt;="&amp;E$5,tblAuftraege[Datum
Ausgaben],"&lt;"&amp;EDATE(E$5,1),tblAuftraege[Kategorie],"Hardware")</f>
        <v/>
      </c>
      <c r="F93" s="37">
        <f>SUMIFS(tblAuftraege[Kalk.
Ausgaben],tblAuftraege[Datum
Ausgaben],"&gt;="&amp;F$5,tblAuftraege[Datum
Ausgaben],"&lt;"&amp;EDATE(F$5,1),tblAuftraege[Kategorie],"Hardware")</f>
        <v/>
      </c>
      <c r="G93" s="37">
        <f>SUMIFS(tblAuftraege[Kalk.
Ausgaben],tblAuftraege[Datum
Ausgaben],"&gt;="&amp;G$5,tblAuftraege[Datum
Ausgaben],"&lt;"&amp;EDATE(G$5,1),tblAuftraege[Kategorie],"Hardware")</f>
        <v/>
      </c>
      <c r="H93" s="37">
        <f>SUMIFS(tblAuftraege[Kalk.
Ausgaben],tblAuftraege[Datum
Ausgaben],"&gt;="&amp;H$5,tblAuftraege[Datum
Ausgaben],"&lt;"&amp;EDATE(H$5,1),tblAuftraege[Kategorie],"Hardware")</f>
        <v/>
      </c>
      <c r="I93" s="37">
        <f>SUMIFS(tblAuftraege[Kalk.
Ausgaben],tblAuftraege[Datum
Ausgaben],"&gt;="&amp;I$5,tblAuftraege[Datum
Ausgaben],"&lt;"&amp;EDATE(I$5,1),tblAuftraege[Kategorie],"Hardware")</f>
        <v/>
      </c>
      <c r="J93" s="37">
        <f>SUMIFS(tblAuftraege[Kalk.
Ausgaben],tblAuftraege[Datum
Ausgaben],"&gt;="&amp;J$5,tblAuftraege[Datum
Ausgaben],"&lt;"&amp;EDATE(J$5,1),tblAuftraege[Kategorie],"Hardware")</f>
        <v/>
      </c>
      <c r="K93" s="37">
        <f>SUMIFS(tblAuftraege[Kalk.
Ausgaben],tblAuftraege[Datum
Ausgaben],"&gt;="&amp;K$5,tblAuftraege[Datum
Ausgaben],"&lt;"&amp;EDATE(K$5,1),tblAuftraege[Kategorie],"Hardware")</f>
        <v/>
      </c>
      <c r="L93" s="37">
        <f>SUMIFS(tblAuftraege[Kalk.
Ausgaben],tblAuftraege[Datum
Ausgaben],"&gt;="&amp;L$5,tblAuftraege[Datum
Ausgaben],"&lt;"&amp;EDATE(L$5,1),tblAuftraege[Kategorie],"Hardware")</f>
        <v/>
      </c>
      <c r="M93" s="37">
        <f>SUMIFS(tblAuftraege[Kalk.
Ausgaben],tblAuftraege[Datum
Ausgaben],"&gt;="&amp;M$5,tblAuftraege[Datum
Ausgaben],"&lt;"&amp;EDATE(M$5,1),tblAuftraege[Kategorie],"Hardware")</f>
        <v/>
      </c>
      <c r="N93" s="37">
        <f>SUMIFS(tblAuftraege[Kalk.
Ausgaben],tblAuftraege[Datum
Ausgaben],"&gt;="&amp;N$5,tblAuftraege[Datum
Ausgaben],"&lt;"&amp;EDATE(N$5,1),tblAuftraege[Kategorie],"Hardware")</f>
        <v/>
      </c>
      <c r="O93" s="37">
        <f>SUMIFS(tblAuftraege[Kalk.
Ausgaben],tblAuftraege[Datum
Ausgaben],"&gt;="&amp;O$5,tblAuftraege[Datum
Ausgaben],"&lt;"&amp;EDATE(O$5,1),tblAuftraege[Kategorie],"Hardware")</f>
        <v/>
      </c>
      <c r="P93" s="37">
        <f>SUMIFS(tblAuftraege[Kalk.
Ausgaben],tblAuftraege[Datum
Ausgaben],"&gt;="&amp;P$5,tblAuftraege[Datum
Ausgaben],"&lt;"&amp;EDATE(P$5,1),tblAuftraege[Kategorie],"Hardware")</f>
        <v/>
      </c>
      <c r="Q93" s="37">
        <f>SUMIFS(tblAuftraege[Kalk.
Ausgaben],tblAuftraege[Datum
Ausgaben],"&gt;="&amp;Q$5,tblAuftraege[Datum
Ausgaben],"&lt;"&amp;EDATE(Q$5,1),tblAuftraege[Kategorie],"Hardware")</f>
        <v/>
      </c>
      <c r="R93" s="37">
        <f>SUMIFS(tblAuftraege[Kalk.
Ausgaben],tblAuftraege[Datum
Ausgaben],"&gt;="&amp;R$5,tblAuftraege[Datum
Ausgaben],"&lt;"&amp;EDATE(R$5,1),tblAuftraege[Kategorie],"Hardware")</f>
        <v/>
      </c>
      <c r="S93" s="37">
        <f>SUMIFS(tblAuftraege[Kalk.
Ausgaben],tblAuftraege[Datum
Ausgaben],"&gt;="&amp;S$5,tblAuftraege[Datum
Ausgaben],"&lt;"&amp;EDATE(S$5,1),tblAuftraege[Kategorie],"Hardware")</f>
        <v/>
      </c>
      <c r="T93" s="37">
        <f>SUMIFS(tblAuftraege[Kalk.
Ausgaben],tblAuftraege[Datum
Ausgaben],"&gt;="&amp;T$5,tblAuftraege[Datum
Ausgaben],"&lt;"&amp;EDATE(T$5,1),tblAuftraege[Kategorie],"Hardware")</f>
        <v/>
      </c>
      <c r="U93" s="37">
        <f>SUMIFS(tblAuftraege[Kalk.
Ausgaben],tblAuftraege[Datum
Ausgaben],"&gt;="&amp;U$5,tblAuftraege[Datum
Ausgaben],"&lt;"&amp;EDATE(U$5,1),tblAuftraege[Kategorie],"Hardware")</f>
        <v/>
      </c>
      <c r="V93" s="37">
        <f>SUMIFS(tblAuftraege[Kalk.
Ausgaben],tblAuftraege[Datum
Ausgaben],"&gt;="&amp;V$5,tblAuftraege[Datum
Ausgaben],"&lt;"&amp;EDATE(V$5,1),tblAuftraege[Kategorie],"Hardware")</f>
        <v/>
      </c>
      <c r="W93" s="37">
        <f>SUMIFS(tblAuftraege[Kalk.
Ausgaben],tblAuftraege[Datum
Ausgaben],"&gt;="&amp;W$5,tblAuftraege[Datum
Ausgaben],"&lt;"&amp;EDATE(W$5,1),tblAuftraege[Kategorie],"Hardware")</f>
        <v/>
      </c>
      <c r="X93" s="37">
        <f>SUMIFS(tblAuftraege[Kalk.
Ausgaben],tblAuftraege[Datum
Ausgaben],"&gt;="&amp;X$5,tblAuftraege[Datum
Ausgaben],"&lt;"&amp;EDATE(X$5,1),tblAuftraege[Kategorie],"Hardware")</f>
        <v/>
      </c>
      <c r="Y93" s="37">
        <f>SUMIFS(tblAuftraege[Kalk.
Ausgaben],tblAuftraege[Datum
Ausgaben],"&gt;="&amp;Y$5,tblAuftraege[Datum
Ausgaben],"&lt;"&amp;EDATE(Y$5,1),tblAuftraege[Kategorie],"Hardware")</f>
        <v/>
      </c>
      <c r="Z93" s="37">
        <f>SUMIFS(tblAuftraege[Kalk.
Ausgaben],tblAuftraege[Datum
Ausgaben],"&gt;="&amp;Z$5,tblAuftraege[Datum
Ausgaben],"&lt;"&amp;EDATE(Z$5,1),tblAuftraege[Kategorie],"Hardware")</f>
        <v/>
      </c>
      <c r="AA93" s="37">
        <f>SUMIFS(tblAuftraege[Kalk.
Ausgaben],tblAuftraege[Datum
Ausgaben],"&gt;="&amp;AA$5,tblAuftraege[Datum
Ausgaben],"&lt;"&amp;EDATE(AA$5,1),tblAuftraege[Kategorie],"Hardware")</f>
        <v/>
      </c>
      <c r="AB93" s="37">
        <f>SUMIFS(tblAuftraege[Kalk.
Ausgaben],tblAuftraege[Datum
Ausgaben],"&gt;="&amp;AB$5,tblAuftraege[Datum
Ausgaben],"&lt;"&amp;EDATE(AB$5,1),tblAuftraege[Kategorie],"Hardware")</f>
        <v/>
      </c>
      <c r="AC93" s="37">
        <f>SUMIFS(tblAuftraege[Kalk.
Ausgaben],tblAuftraege[Datum
Ausgaben],"&gt;="&amp;AC$5,tblAuftraege[Datum
Ausgaben],"&lt;"&amp;EDATE(AC$5,1),tblAuftraege[Kategorie],"Hardware")</f>
        <v/>
      </c>
      <c r="AD93" s="37">
        <f>SUMIFS(tblAuftraege[Kalk.
Ausgaben],tblAuftraege[Datum
Ausgaben],"&gt;="&amp;AD$5,tblAuftraege[Datum
Ausgaben],"&lt;"&amp;EDATE(AD$5,1),tblAuftraege[Kategorie],"Hardware")</f>
        <v/>
      </c>
      <c r="AE93" s="37">
        <f>SUMIFS(tblAuftraege[Kalk.
Ausgaben],tblAuftraege[Datum
Ausgaben],"&gt;="&amp;AE$5,tblAuftraege[Datum
Ausgaben],"&lt;"&amp;EDATE(AE$5,1),tblAuftraege[Kategorie],"Hardware")</f>
        <v/>
      </c>
      <c r="AF93" s="37">
        <f>SUMIFS(tblAuftraege[Kalk.
Ausgaben],tblAuftraege[Datum
Ausgaben],"&gt;="&amp;AF$5,tblAuftraege[Datum
Ausgaben],"&lt;"&amp;EDATE(AF$5,1),tblAuftraege[Kategorie],"Hardware")</f>
        <v/>
      </c>
      <c r="AG93" s="37">
        <f>SUMIFS(tblAuftraege[Kalk.
Ausgaben],tblAuftraege[Datum
Ausgaben],"&gt;="&amp;AG$5,tblAuftraege[Datum
Ausgaben],"&lt;"&amp;EDATE(AG$5,1),tblAuftraege[Kategorie],"Hardware")</f>
        <v/>
      </c>
      <c r="AH93" s="37">
        <f>SUMIFS(tblAuftraege[Kalk.
Ausgaben],tblAuftraege[Datum
Ausgaben],"&gt;="&amp;AH$5,tblAuftraege[Datum
Ausgaben],"&lt;"&amp;EDATE(AH$5,1),tblAuftraege[Kategorie],"Hardware")</f>
        <v/>
      </c>
      <c r="AI93" s="37">
        <f>SUMIFS(tblAuftraege[Kalk.
Ausgaben],tblAuftraege[Datum
Ausgaben],"&gt;="&amp;AI$5,tblAuftraege[Datum
Ausgaben],"&lt;"&amp;EDATE(AI$5,1),tblAuftraege[Kategorie],"Hardware")</f>
        <v/>
      </c>
      <c r="AJ93" s="37">
        <f>SUMIFS(tblAuftraege[Kalk.
Ausgaben],tblAuftraege[Datum
Ausgaben],"&gt;="&amp;AJ$5,tblAuftraege[Datum
Ausgaben],"&lt;"&amp;EDATE(AJ$5,1),tblAuftraege[Kategorie],"Hardware")</f>
        <v/>
      </c>
      <c r="AK93" s="37">
        <f>SUMIFS(tblAuftraege[Kalk.
Ausgaben],tblAuftraege[Datum
Ausgaben],"&gt;="&amp;AK$5,tblAuftraege[Datum
Ausgaben],"&lt;"&amp;EDATE(AK$5,1),tblAuftraege[Kategorie],"Hardware")</f>
        <v/>
      </c>
      <c r="AL93" s="37">
        <f>SUMIFS(tblAuftraege[Kalk.
Ausgaben],tblAuftraege[Datum
Ausgaben],"&gt;="&amp;AL$5,tblAuftraege[Datum
Ausgaben],"&lt;"&amp;EDATE(AL$5,1),tblAuftraege[Kategorie],"Hardware")</f>
        <v/>
      </c>
      <c r="AM93" s="37">
        <f>SUMIFS(tblAuftraege[Kalk.
Ausgaben],tblAuftraege[Datum
Ausgaben],"&gt;="&amp;AM$5,tblAuftraege[Datum
Ausgaben],"&lt;"&amp;EDATE(AM$5,1),tblAuftraege[Kategorie],"Hardware")</f>
        <v/>
      </c>
      <c r="AN93" s="37">
        <f>SUMIFS(tblAuftraege[Kalk.
Ausgaben],tblAuftraege[Datum
Ausgaben],"&gt;="&amp;AN$5,tblAuftraege[Datum
Ausgaben],"&lt;"&amp;EDATE(AN$5,1),tblAuftraege[Kategorie],"Hardware")</f>
        <v/>
      </c>
      <c r="AO93" s="37">
        <f>SUMIFS(tblAuftraege[Kalk.
Ausgaben],tblAuftraege[Datum
Ausgaben],"&gt;="&amp;AO$5,tblAuftraege[Datum
Ausgaben],"&lt;"&amp;EDATE(AO$5,1),tblAuftraege[Kategorie],"Hardware")</f>
        <v/>
      </c>
      <c r="AP93" s="37">
        <f>SUMIFS(tblAuftraege[Kalk.
Ausgaben],tblAuftraege[Datum
Ausgaben],"&gt;="&amp;AP$5,tblAuftraege[Datum
Ausgaben],"&lt;"&amp;EDATE(AP$5,1),tblAuftraege[Kategorie],"Hardware")</f>
        <v/>
      </c>
      <c r="AQ93" s="37">
        <f>SUMIFS(tblAuftraege[Kalk.
Ausgaben],tblAuftraege[Datum
Ausgaben],"&gt;="&amp;AQ$5,tblAuftraege[Datum
Ausgaben],"&lt;"&amp;EDATE(AQ$5,1),tblAuftraege[Kategorie],"Hardware")</f>
        <v/>
      </c>
      <c r="AR93" s="37">
        <f>SUMIFS(tblAuftraege[Kalk.
Ausgaben],tblAuftraege[Datum
Ausgaben],"&gt;="&amp;AR$5,tblAuftraege[Datum
Ausgaben],"&lt;"&amp;EDATE(AR$5,1),tblAuftraege[Kategorie],"Hardware")</f>
        <v/>
      </c>
      <c r="AS93" s="37">
        <f>SUMIFS(tblAuftraege[Kalk.
Ausgaben],tblAuftraege[Datum
Ausgaben],"&gt;="&amp;AS$5,tblAuftraege[Datum
Ausgaben],"&lt;"&amp;EDATE(AS$5,1),tblAuftraege[Kategorie],"Hardware")</f>
        <v/>
      </c>
      <c r="AT93" s="37">
        <f>SUMIFS(tblAuftraege[Kalk.
Ausgaben],tblAuftraege[Datum
Ausgaben],"&gt;="&amp;AT$5,tblAuftraege[Datum
Ausgaben],"&lt;"&amp;EDATE(AT$5,1),tblAuftraege[Kategorie],"Hardware")</f>
        <v/>
      </c>
      <c r="AU93" s="37">
        <f>SUMIFS(tblAuftraege[Kalk.
Ausgaben],tblAuftraege[Datum
Ausgaben],"&gt;="&amp;AU$5,tblAuftraege[Datum
Ausgaben],"&lt;"&amp;EDATE(AU$5,1),tblAuftraege[Kategorie],"Hardware")</f>
        <v/>
      </c>
      <c r="AV93" s="37">
        <f>SUMIFS(tblAuftraege[Kalk.
Ausgaben],tblAuftraege[Datum
Ausgaben],"&gt;="&amp;AV$5,tblAuftraege[Datum
Ausgaben],"&lt;"&amp;EDATE(AV$5,1),tblAuftraege[Kategorie],"Hardware")</f>
        <v/>
      </c>
      <c r="AW93" s="37">
        <f>SUMIFS(tblAuftraege[Kalk.
Ausgaben],tblAuftraege[Datum
Ausgaben],"&gt;="&amp;AW$5,tblAuftraege[Datum
Ausgaben],"&lt;"&amp;EDATE(AW$5,1),tblAuftraege[Kategorie],"Hardware")</f>
        <v/>
      </c>
      <c r="AX93" s="37">
        <f>SUMIFS(tblAuftraege[Kalk.
Ausgaben],tblAuftraege[Datum
Ausgaben],"&gt;="&amp;AX$5,tblAuftraege[Datum
Ausgaben],"&lt;"&amp;EDATE(AX$5,1),tblAuftraege[Kategorie],"Hardware")</f>
        <v/>
      </c>
      <c r="AY93" s="37">
        <f>SUMIFS(tblAuftraege[Kalk.
Ausgaben],tblAuftraege[Datum
Ausgaben],"&gt;="&amp;AY$5,tblAuftraege[Datum
Ausgaben],"&lt;"&amp;EDATE(AY$5,1),tblAuftraege[Kategorie],"Hardware")</f>
        <v/>
      </c>
      <c r="AZ93" s="37">
        <f>SUMIFS(tblAuftraege[Kalk.
Ausgaben],tblAuftraege[Datum
Ausgaben],"&gt;="&amp;AZ$5,tblAuftraege[Datum
Ausgaben],"&lt;"&amp;EDATE(AZ$5,1),tblAuftraege[Kategorie],"Hardware")</f>
        <v/>
      </c>
      <c r="BA93" s="37">
        <f>SUMIFS(tblAuftraege[Kalk.
Ausgaben],tblAuftraege[Datum
Ausgaben],"&gt;="&amp;BA$5,tblAuftraege[Datum
Ausgaben],"&lt;"&amp;EDATE(BA$5,1),tblAuftraege[Kategorie],"Hardware")</f>
        <v/>
      </c>
      <c r="BB93" s="37">
        <f>SUMIFS(tblAuftraege[Kalk.
Ausgaben],tblAuftraege[Datum
Ausgaben],"&gt;="&amp;BB$5,tblAuftraege[Datum
Ausgaben],"&lt;"&amp;EDATE(BB$5,1),tblAuftraege[Kategorie],"Hardware")</f>
        <v/>
      </c>
      <c r="BC93" s="37">
        <f>SUMIFS(tblAuftraege[Kalk.
Ausgaben],tblAuftraege[Datum
Ausgaben],"&gt;="&amp;BC$5,tblAuftraege[Datum
Ausgaben],"&lt;"&amp;EDATE(BC$5,1),tblAuftraege[Kategorie],"Hardware")</f>
        <v/>
      </c>
      <c r="BD93" s="37">
        <f>SUMIFS(tblAuftraege[Kalk.
Ausgaben],tblAuftraege[Datum
Ausgaben],"&gt;="&amp;BD$5,tblAuftraege[Datum
Ausgaben],"&lt;"&amp;EDATE(BD$5,1),tblAuftraege[Kategorie],"Hardware")</f>
        <v/>
      </c>
      <c r="BE93" s="37">
        <f>SUM(C93:H93)</f>
        <v/>
      </c>
      <c r="BF93" s="37">
        <f>SUM(I93:T93)</f>
        <v/>
      </c>
      <c r="BG93" s="37">
        <f>SUM(U93:AF93)</f>
        <v/>
      </c>
      <c r="BH93" s="37">
        <f>SUM(AG93:AR93)</f>
        <v/>
      </c>
      <c r="BI93" s="37">
        <f>SUM(AS93:BD93)</f>
        <v/>
      </c>
      <c r="BJ93" s="37">
        <f>SUM(C93:BD93)</f>
        <v/>
      </c>
    </row>
    <row r="94">
      <c r="B94" s="38" t="inlineStr">
        <is>
          <t>Hardware + Dienstleistung – Einnahmen</t>
        </is>
      </c>
      <c r="C94" s="8">
        <f>SUMIFS(tblAuftraege[Kalk.
Einnahmen],tblAuftraege[Datum
Einnahmen],"&gt;="&amp;C$5,tblAuftraege[Datum
Einnahmen],"&lt;"&amp;EDATE(C$5,1),tblAuftraege[Kategorie],"Hardware + Dienstleistung")</f>
        <v/>
      </c>
      <c r="D94" s="8">
        <f>SUMIFS(tblAuftraege[Kalk.
Einnahmen],tblAuftraege[Datum
Einnahmen],"&gt;="&amp;D$5,tblAuftraege[Datum
Einnahmen],"&lt;"&amp;EDATE(D$5,1),tblAuftraege[Kategorie],"Hardware + Dienstleistung")</f>
        <v/>
      </c>
      <c r="E94" s="8">
        <f>SUMIFS(tblAuftraege[Kalk.
Einnahmen],tblAuftraege[Datum
Einnahmen],"&gt;="&amp;E$5,tblAuftraege[Datum
Einnahmen],"&lt;"&amp;EDATE(E$5,1),tblAuftraege[Kategorie],"Hardware + Dienstleistung")</f>
        <v/>
      </c>
      <c r="F94" s="8">
        <f>SUMIFS(tblAuftraege[Kalk.
Einnahmen],tblAuftraege[Datum
Einnahmen],"&gt;="&amp;F$5,tblAuftraege[Datum
Einnahmen],"&lt;"&amp;EDATE(F$5,1),tblAuftraege[Kategorie],"Hardware + Dienstleistung")</f>
        <v/>
      </c>
      <c r="G94" s="8">
        <f>SUMIFS(tblAuftraege[Kalk.
Einnahmen],tblAuftraege[Datum
Einnahmen],"&gt;="&amp;G$5,tblAuftraege[Datum
Einnahmen],"&lt;"&amp;EDATE(G$5,1),tblAuftraege[Kategorie],"Hardware + Dienstleistung")</f>
        <v/>
      </c>
      <c r="H94" s="8">
        <f>SUMIFS(tblAuftraege[Kalk.
Einnahmen],tblAuftraege[Datum
Einnahmen],"&gt;="&amp;H$5,tblAuftraege[Datum
Einnahmen],"&lt;"&amp;EDATE(H$5,1),tblAuftraege[Kategorie],"Hardware + Dienstleistung")</f>
        <v/>
      </c>
      <c r="I94" s="8">
        <f>SUMIFS(tblAuftraege[Kalk.
Einnahmen],tblAuftraege[Datum
Einnahmen],"&gt;="&amp;I$5,tblAuftraege[Datum
Einnahmen],"&lt;"&amp;EDATE(I$5,1),tblAuftraege[Kategorie],"Hardware + Dienstleistung")</f>
        <v/>
      </c>
      <c r="J94" s="8">
        <f>SUMIFS(tblAuftraege[Kalk.
Einnahmen],tblAuftraege[Datum
Einnahmen],"&gt;="&amp;J$5,tblAuftraege[Datum
Einnahmen],"&lt;"&amp;EDATE(J$5,1),tblAuftraege[Kategorie],"Hardware + Dienstleistung")</f>
        <v/>
      </c>
      <c r="K94" s="8">
        <f>SUMIFS(tblAuftraege[Kalk.
Einnahmen],tblAuftraege[Datum
Einnahmen],"&gt;="&amp;K$5,tblAuftraege[Datum
Einnahmen],"&lt;"&amp;EDATE(K$5,1),tblAuftraege[Kategorie],"Hardware + Dienstleistung")</f>
        <v/>
      </c>
      <c r="L94" s="8">
        <f>SUMIFS(tblAuftraege[Kalk.
Einnahmen],tblAuftraege[Datum
Einnahmen],"&gt;="&amp;L$5,tblAuftraege[Datum
Einnahmen],"&lt;"&amp;EDATE(L$5,1),tblAuftraege[Kategorie],"Hardware + Dienstleistung")</f>
        <v/>
      </c>
      <c r="M94" s="8">
        <f>SUMIFS(tblAuftraege[Kalk.
Einnahmen],tblAuftraege[Datum
Einnahmen],"&gt;="&amp;M$5,tblAuftraege[Datum
Einnahmen],"&lt;"&amp;EDATE(M$5,1),tblAuftraege[Kategorie],"Hardware + Dienstleistung")</f>
        <v/>
      </c>
      <c r="N94" s="8">
        <f>SUMIFS(tblAuftraege[Kalk.
Einnahmen],tblAuftraege[Datum
Einnahmen],"&gt;="&amp;N$5,tblAuftraege[Datum
Einnahmen],"&lt;"&amp;EDATE(N$5,1),tblAuftraege[Kategorie],"Hardware + Dienstleistung")</f>
        <v/>
      </c>
      <c r="O94" s="8">
        <f>SUMIFS(tblAuftraege[Kalk.
Einnahmen],tblAuftraege[Datum
Einnahmen],"&gt;="&amp;O$5,tblAuftraege[Datum
Einnahmen],"&lt;"&amp;EDATE(O$5,1),tblAuftraege[Kategorie],"Hardware + Dienstleistung")</f>
        <v/>
      </c>
      <c r="P94" s="8">
        <f>SUMIFS(tblAuftraege[Kalk.
Einnahmen],tblAuftraege[Datum
Einnahmen],"&gt;="&amp;P$5,tblAuftraege[Datum
Einnahmen],"&lt;"&amp;EDATE(P$5,1),tblAuftraege[Kategorie],"Hardware + Dienstleistung")</f>
        <v/>
      </c>
      <c r="Q94" s="8">
        <f>SUMIFS(tblAuftraege[Kalk.
Einnahmen],tblAuftraege[Datum
Einnahmen],"&gt;="&amp;Q$5,tblAuftraege[Datum
Einnahmen],"&lt;"&amp;EDATE(Q$5,1),tblAuftraege[Kategorie],"Hardware + Dienstleistung")</f>
        <v/>
      </c>
      <c r="R94" s="8">
        <f>SUMIFS(tblAuftraege[Kalk.
Einnahmen],tblAuftraege[Datum
Einnahmen],"&gt;="&amp;R$5,tblAuftraege[Datum
Einnahmen],"&lt;"&amp;EDATE(R$5,1),tblAuftraege[Kategorie],"Hardware + Dienstleistung")</f>
        <v/>
      </c>
      <c r="S94" s="8">
        <f>SUMIFS(tblAuftraege[Kalk.
Einnahmen],tblAuftraege[Datum
Einnahmen],"&gt;="&amp;S$5,tblAuftraege[Datum
Einnahmen],"&lt;"&amp;EDATE(S$5,1),tblAuftraege[Kategorie],"Hardware + Dienstleistung")</f>
        <v/>
      </c>
      <c r="T94" s="8">
        <f>SUMIFS(tblAuftraege[Kalk.
Einnahmen],tblAuftraege[Datum
Einnahmen],"&gt;="&amp;T$5,tblAuftraege[Datum
Einnahmen],"&lt;"&amp;EDATE(T$5,1),tblAuftraege[Kategorie],"Hardware + Dienstleistung")</f>
        <v/>
      </c>
      <c r="U94" s="8">
        <f>SUMIFS(tblAuftraege[Kalk.
Einnahmen],tblAuftraege[Datum
Einnahmen],"&gt;="&amp;U$5,tblAuftraege[Datum
Einnahmen],"&lt;"&amp;EDATE(U$5,1),tblAuftraege[Kategorie],"Hardware + Dienstleistung")</f>
        <v/>
      </c>
      <c r="V94" s="8">
        <f>SUMIFS(tblAuftraege[Kalk.
Einnahmen],tblAuftraege[Datum
Einnahmen],"&gt;="&amp;V$5,tblAuftraege[Datum
Einnahmen],"&lt;"&amp;EDATE(V$5,1),tblAuftraege[Kategorie],"Hardware + Dienstleistung")</f>
        <v/>
      </c>
      <c r="W94" s="8">
        <f>SUMIFS(tblAuftraege[Kalk.
Einnahmen],tblAuftraege[Datum
Einnahmen],"&gt;="&amp;W$5,tblAuftraege[Datum
Einnahmen],"&lt;"&amp;EDATE(W$5,1),tblAuftraege[Kategorie],"Hardware + Dienstleistung")</f>
        <v/>
      </c>
      <c r="X94" s="8">
        <f>SUMIFS(tblAuftraege[Kalk.
Einnahmen],tblAuftraege[Datum
Einnahmen],"&gt;="&amp;X$5,tblAuftraege[Datum
Einnahmen],"&lt;"&amp;EDATE(X$5,1),tblAuftraege[Kategorie],"Hardware + Dienstleistung")</f>
        <v/>
      </c>
      <c r="Y94" s="8">
        <f>SUMIFS(tblAuftraege[Kalk.
Einnahmen],tblAuftraege[Datum
Einnahmen],"&gt;="&amp;Y$5,tblAuftraege[Datum
Einnahmen],"&lt;"&amp;EDATE(Y$5,1),tblAuftraege[Kategorie],"Hardware + Dienstleistung")</f>
        <v/>
      </c>
      <c r="Z94" s="8">
        <f>SUMIFS(tblAuftraege[Kalk.
Einnahmen],tblAuftraege[Datum
Einnahmen],"&gt;="&amp;Z$5,tblAuftraege[Datum
Einnahmen],"&lt;"&amp;EDATE(Z$5,1),tblAuftraege[Kategorie],"Hardware + Dienstleistung")</f>
        <v/>
      </c>
      <c r="AA94" s="8">
        <f>SUMIFS(tblAuftraege[Kalk.
Einnahmen],tblAuftraege[Datum
Einnahmen],"&gt;="&amp;AA$5,tblAuftraege[Datum
Einnahmen],"&lt;"&amp;EDATE(AA$5,1),tblAuftraege[Kategorie],"Hardware + Dienstleistung")</f>
        <v/>
      </c>
      <c r="AB94" s="8">
        <f>SUMIFS(tblAuftraege[Kalk.
Einnahmen],tblAuftraege[Datum
Einnahmen],"&gt;="&amp;AB$5,tblAuftraege[Datum
Einnahmen],"&lt;"&amp;EDATE(AB$5,1),tblAuftraege[Kategorie],"Hardware + Dienstleistung")</f>
        <v/>
      </c>
      <c r="AC94" s="8">
        <f>SUMIFS(tblAuftraege[Kalk.
Einnahmen],tblAuftraege[Datum
Einnahmen],"&gt;="&amp;AC$5,tblAuftraege[Datum
Einnahmen],"&lt;"&amp;EDATE(AC$5,1),tblAuftraege[Kategorie],"Hardware + Dienstleistung")</f>
        <v/>
      </c>
      <c r="AD94" s="8">
        <f>SUMIFS(tblAuftraege[Kalk.
Einnahmen],tblAuftraege[Datum
Einnahmen],"&gt;="&amp;AD$5,tblAuftraege[Datum
Einnahmen],"&lt;"&amp;EDATE(AD$5,1),tblAuftraege[Kategorie],"Hardware + Dienstleistung")</f>
        <v/>
      </c>
      <c r="AE94" s="8">
        <f>SUMIFS(tblAuftraege[Kalk.
Einnahmen],tblAuftraege[Datum
Einnahmen],"&gt;="&amp;AE$5,tblAuftraege[Datum
Einnahmen],"&lt;"&amp;EDATE(AE$5,1),tblAuftraege[Kategorie],"Hardware + Dienstleistung")</f>
        <v/>
      </c>
      <c r="AF94" s="8">
        <f>SUMIFS(tblAuftraege[Kalk.
Einnahmen],tblAuftraege[Datum
Einnahmen],"&gt;="&amp;AF$5,tblAuftraege[Datum
Einnahmen],"&lt;"&amp;EDATE(AF$5,1),tblAuftraege[Kategorie],"Hardware + Dienstleistung")</f>
        <v/>
      </c>
      <c r="AG94" s="8">
        <f>SUMIFS(tblAuftraege[Kalk.
Einnahmen],tblAuftraege[Datum
Einnahmen],"&gt;="&amp;AG$5,tblAuftraege[Datum
Einnahmen],"&lt;"&amp;EDATE(AG$5,1),tblAuftraege[Kategorie],"Hardware + Dienstleistung")</f>
        <v/>
      </c>
      <c r="AH94" s="8">
        <f>SUMIFS(tblAuftraege[Kalk.
Einnahmen],tblAuftraege[Datum
Einnahmen],"&gt;="&amp;AH$5,tblAuftraege[Datum
Einnahmen],"&lt;"&amp;EDATE(AH$5,1),tblAuftraege[Kategorie],"Hardware + Dienstleistung")</f>
        <v/>
      </c>
      <c r="AI94" s="8">
        <f>SUMIFS(tblAuftraege[Kalk.
Einnahmen],tblAuftraege[Datum
Einnahmen],"&gt;="&amp;AI$5,tblAuftraege[Datum
Einnahmen],"&lt;"&amp;EDATE(AI$5,1),tblAuftraege[Kategorie],"Hardware + Dienstleistung")</f>
        <v/>
      </c>
      <c r="AJ94" s="8">
        <f>SUMIFS(tblAuftraege[Kalk.
Einnahmen],tblAuftraege[Datum
Einnahmen],"&gt;="&amp;AJ$5,tblAuftraege[Datum
Einnahmen],"&lt;"&amp;EDATE(AJ$5,1),tblAuftraege[Kategorie],"Hardware + Dienstleistung")</f>
        <v/>
      </c>
      <c r="AK94" s="8">
        <f>SUMIFS(tblAuftraege[Kalk.
Einnahmen],tblAuftraege[Datum
Einnahmen],"&gt;="&amp;AK$5,tblAuftraege[Datum
Einnahmen],"&lt;"&amp;EDATE(AK$5,1),tblAuftraege[Kategorie],"Hardware + Dienstleistung")</f>
        <v/>
      </c>
      <c r="AL94" s="8">
        <f>SUMIFS(tblAuftraege[Kalk.
Einnahmen],tblAuftraege[Datum
Einnahmen],"&gt;="&amp;AL$5,tblAuftraege[Datum
Einnahmen],"&lt;"&amp;EDATE(AL$5,1),tblAuftraege[Kategorie],"Hardware + Dienstleistung")</f>
        <v/>
      </c>
      <c r="AM94" s="8">
        <f>SUMIFS(tblAuftraege[Kalk.
Einnahmen],tblAuftraege[Datum
Einnahmen],"&gt;="&amp;AM$5,tblAuftraege[Datum
Einnahmen],"&lt;"&amp;EDATE(AM$5,1),tblAuftraege[Kategorie],"Hardware + Dienstleistung")</f>
        <v/>
      </c>
      <c r="AN94" s="8">
        <f>SUMIFS(tblAuftraege[Kalk.
Einnahmen],tblAuftraege[Datum
Einnahmen],"&gt;="&amp;AN$5,tblAuftraege[Datum
Einnahmen],"&lt;"&amp;EDATE(AN$5,1),tblAuftraege[Kategorie],"Hardware + Dienstleistung")</f>
        <v/>
      </c>
      <c r="AO94" s="8">
        <f>SUMIFS(tblAuftraege[Kalk.
Einnahmen],tblAuftraege[Datum
Einnahmen],"&gt;="&amp;AO$5,tblAuftraege[Datum
Einnahmen],"&lt;"&amp;EDATE(AO$5,1),tblAuftraege[Kategorie],"Hardware + Dienstleistung")</f>
        <v/>
      </c>
      <c r="AP94" s="8">
        <f>SUMIFS(tblAuftraege[Kalk.
Einnahmen],tblAuftraege[Datum
Einnahmen],"&gt;="&amp;AP$5,tblAuftraege[Datum
Einnahmen],"&lt;"&amp;EDATE(AP$5,1),tblAuftraege[Kategorie],"Hardware + Dienstleistung")</f>
        <v/>
      </c>
      <c r="AQ94" s="8">
        <f>SUMIFS(tblAuftraege[Kalk.
Einnahmen],tblAuftraege[Datum
Einnahmen],"&gt;="&amp;AQ$5,tblAuftraege[Datum
Einnahmen],"&lt;"&amp;EDATE(AQ$5,1),tblAuftraege[Kategorie],"Hardware + Dienstleistung")</f>
        <v/>
      </c>
      <c r="AR94" s="8">
        <f>SUMIFS(tblAuftraege[Kalk.
Einnahmen],tblAuftraege[Datum
Einnahmen],"&gt;="&amp;AR$5,tblAuftraege[Datum
Einnahmen],"&lt;"&amp;EDATE(AR$5,1),tblAuftraege[Kategorie],"Hardware + Dienstleistung")</f>
        <v/>
      </c>
      <c r="AS94" s="8">
        <f>SUMIFS(tblAuftraege[Kalk.
Einnahmen],tblAuftraege[Datum
Einnahmen],"&gt;="&amp;AS$5,tblAuftraege[Datum
Einnahmen],"&lt;"&amp;EDATE(AS$5,1),tblAuftraege[Kategorie],"Hardware + Dienstleistung")</f>
        <v/>
      </c>
      <c r="AT94" s="8">
        <f>SUMIFS(tblAuftraege[Kalk.
Einnahmen],tblAuftraege[Datum
Einnahmen],"&gt;="&amp;AT$5,tblAuftraege[Datum
Einnahmen],"&lt;"&amp;EDATE(AT$5,1),tblAuftraege[Kategorie],"Hardware + Dienstleistung")</f>
        <v/>
      </c>
      <c r="AU94" s="8">
        <f>SUMIFS(tblAuftraege[Kalk.
Einnahmen],tblAuftraege[Datum
Einnahmen],"&gt;="&amp;AU$5,tblAuftraege[Datum
Einnahmen],"&lt;"&amp;EDATE(AU$5,1),tblAuftraege[Kategorie],"Hardware + Dienstleistung")</f>
        <v/>
      </c>
      <c r="AV94" s="8">
        <f>SUMIFS(tblAuftraege[Kalk.
Einnahmen],tblAuftraege[Datum
Einnahmen],"&gt;="&amp;AV$5,tblAuftraege[Datum
Einnahmen],"&lt;"&amp;EDATE(AV$5,1),tblAuftraege[Kategorie],"Hardware + Dienstleistung")</f>
        <v/>
      </c>
      <c r="AW94" s="8">
        <f>SUMIFS(tblAuftraege[Kalk.
Einnahmen],tblAuftraege[Datum
Einnahmen],"&gt;="&amp;AW$5,tblAuftraege[Datum
Einnahmen],"&lt;"&amp;EDATE(AW$5,1),tblAuftraege[Kategorie],"Hardware + Dienstleistung")</f>
        <v/>
      </c>
      <c r="AX94" s="8">
        <f>SUMIFS(tblAuftraege[Kalk.
Einnahmen],tblAuftraege[Datum
Einnahmen],"&gt;="&amp;AX$5,tblAuftraege[Datum
Einnahmen],"&lt;"&amp;EDATE(AX$5,1),tblAuftraege[Kategorie],"Hardware + Dienstleistung")</f>
        <v/>
      </c>
      <c r="AY94" s="8">
        <f>SUMIFS(tblAuftraege[Kalk.
Einnahmen],tblAuftraege[Datum
Einnahmen],"&gt;="&amp;AY$5,tblAuftraege[Datum
Einnahmen],"&lt;"&amp;EDATE(AY$5,1),tblAuftraege[Kategorie],"Hardware + Dienstleistung")</f>
        <v/>
      </c>
      <c r="AZ94" s="8">
        <f>SUMIFS(tblAuftraege[Kalk.
Einnahmen],tblAuftraege[Datum
Einnahmen],"&gt;="&amp;AZ$5,tblAuftraege[Datum
Einnahmen],"&lt;"&amp;EDATE(AZ$5,1),tblAuftraege[Kategorie],"Hardware + Dienstleistung")</f>
        <v/>
      </c>
      <c r="BA94" s="8">
        <f>SUMIFS(tblAuftraege[Kalk.
Einnahmen],tblAuftraege[Datum
Einnahmen],"&gt;="&amp;BA$5,tblAuftraege[Datum
Einnahmen],"&lt;"&amp;EDATE(BA$5,1),tblAuftraege[Kategorie],"Hardware + Dienstleistung")</f>
        <v/>
      </c>
      <c r="BB94" s="8">
        <f>SUMIFS(tblAuftraege[Kalk.
Einnahmen],tblAuftraege[Datum
Einnahmen],"&gt;="&amp;BB$5,tblAuftraege[Datum
Einnahmen],"&lt;"&amp;EDATE(BB$5,1),tblAuftraege[Kategorie],"Hardware + Dienstleistung")</f>
        <v/>
      </c>
      <c r="BC94" s="8">
        <f>SUMIFS(tblAuftraege[Kalk.
Einnahmen],tblAuftraege[Datum
Einnahmen],"&gt;="&amp;BC$5,tblAuftraege[Datum
Einnahmen],"&lt;"&amp;EDATE(BC$5,1),tblAuftraege[Kategorie],"Hardware + Dienstleistung")</f>
        <v/>
      </c>
      <c r="BD94" s="8">
        <f>SUMIFS(tblAuftraege[Kalk.
Einnahmen],tblAuftraege[Datum
Einnahmen],"&gt;="&amp;BD$5,tblAuftraege[Datum
Einnahmen],"&lt;"&amp;EDATE(BD$5,1),tblAuftraege[Kategorie],"Hardware + Dienstleistung")</f>
        <v/>
      </c>
      <c r="BE94" s="8">
        <f>SUM(C94:H94)</f>
        <v/>
      </c>
      <c r="BF94" s="8">
        <f>SUM(I94:T94)</f>
        <v/>
      </c>
      <c r="BG94" s="8">
        <f>SUM(U94:AF94)</f>
        <v/>
      </c>
      <c r="BH94" s="8">
        <f>SUM(AG94:AR94)</f>
        <v/>
      </c>
      <c r="BI94" s="8">
        <f>SUM(AS94:BD94)</f>
        <v/>
      </c>
      <c r="BJ94" s="8">
        <f>SUM(C94:BD94)</f>
        <v/>
      </c>
    </row>
    <row r="95">
      <c r="B95" s="38" t="inlineStr">
        <is>
          <t>Hardware + Dienstleistung – Ausgaben</t>
        </is>
      </c>
      <c r="C95" s="37">
        <f>SUMIFS(tblAuftraege[Kalk.
Ausgaben],tblAuftraege[Datum
Ausgaben],"&gt;="&amp;C$5,tblAuftraege[Datum
Ausgaben],"&lt;"&amp;EDATE(C$5,1),tblAuftraege[Kategorie],"Hardware + Dienstleistung")</f>
        <v/>
      </c>
      <c r="D95" s="37">
        <f>SUMIFS(tblAuftraege[Kalk.
Ausgaben],tblAuftraege[Datum
Ausgaben],"&gt;="&amp;D$5,tblAuftraege[Datum
Ausgaben],"&lt;"&amp;EDATE(D$5,1),tblAuftraege[Kategorie],"Hardware + Dienstleistung")</f>
        <v/>
      </c>
      <c r="E95" s="37">
        <f>SUMIFS(tblAuftraege[Kalk.
Ausgaben],tblAuftraege[Datum
Ausgaben],"&gt;="&amp;E$5,tblAuftraege[Datum
Ausgaben],"&lt;"&amp;EDATE(E$5,1),tblAuftraege[Kategorie],"Hardware + Dienstleistung")</f>
        <v/>
      </c>
      <c r="F95" s="37">
        <f>SUMIFS(tblAuftraege[Kalk.
Ausgaben],tblAuftraege[Datum
Ausgaben],"&gt;="&amp;F$5,tblAuftraege[Datum
Ausgaben],"&lt;"&amp;EDATE(F$5,1),tblAuftraege[Kategorie],"Hardware + Dienstleistung")</f>
        <v/>
      </c>
      <c r="G95" s="37">
        <f>SUMIFS(tblAuftraege[Kalk.
Ausgaben],tblAuftraege[Datum
Ausgaben],"&gt;="&amp;G$5,tblAuftraege[Datum
Ausgaben],"&lt;"&amp;EDATE(G$5,1),tblAuftraege[Kategorie],"Hardware + Dienstleistung")</f>
        <v/>
      </c>
      <c r="H95" s="37">
        <f>SUMIFS(tblAuftraege[Kalk.
Ausgaben],tblAuftraege[Datum
Ausgaben],"&gt;="&amp;H$5,tblAuftraege[Datum
Ausgaben],"&lt;"&amp;EDATE(H$5,1),tblAuftraege[Kategorie],"Hardware + Dienstleistung")</f>
        <v/>
      </c>
      <c r="I95" s="37">
        <f>SUMIFS(tblAuftraege[Kalk.
Ausgaben],tblAuftraege[Datum
Ausgaben],"&gt;="&amp;I$5,tblAuftraege[Datum
Ausgaben],"&lt;"&amp;EDATE(I$5,1),tblAuftraege[Kategorie],"Hardware + Dienstleistung")</f>
        <v/>
      </c>
      <c r="J95" s="37">
        <f>SUMIFS(tblAuftraege[Kalk.
Ausgaben],tblAuftraege[Datum
Ausgaben],"&gt;="&amp;J$5,tblAuftraege[Datum
Ausgaben],"&lt;"&amp;EDATE(J$5,1),tblAuftraege[Kategorie],"Hardware + Dienstleistung")</f>
        <v/>
      </c>
      <c r="K95" s="37">
        <f>SUMIFS(tblAuftraege[Kalk.
Ausgaben],tblAuftraege[Datum
Ausgaben],"&gt;="&amp;K$5,tblAuftraege[Datum
Ausgaben],"&lt;"&amp;EDATE(K$5,1),tblAuftraege[Kategorie],"Hardware + Dienstleistung")</f>
        <v/>
      </c>
      <c r="L95" s="37">
        <f>SUMIFS(tblAuftraege[Kalk.
Ausgaben],tblAuftraege[Datum
Ausgaben],"&gt;="&amp;L$5,tblAuftraege[Datum
Ausgaben],"&lt;"&amp;EDATE(L$5,1),tblAuftraege[Kategorie],"Hardware + Dienstleistung")</f>
        <v/>
      </c>
      <c r="M95" s="37">
        <f>SUMIFS(tblAuftraege[Kalk.
Ausgaben],tblAuftraege[Datum
Ausgaben],"&gt;="&amp;M$5,tblAuftraege[Datum
Ausgaben],"&lt;"&amp;EDATE(M$5,1),tblAuftraege[Kategorie],"Hardware + Dienstleistung")</f>
        <v/>
      </c>
      <c r="N95" s="37">
        <f>SUMIFS(tblAuftraege[Kalk.
Ausgaben],tblAuftraege[Datum
Ausgaben],"&gt;="&amp;N$5,tblAuftraege[Datum
Ausgaben],"&lt;"&amp;EDATE(N$5,1),tblAuftraege[Kategorie],"Hardware + Dienstleistung")</f>
        <v/>
      </c>
      <c r="O95" s="37">
        <f>SUMIFS(tblAuftraege[Kalk.
Ausgaben],tblAuftraege[Datum
Ausgaben],"&gt;="&amp;O$5,tblAuftraege[Datum
Ausgaben],"&lt;"&amp;EDATE(O$5,1),tblAuftraege[Kategorie],"Hardware + Dienstleistung")</f>
        <v/>
      </c>
      <c r="P95" s="37">
        <f>SUMIFS(tblAuftraege[Kalk.
Ausgaben],tblAuftraege[Datum
Ausgaben],"&gt;="&amp;P$5,tblAuftraege[Datum
Ausgaben],"&lt;"&amp;EDATE(P$5,1),tblAuftraege[Kategorie],"Hardware + Dienstleistung")</f>
        <v/>
      </c>
      <c r="Q95" s="37">
        <f>SUMIFS(tblAuftraege[Kalk.
Ausgaben],tblAuftraege[Datum
Ausgaben],"&gt;="&amp;Q$5,tblAuftraege[Datum
Ausgaben],"&lt;"&amp;EDATE(Q$5,1),tblAuftraege[Kategorie],"Hardware + Dienstleistung")</f>
        <v/>
      </c>
      <c r="R95" s="37">
        <f>SUMIFS(tblAuftraege[Kalk.
Ausgaben],tblAuftraege[Datum
Ausgaben],"&gt;="&amp;R$5,tblAuftraege[Datum
Ausgaben],"&lt;"&amp;EDATE(R$5,1),tblAuftraege[Kategorie],"Hardware + Dienstleistung")</f>
        <v/>
      </c>
      <c r="S95" s="37">
        <f>SUMIFS(tblAuftraege[Kalk.
Ausgaben],tblAuftraege[Datum
Ausgaben],"&gt;="&amp;S$5,tblAuftraege[Datum
Ausgaben],"&lt;"&amp;EDATE(S$5,1),tblAuftraege[Kategorie],"Hardware + Dienstleistung")</f>
        <v/>
      </c>
      <c r="T95" s="37">
        <f>SUMIFS(tblAuftraege[Kalk.
Ausgaben],tblAuftraege[Datum
Ausgaben],"&gt;="&amp;T$5,tblAuftraege[Datum
Ausgaben],"&lt;"&amp;EDATE(T$5,1),tblAuftraege[Kategorie],"Hardware + Dienstleistung")</f>
        <v/>
      </c>
      <c r="U95" s="37">
        <f>SUMIFS(tblAuftraege[Kalk.
Ausgaben],tblAuftraege[Datum
Ausgaben],"&gt;="&amp;U$5,tblAuftraege[Datum
Ausgaben],"&lt;"&amp;EDATE(U$5,1),tblAuftraege[Kategorie],"Hardware + Dienstleistung")</f>
        <v/>
      </c>
      <c r="V95" s="37">
        <f>SUMIFS(tblAuftraege[Kalk.
Ausgaben],tblAuftraege[Datum
Ausgaben],"&gt;="&amp;V$5,tblAuftraege[Datum
Ausgaben],"&lt;"&amp;EDATE(V$5,1),tblAuftraege[Kategorie],"Hardware + Dienstleistung")</f>
        <v/>
      </c>
      <c r="W95" s="37">
        <f>SUMIFS(tblAuftraege[Kalk.
Ausgaben],tblAuftraege[Datum
Ausgaben],"&gt;="&amp;W$5,tblAuftraege[Datum
Ausgaben],"&lt;"&amp;EDATE(W$5,1),tblAuftraege[Kategorie],"Hardware + Dienstleistung")</f>
        <v/>
      </c>
      <c r="X95" s="37">
        <f>SUMIFS(tblAuftraege[Kalk.
Ausgaben],tblAuftraege[Datum
Ausgaben],"&gt;="&amp;X$5,tblAuftraege[Datum
Ausgaben],"&lt;"&amp;EDATE(X$5,1),tblAuftraege[Kategorie],"Hardware + Dienstleistung")</f>
        <v/>
      </c>
      <c r="Y95" s="37">
        <f>SUMIFS(tblAuftraege[Kalk.
Ausgaben],tblAuftraege[Datum
Ausgaben],"&gt;="&amp;Y$5,tblAuftraege[Datum
Ausgaben],"&lt;"&amp;EDATE(Y$5,1),tblAuftraege[Kategorie],"Hardware + Dienstleistung")</f>
        <v/>
      </c>
      <c r="Z95" s="37">
        <f>SUMIFS(tblAuftraege[Kalk.
Ausgaben],tblAuftraege[Datum
Ausgaben],"&gt;="&amp;Z$5,tblAuftraege[Datum
Ausgaben],"&lt;"&amp;EDATE(Z$5,1),tblAuftraege[Kategorie],"Hardware + Dienstleistung")</f>
        <v/>
      </c>
      <c r="AA95" s="37">
        <f>SUMIFS(tblAuftraege[Kalk.
Ausgaben],tblAuftraege[Datum
Ausgaben],"&gt;="&amp;AA$5,tblAuftraege[Datum
Ausgaben],"&lt;"&amp;EDATE(AA$5,1),tblAuftraege[Kategorie],"Hardware + Dienstleistung")</f>
        <v/>
      </c>
      <c r="AB95" s="37">
        <f>SUMIFS(tblAuftraege[Kalk.
Ausgaben],tblAuftraege[Datum
Ausgaben],"&gt;="&amp;AB$5,tblAuftraege[Datum
Ausgaben],"&lt;"&amp;EDATE(AB$5,1),tblAuftraege[Kategorie],"Hardware + Dienstleistung")</f>
        <v/>
      </c>
      <c r="AC95" s="37">
        <f>SUMIFS(tblAuftraege[Kalk.
Ausgaben],tblAuftraege[Datum
Ausgaben],"&gt;="&amp;AC$5,tblAuftraege[Datum
Ausgaben],"&lt;"&amp;EDATE(AC$5,1),tblAuftraege[Kategorie],"Hardware + Dienstleistung")</f>
        <v/>
      </c>
      <c r="AD95" s="37">
        <f>SUMIFS(tblAuftraege[Kalk.
Ausgaben],tblAuftraege[Datum
Ausgaben],"&gt;="&amp;AD$5,tblAuftraege[Datum
Ausgaben],"&lt;"&amp;EDATE(AD$5,1),tblAuftraege[Kategorie],"Hardware + Dienstleistung")</f>
        <v/>
      </c>
      <c r="AE95" s="37">
        <f>SUMIFS(tblAuftraege[Kalk.
Ausgaben],tblAuftraege[Datum
Ausgaben],"&gt;="&amp;AE$5,tblAuftraege[Datum
Ausgaben],"&lt;"&amp;EDATE(AE$5,1),tblAuftraege[Kategorie],"Hardware + Dienstleistung")</f>
        <v/>
      </c>
      <c r="AF95" s="37">
        <f>SUMIFS(tblAuftraege[Kalk.
Ausgaben],tblAuftraege[Datum
Ausgaben],"&gt;="&amp;AF$5,tblAuftraege[Datum
Ausgaben],"&lt;"&amp;EDATE(AF$5,1),tblAuftraege[Kategorie],"Hardware + Dienstleistung")</f>
        <v/>
      </c>
      <c r="AG95" s="37">
        <f>SUMIFS(tblAuftraege[Kalk.
Ausgaben],tblAuftraege[Datum
Ausgaben],"&gt;="&amp;AG$5,tblAuftraege[Datum
Ausgaben],"&lt;"&amp;EDATE(AG$5,1),tblAuftraege[Kategorie],"Hardware + Dienstleistung")</f>
        <v/>
      </c>
      <c r="AH95" s="37">
        <f>SUMIFS(tblAuftraege[Kalk.
Ausgaben],tblAuftraege[Datum
Ausgaben],"&gt;="&amp;AH$5,tblAuftraege[Datum
Ausgaben],"&lt;"&amp;EDATE(AH$5,1),tblAuftraege[Kategorie],"Hardware + Dienstleistung")</f>
        <v/>
      </c>
      <c r="AI95" s="37">
        <f>SUMIFS(tblAuftraege[Kalk.
Ausgaben],tblAuftraege[Datum
Ausgaben],"&gt;="&amp;AI$5,tblAuftraege[Datum
Ausgaben],"&lt;"&amp;EDATE(AI$5,1),tblAuftraege[Kategorie],"Hardware + Dienstleistung")</f>
        <v/>
      </c>
      <c r="AJ95" s="37">
        <f>SUMIFS(tblAuftraege[Kalk.
Ausgaben],tblAuftraege[Datum
Ausgaben],"&gt;="&amp;AJ$5,tblAuftraege[Datum
Ausgaben],"&lt;"&amp;EDATE(AJ$5,1),tblAuftraege[Kategorie],"Hardware + Dienstleistung")</f>
        <v/>
      </c>
      <c r="AK95" s="37">
        <f>SUMIFS(tblAuftraege[Kalk.
Ausgaben],tblAuftraege[Datum
Ausgaben],"&gt;="&amp;AK$5,tblAuftraege[Datum
Ausgaben],"&lt;"&amp;EDATE(AK$5,1),tblAuftraege[Kategorie],"Hardware + Dienstleistung")</f>
        <v/>
      </c>
      <c r="AL95" s="37">
        <f>SUMIFS(tblAuftraege[Kalk.
Ausgaben],tblAuftraege[Datum
Ausgaben],"&gt;="&amp;AL$5,tblAuftraege[Datum
Ausgaben],"&lt;"&amp;EDATE(AL$5,1),tblAuftraege[Kategorie],"Hardware + Dienstleistung")</f>
        <v/>
      </c>
      <c r="AM95" s="37">
        <f>SUMIFS(tblAuftraege[Kalk.
Ausgaben],tblAuftraege[Datum
Ausgaben],"&gt;="&amp;AM$5,tblAuftraege[Datum
Ausgaben],"&lt;"&amp;EDATE(AM$5,1),tblAuftraege[Kategorie],"Hardware + Dienstleistung")</f>
        <v/>
      </c>
      <c r="AN95" s="37">
        <f>SUMIFS(tblAuftraege[Kalk.
Ausgaben],tblAuftraege[Datum
Ausgaben],"&gt;="&amp;AN$5,tblAuftraege[Datum
Ausgaben],"&lt;"&amp;EDATE(AN$5,1),tblAuftraege[Kategorie],"Hardware + Dienstleistung")</f>
        <v/>
      </c>
      <c r="AO95" s="37">
        <f>SUMIFS(tblAuftraege[Kalk.
Ausgaben],tblAuftraege[Datum
Ausgaben],"&gt;="&amp;AO$5,tblAuftraege[Datum
Ausgaben],"&lt;"&amp;EDATE(AO$5,1),tblAuftraege[Kategorie],"Hardware + Dienstleistung")</f>
        <v/>
      </c>
      <c r="AP95" s="37">
        <f>SUMIFS(tblAuftraege[Kalk.
Ausgaben],tblAuftraege[Datum
Ausgaben],"&gt;="&amp;AP$5,tblAuftraege[Datum
Ausgaben],"&lt;"&amp;EDATE(AP$5,1),tblAuftraege[Kategorie],"Hardware + Dienstleistung")</f>
        <v/>
      </c>
      <c r="AQ95" s="37">
        <f>SUMIFS(tblAuftraege[Kalk.
Ausgaben],tblAuftraege[Datum
Ausgaben],"&gt;="&amp;AQ$5,tblAuftraege[Datum
Ausgaben],"&lt;"&amp;EDATE(AQ$5,1),tblAuftraege[Kategorie],"Hardware + Dienstleistung")</f>
        <v/>
      </c>
      <c r="AR95" s="37">
        <f>SUMIFS(tblAuftraege[Kalk.
Ausgaben],tblAuftraege[Datum
Ausgaben],"&gt;="&amp;AR$5,tblAuftraege[Datum
Ausgaben],"&lt;"&amp;EDATE(AR$5,1),tblAuftraege[Kategorie],"Hardware + Dienstleistung")</f>
        <v/>
      </c>
      <c r="AS95" s="37">
        <f>SUMIFS(tblAuftraege[Kalk.
Ausgaben],tblAuftraege[Datum
Ausgaben],"&gt;="&amp;AS$5,tblAuftraege[Datum
Ausgaben],"&lt;"&amp;EDATE(AS$5,1),tblAuftraege[Kategorie],"Hardware + Dienstleistung")</f>
        <v/>
      </c>
      <c r="AT95" s="37">
        <f>SUMIFS(tblAuftraege[Kalk.
Ausgaben],tblAuftraege[Datum
Ausgaben],"&gt;="&amp;AT$5,tblAuftraege[Datum
Ausgaben],"&lt;"&amp;EDATE(AT$5,1),tblAuftraege[Kategorie],"Hardware + Dienstleistung")</f>
        <v/>
      </c>
      <c r="AU95" s="37">
        <f>SUMIFS(tblAuftraege[Kalk.
Ausgaben],tblAuftraege[Datum
Ausgaben],"&gt;="&amp;AU$5,tblAuftraege[Datum
Ausgaben],"&lt;"&amp;EDATE(AU$5,1),tblAuftraege[Kategorie],"Hardware + Dienstleistung")</f>
        <v/>
      </c>
      <c r="AV95" s="37">
        <f>SUMIFS(tblAuftraege[Kalk.
Ausgaben],tblAuftraege[Datum
Ausgaben],"&gt;="&amp;AV$5,tblAuftraege[Datum
Ausgaben],"&lt;"&amp;EDATE(AV$5,1),tblAuftraege[Kategorie],"Hardware + Dienstleistung")</f>
        <v/>
      </c>
      <c r="AW95" s="37">
        <f>SUMIFS(tblAuftraege[Kalk.
Ausgaben],tblAuftraege[Datum
Ausgaben],"&gt;="&amp;AW$5,tblAuftraege[Datum
Ausgaben],"&lt;"&amp;EDATE(AW$5,1),tblAuftraege[Kategorie],"Hardware + Dienstleistung")</f>
        <v/>
      </c>
      <c r="AX95" s="37">
        <f>SUMIFS(tblAuftraege[Kalk.
Ausgaben],tblAuftraege[Datum
Ausgaben],"&gt;="&amp;AX$5,tblAuftraege[Datum
Ausgaben],"&lt;"&amp;EDATE(AX$5,1),tblAuftraege[Kategorie],"Hardware + Dienstleistung")</f>
        <v/>
      </c>
      <c r="AY95" s="37">
        <f>SUMIFS(tblAuftraege[Kalk.
Ausgaben],tblAuftraege[Datum
Ausgaben],"&gt;="&amp;AY$5,tblAuftraege[Datum
Ausgaben],"&lt;"&amp;EDATE(AY$5,1),tblAuftraege[Kategorie],"Hardware + Dienstleistung")</f>
        <v/>
      </c>
      <c r="AZ95" s="37">
        <f>SUMIFS(tblAuftraege[Kalk.
Ausgaben],tblAuftraege[Datum
Ausgaben],"&gt;="&amp;AZ$5,tblAuftraege[Datum
Ausgaben],"&lt;"&amp;EDATE(AZ$5,1),tblAuftraege[Kategorie],"Hardware + Dienstleistung")</f>
        <v/>
      </c>
      <c r="BA95" s="37">
        <f>SUMIFS(tblAuftraege[Kalk.
Ausgaben],tblAuftraege[Datum
Ausgaben],"&gt;="&amp;BA$5,tblAuftraege[Datum
Ausgaben],"&lt;"&amp;EDATE(BA$5,1),tblAuftraege[Kategorie],"Hardware + Dienstleistung")</f>
        <v/>
      </c>
      <c r="BB95" s="37">
        <f>SUMIFS(tblAuftraege[Kalk.
Ausgaben],tblAuftraege[Datum
Ausgaben],"&gt;="&amp;BB$5,tblAuftraege[Datum
Ausgaben],"&lt;"&amp;EDATE(BB$5,1),tblAuftraege[Kategorie],"Hardware + Dienstleistung")</f>
        <v/>
      </c>
      <c r="BC95" s="37">
        <f>SUMIFS(tblAuftraege[Kalk.
Ausgaben],tblAuftraege[Datum
Ausgaben],"&gt;="&amp;BC$5,tblAuftraege[Datum
Ausgaben],"&lt;"&amp;EDATE(BC$5,1),tblAuftraege[Kategorie],"Hardware + Dienstleistung")</f>
        <v/>
      </c>
      <c r="BD95" s="37">
        <f>SUMIFS(tblAuftraege[Kalk.
Ausgaben],tblAuftraege[Datum
Ausgaben],"&gt;="&amp;BD$5,tblAuftraege[Datum
Ausgaben],"&lt;"&amp;EDATE(BD$5,1),tblAuftraege[Kategorie],"Hardware + Dienstleistung")</f>
        <v/>
      </c>
      <c r="BE95" s="37">
        <f>SUM(C95:H95)</f>
        <v/>
      </c>
      <c r="BF95" s="37">
        <f>SUM(I95:T95)</f>
        <v/>
      </c>
      <c r="BG95" s="37">
        <f>SUM(U95:AF95)</f>
        <v/>
      </c>
      <c r="BH95" s="37">
        <f>SUM(AG95:AR95)</f>
        <v/>
      </c>
      <c r="BI95" s="37">
        <f>SUM(AS95:BD95)</f>
        <v/>
      </c>
      <c r="BJ95" s="37">
        <f>SUM(C95:BD95)</f>
        <v/>
      </c>
    </row>
    <row r="96">
      <c r="B96" s="38" t="inlineStr">
        <is>
          <t>Dienstleistung – Einnahmen</t>
        </is>
      </c>
      <c r="C96" s="8">
        <f>SUMIFS(tblAuftraege[Kalk.
Einnahmen],tblAuftraege[Datum
Einnahmen],"&gt;="&amp;C$5,tblAuftraege[Datum
Einnahmen],"&lt;"&amp;EDATE(C$5,1),tblAuftraege[Kategorie],"Dienstleistung")</f>
        <v/>
      </c>
      <c r="D96" s="8">
        <f>SUMIFS(tblAuftraege[Kalk.
Einnahmen],tblAuftraege[Datum
Einnahmen],"&gt;="&amp;D$5,tblAuftraege[Datum
Einnahmen],"&lt;"&amp;EDATE(D$5,1),tblAuftraege[Kategorie],"Dienstleistung")</f>
        <v/>
      </c>
      <c r="E96" s="8">
        <f>SUMIFS(tblAuftraege[Kalk.
Einnahmen],tblAuftraege[Datum
Einnahmen],"&gt;="&amp;E$5,tblAuftraege[Datum
Einnahmen],"&lt;"&amp;EDATE(E$5,1),tblAuftraege[Kategorie],"Dienstleistung")</f>
        <v/>
      </c>
      <c r="F96" s="8">
        <f>SUMIFS(tblAuftraege[Kalk.
Einnahmen],tblAuftraege[Datum
Einnahmen],"&gt;="&amp;F$5,tblAuftraege[Datum
Einnahmen],"&lt;"&amp;EDATE(F$5,1),tblAuftraege[Kategorie],"Dienstleistung")</f>
        <v/>
      </c>
      <c r="G96" s="8">
        <f>SUMIFS(tblAuftraege[Kalk.
Einnahmen],tblAuftraege[Datum
Einnahmen],"&gt;="&amp;G$5,tblAuftraege[Datum
Einnahmen],"&lt;"&amp;EDATE(G$5,1),tblAuftraege[Kategorie],"Dienstleistung")</f>
        <v/>
      </c>
      <c r="H96" s="8">
        <f>SUMIFS(tblAuftraege[Kalk.
Einnahmen],tblAuftraege[Datum
Einnahmen],"&gt;="&amp;H$5,tblAuftraege[Datum
Einnahmen],"&lt;"&amp;EDATE(H$5,1),tblAuftraege[Kategorie],"Dienstleistung")</f>
        <v/>
      </c>
      <c r="I96" s="8">
        <f>SUMIFS(tblAuftraege[Kalk.
Einnahmen],tblAuftraege[Datum
Einnahmen],"&gt;="&amp;I$5,tblAuftraege[Datum
Einnahmen],"&lt;"&amp;EDATE(I$5,1),tblAuftraege[Kategorie],"Dienstleistung")</f>
        <v/>
      </c>
      <c r="J96" s="8">
        <f>SUMIFS(tblAuftraege[Kalk.
Einnahmen],tblAuftraege[Datum
Einnahmen],"&gt;="&amp;J$5,tblAuftraege[Datum
Einnahmen],"&lt;"&amp;EDATE(J$5,1),tblAuftraege[Kategorie],"Dienstleistung")</f>
        <v/>
      </c>
      <c r="K96" s="8">
        <f>SUMIFS(tblAuftraege[Kalk.
Einnahmen],tblAuftraege[Datum
Einnahmen],"&gt;="&amp;K$5,tblAuftraege[Datum
Einnahmen],"&lt;"&amp;EDATE(K$5,1),tblAuftraege[Kategorie],"Dienstleistung")</f>
        <v/>
      </c>
      <c r="L96" s="8">
        <f>SUMIFS(tblAuftraege[Kalk.
Einnahmen],tblAuftraege[Datum
Einnahmen],"&gt;="&amp;L$5,tblAuftraege[Datum
Einnahmen],"&lt;"&amp;EDATE(L$5,1),tblAuftraege[Kategorie],"Dienstleistung")</f>
        <v/>
      </c>
      <c r="M96" s="8">
        <f>SUMIFS(tblAuftraege[Kalk.
Einnahmen],tblAuftraege[Datum
Einnahmen],"&gt;="&amp;M$5,tblAuftraege[Datum
Einnahmen],"&lt;"&amp;EDATE(M$5,1),tblAuftraege[Kategorie],"Dienstleistung")</f>
        <v/>
      </c>
      <c r="N96" s="8">
        <f>SUMIFS(tblAuftraege[Kalk.
Einnahmen],tblAuftraege[Datum
Einnahmen],"&gt;="&amp;N$5,tblAuftraege[Datum
Einnahmen],"&lt;"&amp;EDATE(N$5,1),tblAuftraege[Kategorie],"Dienstleistung")</f>
        <v/>
      </c>
      <c r="O96" s="8">
        <f>SUMIFS(tblAuftraege[Kalk.
Einnahmen],tblAuftraege[Datum
Einnahmen],"&gt;="&amp;O$5,tblAuftraege[Datum
Einnahmen],"&lt;"&amp;EDATE(O$5,1),tblAuftraege[Kategorie],"Dienstleistung")</f>
        <v/>
      </c>
      <c r="P96" s="8">
        <f>SUMIFS(tblAuftraege[Kalk.
Einnahmen],tblAuftraege[Datum
Einnahmen],"&gt;="&amp;P$5,tblAuftraege[Datum
Einnahmen],"&lt;"&amp;EDATE(P$5,1),tblAuftraege[Kategorie],"Dienstleistung")</f>
        <v/>
      </c>
      <c r="Q96" s="8">
        <f>SUMIFS(tblAuftraege[Kalk.
Einnahmen],tblAuftraege[Datum
Einnahmen],"&gt;="&amp;Q$5,tblAuftraege[Datum
Einnahmen],"&lt;"&amp;EDATE(Q$5,1),tblAuftraege[Kategorie],"Dienstleistung")</f>
        <v/>
      </c>
      <c r="R96" s="8">
        <f>SUMIFS(tblAuftraege[Kalk.
Einnahmen],tblAuftraege[Datum
Einnahmen],"&gt;="&amp;R$5,tblAuftraege[Datum
Einnahmen],"&lt;"&amp;EDATE(R$5,1),tblAuftraege[Kategorie],"Dienstleistung")</f>
        <v/>
      </c>
      <c r="S96" s="8">
        <f>SUMIFS(tblAuftraege[Kalk.
Einnahmen],tblAuftraege[Datum
Einnahmen],"&gt;="&amp;S$5,tblAuftraege[Datum
Einnahmen],"&lt;"&amp;EDATE(S$5,1),tblAuftraege[Kategorie],"Dienstleistung")</f>
        <v/>
      </c>
      <c r="T96" s="8">
        <f>SUMIFS(tblAuftraege[Kalk.
Einnahmen],tblAuftraege[Datum
Einnahmen],"&gt;="&amp;T$5,tblAuftraege[Datum
Einnahmen],"&lt;"&amp;EDATE(T$5,1),tblAuftraege[Kategorie],"Dienstleistung")</f>
        <v/>
      </c>
      <c r="U96" s="8">
        <f>SUMIFS(tblAuftraege[Kalk.
Einnahmen],tblAuftraege[Datum
Einnahmen],"&gt;="&amp;U$5,tblAuftraege[Datum
Einnahmen],"&lt;"&amp;EDATE(U$5,1),tblAuftraege[Kategorie],"Dienstleistung")</f>
        <v/>
      </c>
      <c r="V96" s="8">
        <f>SUMIFS(tblAuftraege[Kalk.
Einnahmen],tblAuftraege[Datum
Einnahmen],"&gt;="&amp;V$5,tblAuftraege[Datum
Einnahmen],"&lt;"&amp;EDATE(V$5,1),tblAuftraege[Kategorie],"Dienstleistung")</f>
        <v/>
      </c>
      <c r="W96" s="8">
        <f>SUMIFS(tblAuftraege[Kalk.
Einnahmen],tblAuftraege[Datum
Einnahmen],"&gt;="&amp;W$5,tblAuftraege[Datum
Einnahmen],"&lt;"&amp;EDATE(W$5,1),tblAuftraege[Kategorie],"Dienstleistung")</f>
        <v/>
      </c>
      <c r="X96" s="8">
        <f>SUMIFS(tblAuftraege[Kalk.
Einnahmen],tblAuftraege[Datum
Einnahmen],"&gt;="&amp;X$5,tblAuftraege[Datum
Einnahmen],"&lt;"&amp;EDATE(X$5,1),tblAuftraege[Kategorie],"Dienstleistung")</f>
        <v/>
      </c>
      <c r="Y96" s="8">
        <f>SUMIFS(tblAuftraege[Kalk.
Einnahmen],tblAuftraege[Datum
Einnahmen],"&gt;="&amp;Y$5,tblAuftraege[Datum
Einnahmen],"&lt;"&amp;EDATE(Y$5,1),tblAuftraege[Kategorie],"Dienstleistung")</f>
        <v/>
      </c>
      <c r="Z96" s="8">
        <f>SUMIFS(tblAuftraege[Kalk.
Einnahmen],tblAuftraege[Datum
Einnahmen],"&gt;="&amp;Z$5,tblAuftraege[Datum
Einnahmen],"&lt;"&amp;EDATE(Z$5,1),tblAuftraege[Kategorie],"Dienstleistung")</f>
        <v/>
      </c>
      <c r="AA96" s="8">
        <f>SUMIFS(tblAuftraege[Kalk.
Einnahmen],tblAuftraege[Datum
Einnahmen],"&gt;="&amp;AA$5,tblAuftraege[Datum
Einnahmen],"&lt;"&amp;EDATE(AA$5,1),tblAuftraege[Kategorie],"Dienstleistung")</f>
        <v/>
      </c>
      <c r="AB96" s="8">
        <f>SUMIFS(tblAuftraege[Kalk.
Einnahmen],tblAuftraege[Datum
Einnahmen],"&gt;="&amp;AB$5,tblAuftraege[Datum
Einnahmen],"&lt;"&amp;EDATE(AB$5,1),tblAuftraege[Kategorie],"Dienstleistung")</f>
        <v/>
      </c>
      <c r="AC96" s="8">
        <f>SUMIFS(tblAuftraege[Kalk.
Einnahmen],tblAuftraege[Datum
Einnahmen],"&gt;="&amp;AC$5,tblAuftraege[Datum
Einnahmen],"&lt;"&amp;EDATE(AC$5,1),tblAuftraege[Kategorie],"Dienstleistung")</f>
        <v/>
      </c>
      <c r="AD96" s="8">
        <f>SUMIFS(tblAuftraege[Kalk.
Einnahmen],tblAuftraege[Datum
Einnahmen],"&gt;="&amp;AD$5,tblAuftraege[Datum
Einnahmen],"&lt;"&amp;EDATE(AD$5,1),tblAuftraege[Kategorie],"Dienstleistung")</f>
        <v/>
      </c>
      <c r="AE96" s="8">
        <f>SUMIFS(tblAuftraege[Kalk.
Einnahmen],tblAuftraege[Datum
Einnahmen],"&gt;="&amp;AE$5,tblAuftraege[Datum
Einnahmen],"&lt;"&amp;EDATE(AE$5,1),tblAuftraege[Kategorie],"Dienstleistung")</f>
        <v/>
      </c>
      <c r="AF96" s="8">
        <f>SUMIFS(tblAuftraege[Kalk.
Einnahmen],tblAuftraege[Datum
Einnahmen],"&gt;="&amp;AF$5,tblAuftraege[Datum
Einnahmen],"&lt;"&amp;EDATE(AF$5,1),tblAuftraege[Kategorie],"Dienstleistung")</f>
        <v/>
      </c>
      <c r="AG96" s="8">
        <f>SUMIFS(tblAuftraege[Kalk.
Einnahmen],tblAuftraege[Datum
Einnahmen],"&gt;="&amp;AG$5,tblAuftraege[Datum
Einnahmen],"&lt;"&amp;EDATE(AG$5,1),tblAuftraege[Kategorie],"Dienstleistung")</f>
        <v/>
      </c>
      <c r="AH96" s="8">
        <f>SUMIFS(tblAuftraege[Kalk.
Einnahmen],tblAuftraege[Datum
Einnahmen],"&gt;="&amp;AH$5,tblAuftraege[Datum
Einnahmen],"&lt;"&amp;EDATE(AH$5,1),tblAuftraege[Kategorie],"Dienstleistung")</f>
        <v/>
      </c>
      <c r="AI96" s="8">
        <f>SUMIFS(tblAuftraege[Kalk.
Einnahmen],tblAuftraege[Datum
Einnahmen],"&gt;="&amp;AI$5,tblAuftraege[Datum
Einnahmen],"&lt;"&amp;EDATE(AI$5,1),tblAuftraege[Kategorie],"Dienstleistung")</f>
        <v/>
      </c>
      <c r="AJ96" s="8">
        <f>SUMIFS(tblAuftraege[Kalk.
Einnahmen],tblAuftraege[Datum
Einnahmen],"&gt;="&amp;AJ$5,tblAuftraege[Datum
Einnahmen],"&lt;"&amp;EDATE(AJ$5,1),tblAuftraege[Kategorie],"Dienstleistung")</f>
        <v/>
      </c>
      <c r="AK96" s="8">
        <f>SUMIFS(tblAuftraege[Kalk.
Einnahmen],tblAuftraege[Datum
Einnahmen],"&gt;="&amp;AK$5,tblAuftraege[Datum
Einnahmen],"&lt;"&amp;EDATE(AK$5,1),tblAuftraege[Kategorie],"Dienstleistung")</f>
        <v/>
      </c>
      <c r="AL96" s="8">
        <f>SUMIFS(tblAuftraege[Kalk.
Einnahmen],tblAuftraege[Datum
Einnahmen],"&gt;="&amp;AL$5,tblAuftraege[Datum
Einnahmen],"&lt;"&amp;EDATE(AL$5,1),tblAuftraege[Kategorie],"Dienstleistung")</f>
        <v/>
      </c>
      <c r="AM96" s="8">
        <f>SUMIFS(tblAuftraege[Kalk.
Einnahmen],tblAuftraege[Datum
Einnahmen],"&gt;="&amp;AM$5,tblAuftraege[Datum
Einnahmen],"&lt;"&amp;EDATE(AM$5,1),tblAuftraege[Kategorie],"Dienstleistung")</f>
        <v/>
      </c>
      <c r="AN96" s="8">
        <f>SUMIFS(tblAuftraege[Kalk.
Einnahmen],tblAuftraege[Datum
Einnahmen],"&gt;="&amp;AN$5,tblAuftraege[Datum
Einnahmen],"&lt;"&amp;EDATE(AN$5,1),tblAuftraege[Kategorie],"Dienstleistung")</f>
        <v/>
      </c>
      <c r="AO96" s="8">
        <f>SUMIFS(tblAuftraege[Kalk.
Einnahmen],tblAuftraege[Datum
Einnahmen],"&gt;="&amp;AO$5,tblAuftraege[Datum
Einnahmen],"&lt;"&amp;EDATE(AO$5,1),tblAuftraege[Kategorie],"Dienstleistung")</f>
        <v/>
      </c>
      <c r="AP96" s="8">
        <f>SUMIFS(tblAuftraege[Kalk.
Einnahmen],tblAuftraege[Datum
Einnahmen],"&gt;="&amp;AP$5,tblAuftraege[Datum
Einnahmen],"&lt;"&amp;EDATE(AP$5,1),tblAuftraege[Kategorie],"Dienstleistung")</f>
        <v/>
      </c>
      <c r="AQ96" s="8">
        <f>SUMIFS(tblAuftraege[Kalk.
Einnahmen],tblAuftraege[Datum
Einnahmen],"&gt;="&amp;AQ$5,tblAuftraege[Datum
Einnahmen],"&lt;"&amp;EDATE(AQ$5,1),tblAuftraege[Kategorie],"Dienstleistung")</f>
        <v/>
      </c>
      <c r="AR96" s="8">
        <f>SUMIFS(tblAuftraege[Kalk.
Einnahmen],tblAuftraege[Datum
Einnahmen],"&gt;="&amp;AR$5,tblAuftraege[Datum
Einnahmen],"&lt;"&amp;EDATE(AR$5,1),tblAuftraege[Kategorie],"Dienstleistung")</f>
        <v/>
      </c>
      <c r="AS96" s="8">
        <f>SUMIFS(tblAuftraege[Kalk.
Einnahmen],tblAuftraege[Datum
Einnahmen],"&gt;="&amp;AS$5,tblAuftraege[Datum
Einnahmen],"&lt;"&amp;EDATE(AS$5,1),tblAuftraege[Kategorie],"Dienstleistung")</f>
        <v/>
      </c>
      <c r="AT96" s="8">
        <f>SUMIFS(tblAuftraege[Kalk.
Einnahmen],tblAuftraege[Datum
Einnahmen],"&gt;="&amp;AT$5,tblAuftraege[Datum
Einnahmen],"&lt;"&amp;EDATE(AT$5,1),tblAuftraege[Kategorie],"Dienstleistung")</f>
        <v/>
      </c>
      <c r="AU96" s="8">
        <f>SUMIFS(tblAuftraege[Kalk.
Einnahmen],tblAuftraege[Datum
Einnahmen],"&gt;="&amp;AU$5,tblAuftraege[Datum
Einnahmen],"&lt;"&amp;EDATE(AU$5,1),tblAuftraege[Kategorie],"Dienstleistung")</f>
        <v/>
      </c>
      <c r="AV96" s="8">
        <f>SUMIFS(tblAuftraege[Kalk.
Einnahmen],tblAuftraege[Datum
Einnahmen],"&gt;="&amp;AV$5,tblAuftraege[Datum
Einnahmen],"&lt;"&amp;EDATE(AV$5,1),tblAuftraege[Kategorie],"Dienstleistung")</f>
        <v/>
      </c>
      <c r="AW96" s="8">
        <f>SUMIFS(tblAuftraege[Kalk.
Einnahmen],tblAuftraege[Datum
Einnahmen],"&gt;="&amp;AW$5,tblAuftraege[Datum
Einnahmen],"&lt;"&amp;EDATE(AW$5,1),tblAuftraege[Kategorie],"Dienstleistung")</f>
        <v/>
      </c>
      <c r="AX96" s="8">
        <f>SUMIFS(tblAuftraege[Kalk.
Einnahmen],tblAuftraege[Datum
Einnahmen],"&gt;="&amp;AX$5,tblAuftraege[Datum
Einnahmen],"&lt;"&amp;EDATE(AX$5,1),tblAuftraege[Kategorie],"Dienstleistung")</f>
        <v/>
      </c>
      <c r="AY96" s="8">
        <f>SUMIFS(tblAuftraege[Kalk.
Einnahmen],tblAuftraege[Datum
Einnahmen],"&gt;="&amp;AY$5,tblAuftraege[Datum
Einnahmen],"&lt;"&amp;EDATE(AY$5,1),tblAuftraege[Kategorie],"Dienstleistung")</f>
        <v/>
      </c>
      <c r="AZ96" s="8">
        <f>SUMIFS(tblAuftraege[Kalk.
Einnahmen],tblAuftraege[Datum
Einnahmen],"&gt;="&amp;AZ$5,tblAuftraege[Datum
Einnahmen],"&lt;"&amp;EDATE(AZ$5,1),tblAuftraege[Kategorie],"Dienstleistung")</f>
        <v/>
      </c>
      <c r="BA96" s="8">
        <f>SUMIFS(tblAuftraege[Kalk.
Einnahmen],tblAuftraege[Datum
Einnahmen],"&gt;="&amp;BA$5,tblAuftraege[Datum
Einnahmen],"&lt;"&amp;EDATE(BA$5,1),tblAuftraege[Kategorie],"Dienstleistung")</f>
        <v/>
      </c>
      <c r="BB96" s="8">
        <f>SUMIFS(tblAuftraege[Kalk.
Einnahmen],tblAuftraege[Datum
Einnahmen],"&gt;="&amp;BB$5,tblAuftraege[Datum
Einnahmen],"&lt;"&amp;EDATE(BB$5,1),tblAuftraege[Kategorie],"Dienstleistung")</f>
        <v/>
      </c>
      <c r="BC96" s="8">
        <f>SUMIFS(tblAuftraege[Kalk.
Einnahmen],tblAuftraege[Datum
Einnahmen],"&gt;="&amp;BC$5,tblAuftraege[Datum
Einnahmen],"&lt;"&amp;EDATE(BC$5,1),tblAuftraege[Kategorie],"Dienstleistung")</f>
        <v/>
      </c>
      <c r="BD96" s="8">
        <f>SUMIFS(tblAuftraege[Kalk.
Einnahmen],tblAuftraege[Datum
Einnahmen],"&gt;="&amp;BD$5,tblAuftraege[Datum
Einnahmen],"&lt;"&amp;EDATE(BD$5,1),tblAuftraege[Kategorie],"Dienstleistung")</f>
        <v/>
      </c>
      <c r="BE96" s="8">
        <f>SUM(C96:H96)</f>
        <v/>
      </c>
      <c r="BF96" s="8">
        <f>SUM(I96:T96)</f>
        <v/>
      </c>
      <c r="BG96" s="8">
        <f>SUM(U96:AF96)</f>
        <v/>
      </c>
      <c r="BH96" s="8">
        <f>SUM(AG96:AR96)</f>
        <v/>
      </c>
      <c r="BI96" s="8">
        <f>SUM(AS96:BD96)</f>
        <v/>
      </c>
      <c r="BJ96" s="8">
        <f>SUM(C96:BD96)</f>
        <v/>
      </c>
    </row>
    <row r="97">
      <c r="B97" s="41" t="inlineStr">
        <is>
          <t>Dienstleistung – Ausgaben</t>
        </is>
      </c>
      <c r="C97" s="42">
        <f>SUMIFS(tblAuftraege[Kalk.
Ausgaben],tblAuftraege[Datum
Ausgaben],"&gt;="&amp;C$5,tblAuftraege[Datum
Ausgaben],"&lt;"&amp;EDATE(C$5,1),tblAuftraege[Kategorie],"Dienstleistung")</f>
        <v/>
      </c>
      <c r="D97" s="42">
        <f>SUMIFS(tblAuftraege[Kalk.
Ausgaben],tblAuftraege[Datum
Ausgaben],"&gt;="&amp;D$5,tblAuftraege[Datum
Ausgaben],"&lt;"&amp;EDATE(D$5,1),tblAuftraege[Kategorie],"Dienstleistung")</f>
        <v/>
      </c>
      <c r="E97" s="42">
        <f>SUMIFS(tblAuftraege[Kalk.
Ausgaben],tblAuftraege[Datum
Ausgaben],"&gt;="&amp;E$5,tblAuftraege[Datum
Ausgaben],"&lt;"&amp;EDATE(E$5,1),tblAuftraege[Kategorie],"Dienstleistung")</f>
        <v/>
      </c>
      <c r="F97" s="42">
        <f>SUMIFS(tblAuftraege[Kalk.
Ausgaben],tblAuftraege[Datum
Ausgaben],"&gt;="&amp;F$5,tblAuftraege[Datum
Ausgaben],"&lt;"&amp;EDATE(F$5,1),tblAuftraege[Kategorie],"Dienstleistung")</f>
        <v/>
      </c>
      <c r="G97" s="42">
        <f>SUMIFS(tblAuftraege[Kalk.
Ausgaben],tblAuftraege[Datum
Ausgaben],"&gt;="&amp;G$5,tblAuftraege[Datum
Ausgaben],"&lt;"&amp;EDATE(G$5,1),tblAuftraege[Kategorie],"Dienstleistung")</f>
        <v/>
      </c>
      <c r="H97" s="42">
        <f>SUMIFS(tblAuftraege[Kalk.
Ausgaben],tblAuftraege[Datum
Ausgaben],"&gt;="&amp;H$5,tblAuftraege[Datum
Ausgaben],"&lt;"&amp;EDATE(H$5,1),tblAuftraege[Kategorie],"Dienstleistung")</f>
        <v/>
      </c>
      <c r="I97" s="42">
        <f>SUMIFS(tblAuftraege[Kalk.
Ausgaben],tblAuftraege[Datum
Ausgaben],"&gt;="&amp;I$5,tblAuftraege[Datum
Ausgaben],"&lt;"&amp;EDATE(I$5,1),tblAuftraege[Kategorie],"Dienstleistung")</f>
        <v/>
      </c>
      <c r="J97" s="42">
        <f>SUMIFS(tblAuftraege[Kalk.
Ausgaben],tblAuftraege[Datum
Ausgaben],"&gt;="&amp;J$5,tblAuftraege[Datum
Ausgaben],"&lt;"&amp;EDATE(J$5,1),tblAuftraege[Kategorie],"Dienstleistung")</f>
        <v/>
      </c>
      <c r="K97" s="42">
        <f>SUMIFS(tblAuftraege[Kalk.
Ausgaben],tblAuftraege[Datum
Ausgaben],"&gt;="&amp;K$5,tblAuftraege[Datum
Ausgaben],"&lt;"&amp;EDATE(K$5,1),tblAuftraege[Kategorie],"Dienstleistung")</f>
        <v/>
      </c>
      <c r="L97" s="42">
        <f>SUMIFS(tblAuftraege[Kalk.
Ausgaben],tblAuftraege[Datum
Ausgaben],"&gt;="&amp;L$5,tblAuftraege[Datum
Ausgaben],"&lt;"&amp;EDATE(L$5,1),tblAuftraege[Kategorie],"Dienstleistung")</f>
        <v/>
      </c>
      <c r="M97" s="42">
        <f>SUMIFS(tblAuftraege[Kalk.
Ausgaben],tblAuftraege[Datum
Ausgaben],"&gt;="&amp;M$5,tblAuftraege[Datum
Ausgaben],"&lt;"&amp;EDATE(M$5,1),tblAuftraege[Kategorie],"Dienstleistung")</f>
        <v/>
      </c>
      <c r="N97" s="42">
        <f>SUMIFS(tblAuftraege[Kalk.
Ausgaben],tblAuftraege[Datum
Ausgaben],"&gt;="&amp;N$5,tblAuftraege[Datum
Ausgaben],"&lt;"&amp;EDATE(N$5,1),tblAuftraege[Kategorie],"Dienstleistung")</f>
        <v/>
      </c>
      <c r="O97" s="42">
        <f>SUMIFS(tblAuftraege[Kalk.
Ausgaben],tblAuftraege[Datum
Ausgaben],"&gt;="&amp;O$5,tblAuftraege[Datum
Ausgaben],"&lt;"&amp;EDATE(O$5,1),tblAuftraege[Kategorie],"Dienstleistung")</f>
        <v/>
      </c>
      <c r="P97" s="42">
        <f>SUMIFS(tblAuftraege[Kalk.
Ausgaben],tblAuftraege[Datum
Ausgaben],"&gt;="&amp;P$5,tblAuftraege[Datum
Ausgaben],"&lt;"&amp;EDATE(P$5,1),tblAuftraege[Kategorie],"Dienstleistung")</f>
        <v/>
      </c>
      <c r="Q97" s="42">
        <f>SUMIFS(tblAuftraege[Kalk.
Ausgaben],tblAuftraege[Datum
Ausgaben],"&gt;="&amp;Q$5,tblAuftraege[Datum
Ausgaben],"&lt;"&amp;EDATE(Q$5,1),tblAuftraege[Kategorie],"Dienstleistung")</f>
        <v/>
      </c>
      <c r="R97" s="42">
        <f>SUMIFS(tblAuftraege[Kalk.
Ausgaben],tblAuftraege[Datum
Ausgaben],"&gt;="&amp;R$5,tblAuftraege[Datum
Ausgaben],"&lt;"&amp;EDATE(R$5,1),tblAuftraege[Kategorie],"Dienstleistung")</f>
        <v/>
      </c>
      <c r="S97" s="42">
        <f>SUMIFS(tblAuftraege[Kalk.
Ausgaben],tblAuftraege[Datum
Ausgaben],"&gt;="&amp;S$5,tblAuftraege[Datum
Ausgaben],"&lt;"&amp;EDATE(S$5,1),tblAuftraege[Kategorie],"Dienstleistung")</f>
        <v/>
      </c>
      <c r="T97" s="42">
        <f>SUMIFS(tblAuftraege[Kalk.
Ausgaben],tblAuftraege[Datum
Ausgaben],"&gt;="&amp;T$5,tblAuftraege[Datum
Ausgaben],"&lt;"&amp;EDATE(T$5,1),tblAuftraege[Kategorie],"Dienstleistung")</f>
        <v/>
      </c>
      <c r="U97" s="42">
        <f>SUMIFS(tblAuftraege[Kalk.
Ausgaben],tblAuftraege[Datum
Ausgaben],"&gt;="&amp;U$5,tblAuftraege[Datum
Ausgaben],"&lt;"&amp;EDATE(U$5,1),tblAuftraege[Kategorie],"Dienstleistung")</f>
        <v/>
      </c>
      <c r="V97" s="42">
        <f>SUMIFS(tblAuftraege[Kalk.
Ausgaben],tblAuftraege[Datum
Ausgaben],"&gt;="&amp;V$5,tblAuftraege[Datum
Ausgaben],"&lt;"&amp;EDATE(V$5,1),tblAuftraege[Kategorie],"Dienstleistung")</f>
        <v/>
      </c>
      <c r="W97" s="42">
        <f>SUMIFS(tblAuftraege[Kalk.
Ausgaben],tblAuftraege[Datum
Ausgaben],"&gt;="&amp;W$5,tblAuftraege[Datum
Ausgaben],"&lt;"&amp;EDATE(W$5,1),tblAuftraege[Kategorie],"Dienstleistung")</f>
        <v/>
      </c>
      <c r="X97" s="42">
        <f>SUMIFS(tblAuftraege[Kalk.
Ausgaben],tblAuftraege[Datum
Ausgaben],"&gt;="&amp;X$5,tblAuftraege[Datum
Ausgaben],"&lt;"&amp;EDATE(X$5,1),tblAuftraege[Kategorie],"Dienstleistung")</f>
        <v/>
      </c>
      <c r="Y97" s="42">
        <f>SUMIFS(tblAuftraege[Kalk.
Ausgaben],tblAuftraege[Datum
Ausgaben],"&gt;="&amp;Y$5,tblAuftraege[Datum
Ausgaben],"&lt;"&amp;EDATE(Y$5,1),tblAuftraege[Kategorie],"Dienstleistung")</f>
        <v/>
      </c>
      <c r="Z97" s="42">
        <f>SUMIFS(tblAuftraege[Kalk.
Ausgaben],tblAuftraege[Datum
Ausgaben],"&gt;="&amp;Z$5,tblAuftraege[Datum
Ausgaben],"&lt;"&amp;EDATE(Z$5,1),tblAuftraege[Kategorie],"Dienstleistung")</f>
        <v/>
      </c>
      <c r="AA97" s="42">
        <f>SUMIFS(tblAuftraege[Kalk.
Ausgaben],tblAuftraege[Datum
Ausgaben],"&gt;="&amp;AA$5,tblAuftraege[Datum
Ausgaben],"&lt;"&amp;EDATE(AA$5,1),tblAuftraege[Kategorie],"Dienstleistung")</f>
        <v/>
      </c>
      <c r="AB97" s="42">
        <f>SUMIFS(tblAuftraege[Kalk.
Ausgaben],tblAuftraege[Datum
Ausgaben],"&gt;="&amp;AB$5,tblAuftraege[Datum
Ausgaben],"&lt;"&amp;EDATE(AB$5,1),tblAuftraege[Kategorie],"Dienstleistung")</f>
        <v/>
      </c>
      <c r="AC97" s="42">
        <f>SUMIFS(tblAuftraege[Kalk.
Ausgaben],tblAuftraege[Datum
Ausgaben],"&gt;="&amp;AC$5,tblAuftraege[Datum
Ausgaben],"&lt;"&amp;EDATE(AC$5,1),tblAuftraege[Kategorie],"Dienstleistung")</f>
        <v/>
      </c>
      <c r="AD97" s="42">
        <f>SUMIFS(tblAuftraege[Kalk.
Ausgaben],tblAuftraege[Datum
Ausgaben],"&gt;="&amp;AD$5,tblAuftraege[Datum
Ausgaben],"&lt;"&amp;EDATE(AD$5,1),tblAuftraege[Kategorie],"Dienstleistung")</f>
        <v/>
      </c>
      <c r="AE97" s="42">
        <f>SUMIFS(tblAuftraege[Kalk.
Ausgaben],tblAuftraege[Datum
Ausgaben],"&gt;="&amp;AE$5,tblAuftraege[Datum
Ausgaben],"&lt;"&amp;EDATE(AE$5,1),tblAuftraege[Kategorie],"Dienstleistung")</f>
        <v/>
      </c>
      <c r="AF97" s="42">
        <f>SUMIFS(tblAuftraege[Kalk.
Ausgaben],tblAuftraege[Datum
Ausgaben],"&gt;="&amp;AF$5,tblAuftraege[Datum
Ausgaben],"&lt;"&amp;EDATE(AF$5,1),tblAuftraege[Kategorie],"Dienstleistung")</f>
        <v/>
      </c>
      <c r="AG97" s="42">
        <f>SUMIFS(tblAuftraege[Kalk.
Ausgaben],tblAuftraege[Datum
Ausgaben],"&gt;="&amp;AG$5,tblAuftraege[Datum
Ausgaben],"&lt;"&amp;EDATE(AG$5,1),tblAuftraege[Kategorie],"Dienstleistung")</f>
        <v/>
      </c>
      <c r="AH97" s="42">
        <f>SUMIFS(tblAuftraege[Kalk.
Ausgaben],tblAuftraege[Datum
Ausgaben],"&gt;="&amp;AH$5,tblAuftraege[Datum
Ausgaben],"&lt;"&amp;EDATE(AH$5,1),tblAuftraege[Kategorie],"Dienstleistung")</f>
        <v/>
      </c>
      <c r="AI97" s="42">
        <f>SUMIFS(tblAuftraege[Kalk.
Ausgaben],tblAuftraege[Datum
Ausgaben],"&gt;="&amp;AI$5,tblAuftraege[Datum
Ausgaben],"&lt;"&amp;EDATE(AI$5,1),tblAuftraege[Kategorie],"Dienstleistung")</f>
        <v/>
      </c>
      <c r="AJ97" s="42">
        <f>SUMIFS(tblAuftraege[Kalk.
Ausgaben],tblAuftraege[Datum
Ausgaben],"&gt;="&amp;AJ$5,tblAuftraege[Datum
Ausgaben],"&lt;"&amp;EDATE(AJ$5,1),tblAuftraege[Kategorie],"Dienstleistung")</f>
        <v/>
      </c>
      <c r="AK97" s="42">
        <f>SUMIFS(tblAuftraege[Kalk.
Ausgaben],tblAuftraege[Datum
Ausgaben],"&gt;="&amp;AK$5,tblAuftraege[Datum
Ausgaben],"&lt;"&amp;EDATE(AK$5,1),tblAuftraege[Kategorie],"Dienstleistung")</f>
        <v/>
      </c>
      <c r="AL97" s="42">
        <f>SUMIFS(tblAuftraege[Kalk.
Ausgaben],tblAuftraege[Datum
Ausgaben],"&gt;="&amp;AL$5,tblAuftraege[Datum
Ausgaben],"&lt;"&amp;EDATE(AL$5,1),tblAuftraege[Kategorie],"Dienstleistung")</f>
        <v/>
      </c>
      <c r="AM97" s="42">
        <f>SUMIFS(tblAuftraege[Kalk.
Ausgaben],tblAuftraege[Datum
Ausgaben],"&gt;="&amp;AM$5,tblAuftraege[Datum
Ausgaben],"&lt;"&amp;EDATE(AM$5,1),tblAuftraege[Kategorie],"Dienstleistung")</f>
        <v/>
      </c>
      <c r="AN97" s="42">
        <f>SUMIFS(tblAuftraege[Kalk.
Ausgaben],tblAuftraege[Datum
Ausgaben],"&gt;="&amp;AN$5,tblAuftraege[Datum
Ausgaben],"&lt;"&amp;EDATE(AN$5,1),tblAuftraege[Kategorie],"Dienstleistung")</f>
        <v/>
      </c>
      <c r="AO97" s="42">
        <f>SUMIFS(tblAuftraege[Kalk.
Ausgaben],tblAuftraege[Datum
Ausgaben],"&gt;="&amp;AO$5,tblAuftraege[Datum
Ausgaben],"&lt;"&amp;EDATE(AO$5,1),tblAuftraege[Kategorie],"Dienstleistung")</f>
        <v/>
      </c>
      <c r="AP97" s="42">
        <f>SUMIFS(tblAuftraege[Kalk.
Ausgaben],tblAuftraege[Datum
Ausgaben],"&gt;="&amp;AP$5,tblAuftraege[Datum
Ausgaben],"&lt;"&amp;EDATE(AP$5,1),tblAuftraege[Kategorie],"Dienstleistung")</f>
        <v/>
      </c>
      <c r="AQ97" s="42">
        <f>SUMIFS(tblAuftraege[Kalk.
Ausgaben],tblAuftraege[Datum
Ausgaben],"&gt;="&amp;AQ$5,tblAuftraege[Datum
Ausgaben],"&lt;"&amp;EDATE(AQ$5,1),tblAuftraege[Kategorie],"Dienstleistung")</f>
        <v/>
      </c>
      <c r="AR97" s="42">
        <f>SUMIFS(tblAuftraege[Kalk.
Ausgaben],tblAuftraege[Datum
Ausgaben],"&gt;="&amp;AR$5,tblAuftraege[Datum
Ausgaben],"&lt;"&amp;EDATE(AR$5,1),tblAuftraege[Kategorie],"Dienstleistung")</f>
        <v/>
      </c>
      <c r="AS97" s="42">
        <f>SUMIFS(tblAuftraege[Kalk.
Ausgaben],tblAuftraege[Datum
Ausgaben],"&gt;="&amp;AS$5,tblAuftraege[Datum
Ausgaben],"&lt;"&amp;EDATE(AS$5,1),tblAuftraege[Kategorie],"Dienstleistung")</f>
        <v/>
      </c>
      <c r="AT97" s="42">
        <f>SUMIFS(tblAuftraege[Kalk.
Ausgaben],tblAuftraege[Datum
Ausgaben],"&gt;="&amp;AT$5,tblAuftraege[Datum
Ausgaben],"&lt;"&amp;EDATE(AT$5,1),tblAuftraege[Kategorie],"Dienstleistung")</f>
        <v/>
      </c>
      <c r="AU97" s="42">
        <f>SUMIFS(tblAuftraege[Kalk.
Ausgaben],tblAuftraege[Datum
Ausgaben],"&gt;="&amp;AU$5,tblAuftraege[Datum
Ausgaben],"&lt;"&amp;EDATE(AU$5,1),tblAuftraege[Kategorie],"Dienstleistung")</f>
        <v/>
      </c>
      <c r="AV97" s="42">
        <f>SUMIFS(tblAuftraege[Kalk.
Ausgaben],tblAuftraege[Datum
Ausgaben],"&gt;="&amp;AV$5,tblAuftraege[Datum
Ausgaben],"&lt;"&amp;EDATE(AV$5,1),tblAuftraege[Kategorie],"Dienstleistung")</f>
        <v/>
      </c>
      <c r="AW97" s="42">
        <f>SUMIFS(tblAuftraege[Kalk.
Ausgaben],tblAuftraege[Datum
Ausgaben],"&gt;="&amp;AW$5,tblAuftraege[Datum
Ausgaben],"&lt;"&amp;EDATE(AW$5,1),tblAuftraege[Kategorie],"Dienstleistung")</f>
        <v/>
      </c>
      <c r="AX97" s="42">
        <f>SUMIFS(tblAuftraege[Kalk.
Ausgaben],tblAuftraege[Datum
Ausgaben],"&gt;="&amp;AX$5,tblAuftraege[Datum
Ausgaben],"&lt;"&amp;EDATE(AX$5,1),tblAuftraege[Kategorie],"Dienstleistung")</f>
        <v/>
      </c>
      <c r="AY97" s="42">
        <f>SUMIFS(tblAuftraege[Kalk.
Ausgaben],tblAuftraege[Datum
Ausgaben],"&gt;="&amp;AY$5,tblAuftraege[Datum
Ausgaben],"&lt;"&amp;EDATE(AY$5,1),tblAuftraege[Kategorie],"Dienstleistung")</f>
        <v/>
      </c>
      <c r="AZ97" s="42">
        <f>SUMIFS(tblAuftraege[Kalk.
Ausgaben],tblAuftraege[Datum
Ausgaben],"&gt;="&amp;AZ$5,tblAuftraege[Datum
Ausgaben],"&lt;"&amp;EDATE(AZ$5,1),tblAuftraege[Kategorie],"Dienstleistung")</f>
        <v/>
      </c>
      <c r="BA97" s="42">
        <f>SUMIFS(tblAuftraege[Kalk.
Ausgaben],tblAuftraege[Datum
Ausgaben],"&gt;="&amp;BA$5,tblAuftraege[Datum
Ausgaben],"&lt;"&amp;EDATE(BA$5,1),tblAuftraege[Kategorie],"Dienstleistung")</f>
        <v/>
      </c>
      <c r="BB97" s="42">
        <f>SUMIFS(tblAuftraege[Kalk.
Ausgaben],tblAuftraege[Datum
Ausgaben],"&gt;="&amp;BB$5,tblAuftraege[Datum
Ausgaben],"&lt;"&amp;EDATE(BB$5,1),tblAuftraege[Kategorie],"Dienstleistung")</f>
        <v/>
      </c>
      <c r="BC97" s="42">
        <f>SUMIFS(tblAuftraege[Kalk.
Ausgaben],tblAuftraege[Datum
Ausgaben],"&gt;="&amp;BC$5,tblAuftraege[Datum
Ausgaben],"&lt;"&amp;EDATE(BC$5,1),tblAuftraege[Kategorie],"Dienstleistung")</f>
        <v/>
      </c>
      <c r="BD97" s="42">
        <f>SUMIFS(tblAuftraege[Kalk.
Ausgaben],tblAuftraege[Datum
Ausgaben],"&gt;="&amp;BD$5,tblAuftraege[Datum
Ausgaben],"&lt;"&amp;EDATE(BD$5,1),tblAuftraege[Kategorie],"Dienstleistung")</f>
        <v/>
      </c>
      <c r="BE97" s="42">
        <f>SUM(C97:H97)</f>
        <v/>
      </c>
      <c r="BF97" s="42">
        <f>SUM(I97:T97)</f>
        <v/>
      </c>
      <c r="BG97" s="42">
        <f>SUM(U97:AF97)</f>
        <v/>
      </c>
      <c r="BH97" s="42">
        <f>SUM(AG97:AR97)</f>
        <v/>
      </c>
      <c r="BI97" s="42">
        <f>SUM(AS97:BD97)</f>
        <v/>
      </c>
      <c r="BJ97" s="42">
        <f>SUM(C97:BD97)</f>
        <v/>
      </c>
    </row>
    <row r="98">
      <c r="B98" s="38" t="inlineStr">
        <is>
          <t>Lizenzen – Einnahmen</t>
        </is>
      </c>
      <c r="C98" s="8">
        <f>SUMIFS(tblAuftraege[Kalk.
Einnahmen],tblAuftraege[Datum
Einnahmen],"&gt;="&amp;C$5,tblAuftraege[Datum
Einnahmen],"&lt;"&amp;EDATE(C$5,1),tblAuftraege[Kategorie],"Lizenzen")</f>
        <v/>
      </c>
      <c r="D98" s="8">
        <f>SUMIFS(tblAuftraege[Kalk.
Einnahmen],tblAuftraege[Datum
Einnahmen],"&gt;="&amp;D$5,tblAuftraege[Datum
Einnahmen],"&lt;"&amp;EDATE(D$5,1),tblAuftraege[Kategorie],"Lizenzen")</f>
        <v/>
      </c>
      <c r="E98" s="8">
        <f>SUMIFS(tblAuftraege[Kalk.
Einnahmen],tblAuftraege[Datum
Einnahmen],"&gt;="&amp;E$5,tblAuftraege[Datum
Einnahmen],"&lt;"&amp;EDATE(E$5,1),tblAuftraege[Kategorie],"Lizenzen")</f>
        <v/>
      </c>
      <c r="F98" s="8">
        <f>SUMIFS(tblAuftraege[Kalk.
Einnahmen],tblAuftraege[Datum
Einnahmen],"&gt;="&amp;F$5,tblAuftraege[Datum
Einnahmen],"&lt;"&amp;EDATE(F$5,1),tblAuftraege[Kategorie],"Lizenzen")</f>
        <v/>
      </c>
      <c r="G98" s="8">
        <f>SUMIFS(tblAuftraege[Kalk.
Einnahmen],tblAuftraege[Datum
Einnahmen],"&gt;="&amp;G$5,tblAuftraege[Datum
Einnahmen],"&lt;"&amp;EDATE(G$5,1),tblAuftraege[Kategorie],"Lizenzen")</f>
        <v/>
      </c>
      <c r="H98" s="8">
        <f>SUMIFS(tblAuftraege[Kalk.
Einnahmen],tblAuftraege[Datum
Einnahmen],"&gt;="&amp;H$5,tblAuftraege[Datum
Einnahmen],"&lt;"&amp;EDATE(H$5,1),tblAuftraege[Kategorie],"Lizenzen")</f>
        <v/>
      </c>
      <c r="I98" s="8">
        <f>SUMIFS(tblAuftraege[Kalk.
Einnahmen],tblAuftraege[Datum
Einnahmen],"&gt;="&amp;I$5,tblAuftraege[Datum
Einnahmen],"&lt;"&amp;EDATE(I$5,1),tblAuftraege[Kategorie],"Lizenzen")</f>
        <v/>
      </c>
      <c r="J98" s="8">
        <f>SUMIFS(tblAuftraege[Kalk.
Einnahmen],tblAuftraege[Datum
Einnahmen],"&gt;="&amp;J$5,tblAuftraege[Datum
Einnahmen],"&lt;"&amp;EDATE(J$5,1),tblAuftraege[Kategorie],"Lizenzen")</f>
        <v/>
      </c>
      <c r="K98" s="8">
        <f>SUMIFS(tblAuftraege[Kalk.
Einnahmen],tblAuftraege[Datum
Einnahmen],"&gt;="&amp;K$5,tblAuftraege[Datum
Einnahmen],"&lt;"&amp;EDATE(K$5,1),tblAuftraege[Kategorie],"Lizenzen")</f>
        <v/>
      </c>
      <c r="L98" s="8">
        <f>SUMIFS(tblAuftraege[Kalk.
Einnahmen],tblAuftraege[Datum
Einnahmen],"&gt;="&amp;L$5,tblAuftraege[Datum
Einnahmen],"&lt;"&amp;EDATE(L$5,1),tblAuftraege[Kategorie],"Lizenzen")</f>
        <v/>
      </c>
      <c r="M98" s="8">
        <f>SUMIFS(tblAuftraege[Kalk.
Einnahmen],tblAuftraege[Datum
Einnahmen],"&gt;="&amp;M$5,tblAuftraege[Datum
Einnahmen],"&lt;"&amp;EDATE(M$5,1),tblAuftraege[Kategorie],"Lizenzen")</f>
        <v/>
      </c>
      <c r="N98" s="8">
        <f>SUMIFS(tblAuftraege[Kalk.
Einnahmen],tblAuftraege[Datum
Einnahmen],"&gt;="&amp;N$5,tblAuftraege[Datum
Einnahmen],"&lt;"&amp;EDATE(N$5,1),tblAuftraege[Kategorie],"Lizenzen")</f>
        <v/>
      </c>
      <c r="O98" s="8">
        <f>SUMIFS(tblAuftraege[Kalk.
Einnahmen],tblAuftraege[Datum
Einnahmen],"&gt;="&amp;O$5,tblAuftraege[Datum
Einnahmen],"&lt;"&amp;EDATE(O$5,1),tblAuftraege[Kategorie],"Lizenzen")</f>
        <v/>
      </c>
      <c r="P98" s="8">
        <f>SUMIFS(tblAuftraege[Kalk.
Einnahmen],tblAuftraege[Datum
Einnahmen],"&gt;="&amp;P$5,tblAuftraege[Datum
Einnahmen],"&lt;"&amp;EDATE(P$5,1),tblAuftraege[Kategorie],"Lizenzen")</f>
        <v/>
      </c>
      <c r="Q98" s="8">
        <f>SUMIFS(tblAuftraege[Kalk.
Einnahmen],tblAuftraege[Datum
Einnahmen],"&gt;="&amp;Q$5,tblAuftraege[Datum
Einnahmen],"&lt;"&amp;EDATE(Q$5,1),tblAuftraege[Kategorie],"Lizenzen")</f>
        <v/>
      </c>
      <c r="R98" s="8">
        <f>SUMIFS(tblAuftraege[Kalk.
Einnahmen],tblAuftraege[Datum
Einnahmen],"&gt;="&amp;R$5,tblAuftraege[Datum
Einnahmen],"&lt;"&amp;EDATE(R$5,1),tblAuftraege[Kategorie],"Lizenzen")</f>
        <v/>
      </c>
      <c r="S98" s="8">
        <f>SUMIFS(tblAuftraege[Kalk.
Einnahmen],tblAuftraege[Datum
Einnahmen],"&gt;="&amp;S$5,tblAuftraege[Datum
Einnahmen],"&lt;"&amp;EDATE(S$5,1),tblAuftraege[Kategorie],"Lizenzen")</f>
        <v/>
      </c>
      <c r="T98" s="8">
        <f>SUMIFS(tblAuftraege[Kalk.
Einnahmen],tblAuftraege[Datum
Einnahmen],"&gt;="&amp;T$5,tblAuftraege[Datum
Einnahmen],"&lt;"&amp;EDATE(T$5,1),tblAuftraege[Kategorie],"Lizenzen")</f>
        <v/>
      </c>
      <c r="U98" s="8">
        <f>SUMIFS(tblAuftraege[Kalk.
Einnahmen],tblAuftraege[Datum
Einnahmen],"&gt;="&amp;U$5,tblAuftraege[Datum
Einnahmen],"&lt;"&amp;EDATE(U$5,1),tblAuftraege[Kategorie],"Lizenzen")</f>
        <v/>
      </c>
      <c r="V98" s="8">
        <f>SUMIFS(tblAuftraege[Kalk.
Einnahmen],tblAuftraege[Datum
Einnahmen],"&gt;="&amp;V$5,tblAuftraege[Datum
Einnahmen],"&lt;"&amp;EDATE(V$5,1),tblAuftraege[Kategorie],"Lizenzen")</f>
        <v/>
      </c>
      <c r="W98" s="8">
        <f>SUMIFS(tblAuftraege[Kalk.
Einnahmen],tblAuftraege[Datum
Einnahmen],"&gt;="&amp;W$5,tblAuftraege[Datum
Einnahmen],"&lt;"&amp;EDATE(W$5,1),tblAuftraege[Kategorie],"Lizenzen")</f>
        <v/>
      </c>
      <c r="X98" s="8">
        <f>SUMIFS(tblAuftraege[Kalk.
Einnahmen],tblAuftraege[Datum
Einnahmen],"&gt;="&amp;X$5,tblAuftraege[Datum
Einnahmen],"&lt;"&amp;EDATE(X$5,1),tblAuftraege[Kategorie],"Lizenzen")</f>
        <v/>
      </c>
      <c r="Y98" s="8">
        <f>SUMIFS(tblAuftraege[Kalk.
Einnahmen],tblAuftraege[Datum
Einnahmen],"&gt;="&amp;Y$5,tblAuftraege[Datum
Einnahmen],"&lt;"&amp;EDATE(Y$5,1),tblAuftraege[Kategorie],"Lizenzen")</f>
        <v/>
      </c>
      <c r="Z98" s="8">
        <f>SUMIFS(tblAuftraege[Kalk.
Einnahmen],tblAuftraege[Datum
Einnahmen],"&gt;="&amp;Z$5,tblAuftraege[Datum
Einnahmen],"&lt;"&amp;EDATE(Z$5,1),tblAuftraege[Kategorie],"Lizenzen")</f>
        <v/>
      </c>
      <c r="AA98" s="8">
        <f>SUMIFS(tblAuftraege[Kalk.
Einnahmen],tblAuftraege[Datum
Einnahmen],"&gt;="&amp;AA$5,tblAuftraege[Datum
Einnahmen],"&lt;"&amp;EDATE(AA$5,1),tblAuftraege[Kategorie],"Lizenzen")</f>
        <v/>
      </c>
      <c r="AB98" s="8">
        <f>SUMIFS(tblAuftraege[Kalk.
Einnahmen],tblAuftraege[Datum
Einnahmen],"&gt;="&amp;AB$5,tblAuftraege[Datum
Einnahmen],"&lt;"&amp;EDATE(AB$5,1),tblAuftraege[Kategorie],"Lizenzen")</f>
        <v/>
      </c>
      <c r="AC98" s="8">
        <f>SUMIFS(tblAuftraege[Kalk.
Einnahmen],tblAuftraege[Datum
Einnahmen],"&gt;="&amp;AC$5,tblAuftraege[Datum
Einnahmen],"&lt;"&amp;EDATE(AC$5,1),tblAuftraege[Kategorie],"Lizenzen")</f>
        <v/>
      </c>
      <c r="AD98" s="8">
        <f>SUMIFS(tblAuftraege[Kalk.
Einnahmen],tblAuftraege[Datum
Einnahmen],"&gt;="&amp;AD$5,tblAuftraege[Datum
Einnahmen],"&lt;"&amp;EDATE(AD$5,1),tblAuftraege[Kategorie],"Lizenzen")</f>
        <v/>
      </c>
      <c r="AE98" s="8">
        <f>SUMIFS(tblAuftraege[Kalk.
Einnahmen],tblAuftraege[Datum
Einnahmen],"&gt;="&amp;AE$5,tblAuftraege[Datum
Einnahmen],"&lt;"&amp;EDATE(AE$5,1),tblAuftraege[Kategorie],"Lizenzen")</f>
        <v/>
      </c>
      <c r="AF98" s="8">
        <f>SUMIFS(tblAuftraege[Kalk.
Einnahmen],tblAuftraege[Datum
Einnahmen],"&gt;="&amp;AF$5,tblAuftraege[Datum
Einnahmen],"&lt;"&amp;EDATE(AF$5,1),tblAuftraege[Kategorie],"Lizenzen")</f>
        <v/>
      </c>
      <c r="AG98" s="8">
        <f>SUMIFS(tblAuftraege[Kalk.
Einnahmen],tblAuftraege[Datum
Einnahmen],"&gt;="&amp;AG$5,tblAuftraege[Datum
Einnahmen],"&lt;"&amp;EDATE(AG$5,1),tblAuftraege[Kategorie],"Lizenzen")</f>
        <v/>
      </c>
      <c r="AH98" s="8">
        <f>SUMIFS(tblAuftraege[Kalk.
Einnahmen],tblAuftraege[Datum
Einnahmen],"&gt;="&amp;AH$5,tblAuftraege[Datum
Einnahmen],"&lt;"&amp;EDATE(AH$5,1),tblAuftraege[Kategorie],"Lizenzen")</f>
        <v/>
      </c>
      <c r="AI98" s="8">
        <f>SUMIFS(tblAuftraege[Kalk.
Einnahmen],tblAuftraege[Datum
Einnahmen],"&gt;="&amp;AI$5,tblAuftraege[Datum
Einnahmen],"&lt;"&amp;EDATE(AI$5,1),tblAuftraege[Kategorie],"Lizenzen")</f>
        <v/>
      </c>
      <c r="AJ98" s="8">
        <f>SUMIFS(tblAuftraege[Kalk.
Einnahmen],tblAuftraege[Datum
Einnahmen],"&gt;="&amp;AJ$5,tblAuftraege[Datum
Einnahmen],"&lt;"&amp;EDATE(AJ$5,1),tblAuftraege[Kategorie],"Lizenzen")</f>
        <v/>
      </c>
      <c r="AK98" s="8">
        <f>SUMIFS(tblAuftraege[Kalk.
Einnahmen],tblAuftraege[Datum
Einnahmen],"&gt;="&amp;AK$5,tblAuftraege[Datum
Einnahmen],"&lt;"&amp;EDATE(AK$5,1),tblAuftraege[Kategorie],"Lizenzen")</f>
        <v/>
      </c>
      <c r="AL98" s="8">
        <f>SUMIFS(tblAuftraege[Kalk.
Einnahmen],tblAuftraege[Datum
Einnahmen],"&gt;="&amp;AL$5,tblAuftraege[Datum
Einnahmen],"&lt;"&amp;EDATE(AL$5,1),tblAuftraege[Kategorie],"Lizenzen")</f>
        <v/>
      </c>
      <c r="AM98" s="8">
        <f>SUMIFS(tblAuftraege[Kalk.
Einnahmen],tblAuftraege[Datum
Einnahmen],"&gt;="&amp;AM$5,tblAuftraege[Datum
Einnahmen],"&lt;"&amp;EDATE(AM$5,1),tblAuftraege[Kategorie],"Lizenzen")</f>
        <v/>
      </c>
      <c r="AN98" s="8">
        <f>SUMIFS(tblAuftraege[Kalk.
Einnahmen],tblAuftraege[Datum
Einnahmen],"&gt;="&amp;AN$5,tblAuftraege[Datum
Einnahmen],"&lt;"&amp;EDATE(AN$5,1),tblAuftraege[Kategorie],"Lizenzen")</f>
        <v/>
      </c>
      <c r="AO98" s="8">
        <f>SUMIFS(tblAuftraege[Kalk.
Einnahmen],tblAuftraege[Datum
Einnahmen],"&gt;="&amp;AO$5,tblAuftraege[Datum
Einnahmen],"&lt;"&amp;EDATE(AO$5,1),tblAuftraege[Kategorie],"Lizenzen")</f>
        <v/>
      </c>
      <c r="AP98" s="8">
        <f>SUMIFS(tblAuftraege[Kalk.
Einnahmen],tblAuftraege[Datum
Einnahmen],"&gt;="&amp;AP$5,tblAuftraege[Datum
Einnahmen],"&lt;"&amp;EDATE(AP$5,1),tblAuftraege[Kategorie],"Lizenzen")</f>
        <v/>
      </c>
      <c r="AQ98" s="8">
        <f>SUMIFS(tblAuftraege[Kalk.
Einnahmen],tblAuftraege[Datum
Einnahmen],"&gt;="&amp;AQ$5,tblAuftraege[Datum
Einnahmen],"&lt;"&amp;EDATE(AQ$5,1),tblAuftraege[Kategorie],"Lizenzen")</f>
        <v/>
      </c>
      <c r="AR98" s="8">
        <f>SUMIFS(tblAuftraege[Kalk.
Einnahmen],tblAuftraege[Datum
Einnahmen],"&gt;="&amp;AR$5,tblAuftraege[Datum
Einnahmen],"&lt;"&amp;EDATE(AR$5,1),tblAuftraege[Kategorie],"Lizenzen")</f>
        <v/>
      </c>
      <c r="AS98" s="8">
        <f>SUMIFS(tblAuftraege[Kalk.
Einnahmen],tblAuftraege[Datum
Einnahmen],"&gt;="&amp;AS$5,tblAuftraege[Datum
Einnahmen],"&lt;"&amp;EDATE(AS$5,1),tblAuftraege[Kategorie],"Lizenzen")</f>
        <v/>
      </c>
      <c r="AT98" s="8">
        <f>SUMIFS(tblAuftraege[Kalk.
Einnahmen],tblAuftraege[Datum
Einnahmen],"&gt;="&amp;AT$5,tblAuftraege[Datum
Einnahmen],"&lt;"&amp;EDATE(AT$5,1),tblAuftraege[Kategorie],"Lizenzen")</f>
        <v/>
      </c>
      <c r="AU98" s="8">
        <f>SUMIFS(tblAuftraege[Kalk.
Einnahmen],tblAuftraege[Datum
Einnahmen],"&gt;="&amp;AU$5,tblAuftraege[Datum
Einnahmen],"&lt;"&amp;EDATE(AU$5,1),tblAuftraege[Kategorie],"Lizenzen")</f>
        <v/>
      </c>
      <c r="AV98" s="8">
        <f>SUMIFS(tblAuftraege[Kalk.
Einnahmen],tblAuftraege[Datum
Einnahmen],"&gt;="&amp;AV$5,tblAuftraege[Datum
Einnahmen],"&lt;"&amp;EDATE(AV$5,1),tblAuftraege[Kategorie],"Lizenzen")</f>
        <v/>
      </c>
      <c r="AW98" s="8">
        <f>SUMIFS(tblAuftraege[Kalk.
Einnahmen],tblAuftraege[Datum
Einnahmen],"&gt;="&amp;AW$5,tblAuftraege[Datum
Einnahmen],"&lt;"&amp;EDATE(AW$5,1),tblAuftraege[Kategorie],"Lizenzen")</f>
        <v/>
      </c>
      <c r="AX98" s="8">
        <f>SUMIFS(tblAuftraege[Kalk.
Einnahmen],tblAuftraege[Datum
Einnahmen],"&gt;="&amp;AX$5,tblAuftraege[Datum
Einnahmen],"&lt;"&amp;EDATE(AX$5,1),tblAuftraege[Kategorie],"Lizenzen")</f>
        <v/>
      </c>
      <c r="AY98" s="8">
        <f>SUMIFS(tblAuftraege[Kalk.
Einnahmen],tblAuftraege[Datum
Einnahmen],"&gt;="&amp;AY$5,tblAuftraege[Datum
Einnahmen],"&lt;"&amp;EDATE(AY$5,1),tblAuftraege[Kategorie],"Lizenzen")</f>
        <v/>
      </c>
      <c r="AZ98" s="8">
        <f>SUMIFS(tblAuftraege[Kalk.
Einnahmen],tblAuftraege[Datum
Einnahmen],"&gt;="&amp;AZ$5,tblAuftraege[Datum
Einnahmen],"&lt;"&amp;EDATE(AZ$5,1),tblAuftraege[Kategorie],"Lizenzen")</f>
        <v/>
      </c>
      <c r="BA98" s="8">
        <f>SUMIFS(tblAuftraege[Kalk.
Einnahmen],tblAuftraege[Datum
Einnahmen],"&gt;="&amp;BA$5,tblAuftraege[Datum
Einnahmen],"&lt;"&amp;EDATE(BA$5,1),tblAuftraege[Kategorie],"Lizenzen")</f>
        <v/>
      </c>
      <c r="BB98" s="8">
        <f>SUMIFS(tblAuftraege[Kalk.
Einnahmen],tblAuftraege[Datum
Einnahmen],"&gt;="&amp;BB$5,tblAuftraege[Datum
Einnahmen],"&lt;"&amp;EDATE(BB$5,1),tblAuftraege[Kategorie],"Lizenzen")</f>
        <v/>
      </c>
      <c r="BC98" s="8">
        <f>SUMIFS(tblAuftraege[Kalk.
Einnahmen],tblAuftraege[Datum
Einnahmen],"&gt;="&amp;BC$5,tblAuftraege[Datum
Einnahmen],"&lt;"&amp;EDATE(BC$5,1),tblAuftraege[Kategorie],"Lizenzen")</f>
        <v/>
      </c>
      <c r="BD98" s="8">
        <f>SUMIFS(tblAuftraege[Kalk.
Einnahmen],tblAuftraege[Datum
Einnahmen],"&gt;="&amp;BD$5,tblAuftraege[Datum
Einnahmen],"&lt;"&amp;EDATE(BD$5,1),tblAuftraege[Kategorie],"Lizenzen")</f>
        <v/>
      </c>
      <c r="BE98" s="8">
        <f>SUM(C98:H98)</f>
        <v/>
      </c>
      <c r="BF98" s="8">
        <f>SUM(I98:T98)</f>
        <v/>
      </c>
      <c r="BG98" s="8">
        <f>SUM(U98:AF98)</f>
        <v/>
      </c>
      <c r="BH98" s="8">
        <f>SUM(AG98:AR98)</f>
        <v/>
      </c>
      <c r="BI98" s="8">
        <f>SUM(AS98:BD98)</f>
        <v/>
      </c>
      <c r="BJ98" s="8">
        <f>SUM(C98:BD98)</f>
        <v/>
      </c>
    </row>
    <row r="99">
      <c r="B99" s="38" t="inlineStr">
        <is>
          <t>Lizenzen – Ausgaben</t>
        </is>
      </c>
      <c r="C99" s="37">
        <f>SUMIFS(tblAuftraege[Kalk.
Ausgaben],tblAuftraege[Datum
Ausgaben],"&gt;="&amp;C$5,tblAuftraege[Datum
Ausgaben],"&lt;"&amp;EDATE(C$5,1),tblAuftraege[Kategorie],"Lizenzen")</f>
        <v/>
      </c>
      <c r="D99" s="37">
        <f>SUMIFS(tblAuftraege[Kalk.
Ausgaben],tblAuftraege[Datum
Ausgaben],"&gt;="&amp;D$5,tblAuftraege[Datum
Ausgaben],"&lt;"&amp;EDATE(D$5,1),tblAuftraege[Kategorie],"Lizenzen")</f>
        <v/>
      </c>
      <c r="E99" s="37">
        <f>SUMIFS(tblAuftraege[Kalk.
Ausgaben],tblAuftraege[Datum
Ausgaben],"&gt;="&amp;E$5,tblAuftraege[Datum
Ausgaben],"&lt;"&amp;EDATE(E$5,1),tblAuftraege[Kategorie],"Lizenzen")</f>
        <v/>
      </c>
      <c r="F99" s="37">
        <f>SUMIFS(tblAuftraege[Kalk.
Ausgaben],tblAuftraege[Datum
Ausgaben],"&gt;="&amp;F$5,tblAuftraege[Datum
Ausgaben],"&lt;"&amp;EDATE(F$5,1),tblAuftraege[Kategorie],"Lizenzen")</f>
        <v/>
      </c>
      <c r="G99" s="37">
        <f>SUMIFS(tblAuftraege[Kalk.
Ausgaben],tblAuftraege[Datum
Ausgaben],"&gt;="&amp;G$5,tblAuftraege[Datum
Ausgaben],"&lt;"&amp;EDATE(G$5,1),tblAuftraege[Kategorie],"Lizenzen")</f>
        <v/>
      </c>
      <c r="H99" s="37">
        <f>SUMIFS(tblAuftraege[Kalk.
Ausgaben],tblAuftraege[Datum
Ausgaben],"&gt;="&amp;H$5,tblAuftraege[Datum
Ausgaben],"&lt;"&amp;EDATE(H$5,1),tblAuftraege[Kategorie],"Lizenzen")</f>
        <v/>
      </c>
      <c r="I99" s="37">
        <f>SUMIFS(tblAuftraege[Kalk.
Ausgaben],tblAuftraege[Datum
Ausgaben],"&gt;="&amp;I$5,tblAuftraege[Datum
Ausgaben],"&lt;"&amp;EDATE(I$5,1),tblAuftraege[Kategorie],"Lizenzen")</f>
        <v/>
      </c>
      <c r="J99" s="37">
        <f>SUMIFS(tblAuftraege[Kalk.
Ausgaben],tblAuftraege[Datum
Ausgaben],"&gt;="&amp;J$5,tblAuftraege[Datum
Ausgaben],"&lt;"&amp;EDATE(J$5,1),tblAuftraege[Kategorie],"Lizenzen")</f>
        <v/>
      </c>
      <c r="K99" s="37">
        <f>SUMIFS(tblAuftraege[Kalk.
Ausgaben],tblAuftraege[Datum
Ausgaben],"&gt;="&amp;K$5,tblAuftraege[Datum
Ausgaben],"&lt;"&amp;EDATE(K$5,1),tblAuftraege[Kategorie],"Lizenzen")</f>
        <v/>
      </c>
      <c r="L99" s="37">
        <f>SUMIFS(tblAuftraege[Kalk.
Ausgaben],tblAuftraege[Datum
Ausgaben],"&gt;="&amp;L$5,tblAuftraege[Datum
Ausgaben],"&lt;"&amp;EDATE(L$5,1),tblAuftraege[Kategorie],"Lizenzen")</f>
        <v/>
      </c>
      <c r="M99" s="37">
        <f>SUMIFS(tblAuftraege[Kalk.
Ausgaben],tblAuftraege[Datum
Ausgaben],"&gt;="&amp;M$5,tblAuftraege[Datum
Ausgaben],"&lt;"&amp;EDATE(M$5,1),tblAuftraege[Kategorie],"Lizenzen")</f>
        <v/>
      </c>
      <c r="N99" s="37">
        <f>SUMIFS(tblAuftraege[Kalk.
Ausgaben],tblAuftraege[Datum
Ausgaben],"&gt;="&amp;N$5,tblAuftraege[Datum
Ausgaben],"&lt;"&amp;EDATE(N$5,1),tblAuftraege[Kategorie],"Lizenzen")</f>
        <v/>
      </c>
      <c r="O99" s="37">
        <f>SUMIFS(tblAuftraege[Kalk.
Ausgaben],tblAuftraege[Datum
Ausgaben],"&gt;="&amp;O$5,tblAuftraege[Datum
Ausgaben],"&lt;"&amp;EDATE(O$5,1),tblAuftraege[Kategorie],"Lizenzen")</f>
        <v/>
      </c>
      <c r="P99" s="37">
        <f>SUMIFS(tblAuftraege[Kalk.
Ausgaben],tblAuftraege[Datum
Ausgaben],"&gt;="&amp;P$5,tblAuftraege[Datum
Ausgaben],"&lt;"&amp;EDATE(P$5,1),tblAuftraege[Kategorie],"Lizenzen")</f>
        <v/>
      </c>
      <c r="Q99" s="37">
        <f>SUMIFS(tblAuftraege[Kalk.
Ausgaben],tblAuftraege[Datum
Ausgaben],"&gt;="&amp;Q$5,tblAuftraege[Datum
Ausgaben],"&lt;"&amp;EDATE(Q$5,1),tblAuftraege[Kategorie],"Lizenzen")</f>
        <v/>
      </c>
      <c r="R99" s="37">
        <f>SUMIFS(tblAuftraege[Kalk.
Ausgaben],tblAuftraege[Datum
Ausgaben],"&gt;="&amp;R$5,tblAuftraege[Datum
Ausgaben],"&lt;"&amp;EDATE(R$5,1),tblAuftraege[Kategorie],"Lizenzen")</f>
        <v/>
      </c>
      <c r="S99" s="37">
        <f>SUMIFS(tblAuftraege[Kalk.
Ausgaben],tblAuftraege[Datum
Ausgaben],"&gt;="&amp;S$5,tblAuftraege[Datum
Ausgaben],"&lt;"&amp;EDATE(S$5,1),tblAuftraege[Kategorie],"Lizenzen")</f>
        <v/>
      </c>
      <c r="T99" s="37">
        <f>SUMIFS(tblAuftraege[Kalk.
Ausgaben],tblAuftraege[Datum
Ausgaben],"&gt;="&amp;T$5,tblAuftraege[Datum
Ausgaben],"&lt;"&amp;EDATE(T$5,1),tblAuftraege[Kategorie],"Lizenzen")</f>
        <v/>
      </c>
      <c r="U99" s="37">
        <f>SUMIFS(tblAuftraege[Kalk.
Ausgaben],tblAuftraege[Datum
Ausgaben],"&gt;="&amp;U$5,tblAuftraege[Datum
Ausgaben],"&lt;"&amp;EDATE(U$5,1),tblAuftraege[Kategorie],"Lizenzen")</f>
        <v/>
      </c>
      <c r="V99" s="37">
        <f>SUMIFS(tblAuftraege[Kalk.
Ausgaben],tblAuftraege[Datum
Ausgaben],"&gt;="&amp;V$5,tblAuftraege[Datum
Ausgaben],"&lt;"&amp;EDATE(V$5,1),tblAuftraege[Kategorie],"Lizenzen")</f>
        <v/>
      </c>
      <c r="W99" s="37">
        <f>SUMIFS(tblAuftraege[Kalk.
Ausgaben],tblAuftraege[Datum
Ausgaben],"&gt;="&amp;W$5,tblAuftraege[Datum
Ausgaben],"&lt;"&amp;EDATE(W$5,1),tblAuftraege[Kategorie],"Lizenzen")</f>
        <v/>
      </c>
      <c r="X99" s="37">
        <f>SUMIFS(tblAuftraege[Kalk.
Ausgaben],tblAuftraege[Datum
Ausgaben],"&gt;="&amp;X$5,tblAuftraege[Datum
Ausgaben],"&lt;"&amp;EDATE(X$5,1),tblAuftraege[Kategorie],"Lizenzen")</f>
        <v/>
      </c>
      <c r="Y99" s="37">
        <f>SUMIFS(tblAuftraege[Kalk.
Ausgaben],tblAuftraege[Datum
Ausgaben],"&gt;="&amp;Y$5,tblAuftraege[Datum
Ausgaben],"&lt;"&amp;EDATE(Y$5,1),tblAuftraege[Kategorie],"Lizenzen")</f>
        <v/>
      </c>
      <c r="Z99" s="37">
        <f>SUMIFS(tblAuftraege[Kalk.
Ausgaben],tblAuftraege[Datum
Ausgaben],"&gt;="&amp;Z$5,tblAuftraege[Datum
Ausgaben],"&lt;"&amp;EDATE(Z$5,1),tblAuftraege[Kategorie],"Lizenzen")</f>
        <v/>
      </c>
      <c r="AA99" s="37">
        <f>SUMIFS(tblAuftraege[Kalk.
Ausgaben],tblAuftraege[Datum
Ausgaben],"&gt;="&amp;AA$5,tblAuftraege[Datum
Ausgaben],"&lt;"&amp;EDATE(AA$5,1),tblAuftraege[Kategorie],"Lizenzen")</f>
        <v/>
      </c>
      <c r="AB99" s="37">
        <f>SUMIFS(tblAuftraege[Kalk.
Ausgaben],tblAuftraege[Datum
Ausgaben],"&gt;="&amp;AB$5,tblAuftraege[Datum
Ausgaben],"&lt;"&amp;EDATE(AB$5,1),tblAuftraege[Kategorie],"Lizenzen")</f>
        <v/>
      </c>
      <c r="AC99" s="37">
        <f>SUMIFS(tblAuftraege[Kalk.
Ausgaben],tblAuftraege[Datum
Ausgaben],"&gt;="&amp;AC$5,tblAuftraege[Datum
Ausgaben],"&lt;"&amp;EDATE(AC$5,1),tblAuftraege[Kategorie],"Lizenzen")</f>
        <v/>
      </c>
      <c r="AD99" s="37">
        <f>SUMIFS(tblAuftraege[Kalk.
Ausgaben],tblAuftraege[Datum
Ausgaben],"&gt;="&amp;AD$5,tblAuftraege[Datum
Ausgaben],"&lt;"&amp;EDATE(AD$5,1),tblAuftraege[Kategorie],"Lizenzen")</f>
        <v/>
      </c>
      <c r="AE99" s="37">
        <f>SUMIFS(tblAuftraege[Kalk.
Ausgaben],tblAuftraege[Datum
Ausgaben],"&gt;="&amp;AE$5,tblAuftraege[Datum
Ausgaben],"&lt;"&amp;EDATE(AE$5,1),tblAuftraege[Kategorie],"Lizenzen")</f>
        <v/>
      </c>
      <c r="AF99" s="37">
        <f>SUMIFS(tblAuftraege[Kalk.
Ausgaben],tblAuftraege[Datum
Ausgaben],"&gt;="&amp;AF$5,tblAuftraege[Datum
Ausgaben],"&lt;"&amp;EDATE(AF$5,1),tblAuftraege[Kategorie],"Lizenzen")</f>
        <v/>
      </c>
      <c r="AG99" s="37">
        <f>SUMIFS(tblAuftraege[Kalk.
Ausgaben],tblAuftraege[Datum
Ausgaben],"&gt;="&amp;AG$5,tblAuftraege[Datum
Ausgaben],"&lt;"&amp;EDATE(AG$5,1),tblAuftraege[Kategorie],"Lizenzen")</f>
        <v/>
      </c>
      <c r="AH99" s="37">
        <f>SUMIFS(tblAuftraege[Kalk.
Ausgaben],tblAuftraege[Datum
Ausgaben],"&gt;="&amp;AH$5,tblAuftraege[Datum
Ausgaben],"&lt;"&amp;EDATE(AH$5,1),tblAuftraege[Kategorie],"Lizenzen")</f>
        <v/>
      </c>
      <c r="AI99" s="37">
        <f>SUMIFS(tblAuftraege[Kalk.
Ausgaben],tblAuftraege[Datum
Ausgaben],"&gt;="&amp;AI$5,tblAuftraege[Datum
Ausgaben],"&lt;"&amp;EDATE(AI$5,1),tblAuftraege[Kategorie],"Lizenzen")</f>
        <v/>
      </c>
      <c r="AJ99" s="37">
        <f>SUMIFS(tblAuftraege[Kalk.
Ausgaben],tblAuftraege[Datum
Ausgaben],"&gt;="&amp;AJ$5,tblAuftraege[Datum
Ausgaben],"&lt;"&amp;EDATE(AJ$5,1),tblAuftraege[Kategorie],"Lizenzen")</f>
        <v/>
      </c>
      <c r="AK99" s="37">
        <f>SUMIFS(tblAuftraege[Kalk.
Ausgaben],tblAuftraege[Datum
Ausgaben],"&gt;="&amp;AK$5,tblAuftraege[Datum
Ausgaben],"&lt;"&amp;EDATE(AK$5,1),tblAuftraege[Kategorie],"Lizenzen")</f>
        <v/>
      </c>
      <c r="AL99" s="37">
        <f>SUMIFS(tblAuftraege[Kalk.
Ausgaben],tblAuftraege[Datum
Ausgaben],"&gt;="&amp;AL$5,tblAuftraege[Datum
Ausgaben],"&lt;"&amp;EDATE(AL$5,1),tblAuftraege[Kategorie],"Lizenzen")</f>
        <v/>
      </c>
      <c r="AM99" s="37">
        <f>SUMIFS(tblAuftraege[Kalk.
Ausgaben],tblAuftraege[Datum
Ausgaben],"&gt;="&amp;AM$5,tblAuftraege[Datum
Ausgaben],"&lt;"&amp;EDATE(AM$5,1),tblAuftraege[Kategorie],"Lizenzen")</f>
        <v/>
      </c>
      <c r="AN99" s="37">
        <f>SUMIFS(tblAuftraege[Kalk.
Ausgaben],tblAuftraege[Datum
Ausgaben],"&gt;="&amp;AN$5,tblAuftraege[Datum
Ausgaben],"&lt;"&amp;EDATE(AN$5,1),tblAuftraege[Kategorie],"Lizenzen")</f>
        <v/>
      </c>
      <c r="AO99" s="37">
        <f>SUMIFS(tblAuftraege[Kalk.
Ausgaben],tblAuftraege[Datum
Ausgaben],"&gt;="&amp;AO$5,tblAuftraege[Datum
Ausgaben],"&lt;"&amp;EDATE(AO$5,1),tblAuftraege[Kategorie],"Lizenzen")</f>
        <v/>
      </c>
      <c r="AP99" s="37">
        <f>SUMIFS(tblAuftraege[Kalk.
Ausgaben],tblAuftraege[Datum
Ausgaben],"&gt;="&amp;AP$5,tblAuftraege[Datum
Ausgaben],"&lt;"&amp;EDATE(AP$5,1),tblAuftraege[Kategorie],"Lizenzen")</f>
        <v/>
      </c>
      <c r="AQ99" s="37">
        <f>SUMIFS(tblAuftraege[Kalk.
Ausgaben],tblAuftraege[Datum
Ausgaben],"&gt;="&amp;AQ$5,tblAuftraege[Datum
Ausgaben],"&lt;"&amp;EDATE(AQ$5,1),tblAuftraege[Kategorie],"Lizenzen")</f>
        <v/>
      </c>
      <c r="AR99" s="37">
        <f>SUMIFS(tblAuftraege[Kalk.
Ausgaben],tblAuftraege[Datum
Ausgaben],"&gt;="&amp;AR$5,tblAuftraege[Datum
Ausgaben],"&lt;"&amp;EDATE(AR$5,1),tblAuftraege[Kategorie],"Lizenzen")</f>
        <v/>
      </c>
      <c r="AS99" s="37">
        <f>SUMIFS(tblAuftraege[Kalk.
Ausgaben],tblAuftraege[Datum
Ausgaben],"&gt;="&amp;AS$5,tblAuftraege[Datum
Ausgaben],"&lt;"&amp;EDATE(AS$5,1),tblAuftraege[Kategorie],"Lizenzen")</f>
        <v/>
      </c>
      <c r="AT99" s="37">
        <f>SUMIFS(tblAuftraege[Kalk.
Ausgaben],tblAuftraege[Datum
Ausgaben],"&gt;="&amp;AT$5,tblAuftraege[Datum
Ausgaben],"&lt;"&amp;EDATE(AT$5,1),tblAuftraege[Kategorie],"Lizenzen")</f>
        <v/>
      </c>
      <c r="AU99" s="37">
        <f>SUMIFS(tblAuftraege[Kalk.
Ausgaben],tblAuftraege[Datum
Ausgaben],"&gt;="&amp;AU$5,tblAuftraege[Datum
Ausgaben],"&lt;"&amp;EDATE(AU$5,1),tblAuftraege[Kategorie],"Lizenzen")</f>
        <v/>
      </c>
      <c r="AV99" s="37">
        <f>SUMIFS(tblAuftraege[Kalk.
Ausgaben],tblAuftraege[Datum
Ausgaben],"&gt;="&amp;AV$5,tblAuftraege[Datum
Ausgaben],"&lt;"&amp;EDATE(AV$5,1),tblAuftraege[Kategorie],"Lizenzen")</f>
        <v/>
      </c>
      <c r="AW99" s="37">
        <f>SUMIFS(tblAuftraege[Kalk.
Ausgaben],tblAuftraege[Datum
Ausgaben],"&gt;="&amp;AW$5,tblAuftraege[Datum
Ausgaben],"&lt;"&amp;EDATE(AW$5,1),tblAuftraege[Kategorie],"Lizenzen")</f>
        <v/>
      </c>
      <c r="AX99" s="37">
        <f>SUMIFS(tblAuftraege[Kalk.
Ausgaben],tblAuftraege[Datum
Ausgaben],"&gt;="&amp;AX$5,tblAuftraege[Datum
Ausgaben],"&lt;"&amp;EDATE(AX$5,1),tblAuftraege[Kategorie],"Lizenzen")</f>
        <v/>
      </c>
      <c r="AY99" s="37">
        <f>SUMIFS(tblAuftraege[Kalk.
Ausgaben],tblAuftraege[Datum
Ausgaben],"&gt;="&amp;AY$5,tblAuftraege[Datum
Ausgaben],"&lt;"&amp;EDATE(AY$5,1),tblAuftraege[Kategorie],"Lizenzen")</f>
        <v/>
      </c>
      <c r="AZ99" s="37">
        <f>SUMIFS(tblAuftraege[Kalk.
Ausgaben],tblAuftraege[Datum
Ausgaben],"&gt;="&amp;AZ$5,tblAuftraege[Datum
Ausgaben],"&lt;"&amp;EDATE(AZ$5,1),tblAuftraege[Kategorie],"Lizenzen")</f>
        <v/>
      </c>
      <c r="BA99" s="37">
        <f>SUMIFS(tblAuftraege[Kalk.
Ausgaben],tblAuftraege[Datum
Ausgaben],"&gt;="&amp;BA$5,tblAuftraege[Datum
Ausgaben],"&lt;"&amp;EDATE(BA$5,1),tblAuftraege[Kategorie],"Lizenzen")</f>
        <v/>
      </c>
      <c r="BB99" s="37">
        <f>SUMIFS(tblAuftraege[Kalk.
Ausgaben],tblAuftraege[Datum
Ausgaben],"&gt;="&amp;BB$5,tblAuftraege[Datum
Ausgaben],"&lt;"&amp;EDATE(BB$5,1),tblAuftraege[Kategorie],"Lizenzen")</f>
        <v/>
      </c>
      <c r="BC99" s="37">
        <f>SUMIFS(tblAuftraege[Kalk.
Ausgaben],tblAuftraege[Datum
Ausgaben],"&gt;="&amp;BC$5,tblAuftraege[Datum
Ausgaben],"&lt;"&amp;EDATE(BC$5,1),tblAuftraege[Kategorie],"Lizenzen")</f>
        <v/>
      </c>
      <c r="BD99" s="37">
        <f>SUMIFS(tblAuftraege[Kalk.
Ausgaben],tblAuftraege[Datum
Ausgaben],"&gt;="&amp;BD$5,tblAuftraege[Datum
Ausgaben],"&lt;"&amp;EDATE(BD$5,1),tblAuftraege[Kategorie],"Lizenzen")</f>
        <v/>
      </c>
      <c r="BE99" s="37">
        <f>SUM(C99:H99)</f>
        <v/>
      </c>
      <c r="BF99" s="37">
        <f>SUM(I99:T99)</f>
        <v/>
      </c>
      <c r="BG99" s="37">
        <f>SUM(U99:AF99)</f>
        <v/>
      </c>
      <c r="BH99" s="37">
        <f>SUM(AG99:AR99)</f>
        <v/>
      </c>
      <c r="BI99" s="37">
        <f>SUM(AS99:BD99)</f>
        <v/>
      </c>
      <c r="BJ99" s="37">
        <f>SUM(C99:BD99)</f>
        <v/>
      </c>
    </row>
    <row r="102">
      <c r="B102" s="13" t="inlineStr">
        <is>
          <t>Legende</t>
        </is>
      </c>
    </row>
    <row r="103">
      <c r="B103" s="30" t="inlineStr">
        <is>
          <t>Eingabezelle – nur Position und Kostenstelle werden hier gepflegt</t>
        </is>
      </c>
      <c r="C103" s="29" t="n"/>
    </row>
    <row r="104">
      <c r="B104" s="31" t="inlineStr">
        <is>
          <t>Automatisch aus dem Reiter „Aufträge“ berechnet – nicht überschreiben</t>
        </is>
      </c>
      <c r="C104" s="29" t="n"/>
    </row>
    <row r="105">
      <c r="B105" s="32" t="inlineStr">
        <is>
          <t>Ergebniszeile – automatisch berechnet</t>
        </is>
      </c>
      <c r="C105" s="29" t="n"/>
    </row>
    <row r="106">
      <c r="A106" s="2" t="inlineStr">
        <is>
          <t>Datenfluss:  Aufträge  →  Cashflow  →  Übersicht. Alle Beträge werden ausschließlich im Reiter „Aufträge“ erfasst.</t>
        </is>
      </c>
    </row>
    <row r="107">
      <c r="A107" s="2" t="inlineStr">
        <is>
          <t>Die Zuordnung erfolgt über die Kostenstelle in Spalte B: Der Eintrag muss mit der Kostenstelle im Reiter „Aufträge“ übereinstimmen. Nicht zugeordnete Aufträge erscheinen in Zeile 38 bzw. 72 und sind in den Summen trotzdem enthalten.</t>
        </is>
      </c>
    </row>
    <row r="108">
      <c r="A108" s="2" t="inlineStr">
        <is>
          <t>Zeile 5 ist ausgeblendet und enthält die echten Monatsanfänge (Datumswerte), mit denen die SUMMEWENNS-Formeln die Monatsgrenzen bilden.</t>
        </is>
      </c>
    </row>
    <row r="109">
      <c r="A109" s="2" t="inlineStr">
        <is>
          <t>Die Auftragswahrscheinlichkeit wird im Reiter „Aufträge“ nur gespeichert und nicht eingerechnet. Ein gewichteter Forecast lässt sich später über SUMMENPRODUKT bzw. eine zusätzliche Kennzahlenzeile ergänzen.</t>
        </is>
      </c>
    </row>
  </sheetData>
  <conditionalFormatting sqref="C7:N7 U7:BJ7">
    <cfRule type="cellIs" priority="21" operator="lessThan" dxfId="0">
      <formula>0</formula>
    </cfRule>
  </conditionalFormatting>
  <conditionalFormatting sqref="C41:N41 W41:BJ41">
    <cfRule type="cellIs" priority="18" operator="lessThan" dxfId="0">
      <formula>0</formula>
    </cfRule>
  </conditionalFormatting>
  <conditionalFormatting sqref="C81:N81">
    <cfRule type="cellIs" priority="10" operator="lessThan" dxfId="0">
      <formula>0</formula>
    </cfRule>
  </conditionalFormatting>
  <conditionalFormatting sqref="C91:N91">
    <cfRule type="cellIs" priority="9" operator="lessThan" dxfId="0">
      <formula>0</formula>
    </cfRule>
  </conditionalFormatting>
  <conditionalFormatting sqref="C8:BJ40 C82:BJ90 C92:BJ99">
    <cfRule type="cellIs" priority="24" operator="lessThan" dxfId="0">
      <formula>0</formula>
    </cfRule>
  </conditionalFormatting>
  <conditionalFormatting sqref="C42:BJ80">
    <cfRule type="cellIs" priority="7" operator="lessThan" dxfId="0">
      <formula>0</formula>
    </cfRule>
  </conditionalFormatting>
  <conditionalFormatting sqref="C78:BJ79">
    <cfRule type="cellIs" priority="25" operator="greaterThan" dxfId="10">
      <formula>0</formula>
    </cfRule>
    <cfRule type="cellIs" priority="26" operator="lessThan" dxfId="9">
      <formula>0</formula>
    </cfRule>
  </conditionalFormatting>
  <conditionalFormatting sqref="O7:BJ7">
    <cfRule type="cellIs" priority="19" operator="lessThan" dxfId="0">
      <formula>0</formula>
    </cfRule>
  </conditionalFormatting>
  <conditionalFormatting sqref="O41:BJ41">
    <cfRule type="cellIs" priority="17" operator="lessThan" dxfId="0">
      <formula>0</formula>
    </cfRule>
  </conditionalFormatting>
  <conditionalFormatting sqref="O81:BJ81">
    <cfRule type="cellIs" priority="15" operator="lessThan" dxfId="0">
      <formula>0</formula>
    </cfRule>
  </conditionalFormatting>
  <conditionalFormatting sqref="O91:BJ91">
    <cfRule type="cellIs" priority="11" operator="lessThan" dxfId="0">
      <formula>0</formula>
    </cfRule>
  </conditionalFormatting>
  <conditionalFormatting sqref="U41:BJ41">
    <cfRule type="cellIs" priority="8" operator="lessThan" dxfId="0">
      <formula>0</formula>
    </cfRule>
  </conditionalFormatting>
  <conditionalFormatting sqref="U81:BJ81">
    <cfRule type="cellIs" priority="3" operator="lessThan" dxfId="0">
      <formula>0</formula>
    </cfRule>
  </conditionalFormatting>
  <conditionalFormatting sqref="U91:BJ91">
    <cfRule type="cellIs" priority="1" operator="lessThan" dxfId="0">
      <formula>0</formula>
    </cfRule>
  </conditionalFormatting>
  <conditionalFormatting sqref="W81:BJ81">
    <cfRule type="cellIs" priority="4" operator="lessThan" dxfId="0">
      <formula>0</formula>
    </cfRule>
  </conditionalFormatting>
  <conditionalFormatting sqref="W91:BJ91">
    <cfRule type="cellIs" priority="2" operator="lessThan" dxfId="0">
      <formula>0</formula>
    </cfRule>
  </conditionalFormatting>
  <pageMargins left="0.4" right="0.4" top="0.5" bottom="0.5" header="0.511811023622047" footer="0.5"/>
  <pageSetup orientation="landscape" paperSize="9" scale="35" fitToHeight="0" fitToWidth="3" horizontalDpi="300" verticalDpi="300"/>
  <headerFooter>
    <oddHeader/>
    <oddFooter>&amp;C&amp;8 DusL Plus Autostrom – Cashflow  |  Seite &amp;P von &amp;N</oddFooter>
    <evenHeader/>
    <evenFooter/>
    <firstHeader/>
    <firstFooter/>
  </headerFooter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58"/>
  <sheetViews>
    <sheetView showGridLines="0" tabSelected="1" zoomScaleNormal="100" workbookViewId="0">
      <pane ySplit="6" topLeftCell="A79" activePane="bottomLeft" state="frozen"/>
      <selection pane="bottomLeft" activeCell="D1" sqref="D1"/>
    </sheetView>
  </sheetViews>
  <sheetFormatPr baseColWidth="10" defaultColWidth="8.5703125" defaultRowHeight="15"/>
  <cols>
    <col width="2.7109375" customWidth="1" min="1" max="1"/>
    <col width="14.140625" bestFit="1" customWidth="1" min="2" max="2"/>
    <col width="33.85546875" bestFit="1" customWidth="1" min="3" max="3"/>
    <col width="23" bestFit="1" customWidth="1" min="4" max="4"/>
    <col width="54.5703125" bestFit="1" customWidth="1" min="5" max="5"/>
    <col width="17" customWidth="1" min="6" max="6"/>
    <col width="16" customWidth="1" min="7" max="8"/>
    <col width="14.85546875" customWidth="1" min="9" max="9"/>
    <col width="20.42578125" bestFit="1" customWidth="1" min="10" max="10"/>
    <col width="48.140625" customWidth="1" min="11" max="11"/>
    <col width="13.28515625" bestFit="1" customWidth="1" min="12" max="12"/>
    <col width="13.5703125" bestFit="1" customWidth="1" min="13" max="13"/>
  </cols>
  <sheetData>
    <row r="1" ht="20.25" customHeight="1">
      <c r="A1" s="14" t="inlineStr">
        <is>
          <t>Aufträge – zentrale Datenerfassung</t>
        </is>
      </c>
    </row>
    <row r="2">
      <c r="A2" s="15" t="inlineStr">
        <is>
          <t>SmartInfra / IoT-Büro  ·  DusL Plus Autostrom</t>
        </is>
      </c>
    </row>
    <row r="3">
      <c r="A3" s="2" t="inlineStr">
        <is>
          <t>Jeder Auftrag bzw. finanzielle Vorgang wird hier einmalig erfasst. Der Reiter „Cashflow“ aggregiert daraus automatisch nach Monat.</t>
        </is>
      </c>
    </row>
    <row r="4">
      <c r="A4" s="2" t="inlineStr">
        <is>
          <t>Datum Einnahmen und Datum Ausgaben sind unabhängig – ein Auftrag kann z. B. im September Ausgaben und erst im November Einnahmen haben. LLM = Lastmanagement.</t>
        </is>
      </c>
    </row>
    <row r="6" ht="30" customHeight="1">
      <c r="A6" s="67" t="n"/>
      <c r="B6" s="65" t="inlineStr">
        <is>
          <t>Themenfeld</t>
        </is>
      </c>
      <c r="C6" s="65" t="inlineStr">
        <is>
          <t>Kostenstelle</t>
        </is>
      </c>
      <c r="D6" s="65" t="inlineStr">
        <is>
          <t>Kategorie</t>
        </is>
      </c>
      <c r="E6" s="65" t="inlineStr">
        <is>
          <t>Auftrag</t>
        </is>
      </c>
      <c r="F6" s="65" t="inlineStr">
        <is>
          <t>Datum
Ausgaben</t>
        </is>
      </c>
      <c r="G6" s="68" t="inlineStr">
        <is>
          <t>Ausgaben</t>
        </is>
      </c>
      <c r="H6" s="65" t="inlineStr">
        <is>
          <t>Datum
Einnahmen</t>
        </is>
      </c>
      <c r="I6" s="68" t="inlineStr">
        <is>
          <t>Einnahmen</t>
        </is>
      </c>
      <c r="J6" s="65" t="inlineStr">
        <is>
          <t>Auftrags-
wahrscheinlichkeit</t>
        </is>
      </c>
      <c r="K6" s="65" t="inlineStr">
        <is>
          <t>Bemerkung</t>
        </is>
      </c>
      <c r="L6" s="86" t="inlineStr">
        <is>
          <t>Kalk.
Ausgaben</t>
        </is>
      </c>
      <c r="M6" s="87" t="inlineStr">
        <is>
          <t>Kalk.
Einnahmen</t>
        </is>
      </c>
    </row>
    <row r="7">
      <c r="A7" s="69" t="n"/>
      <c r="B7" s="22" t="inlineStr">
        <is>
          <t>EDM</t>
        </is>
      </c>
      <c r="C7" s="59" t="inlineStr">
        <is>
          <t>85309000 - Bereichskostenstelle EDM</t>
        </is>
      </c>
      <c r="D7" s="22" t="inlineStr">
        <is>
          <t>Hardware + Dienstleistung</t>
        </is>
      </c>
      <c r="E7" s="22" t="inlineStr">
        <is>
          <t xml:space="preserve">Installation - Niendorfer TSV </t>
        </is>
      </c>
      <c r="F7" s="28" t="n"/>
      <c r="G7" s="97" t="n">
        <v>2551.74</v>
      </c>
      <c r="H7" s="24" t="n"/>
      <c r="I7" s="98" t="n">
        <v>11392.81</v>
      </c>
      <c r="J7" s="26" t="n">
        <v>0.25</v>
      </c>
      <c r="K7" s="70" t="n"/>
      <c r="L7" s="27">
        <f>tblAuftraege[[#This Row],[Ausgaben]]*tblAuftraege[[#This Row],[Auftrags-
wahrscheinlichkeit]]</f>
        <v/>
      </c>
      <c r="M7" s="66">
        <f>tblAuftraege[[#This Row],[Einnahmen]]*tblAuftraege[[#This Row],[Auftrags-
wahrscheinlichkeit]]</f>
        <v/>
      </c>
    </row>
    <row r="8">
      <c r="A8" s="69" t="n"/>
      <c r="B8" s="22" t="inlineStr">
        <is>
          <t>EDM</t>
        </is>
      </c>
      <c r="C8" s="59" t="inlineStr">
        <is>
          <t>85309000 - Bereichskostenstelle EDM</t>
        </is>
      </c>
      <c r="D8" s="22" t="inlineStr">
        <is>
          <t>Hardware + Dienstleistung</t>
        </is>
      </c>
      <c r="E8" s="22" t="inlineStr">
        <is>
          <t xml:space="preserve">Installation - Stiftung Mensch </t>
        </is>
      </c>
      <c r="F8" s="28" t="n"/>
      <c r="G8" s="97" t="n">
        <v>5327.69</v>
      </c>
      <c r="H8" s="24" t="n"/>
      <c r="I8" s="98" t="n">
        <v>17939.49</v>
      </c>
      <c r="J8" s="26" t="n">
        <v>0.5</v>
      </c>
      <c r="K8" s="70" t="n"/>
      <c r="L8" s="27">
        <f>tblAuftraege[[#This Row],[Ausgaben]]*tblAuftraege[[#This Row],[Auftrags-
wahrscheinlichkeit]]</f>
        <v/>
      </c>
      <c r="M8" s="66">
        <f>tblAuftraege[[#This Row],[Einnahmen]]*tblAuftraege[[#This Row],[Auftrags-
wahrscheinlichkeit]]</f>
        <v/>
      </c>
    </row>
    <row r="9">
      <c r="A9" s="69" t="n"/>
      <c r="B9" s="22" t="inlineStr">
        <is>
          <t>EDM</t>
        </is>
      </c>
      <c r="C9" s="22" t="inlineStr">
        <is>
          <t>85309000 - Bereichskostenstelle EDM</t>
        </is>
      </c>
      <c r="D9" s="22" t="inlineStr">
        <is>
          <t>Lizenzen</t>
        </is>
      </c>
      <c r="E9" s="22" t="inlineStr">
        <is>
          <t>EDM Lizenzen 2027 - Q1</t>
        </is>
      </c>
      <c r="F9" s="28" t="n"/>
      <c r="G9" s="97" t="n"/>
      <c r="H9" s="24" t="n"/>
      <c r="I9" s="98" t="n"/>
      <c r="J9" s="26" t="n">
        <v>1</v>
      </c>
      <c r="K9" s="70" t="n"/>
      <c r="L9" s="27">
        <f>tblAuftraege[[#This Row],[Ausgaben]]*tblAuftraege[[#This Row],[Auftrags-
wahrscheinlichkeit]]</f>
        <v/>
      </c>
      <c r="M9" s="66">
        <f>tblAuftraege[[#This Row],[Einnahmen]]*tblAuftraege[[#This Row],[Auftrags-
wahrscheinlichkeit]]</f>
        <v/>
      </c>
    </row>
    <row r="10">
      <c r="A10" s="69" t="n"/>
      <c r="B10" s="22" t="inlineStr">
        <is>
          <t>EDM</t>
        </is>
      </c>
      <c r="C10" s="22" t="inlineStr">
        <is>
          <t>87002004 - Statdwerke Neustadt</t>
        </is>
      </c>
      <c r="D10" s="22" t="inlineStr">
        <is>
          <t>Dienstleistung</t>
        </is>
      </c>
      <c r="E10" s="22" t="inlineStr">
        <is>
          <t>EDM Jacob Lienau Schule Begehung</t>
        </is>
      </c>
      <c r="F10" s="28" t="n"/>
      <c r="G10" s="97" t="n"/>
      <c r="H10" s="24" t="n">
        <v>46295</v>
      </c>
      <c r="I10" s="98" t="n">
        <v>600</v>
      </c>
      <c r="J10" s="26" t="n">
        <v>0.7</v>
      </c>
      <c r="K10" s="70" t="inlineStr">
        <is>
          <t xml:space="preserve">Angebot gestellt </t>
        </is>
      </c>
      <c r="L10" s="27">
        <f>tblAuftraege[[#This Row],[Ausgaben]]*tblAuftraege[[#This Row],[Auftrags-
wahrscheinlichkeit]]</f>
        <v/>
      </c>
      <c r="M10" s="66">
        <f>tblAuftraege[[#This Row],[Einnahmen]]*tblAuftraege[[#This Row],[Auftrags-
wahrscheinlichkeit]]</f>
        <v/>
      </c>
    </row>
    <row r="11">
      <c r="A11" s="69" t="n"/>
      <c r="B11" s="22" t="inlineStr">
        <is>
          <t>EDM</t>
        </is>
      </c>
      <c r="C11" s="22" t="inlineStr">
        <is>
          <t>87004001 - Dataport</t>
        </is>
      </c>
      <c r="D11" s="22" t="inlineStr">
        <is>
          <t>Hardware</t>
        </is>
      </c>
      <c r="E11" s="22" t="inlineStr">
        <is>
          <t xml:space="preserve">DeZem Übernahme Hardware </t>
        </is>
      </c>
      <c r="F11" s="28" t="n"/>
      <c r="G11" s="97" t="n"/>
      <c r="H11" s="24" t="n"/>
      <c r="I11" s="98" t="n">
        <v>31807.45</v>
      </c>
      <c r="J11" s="26" t="n">
        <v>1</v>
      </c>
      <c r="K11" s="70" t="n"/>
      <c r="L11" s="27">
        <f>tblAuftraege[[#This Row],[Ausgaben]]*tblAuftraege[[#This Row],[Auftrags-
wahrscheinlichkeit]]</f>
        <v/>
      </c>
      <c r="M11" s="66">
        <f>tblAuftraege[[#This Row],[Einnahmen]]*tblAuftraege[[#This Row],[Auftrags-
wahrscheinlichkeit]]</f>
        <v/>
      </c>
    </row>
    <row r="12">
      <c r="A12" s="69" t="n"/>
      <c r="B12" s="22" t="inlineStr">
        <is>
          <t>EDM</t>
        </is>
      </c>
      <c r="C12" s="22" t="inlineStr">
        <is>
          <t>87004001 - Dataport</t>
        </is>
      </c>
      <c r="D12" s="22" t="inlineStr">
        <is>
          <t>Hardware + Dienstleistung</t>
        </is>
      </c>
      <c r="E12" s="22" t="inlineStr">
        <is>
          <t>Avacon Lüneburg Installation</t>
        </is>
      </c>
      <c r="F12" s="28" t="n">
        <v>46280</v>
      </c>
      <c r="G12" s="97" t="n">
        <v>5400</v>
      </c>
      <c r="H12" s="24" t="n">
        <v>46341</v>
      </c>
      <c r="I12" s="98" t="n">
        <v>15594.65</v>
      </c>
      <c r="J12" s="26" t="n">
        <v>0.75</v>
      </c>
      <c r="K12" s="70" t="inlineStr">
        <is>
          <t>Angebot gestellt</t>
        </is>
      </c>
      <c r="L12" s="27">
        <f>tblAuftraege[[#This Row],[Ausgaben]]*tblAuftraege[[#This Row],[Auftrags-
wahrscheinlichkeit]]</f>
        <v/>
      </c>
      <c r="M12" s="66">
        <f>tblAuftraege[[#This Row],[Einnahmen]]*tblAuftraege[[#This Row],[Auftrags-
wahrscheinlichkeit]]</f>
        <v/>
      </c>
    </row>
    <row r="13">
      <c r="A13" s="69" t="n"/>
      <c r="B13" s="22" t="inlineStr">
        <is>
          <t>EDM</t>
        </is>
      </c>
      <c r="C13" s="22" t="inlineStr">
        <is>
          <t>87004001 - Dataport</t>
        </is>
      </c>
      <c r="D13" s="22" t="inlineStr">
        <is>
          <t>Hardware + Dienstleistung</t>
        </is>
      </c>
      <c r="E13" s="22" t="inlineStr">
        <is>
          <t>Dataport Dezem Übernahme - Hardware Lieferung</t>
        </is>
      </c>
      <c r="F13" s="28" t="n"/>
      <c r="G13" s="97" t="n"/>
      <c r="H13" s="24" t="n">
        <v>46310</v>
      </c>
      <c r="I13" s="98" t="n">
        <v>60000</v>
      </c>
      <c r="J13" s="26" t="n">
        <v>1</v>
      </c>
      <c r="K13" s="70" t="inlineStr">
        <is>
          <t>Test</t>
        </is>
      </c>
      <c r="L13" s="27">
        <f>tblAuftraege[[#This Row],[Ausgaben]]*tblAuftraege[[#This Row],[Auftrags-
wahrscheinlichkeit]]</f>
        <v/>
      </c>
      <c r="M13" s="66">
        <f>tblAuftraege[[#This Row],[Einnahmen]]*tblAuftraege[[#This Row],[Auftrags-
wahrscheinlichkeit]]</f>
        <v/>
      </c>
    </row>
    <row r="14">
      <c r="A14" s="69" t="n"/>
      <c r="B14" s="22" t="inlineStr">
        <is>
          <t>EDM</t>
        </is>
      </c>
      <c r="C14" s="22" t="inlineStr">
        <is>
          <t>87004001 - Dataport</t>
        </is>
      </c>
      <c r="D14" s="22" t="inlineStr">
        <is>
          <t>Hardware + Dienstleistung</t>
        </is>
      </c>
      <c r="E14" s="22" t="inlineStr">
        <is>
          <t xml:space="preserve">DeZem Übernahme Betriebskosten Pro Jahr </t>
        </is>
      </c>
      <c r="F14" s="28" t="n"/>
      <c r="G14" s="97" t="n"/>
      <c r="H14" s="24" t="n"/>
      <c r="I14" s="98" t="n">
        <v>29760</v>
      </c>
      <c r="J14" s="26" t="n">
        <v>1</v>
      </c>
      <c r="K14" s="70" t="n"/>
      <c r="L14" s="27">
        <f>tblAuftraege[[#This Row],[Ausgaben]]*tblAuftraege[[#This Row],[Auftrags-
wahrscheinlichkeit]]</f>
        <v/>
      </c>
      <c r="M14" s="66">
        <f>tblAuftraege[[#This Row],[Einnahmen]]*tblAuftraege[[#This Row],[Auftrags-
wahrscheinlichkeit]]</f>
        <v/>
      </c>
    </row>
    <row r="15">
      <c r="A15" s="69" t="n"/>
      <c r="B15" s="22" t="inlineStr">
        <is>
          <t>EDM</t>
        </is>
      </c>
      <c r="C15" s="22" t="inlineStr">
        <is>
          <t>87004001 - Dataport</t>
        </is>
      </c>
      <c r="D15" s="22" t="inlineStr">
        <is>
          <t>Dienstleistung</t>
        </is>
      </c>
      <c r="E15" s="22" t="inlineStr">
        <is>
          <t xml:space="preserve">DeZem Projektdurchführung </t>
        </is>
      </c>
      <c r="F15" s="28" t="n"/>
      <c r="G15" s="97" t="n"/>
      <c r="H15" s="24" t="n"/>
      <c r="I15" s="98" t="n">
        <v>27750</v>
      </c>
      <c r="J15" s="26" t="n">
        <v>1</v>
      </c>
      <c r="K15" s="70" t="n"/>
      <c r="L15" s="27">
        <f>tblAuftraege[[#This Row],[Ausgaben]]*tblAuftraege[[#This Row],[Auftrags-
wahrscheinlichkeit]]</f>
        <v/>
      </c>
      <c r="M15" s="66">
        <f>tblAuftraege[[#This Row],[Einnahmen]]*tblAuftraege[[#This Row],[Auftrags-
wahrscheinlichkeit]]</f>
        <v/>
      </c>
    </row>
    <row r="16">
      <c r="A16" s="69" t="n"/>
      <c r="B16" s="22" t="inlineStr">
        <is>
          <t>EDM</t>
        </is>
      </c>
      <c r="C16" s="22" t="inlineStr">
        <is>
          <t>87004001 - Dataport</t>
        </is>
      </c>
      <c r="D16" s="22" t="inlineStr">
        <is>
          <t>Dienstleistung</t>
        </is>
      </c>
      <c r="E16" s="22" t="inlineStr">
        <is>
          <t xml:space="preserve">DeZem Serviceeineinsätze </t>
        </is>
      </c>
      <c r="F16" s="28" t="n"/>
      <c r="G16" s="99" t="n"/>
      <c r="H16" s="24" t="n"/>
      <c r="I16" s="98" t="n">
        <v>14970</v>
      </c>
      <c r="J16" s="26" t="n">
        <v>0</v>
      </c>
      <c r="K16" s="70" t="inlineStr">
        <is>
          <t xml:space="preserve">Verläuft eigentlich übers gesamte Jahr </t>
        </is>
      </c>
      <c r="L16" s="27">
        <f>tblAuftraege[[#This Row],[Ausgaben]]*tblAuftraege[[#This Row],[Auftrags-
wahrscheinlichkeit]]</f>
        <v/>
      </c>
      <c r="M16" s="66">
        <f>tblAuftraege[[#This Row],[Einnahmen]]*tblAuftraege[[#This Row],[Auftrags-
wahrscheinlichkeit]]</f>
        <v/>
      </c>
    </row>
    <row r="17">
      <c r="A17" s="69" t="n"/>
      <c r="B17" s="22" t="inlineStr">
        <is>
          <t>EDM</t>
        </is>
      </c>
      <c r="C17" s="22" t="inlineStr">
        <is>
          <t>87004001 - Dataport</t>
        </is>
      </c>
      <c r="D17" s="22" t="inlineStr">
        <is>
          <t>Dienstleistung</t>
        </is>
      </c>
      <c r="E17" s="22" t="inlineStr">
        <is>
          <t>DeZem Serviceeineinsätze 2027 Q1</t>
        </is>
      </c>
      <c r="F17" s="28" t="n"/>
      <c r="G17" s="97" t="n"/>
      <c r="H17" s="24" t="n"/>
      <c r="I17" s="98" t="n"/>
      <c r="J17" s="26" t="n">
        <v>1</v>
      </c>
      <c r="K17" s="70" t="inlineStr">
        <is>
          <t>7 Stk</t>
        </is>
      </c>
      <c r="L17" s="27">
        <f>tblAuftraege[[#This Row],[Ausgaben]]*tblAuftraege[[#This Row],[Auftrags-
wahrscheinlichkeit]]</f>
        <v/>
      </c>
      <c r="M17" s="66">
        <f>tblAuftraege[[#This Row],[Einnahmen]]*tblAuftraege[[#This Row],[Auftrags-
wahrscheinlichkeit]]</f>
        <v/>
      </c>
    </row>
    <row r="18">
      <c r="A18" s="69" t="n"/>
      <c r="B18" s="22" t="inlineStr">
        <is>
          <t>EDM</t>
        </is>
      </c>
      <c r="C18" s="22" t="inlineStr">
        <is>
          <t>87004001 - Dataport</t>
        </is>
      </c>
      <c r="D18" s="22" t="inlineStr">
        <is>
          <t>Dienstleistung</t>
        </is>
      </c>
      <c r="E18" s="22" t="inlineStr">
        <is>
          <t>DeZem Serviceeineinsätze 2027 Q2</t>
        </is>
      </c>
      <c r="F18" s="28" t="n"/>
      <c r="G18" s="97" t="n"/>
      <c r="H18" s="24" t="n"/>
      <c r="I18" s="98" t="n"/>
      <c r="J18" s="26" t="n">
        <v>1</v>
      </c>
      <c r="K18" s="70" t="inlineStr">
        <is>
          <t>8 Stk</t>
        </is>
      </c>
      <c r="L18" s="27">
        <f>tblAuftraege[[#This Row],[Ausgaben]]*tblAuftraege[[#This Row],[Auftrags-
wahrscheinlichkeit]]</f>
        <v/>
      </c>
      <c r="M18" s="66">
        <f>tblAuftraege[[#This Row],[Einnahmen]]*tblAuftraege[[#This Row],[Auftrags-
wahrscheinlichkeit]]</f>
        <v/>
      </c>
    </row>
    <row r="19">
      <c r="A19" s="69" t="n"/>
      <c r="B19" s="22" t="inlineStr">
        <is>
          <t>EDM</t>
        </is>
      </c>
      <c r="C19" s="22" t="inlineStr">
        <is>
          <t>87004001 - Dataport</t>
        </is>
      </c>
      <c r="D19" s="22" t="inlineStr">
        <is>
          <t>Dienstleistung</t>
        </is>
      </c>
      <c r="E19" s="22" t="inlineStr">
        <is>
          <t>DeZem Serviceeineinsätze 2027 Q3</t>
        </is>
      </c>
      <c r="F19" s="28" t="n"/>
      <c r="G19" s="97" t="n"/>
      <c r="H19" s="24" t="n"/>
      <c r="I19" s="98" t="n"/>
      <c r="J19" s="26" t="n">
        <v>1</v>
      </c>
      <c r="K19" s="70" t="inlineStr">
        <is>
          <t>8 Stk</t>
        </is>
      </c>
      <c r="L19" s="27">
        <f>tblAuftraege[[#This Row],[Ausgaben]]*tblAuftraege[[#This Row],[Auftrags-
wahrscheinlichkeit]]</f>
        <v/>
      </c>
      <c r="M19" s="66">
        <f>tblAuftraege[[#This Row],[Einnahmen]]*tblAuftraege[[#This Row],[Auftrags-
wahrscheinlichkeit]]</f>
        <v/>
      </c>
    </row>
    <row r="20">
      <c r="A20" s="69" t="n"/>
      <c r="B20" s="22" t="inlineStr">
        <is>
          <t>EDM</t>
        </is>
      </c>
      <c r="C20" s="22" t="inlineStr">
        <is>
          <t>87004001 - Dataport</t>
        </is>
      </c>
      <c r="D20" s="22" t="inlineStr">
        <is>
          <t>Dienstleistung</t>
        </is>
      </c>
      <c r="E20" s="22" t="inlineStr">
        <is>
          <t>DeZem Serviceeineinsätze 2027 Q4</t>
        </is>
      </c>
      <c r="F20" s="28" t="n"/>
      <c r="G20" s="97" t="n"/>
      <c r="H20" s="24" t="n"/>
      <c r="I20" s="98" t="n"/>
      <c r="J20" s="26" t="n">
        <v>1</v>
      </c>
      <c r="K20" s="70" t="inlineStr">
        <is>
          <t>7 Stk</t>
        </is>
      </c>
      <c r="L20" s="27">
        <f>tblAuftraege[[#This Row],[Ausgaben]]*tblAuftraege[[#This Row],[Auftrags-
wahrscheinlichkeit]]</f>
        <v/>
      </c>
      <c r="M20" s="66">
        <f>tblAuftraege[[#This Row],[Einnahmen]]*tblAuftraege[[#This Row],[Auftrags-
wahrscheinlichkeit]]</f>
        <v/>
      </c>
    </row>
    <row r="21">
      <c r="A21" s="69" t="n"/>
      <c r="B21" s="22" t="inlineStr">
        <is>
          <t>EDM</t>
        </is>
      </c>
      <c r="C21" s="22" t="inlineStr">
        <is>
          <t>87004001 - Dataport</t>
        </is>
      </c>
      <c r="D21" s="22" t="inlineStr">
        <is>
          <t>Dienstleistung</t>
        </is>
      </c>
      <c r="E21" s="22" t="inlineStr">
        <is>
          <t>DeZem Übernahme Einmalkosten Interationsleistungen</t>
        </is>
      </c>
      <c r="F21" s="28" t="n"/>
      <c r="G21" s="97" t="n"/>
      <c r="H21" s="24" t="n"/>
      <c r="I21" s="98" t="n">
        <v>29750</v>
      </c>
      <c r="J21" s="26" t="n">
        <v>1</v>
      </c>
      <c r="K21" s="70" t="n"/>
      <c r="L21" s="27">
        <f>tblAuftraege[[#This Row],[Ausgaben]]*tblAuftraege[[#This Row],[Auftrags-
wahrscheinlichkeit]]</f>
        <v/>
      </c>
      <c r="M21" s="66">
        <f>tblAuftraege[[#This Row],[Einnahmen]]*tblAuftraege[[#This Row],[Auftrags-
wahrscheinlichkeit]]</f>
        <v/>
      </c>
    </row>
    <row r="22">
      <c r="A22" s="69" t="n"/>
      <c r="B22" s="22" t="inlineStr">
        <is>
          <t>EDM</t>
        </is>
      </c>
      <c r="C22" s="22" t="inlineStr">
        <is>
          <t>87004001 - Dataport</t>
        </is>
      </c>
      <c r="D22" s="22" t="inlineStr">
        <is>
          <t>Dienstleistung</t>
        </is>
      </c>
      <c r="E22" s="22" t="inlineStr">
        <is>
          <t>DeZem Übernahme Projektnachweiß</t>
        </is>
      </c>
      <c r="F22" s="28" t="n"/>
      <c r="G22" s="97" t="n"/>
      <c r="H22" s="24" t="n"/>
      <c r="I22" s="98" t="n">
        <v>9750</v>
      </c>
      <c r="J22" s="26" t="n">
        <v>1</v>
      </c>
      <c r="K22" s="70" t="n"/>
      <c r="L22" s="27">
        <f>tblAuftraege[[#This Row],[Ausgaben]]*tblAuftraege[[#This Row],[Auftrags-
wahrscheinlichkeit]]</f>
        <v/>
      </c>
      <c r="M22" s="66">
        <f>tblAuftraege[[#This Row],[Einnahmen]]*tblAuftraege[[#This Row],[Auftrags-
wahrscheinlichkeit]]</f>
        <v/>
      </c>
    </row>
    <row r="23">
      <c r="A23" s="69" t="n"/>
      <c r="B23" s="22" t="inlineStr">
        <is>
          <t>EDM</t>
        </is>
      </c>
      <c r="C23" s="22" t="inlineStr">
        <is>
          <t>87004001 - Dataport</t>
        </is>
      </c>
      <c r="D23" s="22" t="inlineStr">
        <is>
          <t>Lizenzen</t>
        </is>
      </c>
      <c r="E23" s="22" t="inlineStr">
        <is>
          <t>DeZem Übernahme Plattformnutzung 2027</t>
        </is>
      </c>
      <c r="F23" s="28" t="n">
        <v>46402</v>
      </c>
      <c r="G23" s="97" t="n">
        <v>5000</v>
      </c>
      <c r="H23" s="24" t="n">
        <v>46433</v>
      </c>
      <c r="I23" s="98" t="n">
        <v>6590.1</v>
      </c>
      <c r="J23" s="26" t="n">
        <v>1</v>
      </c>
      <c r="K23" s="70" t="n"/>
      <c r="L23" s="27">
        <f>tblAuftraege[[#This Row],[Ausgaben]]*tblAuftraege[[#This Row],[Auftrags-
wahrscheinlichkeit]]</f>
        <v/>
      </c>
      <c r="M23" s="66">
        <f>tblAuftraege[[#This Row],[Einnahmen]]*tblAuftraege[[#This Row],[Auftrags-
wahrscheinlichkeit]]</f>
        <v/>
      </c>
    </row>
    <row r="24">
      <c r="A24" s="69" t="n"/>
      <c r="B24" s="22" t="inlineStr">
        <is>
          <t>EDM</t>
        </is>
      </c>
      <c r="C24" s="22" t="inlineStr">
        <is>
          <t>87105002 - eWerk Sachsenwald</t>
        </is>
      </c>
      <c r="D24" s="22" t="inlineStr">
        <is>
          <t>Hardware + Dienstleistung</t>
        </is>
      </c>
      <c r="E24" s="22" t="inlineStr">
        <is>
          <t xml:space="preserve">EDM e-werk Sachsenwald gmbH_Barsbüttel </t>
        </is>
      </c>
      <c r="F24" s="28" t="n"/>
      <c r="G24" s="97" t="n"/>
      <c r="H24" s="24" t="n"/>
      <c r="I24" s="98" t="n">
        <v>13996.4</v>
      </c>
      <c r="J24" s="26" t="n">
        <v>1</v>
      </c>
      <c r="K24" s="70" t="inlineStr">
        <is>
          <t>Ausgaben fehlen</t>
        </is>
      </c>
      <c r="L24" s="27">
        <f>tblAuftraege[[#This Row],[Ausgaben]]*tblAuftraege[[#This Row],[Auftrags-
wahrscheinlichkeit]]</f>
        <v/>
      </c>
      <c r="M24" s="66">
        <f>tblAuftraege[[#This Row],[Einnahmen]]*tblAuftraege[[#This Row],[Auftrags-
wahrscheinlichkeit]]</f>
        <v/>
      </c>
    </row>
    <row r="25">
      <c r="A25" s="69" t="n"/>
      <c r="B25" s="22" t="inlineStr">
        <is>
          <t>EDM</t>
        </is>
      </c>
      <c r="C25" s="22" t="inlineStr">
        <is>
          <t>87105002 - eWerk Sachsenwald</t>
        </is>
      </c>
      <c r="D25" s="22" t="inlineStr">
        <is>
          <t>Hardware + Dienstleistung</t>
        </is>
      </c>
      <c r="E25" s="22" t="inlineStr">
        <is>
          <t xml:space="preserve">Kita Gerberstr 36a eWerk Sachsenwald </t>
        </is>
      </c>
      <c r="F25" s="28" t="n"/>
      <c r="G25" s="97" t="n"/>
      <c r="H25" s="24" t="n"/>
      <c r="I25" s="98" t="n">
        <v>17133.62</v>
      </c>
      <c r="J25" s="26" t="n">
        <v>1</v>
      </c>
      <c r="K25" s="70" t="inlineStr">
        <is>
          <t>Ausgaben fehlen</t>
        </is>
      </c>
      <c r="L25" s="27">
        <f>tblAuftraege[[#This Row],[Ausgaben]]*tblAuftraege[[#This Row],[Auftrags-
wahrscheinlichkeit]]</f>
        <v/>
      </c>
      <c r="M25" s="66">
        <f>tblAuftraege[[#This Row],[Einnahmen]]*tblAuftraege[[#This Row],[Auftrags-
wahrscheinlichkeit]]</f>
        <v/>
      </c>
    </row>
    <row r="26">
      <c r="A26" s="69" t="n"/>
      <c r="B26" s="22" t="inlineStr">
        <is>
          <t>EDM</t>
        </is>
      </c>
      <c r="C26" s="22" t="inlineStr">
        <is>
          <t>87105004 - HanseWerk Natur</t>
        </is>
      </c>
      <c r="D26" s="22" t="inlineStr">
        <is>
          <t>Dienstleistung</t>
        </is>
      </c>
      <c r="E26" s="22" t="inlineStr">
        <is>
          <t xml:space="preserve">Strategie Workshop </t>
        </is>
      </c>
      <c r="F26" s="28" t="n"/>
      <c r="G26" s="97" t="n"/>
      <c r="H26" s="24" t="n"/>
      <c r="I26" s="98" t="n">
        <v>620</v>
      </c>
      <c r="J26" s="26" t="n">
        <v>0.2</v>
      </c>
      <c r="K26" s="70" t="n"/>
      <c r="L26" s="27">
        <f>tblAuftraege[[#This Row],[Ausgaben]]*tblAuftraege[[#This Row],[Auftrags-
wahrscheinlichkeit]]</f>
        <v/>
      </c>
      <c r="M26" s="66">
        <f>tblAuftraege[[#This Row],[Einnahmen]]*tblAuftraege[[#This Row],[Auftrags-
wahrscheinlichkeit]]</f>
        <v/>
      </c>
    </row>
    <row r="27">
      <c r="A27" s="69" t="n"/>
      <c r="B27" s="22" t="inlineStr">
        <is>
          <t>Parking</t>
        </is>
      </c>
      <c r="C27" s="22" t="inlineStr">
        <is>
          <t>87004006 - Autostrom LKW</t>
        </is>
      </c>
      <c r="D27" s="22" t="inlineStr">
        <is>
          <t>Hardware + Dienstleistung</t>
        </is>
      </c>
      <c r="E27" s="22" t="inlineStr">
        <is>
          <t>Errichtungspauschale Standort 01</t>
        </is>
      </c>
      <c r="F27" s="28" t="n">
        <v>46440</v>
      </c>
      <c r="G27" s="97">
        <f>tblAuftraege[[#This Row],[Einnahmen]]/1.299</f>
        <v/>
      </c>
      <c r="H27" s="24" t="n">
        <v>46583</v>
      </c>
      <c r="I27" s="98" t="n">
        <v>83828.39999999999</v>
      </c>
      <c r="J27" s="26" t="n">
        <v>1</v>
      </c>
      <c r="K27" s="70" t="n"/>
      <c r="L27" s="27">
        <f>tblAuftraege[[#This Row],[Ausgaben]]*tblAuftraege[[#This Row],[Auftrags-
wahrscheinlichkeit]]</f>
        <v/>
      </c>
      <c r="M27" s="66">
        <f>tblAuftraege[[#This Row],[Einnahmen]]*tblAuftraege[[#This Row],[Auftrags-
wahrscheinlichkeit]]</f>
        <v/>
      </c>
    </row>
    <row r="28">
      <c r="A28" s="69" t="n"/>
      <c r="B28" s="22" t="inlineStr">
        <is>
          <t>Parking</t>
        </is>
      </c>
      <c r="C28" s="22" t="inlineStr">
        <is>
          <t>87004006 - Autostrom LKW</t>
        </is>
      </c>
      <c r="D28" s="22" t="inlineStr">
        <is>
          <t>Hardware + Dienstleistung</t>
        </is>
      </c>
      <c r="E28" s="22" t="inlineStr">
        <is>
          <t>Errichtungspauschale Standort 02</t>
        </is>
      </c>
      <c r="F28" s="91" t="n">
        <v>46517</v>
      </c>
      <c r="G28" s="97" t="n">
        <v>163443.6</v>
      </c>
      <c r="H28" s="24">
        <f>tblAuftraege[[#This Row],[Datum
Ausgaben]]+112</f>
        <v/>
      </c>
      <c r="I28" s="98" t="n">
        <v>222875.03</v>
      </c>
      <c r="J28" s="26" t="n">
        <v>1</v>
      </c>
      <c r="K28" s="70" t="n"/>
      <c r="L28" s="27">
        <f>tblAuftraege[[#This Row],[Ausgaben]]*tblAuftraege[[#This Row],[Auftrags-
wahrscheinlichkeit]]</f>
        <v/>
      </c>
      <c r="M28" s="66">
        <f>tblAuftraege[[#This Row],[Einnahmen]]*tblAuftraege[[#This Row],[Auftrags-
wahrscheinlichkeit]]</f>
        <v/>
      </c>
    </row>
    <row r="29">
      <c r="A29" s="69" t="n"/>
      <c r="B29" s="22" t="inlineStr">
        <is>
          <t>Parking</t>
        </is>
      </c>
      <c r="C29" s="22" t="inlineStr">
        <is>
          <t>87004006 - Autostrom LKW</t>
        </is>
      </c>
      <c r="D29" s="22" t="inlineStr">
        <is>
          <t>Hardware + Dienstleistung</t>
        </is>
      </c>
      <c r="E29" s="22" t="inlineStr">
        <is>
          <t>Errichtungspauschale Standort 03</t>
        </is>
      </c>
      <c r="F29" s="91" t="n">
        <v>46608</v>
      </c>
      <c r="G29" s="97" t="n">
        <v>149917.66</v>
      </c>
      <c r="H29" s="24">
        <f>tblAuftraege[[#This Row],[Datum
Ausgaben]]+112</f>
        <v/>
      </c>
      <c r="I29" s="98" t="n">
        <v>205494.2</v>
      </c>
      <c r="J29" s="26" t="n">
        <v>1</v>
      </c>
      <c r="K29" s="70" t="n"/>
      <c r="L29" s="27">
        <f>tblAuftraege[[#This Row],[Ausgaben]]*tblAuftraege[[#This Row],[Auftrags-
wahrscheinlichkeit]]</f>
        <v/>
      </c>
      <c r="M29" s="66">
        <f>tblAuftraege[[#This Row],[Einnahmen]]*tblAuftraege[[#This Row],[Auftrags-
wahrscheinlichkeit]]</f>
        <v/>
      </c>
    </row>
    <row r="30">
      <c r="A30" s="69" t="n"/>
      <c r="B30" s="22" t="inlineStr">
        <is>
          <t>Parking</t>
        </is>
      </c>
      <c r="C30" s="22" t="inlineStr">
        <is>
          <t>87004006 - Autostrom LKW</t>
        </is>
      </c>
      <c r="D30" s="22" t="inlineStr">
        <is>
          <t>Hardware + Dienstleistung</t>
        </is>
      </c>
      <c r="E30" s="22" t="inlineStr">
        <is>
          <t>Errichtungspauschale Standort 04</t>
        </is>
      </c>
      <c r="F30" s="91" t="n">
        <v>46622</v>
      </c>
      <c r="G30" s="97" t="n">
        <v>41710.17</v>
      </c>
      <c r="H30" s="24">
        <f>tblAuftraege[[#This Row],[Datum
Ausgaben]]+112</f>
        <v/>
      </c>
      <c r="I30" s="98" t="n">
        <v>66447.57000000001</v>
      </c>
      <c r="J30" s="26" t="n">
        <v>1</v>
      </c>
      <c r="K30" s="70" t="n"/>
      <c r="L30" s="27">
        <f>tblAuftraege[[#This Row],[Ausgaben]]*tblAuftraege[[#This Row],[Auftrags-
wahrscheinlichkeit]]</f>
        <v/>
      </c>
      <c r="M30" s="66">
        <f>tblAuftraege[[#This Row],[Einnahmen]]*tblAuftraege[[#This Row],[Auftrags-
wahrscheinlichkeit]]</f>
        <v/>
      </c>
    </row>
    <row r="31">
      <c r="A31" s="69" t="n"/>
      <c r="B31" s="22" t="inlineStr">
        <is>
          <t>Parking</t>
        </is>
      </c>
      <c r="C31" s="22" t="inlineStr">
        <is>
          <t>87004006 - Autostrom LKW</t>
        </is>
      </c>
      <c r="D31" s="22" t="inlineStr">
        <is>
          <t>Hardware + Dienstleistung</t>
        </is>
      </c>
      <c r="E31" s="22" t="inlineStr">
        <is>
          <t>Errichtungspauschale Standort 05</t>
        </is>
      </c>
      <c r="F31" s="91" t="n">
        <v>46650</v>
      </c>
      <c r="G31" s="97" t="n">
        <v>109339.85</v>
      </c>
      <c r="H31" s="24">
        <f>tblAuftraege[[#This Row],[Datum
Ausgaben]]+112</f>
        <v/>
      </c>
      <c r="I31" s="98" t="n">
        <v>153351.72</v>
      </c>
      <c r="J31" s="26" t="n">
        <v>1</v>
      </c>
      <c r="K31" s="70" t="n"/>
      <c r="L31" s="27">
        <f>tblAuftraege[[#This Row],[Ausgaben]]*tblAuftraege[[#This Row],[Auftrags-
wahrscheinlichkeit]]</f>
        <v/>
      </c>
      <c r="M31" s="66">
        <f>tblAuftraege[[#This Row],[Einnahmen]]*tblAuftraege[[#This Row],[Auftrags-
wahrscheinlichkeit]]</f>
        <v/>
      </c>
    </row>
    <row r="32">
      <c r="A32" s="69" t="n"/>
      <c r="B32" s="22" t="inlineStr">
        <is>
          <t>Parking</t>
        </is>
      </c>
      <c r="C32" s="22" t="inlineStr">
        <is>
          <t>87004006 - Autostrom LKW</t>
        </is>
      </c>
      <c r="D32" s="22" t="inlineStr">
        <is>
          <t>Hardware + Dienstleistung</t>
        </is>
      </c>
      <c r="E32" s="22" t="inlineStr">
        <is>
          <t>Errichtungspauschale Standort 06</t>
        </is>
      </c>
      <c r="F32" s="91" t="n">
        <v>46664</v>
      </c>
      <c r="G32" s="97" t="n">
        <v>68762.03999999999</v>
      </c>
      <c r="H32" s="24">
        <f>tblAuftraege[[#This Row],[Datum
Ausgaben]]+112</f>
        <v/>
      </c>
      <c r="I32" s="98" t="n">
        <v>101209.23</v>
      </c>
      <c r="J32" s="26" t="n">
        <v>1</v>
      </c>
      <c r="K32" s="70" t="n"/>
      <c r="L32" s="27">
        <f>tblAuftraege[[#This Row],[Ausgaben]]*tblAuftraege[[#This Row],[Auftrags-
wahrscheinlichkeit]]</f>
        <v/>
      </c>
      <c r="M32" s="66">
        <f>tblAuftraege[[#This Row],[Einnahmen]]*tblAuftraege[[#This Row],[Auftrags-
wahrscheinlichkeit]]</f>
        <v/>
      </c>
    </row>
    <row r="33">
      <c r="A33" s="69" t="n"/>
      <c r="B33" s="22" t="inlineStr">
        <is>
          <t>Parking</t>
        </is>
      </c>
      <c r="C33" s="22" t="inlineStr">
        <is>
          <t>87004006 - Autostrom LKW</t>
        </is>
      </c>
      <c r="D33" s="22" t="inlineStr">
        <is>
          <t>Hardware + Dienstleistung</t>
        </is>
      </c>
      <c r="E33" s="22" t="inlineStr">
        <is>
          <t>Errichtungspauschale Standort 07</t>
        </is>
      </c>
      <c r="F33" s="91" t="n">
        <v>46797</v>
      </c>
      <c r="G33" s="97" t="n">
        <v>68762.03999999999</v>
      </c>
      <c r="H33" s="24">
        <f>tblAuftraege[[#This Row],[Datum
Ausgaben]]+112</f>
        <v/>
      </c>
      <c r="I33" s="98" t="n">
        <v>101209.23</v>
      </c>
      <c r="J33" s="26" t="n">
        <v>1</v>
      </c>
      <c r="K33" s="70" t="n"/>
      <c r="L33" s="27">
        <f>tblAuftraege[[#This Row],[Ausgaben]]*tblAuftraege[[#This Row],[Auftrags-
wahrscheinlichkeit]]</f>
        <v/>
      </c>
      <c r="M33" s="66">
        <f>tblAuftraege[[#This Row],[Einnahmen]]*tblAuftraege[[#This Row],[Auftrags-
wahrscheinlichkeit]]</f>
        <v/>
      </c>
    </row>
    <row r="34">
      <c r="A34" s="69" t="n"/>
      <c r="B34" s="22" t="inlineStr">
        <is>
          <t>Parking</t>
        </is>
      </c>
      <c r="C34" s="22" t="inlineStr">
        <is>
          <t>87004006 - Autostrom LKW</t>
        </is>
      </c>
      <c r="D34" s="22" t="inlineStr">
        <is>
          <t>Hardware + Dienstleistung</t>
        </is>
      </c>
      <c r="E34" s="22" t="inlineStr">
        <is>
          <t>Errichtungspauschale Standort 08</t>
        </is>
      </c>
      <c r="F34" s="91" t="n">
        <v>46811</v>
      </c>
      <c r="G34" s="97">
        <f>tblAuftraege[[#This Row],[Einnahmen]]/1.299</f>
        <v/>
      </c>
      <c r="H34" s="24">
        <f>tblAuftraege[[#This Row],[Datum
Ausgaben]]+112</f>
        <v/>
      </c>
      <c r="I34" s="98" t="n">
        <v>66447.57000000001</v>
      </c>
      <c r="J34" s="26" t="n">
        <v>1</v>
      </c>
      <c r="K34" s="70" t="n"/>
      <c r="L34" s="27">
        <f>tblAuftraege[[#This Row],[Ausgaben]]*tblAuftraege[[#This Row],[Auftrags-
wahrscheinlichkeit]]</f>
        <v/>
      </c>
      <c r="M34" s="66">
        <f>tblAuftraege[[#This Row],[Einnahmen]]*tblAuftraege[[#This Row],[Auftrags-
wahrscheinlichkeit]]</f>
        <v/>
      </c>
    </row>
    <row r="35">
      <c r="A35" s="69" t="n"/>
      <c r="B35" s="22" t="inlineStr">
        <is>
          <t>Parking</t>
        </is>
      </c>
      <c r="C35" s="22" t="inlineStr">
        <is>
          <t>87004006 - Autostrom LKW</t>
        </is>
      </c>
      <c r="D35" s="22" t="inlineStr">
        <is>
          <t>Hardware + Dienstleistung</t>
        </is>
      </c>
      <c r="E35" s="22" t="inlineStr">
        <is>
          <t>Errichtungspauschale Standort 09</t>
        </is>
      </c>
      <c r="F35" s="91" t="n">
        <v>46818</v>
      </c>
      <c r="G35" s="97">
        <f>tblAuftraege[[#This Row],[Einnahmen]]/1.299</f>
        <v/>
      </c>
      <c r="H35" s="24">
        <f>tblAuftraege[[#This Row],[Datum
Ausgaben]]+112</f>
        <v/>
      </c>
      <c r="I35" s="98" t="n">
        <v>66447.57000000001</v>
      </c>
      <c r="J35" s="26" t="n">
        <v>1</v>
      </c>
      <c r="K35" s="70" t="n"/>
      <c r="L35" s="27">
        <f>tblAuftraege[[#This Row],[Ausgaben]]*tblAuftraege[[#This Row],[Auftrags-
wahrscheinlichkeit]]</f>
        <v/>
      </c>
      <c r="M35" s="66">
        <f>tblAuftraege[[#This Row],[Einnahmen]]*tblAuftraege[[#This Row],[Auftrags-
wahrscheinlichkeit]]</f>
        <v/>
      </c>
    </row>
    <row r="36">
      <c r="A36" s="69" t="n"/>
      <c r="B36" s="22" t="inlineStr">
        <is>
          <t>Parking</t>
        </is>
      </c>
      <c r="C36" s="22" t="inlineStr">
        <is>
          <t>87004006 - Autostrom LKW</t>
        </is>
      </c>
      <c r="D36" s="22" t="inlineStr">
        <is>
          <t>Hardware + Dienstleistung</t>
        </is>
      </c>
      <c r="E36" s="22" t="inlineStr">
        <is>
          <t>Errichtungspauschale Standort 10</t>
        </is>
      </c>
      <c r="F36" s="91" t="n">
        <v>46881</v>
      </c>
      <c r="G36" s="97">
        <f>tblAuftraege[[#This Row],[Einnahmen]]/1.299</f>
        <v/>
      </c>
      <c r="H36" s="24">
        <f>tblAuftraege[[#This Row],[Datum
Ausgaben]]+112</f>
        <v/>
      </c>
      <c r="I36" s="98" t="n">
        <v>188113.37</v>
      </c>
      <c r="J36" s="26" t="n">
        <v>1</v>
      </c>
      <c r="K36" s="70" t="n"/>
      <c r="L36" s="27">
        <f>tblAuftraege[[#This Row],[Ausgaben]]*tblAuftraege[[#This Row],[Auftrags-
wahrscheinlichkeit]]</f>
        <v/>
      </c>
      <c r="M36" s="66">
        <f>tblAuftraege[[#This Row],[Einnahmen]]*tblAuftraege[[#This Row],[Auftrags-
wahrscheinlichkeit]]</f>
        <v/>
      </c>
    </row>
    <row r="37">
      <c r="A37" s="69" t="n"/>
      <c r="B37" s="22" t="inlineStr">
        <is>
          <t>Parking</t>
        </is>
      </c>
      <c r="C37" s="22" t="inlineStr">
        <is>
          <t>87004006 - Autostrom LKW</t>
        </is>
      </c>
      <c r="D37" s="22" t="inlineStr">
        <is>
          <t>Hardware + Dienstleistung</t>
        </is>
      </c>
      <c r="E37" s="22" t="inlineStr">
        <is>
          <t>Errichtungspauschale Standort 11</t>
        </is>
      </c>
      <c r="F37" s="91" t="n">
        <v>46888</v>
      </c>
      <c r="G37" s="97">
        <f>tblAuftraege[[#This Row],[Einnahmen]]/1.299</f>
        <v/>
      </c>
      <c r="H37" s="24">
        <f>tblAuftraege[[#This Row],[Datum
Ausgaben]]+112</f>
        <v/>
      </c>
      <c r="I37" s="98" t="n">
        <v>66447.57000000001</v>
      </c>
      <c r="J37" s="26" t="n">
        <v>1</v>
      </c>
      <c r="K37" s="70" t="n"/>
      <c r="L37" s="27">
        <f>tblAuftraege[[#This Row],[Ausgaben]]*tblAuftraege[[#This Row],[Auftrags-
wahrscheinlichkeit]]</f>
        <v/>
      </c>
      <c r="M37" s="66">
        <f>tblAuftraege[[#This Row],[Einnahmen]]*tblAuftraege[[#This Row],[Auftrags-
wahrscheinlichkeit]]</f>
        <v/>
      </c>
    </row>
    <row r="38">
      <c r="A38" s="69" t="n"/>
      <c r="B38" s="22" t="inlineStr">
        <is>
          <t>Parking</t>
        </is>
      </c>
      <c r="C38" s="22" t="inlineStr">
        <is>
          <t>87004006 - Autostrom LKW</t>
        </is>
      </c>
      <c r="D38" s="22" t="inlineStr">
        <is>
          <t>Hardware + Dienstleistung</t>
        </is>
      </c>
      <c r="E38" s="22" t="inlineStr">
        <is>
          <t>Errichtungspauschale Standort 12</t>
        </is>
      </c>
      <c r="F38" s="91" t="n">
        <v>47126</v>
      </c>
      <c r="G38" s="97">
        <f>tblAuftraege[[#This Row],[Einnahmen]]/1.299</f>
        <v/>
      </c>
      <c r="H38" s="24">
        <f>tblAuftraege[[#This Row],[Datum
Ausgaben]]+112</f>
        <v/>
      </c>
      <c r="I38" s="98" t="n">
        <v>118590.06</v>
      </c>
      <c r="J38" s="26" t="n">
        <v>1</v>
      </c>
      <c r="K38" s="70" t="n"/>
      <c r="L38" s="27">
        <f>tblAuftraege[[#This Row],[Ausgaben]]*tblAuftraege[[#This Row],[Auftrags-
wahrscheinlichkeit]]</f>
        <v/>
      </c>
      <c r="M38" s="66">
        <f>tblAuftraege[[#This Row],[Einnahmen]]*tblAuftraege[[#This Row],[Auftrags-
wahrscheinlichkeit]]</f>
        <v/>
      </c>
    </row>
    <row r="39">
      <c r="A39" s="69" t="n"/>
      <c r="B39" s="22" t="inlineStr">
        <is>
          <t>Parking</t>
        </is>
      </c>
      <c r="C39" s="22" t="inlineStr">
        <is>
          <t>87004006 - Autostrom LKW</t>
        </is>
      </c>
      <c r="D39" s="22" t="inlineStr">
        <is>
          <t>Hardware + Dienstleistung</t>
        </is>
      </c>
      <c r="E39" s="22" t="inlineStr">
        <is>
          <t>Errichtungspauschale Standort 13</t>
        </is>
      </c>
      <c r="F39" s="91" t="n">
        <v>47196</v>
      </c>
      <c r="G39" s="97">
        <f>tblAuftraege[[#This Row],[Einnahmen]]/1.299</f>
        <v/>
      </c>
      <c r="H39" s="24">
        <f>tblAuftraege[[#This Row],[Datum
Ausgaben]]+112</f>
        <v/>
      </c>
      <c r="I39" s="98" t="n">
        <v>101209.23</v>
      </c>
      <c r="J39" s="26" t="n">
        <v>1</v>
      </c>
      <c r="K39" s="70" t="n"/>
      <c r="L39" s="27">
        <f>tblAuftraege[[#This Row],[Ausgaben]]*tblAuftraege[[#This Row],[Auftrags-
wahrscheinlichkeit]]</f>
        <v/>
      </c>
      <c r="M39" s="66">
        <f>tblAuftraege[[#This Row],[Einnahmen]]*tblAuftraege[[#This Row],[Auftrags-
wahrscheinlichkeit]]</f>
        <v/>
      </c>
    </row>
    <row r="40">
      <c r="A40" s="69" t="n"/>
      <c r="B40" s="22" t="inlineStr">
        <is>
          <t>Parking</t>
        </is>
      </c>
      <c r="C40" s="22" t="inlineStr">
        <is>
          <t>87004006 - Autostrom LKW</t>
        </is>
      </c>
      <c r="D40" s="22" t="inlineStr">
        <is>
          <t>Hardware + Dienstleistung</t>
        </is>
      </c>
      <c r="E40" s="22" t="inlineStr">
        <is>
          <t>Errichtungspauschale Standort 14</t>
        </is>
      </c>
      <c r="F40" s="91" t="n">
        <v>47315</v>
      </c>
      <c r="G40" s="97" t="n">
        <v>163443.6</v>
      </c>
      <c r="H40" s="24">
        <f>tblAuftraege[[#This Row],[Datum
Ausgaben]]+112</f>
        <v/>
      </c>
      <c r="I40" s="98" t="n">
        <v>222875.03</v>
      </c>
      <c r="J40" s="26" t="n">
        <v>1</v>
      </c>
      <c r="K40" s="70" t="n"/>
      <c r="L40" s="27">
        <f>tblAuftraege[[#This Row],[Ausgaben]]*tblAuftraege[[#This Row],[Auftrags-
wahrscheinlichkeit]]</f>
        <v/>
      </c>
      <c r="M40" s="66">
        <f>tblAuftraege[[#This Row],[Einnahmen]]*tblAuftraege[[#This Row],[Auftrags-
wahrscheinlichkeit]]</f>
        <v/>
      </c>
    </row>
    <row r="41">
      <c r="A41" s="69" t="n"/>
      <c r="B41" s="22" t="inlineStr">
        <is>
          <t>Parking</t>
        </is>
      </c>
      <c r="C41" s="22" t="inlineStr">
        <is>
          <t>87004006 - Autostrom LKW</t>
        </is>
      </c>
      <c r="D41" s="22" t="inlineStr">
        <is>
          <t>Hardware + Dienstleistung</t>
        </is>
      </c>
      <c r="E41" s="22" t="inlineStr">
        <is>
          <t>Errichtungspauschale Standort 15</t>
        </is>
      </c>
      <c r="F41" s="91" t="n">
        <v>47196</v>
      </c>
      <c r="G41" s="97">
        <f>tblAuftraege[[#This Row],[Einnahmen]]/1.299</f>
        <v/>
      </c>
      <c r="H41" s="24">
        <f>tblAuftraege[[#This Row],[Datum
Ausgaben]]+112</f>
        <v/>
      </c>
      <c r="I41" s="98" t="n">
        <v>66447.57000000001</v>
      </c>
      <c r="J41" s="26" t="n">
        <v>1</v>
      </c>
      <c r="K41" s="70" t="n"/>
      <c r="L41" s="27">
        <f>tblAuftraege[[#This Row],[Ausgaben]]*tblAuftraege[[#This Row],[Auftrags-
wahrscheinlichkeit]]</f>
        <v/>
      </c>
      <c r="M41" s="66">
        <f>tblAuftraege[[#This Row],[Einnahmen]]*tblAuftraege[[#This Row],[Auftrags-
wahrscheinlichkeit]]</f>
        <v/>
      </c>
    </row>
    <row r="42">
      <c r="A42" s="69" t="n"/>
      <c r="B42" s="22" t="inlineStr">
        <is>
          <t>Parking</t>
        </is>
      </c>
      <c r="C42" s="22" t="inlineStr">
        <is>
          <t>87004006 - Autostrom LKW</t>
        </is>
      </c>
      <c r="D42" s="22" t="inlineStr">
        <is>
          <t>Hardware + Dienstleistung</t>
        </is>
      </c>
      <c r="E42" s="22" t="inlineStr">
        <is>
          <t>Errichtungspauschale Standort 16</t>
        </is>
      </c>
      <c r="F42" s="91" t="n">
        <v>47357</v>
      </c>
      <c r="G42" s="97">
        <f>tblAuftraege[[#This Row],[Einnahmen]]/1.299</f>
        <v/>
      </c>
      <c r="H42" s="24">
        <f>tblAuftraege[[#This Row],[Datum
Ausgaben]]+112</f>
        <v/>
      </c>
      <c r="I42" s="98" t="n">
        <v>83828.39999999999</v>
      </c>
      <c r="J42" s="26" t="n">
        <v>1</v>
      </c>
      <c r="K42" s="70" t="n"/>
      <c r="L42" s="27">
        <f>tblAuftraege[[#This Row],[Ausgaben]]*tblAuftraege[[#This Row],[Auftrags-
wahrscheinlichkeit]]</f>
        <v/>
      </c>
      <c r="M42" s="66">
        <f>tblAuftraege[[#This Row],[Einnahmen]]*tblAuftraege[[#This Row],[Auftrags-
wahrscheinlichkeit]]</f>
        <v/>
      </c>
    </row>
    <row r="43">
      <c r="A43" s="69" t="n"/>
      <c r="B43" s="22" t="inlineStr">
        <is>
          <t>Parking</t>
        </is>
      </c>
      <c r="C43" s="22" t="inlineStr">
        <is>
          <t>87004006 - Autostrom LKW</t>
        </is>
      </c>
      <c r="D43" s="22" t="inlineStr">
        <is>
          <t>Hardware + Dienstleistung</t>
        </is>
      </c>
      <c r="E43" s="22" t="inlineStr">
        <is>
          <t>Errichtungspauschale Standort 17</t>
        </is>
      </c>
      <c r="F43" s="91" t="n">
        <v>47546</v>
      </c>
      <c r="G43" s="97">
        <f>tblAuftraege[[#This Row],[Einnahmen]]/1.299</f>
        <v/>
      </c>
      <c r="H43" s="24">
        <f>tblAuftraege[[#This Row],[Datum
Ausgaben]]+112</f>
        <v/>
      </c>
      <c r="I43" s="98" t="n">
        <v>83828.39999999999</v>
      </c>
      <c r="J43" s="26" t="n">
        <v>1</v>
      </c>
      <c r="K43" s="70" t="n"/>
      <c r="L43" s="27">
        <f>tblAuftraege[[#This Row],[Ausgaben]]*tblAuftraege[[#This Row],[Auftrags-
wahrscheinlichkeit]]</f>
        <v/>
      </c>
      <c r="M43" s="66">
        <f>tblAuftraege[[#This Row],[Einnahmen]]*tblAuftraege[[#This Row],[Auftrags-
wahrscheinlichkeit]]</f>
        <v/>
      </c>
    </row>
    <row r="44">
      <c r="A44" s="69" t="n"/>
      <c r="B44" s="22" t="inlineStr">
        <is>
          <t>Parking</t>
        </is>
      </c>
      <c r="C44" s="22" t="inlineStr">
        <is>
          <t>87004006 - Autostrom LKW</t>
        </is>
      </c>
      <c r="D44" s="22" t="inlineStr">
        <is>
          <t>Hardware + Dienstleistung</t>
        </is>
      </c>
      <c r="E44" s="22" t="inlineStr">
        <is>
          <t>Errichtungspauschale Standort 18</t>
        </is>
      </c>
      <c r="F44" s="91" t="n">
        <v>47546</v>
      </c>
      <c r="G44" s="97">
        <f>tblAuftraege[[#This Row],[Einnahmen]]/1.299</f>
        <v/>
      </c>
      <c r="H44" s="24">
        <f>tblAuftraege[[#This Row],[Datum
Ausgaben]]+112</f>
        <v/>
      </c>
      <c r="I44" s="98" t="n">
        <v>222875.03</v>
      </c>
      <c r="J44" s="26" t="n">
        <v>1</v>
      </c>
      <c r="K44" s="70" t="n"/>
      <c r="L44" s="27">
        <f>tblAuftraege[[#This Row],[Ausgaben]]*tblAuftraege[[#This Row],[Auftrags-
wahrscheinlichkeit]]</f>
        <v/>
      </c>
      <c r="M44" s="66">
        <f>tblAuftraege[[#This Row],[Einnahmen]]*tblAuftraege[[#This Row],[Auftrags-
wahrscheinlichkeit]]</f>
        <v/>
      </c>
    </row>
    <row r="45">
      <c r="A45" s="69" t="n"/>
      <c r="B45" s="22" t="inlineStr">
        <is>
          <t>Parking</t>
        </is>
      </c>
      <c r="C45" s="22" t="inlineStr">
        <is>
          <t>87004006 - Autostrom LKW</t>
        </is>
      </c>
      <c r="D45" s="22" t="inlineStr">
        <is>
          <t>Hardware + Dienstleistung</t>
        </is>
      </c>
      <c r="E45" s="22" t="inlineStr">
        <is>
          <t>Errichtungspauschale Standort 19</t>
        </is>
      </c>
      <c r="F45" s="91" t="n">
        <v>47567</v>
      </c>
      <c r="G45" s="97">
        <f>tblAuftraege[[#This Row],[Einnahmen]]/1.299</f>
        <v/>
      </c>
      <c r="H45" s="24">
        <f>tblAuftraege[[#This Row],[Datum
Ausgaben]]+112</f>
        <v/>
      </c>
      <c r="I45" s="98" t="n">
        <v>101209.23</v>
      </c>
      <c r="J45" s="26" t="n">
        <v>1</v>
      </c>
      <c r="K45" s="70" t="n"/>
      <c r="L45" s="27">
        <f>tblAuftraege[[#This Row],[Ausgaben]]*tblAuftraege[[#This Row],[Auftrags-
wahrscheinlichkeit]]</f>
        <v/>
      </c>
      <c r="M45" s="66">
        <f>tblAuftraege[[#This Row],[Einnahmen]]*tblAuftraege[[#This Row],[Auftrags-
wahrscheinlichkeit]]</f>
        <v/>
      </c>
    </row>
    <row r="46">
      <c r="A46" s="69" t="n"/>
      <c r="B46" s="22" t="inlineStr">
        <is>
          <t>Parking</t>
        </is>
      </c>
      <c r="C46" s="22" t="inlineStr">
        <is>
          <t>87004006 - Autostrom LKW</t>
        </is>
      </c>
      <c r="D46" s="22" t="inlineStr">
        <is>
          <t>Hardware + Dienstleistung</t>
        </is>
      </c>
      <c r="E46" s="22" t="inlineStr">
        <is>
          <t>Errichtungspauschale Standort 20</t>
        </is>
      </c>
      <c r="F46" s="91" t="n">
        <v>47588</v>
      </c>
      <c r="G46" s="97">
        <f>tblAuftraege[[#This Row],[Einnahmen]]/1.299</f>
        <v/>
      </c>
      <c r="H46" s="24">
        <f>tblAuftraege[[#This Row],[Datum
Ausgaben]]+112</f>
        <v/>
      </c>
      <c r="I46" s="98" t="n">
        <v>101209.23</v>
      </c>
      <c r="J46" s="26" t="n">
        <v>1</v>
      </c>
      <c r="K46" s="70" t="n"/>
      <c r="L46" s="27">
        <f>tblAuftraege[[#This Row],[Ausgaben]]*tblAuftraege[[#This Row],[Auftrags-
wahrscheinlichkeit]]</f>
        <v/>
      </c>
      <c r="M46" s="66">
        <f>tblAuftraege[[#This Row],[Einnahmen]]*tblAuftraege[[#This Row],[Auftrags-
wahrscheinlichkeit]]</f>
        <v/>
      </c>
    </row>
    <row r="47">
      <c r="A47" s="69" t="n"/>
      <c r="B47" s="22" t="inlineStr">
        <is>
          <t>Parking</t>
        </is>
      </c>
      <c r="C47" s="22" t="inlineStr">
        <is>
          <t>87004006 - Autostrom LKW</t>
        </is>
      </c>
      <c r="D47" s="22" t="inlineStr">
        <is>
          <t>Hardware + Dienstleistung</t>
        </is>
      </c>
      <c r="E47" s="22" t="inlineStr">
        <is>
          <t>Errichtungspauschale Standort 21</t>
        </is>
      </c>
      <c r="F47" s="91" t="n">
        <v>47588</v>
      </c>
      <c r="G47" s="97">
        <f>tblAuftraege[[#This Row],[Einnahmen]]/1.299</f>
        <v/>
      </c>
      <c r="H47" s="24">
        <f>tblAuftraege[[#This Row],[Datum
Ausgaben]]+112</f>
        <v/>
      </c>
      <c r="I47" s="98" t="n">
        <v>118590.06</v>
      </c>
      <c r="J47" s="26" t="n">
        <v>1</v>
      </c>
      <c r="K47" s="70" t="n"/>
      <c r="L47" s="27">
        <f>tblAuftraege[[#This Row],[Ausgaben]]*tblAuftraege[[#This Row],[Auftrags-
wahrscheinlichkeit]]</f>
        <v/>
      </c>
      <c r="M47" s="66">
        <f>tblAuftraege[[#This Row],[Einnahmen]]*tblAuftraege[[#This Row],[Auftrags-
wahrscheinlichkeit]]</f>
        <v/>
      </c>
    </row>
    <row r="48">
      <c r="A48" s="69" t="n"/>
      <c r="B48" s="22" t="inlineStr">
        <is>
          <t>Parking</t>
        </is>
      </c>
      <c r="C48" s="22" t="inlineStr">
        <is>
          <t>87004006 - Autostrom LKW</t>
        </is>
      </c>
      <c r="D48" s="22" t="inlineStr">
        <is>
          <t>Hardware + Dienstleistung</t>
        </is>
      </c>
      <c r="E48" s="22" t="inlineStr">
        <is>
          <t>Errichtungspauschale Standort 22</t>
        </is>
      </c>
      <c r="F48" s="91" t="n">
        <v>47588</v>
      </c>
      <c r="G48" s="97">
        <f>tblAuftraege[[#This Row],[Einnahmen]]/1.299</f>
        <v/>
      </c>
      <c r="H48" s="24">
        <f>tblAuftraege[[#This Row],[Datum
Ausgaben]]+112</f>
        <v/>
      </c>
      <c r="I48" s="98" t="n">
        <v>135970.89</v>
      </c>
      <c r="J48" s="26" t="n">
        <v>1</v>
      </c>
      <c r="K48" s="70" t="n"/>
      <c r="L48" s="27">
        <f>tblAuftraege[[#This Row],[Ausgaben]]*tblAuftraege[[#This Row],[Auftrags-
wahrscheinlichkeit]]</f>
        <v/>
      </c>
      <c r="M48" s="66">
        <f>tblAuftraege[[#This Row],[Einnahmen]]*tblAuftraege[[#This Row],[Auftrags-
wahrscheinlichkeit]]</f>
        <v/>
      </c>
    </row>
    <row r="49">
      <c r="A49" s="69" t="n"/>
      <c r="B49" s="22" t="inlineStr">
        <is>
          <t>Parking</t>
        </is>
      </c>
      <c r="C49" s="22" t="inlineStr">
        <is>
          <t>87004006 - Autostrom LKW</t>
        </is>
      </c>
      <c r="D49" s="22" t="inlineStr">
        <is>
          <t>Hardware + Dienstleistung</t>
        </is>
      </c>
      <c r="E49" s="22" t="inlineStr">
        <is>
          <t>Errichtungspauschale Standort 23</t>
        </is>
      </c>
      <c r="F49" s="91" t="n">
        <v>47721</v>
      </c>
      <c r="G49" s="97">
        <f>tblAuftraege[[#This Row],[Einnahmen]]/1.299</f>
        <v/>
      </c>
      <c r="H49" s="24">
        <f>tblAuftraege[[#This Row],[Datum
Ausgaben]]+112</f>
        <v/>
      </c>
      <c r="I49" s="98" t="n">
        <v>170732.54</v>
      </c>
      <c r="J49" s="26" t="n">
        <v>1</v>
      </c>
      <c r="K49" s="70" t="n"/>
      <c r="L49" s="27">
        <f>tblAuftraege[[#This Row],[Ausgaben]]*tblAuftraege[[#This Row],[Auftrags-
wahrscheinlichkeit]]</f>
        <v/>
      </c>
      <c r="M49" s="66">
        <f>tblAuftraege[[#This Row],[Einnahmen]]*tblAuftraege[[#This Row],[Auftrags-
wahrscheinlichkeit]]</f>
        <v/>
      </c>
    </row>
    <row r="50">
      <c r="A50" s="69" t="n"/>
      <c r="B50" s="22" t="inlineStr">
        <is>
          <t>Parking</t>
        </is>
      </c>
      <c r="C50" s="22" t="inlineStr">
        <is>
          <t>87004006 - Autostrom LKW</t>
        </is>
      </c>
      <c r="D50" s="22" t="inlineStr">
        <is>
          <t>Hardware + Dienstleistung</t>
        </is>
      </c>
      <c r="E50" s="22" t="inlineStr">
        <is>
          <t>Errichtungspauschale Standort 24</t>
        </is>
      </c>
      <c r="F50" s="91" t="n">
        <v>47721</v>
      </c>
      <c r="G50" s="97">
        <f>tblAuftraege[[#This Row],[Einnahmen]]/1.299</f>
        <v/>
      </c>
      <c r="H50" s="24">
        <f>tblAuftraege[[#This Row],[Datum
Ausgaben]]+112</f>
        <v/>
      </c>
      <c r="I50" s="98" t="n">
        <v>66447.57000000001</v>
      </c>
      <c r="J50" s="26" t="n">
        <v>1</v>
      </c>
      <c r="K50" s="70" t="n"/>
      <c r="L50" s="27">
        <f>tblAuftraege[[#This Row],[Ausgaben]]*tblAuftraege[[#This Row],[Auftrags-
wahrscheinlichkeit]]</f>
        <v/>
      </c>
      <c r="M50" s="66">
        <f>tblAuftraege[[#This Row],[Einnahmen]]*tblAuftraege[[#This Row],[Auftrags-
wahrscheinlichkeit]]</f>
        <v/>
      </c>
    </row>
    <row r="51">
      <c r="A51" s="69" t="n"/>
      <c r="B51" s="22" t="inlineStr">
        <is>
          <t>Parking</t>
        </is>
      </c>
      <c r="C51" s="22" t="inlineStr">
        <is>
          <t>87004006 - Autostrom LKW</t>
        </is>
      </c>
      <c r="D51" s="22" t="inlineStr">
        <is>
          <t>Dienstleistung</t>
        </is>
      </c>
      <c r="E51" s="22" t="inlineStr">
        <is>
          <t>Planungspauschale Standort 01</t>
        </is>
      </c>
      <c r="F51" s="28" t="n">
        <v>46402</v>
      </c>
      <c r="G51" s="97">
        <f>1115.5+46560</f>
        <v/>
      </c>
      <c r="H51" s="24" t="n">
        <v>46440</v>
      </c>
      <c r="I51" s="98" t="n">
        <v>11267.28</v>
      </c>
      <c r="J51" s="26" t="n">
        <v>1</v>
      </c>
      <c r="K51" s="70" t="n"/>
      <c r="L51" s="27">
        <f>tblAuftraege[[#This Row],[Ausgaben]]*tblAuftraege[[#This Row],[Auftrags-
wahrscheinlichkeit]]</f>
        <v/>
      </c>
      <c r="M51" s="66">
        <f>tblAuftraege[[#This Row],[Einnahmen]]*tblAuftraege[[#This Row],[Auftrags-
wahrscheinlichkeit]]</f>
        <v/>
      </c>
    </row>
    <row r="52">
      <c r="A52" s="69" t="n"/>
      <c r="B52" s="22" t="inlineStr">
        <is>
          <t>Parking</t>
        </is>
      </c>
      <c r="C52" s="22" t="inlineStr">
        <is>
          <t>87004006 - Autostrom LKW</t>
        </is>
      </c>
      <c r="D52" s="22" t="inlineStr">
        <is>
          <t>Dienstleistung</t>
        </is>
      </c>
      <c r="E52" s="22" t="inlineStr">
        <is>
          <t>Planungspauschale Standort 02</t>
        </is>
      </c>
      <c r="F52" s="28">
        <f>tblAuftraege[[#This Row],[Datum
Einnahmen]]-84</f>
        <v/>
      </c>
      <c r="G52" s="97" t="n">
        <v>1115.5</v>
      </c>
      <c r="H52" s="24" t="n">
        <v>46517</v>
      </c>
      <c r="I52" s="98" t="n">
        <v>11267.28</v>
      </c>
      <c r="J52" s="26" t="n">
        <v>1</v>
      </c>
      <c r="K52" s="70" t="n"/>
      <c r="L52" s="27">
        <f>tblAuftraege[[#This Row],[Ausgaben]]*tblAuftraege[[#This Row],[Auftrags-
wahrscheinlichkeit]]</f>
        <v/>
      </c>
      <c r="M52" s="66">
        <f>tblAuftraege[[#This Row],[Einnahmen]]*tblAuftraege[[#This Row],[Auftrags-
wahrscheinlichkeit]]</f>
        <v/>
      </c>
    </row>
    <row r="53">
      <c r="A53" s="69" t="n"/>
      <c r="B53" s="22" t="inlineStr">
        <is>
          <t>Parking</t>
        </is>
      </c>
      <c r="C53" s="22" t="inlineStr">
        <is>
          <t>87004006 - Autostrom LKW</t>
        </is>
      </c>
      <c r="D53" s="22" t="inlineStr">
        <is>
          <t>Dienstleistung</t>
        </is>
      </c>
      <c r="E53" s="22" t="inlineStr">
        <is>
          <t>Planungspauschale Standort 03</t>
        </is>
      </c>
      <c r="F53" s="28">
        <f>tblAuftraege[[#This Row],[Datum
Einnahmen]]-84</f>
        <v/>
      </c>
      <c r="G53" s="97" t="n">
        <v>1115.5</v>
      </c>
      <c r="H53" s="24" t="n">
        <v>46608</v>
      </c>
      <c r="I53" s="98" t="n">
        <v>11267.28</v>
      </c>
      <c r="J53" s="26" t="n">
        <v>1</v>
      </c>
      <c r="K53" s="70" t="n"/>
      <c r="L53" s="27">
        <f>tblAuftraege[[#This Row],[Ausgaben]]*tblAuftraege[[#This Row],[Auftrags-
wahrscheinlichkeit]]</f>
        <v/>
      </c>
      <c r="M53" s="66">
        <f>tblAuftraege[[#This Row],[Einnahmen]]*tblAuftraege[[#This Row],[Auftrags-
wahrscheinlichkeit]]</f>
        <v/>
      </c>
    </row>
    <row r="54">
      <c r="A54" s="69" t="n"/>
      <c r="B54" s="22" t="inlineStr">
        <is>
          <t>Parking</t>
        </is>
      </c>
      <c r="C54" s="22" t="inlineStr">
        <is>
          <t>87004006 - Autostrom LKW</t>
        </is>
      </c>
      <c r="D54" s="22" t="inlineStr">
        <is>
          <t>Dienstleistung</t>
        </is>
      </c>
      <c r="E54" s="22" t="inlineStr">
        <is>
          <t>Planungspauschale Standort 04</t>
        </is>
      </c>
      <c r="F54" s="28">
        <f>tblAuftraege[[#This Row],[Datum
Einnahmen]]-84</f>
        <v/>
      </c>
      <c r="G54" s="97" t="n">
        <v>1115.5</v>
      </c>
      <c r="H54" s="24" t="n">
        <v>46622</v>
      </c>
      <c r="I54" s="98" t="n">
        <v>11267.28</v>
      </c>
      <c r="J54" s="26" t="n">
        <v>1</v>
      </c>
      <c r="K54" s="70" t="n"/>
      <c r="L54" s="27">
        <f>tblAuftraege[[#This Row],[Ausgaben]]*tblAuftraege[[#This Row],[Auftrags-
wahrscheinlichkeit]]</f>
        <v/>
      </c>
      <c r="M54" s="66">
        <f>tblAuftraege[[#This Row],[Einnahmen]]*tblAuftraege[[#This Row],[Auftrags-
wahrscheinlichkeit]]</f>
        <v/>
      </c>
    </row>
    <row r="55">
      <c r="A55" s="69" t="n"/>
      <c r="B55" s="22" t="inlineStr">
        <is>
          <t>Parking</t>
        </is>
      </c>
      <c r="C55" s="22" t="inlineStr">
        <is>
          <t>87004006 - Autostrom LKW</t>
        </is>
      </c>
      <c r="D55" s="22" t="inlineStr">
        <is>
          <t>Dienstleistung</t>
        </is>
      </c>
      <c r="E55" s="22" t="inlineStr">
        <is>
          <t>Planungspauschale Standort 05</t>
        </is>
      </c>
      <c r="F55" s="28">
        <f>tblAuftraege[[#This Row],[Datum
Einnahmen]]-84</f>
        <v/>
      </c>
      <c r="G55" s="97" t="n">
        <v>1115.5</v>
      </c>
      <c r="H55" s="24" t="n">
        <v>46650</v>
      </c>
      <c r="I55" s="98" t="n">
        <v>11267.28</v>
      </c>
      <c r="J55" s="26" t="n">
        <v>1</v>
      </c>
      <c r="K55" s="70" t="n"/>
      <c r="L55" s="27">
        <f>tblAuftraege[[#This Row],[Ausgaben]]*tblAuftraege[[#This Row],[Auftrags-
wahrscheinlichkeit]]</f>
        <v/>
      </c>
      <c r="M55" s="66">
        <f>tblAuftraege[[#This Row],[Einnahmen]]*tblAuftraege[[#This Row],[Auftrags-
wahrscheinlichkeit]]</f>
        <v/>
      </c>
    </row>
    <row r="56">
      <c r="A56" s="69" t="n"/>
      <c r="B56" s="22" t="inlineStr">
        <is>
          <t>Parking</t>
        </is>
      </c>
      <c r="C56" s="22" t="inlineStr">
        <is>
          <t>87004006 - Autostrom LKW</t>
        </is>
      </c>
      <c r="D56" s="22" t="inlineStr">
        <is>
          <t>Dienstleistung</t>
        </is>
      </c>
      <c r="E56" s="22" t="inlineStr">
        <is>
          <t>Planungspauschale Standort 06</t>
        </is>
      </c>
      <c r="F56" s="28">
        <f>tblAuftraege[[#This Row],[Datum
Einnahmen]]-84</f>
        <v/>
      </c>
      <c r="G56" s="97" t="n">
        <v>1115.5</v>
      </c>
      <c r="H56" s="24" t="n">
        <v>46664</v>
      </c>
      <c r="I56" s="98" t="n">
        <v>11267.28</v>
      </c>
      <c r="J56" s="26" t="n">
        <v>1</v>
      </c>
      <c r="K56" s="70" t="n"/>
      <c r="L56" s="27">
        <f>tblAuftraege[[#This Row],[Ausgaben]]*tblAuftraege[[#This Row],[Auftrags-
wahrscheinlichkeit]]</f>
        <v/>
      </c>
      <c r="M56" s="66">
        <f>tblAuftraege[[#This Row],[Einnahmen]]*tblAuftraege[[#This Row],[Auftrags-
wahrscheinlichkeit]]</f>
        <v/>
      </c>
    </row>
    <row r="57">
      <c r="A57" s="69" t="n"/>
      <c r="B57" s="22" t="inlineStr">
        <is>
          <t>Parking</t>
        </is>
      </c>
      <c r="C57" s="22" t="inlineStr">
        <is>
          <t>87004006 - Autostrom LKW</t>
        </is>
      </c>
      <c r="D57" s="22" t="inlineStr">
        <is>
          <t>Dienstleistung</t>
        </is>
      </c>
      <c r="E57" s="22" t="inlineStr">
        <is>
          <t>Planungspauschale Standort 07</t>
        </is>
      </c>
      <c r="F57" s="28">
        <f>tblAuftraege[[#This Row],[Datum
Einnahmen]]-84</f>
        <v/>
      </c>
      <c r="G57" s="97" t="n">
        <v>1115.5</v>
      </c>
      <c r="H57" s="24" t="n">
        <v>46797</v>
      </c>
      <c r="I57" s="98" t="n">
        <v>11267.28</v>
      </c>
      <c r="J57" s="26" t="n">
        <v>1</v>
      </c>
      <c r="K57" s="70" t="n"/>
      <c r="L57" s="27">
        <f>tblAuftraege[[#This Row],[Ausgaben]]*tblAuftraege[[#This Row],[Auftrags-
wahrscheinlichkeit]]</f>
        <v/>
      </c>
      <c r="M57" s="66">
        <f>tblAuftraege[[#This Row],[Einnahmen]]*tblAuftraege[[#This Row],[Auftrags-
wahrscheinlichkeit]]</f>
        <v/>
      </c>
    </row>
    <row r="58">
      <c r="A58" s="69" t="n"/>
      <c r="B58" s="22" t="inlineStr">
        <is>
          <t>Parking</t>
        </is>
      </c>
      <c r="C58" s="22" t="inlineStr">
        <is>
          <t>87004006 - Autostrom LKW</t>
        </is>
      </c>
      <c r="D58" s="22" t="inlineStr">
        <is>
          <t>Dienstleistung</t>
        </is>
      </c>
      <c r="E58" s="22" t="inlineStr">
        <is>
          <t>Planungspauschale Standort 08</t>
        </is>
      </c>
      <c r="F58" s="28">
        <f>tblAuftraege[[#This Row],[Datum
Einnahmen]]-84</f>
        <v/>
      </c>
      <c r="G58" s="97" t="n">
        <v>1115.5</v>
      </c>
      <c r="H58" s="24" t="n">
        <v>46811</v>
      </c>
      <c r="I58" s="98" t="n">
        <v>11267.28</v>
      </c>
      <c r="J58" s="26" t="n">
        <v>1</v>
      </c>
      <c r="K58" s="70" t="n"/>
      <c r="L58" s="27">
        <f>tblAuftraege[[#This Row],[Ausgaben]]*tblAuftraege[[#This Row],[Auftrags-
wahrscheinlichkeit]]</f>
        <v/>
      </c>
      <c r="M58" s="66">
        <f>tblAuftraege[[#This Row],[Einnahmen]]*tblAuftraege[[#This Row],[Auftrags-
wahrscheinlichkeit]]</f>
        <v/>
      </c>
    </row>
    <row r="59">
      <c r="A59" s="69" t="n"/>
      <c r="B59" s="22" t="inlineStr">
        <is>
          <t>Parking</t>
        </is>
      </c>
      <c r="C59" s="22" t="inlineStr">
        <is>
          <t>87004006 - Autostrom LKW</t>
        </is>
      </c>
      <c r="D59" s="22" t="inlineStr">
        <is>
          <t>Dienstleistung</t>
        </is>
      </c>
      <c r="E59" s="22" t="inlineStr">
        <is>
          <t>Planungspauschale Standort 09</t>
        </is>
      </c>
      <c r="F59" s="28">
        <f>tblAuftraege[[#This Row],[Datum
Einnahmen]]-84</f>
        <v/>
      </c>
      <c r="G59" s="97" t="n">
        <v>1115.5</v>
      </c>
      <c r="H59" s="24" t="n">
        <v>46818</v>
      </c>
      <c r="I59" s="98" t="n">
        <v>11267.28</v>
      </c>
      <c r="J59" s="26" t="n">
        <v>1</v>
      </c>
      <c r="K59" s="70" t="n"/>
      <c r="L59" s="27">
        <f>tblAuftraege[[#This Row],[Ausgaben]]*tblAuftraege[[#This Row],[Auftrags-
wahrscheinlichkeit]]</f>
        <v/>
      </c>
      <c r="M59" s="66">
        <f>tblAuftraege[[#This Row],[Einnahmen]]*tblAuftraege[[#This Row],[Auftrags-
wahrscheinlichkeit]]</f>
        <v/>
      </c>
    </row>
    <row r="60">
      <c r="A60" s="69" t="n"/>
      <c r="B60" s="22" t="inlineStr">
        <is>
          <t>Parking</t>
        </is>
      </c>
      <c r="C60" s="22" t="inlineStr">
        <is>
          <t>87004006 - Autostrom LKW</t>
        </is>
      </c>
      <c r="D60" s="22" t="inlineStr">
        <is>
          <t>Dienstleistung</t>
        </is>
      </c>
      <c r="E60" s="22" t="inlineStr">
        <is>
          <t>Planungspauschale Standort 10</t>
        </is>
      </c>
      <c r="F60" s="28">
        <f>tblAuftraege[[#This Row],[Datum
Einnahmen]]-84</f>
        <v/>
      </c>
      <c r="G60" s="97" t="n">
        <v>1115.5</v>
      </c>
      <c r="H60" s="24" t="n">
        <v>46881</v>
      </c>
      <c r="I60" s="98" t="n">
        <v>11267.28</v>
      </c>
      <c r="J60" s="26" t="n">
        <v>1</v>
      </c>
      <c r="K60" s="70" t="n"/>
      <c r="L60" s="27">
        <f>tblAuftraege[[#This Row],[Ausgaben]]*tblAuftraege[[#This Row],[Auftrags-
wahrscheinlichkeit]]</f>
        <v/>
      </c>
      <c r="M60" s="66">
        <f>tblAuftraege[[#This Row],[Einnahmen]]*tblAuftraege[[#This Row],[Auftrags-
wahrscheinlichkeit]]</f>
        <v/>
      </c>
    </row>
    <row r="61">
      <c r="A61" s="69" t="n"/>
      <c r="B61" s="22" t="inlineStr">
        <is>
          <t>Parking</t>
        </is>
      </c>
      <c r="C61" s="22" t="inlineStr">
        <is>
          <t>87004006 - Autostrom LKW</t>
        </is>
      </c>
      <c r="D61" s="22" t="inlineStr">
        <is>
          <t>Dienstleistung</t>
        </is>
      </c>
      <c r="E61" s="22" t="inlineStr">
        <is>
          <t>Planungspauschale Standort 11</t>
        </is>
      </c>
      <c r="F61" s="28">
        <f>tblAuftraege[[#This Row],[Datum
Einnahmen]]-84</f>
        <v/>
      </c>
      <c r="G61" s="97" t="n">
        <v>1115.5</v>
      </c>
      <c r="H61" s="24" t="n">
        <v>46888</v>
      </c>
      <c r="I61" s="98" t="n">
        <v>11267.28</v>
      </c>
      <c r="J61" s="26" t="n">
        <v>1</v>
      </c>
      <c r="K61" s="70" t="n"/>
      <c r="L61" s="27">
        <f>tblAuftraege[[#This Row],[Ausgaben]]*tblAuftraege[[#This Row],[Auftrags-
wahrscheinlichkeit]]</f>
        <v/>
      </c>
      <c r="M61" s="66">
        <f>tblAuftraege[[#This Row],[Einnahmen]]*tblAuftraege[[#This Row],[Auftrags-
wahrscheinlichkeit]]</f>
        <v/>
      </c>
    </row>
    <row r="62">
      <c r="A62" s="69" t="n"/>
      <c r="B62" s="22" t="inlineStr">
        <is>
          <t>Parking</t>
        </is>
      </c>
      <c r="C62" s="22" t="inlineStr">
        <is>
          <t>87004006 - Autostrom LKW</t>
        </is>
      </c>
      <c r="D62" s="22" t="inlineStr">
        <is>
          <t>Dienstleistung</t>
        </is>
      </c>
      <c r="E62" s="22" t="inlineStr">
        <is>
          <t>Planungspauschale Standort 12</t>
        </is>
      </c>
      <c r="F62" s="28">
        <f>tblAuftraege[[#This Row],[Datum
Einnahmen]]-84</f>
        <v/>
      </c>
      <c r="G62" s="97" t="n">
        <v>1115.5</v>
      </c>
      <c r="H62" s="24" t="n">
        <v>47126</v>
      </c>
      <c r="I62" s="98" t="n">
        <v>11267.28</v>
      </c>
      <c r="J62" s="26" t="n">
        <v>1</v>
      </c>
      <c r="K62" s="70" t="n"/>
      <c r="L62" s="27">
        <f>tblAuftraege[[#This Row],[Ausgaben]]*tblAuftraege[[#This Row],[Auftrags-
wahrscheinlichkeit]]</f>
        <v/>
      </c>
      <c r="M62" s="66">
        <f>tblAuftraege[[#This Row],[Einnahmen]]*tblAuftraege[[#This Row],[Auftrags-
wahrscheinlichkeit]]</f>
        <v/>
      </c>
    </row>
    <row r="63">
      <c r="A63" s="69" t="n"/>
      <c r="B63" s="22" t="inlineStr">
        <is>
          <t>Parking</t>
        </is>
      </c>
      <c r="C63" s="22" t="inlineStr">
        <is>
          <t>87004006 - Autostrom LKW</t>
        </is>
      </c>
      <c r="D63" s="22" t="inlineStr">
        <is>
          <t>Dienstleistung</t>
        </is>
      </c>
      <c r="E63" s="22" t="inlineStr">
        <is>
          <t>Planungspauschale Standort 13</t>
        </is>
      </c>
      <c r="F63" s="28">
        <f>tblAuftraege[[#This Row],[Datum
Einnahmen]]-84</f>
        <v/>
      </c>
      <c r="G63" s="97" t="n">
        <v>1115.5</v>
      </c>
      <c r="H63" s="24" t="n">
        <v>47196</v>
      </c>
      <c r="I63" s="98" t="n">
        <v>11267.28</v>
      </c>
      <c r="J63" s="26" t="n">
        <v>1</v>
      </c>
      <c r="K63" s="70" t="n"/>
      <c r="L63" s="27">
        <f>tblAuftraege[[#This Row],[Ausgaben]]*tblAuftraege[[#This Row],[Auftrags-
wahrscheinlichkeit]]</f>
        <v/>
      </c>
      <c r="M63" s="66">
        <f>tblAuftraege[[#This Row],[Einnahmen]]*tblAuftraege[[#This Row],[Auftrags-
wahrscheinlichkeit]]</f>
        <v/>
      </c>
    </row>
    <row r="64">
      <c r="A64" s="69" t="n"/>
      <c r="B64" s="22" t="inlineStr">
        <is>
          <t>Parking</t>
        </is>
      </c>
      <c r="C64" s="22" t="inlineStr">
        <is>
          <t>87004006 - Autostrom LKW</t>
        </is>
      </c>
      <c r="D64" s="22" t="inlineStr">
        <is>
          <t>Dienstleistung</t>
        </is>
      </c>
      <c r="E64" s="22" t="inlineStr">
        <is>
          <t>Planungspauschale Standort 14</t>
        </is>
      </c>
      <c r="F64" s="28">
        <f>tblAuftraege[[#This Row],[Datum
Einnahmen]]-84</f>
        <v/>
      </c>
      <c r="G64" s="97" t="n">
        <v>1115.5</v>
      </c>
      <c r="H64" s="24" t="n">
        <v>47315</v>
      </c>
      <c r="I64" s="98" t="n">
        <v>11267.28</v>
      </c>
      <c r="J64" s="26" t="n">
        <v>1</v>
      </c>
      <c r="K64" s="70" t="n"/>
      <c r="L64" s="27">
        <f>tblAuftraege[[#This Row],[Ausgaben]]*tblAuftraege[[#This Row],[Auftrags-
wahrscheinlichkeit]]</f>
        <v/>
      </c>
      <c r="M64" s="66">
        <f>tblAuftraege[[#This Row],[Einnahmen]]*tblAuftraege[[#This Row],[Auftrags-
wahrscheinlichkeit]]</f>
        <v/>
      </c>
    </row>
    <row r="65">
      <c r="A65" s="69" t="n"/>
      <c r="B65" s="22" t="inlineStr">
        <is>
          <t>Parking</t>
        </is>
      </c>
      <c r="C65" s="22" t="inlineStr">
        <is>
          <t>87004006 - Autostrom LKW</t>
        </is>
      </c>
      <c r="D65" s="22" t="inlineStr">
        <is>
          <t>Dienstleistung</t>
        </is>
      </c>
      <c r="E65" s="22" t="inlineStr">
        <is>
          <t>Planungspauschale Standort 15</t>
        </is>
      </c>
      <c r="F65" s="28">
        <f>tblAuftraege[[#This Row],[Datum
Einnahmen]]-84</f>
        <v/>
      </c>
      <c r="G65" s="97" t="n">
        <v>1115.5</v>
      </c>
      <c r="H65" s="24" t="n">
        <v>47196</v>
      </c>
      <c r="I65" s="98" t="n">
        <v>11267.28</v>
      </c>
      <c r="J65" s="26" t="n">
        <v>1</v>
      </c>
      <c r="K65" s="70" t="n"/>
      <c r="L65" s="27">
        <f>tblAuftraege[[#This Row],[Ausgaben]]*tblAuftraege[[#This Row],[Auftrags-
wahrscheinlichkeit]]</f>
        <v/>
      </c>
      <c r="M65" s="66">
        <f>tblAuftraege[[#This Row],[Einnahmen]]*tblAuftraege[[#This Row],[Auftrags-
wahrscheinlichkeit]]</f>
        <v/>
      </c>
    </row>
    <row r="66">
      <c r="A66" s="69" t="n"/>
      <c r="B66" s="22" t="inlineStr">
        <is>
          <t>Parking</t>
        </is>
      </c>
      <c r="C66" s="22" t="inlineStr">
        <is>
          <t>87004006 - Autostrom LKW</t>
        </is>
      </c>
      <c r="D66" s="22" t="inlineStr">
        <is>
          <t>Dienstleistung</t>
        </is>
      </c>
      <c r="E66" s="22" t="inlineStr">
        <is>
          <t>Planungspauschale Standort 16</t>
        </is>
      </c>
      <c r="F66" s="28">
        <f>tblAuftraege[[#This Row],[Datum
Einnahmen]]-84</f>
        <v/>
      </c>
      <c r="G66" s="97" t="n">
        <v>1115.5</v>
      </c>
      <c r="H66" s="24" t="n">
        <v>47357</v>
      </c>
      <c r="I66" s="98" t="n">
        <v>11267.28</v>
      </c>
      <c r="J66" s="26" t="n">
        <v>1</v>
      </c>
      <c r="K66" s="70" t="n"/>
      <c r="L66" s="27">
        <f>tblAuftraege[[#This Row],[Ausgaben]]*tblAuftraege[[#This Row],[Auftrags-
wahrscheinlichkeit]]</f>
        <v/>
      </c>
      <c r="M66" s="66">
        <f>tblAuftraege[[#This Row],[Einnahmen]]*tblAuftraege[[#This Row],[Auftrags-
wahrscheinlichkeit]]</f>
        <v/>
      </c>
    </row>
    <row r="67">
      <c r="A67" s="69" t="n"/>
      <c r="B67" s="22" t="inlineStr">
        <is>
          <t>Parking</t>
        </is>
      </c>
      <c r="C67" s="22" t="inlineStr">
        <is>
          <t>87004006 - Autostrom LKW</t>
        </is>
      </c>
      <c r="D67" s="22" t="inlineStr">
        <is>
          <t>Dienstleistung</t>
        </is>
      </c>
      <c r="E67" s="22" t="inlineStr">
        <is>
          <t>Planungspauschale Standort 17</t>
        </is>
      </c>
      <c r="F67" s="28">
        <f>tblAuftraege[[#This Row],[Datum
Einnahmen]]-84</f>
        <v/>
      </c>
      <c r="G67" s="97" t="n">
        <v>1115.5</v>
      </c>
      <c r="H67" s="24" t="n">
        <v>47546</v>
      </c>
      <c r="I67" s="98" t="n">
        <v>11267.28</v>
      </c>
      <c r="J67" s="26" t="n">
        <v>1</v>
      </c>
      <c r="K67" s="70" t="n"/>
      <c r="L67" s="27">
        <f>tblAuftraege[[#This Row],[Ausgaben]]*tblAuftraege[[#This Row],[Auftrags-
wahrscheinlichkeit]]</f>
        <v/>
      </c>
      <c r="M67" s="66">
        <f>tblAuftraege[[#This Row],[Einnahmen]]*tblAuftraege[[#This Row],[Auftrags-
wahrscheinlichkeit]]</f>
        <v/>
      </c>
    </row>
    <row r="68">
      <c r="A68" s="69" t="n"/>
      <c r="B68" s="22" t="inlineStr">
        <is>
          <t>Parking</t>
        </is>
      </c>
      <c r="C68" s="22" t="inlineStr">
        <is>
          <t>87004006 - Autostrom LKW</t>
        </is>
      </c>
      <c r="D68" s="22" t="inlineStr">
        <is>
          <t>Dienstleistung</t>
        </is>
      </c>
      <c r="E68" s="22" t="inlineStr">
        <is>
          <t>Planungspauschale Standort 18</t>
        </is>
      </c>
      <c r="F68" s="28">
        <f>tblAuftraege[[#This Row],[Datum
Einnahmen]]-84</f>
        <v/>
      </c>
      <c r="G68" s="97" t="n">
        <v>1115.5</v>
      </c>
      <c r="H68" s="24" t="n">
        <v>47546</v>
      </c>
      <c r="I68" s="98" t="n">
        <v>11267.28</v>
      </c>
      <c r="J68" s="26" t="n">
        <v>1</v>
      </c>
      <c r="K68" s="70" t="n"/>
      <c r="L68" s="27">
        <f>tblAuftraege[[#This Row],[Ausgaben]]*tblAuftraege[[#This Row],[Auftrags-
wahrscheinlichkeit]]</f>
        <v/>
      </c>
      <c r="M68" s="66">
        <f>tblAuftraege[[#This Row],[Einnahmen]]*tblAuftraege[[#This Row],[Auftrags-
wahrscheinlichkeit]]</f>
        <v/>
      </c>
    </row>
    <row r="69">
      <c r="A69" s="69" t="n"/>
      <c r="B69" s="22" t="inlineStr">
        <is>
          <t>Parking</t>
        </is>
      </c>
      <c r="C69" s="22" t="inlineStr">
        <is>
          <t>87004006 - Autostrom LKW</t>
        </is>
      </c>
      <c r="D69" s="22" t="inlineStr">
        <is>
          <t>Dienstleistung</t>
        </is>
      </c>
      <c r="E69" s="22" t="inlineStr">
        <is>
          <t>Planungspauschale Standort 19</t>
        </is>
      </c>
      <c r="F69" s="28">
        <f>tblAuftraege[[#This Row],[Datum
Einnahmen]]-84</f>
        <v/>
      </c>
      <c r="G69" s="97" t="n">
        <v>1115.5</v>
      </c>
      <c r="H69" s="24" t="n">
        <v>47567</v>
      </c>
      <c r="I69" s="98" t="n">
        <v>11267.28</v>
      </c>
      <c r="J69" s="26" t="n">
        <v>1</v>
      </c>
      <c r="K69" s="70" t="n"/>
      <c r="L69" s="27">
        <f>tblAuftraege[[#This Row],[Ausgaben]]*tblAuftraege[[#This Row],[Auftrags-
wahrscheinlichkeit]]</f>
        <v/>
      </c>
      <c r="M69" s="66">
        <f>tblAuftraege[[#This Row],[Einnahmen]]*tblAuftraege[[#This Row],[Auftrags-
wahrscheinlichkeit]]</f>
        <v/>
      </c>
    </row>
    <row r="70">
      <c r="A70" s="69" t="n"/>
      <c r="B70" s="22" t="inlineStr">
        <is>
          <t>Parking</t>
        </is>
      </c>
      <c r="C70" s="22" t="inlineStr">
        <is>
          <t>87004006 - Autostrom LKW</t>
        </is>
      </c>
      <c r="D70" s="22" t="inlineStr">
        <is>
          <t>Dienstleistung</t>
        </is>
      </c>
      <c r="E70" s="22" t="inlineStr">
        <is>
          <t>Planungspauschale Standort 20</t>
        </is>
      </c>
      <c r="F70" s="28">
        <f>tblAuftraege[[#This Row],[Datum
Einnahmen]]-84</f>
        <v/>
      </c>
      <c r="G70" s="97" t="n">
        <v>1115.5</v>
      </c>
      <c r="H70" s="24" t="n">
        <v>47588</v>
      </c>
      <c r="I70" s="98" t="n">
        <v>11267.28</v>
      </c>
      <c r="J70" s="26" t="n">
        <v>1</v>
      </c>
      <c r="K70" s="70" t="n"/>
      <c r="L70" s="27">
        <f>tblAuftraege[[#This Row],[Ausgaben]]*tblAuftraege[[#This Row],[Auftrags-
wahrscheinlichkeit]]</f>
        <v/>
      </c>
      <c r="M70" s="66">
        <f>tblAuftraege[[#This Row],[Einnahmen]]*tblAuftraege[[#This Row],[Auftrags-
wahrscheinlichkeit]]</f>
        <v/>
      </c>
    </row>
    <row r="71">
      <c r="A71" s="69" t="n"/>
      <c r="B71" s="22" t="inlineStr">
        <is>
          <t>Parking</t>
        </is>
      </c>
      <c r="C71" s="22" t="inlineStr">
        <is>
          <t>87004006 - Autostrom LKW</t>
        </is>
      </c>
      <c r="D71" s="22" t="inlineStr">
        <is>
          <t>Dienstleistung</t>
        </is>
      </c>
      <c r="E71" s="22" t="inlineStr">
        <is>
          <t>Planungspauschale Standort 21</t>
        </is>
      </c>
      <c r="F71" s="28">
        <f>tblAuftraege[[#This Row],[Datum
Einnahmen]]-84</f>
        <v/>
      </c>
      <c r="G71" s="97" t="n">
        <v>1115.5</v>
      </c>
      <c r="H71" s="24" t="n">
        <v>47588</v>
      </c>
      <c r="I71" s="98" t="n">
        <v>11267.28</v>
      </c>
      <c r="J71" s="26" t="n">
        <v>1</v>
      </c>
      <c r="K71" s="70" t="n"/>
      <c r="L71" s="27">
        <f>tblAuftraege[[#This Row],[Ausgaben]]*tblAuftraege[[#This Row],[Auftrags-
wahrscheinlichkeit]]</f>
        <v/>
      </c>
      <c r="M71" s="66">
        <f>tblAuftraege[[#This Row],[Einnahmen]]*tblAuftraege[[#This Row],[Auftrags-
wahrscheinlichkeit]]</f>
        <v/>
      </c>
    </row>
    <row r="72">
      <c r="A72" s="69" t="n"/>
      <c r="B72" s="22" t="inlineStr">
        <is>
          <t>Parking</t>
        </is>
      </c>
      <c r="C72" s="22" t="inlineStr">
        <is>
          <t>87004006 - Autostrom LKW</t>
        </is>
      </c>
      <c r="D72" s="22" t="inlineStr">
        <is>
          <t>Dienstleistung</t>
        </is>
      </c>
      <c r="E72" s="22" t="inlineStr">
        <is>
          <t>Planungspauschale Standort 22</t>
        </is>
      </c>
      <c r="F72" s="28">
        <f>tblAuftraege[[#This Row],[Datum
Einnahmen]]-84</f>
        <v/>
      </c>
      <c r="G72" s="97" t="n">
        <v>1115.5</v>
      </c>
      <c r="H72" s="24" t="n">
        <v>47588</v>
      </c>
      <c r="I72" s="98" t="n">
        <v>11267.28</v>
      </c>
      <c r="J72" s="26" t="n">
        <v>1</v>
      </c>
      <c r="K72" s="70" t="n"/>
      <c r="L72" s="27">
        <f>tblAuftraege[[#This Row],[Ausgaben]]*tblAuftraege[[#This Row],[Auftrags-
wahrscheinlichkeit]]</f>
        <v/>
      </c>
      <c r="M72" s="66">
        <f>tblAuftraege[[#This Row],[Einnahmen]]*tblAuftraege[[#This Row],[Auftrags-
wahrscheinlichkeit]]</f>
        <v/>
      </c>
    </row>
    <row r="73">
      <c r="A73" s="69" t="n"/>
      <c r="B73" s="22" t="inlineStr">
        <is>
          <t>Parking</t>
        </is>
      </c>
      <c r="C73" s="22" t="inlineStr">
        <is>
          <t>87004006 - Autostrom LKW</t>
        </is>
      </c>
      <c r="D73" s="22" t="inlineStr">
        <is>
          <t>Dienstleistung</t>
        </is>
      </c>
      <c r="E73" s="22" t="inlineStr">
        <is>
          <t>Planungspauschale Standort 23</t>
        </is>
      </c>
      <c r="F73" s="28">
        <f>tblAuftraege[[#This Row],[Datum
Einnahmen]]-84</f>
        <v/>
      </c>
      <c r="G73" s="97" t="n">
        <v>1115.5</v>
      </c>
      <c r="H73" s="24" t="n">
        <v>47721</v>
      </c>
      <c r="I73" s="98" t="n">
        <v>11267.28</v>
      </c>
      <c r="J73" s="26" t="n">
        <v>1</v>
      </c>
      <c r="K73" s="70" t="n"/>
      <c r="L73" s="27">
        <f>tblAuftraege[[#This Row],[Ausgaben]]*tblAuftraege[[#This Row],[Auftrags-
wahrscheinlichkeit]]</f>
        <v/>
      </c>
      <c r="M73" s="66">
        <f>tblAuftraege[[#This Row],[Einnahmen]]*tblAuftraege[[#This Row],[Auftrags-
wahrscheinlichkeit]]</f>
        <v/>
      </c>
    </row>
    <row r="74">
      <c r="A74" s="69" t="n"/>
      <c r="B74" s="22" t="inlineStr">
        <is>
          <t>Parking</t>
        </is>
      </c>
      <c r="C74" s="22" t="inlineStr">
        <is>
          <t>87004006 - Autostrom LKW</t>
        </is>
      </c>
      <c r="D74" s="22" t="inlineStr">
        <is>
          <t>Dienstleistung</t>
        </is>
      </c>
      <c r="E74" s="22" t="inlineStr">
        <is>
          <t>Planungspauschale Standort 24</t>
        </is>
      </c>
      <c r="F74" s="28">
        <f>tblAuftraege[[#This Row],[Datum
Einnahmen]]-84</f>
        <v/>
      </c>
      <c r="G74" s="97" t="n">
        <v>1115.5</v>
      </c>
      <c r="H74" s="24" t="n">
        <v>47721</v>
      </c>
      <c r="I74" s="98" t="n">
        <v>11267.28</v>
      </c>
      <c r="J74" s="26" t="n">
        <v>1</v>
      </c>
      <c r="K74" s="70" t="n"/>
      <c r="L74" s="27">
        <f>tblAuftraege[[#This Row],[Ausgaben]]*tblAuftraege[[#This Row],[Auftrags-
wahrscheinlichkeit]]</f>
        <v/>
      </c>
      <c r="M74" s="66">
        <f>tblAuftraege[[#This Row],[Einnahmen]]*tblAuftraege[[#This Row],[Auftrags-
wahrscheinlichkeit]]</f>
        <v/>
      </c>
    </row>
    <row r="75">
      <c r="A75" s="69" t="n"/>
      <c r="B75" s="22" t="inlineStr">
        <is>
          <t>Parking</t>
        </is>
      </c>
      <c r="C75" s="22" t="inlineStr">
        <is>
          <t>87004006 - Autostrom LKW</t>
        </is>
      </c>
      <c r="D75" s="22" t="inlineStr">
        <is>
          <t>Lizenzen</t>
        </is>
      </c>
      <c r="E75" s="22" t="inlineStr">
        <is>
          <t>Betreibersentgeld Standort 01 - Q2 2027</t>
        </is>
      </c>
      <c r="F75" s="28" t="n">
        <v>46522</v>
      </c>
      <c r="G75" s="97" t="n">
        <v>3750</v>
      </c>
      <c r="H75" s="24" t="n">
        <v>46583</v>
      </c>
      <c r="I75" s="98">
        <f>1748.52*3</f>
        <v/>
      </c>
      <c r="J75" s="26" t="n">
        <v>1</v>
      </c>
      <c r="K75" s="70" t="n"/>
      <c r="L75" s="27">
        <f>tblAuftraege[[#This Row],[Ausgaben]]*tblAuftraege[[#This Row],[Auftrags-
wahrscheinlichkeit]]</f>
        <v/>
      </c>
      <c r="M75" s="66">
        <f>tblAuftraege[[#This Row],[Einnahmen]]*tblAuftraege[[#This Row],[Auftrags-
wahrscheinlichkeit]]</f>
        <v/>
      </c>
    </row>
    <row r="76">
      <c r="A76" s="69" t="n"/>
      <c r="B76" s="22" t="inlineStr">
        <is>
          <t>Parking</t>
        </is>
      </c>
      <c r="C76" s="22" t="inlineStr">
        <is>
          <t>87004006 - Autostrom LKW</t>
        </is>
      </c>
      <c r="D76" s="22" t="inlineStr">
        <is>
          <t>Lizenzen</t>
        </is>
      </c>
      <c r="E76" s="22" t="inlineStr">
        <is>
          <t>Betreibersentgeld Standort 02</t>
        </is>
      </c>
      <c r="F76" s="28" t="n"/>
      <c r="G76" s="97" t="n"/>
      <c r="H76" s="24" t="n"/>
      <c r="I76" s="98" t="n"/>
      <c r="J76" s="26" t="n">
        <v>1</v>
      </c>
      <c r="K76" s="70" t="n"/>
      <c r="L76" s="27">
        <f>tblAuftraege[[#This Row],[Ausgaben]]*tblAuftraege[[#This Row],[Auftrags-
wahrscheinlichkeit]]</f>
        <v/>
      </c>
      <c r="M76" s="66">
        <f>tblAuftraege[[#This Row],[Einnahmen]]*tblAuftraege[[#This Row],[Auftrags-
wahrscheinlichkeit]]</f>
        <v/>
      </c>
    </row>
    <row r="77">
      <c r="A77" s="69" t="n"/>
      <c r="B77" s="22" t="inlineStr">
        <is>
          <t>Parking</t>
        </is>
      </c>
      <c r="C77" s="22" t="inlineStr">
        <is>
          <t>87004006 - Autostrom LKW</t>
        </is>
      </c>
      <c r="D77" s="22" t="inlineStr">
        <is>
          <t>Lizenzen</t>
        </is>
      </c>
      <c r="E77" s="22" t="inlineStr">
        <is>
          <t>Betreibersentgeld Standort 03</t>
        </is>
      </c>
      <c r="F77" s="28" t="n"/>
      <c r="G77" s="97" t="n"/>
      <c r="H77" s="24" t="n"/>
      <c r="I77" s="98" t="n"/>
      <c r="J77" s="26" t="n">
        <v>1</v>
      </c>
      <c r="K77" s="70" t="n"/>
      <c r="L77" s="27">
        <f>tblAuftraege[[#This Row],[Ausgaben]]*tblAuftraege[[#This Row],[Auftrags-
wahrscheinlichkeit]]</f>
        <v/>
      </c>
      <c r="M77" s="66">
        <f>tblAuftraege[[#This Row],[Einnahmen]]*tblAuftraege[[#This Row],[Auftrags-
wahrscheinlichkeit]]</f>
        <v/>
      </c>
    </row>
    <row r="78">
      <c r="A78" s="69" t="n"/>
      <c r="B78" s="22" t="inlineStr">
        <is>
          <t>Parking</t>
        </is>
      </c>
      <c r="C78" s="22" t="inlineStr">
        <is>
          <t>87004006 - Autostrom LKW</t>
        </is>
      </c>
      <c r="D78" s="22" t="inlineStr">
        <is>
          <t>Lizenzen</t>
        </is>
      </c>
      <c r="E78" s="22" t="inlineStr">
        <is>
          <t>Betreibersentgeld Standort 04</t>
        </is>
      </c>
      <c r="F78" s="28" t="n"/>
      <c r="G78" s="97" t="n"/>
      <c r="H78" s="24" t="n"/>
      <c r="I78" s="98" t="n"/>
      <c r="J78" s="26" t="n">
        <v>1</v>
      </c>
      <c r="K78" s="70" t="n"/>
      <c r="L78" s="27">
        <f>tblAuftraege[[#This Row],[Ausgaben]]*tblAuftraege[[#This Row],[Auftrags-
wahrscheinlichkeit]]</f>
        <v/>
      </c>
      <c r="M78" s="66">
        <f>tblAuftraege[[#This Row],[Einnahmen]]*tblAuftraege[[#This Row],[Auftrags-
wahrscheinlichkeit]]</f>
        <v/>
      </c>
    </row>
    <row r="79">
      <c r="A79" s="69" t="n"/>
      <c r="B79" s="22" t="inlineStr">
        <is>
          <t>Parking</t>
        </is>
      </c>
      <c r="C79" s="22" t="inlineStr">
        <is>
          <t>87004006 - Autostrom LKW</t>
        </is>
      </c>
      <c r="D79" s="22" t="inlineStr">
        <is>
          <t>Lizenzen</t>
        </is>
      </c>
      <c r="E79" s="22" t="inlineStr">
        <is>
          <t>Betreibersentgeld Standort 05</t>
        </is>
      </c>
      <c r="F79" s="28" t="n"/>
      <c r="G79" s="97" t="n"/>
      <c r="H79" s="24" t="n"/>
      <c r="I79" s="98" t="n"/>
      <c r="J79" s="26" t="n">
        <v>1</v>
      </c>
      <c r="K79" s="70" t="n"/>
      <c r="L79" s="27">
        <f>tblAuftraege[[#This Row],[Ausgaben]]*tblAuftraege[[#This Row],[Auftrags-
wahrscheinlichkeit]]</f>
        <v/>
      </c>
      <c r="M79" s="66">
        <f>tblAuftraege[[#This Row],[Einnahmen]]*tblAuftraege[[#This Row],[Auftrags-
wahrscheinlichkeit]]</f>
        <v/>
      </c>
    </row>
    <row r="80">
      <c r="A80" s="69" t="n"/>
      <c r="B80" s="22" t="inlineStr">
        <is>
          <t>Parking</t>
        </is>
      </c>
      <c r="C80" s="22" t="inlineStr">
        <is>
          <t>87004006 - Autostrom LKW</t>
        </is>
      </c>
      <c r="D80" s="22" t="inlineStr">
        <is>
          <t>Lizenzen</t>
        </is>
      </c>
      <c r="E80" s="22" t="inlineStr">
        <is>
          <t>Betreibersentgeld Standort 06</t>
        </is>
      </c>
      <c r="F80" s="28" t="n"/>
      <c r="G80" s="97" t="n"/>
      <c r="H80" s="24" t="n"/>
      <c r="I80" s="98" t="n"/>
      <c r="J80" s="26" t="n">
        <v>1</v>
      </c>
      <c r="K80" s="70" t="n"/>
      <c r="L80" s="27">
        <f>tblAuftraege[[#This Row],[Ausgaben]]*tblAuftraege[[#This Row],[Auftrags-
wahrscheinlichkeit]]</f>
        <v/>
      </c>
      <c r="M80" s="66">
        <f>tblAuftraege[[#This Row],[Einnahmen]]*tblAuftraege[[#This Row],[Auftrags-
wahrscheinlichkeit]]</f>
        <v/>
      </c>
    </row>
    <row r="81">
      <c r="A81" s="69" t="n"/>
      <c r="B81" s="22" t="inlineStr">
        <is>
          <t>Parking</t>
        </is>
      </c>
      <c r="C81" s="22" t="inlineStr">
        <is>
          <t>87004006 - Autostrom LKW</t>
        </is>
      </c>
      <c r="D81" s="22" t="inlineStr">
        <is>
          <t>Lizenzen</t>
        </is>
      </c>
      <c r="E81" s="22" t="inlineStr">
        <is>
          <t>Betreibersentgeld Standort 07</t>
        </is>
      </c>
      <c r="F81" s="28" t="n"/>
      <c r="G81" s="97" t="n"/>
      <c r="H81" s="24" t="n"/>
      <c r="I81" s="98" t="n"/>
      <c r="J81" s="26" t="n">
        <v>1</v>
      </c>
      <c r="K81" s="70" t="n"/>
      <c r="L81" s="27">
        <f>tblAuftraege[[#This Row],[Ausgaben]]*tblAuftraege[[#This Row],[Auftrags-
wahrscheinlichkeit]]</f>
        <v/>
      </c>
      <c r="M81" s="66">
        <f>tblAuftraege[[#This Row],[Einnahmen]]*tblAuftraege[[#This Row],[Auftrags-
wahrscheinlichkeit]]</f>
        <v/>
      </c>
    </row>
    <row r="82">
      <c r="A82" s="69" t="n"/>
      <c r="B82" s="22" t="inlineStr">
        <is>
          <t>Parking</t>
        </is>
      </c>
      <c r="C82" s="22" t="inlineStr">
        <is>
          <t>87004006 - Autostrom LKW</t>
        </is>
      </c>
      <c r="D82" s="22" t="inlineStr">
        <is>
          <t>Lizenzen</t>
        </is>
      </c>
      <c r="E82" s="22" t="inlineStr">
        <is>
          <t>Betreibersentgeld Standort 08</t>
        </is>
      </c>
      <c r="F82" s="28" t="n"/>
      <c r="G82" s="97" t="n"/>
      <c r="H82" s="24" t="n"/>
      <c r="I82" s="98" t="n"/>
      <c r="J82" s="26" t="n">
        <v>1</v>
      </c>
      <c r="K82" s="70" t="n"/>
      <c r="L82" s="27">
        <f>tblAuftraege[[#This Row],[Ausgaben]]*tblAuftraege[[#This Row],[Auftrags-
wahrscheinlichkeit]]</f>
        <v/>
      </c>
      <c r="M82" s="66">
        <f>tblAuftraege[[#This Row],[Einnahmen]]*tblAuftraege[[#This Row],[Auftrags-
wahrscheinlichkeit]]</f>
        <v/>
      </c>
    </row>
    <row r="83">
      <c r="A83" s="69" t="n"/>
      <c r="B83" s="22" t="inlineStr">
        <is>
          <t>Parking</t>
        </is>
      </c>
      <c r="C83" s="22" t="inlineStr">
        <is>
          <t>87004006 - Autostrom LKW</t>
        </is>
      </c>
      <c r="D83" s="22" t="inlineStr">
        <is>
          <t>Lizenzen</t>
        </is>
      </c>
      <c r="E83" s="22" t="inlineStr">
        <is>
          <t>Betreibersentgeld Standort 09</t>
        </is>
      </c>
      <c r="F83" s="28" t="n"/>
      <c r="G83" s="97" t="n"/>
      <c r="H83" s="24" t="n"/>
      <c r="I83" s="98" t="n"/>
      <c r="J83" s="26" t="n">
        <v>1</v>
      </c>
      <c r="K83" s="70" t="n"/>
      <c r="L83" s="27">
        <f>tblAuftraege[[#This Row],[Ausgaben]]*tblAuftraege[[#This Row],[Auftrags-
wahrscheinlichkeit]]</f>
        <v/>
      </c>
      <c r="M83" s="66">
        <f>tblAuftraege[[#This Row],[Einnahmen]]*tblAuftraege[[#This Row],[Auftrags-
wahrscheinlichkeit]]</f>
        <v/>
      </c>
    </row>
    <row r="84">
      <c r="A84" s="69" t="n"/>
      <c r="B84" s="22" t="inlineStr">
        <is>
          <t>Parking</t>
        </is>
      </c>
      <c r="C84" s="22" t="inlineStr">
        <is>
          <t>87004006 - Autostrom LKW</t>
        </is>
      </c>
      <c r="D84" s="22" t="inlineStr">
        <is>
          <t>Lizenzen</t>
        </is>
      </c>
      <c r="E84" s="22" t="inlineStr">
        <is>
          <t>Betreibersentgeld Standort 10</t>
        </is>
      </c>
      <c r="F84" s="28" t="n"/>
      <c r="G84" s="97" t="n"/>
      <c r="H84" s="24" t="n"/>
      <c r="I84" s="98" t="n"/>
      <c r="J84" s="26" t="n">
        <v>1</v>
      </c>
      <c r="K84" s="70" t="n"/>
      <c r="L84" s="27">
        <f>tblAuftraege[[#This Row],[Ausgaben]]*tblAuftraege[[#This Row],[Auftrags-
wahrscheinlichkeit]]</f>
        <v/>
      </c>
      <c r="M84" s="66">
        <f>tblAuftraege[[#This Row],[Einnahmen]]*tblAuftraege[[#This Row],[Auftrags-
wahrscheinlichkeit]]</f>
        <v/>
      </c>
    </row>
    <row r="85">
      <c r="A85" s="69" t="n"/>
      <c r="B85" s="22" t="inlineStr">
        <is>
          <t>Parking</t>
        </is>
      </c>
      <c r="C85" s="22" t="inlineStr">
        <is>
          <t>87004006 - Autostrom LKW</t>
        </is>
      </c>
      <c r="D85" s="22" t="inlineStr">
        <is>
          <t>Lizenzen</t>
        </is>
      </c>
      <c r="E85" s="22" t="inlineStr">
        <is>
          <t>Betreibersentgeld Standort 11</t>
        </is>
      </c>
      <c r="F85" s="28" t="n"/>
      <c r="G85" s="97" t="n"/>
      <c r="H85" s="24" t="n"/>
      <c r="I85" s="98" t="n"/>
      <c r="J85" s="26" t="n">
        <v>1</v>
      </c>
      <c r="K85" s="70" t="n"/>
      <c r="L85" s="27">
        <f>tblAuftraege[[#This Row],[Ausgaben]]*tblAuftraege[[#This Row],[Auftrags-
wahrscheinlichkeit]]</f>
        <v/>
      </c>
      <c r="M85" s="66">
        <f>tblAuftraege[[#This Row],[Einnahmen]]*tblAuftraege[[#This Row],[Auftrags-
wahrscheinlichkeit]]</f>
        <v/>
      </c>
    </row>
    <row r="86">
      <c r="A86" s="69" t="n"/>
      <c r="B86" s="22" t="inlineStr">
        <is>
          <t>Parking</t>
        </is>
      </c>
      <c r="C86" s="22" t="inlineStr">
        <is>
          <t>87004006 - Autostrom LKW</t>
        </is>
      </c>
      <c r="D86" s="22" t="inlineStr">
        <is>
          <t>Lizenzen</t>
        </is>
      </c>
      <c r="E86" s="22" t="inlineStr">
        <is>
          <t>Betreibersentgeld Standort 12</t>
        </is>
      </c>
      <c r="F86" s="28" t="n"/>
      <c r="G86" s="97" t="n"/>
      <c r="H86" s="24" t="n"/>
      <c r="I86" s="98" t="n"/>
      <c r="J86" s="26" t="n">
        <v>1</v>
      </c>
      <c r="K86" s="70" t="n"/>
      <c r="L86" s="27">
        <f>tblAuftraege[[#This Row],[Ausgaben]]*tblAuftraege[[#This Row],[Auftrags-
wahrscheinlichkeit]]</f>
        <v/>
      </c>
      <c r="M86" s="66">
        <f>tblAuftraege[[#This Row],[Einnahmen]]*tblAuftraege[[#This Row],[Auftrags-
wahrscheinlichkeit]]</f>
        <v/>
      </c>
    </row>
    <row r="87">
      <c r="A87" s="69" t="n"/>
      <c r="B87" s="22" t="inlineStr">
        <is>
          <t>Parking</t>
        </is>
      </c>
      <c r="C87" s="22" t="inlineStr">
        <is>
          <t>87004006 - Autostrom LKW</t>
        </is>
      </c>
      <c r="D87" s="22" t="inlineStr">
        <is>
          <t>Lizenzen</t>
        </is>
      </c>
      <c r="E87" s="22" t="inlineStr">
        <is>
          <t>Betreibersentgeld Standort 13</t>
        </is>
      </c>
      <c r="F87" s="28" t="n"/>
      <c r="G87" s="97" t="n"/>
      <c r="H87" s="24" t="n"/>
      <c r="I87" s="98" t="n"/>
      <c r="J87" s="26" t="n">
        <v>1</v>
      </c>
      <c r="K87" s="70" t="n"/>
      <c r="L87" s="27">
        <f>tblAuftraege[[#This Row],[Ausgaben]]*tblAuftraege[[#This Row],[Auftrags-
wahrscheinlichkeit]]</f>
        <v/>
      </c>
      <c r="M87" s="66">
        <f>tblAuftraege[[#This Row],[Einnahmen]]*tblAuftraege[[#This Row],[Auftrags-
wahrscheinlichkeit]]</f>
        <v/>
      </c>
    </row>
    <row r="88">
      <c r="A88" s="69" t="n"/>
      <c r="B88" s="22" t="inlineStr">
        <is>
          <t>Parking</t>
        </is>
      </c>
      <c r="C88" s="22" t="inlineStr">
        <is>
          <t>87004006 - Autostrom LKW</t>
        </is>
      </c>
      <c r="D88" s="22" t="inlineStr">
        <is>
          <t>Lizenzen</t>
        </is>
      </c>
      <c r="E88" s="22" t="inlineStr">
        <is>
          <t>Betreibersentgeld Standort 14</t>
        </is>
      </c>
      <c r="F88" s="28" t="n"/>
      <c r="G88" s="97" t="n"/>
      <c r="H88" s="24" t="n"/>
      <c r="I88" s="98" t="n"/>
      <c r="J88" s="26" t="n">
        <v>1</v>
      </c>
      <c r="K88" s="70" t="n"/>
      <c r="L88" s="27">
        <f>tblAuftraege[[#This Row],[Ausgaben]]*tblAuftraege[[#This Row],[Auftrags-
wahrscheinlichkeit]]</f>
        <v/>
      </c>
      <c r="M88" s="66">
        <f>tblAuftraege[[#This Row],[Einnahmen]]*tblAuftraege[[#This Row],[Auftrags-
wahrscheinlichkeit]]</f>
        <v/>
      </c>
    </row>
    <row r="89">
      <c r="A89" s="69" t="n"/>
      <c r="B89" s="22" t="inlineStr">
        <is>
          <t>Parking</t>
        </is>
      </c>
      <c r="C89" s="22" t="inlineStr">
        <is>
          <t>87004006 - Autostrom LKW</t>
        </is>
      </c>
      <c r="D89" s="22" t="inlineStr">
        <is>
          <t>Lizenzen</t>
        </is>
      </c>
      <c r="E89" s="22" t="inlineStr">
        <is>
          <t>Betreibersentgeld Standort 15</t>
        </is>
      </c>
      <c r="F89" s="28" t="n"/>
      <c r="G89" s="97" t="n"/>
      <c r="H89" s="24" t="n"/>
      <c r="I89" s="98" t="n"/>
      <c r="J89" s="26" t="n">
        <v>1</v>
      </c>
      <c r="K89" s="70" t="n"/>
      <c r="L89" s="27">
        <f>tblAuftraege[[#This Row],[Ausgaben]]*tblAuftraege[[#This Row],[Auftrags-
wahrscheinlichkeit]]</f>
        <v/>
      </c>
      <c r="M89" s="66">
        <f>tblAuftraege[[#This Row],[Einnahmen]]*tblAuftraege[[#This Row],[Auftrags-
wahrscheinlichkeit]]</f>
        <v/>
      </c>
    </row>
    <row r="90">
      <c r="A90" s="69" t="n"/>
      <c r="B90" s="22" t="inlineStr">
        <is>
          <t>Parking</t>
        </is>
      </c>
      <c r="C90" s="22" t="inlineStr">
        <is>
          <t>87004006 - Autostrom LKW</t>
        </is>
      </c>
      <c r="D90" s="22" t="inlineStr">
        <is>
          <t>Lizenzen</t>
        </is>
      </c>
      <c r="E90" s="22" t="inlineStr">
        <is>
          <t>Betreibersentgeld Standort 16</t>
        </is>
      </c>
      <c r="F90" s="28" t="n"/>
      <c r="G90" s="97" t="n"/>
      <c r="H90" s="24" t="n"/>
      <c r="I90" s="98" t="n"/>
      <c r="J90" s="26" t="n">
        <v>1</v>
      </c>
      <c r="K90" s="70" t="n"/>
      <c r="L90" s="27">
        <f>tblAuftraege[[#This Row],[Ausgaben]]*tblAuftraege[[#This Row],[Auftrags-
wahrscheinlichkeit]]</f>
        <v/>
      </c>
      <c r="M90" s="66">
        <f>tblAuftraege[[#This Row],[Einnahmen]]*tblAuftraege[[#This Row],[Auftrags-
wahrscheinlichkeit]]</f>
        <v/>
      </c>
    </row>
    <row r="91">
      <c r="A91" s="69" t="n"/>
      <c r="B91" s="22" t="inlineStr">
        <is>
          <t>Parking</t>
        </is>
      </c>
      <c r="C91" s="22" t="inlineStr">
        <is>
          <t>87004006 - Autostrom LKW</t>
        </is>
      </c>
      <c r="D91" s="22" t="inlineStr">
        <is>
          <t>Lizenzen</t>
        </is>
      </c>
      <c r="E91" s="22" t="inlineStr">
        <is>
          <t>Betreibersentgeld Standort 17</t>
        </is>
      </c>
      <c r="F91" s="28" t="n"/>
      <c r="G91" s="97" t="n"/>
      <c r="H91" s="24" t="n"/>
      <c r="I91" s="98" t="n"/>
      <c r="J91" s="26" t="n">
        <v>1</v>
      </c>
      <c r="K91" s="70" t="n"/>
      <c r="L91" s="27">
        <f>tblAuftraege[[#This Row],[Ausgaben]]*tblAuftraege[[#This Row],[Auftrags-
wahrscheinlichkeit]]</f>
        <v/>
      </c>
      <c r="M91" s="66">
        <f>tblAuftraege[[#This Row],[Einnahmen]]*tblAuftraege[[#This Row],[Auftrags-
wahrscheinlichkeit]]</f>
        <v/>
      </c>
    </row>
    <row r="92">
      <c r="A92" s="69" t="n"/>
      <c r="B92" s="22" t="inlineStr">
        <is>
          <t>Parking</t>
        </is>
      </c>
      <c r="C92" s="22" t="inlineStr">
        <is>
          <t>87004006 - Autostrom LKW</t>
        </is>
      </c>
      <c r="D92" s="22" t="inlineStr">
        <is>
          <t>Lizenzen</t>
        </is>
      </c>
      <c r="E92" s="22" t="inlineStr">
        <is>
          <t>Betreibersentgeld Standort 18</t>
        </is>
      </c>
      <c r="F92" s="28" t="n"/>
      <c r="G92" s="97" t="n"/>
      <c r="H92" s="24" t="n"/>
      <c r="I92" s="98" t="n"/>
      <c r="J92" s="26" t="n">
        <v>1</v>
      </c>
      <c r="K92" s="70" t="n"/>
      <c r="L92" s="27">
        <f>tblAuftraege[[#This Row],[Ausgaben]]*tblAuftraege[[#This Row],[Auftrags-
wahrscheinlichkeit]]</f>
        <v/>
      </c>
      <c r="M92" s="66">
        <f>tblAuftraege[[#This Row],[Einnahmen]]*tblAuftraege[[#This Row],[Auftrags-
wahrscheinlichkeit]]</f>
        <v/>
      </c>
    </row>
    <row r="93">
      <c r="A93" s="69" t="n"/>
      <c r="B93" s="22" t="inlineStr">
        <is>
          <t>Parking</t>
        </is>
      </c>
      <c r="C93" s="22" t="inlineStr">
        <is>
          <t>87004006 - Autostrom LKW</t>
        </is>
      </c>
      <c r="D93" s="22" t="inlineStr">
        <is>
          <t>Lizenzen</t>
        </is>
      </c>
      <c r="E93" s="22" t="inlineStr">
        <is>
          <t>Betreibersentgeld Standort 19</t>
        </is>
      </c>
      <c r="F93" s="28" t="n"/>
      <c r="G93" s="97" t="n"/>
      <c r="H93" s="24" t="n"/>
      <c r="I93" s="98" t="n"/>
      <c r="J93" s="26" t="n">
        <v>1</v>
      </c>
      <c r="K93" s="70" t="n"/>
      <c r="L93" s="27">
        <f>tblAuftraege[[#This Row],[Ausgaben]]*tblAuftraege[[#This Row],[Auftrags-
wahrscheinlichkeit]]</f>
        <v/>
      </c>
      <c r="M93" s="66">
        <f>tblAuftraege[[#This Row],[Einnahmen]]*tblAuftraege[[#This Row],[Auftrags-
wahrscheinlichkeit]]</f>
        <v/>
      </c>
    </row>
    <row r="94">
      <c r="A94" s="69" t="n"/>
      <c r="B94" s="22" t="inlineStr">
        <is>
          <t>Parking</t>
        </is>
      </c>
      <c r="C94" s="22" t="inlineStr">
        <is>
          <t>87004006 - Autostrom LKW</t>
        </is>
      </c>
      <c r="D94" s="22" t="inlineStr">
        <is>
          <t>Lizenzen</t>
        </is>
      </c>
      <c r="E94" s="22" t="inlineStr">
        <is>
          <t>Betreibersentgeld Standort 20</t>
        </is>
      </c>
      <c r="F94" s="28" t="n"/>
      <c r="G94" s="97" t="n"/>
      <c r="H94" s="24" t="n"/>
      <c r="I94" s="98" t="n"/>
      <c r="J94" s="26" t="n">
        <v>1</v>
      </c>
      <c r="K94" s="70" t="n"/>
      <c r="L94" s="27">
        <f>tblAuftraege[[#This Row],[Ausgaben]]*tblAuftraege[[#This Row],[Auftrags-
wahrscheinlichkeit]]</f>
        <v/>
      </c>
      <c r="M94" s="66">
        <f>tblAuftraege[[#This Row],[Einnahmen]]*tblAuftraege[[#This Row],[Auftrags-
wahrscheinlichkeit]]</f>
        <v/>
      </c>
    </row>
    <row r="95">
      <c r="A95" s="69" t="n"/>
      <c r="B95" s="22" t="inlineStr">
        <is>
          <t>Parking</t>
        </is>
      </c>
      <c r="C95" s="22" t="inlineStr">
        <is>
          <t>87004006 - Autostrom LKW</t>
        </is>
      </c>
      <c r="D95" s="22" t="inlineStr">
        <is>
          <t>Lizenzen</t>
        </is>
      </c>
      <c r="E95" s="22" t="inlineStr">
        <is>
          <t>Betreibersentgeld Standort 21</t>
        </is>
      </c>
      <c r="F95" s="28" t="n"/>
      <c r="G95" s="97" t="n"/>
      <c r="H95" s="24" t="n"/>
      <c r="I95" s="98" t="n"/>
      <c r="J95" s="26" t="n">
        <v>1</v>
      </c>
      <c r="K95" s="70" t="n"/>
      <c r="L95" s="27">
        <f>tblAuftraege[[#This Row],[Ausgaben]]*tblAuftraege[[#This Row],[Auftrags-
wahrscheinlichkeit]]</f>
        <v/>
      </c>
      <c r="M95" s="66">
        <f>tblAuftraege[[#This Row],[Einnahmen]]*tblAuftraege[[#This Row],[Auftrags-
wahrscheinlichkeit]]</f>
        <v/>
      </c>
    </row>
    <row r="96">
      <c r="A96" s="69" t="n"/>
      <c r="B96" s="22" t="inlineStr">
        <is>
          <t>Parking</t>
        </is>
      </c>
      <c r="C96" s="22" t="inlineStr">
        <is>
          <t>87004006 - Autostrom LKW</t>
        </is>
      </c>
      <c r="D96" s="22" t="inlineStr">
        <is>
          <t>Lizenzen</t>
        </is>
      </c>
      <c r="E96" s="22" t="inlineStr">
        <is>
          <t>Betreibersentgeld Standort 22</t>
        </is>
      </c>
      <c r="F96" s="28" t="n"/>
      <c r="G96" s="97" t="n"/>
      <c r="H96" s="24" t="n"/>
      <c r="I96" s="98" t="n"/>
      <c r="J96" s="26" t="n">
        <v>1</v>
      </c>
      <c r="K96" s="70" t="n"/>
      <c r="L96" s="27">
        <f>tblAuftraege[[#This Row],[Ausgaben]]*tblAuftraege[[#This Row],[Auftrags-
wahrscheinlichkeit]]</f>
        <v/>
      </c>
      <c r="M96" s="66">
        <f>tblAuftraege[[#This Row],[Einnahmen]]*tblAuftraege[[#This Row],[Auftrags-
wahrscheinlichkeit]]</f>
        <v/>
      </c>
    </row>
    <row r="97">
      <c r="A97" s="69" t="n"/>
      <c r="B97" s="22" t="inlineStr">
        <is>
          <t>Parking</t>
        </is>
      </c>
      <c r="C97" s="22" t="inlineStr">
        <is>
          <t>87004006 - Autostrom LKW</t>
        </is>
      </c>
      <c r="D97" s="22" t="inlineStr">
        <is>
          <t>Lizenzen</t>
        </is>
      </c>
      <c r="E97" s="22" t="inlineStr">
        <is>
          <t>Betreibersentgeld Standort 23</t>
        </is>
      </c>
      <c r="F97" s="28" t="n"/>
      <c r="G97" s="97" t="n"/>
      <c r="H97" s="24" t="n"/>
      <c r="I97" s="98" t="n"/>
      <c r="J97" s="26" t="n">
        <v>1</v>
      </c>
      <c r="K97" s="70" t="n"/>
      <c r="L97" s="27">
        <f>tblAuftraege[[#This Row],[Ausgaben]]*tblAuftraege[[#This Row],[Auftrags-
wahrscheinlichkeit]]</f>
        <v/>
      </c>
      <c r="M97" s="66">
        <f>tblAuftraege[[#This Row],[Einnahmen]]*tblAuftraege[[#This Row],[Auftrags-
wahrscheinlichkeit]]</f>
        <v/>
      </c>
    </row>
    <row r="98">
      <c r="A98" s="69" t="n"/>
      <c r="B98" s="22" t="inlineStr">
        <is>
          <t>Parking</t>
        </is>
      </c>
      <c r="C98" s="22" t="inlineStr">
        <is>
          <t>87004006 - Autostrom LKW</t>
        </is>
      </c>
      <c r="D98" s="22" t="inlineStr">
        <is>
          <t>Lizenzen</t>
        </is>
      </c>
      <c r="E98" s="22" t="inlineStr">
        <is>
          <t>Betreibersentgeld Standort 24</t>
        </is>
      </c>
      <c r="F98" s="28" t="n"/>
      <c r="G98" s="97" t="n"/>
      <c r="H98" s="24" t="n"/>
      <c r="I98" s="98" t="n"/>
      <c r="J98" s="26" t="n">
        <v>1</v>
      </c>
      <c r="K98" s="70" t="n"/>
      <c r="L98" s="27">
        <f>tblAuftraege[[#This Row],[Ausgaben]]*tblAuftraege[[#This Row],[Auftrags-
wahrscheinlichkeit]]</f>
        <v/>
      </c>
      <c r="M98" s="66">
        <f>tblAuftraege[[#This Row],[Einnahmen]]*tblAuftraege[[#This Row],[Auftrags-
wahrscheinlichkeit]]</f>
        <v/>
      </c>
    </row>
    <row r="99">
      <c r="A99" s="69" t="n"/>
      <c r="B99" s="22" t="inlineStr">
        <is>
          <t>Parking</t>
        </is>
      </c>
      <c r="C99" s="22" t="inlineStr">
        <is>
          <t>87004006 - Autostrom PKW</t>
        </is>
      </c>
      <c r="D99" s="22" t="inlineStr">
        <is>
          <t>Hardware</t>
        </is>
      </c>
      <c r="E99" s="22" t="inlineStr">
        <is>
          <t>Projektpauschalen Q3 2026 - 2 Standorte S</t>
        </is>
      </c>
      <c r="F99" s="28" t="n">
        <v>46249</v>
      </c>
      <c r="G99" s="97" t="n"/>
      <c r="H99" s="24" t="n">
        <v>46326</v>
      </c>
      <c r="I99" s="98" t="n">
        <v>3200</v>
      </c>
      <c r="J99" s="26" t="n">
        <v>1</v>
      </c>
      <c r="K99" s="70" t="n"/>
      <c r="L99" s="27">
        <f>tblAuftraege[[#This Row],[Ausgaben]]*tblAuftraege[[#This Row],[Auftrags-
wahrscheinlichkeit]]</f>
        <v/>
      </c>
      <c r="M99" s="66">
        <f>tblAuftraege[[#This Row],[Einnahmen]]*tblAuftraege[[#This Row],[Auftrags-
wahrscheinlichkeit]]</f>
        <v/>
      </c>
    </row>
    <row r="100">
      <c r="A100" s="69" t="n"/>
      <c r="B100" s="22" t="inlineStr">
        <is>
          <t>Parking</t>
        </is>
      </c>
      <c r="C100" s="22" t="inlineStr">
        <is>
          <t>87004006 - Autostrom PKW</t>
        </is>
      </c>
      <c r="D100" s="22" t="inlineStr">
        <is>
          <t>Lizenzen</t>
        </is>
      </c>
      <c r="E100" s="22" t="inlineStr">
        <is>
          <t>lfd. Gebühren 2026 Q3</t>
        </is>
      </c>
      <c r="F100" s="28" t="n">
        <v>46249</v>
      </c>
      <c r="G100" s="97" t="n"/>
      <c r="H100" s="24" t="n">
        <v>46310</v>
      </c>
      <c r="I100" s="98" t="n"/>
      <c r="J100" s="26" t="n">
        <v>1</v>
      </c>
      <c r="K100" s="70" t="n"/>
      <c r="L100" s="27">
        <f>tblAuftraege[[#This Row],[Ausgaben]]*tblAuftraege[[#This Row],[Auftrags-
wahrscheinlichkeit]]</f>
        <v/>
      </c>
      <c r="M100" s="66">
        <f>tblAuftraege[[#This Row],[Einnahmen]]*tblAuftraege[[#This Row],[Auftrags-
wahrscheinlichkeit]]</f>
        <v/>
      </c>
    </row>
    <row r="101">
      <c r="A101" s="69" t="n"/>
      <c r="B101" s="22" t="inlineStr">
        <is>
          <t>Parking</t>
        </is>
      </c>
      <c r="C101" s="22" t="inlineStr">
        <is>
          <t>87004006 - Autostrom PKW</t>
        </is>
      </c>
      <c r="D101" s="22" t="inlineStr">
        <is>
          <t>Lizenzen</t>
        </is>
      </c>
      <c r="E101" s="22" t="inlineStr">
        <is>
          <t>lfd. Gebühren 2026 Q4</t>
        </is>
      </c>
      <c r="F101" s="28" t="n">
        <v>46341</v>
      </c>
      <c r="G101" s="97" t="n"/>
      <c r="H101" s="24" t="n">
        <v>46402</v>
      </c>
      <c r="I101" s="98" t="n"/>
      <c r="J101" s="26" t="n">
        <v>1</v>
      </c>
      <c r="K101" s="70" t="n"/>
      <c r="L101" s="27">
        <f>tblAuftraege[[#This Row],[Ausgaben]]*tblAuftraege[[#This Row],[Auftrags-
wahrscheinlichkeit]]</f>
        <v/>
      </c>
      <c r="M101" s="66">
        <f>tblAuftraege[[#This Row],[Einnahmen]]*tblAuftraege[[#This Row],[Auftrags-
wahrscheinlichkeit]]</f>
        <v/>
      </c>
    </row>
    <row r="102">
      <c r="A102" s="69" t="n"/>
      <c r="B102" s="22" t="inlineStr">
        <is>
          <t>Parking</t>
        </is>
      </c>
      <c r="C102" s="22" t="inlineStr">
        <is>
          <t>87004006 - Autostrom PKW</t>
        </is>
      </c>
      <c r="D102" s="22" t="inlineStr">
        <is>
          <t>Lizenzen</t>
        </is>
      </c>
      <c r="E102" s="22" t="inlineStr">
        <is>
          <t>lfd. Gebühren 2027 Q1</t>
        </is>
      </c>
      <c r="F102" s="28" t="n">
        <v>46433</v>
      </c>
      <c r="G102" s="97" t="n"/>
      <c r="H102" s="24" t="n">
        <v>46492</v>
      </c>
      <c r="I102" s="98" t="n"/>
      <c r="J102" s="26" t="n">
        <v>1</v>
      </c>
      <c r="K102" s="70" t="n"/>
      <c r="L102" s="27">
        <f>tblAuftraege[[#This Row],[Ausgaben]]*tblAuftraege[[#This Row],[Auftrags-
wahrscheinlichkeit]]</f>
        <v/>
      </c>
      <c r="M102" s="66">
        <f>tblAuftraege[[#This Row],[Einnahmen]]*tblAuftraege[[#This Row],[Auftrags-
wahrscheinlichkeit]]</f>
        <v/>
      </c>
    </row>
    <row r="103">
      <c r="A103" s="69" t="n"/>
      <c r="B103" s="22" t="inlineStr">
        <is>
          <t>Parking</t>
        </is>
      </c>
      <c r="C103" s="22" t="inlineStr">
        <is>
          <t>87004006 - Autostrom PKW</t>
        </is>
      </c>
      <c r="D103" s="22" t="inlineStr">
        <is>
          <t>Lizenzen</t>
        </is>
      </c>
      <c r="E103" s="22" t="inlineStr">
        <is>
          <t>lfd. Gebühren 2027 Q2</t>
        </is>
      </c>
      <c r="F103" s="28" t="n">
        <v>46522</v>
      </c>
      <c r="G103" s="97" t="n"/>
      <c r="H103" s="24" t="n">
        <v>46583</v>
      </c>
      <c r="I103" s="98" t="n"/>
      <c r="J103" s="26" t="n">
        <v>1</v>
      </c>
      <c r="K103" s="70" t="n"/>
      <c r="L103" s="27">
        <f>tblAuftraege[[#This Row],[Ausgaben]]*tblAuftraege[[#This Row],[Auftrags-
wahrscheinlichkeit]]</f>
        <v/>
      </c>
      <c r="M103" s="66">
        <f>tblAuftraege[[#This Row],[Einnahmen]]*tblAuftraege[[#This Row],[Auftrags-
wahrscheinlichkeit]]</f>
        <v/>
      </c>
    </row>
    <row r="104">
      <c r="A104" s="69" t="n"/>
      <c r="B104" s="22" t="inlineStr">
        <is>
          <t>Parking</t>
        </is>
      </c>
      <c r="C104" s="22" t="inlineStr">
        <is>
          <t>87004006 - Autostrom PKW</t>
        </is>
      </c>
      <c r="D104" s="22" t="inlineStr">
        <is>
          <t>Lizenzen</t>
        </is>
      </c>
      <c r="E104" s="22" t="inlineStr">
        <is>
          <t>lfd. Gebühren 2027 Q3</t>
        </is>
      </c>
      <c r="F104" s="28" t="n">
        <v>46614</v>
      </c>
      <c r="G104" s="97" t="n"/>
      <c r="H104" s="24" t="n">
        <v>46675</v>
      </c>
      <c r="I104" s="98" t="n"/>
      <c r="J104" s="26" t="n">
        <v>1</v>
      </c>
      <c r="K104" s="70" t="n"/>
      <c r="L104" s="27">
        <f>tblAuftraege[[#This Row],[Ausgaben]]*tblAuftraege[[#This Row],[Auftrags-
wahrscheinlichkeit]]</f>
        <v/>
      </c>
      <c r="M104" s="66">
        <f>tblAuftraege[[#This Row],[Einnahmen]]*tblAuftraege[[#This Row],[Auftrags-
wahrscheinlichkeit]]</f>
        <v/>
      </c>
    </row>
    <row r="105">
      <c r="A105" s="69" t="n"/>
      <c r="B105" s="22" t="inlineStr">
        <is>
          <t>Parking</t>
        </is>
      </c>
      <c r="C105" s="22" t="inlineStr">
        <is>
          <t>87004006 - Autostrom PKW</t>
        </is>
      </c>
      <c r="D105" s="22" t="inlineStr">
        <is>
          <t>Lizenzen</t>
        </is>
      </c>
      <c r="E105" s="22" t="inlineStr">
        <is>
          <t>lfd. Gebühren 2027 Q4</t>
        </is>
      </c>
      <c r="F105" s="28" t="n">
        <v>46706</v>
      </c>
      <c r="G105" s="97" t="n">
        <v>10000</v>
      </c>
      <c r="H105" s="24" t="n">
        <v>46767</v>
      </c>
      <c r="I105" s="98" t="n">
        <v>13000</v>
      </c>
      <c r="J105" s="26" t="n">
        <v>1</v>
      </c>
      <c r="K105" s="70" t="inlineStr">
        <is>
          <t xml:space="preserve">TEST </t>
        </is>
      </c>
      <c r="L105" s="27">
        <f>tblAuftraege[[#This Row],[Ausgaben]]*tblAuftraege[[#This Row],[Auftrags-
wahrscheinlichkeit]]</f>
        <v/>
      </c>
      <c r="M105" s="66">
        <f>tblAuftraege[[#This Row],[Einnahmen]]*tblAuftraege[[#This Row],[Auftrags-
wahrscheinlichkeit]]</f>
        <v/>
      </c>
    </row>
    <row r="106">
      <c r="A106" s="69" t="n"/>
      <c r="B106" s="22" t="inlineStr">
        <is>
          <t>IoT</t>
        </is>
      </c>
      <c r="C106" s="22" t="inlineStr">
        <is>
          <t>85109000 - Bereichskostenstelle IoT</t>
        </is>
      </c>
      <c r="D106" s="22" t="inlineStr">
        <is>
          <t>Lizenzen</t>
        </is>
      </c>
      <c r="E106" s="22" t="inlineStr">
        <is>
          <t>Idaflex Lizenz SmartInfra</t>
        </is>
      </c>
      <c r="F106" s="28" t="n">
        <v>46037</v>
      </c>
      <c r="G106" s="100" t="n">
        <v>12000</v>
      </c>
      <c r="H106" s="24" t="n"/>
      <c r="I106" s="98" t="n"/>
      <c r="J106" s="26" t="n">
        <v>1</v>
      </c>
      <c r="K106" s="70" t="n"/>
      <c r="L106" s="27">
        <f>tblAuftraege[[#This Row],[Ausgaben]]*tblAuftraege[[#This Row],[Auftrags-
wahrscheinlichkeit]]</f>
        <v/>
      </c>
      <c r="M106" s="66">
        <f>tblAuftraege[[#This Row],[Einnahmen]]*tblAuftraege[[#This Row],[Auftrags-
wahrscheinlichkeit]]</f>
        <v/>
      </c>
    </row>
    <row r="107">
      <c r="A107" s="69" t="n"/>
      <c r="B107" s="22" t="inlineStr">
        <is>
          <t>IoT</t>
        </is>
      </c>
      <c r="C107" s="22" t="inlineStr">
        <is>
          <t>87001004 - Airbus</t>
        </is>
      </c>
      <c r="D107" s="22" t="inlineStr">
        <is>
          <t>Hardware + Dienstleistung</t>
        </is>
      </c>
      <c r="E107" s="22" t="inlineStr">
        <is>
          <t>Airbus, G200 Infrastruktur WP3</t>
        </is>
      </c>
      <c r="F107" s="28" t="n">
        <v>46282</v>
      </c>
      <c r="G107" s="97" t="n">
        <v>4741.26</v>
      </c>
      <c r="H107" s="24" t="n">
        <v>46309</v>
      </c>
      <c r="I107" s="98" t="n">
        <v>8421.02</v>
      </c>
      <c r="J107" s="26" t="n">
        <v>0.35</v>
      </c>
      <c r="K107" s="70" t="inlineStr">
        <is>
          <t>Angebot gestellt</t>
        </is>
      </c>
      <c r="L107" s="27">
        <f>tblAuftraege[[#This Row],[Ausgaben]]*tblAuftraege[[#This Row],[Auftrags-
wahrscheinlichkeit]]</f>
        <v/>
      </c>
      <c r="M107" s="66">
        <f>tblAuftraege[[#This Row],[Einnahmen]]*tblAuftraege[[#This Row],[Auftrags-
wahrscheinlichkeit]]</f>
        <v/>
      </c>
    </row>
    <row r="108">
      <c r="A108" s="69" t="n"/>
      <c r="B108" s="22" t="inlineStr">
        <is>
          <t>IoT</t>
        </is>
      </c>
      <c r="C108" s="22" t="inlineStr">
        <is>
          <t>87001004 - Airbus</t>
        </is>
      </c>
      <c r="D108" s="22" t="inlineStr">
        <is>
          <t>Hardware + Dienstleistung</t>
        </is>
      </c>
      <c r="E108" s="22" t="inlineStr">
        <is>
          <t>Controller HAM H90 WPC</t>
        </is>
      </c>
      <c r="F108" s="28" t="n">
        <v>46274</v>
      </c>
      <c r="G108" s="97" t="n">
        <v>1985.06</v>
      </c>
      <c r="H108" s="24" t="n">
        <v>46307</v>
      </c>
      <c r="I108" s="98" t="n">
        <v>3441.4</v>
      </c>
      <c r="J108" s="26" t="n">
        <v>0.35</v>
      </c>
      <c r="K108" s="70" t="n"/>
      <c r="L108" s="27">
        <f>tblAuftraege[[#This Row],[Ausgaben]]*tblAuftraege[[#This Row],[Auftrags-
wahrscheinlichkeit]]</f>
        <v/>
      </c>
      <c r="M108" s="66">
        <f>tblAuftraege[[#This Row],[Einnahmen]]*tblAuftraege[[#This Row],[Auftrags-
wahrscheinlichkeit]]</f>
        <v/>
      </c>
    </row>
    <row r="109">
      <c r="A109" s="69" t="n"/>
      <c r="B109" s="22" t="inlineStr">
        <is>
          <t>IoT</t>
        </is>
      </c>
      <c r="C109" s="22" t="inlineStr">
        <is>
          <t>87001004 - Airbus</t>
        </is>
      </c>
      <c r="D109" s="22" t="inlineStr">
        <is>
          <t>Dienstleistung</t>
        </is>
      </c>
      <c r="E109" s="22" t="inlineStr">
        <is>
          <t>Stundenkontigent</t>
        </is>
      </c>
      <c r="F109" s="28" t="n">
        <v>46276</v>
      </c>
      <c r="G109" s="97" t="n"/>
      <c r="H109" s="24" t="n">
        <v>46279</v>
      </c>
      <c r="I109" s="98" t="n">
        <v>2480</v>
      </c>
      <c r="J109" s="26" t="n">
        <v>0.65</v>
      </c>
      <c r="K109" s="70" t="inlineStr">
        <is>
          <t>stundensatz kommulieren für ausgaben</t>
        </is>
      </c>
      <c r="L109" s="27">
        <f>tblAuftraege[[#This Row],[Ausgaben]]*tblAuftraege[[#This Row],[Auftrags-
wahrscheinlichkeit]]</f>
        <v/>
      </c>
      <c r="M109" s="66">
        <f>tblAuftraege[[#This Row],[Einnahmen]]*tblAuftraege[[#This Row],[Auftrags-
wahrscheinlichkeit]]</f>
        <v/>
      </c>
    </row>
    <row r="110">
      <c r="A110" s="69" t="n"/>
      <c r="B110" s="22" t="inlineStr">
        <is>
          <t>IoT</t>
        </is>
      </c>
      <c r="C110" s="92" t="inlineStr">
        <is>
          <t>87001009 - Stadtwerke Husum</t>
        </is>
      </c>
      <c r="D110" s="22" t="inlineStr">
        <is>
          <t>Lizenzen</t>
        </is>
      </c>
      <c r="E110" s="22" t="inlineStr">
        <is>
          <t>Husum Lizenzen Element + Idaflex</t>
        </is>
      </c>
      <c r="F110" s="28" t="n">
        <v>46371</v>
      </c>
      <c r="G110" s="97" t="n">
        <v>10000</v>
      </c>
      <c r="H110" s="24" t="n">
        <v>46371</v>
      </c>
      <c r="I110" s="98" t="n">
        <v>16500</v>
      </c>
      <c r="J110" s="26" t="n">
        <v>1</v>
      </c>
      <c r="K110" s="70" t="inlineStr">
        <is>
          <t>Schätzwerte und Datum</t>
        </is>
      </c>
      <c r="L110" s="27">
        <f>tblAuftraege[[#This Row],[Ausgaben]]*tblAuftraege[[#This Row],[Auftrags-
wahrscheinlichkeit]]</f>
        <v/>
      </c>
      <c r="M110" s="66">
        <f>tblAuftraege[[#This Row],[Einnahmen]]*tblAuftraege[[#This Row],[Auftrags-
wahrscheinlichkeit]]</f>
        <v/>
      </c>
    </row>
    <row r="111">
      <c r="A111" s="69" t="n"/>
      <c r="B111" s="22" t="inlineStr">
        <is>
          <t>IoT</t>
        </is>
      </c>
      <c r="C111" s="22" t="inlineStr">
        <is>
          <t>87105004 - HanseWerk Natur</t>
        </is>
      </c>
      <c r="D111" s="22" t="inlineStr">
        <is>
          <t>Hardware + Dienstleistung</t>
        </is>
      </c>
      <c r="E111" s="22" t="inlineStr">
        <is>
          <t>3x Indoor-Gateway - ZVW</t>
        </is>
      </c>
      <c r="F111" s="28" t="n">
        <v>46232</v>
      </c>
      <c r="G111" s="97" t="n">
        <v>924.88</v>
      </c>
      <c r="H111" s="24" t="n">
        <v>46261</v>
      </c>
      <c r="I111" s="98" t="n">
        <v>1745.6</v>
      </c>
      <c r="J111" s="26" t="n">
        <v>1</v>
      </c>
      <c r="K111" s="70" t="n"/>
      <c r="L111" s="27">
        <f>tblAuftraege[[#This Row],[Ausgaben]]*tblAuftraege[[#This Row],[Auftrags-
wahrscheinlichkeit]]</f>
        <v/>
      </c>
      <c r="M111" s="66">
        <f>tblAuftraege[[#This Row],[Einnahmen]]*tblAuftraege[[#This Row],[Auftrags-
wahrscheinlichkeit]]</f>
        <v/>
      </c>
    </row>
    <row r="112">
      <c r="A112" s="69" t="n"/>
      <c r="B112" s="22" t="inlineStr">
        <is>
          <t>IoT</t>
        </is>
      </c>
      <c r="C112" s="22" t="inlineStr">
        <is>
          <t>87106001 - SH-Netz IoT</t>
        </is>
      </c>
      <c r="D112" s="22" t="inlineStr">
        <is>
          <t>Hardware</t>
        </is>
      </c>
      <c r="E112" s="22" t="inlineStr">
        <is>
          <t>Anfrage Lieferung 225 GWs</t>
        </is>
      </c>
      <c r="F112" s="28" t="n">
        <v>46310</v>
      </c>
      <c r="G112" s="97" t="n">
        <v>132405.13</v>
      </c>
      <c r="H112" s="24" t="n">
        <v>46371</v>
      </c>
      <c r="I112" s="98" t="n">
        <v>169319.25</v>
      </c>
      <c r="J112" s="26" t="n">
        <v>0.6</v>
      </c>
      <c r="K112" s="70" t="n"/>
      <c r="L112" s="27">
        <f>tblAuftraege[[#This Row],[Ausgaben]]*tblAuftraege[[#This Row],[Auftrags-
wahrscheinlichkeit]]</f>
        <v/>
      </c>
      <c r="M112" s="66">
        <f>tblAuftraege[[#This Row],[Einnahmen]]*tblAuftraege[[#This Row],[Auftrags-
wahrscheinlichkeit]]</f>
        <v/>
      </c>
    </row>
    <row r="113">
      <c r="A113" s="69" t="n"/>
      <c r="B113" s="22" t="inlineStr">
        <is>
          <t>IoT</t>
        </is>
      </c>
      <c r="C113" s="22" t="inlineStr">
        <is>
          <t>87106001 - SH-Netz IoT</t>
        </is>
      </c>
      <c r="D113" s="22" t="inlineStr">
        <is>
          <t>Hardware + Dienstleistung</t>
        </is>
      </c>
      <c r="E113" s="22" t="inlineStr">
        <is>
          <t xml:space="preserve">Auslesen von Messwandler beim Kunden KK-OH Ostholstein </t>
        </is>
      </c>
      <c r="F113" s="28" t="n"/>
      <c r="G113" s="97" t="n"/>
      <c r="H113" s="24" t="n"/>
      <c r="I113" s="98" t="n">
        <v>3864.18</v>
      </c>
      <c r="J113" s="26" t="n">
        <v>1</v>
      </c>
      <c r="K113" s="70" t="n"/>
      <c r="L113" s="27">
        <f>tblAuftraege[[#This Row],[Ausgaben]]*tblAuftraege[[#This Row],[Auftrags-
wahrscheinlichkeit]]</f>
        <v/>
      </c>
      <c r="M113" s="66">
        <f>tblAuftraege[[#This Row],[Einnahmen]]*tblAuftraege[[#This Row],[Auftrags-
wahrscheinlichkeit]]</f>
        <v/>
      </c>
    </row>
    <row r="114">
      <c r="A114" s="69" t="n"/>
      <c r="B114" s="22" t="inlineStr">
        <is>
          <t>IoT</t>
        </is>
      </c>
      <c r="C114" s="22" t="inlineStr">
        <is>
          <t>87106001 - SH-Netz IoT</t>
        </is>
      </c>
      <c r="D114" s="22" t="inlineStr">
        <is>
          <t>Lizenzen</t>
        </is>
      </c>
      <c r="E114" s="22" t="inlineStr">
        <is>
          <t>Speichererweiterung</t>
        </is>
      </c>
      <c r="F114" s="28" t="n">
        <v>46272</v>
      </c>
      <c r="G114" s="97" t="n"/>
      <c r="H114" s="24" t="n">
        <v>46298</v>
      </c>
      <c r="I114" s="98" t="n">
        <v>8050</v>
      </c>
      <c r="J114" s="26" t="n">
        <v>0.45</v>
      </c>
      <c r="K114" s="70" t="inlineStr">
        <is>
          <t>Lizens ausgaben nachtragen</t>
        </is>
      </c>
      <c r="L114" s="27">
        <f>tblAuftraege[[#This Row],[Ausgaben]]*tblAuftraege[[#This Row],[Auftrags-
wahrscheinlichkeit]]</f>
        <v/>
      </c>
      <c r="M114" s="66">
        <f>tblAuftraege[[#This Row],[Einnahmen]]*tblAuftraege[[#This Row],[Auftrags-
wahrscheinlichkeit]]</f>
        <v/>
      </c>
    </row>
    <row r="115">
      <c r="A115" s="69" t="n"/>
      <c r="B115" s="22" t="n"/>
      <c r="C115" s="22" t="n"/>
      <c r="D115" s="22" t="n"/>
      <c r="E115" s="22" t="n"/>
      <c r="F115" s="28" t="n"/>
      <c r="G115" s="97" t="n"/>
      <c r="H115" s="24" t="n"/>
      <c r="I115" s="98" t="n"/>
      <c r="J115" s="26" t="n">
        <v>1</v>
      </c>
      <c r="K115" s="70" t="n"/>
      <c r="L115" s="27">
        <f>tblAuftraege[[#This Row],[Ausgaben]]*tblAuftraege[[#This Row],[Auftrags-
wahrscheinlichkeit]]</f>
        <v/>
      </c>
      <c r="M115" s="66">
        <f>tblAuftraege[[#This Row],[Einnahmen]]*tblAuftraege[[#This Row],[Auftrags-
wahrscheinlichkeit]]</f>
        <v/>
      </c>
    </row>
    <row r="116">
      <c r="A116" s="69" t="n"/>
      <c r="B116" s="22" t="n"/>
      <c r="C116" s="22" t="n"/>
      <c r="D116" s="22" t="n"/>
      <c r="E116" s="22" t="n"/>
      <c r="F116" s="28" t="n"/>
      <c r="G116" s="97" t="n"/>
      <c r="H116" s="24" t="n"/>
      <c r="I116" s="98" t="n"/>
      <c r="J116" s="26" t="n">
        <v>1</v>
      </c>
      <c r="K116" s="70" t="n"/>
      <c r="L116" s="27">
        <f>tblAuftraege[[#This Row],[Ausgaben]]*tblAuftraege[[#This Row],[Auftrags-
wahrscheinlichkeit]]</f>
        <v/>
      </c>
      <c r="M116" s="66">
        <f>tblAuftraege[[#This Row],[Einnahmen]]*tblAuftraege[[#This Row],[Auftrags-
wahrscheinlichkeit]]</f>
        <v/>
      </c>
    </row>
    <row r="117">
      <c r="A117" s="69" t="n"/>
      <c r="B117" s="22" t="n"/>
      <c r="C117" s="22" t="n"/>
      <c r="D117" s="22" t="n"/>
      <c r="E117" s="22" t="n"/>
      <c r="F117" s="28" t="n"/>
      <c r="G117" s="97" t="n"/>
      <c r="H117" s="24" t="n"/>
      <c r="I117" s="98" t="n"/>
      <c r="J117" s="26" t="n">
        <v>1</v>
      </c>
      <c r="K117" s="70" t="n"/>
      <c r="L117" s="27">
        <f>tblAuftraege[[#This Row],[Ausgaben]]*tblAuftraege[[#This Row],[Auftrags-
wahrscheinlichkeit]]</f>
        <v/>
      </c>
      <c r="M117" s="66">
        <f>tblAuftraege[[#This Row],[Einnahmen]]*tblAuftraege[[#This Row],[Auftrags-
wahrscheinlichkeit]]</f>
        <v/>
      </c>
    </row>
    <row r="118">
      <c r="A118" s="69" t="n"/>
      <c r="B118" s="22" t="n"/>
      <c r="C118" s="22" t="n"/>
      <c r="D118" s="22" t="n"/>
      <c r="E118" s="22" t="n"/>
      <c r="F118" s="28" t="n"/>
      <c r="G118" s="97" t="n"/>
      <c r="H118" s="24" t="n"/>
      <c r="I118" s="98" t="n"/>
      <c r="J118" s="26" t="n">
        <v>1</v>
      </c>
      <c r="K118" s="70" t="n"/>
      <c r="L118" s="27">
        <f>tblAuftraege[[#This Row],[Ausgaben]]*tblAuftraege[[#This Row],[Auftrags-
wahrscheinlichkeit]]</f>
        <v/>
      </c>
      <c r="M118" s="66">
        <f>tblAuftraege[[#This Row],[Einnahmen]]*tblAuftraege[[#This Row],[Auftrags-
wahrscheinlichkeit]]</f>
        <v/>
      </c>
    </row>
    <row r="119">
      <c r="A119" s="69" t="n"/>
      <c r="B119" s="22" t="n"/>
      <c r="C119" s="22" t="n"/>
      <c r="D119" s="22" t="n"/>
      <c r="E119" s="22" t="n"/>
      <c r="F119" s="28" t="n"/>
      <c r="G119" s="97" t="n"/>
      <c r="H119" s="24" t="n"/>
      <c r="I119" s="98" t="n"/>
      <c r="J119" s="26" t="n">
        <v>1</v>
      </c>
      <c r="K119" s="70" t="n"/>
      <c r="L119" s="27">
        <f>tblAuftraege[[#This Row],[Ausgaben]]*tblAuftraege[[#This Row],[Auftrags-
wahrscheinlichkeit]]</f>
        <v/>
      </c>
      <c r="M119" s="66">
        <f>tblAuftraege[[#This Row],[Einnahmen]]*tblAuftraege[[#This Row],[Auftrags-
wahrscheinlichkeit]]</f>
        <v/>
      </c>
    </row>
    <row r="120">
      <c r="A120" s="69" t="n"/>
      <c r="B120" s="22" t="n"/>
      <c r="C120" s="22" t="n"/>
      <c r="D120" s="22" t="n"/>
      <c r="E120" s="22" t="n"/>
      <c r="F120" s="28" t="n"/>
      <c r="G120" s="97" t="n"/>
      <c r="H120" s="24" t="n"/>
      <c r="I120" s="98" t="n"/>
      <c r="J120" s="26" t="n">
        <v>1</v>
      </c>
      <c r="K120" s="70" t="n"/>
      <c r="L120" s="27">
        <f>tblAuftraege[[#This Row],[Ausgaben]]*tblAuftraege[[#This Row],[Auftrags-
wahrscheinlichkeit]]</f>
        <v/>
      </c>
      <c r="M120" s="66">
        <f>tblAuftraege[[#This Row],[Einnahmen]]*tblAuftraege[[#This Row],[Auftrags-
wahrscheinlichkeit]]</f>
        <v/>
      </c>
    </row>
    <row r="121">
      <c r="A121" s="69" t="n"/>
      <c r="B121" s="22" t="n"/>
      <c r="C121" s="22" t="n"/>
      <c r="D121" s="22" t="n"/>
      <c r="E121" s="22" t="n"/>
      <c r="F121" s="28" t="n"/>
      <c r="G121" s="97" t="n"/>
      <c r="H121" s="24" t="n"/>
      <c r="I121" s="98" t="n"/>
      <c r="J121" s="26" t="n">
        <v>1</v>
      </c>
      <c r="K121" s="70" t="n"/>
      <c r="L121" s="27">
        <f>tblAuftraege[[#This Row],[Ausgaben]]*tblAuftraege[[#This Row],[Auftrags-
wahrscheinlichkeit]]</f>
        <v/>
      </c>
      <c r="M121" s="66">
        <f>tblAuftraege[[#This Row],[Einnahmen]]*tblAuftraege[[#This Row],[Auftrags-
wahrscheinlichkeit]]</f>
        <v/>
      </c>
    </row>
    <row r="122">
      <c r="A122" s="69" t="n"/>
      <c r="B122" s="22" t="n"/>
      <c r="C122" s="22" t="n"/>
      <c r="D122" s="22" t="n"/>
      <c r="E122" s="22" t="n"/>
      <c r="F122" s="28" t="n"/>
      <c r="G122" s="97" t="n"/>
      <c r="H122" s="24" t="n"/>
      <c r="I122" s="98" t="n"/>
      <c r="J122" s="26" t="n">
        <v>1</v>
      </c>
      <c r="K122" s="70" t="n"/>
      <c r="L122" s="27">
        <f>tblAuftraege[[#This Row],[Ausgaben]]*tblAuftraege[[#This Row],[Auftrags-
wahrscheinlichkeit]]</f>
        <v/>
      </c>
      <c r="M122" s="66">
        <f>tblAuftraege[[#This Row],[Einnahmen]]*tblAuftraege[[#This Row],[Auftrags-
wahrscheinlichkeit]]</f>
        <v/>
      </c>
    </row>
    <row r="123">
      <c r="A123" s="69" t="n"/>
      <c r="B123" s="22" t="n"/>
      <c r="C123" s="22" t="n"/>
      <c r="D123" s="22" t="n"/>
      <c r="E123" s="22" t="n"/>
      <c r="F123" s="28" t="n"/>
      <c r="G123" s="97" t="n"/>
      <c r="H123" s="24" t="n"/>
      <c r="I123" s="98" t="n"/>
      <c r="J123" s="26" t="n">
        <v>1</v>
      </c>
      <c r="K123" s="70" t="n"/>
      <c r="L123" s="27">
        <f>tblAuftraege[[#This Row],[Ausgaben]]*tblAuftraege[[#This Row],[Auftrags-
wahrscheinlichkeit]]</f>
        <v/>
      </c>
      <c r="M123" s="66">
        <f>tblAuftraege[[#This Row],[Einnahmen]]*tblAuftraege[[#This Row],[Auftrags-
wahrscheinlichkeit]]</f>
        <v/>
      </c>
    </row>
    <row r="124">
      <c r="A124" s="69" t="n"/>
      <c r="B124" s="22" t="n"/>
      <c r="C124" s="22" t="n"/>
      <c r="D124" s="22" t="n"/>
      <c r="E124" s="22" t="n"/>
      <c r="F124" s="28" t="n"/>
      <c r="G124" s="97" t="n"/>
      <c r="H124" s="24" t="n"/>
      <c r="I124" s="98" t="n"/>
      <c r="J124" s="26" t="n">
        <v>1</v>
      </c>
      <c r="K124" s="70" t="n"/>
      <c r="L124" s="27">
        <f>tblAuftraege[[#This Row],[Ausgaben]]*tblAuftraege[[#This Row],[Auftrags-
wahrscheinlichkeit]]</f>
        <v/>
      </c>
      <c r="M124" s="66">
        <f>tblAuftraege[[#This Row],[Einnahmen]]*tblAuftraege[[#This Row],[Auftrags-
wahrscheinlichkeit]]</f>
        <v/>
      </c>
    </row>
    <row r="125">
      <c r="A125" s="69" t="n"/>
      <c r="B125" s="22" t="n"/>
      <c r="C125" s="22" t="n"/>
      <c r="D125" s="22" t="n"/>
      <c r="E125" s="22" t="n"/>
      <c r="F125" s="28" t="n"/>
      <c r="G125" s="97" t="n"/>
      <c r="H125" s="24" t="n"/>
      <c r="I125" s="98" t="n"/>
      <c r="J125" s="26" t="n">
        <v>1</v>
      </c>
      <c r="K125" s="70" t="n"/>
      <c r="L125" s="27">
        <f>tblAuftraege[[#This Row],[Ausgaben]]*tblAuftraege[[#This Row],[Auftrags-
wahrscheinlichkeit]]</f>
        <v/>
      </c>
      <c r="M125" s="66">
        <f>tblAuftraege[[#This Row],[Einnahmen]]*tblAuftraege[[#This Row],[Auftrags-
wahrscheinlichkeit]]</f>
        <v/>
      </c>
    </row>
    <row r="126">
      <c r="A126" s="69" t="n"/>
      <c r="B126" s="22" t="n"/>
      <c r="C126" s="22" t="n"/>
      <c r="D126" s="22" t="n"/>
      <c r="E126" s="22" t="n"/>
      <c r="F126" s="28" t="n"/>
      <c r="G126" s="97" t="n"/>
      <c r="H126" s="24" t="n"/>
      <c r="I126" s="98" t="n"/>
      <c r="J126" s="26" t="n">
        <v>1</v>
      </c>
      <c r="K126" s="70" t="n"/>
      <c r="L126" s="27">
        <f>tblAuftraege[[#This Row],[Ausgaben]]*tblAuftraege[[#This Row],[Auftrags-
wahrscheinlichkeit]]</f>
        <v/>
      </c>
      <c r="M126" s="66">
        <f>tblAuftraege[[#This Row],[Einnahmen]]*tblAuftraege[[#This Row],[Auftrags-
wahrscheinlichkeit]]</f>
        <v/>
      </c>
    </row>
    <row r="127">
      <c r="A127" s="69" t="n"/>
      <c r="B127" s="22" t="n"/>
      <c r="C127" s="22" t="n"/>
      <c r="D127" s="22" t="n"/>
      <c r="E127" s="22" t="n"/>
      <c r="F127" s="28" t="n"/>
      <c r="G127" s="97" t="n"/>
      <c r="H127" s="24" t="n"/>
      <c r="I127" s="98" t="n"/>
      <c r="J127" s="26" t="n">
        <v>1</v>
      </c>
      <c r="K127" s="70" t="n"/>
      <c r="L127" s="27">
        <f>tblAuftraege[[#This Row],[Ausgaben]]*tblAuftraege[[#This Row],[Auftrags-
wahrscheinlichkeit]]</f>
        <v/>
      </c>
      <c r="M127" s="66">
        <f>tblAuftraege[[#This Row],[Einnahmen]]*tblAuftraege[[#This Row],[Auftrags-
wahrscheinlichkeit]]</f>
        <v/>
      </c>
    </row>
    <row r="128">
      <c r="A128" s="69" t="n"/>
      <c r="B128" s="22" t="n"/>
      <c r="C128" s="22" t="n"/>
      <c r="D128" s="22" t="n"/>
      <c r="E128" s="22" t="n"/>
      <c r="F128" s="28" t="n"/>
      <c r="G128" s="97" t="n"/>
      <c r="H128" s="24" t="n"/>
      <c r="I128" s="98" t="n"/>
      <c r="J128" s="26" t="n">
        <v>1</v>
      </c>
      <c r="K128" s="70" t="n"/>
      <c r="L128" s="27">
        <f>tblAuftraege[[#This Row],[Ausgaben]]*tblAuftraege[[#This Row],[Auftrags-
wahrscheinlichkeit]]</f>
        <v/>
      </c>
      <c r="M128" s="66">
        <f>tblAuftraege[[#This Row],[Einnahmen]]*tblAuftraege[[#This Row],[Auftrags-
wahrscheinlichkeit]]</f>
        <v/>
      </c>
    </row>
    <row r="129">
      <c r="A129" s="69" t="n"/>
      <c r="B129" s="22" t="n"/>
      <c r="C129" s="22" t="n"/>
      <c r="D129" s="22" t="n"/>
      <c r="E129" s="22" t="n"/>
      <c r="F129" s="28" t="n"/>
      <c r="G129" s="97" t="n"/>
      <c r="H129" s="24" t="n"/>
      <c r="I129" s="98" t="n"/>
      <c r="J129" s="26" t="n">
        <v>1</v>
      </c>
      <c r="K129" s="70" t="n"/>
      <c r="L129" s="27">
        <f>tblAuftraege[[#This Row],[Ausgaben]]*tblAuftraege[[#This Row],[Auftrags-
wahrscheinlichkeit]]</f>
        <v/>
      </c>
      <c r="M129" s="66">
        <f>tblAuftraege[[#This Row],[Einnahmen]]*tblAuftraege[[#This Row],[Auftrags-
wahrscheinlichkeit]]</f>
        <v/>
      </c>
    </row>
    <row r="130">
      <c r="A130" s="69" t="n"/>
      <c r="B130" s="22" t="n"/>
      <c r="C130" s="22" t="n"/>
      <c r="D130" s="22" t="n"/>
      <c r="E130" s="22" t="n"/>
      <c r="F130" s="28" t="n"/>
      <c r="G130" s="97" t="n"/>
      <c r="H130" s="24" t="n"/>
      <c r="I130" s="98" t="n"/>
      <c r="J130" s="26" t="n">
        <v>1</v>
      </c>
      <c r="K130" s="70" t="n"/>
      <c r="L130" s="27">
        <f>tblAuftraege[[#This Row],[Ausgaben]]*tblAuftraege[[#This Row],[Auftrags-
wahrscheinlichkeit]]</f>
        <v/>
      </c>
      <c r="M130" s="66">
        <f>tblAuftraege[[#This Row],[Einnahmen]]*tblAuftraege[[#This Row],[Auftrags-
wahrscheinlichkeit]]</f>
        <v/>
      </c>
    </row>
    <row r="131">
      <c r="A131" s="69" t="n"/>
      <c r="B131" s="22" t="n"/>
      <c r="C131" s="22" t="n"/>
      <c r="D131" s="22" t="n"/>
      <c r="E131" s="22" t="n"/>
      <c r="F131" s="28" t="n"/>
      <c r="G131" s="97" t="n"/>
      <c r="H131" s="24" t="n"/>
      <c r="I131" s="98" t="n"/>
      <c r="J131" s="26" t="n">
        <v>1</v>
      </c>
      <c r="K131" s="70" t="n"/>
      <c r="L131" s="27">
        <f>tblAuftraege[[#This Row],[Ausgaben]]*tblAuftraege[[#This Row],[Auftrags-
wahrscheinlichkeit]]</f>
        <v/>
      </c>
      <c r="M131" s="66">
        <f>tblAuftraege[[#This Row],[Einnahmen]]*tblAuftraege[[#This Row],[Auftrags-
wahrscheinlichkeit]]</f>
        <v/>
      </c>
    </row>
    <row r="132">
      <c r="A132" s="69" t="n"/>
      <c r="B132" s="22" t="n"/>
      <c r="C132" s="22" t="n"/>
      <c r="D132" s="22" t="n"/>
      <c r="E132" s="22" t="n"/>
      <c r="F132" s="28" t="n"/>
      <c r="G132" s="97" t="n"/>
      <c r="H132" s="24" t="n"/>
      <c r="I132" s="98" t="n"/>
      <c r="J132" s="26" t="n">
        <v>1</v>
      </c>
      <c r="K132" s="70" t="n"/>
      <c r="L132" s="27">
        <f>tblAuftraege[[#This Row],[Ausgaben]]*tblAuftraege[[#This Row],[Auftrags-
wahrscheinlichkeit]]</f>
        <v/>
      </c>
      <c r="M132" s="66">
        <f>tblAuftraege[[#This Row],[Einnahmen]]*tblAuftraege[[#This Row],[Auftrags-
wahrscheinlichkeit]]</f>
        <v/>
      </c>
    </row>
    <row r="133">
      <c r="A133" s="69" t="n"/>
      <c r="B133" s="22" t="n"/>
      <c r="C133" s="22" t="n"/>
      <c r="D133" s="22" t="n"/>
      <c r="E133" s="22" t="n"/>
      <c r="F133" s="28" t="n"/>
      <c r="G133" s="97" t="n"/>
      <c r="H133" s="24" t="n"/>
      <c r="I133" s="98" t="n"/>
      <c r="J133" s="26" t="n">
        <v>1</v>
      </c>
      <c r="K133" s="70" t="n"/>
      <c r="L133" s="27">
        <f>tblAuftraege[[#This Row],[Ausgaben]]*tblAuftraege[[#This Row],[Auftrags-
wahrscheinlichkeit]]</f>
        <v/>
      </c>
      <c r="M133" s="66">
        <f>tblAuftraege[[#This Row],[Einnahmen]]*tblAuftraege[[#This Row],[Auftrags-
wahrscheinlichkeit]]</f>
        <v/>
      </c>
    </row>
    <row r="134">
      <c r="A134" s="69" t="n"/>
      <c r="B134" s="22" t="n"/>
      <c r="C134" s="22" t="n"/>
      <c r="D134" s="22" t="n"/>
      <c r="E134" s="22" t="n"/>
      <c r="F134" s="28" t="n"/>
      <c r="G134" s="97" t="n"/>
      <c r="H134" s="24" t="n"/>
      <c r="I134" s="98" t="n"/>
      <c r="J134" s="26" t="n">
        <v>1</v>
      </c>
      <c r="K134" s="70" t="n"/>
      <c r="L134" s="27">
        <f>tblAuftraege[[#This Row],[Ausgaben]]*tblAuftraege[[#This Row],[Auftrags-
wahrscheinlichkeit]]</f>
        <v/>
      </c>
      <c r="M134" s="66">
        <f>tblAuftraege[[#This Row],[Einnahmen]]*tblAuftraege[[#This Row],[Auftrags-
wahrscheinlichkeit]]</f>
        <v/>
      </c>
    </row>
    <row r="135">
      <c r="A135" s="69" t="n"/>
      <c r="B135" s="22" t="n"/>
      <c r="C135" s="22" t="n"/>
      <c r="D135" s="22" t="n"/>
      <c r="E135" s="22" t="n"/>
      <c r="F135" s="28" t="n"/>
      <c r="G135" s="97" t="n"/>
      <c r="H135" s="24" t="n"/>
      <c r="I135" s="98" t="n"/>
      <c r="J135" s="26" t="n">
        <v>1</v>
      </c>
      <c r="K135" s="70" t="n"/>
      <c r="L135" s="27">
        <f>tblAuftraege[[#This Row],[Ausgaben]]*tblAuftraege[[#This Row],[Auftrags-
wahrscheinlichkeit]]</f>
        <v/>
      </c>
      <c r="M135" s="66">
        <f>tblAuftraege[[#This Row],[Einnahmen]]*tblAuftraege[[#This Row],[Auftrags-
wahrscheinlichkeit]]</f>
        <v/>
      </c>
    </row>
    <row r="136">
      <c r="A136" s="69" t="n"/>
      <c r="B136" s="22" t="n"/>
      <c r="C136" s="22" t="n"/>
      <c r="D136" s="22" t="n"/>
      <c r="E136" s="22" t="n"/>
      <c r="F136" s="28" t="n"/>
      <c r="G136" s="97" t="n"/>
      <c r="H136" s="24" t="n"/>
      <c r="I136" s="98" t="n"/>
      <c r="J136" s="26" t="n">
        <v>1</v>
      </c>
      <c r="K136" s="70" t="n"/>
      <c r="L136" s="27">
        <f>tblAuftraege[[#This Row],[Ausgaben]]*tblAuftraege[[#This Row],[Auftrags-
wahrscheinlichkeit]]</f>
        <v/>
      </c>
      <c r="M136" s="66">
        <f>tblAuftraege[[#This Row],[Einnahmen]]*tblAuftraege[[#This Row],[Auftrags-
wahrscheinlichkeit]]</f>
        <v/>
      </c>
    </row>
    <row r="137">
      <c r="A137" s="69" t="n"/>
      <c r="B137" s="22" t="n"/>
      <c r="C137" s="22" t="n"/>
      <c r="D137" s="22" t="n"/>
      <c r="E137" s="22" t="n"/>
      <c r="F137" s="28" t="n"/>
      <c r="G137" s="97" t="n"/>
      <c r="H137" s="24" t="n"/>
      <c r="I137" s="98" t="n"/>
      <c r="J137" s="26" t="n">
        <v>1</v>
      </c>
      <c r="K137" s="70" t="n"/>
      <c r="L137" s="27">
        <f>tblAuftraege[[#This Row],[Ausgaben]]*tblAuftraege[[#This Row],[Auftrags-
wahrscheinlichkeit]]</f>
        <v/>
      </c>
      <c r="M137" s="66">
        <f>tblAuftraege[[#This Row],[Einnahmen]]*tblAuftraege[[#This Row],[Auftrags-
wahrscheinlichkeit]]</f>
        <v/>
      </c>
    </row>
    <row r="138">
      <c r="A138" s="69" t="n"/>
      <c r="B138" s="22" t="n"/>
      <c r="C138" s="22" t="n"/>
      <c r="D138" s="22" t="n"/>
      <c r="E138" s="22" t="n"/>
      <c r="F138" s="28" t="n"/>
      <c r="G138" s="97" t="n"/>
      <c r="H138" s="24" t="n"/>
      <c r="I138" s="98" t="n"/>
      <c r="J138" s="26" t="n">
        <v>1</v>
      </c>
      <c r="K138" s="70" t="n"/>
      <c r="L138" s="27">
        <f>tblAuftraege[[#This Row],[Ausgaben]]*tblAuftraege[[#This Row],[Auftrags-
wahrscheinlichkeit]]</f>
        <v/>
      </c>
      <c r="M138" s="66">
        <f>tblAuftraege[[#This Row],[Einnahmen]]*tblAuftraege[[#This Row],[Auftrags-
wahrscheinlichkeit]]</f>
        <v/>
      </c>
    </row>
    <row r="139">
      <c r="A139" s="69" t="n"/>
      <c r="B139" s="22" t="n"/>
      <c r="C139" s="22" t="n"/>
      <c r="D139" s="22" t="n"/>
      <c r="E139" s="22" t="n"/>
      <c r="F139" s="28" t="n"/>
      <c r="G139" s="97" t="n"/>
      <c r="H139" s="24" t="n"/>
      <c r="I139" s="98" t="n"/>
      <c r="J139" s="26" t="n">
        <v>1</v>
      </c>
      <c r="K139" s="70" t="n"/>
      <c r="L139" s="27">
        <f>tblAuftraege[[#This Row],[Ausgaben]]*tblAuftraege[[#This Row],[Auftrags-
wahrscheinlichkeit]]</f>
        <v/>
      </c>
      <c r="M139" s="66">
        <f>tblAuftraege[[#This Row],[Einnahmen]]*tblAuftraege[[#This Row],[Auftrags-
wahrscheinlichkeit]]</f>
        <v/>
      </c>
    </row>
    <row r="140">
      <c r="A140" s="69" t="n"/>
      <c r="B140" s="22" t="n"/>
      <c r="C140" s="22" t="n"/>
      <c r="D140" s="22" t="n"/>
      <c r="E140" s="22" t="n"/>
      <c r="F140" s="28" t="n"/>
      <c r="G140" s="97" t="n"/>
      <c r="H140" s="24" t="n"/>
      <c r="I140" s="98" t="n"/>
      <c r="J140" s="26" t="n">
        <v>1</v>
      </c>
      <c r="K140" s="70" t="n"/>
      <c r="L140" s="27">
        <f>tblAuftraege[[#This Row],[Ausgaben]]*tblAuftraege[[#This Row],[Auftrags-
wahrscheinlichkeit]]</f>
        <v/>
      </c>
      <c r="M140" s="66">
        <f>tblAuftraege[[#This Row],[Einnahmen]]*tblAuftraege[[#This Row],[Auftrags-
wahrscheinlichkeit]]</f>
        <v/>
      </c>
    </row>
    <row r="141">
      <c r="A141" s="69" t="n"/>
      <c r="B141" s="22" t="n"/>
      <c r="C141" s="22" t="n"/>
      <c r="D141" s="22" t="n"/>
      <c r="E141" s="22" t="n"/>
      <c r="F141" s="28" t="n"/>
      <c r="G141" s="97" t="n"/>
      <c r="H141" s="24" t="n"/>
      <c r="I141" s="98" t="n"/>
      <c r="J141" s="26" t="n">
        <v>1</v>
      </c>
      <c r="K141" s="70" t="n"/>
      <c r="L141" s="27">
        <f>tblAuftraege[[#This Row],[Ausgaben]]*tblAuftraege[[#This Row],[Auftrags-
wahrscheinlichkeit]]</f>
        <v/>
      </c>
      <c r="M141" s="66">
        <f>tblAuftraege[[#This Row],[Einnahmen]]*tblAuftraege[[#This Row],[Auftrags-
wahrscheinlichkeit]]</f>
        <v/>
      </c>
    </row>
    <row r="142">
      <c r="A142" s="69" t="n"/>
      <c r="B142" s="22" t="n"/>
      <c r="C142" s="22" t="n"/>
      <c r="D142" s="22" t="n"/>
      <c r="E142" s="22" t="n"/>
      <c r="F142" s="28" t="n"/>
      <c r="G142" s="97" t="n"/>
      <c r="H142" s="24" t="n"/>
      <c r="I142" s="98" t="n"/>
      <c r="J142" s="26" t="n">
        <v>1</v>
      </c>
      <c r="K142" s="70" t="n"/>
      <c r="L142" s="27">
        <f>tblAuftraege[[#This Row],[Ausgaben]]*tblAuftraege[[#This Row],[Auftrags-
wahrscheinlichkeit]]</f>
        <v/>
      </c>
      <c r="M142" s="66">
        <f>tblAuftraege[[#This Row],[Einnahmen]]*tblAuftraege[[#This Row],[Auftrags-
wahrscheinlichkeit]]</f>
        <v/>
      </c>
    </row>
    <row r="143">
      <c r="A143" s="69" t="n"/>
      <c r="B143" s="22" t="n"/>
      <c r="C143" s="22" t="n"/>
      <c r="D143" s="22" t="n"/>
      <c r="E143" s="22" t="n"/>
      <c r="F143" s="28" t="n"/>
      <c r="G143" s="97" t="n"/>
      <c r="H143" s="24" t="n"/>
      <c r="I143" s="98" t="n"/>
      <c r="J143" s="26" t="n">
        <v>1</v>
      </c>
      <c r="K143" s="70" t="n"/>
      <c r="L143" s="27">
        <f>tblAuftraege[[#This Row],[Ausgaben]]*tblAuftraege[[#This Row],[Auftrags-
wahrscheinlichkeit]]</f>
        <v/>
      </c>
      <c r="M143" s="66">
        <f>tblAuftraege[[#This Row],[Einnahmen]]*tblAuftraege[[#This Row],[Auftrags-
wahrscheinlichkeit]]</f>
        <v/>
      </c>
    </row>
    <row r="144">
      <c r="A144" s="69" t="n"/>
      <c r="B144" s="22" t="n"/>
      <c r="C144" s="22" t="n"/>
      <c r="D144" s="22" t="n"/>
      <c r="E144" s="22" t="n"/>
      <c r="F144" s="28" t="n"/>
      <c r="G144" s="97" t="n"/>
      <c r="H144" s="24" t="n"/>
      <c r="I144" s="98" t="n"/>
      <c r="J144" s="26" t="n">
        <v>1</v>
      </c>
      <c r="K144" s="70" t="n"/>
      <c r="L144" s="27">
        <f>tblAuftraege[[#This Row],[Ausgaben]]*tblAuftraege[[#This Row],[Auftrags-
wahrscheinlichkeit]]</f>
        <v/>
      </c>
      <c r="M144" s="66">
        <f>tblAuftraege[[#This Row],[Einnahmen]]*tblAuftraege[[#This Row],[Auftrags-
wahrscheinlichkeit]]</f>
        <v/>
      </c>
    </row>
    <row r="145">
      <c r="A145" s="69" t="n"/>
      <c r="B145" s="22" t="n"/>
      <c r="C145" s="22" t="n"/>
      <c r="D145" s="22" t="n"/>
      <c r="E145" s="22" t="n"/>
      <c r="F145" s="28" t="n"/>
      <c r="G145" s="97" t="n"/>
      <c r="H145" s="24" t="n"/>
      <c r="I145" s="98" t="n"/>
      <c r="J145" s="26" t="n">
        <v>1</v>
      </c>
      <c r="K145" s="70" t="n"/>
      <c r="L145" s="27">
        <f>tblAuftraege[[#This Row],[Ausgaben]]*tblAuftraege[[#This Row],[Auftrags-
wahrscheinlichkeit]]</f>
        <v/>
      </c>
      <c r="M145" s="66">
        <f>tblAuftraege[[#This Row],[Einnahmen]]*tblAuftraege[[#This Row],[Auftrags-
wahrscheinlichkeit]]</f>
        <v/>
      </c>
    </row>
    <row r="146">
      <c r="A146" s="69" t="n"/>
      <c r="B146" s="22" t="n"/>
      <c r="C146" s="22" t="n"/>
      <c r="D146" s="22" t="n"/>
      <c r="E146" s="22" t="n"/>
      <c r="F146" s="28" t="n"/>
      <c r="G146" s="97" t="n"/>
      <c r="H146" s="24" t="n"/>
      <c r="I146" s="98" t="n"/>
      <c r="J146" s="26" t="n">
        <v>1</v>
      </c>
      <c r="K146" s="70" t="n"/>
      <c r="L146" s="27">
        <f>tblAuftraege[[#This Row],[Ausgaben]]*tblAuftraege[[#This Row],[Auftrags-
wahrscheinlichkeit]]</f>
        <v/>
      </c>
      <c r="M146" s="66">
        <f>tblAuftraege[[#This Row],[Einnahmen]]*tblAuftraege[[#This Row],[Auftrags-
wahrscheinlichkeit]]</f>
        <v/>
      </c>
    </row>
    <row r="147">
      <c r="A147" s="69" t="n"/>
      <c r="B147" s="22" t="n"/>
      <c r="C147" s="22" t="n"/>
      <c r="D147" s="22" t="n"/>
      <c r="E147" s="22" t="n"/>
      <c r="F147" s="28" t="n"/>
      <c r="G147" s="97" t="n"/>
      <c r="H147" s="24" t="n"/>
      <c r="I147" s="98" t="n"/>
      <c r="J147" s="26" t="n">
        <v>1</v>
      </c>
      <c r="K147" s="70" t="n"/>
      <c r="L147" s="27">
        <f>tblAuftraege[[#This Row],[Ausgaben]]*tblAuftraege[[#This Row],[Auftrags-
wahrscheinlichkeit]]</f>
        <v/>
      </c>
      <c r="M147" s="66">
        <f>tblAuftraege[[#This Row],[Einnahmen]]*tblAuftraege[[#This Row],[Auftrags-
wahrscheinlichkeit]]</f>
        <v/>
      </c>
    </row>
    <row r="148">
      <c r="A148" s="69" t="n"/>
      <c r="B148" s="22" t="n"/>
      <c r="C148" s="22" t="n"/>
      <c r="D148" s="22" t="n"/>
      <c r="E148" s="22" t="n"/>
      <c r="F148" s="28" t="n"/>
      <c r="G148" s="97" t="n"/>
      <c r="H148" s="24" t="n"/>
      <c r="I148" s="98" t="n"/>
      <c r="J148" s="26" t="n">
        <v>1</v>
      </c>
      <c r="K148" s="70" t="n"/>
      <c r="L148" s="27">
        <f>tblAuftraege[[#This Row],[Ausgaben]]*tblAuftraege[[#This Row],[Auftrags-
wahrscheinlichkeit]]</f>
        <v/>
      </c>
      <c r="M148" s="66">
        <f>tblAuftraege[[#This Row],[Einnahmen]]*tblAuftraege[[#This Row],[Auftrags-
wahrscheinlichkeit]]</f>
        <v/>
      </c>
    </row>
    <row r="149">
      <c r="A149" s="69" t="n"/>
      <c r="B149" s="22" t="n"/>
      <c r="C149" s="22" t="n"/>
      <c r="D149" s="22" t="n"/>
      <c r="E149" s="22" t="n"/>
      <c r="F149" s="28" t="n"/>
      <c r="G149" s="97" t="n"/>
      <c r="H149" s="24" t="n"/>
      <c r="I149" s="98" t="n"/>
      <c r="J149" s="26" t="n">
        <v>1</v>
      </c>
      <c r="K149" s="70" t="n"/>
      <c r="L149" s="27">
        <f>tblAuftraege[[#This Row],[Ausgaben]]*tblAuftraege[[#This Row],[Auftrags-
wahrscheinlichkeit]]</f>
        <v/>
      </c>
      <c r="M149" s="66">
        <f>tblAuftraege[[#This Row],[Einnahmen]]*tblAuftraege[[#This Row],[Auftrags-
wahrscheinlichkeit]]</f>
        <v/>
      </c>
    </row>
    <row r="150">
      <c r="A150" s="69" t="n"/>
      <c r="B150" s="22" t="n"/>
      <c r="C150" s="22" t="n"/>
      <c r="D150" s="22" t="n"/>
      <c r="E150" s="22" t="n"/>
      <c r="F150" s="28" t="n"/>
      <c r="G150" s="97" t="n"/>
      <c r="H150" s="24" t="n"/>
      <c r="I150" s="98" t="n"/>
      <c r="J150" s="26" t="n">
        <v>1</v>
      </c>
      <c r="K150" s="70" t="n"/>
      <c r="L150" s="27">
        <f>tblAuftraege[[#This Row],[Ausgaben]]*tblAuftraege[[#This Row],[Auftrags-
wahrscheinlichkeit]]</f>
        <v/>
      </c>
      <c r="M150" s="66">
        <f>tblAuftraege[[#This Row],[Einnahmen]]*tblAuftraege[[#This Row],[Auftrags-
wahrscheinlichkeit]]</f>
        <v/>
      </c>
    </row>
    <row r="151">
      <c r="A151" s="69" t="n"/>
      <c r="B151" s="22" t="n"/>
      <c r="C151" s="22" t="n"/>
      <c r="D151" s="22" t="n"/>
      <c r="E151" s="22" t="n"/>
      <c r="F151" s="28" t="n"/>
      <c r="G151" s="97" t="n"/>
      <c r="H151" s="24" t="n"/>
      <c r="I151" s="98" t="n"/>
      <c r="J151" s="26" t="n">
        <v>1</v>
      </c>
      <c r="K151" s="70" t="n"/>
      <c r="L151" s="27">
        <f>tblAuftraege[[#This Row],[Ausgaben]]*tblAuftraege[[#This Row],[Auftrags-
wahrscheinlichkeit]]</f>
        <v/>
      </c>
      <c r="M151" s="66">
        <f>tblAuftraege[[#This Row],[Einnahmen]]*tblAuftraege[[#This Row],[Auftrags-
wahrscheinlichkeit]]</f>
        <v/>
      </c>
    </row>
    <row r="152">
      <c r="A152" s="69" t="n"/>
      <c r="B152" s="22" t="n"/>
      <c r="C152" s="22" t="n"/>
      <c r="D152" s="22" t="n"/>
      <c r="E152" s="22" t="n"/>
      <c r="F152" s="28" t="n"/>
      <c r="G152" s="97" t="n"/>
      <c r="H152" s="24" t="n"/>
      <c r="I152" s="98" t="n"/>
      <c r="J152" s="26" t="n">
        <v>1</v>
      </c>
      <c r="K152" s="70" t="n"/>
      <c r="L152" s="27">
        <f>tblAuftraege[[#This Row],[Ausgaben]]*tblAuftraege[[#This Row],[Auftrags-
wahrscheinlichkeit]]</f>
        <v/>
      </c>
      <c r="M152" s="66">
        <f>tblAuftraege[[#This Row],[Einnahmen]]*tblAuftraege[[#This Row],[Auftrags-
wahrscheinlichkeit]]</f>
        <v/>
      </c>
    </row>
    <row r="153">
      <c r="A153" s="69" t="n"/>
      <c r="B153" s="22" t="n"/>
      <c r="C153" s="22" t="n"/>
      <c r="D153" s="22" t="n"/>
      <c r="E153" s="22" t="n"/>
      <c r="F153" s="28" t="n"/>
      <c r="G153" s="97" t="n"/>
      <c r="H153" s="24" t="n"/>
      <c r="I153" s="98" t="n"/>
      <c r="J153" s="26" t="n">
        <v>1</v>
      </c>
      <c r="K153" s="70" t="n"/>
      <c r="L153" s="27">
        <f>tblAuftraege[[#This Row],[Ausgaben]]*tblAuftraege[[#This Row],[Auftrags-
wahrscheinlichkeit]]</f>
        <v/>
      </c>
      <c r="M153" s="66">
        <f>tblAuftraege[[#This Row],[Einnahmen]]*tblAuftraege[[#This Row],[Auftrags-
wahrscheinlichkeit]]</f>
        <v/>
      </c>
    </row>
    <row r="154">
      <c r="A154" s="69" t="n"/>
      <c r="B154" s="22" t="n"/>
      <c r="C154" s="22" t="n"/>
      <c r="D154" s="22" t="n"/>
      <c r="E154" s="22" t="n"/>
      <c r="F154" s="28" t="n"/>
      <c r="G154" s="97" t="n"/>
      <c r="H154" s="24" t="n"/>
      <c r="I154" s="98" t="n"/>
      <c r="J154" s="26" t="n">
        <v>1</v>
      </c>
      <c r="K154" s="70" t="n"/>
      <c r="L154" s="27">
        <f>tblAuftraege[[#This Row],[Ausgaben]]*tblAuftraege[[#This Row],[Auftrags-
wahrscheinlichkeit]]</f>
        <v/>
      </c>
      <c r="M154" s="66">
        <f>tblAuftraege[[#This Row],[Einnahmen]]*tblAuftraege[[#This Row],[Auftrags-
wahrscheinlichkeit]]</f>
        <v/>
      </c>
    </row>
    <row r="155">
      <c r="A155" s="69" t="n"/>
      <c r="B155" s="22" t="n"/>
      <c r="C155" s="22" t="n"/>
      <c r="D155" s="22" t="n"/>
      <c r="E155" s="22" t="n"/>
      <c r="F155" s="28" t="n"/>
      <c r="G155" s="97" t="n"/>
      <c r="H155" s="24" t="n"/>
      <c r="I155" s="98" t="n"/>
      <c r="J155" s="26" t="n">
        <v>1</v>
      </c>
      <c r="K155" s="70" t="n"/>
      <c r="L155" s="27">
        <f>tblAuftraege[[#This Row],[Ausgaben]]*tblAuftraege[[#This Row],[Auftrags-
wahrscheinlichkeit]]</f>
        <v/>
      </c>
      <c r="M155" s="66">
        <f>tblAuftraege[[#This Row],[Einnahmen]]*tblAuftraege[[#This Row],[Auftrags-
wahrscheinlichkeit]]</f>
        <v/>
      </c>
    </row>
    <row r="156" ht="15.75" customHeight="1" thickBot="1">
      <c r="A156" s="69" t="n"/>
      <c r="B156" s="59" t="n"/>
      <c r="C156" s="72" t="n"/>
      <c r="D156" s="59" t="n"/>
      <c r="E156" s="59" t="n"/>
      <c r="F156" s="71" t="n"/>
      <c r="G156" s="97" t="n"/>
      <c r="H156" s="73" t="n"/>
      <c r="I156" s="98" t="n"/>
      <c r="J156" s="26" t="n">
        <v>1</v>
      </c>
      <c r="K156" s="70" t="n"/>
      <c r="L156" s="74">
        <f>tblAuftraege[[#This Row],[Ausgaben]]*tblAuftraege[[#This Row],[Auftrags-
wahrscheinlichkeit]]</f>
        <v/>
      </c>
      <c r="M156" s="53">
        <f>tblAuftraege[[#This Row],[Einnahmen]]*tblAuftraege[[#This Row],[Auftrags-
wahrscheinlichkeit]]</f>
        <v/>
      </c>
    </row>
    <row r="157" ht="16.5" customHeight="1" thickBot="1" thickTop="1">
      <c r="A157" s="69" t="n"/>
      <c r="B157" s="76" t="n"/>
      <c r="C157" s="77" t="n"/>
      <c r="D157" s="78" t="n"/>
      <c r="E157" s="78" t="n"/>
      <c r="F157" s="79" t="n"/>
      <c r="G157" s="80" t="n"/>
      <c r="H157" s="80" t="n"/>
      <c r="I157" s="78" t="n"/>
      <c r="J157" s="80" t="n"/>
      <c r="K157" s="75" t="inlineStr">
        <is>
          <t>Ergebnis</t>
        </is>
      </c>
      <c r="L157" s="81">
        <f>SUBTOTAL(109,tblAuftraege[Kalk.
Ausgaben])</f>
        <v/>
      </c>
      <c r="M157" s="82">
        <f>SUBTOTAL(109,tblAuftraege[Kalk.
Einnahmen])</f>
        <v/>
      </c>
    </row>
    <row r="158" ht="15.75" customHeight="1" thickTop="1">
      <c r="A158" s="83" t="n"/>
    </row>
  </sheetData>
  <conditionalFormatting sqref="J7:J156">
    <cfRule type="dataBar" priority="27">
      <dataBar>
        <cfvo type="min"/>
        <cfvo type="max"/>
        <color rgb="FF638EC6"/>
      </dataBar>
    </cfRule>
  </conditionalFormatting>
  <dataValidations count="7">
    <dataValidation sqref="A159:A358" showDropDown="0" showInputMessage="0" showErrorMessage="0" allowBlank="1" errorTitle="Ungültiges Themenfeld" error="Bitte IoT, EDM, Parking oder LLM auswählen." type="list">
      <formula1>"IoT,EDM,Parking,LLM"</formula1>
      <formula2>0</formula2>
    </dataValidation>
    <dataValidation sqref="B158:B357" showDropDown="0" showInputMessage="0" showErrorMessage="0" allowBlank="1" errorTitle="Ungültige Kategorie" error="Bitte Hardware, Hardware + Dienstleistung, Lizenzen oder Dienstleistung auswählen." type="list">
      <formula1>"Hardware,Hardware + Dienstleistung,Lizenzen,Dienstleistung"</formula1>
      <formula2>0</formula2>
    </dataValidation>
    <dataValidation sqref="I158:I357 J7:J156" showDropDown="0" showInputMessage="0" showErrorMessage="0" allowBlank="1" errorTitle="Ungültige Wahrscheinlichkeit" error="Zulässig sind 0 % bis 100 %. Eingabe z. B. als 20% oder als 0,2." type="decimal">
      <formula1>0</formula1>
      <formula2>1</formula2>
    </dataValidation>
    <dataValidation sqref="E158:F357 F7:F156 G16:H16 H7:H14 H17:H156 J7:J156" showDropDown="0" showInputMessage="0" showErrorMessage="0" allowBlank="1" errorTitle="Ungültiges Datum" error="Bitte ein Datum im Format TT.MM.JJJJ eintragen." type="date">
      <formula1>DATE(2020,1,1)</formula1>
      <formula2>DATE(2040,12,31)</formula2>
    </dataValidation>
    <dataValidation sqref="B7:B156" showDropDown="0" showInputMessage="0" showErrorMessage="0" allowBlank="1" errorTitle="Ungültiges Themenfeld" error="Bitte IoT, EDM, Parking oder LLM auswählen." type="list">
      <formula1>"EDM,LLM,Parking,IoT"</formula1>
    </dataValidation>
    <dataValidation sqref="D7:D156" showDropDown="0" showInputMessage="0" showErrorMessage="0" allowBlank="1" errorTitle="Ungültige Kategorie" error="Bitte Hardware, Hardware + Dienstleistung, Lizenzen oder Dienstleistung auswählen." type="list">
      <formula1>"Hardware,Hardware + Dienstleistung,Dienstleistung,Lizenzen"</formula1>
    </dataValidation>
    <dataValidation sqref="C7:C156" showDropDown="0" showInputMessage="0" showErrorMessage="0" allowBlank="1" errorTitle="Unbekannte Kostenstelle" error="Bitte eine Kostenstelle aus dem Cashflow-Reiter wählen (Zeilen 8–37)." type="list">
      <formula1>=Cashflow!$B$8:$B$37</formula1>
    </dataValidation>
  </dataValidations>
  <pageMargins left="0.75" right="0.75" top="1" bottom="1" header="0.511811023622047" footer="0.5"/>
  <pageSetup orientation="landscape" paperSize="9" fitToHeight="0" horizontalDpi="300" verticalDpi="300"/>
  <headerFooter>
    <oddHeader/>
    <oddFooter>&amp;C&amp;8 DusL Plus Autostrom – Aufträge  | 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2026-08-12T11:03:44Z</dcterms:created>
  <dcterms:modified xsi:type="dcterms:W3CDTF">2026-08-17T07:52:30Z</dcterms:modified>
  <cp:lastModifiedBy>Butt, Walid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0x010100475E5B06CDD19045B5EB70BBCE797125</vt:lpwstr>
  </property>
  <property name="MediaServiceImageTags" fmtid="{D5CDD505-2E9C-101B-9397-08002B2CF9AE}" pid="3">
    <vt:lpwstr/>
  </property>
</Properties>
</file>