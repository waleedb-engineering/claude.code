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flow" sheetId="1" state="visible" r:id="rId3"/>
    <sheet name="Aufträge" sheetId="2" state="visible" r:id="rId4"/>
    <sheet name="Übersicht" sheetId="3" state="visible" r:id="rId5"/>
  </sheets>
  <definedNames>
    <definedName function="false" hidden="false" localSheetId="1" name="_xlnm.Print_Area" vbProcedure="false">Aufträge!$A$1:$I$306</definedName>
    <definedName function="false" hidden="false" localSheetId="1" name="_xlnm.Print_Titles" vbProcedure="false">Aufträge!$A:$A,Aufträge!$6:$6</definedName>
    <definedName function="false" hidden="false" localSheetId="0" name="_xlnm.Print_Area" vbProcedure="false">Cashflow!$A$1:$BL$217</definedName>
    <definedName function="false" hidden="false" localSheetId="0" name="_xlnm.Print_Titles" vbProcedure="false">Cashflow!$A:$D,Cashflow!$6:$6</definedName>
    <definedName function="false" hidden="false" localSheetId="0" name="_xlnm.Print_Titles" vbProcedure="false">Cashflow!$6:$6,Cashflow!$A:$D</definedName>
    <definedName function="false" hidden="false" localSheetId="1" name="_xlnm.Print_Titles" vbProcedure="false">Aufträge!$6:$6,Aufträge!$A:$A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<sst xmlns="http://schemas.openxmlformats.org/spreadsheetml/2006/main" count="216" uniqueCount="186">
  <si>
    <t xml:space="preserve">Cashflow-Planung</t>
  </si>
  <si>
    <t xml:space="preserve">Bereich:  SmartInfra / IoT-Büro</t>
  </si>
  <si>
    <t xml:space="preserve">Zeitraum:  Juli 2026 – Dezember 2030  (54 Monate, monatliche Granularität)</t>
  </si>
  <si>
    <t xml:space="preserve">Alle Beträge werden automatisch aus dem Reiter „Aufträge“ berechnet – hier wird links nur die Auftragsnummer (gelb) eingetragen.</t>
  </si>
  <si>
    <t xml:space="preserve">Auftrag</t>
  </si>
  <si>
    <t xml:space="preserve">Kostenstelle</t>
  </si>
  <si>
    <t xml:space="preserve">Themenfeld</t>
  </si>
  <si>
    <t xml:space="preserve">Kategorie</t>
  </si>
  <si>
    <t xml:space="preserve">Jul 26</t>
  </si>
  <si>
    <t xml:space="preserve">Aug 26</t>
  </si>
  <si>
    <t xml:space="preserve">Sep 26</t>
  </si>
  <si>
    <t xml:space="preserve">Okt 26</t>
  </si>
  <si>
    <t xml:space="preserve">Nov 26</t>
  </si>
  <si>
    <t xml:space="preserve">Dez 26</t>
  </si>
  <si>
    <t xml:space="preserve">Jan 27</t>
  </si>
  <si>
    <t xml:space="preserve">Feb 27</t>
  </si>
  <si>
    <t xml:space="preserve">Mär 27</t>
  </si>
  <si>
    <t xml:space="preserve">Apr 27</t>
  </si>
  <si>
    <t xml:space="preserve">Mai 27</t>
  </si>
  <si>
    <t xml:space="preserve">Jun 27</t>
  </si>
  <si>
    <t xml:space="preserve">Jul 27</t>
  </si>
  <si>
    <t xml:space="preserve">Aug 27</t>
  </si>
  <si>
    <t xml:space="preserve">Sep 27</t>
  </si>
  <si>
    <t xml:space="preserve">Okt 27</t>
  </si>
  <si>
    <t xml:space="preserve">Nov 27</t>
  </si>
  <si>
    <t xml:space="preserve">Dez 27</t>
  </si>
  <si>
    <t xml:space="preserve">Jan 28</t>
  </si>
  <si>
    <t xml:space="preserve">Feb 28</t>
  </si>
  <si>
    <t xml:space="preserve">Mär 28</t>
  </si>
  <si>
    <t xml:space="preserve">Apr 28</t>
  </si>
  <si>
    <t xml:space="preserve">Mai 28</t>
  </si>
  <si>
    <t xml:space="preserve">Jun 28</t>
  </si>
  <si>
    <t xml:space="preserve">Jul 28</t>
  </si>
  <si>
    <t xml:space="preserve">Aug 28</t>
  </si>
  <si>
    <t xml:space="preserve">Sep 28</t>
  </si>
  <si>
    <t xml:space="preserve">Okt 28</t>
  </si>
  <si>
    <t xml:space="preserve">Nov 28</t>
  </si>
  <si>
    <t xml:space="preserve">Dez 28</t>
  </si>
  <si>
    <t xml:space="preserve">Jan 29</t>
  </si>
  <si>
    <t xml:space="preserve">Feb 29</t>
  </si>
  <si>
    <t xml:space="preserve">Mär 29</t>
  </si>
  <si>
    <t xml:space="preserve">Apr 29</t>
  </si>
  <si>
    <t xml:space="preserve">Mai 29</t>
  </si>
  <si>
    <t xml:space="preserve">Jun 29</t>
  </si>
  <si>
    <t xml:space="preserve">Jul 29</t>
  </si>
  <si>
    <t xml:space="preserve">Aug 29</t>
  </si>
  <si>
    <t xml:space="preserve">Sep 29</t>
  </si>
  <si>
    <t xml:space="preserve">Okt 29</t>
  </si>
  <si>
    <t xml:space="preserve">Nov 29</t>
  </si>
  <si>
    <t xml:space="preserve">Dez 29</t>
  </si>
  <si>
    <t xml:space="preserve">Jan 30</t>
  </si>
  <si>
    <t xml:space="preserve">Feb 30</t>
  </si>
  <si>
    <t xml:space="preserve">Mär 30</t>
  </si>
  <si>
    <t xml:space="preserve">Apr 30</t>
  </si>
  <si>
    <t xml:space="preserve">Mai 30</t>
  </si>
  <si>
    <t xml:space="preserve">Jun 30</t>
  </si>
  <si>
    <t xml:space="preserve">Jul 30</t>
  </si>
  <si>
    <t xml:space="preserve">Aug 30</t>
  </si>
  <si>
    <t xml:space="preserve">Sep 30</t>
  </si>
  <si>
    <t xml:space="preserve">Okt 30</t>
  </si>
  <si>
    <t xml:space="preserve">Nov 30</t>
  </si>
  <si>
    <t xml:space="preserve">Dez 30</t>
  </si>
  <si>
    <t xml:space="preserve">Summe H2 2026</t>
  </si>
  <si>
    <t xml:space="preserve">Summe 2027</t>
  </si>
  <si>
    <t xml:space="preserve">Summe 2028</t>
  </si>
  <si>
    <t xml:space="preserve">Summe 2029</t>
  </si>
  <si>
    <t xml:space="preserve">Summe 2030</t>
  </si>
  <si>
    <t xml:space="preserve">Gesamt</t>
  </si>
  <si>
    <t xml:space="preserve">1  EINNAHMEN JE AUFTRAG  (Quelle: Reiter „Aufträge“)</t>
  </si>
  <si>
    <t xml:space="preserve">Noch nicht erfasste Aufträge</t>
  </si>
  <si>
    <t xml:space="preserve">Differenz</t>
  </si>
  <si>
    <t xml:space="preserve">Summe Einnahmen</t>
  </si>
  <si>
    <t xml:space="preserve">2  AUSGABEN JE AUFTRAG  (Quelle: Reiter „Aufträge“)</t>
  </si>
  <si>
    <t xml:space="preserve">Summe Ausgaben</t>
  </si>
  <si>
    <t xml:space="preserve">3  KENNZAHLEN (automatisch berechnet)</t>
  </si>
  <si>
    <t xml:space="preserve">Netto-Cashflow (Monat)</t>
  </si>
  <si>
    <t xml:space="preserve">Kumulierter Cashflow</t>
  </si>
  <si>
    <t xml:space="preserve">4  AUSWERTUNG NACH THEMENFELD (nachrichtlich, nicht in der Cashflow-Summe enthalten)</t>
  </si>
  <si>
    <t xml:space="preserve">IoT – Einnahmen</t>
  </si>
  <si>
    <t xml:space="preserve">IoT – Ausgaben</t>
  </si>
  <si>
    <t xml:space="preserve">IoT – gewichteter Netto-Forecast</t>
  </si>
  <si>
    <t xml:space="preserve">EDM – Einnahmen</t>
  </si>
  <si>
    <t xml:space="preserve">EDM – Ausgaben</t>
  </si>
  <si>
    <t xml:space="preserve">EDM – gewichteter Netto-Forecast</t>
  </si>
  <si>
    <t xml:space="preserve">Parking – Einnahmen</t>
  </si>
  <si>
    <t xml:space="preserve">Parking – Ausgaben</t>
  </si>
  <si>
    <t xml:space="preserve">Parking – gewichteter Netto-Forecast</t>
  </si>
  <si>
    <t xml:space="preserve">LLM – Einnahmen</t>
  </si>
  <si>
    <t xml:space="preserve">LLM – Ausgaben</t>
  </si>
  <si>
    <t xml:space="preserve">LLM – gewichteter Netto-Forecast</t>
  </si>
  <si>
    <t xml:space="preserve">5  AUSWERTUNG NACH KATEGORIE (nachrichtlich, nicht in der Cashflow-Summe enthalten)</t>
  </si>
  <si>
    <t xml:space="preserve">Hardware – Einnahmen</t>
  </si>
  <si>
    <t xml:space="preserve">Hardware – Ausgaben</t>
  </si>
  <si>
    <t xml:space="preserve">Hardware + Dienstleistung – Einnahmen</t>
  </si>
  <si>
    <t xml:space="preserve">Hardware + Dienstleistung – Ausgaben</t>
  </si>
  <si>
    <t xml:space="preserve">Lizenzen – Einnahmen</t>
  </si>
  <si>
    <t xml:space="preserve">Lizenzen – Ausgaben</t>
  </si>
  <si>
    <t xml:space="preserve">Dienstleistung – Einnahmen</t>
  </si>
  <si>
    <t xml:space="preserve">Dienstleistung – Ausgaben</t>
  </si>
  <si>
    <t xml:space="preserve">6  FORECAST NACH AUFTRAGSWAHRSCHEINLICHKEIT</t>
  </si>
  <si>
    <t xml:space="preserve">Pipeline Forecast  (Zusammenfassung über alle Aufträge)</t>
  </si>
  <si>
    <t xml:space="preserve">Pipeline Einnahmen gesamt</t>
  </si>
  <si>
    <t xml:space="preserve">Pipeline Ausgaben gesamt</t>
  </si>
  <si>
    <t xml:space="preserve">Pipeline Netto-Cashflow</t>
  </si>
  <si>
    <t xml:space="preserve">Gewichtete Einnahmen</t>
  </si>
  <si>
    <t xml:space="preserve">Gewichtete Ausgaben</t>
  </si>
  <si>
    <t xml:space="preserve">Gewichteter Netto-Cashflow</t>
  </si>
  <si>
    <t xml:space="preserve">Sichere Einnahmen (100 %)</t>
  </si>
  <si>
    <t xml:space="preserve">Sichere Ausgaben (100 %)</t>
  </si>
  <si>
    <t xml:space="preserve">Sicherer Netto-Cashflow</t>
  </si>
  <si>
    <t xml:space="preserve">Durchschnittliche Auftragswahrscheinlichkeit</t>
  </si>
  <si>
    <t xml:space="preserve">Anzahl offene Aufträge (&gt; 0 % und &lt; 100 %)</t>
  </si>
  <si>
    <t xml:space="preserve">Anzahl sichere Aufträge (100 %)</t>
  </si>
  <si>
    <t xml:space="preserve">Pipeline-Wert (Einnahmen gesamt)</t>
  </si>
  <si>
    <t xml:space="preserve">Gewichteter Pipeline-Wert</t>
  </si>
  <si>
    <t xml:space="preserve">Conversion Gap (gefährdeter Umsatz)</t>
  </si>
  <si>
    <t xml:space="preserve">Gewichteter Forecast je Monat  (Betrag × Auftragswahrscheinlichkeit)</t>
  </si>
  <si>
    <t xml:space="preserve">Kumulierter gewichteter Cashflow</t>
  </si>
  <si>
    <t xml:space="preserve">Cashflow nur 100%-Aufträge  (bereits gesicherte Aufträge)</t>
  </si>
  <si>
    <t xml:space="preserve">7  EINNAHMEN NACH KOSTENSTELLE (nachrichtlich, nicht in der Cashflow-Summe enthalten)</t>
  </si>
  <si>
    <t xml:space="preserve">87004006</t>
  </si>
  <si>
    <t xml:space="preserve">LKW / Autostrom+ / PKW / Autostrom+</t>
  </si>
  <si>
    <t xml:space="preserve">87105004</t>
  </si>
  <si>
    <t xml:space="preserve">HanseWerk Natur</t>
  </si>
  <si>
    <t xml:space="preserve">87001009</t>
  </si>
  <si>
    <t xml:space="preserve">Stadtwerke Husum</t>
  </si>
  <si>
    <t xml:space="preserve">85309000</t>
  </si>
  <si>
    <t xml:space="preserve">Bereichskostenstelle EDM</t>
  </si>
  <si>
    <t xml:space="preserve">87001004</t>
  </si>
  <si>
    <t xml:space="preserve">Airbus</t>
  </si>
  <si>
    <t xml:space="preserve">87002011</t>
  </si>
  <si>
    <t xml:space="preserve">Bayernwerk GmbH</t>
  </si>
  <si>
    <t xml:space="preserve">87001001</t>
  </si>
  <si>
    <t xml:space="preserve">Stadt Rendsburg</t>
  </si>
  <si>
    <t xml:space="preserve">87001011</t>
  </si>
  <si>
    <t xml:space="preserve">Neumünster</t>
  </si>
  <si>
    <t xml:space="preserve">8  AUSGABEN NACH KOSTENSTELLE (nachrichtlich, nicht in der Cashflow-Summe enthalten)</t>
  </si>
  <si>
    <t xml:space="preserve">Legende</t>
  </si>
  <si>
    <t xml:space="preserve">Eingabezelle – hier wird die Auftragsnummer bzw. die Kostenstelle eingetragen</t>
  </si>
  <si>
    <t xml:space="preserve">Automatisch aus dem Reiter „Aufträge“ berechnet – nicht überschreiben</t>
  </si>
  <si>
    <t xml:space="preserve">Ergebniszeile – automatisch berechnet</t>
  </si>
  <si>
    <t xml:space="preserve">Datenfluss:  Aufträge  →  Cashflow  →  Übersicht. Alle Beträge werden ausschließlich im Reiter „Aufträge“ erfasst.</t>
  </si>
  <si>
    <t xml:space="preserve">Spalte A: Auftragsnummer aus dem Reiter „Aufträge“ eintragen – Kostenstelle, Themenfeld und Kategorie werden automatisch daneben ergänzt, die Monatswerte über das jeweilige Datum zugeordnet.</t>
  </si>
  <si>
    <t xml:space="preserve">Zeile 58 bzw. 112 zeigt Beträge aus Aufträgen, die oben noch keine eigene Zeile haben. Die Summenzeilen enthalten immer den vollständigen Monatswert, es geht also nie ein Betrag verloren.</t>
  </si>
  <si>
    <t xml:space="preserve">Zeile 5 ist ausgeblendet und enthält die echten Monatsanfänge (Datumswerte), mit denen die SUMMEWENNS-Formeln die Monatsgrenzen bilden.</t>
  </si>
  <si>
    <t xml:space="preserve">Hellblau hinterlegt – gewichteter Forecast (Betrag × Auftragswahrscheinlichkeit)</t>
  </si>
  <si>
    <t xml:space="preserve">Bereich 6 ist eine reine Analyse und wird nirgends zum Cashflow addiert: Zeilen 163–166 zeigen den gewichteten Forecast, Zeilen 168–170 nur die Aufträge mit 100 % Wahrscheinlichkeit. Die Kennzahlen in Bereich 3 bleiben unverändert der vollständige Cashflow.</t>
  </si>
  <si>
    <t xml:space="preserve">Eine leere Auftragswahrscheinlichkeit wirkt im Forecast wie 0 % – der normale Cashflow zeigt den Betrag trotzdem vollständig.</t>
  </si>
  <si>
    <t xml:space="preserve">Aufträge – zentrale Datenerfassung</t>
  </si>
  <si>
    <t xml:space="preserve">SmartInfra / IoT-Büro  ·  DusL Plus Autostrom</t>
  </si>
  <si>
    <t xml:space="preserve">Jeder Auftrag bzw. finanzielle Vorgang wird hier einmalig erfasst. Der Reiter „Cashflow“ aggregiert daraus automatisch nach Monat.</t>
  </si>
  <si>
    <t xml:space="preserve">Datum Einnahmen und Datum Ausgaben sind unabhängig – ein Auftrag kann z. B. im September Ausgaben und erst im November Einnahmen haben. LLM = Lastmanagement.</t>
  </si>
  <si>
    <t xml:space="preserve">Datum Einnahmen</t>
  </si>
  <si>
    <t xml:space="preserve">Datum Ausgaben</t>
  </si>
  <si>
    <t xml:space="preserve">Einnahmen</t>
  </si>
  <si>
    <t xml:space="preserve">Ausgaben</t>
  </si>
  <si>
    <t xml:space="preserve">Auftragswahrscheinlichkeit</t>
  </si>
  <si>
    <t xml:space="preserve">Übersicht Cashflow – DusL Plus Autostrom</t>
  </si>
  <si>
    <t xml:space="preserve">SmartInfra / IoT-Büro  ·  Juli 2026 – Dezember 2030</t>
  </si>
  <si>
    <t xml:space="preserve">Alle Werte werden automatisch aus dem Blatt „Cashflow“ übernommen.</t>
  </si>
  <si>
    <t xml:space="preserve">Kennzahl</t>
  </si>
  <si>
    <t xml:space="preserve">Betrag</t>
  </si>
  <si>
    <t xml:space="preserve">H2 2026  (Jul 26 – Dez 26)</t>
  </si>
  <si>
    <t xml:space="preserve">Einnahmen H2 2026</t>
  </si>
  <si>
    <t xml:space="preserve">Ausgaben H2 2026</t>
  </si>
  <si>
    <t xml:space="preserve">Netto-Cashflow H2 2026</t>
  </si>
  <si>
    <t xml:space="preserve">2027  (Jan 27 – Dez 27)</t>
  </si>
  <si>
    <t xml:space="preserve">Einnahmen 2027</t>
  </si>
  <si>
    <t xml:space="preserve">Ausgaben 2027</t>
  </si>
  <si>
    <t xml:space="preserve">Netto-Cashflow 2027</t>
  </si>
  <si>
    <t xml:space="preserve">2028  (Jan 28 – Dez 28)</t>
  </si>
  <si>
    <t xml:space="preserve">Einnahmen 2028</t>
  </si>
  <si>
    <t xml:space="preserve">Ausgaben 2028</t>
  </si>
  <si>
    <t xml:space="preserve">Netto-Cashflow 2028</t>
  </si>
  <si>
    <t xml:space="preserve">2029  (Jan 29 – Dez 29)</t>
  </si>
  <si>
    <t xml:space="preserve">Einnahmen 2029</t>
  </si>
  <si>
    <t xml:space="preserve">Ausgaben 2029</t>
  </si>
  <si>
    <t xml:space="preserve">Netto-Cashflow 2029</t>
  </si>
  <si>
    <t xml:space="preserve">2030  (Jan 30 – Dez 30)</t>
  </si>
  <si>
    <t xml:space="preserve">Einnahmen 2030</t>
  </si>
  <si>
    <t xml:space="preserve">Ausgaben 2030</t>
  </si>
  <si>
    <t xml:space="preserve">Netto-Cashflow 2030</t>
  </si>
  <si>
    <t xml:space="preserve">Gesamtzeitraum (54 Monate)</t>
  </si>
  <si>
    <t xml:space="preserve">Gesamteinnahmen</t>
  </si>
  <si>
    <t xml:space="preserve">Gesamtausgaben</t>
  </si>
  <si>
    <t xml:space="preserve">Gesamt-Netto-Cashflow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</si>
</sst>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.00&quot; €&quot;;[RED]\-#,##0.00&quot; €&quot;;\–"/>
    <numFmt numFmtId="167" formatCode="0\ %"/>
    <numFmt numFmtId="168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9E1"/>
        <bgColor rgb="FFF2F2F2"/>
      </patternFill>
    </fill>
    <fill>
      <patternFill patternType="solid">
        <fgColor rgb="FFF2F2F2"/>
        <bgColor rgb="FFEDF2F9"/>
      </patternFill>
    </fill>
    <fill>
      <patternFill patternType="solid">
        <fgColor rgb="FFE2EFDA"/>
        <bgColor rgb="FFF2F2F2"/>
      </patternFill>
    </fill>
    <fill>
      <patternFill patternType="solid">
        <fgColor rgb="FFEDF2F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EA9DB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9E1"/>
      <rgbColor rgb="FFEDF2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D9E2F3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Einnahmen vs. Ausgaben (monatlich)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Cashflow!$A$116</c:f>
              <c:strCache>
                <c:ptCount val="1"/>
                <c:pt idx="0">
                  <c:v>Summe Einnahmen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Cashflow!$E$6:$BF$6</c:f>
              <c:strCache>
                <c:ptCount val="54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  <c:pt idx="18">
                  <c:v>Jan 28</c:v>
                </c:pt>
                <c:pt idx="19">
                  <c:v>Feb 28</c:v>
                </c:pt>
                <c:pt idx="20">
                  <c:v>Mär 28</c:v>
                </c:pt>
                <c:pt idx="21">
                  <c:v>Apr 28</c:v>
                </c:pt>
                <c:pt idx="22">
                  <c:v>Mai 28</c:v>
                </c:pt>
                <c:pt idx="23">
                  <c:v>Jun 28</c:v>
                </c:pt>
                <c:pt idx="24">
                  <c:v>Jul 28</c:v>
                </c:pt>
                <c:pt idx="25">
                  <c:v>Aug 28</c:v>
                </c:pt>
                <c:pt idx="26">
                  <c:v>Sep 28</c:v>
                </c:pt>
                <c:pt idx="27">
                  <c:v>Okt 28</c:v>
                </c:pt>
                <c:pt idx="28">
                  <c:v>Nov 28</c:v>
                </c:pt>
                <c:pt idx="29">
                  <c:v>Dez 28</c:v>
                </c:pt>
                <c:pt idx="30">
                  <c:v>Jan 29</c:v>
                </c:pt>
                <c:pt idx="31">
                  <c:v>Feb 29</c:v>
                </c:pt>
                <c:pt idx="32">
                  <c:v>Mär 29</c:v>
                </c:pt>
                <c:pt idx="33">
                  <c:v>Apr 29</c:v>
                </c:pt>
                <c:pt idx="34">
                  <c:v>Mai 29</c:v>
                </c:pt>
                <c:pt idx="35">
                  <c:v>Jun 29</c:v>
                </c:pt>
                <c:pt idx="36">
                  <c:v>Jul 29</c:v>
                </c:pt>
                <c:pt idx="37">
                  <c:v>Aug 29</c:v>
                </c:pt>
                <c:pt idx="38">
                  <c:v>Sep 29</c:v>
                </c:pt>
                <c:pt idx="39">
                  <c:v>Okt 29</c:v>
                </c:pt>
                <c:pt idx="40">
                  <c:v>Nov 29</c:v>
                </c:pt>
                <c:pt idx="41">
                  <c:v>Dez 29</c:v>
                </c:pt>
                <c:pt idx="42">
                  <c:v>Jan 30</c:v>
                </c:pt>
                <c:pt idx="43">
                  <c:v>Feb 30</c:v>
                </c:pt>
                <c:pt idx="44">
                  <c:v>Mär 30</c:v>
                </c:pt>
                <c:pt idx="45">
                  <c:v>Apr 30</c:v>
                </c:pt>
                <c:pt idx="46">
                  <c:v>Mai 30</c:v>
                </c:pt>
                <c:pt idx="47">
                  <c:v>Jun 30</c:v>
                </c:pt>
                <c:pt idx="48">
                  <c:v>Jul 30</c:v>
                </c:pt>
                <c:pt idx="49">
                  <c:v>Aug 30</c:v>
                </c:pt>
                <c:pt idx="50">
                  <c:v>Sep 30</c:v>
                </c:pt>
                <c:pt idx="51">
                  <c:v>Okt 30</c:v>
                </c:pt>
                <c:pt idx="52">
                  <c:v>Nov 30</c:v>
                </c:pt>
                <c:pt idx="53">
                  <c:v>Dez 30</c:v>
                </c:pt>
              </c:strCache>
            </c:strRef>
          </c:cat>
          <c:val>
            <c:numRef>
              <c:f>Cashflow!$E$116:$BF$116</c:f>
              <c:numCache>
                <c:formatCode>#,##0.00" €";[RED]\-#,##0.00" €";\–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</c:ser>
        <c:ser>
          <c:idx val="1"/>
          <c:order val="1"/>
          <c:tx>
            <c:strRef>
              <c:f>Cashflow!$A$117</c:f>
              <c:strCache>
                <c:ptCount val="1"/>
                <c:pt idx="0">
                  <c:v>Summe Ausgaben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Cashflow!$E$6:$BF$6</c:f>
              <c:strCache>
                <c:ptCount val="54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  <c:pt idx="18">
                  <c:v>Jan 28</c:v>
                </c:pt>
                <c:pt idx="19">
                  <c:v>Feb 28</c:v>
                </c:pt>
                <c:pt idx="20">
                  <c:v>Mär 28</c:v>
                </c:pt>
                <c:pt idx="21">
                  <c:v>Apr 28</c:v>
                </c:pt>
                <c:pt idx="22">
                  <c:v>Mai 28</c:v>
                </c:pt>
                <c:pt idx="23">
                  <c:v>Jun 28</c:v>
                </c:pt>
                <c:pt idx="24">
                  <c:v>Jul 28</c:v>
                </c:pt>
                <c:pt idx="25">
                  <c:v>Aug 28</c:v>
                </c:pt>
                <c:pt idx="26">
                  <c:v>Sep 28</c:v>
                </c:pt>
                <c:pt idx="27">
                  <c:v>Okt 28</c:v>
                </c:pt>
                <c:pt idx="28">
                  <c:v>Nov 28</c:v>
                </c:pt>
                <c:pt idx="29">
                  <c:v>Dez 28</c:v>
                </c:pt>
                <c:pt idx="30">
                  <c:v>Jan 29</c:v>
                </c:pt>
                <c:pt idx="31">
                  <c:v>Feb 29</c:v>
                </c:pt>
                <c:pt idx="32">
                  <c:v>Mär 29</c:v>
                </c:pt>
                <c:pt idx="33">
                  <c:v>Apr 29</c:v>
                </c:pt>
                <c:pt idx="34">
                  <c:v>Mai 29</c:v>
                </c:pt>
                <c:pt idx="35">
                  <c:v>Jun 29</c:v>
                </c:pt>
                <c:pt idx="36">
                  <c:v>Jul 29</c:v>
                </c:pt>
                <c:pt idx="37">
                  <c:v>Aug 29</c:v>
                </c:pt>
                <c:pt idx="38">
                  <c:v>Sep 29</c:v>
                </c:pt>
                <c:pt idx="39">
                  <c:v>Okt 29</c:v>
                </c:pt>
                <c:pt idx="40">
                  <c:v>Nov 29</c:v>
                </c:pt>
                <c:pt idx="41">
                  <c:v>Dez 29</c:v>
                </c:pt>
                <c:pt idx="42">
                  <c:v>Jan 30</c:v>
                </c:pt>
                <c:pt idx="43">
                  <c:v>Feb 30</c:v>
                </c:pt>
                <c:pt idx="44">
                  <c:v>Mär 30</c:v>
                </c:pt>
                <c:pt idx="45">
                  <c:v>Apr 30</c:v>
                </c:pt>
                <c:pt idx="46">
                  <c:v>Mai 30</c:v>
                </c:pt>
                <c:pt idx="47">
                  <c:v>Jun 30</c:v>
                </c:pt>
                <c:pt idx="48">
                  <c:v>Jul 30</c:v>
                </c:pt>
                <c:pt idx="49">
                  <c:v>Aug 30</c:v>
                </c:pt>
                <c:pt idx="50">
                  <c:v>Sep 30</c:v>
                </c:pt>
                <c:pt idx="51">
                  <c:v>Okt 30</c:v>
                </c:pt>
                <c:pt idx="52">
                  <c:v>Nov 30</c:v>
                </c:pt>
                <c:pt idx="53">
                  <c:v>Dez 30</c:v>
                </c:pt>
              </c:strCache>
            </c:strRef>
          </c:cat>
          <c:val>
            <c:numRef>
              <c:f>Cashflow!$E$117:$BF$117</c:f>
              <c:numCache>
                <c:formatCode>#,##0.00" €";[RED]\-#,##0.00" €";\–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</c:ser>
        <c:gapWidth val="40"/>
        <c:overlap val="0"/>
        <c:axId val="94092899"/>
        <c:axId val="3029907"/>
      </c:barChart>
      <c:catAx>
        <c:axId val="94092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9907"/>
        <c:crosses val="autoZero"/>
        <c:auto val="1"/>
        <c:lblAlgn val="ctr"/>
        <c:lblOffset val="100"/>
        <c:noMultiLvlLbl val="0"/>
      </c:catAx>
      <c:valAx>
        <c:axId val="3029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92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Netto-Cashflow und kumulierter Cashflow (monatlich)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Cashflow!$A$118</c:f>
              <c:strCache>
                <c:ptCount val="1"/>
                <c:pt idx="0">
                  <c:v>Netto-Cashflow (Monat)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Cashflow!$E$6:$BF$6</c:f>
              <c:strCache>
                <c:ptCount val="54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  <c:pt idx="18">
                  <c:v>Jan 28</c:v>
                </c:pt>
                <c:pt idx="19">
                  <c:v>Feb 28</c:v>
                </c:pt>
                <c:pt idx="20">
                  <c:v>Mär 28</c:v>
                </c:pt>
                <c:pt idx="21">
                  <c:v>Apr 28</c:v>
                </c:pt>
                <c:pt idx="22">
                  <c:v>Mai 28</c:v>
                </c:pt>
                <c:pt idx="23">
                  <c:v>Jun 28</c:v>
                </c:pt>
                <c:pt idx="24">
                  <c:v>Jul 28</c:v>
                </c:pt>
                <c:pt idx="25">
                  <c:v>Aug 28</c:v>
                </c:pt>
                <c:pt idx="26">
                  <c:v>Sep 28</c:v>
                </c:pt>
                <c:pt idx="27">
                  <c:v>Okt 28</c:v>
                </c:pt>
                <c:pt idx="28">
                  <c:v>Nov 28</c:v>
                </c:pt>
                <c:pt idx="29">
                  <c:v>Dez 28</c:v>
                </c:pt>
                <c:pt idx="30">
                  <c:v>Jan 29</c:v>
                </c:pt>
                <c:pt idx="31">
                  <c:v>Feb 29</c:v>
                </c:pt>
                <c:pt idx="32">
                  <c:v>Mär 29</c:v>
                </c:pt>
                <c:pt idx="33">
                  <c:v>Apr 29</c:v>
                </c:pt>
                <c:pt idx="34">
                  <c:v>Mai 29</c:v>
                </c:pt>
                <c:pt idx="35">
                  <c:v>Jun 29</c:v>
                </c:pt>
                <c:pt idx="36">
                  <c:v>Jul 29</c:v>
                </c:pt>
                <c:pt idx="37">
                  <c:v>Aug 29</c:v>
                </c:pt>
                <c:pt idx="38">
                  <c:v>Sep 29</c:v>
                </c:pt>
                <c:pt idx="39">
                  <c:v>Okt 29</c:v>
                </c:pt>
                <c:pt idx="40">
                  <c:v>Nov 29</c:v>
                </c:pt>
                <c:pt idx="41">
                  <c:v>Dez 29</c:v>
                </c:pt>
                <c:pt idx="42">
                  <c:v>Jan 30</c:v>
                </c:pt>
                <c:pt idx="43">
                  <c:v>Feb 30</c:v>
                </c:pt>
                <c:pt idx="44">
                  <c:v>Mär 30</c:v>
                </c:pt>
                <c:pt idx="45">
                  <c:v>Apr 30</c:v>
                </c:pt>
                <c:pt idx="46">
                  <c:v>Mai 30</c:v>
                </c:pt>
                <c:pt idx="47">
                  <c:v>Jun 30</c:v>
                </c:pt>
                <c:pt idx="48">
                  <c:v>Jul 30</c:v>
                </c:pt>
                <c:pt idx="49">
                  <c:v>Aug 30</c:v>
                </c:pt>
                <c:pt idx="50">
                  <c:v>Sep 30</c:v>
                </c:pt>
                <c:pt idx="51">
                  <c:v>Okt 30</c:v>
                </c:pt>
                <c:pt idx="52">
                  <c:v>Nov 30</c:v>
                </c:pt>
                <c:pt idx="53">
                  <c:v>Dez 30</c:v>
                </c:pt>
              </c:strCache>
            </c:strRef>
          </c:cat>
          <c:val>
            <c:numRef>
              <c:f>Cashflow!$E$118:$BF$118</c:f>
              <c:numCache>
                <c:formatCode>#,##0.00" €";[RED]\-#,##0.00" €";\–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Cashflow!$A$119</c:f>
              <c:strCache>
                <c:ptCount val="1"/>
                <c:pt idx="0">
                  <c:v>Kumulierter Cashflow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Cashflow!$E$6:$BF$6</c:f>
              <c:strCache>
                <c:ptCount val="54"/>
                <c:pt idx="0">
                  <c:v>Jul 26</c:v>
                </c:pt>
                <c:pt idx="1">
                  <c:v>Aug 26</c:v>
                </c:pt>
                <c:pt idx="2">
                  <c:v>Sep 26</c:v>
                </c:pt>
                <c:pt idx="3">
                  <c:v>Okt 26</c:v>
                </c:pt>
                <c:pt idx="4">
                  <c:v>Nov 26</c:v>
                </c:pt>
                <c:pt idx="5">
                  <c:v>Dez 26</c:v>
                </c:pt>
                <c:pt idx="6">
                  <c:v>Jan 27</c:v>
                </c:pt>
                <c:pt idx="7">
                  <c:v>Feb 27</c:v>
                </c:pt>
                <c:pt idx="8">
                  <c:v>Mär 27</c:v>
                </c:pt>
                <c:pt idx="9">
                  <c:v>Apr 27</c:v>
                </c:pt>
                <c:pt idx="10">
                  <c:v>Mai 27</c:v>
                </c:pt>
                <c:pt idx="11">
                  <c:v>Jun 27</c:v>
                </c:pt>
                <c:pt idx="12">
                  <c:v>Jul 27</c:v>
                </c:pt>
                <c:pt idx="13">
                  <c:v>Aug 27</c:v>
                </c:pt>
                <c:pt idx="14">
                  <c:v>Sep 27</c:v>
                </c:pt>
                <c:pt idx="15">
                  <c:v>Okt 27</c:v>
                </c:pt>
                <c:pt idx="16">
                  <c:v>Nov 27</c:v>
                </c:pt>
                <c:pt idx="17">
                  <c:v>Dez 27</c:v>
                </c:pt>
                <c:pt idx="18">
                  <c:v>Jan 28</c:v>
                </c:pt>
                <c:pt idx="19">
                  <c:v>Feb 28</c:v>
                </c:pt>
                <c:pt idx="20">
                  <c:v>Mär 28</c:v>
                </c:pt>
                <c:pt idx="21">
                  <c:v>Apr 28</c:v>
                </c:pt>
                <c:pt idx="22">
                  <c:v>Mai 28</c:v>
                </c:pt>
                <c:pt idx="23">
                  <c:v>Jun 28</c:v>
                </c:pt>
                <c:pt idx="24">
                  <c:v>Jul 28</c:v>
                </c:pt>
                <c:pt idx="25">
                  <c:v>Aug 28</c:v>
                </c:pt>
                <c:pt idx="26">
                  <c:v>Sep 28</c:v>
                </c:pt>
                <c:pt idx="27">
                  <c:v>Okt 28</c:v>
                </c:pt>
                <c:pt idx="28">
                  <c:v>Nov 28</c:v>
                </c:pt>
                <c:pt idx="29">
                  <c:v>Dez 28</c:v>
                </c:pt>
                <c:pt idx="30">
                  <c:v>Jan 29</c:v>
                </c:pt>
                <c:pt idx="31">
                  <c:v>Feb 29</c:v>
                </c:pt>
                <c:pt idx="32">
                  <c:v>Mär 29</c:v>
                </c:pt>
                <c:pt idx="33">
                  <c:v>Apr 29</c:v>
                </c:pt>
                <c:pt idx="34">
                  <c:v>Mai 29</c:v>
                </c:pt>
                <c:pt idx="35">
                  <c:v>Jun 29</c:v>
                </c:pt>
                <c:pt idx="36">
                  <c:v>Jul 29</c:v>
                </c:pt>
                <c:pt idx="37">
                  <c:v>Aug 29</c:v>
                </c:pt>
                <c:pt idx="38">
                  <c:v>Sep 29</c:v>
                </c:pt>
                <c:pt idx="39">
                  <c:v>Okt 29</c:v>
                </c:pt>
                <c:pt idx="40">
                  <c:v>Nov 29</c:v>
                </c:pt>
                <c:pt idx="41">
                  <c:v>Dez 29</c:v>
                </c:pt>
                <c:pt idx="42">
                  <c:v>Jan 30</c:v>
                </c:pt>
                <c:pt idx="43">
                  <c:v>Feb 30</c:v>
                </c:pt>
                <c:pt idx="44">
                  <c:v>Mär 30</c:v>
                </c:pt>
                <c:pt idx="45">
                  <c:v>Apr 30</c:v>
                </c:pt>
                <c:pt idx="46">
                  <c:v>Mai 30</c:v>
                </c:pt>
                <c:pt idx="47">
                  <c:v>Jun 30</c:v>
                </c:pt>
                <c:pt idx="48">
                  <c:v>Jul 30</c:v>
                </c:pt>
                <c:pt idx="49">
                  <c:v>Aug 30</c:v>
                </c:pt>
                <c:pt idx="50">
                  <c:v>Sep 30</c:v>
                </c:pt>
                <c:pt idx="51">
                  <c:v>Okt 30</c:v>
                </c:pt>
                <c:pt idx="52">
                  <c:v>Nov 30</c:v>
                </c:pt>
                <c:pt idx="53">
                  <c:v>Dez 30</c:v>
                </c:pt>
              </c:strCache>
            </c:strRef>
          </c:cat>
          <c:val>
            <c:numRef>
              <c:f>Cashflow!$E$119:$BF$119</c:f>
              <c:numCache>
                <c:formatCode>#,##0.00" €";[RED]\-#,##0.00" €";\–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205547"/>
        <c:axId val="88139760"/>
      </c:lineChart>
      <c:catAx>
        <c:axId val="14205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39760"/>
        <c:crosses val="autoZero"/>
        <c:auto val="1"/>
        <c:lblAlgn val="ctr"/>
        <c:lblOffset val="100"/>
        <c:noMultiLvlLbl val="0"/>
      </c:catAx>
      <c:valAx>
        <c:axId val="88139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05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131040</xdr:rowOff>
    </xdr:from>
    <xdr:to>
      <xdr:col>15</xdr:col>
      <xdr:colOff>253800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5559480" y="76212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20</xdr:row>
      <xdr:rowOff>131040</xdr:rowOff>
    </xdr:from>
    <xdr:to>
      <xdr:col>15</xdr:col>
      <xdr:colOff>253800</xdr:colOff>
      <xdr:row>35</xdr:row>
      <xdr:rowOff>153000</xdr:rowOff>
    </xdr:to>
    <xdr:graphicFrame>
      <xdr:nvGraphicFramePr>
        <xdr:cNvPr id="1" name="Chart 2"/>
        <xdr:cNvGraphicFramePr/>
      </xdr:nvGraphicFramePr>
      <xdr:xfrm>
        <a:off x="5559480" y="4000680"/>
        <a:ext cx="93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uftraege" displayName="tblAuftraege" ref="A6:I306" headerRowCount="1" totalsRowCount="0" totalsRowShown="0">
  <autoFilter ref="A6:I306"/>
  <tableColumns count="9">
    <tableColumn id="1" name="Auftrag"/>
    <tableColumn id="2" name="Themenfeld"/>
    <tableColumn id="3" name="Kategorie"/>
    <tableColumn id="4" name="Kostenstelle"/>
    <tableColumn id="5" name="Datum Einnahmen"/>
    <tableColumn id="6" name="Datum Ausgaben"/>
    <tableColumn id="7" name="Einnahmen"/>
    <tableColumn id="8" name="Ausgaben"/>
    <tableColumn id="9" name="Auftragswahrscheinlichke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2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E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8" min="5" style="0" width="13"/>
    <col collapsed="false" customWidth="true" hidden="false" outlineLevel="0" max="64" min="59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true" customHeight="false" outlineLevel="0" collapsed="false">
      <c r="E5" s="4" t="n">
        <v>46204</v>
      </c>
      <c r="F5" s="4" t="n">
        <v>46235</v>
      </c>
      <c r="G5" s="4" t="n">
        <v>46266</v>
      </c>
      <c r="H5" s="4" t="n">
        <v>46296</v>
      </c>
      <c r="I5" s="4" t="n">
        <v>46327</v>
      </c>
      <c r="J5" s="4" t="n">
        <v>46357</v>
      </c>
      <c r="K5" s="4" t="n">
        <v>46388</v>
      </c>
      <c r="L5" s="4" t="n">
        <v>46419</v>
      </c>
      <c r="M5" s="4" t="n">
        <v>46447</v>
      </c>
      <c r="N5" s="4" t="n">
        <v>46478</v>
      </c>
      <c r="O5" s="4" t="n">
        <v>46508</v>
      </c>
      <c r="P5" s="4" t="n">
        <v>46539</v>
      </c>
      <c r="Q5" s="4" t="n">
        <v>46569</v>
      </c>
      <c r="R5" s="4" t="n">
        <v>46600</v>
      </c>
      <c r="S5" s="4" t="n">
        <v>46631</v>
      </c>
      <c r="T5" s="4" t="n">
        <v>46661</v>
      </c>
      <c r="U5" s="4" t="n">
        <v>46692</v>
      </c>
      <c r="V5" s="4" t="n">
        <v>46722</v>
      </c>
      <c r="W5" s="4" t="n">
        <v>46753</v>
      </c>
      <c r="X5" s="4" t="n">
        <v>46784</v>
      </c>
      <c r="Y5" s="4" t="n">
        <v>46813</v>
      </c>
      <c r="Z5" s="4" t="n">
        <v>46844</v>
      </c>
      <c r="AA5" s="4" t="n">
        <v>46874</v>
      </c>
      <c r="AB5" s="4" t="n">
        <v>46905</v>
      </c>
      <c r="AC5" s="4" t="n">
        <v>46935</v>
      </c>
      <c r="AD5" s="4" t="n">
        <v>46966</v>
      </c>
      <c r="AE5" s="4" t="n">
        <v>46997</v>
      </c>
      <c r="AF5" s="4" t="n">
        <v>47027</v>
      </c>
      <c r="AG5" s="4" t="n">
        <v>47058</v>
      </c>
      <c r="AH5" s="4" t="n">
        <v>47088</v>
      </c>
      <c r="AI5" s="4" t="n">
        <v>47119</v>
      </c>
      <c r="AJ5" s="4" t="n">
        <v>47150</v>
      </c>
      <c r="AK5" s="4" t="n">
        <v>47178</v>
      </c>
      <c r="AL5" s="4" t="n">
        <v>47209</v>
      </c>
      <c r="AM5" s="4" t="n">
        <v>47239</v>
      </c>
      <c r="AN5" s="4" t="n">
        <v>47270</v>
      </c>
      <c r="AO5" s="4" t="n">
        <v>47300</v>
      </c>
      <c r="AP5" s="4" t="n">
        <v>47331</v>
      </c>
      <c r="AQ5" s="4" t="n">
        <v>47362</v>
      </c>
      <c r="AR5" s="4" t="n">
        <v>47392</v>
      </c>
      <c r="AS5" s="4" t="n">
        <v>47423</v>
      </c>
      <c r="AT5" s="4" t="n">
        <v>47453</v>
      </c>
      <c r="AU5" s="4" t="n">
        <v>47484</v>
      </c>
      <c r="AV5" s="4" t="n">
        <v>47515</v>
      </c>
      <c r="AW5" s="4" t="n">
        <v>47543</v>
      </c>
      <c r="AX5" s="4" t="n">
        <v>47574</v>
      </c>
      <c r="AY5" s="4" t="n">
        <v>47604</v>
      </c>
      <c r="AZ5" s="4" t="n">
        <v>47635</v>
      </c>
      <c r="BA5" s="4" t="n">
        <v>47665</v>
      </c>
      <c r="BB5" s="4" t="n">
        <v>47696</v>
      </c>
      <c r="BC5" s="4" t="n">
        <v>47727</v>
      </c>
      <c r="BD5" s="4" t="n">
        <v>47757</v>
      </c>
      <c r="BE5" s="4" t="n">
        <v>47788</v>
      </c>
      <c r="BF5" s="4" t="n">
        <v>47818</v>
      </c>
    </row>
    <row r="6" customFormat="false" ht="30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  <c r="W6" s="6" t="s">
        <v>26</v>
      </c>
      <c r="X6" s="6" t="s">
        <v>27</v>
      </c>
      <c r="Y6" s="6" t="s">
        <v>28</v>
      </c>
      <c r="Z6" s="6" t="s">
        <v>29</v>
      </c>
      <c r="AA6" s="6" t="s">
        <v>30</v>
      </c>
      <c r="AB6" s="6" t="s">
        <v>31</v>
      </c>
      <c r="AC6" s="6" t="s">
        <v>32</v>
      </c>
      <c r="AD6" s="6" t="s">
        <v>33</v>
      </c>
      <c r="AE6" s="6" t="s">
        <v>34</v>
      </c>
      <c r="AF6" s="6" t="s">
        <v>35</v>
      </c>
      <c r="AG6" s="6" t="s">
        <v>36</v>
      </c>
      <c r="AH6" s="6" t="s">
        <v>37</v>
      </c>
      <c r="AI6" s="6" t="s">
        <v>38</v>
      </c>
      <c r="AJ6" s="6" t="s">
        <v>39</v>
      </c>
      <c r="AK6" s="6" t="s">
        <v>40</v>
      </c>
      <c r="AL6" s="6" t="s">
        <v>41</v>
      </c>
      <c r="AM6" s="6" t="s">
        <v>42</v>
      </c>
      <c r="AN6" s="6" t="s">
        <v>43</v>
      </c>
      <c r="AO6" s="6" t="s">
        <v>44</v>
      </c>
      <c r="AP6" s="6" t="s">
        <v>45</v>
      </c>
      <c r="AQ6" s="6" t="s">
        <v>46</v>
      </c>
      <c r="AR6" s="6" t="s">
        <v>47</v>
      </c>
      <c r="AS6" s="6" t="s">
        <v>48</v>
      </c>
      <c r="AT6" s="6" t="s">
        <v>49</v>
      </c>
      <c r="AU6" s="6" t="s">
        <v>50</v>
      </c>
      <c r="AV6" s="6" t="s">
        <v>51</v>
      </c>
      <c r="AW6" s="6" t="s">
        <v>52</v>
      </c>
      <c r="AX6" s="6" t="s">
        <v>53</v>
      </c>
      <c r="AY6" s="6" t="s">
        <v>54</v>
      </c>
      <c r="AZ6" s="6" t="s">
        <v>55</v>
      </c>
      <c r="BA6" s="6" t="s">
        <v>56</v>
      </c>
      <c r="BB6" s="6" t="s">
        <v>57</v>
      </c>
      <c r="BC6" s="6" t="s">
        <v>58</v>
      </c>
      <c r="BD6" s="6" t="s">
        <v>59</v>
      </c>
      <c r="BE6" s="6" t="s">
        <v>60</v>
      </c>
      <c r="BF6" s="6" t="s">
        <v>61</v>
      </c>
      <c r="BG6" s="6" t="s">
        <v>62</v>
      </c>
      <c r="BH6" s="6" t="s">
        <v>63</v>
      </c>
      <c r="BI6" s="6" t="s">
        <v>64</v>
      </c>
      <c r="BJ6" s="6" t="s">
        <v>65</v>
      </c>
      <c r="BK6" s="6" t="s">
        <v>66</v>
      </c>
      <c r="BL6" s="6" t="s">
        <v>67</v>
      </c>
    </row>
    <row r="7" customFormat="false" ht="19.5" hidden="false" customHeight="true" outlineLevel="0" collapsed="false">
      <c r="A7" s="7" t="s">
        <v>68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</row>
    <row r="8" customFormat="false" ht="15" hidden="false" customHeight="false" outlineLevel="0" collapsed="false">
      <c r="A8" s="9"/>
      <c r="B8" s="10" t="str">
        <f aca="false">IF($A8="","",IFERROR(INDEX(tblAuftraege[Kostenstelle],MATCH($A8,tblAuftraege[Auftrag],0)),""))</f>
        <v/>
      </c>
      <c r="C8" s="10" t="str">
        <f aca="false">IF($A8="","",IFERROR(INDEX(tblAuftraege[Themenfeld],MATCH($A8,tblAuftraege[Auftrag],0)),""))</f>
        <v/>
      </c>
      <c r="D8" s="10" t="str">
        <f aca="false">IF($A8="","",IFERROR(INDEX(tblAuftraege[Kategorie],MATCH($A8,tblAuftraege[Auftrag],0)),""))</f>
        <v/>
      </c>
      <c r="E8" s="11" t="n">
        <f aca="false">IF($A8="",0,SUMIFS(tblAuftraege[Einnahmen],tblAuftraege[Datum Einnahmen],"&gt;="&amp;E$5,tblAuftraege[Datum Einnahmen],"&lt;"&amp;EDATE(E$5,1),tblAuftraege[Auftrag],$A8))</f>
        <v>0</v>
      </c>
      <c r="F8" s="11" t="n">
        <f aca="false">IF($A8="",0,SUMIFS(tblAuftraege[Einnahmen],tblAuftraege[Datum Einnahmen],"&gt;="&amp;F$5,tblAuftraege[Datum Einnahmen],"&lt;"&amp;EDATE(F$5,1),tblAuftraege[Auftrag],$A8))</f>
        <v>0</v>
      </c>
      <c r="G8" s="11" t="n">
        <f aca="false">IF($A8="",0,SUMIFS(tblAuftraege[Einnahmen],tblAuftraege[Datum Einnahmen],"&gt;="&amp;G$5,tblAuftraege[Datum Einnahmen],"&lt;"&amp;EDATE(G$5,1),tblAuftraege[Auftrag],$A8))</f>
        <v>0</v>
      </c>
      <c r="H8" s="11" t="n">
        <f aca="false">IF($A8="",0,SUMIFS(tblAuftraege[Einnahmen],tblAuftraege[Datum Einnahmen],"&gt;="&amp;H$5,tblAuftraege[Datum Einnahmen],"&lt;"&amp;EDATE(H$5,1),tblAuftraege[Auftrag],$A8))</f>
        <v>0</v>
      </c>
      <c r="I8" s="11" t="n">
        <f aca="false">IF($A8="",0,SUMIFS(tblAuftraege[Einnahmen],tblAuftraege[Datum Einnahmen],"&gt;="&amp;I$5,tblAuftraege[Datum Einnahmen],"&lt;"&amp;EDATE(I$5,1),tblAuftraege[Auftrag],$A8))</f>
        <v>0</v>
      </c>
      <c r="J8" s="11" t="n">
        <f aca="false">IF($A8="",0,SUMIFS(tblAuftraege[Einnahmen],tblAuftraege[Datum Einnahmen],"&gt;="&amp;J$5,tblAuftraege[Datum Einnahmen],"&lt;"&amp;EDATE(J$5,1),tblAuftraege[Auftrag],$A8))</f>
        <v>0</v>
      </c>
      <c r="K8" s="11" t="n">
        <f aca="false">IF($A8="",0,SUMIFS(tblAuftraege[Einnahmen],tblAuftraege[Datum Einnahmen],"&gt;="&amp;K$5,tblAuftraege[Datum Einnahmen],"&lt;"&amp;EDATE(K$5,1),tblAuftraege[Auftrag],$A8))</f>
        <v>0</v>
      </c>
      <c r="L8" s="11" t="n">
        <f aca="false">IF($A8="",0,SUMIFS(tblAuftraege[Einnahmen],tblAuftraege[Datum Einnahmen],"&gt;="&amp;L$5,tblAuftraege[Datum Einnahmen],"&lt;"&amp;EDATE(L$5,1),tblAuftraege[Auftrag],$A8))</f>
        <v>0</v>
      </c>
      <c r="M8" s="11" t="n">
        <f aca="false">IF($A8="",0,SUMIFS(tblAuftraege[Einnahmen],tblAuftraege[Datum Einnahmen],"&gt;="&amp;M$5,tblAuftraege[Datum Einnahmen],"&lt;"&amp;EDATE(M$5,1),tblAuftraege[Auftrag],$A8))</f>
        <v>0</v>
      </c>
      <c r="N8" s="11" t="n">
        <f aca="false">IF($A8="",0,SUMIFS(tblAuftraege[Einnahmen],tblAuftraege[Datum Einnahmen],"&gt;="&amp;N$5,tblAuftraege[Datum Einnahmen],"&lt;"&amp;EDATE(N$5,1),tblAuftraege[Auftrag],$A8))</f>
        <v>0</v>
      </c>
      <c r="O8" s="11" t="n">
        <f aca="false">IF($A8="",0,SUMIFS(tblAuftraege[Einnahmen],tblAuftraege[Datum Einnahmen],"&gt;="&amp;O$5,tblAuftraege[Datum Einnahmen],"&lt;"&amp;EDATE(O$5,1),tblAuftraege[Auftrag],$A8))</f>
        <v>0</v>
      </c>
      <c r="P8" s="11" t="n">
        <f aca="false">IF($A8="",0,SUMIFS(tblAuftraege[Einnahmen],tblAuftraege[Datum Einnahmen],"&gt;="&amp;P$5,tblAuftraege[Datum Einnahmen],"&lt;"&amp;EDATE(P$5,1),tblAuftraege[Auftrag],$A8))</f>
        <v>0</v>
      </c>
      <c r="Q8" s="11" t="n">
        <f aca="false">IF($A8="",0,SUMIFS(tblAuftraege[Einnahmen],tblAuftraege[Datum Einnahmen],"&gt;="&amp;Q$5,tblAuftraege[Datum Einnahmen],"&lt;"&amp;EDATE(Q$5,1),tblAuftraege[Auftrag],$A8))</f>
        <v>0</v>
      </c>
      <c r="R8" s="11" t="n">
        <f aca="false">IF($A8="",0,SUMIFS(tblAuftraege[Einnahmen],tblAuftraege[Datum Einnahmen],"&gt;="&amp;R$5,tblAuftraege[Datum Einnahmen],"&lt;"&amp;EDATE(R$5,1),tblAuftraege[Auftrag],$A8))</f>
        <v>0</v>
      </c>
      <c r="S8" s="11" t="n">
        <f aca="false">IF($A8="",0,SUMIFS(tblAuftraege[Einnahmen],tblAuftraege[Datum Einnahmen],"&gt;="&amp;S$5,tblAuftraege[Datum Einnahmen],"&lt;"&amp;EDATE(S$5,1),tblAuftraege[Auftrag],$A8))</f>
        <v>0</v>
      </c>
      <c r="T8" s="11" t="n">
        <f aca="false">IF($A8="",0,SUMIFS(tblAuftraege[Einnahmen],tblAuftraege[Datum Einnahmen],"&gt;="&amp;T$5,tblAuftraege[Datum Einnahmen],"&lt;"&amp;EDATE(T$5,1),tblAuftraege[Auftrag],$A8))</f>
        <v>0</v>
      </c>
      <c r="U8" s="11" t="n">
        <f aca="false">IF($A8="",0,SUMIFS(tblAuftraege[Einnahmen],tblAuftraege[Datum Einnahmen],"&gt;="&amp;U$5,tblAuftraege[Datum Einnahmen],"&lt;"&amp;EDATE(U$5,1),tblAuftraege[Auftrag],$A8))</f>
        <v>0</v>
      </c>
      <c r="V8" s="11" t="n">
        <f aca="false">IF($A8="",0,SUMIFS(tblAuftraege[Einnahmen],tblAuftraege[Datum Einnahmen],"&gt;="&amp;V$5,tblAuftraege[Datum Einnahmen],"&lt;"&amp;EDATE(V$5,1),tblAuftraege[Auftrag],$A8))</f>
        <v>0</v>
      </c>
      <c r="W8" s="11" t="n">
        <f aca="false">IF($A8="",0,SUMIFS(tblAuftraege[Einnahmen],tblAuftraege[Datum Einnahmen],"&gt;="&amp;W$5,tblAuftraege[Datum Einnahmen],"&lt;"&amp;EDATE(W$5,1),tblAuftraege[Auftrag],$A8))</f>
        <v>0</v>
      </c>
      <c r="X8" s="11" t="n">
        <f aca="false">IF($A8="",0,SUMIFS(tblAuftraege[Einnahmen],tblAuftraege[Datum Einnahmen],"&gt;="&amp;X$5,tblAuftraege[Datum Einnahmen],"&lt;"&amp;EDATE(X$5,1),tblAuftraege[Auftrag],$A8))</f>
        <v>0</v>
      </c>
      <c r="Y8" s="11" t="n">
        <f aca="false">IF($A8="",0,SUMIFS(tblAuftraege[Einnahmen],tblAuftraege[Datum Einnahmen],"&gt;="&amp;Y$5,tblAuftraege[Datum Einnahmen],"&lt;"&amp;EDATE(Y$5,1),tblAuftraege[Auftrag],$A8))</f>
        <v>0</v>
      </c>
      <c r="Z8" s="11" t="n">
        <f aca="false">IF($A8="",0,SUMIFS(tblAuftraege[Einnahmen],tblAuftraege[Datum Einnahmen],"&gt;="&amp;Z$5,tblAuftraege[Datum Einnahmen],"&lt;"&amp;EDATE(Z$5,1),tblAuftraege[Auftrag],$A8))</f>
        <v>0</v>
      </c>
      <c r="AA8" s="11" t="n">
        <f aca="false">IF($A8="",0,SUMIFS(tblAuftraege[Einnahmen],tblAuftraege[Datum Einnahmen],"&gt;="&amp;AA$5,tblAuftraege[Datum Einnahmen],"&lt;"&amp;EDATE(AA$5,1),tblAuftraege[Auftrag],$A8))</f>
        <v>0</v>
      </c>
      <c r="AB8" s="11" t="n">
        <f aca="false">IF($A8="",0,SUMIFS(tblAuftraege[Einnahmen],tblAuftraege[Datum Einnahmen],"&gt;="&amp;AB$5,tblAuftraege[Datum Einnahmen],"&lt;"&amp;EDATE(AB$5,1),tblAuftraege[Auftrag],$A8))</f>
        <v>0</v>
      </c>
      <c r="AC8" s="11" t="n">
        <f aca="false">IF($A8="",0,SUMIFS(tblAuftraege[Einnahmen],tblAuftraege[Datum Einnahmen],"&gt;="&amp;AC$5,tblAuftraege[Datum Einnahmen],"&lt;"&amp;EDATE(AC$5,1),tblAuftraege[Auftrag],$A8))</f>
        <v>0</v>
      </c>
      <c r="AD8" s="11" t="n">
        <f aca="false">IF($A8="",0,SUMIFS(tblAuftraege[Einnahmen],tblAuftraege[Datum Einnahmen],"&gt;="&amp;AD$5,tblAuftraege[Datum Einnahmen],"&lt;"&amp;EDATE(AD$5,1),tblAuftraege[Auftrag],$A8))</f>
        <v>0</v>
      </c>
      <c r="AE8" s="11" t="n">
        <f aca="false">IF($A8="",0,SUMIFS(tblAuftraege[Einnahmen],tblAuftraege[Datum Einnahmen],"&gt;="&amp;AE$5,tblAuftraege[Datum Einnahmen],"&lt;"&amp;EDATE(AE$5,1),tblAuftraege[Auftrag],$A8))</f>
        <v>0</v>
      </c>
      <c r="AF8" s="11" t="n">
        <f aca="false">IF($A8="",0,SUMIFS(tblAuftraege[Einnahmen],tblAuftraege[Datum Einnahmen],"&gt;="&amp;AF$5,tblAuftraege[Datum Einnahmen],"&lt;"&amp;EDATE(AF$5,1),tblAuftraege[Auftrag],$A8))</f>
        <v>0</v>
      </c>
      <c r="AG8" s="11" t="n">
        <f aca="false">IF($A8="",0,SUMIFS(tblAuftraege[Einnahmen],tblAuftraege[Datum Einnahmen],"&gt;="&amp;AG$5,tblAuftraege[Datum Einnahmen],"&lt;"&amp;EDATE(AG$5,1),tblAuftraege[Auftrag],$A8))</f>
        <v>0</v>
      </c>
      <c r="AH8" s="11" t="n">
        <f aca="false">IF($A8="",0,SUMIFS(tblAuftraege[Einnahmen],tblAuftraege[Datum Einnahmen],"&gt;="&amp;AH$5,tblAuftraege[Datum Einnahmen],"&lt;"&amp;EDATE(AH$5,1),tblAuftraege[Auftrag],$A8))</f>
        <v>0</v>
      </c>
      <c r="AI8" s="11" t="n">
        <f aca="false">IF($A8="",0,SUMIFS(tblAuftraege[Einnahmen],tblAuftraege[Datum Einnahmen],"&gt;="&amp;AI$5,tblAuftraege[Datum Einnahmen],"&lt;"&amp;EDATE(AI$5,1),tblAuftraege[Auftrag],$A8))</f>
        <v>0</v>
      </c>
      <c r="AJ8" s="11" t="n">
        <f aca="false">IF($A8="",0,SUMIFS(tblAuftraege[Einnahmen],tblAuftraege[Datum Einnahmen],"&gt;="&amp;AJ$5,tblAuftraege[Datum Einnahmen],"&lt;"&amp;EDATE(AJ$5,1),tblAuftraege[Auftrag],$A8))</f>
        <v>0</v>
      </c>
      <c r="AK8" s="11" t="n">
        <f aca="false">IF($A8="",0,SUMIFS(tblAuftraege[Einnahmen],tblAuftraege[Datum Einnahmen],"&gt;="&amp;AK$5,tblAuftraege[Datum Einnahmen],"&lt;"&amp;EDATE(AK$5,1),tblAuftraege[Auftrag],$A8))</f>
        <v>0</v>
      </c>
      <c r="AL8" s="11" t="n">
        <f aca="false">IF($A8="",0,SUMIFS(tblAuftraege[Einnahmen],tblAuftraege[Datum Einnahmen],"&gt;="&amp;AL$5,tblAuftraege[Datum Einnahmen],"&lt;"&amp;EDATE(AL$5,1),tblAuftraege[Auftrag],$A8))</f>
        <v>0</v>
      </c>
      <c r="AM8" s="11" t="n">
        <f aca="false">IF($A8="",0,SUMIFS(tblAuftraege[Einnahmen],tblAuftraege[Datum Einnahmen],"&gt;="&amp;AM$5,tblAuftraege[Datum Einnahmen],"&lt;"&amp;EDATE(AM$5,1),tblAuftraege[Auftrag],$A8))</f>
        <v>0</v>
      </c>
      <c r="AN8" s="11" t="n">
        <f aca="false">IF($A8="",0,SUMIFS(tblAuftraege[Einnahmen],tblAuftraege[Datum Einnahmen],"&gt;="&amp;AN$5,tblAuftraege[Datum Einnahmen],"&lt;"&amp;EDATE(AN$5,1),tblAuftraege[Auftrag],$A8))</f>
        <v>0</v>
      </c>
      <c r="AO8" s="11" t="n">
        <f aca="false">IF($A8="",0,SUMIFS(tblAuftraege[Einnahmen],tblAuftraege[Datum Einnahmen],"&gt;="&amp;AO$5,tblAuftraege[Datum Einnahmen],"&lt;"&amp;EDATE(AO$5,1),tblAuftraege[Auftrag],$A8))</f>
        <v>0</v>
      </c>
      <c r="AP8" s="11" t="n">
        <f aca="false">IF($A8="",0,SUMIFS(tblAuftraege[Einnahmen],tblAuftraege[Datum Einnahmen],"&gt;="&amp;AP$5,tblAuftraege[Datum Einnahmen],"&lt;"&amp;EDATE(AP$5,1),tblAuftraege[Auftrag],$A8))</f>
        <v>0</v>
      </c>
      <c r="AQ8" s="11" t="n">
        <f aca="false">IF($A8="",0,SUMIFS(tblAuftraege[Einnahmen],tblAuftraege[Datum Einnahmen],"&gt;="&amp;AQ$5,tblAuftraege[Datum Einnahmen],"&lt;"&amp;EDATE(AQ$5,1),tblAuftraege[Auftrag],$A8))</f>
        <v>0</v>
      </c>
      <c r="AR8" s="11" t="n">
        <f aca="false">IF($A8="",0,SUMIFS(tblAuftraege[Einnahmen],tblAuftraege[Datum Einnahmen],"&gt;="&amp;AR$5,tblAuftraege[Datum Einnahmen],"&lt;"&amp;EDATE(AR$5,1),tblAuftraege[Auftrag],$A8))</f>
        <v>0</v>
      </c>
      <c r="AS8" s="11" t="n">
        <f aca="false">IF($A8="",0,SUMIFS(tblAuftraege[Einnahmen],tblAuftraege[Datum Einnahmen],"&gt;="&amp;AS$5,tblAuftraege[Datum Einnahmen],"&lt;"&amp;EDATE(AS$5,1),tblAuftraege[Auftrag],$A8))</f>
        <v>0</v>
      </c>
      <c r="AT8" s="11" t="n">
        <f aca="false">IF($A8="",0,SUMIFS(tblAuftraege[Einnahmen],tblAuftraege[Datum Einnahmen],"&gt;="&amp;AT$5,tblAuftraege[Datum Einnahmen],"&lt;"&amp;EDATE(AT$5,1),tblAuftraege[Auftrag],$A8))</f>
        <v>0</v>
      </c>
      <c r="AU8" s="11" t="n">
        <f aca="false">IF($A8="",0,SUMIFS(tblAuftraege[Einnahmen],tblAuftraege[Datum Einnahmen],"&gt;="&amp;AU$5,tblAuftraege[Datum Einnahmen],"&lt;"&amp;EDATE(AU$5,1),tblAuftraege[Auftrag],$A8))</f>
        <v>0</v>
      </c>
      <c r="AV8" s="11" t="n">
        <f aca="false">IF($A8="",0,SUMIFS(tblAuftraege[Einnahmen],tblAuftraege[Datum Einnahmen],"&gt;="&amp;AV$5,tblAuftraege[Datum Einnahmen],"&lt;"&amp;EDATE(AV$5,1),tblAuftraege[Auftrag],$A8))</f>
        <v>0</v>
      </c>
      <c r="AW8" s="11" t="n">
        <f aca="false">IF($A8="",0,SUMIFS(tblAuftraege[Einnahmen],tblAuftraege[Datum Einnahmen],"&gt;="&amp;AW$5,tblAuftraege[Datum Einnahmen],"&lt;"&amp;EDATE(AW$5,1),tblAuftraege[Auftrag],$A8))</f>
        <v>0</v>
      </c>
      <c r="AX8" s="11" t="n">
        <f aca="false">IF($A8="",0,SUMIFS(tblAuftraege[Einnahmen],tblAuftraege[Datum Einnahmen],"&gt;="&amp;AX$5,tblAuftraege[Datum Einnahmen],"&lt;"&amp;EDATE(AX$5,1),tblAuftraege[Auftrag],$A8))</f>
        <v>0</v>
      </c>
      <c r="AY8" s="11" t="n">
        <f aca="false">IF($A8="",0,SUMIFS(tblAuftraege[Einnahmen],tblAuftraege[Datum Einnahmen],"&gt;="&amp;AY$5,tblAuftraege[Datum Einnahmen],"&lt;"&amp;EDATE(AY$5,1),tblAuftraege[Auftrag],$A8))</f>
        <v>0</v>
      </c>
      <c r="AZ8" s="11" t="n">
        <f aca="false">IF($A8="",0,SUMIFS(tblAuftraege[Einnahmen],tblAuftraege[Datum Einnahmen],"&gt;="&amp;AZ$5,tblAuftraege[Datum Einnahmen],"&lt;"&amp;EDATE(AZ$5,1),tblAuftraege[Auftrag],$A8))</f>
        <v>0</v>
      </c>
      <c r="BA8" s="11" t="n">
        <f aca="false">IF($A8="",0,SUMIFS(tblAuftraege[Einnahmen],tblAuftraege[Datum Einnahmen],"&gt;="&amp;BA$5,tblAuftraege[Datum Einnahmen],"&lt;"&amp;EDATE(BA$5,1),tblAuftraege[Auftrag],$A8))</f>
        <v>0</v>
      </c>
      <c r="BB8" s="11" t="n">
        <f aca="false">IF($A8="",0,SUMIFS(tblAuftraege[Einnahmen],tblAuftraege[Datum Einnahmen],"&gt;="&amp;BB$5,tblAuftraege[Datum Einnahmen],"&lt;"&amp;EDATE(BB$5,1),tblAuftraege[Auftrag],$A8))</f>
        <v>0</v>
      </c>
      <c r="BC8" s="11" t="n">
        <f aca="false">IF($A8="",0,SUMIFS(tblAuftraege[Einnahmen],tblAuftraege[Datum Einnahmen],"&gt;="&amp;BC$5,tblAuftraege[Datum Einnahmen],"&lt;"&amp;EDATE(BC$5,1),tblAuftraege[Auftrag],$A8))</f>
        <v>0</v>
      </c>
      <c r="BD8" s="11" t="n">
        <f aca="false">IF($A8="",0,SUMIFS(tblAuftraege[Einnahmen],tblAuftraege[Datum Einnahmen],"&gt;="&amp;BD$5,tblAuftraege[Datum Einnahmen],"&lt;"&amp;EDATE(BD$5,1),tblAuftraege[Auftrag],$A8))</f>
        <v>0</v>
      </c>
      <c r="BE8" s="11" t="n">
        <f aca="false">IF($A8="",0,SUMIFS(tblAuftraege[Einnahmen],tblAuftraege[Datum Einnahmen],"&gt;="&amp;BE$5,tblAuftraege[Datum Einnahmen],"&lt;"&amp;EDATE(BE$5,1),tblAuftraege[Auftrag],$A8))</f>
        <v>0</v>
      </c>
      <c r="BF8" s="11" t="n">
        <f aca="false">IF($A8="",0,SUMIFS(tblAuftraege[Einnahmen],tblAuftraege[Datum Einnahmen],"&gt;="&amp;BF$5,tblAuftraege[Datum Einnahmen],"&lt;"&amp;EDATE(BF$5,1),tblAuftraege[Auftrag],$A8))</f>
        <v>0</v>
      </c>
      <c r="BG8" s="11" t="n">
        <f aca="false">SUM(E8:J8)</f>
        <v>0</v>
      </c>
      <c r="BH8" s="11" t="n">
        <f aca="false">SUM(K8:V8)</f>
        <v>0</v>
      </c>
      <c r="BI8" s="11" t="n">
        <f aca="false">SUM(W8:AH8)</f>
        <v>0</v>
      </c>
      <c r="BJ8" s="11" t="n">
        <f aca="false">SUM(AI8:AT8)</f>
        <v>0</v>
      </c>
      <c r="BK8" s="11" t="n">
        <f aca="false">SUM(AU8:BF8)</f>
        <v>0</v>
      </c>
      <c r="BL8" s="12" t="n">
        <f aca="false">SUM(E8:BF8)</f>
        <v>0</v>
      </c>
    </row>
    <row r="9" customFormat="false" ht="15" hidden="false" customHeight="false" outlineLevel="0" collapsed="false">
      <c r="A9" s="9"/>
      <c r="B9" s="10" t="str">
        <f aca="false">IF($A9="","",IFERROR(INDEX(tblAuftraege[Kostenstelle],MATCH($A9,tblAuftraege[Auftrag],0)),""))</f>
        <v/>
      </c>
      <c r="C9" s="10" t="str">
        <f aca="false">IF($A9="","",IFERROR(INDEX(tblAuftraege[Themenfeld],MATCH($A9,tblAuftraege[Auftrag],0)),""))</f>
        <v/>
      </c>
      <c r="D9" s="10" t="str">
        <f aca="false">IF($A9="","",IFERROR(INDEX(tblAuftraege[Kategorie],MATCH($A9,tblAuftraege[Auftrag],0)),""))</f>
        <v/>
      </c>
      <c r="E9" s="11" t="n">
        <f aca="false">IF($A9="",0,SUMIFS(tblAuftraege[Einnahmen],tblAuftraege[Datum Einnahmen],"&gt;="&amp;E$5,tblAuftraege[Datum Einnahmen],"&lt;"&amp;EDATE(E$5,1),tblAuftraege[Auftrag],$A9))</f>
        <v>0</v>
      </c>
      <c r="F9" s="11" t="n">
        <f aca="false">IF($A9="",0,SUMIFS(tblAuftraege[Einnahmen],tblAuftraege[Datum Einnahmen],"&gt;="&amp;F$5,tblAuftraege[Datum Einnahmen],"&lt;"&amp;EDATE(F$5,1),tblAuftraege[Auftrag],$A9))</f>
        <v>0</v>
      </c>
      <c r="G9" s="11" t="n">
        <f aca="false">IF($A9="",0,SUMIFS(tblAuftraege[Einnahmen],tblAuftraege[Datum Einnahmen],"&gt;="&amp;G$5,tblAuftraege[Datum Einnahmen],"&lt;"&amp;EDATE(G$5,1),tblAuftraege[Auftrag],$A9))</f>
        <v>0</v>
      </c>
      <c r="H9" s="11" t="n">
        <f aca="false">IF($A9="",0,SUMIFS(tblAuftraege[Einnahmen],tblAuftraege[Datum Einnahmen],"&gt;="&amp;H$5,tblAuftraege[Datum Einnahmen],"&lt;"&amp;EDATE(H$5,1),tblAuftraege[Auftrag],$A9))</f>
        <v>0</v>
      </c>
      <c r="I9" s="11" t="n">
        <f aca="false">IF($A9="",0,SUMIFS(tblAuftraege[Einnahmen],tblAuftraege[Datum Einnahmen],"&gt;="&amp;I$5,tblAuftraege[Datum Einnahmen],"&lt;"&amp;EDATE(I$5,1),tblAuftraege[Auftrag],$A9))</f>
        <v>0</v>
      </c>
      <c r="J9" s="11" t="n">
        <f aca="false">IF($A9="",0,SUMIFS(tblAuftraege[Einnahmen],tblAuftraege[Datum Einnahmen],"&gt;="&amp;J$5,tblAuftraege[Datum Einnahmen],"&lt;"&amp;EDATE(J$5,1),tblAuftraege[Auftrag],$A9))</f>
        <v>0</v>
      </c>
      <c r="K9" s="11" t="n">
        <f aca="false">IF($A9="",0,SUMIFS(tblAuftraege[Einnahmen],tblAuftraege[Datum Einnahmen],"&gt;="&amp;K$5,tblAuftraege[Datum Einnahmen],"&lt;"&amp;EDATE(K$5,1),tblAuftraege[Auftrag],$A9))</f>
        <v>0</v>
      </c>
      <c r="L9" s="11" t="n">
        <f aca="false">IF($A9="",0,SUMIFS(tblAuftraege[Einnahmen],tblAuftraege[Datum Einnahmen],"&gt;="&amp;L$5,tblAuftraege[Datum Einnahmen],"&lt;"&amp;EDATE(L$5,1),tblAuftraege[Auftrag],$A9))</f>
        <v>0</v>
      </c>
      <c r="M9" s="11" t="n">
        <f aca="false">IF($A9="",0,SUMIFS(tblAuftraege[Einnahmen],tblAuftraege[Datum Einnahmen],"&gt;="&amp;M$5,tblAuftraege[Datum Einnahmen],"&lt;"&amp;EDATE(M$5,1),tblAuftraege[Auftrag],$A9))</f>
        <v>0</v>
      </c>
      <c r="N9" s="11" t="n">
        <f aca="false">IF($A9="",0,SUMIFS(tblAuftraege[Einnahmen],tblAuftraege[Datum Einnahmen],"&gt;="&amp;N$5,tblAuftraege[Datum Einnahmen],"&lt;"&amp;EDATE(N$5,1),tblAuftraege[Auftrag],$A9))</f>
        <v>0</v>
      </c>
      <c r="O9" s="11" t="n">
        <f aca="false">IF($A9="",0,SUMIFS(tblAuftraege[Einnahmen],tblAuftraege[Datum Einnahmen],"&gt;="&amp;O$5,tblAuftraege[Datum Einnahmen],"&lt;"&amp;EDATE(O$5,1),tblAuftraege[Auftrag],$A9))</f>
        <v>0</v>
      </c>
      <c r="P9" s="11" t="n">
        <f aca="false">IF($A9="",0,SUMIFS(tblAuftraege[Einnahmen],tblAuftraege[Datum Einnahmen],"&gt;="&amp;P$5,tblAuftraege[Datum Einnahmen],"&lt;"&amp;EDATE(P$5,1),tblAuftraege[Auftrag],$A9))</f>
        <v>0</v>
      </c>
      <c r="Q9" s="11" t="n">
        <f aca="false">IF($A9="",0,SUMIFS(tblAuftraege[Einnahmen],tblAuftraege[Datum Einnahmen],"&gt;="&amp;Q$5,tblAuftraege[Datum Einnahmen],"&lt;"&amp;EDATE(Q$5,1),tblAuftraege[Auftrag],$A9))</f>
        <v>0</v>
      </c>
      <c r="R9" s="11" t="n">
        <f aca="false">IF($A9="",0,SUMIFS(tblAuftraege[Einnahmen],tblAuftraege[Datum Einnahmen],"&gt;="&amp;R$5,tblAuftraege[Datum Einnahmen],"&lt;"&amp;EDATE(R$5,1),tblAuftraege[Auftrag],$A9))</f>
        <v>0</v>
      </c>
      <c r="S9" s="11" t="n">
        <f aca="false">IF($A9="",0,SUMIFS(tblAuftraege[Einnahmen],tblAuftraege[Datum Einnahmen],"&gt;="&amp;S$5,tblAuftraege[Datum Einnahmen],"&lt;"&amp;EDATE(S$5,1),tblAuftraege[Auftrag],$A9))</f>
        <v>0</v>
      </c>
      <c r="T9" s="11" t="n">
        <f aca="false">IF($A9="",0,SUMIFS(tblAuftraege[Einnahmen],tblAuftraege[Datum Einnahmen],"&gt;="&amp;T$5,tblAuftraege[Datum Einnahmen],"&lt;"&amp;EDATE(T$5,1),tblAuftraege[Auftrag],$A9))</f>
        <v>0</v>
      </c>
      <c r="U9" s="11" t="n">
        <f aca="false">IF($A9="",0,SUMIFS(tblAuftraege[Einnahmen],tblAuftraege[Datum Einnahmen],"&gt;="&amp;U$5,tblAuftraege[Datum Einnahmen],"&lt;"&amp;EDATE(U$5,1),tblAuftraege[Auftrag],$A9))</f>
        <v>0</v>
      </c>
      <c r="V9" s="11" t="n">
        <f aca="false">IF($A9="",0,SUMIFS(tblAuftraege[Einnahmen],tblAuftraege[Datum Einnahmen],"&gt;="&amp;V$5,tblAuftraege[Datum Einnahmen],"&lt;"&amp;EDATE(V$5,1),tblAuftraege[Auftrag],$A9))</f>
        <v>0</v>
      </c>
      <c r="W9" s="11" t="n">
        <f aca="false">IF($A9="",0,SUMIFS(tblAuftraege[Einnahmen],tblAuftraege[Datum Einnahmen],"&gt;="&amp;W$5,tblAuftraege[Datum Einnahmen],"&lt;"&amp;EDATE(W$5,1),tblAuftraege[Auftrag],$A9))</f>
        <v>0</v>
      </c>
      <c r="X9" s="11" t="n">
        <f aca="false">IF($A9="",0,SUMIFS(tblAuftraege[Einnahmen],tblAuftraege[Datum Einnahmen],"&gt;="&amp;X$5,tblAuftraege[Datum Einnahmen],"&lt;"&amp;EDATE(X$5,1),tblAuftraege[Auftrag],$A9))</f>
        <v>0</v>
      </c>
      <c r="Y9" s="11" t="n">
        <f aca="false">IF($A9="",0,SUMIFS(tblAuftraege[Einnahmen],tblAuftraege[Datum Einnahmen],"&gt;="&amp;Y$5,tblAuftraege[Datum Einnahmen],"&lt;"&amp;EDATE(Y$5,1),tblAuftraege[Auftrag],$A9))</f>
        <v>0</v>
      </c>
      <c r="Z9" s="11" t="n">
        <f aca="false">IF($A9="",0,SUMIFS(tblAuftraege[Einnahmen],tblAuftraege[Datum Einnahmen],"&gt;="&amp;Z$5,tblAuftraege[Datum Einnahmen],"&lt;"&amp;EDATE(Z$5,1),tblAuftraege[Auftrag],$A9))</f>
        <v>0</v>
      </c>
      <c r="AA9" s="11" t="n">
        <f aca="false">IF($A9="",0,SUMIFS(tblAuftraege[Einnahmen],tblAuftraege[Datum Einnahmen],"&gt;="&amp;AA$5,tblAuftraege[Datum Einnahmen],"&lt;"&amp;EDATE(AA$5,1),tblAuftraege[Auftrag],$A9))</f>
        <v>0</v>
      </c>
      <c r="AB9" s="11" t="n">
        <f aca="false">IF($A9="",0,SUMIFS(tblAuftraege[Einnahmen],tblAuftraege[Datum Einnahmen],"&gt;="&amp;AB$5,tblAuftraege[Datum Einnahmen],"&lt;"&amp;EDATE(AB$5,1),tblAuftraege[Auftrag],$A9))</f>
        <v>0</v>
      </c>
      <c r="AC9" s="11" t="n">
        <f aca="false">IF($A9="",0,SUMIFS(tblAuftraege[Einnahmen],tblAuftraege[Datum Einnahmen],"&gt;="&amp;AC$5,tblAuftraege[Datum Einnahmen],"&lt;"&amp;EDATE(AC$5,1),tblAuftraege[Auftrag],$A9))</f>
        <v>0</v>
      </c>
      <c r="AD9" s="11" t="n">
        <f aca="false">IF($A9="",0,SUMIFS(tblAuftraege[Einnahmen],tblAuftraege[Datum Einnahmen],"&gt;="&amp;AD$5,tblAuftraege[Datum Einnahmen],"&lt;"&amp;EDATE(AD$5,1),tblAuftraege[Auftrag],$A9))</f>
        <v>0</v>
      </c>
      <c r="AE9" s="11" t="n">
        <f aca="false">IF($A9="",0,SUMIFS(tblAuftraege[Einnahmen],tblAuftraege[Datum Einnahmen],"&gt;="&amp;AE$5,tblAuftraege[Datum Einnahmen],"&lt;"&amp;EDATE(AE$5,1),tblAuftraege[Auftrag],$A9))</f>
        <v>0</v>
      </c>
      <c r="AF9" s="11" t="n">
        <f aca="false">IF($A9="",0,SUMIFS(tblAuftraege[Einnahmen],tblAuftraege[Datum Einnahmen],"&gt;="&amp;AF$5,tblAuftraege[Datum Einnahmen],"&lt;"&amp;EDATE(AF$5,1),tblAuftraege[Auftrag],$A9))</f>
        <v>0</v>
      </c>
      <c r="AG9" s="11" t="n">
        <f aca="false">IF($A9="",0,SUMIFS(tblAuftraege[Einnahmen],tblAuftraege[Datum Einnahmen],"&gt;="&amp;AG$5,tblAuftraege[Datum Einnahmen],"&lt;"&amp;EDATE(AG$5,1),tblAuftraege[Auftrag],$A9))</f>
        <v>0</v>
      </c>
      <c r="AH9" s="11" t="n">
        <f aca="false">IF($A9="",0,SUMIFS(tblAuftraege[Einnahmen],tblAuftraege[Datum Einnahmen],"&gt;="&amp;AH$5,tblAuftraege[Datum Einnahmen],"&lt;"&amp;EDATE(AH$5,1),tblAuftraege[Auftrag],$A9))</f>
        <v>0</v>
      </c>
      <c r="AI9" s="11" t="n">
        <f aca="false">IF($A9="",0,SUMIFS(tblAuftraege[Einnahmen],tblAuftraege[Datum Einnahmen],"&gt;="&amp;AI$5,tblAuftraege[Datum Einnahmen],"&lt;"&amp;EDATE(AI$5,1),tblAuftraege[Auftrag],$A9))</f>
        <v>0</v>
      </c>
      <c r="AJ9" s="11" t="n">
        <f aca="false">IF($A9="",0,SUMIFS(tblAuftraege[Einnahmen],tblAuftraege[Datum Einnahmen],"&gt;="&amp;AJ$5,tblAuftraege[Datum Einnahmen],"&lt;"&amp;EDATE(AJ$5,1),tblAuftraege[Auftrag],$A9))</f>
        <v>0</v>
      </c>
      <c r="AK9" s="11" t="n">
        <f aca="false">IF($A9="",0,SUMIFS(tblAuftraege[Einnahmen],tblAuftraege[Datum Einnahmen],"&gt;="&amp;AK$5,tblAuftraege[Datum Einnahmen],"&lt;"&amp;EDATE(AK$5,1),tblAuftraege[Auftrag],$A9))</f>
        <v>0</v>
      </c>
      <c r="AL9" s="11" t="n">
        <f aca="false">IF($A9="",0,SUMIFS(tblAuftraege[Einnahmen],tblAuftraege[Datum Einnahmen],"&gt;="&amp;AL$5,tblAuftraege[Datum Einnahmen],"&lt;"&amp;EDATE(AL$5,1),tblAuftraege[Auftrag],$A9))</f>
        <v>0</v>
      </c>
      <c r="AM9" s="11" t="n">
        <f aca="false">IF($A9="",0,SUMIFS(tblAuftraege[Einnahmen],tblAuftraege[Datum Einnahmen],"&gt;="&amp;AM$5,tblAuftraege[Datum Einnahmen],"&lt;"&amp;EDATE(AM$5,1),tblAuftraege[Auftrag],$A9))</f>
        <v>0</v>
      </c>
      <c r="AN9" s="11" t="n">
        <f aca="false">IF($A9="",0,SUMIFS(tblAuftraege[Einnahmen],tblAuftraege[Datum Einnahmen],"&gt;="&amp;AN$5,tblAuftraege[Datum Einnahmen],"&lt;"&amp;EDATE(AN$5,1),tblAuftraege[Auftrag],$A9))</f>
        <v>0</v>
      </c>
      <c r="AO9" s="11" t="n">
        <f aca="false">IF($A9="",0,SUMIFS(tblAuftraege[Einnahmen],tblAuftraege[Datum Einnahmen],"&gt;="&amp;AO$5,tblAuftraege[Datum Einnahmen],"&lt;"&amp;EDATE(AO$5,1),tblAuftraege[Auftrag],$A9))</f>
        <v>0</v>
      </c>
      <c r="AP9" s="11" t="n">
        <f aca="false">IF($A9="",0,SUMIFS(tblAuftraege[Einnahmen],tblAuftraege[Datum Einnahmen],"&gt;="&amp;AP$5,tblAuftraege[Datum Einnahmen],"&lt;"&amp;EDATE(AP$5,1),tblAuftraege[Auftrag],$A9))</f>
        <v>0</v>
      </c>
      <c r="AQ9" s="11" t="n">
        <f aca="false">IF($A9="",0,SUMIFS(tblAuftraege[Einnahmen],tblAuftraege[Datum Einnahmen],"&gt;="&amp;AQ$5,tblAuftraege[Datum Einnahmen],"&lt;"&amp;EDATE(AQ$5,1),tblAuftraege[Auftrag],$A9))</f>
        <v>0</v>
      </c>
      <c r="AR9" s="11" t="n">
        <f aca="false">IF($A9="",0,SUMIFS(tblAuftraege[Einnahmen],tblAuftraege[Datum Einnahmen],"&gt;="&amp;AR$5,tblAuftraege[Datum Einnahmen],"&lt;"&amp;EDATE(AR$5,1),tblAuftraege[Auftrag],$A9))</f>
        <v>0</v>
      </c>
      <c r="AS9" s="11" t="n">
        <f aca="false">IF($A9="",0,SUMIFS(tblAuftraege[Einnahmen],tblAuftraege[Datum Einnahmen],"&gt;="&amp;AS$5,tblAuftraege[Datum Einnahmen],"&lt;"&amp;EDATE(AS$5,1),tblAuftraege[Auftrag],$A9))</f>
        <v>0</v>
      </c>
      <c r="AT9" s="11" t="n">
        <f aca="false">IF($A9="",0,SUMIFS(tblAuftraege[Einnahmen],tblAuftraege[Datum Einnahmen],"&gt;="&amp;AT$5,tblAuftraege[Datum Einnahmen],"&lt;"&amp;EDATE(AT$5,1),tblAuftraege[Auftrag],$A9))</f>
        <v>0</v>
      </c>
      <c r="AU9" s="11" t="n">
        <f aca="false">IF($A9="",0,SUMIFS(tblAuftraege[Einnahmen],tblAuftraege[Datum Einnahmen],"&gt;="&amp;AU$5,tblAuftraege[Datum Einnahmen],"&lt;"&amp;EDATE(AU$5,1),tblAuftraege[Auftrag],$A9))</f>
        <v>0</v>
      </c>
      <c r="AV9" s="11" t="n">
        <f aca="false">IF($A9="",0,SUMIFS(tblAuftraege[Einnahmen],tblAuftraege[Datum Einnahmen],"&gt;="&amp;AV$5,tblAuftraege[Datum Einnahmen],"&lt;"&amp;EDATE(AV$5,1),tblAuftraege[Auftrag],$A9))</f>
        <v>0</v>
      </c>
      <c r="AW9" s="11" t="n">
        <f aca="false">IF($A9="",0,SUMIFS(tblAuftraege[Einnahmen],tblAuftraege[Datum Einnahmen],"&gt;="&amp;AW$5,tblAuftraege[Datum Einnahmen],"&lt;"&amp;EDATE(AW$5,1),tblAuftraege[Auftrag],$A9))</f>
        <v>0</v>
      </c>
      <c r="AX9" s="11" t="n">
        <f aca="false">IF($A9="",0,SUMIFS(tblAuftraege[Einnahmen],tblAuftraege[Datum Einnahmen],"&gt;="&amp;AX$5,tblAuftraege[Datum Einnahmen],"&lt;"&amp;EDATE(AX$5,1),tblAuftraege[Auftrag],$A9))</f>
        <v>0</v>
      </c>
      <c r="AY9" s="11" t="n">
        <f aca="false">IF($A9="",0,SUMIFS(tblAuftraege[Einnahmen],tblAuftraege[Datum Einnahmen],"&gt;="&amp;AY$5,tblAuftraege[Datum Einnahmen],"&lt;"&amp;EDATE(AY$5,1),tblAuftraege[Auftrag],$A9))</f>
        <v>0</v>
      </c>
      <c r="AZ9" s="11" t="n">
        <f aca="false">IF($A9="",0,SUMIFS(tblAuftraege[Einnahmen],tblAuftraege[Datum Einnahmen],"&gt;="&amp;AZ$5,tblAuftraege[Datum Einnahmen],"&lt;"&amp;EDATE(AZ$5,1),tblAuftraege[Auftrag],$A9))</f>
        <v>0</v>
      </c>
      <c r="BA9" s="11" t="n">
        <f aca="false">IF($A9="",0,SUMIFS(tblAuftraege[Einnahmen],tblAuftraege[Datum Einnahmen],"&gt;="&amp;BA$5,tblAuftraege[Datum Einnahmen],"&lt;"&amp;EDATE(BA$5,1),tblAuftraege[Auftrag],$A9))</f>
        <v>0</v>
      </c>
      <c r="BB9" s="11" t="n">
        <f aca="false">IF($A9="",0,SUMIFS(tblAuftraege[Einnahmen],tblAuftraege[Datum Einnahmen],"&gt;="&amp;BB$5,tblAuftraege[Datum Einnahmen],"&lt;"&amp;EDATE(BB$5,1),tblAuftraege[Auftrag],$A9))</f>
        <v>0</v>
      </c>
      <c r="BC9" s="11" t="n">
        <f aca="false">IF($A9="",0,SUMIFS(tblAuftraege[Einnahmen],tblAuftraege[Datum Einnahmen],"&gt;="&amp;BC$5,tblAuftraege[Datum Einnahmen],"&lt;"&amp;EDATE(BC$5,1),tblAuftraege[Auftrag],$A9))</f>
        <v>0</v>
      </c>
      <c r="BD9" s="11" t="n">
        <f aca="false">IF($A9="",0,SUMIFS(tblAuftraege[Einnahmen],tblAuftraege[Datum Einnahmen],"&gt;="&amp;BD$5,tblAuftraege[Datum Einnahmen],"&lt;"&amp;EDATE(BD$5,1),tblAuftraege[Auftrag],$A9))</f>
        <v>0</v>
      </c>
      <c r="BE9" s="11" t="n">
        <f aca="false">IF($A9="",0,SUMIFS(tblAuftraege[Einnahmen],tblAuftraege[Datum Einnahmen],"&gt;="&amp;BE$5,tblAuftraege[Datum Einnahmen],"&lt;"&amp;EDATE(BE$5,1),tblAuftraege[Auftrag],$A9))</f>
        <v>0</v>
      </c>
      <c r="BF9" s="11" t="n">
        <f aca="false">IF($A9="",0,SUMIFS(tblAuftraege[Einnahmen],tblAuftraege[Datum Einnahmen],"&gt;="&amp;BF$5,tblAuftraege[Datum Einnahmen],"&lt;"&amp;EDATE(BF$5,1),tblAuftraege[Auftrag],$A9))</f>
        <v>0</v>
      </c>
      <c r="BG9" s="11" t="n">
        <f aca="false">SUM(E9:J9)</f>
        <v>0</v>
      </c>
      <c r="BH9" s="11" t="n">
        <f aca="false">SUM(K9:V9)</f>
        <v>0</v>
      </c>
      <c r="BI9" s="11" t="n">
        <f aca="false">SUM(W9:AH9)</f>
        <v>0</v>
      </c>
      <c r="BJ9" s="11" t="n">
        <f aca="false">SUM(AI9:AT9)</f>
        <v>0</v>
      </c>
      <c r="BK9" s="11" t="n">
        <f aca="false">SUM(AU9:BF9)</f>
        <v>0</v>
      </c>
      <c r="BL9" s="12" t="n">
        <f aca="false">SUM(E9:BF9)</f>
        <v>0</v>
      </c>
    </row>
    <row r="10" customFormat="false" ht="15" hidden="false" customHeight="false" outlineLevel="0" collapsed="false">
      <c r="A10" s="9"/>
      <c r="B10" s="10" t="str">
        <f aca="false">IF($A10="","",IFERROR(INDEX(tblAuftraege[Kostenstelle],MATCH($A10,tblAuftraege[Auftrag],0)),""))</f>
        <v/>
      </c>
      <c r="C10" s="10" t="str">
        <f aca="false">IF($A10="","",IFERROR(INDEX(tblAuftraege[Themenfeld],MATCH($A10,tblAuftraege[Auftrag],0)),""))</f>
        <v/>
      </c>
      <c r="D10" s="10" t="str">
        <f aca="false">IF($A10="","",IFERROR(INDEX(tblAuftraege[Kategorie],MATCH($A10,tblAuftraege[Auftrag],0)),""))</f>
        <v/>
      </c>
      <c r="E10" s="11" t="n">
        <f aca="false">IF($A10="",0,SUMIFS(tblAuftraege[Einnahmen],tblAuftraege[Datum Einnahmen],"&gt;="&amp;E$5,tblAuftraege[Datum Einnahmen],"&lt;"&amp;EDATE(E$5,1),tblAuftraege[Auftrag],$A10))</f>
        <v>0</v>
      </c>
      <c r="F10" s="11" t="n">
        <f aca="false">IF($A10="",0,SUMIFS(tblAuftraege[Einnahmen],tblAuftraege[Datum Einnahmen],"&gt;="&amp;F$5,tblAuftraege[Datum Einnahmen],"&lt;"&amp;EDATE(F$5,1),tblAuftraege[Auftrag],$A10))</f>
        <v>0</v>
      </c>
      <c r="G10" s="11" t="n">
        <f aca="false">IF($A10="",0,SUMIFS(tblAuftraege[Einnahmen],tblAuftraege[Datum Einnahmen],"&gt;="&amp;G$5,tblAuftraege[Datum Einnahmen],"&lt;"&amp;EDATE(G$5,1),tblAuftraege[Auftrag],$A10))</f>
        <v>0</v>
      </c>
      <c r="H10" s="11" t="n">
        <f aca="false">IF($A10="",0,SUMIFS(tblAuftraege[Einnahmen],tblAuftraege[Datum Einnahmen],"&gt;="&amp;H$5,tblAuftraege[Datum Einnahmen],"&lt;"&amp;EDATE(H$5,1),tblAuftraege[Auftrag],$A10))</f>
        <v>0</v>
      </c>
      <c r="I10" s="11" t="n">
        <f aca="false">IF($A10="",0,SUMIFS(tblAuftraege[Einnahmen],tblAuftraege[Datum Einnahmen],"&gt;="&amp;I$5,tblAuftraege[Datum Einnahmen],"&lt;"&amp;EDATE(I$5,1),tblAuftraege[Auftrag],$A10))</f>
        <v>0</v>
      </c>
      <c r="J10" s="11" t="n">
        <f aca="false">IF($A10="",0,SUMIFS(tblAuftraege[Einnahmen],tblAuftraege[Datum Einnahmen],"&gt;="&amp;J$5,tblAuftraege[Datum Einnahmen],"&lt;"&amp;EDATE(J$5,1),tblAuftraege[Auftrag],$A10))</f>
        <v>0</v>
      </c>
      <c r="K10" s="11" t="n">
        <f aca="false">IF($A10="",0,SUMIFS(tblAuftraege[Einnahmen],tblAuftraege[Datum Einnahmen],"&gt;="&amp;K$5,tblAuftraege[Datum Einnahmen],"&lt;"&amp;EDATE(K$5,1),tblAuftraege[Auftrag],$A10))</f>
        <v>0</v>
      </c>
      <c r="L10" s="11" t="n">
        <f aca="false">IF($A10="",0,SUMIFS(tblAuftraege[Einnahmen],tblAuftraege[Datum Einnahmen],"&gt;="&amp;L$5,tblAuftraege[Datum Einnahmen],"&lt;"&amp;EDATE(L$5,1),tblAuftraege[Auftrag],$A10))</f>
        <v>0</v>
      </c>
      <c r="M10" s="11" t="n">
        <f aca="false">IF($A10="",0,SUMIFS(tblAuftraege[Einnahmen],tblAuftraege[Datum Einnahmen],"&gt;="&amp;M$5,tblAuftraege[Datum Einnahmen],"&lt;"&amp;EDATE(M$5,1),tblAuftraege[Auftrag],$A10))</f>
        <v>0</v>
      </c>
      <c r="N10" s="11" t="n">
        <f aca="false">IF($A10="",0,SUMIFS(tblAuftraege[Einnahmen],tblAuftraege[Datum Einnahmen],"&gt;="&amp;N$5,tblAuftraege[Datum Einnahmen],"&lt;"&amp;EDATE(N$5,1),tblAuftraege[Auftrag],$A10))</f>
        <v>0</v>
      </c>
      <c r="O10" s="11" t="n">
        <f aca="false">IF($A10="",0,SUMIFS(tblAuftraege[Einnahmen],tblAuftraege[Datum Einnahmen],"&gt;="&amp;O$5,tblAuftraege[Datum Einnahmen],"&lt;"&amp;EDATE(O$5,1),tblAuftraege[Auftrag],$A10))</f>
        <v>0</v>
      </c>
      <c r="P10" s="11" t="n">
        <f aca="false">IF($A10="",0,SUMIFS(tblAuftraege[Einnahmen],tblAuftraege[Datum Einnahmen],"&gt;="&amp;P$5,tblAuftraege[Datum Einnahmen],"&lt;"&amp;EDATE(P$5,1),tblAuftraege[Auftrag],$A10))</f>
        <v>0</v>
      </c>
      <c r="Q10" s="11" t="n">
        <f aca="false">IF($A10="",0,SUMIFS(tblAuftraege[Einnahmen],tblAuftraege[Datum Einnahmen],"&gt;="&amp;Q$5,tblAuftraege[Datum Einnahmen],"&lt;"&amp;EDATE(Q$5,1),tblAuftraege[Auftrag],$A10))</f>
        <v>0</v>
      </c>
      <c r="R10" s="11" t="n">
        <f aca="false">IF($A10="",0,SUMIFS(tblAuftraege[Einnahmen],tblAuftraege[Datum Einnahmen],"&gt;="&amp;R$5,tblAuftraege[Datum Einnahmen],"&lt;"&amp;EDATE(R$5,1),tblAuftraege[Auftrag],$A10))</f>
        <v>0</v>
      </c>
      <c r="S10" s="11" t="n">
        <f aca="false">IF($A10="",0,SUMIFS(tblAuftraege[Einnahmen],tblAuftraege[Datum Einnahmen],"&gt;="&amp;S$5,tblAuftraege[Datum Einnahmen],"&lt;"&amp;EDATE(S$5,1),tblAuftraege[Auftrag],$A10))</f>
        <v>0</v>
      </c>
      <c r="T10" s="11" t="n">
        <f aca="false">IF($A10="",0,SUMIFS(tblAuftraege[Einnahmen],tblAuftraege[Datum Einnahmen],"&gt;="&amp;T$5,tblAuftraege[Datum Einnahmen],"&lt;"&amp;EDATE(T$5,1),tblAuftraege[Auftrag],$A10))</f>
        <v>0</v>
      </c>
      <c r="U10" s="11" t="n">
        <f aca="false">IF($A10="",0,SUMIFS(tblAuftraege[Einnahmen],tblAuftraege[Datum Einnahmen],"&gt;="&amp;U$5,tblAuftraege[Datum Einnahmen],"&lt;"&amp;EDATE(U$5,1),tblAuftraege[Auftrag],$A10))</f>
        <v>0</v>
      </c>
      <c r="V10" s="11" t="n">
        <f aca="false">IF($A10="",0,SUMIFS(tblAuftraege[Einnahmen],tblAuftraege[Datum Einnahmen],"&gt;="&amp;V$5,tblAuftraege[Datum Einnahmen],"&lt;"&amp;EDATE(V$5,1),tblAuftraege[Auftrag],$A10))</f>
        <v>0</v>
      </c>
      <c r="W10" s="11" t="n">
        <f aca="false">IF($A10="",0,SUMIFS(tblAuftraege[Einnahmen],tblAuftraege[Datum Einnahmen],"&gt;="&amp;W$5,tblAuftraege[Datum Einnahmen],"&lt;"&amp;EDATE(W$5,1),tblAuftraege[Auftrag],$A10))</f>
        <v>0</v>
      </c>
      <c r="X10" s="11" t="n">
        <f aca="false">IF($A10="",0,SUMIFS(tblAuftraege[Einnahmen],tblAuftraege[Datum Einnahmen],"&gt;="&amp;X$5,tblAuftraege[Datum Einnahmen],"&lt;"&amp;EDATE(X$5,1),tblAuftraege[Auftrag],$A10))</f>
        <v>0</v>
      </c>
      <c r="Y10" s="11" t="n">
        <f aca="false">IF($A10="",0,SUMIFS(tblAuftraege[Einnahmen],tblAuftraege[Datum Einnahmen],"&gt;="&amp;Y$5,tblAuftraege[Datum Einnahmen],"&lt;"&amp;EDATE(Y$5,1),tblAuftraege[Auftrag],$A10))</f>
        <v>0</v>
      </c>
      <c r="Z10" s="11" t="n">
        <f aca="false">IF($A10="",0,SUMIFS(tblAuftraege[Einnahmen],tblAuftraege[Datum Einnahmen],"&gt;="&amp;Z$5,tblAuftraege[Datum Einnahmen],"&lt;"&amp;EDATE(Z$5,1),tblAuftraege[Auftrag],$A10))</f>
        <v>0</v>
      </c>
      <c r="AA10" s="11" t="n">
        <f aca="false">IF($A10="",0,SUMIFS(tblAuftraege[Einnahmen],tblAuftraege[Datum Einnahmen],"&gt;="&amp;AA$5,tblAuftraege[Datum Einnahmen],"&lt;"&amp;EDATE(AA$5,1),tblAuftraege[Auftrag],$A10))</f>
        <v>0</v>
      </c>
      <c r="AB10" s="11" t="n">
        <f aca="false">IF($A10="",0,SUMIFS(tblAuftraege[Einnahmen],tblAuftraege[Datum Einnahmen],"&gt;="&amp;AB$5,tblAuftraege[Datum Einnahmen],"&lt;"&amp;EDATE(AB$5,1),tblAuftraege[Auftrag],$A10))</f>
        <v>0</v>
      </c>
      <c r="AC10" s="11" t="n">
        <f aca="false">IF($A10="",0,SUMIFS(tblAuftraege[Einnahmen],tblAuftraege[Datum Einnahmen],"&gt;="&amp;AC$5,tblAuftraege[Datum Einnahmen],"&lt;"&amp;EDATE(AC$5,1),tblAuftraege[Auftrag],$A10))</f>
        <v>0</v>
      </c>
      <c r="AD10" s="11" t="n">
        <f aca="false">IF($A10="",0,SUMIFS(tblAuftraege[Einnahmen],tblAuftraege[Datum Einnahmen],"&gt;="&amp;AD$5,tblAuftraege[Datum Einnahmen],"&lt;"&amp;EDATE(AD$5,1),tblAuftraege[Auftrag],$A10))</f>
        <v>0</v>
      </c>
      <c r="AE10" s="11" t="n">
        <f aca="false">IF($A10="",0,SUMIFS(tblAuftraege[Einnahmen],tblAuftraege[Datum Einnahmen],"&gt;="&amp;AE$5,tblAuftraege[Datum Einnahmen],"&lt;"&amp;EDATE(AE$5,1),tblAuftraege[Auftrag],$A10))</f>
        <v>0</v>
      </c>
      <c r="AF10" s="11" t="n">
        <f aca="false">IF($A10="",0,SUMIFS(tblAuftraege[Einnahmen],tblAuftraege[Datum Einnahmen],"&gt;="&amp;AF$5,tblAuftraege[Datum Einnahmen],"&lt;"&amp;EDATE(AF$5,1),tblAuftraege[Auftrag],$A10))</f>
        <v>0</v>
      </c>
      <c r="AG10" s="11" t="n">
        <f aca="false">IF($A10="",0,SUMIFS(tblAuftraege[Einnahmen],tblAuftraege[Datum Einnahmen],"&gt;="&amp;AG$5,tblAuftraege[Datum Einnahmen],"&lt;"&amp;EDATE(AG$5,1),tblAuftraege[Auftrag],$A10))</f>
        <v>0</v>
      </c>
      <c r="AH10" s="11" t="n">
        <f aca="false">IF($A10="",0,SUMIFS(tblAuftraege[Einnahmen],tblAuftraege[Datum Einnahmen],"&gt;="&amp;AH$5,tblAuftraege[Datum Einnahmen],"&lt;"&amp;EDATE(AH$5,1),tblAuftraege[Auftrag],$A10))</f>
        <v>0</v>
      </c>
      <c r="AI10" s="11" t="n">
        <f aca="false">IF($A10="",0,SUMIFS(tblAuftraege[Einnahmen],tblAuftraege[Datum Einnahmen],"&gt;="&amp;AI$5,tblAuftraege[Datum Einnahmen],"&lt;"&amp;EDATE(AI$5,1),tblAuftraege[Auftrag],$A10))</f>
        <v>0</v>
      </c>
      <c r="AJ10" s="11" t="n">
        <f aca="false">IF($A10="",0,SUMIFS(tblAuftraege[Einnahmen],tblAuftraege[Datum Einnahmen],"&gt;="&amp;AJ$5,tblAuftraege[Datum Einnahmen],"&lt;"&amp;EDATE(AJ$5,1),tblAuftraege[Auftrag],$A10))</f>
        <v>0</v>
      </c>
      <c r="AK10" s="11" t="n">
        <f aca="false">IF($A10="",0,SUMIFS(tblAuftraege[Einnahmen],tblAuftraege[Datum Einnahmen],"&gt;="&amp;AK$5,tblAuftraege[Datum Einnahmen],"&lt;"&amp;EDATE(AK$5,1),tblAuftraege[Auftrag],$A10))</f>
        <v>0</v>
      </c>
      <c r="AL10" s="11" t="n">
        <f aca="false">IF($A10="",0,SUMIFS(tblAuftraege[Einnahmen],tblAuftraege[Datum Einnahmen],"&gt;="&amp;AL$5,tblAuftraege[Datum Einnahmen],"&lt;"&amp;EDATE(AL$5,1),tblAuftraege[Auftrag],$A10))</f>
        <v>0</v>
      </c>
      <c r="AM10" s="11" t="n">
        <f aca="false">IF($A10="",0,SUMIFS(tblAuftraege[Einnahmen],tblAuftraege[Datum Einnahmen],"&gt;="&amp;AM$5,tblAuftraege[Datum Einnahmen],"&lt;"&amp;EDATE(AM$5,1),tblAuftraege[Auftrag],$A10))</f>
        <v>0</v>
      </c>
      <c r="AN10" s="11" t="n">
        <f aca="false">IF($A10="",0,SUMIFS(tblAuftraege[Einnahmen],tblAuftraege[Datum Einnahmen],"&gt;="&amp;AN$5,tblAuftraege[Datum Einnahmen],"&lt;"&amp;EDATE(AN$5,1),tblAuftraege[Auftrag],$A10))</f>
        <v>0</v>
      </c>
      <c r="AO10" s="11" t="n">
        <f aca="false">IF($A10="",0,SUMIFS(tblAuftraege[Einnahmen],tblAuftraege[Datum Einnahmen],"&gt;="&amp;AO$5,tblAuftraege[Datum Einnahmen],"&lt;"&amp;EDATE(AO$5,1),tblAuftraege[Auftrag],$A10))</f>
        <v>0</v>
      </c>
      <c r="AP10" s="11" t="n">
        <f aca="false">IF($A10="",0,SUMIFS(tblAuftraege[Einnahmen],tblAuftraege[Datum Einnahmen],"&gt;="&amp;AP$5,tblAuftraege[Datum Einnahmen],"&lt;"&amp;EDATE(AP$5,1),tblAuftraege[Auftrag],$A10))</f>
        <v>0</v>
      </c>
      <c r="AQ10" s="11" t="n">
        <f aca="false">IF($A10="",0,SUMIFS(tblAuftraege[Einnahmen],tblAuftraege[Datum Einnahmen],"&gt;="&amp;AQ$5,tblAuftraege[Datum Einnahmen],"&lt;"&amp;EDATE(AQ$5,1),tblAuftraege[Auftrag],$A10))</f>
        <v>0</v>
      </c>
      <c r="AR10" s="11" t="n">
        <f aca="false">IF($A10="",0,SUMIFS(tblAuftraege[Einnahmen],tblAuftraege[Datum Einnahmen],"&gt;="&amp;AR$5,tblAuftraege[Datum Einnahmen],"&lt;"&amp;EDATE(AR$5,1),tblAuftraege[Auftrag],$A10))</f>
        <v>0</v>
      </c>
      <c r="AS10" s="11" t="n">
        <f aca="false">IF($A10="",0,SUMIFS(tblAuftraege[Einnahmen],tblAuftraege[Datum Einnahmen],"&gt;="&amp;AS$5,tblAuftraege[Datum Einnahmen],"&lt;"&amp;EDATE(AS$5,1),tblAuftraege[Auftrag],$A10))</f>
        <v>0</v>
      </c>
      <c r="AT10" s="11" t="n">
        <f aca="false">IF($A10="",0,SUMIFS(tblAuftraege[Einnahmen],tblAuftraege[Datum Einnahmen],"&gt;="&amp;AT$5,tblAuftraege[Datum Einnahmen],"&lt;"&amp;EDATE(AT$5,1),tblAuftraege[Auftrag],$A10))</f>
        <v>0</v>
      </c>
      <c r="AU10" s="11" t="n">
        <f aca="false">IF($A10="",0,SUMIFS(tblAuftraege[Einnahmen],tblAuftraege[Datum Einnahmen],"&gt;="&amp;AU$5,tblAuftraege[Datum Einnahmen],"&lt;"&amp;EDATE(AU$5,1),tblAuftraege[Auftrag],$A10))</f>
        <v>0</v>
      </c>
      <c r="AV10" s="11" t="n">
        <f aca="false">IF($A10="",0,SUMIFS(tblAuftraege[Einnahmen],tblAuftraege[Datum Einnahmen],"&gt;="&amp;AV$5,tblAuftraege[Datum Einnahmen],"&lt;"&amp;EDATE(AV$5,1),tblAuftraege[Auftrag],$A10))</f>
        <v>0</v>
      </c>
      <c r="AW10" s="11" t="n">
        <f aca="false">IF($A10="",0,SUMIFS(tblAuftraege[Einnahmen],tblAuftraege[Datum Einnahmen],"&gt;="&amp;AW$5,tblAuftraege[Datum Einnahmen],"&lt;"&amp;EDATE(AW$5,1),tblAuftraege[Auftrag],$A10))</f>
        <v>0</v>
      </c>
      <c r="AX10" s="11" t="n">
        <f aca="false">IF($A10="",0,SUMIFS(tblAuftraege[Einnahmen],tblAuftraege[Datum Einnahmen],"&gt;="&amp;AX$5,tblAuftraege[Datum Einnahmen],"&lt;"&amp;EDATE(AX$5,1),tblAuftraege[Auftrag],$A10))</f>
        <v>0</v>
      </c>
      <c r="AY10" s="11" t="n">
        <f aca="false">IF($A10="",0,SUMIFS(tblAuftraege[Einnahmen],tblAuftraege[Datum Einnahmen],"&gt;="&amp;AY$5,tblAuftraege[Datum Einnahmen],"&lt;"&amp;EDATE(AY$5,1),tblAuftraege[Auftrag],$A10))</f>
        <v>0</v>
      </c>
      <c r="AZ10" s="11" t="n">
        <f aca="false">IF($A10="",0,SUMIFS(tblAuftraege[Einnahmen],tblAuftraege[Datum Einnahmen],"&gt;="&amp;AZ$5,tblAuftraege[Datum Einnahmen],"&lt;"&amp;EDATE(AZ$5,1),tblAuftraege[Auftrag],$A10))</f>
        <v>0</v>
      </c>
      <c r="BA10" s="11" t="n">
        <f aca="false">IF($A10="",0,SUMIFS(tblAuftraege[Einnahmen],tblAuftraege[Datum Einnahmen],"&gt;="&amp;BA$5,tblAuftraege[Datum Einnahmen],"&lt;"&amp;EDATE(BA$5,1),tblAuftraege[Auftrag],$A10))</f>
        <v>0</v>
      </c>
      <c r="BB10" s="11" t="n">
        <f aca="false">IF($A10="",0,SUMIFS(tblAuftraege[Einnahmen],tblAuftraege[Datum Einnahmen],"&gt;="&amp;BB$5,tblAuftraege[Datum Einnahmen],"&lt;"&amp;EDATE(BB$5,1),tblAuftraege[Auftrag],$A10))</f>
        <v>0</v>
      </c>
      <c r="BC10" s="11" t="n">
        <f aca="false">IF($A10="",0,SUMIFS(tblAuftraege[Einnahmen],tblAuftraege[Datum Einnahmen],"&gt;="&amp;BC$5,tblAuftraege[Datum Einnahmen],"&lt;"&amp;EDATE(BC$5,1),tblAuftraege[Auftrag],$A10))</f>
        <v>0</v>
      </c>
      <c r="BD10" s="11" t="n">
        <f aca="false">IF($A10="",0,SUMIFS(tblAuftraege[Einnahmen],tblAuftraege[Datum Einnahmen],"&gt;="&amp;BD$5,tblAuftraege[Datum Einnahmen],"&lt;"&amp;EDATE(BD$5,1),tblAuftraege[Auftrag],$A10))</f>
        <v>0</v>
      </c>
      <c r="BE10" s="11" t="n">
        <f aca="false">IF($A10="",0,SUMIFS(tblAuftraege[Einnahmen],tblAuftraege[Datum Einnahmen],"&gt;="&amp;BE$5,tblAuftraege[Datum Einnahmen],"&lt;"&amp;EDATE(BE$5,1),tblAuftraege[Auftrag],$A10))</f>
        <v>0</v>
      </c>
      <c r="BF10" s="11" t="n">
        <f aca="false">IF($A10="",0,SUMIFS(tblAuftraege[Einnahmen],tblAuftraege[Datum Einnahmen],"&gt;="&amp;BF$5,tblAuftraege[Datum Einnahmen],"&lt;"&amp;EDATE(BF$5,1),tblAuftraege[Auftrag],$A10))</f>
        <v>0</v>
      </c>
      <c r="BG10" s="11" t="n">
        <f aca="false">SUM(E10:J10)</f>
        <v>0</v>
      </c>
      <c r="BH10" s="11" t="n">
        <f aca="false">SUM(K10:V10)</f>
        <v>0</v>
      </c>
      <c r="BI10" s="11" t="n">
        <f aca="false">SUM(W10:AH10)</f>
        <v>0</v>
      </c>
      <c r="BJ10" s="11" t="n">
        <f aca="false">SUM(AI10:AT10)</f>
        <v>0</v>
      </c>
      <c r="BK10" s="11" t="n">
        <f aca="false">SUM(AU10:BF10)</f>
        <v>0</v>
      </c>
      <c r="BL10" s="12" t="n">
        <f aca="false">SUM(E10:BF10)</f>
        <v>0</v>
      </c>
    </row>
    <row r="11" customFormat="false" ht="15" hidden="false" customHeight="false" outlineLevel="0" collapsed="false">
      <c r="A11" s="9"/>
      <c r="B11" s="10" t="str">
        <f aca="false">IF($A11="","",IFERROR(INDEX(tblAuftraege[Kostenstelle],MATCH($A11,tblAuftraege[Auftrag],0)),""))</f>
        <v/>
      </c>
      <c r="C11" s="10" t="str">
        <f aca="false">IF($A11="","",IFERROR(INDEX(tblAuftraege[Themenfeld],MATCH($A11,tblAuftraege[Auftrag],0)),""))</f>
        <v/>
      </c>
      <c r="D11" s="10" t="str">
        <f aca="false">IF($A11="","",IFERROR(INDEX(tblAuftraege[Kategorie],MATCH($A11,tblAuftraege[Auftrag],0)),""))</f>
        <v/>
      </c>
      <c r="E11" s="11" t="n">
        <f aca="false">IF($A11="",0,SUMIFS(tblAuftraege[Einnahmen],tblAuftraege[Datum Einnahmen],"&gt;="&amp;E$5,tblAuftraege[Datum Einnahmen],"&lt;"&amp;EDATE(E$5,1),tblAuftraege[Auftrag],$A11))</f>
        <v>0</v>
      </c>
      <c r="F11" s="11" t="n">
        <f aca="false">IF($A11="",0,SUMIFS(tblAuftraege[Einnahmen],tblAuftraege[Datum Einnahmen],"&gt;="&amp;F$5,tblAuftraege[Datum Einnahmen],"&lt;"&amp;EDATE(F$5,1),tblAuftraege[Auftrag],$A11))</f>
        <v>0</v>
      </c>
      <c r="G11" s="11" t="n">
        <f aca="false">IF($A11="",0,SUMIFS(tblAuftraege[Einnahmen],tblAuftraege[Datum Einnahmen],"&gt;="&amp;G$5,tblAuftraege[Datum Einnahmen],"&lt;"&amp;EDATE(G$5,1),tblAuftraege[Auftrag],$A11))</f>
        <v>0</v>
      </c>
      <c r="H11" s="11" t="n">
        <f aca="false">IF($A11="",0,SUMIFS(tblAuftraege[Einnahmen],tblAuftraege[Datum Einnahmen],"&gt;="&amp;H$5,tblAuftraege[Datum Einnahmen],"&lt;"&amp;EDATE(H$5,1),tblAuftraege[Auftrag],$A11))</f>
        <v>0</v>
      </c>
      <c r="I11" s="11" t="n">
        <f aca="false">IF($A11="",0,SUMIFS(tblAuftraege[Einnahmen],tblAuftraege[Datum Einnahmen],"&gt;="&amp;I$5,tblAuftraege[Datum Einnahmen],"&lt;"&amp;EDATE(I$5,1),tblAuftraege[Auftrag],$A11))</f>
        <v>0</v>
      </c>
      <c r="J11" s="11" t="n">
        <f aca="false">IF($A11="",0,SUMIFS(tblAuftraege[Einnahmen],tblAuftraege[Datum Einnahmen],"&gt;="&amp;J$5,tblAuftraege[Datum Einnahmen],"&lt;"&amp;EDATE(J$5,1),tblAuftraege[Auftrag],$A11))</f>
        <v>0</v>
      </c>
      <c r="K11" s="11" t="n">
        <f aca="false">IF($A11="",0,SUMIFS(tblAuftraege[Einnahmen],tblAuftraege[Datum Einnahmen],"&gt;="&amp;K$5,tblAuftraege[Datum Einnahmen],"&lt;"&amp;EDATE(K$5,1),tblAuftraege[Auftrag],$A11))</f>
        <v>0</v>
      </c>
      <c r="L11" s="11" t="n">
        <f aca="false">IF($A11="",0,SUMIFS(tblAuftraege[Einnahmen],tblAuftraege[Datum Einnahmen],"&gt;="&amp;L$5,tblAuftraege[Datum Einnahmen],"&lt;"&amp;EDATE(L$5,1),tblAuftraege[Auftrag],$A11))</f>
        <v>0</v>
      </c>
      <c r="M11" s="11" t="n">
        <f aca="false">IF($A11="",0,SUMIFS(tblAuftraege[Einnahmen],tblAuftraege[Datum Einnahmen],"&gt;="&amp;M$5,tblAuftraege[Datum Einnahmen],"&lt;"&amp;EDATE(M$5,1),tblAuftraege[Auftrag],$A11))</f>
        <v>0</v>
      </c>
      <c r="N11" s="11" t="n">
        <f aca="false">IF($A11="",0,SUMIFS(tblAuftraege[Einnahmen],tblAuftraege[Datum Einnahmen],"&gt;="&amp;N$5,tblAuftraege[Datum Einnahmen],"&lt;"&amp;EDATE(N$5,1),tblAuftraege[Auftrag],$A11))</f>
        <v>0</v>
      </c>
      <c r="O11" s="11" t="n">
        <f aca="false">IF($A11="",0,SUMIFS(tblAuftraege[Einnahmen],tblAuftraege[Datum Einnahmen],"&gt;="&amp;O$5,tblAuftraege[Datum Einnahmen],"&lt;"&amp;EDATE(O$5,1),tblAuftraege[Auftrag],$A11))</f>
        <v>0</v>
      </c>
      <c r="P11" s="11" t="n">
        <f aca="false">IF($A11="",0,SUMIFS(tblAuftraege[Einnahmen],tblAuftraege[Datum Einnahmen],"&gt;="&amp;P$5,tblAuftraege[Datum Einnahmen],"&lt;"&amp;EDATE(P$5,1),tblAuftraege[Auftrag],$A11))</f>
        <v>0</v>
      </c>
      <c r="Q11" s="11" t="n">
        <f aca="false">IF($A11="",0,SUMIFS(tblAuftraege[Einnahmen],tblAuftraege[Datum Einnahmen],"&gt;="&amp;Q$5,tblAuftraege[Datum Einnahmen],"&lt;"&amp;EDATE(Q$5,1),tblAuftraege[Auftrag],$A11))</f>
        <v>0</v>
      </c>
      <c r="R11" s="11" t="n">
        <f aca="false">IF($A11="",0,SUMIFS(tblAuftraege[Einnahmen],tblAuftraege[Datum Einnahmen],"&gt;="&amp;R$5,tblAuftraege[Datum Einnahmen],"&lt;"&amp;EDATE(R$5,1),tblAuftraege[Auftrag],$A11))</f>
        <v>0</v>
      </c>
      <c r="S11" s="11" t="n">
        <f aca="false">IF($A11="",0,SUMIFS(tblAuftraege[Einnahmen],tblAuftraege[Datum Einnahmen],"&gt;="&amp;S$5,tblAuftraege[Datum Einnahmen],"&lt;"&amp;EDATE(S$5,1),tblAuftraege[Auftrag],$A11))</f>
        <v>0</v>
      </c>
      <c r="T11" s="11" t="n">
        <f aca="false">IF($A11="",0,SUMIFS(tblAuftraege[Einnahmen],tblAuftraege[Datum Einnahmen],"&gt;="&amp;T$5,tblAuftraege[Datum Einnahmen],"&lt;"&amp;EDATE(T$5,1),tblAuftraege[Auftrag],$A11))</f>
        <v>0</v>
      </c>
      <c r="U11" s="11" t="n">
        <f aca="false">IF($A11="",0,SUMIFS(tblAuftraege[Einnahmen],tblAuftraege[Datum Einnahmen],"&gt;="&amp;U$5,tblAuftraege[Datum Einnahmen],"&lt;"&amp;EDATE(U$5,1),tblAuftraege[Auftrag],$A11))</f>
        <v>0</v>
      </c>
      <c r="V11" s="11" t="n">
        <f aca="false">IF($A11="",0,SUMIFS(tblAuftraege[Einnahmen],tblAuftraege[Datum Einnahmen],"&gt;="&amp;V$5,tblAuftraege[Datum Einnahmen],"&lt;"&amp;EDATE(V$5,1),tblAuftraege[Auftrag],$A11))</f>
        <v>0</v>
      </c>
      <c r="W11" s="11" t="n">
        <f aca="false">IF($A11="",0,SUMIFS(tblAuftraege[Einnahmen],tblAuftraege[Datum Einnahmen],"&gt;="&amp;W$5,tblAuftraege[Datum Einnahmen],"&lt;"&amp;EDATE(W$5,1),tblAuftraege[Auftrag],$A11))</f>
        <v>0</v>
      </c>
      <c r="X11" s="11" t="n">
        <f aca="false">IF($A11="",0,SUMIFS(tblAuftraege[Einnahmen],tblAuftraege[Datum Einnahmen],"&gt;="&amp;X$5,tblAuftraege[Datum Einnahmen],"&lt;"&amp;EDATE(X$5,1),tblAuftraege[Auftrag],$A11))</f>
        <v>0</v>
      </c>
      <c r="Y11" s="11" t="n">
        <f aca="false">IF($A11="",0,SUMIFS(tblAuftraege[Einnahmen],tblAuftraege[Datum Einnahmen],"&gt;="&amp;Y$5,tblAuftraege[Datum Einnahmen],"&lt;"&amp;EDATE(Y$5,1),tblAuftraege[Auftrag],$A11))</f>
        <v>0</v>
      </c>
      <c r="Z11" s="11" t="n">
        <f aca="false">IF($A11="",0,SUMIFS(tblAuftraege[Einnahmen],tblAuftraege[Datum Einnahmen],"&gt;="&amp;Z$5,tblAuftraege[Datum Einnahmen],"&lt;"&amp;EDATE(Z$5,1),tblAuftraege[Auftrag],$A11))</f>
        <v>0</v>
      </c>
      <c r="AA11" s="11" t="n">
        <f aca="false">IF($A11="",0,SUMIFS(tblAuftraege[Einnahmen],tblAuftraege[Datum Einnahmen],"&gt;="&amp;AA$5,tblAuftraege[Datum Einnahmen],"&lt;"&amp;EDATE(AA$5,1),tblAuftraege[Auftrag],$A11))</f>
        <v>0</v>
      </c>
      <c r="AB11" s="11" t="n">
        <f aca="false">IF($A11="",0,SUMIFS(tblAuftraege[Einnahmen],tblAuftraege[Datum Einnahmen],"&gt;="&amp;AB$5,tblAuftraege[Datum Einnahmen],"&lt;"&amp;EDATE(AB$5,1),tblAuftraege[Auftrag],$A11))</f>
        <v>0</v>
      </c>
      <c r="AC11" s="11" t="n">
        <f aca="false">IF($A11="",0,SUMIFS(tblAuftraege[Einnahmen],tblAuftraege[Datum Einnahmen],"&gt;="&amp;AC$5,tblAuftraege[Datum Einnahmen],"&lt;"&amp;EDATE(AC$5,1),tblAuftraege[Auftrag],$A11))</f>
        <v>0</v>
      </c>
      <c r="AD11" s="11" t="n">
        <f aca="false">IF($A11="",0,SUMIFS(tblAuftraege[Einnahmen],tblAuftraege[Datum Einnahmen],"&gt;="&amp;AD$5,tblAuftraege[Datum Einnahmen],"&lt;"&amp;EDATE(AD$5,1),tblAuftraege[Auftrag],$A11))</f>
        <v>0</v>
      </c>
      <c r="AE11" s="11" t="n">
        <f aca="false">IF($A11="",0,SUMIFS(tblAuftraege[Einnahmen],tblAuftraege[Datum Einnahmen],"&gt;="&amp;AE$5,tblAuftraege[Datum Einnahmen],"&lt;"&amp;EDATE(AE$5,1),tblAuftraege[Auftrag],$A11))</f>
        <v>0</v>
      </c>
      <c r="AF11" s="11" t="n">
        <f aca="false">IF($A11="",0,SUMIFS(tblAuftraege[Einnahmen],tblAuftraege[Datum Einnahmen],"&gt;="&amp;AF$5,tblAuftraege[Datum Einnahmen],"&lt;"&amp;EDATE(AF$5,1),tblAuftraege[Auftrag],$A11))</f>
        <v>0</v>
      </c>
      <c r="AG11" s="11" t="n">
        <f aca="false">IF($A11="",0,SUMIFS(tblAuftraege[Einnahmen],tblAuftraege[Datum Einnahmen],"&gt;="&amp;AG$5,tblAuftraege[Datum Einnahmen],"&lt;"&amp;EDATE(AG$5,1),tblAuftraege[Auftrag],$A11))</f>
        <v>0</v>
      </c>
      <c r="AH11" s="11" t="n">
        <f aca="false">IF($A11="",0,SUMIFS(tblAuftraege[Einnahmen],tblAuftraege[Datum Einnahmen],"&gt;="&amp;AH$5,tblAuftraege[Datum Einnahmen],"&lt;"&amp;EDATE(AH$5,1),tblAuftraege[Auftrag],$A11))</f>
        <v>0</v>
      </c>
      <c r="AI11" s="11" t="n">
        <f aca="false">IF($A11="",0,SUMIFS(tblAuftraege[Einnahmen],tblAuftraege[Datum Einnahmen],"&gt;="&amp;AI$5,tblAuftraege[Datum Einnahmen],"&lt;"&amp;EDATE(AI$5,1),tblAuftraege[Auftrag],$A11))</f>
        <v>0</v>
      </c>
      <c r="AJ11" s="11" t="n">
        <f aca="false">IF($A11="",0,SUMIFS(tblAuftraege[Einnahmen],tblAuftraege[Datum Einnahmen],"&gt;="&amp;AJ$5,tblAuftraege[Datum Einnahmen],"&lt;"&amp;EDATE(AJ$5,1),tblAuftraege[Auftrag],$A11))</f>
        <v>0</v>
      </c>
      <c r="AK11" s="11" t="n">
        <f aca="false">IF($A11="",0,SUMIFS(tblAuftraege[Einnahmen],tblAuftraege[Datum Einnahmen],"&gt;="&amp;AK$5,tblAuftraege[Datum Einnahmen],"&lt;"&amp;EDATE(AK$5,1),tblAuftraege[Auftrag],$A11))</f>
        <v>0</v>
      </c>
      <c r="AL11" s="11" t="n">
        <f aca="false">IF($A11="",0,SUMIFS(tblAuftraege[Einnahmen],tblAuftraege[Datum Einnahmen],"&gt;="&amp;AL$5,tblAuftraege[Datum Einnahmen],"&lt;"&amp;EDATE(AL$5,1),tblAuftraege[Auftrag],$A11))</f>
        <v>0</v>
      </c>
      <c r="AM11" s="11" t="n">
        <f aca="false">IF($A11="",0,SUMIFS(tblAuftraege[Einnahmen],tblAuftraege[Datum Einnahmen],"&gt;="&amp;AM$5,tblAuftraege[Datum Einnahmen],"&lt;"&amp;EDATE(AM$5,1),tblAuftraege[Auftrag],$A11))</f>
        <v>0</v>
      </c>
      <c r="AN11" s="11" t="n">
        <f aca="false">IF($A11="",0,SUMIFS(tblAuftraege[Einnahmen],tblAuftraege[Datum Einnahmen],"&gt;="&amp;AN$5,tblAuftraege[Datum Einnahmen],"&lt;"&amp;EDATE(AN$5,1),tblAuftraege[Auftrag],$A11))</f>
        <v>0</v>
      </c>
      <c r="AO11" s="11" t="n">
        <f aca="false">IF($A11="",0,SUMIFS(tblAuftraege[Einnahmen],tblAuftraege[Datum Einnahmen],"&gt;="&amp;AO$5,tblAuftraege[Datum Einnahmen],"&lt;"&amp;EDATE(AO$5,1),tblAuftraege[Auftrag],$A11))</f>
        <v>0</v>
      </c>
      <c r="AP11" s="11" t="n">
        <f aca="false">IF($A11="",0,SUMIFS(tblAuftraege[Einnahmen],tblAuftraege[Datum Einnahmen],"&gt;="&amp;AP$5,tblAuftraege[Datum Einnahmen],"&lt;"&amp;EDATE(AP$5,1),tblAuftraege[Auftrag],$A11))</f>
        <v>0</v>
      </c>
      <c r="AQ11" s="11" t="n">
        <f aca="false">IF($A11="",0,SUMIFS(tblAuftraege[Einnahmen],tblAuftraege[Datum Einnahmen],"&gt;="&amp;AQ$5,tblAuftraege[Datum Einnahmen],"&lt;"&amp;EDATE(AQ$5,1),tblAuftraege[Auftrag],$A11))</f>
        <v>0</v>
      </c>
      <c r="AR11" s="11" t="n">
        <f aca="false">IF($A11="",0,SUMIFS(tblAuftraege[Einnahmen],tblAuftraege[Datum Einnahmen],"&gt;="&amp;AR$5,tblAuftraege[Datum Einnahmen],"&lt;"&amp;EDATE(AR$5,1),tblAuftraege[Auftrag],$A11))</f>
        <v>0</v>
      </c>
      <c r="AS11" s="11" t="n">
        <f aca="false">IF($A11="",0,SUMIFS(tblAuftraege[Einnahmen],tblAuftraege[Datum Einnahmen],"&gt;="&amp;AS$5,tblAuftraege[Datum Einnahmen],"&lt;"&amp;EDATE(AS$5,1),tblAuftraege[Auftrag],$A11))</f>
        <v>0</v>
      </c>
      <c r="AT11" s="11" t="n">
        <f aca="false">IF($A11="",0,SUMIFS(tblAuftraege[Einnahmen],tblAuftraege[Datum Einnahmen],"&gt;="&amp;AT$5,tblAuftraege[Datum Einnahmen],"&lt;"&amp;EDATE(AT$5,1),tblAuftraege[Auftrag],$A11))</f>
        <v>0</v>
      </c>
      <c r="AU11" s="11" t="n">
        <f aca="false">IF($A11="",0,SUMIFS(tblAuftraege[Einnahmen],tblAuftraege[Datum Einnahmen],"&gt;="&amp;AU$5,tblAuftraege[Datum Einnahmen],"&lt;"&amp;EDATE(AU$5,1),tblAuftraege[Auftrag],$A11))</f>
        <v>0</v>
      </c>
      <c r="AV11" s="11" t="n">
        <f aca="false">IF($A11="",0,SUMIFS(tblAuftraege[Einnahmen],tblAuftraege[Datum Einnahmen],"&gt;="&amp;AV$5,tblAuftraege[Datum Einnahmen],"&lt;"&amp;EDATE(AV$5,1),tblAuftraege[Auftrag],$A11))</f>
        <v>0</v>
      </c>
      <c r="AW11" s="11" t="n">
        <f aca="false">IF($A11="",0,SUMIFS(tblAuftraege[Einnahmen],tblAuftraege[Datum Einnahmen],"&gt;="&amp;AW$5,tblAuftraege[Datum Einnahmen],"&lt;"&amp;EDATE(AW$5,1),tblAuftraege[Auftrag],$A11))</f>
        <v>0</v>
      </c>
      <c r="AX11" s="11" t="n">
        <f aca="false">IF($A11="",0,SUMIFS(tblAuftraege[Einnahmen],tblAuftraege[Datum Einnahmen],"&gt;="&amp;AX$5,tblAuftraege[Datum Einnahmen],"&lt;"&amp;EDATE(AX$5,1),tblAuftraege[Auftrag],$A11))</f>
        <v>0</v>
      </c>
      <c r="AY11" s="11" t="n">
        <f aca="false">IF($A11="",0,SUMIFS(tblAuftraege[Einnahmen],tblAuftraege[Datum Einnahmen],"&gt;="&amp;AY$5,tblAuftraege[Datum Einnahmen],"&lt;"&amp;EDATE(AY$5,1),tblAuftraege[Auftrag],$A11))</f>
        <v>0</v>
      </c>
      <c r="AZ11" s="11" t="n">
        <f aca="false">IF($A11="",0,SUMIFS(tblAuftraege[Einnahmen],tblAuftraege[Datum Einnahmen],"&gt;="&amp;AZ$5,tblAuftraege[Datum Einnahmen],"&lt;"&amp;EDATE(AZ$5,1),tblAuftraege[Auftrag],$A11))</f>
        <v>0</v>
      </c>
      <c r="BA11" s="11" t="n">
        <f aca="false">IF($A11="",0,SUMIFS(tblAuftraege[Einnahmen],tblAuftraege[Datum Einnahmen],"&gt;="&amp;BA$5,tblAuftraege[Datum Einnahmen],"&lt;"&amp;EDATE(BA$5,1),tblAuftraege[Auftrag],$A11))</f>
        <v>0</v>
      </c>
      <c r="BB11" s="11" t="n">
        <f aca="false">IF($A11="",0,SUMIFS(tblAuftraege[Einnahmen],tblAuftraege[Datum Einnahmen],"&gt;="&amp;BB$5,tblAuftraege[Datum Einnahmen],"&lt;"&amp;EDATE(BB$5,1),tblAuftraege[Auftrag],$A11))</f>
        <v>0</v>
      </c>
      <c r="BC11" s="11" t="n">
        <f aca="false">IF($A11="",0,SUMIFS(tblAuftraege[Einnahmen],tblAuftraege[Datum Einnahmen],"&gt;="&amp;BC$5,tblAuftraege[Datum Einnahmen],"&lt;"&amp;EDATE(BC$5,1),tblAuftraege[Auftrag],$A11))</f>
        <v>0</v>
      </c>
      <c r="BD11" s="11" t="n">
        <f aca="false">IF($A11="",0,SUMIFS(tblAuftraege[Einnahmen],tblAuftraege[Datum Einnahmen],"&gt;="&amp;BD$5,tblAuftraege[Datum Einnahmen],"&lt;"&amp;EDATE(BD$5,1),tblAuftraege[Auftrag],$A11))</f>
        <v>0</v>
      </c>
      <c r="BE11" s="11" t="n">
        <f aca="false">IF($A11="",0,SUMIFS(tblAuftraege[Einnahmen],tblAuftraege[Datum Einnahmen],"&gt;="&amp;BE$5,tblAuftraege[Datum Einnahmen],"&lt;"&amp;EDATE(BE$5,1),tblAuftraege[Auftrag],$A11))</f>
        <v>0</v>
      </c>
      <c r="BF11" s="11" t="n">
        <f aca="false">IF($A11="",0,SUMIFS(tblAuftraege[Einnahmen],tblAuftraege[Datum Einnahmen],"&gt;="&amp;BF$5,tblAuftraege[Datum Einnahmen],"&lt;"&amp;EDATE(BF$5,1),tblAuftraege[Auftrag],$A11))</f>
        <v>0</v>
      </c>
      <c r="BG11" s="11" t="n">
        <f aca="false">SUM(E11:J11)</f>
        <v>0</v>
      </c>
      <c r="BH11" s="11" t="n">
        <f aca="false">SUM(K11:V11)</f>
        <v>0</v>
      </c>
      <c r="BI11" s="11" t="n">
        <f aca="false">SUM(W11:AH11)</f>
        <v>0</v>
      </c>
      <c r="BJ11" s="11" t="n">
        <f aca="false">SUM(AI11:AT11)</f>
        <v>0</v>
      </c>
      <c r="BK11" s="11" t="n">
        <f aca="false">SUM(AU11:BF11)</f>
        <v>0</v>
      </c>
      <c r="BL11" s="12" t="n">
        <f aca="false">SUM(E11:BF11)</f>
        <v>0</v>
      </c>
    </row>
    <row r="12" customFormat="false" ht="15" hidden="false" customHeight="false" outlineLevel="0" collapsed="false">
      <c r="A12" s="9"/>
      <c r="B12" s="10" t="str">
        <f aca="false">IF($A12="","",IFERROR(INDEX(tblAuftraege[Kostenstelle],MATCH($A12,tblAuftraege[Auftrag],0)),""))</f>
        <v/>
      </c>
      <c r="C12" s="10" t="str">
        <f aca="false">IF($A12="","",IFERROR(INDEX(tblAuftraege[Themenfeld],MATCH($A12,tblAuftraege[Auftrag],0)),""))</f>
        <v/>
      </c>
      <c r="D12" s="10" t="str">
        <f aca="false">IF($A12="","",IFERROR(INDEX(tblAuftraege[Kategorie],MATCH($A12,tblAuftraege[Auftrag],0)),""))</f>
        <v/>
      </c>
      <c r="E12" s="11" t="n">
        <f aca="false">IF($A12="",0,SUMIFS(tblAuftraege[Einnahmen],tblAuftraege[Datum Einnahmen],"&gt;="&amp;E$5,tblAuftraege[Datum Einnahmen],"&lt;"&amp;EDATE(E$5,1),tblAuftraege[Auftrag],$A12))</f>
        <v>0</v>
      </c>
      <c r="F12" s="11" t="n">
        <f aca="false">IF($A12="",0,SUMIFS(tblAuftraege[Einnahmen],tblAuftraege[Datum Einnahmen],"&gt;="&amp;F$5,tblAuftraege[Datum Einnahmen],"&lt;"&amp;EDATE(F$5,1),tblAuftraege[Auftrag],$A12))</f>
        <v>0</v>
      </c>
      <c r="G12" s="11" t="n">
        <f aca="false">IF($A12="",0,SUMIFS(tblAuftraege[Einnahmen],tblAuftraege[Datum Einnahmen],"&gt;="&amp;G$5,tblAuftraege[Datum Einnahmen],"&lt;"&amp;EDATE(G$5,1),tblAuftraege[Auftrag],$A12))</f>
        <v>0</v>
      </c>
      <c r="H12" s="11" t="n">
        <f aca="false">IF($A12="",0,SUMIFS(tblAuftraege[Einnahmen],tblAuftraege[Datum Einnahmen],"&gt;="&amp;H$5,tblAuftraege[Datum Einnahmen],"&lt;"&amp;EDATE(H$5,1),tblAuftraege[Auftrag],$A12))</f>
        <v>0</v>
      </c>
      <c r="I12" s="11" t="n">
        <f aca="false">IF($A12="",0,SUMIFS(tblAuftraege[Einnahmen],tblAuftraege[Datum Einnahmen],"&gt;="&amp;I$5,tblAuftraege[Datum Einnahmen],"&lt;"&amp;EDATE(I$5,1),tblAuftraege[Auftrag],$A12))</f>
        <v>0</v>
      </c>
      <c r="J12" s="11" t="n">
        <f aca="false">IF($A12="",0,SUMIFS(tblAuftraege[Einnahmen],tblAuftraege[Datum Einnahmen],"&gt;="&amp;J$5,tblAuftraege[Datum Einnahmen],"&lt;"&amp;EDATE(J$5,1),tblAuftraege[Auftrag],$A12))</f>
        <v>0</v>
      </c>
      <c r="K12" s="11" t="n">
        <f aca="false">IF($A12="",0,SUMIFS(tblAuftraege[Einnahmen],tblAuftraege[Datum Einnahmen],"&gt;="&amp;K$5,tblAuftraege[Datum Einnahmen],"&lt;"&amp;EDATE(K$5,1),tblAuftraege[Auftrag],$A12))</f>
        <v>0</v>
      </c>
      <c r="L12" s="11" t="n">
        <f aca="false">IF($A12="",0,SUMIFS(tblAuftraege[Einnahmen],tblAuftraege[Datum Einnahmen],"&gt;="&amp;L$5,tblAuftraege[Datum Einnahmen],"&lt;"&amp;EDATE(L$5,1),tblAuftraege[Auftrag],$A12))</f>
        <v>0</v>
      </c>
      <c r="M12" s="11" t="n">
        <f aca="false">IF($A12="",0,SUMIFS(tblAuftraege[Einnahmen],tblAuftraege[Datum Einnahmen],"&gt;="&amp;M$5,tblAuftraege[Datum Einnahmen],"&lt;"&amp;EDATE(M$5,1),tblAuftraege[Auftrag],$A12))</f>
        <v>0</v>
      </c>
      <c r="N12" s="11" t="n">
        <f aca="false">IF($A12="",0,SUMIFS(tblAuftraege[Einnahmen],tblAuftraege[Datum Einnahmen],"&gt;="&amp;N$5,tblAuftraege[Datum Einnahmen],"&lt;"&amp;EDATE(N$5,1),tblAuftraege[Auftrag],$A12))</f>
        <v>0</v>
      </c>
      <c r="O12" s="11" t="n">
        <f aca="false">IF($A12="",0,SUMIFS(tblAuftraege[Einnahmen],tblAuftraege[Datum Einnahmen],"&gt;="&amp;O$5,tblAuftraege[Datum Einnahmen],"&lt;"&amp;EDATE(O$5,1),tblAuftraege[Auftrag],$A12))</f>
        <v>0</v>
      </c>
      <c r="P12" s="11" t="n">
        <f aca="false">IF($A12="",0,SUMIFS(tblAuftraege[Einnahmen],tblAuftraege[Datum Einnahmen],"&gt;="&amp;P$5,tblAuftraege[Datum Einnahmen],"&lt;"&amp;EDATE(P$5,1),tblAuftraege[Auftrag],$A12))</f>
        <v>0</v>
      </c>
      <c r="Q12" s="11" t="n">
        <f aca="false">IF($A12="",0,SUMIFS(tblAuftraege[Einnahmen],tblAuftraege[Datum Einnahmen],"&gt;="&amp;Q$5,tblAuftraege[Datum Einnahmen],"&lt;"&amp;EDATE(Q$5,1),tblAuftraege[Auftrag],$A12))</f>
        <v>0</v>
      </c>
      <c r="R12" s="11" t="n">
        <f aca="false">IF($A12="",0,SUMIFS(tblAuftraege[Einnahmen],tblAuftraege[Datum Einnahmen],"&gt;="&amp;R$5,tblAuftraege[Datum Einnahmen],"&lt;"&amp;EDATE(R$5,1),tblAuftraege[Auftrag],$A12))</f>
        <v>0</v>
      </c>
      <c r="S12" s="11" t="n">
        <f aca="false">IF($A12="",0,SUMIFS(tblAuftraege[Einnahmen],tblAuftraege[Datum Einnahmen],"&gt;="&amp;S$5,tblAuftraege[Datum Einnahmen],"&lt;"&amp;EDATE(S$5,1),tblAuftraege[Auftrag],$A12))</f>
        <v>0</v>
      </c>
      <c r="T12" s="11" t="n">
        <f aca="false">IF($A12="",0,SUMIFS(tblAuftraege[Einnahmen],tblAuftraege[Datum Einnahmen],"&gt;="&amp;T$5,tblAuftraege[Datum Einnahmen],"&lt;"&amp;EDATE(T$5,1),tblAuftraege[Auftrag],$A12))</f>
        <v>0</v>
      </c>
      <c r="U12" s="11" t="n">
        <f aca="false">IF($A12="",0,SUMIFS(tblAuftraege[Einnahmen],tblAuftraege[Datum Einnahmen],"&gt;="&amp;U$5,tblAuftraege[Datum Einnahmen],"&lt;"&amp;EDATE(U$5,1),tblAuftraege[Auftrag],$A12))</f>
        <v>0</v>
      </c>
      <c r="V12" s="11" t="n">
        <f aca="false">IF($A12="",0,SUMIFS(tblAuftraege[Einnahmen],tblAuftraege[Datum Einnahmen],"&gt;="&amp;V$5,tblAuftraege[Datum Einnahmen],"&lt;"&amp;EDATE(V$5,1),tblAuftraege[Auftrag],$A12))</f>
        <v>0</v>
      </c>
      <c r="W12" s="11" t="n">
        <f aca="false">IF($A12="",0,SUMIFS(tblAuftraege[Einnahmen],tblAuftraege[Datum Einnahmen],"&gt;="&amp;W$5,tblAuftraege[Datum Einnahmen],"&lt;"&amp;EDATE(W$5,1),tblAuftraege[Auftrag],$A12))</f>
        <v>0</v>
      </c>
      <c r="X12" s="11" t="n">
        <f aca="false">IF($A12="",0,SUMIFS(tblAuftraege[Einnahmen],tblAuftraege[Datum Einnahmen],"&gt;="&amp;X$5,tblAuftraege[Datum Einnahmen],"&lt;"&amp;EDATE(X$5,1),tblAuftraege[Auftrag],$A12))</f>
        <v>0</v>
      </c>
      <c r="Y12" s="11" t="n">
        <f aca="false">IF($A12="",0,SUMIFS(tblAuftraege[Einnahmen],tblAuftraege[Datum Einnahmen],"&gt;="&amp;Y$5,tblAuftraege[Datum Einnahmen],"&lt;"&amp;EDATE(Y$5,1),tblAuftraege[Auftrag],$A12))</f>
        <v>0</v>
      </c>
      <c r="Z12" s="11" t="n">
        <f aca="false">IF($A12="",0,SUMIFS(tblAuftraege[Einnahmen],tblAuftraege[Datum Einnahmen],"&gt;="&amp;Z$5,tblAuftraege[Datum Einnahmen],"&lt;"&amp;EDATE(Z$5,1),tblAuftraege[Auftrag],$A12))</f>
        <v>0</v>
      </c>
      <c r="AA12" s="11" t="n">
        <f aca="false">IF($A12="",0,SUMIFS(tblAuftraege[Einnahmen],tblAuftraege[Datum Einnahmen],"&gt;="&amp;AA$5,tblAuftraege[Datum Einnahmen],"&lt;"&amp;EDATE(AA$5,1),tblAuftraege[Auftrag],$A12))</f>
        <v>0</v>
      </c>
      <c r="AB12" s="11" t="n">
        <f aca="false">IF($A12="",0,SUMIFS(tblAuftraege[Einnahmen],tblAuftraege[Datum Einnahmen],"&gt;="&amp;AB$5,tblAuftraege[Datum Einnahmen],"&lt;"&amp;EDATE(AB$5,1),tblAuftraege[Auftrag],$A12))</f>
        <v>0</v>
      </c>
      <c r="AC12" s="11" t="n">
        <f aca="false">IF($A12="",0,SUMIFS(tblAuftraege[Einnahmen],tblAuftraege[Datum Einnahmen],"&gt;="&amp;AC$5,tblAuftraege[Datum Einnahmen],"&lt;"&amp;EDATE(AC$5,1),tblAuftraege[Auftrag],$A12))</f>
        <v>0</v>
      </c>
      <c r="AD12" s="11" t="n">
        <f aca="false">IF($A12="",0,SUMIFS(tblAuftraege[Einnahmen],tblAuftraege[Datum Einnahmen],"&gt;="&amp;AD$5,tblAuftraege[Datum Einnahmen],"&lt;"&amp;EDATE(AD$5,1),tblAuftraege[Auftrag],$A12))</f>
        <v>0</v>
      </c>
      <c r="AE12" s="11" t="n">
        <f aca="false">IF($A12="",0,SUMIFS(tblAuftraege[Einnahmen],tblAuftraege[Datum Einnahmen],"&gt;="&amp;AE$5,tblAuftraege[Datum Einnahmen],"&lt;"&amp;EDATE(AE$5,1),tblAuftraege[Auftrag],$A12))</f>
        <v>0</v>
      </c>
      <c r="AF12" s="11" t="n">
        <f aca="false">IF($A12="",0,SUMIFS(tblAuftraege[Einnahmen],tblAuftraege[Datum Einnahmen],"&gt;="&amp;AF$5,tblAuftraege[Datum Einnahmen],"&lt;"&amp;EDATE(AF$5,1),tblAuftraege[Auftrag],$A12))</f>
        <v>0</v>
      </c>
      <c r="AG12" s="11" t="n">
        <f aca="false">IF($A12="",0,SUMIFS(tblAuftraege[Einnahmen],tblAuftraege[Datum Einnahmen],"&gt;="&amp;AG$5,tblAuftraege[Datum Einnahmen],"&lt;"&amp;EDATE(AG$5,1),tblAuftraege[Auftrag],$A12))</f>
        <v>0</v>
      </c>
      <c r="AH12" s="11" t="n">
        <f aca="false">IF($A12="",0,SUMIFS(tblAuftraege[Einnahmen],tblAuftraege[Datum Einnahmen],"&gt;="&amp;AH$5,tblAuftraege[Datum Einnahmen],"&lt;"&amp;EDATE(AH$5,1),tblAuftraege[Auftrag],$A12))</f>
        <v>0</v>
      </c>
      <c r="AI12" s="11" t="n">
        <f aca="false">IF($A12="",0,SUMIFS(tblAuftraege[Einnahmen],tblAuftraege[Datum Einnahmen],"&gt;="&amp;AI$5,tblAuftraege[Datum Einnahmen],"&lt;"&amp;EDATE(AI$5,1),tblAuftraege[Auftrag],$A12))</f>
        <v>0</v>
      </c>
      <c r="AJ12" s="11" t="n">
        <f aca="false">IF($A12="",0,SUMIFS(tblAuftraege[Einnahmen],tblAuftraege[Datum Einnahmen],"&gt;="&amp;AJ$5,tblAuftraege[Datum Einnahmen],"&lt;"&amp;EDATE(AJ$5,1),tblAuftraege[Auftrag],$A12))</f>
        <v>0</v>
      </c>
      <c r="AK12" s="11" t="n">
        <f aca="false">IF($A12="",0,SUMIFS(tblAuftraege[Einnahmen],tblAuftraege[Datum Einnahmen],"&gt;="&amp;AK$5,tblAuftraege[Datum Einnahmen],"&lt;"&amp;EDATE(AK$5,1),tblAuftraege[Auftrag],$A12))</f>
        <v>0</v>
      </c>
      <c r="AL12" s="11" t="n">
        <f aca="false">IF($A12="",0,SUMIFS(tblAuftraege[Einnahmen],tblAuftraege[Datum Einnahmen],"&gt;="&amp;AL$5,tblAuftraege[Datum Einnahmen],"&lt;"&amp;EDATE(AL$5,1),tblAuftraege[Auftrag],$A12))</f>
        <v>0</v>
      </c>
      <c r="AM12" s="11" t="n">
        <f aca="false">IF($A12="",0,SUMIFS(tblAuftraege[Einnahmen],tblAuftraege[Datum Einnahmen],"&gt;="&amp;AM$5,tblAuftraege[Datum Einnahmen],"&lt;"&amp;EDATE(AM$5,1),tblAuftraege[Auftrag],$A12))</f>
        <v>0</v>
      </c>
      <c r="AN12" s="11" t="n">
        <f aca="false">IF($A12="",0,SUMIFS(tblAuftraege[Einnahmen],tblAuftraege[Datum Einnahmen],"&gt;="&amp;AN$5,tblAuftraege[Datum Einnahmen],"&lt;"&amp;EDATE(AN$5,1),tblAuftraege[Auftrag],$A12))</f>
        <v>0</v>
      </c>
      <c r="AO12" s="11" t="n">
        <f aca="false">IF($A12="",0,SUMIFS(tblAuftraege[Einnahmen],tblAuftraege[Datum Einnahmen],"&gt;="&amp;AO$5,tblAuftraege[Datum Einnahmen],"&lt;"&amp;EDATE(AO$5,1),tblAuftraege[Auftrag],$A12))</f>
        <v>0</v>
      </c>
      <c r="AP12" s="11" t="n">
        <f aca="false">IF($A12="",0,SUMIFS(tblAuftraege[Einnahmen],tblAuftraege[Datum Einnahmen],"&gt;="&amp;AP$5,tblAuftraege[Datum Einnahmen],"&lt;"&amp;EDATE(AP$5,1),tblAuftraege[Auftrag],$A12))</f>
        <v>0</v>
      </c>
      <c r="AQ12" s="11" t="n">
        <f aca="false">IF($A12="",0,SUMIFS(tblAuftraege[Einnahmen],tblAuftraege[Datum Einnahmen],"&gt;="&amp;AQ$5,tblAuftraege[Datum Einnahmen],"&lt;"&amp;EDATE(AQ$5,1),tblAuftraege[Auftrag],$A12))</f>
        <v>0</v>
      </c>
      <c r="AR12" s="11" t="n">
        <f aca="false">IF($A12="",0,SUMIFS(tblAuftraege[Einnahmen],tblAuftraege[Datum Einnahmen],"&gt;="&amp;AR$5,tblAuftraege[Datum Einnahmen],"&lt;"&amp;EDATE(AR$5,1),tblAuftraege[Auftrag],$A12))</f>
        <v>0</v>
      </c>
      <c r="AS12" s="11" t="n">
        <f aca="false">IF($A12="",0,SUMIFS(tblAuftraege[Einnahmen],tblAuftraege[Datum Einnahmen],"&gt;="&amp;AS$5,tblAuftraege[Datum Einnahmen],"&lt;"&amp;EDATE(AS$5,1),tblAuftraege[Auftrag],$A12))</f>
        <v>0</v>
      </c>
      <c r="AT12" s="11" t="n">
        <f aca="false">IF($A12="",0,SUMIFS(tblAuftraege[Einnahmen],tblAuftraege[Datum Einnahmen],"&gt;="&amp;AT$5,tblAuftraege[Datum Einnahmen],"&lt;"&amp;EDATE(AT$5,1),tblAuftraege[Auftrag],$A12))</f>
        <v>0</v>
      </c>
      <c r="AU12" s="11" t="n">
        <f aca="false">IF($A12="",0,SUMIFS(tblAuftraege[Einnahmen],tblAuftraege[Datum Einnahmen],"&gt;="&amp;AU$5,tblAuftraege[Datum Einnahmen],"&lt;"&amp;EDATE(AU$5,1),tblAuftraege[Auftrag],$A12))</f>
        <v>0</v>
      </c>
      <c r="AV12" s="11" t="n">
        <f aca="false">IF($A12="",0,SUMIFS(tblAuftraege[Einnahmen],tblAuftraege[Datum Einnahmen],"&gt;="&amp;AV$5,tblAuftraege[Datum Einnahmen],"&lt;"&amp;EDATE(AV$5,1),tblAuftraege[Auftrag],$A12))</f>
        <v>0</v>
      </c>
      <c r="AW12" s="11" t="n">
        <f aca="false">IF($A12="",0,SUMIFS(tblAuftraege[Einnahmen],tblAuftraege[Datum Einnahmen],"&gt;="&amp;AW$5,tblAuftraege[Datum Einnahmen],"&lt;"&amp;EDATE(AW$5,1),tblAuftraege[Auftrag],$A12))</f>
        <v>0</v>
      </c>
      <c r="AX12" s="11" t="n">
        <f aca="false">IF($A12="",0,SUMIFS(tblAuftraege[Einnahmen],tblAuftraege[Datum Einnahmen],"&gt;="&amp;AX$5,tblAuftraege[Datum Einnahmen],"&lt;"&amp;EDATE(AX$5,1),tblAuftraege[Auftrag],$A12))</f>
        <v>0</v>
      </c>
      <c r="AY12" s="11" t="n">
        <f aca="false">IF($A12="",0,SUMIFS(tblAuftraege[Einnahmen],tblAuftraege[Datum Einnahmen],"&gt;="&amp;AY$5,tblAuftraege[Datum Einnahmen],"&lt;"&amp;EDATE(AY$5,1),tblAuftraege[Auftrag],$A12))</f>
        <v>0</v>
      </c>
      <c r="AZ12" s="11" t="n">
        <f aca="false">IF($A12="",0,SUMIFS(tblAuftraege[Einnahmen],tblAuftraege[Datum Einnahmen],"&gt;="&amp;AZ$5,tblAuftraege[Datum Einnahmen],"&lt;"&amp;EDATE(AZ$5,1),tblAuftraege[Auftrag],$A12))</f>
        <v>0</v>
      </c>
      <c r="BA12" s="11" t="n">
        <f aca="false">IF($A12="",0,SUMIFS(tblAuftraege[Einnahmen],tblAuftraege[Datum Einnahmen],"&gt;="&amp;BA$5,tblAuftraege[Datum Einnahmen],"&lt;"&amp;EDATE(BA$5,1),tblAuftraege[Auftrag],$A12))</f>
        <v>0</v>
      </c>
      <c r="BB12" s="11" t="n">
        <f aca="false">IF($A12="",0,SUMIFS(tblAuftraege[Einnahmen],tblAuftraege[Datum Einnahmen],"&gt;="&amp;BB$5,tblAuftraege[Datum Einnahmen],"&lt;"&amp;EDATE(BB$5,1),tblAuftraege[Auftrag],$A12))</f>
        <v>0</v>
      </c>
      <c r="BC12" s="11" t="n">
        <f aca="false">IF($A12="",0,SUMIFS(tblAuftraege[Einnahmen],tblAuftraege[Datum Einnahmen],"&gt;="&amp;BC$5,tblAuftraege[Datum Einnahmen],"&lt;"&amp;EDATE(BC$5,1),tblAuftraege[Auftrag],$A12))</f>
        <v>0</v>
      </c>
      <c r="BD12" s="11" t="n">
        <f aca="false">IF($A12="",0,SUMIFS(tblAuftraege[Einnahmen],tblAuftraege[Datum Einnahmen],"&gt;="&amp;BD$5,tblAuftraege[Datum Einnahmen],"&lt;"&amp;EDATE(BD$5,1),tblAuftraege[Auftrag],$A12))</f>
        <v>0</v>
      </c>
      <c r="BE12" s="11" t="n">
        <f aca="false">IF($A12="",0,SUMIFS(tblAuftraege[Einnahmen],tblAuftraege[Datum Einnahmen],"&gt;="&amp;BE$5,tblAuftraege[Datum Einnahmen],"&lt;"&amp;EDATE(BE$5,1),tblAuftraege[Auftrag],$A12))</f>
        <v>0</v>
      </c>
      <c r="BF12" s="11" t="n">
        <f aca="false">IF($A12="",0,SUMIFS(tblAuftraege[Einnahmen],tblAuftraege[Datum Einnahmen],"&gt;="&amp;BF$5,tblAuftraege[Datum Einnahmen],"&lt;"&amp;EDATE(BF$5,1),tblAuftraege[Auftrag],$A12))</f>
        <v>0</v>
      </c>
      <c r="BG12" s="11" t="n">
        <f aca="false">SUM(E12:J12)</f>
        <v>0</v>
      </c>
      <c r="BH12" s="11" t="n">
        <f aca="false">SUM(K12:V12)</f>
        <v>0</v>
      </c>
      <c r="BI12" s="11" t="n">
        <f aca="false">SUM(W12:AH12)</f>
        <v>0</v>
      </c>
      <c r="BJ12" s="11" t="n">
        <f aca="false">SUM(AI12:AT12)</f>
        <v>0</v>
      </c>
      <c r="BK12" s="11" t="n">
        <f aca="false">SUM(AU12:BF12)</f>
        <v>0</v>
      </c>
      <c r="BL12" s="12" t="n">
        <f aca="false">SUM(E12:BF12)</f>
        <v>0</v>
      </c>
    </row>
    <row r="13" customFormat="false" ht="15" hidden="false" customHeight="false" outlineLevel="0" collapsed="false">
      <c r="A13" s="9"/>
      <c r="B13" s="10" t="str">
        <f aca="false">IF($A13="","",IFERROR(INDEX(tblAuftraege[Kostenstelle],MATCH($A13,tblAuftraege[Auftrag],0)),""))</f>
        <v/>
      </c>
      <c r="C13" s="10" t="str">
        <f aca="false">IF($A13="","",IFERROR(INDEX(tblAuftraege[Themenfeld],MATCH($A13,tblAuftraege[Auftrag],0)),""))</f>
        <v/>
      </c>
      <c r="D13" s="10" t="str">
        <f aca="false">IF($A13="","",IFERROR(INDEX(tblAuftraege[Kategorie],MATCH($A13,tblAuftraege[Auftrag],0)),""))</f>
        <v/>
      </c>
      <c r="E13" s="11" t="n">
        <f aca="false">IF($A13="",0,SUMIFS(tblAuftraege[Einnahmen],tblAuftraege[Datum Einnahmen],"&gt;="&amp;E$5,tblAuftraege[Datum Einnahmen],"&lt;"&amp;EDATE(E$5,1),tblAuftraege[Auftrag],$A13))</f>
        <v>0</v>
      </c>
      <c r="F13" s="11" t="n">
        <f aca="false">IF($A13="",0,SUMIFS(tblAuftraege[Einnahmen],tblAuftraege[Datum Einnahmen],"&gt;="&amp;F$5,tblAuftraege[Datum Einnahmen],"&lt;"&amp;EDATE(F$5,1),tblAuftraege[Auftrag],$A13))</f>
        <v>0</v>
      </c>
      <c r="G13" s="11" t="n">
        <f aca="false">IF($A13="",0,SUMIFS(tblAuftraege[Einnahmen],tblAuftraege[Datum Einnahmen],"&gt;="&amp;G$5,tblAuftraege[Datum Einnahmen],"&lt;"&amp;EDATE(G$5,1),tblAuftraege[Auftrag],$A13))</f>
        <v>0</v>
      </c>
      <c r="H13" s="11" t="n">
        <f aca="false">IF($A13="",0,SUMIFS(tblAuftraege[Einnahmen],tblAuftraege[Datum Einnahmen],"&gt;="&amp;H$5,tblAuftraege[Datum Einnahmen],"&lt;"&amp;EDATE(H$5,1),tblAuftraege[Auftrag],$A13))</f>
        <v>0</v>
      </c>
      <c r="I13" s="11" t="n">
        <f aca="false">IF($A13="",0,SUMIFS(tblAuftraege[Einnahmen],tblAuftraege[Datum Einnahmen],"&gt;="&amp;I$5,tblAuftraege[Datum Einnahmen],"&lt;"&amp;EDATE(I$5,1),tblAuftraege[Auftrag],$A13))</f>
        <v>0</v>
      </c>
      <c r="J13" s="11" t="n">
        <f aca="false">IF($A13="",0,SUMIFS(tblAuftraege[Einnahmen],tblAuftraege[Datum Einnahmen],"&gt;="&amp;J$5,tblAuftraege[Datum Einnahmen],"&lt;"&amp;EDATE(J$5,1),tblAuftraege[Auftrag],$A13))</f>
        <v>0</v>
      </c>
      <c r="K13" s="11" t="n">
        <f aca="false">IF($A13="",0,SUMIFS(tblAuftraege[Einnahmen],tblAuftraege[Datum Einnahmen],"&gt;="&amp;K$5,tblAuftraege[Datum Einnahmen],"&lt;"&amp;EDATE(K$5,1),tblAuftraege[Auftrag],$A13))</f>
        <v>0</v>
      </c>
      <c r="L13" s="11" t="n">
        <f aca="false">IF($A13="",0,SUMIFS(tblAuftraege[Einnahmen],tblAuftraege[Datum Einnahmen],"&gt;="&amp;L$5,tblAuftraege[Datum Einnahmen],"&lt;"&amp;EDATE(L$5,1),tblAuftraege[Auftrag],$A13))</f>
        <v>0</v>
      </c>
      <c r="M13" s="11" t="n">
        <f aca="false">IF($A13="",0,SUMIFS(tblAuftraege[Einnahmen],tblAuftraege[Datum Einnahmen],"&gt;="&amp;M$5,tblAuftraege[Datum Einnahmen],"&lt;"&amp;EDATE(M$5,1),tblAuftraege[Auftrag],$A13))</f>
        <v>0</v>
      </c>
      <c r="N13" s="11" t="n">
        <f aca="false">IF($A13="",0,SUMIFS(tblAuftraege[Einnahmen],tblAuftraege[Datum Einnahmen],"&gt;="&amp;N$5,tblAuftraege[Datum Einnahmen],"&lt;"&amp;EDATE(N$5,1),tblAuftraege[Auftrag],$A13))</f>
        <v>0</v>
      </c>
      <c r="O13" s="11" t="n">
        <f aca="false">IF($A13="",0,SUMIFS(tblAuftraege[Einnahmen],tblAuftraege[Datum Einnahmen],"&gt;="&amp;O$5,tblAuftraege[Datum Einnahmen],"&lt;"&amp;EDATE(O$5,1),tblAuftraege[Auftrag],$A13))</f>
        <v>0</v>
      </c>
      <c r="P13" s="11" t="n">
        <f aca="false">IF($A13="",0,SUMIFS(tblAuftraege[Einnahmen],tblAuftraege[Datum Einnahmen],"&gt;="&amp;P$5,tblAuftraege[Datum Einnahmen],"&lt;"&amp;EDATE(P$5,1),tblAuftraege[Auftrag],$A13))</f>
        <v>0</v>
      </c>
      <c r="Q13" s="11" t="n">
        <f aca="false">IF($A13="",0,SUMIFS(tblAuftraege[Einnahmen],tblAuftraege[Datum Einnahmen],"&gt;="&amp;Q$5,tblAuftraege[Datum Einnahmen],"&lt;"&amp;EDATE(Q$5,1),tblAuftraege[Auftrag],$A13))</f>
        <v>0</v>
      </c>
      <c r="R13" s="11" t="n">
        <f aca="false">IF($A13="",0,SUMIFS(tblAuftraege[Einnahmen],tblAuftraege[Datum Einnahmen],"&gt;="&amp;R$5,tblAuftraege[Datum Einnahmen],"&lt;"&amp;EDATE(R$5,1),tblAuftraege[Auftrag],$A13))</f>
        <v>0</v>
      </c>
      <c r="S13" s="11" t="n">
        <f aca="false">IF($A13="",0,SUMIFS(tblAuftraege[Einnahmen],tblAuftraege[Datum Einnahmen],"&gt;="&amp;S$5,tblAuftraege[Datum Einnahmen],"&lt;"&amp;EDATE(S$5,1),tblAuftraege[Auftrag],$A13))</f>
        <v>0</v>
      </c>
      <c r="T13" s="11" t="n">
        <f aca="false">IF($A13="",0,SUMIFS(tblAuftraege[Einnahmen],tblAuftraege[Datum Einnahmen],"&gt;="&amp;T$5,tblAuftraege[Datum Einnahmen],"&lt;"&amp;EDATE(T$5,1),tblAuftraege[Auftrag],$A13))</f>
        <v>0</v>
      </c>
      <c r="U13" s="11" t="n">
        <f aca="false">IF($A13="",0,SUMIFS(tblAuftraege[Einnahmen],tblAuftraege[Datum Einnahmen],"&gt;="&amp;U$5,tblAuftraege[Datum Einnahmen],"&lt;"&amp;EDATE(U$5,1),tblAuftraege[Auftrag],$A13))</f>
        <v>0</v>
      </c>
      <c r="V13" s="11" t="n">
        <f aca="false">IF($A13="",0,SUMIFS(tblAuftraege[Einnahmen],tblAuftraege[Datum Einnahmen],"&gt;="&amp;V$5,tblAuftraege[Datum Einnahmen],"&lt;"&amp;EDATE(V$5,1),tblAuftraege[Auftrag],$A13))</f>
        <v>0</v>
      </c>
      <c r="W13" s="11" t="n">
        <f aca="false">IF($A13="",0,SUMIFS(tblAuftraege[Einnahmen],tblAuftraege[Datum Einnahmen],"&gt;="&amp;W$5,tblAuftraege[Datum Einnahmen],"&lt;"&amp;EDATE(W$5,1),tblAuftraege[Auftrag],$A13))</f>
        <v>0</v>
      </c>
      <c r="X13" s="11" t="n">
        <f aca="false">IF($A13="",0,SUMIFS(tblAuftraege[Einnahmen],tblAuftraege[Datum Einnahmen],"&gt;="&amp;X$5,tblAuftraege[Datum Einnahmen],"&lt;"&amp;EDATE(X$5,1),tblAuftraege[Auftrag],$A13))</f>
        <v>0</v>
      </c>
      <c r="Y13" s="11" t="n">
        <f aca="false">IF($A13="",0,SUMIFS(tblAuftraege[Einnahmen],tblAuftraege[Datum Einnahmen],"&gt;="&amp;Y$5,tblAuftraege[Datum Einnahmen],"&lt;"&amp;EDATE(Y$5,1),tblAuftraege[Auftrag],$A13))</f>
        <v>0</v>
      </c>
      <c r="Z13" s="11" t="n">
        <f aca="false">IF($A13="",0,SUMIFS(tblAuftraege[Einnahmen],tblAuftraege[Datum Einnahmen],"&gt;="&amp;Z$5,tblAuftraege[Datum Einnahmen],"&lt;"&amp;EDATE(Z$5,1),tblAuftraege[Auftrag],$A13))</f>
        <v>0</v>
      </c>
      <c r="AA13" s="11" t="n">
        <f aca="false">IF($A13="",0,SUMIFS(tblAuftraege[Einnahmen],tblAuftraege[Datum Einnahmen],"&gt;="&amp;AA$5,tblAuftraege[Datum Einnahmen],"&lt;"&amp;EDATE(AA$5,1),tblAuftraege[Auftrag],$A13))</f>
        <v>0</v>
      </c>
      <c r="AB13" s="11" t="n">
        <f aca="false">IF($A13="",0,SUMIFS(tblAuftraege[Einnahmen],tblAuftraege[Datum Einnahmen],"&gt;="&amp;AB$5,tblAuftraege[Datum Einnahmen],"&lt;"&amp;EDATE(AB$5,1),tblAuftraege[Auftrag],$A13))</f>
        <v>0</v>
      </c>
      <c r="AC13" s="11" t="n">
        <f aca="false">IF($A13="",0,SUMIFS(tblAuftraege[Einnahmen],tblAuftraege[Datum Einnahmen],"&gt;="&amp;AC$5,tblAuftraege[Datum Einnahmen],"&lt;"&amp;EDATE(AC$5,1),tblAuftraege[Auftrag],$A13))</f>
        <v>0</v>
      </c>
      <c r="AD13" s="11" t="n">
        <f aca="false">IF($A13="",0,SUMIFS(tblAuftraege[Einnahmen],tblAuftraege[Datum Einnahmen],"&gt;="&amp;AD$5,tblAuftraege[Datum Einnahmen],"&lt;"&amp;EDATE(AD$5,1),tblAuftraege[Auftrag],$A13))</f>
        <v>0</v>
      </c>
      <c r="AE13" s="11" t="n">
        <f aca="false">IF($A13="",0,SUMIFS(tblAuftraege[Einnahmen],tblAuftraege[Datum Einnahmen],"&gt;="&amp;AE$5,tblAuftraege[Datum Einnahmen],"&lt;"&amp;EDATE(AE$5,1),tblAuftraege[Auftrag],$A13))</f>
        <v>0</v>
      </c>
      <c r="AF13" s="11" t="n">
        <f aca="false">IF($A13="",0,SUMIFS(tblAuftraege[Einnahmen],tblAuftraege[Datum Einnahmen],"&gt;="&amp;AF$5,tblAuftraege[Datum Einnahmen],"&lt;"&amp;EDATE(AF$5,1),tblAuftraege[Auftrag],$A13))</f>
        <v>0</v>
      </c>
      <c r="AG13" s="11" t="n">
        <f aca="false">IF($A13="",0,SUMIFS(tblAuftraege[Einnahmen],tblAuftraege[Datum Einnahmen],"&gt;="&amp;AG$5,tblAuftraege[Datum Einnahmen],"&lt;"&amp;EDATE(AG$5,1),tblAuftraege[Auftrag],$A13))</f>
        <v>0</v>
      </c>
      <c r="AH13" s="11" t="n">
        <f aca="false">IF($A13="",0,SUMIFS(tblAuftraege[Einnahmen],tblAuftraege[Datum Einnahmen],"&gt;="&amp;AH$5,tblAuftraege[Datum Einnahmen],"&lt;"&amp;EDATE(AH$5,1),tblAuftraege[Auftrag],$A13))</f>
        <v>0</v>
      </c>
      <c r="AI13" s="11" t="n">
        <f aca="false">IF($A13="",0,SUMIFS(tblAuftraege[Einnahmen],tblAuftraege[Datum Einnahmen],"&gt;="&amp;AI$5,tblAuftraege[Datum Einnahmen],"&lt;"&amp;EDATE(AI$5,1),tblAuftraege[Auftrag],$A13))</f>
        <v>0</v>
      </c>
      <c r="AJ13" s="11" t="n">
        <f aca="false">IF($A13="",0,SUMIFS(tblAuftraege[Einnahmen],tblAuftraege[Datum Einnahmen],"&gt;="&amp;AJ$5,tblAuftraege[Datum Einnahmen],"&lt;"&amp;EDATE(AJ$5,1),tblAuftraege[Auftrag],$A13))</f>
        <v>0</v>
      </c>
      <c r="AK13" s="11" t="n">
        <f aca="false">IF($A13="",0,SUMIFS(tblAuftraege[Einnahmen],tblAuftraege[Datum Einnahmen],"&gt;="&amp;AK$5,tblAuftraege[Datum Einnahmen],"&lt;"&amp;EDATE(AK$5,1),tblAuftraege[Auftrag],$A13))</f>
        <v>0</v>
      </c>
      <c r="AL13" s="11" t="n">
        <f aca="false">IF($A13="",0,SUMIFS(tblAuftraege[Einnahmen],tblAuftraege[Datum Einnahmen],"&gt;="&amp;AL$5,tblAuftraege[Datum Einnahmen],"&lt;"&amp;EDATE(AL$5,1),tblAuftraege[Auftrag],$A13))</f>
        <v>0</v>
      </c>
      <c r="AM13" s="11" t="n">
        <f aca="false">IF($A13="",0,SUMIFS(tblAuftraege[Einnahmen],tblAuftraege[Datum Einnahmen],"&gt;="&amp;AM$5,tblAuftraege[Datum Einnahmen],"&lt;"&amp;EDATE(AM$5,1),tblAuftraege[Auftrag],$A13))</f>
        <v>0</v>
      </c>
      <c r="AN13" s="11" t="n">
        <f aca="false">IF($A13="",0,SUMIFS(tblAuftraege[Einnahmen],tblAuftraege[Datum Einnahmen],"&gt;="&amp;AN$5,tblAuftraege[Datum Einnahmen],"&lt;"&amp;EDATE(AN$5,1),tblAuftraege[Auftrag],$A13))</f>
        <v>0</v>
      </c>
      <c r="AO13" s="11" t="n">
        <f aca="false">IF($A13="",0,SUMIFS(tblAuftraege[Einnahmen],tblAuftraege[Datum Einnahmen],"&gt;="&amp;AO$5,tblAuftraege[Datum Einnahmen],"&lt;"&amp;EDATE(AO$5,1),tblAuftraege[Auftrag],$A13))</f>
        <v>0</v>
      </c>
      <c r="AP13" s="11" t="n">
        <f aca="false">IF($A13="",0,SUMIFS(tblAuftraege[Einnahmen],tblAuftraege[Datum Einnahmen],"&gt;="&amp;AP$5,tblAuftraege[Datum Einnahmen],"&lt;"&amp;EDATE(AP$5,1),tblAuftraege[Auftrag],$A13))</f>
        <v>0</v>
      </c>
      <c r="AQ13" s="11" t="n">
        <f aca="false">IF($A13="",0,SUMIFS(tblAuftraege[Einnahmen],tblAuftraege[Datum Einnahmen],"&gt;="&amp;AQ$5,tblAuftraege[Datum Einnahmen],"&lt;"&amp;EDATE(AQ$5,1),tblAuftraege[Auftrag],$A13))</f>
        <v>0</v>
      </c>
      <c r="AR13" s="11" t="n">
        <f aca="false">IF($A13="",0,SUMIFS(tblAuftraege[Einnahmen],tblAuftraege[Datum Einnahmen],"&gt;="&amp;AR$5,tblAuftraege[Datum Einnahmen],"&lt;"&amp;EDATE(AR$5,1),tblAuftraege[Auftrag],$A13))</f>
        <v>0</v>
      </c>
      <c r="AS13" s="11" t="n">
        <f aca="false">IF($A13="",0,SUMIFS(tblAuftraege[Einnahmen],tblAuftraege[Datum Einnahmen],"&gt;="&amp;AS$5,tblAuftraege[Datum Einnahmen],"&lt;"&amp;EDATE(AS$5,1),tblAuftraege[Auftrag],$A13))</f>
        <v>0</v>
      </c>
      <c r="AT13" s="11" t="n">
        <f aca="false">IF($A13="",0,SUMIFS(tblAuftraege[Einnahmen],tblAuftraege[Datum Einnahmen],"&gt;="&amp;AT$5,tblAuftraege[Datum Einnahmen],"&lt;"&amp;EDATE(AT$5,1),tblAuftraege[Auftrag],$A13))</f>
        <v>0</v>
      </c>
      <c r="AU13" s="11" t="n">
        <f aca="false">IF($A13="",0,SUMIFS(tblAuftraege[Einnahmen],tblAuftraege[Datum Einnahmen],"&gt;="&amp;AU$5,tblAuftraege[Datum Einnahmen],"&lt;"&amp;EDATE(AU$5,1),tblAuftraege[Auftrag],$A13))</f>
        <v>0</v>
      </c>
      <c r="AV13" s="11" t="n">
        <f aca="false">IF($A13="",0,SUMIFS(tblAuftraege[Einnahmen],tblAuftraege[Datum Einnahmen],"&gt;="&amp;AV$5,tblAuftraege[Datum Einnahmen],"&lt;"&amp;EDATE(AV$5,1),tblAuftraege[Auftrag],$A13))</f>
        <v>0</v>
      </c>
      <c r="AW13" s="11" t="n">
        <f aca="false">IF($A13="",0,SUMIFS(tblAuftraege[Einnahmen],tblAuftraege[Datum Einnahmen],"&gt;="&amp;AW$5,tblAuftraege[Datum Einnahmen],"&lt;"&amp;EDATE(AW$5,1),tblAuftraege[Auftrag],$A13))</f>
        <v>0</v>
      </c>
      <c r="AX13" s="11" t="n">
        <f aca="false">IF($A13="",0,SUMIFS(tblAuftraege[Einnahmen],tblAuftraege[Datum Einnahmen],"&gt;="&amp;AX$5,tblAuftraege[Datum Einnahmen],"&lt;"&amp;EDATE(AX$5,1),tblAuftraege[Auftrag],$A13))</f>
        <v>0</v>
      </c>
      <c r="AY13" s="11" t="n">
        <f aca="false">IF($A13="",0,SUMIFS(tblAuftraege[Einnahmen],tblAuftraege[Datum Einnahmen],"&gt;="&amp;AY$5,tblAuftraege[Datum Einnahmen],"&lt;"&amp;EDATE(AY$5,1),tblAuftraege[Auftrag],$A13))</f>
        <v>0</v>
      </c>
      <c r="AZ13" s="11" t="n">
        <f aca="false">IF($A13="",0,SUMIFS(tblAuftraege[Einnahmen],tblAuftraege[Datum Einnahmen],"&gt;="&amp;AZ$5,tblAuftraege[Datum Einnahmen],"&lt;"&amp;EDATE(AZ$5,1),tblAuftraege[Auftrag],$A13))</f>
        <v>0</v>
      </c>
      <c r="BA13" s="11" t="n">
        <f aca="false">IF($A13="",0,SUMIFS(tblAuftraege[Einnahmen],tblAuftraege[Datum Einnahmen],"&gt;="&amp;BA$5,tblAuftraege[Datum Einnahmen],"&lt;"&amp;EDATE(BA$5,1),tblAuftraege[Auftrag],$A13))</f>
        <v>0</v>
      </c>
      <c r="BB13" s="11" t="n">
        <f aca="false">IF($A13="",0,SUMIFS(tblAuftraege[Einnahmen],tblAuftraege[Datum Einnahmen],"&gt;="&amp;BB$5,tblAuftraege[Datum Einnahmen],"&lt;"&amp;EDATE(BB$5,1),tblAuftraege[Auftrag],$A13))</f>
        <v>0</v>
      </c>
      <c r="BC13" s="11" t="n">
        <f aca="false">IF($A13="",0,SUMIFS(tblAuftraege[Einnahmen],tblAuftraege[Datum Einnahmen],"&gt;="&amp;BC$5,tblAuftraege[Datum Einnahmen],"&lt;"&amp;EDATE(BC$5,1),tblAuftraege[Auftrag],$A13))</f>
        <v>0</v>
      </c>
      <c r="BD13" s="11" t="n">
        <f aca="false">IF($A13="",0,SUMIFS(tblAuftraege[Einnahmen],tblAuftraege[Datum Einnahmen],"&gt;="&amp;BD$5,tblAuftraege[Datum Einnahmen],"&lt;"&amp;EDATE(BD$5,1),tblAuftraege[Auftrag],$A13))</f>
        <v>0</v>
      </c>
      <c r="BE13" s="11" t="n">
        <f aca="false">IF($A13="",0,SUMIFS(tblAuftraege[Einnahmen],tblAuftraege[Datum Einnahmen],"&gt;="&amp;BE$5,tblAuftraege[Datum Einnahmen],"&lt;"&amp;EDATE(BE$5,1),tblAuftraege[Auftrag],$A13))</f>
        <v>0</v>
      </c>
      <c r="BF13" s="11" t="n">
        <f aca="false">IF($A13="",0,SUMIFS(tblAuftraege[Einnahmen],tblAuftraege[Datum Einnahmen],"&gt;="&amp;BF$5,tblAuftraege[Datum Einnahmen],"&lt;"&amp;EDATE(BF$5,1),tblAuftraege[Auftrag],$A13))</f>
        <v>0</v>
      </c>
      <c r="BG13" s="11" t="n">
        <f aca="false">SUM(E13:J13)</f>
        <v>0</v>
      </c>
      <c r="BH13" s="11" t="n">
        <f aca="false">SUM(K13:V13)</f>
        <v>0</v>
      </c>
      <c r="BI13" s="11" t="n">
        <f aca="false">SUM(W13:AH13)</f>
        <v>0</v>
      </c>
      <c r="BJ13" s="11" t="n">
        <f aca="false">SUM(AI13:AT13)</f>
        <v>0</v>
      </c>
      <c r="BK13" s="11" t="n">
        <f aca="false">SUM(AU13:BF13)</f>
        <v>0</v>
      </c>
      <c r="BL13" s="12" t="n">
        <f aca="false">SUM(E13:BF13)</f>
        <v>0</v>
      </c>
    </row>
    <row r="14" customFormat="false" ht="15" hidden="false" customHeight="false" outlineLevel="0" collapsed="false">
      <c r="A14" s="9"/>
      <c r="B14" s="10" t="str">
        <f aca="false">IF($A14="","",IFERROR(INDEX(tblAuftraege[Kostenstelle],MATCH($A14,tblAuftraege[Auftrag],0)),""))</f>
        <v/>
      </c>
      <c r="C14" s="10" t="str">
        <f aca="false">IF($A14="","",IFERROR(INDEX(tblAuftraege[Themenfeld],MATCH($A14,tblAuftraege[Auftrag],0)),""))</f>
        <v/>
      </c>
      <c r="D14" s="10" t="str">
        <f aca="false">IF($A14="","",IFERROR(INDEX(tblAuftraege[Kategorie],MATCH($A14,tblAuftraege[Auftrag],0)),""))</f>
        <v/>
      </c>
      <c r="E14" s="11" t="n">
        <f aca="false">IF($A14="",0,SUMIFS(tblAuftraege[Einnahmen],tblAuftraege[Datum Einnahmen],"&gt;="&amp;E$5,tblAuftraege[Datum Einnahmen],"&lt;"&amp;EDATE(E$5,1),tblAuftraege[Auftrag],$A14))</f>
        <v>0</v>
      </c>
      <c r="F14" s="11" t="n">
        <f aca="false">IF($A14="",0,SUMIFS(tblAuftraege[Einnahmen],tblAuftraege[Datum Einnahmen],"&gt;="&amp;F$5,tblAuftraege[Datum Einnahmen],"&lt;"&amp;EDATE(F$5,1),tblAuftraege[Auftrag],$A14))</f>
        <v>0</v>
      </c>
      <c r="G14" s="11" t="n">
        <f aca="false">IF($A14="",0,SUMIFS(tblAuftraege[Einnahmen],tblAuftraege[Datum Einnahmen],"&gt;="&amp;G$5,tblAuftraege[Datum Einnahmen],"&lt;"&amp;EDATE(G$5,1),tblAuftraege[Auftrag],$A14))</f>
        <v>0</v>
      </c>
      <c r="H14" s="11" t="n">
        <f aca="false">IF($A14="",0,SUMIFS(tblAuftraege[Einnahmen],tblAuftraege[Datum Einnahmen],"&gt;="&amp;H$5,tblAuftraege[Datum Einnahmen],"&lt;"&amp;EDATE(H$5,1),tblAuftraege[Auftrag],$A14))</f>
        <v>0</v>
      </c>
      <c r="I14" s="11" t="n">
        <f aca="false">IF($A14="",0,SUMIFS(tblAuftraege[Einnahmen],tblAuftraege[Datum Einnahmen],"&gt;="&amp;I$5,tblAuftraege[Datum Einnahmen],"&lt;"&amp;EDATE(I$5,1),tblAuftraege[Auftrag],$A14))</f>
        <v>0</v>
      </c>
      <c r="J14" s="11" t="n">
        <f aca="false">IF($A14="",0,SUMIFS(tblAuftraege[Einnahmen],tblAuftraege[Datum Einnahmen],"&gt;="&amp;J$5,tblAuftraege[Datum Einnahmen],"&lt;"&amp;EDATE(J$5,1),tblAuftraege[Auftrag],$A14))</f>
        <v>0</v>
      </c>
      <c r="K14" s="11" t="n">
        <f aca="false">IF($A14="",0,SUMIFS(tblAuftraege[Einnahmen],tblAuftraege[Datum Einnahmen],"&gt;="&amp;K$5,tblAuftraege[Datum Einnahmen],"&lt;"&amp;EDATE(K$5,1),tblAuftraege[Auftrag],$A14))</f>
        <v>0</v>
      </c>
      <c r="L14" s="11" t="n">
        <f aca="false">IF($A14="",0,SUMIFS(tblAuftraege[Einnahmen],tblAuftraege[Datum Einnahmen],"&gt;="&amp;L$5,tblAuftraege[Datum Einnahmen],"&lt;"&amp;EDATE(L$5,1),tblAuftraege[Auftrag],$A14))</f>
        <v>0</v>
      </c>
      <c r="M14" s="11" t="n">
        <f aca="false">IF($A14="",0,SUMIFS(tblAuftraege[Einnahmen],tblAuftraege[Datum Einnahmen],"&gt;="&amp;M$5,tblAuftraege[Datum Einnahmen],"&lt;"&amp;EDATE(M$5,1),tblAuftraege[Auftrag],$A14))</f>
        <v>0</v>
      </c>
      <c r="N14" s="11" t="n">
        <f aca="false">IF($A14="",0,SUMIFS(tblAuftraege[Einnahmen],tblAuftraege[Datum Einnahmen],"&gt;="&amp;N$5,tblAuftraege[Datum Einnahmen],"&lt;"&amp;EDATE(N$5,1),tblAuftraege[Auftrag],$A14))</f>
        <v>0</v>
      </c>
      <c r="O14" s="11" t="n">
        <f aca="false">IF($A14="",0,SUMIFS(tblAuftraege[Einnahmen],tblAuftraege[Datum Einnahmen],"&gt;="&amp;O$5,tblAuftraege[Datum Einnahmen],"&lt;"&amp;EDATE(O$5,1),tblAuftraege[Auftrag],$A14))</f>
        <v>0</v>
      </c>
      <c r="P14" s="11" t="n">
        <f aca="false">IF($A14="",0,SUMIFS(tblAuftraege[Einnahmen],tblAuftraege[Datum Einnahmen],"&gt;="&amp;P$5,tblAuftraege[Datum Einnahmen],"&lt;"&amp;EDATE(P$5,1),tblAuftraege[Auftrag],$A14))</f>
        <v>0</v>
      </c>
      <c r="Q14" s="11" t="n">
        <f aca="false">IF($A14="",0,SUMIFS(tblAuftraege[Einnahmen],tblAuftraege[Datum Einnahmen],"&gt;="&amp;Q$5,tblAuftraege[Datum Einnahmen],"&lt;"&amp;EDATE(Q$5,1),tblAuftraege[Auftrag],$A14))</f>
        <v>0</v>
      </c>
      <c r="R14" s="11" t="n">
        <f aca="false">IF($A14="",0,SUMIFS(tblAuftraege[Einnahmen],tblAuftraege[Datum Einnahmen],"&gt;="&amp;R$5,tblAuftraege[Datum Einnahmen],"&lt;"&amp;EDATE(R$5,1),tblAuftraege[Auftrag],$A14))</f>
        <v>0</v>
      </c>
      <c r="S14" s="11" t="n">
        <f aca="false">IF($A14="",0,SUMIFS(tblAuftraege[Einnahmen],tblAuftraege[Datum Einnahmen],"&gt;="&amp;S$5,tblAuftraege[Datum Einnahmen],"&lt;"&amp;EDATE(S$5,1),tblAuftraege[Auftrag],$A14))</f>
        <v>0</v>
      </c>
      <c r="T14" s="11" t="n">
        <f aca="false">IF($A14="",0,SUMIFS(tblAuftraege[Einnahmen],tblAuftraege[Datum Einnahmen],"&gt;="&amp;T$5,tblAuftraege[Datum Einnahmen],"&lt;"&amp;EDATE(T$5,1),tblAuftraege[Auftrag],$A14))</f>
        <v>0</v>
      </c>
      <c r="U14" s="11" t="n">
        <f aca="false">IF($A14="",0,SUMIFS(tblAuftraege[Einnahmen],tblAuftraege[Datum Einnahmen],"&gt;="&amp;U$5,tblAuftraege[Datum Einnahmen],"&lt;"&amp;EDATE(U$5,1),tblAuftraege[Auftrag],$A14))</f>
        <v>0</v>
      </c>
      <c r="V14" s="11" t="n">
        <f aca="false">IF($A14="",0,SUMIFS(tblAuftraege[Einnahmen],tblAuftraege[Datum Einnahmen],"&gt;="&amp;V$5,tblAuftraege[Datum Einnahmen],"&lt;"&amp;EDATE(V$5,1),tblAuftraege[Auftrag],$A14))</f>
        <v>0</v>
      </c>
      <c r="W14" s="11" t="n">
        <f aca="false">IF($A14="",0,SUMIFS(tblAuftraege[Einnahmen],tblAuftraege[Datum Einnahmen],"&gt;="&amp;W$5,tblAuftraege[Datum Einnahmen],"&lt;"&amp;EDATE(W$5,1),tblAuftraege[Auftrag],$A14))</f>
        <v>0</v>
      </c>
      <c r="X14" s="11" t="n">
        <f aca="false">IF($A14="",0,SUMIFS(tblAuftraege[Einnahmen],tblAuftraege[Datum Einnahmen],"&gt;="&amp;X$5,tblAuftraege[Datum Einnahmen],"&lt;"&amp;EDATE(X$5,1),tblAuftraege[Auftrag],$A14))</f>
        <v>0</v>
      </c>
      <c r="Y14" s="11" t="n">
        <f aca="false">IF($A14="",0,SUMIFS(tblAuftraege[Einnahmen],tblAuftraege[Datum Einnahmen],"&gt;="&amp;Y$5,tblAuftraege[Datum Einnahmen],"&lt;"&amp;EDATE(Y$5,1),tblAuftraege[Auftrag],$A14))</f>
        <v>0</v>
      </c>
      <c r="Z14" s="11" t="n">
        <f aca="false">IF($A14="",0,SUMIFS(tblAuftraege[Einnahmen],tblAuftraege[Datum Einnahmen],"&gt;="&amp;Z$5,tblAuftraege[Datum Einnahmen],"&lt;"&amp;EDATE(Z$5,1),tblAuftraege[Auftrag],$A14))</f>
        <v>0</v>
      </c>
      <c r="AA14" s="11" t="n">
        <f aca="false">IF($A14="",0,SUMIFS(tblAuftraege[Einnahmen],tblAuftraege[Datum Einnahmen],"&gt;="&amp;AA$5,tblAuftraege[Datum Einnahmen],"&lt;"&amp;EDATE(AA$5,1),tblAuftraege[Auftrag],$A14))</f>
        <v>0</v>
      </c>
      <c r="AB14" s="11" t="n">
        <f aca="false">IF($A14="",0,SUMIFS(tblAuftraege[Einnahmen],tblAuftraege[Datum Einnahmen],"&gt;="&amp;AB$5,tblAuftraege[Datum Einnahmen],"&lt;"&amp;EDATE(AB$5,1),tblAuftraege[Auftrag],$A14))</f>
        <v>0</v>
      </c>
      <c r="AC14" s="11" t="n">
        <f aca="false">IF($A14="",0,SUMIFS(tblAuftraege[Einnahmen],tblAuftraege[Datum Einnahmen],"&gt;="&amp;AC$5,tblAuftraege[Datum Einnahmen],"&lt;"&amp;EDATE(AC$5,1),tblAuftraege[Auftrag],$A14))</f>
        <v>0</v>
      </c>
      <c r="AD14" s="11" t="n">
        <f aca="false">IF($A14="",0,SUMIFS(tblAuftraege[Einnahmen],tblAuftraege[Datum Einnahmen],"&gt;="&amp;AD$5,tblAuftraege[Datum Einnahmen],"&lt;"&amp;EDATE(AD$5,1),tblAuftraege[Auftrag],$A14))</f>
        <v>0</v>
      </c>
      <c r="AE14" s="11" t="n">
        <f aca="false">IF($A14="",0,SUMIFS(tblAuftraege[Einnahmen],tblAuftraege[Datum Einnahmen],"&gt;="&amp;AE$5,tblAuftraege[Datum Einnahmen],"&lt;"&amp;EDATE(AE$5,1),tblAuftraege[Auftrag],$A14))</f>
        <v>0</v>
      </c>
      <c r="AF14" s="11" t="n">
        <f aca="false">IF($A14="",0,SUMIFS(tblAuftraege[Einnahmen],tblAuftraege[Datum Einnahmen],"&gt;="&amp;AF$5,tblAuftraege[Datum Einnahmen],"&lt;"&amp;EDATE(AF$5,1),tblAuftraege[Auftrag],$A14))</f>
        <v>0</v>
      </c>
      <c r="AG14" s="11" t="n">
        <f aca="false">IF($A14="",0,SUMIFS(tblAuftraege[Einnahmen],tblAuftraege[Datum Einnahmen],"&gt;="&amp;AG$5,tblAuftraege[Datum Einnahmen],"&lt;"&amp;EDATE(AG$5,1),tblAuftraege[Auftrag],$A14))</f>
        <v>0</v>
      </c>
      <c r="AH14" s="11" t="n">
        <f aca="false">IF($A14="",0,SUMIFS(tblAuftraege[Einnahmen],tblAuftraege[Datum Einnahmen],"&gt;="&amp;AH$5,tblAuftraege[Datum Einnahmen],"&lt;"&amp;EDATE(AH$5,1),tblAuftraege[Auftrag],$A14))</f>
        <v>0</v>
      </c>
      <c r="AI14" s="11" t="n">
        <f aca="false">IF($A14="",0,SUMIFS(tblAuftraege[Einnahmen],tblAuftraege[Datum Einnahmen],"&gt;="&amp;AI$5,tblAuftraege[Datum Einnahmen],"&lt;"&amp;EDATE(AI$5,1),tblAuftraege[Auftrag],$A14))</f>
        <v>0</v>
      </c>
      <c r="AJ14" s="11" t="n">
        <f aca="false">IF($A14="",0,SUMIFS(tblAuftraege[Einnahmen],tblAuftraege[Datum Einnahmen],"&gt;="&amp;AJ$5,tblAuftraege[Datum Einnahmen],"&lt;"&amp;EDATE(AJ$5,1),tblAuftraege[Auftrag],$A14))</f>
        <v>0</v>
      </c>
      <c r="AK14" s="11" t="n">
        <f aca="false">IF($A14="",0,SUMIFS(tblAuftraege[Einnahmen],tblAuftraege[Datum Einnahmen],"&gt;="&amp;AK$5,tblAuftraege[Datum Einnahmen],"&lt;"&amp;EDATE(AK$5,1),tblAuftraege[Auftrag],$A14))</f>
        <v>0</v>
      </c>
      <c r="AL14" s="11" t="n">
        <f aca="false">IF($A14="",0,SUMIFS(tblAuftraege[Einnahmen],tblAuftraege[Datum Einnahmen],"&gt;="&amp;AL$5,tblAuftraege[Datum Einnahmen],"&lt;"&amp;EDATE(AL$5,1),tblAuftraege[Auftrag],$A14))</f>
        <v>0</v>
      </c>
      <c r="AM14" s="11" t="n">
        <f aca="false">IF($A14="",0,SUMIFS(tblAuftraege[Einnahmen],tblAuftraege[Datum Einnahmen],"&gt;="&amp;AM$5,tblAuftraege[Datum Einnahmen],"&lt;"&amp;EDATE(AM$5,1),tblAuftraege[Auftrag],$A14))</f>
        <v>0</v>
      </c>
      <c r="AN14" s="11" t="n">
        <f aca="false">IF($A14="",0,SUMIFS(tblAuftraege[Einnahmen],tblAuftraege[Datum Einnahmen],"&gt;="&amp;AN$5,tblAuftraege[Datum Einnahmen],"&lt;"&amp;EDATE(AN$5,1),tblAuftraege[Auftrag],$A14))</f>
        <v>0</v>
      </c>
      <c r="AO14" s="11" t="n">
        <f aca="false">IF($A14="",0,SUMIFS(tblAuftraege[Einnahmen],tblAuftraege[Datum Einnahmen],"&gt;="&amp;AO$5,tblAuftraege[Datum Einnahmen],"&lt;"&amp;EDATE(AO$5,1),tblAuftraege[Auftrag],$A14))</f>
        <v>0</v>
      </c>
      <c r="AP14" s="11" t="n">
        <f aca="false">IF($A14="",0,SUMIFS(tblAuftraege[Einnahmen],tblAuftraege[Datum Einnahmen],"&gt;="&amp;AP$5,tblAuftraege[Datum Einnahmen],"&lt;"&amp;EDATE(AP$5,1),tblAuftraege[Auftrag],$A14))</f>
        <v>0</v>
      </c>
      <c r="AQ14" s="11" t="n">
        <f aca="false">IF($A14="",0,SUMIFS(tblAuftraege[Einnahmen],tblAuftraege[Datum Einnahmen],"&gt;="&amp;AQ$5,tblAuftraege[Datum Einnahmen],"&lt;"&amp;EDATE(AQ$5,1),tblAuftraege[Auftrag],$A14))</f>
        <v>0</v>
      </c>
      <c r="AR14" s="11" t="n">
        <f aca="false">IF($A14="",0,SUMIFS(tblAuftraege[Einnahmen],tblAuftraege[Datum Einnahmen],"&gt;="&amp;AR$5,tblAuftraege[Datum Einnahmen],"&lt;"&amp;EDATE(AR$5,1),tblAuftraege[Auftrag],$A14))</f>
        <v>0</v>
      </c>
      <c r="AS14" s="11" t="n">
        <f aca="false">IF($A14="",0,SUMIFS(tblAuftraege[Einnahmen],tblAuftraege[Datum Einnahmen],"&gt;="&amp;AS$5,tblAuftraege[Datum Einnahmen],"&lt;"&amp;EDATE(AS$5,1),tblAuftraege[Auftrag],$A14))</f>
        <v>0</v>
      </c>
      <c r="AT14" s="11" t="n">
        <f aca="false">IF($A14="",0,SUMIFS(tblAuftraege[Einnahmen],tblAuftraege[Datum Einnahmen],"&gt;="&amp;AT$5,tblAuftraege[Datum Einnahmen],"&lt;"&amp;EDATE(AT$5,1),tblAuftraege[Auftrag],$A14))</f>
        <v>0</v>
      </c>
      <c r="AU14" s="11" t="n">
        <f aca="false">IF($A14="",0,SUMIFS(tblAuftraege[Einnahmen],tblAuftraege[Datum Einnahmen],"&gt;="&amp;AU$5,tblAuftraege[Datum Einnahmen],"&lt;"&amp;EDATE(AU$5,1),tblAuftraege[Auftrag],$A14))</f>
        <v>0</v>
      </c>
      <c r="AV14" s="11" t="n">
        <f aca="false">IF($A14="",0,SUMIFS(tblAuftraege[Einnahmen],tblAuftraege[Datum Einnahmen],"&gt;="&amp;AV$5,tblAuftraege[Datum Einnahmen],"&lt;"&amp;EDATE(AV$5,1),tblAuftraege[Auftrag],$A14))</f>
        <v>0</v>
      </c>
      <c r="AW14" s="11" t="n">
        <f aca="false">IF($A14="",0,SUMIFS(tblAuftraege[Einnahmen],tblAuftraege[Datum Einnahmen],"&gt;="&amp;AW$5,tblAuftraege[Datum Einnahmen],"&lt;"&amp;EDATE(AW$5,1),tblAuftraege[Auftrag],$A14))</f>
        <v>0</v>
      </c>
      <c r="AX14" s="11" t="n">
        <f aca="false">IF($A14="",0,SUMIFS(tblAuftraege[Einnahmen],tblAuftraege[Datum Einnahmen],"&gt;="&amp;AX$5,tblAuftraege[Datum Einnahmen],"&lt;"&amp;EDATE(AX$5,1),tblAuftraege[Auftrag],$A14))</f>
        <v>0</v>
      </c>
      <c r="AY14" s="11" t="n">
        <f aca="false">IF($A14="",0,SUMIFS(tblAuftraege[Einnahmen],tblAuftraege[Datum Einnahmen],"&gt;="&amp;AY$5,tblAuftraege[Datum Einnahmen],"&lt;"&amp;EDATE(AY$5,1),tblAuftraege[Auftrag],$A14))</f>
        <v>0</v>
      </c>
      <c r="AZ14" s="11" t="n">
        <f aca="false">IF($A14="",0,SUMIFS(tblAuftraege[Einnahmen],tblAuftraege[Datum Einnahmen],"&gt;="&amp;AZ$5,tblAuftraege[Datum Einnahmen],"&lt;"&amp;EDATE(AZ$5,1),tblAuftraege[Auftrag],$A14))</f>
        <v>0</v>
      </c>
      <c r="BA14" s="11" t="n">
        <f aca="false">IF($A14="",0,SUMIFS(tblAuftraege[Einnahmen],tblAuftraege[Datum Einnahmen],"&gt;="&amp;BA$5,tblAuftraege[Datum Einnahmen],"&lt;"&amp;EDATE(BA$5,1),tblAuftraege[Auftrag],$A14))</f>
        <v>0</v>
      </c>
      <c r="BB14" s="11" t="n">
        <f aca="false">IF($A14="",0,SUMIFS(tblAuftraege[Einnahmen],tblAuftraege[Datum Einnahmen],"&gt;="&amp;BB$5,tblAuftraege[Datum Einnahmen],"&lt;"&amp;EDATE(BB$5,1),tblAuftraege[Auftrag],$A14))</f>
        <v>0</v>
      </c>
      <c r="BC14" s="11" t="n">
        <f aca="false">IF($A14="",0,SUMIFS(tblAuftraege[Einnahmen],tblAuftraege[Datum Einnahmen],"&gt;="&amp;BC$5,tblAuftraege[Datum Einnahmen],"&lt;"&amp;EDATE(BC$5,1),tblAuftraege[Auftrag],$A14))</f>
        <v>0</v>
      </c>
      <c r="BD14" s="11" t="n">
        <f aca="false">IF($A14="",0,SUMIFS(tblAuftraege[Einnahmen],tblAuftraege[Datum Einnahmen],"&gt;="&amp;BD$5,tblAuftraege[Datum Einnahmen],"&lt;"&amp;EDATE(BD$5,1),tblAuftraege[Auftrag],$A14))</f>
        <v>0</v>
      </c>
      <c r="BE14" s="11" t="n">
        <f aca="false">IF($A14="",0,SUMIFS(tblAuftraege[Einnahmen],tblAuftraege[Datum Einnahmen],"&gt;="&amp;BE$5,tblAuftraege[Datum Einnahmen],"&lt;"&amp;EDATE(BE$5,1),tblAuftraege[Auftrag],$A14))</f>
        <v>0</v>
      </c>
      <c r="BF14" s="11" t="n">
        <f aca="false">IF($A14="",0,SUMIFS(tblAuftraege[Einnahmen],tblAuftraege[Datum Einnahmen],"&gt;="&amp;BF$5,tblAuftraege[Datum Einnahmen],"&lt;"&amp;EDATE(BF$5,1),tblAuftraege[Auftrag],$A14))</f>
        <v>0</v>
      </c>
      <c r="BG14" s="11" t="n">
        <f aca="false">SUM(E14:J14)</f>
        <v>0</v>
      </c>
      <c r="BH14" s="11" t="n">
        <f aca="false">SUM(K14:V14)</f>
        <v>0</v>
      </c>
      <c r="BI14" s="11" t="n">
        <f aca="false">SUM(W14:AH14)</f>
        <v>0</v>
      </c>
      <c r="BJ14" s="11" t="n">
        <f aca="false">SUM(AI14:AT14)</f>
        <v>0</v>
      </c>
      <c r="BK14" s="11" t="n">
        <f aca="false">SUM(AU14:BF14)</f>
        <v>0</v>
      </c>
      <c r="BL14" s="12" t="n">
        <f aca="false">SUM(E14:BF14)</f>
        <v>0</v>
      </c>
    </row>
    <row r="15" customFormat="false" ht="15" hidden="false" customHeight="false" outlineLevel="0" collapsed="false">
      <c r="A15" s="9"/>
      <c r="B15" s="10" t="str">
        <f aca="false">IF($A15="","",IFERROR(INDEX(tblAuftraege[Kostenstelle],MATCH($A15,tblAuftraege[Auftrag],0)),""))</f>
        <v/>
      </c>
      <c r="C15" s="10" t="str">
        <f aca="false">IF($A15="","",IFERROR(INDEX(tblAuftraege[Themenfeld],MATCH($A15,tblAuftraege[Auftrag],0)),""))</f>
        <v/>
      </c>
      <c r="D15" s="10" t="str">
        <f aca="false">IF($A15="","",IFERROR(INDEX(tblAuftraege[Kategorie],MATCH($A15,tblAuftraege[Auftrag],0)),""))</f>
        <v/>
      </c>
      <c r="E15" s="11" t="n">
        <f aca="false">IF($A15="",0,SUMIFS(tblAuftraege[Einnahmen],tblAuftraege[Datum Einnahmen],"&gt;="&amp;E$5,tblAuftraege[Datum Einnahmen],"&lt;"&amp;EDATE(E$5,1),tblAuftraege[Auftrag],$A15))</f>
        <v>0</v>
      </c>
      <c r="F15" s="11" t="n">
        <f aca="false">IF($A15="",0,SUMIFS(tblAuftraege[Einnahmen],tblAuftraege[Datum Einnahmen],"&gt;="&amp;F$5,tblAuftraege[Datum Einnahmen],"&lt;"&amp;EDATE(F$5,1),tblAuftraege[Auftrag],$A15))</f>
        <v>0</v>
      </c>
      <c r="G15" s="11" t="n">
        <f aca="false">IF($A15="",0,SUMIFS(tblAuftraege[Einnahmen],tblAuftraege[Datum Einnahmen],"&gt;="&amp;G$5,tblAuftraege[Datum Einnahmen],"&lt;"&amp;EDATE(G$5,1),tblAuftraege[Auftrag],$A15))</f>
        <v>0</v>
      </c>
      <c r="H15" s="11" t="n">
        <f aca="false">IF($A15="",0,SUMIFS(tblAuftraege[Einnahmen],tblAuftraege[Datum Einnahmen],"&gt;="&amp;H$5,tblAuftraege[Datum Einnahmen],"&lt;"&amp;EDATE(H$5,1),tblAuftraege[Auftrag],$A15))</f>
        <v>0</v>
      </c>
      <c r="I15" s="11" t="n">
        <f aca="false">IF($A15="",0,SUMIFS(tblAuftraege[Einnahmen],tblAuftraege[Datum Einnahmen],"&gt;="&amp;I$5,tblAuftraege[Datum Einnahmen],"&lt;"&amp;EDATE(I$5,1),tblAuftraege[Auftrag],$A15))</f>
        <v>0</v>
      </c>
      <c r="J15" s="11" t="n">
        <f aca="false">IF($A15="",0,SUMIFS(tblAuftraege[Einnahmen],tblAuftraege[Datum Einnahmen],"&gt;="&amp;J$5,tblAuftraege[Datum Einnahmen],"&lt;"&amp;EDATE(J$5,1),tblAuftraege[Auftrag],$A15))</f>
        <v>0</v>
      </c>
      <c r="K15" s="11" t="n">
        <f aca="false">IF($A15="",0,SUMIFS(tblAuftraege[Einnahmen],tblAuftraege[Datum Einnahmen],"&gt;="&amp;K$5,tblAuftraege[Datum Einnahmen],"&lt;"&amp;EDATE(K$5,1),tblAuftraege[Auftrag],$A15))</f>
        <v>0</v>
      </c>
      <c r="L15" s="11" t="n">
        <f aca="false">IF($A15="",0,SUMIFS(tblAuftraege[Einnahmen],tblAuftraege[Datum Einnahmen],"&gt;="&amp;L$5,tblAuftraege[Datum Einnahmen],"&lt;"&amp;EDATE(L$5,1),tblAuftraege[Auftrag],$A15))</f>
        <v>0</v>
      </c>
      <c r="M15" s="11" t="n">
        <f aca="false">IF($A15="",0,SUMIFS(tblAuftraege[Einnahmen],tblAuftraege[Datum Einnahmen],"&gt;="&amp;M$5,tblAuftraege[Datum Einnahmen],"&lt;"&amp;EDATE(M$5,1),tblAuftraege[Auftrag],$A15))</f>
        <v>0</v>
      </c>
      <c r="N15" s="11" t="n">
        <f aca="false">IF($A15="",0,SUMIFS(tblAuftraege[Einnahmen],tblAuftraege[Datum Einnahmen],"&gt;="&amp;N$5,tblAuftraege[Datum Einnahmen],"&lt;"&amp;EDATE(N$5,1),tblAuftraege[Auftrag],$A15))</f>
        <v>0</v>
      </c>
      <c r="O15" s="11" t="n">
        <f aca="false">IF($A15="",0,SUMIFS(tblAuftraege[Einnahmen],tblAuftraege[Datum Einnahmen],"&gt;="&amp;O$5,tblAuftraege[Datum Einnahmen],"&lt;"&amp;EDATE(O$5,1),tblAuftraege[Auftrag],$A15))</f>
        <v>0</v>
      </c>
      <c r="P15" s="11" t="n">
        <f aca="false">IF($A15="",0,SUMIFS(tblAuftraege[Einnahmen],tblAuftraege[Datum Einnahmen],"&gt;="&amp;P$5,tblAuftraege[Datum Einnahmen],"&lt;"&amp;EDATE(P$5,1),tblAuftraege[Auftrag],$A15))</f>
        <v>0</v>
      </c>
      <c r="Q15" s="11" t="n">
        <f aca="false">IF($A15="",0,SUMIFS(tblAuftraege[Einnahmen],tblAuftraege[Datum Einnahmen],"&gt;="&amp;Q$5,tblAuftraege[Datum Einnahmen],"&lt;"&amp;EDATE(Q$5,1),tblAuftraege[Auftrag],$A15))</f>
        <v>0</v>
      </c>
      <c r="R15" s="11" t="n">
        <f aca="false">IF($A15="",0,SUMIFS(tblAuftraege[Einnahmen],tblAuftraege[Datum Einnahmen],"&gt;="&amp;R$5,tblAuftraege[Datum Einnahmen],"&lt;"&amp;EDATE(R$5,1),tblAuftraege[Auftrag],$A15))</f>
        <v>0</v>
      </c>
      <c r="S15" s="11" t="n">
        <f aca="false">IF($A15="",0,SUMIFS(tblAuftraege[Einnahmen],tblAuftraege[Datum Einnahmen],"&gt;="&amp;S$5,tblAuftraege[Datum Einnahmen],"&lt;"&amp;EDATE(S$5,1),tblAuftraege[Auftrag],$A15))</f>
        <v>0</v>
      </c>
      <c r="T15" s="11" t="n">
        <f aca="false">IF($A15="",0,SUMIFS(tblAuftraege[Einnahmen],tblAuftraege[Datum Einnahmen],"&gt;="&amp;T$5,tblAuftraege[Datum Einnahmen],"&lt;"&amp;EDATE(T$5,1),tblAuftraege[Auftrag],$A15))</f>
        <v>0</v>
      </c>
      <c r="U15" s="11" t="n">
        <f aca="false">IF($A15="",0,SUMIFS(tblAuftraege[Einnahmen],tblAuftraege[Datum Einnahmen],"&gt;="&amp;U$5,tblAuftraege[Datum Einnahmen],"&lt;"&amp;EDATE(U$5,1),tblAuftraege[Auftrag],$A15))</f>
        <v>0</v>
      </c>
      <c r="V15" s="11" t="n">
        <f aca="false">IF($A15="",0,SUMIFS(tblAuftraege[Einnahmen],tblAuftraege[Datum Einnahmen],"&gt;="&amp;V$5,tblAuftraege[Datum Einnahmen],"&lt;"&amp;EDATE(V$5,1),tblAuftraege[Auftrag],$A15))</f>
        <v>0</v>
      </c>
      <c r="W15" s="11" t="n">
        <f aca="false">IF($A15="",0,SUMIFS(tblAuftraege[Einnahmen],tblAuftraege[Datum Einnahmen],"&gt;="&amp;W$5,tblAuftraege[Datum Einnahmen],"&lt;"&amp;EDATE(W$5,1),tblAuftraege[Auftrag],$A15))</f>
        <v>0</v>
      </c>
      <c r="X15" s="11" t="n">
        <f aca="false">IF($A15="",0,SUMIFS(tblAuftraege[Einnahmen],tblAuftraege[Datum Einnahmen],"&gt;="&amp;X$5,tblAuftraege[Datum Einnahmen],"&lt;"&amp;EDATE(X$5,1),tblAuftraege[Auftrag],$A15))</f>
        <v>0</v>
      </c>
      <c r="Y15" s="11" t="n">
        <f aca="false">IF($A15="",0,SUMIFS(tblAuftraege[Einnahmen],tblAuftraege[Datum Einnahmen],"&gt;="&amp;Y$5,tblAuftraege[Datum Einnahmen],"&lt;"&amp;EDATE(Y$5,1),tblAuftraege[Auftrag],$A15))</f>
        <v>0</v>
      </c>
      <c r="Z15" s="11" t="n">
        <f aca="false">IF($A15="",0,SUMIFS(tblAuftraege[Einnahmen],tblAuftraege[Datum Einnahmen],"&gt;="&amp;Z$5,tblAuftraege[Datum Einnahmen],"&lt;"&amp;EDATE(Z$5,1),tblAuftraege[Auftrag],$A15))</f>
        <v>0</v>
      </c>
      <c r="AA15" s="11" t="n">
        <f aca="false">IF($A15="",0,SUMIFS(tblAuftraege[Einnahmen],tblAuftraege[Datum Einnahmen],"&gt;="&amp;AA$5,tblAuftraege[Datum Einnahmen],"&lt;"&amp;EDATE(AA$5,1),tblAuftraege[Auftrag],$A15))</f>
        <v>0</v>
      </c>
      <c r="AB15" s="11" t="n">
        <f aca="false">IF($A15="",0,SUMIFS(tblAuftraege[Einnahmen],tblAuftraege[Datum Einnahmen],"&gt;="&amp;AB$5,tblAuftraege[Datum Einnahmen],"&lt;"&amp;EDATE(AB$5,1),tblAuftraege[Auftrag],$A15))</f>
        <v>0</v>
      </c>
      <c r="AC15" s="11" t="n">
        <f aca="false">IF($A15="",0,SUMIFS(tblAuftraege[Einnahmen],tblAuftraege[Datum Einnahmen],"&gt;="&amp;AC$5,tblAuftraege[Datum Einnahmen],"&lt;"&amp;EDATE(AC$5,1),tblAuftraege[Auftrag],$A15))</f>
        <v>0</v>
      </c>
      <c r="AD15" s="11" t="n">
        <f aca="false">IF($A15="",0,SUMIFS(tblAuftraege[Einnahmen],tblAuftraege[Datum Einnahmen],"&gt;="&amp;AD$5,tblAuftraege[Datum Einnahmen],"&lt;"&amp;EDATE(AD$5,1),tblAuftraege[Auftrag],$A15))</f>
        <v>0</v>
      </c>
      <c r="AE15" s="11" t="n">
        <f aca="false">IF($A15="",0,SUMIFS(tblAuftraege[Einnahmen],tblAuftraege[Datum Einnahmen],"&gt;="&amp;AE$5,tblAuftraege[Datum Einnahmen],"&lt;"&amp;EDATE(AE$5,1),tblAuftraege[Auftrag],$A15))</f>
        <v>0</v>
      </c>
      <c r="AF15" s="11" t="n">
        <f aca="false">IF($A15="",0,SUMIFS(tblAuftraege[Einnahmen],tblAuftraege[Datum Einnahmen],"&gt;="&amp;AF$5,tblAuftraege[Datum Einnahmen],"&lt;"&amp;EDATE(AF$5,1),tblAuftraege[Auftrag],$A15))</f>
        <v>0</v>
      </c>
      <c r="AG15" s="11" t="n">
        <f aca="false">IF($A15="",0,SUMIFS(tblAuftraege[Einnahmen],tblAuftraege[Datum Einnahmen],"&gt;="&amp;AG$5,tblAuftraege[Datum Einnahmen],"&lt;"&amp;EDATE(AG$5,1),tblAuftraege[Auftrag],$A15))</f>
        <v>0</v>
      </c>
      <c r="AH15" s="11" t="n">
        <f aca="false">IF($A15="",0,SUMIFS(tblAuftraege[Einnahmen],tblAuftraege[Datum Einnahmen],"&gt;="&amp;AH$5,tblAuftraege[Datum Einnahmen],"&lt;"&amp;EDATE(AH$5,1),tblAuftraege[Auftrag],$A15))</f>
        <v>0</v>
      </c>
      <c r="AI15" s="11" t="n">
        <f aca="false">IF($A15="",0,SUMIFS(tblAuftraege[Einnahmen],tblAuftraege[Datum Einnahmen],"&gt;="&amp;AI$5,tblAuftraege[Datum Einnahmen],"&lt;"&amp;EDATE(AI$5,1),tblAuftraege[Auftrag],$A15))</f>
        <v>0</v>
      </c>
      <c r="AJ15" s="11" t="n">
        <f aca="false">IF($A15="",0,SUMIFS(tblAuftraege[Einnahmen],tblAuftraege[Datum Einnahmen],"&gt;="&amp;AJ$5,tblAuftraege[Datum Einnahmen],"&lt;"&amp;EDATE(AJ$5,1),tblAuftraege[Auftrag],$A15))</f>
        <v>0</v>
      </c>
      <c r="AK15" s="11" t="n">
        <f aca="false">IF($A15="",0,SUMIFS(tblAuftraege[Einnahmen],tblAuftraege[Datum Einnahmen],"&gt;="&amp;AK$5,tblAuftraege[Datum Einnahmen],"&lt;"&amp;EDATE(AK$5,1),tblAuftraege[Auftrag],$A15))</f>
        <v>0</v>
      </c>
      <c r="AL15" s="11" t="n">
        <f aca="false">IF($A15="",0,SUMIFS(tblAuftraege[Einnahmen],tblAuftraege[Datum Einnahmen],"&gt;="&amp;AL$5,tblAuftraege[Datum Einnahmen],"&lt;"&amp;EDATE(AL$5,1),tblAuftraege[Auftrag],$A15))</f>
        <v>0</v>
      </c>
      <c r="AM15" s="11" t="n">
        <f aca="false">IF($A15="",0,SUMIFS(tblAuftraege[Einnahmen],tblAuftraege[Datum Einnahmen],"&gt;="&amp;AM$5,tblAuftraege[Datum Einnahmen],"&lt;"&amp;EDATE(AM$5,1),tblAuftraege[Auftrag],$A15))</f>
        <v>0</v>
      </c>
      <c r="AN15" s="11" t="n">
        <f aca="false">IF($A15="",0,SUMIFS(tblAuftraege[Einnahmen],tblAuftraege[Datum Einnahmen],"&gt;="&amp;AN$5,tblAuftraege[Datum Einnahmen],"&lt;"&amp;EDATE(AN$5,1),tblAuftraege[Auftrag],$A15))</f>
        <v>0</v>
      </c>
      <c r="AO15" s="11" t="n">
        <f aca="false">IF($A15="",0,SUMIFS(tblAuftraege[Einnahmen],tblAuftraege[Datum Einnahmen],"&gt;="&amp;AO$5,tblAuftraege[Datum Einnahmen],"&lt;"&amp;EDATE(AO$5,1),tblAuftraege[Auftrag],$A15))</f>
        <v>0</v>
      </c>
      <c r="AP15" s="11" t="n">
        <f aca="false">IF($A15="",0,SUMIFS(tblAuftraege[Einnahmen],tblAuftraege[Datum Einnahmen],"&gt;="&amp;AP$5,tblAuftraege[Datum Einnahmen],"&lt;"&amp;EDATE(AP$5,1),tblAuftraege[Auftrag],$A15))</f>
        <v>0</v>
      </c>
      <c r="AQ15" s="11" t="n">
        <f aca="false">IF($A15="",0,SUMIFS(tblAuftraege[Einnahmen],tblAuftraege[Datum Einnahmen],"&gt;="&amp;AQ$5,tblAuftraege[Datum Einnahmen],"&lt;"&amp;EDATE(AQ$5,1),tblAuftraege[Auftrag],$A15))</f>
        <v>0</v>
      </c>
      <c r="AR15" s="11" t="n">
        <f aca="false">IF($A15="",0,SUMIFS(tblAuftraege[Einnahmen],tblAuftraege[Datum Einnahmen],"&gt;="&amp;AR$5,tblAuftraege[Datum Einnahmen],"&lt;"&amp;EDATE(AR$5,1),tblAuftraege[Auftrag],$A15))</f>
        <v>0</v>
      </c>
      <c r="AS15" s="11" t="n">
        <f aca="false">IF($A15="",0,SUMIFS(tblAuftraege[Einnahmen],tblAuftraege[Datum Einnahmen],"&gt;="&amp;AS$5,tblAuftraege[Datum Einnahmen],"&lt;"&amp;EDATE(AS$5,1),tblAuftraege[Auftrag],$A15))</f>
        <v>0</v>
      </c>
      <c r="AT15" s="11" t="n">
        <f aca="false">IF($A15="",0,SUMIFS(tblAuftraege[Einnahmen],tblAuftraege[Datum Einnahmen],"&gt;="&amp;AT$5,tblAuftraege[Datum Einnahmen],"&lt;"&amp;EDATE(AT$5,1),tblAuftraege[Auftrag],$A15))</f>
        <v>0</v>
      </c>
      <c r="AU15" s="11" t="n">
        <f aca="false">IF($A15="",0,SUMIFS(tblAuftraege[Einnahmen],tblAuftraege[Datum Einnahmen],"&gt;="&amp;AU$5,tblAuftraege[Datum Einnahmen],"&lt;"&amp;EDATE(AU$5,1),tblAuftraege[Auftrag],$A15))</f>
        <v>0</v>
      </c>
      <c r="AV15" s="11" t="n">
        <f aca="false">IF($A15="",0,SUMIFS(tblAuftraege[Einnahmen],tblAuftraege[Datum Einnahmen],"&gt;="&amp;AV$5,tblAuftraege[Datum Einnahmen],"&lt;"&amp;EDATE(AV$5,1),tblAuftraege[Auftrag],$A15))</f>
        <v>0</v>
      </c>
      <c r="AW15" s="11" t="n">
        <f aca="false">IF($A15="",0,SUMIFS(tblAuftraege[Einnahmen],tblAuftraege[Datum Einnahmen],"&gt;="&amp;AW$5,tblAuftraege[Datum Einnahmen],"&lt;"&amp;EDATE(AW$5,1),tblAuftraege[Auftrag],$A15))</f>
        <v>0</v>
      </c>
      <c r="AX15" s="11" t="n">
        <f aca="false">IF($A15="",0,SUMIFS(tblAuftraege[Einnahmen],tblAuftraege[Datum Einnahmen],"&gt;="&amp;AX$5,tblAuftraege[Datum Einnahmen],"&lt;"&amp;EDATE(AX$5,1),tblAuftraege[Auftrag],$A15))</f>
        <v>0</v>
      </c>
      <c r="AY15" s="11" t="n">
        <f aca="false">IF($A15="",0,SUMIFS(tblAuftraege[Einnahmen],tblAuftraege[Datum Einnahmen],"&gt;="&amp;AY$5,tblAuftraege[Datum Einnahmen],"&lt;"&amp;EDATE(AY$5,1),tblAuftraege[Auftrag],$A15))</f>
        <v>0</v>
      </c>
      <c r="AZ15" s="11" t="n">
        <f aca="false">IF($A15="",0,SUMIFS(tblAuftraege[Einnahmen],tblAuftraege[Datum Einnahmen],"&gt;="&amp;AZ$5,tblAuftraege[Datum Einnahmen],"&lt;"&amp;EDATE(AZ$5,1),tblAuftraege[Auftrag],$A15))</f>
        <v>0</v>
      </c>
      <c r="BA15" s="11" t="n">
        <f aca="false">IF($A15="",0,SUMIFS(tblAuftraege[Einnahmen],tblAuftraege[Datum Einnahmen],"&gt;="&amp;BA$5,tblAuftraege[Datum Einnahmen],"&lt;"&amp;EDATE(BA$5,1),tblAuftraege[Auftrag],$A15))</f>
        <v>0</v>
      </c>
      <c r="BB15" s="11" t="n">
        <f aca="false">IF($A15="",0,SUMIFS(tblAuftraege[Einnahmen],tblAuftraege[Datum Einnahmen],"&gt;="&amp;BB$5,tblAuftraege[Datum Einnahmen],"&lt;"&amp;EDATE(BB$5,1),tblAuftraege[Auftrag],$A15))</f>
        <v>0</v>
      </c>
      <c r="BC15" s="11" t="n">
        <f aca="false">IF($A15="",0,SUMIFS(tblAuftraege[Einnahmen],tblAuftraege[Datum Einnahmen],"&gt;="&amp;BC$5,tblAuftraege[Datum Einnahmen],"&lt;"&amp;EDATE(BC$5,1),tblAuftraege[Auftrag],$A15))</f>
        <v>0</v>
      </c>
      <c r="BD15" s="11" t="n">
        <f aca="false">IF($A15="",0,SUMIFS(tblAuftraege[Einnahmen],tblAuftraege[Datum Einnahmen],"&gt;="&amp;BD$5,tblAuftraege[Datum Einnahmen],"&lt;"&amp;EDATE(BD$5,1),tblAuftraege[Auftrag],$A15))</f>
        <v>0</v>
      </c>
      <c r="BE15" s="11" t="n">
        <f aca="false">IF($A15="",0,SUMIFS(tblAuftraege[Einnahmen],tblAuftraege[Datum Einnahmen],"&gt;="&amp;BE$5,tblAuftraege[Datum Einnahmen],"&lt;"&amp;EDATE(BE$5,1),tblAuftraege[Auftrag],$A15))</f>
        <v>0</v>
      </c>
      <c r="BF15" s="11" t="n">
        <f aca="false">IF($A15="",0,SUMIFS(tblAuftraege[Einnahmen],tblAuftraege[Datum Einnahmen],"&gt;="&amp;BF$5,tblAuftraege[Datum Einnahmen],"&lt;"&amp;EDATE(BF$5,1),tblAuftraege[Auftrag],$A15))</f>
        <v>0</v>
      </c>
      <c r="BG15" s="11" t="n">
        <f aca="false">SUM(E15:J15)</f>
        <v>0</v>
      </c>
      <c r="BH15" s="11" t="n">
        <f aca="false">SUM(K15:V15)</f>
        <v>0</v>
      </c>
      <c r="BI15" s="11" t="n">
        <f aca="false">SUM(W15:AH15)</f>
        <v>0</v>
      </c>
      <c r="BJ15" s="11" t="n">
        <f aca="false">SUM(AI15:AT15)</f>
        <v>0</v>
      </c>
      <c r="BK15" s="11" t="n">
        <f aca="false">SUM(AU15:BF15)</f>
        <v>0</v>
      </c>
      <c r="BL15" s="12" t="n">
        <f aca="false">SUM(E15:BF15)</f>
        <v>0</v>
      </c>
    </row>
    <row r="16" customFormat="false" ht="15" hidden="false" customHeight="false" outlineLevel="0" collapsed="false">
      <c r="A16" s="9"/>
      <c r="B16" s="10" t="str">
        <f aca="false">IF($A16="","",IFERROR(INDEX(tblAuftraege[Kostenstelle],MATCH($A16,tblAuftraege[Auftrag],0)),""))</f>
        <v/>
      </c>
      <c r="C16" s="10" t="str">
        <f aca="false">IF($A16="","",IFERROR(INDEX(tblAuftraege[Themenfeld],MATCH($A16,tblAuftraege[Auftrag],0)),""))</f>
        <v/>
      </c>
      <c r="D16" s="10" t="str">
        <f aca="false">IF($A16="","",IFERROR(INDEX(tblAuftraege[Kategorie],MATCH($A16,tblAuftraege[Auftrag],0)),""))</f>
        <v/>
      </c>
      <c r="E16" s="11" t="n">
        <f aca="false">IF($A16="",0,SUMIFS(tblAuftraege[Einnahmen],tblAuftraege[Datum Einnahmen],"&gt;="&amp;E$5,tblAuftraege[Datum Einnahmen],"&lt;"&amp;EDATE(E$5,1),tblAuftraege[Auftrag],$A16))</f>
        <v>0</v>
      </c>
      <c r="F16" s="11" t="n">
        <f aca="false">IF($A16="",0,SUMIFS(tblAuftraege[Einnahmen],tblAuftraege[Datum Einnahmen],"&gt;="&amp;F$5,tblAuftraege[Datum Einnahmen],"&lt;"&amp;EDATE(F$5,1),tblAuftraege[Auftrag],$A16))</f>
        <v>0</v>
      </c>
      <c r="G16" s="11" t="n">
        <f aca="false">IF($A16="",0,SUMIFS(tblAuftraege[Einnahmen],tblAuftraege[Datum Einnahmen],"&gt;="&amp;G$5,tblAuftraege[Datum Einnahmen],"&lt;"&amp;EDATE(G$5,1),tblAuftraege[Auftrag],$A16))</f>
        <v>0</v>
      </c>
      <c r="H16" s="11" t="n">
        <f aca="false">IF($A16="",0,SUMIFS(tblAuftraege[Einnahmen],tblAuftraege[Datum Einnahmen],"&gt;="&amp;H$5,tblAuftraege[Datum Einnahmen],"&lt;"&amp;EDATE(H$5,1),tblAuftraege[Auftrag],$A16))</f>
        <v>0</v>
      </c>
      <c r="I16" s="11" t="n">
        <f aca="false">IF($A16="",0,SUMIFS(tblAuftraege[Einnahmen],tblAuftraege[Datum Einnahmen],"&gt;="&amp;I$5,tblAuftraege[Datum Einnahmen],"&lt;"&amp;EDATE(I$5,1),tblAuftraege[Auftrag],$A16))</f>
        <v>0</v>
      </c>
      <c r="J16" s="11" t="n">
        <f aca="false">IF($A16="",0,SUMIFS(tblAuftraege[Einnahmen],tblAuftraege[Datum Einnahmen],"&gt;="&amp;J$5,tblAuftraege[Datum Einnahmen],"&lt;"&amp;EDATE(J$5,1),tblAuftraege[Auftrag],$A16))</f>
        <v>0</v>
      </c>
      <c r="K16" s="11" t="n">
        <f aca="false">IF($A16="",0,SUMIFS(tblAuftraege[Einnahmen],tblAuftraege[Datum Einnahmen],"&gt;="&amp;K$5,tblAuftraege[Datum Einnahmen],"&lt;"&amp;EDATE(K$5,1),tblAuftraege[Auftrag],$A16))</f>
        <v>0</v>
      </c>
      <c r="L16" s="11" t="n">
        <f aca="false">IF($A16="",0,SUMIFS(tblAuftraege[Einnahmen],tblAuftraege[Datum Einnahmen],"&gt;="&amp;L$5,tblAuftraege[Datum Einnahmen],"&lt;"&amp;EDATE(L$5,1),tblAuftraege[Auftrag],$A16))</f>
        <v>0</v>
      </c>
      <c r="M16" s="11" t="n">
        <f aca="false">IF($A16="",0,SUMIFS(tblAuftraege[Einnahmen],tblAuftraege[Datum Einnahmen],"&gt;="&amp;M$5,tblAuftraege[Datum Einnahmen],"&lt;"&amp;EDATE(M$5,1),tblAuftraege[Auftrag],$A16))</f>
        <v>0</v>
      </c>
      <c r="N16" s="11" t="n">
        <f aca="false">IF($A16="",0,SUMIFS(tblAuftraege[Einnahmen],tblAuftraege[Datum Einnahmen],"&gt;="&amp;N$5,tblAuftraege[Datum Einnahmen],"&lt;"&amp;EDATE(N$5,1),tblAuftraege[Auftrag],$A16))</f>
        <v>0</v>
      </c>
      <c r="O16" s="11" t="n">
        <f aca="false">IF($A16="",0,SUMIFS(tblAuftraege[Einnahmen],tblAuftraege[Datum Einnahmen],"&gt;="&amp;O$5,tblAuftraege[Datum Einnahmen],"&lt;"&amp;EDATE(O$5,1),tblAuftraege[Auftrag],$A16))</f>
        <v>0</v>
      </c>
      <c r="P16" s="11" t="n">
        <f aca="false">IF($A16="",0,SUMIFS(tblAuftraege[Einnahmen],tblAuftraege[Datum Einnahmen],"&gt;="&amp;P$5,tblAuftraege[Datum Einnahmen],"&lt;"&amp;EDATE(P$5,1),tblAuftraege[Auftrag],$A16))</f>
        <v>0</v>
      </c>
      <c r="Q16" s="11" t="n">
        <f aca="false">IF($A16="",0,SUMIFS(tblAuftraege[Einnahmen],tblAuftraege[Datum Einnahmen],"&gt;="&amp;Q$5,tblAuftraege[Datum Einnahmen],"&lt;"&amp;EDATE(Q$5,1),tblAuftraege[Auftrag],$A16))</f>
        <v>0</v>
      </c>
      <c r="R16" s="11" t="n">
        <f aca="false">IF($A16="",0,SUMIFS(tblAuftraege[Einnahmen],tblAuftraege[Datum Einnahmen],"&gt;="&amp;R$5,tblAuftraege[Datum Einnahmen],"&lt;"&amp;EDATE(R$5,1),tblAuftraege[Auftrag],$A16))</f>
        <v>0</v>
      </c>
      <c r="S16" s="11" t="n">
        <f aca="false">IF($A16="",0,SUMIFS(tblAuftraege[Einnahmen],tblAuftraege[Datum Einnahmen],"&gt;="&amp;S$5,tblAuftraege[Datum Einnahmen],"&lt;"&amp;EDATE(S$5,1),tblAuftraege[Auftrag],$A16))</f>
        <v>0</v>
      </c>
      <c r="T16" s="11" t="n">
        <f aca="false">IF($A16="",0,SUMIFS(tblAuftraege[Einnahmen],tblAuftraege[Datum Einnahmen],"&gt;="&amp;T$5,tblAuftraege[Datum Einnahmen],"&lt;"&amp;EDATE(T$5,1),tblAuftraege[Auftrag],$A16))</f>
        <v>0</v>
      </c>
      <c r="U16" s="11" t="n">
        <f aca="false">IF($A16="",0,SUMIFS(tblAuftraege[Einnahmen],tblAuftraege[Datum Einnahmen],"&gt;="&amp;U$5,tblAuftraege[Datum Einnahmen],"&lt;"&amp;EDATE(U$5,1),tblAuftraege[Auftrag],$A16))</f>
        <v>0</v>
      </c>
      <c r="V16" s="11" t="n">
        <f aca="false">IF($A16="",0,SUMIFS(tblAuftraege[Einnahmen],tblAuftraege[Datum Einnahmen],"&gt;="&amp;V$5,tblAuftraege[Datum Einnahmen],"&lt;"&amp;EDATE(V$5,1),tblAuftraege[Auftrag],$A16))</f>
        <v>0</v>
      </c>
      <c r="W16" s="11" t="n">
        <f aca="false">IF($A16="",0,SUMIFS(tblAuftraege[Einnahmen],tblAuftraege[Datum Einnahmen],"&gt;="&amp;W$5,tblAuftraege[Datum Einnahmen],"&lt;"&amp;EDATE(W$5,1),tblAuftraege[Auftrag],$A16))</f>
        <v>0</v>
      </c>
      <c r="X16" s="11" t="n">
        <f aca="false">IF($A16="",0,SUMIFS(tblAuftraege[Einnahmen],tblAuftraege[Datum Einnahmen],"&gt;="&amp;X$5,tblAuftraege[Datum Einnahmen],"&lt;"&amp;EDATE(X$5,1),tblAuftraege[Auftrag],$A16))</f>
        <v>0</v>
      </c>
      <c r="Y16" s="11" t="n">
        <f aca="false">IF($A16="",0,SUMIFS(tblAuftraege[Einnahmen],tblAuftraege[Datum Einnahmen],"&gt;="&amp;Y$5,tblAuftraege[Datum Einnahmen],"&lt;"&amp;EDATE(Y$5,1),tblAuftraege[Auftrag],$A16))</f>
        <v>0</v>
      </c>
      <c r="Z16" s="11" t="n">
        <f aca="false">IF($A16="",0,SUMIFS(tblAuftraege[Einnahmen],tblAuftraege[Datum Einnahmen],"&gt;="&amp;Z$5,tblAuftraege[Datum Einnahmen],"&lt;"&amp;EDATE(Z$5,1),tblAuftraege[Auftrag],$A16))</f>
        <v>0</v>
      </c>
      <c r="AA16" s="11" t="n">
        <f aca="false">IF($A16="",0,SUMIFS(tblAuftraege[Einnahmen],tblAuftraege[Datum Einnahmen],"&gt;="&amp;AA$5,tblAuftraege[Datum Einnahmen],"&lt;"&amp;EDATE(AA$5,1),tblAuftraege[Auftrag],$A16))</f>
        <v>0</v>
      </c>
      <c r="AB16" s="11" t="n">
        <f aca="false">IF($A16="",0,SUMIFS(tblAuftraege[Einnahmen],tblAuftraege[Datum Einnahmen],"&gt;="&amp;AB$5,tblAuftraege[Datum Einnahmen],"&lt;"&amp;EDATE(AB$5,1),tblAuftraege[Auftrag],$A16))</f>
        <v>0</v>
      </c>
      <c r="AC16" s="11" t="n">
        <f aca="false">IF($A16="",0,SUMIFS(tblAuftraege[Einnahmen],tblAuftraege[Datum Einnahmen],"&gt;="&amp;AC$5,tblAuftraege[Datum Einnahmen],"&lt;"&amp;EDATE(AC$5,1),tblAuftraege[Auftrag],$A16))</f>
        <v>0</v>
      </c>
      <c r="AD16" s="11" t="n">
        <f aca="false">IF($A16="",0,SUMIFS(tblAuftraege[Einnahmen],tblAuftraege[Datum Einnahmen],"&gt;="&amp;AD$5,tblAuftraege[Datum Einnahmen],"&lt;"&amp;EDATE(AD$5,1),tblAuftraege[Auftrag],$A16))</f>
        <v>0</v>
      </c>
      <c r="AE16" s="11" t="n">
        <f aca="false">IF($A16="",0,SUMIFS(tblAuftraege[Einnahmen],tblAuftraege[Datum Einnahmen],"&gt;="&amp;AE$5,tblAuftraege[Datum Einnahmen],"&lt;"&amp;EDATE(AE$5,1),tblAuftraege[Auftrag],$A16))</f>
        <v>0</v>
      </c>
      <c r="AF16" s="11" t="n">
        <f aca="false">IF($A16="",0,SUMIFS(tblAuftraege[Einnahmen],tblAuftraege[Datum Einnahmen],"&gt;="&amp;AF$5,tblAuftraege[Datum Einnahmen],"&lt;"&amp;EDATE(AF$5,1),tblAuftraege[Auftrag],$A16))</f>
        <v>0</v>
      </c>
      <c r="AG16" s="11" t="n">
        <f aca="false">IF($A16="",0,SUMIFS(tblAuftraege[Einnahmen],tblAuftraege[Datum Einnahmen],"&gt;="&amp;AG$5,tblAuftraege[Datum Einnahmen],"&lt;"&amp;EDATE(AG$5,1),tblAuftraege[Auftrag],$A16))</f>
        <v>0</v>
      </c>
      <c r="AH16" s="11" t="n">
        <f aca="false">IF($A16="",0,SUMIFS(tblAuftraege[Einnahmen],tblAuftraege[Datum Einnahmen],"&gt;="&amp;AH$5,tblAuftraege[Datum Einnahmen],"&lt;"&amp;EDATE(AH$5,1),tblAuftraege[Auftrag],$A16))</f>
        <v>0</v>
      </c>
      <c r="AI16" s="11" t="n">
        <f aca="false">IF($A16="",0,SUMIFS(tblAuftraege[Einnahmen],tblAuftraege[Datum Einnahmen],"&gt;="&amp;AI$5,tblAuftraege[Datum Einnahmen],"&lt;"&amp;EDATE(AI$5,1),tblAuftraege[Auftrag],$A16))</f>
        <v>0</v>
      </c>
      <c r="AJ16" s="11" t="n">
        <f aca="false">IF($A16="",0,SUMIFS(tblAuftraege[Einnahmen],tblAuftraege[Datum Einnahmen],"&gt;="&amp;AJ$5,tblAuftraege[Datum Einnahmen],"&lt;"&amp;EDATE(AJ$5,1),tblAuftraege[Auftrag],$A16))</f>
        <v>0</v>
      </c>
      <c r="AK16" s="11" t="n">
        <f aca="false">IF($A16="",0,SUMIFS(tblAuftraege[Einnahmen],tblAuftraege[Datum Einnahmen],"&gt;="&amp;AK$5,tblAuftraege[Datum Einnahmen],"&lt;"&amp;EDATE(AK$5,1),tblAuftraege[Auftrag],$A16))</f>
        <v>0</v>
      </c>
      <c r="AL16" s="11" t="n">
        <f aca="false">IF($A16="",0,SUMIFS(tblAuftraege[Einnahmen],tblAuftraege[Datum Einnahmen],"&gt;="&amp;AL$5,tblAuftraege[Datum Einnahmen],"&lt;"&amp;EDATE(AL$5,1),tblAuftraege[Auftrag],$A16))</f>
        <v>0</v>
      </c>
      <c r="AM16" s="11" t="n">
        <f aca="false">IF($A16="",0,SUMIFS(tblAuftraege[Einnahmen],tblAuftraege[Datum Einnahmen],"&gt;="&amp;AM$5,tblAuftraege[Datum Einnahmen],"&lt;"&amp;EDATE(AM$5,1),tblAuftraege[Auftrag],$A16))</f>
        <v>0</v>
      </c>
      <c r="AN16" s="11" t="n">
        <f aca="false">IF($A16="",0,SUMIFS(tblAuftraege[Einnahmen],tblAuftraege[Datum Einnahmen],"&gt;="&amp;AN$5,tblAuftraege[Datum Einnahmen],"&lt;"&amp;EDATE(AN$5,1),tblAuftraege[Auftrag],$A16))</f>
        <v>0</v>
      </c>
      <c r="AO16" s="11" t="n">
        <f aca="false">IF($A16="",0,SUMIFS(tblAuftraege[Einnahmen],tblAuftraege[Datum Einnahmen],"&gt;="&amp;AO$5,tblAuftraege[Datum Einnahmen],"&lt;"&amp;EDATE(AO$5,1),tblAuftraege[Auftrag],$A16))</f>
        <v>0</v>
      </c>
      <c r="AP16" s="11" t="n">
        <f aca="false">IF($A16="",0,SUMIFS(tblAuftraege[Einnahmen],tblAuftraege[Datum Einnahmen],"&gt;="&amp;AP$5,tblAuftraege[Datum Einnahmen],"&lt;"&amp;EDATE(AP$5,1),tblAuftraege[Auftrag],$A16))</f>
        <v>0</v>
      </c>
      <c r="AQ16" s="11" t="n">
        <f aca="false">IF($A16="",0,SUMIFS(tblAuftraege[Einnahmen],tblAuftraege[Datum Einnahmen],"&gt;="&amp;AQ$5,tblAuftraege[Datum Einnahmen],"&lt;"&amp;EDATE(AQ$5,1),tblAuftraege[Auftrag],$A16))</f>
        <v>0</v>
      </c>
      <c r="AR16" s="11" t="n">
        <f aca="false">IF($A16="",0,SUMIFS(tblAuftraege[Einnahmen],tblAuftraege[Datum Einnahmen],"&gt;="&amp;AR$5,tblAuftraege[Datum Einnahmen],"&lt;"&amp;EDATE(AR$5,1),tblAuftraege[Auftrag],$A16))</f>
        <v>0</v>
      </c>
      <c r="AS16" s="11" t="n">
        <f aca="false">IF($A16="",0,SUMIFS(tblAuftraege[Einnahmen],tblAuftraege[Datum Einnahmen],"&gt;="&amp;AS$5,tblAuftraege[Datum Einnahmen],"&lt;"&amp;EDATE(AS$5,1),tblAuftraege[Auftrag],$A16))</f>
        <v>0</v>
      </c>
      <c r="AT16" s="11" t="n">
        <f aca="false">IF($A16="",0,SUMIFS(tblAuftraege[Einnahmen],tblAuftraege[Datum Einnahmen],"&gt;="&amp;AT$5,tblAuftraege[Datum Einnahmen],"&lt;"&amp;EDATE(AT$5,1),tblAuftraege[Auftrag],$A16))</f>
        <v>0</v>
      </c>
      <c r="AU16" s="11" t="n">
        <f aca="false">IF($A16="",0,SUMIFS(tblAuftraege[Einnahmen],tblAuftraege[Datum Einnahmen],"&gt;="&amp;AU$5,tblAuftraege[Datum Einnahmen],"&lt;"&amp;EDATE(AU$5,1),tblAuftraege[Auftrag],$A16))</f>
        <v>0</v>
      </c>
      <c r="AV16" s="11" t="n">
        <f aca="false">IF($A16="",0,SUMIFS(tblAuftraege[Einnahmen],tblAuftraege[Datum Einnahmen],"&gt;="&amp;AV$5,tblAuftraege[Datum Einnahmen],"&lt;"&amp;EDATE(AV$5,1),tblAuftraege[Auftrag],$A16))</f>
        <v>0</v>
      </c>
      <c r="AW16" s="11" t="n">
        <f aca="false">IF($A16="",0,SUMIFS(tblAuftraege[Einnahmen],tblAuftraege[Datum Einnahmen],"&gt;="&amp;AW$5,tblAuftraege[Datum Einnahmen],"&lt;"&amp;EDATE(AW$5,1),tblAuftraege[Auftrag],$A16))</f>
        <v>0</v>
      </c>
      <c r="AX16" s="11" t="n">
        <f aca="false">IF($A16="",0,SUMIFS(tblAuftraege[Einnahmen],tblAuftraege[Datum Einnahmen],"&gt;="&amp;AX$5,tblAuftraege[Datum Einnahmen],"&lt;"&amp;EDATE(AX$5,1),tblAuftraege[Auftrag],$A16))</f>
        <v>0</v>
      </c>
      <c r="AY16" s="11" t="n">
        <f aca="false">IF($A16="",0,SUMIFS(tblAuftraege[Einnahmen],tblAuftraege[Datum Einnahmen],"&gt;="&amp;AY$5,tblAuftraege[Datum Einnahmen],"&lt;"&amp;EDATE(AY$5,1),tblAuftraege[Auftrag],$A16))</f>
        <v>0</v>
      </c>
      <c r="AZ16" s="11" t="n">
        <f aca="false">IF($A16="",0,SUMIFS(tblAuftraege[Einnahmen],tblAuftraege[Datum Einnahmen],"&gt;="&amp;AZ$5,tblAuftraege[Datum Einnahmen],"&lt;"&amp;EDATE(AZ$5,1),tblAuftraege[Auftrag],$A16))</f>
        <v>0</v>
      </c>
      <c r="BA16" s="11" t="n">
        <f aca="false">IF($A16="",0,SUMIFS(tblAuftraege[Einnahmen],tblAuftraege[Datum Einnahmen],"&gt;="&amp;BA$5,tblAuftraege[Datum Einnahmen],"&lt;"&amp;EDATE(BA$5,1),tblAuftraege[Auftrag],$A16))</f>
        <v>0</v>
      </c>
      <c r="BB16" s="11" t="n">
        <f aca="false">IF($A16="",0,SUMIFS(tblAuftraege[Einnahmen],tblAuftraege[Datum Einnahmen],"&gt;="&amp;BB$5,tblAuftraege[Datum Einnahmen],"&lt;"&amp;EDATE(BB$5,1),tblAuftraege[Auftrag],$A16))</f>
        <v>0</v>
      </c>
      <c r="BC16" s="11" t="n">
        <f aca="false">IF($A16="",0,SUMIFS(tblAuftraege[Einnahmen],tblAuftraege[Datum Einnahmen],"&gt;="&amp;BC$5,tblAuftraege[Datum Einnahmen],"&lt;"&amp;EDATE(BC$5,1),tblAuftraege[Auftrag],$A16))</f>
        <v>0</v>
      </c>
      <c r="BD16" s="11" t="n">
        <f aca="false">IF($A16="",0,SUMIFS(tblAuftraege[Einnahmen],tblAuftraege[Datum Einnahmen],"&gt;="&amp;BD$5,tblAuftraege[Datum Einnahmen],"&lt;"&amp;EDATE(BD$5,1),tblAuftraege[Auftrag],$A16))</f>
        <v>0</v>
      </c>
      <c r="BE16" s="11" t="n">
        <f aca="false">IF($A16="",0,SUMIFS(tblAuftraege[Einnahmen],tblAuftraege[Datum Einnahmen],"&gt;="&amp;BE$5,tblAuftraege[Datum Einnahmen],"&lt;"&amp;EDATE(BE$5,1),tblAuftraege[Auftrag],$A16))</f>
        <v>0</v>
      </c>
      <c r="BF16" s="11" t="n">
        <f aca="false">IF($A16="",0,SUMIFS(tblAuftraege[Einnahmen],tblAuftraege[Datum Einnahmen],"&gt;="&amp;BF$5,tblAuftraege[Datum Einnahmen],"&lt;"&amp;EDATE(BF$5,1),tblAuftraege[Auftrag],$A16))</f>
        <v>0</v>
      </c>
      <c r="BG16" s="11" t="n">
        <f aca="false">SUM(E16:J16)</f>
        <v>0</v>
      </c>
      <c r="BH16" s="11" t="n">
        <f aca="false">SUM(K16:V16)</f>
        <v>0</v>
      </c>
      <c r="BI16" s="11" t="n">
        <f aca="false">SUM(W16:AH16)</f>
        <v>0</v>
      </c>
      <c r="BJ16" s="11" t="n">
        <f aca="false">SUM(AI16:AT16)</f>
        <v>0</v>
      </c>
      <c r="BK16" s="11" t="n">
        <f aca="false">SUM(AU16:BF16)</f>
        <v>0</v>
      </c>
      <c r="BL16" s="12" t="n">
        <f aca="false">SUM(E16:BF16)</f>
        <v>0</v>
      </c>
    </row>
    <row r="17" customFormat="false" ht="15" hidden="false" customHeight="false" outlineLevel="0" collapsed="false">
      <c r="A17" s="9"/>
      <c r="B17" s="10" t="str">
        <f aca="false">IF($A17="","",IFERROR(INDEX(tblAuftraege[Kostenstelle],MATCH($A17,tblAuftraege[Auftrag],0)),""))</f>
        <v/>
      </c>
      <c r="C17" s="10" t="str">
        <f aca="false">IF($A17="","",IFERROR(INDEX(tblAuftraege[Themenfeld],MATCH($A17,tblAuftraege[Auftrag],0)),""))</f>
        <v/>
      </c>
      <c r="D17" s="10" t="str">
        <f aca="false">IF($A17="","",IFERROR(INDEX(tblAuftraege[Kategorie],MATCH($A17,tblAuftraege[Auftrag],0)),""))</f>
        <v/>
      </c>
      <c r="E17" s="11" t="n">
        <f aca="false">IF($A17="",0,SUMIFS(tblAuftraege[Einnahmen],tblAuftraege[Datum Einnahmen],"&gt;="&amp;E$5,tblAuftraege[Datum Einnahmen],"&lt;"&amp;EDATE(E$5,1),tblAuftraege[Auftrag],$A17))</f>
        <v>0</v>
      </c>
      <c r="F17" s="11" t="n">
        <f aca="false">IF($A17="",0,SUMIFS(tblAuftraege[Einnahmen],tblAuftraege[Datum Einnahmen],"&gt;="&amp;F$5,tblAuftraege[Datum Einnahmen],"&lt;"&amp;EDATE(F$5,1),tblAuftraege[Auftrag],$A17))</f>
        <v>0</v>
      </c>
      <c r="G17" s="11" t="n">
        <f aca="false">IF($A17="",0,SUMIFS(tblAuftraege[Einnahmen],tblAuftraege[Datum Einnahmen],"&gt;="&amp;G$5,tblAuftraege[Datum Einnahmen],"&lt;"&amp;EDATE(G$5,1),tblAuftraege[Auftrag],$A17))</f>
        <v>0</v>
      </c>
      <c r="H17" s="11" t="n">
        <f aca="false">IF($A17="",0,SUMIFS(tblAuftraege[Einnahmen],tblAuftraege[Datum Einnahmen],"&gt;="&amp;H$5,tblAuftraege[Datum Einnahmen],"&lt;"&amp;EDATE(H$5,1),tblAuftraege[Auftrag],$A17))</f>
        <v>0</v>
      </c>
      <c r="I17" s="11" t="n">
        <f aca="false">IF($A17="",0,SUMIFS(tblAuftraege[Einnahmen],tblAuftraege[Datum Einnahmen],"&gt;="&amp;I$5,tblAuftraege[Datum Einnahmen],"&lt;"&amp;EDATE(I$5,1),tblAuftraege[Auftrag],$A17))</f>
        <v>0</v>
      </c>
      <c r="J17" s="11" t="n">
        <f aca="false">IF($A17="",0,SUMIFS(tblAuftraege[Einnahmen],tblAuftraege[Datum Einnahmen],"&gt;="&amp;J$5,tblAuftraege[Datum Einnahmen],"&lt;"&amp;EDATE(J$5,1),tblAuftraege[Auftrag],$A17))</f>
        <v>0</v>
      </c>
      <c r="K17" s="11" t="n">
        <f aca="false">IF($A17="",0,SUMIFS(tblAuftraege[Einnahmen],tblAuftraege[Datum Einnahmen],"&gt;="&amp;K$5,tblAuftraege[Datum Einnahmen],"&lt;"&amp;EDATE(K$5,1),tblAuftraege[Auftrag],$A17))</f>
        <v>0</v>
      </c>
      <c r="L17" s="11" t="n">
        <f aca="false">IF($A17="",0,SUMIFS(tblAuftraege[Einnahmen],tblAuftraege[Datum Einnahmen],"&gt;="&amp;L$5,tblAuftraege[Datum Einnahmen],"&lt;"&amp;EDATE(L$5,1),tblAuftraege[Auftrag],$A17))</f>
        <v>0</v>
      </c>
      <c r="M17" s="11" t="n">
        <f aca="false">IF($A17="",0,SUMIFS(tblAuftraege[Einnahmen],tblAuftraege[Datum Einnahmen],"&gt;="&amp;M$5,tblAuftraege[Datum Einnahmen],"&lt;"&amp;EDATE(M$5,1),tblAuftraege[Auftrag],$A17))</f>
        <v>0</v>
      </c>
      <c r="N17" s="11" t="n">
        <f aca="false">IF($A17="",0,SUMIFS(tblAuftraege[Einnahmen],tblAuftraege[Datum Einnahmen],"&gt;="&amp;N$5,tblAuftraege[Datum Einnahmen],"&lt;"&amp;EDATE(N$5,1),tblAuftraege[Auftrag],$A17))</f>
        <v>0</v>
      </c>
      <c r="O17" s="11" t="n">
        <f aca="false">IF($A17="",0,SUMIFS(tblAuftraege[Einnahmen],tblAuftraege[Datum Einnahmen],"&gt;="&amp;O$5,tblAuftraege[Datum Einnahmen],"&lt;"&amp;EDATE(O$5,1),tblAuftraege[Auftrag],$A17))</f>
        <v>0</v>
      </c>
      <c r="P17" s="11" t="n">
        <f aca="false">IF($A17="",0,SUMIFS(tblAuftraege[Einnahmen],tblAuftraege[Datum Einnahmen],"&gt;="&amp;P$5,tblAuftraege[Datum Einnahmen],"&lt;"&amp;EDATE(P$5,1),tblAuftraege[Auftrag],$A17))</f>
        <v>0</v>
      </c>
      <c r="Q17" s="11" t="n">
        <f aca="false">IF($A17="",0,SUMIFS(tblAuftraege[Einnahmen],tblAuftraege[Datum Einnahmen],"&gt;="&amp;Q$5,tblAuftraege[Datum Einnahmen],"&lt;"&amp;EDATE(Q$5,1),tblAuftraege[Auftrag],$A17))</f>
        <v>0</v>
      </c>
      <c r="R17" s="11" t="n">
        <f aca="false">IF($A17="",0,SUMIFS(tblAuftraege[Einnahmen],tblAuftraege[Datum Einnahmen],"&gt;="&amp;R$5,tblAuftraege[Datum Einnahmen],"&lt;"&amp;EDATE(R$5,1),tblAuftraege[Auftrag],$A17))</f>
        <v>0</v>
      </c>
      <c r="S17" s="11" t="n">
        <f aca="false">IF($A17="",0,SUMIFS(tblAuftraege[Einnahmen],tblAuftraege[Datum Einnahmen],"&gt;="&amp;S$5,tblAuftraege[Datum Einnahmen],"&lt;"&amp;EDATE(S$5,1),tblAuftraege[Auftrag],$A17))</f>
        <v>0</v>
      </c>
      <c r="T17" s="11" t="n">
        <f aca="false">IF($A17="",0,SUMIFS(tblAuftraege[Einnahmen],tblAuftraege[Datum Einnahmen],"&gt;="&amp;T$5,tblAuftraege[Datum Einnahmen],"&lt;"&amp;EDATE(T$5,1),tblAuftraege[Auftrag],$A17))</f>
        <v>0</v>
      </c>
      <c r="U17" s="11" t="n">
        <f aca="false">IF($A17="",0,SUMIFS(tblAuftraege[Einnahmen],tblAuftraege[Datum Einnahmen],"&gt;="&amp;U$5,tblAuftraege[Datum Einnahmen],"&lt;"&amp;EDATE(U$5,1),tblAuftraege[Auftrag],$A17))</f>
        <v>0</v>
      </c>
      <c r="V17" s="11" t="n">
        <f aca="false">IF($A17="",0,SUMIFS(tblAuftraege[Einnahmen],tblAuftraege[Datum Einnahmen],"&gt;="&amp;V$5,tblAuftraege[Datum Einnahmen],"&lt;"&amp;EDATE(V$5,1),tblAuftraege[Auftrag],$A17))</f>
        <v>0</v>
      </c>
      <c r="W17" s="11" t="n">
        <f aca="false">IF($A17="",0,SUMIFS(tblAuftraege[Einnahmen],tblAuftraege[Datum Einnahmen],"&gt;="&amp;W$5,tblAuftraege[Datum Einnahmen],"&lt;"&amp;EDATE(W$5,1),tblAuftraege[Auftrag],$A17))</f>
        <v>0</v>
      </c>
      <c r="X17" s="11" t="n">
        <f aca="false">IF($A17="",0,SUMIFS(tblAuftraege[Einnahmen],tblAuftraege[Datum Einnahmen],"&gt;="&amp;X$5,tblAuftraege[Datum Einnahmen],"&lt;"&amp;EDATE(X$5,1),tblAuftraege[Auftrag],$A17))</f>
        <v>0</v>
      </c>
      <c r="Y17" s="11" t="n">
        <f aca="false">IF($A17="",0,SUMIFS(tblAuftraege[Einnahmen],tblAuftraege[Datum Einnahmen],"&gt;="&amp;Y$5,tblAuftraege[Datum Einnahmen],"&lt;"&amp;EDATE(Y$5,1),tblAuftraege[Auftrag],$A17))</f>
        <v>0</v>
      </c>
      <c r="Z17" s="11" t="n">
        <f aca="false">IF($A17="",0,SUMIFS(tblAuftraege[Einnahmen],tblAuftraege[Datum Einnahmen],"&gt;="&amp;Z$5,tblAuftraege[Datum Einnahmen],"&lt;"&amp;EDATE(Z$5,1),tblAuftraege[Auftrag],$A17))</f>
        <v>0</v>
      </c>
      <c r="AA17" s="11" t="n">
        <f aca="false">IF($A17="",0,SUMIFS(tblAuftraege[Einnahmen],tblAuftraege[Datum Einnahmen],"&gt;="&amp;AA$5,tblAuftraege[Datum Einnahmen],"&lt;"&amp;EDATE(AA$5,1),tblAuftraege[Auftrag],$A17))</f>
        <v>0</v>
      </c>
      <c r="AB17" s="11" t="n">
        <f aca="false">IF($A17="",0,SUMIFS(tblAuftraege[Einnahmen],tblAuftraege[Datum Einnahmen],"&gt;="&amp;AB$5,tblAuftraege[Datum Einnahmen],"&lt;"&amp;EDATE(AB$5,1),tblAuftraege[Auftrag],$A17))</f>
        <v>0</v>
      </c>
      <c r="AC17" s="11" t="n">
        <f aca="false">IF($A17="",0,SUMIFS(tblAuftraege[Einnahmen],tblAuftraege[Datum Einnahmen],"&gt;="&amp;AC$5,tblAuftraege[Datum Einnahmen],"&lt;"&amp;EDATE(AC$5,1),tblAuftraege[Auftrag],$A17))</f>
        <v>0</v>
      </c>
      <c r="AD17" s="11" t="n">
        <f aca="false">IF($A17="",0,SUMIFS(tblAuftraege[Einnahmen],tblAuftraege[Datum Einnahmen],"&gt;="&amp;AD$5,tblAuftraege[Datum Einnahmen],"&lt;"&amp;EDATE(AD$5,1),tblAuftraege[Auftrag],$A17))</f>
        <v>0</v>
      </c>
      <c r="AE17" s="11" t="n">
        <f aca="false">IF($A17="",0,SUMIFS(tblAuftraege[Einnahmen],tblAuftraege[Datum Einnahmen],"&gt;="&amp;AE$5,tblAuftraege[Datum Einnahmen],"&lt;"&amp;EDATE(AE$5,1),tblAuftraege[Auftrag],$A17))</f>
        <v>0</v>
      </c>
      <c r="AF17" s="11" t="n">
        <f aca="false">IF($A17="",0,SUMIFS(tblAuftraege[Einnahmen],tblAuftraege[Datum Einnahmen],"&gt;="&amp;AF$5,tblAuftraege[Datum Einnahmen],"&lt;"&amp;EDATE(AF$5,1),tblAuftraege[Auftrag],$A17))</f>
        <v>0</v>
      </c>
      <c r="AG17" s="11" t="n">
        <f aca="false">IF($A17="",0,SUMIFS(tblAuftraege[Einnahmen],tblAuftraege[Datum Einnahmen],"&gt;="&amp;AG$5,tblAuftraege[Datum Einnahmen],"&lt;"&amp;EDATE(AG$5,1),tblAuftraege[Auftrag],$A17))</f>
        <v>0</v>
      </c>
      <c r="AH17" s="11" t="n">
        <f aca="false">IF($A17="",0,SUMIFS(tblAuftraege[Einnahmen],tblAuftraege[Datum Einnahmen],"&gt;="&amp;AH$5,tblAuftraege[Datum Einnahmen],"&lt;"&amp;EDATE(AH$5,1),tblAuftraege[Auftrag],$A17))</f>
        <v>0</v>
      </c>
      <c r="AI17" s="11" t="n">
        <f aca="false">IF($A17="",0,SUMIFS(tblAuftraege[Einnahmen],tblAuftraege[Datum Einnahmen],"&gt;="&amp;AI$5,tblAuftraege[Datum Einnahmen],"&lt;"&amp;EDATE(AI$5,1),tblAuftraege[Auftrag],$A17))</f>
        <v>0</v>
      </c>
      <c r="AJ17" s="11" t="n">
        <f aca="false">IF($A17="",0,SUMIFS(tblAuftraege[Einnahmen],tblAuftraege[Datum Einnahmen],"&gt;="&amp;AJ$5,tblAuftraege[Datum Einnahmen],"&lt;"&amp;EDATE(AJ$5,1),tblAuftraege[Auftrag],$A17))</f>
        <v>0</v>
      </c>
      <c r="AK17" s="11" t="n">
        <f aca="false">IF($A17="",0,SUMIFS(tblAuftraege[Einnahmen],tblAuftraege[Datum Einnahmen],"&gt;="&amp;AK$5,tblAuftraege[Datum Einnahmen],"&lt;"&amp;EDATE(AK$5,1),tblAuftraege[Auftrag],$A17))</f>
        <v>0</v>
      </c>
      <c r="AL17" s="11" t="n">
        <f aca="false">IF($A17="",0,SUMIFS(tblAuftraege[Einnahmen],tblAuftraege[Datum Einnahmen],"&gt;="&amp;AL$5,tblAuftraege[Datum Einnahmen],"&lt;"&amp;EDATE(AL$5,1),tblAuftraege[Auftrag],$A17))</f>
        <v>0</v>
      </c>
      <c r="AM17" s="11" t="n">
        <f aca="false">IF($A17="",0,SUMIFS(tblAuftraege[Einnahmen],tblAuftraege[Datum Einnahmen],"&gt;="&amp;AM$5,tblAuftraege[Datum Einnahmen],"&lt;"&amp;EDATE(AM$5,1),tblAuftraege[Auftrag],$A17))</f>
        <v>0</v>
      </c>
      <c r="AN17" s="11" t="n">
        <f aca="false">IF($A17="",0,SUMIFS(tblAuftraege[Einnahmen],tblAuftraege[Datum Einnahmen],"&gt;="&amp;AN$5,tblAuftraege[Datum Einnahmen],"&lt;"&amp;EDATE(AN$5,1),tblAuftraege[Auftrag],$A17))</f>
        <v>0</v>
      </c>
      <c r="AO17" s="11" t="n">
        <f aca="false">IF($A17="",0,SUMIFS(tblAuftraege[Einnahmen],tblAuftraege[Datum Einnahmen],"&gt;="&amp;AO$5,tblAuftraege[Datum Einnahmen],"&lt;"&amp;EDATE(AO$5,1),tblAuftraege[Auftrag],$A17))</f>
        <v>0</v>
      </c>
      <c r="AP17" s="11" t="n">
        <f aca="false">IF($A17="",0,SUMIFS(tblAuftraege[Einnahmen],tblAuftraege[Datum Einnahmen],"&gt;="&amp;AP$5,tblAuftraege[Datum Einnahmen],"&lt;"&amp;EDATE(AP$5,1),tblAuftraege[Auftrag],$A17))</f>
        <v>0</v>
      </c>
      <c r="AQ17" s="11" t="n">
        <f aca="false">IF($A17="",0,SUMIFS(tblAuftraege[Einnahmen],tblAuftraege[Datum Einnahmen],"&gt;="&amp;AQ$5,tblAuftraege[Datum Einnahmen],"&lt;"&amp;EDATE(AQ$5,1),tblAuftraege[Auftrag],$A17))</f>
        <v>0</v>
      </c>
      <c r="AR17" s="11" t="n">
        <f aca="false">IF($A17="",0,SUMIFS(tblAuftraege[Einnahmen],tblAuftraege[Datum Einnahmen],"&gt;="&amp;AR$5,tblAuftraege[Datum Einnahmen],"&lt;"&amp;EDATE(AR$5,1),tblAuftraege[Auftrag],$A17))</f>
        <v>0</v>
      </c>
      <c r="AS17" s="11" t="n">
        <f aca="false">IF($A17="",0,SUMIFS(tblAuftraege[Einnahmen],tblAuftraege[Datum Einnahmen],"&gt;="&amp;AS$5,tblAuftraege[Datum Einnahmen],"&lt;"&amp;EDATE(AS$5,1),tblAuftraege[Auftrag],$A17))</f>
        <v>0</v>
      </c>
      <c r="AT17" s="11" t="n">
        <f aca="false">IF($A17="",0,SUMIFS(tblAuftraege[Einnahmen],tblAuftraege[Datum Einnahmen],"&gt;="&amp;AT$5,tblAuftraege[Datum Einnahmen],"&lt;"&amp;EDATE(AT$5,1),tblAuftraege[Auftrag],$A17))</f>
        <v>0</v>
      </c>
      <c r="AU17" s="11" t="n">
        <f aca="false">IF($A17="",0,SUMIFS(tblAuftraege[Einnahmen],tblAuftraege[Datum Einnahmen],"&gt;="&amp;AU$5,tblAuftraege[Datum Einnahmen],"&lt;"&amp;EDATE(AU$5,1),tblAuftraege[Auftrag],$A17))</f>
        <v>0</v>
      </c>
      <c r="AV17" s="11" t="n">
        <f aca="false">IF($A17="",0,SUMIFS(tblAuftraege[Einnahmen],tblAuftraege[Datum Einnahmen],"&gt;="&amp;AV$5,tblAuftraege[Datum Einnahmen],"&lt;"&amp;EDATE(AV$5,1),tblAuftraege[Auftrag],$A17))</f>
        <v>0</v>
      </c>
      <c r="AW17" s="11" t="n">
        <f aca="false">IF($A17="",0,SUMIFS(tblAuftraege[Einnahmen],tblAuftraege[Datum Einnahmen],"&gt;="&amp;AW$5,tblAuftraege[Datum Einnahmen],"&lt;"&amp;EDATE(AW$5,1),tblAuftraege[Auftrag],$A17))</f>
        <v>0</v>
      </c>
      <c r="AX17" s="11" t="n">
        <f aca="false">IF($A17="",0,SUMIFS(tblAuftraege[Einnahmen],tblAuftraege[Datum Einnahmen],"&gt;="&amp;AX$5,tblAuftraege[Datum Einnahmen],"&lt;"&amp;EDATE(AX$5,1),tblAuftraege[Auftrag],$A17))</f>
        <v>0</v>
      </c>
      <c r="AY17" s="11" t="n">
        <f aca="false">IF($A17="",0,SUMIFS(tblAuftraege[Einnahmen],tblAuftraege[Datum Einnahmen],"&gt;="&amp;AY$5,tblAuftraege[Datum Einnahmen],"&lt;"&amp;EDATE(AY$5,1),tblAuftraege[Auftrag],$A17))</f>
        <v>0</v>
      </c>
      <c r="AZ17" s="11" t="n">
        <f aca="false">IF($A17="",0,SUMIFS(tblAuftraege[Einnahmen],tblAuftraege[Datum Einnahmen],"&gt;="&amp;AZ$5,tblAuftraege[Datum Einnahmen],"&lt;"&amp;EDATE(AZ$5,1),tblAuftraege[Auftrag],$A17))</f>
        <v>0</v>
      </c>
      <c r="BA17" s="11" t="n">
        <f aca="false">IF($A17="",0,SUMIFS(tblAuftraege[Einnahmen],tblAuftraege[Datum Einnahmen],"&gt;="&amp;BA$5,tblAuftraege[Datum Einnahmen],"&lt;"&amp;EDATE(BA$5,1),tblAuftraege[Auftrag],$A17))</f>
        <v>0</v>
      </c>
      <c r="BB17" s="11" t="n">
        <f aca="false">IF($A17="",0,SUMIFS(tblAuftraege[Einnahmen],tblAuftraege[Datum Einnahmen],"&gt;="&amp;BB$5,tblAuftraege[Datum Einnahmen],"&lt;"&amp;EDATE(BB$5,1),tblAuftraege[Auftrag],$A17))</f>
        <v>0</v>
      </c>
      <c r="BC17" s="11" t="n">
        <f aca="false">IF($A17="",0,SUMIFS(tblAuftraege[Einnahmen],tblAuftraege[Datum Einnahmen],"&gt;="&amp;BC$5,tblAuftraege[Datum Einnahmen],"&lt;"&amp;EDATE(BC$5,1),tblAuftraege[Auftrag],$A17))</f>
        <v>0</v>
      </c>
      <c r="BD17" s="11" t="n">
        <f aca="false">IF($A17="",0,SUMIFS(tblAuftraege[Einnahmen],tblAuftraege[Datum Einnahmen],"&gt;="&amp;BD$5,tblAuftraege[Datum Einnahmen],"&lt;"&amp;EDATE(BD$5,1),tblAuftraege[Auftrag],$A17))</f>
        <v>0</v>
      </c>
      <c r="BE17" s="11" t="n">
        <f aca="false">IF($A17="",0,SUMIFS(tblAuftraege[Einnahmen],tblAuftraege[Datum Einnahmen],"&gt;="&amp;BE$5,tblAuftraege[Datum Einnahmen],"&lt;"&amp;EDATE(BE$5,1),tblAuftraege[Auftrag],$A17))</f>
        <v>0</v>
      </c>
      <c r="BF17" s="11" t="n">
        <f aca="false">IF($A17="",0,SUMIFS(tblAuftraege[Einnahmen],tblAuftraege[Datum Einnahmen],"&gt;="&amp;BF$5,tblAuftraege[Datum Einnahmen],"&lt;"&amp;EDATE(BF$5,1),tblAuftraege[Auftrag],$A17))</f>
        <v>0</v>
      </c>
      <c r="BG17" s="11" t="n">
        <f aca="false">SUM(E17:J17)</f>
        <v>0</v>
      </c>
      <c r="BH17" s="11" t="n">
        <f aca="false">SUM(K17:V17)</f>
        <v>0</v>
      </c>
      <c r="BI17" s="11" t="n">
        <f aca="false">SUM(W17:AH17)</f>
        <v>0</v>
      </c>
      <c r="BJ17" s="11" t="n">
        <f aca="false">SUM(AI17:AT17)</f>
        <v>0</v>
      </c>
      <c r="BK17" s="11" t="n">
        <f aca="false">SUM(AU17:BF17)</f>
        <v>0</v>
      </c>
      <c r="BL17" s="12" t="n">
        <f aca="false">SUM(E17:BF17)</f>
        <v>0</v>
      </c>
    </row>
    <row r="18" customFormat="false" ht="15" hidden="false" customHeight="false" outlineLevel="0" collapsed="false">
      <c r="A18" s="9"/>
      <c r="B18" s="10" t="str">
        <f aca="false">IF($A18="","",IFERROR(INDEX(tblAuftraege[Kostenstelle],MATCH($A18,tblAuftraege[Auftrag],0)),""))</f>
        <v/>
      </c>
      <c r="C18" s="10" t="str">
        <f aca="false">IF($A18="","",IFERROR(INDEX(tblAuftraege[Themenfeld],MATCH($A18,tblAuftraege[Auftrag],0)),""))</f>
        <v/>
      </c>
      <c r="D18" s="10" t="str">
        <f aca="false">IF($A18="","",IFERROR(INDEX(tblAuftraege[Kategorie],MATCH($A18,tblAuftraege[Auftrag],0)),""))</f>
        <v/>
      </c>
      <c r="E18" s="11" t="n">
        <f aca="false">IF($A18="",0,SUMIFS(tblAuftraege[Einnahmen],tblAuftraege[Datum Einnahmen],"&gt;="&amp;E$5,tblAuftraege[Datum Einnahmen],"&lt;"&amp;EDATE(E$5,1),tblAuftraege[Auftrag],$A18))</f>
        <v>0</v>
      </c>
      <c r="F18" s="11" t="n">
        <f aca="false">IF($A18="",0,SUMIFS(tblAuftraege[Einnahmen],tblAuftraege[Datum Einnahmen],"&gt;="&amp;F$5,tblAuftraege[Datum Einnahmen],"&lt;"&amp;EDATE(F$5,1),tblAuftraege[Auftrag],$A18))</f>
        <v>0</v>
      </c>
      <c r="G18" s="11" t="n">
        <f aca="false">IF($A18="",0,SUMIFS(tblAuftraege[Einnahmen],tblAuftraege[Datum Einnahmen],"&gt;="&amp;G$5,tblAuftraege[Datum Einnahmen],"&lt;"&amp;EDATE(G$5,1),tblAuftraege[Auftrag],$A18))</f>
        <v>0</v>
      </c>
      <c r="H18" s="11" t="n">
        <f aca="false">IF($A18="",0,SUMIFS(tblAuftraege[Einnahmen],tblAuftraege[Datum Einnahmen],"&gt;="&amp;H$5,tblAuftraege[Datum Einnahmen],"&lt;"&amp;EDATE(H$5,1),tblAuftraege[Auftrag],$A18))</f>
        <v>0</v>
      </c>
      <c r="I18" s="11" t="n">
        <f aca="false">IF($A18="",0,SUMIFS(tblAuftraege[Einnahmen],tblAuftraege[Datum Einnahmen],"&gt;="&amp;I$5,tblAuftraege[Datum Einnahmen],"&lt;"&amp;EDATE(I$5,1),tblAuftraege[Auftrag],$A18))</f>
        <v>0</v>
      </c>
      <c r="J18" s="11" t="n">
        <f aca="false">IF($A18="",0,SUMIFS(tblAuftraege[Einnahmen],tblAuftraege[Datum Einnahmen],"&gt;="&amp;J$5,tblAuftraege[Datum Einnahmen],"&lt;"&amp;EDATE(J$5,1),tblAuftraege[Auftrag],$A18))</f>
        <v>0</v>
      </c>
      <c r="K18" s="11" t="n">
        <f aca="false">IF($A18="",0,SUMIFS(tblAuftraege[Einnahmen],tblAuftraege[Datum Einnahmen],"&gt;="&amp;K$5,tblAuftraege[Datum Einnahmen],"&lt;"&amp;EDATE(K$5,1),tblAuftraege[Auftrag],$A18))</f>
        <v>0</v>
      </c>
      <c r="L18" s="11" t="n">
        <f aca="false">IF($A18="",0,SUMIFS(tblAuftraege[Einnahmen],tblAuftraege[Datum Einnahmen],"&gt;="&amp;L$5,tblAuftraege[Datum Einnahmen],"&lt;"&amp;EDATE(L$5,1),tblAuftraege[Auftrag],$A18))</f>
        <v>0</v>
      </c>
      <c r="M18" s="11" t="n">
        <f aca="false">IF($A18="",0,SUMIFS(tblAuftraege[Einnahmen],tblAuftraege[Datum Einnahmen],"&gt;="&amp;M$5,tblAuftraege[Datum Einnahmen],"&lt;"&amp;EDATE(M$5,1),tblAuftraege[Auftrag],$A18))</f>
        <v>0</v>
      </c>
      <c r="N18" s="11" t="n">
        <f aca="false">IF($A18="",0,SUMIFS(tblAuftraege[Einnahmen],tblAuftraege[Datum Einnahmen],"&gt;="&amp;N$5,tblAuftraege[Datum Einnahmen],"&lt;"&amp;EDATE(N$5,1),tblAuftraege[Auftrag],$A18))</f>
        <v>0</v>
      </c>
      <c r="O18" s="11" t="n">
        <f aca="false">IF($A18="",0,SUMIFS(tblAuftraege[Einnahmen],tblAuftraege[Datum Einnahmen],"&gt;="&amp;O$5,tblAuftraege[Datum Einnahmen],"&lt;"&amp;EDATE(O$5,1),tblAuftraege[Auftrag],$A18))</f>
        <v>0</v>
      </c>
      <c r="P18" s="11" t="n">
        <f aca="false">IF($A18="",0,SUMIFS(tblAuftraege[Einnahmen],tblAuftraege[Datum Einnahmen],"&gt;="&amp;P$5,tblAuftraege[Datum Einnahmen],"&lt;"&amp;EDATE(P$5,1),tblAuftraege[Auftrag],$A18))</f>
        <v>0</v>
      </c>
      <c r="Q18" s="11" t="n">
        <f aca="false">IF($A18="",0,SUMIFS(tblAuftraege[Einnahmen],tblAuftraege[Datum Einnahmen],"&gt;="&amp;Q$5,tblAuftraege[Datum Einnahmen],"&lt;"&amp;EDATE(Q$5,1),tblAuftraege[Auftrag],$A18))</f>
        <v>0</v>
      </c>
      <c r="R18" s="11" t="n">
        <f aca="false">IF($A18="",0,SUMIFS(tblAuftraege[Einnahmen],tblAuftraege[Datum Einnahmen],"&gt;="&amp;R$5,tblAuftraege[Datum Einnahmen],"&lt;"&amp;EDATE(R$5,1),tblAuftraege[Auftrag],$A18))</f>
        <v>0</v>
      </c>
      <c r="S18" s="11" t="n">
        <f aca="false">IF($A18="",0,SUMIFS(tblAuftraege[Einnahmen],tblAuftraege[Datum Einnahmen],"&gt;="&amp;S$5,tblAuftraege[Datum Einnahmen],"&lt;"&amp;EDATE(S$5,1),tblAuftraege[Auftrag],$A18))</f>
        <v>0</v>
      </c>
      <c r="T18" s="11" t="n">
        <f aca="false">IF($A18="",0,SUMIFS(tblAuftraege[Einnahmen],tblAuftraege[Datum Einnahmen],"&gt;="&amp;T$5,tblAuftraege[Datum Einnahmen],"&lt;"&amp;EDATE(T$5,1),tblAuftraege[Auftrag],$A18))</f>
        <v>0</v>
      </c>
      <c r="U18" s="11" t="n">
        <f aca="false">IF($A18="",0,SUMIFS(tblAuftraege[Einnahmen],tblAuftraege[Datum Einnahmen],"&gt;="&amp;U$5,tblAuftraege[Datum Einnahmen],"&lt;"&amp;EDATE(U$5,1),tblAuftraege[Auftrag],$A18))</f>
        <v>0</v>
      </c>
      <c r="V18" s="11" t="n">
        <f aca="false">IF($A18="",0,SUMIFS(tblAuftraege[Einnahmen],tblAuftraege[Datum Einnahmen],"&gt;="&amp;V$5,tblAuftraege[Datum Einnahmen],"&lt;"&amp;EDATE(V$5,1),tblAuftraege[Auftrag],$A18))</f>
        <v>0</v>
      </c>
      <c r="W18" s="11" t="n">
        <f aca="false">IF($A18="",0,SUMIFS(tblAuftraege[Einnahmen],tblAuftraege[Datum Einnahmen],"&gt;="&amp;W$5,tblAuftraege[Datum Einnahmen],"&lt;"&amp;EDATE(W$5,1),tblAuftraege[Auftrag],$A18))</f>
        <v>0</v>
      </c>
      <c r="X18" s="11" t="n">
        <f aca="false">IF($A18="",0,SUMIFS(tblAuftraege[Einnahmen],tblAuftraege[Datum Einnahmen],"&gt;="&amp;X$5,tblAuftraege[Datum Einnahmen],"&lt;"&amp;EDATE(X$5,1),tblAuftraege[Auftrag],$A18))</f>
        <v>0</v>
      </c>
      <c r="Y18" s="11" t="n">
        <f aca="false">IF($A18="",0,SUMIFS(tblAuftraege[Einnahmen],tblAuftraege[Datum Einnahmen],"&gt;="&amp;Y$5,tblAuftraege[Datum Einnahmen],"&lt;"&amp;EDATE(Y$5,1),tblAuftraege[Auftrag],$A18))</f>
        <v>0</v>
      </c>
      <c r="Z18" s="11" t="n">
        <f aca="false">IF($A18="",0,SUMIFS(tblAuftraege[Einnahmen],tblAuftraege[Datum Einnahmen],"&gt;="&amp;Z$5,tblAuftraege[Datum Einnahmen],"&lt;"&amp;EDATE(Z$5,1),tblAuftraege[Auftrag],$A18))</f>
        <v>0</v>
      </c>
      <c r="AA18" s="11" t="n">
        <f aca="false">IF($A18="",0,SUMIFS(tblAuftraege[Einnahmen],tblAuftraege[Datum Einnahmen],"&gt;="&amp;AA$5,tblAuftraege[Datum Einnahmen],"&lt;"&amp;EDATE(AA$5,1),tblAuftraege[Auftrag],$A18))</f>
        <v>0</v>
      </c>
      <c r="AB18" s="11" t="n">
        <f aca="false">IF($A18="",0,SUMIFS(tblAuftraege[Einnahmen],tblAuftraege[Datum Einnahmen],"&gt;="&amp;AB$5,tblAuftraege[Datum Einnahmen],"&lt;"&amp;EDATE(AB$5,1),tblAuftraege[Auftrag],$A18))</f>
        <v>0</v>
      </c>
      <c r="AC18" s="11" t="n">
        <f aca="false">IF($A18="",0,SUMIFS(tblAuftraege[Einnahmen],tblAuftraege[Datum Einnahmen],"&gt;="&amp;AC$5,tblAuftraege[Datum Einnahmen],"&lt;"&amp;EDATE(AC$5,1),tblAuftraege[Auftrag],$A18))</f>
        <v>0</v>
      </c>
      <c r="AD18" s="11" t="n">
        <f aca="false">IF($A18="",0,SUMIFS(tblAuftraege[Einnahmen],tblAuftraege[Datum Einnahmen],"&gt;="&amp;AD$5,tblAuftraege[Datum Einnahmen],"&lt;"&amp;EDATE(AD$5,1),tblAuftraege[Auftrag],$A18))</f>
        <v>0</v>
      </c>
      <c r="AE18" s="11" t="n">
        <f aca="false">IF($A18="",0,SUMIFS(tblAuftraege[Einnahmen],tblAuftraege[Datum Einnahmen],"&gt;="&amp;AE$5,tblAuftraege[Datum Einnahmen],"&lt;"&amp;EDATE(AE$5,1),tblAuftraege[Auftrag],$A18))</f>
        <v>0</v>
      </c>
      <c r="AF18" s="11" t="n">
        <f aca="false">IF($A18="",0,SUMIFS(tblAuftraege[Einnahmen],tblAuftraege[Datum Einnahmen],"&gt;="&amp;AF$5,tblAuftraege[Datum Einnahmen],"&lt;"&amp;EDATE(AF$5,1),tblAuftraege[Auftrag],$A18))</f>
        <v>0</v>
      </c>
      <c r="AG18" s="11" t="n">
        <f aca="false">IF($A18="",0,SUMIFS(tblAuftraege[Einnahmen],tblAuftraege[Datum Einnahmen],"&gt;="&amp;AG$5,tblAuftraege[Datum Einnahmen],"&lt;"&amp;EDATE(AG$5,1),tblAuftraege[Auftrag],$A18))</f>
        <v>0</v>
      </c>
      <c r="AH18" s="11" t="n">
        <f aca="false">IF($A18="",0,SUMIFS(tblAuftraege[Einnahmen],tblAuftraege[Datum Einnahmen],"&gt;="&amp;AH$5,tblAuftraege[Datum Einnahmen],"&lt;"&amp;EDATE(AH$5,1),tblAuftraege[Auftrag],$A18))</f>
        <v>0</v>
      </c>
      <c r="AI18" s="11" t="n">
        <f aca="false">IF($A18="",0,SUMIFS(tblAuftraege[Einnahmen],tblAuftraege[Datum Einnahmen],"&gt;="&amp;AI$5,tblAuftraege[Datum Einnahmen],"&lt;"&amp;EDATE(AI$5,1),tblAuftraege[Auftrag],$A18))</f>
        <v>0</v>
      </c>
      <c r="AJ18" s="11" t="n">
        <f aca="false">IF($A18="",0,SUMIFS(tblAuftraege[Einnahmen],tblAuftraege[Datum Einnahmen],"&gt;="&amp;AJ$5,tblAuftraege[Datum Einnahmen],"&lt;"&amp;EDATE(AJ$5,1),tblAuftraege[Auftrag],$A18))</f>
        <v>0</v>
      </c>
      <c r="AK18" s="11" t="n">
        <f aca="false">IF($A18="",0,SUMIFS(tblAuftraege[Einnahmen],tblAuftraege[Datum Einnahmen],"&gt;="&amp;AK$5,tblAuftraege[Datum Einnahmen],"&lt;"&amp;EDATE(AK$5,1),tblAuftraege[Auftrag],$A18))</f>
        <v>0</v>
      </c>
      <c r="AL18" s="11" t="n">
        <f aca="false">IF($A18="",0,SUMIFS(tblAuftraege[Einnahmen],tblAuftraege[Datum Einnahmen],"&gt;="&amp;AL$5,tblAuftraege[Datum Einnahmen],"&lt;"&amp;EDATE(AL$5,1),tblAuftraege[Auftrag],$A18))</f>
        <v>0</v>
      </c>
      <c r="AM18" s="11" t="n">
        <f aca="false">IF($A18="",0,SUMIFS(tblAuftraege[Einnahmen],tblAuftraege[Datum Einnahmen],"&gt;="&amp;AM$5,tblAuftraege[Datum Einnahmen],"&lt;"&amp;EDATE(AM$5,1),tblAuftraege[Auftrag],$A18))</f>
        <v>0</v>
      </c>
      <c r="AN18" s="11" t="n">
        <f aca="false">IF($A18="",0,SUMIFS(tblAuftraege[Einnahmen],tblAuftraege[Datum Einnahmen],"&gt;="&amp;AN$5,tblAuftraege[Datum Einnahmen],"&lt;"&amp;EDATE(AN$5,1),tblAuftraege[Auftrag],$A18))</f>
        <v>0</v>
      </c>
      <c r="AO18" s="11" t="n">
        <f aca="false">IF($A18="",0,SUMIFS(tblAuftraege[Einnahmen],tblAuftraege[Datum Einnahmen],"&gt;="&amp;AO$5,tblAuftraege[Datum Einnahmen],"&lt;"&amp;EDATE(AO$5,1),tblAuftraege[Auftrag],$A18))</f>
        <v>0</v>
      </c>
      <c r="AP18" s="11" t="n">
        <f aca="false">IF($A18="",0,SUMIFS(tblAuftraege[Einnahmen],tblAuftraege[Datum Einnahmen],"&gt;="&amp;AP$5,tblAuftraege[Datum Einnahmen],"&lt;"&amp;EDATE(AP$5,1),tblAuftraege[Auftrag],$A18))</f>
        <v>0</v>
      </c>
      <c r="AQ18" s="11" t="n">
        <f aca="false">IF($A18="",0,SUMIFS(tblAuftraege[Einnahmen],tblAuftraege[Datum Einnahmen],"&gt;="&amp;AQ$5,tblAuftraege[Datum Einnahmen],"&lt;"&amp;EDATE(AQ$5,1),tblAuftraege[Auftrag],$A18))</f>
        <v>0</v>
      </c>
      <c r="AR18" s="11" t="n">
        <f aca="false">IF($A18="",0,SUMIFS(tblAuftraege[Einnahmen],tblAuftraege[Datum Einnahmen],"&gt;="&amp;AR$5,tblAuftraege[Datum Einnahmen],"&lt;"&amp;EDATE(AR$5,1),tblAuftraege[Auftrag],$A18))</f>
        <v>0</v>
      </c>
      <c r="AS18" s="11" t="n">
        <f aca="false">IF($A18="",0,SUMIFS(tblAuftraege[Einnahmen],tblAuftraege[Datum Einnahmen],"&gt;="&amp;AS$5,tblAuftraege[Datum Einnahmen],"&lt;"&amp;EDATE(AS$5,1),tblAuftraege[Auftrag],$A18))</f>
        <v>0</v>
      </c>
      <c r="AT18" s="11" t="n">
        <f aca="false">IF($A18="",0,SUMIFS(tblAuftraege[Einnahmen],tblAuftraege[Datum Einnahmen],"&gt;="&amp;AT$5,tblAuftraege[Datum Einnahmen],"&lt;"&amp;EDATE(AT$5,1),tblAuftraege[Auftrag],$A18))</f>
        <v>0</v>
      </c>
      <c r="AU18" s="11" t="n">
        <f aca="false">IF($A18="",0,SUMIFS(tblAuftraege[Einnahmen],tblAuftraege[Datum Einnahmen],"&gt;="&amp;AU$5,tblAuftraege[Datum Einnahmen],"&lt;"&amp;EDATE(AU$5,1),tblAuftraege[Auftrag],$A18))</f>
        <v>0</v>
      </c>
      <c r="AV18" s="11" t="n">
        <f aca="false">IF($A18="",0,SUMIFS(tblAuftraege[Einnahmen],tblAuftraege[Datum Einnahmen],"&gt;="&amp;AV$5,tblAuftraege[Datum Einnahmen],"&lt;"&amp;EDATE(AV$5,1),tblAuftraege[Auftrag],$A18))</f>
        <v>0</v>
      </c>
      <c r="AW18" s="11" t="n">
        <f aca="false">IF($A18="",0,SUMIFS(tblAuftraege[Einnahmen],tblAuftraege[Datum Einnahmen],"&gt;="&amp;AW$5,tblAuftraege[Datum Einnahmen],"&lt;"&amp;EDATE(AW$5,1),tblAuftraege[Auftrag],$A18))</f>
        <v>0</v>
      </c>
      <c r="AX18" s="11" t="n">
        <f aca="false">IF($A18="",0,SUMIFS(tblAuftraege[Einnahmen],tblAuftraege[Datum Einnahmen],"&gt;="&amp;AX$5,tblAuftraege[Datum Einnahmen],"&lt;"&amp;EDATE(AX$5,1),tblAuftraege[Auftrag],$A18))</f>
        <v>0</v>
      </c>
      <c r="AY18" s="11" t="n">
        <f aca="false">IF($A18="",0,SUMIFS(tblAuftraege[Einnahmen],tblAuftraege[Datum Einnahmen],"&gt;="&amp;AY$5,tblAuftraege[Datum Einnahmen],"&lt;"&amp;EDATE(AY$5,1),tblAuftraege[Auftrag],$A18))</f>
        <v>0</v>
      </c>
      <c r="AZ18" s="11" t="n">
        <f aca="false">IF($A18="",0,SUMIFS(tblAuftraege[Einnahmen],tblAuftraege[Datum Einnahmen],"&gt;="&amp;AZ$5,tblAuftraege[Datum Einnahmen],"&lt;"&amp;EDATE(AZ$5,1),tblAuftraege[Auftrag],$A18))</f>
        <v>0</v>
      </c>
      <c r="BA18" s="11" t="n">
        <f aca="false">IF($A18="",0,SUMIFS(tblAuftraege[Einnahmen],tblAuftraege[Datum Einnahmen],"&gt;="&amp;BA$5,tblAuftraege[Datum Einnahmen],"&lt;"&amp;EDATE(BA$5,1),tblAuftraege[Auftrag],$A18))</f>
        <v>0</v>
      </c>
      <c r="BB18" s="11" t="n">
        <f aca="false">IF($A18="",0,SUMIFS(tblAuftraege[Einnahmen],tblAuftraege[Datum Einnahmen],"&gt;="&amp;BB$5,tblAuftraege[Datum Einnahmen],"&lt;"&amp;EDATE(BB$5,1),tblAuftraege[Auftrag],$A18))</f>
        <v>0</v>
      </c>
      <c r="BC18" s="11" t="n">
        <f aca="false">IF($A18="",0,SUMIFS(tblAuftraege[Einnahmen],tblAuftraege[Datum Einnahmen],"&gt;="&amp;BC$5,tblAuftraege[Datum Einnahmen],"&lt;"&amp;EDATE(BC$5,1),tblAuftraege[Auftrag],$A18))</f>
        <v>0</v>
      </c>
      <c r="BD18" s="11" t="n">
        <f aca="false">IF($A18="",0,SUMIFS(tblAuftraege[Einnahmen],tblAuftraege[Datum Einnahmen],"&gt;="&amp;BD$5,tblAuftraege[Datum Einnahmen],"&lt;"&amp;EDATE(BD$5,1),tblAuftraege[Auftrag],$A18))</f>
        <v>0</v>
      </c>
      <c r="BE18" s="11" t="n">
        <f aca="false">IF($A18="",0,SUMIFS(tblAuftraege[Einnahmen],tblAuftraege[Datum Einnahmen],"&gt;="&amp;BE$5,tblAuftraege[Datum Einnahmen],"&lt;"&amp;EDATE(BE$5,1),tblAuftraege[Auftrag],$A18))</f>
        <v>0</v>
      </c>
      <c r="BF18" s="11" t="n">
        <f aca="false">IF($A18="",0,SUMIFS(tblAuftraege[Einnahmen],tblAuftraege[Datum Einnahmen],"&gt;="&amp;BF$5,tblAuftraege[Datum Einnahmen],"&lt;"&amp;EDATE(BF$5,1),tblAuftraege[Auftrag],$A18))</f>
        <v>0</v>
      </c>
      <c r="BG18" s="11" t="n">
        <f aca="false">SUM(E18:J18)</f>
        <v>0</v>
      </c>
      <c r="BH18" s="11" t="n">
        <f aca="false">SUM(K18:V18)</f>
        <v>0</v>
      </c>
      <c r="BI18" s="11" t="n">
        <f aca="false">SUM(W18:AH18)</f>
        <v>0</v>
      </c>
      <c r="BJ18" s="11" t="n">
        <f aca="false">SUM(AI18:AT18)</f>
        <v>0</v>
      </c>
      <c r="BK18" s="11" t="n">
        <f aca="false">SUM(AU18:BF18)</f>
        <v>0</v>
      </c>
      <c r="BL18" s="12" t="n">
        <f aca="false">SUM(E18:BF18)</f>
        <v>0</v>
      </c>
    </row>
    <row r="19" customFormat="false" ht="15" hidden="false" customHeight="false" outlineLevel="0" collapsed="false">
      <c r="A19" s="9"/>
      <c r="B19" s="10" t="str">
        <f aca="false">IF($A19="","",IFERROR(INDEX(tblAuftraege[Kostenstelle],MATCH($A19,tblAuftraege[Auftrag],0)),""))</f>
        <v/>
      </c>
      <c r="C19" s="10" t="str">
        <f aca="false">IF($A19="","",IFERROR(INDEX(tblAuftraege[Themenfeld],MATCH($A19,tblAuftraege[Auftrag],0)),""))</f>
        <v/>
      </c>
      <c r="D19" s="10" t="str">
        <f aca="false">IF($A19="","",IFERROR(INDEX(tblAuftraege[Kategorie],MATCH($A19,tblAuftraege[Auftrag],0)),""))</f>
        <v/>
      </c>
      <c r="E19" s="11" t="n">
        <f aca="false">IF($A19="",0,SUMIFS(tblAuftraege[Einnahmen],tblAuftraege[Datum Einnahmen],"&gt;="&amp;E$5,tblAuftraege[Datum Einnahmen],"&lt;"&amp;EDATE(E$5,1),tblAuftraege[Auftrag],$A19))</f>
        <v>0</v>
      </c>
      <c r="F19" s="11" t="n">
        <f aca="false">IF($A19="",0,SUMIFS(tblAuftraege[Einnahmen],tblAuftraege[Datum Einnahmen],"&gt;="&amp;F$5,tblAuftraege[Datum Einnahmen],"&lt;"&amp;EDATE(F$5,1),tblAuftraege[Auftrag],$A19))</f>
        <v>0</v>
      </c>
      <c r="G19" s="11" t="n">
        <f aca="false">IF($A19="",0,SUMIFS(tblAuftraege[Einnahmen],tblAuftraege[Datum Einnahmen],"&gt;="&amp;G$5,tblAuftraege[Datum Einnahmen],"&lt;"&amp;EDATE(G$5,1),tblAuftraege[Auftrag],$A19))</f>
        <v>0</v>
      </c>
      <c r="H19" s="11" t="n">
        <f aca="false">IF($A19="",0,SUMIFS(tblAuftraege[Einnahmen],tblAuftraege[Datum Einnahmen],"&gt;="&amp;H$5,tblAuftraege[Datum Einnahmen],"&lt;"&amp;EDATE(H$5,1),tblAuftraege[Auftrag],$A19))</f>
        <v>0</v>
      </c>
      <c r="I19" s="11" t="n">
        <f aca="false">IF($A19="",0,SUMIFS(tblAuftraege[Einnahmen],tblAuftraege[Datum Einnahmen],"&gt;="&amp;I$5,tblAuftraege[Datum Einnahmen],"&lt;"&amp;EDATE(I$5,1),tblAuftraege[Auftrag],$A19))</f>
        <v>0</v>
      </c>
      <c r="J19" s="11" t="n">
        <f aca="false">IF($A19="",0,SUMIFS(tblAuftraege[Einnahmen],tblAuftraege[Datum Einnahmen],"&gt;="&amp;J$5,tblAuftraege[Datum Einnahmen],"&lt;"&amp;EDATE(J$5,1),tblAuftraege[Auftrag],$A19))</f>
        <v>0</v>
      </c>
      <c r="K19" s="11" t="n">
        <f aca="false">IF($A19="",0,SUMIFS(tblAuftraege[Einnahmen],tblAuftraege[Datum Einnahmen],"&gt;="&amp;K$5,tblAuftraege[Datum Einnahmen],"&lt;"&amp;EDATE(K$5,1),tblAuftraege[Auftrag],$A19))</f>
        <v>0</v>
      </c>
      <c r="L19" s="11" t="n">
        <f aca="false">IF($A19="",0,SUMIFS(tblAuftraege[Einnahmen],tblAuftraege[Datum Einnahmen],"&gt;="&amp;L$5,tblAuftraege[Datum Einnahmen],"&lt;"&amp;EDATE(L$5,1),tblAuftraege[Auftrag],$A19))</f>
        <v>0</v>
      </c>
      <c r="M19" s="11" t="n">
        <f aca="false">IF($A19="",0,SUMIFS(tblAuftraege[Einnahmen],tblAuftraege[Datum Einnahmen],"&gt;="&amp;M$5,tblAuftraege[Datum Einnahmen],"&lt;"&amp;EDATE(M$5,1),tblAuftraege[Auftrag],$A19))</f>
        <v>0</v>
      </c>
      <c r="N19" s="11" t="n">
        <f aca="false">IF($A19="",0,SUMIFS(tblAuftraege[Einnahmen],tblAuftraege[Datum Einnahmen],"&gt;="&amp;N$5,tblAuftraege[Datum Einnahmen],"&lt;"&amp;EDATE(N$5,1),tblAuftraege[Auftrag],$A19))</f>
        <v>0</v>
      </c>
      <c r="O19" s="11" t="n">
        <f aca="false">IF($A19="",0,SUMIFS(tblAuftraege[Einnahmen],tblAuftraege[Datum Einnahmen],"&gt;="&amp;O$5,tblAuftraege[Datum Einnahmen],"&lt;"&amp;EDATE(O$5,1),tblAuftraege[Auftrag],$A19))</f>
        <v>0</v>
      </c>
      <c r="P19" s="11" t="n">
        <f aca="false">IF($A19="",0,SUMIFS(tblAuftraege[Einnahmen],tblAuftraege[Datum Einnahmen],"&gt;="&amp;P$5,tblAuftraege[Datum Einnahmen],"&lt;"&amp;EDATE(P$5,1),tblAuftraege[Auftrag],$A19))</f>
        <v>0</v>
      </c>
      <c r="Q19" s="11" t="n">
        <f aca="false">IF($A19="",0,SUMIFS(tblAuftraege[Einnahmen],tblAuftraege[Datum Einnahmen],"&gt;="&amp;Q$5,tblAuftraege[Datum Einnahmen],"&lt;"&amp;EDATE(Q$5,1),tblAuftraege[Auftrag],$A19))</f>
        <v>0</v>
      </c>
      <c r="R19" s="11" t="n">
        <f aca="false">IF($A19="",0,SUMIFS(tblAuftraege[Einnahmen],tblAuftraege[Datum Einnahmen],"&gt;="&amp;R$5,tblAuftraege[Datum Einnahmen],"&lt;"&amp;EDATE(R$5,1),tblAuftraege[Auftrag],$A19))</f>
        <v>0</v>
      </c>
      <c r="S19" s="11" t="n">
        <f aca="false">IF($A19="",0,SUMIFS(tblAuftraege[Einnahmen],tblAuftraege[Datum Einnahmen],"&gt;="&amp;S$5,tblAuftraege[Datum Einnahmen],"&lt;"&amp;EDATE(S$5,1),tblAuftraege[Auftrag],$A19))</f>
        <v>0</v>
      </c>
      <c r="T19" s="11" t="n">
        <f aca="false">IF($A19="",0,SUMIFS(tblAuftraege[Einnahmen],tblAuftraege[Datum Einnahmen],"&gt;="&amp;T$5,tblAuftraege[Datum Einnahmen],"&lt;"&amp;EDATE(T$5,1),tblAuftraege[Auftrag],$A19))</f>
        <v>0</v>
      </c>
      <c r="U19" s="11" t="n">
        <f aca="false">IF($A19="",0,SUMIFS(tblAuftraege[Einnahmen],tblAuftraege[Datum Einnahmen],"&gt;="&amp;U$5,tblAuftraege[Datum Einnahmen],"&lt;"&amp;EDATE(U$5,1),tblAuftraege[Auftrag],$A19))</f>
        <v>0</v>
      </c>
      <c r="V19" s="11" t="n">
        <f aca="false">IF($A19="",0,SUMIFS(tblAuftraege[Einnahmen],tblAuftraege[Datum Einnahmen],"&gt;="&amp;V$5,tblAuftraege[Datum Einnahmen],"&lt;"&amp;EDATE(V$5,1),tblAuftraege[Auftrag],$A19))</f>
        <v>0</v>
      </c>
      <c r="W19" s="11" t="n">
        <f aca="false">IF($A19="",0,SUMIFS(tblAuftraege[Einnahmen],tblAuftraege[Datum Einnahmen],"&gt;="&amp;W$5,tblAuftraege[Datum Einnahmen],"&lt;"&amp;EDATE(W$5,1),tblAuftraege[Auftrag],$A19))</f>
        <v>0</v>
      </c>
      <c r="X19" s="11" t="n">
        <f aca="false">IF($A19="",0,SUMIFS(tblAuftraege[Einnahmen],tblAuftraege[Datum Einnahmen],"&gt;="&amp;X$5,tblAuftraege[Datum Einnahmen],"&lt;"&amp;EDATE(X$5,1),tblAuftraege[Auftrag],$A19))</f>
        <v>0</v>
      </c>
      <c r="Y19" s="11" t="n">
        <f aca="false">IF($A19="",0,SUMIFS(tblAuftraege[Einnahmen],tblAuftraege[Datum Einnahmen],"&gt;="&amp;Y$5,tblAuftraege[Datum Einnahmen],"&lt;"&amp;EDATE(Y$5,1),tblAuftraege[Auftrag],$A19))</f>
        <v>0</v>
      </c>
      <c r="Z19" s="11" t="n">
        <f aca="false">IF($A19="",0,SUMIFS(tblAuftraege[Einnahmen],tblAuftraege[Datum Einnahmen],"&gt;="&amp;Z$5,tblAuftraege[Datum Einnahmen],"&lt;"&amp;EDATE(Z$5,1),tblAuftraege[Auftrag],$A19))</f>
        <v>0</v>
      </c>
      <c r="AA19" s="11" t="n">
        <f aca="false">IF($A19="",0,SUMIFS(tblAuftraege[Einnahmen],tblAuftraege[Datum Einnahmen],"&gt;="&amp;AA$5,tblAuftraege[Datum Einnahmen],"&lt;"&amp;EDATE(AA$5,1),tblAuftraege[Auftrag],$A19))</f>
        <v>0</v>
      </c>
      <c r="AB19" s="11" t="n">
        <f aca="false">IF($A19="",0,SUMIFS(tblAuftraege[Einnahmen],tblAuftraege[Datum Einnahmen],"&gt;="&amp;AB$5,tblAuftraege[Datum Einnahmen],"&lt;"&amp;EDATE(AB$5,1),tblAuftraege[Auftrag],$A19))</f>
        <v>0</v>
      </c>
      <c r="AC19" s="11" t="n">
        <f aca="false">IF($A19="",0,SUMIFS(tblAuftraege[Einnahmen],tblAuftraege[Datum Einnahmen],"&gt;="&amp;AC$5,tblAuftraege[Datum Einnahmen],"&lt;"&amp;EDATE(AC$5,1),tblAuftraege[Auftrag],$A19))</f>
        <v>0</v>
      </c>
      <c r="AD19" s="11" t="n">
        <f aca="false">IF($A19="",0,SUMIFS(tblAuftraege[Einnahmen],tblAuftraege[Datum Einnahmen],"&gt;="&amp;AD$5,tblAuftraege[Datum Einnahmen],"&lt;"&amp;EDATE(AD$5,1),tblAuftraege[Auftrag],$A19))</f>
        <v>0</v>
      </c>
      <c r="AE19" s="11" t="n">
        <f aca="false">IF($A19="",0,SUMIFS(tblAuftraege[Einnahmen],tblAuftraege[Datum Einnahmen],"&gt;="&amp;AE$5,tblAuftraege[Datum Einnahmen],"&lt;"&amp;EDATE(AE$5,1),tblAuftraege[Auftrag],$A19))</f>
        <v>0</v>
      </c>
      <c r="AF19" s="11" t="n">
        <f aca="false">IF($A19="",0,SUMIFS(tblAuftraege[Einnahmen],tblAuftraege[Datum Einnahmen],"&gt;="&amp;AF$5,tblAuftraege[Datum Einnahmen],"&lt;"&amp;EDATE(AF$5,1),tblAuftraege[Auftrag],$A19))</f>
        <v>0</v>
      </c>
      <c r="AG19" s="11" t="n">
        <f aca="false">IF($A19="",0,SUMIFS(tblAuftraege[Einnahmen],tblAuftraege[Datum Einnahmen],"&gt;="&amp;AG$5,tblAuftraege[Datum Einnahmen],"&lt;"&amp;EDATE(AG$5,1),tblAuftraege[Auftrag],$A19))</f>
        <v>0</v>
      </c>
      <c r="AH19" s="11" t="n">
        <f aca="false">IF($A19="",0,SUMIFS(tblAuftraege[Einnahmen],tblAuftraege[Datum Einnahmen],"&gt;="&amp;AH$5,tblAuftraege[Datum Einnahmen],"&lt;"&amp;EDATE(AH$5,1),tblAuftraege[Auftrag],$A19))</f>
        <v>0</v>
      </c>
      <c r="AI19" s="11" t="n">
        <f aca="false">IF($A19="",0,SUMIFS(tblAuftraege[Einnahmen],tblAuftraege[Datum Einnahmen],"&gt;="&amp;AI$5,tblAuftraege[Datum Einnahmen],"&lt;"&amp;EDATE(AI$5,1),tblAuftraege[Auftrag],$A19))</f>
        <v>0</v>
      </c>
      <c r="AJ19" s="11" t="n">
        <f aca="false">IF($A19="",0,SUMIFS(tblAuftraege[Einnahmen],tblAuftraege[Datum Einnahmen],"&gt;="&amp;AJ$5,tblAuftraege[Datum Einnahmen],"&lt;"&amp;EDATE(AJ$5,1),tblAuftraege[Auftrag],$A19))</f>
        <v>0</v>
      </c>
      <c r="AK19" s="11" t="n">
        <f aca="false">IF($A19="",0,SUMIFS(tblAuftraege[Einnahmen],tblAuftraege[Datum Einnahmen],"&gt;="&amp;AK$5,tblAuftraege[Datum Einnahmen],"&lt;"&amp;EDATE(AK$5,1),tblAuftraege[Auftrag],$A19))</f>
        <v>0</v>
      </c>
      <c r="AL19" s="11" t="n">
        <f aca="false">IF($A19="",0,SUMIFS(tblAuftraege[Einnahmen],tblAuftraege[Datum Einnahmen],"&gt;="&amp;AL$5,tblAuftraege[Datum Einnahmen],"&lt;"&amp;EDATE(AL$5,1),tblAuftraege[Auftrag],$A19))</f>
        <v>0</v>
      </c>
      <c r="AM19" s="11" t="n">
        <f aca="false">IF($A19="",0,SUMIFS(tblAuftraege[Einnahmen],tblAuftraege[Datum Einnahmen],"&gt;="&amp;AM$5,tblAuftraege[Datum Einnahmen],"&lt;"&amp;EDATE(AM$5,1),tblAuftraege[Auftrag],$A19))</f>
        <v>0</v>
      </c>
      <c r="AN19" s="11" t="n">
        <f aca="false">IF($A19="",0,SUMIFS(tblAuftraege[Einnahmen],tblAuftraege[Datum Einnahmen],"&gt;="&amp;AN$5,tblAuftraege[Datum Einnahmen],"&lt;"&amp;EDATE(AN$5,1),tblAuftraege[Auftrag],$A19))</f>
        <v>0</v>
      </c>
      <c r="AO19" s="11" t="n">
        <f aca="false">IF($A19="",0,SUMIFS(tblAuftraege[Einnahmen],tblAuftraege[Datum Einnahmen],"&gt;="&amp;AO$5,tblAuftraege[Datum Einnahmen],"&lt;"&amp;EDATE(AO$5,1),tblAuftraege[Auftrag],$A19))</f>
        <v>0</v>
      </c>
      <c r="AP19" s="11" t="n">
        <f aca="false">IF($A19="",0,SUMIFS(tblAuftraege[Einnahmen],tblAuftraege[Datum Einnahmen],"&gt;="&amp;AP$5,tblAuftraege[Datum Einnahmen],"&lt;"&amp;EDATE(AP$5,1),tblAuftraege[Auftrag],$A19))</f>
        <v>0</v>
      </c>
      <c r="AQ19" s="11" t="n">
        <f aca="false">IF($A19="",0,SUMIFS(tblAuftraege[Einnahmen],tblAuftraege[Datum Einnahmen],"&gt;="&amp;AQ$5,tblAuftraege[Datum Einnahmen],"&lt;"&amp;EDATE(AQ$5,1),tblAuftraege[Auftrag],$A19))</f>
        <v>0</v>
      </c>
      <c r="AR19" s="11" t="n">
        <f aca="false">IF($A19="",0,SUMIFS(tblAuftraege[Einnahmen],tblAuftraege[Datum Einnahmen],"&gt;="&amp;AR$5,tblAuftraege[Datum Einnahmen],"&lt;"&amp;EDATE(AR$5,1),tblAuftraege[Auftrag],$A19))</f>
        <v>0</v>
      </c>
      <c r="AS19" s="11" t="n">
        <f aca="false">IF($A19="",0,SUMIFS(tblAuftraege[Einnahmen],tblAuftraege[Datum Einnahmen],"&gt;="&amp;AS$5,tblAuftraege[Datum Einnahmen],"&lt;"&amp;EDATE(AS$5,1),tblAuftraege[Auftrag],$A19))</f>
        <v>0</v>
      </c>
      <c r="AT19" s="11" t="n">
        <f aca="false">IF($A19="",0,SUMIFS(tblAuftraege[Einnahmen],tblAuftraege[Datum Einnahmen],"&gt;="&amp;AT$5,tblAuftraege[Datum Einnahmen],"&lt;"&amp;EDATE(AT$5,1),tblAuftraege[Auftrag],$A19))</f>
        <v>0</v>
      </c>
      <c r="AU19" s="11" t="n">
        <f aca="false">IF($A19="",0,SUMIFS(tblAuftraege[Einnahmen],tblAuftraege[Datum Einnahmen],"&gt;="&amp;AU$5,tblAuftraege[Datum Einnahmen],"&lt;"&amp;EDATE(AU$5,1),tblAuftraege[Auftrag],$A19))</f>
        <v>0</v>
      </c>
      <c r="AV19" s="11" t="n">
        <f aca="false">IF($A19="",0,SUMIFS(tblAuftraege[Einnahmen],tblAuftraege[Datum Einnahmen],"&gt;="&amp;AV$5,tblAuftraege[Datum Einnahmen],"&lt;"&amp;EDATE(AV$5,1),tblAuftraege[Auftrag],$A19))</f>
        <v>0</v>
      </c>
      <c r="AW19" s="11" t="n">
        <f aca="false">IF($A19="",0,SUMIFS(tblAuftraege[Einnahmen],tblAuftraege[Datum Einnahmen],"&gt;="&amp;AW$5,tblAuftraege[Datum Einnahmen],"&lt;"&amp;EDATE(AW$5,1),tblAuftraege[Auftrag],$A19))</f>
        <v>0</v>
      </c>
      <c r="AX19" s="11" t="n">
        <f aca="false">IF($A19="",0,SUMIFS(tblAuftraege[Einnahmen],tblAuftraege[Datum Einnahmen],"&gt;="&amp;AX$5,tblAuftraege[Datum Einnahmen],"&lt;"&amp;EDATE(AX$5,1),tblAuftraege[Auftrag],$A19))</f>
        <v>0</v>
      </c>
      <c r="AY19" s="11" t="n">
        <f aca="false">IF($A19="",0,SUMIFS(tblAuftraege[Einnahmen],tblAuftraege[Datum Einnahmen],"&gt;="&amp;AY$5,tblAuftraege[Datum Einnahmen],"&lt;"&amp;EDATE(AY$5,1),tblAuftraege[Auftrag],$A19))</f>
        <v>0</v>
      </c>
      <c r="AZ19" s="11" t="n">
        <f aca="false">IF($A19="",0,SUMIFS(tblAuftraege[Einnahmen],tblAuftraege[Datum Einnahmen],"&gt;="&amp;AZ$5,tblAuftraege[Datum Einnahmen],"&lt;"&amp;EDATE(AZ$5,1),tblAuftraege[Auftrag],$A19))</f>
        <v>0</v>
      </c>
      <c r="BA19" s="11" t="n">
        <f aca="false">IF($A19="",0,SUMIFS(tblAuftraege[Einnahmen],tblAuftraege[Datum Einnahmen],"&gt;="&amp;BA$5,tblAuftraege[Datum Einnahmen],"&lt;"&amp;EDATE(BA$5,1),tblAuftraege[Auftrag],$A19))</f>
        <v>0</v>
      </c>
      <c r="BB19" s="11" t="n">
        <f aca="false">IF($A19="",0,SUMIFS(tblAuftraege[Einnahmen],tblAuftraege[Datum Einnahmen],"&gt;="&amp;BB$5,tblAuftraege[Datum Einnahmen],"&lt;"&amp;EDATE(BB$5,1),tblAuftraege[Auftrag],$A19))</f>
        <v>0</v>
      </c>
      <c r="BC19" s="11" t="n">
        <f aca="false">IF($A19="",0,SUMIFS(tblAuftraege[Einnahmen],tblAuftraege[Datum Einnahmen],"&gt;="&amp;BC$5,tblAuftraege[Datum Einnahmen],"&lt;"&amp;EDATE(BC$5,1),tblAuftraege[Auftrag],$A19))</f>
        <v>0</v>
      </c>
      <c r="BD19" s="11" t="n">
        <f aca="false">IF($A19="",0,SUMIFS(tblAuftraege[Einnahmen],tblAuftraege[Datum Einnahmen],"&gt;="&amp;BD$5,tblAuftraege[Datum Einnahmen],"&lt;"&amp;EDATE(BD$5,1),tblAuftraege[Auftrag],$A19))</f>
        <v>0</v>
      </c>
      <c r="BE19" s="11" t="n">
        <f aca="false">IF($A19="",0,SUMIFS(tblAuftraege[Einnahmen],tblAuftraege[Datum Einnahmen],"&gt;="&amp;BE$5,tblAuftraege[Datum Einnahmen],"&lt;"&amp;EDATE(BE$5,1),tblAuftraege[Auftrag],$A19))</f>
        <v>0</v>
      </c>
      <c r="BF19" s="11" t="n">
        <f aca="false">IF($A19="",0,SUMIFS(tblAuftraege[Einnahmen],tblAuftraege[Datum Einnahmen],"&gt;="&amp;BF$5,tblAuftraege[Datum Einnahmen],"&lt;"&amp;EDATE(BF$5,1),tblAuftraege[Auftrag],$A19))</f>
        <v>0</v>
      </c>
      <c r="BG19" s="11" t="n">
        <f aca="false">SUM(E19:J19)</f>
        <v>0</v>
      </c>
      <c r="BH19" s="11" t="n">
        <f aca="false">SUM(K19:V19)</f>
        <v>0</v>
      </c>
      <c r="BI19" s="11" t="n">
        <f aca="false">SUM(W19:AH19)</f>
        <v>0</v>
      </c>
      <c r="BJ19" s="11" t="n">
        <f aca="false">SUM(AI19:AT19)</f>
        <v>0</v>
      </c>
      <c r="BK19" s="11" t="n">
        <f aca="false">SUM(AU19:BF19)</f>
        <v>0</v>
      </c>
      <c r="BL19" s="12" t="n">
        <f aca="false">SUM(E19:BF19)</f>
        <v>0</v>
      </c>
    </row>
    <row r="20" customFormat="false" ht="15" hidden="false" customHeight="false" outlineLevel="0" collapsed="false">
      <c r="A20" s="9"/>
      <c r="B20" s="10" t="str">
        <f aca="false">IF($A20="","",IFERROR(INDEX(tblAuftraege[Kostenstelle],MATCH($A20,tblAuftraege[Auftrag],0)),""))</f>
        <v/>
      </c>
      <c r="C20" s="10" t="str">
        <f aca="false">IF($A20="","",IFERROR(INDEX(tblAuftraege[Themenfeld],MATCH($A20,tblAuftraege[Auftrag],0)),""))</f>
        <v/>
      </c>
      <c r="D20" s="10" t="str">
        <f aca="false">IF($A20="","",IFERROR(INDEX(tblAuftraege[Kategorie],MATCH($A20,tblAuftraege[Auftrag],0)),""))</f>
        <v/>
      </c>
      <c r="E20" s="11" t="n">
        <f aca="false">IF($A20="",0,SUMIFS(tblAuftraege[Einnahmen],tblAuftraege[Datum Einnahmen],"&gt;="&amp;E$5,tblAuftraege[Datum Einnahmen],"&lt;"&amp;EDATE(E$5,1),tblAuftraege[Auftrag],$A20))</f>
        <v>0</v>
      </c>
      <c r="F20" s="11" t="n">
        <f aca="false">IF($A20="",0,SUMIFS(tblAuftraege[Einnahmen],tblAuftraege[Datum Einnahmen],"&gt;="&amp;F$5,tblAuftraege[Datum Einnahmen],"&lt;"&amp;EDATE(F$5,1),tblAuftraege[Auftrag],$A20))</f>
        <v>0</v>
      </c>
      <c r="G20" s="11" t="n">
        <f aca="false">IF($A20="",0,SUMIFS(tblAuftraege[Einnahmen],tblAuftraege[Datum Einnahmen],"&gt;="&amp;G$5,tblAuftraege[Datum Einnahmen],"&lt;"&amp;EDATE(G$5,1),tblAuftraege[Auftrag],$A20))</f>
        <v>0</v>
      </c>
      <c r="H20" s="11" t="n">
        <f aca="false">IF($A20="",0,SUMIFS(tblAuftraege[Einnahmen],tblAuftraege[Datum Einnahmen],"&gt;="&amp;H$5,tblAuftraege[Datum Einnahmen],"&lt;"&amp;EDATE(H$5,1),tblAuftraege[Auftrag],$A20))</f>
        <v>0</v>
      </c>
      <c r="I20" s="11" t="n">
        <f aca="false">IF($A20="",0,SUMIFS(tblAuftraege[Einnahmen],tblAuftraege[Datum Einnahmen],"&gt;="&amp;I$5,tblAuftraege[Datum Einnahmen],"&lt;"&amp;EDATE(I$5,1),tblAuftraege[Auftrag],$A20))</f>
        <v>0</v>
      </c>
      <c r="J20" s="11" t="n">
        <f aca="false">IF($A20="",0,SUMIFS(tblAuftraege[Einnahmen],tblAuftraege[Datum Einnahmen],"&gt;="&amp;J$5,tblAuftraege[Datum Einnahmen],"&lt;"&amp;EDATE(J$5,1),tblAuftraege[Auftrag],$A20))</f>
        <v>0</v>
      </c>
      <c r="K20" s="11" t="n">
        <f aca="false">IF($A20="",0,SUMIFS(tblAuftraege[Einnahmen],tblAuftraege[Datum Einnahmen],"&gt;="&amp;K$5,tblAuftraege[Datum Einnahmen],"&lt;"&amp;EDATE(K$5,1),tblAuftraege[Auftrag],$A20))</f>
        <v>0</v>
      </c>
      <c r="L20" s="11" t="n">
        <f aca="false">IF($A20="",0,SUMIFS(tblAuftraege[Einnahmen],tblAuftraege[Datum Einnahmen],"&gt;="&amp;L$5,tblAuftraege[Datum Einnahmen],"&lt;"&amp;EDATE(L$5,1),tblAuftraege[Auftrag],$A20))</f>
        <v>0</v>
      </c>
      <c r="M20" s="11" t="n">
        <f aca="false">IF($A20="",0,SUMIFS(tblAuftraege[Einnahmen],tblAuftraege[Datum Einnahmen],"&gt;="&amp;M$5,tblAuftraege[Datum Einnahmen],"&lt;"&amp;EDATE(M$5,1),tblAuftraege[Auftrag],$A20))</f>
        <v>0</v>
      </c>
      <c r="N20" s="11" t="n">
        <f aca="false">IF($A20="",0,SUMIFS(tblAuftraege[Einnahmen],tblAuftraege[Datum Einnahmen],"&gt;="&amp;N$5,tblAuftraege[Datum Einnahmen],"&lt;"&amp;EDATE(N$5,1),tblAuftraege[Auftrag],$A20))</f>
        <v>0</v>
      </c>
      <c r="O20" s="11" t="n">
        <f aca="false">IF($A20="",0,SUMIFS(tblAuftraege[Einnahmen],tblAuftraege[Datum Einnahmen],"&gt;="&amp;O$5,tblAuftraege[Datum Einnahmen],"&lt;"&amp;EDATE(O$5,1),tblAuftraege[Auftrag],$A20))</f>
        <v>0</v>
      </c>
      <c r="P20" s="11" t="n">
        <f aca="false">IF($A20="",0,SUMIFS(tblAuftraege[Einnahmen],tblAuftraege[Datum Einnahmen],"&gt;="&amp;P$5,tblAuftraege[Datum Einnahmen],"&lt;"&amp;EDATE(P$5,1),tblAuftraege[Auftrag],$A20))</f>
        <v>0</v>
      </c>
      <c r="Q20" s="11" t="n">
        <f aca="false">IF($A20="",0,SUMIFS(tblAuftraege[Einnahmen],tblAuftraege[Datum Einnahmen],"&gt;="&amp;Q$5,tblAuftraege[Datum Einnahmen],"&lt;"&amp;EDATE(Q$5,1),tblAuftraege[Auftrag],$A20))</f>
        <v>0</v>
      </c>
      <c r="R20" s="11" t="n">
        <f aca="false">IF($A20="",0,SUMIFS(tblAuftraege[Einnahmen],tblAuftraege[Datum Einnahmen],"&gt;="&amp;R$5,tblAuftraege[Datum Einnahmen],"&lt;"&amp;EDATE(R$5,1),tblAuftraege[Auftrag],$A20))</f>
        <v>0</v>
      </c>
      <c r="S20" s="11" t="n">
        <f aca="false">IF($A20="",0,SUMIFS(tblAuftraege[Einnahmen],tblAuftraege[Datum Einnahmen],"&gt;="&amp;S$5,tblAuftraege[Datum Einnahmen],"&lt;"&amp;EDATE(S$5,1),tblAuftraege[Auftrag],$A20))</f>
        <v>0</v>
      </c>
      <c r="T20" s="11" t="n">
        <f aca="false">IF($A20="",0,SUMIFS(tblAuftraege[Einnahmen],tblAuftraege[Datum Einnahmen],"&gt;="&amp;T$5,tblAuftraege[Datum Einnahmen],"&lt;"&amp;EDATE(T$5,1),tblAuftraege[Auftrag],$A20))</f>
        <v>0</v>
      </c>
      <c r="U20" s="11" t="n">
        <f aca="false">IF($A20="",0,SUMIFS(tblAuftraege[Einnahmen],tblAuftraege[Datum Einnahmen],"&gt;="&amp;U$5,tblAuftraege[Datum Einnahmen],"&lt;"&amp;EDATE(U$5,1),tblAuftraege[Auftrag],$A20))</f>
        <v>0</v>
      </c>
      <c r="V20" s="11" t="n">
        <f aca="false">IF($A20="",0,SUMIFS(tblAuftraege[Einnahmen],tblAuftraege[Datum Einnahmen],"&gt;="&amp;V$5,tblAuftraege[Datum Einnahmen],"&lt;"&amp;EDATE(V$5,1),tblAuftraege[Auftrag],$A20))</f>
        <v>0</v>
      </c>
      <c r="W20" s="11" t="n">
        <f aca="false">IF($A20="",0,SUMIFS(tblAuftraege[Einnahmen],tblAuftraege[Datum Einnahmen],"&gt;="&amp;W$5,tblAuftraege[Datum Einnahmen],"&lt;"&amp;EDATE(W$5,1),tblAuftraege[Auftrag],$A20))</f>
        <v>0</v>
      </c>
      <c r="X20" s="11" t="n">
        <f aca="false">IF($A20="",0,SUMIFS(tblAuftraege[Einnahmen],tblAuftraege[Datum Einnahmen],"&gt;="&amp;X$5,tblAuftraege[Datum Einnahmen],"&lt;"&amp;EDATE(X$5,1),tblAuftraege[Auftrag],$A20))</f>
        <v>0</v>
      </c>
      <c r="Y20" s="11" t="n">
        <f aca="false">IF($A20="",0,SUMIFS(tblAuftraege[Einnahmen],tblAuftraege[Datum Einnahmen],"&gt;="&amp;Y$5,tblAuftraege[Datum Einnahmen],"&lt;"&amp;EDATE(Y$5,1),tblAuftraege[Auftrag],$A20))</f>
        <v>0</v>
      </c>
      <c r="Z20" s="11" t="n">
        <f aca="false">IF($A20="",0,SUMIFS(tblAuftraege[Einnahmen],tblAuftraege[Datum Einnahmen],"&gt;="&amp;Z$5,tblAuftraege[Datum Einnahmen],"&lt;"&amp;EDATE(Z$5,1),tblAuftraege[Auftrag],$A20))</f>
        <v>0</v>
      </c>
      <c r="AA20" s="11" t="n">
        <f aca="false">IF($A20="",0,SUMIFS(tblAuftraege[Einnahmen],tblAuftraege[Datum Einnahmen],"&gt;="&amp;AA$5,tblAuftraege[Datum Einnahmen],"&lt;"&amp;EDATE(AA$5,1),tblAuftraege[Auftrag],$A20))</f>
        <v>0</v>
      </c>
      <c r="AB20" s="11" t="n">
        <f aca="false">IF($A20="",0,SUMIFS(tblAuftraege[Einnahmen],tblAuftraege[Datum Einnahmen],"&gt;="&amp;AB$5,tblAuftraege[Datum Einnahmen],"&lt;"&amp;EDATE(AB$5,1),tblAuftraege[Auftrag],$A20))</f>
        <v>0</v>
      </c>
      <c r="AC20" s="11" t="n">
        <f aca="false">IF($A20="",0,SUMIFS(tblAuftraege[Einnahmen],tblAuftraege[Datum Einnahmen],"&gt;="&amp;AC$5,tblAuftraege[Datum Einnahmen],"&lt;"&amp;EDATE(AC$5,1),tblAuftraege[Auftrag],$A20))</f>
        <v>0</v>
      </c>
      <c r="AD20" s="11" t="n">
        <f aca="false">IF($A20="",0,SUMIFS(tblAuftraege[Einnahmen],tblAuftraege[Datum Einnahmen],"&gt;="&amp;AD$5,tblAuftraege[Datum Einnahmen],"&lt;"&amp;EDATE(AD$5,1),tblAuftraege[Auftrag],$A20))</f>
        <v>0</v>
      </c>
      <c r="AE20" s="11" t="n">
        <f aca="false">IF($A20="",0,SUMIFS(tblAuftraege[Einnahmen],tblAuftraege[Datum Einnahmen],"&gt;="&amp;AE$5,tblAuftraege[Datum Einnahmen],"&lt;"&amp;EDATE(AE$5,1),tblAuftraege[Auftrag],$A20))</f>
        <v>0</v>
      </c>
      <c r="AF20" s="11" t="n">
        <f aca="false">IF($A20="",0,SUMIFS(tblAuftraege[Einnahmen],tblAuftraege[Datum Einnahmen],"&gt;="&amp;AF$5,tblAuftraege[Datum Einnahmen],"&lt;"&amp;EDATE(AF$5,1),tblAuftraege[Auftrag],$A20))</f>
        <v>0</v>
      </c>
      <c r="AG20" s="11" t="n">
        <f aca="false">IF($A20="",0,SUMIFS(tblAuftraege[Einnahmen],tblAuftraege[Datum Einnahmen],"&gt;="&amp;AG$5,tblAuftraege[Datum Einnahmen],"&lt;"&amp;EDATE(AG$5,1),tblAuftraege[Auftrag],$A20))</f>
        <v>0</v>
      </c>
      <c r="AH20" s="11" t="n">
        <f aca="false">IF($A20="",0,SUMIFS(tblAuftraege[Einnahmen],tblAuftraege[Datum Einnahmen],"&gt;="&amp;AH$5,tblAuftraege[Datum Einnahmen],"&lt;"&amp;EDATE(AH$5,1),tblAuftraege[Auftrag],$A20))</f>
        <v>0</v>
      </c>
      <c r="AI20" s="11" t="n">
        <f aca="false">IF($A20="",0,SUMIFS(tblAuftraege[Einnahmen],tblAuftraege[Datum Einnahmen],"&gt;="&amp;AI$5,tblAuftraege[Datum Einnahmen],"&lt;"&amp;EDATE(AI$5,1),tblAuftraege[Auftrag],$A20))</f>
        <v>0</v>
      </c>
      <c r="AJ20" s="11" t="n">
        <f aca="false">IF($A20="",0,SUMIFS(tblAuftraege[Einnahmen],tblAuftraege[Datum Einnahmen],"&gt;="&amp;AJ$5,tblAuftraege[Datum Einnahmen],"&lt;"&amp;EDATE(AJ$5,1),tblAuftraege[Auftrag],$A20))</f>
        <v>0</v>
      </c>
      <c r="AK20" s="11" t="n">
        <f aca="false">IF($A20="",0,SUMIFS(tblAuftraege[Einnahmen],tblAuftraege[Datum Einnahmen],"&gt;="&amp;AK$5,tblAuftraege[Datum Einnahmen],"&lt;"&amp;EDATE(AK$5,1),tblAuftraege[Auftrag],$A20))</f>
        <v>0</v>
      </c>
      <c r="AL20" s="11" t="n">
        <f aca="false">IF($A20="",0,SUMIFS(tblAuftraege[Einnahmen],tblAuftraege[Datum Einnahmen],"&gt;="&amp;AL$5,tblAuftraege[Datum Einnahmen],"&lt;"&amp;EDATE(AL$5,1),tblAuftraege[Auftrag],$A20))</f>
        <v>0</v>
      </c>
      <c r="AM20" s="11" t="n">
        <f aca="false">IF($A20="",0,SUMIFS(tblAuftraege[Einnahmen],tblAuftraege[Datum Einnahmen],"&gt;="&amp;AM$5,tblAuftraege[Datum Einnahmen],"&lt;"&amp;EDATE(AM$5,1),tblAuftraege[Auftrag],$A20))</f>
        <v>0</v>
      </c>
      <c r="AN20" s="11" t="n">
        <f aca="false">IF($A20="",0,SUMIFS(tblAuftraege[Einnahmen],tblAuftraege[Datum Einnahmen],"&gt;="&amp;AN$5,tblAuftraege[Datum Einnahmen],"&lt;"&amp;EDATE(AN$5,1),tblAuftraege[Auftrag],$A20))</f>
        <v>0</v>
      </c>
      <c r="AO20" s="11" t="n">
        <f aca="false">IF($A20="",0,SUMIFS(tblAuftraege[Einnahmen],tblAuftraege[Datum Einnahmen],"&gt;="&amp;AO$5,tblAuftraege[Datum Einnahmen],"&lt;"&amp;EDATE(AO$5,1),tblAuftraege[Auftrag],$A20))</f>
        <v>0</v>
      </c>
      <c r="AP20" s="11" t="n">
        <f aca="false">IF($A20="",0,SUMIFS(tblAuftraege[Einnahmen],tblAuftraege[Datum Einnahmen],"&gt;="&amp;AP$5,tblAuftraege[Datum Einnahmen],"&lt;"&amp;EDATE(AP$5,1),tblAuftraege[Auftrag],$A20))</f>
        <v>0</v>
      </c>
      <c r="AQ20" s="11" t="n">
        <f aca="false">IF($A20="",0,SUMIFS(tblAuftraege[Einnahmen],tblAuftraege[Datum Einnahmen],"&gt;="&amp;AQ$5,tblAuftraege[Datum Einnahmen],"&lt;"&amp;EDATE(AQ$5,1),tblAuftraege[Auftrag],$A20))</f>
        <v>0</v>
      </c>
      <c r="AR20" s="11" t="n">
        <f aca="false">IF($A20="",0,SUMIFS(tblAuftraege[Einnahmen],tblAuftraege[Datum Einnahmen],"&gt;="&amp;AR$5,tblAuftraege[Datum Einnahmen],"&lt;"&amp;EDATE(AR$5,1),tblAuftraege[Auftrag],$A20))</f>
        <v>0</v>
      </c>
      <c r="AS20" s="11" t="n">
        <f aca="false">IF($A20="",0,SUMIFS(tblAuftraege[Einnahmen],tblAuftraege[Datum Einnahmen],"&gt;="&amp;AS$5,tblAuftraege[Datum Einnahmen],"&lt;"&amp;EDATE(AS$5,1),tblAuftraege[Auftrag],$A20))</f>
        <v>0</v>
      </c>
      <c r="AT20" s="11" t="n">
        <f aca="false">IF($A20="",0,SUMIFS(tblAuftraege[Einnahmen],tblAuftraege[Datum Einnahmen],"&gt;="&amp;AT$5,tblAuftraege[Datum Einnahmen],"&lt;"&amp;EDATE(AT$5,1),tblAuftraege[Auftrag],$A20))</f>
        <v>0</v>
      </c>
      <c r="AU20" s="11" t="n">
        <f aca="false">IF($A20="",0,SUMIFS(tblAuftraege[Einnahmen],tblAuftraege[Datum Einnahmen],"&gt;="&amp;AU$5,tblAuftraege[Datum Einnahmen],"&lt;"&amp;EDATE(AU$5,1),tblAuftraege[Auftrag],$A20))</f>
        <v>0</v>
      </c>
      <c r="AV20" s="11" t="n">
        <f aca="false">IF($A20="",0,SUMIFS(tblAuftraege[Einnahmen],tblAuftraege[Datum Einnahmen],"&gt;="&amp;AV$5,tblAuftraege[Datum Einnahmen],"&lt;"&amp;EDATE(AV$5,1),tblAuftraege[Auftrag],$A20))</f>
        <v>0</v>
      </c>
      <c r="AW20" s="11" t="n">
        <f aca="false">IF($A20="",0,SUMIFS(tblAuftraege[Einnahmen],tblAuftraege[Datum Einnahmen],"&gt;="&amp;AW$5,tblAuftraege[Datum Einnahmen],"&lt;"&amp;EDATE(AW$5,1),tblAuftraege[Auftrag],$A20))</f>
        <v>0</v>
      </c>
      <c r="AX20" s="11" t="n">
        <f aca="false">IF($A20="",0,SUMIFS(tblAuftraege[Einnahmen],tblAuftraege[Datum Einnahmen],"&gt;="&amp;AX$5,tblAuftraege[Datum Einnahmen],"&lt;"&amp;EDATE(AX$5,1),tblAuftraege[Auftrag],$A20))</f>
        <v>0</v>
      </c>
      <c r="AY20" s="11" t="n">
        <f aca="false">IF($A20="",0,SUMIFS(tblAuftraege[Einnahmen],tblAuftraege[Datum Einnahmen],"&gt;="&amp;AY$5,tblAuftraege[Datum Einnahmen],"&lt;"&amp;EDATE(AY$5,1),tblAuftraege[Auftrag],$A20))</f>
        <v>0</v>
      </c>
      <c r="AZ20" s="11" t="n">
        <f aca="false">IF($A20="",0,SUMIFS(tblAuftraege[Einnahmen],tblAuftraege[Datum Einnahmen],"&gt;="&amp;AZ$5,tblAuftraege[Datum Einnahmen],"&lt;"&amp;EDATE(AZ$5,1),tblAuftraege[Auftrag],$A20))</f>
        <v>0</v>
      </c>
      <c r="BA20" s="11" t="n">
        <f aca="false">IF($A20="",0,SUMIFS(tblAuftraege[Einnahmen],tblAuftraege[Datum Einnahmen],"&gt;="&amp;BA$5,tblAuftraege[Datum Einnahmen],"&lt;"&amp;EDATE(BA$5,1),tblAuftraege[Auftrag],$A20))</f>
        <v>0</v>
      </c>
      <c r="BB20" s="11" t="n">
        <f aca="false">IF($A20="",0,SUMIFS(tblAuftraege[Einnahmen],tblAuftraege[Datum Einnahmen],"&gt;="&amp;BB$5,tblAuftraege[Datum Einnahmen],"&lt;"&amp;EDATE(BB$5,1),tblAuftraege[Auftrag],$A20))</f>
        <v>0</v>
      </c>
      <c r="BC20" s="11" t="n">
        <f aca="false">IF($A20="",0,SUMIFS(tblAuftraege[Einnahmen],tblAuftraege[Datum Einnahmen],"&gt;="&amp;BC$5,tblAuftraege[Datum Einnahmen],"&lt;"&amp;EDATE(BC$5,1),tblAuftraege[Auftrag],$A20))</f>
        <v>0</v>
      </c>
      <c r="BD20" s="11" t="n">
        <f aca="false">IF($A20="",0,SUMIFS(tblAuftraege[Einnahmen],tblAuftraege[Datum Einnahmen],"&gt;="&amp;BD$5,tblAuftraege[Datum Einnahmen],"&lt;"&amp;EDATE(BD$5,1),tblAuftraege[Auftrag],$A20))</f>
        <v>0</v>
      </c>
      <c r="BE20" s="11" t="n">
        <f aca="false">IF($A20="",0,SUMIFS(tblAuftraege[Einnahmen],tblAuftraege[Datum Einnahmen],"&gt;="&amp;BE$5,tblAuftraege[Datum Einnahmen],"&lt;"&amp;EDATE(BE$5,1),tblAuftraege[Auftrag],$A20))</f>
        <v>0</v>
      </c>
      <c r="BF20" s="11" t="n">
        <f aca="false">IF($A20="",0,SUMIFS(tblAuftraege[Einnahmen],tblAuftraege[Datum Einnahmen],"&gt;="&amp;BF$5,tblAuftraege[Datum Einnahmen],"&lt;"&amp;EDATE(BF$5,1),tblAuftraege[Auftrag],$A20))</f>
        <v>0</v>
      </c>
      <c r="BG20" s="11" t="n">
        <f aca="false">SUM(E20:J20)</f>
        <v>0</v>
      </c>
      <c r="BH20" s="11" t="n">
        <f aca="false">SUM(K20:V20)</f>
        <v>0</v>
      </c>
      <c r="BI20" s="11" t="n">
        <f aca="false">SUM(W20:AH20)</f>
        <v>0</v>
      </c>
      <c r="BJ20" s="11" t="n">
        <f aca="false">SUM(AI20:AT20)</f>
        <v>0</v>
      </c>
      <c r="BK20" s="11" t="n">
        <f aca="false">SUM(AU20:BF20)</f>
        <v>0</v>
      </c>
      <c r="BL20" s="12" t="n">
        <f aca="false">SUM(E20:BF20)</f>
        <v>0</v>
      </c>
    </row>
    <row r="21" customFormat="false" ht="15" hidden="false" customHeight="false" outlineLevel="0" collapsed="false">
      <c r="A21" s="9"/>
      <c r="B21" s="10" t="str">
        <f aca="false">IF($A21="","",IFERROR(INDEX(tblAuftraege[Kostenstelle],MATCH($A21,tblAuftraege[Auftrag],0)),""))</f>
        <v/>
      </c>
      <c r="C21" s="10" t="str">
        <f aca="false">IF($A21="","",IFERROR(INDEX(tblAuftraege[Themenfeld],MATCH($A21,tblAuftraege[Auftrag],0)),""))</f>
        <v/>
      </c>
      <c r="D21" s="10" t="str">
        <f aca="false">IF($A21="","",IFERROR(INDEX(tblAuftraege[Kategorie],MATCH($A21,tblAuftraege[Auftrag],0)),""))</f>
        <v/>
      </c>
      <c r="E21" s="11" t="n">
        <f aca="false">IF($A21="",0,SUMIFS(tblAuftraege[Einnahmen],tblAuftraege[Datum Einnahmen],"&gt;="&amp;E$5,tblAuftraege[Datum Einnahmen],"&lt;"&amp;EDATE(E$5,1),tblAuftraege[Auftrag],$A21))</f>
        <v>0</v>
      </c>
      <c r="F21" s="11" t="n">
        <f aca="false">IF($A21="",0,SUMIFS(tblAuftraege[Einnahmen],tblAuftraege[Datum Einnahmen],"&gt;="&amp;F$5,tblAuftraege[Datum Einnahmen],"&lt;"&amp;EDATE(F$5,1),tblAuftraege[Auftrag],$A21))</f>
        <v>0</v>
      </c>
      <c r="G21" s="11" t="n">
        <f aca="false">IF($A21="",0,SUMIFS(tblAuftraege[Einnahmen],tblAuftraege[Datum Einnahmen],"&gt;="&amp;G$5,tblAuftraege[Datum Einnahmen],"&lt;"&amp;EDATE(G$5,1),tblAuftraege[Auftrag],$A21))</f>
        <v>0</v>
      </c>
      <c r="H21" s="11" t="n">
        <f aca="false">IF($A21="",0,SUMIFS(tblAuftraege[Einnahmen],tblAuftraege[Datum Einnahmen],"&gt;="&amp;H$5,tblAuftraege[Datum Einnahmen],"&lt;"&amp;EDATE(H$5,1),tblAuftraege[Auftrag],$A21))</f>
        <v>0</v>
      </c>
      <c r="I21" s="11" t="n">
        <f aca="false">IF($A21="",0,SUMIFS(tblAuftraege[Einnahmen],tblAuftraege[Datum Einnahmen],"&gt;="&amp;I$5,tblAuftraege[Datum Einnahmen],"&lt;"&amp;EDATE(I$5,1),tblAuftraege[Auftrag],$A21))</f>
        <v>0</v>
      </c>
      <c r="J21" s="11" t="n">
        <f aca="false">IF($A21="",0,SUMIFS(tblAuftraege[Einnahmen],tblAuftraege[Datum Einnahmen],"&gt;="&amp;J$5,tblAuftraege[Datum Einnahmen],"&lt;"&amp;EDATE(J$5,1),tblAuftraege[Auftrag],$A21))</f>
        <v>0</v>
      </c>
      <c r="K21" s="11" t="n">
        <f aca="false">IF($A21="",0,SUMIFS(tblAuftraege[Einnahmen],tblAuftraege[Datum Einnahmen],"&gt;="&amp;K$5,tblAuftraege[Datum Einnahmen],"&lt;"&amp;EDATE(K$5,1),tblAuftraege[Auftrag],$A21))</f>
        <v>0</v>
      </c>
      <c r="L21" s="11" t="n">
        <f aca="false">IF($A21="",0,SUMIFS(tblAuftraege[Einnahmen],tblAuftraege[Datum Einnahmen],"&gt;="&amp;L$5,tblAuftraege[Datum Einnahmen],"&lt;"&amp;EDATE(L$5,1),tblAuftraege[Auftrag],$A21))</f>
        <v>0</v>
      </c>
      <c r="M21" s="11" t="n">
        <f aca="false">IF($A21="",0,SUMIFS(tblAuftraege[Einnahmen],tblAuftraege[Datum Einnahmen],"&gt;="&amp;M$5,tblAuftraege[Datum Einnahmen],"&lt;"&amp;EDATE(M$5,1),tblAuftraege[Auftrag],$A21))</f>
        <v>0</v>
      </c>
      <c r="N21" s="11" t="n">
        <f aca="false">IF($A21="",0,SUMIFS(tblAuftraege[Einnahmen],tblAuftraege[Datum Einnahmen],"&gt;="&amp;N$5,tblAuftraege[Datum Einnahmen],"&lt;"&amp;EDATE(N$5,1),tblAuftraege[Auftrag],$A21))</f>
        <v>0</v>
      </c>
      <c r="O21" s="11" t="n">
        <f aca="false">IF($A21="",0,SUMIFS(tblAuftraege[Einnahmen],tblAuftraege[Datum Einnahmen],"&gt;="&amp;O$5,tblAuftraege[Datum Einnahmen],"&lt;"&amp;EDATE(O$5,1),tblAuftraege[Auftrag],$A21))</f>
        <v>0</v>
      </c>
      <c r="P21" s="11" t="n">
        <f aca="false">IF($A21="",0,SUMIFS(tblAuftraege[Einnahmen],tblAuftraege[Datum Einnahmen],"&gt;="&amp;P$5,tblAuftraege[Datum Einnahmen],"&lt;"&amp;EDATE(P$5,1),tblAuftraege[Auftrag],$A21))</f>
        <v>0</v>
      </c>
      <c r="Q21" s="11" t="n">
        <f aca="false">IF($A21="",0,SUMIFS(tblAuftraege[Einnahmen],tblAuftraege[Datum Einnahmen],"&gt;="&amp;Q$5,tblAuftraege[Datum Einnahmen],"&lt;"&amp;EDATE(Q$5,1),tblAuftraege[Auftrag],$A21))</f>
        <v>0</v>
      </c>
      <c r="R21" s="11" t="n">
        <f aca="false">IF($A21="",0,SUMIFS(tblAuftraege[Einnahmen],tblAuftraege[Datum Einnahmen],"&gt;="&amp;R$5,tblAuftraege[Datum Einnahmen],"&lt;"&amp;EDATE(R$5,1),tblAuftraege[Auftrag],$A21))</f>
        <v>0</v>
      </c>
      <c r="S21" s="11" t="n">
        <f aca="false">IF($A21="",0,SUMIFS(tblAuftraege[Einnahmen],tblAuftraege[Datum Einnahmen],"&gt;="&amp;S$5,tblAuftraege[Datum Einnahmen],"&lt;"&amp;EDATE(S$5,1),tblAuftraege[Auftrag],$A21))</f>
        <v>0</v>
      </c>
      <c r="T21" s="11" t="n">
        <f aca="false">IF($A21="",0,SUMIFS(tblAuftraege[Einnahmen],tblAuftraege[Datum Einnahmen],"&gt;="&amp;T$5,tblAuftraege[Datum Einnahmen],"&lt;"&amp;EDATE(T$5,1),tblAuftraege[Auftrag],$A21))</f>
        <v>0</v>
      </c>
      <c r="U21" s="11" t="n">
        <f aca="false">IF($A21="",0,SUMIFS(tblAuftraege[Einnahmen],tblAuftraege[Datum Einnahmen],"&gt;="&amp;U$5,tblAuftraege[Datum Einnahmen],"&lt;"&amp;EDATE(U$5,1),tblAuftraege[Auftrag],$A21))</f>
        <v>0</v>
      </c>
      <c r="V21" s="11" t="n">
        <f aca="false">IF($A21="",0,SUMIFS(tblAuftraege[Einnahmen],tblAuftraege[Datum Einnahmen],"&gt;="&amp;V$5,tblAuftraege[Datum Einnahmen],"&lt;"&amp;EDATE(V$5,1),tblAuftraege[Auftrag],$A21))</f>
        <v>0</v>
      </c>
      <c r="W21" s="11" t="n">
        <f aca="false">IF($A21="",0,SUMIFS(tblAuftraege[Einnahmen],tblAuftraege[Datum Einnahmen],"&gt;="&amp;W$5,tblAuftraege[Datum Einnahmen],"&lt;"&amp;EDATE(W$5,1),tblAuftraege[Auftrag],$A21))</f>
        <v>0</v>
      </c>
      <c r="X21" s="11" t="n">
        <f aca="false">IF($A21="",0,SUMIFS(tblAuftraege[Einnahmen],tblAuftraege[Datum Einnahmen],"&gt;="&amp;X$5,tblAuftraege[Datum Einnahmen],"&lt;"&amp;EDATE(X$5,1),tblAuftraege[Auftrag],$A21))</f>
        <v>0</v>
      </c>
      <c r="Y21" s="11" t="n">
        <f aca="false">IF($A21="",0,SUMIFS(tblAuftraege[Einnahmen],tblAuftraege[Datum Einnahmen],"&gt;="&amp;Y$5,tblAuftraege[Datum Einnahmen],"&lt;"&amp;EDATE(Y$5,1),tblAuftraege[Auftrag],$A21))</f>
        <v>0</v>
      </c>
      <c r="Z21" s="11" t="n">
        <f aca="false">IF($A21="",0,SUMIFS(tblAuftraege[Einnahmen],tblAuftraege[Datum Einnahmen],"&gt;="&amp;Z$5,tblAuftraege[Datum Einnahmen],"&lt;"&amp;EDATE(Z$5,1),tblAuftraege[Auftrag],$A21))</f>
        <v>0</v>
      </c>
      <c r="AA21" s="11" t="n">
        <f aca="false">IF($A21="",0,SUMIFS(tblAuftraege[Einnahmen],tblAuftraege[Datum Einnahmen],"&gt;="&amp;AA$5,tblAuftraege[Datum Einnahmen],"&lt;"&amp;EDATE(AA$5,1),tblAuftraege[Auftrag],$A21))</f>
        <v>0</v>
      </c>
      <c r="AB21" s="11" t="n">
        <f aca="false">IF($A21="",0,SUMIFS(tblAuftraege[Einnahmen],tblAuftraege[Datum Einnahmen],"&gt;="&amp;AB$5,tblAuftraege[Datum Einnahmen],"&lt;"&amp;EDATE(AB$5,1),tblAuftraege[Auftrag],$A21))</f>
        <v>0</v>
      </c>
      <c r="AC21" s="11" t="n">
        <f aca="false">IF($A21="",0,SUMIFS(tblAuftraege[Einnahmen],tblAuftraege[Datum Einnahmen],"&gt;="&amp;AC$5,tblAuftraege[Datum Einnahmen],"&lt;"&amp;EDATE(AC$5,1),tblAuftraege[Auftrag],$A21))</f>
        <v>0</v>
      </c>
      <c r="AD21" s="11" t="n">
        <f aca="false">IF($A21="",0,SUMIFS(tblAuftraege[Einnahmen],tblAuftraege[Datum Einnahmen],"&gt;="&amp;AD$5,tblAuftraege[Datum Einnahmen],"&lt;"&amp;EDATE(AD$5,1),tblAuftraege[Auftrag],$A21))</f>
        <v>0</v>
      </c>
      <c r="AE21" s="11" t="n">
        <f aca="false">IF($A21="",0,SUMIFS(tblAuftraege[Einnahmen],tblAuftraege[Datum Einnahmen],"&gt;="&amp;AE$5,tblAuftraege[Datum Einnahmen],"&lt;"&amp;EDATE(AE$5,1),tblAuftraege[Auftrag],$A21))</f>
        <v>0</v>
      </c>
      <c r="AF21" s="11" t="n">
        <f aca="false">IF($A21="",0,SUMIFS(tblAuftraege[Einnahmen],tblAuftraege[Datum Einnahmen],"&gt;="&amp;AF$5,tblAuftraege[Datum Einnahmen],"&lt;"&amp;EDATE(AF$5,1),tblAuftraege[Auftrag],$A21))</f>
        <v>0</v>
      </c>
      <c r="AG21" s="11" t="n">
        <f aca="false">IF($A21="",0,SUMIFS(tblAuftraege[Einnahmen],tblAuftraege[Datum Einnahmen],"&gt;="&amp;AG$5,tblAuftraege[Datum Einnahmen],"&lt;"&amp;EDATE(AG$5,1),tblAuftraege[Auftrag],$A21))</f>
        <v>0</v>
      </c>
      <c r="AH21" s="11" t="n">
        <f aca="false">IF($A21="",0,SUMIFS(tblAuftraege[Einnahmen],tblAuftraege[Datum Einnahmen],"&gt;="&amp;AH$5,tblAuftraege[Datum Einnahmen],"&lt;"&amp;EDATE(AH$5,1),tblAuftraege[Auftrag],$A21))</f>
        <v>0</v>
      </c>
      <c r="AI21" s="11" t="n">
        <f aca="false">IF($A21="",0,SUMIFS(tblAuftraege[Einnahmen],tblAuftraege[Datum Einnahmen],"&gt;="&amp;AI$5,tblAuftraege[Datum Einnahmen],"&lt;"&amp;EDATE(AI$5,1),tblAuftraege[Auftrag],$A21))</f>
        <v>0</v>
      </c>
      <c r="AJ21" s="11" t="n">
        <f aca="false">IF($A21="",0,SUMIFS(tblAuftraege[Einnahmen],tblAuftraege[Datum Einnahmen],"&gt;="&amp;AJ$5,tblAuftraege[Datum Einnahmen],"&lt;"&amp;EDATE(AJ$5,1),tblAuftraege[Auftrag],$A21))</f>
        <v>0</v>
      </c>
      <c r="AK21" s="11" t="n">
        <f aca="false">IF($A21="",0,SUMIFS(tblAuftraege[Einnahmen],tblAuftraege[Datum Einnahmen],"&gt;="&amp;AK$5,tblAuftraege[Datum Einnahmen],"&lt;"&amp;EDATE(AK$5,1),tblAuftraege[Auftrag],$A21))</f>
        <v>0</v>
      </c>
      <c r="AL21" s="11" t="n">
        <f aca="false">IF($A21="",0,SUMIFS(tblAuftraege[Einnahmen],tblAuftraege[Datum Einnahmen],"&gt;="&amp;AL$5,tblAuftraege[Datum Einnahmen],"&lt;"&amp;EDATE(AL$5,1),tblAuftraege[Auftrag],$A21))</f>
        <v>0</v>
      </c>
      <c r="AM21" s="11" t="n">
        <f aca="false">IF($A21="",0,SUMIFS(tblAuftraege[Einnahmen],tblAuftraege[Datum Einnahmen],"&gt;="&amp;AM$5,tblAuftraege[Datum Einnahmen],"&lt;"&amp;EDATE(AM$5,1),tblAuftraege[Auftrag],$A21))</f>
        <v>0</v>
      </c>
      <c r="AN21" s="11" t="n">
        <f aca="false">IF($A21="",0,SUMIFS(tblAuftraege[Einnahmen],tblAuftraege[Datum Einnahmen],"&gt;="&amp;AN$5,tblAuftraege[Datum Einnahmen],"&lt;"&amp;EDATE(AN$5,1),tblAuftraege[Auftrag],$A21))</f>
        <v>0</v>
      </c>
      <c r="AO21" s="11" t="n">
        <f aca="false">IF($A21="",0,SUMIFS(tblAuftraege[Einnahmen],tblAuftraege[Datum Einnahmen],"&gt;="&amp;AO$5,tblAuftraege[Datum Einnahmen],"&lt;"&amp;EDATE(AO$5,1),tblAuftraege[Auftrag],$A21))</f>
        <v>0</v>
      </c>
      <c r="AP21" s="11" t="n">
        <f aca="false">IF($A21="",0,SUMIFS(tblAuftraege[Einnahmen],tblAuftraege[Datum Einnahmen],"&gt;="&amp;AP$5,tblAuftraege[Datum Einnahmen],"&lt;"&amp;EDATE(AP$5,1),tblAuftraege[Auftrag],$A21))</f>
        <v>0</v>
      </c>
      <c r="AQ21" s="11" t="n">
        <f aca="false">IF($A21="",0,SUMIFS(tblAuftraege[Einnahmen],tblAuftraege[Datum Einnahmen],"&gt;="&amp;AQ$5,tblAuftraege[Datum Einnahmen],"&lt;"&amp;EDATE(AQ$5,1),tblAuftraege[Auftrag],$A21))</f>
        <v>0</v>
      </c>
      <c r="AR21" s="11" t="n">
        <f aca="false">IF($A21="",0,SUMIFS(tblAuftraege[Einnahmen],tblAuftraege[Datum Einnahmen],"&gt;="&amp;AR$5,tblAuftraege[Datum Einnahmen],"&lt;"&amp;EDATE(AR$5,1),tblAuftraege[Auftrag],$A21))</f>
        <v>0</v>
      </c>
      <c r="AS21" s="11" t="n">
        <f aca="false">IF($A21="",0,SUMIFS(tblAuftraege[Einnahmen],tblAuftraege[Datum Einnahmen],"&gt;="&amp;AS$5,tblAuftraege[Datum Einnahmen],"&lt;"&amp;EDATE(AS$5,1),tblAuftraege[Auftrag],$A21))</f>
        <v>0</v>
      </c>
      <c r="AT21" s="11" t="n">
        <f aca="false">IF($A21="",0,SUMIFS(tblAuftraege[Einnahmen],tblAuftraege[Datum Einnahmen],"&gt;="&amp;AT$5,tblAuftraege[Datum Einnahmen],"&lt;"&amp;EDATE(AT$5,1),tblAuftraege[Auftrag],$A21))</f>
        <v>0</v>
      </c>
      <c r="AU21" s="11" t="n">
        <f aca="false">IF($A21="",0,SUMIFS(tblAuftraege[Einnahmen],tblAuftraege[Datum Einnahmen],"&gt;="&amp;AU$5,tblAuftraege[Datum Einnahmen],"&lt;"&amp;EDATE(AU$5,1),tblAuftraege[Auftrag],$A21))</f>
        <v>0</v>
      </c>
      <c r="AV21" s="11" t="n">
        <f aca="false">IF($A21="",0,SUMIFS(tblAuftraege[Einnahmen],tblAuftraege[Datum Einnahmen],"&gt;="&amp;AV$5,tblAuftraege[Datum Einnahmen],"&lt;"&amp;EDATE(AV$5,1),tblAuftraege[Auftrag],$A21))</f>
        <v>0</v>
      </c>
      <c r="AW21" s="11" t="n">
        <f aca="false">IF($A21="",0,SUMIFS(tblAuftraege[Einnahmen],tblAuftraege[Datum Einnahmen],"&gt;="&amp;AW$5,tblAuftraege[Datum Einnahmen],"&lt;"&amp;EDATE(AW$5,1),tblAuftraege[Auftrag],$A21))</f>
        <v>0</v>
      </c>
      <c r="AX21" s="11" t="n">
        <f aca="false">IF($A21="",0,SUMIFS(tblAuftraege[Einnahmen],tblAuftraege[Datum Einnahmen],"&gt;="&amp;AX$5,tblAuftraege[Datum Einnahmen],"&lt;"&amp;EDATE(AX$5,1),tblAuftraege[Auftrag],$A21))</f>
        <v>0</v>
      </c>
      <c r="AY21" s="11" t="n">
        <f aca="false">IF($A21="",0,SUMIFS(tblAuftraege[Einnahmen],tblAuftraege[Datum Einnahmen],"&gt;="&amp;AY$5,tblAuftraege[Datum Einnahmen],"&lt;"&amp;EDATE(AY$5,1),tblAuftraege[Auftrag],$A21))</f>
        <v>0</v>
      </c>
      <c r="AZ21" s="11" t="n">
        <f aca="false">IF($A21="",0,SUMIFS(tblAuftraege[Einnahmen],tblAuftraege[Datum Einnahmen],"&gt;="&amp;AZ$5,tblAuftraege[Datum Einnahmen],"&lt;"&amp;EDATE(AZ$5,1),tblAuftraege[Auftrag],$A21))</f>
        <v>0</v>
      </c>
      <c r="BA21" s="11" t="n">
        <f aca="false">IF($A21="",0,SUMIFS(tblAuftraege[Einnahmen],tblAuftraege[Datum Einnahmen],"&gt;="&amp;BA$5,tblAuftraege[Datum Einnahmen],"&lt;"&amp;EDATE(BA$5,1),tblAuftraege[Auftrag],$A21))</f>
        <v>0</v>
      </c>
      <c r="BB21" s="11" t="n">
        <f aca="false">IF($A21="",0,SUMIFS(tblAuftraege[Einnahmen],tblAuftraege[Datum Einnahmen],"&gt;="&amp;BB$5,tblAuftraege[Datum Einnahmen],"&lt;"&amp;EDATE(BB$5,1),tblAuftraege[Auftrag],$A21))</f>
        <v>0</v>
      </c>
      <c r="BC21" s="11" t="n">
        <f aca="false">IF($A21="",0,SUMIFS(tblAuftraege[Einnahmen],tblAuftraege[Datum Einnahmen],"&gt;="&amp;BC$5,tblAuftraege[Datum Einnahmen],"&lt;"&amp;EDATE(BC$5,1),tblAuftraege[Auftrag],$A21))</f>
        <v>0</v>
      </c>
      <c r="BD21" s="11" t="n">
        <f aca="false">IF($A21="",0,SUMIFS(tblAuftraege[Einnahmen],tblAuftraege[Datum Einnahmen],"&gt;="&amp;BD$5,tblAuftraege[Datum Einnahmen],"&lt;"&amp;EDATE(BD$5,1),tblAuftraege[Auftrag],$A21))</f>
        <v>0</v>
      </c>
      <c r="BE21" s="11" t="n">
        <f aca="false">IF($A21="",0,SUMIFS(tblAuftraege[Einnahmen],tblAuftraege[Datum Einnahmen],"&gt;="&amp;BE$5,tblAuftraege[Datum Einnahmen],"&lt;"&amp;EDATE(BE$5,1),tblAuftraege[Auftrag],$A21))</f>
        <v>0</v>
      </c>
      <c r="BF21" s="11" t="n">
        <f aca="false">IF($A21="",0,SUMIFS(tblAuftraege[Einnahmen],tblAuftraege[Datum Einnahmen],"&gt;="&amp;BF$5,tblAuftraege[Datum Einnahmen],"&lt;"&amp;EDATE(BF$5,1),tblAuftraege[Auftrag],$A21))</f>
        <v>0</v>
      </c>
      <c r="BG21" s="11" t="n">
        <f aca="false">SUM(E21:J21)</f>
        <v>0</v>
      </c>
      <c r="BH21" s="11" t="n">
        <f aca="false">SUM(K21:V21)</f>
        <v>0</v>
      </c>
      <c r="BI21" s="11" t="n">
        <f aca="false">SUM(W21:AH21)</f>
        <v>0</v>
      </c>
      <c r="BJ21" s="11" t="n">
        <f aca="false">SUM(AI21:AT21)</f>
        <v>0</v>
      </c>
      <c r="BK21" s="11" t="n">
        <f aca="false">SUM(AU21:BF21)</f>
        <v>0</v>
      </c>
      <c r="BL21" s="12" t="n">
        <f aca="false">SUM(E21:BF21)</f>
        <v>0</v>
      </c>
    </row>
    <row r="22" customFormat="false" ht="15" hidden="false" customHeight="false" outlineLevel="0" collapsed="false">
      <c r="A22" s="9"/>
      <c r="B22" s="10" t="str">
        <f aca="false">IF($A22="","",IFERROR(INDEX(tblAuftraege[Kostenstelle],MATCH($A22,tblAuftraege[Auftrag],0)),""))</f>
        <v/>
      </c>
      <c r="C22" s="10" t="str">
        <f aca="false">IF($A22="","",IFERROR(INDEX(tblAuftraege[Themenfeld],MATCH($A22,tblAuftraege[Auftrag],0)),""))</f>
        <v/>
      </c>
      <c r="D22" s="10" t="str">
        <f aca="false">IF($A22="","",IFERROR(INDEX(tblAuftraege[Kategorie],MATCH($A22,tblAuftraege[Auftrag],0)),""))</f>
        <v/>
      </c>
      <c r="E22" s="11" t="n">
        <f aca="false">IF($A22="",0,SUMIFS(tblAuftraege[Einnahmen],tblAuftraege[Datum Einnahmen],"&gt;="&amp;E$5,tblAuftraege[Datum Einnahmen],"&lt;"&amp;EDATE(E$5,1),tblAuftraege[Auftrag],$A22))</f>
        <v>0</v>
      </c>
      <c r="F22" s="11" t="n">
        <f aca="false">IF($A22="",0,SUMIFS(tblAuftraege[Einnahmen],tblAuftraege[Datum Einnahmen],"&gt;="&amp;F$5,tblAuftraege[Datum Einnahmen],"&lt;"&amp;EDATE(F$5,1),tblAuftraege[Auftrag],$A22))</f>
        <v>0</v>
      </c>
      <c r="G22" s="11" t="n">
        <f aca="false">IF($A22="",0,SUMIFS(tblAuftraege[Einnahmen],tblAuftraege[Datum Einnahmen],"&gt;="&amp;G$5,tblAuftraege[Datum Einnahmen],"&lt;"&amp;EDATE(G$5,1),tblAuftraege[Auftrag],$A22))</f>
        <v>0</v>
      </c>
      <c r="H22" s="11" t="n">
        <f aca="false">IF($A22="",0,SUMIFS(tblAuftraege[Einnahmen],tblAuftraege[Datum Einnahmen],"&gt;="&amp;H$5,tblAuftraege[Datum Einnahmen],"&lt;"&amp;EDATE(H$5,1),tblAuftraege[Auftrag],$A22))</f>
        <v>0</v>
      </c>
      <c r="I22" s="11" t="n">
        <f aca="false">IF($A22="",0,SUMIFS(tblAuftraege[Einnahmen],tblAuftraege[Datum Einnahmen],"&gt;="&amp;I$5,tblAuftraege[Datum Einnahmen],"&lt;"&amp;EDATE(I$5,1),tblAuftraege[Auftrag],$A22))</f>
        <v>0</v>
      </c>
      <c r="J22" s="11" t="n">
        <f aca="false">IF($A22="",0,SUMIFS(tblAuftraege[Einnahmen],tblAuftraege[Datum Einnahmen],"&gt;="&amp;J$5,tblAuftraege[Datum Einnahmen],"&lt;"&amp;EDATE(J$5,1),tblAuftraege[Auftrag],$A22))</f>
        <v>0</v>
      </c>
      <c r="K22" s="11" t="n">
        <f aca="false">IF($A22="",0,SUMIFS(tblAuftraege[Einnahmen],tblAuftraege[Datum Einnahmen],"&gt;="&amp;K$5,tblAuftraege[Datum Einnahmen],"&lt;"&amp;EDATE(K$5,1),tblAuftraege[Auftrag],$A22))</f>
        <v>0</v>
      </c>
      <c r="L22" s="11" t="n">
        <f aca="false">IF($A22="",0,SUMIFS(tblAuftraege[Einnahmen],tblAuftraege[Datum Einnahmen],"&gt;="&amp;L$5,tblAuftraege[Datum Einnahmen],"&lt;"&amp;EDATE(L$5,1),tblAuftraege[Auftrag],$A22))</f>
        <v>0</v>
      </c>
      <c r="M22" s="11" t="n">
        <f aca="false">IF($A22="",0,SUMIFS(tblAuftraege[Einnahmen],tblAuftraege[Datum Einnahmen],"&gt;="&amp;M$5,tblAuftraege[Datum Einnahmen],"&lt;"&amp;EDATE(M$5,1),tblAuftraege[Auftrag],$A22))</f>
        <v>0</v>
      </c>
      <c r="N22" s="11" t="n">
        <f aca="false">IF($A22="",0,SUMIFS(tblAuftraege[Einnahmen],tblAuftraege[Datum Einnahmen],"&gt;="&amp;N$5,tblAuftraege[Datum Einnahmen],"&lt;"&amp;EDATE(N$5,1),tblAuftraege[Auftrag],$A22))</f>
        <v>0</v>
      </c>
      <c r="O22" s="11" t="n">
        <f aca="false">IF($A22="",0,SUMIFS(tblAuftraege[Einnahmen],tblAuftraege[Datum Einnahmen],"&gt;="&amp;O$5,tblAuftraege[Datum Einnahmen],"&lt;"&amp;EDATE(O$5,1),tblAuftraege[Auftrag],$A22))</f>
        <v>0</v>
      </c>
      <c r="P22" s="11" t="n">
        <f aca="false">IF($A22="",0,SUMIFS(tblAuftraege[Einnahmen],tblAuftraege[Datum Einnahmen],"&gt;="&amp;P$5,tblAuftraege[Datum Einnahmen],"&lt;"&amp;EDATE(P$5,1),tblAuftraege[Auftrag],$A22))</f>
        <v>0</v>
      </c>
      <c r="Q22" s="11" t="n">
        <f aca="false">IF($A22="",0,SUMIFS(tblAuftraege[Einnahmen],tblAuftraege[Datum Einnahmen],"&gt;="&amp;Q$5,tblAuftraege[Datum Einnahmen],"&lt;"&amp;EDATE(Q$5,1),tblAuftraege[Auftrag],$A22))</f>
        <v>0</v>
      </c>
      <c r="R22" s="11" t="n">
        <f aca="false">IF($A22="",0,SUMIFS(tblAuftraege[Einnahmen],tblAuftraege[Datum Einnahmen],"&gt;="&amp;R$5,tblAuftraege[Datum Einnahmen],"&lt;"&amp;EDATE(R$5,1),tblAuftraege[Auftrag],$A22))</f>
        <v>0</v>
      </c>
      <c r="S22" s="11" t="n">
        <f aca="false">IF($A22="",0,SUMIFS(tblAuftraege[Einnahmen],tblAuftraege[Datum Einnahmen],"&gt;="&amp;S$5,tblAuftraege[Datum Einnahmen],"&lt;"&amp;EDATE(S$5,1),tblAuftraege[Auftrag],$A22))</f>
        <v>0</v>
      </c>
      <c r="T22" s="11" t="n">
        <f aca="false">IF($A22="",0,SUMIFS(tblAuftraege[Einnahmen],tblAuftraege[Datum Einnahmen],"&gt;="&amp;T$5,tblAuftraege[Datum Einnahmen],"&lt;"&amp;EDATE(T$5,1),tblAuftraege[Auftrag],$A22))</f>
        <v>0</v>
      </c>
      <c r="U22" s="11" t="n">
        <f aca="false">IF($A22="",0,SUMIFS(tblAuftraege[Einnahmen],tblAuftraege[Datum Einnahmen],"&gt;="&amp;U$5,tblAuftraege[Datum Einnahmen],"&lt;"&amp;EDATE(U$5,1),tblAuftraege[Auftrag],$A22))</f>
        <v>0</v>
      </c>
      <c r="V22" s="11" t="n">
        <f aca="false">IF($A22="",0,SUMIFS(tblAuftraege[Einnahmen],tblAuftraege[Datum Einnahmen],"&gt;="&amp;V$5,tblAuftraege[Datum Einnahmen],"&lt;"&amp;EDATE(V$5,1),tblAuftraege[Auftrag],$A22))</f>
        <v>0</v>
      </c>
      <c r="W22" s="11" t="n">
        <f aca="false">IF($A22="",0,SUMIFS(tblAuftraege[Einnahmen],tblAuftraege[Datum Einnahmen],"&gt;="&amp;W$5,tblAuftraege[Datum Einnahmen],"&lt;"&amp;EDATE(W$5,1),tblAuftraege[Auftrag],$A22))</f>
        <v>0</v>
      </c>
      <c r="X22" s="11" t="n">
        <f aca="false">IF($A22="",0,SUMIFS(tblAuftraege[Einnahmen],tblAuftraege[Datum Einnahmen],"&gt;="&amp;X$5,tblAuftraege[Datum Einnahmen],"&lt;"&amp;EDATE(X$5,1),tblAuftraege[Auftrag],$A22))</f>
        <v>0</v>
      </c>
      <c r="Y22" s="11" t="n">
        <f aca="false">IF($A22="",0,SUMIFS(tblAuftraege[Einnahmen],tblAuftraege[Datum Einnahmen],"&gt;="&amp;Y$5,tblAuftraege[Datum Einnahmen],"&lt;"&amp;EDATE(Y$5,1),tblAuftraege[Auftrag],$A22))</f>
        <v>0</v>
      </c>
      <c r="Z22" s="11" t="n">
        <f aca="false">IF($A22="",0,SUMIFS(tblAuftraege[Einnahmen],tblAuftraege[Datum Einnahmen],"&gt;="&amp;Z$5,tblAuftraege[Datum Einnahmen],"&lt;"&amp;EDATE(Z$5,1),tblAuftraege[Auftrag],$A22))</f>
        <v>0</v>
      </c>
      <c r="AA22" s="11" t="n">
        <f aca="false">IF($A22="",0,SUMIFS(tblAuftraege[Einnahmen],tblAuftraege[Datum Einnahmen],"&gt;="&amp;AA$5,tblAuftraege[Datum Einnahmen],"&lt;"&amp;EDATE(AA$5,1),tblAuftraege[Auftrag],$A22))</f>
        <v>0</v>
      </c>
      <c r="AB22" s="11" t="n">
        <f aca="false">IF($A22="",0,SUMIFS(tblAuftraege[Einnahmen],tblAuftraege[Datum Einnahmen],"&gt;="&amp;AB$5,tblAuftraege[Datum Einnahmen],"&lt;"&amp;EDATE(AB$5,1),tblAuftraege[Auftrag],$A22))</f>
        <v>0</v>
      </c>
      <c r="AC22" s="11" t="n">
        <f aca="false">IF($A22="",0,SUMIFS(tblAuftraege[Einnahmen],tblAuftraege[Datum Einnahmen],"&gt;="&amp;AC$5,tblAuftraege[Datum Einnahmen],"&lt;"&amp;EDATE(AC$5,1),tblAuftraege[Auftrag],$A22))</f>
        <v>0</v>
      </c>
      <c r="AD22" s="11" t="n">
        <f aca="false">IF($A22="",0,SUMIFS(tblAuftraege[Einnahmen],tblAuftraege[Datum Einnahmen],"&gt;="&amp;AD$5,tblAuftraege[Datum Einnahmen],"&lt;"&amp;EDATE(AD$5,1),tblAuftraege[Auftrag],$A22))</f>
        <v>0</v>
      </c>
      <c r="AE22" s="11" t="n">
        <f aca="false">IF($A22="",0,SUMIFS(tblAuftraege[Einnahmen],tblAuftraege[Datum Einnahmen],"&gt;="&amp;AE$5,tblAuftraege[Datum Einnahmen],"&lt;"&amp;EDATE(AE$5,1),tblAuftraege[Auftrag],$A22))</f>
        <v>0</v>
      </c>
      <c r="AF22" s="11" t="n">
        <f aca="false">IF($A22="",0,SUMIFS(tblAuftraege[Einnahmen],tblAuftraege[Datum Einnahmen],"&gt;="&amp;AF$5,tblAuftraege[Datum Einnahmen],"&lt;"&amp;EDATE(AF$5,1),tblAuftraege[Auftrag],$A22))</f>
        <v>0</v>
      </c>
      <c r="AG22" s="11" t="n">
        <f aca="false">IF($A22="",0,SUMIFS(tblAuftraege[Einnahmen],tblAuftraege[Datum Einnahmen],"&gt;="&amp;AG$5,tblAuftraege[Datum Einnahmen],"&lt;"&amp;EDATE(AG$5,1),tblAuftraege[Auftrag],$A22))</f>
        <v>0</v>
      </c>
      <c r="AH22" s="11" t="n">
        <f aca="false">IF($A22="",0,SUMIFS(tblAuftraege[Einnahmen],tblAuftraege[Datum Einnahmen],"&gt;="&amp;AH$5,tblAuftraege[Datum Einnahmen],"&lt;"&amp;EDATE(AH$5,1),tblAuftraege[Auftrag],$A22))</f>
        <v>0</v>
      </c>
      <c r="AI22" s="11" t="n">
        <f aca="false">IF($A22="",0,SUMIFS(tblAuftraege[Einnahmen],tblAuftraege[Datum Einnahmen],"&gt;="&amp;AI$5,tblAuftraege[Datum Einnahmen],"&lt;"&amp;EDATE(AI$5,1),tblAuftraege[Auftrag],$A22))</f>
        <v>0</v>
      </c>
      <c r="AJ22" s="11" t="n">
        <f aca="false">IF($A22="",0,SUMIFS(tblAuftraege[Einnahmen],tblAuftraege[Datum Einnahmen],"&gt;="&amp;AJ$5,tblAuftraege[Datum Einnahmen],"&lt;"&amp;EDATE(AJ$5,1),tblAuftraege[Auftrag],$A22))</f>
        <v>0</v>
      </c>
      <c r="AK22" s="11" t="n">
        <f aca="false">IF($A22="",0,SUMIFS(tblAuftraege[Einnahmen],tblAuftraege[Datum Einnahmen],"&gt;="&amp;AK$5,tblAuftraege[Datum Einnahmen],"&lt;"&amp;EDATE(AK$5,1),tblAuftraege[Auftrag],$A22))</f>
        <v>0</v>
      </c>
      <c r="AL22" s="11" t="n">
        <f aca="false">IF($A22="",0,SUMIFS(tblAuftraege[Einnahmen],tblAuftraege[Datum Einnahmen],"&gt;="&amp;AL$5,tblAuftraege[Datum Einnahmen],"&lt;"&amp;EDATE(AL$5,1),tblAuftraege[Auftrag],$A22))</f>
        <v>0</v>
      </c>
      <c r="AM22" s="11" t="n">
        <f aca="false">IF($A22="",0,SUMIFS(tblAuftraege[Einnahmen],tblAuftraege[Datum Einnahmen],"&gt;="&amp;AM$5,tblAuftraege[Datum Einnahmen],"&lt;"&amp;EDATE(AM$5,1),tblAuftraege[Auftrag],$A22))</f>
        <v>0</v>
      </c>
      <c r="AN22" s="11" t="n">
        <f aca="false">IF($A22="",0,SUMIFS(tblAuftraege[Einnahmen],tblAuftraege[Datum Einnahmen],"&gt;="&amp;AN$5,tblAuftraege[Datum Einnahmen],"&lt;"&amp;EDATE(AN$5,1),tblAuftraege[Auftrag],$A22))</f>
        <v>0</v>
      </c>
      <c r="AO22" s="11" t="n">
        <f aca="false">IF($A22="",0,SUMIFS(tblAuftraege[Einnahmen],tblAuftraege[Datum Einnahmen],"&gt;="&amp;AO$5,tblAuftraege[Datum Einnahmen],"&lt;"&amp;EDATE(AO$5,1),tblAuftraege[Auftrag],$A22))</f>
        <v>0</v>
      </c>
      <c r="AP22" s="11" t="n">
        <f aca="false">IF($A22="",0,SUMIFS(tblAuftraege[Einnahmen],tblAuftraege[Datum Einnahmen],"&gt;="&amp;AP$5,tblAuftraege[Datum Einnahmen],"&lt;"&amp;EDATE(AP$5,1),tblAuftraege[Auftrag],$A22))</f>
        <v>0</v>
      </c>
      <c r="AQ22" s="11" t="n">
        <f aca="false">IF($A22="",0,SUMIFS(tblAuftraege[Einnahmen],tblAuftraege[Datum Einnahmen],"&gt;="&amp;AQ$5,tblAuftraege[Datum Einnahmen],"&lt;"&amp;EDATE(AQ$5,1),tblAuftraege[Auftrag],$A22))</f>
        <v>0</v>
      </c>
      <c r="AR22" s="11" t="n">
        <f aca="false">IF($A22="",0,SUMIFS(tblAuftraege[Einnahmen],tblAuftraege[Datum Einnahmen],"&gt;="&amp;AR$5,tblAuftraege[Datum Einnahmen],"&lt;"&amp;EDATE(AR$5,1),tblAuftraege[Auftrag],$A22))</f>
        <v>0</v>
      </c>
      <c r="AS22" s="11" t="n">
        <f aca="false">IF($A22="",0,SUMIFS(tblAuftraege[Einnahmen],tblAuftraege[Datum Einnahmen],"&gt;="&amp;AS$5,tblAuftraege[Datum Einnahmen],"&lt;"&amp;EDATE(AS$5,1),tblAuftraege[Auftrag],$A22))</f>
        <v>0</v>
      </c>
      <c r="AT22" s="11" t="n">
        <f aca="false">IF($A22="",0,SUMIFS(tblAuftraege[Einnahmen],tblAuftraege[Datum Einnahmen],"&gt;="&amp;AT$5,tblAuftraege[Datum Einnahmen],"&lt;"&amp;EDATE(AT$5,1),tblAuftraege[Auftrag],$A22))</f>
        <v>0</v>
      </c>
      <c r="AU22" s="11" t="n">
        <f aca="false">IF($A22="",0,SUMIFS(tblAuftraege[Einnahmen],tblAuftraege[Datum Einnahmen],"&gt;="&amp;AU$5,tblAuftraege[Datum Einnahmen],"&lt;"&amp;EDATE(AU$5,1),tblAuftraege[Auftrag],$A22))</f>
        <v>0</v>
      </c>
      <c r="AV22" s="11" t="n">
        <f aca="false">IF($A22="",0,SUMIFS(tblAuftraege[Einnahmen],tblAuftraege[Datum Einnahmen],"&gt;="&amp;AV$5,tblAuftraege[Datum Einnahmen],"&lt;"&amp;EDATE(AV$5,1),tblAuftraege[Auftrag],$A22))</f>
        <v>0</v>
      </c>
      <c r="AW22" s="11" t="n">
        <f aca="false">IF($A22="",0,SUMIFS(tblAuftraege[Einnahmen],tblAuftraege[Datum Einnahmen],"&gt;="&amp;AW$5,tblAuftraege[Datum Einnahmen],"&lt;"&amp;EDATE(AW$5,1),tblAuftraege[Auftrag],$A22))</f>
        <v>0</v>
      </c>
      <c r="AX22" s="11" t="n">
        <f aca="false">IF($A22="",0,SUMIFS(tblAuftraege[Einnahmen],tblAuftraege[Datum Einnahmen],"&gt;="&amp;AX$5,tblAuftraege[Datum Einnahmen],"&lt;"&amp;EDATE(AX$5,1),tblAuftraege[Auftrag],$A22))</f>
        <v>0</v>
      </c>
      <c r="AY22" s="11" t="n">
        <f aca="false">IF($A22="",0,SUMIFS(tblAuftraege[Einnahmen],tblAuftraege[Datum Einnahmen],"&gt;="&amp;AY$5,tblAuftraege[Datum Einnahmen],"&lt;"&amp;EDATE(AY$5,1),tblAuftraege[Auftrag],$A22))</f>
        <v>0</v>
      </c>
      <c r="AZ22" s="11" t="n">
        <f aca="false">IF($A22="",0,SUMIFS(tblAuftraege[Einnahmen],tblAuftraege[Datum Einnahmen],"&gt;="&amp;AZ$5,tblAuftraege[Datum Einnahmen],"&lt;"&amp;EDATE(AZ$5,1),tblAuftraege[Auftrag],$A22))</f>
        <v>0</v>
      </c>
      <c r="BA22" s="11" t="n">
        <f aca="false">IF($A22="",0,SUMIFS(tblAuftraege[Einnahmen],tblAuftraege[Datum Einnahmen],"&gt;="&amp;BA$5,tblAuftraege[Datum Einnahmen],"&lt;"&amp;EDATE(BA$5,1),tblAuftraege[Auftrag],$A22))</f>
        <v>0</v>
      </c>
      <c r="BB22" s="11" t="n">
        <f aca="false">IF($A22="",0,SUMIFS(tblAuftraege[Einnahmen],tblAuftraege[Datum Einnahmen],"&gt;="&amp;BB$5,tblAuftraege[Datum Einnahmen],"&lt;"&amp;EDATE(BB$5,1),tblAuftraege[Auftrag],$A22))</f>
        <v>0</v>
      </c>
      <c r="BC22" s="11" t="n">
        <f aca="false">IF($A22="",0,SUMIFS(tblAuftraege[Einnahmen],tblAuftraege[Datum Einnahmen],"&gt;="&amp;BC$5,tblAuftraege[Datum Einnahmen],"&lt;"&amp;EDATE(BC$5,1),tblAuftraege[Auftrag],$A22))</f>
        <v>0</v>
      </c>
      <c r="BD22" s="11" t="n">
        <f aca="false">IF($A22="",0,SUMIFS(tblAuftraege[Einnahmen],tblAuftraege[Datum Einnahmen],"&gt;="&amp;BD$5,tblAuftraege[Datum Einnahmen],"&lt;"&amp;EDATE(BD$5,1),tblAuftraege[Auftrag],$A22))</f>
        <v>0</v>
      </c>
      <c r="BE22" s="11" t="n">
        <f aca="false">IF($A22="",0,SUMIFS(tblAuftraege[Einnahmen],tblAuftraege[Datum Einnahmen],"&gt;="&amp;BE$5,tblAuftraege[Datum Einnahmen],"&lt;"&amp;EDATE(BE$5,1),tblAuftraege[Auftrag],$A22))</f>
        <v>0</v>
      </c>
      <c r="BF22" s="11" t="n">
        <f aca="false">IF($A22="",0,SUMIFS(tblAuftraege[Einnahmen],tblAuftraege[Datum Einnahmen],"&gt;="&amp;BF$5,tblAuftraege[Datum Einnahmen],"&lt;"&amp;EDATE(BF$5,1),tblAuftraege[Auftrag],$A22))</f>
        <v>0</v>
      </c>
      <c r="BG22" s="11" t="n">
        <f aca="false">SUM(E22:J22)</f>
        <v>0</v>
      </c>
      <c r="BH22" s="11" t="n">
        <f aca="false">SUM(K22:V22)</f>
        <v>0</v>
      </c>
      <c r="BI22" s="11" t="n">
        <f aca="false">SUM(W22:AH22)</f>
        <v>0</v>
      </c>
      <c r="BJ22" s="11" t="n">
        <f aca="false">SUM(AI22:AT22)</f>
        <v>0</v>
      </c>
      <c r="BK22" s="11" t="n">
        <f aca="false">SUM(AU22:BF22)</f>
        <v>0</v>
      </c>
      <c r="BL22" s="12" t="n">
        <f aca="false">SUM(E22:BF22)</f>
        <v>0</v>
      </c>
    </row>
    <row r="23" customFormat="false" ht="15" hidden="false" customHeight="false" outlineLevel="0" collapsed="false">
      <c r="A23" s="9"/>
      <c r="B23" s="10" t="str">
        <f aca="false">IF($A23="","",IFERROR(INDEX(tblAuftraege[Kostenstelle],MATCH($A23,tblAuftraege[Auftrag],0)),""))</f>
        <v/>
      </c>
      <c r="C23" s="10" t="str">
        <f aca="false">IF($A23="","",IFERROR(INDEX(tblAuftraege[Themenfeld],MATCH($A23,tblAuftraege[Auftrag],0)),""))</f>
        <v/>
      </c>
      <c r="D23" s="10" t="str">
        <f aca="false">IF($A23="","",IFERROR(INDEX(tblAuftraege[Kategorie],MATCH($A23,tblAuftraege[Auftrag],0)),""))</f>
        <v/>
      </c>
      <c r="E23" s="11" t="n">
        <f aca="false">IF($A23="",0,SUMIFS(tblAuftraege[Einnahmen],tblAuftraege[Datum Einnahmen],"&gt;="&amp;E$5,tblAuftraege[Datum Einnahmen],"&lt;"&amp;EDATE(E$5,1),tblAuftraege[Auftrag],$A23))</f>
        <v>0</v>
      </c>
      <c r="F23" s="11" t="n">
        <f aca="false">IF($A23="",0,SUMIFS(tblAuftraege[Einnahmen],tblAuftraege[Datum Einnahmen],"&gt;="&amp;F$5,tblAuftraege[Datum Einnahmen],"&lt;"&amp;EDATE(F$5,1),tblAuftraege[Auftrag],$A23))</f>
        <v>0</v>
      </c>
      <c r="G23" s="11" t="n">
        <f aca="false">IF($A23="",0,SUMIFS(tblAuftraege[Einnahmen],tblAuftraege[Datum Einnahmen],"&gt;="&amp;G$5,tblAuftraege[Datum Einnahmen],"&lt;"&amp;EDATE(G$5,1),tblAuftraege[Auftrag],$A23))</f>
        <v>0</v>
      </c>
      <c r="H23" s="11" t="n">
        <f aca="false">IF($A23="",0,SUMIFS(tblAuftraege[Einnahmen],tblAuftraege[Datum Einnahmen],"&gt;="&amp;H$5,tblAuftraege[Datum Einnahmen],"&lt;"&amp;EDATE(H$5,1),tblAuftraege[Auftrag],$A23))</f>
        <v>0</v>
      </c>
      <c r="I23" s="11" t="n">
        <f aca="false">IF($A23="",0,SUMIFS(tblAuftraege[Einnahmen],tblAuftraege[Datum Einnahmen],"&gt;="&amp;I$5,tblAuftraege[Datum Einnahmen],"&lt;"&amp;EDATE(I$5,1),tblAuftraege[Auftrag],$A23))</f>
        <v>0</v>
      </c>
      <c r="J23" s="11" t="n">
        <f aca="false">IF($A23="",0,SUMIFS(tblAuftraege[Einnahmen],tblAuftraege[Datum Einnahmen],"&gt;="&amp;J$5,tblAuftraege[Datum Einnahmen],"&lt;"&amp;EDATE(J$5,1),tblAuftraege[Auftrag],$A23))</f>
        <v>0</v>
      </c>
      <c r="K23" s="11" t="n">
        <f aca="false">IF($A23="",0,SUMIFS(tblAuftraege[Einnahmen],tblAuftraege[Datum Einnahmen],"&gt;="&amp;K$5,tblAuftraege[Datum Einnahmen],"&lt;"&amp;EDATE(K$5,1),tblAuftraege[Auftrag],$A23))</f>
        <v>0</v>
      </c>
      <c r="L23" s="11" t="n">
        <f aca="false">IF($A23="",0,SUMIFS(tblAuftraege[Einnahmen],tblAuftraege[Datum Einnahmen],"&gt;="&amp;L$5,tblAuftraege[Datum Einnahmen],"&lt;"&amp;EDATE(L$5,1),tblAuftraege[Auftrag],$A23))</f>
        <v>0</v>
      </c>
      <c r="M23" s="11" t="n">
        <f aca="false">IF($A23="",0,SUMIFS(tblAuftraege[Einnahmen],tblAuftraege[Datum Einnahmen],"&gt;="&amp;M$5,tblAuftraege[Datum Einnahmen],"&lt;"&amp;EDATE(M$5,1),tblAuftraege[Auftrag],$A23))</f>
        <v>0</v>
      </c>
      <c r="N23" s="11" t="n">
        <f aca="false">IF($A23="",0,SUMIFS(tblAuftraege[Einnahmen],tblAuftraege[Datum Einnahmen],"&gt;="&amp;N$5,tblAuftraege[Datum Einnahmen],"&lt;"&amp;EDATE(N$5,1),tblAuftraege[Auftrag],$A23))</f>
        <v>0</v>
      </c>
      <c r="O23" s="11" t="n">
        <f aca="false">IF($A23="",0,SUMIFS(tblAuftraege[Einnahmen],tblAuftraege[Datum Einnahmen],"&gt;="&amp;O$5,tblAuftraege[Datum Einnahmen],"&lt;"&amp;EDATE(O$5,1),tblAuftraege[Auftrag],$A23))</f>
        <v>0</v>
      </c>
      <c r="P23" s="11" t="n">
        <f aca="false">IF($A23="",0,SUMIFS(tblAuftraege[Einnahmen],tblAuftraege[Datum Einnahmen],"&gt;="&amp;P$5,tblAuftraege[Datum Einnahmen],"&lt;"&amp;EDATE(P$5,1),tblAuftraege[Auftrag],$A23))</f>
        <v>0</v>
      </c>
      <c r="Q23" s="11" t="n">
        <f aca="false">IF($A23="",0,SUMIFS(tblAuftraege[Einnahmen],tblAuftraege[Datum Einnahmen],"&gt;="&amp;Q$5,tblAuftraege[Datum Einnahmen],"&lt;"&amp;EDATE(Q$5,1),tblAuftraege[Auftrag],$A23))</f>
        <v>0</v>
      </c>
      <c r="R23" s="11" t="n">
        <f aca="false">IF($A23="",0,SUMIFS(tblAuftraege[Einnahmen],tblAuftraege[Datum Einnahmen],"&gt;="&amp;R$5,tblAuftraege[Datum Einnahmen],"&lt;"&amp;EDATE(R$5,1),tblAuftraege[Auftrag],$A23))</f>
        <v>0</v>
      </c>
      <c r="S23" s="11" t="n">
        <f aca="false">IF($A23="",0,SUMIFS(tblAuftraege[Einnahmen],tblAuftraege[Datum Einnahmen],"&gt;="&amp;S$5,tblAuftraege[Datum Einnahmen],"&lt;"&amp;EDATE(S$5,1),tblAuftraege[Auftrag],$A23))</f>
        <v>0</v>
      </c>
      <c r="T23" s="11" t="n">
        <f aca="false">IF($A23="",0,SUMIFS(tblAuftraege[Einnahmen],tblAuftraege[Datum Einnahmen],"&gt;="&amp;T$5,tblAuftraege[Datum Einnahmen],"&lt;"&amp;EDATE(T$5,1),tblAuftraege[Auftrag],$A23))</f>
        <v>0</v>
      </c>
      <c r="U23" s="11" t="n">
        <f aca="false">IF($A23="",0,SUMIFS(tblAuftraege[Einnahmen],tblAuftraege[Datum Einnahmen],"&gt;="&amp;U$5,tblAuftraege[Datum Einnahmen],"&lt;"&amp;EDATE(U$5,1),tblAuftraege[Auftrag],$A23))</f>
        <v>0</v>
      </c>
      <c r="V23" s="11" t="n">
        <f aca="false">IF($A23="",0,SUMIFS(tblAuftraege[Einnahmen],tblAuftraege[Datum Einnahmen],"&gt;="&amp;V$5,tblAuftraege[Datum Einnahmen],"&lt;"&amp;EDATE(V$5,1),tblAuftraege[Auftrag],$A23))</f>
        <v>0</v>
      </c>
      <c r="W23" s="11" t="n">
        <f aca="false">IF($A23="",0,SUMIFS(tblAuftraege[Einnahmen],tblAuftraege[Datum Einnahmen],"&gt;="&amp;W$5,tblAuftraege[Datum Einnahmen],"&lt;"&amp;EDATE(W$5,1),tblAuftraege[Auftrag],$A23))</f>
        <v>0</v>
      </c>
      <c r="X23" s="11" t="n">
        <f aca="false">IF($A23="",0,SUMIFS(tblAuftraege[Einnahmen],tblAuftraege[Datum Einnahmen],"&gt;="&amp;X$5,tblAuftraege[Datum Einnahmen],"&lt;"&amp;EDATE(X$5,1),tblAuftraege[Auftrag],$A23))</f>
        <v>0</v>
      </c>
      <c r="Y23" s="11" t="n">
        <f aca="false">IF($A23="",0,SUMIFS(tblAuftraege[Einnahmen],tblAuftraege[Datum Einnahmen],"&gt;="&amp;Y$5,tblAuftraege[Datum Einnahmen],"&lt;"&amp;EDATE(Y$5,1),tblAuftraege[Auftrag],$A23))</f>
        <v>0</v>
      </c>
      <c r="Z23" s="11" t="n">
        <f aca="false">IF($A23="",0,SUMIFS(tblAuftraege[Einnahmen],tblAuftraege[Datum Einnahmen],"&gt;="&amp;Z$5,tblAuftraege[Datum Einnahmen],"&lt;"&amp;EDATE(Z$5,1),tblAuftraege[Auftrag],$A23))</f>
        <v>0</v>
      </c>
      <c r="AA23" s="11" t="n">
        <f aca="false">IF($A23="",0,SUMIFS(tblAuftraege[Einnahmen],tblAuftraege[Datum Einnahmen],"&gt;="&amp;AA$5,tblAuftraege[Datum Einnahmen],"&lt;"&amp;EDATE(AA$5,1),tblAuftraege[Auftrag],$A23))</f>
        <v>0</v>
      </c>
      <c r="AB23" s="11" t="n">
        <f aca="false">IF($A23="",0,SUMIFS(tblAuftraege[Einnahmen],tblAuftraege[Datum Einnahmen],"&gt;="&amp;AB$5,tblAuftraege[Datum Einnahmen],"&lt;"&amp;EDATE(AB$5,1),tblAuftraege[Auftrag],$A23))</f>
        <v>0</v>
      </c>
      <c r="AC23" s="11" t="n">
        <f aca="false">IF($A23="",0,SUMIFS(tblAuftraege[Einnahmen],tblAuftraege[Datum Einnahmen],"&gt;="&amp;AC$5,tblAuftraege[Datum Einnahmen],"&lt;"&amp;EDATE(AC$5,1),tblAuftraege[Auftrag],$A23))</f>
        <v>0</v>
      </c>
      <c r="AD23" s="11" t="n">
        <f aca="false">IF($A23="",0,SUMIFS(tblAuftraege[Einnahmen],tblAuftraege[Datum Einnahmen],"&gt;="&amp;AD$5,tblAuftraege[Datum Einnahmen],"&lt;"&amp;EDATE(AD$5,1),tblAuftraege[Auftrag],$A23))</f>
        <v>0</v>
      </c>
      <c r="AE23" s="11" t="n">
        <f aca="false">IF($A23="",0,SUMIFS(tblAuftraege[Einnahmen],tblAuftraege[Datum Einnahmen],"&gt;="&amp;AE$5,tblAuftraege[Datum Einnahmen],"&lt;"&amp;EDATE(AE$5,1),tblAuftraege[Auftrag],$A23))</f>
        <v>0</v>
      </c>
      <c r="AF23" s="11" t="n">
        <f aca="false">IF($A23="",0,SUMIFS(tblAuftraege[Einnahmen],tblAuftraege[Datum Einnahmen],"&gt;="&amp;AF$5,tblAuftraege[Datum Einnahmen],"&lt;"&amp;EDATE(AF$5,1),tblAuftraege[Auftrag],$A23))</f>
        <v>0</v>
      </c>
      <c r="AG23" s="11" t="n">
        <f aca="false">IF($A23="",0,SUMIFS(tblAuftraege[Einnahmen],tblAuftraege[Datum Einnahmen],"&gt;="&amp;AG$5,tblAuftraege[Datum Einnahmen],"&lt;"&amp;EDATE(AG$5,1),tblAuftraege[Auftrag],$A23))</f>
        <v>0</v>
      </c>
      <c r="AH23" s="11" t="n">
        <f aca="false">IF($A23="",0,SUMIFS(tblAuftraege[Einnahmen],tblAuftraege[Datum Einnahmen],"&gt;="&amp;AH$5,tblAuftraege[Datum Einnahmen],"&lt;"&amp;EDATE(AH$5,1),tblAuftraege[Auftrag],$A23))</f>
        <v>0</v>
      </c>
      <c r="AI23" s="11" t="n">
        <f aca="false">IF($A23="",0,SUMIFS(tblAuftraege[Einnahmen],tblAuftraege[Datum Einnahmen],"&gt;="&amp;AI$5,tblAuftraege[Datum Einnahmen],"&lt;"&amp;EDATE(AI$5,1),tblAuftraege[Auftrag],$A23))</f>
        <v>0</v>
      </c>
      <c r="AJ23" s="11" t="n">
        <f aca="false">IF($A23="",0,SUMIFS(tblAuftraege[Einnahmen],tblAuftraege[Datum Einnahmen],"&gt;="&amp;AJ$5,tblAuftraege[Datum Einnahmen],"&lt;"&amp;EDATE(AJ$5,1),tblAuftraege[Auftrag],$A23))</f>
        <v>0</v>
      </c>
      <c r="AK23" s="11" t="n">
        <f aca="false">IF($A23="",0,SUMIFS(tblAuftraege[Einnahmen],tblAuftraege[Datum Einnahmen],"&gt;="&amp;AK$5,tblAuftraege[Datum Einnahmen],"&lt;"&amp;EDATE(AK$5,1),tblAuftraege[Auftrag],$A23))</f>
        <v>0</v>
      </c>
      <c r="AL23" s="11" t="n">
        <f aca="false">IF($A23="",0,SUMIFS(tblAuftraege[Einnahmen],tblAuftraege[Datum Einnahmen],"&gt;="&amp;AL$5,tblAuftraege[Datum Einnahmen],"&lt;"&amp;EDATE(AL$5,1),tblAuftraege[Auftrag],$A23))</f>
        <v>0</v>
      </c>
      <c r="AM23" s="11" t="n">
        <f aca="false">IF($A23="",0,SUMIFS(tblAuftraege[Einnahmen],tblAuftraege[Datum Einnahmen],"&gt;="&amp;AM$5,tblAuftraege[Datum Einnahmen],"&lt;"&amp;EDATE(AM$5,1),tblAuftraege[Auftrag],$A23))</f>
        <v>0</v>
      </c>
      <c r="AN23" s="11" t="n">
        <f aca="false">IF($A23="",0,SUMIFS(tblAuftraege[Einnahmen],tblAuftraege[Datum Einnahmen],"&gt;="&amp;AN$5,tblAuftraege[Datum Einnahmen],"&lt;"&amp;EDATE(AN$5,1),tblAuftraege[Auftrag],$A23))</f>
        <v>0</v>
      </c>
      <c r="AO23" s="11" t="n">
        <f aca="false">IF($A23="",0,SUMIFS(tblAuftraege[Einnahmen],tblAuftraege[Datum Einnahmen],"&gt;="&amp;AO$5,tblAuftraege[Datum Einnahmen],"&lt;"&amp;EDATE(AO$5,1),tblAuftraege[Auftrag],$A23))</f>
        <v>0</v>
      </c>
      <c r="AP23" s="11" t="n">
        <f aca="false">IF($A23="",0,SUMIFS(tblAuftraege[Einnahmen],tblAuftraege[Datum Einnahmen],"&gt;="&amp;AP$5,tblAuftraege[Datum Einnahmen],"&lt;"&amp;EDATE(AP$5,1),tblAuftraege[Auftrag],$A23))</f>
        <v>0</v>
      </c>
      <c r="AQ23" s="11" t="n">
        <f aca="false">IF($A23="",0,SUMIFS(tblAuftraege[Einnahmen],tblAuftraege[Datum Einnahmen],"&gt;="&amp;AQ$5,tblAuftraege[Datum Einnahmen],"&lt;"&amp;EDATE(AQ$5,1),tblAuftraege[Auftrag],$A23))</f>
        <v>0</v>
      </c>
      <c r="AR23" s="11" t="n">
        <f aca="false">IF($A23="",0,SUMIFS(tblAuftraege[Einnahmen],tblAuftraege[Datum Einnahmen],"&gt;="&amp;AR$5,tblAuftraege[Datum Einnahmen],"&lt;"&amp;EDATE(AR$5,1),tblAuftraege[Auftrag],$A23))</f>
        <v>0</v>
      </c>
      <c r="AS23" s="11" t="n">
        <f aca="false">IF($A23="",0,SUMIFS(tblAuftraege[Einnahmen],tblAuftraege[Datum Einnahmen],"&gt;="&amp;AS$5,tblAuftraege[Datum Einnahmen],"&lt;"&amp;EDATE(AS$5,1),tblAuftraege[Auftrag],$A23))</f>
        <v>0</v>
      </c>
      <c r="AT23" s="11" t="n">
        <f aca="false">IF($A23="",0,SUMIFS(tblAuftraege[Einnahmen],tblAuftraege[Datum Einnahmen],"&gt;="&amp;AT$5,tblAuftraege[Datum Einnahmen],"&lt;"&amp;EDATE(AT$5,1),tblAuftraege[Auftrag],$A23))</f>
        <v>0</v>
      </c>
      <c r="AU23" s="11" t="n">
        <f aca="false">IF($A23="",0,SUMIFS(tblAuftraege[Einnahmen],tblAuftraege[Datum Einnahmen],"&gt;="&amp;AU$5,tblAuftraege[Datum Einnahmen],"&lt;"&amp;EDATE(AU$5,1),tblAuftraege[Auftrag],$A23))</f>
        <v>0</v>
      </c>
      <c r="AV23" s="11" t="n">
        <f aca="false">IF($A23="",0,SUMIFS(tblAuftraege[Einnahmen],tblAuftraege[Datum Einnahmen],"&gt;="&amp;AV$5,tblAuftraege[Datum Einnahmen],"&lt;"&amp;EDATE(AV$5,1),tblAuftraege[Auftrag],$A23))</f>
        <v>0</v>
      </c>
      <c r="AW23" s="11" t="n">
        <f aca="false">IF($A23="",0,SUMIFS(tblAuftraege[Einnahmen],tblAuftraege[Datum Einnahmen],"&gt;="&amp;AW$5,tblAuftraege[Datum Einnahmen],"&lt;"&amp;EDATE(AW$5,1),tblAuftraege[Auftrag],$A23))</f>
        <v>0</v>
      </c>
      <c r="AX23" s="11" t="n">
        <f aca="false">IF($A23="",0,SUMIFS(tblAuftraege[Einnahmen],tblAuftraege[Datum Einnahmen],"&gt;="&amp;AX$5,tblAuftraege[Datum Einnahmen],"&lt;"&amp;EDATE(AX$5,1),tblAuftraege[Auftrag],$A23))</f>
        <v>0</v>
      </c>
      <c r="AY23" s="11" t="n">
        <f aca="false">IF($A23="",0,SUMIFS(tblAuftraege[Einnahmen],tblAuftraege[Datum Einnahmen],"&gt;="&amp;AY$5,tblAuftraege[Datum Einnahmen],"&lt;"&amp;EDATE(AY$5,1),tblAuftraege[Auftrag],$A23))</f>
        <v>0</v>
      </c>
      <c r="AZ23" s="11" t="n">
        <f aca="false">IF($A23="",0,SUMIFS(tblAuftraege[Einnahmen],tblAuftraege[Datum Einnahmen],"&gt;="&amp;AZ$5,tblAuftraege[Datum Einnahmen],"&lt;"&amp;EDATE(AZ$5,1),tblAuftraege[Auftrag],$A23))</f>
        <v>0</v>
      </c>
      <c r="BA23" s="11" t="n">
        <f aca="false">IF($A23="",0,SUMIFS(tblAuftraege[Einnahmen],tblAuftraege[Datum Einnahmen],"&gt;="&amp;BA$5,tblAuftraege[Datum Einnahmen],"&lt;"&amp;EDATE(BA$5,1),tblAuftraege[Auftrag],$A23))</f>
        <v>0</v>
      </c>
      <c r="BB23" s="11" t="n">
        <f aca="false">IF($A23="",0,SUMIFS(tblAuftraege[Einnahmen],tblAuftraege[Datum Einnahmen],"&gt;="&amp;BB$5,tblAuftraege[Datum Einnahmen],"&lt;"&amp;EDATE(BB$5,1),tblAuftraege[Auftrag],$A23))</f>
        <v>0</v>
      </c>
      <c r="BC23" s="11" t="n">
        <f aca="false">IF($A23="",0,SUMIFS(tblAuftraege[Einnahmen],tblAuftraege[Datum Einnahmen],"&gt;="&amp;BC$5,tblAuftraege[Datum Einnahmen],"&lt;"&amp;EDATE(BC$5,1),tblAuftraege[Auftrag],$A23))</f>
        <v>0</v>
      </c>
      <c r="BD23" s="11" t="n">
        <f aca="false">IF($A23="",0,SUMIFS(tblAuftraege[Einnahmen],tblAuftraege[Datum Einnahmen],"&gt;="&amp;BD$5,tblAuftraege[Datum Einnahmen],"&lt;"&amp;EDATE(BD$5,1),tblAuftraege[Auftrag],$A23))</f>
        <v>0</v>
      </c>
      <c r="BE23" s="11" t="n">
        <f aca="false">IF($A23="",0,SUMIFS(tblAuftraege[Einnahmen],tblAuftraege[Datum Einnahmen],"&gt;="&amp;BE$5,tblAuftraege[Datum Einnahmen],"&lt;"&amp;EDATE(BE$5,1),tblAuftraege[Auftrag],$A23))</f>
        <v>0</v>
      </c>
      <c r="BF23" s="11" t="n">
        <f aca="false">IF($A23="",0,SUMIFS(tblAuftraege[Einnahmen],tblAuftraege[Datum Einnahmen],"&gt;="&amp;BF$5,tblAuftraege[Datum Einnahmen],"&lt;"&amp;EDATE(BF$5,1),tblAuftraege[Auftrag],$A23))</f>
        <v>0</v>
      </c>
      <c r="BG23" s="11" t="n">
        <f aca="false">SUM(E23:J23)</f>
        <v>0</v>
      </c>
      <c r="BH23" s="11" t="n">
        <f aca="false">SUM(K23:V23)</f>
        <v>0</v>
      </c>
      <c r="BI23" s="11" t="n">
        <f aca="false">SUM(W23:AH23)</f>
        <v>0</v>
      </c>
      <c r="BJ23" s="11" t="n">
        <f aca="false">SUM(AI23:AT23)</f>
        <v>0</v>
      </c>
      <c r="BK23" s="11" t="n">
        <f aca="false">SUM(AU23:BF23)</f>
        <v>0</v>
      </c>
      <c r="BL23" s="12" t="n">
        <f aca="false">SUM(E23:BF23)</f>
        <v>0</v>
      </c>
    </row>
    <row r="24" customFormat="false" ht="15" hidden="false" customHeight="false" outlineLevel="0" collapsed="false">
      <c r="A24" s="9"/>
      <c r="B24" s="10" t="str">
        <f aca="false">IF($A24="","",IFERROR(INDEX(tblAuftraege[Kostenstelle],MATCH($A24,tblAuftraege[Auftrag],0)),""))</f>
        <v/>
      </c>
      <c r="C24" s="10" t="str">
        <f aca="false">IF($A24="","",IFERROR(INDEX(tblAuftraege[Themenfeld],MATCH($A24,tblAuftraege[Auftrag],0)),""))</f>
        <v/>
      </c>
      <c r="D24" s="10" t="str">
        <f aca="false">IF($A24="","",IFERROR(INDEX(tblAuftraege[Kategorie],MATCH($A24,tblAuftraege[Auftrag],0)),""))</f>
        <v/>
      </c>
      <c r="E24" s="11" t="n">
        <f aca="false">IF($A24="",0,SUMIFS(tblAuftraege[Einnahmen],tblAuftraege[Datum Einnahmen],"&gt;="&amp;E$5,tblAuftraege[Datum Einnahmen],"&lt;"&amp;EDATE(E$5,1),tblAuftraege[Auftrag],$A24))</f>
        <v>0</v>
      </c>
      <c r="F24" s="11" t="n">
        <f aca="false">IF($A24="",0,SUMIFS(tblAuftraege[Einnahmen],tblAuftraege[Datum Einnahmen],"&gt;="&amp;F$5,tblAuftraege[Datum Einnahmen],"&lt;"&amp;EDATE(F$5,1),tblAuftraege[Auftrag],$A24))</f>
        <v>0</v>
      </c>
      <c r="G24" s="11" t="n">
        <f aca="false">IF($A24="",0,SUMIFS(tblAuftraege[Einnahmen],tblAuftraege[Datum Einnahmen],"&gt;="&amp;G$5,tblAuftraege[Datum Einnahmen],"&lt;"&amp;EDATE(G$5,1),tblAuftraege[Auftrag],$A24))</f>
        <v>0</v>
      </c>
      <c r="H24" s="11" t="n">
        <f aca="false">IF($A24="",0,SUMIFS(tblAuftraege[Einnahmen],tblAuftraege[Datum Einnahmen],"&gt;="&amp;H$5,tblAuftraege[Datum Einnahmen],"&lt;"&amp;EDATE(H$5,1),tblAuftraege[Auftrag],$A24))</f>
        <v>0</v>
      </c>
      <c r="I24" s="11" t="n">
        <f aca="false">IF($A24="",0,SUMIFS(tblAuftraege[Einnahmen],tblAuftraege[Datum Einnahmen],"&gt;="&amp;I$5,tblAuftraege[Datum Einnahmen],"&lt;"&amp;EDATE(I$5,1),tblAuftraege[Auftrag],$A24))</f>
        <v>0</v>
      </c>
      <c r="J24" s="11" t="n">
        <f aca="false">IF($A24="",0,SUMIFS(tblAuftraege[Einnahmen],tblAuftraege[Datum Einnahmen],"&gt;="&amp;J$5,tblAuftraege[Datum Einnahmen],"&lt;"&amp;EDATE(J$5,1),tblAuftraege[Auftrag],$A24))</f>
        <v>0</v>
      </c>
      <c r="K24" s="11" t="n">
        <f aca="false">IF($A24="",0,SUMIFS(tblAuftraege[Einnahmen],tblAuftraege[Datum Einnahmen],"&gt;="&amp;K$5,tblAuftraege[Datum Einnahmen],"&lt;"&amp;EDATE(K$5,1),tblAuftraege[Auftrag],$A24))</f>
        <v>0</v>
      </c>
      <c r="L24" s="11" t="n">
        <f aca="false">IF($A24="",0,SUMIFS(tblAuftraege[Einnahmen],tblAuftraege[Datum Einnahmen],"&gt;="&amp;L$5,tblAuftraege[Datum Einnahmen],"&lt;"&amp;EDATE(L$5,1),tblAuftraege[Auftrag],$A24))</f>
        <v>0</v>
      </c>
      <c r="M24" s="11" t="n">
        <f aca="false">IF($A24="",0,SUMIFS(tblAuftraege[Einnahmen],tblAuftraege[Datum Einnahmen],"&gt;="&amp;M$5,tblAuftraege[Datum Einnahmen],"&lt;"&amp;EDATE(M$5,1),tblAuftraege[Auftrag],$A24))</f>
        <v>0</v>
      </c>
      <c r="N24" s="11" t="n">
        <f aca="false">IF($A24="",0,SUMIFS(tblAuftraege[Einnahmen],tblAuftraege[Datum Einnahmen],"&gt;="&amp;N$5,tblAuftraege[Datum Einnahmen],"&lt;"&amp;EDATE(N$5,1),tblAuftraege[Auftrag],$A24))</f>
        <v>0</v>
      </c>
      <c r="O24" s="11" t="n">
        <f aca="false">IF($A24="",0,SUMIFS(tblAuftraege[Einnahmen],tblAuftraege[Datum Einnahmen],"&gt;="&amp;O$5,tblAuftraege[Datum Einnahmen],"&lt;"&amp;EDATE(O$5,1),tblAuftraege[Auftrag],$A24))</f>
        <v>0</v>
      </c>
      <c r="P24" s="11" t="n">
        <f aca="false">IF($A24="",0,SUMIFS(tblAuftraege[Einnahmen],tblAuftraege[Datum Einnahmen],"&gt;="&amp;P$5,tblAuftraege[Datum Einnahmen],"&lt;"&amp;EDATE(P$5,1),tblAuftraege[Auftrag],$A24))</f>
        <v>0</v>
      </c>
      <c r="Q24" s="11" t="n">
        <f aca="false">IF($A24="",0,SUMIFS(tblAuftraege[Einnahmen],tblAuftraege[Datum Einnahmen],"&gt;="&amp;Q$5,tblAuftraege[Datum Einnahmen],"&lt;"&amp;EDATE(Q$5,1),tblAuftraege[Auftrag],$A24))</f>
        <v>0</v>
      </c>
      <c r="R24" s="11" t="n">
        <f aca="false">IF($A24="",0,SUMIFS(tblAuftraege[Einnahmen],tblAuftraege[Datum Einnahmen],"&gt;="&amp;R$5,tblAuftraege[Datum Einnahmen],"&lt;"&amp;EDATE(R$5,1),tblAuftraege[Auftrag],$A24))</f>
        <v>0</v>
      </c>
      <c r="S24" s="11" t="n">
        <f aca="false">IF($A24="",0,SUMIFS(tblAuftraege[Einnahmen],tblAuftraege[Datum Einnahmen],"&gt;="&amp;S$5,tblAuftraege[Datum Einnahmen],"&lt;"&amp;EDATE(S$5,1),tblAuftraege[Auftrag],$A24))</f>
        <v>0</v>
      </c>
      <c r="T24" s="11" t="n">
        <f aca="false">IF($A24="",0,SUMIFS(tblAuftraege[Einnahmen],tblAuftraege[Datum Einnahmen],"&gt;="&amp;T$5,tblAuftraege[Datum Einnahmen],"&lt;"&amp;EDATE(T$5,1),tblAuftraege[Auftrag],$A24))</f>
        <v>0</v>
      </c>
      <c r="U24" s="11" t="n">
        <f aca="false">IF($A24="",0,SUMIFS(tblAuftraege[Einnahmen],tblAuftraege[Datum Einnahmen],"&gt;="&amp;U$5,tblAuftraege[Datum Einnahmen],"&lt;"&amp;EDATE(U$5,1),tblAuftraege[Auftrag],$A24))</f>
        <v>0</v>
      </c>
      <c r="V24" s="11" t="n">
        <f aca="false">IF($A24="",0,SUMIFS(tblAuftraege[Einnahmen],tblAuftraege[Datum Einnahmen],"&gt;="&amp;V$5,tblAuftraege[Datum Einnahmen],"&lt;"&amp;EDATE(V$5,1),tblAuftraege[Auftrag],$A24))</f>
        <v>0</v>
      </c>
      <c r="W24" s="11" t="n">
        <f aca="false">IF($A24="",0,SUMIFS(tblAuftraege[Einnahmen],tblAuftraege[Datum Einnahmen],"&gt;="&amp;W$5,tblAuftraege[Datum Einnahmen],"&lt;"&amp;EDATE(W$5,1),tblAuftraege[Auftrag],$A24))</f>
        <v>0</v>
      </c>
      <c r="X24" s="11" t="n">
        <f aca="false">IF($A24="",0,SUMIFS(tblAuftraege[Einnahmen],tblAuftraege[Datum Einnahmen],"&gt;="&amp;X$5,tblAuftraege[Datum Einnahmen],"&lt;"&amp;EDATE(X$5,1),tblAuftraege[Auftrag],$A24))</f>
        <v>0</v>
      </c>
      <c r="Y24" s="11" t="n">
        <f aca="false">IF($A24="",0,SUMIFS(tblAuftraege[Einnahmen],tblAuftraege[Datum Einnahmen],"&gt;="&amp;Y$5,tblAuftraege[Datum Einnahmen],"&lt;"&amp;EDATE(Y$5,1),tblAuftraege[Auftrag],$A24))</f>
        <v>0</v>
      </c>
      <c r="Z24" s="11" t="n">
        <f aca="false">IF($A24="",0,SUMIFS(tblAuftraege[Einnahmen],tblAuftraege[Datum Einnahmen],"&gt;="&amp;Z$5,tblAuftraege[Datum Einnahmen],"&lt;"&amp;EDATE(Z$5,1),tblAuftraege[Auftrag],$A24))</f>
        <v>0</v>
      </c>
      <c r="AA24" s="11" t="n">
        <f aca="false">IF($A24="",0,SUMIFS(tblAuftraege[Einnahmen],tblAuftraege[Datum Einnahmen],"&gt;="&amp;AA$5,tblAuftraege[Datum Einnahmen],"&lt;"&amp;EDATE(AA$5,1),tblAuftraege[Auftrag],$A24))</f>
        <v>0</v>
      </c>
      <c r="AB24" s="11" t="n">
        <f aca="false">IF($A24="",0,SUMIFS(tblAuftraege[Einnahmen],tblAuftraege[Datum Einnahmen],"&gt;="&amp;AB$5,tblAuftraege[Datum Einnahmen],"&lt;"&amp;EDATE(AB$5,1),tblAuftraege[Auftrag],$A24))</f>
        <v>0</v>
      </c>
      <c r="AC24" s="11" t="n">
        <f aca="false">IF($A24="",0,SUMIFS(tblAuftraege[Einnahmen],tblAuftraege[Datum Einnahmen],"&gt;="&amp;AC$5,tblAuftraege[Datum Einnahmen],"&lt;"&amp;EDATE(AC$5,1),tblAuftraege[Auftrag],$A24))</f>
        <v>0</v>
      </c>
      <c r="AD24" s="11" t="n">
        <f aca="false">IF($A24="",0,SUMIFS(tblAuftraege[Einnahmen],tblAuftraege[Datum Einnahmen],"&gt;="&amp;AD$5,tblAuftraege[Datum Einnahmen],"&lt;"&amp;EDATE(AD$5,1),tblAuftraege[Auftrag],$A24))</f>
        <v>0</v>
      </c>
      <c r="AE24" s="11" t="n">
        <f aca="false">IF($A24="",0,SUMIFS(tblAuftraege[Einnahmen],tblAuftraege[Datum Einnahmen],"&gt;="&amp;AE$5,tblAuftraege[Datum Einnahmen],"&lt;"&amp;EDATE(AE$5,1),tblAuftraege[Auftrag],$A24))</f>
        <v>0</v>
      </c>
      <c r="AF24" s="11" t="n">
        <f aca="false">IF($A24="",0,SUMIFS(tblAuftraege[Einnahmen],tblAuftraege[Datum Einnahmen],"&gt;="&amp;AF$5,tblAuftraege[Datum Einnahmen],"&lt;"&amp;EDATE(AF$5,1),tblAuftraege[Auftrag],$A24))</f>
        <v>0</v>
      </c>
      <c r="AG24" s="11" t="n">
        <f aca="false">IF($A24="",0,SUMIFS(tblAuftraege[Einnahmen],tblAuftraege[Datum Einnahmen],"&gt;="&amp;AG$5,tblAuftraege[Datum Einnahmen],"&lt;"&amp;EDATE(AG$5,1),tblAuftraege[Auftrag],$A24))</f>
        <v>0</v>
      </c>
      <c r="AH24" s="11" t="n">
        <f aca="false">IF($A24="",0,SUMIFS(tblAuftraege[Einnahmen],tblAuftraege[Datum Einnahmen],"&gt;="&amp;AH$5,tblAuftraege[Datum Einnahmen],"&lt;"&amp;EDATE(AH$5,1),tblAuftraege[Auftrag],$A24))</f>
        <v>0</v>
      </c>
      <c r="AI24" s="11" t="n">
        <f aca="false">IF($A24="",0,SUMIFS(tblAuftraege[Einnahmen],tblAuftraege[Datum Einnahmen],"&gt;="&amp;AI$5,tblAuftraege[Datum Einnahmen],"&lt;"&amp;EDATE(AI$5,1),tblAuftraege[Auftrag],$A24))</f>
        <v>0</v>
      </c>
      <c r="AJ24" s="11" t="n">
        <f aca="false">IF($A24="",0,SUMIFS(tblAuftraege[Einnahmen],tblAuftraege[Datum Einnahmen],"&gt;="&amp;AJ$5,tblAuftraege[Datum Einnahmen],"&lt;"&amp;EDATE(AJ$5,1),tblAuftraege[Auftrag],$A24))</f>
        <v>0</v>
      </c>
      <c r="AK24" s="11" t="n">
        <f aca="false">IF($A24="",0,SUMIFS(tblAuftraege[Einnahmen],tblAuftraege[Datum Einnahmen],"&gt;="&amp;AK$5,tblAuftraege[Datum Einnahmen],"&lt;"&amp;EDATE(AK$5,1),tblAuftraege[Auftrag],$A24))</f>
        <v>0</v>
      </c>
      <c r="AL24" s="11" t="n">
        <f aca="false">IF($A24="",0,SUMIFS(tblAuftraege[Einnahmen],tblAuftraege[Datum Einnahmen],"&gt;="&amp;AL$5,tblAuftraege[Datum Einnahmen],"&lt;"&amp;EDATE(AL$5,1),tblAuftraege[Auftrag],$A24))</f>
        <v>0</v>
      </c>
      <c r="AM24" s="11" t="n">
        <f aca="false">IF($A24="",0,SUMIFS(tblAuftraege[Einnahmen],tblAuftraege[Datum Einnahmen],"&gt;="&amp;AM$5,tblAuftraege[Datum Einnahmen],"&lt;"&amp;EDATE(AM$5,1),tblAuftraege[Auftrag],$A24))</f>
        <v>0</v>
      </c>
      <c r="AN24" s="11" t="n">
        <f aca="false">IF($A24="",0,SUMIFS(tblAuftraege[Einnahmen],tblAuftraege[Datum Einnahmen],"&gt;="&amp;AN$5,tblAuftraege[Datum Einnahmen],"&lt;"&amp;EDATE(AN$5,1),tblAuftraege[Auftrag],$A24))</f>
        <v>0</v>
      </c>
      <c r="AO24" s="11" t="n">
        <f aca="false">IF($A24="",0,SUMIFS(tblAuftraege[Einnahmen],tblAuftraege[Datum Einnahmen],"&gt;="&amp;AO$5,tblAuftraege[Datum Einnahmen],"&lt;"&amp;EDATE(AO$5,1),tblAuftraege[Auftrag],$A24))</f>
        <v>0</v>
      </c>
      <c r="AP24" s="11" t="n">
        <f aca="false">IF($A24="",0,SUMIFS(tblAuftraege[Einnahmen],tblAuftraege[Datum Einnahmen],"&gt;="&amp;AP$5,tblAuftraege[Datum Einnahmen],"&lt;"&amp;EDATE(AP$5,1),tblAuftraege[Auftrag],$A24))</f>
        <v>0</v>
      </c>
      <c r="AQ24" s="11" t="n">
        <f aca="false">IF($A24="",0,SUMIFS(tblAuftraege[Einnahmen],tblAuftraege[Datum Einnahmen],"&gt;="&amp;AQ$5,tblAuftraege[Datum Einnahmen],"&lt;"&amp;EDATE(AQ$5,1),tblAuftraege[Auftrag],$A24))</f>
        <v>0</v>
      </c>
      <c r="AR24" s="11" t="n">
        <f aca="false">IF($A24="",0,SUMIFS(tblAuftraege[Einnahmen],tblAuftraege[Datum Einnahmen],"&gt;="&amp;AR$5,tblAuftraege[Datum Einnahmen],"&lt;"&amp;EDATE(AR$5,1),tblAuftraege[Auftrag],$A24))</f>
        <v>0</v>
      </c>
      <c r="AS24" s="11" t="n">
        <f aca="false">IF($A24="",0,SUMIFS(tblAuftraege[Einnahmen],tblAuftraege[Datum Einnahmen],"&gt;="&amp;AS$5,tblAuftraege[Datum Einnahmen],"&lt;"&amp;EDATE(AS$5,1),tblAuftraege[Auftrag],$A24))</f>
        <v>0</v>
      </c>
      <c r="AT24" s="11" t="n">
        <f aca="false">IF($A24="",0,SUMIFS(tblAuftraege[Einnahmen],tblAuftraege[Datum Einnahmen],"&gt;="&amp;AT$5,tblAuftraege[Datum Einnahmen],"&lt;"&amp;EDATE(AT$5,1),tblAuftraege[Auftrag],$A24))</f>
        <v>0</v>
      </c>
      <c r="AU24" s="11" t="n">
        <f aca="false">IF($A24="",0,SUMIFS(tblAuftraege[Einnahmen],tblAuftraege[Datum Einnahmen],"&gt;="&amp;AU$5,tblAuftraege[Datum Einnahmen],"&lt;"&amp;EDATE(AU$5,1),tblAuftraege[Auftrag],$A24))</f>
        <v>0</v>
      </c>
      <c r="AV24" s="11" t="n">
        <f aca="false">IF($A24="",0,SUMIFS(tblAuftraege[Einnahmen],tblAuftraege[Datum Einnahmen],"&gt;="&amp;AV$5,tblAuftraege[Datum Einnahmen],"&lt;"&amp;EDATE(AV$5,1),tblAuftraege[Auftrag],$A24))</f>
        <v>0</v>
      </c>
      <c r="AW24" s="11" t="n">
        <f aca="false">IF($A24="",0,SUMIFS(tblAuftraege[Einnahmen],tblAuftraege[Datum Einnahmen],"&gt;="&amp;AW$5,tblAuftraege[Datum Einnahmen],"&lt;"&amp;EDATE(AW$5,1),tblAuftraege[Auftrag],$A24))</f>
        <v>0</v>
      </c>
      <c r="AX24" s="11" t="n">
        <f aca="false">IF($A24="",0,SUMIFS(tblAuftraege[Einnahmen],tblAuftraege[Datum Einnahmen],"&gt;="&amp;AX$5,tblAuftraege[Datum Einnahmen],"&lt;"&amp;EDATE(AX$5,1),tblAuftraege[Auftrag],$A24))</f>
        <v>0</v>
      </c>
      <c r="AY24" s="11" t="n">
        <f aca="false">IF($A24="",0,SUMIFS(tblAuftraege[Einnahmen],tblAuftraege[Datum Einnahmen],"&gt;="&amp;AY$5,tblAuftraege[Datum Einnahmen],"&lt;"&amp;EDATE(AY$5,1),tblAuftraege[Auftrag],$A24))</f>
        <v>0</v>
      </c>
      <c r="AZ24" s="11" t="n">
        <f aca="false">IF($A24="",0,SUMIFS(tblAuftraege[Einnahmen],tblAuftraege[Datum Einnahmen],"&gt;="&amp;AZ$5,tblAuftraege[Datum Einnahmen],"&lt;"&amp;EDATE(AZ$5,1),tblAuftraege[Auftrag],$A24))</f>
        <v>0</v>
      </c>
      <c r="BA24" s="11" t="n">
        <f aca="false">IF($A24="",0,SUMIFS(tblAuftraege[Einnahmen],tblAuftraege[Datum Einnahmen],"&gt;="&amp;BA$5,tblAuftraege[Datum Einnahmen],"&lt;"&amp;EDATE(BA$5,1),tblAuftraege[Auftrag],$A24))</f>
        <v>0</v>
      </c>
      <c r="BB24" s="11" t="n">
        <f aca="false">IF($A24="",0,SUMIFS(tblAuftraege[Einnahmen],tblAuftraege[Datum Einnahmen],"&gt;="&amp;BB$5,tblAuftraege[Datum Einnahmen],"&lt;"&amp;EDATE(BB$5,1),tblAuftraege[Auftrag],$A24))</f>
        <v>0</v>
      </c>
      <c r="BC24" s="11" t="n">
        <f aca="false">IF($A24="",0,SUMIFS(tblAuftraege[Einnahmen],tblAuftraege[Datum Einnahmen],"&gt;="&amp;BC$5,tblAuftraege[Datum Einnahmen],"&lt;"&amp;EDATE(BC$5,1),tblAuftraege[Auftrag],$A24))</f>
        <v>0</v>
      </c>
      <c r="BD24" s="11" t="n">
        <f aca="false">IF($A24="",0,SUMIFS(tblAuftraege[Einnahmen],tblAuftraege[Datum Einnahmen],"&gt;="&amp;BD$5,tblAuftraege[Datum Einnahmen],"&lt;"&amp;EDATE(BD$5,1),tblAuftraege[Auftrag],$A24))</f>
        <v>0</v>
      </c>
      <c r="BE24" s="11" t="n">
        <f aca="false">IF($A24="",0,SUMIFS(tblAuftraege[Einnahmen],tblAuftraege[Datum Einnahmen],"&gt;="&amp;BE$5,tblAuftraege[Datum Einnahmen],"&lt;"&amp;EDATE(BE$5,1),tblAuftraege[Auftrag],$A24))</f>
        <v>0</v>
      </c>
      <c r="BF24" s="11" t="n">
        <f aca="false">IF($A24="",0,SUMIFS(tblAuftraege[Einnahmen],tblAuftraege[Datum Einnahmen],"&gt;="&amp;BF$5,tblAuftraege[Datum Einnahmen],"&lt;"&amp;EDATE(BF$5,1),tblAuftraege[Auftrag],$A24))</f>
        <v>0</v>
      </c>
      <c r="BG24" s="11" t="n">
        <f aca="false">SUM(E24:J24)</f>
        <v>0</v>
      </c>
      <c r="BH24" s="11" t="n">
        <f aca="false">SUM(K24:V24)</f>
        <v>0</v>
      </c>
      <c r="BI24" s="11" t="n">
        <f aca="false">SUM(W24:AH24)</f>
        <v>0</v>
      </c>
      <c r="BJ24" s="11" t="n">
        <f aca="false">SUM(AI24:AT24)</f>
        <v>0</v>
      </c>
      <c r="BK24" s="11" t="n">
        <f aca="false">SUM(AU24:BF24)</f>
        <v>0</v>
      </c>
      <c r="BL24" s="12" t="n">
        <f aca="false">SUM(E24:BF24)</f>
        <v>0</v>
      </c>
    </row>
    <row r="25" customFormat="false" ht="15" hidden="false" customHeight="false" outlineLevel="0" collapsed="false">
      <c r="A25" s="9"/>
      <c r="B25" s="10" t="str">
        <f aca="false">IF($A25="","",IFERROR(INDEX(tblAuftraege[Kostenstelle],MATCH($A25,tblAuftraege[Auftrag],0)),""))</f>
        <v/>
      </c>
      <c r="C25" s="10" t="str">
        <f aca="false">IF($A25="","",IFERROR(INDEX(tblAuftraege[Themenfeld],MATCH($A25,tblAuftraege[Auftrag],0)),""))</f>
        <v/>
      </c>
      <c r="D25" s="10" t="str">
        <f aca="false">IF($A25="","",IFERROR(INDEX(tblAuftraege[Kategorie],MATCH($A25,tblAuftraege[Auftrag],0)),""))</f>
        <v/>
      </c>
      <c r="E25" s="11" t="n">
        <f aca="false">IF($A25="",0,SUMIFS(tblAuftraege[Einnahmen],tblAuftraege[Datum Einnahmen],"&gt;="&amp;E$5,tblAuftraege[Datum Einnahmen],"&lt;"&amp;EDATE(E$5,1),tblAuftraege[Auftrag],$A25))</f>
        <v>0</v>
      </c>
      <c r="F25" s="11" t="n">
        <f aca="false">IF($A25="",0,SUMIFS(tblAuftraege[Einnahmen],tblAuftraege[Datum Einnahmen],"&gt;="&amp;F$5,tblAuftraege[Datum Einnahmen],"&lt;"&amp;EDATE(F$5,1),tblAuftraege[Auftrag],$A25))</f>
        <v>0</v>
      </c>
      <c r="G25" s="11" t="n">
        <f aca="false">IF($A25="",0,SUMIFS(tblAuftraege[Einnahmen],tblAuftraege[Datum Einnahmen],"&gt;="&amp;G$5,tblAuftraege[Datum Einnahmen],"&lt;"&amp;EDATE(G$5,1),tblAuftraege[Auftrag],$A25))</f>
        <v>0</v>
      </c>
      <c r="H25" s="11" t="n">
        <f aca="false">IF($A25="",0,SUMIFS(tblAuftraege[Einnahmen],tblAuftraege[Datum Einnahmen],"&gt;="&amp;H$5,tblAuftraege[Datum Einnahmen],"&lt;"&amp;EDATE(H$5,1),tblAuftraege[Auftrag],$A25))</f>
        <v>0</v>
      </c>
      <c r="I25" s="11" t="n">
        <f aca="false">IF($A25="",0,SUMIFS(tblAuftraege[Einnahmen],tblAuftraege[Datum Einnahmen],"&gt;="&amp;I$5,tblAuftraege[Datum Einnahmen],"&lt;"&amp;EDATE(I$5,1),tblAuftraege[Auftrag],$A25))</f>
        <v>0</v>
      </c>
      <c r="J25" s="11" t="n">
        <f aca="false">IF($A25="",0,SUMIFS(tblAuftraege[Einnahmen],tblAuftraege[Datum Einnahmen],"&gt;="&amp;J$5,tblAuftraege[Datum Einnahmen],"&lt;"&amp;EDATE(J$5,1),tblAuftraege[Auftrag],$A25))</f>
        <v>0</v>
      </c>
      <c r="K25" s="11" t="n">
        <f aca="false">IF($A25="",0,SUMIFS(tblAuftraege[Einnahmen],tblAuftraege[Datum Einnahmen],"&gt;="&amp;K$5,tblAuftraege[Datum Einnahmen],"&lt;"&amp;EDATE(K$5,1),tblAuftraege[Auftrag],$A25))</f>
        <v>0</v>
      </c>
      <c r="L25" s="11" t="n">
        <f aca="false">IF($A25="",0,SUMIFS(tblAuftraege[Einnahmen],tblAuftraege[Datum Einnahmen],"&gt;="&amp;L$5,tblAuftraege[Datum Einnahmen],"&lt;"&amp;EDATE(L$5,1),tblAuftraege[Auftrag],$A25))</f>
        <v>0</v>
      </c>
      <c r="M25" s="11" t="n">
        <f aca="false">IF($A25="",0,SUMIFS(tblAuftraege[Einnahmen],tblAuftraege[Datum Einnahmen],"&gt;="&amp;M$5,tblAuftraege[Datum Einnahmen],"&lt;"&amp;EDATE(M$5,1),tblAuftraege[Auftrag],$A25))</f>
        <v>0</v>
      </c>
      <c r="N25" s="11" t="n">
        <f aca="false">IF($A25="",0,SUMIFS(tblAuftraege[Einnahmen],tblAuftraege[Datum Einnahmen],"&gt;="&amp;N$5,tblAuftraege[Datum Einnahmen],"&lt;"&amp;EDATE(N$5,1),tblAuftraege[Auftrag],$A25))</f>
        <v>0</v>
      </c>
      <c r="O25" s="11" t="n">
        <f aca="false">IF($A25="",0,SUMIFS(tblAuftraege[Einnahmen],tblAuftraege[Datum Einnahmen],"&gt;="&amp;O$5,tblAuftraege[Datum Einnahmen],"&lt;"&amp;EDATE(O$5,1),tblAuftraege[Auftrag],$A25))</f>
        <v>0</v>
      </c>
      <c r="P25" s="11" t="n">
        <f aca="false">IF($A25="",0,SUMIFS(tblAuftraege[Einnahmen],tblAuftraege[Datum Einnahmen],"&gt;="&amp;P$5,tblAuftraege[Datum Einnahmen],"&lt;"&amp;EDATE(P$5,1),tblAuftraege[Auftrag],$A25))</f>
        <v>0</v>
      </c>
      <c r="Q25" s="11" t="n">
        <f aca="false">IF($A25="",0,SUMIFS(tblAuftraege[Einnahmen],tblAuftraege[Datum Einnahmen],"&gt;="&amp;Q$5,tblAuftraege[Datum Einnahmen],"&lt;"&amp;EDATE(Q$5,1),tblAuftraege[Auftrag],$A25))</f>
        <v>0</v>
      </c>
      <c r="R25" s="11" t="n">
        <f aca="false">IF($A25="",0,SUMIFS(tblAuftraege[Einnahmen],tblAuftraege[Datum Einnahmen],"&gt;="&amp;R$5,tblAuftraege[Datum Einnahmen],"&lt;"&amp;EDATE(R$5,1),tblAuftraege[Auftrag],$A25))</f>
        <v>0</v>
      </c>
      <c r="S25" s="11" t="n">
        <f aca="false">IF($A25="",0,SUMIFS(tblAuftraege[Einnahmen],tblAuftraege[Datum Einnahmen],"&gt;="&amp;S$5,tblAuftraege[Datum Einnahmen],"&lt;"&amp;EDATE(S$5,1),tblAuftraege[Auftrag],$A25))</f>
        <v>0</v>
      </c>
      <c r="T25" s="11" t="n">
        <f aca="false">IF($A25="",0,SUMIFS(tblAuftraege[Einnahmen],tblAuftraege[Datum Einnahmen],"&gt;="&amp;T$5,tblAuftraege[Datum Einnahmen],"&lt;"&amp;EDATE(T$5,1),tblAuftraege[Auftrag],$A25))</f>
        <v>0</v>
      </c>
      <c r="U25" s="11" t="n">
        <f aca="false">IF($A25="",0,SUMIFS(tblAuftraege[Einnahmen],tblAuftraege[Datum Einnahmen],"&gt;="&amp;U$5,tblAuftraege[Datum Einnahmen],"&lt;"&amp;EDATE(U$5,1),tblAuftraege[Auftrag],$A25))</f>
        <v>0</v>
      </c>
      <c r="V25" s="11" t="n">
        <f aca="false">IF($A25="",0,SUMIFS(tblAuftraege[Einnahmen],tblAuftraege[Datum Einnahmen],"&gt;="&amp;V$5,tblAuftraege[Datum Einnahmen],"&lt;"&amp;EDATE(V$5,1),tblAuftraege[Auftrag],$A25))</f>
        <v>0</v>
      </c>
      <c r="W25" s="11" t="n">
        <f aca="false">IF($A25="",0,SUMIFS(tblAuftraege[Einnahmen],tblAuftraege[Datum Einnahmen],"&gt;="&amp;W$5,tblAuftraege[Datum Einnahmen],"&lt;"&amp;EDATE(W$5,1),tblAuftraege[Auftrag],$A25))</f>
        <v>0</v>
      </c>
      <c r="X25" s="11" t="n">
        <f aca="false">IF($A25="",0,SUMIFS(tblAuftraege[Einnahmen],tblAuftraege[Datum Einnahmen],"&gt;="&amp;X$5,tblAuftraege[Datum Einnahmen],"&lt;"&amp;EDATE(X$5,1),tblAuftraege[Auftrag],$A25))</f>
        <v>0</v>
      </c>
      <c r="Y25" s="11" t="n">
        <f aca="false">IF($A25="",0,SUMIFS(tblAuftraege[Einnahmen],tblAuftraege[Datum Einnahmen],"&gt;="&amp;Y$5,tblAuftraege[Datum Einnahmen],"&lt;"&amp;EDATE(Y$5,1),tblAuftraege[Auftrag],$A25))</f>
        <v>0</v>
      </c>
      <c r="Z25" s="11" t="n">
        <f aca="false">IF($A25="",0,SUMIFS(tblAuftraege[Einnahmen],tblAuftraege[Datum Einnahmen],"&gt;="&amp;Z$5,tblAuftraege[Datum Einnahmen],"&lt;"&amp;EDATE(Z$5,1),tblAuftraege[Auftrag],$A25))</f>
        <v>0</v>
      </c>
      <c r="AA25" s="11" t="n">
        <f aca="false">IF($A25="",0,SUMIFS(tblAuftraege[Einnahmen],tblAuftraege[Datum Einnahmen],"&gt;="&amp;AA$5,tblAuftraege[Datum Einnahmen],"&lt;"&amp;EDATE(AA$5,1),tblAuftraege[Auftrag],$A25))</f>
        <v>0</v>
      </c>
      <c r="AB25" s="11" t="n">
        <f aca="false">IF($A25="",0,SUMIFS(tblAuftraege[Einnahmen],tblAuftraege[Datum Einnahmen],"&gt;="&amp;AB$5,tblAuftraege[Datum Einnahmen],"&lt;"&amp;EDATE(AB$5,1),tblAuftraege[Auftrag],$A25))</f>
        <v>0</v>
      </c>
      <c r="AC25" s="11" t="n">
        <f aca="false">IF($A25="",0,SUMIFS(tblAuftraege[Einnahmen],tblAuftraege[Datum Einnahmen],"&gt;="&amp;AC$5,tblAuftraege[Datum Einnahmen],"&lt;"&amp;EDATE(AC$5,1),tblAuftraege[Auftrag],$A25))</f>
        <v>0</v>
      </c>
      <c r="AD25" s="11" t="n">
        <f aca="false">IF($A25="",0,SUMIFS(tblAuftraege[Einnahmen],tblAuftraege[Datum Einnahmen],"&gt;="&amp;AD$5,tblAuftraege[Datum Einnahmen],"&lt;"&amp;EDATE(AD$5,1),tblAuftraege[Auftrag],$A25))</f>
        <v>0</v>
      </c>
      <c r="AE25" s="11" t="n">
        <f aca="false">IF($A25="",0,SUMIFS(tblAuftraege[Einnahmen],tblAuftraege[Datum Einnahmen],"&gt;="&amp;AE$5,tblAuftraege[Datum Einnahmen],"&lt;"&amp;EDATE(AE$5,1),tblAuftraege[Auftrag],$A25))</f>
        <v>0</v>
      </c>
      <c r="AF25" s="11" t="n">
        <f aca="false">IF($A25="",0,SUMIFS(tblAuftraege[Einnahmen],tblAuftraege[Datum Einnahmen],"&gt;="&amp;AF$5,tblAuftraege[Datum Einnahmen],"&lt;"&amp;EDATE(AF$5,1),tblAuftraege[Auftrag],$A25))</f>
        <v>0</v>
      </c>
      <c r="AG25" s="11" t="n">
        <f aca="false">IF($A25="",0,SUMIFS(tblAuftraege[Einnahmen],tblAuftraege[Datum Einnahmen],"&gt;="&amp;AG$5,tblAuftraege[Datum Einnahmen],"&lt;"&amp;EDATE(AG$5,1),tblAuftraege[Auftrag],$A25))</f>
        <v>0</v>
      </c>
      <c r="AH25" s="11" t="n">
        <f aca="false">IF($A25="",0,SUMIFS(tblAuftraege[Einnahmen],tblAuftraege[Datum Einnahmen],"&gt;="&amp;AH$5,tblAuftraege[Datum Einnahmen],"&lt;"&amp;EDATE(AH$5,1),tblAuftraege[Auftrag],$A25))</f>
        <v>0</v>
      </c>
      <c r="AI25" s="11" t="n">
        <f aca="false">IF($A25="",0,SUMIFS(tblAuftraege[Einnahmen],tblAuftraege[Datum Einnahmen],"&gt;="&amp;AI$5,tblAuftraege[Datum Einnahmen],"&lt;"&amp;EDATE(AI$5,1),tblAuftraege[Auftrag],$A25))</f>
        <v>0</v>
      </c>
      <c r="AJ25" s="11" t="n">
        <f aca="false">IF($A25="",0,SUMIFS(tblAuftraege[Einnahmen],tblAuftraege[Datum Einnahmen],"&gt;="&amp;AJ$5,tblAuftraege[Datum Einnahmen],"&lt;"&amp;EDATE(AJ$5,1),tblAuftraege[Auftrag],$A25))</f>
        <v>0</v>
      </c>
      <c r="AK25" s="11" t="n">
        <f aca="false">IF($A25="",0,SUMIFS(tblAuftraege[Einnahmen],tblAuftraege[Datum Einnahmen],"&gt;="&amp;AK$5,tblAuftraege[Datum Einnahmen],"&lt;"&amp;EDATE(AK$5,1),tblAuftraege[Auftrag],$A25))</f>
        <v>0</v>
      </c>
      <c r="AL25" s="11" t="n">
        <f aca="false">IF($A25="",0,SUMIFS(tblAuftraege[Einnahmen],tblAuftraege[Datum Einnahmen],"&gt;="&amp;AL$5,tblAuftraege[Datum Einnahmen],"&lt;"&amp;EDATE(AL$5,1),tblAuftraege[Auftrag],$A25))</f>
        <v>0</v>
      </c>
      <c r="AM25" s="11" t="n">
        <f aca="false">IF($A25="",0,SUMIFS(tblAuftraege[Einnahmen],tblAuftraege[Datum Einnahmen],"&gt;="&amp;AM$5,tblAuftraege[Datum Einnahmen],"&lt;"&amp;EDATE(AM$5,1),tblAuftraege[Auftrag],$A25))</f>
        <v>0</v>
      </c>
      <c r="AN25" s="11" t="n">
        <f aca="false">IF($A25="",0,SUMIFS(tblAuftraege[Einnahmen],tblAuftraege[Datum Einnahmen],"&gt;="&amp;AN$5,tblAuftraege[Datum Einnahmen],"&lt;"&amp;EDATE(AN$5,1),tblAuftraege[Auftrag],$A25))</f>
        <v>0</v>
      </c>
      <c r="AO25" s="11" t="n">
        <f aca="false">IF($A25="",0,SUMIFS(tblAuftraege[Einnahmen],tblAuftraege[Datum Einnahmen],"&gt;="&amp;AO$5,tblAuftraege[Datum Einnahmen],"&lt;"&amp;EDATE(AO$5,1),tblAuftraege[Auftrag],$A25))</f>
        <v>0</v>
      </c>
      <c r="AP25" s="11" t="n">
        <f aca="false">IF($A25="",0,SUMIFS(tblAuftraege[Einnahmen],tblAuftraege[Datum Einnahmen],"&gt;="&amp;AP$5,tblAuftraege[Datum Einnahmen],"&lt;"&amp;EDATE(AP$5,1),tblAuftraege[Auftrag],$A25))</f>
        <v>0</v>
      </c>
      <c r="AQ25" s="11" t="n">
        <f aca="false">IF($A25="",0,SUMIFS(tblAuftraege[Einnahmen],tblAuftraege[Datum Einnahmen],"&gt;="&amp;AQ$5,tblAuftraege[Datum Einnahmen],"&lt;"&amp;EDATE(AQ$5,1),tblAuftraege[Auftrag],$A25))</f>
        <v>0</v>
      </c>
      <c r="AR25" s="11" t="n">
        <f aca="false">IF($A25="",0,SUMIFS(tblAuftraege[Einnahmen],tblAuftraege[Datum Einnahmen],"&gt;="&amp;AR$5,tblAuftraege[Datum Einnahmen],"&lt;"&amp;EDATE(AR$5,1),tblAuftraege[Auftrag],$A25))</f>
        <v>0</v>
      </c>
      <c r="AS25" s="11" t="n">
        <f aca="false">IF($A25="",0,SUMIFS(tblAuftraege[Einnahmen],tblAuftraege[Datum Einnahmen],"&gt;="&amp;AS$5,tblAuftraege[Datum Einnahmen],"&lt;"&amp;EDATE(AS$5,1),tblAuftraege[Auftrag],$A25))</f>
        <v>0</v>
      </c>
      <c r="AT25" s="11" t="n">
        <f aca="false">IF($A25="",0,SUMIFS(tblAuftraege[Einnahmen],tblAuftraege[Datum Einnahmen],"&gt;="&amp;AT$5,tblAuftraege[Datum Einnahmen],"&lt;"&amp;EDATE(AT$5,1),tblAuftraege[Auftrag],$A25))</f>
        <v>0</v>
      </c>
      <c r="AU25" s="11" t="n">
        <f aca="false">IF($A25="",0,SUMIFS(tblAuftraege[Einnahmen],tblAuftraege[Datum Einnahmen],"&gt;="&amp;AU$5,tblAuftraege[Datum Einnahmen],"&lt;"&amp;EDATE(AU$5,1),tblAuftraege[Auftrag],$A25))</f>
        <v>0</v>
      </c>
      <c r="AV25" s="11" t="n">
        <f aca="false">IF($A25="",0,SUMIFS(tblAuftraege[Einnahmen],tblAuftraege[Datum Einnahmen],"&gt;="&amp;AV$5,tblAuftraege[Datum Einnahmen],"&lt;"&amp;EDATE(AV$5,1),tblAuftraege[Auftrag],$A25))</f>
        <v>0</v>
      </c>
      <c r="AW25" s="11" t="n">
        <f aca="false">IF($A25="",0,SUMIFS(tblAuftraege[Einnahmen],tblAuftraege[Datum Einnahmen],"&gt;="&amp;AW$5,tblAuftraege[Datum Einnahmen],"&lt;"&amp;EDATE(AW$5,1),tblAuftraege[Auftrag],$A25))</f>
        <v>0</v>
      </c>
      <c r="AX25" s="11" t="n">
        <f aca="false">IF($A25="",0,SUMIFS(tblAuftraege[Einnahmen],tblAuftraege[Datum Einnahmen],"&gt;="&amp;AX$5,tblAuftraege[Datum Einnahmen],"&lt;"&amp;EDATE(AX$5,1),tblAuftraege[Auftrag],$A25))</f>
        <v>0</v>
      </c>
      <c r="AY25" s="11" t="n">
        <f aca="false">IF($A25="",0,SUMIFS(tblAuftraege[Einnahmen],tblAuftraege[Datum Einnahmen],"&gt;="&amp;AY$5,tblAuftraege[Datum Einnahmen],"&lt;"&amp;EDATE(AY$5,1),tblAuftraege[Auftrag],$A25))</f>
        <v>0</v>
      </c>
      <c r="AZ25" s="11" t="n">
        <f aca="false">IF($A25="",0,SUMIFS(tblAuftraege[Einnahmen],tblAuftraege[Datum Einnahmen],"&gt;="&amp;AZ$5,tblAuftraege[Datum Einnahmen],"&lt;"&amp;EDATE(AZ$5,1),tblAuftraege[Auftrag],$A25))</f>
        <v>0</v>
      </c>
      <c r="BA25" s="11" t="n">
        <f aca="false">IF($A25="",0,SUMIFS(tblAuftraege[Einnahmen],tblAuftraege[Datum Einnahmen],"&gt;="&amp;BA$5,tblAuftraege[Datum Einnahmen],"&lt;"&amp;EDATE(BA$5,1),tblAuftraege[Auftrag],$A25))</f>
        <v>0</v>
      </c>
      <c r="BB25" s="11" t="n">
        <f aca="false">IF($A25="",0,SUMIFS(tblAuftraege[Einnahmen],tblAuftraege[Datum Einnahmen],"&gt;="&amp;BB$5,tblAuftraege[Datum Einnahmen],"&lt;"&amp;EDATE(BB$5,1),tblAuftraege[Auftrag],$A25))</f>
        <v>0</v>
      </c>
      <c r="BC25" s="11" t="n">
        <f aca="false">IF($A25="",0,SUMIFS(tblAuftraege[Einnahmen],tblAuftraege[Datum Einnahmen],"&gt;="&amp;BC$5,tblAuftraege[Datum Einnahmen],"&lt;"&amp;EDATE(BC$5,1),tblAuftraege[Auftrag],$A25))</f>
        <v>0</v>
      </c>
      <c r="BD25" s="11" t="n">
        <f aca="false">IF($A25="",0,SUMIFS(tblAuftraege[Einnahmen],tblAuftraege[Datum Einnahmen],"&gt;="&amp;BD$5,tblAuftraege[Datum Einnahmen],"&lt;"&amp;EDATE(BD$5,1),tblAuftraege[Auftrag],$A25))</f>
        <v>0</v>
      </c>
      <c r="BE25" s="11" t="n">
        <f aca="false">IF($A25="",0,SUMIFS(tblAuftraege[Einnahmen],tblAuftraege[Datum Einnahmen],"&gt;="&amp;BE$5,tblAuftraege[Datum Einnahmen],"&lt;"&amp;EDATE(BE$5,1),tblAuftraege[Auftrag],$A25))</f>
        <v>0</v>
      </c>
      <c r="BF25" s="11" t="n">
        <f aca="false">IF($A25="",0,SUMIFS(tblAuftraege[Einnahmen],tblAuftraege[Datum Einnahmen],"&gt;="&amp;BF$5,tblAuftraege[Datum Einnahmen],"&lt;"&amp;EDATE(BF$5,1),tblAuftraege[Auftrag],$A25))</f>
        <v>0</v>
      </c>
      <c r="BG25" s="11" t="n">
        <f aca="false">SUM(E25:J25)</f>
        <v>0</v>
      </c>
      <c r="BH25" s="11" t="n">
        <f aca="false">SUM(K25:V25)</f>
        <v>0</v>
      </c>
      <c r="BI25" s="11" t="n">
        <f aca="false">SUM(W25:AH25)</f>
        <v>0</v>
      </c>
      <c r="BJ25" s="11" t="n">
        <f aca="false">SUM(AI25:AT25)</f>
        <v>0</v>
      </c>
      <c r="BK25" s="11" t="n">
        <f aca="false">SUM(AU25:BF25)</f>
        <v>0</v>
      </c>
      <c r="BL25" s="12" t="n">
        <f aca="false">SUM(E25:BF25)</f>
        <v>0</v>
      </c>
    </row>
    <row r="26" customFormat="false" ht="15" hidden="false" customHeight="false" outlineLevel="0" collapsed="false">
      <c r="A26" s="9"/>
      <c r="B26" s="10" t="str">
        <f aca="false">IF($A26="","",IFERROR(INDEX(tblAuftraege[Kostenstelle],MATCH($A26,tblAuftraege[Auftrag],0)),""))</f>
        <v/>
      </c>
      <c r="C26" s="10" t="str">
        <f aca="false">IF($A26="","",IFERROR(INDEX(tblAuftraege[Themenfeld],MATCH($A26,tblAuftraege[Auftrag],0)),""))</f>
        <v/>
      </c>
      <c r="D26" s="10" t="str">
        <f aca="false">IF($A26="","",IFERROR(INDEX(tblAuftraege[Kategorie],MATCH($A26,tblAuftraege[Auftrag],0)),""))</f>
        <v/>
      </c>
      <c r="E26" s="11" t="n">
        <f aca="false">IF($A26="",0,SUMIFS(tblAuftraege[Einnahmen],tblAuftraege[Datum Einnahmen],"&gt;="&amp;E$5,tblAuftraege[Datum Einnahmen],"&lt;"&amp;EDATE(E$5,1),tblAuftraege[Auftrag],$A26))</f>
        <v>0</v>
      </c>
      <c r="F26" s="11" t="n">
        <f aca="false">IF($A26="",0,SUMIFS(tblAuftraege[Einnahmen],tblAuftraege[Datum Einnahmen],"&gt;="&amp;F$5,tblAuftraege[Datum Einnahmen],"&lt;"&amp;EDATE(F$5,1),tblAuftraege[Auftrag],$A26))</f>
        <v>0</v>
      </c>
      <c r="G26" s="11" t="n">
        <f aca="false">IF($A26="",0,SUMIFS(tblAuftraege[Einnahmen],tblAuftraege[Datum Einnahmen],"&gt;="&amp;G$5,tblAuftraege[Datum Einnahmen],"&lt;"&amp;EDATE(G$5,1),tblAuftraege[Auftrag],$A26))</f>
        <v>0</v>
      </c>
      <c r="H26" s="11" t="n">
        <f aca="false">IF($A26="",0,SUMIFS(tblAuftraege[Einnahmen],tblAuftraege[Datum Einnahmen],"&gt;="&amp;H$5,tblAuftraege[Datum Einnahmen],"&lt;"&amp;EDATE(H$5,1),tblAuftraege[Auftrag],$A26))</f>
        <v>0</v>
      </c>
      <c r="I26" s="11" t="n">
        <f aca="false">IF($A26="",0,SUMIFS(tblAuftraege[Einnahmen],tblAuftraege[Datum Einnahmen],"&gt;="&amp;I$5,tblAuftraege[Datum Einnahmen],"&lt;"&amp;EDATE(I$5,1),tblAuftraege[Auftrag],$A26))</f>
        <v>0</v>
      </c>
      <c r="J26" s="11" t="n">
        <f aca="false">IF($A26="",0,SUMIFS(tblAuftraege[Einnahmen],tblAuftraege[Datum Einnahmen],"&gt;="&amp;J$5,tblAuftraege[Datum Einnahmen],"&lt;"&amp;EDATE(J$5,1),tblAuftraege[Auftrag],$A26))</f>
        <v>0</v>
      </c>
      <c r="K26" s="11" t="n">
        <f aca="false">IF($A26="",0,SUMIFS(tblAuftraege[Einnahmen],tblAuftraege[Datum Einnahmen],"&gt;="&amp;K$5,tblAuftraege[Datum Einnahmen],"&lt;"&amp;EDATE(K$5,1),tblAuftraege[Auftrag],$A26))</f>
        <v>0</v>
      </c>
      <c r="L26" s="11" t="n">
        <f aca="false">IF($A26="",0,SUMIFS(tblAuftraege[Einnahmen],tblAuftraege[Datum Einnahmen],"&gt;="&amp;L$5,tblAuftraege[Datum Einnahmen],"&lt;"&amp;EDATE(L$5,1),tblAuftraege[Auftrag],$A26))</f>
        <v>0</v>
      </c>
      <c r="M26" s="11" t="n">
        <f aca="false">IF($A26="",0,SUMIFS(tblAuftraege[Einnahmen],tblAuftraege[Datum Einnahmen],"&gt;="&amp;M$5,tblAuftraege[Datum Einnahmen],"&lt;"&amp;EDATE(M$5,1),tblAuftraege[Auftrag],$A26))</f>
        <v>0</v>
      </c>
      <c r="N26" s="11" t="n">
        <f aca="false">IF($A26="",0,SUMIFS(tblAuftraege[Einnahmen],tblAuftraege[Datum Einnahmen],"&gt;="&amp;N$5,tblAuftraege[Datum Einnahmen],"&lt;"&amp;EDATE(N$5,1),tblAuftraege[Auftrag],$A26))</f>
        <v>0</v>
      </c>
      <c r="O26" s="11" t="n">
        <f aca="false">IF($A26="",0,SUMIFS(tblAuftraege[Einnahmen],tblAuftraege[Datum Einnahmen],"&gt;="&amp;O$5,tblAuftraege[Datum Einnahmen],"&lt;"&amp;EDATE(O$5,1),tblAuftraege[Auftrag],$A26))</f>
        <v>0</v>
      </c>
      <c r="P26" s="11" t="n">
        <f aca="false">IF($A26="",0,SUMIFS(tblAuftraege[Einnahmen],tblAuftraege[Datum Einnahmen],"&gt;="&amp;P$5,tblAuftraege[Datum Einnahmen],"&lt;"&amp;EDATE(P$5,1),tblAuftraege[Auftrag],$A26))</f>
        <v>0</v>
      </c>
      <c r="Q26" s="11" t="n">
        <f aca="false">IF($A26="",0,SUMIFS(tblAuftraege[Einnahmen],tblAuftraege[Datum Einnahmen],"&gt;="&amp;Q$5,tblAuftraege[Datum Einnahmen],"&lt;"&amp;EDATE(Q$5,1),tblAuftraege[Auftrag],$A26))</f>
        <v>0</v>
      </c>
      <c r="R26" s="11" t="n">
        <f aca="false">IF($A26="",0,SUMIFS(tblAuftraege[Einnahmen],tblAuftraege[Datum Einnahmen],"&gt;="&amp;R$5,tblAuftraege[Datum Einnahmen],"&lt;"&amp;EDATE(R$5,1),tblAuftraege[Auftrag],$A26))</f>
        <v>0</v>
      </c>
      <c r="S26" s="11" t="n">
        <f aca="false">IF($A26="",0,SUMIFS(tblAuftraege[Einnahmen],tblAuftraege[Datum Einnahmen],"&gt;="&amp;S$5,tblAuftraege[Datum Einnahmen],"&lt;"&amp;EDATE(S$5,1),tblAuftraege[Auftrag],$A26))</f>
        <v>0</v>
      </c>
      <c r="T26" s="11" t="n">
        <f aca="false">IF($A26="",0,SUMIFS(tblAuftraege[Einnahmen],tblAuftraege[Datum Einnahmen],"&gt;="&amp;T$5,tblAuftraege[Datum Einnahmen],"&lt;"&amp;EDATE(T$5,1),tblAuftraege[Auftrag],$A26))</f>
        <v>0</v>
      </c>
      <c r="U26" s="11" t="n">
        <f aca="false">IF($A26="",0,SUMIFS(tblAuftraege[Einnahmen],tblAuftraege[Datum Einnahmen],"&gt;="&amp;U$5,tblAuftraege[Datum Einnahmen],"&lt;"&amp;EDATE(U$5,1),tblAuftraege[Auftrag],$A26))</f>
        <v>0</v>
      </c>
      <c r="V26" s="11" t="n">
        <f aca="false">IF($A26="",0,SUMIFS(tblAuftraege[Einnahmen],tblAuftraege[Datum Einnahmen],"&gt;="&amp;V$5,tblAuftraege[Datum Einnahmen],"&lt;"&amp;EDATE(V$5,1),tblAuftraege[Auftrag],$A26))</f>
        <v>0</v>
      </c>
      <c r="W26" s="11" t="n">
        <f aca="false">IF($A26="",0,SUMIFS(tblAuftraege[Einnahmen],tblAuftraege[Datum Einnahmen],"&gt;="&amp;W$5,tblAuftraege[Datum Einnahmen],"&lt;"&amp;EDATE(W$5,1),tblAuftraege[Auftrag],$A26))</f>
        <v>0</v>
      </c>
      <c r="X26" s="11" t="n">
        <f aca="false">IF($A26="",0,SUMIFS(tblAuftraege[Einnahmen],tblAuftraege[Datum Einnahmen],"&gt;="&amp;X$5,tblAuftraege[Datum Einnahmen],"&lt;"&amp;EDATE(X$5,1),tblAuftraege[Auftrag],$A26))</f>
        <v>0</v>
      </c>
      <c r="Y26" s="11" t="n">
        <f aca="false">IF($A26="",0,SUMIFS(tblAuftraege[Einnahmen],tblAuftraege[Datum Einnahmen],"&gt;="&amp;Y$5,tblAuftraege[Datum Einnahmen],"&lt;"&amp;EDATE(Y$5,1),tblAuftraege[Auftrag],$A26))</f>
        <v>0</v>
      </c>
      <c r="Z26" s="11" t="n">
        <f aca="false">IF($A26="",0,SUMIFS(tblAuftraege[Einnahmen],tblAuftraege[Datum Einnahmen],"&gt;="&amp;Z$5,tblAuftraege[Datum Einnahmen],"&lt;"&amp;EDATE(Z$5,1),tblAuftraege[Auftrag],$A26))</f>
        <v>0</v>
      </c>
      <c r="AA26" s="11" t="n">
        <f aca="false">IF($A26="",0,SUMIFS(tblAuftraege[Einnahmen],tblAuftraege[Datum Einnahmen],"&gt;="&amp;AA$5,tblAuftraege[Datum Einnahmen],"&lt;"&amp;EDATE(AA$5,1),tblAuftraege[Auftrag],$A26))</f>
        <v>0</v>
      </c>
      <c r="AB26" s="11" t="n">
        <f aca="false">IF($A26="",0,SUMIFS(tblAuftraege[Einnahmen],tblAuftraege[Datum Einnahmen],"&gt;="&amp;AB$5,tblAuftraege[Datum Einnahmen],"&lt;"&amp;EDATE(AB$5,1),tblAuftraege[Auftrag],$A26))</f>
        <v>0</v>
      </c>
      <c r="AC26" s="11" t="n">
        <f aca="false">IF($A26="",0,SUMIFS(tblAuftraege[Einnahmen],tblAuftraege[Datum Einnahmen],"&gt;="&amp;AC$5,tblAuftraege[Datum Einnahmen],"&lt;"&amp;EDATE(AC$5,1),tblAuftraege[Auftrag],$A26))</f>
        <v>0</v>
      </c>
      <c r="AD26" s="11" t="n">
        <f aca="false">IF($A26="",0,SUMIFS(tblAuftraege[Einnahmen],tblAuftraege[Datum Einnahmen],"&gt;="&amp;AD$5,tblAuftraege[Datum Einnahmen],"&lt;"&amp;EDATE(AD$5,1),tblAuftraege[Auftrag],$A26))</f>
        <v>0</v>
      </c>
      <c r="AE26" s="11" t="n">
        <f aca="false">IF($A26="",0,SUMIFS(tblAuftraege[Einnahmen],tblAuftraege[Datum Einnahmen],"&gt;="&amp;AE$5,tblAuftraege[Datum Einnahmen],"&lt;"&amp;EDATE(AE$5,1),tblAuftraege[Auftrag],$A26))</f>
        <v>0</v>
      </c>
      <c r="AF26" s="11" t="n">
        <f aca="false">IF($A26="",0,SUMIFS(tblAuftraege[Einnahmen],tblAuftraege[Datum Einnahmen],"&gt;="&amp;AF$5,tblAuftraege[Datum Einnahmen],"&lt;"&amp;EDATE(AF$5,1),tblAuftraege[Auftrag],$A26))</f>
        <v>0</v>
      </c>
      <c r="AG26" s="11" t="n">
        <f aca="false">IF($A26="",0,SUMIFS(tblAuftraege[Einnahmen],tblAuftraege[Datum Einnahmen],"&gt;="&amp;AG$5,tblAuftraege[Datum Einnahmen],"&lt;"&amp;EDATE(AG$5,1),tblAuftraege[Auftrag],$A26))</f>
        <v>0</v>
      </c>
      <c r="AH26" s="11" t="n">
        <f aca="false">IF($A26="",0,SUMIFS(tblAuftraege[Einnahmen],tblAuftraege[Datum Einnahmen],"&gt;="&amp;AH$5,tblAuftraege[Datum Einnahmen],"&lt;"&amp;EDATE(AH$5,1),tblAuftraege[Auftrag],$A26))</f>
        <v>0</v>
      </c>
      <c r="AI26" s="11" t="n">
        <f aca="false">IF($A26="",0,SUMIFS(tblAuftraege[Einnahmen],tblAuftraege[Datum Einnahmen],"&gt;="&amp;AI$5,tblAuftraege[Datum Einnahmen],"&lt;"&amp;EDATE(AI$5,1),tblAuftraege[Auftrag],$A26))</f>
        <v>0</v>
      </c>
      <c r="AJ26" s="11" t="n">
        <f aca="false">IF($A26="",0,SUMIFS(tblAuftraege[Einnahmen],tblAuftraege[Datum Einnahmen],"&gt;="&amp;AJ$5,tblAuftraege[Datum Einnahmen],"&lt;"&amp;EDATE(AJ$5,1),tblAuftraege[Auftrag],$A26))</f>
        <v>0</v>
      </c>
      <c r="AK26" s="11" t="n">
        <f aca="false">IF($A26="",0,SUMIFS(tblAuftraege[Einnahmen],tblAuftraege[Datum Einnahmen],"&gt;="&amp;AK$5,tblAuftraege[Datum Einnahmen],"&lt;"&amp;EDATE(AK$5,1),tblAuftraege[Auftrag],$A26))</f>
        <v>0</v>
      </c>
      <c r="AL26" s="11" t="n">
        <f aca="false">IF($A26="",0,SUMIFS(tblAuftraege[Einnahmen],tblAuftraege[Datum Einnahmen],"&gt;="&amp;AL$5,tblAuftraege[Datum Einnahmen],"&lt;"&amp;EDATE(AL$5,1),tblAuftraege[Auftrag],$A26))</f>
        <v>0</v>
      </c>
      <c r="AM26" s="11" t="n">
        <f aca="false">IF($A26="",0,SUMIFS(tblAuftraege[Einnahmen],tblAuftraege[Datum Einnahmen],"&gt;="&amp;AM$5,tblAuftraege[Datum Einnahmen],"&lt;"&amp;EDATE(AM$5,1),tblAuftraege[Auftrag],$A26))</f>
        <v>0</v>
      </c>
      <c r="AN26" s="11" t="n">
        <f aca="false">IF($A26="",0,SUMIFS(tblAuftraege[Einnahmen],tblAuftraege[Datum Einnahmen],"&gt;="&amp;AN$5,tblAuftraege[Datum Einnahmen],"&lt;"&amp;EDATE(AN$5,1),tblAuftraege[Auftrag],$A26))</f>
        <v>0</v>
      </c>
      <c r="AO26" s="11" t="n">
        <f aca="false">IF($A26="",0,SUMIFS(tblAuftraege[Einnahmen],tblAuftraege[Datum Einnahmen],"&gt;="&amp;AO$5,tblAuftraege[Datum Einnahmen],"&lt;"&amp;EDATE(AO$5,1),tblAuftraege[Auftrag],$A26))</f>
        <v>0</v>
      </c>
      <c r="AP26" s="11" t="n">
        <f aca="false">IF($A26="",0,SUMIFS(tblAuftraege[Einnahmen],tblAuftraege[Datum Einnahmen],"&gt;="&amp;AP$5,tblAuftraege[Datum Einnahmen],"&lt;"&amp;EDATE(AP$5,1),tblAuftraege[Auftrag],$A26))</f>
        <v>0</v>
      </c>
      <c r="AQ26" s="11" t="n">
        <f aca="false">IF($A26="",0,SUMIFS(tblAuftraege[Einnahmen],tblAuftraege[Datum Einnahmen],"&gt;="&amp;AQ$5,tblAuftraege[Datum Einnahmen],"&lt;"&amp;EDATE(AQ$5,1),tblAuftraege[Auftrag],$A26))</f>
        <v>0</v>
      </c>
      <c r="AR26" s="11" t="n">
        <f aca="false">IF($A26="",0,SUMIFS(tblAuftraege[Einnahmen],tblAuftraege[Datum Einnahmen],"&gt;="&amp;AR$5,tblAuftraege[Datum Einnahmen],"&lt;"&amp;EDATE(AR$5,1),tblAuftraege[Auftrag],$A26))</f>
        <v>0</v>
      </c>
      <c r="AS26" s="11" t="n">
        <f aca="false">IF($A26="",0,SUMIFS(tblAuftraege[Einnahmen],tblAuftraege[Datum Einnahmen],"&gt;="&amp;AS$5,tblAuftraege[Datum Einnahmen],"&lt;"&amp;EDATE(AS$5,1),tblAuftraege[Auftrag],$A26))</f>
        <v>0</v>
      </c>
      <c r="AT26" s="11" t="n">
        <f aca="false">IF($A26="",0,SUMIFS(tblAuftraege[Einnahmen],tblAuftraege[Datum Einnahmen],"&gt;="&amp;AT$5,tblAuftraege[Datum Einnahmen],"&lt;"&amp;EDATE(AT$5,1),tblAuftraege[Auftrag],$A26))</f>
        <v>0</v>
      </c>
      <c r="AU26" s="11" t="n">
        <f aca="false">IF($A26="",0,SUMIFS(tblAuftraege[Einnahmen],tblAuftraege[Datum Einnahmen],"&gt;="&amp;AU$5,tblAuftraege[Datum Einnahmen],"&lt;"&amp;EDATE(AU$5,1),tblAuftraege[Auftrag],$A26))</f>
        <v>0</v>
      </c>
      <c r="AV26" s="11" t="n">
        <f aca="false">IF($A26="",0,SUMIFS(tblAuftraege[Einnahmen],tblAuftraege[Datum Einnahmen],"&gt;="&amp;AV$5,tblAuftraege[Datum Einnahmen],"&lt;"&amp;EDATE(AV$5,1),tblAuftraege[Auftrag],$A26))</f>
        <v>0</v>
      </c>
      <c r="AW26" s="11" t="n">
        <f aca="false">IF($A26="",0,SUMIFS(tblAuftraege[Einnahmen],tblAuftraege[Datum Einnahmen],"&gt;="&amp;AW$5,tblAuftraege[Datum Einnahmen],"&lt;"&amp;EDATE(AW$5,1),tblAuftraege[Auftrag],$A26))</f>
        <v>0</v>
      </c>
      <c r="AX26" s="11" t="n">
        <f aca="false">IF($A26="",0,SUMIFS(tblAuftraege[Einnahmen],tblAuftraege[Datum Einnahmen],"&gt;="&amp;AX$5,tblAuftraege[Datum Einnahmen],"&lt;"&amp;EDATE(AX$5,1),tblAuftraege[Auftrag],$A26))</f>
        <v>0</v>
      </c>
      <c r="AY26" s="11" t="n">
        <f aca="false">IF($A26="",0,SUMIFS(tblAuftraege[Einnahmen],tblAuftraege[Datum Einnahmen],"&gt;="&amp;AY$5,tblAuftraege[Datum Einnahmen],"&lt;"&amp;EDATE(AY$5,1),tblAuftraege[Auftrag],$A26))</f>
        <v>0</v>
      </c>
      <c r="AZ26" s="11" t="n">
        <f aca="false">IF($A26="",0,SUMIFS(tblAuftraege[Einnahmen],tblAuftraege[Datum Einnahmen],"&gt;="&amp;AZ$5,tblAuftraege[Datum Einnahmen],"&lt;"&amp;EDATE(AZ$5,1),tblAuftraege[Auftrag],$A26))</f>
        <v>0</v>
      </c>
      <c r="BA26" s="11" t="n">
        <f aca="false">IF($A26="",0,SUMIFS(tblAuftraege[Einnahmen],tblAuftraege[Datum Einnahmen],"&gt;="&amp;BA$5,tblAuftraege[Datum Einnahmen],"&lt;"&amp;EDATE(BA$5,1),tblAuftraege[Auftrag],$A26))</f>
        <v>0</v>
      </c>
      <c r="BB26" s="11" t="n">
        <f aca="false">IF($A26="",0,SUMIFS(tblAuftraege[Einnahmen],tblAuftraege[Datum Einnahmen],"&gt;="&amp;BB$5,tblAuftraege[Datum Einnahmen],"&lt;"&amp;EDATE(BB$5,1),tblAuftraege[Auftrag],$A26))</f>
        <v>0</v>
      </c>
      <c r="BC26" s="11" t="n">
        <f aca="false">IF($A26="",0,SUMIFS(tblAuftraege[Einnahmen],tblAuftraege[Datum Einnahmen],"&gt;="&amp;BC$5,tblAuftraege[Datum Einnahmen],"&lt;"&amp;EDATE(BC$5,1),tblAuftraege[Auftrag],$A26))</f>
        <v>0</v>
      </c>
      <c r="BD26" s="11" t="n">
        <f aca="false">IF($A26="",0,SUMIFS(tblAuftraege[Einnahmen],tblAuftraege[Datum Einnahmen],"&gt;="&amp;BD$5,tblAuftraege[Datum Einnahmen],"&lt;"&amp;EDATE(BD$5,1),tblAuftraege[Auftrag],$A26))</f>
        <v>0</v>
      </c>
      <c r="BE26" s="11" t="n">
        <f aca="false">IF($A26="",0,SUMIFS(tblAuftraege[Einnahmen],tblAuftraege[Datum Einnahmen],"&gt;="&amp;BE$5,tblAuftraege[Datum Einnahmen],"&lt;"&amp;EDATE(BE$5,1),tblAuftraege[Auftrag],$A26))</f>
        <v>0</v>
      </c>
      <c r="BF26" s="11" t="n">
        <f aca="false">IF($A26="",0,SUMIFS(tblAuftraege[Einnahmen],tblAuftraege[Datum Einnahmen],"&gt;="&amp;BF$5,tblAuftraege[Datum Einnahmen],"&lt;"&amp;EDATE(BF$5,1),tblAuftraege[Auftrag],$A26))</f>
        <v>0</v>
      </c>
      <c r="BG26" s="11" t="n">
        <f aca="false">SUM(E26:J26)</f>
        <v>0</v>
      </c>
      <c r="BH26" s="11" t="n">
        <f aca="false">SUM(K26:V26)</f>
        <v>0</v>
      </c>
      <c r="BI26" s="11" t="n">
        <f aca="false">SUM(W26:AH26)</f>
        <v>0</v>
      </c>
      <c r="BJ26" s="11" t="n">
        <f aca="false">SUM(AI26:AT26)</f>
        <v>0</v>
      </c>
      <c r="BK26" s="11" t="n">
        <f aca="false">SUM(AU26:BF26)</f>
        <v>0</v>
      </c>
      <c r="BL26" s="12" t="n">
        <f aca="false">SUM(E26:BF26)</f>
        <v>0</v>
      </c>
    </row>
    <row r="27" customFormat="false" ht="15" hidden="false" customHeight="false" outlineLevel="0" collapsed="false">
      <c r="A27" s="9"/>
      <c r="B27" s="10" t="str">
        <f aca="false">IF($A27="","",IFERROR(INDEX(tblAuftraege[Kostenstelle],MATCH($A27,tblAuftraege[Auftrag],0)),""))</f>
        <v/>
      </c>
      <c r="C27" s="10" t="str">
        <f aca="false">IF($A27="","",IFERROR(INDEX(tblAuftraege[Themenfeld],MATCH($A27,tblAuftraege[Auftrag],0)),""))</f>
        <v/>
      </c>
      <c r="D27" s="10" t="str">
        <f aca="false">IF($A27="","",IFERROR(INDEX(tblAuftraege[Kategorie],MATCH($A27,tblAuftraege[Auftrag],0)),""))</f>
        <v/>
      </c>
      <c r="E27" s="11" t="n">
        <f aca="false">IF($A27="",0,SUMIFS(tblAuftraege[Einnahmen],tblAuftraege[Datum Einnahmen],"&gt;="&amp;E$5,tblAuftraege[Datum Einnahmen],"&lt;"&amp;EDATE(E$5,1),tblAuftraege[Auftrag],$A27))</f>
        <v>0</v>
      </c>
      <c r="F27" s="11" t="n">
        <f aca="false">IF($A27="",0,SUMIFS(tblAuftraege[Einnahmen],tblAuftraege[Datum Einnahmen],"&gt;="&amp;F$5,tblAuftraege[Datum Einnahmen],"&lt;"&amp;EDATE(F$5,1),tblAuftraege[Auftrag],$A27))</f>
        <v>0</v>
      </c>
      <c r="G27" s="11" t="n">
        <f aca="false">IF($A27="",0,SUMIFS(tblAuftraege[Einnahmen],tblAuftraege[Datum Einnahmen],"&gt;="&amp;G$5,tblAuftraege[Datum Einnahmen],"&lt;"&amp;EDATE(G$5,1),tblAuftraege[Auftrag],$A27))</f>
        <v>0</v>
      </c>
      <c r="H27" s="11" t="n">
        <f aca="false">IF($A27="",0,SUMIFS(tblAuftraege[Einnahmen],tblAuftraege[Datum Einnahmen],"&gt;="&amp;H$5,tblAuftraege[Datum Einnahmen],"&lt;"&amp;EDATE(H$5,1),tblAuftraege[Auftrag],$A27))</f>
        <v>0</v>
      </c>
      <c r="I27" s="11" t="n">
        <f aca="false">IF($A27="",0,SUMIFS(tblAuftraege[Einnahmen],tblAuftraege[Datum Einnahmen],"&gt;="&amp;I$5,tblAuftraege[Datum Einnahmen],"&lt;"&amp;EDATE(I$5,1),tblAuftraege[Auftrag],$A27))</f>
        <v>0</v>
      </c>
      <c r="J27" s="11" t="n">
        <f aca="false">IF($A27="",0,SUMIFS(tblAuftraege[Einnahmen],tblAuftraege[Datum Einnahmen],"&gt;="&amp;J$5,tblAuftraege[Datum Einnahmen],"&lt;"&amp;EDATE(J$5,1),tblAuftraege[Auftrag],$A27))</f>
        <v>0</v>
      </c>
      <c r="K27" s="11" t="n">
        <f aca="false">IF($A27="",0,SUMIFS(tblAuftraege[Einnahmen],tblAuftraege[Datum Einnahmen],"&gt;="&amp;K$5,tblAuftraege[Datum Einnahmen],"&lt;"&amp;EDATE(K$5,1),tblAuftraege[Auftrag],$A27))</f>
        <v>0</v>
      </c>
      <c r="L27" s="11" t="n">
        <f aca="false">IF($A27="",0,SUMIFS(tblAuftraege[Einnahmen],tblAuftraege[Datum Einnahmen],"&gt;="&amp;L$5,tblAuftraege[Datum Einnahmen],"&lt;"&amp;EDATE(L$5,1),tblAuftraege[Auftrag],$A27))</f>
        <v>0</v>
      </c>
      <c r="M27" s="11" t="n">
        <f aca="false">IF($A27="",0,SUMIFS(tblAuftraege[Einnahmen],tblAuftraege[Datum Einnahmen],"&gt;="&amp;M$5,tblAuftraege[Datum Einnahmen],"&lt;"&amp;EDATE(M$5,1),tblAuftraege[Auftrag],$A27))</f>
        <v>0</v>
      </c>
      <c r="N27" s="11" t="n">
        <f aca="false">IF($A27="",0,SUMIFS(tblAuftraege[Einnahmen],tblAuftraege[Datum Einnahmen],"&gt;="&amp;N$5,tblAuftraege[Datum Einnahmen],"&lt;"&amp;EDATE(N$5,1),tblAuftraege[Auftrag],$A27))</f>
        <v>0</v>
      </c>
      <c r="O27" s="11" t="n">
        <f aca="false">IF($A27="",0,SUMIFS(tblAuftraege[Einnahmen],tblAuftraege[Datum Einnahmen],"&gt;="&amp;O$5,tblAuftraege[Datum Einnahmen],"&lt;"&amp;EDATE(O$5,1),tblAuftraege[Auftrag],$A27))</f>
        <v>0</v>
      </c>
      <c r="P27" s="11" t="n">
        <f aca="false">IF($A27="",0,SUMIFS(tblAuftraege[Einnahmen],tblAuftraege[Datum Einnahmen],"&gt;="&amp;P$5,tblAuftraege[Datum Einnahmen],"&lt;"&amp;EDATE(P$5,1),tblAuftraege[Auftrag],$A27))</f>
        <v>0</v>
      </c>
      <c r="Q27" s="11" t="n">
        <f aca="false">IF($A27="",0,SUMIFS(tblAuftraege[Einnahmen],tblAuftraege[Datum Einnahmen],"&gt;="&amp;Q$5,tblAuftraege[Datum Einnahmen],"&lt;"&amp;EDATE(Q$5,1),tblAuftraege[Auftrag],$A27))</f>
        <v>0</v>
      </c>
      <c r="R27" s="11" t="n">
        <f aca="false">IF($A27="",0,SUMIFS(tblAuftraege[Einnahmen],tblAuftraege[Datum Einnahmen],"&gt;="&amp;R$5,tblAuftraege[Datum Einnahmen],"&lt;"&amp;EDATE(R$5,1),tblAuftraege[Auftrag],$A27))</f>
        <v>0</v>
      </c>
      <c r="S27" s="11" t="n">
        <f aca="false">IF($A27="",0,SUMIFS(tblAuftraege[Einnahmen],tblAuftraege[Datum Einnahmen],"&gt;="&amp;S$5,tblAuftraege[Datum Einnahmen],"&lt;"&amp;EDATE(S$5,1),tblAuftraege[Auftrag],$A27))</f>
        <v>0</v>
      </c>
      <c r="T27" s="11" t="n">
        <f aca="false">IF($A27="",0,SUMIFS(tblAuftraege[Einnahmen],tblAuftraege[Datum Einnahmen],"&gt;="&amp;T$5,tblAuftraege[Datum Einnahmen],"&lt;"&amp;EDATE(T$5,1),tblAuftraege[Auftrag],$A27))</f>
        <v>0</v>
      </c>
      <c r="U27" s="11" t="n">
        <f aca="false">IF($A27="",0,SUMIFS(tblAuftraege[Einnahmen],tblAuftraege[Datum Einnahmen],"&gt;="&amp;U$5,tblAuftraege[Datum Einnahmen],"&lt;"&amp;EDATE(U$5,1),tblAuftraege[Auftrag],$A27))</f>
        <v>0</v>
      </c>
      <c r="V27" s="11" t="n">
        <f aca="false">IF($A27="",0,SUMIFS(tblAuftraege[Einnahmen],tblAuftraege[Datum Einnahmen],"&gt;="&amp;V$5,tblAuftraege[Datum Einnahmen],"&lt;"&amp;EDATE(V$5,1),tblAuftraege[Auftrag],$A27))</f>
        <v>0</v>
      </c>
      <c r="W27" s="11" t="n">
        <f aca="false">IF($A27="",0,SUMIFS(tblAuftraege[Einnahmen],tblAuftraege[Datum Einnahmen],"&gt;="&amp;W$5,tblAuftraege[Datum Einnahmen],"&lt;"&amp;EDATE(W$5,1),tblAuftraege[Auftrag],$A27))</f>
        <v>0</v>
      </c>
      <c r="X27" s="11" t="n">
        <f aca="false">IF($A27="",0,SUMIFS(tblAuftraege[Einnahmen],tblAuftraege[Datum Einnahmen],"&gt;="&amp;X$5,tblAuftraege[Datum Einnahmen],"&lt;"&amp;EDATE(X$5,1),tblAuftraege[Auftrag],$A27))</f>
        <v>0</v>
      </c>
      <c r="Y27" s="11" t="n">
        <f aca="false">IF($A27="",0,SUMIFS(tblAuftraege[Einnahmen],tblAuftraege[Datum Einnahmen],"&gt;="&amp;Y$5,tblAuftraege[Datum Einnahmen],"&lt;"&amp;EDATE(Y$5,1),tblAuftraege[Auftrag],$A27))</f>
        <v>0</v>
      </c>
      <c r="Z27" s="11" t="n">
        <f aca="false">IF($A27="",0,SUMIFS(tblAuftraege[Einnahmen],tblAuftraege[Datum Einnahmen],"&gt;="&amp;Z$5,tblAuftraege[Datum Einnahmen],"&lt;"&amp;EDATE(Z$5,1),tblAuftraege[Auftrag],$A27))</f>
        <v>0</v>
      </c>
      <c r="AA27" s="11" t="n">
        <f aca="false">IF($A27="",0,SUMIFS(tblAuftraege[Einnahmen],tblAuftraege[Datum Einnahmen],"&gt;="&amp;AA$5,tblAuftraege[Datum Einnahmen],"&lt;"&amp;EDATE(AA$5,1),tblAuftraege[Auftrag],$A27))</f>
        <v>0</v>
      </c>
      <c r="AB27" s="11" t="n">
        <f aca="false">IF($A27="",0,SUMIFS(tblAuftraege[Einnahmen],tblAuftraege[Datum Einnahmen],"&gt;="&amp;AB$5,tblAuftraege[Datum Einnahmen],"&lt;"&amp;EDATE(AB$5,1),tblAuftraege[Auftrag],$A27))</f>
        <v>0</v>
      </c>
      <c r="AC27" s="11" t="n">
        <f aca="false">IF($A27="",0,SUMIFS(tblAuftraege[Einnahmen],tblAuftraege[Datum Einnahmen],"&gt;="&amp;AC$5,tblAuftraege[Datum Einnahmen],"&lt;"&amp;EDATE(AC$5,1),tblAuftraege[Auftrag],$A27))</f>
        <v>0</v>
      </c>
      <c r="AD27" s="11" t="n">
        <f aca="false">IF($A27="",0,SUMIFS(tblAuftraege[Einnahmen],tblAuftraege[Datum Einnahmen],"&gt;="&amp;AD$5,tblAuftraege[Datum Einnahmen],"&lt;"&amp;EDATE(AD$5,1),tblAuftraege[Auftrag],$A27))</f>
        <v>0</v>
      </c>
      <c r="AE27" s="11" t="n">
        <f aca="false">IF($A27="",0,SUMIFS(tblAuftraege[Einnahmen],tblAuftraege[Datum Einnahmen],"&gt;="&amp;AE$5,tblAuftraege[Datum Einnahmen],"&lt;"&amp;EDATE(AE$5,1),tblAuftraege[Auftrag],$A27))</f>
        <v>0</v>
      </c>
      <c r="AF27" s="11" t="n">
        <f aca="false">IF($A27="",0,SUMIFS(tblAuftraege[Einnahmen],tblAuftraege[Datum Einnahmen],"&gt;="&amp;AF$5,tblAuftraege[Datum Einnahmen],"&lt;"&amp;EDATE(AF$5,1),tblAuftraege[Auftrag],$A27))</f>
        <v>0</v>
      </c>
      <c r="AG27" s="11" t="n">
        <f aca="false">IF($A27="",0,SUMIFS(tblAuftraege[Einnahmen],tblAuftraege[Datum Einnahmen],"&gt;="&amp;AG$5,tblAuftraege[Datum Einnahmen],"&lt;"&amp;EDATE(AG$5,1),tblAuftraege[Auftrag],$A27))</f>
        <v>0</v>
      </c>
      <c r="AH27" s="11" t="n">
        <f aca="false">IF($A27="",0,SUMIFS(tblAuftraege[Einnahmen],tblAuftraege[Datum Einnahmen],"&gt;="&amp;AH$5,tblAuftraege[Datum Einnahmen],"&lt;"&amp;EDATE(AH$5,1),tblAuftraege[Auftrag],$A27))</f>
        <v>0</v>
      </c>
      <c r="AI27" s="11" t="n">
        <f aca="false">IF($A27="",0,SUMIFS(tblAuftraege[Einnahmen],tblAuftraege[Datum Einnahmen],"&gt;="&amp;AI$5,tblAuftraege[Datum Einnahmen],"&lt;"&amp;EDATE(AI$5,1),tblAuftraege[Auftrag],$A27))</f>
        <v>0</v>
      </c>
      <c r="AJ27" s="11" t="n">
        <f aca="false">IF($A27="",0,SUMIFS(tblAuftraege[Einnahmen],tblAuftraege[Datum Einnahmen],"&gt;="&amp;AJ$5,tblAuftraege[Datum Einnahmen],"&lt;"&amp;EDATE(AJ$5,1),tblAuftraege[Auftrag],$A27))</f>
        <v>0</v>
      </c>
      <c r="AK27" s="11" t="n">
        <f aca="false">IF($A27="",0,SUMIFS(tblAuftraege[Einnahmen],tblAuftraege[Datum Einnahmen],"&gt;="&amp;AK$5,tblAuftraege[Datum Einnahmen],"&lt;"&amp;EDATE(AK$5,1),tblAuftraege[Auftrag],$A27))</f>
        <v>0</v>
      </c>
      <c r="AL27" s="11" t="n">
        <f aca="false">IF($A27="",0,SUMIFS(tblAuftraege[Einnahmen],tblAuftraege[Datum Einnahmen],"&gt;="&amp;AL$5,tblAuftraege[Datum Einnahmen],"&lt;"&amp;EDATE(AL$5,1),tblAuftraege[Auftrag],$A27))</f>
        <v>0</v>
      </c>
      <c r="AM27" s="11" t="n">
        <f aca="false">IF($A27="",0,SUMIFS(tblAuftraege[Einnahmen],tblAuftraege[Datum Einnahmen],"&gt;="&amp;AM$5,tblAuftraege[Datum Einnahmen],"&lt;"&amp;EDATE(AM$5,1),tblAuftraege[Auftrag],$A27))</f>
        <v>0</v>
      </c>
      <c r="AN27" s="11" t="n">
        <f aca="false">IF($A27="",0,SUMIFS(tblAuftraege[Einnahmen],tblAuftraege[Datum Einnahmen],"&gt;="&amp;AN$5,tblAuftraege[Datum Einnahmen],"&lt;"&amp;EDATE(AN$5,1),tblAuftraege[Auftrag],$A27))</f>
        <v>0</v>
      </c>
      <c r="AO27" s="11" t="n">
        <f aca="false">IF($A27="",0,SUMIFS(tblAuftraege[Einnahmen],tblAuftraege[Datum Einnahmen],"&gt;="&amp;AO$5,tblAuftraege[Datum Einnahmen],"&lt;"&amp;EDATE(AO$5,1),tblAuftraege[Auftrag],$A27))</f>
        <v>0</v>
      </c>
      <c r="AP27" s="11" t="n">
        <f aca="false">IF($A27="",0,SUMIFS(tblAuftraege[Einnahmen],tblAuftraege[Datum Einnahmen],"&gt;="&amp;AP$5,tblAuftraege[Datum Einnahmen],"&lt;"&amp;EDATE(AP$5,1),tblAuftraege[Auftrag],$A27))</f>
        <v>0</v>
      </c>
      <c r="AQ27" s="11" t="n">
        <f aca="false">IF($A27="",0,SUMIFS(tblAuftraege[Einnahmen],tblAuftraege[Datum Einnahmen],"&gt;="&amp;AQ$5,tblAuftraege[Datum Einnahmen],"&lt;"&amp;EDATE(AQ$5,1),tblAuftraege[Auftrag],$A27))</f>
        <v>0</v>
      </c>
      <c r="AR27" s="11" t="n">
        <f aca="false">IF($A27="",0,SUMIFS(tblAuftraege[Einnahmen],tblAuftraege[Datum Einnahmen],"&gt;="&amp;AR$5,tblAuftraege[Datum Einnahmen],"&lt;"&amp;EDATE(AR$5,1),tblAuftraege[Auftrag],$A27))</f>
        <v>0</v>
      </c>
      <c r="AS27" s="11" t="n">
        <f aca="false">IF($A27="",0,SUMIFS(tblAuftraege[Einnahmen],tblAuftraege[Datum Einnahmen],"&gt;="&amp;AS$5,tblAuftraege[Datum Einnahmen],"&lt;"&amp;EDATE(AS$5,1),tblAuftraege[Auftrag],$A27))</f>
        <v>0</v>
      </c>
      <c r="AT27" s="11" t="n">
        <f aca="false">IF($A27="",0,SUMIFS(tblAuftraege[Einnahmen],tblAuftraege[Datum Einnahmen],"&gt;="&amp;AT$5,tblAuftraege[Datum Einnahmen],"&lt;"&amp;EDATE(AT$5,1),tblAuftraege[Auftrag],$A27))</f>
        <v>0</v>
      </c>
      <c r="AU27" s="11" t="n">
        <f aca="false">IF($A27="",0,SUMIFS(tblAuftraege[Einnahmen],tblAuftraege[Datum Einnahmen],"&gt;="&amp;AU$5,tblAuftraege[Datum Einnahmen],"&lt;"&amp;EDATE(AU$5,1),tblAuftraege[Auftrag],$A27))</f>
        <v>0</v>
      </c>
      <c r="AV27" s="11" t="n">
        <f aca="false">IF($A27="",0,SUMIFS(tblAuftraege[Einnahmen],tblAuftraege[Datum Einnahmen],"&gt;="&amp;AV$5,tblAuftraege[Datum Einnahmen],"&lt;"&amp;EDATE(AV$5,1),tblAuftraege[Auftrag],$A27))</f>
        <v>0</v>
      </c>
      <c r="AW27" s="11" t="n">
        <f aca="false">IF($A27="",0,SUMIFS(tblAuftraege[Einnahmen],tblAuftraege[Datum Einnahmen],"&gt;="&amp;AW$5,tblAuftraege[Datum Einnahmen],"&lt;"&amp;EDATE(AW$5,1),tblAuftraege[Auftrag],$A27))</f>
        <v>0</v>
      </c>
      <c r="AX27" s="11" t="n">
        <f aca="false">IF($A27="",0,SUMIFS(tblAuftraege[Einnahmen],tblAuftraege[Datum Einnahmen],"&gt;="&amp;AX$5,tblAuftraege[Datum Einnahmen],"&lt;"&amp;EDATE(AX$5,1),tblAuftraege[Auftrag],$A27))</f>
        <v>0</v>
      </c>
      <c r="AY27" s="11" t="n">
        <f aca="false">IF($A27="",0,SUMIFS(tblAuftraege[Einnahmen],tblAuftraege[Datum Einnahmen],"&gt;="&amp;AY$5,tblAuftraege[Datum Einnahmen],"&lt;"&amp;EDATE(AY$5,1),tblAuftraege[Auftrag],$A27))</f>
        <v>0</v>
      </c>
      <c r="AZ27" s="11" t="n">
        <f aca="false">IF($A27="",0,SUMIFS(tblAuftraege[Einnahmen],tblAuftraege[Datum Einnahmen],"&gt;="&amp;AZ$5,tblAuftraege[Datum Einnahmen],"&lt;"&amp;EDATE(AZ$5,1),tblAuftraege[Auftrag],$A27))</f>
        <v>0</v>
      </c>
      <c r="BA27" s="11" t="n">
        <f aca="false">IF($A27="",0,SUMIFS(tblAuftraege[Einnahmen],tblAuftraege[Datum Einnahmen],"&gt;="&amp;BA$5,tblAuftraege[Datum Einnahmen],"&lt;"&amp;EDATE(BA$5,1),tblAuftraege[Auftrag],$A27))</f>
        <v>0</v>
      </c>
      <c r="BB27" s="11" t="n">
        <f aca="false">IF($A27="",0,SUMIFS(tblAuftraege[Einnahmen],tblAuftraege[Datum Einnahmen],"&gt;="&amp;BB$5,tblAuftraege[Datum Einnahmen],"&lt;"&amp;EDATE(BB$5,1),tblAuftraege[Auftrag],$A27))</f>
        <v>0</v>
      </c>
      <c r="BC27" s="11" t="n">
        <f aca="false">IF($A27="",0,SUMIFS(tblAuftraege[Einnahmen],tblAuftraege[Datum Einnahmen],"&gt;="&amp;BC$5,tblAuftraege[Datum Einnahmen],"&lt;"&amp;EDATE(BC$5,1),tblAuftraege[Auftrag],$A27))</f>
        <v>0</v>
      </c>
      <c r="BD27" s="11" t="n">
        <f aca="false">IF($A27="",0,SUMIFS(tblAuftraege[Einnahmen],tblAuftraege[Datum Einnahmen],"&gt;="&amp;BD$5,tblAuftraege[Datum Einnahmen],"&lt;"&amp;EDATE(BD$5,1),tblAuftraege[Auftrag],$A27))</f>
        <v>0</v>
      </c>
      <c r="BE27" s="11" t="n">
        <f aca="false">IF($A27="",0,SUMIFS(tblAuftraege[Einnahmen],tblAuftraege[Datum Einnahmen],"&gt;="&amp;BE$5,tblAuftraege[Datum Einnahmen],"&lt;"&amp;EDATE(BE$5,1),tblAuftraege[Auftrag],$A27))</f>
        <v>0</v>
      </c>
      <c r="BF27" s="11" t="n">
        <f aca="false">IF($A27="",0,SUMIFS(tblAuftraege[Einnahmen],tblAuftraege[Datum Einnahmen],"&gt;="&amp;BF$5,tblAuftraege[Datum Einnahmen],"&lt;"&amp;EDATE(BF$5,1),tblAuftraege[Auftrag],$A27))</f>
        <v>0</v>
      </c>
      <c r="BG27" s="11" t="n">
        <f aca="false">SUM(E27:J27)</f>
        <v>0</v>
      </c>
      <c r="BH27" s="11" t="n">
        <f aca="false">SUM(K27:V27)</f>
        <v>0</v>
      </c>
      <c r="BI27" s="11" t="n">
        <f aca="false">SUM(W27:AH27)</f>
        <v>0</v>
      </c>
      <c r="BJ27" s="11" t="n">
        <f aca="false">SUM(AI27:AT27)</f>
        <v>0</v>
      </c>
      <c r="BK27" s="11" t="n">
        <f aca="false">SUM(AU27:BF27)</f>
        <v>0</v>
      </c>
      <c r="BL27" s="12" t="n">
        <f aca="false">SUM(E27:BF27)</f>
        <v>0</v>
      </c>
    </row>
    <row r="28" customFormat="false" ht="15" hidden="false" customHeight="false" outlineLevel="0" collapsed="false">
      <c r="A28" s="9"/>
      <c r="B28" s="10" t="str">
        <f aca="false">IF($A28="","",IFERROR(INDEX(tblAuftraege[Kostenstelle],MATCH($A28,tblAuftraege[Auftrag],0)),""))</f>
        <v/>
      </c>
      <c r="C28" s="10" t="str">
        <f aca="false">IF($A28="","",IFERROR(INDEX(tblAuftraege[Themenfeld],MATCH($A28,tblAuftraege[Auftrag],0)),""))</f>
        <v/>
      </c>
      <c r="D28" s="10" t="str">
        <f aca="false">IF($A28="","",IFERROR(INDEX(tblAuftraege[Kategorie],MATCH($A28,tblAuftraege[Auftrag],0)),""))</f>
        <v/>
      </c>
      <c r="E28" s="11" t="n">
        <f aca="false">IF($A28="",0,SUMIFS(tblAuftraege[Einnahmen],tblAuftraege[Datum Einnahmen],"&gt;="&amp;E$5,tblAuftraege[Datum Einnahmen],"&lt;"&amp;EDATE(E$5,1),tblAuftraege[Auftrag],$A28))</f>
        <v>0</v>
      </c>
      <c r="F28" s="11" t="n">
        <f aca="false">IF($A28="",0,SUMIFS(tblAuftraege[Einnahmen],tblAuftraege[Datum Einnahmen],"&gt;="&amp;F$5,tblAuftraege[Datum Einnahmen],"&lt;"&amp;EDATE(F$5,1),tblAuftraege[Auftrag],$A28))</f>
        <v>0</v>
      </c>
      <c r="G28" s="11" t="n">
        <f aca="false">IF($A28="",0,SUMIFS(tblAuftraege[Einnahmen],tblAuftraege[Datum Einnahmen],"&gt;="&amp;G$5,tblAuftraege[Datum Einnahmen],"&lt;"&amp;EDATE(G$5,1),tblAuftraege[Auftrag],$A28))</f>
        <v>0</v>
      </c>
      <c r="H28" s="11" t="n">
        <f aca="false">IF($A28="",0,SUMIFS(tblAuftraege[Einnahmen],tblAuftraege[Datum Einnahmen],"&gt;="&amp;H$5,tblAuftraege[Datum Einnahmen],"&lt;"&amp;EDATE(H$5,1),tblAuftraege[Auftrag],$A28))</f>
        <v>0</v>
      </c>
      <c r="I28" s="11" t="n">
        <f aca="false">IF($A28="",0,SUMIFS(tblAuftraege[Einnahmen],tblAuftraege[Datum Einnahmen],"&gt;="&amp;I$5,tblAuftraege[Datum Einnahmen],"&lt;"&amp;EDATE(I$5,1),tblAuftraege[Auftrag],$A28))</f>
        <v>0</v>
      </c>
      <c r="J28" s="11" t="n">
        <f aca="false">IF($A28="",0,SUMIFS(tblAuftraege[Einnahmen],tblAuftraege[Datum Einnahmen],"&gt;="&amp;J$5,tblAuftraege[Datum Einnahmen],"&lt;"&amp;EDATE(J$5,1),tblAuftraege[Auftrag],$A28))</f>
        <v>0</v>
      </c>
      <c r="K28" s="11" t="n">
        <f aca="false">IF($A28="",0,SUMIFS(tblAuftraege[Einnahmen],tblAuftraege[Datum Einnahmen],"&gt;="&amp;K$5,tblAuftraege[Datum Einnahmen],"&lt;"&amp;EDATE(K$5,1),tblAuftraege[Auftrag],$A28))</f>
        <v>0</v>
      </c>
      <c r="L28" s="11" t="n">
        <f aca="false">IF($A28="",0,SUMIFS(tblAuftraege[Einnahmen],tblAuftraege[Datum Einnahmen],"&gt;="&amp;L$5,tblAuftraege[Datum Einnahmen],"&lt;"&amp;EDATE(L$5,1),tblAuftraege[Auftrag],$A28))</f>
        <v>0</v>
      </c>
      <c r="M28" s="11" t="n">
        <f aca="false">IF($A28="",0,SUMIFS(tblAuftraege[Einnahmen],tblAuftraege[Datum Einnahmen],"&gt;="&amp;M$5,tblAuftraege[Datum Einnahmen],"&lt;"&amp;EDATE(M$5,1),tblAuftraege[Auftrag],$A28))</f>
        <v>0</v>
      </c>
      <c r="N28" s="11" t="n">
        <f aca="false">IF($A28="",0,SUMIFS(tblAuftraege[Einnahmen],tblAuftraege[Datum Einnahmen],"&gt;="&amp;N$5,tblAuftraege[Datum Einnahmen],"&lt;"&amp;EDATE(N$5,1),tblAuftraege[Auftrag],$A28))</f>
        <v>0</v>
      </c>
      <c r="O28" s="11" t="n">
        <f aca="false">IF($A28="",0,SUMIFS(tblAuftraege[Einnahmen],tblAuftraege[Datum Einnahmen],"&gt;="&amp;O$5,tblAuftraege[Datum Einnahmen],"&lt;"&amp;EDATE(O$5,1),tblAuftraege[Auftrag],$A28))</f>
        <v>0</v>
      </c>
      <c r="P28" s="11" t="n">
        <f aca="false">IF($A28="",0,SUMIFS(tblAuftraege[Einnahmen],tblAuftraege[Datum Einnahmen],"&gt;="&amp;P$5,tblAuftraege[Datum Einnahmen],"&lt;"&amp;EDATE(P$5,1),tblAuftraege[Auftrag],$A28))</f>
        <v>0</v>
      </c>
      <c r="Q28" s="11" t="n">
        <f aca="false">IF($A28="",0,SUMIFS(tblAuftraege[Einnahmen],tblAuftraege[Datum Einnahmen],"&gt;="&amp;Q$5,tblAuftraege[Datum Einnahmen],"&lt;"&amp;EDATE(Q$5,1),tblAuftraege[Auftrag],$A28))</f>
        <v>0</v>
      </c>
      <c r="R28" s="11" t="n">
        <f aca="false">IF($A28="",0,SUMIFS(tblAuftraege[Einnahmen],tblAuftraege[Datum Einnahmen],"&gt;="&amp;R$5,tblAuftraege[Datum Einnahmen],"&lt;"&amp;EDATE(R$5,1),tblAuftraege[Auftrag],$A28))</f>
        <v>0</v>
      </c>
      <c r="S28" s="11" t="n">
        <f aca="false">IF($A28="",0,SUMIFS(tblAuftraege[Einnahmen],tblAuftraege[Datum Einnahmen],"&gt;="&amp;S$5,tblAuftraege[Datum Einnahmen],"&lt;"&amp;EDATE(S$5,1),tblAuftraege[Auftrag],$A28))</f>
        <v>0</v>
      </c>
      <c r="T28" s="11" t="n">
        <f aca="false">IF($A28="",0,SUMIFS(tblAuftraege[Einnahmen],tblAuftraege[Datum Einnahmen],"&gt;="&amp;T$5,tblAuftraege[Datum Einnahmen],"&lt;"&amp;EDATE(T$5,1),tblAuftraege[Auftrag],$A28))</f>
        <v>0</v>
      </c>
      <c r="U28" s="11" t="n">
        <f aca="false">IF($A28="",0,SUMIFS(tblAuftraege[Einnahmen],tblAuftraege[Datum Einnahmen],"&gt;="&amp;U$5,tblAuftraege[Datum Einnahmen],"&lt;"&amp;EDATE(U$5,1),tblAuftraege[Auftrag],$A28))</f>
        <v>0</v>
      </c>
      <c r="V28" s="11" t="n">
        <f aca="false">IF($A28="",0,SUMIFS(tblAuftraege[Einnahmen],tblAuftraege[Datum Einnahmen],"&gt;="&amp;V$5,tblAuftraege[Datum Einnahmen],"&lt;"&amp;EDATE(V$5,1),tblAuftraege[Auftrag],$A28))</f>
        <v>0</v>
      </c>
      <c r="W28" s="11" t="n">
        <f aca="false">IF($A28="",0,SUMIFS(tblAuftraege[Einnahmen],tblAuftraege[Datum Einnahmen],"&gt;="&amp;W$5,tblAuftraege[Datum Einnahmen],"&lt;"&amp;EDATE(W$5,1),tblAuftraege[Auftrag],$A28))</f>
        <v>0</v>
      </c>
      <c r="X28" s="11" t="n">
        <f aca="false">IF($A28="",0,SUMIFS(tblAuftraege[Einnahmen],tblAuftraege[Datum Einnahmen],"&gt;="&amp;X$5,tblAuftraege[Datum Einnahmen],"&lt;"&amp;EDATE(X$5,1),tblAuftraege[Auftrag],$A28))</f>
        <v>0</v>
      </c>
      <c r="Y28" s="11" t="n">
        <f aca="false">IF($A28="",0,SUMIFS(tblAuftraege[Einnahmen],tblAuftraege[Datum Einnahmen],"&gt;="&amp;Y$5,tblAuftraege[Datum Einnahmen],"&lt;"&amp;EDATE(Y$5,1),tblAuftraege[Auftrag],$A28))</f>
        <v>0</v>
      </c>
      <c r="Z28" s="11" t="n">
        <f aca="false">IF($A28="",0,SUMIFS(tblAuftraege[Einnahmen],tblAuftraege[Datum Einnahmen],"&gt;="&amp;Z$5,tblAuftraege[Datum Einnahmen],"&lt;"&amp;EDATE(Z$5,1),tblAuftraege[Auftrag],$A28))</f>
        <v>0</v>
      </c>
      <c r="AA28" s="11" t="n">
        <f aca="false">IF($A28="",0,SUMIFS(tblAuftraege[Einnahmen],tblAuftraege[Datum Einnahmen],"&gt;="&amp;AA$5,tblAuftraege[Datum Einnahmen],"&lt;"&amp;EDATE(AA$5,1),tblAuftraege[Auftrag],$A28))</f>
        <v>0</v>
      </c>
      <c r="AB28" s="11" t="n">
        <f aca="false">IF($A28="",0,SUMIFS(tblAuftraege[Einnahmen],tblAuftraege[Datum Einnahmen],"&gt;="&amp;AB$5,tblAuftraege[Datum Einnahmen],"&lt;"&amp;EDATE(AB$5,1),tblAuftraege[Auftrag],$A28))</f>
        <v>0</v>
      </c>
      <c r="AC28" s="11" t="n">
        <f aca="false">IF($A28="",0,SUMIFS(tblAuftraege[Einnahmen],tblAuftraege[Datum Einnahmen],"&gt;="&amp;AC$5,tblAuftraege[Datum Einnahmen],"&lt;"&amp;EDATE(AC$5,1),tblAuftraege[Auftrag],$A28))</f>
        <v>0</v>
      </c>
      <c r="AD28" s="11" t="n">
        <f aca="false">IF($A28="",0,SUMIFS(tblAuftraege[Einnahmen],tblAuftraege[Datum Einnahmen],"&gt;="&amp;AD$5,tblAuftraege[Datum Einnahmen],"&lt;"&amp;EDATE(AD$5,1),tblAuftraege[Auftrag],$A28))</f>
        <v>0</v>
      </c>
      <c r="AE28" s="11" t="n">
        <f aca="false">IF($A28="",0,SUMIFS(tblAuftraege[Einnahmen],tblAuftraege[Datum Einnahmen],"&gt;="&amp;AE$5,tblAuftraege[Datum Einnahmen],"&lt;"&amp;EDATE(AE$5,1),tblAuftraege[Auftrag],$A28))</f>
        <v>0</v>
      </c>
      <c r="AF28" s="11" t="n">
        <f aca="false">IF($A28="",0,SUMIFS(tblAuftraege[Einnahmen],tblAuftraege[Datum Einnahmen],"&gt;="&amp;AF$5,tblAuftraege[Datum Einnahmen],"&lt;"&amp;EDATE(AF$5,1),tblAuftraege[Auftrag],$A28))</f>
        <v>0</v>
      </c>
      <c r="AG28" s="11" t="n">
        <f aca="false">IF($A28="",0,SUMIFS(tblAuftraege[Einnahmen],tblAuftraege[Datum Einnahmen],"&gt;="&amp;AG$5,tblAuftraege[Datum Einnahmen],"&lt;"&amp;EDATE(AG$5,1),tblAuftraege[Auftrag],$A28))</f>
        <v>0</v>
      </c>
      <c r="AH28" s="11" t="n">
        <f aca="false">IF($A28="",0,SUMIFS(tblAuftraege[Einnahmen],tblAuftraege[Datum Einnahmen],"&gt;="&amp;AH$5,tblAuftraege[Datum Einnahmen],"&lt;"&amp;EDATE(AH$5,1),tblAuftraege[Auftrag],$A28))</f>
        <v>0</v>
      </c>
      <c r="AI28" s="11" t="n">
        <f aca="false">IF($A28="",0,SUMIFS(tblAuftraege[Einnahmen],tblAuftraege[Datum Einnahmen],"&gt;="&amp;AI$5,tblAuftraege[Datum Einnahmen],"&lt;"&amp;EDATE(AI$5,1),tblAuftraege[Auftrag],$A28))</f>
        <v>0</v>
      </c>
      <c r="AJ28" s="11" t="n">
        <f aca="false">IF($A28="",0,SUMIFS(tblAuftraege[Einnahmen],tblAuftraege[Datum Einnahmen],"&gt;="&amp;AJ$5,tblAuftraege[Datum Einnahmen],"&lt;"&amp;EDATE(AJ$5,1),tblAuftraege[Auftrag],$A28))</f>
        <v>0</v>
      </c>
      <c r="AK28" s="11" t="n">
        <f aca="false">IF($A28="",0,SUMIFS(tblAuftraege[Einnahmen],tblAuftraege[Datum Einnahmen],"&gt;="&amp;AK$5,tblAuftraege[Datum Einnahmen],"&lt;"&amp;EDATE(AK$5,1),tblAuftraege[Auftrag],$A28))</f>
        <v>0</v>
      </c>
      <c r="AL28" s="11" t="n">
        <f aca="false">IF($A28="",0,SUMIFS(tblAuftraege[Einnahmen],tblAuftraege[Datum Einnahmen],"&gt;="&amp;AL$5,tblAuftraege[Datum Einnahmen],"&lt;"&amp;EDATE(AL$5,1),tblAuftraege[Auftrag],$A28))</f>
        <v>0</v>
      </c>
      <c r="AM28" s="11" t="n">
        <f aca="false">IF($A28="",0,SUMIFS(tblAuftraege[Einnahmen],tblAuftraege[Datum Einnahmen],"&gt;="&amp;AM$5,tblAuftraege[Datum Einnahmen],"&lt;"&amp;EDATE(AM$5,1),tblAuftraege[Auftrag],$A28))</f>
        <v>0</v>
      </c>
      <c r="AN28" s="11" t="n">
        <f aca="false">IF($A28="",0,SUMIFS(tblAuftraege[Einnahmen],tblAuftraege[Datum Einnahmen],"&gt;="&amp;AN$5,tblAuftraege[Datum Einnahmen],"&lt;"&amp;EDATE(AN$5,1),tblAuftraege[Auftrag],$A28))</f>
        <v>0</v>
      </c>
      <c r="AO28" s="11" t="n">
        <f aca="false">IF($A28="",0,SUMIFS(tblAuftraege[Einnahmen],tblAuftraege[Datum Einnahmen],"&gt;="&amp;AO$5,tblAuftraege[Datum Einnahmen],"&lt;"&amp;EDATE(AO$5,1),tblAuftraege[Auftrag],$A28))</f>
        <v>0</v>
      </c>
      <c r="AP28" s="11" t="n">
        <f aca="false">IF($A28="",0,SUMIFS(tblAuftraege[Einnahmen],tblAuftraege[Datum Einnahmen],"&gt;="&amp;AP$5,tblAuftraege[Datum Einnahmen],"&lt;"&amp;EDATE(AP$5,1),tblAuftraege[Auftrag],$A28))</f>
        <v>0</v>
      </c>
      <c r="AQ28" s="11" t="n">
        <f aca="false">IF($A28="",0,SUMIFS(tblAuftraege[Einnahmen],tblAuftraege[Datum Einnahmen],"&gt;="&amp;AQ$5,tblAuftraege[Datum Einnahmen],"&lt;"&amp;EDATE(AQ$5,1),tblAuftraege[Auftrag],$A28))</f>
        <v>0</v>
      </c>
      <c r="AR28" s="11" t="n">
        <f aca="false">IF($A28="",0,SUMIFS(tblAuftraege[Einnahmen],tblAuftraege[Datum Einnahmen],"&gt;="&amp;AR$5,tblAuftraege[Datum Einnahmen],"&lt;"&amp;EDATE(AR$5,1),tblAuftraege[Auftrag],$A28))</f>
        <v>0</v>
      </c>
      <c r="AS28" s="11" t="n">
        <f aca="false">IF($A28="",0,SUMIFS(tblAuftraege[Einnahmen],tblAuftraege[Datum Einnahmen],"&gt;="&amp;AS$5,tblAuftraege[Datum Einnahmen],"&lt;"&amp;EDATE(AS$5,1),tblAuftraege[Auftrag],$A28))</f>
        <v>0</v>
      </c>
      <c r="AT28" s="11" t="n">
        <f aca="false">IF($A28="",0,SUMIFS(tblAuftraege[Einnahmen],tblAuftraege[Datum Einnahmen],"&gt;="&amp;AT$5,tblAuftraege[Datum Einnahmen],"&lt;"&amp;EDATE(AT$5,1),tblAuftraege[Auftrag],$A28))</f>
        <v>0</v>
      </c>
      <c r="AU28" s="11" t="n">
        <f aca="false">IF($A28="",0,SUMIFS(tblAuftraege[Einnahmen],tblAuftraege[Datum Einnahmen],"&gt;="&amp;AU$5,tblAuftraege[Datum Einnahmen],"&lt;"&amp;EDATE(AU$5,1),tblAuftraege[Auftrag],$A28))</f>
        <v>0</v>
      </c>
      <c r="AV28" s="11" t="n">
        <f aca="false">IF($A28="",0,SUMIFS(tblAuftraege[Einnahmen],tblAuftraege[Datum Einnahmen],"&gt;="&amp;AV$5,tblAuftraege[Datum Einnahmen],"&lt;"&amp;EDATE(AV$5,1),tblAuftraege[Auftrag],$A28))</f>
        <v>0</v>
      </c>
      <c r="AW28" s="11" t="n">
        <f aca="false">IF($A28="",0,SUMIFS(tblAuftraege[Einnahmen],tblAuftraege[Datum Einnahmen],"&gt;="&amp;AW$5,tblAuftraege[Datum Einnahmen],"&lt;"&amp;EDATE(AW$5,1),tblAuftraege[Auftrag],$A28))</f>
        <v>0</v>
      </c>
      <c r="AX28" s="11" t="n">
        <f aca="false">IF($A28="",0,SUMIFS(tblAuftraege[Einnahmen],tblAuftraege[Datum Einnahmen],"&gt;="&amp;AX$5,tblAuftraege[Datum Einnahmen],"&lt;"&amp;EDATE(AX$5,1),tblAuftraege[Auftrag],$A28))</f>
        <v>0</v>
      </c>
      <c r="AY28" s="11" t="n">
        <f aca="false">IF($A28="",0,SUMIFS(tblAuftraege[Einnahmen],tblAuftraege[Datum Einnahmen],"&gt;="&amp;AY$5,tblAuftraege[Datum Einnahmen],"&lt;"&amp;EDATE(AY$5,1),tblAuftraege[Auftrag],$A28))</f>
        <v>0</v>
      </c>
      <c r="AZ28" s="11" t="n">
        <f aca="false">IF($A28="",0,SUMIFS(tblAuftraege[Einnahmen],tblAuftraege[Datum Einnahmen],"&gt;="&amp;AZ$5,tblAuftraege[Datum Einnahmen],"&lt;"&amp;EDATE(AZ$5,1),tblAuftraege[Auftrag],$A28))</f>
        <v>0</v>
      </c>
      <c r="BA28" s="11" t="n">
        <f aca="false">IF($A28="",0,SUMIFS(tblAuftraege[Einnahmen],tblAuftraege[Datum Einnahmen],"&gt;="&amp;BA$5,tblAuftraege[Datum Einnahmen],"&lt;"&amp;EDATE(BA$5,1),tblAuftraege[Auftrag],$A28))</f>
        <v>0</v>
      </c>
      <c r="BB28" s="11" t="n">
        <f aca="false">IF($A28="",0,SUMIFS(tblAuftraege[Einnahmen],tblAuftraege[Datum Einnahmen],"&gt;="&amp;BB$5,tblAuftraege[Datum Einnahmen],"&lt;"&amp;EDATE(BB$5,1),tblAuftraege[Auftrag],$A28))</f>
        <v>0</v>
      </c>
      <c r="BC28" s="11" t="n">
        <f aca="false">IF($A28="",0,SUMIFS(tblAuftraege[Einnahmen],tblAuftraege[Datum Einnahmen],"&gt;="&amp;BC$5,tblAuftraege[Datum Einnahmen],"&lt;"&amp;EDATE(BC$5,1),tblAuftraege[Auftrag],$A28))</f>
        <v>0</v>
      </c>
      <c r="BD28" s="11" t="n">
        <f aca="false">IF($A28="",0,SUMIFS(tblAuftraege[Einnahmen],tblAuftraege[Datum Einnahmen],"&gt;="&amp;BD$5,tblAuftraege[Datum Einnahmen],"&lt;"&amp;EDATE(BD$5,1),tblAuftraege[Auftrag],$A28))</f>
        <v>0</v>
      </c>
      <c r="BE28" s="11" t="n">
        <f aca="false">IF($A28="",0,SUMIFS(tblAuftraege[Einnahmen],tblAuftraege[Datum Einnahmen],"&gt;="&amp;BE$5,tblAuftraege[Datum Einnahmen],"&lt;"&amp;EDATE(BE$5,1),tblAuftraege[Auftrag],$A28))</f>
        <v>0</v>
      </c>
      <c r="BF28" s="11" t="n">
        <f aca="false">IF($A28="",0,SUMIFS(tblAuftraege[Einnahmen],tblAuftraege[Datum Einnahmen],"&gt;="&amp;BF$5,tblAuftraege[Datum Einnahmen],"&lt;"&amp;EDATE(BF$5,1),tblAuftraege[Auftrag],$A28))</f>
        <v>0</v>
      </c>
      <c r="BG28" s="11" t="n">
        <f aca="false">SUM(E28:J28)</f>
        <v>0</v>
      </c>
      <c r="BH28" s="11" t="n">
        <f aca="false">SUM(K28:V28)</f>
        <v>0</v>
      </c>
      <c r="BI28" s="11" t="n">
        <f aca="false">SUM(W28:AH28)</f>
        <v>0</v>
      </c>
      <c r="BJ28" s="11" t="n">
        <f aca="false">SUM(AI28:AT28)</f>
        <v>0</v>
      </c>
      <c r="BK28" s="11" t="n">
        <f aca="false">SUM(AU28:BF28)</f>
        <v>0</v>
      </c>
      <c r="BL28" s="12" t="n">
        <f aca="false">SUM(E28:BF28)</f>
        <v>0</v>
      </c>
    </row>
    <row r="29" customFormat="false" ht="15" hidden="false" customHeight="false" outlineLevel="0" collapsed="false">
      <c r="A29" s="9"/>
      <c r="B29" s="10" t="str">
        <f aca="false">IF($A29="","",IFERROR(INDEX(tblAuftraege[Kostenstelle],MATCH($A29,tblAuftraege[Auftrag],0)),""))</f>
        <v/>
      </c>
      <c r="C29" s="10" t="str">
        <f aca="false">IF($A29="","",IFERROR(INDEX(tblAuftraege[Themenfeld],MATCH($A29,tblAuftraege[Auftrag],0)),""))</f>
        <v/>
      </c>
      <c r="D29" s="10" t="str">
        <f aca="false">IF($A29="","",IFERROR(INDEX(tblAuftraege[Kategorie],MATCH($A29,tblAuftraege[Auftrag],0)),""))</f>
        <v/>
      </c>
      <c r="E29" s="11" t="n">
        <f aca="false">IF($A29="",0,SUMIFS(tblAuftraege[Einnahmen],tblAuftraege[Datum Einnahmen],"&gt;="&amp;E$5,tblAuftraege[Datum Einnahmen],"&lt;"&amp;EDATE(E$5,1),tblAuftraege[Auftrag],$A29))</f>
        <v>0</v>
      </c>
      <c r="F29" s="11" t="n">
        <f aca="false">IF($A29="",0,SUMIFS(tblAuftraege[Einnahmen],tblAuftraege[Datum Einnahmen],"&gt;="&amp;F$5,tblAuftraege[Datum Einnahmen],"&lt;"&amp;EDATE(F$5,1),tblAuftraege[Auftrag],$A29))</f>
        <v>0</v>
      </c>
      <c r="G29" s="11" t="n">
        <f aca="false">IF($A29="",0,SUMIFS(tblAuftraege[Einnahmen],tblAuftraege[Datum Einnahmen],"&gt;="&amp;G$5,tblAuftraege[Datum Einnahmen],"&lt;"&amp;EDATE(G$5,1),tblAuftraege[Auftrag],$A29))</f>
        <v>0</v>
      </c>
      <c r="H29" s="11" t="n">
        <f aca="false">IF($A29="",0,SUMIFS(tblAuftraege[Einnahmen],tblAuftraege[Datum Einnahmen],"&gt;="&amp;H$5,tblAuftraege[Datum Einnahmen],"&lt;"&amp;EDATE(H$5,1),tblAuftraege[Auftrag],$A29))</f>
        <v>0</v>
      </c>
      <c r="I29" s="11" t="n">
        <f aca="false">IF($A29="",0,SUMIFS(tblAuftraege[Einnahmen],tblAuftraege[Datum Einnahmen],"&gt;="&amp;I$5,tblAuftraege[Datum Einnahmen],"&lt;"&amp;EDATE(I$5,1),tblAuftraege[Auftrag],$A29))</f>
        <v>0</v>
      </c>
      <c r="J29" s="11" t="n">
        <f aca="false">IF($A29="",0,SUMIFS(tblAuftraege[Einnahmen],tblAuftraege[Datum Einnahmen],"&gt;="&amp;J$5,tblAuftraege[Datum Einnahmen],"&lt;"&amp;EDATE(J$5,1),tblAuftraege[Auftrag],$A29))</f>
        <v>0</v>
      </c>
      <c r="K29" s="11" t="n">
        <f aca="false">IF($A29="",0,SUMIFS(tblAuftraege[Einnahmen],tblAuftraege[Datum Einnahmen],"&gt;="&amp;K$5,tblAuftraege[Datum Einnahmen],"&lt;"&amp;EDATE(K$5,1),tblAuftraege[Auftrag],$A29))</f>
        <v>0</v>
      </c>
      <c r="L29" s="11" t="n">
        <f aca="false">IF($A29="",0,SUMIFS(tblAuftraege[Einnahmen],tblAuftraege[Datum Einnahmen],"&gt;="&amp;L$5,tblAuftraege[Datum Einnahmen],"&lt;"&amp;EDATE(L$5,1),tblAuftraege[Auftrag],$A29))</f>
        <v>0</v>
      </c>
      <c r="M29" s="11" t="n">
        <f aca="false">IF($A29="",0,SUMIFS(tblAuftraege[Einnahmen],tblAuftraege[Datum Einnahmen],"&gt;="&amp;M$5,tblAuftraege[Datum Einnahmen],"&lt;"&amp;EDATE(M$5,1),tblAuftraege[Auftrag],$A29))</f>
        <v>0</v>
      </c>
      <c r="N29" s="11" t="n">
        <f aca="false">IF($A29="",0,SUMIFS(tblAuftraege[Einnahmen],tblAuftraege[Datum Einnahmen],"&gt;="&amp;N$5,tblAuftraege[Datum Einnahmen],"&lt;"&amp;EDATE(N$5,1),tblAuftraege[Auftrag],$A29))</f>
        <v>0</v>
      </c>
      <c r="O29" s="11" t="n">
        <f aca="false">IF($A29="",0,SUMIFS(tblAuftraege[Einnahmen],tblAuftraege[Datum Einnahmen],"&gt;="&amp;O$5,tblAuftraege[Datum Einnahmen],"&lt;"&amp;EDATE(O$5,1),tblAuftraege[Auftrag],$A29))</f>
        <v>0</v>
      </c>
      <c r="P29" s="11" t="n">
        <f aca="false">IF($A29="",0,SUMIFS(tblAuftraege[Einnahmen],tblAuftraege[Datum Einnahmen],"&gt;="&amp;P$5,tblAuftraege[Datum Einnahmen],"&lt;"&amp;EDATE(P$5,1),tblAuftraege[Auftrag],$A29))</f>
        <v>0</v>
      </c>
      <c r="Q29" s="11" t="n">
        <f aca="false">IF($A29="",0,SUMIFS(tblAuftraege[Einnahmen],tblAuftraege[Datum Einnahmen],"&gt;="&amp;Q$5,tblAuftraege[Datum Einnahmen],"&lt;"&amp;EDATE(Q$5,1),tblAuftraege[Auftrag],$A29))</f>
        <v>0</v>
      </c>
      <c r="R29" s="11" t="n">
        <f aca="false">IF($A29="",0,SUMIFS(tblAuftraege[Einnahmen],tblAuftraege[Datum Einnahmen],"&gt;="&amp;R$5,tblAuftraege[Datum Einnahmen],"&lt;"&amp;EDATE(R$5,1),tblAuftraege[Auftrag],$A29))</f>
        <v>0</v>
      </c>
      <c r="S29" s="11" t="n">
        <f aca="false">IF($A29="",0,SUMIFS(tblAuftraege[Einnahmen],tblAuftraege[Datum Einnahmen],"&gt;="&amp;S$5,tblAuftraege[Datum Einnahmen],"&lt;"&amp;EDATE(S$5,1),tblAuftraege[Auftrag],$A29))</f>
        <v>0</v>
      </c>
      <c r="T29" s="11" t="n">
        <f aca="false">IF($A29="",0,SUMIFS(tblAuftraege[Einnahmen],tblAuftraege[Datum Einnahmen],"&gt;="&amp;T$5,tblAuftraege[Datum Einnahmen],"&lt;"&amp;EDATE(T$5,1),tblAuftraege[Auftrag],$A29))</f>
        <v>0</v>
      </c>
      <c r="U29" s="11" t="n">
        <f aca="false">IF($A29="",0,SUMIFS(tblAuftraege[Einnahmen],tblAuftraege[Datum Einnahmen],"&gt;="&amp;U$5,tblAuftraege[Datum Einnahmen],"&lt;"&amp;EDATE(U$5,1),tblAuftraege[Auftrag],$A29))</f>
        <v>0</v>
      </c>
      <c r="V29" s="11" t="n">
        <f aca="false">IF($A29="",0,SUMIFS(tblAuftraege[Einnahmen],tblAuftraege[Datum Einnahmen],"&gt;="&amp;V$5,tblAuftraege[Datum Einnahmen],"&lt;"&amp;EDATE(V$5,1),tblAuftraege[Auftrag],$A29))</f>
        <v>0</v>
      </c>
      <c r="W29" s="11" t="n">
        <f aca="false">IF($A29="",0,SUMIFS(tblAuftraege[Einnahmen],tblAuftraege[Datum Einnahmen],"&gt;="&amp;W$5,tblAuftraege[Datum Einnahmen],"&lt;"&amp;EDATE(W$5,1),tblAuftraege[Auftrag],$A29))</f>
        <v>0</v>
      </c>
      <c r="X29" s="11" t="n">
        <f aca="false">IF($A29="",0,SUMIFS(tblAuftraege[Einnahmen],tblAuftraege[Datum Einnahmen],"&gt;="&amp;X$5,tblAuftraege[Datum Einnahmen],"&lt;"&amp;EDATE(X$5,1),tblAuftraege[Auftrag],$A29))</f>
        <v>0</v>
      </c>
      <c r="Y29" s="11" t="n">
        <f aca="false">IF($A29="",0,SUMIFS(tblAuftraege[Einnahmen],tblAuftraege[Datum Einnahmen],"&gt;="&amp;Y$5,tblAuftraege[Datum Einnahmen],"&lt;"&amp;EDATE(Y$5,1),tblAuftraege[Auftrag],$A29))</f>
        <v>0</v>
      </c>
      <c r="Z29" s="11" t="n">
        <f aca="false">IF($A29="",0,SUMIFS(tblAuftraege[Einnahmen],tblAuftraege[Datum Einnahmen],"&gt;="&amp;Z$5,tblAuftraege[Datum Einnahmen],"&lt;"&amp;EDATE(Z$5,1),tblAuftraege[Auftrag],$A29))</f>
        <v>0</v>
      </c>
      <c r="AA29" s="11" t="n">
        <f aca="false">IF($A29="",0,SUMIFS(tblAuftraege[Einnahmen],tblAuftraege[Datum Einnahmen],"&gt;="&amp;AA$5,tblAuftraege[Datum Einnahmen],"&lt;"&amp;EDATE(AA$5,1),tblAuftraege[Auftrag],$A29))</f>
        <v>0</v>
      </c>
      <c r="AB29" s="11" t="n">
        <f aca="false">IF($A29="",0,SUMIFS(tblAuftraege[Einnahmen],tblAuftraege[Datum Einnahmen],"&gt;="&amp;AB$5,tblAuftraege[Datum Einnahmen],"&lt;"&amp;EDATE(AB$5,1),tblAuftraege[Auftrag],$A29))</f>
        <v>0</v>
      </c>
      <c r="AC29" s="11" t="n">
        <f aca="false">IF($A29="",0,SUMIFS(tblAuftraege[Einnahmen],tblAuftraege[Datum Einnahmen],"&gt;="&amp;AC$5,tblAuftraege[Datum Einnahmen],"&lt;"&amp;EDATE(AC$5,1),tblAuftraege[Auftrag],$A29))</f>
        <v>0</v>
      </c>
      <c r="AD29" s="11" t="n">
        <f aca="false">IF($A29="",0,SUMIFS(tblAuftraege[Einnahmen],tblAuftraege[Datum Einnahmen],"&gt;="&amp;AD$5,tblAuftraege[Datum Einnahmen],"&lt;"&amp;EDATE(AD$5,1),tblAuftraege[Auftrag],$A29))</f>
        <v>0</v>
      </c>
      <c r="AE29" s="11" t="n">
        <f aca="false">IF($A29="",0,SUMIFS(tblAuftraege[Einnahmen],tblAuftraege[Datum Einnahmen],"&gt;="&amp;AE$5,tblAuftraege[Datum Einnahmen],"&lt;"&amp;EDATE(AE$5,1),tblAuftraege[Auftrag],$A29))</f>
        <v>0</v>
      </c>
      <c r="AF29" s="11" t="n">
        <f aca="false">IF($A29="",0,SUMIFS(tblAuftraege[Einnahmen],tblAuftraege[Datum Einnahmen],"&gt;="&amp;AF$5,tblAuftraege[Datum Einnahmen],"&lt;"&amp;EDATE(AF$5,1),tblAuftraege[Auftrag],$A29))</f>
        <v>0</v>
      </c>
      <c r="AG29" s="11" t="n">
        <f aca="false">IF($A29="",0,SUMIFS(tblAuftraege[Einnahmen],tblAuftraege[Datum Einnahmen],"&gt;="&amp;AG$5,tblAuftraege[Datum Einnahmen],"&lt;"&amp;EDATE(AG$5,1),tblAuftraege[Auftrag],$A29))</f>
        <v>0</v>
      </c>
      <c r="AH29" s="11" t="n">
        <f aca="false">IF($A29="",0,SUMIFS(tblAuftraege[Einnahmen],tblAuftraege[Datum Einnahmen],"&gt;="&amp;AH$5,tblAuftraege[Datum Einnahmen],"&lt;"&amp;EDATE(AH$5,1),tblAuftraege[Auftrag],$A29))</f>
        <v>0</v>
      </c>
      <c r="AI29" s="11" t="n">
        <f aca="false">IF($A29="",0,SUMIFS(tblAuftraege[Einnahmen],tblAuftraege[Datum Einnahmen],"&gt;="&amp;AI$5,tblAuftraege[Datum Einnahmen],"&lt;"&amp;EDATE(AI$5,1),tblAuftraege[Auftrag],$A29))</f>
        <v>0</v>
      </c>
      <c r="AJ29" s="11" t="n">
        <f aca="false">IF($A29="",0,SUMIFS(tblAuftraege[Einnahmen],tblAuftraege[Datum Einnahmen],"&gt;="&amp;AJ$5,tblAuftraege[Datum Einnahmen],"&lt;"&amp;EDATE(AJ$5,1),tblAuftraege[Auftrag],$A29))</f>
        <v>0</v>
      </c>
      <c r="AK29" s="11" t="n">
        <f aca="false">IF($A29="",0,SUMIFS(tblAuftraege[Einnahmen],tblAuftraege[Datum Einnahmen],"&gt;="&amp;AK$5,tblAuftraege[Datum Einnahmen],"&lt;"&amp;EDATE(AK$5,1),tblAuftraege[Auftrag],$A29))</f>
        <v>0</v>
      </c>
      <c r="AL29" s="11" t="n">
        <f aca="false">IF($A29="",0,SUMIFS(tblAuftraege[Einnahmen],tblAuftraege[Datum Einnahmen],"&gt;="&amp;AL$5,tblAuftraege[Datum Einnahmen],"&lt;"&amp;EDATE(AL$5,1),tblAuftraege[Auftrag],$A29))</f>
        <v>0</v>
      </c>
      <c r="AM29" s="11" t="n">
        <f aca="false">IF($A29="",0,SUMIFS(tblAuftraege[Einnahmen],tblAuftraege[Datum Einnahmen],"&gt;="&amp;AM$5,tblAuftraege[Datum Einnahmen],"&lt;"&amp;EDATE(AM$5,1),tblAuftraege[Auftrag],$A29))</f>
        <v>0</v>
      </c>
      <c r="AN29" s="11" t="n">
        <f aca="false">IF($A29="",0,SUMIFS(tblAuftraege[Einnahmen],tblAuftraege[Datum Einnahmen],"&gt;="&amp;AN$5,tblAuftraege[Datum Einnahmen],"&lt;"&amp;EDATE(AN$5,1),tblAuftraege[Auftrag],$A29))</f>
        <v>0</v>
      </c>
      <c r="AO29" s="11" t="n">
        <f aca="false">IF($A29="",0,SUMIFS(tblAuftraege[Einnahmen],tblAuftraege[Datum Einnahmen],"&gt;="&amp;AO$5,tblAuftraege[Datum Einnahmen],"&lt;"&amp;EDATE(AO$5,1),tblAuftraege[Auftrag],$A29))</f>
        <v>0</v>
      </c>
      <c r="AP29" s="11" t="n">
        <f aca="false">IF($A29="",0,SUMIFS(tblAuftraege[Einnahmen],tblAuftraege[Datum Einnahmen],"&gt;="&amp;AP$5,tblAuftraege[Datum Einnahmen],"&lt;"&amp;EDATE(AP$5,1),tblAuftraege[Auftrag],$A29))</f>
        <v>0</v>
      </c>
      <c r="AQ29" s="11" t="n">
        <f aca="false">IF($A29="",0,SUMIFS(tblAuftraege[Einnahmen],tblAuftraege[Datum Einnahmen],"&gt;="&amp;AQ$5,tblAuftraege[Datum Einnahmen],"&lt;"&amp;EDATE(AQ$5,1),tblAuftraege[Auftrag],$A29))</f>
        <v>0</v>
      </c>
      <c r="AR29" s="11" t="n">
        <f aca="false">IF($A29="",0,SUMIFS(tblAuftraege[Einnahmen],tblAuftraege[Datum Einnahmen],"&gt;="&amp;AR$5,tblAuftraege[Datum Einnahmen],"&lt;"&amp;EDATE(AR$5,1),tblAuftraege[Auftrag],$A29))</f>
        <v>0</v>
      </c>
      <c r="AS29" s="11" t="n">
        <f aca="false">IF($A29="",0,SUMIFS(tblAuftraege[Einnahmen],tblAuftraege[Datum Einnahmen],"&gt;="&amp;AS$5,tblAuftraege[Datum Einnahmen],"&lt;"&amp;EDATE(AS$5,1),tblAuftraege[Auftrag],$A29))</f>
        <v>0</v>
      </c>
      <c r="AT29" s="11" t="n">
        <f aca="false">IF($A29="",0,SUMIFS(tblAuftraege[Einnahmen],tblAuftraege[Datum Einnahmen],"&gt;="&amp;AT$5,tblAuftraege[Datum Einnahmen],"&lt;"&amp;EDATE(AT$5,1),tblAuftraege[Auftrag],$A29))</f>
        <v>0</v>
      </c>
      <c r="AU29" s="11" t="n">
        <f aca="false">IF($A29="",0,SUMIFS(tblAuftraege[Einnahmen],tblAuftraege[Datum Einnahmen],"&gt;="&amp;AU$5,tblAuftraege[Datum Einnahmen],"&lt;"&amp;EDATE(AU$5,1),tblAuftraege[Auftrag],$A29))</f>
        <v>0</v>
      </c>
      <c r="AV29" s="11" t="n">
        <f aca="false">IF($A29="",0,SUMIFS(tblAuftraege[Einnahmen],tblAuftraege[Datum Einnahmen],"&gt;="&amp;AV$5,tblAuftraege[Datum Einnahmen],"&lt;"&amp;EDATE(AV$5,1),tblAuftraege[Auftrag],$A29))</f>
        <v>0</v>
      </c>
      <c r="AW29" s="11" t="n">
        <f aca="false">IF($A29="",0,SUMIFS(tblAuftraege[Einnahmen],tblAuftraege[Datum Einnahmen],"&gt;="&amp;AW$5,tblAuftraege[Datum Einnahmen],"&lt;"&amp;EDATE(AW$5,1),tblAuftraege[Auftrag],$A29))</f>
        <v>0</v>
      </c>
      <c r="AX29" s="11" t="n">
        <f aca="false">IF($A29="",0,SUMIFS(tblAuftraege[Einnahmen],tblAuftraege[Datum Einnahmen],"&gt;="&amp;AX$5,tblAuftraege[Datum Einnahmen],"&lt;"&amp;EDATE(AX$5,1),tblAuftraege[Auftrag],$A29))</f>
        <v>0</v>
      </c>
      <c r="AY29" s="11" t="n">
        <f aca="false">IF($A29="",0,SUMIFS(tblAuftraege[Einnahmen],tblAuftraege[Datum Einnahmen],"&gt;="&amp;AY$5,tblAuftraege[Datum Einnahmen],"&lt;"&amp;EDATE(AY$5,1),tblAuftraege[Auftrag],$A29))</f>
        <v>0</v>
      </c>
      <c r="AZ29" s="11" t="n">
        <f aca="false">IF($A29="",0,SUMIFS(tblAuftraege[Einnahmen],tblAuftraege[Datum Einnahmen],"&gt;="&amp;AZ$5,tblAuftraege[Datum Einnahmen],"&lt;"&amp;EDATE(AZ$5,1),tblAuftraege[Auftrag],$A29))</f>
        <v>0</v>
      </c>
      <c r="BA29" s="11" t="n">
        <f aca="false">IF($A29="",0,SUMIFS(tblAuftraege[Einnahmen],tblAuftraege[Datum Einnahmen],"&gt;="&amp;BA$5,tblAuftraege[Datum Einnahmen],"&lt;"&amp;EDATE(BA$5,1),tblAuftraege[Auftrag],$A29))</f>
        <v>0</v>
      </c>
      <c r="BB29" s="11" t="n">
        <f aca="false">IF($A29="",0,SUMIFS(tblAuftraege[Einnahmen],tblAuftraege[Datum Einnahmen],"&gt;="&amp;BB$5,tblAuftraege[Datum Einnahmen],"&lt;"&amp;EDATE(BB$5,1),tblAuftraege[Auftrag],$A29))</f>
        <v>0</v>
      </c>
      <c r="BC29" s="11" t="n">
        <f aca="false">IF($A29="",0,SUMIFS(tblAuftraege[Einnahmen],tblAuftraege[Datum Einnahmen],"&gt;="&amp;BC$5,tblAuftraege[Datum Einnahmen],"&lt;"&amp;EDATE(BC$5,1),tblAuftraege[Auftrag],$A29))</f>
        <v>0</v>
      </c>
      <c r="BD29" s="11" t="n">
        <f aca="false">IF($A29="",0,SUMIFS(tblAuftraege[Einnahmen],tblAuftraege[Datum Einnahmen],"&gt;="&amp;BD$5,tblAuftraege[Datum Einnahmen],"&lt;"&amp;EDATE(BD$5,1),tblAuftraege[Auftrag],$A29))</f>
        <v>0</v>
      </c>
      <c r="BE29" s="11" t="n">
        <f aca="false">IF($A29="",0,SUMIFS(tblAuftraege[Einnahmen],tblAuftraege[Datum Einnahmen],"&gt;="&amp;BE$5,tblAuftraege[Datum Einnahmen],"&lt;"&amp;EDATE(BE$5,1),tblAuftraege[Auftrag],$A29))</f>
        <v>0</v>
      </c>
      <c r="BF29" s="11" t="n">
        <f aca="false">IF($A29="",0,SUMIFS(tblAuftraege[Einnahmen],tblAuftraege[Datum Einnahmen],"&gt;="&amp;BF$5,tblAuftraege[Datum Einnahmen],"&lt;"&amp;EDATE(BF$5,1),tblAuftraege[Auftrag],$A29))</f>
        <v>0</v>
      </c>
      <c r="BG29" s="11" t="n">
        <f aca="false">SUM(E29:J29)</f>
        <v>0</v>
      </c>
      <c r="BH29" s="11" t="n">
        <f aca="false">SUM(K29:V29)</f>
        <v>0</v>
      </c>
      <c r="BI29" s="11" t="n">
        <f aca="false">SUM(W29:AH29)</f>
        <v>0</v>
      </c>
      <c r="BJ29" s="11" t="n">
        <f aca="false">SUM(AI29:AT29)</f>
        <v>0</v>
      </c>
      <c r="BK29" s="11" t="n">
        <f aca="false">SUM(AU29:BF29)</f>
        <v>0</v>
      </c>
      <c r="BL29" s="12" t="n">
        <f aca="false">SUM(E29:BF29)</f>
        <v>0</v>
      </c>
    </row>
    <row r="30" customFormat="false" ht="15" hidden="false" customHeight="false" outlineLevel="0" collapsed="false">
      <c r="A30" s="9"/>
      <c r="B30" s="10" t="str">
        <f aca="false">IF($A30="","",IFERROR(INDEX(tblAuftraege[Kostenstelle],MATCH($A30,tblAuftraege[Auftrag],0)),""))</f>
        <v/>
      </c>
      <c r="C30" s="10" t="str">
        <f aca="false">IF($A30="","",IFERROR(INDEX(tblAuftraege[Themenfeld],MATCH($A30,tblAuftraege[Auftrag],0)),""))</f>
        <v/>
      </c>
      <c r="D30" s="10" t="str">
        <f aca="false">IF($A30="","",IFERROR(INDEX(tblAuftraege[Kategorie],MATCH($A30,tblAuftraege[Auftrag],0)),""))</f>
        <v/>
      </c>
      <c r="E30" s="11" t="n">
        <f aca="false">IF($A30="",0,SUMIFS(tblAuftraege[Einnahmen],tblAuftraege[Datum Einnahmen],"&gt;="&amp;E$5,tblAuftraege[Datum Einnahmen],"&lt;"&amp;EDATE(E$5,1),tblAuftraege[Auftrag],$A30))</f>
        <v>0</v>
      </c>
      <c r="F30" s="11" t="n">
        <f aca="false">IF($A30="",0,SUMIFS(tblAuftraege[Einnahmen],tblAuftraege[Datum Einnahmen],"&gt;="&amp;F$5,tblAuftraege[Datum Einnahmen],"&lt;"&amp;EDATE(F$5,1),tblAuftraege[Auftrag],$A30))</f>
        <v>0</v>
      </c>
      <c r="G30" s="11" t="n">
        <f aca="false">IF($A30="",0,SUMIFS(tblAuftraege[Einnahmen],tblAuftraege[Datum Einnahmen],"&gt;="&amp;G$5,tblAuftraege[Datum Einnahmen],"&lt;"&amp;EDATE(G$5,1),tblAuftraege[Auftrag],$A30))</f>
        <v>0</v>
      </c>
      <c r="H30" s="11" t="n">
        <f aca="false">IF($A30="",0,SUMIFS(tblAuftraege[Einnahmen],tblAuftraege[Datum Einnahmen],"&gt;="&amp;H$5,tblAuftraege[Datum Einnahmen],"&lt;"&amp;EDATE(H$5,1),tblAuftraege[Auftrag],$A30))</f>
        <v>0</v>
      </c>
      <c r="I30" s="11" t="n">
        <f aca="false">IF($A30="",0,SUMIFS(tblAuftraege[Einnahmen],tblAuftraege[Datum Einnahmen],"&gt;="&amp;I$5,tblAuftraege[Datum Einnahmen],"&lt;"&amp;EDATE(I$5,1),tblAuftraege[Auftrag],$A30))</f>
        <v>0</v>
      </c>
      <c r="J30" s="11" t="n">
        <f aca="false">IF($A30="",0,SUMIFS(tblAuftraege[Einnahmen],tblAuftraege[Datum Einnahmen],"&gt;="&amp;J$5,tblAuftraege[Datum Einnahmen],"&lt;"&amp;EDATE(J$5,1),tblAuftraege[Auftrag],$A30))</f>
        <v>0</v>
      </c>
      <c r="K30" s="11" t="n">
        <f aca="false">IF($A30="",0,SUMIFS(tblAuftraege[Einnahmen],tblAuftraege[Datum Einnahmen],"&gt;="&amp;K$5,tblAuftraege[Datum Einnahmen],"&lt;"&amp;EDATE(K$5,1),tblAuftraege[Auftrag],$A30))</f>
        <v>0</v>
      </c>
      <c r="L30" s="11" t="n">
        <f aca="false">IF($A30="",0,SUMIFS(tblAuftraege[Einnahmen],tblAuftraege[Datum Einnahmen],"&gt;="&amp;L$5,tblAuftraege[Datum Einnahmen],"&lt;"&amp;EDATE(L$5,1),tblAuftraege[Auftrag],$A30))</f>
        <v>0</v>
      </c>
      <c r="M30" s="11" t="n">
        <f aca="false">IF($A30="",0,SUMIFS(tblAuftraege[Einnahmen],tblAuftraege[Datum Einnahmen],"&gt;="&amp;M$5,tblAuftraege[Datum Einnahmen],"&lt;"&amp;EDATE(M$5,1),tblAuftraege[Auftrag],$A30))</f>
        <v>0</v>
      </c>
      <c r="N30" s="11" t="n">
        <f aca="false">IF($A30="",0,SUMIFS(tblAuftraege[Einnahmen],tblAuftraege[Datum Einnahmen],"&gt;="&amp;N$5,tblAuftraege[Datum Einnahmen],"&lt;"&amp;EDATE(N$5,1),tblAuftraege[Auftrag],$A30))</f>
        <v>0</v>
      </c>
      <c r="O30" s="11" t="n">
        <f aca="false">IF($A30="",0,SUMIFS(tblAuftraege[Einnahmen],tblAuftraege[Datum Einnahmen],"&gt;="&amp;O$5,tblAuftraege[Datum Einnahmen],"&lt;"&amp;EDATE(O$5,1),tblAuftraege[Auftrag],$A30))</f>
        <v>0</v>
      </c>
      <c r="P30" s="11" t="n">
        <f aca="false">IF($A30="",0,SUMIFS(tblAuftraege[Einnahmen],tblAuftraege[Datum Einnahmen],"&gt;="&amp;P$5,tblAuftraege[Datum Einnahmen],"&lt;"&amp;EDATE(P$5,1),tblAuftraege[Auftrag],$A30))</f>
        <v>0</v>
      </c>
      <c r="Q30" s="11" t="n">
        <f aca="false">IF($A30="",0,SUMIFS(tblAuftraege[Einnahmen],tblAuftraege[Datum Einnahmen],"&gt;="&amp;Q$5,tblAuftraege[Datum Einnahmen],"&lt;"&amp;EDATE(Q$5,1),tblAuftraege[Auftrag],$A30))</f>
        <v>0</v>
      </c>
      <c r="R30" s="11" t="n">
        <f aca="false">IF($A30="",0,SUMIFS(tblAuftraege[Einnahmen],tblAuftraege[Datum Einnahmen],"&gt;="&amp;R$5,tblAuftraege[Datum Einnahmen],"&lt;"&amp;EDATE(R$5,1),tblAuftraege[Auftrag],$A30))</f>
        <v>0</v>
      </c>
      <c r="S30" s="11" t="n">
        <f aca="false">IF($A30="",0,SUMIFS(tblAuftraege[Einnahmen],tblAuftraege[Datum Einnahmen],"&gt;="&amp;S$5,tblAuftraege[Datum Einnahmen],"&lt;"&amp;EDATE(S$5,1),tblAuftraege[Auftrag],$A30))</f>
        <v>0</v>
      </c>
      <c r="T30" s="11" t="n">
        <f aca="false">IF($A30="",0,SUMIFS(tblAuftraege[Einnahmen],tblAuftraege[Datum Einnahmen],"&gt;="&amp;T$5,tblAuftraege[Datum Einnahmen],"&lt;"&amp;EDATE(T$5,1),tblAuftraege[Auftrag],$A30))</f>
        <v>0</v>
      </c>
      <c r="U30" s="11" t="n">
        <f aca="false">IF($A30="",0,SUMIFS(tblAuftraege[Einnahmen],tblAuftraege[Datum Einnahmen],"&gt;="&amp;U$5,tblAuftraege[Datum Einnahmen],"&lt;"&amp;EDATE(U$5,1),tblAuftraege[Auftrag],$A30))</f>
        <v>0</v>
      </c>
      <c r="V30" s="11" t="n">
        <f aca="false">IF($A30="",0,SUMIFS(tblAuftraege[Einnahmen],tblAuftraege[Datum Einnahmen],"&gt;="&amp;V$5,tblAuftraege[Datum Einnahmen],"&lt;"&amp;EDATE(V$5,1),tblAuftraege[Auftrag],$A30))</f>
        <v>0</v>
      </c>
      <c r="W30" s="11" t="n">
        <f aca="false">IF($A30="",0,SUMIFS(tblAuftraege[Einnahmen],tblAuftraege[Datum Einnahmen],"&gt;="&amp;W$5,tblAuftraege[Datum Einnahmen],"&lt;"&amp;EDATE(W$5,1),tblAuftraege[Auftrag],$A30))</f>
        <v>0</v>
      </c>
      <c r="X30" s="11" t="n">
        <f aca="false">IF($A30="",0,SUMIFS(tblAuftraege[Einnahmen],tblAuftraege[Datum Einnahmen],"&gt;="&amp;X$5,tblAuftraege[Datum Einnahmen],"&lt;"&amp;EDATE(X$5,1),tblAuftraege[Auftrag],$A30))</f>
        <v>0</v>
      </c>
      <c r="Y30" s="11" t="n">
        <f aca="false">IF($A30="",0,SUMIFS(tblAuftraege[Einnahmen],tblAuftraege[Datum Einnahmen],"&gt;="&amp;Y$5,tblAuftraege[Datum Einnahmen],"&lt;"&amp;EDATE(Y$5,1),tblAuftraege[Auftrag],$A30))</f>
        <v>0</v>
      </c>
      <c r="Z30" s="11" t="n">
        <f aca="false">IF($A30="",0,SUMIFS(tblAuftraege[Einnahmen],tblAuftraege[Datum Einnahmen],"&gt;="&amp;Z$5,tblAuftraege[Datum Einnahmen],"&lt;"&amp;EDATE(Z$5,1),tblAuftraege[Auftrag],$A30))</f>
        <v>0</v>
      </c>
      <c r="AA30" s="11" t="n">
        <f aca="false">IF($A30="",0,SUMIFS(tblAuftraege[Einnahmen],tblAuftraege[Datum Einnahmen],"&gt;="&amp;AA$5,tblAuftraege[Datum Einnahmen],"&lt;"&amp;EDATE(AA$5,1),tblAuftraege[Auftrag],$A30))</f>
        <v>0</v>
      </c>
      <c r="AB30" s="11" t="n">
        <f aca="false">IF($A30="",0,SUMIFS(tblAuftraege[Einnahmen],tblAuftraege[Datum Einnahmen],"&gt;="&amp;AB$5,tblAuftraege[Datum Einnahmen],"&lt;"&amp;EDATE(AB$5,1),tblAuftraege[Auftrag],$A30))</f>
        <v>0</v>
      </c>
      <c r="AC30" s="11" t="n">
        <f aca="false">IF($A30="",0,SUMIFS(tblAuftraege[Einnahmen],tblAuftraege[Datum Einnahmen],"&gt;="&amp;AC$5,tblAuftraege[Datum Einnahmen],"&lt;"&amp;EDATE(AC$5,1),tblAuftraege[Auftrag],$A30))</f>
        <v>0</v>
      </c>
      <c r="AD30" s="11" t="n">
        <f aca="false">IF($A30="",0,SUMIFS(tblAuftraege[Einnahmen],tblAuftraege[Datum Einnahmen],"&gt;="&amp;AD$5,tblAuftraege[Datum Einnahmen],"&lt;"&amp;EDATE(AD$5,1),tblAuftraege[Auftrag],$A30))</f>
        <v>0</v>
      </c>
      <c r="AE30" s="11" t="n">
        <f aca="false">IF($A30="",0,SUMIFS(tblAuftraege[Einnahmen],tblAuftraege[Datum Einnahmen],"&gt;="&amp;AE$5,tblAuftraege[Datum Einnahmen],"&lt;"&amp;EDATE(AE$5,1),tblAuftraege[Auftrag],$A30))</f>
        <v>0</v>
      </c>
      <c r="AF30" s="11" t="n">
        <f aca="false">IF($A30="",0,SUMIFS(tblAuftraege[Einnahmen],tblAuftraege[Datum Einnahmen],"&gt;="&amp;AF$5,tblAuftraege[Datum Einnahmen],"&lt;"&amp;EDATE(AF$5,1),tblAuftraege[Auftrag],$A30))</f>
        <v>0</v>
      </c>
      <c r="AG30" s="11" t="n">
        <f aca="false">IF($A30="",0,SUMIFS(tblAuftraege[Einnahmen],tblAuftraege[Datum Einnahmen],"&gt;="&amp;AG$5,tblAuftraege[Datum Einnahmen],"&lt;"&amp;EDATE(AG$5,1),tblAuftraege[Auftrag],$A30))</f>
        <v>0</v>
      </c>
      <c r="AH30" s="11" t="n">
        <f aca="false">IF($A30="",0,SUMIFS(tblAuftraege[Einnahmen],tblAuftraege[Datum Einnahmen],"&gt;="&amp;AH$5,tblAuftraege[Datum Einnahmen],"&lt;"&amp;EDATE(AH$5,1),tblAuftraege[Auftrag],$A30))</f>
        <v>0</v>
      </c>
      <c r="AI30" s="11" t="n">
        <f aca="false">IF($A30="",0,SUMIFS(tblAuftraege[Einnahmen],tblAuftraege[Datum Einnahmen],"&gt;="&amp;AI$5,tblAuftraege[Datum Einnahmen],"&lt;"&amp;EDATE(AI$5,1),tblAuftraege[Auftrag],$A30))</f>
        <v>0</v>
      </c>
      <c r="AJ30" s="11" t="n">
        <f aca="false">IF($A30="",0,SUMIFS(tblAuftraege[Einnahmen],tblAuftraege[Datum Einnahmen],"&gt;="&amp;AJ$5,tblAuftraege[Datum Einnahmen],"&lt;"&amp;EDATE(AJ$5,1),tblAuftraege[Auftrag],$A30))</f>
        <v>0</v>
      </c>
      <c r="AK30" s="11" t="n">
        <f aca="false">IF($A30="",0,SUMIFS(tblAuftraege[Einnahmen],tblAuftraege[Datum Einnahmen],"&gt;="&amp;AK$5,tblAuftraege[Datum Einnahmen],"&lt;"&amp;EDATE(AK$5,1),tblAuftraege[Auftrag],$A30))</f>
        <v>0</v>
      </c>
      <c r="AL30" s="11" t="n">
        <f aca="false">IF($A30="",0,SUMIFS(tblAuftraege[Einnahmen],tblAuftraege[Datum Einnahmen],"&gt;="&amp;AL$5,tblAuftraege[Datum Einnahmen],"&lt;"&amp;EDATE(AL$5,1),tblAuftraege[Auftrag],$A30))</f>
        <v>0</v>
      </c>
      <c r="AM30" s="11" t="n">
        <f aca="false">IF($A30="",0,SUMIFS(tblAuftraege[Einnahmen],tblAuftraege[Datum Einnahmen],"&gt;="&amp;AM$5,tblAuftraege[Datum Einnahmen],"&lt;"&amp;EDATE(AM$5,1),tblAuftraege[Auftrag],$A30))</f>
        <v>0</v>
      </c>
      <c r="AN30" s="11" t="n">
        <f aca="false">IF($A30="",0,SUMIFS(tblAuftraege[Einnahmen],tblAuftraege[Datum Einnahmen],"&gt;="&amp;AN$5,tblAuftraege[Datum Einnahmen],"&lt;"&amp;EDATE(AN$5,1),tblAuftraege[Auftrag],$A30))</f>
        <v>0</v>
      </c>
      <c r="AO30" s="11" t="n">
        <f aca="false">IF($A30="",0,SUMIFS(tblAuftraege[Einnahmen],tblAuftraege[Datum Einnahmen],"&gt;="&amp;AO$5,tblAuftraege[Datum Einnahmen],"&lt;"&amp;EDATE(AO$5,1),tblAuftraege[Auftrag],$A30))</f>
        <v>0</v>
      </c>
      <c r="AP30" s="11" t="n">
        <f aca="false">IF($A30="",0,SUMIFS(tblAuftraege[Einnahmen],tblAuftraege[Datum Einnahmen],"&gt;="&amp;AP$5,tblAuftraege[Datum Einnahmen],"&lt;"&amp;EDATE(AP$5,1),tblAuftraege[Auftrag],$A30))</f>
        <v>0</v>
      </c>
      <c r="AQ30" s="11" t="n">
        <f aca="false">IF($A30="",0,SUMIFS(tblAuftraege[Einnahmen],tblAuftraege[Datum Einnahmen],"&gt;="&amp;AQ$5,tblAuftraege[Datum Einnahmen],"&lt;"&amp;EDATE(AQ$5,1),tblAuftraege[Auftrag],$A30))</f>
        <v>0</v>
      </c>
      <c r="AR30" s="11" t="n">
        <f aca="false">IF($A30="",0,SUMIFS(tblAuftraege[Einnahmen],tblAuftraege[Datum Einnahmen],"&gt;="&amp;AR$5,tblAuftraege[Datum Einnahmen],"&lt;"&amp;EDATE(AR$5,1),tblAuftraege[Auftrag],$A30))</f>
        <v>0</v>
      </c>
      <c r="AS30" s="11" t="n">
        <f aca="false">IF($A30="",0,SUMIFS(tblAuftraege[Einnahmen],tblAuftraege[Datum Einnahmen],"&gt;="&amp;AS$5,tblAuftraege[Datum Einnahmen],"&lt;"&amp;EDATE(AS$5,1),tblAuftraege[Auftrag],$A30))</f>
        <v>0</v>
      </c>
      <c r="AT30" s="11" t="n">
        <f aca="false">IF($A30="",0,SUMIFS(tblAuftraege[Einnahmen],tblAuftraege[Datum Einnahmen],"&gt;="&amp;AT$5,tblAuftraege[Datum Einnahmen],"&lt;"&amp;EDATE(AT$5,1),tblAuftraege[Auftrag],$A30))</f>
        <v>0</v>
      </c>
      <c r="AU30" s="11" t="n">
        <f aca="false">IF($A30="",0,SUMIFS(tblAuftraege[Einnahmen],tblAuftraege[Datum Einnahmen],"&gt;="&amp;AU$5,tblAuftraege[Datum Einnahmen],"&lt;"&amp;EDATE(AU$5,1),tblAuftraege[Auftrag],$A30))</f>
        <v>0</v>
      </c>
      <c r="AV30" s="11" t="n">
        <f aca="false">IF($A30="",0,SUMIFS(tblAuftraege[Einnahmen],tblAuftraege[Datum Einnahmen],"&gt;="&amp;AV$5,tblAuftraege[Datum Einnahmen],"&lt;"&amp;EDATE(AV$5,1),tblAuftraege[Auftrag],$A30))</f>
        <v>0</v>
      </c>
      <c r="AW30" s="11" t="n">
        <f aca="false">IF($A30="",0,SUMIFS(tblAuftraege[Einnahmen],tblAuftraege[Datum Einnahmen],"&gt;="&amp;AW$5,tblAuftraege[Datum Einnahmen],"&lt;"&amp;EDATE(AW$5,1),tblAuftraege[Auftrag],$A30))</f>
        <v>0</v>
      </c>
      <c r="AX30" s="11" t="n">
        <f aca="false">IF($A30="",0,SUMIFS(tblAuftraege[Einnahmen],tblAuftraege[Datum Einnahmen],"&gt;="&amp;AX$5,tblAuftraege[Datum Einnahmen],"&lt;"&amp;EDATE(AX$5,1),tblAuftraege[Auftrag],$A30))</f>
        <v>0</v>
      </c>
      <c r="AY30" s="11" t="n">
        <f aca="false">IF($A30="",0,SUMIFS(tblAuftraege[Einnahmen],tblAuftraege[Datum Einnahmen],"&gt;="&amp;AY$5,tblAuftraege[Datum Einnahmen],"&lt;"&amp;EDATE(AY$5,1),tblAuftraege[Auftrag],$A30))</f>
        <v>0</v>
      </c>
      <c r="AZ30" s="11" t="n">
        <f aca="false">IF($A30="",0,SUMIFS(tblAuftraege[Einnahmen],tblAuftraege[Datum Einnahmen],"&gt;="&amp;AZ$5,tblAuftraege[Datum Einnahmen],"&lt;"&amp;EDATE(AZ$5,1),tblAuftraege[Auftrag],$A30))</f>
        <v>0</v>
      </c>
      <c r="BA30" s="11" t="n">
        <f aca="false">IF($A30="",0,SUMIFS(tblAuftraege[Einnahmen],tblAuftraege[Datum Einnahmen],"&gt;="&amp;BA$5,tblAuftraege[Datum Einnahmen],"&lt;"&amp;EDATE(BA$5,1),tblAuftraege[Auftrag],$A30))</f>
        <v>0</v>
      </c>
      <c r="BB30" s="11" t="n">
        <f aca="false">IF($A30="",0,SUMIFS(tblAuftraege[Einnahmen],tblAuftraege[Datum Einnahmen],"&gt;="&amp;BB$5,tblAuftraege[Datum Einnahmen],"&lt;"&amp;EDATE(BB$5,1),tblAuftraege[Auftrag],$A30))</f>
        <v>0</v>
      </c>
      <c r="BC30" s="11" t="n">
        <f aca="false">IF($A30="",0,SUMIFS(tblAuftraege[Einnahmen],tblAuftraege[Datum Einnahmen],"&gt;="&amp;BC$5,tblAuftraege[Datum Einnahmen],"&lt;"&amp;EDATE(BC$5,1),tblAuftraege[Auftrag],$A30))</f>
        <v>0</v>
      </c>
      <c r="BD30" s="11" t="n">
        <f aca="false">IF($A30="",0,SUMIFS(tblAuftraege[Einnahmen],tblAuftraege[Datum Einnahmen],"&gt;="&amp;BD$5,tblAuftraege[Datum Einnahmen],"&lt;"&amp;EDATE(BD$5,1),tblAuftraege[Auftrag],$A30))</f>
        <v>0</v>
      </c>
      <c r="BE30" s="11" t="n">
        <f aca="false">IF($A30="",0,SUMIFS(tblAuftraege[Einnahmen],tblAuftraege[Datum Einnahmen],"&gt;="&amp;BE$5,tblAuftraege[Datum Einnahmen],"&lt;"&amp;EDATE(BE$5,1),tblAuftraege[Auftrag],$A30))</f>
        <v>0</v>
      </c>
      <c r="BF30" s="11" t="n">
        <f aca="false">IF($A30="",0,SUMIFS(tblAuftraege[Einnahmen],tblAuftraege[Datum Einnahmen],"&gt;="&amp;BF$5,tblAuftraege[Datum Einnahmen],"&lt;"&amp;EDATE(BF$5,1),tblAuftraege[Auftrag],$A30))</f>
        <v>0</v>
      </c>
      <c r="BG30" s="11" t="n">
        <f aca="false">SUM(E30:J30)</f>
        <v>0</v>
      </c>
      <c r="BH30" s="11" t="n">
        <f aca="false">SUM(K30:V30)</f>
        <v>0</v>
      </c>
      <c r="BI30" s="11" t="n">
        <f aca="false">SUM(W30:AH30)</f>
        <v>0</v>
      </c>
      <c r="BJ30" s="11" t="n">
        <f aca="false">SUM(AI30:AT30)</f>
        <v>0</v>
      </c>
      <c r="BK30" s="11" t="n">
        <f aca="false">SUM(AU30:BF30)</f>
        <v>0</v>
      </c>
      <c r="BL30" s="12" t="n">
        <f aca="false">SUM(E30:BF30)</f>
        <v>0</v>
      </c>
    </row>
    <row r="31" customFormat="false" ht="15" hidden="false" customHeight="false" outlineLevel="0" collapsed="false">
      <c r="A31" s="9"/>
      <c r="B31" s="10" t="str">
        <f aca="false">IF($A31="","",IFERROR(INDEX(tblAuftraege[Kostenstelle],MATCH($A31,tblAuftraege[Auftrag],0)),""))</f>
        <v/>
      </c>
      <c r="C31" s="10" t="str">
        <f aca="false">IF($A31="","",IFERROR(INDEX(tblAuftraege[Themenfeld],MATCH($A31,tblAuftraege[Auftrag],0)),""))</f>
        <v/>
      </c>
      <c r="D31" s="10" t="str">
        <f aca="false">IF($A31="","",IFERROR(INDEX(tblAuftraege[Kategorie],MATCH($A31,tblAuftraege[Auftrag],0)),""))</f>
        <v/>
      </c>
      <c r="E31" s="11" t="n">
        <f aca="false">IF($A31="",0,SUMIFS(tblAuftraege[Einnahmen],tblAuftraege[Datum Einnahmen],"&gt;="&amp;E$5,tblAuftraege[Datum Einnahmen],"&lt;"&amp;EDATE(E$5,1),tblAuftraege[Auftrag],$A31))</f>
        <v>0</v>
      </c>
      <c r="F31" s="11" t="n">
        <f aca="false">IF($A31="",0,SUMIFS(tblAuftraege[Einnahmen],tblAuftraege[Datum Einnahmen],"&gt;="&amp;F$5,tblAuftraege[Datum Einnahmen],"&lt;"&amp;EDATE(F$5,1),tblAuftraege[Auftrag],$A31))</f>
        <v>0</v>
      </c>
      <c r="G31" s="11" t="n">
        <f aca="false">IF($A31="",0,SUMIFS(tblAuftraege[Einnahmen],tblAuftraege[Datum Einnahmen],"&gt;="&amp;G$5,tblAuftraege[Datum Einnahmen],"&lt;"&amp;EDATE(G$5,1),tblAuftraege[Auftrag],$A31))</f>
        <v>0</v>
      </c>
      <c r="H31" s="11" t="n">
        <f aca="false">IF($A31="",0,SUMIFS(tblAuftraege[Einnahmen],tblAuftraege[Datum Einnahmen],"&gt;="&amp;H$5,tblAuftraege[Datum Einnahmen],"&lt;"&amp;EDATE(H$5,1),tblAuftraege[Auftrag],$A31))</f>
        <v>0</v>
      </c>
      <c r="I31" s="11" t="n">
        <f aca="false">IF($A31="",0,SUMIFS(tblAuftraege[Einnahmen],tblAuftraege[Datum Einnahmen],"&gt;="&amp;I$5,tblAuftraege[Datum Einnahmen],"&lt;"&amp;EDATE(I$5,1),tblAuftraege[Auftrag],$A31))</f>
        <v>0</v>
      </c>
      <c r="J31" s="11" t="n">
        <f aca="false">IF($A31="",0,SUMIFS(tblAuftraege[Einnahmen],tblAuftraege[Datum Einnahmen],"&gt;="&amp;J$5,tblAuftraege[Datum Einnahmen],"&lt;"&amp;EDATE(J$5,1),tblAuftraege[Auftrag],$A31))</f>
        <v>0</v>
      </c>
      <c r="K31" s="11" t="n">
        <f aca="false">IF($A31="",0,SUMIFS(tblAuftraege[Einnahmen],tblAuftraege[Datum Einnahmen],"&gt;="&amp;K$5,tblAuftraege[Datum Einnahmen],"&lt;"&amp;EDATE(K$5,1),tblAuftraege[Auftrag],$A31))</f>
        <v>0</v>
      </c>
      <c r="L31" s="11" t="n">
        <f aca="false">IF($A31="",0,SUMIFS(tblAuftraege[Einnahmen],tblAuftraege[Datum Einnahmen],"&gt;="&amp;L$5,tblAuftraege[Datum Einnahmen],"&lt;"&amp;EDATE(L$5,1),tblAuftraege[Auftrag],$A31))</f>
        <v>0</v>
      </c>
      <c r="M31" s="11" t="n">
        <f aca="false">IF($A31="",0,SUMIFS(tblAuftraege[Einnahmen],tblAuftraege[Datum Einnahmen],"&gt;="&amp;M$5,tblAuftraege[Datum Einnahmen],"&lt;"&amp;EDATE(M$5,1),tblAuftraege[Auftrag],$A31))</f>
        <v>0</v>
      </c>
      <c r="N31" s="11" t="n">
        <f aca="false">IF($A31="",0,SUMIFS(tblAuftraege[Einnahmen],tblAuftraege[Datum Einnahmen],"&gt;="&amp;N$5,tblAuftraege[Datum Einnahmen],"&lt;"&amp;EDATE(N$5,1),tblAuftraege[Auftrag],$A31))</f>
        <v>0</v>
      </c>
      <c r="O31" s="11" t="n">
        <f aca="false">IF($A31="",0,SUMIFS(tblAuftraege[Einnahmen],tblAuftraege[Datum Einnahmen],"&gt;="&amp;O$5,tblAuftraege[Datum Einnahmen],"&lt;"&amp;EDATE(O$5,1),tblAuftraege[Auftrag],$A31))</f>
        <v>0</v>
      </c>
      <c r="P31" s="11" t="n">
        <f aca="false">IF($A31="",0,SUMIFS(tblAuftraege[Einnahmen],tblAuftraege[Datum Einnahmen],"&gt;="&amp;P$5,tblAuftraege[Datum Einnahmen],"&lt;"&amp;EDATE(P$5,1),tblAuftraege[Auftrag],$A31))</f>
        <v>0</v>
      </c>
      <c r="Q31" s="11" t="n">
        <f aca="false">IF($A31="",0,SUMIFS(tblAuftraege[Einnahmen],tblAuftraege[Datum Einnahmen],"&gt;="&amp;Q$5,tblAuftraege[Datum Einnahmen],"&lt;"&amp;EDATE(Q$5,1),tblAuftraege[Auftrag],$A31))</f>
        <v>0</v>
      </c>
      <c r="R31" s="11" t="n">
        <f aca="false">IF($A31="",0,SUMIFS(tblAuftraege[Einnahmen],tblAuftraege[Datum Einnahmen],"&gt;="&amp;R$5,tblAuftraege[Datum Einnahmen],"&lt;"&amp;EDATE(R$5,1),tblAuftraege[Auftrag],$A31))</f>
        <v>0</v>
      </c>
      <c r="S31" s="11" t="n">
        <f aca="false">IF($A31="",0,SUMIFS(tblAuftraege[Einnahmen],tblAuftraege[Datum Einnahmen],"&gt;="&amp;S$5,tblAuftraege[Datum Einnahmen],"&lt;"&amp;EDATE(S$5,1),tblAuftraege[Auftrag],$A31))</f>
        <v>0</v>
      </c>
      <c r="T31" s="11" t="n">
        <f aca="false">IF($A31="",0,SUMIFS(tblAuftraege[Einnahmen],tblAuftraege[Datum Einnahmen],"&gt;="&amp;T$5,tblAuftraege[Datum Einnahmen],"&lt;"&amp;EDATE(T$5,1),tblAuftraege[Auftrag],$A31))</f>
        <v>0</v>
      </c>
      <c r="U31" s="11" t="n">
        <f aca="false">IF($A31="",0,SUMIFS(tblAuftraege[Einnahmen],tblAuftraege[Datum Einnahmen],"&gt;="&amp;U$5,tblAuftraege[Datum Einnahmen],"&lt;"&amp;EDATE(U$5,1),tblAuftraege[Auftrag],$A31))</f>
        <v>0</v>
      </c>
      <c r="V31" s="11" t="n">
        <f aca="false">IF($A31="",0,SUMIFS(tblAuftraege[Einnahmen],tblAuftraege[Datum Einnahmen],"&gt;="&amp;V$5,tblAuftraege[Datum Einnahmen],"&lt;"&amp;EDATE(V$5,1),tblAuftraege[Auftrag],$A31))</f>
        <v>0</v>
      </c>
      <c r="W31" s="11" t="n">
        <f aca="false">IF($A31="",0,SUMIFS(tblAuftraege[Einnahmen],tblAuftraege[Datum Einnahmen],"&gt;="&amp;W$5,tblAuftraege[Datum Einnahmen],"&lt;"&amp;EDATE(W$5,1),tblAuftraege[Auftrag],$A31))</f>
        <v>0</v>
      </c>
      <c r="X31" s="11" t="n">
        <f aca="false">IF($A31="",0,SUMIFS(tblAuftraege[Einnahmen],tblAuftraege[Datum Einnahmen],"&gt;="&amp;X$5,tblAuftraege[Datum Einnahmen],"&lt;"&amp;EDATE(X$5,1),tblAuftraege[Auftrag],$A31))</f>
        <v>0</v>
      </c>
      <c r="Y31" s="11" t="n">
        <f aca="false">IF($A31="",0,SUMIFS(tblAuftraege[Einnahmen],tblAuftraege[Datum Einnahmen],"&gt;="&amp;Y$5,tblAuftraege[Datum Einnahmen],"&lt;"&amp;EDATE(Y$5,1),tblAuftraege[Auftrag],$A31))</f>
        <v>0</v>
      </c>
      <c r="Z31" s="11" t="n">
        <f aca="false">IF($A31="",0,SUMIFS(tblAuftraege[Einnahmen],tblAuftraege[Datum Einnahmen],"&gt;="&amp;Z$5,tblAuftraege[Datum Einnahmen],"&lt;"&amp;EDATE(Z$5,1),tblAuftraege[Auftrag],$A31))</f>
        <v>0</v>
      </c>
      <c r="AA31" s="11" t="n">
        <f aca="false">IF($A31="",0,SUMIFS(tblAuftraege[Einnahmen],tblAuftraege[Datum Einnahmen],"&gt;="&amp;AA$5,tblAuftraege[Datum Einnahmen],"&lt;"&amp;EDATE(AA$5,1),tblAuftraege[Auftrag],$A31))</f>
        <v>0</v>
      </c>
      <c r="AB31" s="11" t="n">
        <f aca="false">IF($A31="",0,SUMIFS(tblAuftraege[Einnahmen],tblAuftraege[Datum Einnahmen],"&gt;="&amp;AB$5,tblAuftraege[Datum Einnahmen],"&lt;"&amp;EDATE(AB$5,1),tblAuftraege[Auftrag],$A31))</f>
        <v>0</v>
      </c>
      <c r="AC31" s="11" t="n">
        <f aca="false">IF($A31="",0,SUMIFS(tblAuftraege[Einnahmen],tblAuftraege[Datum Einnahmen],"&gt;="&amp;AC$5,tblAuftraege[Datum Einnahmen],"&lt;"&amp;EDATE(AC$5,1),tblAuftraege[Auftrag],$A31))</f>
        <v>0</v>
      </c>
      <c r="AD31" s="11" t="n">
        <f aca="false">IF($A31="",0,SUMIFS(tblAuftraege[Einnahmen],tblAuftraege[Datum Einnahmen],"&gt;="&amp;AD$5,tblAuftraege[Datum Einnahmen],"&lt;"&amp;EDATE(AD$5,1),tblAuftraege[Auftrag],$A31))</f>
        <v>0</v>
      </c>
      <c r="AE31" s="11" t="n">
        <f aca="false">IF($A31="",0,SUMIFS(tblAuftraege[Einnahmen],tblAuftraege[Datum Einnahmen],"&gt;="&amp;AE$5,tblAuftraege[Datum Einnahmen],"&lt;"&amp;EDATE(AE$5,1),tblAuftraege[Auftrag],$A31))</f>
        <v>0</v>
      </c>
      <c r="AF31" s="11" t="n">
        <f aca="false">IF($A31="",0,SUMIFS(tblAuftraege[Einnahmen],tblAuftraege[Datum Einnahmen],"&gt;="&amp;AF$5,tblAuftraege[Datum Einnahmen],"&lt;"&amp;EDATE(AF$5,1),tblAuftraege[Auftrag],$A31))</f>
        <v>0</v>
      </c>
      <c r="AG31" s="11" t="n">
        <f aca="false">IF($A31="",0,SUMIFS(tblAuftraege[Einnahmen],tblAuftraege[Datum Einnahmen],"&gt;="&amp;AG$5,tblAuftraege[Datum Einnahmen],"&lt;"&amp;EDATE(AG$5,1),tblAuftraege[Auftrag],$A31))</f>
        <v>0</v>
      </c>
      <c r="AH31" s="11" t="n">
        <f aca="false">IF($A31="",0,SUMIFS(tblAuftraege[Einnahmen],tblAuftraege[Datum Einnahmen],"&gt;="&amp;AH$5,tblAuftraege[Datum Einnahmen],"&lt;"&amp;EDATE(AH$5,1),tblAuftraege[Auftrag],$A31))</f>
        <v>0</v>
      </c>
      <c r="AI31" s="11" t="n">
        <f aca="false">IF($A31="",0,SUMIFS(tblAuftraege[Einnahmen],tblAuftraege[Datum Einnahmen],"&gt;="&amp;AI$5,tblAuftraege[Datum Einnahmen],"&lt;"&amp;EDATE(AI$5,1),tblAuftraege[Auftrag],$A31))</f>
        <v>0</v>
      </c>
      <c r="AJ31" s="11" t="n">
        <f aca="false">IF($A31="",0,SUMIFS(tblAuftraege[Einnahmen],tblAuftraege[Datum Einnahmen],"&gt;="&amp;AJ$5,tblAuftraege[Datum Einnahmen],"&lt;"&amp;EDATE(AJ$5,1),tblAuftraege[Auftrag],$A31))</f>
        <v>0</v>
      </c>
      <c r="AK31" s="11" t="n">
        <f aca="false">IF($A31="",0,SUMIFS(tblAuftraege[Einnahmen],tblAuftraege[Datum Einnahmen],"&gt;="&amp;AK$5,tblAuftraege[Datum Einnahmen],"&lt;"&amp;EDATE(AK$5,1),tblAuftraege[Auftrag],$A31))</f>
        <v>0</v>
      </c>
      <c r="AL31" s="11" t="n">
        <f aca="false">IF($A31="",0,SUMIFS(tblAuftraege[Einnahmen],tblAuftraege[Datum Einnahmen],"&gt;="&amp;AL$5,tblAuftraege[Datum Einnahmen],"&lt;"&amp;EDATE(AL$5,1),tblAuftraege[Auftrag],$A31))</f>
        <v>0</v>
      </c>
      <c r="AM31" s="11" t="n">
        <f aca="false">IF($A31="",0,SUMIFS(tblAuftraege[Einnahmen],tblAuftraege[Datum Einnahmen],"&gt;="&amp;AM$5,tblAuftraege[Datum Einnahmen],"&lt;"&amp;EDATE(AM$5,1),tblAuftraege[Auftrag],$A31))</f>
        <v>0</v>
      </c>
      <c r="AN31" s="11" t="n">
        <f aca="false">IF($A31="",0,SUMIFS(tblAuftraege[Einnahmen],tblAuftraege[Datum Einnahmen],"&gt;="&amp;AN$5,tblAuftraege[Datum Einnahmen],"&lt;"&amp;EDATE(AN$5,1),tblAuftraege[Auftrag],$A31))</f>
        <v>0</v>
      </c>
      <c r="AO31" s="11" t="n">
        <f aca="false">IF($A31="",0,SUMIFS(tblAuftraege[Einnahmen],tblAuftraege[Datum Einnahmen],"&gt;="&amp;AO$5,tblAuftraege[Datum Einnahmen],"&lt;"&amp;EDATE(AO$5,1),tblAuftraege[Auftrag],$A31))</f>
        <v>0</v>
      </c>
      <c r="AP31" s="11" t="n">
        <f aca="false">IF($A31="",0,SUMIFS(tblAuftraege[Einnahmen],tblAuftraege[Datum Einnahmen],"&gt;="&amp;AP$5,tblAuftraege[Datum Einnahmen],"&lt;"&amp;EDATE(AP$5,1),tblAuftraege[Auftrag],$A31))</f>
        <v>0</v>
      </c>
      <c r="AQ31" s="11" t="n">
        <f aca="false">IF($A31="",0,SUMIFS(tblAuftraege[Einnahmen],tblAuftraege[Datum Einnahmen],"&gt;="&amp;AQ$5,tblAuftraege[Datum Einnahmen],"&lt;"&amp;EDATE(AQ$5,1),tblAuftraege[Auftrag],$A31))</f>
        <v>0</v>
      </c>
      <c r="AR31" s="11" t="n">
        <f aca="false">IF($A31="",0,SUMIFS(tblAuftraege[Einnahmen],tblAuftraege[Datum Einnahmen],"&gt;="&amp;AR$5,tblAuftraege[Datum Einnahmen],"&lt;"&amp;EDATE(AR$5,1),tblAuftraege[Auftrag],$A31))</f>
        <v>0</v>
      </c>
      <c r="AS31" s="11" t="n">
        <f aca="false">IF($A31="",0,SUMIFS(tblAuftraege[Einnahmen],tblAuftraege[Datum Einnahmen],"&gt;="&amp;AS$5,tblAuftraege[Datum Einnahmen],"&lt;"&amp;EDATE(AS$5,1),tblAuftraege[Auftrag],$A31))</f>
        <v>0</v>
      </c>
      <c r="AT31" s="11" t="n">
        <f aca="false">IF($A31="",0,SUMIFS(tblAuftraege[Einnahmen],tblAuftraege[Datum Einnahmen],"&gt;="&amp;AT$5,tblAuftraege[Datum Einnahmen],"&lt;"&amp;EDATE(AT$5,1),tblAuftraege[Auftrag],$A31))</f>
        <v>0</v>
      </c>
      <c r="AU31" s="11" t="n">
        <f aca="false">IF($A31="",0,SUMIFS(tblAuftraege[Einnahmen],tblAuftraege[Datum Einnahmen],"&gt;="&amp;AU$5,tblAuftraege[Datum Einnahmen],"&lt;"&amp;EDATE(AU$5,1),tblAuftraege[Auftrag],$A31))</f>
        <v>0</v>
      </c>
      <c r="AV31" s="11" t="n">
        <f aca="false">IF($A31="",0,SUMIFS(tblAuftraege[Einnahmen],tblAuftraege[Datum Einnahmen],"&gt;="&amp;AV$5,tblAuftraege[Datum Einnahmen],"&lt;"&amp;EDATE(AV$5,1),tblAuftraege[Auftrag],$A31))</f>
        <v>0</v>
      </c>
      <c r="AW31" s="11" t="n">
        <f aca="false">IF($A31="",0,SUMIFS(tblAuftraege[Einnahmen],tblAuftraege[Datum Einnahmen],"&gt;="&amp;AW$5,tblAuftraege[Datum Einnahmen],"&lt;"&amp;EDATE(AW$5,1),tblAuftraege[Auftrag],$A31))</f>
        <v>0</v>
      </c>
      <c r="AX31" s="11" t="n">
        <f aca="false">IF($A31="",0,SUMIFS(tblAuftraege[Einnahmen],tblAuftraege[Datum Einnahmen],"&gt;="&amp;AX$5,tblAuftraege[Datum Einnahmen],"&lt;"&amp;EDATE(AX$5,1),tblAuftraege[Auftrag],$A31))</f>
        <v>0</v>
      </c>
      <c r="AY31" s="11" t="n">
        <f aca="false">IF($A31="",0,SUMIFS(tblAuftraege[Einnahmen],tblAuftraege[Datum Einnahmen],"&gt;="&amp;AY$5,tblAuftraege[Datum Einnahmen],"&lt;"&amp;EDATE(AY$5,1),tblAuftraege[Auftrag],$A31))</f>
        <v>0</v>
      </c>
      <c r="AZ31" s="11" t="n">
        <f aca="false">IF($A31="",0,SUMIFS(tblAuftraege[Einnahmen],tblAuftraege[Datum Einnahmen],"&gt;="&amp;AZ$5,tblAuftraege[Datum Einnahmen],"&lt;"&amp;EDATE(AZ$5,1),tblAuftraege[Auftrag],$A31))</f>
        <v>0</v>
      </c>
      <c r="BA31" s="11" t="n">
        <f aca="false">IF($A31="",0,SUMIFS(tblAuftraege[Einnahmen],tblAuftraege[Datum Einnahmen],"&gt;="&amp;BA$5,tblAuftraege[Datum Einnahmen],"&lt;"&amp;EDATE(BA$5,1),tblAuftraege[Auftrag],$A31))</f>
        <v>0</v>
      </c>
      <c r="BB31" s="11" t="n">
        <f aca="false">IF($A31="",0,SUMIFS(tblAuftraege[Einnahmen],tblAuftraege[Datum Einnahmen],"&gt;="&amp;BB$5,tblAuftraege[Datum Einnahmen],"&lt;"&amp;EDATE(BB$5,1),tblAuftraege[Auftrag],$A31))</f>
        <v>0</v>
      </c>
      <c r="BC31" s="11" t="n">
        <f aca="false">IF($A31="",0,SUMIFS(tblAuftraege[Einnahmen],tblAuftraege[Datum Einnahmen],"&gt;="&amp;BC$5,tblAuftraege[Datum Einnahmen],"&lt;"&amp;EDATE(BC$5,1),tblAuftraege[Auftrag],$A31))</f>
        <v>0</v>
      </c>
      <c r="BD31" s="11" t="n">
        <f aca="false">IF($A31="",0,SUMIFS(tblAuftraege[Einnahmen],tblAuftraege[Datum Einnahmen],"&gt;="&amp;BD$5,tblAuftraege[Datum Einnahmen],"&lt;"&amp;EDATE(BD$5,1),tblAuftraege[Auftrag],$A31))</f>
        <v>0</v>
      </c>
      <c r="BE31" s="11" t="n">
        <f aca="false">IF($A31="",0,SUMIFS(tblAuftraege[Einnahmen],tblAuftraege[Datum Einnahmen],"&gt;="&amp;BE$5,tblAuftraege[Datum Einnahmen],"&lt;"&amp;EDATE(BE$5,1),tblAuftraege[Auftrag],$A31))</f>
        <v>0</v>
      </c>
      <c r="BF31" s="11" t="n">
        <f aca="false">IF($A31="",0,SUMIFS(tblAuftraege[Einnahmen],tblAuftraege[Datum Einnahmen],"&gt;="&amp;BF$5,tblAuftraege[Datum Einnahmen],"&lt;"&amp;EDATE(BF$5,1),tblAuftraege[Auftrag],$A31))</f>
        <v>0</v>
      </c>
      <c r="BG31" s="11" t="n">
        <f aca="false">SUM(E31:J31)</f>
        <v>0</v>
      </c>
      <c r="BH31" s="11" t="n">
        <f aca="false">SUM(K31:V31)</f>
        <v>0</v>
      </c>
      <c r="BI31" s="11" t="n">
        <f aca="false">SUM(W31:AH31)</f>
        <v>0</v>
      </c>
      <c r="BJ31" s="11" t="n">
        <f aca="false">SUM(AI31:AT31)</f>
        <v>0</v>
      </c>
      <c r="BK31" s="11" t="n">
        <f aca="false">SUM(AU31:BF31)</f>
        <v>0</v>
      </c>
      <c r="BL31" s="12" t="n">
        <f aca="false">SUM(E31:BF31)</f>
        <v>0</v>
      </c>
    </row>
    <row r="32" customFormat="false" ht="15" hidden="false" customHeight="false" outlineLevel="0" collapsed="false">
      <c r="A32" s="9"/>
      <c r="B32" s="10" t="str">
        <f aca="false">IF($A32="","",IFERROR(INDEX(tblAuftraege[Kostenstelle],MATCH($A32,tblAuftraege[Auftrag],0)),""))</f>
        <v/>
      </c>
      <c r="C32" s="10" t="str">
        <f aca="false">IF($A32="","",IFERROR(INDEX(tblAuftraege[Themenfeld],MATCH($A32,tblAuftraege[Auftrag],0)),""))</f>
        <v/>
      </c>
      <c r="D32" s="10" t="str">
        <f aca="false">IF($A32="","",IFERROR(INDEX(tblAuftraege[Kategorie],MATCH($A32,tblAuftraege[Auftrag],0)),""))</f>
        <v/>
      </c>
      <c r="E32" s="11" t="n">
        <f aca="false">IF($A32="",0,SUMIFS(tblAuftraege[Einnahmen],tblAuftraege[Datum Einnahmen],"&gt;="&amp;E$5,tblAuftraege[Datum Einnahmen],"&lt;"&amp;EDATE(E$5,1),tblAuftraege[Auftrag],$A32))</f>
        <v>0</v>
      </c>
      <c r="F32" s="11" t="n">
        <f aca="false">IF($A32="",0,SUMIFS(tblAuftraege[Einnahmen],tblAuftraege[Datum Einnahmen],"&gt;="&amp;F$5,tblAuftraege[Datum Einnahmen],"&lt;"&amp;EDATE(F$5,1),tblAuftraege[Auftrag],$A32))</f>
        <v>0</v>
      </c>
      <c r="G32" s="11" t="n">
        <f aca="false">IF($A32="",0,SUMIFS(tblAuftraege[Einnahmen],tblAuftraege[Datum Einnahmen],"&gt;="&amp;G$5,tblAuftraege[Datum Einnahmen],"&lt;"&amp;EDATE(G$5,1),tblAuftraege[Auftrag],$A32))</f>
        <v>0</v>
      </c>
      <c r="H32" s="11" t="n">
        <f aca="false">IF($A32="",0,SUMIFS(tblAuftraege[Einnahmen],tblAuftraege[Datum Einnahmen],"&gt;="&amp;H$5,tblAuftraege[Datum Einnahmen],"&lt;"&amp;EDATE(H$5,1),tblAuftraege[Auftrag],$A32))</f>
        <v>0</v>
      </c>
      <c r="I32" s="11" t="n">
        <f aca="false">IF($A32="",0,SUMIFS(tblAuftraege[Einnahmen],tblAuftraege[Datum Einnahmen],"&gt;="&amp;I$5,tblAuftraege[Datum Einnahmen],"&lt;"&amp;EDATE(I$5,1),tblAuftraege[Auftrag],$A32))</f>
        <v>0</v>
      </c>
      <c r="J32" s="11" t="n">
        <f aca="false">IF($A32="",0,SUMIFS(tblAuftraege[Einnahmen],tblAuftraege[Datum Einnahmen],"&gt;="&amp;J$5,tblAuftraege[Datum Einnahmen],"&lt;"&amp;EDATE(J$5,1),tblAuftraege[Auftrag],$A32))</f>
        <v>0</v>
      </c>
      <c r="K32" s="11" t="n">
        <f aca="false">IF($A32="",0,SUMIFS(tblAuftraege[Einnahmen],tblAuftraege[Datum Einnahmen],"&gt;="&amp;K$5,tblAuftraege[Datum Einnahmen],"&lt;"&amp;EDATE(K$5,1),tblAuftraege[Auftrag],$A32))</f>
        <v>0</v>
      </c>
      <c r="L32" s="11" t="n">
        <f aca="false">IF($A32="",0,SUMIFS(tblAuftraege[Einnahmen],tblAuftraege[Datum Einnahmen],"&gt;="&amp;L$5,tblAuftraege[Datum Einnahmen],"&lt;"&amp;EDATE(L$5,1),tblAuftraege[Auftrag],$A32))</f>
        <v>0</v>
      </c>
      <c r="M32" s="11" t="n">
        <f aca="false">IF($A32="",0,SUMIFS(tblAuftraege[Einnahmen],tblAuftraege[Datum Einnahmen],"&gt;="&amp;M$5,tblAuftraege[Datum Einnahmen],"&lt;"&amp;EDATE(M$5,1),tblAuftraege[Auftrag],$A32))</f>
        <v>0</v>
      </c>
      <c r="N32" s="11" t="n">
        <f aca="false">IF($A32="",0,SUMIFS(tblAuftraege[Einnahmen],tblAuftraege[Datum Einnahmen],"&gt;="&amp;N$5,tblAuftraege[Datum Einnahmen],"&lt;"&amp;EDATE(N$5,1),tblAuftraege[Auftrag],$A32))</f>
        <v>0</v>
      </c>
      <c r="O32" s="11" t="n">
        <f aca="false">IF($A32="",0,SUMIFS(tblAuftraege[Einnahmen],tblAuftraege[Datum Einnahmen],"&gt;="&amp;O$5,tblAuftraege[Datum Einnahmen],"&lt;"&amp;EDATE(O$5,1),tblAuftraege[Auftrag],$A32))</f>
        <v>0</v>
      </c>
      <c r="P32" s="11" t="n">
        <f aca="false">IF($A32="",0,SUMIFS(tblAuftraege[Einnahmen],tblAuftraege[Datum Einnahmen],"&gt;="&amp;P$5,tblAuftraege[Datum Einnahmen],"&lt;"&amp;EDATE(P$5,1),tblAuftraege[Auftrag],$A32))</f>
        <v>0</v>
      </c>
      <c r="Q32" s="11" t="n">
        <f aca="false">IF($A32="",0,SUMIFS(tblAuftraege[Einnahmen],tblAuftraege[Datum Einnahmen],"&gt;="&amp;Q$5,tblAuftraege[Datum Einnahmen],"&lt;"&amp;EDATE(Q$5,1),tblAuftraege[Auftrag],$A32))</f>
        <v>0</v>
      </c>
      <c r="R32" s="11" t="n">
        <f aca="false">IF($A32="",0,SUMIFS(tblAuftraege[Einnahmen],tblAuftraege[Datum Einnahmen],"&gt;="&amp;R$5,tblAuftraege[Datum Einnahmen],"&lt;"&amp;EDATE(R$5,1),tblAuftraege[Auftrag],$A32))</f>
        <v>0</v>
      </c>
      <c r="S32" s="11" t="n">
        <f aca="false">IF($A32="",0,SUMIFS(tblAuftraege[Einnahmen],tblAuftraege[Datum Einnahmen],"&gt;="&amp;S$5,tblAuftraege[Datum Einnahmen],"&lt;"&amp;EDATE(S$5,1),tblAuftraege[Auftrag],$A32))</f>
        <v>0</v>
      </c>
      <c r="T32" s="11" t="n">
        <f aca="false">IF($A32="",0,SUMIFS(tblAuftraege[Einnahmen],tblAuftraege[Datum Einnahmen],"&gt;="&amp;T$5,tblAuftraege[Datum Einnahmen],"&lt;"&amp;EDATE(T$5,1),tblAuftraege[Auftrag],$A32))</f>
        <v>0</v>
      </c>
      <c r="U32" s="11" t="n">
        <f aca="false">IF($A32="",0,SUMIFS(tblAuftraege[Einnahmen],tblAuftraege[Datum Einnahmen],"&gt;="&amp;U$5,tblAuftraege[Datum Einnahmen],"&lt;"&amp;EDATE(U$5,1),tblAuftraege[Auftrag],$A32))</f>
        <v>0</v>
      </c>
      <c r="V32" s="11" t="n">
        <f aca="false">IF($A32="",0,SUMIFS(tblAuftraege[Einnahmen],tblAuftraege[Datum Einnahmen],"&gt;="&amp;V$5,tblAuftraege[Datum Einnahmen],"&lt;"&amp;EDATE(V$5,1),tblAuftraege[Auftrag],$A32))</f>
        <v>0</v>
      </c>
      <c r="W32" s="11" t="n">
        <f aca="false">IF($A32="",0,SUMIFS(tblAuftraege[Einnahmen],tblAuftraege[Datum Einnahmen],"&gt;="&amp;W$5,tblAuftraege[Datum Einnahmen],"&lt;"&amp;EDATE(W$5,1),tblAuftraege[Auftrag],$A32))</f>
        <v>0</v>
      </c>
      <c r="X32" s="11" t="n">
        <f aca="false">IF($A32="",0,SUMIFS(tblAuftraege[Einnahmen],tblAuftraege[Datum Einnahmen],"&gt;="&amp;X$5,tblAuftraege[Datum Einnahmen],"&lt;"&amp;EDATE(X$5,1),tblAuftraege[Auftrag],$A32))</f>
        <v>0</v>
      </c>
      <c r="Y32" s="11" t="n">
        <f aca="false">IF($A32="",0,SUMIFS(tblAuftraege[Einnahmen],tblAuftraege[Datum Einnahmen],"&gt;="&amp;Y$5,tblAuftraege[Datum Einnahmen],"&lt;"&amp;EDATE(Y$5,1),tblAuftraege[Auftrag],$A32))</f>
        <v>0</v>
      </c>
      <c r="Z32" s="11" t="n">
        <f aca="false">IF($A32="",0,SUMIFS(tblAuftraege[Einnahmen],tblAuftraege[Datum Einnahmen],"&gt;="&amp;Z$5,tblAuftraege[Datum Einnahmen],"&lt;"&amp;EDATE(Z$5,1),tblAuftraege[Auftrag],$A32))</f>
        <v>0</v>
      </c>
      <c r="AA32" s="11" t="n">
        <f aca="false">IF($A32="",0,SUMIFS(tblAuftraege[Einnahmen],tblAuftraege[Datum Einnahmen],"&gt;="&amp;AA$5,tblAuftraege[Datum Einnahmen],"&lt;"&amp;EDATE(AA$5,1),tblAuftraege[Auftrag],$A32))</f>
        <v>0</v>
      </c>
      <c r="AB32" s="11" t="n">
        <f aca="false">IF($A32="",0,SUMIFS(tblAuftraege[Einnahmen],tblAuftraege[Datum Einnahmen],"&gt;="&amp;AB$5,tblAuftraege[Datum Einnahmen],"&lt;"&amp;EDATE(AB$5,1),tblAuftraege[Auftrag],$A32))</f>
        <v>0</v>
      </c>
      <c r="AC32" s="11" t="n">
        <f aca="false">IF($A32="",0,SUMIFS(tblAuftraege[Einnahmen],tblAuftraege[Datum Einnahmen],"&gt;="&amp;AC$5,tblAuftraege[Datum Einnahmen],"&lt;"&amp;EDATE(AC$5,1),tblAuftraege[Auftrag],$A32))</f>
        <v>0</v>
      </c>
      <c r="AD32" s="11" t="n">
        <f aca="false">IF($A32="",0,SUMIFS(tblAuftraege[Einnahmen],tblAuftraege[Datum Einnahmen],"&gt;="&amp;AD$5,tblAuftraege[Datum Einnahmen],"&lt;"&amp;EDATE(AD$5,1),tblAuftraege[Auftrag],$A32))</f>
        <v>0</v>
      </c>
      <c r="AE32" s="11" t="n">
        <f aca="false">IF($A32="",0,SUMIFS(tblAuftraege[Einnahmen],tblAuftraege[Datum Einnahmen],"&gt;="&amp;AE$5,tblAuftraege[Datum Einnahmen],"&lt;"&amp;EDATE(AE$5,1),tblAuftraege[Auftrag],$A32))</f>
        <v>0</v>
      </c>
      <c r="AF32" s="11" t="n">
        <f aca="false">IF($A32="",0,SUMIFS(tblAuftraege[Einnahmen],tblAuftraege[Datum Einnahmen],"&gt;="&amp;AF$5,tblAuftraege[Datum Einnahmen],"&lt;"&amp;EDATE(AF$5,1),tblAuftraege[Auftrag],$A32))</f>
        <v>0</v>
      </c>
      <c r="AG32" s="11" t="n">
        <f aca="false">IF($A32="",0,SUMIFS(tblAuftraege[Einnahmen],tblAuftraege[Datum Einnahmen],"&gt;="&amp;AG$5,tblAuftraege[Datum Einnahmen],"&lt;"&amp;EDATE(AG$5,1),tblAuftraege[Auftrag],$A32))</f>
        <v>0</v>
      </c>
      <c r="AH32" s="11" t="n">
        <f aca="false">IF($A32="",0,SUMIFS(tblAuftraege[Einnahmen],tblAuftraege[Datum Einnahmen],"&gt;="&amp;AH$5,tblAuftraege[Datum Einnahmen],"&lt;"&amp;EDATE(AH$5,1),tblAuftraege[Auftrag],$A32))</f>
        <v>0</v>
      </c>
      <c r="AI32" s="11" t="n">
        <f aca="false">IF($A32="",0,SUMIFS(tblAuftraege[Einnahmen],tblAuftraege[Datum Einnahmen],"&gt;="&amp;AI$5,tblAuftraege[Datum Einnahmen],"&lt;"&amp;EDATE(AI$5,1),tblAuftraege[Auftrag],$A32))</f>
        <v>0</v>
      </c>
      <c r="AJ32" s="11" t="n">
        <f aca="false">IF($A32="",0,SUMIFS(tblAuftraege[Einnahmen],tblAuftraege[Datum Einnahmen],"&gt;="&amp;AJ$5,tblAuftraege[Datum Einnahmen],"&lt;"&amp;EDATE(AJ$5,1),tblAuftraege[Auftrag],$A32))</f>
        <v>0</v>
      </c>
      <c r="AK32" s="11" t="n">
        <f aca="false">IF($A32="",0,SUMIFS(tblAuftraege[Einnahmen],tblAuftraege[Datum Einnahmen],"&gt;="&amp;AK$5,tblAuftraege[Datum Einnahmen],"&lt;"&amp;EDATE(AK$5,1),tblAuftraege[Auftrag],$A32))</f>
        <v>0</v>
      </c>
      <c r="AL32" s="11" t="n">
        <f aca="false">IF($A32="",0,SUMIFS(tblAuftraege[Einnahmen],tblAuftraege[Datum Einnahmen],"&gt;="&amp;AL$5,tblAuftraege[Datum Einnahmen],"&lt;"&amp;EDATE(AL$5,1),tblAuftraege[Auftrag],$A32))</f>
        <v>0</v>
      </c>
      <c r="AM32" s="11" t="n">
        <f aca="false">IF($A32="",0,SUMIFS(tblAuftraege[Einnahmen],tblAuftraege[Datum Einnahmen],"&gt;="&amp;AM$5,tblAuftraege[Datum Einnahmen],"&lt;"&amp;EDATE(AM$5,1),tblAuftraege[Auftrag],$A32))</f>
        <v>0</v>
      </c>
      <c r="AN32" s="11" t="n">
        <f aca="false">IF($A32="",0,SUMIFS(tblAuftraege[Einnahmen],tblAuftraege[Datum Einnahmen],"&gt;="&amp;AN$5,tblAuftraege[Datum Einnahmen],"&lt;"&amp;EDATE(AN$5,1),tblAuftraege[Auftrag],$A32))</f>
        <v>0</v>
      </c>
      <c r="AO32" s="11" t="n">
        <f aca="false">IF($A32="",0,SUMIFS(tblAuftraege[Einnahmen],tblAuftraege[Datum Einnahmen],"&gt;="&amp;AO$5,tblAuftraege[Datum Einnahmen],"&lt;"&amp;EDATE(AO$5,1),tblAuftraege[Auftrag],$A32))</f>
        <v>0</v>
      </c>
      <c r="AP32" s="11" t="n">
        <f aca="false">IF($A32="",0,SUMIFS(tblAuftraege[Einnahmen],tblAuftraege[Datum Einnahmen],"&gt;="&amp;AP$5,tblAuftraege[Datum Einnahmen],"&lt;"&amp;EDATE(AP$5,1),tblAuftraege[Auftrag],$A32))</f>
        <v>0</v>
      </c>
      <c r="AQ32" s="11" t="n">
        <f aca="false">IF($A32="",0,SUMIFS(tblAuftraege[Einnahmen],tblAuftraege[Datum Einnahmen],"&gt;="&amp;AQ$5,tblAuftraege[Datum Einnahmen],"&lt;"&amp;EDATE(AQ$5,1),tblAuftraege[Auftrag],$A32))</f>
        <v>0</v>
      </c>
      <c r="AR32" s="11" t="n">
        <f aca="false">IF($A32="",0,SUMIFS(tblAuftraege[Einnahmen],tblAuftraege[Datum Einnahmen],"&gt;="&amp;AR$5,tblAuftraege[Datum Einnahmen],"&lt;"&amp;EDATE(AR$5,1),tblAuftraege[Auftrag],$A32))</f>
        <v>0</v>
      </c>
      <c r="AS32" s="11" t="n">
        <f aca="false">IF($A32="",0,SUMIFS(tblAuftraege[Einnahmen],tblAuftraege[Datum Einnahmen],"&gt;="&amp;AS$5,tblAuftraege[Datum Einnahmen],"&lt;"&amp;EDATE(AS$5,1),tblAuftraege[Auftrag],$A32))</f>
        <v>0</v>
      </c>
      <c r="AT32" s="11" t="n">
        <f aca="false">IF($A32="",0,SUMIFS(tblAuftraege[Einnahmen],tblAuftraege[Datum Einnahmen],"&gt;="&amp;AT$5,tblAuftraege[Datum Einnahmen],"&lt;"&amp;EDATE(AT$5,1),tblAuftraege[Auftrag],$A32))</f>
        <v>0</v>
      </c>
      <c r="AU32" s="11" t="n">
        <f aca="false">IF($A32="",0,SUMIFS(tblAuftraege[Einnahmen],tblAuftraege[Datum Einnahmen],"&gt;="&amp;AU$5,tblAuftraege[Datum Einnahmen],"&lt;"&amp;EDATE(AU$5,1),tblAuftraege[Auftrag],$A32))</f>
        <v>0</v>
      </c>
      <c r="AV32" s="11" t="n">
        <f aca="false">IF($A32="",0,SUMIFS(tblAuftraege[Einnahmen],tblAuftraege[Datum Einnahmen],"&gt;="&amp;AV$5,tblAuftraege[Datum Einnahmen],"&lt;"&amp;EDATE(AV$5,1),tblAuftraege[Auftrag],$A32))</f>
        <v>0</v>
      </c>
      <c r="AW32" s="11" t="n">
        <f aca="false">IF($A32="",0,SUMIFS(tblAuftraege[Einnahmen],tblAuftraege[Datum Einnahmen],"&gt;="&amp;AW$5,tblAuftraege[Datum Einnahmen],"&lt;"&amp;EDATE(AW$5,1),tblAuftraege[Auftrag],$A32))</f>
        <v>0</v>
      </c>
      <c r="AX32" s="11" t="n">
        <f aca="false">IF($A32="",0,SUMIFS(tblAuftraege[Einnahmen],tblAuftraege[Datum Einnahmen],"&gt;="&amp;AX$5,tblAuftraege[Datum Einnahmen],"&lt;"&amp;EDATE(AX$5,1),tblAuftraege[Auftrag],$A32))</f>
        <v>0</v>
      </c>
      <c r="AY32" s="11" t="n">
        <f aca="false">IF($A32="",0,SUMIFS(tblAuftraege[Einnahmen],tblAuftraege[Datum Einnahmen],"&gt;="&amp;AY$5,tblAuftraege[Datum Einnahmen],"&lt;"&amp;EDATE(AY$5,1),tblAuftraege[Auftrag],$A32))</f>
        <v>0</v>
      </c>
      <c r="AZ32" s="11" t="n">
        <f aca="false">IF($A32="",0,SUMIFS(tblAuftraege[Einnahmen],tblAuftraege[Datum Einnahmen],"&gt;="&amp;AZ$5,tblAuftraege[Datum Einnahmen],"&lt;"&amp;EDATE(AZ$5,1),tblAuftraege[Auftrag],$A32))</f>
        <v>0</v>
      </c>
      <c r="BA32" s="11" t="n">
        <f aca="false">IF($A32="",0,SUMIFS(tblAuftraege[Einnahmen],tblAuftraege[Datum Einnahmen],"&gt;="&amp;BA$5,tblAuftraege[Datum Einnahmen],"&lt;"&amp;EDATE(BA$5,1),tblAuftraege[Auftrag],$A32))</f>
        <v>0</v>
      </c>
      <c r="BB32" s="11" t="n">
        <f aca="false">IF($A32="",0,SUMIFS(tblAuftraege[Einnahmen],tblAuftraege[Datum Einnahmen],"&gt;="&amp;BB$5,tblAuftraege[Datum Einnahmen],"&lt;"&amp;EDATE(BB$5,1),tblAuftraege[Auftrag],$A32))</f>
        <v>0</v>
      </c>
      <c r="BC32" s="11" t="n">
        <f aca="false">IF($A32="",0,SUMIFS(tblAuftraege[Einnahmen],tblAuftraege[Datum Einnahmen],"&gt;="&amp;BC$5,tblAuftraege[Datum Einnahmen],"&lt;"&amp;EDATE(BC$5,1),tblAuftraege[Auftrag],$A32))</f>
        <v>0</v>
      </c>
      <c r="BD32" s="11" t="n">
        <f aca="false">IF($A32="",0,SUMIFS(tblAuftraege[Einnahmen],tblAuftraege[Datum Einnahmen],"&gt;="&amp;BD$5,tblAuftraege[Datum Einnahmen],"&lt;"&amp;EDATE(BD$5,1),tblAuftraege[Auftrag],$A32))</f>
        <v>0</v>
      </c>
      <c r="BE32" s="11" t="n">
        <f aca="false">IF($A32="",0,SUMIFS(tblAuftraege[Einnahmen],tblAuftraege[Datum Einnahmen],"&gt;="&amp;BE$5,tblAuftraege[Datum Einnahmen],"&lt;"&amp;EDATE(BE$5,1),tblAuftraege[Auftrag],$A32))</f>
        <v>0</v>
      </c>
      <c r="BF32" s="11" t="n">
        <f aca="false">IF($A32="",0,SUMIFS(tblAuftraege[Einnahmen],tblAuftraege[Datum Einnahmen],"&gt;="&amp;BF$5,tblAuftraege[Datum Einnahmen],"&lt;"&amp;EDATE(BF$5,1),tblAuftraege[Auftrag],$A32))</f>
        <v>0</v>
      </c>
      <c r="BG32" s="11" t="n">
        <f aca="false">SUM(E32:J32)</f>
        <v>0</v>
      </c>
      <c r="BH32" s="11" t="n">
        <f aca="false">SUM(K32:V32)</f>
        <v>0</v>
      </c>
      <c r="BI32" s="11" t="n">
        <f aca="false">SUM(W32:AH32)</f>
        <v>0</v>
      </c>
      <c r="BJ32" s="11" t="n">
        <f aca="false">SUM(AI32:AT32)</f>
        <v>0</v>
      </c>
      <c r="BK32" s="11" t="n">
        <f aca="false">SUM(AU32:BF32)</f>
        <v>0</v>
      </c>
      <c r="BL32" s="12" t="n">
        <f aca="false">SUM(E32:BF32)</f>
        <v>0</v>
      </c>
    </row>
    <row r="33" customFormat="false" ht="15" hidden="false" customHeight="false" outlineLevel="0" collapsed="false">
      <c r="A33" s="9"/>
      <c r="B33" s="10" t="str">
        <f aca="false">IF($A33="","",IFERROR(INDEX(tblAuftraege[Kostenstelle],MATCH($A33,tblAuftraege[Auftrag],0)),""))</f>
        <v/>
      </c>
      <c r="C33" s="10" t="str">
        <f aca="false">IF($A33="","",IFERROR(INDEX(tblAuftraege[Themenfeld],MATCH($A33,tblAuftraege[Auftrag],0)),""))</f>
        <v/>
      </c>
      <c r="D33" s="10" t="str">
        <f aca="false">IF($A33="","",IFERROR(INDEX(tblAuftraege[Kategorie],MATCH($A33,tblAuftraege[Auftrag],0)),""))</f>
        <v/>
      </c>
      <c r="E33" s="11" t="n">
        <f aca="false">IF($A33="",0,SUMIFS(tblAuftraege[Einnahmen],tblAuftraege[Datum Einnahmen],"&gt;="&amp;E$5,tblAuftraege[Datum Einnahmen],"&lt;"&amp;EDATE(E$5,1),tblAuftraege[Auftrag],$A33))</f>
        <v>0</v>
      </c>
      <c r="F33" s="11" t="n">
        <f aca="false">IF($A33="",0,SUMIFS(tblAuftraege[Einnahmen],tblAuftraege[Datum Einnahmen],"&gt;="&amp;F$5,tblAuftraege[Datum Einnahmen],"&lt;"&amp;EDATE(F$5,1),tblAuftraege[Auftrag],$A33))</f>
        <v>0</v>
      </c>
      <c r="G33" s="11" t="n">
        <f aca="false">IF($A33="",0,SUMIFS(tblAuftraege[Einnahmen],tblAuftraege[Datum Einnahmen],"&gt;="&amp;G$5,tblAuftraege[Datum Einnahmen],"&lt;"&amp;EDATE(G$5,1),tblAuftraege[Auftrag],$A33))</f>
        <v>0</v>
      </c>
      <c r="H33" s="11" t="n">
        <f aca="false">IF($A33="",0,SUMIFS(tblAuftraege[Einnahmen],tblAuftraege[Datum Einnahmen],"&gt;="&amp;H$5,tblAuftraege[Datum Einnahmen],"&lt;"&amp;EDATE(H$5,1),tblAuftraege[Auftrag],$A33))</f>
        <v>0</v>
      </c>
      <c r="I33" s="11" t="n">
        <f aca="false">IF($A33="",0,SUMIFS(tblAuftraege[Einnahmen],tblAuftraege[Datum Einnahmen],"&gt;="&amp;I$5,tblAuftraege[Datum Einnahmen],"&lt;"&amp;EDATE(I$5,1),tblAuftraege[Auftrag],$A33))</f>
        <v>0</v>
      </c>
      <c r="J33" s="11" t="n">
        <f aca="false">IF($A33="",0,SUMIFS(tblAuftraege[Einnahmen],tblAuftraege[Datum Einnahmen],"&gt;="&amp;J$5,tblAuftraege[Datum Einnahmen],"&lt;"&amp;EDATE(J$5,1),tblAuftraege[Auftrag],$A33))</f>
        <v>0</v>
      </c>
      <c r="K33" s="11" t="n">
        <f aca="false">IF($A33="",0,SUMIFS(tblAuftraege[Einnahmen],tblAuftraege[Datum Einnahmen],"&gt;="&amp;K$5,tblAuftraege[Datum Einnahmen],"&lt;"&amp;EDATE(K$5,1),tblAuftraege[Auftrag],$A33))</f>
        <v>0</v>
      </c>
      <c r="L33" s="11" t="n">
        <f aca="false">IF($A33="",0,SUMIFS(tblAuftraege[Einnahmen],tblAuftraege[Datum Einnahmen],"&gt;="&amp;L$5,tblAuftraege[Datum Einnahmen],"&lt;"&amp;EDATE(L$5,1),tblAuftraege[Auftrag],$A33))</f>
        <v>0</v>
      </c>
      <c r="M33" s="11" t="n">
        <f aca="false">IF($A33="",0,SUMIFS(tblAuftraege[Einnahmen],tblAuftraege[Datum Einnahmen],"&gt;="&amp;M$5,tblAuftraege[Datum Einnahmen],"&lt;"&amp;EDATE(M$5,1),tblAuftraege[Auftrag],$A33))</f>
        <v>0</v>
      </c>
      <c r="N33" s="11" t="n">
        <f aca="false">IF($A33="",0,SUMIFS(tblAuftraege[Einnahmen],tblAuftraege[Datum Einnahmen],"&gt;="&amp;N$5,tblAuftraege[Datum Einnahmen],"&lt;"&amp;EDATE(N$5,1),tblAuftraege[Auftrag],$A33))</f>
        <v>0</v>
      </c>
      <c r="O33" s="11" t="n">
        <f aca="false">IF($A33="",0,SUMIFS(tblAuftraege[Einnahmen],tblAuftraege[Datum Einnahmen],"&gt;="&amp;O$5,tblAuftraege[Datum Einnahmen],"&lt;"&amp;EDATE(O$5,1),tblAuftraege[Auftrag],$A33))</f>
        <v>0</v>
      </c>
      <c r="P33" s="11" t="n">
        <f aca="false">IF($A33="",0,SUMIFS(tblAuftraege[Einnahmen],tblAuftraege[Datum Einnahmen],"&gt;="&amp;P$5,tblAuftraege[Datum Einnahmen],"&lt;"&amp;EDATE(P$5,1),tblAuftraege[Auftrag],$A33))</f>
        <v>0</v>
      </c>
      <c r="Q33" s="11" t="n">
        <f aca="false">IF($A33="",0,SUMIFS(tblAuftraege[Einnahmen],tblAuftraege[Datum Einnahmen],"&gt;="&amp;Q$5,tblAuftraege[Datum Einnahmen],"&lt;"&amp;EDATE(Q$5,1),tblAuftraege[Auftrag],$A33))</f>
        <v>0</v>
      </c>
      <c r="R33" s="11" t="n">
        <f aca="false">IF($A33="",0,SUMIFS(tblAuftraege[Einnahmen],tblAuftraege[Datum Einnahmen],"&gt;="&amp;R$5,tblAuftraege[Datum Einnahmen],"&lt;"&amp;EDATE(R$5,1),tblAuftraege[Auftrag],$A33))</f>
        <v>0</v>
      </c>
      <c r="S33" s="11" t="n">
        <f aca="false">IF($A33="",0,SUMIFS(tblAuftraege[Einnahmen],tblAuftraege[Datum Einnahmen],"&gt;="&amp;S$5,tblAuftraege[Datum Einnahmen],"&lt;"&amp;EDATE(S$5,1),tblAuftraege[Auftrag],$A33))</f>
        <v>0</v>
      </c>
      <c r="T33" s="11" t="n">
        <f aca="false">IF($A33="",0,SUMIFS(tblAuftraege[Einnahmen],tblAuftraege[Datum Einnahmen],"&gt;="&amp;T$5,tblAuftraege[Datum Einnahmen],"&lt;"&amp;EDATE(T$5,1),tblAuftraege[Auftrag],$A33))</f>
        <v>0</v>
      </c>
      <c r="U33" s="11" t="n">
        <f aca="false">IF($A33="",0,SUMIFS(tblAuftraege[Einnahmen],tblAuftraege[Datum Einnahmen],"&gt;="&amp;U$5,tblAuftraege[Datum Einnahmen],"&lt;"&amp;EDATE(U$5,1),tblAuftraege[Auftrag],$A33))</f>
        <v>0</v>
      </c>
      <c r="V33" s="11" t="n">
        <f aca="false">IF($A33="",0,SUMIFS(tblAuftraege[Einnahmen],tblAuftraege[Datum Einnahmen],"&gt;="&amp;V$5,tblAuftraege[Datum Einnahmen],"&lt;"&amp;EDATE(V$5,1),tblAuftraege[Auftrag],$A33))</f>
        <v>0</v>
      </c>
      <c r="W33" s="11" t="n">
        <f aca="false">IF($A33="",0,SUMIFS(tblAuftraege[Einnahmen],tblAuftraege[Datum Einnahmen],"&gt;="&amp;W$5,tblAuftraege[Datum Einnahmen],"&lt;"&amp;EDATE(W$5,1),tblAuftraege[Auftrag],$A33))</f>
        <v>0</v>
      </c>
      <c r="X33" s="11" t="n">
        <f aca="false">IF($A33="",0,SUMIFS(tblAuftraege[Einnahmen],tblAuftraege[Datum Einnahmen],"&gt;="&amp;X$5,tblAuftraege[Datum Einnahmen],"&lt;"&amp;EDATE(X$5,1),tblAuftraege[Auftrag],$A33))</f>
        <v>0</v>
      </c>
      <c r="Y33" s="11" t="n">
        <f aca="false">IF($A33="",0,SUMIFS(tblAuftraege[Einnahmen],tblAuftraege[Datum Einnahmen],"&gt;="&amp;Y$5,tblAuftraege[Datum Einnahmen],"&lt;"&amp;EDATE(Y$5,1),tblAuftraege[Auftrag],$A33))</f>
        <v>0</v>
      </c>
      <c r="Z33" s="11" t="n">
        <f aca="false">IF($A33="",0,SUMIFS(tblAuftraege[Einnahmen],tblAuftraege[Datum Einnahmen],"&gt;="&amp;Z$5,tblAuftraege[Datum Einnahmen],"&lt;"&amp;EDATE(Z$5,1),tblAuftraege[Auftrag],$A33))</f>
        <v>0</v>
      </c>
      <c r="AA33" s="11" t="n">
        <f aca="false">IF($A33="",0,SUMIFS(tblAuftraege[Einnahmen],tblAuftraege[Datum Einnahmen],"&gt;="&amp;AA$5,tblAuftraege[Datum Einnahmen],"&lt;"&amp;EDATE(AA$5,1),tblAuftraege[Auftrag],$A33))</f>
        <v>0</v>
      </c>
      <c r="AB33" s="11" t="n">
        <f aca="false">IF($A33="",0,SUMIFS(tblAuftraege[Einnahmen],tblAuftraege[Datum Einnahmen],"&gt;="&amp;AB$5,tblAuftraege[Datum Einnahmen],"&lt;"&amp;EDATE(AB$5,1),tblAuftraege[Auftrag],$A33))</f>
        <v>0</v>
      </c>
      <c r="AC33" s="11" t="n">
        <f aca="false">IF($A33="",0,SUMIFS(tblAuftraege[Einnahmen],tblAuftraege[Datum Einnahmen],"&gt;="&amp;AC$5,tblAuftraege[Datum Einnahmen],"&lt;"&amp;EDATE(AC$5,1),tblAuftraege[Auftrag],$A33))</f>
        <v>0</v>
      </c>
      <c r="AD33" s="11" t="n">
        <f aca="false">IF($A33="",0,SUMIFS(tblAuftraege[Einnahmen],tblAuftraege[Datum Einnahmen],"&gt;="&amp;AD$5,tblAuftraege[Datum Einnahmen],"&lt;"&amp;EDATE(AD$5,1),tblAuftraege[Auftrag],$A33))</f>
        <v>0</v>
      </c>
      <c r="AE33" s="11" t="n">
        <f aca="false">IF($A33="",0,SUMIFS(tblAuftraege[Einnahmen],tblAuftraege[Datum Einnahmen],"&gt;="&amp;AE$5,tblAuftraege[Datum Einnahmen],"&lt;"&amp;EDATE(AE$5,1),tblAuftraege[Auftrag],$A33))</f>
        <v>0</v>
      </c>
      <c r="AF33" s="11" t="n">
        <f aca="false">IF($A33="",0,SUMIFS(tblAuftraege[Einnahmen],tblAuftraege[Datum Einnahmen],"&gt;="&amp;AF$5,tblAuftraege[Datum Einnahmen],"&lt;"&amp;EDATE(AF$5,1),tblAuftraege[Auftrag],$A33))</f>
        <v>0</v>
      </c>
      <c r="AG33" s="11" t="n">
        <f aca="false">IF($A33="",0,SUMIFS(tblAuftraege[Einnahmen],tblAuftraege[Datum Einnahmen],"&gt;="&amp;AG$5,tblAuftraege[Datum Einnahmen],"&lt;"&amp;EDATE(AG$5,1),tblAuftraege[Auftrag],$A33))</f>
        <v>0</v>
      </c>
      <c r="AH33" s="11" t="n">
        <f aca="false">IF($A33="",0,SUMIFS(tblAuftraege[Einnahmen],tblAuftraege[Datum Einnahmen],"&gt;="&amp;AH$5,tblAuftraege[Datum Einnahmen],"&lt;"&amp;EDATE(AH$5,1),tblAuftraege[Auftrag],$A33))</f>
        <v>0</v>
      </c>
      <c r="AI33" s="11" t="n">
        <f aca="false">IF($A33="",0,SUMIFS(tblAuftraege[Einnahmen],tblAuftraege[Datum Einnahmen],"&gt;="&amp;AI$5,tblAuftraege[Datum Einnahmen],"&lt;"&amp;EDATE(AI$5,1),tblAuftraege[Auftrag],$A33))</f>
        <v>0</v>
      </c>
      <c r="AJ33" s="11" t="n">
        <f aca="false">IF($A33="",0,SUMIFS(tblAuftraege[Einnahmen],tblAuftraege[Datum Einnahmen],"&gt;="&amp;AJ$5,tblAuftraege[Datum Einnahmen],"&lt;"&amp;EDATE(AJ$5,1),tblAuftraege[Auftrag],$A33))</f>
        <v>0</v>
      </c>
      <c r="AK33" s="11" t="n">
        <f aca="false">IF($A33="",0,SUMIFS(tblAuftraege[Einnahmen],tblAuftraege[Datum Einnahmen],"&gt;="&amp;AK$5,tblAuftraege[Datum Einnahmen],"&lt;"&amp;EDATE(AK$5,1),tblAuftraege[Auftrag],$A33))</f>
        <v>0</v>
      </c>
      <c r="AL33" s="11" t="n">
        <f aca="false">IF($A33="",0,SUMIFS(tblAuftraege[Einnahmen],tblAuftraege[Datum Einnahmen],"&gt;="&amp;AL$5,tblAuftraege[Datum Einnahmen],"&lt;"&amp;EDATE(AL$5,1),tblAuftraege[Auftrag],$A33))</f>
        <v>0</v>
      </c>
      <c r="AM33" s="11" t="n">
        <f aca="false">IF($A33="",0,SUMIFS(tblAuftraege[Einnahmen],tblAuftraege[Datum Einnahmen],"&gt;="&amp;AM$5,tblAuftraege[Datum Einnahmen],"&lt;"&amp;EDATE(AM$5,1),tblAuftraege[Auftrag],$A33))</f>
        <v>0</v>
      </c>
      <c r="AN33" s="11" t="n">
        <f aca="false">IF($A33="",0,SUMIFS(tblAuftraege[Einnahmen],tblAuftraege[Datum Einnahmen],"&gt;="&amp;AN$5,tblAuftraege[Datum Einnahmen],"&lt;"&amp;EDATE(AN$5,1),tblAuftraege[Auftrag],$A33))</f>
        <v>0</v>
      </c>
      <c r="AO33" s="11" t="n">
        <f aca="false">IF($A33="",0,SUMIFS(tblAuftraege[Einnahmen],tblAuftraege[Datum Einnahmen],"&gt;="&amp;AO$5,tblAuftraege[Datum Einnahmen],"&lt;"&amp;EDATE(AO$5,1),tblAuftraege[Auftrag],$A33))</f>
        <v>0</v>
      </c>
      <c r="AP33" s="11" t="n">
        <f aca="false">IF($A33="",0,SUMIFS(tblAuftraege[Einnahmen],tblAuftraege[Datum Einnahmen],"&gt;="&amp;AP$5,tblAuftraege[Datum Einnahmen],"&lt;"&amp;EDATE(AP$5,1),tblAuftraege[Auftrag],$A33))</f>
        <v>0</v>
      </c>
      <c r="AQ33" s="11" t="n">
        <f aca="false">IF($A33="",0,SUMIFS(tblAuftraege[Einnahmen],tblAuftraege[Datum Einnahmen],"&gt;="&amp;AQ$5,tblAuftraege[Datum Einnahmen],"&lt;"&amp;EDATE(AQ$5,1),tblAuftraege[Auftrag],$A33))</f>
        <v>0</v>
      </c>
      <c r="AR33" s="11" t="n">
        <f aca="false">IF($A33="",0,SUMIFS(tblAuftraege[Einnahmen],tblAuftraege[Datum Einnahmen],"&gt;="&amp;AR$5,tblAuftraege[Datum Einnahmen],"&lt;"&amp;EDATE(AR$5,1),tblAuftraege[Auftrag],$A33))</f>
        <v>0</v>
      </c>
      <c r="AS33" s="11" t="n">
        <f aca="false">IF($A33="",0,SUMIFS(tblAuftraege[Einnahmen],tblAuftraege[Datum Einnahmen],"&gt;="&amp;AS$5,tblAuftraege[Datum Einnahmen],"&lt;"&amp;EDATE(AS$5,1),tblAuftraege[Auftrag],$A33))</f>
        <v>0</v>
      </c>
      <c r="AT33" s="11" t="n">
        <f aca="false">IF($A33="",0,SUMIFS(tblAuftraege[Einnahmen],tblAuftraege[Datum Einnahmen],"&gt;="&amp;AT$5,tblAuftraege[Datum Einnahmen],"&lt;"&amp;EDATE(AT$5,1),tblAuftraege[Auftrag],$A33))</f>
        <v>0</v>
      </c>
      <c r="AU33" s="11" t="n">
        <f aca="false">IF($A33="",0,SUMIFS(tblAuftraege[Einnahmen],tblAuftraege[Datum Einnahmen],"&gt;="&amp;AU$5,tblAuftraege[Datum Einnahmen],"&lt;"&amp;EDATE(AU$5,1),tblAuftraege[Auftrag],$A33))</f>
        <v>0</v>
      </c>
      <c r="AV33" s="11" t="n">
        <f aca="false">IF($A33="",0,SUMIFS(tblAuftraege[Einnahmen],tblAuftraege[Datum Einnahmen],"&gt;="&amp;AV$5,tblAuftraege[Datum Einnahmen],"&lt;"&amp;EDATE(AV$5,1),tblAuftraege[Auftrag],$A33))</f>
        <v>0</v>
      </c>
      <c r="AW33" s="11" t="n">
        <f aca="false">IF($A33="",0,SUMIFS(tblAuftraege[Einnahmen],tblAuftraege[Datum Einnahmen],"&gt;="&amp;AW$5,tblAuftraege[Datum Einnahmen],"&lt;"&amp;EDATE(AW$5,1),tblAuftraege[Auftrag],$A33))</f>
        <v>0</v>
      </c>
      <c r="AX33" s="11" t="n">
        <f aca="false">IF($A33="",0,SUMIFS(tblAuftraege[Einnahmen],tblAuftraege[Datum Einnahmen],"&gt;="&amp;AX$5,tblAuftraege[Datum Einnahmen],"&lt;"&amp;EDATE(AX$5,1),tblAuftraege[Auftrag],$A33))</f>
        <v>0</v>
      </c>
      <c r="AY33" s="11" t="n">
        <f aca="false">IF($A33="",0,SUMIFS(tblAuftraege[Einnahmen],tblAuftraege[Datum Einnahmen],"&gt;="&amp;AY$5,tblAuftraege[Datum Einnahmen],"&lt;"&amp;EDATE(AY$5,1),tblAuftraege[Auftrag],$A33))</f>
        <v>0</v>
      </c>
      <c r="AZ33" s="11" t="n">
        <f aca="false">IF($A33="",0,SUMIFS(tblAuftraege[Einnahmen],tblAuftraege[Datum Einnahmen],"&gt;="&amp;AZ$5,tblAuftraege[Datum Einnahmen],"&lt;"&amp;EDATE(AZ$5,1),tblAuftraege[Auftrag],$A33))</f>
        <v>0</v>
      </c>
      <c r="BA33" s="11" t="n">
        <f aca="false">IF($A33="",0,SUMIFS(tblAuftraege[Einnahmen],tblAuftraege[Datum Einnahmen],"&gt;="&amp;BA$5,tblAuftraege[Datum Einnahmen],"&lt;"&amp;EDATE(BA$5,1),tblAuftraege[Auftrag],$A33))</f>
        <v>0</v>
      </c>
      <c r="BB33" s="11" t="n">
        <f aca="false">IF($A33="",0,SUMIFS(tblAuftraege[Einnahmen],tblAuftraege[Datum Einnahmen],"&gt;="&amp;BB$5,tblAuftraege[Datum Einnahmen],"&lt;"&amp;EDATE(BB$5,1),tblAuftraege[Auftrag],$A33))</f>
        <v>0</v>
      </c>
      <c r="BC33" s="11" t="n">
        <f aca="false">IF($A33="",0,SUMIFS(tblAuftraege[Einnahmen],tblAuftraege[Datum Einnahmen],"&gt;="&amp;BC$5,tblAuftraege[Datum Einnahmen],"&lt;"&amp;EDATE(BC$5,1),tblAuftraege[Auftrag],$A33))</f>
        <v>0</v>
      </c>
      <c r="BD33" s="11" t="n">
        <f aca="false">IF($A33="",0,SUMIFS(tblAuftraege[Einnahmen],tblAuftraege[Datum Einnahmen],"&gt;="&amp;BD$5,tblAuftraege[Datum Einnahmen],"&lt;"&amp;EDATE(BD$5,1),tblAuftraege[Auftrag],$A33))</f>
        <v>0</v>
      </c>
      <c r="BE33" s="11" t="n">
        <f aca="false">IF($A33="",0,SUMIFS(tblAuftraege[Einnahmen],tblAuftraege[Datum Einnahmen],"&gt;="&amp;BE$5,tblAuftraege[Datum Einnahmen],"&lt;"&amp;EDATE(BE$5,1),tblAuftraege[Auftrag],$A33))</f>
        <v>0</v>
      </c>
      <c r="BF33" s="11" t="n">
        <f aca="false">IF($A33="",0,SUMIFS(tblAuftraege[Einnahmen],tblAuftraege[Datum Einnahmen],"&gt;="&amp;BF$5,tblAuftraege[Datum Einnahmen],"&lt;"&amp;EDATE(BF$5,1),tblAuftraege[Auftrag],$A33))</f>
        <v>0</v>
      </c>
      <c r="BG33" s="11" t="n">
        <f aca="false">SUM(E33:J33)</f>
        <v>0</v>
      </c>
      <c r="BH33" s="11" t="n">
        <f aca="false">SUM(K33:V33)</f>
        <v>0</v>
      </c>
      <c r="BI33" s="11" t="n">
        <f aca="false">SUM(W33:AH33)</f>
        <v>0</v>
      </c>
      <c r="BJ33" s="11" t="n">
        <f aca="false">SUM(AI33:AT33)</f>
        <v>0</v>
      </c>
      <c r="BK33" s="11" t="n">
        <f aca="false">SUM(AU33:BF33)</f>
        <v>0</v>
      </c>
      <c r="BL33" s="12" t="n">
        <f aca="false">SUM(E33:BF33)</f>
        <v>0</v>
      </c>
    </row>
    <row r="34" customFormat="false" ht="15" hidden="false" customHeight="false" outlineLevel="0" collapsed="false">
      <c r="A34" s="9"/>
      <c r="B34" s="10" t="str">
        <f aca="false">IF($A34="","",IFERROR(INDEX(tblAuftraege[Kostenstelle],MATCH($A34,tblAuftraege[Auftrag],0)),""))</f>
        <v/>
      </c>
      <c r="C34" s="10" t="str">
        <f aca="false">IF($A34="","",IFERROR(INDEX(tblAuftraege[Themenfeld],MATCH($A34,tblAuftraege[Auftrag],0)),""))</f>
        <v/>
      </c>
      <c r="D34" s="10" t="str">
        <f aca="false">IF($A34="","",IFERROR(INDEX(tblAuftraege[Kategorie],MATCH($A34,tblAuftraege[Auftrag],0)),""))</f>
        <v/>
      </c>
      <c r="E34" s="11" t="n">
        <f aca="false">IF($A34="",0,SUMIFS(tblAuftraege[Einnahmen],tblAuftraege[Datum Einnahmen],"&gt;="&amp;E$5,tblAuftraege[Datum Einnahmen],"&lt;"&amp;EDATE(E$5,1),tblAuftraege[Auftrag],$A34))</f>
        <v>0</v>
      </c>
      <c r="F34" s="11" t="n">
        <f aca="false">IF($A34="",0,SUMIFS(tblAuftraege[Einnahmen],tblAuftraege[Datum Einnahmen],"&gt;="&amp;F$5,tblAuftraege[Datum Einnahmen],"&lt;"&amp;EDATE(F$5,1),tblAuftraege[Auftrag],$A34))</f>
        <v>0</v>
      </c>
      <c r="G34" s="11" t="n">
        <f aca="false">IF($A34="",0,SUMIFS(tblAuftraege[Einnahmen],tblAuftraege[Datum Einnahmen],"&gt;="&amp;G$5,tblAuftraege[Datum Einnahmen],"&lt;"&amp;EDATE(G$5,1),tblAuftraege[Auftrag],$A34))</f>
        <v>0</v>
      </c>
      <c r="H34" s="11" t="n">
        <f aca="false">IF($A34="",0,SUMIFS(tblAuftraege[Einnahmen],tblAuftraege[Datum Einnahmen],"&gt;="&amp;H$5,tblAuftraege[Datum Einnahmen],"&lt;"&amp;EDATE(H$5,1),tblAuftraege[Auftrag],$A34))</f>
        <v>0</v>
      </c>
      <c r="I34" s="11" t="n">
        <f aca="false">IF($A34="",0,SUMIFS(tblAuftraege[Einnahmen],tblAuftraege[Datum Einnahmen],"&gt;="&amp;I$5,tblAuftraege[Datum Einnahmen],"&lt;"&amp;EDATE(I$5,1),tblAuftraege[Auftrag],$A34))</f>
        <v>0</v>
      </c>
      <c r="J34" s="11" t="n">
        <f aca="false">IF($A34="",0,SUMIFS(tblAuftraege[Einnahmen],tblAuftraege[Datum Einnahmen],"&gt;="&amp;J$5,tblAuftraege[Datum Einnahmen],"&lt;"&amp;EDATE(J$5,1),tblAuftraege[Auftrag],$A34))</f>
        <v>0</v>
      </c>
      <c r="K34" s="11" t="n">
        <f aca="false">IF($A34="",0,SUMIFS(tblAuftraege[Einnahmen],tblAuftraege[Datum Einnahmen],"&gt;="&amp;K$5,tblAuftraege[Datum Einnahmen],"&lt;"&amp;EDATE(K$5,1),tblAuftraege[Auftrag],$A34))</f>
        <v>0</v>
      </c>
      <c r="L34" s="11" t="n">
        <f aca="false">IF($A34="",0,SUMIFS(tblAuftraege[Einnahmen],tblAuftraege[Datum Einnahmen],"&gt;="&amp;L$5,tblAuftraege[Datum Einnahmen],"&lt;"&amp;EDATE(L$5,1),tblAuftraege[Auftrag],$A34))</f>
        <v>0</v>
      </c>
      <c r="M34" s="11" t="n">
        <f aca="false">IF($A34="",0,SUMIFS(tblAuftraege[Einnahmen],tblAuftraege[Datum Einnahmen],"&gt;="&amp;M$5,tblAuftraege[Datum Einnahmen],"&lt;"&amp;EDATE(M$5,1),tblAuftraege[Auftrag],$A34))</f>
        <v>0</v>
      </c>
      <c r="N34" s="11" t="n">
        <f aca="false">IF($A34="",0,SUMIFS(tblAuftraege[Einnahmen],tblAuftraege[Datum Einnahmen],"&gt;="&amp;N$5,tblAuftraege[Datum Einnahmen],"&lt;"&amp;EDATE(N$5,1),tblAuftraege[Auftrag],$A34))</f>
        <v>0</v>
      </c>
      <c r="O34" s="11" t="n">
        <f aca="false">IF($A34="",0,SUMIFS(tblAuftraege[Einnahmen],tblAuftraege[Datum Einnahmen],"&gt;="&amp;O$5,tblAuftraege[Datum Einnahmen],"&lt;"&amp;EDATE(O$5,1),tblAuftraege[Auftrag],$A34))</f>
        <v>0</v>
      </c>
      <c r="P34" s="11" t="n">
        <f aca="false">IF($A34="",0,SUMIFS(tblAuftraege[Einnahmen],tblAuftraege[Datum Einnahmen],"&gt;="&amp;P$5,tblAuftraege[Datum Einnahmen],"&lt;"&amp;EDATE(P$5,1),tblAuftraege[Auftrag],$A34))</f>
        <v>0</v>
      </c>
      <c r="Q34" s="11" t="n">
        <f aca="false">IF($A34="",0,SUMIFS(tblAuftraege[Einnahmen],tblAuftraege[Datum Einnahmen],"&gt;="&amp;Q$5,tblAuftraege[Datum Einnahmen],"&lt;"&amp;EDATE(Q$5,1),tblAuftraege[Auftrag],$A34))</f>
        <v>0</v>
      </c>
      <c r="R34" s="11" t="n">
        <f aca="false">IF($A34="",0,SUMIFS(tblAuftraege[Einnahmen],tblAuftraege[Datum Einnahmen],"&gt;="&amp;R$5,tblAuftraege[Datum Einnahmen],"&lt;"&amp;EDATE(R$5,1),tblAuftraege[Auftrag],$A34))</f>
        <v>0</v>
      </c>
      <c r="S34" s="11" t="n">
        <f aca="false">IF($A34="",0,SUMIFS(tblAuftraege[Einnahmen],tblAuftraege[Datum Einnahmen],"&gt;="&amp;S$5,tblAuftraege[Datum Einnahmen],"&lt;"&amp;EDATE(S$5,1),tblAuftraege[Auftrag],$A34))</f>
        <v>0</v>
      </c>
      <c r="T34" s="11" t="n">
        <f aca="false">IF($A34="",0,SUMIFS(tblAuftraege[Einnahmen],tblAuftraege[Datum Einnahmen],"&gt;="&amp;T$5,tblAuftraege[Datum Einnahmen],"&lt;"&amp;EDATE(T$5,1),tblAuftraege[Auftrag],$A34))</f>
        <v>0</v>
      </c>
      <c r="U34" s="11" t="n">
        <f aca="false">IF($A34="",0,SUMIFS(tblAuftraege[Einnahmen],tblAuftraege[Datum Einnahmen],"&gt;="&amp;U$5,tblAuftraege[Datum Einnahmen],"&lt;"&amp;EDATE(U$5,1),tblAuftraege[Auftrag],$A34))</f>
        <v>0</v>
      </c>
      <c r="V34" s="11" t="n">
        <f aca="false">IF($A34="",0,SUMIFS(tblAuftraege[Einnahmen],tblAuftraege[Datum Einnahmen],"&gt;="&amp;V$5,tblAuftraege[Datum Einnahmen],"&lt;"&amp;EDATE(V$5,1),tblAuftraege[Auftrag],$A34))</f>
        <v>0</v>
      </c>
      <c r="W34" s="11" t="n">
        <f aca="false">IF($A34="",0,SUMIFS(tblAuftraege[Einnahmen],tblAuftraege[Datum Einnahmen],"&gt;="&amp;W$5,tblAuftraege[Datum Einnahmen],"&lt;"&amp;EDATE(W$5,1),tblAuftraege[Auftrag],$A34))</f>
        <v>0</v>
      </c>
      <c r="X34" s="11" t="n">
        <f aca="false">IF($A34="",0,SUMIFS(tblAuftraege[Einnahmen],tblAuftraege[Datum Einnahmen],"&gt;="&amp;X$5,tblAuftraege[Datum Einnahmen],"&lt;"&amp;EDATE(X$5,1),tblAuftraege[Auftrag],$A34))</f>
        <v>0</v>
      </c>
      <c r="Y34" s="11" t="n">
        <f aca="false">IF($A34="",0,SUMIFS(tblAuftraege[Einnahmen],tblAuftraege[Datum Einnahmen],"&gt;="&amp;Y$5,tblAuftraege[Datum Einnahmen],"&lt;"&amp;EDATE(Y$5,1),tblAuftraege[Auftrag],$A34))</f>
        <v>0</v>
      </c>
      <c r="Z34" s="11" t="n">
        <f aca="false">IF($A34="",0,SUMIFS(tblAuftraege[Einnahmen],tblAuftraege[Datum Einnahmen],"&gt;="&amp;Z$5,tblAuftraege[Datum Einnahmen],"&lt;"&amp;EDATE(Z$5,1),tblAuftraege[Auftrag],$A34))</f>
        <v>0</v>
      </c>
      <c r="AA34" s="11" t="n">
        <f aca="false">IF($A34="",0,SUMIFS(tblAuftraege[Einnahmen],tblAuftraege[Datum Einnahmen],"&gt;="&amp;AA$5,tblAuftraege[Datum Einnahmen],"&lt;"&amp;EDATE(AA$5,1),tblAuftraege[Auftrag],$A34))</f>
        <v>0</v>
      </c>
      <c r="AB34" s="11" t="n">
        <f aca="false">IF($A34="",0,SUMIFS(tblAuftraege[Einnahmen],tblAuftraege[Datum Einnahmen],"&gt;="&amp;AB$5,tblAuftraege[Datum Einnahmen],"&lt;"&amp;EDATE(AB$5,1),tblAuftraege[Auftrag],$A34))</f>
        <v>0</v>
      </c>
      <c r="AC34" s="11" t="n">
        <f aca="false">IF($A34="",0,SUMIFS(tblAuftraege[Einnahmen],tblAuftraege[Datum Einnahmen],"&gt;="&amp;AC$5,tblAuftraege[Datum Einnahmen],"&lt;"&amp;EDATE(AC$5,1),tblAuftraege[Auftrag],$A34))</f>
        <v>0</v>
      </c>
      <c r="AD34" s="11" t="n">
        <f aca="false">IF($A34="",0,SUMIFS(tblAuftraege[Einnahmen],tblAuftraege[Datum Einnahmen],"&gt;="&amp;AD$5,tblAuftraege[Datum Einnahmen],"&lt;"&amp;EDATE(AD$5,1),tblAuftraege[Auftrag],$A34))</f>
        <v>0</v>
      </c>
      <c r="AE34" s="11" t="n">
        <f aca="false">IF($A34="",0,SUMIFS(tblAuftraege[Einnahmen],tblAuftraege[Datum Einnahmen],"&gt;="&amp;AE$5,tblAuftraege[Datum Einnahmen],"&lt;"&amp;EDATE(AE$5,1),tblAuftraege[Auftrag],$A34))</f>
        <v>0</v>
      </c>
      <c r="AF34" s="11" t="n">
        <f aca="false">IF($A34="",0,SUMIFS(tblAuftraege[Einnahmen],tblAuftraege[Datum Einnahmen],"&gt;="&amp;AF$5,tblAuftraege[Datum Einnahmen],"&lt;"&amp;EDATE(AF$5,1),tblAuftraege[Auftrag],$A34))</f>
        <v>0</v>
      </c>
      <c r="AG34" s="11" t="n">
        <f aca="false">IF($A34="",0,SUMIFS(tblAuftraege[Einnahmen],tblAuftraege[Datum Einnahmen],"&gt;="&amp;AG$5,tblAuftraege[Datum Einnahmen],"&lt;"&amp;EDATE(AG$5,1),tblAuftraege[Auftrag],$A34))</f>
        <v>0</v>
      </c>
      <c r="AH34" s="11" t="n">
        <f aca="false">IF($A34="",0,SUMIFS(tblAuftraege[Einnahmen],tblAuftraege[Datum Einnahmen],"&gt;="&amp;AH$5,tblAuftraege[Datum Einnahmen],"&lt;"&amp;EDATE(AH$5,1),tblAuftraege[Auftrag],$A34))</f>
        <v>0</v>
      </c>
      <c r="AI34" s="11" t="n">
        <f aca="false">IF($A34="",0,SUMIFS(tblAuftraege[Einnahmen],tblAuftraege[Datum Einnahmen],"&gt;="&amp;AI$5,tblAuftraege[Datum Einnahmen],"&lt;"&amp;EDATE(AI$5,1),tblAuftraege[Auftrag],$A34))</f>
        <v>0</v>
      </c>
      <c r="AJ34" s="11" t="n">
        <f aca="false">IF($A34="",0,SUMIFS(tblAuftraege[Einnahmen],tblAuftraege[Datum Einnahmen],"&gt;="&amp;AJ$5,tblAuftraege[Datum Einnahmen],"&lt;"&amp;EDATE(AJ$5,1),tblAuftraege[Auftrag],$A34))</f>
        <v>0</v>
      </c>
      <c r="AK34" s="11" t="n">
        <f aca="false">IF($A34="",0,SUMIFS(tblAuftraege[Einnahmen],tblAuftraege[Datum Einnahmen],"&gt;="&amp;AK$5,tblAuftraege[Datum Einnahmen],"&lt;"&amp;EDATE(AK$5,1),tblAuftraege[Auftrag],$A34))</f>
        <v>0</v>
      </c>
      <c r="AL34" s="11" t="n">
        <f aca="false">IF($A34="",0,SUMIFS(tblAuftraege[Einnahmen],tblAuftraege[Datum Einnahmen],"&gt;="&amp;AL$5,tblAuftraege[Datum Einnahmen],"&lt;"&amp;EDATE(AL$5,1),tblAuftraege[Auftrag],$A34))</f>
        <v>0</v>
      </c>
      <c r="AM34" s="11" t="n">
        <f aca="false">IF($A34="",0,SUMIFS(tblAuftraege[Einnahmen],tblAuftraege[Datum Einnahmen],"&gt;="&amp;AM$5,tblAuftraege[Datum Einnahmen],"&lt;"&amp;EDATE(AM$5,1),tblAuftraege[Auftrag],$A34))</f>
        <v>0</v>
      </c>
      <c r="AN34" s="11" t="n">
        <f aca="false">IF($A34="",0,SUMIFS(tblAuftraege[Einnahmen],tblAuftraege[Datum Einnahmen],"&gt;="&amp;AN$5,tblAuftraege[Datum Einnahmen],"&lt;"&amp;EDATE(AN$5,1),tblAuftraege[Auftrag],$A34))</f>
        <v>0</v>
      </c>
      <c r="AO34" s="11" t="n">
        <f aca="false">IF($A34="",0,SUMIFS(tblAuftraege[Einnahmen],tblAuftraege[Datum Einnahmen],"&gt;="&amp;AO$5,tblAuftraege[Datum Einnahmen],"&lt;"&amp;EDATE(AO$5,1),tblAuftraege[Auftrag],$A34))</f>
        <v>0</v>
      </c>
      <c r="AP34" s="11" t="n">
        <f aca="false">IF($A34="",0,SUMIFS(tblAuftraege[Einnahmen],tblAuftraege[Datum Einnahmen],"&gt;="&amp;AP$5,tblAuftraege[Datum Einnahmen],"&lt;"&amp;EDATE(AP$5,1),tblAuftraege[Auftrag],$A34))</f>
        <v>0</v>
      </c>
      <c r="AQ34" s="11" t="n">
        <f aca="false">IF($A34="",0,SUMIFS(tblAuftraege[Einnahmen],tblAuftraege[Datum Einnahmen],"&gt;="&amp;AQ$5,tblAuftraege[Datum Einnahmen],"&lt;"&amp;EDATE(AQ$5,1),tblAuftraege[Auftrag],$A34))</f>
        <v>0</v>
      </c>
      <c r="AR34" s="11" t="n">
        <f aca="false">IF($A34="",0,SUMIFS(tblAuftraege[Einnahmen],tblAuftraege[Datum Einnahmen],"&gt;="&amp;AR$5,tblAuftraege[Datum Einnahmen],"&lt;"&amp;EDATE(AR$5,1),tblAuftraege[Auftrag],$A34))</f>
        <v>0</v>
      </c>
      <c r="AS34" s="11" t="n">
        <f aca="false">IF($A34="",0,SUMIFS(tblAuftraege[Einnahmen],tblAuftraege[Datum Einnahmen],"&gt;="&amp;AS$5,tblAuftraege[Datum Einnahmen],"&lt;"&amp;EDATE(AS$5,1),tblAuftraege[Auftrag],$A34))</f>
        <v>0</v>
      </c>
      <c r="AT34" s="11" t="n">
        <f aca="false">IF($A34="",0,SUMIFS(tblAuftraege[Einnahmen],tblAuftraege[Datum Einnahmen],"&gt;="&amp;AT$5,tblAuftraege[Datum Einnahmen],"&lt;"&amp;EDATE(AT$5,1),tblAuftraege[Auftrag],$A34))</f>
        <v>0</v>
      </c>
      <c r="AU34" s="11" t="n">
        <f aca="false">IF($A34="",0,SUMIFS(tblAuftraege[Einnahmen],tblAuftraege[Datum Einnahmen],"&gt;="&amp;AU$5,tblAuftraege[Datum Einnahmen],"&lt;"&amp;EDATE(AU$5,1),tblAuftraege[Auftrag],$A34))</f>
        <v>0</v>
      </c>
      <c r="AV34" s="11" t="n">
        <f aca="false">IF($A34="",0,SUMIFS(tblAuftraege[Einnahmen],tblAuftraege[Datum Einnahmen],"&gt;="&amp;AV$5,tblAuftraege[Datum Einnahmen],"&lt;"&amp;EDATE(AV$5,1),tblAuftraege[Auftrag],$A34))</f>
        <v>0</v>
      </c>
      <c r="AW34" s="11" t="n">
        <f aca="false">IF($A34="",0,SUMIFS(tblAuftraege[Einnahmen],tblAuftraege[Datum Einnahmen],"&gt;="&amp;AW$5,tblAuftraege[Datum Einnahmen],"&lt;"&amp;EDATE(AW$5,1),tblAuftraege[Auftrag],$A34))</f>
        <v>0</v>
      </c>
      <c r="AX34" s="11" t="n">
        <f aca="false">IF($A34="",0,SUMIFS(tblAuftraege[Einnahmen],tblAuftraege[Datum Einnahmen],"&gt;="&amp;AX$5,tblAuftraege[Datum Einnahmen],"&lt;"&amp;EDATE(AX$5,1),tblAuftraege[Auftrag],$A34))</f>
        <v>0</v>
      </c>
      <c r="AY34" s="11" t="n">
        <f aca="false">IF($A34="",0,SUMIFS(tblAuftraege[Einnahmen],tblAuftraege[Datum Einnahmen],"&gt;="&amp;AY$5,tblAuftraege[Datum Einnahmen],"&lt;"&amp;EDATE(AY$5,1),tblAuftraege[Auftrag],$A34))</f>
        <v>0</v>
      </c>
      <c r="AZ34" s="11" t="n">
        <f aca="false">IF($A34="",0,SUMIFS(tblAuftraege[Einnahmen],tblAuftraege[Datum Einnahmen],"&gt;="&amp;AZ$5,tblAuftraege[Datum Einnahmen],"&lt;"&amp;EDATE(AZ$5,1),tblAuftraege[Auftrag],$A34))</f>
        <v>0</v>
      </c>
      <c r="BA34" s="11" t="n">
        <f aca="false">IF($A34="",0,SUMIFS(tblAuftraege[Einnahmen],tblAuftraege[Datum Einnahmen],"&gt;="&amp;BA$5,tblAuftraege[Datum Einnahmen],"&lt;"&amp;EDATE(BA$5,1),tblAuftraege[Auftrag],$A34))</f>
        <v>0</v>
      </c>
      <c r="BB34" s="11" t="n">
        <f aca="false">IF($A34="",0,SUMIFS(tblAuftraege[Einnahmen],tblAuftraege[Datum Einnahmen],"&gt;="&amp;BB$5,tblAuftraege[Datum Einnahmen],"&lt;"&amp;EDATE(BB$5,1),tblAuftraege[Auftrag],$A34))</f>
        <v>0</v>
      </c>
      <c r="BC34" s="11" t="n">
        <f aca="false">IF($A34="",0,SUMIFS(tblAuftraege[Einnahmen],tblAuftraege[Datum Einnahmen],"&gt;="&amp;BC$5,tblAuftraege[Datum Einnahmen],"&lt;"&amp;EDATE(BC$5,1),tblAuftraege[Auftrag],$A34))</f>
        <v>0</v>
      </c>
      <c r="BD34" s="11" t="n">
        <f aca="false">IF($A34="",0,SUMIFS(tblAuftraege[Einnahmen],tblAuftraege[Datum Einnahmen],"&gt;="&amp;BD$5,tblAuftraege[Datum Einnahmen],"&lt;"&amp;EDATE(BD$5,1),tblAuftraege[Auftrag],$A34))</f>
        <v>0</v>
      </c>
      <c r="BE34" s="11" t="n">
        <f aca="false">IF($A34="",0,SUMIFS(tblAuftraege[Einnahmen],tblAuftraege[Datum Einnahmen],"&gt;="&amp;BE$5,tblAuftraege[Datum Einnahmen],"&lt;"&amp;EDATE(BE$5,1),tblAuftraege[Auftrag],$A34))</f>
        <v>0</v>
      </c>
      <c r="BF34" s="11" t="n">
        <f aca="false">IF($A34="",0,SUMIFS(tblAuftraege[Einnahmen],tblAuftraege[Datum Einnahmen],"&gt;="&amp;BF$5,tblAuftraege[Datum Einnahmen],"&lt;"&amp;EDATE(BF$5,1),tblAuftraege[Auftrag],$A34))</f>
        <v>0</v>
      </c>
      <c r="BG34" s="11" t="n">
        <f aca="false">SUM(E34:J34)</f>
        <v>0</v>
      </c>
      <c r="BH34" s="11" t="n">
        <f aca="false">SUM(K34:V34)</f>
        <v>0</v>
      </c>
      <c r="BI34" s="11" t="n">
        <f aca="false">SUM(W34:AH34)</f>
        <v>0</v>
      </c>
      <c r="BJ34" s="11" t="n">
        <f aca="false">SUM(AI34:AT34)</f>
        <v>0</v>
      </c>
      <c r="BK34" s="11" t="n">
        <f aca="false">SUM(AU34:BF34)</f>
        <v>0</v>
      </c>
      <c r="BL34" s="12" t="n">
        <f aca="false">SUM(E34:BF34)</f>
        <v>0</v>
      </c>
    </row>
    <row r="35" customFormat="false" ht="15" hidden="false" customHeight="false" outlineLevel="0" collapsed="false">
      <c r="A35" s="9"/>
      <c r="B35" s="10" t="str">
        <f aca="false">IF($A35="","",IFERROR(INDEX(tblAuftraege[Kostenstelle],MATCH($A35,tblAuftraege[Auftrag],0)),""))</f>
        <v/>
      </c>
      <c r="C35" s="10" t="str">
        <f aca="false">IF($A35="","",IFERROR(INDEX(tblAuftraege[Themenfeld],MATCH($A35,tblAuftraege[Auftrag],0)),""))</f>
        <v/>
      </c>
      <c r="D35" s="10" t="str">
        <f aca="false">IF($A35="","",IFERROR(INDEX(tblAuftraege[Kategorie],MATCH($A35,tblAuftraege[Auftrag],0)),""))</f>
        <v/>
      </c>
      <c r="E35" s="11" t="n">
        <f aca="false">IF($A35="",0,SUMIFS(tblAuftraege[Einnahmen],tblAuftraege[Datum Einnahmen],"&gt;="&amp;E$5,tblAuftraege[Datum Einnahmen],"&lt;"&amp;EDATE(E$5,1),tblAuftraege[Auftrag],$A35))</f>
        <v>0</v>
      </c>
      <c r="F35" s="11" t="n">
        <f aca="false">IF($A35="",0,SUMIFS(tblAuftraege[Einnahmen],tblAuftraege[Datum Einnahmen],"&gt;="&amp;F$5,tblAuftraege[Datum Einnahmen],"&lt;"&amp;EDATE(F$5,1),tblAuftraege[Auftrag],$A35))</f>
        <v>0</v>
      </c>
      <c r="G35" s="11" t="n">
        <f aca="false">IF($A35="",0,SUMIFS(tblAuftraege[Einnahmen],tblAuftraege[Datum Einnahmen],"&gt;="&amp;G$5,tblAuftraege[Datum Einnahmen],"&lt;"&amp;EDATE(G$5,1),tblAuftraege[Auftrag],$A35))</f>
        <v>0</v>
      </c>
      <c r="H35" s="11" t="n">
        <f aca="false">IF($A35="",0,SUMIFS(tblAuftraege[Einnahmen],tblAuftraege[Datum Einnahmen],"&gt;="&amp;H$5,tblAuftraege[Datum Einnahmen],"&lt;"&amp;EDATE(H$5,1),tblAuftraege[Auftrag],$A35))</f>
        <v>0</v>
      </c>
      <c r="I35" s="11" t="n">
        <f aca="false">IF($A35="",0,SUMIFS(tblAuftraege[Einnahmen],tblAuftraege[Datum Einnahmen],"&gt;="&amp;I$5,tblAuftraege[Datum Einnahmen],"&lt;"&amp;EDATE(I$5,1),tblAuftraege[Auftrag],$A35))</f>
        <v>0</v>
      </c>
      <c r="J35" s="11" t="n">
        <f aca="false">IF($A35="",0,SUMIFS(tblAuftraege[Einnahmen],tblAuftraege[Datum Einnahmen],"&gt;="&amp;J$5,tblAuftraege[Datum Einnahmen],"&lt;"&amp;EDATE(J$5,1),tblAuftraege[Auftrag],$A35))</f>
        <v>0</v>
      </c>
      <c r="K35" s="11" t="n">
        <f aca="false">IF($A35="",0,SUMIFS(tblAuftraege[Einnahmen],tblAuftraege[Datum Einnahmen],"&gt;="&amp;K$5,tblAuftraege[Datum Einnahmen],"&lt;"&amp;EDATE(K$5,1),tblAuftraege[Auftrag],$A35))</f>
        <v>0</v>
      </c>
      <c r="L35" s="11" t="n">
        <f aca="false">IF($A35="",0,SUMIFS(tblAuftraege[Einnahmen],tblAuftraege[Datum Einnahmen],"&gt;="&amp;L$5,tblAuftraege[Datum Einnahmen],"&lt;"&amp;EDATE(L$5,1),tblAuftraege[Auftrag],$A35))</f>
        <v>0</v>
      </c>
      <c r="M35" s="11" t="n">
        <f aca="false">IF($A35="",0,SUMIFS(tblAuftraege[Einnahmen],tblAuftraege[Datum Einnahmen],"&gt;="&amp;M$5,tblAuftraege[Datum Einnahmen],"&lt;"&amp;EDATE(M$5,1),tblAuftraege[Auftrag],$A35))</f>
        <v>0</v>
      </c>
      <c r="N35" s="11" t="n">
        <f aca="false">IF($A35="",0,SUMIFS(tblAuftraege[Einnahmen],tblAuftraege[Datum Einnahmen],"&gt;="&amp;N$5,tblAuftraege[Datum Einnahmen],"&lt;"&amp;EDATE(N$5,1),tblAuftraege[Auftrag],$A35))</f>
        <v>0</v>
      </c>
      <c r="O35" s="11" t="n">
        <f aca="false">IF($A35="",0,SUMIFS(tblAuftraege[Einnahmen],tblAuftraege[Datum Einnahmen],"&gt;="&amp;O$5,tblAuftraege[Datum Einnahmen],"&lt;"&amp;EDATE(O$5,1),tblAuftraege[Auftrag],$A35))</f>
        <v>0</v>
      </c>
      <c r="P35" s="11" t="n">
        <f aca="false">IF($A35="",0,SUMIFS(tblAuftraege[Einnahmen],tblAuftraege[Datum Einnahmen],"&gt;="&amp;P$5,tblAuftraege[Datum Einnahmen],"&lt;"&amp;EDATE(P$5,1),tblAuftraege[Auftrag],$A35))</f>
        <v>0</v>
      </c>
      <c r="Q35" s="11" t="n">
        <f aca="false">IF($A35="",0,SUMIFS(tblAuftraege[Einnahmen],tblAuftraege[Datum Einnahmen],"&gt;="&amp;Q$5,tblAuftraege[Datum Einnahmen],"&lt;"&amp;EDATE(Q$5,1),tblAuftraege[Auftrag],$A35))</f>
        <v>0</v>
      </c>
      <c r="R35" s="11" t="n">
        <f aca="false">IF($A35="",0,SUMIFS(tblAuftraege[Einnahmen],tblAuftraege[Datum Einnahmen],"&gt;="&amp;R$5,tblAuftraege[Datum Einnahmen],"&lt;"&amp;EDATE(R$5,1),tblAuftraege[Auftrag],$A35))</f>
        <v>0</v>
      </c>
      <c r="S35" s="11" t="n">
        <f aca="false">IF($A35="",0,SUMIFS(tblAuftraege[Einnahmen],tblAuftraege[Datum Einnahmen],"&gt;="&amp;S$5,tblAuftraege[Datum Einnahmen],"&lt;"&amp;EDATE(S$5,1),tblAuftraege[Auftrag],$A35))</f>
        <v>0</v>
      </c>
      <c r="T35" s="11" t="n">
        <f aca="false">IF($A35="",0,SUMIFS(tblAuftraege[Einnahmen],tblAuftraege[Datum Einnahmen],"&gt;="&amp;T$5,tblAuftraege[Datum Einnahmen],"&lt;"&amp;EDATE(T$5,1),tblAuftraege[Auftrag],$A35))</f>
        <v>0</v>
      </c>
      <c r="U35" s="11" t="n">
        <f aca="false">IF($A35="",0,SUMIFS(tblAuftraege[Einnahmen],tblAuftraege[Datum Einnahmen],"&gt;="&amp;U$5,tblAuftraege[Datum Einnahmen],"&lt;"&amp;EDATE(U$5,1),tblAuftraege[Auftrag],$A35))</f>
        <v>0</v>
      </c>
      <c r="V35" s="11" t="n">
        <f aca="false">IF($A35="",0,SUMIFS(tblAuftraege[Einnahmen],tblAuftraege[Datum Einnahmen],"&gt;="&amp;V$5,tblAuftraege[Datum Einnahmen],"&lt;"&amp;EDATE(V$5,1),tblAuftraege[Auftrag],$A35))</f>
        <v>0</v>
      </c>
      <c r="W35" s="11" t="n">
        <f aca="false">IF($A35="",0,SUMIFS(tblAuftraege[Einnahmen],tblAuftraege[Datum Einnahmen],"&gt;="&amp;W$5,tblAuftraege[Datum Einnahmen],"&lt;"&amp;EDATE(W$5,1),tblAuftraege[Auftrag],$A35))</f>
        <v>0</v>
      </c>
      <c r="X35" s="11" t="n">
        <f aca="false">IF($A35="",0,SUMIFS(tblAuftraege[Einnahmen],tblAuftraege[Datum Einnahmen],"&gt;="&amp;X$5,tblAuftraege[Datum Einnahmen],"&lt;"&amp;EDATE(X$5,1),tblAuftraege[Auftrag],$A35))</f>
        <v>0</v>
      </c>
      <c r="Y35" s="11" t="n">
        <f aca="false">IF($A35="",0,SUMIFS(tblAuftraege[Einnahmen],tblAuftraege[Datum Einnahmen],"&gt;="&amp;Y$5,tblAuftraege[Datum Einnahmen],"&lt;"&amp;EDATE(Y$5,1),tblAuftraege[Auftrag],$A35))</f>
        <v>0</v>
      </c>
      <c r="Z35" s="11" t="n">
        <f aca="false">IF($A35="",0,SUMIFS(tblAuftraege[Einnahmen],tblAuftraege[Datum Einnahmen],"&gt;="&amp;Z$5,tblAuftraege[Datum Einnahmen],"&lt;"&amp;EDATE(Z$5,1),tblAuftraege[Auftrag],$A35))</f>
        <v>0</v>
      </c>
      <c r="AA35" s="11" t="n">
        <f aca="false">IF($A35="",0,SUMIFS(tblAuftraege[Einnahmen],tblAuftraege[Datum Einnahmen],"&gt;="&amp;AA$5,tblAuftraege[Datum Einnahmen],"&lt;"&amp;EDATE(AA$5,1),tblAuftraege[Auftrag],$A35))</f>
        <v>0</v>
      </c>
      <c r="AB35" s="11" t="n">
        <f aca="false">IF($A35="",0,SUMIFS(tblAuftraege[Einnahmen],tblAuftraege[Datum Einnahmen],"&gt;="&amp;AB$5,tblAuftraege[Datum Einnahmen],"&lt;"&amp;EDATE(AB$5,1),tblAuftraege[Auftrag],$A35))</f>
        <v>0</v>
      </c>
      <c r="AC35" s="11" t="n">
        <f aca="false">IF($A35="",0,SUMIFS(tblAuftraege[Einnahmen],tblAuftraege[Datum Einnahmen],"&gt;="&amp;AC$5,tblAuftraege[Datum Einnahmen],"&lt;"&amp;EDATE(AC$5,1),tblAuftraege[Auftrag],$A35))</f>
        <v>0</v>
      </c>
      <c r="AD35" s="11" t="n">
        <f aca="false">IF($A35="",0,SUMIFS(tblAuftraege[Einnahmen],tblAuftraege[Datum Einnahmen],"&gt;="&amp;AD$5,tblAuftraege[Datum Einnahmen],"&lt;"&amp;EDATE(AD$5,1),tblAuftraege[Auftrag],$A35))</f>
        <v>0</v>
      </c>
      <c r="AE35" s="11" t="n">
        <f aca="false">IF($A35="",0,SUMIFS(tblAuftraege[Einnahmen],tblAuftraege[Datum Einnahmen],"&gt;="&amp;AE$5,tblAuftraege[Datum Einnahmen],"&lt;"&amp;EDATE(AE$5,1),tblAuftraege[Auftrag],$A35))</f>
        <v>0</v>
      </c>
      <c r="AF35" s="11" t="n">
        <f aca="false">IF($A35="",0,SUMIFS(tblAuftraege[Einnahmen],tblAuftraege[Datum Einnahmen],"&gt;="&amp;AF$5,tblAuftraege[Datum Einnahmen],"&lt;"&amp;EDATE(AF$5,1),tblAuftraege[Auftrag],$A35))</f>
        <v>0</v>
      </c>
      <c r="AG35" s="11" t="n">
        <f aca="false">IF($A35="",0,SUMIFS(tblAuftraege[Einnahmen],tblAuftraege[Datum Einnahmen],"&gt;="&amp;AG$5,tblAuftraege[Datum Einnahmen],"&lt;"&amp;EDATE(AG$5,1),tblAuftraege[Auftrag],$A35))</f>
        <v>0</v>
      </c>
      <c r="AH35" s="11" t="n">
        <f aca="false">IF($A35="",0,SUMIFS(tblAuftraege[Einnahmen],tblAuftraege[Datum Einnahmen],"&gt;="&amp;AH$5,tblAuftraege[Datum Einnahmen],"&lt;"&amp;EDATE(AH$5,1),tblAuftraege[Auftrag],$A35))</f>
        <v>0</v>
      </c>
      <c r="AI35" s="11" t="n">
        <f aca="false">IF($A35="",0,SUMIFS(tblAuftraege[Einnahmen],tblAuftraege[Datum Einnahmen],"&gt;="&amp;AI$5,tblAuftraege[Datum Einnahmen],"&lt;"&amp;EDATE(AI$5,1),tblAuftraege[Auftrag],$A35))</f>
        <v>0</v>
      </c>
      <c r="AJ35" s="11" t="n">
        <f aca="false">IF($A35="",0,SUMIFS(tblAuftraege[Einnahmen],tblAuftraege[Datum Einnahmen],"&gt;="&amp;AJ$5,tblAuftraege[Datum Einnahmen],"&lt;"&amp;EDATE(AJ$5,1),tblAuftraege[Auftrag],$A35))</f>
        <v>0</v>
      </c>
      <c r="AK35" s="11" t="n">
        <f aca="false">IF($A35="",0,SUMIFS(tblAuftraege[Einnahmen],tblAuftraege[Datum Einnahmen],"&gt;="&amp;AK$5,tblAuftraege[Datum Einnahmen],"&lt;"&amp;EDATE(AK$5,1),tblAuftraege[Auftrag],$A35))</f>
        <v>0</v>
      </c>
      <c r="AL35" s="11" t="n">
        <f aca="false">IF($A35="",0,SUMIFS(tblAuftraege[Einnahmen],tblAuftraege[Datum Einnahmen],"&gt;="&amp;AL$5,tblAuftraege[Datum Einnahmen],"&lt;"&amp;EDATE(AL$5,1),tblAuftraege[Auftrag],$A35))</f>
        <v>0</v>
      </c>
      <c r="AM35" s="11" t="n">
        <f aca="false">IF($A35="",0,SUMIFS(tblAuftraege[Einnahmen],tblAuftraege[Datum Einnahmen],"&gt;="&amp;AM$5,tblAuftraege[Datum Einnahmen],"&lt;"&amp;EDATE(AM$5,1),tblAuftraege[Auftrag],$A35))</f>
        <v>0</v>
      </c>
      <c r="AN35" s="11" t="n">
        <f aca="false">IF($A35="",0,SUMIFS(tblAuftraege[Einnahmen],tblAuftraege[Datum Einnahmen],"&gt;="&amp;AN$5,tblAuftraege[Datum Einnahmen],"&lt;"&amp;EDATE(AN$5,1),tblAuftraege[Auftrag],$A35))</f>
        <v>0</v>
      </c>
      <c r="AO35" s="11" t="n">
        <f aca="false">IF($A35="",0,SUMIFS(tblAuftraege[Einnahmen],tblAuftraege[Datum Einnahmen],"&gt;="&amp;AO$5,tblAuftraege[Datum Einnahmen],"&lt;"&amp;EDATE(AO$5,1),tblAuftraege[Auftrag],$A35))</f>
        <v>0</v>
      </c>
      <c r="AP35" s="11" t="n">
        <f aca="false">IF($A35="",0,SUMIFS(tblAuftraege[Einnahmen],tblAuftraege[Datum Einnahmen],"&gt;="&amp;AP$5,tblAuftraege[Datum Einnahmen],"&lt;"&amp;EDATE(AP$5,1),tblAuftraege[Auftrag],$A35))</f>
        <v>0</v>
      </c>
      <c r="AQ35" s="11" t="n">
        <f aca="false">IF($A35="",0,SUMIFS(tblAuftraege[Einnahmen],tblAuftraege[Datum Einnahmen],"&gt;="&amp;AQ$5,tblAuftraege[Datum Einnahmen],"&lt;"&amp;EDATE(AQ$5,1),tblAuftraege[Auftrag],$A35))</f>
        <v>0</v>
      </c>
      <c r="AR35" s="11" t="n">
        <f aca="false">IF($A35="",0,SUMIFS(tblAuftraege[Einnahmen],tblAuftraege[Datum Einnahmen],"&gt;="&amp;AR$5,tblAuftraege[Datum Einnahmen],"&lt;"&amp;EDATE(AR$5,1),tblAuftraege[Auftrag],$A35))</f>
        <v>0</v>
      </c>
      <c r="AS35" s="11" t="n">
        <f aca="false">IF($A35="",0,SUMIFS(tblAuftraege[Einnahmen],tblAuftraege[Datum Einnahmen],"&gt;="&amp;AS$5,tblAuftraege[Datum Einnahmen],"&lt;"&amp;EDATE(AS$5,1),tblAuftraege[Auftrag],$A35))</f>
        <v>0</v>
      </c>
      <c r="AT35" s="11" t="n">
        <f aca="false">IF($A35="",0,SUMIFS(tblAuftraege[Einnahmen],tblAuftraege[Datum Einnahmen],"&gt;="&amp;AT$5,tblAuftraege[Datum Einnahmen],"&lt;"&amp;EDATE(AT$5,1),tblAuftraege[Auftrag],$A35))</f>
        <v>0</v>
      </c>
      <c r="AU35" s="11" t="n">
        <f aca="false">IF($A35="",0,SUMIFS(tblAuftraege[Einnahmen],tblAuftraege[Datum Einnahmen],"&gt;="&amp;AU$5,tblAuftraege[Datum Einnahmen],"&lt;"&amp;EDATE(AU$5,1),tblAuftraege[Auftrag],$A35))</f>
        <v>0</v>
      </c>
      <c r="AV35" s="11" t="n">
        <f aca="false">IF($A35="",0,SUMIFS(tblAuftraege[Einnahmen],tblAuftraege[Datum Einnahmen],"&gt;="&amp;AV$5,tblAuftraege[Datum Einnahmen],"&lt;"&amp;EDATE(AV$5,1),tblAuftraege[Auftrag],$A35))</f>
        <v>0</v>
      </c>
      <c r="AW35" s="11" t="n">
        <f aca="false">IF($A35="",0,SUMIFS(tblAuftraege[Einnahmen],tblAuftraege[Datum Einnahmen],"&gt;="&amp;AW$5,tblAuftraege[Datum Einnahmen],"&lt;"&amp;EDATE(AW$5,1),tblAuftraege[Auftrag],$A35))</f>
        <v>0</v>
      </c>
      <c r="AX35" s="11" t="n">
        <f aca="false">IF($A35="",0,SUMIFS(tblAuftraege[Einnahmen],tblAuftraege[Datum Einnahmen],"&gt;="&amp;AX$5,tblAuftraege[Datum Einnahmen],"&lt;"&amp;EDATE(AX$5,1),tblAuftraege[Auftrag],$A35))</f>
        <v>0</v>
      </c>
      <c r="AY35" s="11" t="n">
        <f aca="false">IF($A35="",0,SUMIFS(tblAuftraege[Einnahmen],tblAuftraege[Datum Einnahmen],"&gt;="&amp;AY$5,tblAuftraege[Datum Einnahmen],"&lt;"&amp;EDATE(AY$5,1),tblAuftraege[Auftrag],$A35))</f>
        <v>0</v>
      </c>
      <c r="AZ35" s="11" t="n">
        <f aca="false">IF($A35="",0,SUMIFS(tblAuftraege[Einnahmen],tblAuftraege[Datum Einnahmen],"&gt;="&amp;AZ$5,tblAuftraege[Datum Einnahmen],"&lt;"&amp;EDATE(AZ$5,1),tblAuftraege[Auftrag],$A35))</f>
        <v>0</v>
      </c>
      <c r="BA35" s="11" t="n">
        <f aca="false">IF($A35="",0,SUMIFS(tblAuftraege[Einnahmen],tblAuftraege[Datum Einnahmen],"&gt;="&amp;BA$5,tblAuftraege[Datum Einnahmen],"&lt;"&amp;EDATE(BA$5,1),tblAuftraege[Auftrag],$A35))</f>
        <v>0</v>
      </c>
      <c r="BB35" s="11" t="n">
        <f aca="false">IF($A35="",0,SUMIFS(tblAuftraege[Einnahmen],tblAuftraege[Datum Einnahmen],"&gt;="&amp;BB$5,tblAuftraege[Datum Einnahmen],"&lt;"&amp;EDATE(BB$5,1),tblAuftraege[Auftrag],$A35))</f>
        <v>0</v>
      </c>
      <c r="BC35" s="11" t="n">
        <f aca="false">IF($A35="",0,SUMIFS(tblAuftraege[Einnahmen],tblAuftraege[Datum Einnahmen],"&gt;="&amp;BC$5,tblAuftraege[Datum Einnahmen],"&lt;"&amp;EDATE(BC$5,1),tblAuftraege[Auftrag],$A35))</f>
        <v>0</v>
      </c>
      <c r="BD35" s="11" t="n">
        <f aca="false">IF($A35="",0,SUMIFS(tblAuftraege[Einnahmen],tblAuftraege[Datum Einnahmen],"&gt;="&amp;BD$5,tblAuftraege[Datum Einnahmen],"&lt;"&amp;EDATE(BD$5,1),tblAuftraege[Auftrag],$A35))</f>
        <v>0</v>
      </c>
      <c r="BE35" s="11" t="n">
        <f aca="false">IF($A35="",0,SUMIFS(tblAuftraege[Einnahmen],tblAuftraege[Datum Einnahmen],"&gt;="&amp;BE$5,tblAuftraege[Datum Einnahmen],"&lt;"&amp;EDATE(BE$5,1),tblAuftraege[Auftrag],$A35))</f>
        <v>0</v>
      </c>
      <c r="BF35" s="11" t="n">
        <f aca="false">IF($A35="",0,SUMIFS(tblAuftraege[Einnahmen],tblAuftraege[Datum Einnahmen],"&gt;="&amp;BF$5,tblAuftraege[Datum Einnahmen],"&lt;"&amp;EDATE(BF$5,1),tblAuftraege[Auftrag],$A35))</f>
        <v>0</v>
      </c>
      <c r="BG35" s="11" t="n">
        <f aca="false">SUM(E35:J35)</f>
        <v>0</v>
      </c>
      <c r="BH35" s="11" t="n">
        <f aca="false">SUM(K35:V35)</f>
        <v>0</v>
      </c>
      <c r="BI35" s="11" t="n">
        <f aca="false">SUM(W35:AH35)</f>
        <v>0</v>
      </c>
      <c r="BJ35" s="11" t="n">
        <f aca="false">SUM(AI35:AT35)</f>
        <v>0</v>
      </c>
      <c r="BK35" s="11" t="n">
        <f aca="false">SUM(AU35:BF35)</f>
        <v>0</v>
      </c>
      <c r="BL35" s="12" t="n">
        <f aca="false">SUM(E35:BF35)</f>
        <v>0</v>
      </c>
    </row>
    <row r="36" customFormat="false" ht="15" hidden="false" customHeight="false" outlineLevel="0" collapsed="false">
      <c r="A36" s="9"/>
      <c r="B36" s="10" t="str">
        <f aca="false">IF($A36="","",IFERROR(INDEX(tblAuftraege[Kostenstelle],MATCH($A36,tblAuftraege[Auftrag],0)),""))</f>
        <v/>
      </c>
      <c r="C36" s="10" t="str">
        <f aca="false">IF($A36="","",IFERROR(INDEX(tblAuftraege[Themenfeld],MATCH($A36,tblAuftraege[Auftrag],0)),""))</f>
        <v/>
      </c>
      <c r="D36" s="10" t="str">
        <f aca="false">IF($A36="","",IFERROR(INDEX(tblAuftraege[Kategorie],MATCH($A36,tblAuftraege[Auftrag],0)),""))</f>
        <v/>
      </c>
      <c r="E36" s="11" t="n">
        <f aca="false">IF($A36="",0,SUMIFS(tblAuftraege[Einnahmen],tblAuftraege[Datum Einnahmen],"&gt;="&amp;E$5,tblAuftraege[Datum Einnahmen],"&lt;"&amp;EDATE(E$5,1),tblAuftraege[Auftrag],$A36))</f>
        <v>0</v>
      </c>
      <c r="F36" s="11" t="n">
        <f aca="false">IF($A36="",0,SUMIFS(tblAuftraege[Einnahmen],tblAuftraege[Datum Einnahmen],"&gt;="&amp;F$5,tblAuftraege[Datum Einnahmen],"&lt;"&amp;EDATE(F$5,1),tblAuftraege[Auftrag],$A36))</f>
        <v>0</v>
      </c>
      <c r="G36" s="11" t="n">
        <f aca="false">IF($A36="",0,SUMIFS(tblAuftraege[Einnahmen],tblAuftraege[Datum Einnahmen],"&gt;="&amp;G$5,tblAuftraege[Datum Einnahmen],"&lt;"&amp;EDATE(G$5,1),tblAuftraege[Auftrag],$A36))</f>
        <v>0</v>
      </c>
      <c r="H36" s="11" t="n">
        <f aca="false">IF($A36="",0,SUMIFS(tblAuftraege[Einnahmen],tblAuftraege[Datum Einnahmen],"&gt;="&amp;H$5,tblAuftraege[Datum Einnahmen],"&lt;"&amp;EDATE(H$5,1),tblAuftraege[Auftrag],$A36))</f>
        <v>0</v>
      </c>
      <c r="I36" s="11" t="n">
        <f aca="false">IF($A36="",0,SUMIFS(tblAuftraege[Einnahmen],tblAuftraege[Datum Einnahmen],"&gt;="&amp;I$5,tblAuftraege[Datum Einnahmen],"&lt;"&amp;EDATE(I$5,1),tblAuftraege[Auftrag],$A36))</f>
        <v>0</v>
      </c>
      <c r="J36" s="11" t="n">
        <f aca="false">IF($A36="",0,SUMIFS(tblAuftraege[Einnahmen],tblAuftraege[Datum Einnahmen],"&gt;="&amp;J$5,tblAuftraege[Datum Einnahmen],"&lt;"&amp;EDATE(J$5,1),tblAuftraege[Auftrag],$A36))</f>
        <v>0</v>
      </c>
      <c r="K36" s="11" t="n">
        <f aca="false">IF($A36="",0,SUMIFS(tblAuftraege[Einnahmen],tblAuftraege[Datum Einnahmen],"&gt;="&amp;K$5,tblAuftraege[Datum Einnahmen],"&lt;"&amp;EDATE(K$5,1),tblAuftraege[Auftrag],$A36))</f>
        <v>0</v>
      </c>
      <c r="L36" s="11" t="n">
        <f aca="false">IF($A36="",0,SUMIFS(tblAuftraege[Einnahmen],tblAuftraege[Datum Einnahmen],"&gt;="&amp;L$5,tblAuftraege[Datum Einnahmen],"&lt;"&amp;EDATE(L$5,1),tblAuftraege[Auftrag],$A36))</f>
        <v>0</v>
      </c>
      <c r="M36" s="11" t="n">
        <f aca="false">IF($A36="",0,SUMIFS(tblAuftraege[Einnahmen],tblAuftraege[Datum Einnahmen],"&gt;="&amp;M$5,tblAuftraege[Datum Einnahmen],"&lt;"&amp;EDATE(M$5,1),tblAuftraege[Auftrag],$A36))</f>
        <v>0</v>
      </c>
      <c r="N36" s="11" t="n">
        <f aca="false">IF($A36="",0,SUMIFS(tblAuftraege[Einnahmen],tblAuftraege[Datum Einnahmen],"&gt;="&amp;N$5,tblAuftraege[Datum Einnahmen],"&lt;"&amp;EDATE(N$5,1),tblAuftraege[Auftrag],$A36))</f>
        <v>0</v>
      </c>
      <c r="O36" s="11" t="n">
        <f aca="false">IF($A36="",0,SUMIFS(tblAuftraege[Einnahmen],tblAuftraege[Datum Einnahmen],"&gt;="&amp;O$5,tblAuftraege[Datum Einnahmen],"&lt;"&amp;EDATE(O$5,1),tblAuftraege[Auftrag],$A36))</f>
        <v>0</v>
      </c>
      <c r="P36" s="11" t="n">
        <f aca="false">IF($A36="",0,SUMIFS(tblAuftraege[Einnahmen],tblAuftraege[Datum Einnahmen],"&gt;="&amp;P$5,tblAuftraege[Datum Einnahmen],"&lt;"&amp;EDATE(P$5,1),tblAuftraege[Auftrag],$A36))</f>
        <v>0</v>
      </c>
      <c r="Q36" s="11" t="n">
        <f aca="false">IF($A36="",0,SUMIFS(tblAuftraege[Einnahmen],tblAuftraege[Datum Einnahmen],"&gt;="&amp;Q$5,tblAuftraege[Datum Einnahmen],"&lt;"&amp;EDATE(Q$5,1),tblAuftraege[Auftrag],$A36))</f>
        <v>0</v>
      </c>
      <c r="R36" s="11" t="n">
        <f aca="false">IF($A36="",0,SUMIFS(tblAuftraege[Einnahmen],tblAuftraege[Datum Einnahmen],"&gt;="&amp;R$5,tblAuftraege[Datum Einnahmen],"&lt;"&amp;EDATE(R$5,1),tblAuftraege[Auftrag],$A36))</f>
        <v>0</v>
      </c>
      <c r="S36" s="11" t="n">
        <f aca="false">IF($A36="",0,SUMIFS(tblAuftraege[Einnahmen],tblAuftraege[Datum Einnahmen],"&gt;="&amp;S$5,tblAuftraege[Datum Einnahmen],"&lt;"&amp;EDATE(S$5,1),tblAuftraege[Auftrag],$A36))</f>
        <v>0</v>
      </c>
      <c r="T36" s="11" t="n">
        <f aca="false">IF($A36="",0,SUMIFS(tblAuftraege[Einnahmen],tblAuftraege[Datum Einnahmen],"&gt;="&amp;T$5,tblAuftraege[Datum Einnahmen],"&lt;"&amp;EDATE(T$5,1),tblAuftraege[Auftrag],$A36))</f>
        <v>0</v>
      </c>
      <c r="U36" s="11" t="n">
        <f aca="false">IF($A36="",0,SUMIFS(tblAuftraege[Einnahmen],tblAuftraege[Datum Einnahmen],"&gt;="&amp;U$5,tblAuftraege[Datum Einnahmen],"&lt;"&amp;EDATE(U$5,1),tblAuftraege[Auftrag],$A36))</f>
        <v>0</v>
      </c>
      <c r="V36" s="11" t="n">
        <f aca="false">IF($A36="",0,SUMIFS(tblAuftraege[Einnahmen],tblAuftraege[Datum Einnahmen],"&gt;="&amp;V$5,tblAuftraege[Datum Einnahmen],"&lt;"&amp;EDATE(V$5,1),tblAuftraege[Auftrag],$A36))</f>
        <v>0</v>
      </c>
      <c r="W36" s="11" t="n">
        <f aca="false">IF($A36="",0,SUMIFS(tblAuftraege[Einnahmen],tblAuftraege[Datum Einnahmen],"&gt;="&amp;W$5,tblAuftraege[Datum Einnahmen],"&lt;"&amp;EDATE(W$5,1),tblAuftraege[Auftrag],$A36))</f>
        <v>0</v>
      </c>
      <c r="X36" s="11" t="n">
        <f aca="false">IF($A36="",0,SUMIFS(tblAuftraege[Einnahmen],tblAuftraege[Datum Einnahmen],"&gt;="&amp;X$5,tblAuftraege[Datum Einnahmen],"&lt;"&amp;EDATE(X$5,1),tblAuftraege[Auftrag],$A36))</f>
        <v>0</v>
      </c>
      <c r="Y36" s="11" t="n">
        <f aca="false">IF($A36="",0,SUMIFS(tblAuftraege[Einnahmen],tblAuftraege[Datum Einnahmen],"&gt;="&amp;Y$5,tblAuftraege[Datum Einnahmen],"&lt;"&amp;EDATE(Y$5,1),tblAuftraege[Auftrag],$A36))</f>
        <v>0</v>
      </c>
      <c r="Z36" s="11" t="n">
        <f aca="false">IF($A36="",0,SUMIFS(tblAuftraege[Einnahmen],tblAuftraege[Datum Einnahmen],"&gt;="&amp;Z$5,tblAuftraege[Datum Einnahmen],"&lt;"&amp;EDATE(Z$5,1),tblAuftraege[Auftrag],$A36))</f>
        <v>0</v>
      </c>
      <c r="AA36" s="11" t="n">
        <f aca="false">IF($A36="",0,SUMIFS(tblAuftraege[Einnahmen],tblAuftraege[Datum Einnahmen],"&gt;="&amp;AA$5,tblAuftraege[Datum Einnahmen],"&lt;"&amp;EDATE(AA$5,1),tblAuftraege[Auftrag],$A36))</f>
        <v>0</v>
      </c>
      <c r="AB36" s="11" t="n">
        <f aca="false">IF($A36="",0,SUMIFS(tblAuftraege[Einnahmen],tblAuftraege[Datum Einnahmen],"&gt;="&amp;AB$5,tblAuftraege[Datum Einnahmen],"&lt;"&amp;EDATE(AB$5,1),tblAuftraege[Auftrag],$A36))</f>
        <v>0</v>
      </c>
      <c r="AC36" s="11" t="n">
        <f aca="false">IF($A36="",0,SUMIFS(tblAuftraege[Einnahmen],tblAuftraege[Datum Einnahmen],"&gt;="&amp;AC$5,tblAuftraege[Datum Einnahmen],"&lt;"&amp;EDATE(AC$5,1),tblAuftraege[Auftrag],$A36))</f>
        <v>0</v>
      </c>
      <c r="AD36" s="11" t="n">
        <f aca="false">IF($A36="",0,SUMIFS(tblAuftraege[Einnahmen],tblAuftraege[Datum Einnahmen],"&gt;="&amp;AD$5,tblAuftraege[Datum Einnahmen],"&lt;"&amp;EDATE(AD$5,1),tblAuftraege[Auftrag],$A36))</f>
        <v>0</v>
      </c>
      <c r="AE36" s="11" t="n">
        <f aca="false">IF($A36="",0,SUMIFS(tblAuftraege[Einnahmen],tblAuftraege[Datum Einnahmen],"&gt;="&amp;AE$5,tblAuftraege[Datum Einnahmen],"&lt;"&amp;EDATE(AE$5,1),tblAuftraege[Auftrag],$A36))</f>
        <v>0</v>
      </c>
      <c r="AF36" s="11" t="n">
        <f aca="false">IF($A36="",0,SUMIFS(tblAuftraege[Einnahmen],tblAuftraege[Datum Einnahmen],"&gt;="&amp;AF$5,tblAuftraege[Datum Einnahmen],"&lt;"&amp;EDATE(AF$5,1),tblAuftraege[Auftrag],$A36))</f>
        <v>0</v>
      </c>
      <c r="AG36" s="11" t="n">
        <f aca="false">IF($A36="",0,SUMIFS(tblAuftraege[Einnahmen],tblAuftraege[Datum Einnahmen],"&gt;="&amp;AG$5,tblAuftraege[Datum Einnahmen],"&lt;"&amp;EDATE(AG$5,1),tblAuftraege[Auftrag],$A36))</f>
        <v>0</v>
      </c>
      <c r="AH36" s="11" t="n">
        <f aca="false">IF($A36="",0,SUMIFS(tblAuftraege[Einnahmen],tblAuftraege[Datum Einnahmen],"&gt;="&amp;AH$5,tblAuftraege[Datum Einnahmen],"&lt;"&amp;EDATE(AH$5,1),tblAuftraege[Auftrag],$A36))</f>
        <v>0</v>
      </c>
      <c r="AI36" s="11" t="n">
        <f aca="false">IF($A36="",0,SUMIFS(tblAuftraege[Einnahmen],tblAuftraege[Datum Einnahmen],"&gt;="&amp;AI$5,tblAuftraege[Datum Einnahmen],"&lt;"&amp;EDATE(AI$5,1),tblAuftraege[Auftrag],$A36))</f>
        <v>0</v>
      </c>
      <c r="AJ36" s="11" t="n">
        <f aca="false">IF($A36="",0,SUMIFS(tblAuftraege[Einnahmen],tblAuftraege[Datum Einnahmen],"&gt;="&amp;AJ$5,tblAuftraege[Datum Einnahmen],"&lt;"&amp;EDATE(AJ$5,1),tblAuftraege[Auftrag],$A36))</f>
        <v>0</v>
      </c>
      <c r="AK36" s="11" t="n">
        <f aca="false">IF($A36="",0,SUMIFS(tblAuftraege[Einnahmen],tblAuftraege[Datum Einnahmen],"&gt;="&amp;AK$5,tblAuftraege[Datum Einnahmen],"&lt;"&amp;EDATE(AK$5,1),tblAuftraege[Auftrag],$A36))</f>
        <v>0</v>
      </c>
      <c r="AL36" s="11" t="n">
        <f aca="false">IF($A36="",0,SUMIFS(tblAuftraege[Einnahmen],tblAuftraege[Datum Einnahmen],"&gt;="&amp;AL$5,tblAuftraege[Datum Einnahmen],"&lt;"&amp;EDATE(AL$5,1),tblAuftraege[Auftrag],$A36))</f>
        <v>0</v>
      </c>
      <c r="AM36" s="11" t="n">
        <f aca="false">IF($A36="",0,SUMIFS(tblAuftraege[Einnahmen],tblAuftraege[Datum Einnahmen],"&gt;="&amp;AM$5,tblAuftraege[Datum Einnahmen],"&lt;"&amp;EDATE(AM$5,1),tblAuftraege[Auftrag],$A36))</f>
        <v>0</v>
      </c>
      <c r="AN36" s="11" t="n">
        <f aca="false">IF($A36="",0,SUMIFS(tblAuftraege[Einnahmen],tblAuftraege[Datum Einnahmen],"&gt;="&amp;AN$5,tblAuftraege[Datum Einnahmen],"&lt;"&amp;EDATE(AN$5,1),tblAuftraege[Auftrag],$A36))</f>
        <v>0</v>
      </c>
      <c r="AO36" s="11" t="n">
        <f aca="false">IF($A36="",0,SUMIFS(tblAuftraege[Einnahmen],tblAuftraege[Datum Einnahmen],"&gt;="&amp;AO$5,tblAuftraege[Datum Einnahmen],"&lt;"&amp;EDATE(AO$5,1),tblAuftraege[Auftrag],$A36))</f>
        <v>0</v>
      </c>
      <c r="AP36" s="11" t="n">
        <f aca="false">IF($A36="",0,SUMIFS(tblAuftraege[Einnahmen],tblAuftraege[Datum Einnahmen],"&gt;="&amp;AP$5,tblAuftraege[Datum Einnahmen],"&lt;"&amp;EDATE(AP$5,1),tblAuftraege[Auftrag],$A36))</f>
        <v>0</v>
      </c>
      <c r="AQ36" s="11" t="n">
        <f aca="false">IF($A36="",0,SUMIFS(tblAuftraege[Einnahmen],tblAuftraege[Datum Einnahmen],"&gt;="&amp;AQ$5,tblAuftraege[Datum Einnahmen],"&lt;"&amp;EDATE(AQ$5,1),tblAuftraege[Auftrag],$A36))</f>
        <v>0</v>
      </c>
      <c r="AR36" s="11" t="n">
        <f aca="false">IF($A36="",0,SUMIFS(tblAuftraege[Einnahmen],tblAuftraege[Datum Einnahmen],"&gt;="&amp;AR$5,tblAuftraege[Datum Einnahmen],"&lt;"&amp;EDATE(AR$5,1),tblAuftraege[Auftrag],$A36))</f>
        <v>0</v>
      </c>
      <c r="AS36" s="11" t="n">
        <f aca="false">IF($A36="",0,SUMIFS(tblAuftraege[Einnahmen],tblAuftraege[Datum Einnahmen],"&gt;="&amp;AS$5,tblAuftraege[Datum Einnahmen],"&lt;"&amp;EDATE(AS$5,1),tblAuftraege[Auftrag],$A36))</f>
        <v>0</v>
      </c>
      <c r="AT36" s="11" t="n">
        <f aca="false">IF($A36="",0,SUMIFS(tblAuftraege[Einnahmen],tblAuftraege[Datum Einnahmen],"&gt;="&amp;AT$5,tblAuftraege[Datum Einnahmen],"&lt;"&amp;EDATE(AT$5,1),tblAuftraege[Auftrag],$A36))</f>
        <v>0</v>
      </c>
      <c r="AU36" s="11" t="n">
        <f aca="false">IF($A36="",0,SUMIFS(tblAuftraege[Einnahmen],tblAuftraege[Datum Einnahmen],"&gt;="&amp;AU$5,tblAuftraege[Datum Einnahmen],"&lt;"&amp;EDATE(AU$5,1),tblAuftraege[Auftrag],$A36))</f>
        <v>0</v>
      </c>
      <c r="AV36" s="11" t="n">
        <f aca="false">IF($A36="",0,SUMIFS(tblAuftraege[Einnahmen],tblAuftraege[Datum Einnahmen],"&gt;="&amp;AV$5,tblAuftraege[Datum Einnahmen],"&lt;"&amp;EDATE(AV$5,1),tblAuftraege[Auftrag],$A36))</f>
        <v>0</v>
      </c>
      <c r="AW36" s="11" t="n">
        <f aca="false">IF($A36="",0,SUMIFS(tblAuftraege[Einnahmen],tblAuftraege[Datum Einnahmen],"&gt;="&amp;AW$5,tblAuftraege[Datum Einnahmen],"&lt;"&amp;EDATE(AW$5,1),tblAuftraege[Auftrag],$A36))</f>
        <v>0</v>
      </c>
      <c r="AX36" s="11" t="n">
        <f aca="false">IF($A36="",0,SUMIFS(tblAuftraege[Einnahmen],tblAuftraege[Datum Einnahmen],"&gt;="&amp;AX$5,tblAuftraege[Datum Einnahmen],"&lt;"&amp;EDATE(AX$5,1),tblAuftraege[Auftrag],$A36))</f>
        <v>0</v>
      </c>
      <c r="AY36" s="11" t="n">
        <f aca="false">IF($A36="",0,SUMIFS(tblAuftraege[Einnahmen],tblAuftraege[Datum Einnahmen],"&gt;="&amp;AY$5,tblAuftraege[Datum Einnahmen],"&lt;"&amp;EDATE(AY$5,1),tblAuftraege[Auftrag],$A36))</f>
        <v>0</v>
      </c>
      <c r="AZ36" s="11" t="n">
        <f aca="false">IF($A36="",0,SUMIFS(tblAuftraege[Einnahmen],tblAuftraege[Datum Einnahmen],"&gt;="&amp;AZ$5,tblAuftraege[Datum Einnahmen],"&lt;"&amp;EDATE(AZ$5,1),tblAuftraege[Auftrag],$A36))</f>
        <v>0</v>
      </c>
      <c r="BA36" s="11" t="n">
        <f aca="false">IF($A36="",0,SUMIFS(tblAuftraege[Einnahmen],tblAuftraege[Datum Einnahmen],"&gt;="&amp;BA$5,tblAuftraege[Datum Einnahmen],"&lt;"&amp;EDATE(BA$5,1),tblAuftraege[Auftrag],$A36))</f>
        <v>0</v>
      </c>
      <c r="BB36" s="11" t="n">
        <f aca="false">IF($A36="",0,SUMIFS(tblAuftraege[Einnahmen],tblAuftraege[Datum Einnahmen],"&gt;="&amp;BB$5,tblAuftraege[Datum Einnahmen],"&lt;"&amp;EDATE(BB$5,1),tblAuftraege[Auftrag],$A36))</f>
        <v>0</v>
      </c>
      <c r="BC36" s="11" t="n">
        <f aca="false">IF($A36="",0,SUMIFS(tblAuftraege[Einnahmen],tblAuftraege[Datum Einnahmen],"&gt;="&amp;BC$5,tblAuftraege[Datum Einnahmen],"&lt;"&amp;EDATE(BC$5,1),tblAuftraege[Auftrag],$A36))</f>
        <v>0</v>
      </c>
      <c r="BD36" s="11" t="n">
        <f aca="false">IF($A36="",0,SUMIFS(tblAuftraege[Einnahmen],tblAuftraege[Datum Einnahmen],"&gt;="&amp;BD$5,tblAuftraege[Datum Einnahmen],"&lt;"&amp;EDATE(BD$5,1),tblAuftraege[Auftrag],$A36))</f>
        <v>0</v>
      </c>
      <c r="BE36" s="11" t="n">
        <f aca="false">IF($A36="",0,SUMIFS(tblAuftraege[Einnahmen],tblAuftraege[Datum Einnahmen],"&gt;="&amp;BE$5,tblAuftraege[Datum Einnahmen],"&lt;"&amp;EDATE(BE$5,1),tblAuftraege[Auftrag],$A36))</f>
        <v>0</v>
      </c>
      <c r="BF36" s="11" t="n">
        <f aca="false">IF($A36="",0,SUMIFS(tblAuftraege[Einnahmen],tblAuftraege[Datum Einnahmen],"&gt;="&amp;BF$5,tblAuftraege[Datum Einnahmen],"&lt;"&amp;EDATE(BF$5,1),tblAuftraege[Auftrag],$A36))</f>
        <v>0</v>
      </c>
      <c r="BG36" s="11" t="n">
        <f aca="false">SUM(E36:J36)</f>
        <v>0</v>
      </c>
      <c r="BH36" s="11" t="n">
        <f aca="false">SUM(K36:V36)</f>
        <v>0</v>
      </c>
      <c r="BI36" s="11" t="n">
        <f aca="false">SUM(W36:AH36)</f>
        <v>0</v>
      </c>
      <c r="BJ36" s="11" t="n">
        <f aca="false">SUM(AI36:AT36)</f>
        <v>0</v>
      </c>
      <c r="BK36" s="11" t="n">
        <f aca="false">SUM(AU36:BF36)</f>
        <v>0</v>
      </c>
      <c r="BL36" s="12" t="n">
        <f aca="false">SUM(E36:BF36)</f>
        <v>0</v>
      </c>
    </row>
    <row r="37" customFormat="false" ht="15" hidden="false" customHeight="false" outlineLevel="0" collapsed="false">
      <c r="A37" s="9"/>
      <c r="B37" s="10" t="str">
        <f aca="false">IF($A37="","",IFERROR(INDEX(tblAuftraege[Kostenstelle],MATCH($A37,tblAuftraege[Auftrag],0)),""))</f>
        <v/>
      </c>
      <c r="C37" s="10" t="str">
        <f aca="false">IF($A37="","",IFERROR(INDEX(tblAuftraege[Themenfeld],MATCH($A37,tblAuftraege[Auftrag],0)),""))</f>
        <v/>
      </c>
      <c r="D37" s="10" t="str">
        <f aca="false">IF($A37="","",IFERROR(INDEX(tblAuftraege[Kategorie],MATCH($A37,tblAuftraege[Auftrag],0)),""))</f>
        <v/>
      </c>
      <c r="E37" s="11" t="n">
        <f aca="false">IF($A37="",0,SUMIFS(tblAuftraege[Einnahmen],tblAuftraege[Datum Einnahmen],"&gt;="&amp;E$5,tblAuftraege[Datum Einnahmen],"&lt;"&amp;EDATE(E$5,1),tblAuftraege[Auftrag],$A37))</f>
        <v>0</v>
      </c>
      <c r="F37" s="11" t="n">
        <f aca="false">IF($A37="",0,SUMIFS(tblAuftraege[Einnahmen],tblAuftraege[Datum Einnahmen],"&gt;="&amp;F$5,tblAuftraege[Datum Einnahmen],"&lt;"&amp;EDATE(F$5,1),tblAuftraege[Auftrag],$A37))</f>
        <v>0</v>
      </c>
      <c r="G37" s="11" t="n">
        <f aca="false">IF($A37="",0,SUMIFS(tblAuftraege[Einnahmen],tblAuftraege[Datum Einnahmen],"&gt;="&amp;G$5,tblAuftraege[Datum Einnahmen],"&lt;"&amp;EDATE(G$5,1),tblAuftraege[Auftrag],$A37))</f>
        <v>0</v>
      </c>
      <c r="H37" s="11" t="n">
        <f aca="false">IF($A37="",0,SUMIFS(tblAuftraege[Einnahmen],tblAuftraege[Datum Einnahmen],"&gt;="&amp;H$5,tblAuftraege[Datum Einnahmen],"&lt;"&amp;EDATE(H$5,1),tblAuftraege[Auftrag],$A37))</f>
        <v>0</v>
      </c>
      <c r="I37" s="11" t="n">
        <f aca="false">IF($A37="",0,SUMIFS(tblAuftraege[Einnahmen],tblAuftraege[Datum Einnahmen],"&gt;="&amp;I$5,tblAuftraege[Datum Einnahmen],"&lt;"&amp;EDATE(I$5,1),tblAuftraege[Auftrag],$A37))</f>
        <v>0</v>
      </c>
      <c r="J37" s="11" t="n">
        <f aca="false">IF($A37="",0,SUMIFS(tblAuftraege[Einnahmen],tblAuftraege[Datum Einnahmen],"&gt;="&amp;J$5,tblAuftraege[Datum Einnahmen],"&lt;"&amp;EDATE(J$5,1),tblAuftraege[Auftrag],$A37))</f>
        <v>0</v>
      </c>
      <c r="K37" s="11" t="n">
        <f aca="false">IF($A37="",0,SUMIFS(tblAuftraege[Einnahmen],tblAuftraege[Datum Einnahmen],"&gt;="&amp;K$5,tblAuftraege[Datum Einnahmen],"&lt;"&amp;EDATE(K$5,1),tblAuftraege[Auftrag],$A37))</f>
        <v>0</v>
      </c>
      <c r="L37" s="11" t="n">
        <f aca="false">IF($A37="",0,SUMIFS(tblAuftraege[Einnahmen],tblAuftraege[Datum Einnahmen],"&gt;="&amp;L$5,tblAuftraege[Datum Einnahmen],"&lt;"&amp;EDATE(L$5,1),tblAuftraege[Auftrag],$A37))</f>
        <v>0</v>
      </c>
      <c r="M37" s="11" t="n">
        <f aca="false">IF($A37="",0,SUMIFS(tblAuftraege[Einnahmen],tblAuftraege[Datum Einnahmen],"&gt;="&amp;M$5,tblAuftraege[Datum Einnahmen],"&lt;"&amp;EDATE(M$5,1),tblAuftraege[Auftrag],$A37))</f>
        <v>0</v>
      </c>
      <c r="N37" s="11" t="n">
        <f aca="false">IF($A37="",0,SUMIFS(tblAuftraege[Einnahmen],tblAuftraege[Datum Einnahmen],"&gt;="&amp;N$5,tblAuftraege[Datum Einnahmen],"&lt;"&amp;EDATE(N$5,1),tblAuftraege[Auftrag],$A37))</f>
        <v>0</v>
      </c>
      <c r="O37" s="11" t="n">
        <f aca="false">IF($A37="",0,SUMIFS(tblAuftraege[Einnahmen],tblAuftraege[Datum Einnahmen],"&gt;="&amp;O$5,tblAuftraege[Datum Einnahmen],"&lt;"&amp;EDATE(O$5,1),tblAuftraege[Auftrag],$A37))</f>
        <v>0</v>
      </c>
      <c r="P37" s="11" t="n">
        <f aca="false">IF($A37="",0,SUMIFS(tblAuftraege[Einnahmen],tblAuftraege[Datum Einnahmen],"&gt;="&amp;P$5,tblAuftraege[Datum Einnahmen],"&lt;"&amp;EDATE(P$5,1),tblAuftraege[Auftrag],$A37))</f>
        <v>0</v>
      </c>
      <c r="Q37" s="11" t="n">
        <f aca="false">IF($A37="",0,SUMIFS(tblAuftraege[Einnahmen],tblAuftraege[Datum Einnahmen],"&gt;="&amp;Q$5,tblAuftraege[Datum Einnahmen],"&lt;"&amp;EDATE(Q$5,1),tblAuftraege[Auftrag],$A37))</f>
        <v>0</v>
      </c>
      <c r="R37" s="11" t="n">
        <f aca="false">IF($A37="",0,SUMIFS(tblAuftraege[Einnahmen],tblAuftraege[Datum Einnahmen],"&gt;="&amp;R$5,tblAuftraege[Datum Einnahmen],"&lt;"&amp;EDATE(R$5,1),tblAuftraege[Auftrag],$A37))</f>
        <v>0</v>
      </c>
      <c r="S37" s="11" t="n">
        <f aca="false">IF($A37="",0,SUMIFS(tblAuftraege[Einnahmen],tblAuftraege[Datum Einnahmen],"&gt;="&amp;S$5,tblAuftraege[Datum Einnahmen],"&lt;"&amp;EDATE(S$5,1),tblAuftraege[Auftrag],$A37))</f>
        <v>0</v>
      </c>
      <c r="T37" s="11" t="n">
        <f aca="false">IF($A37="",0,SUMIFS(tblAuftraege[Einnahmen],tblAuftraege[Datum Einnahmen],"&gt;="&amp;T$5,tblAuftraege[Datum Einnahmen],"&lt;"&amp;EDATE(T$5,1),tblAuftraege[Auftrag],$A37))</f>
        <v>0</v>
      </c>
      <c r="U37" s="11" t="n">
        <f aca="false">IF($A37="",0,SUMIFS(tblAuftraege[Einnahmen],tblAuftraege[Datum Einnahmen],"&gt;="&amp;U$5,tblAuftraege[Datum Einnahmen],"&lt;"&amp;EDATE(U$5,1),tblAuftraege[Auftrag],$A37))</f>
        <v>0</v>
      </c>
      <c r="V37" s="11" t="n">
        <f aca="false">IF($A37="",0,SUMIFS(tblAuftraege[Einnahmen],tblAuftraege[Datum Einnahmen],"&gt;="&amp;V$5,tblAuftraege[Datum Einnahmen],"&lt;"&amp;EDATE(V$5,1),tblAuftraege[Auftrag],$A37))</f>
        <v>0</v>
      </c>
      <c r="W37" s="11" t="n">
        <f aca="false">IF($A37="",0,SUMIFS(tblAuftraege[Einnahmen],tblAuftraege[Datum Einnahmen],"&gt;="&amp;W$5,tblAuftraege[Datum Einnahmen],"&lt;"&amp;EDATE(W$5,1),tblAuftraege[Auftrag],$A37))</f>
        <v>0</v>
      </c>
      <c r="X37" s="11" t="n">
        <f aca="false">IF($A37="",0,SUMIFS(tblAuftraege[Einnahmen],tblAuftraege[Datum Einnahmen],"&gt;="&amp;X$5,tblAuftraege[Datum Einnahmen],"&lt;"&amp;EDATE(X$5,1),tblAuftraege[Auftrag],$A37))</f>
        <v>0</v>
      </c>
      <c r="Y37" s="11" t="n">
        <f aca="false">IF($A37="",0,SUMIFS(tblAuftraege[Einnahmen],tblAuftraege[Datum Einnahmen],"&gt;="&amp;Y$5,tblAuftraege[Datum Einnahmen],"&lt;"&amp;EDATE(Y$5,1),tblAuftraege[Auftrag],$A37))</f>
        <v>0</v>
      </c>
      <c r="Z37" s="11" t="n">
        <f aca="false">IF($A37="",0,SUMIFS(tblAuftraege[Einnahmen],tblAuftraege[Datum Einnahmen],"&gt;="&amp;Z$5,tblAuftraege[Datum Einnahmen],"&lt;"&amp;EDATE(Z$5,1),tblAuftraege[Auftrag],$A37))</f>
        <v>0</v>
      </c>
      <c r="AA37" s="11" t="n">
        <f aca="false">IF($A37="",0,SUMIFS(tblAuftraege[Einnahmen],tblAuftraege[Datum Einnahmen],"&gt;="&amp;AA$5,tblAuftraege[Datum Einnahmen],"&lt;"&amp;EDATE(AA$5,1),tblAuftraege[Auftrag],$A37))</f>
        <v>0</v>
      </c>
      <c r="AB37" s="11" t="n">
        <f aca="false">IF($A37="",0,SUMIFS(tblAuftraege[Einnahmen],tblAuftraege[Datum Einnahmen],"&gt;="&amp;AB$5,tblAuftraege[Datum Einnahmen],"&lt;"&amp;EDATE(AB$5,1),tblAuftraege[Auftrag],$A37))</f>
        <v>0</v>
      </c>
      <c r="AC37" s="11" t="n">
        <f aca="false">IF($A37="",0,SUMIFS(tblAuftraege[Einnahmen],tblAuftraege[Datum Einnahmen],"&gt;="&amp;AC$5,tblAuftraege[Datum Einnahmen],"&lt;"&amp;EDATE(AC$5,1),tblAuftraege[Auftrag],$A37))</f>
        <v>0</v>
      </c>
      <c r="AD37" s="11" t="n">
        <f aca="false">IF($A37="",0,SUMIFS(tblAuftraege[Einnahmen],tblAuftraege[Datum Einnahmen],"&gt;="&amp;AD$5,tblAuftraege[Datum Einnahmen],"&lt;"&amp;EDATE(AD$5,1),tblAuftraege[Auftrag],$A37))</f>
        <v>0</v>
      </c>
      <c r="AE37" s="11" t="n">
        <f aca="false">IF($A37="",0,SUMIFS(tblAuftraege[Einnahmen],tblAuftraege[Datum Einnahmen],"&gt;="&amp;AE$5,tblAuftraege[Datum Einnahmen],"&lt;"&amp;EDATE(AE$5,1),tblAuftraege[Auftrag],$A37))</f>
        <v>0</v>
      </c>
      <c r="AF37" s="11" t="n">
        <f aca="false">IF($A37="",0,SUMIFS(tblAuftraege[Einnahmen],tblAuftraege[Datum Einnahmen],"&gt;="&amp;AF$5,tblAuftraege[Datum Einnahmen],"&lt;"&amp;EDATE(AF$5,1),tblAuftraege[Auftrag],$A37))</f>
        <v>0</v>
      </c>
      <c r="AG37" s="11" t="n">
        <f aca="false">IF($A37="",0,SUMIFS(tblAuftraege[Einnahmen],tblAuftraege[Datum Einnahmen],"&gt;="&amp;AG$5,tblAuftraege[Datum Einnahmen],"&lt;"&amp;EDATE(AG$5,1),tblAuftraege[Auftrag],$A37))</f>
        <v>0</v>
      </c>
      <c r="AH37" s="11" t="n">
        <f aca="false">IF($A37="",0,SUMIFS(tblAuftraege[Einnahmen],tblAuftraege[Datum Einnahmen],"&gt;="&amp;AH$5,tblAuftraege[Datum Einnahmen],"&lt;"&amp;EDATE(AH$5,1),tblAuftraege[Auftrag],$A37))</f>
        <v>0</v>
      </c>
      <c r="AI37" s="11" t="n">
        <f aca="false">IF($A37="",0,SUMIFS(tblAuftraege[Einnahmen],tblAuftraege[Datum Einnahmen],"&gt;="&amp;AI$5,tblAuftraege[Datum Einnahmen],"&lt;"&amp;EDATE(AI$5,1),tblAuftraege[Auftrag],$A37))</f>
        <v>0</v>
      </c>
      <c r="AJ37" s="11" t="n">
        <f aca="false">IF($A37="",0,SUMIFS(tblAuftraege[Einnahmen],tblAuftraege[Datum Einnahmen],"&gt;="&amp;AJ$5,tblAuftraege[Datum Einnahmen],"&lt;"&amp;EDATE(AJ$5,1),tblAuftraege[Auftrag],$A37))</f>
        <v>0</v>
      </c>
      <c r="AK37" s="11" t="n">
        <f aca="false">IF($A37="",0,SUMIFS(tblAuftraege[Einnahmen],tblAuftraege[Datum Einnahmen],"&gt;="&amp;AK$5,tblAuftraege[Datum Einnahmen],"&lt;"&amp;EDATE(AK$5,1),tblAuftraege[Auftrag],$A37))</f>
        <v>0</v>
      </c>
      <c r="AL37" s="11" t="n">
        <f aca="false">IF($A37="",0,SUMIFS(tblAuftraege[Einnahmen],tblAuftraege[Datum Einnahmen],"&gt;="&amp;AL$5,tblAuftraege[Datum Einnahmen],"&lt;"&amp;EDATE(AL$5,1),tblAuftraege[Auftrag],$A37))</f>
        <v>0</v>
      </c>
      <c r="AM37" s="11" t="n">
        <f aca="false">IF($A37="",0,SUMIFS(tblAuftraege[Einnahmen],tblAuftraege[Datum Einnahmen],"&gt;="&amp;AM$5,tblAuftraege[Datum Einnahmen],"&lt;"&amp;EDATE(AM$5,1),tblAuftraege[Auftrag],$A37))</f>
        <v>0</v>
      </c>
      <c r="AN37" s="11" t="n">
        <f aca="false">IF($A37="",0,SUMIFS(tblAuftraege[Einnahmen],tblAuftraege[Datum Einnahmen],"&gt;="&amp;AN$5,tblAuftraege[Datum Einnahmen],"&lt;"&amp;EDATE(AN$5,1),tblAuftraege[Auftrag],$A37))</f>
        <v>0</v>
      </c>
      <c r="AO37" s="11" t="n">
        <f aca="false">IF($A37="",0,SUMIFS(tblAuftraege[Einnahmen],tblAuftraege[Datum Einnahmen],"&gt;="&amp;AO$5,tblAuftraege[Datum Einnahmen],"&lt;"&amp;EDATE(AO$5,1),tblAuftraege[Auftrag],$A37))</f>
        <v>0</v>
      </c>
      <c r="AP37" s="11" t="n">
        <f aca="false">IF($A37="",0,SUMIFS(tblAuftraege[Einnahmen],tblAuftraege[Datum Einnahmen],"&gt;="&amp;AP$5,tblAuftraege[Datum Einnahmen],"&lt;"&amp;EDATE(AP$5,1),tblAuftraege[Auftrag],$A37))</f>
        <v>0</v>
      </c>
      <c r="AQ37" s="11" t="n">
        <f aca="false">IF($A37="",0,SUMIFS(tblAuftraege[Einnahmen],tblAuftraege[Datum Einnahmen],"&gt;="&amp;AQ$5,tblAuftraege[Datum Einnahmen],"&lt;"&amp;EDATE(AQ$5,1),tblAuftraege[Auftrag],$A37))</f>
        <v>0</v>
      </c>
      <c r="AR37" s="11" t="n">
        <f aca="false">IF($A37="",0,SUMIFS(tblAuftraege[Einnahmen],tblAuftraege[Datum Einnahmen],"&gt;="&amp;AR$5,tblAuftraege[Datum Einnahmen],"&lt;"&amp;EDATE(AR$5,1),tblAuftraege[Auftrag],$A37))</f>
        <v>0</v>
      </c>
      <c r="AS37" s="11" t="n">
        <f aca="false">IF($A37="",0,SUMIFS(tblAuftraege[Einnahmen],tblAuftraege[Datum Einnahmen],"&gt;="&amp;AS$5,tblAuftraege[Datum Einnahmen],"&lt;"&amp;EDATE(AS$5,1),tblAuftraege[Auftrag],$A37))</f>
        <v>0</v>
      </c>
      <c r="AT37" s="11" t="n">
        <f aca="false">IF($A37="",0,SUMIFS(tblAuftraege[Einnahmen],tblAuftraege[Datum Einnahmen],"&gt;="&amp;AT$5,tblAuftraege[Datum Einnahmen],"&lt;"&amp;EDATE(AT$5,1),tblAuftraege[Auftrag],$A37))</f>
        <v>0</v>
      </c>
      <c r="AU37" s="11" t="n">
        <f aca="false">IF($A37="",0,SUMIFS(tblAuftraege[Einnahmen],tblAuftraege[Datum Einnahmen],"&gt;="&amp;AU$5,tblAuftraege[Datum Einnahmen],"&lt;"&amp;EDATE(AU$5,1),tblAuftraege[Auftrag],$A37))</f>
        <v>0</v>
      </c>
      <c r="AV37" s="11" t="n">
        <f aca="false">IF($A37="",0,SUMIFS(tblAuftraege[Einnahmen],tblAuftraege[Datum Einnahmen],"&gt;="&amp;AV$5,tblAuftraege[Datum Einnahmen],"&lt;"&amp;EDATE(AV$5,1),tblAuftraege[Auftrag],$A37))</f>
        <v>0</v>
      </c>
      <c r="AW37" s="11" t="n">
        <f aca="false">IF($A37="",0,SUMIFS(tblAuftraege[Einnahmen],tblAuftraege[Datum Einnahmen],"&gt;="&amp;AW$5,tblAuftraege[Datum Einnahmen],"&lt;"&amp;EDATE(AW$5,1),tblAuftraege[Auftrag],$A37))</f>
        <v>0</v>
      </c>
      <c r="AX37" s="11" t="n">
        <f aca="false">IF($A37="",0,SUMIFS(tblAuftraege[Einnahmen],tblAuftraege[Datum Einnahmen],"&gt;="&amp;AX$5,tblAuftraege[Datum Einnahmen],"&lt;"&amp;EDATE(AX$5,1),tblAuftraege[Auftrag],$A37))</f>
        <v>0</v>
      </c>
      <c r="AY37" s="11" t="n">
        <f aca="false">IF($A37="",0,SUMIFS(tblAuftraege[Einnahmen],tblAuftraege[Datum Einnahmen],"&gt;="&amp;AY$5,tblAuftraege[Datum Einnahmen],"&lt;"&amp;EDATE(AY$5,1),tblAuftraege[Auftrag],$A37))</f>
        <v>0</v>
      </c>
      <c r="AZ37" s="11" t="n">
        <f aca="false">IF($A37="",0,SUMIFS(tblAuftraege[Einnahmen],tblAuftraege[Datum Einnahmen],"&gt;="&amp;AZ$5,tblAuftraege[Datum Einnahmen],"&lt;"&amp;EDATE(AZ$5,1),tblAuftraege[Auftrag],$A37))</f>
        <v>0</v>
      </c>
      <c r="BA37" s="11" t="n">
        <f aca="false">IF($A37="",0,SUMIFS(tblAuftraege[Einnahmen],tblAuftraege[Datum Einnahmen],"&gt;="&amp;BA$5,tblAuftraege[Datum Einnahmen],"&lt;"&amp;EDATE(BA$5,1),tblAuftraege[Auftrag],$A37))</f>
        <v>0</v>
      </c>
      <c r="BB37" s="11" t="n">
        <f aca="false">IF($A37="",0,SUMIFS(tblAuftraege[Einnahmen],tblAuftraege[Datum Einnahmen],"&gt;="&amp;BB$5,tblAuftraege[Datum Einnahmen],"&lt;"&amp;EDATE(BB$5,1),tblAuftraege[Auftrag],$A37))</f>
        <v>0</v>
      </c>
      <c r="BC37" s="11" t="n">
        <f aca="false">IF($A37="",0,SUMIFS(tblAuftraege[Einnahmen],tblAuftraege[Datum Einnahmen],"&gt;="&amp;BC$5,tblAuftraege[Datum Einnahmen],"&lt;"&amp;EDATE(BC$5,1),tblAuftraege[Auftrag],$A37))</f>
        <v>0</v>
      </c>
      <c r="BD37" s="11" t="n">
        <f aca="false">IF($A37="",0,SUMIFS(tblAuftraege[Einnahmen],tblAuftraege[Datum Einnahmen],"&gt;="&amp;BD$5,tblAuftraege[Datum Einnahmen],"&lt;"&amp;EDATE(BD$5,1),tblAuftraege[Auftrag],$A37))</f>
        <v>0</v>
      </c>
      <c r="BE37" s="11" t="n">
        <f aca="false">IF($A37="",0,SUMIFS(tblAuftraege[Einnahmen],tblAuftraege[Datum Einnahmen],"&gt;="&amp;BE$5,tblAuftraege[Datum Einnahmen],"&lt;"&amp;EDATE(BE$5,1),tblAuftraege[Auftrag],$A37))</f>
        <v>0</v>
      </c>
      <c r="BF37" s="11" t="n">
        <f aca="false">IF($A37="",0,SUMIFS(tblAuftraege[Einnahmen],tblAuftraege[Datum Einnahmen],"&gt;="&amp;BF$5,tblAuftraege[Datum Einnahmen],"&lt;"&amp;EDATE(BF$5,1),tblAuftraege[Auftrag],$A37))</f>
        <v>0</v>
      </c>
      <c r="BG37" s="11" t="n">
        <f aca="false">SUM(E37:J37)</f>
        <v>0</v>
      </c>
      <c r="BH37" s="11" t="n">
        <f aca="false">SUM(K37:V37)</f>
        <v>0</v>
      </c>
      <c r="BI37" s="11" t="n">
        <f aca="false">SUM(W37:AH37)</f>
        <v>0</v>
      </c>
      <c r="BJ37" s="11" t="n">
        <f aca="false">SUM(AI37:AT37)</f>
        <v>0</v>
      </c>
      <c r="BK37" s="11" t="n">
        <f aca="false">SUM(AU37:BF37)</f>
        <v>0</v>
      </c>
      <c r="BL37" s="12" t="n">
        <f aca="false">SUM(E37:BF37)</f>
        <v>0</v>
      </c>
    </row>
    <row r="38" customFormat="false" ht="15" hidden="false" customHeight="false" outlineLevel="0" collapsed="false">
      <c r="A38" s="9"/>
      <c r="B38" s="10" t="str">
        <f aca="false">IF($A38="","",IFERROR(INDEX(tblAuftraege[Kostenstelle],MATCH($A38,tblAuftraege[Auftrag],0)),""))</f>
        <v/>
      </c>
      <c r="C38" s="10" t="str">
        <f aca="false">IF($A38="","",IFERROR(INDEX(tblAuftraege[Themenfeld],MATCH($A38,tblAuftraege[Auftrag],0)),""))</f>
        <v/>
      </c>
      <c r="D38" s="10" t="str">
        <f aca="false">IF($A38="","",IFERROR(INDEX(tblAuftraege[Kategorie],MATCH($A38,tblAuftraege[Auftrag],0)),""))</f>
        <v/>
      </c>
      <c r="E38" s="11" t="n">
        <f aca="false">IF($A38="",0,SUMIFS(tblAuftraege[Einnahmen],tblAuftraege[Datum Einnahmen],"&gt;="&amp;E$5,tblAuftraege[Datum Einnahmen],"&lt;"&amp;EDATE(E$5,1),tblAuftraege[Auftrag],$A38))</f>
        <v>0</v>
      </c>
      <c r="F38" s="11" t="n">
        <f aca="false">IF($A38="",0,SUMIFS(tblAuftraege[Einnahmen],tblAuftraege[Datum Einnahmen],"&gt;="&amp;F$5,tblAuftraege[Datum Einnahmen],"&lt;"&amp;EDATE(F$5,1),tblAuftraege[Auftrag],$A38))</f>
        <v>0</v>
      </c>
      <c r="G38" s="11" t="n">
        <f aca="false">IF($A38="",0,SUMIFS(tblAuftraege[Einnahmen],tblAuftraege[Datum Einnahmen],"&gt;="&amp;G$5,tblAuftraege[Datum Einnahmen],"&lt;"&amp;EDATE(G$5,1),tblAuftraege[Auftrag],$A38))</f>
        <v>0</v>
      </c>
      <c r="H38" s="11" t="n">
        <f aca="false">IF($A38="",0,SUMIFS(tblAuftraege[Einnahmen],tblAuftraege[Datum Einnahmen],"&gt;="&amp;H$5,tblAuftraege[Datum Einnahmen],"&lt;"&amp;EDATE(H$5,1),tblAuftraege[Auftrag],$A38))</f>
        <v>0</v>
      </c>
      <c r="I38" s="11" t="n">
        <f aca="false">IF($A38="",0,SUMIFS(tblAuftraege[Einnahmen],tblAuftraege[Datum Einnahmen],"&gt;="&amp;I$5,tblAuftraege[Datum Einnahmen],"&lt;"&amp;EDATE(I$5,1),tblAuftraege[Auftrag],$A38))</f>
        <v>0</v>
      </c>
      <c r="J38" s="11" t="n">
        <f aca="false">IF($A38="",0,SUMIFS(tblAuftraege[Einnahmen],tblAuftraege[Datum Einnahmen],"&gt;="&amp;J$5,tblAuftraege[Datum Einnahmen],"&lt;"&amp;EDATE(J$5,1),tblAuftraege[Auftrag],$A38))</f>
        <v>0</v>
      </c>
      <c r="K38" s="11" t="n">
        <f aca="false">IF($A38="",0,SUMIFS(tblAuftraege[Einnahmen],tblAuftraege[Datum Einnahmen],"&gt;="&amp;K$5,tblAuftraege[Datum Einnahmen],"&lt;"&amp;EDATE(K$5,1),tblAuftraege[Auftrag],$A38))</f>
        <v>0</v>
      </c>
      <c r="L38" s="11" t="n">
        <f aca="false">IF($A38="",0,SUMIFS(tblAuftraege[Einnahmen],tblAuftraege[Datum Einnahmen],"&gt;="&amp;L$5,tblAuftraege[Datum Einnahmen],"&lt;"&amp;EDATE(L$5,1),tblAuftraege[Auftrag],$A38))</f>
        <v>0</v>
      </c>
      <c r="M38" s="11" t="n">
        <f aca="false">IF($A38="",0,SUMIFS(tblAuftraege[Einnahmen],tblAuftraege[Datum Einnahmen],"&gt;="&amp;M$5,tblAuftraege[Datum Einnahmen],"&lt;"&amp;EDATE(M$5,1),tblAuftraege[Auftrag],$A38))</f>
        <v>0</v>
      </c>
      <c r="N38" s="11" t="n">
        <f aca="false">IF($A38="",0,SUMIFS(tblAuftraege[Einnahmen],tblAuftraege[Datum Einnahmen],"&gt;="&amp;N$5,tblAuftraege[Datum Einnahmen],"&lt;"&amp;EDATE(N$5,1),tblAuftraege[Auftrag],$A38))</f>
        <v>0</v>
      </c>
      <c r="O38" s="11" t="n">
        <f aca="false">IF($A38="",0,SUMIFS(tblAuftraege[Einnahmen],tblAuftraege[Datum Einnahmen],"&gt;="&amp;O$5,tblAuftraege[Datum Einnahmen],"&lt;"&amp;EDATE(O$5,1),tblAuftraege[Auftrag],$A38))</f>
        <v>0</v>
      </c>
      <c r="P38" s="11" t="n">
        <f aca="false">IF($A38="",0,SUMIFS(tblAuftraege[Einnahmen],tblAuftraege[Datum Einnahmen],"&gt;="&amp;P$5,tblAuftraege[Datum Einnahmen],"&lt;"&amp;EDATE(P$5,1),tblAuftraege[Auftrag],$A38))</f>
        <v>0</v>
      </c>
      <c r="Q38" s="11" t="n">
        <f aca="false">IF($A38="",0,SUMIFS(tblAuftraege[Einnahmen],tblAuftraege[Datum Einnahmen],"&gt;="&amp;Q$5,tblAuftraege[Datum Einnahmen],"&lt;"&amp;EDATE(Q$5,1),tblAuftraege[Auftrag],$A38))</f>
        <v>0</v>
      </c>
      <c r="R38" s="11" t="n">
        <f aca="false">IF($A38="",0,SUMIFS(tblAuftraege[Einnahmen],tblAuftraege[Datum Einnahmen],"&gt;="&amp;R$5,tblAuftraege[Datum Einnahmen],"&lt;"&amp;EDATE(R$5,1),tblAuftraege[Auftrag],$A38))</f>
        <v>0</v>
      </c>
      <c r="S38" s="11" t="n">
        <f aca="false">IF($A38="",0,SUMIFS(tblAuftraege[Einnahmen],tblAuftraege[Datum Einnahmen],"&gt;="&amp;S$5,tblAuftraege[Datum Einnahmen],"&lt;"&amp;EDATE(S$5,1),tblAuftraege[Auftrag],$A38))</f>
        <v>0</v>
      </c>
      <c r="T38" s="11" t="n">
        <f aca="false">IF($A38="",0,SUMIFS(tblAuftraege[Einnahmen],tblAuftraege[Datum Einnahmen],"&gt;="&amp;T$5,tblAuftraege[Datum Einnahmen],"&lt;"&amp;EDATE(T$5,1),tblAuftraege[Auftrag],$A38))</f>
        <v>0</v>
      </c>
      <c r="U38" s="11" t="n">
        <f aca="false">IF($A38="",0,SUMIFS(tblAuftraege[Einnahmen],tblAuftraege[Datum Einnahmen],"&gt;="&amp;U$5,tblAuftraege[Datum Einnahmen],"&lt;"&amp;EDATE(U$5,1),tblAuftraege[Auftrag],$A38))</f>
        <v>0</v>
      </c>
      <c r="V38" s="11" t="n">
        <f aca="false">IF($A38="",0,SUMIFS(tblAuftraege[Einnahmen],tblAuftraege[Datum Einnahmen],"&gt;="&amp;V$5,tblAuftraege[Datum Einnahmen],"&lt;"&amp;EDATE(V$5,1),tblAuftraege[Auftrag],$A38))</f>
        <v>0</v>
      </c>
      <c r="W38" s="11" t="n">
        <f aca="false">IF($A38="",0,SUMIFS(tblAuftraege[Einnahmen],tblAuftraege[Datum Einnahmen],"&gt;="&amp;W$5,tblAuftraege[Datum Einnahmen],"&lt;"&amp;EDATE(W$5,1),tblAuftraege[Auftrag],$A38))</f>
        <v>0</v>
      </c>
      <c r="X38" s="11" t="n">
        <f aca="false">IF($A38="",0,SUMIFS(tblAuftraege[Einnahmen],tblAuftraege[Datum Einnahmen],"&gt;="&amp;X$5,tblAuftraege[Datum Einnahmen],"&lt;"&amp;EDATE(X$5,1),tblAuftraege[Auftrag],$A38))</f>
        <v>0</v>
      </c>
      <c r="Y38" s="11" t="n">
        <f aca="false">IF($A38="",0,SUMIFS(tblAuftraege[Einnahmen],tblAuftraege[Datum Einnahmen],"&gt;="&amp;Y$5,tblAuftraege[Datum Einnahmen],"&lt;"&amp;EDATE(Y$5,1),tblAuftraege[Auftrag],$A38))</f>
        <v>0</v>
      </c>
      <c r="Z38" s="11" t="n">
        <f aca="false">IF($A38="",0,SUMIFS(tblAuftraege[Einnahmen],tblAuftraege[Datum Einnahmen],"&gt;="&amp;Z$5,tblAuftraege[Datum Einnahmen],"&lt;"&amp;EDATE(Z$5,1),tblAuftraege[Auftrag],$A38))</f>
        <v>0</v>
      </c>
      <c r="AA38" s="11" t="n">
        <f aca="false">IF($A38="",0,SUMIFS(tblAuftraege[Einnahmen],tblAuftraege[Datum Einnahmen],"&gt;="&amp;AA$5,tblAuftraege[Datum Einnahmen],"&lt;"&amp;EDATE(AA$5,1),tblAuftraege[Auftrag],$A38))</f>
        <v>0</v>
      </c>
      <c r="AB38" s="11" t="n">
        <f aca="false">IF($A38="",0,SUMIFS(tblAuftraege[Einnahmen],tblAuftraege[Datum Einnahmen],"&gt;="&amp;AB$5,tblAuftraege[Datum Einnahmen],"&lt;"&amp;EDATE(AB$5,1),tblAuftraege[Auftrag],$A38))</f>
        <v>0</v>
      </c>
      <c r="AC38" s="11" t="n">
        <f aca="false">IF($A38="",0,SUMIFS(tblAuftraege[Einnahmen],tblAuftraege[Datum Einnahmen],"&gt;="&amp;AC$5,tblAuftraege[Datum Einnahmen],"&lt;"&amp;EDATE(AC$5,1),tblAuftraege[Auftrag],$A38))</f>
        <v>0</v>
      </c>
      <c r="AD38" s="11" t="n">
        <f aca="false">IF($A38="",0,SUMIFS(tblAuftraege[Einnahmen],tblAuftraege[Datum Einnahmen],"&gt;="&amp;AD$5,tblAuftraege[Datum Einnahmen],"&lt;"&amp;EDATE(AD$5,1),tblAuftraege[Auftrag],$A38))</f>
        <v>0</v>
      </c>
      <c r="AE38" s="11" t="n">
        <f aca="false">IF($A38="",0,SUMIFS(tblAuftraege[Einnahmen],tblAuftraege[Datum Einnahmen],"&gt;="&amp;AE$5,tblAuftraege[Datum Einnahmen],"&lt;"&amp;EDATE(AE$5,1),tblAuftraege[Auftrag],$A38))</f>
        <v>0</v>
      </c>
      <c r="AF38" s="11" t="n">
        <f aca="false">IF($A38="",0,SUMIFS(tblAuftraege[Einnahmen],tblAuftraege[Datum Einnahmen],"&gt;="&amp;AF$5,tblAuftraege[Datum Einnahmen],"&lt;"&amp;EDATE(AF$5,1),tblAuftraege[Auftrag],$A38))</f>
        <v>0</v>
      </c>
      <c r="AG38" s="11" t="n">
        <f aca="false">IF($A38="",0,SUMIFS(tblAuftraege[Einnahmen],tblAuftraege[Datum Einnahmen],"&gt;="&amp;AG$5,tblAuftraege[Datum Einnahmen],"&lt;"&amp;EDATE(AG$5,1),tblAuftraege[Auftrag],$A38))</f>
        <v>0</v>
      </c>
      <c r="AH38" s="11" t="n">
        <f aca="false">IF($A38="",0,SUMIFS(tblAuftraege[Einnahmen],tblAuftraege[Datum Einnahmen],"&gt;="&amp;AH$5,tblAuftraege[Datum Einnahmen],"&lt;"&amp;EDATE(AH$5,1),tblAuftraege[Auftrag],$A38))</f>
        <v>0</v>
      </c>
      <c r="AI38" s="11" t="n">
        <f aca="false">IF($A38="",0,SUMIFS(tblAuftraege[Einnahmen],tblAuftraege[Datum Einnahmen],"&gt;="&amp;AI$5,tblAuftraege[Datum Einnahmen],"&lt;"&amp;EDATE(AI$5,1),tblAuftraege[Auftrag],$A38))</f>
        <v>0</v>
      </c>
      <c r="AJ38" s="11" t="n">
        <f aca="false">IF($A38="",0,SUMIFS(tblAuftraege[Einnahmen],tblAuftraege[Datum Einnahmen],"&gt;="&amp;AJ$5,tblAuftraege[Datum Einnahmen],"&lt;"&amp;EDATE(AJ$5,1),tblAuftraege[Auftrag],$A38))</f>
        <v>0</v>
      </c>
      <c r="AK38" s="11" t="n">
        <f aca="false">IF($A38="",0,SUMIFS(tblAuftraege[Einnahmen],tblAuftraege[Datum Einnahmen],"&gt;="&amp;AK$5,tblAuftraege[Datum Einnahmen],"&lt;"&amp;EDATE(AK$5,1),tblAuftraege[Auftrag],$A38))</f>
        <v>0</v>
      </c>
      <c r="AL38" s="11" t="n">
        <f aca="false">IF($A38="",0,SUMIFS(tblAuftraege[Einnahmen],tblAuftraege[Datum Einnahmen],"&gt;="&amp;AL$5,tblAuftraege[Datum Einnahmen],"&lt;"&amp;EDATE(AL$5,1),tblAuftraege[Auftrag],$A38))</f>
        <v>0</v>
      </c>
      <c r="AM38" s="11" t="n">
        <f aca="false">IF($A38="",0,SUMIFS(tblAuftraege[Einnahmen],tblAuftraege[Datum Einnahmen],"&gt;="&amp;AM$5,tblAuftraege[Datum Einnahmen],"&lt;"&amp;EDATE(AM$5,1),tblAuftraege[Auftrag],$A38))</f>
        <v>0</v>
      </c>
      <c r="AN38" s="11" t="n">
        <f aca="false">IF($A38="",0,SUMIFS(tblAuftraege[Einnahmen],tblAuftraege[Datum Einnahmen],"&gt;="&amp;AN$5,tblAuftraege[Datum Einnahmen],"&lt;"&amp;EDATE(AN$5,1),tblAuftraege[Auftrag],$A38))</f>
        <v>0</v>
      </c>
      <c r="AO38" s="11" t="n">
        <f aca="false">IF($A38="",0,SUMIFS(tblAuftraege[Einnahmen],tblAuftraege[Datum Einnahmen],"&gt;="&amp;AO$5,tblAuftraege[Datum Einnahmen],"&lt;"&amp;EDATE(AO$5,1),tblAuftraege[Auftrag],$A38))</f>
        <v>0</v>
      </c>
      <c r="AP38" s="11" t="n">
        <f aca="false">IF($A38="",0,SUMIFS(tblAuftraege[Einnahmen],tblAuftraege[Datum Einnahmen],"&gt;="&amp;AP$5,tblAuftraege[Datum Einnahmen],"&lt;"&amp;EDATE(AP$5,1),tblAuftraege[Auftrag],$A38))</f>
        <v>0</v>
      </c>
      <c r="AQ38" s="11" t="n">
        <f aca="false">IF($A38="",0,SUMIFS(tblAuftraege[Einnahmen],tblAuftraege[Datum Einnahmen],"&gt;="&amp;AQ$5,tblAuftraege[Datum Einnahmen],"&lt;"&amp;EDATE(AQ$5,1),tblAuftraege[Auftrag],$A38))</f>
        <v>0</v>
      </c>
      <c r="AR38" s="11" t="n">
        <f aca="false">IF($A38="",0,SUMIFS(tblAuftraege[Einnahmen],tblAuftraege[Datum Einnahmen],"&gt;="&amp;AR$5,tblAuftraege[Datum Einnahmen],"&lt;"&amp;EDATE(AR$5,1),tblAuftraege[Auftrag],$A38))</f>
        <v>0</v>
      </c>
      <c r="AS38" s="11" t="n">
        <f aca="false">IF($A38="",0,SUMIFS(tblAuftraege[Einnahmen],tblAuftraege[Datum Einnahmen],"&gt;="&amp;AS$5,tblAuftraege[Datum Einnahmen],"&lt;"&amp;EDATE(AS$5,1),tblAuftraege[Auftrag],$A38))</f>
        <v>0</v>
      </c>
      <c r="AT38" s="11" t="n">
        <f aca="false">IF($A38="",0,SUMIFS(tblAuftraege[Einnahmen],tblAuftraege[Datum Einnahmen],"&gt;="&amp;AT$5,tblAuftraege[Datum Einnahmen],"&lt;"&amp;EDATE(AT$5,1),tblAuftraege[Auftrag],$A38))</f>
        <v>0</v>
      </c>
      <c r="AU38" s="11" t="n">
        <f aca="false">IF($A38="",0,SUMIFS(tblAuftraege[Einnahmen],tblAuftraege[Datum Einnahmen],"&gt;="&amp;AU$5,tblAuftraege[Datum Einnahmen],"&lt;"&amp;EDATE(AU$5,1),tblAuftraege[Auftrag],$A38))</f>
        <v>0</v>
      </c>
      <c r="AV38" s="11" t="n">
        <f aca="false">IF($A38="",0,SUMIFS(tblAuftraege[Einnahmen],tblAuftraege[Datum Einnahmen],"&gt;="&amp;AV$5,tblAuftraege[Datum Einnahmen],"&lt;"&amp;EDATE(AV$5,1),tblAuftraege[Auftrag],$A38))</f>
        <v>0</v>
      </c>
      <c r="AW38" s="11" t="n">
        <f aca="false">IF($A38="",0,SUMIFS(tblAuftraege[Einnahmen],tblAuftraege[Datum Einnahmen],"&gt;="&amp;AW$5,tblAuftraege[Datum Einnahmen],"&lt;"&amp;EDATE(AW$5,1),tblAuftraege[Auftrag],$A38))</f>
        <v>0</v>
      </c>
      <c r="AX38" s="11" t="n">
        <f aca="false">IF($A38="",0,SUMIFS(tblAuftraege[Einnahmen],tblAuftraege[Datum Einnahmen],"&gt;="&amp;AX$5,tblAuftraege[Datum Einnahmen],"&lt;"&amp;EDATE(AX$5,1),tblAuftraege[Auftrag],$A38))</f>
        <v>0</v>
      </c>
      <c r="AY38" s="11" t="n">
        <f aca="false">IF($A38="",0,SUMIFS(tblAuftraege[Einnahmen],tblAuftraege[Datum Einnahmen],"&gt;="&amp;AY$5,tblAuftraege[Datum Einnahmen],"&lt;"&amp;EDATE(AY$5,1),tblAuftraege[Auftrag],$A38))</f>
        <v>0</v>
      </c>
      <c r="AZ38" s="11" t="n">
        <f aca="false">IF($A38="",0,SUMIFS(tblAuftraege[Einnahmen],tblAuftraege[Datum Einnahmen],"&gt;="&amp;AZ$5,tblAuftraege[Datum Einnahmen],"&lt;"&amp;EDATE(AZ$5,1),tblAuftraege[Auftrag],$A38))</f>
        <v>0</v>
      </c>
      <c r="BA38" s="11" t="n">
        <f aca="false">IF($A38="",0,SUMIFS(tblAuftraege[Einnahmen],tblAuftraege[Datum Einnahmen],"&gt;="&amp;BA$5,tblAuftraege[Datum Einnahmen],"&lt;"&amp;EDATE(BA$5,1),tblAuftraege[Auftrag],$A38))</f>
        <v>0</v>
      </c>
      <c r="BB38" s="11" t="n">
        <f aca="false">IF($A38="",0,SUMIFS(tblAuftraege[Einnahmen],tblAuftraege[Datum Einnahmen],"&gt;="&amp;BB$5,tblAuftraege[Datum Einnahmen],"&lt;"&amp;EDATE(BB$5,1),tblAuftraege[Auftrag],$A38))</f>
        <v>0</v>
      </c>
      <c r="BC38" s="11" t="n">
        <f aca="false">IF($A38="",0,SUMIFS(tblAuftraege[Einnahmen],tblAuftraege[Datum Einnahmen],"&gt;="&amp;BC$5,tblAuftraege[Datum Einnahmen],"&lt;"&amp;EDATE(BC$5,1),tblAuftraege[Auftrag],$A38))</f>
        <v>0</v>
      </c>
      <c r="BD38" s="11" t="n">
        <f aca="false">IF($A38="",0,SUMIFS(tblAuftraege[Einnahmen],tblAuftraege[Datum Einnahmen],"&gt;="&amp;BD$5,tblAuftraege[Datum Einnahmen],"&lt;"&amp;EDATE(BD$5,1),tblAuftraege[Auftrag],$A38))</f>
        <v>0</v>
      </c>
      <c r="BE38" s="11" t="n">
        <f aca="false">IF($A38="",0,SUMIFS(tblAuftraege[Einnahmen],tblAuftraege[Datum Einnahmen],"&gt;="&amp;BE$5,tblAuftraege[Datum Einnahmen],"&lt;"&amp;EDATE(BE$5,1),tblAuftraege[Auftrag],$A38))</f>
        <v>0</v>
      </c>
      <c r="BF38" s="11" t="n">
        <f aca="false">IF($A38="",0,SUMIFS(tblAuftraege[Einnahmen],tblAuftraege[Datum Einnahmen],"&gt;="&amp;BF$5,tblAuftraege[Datum Einnahmen],"&lt;"&amp;EDATE(BF$5,1),tblAuftraege[Auftrag],$A38))</f>
        <v>0</v>
      </c>
      <c r="BG38" s="11" t="n">
        <f aca="false">SUM(E38:J38)</f>
        <v>0</v>
      </c>
      <c r="BH38" s="11" t="n">
        <f aca="false">SUM(K38:V38)</f>
        <v>0</v>
      </c>
      <c r="BI38" s="11" t="n">
        <f aca="false">SUM(W38:AH38)</f>
        <v>0</v>
      </c>
      <c r="BJ38" s="11" t="n">
        <f aca="false">SUM(AI38:AT38)</f>
        <v>0</v>
      </c>
      <c r="BK38" s="11" t="n">
        <f aca="false">SUM(AU38:BF38)</f>
        <v>0</v>
      </c>
      <c r="BL38" s="12" t="n">
        <f aca="false">SUM(E38:BF38)</f>
        <v>0</v>
      </c>
    </row>
    <row r="39" customFormat="false" ht="15" hidden="false" customHeight="false" outlineLevel="0" collapsed="false">
      <c r="A39" s="9"/>
      <c r="B39" s="10" t="str">
        <f aca="false">IF($A39="","",IFERROR(INDEX(tblAuftraege[Kostenstelle],MATCH($A39,tblAuftraege[Auftrag],0)),""))</f>
        <v/>
      </c>
      <c r="C39" s="10" t="str">
        <f aca="false">IF($A39="","",IFERROR(INDEX(tblAuftraege[Themenfeld],MATCH($A39,tblAuftraege[Auftrag],0)),""))</f>
        <v/>
      </c>
      <c r="D39" s="10" t="str">
        <f aca="false">IF($A39="","",IFERROR(INDEX(tblAuftraege[Kategorie],MATCH($A39,tblAuftraege[Auftrag],0)),""))</f>
        <v/>
      </c>
      <c r="E39" s="11" t="n">
        <f aca="false">IF($A39="",0,SUMIFS(tblAuftraege[Einnahmen],tblAuftraege[Datum Einnahmen],"&gt;="&amp;E$5,tblAuftraege[Datum Einnahmen],"&lt;"&amp;EDATE(E$5,1),tblAuftraege[Auftrag],$A39))</f>
        <v>0</v>
      </c>
      <c r="F39" s="11" t="n">
        <f aca="false">IF($A39="",0,SUMIFS(tblAuftraege[Einnahmen],tblAuftraege[Datum Einnahmen],"&gt;="&amp;F$5,tblAuftraege[Datum Einnahmen],"&lt;"&amp;EDATE(F$5,1),tblAuftraege[Auftrag],$A39))</f>
        <v>0</v>
      </c>
      <c r="G39" s="11" t="n">
        <f aca="false">IF($A39="",0,SUMIFS(tblAuftraege[Einnahmen],tblAuftraege[Datum Einnahmen],"&gt;="&amp;G$5,tblAuftraege[Datum Einnahmen],"&lt;"&amp;EDATE(G$5,1),tblAuftraege[Auftrag],$A39))</f>
        <v>0</v>
      </c>
      <c r="H39" s="11" t="n">
        <f aca="false">IF($A39="",0,SUMIFS(tblAuftraege[Einnahmen],tblAuftraege[Datum Einnahmen],"&gt;="&amp;H$5,tblAuftraege[Datum Einnahmen],"&lt;"&amp;EDATE(H$5,1),tblAuftraege[Auftrag],$A39))</f>
        <v>0</v>
      </c>
      <c r="I39" s="11" t="n">
        <f aca="false">IF($A39="",0,SUMIFS(tblAuftraege[Einnahmen],tblAuftraege[Datum Einnahmen],"&gt;="&amp;I$5,tblAuftraege[Datum Einnahmen],"&lt;"&amp;EDATE(I$5,1),tblAuftraege[Auftrag],$A39))</f>
        <v>0</v>
      </c>
      <c r="J39" s="11" t="n">
        <f aca="false">IF($A39="",0,SUMIFS(tblAuftraege[Einnahmen],tblAuftraege[Datum Einnahmen],"&gt;="&amp;J$5,tblAuftraege[Datum Einnahmen],"&lt;"&amp;EDATE(J$5,1),tblAuftraege[Auftrag],$A39))</f>
        <v>0</v>
      </c>
      <c r="K39" s="11" t="n">
        <f aca="false">IF($A39="",0,SUMIFS(tblAuftraege[Einnahmen],tblAuftraege[Datum Einnahmen],"&gt;="&amp;K$5,tblAuftraege[Datum Einnahmen],"&lt;"&amp;EDATE(K$5,1),tblAuftraege[Auftrag],$A39))</f>
        <v>0</v>
      </c>
      <c r="L39" s="11" t="n">
        <f aca="false">IF($A39="",0,SUMIFS(tblAuftraege[Einnahmen],tblAuftraege[Datum Einnahmen],"&gt;="&amp;L$5,tblAuftraege[Datum Einnahmen],"&lt;"&amp;EDATE(L$5,1),tblAuftraege[Auftrag],$A39))</f>
        <v>0</v>
      </c>
      <c r="M39" s="11" t="n">
        <f aca="false">IF($A39="",0,SUMIFS(tblAuftraege[Einnahmen],tblAuftraege[Datum Einnahmen],"&gt;="&amp;M$5,tblAuftraege[Datum Einnahmen],"&lt;"&amp;EDATE(M$5,1),tblAuftraege[Auftrag],$A39))</f>
        <v>0</v>
      </c>
      <c r="N39" s="11" t="n">
        <f aca="false">IF($A39="",0,SUMIFS(tblAuftraege[Einnahmen],tblAuftraege[Datum Einnahmen],"&gt;="&amp;N$5,tblAuftraege[Datum Einnahmen],"&lt;"&amp;EDATE(N$5,1),tblAuftraege[Auftrag],$A39))</f>
        <v>0</v>
      </c>
      <c r="O39" s="11" t="n">
        <f aca="false">IF($A39="",0,SUMIFS(tblAuftraege[Einnahmen],tblAuftraege[Datum Einnahmen],"&gt;="&amp;O$5,tblAuftraege[Datum Einnahmen],"&lt;"&amp;EDATE(O$5,1),tblAuftraege[Auftrag],$A39))</f>
        <v>0</v>
      </c>
      <c r="P39" s="11" t="n">
        <f aca="false">IF($A39="",0,SUMIFS(tblAuftraege[Einnahmen],tblAuftraege[Datum Einnahmen],"&gt;="&amp;P$5,tblAuftraege[Datum Einnahmen],"&lt;"&amp;EDATE(P$5,1),tblAuftraege[Auftrag],$A39))</f>
        <v>0</v>
      </c>
      <c r="Q39" s="11" t="n">
        <f aca="false">IF($A39="",0,SUMIFS(tblAuftraege[Einnahmen],tblAuftraege[Datum Einnahmen],"&gt;="&amp;Q$5,tblAuftraege[Datum Einnahmen],"&lt;"&amp;EDATE(Q$5,1),tblAuftraege[Auftrag],$A39))</f>
        <v>0</v>
      </c>
      <c r="R39" s="11" t="n">
        <f aca="false">IF($A39="",0,SUMIFS(tblAuftraege[Einnahmen],tblAuftraege[Datum Einnahmen],"&gt;="&amp;R$5,tblAuftraege[Datum Einnahmen],"&lt;"&amp;EDATE(R$5,1),tblAuftraege[Auftrag],$A39))</f>
        <v>0</v>
      </c>
      <c r="S39" s="11" t="n">
        <f aca="false">IF($A39="",0,SUMIFS(tblAuftraege[Einnahmen],tblAuftraege[Datum Einnahmen],"&gt;="&amp;S$5,tblAuftraege[Datum Einnahmen],"&lt;"&amp;EDATE(S$5,1),tblAuftraege[Auftrag],$A39))</f>
        <v>0</v>
      </c>
      <c r="T39" s="11" t="n">
        <f aca="false">IF($A39="",0,SUMIFS(tblAuftraege[Einnahmen],tblAuftraege[Datum Einnahmen],"&gt;="&amp;T$5,tblAuftraege[Datum Einnahmen],"&lt;"&amp;EDATE(T$5,1),tblAuftraege[Auftrag],$A39))</f>
        <v>0</v>
      </c>
      <c r="U39" s="11" t="n">
        <f aca="false">IF($A39="",0,SUMIFS(tblAuftraege[Einnahmen],tblAuftraege[Datum Einnahmen],"&gt;="&amp;U$5,tblAuftraege[Datum Einnahmen],"&lt;"&amp;EDATE(U$5,1),tblAuftraege[Auftrag],$A39))</f>
        <v>0</v>
      </c>
      <c r="V39" s="11" t="n">
        <f aca="false">IF($A39="",0,SUMIFS(tblAuftraege[Einnahmen],tblAuftraege[Datum Einnahmen],"&gt;="&amp;V$5,tblAuftraege[Datum Einnahmen],"&lt;"&amp;EDATE(V$5,1),tblAuftraege[Auftrag],$A39))</f>
        <v>0</v>
      </c>
      <c r="W39" s="11" t="n">
        <f aca="false">IF($A39="",0,SUMIFS(tblAuftraege[Einnahmen],tblAuftraege[Datum Einnahmen],"&gt;="&amp;W$5,tblAuftraege[Datum Einnahmen],"&lt;"&amp;EDATE(W$5,1),tblAuftraege[Auftrag],$A39))</f>
        <v>0</v>
      </c>
      <c r="X39" s="11" t="n">
        <f aca="false">IF($A39="",0,SUMIFS(tblAuftraege[Einnahmen],tblAuftraege[Datum Einnahmen],"&gt;="&amp;X$5,tblAuftraege[Datum Einnahmen],"&lt;"&amp;EDATE(X$5,1),tblAuftraege[Auftrag],$A39))</f>
        <v>0</v>
      </c>
      <c r="Y39" s="11" t="n">
        <f aca="false">IF($A39="",0,SUMIFS(tblAuftraege[Einnahmen],tblAuftraege[Datum Einnahmen],"&gt;="&amp;Y$5,tblAuftraege[Datum Einnahmen],"&lt;"&amp;EDATE(Y$5,1),tblAuftraege[Auftrag],$A39))</f>
        <v>0</v>
      </c>
      <c r="Z39" s="11" t="n">
        <f aca="false">IF($A39="",0,SUMIFS(tblAuftraege[Einnahmen],tblAuftraege[Datum Einnahmen],"&gt;="&amp;Z$5,tblAuftraege[Datum Einnahmen],"&lt;"&amp;EDATE(Z$5,1),tblAuftraege[Auftrag],$A39))</f>
        <v>0</v>
      </c>
      <c r="AA39" s="11" t="n">
        <f aca="false">IF($A39="",0,SUMIFS(tblAuftraege[Einnahmen],tblAuftraege[Datum Einnahmen],"&gt;="&amp;AA$5,tblAuftraege[Datum Einnahmen],"&lt;"&amp;EDATE(AA$5,1),tblAuftraege[Auftrag],$A39))</f>
        <v>0</v>
      </c>
      <c r="AB39" s="11" t="n">
        <f aca="false">IF($A39="",0,SUMIFS(tblAuftraege[Einnahmen],tblAuftraege[Datum Einnahmen],"&gt;="&amp;AB$5,tblAuftraege[Datum Einnahmen],"&lt;"&amp;EDATE(AB$5,1),tblAuftraege[Auftrag],$A39))</f>
        <v>0</v>
      </c>
      <c r="AC39" s="11" t="n">
        <f aca="false">IF($A39="",0,SUMIFS(tblAuftraege[Einnahmen],tblAuftraege[Datum Einnahmen],"&gt;="&amp;AC$5,tblAuftraege[Datum Einnahmen],"&lt;"&amp;EDATE(AC$5,1),tblAuftraege[Auftrag],$A39))</f>
        <v>0</v>
      </c>
      <c r="AD39" s="11" t="n">
        <f aca="false">IF($A39="",0,SUMIFS(tblAuftraege[Einnahmen],tblAuftraege[Datum Einnahmen],"&gt;="&amp;AD$5,tblAuftraege[Datum Einnahmen],"&lt;"&amp;EDATE(AD$5,1),tblAuftraege[Auftrag],$A39))</f>
        <v>0</v>
      </c>
      <c r="AE39" s="11" t="n">
        <f aca="false">IF($A39="",0,SUMIFS(tblAuftraege[Einnahmen],tblAuftraege[Datum Einnahmen],"&gt;="&amp;AE$5,tblAuftraege[Datum Einnahmen],"&lt;"&amp;EDATE(AE$5,1),tblAuftraege[Auftrag],$A39))</f>
        <v>0</v>
      </c>
      <c r="AF39" s="11" t="n">
        <f aca="false">IF($A39="",0,SUMIFS(tblAuftraege[Einnahmen],tblAuftraege[Datum Einnahmen],"&gt;="&amp;AF$5,tblAuftraege[Datum Einnahmen],"&lt;"&amp;EDATE(AF$5,1),tblAuftraege[Auftrag],$A39))</f>
        <v>0</v>
      </c>
      <c r="AG39" s="11" t="n">
        <f aca="false">IF($A39="",0,SUMIFS(tblAuftraege[Einnahmen],tblAuftraege[Datum Einnahmen],"&gt;="&amp;AG$5,tblAuftraege[Datum Einnahmen],"&lt;"&amp;EDATE(AG$5,1),tblAuftraege[Auftrag],$A39))</f>
        <v>0</v>
      </c>
      <c r="AH39" s="11" t="n">
        <f aca="false">IF($A39="",0,SUMIFS(tblAuftraege[Einnahmen],tblAuftraege[Datum Einnahmen],"&gt;="&amp;AH$5,tblAuftraege[Datum Einnahmen],"&lt;"&amp;EDATE(AH$5,1),tblAuftraege[Auftrag],$A39))</f>
        <v>0</v>
      </c>
      <c r="AI39" s="11" t="n">
        <f aca="false">IF($A39="",0,SUMIFS(tblAuftraege[Einnahmen],tblAuftraege[Datum Einnahmen],"&gt;="&amp;AI$5,tblAuftraege[Datum Einnahmen],"&lt;"&amp;EDATE(AI$5,1),tblAuftraege[Auftrag],$A39))</f>
        <v>0</v>
      </c>
      <c r="AJ39" s="11" t="n">
        <f aca="false">IF($A39="",0,SUMIFS(tblAuftraege[Einnahmen],tblAuftraege[Datum Einnahmen],"&gt;="&amp;AJ$5,tblAuftraege[Datum Einnahmen],"&lt;"&amp;EDATE(AJ$5,1),tblAuftraege[Auftrag],$A39))</f>
        <v>0</v>
      </c>
      <c r="AK39" s="11" t="n">
        <f aca="false">IF($A39="",0,SUMIFS(tblAuftraege[Einnahmen],tblAuftraege[Datum Einnahmen],"&gt;="&amp;AK$5,tblAuftraege[Datum Einnahmen],"&lt;"&amp;EDATE(AK$5,1),tblAuftraege[Auftrag],$A39))</f>
        <v>0</v>
      </c>
      <c r="AL39" s="11" t="n">
        <f aca="false">IF($A39="",0,SUMIFS(tblAuftraege[Einnahmen],tblAuftraege[Datum Einnahmen],"&gt;="&amp;AL$5,tblAuftraege[Datum Einnahmen],"&lt;"&amp;EDATE(AL$5,1),tblAuftraege[Auftrag],$A39))</f>
        <v>0</v>
      </c>
      <c r="AM39" s="11" t="n">
        <f aca="false">IF($A39="",0,SUMIFS(tblAuftraege[Einnahmen],tblAuftraege[Datum Einnahmen],"&gt;="&amp;AM$5,tblAuftraege[Datum Einnahmen],"&lt;"&amp;EDATE(AM$5,1),tblAuftraege[Auftrag],$A39))</f>
        <v>0</v>
      </c>
      <c r="AN39" s="11" t="n">
        <f aca="false">IF($A39="",0,SUMIFS(tblAuftraege[Einnahmen],tblAuftraege[Datum Einnahmen],"&gt;="&amp;AN$5,tblAuftraege[Datum Einnahmen],"&lt;"&amp;EDATE(AN$5,1),tblAuftraege[Auftrag],$A39))</f>
        <v>0</v>
      </c>
      <c r="AO39" s="11" t="n">
        <f aca="false">IF($A39="",0,SUMIFS(tblAuftraege[Einnahmen],tblAuftraege[Datum Einnahmen],"&gt;="&amp;AO$5,tblAuftraege[Datum Einnahmen],"&lt;"&amp;EDATE(AO$5,1),tblAuftraege[Auftrag],$A39))</f>
        <v>0</v>
      </c>
      <c r="AP39" s="11" t="n">
        <f aca="false">IF($A39="",0,SUMIFS(tblAuftraege[Einnahmen],tblAuftraege[Datum Einnahmen],"&gt;="&amp;AP$5,tblAuftraege[Datum Einnahmen],"&lt;"&amp;EDATE(AP$5,1),tblAuftraege[Auftrag],$A39))</f>
        <v>0</v>
      </c>
      <c r="AQ39" s="11" t="n">
        <f aca="false">IF($A39="",0,SUMIFS(tblAuftraege[Einnahmen],tblAuftraege[Datum Einnahmen],"&gt;="&amp;AQ$5,tblAuftraege[Datum Einnahmen],"&lt;"&amp;EDATE(AQ$5,1),tblAuftraege[Auftrag],$A39))</f>
        <v>0</v>
      </c>
      <c r="AR39" s="11" t="n">
        <f aca="false">IF($A39="",0,SUMIFS(tblAuftraege[Einnahmen],tblAuftraege[Datum Einnahmen],"&gt;="&amp;AR$5,tblAuftraege[Datum Einnahmen],"&lt;"&amp;EDATE(AR$5,1),tblAuftraege[Auftrag],$A39))</f>
        <v>0</v>
      </c>
      <c r="AS39" s="11" t="n">
        <f aca="false">IF($A39="",0,SUMIFS(tblAuftraege[Einnahmen],tblAuftraege[Datum Einnahmen],"&gt;="&amp;AS$5,tblAuftraege[Datum Einnahmen],"&lt;"&amp;EDATE(AS$5,1),tblAuftraege[Auftrag],$A39))</f>
        <v>0</v>
      </c>
      <c r="AT39" s="11" t="n">
        <f aca="false">IF($A39="",0,SUMIFS(tblAuftraege[Einnahmen],tblAuftraege[Datum Einnahmen],"&gt;="&amp;AT$5,tblAuftraege[Datum Einnahmen],"&lt;"&amp;EDATE(AT$5,1),tblAuftraege[Auftrag],$A39))</f>
        <v>0</v>
      </c>
      <c r="AU39" s="11" t="n">
        <f aca="false">IF($A39="",0,SUMIFS(tblAuftraege[Einnahmen],tblAuftraege[Datum Einnahmen],"&gt;="&amp;AU$5,tblAuftraege[Datum Einnahmen],"&lt;"&amp;EDATE(AU$5,1),tblAuftraege[Auftrag],$A39))</f>
        <v>0</v>
      </c>
      <c r="AV39" s="11" t="n">
        <f aca="false">IF($A39="",0,SUMIFS(tblAuftraege[Einnahmen],tblAuftraege[Datum Einnahmen],"&gt;="&amp;AV$5,tblAuftraege[Datum Einnahmen],"&lt;"&amp;EDATE(AV$5,1),tblAuftraege[Auftrag],$A39))</f>
        <v>0</v>
      </c>
      <c r="AW39" s="11" t="n">
        <f aca="false">IF($A39="",0,SUMIFS(tblAuftraege[Einnahmen],tblAuftraege[Datum Einnahmen],"&gt;="&amp;AW$5,tblAuftraege[Datum Einnahmen],"&lt;"&amp;EDATE(AW$5,1),tblAuftraege[Auftrag],$A39))</f>
        <v>0</v>
      </c>
      <c r="AX39" s="11" t="n">
        <f aca="false">IF($A39="",0,SUMIFS(tblAuftraege[Einnahmen],tblAuftraege[Datum Einnahmen],"&gt;="&amp;AX$5,tblAuftraege[Datum Einnahmen],"&lt;"&amp;EDATE(AX$5,1),tblAuftraege[Auftrag],$A39))</f>
        <v>0</v>
      </c>
      <c r="AY39" s="11" t="n">
        <f aca="false">IF($A39="",0,SUMIFS(tblAuftraege[Einnahmen],tblAuftraege[Datum Einnahmen],"&gt;="&amp;AY$5,tblAuftraege[Datum Einnahmen],"&lt;"&amp;EDATE(AY$5,1),tblAuftraege[Auftrag],$A39))</f>
        <v>0</v>
      </c>
      <c r="AZ39" s="11" t="n">
        <f aca="false">IF($A39="",0,SUMIFS(tblAuftraege[Einnahmen],tblAuftraege[Datum Einnahmen],"&gt;="&amp;AZ$5,tblAuftraege[Datum Einnahmen],"&lt;"&amp;EDATE(AZ$5,1),tblAuftraege[Auftrag],$A39))</f>
        <v>0</v>
      </c>
      <c r="BA39" s="11" t="n">
        <f aca="false">IF($A39="",0,SUMIFS(tblAuftraege[Einnahmen],tblAuftraege[Datum Einnahmen],"&gt;="&amp;BA$5,tblAuftraege[Datum Einnahmen],"&lt;"&amp;EDATE(BA$5,1),tblAuftraege[Auftrag],$A39))</f>
        <v>0</v>
      </c>
      <c r="BB39" s="11" t="n">
        <f aca="false">IF($A39="",0,SUMIFS(tblAuftraege[Einnahmen],tblAuftraege[Datum Einnahmen],"&gt;="&amp;BB$5,tblAuftraege[Datum Einnahmen],"&lt;"&amp;EDATE(BB$5,1),tblAuftraege[Auftrag],$A39))</f>
        <v>0</v>
      </c>
      <c r="BC39" s="11" t="n">
        <f aca="false">IF($A39="",0,SUMIFS(tblAuftraege[Einnahmen],tblAuftraege[Datum Einnahmen],"&gt;="&amp;BC$5,tblAuftraege[Datum Einnahmen],"&lt;"&amp;EDATE(BC$5,1),tblAuftraege[Auftrag],$A39))</f>
        <v>0</v>
      </c>
      <c r="BD39" s="11" t="n">
        <f aca="false">IF($A39="",0,SUMIFS(tblAuftraege[Einnahmen],tblAuftraege[Datum Einnahmen],"&gt;="&amp;BD$5,tblAuftraege[Datum Einnahmen],"&lt;"&amp;EDATE(BD$5,1),tblAuftraege[Auftrag],$A39))</f>
        <v>0</v>
      </c>
      <c r="BE39" s="11" t="n">
        <f aca="false">IF($A39="",0,SUMIFS(tblAuftraege[Einnahmen],tblAuftraege[Datum Einnahmen],"&gt;="&amp;BE$5,tblAuftraege[Datum Einnahmen],"&lt;"&amp;EDATE(BE$5,1),tblAuftraege[Auftrag],$A39))</f>
        <v>0</v>
      </c>
      <c r="BF39" s="11" t="n">
        <f aca="false">IF($A39="",0,SUMIFS(tblAuftraege[Einnahmen],tblAuftraege[Datum Einnahmen],"&gt;="&amp;BF$5,tblAuftraege[Datum Einnahmen],"&lt;"&amp;EDATE(BF$5,1),tblAuftraege[Auftrag],$A39))</f>
        <v>0</v>
      </c>
      <c r="BG39" s="11" t="n">
        <f aca="false">SUM(E39:J39)</f>
        <v>0</v>
      </c>
      <c r="BH39" s="11" t="n">
        <f aca="false">SUM(K39:V39)</f>
        <v>0</v>
      </c>
      <c r="BI39" s="11" t="n">
        <f aca="false">SUM(W39:AH39)</f>
        <v>0</v>
      </c>
      <c r="BJ39" s="11" t="n">
        <f aca="false">SUM(AI39:AT39)</f>
        <v>0</v>
      </c>
      <c r="BK39" s="11" t="n">
        <f aca="false">SUM(AU39:BF39)</f>
        <v>0</v>
      </c>
      <c r="BL39" s="12" t="n">
        <f aca="false">SUM(E39:BF39)</f>
        <v>0</v>
      </c>
    </row>
    <row r="40" customFormat="false" ht="15" hidden="false" customHeight="false" outlineLevel="0" collapsed="false">
      <c r="A40" s="9"/>
      <c r="B40" s="10" t="str">
        <f aca="false">IF($A40="","",IFERROR(INDEX(tblAuftraege[Kostenstelle],MATCH($A40,tblAuftraege[Auftrag],0)),""))</f>
        <v/>
      </c>
      <c r="C40" s="10" t="str">
        <f aca="false">IF($A40="","",IFERROR(INDEX(tblAuftraege[Themenfeld],MATCH($A40,tblAuftraege[Auftrag],0)),""))</f>
        <v/>
      </c>
      <c r="D40" s="10" t="str">
        <f aca="false">IF($A40="","",IFERROR(INDEX(tblAuftraege[Kategorie],MATCH($A40,tblAuftraege[Auftrag],0)),""))</f>
        <v/>
      </c>
      <c r="E40" s="11" t="n">
        <f aca="false">IF($A40="",0,SUMIFS(tblAuftraege[Einnahmen],tblAuftraege[Datum Einnahmen],"&gt;="&amp;E$5,tblAuftraege[Datum Einnahmen],"&lt;"&amp;EDATE(E$5,1),tblAuftraege[Auftrag],$A40))</f>
        <v>0</v>
      </c>
      <c r="F40" s="11" t="n">
        <f aca="false">IF($A40="",0,SUMIFS(tblAuftraege[Einnahmen],tblAuftraege[Datum Einnahmen],"&gt;="&amp;F$5,tblAuftraege[Datum Einnahmen],"&lt;"&amp;EDATE(F$5,1),tblAuftraege[Auftrag],$A40))</f>
        <v>0</v>
      </c>
      <c r="G40" s="11" t="n">
        <f aca="false">IF($A40="",0,SUMIFS(tblAuftraege[Einnahmen],tblAuftraege[Datum Einnahmen],"&gt;="&amp;G$5,tblAuftraege[Datum Einnahmen],"&lt;"&amp;EDATE(G$5,1),tblAuftraege[Auftrag],$A40))</f>
        <v>0</v>
      </c>
      <c r="H40" s="11" t="n">
        <f aca="false">IF($A40="",0,SUMIFS(tblAuftraege[Einnahmen],tblAuftraege[Datum Einnahmen],"&gt;="&amp;H$5,tblAuftraege[Datum Einnahmen],"&lt;"&amp;EDATE(H$5,1),tblAuftraege[Auftrag],$A40))</f>
        <v>0</v>
      </c>
      <c r="I40" s="11" t="n">
        <f aca="false">IF($A40="",0,SUMIFS(tblAuftraege[Einnahmen],tblAuftraege[Datum Einnahmen],"&gt;="&amp;I$5,tblAuftraege[Datum Einnahmen],"&lt;"&amp;EDATE(I$5,1),tblAuftraege[Auftrag],$A40))</f>
        <v>0</v>
      </c>
      <c r="J40" s="11" t="n">
        <f aca="false">IF($A40="",0,SUMIFS(tblAuftraege[Einnahmen],tblAuftraege[Datum Einnahmen],"&gt;="&amp;J$5,tblAuftraege[Datum Einnahmen],"&lt;"&amp;EDATE(J$5,1),tblAuftraege[Auftrag],$A40))</f>
        <v>0</v>
      </c>
      <c r="K40" s="11" t="n">
        <f aca="false">IF($A40="",0,SUMIFS(tblAuftraege[Einnahmen],tblAuftraege[Datum Einnahmen],"&gt;="&amp;K$5,tblAuftraege[Datum Einnahmen],"&lt;"&amp;EDATE(K$5,1),tblAuftraege[Auftrag],$A40))</f>
        <v>0</v>
      </c>
      <c r="L40" s="11" t="n">
        <f aca="false">IF($A40="",0,SUMIFS(tblAuftraege[Einnahmen],tblAuftraege[Datum Einnahmen],"&gt;="&amp;L$5,tblAuftraege[Datum Einnahmen],"&lt;"&amp;EDATE(L$5,1),tblAuftraege[Auftrag],$A40))</f>
        <v>0</v>
      </c>
      <c r="M40" s="11" t="n">
        <f aca="false">IF($A40="",0,SUMIFS(tblAuftraege[Einnahmen],tblAuftraege[Datum Einnahmen],"&gt;="&amp;M$5,tblAuftraege[Datum Einnahmen],"&lt;"&amp;EDATE(M$5,1),tblAuftraege[Auftrag],$A40))</f>
        <v>0</v>
      </c>
      <c r="N40" s="11" t="n">
        <f aca="false">IF($A40="",0,SUMIFS(tblAuftraege[Einnahmen],tblAuftraege[Datum Einnahmen],"&gt;="&amp;N$5,tblAuftraege[Datum Einnahmen],"&lt;"&amp;EDATE(N$5,1),tblAuftraege[Auftrag],$A40))</f>
        <v>0</v>
      </c>
      <c r="O40" s="11" t="n">
        <f aca="false">IF($A40="",0,SUMIFS(tblAuftraege[Einnahmen],tblAuftraege[Datum Einnahmen],"&gt;="&amp;O$5,tblAuftraege[Datum Einnahmen],"&lt;"&amp;EDATE(O$5,1),tblAuftraege[Auftrag],$A40))</f>
        <v>0</v>
      </c>
      <c r="P40" s="11" t="n">
        <f aca="false">IF($A40="",0,SUMIFS(tblAuftraege[Einnahmen],tblAuftraege[Datum Einnahmen],"&gt;="&amp;P$5,tblAuftraege[Datum Einnahmen],"&lt;"&amp;EDATE(P$5,1),tblAuftraege[Auftrag],$A40))</f>
        <v>0</v>
      </c>
      <c r="Q40" s="11" t="n">
        <f aca="false">IF($A40="",0,SUMIFS(tblAuftraege[Einnahmen],tblAuftraege[Datum Einnahmen],"&gt;="&amp;Q$5,tblAuftraege[Datum Einnahmen],"&lt;"&amp;EDATE(Q$5,1),tblAuftraege[Auftrag],$A40))</f>
        <v>0</v>
      </c>
      <c r="R40" s="11" t="n">
        <f aca="false">IF($A40="",0,SUMIFS(tblAuftraege[Einnahmen],tblAuftraege[Datum Einnahmen],"&gt;="&amp;R$5,tblAuftraege[Datum Einnahmen],"&lt;"&amp;EDATE(R$5,1),tblAuftraege[Auftrag],$A40))</f>
        <v>0</v>
      </c>
      <c r="S40" s="11" t="n">
        <f aca="false">IF($A40="",0,SUMIFS(tblAuftraege[Einnahmen],tblAuftraege[Datum Einnahmen],"&gt;="&amp;S$5,tblAuftraege[Datum Einnahmen],"&lt;"&amp;EDATE(S$5,1),tblAuftraege[Auftrag],$A40))</f>
        <v>0</v>
      </c>
      <c r="T40" s="11" t="n">
        <f aca="false">IF($A40="",0,SUMIFS(tblAuftraege[Einnahmen],tblAuftraege[Datum Einnahmen],"&gt;="&amp;T$5,tblAuftraege[Datum Einnahmen],"&lt;"&amp;EDATE(T$5,1),tblAuftraege[Auftrag],$A40))</f>
        <v>0</v>
      </c>
      <c r="U40" s="11" t="n">
        <f aca="false">IF($A40="",0,SUMIFS(tblAuftraege[Einnahmen],tblAuftraege[Datum Einnahmen],"&gt;="&amp;U$5,tblAuftraege[Datum Einnahmen],"&lt;"&amp;EDATE(U$5,1),tblAuftraege[Auftrag],$A40))</f>
        <v>0</v>
      </c>
      <c r="V40" s="11" t="n">
        <f aca="false">IF($A40="",0,SUMIFS(tblAuftraege[Einnahmen],tblAuftraege[Datum Einnahmen],"&gt;="&amp;V$5,tblAuftraege[Datum Einnahmen],"&lt;"&amp;EDATE(V$5,1),tblAuftraege[Auftrag],$A40))</f>
        <v>0</v>
      </c>
      <c r="W40" s="11" t="n">
        <f aca="false">IF($A40="",0,SUMIFS(tblAuftraege[Einnahmen],tblAuftraege[Datum Einnahmen],"&gt;="&amp;W$5,tblAuftraege[Datum Einnahmen],"&lt;"&amp;EDATE(W$5,1),tblAuftraege[Auftrag],$A40))</f>
        <v>0</v>
      </c>
      <c r="X40" s="11" t="n">
        <f aca="false">IF($A40="",0,SUMIFS(tblAuftraege[Einnahmen],tblAuftraege[Datum Einnahmen],"&gt;="&amp;X$5,tblAuftraege[Datum Einnahmen],"&lt;"&amp;EDATE(X$5,1),tblAuftraege[Auftrag],$A40))</f>
        <v>0</v>
      </c>
      <c r="Y40" s="11" t="n">
        <f aca="false">IF($A40="",0,SUMIFS(tblAuftraege[Einnahmen],tblAuftraege[Datum Einnahmen],"&gt;="&amp;Y$5,tblAuftraege[Datum Einnahmen],"&lt;"&amp;EDATE(Y$5,1),tblAuftraege[Auftrag],$A40))</f>
        <v>0</v>
      </c>
      <c r="Z40" s="11" t="n">
        <f aca="false">IF($A40="",0,SUMIFS(tblAuftraege[Einnahmen],tblAuftraege[Datum Einnahmen],"&gt;="&amp;Z$5,tblAuftraege[Datum Einnahmen],"&lt;"&amp;EDATE(Z$5,1),tblAuftraege[Auftrag],$A40))</f>
        <v>0</v>
      </c>
      <c r="AA40" s="11" t="n">
        <f aca="false">IF($A40="",0,SUMIFS(tblAuftraege[Einnahmen],tblAuftraege[Datum Einnahmen],"&gt;="&amp;AA$5,tblAuftraege[Datum Einnahmen],"&lt;"&amp;EDATE(AA$5,1),tblAuftraege[Auftrag],$A40))</f>
        <v>0</v>
      </c>
      <c r="AB40" s="11" t="n">
        <f aca="false">IF($A40="",0,SUMIFS(tblAuftraege[Einnahmen],tblAuftraege[Datum Einnahmen],"&gt;="&amp;AB$5,tblAuftraege[Datum Einnahmen],"&lt;"&amp;EDATE(AB$5,1),tblAuftraege[Auftrag],$A40))</f>
        <v>0</v>
      </c>
      <c r="AC40" s="11" t="n">
        <f aca="false">IF($A40="",0,SUMIFS(tblAuftraege[Einnahmen],tblAuftraege[Datum Einnahmen],"&gt;="&amp;AC$5,tblAuftraege[Datum Einnahmen],"&lt;"&amp;EDATE(AC$5,1),tblAuftraege[Auftrag],$A40))</f>
        <v>0</v>
      </c>
      <c r="AD40" s="11" t="n">
        <f aca="false">IF($A40="",0,SUMIFS(tblAuftraege[Einnahmen],tblAuftraege[Datum Einnahmen],"&gt;="&amp;AD$5,tblAuftraege[Datum Einnahmen],"&lt;"&amp;EDATE(AD$5,1),tblAuftraege[Auftrag],$A40))</f>
        <v>0</v>
      </c>
      <c r="AE40" s="11" t="n">
        <f aca="false">IF($A40="",0,SUMIFS(tblAuftraege[Einnahmen],tblAuftraege[Datum Einnahmen],"&gt;="&amp;AE$5,tblAuftraege[Datum Einnahmen],"&lt;"&amp;EDATE(AE$5,1),tblAuftraege[Auftrag],$A40))</f>
        <v>0</v>
      </c>
      <c r="AF40" s="11" t="n">
        <f aca="false">IF($A40="",0,SUMIFS(tblAuftraege[Einnahmen],tblAuftraege[Datum Einnahmen],"&gt;="&amp;AF$5,tblAuftraege[Datum Einnahmen],"&lt;"&amp;EDATE(AF$5,1),tblAuftraege[Auftrag],$A40))</f>
        <v>0</v>
      </c>
      <c r="AG40" s="11" t="n">
        <f aca="false">IF($A40="",0,SUMIFS(tblAuftraege[Einnahmen],tblAuftraege[Datum Einnahmen],"&gt;="&amp;AG$5,tblAuftraege[Datum Einnahmen],"&lt;"&amp;EDATE(AG$5,1),tblAuftraege[Auftrag],$A40))</f>
        <v>0</v>
      </c>
      <c r="AH40" s="11" t="n">
        <f aca="false">IF($A40="",0,SUMIFS(tblAuftraege[Einnahmen],tblAuftraege[Datum Einnahmen],"&gt;="&amp;AH$5,tblAuftraege[Datum Einnahmen],"&lt;"&amp;EDATE(AH$5,1),tblAuftraege[Auftrag],$A40))</f>
        <v>0</v>
      </c>
      <c r="AI40" s="11" t="n">
        <f aca="false">IF($A40="",0,SUMIFS(tblAuftraege[Einnahmen],tblAuftraege[Datum Einnahmen],"&gt;="&amp;AI$5,tblAuftraege[Datum Einnahmen],"&lt;"&amp;EDATE(AI$5,1),tblAuftraege[Auftrag],$A40))</f>
        <v>0</v>
      </c>
      <c r="AJ40" s="11" t="n">
        <f aca="false">IF($A40="",0,SUMIFS(tblAuftraege[Einnahmen],tblAuftraege[Datum Einnahmen],"&gt;="&amp;AJ$5,tblAuftraege[Datum Einnahmen],"&lt;"&amp;EDATE(AJ$5,1),tblAuftraege[Auftrag],$A40))</f>
        <v>0</v>
      </c>
      <c r="AK40" s="11" t="n">
        <f aca="false">IF($A40="",0,SUMIFS(tblAuftraege[Einnahmen],tblAuftraege[Datum Einnahmen],"&gt;="&amp;AK$5,tblAuftraege[Datum Einnahmen],"&lt;"&amp;EDATE(AK$5,1),tblAuftraege[Auftrag],$A40))</f>
        <v>0</v>
      </c>
      <c r="AL40" s="11" t="n">
        <f aca="false">IF($A40="",0,SUMIFS(tblAuftraege[Einnahmen],tblAuftraege[Datum Einnahmen],"&gt;="&amp;AL$5,tblAuftraege[Datum Einnahmen],"&lt;"&amp;EDATE(AL$5,1),tblAuftraege[Auftrag],$A40))</f>
        <v>0</v>
      </c>
      <c r="AM40" s="11" t="n">
        <f aca="false">IF($A40="",0,SUMIFS(tblAuftraege[Einnahmen],tblAuftraege[Datum Einnahmen],"&gt;="&amp;AM$5,tblAuftraege[Datum Einnahmen],"&lt;"&amp;EDATE(AM$5,1),tblAuftraege[Auftrag],$A40))</f>
        <v>0</v>
      </c>
      <c r="AN40" s="11" t="n">
        <f aca="false">IF($A40="",0,SUMIFS(tblAuftraege[Einnahmen],tblAuftraege[Datum Einnahmen],"&gt;="&amp;AN$5,tblAuftraege[Datum Einnahmen],"&lt;"&amp;EDATE(AN$5,1),tblAuftraege[Auftrag],$A40))</f>
        <v>0</v>
      </c>
      <c r="AO40" s="11" t="n">
        <f aca="false">IF($A40="",0,SUMIFS(tblAuftraege[Einnahmen],tblAuftraege[Datum Einnahmen],"&gt;="&amp;AO$5,tblAuftraege[Datum Einnahmen],"&lt;"&amp;EDATE(AO$5,1),tblAuftraege[Auftrag],$A40))</f>
        <v>0</v>
      </c>
      <c r="AP40" s="11" t="n">
        <f aca="false">IF($A40="",0,SUMIFS(tblAuftraege[Einnahmen],tblAuftraege[Datum Einnahmen],"&gt;="&amp;AP$5,tblAuftraege[Datum Einnahmen],"&lt;"&amp;EDATE(AP$5,1),tblAuftraege[Auftrag],$A40))</f>
        <v>0</v>
      </c>
      <c r="AQ40" s="11" t="n">
        <f aca="false">IF($A40="",0,SUMIFS(tblAuftraege[Einnahmen],tblAuftraege[Datum Einnahmen],"&gt;="&amp;AQ$5,tblAuftraege[Datum Einnahmen],"&lt;"&amp;EDATE(AQ$5,1),tblAuftraege[Auftrag],$A40))</f>
        <v>0</v>
      </c>
      <c r="AR40" s="11" t="n">
        <f aca="false">IF($A40="",0,SUMIFS(tblAuftraege[Einnahmen],tblAuftraege[Datum Einnahmen],"&gt;="&amp;AR$5,tblAuftraege[Datum Einnahmen],"&lt;"&amp;EDATE(AR$5,1),tblAuftraege[Auftrag],$A40))</f>
        <v>0</v>
      </c>
      <c r="AS40" s="11" t="n">
        <f aca="false">IF($A40="",0,SUMIFS(tblAuftraege[Einnahmen],tblAuftraege[Datum Einnahmen],"&gt;="&amp;AS$5,tblAuftraege[Datum Einnahmen],"&lt;"&amp;EDATE(AS$5,1),tblAuftraege[Auftrag],$A40))</f>
        <v>0</v>
      </c>
      <c r="AT40" s="11" t="n">
        <f aca="false">IF($A40="",0,SUMIFS(tblAuftraege[Einnahmen],tblAuftraege[Datum Einnahmen],"&gt;="&amp;AT$5,tblAuftraege[Datum Einnahmen],"&lt;"&amp;EDATE(AT$5,1),tblAuftraege[Auftrag],$A40))</f>
        <v>0</v>
      </c>
      <c r="AU40" s="11" t="n">
        <f aca="false">IF($A40="",0,SUMIFS(tblAuftraege[Einnahmen],tblAuftraege[Datum Einnahmen],"&gt;="&amp;AU$5,tblAuftraege[Datum Einnahmen],"&lt;"&amp;EDATE(AU$5,1),tblAuftraege[Auftrag],$A40))</f>
        <v>0</v>
      </c>
      <c r="AV40" s="11" t="n">
        <f aca="false">IF($A40="",0,SUMIFS(tblAuftraege[Einnahmen],tblAuftraege[Datum Einnahmen],"&gt;="&amp;AV$5,tblAuftraege[Datum Einnahmen],"&lt;"&amp;EDATE(AV$5,1),tblAuftraege[Auftrag],$A40))</f>
        <v>0</v>
      </c>
      <c r="AW40" s="11" t="n">
        <f aca="false">IF($A40="",0,SUMIFS(tblAuftraege[Einnahmen],tblAuftraege[Datum Einnahmen],"&gt;="&amp;AW$5,tblAuftraege[Datum Einnahmen],"&lt;"&amp;EDATE(AW$5,1),tblAuftraege[Auftrag],$A40))</f>
        <v>0</v>
      </c>
      <c r="AX40" s="11" t="n">
        <f aca="false">IF($A40="",0,SUMIFS(tblAuftraege[Einnahmen],tblAuftraege[Datum Einnahmen],"&gt;="&amp;AX$5,tblAuftraege[Datum Einnahmen],"&lt;"&amp;EDATE(AX$5,1),tblAuftraege[Auftrag],$A40))</f>
        <v>0</v>
      </c>
      <c r="AY40" s="11" t="n">
        <f aca="false">IF($A40="",0,SUMIFS(tblAuftraege[Einnahmen],tblAuftraege[Datum Einnahmen],"&gt;="&amp;AY$5,tblAuftraege[Datum Einnahmen],"&lt;"&amp;EDATE(AY$5,1),tblAuftraege[Auftrag],$A40))</f>
        <v>0</v>
      </c>
      <c r="AZ40" s="11" t="n">
        <f aca="false">IF($A40="",0,SUMIFS(tblAuftraege[Einnahmen],tblAuftraege[Datum Einnahmen],"&gt;="&amp;AZ$5,tblAuftraege[Datum Einnahmen],"&lt;"&amp;EDATE(AZ$5,1),tblAuftraege[Auftrag],$A40))</f>
        <v>0</v>
      </c>
      <c r="BA40" s="11" t="n">
        <f aca="false">IF($A40="",0,SUMIFS(tblAuftraege[Einnahmen],tblAuftraege[Datum Einnahmen],"&gt;="&amp;BA$5,tblAuftraege[Datum Einnahmen],"&lt;"&amp;EDATE(BA$5,1),tblAuftraege[Auftrag],$A40))</f>
        <v>0</v>
      </c>
      <c r="BB40" s="11" t="n">
        <f aca="false">IF($A40="",0,SUMIFS(tblAuftraege[Einnahmen],tblAuftraege[Datum Einnahmen],"&gt;="&amp;BB$5,tblAuftraege[Datum Einnahmen],"&lt;"&amp;EDATE(BB$5,1),tblAuftraege[Auftrag],$A40))</f>
        <v>0</v>
      </c>
      <c r="BC40" s="11" t="n">
        <f aca="false">IF($A40="",0,SUMIFS(tblAuftraege[Einnahmen],tblAuftraege[Datum Einnahmen],"&gt;="&amp;BC$5,tblAuftraege[Datum Einnahmen],"&lt;"&amp;EDATE(BC$5,1),tblAuftraege[Auftrag],$A40))</f>
        <v>0</v>
      </c>
      <c r="BD40" s="11" t="n">
        <f aca="false">IF($A40="",0,SUMIFS(tblAuftraege[Einnahmen],tblAuftraege[Datum Einnahmen],"&gt;="&amp;BD$5,tblAuftraege[Datum Einnahmen],"&lt;"&amp;EDATE(BD$5,1),tblAuftraege[Auftrag],$A40))</f>
        <v>0</v>
      </c>
      <c r="BE40" s="11" t="n">
        <f aca="false">IF($A40="",0,SUMIFS(tblAuftraege[Einnahmen],tblAuftraege[Datum Einnahmen],"&gt;="&amp;BE$5,tblAuftraege[Datum Einnahmen],"&lt;"&amp;EDATE(BE$5,1),tblAuftraege[Auftrag],$A40))</f>
        <v>0</v>
      </c>
      <c r="BF40" s="11" t="n">
        <f aca="false">IF($A40="",0,SUMIFS(tblAuftraege[Einnahmen],tblAuftraege[Datum Einnahmen],"&gt;="&amp;BF$5,tblAuftraege[Datum Einnahmen],"&lt;"&amp;EDATE(BF$5,1),tblAuftraege[Auftrag],$A40))</f>
        <v>0</v>
      </c>
      <c r="BG40" s="11" t="n">
        <f aca="false">SUM(E40:J40)</f>
        <v>0</v>
      </c>
      <c r="BH40" s="11" t="n">
        <f aca="false">SUM(K40:V40)</f>
        <v>0</v>
      </c>
      <c r="BI40" s="11" t="n">
        <f aca="false">SUM(W40:AH40)</f>
        <v>0</v>
      </c>
      <c r="BJ40" s="11" t="n">
        <f aca="false">SUM(AI40:AT40)</f>
        <v>0</v>
      </c>
      <c r="BK40" s="11" t="n">
        <f aca="false">SUM(AU40:BF40)</f>
        <v>0</v>
      </c>
      <c r="BL40" s="12" t="n">
        <f aca="false">SUM(E40:BF40)</f>
        <v>0</v>
      </c>
    </row>
    <row r="41" customFormat="false" ht="15" hidden="false" customHeight="false" outlineLevel="0" collapsed="false">
      <c r="A41" s="9"/>
      <c r="B41" s="10" t="str">
        <f aca="false">IF($A41="","",IFERROR(INDEX(tblAuftraege[Kostenstelle],MATCH($A41,tblAuftraege[Auftrag],0)),""))</f>
        <v/>
      </c>
      <c r="C41" s="10" t="str">
        <f aca="false">IF($A41="","",IFERROR(INDEX(tblAuftraege[Themenfeld],MATCH($A41,tblAuftraege[Auftrag],0)),""))</f>
        <v/>
      </c>
      <c r="D41" s="10" t="str">
        <f aca="false">IF($A41="","",IFERROR(INDEX(tblAuftraege[Kategorie],MATCH($A41,tblAuftraege[Auftrag],0)),""))</f>
        <v/>
      </c>
      <c r="E41" s="11" t="n">
        <f aca="false">IF($A41="",0,SUMIFS(tblAuftraege[Einnahmen],tblAuftraege[Datum Einnahmen],"&gt;="&amp;E$5,tblAuftraege[Datum Einnahmen],"&lt;"&amp;EDATE(E$5,1),tblAuftraege[Auftrag],$A41))</f>
        <v>0</v>
      </c>
      <c r="F41" s="11" t="n">
        <f aca="false">IF($A41="",0,SUMIFS(tblAuftraege[Einnahmen],tblAuftraege[Datum Einnahmen],"&gt;="&amp;F$5,tblAuftraege[Datum Einnahmen],"&lt;"&amp;EDATE(F$5,1),tblAuftraege[Auftrag],$A41))</f>
        <v>0</v>
      </c>
      <c r="G41" s="11" t="n">
        <f aca="false">IF($A41="",0,SUMIFS(tblAuftraege[Einnahmen],tblAuftraege[Datum Einnahmen],"&gt;="&amp;G$5,tblAuftraege[Datum Einnahmen],"&lt;"&amp;EDATE(G$5,1),tblAuftraege[Auftrag],$A41))</f>
        <v>0</v>
      </c>
      <c r="H41" s="11" t="n">
        <f aca="false">IF($A41="",0,SUMIFS(tblAuftraege[Einnahmen],tblAuftraege[Datum Einnahmen],"&gt;="&amp;H$5,tblAuftraege[Datum Einnahmen],"&lt;"&amp;EDATE(H$5,1),tblAuftraege[Auftrag],$A41))</f>
        <v>0</v>
      </c>
      <c r="I41" s="11" t="n">
        <f aca="false">IF($A41="",0,SUMIFS(tblAuftraege[Einnahmen],tblAuftraege[Datum Einnahmen],"&gt;="&amp;I$5,tblAuftraege[Datum Einnahmen],"&lt;"&amp;EDATE(I$5,1),tblAuftraege[Auftrag],$A41))</f>
        <v>0</v>
      </c>
      <c r="J41" s="11" t="n">
        <f aca="false">IF($A41="",0,SUMIFS(tblAuftraege[Einnahmen],tblAuftraege[Datum Einnahmen],"&gt;="&amp;J$5,tblAuftraege[Datum Einnahmen],"&lt;"&amp;EDATE(J$5,1),tblAuftraege[Auftrag],$A41))</f>
        <v>0</v>
      </c>
      <c r="K41" s="11" t="n">
        <f aca="false">IF($A41="",0,SUMIFS(tblAuftraege[Einnahmen],tblAuftraege[Datum Einnahmen],"&gt;="&amp;K$5,tblAuftraege[Datum Einnahmen],"&lt;"&amp;EDATE(K$5,1),tblAuftraege[Auftrag],$A41))</f>
        <v>0</v>
      </c>
      <c r="L41" s="11" t="n">
        <f aca="false">IF($A41="",0,SUMIFS(tblAuftraege[Einnahmen],tblAuftraege[Datum Einnahmen],"&gt;="&amp;L$5,tblAuftraege[Datum Einnahmen],"&lt;"&amp;EDATE(L$5,1),tblAuftraege[Auftrag],$A41))</f>
        <v>0</v>
      </c>
      <c r="M41" s="11" t="n">
        <f aca="false">IF($A41="",0,SUMIFS(tblAuftraege[Einnahmen],tblAuftraege[Datum Einnahmen],"&gt;="&amp;M$5,tblAuftraege[Datum Einnahmen],"&lt;"&amp;EDATE(M$5,1),tblAuftraege[Auftrag],$A41))</f>
        <v>0</v>
      </c>
      <c r="N41" s="11" t="n">
        <f aca="false">IF($A41="",0,SUMIFS(tblAuftraege[Einnahmen],tblAuftraege[Datum Einnahmen],"&gt;="&amp;N$5,tblAuftraege[Datum Einnahmen],"&lt;"&amp;EDATE(N$5,1),tblAuftraege[Auftrag],$A41))</f>
        <v>0</v>
      </c>
      <c r="O41" s="11" t="n">
        <f aca="false">IF($A41="",0,SUMIFS(tblAuftraege[Einnahmen],tblAuftraege[Datum Einnahmen],"&gt;="&amp;O$5,tblAuftraege[Datum Einnahmen],"&lt;"&amp;EDATE(O$5,1),tblAuftraege[Auftrag],$A41))</f>
        <v>0</v>
      </c>
      <c r="P41" s="11" t="n">
        <f aca="false">IF($A41="",0,SUMIFS(tblAuftraege[Einnahmen],tblAuftraege[Datum Einnahmen],"&gt;="&amp;P$5,tblAuftraege[Datum Einnahmen],"&lt;"&amp;EDATE(P$5,1),tblAuftraege[Auftrag],$A41))</f>
        <v>0</v>
      </c>
      <c r="Q41" s="11" t="n">
        <f aca="false">IF($A41="",0,SUMIFS(tblAuftraege[Einnahmen],tblAuftraege[Datum Einnahmen],"&gt;="&amp;Q$5,tblAuftraege[Datum Einnahmen],"&lt;"&amp;EDATE(Q$5,1),tblAuftraege[Auftrag],$A41))</f>
        <v>0</v>
      </c>
      <c r="R41" s="11" t="n">
        <f aca="false">IF($A41="",0,SUMIFS(tblAuftraege[Einnahmen],tblAuftraege[Datum Einnahmen],"&gt;="&amp;R$5,tblAuftraege[Datum Einnahmen],"&lt;"&amp;EDATE(R$5,1),tblAuftraege[Auftrag],$A41))</f>
        <v>0</v>
      </c>
      <c r="S41" s="11" t="n">
        <f aca="false">IF($A41="",0,SUMIFS(tblAuftraege[Einnahmen],tblAuftraege[Datum Einnahmen],"&gt;="&amp;S$5,tblAuftraege[Datum Einnahmen],"&lt;"&amp;EDATE(S$5,1),tblAuftraege[Auftrag],$A41))</f>
        <v>0</v>
      </c>
      <c r="T41" s="11" t="n">
        <f aca="false">IF($A41="",0,SUMIFS(tblAuftraege[Einnahmen],tblAuftraege[Datum Einnahmen],"&gt;="&amp;T$5,tblAuftraege[Datum Einnahmen],"&lt;"&amp;EDATE(T$5,1),tblAuftraege[Auftrag],$A41))</f>
        <v>0</v>
      </c>
      <c r="U41" s="11" t="n">
        <f aca="false">IF($A41="",0,SUMIFS(tblAuftraege[Einnahmen],tblAuftraege[Datum Einnahmen],"&gt;="&amp;U$5,tblAuftraege[Datum Einnahmen],"&lt;"&amp;EDATE(U$5,1),tblAuftraege[Auftrag],$A41))</f>
        <v>0</v>
      </c>
      <c r="V41" s="11" t="n">
        <f aca="false">IF($A41="",0,SUMIFS(tblAuftraege[Einnahmen],tblAuftraege[Datum Einnahmen],"&gt;="&amp;V$5,tblAuftraege[Datum Einnahmen],"&lt;"&amp;EDATE(V$5,1),tblAuftraege[Auftrag],$A41))</f>
        <v>0</v>
      </c>
      <c r="W41" s="11" t="n">
        <f aca="false">IF($A41="",0,SUMIFS(tblAuftraege[Einnahmen],tblAuftraege[Datum Einnahmen],"&gt;="&amp;W$5,tblAuftraege[Datum Einnahmen],"&lt;"&amp;EDATE(W$5,1),tblAuftraege[Auftrag],$A41))</f>
        <v>0</v>
      </c>
      <c r="X41" s="11" t="n">
        <f aca="false">IF($A41="",0,SUMIFS(tblAuftraege[Einnahmen],tblAuftraege[Datum Einnahmen],"&gt;="&amp;X$5,tblAuftraege[Datum Einnahmen],"&lt;"&amp;EDATE(X$5,1),tblAuftraege[Auftrag],$A41))</f>
        <v>0</v>
      </c>
      <c r="Y41" s="11" t="n">
        <f aca="false">IF($A41="",0,SUMIFS(tblAuftraege[Einnahmen],tblAuftraege[Datum Einnahmen],"&gt;="&amp;Y$5,tblAuftraege[Datum Einnahmen],"&lt;"&amp;EDATE(Y$5,1),tblAuftraege[Auftrag],$A41))</f>
        <v>0</v>
      </c>
      <c r="Z41" s="11" t="n">
        <f aca="false">IF($A41="",0,SUMIFS(tblAuftraege[Einnahmen],tblAuftraege[Datum Einnahmen],"&gt;="&amp;Z$5,tblAuftraege[Datum Einnahmen],"&lt;"&amp;EDATE(Z$5,1),tblAuftraege[Auftrag],$A41))</f>
        <v>0</v>
      </c>
      <c r="AA41" s="11" t="n">
        <f aca="false">IF($A41="",0,SUMIFS(tblAuftraege[Einnahmen],tblAuftraege[Datum Einnahmen],"&gt;="&amp;AA$5,tblAuftraege[Datum Einnahmen],"&lt;"&amp;EDATE(AA$5,1),tblAuftraege[Auftrag],$A41))</f>
        <v>0</v>
      </c>
      <c r="AB41" s="11" t="n">
        <f aca="false">IF($A41="",0,SUMIFS(tblAuftraege[Einnahmen],tblAuftraege[Datum Einnahmen],"&gt;="&amp;AB$5,tblAuftraege[Datum Einnahmen],"&lt;"&amp;EDATE(AB$5,1),tblAuftraege[Auftrag],$A41))</f>
        <v>0</v>
      </c>
      <c r="AC41" s="11" t="n">
        <f aca="false">IF($A41="",0,SUMIFS(tblAuftraege[Einnahmen],tblAuftraege[Datum Einnahmen],"&gt;="&amp;AC$5,tblAuftraege[Datum Einnahmen],"&lt;"&amp;EDATE(AC$5,1),tblAuftraege[Auftrag],$A41))</f>
        <v>0</v>
      </c>
      <c r="AD41" s="11" t="n">
        <f aca="false">IF($A41="",0,SUMIFS(tblAuftraege[Einnahmen],tblAuftraege[Datum Einnahmen],"&gt;="&amp;AD$5,tblAuftraege[Datum Einnahmen],"&lt;"&amp;EDATE(AD$5,1),tblAuftraege[Auftrag],$A41))</f>
        <v>0</v>
      </c>
      <c r="AE41" s="11" t="n">
        <f aca="false">IF($A41="",0,SUMIFS(tblAuftraege[Einnahmen],tblAuftraege[Datum Einnahmen],"&gt;="&amp;AE$5,tblAuftraege[Datum Einnahmen],"&lt;"&amp;EDATE(AE$5,1),tblAuftraege[Auftrag],$A41))</f>
        <v>0</v>
      </c>
      <c r="AF41" s="11" t="n">
        <f aca="false">IF($A41="",0,SUMIFS(tblAuftraege[Einnahmen],tblAuftraege[Datum Einnahmen],"&gt;="&amp;AF$5,tblAuftraege[Datum Einnahmen],"&lt;"&amp;EDATE(AF$5,1),tblAuftraege[Auftrag],$A41))</f>
        <v>0</v>
      </c>
      <c r="AG41" s="11" t="n">
        <f aca="false">IF($A41="",0,SUMIFS(tblAuftraege[Einnahmen],tblAuftraege[Datum Einnahmen],"&gt;="&amp;AG$5,tblAuftraege[Datum Einnahmen],"&lt;"&amp;EDATE(AG$5,1),tblAuftraege[Auftrag],$A41))</f>
        <v>0</v>
      </c>
      <c r="AH41" s="11" t="n">
        <f aca="false">IF($A41="",0,SUMIFS(tblAuftraege[Einnahmen],tblAuftraege[Datum Einnahmen],"&gt;="&amp;AH$5,tblAuftraege[Datum Einnahmen],"&lt;"&amp;EDATE(AH$5,1),tblAuftraege[Auftrag],$A41))</f>
        <v>0</v>
      </c>
      <c r="AI41" s="11" t="n">
        <f aca="false">IF($A41="",0,SUMIFS(tblAuftraege[Einnahmen],tblAuftraege[Datum Einnahmen],"&gt;="&amp;AI$5,tblAuftraege[Datum Einnahmen],"&lt;"&amp;EDATE(AI$5,1),tblAuftraege[Auftrag],$A41))</f>
        <v>0</v>
      </c>
      <c r="AJ41" s="11" t="n">
        <f aca="false">IF($A41="",0,SUMIFS(tblAuftraege[Einnahmen],tblAuftraege[Datum Einnahmen],"&gt;="&amp;AJ$5,tblAuftraege[Datum Einnahmen],"&lt;"&amp;EDATE(AJ$5,1),tblAuftraege[Auftrag],$A41))</f>
        <v>0</v>
      </c>
      <c r="AK41" s="11" t="n">
        <f aca="false">IF($A41="",0,SUMIFS(tblAuftraege[Einnahmen],tblAuftraege[Datum Einnahmen],"&gt;="&amp;AK$5,tblAuftraege[Datum Einnahmen],"&lt;"&amp;EDATE(AK$5,1),tblAuftraege[Auftrag],$A41))</f>
        <v>0</v>
      </c>
      <c r="AL41" s="11" t="n">
        <f aca="false">IF($A41="",0,SUMIFS(tblAuftraege[Einnahmen],tblAuftraege[Datum Einnahmen],"&gt;="&amp;AL$5,tblAuftraege[Datum Einnahmen],"&lt;"&amp;EDATE(AL$5,1),tblAuftraege[Auftrag],$A41))</f>
        <v>0</v>
      </c>
      <c r="AM41" s="11" t="n">
        <f aca="false">IF($A41="",0,SUMIFS(tblAuftraege[Einnahmen],tblAuftraege[Datum Einnahmen],"&gt;="&amp;AM$5,tblAuftraege[Datum Einnahmen],"&lt;"&amp;EDATE(AM$5,1),tblAuftraege[Auftrag],$A41))</f>
        <v>0</v>
      </c>
      <c r="AN41" s="11" t="n">
        <f aca="false">IF($A41="",0,SUMIFS(tblAuftraege[Einnahmen],tblAuftraege[Datum Einnahmen],"&gt;="&amp;AN$5,tblAuftraege[Datum Einnahmen],"&lt;"&amp;EDATE(AN$5,1),tblAuftraege[Auftrag],$A41))</f>
        <v>0</v>
      </c>
      <c r="AO41" s="11" t="n">
        <f aca="false">IF($A41="",0,SUMIFS(tblAuftraege[Einnahmen],tblAuftraege[Datum Einnahmen],"&gt;="&amp;AO$5,tblAuftraege[Datum Einnahmen],"&lt;"&amp;EDATE(AO$5,1),tblAuftraege[Auftrag],$A41))</f>
        <v>0</v>
      </c>
      <c r="AP41" s="11" t="n">
        <f aca="false">IF($A41="",0,SUMIFS(tblAuftraege[Einnahmen],tblAuftraege[Datum Einnahmen],"&gt;="&amp;AP$5,tblAuftraege[Datum Einnahmen],"&lt;"&amp;EDATE(AP$5,1),tblAuftraege[Auftrag],$A41))</f>
        <v>0</v>
      </c>
      <c r="AQ41" s="11" t="n">
        <f aca="false">IF($A41="",0,SUMIFS(tblAuftraege[Einnahmen],tblAuftraege[Datum Einnahmen],"&gt;="&amp;AQ$5,tblAuftraege[Datum Einnahmen],"&lt;"&amp;EDATE(AQ$5,1),tblAuftraege[Auftrag],$A41))</f>
        <v>0</v>
      </c>
      <c r="AR41" s="11" t="n">
        <f aca="false">IF($A41="",0,SUMIFS(tblAuftraege[Einnahmen],tblAuftraege[Datum Einnahmen],"&gt;="&amp;AR$5,tblAuftraege[Datum Einnahmen],"&lt;"&amp;EDATE(AR$5,1),tblAuftraege[Auftrag],$A41))</f>
        <v>0</v>
      </c>
      <c r="AS41" s="11" t="n">
        <f aca="false">IF($A41="",0,SUMIFS(tblAuftraege[Einnahmen],tblAuftraege[Datum Einnahmen],"&gt;="&amp;AS$5,tblAuftraege[Datum Einnahmen],"&lt;"&amp;EDATE(AS$5,1),tblAuftraege[Auftrag],$A41))</f>
        <v>0</v>
      </c>
      <c r="AT41" s="11" t="n">
        <f aca="false">IF($A41="",0,SUMIFS(tblAuftraege[Einnahmen],tblAuftraege[Datum Einnahmen],"&gt;="&amp;AT$5,tblAuftraege[Datum Einnahmen],"&lt;"&amp;EDATE(AT$5,1),tblAuftraege[Auftrag],$A41))</f>
        <v>0</v>
      </c>
      <c r="AU41" s="11" t="n">
        <f aca="false">IF($A41="",0,SUMIFS(tblAuftraege[Einnahmen],tblAuftraege[Datum Einnahmen],"&gt;="&amp;AU$5,tblAuftraege[Datum Einnahmen],"&lt;"&amp;EDATE(AU$5,1),tblAuftraege[Auftrag],$A41))</f>
        <v>0</v>
      </c>
      <c r="AV41" s="11" t="n">
        <f aca="false">IF($A41="",0,SUMIFS(tblAuftraege[Einnahmen],tblAuftraege[Datum Einnahmen],"&gt;="&amp;AV$5,tblAuftraege[Datum Einnahmen],"&lt;"&amp;EDATE(AV$5,1),tblAuftraege[Auftrag],$A41))</f>
        <v>0</v>
      </c>
      <c r="AW41" s="11" t="n">
        <f aca="false">IF($A41="",0,SUMIFS(tblAuftraege[Einnahmen],tblAuftraege[Datum Einnahmen],"&gt;="&amp;AW$5,tblAuftraege[Datum Einnahmen],"&lt;"&amp;EDATE(AW$5,1),tblAuftraege[Auftrag],$A41))</f>
        <v>0</v>
      </c>
      <c r="AX41" s="11" t="n">
        <f aca="false">IF($A41="",0,SUMIFS(tblAuftraege[Einnahmen],tblAuftraege[Datum Einnahmen],"&gt;="&amp;AX$5,tblAuftraege[Datum Einnahmen],"&lt;"&amp;EDATE(AX$5,1),tblAuftraege[Auftrag],$A41))</f>
        <v>0</v>
      </c>
      <c r="AY41" s="11" t="n">
        <f aca="false">IF($A41="",0,SUMIFS(tblAuftraege[Einnahmen],tblAuftraege[Datum Einnahmen],"&gt;="&amp;AY$5,tblAuftraege[Datum Einnahmen],"&lt;"&amp;EDATE(AY$5,1),tblAuftraege[Auftrag],$A41))</f>
        <v>0</v>
      </c>
      <c r="AZ41" s="11" t="n">
        <f aca="false">IF($A41="",0,SUMIFS(tblAuftraege[Einnahmen],tblAuftraege[Datum Einnahmen],"&gt;="&amp;AZ$5,tblAuftraege[Datum Einnahmen],"&lt;"&amp;EDATE(AZ$5,1),tblAuftraege[Auftrag],$A41))</f>
        <v>0</v>
      </c>
      <c r="BA41" s="11" t="n">
        <f aca="false">IF($A41="",0,SUMIFS(tblAuftraege[Einnahmen],tblAuftraege[Datum Einnahmen],"&gt;="&amp;BA$5,tblAuftraege[Datum Einnahmen],"&lt;"&amp;EDATE(BA$5,1),tblAuftraege[Auftrag],$A41))</f>
        <v>0</v>
      </c>
      <c r="BB41" s="11" t="n">
        <f aca="false">IF($A41="",0,SUMIFS(tblAuftraege[Einnahmen],tblAuftraege[Datum Einnahmen],"&gt;="&amp;BB$5,tblAuftraege[Datum Einnahmen],"&lt;"&amp;EDATE(BB$5,1),tblAuftraege[Auftrag],$A41))</f>
        <v>0</v>
      </c>
      <c r="BC41" s="11" t="n">
        <f aca="false">IF($A41="",0,SUMIFS(tblAuftraege[Einnahmen],tblAuftraege[Datum Einnahmen],"&gt;="&amp;BC$5,tblAuftraege[Datum Einnahmen],"&lt;"&amp;EDATE(BC$5,1),tblAuftraege[Auftrag],$A41))</f>
        <v>0</v>
      </c>
      <c r="BD41" s="11" t="n">
        <f aca="false">IF($A41="",0,SUMIFS(tblAuftraege[Einnahmen],tblAuftraege[Datum Einnahmen],"&gt;="&amp;BD$5,tblAuftraege[Datum Einnahmen],"&lt;"&amp;EDATE(BD$5,1),tblAuftraege[Auftrag],$A41))</f>
        <v>0</v>
      </c>
      <c r="BE41" s="11" t="n">
        <f aca="false">IF($A41="",0,SUMIFS(tblAuftraege[Einnahmen],tblAuftraege[Datum Einnahmen],"&gt;="&amp;BE$5,tblAuftraege[Datum Einnahmen],"&lt;"&amp;EDATE(BE$5,1),tblAuftraege[Auftrag],$A41))</f>
        <v>0</v>
      </c>
      <c r="BF41" s="11" t="n">
        <f aca="false">IF($A41="",0,SUMIFS(tblAuftraege[Einnahmen],tblAuftraege[Datum Einnahmen],"&gt;="&amp;BF$5,tblAuftraege[Datum Einnahmen],"&lt;"&amp;EDATE(BF$5,1),tblAuftraege[Auftrag],$A41))</f>
        <v>0</v>
      </c>
      <c r="BG41" s="11" t="n">
        <f aca="false">SUM(E41:J41)</f>
        <v>0</v>
      </c>
      <c r="BH41" s="11" t="n">
        <f aca="false">SUM(K41:V41)</f>
        <v>0</v>
      </c>
      <c r="BI41" s="11" t="n">
        <f aca="false">SUM(W41:AH41)</f>
        <v>0</v>
      </c>
      <c r="BJ41" s="11" t="n">
        <f aca="false">SUM(AI41:AT41)</f>
        <v>0</v>
      </c>
      <c r="BK41" s="11" t="n">
        <f aca="false">SUM(AU41:BF41)</f>
        <v>0</v>
      </c>
      <c r="BL41" s="12" t="n">
        <f aca="false">SUM(E41:BF41)</f>
        <v>0</v>
      </c>
    </row>
    <row r="42" customFormat="false" ht="15" hidden="false" customHeight="false" outlineLevel="0" collapsed="false">
      <c r="A42" s="9"/>
      <c r="B42" s="10" t="str">
        <f aca="false">IF($A42="","",IFERROR(INDEX(tblAuftraege[Kostenstelle],MATCH($A42,tblAuftraege[Auftrag],0)),""))</f>
        <v/>
      </c>
      <c r="C42" s="10" t="str">
        <f aca="false">IF($A42="","",IFERROR(INDEX(tblAuftraege[Themenfeld],MATCH($A42,tblAuftraege[Auftrag],0)),""))</f>
        <v/>
      </c>
      <c r="D42" s="10" t="str">
        <f aca="false">IF($A42="","",IFERROR(INDEX(tblAuftraege[Kategorie],MATCH($A42,tblAuftraege[Auftrag],0)),""))</f>
        <v/>
      </c>
      <c r="E42" s="11" t="n">
        <f aca="false">IF($A42="",0,SUMIFS(tblAuftraege[Einnahmen],tblAuftraege[Datum Einnahmen],"&gt;="&amp;E$5,tblAuftraege[Datum Einnahmen],"&lt;"&amp;EDATE(E$5,1),tblAuftraege[Auftrag],$A42))</f>
        <v>0</v>
      </c>
      <c r="F42" s="11" t="n">
        <f aca="false">IF($A42="",0,SUMIFS(tblAuftraege[Einnahmen],tblAuftraege[Datum Einnahmen],"&gt;="&amp;F$5,tblAuftraege[Datum Einnahmen],"&lt;"&amp;EDATE(F$5,1),tblAuftraege[Auftrag],$A42))</f>
        <v>0</v>
      </c>
      <c r="G42" s="11" t="n">
        <f aca="false">IF($A42="",0,SUMIFS(tblAuftraege[Einnahmen],tblAuftraege[Datum Einnahmen],"&gt;="&amp;G$5,tblAuftraege[Datum Einnahmen],"&lt;"&amp;EDATE(G$5,1),tblAuftraege[Auftrag],$A42))</f>
        <v>0</v>
      </c>
      <c r="H42" s="11" t="n">
        <f aca="false">IF($A42="",0,SUMIFS(tblAuftraege[Einnahmen],tblAuftraege[Datum Einnahmen],"&gt;="&amp;H$5,tblAuftraege[Datum Einnahmen],"&lt;"&amp;EDATE(H$5,1),tblAuftraege[Auftrag],$A42))</f>
        <v>0</v>
      </c>
      <c r="I42" s="11" t="n">
        <f aca="false">IF($A42="",0,SUMIFS(tblAuftraege[Einnahmen],tblAuftraege[Datum Einnahmen],"&gt;="&amp;I$5,tblAuftraege[Datum Einnahmen],"&lt;"&amp;EDATE(I$5,1),tblAuftraege[Auftrag],$A42))</f>
        <v>0</v>
      </c>
      <c r="J42" s="11" t="n">
        <f aca="false">IF($A42="",0,SUMIFS(tblAuftraege[Einnahmen],tblAuftraege[Datum Einnahmen],"&gt;="&amp;J$5,tblAuftraege[Datum Einnahmen],"&lt;"&amp;EDATE(J$5,1),tblAuftraege[Auftrag],$A42))</f>
        <v>0</v>
      </c>
      <c r="K42" s="11" t="n">
        <f aca="false">IF($A42="",0,SUMIFS(tblAuftraege[Einnahmen],tblAuftraege[Datum Einnahmen],"&gt;="&amp;K$5,tblAuftraege[Datum Einnahmen],"&lt;"&amp;EDATE(K$5,1),tblAuftraege[Auftrag],$A42))</f>
        <v>0</v>
      </c>
      <c r="L42" s="11" t="n">
        <f aca="false">IF($A42="",0,SUMIFS(tblAuftraege[Einnahmen],tblAuftraege[Datum Einnahmen],"&gt;="&amp;L$5,tblAuftraege[Datum Einnahmen],"&lt;"&amp;EDATE(L$5,1),tblAuftraege[Auftrag],$A42))</f>
        <v>0</v>
      </c>
      <c r="M42" s="11" t="n">
        <f aca="false">IF($A42="",0,SUMIFS(tblAuftraege[Einnahmen],tblAuftraege[Datum Einnahmen],"&gt;="&amp;M$5,tblAuftraege[Datum Einnahmen],"&lt;"&amp;EDATE(M$5,1),tblAuftraege[Auftrag],$A42))</f>
        <v>0</v>
      </c>
      <c r="N42" s="11" t="n">
        <f aca="false">IF($A42="",0,SUMIFS(tblAuftraege[Einnahmen],tblAuftraege[Datum Einnahmen],"&gt;="&amp;N$5,tblAuftraege[Datum Einnahmen],"&lt;"&amp;EDATE(N$5,1),tblAuftraege[Auftrag],$A42))</f>
        <v>0</v>
      </c>
      <c r="O42" s="11" t="n">
        <f aca="false">IF($A42="",0,SUMIFS(tblAuftraege[Einnahmen],tblAuftraege[Datum Einnahmen],"&gt;="&amp;O$5,tblAuftraege[Datum Einnahmen],"&lt;"&amp;EDATE(O$5,1),tblAuftraege[Auftrag],$A42))</f>
        <v>0</v>
      </c>
      <c r="P42" s="11" t="n">
        <f aca="false">IF($A42="",0,SUMIFS(tblAuftraege[Einnahmen],tblAuftraege[Datum Einnahmen],"&gt;="&amp;P$5,tblAuftraege[Datum Einnahmen],"&lt;"&amp;EDATE(P$5,1),tblAuftraege[Auftrag],$A42))</f>
        <v>0</v>
      </c>
      <c r="Q42" s="11" t="n">
        <f aca="false">IF($A42="",0,SUMIFS(tblAuftraege[Einnahmen],tblAuftraege[Datum Einnahmen],"&gt;="&amp;Q$5,tblAuftraege[Datum Einnahmen],"&lt;"&amp;EDATE(Q$5,1),tblAuftraege[Auftrag],$A42))</f>
        <v>0</v>
      </c>
      <c r="R42" s="11" t="n">
        <f aca="false">IF($A42="",0,SUMIFS(tblAuftraege[Einnahmen],tblAuftraege[Datum Einnahmen],"&gt;="&amp;R$5,tblAuftraege[Datum Einnahmen],"&lt;"&amp;EDATE(R$5,1),tblAuftraege[Auftrag],$A42))</f>
        <v>0</v>
      </c>
      <c r="S42" s="11" t="n">
        <f aca="false">IF($A42="",0,SUMIFS(tblAuftraege[Einnahmen],tblAuftraege[Datum Einnahmen],"&gt;="&amp;S$5,tblAuftraege[Datum Einnahmen],"&lt;"&amp;EDATE(S$5,1),tblAuftraege[Auftrag],$A42))</f>
        <v>0</v>
      </c>
      <c r="T42" s="11" t="n">
        <f aca="false">IF($A42="",0,SUMIFS(tblAuftraege[Einnahmen],tblAuftraege[Datum Einnahmen],"&gt;="&amp;T$5,tblAuftraege[Datum Einnahmen],"&lt;"&amp;EDATE(T$5,1),tblAuftraege[Auftrag],$A42))</f>
        <v>0</v>
      </c>
      <c r="U42" s="11" t="n">
        <f aca="false">IF($A42="",0,SUMIFS(tblAuftraege[Einnahmen],tblAuftraege[Datum Einnahmen],"&gt;="&amp;U$5,tblAuftraege[Datum Einnahmen],"&lt;"&amp;EDATE(U$5,1),tblAuftraege[Auftrag],$A42))</f>
        <v>0</v>
      </c>
      <c r="V42" s="11" t="n">
        <f aca="false">IF($A42="",0,SUMIFS(tblAuftraege[Einnahmen],tblAuftraege[Datum Einnahmen],"&gt;="&amp;V$5,tblAuftraege[Datum Einnahmen],"&lt;"&amp;EDATE(V$5,1),tblAuftraege[Auftrag],$A42))</f>
        <v>0</v>
      </c>
      <c r="W42" s="11" t="n">
        <f aca="false">IF($A42="",0,SUMIFS(tblAuftraege[Einnahmen],tblAuftraege[Datum Einnahmen],"&gt;="&amp;W$5,tblAuftraege[Datum Einnahmen],"&lt;"&amp;EDATE(W$5,1),tblAuftraege[Auftrag],$A42))</f>
        <v>0</v>
      </c>
      <c r="X42" s="11" t="n">
        <f aca="false">IF($A42="",0,SUMIFS(tblAuftraege[Einnahmen],tblAuftraege[Datum Einnahmen],"&gt;="&amp;X$5,tblAuftraege[Datum Einnahmen],"&lt;"&amp;EDATE(X$5,1),tblAuftraege[Auftrag],$A42))</f>
        <v>0</v>
      </c>
      <c r="Y42" s="11" t="n">
        <f aca="false">IF($A42="",0,SUMIFS(tblAuftraege[Einnahmen],tblAuftraege[Datum Einnahmen],"&gt;="&amp;Y$5,tblAuftraege[Datum Einnahmen],"&lt;"&amp;EDATE(Y$5,1),tblAuftraege[Auftrag],$A42))</f>
        <v>0</v>
      </c>
      <c r="Z42" s="11" t="n">
        <f aca="false">IF($A42="",0,SUMIFS(tblAuftraege[Einnahmen],tblAuftraege[Datum Einnahmen],"&gt;="&amp;Z$5,tblAuftraege[Datum Einnahmen],"&lt;"&amp;EDATE(Z$5,1),tblAuftraege[Auftrag],$A42))</f>
        <v>0</v>
      </c>
      <c r="AA42" s="11" t="n">
        <f aca="false">IF($A42="",0,SUMIFS(tblAuftraege[Einnahmen],tblAuftraege[Datum Einnahmen],"&gt;="&amp;AA$5,tblAuftraege[Datum Einnahmen],"&lt;"&amp;EDATE(AA$5,1),tblAuftraege[Auftrag],$A42))</f>
        <v>0</v>
      </c>
      <c r="AB42" s="11" t="n">
        <f aca="false">IF($A42="",0,SUMIFS(tblAuftraege[Einnahmen],tblAuftraege[Datum Einnahmen],"&gt;="&amp;AB$5,tblAuftraege[Datum Einnahmen],"&lt;"&amp;EDATE(AB$5,1),tblAuftraege[Auftrag],$A42))</f>
        <v>0</v>
      </c>
      <c r="AC42" s="11" t="n">
        <f aca="false">IF($A42="",0,SUMIFS(tblAuftraege[Einnahmen],tblAuftraege[Datum Einnahmen],"&gt;="&amp;AC$5,tblAuftraege[Datum Einnahmen],"&lt;"&amp;EDATE(AC$5,1),tblAuftraege[Auftrag],$A42))</f>
        <v>0</v>
      </c>
      <c r="AD42" s="11" t="n">
        <f aca="false">IF($A42="",0,SUMIFS(tblAuftraege[Einnahmen],tblAuftraege[Datum Einnahmen],"&gt;="&amp;AD$5,tblAuftraege[Datum Einnahmen],"&lt;"&amp;EDATE(AD$5,1),tblAuftraege[Auftrag],$A42))</f>
        <v>0</v>
      </c>
      <c r="AE42" s="11" t="n">
        <f aca="false">IF($A42="",0,SUMIFS(tblAuftraege[Einnahmen],tblAuftraege[Datum Einnahmen],"&gt;="&amp;AE$5,tblAuftraege[Datum Einnahmen],"&lt;"&amp;EDATE(AE$5,1),tblAuftraege[Auftrag],$A42))</f>
        <v>0</v>
      </c>
      <c r="AF42" s="11" t="n">
        <f aca="false">IF($A42="",0,SUMIFS(tblAuftraege[Einnahmen],tblAuftraege[Datum Einnahmen],"&gt;="&amp;AF$5,tblAuftraege[Datum Einnahmen],"&lt;"&amp;EDATE(AF$5,1),tblAuftraege[Auftrag],$A42))</f>
        <v>0</v>
      </c>
      <c r="AG42" s="11" t="n">
        <f aca="false">IF($A42="",0,SUMIFS(tblAuftraege[Einnahmen],tblAuftraege[Datum Einnahmen],"&gt;="&amp;AG$5,tblAuftraege[Datum Einnahmen],"&lt;"&amp;EDATE(AG$5,1),tblAuftraege[Auftrag],$A42))</f>
        <v>0</v>
      </c>
      <c r="AH42" s="11" t="n">
        <f aca="false">IF($A42="",0,SUMIFS(tblAuftraege[Einnahmen],tblAuftraege[Datum Einnahmen],"&gt;="&amp;AH$5,tblAuftraege[Datum Einnahmen],"&lt;"&amp;EDATE(AH$5,1),tblAuftraege[Auftrag],$A42))</f>
        <v>0</v>
      </c>
      <c r="AI42" s="11" t="n">
        <f aca="false">IF($A42="",0,SUMIFS(tblAuftraege[Einnahmen],tblAuftraege[Datum Einnahmen],"&gt;="&amp;AI$5,tblAuftraege[Datum Einnahmen],"&lt;"&amp;EDATE(AI$5,1),tblAuftraege[Auftrag],$A42))</f>
        <v>0</v>
      </c>
      <c r="AJ42" s="11" t="n">
        <f aca="false">IF($A42="",0,SUMIFS(tblAuftraege[Einnahmen],tblAuftraege[Datum Einnahmen],"&gt;="&amp;AJ$5,tblAuftraege[Datum Einnahmen],"&lt;"&amp;EDATE(AJ$5,1),tblAuftraege[Auftrag],$A42))</f>
        <v>0</v>
      </c>
      <c r="AK42" s="11" t="n">
        <f aca="false">IF($A42="",0,SUMIFS(tblAuftraege[Einnahmen],tblAuftraege[Datum Einnahmen],"&gt;="&amp;AK$5,tblAuftraege[Datum Einnahmen],"&lt;"&amp;EDATE(AK$5,1),tblAuftraege[Auftrag],$A42))</f>
        <v>0</v>
      </c>
      <c r="AL42" s="11" t="n">
        <f aca="false">IF($A42="",0,SUMIFS(tblAuftraege[Einnahmen],tblAuftraege[Datum Einnahmen],"&gt;="&amp;AL$5,tblAuftraege[Datum Einnahmen],"&lt;"&amp;EDATE(AL$5,1),tblAuftraege[Auftrag],$A42))</f>
        <v>0</v>
      </c>
      <c r="AM42" s="11" t="n">
        <f aca="false">IF($A42="",0,SUMIFS(tblAuftraege[Einnahmen],tblAuftraege[Datum Einnahmen],"&gt;="&amp;AM$5,tblAuftraege[Datum Einnahmen],"&lt;"&amp;EDATE(AM$5,1),tblAuftraege[Auftrag],$A42))</f>
        <v>0</v>
      </c>
      <c r="AN42" s="11" t="n">
        <f aca="false">IF($A42="",0,SUMIFS(tblAuftraege[Einnahmen],tblAuftraege[Datum Einnahmen],"&gt;="&amp;AN$5,tblAuftraege[Datum Einnahmen],"&lt;"&amp;EDATE(AN$5,1),tblAuftraege[Auftrag],$A42))</f>
        <v>0</v>
      </c>
      <c r="AO42" s="11" t="n">
        <f aca="false">IF($A42="",0,SUMIFS(tblAuftraege[Einnahmen],tblAuftraege[Datum Einnahmen],"&gt;="&amp;AO$5,tblAuftraege[Datum Einnahmen],"&lt;"&amp;EDATE(AO$5,1),tblAuftraege[Auftrag],$A42))</f>
        <v>0</v>
      </c>
      <c r="AP42" s="11" t="n">
        <f aca="false">IF($A42="",0,SUMIFS(tblAuftraege[Einnahmen],tblAuftraege[Datum Einnahmen],"&gt;="&amp;AP$5,tblAuftraege[Datum Einnahmen],"&lt;"&amp;EDATE(AP$5,1),tblAuftraege[Auftrag],$A42))</f>
        <v>0</v>
      </c>
      <c r="AQ42" s="11" t="n">
        <f aca="false">IF($A42="",0,SUMIFS(tblAuftraege[Einnahmen],tblAuftraege[Datum Einnahmen],"&gt;="&amp;AQ$5,tblAuftraege[Datum Einnahmen],"&lt;"&amp;EDATE(AQ$5,1),tblAuftraege[Auftrag],$A42))</f>
        <v>0</v>
      </c>
      <c r="AR42" s="11" t="n">
        <f aca="false">IF($A42="",0,SUMIFS(tblAuftraege[Einnahmen],tblAuftraege[Datum Einnahmen],"&gt;="&amp;AR$5,tblAuftraege[Datum Einnahmen],"&lt;"&amp;EDATE(AR$5,1),tblAuftraege[Auftrag],$A42))</f>
        <v>0</v>
      </c>
      <c r="AS42" s="11" t="n">
        <f aca="false">IF($A42="",0,SUMIFS(tblAuftraege[Einnahmen],tblAuftraege[Datum Einnahmen],"&gt;="&amp;AS$5,tblAuftraege[Datum Einnahmen],"&lt;"&amp;EDATE(AS$5,1),tblAuftraege[Auftrag],$A42))</f>
        <v>0</v>
      </c>
      <c r="AT42" s="11" t="n">
        <f aca="false">IF($A42="",0,SUMIFS(tblAuftraege[Einnahmen],tblAuftraege[Datum Einnahmen],"&gt;="&amp;AT$5,tblAuftraege[Datum Einnahmen],"&lt;"&amp;EDATE(AT$5,1),tblAuftraege[Auftrag],$A42))</f>
        <v>0</v>
      </c>
      <c r="AU42" s="11" t="n">
        <f aca="false">IF($A42="",0,SUMIFS(tblAuftraege[Einnahmen],tblAuftraege[Datum Einnahmen],"&gt;="&amp;AU$5,tblAuftraege[Datum Einnahmen],"&lt;"&amp;EDATE(AU$5,1),tblAuftraege[Auftrag],$A42))</f>
        <v>0</v>
      </c>
      <c r="AV42" s="11" t="n">
        <f aca="false">IF($A42="",0,SUMIFS(tblAuftraege[Einnahmen],tblAuftraege[Datum Einnahmen],"&gt;="&amp;AV$5,tblAuftraege[Datum Einnahmen],"&lt;"&amp;EDATE(AV$5,1),tblAuftraege[Auftrag],$A42))</f>
        <v>0</v>
      </c>
      <c r="AW42" s="11" t="n">
        <f aca="false">IF($A42="",0,SUMIFS(tblAuftraege[Einnahmen],tblAuftraege[Datum Einnahmen],"&gt;="&amp;AW$5,tblAuftraege[Datum Einnahmen],"&lt;"&amp;EDATE(AW$5,1),tblAuftraege[Auftrag],$A42))</f>
        <v>0</v>
      </c>
      <c r="AX42" s="11" t="n">
        <f aca="false">IF($A42="",0,SUMIFS(tblAuftraege[Einnahmen],tblAuftraege[Datum Einnahmen],"&gt;="&amp;AX$5,tblAuftraege[Datum Einnahmen],"&lt;"&amp;EDATE(AX$5,1),tblAuftraege[Auftrag],$A42))</f>
        <v>0</v>
      </c>
      <c r="AY42" s="11" t="n">
        <f aca="false">IF($A42="",0,SUMIFS(tblAuftraege[Einnahmen],tblAuftraege[Datum Einnahmen],"&gt;="&amp;AY$5,tblAuftraege[Datum Einnahmen],"&lt;"&amp;EDATE(AY$5,1),tblAuftraege[Auftrag],$A42))</f>
        <v>0</v>
      </c>
      <c r="AZ42" s="11" t="n">
        <f aca="false">IF($A42="",0,SUMIFS(tblAuftraege[Einnahmen],tblAuftraege[Datum Einnahmen],"&gt;="&amp;AZ$5,tblAuftraege[Datum Einnahmen],"&lt;"&amp;EDATE(AZ$5,1),tblAuftraege[Auftrag],$A42))</f>
        <v>0</v>
      </c>
      <c r="BA42" s="11" t="n">
        <f aca="false">IF($A42="",0,SUMIFS(tblAuftraege[Einnahmen],tblAuftraege[Datum Einnahmen],"&gt;="&amp;BA$5,tblAuftraege[Datum Einnahmen],"&lt;"&amp;EDATE(BA$5,1),tblAuftraege[Auftrag],$A42))</f>
        <v>0</v>
      </c>
      <c r="BB42" s="11" t="n">
        <f aca="false">IF($A42="",0,SUMIFS(tblAuftraege[Einnahmen],tblAuftraege[Datum Einnahmen],"&gt;="&amp;BB$5,tblAuftraege[Datum Einnahmen],"&lt;"&amp;EDATE(BB$5,1),tblAuftraege[Auftrag],$A42))</f>
        <v>0</v>
      </c>
      <c r="BC42" s="11" t="n">
        <f aca="false">IF($A42="",0,SUMIFS(tblAuftraege[Einnahmen],tblAuftraege[Datum Einnahmen],"&gt;="&amp;BC$5,tblAuftraege[Datum Einnahmen],"&lt;"&amp;EDATE(BC$5,1),tblAuftraege[Auftrag],$A42))</f>
        <v>0</v>
      </c>
      <c r="BD42" s="11" t="n">
        <f aca="false">IF($A42="",0,SUMIFS(tblAuftraege[Einnahmen],tblAuftraege[Datum Einnahmen],"&gt;="&amp;BD$5,tblAuftraege[Datum Einnahmen],"&lt;"&amp;EDATE(BD$5,1),tblAuftraege[Auftrag],$A42))</f>
        <v>0</v>
      </c>
      <c r="BE42" s="11" t="n">
        <f aca="false">IF($A42="",0,SUMIFS(tblAuftraege[Einnahmen],tblAuftraege[Datum Einnahmen],"&gt;="&amp;BE$5,tblAuftraege[Datum Einnahmen],"&lt;"&amp;EDATE(BE$5,1),tblAuftraege[Auftrag],$A42))</f>
        <v>0</v>
      </c>
      <c r="BF42" s="11" t="n">
        <f aca="false">IF($A42="",0,SUMIFS(tblAuftraege[Einnahmen],tblAuftraege[Datum Einnahmen],"&gt;="&amp;BF$5,tblAuftraege[Datum Einnahmen],"&lt;"&amp;EDATE(BF$5,1),tblAuftraege[Auftrag],$A42))</f>
        <v>0</v>
      </c>
      <c r="BG42" s="11" t="n">
        <f aca="false">SUM(E42:J42)</f>
        <v>0</v>
      </c>
      <c r="BH42" s="11" t="n">
        <f aca="false">SUM(K42:V42)</f>
        <v>0</v>
      </c>
      <c r="BI42" s="11" t="n">
        <f aca="false">SUM(W42:AH42)</f>
        <v>0</v>
      </c>
      <c r="BJ42" s="11" t="n">
        <f aca="false">SUM(AI42:AT42)</f>
        <v>0</v>
      </c>
      <c r="BK42" s="11" t="n">
        <f aca="false">SUM(AU42:BF42)</f>
        <v>0</v>
      </c>
      <c r="BL42" s="12" t="n">
        <f aca="false">SUM(E42:BF42)</f>
        <v>0</v>
      </c>
    </row>
    <row r="43" customFormat="false" ht="15" hidden="false" customHeight="false" outlineLevel="0" collapsed="false">
      <c r="A43" s="9"/>
      <c r="B43" s="10" t="str">
        <f aca="false">IF($A43="","",IFERROR(INDEX(tblAuftraege[Kostenstelle],MATCH($A43,tblAuftraege[Auftrag],0)),""))</f>
        <v/>
      </c>
      <c r="C43" s="10" t="str">
        <f aca="false">IF($A43="","",IFERROR(INDEX(tblAuftraege[Themenfeld],MATCH($A43,tblAuftraege[Auftrag],0)),""))</f>
        <v/>
      </c>
      <c r="D43" s="10" t="str">
        <f aca="false">IF($A43="","",IFERROR(INDEX(tblAuftraege[Kategorie],MATCH($A43,tblAuftraege[Auftrag],0)),""))</f>
        <v/>
      </c>
      <c r="E43" s="11" t="n">
        <f aca="false">IF($A43="",0,SUMIFS(tblAuftraege[Einnahmen],tblAuftraege[Datum Einnahmen],"&gt;="&amp;E$5,tblAuftraege[Datum Einnahmen],"&lt;"&amp;EDATE(E$5,1),tblAuftraege[Auftrag],$A43))</f>
        <v>0</v>
      </c>
      <c r="F43" s="11" t="n">
        <f aca="false">IF($A43="",0,SUMIFS(tblAuftraege[Einnahmen],tblAuftraege[Datum Einnahmen],"&gt;="&amp;F$5,tblAuftraege[Datum Einnahmen],"&lt;"&amp;EDATE(F$5,1),tblAuftraege[Auftrag],$A43))</f>
        <v>0</v>
      </c>
      <c r="G43" s="11" t="n">
        <f aca="false">IF($A43="",0,SUMIFS(tblAuftraege[Einnahmen],tblAuftraege[Datum Einnahmen],"&gt;="&amp;G$5,tblAuftraege[Datum Einnahmen],"&lt;"&amp;EDATE(G$5,1),tblAuftraege[Auftrag],$A43))</f>
        <v>0</v>
      </c>
      <c r="H43" s="11" t="n">
        <f aca="false">IF($A43="",0,SUMIFS(tblAuftraege[Einnahmen],tblAuftraege[Datum Einnahmen],"&gt;="&amp;H$5,tblAuftraege[Datum Einnahmen],"&lt;"&amp;EDATE(H$5,1),tblAuftraege[Auftrag],$A43))</f>
        <v>0</v>
      </c>
      <c r="I43" s="11" t="n">
        <f aca="false">IF($A43="",0,SUMIFS(tblAuftraege[Einnahmen],tblAuftraege[Datum Einnahmen],"&gt;="&amp;I$5,tblAuftraege[Datum Einnahmen],"&lt;"&amp;EDATE(I$5,1),tblAuftraege[Auftrag],$A43))</f>
        <v>0</v>
      </c>
      <c r="J43" s="11" t="n">
        <f aca="false">IF($A43="",0,SUMIFS(tblAuftraege[Einnahmen],tblAuftraege[Datum Einnahmen],"&gt;="&amp;J$5,tblAuftraege[Datum Einnahmen],"&lt;"&amp;EDATE(J$5,1),tblAuftraege[Auftrag],$A43))</f>
        <v>0</v>
      </c>
      <c r="K43" s="11" t="n">
        <f aca="false">IF($A43="",0,SUMIFS(tblAuftraege[Einnahmen],tblAuftraege[Datum Einnahmen],"&gt;="&amp;K$5,tblAuftraege[Datum Einnahmen],"&lt;"&amp;EDATE(K$5,1),tblAuftraege[Auftrag],$A43))</f>
        <v>0</v>
      </c>
      <c r="L43" s="11" t="n">
        <f aca="false">IF($A43="",0,SUMIFS(tblAuftraege[Einnahmen],tblAuftraege[Datum Einnahmen],"&gt;="&amp;L$5,tblAuftraege[Datum Einnahmen],"&lt;"&amp;EDATE(L$5,1),tblAuftraege[Auftrag],$A43))</f>
        <v>0</v>
      </c>
      <c r="M43" s="11" t="n">
        <f aca="false">IF($A43="",0,SUMIFS(tblAuftraege[Einnahmen],tblAuftraege[Datum Einnahmen],"&gt;="&amp;M$5,tblAuftraege[Datum Einnahmen],"&lt;"&amp;EDATE(M$5,1),tblAuftraege[Auftrag],$A43))</f>
        <v>0</v>
      </c>
      <c r="N43" s="11" t="n">
        <f aca="false">IF($A43="",0,SUMIFS(tblAuftraege[Einnahmen],tblAuftraege[Datum Einnahmen],"&gt;="&amp;N$5,tblAuftraege[Datum Einnahmen],"&lt;"&amp;EDATE(N$5,1),tblAuftraege[Auftrag],$A43))</f>
        <v>0</v>
      </c>
      <c r="O43" s="11" t="n">
        <f aca="false">IF($A43="",0,SUMIFS(tblAuftraege[Einnahmen],tblAuftraege[Datum Einnahmen],"&gt;="&amp;O$5,tblAuftraege[Datum Einnahmen],"&lt;"&amp;EDATE(O$5,1),tblAuftraege[Auftrag],$A43))</f>
        <v>0</v>
      </c>
      <c r="P43" s="11" t="n">
        <f aca="false">IF($A43="",0,SUMIFS(tblAuftraege[Einnahmen],tblAuftraege[Datum Einnahmen],"&gt;="&amp;P$5,tblAuftraege[Datum Einnahmen],"&lt;"&amp;EDATE(P$5,1),tblAuftraege[Auftrag],$A43))</f>
        <v>0</v>
      </c>
      <c r="Q43" s="11" t="n">
        <f aca="false">IF($A43="",0,SUMIFS(tblAuftraege[Einnahmen],tblAuftraege[Datum Einnahmen],"&gt;="&amp;Q$5,tblAuftraege[Datum Einnahmen],"&lt;"&amp;EDATE(Q$5,1),tblAuftraege[Auftrag],$A43))</f>
        <v>0</v>
      </c>
      <c r="R43" s="11" t="n">
        <f aca="false">IF($A43="",0,SUMIFS(tblAuftraege[Einnahmen],tblAuftraege[Datum Einnahmen],"&gt;="&amp;R$5,tblAuftraege[Datum Einnahmen],"&lt;"&amp;EDATE(R$5,1),tblAuftraege[Auftrag],$A43))</f>
        <v>0</v>
      </c>
      <c r="S43" s="11" t="n">
        <f aca="false">IF($A43="",0,SUMIFS(tblAuftraege[Einnahmen],tblAuftraege[Datum Einnahmen],"&gt;="&amp;S$5,tblAuftraege[Datum Einnahmen],"&lt;"&amp;EDATE(S$5,1),tblAuftraege[Auftrag],$A43))</f>
        <v>0</v>
      </c>
      <c r="T43" s="11" t="n">
        <f aca="false">IF($A43="",0,SUMIFS(tblAuftraege[Einnahmen],tblAuftraege[Datum Einnahmen],"&gt;="&amp;T$5,tblAuftraege[Datum Einnahmen],"&lt;"&amp;EDATE(T$5,1),tblAuftraege[Auftrag],$A43))</f>
        <v>0</v>
      </c>
      <c r="U43" s="11" t="n">
        <f aca="false">IF($A43="",0,SUMIFS(tblAuftraege[Einnahmen],tblAuftraege[Datum Einnahmen],"&gt;="&amp;U$5,tblAuftraege[Datum Einnahmen],"&lt;"&amp;EDATE(U$5,1),tblAuftraege[Auftrag],$A43))</f>
        <v>0</v>
      </c>
      <c r="V43" s="11" t="n">
        <f aca="false">IF($A43="",0,SUMIFS(tblAuftraege[Einnahmen],tblAuftraege[Datum Einnahmen],"&gt;="&amp;V$5,tblAuftraege[Datum Einnahmen],"&lt;"&amp;EDATE(V$5,1),tblAuftraege[Auftrag],$A43))</f>
        <v>0</v>
      </c>
      <c r="W43" s="11" t="n">
        <f aca="false">IF($A43="",0,SUMIFS(tblAuftraege[Einnahmen],tblAuftraege[Datum Einnahmen],"&gt;="&amp;W$5,tblAuftraege[Datum Einnahmen],"&lt;"&amp;EDATE(W$5,1),tblAuftraege[Auftrag],$A43))</f>
        <v>0</v>
      </c>
      <c r="X43" s="11" t="n">
        <f aca="false">IF($A43="",0,SUMIFS(tblAuftraege[Einnahmen],tblAuftraege[Datum Einnahmen],"&gt;="&amp;X$5,tblAuftraege[Datum Einnahmen],"&lt;"&amp;EDATE(X$5,1),tblAuftraege[Auftrag],$A43))</f>
        <v>0</v>
      </c>
      <c r="Y43" s="11" t="n">
        <f aca="false">IF($A43="",0,SUMIFS(tblAuftraege[Einnahmen],tblAuftraege[Datum Einnahmen],"&gt;="&amp;Y$5,tblAuftraege[Datum Einnahmen],"&lt;"&amp;EDATE(Y$5,1),tblAuftraege[Auftrag],$A43))</f>
        <v>0</v>
      </c>
      <c r="Z43" s="11" t="n">
        <f aca="false">IF($A43="",0,SUMIFS(tblAuftraege[Einnahmen],tblAuftraege[Datum Einnahmen],"&gt;="&amp;Z$5,tblAuftraege[Datum Einnahmen],"&lt;"&amp;EDATE(Z$5,1),tblAuftraege[Auftrag],$A43))</f>
        <v>0</v>
      </c>
      <c r="AA43" s="11" t="n">
        <f aca="false">IF($A43="",0,SUMIFS(tblAuftraege[Einnahmen],tblAuftraege[Datum Einnahmen],"&gt;="&amp;AA$5,tblAuftraege[Datum Einnahmen],"&lt;"&amp;EDATE(AA$5,1),tblAuftraege[Auftrag],$A43))</f>
        <v>0</v>
      </c>
      <c r="AB43" s="11" t="n">
        <f aca="false">IF($A43="",0,SUMIFS(tblAuftraege[Einnahmen],tblAuftraege[Datum Einnahmen],"&gt;="&amp;AB$5,tblAuftraege[Datum Einnahmen],"&lt;"&amp;EDATE(AB$5,1),tblAuftraege[Auftrag],$A43))</f>
        <v>0</v>
      </c>
      <c r="AC43" s="11" t="n">
        <f aca="false">IF($A43="",0,SUMIFS(tblAuftraege[Einnahmen],tblAuftraege[Datum Einnahmen],"&gt;="&amp;AC$5,tblAuftraege[Datum Einnahmen],"&lt;"&amp;EDATE(AC$5,1),tblAuftraege[Auftrag],$A43))</f>
        <v>0</v>
      </c>
      <c r="AD43" s="11" t="n">
        <f aca="false">IF($A43="",0,SUMIFS(tblAuftraege[Einnahmen],tblAuftraege[Datum Einnahmen],"&gt;="&amp;AD$5,tblAuftraege[Datum Einnahmen],"&lt;"&amp;EDATE(AD$5,1),tblAuftraege[Auftrag],$A43))</f>
        <v>0</v>
      </c>
      <c r="AE43" s="11" t="n">
        <f aca="false">IF($A43="",0,SUMIFS(tblAuftraege[Einnahmen],tblAuftraege[Datum Einnahmen],"&gt;="&amp;AE$5,tblAuftraege[Datum Einnahmen],"&lt;"&amp;EDATE(AE$5,1),tblAuftraege[Auftrag],$A43))</f>
        <v>0</v>
      </c>
      <c r="AF43" s="11" t="n">
        <f aca="false">IF($A43="",0,SUMIFS(tblAuftraege[Einnahmen],tblAuftraege[Datum Einnahmen],"&gt;="&amp;AF$5,tblAuftraege[Datum Einnahmen],"&lt;"&amp;EDATE(AF$5,1),tblAuftraege[Auftrag],$A43))</f>
        <v>0</v>
      </c>
      <c r="AG43" s="11" t="n">
        <f aca="false">IF($A43="",0,SUMIFS(tblAuftraege[Einnahmen],tblAuftraege[Datum Einnahmen],"&gt;="&amp;AG$5,tblAuftraege[Datum Einnahmen],"&lt;"&amp;EDATE(AG$5,1),tblAuftraege[Auftrag],$A43))</f>
        <v>0</v>
      </c>
      <c r="AH43" s="11" t="n">
        <f aca="false">IF($A43="",0,SUMIFS(tblAuftraege[Einnahmen],tblAuftraege[Datum Einnahmen],"&gt;="&amp;AH$5,tblAuftraege[Datum Einnahmen],"&lt;"&amp;EDATE(AH$5,1),tblAuftraege[Auftrag],$A43))</f>
        <v>0</v>
      </c>
      <c r="AI43" s="11" t="n">
        <f aca="false">IF($A43="",0,SUMIFS(tblAuftraege[Einnahmen],tblAuftraege[Datum Einnahmen],"&gt;="&amp;AI$5,tblAuftraege[Datum Einnahmen],"&lt;"&amp;EDATE(AI$5,1),tblAuftraege[Auftrag],$A43))</f>
        <v>0</v>
      </c>
      <c r="AJ43" s="11" t="n">
        <f aca="false">IF($A43="",0,SUMIFS(tblAuftraege[Einnahmen],tblAuftraege[Datum Einnahmen],"&gt;="&amp;AJ$5,tblAuftraege[Datum Einnahmen],"&lt;"&amp;EDATE(AJ$5,1),tblAuftraege[Auftrag],$A43))</f>
        <v>0</v>
      </c>
      <c r="AK43" s="11" t="n">
        <f aca="false">IF($A43="",0,SUMIFS(tblAuftraege[Einnahmen],tblAuftraege[Datum Einnahmen],"&gt;="&amp;AK$5,tblAuftraege[Datum Einnahmen],"&lt;"&amp;EDATE(AK$5,1),tblAuftraege[Auftrag],$A43))</f>
        <v>0</v>
      </c>
      <c r="AL43" s="11" t="n">
        <f aca="false">IF($A43="",0,SUMIFS(tblAuftraege[Einnahmen],tblAuftraege[Datum Einnahmen],"&gt;="&amp;AL$5,tblAuftraege[Datum Einnahmen],"&lt;"&amp;EDATE(AL$5,1),tblAuftraege[Auftrag],$A43))</f>
        <v>0</v>
      </c>
      <c r="AM43" s="11" t="n">
        <f aca="false">IF($A43="",0,SUMIFS(tblAuftraege[Einnahmen],tblAuftraege[Datum Einnahmen],"&gt;="&amp;AM$5,tblAuftraege[Datum Einnahmen],"&lt;"&amp;EDATE(AM$5,1),tblAuftraege[Auftrag],$A43))</f>
        <v>0</v>
      </c>
      <c r="AN43" s="11" t="n">
        <f aca="false">IF($A43="",0,SUMIFS(tblAuftraege[Einnahmen],tblAuftraege[Datum Einnahmen],"&gt;="&amp;AN$5,tblAuftraege[Datum Einnahmen],"&lt;"&amp;EDATE(AN$5,1),tblAuftraege[Auftrag],$A43))</f>
        <v>0</v>
      </c>
      <c r="AO43" s="11" t="n">
        <f aca="false">IF($A43="",0,SUMIFS(tblAuftraege[Einnahmen],tblAuftraege[Datum Einnahmen],"&gt;="&amp;AO$5,tblAuftraege[Datum Einnahmen],"&lt;"&amp;EDATE(AO$5,1),tblAuftraege[Auftrag],$A43))</f>
        <v>0</v>
      </c>
      <c r="AP43" s="11" t="n">
        <f aca="false">IF($A43="",0,SUMIFS(tblAuftraege[Einnahmen],tblAuftraege[Datum Einnahmen],"&gt;="&amp;AP$5,tblAuftraege[Datum Einnahmen],"&lt;"&amp;EDATE(AP$5,1),tblAuftraege[Auftrag],$A43))</f>
        <v>0</v>
      </c>
      <c r="AQ43" s="11" t="n">
        <f aca="false">IF($A43="",0,SUMIFS(tblAuftraege[Einnahmen],tblAuftraege[Datum Einnahmen],"&gt;="&amp;AQ$5,tblAuftraege[Datum Einnahmen],"&lt;"&amp;EDATE(AQ$5,1),tblAuftraege[Auftrag],$A43))</f>
        <v>0</v>
      </c>
      <c r="AR43" s="11" t="n">
        <f aca="false">IF($A43="",0,SUMIFS(tblAuftraege[Einnahmen],tblAuftraege[Datum Einnahmen],"&gt;="&amp;AR$5,tblAuftraege[Datum Einnahmen],"&lt;"&amp;EDATE(AR$5,1),tblAuftraege[Auftrag],$A43))</f>
        <v>0</v>
      </c>
      <c r="AS43" s="11" t="n">
        <f aca="false">IF($A43="",0,SUMIFS(tblAuftraege[Einnahmen],tblAuftraege[Datum Einnahmen],"&gt;="&amp;AS$5,tblAuftraege[Datum Einnahmen],"&lt;"&amp;EDATE(AS$5,1),tblAuftraege[Auftrag],$A43))</f>
        <v>0</v>
      </c>
      <c r="AT43" s="11" t="n">
        <f aca="false">IF($A43="",0,SUMIFS(tblAuftraege[Einnahmen],tblAuftraege[Datum Einnahmen],"&gt;="&amp;AT$5,tblAuftraege[Datum Einnahmen],"&lt;"&amp;EDATE(AT$5,1),tblAuftraege[Auftrag],$A43))</f>
        <v>0</v>
      </c>
      <c r="AU43" s="11" t="n">
        <f aca="false">IF($A43="",0,SUMIFS(tblAuftraege[Einnahmen],tblAuftraege[Datum Einnahmen],"&gt;="&amp;AU$5,tblAuftraege[Datum Einnahmen],"&lt;"&amp;EDATE(AU$5,1),tblAuftraege[Auftrag],$A43))</f>
        <v>0</v>
      </c>
      <c r="AV43" s="11" t="n">
        <f aca="false">IF($A43="",0,SUMIFS(tblAuftraege[Einnahmen],tblAuftraege[Datum Einnahmen],"&gt;="&amp;AV$5,tblAuftraege[Datum Einnahmen],"&lt;"&amp;EDATE(AV$5,1),tblAuftraege[Auftrag],$A43))</f>
        <v>0</v>
      </c>
      <c r="AW43" s="11" t="n">
        <f aca="false">IF($A43="",0,SUMIFS(tblAuftraege[Einnahmen],tblAuftraege[Datum Einnahmen],"&gt;="&amp;AW$5,tblAuftraege[Datum Einnahmen],"&lt;"&amp;EDATE(AW$5,1),tblAuftraege[Auftrag],$A43))</f>
        <v>0</v>
      </c>
      <c r="AX43" s="11" t="n">
        <f aca="false">IF($A43="",0,SUMIFS(tblAuftraege[Einnahmen],tblAuftraege[Datum Einnahmen],"&gt;="&amp;AX$5,tblAuftraege[Datum Einnahmen],"&lt;"&amp;EDATE(AX$5,1),tblAuftraege[Auftrag],$A43))</f>
        <v>0</v>
      </c>
      <c r="AY43" s="11" t="n">
        <f aca="false">IF($A43="",0,SUMIFS(tblAuftraege[Einnahmen],tblAuftraege[Datum Einnahmen],"&gt;="&amp;AY$5,tblAuftraege[Datum Einnahmen],"&lt;"&amp;EDATE(AY$5,1),tblAuftraege[Auftrag],$A43))</f>
        <v>0</v>
      </c>
      <c r="AZ43" s="11" t="n">
        <f aca="false">IF($A43="",0,SUMIFS(tblAuftraege[Einnahmen],tblAuftraege[Datum Einnahmen],"&gt;="&amp;AZ$5,tblAuftraege[Datum Einnahmen],"&lt;"&amp;EDATE(AZ$5,1),tblAuftraege[Auftrag],$A43))</f>
        <v>0</v>
      </c>
      <c r="BA43" s="11" t="n">
        <f aca="false">IF($A43="",0,SUMIFS(tblAuftraege[Einnahmen],tblAuftraege[Datum Einnahmen],"&gt;="&amp;BA$5,tblAuftraege[Datum Einnahmen],"&lt;"&amp;EDATE(BA$5,1),tblAuftraege[Auftrag],$A43))</f>
        <v>0</v>
      </c>
      <c r="BB43" s="11" t="n">
        <f aca="false">IF($A43="",0,SUMIFS(tblAuftraege[Einnahmen],tblAuftraege[Datum Einnahmen],"&gt;="&amp;BB$5,tblAuftraege[Datum Einnahmen],"&lt;"&amp;EDATE(BB$5,1),tblAuftraege[Auftrag],$A43))</f>
        <v>0</v>
      </c>
      <c r="BC43" s="11" t="n">
        <f aca="false">IF($A43="",0,SUMIFS(tblAuftraege[Einnahmen],tblAuftraege[Datum Einnahmen],"&gt;="&amp;BC$5,tblAuftraege[Datum Einnahmen],"&lt;"&amp;EDATE(BC$5,1),tblAuftraege[Auftrag],$A43))</f>
        <v>0</v>
      </c>
      <c r="BD43" s="11" t="n">
        <f aca="false">IF($A43="",0,SUMIFS(tblAuftraege[Einnahmen],tblAuftraege[Datum Einnahmen],"&gt;="&amp;BD$5,tblAuftraege[Datum Einnahmen],"&lt;"&amp;EDATE(BD$5,1),tblAuftraege[Auftrag],$A43))</f>
        <v>0</v>
      </c>
      <c r="BE43" s="11" t="n">
        <f aca="false">IF($A43="",0,SUMIFS(tblAuftraege[Einnahmen],tblAuftraege[Datum Einnahmen],"&gt;="&amp;BE$5,tblAuftraege[Datum Einnahmen],"&lt;"&amp;EDATE(BE$5,1),tblAuftraege[Auftrag],$A43))</f>
        <v>0</v>
      </c>
      <c r="BF43" s="11" t="n">
        <f aca="false">IF($A43="",0,SUMIFS(tblAuftraege[Einnahmen],tblAuftraege[Datum Einnahmen],"&gt;="&amp;BF$5,tblAuftraege[Datum Einnahmen],"&lt;"&amp;EDATE(BF$5,1),tblAuftraege[Auftrag],$A43))</f>
        <v>0</v>
      </c>
      <c r="BG43" s="11" t="n">
        <f aca="false">SUM(E43:J43)</f>
        <v>0</v>
      </c>
      <c r="BH43" s="11" t="n">
        <f aca="false">SUM(K43:V43)</f>
        <v>0</v>
      </c>
      <c r="BI43" s="11" t="n">
        <f aca="false">SUM(W43:AH43)</f>
        <v>0</v>
      </c>
      <c r="BJ43" s="11" t="n">
        <f aca="false">SUM(AI43:AT43)</f>
        <v>0</v>
      </c>
      <c r="BK43" s="11" t="n">
        <f aca="false">SUM(AU43:BF43)</f>
        <v>0</v>
      </c>
      <c r="BL43" s="12" t="n">
        <f aca="false">SUM(E43:BF43)</f>
        <v>0</v>
      </c>
    </row>
    <row r="44" customFormat="false" ht="15" hidden="false" customHeight="false" outlineLevel="0" collapsed="false">
      <c r="A44" s="9"/>
      <c r="B44" s="10" t="str">
        <f aca="false">IF($A44="","",IFERROR(INDEX(tblAuftraege[Kostenstelle],MATCH($A44,tblAuftraege[Auftrag],0)),""))</f>
        <v/>
      </c>
      <c r="C44" s="10" t="str">
        <f aca="false">IF($A44="","",IFERROR(INDEX(tblAuftraege[Themenfeld],MATCH($A44,tblAuftraege[Auftrag],0)),""))</f>
        <v/>
      </c>
      <c r="D44" s="10" t="str">
        <f aca="false">IF($A44="","",IFERROR(INDEX(tblAuftraege[Kategorie],MATCH($A44,tblAuftraege[Auftrag],0)),""))</f>
        <v/>
      </c>
      <c r="E44" s="11" t="n">
        <f aca="false">IF($A44="",0,SUMIFS(tblAuftraege[Einnahmen],tblAuftraege[Datum Einnahmen],"&gt;="&amp;E$5,tblAuftraege[Datum Einnahmen],"&lt;"&amp;EDATE(E$5,1),tblAuftraege[Auftrag],$A44))</f>
        <v>0</v>
      </c>
      <c r="F44" s="11" t="n">
        <f aca="false">IF($A44="",0,SUMIFS(tblAuftraege[Einnahmen],tblAuftraege[Datum Einnahmen],"&gt;="&amp;F$5,tblAuftraege[Datum Einnahmen],"&lt;"&amp;EDATE(F$5,1),tblAuftraege[Auftrag],$A44))</f>
        <v>0</v>
      </c>
      <c r="G44" s="11" t="n">
        <f aca="false">IF($A44="",0,SUMIFS(tblAuftraege[Einnahmen],tblAuftraege[Datum Einnahmen],"&gt;="&amp;G$5,tblAuftraege[Datum Einnahmen],"&lt;"&amp;EDATE(G$5,1),tblAuftraege[Auftrag],$A44))</f>
        <v>0</v>
      </c>
      <c r="H44" s="11" t="n">
        <f aca="false">IF($A44="",0,SUMIFS(tblAuftraege[Einnahmen],tblAuftraege[Datum Einnahmen],"&gt;="&amp;H$5,tblAuftraege[Datum Einnahmen],"&lt;"&amp;EDATE(H$5,1),tblAuftraege[Auftrag],$A44))</f>
        <v>0</v>
      </c>
      <c r="I44" s="11" t="n">
        <f aca="false">IF($A44="",0,SUMIFS(tblAuftraege[Einnahmen],tblAuftraege[Datum Einnahmen],"&gt;="&amp;I$5,tblAuftraege[Datum Einnahmen],"&lt;"&amp;EDATE(I$5,1),tblAuftraege[Auftrag],$A44))</f>
        <v>0</v>
      </c>
      <c r="J44" s="11" t="n">
        <f aca="false">IF($A44="",0,SUMIFS(tblAuftraege[Einnahmen],tblAuftraege[Datum Einnahmen],"&gt;="&amp;J$5,tblAuftraege[Datum Einnahmen],"&lt;"&amp;EDATE(J$5,1),tblAuftraege[Auftrag],$A44))</f>
        <v>0</v>
      </c>
      <c r="K44" s="11" t="n">
        <f aca="false">IF($A44="",0,SUMIFS(tblAuftraege[Einnahmen],tblAuftraege[Datum Einnahmen],"&gt;="&amp;K$5,tblAuftraege[Datum Einnahmen],"&lt;"&amp;EDATE(K$5,1),tblAuftraege[Auftrag],$A44))</f>
        <v>0</v>
      </c>
      <c r="L44" s="11" t="n">
        <f aca="false">IF($A44="",0,SUMIFS(tblAuftraege[Einnahmen],tblAuftraege[Datum Einnahmen],"&gt;="&amp;L$5,tblAuftraege[Datum Einnahmen],"&lt;"&amp;EDATE(L$5,1),tblAuftraege[Auftrag],$A44))</f>
        <v>0</v>
      </c>
      <c r="M44" s="11" t="n">
        <f aca="false">IF($A44="",0,SUMIFS(tblAuftraege[Einnahmen],tblAuftraege[Datum Einnahmen],"&gt;="&amp;M$5,tblAuftraege[Datum Einnahmen],"&lt;"&amp;EDATE(M$5,1),tblAuftraege[Auftrag],$A44))</f>
        <v>0</v>
      </c>
      <c r="N44" s="11" t="n">
        <f aca="false">IF($A44="",0,SUMIFS(tblAuftraege[Einnahmen],tblAuftraege[Datum Einnahmen],"&gt;="&amp;N$5,tblAuftraege[Datum Einnahmen],"&lt;"&amp;EDATE(N$5,1),tblAuftraege[Auftrag],$A44))</f>
        <v>0</v>
      </c>
      <c r="O44" s="11" t="n">
        <f aca="false">IF($A44="",0,SUMIFS(tblAuftraege[Einnahmen],tblAuftraege[Datum Einnahmen],"&gt;="&amp;O$5,tblAuftraege[Datum Einnahmen],"&lt;"&amp;EDATE(O$5,1),tblAuftraege[Auftrag],$A44))</f>
        <v>0</v>
      </c>
      <c r="P44" s="11" t="n">
        <f aca="false">IF($A44="",0,SUMIFS(tblAuftraege[Einnahmen],tblAuftraege[Datum Einnahmen],"&gt;="&amp;P$5,tblAuftraege[Datum Einnahmen],"&lt;"&amp;EDATE(P$5,1),tblAuftraege[Auftrag],$A44))</f>
        <v>0</v>
      </c>
      <c r="Q44" s="11" t="n">
        <f aca="false">IF($A44="",0,SUMIFS(tblAuftraege[Einnahmen],tblAuftraege[Datum Einnahmen],"&gt;="&amp;Q$5,tblAuftraege[Datum Einnahmen],"&lt;"&amp;EDATE(Q$5,1),tblAuftraege[Auftrag],$A44))</f>
        <v>0</v>
      </c>
      <c r="R44" s="11" t="n">
        <f aca="false">IF($A44="",0,SUMIFS(tblAuftraege[Einnahmen],tblAuftraege[Datum Einnahmen],"&gt;="&amp;R$5,tblAuftraege[Datum Einnahmen],"&lt;"&amp;EDATE(R$5,1),tblAuftraege[Auftrag],$A44))</f>
        <v>0</v>
      </c>
      <c r="S44" s="11" t="n">
        <f aca="false">IF($A44="",0,SUMIFS(tblAuftraege[Einnahmen],tblAuftraege[Datum Einnahmen],"&gt;="&amp;S$5,tblAuftraege[Datum Einnahmen],"&lt;"&amp;EDATE(S$5,1),tblAuftraege[Auftrag],$A44))</f>
        <v>0</v>
      </c>
      <c r="T44" s="11" t="n">
        <f aca="false">IF($A44="",0,SUMIFS(tblAuftraege[Einnahmen],tblAuftraege[Datum Einnahmen],"&gt;="&amp;T$5,tblAuftraege[Datum Einnahmen],"&lt;"&amp;EDATE(T$5,1),tblAuftraege[Auftrag],$A44))</f>
        <v>0</v>
      </c>
      <c r="U44" s="11" t="n">
        <f aca="false">IF($A44="",0,SUMIFS(tblAuftraege[Einnahmen],tblAuftraege[Datum Einnahmen],"&gt;="&amp;U$5,tblAuftraege[Datum Einnahmen],"&lt;"&amp;EDATE(U$5,1),tblAuftraege[Auftrag],$A44))</f>
        <v>0</v>
      </c>
      <c r="V44" s="11" t="n">
        <f aca="false">IF($A44="",0,SUMIFS(tblAuftraege[Einnahmen],tblAuftraege[Datum Einnahmen],"&gt;="&amp;V$5,tblAuftraege[Datum Einnahmen],"&lt;"&amp;EDATE(V$5,1),tblAuftraege[Auftrag],$A44))</f>
        <v>0</v>
      </c>
      <c r="W44" s="11" t="n">
        <f aca="false">IF($A44="",0,SUMIFS(tblAuftraege[Einnahmen],tblAuftraege[Datum Einnahmen],"&gt;="&amp;W$5,tblAuftraege[Datum Einnahmen],"&lt;"&amp;EDATE(W$5,1),tblAuftraege[Auftrag],$A44))</f>
        <v>0</v>
      </c>
      <c r="X44" s="11" t="n">
        <f aca="false">IF($A44="",0,SUMIFS(tblAuftraege[Einnahmen],tblAuftraege[Datum Einnahmen],"&gt;="&amp;X$5,tblAuftraege[Datum Einnahmen],"&lt;"&amp;EDATE(X$5,1),tblAuftraege[Auftrag],$A44))</f>
        <v>0</v>
      </c>
      <c r="Y44" s="11" t="n">
        <f aca="false">IF($A44="",0,SUMIFS(tblAuftraege[Einnahmen],tblAuftraege[Datum Einnahmen],"&gt;="&amp;Y$5,tblAuftraege[Datum Einnahmen],"&lt;"&amp;EDATE(Y$5,1),tblAuftraege[Auftrag],$A44))</f>
        <v>0</v>
      </c>
      <c r="Z44" s="11" t="n">
        <f aca="false">IF($A44="",0,SUMIFS(tblAuftraege[Einnahmen],tblAuftraege[Datum Einnahmen],"&gt;="&amp;Z$5,tblAuftraege[Datum Einnahmen],"&lt;"&amp;EDATE(Z$5,1),tblAuftraege[Auftrag],$A44))</f>
        <v>0</v>
      </c>
      <c r="AA44" s="11" t="n">
        <f aca="false">IF($A44="",0,SUMIFS(tblAuftraege[Einnahmen],tblAuftraege[Datum Einnahmen],"&gt;="&amp;AA$5,tblAuftraege[Datum Einnahmen],"&lt;"&amp;EDATE(AA$5,1),tblAuftraege[Auftrag],$A44))</f>
        <v>0</v>
      </c>
      <c r="AB44" s="11" t="n">
        <f aca="false">IF($A44="",0,SUMIFS(tblAuftraege[Einnahmen],tblAuftraege[Datum Einnahmen],"&gt;="&amp;AB$5,tblAuftraege[Datum Einnahmen],"&lt;"&amp;EDATE(AB$5,1),tblAuftraege[Auftrag],$A44))</f>
        <v>0</v>
      </c>
      <c r="AC44" s="11" t="n">
        <f aca="false">IF($A44="",0,SUMIFS(tblAuftraege[Einnahmen],tblAuftraege[Datum Einnahmen],"&gt;="&amp;AC$5,tblAuftraege[Datum Einnahmen],"&lt;"&amp;EDATE(AC$5,1),tblAuftraege[Auftrag],$A44))</f>
        <v>0</v>
      </c>
      <c r="AD44" s="11" t="n">
        <f aca="false">IF($A44="",0,SUMIFS(tblAuftraege[Einnahmen],tblAuftraege[Datum Einnahmen],"&gt;="&amp;AD$5,tblAuftraege[Datum Einnahmen],"&lt;"&amp;EDATE(AD$5,1),tblAuftraege[Auftrag],$A44))</f>
        <v>0</v>
      </c>
      <c r="AE44" s="11" t="n">
        <f aca="false">IF($A44="",0,SUMIFS(tblAuftraege[Einnahmen],tblAuftraege[Datum Einnahmen],"&gt;="&amp;AE$5,tblAuftraege[Datum Einnahmen],"&lt;"&amp;EDATE(AE$5,1),tblAuftraege[Auftrag],$A44))</f>
        <v>0</v>
      </c>
      <c r="AF44" s="11" t="n">
        <f aca="false">IF($A44="",0,SUMIFS(tblAuftraege[Einnahmen],tblAuftraege[Datum Einnahmen],"&gt;="&amp;AF$5,tblAuftraege[Datum Einnahmen],"&lt;"&amp;EDATE(AF$5,1),tblAuftraege[Auftrag],$A44))</f>
        <v>0</v>
      </c>
      <c r="AG44" s="11" t="n">
        <f aca="false">IF($A44="",0,SUMIFS(tblAuftraege[Einnahmen],tblAuftraege[Datum Einnahmen],"&gt;="&amp;AG$5,tblAuftraege[Datum Einnahmen],"&lt;"&amp;EDATE(AG$5,1),tblAuftraege[Auftrag],$A44))</f>
        <v>0</v>
      </c>
      <c r="AH44" s="11" t="n">
        <f aca="false">IF($A44="",0,SUMIFS(tblAuftraege[Einnahmen],tblAuftraege[Datum Einnahmen],"&gt;="&amp;AH$5,tblAuftraege[Datum Einnahmen],"&lt;"&amp;EDATE(AH$5,1),tblAuftraege[Auftrag],$A44))</f>
        <v>0</v>
      </c>
      <c r="AI44" s="11" t="n">
        <f aca="false">IF($A44="",0,SUMIFS(tblAuftraege[Einnahmen],tblAuftraege[Datum Einnahmen],"&gt;="&amp;AI$5,tblAuftraege[Datum Einnahmen],"&lt;"&amp;EDATE(AI$5,1),tblAuftraege[Auftrag],$A44))</f>
        <v>0</v>
      </c>
      <c r="AJ44" s="11" t="n">
        <f aca="false">IF($A44="",0,SUMIFS(tblAuftraege[Einnahmen],tblAuftraege[Datum Einnahmen],"&gt;="&amp;AJ$5,tblAuftraege[Datum Einnahmen],"&lt;"&amp;EDATE(AJ$5,1),tblAuftraege[Auftrag],$A44))</f>
        <v>0</v>
      </c>
      <c r="AK44" s="11" t="n">
        <f aca="false">IF($A44="",0,SUMIFS(tblAuftraege[Einnahmen],tblAuftraege[Datum Einnahmen],"&gt;="&amp;AK$5,tblAuftraege[Datum Einnahmen],"&lt;"&amp;EDATE(AK$5,1),tblAuftraege[Auftrag],$A44))</f>
        <v>0</v>
      </c>
      <c r="AL44" s="11" t="n">
        <f aca="false">IF($A44="",0,SUMIFS(tblAuftraege[Einnahmen],tblAuftraege[Datum Einnahmen],"&gt;="&amp;AL$5,tblAuftraege[Datum Einnahmen],"&lt;"&amp;EDATE(AL$5,1),tblAuftraege[Auftrag],$A44))</f>
        <v>0</v>
      </c>
      <c r="AM44" s="11" t="n">
        <f aca="false">IF($A44="",0,SUMIFS(tblAuftraege[Einnahmen],tblAuftraege[Datum Einnahmen],"&gt;="&amp;AM$5,tblAuftraege[Datum Einnahmen],"&lt;"&amp;EDATE(AM$5,1),tblAuftraege[Auftrag],$A44))</f>
        <v>0</v>
      </c>
      <c r="AN44" s="11" t="n">
        <f aca="false">IF($A44="",0,SUMIFS(tblAuftraege[Einnahmen],tblAuftraege[Datum Einnahmen],"&gt;="&amp;AN$5,tblAuftraege[Datum Einnahmen],"&lt;"&amp;EDATE(AN$5,1),tblAuftraege[Auftrag],$A44))</f>
        <v>0</v>
      </c>
      <c r="AO44" s="11" t="n">
        <f aca="false">IF($A44="",0,SUMIFS(tblAuftraege[Einnahmen],tblAuftraege[Datum Einnahmen],"&gt;="&amp;AO$5,tblAuftraege[Datum Einnahmen],"&lt;"&amp;EDATE(AO$5,1),tblAuftraege[Auftrag],$A44))</f>
        <v>0</v>
      </c>
      <c r="AP44" s="11" t="n">
        <f aca="false">IF($A44="",0,SUMIFS(tblAuftraege[Einnahmen],tblAuftraege[Datum Einnahmen],"&gt;="&amp;AP$5,tblAuftraege[Datum Einnahmen],"&lt;"&amp;EDATE(AP$5,1),tblAuftraege[Auftrag],$A44))</f>
        <v>0</v>
      </c>
      <c r="AQ44" s="11" t="n">
        <f aca="false">IF($A44="",0,SUMIFS(tblAuftraege[Einnahmen],tblAuftraege[Datum Einnahmen],"&gt;="&amp;AQ$5,tblAuftraege[Datum Einnahmen],"&lt;"&amp;EDATE(AQ$5,1),tblAuftraege[Auftrag],$A44))</f>
        <v>0</v>
      </c>
      <c r="AR44" s="11" t="n">
        <f aca="false">IF($A44="",0,SUMIFS(tblAuftraege[Einnahmen],tblAuftraege[Datum Einnahmen],"&gt;="&amp;AR$5,tblAuftraege[Datum Einnahmen],"&lt;"&amp;EDATE(AR$5,1),tblAuftraege[Auftrag],$A44))</f>
        <v>0</v>
      </c>
      <c r="AS44" s="11" t="n">
        <f aca="false">IF($A44="",0,SUMIFS(tblAuftraege[Einnahmen],tblAuftraege[Datum Einnahmen],"&gt;="&amp;AS$5,tblAuftraege[Datum Einnahmen],"&lt;"&amp;EDATE(AS$5,1),tblAuftraege[Auftrag],$A44))</f>
        <v>0</v>
      </c>
      <c r="AT44" s="11" t="n">
        <f aca="false">IF($A44="",0,SUMIFS(tblAuftraege[Einnahmen],tblAuftraege[Datum Einnahmen],"&gt;="&amp;AT$5,tblAuftraege[Datum Einnahmen],"&lt;"&amp;EDATE(AT$5,1),tblAuftraege[Auftrag],$A44))</f>
        <v>0</v>
      </c>
      <c r="AU44" s="11" t="n">
        <f aca="false">IF($A44="",0,SUMIFS(tblAuftraege[Einnahmen],tblAuftraege[Datum Einnahmen],"&gt;="&amp;AU$5,tblAuftraege[Datum Einnahmen],"&lt;"&amp;EDATE(AU$5,1),tblAuftraege[Auftrag],$A44))</f>
        <v>0</v>
      </c>
      <c r="AV44" s="11" t="n">
        <f aca="false">IF($A44="",0,SUMIFS(tblAuftraege[Einnahmen],tblAuftraege[Datum Einnahmen],"&gt;="&amp;AV$5,tblAuftraege[Datum Einnahmen],"&lt;"&amp;EDATE(AV$5,1),tblAuftraege[Auftrag],$A44))</f>
        <v>0</v>
      </c>
      <c r="AW44" s="11" t="n">
        <f aca="false">IF($A44="",0,SUMIFS(tblAuftraege[Einnahmen],tblAuftraege[Datum Einnahmen],"&gt;="&amp;AW$5,tblAuftraege[Datum Einnahmen],"&lt;"&amp;EDATE(AW$5,1),tblAuftraege[Auftrag],$A44))</f>
        <v>0</v>
      </c>
      <c r="AX44" s="11" t="n">
        <f aca="false">IF($A44="",0,SUMIFS(tblAuftraege[Einnahmen],tblAuftraege[Datum Einnahmen],"&gt;="&amp;AX$5,tblAuftraege[Datum Einnahmen],"&lt;"&amp;EDATE(AX$5,1),tblAuftraege[Auftrag],$A44))</f>
        <v>0</v>
      </c>
      <c r="AY44" s="11" t="n">
        <f aca="false">IF($A44="",0,SUMIFS(tblAuftraege[Einnahmen],tblAuftraege[Datum Einnahmen],"&gt;="&amp;AY$5,tblAuftraege[Datum Einnahmen],"&lt;"&amp;EDATE(AY$5,1),tblAuftraege[Auftrag],$A44))</f>
        <v>0</v>
      </c>
      <c r="AZ44" s="11" t="n">
        <f aca="false">IF($A44="",0,SUMIFS(tblAuftraege[Einnahmen],tblAuftraege[Datum Einnahmen],"&gt;="&amp;AZ$5,tblAuftraege[Datum Einnahmen],"&lt;"&amp;EDATE(AZ$5,1),tblAuftraege[Auftrag],$A44))</f>
        <v>0</v>
      </c>
      <c r="BA44" s="11" t="n">
        <f aca="false">IF($A44="",0,SUMIFS(tblAuftraege[Einnahmen],tblAuftraege[Datum Einnahmen],"&gt;="&amp;BA$5,tblAuftraege[Datum Einnahmen],"&lt;"&amp;EDATE(BA$5,1),tblAuftraege[Auftrag],$A44))</f>
        <v>0</v>
      </c>
      <c r="BB44" s="11" t="n">
        <f aca="false">IF($A44="",0,SUMIFS(tblAuftraege[Einnahmen],tblAuftraege[Datum Einnahmen],"&gt;="&amp;BB$5,tblAuftraege[Datum Einnahmen],"&lt;"&amp;EDATE(BB$5,1),tblAuftraege[Auftrag],$A44))</f>
        <v>0</v>
      </c>
      <c r="BC44" s="11" t="n">
        <f aca="false">IF($A44="",0,SUMIFS(tblAuftraege[Einnahmen],tblAuftraege[Datum Einnahmen],"&gt;="&amp;BC$5,tblAuftraege[Datum Einnahmen],"&lt;"&amp;EDATE(BC$5,1),tblAuftraege[Auftrag],$A44))</f>
        <v>0</v>
      </c>
      <c r="BD44" s="11" t="n">
        <f aca="false">IF($A44="",0,SUMIFS(tblAuftraege[Einnahmen],tblAuftraege[Datum Einnahmen],"&gt;="&amp;BD$5,tblAuftraege[Datum Einnahmen],"&lt;"&amp;EDATE(BD$5,1),tblAuftraege[Auftrag],$A44))</f>
        <v>0</v>
      </c>
      <c r="BE44" s="11" t="n">
        <f aca="false">IF($A44="",0,SUMIFS(tblAuftraege[Einnahmen],tblAuftraege[Datum Einnahmen],"&gt;="&amp;BE$5,tblAuftraege[Datum Einnahmen],"&lt;"&amp;EDATE(BE$5,1),tblAuftraege[Auftrag],$A44))</f>
        <v>0</v>
      </c>
      <c r="BF44" s="11" t="n">
        <f aca="false">IF($A44="",0,SUMIFS(tblAuftraege[Einnahmen],tblAuftraege[Datum Einnahmen],"&gt;="&amp;BF$5,tblAuftraege[Datum Einnahmen],"&lt;"&amp;EDATE(BF$5,1),tblAuftraege[Auftrag],$A44))</f>
        <v>0</v>
      </c>
      <c r="BG44" s="11" t="n">
        <f aca="false">SUM(E44:J44)</f>
        <v>0</v>
      </c>
      <c r="BH44" s="11" t="n">
        <f aca="false">SUM(K44:V44)</f>
        <v>0</v>
      </c>
      <c r="BI44" s="11" t="n">
        <f aca="false">SUM(W44:AH44)</f>
        <v>0</v>
      </c>
      <c r="BJ44" s="11" t="n">
        <f aca="false">SUM(AI44:AT44)</f>
        <v>0</v>
      </c>
      <c r="BK44" s="11" t="n">
        <f aca="false">SUM(AU44:BF44)</f>
        <v>0</v>
      </c>
      <c r="BL44" s="12" t="n">
        <f aca="false">SUM(E44:BF44)</f>
        <v>0</v>
      </c>
    </row>
    <row r="45" customFormat="false" ht="15" hidden="false" customHeight="false" outlineLevel="0" collapsed="false">
      <c r="A45" s="9"/>
      <c r="B45" s="10" t="str">
        <f aca="false">IF($A45="","",IFERROR(INDEX(tblAuftraege[Kostenstelle],MATCH($A45,tblAuftraege[Auftrag],0)),""))</f>
        <v/>
      </c>
      <c r="C45" s="10" t="str">
        <f aca="false">IF($A45="","",IFERROR(INDEX(tblAuftraege[Themenfeld],MATCH($A45,tblAuftraege[Auftrag],0)),""))</f>
        <v/>
      </c>
      <c r="D45" s="10" t="str">
        <f aca="false">IF($A45="","",IFERROR(INDEX(tblAuftraege[Kategorie],MATCH($A45,tblAuftraege[Auftrag],0)),""))</f>
        <v/>
      </c>
      <c r="E45" s="11" t="n">
        <f aca="false">IF($A45="",0,SUMIFS(tblAuftraege[Einnahmen],tblAuftraege[Datum Einnahmen],"&gt;="&amp;E$5,tblAuftraege[Datum Einnahmen],"&lt;"&amp;EDATE(E$5,1),tblAuftraege[Auftrag],$A45))</f>
        <v>0</v>
      </c>
      <c r="F45" s="11" t="n">
        <f aca="false">IF($A45="",0,SUMIFS(tblAuftraege[Einnahmen],tblAuftraege[Datum Einnahmen],"&gt;="&amp;F$5,tblAuftraege[Datum Einnahmen],"&lt;"&amp;EDATE(F$5,1),tblAuftraege[Auftrag],$A45))</f>
        <v>0</v>
      </c>
      <c r="G45" s="11" t="n">
        <f aca="false">IF($A45="",0,SUMIFS(tblAuftraege[Einnahmen],tblAuftraege[Datum Einnahmen],"&gt;="&amp;G$5,tblAuftraege[Datum Einnahmen],"&lt;"&amp;EDATE(G$5,1),tblAuftraege[Auftrag],$A45))</f>
        <v>0</v>
      </c>
      <c r="H45" s="11" t="n">
        <f aca="false">IF($A45="",0,SUMIFS(tblAuftraege[Einnahmen],tblAuftraege[Datum Einnahmen],"&gt;="&amp;H$5,tblAuftraege[Datum Einnahmen],"&lt;"&amp;EDATE(H$5,1),tblAuftraege[Auftrag],$A45))</f>
        <v>0</v>
      </c>
      <c r="I45" s="11" t="n">
        <f aca="false">IF($A45="",0,SUMIFS(tblAuftraege[Einnahmen],tblAuftraege[Datum Einnahmen],"&gt;="&amp;I$5,tblAuftraege[Datum Einnahmen],"&lt;"&amp;EDATE(I$5,1),tblAuftraege[Auftrag],$A45))</f>
        <v>0</v>
      </c>
      <c r="J45" s="11" t="n">
        <f aca="false">IF($A45="",0,SUMIFS(tblAuftraege[Einnahmen],tblAuftraege[Datum Einnahmen],"&gt;="&amp;J$5,tblAuftraege[Datum Einnahmen],"&lt;"&amp;EDATE(J$5,1),tblAuftraege[Auftrag],$A45))</f>
        <v>0</v>
      </c>
      <c r="K45" s="11" t="n">
        <f aca="false">IF($A45="",0,SUMIFS(tblAuftraege[Einnahmen],tblAuftraege[Datum Einnahmen],"&gt;="&amp;K$5,tblAuftraege[Datum Einnahmen],"&lt;"&amp;EDATE(K$5,1),tblAuftraege[Auftrag],$A45))</f>
        <v>0</v>
      </c>
      <c r="L45" s="11" t="n">
        <f aca="false">IF($A45="",0,SUMIFS(tblAuftraege[Einnahmen],tblAuftraege[Datum Einnahmen],"&gt;="&amp;L$5,tblAuftraege[Datum Einnahmen],"&lt;"&amp;EDATE(L$5,1),tblAuftraege[Auftrag],$A45))</f>
        <v>0</v>
      </c>
      <c r="M45" s="11" t="n">
        <f aca="false">IF($A45="",0,SUMIFS(tblAuftraege[Einnahmen],tblAuftraege[Datum Einnahmen],"&gt;="&amp;M$5,tblAuftraege[Datum Einnahmen],"&lt;"&amp;EDATE(M$5,1),tblAuftraege[Auftrag],$A45))</f>
        <v>0</v>
      </c>
      <c r="N45" s="11" t="n">
        <f aca="false">IF($A45="",0,SUMIFS(tblAuftraege[Einnahmen],tblAuftraege[Datum Einnahmen],"&gt;="&amp;N$5,tblAuftraege[Datum Einnahmen],"&lt;"&amp;EDATE(N$5,1),tblAuftraege[Auftrag],$A45))</f>
        <v>0</v>
      </c>
      <c r="O45" s="11" t="n">
        <f aca="false">IF($A45="",0,SUMIFS(tblAuftraege[Einnahmen],tblAuftraege[Datum Einnahmen],"&gt;="&amp;O$5,tblAuftraege[Datum Einnahmen],"&lt;"&amp;EDATE(O$5,1),tblAuftraege[Auftrag],$A45))</f>
        <v>0</v>
      </c>
      <c r="P45" s="11" t="n">
        <f aca="false">IF($A45="",0,SUMIFS(tblAuftraege[Einnahmen],tblAuftraege[Datum Einnahmen],"&gt;="&amp;P$5,tblAuftraege[Datum Einnahmen],"&lt;"&amp;EDATE(P$5,1),tblAuftraege[Auftrag],$A45))</f>
        <v>0</v>
      </c>
      <c r="Q45" s="11" t="n">
        <f aca="false">IF($A45="",0,SUMIFS(tblAuftraege[Einnahmen],tblAuftraege[Datum Einnahmen],"&gt;="&amp;Q$5,tblAuftraege[Datum Einnahmen],"&lt;"&amp;EDATE(Q$5,1),tblAuftraege[Auftrag],$A45))</f>
        <v>0</v>
      </c>
      <c r="R45" s="11" t="n">
        <f aca="false">IF($A45="",0,SUMIFS(tblAuftraege[Einnahmen],tblAuftraege[Datum Einnahmen],"&gt;="&amp;R$5,tblAuftraege[Datum Einnahmen],"&lt;"&amp;EDATE(R$5,1),tblAuftraege[Auftrag],$A45))</f>
        <v>0</v>
      </c>
      <c r="S45" s="11" t="n">
        <f aca="false">IF($A45="",0,SUMIFS(tblAuftraege[Einnahmen],tblAuftraege[Datum Einnahmen],"&gt;="&amp;S$5,tblAuftraege[Datum Einnahmen],"&lt;"&amp;EDATE(S$5,1),tblAuftraege[Auftrag],$A45))</f>
        <v>0</v>
      </c>
      <c r="T45" s="11" t="n">
        <f aca="false">IF($A45="",0,SUMIFS(tblAuftraege[Einnahmen],tblAuftraege[Datum Einnahmen],"&gt;="&amp;T$5,tblAuftraege[Datum Einnahmen],"&lt;"&amp;EDATE(T$5,1),tblAuftraege[Auftrag],$A45))</f>
        <v>0</v>
      </c>
      <c r="U45" s="11" t="n">
        <f aca="false">IF($A45="",0,SUMIFS(tblAuftraege[Einnahmen],tblAuftraege[Datum Einnahmen],"&gt;="&amp;U$5,tblAuftraege[Datum Einnahmen],"&lt;"&amp;EDATE(U$5,1),tblAuftraege[Auftrag],$A45))</f>
        <v>0</v>
      </c>
      <c r="V45" s="11" t="n">
        <f aca="false">IF($A45="",0,SUMIFS(tblAuftraege[Einnahmen],tblAuftraege[Datum Einnahmen],"&gt;="&amp;V$5,tblAuftraege[Datum Einnahmen],"&lt;"&amp;EDATE(V$5,1),tblAuftraege[Auftrag],$A45))</f>
        <v>0</v>
      </c>
      <c r="W45" s="11" t="n">
        <f aca="false">IF($A45="",0,SUMIFS(tblAuftraege[Einnahmen],tblAuftraege[Datum Einnahmen],"&gt;="&amp;W$5,tblAuftraege[Datum Einnahmen],"&lt;"&amp;EDATE(W$5,1),tblAuftraege[Auftrag],$A45))</f>
        <v>0</v>
      </c>
      <c r="X45" s="11" t="n">
        <f aca="false">IF($A45="",0,SUMIFS(tblAuftraege[Einnahmen],tblAuftraege[Datum Einnahmen],"&gt;="&amp;X$5,tblAuftraege[Datum Einnahmen],"&lt;"&amp;EDATE(X$5,1),tblAuftraege[Auftrag],$A45))</f>
        <v>0</v>
      </c>
      <c r="Y45" s="11" t="n">
        <f aca="false">IF($A45="",0,SUMIFS(tblAuftraege[Einnahmen],tblAuftraege[Datum Einnahmen],"&gt;="&amp;Y$5,tblAuftraege[Datum Einnahmen],"&lt;"&amp;EDATE(Y$5,1),tblAuftraege[Auftrag],$A45))</f>
        <v>0</v>
      </c>
      <c r="Z45" s="11" t="n">
        <f aca="false">IF($A45="",0,SUMIFS(tblAuftraege[Einnahmen],tblAuftraege[Datum Einnahmen],"&gt;="&amp;Z$5,tblAuftraege[Datum Einnahmen],"&lt;"&amp;EDATE(Z$5,1),tblAuftraege[Auftrag],$A45))</f>
        <v>0</v>
      </c>
      <c r="AA45" s="11" t="n">
        <f aca="false">IF($A45="",0,SUMIFS(tblAuftraege[Einnahmen],tblAuftraege[Datum Einnahmen],"&gt;="&amp;AA$5,tblAuftraege[Datum Einnahmen],"&lt;"&amp;EDATE(AA$5,1),tblAuftraege[Auftrag],$A45))</f>
        <v>0</v>
      </c>
      <c r="AB45" s="11" t="n">
        <f aca="false">IF($A45="",0,SUMIFS(tblAuftraege[Einnahmen],tblAuftraege[Datum Einnahmen],"&gt;="&amp;AB$5,tblAuftraege[Datum Einnahmen],"&lt;"&amp;EDATE(AB$5,1),tblAuftraege[Auftrag],$A45))</f>
        <v>0</v>
      </c>
      <c r="AC45" s="11" t="n">
        <f aca="false">IF($A45="",0,SUMIFS(tblAuftraege[Einnahmen],tblAuftraege[Datum Einnahmen],"&gt;="&amp;AC$5,tblAuftraege[Datum Einnahmen],"&lt;"&amp;EDATE(AC$5,1),tblAuftraege[Auftrag],$A45))</f>
        <v>0</v>
      </c>
      <c r="AD45" s="11" t="n">
        <f aca="false">IF($A45="",0,SUMIFS(tblAuftraege[Einnahmen],tblAuftraege[Datum Einnahmen],"&gt;="&amp;AD$5,tblAuftraege[Datum Einnahmen],"&lt;"&amp;EDATE(AD$5,1),tblAuftraege[Auftrag],$A45))</f>
        <v>0</v>
      </c>
      <c r="AE45" s="11" t="n">
        <f aca="false">IF($A45="",0,SUMIFS(tblAuftraege[Einnahmen],tblAuftraege[Datum Einnahmen],"&gt;="&amp;AE$5,tblAuftraege[Datum Einnahmen],"&lt;"&amp;EDATE(AE$5,1),tblAuftraege[Auftrag],$A45))</f>
        <v>0</v>
      </c>
      <c r="AF45" s="11" t="n">
        <f aca="false">IF($A45="",0,SUMIFS(tblAuftraege[Einnahmen],tblAuftraege[Datum Einnahmen],"&gt;="&amp;AF$5,tblAuftraege[Datum Einnahmen],"&lt;"&amp;EDATE(AF$5,1),tblAuftraege[Auftrag],$A45))</f>
        <v>0</v>
      </c>
      <c r="AG45" s="11" t="n">
        <f aca="false">IF($A45="",0,SUMIFS(tblAuftraege[Einnahmen],tblAuftraege[Datum Einnahmen],"&gt;="&amp;AG$5,tblAuftraege[Datum Einnahmen],"&lt;"&amp;EDATE(AG$5,1),tblAuftraege[Auftrag],$A45))</f>
        <v>0</v>
      </c>
      <c r="AH45" s="11" t="n">
        <f aca="false">IF($A45="",0,SUMIFS(tblAuftraege[Einnahmen],tblAuftraege[Datum Einnahmen],"&gt;="&amp;AH$5,tblAuftraege[Datum Einnahmen],"&lt;"&amp;EDATE(AH$5,1),tblAuftraege[Auftrag],$A45))</f>
        <v>0</v>
      </c>
      <c r="AI45" s="11" t="n">
        <f aca="false">IF($A45="",0,SUMIFS(tblAuftraege[Einnahmen],tblAuftraege[Datum Einnahmen],"&gt;="&amp;AI$5,tblAuftraege[Datum Einnahmen],"&lt;"&amp;EDATE(AI$5,1),tblAuftraege[Auftrag],$A45))</f>
        <v>0</v>
      </c>
      <c r="AJ45" s="11" t="n">
        <f aca="false">IF($A45="",0,SUMIFS(tblAuftraege[Einnahmen],tblAuftraege[Datum Einnahmen],"&gt;="&amp;AJ$5,tblAuftraege[Datum Einnahmen],"&lt;"&amp;EDATE(AJ$5,1),tblAuftraege[Auftrag],$A45))</f>
        <v>0</v>
      </c>
      <c r="AK45" s="11" t="n">
        <f aca="false">IF($A45="",0,SUMIFS(tblAuftraege[Einnahmen],tblAuftraege[Datum Einnahmen],"&gt;="&amp;AK$5,tblAuftraege[Datum Einnahmen],"&lt;"&amp;EDATE(AK$5,1),tblAuftraege[Auftrag],$A45))</f>
        <v>0</v>
      </c>
      <c r="AL45" s="11" t="n">
        <f aca="false">IF($A45="",0,SUMIFS(tblAuftraege[Einnahmen],tblAuftraege[Datum Einnahmen],"&gt;="&amp;AL$5,tblAuftraege[Datum Einnahmen],"&lt;"&amp;EDATE(AL$5,1),tblAuftraege[Auftrag],$A45))</f>
        <v>0</v>
      </c>
      <c r="AM45" s="11" t="n">
        <f aca="false">IF($A45="",0,SUMIFS(tblAuftraege[Einnahmen],tblAuftraege[Datum Einnahmen],"&gt;="&amp;AM$5,tblAuftraege[Datum Einnahmen],"&lt;"&amp;EDATE(AM$5,1),tblAuftraege[Auftrag],$A45))</f>
        <v>0</v>
      </c>
      <c r="AN45" s="11" t="n">
        <f aca="false">IF($A45="",0,SUMIFS(tblAuftraege[Einnahmen],tblAuftraege[Datum Einnahmen],"&gt;="&amp;AN$5,tblAuftraege[Datum Einnahmen],"&lt;"&amp;EDATE(AN$5,1),tblAuftraege[Auftrag],$A45))</f>
        <v>0</v>
      </c>
      <c r="AO45" s="11" t="n">
        <f aca="false">IF($A45="",0,SUMIFS(tblAuftraege[Einnahmen],tblAuftraege[Datum Einnahmen],"&gt;="&amp;AO$5,tblAuftraege[Datum Einnahmen],"&lt;"&amp;EDATE(AO$5,1),tblAuftraege[Auftrag],$A45))</f>
        <v>0</v>
      </c>
      <c r="AP45" s="11" t="n">
        <f aca="false">IF($A45="",0,SUMIFS(tblAuftraege[Einnahmen],tblAuftraege[Datum Einnahmen],"&gt;="&amp;AP$5,tblAuftraege[Datum Einnahmen],"&lt;"&amp;EDATE(AP$5,1),tblAuftraege[Auftrag],$A45))</f>
        <v>0</v>
      </c>
      <c r="AQ45" s="11" t="n">
        <f aca="false">IF($A45="",0,SUMIFS(tblAuftraege[Einnahmen],tblAuftraege[Datum Einnahmen],"&gt;="&amp;AQ$5,tblAuftraege[Datum Einnahmen],"&lt;"&amp;EDATE(AQ$5,1),tblAuftraege[Auftrag],$A45))</f>
        <v>0</v>
      </c>
      <c r="AR45" s="11" t="n">
        <f aca="false">IF($A45="",0,SUMIFS(tblAuftraege[Einnahmen],tblAuftraege[Datum Einnahmen],"&gt;="&amp;AR$5,tblAuftraege[Datum Einnahmen],"&lt;"&amp;EDATE(AR$5,1),tblAuftraege[Auftrag],$A45))</f>
        <v>0</v>
      </c>
      <c r="AS45" s="11" t="n">
        <f aca="false">IF($A45="",0,SUMIFS(tblAuftraege[Einnahmen],tblAuftraege[Datum Einnahmen],"&gt;="&amp;AS$5,tblAuftraege[Datum Einnahmen],"&lt;"&amp;EDATE(AS$5,1),tblAuftraege[Auftrag],$A45))</f>
        <v>0</v>
      </c>
      <c r="AT45" s="11" t="n">
        <f aca="false">IF($A45="",0,SUMIFS(tblAuftraege[Einnahmen],tblAuftraege[Datum Einnahmen],"&gt;="&amp;AT$5,tblAuftraege[Datum Einnahmen],"&lt;"&amp;EDATE(AT$5,1),tblAuftraege[Auftrag],$A45))</f>
        <v>0</v>
      </c>
      <c r="AU45" s="11" t="n">
        <f aca="false">IF($A45="",0,SUMIFS(tblAuftraege[Einnahmen],tblAuftraege[Datum Einnahmen],"&gt;="&amp;AU$5,tblAuftraege[Datum Einnahmen],"&lt;"&amp;EDATE(AU$5,1),tblAuftraege[Auftrag],$A45))</f>
        <v>0</v>
      </c>
      <c r="AV45" s="11" t="n">
        <f aca="false">IF($A45="",0,SUMIFS(tblAuftraege[Einnahmen],tblAuftraege[Datum Einnahmen],"&gt;="&amp;AV$5,tblAuftraege[Datum Einnahmen],"&lt;"&amp;EDATE(AV$5,1),tblAuftraege[Auftrag],$A45))</f>
        <v>0</v>
      </c>
      <c r="AW45" s="11" t="n">
        <f aca="false">IF($A45="",0,SUMIFS(tblAuftraege[Einnahmen],tblAuftraege[Datum Einnahmen],"&gt;="&amp;AW$5,tblAuftraege[Datum Einnahmen],"&lt;"&amp;EDATE(AW$5,1),tblAuftraege[Auftrag],$A45))</f>
        <v>0</v>
      </c>
      <c r="AX45" s="11" t="n">
        <f aca="false">IF($A45="",0,SUMIFS(tblAuftraege[Einnahmen],tblAuftraege[Datum Einnahmen],"&gt;="&amp;AX$5,tblAuftraege[Datum Einnahmen],"&lt;"&amp;EDATE(AX$5,1),tblAuftraege[Auftrag],$A45))</f>
        <v>0</v>
      </c>
      <c r="AY45" s="11" t="n">
        <f aca="false">IF($A45="",0,SUMIFS(tblAuftraege[Einnahmen],tblAuftraege[Datum Einnahmen],"&gt;="&amp;AY$5,tblAuftraege[Datum Einnahmen],"&lt;"&amp;EDATE(AY$5,1),tblAuftraege[Auftrag],$A45))</f>
        <v>0</v>
      </c>
      <c r="AZ45" s="11" t="n">
        <f aca="false">IF($A45="",0,SUMIFS(tblAuftraege[Einnahmen],tblAuftraege[Datum Einnahmen],"&gt;="&amp;AZ$5,tblAuftraege[Datum Einnahmen],"&lt;"&amp;EDATE(AZ$5,1),tblAuftraege[Auftrag],$A45))</f>
        <v>0</v>
      </c>
      <c r="BA45" s="11" t="n">
        <f aca="false">IF($A45="",0,SUMIFS(tblAuftraege[Einnahmen],tblAuftraege[Datum Einnahmen],"&gt;="&amp;BA$5,tblAuftraege[Datum Einnahmen],"&lt;"&amp;EDATE(BA$5,1),tblAuftraege[Auftrag],$A45))</f>
        <v>0</v>
      </c>
      <c r="BB45" s="11" t="n">
        <f aca="false">IF($A45="",0,SUMIFS(tblAuftraege[Einnahmen],tblAuftraege[Datum Einnahmen],"&gt;="&amp;BB$5,tblAuftraege[Datum Einnahmen],"&lt;"&amp;EDATE(BB$5,1),tblAuftraege[Auftrag],$A45))</f>
        <v>0</v>
      </c>
      <c r="BC45" s="11" t="n">
        <f aca="false">IF($A45="",0,SUMIFS(tblAuftraege[Einnahmen],tblAuftraege[Datum Einnahmen],"&gt;="&amp;BC$5,tblAuftraege[Datum Einnahmen],"&lt;"&amp;EDATE(BC$5,1),tblAuftraege[Auftrag],$A45))</f>
        <v>0</v>
      </c>
      <c r="BD45" s="11" t="n">
        <f aca="false">IF($A45="",0,SUMIFS(tblAuftraege[Einnahmen],tblAuftraege[Datum Einnahmen],"&gt;="&amp;BD$5,tblAuftraege[Datum Einnahmen],"&lt;"&amp;EDATE(BD$5,1),tblAuftraege[Auftrag],$A45))</f>
        <v>0</v>
      </c>
      <c r="BE45" s="11" t="n">
        <f aca="false">IF($A45="",0,SUMIFS(tblAuftraege[Einnahmen],tblAuftraege[Datum Einnahmen],"&gt;="&amp;BE$5,tblAuftraege[Datum Einnahmen],"&lt;"&amp;EDATE(BE$5,1),tblAuftraege[Auftrag],$A45))</f>
        <v>0</v>
      </c>
      <c r="BF45" s="11" t="n">
        <f aca="false">IF($A45="",0,SUMIFS(tblAuftraege[Einnahmen],tblAuftraege[Datum Einnahmen],"&gt;="&amp;BF$5,tblAuftraege[Datum Einnahmen],"&lt;"&amp;EDATE(BF$5,1),tblAuftraege[Auftrag],$A45))</f>
        <v>0</v>
      </c>
      <c r="BG45" s="11" t="n">
        <f aca="false">SUM(E45:J45)</f>
        <v>0</v>
      </c>
      <c r="BH45" s="11" t="n">
        <f aca="false">SUM(K45:V45)</f>
        <v>0</v>
      </c>
      <c r="BI45" s="11" t="n">
        <f aca="false">SUM(W45:AH45)</f>
        <v>0</v>
      </c>
      <c r="BJ45" s="11" t="n">
        <f aca="false">SUM(AI45:AT45)</f>
        <v>0</v>
      </c>
      <c r="BK45" s="11" t="n">
        <f aca="false">SUM(AU45:BF45)</f>
        <v>0</v>
      </c>
      <c r="BL45" s="12" t="n">
        <f aca="false">SUM(E45:BF45)</f>
        <v>0</v>
      </c>
    </row>
    <row r="46" customFormat="false" ht="15" hidden="false" customHeight="false" outlineLevel="0" collapsed="false">
      <c r="A46" s="9"/>
      <c r="B46" s="10" t="str">
        <f aca="false">IF($A46="","",IFERROR(INDEX(tblAuftraege[Kostenstelle],MATCH($A46,tblAuftraege[Auftrag],0)),""))</f>
        <v/>
      </c>
      <c r="C46" s="10" t="str">
        <f aca="false">IF($A46="","",IFERROR(INDEX(tblAuftraege[Themenfeld],MATCH($A46,tblAuftraege[Auftrag],0)),""))</f>
        <v/>
      </c>
      <c r="D46" s="10" t="str">
        <f aca="false">IF($A46="","",IFERROR(INDEX(tblAuftraege[Kategorie],MATCH($A46,tblAuftraege[Auftrag],0)),""))</f>
        <v/>
      </c>
      <c r="E46" s="11" t="n">
        <f aca="false">IF($A46="",0,SUMIFS(tblAuftraege[Einnahmen],tblAuftraege[Datum Einnahmen],"&gt;="&amp;E$5,tblAuftraege[Datum Einnahmen],"&lt;"&amp;EDATE(E$5,1),tblAuftraege[Auftrag],$A46))</f>
        <v>0</v>
      </c>
      <c r="F46" s="11" t="n">
        <f aca="false">IF($A46="",0,SUMIFS(tblAuftraege[Einnahmen],tblAuftraege[Datum Einnahmen],"&gt;="&amp;F$5,tblAuftraege[Datum Einnahmen],"&lt;"&amp;EDATE(F$5,1),tblAuftraege[Auftrag],$A46))</f>
        <v>0</v>
      </c>
      <c r="G46" s="11" t="n">
        <f aca="false">IF($A46="",0,SUMIFS(tblAuftraege[Einnahmen],tblAuftraege[Datum Einnahmen],"&gt;="&amp;G$5,tblAuftraege[Datum Einnahmen],"&lt;"&amp;EDATE(G$5,1),tblAuftraege[Auftrag],$A46))</f>
        <v>0</v>
      </c>
      <c r="H46" s="11" t="n">
        <f aca="false">IF($A46="",0,SUMIFS(tblAuftraege[Einnahmen],tblAuftraege[Datum Einnahmen],"&gt;="&amp;H$5,tblAuftraege[Datum Einnahmen],"&lt;"&amp;EDATE(H$5,1),tblAuftraege[Auftrag],$A46))</f>
        <v>0</v>
      </c>
      <c r="I46" s="11" t="n">
        <f aca="false">IF($A46="",0,SUMIFS(tblAuftraege[Einnahmen],tblAuftraege[Datum Einnahmen],"&gt;="&amp;I$5,tblAuftraege[Datum Einnahmen],"&lt;"&amp;EDATE(I$5,1),tblAuftraege[Auftrag],$A46))</f>
        <v>0</v>
      </c>
      <c r="J46" s="11" t="n">
        <f aca="false">IF($A46="",0,SUMIFS(tblAuftraege[Einnahmen],tblAuftraege[Datum Einnahmen],"&gt;="&amp;J$5,tblAuftraege[Datum Einnahmen],"&lt;"&amp;EDATE(J$5,1),tblAuftraege[Auftrag],$A46))</f>
        <v>0</v>
      </c>
      <c r="K46" s="11" t="n">
        <f aca="false">IF($A46="",0,SUMIFS(tblAuftraege[Einnahmen],tblAuftraege[Datum Einnahmen],"&gt;="&amp;K$5,tblAuftraege[Datum Einnahmen],"&lt;"&amp;EDATE(K$5,1),tblAuftraege[Auftrag],$A46))</f>
        <v>0</v>
      </c>
      <c r="L46" s="11" t="n">
        <f aca="false">IF($A46="",0,SUMIFS(tblAuftraege[Einnahmen],tblAuftraege[Datum Einnahmen],"&gt;="&amp;L$5,tblAuftraege[Datum Einnahmen],"&lt;"&amp;EDATE(L$5,1),tblAuftraege[Auftrag],$A46))</f>
        <v>0</v>
      </c>
      <c r="M46" s="11" t="n">
        <f aca="false">IF($A46="",0,SUMIFS(tblAuftraege[Einnahmen],tblAuftraege[Datum Einnahmen],"&gt;="&amp;M$5,tblAuftraege[Datum Einnahmen],"&lt;"&amp;EDATE(M$5,1),tblAuftraege[Auftrag],$A46))</f>
        <v>0</v>
      </c>
      <c r="N46" s="11" t="n">
        <f aca="false">IF($A46="",0,SUMIFS(tblAuftraege[Einnahmen],tblAuftraege[Datum Einnahmen],"&gt;="&amp;N$5,tblAuftraege[Datum Einnahmen],"&lt;"&amp;EDATE(N$5,1),tblAuftraege[Auftrag],$A46))</f>
        <v>0</v>
      </c>
      <c r="O46" s="11" t="n">
        <f aca="false">IF($A46="",0,SUMIFS(tblAuftraege[Einnahmen],tblAuftraege[Datum Einnahmen],"&gt;="&amp;O$5,tblAuftraege[Datum Einnahmen],"&lt;"&amp;EDATE(O$5,1),tblAuftraege[Auftrag],$A46))</f>
        <v>0</v>
      </c>
      <c r="P46" s="11" t="n">
        <f aca="false">IF($A46="",0,SUMIFS(tblAuftraege[Einnahmen],tblAuftraege[Datum Einnahmen],"&gt;="&amp;P$5,tblAuftraege[Datum Einnahmen],"&lt;"&amp;EDATE(P$5,1),tblAuftraege[Auftrag],$A46))</f>
        <v>0</v>
      </c>
      <c r="Q46" s="11" t="n">
        <f aca="false">IF($A46="",0,SUMIFS(tblAuftraege[Einnahmen],tblAuftraege[Datum Einnahmen],"&gt;="&amp;Q$5,tblAuftraege[Datum Einnahmen],"&lt;"&amp;EDATE(Q$5,1),tblAuftraege[Auftrag],$A46))</f>
        <v>0</v>
      </c>
      <c r="R46" s="11" t="n">
        <f aca="false">IF($A46="",0,SUMIFS(tblAuftraege[Einnahmen],tblAuftraege[Datum Einnahmen],"&gt;="&amp;R$5,tblAuftraege[Datum Einnahmen],"&lt;"&amp;EDATE(R$5,1),tblAuftraege[Auftrag],$A46))</f>
        <v>0</v>
      </c>
      <c r="S46" s="11" t="n">
        <f aca="false">IF($A46="",0,SUMIFS(tblAuftraege[Einnahmen],tblAuftraege[Datum Einnahmen],"&gt;="&amp;S$5,tblAuftraege[Datum Einnahmen],"&lt;"&amp;EDATE(S$5,1),tblAuftraege[Auftrag],$A46))</f>
        <v>0</v>
      </c>
      <c r="T46" s="11" t="n">
        <f aca="false">IF($A46="",0,SUMIFS(tblAuftraege[Einnahmen],tblAuftraege[Datum Einnahmen],"&gt;="&amp;T$5,tblAuftraege[Datum Einnahmen],"&lt;"&amp;EDATE(T$5,1),tblAuftraege[Auftrag],$A46))</f>
        <v>0</v>
      </c>
      <c r="U46" s="11" t="n">
        <f aca="false">IF($A46="",0,SUMIFS(tblAuftraege[Einnahmen],tblAuftraege[Datum Einnahmen],"&gt;="&amp;U$5,tblAuftraege[Datum Einnahmen],"&lt;"&amp;EDATE(U$5,1),tblAuftraege[Auftrag],$A46))</f>
        <v>0</v>
      </c>
      <c r="V46" s="11" t="n">
        <f aca="false">IF($A46="",0,SUMIFS(tblAuftraege[Einnahmen],tblAuftraege[Datum Einnahmen],"&gt;="&amp;V$5,tblAuftraege[Datum Einnahmen],"&lt;"&amp;EDATE(V$5,1),tblAuftraege[Auftrag],$A46))</f>
        <v>0</v>
      </c>
      <c r="W46" s="11" t="n">
        <f aca="false">IF($A46="",0,SUMIFS(tblAuftraege[Einnahmen],tblAuftraege[Datum Einnahmen],"&gt;="&amp;W$5,tblAuftraege[Datum Einnahmen],"&lt;"&amp;EDATE(W$5,1),tblAuftraege[Auftrag],$A46))</f>
        <v>0</v>
      </c>
      <c r="X46" s="11" t="n">
        <f aca="false">IF($A46="",0,SUMIFS(tblAuftraege[Einnahmen],tblAuftraege[Datum Einnahmen],"&gt;="&amp;X$5,tblAuftraege[Datum Einnahmen],"&lt;"&amp;EDATE(X$5,1),tblAuftraege[Auftrag],$A46))</f>
        <v>0</v>
      </c>
      <c r="Y46" s="11" t="n">
        <f aca="false">IF($A46="",0,SUMIFS(tblAuftraege[Einnahmen],tblAuftraege[Datum Einnahmen],"&gt;="&amp;Y$5,tblAuftraege[Datum Einnahmen],"&lt;"&amp;EDATE(Y$5,1),tblAuftraege[Auftrag],$A46))</f>
        <v>0</v>
      </c>
      <c r="Z46" s="11" t="n">
        <f aca="false">IF($A46="",0,SUMIFS(tblAuftraege[Einnahmen],tblAuftraege[Datum Einnahmen],"&gt;="&amp;Z$5,tblAuftraege[Datum Einnahmen],"&lt;"&amp;EDATE(Z$5,1),tblAuftraege[Auftrag],$A46))</f>
        <v>0</v>
      </c>
      <c r="AA46" s="11" t="n">
        <f aca="false">IF($A46="",0,SUMIFS(tblAuftraege[Einnahmen],tblAuftraege[Datum Einnahmen],"&gt;="&amp;AA$5,tblAuftraege[Datum Einnahmen],"&lt;"&amp;EDATE(AA$5,1),tblAuftraege[Auftrag],$A46))</f>
        <v>0</v>
      </c>
      <c r="AB46" s="11" t="n">
        <f aca="false">IF($A46="",0,SUMIFS(tblAuftraege[Einnahmen],tblAuftraege[Datum Einnahmen],"&gt;="&amp;AB$5,tblAuftraege[Datum Einnahmen],"&lt;"&amp;EDATE(AB$5,1),tblAuftraege[Auftrag],$A46))</f>
        <v>0</v>
      </c>
      <c r="AC46" s="11" t="n">
        <f aca="false">IF($A46="",0,SUMIFS(tblAuftraege[Einnahmen],tblAuftraege[Datum Einnahmen],"&gt;="&amp;AC$5,tblAuftraege[Datum Einnahmen],"&lt;"&amp;EDATE(AC$5,1),tblAuftraege[Auftrag],$A46))</f>
        <v>0</v>
      </c>
      <c r="AD46" s="11" t="n">
        <f aca="false">IF($A46="",0,SUMIFS(tblAuftraege[Einnahmen],tblAuftraege[Datum Einnahmen],"&gt;="&amp;AD$5,tblAuftraege[Datum Einnahmen],"&lt;"&amp;EDATE(AD$5,1),tblAuftraege[Auftrag],$A46))</f>
        <v>0</v>
      </c>
      <c r="AE46" s="11" t="n">
        <f aca="false">IF($A46="",0,SUMIFS(tblAuftraege[Einnahmen],tblAuftraege[Datum Einnahmen],"&gt;="&amp;AE$5,tblAuftraege[Datum Einnahmen],"&lt;"&amp;EDATE(AE$5,1),tblAuftraege[Auftrag],$A46))</f>
        <v>0</v>
      </c>
      <c r="AF46" s="11" t="n">
        <f aca="false">IF($A46="",0,SUMIFS(tblAuftraege[Einnahmen],tblAuftraege[Datum Einnahmen],"&gt;="&amp;AF$5,tblAuftraege[Datum Einnahmen],"&lt;"&amp;EDATE(AF$5,1),tblAuftraege[Auftrag],$A46))</f>
        <v>0</v>
      </c>
      <c r="AG46" s="11" t="n">
        <f aca="false">IF($A46="",0,SUMIFS(tblAuftraege[Einnahmen],tblAuftraege[Datum Einnahmen],"&gt;="&amp;AG$5,tblAuftraege[Datum Einnahmen],"&lt;"&amp;EDATE(AG$5,1),tblAuftraege[Auftrag],$A46))</f>
        <v>0</v>
      </c>
      <c r="AH46" s="11" t="n">
        <f aca="false">IF($A46="",0,SUMIFS(tblAuftraege[Einnahmen],tblAuftraege[Datum Einnahmen],"&gt;="&amp;AH$5,tblAuftraege[Datum Einnahmen],"&lt;"&amp;EDATE(AH$5,1),tblAuftraege[Auftrag],$A46))</f>
        <v>0</v>
      </c>
      <c r="AI46" s="11" t="n">
        <f aca="false">IF($A46="",0,SUMIFS(tblAuftraege[Einnahmen],tblAuftraege[Datum Einnahmen],"&gt;="&amp;AI$5,tblAuftraege[Datum Einnahmen],"&lt;"&amp;EDATE(AI$5,1),tblAuftraege[Auftrag],$A46))</f>
        <v>0</v>
      </c>
      <c r="AJ46" s="11" t="n">
        <f aca="false">IF($A46="",0,SUMIFS(tblAuftraege[Einnahmen],tblAuftraege[Datum Einnahmen],"&gt;="&amp;AJ$5,tblAuftraege[Datum Einnahmen],"&lt;"&amp;EDATE(AJ$5,1),tblAuftraege[Auftrag],$A46))</f>
        <v>0</v>
      </c>
      <c r="AK46" s="11" t="n">
        <f aca="false">IF($A46="",0,SUMIFS(tblAuftraege[Einnahmen],tblAuftraege[Datum Einnahmen],"&gt;="&amp;AK$5,tblAuftraege[Datum Einnahmen],"&lt;"&amp;EDATE(AK$5,1),tblAuftraege[Auftrag],$A46))</f>
        <v>0</v>
      </c>
      <c r="AL46" s="11" t="n">
        <f aca="false">IF($A46="",0,SUMIFS(tblAuftraege[Einnahmen],tblAuftraege[Datum Einnahmen],"&gt;="&amp;AL$5,tblAuftraege[Datum Einnahmen],"&lt;"&amp;EDATE(AL$5,1),tblAuftraege[Auftrag],$A46))</f>
        <v>0</v>
      </c>
      <c r="AM46" s="11" t="n">
        <f aca="false">IF($A46="",0,SUMIFS(tblAuftraege[Einnahmen],tblAuftraege[Datum Einnahmen],"&gt;="&amp;AM$5,tblAuftraege[Datum Einnahmen],"&lt;"&amp;EDATE(AM$5,1),tblAuftraege[Auftrag],$A46))</f>
        <v>0</v>
      </c>
      <c r="AN46" s="11" t="n">
        <f aca="false">IF($A46="",0,SUMIFS(tblAuftraege[Einnahmen],tblAuftraege[Datum Einnahmen],"&gt;="&amp;AN$5,tblAuftraege[Datum Einnahmen],"&lt;"&amp;EDATE(AN$5,1),tblAuftraege[Auftrag],$A46))</f>
        <v>0</v>
      </c>
      <c r="AO46" s="11" t="n">
        <f aca="false">IF($A46="",0,SUMIFS(tblAuftraege[Einnahmen],tblAuftraege[Datum Einnahmen],"&gt;="&amp;AO$5,tblAuftraege[Datum Einnahmen],"&lt;"&amp;EDATE(AO$5,1),tblAuftraege[Auftrag],$A46))</f>
        <v>0</v>
      </c>
      <c r="AP46" s="11" t="n">
        <f aca="false">IF($A46="",0,SUMIFS(tblAuftraege[Einnahmen],tblAuftraege[Datum Einnahmen],"&gt;="&amp;AP$5,tblAuftraege[Datum Einnahmen],"&lt;"&amp;EDATE(AP$5,1),tblAuftraege[Auftrag],$A46))</f>
        <v>0</v>
      </c>
      <c r="AQ46" s="11" t="n">
        <f aca="false">IF($A46="",0,SUMIFS(tblAuftraege[Einnahmen],tblAuftraege[Datum Einnahmen],"&gt;="&amp;AQ$5,tblAuftraege[Datum Einnahmen],"&lt;"&amp;EDATE(AQ$5,1),tblAuftraege[Auftrag],$A46))</f>
        <v>0</v>
      </c>
      <c r="AR46" s="11" t="n">
        <f aca="false">IF($A46="",0,SUMIFS(tblAuftraege[Einnahmen],tblAuftraege[Datum Einnahmen],"&gt;="&amp;AR$5,tblAuftraege[Datum Einnahmen],"&lt;"&amp;EDATE(AR$5,1),tblAuftraege[Auftrag],$A46))</f>
        <v>0</v>
      </c>
      <c r="AS46" s="11" t="n">
        <f aca="false">IF($A46="",0,SUMIFS(tblAuftraege[Einnahmen],tblAuftraege[Datum Einnahmen],"&gt;="&amp;AS$5,tblAuftraege[Datum Einnahmen],"&lt;"&amp;EDATE(AS$5,1),tblAuftraege[Auftrag],$A46))</f>
        <v>0</v>
      </c>
      <c r="AT46" s="11" t="n">
        <f aca="false">IF($A46="",0,SUMIFS(tblAuftraege[Einnahmen],tblAuftraege[Datum Einnahmen],"&gt;="&amp;AT$5,tblAuftraege[Datum Einnahmen],"&lt;"&amp;EDATE(AT$5,1),tblAuftraege[Auftrag],$A46))</f>
        <v>0</v>
      </c>
      <c r="AU46" s="11" t="n">
        <f aca="false">IF($A46="",0,SUMIFS(tblAuftraege[Einnahmen],tblAuftraege[Datum Einnahmen],"&gt;="&amp;AU$5,tblAuftraege[Datum Einnahmen],"&lt;"&amp;EDATE(AU$5,1),tblAuftraege[Auftrag],$A46))</f>
        <v>0</v>
      </c>
      <c r="AV46" s="11" t="n">
        <f aca="false">IF($A46="",0,SUMIFS(tblAuftraege[Einnahmen],tblAuftraege[Datum Einnahmen],"&gt;="&amp;AV$5,tblAuftraege[Datum Einnahmen],"&lt;"&amp;EDATE(AV$5,1),tblAuftraege[Auftrag],$A46))</f>
        <v>0</v>
      </c>
      <c r="AW46" s="11" t="n">
        <f aca="false">IF($A46="",0,SUMIFS(tblAuftraege[Einnahmen],tblAuftraege[Datum Einnahmen],"&gt;="&amp;AW$5,tblAuftraege[Datum Einnahmen],"&lt;"&amp;EDATE(AW$5,1),tblAuftraege[Auftrag],$A46))</f>
        <v>0</v>
      </c>
      <c r="AX46" s="11" t="n">
        <f aca="false">IF($A46="",0,SUMIFS(tblAuftraege[Einnahmen],tblAuftraege[Datum Einnahmen],"&gt;="&amp;AX$5,tblAuftraege[Datum Einnahmen],"&lt;"&amp;EDATE(AX$5,1),tblAuftraege[Auftrag],$A46))</f>
        <v>0</v>
      </c>
      <c r="AY46" s="11" t="n">
        <f aca="false">IF($A46="",0,SUMIFS(tblAuftraege[Einnahmen],tblAuftraege[Datum Einnahmen],"&gt;="&amp;AY$5,tblAuftraege[Datum Einnahmen],"&lt;"&amp;EDATE(AY$5,1),tblAuftraege[Auftrag],$A46))</f>
        <v>0</v>
      </c>
      <c r="AZ46" s="11" t="n">
        <f aca="false">IF($A46="",0,SUMIFS(tblAuftraege[Einnahmen],tblAuftraege[Datum Einnahmen],"&gt;="&amp;AZ$5,tblAuftraege[Datum Einnahmen],"&lt;"&amp;EDATE(AZ$5,1),tblAuftraege[Auftrag],$A46))</f>
        <v>0</v>
      </c>
      <c r="BA46" s="11" t="n">
        <f aca="false">IF($A46="",0,SUMIFS(tblAuftraege[Einnahmen],tblAuftraege[Datum Einnahmen],"&gt;="&amp;BA$5,tblAuftraege[Datum Einnahmen],"&lt;"&amp;EDATE(BA$5,1),tblAuftraege[Auftrag],$A46))</f>
        <v>0</v>
      </c>
      <c r="BB46" s="11" t="n">
        <f aca="false">IF($A46="",0,SUMIFS(tblAuftraege[Einnahmen],tblAuftraege[Datum Einnahmen],"&gt;="&amp;BB$5,tblAuftraege[Datum Einnahmen],"&lt;"&amp;EDATE(BB$5,1),tblAuftraege[Auftrag],$A46))</f>
        <v>0</v>
      </c>
      <c r="BC46" s="11" t="n">
        <f aca="false">IF($A46="",0,SUMIFS(tblAuftraege[Einnahmen],tblAuftraege[Datum Einnahmen],"&gt;="&amp;BC$5,tblAuftraege[Datum Einnahmen],"&lt;"&amp;EDATE(BC$5,1),tblAuftraege[Auftrag],$A46))</f>
        <v>0</v>
      </c>
      <c r="BD46" s="11" t="n">
        <f aca="false">IF($A46="",0,SUMIFS(tblAuftraege[Einnahmen],tblAuftraege[Datum Einnahmen],"&gt;="&amp;BD$5,tblAuftraege[Datum Einnahmen],"&lt;"&amp;EDATE(BD$5,1),tblAuftraege[Auftrag],$A46))</f>
        <v>0</v>
      </c>
      <c r="BE46" s="11" t="n">
        <f aca="false">IF($A46="",0,SUMIFS(tblAuftraege[Einnahmen],tblAuftraege[Datum Einnahmen],"&gt;="&amp;BE$5,tblAuftraege[Datum Einnahmen],"&lt;"&amp;EDATE(BE$5,1),tblAuftraege[Auftrag],$A46))</f>
        <v>0</v>
      </c>
      <c r="BF46" s="11" t="n">
        <f aca="false">IF($A46="",0,SUMIFS(tblAuftraege[Einnahmen],tblAuftraege[Datum Einnahmen],"&gt;="&amp;BF$5,tblAuftraege[Datum Einnahmen],"&lt;"&amp;EDATE(BF$5,1),tblAuftraege[Auftrag],$A46))</f>
        <v>0</v>
      </c>
      <c r="BG46" s="11" t="n">
        <f aca="false">SUM(E46:J46)</f>
        <v>0</v>
      </c>
      <c r="BH46" s="11" t="n">
        <f aca="false">SUM(K46:V46)</f>
        <v>0</v>
      </c>
      <c r="BI46" s="11" t="n">
        <f aca="false">SUM(W46:AH46)</f>
        <v>0</v>
      </c>
      <c r="BJ46" s="11" t="n">
        <f aca="false">SUM(AI46:AT46)</f>
        <v>0</v>
      </c>
      <c r="BK46" s="11" t="n">
        <f aca="false">SUM(AU46:BF46)</f>
        <v>0</v>
      </c>
      <c r="BL46" s="12" t="n">
        <f aca="false">SUM(E46:BF46)</f>
        <v>0</v>
      </c>
    </row>
    <row r="47" customFormat="false" ht="15" hidden="false" customHeight="false" outlineLevel="0" collapsed="false">
      <c r="A47" s="9"/>
      <c r="B47" s="10" t="str">
        <f aca="false">IF($A47="","",IFERROR(INDEX(tblAuftraege[Kostenstelle],MATCH($A47,tblAuftraege[Auftrag],0)),""))</f>
        <v/>
      </c>
      <c r="C47" s="10" t="str">
        <f aca="false">IF($A47="","",IFERROR(INDEX(tblAuftraege[Themenfeld],MATCH($A47,tblAuftraege[Auftrag],0)),""))</f>
        <v/>
      </c>
      <c r="D47" s="10" t="str">
        <f aca="false">IF($A47="","",IFERROR(INDEX(tblAuftraege[Kategorie],MATCH($A47,tblAuftraege[Auftrag],0)),""))</f>
        <v/>
      </c>
      <c r="E47" s="11" t="n">
        <f aca="false">IF($A47="",0,SUMIFS(tblAuftraege[Einnahmen],tblAuftraege[Datum Einnahmen],"&gt;="&amp;E$5,tblAuftraege[Datum Einnahmen],"&lt;"&amp;EDATE(E$5,1),tblAuftraege[Auftrag],$A47))</f>
        <v>0</v>
      </c>
      <c r="F47" s="11" t="n">
        <f aca="false">IF($A47="",0,SUMIFS(tblAuftraege[Einnahmen],tblAuftraege[Datum Einnahmen],"&gt;="&amp;F$5,tblAuftraege[Datum Einnahmen],"&lt;"&amp;EDATE(F$5,1),tblAuftraege[Auftrag],$A47))</f>
        <v>0</v>
      </c>
      <c r="G47" s="11" t="n">
        <f aca="false">IF($A47="",0,SUMIFS(tblAuftraege[Einnahmen],tblAuftraege[Datum Einnahmen],"&gt;="&amp;G$5,tblAuftraege[Datum Einnahmen],"&lt;"&amp;EDATE(G$5,1),tblAuftraege[Auftrag],$A47))</f>
        <v>0</v>
      </c>
      <c r="H47" s="11" t="n">
        <f aca="false">IF($A47="",0,SUMIFS(tblAuftraege[Einnahmen],tblAuftraege[Datum Einnahmen],"&gt;="&amp;H$5,tblAuftraege[Datum Einnahmen],"&lt;"&amp;EDATE(H$5,1),tblAuftraege[Auftrag],$A47))</f>
        <v>0</v>
      </c>
      <c r="I47" s="11" t="n">
        <f aca="false">IF($A47="",0,SUMIFS(tblAuftraege[Einnahmen],tblAuftraege[Datum Einnahmen],"&gt;="&amp;I$5,tblAuftraege[Datum Einnahmen],"&lt;"&amp;EDATE(I$5,1),tblAuftraege[Auftrag],$A47))</f>
        <v>0</v>
      </c>
      <c r="J47" s="11" t="n">
        <f aca="false">IF($A47="",0,SUMIFS(tblAuftraege[Einnahmen],tblAuftraege[Datum Einnahmen],"&gt;="&amp;J$5,tblAuftraege[Datum Einnahmen],"&lt;"&amp;EDATE(J$5,1),tblAuftraege[Auftrag],$A47))</f>
        <v>0</v>
      </c>
      <c r="K47" s="11" t="n">
        <f aca="false">IF($A47="",0,SUMIFS(tblAuftraege[Einnahmen],tblAuftraege[Datum Einnahmen],"&gt;="&amp;K$5,tblAuftraege[Datum Einnahmen],"&lt;"&amp;EDATE(K$5,1),tblAuftraege[Auftrag],$A47))</f>
        <v>0</v>
      </c>
      <c r="L47" s="11" t="n">
        <f aca="false">IF($A47="",0,SUMIFS(tblAuftraege[Einnahmen],tblAuftraege[Datum Einnahmen],"&gt;="&amp;L$5,tblAuftraege[Datum Einnahmen],"&lt;"&amp;EDATE(L$5,1),tblAuftraege[Auftrag],$A47))</f>
        <v>0</v>
      </c>
      <c r="M47" s="11" t="n">
        <f aca="false">IF($A47="",0,SUMIFS(tblAuftraege[Einnahmen],tblAuftraege[Datum Einnahmen],"&gt;="&amp;M$5,tblAuftraege[Datum Einnahmen],"&lt;"&amp;EDATE(M$5,1),tblAuftraege[Auftrag],$A47))</f>
        <v>0</v>
      </c>
      <c r="N47" s="11" t="n">
        <f aca="false">IF($A47="",0,SUMIFS(tblAuftraege[Einnahmen],tblAuftraege[Datum Einnahmen],"&gt;="&amp;N$5,tblAuftraege[Datum Einnahmen],"&lt;"&amp;EDATE(N$5,1),tblAuftraege[Auftrag],$A47))</f>
        <v>0</v>
      </c>
      <c r="O47" s="11" t="n">
        <f aca="false">IF($A47="",0,SUMIFS(tblAuftraege[Einnahmen],tblAuftraege[Datum Einnahmen],"&gt;="&amp;O$5,tblAuftraege[Datum Einnahmen],"&lt;"&amp;EDATE(O$5,1),tblAuftraege[Auftrag],$A47))</f>
        <v>0</v>
      </c>
      <c r="P47" s="11" t="n">
        <f aca="false">IF($A47="",0,SUMIFS(tblAuftraege[Einnahmen],tblAuftraege[Datum Einnahmen],"&gt;="&amp;P$5,tblAuftraege[Datum Einnahmen],"&lt;"&amp;EDATE(P$5,1),tblAuftraege[Auftrag],$A47))</f>
        <v>0</v>
      </c>
      <c r="Q47" s="11" t="n">
        <f aca="false">IF($A47="",0,SUMIFS(tblAuftraege[Einnahmen],tblAuftraege[Datum Einnahmen],"&gt;="&amp;Q$5,tblAuftraege[Datum Einnahmen],"&lt;"&amp;EDATE(Q$5,1),tblAuftraege[Auftrag],$A47))</f>
        <v>0</v>
      </c>
      <c r="R47" s="11" t="n">
        <f aca="false">IF($A47="",0,SUMIFS(tblAuftraege[Einnahmen],tblAuftraege[Datum Einnahmen],"&gt;="&amp;R$5,tblAuftraege[Datum Einnahmen],"&lt;"&amp;EDATE(R$5,1),tblAuftraege[Auftrag],$A47))</f>
        <v>0</v>
      </c>
      <c r="S47" s="11" t="n">
        <f aca="false">IF($A47="",0,SUMIFS(tblAuftraege[Einnahmen],tblAuftraege[Datum Einnahmen],"&gt;="&amp;S$5,tblAuftraege[Datum Einnahmen],"&lt;"&amp;EDATE(S$5,1),tblAuftraege[Auftrag],$A47))</f>
        <v>0</v>
      </c>
      <c r="T47" s="11" t="n">
        <f aca="false">IF($A47="",0,SUMIFS(tblAuftraege[Einnahmen],tblAuftraege[Datum Einnahmen],"&gt;="&amp;T$5,tblAuftraege[Datum Einnahmen],"&lt;"&amp;EDATE(T$5,1),tblAuftraege[Auftrag],$A47))</f>
        <v>0</v>
      </c>
      <c r="U47" s="11" t="n">
        <f aca="false">IF($A47="",0,SUMIFS(tblAuftraege[Einnahmen],tblAuftraege[Datum Einnahmen],"&gt;="&amp;U$5,tblAuftraege[Datum Einnahmen],"&lt;"&amp;EDATE(U$5,1),tblAuftraege[Auftrag],$A47))</f>
        <v>0</v>
      </c>
      <c r="V47" s="11" t="n">
        <f aca="false">IF($A47="",0,SUMIFS(tblAuftraege[Einnahmen],tblAuftraege[Datum Einnahmen],"&gt;="&amp;V$5,tblAuftraege[Datum Einnahmen],"&lt;"&amp;EDATE(V$5,1),tblAuftraege[Auftrag],$A47))</f>
        <v>0</v>
      </c>
      <c r="W47" s="11" t="n">
        <f aca="false">IF($A47="",0,SUMIFS(tblAuftraege[Einnahmen],tblAuftraege[Datum Einnahmen],"&gt;="&amp;W$5,tblAuftraege[Datum Einnahmen],"&lt;"&amp;EDATE(W$5,1),tblAuftraege[Auftrag],$A47))</f>
        <v>0</v>
      </c>
      <c r="X47" s="11" t="n">
        <f aca="false">IF($A47="",0,SUMIFS(tblAuftraege[Einnahmen],tblAuftraege[Datum Einnahmen],"&gt;="&amp;X$5,tblAuftraege[Datum Einnahmen],"&lt;"&amp;EDATE(X$5,1),tblAuftraege[Auftrag],$A47))</f>
        <v>0</v>
      </c>
      <c r="Y47" s="11" t="n">
        <f aca="false">IF($A47="",0,SUMIFS(tblAuftraege[Einnahmen],tblAuftraege[Datum Einnahmen],"&gt;="&amp;Y$5,tblAuftraege[Datum Einnahmen],"&lt;"&amp;EDATE(Y$5,1),tblAuftraege[Auftrag],$A47))</f>
        <v>0</v>
      </c>
      <c r="Z47" s="11" t="n">
        <f aca="false">IF($A47="",0,SUMIFS(tblAuftraege[Einnahmen],tblAuftraege[Datum Einnahmen],"&gt;="&amp;Z$5,tblAuftraege[Datum Einnahmen],"&lt;"&amp;EDATE(Z$5,1),tblAuftraege[Auftrag],$A47))</f>
        <v>0</v>
      </c>
      <c r="AA47" s="11" t="n">
        <f aca="false">IF($A47="",0,SUMIFS(tblAuftraege[Einnahmen],tblAuftraege[Datum Einnahmen],"&gt;="&amp;AA$5,tblAuftraege[Datum Einnahmen],"&lt;"&amp;EDATE(AA$5,1),tblAuftraege[Auftrag],$A47))</f>
        <v>0</v>
      </c>
      <c r="AB47" s="11" t="n">
        <f aca="false">IF($A47="",0,SUMIFS(tblAuftraege[Einnahmen],tblAuftraege[Datum Einnahmen],"&gt;="&amp;AB$5,tblAuftraege[Datum Einnahmen],"&lt;"&amp;EDATE(AB$5,1),tblAuftraege[Auftrag],$A47))</f>
        <v>0</v>
      </c>
      <c r="AC47" s="11" t="n">
        <f aca="false">IF($A47="",0,SUMIFS(tblAuftraege[Einnahmen],tblAuftraege[Datum Einnahmen],"&gt;="&amp;AC$5,tblAuftraege[Datum Einnahmen],"&lt;"&amp;EDATE(AC$5,1),tblAuftraege[Auftrag],$A47))</f>
        <v>0</v>
      </c>
      <c r="AD47" s="11" t="n">
        <f aca="false">IF($A47="",0,SUMIFS(tblAuftraege[Einnahmen],tblAuftraege[Datum Einnahmen],"&gt;="&amp;AD$5,tblAuftraege[Datum Einnahmen],"&lt;"&amp;EDATE(AD$5,1),tblAuftraege[Auftrag],$A47))</f>
        <v>0</v>
      </c>
      <c r="AE47" s="11" t="n">
        <f aca="false">IF($A47="",0,SUMIFS(tblAuftraege[Einnahmen],tblAuftraege[Datum Einnahmen],"&gt;="&amp;AE$5,tblAuftraege[Datum Einnahmen],"&lt;"&amp;EDATE(AE$5,1),tblAuftraege[Auftrag],$A47))</f>
        <v>0</v>
      </c>
      <c r="AF47" s="11" t="n">
        <f aca="false">IF($A47="",0,SUMIFS(tblAuftraege[Einnahmen],tblAuftraege[Datum Einnahmen],"&gt;="&amp;AF$5,tblAuftraege[Datum Einnahmen],"&lt;"&amp;EDATE(AF$5,1),tblAuftraege[Auftrag],$A47))</f>
        <v>0</v>
      </c>
      <c r="AG47" s="11" t="n">
        <f aca="false">IF($A47="",0,SUMIFS(tblAuftraege[Einnahmen],tblAuftraege[Datum Einnahmen],"&gt;="&amp;AG$5,tblAuftraege[Datum Einnahmen],"&lt;"&amp;EDATE(AG$5,1),tblAuftraege[Auftrag],$A47))</f>
        <v>0</v>
      </c>
      <c r="AH47" s="11" t="n">
        <f aca="false">IF($A47="",0,SUMIFS(tblAuftraege[Einnahmen],tblAuftraege[Datum Einnahmen],"&gt;="&amp;AH$5,tblAuftraege[Datum Einnahmen],"&lt;"&amp;EDATE(AH$5,1),tblAuftraege[Auftrag],$A47))</f>
        <v>0</v>
      </c>
      <c r="AI47" s="11" t="n">
        <f aca="false">IF($A47="",0,SUMIFS(tblAuftraege[Einnahmen],tblAuftraege[Datum Einnahmen],"&gt;="&amp;AI$5,tblAuftraege[Datum Einnahmen],"&lt;"&amp;EDATE(AI$5,1),tblAuftraege[Auftrag],$A47))</f>
        <v>0</v>
      </c>
      <c r="AJ47" s="11" t="n">
        <f aca="false">IF($A47="",0,SUMIFS(tblAuftraege[Einnahmen],tblAuftraege[Datum Einnahmen],"&gt;="&amp;AJ$5,tblAuftraege[Datum Einnahmen],"&lt;"&amp;EDATE(AJ$5,1),tblAuftraege[Auftrag],$A47))</f>
        <v>0</v>
      </c>
      <c r="AK47" s="11" t="n">
        <f aca="false">IF($A47="",0,SUMIFS(tblAuftraege[Einnahmen],tblAuftraege[Datum Einnahmen],"&gt;="&amp;AK$5,tblAuftraege[Datum Einnahmen],"&lt;"&amp;EDATE(AK$5,1),tblAuftraege[Auftrag],$A47))</f>
        <v>0</v>
      </c>
      <c r="AL47" s="11" t="n">
        <f aca="false">IF($A47="",0,SUMIFS(tblAuftraege[Einnahmen],tblAuftraege[Datum Einnahmen],"&gt;="&amp;AL$5,tblAuftraege[Datum Einnahmen],"&lt;"&amp;EDATE(AL$5,1),tblAuftraege[Auftrag],$A47))</f>
        <v>0</v>
      </c>
      <c r="AM47" s="11" t="n">
        <f aca="false">IF($A47="",0,SUMIFS(tblAuftraege[Einnahmen],tblAuftraege[Datum Einnahmen],"&gt;="&amp;AM$5,tblAuftraege[Datum Einnahmen],"&lt;"&amp;EDATE(AM$5,1),tblAuftraege[Auftrag],$A47))</f>
        <v>0</v>
      </c>
      <c r="AN47" s="11" t="n">
        <f aca="false">IF($A47="",0,SUMIFS(tblAuftraege[Einnahmen],tblAuftraege[Datum Einnahmen],"&gt;="&amp;AN$5,tblAuftraege[Datum Einnahmen],"&lt;"&amp;EDATE(AN$5,1),tblAuftraege[Auftrag],$A47))</f>
        <v>0</v>
      </c>
      <c r="AO47" s="11" t="n">
        <f aca="false">IF($A47="",0,SUMIFS(tblAuftraege[Einnahmen],tblAuftraege[Datum Einnahmen],"&gt;="&amp;AO$5,tblAuftraege[Datum Einnahmen],"&lt;"&amp;EDATE(AO$5,1),tblAuftraege[Auftrag],$A47))</f>
        <v>0</v>
      </c>
      <c r="AP47" s="11" t="n">
        <f aca="false">IF($A47="",0,SUMIFS(tblAuftraege[Einnahmen],tblAuftraege[Datum Einnahmen],"&gt;="&amp;AP$5,tblAuftraege[Datum Einnahmen],"&lt;"&amp;EDATE(AP$5,1),tblAuftraege[Auftrag],$A47))</f>
        <v>0</v>
      </c>
      <c r="AQ47" s="11" t="n">
        <f aca="false">IF($A47="",0,SUMIFS(tblAuftraege[Einnahmen],tblAuftraege[Datum Einnahmen],"&gt;="&amp;AQ$5,tblAuftraege[Datum Einnahmen],"&lt;"&amp;EDATE(AQ$5,1),tblAuftraege[Auftrag],$A47))</f>
        <v>0</v>
      </c>
      <c r="AR47" s="11" t="n">
        <f aca="false">IF($A47="",0,SUMIFS(tblAuftraege[Einnahmen],tblAuftraege[Datum Einnahmen],"&gt;="&amp;AR$5,tblAuftraege[Datum Einnahmen],"&lt;"&amp;EDATE(AR$5,1),tblAuftraege[Auftrag],$A47))</f>
        <v>0</v>
      </c>
      <c r="AS47" s="11" t="n">
        <f aca="false">IF($A47="",0,SUMIFS(tblAuftraege[Einnahmen],tblAuftraege[Datum Einnahmen],"&gt;="&amp;AS$5,tblAuftraege[Datum Einnahmen],"&lt;"&amp;EDATE(AS$5,1),tblAuftraege[Auftrag],$A47))</f>
        <v>0</v>
      </c>
      <c r="AT47" s="11" t="n">
        <f aca="false">IF($A47="",0,SUMIFS(tblAuftraege[Einnahmen],tblAuftraege[Datum Einnahmen],"&gt;="&amp;AT$5,tblAuftraege[Datum Einnahmen],"&lt;"&amp;EDATE(AT$5,1),tblAuftraege[Auftrag],$A47))</f>
        <v>0</v>
      </c>
      <c r="AU47" s="11" t="n">
        <f aca="false">IF($A47="",0,SUMIFS(tblAuftraege[Einnahmen],tblAuftraege[Datum Einnahmen],"&gt;="&amp;AU$5,tblAuftraege[Datum Einnahmen],"&lt;"&amp;EDATE(AU$5,1),tblAuftraege[Auftrag],$A47))</f>
        <v>0</v>
      </c>
      <c r="AV47" s="11" t="n">
        <f aca="false">IF($A47="",0,SUMIFS(tblAuftraege[Einnahmen],tblAuftraege[Datum Einnahmen],"&gt;="&amp;AV$5,tblAuftraege[Datum Einnahmen],"&lt;"&amp;EDATE(AV$5,1),tblAuftraege[Auftrag],$A47))</f>
        <v>0</v>
      </c>
      <c r="AW47" s="11" t="n">
        <f aca="false">IF($A47="",0,SUMIFS(tblAuftraege[Einnahmen],tblAuftraege[Datum Einnahmen],"&gt;="&amp;AW$5,tblAuftraege[Datum Einnahmen],"&lt;"&amp;EDATE(AW$5,1),tblAuftraege[Auftrag],$A47))</f>
        <v>0</v>
      </c>
      <c r="AX47" s="11" t="n">
        <f aca="false">IF($A47="",0,SUMIFS(tblAuftraege[Einnahmen],tblAuftraege[Datum Einnahmen],"&gt;="&amp;AX$5,tblAuftraege[Datum Einnahmen],"&lt;"&amp;EDATE(AX$5,1),tblAuftraege[Auftrag],$A47))</f>
        <v>0</v>
      </c>
      <c r="AY47" s="11" t="n">
        <f aca="false">IF($A47="",0,SUMIFS(tblAuftraege[Einnahmen],tblAuftraege[Datum Einnahmen],"&gt;="&amp;AY$5,tblAuftraege[Datum Einnahmen],"&lt;"&amp;EDATE(AY$5,1),tblAuftraege[Auftrag],$A47))</f>
        <v>0</v>
      </c>
      <c r="AZ47" s="11" t="n">
        <f aca="false">IF($A47="",0,SUMIFS(tblAuftraege[Einnahmen],tblAuftraege[Datum Einnahmen],"&gt;="&amp;AZ$5,tblAuftraege[Datum Einnahmen],"&lt;"&amp;EDATE(AZ$5,1),tblAuftraege[Auftrag],$A47))</f>
        <v>0</v>
      </c>
      <c r="BA47" s="11" t="n">
        <f aca="false">IF($A47="",0,SUMIFS(tblAuftraege[Einnahmen],tblAuftraege[Datum Einnahmen],"&gt;="&amp;BA$5,tblAuftraege[Datum Einnahmen],"&lt;"&amp;EDATE(BA$5,1),tblAuftraege[Auftrag],$A47))</f>
        <v>0</v>
      </c>
      <c r="BB47" s="11" t="n">
        <f aca="false">IF($A47="",0,SUMIFS(tblAuftraege[Einnahmen],tblAuftraege[Datum Einnahmen],"&gt;="&amp;BB$5,tblAuftraege[Datum Einnahmen],"&lt;"&amp;EDATE(BB$5,1),tblAuftraege[Auftrag],$A47))</f>
        <v>0</v>
      </c>
      <c r="BC47" s="11" t="n">
        <f aca="false">IF($A47="",0,SUMIFS(tblAuftraege[Einnahmen],tblAuftraege[Datum Einnahmen],"&gt;="&amp;BC$5,tblAuftraege[Datum Einnahmen],"&lt;"&amp;EDATE(BC$5,1),tblAuftraege[Auftrag],$A47))</f>
        <v>0</v>
      </c>
      <c r="BD47" s="11" t="n">
        <f aca="false">IF($A47="",0,SUMIFS(tblAuftraege[Einnahmen],tblAuftraege[Datum Einnahmen],"&gt;="&amp;BD$5,tblAuftraege[Datum Einnahmen],"&lt;"&amp;EDATE(BD$5,1),tblAuftraege[Auftrag],$A47))</f>
        <v>0</v>
      </c>
      <c r="BE47" s="11" t="n">
        <f aca="false">IF($A47="",0,SUMIFS(tblAuftraege[Einnahmen],tblAuftraege[Datum Einnahmen],"&gt;="&amp;BE$5,tblAuftraege[Datum Einnahmen],"&lt;"&amp;EDATE(BE$5,1),tblAuftraege[Auftrag],$A47))</f>
        <v>0</v>
      </c>
      <c r="BF47" s="11" t="n">
        <f aca="false">IF($A47="",0,SUMIFS(tblAuftraege[Einnahmen],tblAuftraege[Datum Einnahmen],"&gt;="&amp;BF$5,tblAuftraege[Datum Einnahmen],"&lt;"&amp;EDATE(BF$5,1),tblAuftraege[Auftrag],$A47))</f>
        <v>0</v>
      </c>
      <c r="BG47" s="11" t="n">
        <f aca="false">SUM(E47:J47)</f>
        <v>0</v>
      </c>
      <c r="BH47" s="11" t="n">
        <f aca="false">SUM(K47:V47)</f>
        <v>0</v>
      </c>
      <c r="BI47" s="11" t="n">
        <f aca="false">SUM(W47:AH47)</f>
        <v>0</v>
      </c>
      <c r="BJ47" s="11" t="n">
        <f aca="false">SUM(AI47:AT47)</f>
        <v>0</v>
      </c>
      <c r="BK47" s="11" t="n">
        <f aca="false">SUM(AU47:BF47)</f>
        <v>0</v>
      </c>
      <c r="BL47" s="12" t="n">
        <f aca="false">SUM(E47:BF47)</f>
        <v>0</v>
      </c>
    </row>
    <row r="48" customFormat="false" ht="15" hidden="false" customHeight="false" outlineLevel="0" collapsed="false">
      <c r="A48" s="9"/>
      <c r="B48" s="10" t="str">
        <f aca="false">IF($A48="","",IFERROR(INDEX(tblAuftraege[Kostenstelle],MATCH($A48,tblAuftraege[Auftrag],0)),""))</f>
        <v/>
      </c>
      <c r="C48" s="10" t="str">
        <f aca="false">IF($A48="","",IFERROR(INDEX(tblAuftraege[Themenfeld],MATCH($A48,tblAuftraege[Auftrag],0)),""))</f>
        <v/>
      </c>
      <c r="D48" s="10" t="str">
        <f aca="false">IF($A48="","",IFERROR(INDEX(tblAuftraege[Kategorie],MATCH($A48,tblAuftraege[Auftrag],0)),""))</f>
        <v/>
      </c>
      <c r="E48" s="11" t="n">
        <f aca="false">IF($A48="",0,SUMIFS(tblAuftraege[Einnahmen],tblAuftraege[Datum Einnahmen],"&gt;="&amp;E$5,tblAuftraege[Datum Einnahmen],"&lt;"&amp;EDATE(E$5,1),tblAuftraege[Auftrag],$A48))</f>
        <v>0</v>
      </c>
      <c r="F48" s="11" t="n">
        <f aca="false">IF($A48="",0,SUMIFS(tblAuftraege[Einnahmen],tblAuftraege[Datum Einnahmen],"&gt;="&amp;F$5,tblAuftraege[Datum Einnahmen],"&lt;"&amp;EDATE(F$5,1),tblAuftraege[Auftrag],$A48))</f>
        <v>0</v>
      </c>
      <c r="G48" s="11" t="n">
        <f aca="false">IF($A48="",0,SUMIFS(tblAuftraege[Einnahmen],tblAuftraege[Datum Einnahmen],"&gt;="&amp;G$5,tblAuftraege[Datum Einnahmen],"&lt;"&amp;EDATE(G$5,1),tblAuftraege[Auftrag],$A48))</f>
        <v>0</v>
      </c>
      <c r="H48" s="11" t="n">
        <f aca="false">IF($A48="",0,SUMIFS(tblAuftraege[Einnahmen],tblAuftraege[Datum Einnahmen],"&gt;="&amp;H$5,tblAuftraege[Datum Einnahmen],"&lt;"&amp;EDATE(H$5,1),tblAuftraege[Auftrag],$A48))</f>
        <v>0</v>
      </c>
      <c r="I48" s="11" t="n">
        <f aca="false">IF($A48="",0,SUMIFS(tblAuftraege[Einnahmen],tblAuftraege[Datum Einnahmen],"&gt;="&amp;I$5,tblAuftraege[Datum Einnahmen],"&lt;"&amp;EDATE(I$5,1),tblAuftraege[Auftrag],$A48))</f>
        <v>0</v>
      </c>
      <c r="J48" s="11" t="n">
        <f aca="false">IF($A48="",0,SUMIFS(tblAuftraege[Einnahmen],tblAuftraege[Datum Einnahmen],"&gt;="&amp;J$5,tblAuftraege[Datum Einnahmen],"&lt;"&amp;EDATE(J$5,1),tblAuftraege[Auftrag],$A48))</f>
        <v>0</v>
      </c>
      <c r="K48" s="11" t="n">
        <f aca="false">IF($A48="",0,SUMIFS(tblAuftraege[Einnahmen],tblAuftraege[Datum Einnahmen],"&gt;="&amp;K$5,tblAuftraege[Datum Einnahmen],"&lt;"&amp;EDATE(K$5,1),tblAuftraege[Auftrag],$A48))</f>
        <v>0</v>
      </c>
      <c r="L48" s="11" t="n">
        <f aca="false">IF($A48="",0,SUMIFS(tblAuftraege[Einnahmen],tblAuftraege[Datum Einnahmen],"&gt;="&amp;L$5,tblAuftraege[Datum Einnahmen],"&lt;"&amp;EDATE(L$5,1),tblAuftraege[Auftrag],$A48))</f>
        <v>0</v>
      </c>
      <c r="M48" s="11" t="n">
        <f aca="false">IF($A48="",0,SUMIFS(tblAuftraege[Einnahmen],tblAuftraege[Datum Einnahmen],"&gt;="&amp;M$5,tblAuftraege[Datum Einnahmen],"&lt;"&amp;EDATE(M$5,1),tblAuftraege[Auftrag],$A48))</f>
        <v>0</v>
      </c>
      <c r="N48" s="11" t="n">
        <f aca="false">IF($A48="",0,SUMIFS(tblAuftraege[Einnahmen],tblAuftraege[Datum Einnahmen],"&gt;="&amp;N$5,tblAuftraege[Datum Einnahmen],"&lt;"&amp;EDATE(N$5,1),tblAuftraege[Auftrag],$A48))</f>
        <v>0</v>
      </c>
      <c r="O48" s="11" t="n">
        <f aca="false">IF($A48="",0,SUMIFS(tblAuftraege[Einnahmen],tblAuftraege[Datum Einnahmen],"&gt;="&amp;O$5,tblAuftraege[Datum Einnahmen],"&lt;"&amp;EDATE(O$5,1),tblAuftraege[Auftrag],$A48))</f>
        <v>0</v>
      </c>
      <c r="P48" s="11" t="n">
        <f aca="false">IF($A48="",0,SUMIFS(tblAuftraege[Einnahmen],tblAuftraege[Datum Einnahmen],"&gt;="&amp;P$5,tblAuftraege[Datum Einnahmen],"&lt;"&amp;EDATE(P$5,1),tblAuftraege[Auftrag],$A48))</f>
        <v>0</v>
      </c>
      <c r="Q48" s="11" t="n">
        <f aca="false">IF($A48="",0,SUMIFS(tblAuftraege[Einnahmen],tblAuftraege[Datum Einnahmen],"&gt;="&amp;Q$5,tblAuftraege[Datum Einnahmen],"&lt;"&amp;EDATE(Q$5,1),tblAuftraege[Auftrag],$A48))</f>
        <v>0</v>
      </c>
      <c r="R48" s="11" t="n">
        <f aca="false">IF($A48="",0,SUMIFS(tblAuftraege[Einnahmen],tblAuftraege[Datum Einnahmen],"&gt;="&amp;R$5,tblAuftraege[Datum Einnahmen],"&lt;"&amp;EDATE(R$5,1),tblAuftraege[Auftrag],$A48))</f>
        <v>0</v>
      </c>
      <c r="S48" s="11" t="n">
        <f aca="false">IF($A48="",0,SUMIFS(tblAuftraege[Einnahmen],tblAuftraege[Datum Einnahmen],"&gt;="&amp;S$5,tblAuftraege[Datum Einnahmen],"&lt;"&amp;EDATE(S$5,1),tblAuftraege[Auftrag],$A48))</f>
        <v>0</v>
      </c>
      <c r="T48" s="11" t="n">
        <f aca="false">IF($A48="",0,SUMIFS(tblAuftraege[Einnahmen],tblAuftraege[Datum Einnahmen],"&gt;="&amp;T$5,tblAuftraege[Datum Einnahmen],"&lt;"&amp;EDATE(T$5,1),tblAuftraege[Auftrag],$A48))</f>
        <v>0</v>
      </c>
      <c r="U48" s="11" t="n">
        <f aca="false">IF($A48="",0,SUMIFS(tblAuftraege[Einnahmen],tblAuftraege[Datum Einnahmen],"&gt;="&amp;U$5,tblAuftraege[Datum Einnahmen],"&lt;"&amp;EDATE(U$5,1),tblAuftraege[Auftrag],$A48))</f>
        <v>0</v>
      </c>
      <c r="V48" s="11" t="n">
        <f aca="false">IF($A48="",0,SUMIFS(tblAuftraege[Einnahmen],tblAuftraege[Datum Einnahmen],"&gt;="&amp;V$5,tblAuftraege[Datum Einnahmen],"&lt;"&amp;EDATE(V$5,1),tblAuftraege[Auftrag],$A48))</f>
        <v>0</v>
      </c>
      <c r="W48" s="11" t="n">
        <f aca="false">IF($A48="",0,SUMIFS(tblAuftraege[Einnahmen],tblAuftraege[Datum Einnahmen],"&gt;="&amp;W$5,tblAuftraege[Datum Einnahmen],"&lt;"&amp;EDATE(W$5,1),tblAuftraege[Auftrag],$A48))</f>
        <v>0</v>
      </c>
      <c r="X48" s="11" t="n">
        <f aca="false">IF($A48="",0,SUMIFS(tblAuftraege[Einnahmen],tblAuftraege[Datum Einnahmen],"&gt;="&amp;X$5,tblAuftraege[Datum Einnahmen],"&lt;"&amp;EDATE(X$5,1),tblAuftraege[Auftrag],$A48))</f>
        <v>0</v>
      </c>
      <c r="Y48" s="11" t="n">
        <f aca="false">IF($A48="",0,SUMIFS(tblAuftraege[Einnahmen],tblAuftraege[Datum Einnahmen],"&gt;="&amp;Y$5,tblAuftraege[Datum Einnahmen],"&lt;"&amp;EDATE(Y$5,1),tblAuftraege[Auftrag],$A48))</f>
        <v>0</v>
      </c>
      <c r="Z48" s="11" t="n">
        <f aca="false">IF($A48="",0,SUMIFS(tblAuftraege[Einnahmen],tblAuftraege[Datum Einnahmen],"&gt;="&amp;Z$5,tblAuftraege[Datum Einnahmen],"&lt;"&amp;EDATE(Z$5,1),tblAuftraege[Auftrag],$A48))</f>
        <v>0</v>
      </c>
      <c r="AA48" s="11" t="n">
        <f aca="false">IF($A48="",0,SUMIFS(tblAuftraege[Einnahmen],tblAuftraege[Datum Einnahmen],"&gt;="&amp;AA$5,tblAuftraege[Datum Einnahmen],"&lt;"&amp;EDATE(AA$5,1),tblAuftraege[Auftrag],$A48))</f>
        <v>0</v>
      </c>
      <c r="AB48" s="11" t="n">
        <f aca="false">IF($A48="",0,SUMIFS(tblAuftraege[Einnahmen],tblAuftraege[Datum Einnahmen],"&gt;="&amp;AB$5,tblAuftraege[Datum Einnahmen],"&lt;"&amp;EDATE(AB$5,1),tblAuftraege[Auftrag],$A48))</f>
        <v>0</v>
      </c>
      <c r="AC48" s="11" t="n">
        <f aca="false">IF($A48="",0,SUMIFS(tblAuftraege[Einnahmen],tblAuftraege[Datum Einnahmen],"&gt;="&amp;AC$5,tblAuftraege[Datum Einnahmen],"&lt;"&amp;EDATE(AC$5,1),tblAuftraege[Auftrag],$A48))</f>
        <v>0</v>
      </c>
      <c r="AD48" s="11" t="n">
        <f aca="false">IF($A48="",0,SUMIFS(tblAuftraege[Einnahmen],tblAuftraege[Datum Einnahmen],"&gt;="&amp;AD$5,tblAuftraege[Datum Einnahmen],"&lt;"&amp;EDATE(AD$5,1),tblAuftraege[Auftrag],$A48))</f>
        <v>0</v>
      </c>
      <c r="AE48" s="11" t="n">
        <f aca="false">IF($A48="",0,SUMIFS(tblAuftraege[Einnahmen],tblAuftraege[Datum Einnahmen],"&gt;="&amp;AE$5,tblAuftraege[Datum Einnahmen],"&lt;"&amp;EDATE(AE$5,1),tblAuftraege[Auftrag],$A48))</f>
        <v>0</v>
      </c>
      <c r="AF48" s="11" t="n">
        <f aca="false">IF($A48="",0,SUMIFS(tblAuftraege[Einnahmen],tblAuftraege[Datum Einnahmen],"&gt;="&amp;AF$5,tblAuftraege[Datum Einnahmen],"&lt;"&amp;EDATE(AF$5,1),tblAuftraege[Auftrag],$A48))</f>
        <v>0</v>
      </c>
      <c r="AG48" s="11" t="n">
        <f aca="false">IF($A48="",0,SUMIFS(tblAuftraege[Einnahmen],tblAuftraege[Datum Einnahmen],"&gt;="&amp;AG$5,tblAuftraege[Datum Einnahmen],"&lt;"&amp;EDATE(AG$5,1),tblAuftraege[Auftrag],$A48))</f>
        <v>0</v>
      </c>
      <c r="AH48" s="11" t="n">
        <f aca="false">IF($A48="",0,SUMIFS(tblAuftraege[Einnahmen],tblAuftraege[Datum Einnahmen],"&gt;="&amp;AH$5,tblAuftraege[Datum Einnahmen],"&lt;"&amp;EDATE(AH$5,1),tblAuftraege[Auftrag],$A48))</f>
        <v>0</v>
      </c>
      <c r="AI48" s="11" t="n">
        <f aca="false">IF($A48="",0,SUMIFS(tblAuftraege[Einnahmen],tblAuftraege[Datum Einnahmen],"&gt;="&amp;AI$5,tblAuftraege[Datum Einnahmen],"&lt;"&amp;EDATE(AI$5,1),tblAuftraege[Auftrag],$A48))</f>
        <v>0</v>
      </c>
      <c r="AJ48" s="11" t="n">
        <f aca="false">IF($A48="",0,SUMIFS(tblAuftraege[Einnahmen],tblAuftraege[Datum Einnahmen],"&gt;="&amp;AJ$5,tblAuftraege[Datum Einnahmen],"&lt;"&amp;EDATE(AJ$5,1),tblAuftraege[Auftrag],$A48))</f>
        <v>0</v>
      </c>
      <c r="AK48" s="11" t="n">
        <f aca="false">IF($A48="",0,SUMIFS(tblAuftraege[Einnahmen],tblAuftraege[Datum Einnahmen],"&gt;="&amp;AK$5,tblAuftraege[Datum Einnahmen],"&lt;"&amp;EDATE(AK$5,1),tblAuftraege[Auftrag],$A48))</f>
        <v>0</v>
      </c>
      <c r="AL48" s="11" t="n">
        <f aca="false">IF($A48="",0,SUMIFS(tblAuftraege[Einnahmen],tblAuftraege[Datum Einnahmen],"&gt;="&amp;AL$5,tblAuftraege[Datum Einnahmen],"&lt;"&amp;EDATE(AL$5,1),tblAuftraege[Auftrag],$A48))</f>
        <v>0</v>
      </c>
      <c r="AM48" s="11" t="n">
        <f aca="false">IF($A48="",0,SUMIFS(tblAuftraege[Einnahmen],tblAuftraege[Datum Einnahmen],"&gt;="&amp;AM$5,tblAuftraege[Datum Einnahmen],"&lt;"&amp;EDATE(AM$5,1),tblAuftraege[Auftrag],$A48))</f>
        <v>0</v>
      </c>
      <c r="AN48" s="11" t="n">
        <f aca="false">IF($A48="",0,SUMIFS(tblAuftraege[Einnahmen],tblAuftraege[Datum Einnahmen],"&gt;="&amp;AN$5,tblAuftraege[Datum Einnahmen],"&lt;"&amp;EDATE(AN$5,1),tblAuftraege[Auftrag],$A48))</f>
        <v>0</v>
      </c>
      <c r="AO48" s="11" t="n">
        <f aca="false">IF($A48="",0,SUMIFS(tblAuftraege[Einnahmen],tblAuftraege[Datum Einnahmen],"&gt;="&amp;AO$5,tblAuftraege[Datum Einnahmen],"&lt;"&amp;EDATE(AO$5,1),tblAuftraege[Auftrag],$A48))</f>
        <v>0</v>
      </c>
      <c r="AP48" s="11" t="n">
        <f aca="false">IF($A48="",0,SUMIFS(tblAuftraege[Einnahmen],tblAuftraege[Datum Einnahmen],"&gt;="&amp;AP$5,tblAuftraege[Datum Einnahmen],"&lt;"&amp;EDATE(AP$5,1),tblAuftraege[Auftrag],$A48))</f>
        <v>0</v>
      </c>
      <c r="AQ48" s="11" t="n">
        <f aca="false">IF($A48="",0,SUMIFS(tblAuftraege[Einnahmen],tblAuftraege[Datum Einnahmen],"&gt;="&amp;AQ$5,tblAuftraege[Datum Einnahmen],"&lt;"&amp;EDATE(AQ$5,1),tblAuftraege[Auftrag],$A48))</f>
        <v>0</v>
      </c>
      <c r="AR48" s="11" t="n">
        <f aca="false">IF($A48="",0,SUMIFS(tblAuftraege[Einnahmen],tblAuftraege[Datum Einnahmen],"&gt;="&amp;AR$5,tblAuftraege[Datum Einnahmen],"&lt;"&amp;EDATE(AR$5,1),tblAuftraege[Auftrag],$A48))</f>
        <v>0</v>
      </c>
      <c r="AS48" s="11" t="n">
        <f aca="false">IF($A48="",0,SUMIFS(tblAuftraege[Einnahmen],tblAuftraege[Datum Einnahmen],"&gt;="&amp;AS$5,tblAuftraege[Datum Einnahmen],"&lt;"&amp;EDATE(AS$5,1),tblAuftraege[Auftrag],$A48))</f>
        <v>0</v>
      </c>
      <c r="AT48" s="11" t="n">
        <f aca="false">IF($A48="",0,SUMIFS(tblAuftraege[Einnahmen],tblAuftraege[Datum Einnahmen],"&gt;="&amp;AT$5,tblAuftraege[Datum Einnahmen],"&lt;"&amp;EDATE(AT$5,1),tblAuftraege[Auftrag],$A48))</f>
        <v>0</v>
      </c>
      <c r="AU48" s="11" t="n">
        <f aca="false">IF($A48="",0,SUMIFS(tblAuftraege[Einnahmen],tblAuftraege[Datum Einnahmen],"&gt;="&amp;AU$5,tblAuftraege[Datum Einnahmen],"&lt;"&amp;EDATE(AU$5,1),tblAuftraege[Auftrag],$A48))</f>
        <v>0</v>
      </c>
      <c r="AV48" s="11" t="n">
        <f aca="false">IF($A48="",0,SUMIFS(tblAuftraege[Einnahmen],tblAuftraege[Datum Einnahmen],"&gt;="&amp;AV$5,tblAuftraege[Datum Einnahmen],"&lt;"&amp;EDATE(AV$5,1),tblAuftraege[Auftrag],$A48))</f>
        <v>0</v>
      </c>
      <c r="AW48" s="11" t="n">
        <f aca="false">IF($A48="",0,SUMIFS(tblAuftraege[Einnahmen],tblAuftraege[Datum Einnahmen],"&gt;="&amp;AW$5,tblAuftraege[Datum Einnahmen],"&lt;"&amp;EDATE(AW$5,1),tblAuftraege[Auftrag],$A48))</f>
        <v>0</v>
      </c>
      <c r="AX48" s="11" t="n">
        <f aca="false">IF($A48="",0,SUMIFS(tblAuftraege[Einnahmen],tblAuftraege[Datum Einnahmen],"&gt;="&amp;AX$5,tblAuftraege[Datum Einnahmen],"&lt;"&amp;EDATE(AX$5,1),tblAuftraege[Auftrag],$A48))</f>
        <v>0</v>
      </c>
      <c r="AY48" s="11" t="n">
        <f aca="false">IF($A48="",0,SUMIFS(tblAuftraege[Einnahmen],tblAuftraege[Datum Einnahmen],"&gt;="&amp;AY$5,tblAuftraege[Datum Einnahmen],"&lt;"&amp;EDATE(AY$5,1),tblAuftraege[Auftrag],$A48))</f>
        <v>0</v>
      </c>
      <c r="AZ48" s="11" t="n">
        <f aca="false">IF($A48="",0,SUMIFS(tblAuftraege[Einnahmen],tblAuftraege[Datum Einnahmen],"&gt;="&amp;AZ$5,tblAuftraege[Datum Einnahmen],"&lt;"&amp;EDATE(AZ$5,1),tblAuftraege[Auftrag],$A48))</f>
        <v>0</v>
      </c>
      <c r="BA48" s="11" t="n">
        <f aca="false">IF($A48="",0,SUMIFS(tblAuftraege[Einnahmen],tblAuftraege[Datum Einnahmen],"&gt;="&amp;BA$5,tblAuftraege[Datum Einnahmen],"&lt;"&amp;EDATE(BA$5,1),tblAuftraege[Auftrag],$A48))</f>
        <v>0</v>
      </c>
      <c r="BB48" s="11" t="n">
        <f aca="false">IF($A48="",0,SUMIFS(tblAuftraege[Einnahmen],tblAuftraege[Datum Einnahmen],"&gt;="&amp;BB$5,tblAuftraege[Datum Einnahmen],"&lt;"&amp;EDATE(BB$5,1),tblAuftraege[Auftrag],$A48))</f>
        <v>0</v>
      </c>
      <c r="BC48" s="11" t="n">
        <f aca="false">IF($A48="",0,SUMIFS(tblAuftraege[Einnahmen],tblAuftraege[Datum Einnahmen],"&gt;="&amp;BC$5,tblAuftraege[Datum Einnahmen],"&lt;"&amp;EDATE(BC$5,1),tblAuftraege[Auftrag],$A48))</f>
        <v>0</v>
      </c>
      <c r="BD48" s="11" t="n">
        <f aca="false">IF($A48="",0,SUMIFS(tblAuftraege[Einnahmen],tblAuftraege[Datum Einnahmen],"&gt;="&amp;BD$5,tblAuftraege[Datum Einnahmen],"&lt;"&amp;EDATE(BD$5,1),tblAuftraege[Auftrag],$A48))</f>
        <v>0</v>
      </c>
      <c r="BE48" s="11" t="n">
        <f aca="false">IF($A48="",0,SUMIFS(tblAuftraege[Einnahmen],tblAuftraege[Datum Einnahmen],"&gt;="&amp;BE$5,tblAuftraege[Datum Einnahmen],"&lt;"&amp;EDATE(BE$5,1),tblAuftraege[Auftrag],$A48))</f>
        <v>0</v>
      </c>
      <c r="BF48" s="11" t="n">
        <f aca="false">IF($A48="",0,SUMIFS(tblAuftraege[Einnahmen],tblAuftraege[Datum Einnahmen],"&gt;="&amp;BF$5,tblAuftraege[Datum Einnahmen],"&lt;"&amp;EDATE(BF$5,1),tblAuftraege[Auftrag],$A48))</f>
        <v>0</v>
      </c>
      <c r="BG48" s="11" t="n">
        <f aca="false">SUM(E48:J48)</f>
        <v>0</v>
      </c>
      <c r="BH48" s="11" t="n">
        <f aca="false">SUM(K48:V48)</f>
        <v>0</v>
      </c>
      <c r="BI48" s="11" t="n">
        <f aca="false">SUM(W48:AH48)</f>
        <v>0</v>
      </c>
      <c r="BJ48" s="11" t="n">
        <f aca="false">SUM(AI48:AT48)</f>
        <v>0</v>
      </c>
      <c r="BK48" s="11" t="n">
        <f aca="false">SUM(AU48:BF48)</f>
        <v>0</v>
      </c>
      <c r="BL48" s="12" t="n">
        <f aca="false">SUM(E48:BF48)</f>
        <v>0</v>
      </c>
    </row>
    <row r="49" customFormat="false" ht="15" hidden="false" customHeight="false" outlineLevel="0" collapsed="false">
      <c r="A49" s="9"/>
      <c r="B49" s="10" t="str">
        <f aca="false">IF($A49="","",IFERROR(INDEX(tblAuftraege[Kostenstelle],MATCH($A49,tblAuftraege[Auftrag],0)),""))</f>
        <v/>
      </c>
      <c r="C49" s="10" t="str">
        <f aca="false">IF($A49="","",IFERROR(INDEX(tblAuftraege[Themenfeld],MATCH($A49,tblAuftraege[Auftrag],0)),""))</f>
        <v/>
      </c>
      <c r="D49" s="10" t="str">
        <f aca="false">IF($A49="","",IFERROR(INDEX(tblAuftraege[Kategorie],MATCH($A49,tblAuftraege[Auftrag],0)),""))</f>
        <v/>
      </c>
      <c r="E49" s="11" t="n">
        <f aca="false">IF($A49="",0,SUMIFS(tblAuftraege[Einnahmen],tblAuftraege[Datum Einnahmen],"&gt;="&amp;E$5,tblAuftraege[Datum Einnahmen],"&lt;"&amp;EDATE(E$5,1),tblAuftraege[Auftrag],$A49))</f>
        <v>0</v>
      </c>
      <c r="F49" s="11" t="n">
        <f aca="false">IF($A49="",0,SUMIFS(tblAuftraege[Einnahmen],tblAuftraege[Datum Einnahmen],"&gt;="&amp;F$5,tblAuftraege[Datum Einnahmen],"&lt;"&amp;EDATE(F$5,1),tblAuftraege[Auftrag],$A49))</f>
        <v>0</v>
      </c>
      <c r="G49" s="11" t="n">
        <f aca="false">IF($A49="",0,SUMIFS(tblAuftraege[Einnahmen],tblAuftraege[Datum Einnahmen],"&gt;="&amp;G$5,tblAuftraege[Datum Einnahmen],"&lt;"&amp;EDATE(G$5,1),tblAuftraege[Auftrag],$A49))</f>
        <v>0</v>
      </c>
      <c r="H49" s="11" t="n">
        <f aca="false">IF($A49="",0,SUMIFS(tblAuftraege[Einnahmen],tblAuftraege[Datum Einnahmen],"&gt;="&amp;H$5,tblAuftraege[Datum Einnahmen],"&lt;"&amp;EDATE(H$5,1),tblAuftraege[Auftrag],$A49))</f>
        <v>0</v>
      </c>
      <c r="I49" s="11" t="n">
        <f aca="false">IF($A49="",0,SUMIFS(tblAuftraege[Einnahmen],tblAuftraege[Datum Einnahmen],"&gt;="&amp;I$5,tblAuftraege[Datum Einnahmen],"&lt;"&amp;EDATE(I$5,1),tblAuftraege[Auftrag],$A49))</f>
        <v>0</v>
      </c>
      <c r="J49" s="11" t="n">
        <f aca="false">IF($A49="",0,SUMIFS(tblAuftraege[Einnahmen],tblAuftraege[Datum Einnahmen],"&gt;="&amp;J$5,tblAuftraege[Datum Einnahmen],"&lt;"&amp;EDATE(J$5,1),tblAuftraege[Auftrag],$A49))</f>
        <v>0</v>
      </c>
      <c r="K49" s="11" t="n">
        <f aca="false">IF($A49="",0,SUMIFS(tblAuftraege[Einnahmen],tblAuftraege[Datum Einnahmen],"&gt;="&amp;K$5,tblAuftraege[Datum Einnahmen],"&lt;"&amp;EDATE(K$5,1),tblAuftraege[Auftrag],$A49))</f>
        <v>0</v>
      </c>
      <c r="L49" s="11" t="n">
        <f aca="false">IF($A49="",0,SUMIFS(tblAuftraege[Einnahmen],tblAuftraege[Datum Einnahmen],"&gt;="&amp;L$5,tblAuftraege[Datum Einnahmen],"&lt;"&amp;EDATE(L$5,1),tblAuftraege[Auftrag],$A49))</f>
        <v>0</v>
      </c>
      <c r="M49" s="11" t="n">
        <f aca="false">IF($A49="",0,SUMIFS(tblAuftraege[Einnahmen],tblAuftraege[Datum Einnahmen],"&gt;="&amp;M$5,tblAuftraege[Datum Einnahmen],"&lt;"&amp;EDATE(M$5,1),tblAuftraege[Auftrag],$A49))</f>
        <v>0</v>
      </c>
      <c r="N49" s="11" t="n">
        <f aca="false">IF($A49="",0,SUMIFS(tblAuftraege[Einnahmen],tblAuftraege[Datum Einnahmen],"&gt;="&amp;N$5,tblAuftraege[Datum Einnahmen],"&lt;"&amp;EDATE(N$5,1),tblAuftraege[Auftrag],$A49))</f>
        <v>0</v>
      </c>
      <c r="O49" s="11" t="n">
        <f aca="false">IF($A49="",0,SUMIFS(tblAuftraege[Einnahmen],tblAuftraege[Datum Einnahmen],"&gt;="&amp;O$5,tblAuftraege[Datum Einnahmen],"&lt;"&amp;EDATE(O$5,1),tblAuftraege[Auftrag],$A49))</f>
        <v>0</v>
      </c>
      <c r="P49" s="11" t="n">
        <f aca="false">IF($A49="",0,SUMIFS(tblAuftraege[Einnahmen],tblAuftraege[Datum Einnahmen],"&gt;="&amp;P$5,tblAuftraege[Datum Einnahmen],"&lt;"&amp;EDATE(P$5,1),tblAuftraege[Auftrag],$A49))</f>
        <v>0</v>
      </c>
      <c r="Q49" s="11" t="n">
        <f aca="false">IF($A49="",0,SUMIFS(tblAuftraege[Einnahmen],tblAuftraege[Datum Einnahmen],"&gt;="&amp;Q$5,tblAuftraege[Datum Einnahmen],"&lt;"&amp;EDATE(Q$5,1),tblAuftraege[Auftrag],$A49))</f>
        <v>0</v>
      </c>
      <c r="R49" s="11" t="n">
        <f aca="false">IF($A49="",0,SUMIFS(tblAuftraege[Einnahmen],tblAuftraege[Datum Einnahmen],"&gt;="&amp;R$5,tblAuftraege[Datum Einnahmen],"&lt;"&amp;EDATE(R$5,1),tblAuftraege[Auftrag],$A49))</f>
        <v>0</v>
      </c>
      <c r="S49" s="11" t="n">
        <f aca="false">IF($A49="",0,SUMIFS(tblAuftraege[Einnahmen],tblAuftraege[Datum Einnahmen],"&gt;="&amp;S$5,tblAuftraege[Datum Einnahmen],"&lt;"&amp;EDATE(S$5,1),tblAuftraege[Auftrag],$A49))</f>
        <v>0</v>
      </c>
      <c r="T49" s="11" t="n">
        <f aca="false">IF($A49="",0,SUMIFS(tblAuftraege[Einnahmen],tblAuftraege[Datum Einnahmen],"&gt;="&amp;T$5,tblAuftraege[Datum Einnahmen],"&lt;"&amp;EDATE(T$5,1),tblAuftraege[Auftrag],$A49))</f>
        <v>0</v>
      </c>
      <c r="U49" s="11" t="n">
        <f aca="false">IF($A49="",0,SUMIFS(tblAuftraege[Einnahmen],tblAuftraege[Datum Einnahmen],"&gt;="&amp;U$5,tblAuftraege[Datum Einnahmen],"&lt;"&amp;EDATE(U$5,1),tblAuftraege[Auftrag],$A49))</f>
        <v>0</v>
      </c>
      <c r="V49" s="11" t="n">
        <f aca="false">IF($A49="",0,SUMIFS(tblAuftraege[Einnahmen],tblAuftraege[Datum Einnahmen],"&gt;="&amp;V$5,tblAuftraege[Datum Einnahmen],"&lt;"&amp;EDATE(V$5,1),tblAuftraege[Auftrag],$A49))</f>
        <v>0</v>
      </c>
      <c r="W49" s="11" t="n">
        <f aca="false">IF($A49="",0,SUMIFS(tblAuftraege[Einnahmen],tblAuftraege[Datum Einnahmen],"&gt;="&amp;W$5,tblAuftraege[Datum Einnahmen],"&lt;"&amp;EDATE(W$5,1),tblAuftraege[Auftrag],$A49))</f>
        <v>0</v>
      </c>
      <c r="X49" s="11" t="n">
        <f aca="false">IF($A49="",0,SUMIFS(tblAuftraege[Einnahmen],tblAuftraege[Datum Einnahmen],"&gt;="&amp;X$5,tblAuftraege[Datum Einnahmen],"&lt;"&amp;EDATE(X$5,1),tblAuftraege[Auftrag],$A49))</f>
        <v>0</v>
      </c>
      <c r="Y49" s="11" t="n">
        <f aca="false">IF($A49="",0,SUMIFS(tblAuftraege[Einnahmen],tblAuftraege[Datum Einnahmen],"&gt;="&amp;Y$5,tblAuftraege[Datum Einnahmen],"&lt;"&amp;EDATE(Y$5,1),tblAuftraege[Auftrag],$A49))</f>
        <v>0</v>
      </c>
      <c r="Z49" s="11" t="n">
        <f aca="false">IF($A49="",0,SUMIFS(tblAuftraege[Einnahmen],tblAuftraege[Datum Einnahmen],"&gt;="&amp;Z$5,tblAuftraege[Datum Einnahmen],"&lt;"&amp;EDATE(Z$5,1),tblAuftraege[Auftrag],$A49))</f>
        <v>0</v>
      </c>
      <c r="AA49" s="11" t="n">
        <f aca="false">IF($A49="",0,SUMIFS(tblAuftraege[Einnahmen],tblAuftraege[Datum Einnahmen],"&gt;="&amp;AA$5,tblAuftraege[Datum Einnahmen],"&lt;"&amp;EDATE(AA$5,1),tblAuftraege[Auftrag],$A49))</f>
        <v>0</v>
      </c>
      <c r="AB49" s="11" t="n">
        <f aca="false">IF($A49="",0,SUMIFS(tblAuftraege[Einnahmen],tblAuftraege[Datum Einnahmen],"&gt;="&amp;AB$5,tblAuftraege[Datum Einnahmen],"&lt;"&amp;EDATE(AB$5,1),tblAuftraege[Auftrag],$A49))</f>
        <v>0</v>
      </c>
      <c r="AC49" s="11" t="n">
        <f aca="false">IF($A49="",0,SUMIFS(tblAuftraege[Einnahmen],tblAuftraege[Datum Einnahmen],"&gt;="&amp;AC$5,tblAuftraege[Datum Einnahmen],"&lt;"&amp;EDATE(AC$5,1),tblAuftraege[Auftrag],$A49))</f>
        <v>0</v>
      </c>
      <c r="AD49" s="11" t="n">
        <f aca="false">IF($A49="",0,SUMIFS(tblAuftraege[Einnahmen],tblAuftraege[Datum Einnahmen],"&gt;="&amp;AD$5,tblAuftraege[Datum Einnahmen],"&lt;"&amp;EDATE(AD$5,1),tblAuftraege[Auftrag],$A49))</f>
        <v>0</v>
      </c>
      <c r="AE49" s="11" t="n">
        <f aca="false">IF($A49="",0,SUMIFS(tblAuftraege[Einnahmen],tblAuftraege[Datum Einnahmen],"&gt;="&amp;AE$5,tblAuftraege[Datum Einnahmen],"&lt;"&amp;EDATE(AE$5,1),tblAuftraege[Auftrag],$A49))</f>
        <v>0</v>
      </c>
      <c r="AF49" s="11" t="n">
        <f aca="false">IF($A49="",0,SUMIFS(tblAuftraege[Einnahmen],tblAuftraege[Datum Einnahmen],"&gt;="&amp;AF$5,tblAuftraege[Datum Einnahmen],"&lt;"&amp;EDATE(AF$5,1),tblAuftraege[Auftrag],$A49))</f>
        <v>0</v>
      </c>
      <c r="AG49" s="11" t="n">
        <f aca="false">IF($A49="",0,SUMIFS(tblAuftraege[Einnahmen],tblAuftraege[Datum Einnahmen],"&gt;="&amp;AG$5,tblAuftraege[Datum Einnahmen],"&lt;"&amp;EDATE(AG$5,1),tblAuftraege[Auftrag],$A49))</f>
        <v>0</v>
      </c>
      <c r="AH49" s="11" t="n">
        <f aca="false">IF($A49="",0,SUMIFS(tblAuftraege[Einnahmen],tblAuftraege[Datum Einnahmen],"&gt;="&amp;AH$5,tblAuftraege[Datum Einnahmen],"&lt;"&amp;EDATE(AH$5,1),tblAuftraege[Auftrag],$A49))</f>
        <v>0</v>
      </c>
      <c r="AI49" s="11" t="n">
        <f aca="false">IF($A49="",0,SUMIFS(tblAuftraege[Einnahmen],tblAuftraege[Datum Einnahmen],"&gt;="&amp;AI$5,tblAuftraege[Datum Einnahmen],"&lt;"&amp;EDATE(AI$5,1),tblAuftraege[Auftrag],$A49))</f>
        <v>0</v>
      </c>
      <c r="AJ49" s="11" t="n">
        <f aca="false">IF($A49="",0,SUMIFS(tblAuftraege[Einnahmen],tblAuftraege[Datum Einnahmen],"&gt;="&amp;AJ$5,tblAuftraege[Datum Einnahmen],"&lt;"&amp;EDATE(AJ$5,1),tblAuftraege[Auftrag],$A49))</f>
        <v>0</v>
      </c>
      <c r="AK49" s="11" t="n">
        <f aca="false">IF($A49="",0,SUMIFS(tblAuftraege[Einnahmen],tblAuftraege[Datum Einnahmen],"&gt;="&amp;AK$5,tblAuftraege[Datum Einnahmen],"&lt;"&amp;EDATE(AK$5,1),tblAuftraege[Auftrag],$A49))</f>
        <v>0</v>
      </c>
      <c r="AL49" s="11" t="n">
        <f aca="false">IF($A49="",0,SUMIFS(tblAuftraege[Einnahmen],tblAuftraege[Datum Einnahmen],"&gt;="&amp;AL$5,tblAuftraege[Datum Einnahmen],"&lt;"&amp;EDATE(AL$5,1),tblAuftraege[Auftrag],$A49))</f>
        <v>0</v>
      </c>
      <c r="AM49" s="11" t="n">
        <f aca="false">IF($A49="",0,SUMIFS(tblAuftraege[Einnahmen],tblAuftraege[Datum Einnahmen],"&gt;="&amp;AM$5,tblAuftraege[Datum Einnahmen],"&lt;"&amp;EDATE(AM$5,1),tblAuftraege[Auftrag],$A49))</f>
        <v>0</v>
      </c>
      <c r="AN49" s="11" t="n">
        <f aca="false">IF($A49="",0,SUMIFS(tblAuftraege[Einnahmen],tblAuftraege[Datum Einnahmen],"&gt;="&amp;AN$5,tblAuftraege[Datum Einnahmen],"&lt;"&amp;EDATE(AN$5,1),tblAuftraege[Auftrag],$A49))</f>
        <v>0</v>
      </c>
      <c r="AO49" s="11" t="n">
        <f aca="false">IF($A49="",0,SUMIFS(tblAuftraege[Einnahmen],tblAuftraege[Datum Einnahmen],"&gt;="&amp;AO$5,tblAuftraege[Datum Einnahmen],"&lt;"&amp;EDATE(AO$5,1),tblAuftraege[Auftrag],$A49))</f>
        <v>0</v>
      </c>
      <c r="AP49" s="11" t="n">
        <f aca="false">IF($A49="",0,SUMIFS(tblAuftraege[Einnahmen],tblAuftraege[Datum Einnahmen],"&gt;="&amp;AP$5,tblAuftraege[Datum Einnahmen],"&lt;"&amp;EDATE(AP$5,1),tblAuftraege[Auftrag],$A49))</f>
        <v>0</v>
      </c>
      <c r="AQ49" s="11" t="n">
        <f aca="false">IF($A49="",0,SUMIFS(tblAuftraege[Einnahmen],tblAuftraege[Datum Einnahmen],"&gt;="&amp;AQ$5,tblAuftraege[Datum Einnahmen],"&lt;"&amp;EDATE(AQ$5,1),tblAuftraege[Auftrag],$A49))</f>
        <v>0</v>
      </c>
      <c r="AR49" s="11" t="n">
        <f aca="false">IF($A49="",0,SUMIFS(tblAuftraege[Einnahmen],tblAuftraege[Datum Einnahmen],"&gt;="&amp;AR$5,tblAuftraege[Datum Einnahmen],"&lt;"&amp;EDATE(AR$5,1),tblAuftraege[Auftrag],$A49))</f>
        <v>0</v>
      </c>
      <c r="AS49" s="11" t="n">
        <f aca="false">IF($A49="",0,SUMIFS(tblAuftraege[Einnahmen],tblAuftraege[Datum Einnahmen],"&gt;="&amp;AS$5,tblAuftraege[Datum Einnahmen],"&lt;"&amp;EDATE(AS$5,1),tblAuftraege[Auftrag],$A49))</f>
        <v>0</v>
      </c>
      <c r="AT49" s="11" t="n">
        <f aca="false">IF($A49="",0,SUMIFS(tblAuftraege[Einnahmen],tblAuftraege[Datum Einnahmen],"&gt;="&amp;AT$5,tblAuftraege[Datum Einnahmen],"&lt;"&amp;EDATE(AT$5,1),tblAuftraege[Auftrag],$A49))</f>
        <v>0</v>
      </c>
      <c r="AU49" s="11" t="n">
        <f aca="false">IF($A49="",0,SUMIFS(tblAuftraege[Einnahmen],tblAuftraege[Datum Einnahmen],"&gt;="&amp;AU$5,tblAuftraege[Datum Einnahmen],"&lt;"&amp;EDATE(AU$5,1),tblAuftraege[Auftrag],$A49))</f>
        <v>0</v>
      </c>
      <c r="AV49" s="11" t="n">
        <f aca="false">IF($A49="",0,SUMIFS(tblAuftraege[Einnahmen],tblAuftraege[Datum Einnahmen],"&gt;="&amp;AV$5,tblAuftraege[Datum Einnahmen],"&lt;"&amp;EDATE(AV$5,1),tblAuftraege[Auftrag],$A49))</f>
        <v>0</v>
      </c>
      <c r="AW49" s="11" t="n">
        <f aca="false">IF($A49="",0,SUMIFS(tblAuftraege[Einnahmen],tblAuftraege[Datum Einnahmen],"&gt;="&amp;AW$5,tblAuftraege[Datum Einnahmen],"&lt;"&amp;EDATE(AW$5,1),tblAuftraege[Auftrag],$A49))</f>
        <v>0</v>
      </c>
      <c r="AX49" s="11" t="n">
        <f aca="false">IF($A49="",0,SUMIFS(tblAuftraege[Einnahmen],tblAuftraege[Datum Einnahmen],"&gt;="&amp;AX$5,tblAuftraege[Datum Einnahmen],"&lt;"&amp;EDATE(AX$5,1),tblAuftraege[Auftrag],$A49))</f>
        <v>0</v>
      </c>
      <c r="AY49" s="11" t="n">
        <f aca="false">IF($A49="",0,SUMIFS(tblAuftraege[Einnahmen],tblAuftraege[Datum Einnahmen],"&gt;="&amp;AY$5,tblAuftraege[Datum Einnahmen],"&lt;"&amp;EDATE(AY$5,1),tblAuftraege[Auftrag],$A49))</f>
        <v>0</v>
      </c>
      <c r="AZ49" s="11" t="n">
        <f aca="false">IF($A49="",0,SUMIFS(tblAuftraege[Einnahmen],tblAuftraege[Datum Einnahmen],"&gt;="&amp;AZ$5,tblAuftraege[Datum Einnahmen],"&lt;"&amp;EDATE(AZ$5,1),tblAuftraege[Auftrag],$A49))</f>
        <v>0</v>
      </c>
      <c r="BA49" s="11" t="n">
        <f aca="false">IF($A49="",0,SUMIFS(tblAuftraege[Einnahmen],tblAuftraege[Datum Einnahmen],"&gt;="&amp;BA$5,tblAuftraege[Datum Einnahmen],"&lt;"&amp;EDATE(BA$5,1),tblAuftraege[Auftrag],$A49))</f>
        <v>0</v>
      </c>
      <c r="BB49" s="11" t="n">
        <f aca="false">IF($A49="",0,SUMIFS(tblAuftraege[Einnahmen],tblAuftraege[Datum Einnahmen],"&gt;="&amp;BB$5,tblAuftraege[Datum Einnahmen],"&lt;"&amp;EDATE(BB$5,1),tblAuftraege[Auftrag],$A49))</f>
        <v>0</v>
      </c>
      <c r="BC49" s="11" t="n">
        <f aca="false">IF($A49="",0,SUMIFS(tblAuftraege[Einnahmen],tblAuftraege[Datum Einnahmen],"&gt;="&amp;BC$5,tblAuftraege[Datum Einnahmen],"&lt;"&amp;EDATE(BC$5,1),tblAuftraege[Auftrag],$A49))</f>
        <v>0</v>
      </c>
      <c r="BD49" s="11" t="n">
        <f aca="false">IF($A49="",0,SUMIFS(tblAuftraege[Einnahmen],tblAuftraege[Datum Einnahmen],"&gt;="&amp;BD$5,tblAuftraege[Datum Einnahmen],"&lt;"&amp;EDATE(BD$5,1),tblAuftraege[Auftrag],$A49))</f>
        <v>0</v>
      </c>
      <c r="BE49" s="11" t="n">
        <f aca="false">IF($A49="",0,SUMIFS(tblAuftraege[Einnahmen],tblAuftraege[Datum Einnahmen],"&gt;="&amp;BE$5,tblAuftraege[Datum Einnahmen],"&lt;"&amp;EDATE(BE$5,1),tblAuftraege[Auftrag],$A49))</f>
        <v>0</v>
      </c>
      <c r="BF49" s="11" t="n">
        <f aca="false">IF($A49="",0,SUMIFS(tblAuftraege[Einnahmen],tblAuftraege[Datum Einnahmen],"&gt;="&amp;BF$5,tblAuftraege[Datum Einnahmen],"&lt;"&amp;EDATE(BF$5,1),tblAuftraege[Auftrag],$A49))</f>
        <v>0</v>
      </c>
      <c r="BG49" s="11" t="n">
        <f aca="false">SUM(E49:J49)</f>
        <v>0</v>
      </c>
      <c r="BH49" s="11" t="n">
        <f aca="false">SUM(K49:V49)</f>
        <v>0</v>
      </c>
      <c r="BI49" s="11" t="n">
        <f aca="false">SUM(W49:AH49)</f>
        <v>0</v>
      </c>
      <c r="BJ49" s="11" t="n">
        <f aca="false">SUM(AI49:AT49)</f>
        <v>0</v>
      </c>
      <c r="BK49" s="11" t="n">
        <f aca="false">SUM(AU49:BF49)</f>
        <v>0</v>
      </c>
      <c r="BL49" s="12" t="n">
        <f aca="false">SUM(E49:BF49)</f>
        <v>0</v>
      </c>
    </row>
    <row r="50" customFormat="false" ht="15" hidden="false" customHeight="false" outlineLevel="0" collapsed="false">
      <c r="A50" s="9"/>
      <c r="B50" s="10" t="str">
        <f aca="false">IF($A50="","",IFERROR(INDEX(tblAuftraege[Kostenstelle],MATCH($A50,tblAuftraege[Auftrag],0)),""))</f>
        <v/>
      </c>
      <c r="C50" s="10" t="str">
        <f aca="false">IF($A50="","",IFERROR(INDEX(tblAuftraege[Themenfeld],MATCH($A50,tblAuftraege[Auftrag],0)),""))</f>
        <v/>
      </c>
      <c r="D50" s="10" t="str">
        <f aca="false">IF($A50="","",IFERROR(INDEX(tblAuftraege[Kategorie],MATCH($A50,tblAuftraege[Auftrag],0)),""))</f>
        <v/>
      </c>
      <c r="E50" s="11" t="n">
        <f aca="false">IF($A50="",0,SUMIFS(tblAuftraege[Einnahmen],tblAuftraege[Datum Einnahmen],"&gt;="&amp;E$5,tblAuftraege[Datum Einnahmen],"&lt;"&amp;EDATE(E$5,1),tblAuftraege[Auftrag],$A50))</f>
        <v>0</v>
      </c>
      <c r="F50" s="11" t="n">
        <f aca="false">IF($A50="",0,SUMIFS(tblAuftraege[Einnahmen],tblAuftraege[Datum Einnahmen],"&gt;="&amp;F$5,tblAuftraege[Datum Einnahmen],"&lt;"&amp;EDATE(F$5,1),tblAuftraege[Auftrag],$A50))</f>
        <v>0</v>
      </c>
      <c r="G50" s="11" t="n">
        <f aca="false">IF($A50="",0,SUMIFS(tblAuftraege[Einnahmen],tblAuftraege[Datum Einnahmen],"&gt;="&amp;G$5,tblAuftraege[Datum Einnahmen],"&lt;"&amp;EDATE(G$5,1),tblAuftraege[Auftrag],$A50))</f>
        <v>0</v>
      </c>
      <c r="H50" s="11" t="n">
        <f aca="false">IF($A50="",0,SUMIFS(tblAuftraege[Einnahmen],tblAuftraege[Datum Einnahmen],"&gt;="&amp;H$5,tblAuftraege[Datum Einnahmen],"&lt;"&amp;EDATE(H$5,1),tblAuftraege[Auftrag],$A50))</f>
        <v>0</v>
      </c>
      <c r="I50" s="11" t="n">
        <f aca="false">IF($A50="",0,SUMIFS(tblAuftraege[Einnahmen],tblAuftraege[Datum Einnahmen],"&gt;="&amp;I$5,tblAuftraege[Datum Einnahmen],"&lt;"&amp;EDATE(I$5,1),tblAuftraege[Auftrag],$A50))</f>
        <v>0</v>
      </c>
      <c r="J50" s="11" t="n">
        <f aca="false">IF($A50="",0,SUMIFS(tblAuftraege[Einnahmen],tblAuftraege[Datum Einnahmen],"&gt;="&amp;J$5,tblAuftraege[Datum Einnahmen],"&lt;"&amp;EDATE(J$5,1),tblAuftraege[Auftrag],$A50))</f>
        <v>0</v>
      </c>
      <c r="K50" s="11" t="n">
        <f aca="false">IF($A50="",0,SUMIFS(tblAuftraege[Einnahmen],tblAuftraege[Datum Einnahmen],"&gt;="&amp;K$5,tblAuftraege[Datum Einnahmen],"&lt;"&amp;EDATE(K$5,1),tblAuftraege[Auftrag],$A50))</f>
        <v>0</v>
      </c>
      <c r="L50" s="11" t="n">
        <f aca="false">IF($A50="",0,SUMIFS(tblAuftraege[Einnahmen],tblAuftraege[Datum Einnahmen],"&gt;="&amp;L$5,tblAuftraege[Datum Einnahmen],"&lt;"&amp;EDATE(L$5,1),tblAuftraege[Auftrag],$A50))</f>
        <v>0</v>
      </c>
      <c r="M50" s="11" t="n">
        <f aca="false">IF($A50="",0,SUMIFS(tblAuftraege[Einnahmen],tblAuftraege[Datum Einnahmen],"&gt;="&amp;M$5,tblAuftraege[Datum Einnahmen],"&lt;"&amp;EDATE(M$5,1),tblAuftraege[Auftrag],$A50))</f>
        <v>0</v>
      </c>
      <c r="N50" s="11" t="n">
        <f aca="false">IF($A50="",0,SUMIFS(tblAuftraege[Einnahmen],tblAuftraege[Datum Einnahmen],"&gt;="&amp;N$5,tblAuftraege[Datum Einnahmen],"&lt;"&amp;EDATE(N$5,1),tblAuftraege[Auftrag],$A50))</f>
        <v>0</v>
      </c>
      <c r="O50" s="11" t="n">
        <f aca="false">IF($A50="",0,SUMIFS(tblAuftraege[Einnahmen],tblAuftraege[Datum Einnahmen],"&gt;="&amp;O$5,tblAuftraege[Datum Einnahmen],"&lt;"&amp;EDATE(O$5,1),tblAuftraege[Auftrag],$A50))</f>
        <v>0</v>
      </c>
      <c r="P50" s="11" t="n">
        <f aca="false">IF($A50="",0,SUMIFS(tblAuftraege[Einnahmen],tblAuftraege[Datum Einnahmen],"&gt;="&amp;P$5,tblAuftraege[Datum Einnahmen],"&lt;"&amp;EDATE(P$5,1),tblAuftraege[Auftrag],$A50))</f>
        <v>0</v>
      </c>
      <c r="Q50" s="11" t="n">
        <f aca="false">IF($A50="",0,SUMIFS(tblAuftraege[Einnahmen],tblAuftraege[Datum Einnahmen],"&gt;="&amp;Q$5,tblAuftraege[Datum Einnahmen],"&lt;"&amp;EDATE(Q$5,1),tblAuftraege[Auftrag],$A50))</f>
        <v>0</v>
      </c>
      <c r="R50" s="11" t="n">
        <f aca="false">IF($A50="",0,SUMIFS(tblAuftraege[Einnahmen],tblAuftraege[Datum Einnahmen],"&gt;="&amp;R$5,tblAuftraege[Datum Einnahmen],"&lt;"&amp;EDATE(R$5,1),tblAuftraege[Auftrag],$A50))</f>
        <v>0</v>
      </c>
      <c r="S50" s="11" t="n">
        <f aca="false">IF($A50="",0,SUMIFS(tblAuftraege[Einnahmen],tblAuftraege[Datum Einnahmen],"&gt;="&amp;S$5,tblAuftraege[Datum Einnahmen],"&lt;"&amp;EDATE(S$5,1),tblAuftraege[Auftrag],$A50))</f>
        <v>0</v>
      </c>
      <c r="T50" s="11" t="n">
        <f aca="false">IF($A50="",0,SUMIFS(tblAuftraege[Einnahmen],tblAuftraege[Datum Einnahmen],"&gt;="&amp;T$5,tblAuftraege[Datum Einnahmen],"&lt;"&amp;EDATE(T$5,1),tblAuftraege[Auftrag],$A50))</f>
        <v>0</v>
      </c>
      <c r="U50" s="11" t="n">
        <f aca="false">IF($A50="",0,SUMIFS(tblAuftraege[Einnahmen],tblAuftraege[Datum Einnahmen],"&gt;="&amp;U$5,tblAuftraege[Datum Einnahmen],"&lt;"&amp;EDATE(U$5,1),tblAuftraege[Auftrag],$A50))</f>
        <v>0</v>
      </c>
      <c r="V50" s="11" t="n">
        <f aca="false">IF($A50="",0,SUMIFS(tblAuftraege[Einnahmen],tblAuftraege[Datum Einnahmen],"&gt;="&amp;V$5,tblAuftraege[Datum Einnahmen],"&lt;"&amp;EDATE(V$5,1),tblAuftraege[Auftrag],$A50))</f>
        <v>0</v>
      </c>
      <c r="W50" s="11" t="n">
        <f aca="false">IF($A50="",0,SUMIFS(tblAuftraege[Einnahmen],tblAuftraege[Datum Einnahmen],"&gt;="&amp;W$5,tblAuftraege[Datum Einnahmen],"&lt;"&amp;EDATE(W$5,1),tblAuftraege[Auftrag],$A50))</f>
        <v>0</v>
      </c>
      <c r="X50" s="11" t="n">
        <f aca="false">IF($A50="",0,SUMIFS(tblAuftraege[Einnahmen],tblAuftraege[Datum Einnahmen],"&gt;="&amp;X$5,tblAuftraege[Datum Einnahmen],"&lt;"&amp;EDATE(X$5,1),tblAuftraege[Auftrag],$A50))</f>
        <v>0</v>
      </c>
      <c r="Y50" s="11" t="n">
        <f aca="false">IF($A50="",0,SUMIFS(tblAuftraege[Einnahmen],tblAuftraege[Datum Einnahmen],"&gt;="&amp;Y$5,tblAuftraege[Datum Einnahmen],"&lt;"&amp;EDATE(Y$5,1),tblAuftraege[Auftrag],$A50))</f>
        <v>0</v>
      </c>
      <c r="Z50" s="11" t="n">
        <f aca="false">IF($A50="",0,SUMIFS(tblAuftraege[Einnahmen],tblAuftraege[Datum Einnahmen],"&gt;="&amp;Z$5,tblAuftraege[Datum Einnahmen],"&lt;"&amp;EDATE(Z$5,1),tblAuftraege[Auftrag],$A50))</f>
        <v>0</v>
      </c>
      <c r="AA50" s="11" t="n">
        <f aca="false">IF($A50="",0,SUMIFS(tblAuftraege[Einnahmen],tblAuftraege[Datum Einnahmen],"&gt;="&amp;AA$5,tblAuftraege[Datum Einnahmen],"&lt;"&amp;EDATE(AA$5,1),tblAuftraege[Auftrag],$A50))</f>
        <v>0</v>
      </c>
      <c r="AB50" s="11" t="n">
        <f aca="false">IF($A50="",0,SUMIFS(tblAuftraege[Einnahmen],tblAuftraege[Datum Einnahmen],"&gt;="&amp;AB$5,tblAuftraege[Datum Einnahmen],"&lt;"&amp;EDATE(AB$5,1),tblAuftraege[Auftrag],$A50))</f>
        <v>0</v>
      </c>
      <c r="AC50" s="11" t="n">
        <f aca="false">IF($A50="",0,SUMIFS(tblAuftraege[Einnahmen],tblAuftraege[Datum Einnahmen],"&gt;="&amp;AC$5,tblAuftraege[Datum Einnahmen],"&lt;"&amp;EDATE(AC$5,1),tblAuftraege[Auftrag],$A50))</f>
        <v>0</v>
      </c>
      <c r="AD50" s="11" t="n">
        <f aca="false">IF($A50="",0,SUMIFS(tblAuftraege[Einnahmen],tblAuftraege[Datum Einnahmen],"&gt;="&amp;AD$5,tblAuftraege[Datum Einnahmen],"&lt;"&amp;EDATE(AD$5,1),tblAuftraege[Auftrag],$A50))</f>
        <v>0</v>
      </c>
      <c r="AE50" s="11" t="n">
        <f aca="false">IF($A50="",0,SUMIFS(tblAuftraege[Einnahmen],tblAuftraege[Datum Einnahmen],"&gt;="&amp;AE$5,tblAuftraege[Datum Einnahmen],"&lt;"&amp;EDATE(AE$5,1),tblAuftraege[Auftrag],$A50))</f>
        <v>0</v>
      </c>
      <c r="AF50" s="11" t="n">
        <f aca="false">IF($A50="",0,SUMIFS(tblAuftraege[Einnahmen],tblAuftraege[Datum Einnahmen],"&gt;="&amp;AF$5,tblAuftraege[Datum Einnahmen],"&lt;"&amp;EDATE(AF$5,1),tblAuftraege[Auftrag],$A50))</f>
        <v>0</v>
      </c>
      <c r="AG50" s="11" t="n">
        <f aca="false">IF($A50="",0,SUMIFS(tblAuftraege[Einnahmen],tblAuftraege[Datum Einnahmen],"&gt;="&amp;AG$5,tblAuftraege[Datum Einnahmen],"&lt;"&amp;EDATE(AG$5,1),tblAuftraege[Auftrag],$A50))</f>
        <v>0</v>
      </c>
      <c r="AH50" s="11" t="n">
        <f aca="false">IF($A50="",0,SUMIFS(tblAuftraege[Einnahmen],tblAuftraege[Datum Einnahmen],"&gt;="&amp;AH$5,tblAuftraege[Datum Einnahmen],"&lt;"&amp;EDATE(AH$5,1),tblAuftraege[Auftrag],$A50))</f>
        <v>0</v>
      </c>
      <c r="AI50" s="11" t="n">
        <f aca="false">IF($A50="",0,SUMIFS(tblAuftraege[Einnahmen],tblAuftraege[Datum Einnahmen],"&gt;="&amp;AI$5,tblAuftraege[Datum Einnahmen],"&lt;"&amp;EDATE(AI$5,1),tblAuftraege[Auftrag],$A50))</f>
        <v>0</v>
      </c>
      <c r="AJ50" s="11" t="n">
        <f aca="false">IF($A50="",0,SUMIFS(tblAuftraege[Einnahmen],tblAuftraege[Datum Einnahmen],"&gt;="&amp;AJ$5,tblAuftraege[Datum Einnahmen],"&lt;"&amp;EDATE(AJ$5,1),tblAuftraege[Auftrag],$A50))</f>
        <v>0</v>
      </c>
      <c r="AK50" s="11" t="n">
        <f aca="false">IF($A50="",0,SUMIFS(tblAuftraege[Einnahmen],tblAuftraege[Datum Einnahmen],"&gt;="&amp;AK$5,tblAuftraege[Datum Einnahmen],"&lt;"&amp;EDATE(AK$5,1),tblAuftraege[Auftrag],$A50))</f>
        <v>0</v>
      </c>
      <c r="AL50" s="11" t="n">
        <f aca="false">IF($A50="",0,SUMIFS(tblAuftraege[Einnahmen],tblAuftraege[Datum Einnahmen],"&gt;="&amp;AL$5,tblAuftraege[Datum Einnahmen],"&lt;"&amp;EDATE(AL$5,1),tblAuftraege[Auftrag],$A50))</f>
        <v>0</v>
      </c>
      <c r="AM50" s="11" t="n">
        <f aca="false">IF($A50="",0,SUMIFS(tblAuftraege[Einnahmen],tblAuftraege[Datum Einnahmen],"&gt;="&amp;AM$5,tblAuftraege[Datum Einnahmen],"&lt;"&amp;EDATE(AM$5,1),tblAuftraege[Auftrag],$A50))</f>
        <v>0</v>
      </c>
      <c r="AN50" s="11" t="n">
        <f aca="false">IF($A50="",0,SUMIFS(tblAuftraege[Einnahmen],tblAuftraege[Datum Einnahmen],"&gt;="&amp;AN$5,tblAuftraege[Datum Einnahmen],"&lt;"&amp;EDATE(AN$5,1),tblAuftraege[Auftrag],$A50))</f>
        <v>0</v>
      </c>
      <c r="AO50" s="11" t="n">
        <f aca="false">IF($A50="",0,SUMIFS(tblAuftraege[Einnahmen],tblAuftraege[Datum Einnahmen],"&gt;="&amp;AO$5,tblAuftraege[Datum Einnahmen],"&lt;"&amp;EDATE(AO$5,1),tblAuftraege[Auftrag],$A50))</f>
        <v>0</v>
      </c>
      <c r="AP50" s="11" t="n">
        <f aca="false">IF($A50="",0,SUMIFS(tblAuftraege[Einnahmen],tblAuftraege[Datum Einnahmen],"&gt;="&amp;AP$5,tblAuftraege[Datum Einnahmen],"&lt;"&amp;EDATE(AP$5,1),tblAuftraege[Auftrag],$A50))</f>
        <v>0</v>
      </c>
      <c r="AQ50" s="11" t="n">
        <f aca="false">IF($A50="",0,SUMIFS(tblAuftraege[Einnahmen],tblAuftraege[Datum Einnahmen],"&gt;="&amp;AQ$5,tblAuftraege[Datum Einnahmen],"&lt;"&amp;EDATE(AQ$5,1),tblAuftraege[Auftrag],$A50))</f>
        <v>0</v>
      </c>
      <c r="AR50" s="11" t="n">
        <f aca="false">IF($A50="",0,SUMIFS(tblAuftraege[Einnahmen],tblAuftraege[Datum Einnahmen],"&gt;="&amp;AR$5,tblAuftraege[Datum Einnahmen],"&lt;"&amp;EDATE(AR$5,1),tblAuftraege[Auftrag],$A50))</f>
        <v>0</v>
      </c>
      <c r="AS50" s="11" t="n">
        <f aca="false">IF($A50="",0,SUMIFS(tblAuftraege[Einnahmen],tblAuftraege[Datum Einnahmen],"&gt;="&amp;AS$5,tblAuftraege[Datum Einnahmen],"&lt;"&amp;EDATE(AS$5,1),tblAuftraege[Auftrag],$A50))</f>
        <v>0</v>
      </c>
      <c r="AT50" s="11" t="n">
        <f aca="false">IF($A50="",0,SUMIFS(tblAuftraege[Einnahmen],tblAuftraege[Datum Einnahmen],"&gt;="&amp;AT$5,tblAuftraege[Datum Einnahmen],"&lt;"&amp;EDATE(AT$5,1),tblAuftraege[Auftrag],$A50))</f>
        <v>0</v>
      </c>
      <c r="AU50" s="11" t="n">
        <f aca="false">IF($A50="",0,SUMIFS(tblAuftraege[Einnahmen],tblAuftraege[Datum Einnahmen],"&gt;="&amp;AU$5,tblAuftraege[Datum Einnahmen],"&lt;"&amp;EDATE(AU$5,1),tblAuftraege[Auftrag],$A50))</f>
        <v>0</v>
      </c>
      <c r="AV50" s="11" t="n">
        <f aca="false">IF($A50="",0,SUMIFS(tblAuftraege[Einnahmen],tblAuftraege[Datum Einnahmen],"&gt;="&amp;AV$5,tblAuftraege[Datum Einnahmen],"&lt;"&amp;EDATE(AV$5,1),tblAuftraege[Auftrag],$A50))</f>
        <v>0</v>
      </c>
      <c r="AW50" s="11" t="n">
        <f aca="false">IF($A50="",0,SUMIFS(tblAuftraege[Einnahmen],tblAuftraege[Datum Einnahmen],"&gt;="&amp;AW$5,tblAuftraege[Datum Einnahmen],"&lt;"&amp;EDATE(AW$5,1),tblAuftraege[Auftrag],$A50))</f>
        <v>0</v>
      </c>
      <c r="AX50" s="11" t="n">
        <f aca="false">IF($A50="",0,SUMIFS(tblAuftraege[Einnahmen],tblAuftraege[Datum Einnahmen],"&gt;="&amp;AX$5,tblAuftraege[Datum Einnahmen],"&lt;"&amp;EDATE(AX$5,1),tblAuftraege[Auftrag],$A50))</f>
        <v>0</v>
      </c>
      <c r="AY50" s="11" t="n">
        <f aca="false">IF($A50="",0,SUMIFS(tblAuftraege[Einnahmen],tblAuftraege[Datum Einnahmen],"&gt;="&amp;AY$5,tblAuftraege[Datum Einnahmen],"&lt;"&amp;EDATE(AY$5,1),tblAuftraege[Auftrag],$A50))</f>
        <v>0</v>
      </c>
      <c r="AZ50" s="11" t="n">
        <f aca="false">IF($A50="",0,SUMIFS(tblAuftraege[Einnahmen],tblAuftraege[Datum Einnahmen],"&gt;="&amp;AZ$5,tblAuftraege[Datum Einnahmen],"&lt;"&amp;EDATE(AZ$5,1),tblAuftraege[Auftrag],$A50))</f>
        <v>0</v>
      </c>
      <c r="BA50" s="11" t="n">
        <f aca="false">IF($A50="",0,SUMIFS(tblAuftraege[Einnahmen],tblAuftraege[Datum Einnahmen],"&gt;="&amp;BA$5,tblAuftraege[Datum Einnahmen],"&lt;"&amp;EDATE(BA$5,1),tblAuftraege[Auftrag],$A50))</f>
        <v>0</v>
      </c>
      <c r="BB50" s="11" t="n">
        <f aca="false">IF($A50="",0,SUMIFS(tblAuftraege[Einnahmen],tblAuftraege[Datum Einnahmen],"&gt;="&amp;BB$5,tblAuftraege[Datum Einnahmen],"&lt;"&amp;EDATE(BB$5,1),tblAuftraege[Auftrag],$A50))</f>
        <v>0</v>
      </c>
      <c r="BC50" s="11" t="n">
        <f aca="false">IF($A50="",0,SUMIFS(tblAuftraege[Einnahmen],tblAuftraege[Datum Einnahmen],"&gt;="&amp;BC$5,tblAuftraege[Datum Einnahmen],"&lt;"&amp;EDATE(BC$5,1),tblAuftraege[Auftrag],$A50))</f>
        <v>0</v>
      </c>
      <c r="BD50" s="11" t="n">
        <f aca="false">IF($A50="",0,SUMIFS(tblAuftraege[Einnahmen],tblAuftraege[Datum Einnahmen],"&gt;="&amp;BD$5,tblAuftraege[Datum Einnahmen],"&lt;"&amp;EDATE(BD$5,1),tblAuftraege[Auftrag],$A50))</f>
        <v>0</v>
      </c>
      <c r="BE50" s="11" t="n">
        <f aca="false">IF($A50="",0,SUMIFS(tblAuftraege[Einnahmen],tblAuftraege[Datum Einnahmen],"&gt;="&amp;BE$5,tblAuftraege[Datum Einnahmen],"&lt;"&amp;EDATE(BE$5,1),tblAuftraege[Auftrag],$A50))</f>
        <v>0</v>
      </c>
      <c r="BF50" s="11" t="n">
        <f aca="false">IF($A50="",0,SUMIFS(tblAuftraege[Einnahmen],tblAuftraege[Datum Einnahmen],"&gt;="&amp;BF$5,tblAuftraege[Datum Einnahmen],"&lt;"&amp;EDATE(BF$5,1),tblAuftraege[Auftrag],$A50))</f>
        <v>0</v>
      </c>
      <c r="BG50" s="11" t="n">
        <f aca="false">SUM(E50:J50)</f>
        <v>0</v>
      </c>
      <c r="BH50" s="11" t="n">
        <f aca="false">SUM(K50:V50)</f>
        <v>0</v>
      </c>
      <c r="BI50" s="11" t="n">
        <f aca="false">SUM(W50:AH50)</f>
        <v>0</v>
      </c>
      <c r="BJ50" s="11" t="n">
        <f aca="false">SUM(AI50:AT50)</f>
        <v>0</v>
      </c>
      <c r="BK50" s="11" t="n">
        <f aca="false">SUM(AU50:BF50)</f>
        <v>0</v>
      </c>
      <c r="BL50" s="12" t="n">
        <f aca="false">SUM(E50:BF50)</f>
        <v>0</v>
      </c>
    </row>
    <row r="51" customFormat="false" ht="15" hidden="false" customHeight="false" outlineLevel="0" collapsed="false">
      <c r="A51" s="9"/>
      <c r="B51" s="10" t="str">
        <f aca="false">IF($A51="","",IFERROR(INDEX(tblAuftraege[Kostenstelle],MATCH($A51,tblAuftraege[Auftrag],0)),""))</f>
        <v/>
      </c>
      <c r="C51" s="10" t="str">
        <f aca="false">IF($A51="","",IFERROR(INDEX(tblAuftraege[Themenfeld],MATCH($A51,tblAuftraege[Auftrag],0)),""))</f>
        <v/>
      </c>
      <c r="D51" s="10" t="str">
        <f aca="false">IF($A51="","",IFERROR(INDEX(tblAuftraege[Kategorie],MATCH($A51,tblAuftraege[Auftrag],0)),""))</f>
        <v/>
      </c>
      <c r="E51" s="11" t="n">
        <f aca="false">IF($A51="",0,SUMIFS(tblAuftraege[Einnahmen],tblAuftraege[Datum Einnahmen],"&gt;="&amp;E$5,tblAuftraege[Datum Einnahmen],"&lt;"&amp;EDATE(E$5,1),tblAuftraege[Auftrag],$A51))</f>
        <v>0</v>
      </c>
      <c r="F51" s="11" t="n">
        <f aca="false">IF($A51="",0,SUMIFS(tblAuftraege[Einnahmen],tblAuftraege[Datum Einnahmen],"&gt;="&amp;F$5,tblAuftraege[Datum Einnahmen],"&lt;"&amp;EDATE(F$5,1),tblAuftraege[Auftrag],$A51))</f>
        <v>0</v>
      </c>
      <c r="G51" s="11" t="n">
        <f aca="false">IF($A51="",0,SUMIFS(tblAuftraege[Einnahmen],tblAuftraege[Datum Einnahmen],"&gt;="&amp;G$5,tblAuftraege[Datum Einnahmen],"&lt;"&amp;EDATE(G$5,1),tblAuftraege[Auftrag],$A51))</f>
        <v>0</v>
      </c>
      <c r="H51" s="11" t="n">
        <f aca="false">IF($A51="",0,SUMIFS(tblAuftraege[Einnahmen],tblAuftraege[Datum Einnahmen],"&gt;="&amp;H$5,tblAuftraege[Datum Einnahmen],"&lt;"&amp;EDATE(H$5,1),tblAuftraege[Auftrag],$A51))</f>
        <v>0</v>
      </c>
      <c r="I51" s="11" t="n">
        <f aca="false">IF($A51="",0,SUMIFS(tblAuftraege[Einnahmen],tblAuftraege[Datum Einnahmen],"&gt;="&amp;I$5,tblAuftraege[Datum Einnahmen],"&lt;"&amp;EDATE(I$5,1),tblAuftraege[Auftrag],$A51))</f>
        <v>0</v>
      </c>
      <c r="J51" s="11" t="n">
        <f aca="false">IF($A51="",0,SUMIFS(tblAuftraege[Einnahmen],tblAuftraege[Datum Einnahmen],"&gt;="&amp;J$5,tblAuftraege[Datum Einnahmen],"&lt;"&amp;EDATE(J$5,1),tblAuftraege[Auftrag],$A51))</f>
        <v>0</v>
      </c>
      <c r="K51" s="11" t="n">
        <f aca="false">IF($A51="",0,SUMIFS(tblAuftraege[Einnahmen],tblAuftraege[Datum Einnahmen],"&gt;="&amp;K$5,tblAuftraege[Datum Einnahmen],"&lt;"&amp;EDATE(K$5,1),tblAuftraege[Auftrag],$A51))</f>
        <v>0</v>
      </c>
      <c r="L51" s="11" t="n">
        <f aca="false">IF($A51="",0,SUMIFS(tblAuftraege[Einnahmen],tblAuftraege[Datum Einnahmen],"&gt;="&amp;L$5,tblAuftraege[Datum Einnahmen],"&lt;"&amp;EDATE(L$5,1),tblAuftraege[Auftrag],$A51))</f>
        <v>0</v>
      </c>
      <c r="M51" s="11" t="n">
        <f aca="false">IF($A51="",0,SUMIFS(tblAuftraege[Einnahmen],tblAuftraege[Datum Einnahmen],"&gt;="&amp;M$5,tblAuftraege[Datum Einnahmen],"&lt;"&amp;EDATE(M$5,1),tblAuftraege[Auftrag],$A51))</f>
        <v>0</v>
      </c>
      <c r="N51" s="11" t="n">
        <f aca="false">IF($A51="",0,SUMIFS(tblAuftraege[Einnahmen],tblAuftraege[Datum Einnahmen],"&gt;="&amp;N$5,tblAuftraege[Datum Einnahmen],"&lt;"&amp;EDATE(N$5,1),tblAuftraege[Auftrag],$A51))</f>
        <v>0</v>
      </c>
      <c r="O51" s="11" t="n">
        <f aca="false">IF($A51="",0,SUMIFS(tblAuftraege[Einnahmen],tblAuftraege[Datum Einnahmen],"&gt;="&amp;O$5,tblAuftraege[Datum Einnahmen],"&lt;"&amp;EDATE(O$5,1),tblAuftraege[Auftrag],$A51))</f>
        <v>0</v>
      </c>
      <c r="P51" s="11" t="n">
        <f aca="false">IF($A51="",0,SUMIFS(tblAuftraege[Einnahmen],tblAuftraege[Datum Einnahmen],"&gt;="&amp;P$5,tblAuftraege[Datum Einnahmen],"&lt;"&amp;EDATE(P$5,1),tblAuftraege[Auftrag],$A51))</f>
        <v>0</v>
      </c>
      <c r="Q51" s="11" t="n">
        <f aca="false">IF($A51="",0,SUMIFS(tblAuftraege[Einnahmen],tblAuftraege[Datum Einnahmen],"&gt;="&amp;Q$5,tblAuftraege[Datum Einnahmen],"&lt;"&amp;EDATE(Q$5,1),tblAuftraege[Auftrag],$A51))</f>
        <v>0</v>
      </c>
      <c r="R51" s="11" t="n">
        <f aca="false">IF($A51="",0,SUMIFS(tblAuftraege[Einnahmen],tblAuftraege[Datum Einnahmen],"&gt;="&amp;R$5,tblAuftraege[Datum Einnahmen],"&lt;"&amp;EDATE(R$5,1),tblAuftraege[Auftrag],$A51))</f>
        <v>0</v>
      </c>
      <c r="S51" s="11" t="n">
        <f aca="false">IF($A51="",0,SUMIFS(tblAuftraege[Einnahmen],tblAuftraege[Datum Einnahmen],"&gt;="&amp;S$5,tblAuftraege[Datum Einnahmen],"&lt;"&amp;EDATE(S$5,1),tblAuftraege[Auftrag],$A51))</f>
        <v>0</v>
      </c>
      <c r="T51" s="11" t="n">
        <f aca="false">IF($A51="",0,SUMIFS(tblAuftraege[Einnahmen],tblAuftraege[Datum Einnahmen],"&gt;="&amp;T$5,tblAuftraege[Datum Einnahmen],"&lt;"&amp;EDATE(T$5,1),tblAuftraege[Auftrag],$A51))</f>
        <v>0</v>
      </c>
      <c r="U51" s="11" t="n">
        <f aca="false">IF($A51="",0,SUMIFS(tblAuftraege[Einnahmen],tblAuftraege[Datum Einnahmen],"&gt;="&amp;U$5,tblAuftraege[Datum Einnahmen],"&lt;"&amp;EDATE(U$5,1),tblAuftraege[Auftrag],$A51))</f>
        <v>0</v>
      </c>
      <c r="V51" s="11" t="n">
        <f aca="false">IF($A51="",0,SUMIFS(tblAuftraege[Einnahmen],tblAuftraege[Datum Einnahmen],"&gt;="&amp;V$5,tblAuftraege[Datum Einnahmen],"&lt;"&amp;EDATE(V$5,1),tblAuftraege[Auftrag],$A51))</f>
        <v>0</v>
      </c>
      <c r="W51" s="11" t="n">
        <f aca="false">IF($A51="",0,SUMIFS(tblAuftraege[Einnahmen],tblAuftraege[Datum Einnahmen],"&gt;="&amp;W$5,tblAuftraege[Datum Einnahmen],"&lt;"&amp;EDATE(W$5,1),tblAuftraege[Auftrag],$A51))</f>
        <v>0</v>
      </c>
      <c r="X51" s="11" t="n">
        <f aca="false">IF($A51="",0,SUMIFS(tblAuftraege[Einnahmen],tblAuftraege[Datum Einnahmen],"&gt;="&amp;X$5,tblAuftraege[Datum Einnahmen],"&lt;"&amp;EDATE(X$5,1),tblAuftraege[Auftrag],$A51))</f>
        <v>0</v>
      </c>
      <c r="Y51" s="11" t="n">
        <f aca="false">IF($A51="",0,SUMIFS(tblAuftraege[Einnahmen],tblAuftraege[Datum Einnahmen],"&gt;="&amp;Y$5,tblAuftraege[Datum Einnahmen],"&lt;"&amp;EDATE(Y$5,1),tblAuftraege[Auftrag],$A51))</f>
        <v>0</v>
      </c>
      <c r="Z51" s="11" t="n">
        <f aca="false">IF($A51="",0,SUMIFS(tblAuftraege[Einnahmen],tblAuftraege[Datum Einnahmen],"&gt;="&amp;Z$5,tblAuftraege[Datum Einnahmen],"&lt;"&amp;EDATE(Z$5,1),tblAuftraege[Auftrag],$A51))</f>
        <v>0</v>
      </c>
      <c r="AA51" s="11" t="n">
        <f aca="false">IF($A51="",0,SUMIFS(tblAuftraege[Einnahmen],tblAuftraege[Datum Einnahmen],"&gt;="&amp;AA$5,tblAuftraege[Datum Einnahmen],"&lt;"&amp;EDATE(AA$5,1),tblAuftraege[Auftrag],$A51))</f>
        <v>0</v>
      </c>
      <c r="AB51" s="11" t="n">
        <f aca="false">IF($A51="",0,SUMIFS(tblAuftraege[Einnahmen],tblAuftraege[Datum Einnahmen],"&gt;="&amp;AB$5,tblAuftraege[Datum Einnahmen],"&lt;"&amp;EDATE(AB$5,1),tblAuftraege[Auftrag],$A51))</f>
        <v>0</v>
      </c>
      <c r="AC51" s="11" t="n">
        <f aca="false">IF($A51="",0,SUMIFS(tblAuftraege[Einnahmen],tblAuftraege[Datum Einnahmen],"&gt;="&amp;AC$5,tblAuftraege[Datum Einnahmen],"&lt;"&amp;EDATE(AC$5,1),tblAuftraege[Auftrag],$A51))</f>
        <v>0</v>
      </c>
      <c r="AD51" s="11" t="n">
        <f aca="false">IF($A51="",0,SUMIFS(tblAuftraege[Einnahmen],tblAuftraege[Datum Einnahmen],"&gt;="&amp;AD$5,tblAuftraege[Datum Einnahmen],"&lt;"&amp;EDATE(AD$5,1),tblAuftraege[Auftrag],$A51))</f>
        <v>0</v>
      </c>
      <c r="AE51" s="11" t="n">
        <f aca="false">IF($A51="",0,SUMIFS(tblAuftraege[Einnahmen],tblAuftraege[Datum Einnahmen],"&gt;="&amp;AE$5,tblAuftraege[Datum Einnahmen],"&lt;"&amp;EDATE(AE$5,1),tblAuftraege[Auftrag],$A51))</f>
        <v>0</v>
      </c>
      <c r="AF51" s="11" t="n">
        <f aca="false">IF($A51="",0,SUMIFS(tblAuftraege[Einnahmen],tblAuftraege[Datum Einnahmen],"&gt;="&amp;AF$5,tblAuftraege[Datum Einnahmen],"&lt;"&amp;EDATE(AF$5,1),tblAuftraege[Auftrag],$A51))</f>
        <v>0</v>
      </c>
      <c r="AG51" s="11" t="n">
        <f aca="false">IF($A51="",0,SUMIFS(tblAuftraege[Einnahmen],tblAuftraege[Datum Einnahmen],"&gt;="&amp;AG$5,tblAuftraege[Datum Einnahmen],"&lt;"&amp;EDATE(AG$5,1),tblAuftraege[Auftrag],$A51))</f>
        <v>0</v>
      </c>
      <c r="AH51" s="11" t="n">
        <f aca="false">IF($A51="",0,SUMIFS(tblAuftraege[Einnahmen],tblAuftraege[Datum Einnahmen],"&gt;="&amp;AH$5,tblAuftraege[Datum Einnahmen],"&lt;"&amp;EDATE(AH$5,1),tblAuftraege[Auftrag],$A51))</f>
        <v>0</v>
      </c>
      <c r="AI51" s="11" t="n">
        <f aca="false">IF($A51="",0,SUMIFS(tblAuftraege[Einnahmen],tblAuftraege[Datum Einnahmen],"&gt;="&amp;AI$5,tblAuftraege[Datum Einnahmen],"&lt;"&amp;EDATE(AI$5,1),tblAuftraege[Auftrag],$A51))</f>
        <v>0</v>
      </c>
      <c r="AJ51" s="11" t="n">
        <f aca="false">IF($A51="",0,SUMIFS(tblAuftraege[Einnahmen],tblAuftraege[Datum Einnahmen],"&gt;="&amp;AJ$5,tblAuftraege[Datum Einnahmen],"&lt;"&amp;EDATE(AJ$5,1),tblAuftraege[Auftrag],$A51))</f>
        <v>0</v>
      </c>
      <c r="AK51" s="11" t="n">
        <f aca="false">IF($A51="",0,SUMIFS(tblAuftraege[Einnahmen],tblAuftraege[Datum Einnahmen],"&gt;="&amp;AK$5,tblAuftraege[Datum Einnahmen],"&lt;"&amp;EDATE(AK$5,1),tblAuftraege[Auftrag],$A51))</f>
        <v>0</v>
      </c>
      <c r="AL51" s="11" t="n">
        <f aca="false">IF($A51="",0,SUMIFS(tblAuftraege[Einnahmen],tblAuftraege[Datum Einnahmen],"&gt;="&amp;AL$5,tblAuftraege[Datum Einnahmen],"&lt;"&amp;EDATE(AL$5,1),tblAuftraege[Auftrag],$A51))</f>
        <v>0</v>
      </c>
      <c r="AM51" s="11" t="n">
        <f aca="false">IF($A51="",0,SUMIFS(tblAuftraege[Einnahmen],tblAuftraege[Datum Einnahmen],"&gt;="&amp;AM$5,tblAuftraege[Datum Einnahmen],"&lt;"&amp;EDATE(AM$5,1),tblAuftraege[Auftrag],$A51))</f>
        <v>0</v>
      </c>
      <c r="AN51" s="11" t="n">
        <f aca="false">IF($A51="",0,SUMIFS(tblAuftraege[Einnahmen],tblAuftraege[Datum Einnahmen],"&gt;="&amp;AN$5,tblAuftraege[Datum Einnahmen],"&lt;"&amp;EDATE(AN$5,1),tblAuftraege[Auftrag],$A51))</f>
        <v>0</v>
      </c>
      <c r="AO51" s="11" t="n">
        <f aca="false">IF($A51="",0,SUMIFS(tblAuftraege[Einnahmen],tblAuftraege[Datum Einnahmen],"&gt;="&amp;AO$5,tblAuftraege[Datum Einnahmen],"&lt;"&amp;EDATE(AO$5,1),tblAuftraege[Auftrag],$A51))</f>
        <v>0</v>
      </c>
      <c r="AP51" s="11" t="n">
        <f aca="false">IF($A51="",0,SUMIFS(tblAuftraege[Einnahmen],tblAuftraege[Datum Einnahmen],"&gt;="&amp;AP$5,tblAuftraege[Datum Einnahmen],"&lt;"&amp;EDATE(AP$5,1),tblAuftraege[Auftrag],$A51))</f>
        <v>0</v>
      </c>
      <c r="AQ51" s="11" t="n">
        <f aca="false">IF($A51="",0,SUMIFS(tblAuftraege[Einnahmen],tblAuftraege[Datum Einnahmen],"&gt;="&amp;AQ$5,tblAuftraege[Datum Einnahmen],"&lt;"&amp;EDATE(AQ$5,1),tblAuftraege[Auftrag],$A51))</f>
        <v>0</v>
      </c>
      <c r="AR51" s="11" t="n">
        <f aca="false">IF($A51="",0,SUMIFS(tblAuftraege[Einnahmen],tblAuftraege[Datum Einnahmen],"&gt;="&amp;AR$5,tblAuftraege[Datum Einnahmen],"&lt;"&amp;EDATE(AR$5,1),tblAuftraege[Auftrag],$A51))</f>
        <v>0</v>
      </c>
      <c r="AS51" s="11" t="n">
        <f aca="false">IF($A51="",0,SUMIFS(tblAuftraege[Einnahmen],tblAuftraege[Datum Einnahmen],"&gt;="&amp;AS$5,tblAuftraege[Datum Einnahmen],"&lt;"&amp;EDATE(AS$5,1),tblAuftraege[Auftrag],$A51))</f>
        <v>0</v>
      </c>
      <c r="AT51" s="11" t="n">
        <f aca="false">IF($A51="",0,SUMIFS(tblAuftraege[Einnahmen],tblAuftraege[Datum Einnahmen],"&gt;="&amp;AT$5,tblAuftraege[Datum Einnahmen],"&lt;"&amp;EDATE(AT$5,1),tblAuftraege[Auftrag],$A51))</f>
        <v>0</v>
      </c>
      <c r="AU51" s="11" t="n">
        <f aca="false">IF($A51="",0,SUMIFS(tblAuftraege[Einnahmen],tblAuftraege[Datum Einnahmen],"&gt;="&amp;AU$5,tblAuftraege[Datum Einnahmen],"&lt;"&amp;EDATE(AU$5,1),tblAuftraege[Auftrag],$A51))</f>
        <v>0</v>
      </c>
      <c r="AV51" s="11" t="n">
        <f aca="false">IF($A51="",0,SUMIFS(tblAuftraege[Einnahmen],tblAuftraege[Datum Einnahmen],"&gt;="&amp;AV$5,tblAuftraege[Datum Einnahmen],"&lt;"&amp;EDATE(AV$5,1),tblAuftraege[Auftrag],$A51))</f>
        <v>0</v>
      </c>
      <c r="AW51" s="11" t="n">
        <f aca="false">IF($A51="",0,SUMIFS(tblAuftraege[Einnahmen],tblAuftraege[Datum Einnahmen],"&gt;="&amp;AW$5,tblAuftraege[Datum Einnahmen],"&lt;"&amp;EDATE(AW$5,1),tblAuftraege[Auftrag],$A51))</f>
        <v>0</v>
      </c>
      <c r="AX51" s="11" t="n">
        <f aca="false">IF($A51="",0,SUMIFS(tblAuftraege[Einnahmen],tblAuftraege[Datum Einnahmen],"&gt;="&amp;AX$5,tblAuftraege[Datum Einnahmen],"&lt;"&amp;EDATE(AX$5,1),tblAuftraege[Auftrag],$A51))</f>
        <v>0</v>
      </c>
      <c r="AY51" s="11" t="n">
        <f aca="false">IF($A51="",0,SUMIFS(tblAuftraege[Einnahmen],tblAuftraege[Datum Einnahmen],"&gt;="&amp;AY$5,tblAuftraege[Datum Einnahmen],"&lt;"&amp;EDATE(AY$5,1),tblAuftraege[Auftrag],$A51))</f>
        <v>0</v>
      </c>
      <c r="AZ51" s="11" t="n">
        <f aca="false">IF($A51="",0,SUMIFS(tblAuftraege[Einnahmen],tblAuftraege[Datum Einnahmen],"&gt;="&amp;AZ$5,tblAuftraege[Datum Einnahmen],"&lt;"&amp;EDATE(AZ$5,1),tblAuftraege[Auftrag],$A51))</f>
        <v>0</v>
      </c>
      <c r="BA51" s="11" t="n">
        <f aca="false">IF($A51="",0,SUMIFS(tblAuftraege[Einnahmen],tblAuftraege[Datum Einnahmen],"&gt;="&amp;BA$5,tblAuftraege[Datum Einnahmen],"&lt;"&amp;EDATE(BA$5,1),tblAuftraege[Auftrag],$A51))</f>
        <v>0</v>
      </c>
      <c r="BB51" s="11" t="n">
        <f aca="false">IF($A51="",0,SUMIFS(tblAuftraege[Einnahmen],tblAuftraege[Datum Einnahmen],"&gt;="&amp;BB$5,tblAuftraege[Datum Einnahmen],"&lt;"&amp;EDATE(BB$5,1),tblAuftraege[Auftrag],$A51))</f>
        <v>0</v>
      </c>
      <c r="BC51" s="11" t="n">
        <f aca="false">IF($A51="",0,SUMIFS(tblAuftraege[Einnahmen],tblAuftraege[Datum Einnahmen],"&gt;="&amp;BC$5,tblAuftraege[Datum Einnahmen],"&lt;"&amp;EDATE(BC$5,1),tblAuftraege[Auftrag],$A51))</f>
        <v>0</v>
      </c>
      <c r="BD51" s="11" t="n">
        <f aca="false">IF($A51="",0,SUMIFS(tblAuftraege[Einnahmen],tblAuftraege[Datum Einnahmen],"&gt;="&amp;BD$5,tblAuftraege[Datum Einnahmen],"&lt;"&amp;EDATE(BD$5,1),tblAuftraege[Auftrag],$A51))</f>
        <v>0</v>
      </c>
      <c r="BE51" s="11" t="n">
        <f aca="false">IF($A51="",0,SUMIFS(tblAuftraege[Einnahmen],tblAuftraege[Datum Einnahmen],"&gt;="&amp;BE$5,tblAuftraege[Datum Einnahmen],"&lt;"&amp;EDATE(BE$5,1),tblAuftraege[Auftrag],$A51))</f>
        <v>0</v>
      </c>
      <c r="BF51" s="11" t="n">
        <f aca="false">IF($A51="",0,SUMIFS(tblAuftraege[Einnahmen],tblAuftraege[Datum Einnahmen],"&gt;="&amp;BF$5,tblAuftraege[Datum Einnahmen],"&lt;"&amp;EDATE(BF$5,1),tblAuftraege[Auftrag],$A51))</f>
        <v>0</v>
      </c>
      <c r="BG51" s="11" t="n">
        <f aca="false">SUM(E51:J51)</f>
        <v>0</v>
      </c>
      <c r="BH51" s="11" t="n">
        <f aca="false">SUM(K51:V51)</f>
        <v>0</v>
      </c>
      <c r="BI51" s="11" t="n">
        <f aca="false">SUM(W51:AH51)</f>
        <v>0</v>
      </c>
      <c r="BJ51" s="11" t="n">
        <f aca="false">SUM(AI51:AT51)</f>
        <v>0</v>
      </c>
      <c r="BK51" s="11" t="n">
        <f aca="false">SUM(AU51:BF51)</f>
        <v>0</v>
      </c>
      <c r="BL51" s="12" t="n">
        <f aca="false">SUM(E51:BF51)</f>
        <v>0</v>
      </c>
    </row>
    <row r="52" customFormat="false" ht="15" hidden="false" customHeight="false" outlineLevel="0" collapsed="false">
      <c r="A52" s="9"/>
      <c r="B52" s="10" t="str">
        <f aca="false">IF($A52="","",IFERROR(INDEX(tblAuftraege[Kostenstelle],MATCH($A52,tblAuftraege[Auftrag],0)),""))</f>
        <v/>
      </c>
      <c r="C52" s="10" t="str">
        <f aca="false">IF($A52="","",IFERROR(INDEX(tblAuftraege[Themenfeld],MATCH($A52,tblAuftraege[Auftrag],0)),""))</f>
        <v/>
      </c>
      <c r="D52" s="10" t="str">
        <f aca="false">IF($A52="","",IFERROR(INDEX(tblAuftraege[Kategorie],MATCH($A52,tblAuftraege[Auftrag],0)),""))</f>
        <v/>
      </c>
      <c r="E52" s="11" t="n">
        <f aca="false">IF($A52="",0,SUMIFS(tblAuftraege[Einnahmen],tblAuftraege[Datum Einnahmen],"&gt;="&amp;E$5,tblAuftraege[Datum Einnahmen],"&lt;"&amp;EDATE(E$5,1),tblAuftraege[Auftrag],$A52))</f>
        <v>0</v>
      </c>
      <c r="F52" s="11" t="n">
        <f aca="false">IF($A52="",0,SUMIFS(tblAuftraege[Einnahmen],tblAuftraege[Datum Einnahmen],"&gt;="&amp;F$5,tblAuftraege[Datum Einnahmen],"&lt;"&amp;EDATE(F$5,1),tblAuftraege[Auftrag],$A52))</f>
        <v>0</v>
      </c>
      <c r="G52" s="11" t="n">
        <f aca="false">IF($A52="",0,SUMIFS(tblAuftraege[Einnahmen],tblAuftraege[Datum Einnahmen],"&gt;="&amp;G$5,tblAuftraege[Datum Einnahmen],"&lt;"&amp;EDATE(G$5,1),tblAuftraege[Auftrag],$A52))</f>
        <v>0</v>
      </c>
      <c r="H52" s="11" t="n">
        <f aca="false">IF($A52="",0,SUMIFS(tblAuftraege[Einnahmen],tblAuftraege[Datum Einnahmen],"&gt;="&amp;H$5,tblAuftraege[Datum Einnahmen],"&lt;"&amp;EDATE(H$5,1),tblAuftraege[Auftrag],$A52))</f>
        <v>0</v>
      </c>
      <c r="I52" s="11" t="n">
        <f aca="false">IF($A52="",0,SUMIFS(tblAuftraege[Einnahmen],tblAuftraege[Datum Einnahmen],"&gt;="&amp;I$5,tblAuftraege[Datum Einnahmen],"&lt;"&amp;EDATE(I$5,1),tblAuftraege[Auftrag],$A52))</f>
        <v>0</v>
      </c>
      <c r="J52" s="11" t="n">
        <f aca="false">IF($A52="",0,SUMIFS(tblAuftraege[Einnahmen],tblAuftraege[Datum Einnahmen],"&gt;="&amp;J$5,tblAuftraege[Datum Einnahmen],"&lt;"&amp;EDATE(J$5,1),tblAuftraege[Auftrag],$A52))</f>
        <v>0</v>
      </c>
      <c r="K52" s="11" t="n">
        <f aca="false">IF($A52="",0,SUMIFS(tblAuftraege[Einnahmen],tblAuftraege[Datum Einnahmen],"&gt;="&amp;K$5,tblAuftraege[Datum Einnahmen],"&lt;"&amp;EDATE(K$5,1),tblAuftraege[Auftrag],$A52))</f>
        <v>0</v>
      </c>
      <c r="L52" s="11" t="n">
        <f aca="false">IF($A52="",0,SUMIFS(tblAuftraege[Einnahmen],tblAuftraege[Datum Einnahmen],"&gt;="&amp;L$5,tblAuftraege[Datum Einnahmen],"&lt;"&amp;EDATE(L$5,1),tblAuftraege[Auftrag],$A52))</f>
        <v>0</v>
      </c>
      <c r="M52" s="11" t="n">
        <f aca="false">IF($A52="",0,SUMIFS(tblAuftraege[Einnahmen],tblAuftraege[Datum Einnahmen],"&gt;="&amp;M$5,tblAuftraege[Datum Einnahmen],"&lt;"&amp;EDATE(M$5,1),tblAuftraege[Auftrag],$A52))</f>
        <v>0</v>
      </c>
      <c r="N52" s="11" t="n">
        <f aca="false">IF($A52="",0,SUMIFS(tblAuftraege[Einnahmen],tblAuftraege[Datum Einnahmen],"&gt;="&amp;N$5,tblAuftraege[Datum Einnahmen],"&lt;"&amp;EDATE(N$5,1),tblAuftraege[Auftrag],$A52))</f>
        <v>0</v>
      </c>
      <c r="O52" s="11" t="n">
        <f aca="false">IF($A52="",0,SUMIFS(tblAuftraege[Einnahmen],tblAuftraege[Datum Einnahmen],"&gt;="&amp;O$5,tblAuftraege[Datum Einnahmen],"&lt;"&amp;EDATE(O$5,1),tblAuftraege[Auftrag],$A52))</f>
        <v>0</v>
      </c>
      <c r="P52" s="11" t="n">
        <f aca="false">IF($A52="",0,SUMIFS(tblAuftraege[Einnahmen],tblAuftraege[Datum Einnahmen],"&gt;="&amp;P$5,tblAuftraege[Datum Einnahmen],"&lt;"&amp;EDATE(P$5,1),tblAuftraege[Auftrag],$A52))</f>
        <v>0</v>
      </c>
      <c r="Q52" s="11" t="n">
        <f aca="false">IF($A52="",0,SUMIFS(tblAuftraege[Einnahmen],tblAuftraege[Datum Einnahmen],"&gt;="&amp;Q$5,tblAuftraege[Datum Einnahmen],"&lt;"&amp;EDATE(Q$5,1),tblAuftraege[Auftrag],$A52))</f>
        <v>0</v>
      </c>
      <c r="R52" s="11" t="n">
        <f aca="false">IF($A52="",0,SUMIFS(tblAuftraege[Einnahmen],tblAuftraege[Datum Einnahmen],"&gt;="&amp;R$5,tblAuftraege[Datum Einnahmen],"&lt;"&amp;EDATE(R$5,1),tblAuftraege[Auftrag],$A52))</f>
        <v>0</v>
      </c>
      <c r="S52" s="11" t="n">
        <f aca="false">IF($A52="",0,SUMIFS(tblAuftraege[Einnahmen],tblAuftraege[Datum Einnahmen],"&gt;="&amp;S$5,tblAuftraege[Datum Einnahmen],"&lt;"&amp;EDATE(S$5,1),tblAuftraege[Auftrag],$A52))</f>
        <v>0</v>
      </c>
      <c r="T52" s="11" t="n">
        <f aca="false">IF($A52="",0,SUMIFS(tblAuftraege[Einnahmen],tblAuftraege[Datum Einnahmen],"&gt;="&amp;T$5,tblAuftraege[Datum Einnahmen],"&lt;"&amp;EDATE(T$5,1),tblAuftraege[Auftrag],$A52))</f>
        <v>0</v>
      </c>
      <c r="U52" s="11" t="n">
        <f aca="false">IF($A52="",0,SUMIFS(tblAuftraege[Einnahmen],tblAuftraege[Datum Einnahmen],"&gt;="&amp;U$5,tblAuftraege[Datum Einnahmen],"&lt;"&amp;EDATE(U$5,1),tblAuftraege[Auftrag],$A52))</f>
        <v>0</v>
      </c>
      <c r="V52" s="11" t="n">
        <f aca="false">IF($A52="",0,SUMIFS(tblAuftraege[Einnahmen],tblAuftraege[Datum Einnahmen],"&gt;="&amp;V$5,tblAuftraege[Datum Einnahmen],"&lt;"&amp;EDATE(V$5,1),tblAuftraege[Auftrag],$A52))</f>
        <v>0</v>
      </c>
      <c r="W52" s="11" t="n">
        <f aca="false">IF($A52="",0,SUMIFS(tblAuftraege[Einnahmen],tblAuftraege[Datum Einnahmen],"&gt;="&amp;W$5,tblAuftraege[Datum Einnahmen],"&lt;"&amp;EDATE(W$5,1),tblAuftraege[Auftrag],$A52))</f>
        <v>0</v>
      </c>
      <c r="X52" s="11" t="n">
        <f aca="false">IF($A52="",0,SUMIFS(tblAuftraege[Einnahmen],tblAuftraege[Datum Einnahmen],"&gt;="&amp;X$5,tblAuftraege[Datum Einnahmen],"&lt;"&amp;EDATE(X$5,1),tblAuftraege[Auftrag],$A52))</f>
        <v>0</v>
      </c>
      <c r="Y52" s="11" t="n">
        <f aca="false">IF($A52="",0,SUMIFS(tblAuftraege[Einnahmen],tblAuftraege[Datum Einnahmen],"&gt;="&amp;Y$5,tblAuftraege[Datum Einnahmen],"&lt;"&amp;EDATE(Y$5,1),tblAuftraege[Auftrag],$A52))</f>
        <v>0</v>
      </c>
      <c r="Z52" s="11" t="n">
        <f aca="false">IF($A52="",0,SUMIFS(tblAuftraege[Einnahmen],tblAuftraege[Datum Einnahmen],"&gt;="&amp;Z$5,tblAuftraege[Datum Einnahmen],"&lt;"&amp;EDATE(Z$5,1),tblAuftraege[Auftrag],$A52))</f>
        <v>0</v>
      </c>
      <c r="AA52" s="11" t="n">
        <f aca="false">IF($A52="",0,SUMIFS(tblAuftraege[Einnahmen],tblAuftraege[Datum Einnahmen],"&gt;="&amp;AA$5,tblAuftraege[Datum Einnahmen],"&lt;"&amp;EDATE(AA$5,1),tblAuftraege[Auftrag],$A52))</f>
        <v>0</v>
      </c>
      <c r="AB52" s="11" t="n">
        <f aca="false">IF($A52="",0,SUMIFS(tblAuftraege[Einnahmen],tblAuftraege[Datum Einnahmen],"&gt;="&amp;AB$5,tblAuftraege[Datum Einnahmen],"&lt;"&amp;EDATE(AB$5,1),tblAuftraege[Auftrag],$A52))</f>
        <v>0</v>
      </c>
      <c r="AC52" s="11" t="n">
        <f aca="false">IF($A52="",0,SUMIFS(tblAuftraege[Einnahmen],tblAuftraege[Datum Einnahmen],"&gt;="&amp;AC$5,tblAuftraege[Datum Einnahmen],"&lt;"&amp;EDATE(AC$5,1),tblAuftraege[Auftrag],$A52))</f>
        <v>0</v>
      </c>
      <c r="AD52" s="11" t="n">
        <f aca="false">IF($A52="",0,SUMIFS(tblAuftraege[Einnahmen],tblAuftraege[Datum Einnahmen],"&gt;="&amp;AD$5,tblAuftraege[Datum Einnahmen],"&lt;"&amp;EDATE(AD$5,1),tblAuftraege[Auftrag],$A52))</f>
        <v>0</v>
      </c>
      <c r="AE52" s="11" t="n">
        <f aca="false">IF($A52="",0,SUMIFS(tblAuftraege[Einnahmen],tblAuftraege[Datum Einnahmen],"&gt;="&amp;AE$5,tblAuftraege[Datum Einnahmen],"&lt;"&amp;EDATE(AE$5,1),tblAuftraege[Auftrag],$A52))</f>
        <v>0</v>
      </c>
      <c r="AF52" s="11" t="n">
        <f aca="false">IF($A52="",0,SUMIFS(tblAuftraege[Einnahmen],tblAuftraege[Datum Einnahmen],"&gt;="&amp;AF$5,tblAuftraege[Datum Einnahmen],"&lt;"&amp;EDATE(AF$5,1),tblAuftraege[Auftrag],$A52))</f>
        <v>0</v>
      </c>
      <c r="AG52" s="11" t="n">
        <f aca="false">IF($A52="",0,SUMIFS(tblAuftraege[Einnahmen],tblAuftraege[Datum Einnahmen],"&gt;="&amp;AG$5,tblAuftraege[Datum Einnahmen],"&lt;"&amp;EDATE(AG$5,1),tblAuftraege[Auftrag],$A52))</f>
        <v>0</v>
      </c>
      <c r="AH52" s="11" t="n">
        <f aca="false">IF($A52="",0,SUMIFS(tblAuftraege[Einnahmen],tblAuftraege[Datum Einnahmen],"&gt;="&amp;AH$5,tblAuftraege[Datum Einnahmen],"&lt;"&amp;EDATE(AH$5,1),tblAuftraege[Auftrag],$A52))</f>
        <v>0</v>
      </c>
      <c r="AI52" s="11" t="n">
        <f aca="false">IF($A52="",0,SUMIFS(tblAuftraege[Einnahmen],tblAuftraege[Datum Einnahmen],"&gt;="&amp;AI$5,tblAuftraege[Datum Einnahmen],"&lt;"&amp;EDATE(AI$5,1),tblAuftraege[Auftrag],$A52))</f>
        <v>0</v>
      </c>
      <c r="AJ52" s="11" t="n">
        <f aca="false">IF($A52="",0,SUMIFS(tblAuftraege[Einnahmen],tblAuftraege[Datum Einnahmen],"&gt;="&amp;AJ$5,tblAuftraege[Datum Einnahmen],"&lt;"&amp;EDATE(AJ$5,1),tblAuftraege[Auftrag],$A52))</f>
        <v>0</v>
      </c>
      <c r="AK52" s="11" t="n">
        <f aca="false">IF($A52="",0,SUMIFS(tblAuftraege[Einnahmen],tblAuftraege[Datum Einnahmen],"&gt;="&amp;AK$5,tblAuftraege[Datum Einnahmen],"&lt;"&amp;EDATE(AK$5,1),tblAuftraege[Auftrag],$A52))</f>
        <v>0</v>
      </c>
      <c r="AL52" s="11" t="n">
        <f aca="false">IF($A52="",0,SUMIFS(tblAuftraege[Einnahmen],tblAuftraege[Datum Einnahmen],"&gt;="&amp;AL$5,tblAuftraege[Datum Einnahmen],"&lt;"&amp;EDATE(AL$5,1),tblAuftraege[Auftrag],$A52))</f>
        <v>0</v>
      </c>
      <c r="AM52" s="11" t="n">
        <f aca="false">IF($A52="",0,SUMIFS(tblAuftraege[Einnahmen],tblAuftraege[Datum Einnahmen],"&gt;="&amp;AM$5,tblAuftraege[Datum Einnahmen],"&lt;"&amp;EDATE(AM$5,1),tblAuftraege[Auftrag],$A52))</f>
        <v>0</v>
      </c>
      <c r="AN52" s="11" t="n">
        <f aca="false">IF($A52="",0,SUMIFS(tblAuftraege[Einnahmen],tblAuftraege[Datum Einnahmen],"&gt;="&amp;AN$5,tblAuftraege[Datum Einnahmen],"&lt;"&amp;EDATE(AN$5,1),tblAuftraege[Auftrag],$A52))</f>
        <v>0</v>
      </c>
      <c r="AO52" s="11" t="n">
        <f aca="false">IF($A52="",0,SUMIFS(tblAuftraege[Einnahmen],tblAuftraege[Datum Einnahmen],"&gt;="&amp;AO$5,tblAuftraege[Datum Einnahmen],"&lt;"&amp;EDATE(AO$5,1),tblAuftraege[Auftrag],$A52))</f>
        <v>0</v>
      </c>
      <c r="AP52" s="11" t="n">
        <f aca="false">IF($A52="",0,SUMIFS(tblAuftraege[Einnahmen],tblAuftraege[Datum Einnahmen],"&gt;="&amp;AP$5,tblAuftraege[Datum Einnahmen],"&lt;"&amp;EDATE(AP$5,1),tblAuftraege[Auftrag],$A52))</f>
        <v>0</v>
      </c>
      <c r="AQ52" s="11" t="n">
        <f aca="false">IF($A52="",0,SUMIFS(tblAuftraege[Einnahmen],tblAuftraege[Datum Einnahmen],"&gt;="&amp;AQ$5,tblAuftraege[Datum Einnahmen],"&lt;"&amp;EDATE(AQ$5,1),tblAuftraege[Auftrag],$A52))</f>
        <v>0</v>
      </c>
      <c r="AR52" s="11" t="n">
        <f aca="false">IF($A52="",0,SUMIFS(tblAuftraege[Einnahmen],tblAuftraege[Datum Einnahmen],"&gt;="&amp;AR$5,tblAuftraege[Datum Einnahmen],"&lt;"&amp;EDATE(AR$5,1),tblAuftraege[Auftrag],$A52))</f>
        <v>0</v>
      </c>
      <c r="AS52" s="11" t="n">
        <f aca="false">IF($A52="",0,SUMIFS(tblAuftraege[Einnahmen],tblAuftraege[Datum Einnahmen],"&gt;="&amp;AS$5,tblAuftraege[Datum Einnahmen],"&lt;"&amp;EDATE(AS$5,1),tblAuftraege[Auftrag],$A52))</f>
        <v>0</v>
      </c>
      <c r="AT52" s="11" t="n">
        <f aca="false">IF($A52="",0,SUMIFS(tblAuftraege[Einnahmen],tblAuftraege[Datum Einnahmen],"&gt;="&amp;AT$5,tblAuftraege[Datum Einnahmen],"&lt;"&amp;EDATE(AT$5,1),tblAuftraege[Auftrag],$A52))</f>
        <v>0</v>
      </c>
      <c r="AU52" s="11" t="n">
        <f aca="false">IF($A52="",0,SUMIFS(tblAuftraege[Einnahmen],tblAuftraege[Datum Einnahmen],"&gt;="&amp;AU$5,tblAuftraege[Datum Einnahmen],"&lt;"&amp;EDATE(AU$5,1),tblAuftraege[Auftrag],$A52))</f>
        <v>0</v>
      </c>
      <c r="AV52" s="11" t="n">
        <f aca="false">IF($A52="",0,SUMIFS(tblAuftraege[Einnahmen],tblAuftraege[Datum Einnahmen],"&gt;="&amp;AV$5,tblAuftraege[Datum Einnahmen],"&lt;"&amp;EDATE(AV$5,1),tblAuftraege[Auftrag],$A52))</f>
        <v>0</v>
      </c>
      <c r="AW52" s="11" t="n">
        <f aca="false">IF($A52="",0,SUMIFS(tblAuftraege[Einnahmen],tblAuftraege[Datum Einnahmen],"&gt;="&amp;AW$5,tblAuftraege[Datum Einnahmen],"&lt;"&amp;EDATE(AW$5,1),tblAuftraege[Auftrag],$A52))</f>
        <v>0</v>
      </c>
      <c r="AX52" s="11" t="n">
        <f aca="false">IF($A52="",0,SUMIFS(tblAuftraege[Einnahmen],tblAuftraege[Datum Einnahmen],"&gt;="&amp;AX$5,tblAuftraege[Datum Einnahmen],"&lt;"&amp;EDATE(AX$5,1),tblAuftraege[Auftrag],$A52))</f>
        <v>0</v>
      </c>
      <c r="AY52" s="11" t="n">
        <f aca="false">IF($A52="",0,SUMIFS(tblAuftraege[Einnahmen],tblAuftraege[Datum Einnahmen],"&gt;="&amp;AY$5,tblAuftraege[Datum Einnahmen],"&lt;"&amp;EDATE(AY$5,1),tblAuftraege[Auftrag],$A52))</f>
        <v>0</v>
      </c>
      <c r="AZ52" s="11" t="n">
        <f aca="false">IF($A52="",0,SUMIFS(tblAuftraege[Einnahmen],tblAuftraege[Datum Einnahmen],"&gt;="&amp;AZ$5,tblAuftraege[Datum Einnahmen],"&lt;"&amp;EDATE(AZ$5,1),tblAuftraege[Auftrag],$A52))</f>
        <v>0</v>
      </c>
      <c r="BA52" s="11" t="n">
        <f aca="false">IF($A52="",0,SUMIFS(tblAuftraege[Einnahmen],tblAuftraege[Datum Einnahmen],"&gt;="&amp;BA$5,tblAuftraege[Datum Einnahmen],"&lt;"&amp;EDATE(BA$5,1),tblAuftraege[Auftrag],$A52))</f>
        <v>0</v>
      </c>
      <c r="BB52" s="11" t="n">
        <f aca="false">IF($A52="",0,SUMIFS(tblAuftraege[Einnahmen],tblAuftraege[Datum Einnahmen],"&gt;="&amp;BB$5,tblAuftraege[Datum Einnahmen],"&lt;"&amp;EDATE(BB$5,1),tblAuftraege[Auftrag],$A52))</f>
        <v>0</v>
      </c>
      <c r="BC52" s="11" t="n">
        <f aca="false">IF($A52="",0,SUMIFS(tblAuftraege[Einnahmen],tblAuftraege[Datum Einnahmen],"&gt;="&amp;BC$5,tblAuftraege[Datum Einnahmen],"&lt;"&amp;EDATE(BC$5,1),tblAuftraege[Auftrag],$A52))</f>
        <v>0</v>
      </c>
      <c r="BD52" s="11" t="n">
        <f aca="false">IF($A52="",0,SUMIFS(tblAuftraege[Einnahmen],tblAuftraege[Datum Einnahmen],"&gt;="&amp;BD$5,tblAuftraege[Datum Einnahmen],"&lt;"&amp;EDATE(BD$5,1),tblAuftraege[Auftrag],$A52))</f>
        <v>0</v>
      </c>
      <c r="BE52" s="11" t="n">
        <f aca="false">IF($A52="",0,SUMIFS(tblAuftraege[Einnahmen],tblAuftraege[Datum Einnahmen],"&gt;="&amp;BE$5,tblAuftraege[Datum Einnahmen],"&lt;"&amp;EDATE(BE$5,1),tblAuftraege[Auftrag],$A52))</f>
        <v>0</v>
      </c>
      <c r="BF52" s="11" t="n">
        <f aca="false">IF($A52="",0,SUMIFS(tblAuftraege[Einnahmen],tblAuftraege[Datum Einnahmen],"&gt;="&amp;BF$5,tblAuftraege[Datum Einnahmen],"&lt;"&amp;EDATE(BF$5,1),tblAuftraege[Auftrag],$A52))</f>
        <v>0</v>
      </c>
      <c r="BG52" s="11" t="n">
        <f aca="false">SUM(E52:J52)</f>
        <v>0</v>
      </c>
      <c r="BH52" s="11" t="n">
        <f aca="false">SUM(K52:V52)</f>
        <v>0</v>
      </c>
      <c r="BI52" s="11" t="n">
        <f aca="false">SUM(W52:AH52)</f>
        <v>0</v>
      </c>
      <c r="BJ52" s="11" t="n">
        <f aca="false">SUM(AI52:AT52)</f>
        <v>0</v>
      </c>
      <c r="BK52" s="11" t="n">
        <f aca="false">SUM(AU52:BF52)</f>
        <v>0</v>
      </c>
      <c r="BL52" s="12" t="n">
        <f aca="false">SUM(E52:BF52)</f>
        <v>0</v>
      </c>
    </row>
    <row r="53" customFormat="false" ht="15" hidden="false" customHeight="false" outlineLevel="0" collapsed="false">
      <c r="A53" s="9"/>
      <c r="B53" s="10" t="str">
        <f aca="false">IF($A53="","",IFERROR(INDEX(tblAuftraege[Kostenstelle],MATCH($A53,tblAuftraege[Auftrag],0)),""))</f>
        <v/>
      </c>
      <c r="C53" s="10" t="str">
        <f aca="false">IF($A53="","",IFERROR(INDEX(tblAuftraege[Themenfeld],MATCH($A53,tblAuftraege[Auftrag],0)),""))</f>
        <v/>
      </c>
      <c r="D53" s="10" t="str">
        <f aca="false">IF($A53="","",IFERROR(INDEX(tblAuftraege[Kategorie],MATCH($A53,tblAuftraege[Auftrag],0)),""))</f>
        <v/>
      </c>
      <c r="E53" s="11" t="n">
        <f aca="false">IF($A53="",0,SUMIFS(tblAuftraege[Einnahmen],tblAuftraege[Datum Einnahmen],"&gt;="&amp;E$5,tblAuftraege[Datum Einnahmen],"&lt;"&amp;EDATE(E$5,1),tblAuftraege[Auftrag],$A53))</f>
        <v>0</v>
      </c>
      <c r="F53" s="11" t="n">
        <f aca="false">IF($A53="",0,SUMIFS(tblAuftraege[Einnahmen],tblAuftraege[Datum Einnahmen],"&gt;="&amp;F$5,tblAuftraege[Datum Einnahmen],"&lt;"&amp;EDATE(F$5,1),tblAuftraege[Auftrag],$A53))</f>
        <v>0</v>
      </c>
      <c r="G53" s="11" t="n">
        <f aca="false">IF($A53="",0,SUMIFS(tblAuftraege[Einnahmen],tblAuftraege[Datum Einnahmen],"&gt;="&amp;G$5,tblAuftraege[Datum Einnahmen],"&lt;"&amp;EDATE(G$5,1),tblAuftraege[Auftrag],$A53))</f>
        <v>0</v>
      </c>
      <c r="H53" s="11" t="n">
        <f aca="false">IF($A53="",0,SUMIFS(tblAuftraege[Einnahmen],tblAuftraege[Datum Einnahmen],"&gt;="&amp;H$5,tblAuftraege[Datum Einnahmen],"&lt;"&amp;EDATE(H$5,1),tblAuftraege[Auftrag],$A53))</f>
        <v>0</v>
      </c>
      <c r="I53" s="11" t="n">
        <f aca="false">IF($A53="",0,SUMIFS(tblAuftraege[Einnahmen],tblAuftraege[Datum Einnahmen],"&gt;="&amp;I$5,tblAuftraege[Datum Einnahmen],"&lt;"&amp;EDATE(I$5,1),tblAuftraege[Auftrag],$A53))</f>
        <v>0</v>
      </c>
      <c r="J53" s="11" t="n">
        <f aca="false">IF($A53="",0,SUMIFS(tblAuftraege[Einnahmen],tblAuftraege[Datum Einnahmen],"&gt;="&amp;J$5,tblAuftraege[Datum Einnahmen],"&lt;"&amp;EDATE(J$5,1),tblAuftraege[Auftrag],$A53))</f>
        <v>0</v>
      </c>
      <c r="K53" s="11" t="n">
        <f aca="false">IF($A53="",0,SUMIFS(tblAuftraege[Einnahmen],tblAuftraege[Datum Einnahmen],"&gt;="&amp;K$5,tblAuftraege[Datum Einnahmen],"&lt;"&amp;EDATE(K$5,1),tblAuftraege[Auftrag],$A53))</f>
        <v>0</v>
      </c>
      <c r="L53" s="11" t="n">
        <f aca="false">IF($A53="",0,SUMIFS(tblAuftraege[Einnahmen],tblAuftraege[Datum Einnahmen],"&gt;="&amp;L$5,tblAuftraege[Datum Einnahmen],"&lt;"&amp;EDATE(L$5,1),tblAuftraege[Auftrag],$A53))</f>
        <v>0</v>
      </c>
      <c r="M53" s="11" t="n">
        <f aca="false">IF($A53="",0,SUMIFS(tblAuftraege[Einnahmen],tblAuftraege[Datum Einnahmen],"&gt;="&amp;M$5,tblAuftraege[Datum Einnahmen],"&lt;"&amp;EDATE(M$5,1),tblAuftraege[Auftrag],$A53))</f>
        <v>0</v>
      </c>
      <c r="N53" s="11" t="n">
        <f aca="false">IF($A53="",0,SUMIFS(tblAuftraege[Einnahmen],tblAuftraege[Datum Einnahmen],"&gt;="&amp;N$5,tblAuftraege[Datum Einnahmen],"&lt;"&amp;EDATE(N$5,1),tblAuftraege[Auftrag],$A53))</f>
        <v>0</v>
      </c>
      <c r="O53" s="11" t="n">
        <f aca="false">IF($A53="",0,SUMIFS(tblAuftraege[Einnahmen],tblAuftraege[Datum Einnahmen],"&gt;="&amp;O$5,tblAuftraege[Datum Einnahmen],"&lt;"&amp;EDATE(O$5,1),tblAuftraege[Auftrag],$A53))</f>
        <v>0</v>
      </c>
      <c r="P53" s="11" t="n">
        <f aca="false">IF($A53="",0,SUMIFS(tblAuftraege[Einnahmen],tblAuftraege[Datum Einnahmen],"&gt;="&amp;P$5,tblAuftraege[Datum Einnahmen],"&lt;"&amp;EDATE(P$5,1),tblAuftraege[Auftrag],$A53))</f>
        <v>0</v>
      </c>
      <c r="Q53" s="11" t="n">
        <f aca="false">IF($A53="",0,SUMIFS(tblAuftraege[Einnahmen],tblAuftraege[Datum Einnahmen],"&gt;="&amp;Q$5,tblAuftraege[Datum Einnahmen],"&lt;"&amp;EDATE(Q$5,1),tblAuftraege[Auftrag],$A53))</f>
        <v>0</v>
      </c>
      <c r="R53" s="11" t="n">
        <f aca="false">IF($A53="",0,SUMIFS(tblAuftraege[Einnahmen],tblAuftraege[Datum Einnahmen],"&gt;="&amp;R$5,tblAuftraege[Datum Einnahmen],"&lt;"&amp;EDATE(R$5,1),tblAuftraege[Auftrag],$A53))</f>
        <v>0</v>
      </c>
      <c r="S53" s="11" t="n">
        <f aca="false">IF($A53="",0,SUMIFS(tblAuftraege[Einnahmen],tblAuftraege[Datum Einnahmen],"&gt;="&amp;S$5,tblAuftraege[Datum Einnahmen],"&lt;"&amp;EDATE(S$5,1),tblAuftraege[Auftrag],$A53))</f>
        <v>0</v>
      </c>
      <c r="T53" s="11" t="n">
        <f aca="false">IF($A53="",0,SUMIFS(tblAuftraege[Einnahmen],tblAuftraege[Datum Einnahmen],"&gt;="&amp;T$5,tblAuftraege[Datum Einnahmen],"&lt;"&amp;EDATE(T$5,1),tblAuftraege[Auftrag],$A53))</f>
        <v>0</v>
      </c>
      <c r="U53" s="11" t="n">
        <f aca="false">IF($A53="",0,SUMIFS(tblAuftraege[Einnahmen],tblAuftraege[Datum Einnahmen],"&gt;="&amp;U$5,tblAuftraege[Datum Einnahmen],"&lt;"&amp;EDATE(U$5,1),tblAuftraege[Auftrag],$A53))</f>
        <v>0</v>
      </c>
      <c r="V53" s="11" t="n">
        <f aca="false">IF($A53="",0,SUMIFS(tblAuftraege[Einnahmen],tblAuftraege[Datum Einnahmen],"&gt;="&amp;V$5,tblAuftraege[Datum Einnahmen],"&lt;"&amp;EDATE(V$5,1),tblAuftraege[Auftrag],$A53))</f>
        <v>0</v>
      </c>
      <c r="W53" s="11" t="n">
        <f aca="false">IF($A53="",0,SUMIFS(tblAuftraege[Einnahmen],tblAuftraege[Datum Einnahmen],"&gt;="&amp;W$5,tblAuftraege[Datum Einnahmen],"&lt;"&amp;EDATE(W$5,1),tblAuftraege[Auftrag],$A53))</f>
        <v>0</v>
      </c>
      <c r="X53" s="11" t="n">
        <f aca="false">IF($A53="",0,SUMIFS(tblAuftraege[Einnahmen],tblAuftraege[Datum Einnahmen],"&gt;="&amp;X$5,tblAuftraege[Datum Einnahmen],"&lt;"&amp;EDATE(X$5,1),tblAuftraege[Auftrag],$A53))</f>
        <v>0</v>
      </c>
      <c r="Y53" s="11" t="n">
        <f aca="false">IF($A53="",0,SUMIFS(tblAuftraege[Einnahmen],tblAuftraege[Datum Einnahmen],"&gt;="&amp;Y$5,tblAuftraege[Datum Einnahmen],"&lt;"&amp;EDATE(Y$5,1),tblAuftraege[Auftrag],$A53))</f>
        <v>0</v>
      </c>
      <c r="Z53" s="11" t="n">
        <f aca="false">IF($A53="",0,SUMIFS(tblAuftraege[Einnahmen],tblAuftraege[Datum Einnahmen],"&gt;="&amp;Z$5,tblAuftraege[Datum Einnahmen],"&lt;"&amp;EDATE(Z$5,1),tblAuftraege[Auftrag],$A53))</f>
        <v>0</v>
      </c>
      <c r="AA53" s="11" t="n">
        <f aca="false">IF($A53="",0,SUMIFS(tblAuftraege[Einnahmen],tblAuftraege[Datum Einnahmen],"&gt;="&amp;AA$5,tblAuftraege[Datum Einnahmen],"&lt;"&amp;EDATE(AA$5,1),tblAuftraege[Auftrag],$A53))</f>
        <v>0</v>
      </c>
      <c r="AB53" s="11" t="n">
        <f aca="false">IF($A53="",0,SUMIFS(tblAuftraege[Einnahmen],tblAuftraege[Datum Einnahmen],"&gt;="&amp;AB$5,tblAuftraege[Datum Einnahmen],"&lt;"&amp;EDATE(AB$5,1),tblAuftraege[Auftrag],$A53))</f>
        <v>0</v>
      </c>
      <c r="AC53" s="11" t="n">
        <f aca="false">IF($A53="",0,SUMIFS(tblAuftraege[Einnahmen],tblAuftraege[Datum Einnahmen],"&gt;="&amp;AC$5,tblAuftraege[Datum Einnahmen],"&lt;"&amp;EDATE(AC$5,1),tblAuftraege[Auftrag],$A53))</f>
        <v>0</v>
      </c>
      <c r="AD53" s="11" t="n">
        <f aca="false">IF($A53="",0,SUMIFS(tblAuftraege[Einnahmen],tblAuftraege[Datum Einnahmen],"&gt;="&amp;AD$5,tblAuftraege[Datum Einnahmen],"&lt;"&amp;EDATE(AD$5,1),tblAuftraege[Auftrag],$A53))</f>
        <v>0</v>
      </c>
      <c r="AE53" s="11" t="n">
        <f aca="false">IF($A53="",0,SUMIFS(tblAuftraege[Einnahmen],tblAuftraege[Datum Einnahmen],"&gt;="&amp;AE$5,tblAuftraege[Datum Einnahmen],"&lt;"&amp;EDATE(AE$5,1),tblAuftraege[Auftrag],$A53))</f>
        <v>0</v>
      </c>
      <c r="AF53" s="11" t="n">
        <f aca="false">IF($A53="",0,SUMIFS(tblAuftraege[Einnahmen],tblAuftraege[Datum Einnahmen],"&gt;="&amp;AF$5,tblAuftraege[Datum Einnahmen],"&lt;"&amp;EDATE(AF$5,1),tblAuftraege[Auftrag],$A53))</f>
        <v>0</v>
      </c>
      <c r="AG53" s="11" t="n">
        <f aca="false">IF($A53="",0,SUMIFS(tblAuftraege[Einnahmen],tblAuftraege[Datum Einnahmen],"&gt;="&amp;AG$5,tblAuftraege[Datum Einnahmen],"&lt;"&amp;EDATE(AG$5,1),tblAuftraege[Auftrag],$A53))</f>
        <v>0</v>
      </c>
      <c r="AH53" s="11" t="n">
        <f aca="false">IF($A53="",0,SUMIFS(tblAuftraege[Einnahmen],tblAuftraege[Datum Einnahmen],"&gt;="&amp;AH$5,tblAuftraege[Datum Einnahmen],"&lt;"&amp;EDATE(AH$5,1),tblAuftraege[Auftrag],$A53))</f>
        <v>0</v>
      </c>
      <c r="AI53" s="11" t="n">
        <f aca="false">IF($A53="",0,SUMIFS(tblAuftraege[Einnahmen],tblAuftraege[Datum Einnahmen],"&gt;="&amp;AI$5,tblAuftraege[Datum Einnahmen],"&lt;"&amp;EDATE(AI$5,1),tblAuftraege[Auftrag],$A53))</f>
        <v>0</v>
      </c>
      <c r="AJ53" s="11" t="n">
        <f aca="false">IF($A53="",0,SUMIFS(tblAuftraege[Einnahmen],tblAuftraege[Datum Einnahmen],"&gt;="&amp;AJ$5,tblAuftraege[Datum Einnahmen],"&lt;"&amp;EDATE(AJ$5,1),tblAuftraege[Auftrag],$A53))</f>
        <v>0</v>
      </c>
      <c r="AK53" s="11" t="n">
        <f aca="false">IF($A53="",0,SUMIFS(tblAuftraege[Einnahmen],tblAuftraege[Datum Einnahmen],"&gt;="&amp;AK$5,tblAuftraege[Datum Einnahmen],"&lt;"&amp;EDATE(AK$5,1),tblAuftraege[Auftrag],$A53))</f>
        <v>0</v>
      </c>
      <c r="AL53" s="11" t="n">
        <f aca="false">IF($A53="",0,SUMIFS(tblAuftraege[Einnahmen],tblAuftraege[Datum Einnahmen],"&gt;="&amp;AL$5,tblAuftraege[Datum Einnahmen],"&lt;"&amp;EDATE(AL$5,1),tblAuftraege[Auftrag],$A53))</f>
        <v>0</v>
      </c>
      <c r="AM53" s="11" t="n">
        <f aca="false">IF($A53="",0,SUMIFS(tblAuftraege[Einnahmen],tblAuftraege[Datum Einnahmen],"&gt;="&amp;AM$5,tblAuftraege[Datum Einnahmen],"&lt;"&amp;EDATE(AM$5,1),tblAuftraege[Auftrag],$A53))</f>
        <v>0</v>
      </c>
      <c r="AN53" s="11" t="n">
        <f aca="false">IF($A53="",0,SUMIFS(tblAuftraege[Einnahmen],tblAuftraege[Datum Einnahmen],"&gt;="&amp;AN$5,tblAuftraege[Datum Einnahmen],"&lt;"&amp;EDATE(AN$5,1),tblAuftraege[Auftrag],$A53))</f>
        <v>0</v>
      </c>
      <c r="AO53" s="11" t="n">
        <f aca="false">IF($A53="",0,SUMIFS(tblAuftraege[Einnahmen],tblAuftraege[Datum Einnahmen],"&gt;="&amp;AO$5,tblAuftraege[Datum Einnahmen],"&lt;"&amp;EDATE(AO$5,1),tblAuftraege[Auftrag],$A53))</f>
        <v>0</v>
      </c>
      <c r="AP53" s="11" t="n">
        <f aca="false">IF($A53="",0,SUMIFS(tblAuftraege[Einnahmen],tblAuftraege[Datum Einnahmen],"&gt;="&amp;AP$5,tblAuftraege[Datum Einnahmen],"&lt;"&amp;EDATE(AP$5,1),tblAuftraege[Auftrag],$A53))</f>
        <v>0</v>
      </c>
      <c r="AQ53" s="11" t="n">
        <f aca="false">IF($A53="",0,SUMIFS(tblAuftraege[Einnahmen],tblAuftraege[Datum Einnahmen],"&gt;="&amp;AQ$5,tblAuftraege[Datum Einnahmen],"&lt;"&amp;EDATE(AQ$5,1),tblAuftraege[Auftrag],$A53))</f>
        <v>0</v>
      </c>
      <c r="AR53" s="11" t="n">
        <f aca="false">IF($A53="",0,SUMIFS(tblAuftraege[Einnahmen],tblAuftraege[Datum Einnahmen],"&gt;="&amp;AR$5,tblAuftraege[Datum Einnahmen],"&lt;"&amp;EDATE(AR$5,1),tblAuftraege[Auftrag],$A53))</f>
        <v>0</v>
      </c>
      <c r="AS53" s="11" t="n">
        <f aca="false">IF($A53="",0,SUMIFS(tblAuftraege[Einnahmen],tblAuftraege[Datum Einnahmen],"&gt;="&amp;AS$5,tblAuftraege[Datum Einnahmen],"&lt;"&amp;EDATE(AS$5,1),tblAuftraege[Auftrag],$A53))</f>
        <v>0</v>
      </c>
      <c r="AT53" s="11" t="n">
        <f aca="false">IF($A53="",0,SUMIFS(tblAuftraege[Einnahmen],tblAuftraege[Datum Einnahmen],"&gt;="&amp;AT$5,tblAuftraege[Datum Einnahmen],"&lt;"&amp;EDATE(AT$5,1),tblAuftraege[Auftrag],$A53))</f>
        <v>0</v>
      </c>
      <c r="AU53" s="11" t="n">
        <f aca="false">IF($A53="",0,SUMIFS(tblAuftraege[Einnahmen],tblAuftraege[Datum Einnahmen],"&gt;="&amp;AU$5,tblAuftraege[Datum Einnahmen],"&lt;"&amp;EDATE(AU$5,1),tblAuftraege[Auftrag],$A53))</f>
        <v>0</v>
      </c>
      <c r="AV53" s="11" t="n">
        <f aca="false">IF($A53="",0,SUMIFS(tblAuftraege[Einnahmen],tblAuftraege[Datum Einnahmen],"&gt;="&amp;AV$5,tblAuftraege[Datum Einnahmen],"&lt;"&amp;EDATE(AV$5,1),tblAuftraege[Auftrag],$A53))</f>
        <v>0</v>
      </c>
      <c r="AW53" s="11" t="n">
        <f aca="false">IF($A53="",0,SUMIFS(tblAuftraege[Einnahmen],tblAuftraege[Datum Einnahmen],"&gt;="&amp;AW$5,tblAuftraege[Datum Einnahmen],"&lt;"&amp;EDATE(AW$5,1),tblAuftraege[Auftrag],$A53))</f>
        <v>0</v>
      </c>
      <c r="AX53" s="11" t="n">
        <f aca="false">IF($A53="",0,SUMIFS(tblAuftraege[Einnahmen],tblAuftraege[Datum Einnahmen],"&gt;="&amp;AX$5,tblAuftraege[Datum Einnahmen],"&lt;"&amp;EDATE(AX$5,1),tblAuftraege[Auftrag],$A53))</f>
        <v>0</v>
      </c>
      <c r="AY53" s="11" t="n">
        <f aca="false">IF($A53="",0,SUMIFS(tblAuftraege[Einnahmen],tblAuftraege[Datum Einnahmen],"&gt;="&amp;AY$5,tblAuftraege[Datum Einnahmen],"&lt;"&amp;EDATE(AY$5,1),tblAuftraege[Auftrag],$A53))</f>
        <v>0</v>
      </c>
      <c r="AZ53" s="11" t="n">
        <f aca="false">IF($A53="",0,SUMIFS(tblAuftraege[Einnahmen],tblAuftraege[Datum Einnahmen],"&gt;="&amp;AZ$5,tblAuftraege[Datum Einnahmen],"&lt;"&amp;EDATE(AZ$5,1),tblAuftraege[Auftrag],$A53))</f>
        <v>0</v>
      </c>
      <c r="BA53" s="11" t="n">
        <f aca="false">IF($A53="",0,SUMIFS(tblAuftraege[Einnahmen],tblAuftraege[Datum Einnahmen],"&gt;="&amp;BA$5,tblAuftraege[Datum Einnahmen],"&lt;"&amp;EDATE(BA$5,1),tblAuftraege[Auftrag],$A53))</f>
        <v>0</v>
      </c>
      <c r="BB53" s="11" t="n">
        <f aca="false">IF($A53="",0,SUMIFS(tblAuftraege[Einnahmen],tblAuftraege[Datum Einnahmen],"&gt;="&amp;BB$5,tblAuftraege[Datum Einnahmen],"&lt;"&amp;EDATE(BB$5,1),tblAuftraege[Auftrag],$A53))</f>
        <v>0</v>
      </c>
      <c r="BC53" s="11" t="n">
        <f aca="false">IF($A53="",0,SUMIFS(tblAuftraege[Einnahmen],tblAuftraege[Datum Einnahmen],"&gt;="&amp;BC$5,tblAuftraege[Datum Einnahmen],"&lt;"&amp;EDATE(BC$5,1),tblAuftraege[Auftrag],$A53))</f>
        <v>0</v>
      </c>
      <c r="BD53" s="11" t="n">
        <f aca="false">IF($A53="",0,SUMIFS(tblAuftraege[Einnahmen],tblAuftraege[Datum Einnahmen],"&gt;="&amp;BD$5,tblAuftraege[Datum Einnahmen],"&lt;"&amp;EDATE(BD$5,1),tblAuftraege[Auftrag],$A53))</f>
        <v>0</v>
      </c>
      <c r="BE53" s="11" t="n">
        <f aca="false">IF($A53="",0,SUMIFS(tblAuftraege[Einnahmen],tblAuftraege[Datum Einnahmen],"&gt;="&amp;BE$5,tblAuftraege[Datum Einnahmen],"&lt;"&amp;EDATE(BE$5,1),tblAuftraege[Auftrag],$A53))</f>
        <v>0</v>
      </c>
      <c r="BF53" s="11" t="n">
        <f aca="false">IF($A53="",0,SUMIFS(tblAuftraege[Einnahmen],tblAuftraege[Datum Einnahmen],"&gt;="&amp;BF$5,tblAuftraege[Datum Einnahmen],"&lt;"&amp;EDATE(BF$5,1),tblAuftraege[Auftrag],$A53))</f>
        <v>0</v>
      </c>
      <c r="BG53" s="11" t="n">
        <f aca="false">SUM(E53:J53)</f>
        <v>0</v>
      </c>
      <c r="BH53" s="11" t="n">
        <f aca="false">SUM(K53:V53)</f>
        <v>0</v>
      </c>
      <c r="BI53" s="11" t="n">
        <f aca="false">SUM(W53:AH53)</f>
        <v>0</v>
      </c>
      <c r="BJ53" s="11" t="n">
        <f aca="false">SUM(AI53:AT53)</f>
        <v>0</v>
      </c>
      <c r="BK53" s="11" t="n">
        <f aca="false">SUM(AU53:BF53)</f>
        <v>0</v>
      </c>
      <c r="BL53" s="12" t="n">
        <f aca="false">SUM(E53:BF53)</f>
        <v>0</v>
      </c>
    </row>
    <row r="54" customFormat="false" ht="15" hidden="false" customHeight="false" outlineLevel="0" collapsed="false">
      <c r="A54" s="9"/>
      <c r="B54" s="10" t="str">
        <f aca="false">IF($A54="","",IFERROR(INDEX(tblAuftraege[Kostenstelle],MATCH($A54,tblAuftraege[Auftrag],0)),""))</f>
        <v/>
      </c>
      <c r="C54" s="10" t="str">
        <f aca="false">IF($A54="","",IFERROR(INDEX(tblAuftraege[Themenfeld],MATCH($A54,tblAuftraege[Auftrag],0)),""))</f>
        <v/>
      </c>
      <c r="D54" s="10" t="str">
        <f aca="false">IF($A54="","",IFERROR(INDEX(tblAuftraege[Kategorie],MATCH($A54,tblAuftraege[Auftrag],0)),""))</f>
        <v/>
      </c>
      <c r="E54" s="11" t="n">
        <f aca="false">IF($A54="",0,SUMIFS(tblAuftraege[Einnahmen],tblAuftraege[Datum Einnahmen],"&gt;="&amp;E$5,tblAuftraege[Datum Einnahmen],"&lt;"&amp;EDATE(E$5,1),tblAuftraege[Auftrag],$A54))</f>
        <v>0</v>
      </c>
      <c r="F54" s="11" t="n">
        <f aca="false">IF($A54="",0,SUMIFS(tblAuftraege[Einnahmen],tblAuftraege[Datum Einnahmen],"&gt;="&amp;F$5,tblAuftraege[Datum Einnahmen],"&lt;"&amp;EDATE(F$5,1),tblAuftraege[Auftrag],$A54))</f>
        <v>0</v>
      </c>
      <c r="G54" s="11" t="n">
        <f aca="false">IF($A54="",0,SUMIFS(tblAuftraege[Einnahmen],tblAuftraege[Datum Einnahmen],"&gt;="&amp;G$5,tblAuftraege[Datum Einnahmen],"&lt;"&amp;EDATE(G$5,1),tblAuftraege[Auftrag],$A54))</f>
        <v>0</v>
      </c>
      <c r="H54" s="11" t="n">
        <f aca="false">IF($A54="",0,SUMIFS(tblAuftraege[Einnahmen],tblAuftraege[Datum Einnahmen],"&gt;="&amp;H$5,tblAuftraege[Datum Einnahmen],"&lt;"&amp;EDATE(H$5,1),tblAuftraege[Auftrag],$A54))</f>
        <v>0</v>
      </c>
      <c r="I54" s="11" t="n">
        <f aca="false">IF($A54="",0,SUMIFS(tblAuftraege[Einnahmen],tblAuftraege[Datum Einnahmen],"&gt;="&amp;I$5,tblAuftraege[Datum Einnahmen],"&lt;"&amp;EDATE(I$5,1),tblAuftraege[Auftrag],$A54))</f>
        <v>0</v>
      </c>
      <c r="J54" s="11" t="n">
        <f aca="false">IF($A54="",0,SUMIFS(tblAuftraege[Einnahmen],tblAuftraege[Datum Einnahmen],"&gt;="&amp;J$5,tblAuftraege[Datum Einnahmen],"&lt;"&amp;EDATE(J$5,1),tblAuftraege[Auftrag],$A54))</f>
        <v>0</v>
      </c>
      <c r="K54" s="11" t="n">
        <f aca="false">IF($A54="",0,SUMIFS(tblAuftraege[Einnahmen],tblAuftraege[Datum Einnahmen],"&gt;="&amp;K$5,tblAuftraege[Datum Einnahmen],"&lt;"&amp;EDATE(K$5,1),tblAuftraege[Auftrag],$A54))</f>
        <v>0</v>
      </c>
      <c r="L54" s="11" t="n">
        <f aca="false">IF($A54="",0,SUMIFS(tblAuftraege[Einnahmen],tblAuftraege[Datum Einnahmen],"&gt;="&amp;L$5,tblAuftraege[Datum Einnahmen],"&lt;"&amp;EDATE(L$5,1),tblAuftraege[Auftrag],$A54))</f>
        <v>0</v>
      </c>
      <c r="M54" s="11" t="n">
        <f aca="false">IF($A54="",0,SUMIFS(tblAuftraege[Einnahmen],tblAuftraege[Datum Einnahmen],"&gt;="&amp;M$5,tblAuftraege[Datum Einnahmen],"&lt;"&amp;EDATE(M$5,1),tblAuftraege[Auftrag],$A54))</f>
        <v>0</v>
      </c>
      <c r="N54" s="11" t="n">
        <f aca="false">IF($A54="",0,SUMIFS(tblAuftraege[Einnahmen],tblAuftraege[Datum Einnahmen],"&gt;="&amp;N$5,tblAuftraege[Datum Einnahmen],"&lt;"&amp;EDATE(N$5,1),tblAuftraege[Auftrag],$A54))</f>
        <v>0</v>
      </c>
      <c r="O54" s="11" t="n">
        <f aca="false">IF($A54="",0,SUMIFS(tblAuftraege[Einnahmen],tblAuftraege[Datum Einnahmen],"&gt;="&amp;O$5,tblAuftraege[Datum Einnahmen],"&lt;"&amp;EDATE(O$5,1),tblAuftraege[Auftrag],$A54))</f>
        <v>0</v>
      </c>
      <c r="P54" s="11" t="n">
        <f aca="false">IF($A54="",0,SUMIFS(tblAuftraege[Einnahmen],tblAuftraege[Datum Einnahmen],"&gt;="&amp;P$5,tblAuftraege[Datum Einnahmen],"&lt;"&amp;EDATE(P$5,1),tblAuftraege[Auftrag],$A54))</f>
        <v>0</v>
      </c>
      <c r="Q54" s="11" t="n">
        <f aca="false">IF($A54="",0,SUMIFS(tblAuftraege[Einnahmen],tblAuftraege[Datum Einnahmen],"&gt;="&amp;Q$5,tblAuftraege[Datum Einnahmen],"&lt;"&amp;EDATE(Q$5,1),tblAuftraege[Auftrag],$A54))</f>
        <v>0</v>
      </c>
      <c r="R54" s="11" t="n">
        <f aca="false">IF($A54="",0,SUMIFS(tblAuftraege[Einnahmen],tblAuftraege[Datum Einnahmen],"&gt;="&amp;R$5,tblAuftraege[Datum Einnahmen],"&lt;"&amp;EDATE(R$5,1),tblAuftraege[Auftrag],$A54))</f>
        <v>0</v>
      </c>
      <c r="S54" s="11" t="n">
        <f aca="false">IF($A54="",0,SUMIFS(tblAuftraege[Einnahmen],tblAuftraege[Datum Einnahmen],"&gt;="&amp;S$5,tblAuftraege[Datum Einnahmen],"&lt;"&amp;EDATE(S$5,1),tblAuftraege[Auftrag],$A54))</f>
        <v>0</v>
      </c>
      <c r="T54" s="11" t="n">
        <f aca="false">IF($A54="",0,SUMIFS(tblAuftraege[Einnahmen],tblAuftraege[Datum Einnahmen],"&gt;="&amp;T$5,tblAuftraege[Datum Einnahmen],"&lt;"&amp;EDATE(T$5,1),tblAuftraege[Auftrag],$A54))</f>
        <v>0</v>
      </c>
      <c r="U54" s="11" t="n">
        <f aca="false">IF($A54="",0,SUMIFS(tblAuftraege[Einnahmen],tblAuftraege[Datum Einnahmen],"&gt;="&amp;U$5,tblAuftraege[Datum Einnahmen],"&lt;"&amp;EDATE(U$5,1),tblAuftraege[Auftrag],$A54))</f>
        <v>0</v>
      </c>
      <c r="V54" s="11" t="n">
        <f aca="false">IF($A54="",0,SUMIFS(tblAuftraege[Einnahmen],tblAuftraege[Datum Einnahmen],"&gt;="&amp;V$5,tblAuftraege[Datum Einnahmen],"&lt;"&amp;EDATE(V$5,1),tblAuftraege[Auftrag],$A54))</f>
        <v>0</v>
      </c>
      <c r="W54" s="11" t="n">
        <f aca="false">IF($A54="",0,SUMIFS(tblAuftraege[Einnahmen],tblAuftraege[Datum Einnahmen],"&gt;="&amp;W$5,tblAuftraege[Datum Einnahmen],"&lt;"&amp;EDATE(W$5,1),tblAuftraege[Auftrag],$A54))</f>
        <v>0</v>
      </c>
      <c r="X54" s="11" t="n">
        <f aca="false">IF($A54="",0,SUMIFS(tblAuftraege[Einnahmen],tblAuftraege[Datum Einnahmen],"&gt;="&amp;X$5,tblAuftraege[Datum Einnahmen],"&lt;"&amp;EDATE(X$5,1),tblAuftraege[Auftrag],$A54))</f>
        <v>0</v>
      </c>
      <c r="Y54" s="11" t="n">
        <f aca="false">IF($A54="",0,SUMIFS(tblAuftraege[Einnahmen],tblAuftraege[Datum Einnahmen],"&gt;="&amp;Y$5,tblAuftraege[Datum Einnahmen],"&lt;"&amp;EDATE(Y$5,1),tblAuftraege[Auftrag],$A54))</f>
        <v>0</v>
      </c>
      <c r="Z54" s="11" t="n">
        <f aca="false">IF($A54="",0,SUMIFS(tblAuftraege[Einnahmen],tblAuftraege[Datum Einnahmen],"&gt;="&amp;Z$5,tblAuftraege[Datum Einnahmen],"&lt;"&amp;EDATE(Z$5,1),tblAuftraege[Auftrag],$A54))</f>
        <v>0</v>
      </c>
      <c r="AA54" s="11" t="n">
        <f aca="false">IF($A54="",0,SUMIFS(tblAuftraege[Einnahmen],tblAuftraege[Datum Einnahmen],"&gt;="&amp;AA$5,tblAuftraege[Datum Einnahmen],"&lt;"&amp;EDATE(AA$5,1),tblAuftraege[Auftrag],$A54))</f>
        <v>0</v>
      </c>
      <c r="AB54" s="11" t="n">
        <f aca="false">IF($A54="",0,SUMIFS(tblAuftraege[Einnahmen],tblAuftraege[Datum Einnahmen],"&gt;="&amp;AB$5,tblAuftraege[Datum Einnahmen],"&lt;"&amp;EDATE(AB$5,1),tblAuftraege[Auftrag],$A54))</f>
        <v>0</v>
      </c>
      <c r="AC54" s="11" t="n">
        <f aca="false">IF($A54="",0,SUMIFS(tblAuftraege[Einnahmen],tblAuftraege[Datum Einnahmen],"&gt;="&amp;AC$5,tblAuftraege[Datum Einnahmen],"&lt;"&amp;EDATE(AC$5,1),tblAuftraege[Auftrag],$A54))</f>
        <v>0</v>
      </c>
      <c r="AD54" s="11" t="n">
        <f aca="false">IF($A54="",0,SUMIFS(tblAuftraege[Einnahmen],tblAuftraege[Datum Einnahmen],"&gt;="&amp;AD$5,tblAuftraege[Datum Einnahmen],"&lt;"&amp;EDATE(AD$5,1),tblAuftraege[Auftrag],$A54))</f>
        <v>0</v>
      </c>
      <c r="AE54" s="11" t="n">
        <f aca="false">IF($A54="",0,SUMIFS(tblAuftraege[Einnahmen],tblAuftraege[Datum Einnahmen],"&gt;="&amp;AE$5,tblAuftraege[Datum Einnahmen],"&lt;"&amp;EDATE(AE$5,1),tblAuftraege[Auftrag],$A54))</f>
        <v>0</v>
      </c>
      <c r="AF54" s="11" t="n">
        <f aca="false">IF($A54="",0,SUMIFS(tblAuftraege[Einnahmen],tblAuftraege[Datum Einnahmen],"&gt;="&amp;AF$5,tblAuftraege[Datum Einnahmen],"&lt;"&amp;EDATE(AF$5,1),tblAuftraege[Auftrag],$A54))</f>
        <v>0</v>
      </c>
      <c r="AG54" s="11" t="n">
        <f aca="false">IF($A54="",0,SUMIFS(tblAuftraege[Einnahmen],tblAuftraege[Datum Einnahmen],"&gt;="&amp;AG$5,tblAuftraege[Datum Einnahmen],"&lt;"&amp;EDATE(AG$5,1),tblAuftraege[Auftrag],$A54))</f>
        <v>0</v>
      </c>
      <c r="AH54" s="11" t="n">
        <f aca="false">IF($A54="",0,SUMIFS(tblAuftraege[Einnahmen],tblAuftraege[Datum Einnahmen],"&gt;="&amp;AH$5,tblAuftraege[Datum Einnahmen],"&lt;"&amp;EDATE(AH$5,1),tblAuftraege[Auftrag],$A54))</f>
        <v>0</v>
      </c>
      <c r="AI54" s="11" t="n">
        <f aca="false">IF($A54="",0,SUMIFS(tblAuftraege[Einnahmen],tblAuftraege[Datum Einnahmen],"&gt;="&amp;AI$5,tblAuftraege[Datum Einnahmen],"&lt;"&amp;EDATE(AI$5,1),tblAuftraege[Auftrag],$A54))</f>
        <v>0</v>
      </c>
      <c r="AJ54" s="11" t="n">
        <f aca="false">IF($A54="",0,SUMIFS(tblAuftraege[Einnahmen],tblAuftraege[Datum Einnahmen],"&gt;="&amp;AJ$5,tblAuftraege[Datum Einnahmen],"&lt;"&amp;EDATE(AJ$5,1),tblAuftraege[Auftrag],$A54))</f>
        <v>0</v>
      </c>
      <c r="AK54" s="11" t="n">
        <f aca="false">IF($A54="",0,SUMIFS(tblAuftraege[Einnahmen],tblAuftraege[Datum Einnahmen],"&gt;="&amp;AK$5,tblAuftraege[Datum Einnahmen],"&lt;"&amp;EDATE(AK$5,1),tblAuftraege[Auftrag],$A54))</f>
        <v>0</v>
      </c>
      <c r="AL54" s="11" t="n">
        <f aca="false">IF($A54="",0,SUMIFS(tblAuftraege[Einnahmen],tblAuftraege[Datum Einnahmen],"&gt;="&amp;AL$5,tblAuftraege[Datum Einnahmen],"&lt;"&amp;EDATE(AL$5,1),tblAuftraege[Auftrag],$A54))</f>
        <v>0</v>
      </c>
      <c r="AM54" s="11" t="n">
        <f aca="false">IF($A54="",0,SUMIFS(tblAuftraege[Einnahmen],tblAuftraege[Datum Einnahmen],"&gt;="&amp;AM$5,tblAuftraege[Datum Einnahmen],"&lt;"&amp;EDATE(AM$5,1),tblAuftraege[Auftrag],$A54))</f>
        <v>0</v>
      </c>
      <c r="AN54" s="11" t="n">
        <f aca="false">IF($A54="",0,SUMIFS(tblAuftraege[Einnahmen],tblAuftraege[Datum Einnahmen],"&gt;="&amp;AN$5,tblAuftraege[Datum Einnahmen],"&lt;"&amp;EDATE(AN$5,1),tblAuftraege[Auftrag],$A54))</f>
        <v>0</v>
      </c>
      <c r="AO54" s="11" t="n">
        <f aca="false">IF($A54="",0,SUMIFS(tblAuftraege[Einnahmen],tblAuftraege[Datum Einnahmen],"&gt;="&amp;AO$5,tblAuftraege[Datum Einnahmen],"&lt;"&amp;EDATE(AO$5,1),tblAuftraege[Auftrag],$A54))</f>
        <v>0</v>
      </c>
      <c r="AP54" s="11" t="n">
        <f aca="false">IF($A54="",0,SUMIFS(tblAuftraege[Einnahmen],tblAuftraege[Datum Einnahmen],"&gt;="&amp;AP$5,tblAuftraege[Datum Einnahmen],"&lt;"&amp;EDATE(AP$5,1),tblAuftraege[Auftrag],$A54))</f>
        <v>0</v>
      </c>
      <c r="AQ54" s="11" t="n">
        <f aca="false">IF($A54="",0,SUMIFS(tblAuftraege[Einnahmen],tblAuftraege[Datum Einnahmen],"&gt;="&amp;AQ$5,tblAuftraege[Datum Einnahmen],"&lt;"&amp;EDATE(AQ$5,1),tblAuftraege[Auftrag],$A54))</f>
        <v>0</v>
      </c>
      <c r="AR54" s="11" t="n">
        <f aca="false">IF($A54="",0,SUMIFS(tblAuftraege[Einnahmen],tblAuftraege[Datum Einnahmen],"&gt;="&amp;AR$5,tblAuftraege[Datum Einnahmen],"&lt;"&amp;EDATE(AR$5,1),tblAuftraege[Auftrag],$A54))</f>
        <v>0</v>
      </c>
      <c r="AS54" s="11" t="n">
        <f aca="false">IF($A54="",0,SUMIFS(tblAuftraege[Einnahmen],tblAuftraege[Datum Einnahmen],"&gt;="&amp;AS$5,tblAuftraege[Datum Einnahmen],"&lt;"&amp;EDATE(AS$5,1),tblAuftraege[Auftrag],$A54))</f>
        <v>0</v>
      </c>
      <c r="AT54" s="11" t="n">
        <f aca="false">IF($A54="",0,SUMIFS(tblAuftraege[Einnahmen],tblAuftraege[Datum Einnahmen],"&gt;="&amp;AT$5,tblAuftraege[Datum Einnahmen],"&lt;"&amp;EDATE(AT$5,1),tblAuftraege[Auftrag],$A54))</f>
        <v>0</v>
      </c>
      <c r="AU54" s="11" t="n">
        <f aca="false">IF($A54="",0,SUMIFS(tblAuftraege[Einnahmen],tblAuftraege[Datum Einnahmen],"&gt;="&amp;AU$5,tblAuftraege[Datum Einnahmen],"&lt;"&amp;EDATE(AU$5,1),tblAuftraege[Auftrag],$A54))</f>
        <v>0</v>
      </c>
      <c r="AV54" s="11" t="n">
        <f aca="false">IF($A54="",0,SUMIFS(tblAuftraege[Einnahmen],tblAuftraege[Datum Einnahmen],"&gt;="&amp;AV$5,tblAuftraege[Datum Einnahmen],"&lt;"&amp;EDATE(AV$5,1),tblAuftraege[Auftrag],$A54))</f>
        <v>0</v>
      </c>
      <c r="AW54" s="11" t="n">
        <f aca="false">IF($A54="",0,SUMIFS(tblAuftraege[Einnahmen],tblAuftraege[Datum Einnahmen],"&gt;="&amp;AW$5,tblAuftraege[Datum Einnahmen],"&lt;"&amp;EDATE(AW$5,1),tblAuftraege[Auftrag],$A54))</f>
        <v>0</v>
      </c>
      <c r="AX54" s="11" t="n">
        <f aca="false">IF($A54="",0,SUMIFS(tblAuftraege[Einnahmen],tblAuftraege[Datum Einnahmen],"&gt;="&amp;AX$5,tblAuftraege[Datum Einnahmen],"&lt;"&amp;EDATE(AX$5,1),tblAuftraege[Auftrag],$A54))</f>
        <v>0</v>
      </c>
      <c r="AY54" s="11" t="n">
        <f aca="false">IF($A54="",0,SUMIFS(tblAuftraege[Einnahmen],tblAuftraege[Datum Einnahmen],"&gt;="&amp;AY$5,tblAuftraege[Datum Einnahmen],"&lt;"&amp;EDATE(AY$5,1),tblAuftraege[Auftrag],$A54))</f>
        <v>0</v>
      </c>
      <c r="AZ54" s="11" t="n">
        <f aca="false">IF($A54="",0,SUMIFS(tblAuftraege[Einnahmen],tblAuftraege[Datum Einnahmen],"&gt;="&amp;AZ$5,tblAuftraege[Datum Einnahmen],"&lt;"&amp;EDATE(AZ$5,1),tblAuftraege[Auftrag],$A54))</f>
        <v>0</v>
      </c>
      <c r="BA54" s="11" t="n">
        <f aca="false">IF($A54="",0,SUMIFS(tblAuftraege[Einnahmen],tblAuftraege[Datum Einnahmen],"&gt;="&amp;BA$5,tblAuftraege[Datum Einnahmen],"&lt;"&amp;EDATE(BA$5,1),tblAuftraege[Auftrag],$A54))</f>
        <v>0</v>
      </c>
      <c r="BB54" s="11" t="n">
        <f aca="false">IF($A54="",0,SUMIFS(tblAuftraege[Einnahmen],tblAuftraege[Datum Einnahmen],"&gt;="&amp;BB$5,tblAuftraege[Datum Einnahmen],"&lt;"&amp;EDATE(BB$5,1),tblAuftraege[Auftrag],$A54))</f>
        <v>0</v>
      </c>
      <c r="BC54" s="11" t="n">
        <f aca="false">IF($A54="",0,SUMIFS(tblAuftraege[Einnahmen],tblAuftraege[Datum Einnahmen],"&gt;="&amp;BC$5,tblAuftraege[Datum Einnahmen],"&lt;"&amp;EDATE(BC$5,1),tblAuftraege[Auftrag],$A54))</f>
        <v>0</v>
      </c>
      <c r="BD54" s="11" t="n">
        <f aca="false">IF($A54="",0,SUMIFS(tblAuftraege[Einnahmen],tblAuftraege[Datum Einnahmen],"&gt;="&amp;BD$5,tblAuftraege[Datum Einnahmen],"&lt;"&amp;EDATE(BD$5,1),tblAuftraege[Auftrag],$A54))</f>
        <v>0</v>
      </c>
      <c r="BE54" s="11" t="n">
        <f aca="false">IF($A54="",0,SUMIFS(tblAuftraege[Einnahmen],tblAuftraege[Datum Einnahmen],"&gt;="&amp;BE$5,tblAuftraege[Datum Einnahmen],"&lt;"&amp;EDATE(BE$5,1),tblAuftraege[Auftrag],$A54))</f>
        <v>0</v>
      </c>
      <c r="BF54" s="11" t="n">
        <f aca="false">IF($A54="",0,SUMIFS(tblAuftraege[Einnahmen],tblAuftraege[Datum Einnahmen],"&gt;="&amp;BF$5,tblAuftraege[Datum Einnahmen],"&lt;"&amp;EDATE(BF$5,1),tblAuftraege[Auftrag],$A54))</f>
        <v>0</v>
      </c>
      <c r="BG54" s="11" t="n">
        <f aca="false">SUM(E54:J54)</f>
        <v>0</v>
      </c>
      <c r="BH54" s="11" t="n">
        <f aca="false">SUM(K54:V54)</f>
        <v>0</v>
      </c>
      <c r="BI54" s="11" t="n">
        <f aca="false">SUM(W54:AH54)</f>
        <v>0</v>
      </c>
      <c r="BJ54" s="11" t="n">
        <f aca="false">SUM(AI54:AT54)</f>
        <v>0</v>
      </c>
      <c r="BK54" s="11" t="n">
        <f aca="false">SUM(AU54:BF54)</f>
        <v>0</v>
      </c>
      <c r="BL54" s="12" t="n">
        <f aca="false">SUM(E54:BF54)</f>
        <v>0</v>
      </c>
    </row>
    <row r="55" customFormat="false" ht="15" hidden="false" customHeight="false" outlineLevel="0" collapsed="false">
      <c r="A55" s="9"/>
      <c r="B55" s="10" t="str">
        <f aca="false">IF($A55="","",IFERROR(INDEX(tblAuftraege[Kostenstelle],MATCH($A55,tblAuftraege[Auftrag],0)),""))</f>
        <v/>
      </c>
      <c r="C55" s="10" t="str">
        <f aca="false">IF($A55="","",IFERROR(INDEX(tblAuftraege[Themenfeld],MATCH($A55,tblAuftraege[Auftrag],0)),""))</f>
        <v/>
      </c>
      <c r="D55" s="10" t="str">
        <f aca="false">IF($A55="","",IFERROR(INDEX(tblAuftraege[Kategorie],MATCH($A55,tblAuftraege[Auftrag],0)),""))</f>
        <v/>
      </c>
      <c r="E55" s="11" t="n">
        <f aca="false">IF($A55="",0,SUMIFS(tblAuftraege[Einnahmen],tblAuftraege[Datum Einnahmen],"&gt;="&amp;E$5,tblAuftraege[Datum Einnahmen],"&lt;"&amp;EDATE(E$5,1),tblAuftraege[Auftrag],$A55))</f>
        <v>0</v>
      </c>
      <c r="F55" s="11" t="n">
        <f aca="false">IF($A55="",0,SUMIFS(tblAuftraege[Einnahmen],tblAuftraege[Datum Einnahmen],"&gt;="&amp;F$5,tblAuftraege[Datum Einnahmen],"&lt;"&amp;EDATE(F$5,1),tblAuftraege[Auftrag],$A55))</f>
        <v>0</v>
      </c>
      <c r="G55" s="11" t="n">
        <f aca="false">IF($A55="",0,SUMIFS(tblAuftraege[Einnahmen],tblAuftraege[Datum Einnahmen],"&gt;="&amp;G$5,tblAuftraege[Datum Einnahmen],"&lt;"&amp;EDATE(G$5,1),tblAuftraege[Auftrag],$A55))</f>
        <v>0</v>
      </c>
      <c r="H55" s="11" t="n">
        <f aca="false">IF($A55="",0,SUMIFS(tblAuftraege[Einnahmen],tblAuftraege[Datum Einnahmen],"&gt;="&amp;H$5,tblAuftraege[Datum Einnahmen],"&lt;"&amp;EDATE(H$5,1),tblAuftraege[Auftrag],$A55))</f>
        <v>0</v>
      </c>
      <c r="I55" s="11" t="n">
        <f aca="false">IF($A55="",0,SUMIFS(tblAuftraege[Einnahmen],tblAuftraege[Datum Einnahmen],"&gt;="&amp;I$5,tblAuftraege[Datum Einnahmen],"&lt;"&amp;EDATE(I$5,1),tblAuftraege[Auftrag],$A55))</f>
        <v>0</v>
      </c>
      <c r="J55" s="11" t="n">
        <f aca="false">IF($A55="",0,SUMIFS(tblAuftraege[Einnahmen],tblAuftraege[Datum Einnahmen],"&gt;="&amp;J$5,tblAuftraege[Datum Einnahmen],"&lt;"&amp;EDATE(J$5,1),tblAuftraege[Auftrag],$A55))</f>
        <v>0</v>
      </c>
      <c r="K55" s="11" t="n">
        <f aca="false">IF($A55="",0,SUMIFS(tblAuftraege[Einnahmen],tblAuftraege[Datum Einnahmen],"&gt;="&amp;K$5,tblAuftraege[Datum Einnahmen],"&lt;"&amp;EDATE(K$5,1),tblAuftraege[Auftrag],$A55))</f>
        <v>0</v>
      </c>
      <c r="L55" s="11" t="n">
        <f aca="false">IF($A55="",0,SUMIFS(tblAuftraege[Einnahmen],tblAuftraege[Datum Einnahmen],"&gt;="&amp;L$5,tblAuftraege[Datum Einnahmen],"&lt;"&amp;EDATE(L$5,1),tblAuftraege[Auftrag],$A55))</f>
        <v>0</v>
      </c>
      <c r="M55" s="11" t="n">
        <f aca="false">IF($A55="",0,SUMIFS(tblAuftraege[Einnahmen],tblAuftraege[Datum Einnahmen],"&gt;="&amp;M$5,tblAuftraege[Datum Einnahmen],"&lt;"&amp;EDATE(M$5,1),tblAuftraege[Auftrag],$A55))</f>
        <v>0</v>
      </c>
      <c r="N55" s="11" t="n">
        <f aca="false">IF($A55="",0,SUMIFS(tblAuftraege[Einnahmen],tblAuftraege[Datum Einnahmen],"&gt;="&amp;N$5,tblAuftraege[Datum Einnahmen],"&lt;"&amp;EDATE(N$5,1),tblAuftraege[Auftrag],$A55))</f>
        <v>0</v>
      </c>
      <c r="O55" s="11" t="n">
        <f aca="false">IF($A55="",0,SUMIFS(tblAuftraege[Einnahmen],tblAuftraege[Datum Einnahmen],"&gt;="&amp;O$5,tblAuftraege[Datum Einnahmen],"&lt;"&amp;EDATE(O$5,1),tblAuftraege[Auftrag],$A55))</f>
        <v>0</v>
      </c>
      <c r="P55" s="11" t="n">
        <f aca="false">IF($A55="",0,SUMIFS(tblAuftraege[Einnahmen],tblAuftraege[Datum Einnahmen],"&gt;="&amp;P$5,tblAuftraege[Datum Einnahmen],"&lt;"&amp;EDATE(P$5,1),tblAuftraege[Auftrag],$A55))</f>
        <v>0</v>
      </c>
      <c r="Q55" s="11" t="n">
        <f aca="false">IF($A55="",0,SUMIFS(tblAuftraege[Einnahmen],tblAuftraege[Datum Einnahmen],"&gt;="&amp;Q$5,tblAuftraege[Datum Einnahmen],"&lt;"&amp;EDATE(Q$5,1),tblAuftraege[Auftrag],$A55))</f>
        <v>0</v>
      </c>
      <c r="R55" s="11" t="n">
        <f aca="false">IF($A55="",0,SUMIFS(tblAuftraege[Einnahmen],tblAuftraege[Datum Einnahmen],"&gt;="&amp;R$5,tblAuftraege[Datum Einnahmen],"&lt;"&amp;EDATE(R$5,1),tblAuftraege[Auftrag],$A55))</f>
        <v>0</v>
      </c>
      <c r="S55" s="11" t="n">
        <f aca="false">IF($A55="",0,SUMIFS(tblAuftraege[Einnahmen],tblAuftraege[Datum Einnahmen],"&gt;="&amp;S$5,tblAuftraege[Datum Einnahmen],"&lt;"&amp;EDATE(S$5,1),tblAuftraege[Auftrag],$A55))</f>
        <v>0</v>
      </c>
      <c r="T55" s="11" t="n">
        <f aca="false">IF($A55="",0,SUMIFS(tblAuftraege[Einnahmen],tblAuftraege[Datum Einnahmen],"&gt;="&amp;T$5,tblAuftraege[Datum Einnahmen],"&lt;"&amp;EDATE(T$5,1),tblAuftraege[Auftrag],$A55))</f>
        <v>0</v>
      </c>
      <c r="U55" s="11" t="n">
        <f aca="false">IF($A55="",0,SUMIFS(tblAuftraege[Einnahmen],tblAuftraege[Datum Einnahmen],"&gt;="&amp;U$5,tblAuftraege[Datum Einnahmen],"&lt;"&amp;EDATE(U$5,1),tblAuftraege[Auftrag],$A55))</f>
        <v>0</v>
      </c>
      <c r="V55" s="11" t="n">
        <f aca="false">IF($A55="",0,SUMIFS(tblAuftraege[Einnahmen],tblAuftraege[Datum Einnahmen],"&gt;="&amp;V$5,tblAuftraege[Datum Einnahmen],"&lt;"&amp;EDATE(V$5,1),tblAuftraege[Auftrag],$A55))</f>
        <v>0</v>
      </c>
      <c r="W55" s="11" t="n">
        <f aca="false">IF($A55="",0,SUMIFS(tblAuftraege[Einnahmen],tblAuftraege[Datum Einnahmen],"&gt;="&amp;W$5,tblAuftraege[Datum Einnahmen],"&lt;"&amp;EDATE(W$5,1),tblAuftraege[Auftrag],$A55))</f>
        <v>0</v>
      </c>
      <c r="X55" s="11" t="n">
        <f aca="false">IF($A55="",0,SUMIFS(tblAuftraege[Einnahmen],tblAuftraege[Datum Einnahmen],"&gt;="&amp;X$5,tblAuftraege[Datum Einnahmen],"&lt;"&amp;EDATE(X$5,1),tblAuftraege[Auftrag],$A55))</f>
        <v>0</v>
      </c>
      <c r="Y55" s="11" t="n">
        <f aca="false">IF($A55="",0,SUMIFS(tblAuftraege[Einnahmen],tblAuftraege[Datum Einnahmen],"&gt;="&amp;Y$5,tblAuftraege[Datum Einnahmen],"&lt;"&amp;EDATE(Y$5,1),tblAuftraege[Auftrag],$A55))</f>
        <v>0</v>
      </c>
      <c r="Z55" s="11" t="n">
        <f aca="false">IF($A55="",0,SUMIFS(tblAuftraege[Einnahmen],tblAuftraege[Datum Einnahmen],"&gt;="&amp;Z$5,tblAuftraege[Datum Einnahmen],"&lt;"&amp;EDATE(Z$5,1),tblAuftraege[Auftrag],$A55))</f>
        <v>0</v>
      </c>
      <c r="AA55" s="11" t="n">
        <f aca="false">IF($A55="",0,SUMIFS(tblAuftraege[Einnahmen],tblAuftraege[Datum Einnahmen],"&gt;="&amp;AA$5,tblAuftraege[Datum Einnahmen],"&lt;"&amp;EDATE(AA$5,1),tblAuftraege[Auftrag],$A55))</f>
        <v>0</v>
      </c>
      <c r="AB55" s="11" t="n">
        <f aca="false">IF($A55="",0,SUMIFS(tblAuftraege[Einnahmen],tblAuftraege[Datum Einnahmen],"&gt;="&amp;AB$5,tblAuftraege[Datum Einnahmen],"&lt;"&amp;EDATE(AB$5,1),tblAuftraege[Auftrag],$A55))</f>
        <v>0</v>
      </c>
      <c r="AC55" s="11" t="n">
        <f aca="false">IF($A55="",0,SUMIFS(tblAuftraege[Einnahmen],tblAuftraege[Datum Einnahmen],"&gt;="&amp;AC$5,tblAuftraege[Datum Einnahmen],"&lt;"&amp;EDATE(AC$5,1),tblAuftraege[Auftrag],$A55))</f>
        <v>0</v>
      </c>
      <c r="AD55" s="11" t="n">
        <f aca="false">IF($A55="",0,SUMIFS(tblAuftraege[Einnahmen],tblAuftraege[Datum Einnahmen],"&gt;="&amp;AD$5,tblAuftraege[Datum Einnahmen],"&lt;"&amp;EDATE(AD$5,1),tblAuftraege[Auftrag],$A55))</f>
        <v>0</v>
      </c>
      <c r="AE55" s="11" t="n">
        <f aca="false">IF($A55="",0,SUMIFS(tblAuftraege[Einnahmen],tblAuftraege[Datum Einnahmen],"&gt;="&amp;AE$5,tblAuftraege[Datum Einnahmen],"&lt;"&amp;EDATE(AE$5,1),tblAuftraege[Auftrag],$A55))</f>
        <v>0</v>
      </c>
      <c r="AF55" s="11" t="n">
        <f aca="false">IF($A55="",0,SUMIFS(tblAuftraege[Einnahmen],tblAuftraege[Datum Einnahmen],"&gt;="&amp;AF$5,tblAuftraege[Datum Einnahmen],"&lt;"&amp;EDATE(AF$5,1),tblAuftraege[Auftrag],$A55))</f>
        <v>0</v>
      </c>
      <c r="AG55" s="11" t="n">
        <f aca="false">IF($A55="",0,SUMIFS(tblAuftraege[Einnahmen],tblAuftraege[Datum Einnahmen],"&gt;="&amp;AG$5,tblAuftraege[Datum Einnahmen],"&lt;"&amp;EDATE(AG$5,1),tblAuftraege[Auftrag],$A55))</f>
        <v>0</v>
      </c>
      <c r="AH55" s="11" t="n">
        <f aca="false">IF($A55="",0,SUMIFS(tblAuftraege[Einnahmen],tblAuftraege[Datum Einnahmen],"&gt;="&amp;AH$5,tblAuftraege[Datum Einnahmen],"&lt;"&amp;EDATE(AH$5,1),tblAuftraege[Auftrag],$A55))</f>
        <v>0</v>
      </c>
      <c r="AI55" s="11" t="n">
        <f aca="false">IF($A55="",0,SUMIFS(tblAuftraege[Einnahmen],tblAuftraege[Datum Einnahmen],"&gt;="&amp;AI$5,tblAuftraege[Datum Einnahmen],"&lt;"&amp;EDATE(AI$5,1),tblAuftraege[Auftrag],$A55))</f>
        <v>0</v>
      </c>
      <c r="AJ55" s="11" t="n">
        <f aca="false">IF($A55="",0,SUMIFS(tblAuftraege[Einnahmen],tblAuftraege[Datum Einnahmen],"&gt;="&amp;AJ$5,tblAuftraege[Datum Einnahmen],"&lt;"&amp;EDATE(AJ$5,1),tblAuftraege[Auftrag],$A55))</f>
        <v>0</v>
      </c>
      <c r="AK55" s="11" t="n">
        <f aca="false">IF($A55="",0,SUMIFS(tblAuftraege[Einnahmen],tblAuftraege[Datum Einnahmen],"&gt;="&amp;AK$5,tblAuftraege[Datum Einnahmen],"&lt;"&amp;EDATE(AK$5,1),tblAuftraege[Auftrag],$A55))</f>
        <v>0</v>
      </c>
      <c r="AL55" s="11" t="n">
        <f aca="false">IF($A55="",0,SUMIFS(tblAuftraege[Einnahmen],tblAuftraege[Datum Einnahmen],"&gt;="&amp;AL$5,tblAuftraege[Datum Einnahmen],"&lt;"&amp;EDATE(AL$5,1),tblAuftraege[Auftrag],$A55))</f>
        <v>0</v>
      </c>
      <c r="AM55" s="11" t="n">
        <f aca="false">IF($A55="",0,SUMIFS(tblAuftraege[Einnahmen],tblAuftraege[Datum Einnahmen],"&gt;="&amp;AM$5,tblAuftraege[Datum Einnahmen],"&lt;"&amp;EDATE(AM$5,1),tblAuftraege[Auftrag],$A55))</f>
        <v>0</v>
      </c>
      <c r="AN55" s="11" t="n">
        <f aca="false">IF($A55="",0,SUMIFS(tblAuftraege[Einnahmen],tblAuftraege[Datum Einnahmen],"&gt;="&amp;AN$5,tblAuftraege[Datum Einnahmen],"&lt;"&amp;EDATE(AN$5,1),tblAuftraege[Auftrag],$A55))</f>
        <v>0</v>
      </c>
      <c r="AO55" s="11" t="n">
        <f aca="false">IF($A55="",0,SUMIFS(tblAuftraege[Einnahmen],tblAuftraege[Datum Einnahmen],"&gt;="&amp;AO$5,tblAuftraege[Datum Einnahmen],"&lt;"&amp;EDATE(AO$5,1),tblAuftraege[Auftrag],$A55))</f>
        <v>0</v>
      </c>
      <c r="AP55" s="11" t="n">
        <f aca="false">IF($A55="",0,SUMIFS(tblAuftraege[Einnahmen],tblAuftraege[Datum Einnahmen],"&gt;="&amp;AP$5,tblAuftraege[Datum Einnahmen],"&lt;"&amp;EDATE(AP$5,1),tblAuftraege[Auftrag],$A55))</f>
        <v>0</v>
      </c>
      <c r="AQ55" s="11" t="n">
        <f aca="false">IF($A55="",0,SUMIFS(tblAuftraege[Einnahmen],tblAuftraege[Datum Einnahmen],"&gt;="&amp;AQ$5,tblAuftraege[Datum Einnahmen],"&lt;"&amp;EDATE(AQ$5,1),tblAuftraege[Auftrag],$A55))</f>
        <v>0</v>
      </c>
      <c r="AR55" s="11" t="n">
        <f aca="false">IF($A55="",0,SUMIFS(tblAuftraege[Einnahmen],tblAuftraege[Datum Einnahmen],"&gt;="&amp;AR$5,tblAuftraege[Datum Einnahmen],"&lt;"&amp;EDATE(AR$5,1),tblAuftraege[Auftrag],$A55))</f>
        <v>0</v>
      </c>
      <c r="AS55" s="11" t="n">
        <f aca="false">IF($A55="",0,SUMIFS(tblAuftraege[Einnahmen],tblAuftraege[Datum Einnahmen],"&gt;="&amp;AS$5,tblAuftraege[Datum Einnahmen],"&lt;"&amp;EDATE(AS$5,1),tblAuftraege[Auftrag],$A55))</f>
        <v>0</v>
      </c>
      <c r="AT55" s="11" t="n">
        <f aca="false">IF($A55="",0,SUMIFS(tblAuftraege[Einnahmen],tblAuftraege[Datum Einnahmen],"&gt;="&amp;AT$5,tblAuftraege[Datum Einnahmen],"&lt;"&amp;EDATE(AT$5,1),tblAuftraege[Auftrag],$A55))</f>
        <v>0</v>
      </c>
      <c r="AU55" s="11" t="n">
        <f aca="false">IF($A55="",0,SUMIFS(tblAuftraege[Einnahmen],tblAuftraege[Datum Einnahmen],"&gt;="&amp;AU$5,tblAuftraege[Datum Einnahmen],"&lt;"&amp;EDATE(AU$5,1),tblAuftraege[Auftrag],$A55))</f>
        <v>0</v>
      </c>
      <c r="AV55" s="11" t="n">
        <f aca="false">IF($A55="",0,SUMIFS(tblAuftraege[Einnahmen],tblAuftraege[Datum Einnahmen],"&gt;="&amp;AV$5,tblAuftraege[Datum Einnahmen],"&lt;"&amp;EDATE(AV$5,1),tblAuftraege[Auftrag],$A55))</f>
        <v>0</v>
      </c>
      <c r="AW55" s="11" t="n">
        <f aca="false">IF($A55="",0,SUMIFS(tblAuftraege[Einnahmen],tblAuftraege[Datum Einnahmen],"&gt;="&amp;AW$5,tblAuftraege[Datum Einnahmen],"&lt;"&amp;EDATE(AW$5,1),tblAuftraege[Auftrag],$A55))</f>
        <v>0</v>
      </c>
      <c r="AX55" s="11" t="n">
        <f aca="false">IF($A55="",0,SUMIFS(tblAuftraege[Einnahmen],tblAuftraege[Datum Einnahmen],"&gt;="&amp;AX$5,tblAuftraege[Datum Einnahmen],"&lt;"&amp;EDATE(AX$5,1),tblAuftraege[Auftrag],$A55))</f>
        <v>0</v>
      </c>
      <c r="AY55" s="11" t="n">
        <f aca="false">IF($A55="",0,SUMIFS(tblAuftraege[Einnahmen],tblAuftraege[Datum Einnahmen],"&gt;="&amp;AY$5,tblAuftraege[Datum Einnahmen],"&lt;"&amp;EDATE(AY$5,1),tblAuftraege[Auftrag],$A55))</f>
        <v>0</v>
      </c>
      <c r="AZ55" s="11" t="n">
        <f aca="false">IF($A55="",0,SUMIFS(tblAuftraege[Einnahmen],tblAuftraege[Datum Einnahmen],"&gt;="&amp;AZ$5,tblAuftraege[Datum Einnahmen],"&lt;"&amp;EDATE(AZ$5,1),tblAuftraege[Auftrag],$A55))</f>
        <v>0</v>
      </c>
      <c r="BA55" s="11" t="n">
        <f aca="false">IF($A55="",0,SUMIFS(tblAuftraege[Einnahmen],tblAuftraege[Datum Einnahmen],"&gt;="&amp;BA$5,tblAuftraege[Datum Einnahmen],"&lt;"&amp;EDATE(BA$5,1),tblAuftraege[Auftrag],$A55))</f>
        <v>0</v>
      </c>
      <c r="BB55" s="11" t="n">
        <f aca="false">IF($A55="",0,SUMIFS(tblAuftraege[Einnahmen],tblAuftraege[Datum Einnahmen],"&gt;="&amp;BB$5,tblAuftraege[Datum Einnahmen],"&lt;"&amp;EDATE(BB$5,1),tblAuftraege[Auftrag],$A55))</f>
        <v>0</v>
      </c>
      <c r="BC55" s="11" t="n">
        <f aca="false">IF($A55="",0,SUMIFS(tblAuftraege[Einnahmen],tblAuftraege[Datum Einnahmen],"&gt;="&amp;BC$5,tblAuftraege[Datum Einnahmen],"&lt;"&amp;EDATE(BC$5,1),tblAuftraege[Auftrag],$A55))</f>
        <v>0</v>
      </c>
      <c r="BD55" s="11" t="n">
        <f aca="false">IF($A55="",0,SUMIFS(tblAuftraege[Einnahmen],tblAuftraege[Datum Einnahmen],"&gt;="&amp;BD$5,tblAuftraege[Datum Einnahmen],"&lt;"&amp;EDATE(BD$5,1),tblAuftraege[Auftrag],$A55))</f>
        <v>0</v>
      </c>
      <c r="BE55" s="11" t="n">
        <f aca="false">IF($A55="",0,SUMIFS(tblAuftraege[Einnahmen],tblAuftraege[Datum Einnahmen],"&gt;="&amp;BE$5,tblAuftraege[Datum Einnahmen],"&lt;"&amp;EDATE(BE$5,1),tblAuftraege[Auftrag],$A55))</f>
        <v>0</v>
      </c>
      <c r="BF55" s="11" t="n">
        <f aca="false">IF($A55="",0,SUMIFS(tblAuftraege[Einnahmen],tblAuftraege[Datum Einnahmen],"&gt;="&amp;BF$5,tblAuftraege[Datum Einnahmen],"&lt;"&amp;EDATE(BF$5,1),tblAuftraege[Auftrag],$A55))</f>
        <v>0</v>
      </c>
      <c r="BG55" s="11" t="n">
        <f aca="false">SUM(E55:J55)</f>
        <v>0</v>
      </c>
      <c r="BH55" s="11" t="n">
        <f aca="false">SUM(K55:V55)</f>
        <v>0</v>
      </c>
      <c r="BI55" s="11" t="n">
        <f aca="false">SUM(W55:AH55)</f>
        <v>0</v>
      </c>
      <c r="BJ55" s="11" t="n">
        <f aca="false">SUM(AI55:AT55)</f>
        <v>0</v>
      </c>
      <c r="BK55" s="11" t="n">
        <f aca="false">SUM(AU55:BF55)</f>
        <v>0</v>
      </c>
      <c r="BL55" s="12" t="n">
        <f aca="false">SUM(E55:BF55)</f>
        <v>0</v>
      </c>
    </row>
    <row r="56" customFormat="false" ht="15" hidden="false" customHeight="false" outlineLevel="0" collapsed="false">
      <c r="A56" s="9"/>
      <c r="B56" s="10" t="str">
        <f aca="false">IF($A56="","",IFERROR(INDEX(tblAuftraege[Kostenstelle],MATCH($A56,tblAuftraege[Auftrag],0)),""))</f>
        <v/>
      </c>
      <c r="C56" s="10" t="str">
        <f aca="false">IF($A56="","",IFERROR(INDEX(tblAuftraege[Themenfeld],MATCH($A56,tblAuftraege[Auftrag],0)),""))</f>
        <v/>
      </c>
      <c r="D56" s="10" t="str">
        <f aca="false">IF($A56="","",IFERROR(INDEX(tblAuftraege[Kategorie],MATCH($A56,tblAuftraege[Auftrag],0)),""))</f>
        <v/>
      </c>
      <c r="E56" s="11" t="n">
        <f aca="false">IF($A56="",0,SUMIFS(tblAuftraege[Einnahmen],tblAuftraege[Datum Einnahmen],"&gt;="&amp;E$5,tblAuftraege[Datum Einnahmen],"&lt;"&amp;EDATE(E$5,1),tblAuftraege[Auftrag],$A56))</f>
        <v>0</v>
      </c>
      <c r="F56" s="11" t="n">
        <f aca="false">IF($A56="",0,SUMIFS(tblAuftraege[Einnahmen],tblAuftraege[Datum Einnahmen],"&gt;="&amp;F$5,tblAuftraege[Datum Einnahmen],"&lt;"&amp;EDATE(F$5,1),tblAuftraege[Auftrag],$A56))</f>
        <v>0</v>
      </c>
      <c r="G56" s="11" t="n">
        <f aca="false">IF($A56="",0,SUMIFS(tblAuftraege[Einnahmen],tblAuftraege[Datum Einnahmen],"&gt;="&amp;G$5,tblAuftraege[Datum Einnahmen],"&lt;"&amp;EDATE(G$5,1),tblAuftraege[Auftrag],$A56))</f>
        <v>0</v>
      </c>
      <c r="H56" s="11" t="n">
        <f aca="false">IF($A56="",0,SUMIFS(tblAuftraege[Einnahmen],tblAuftraege[Datum Einnahmen],"&gt;="&amp;H$5,tblAuftraege[Datum Einnahmen],"&lt;"&amp;EDATE(H$5,1),tblAuftraege[Auftrag],$A56))</f>
        <v>0</v>
      </c>
      <c r="I56" s="11" t="n">
        <f aca="false">IF($A56="",0,SUMIFS(tblAuftraege[Einnahmen],tblAuftraege[Datum Einnahmen],"&gt;="&amp;I$5,tblAuftraege[Datum Einnahmen],"&lt;"&amp;EDATE(I$5,1),tblAuftraege[Auftrag],$A56))</f>
        <v>0</v>
      </c>
      <c r="J56" s="11" t="n">
        <f aca="false">IF($A56="",0,SUMIFS(tblAuftraege[Einnahmen],tblAuftraege[Datum Einnahmen],"&gt;="&amp;J$5,tblAuftraege[Datum Einnahmen],"&lt;"&amp;EDATE(J$5,1),tblAuftraege[Auftrag],$A56))</f>
        <v>0</v>
      </c>
      <c r="K56" s="11" t="n">
        <f aca="false">IF($A56="",0,SUMIFS(tblAuftraege[Einnahmen],tblAuftraege[Datum Einnahmen],"&gt;="&amp;K$5,tblAuftraege[Datum Einnahmen],"&lt;"&amp;EDATE(K$5,1),tblAuftraege[Auftrag],$A56))</f>
        <v>0</v>
      </c>
      <c r="L56" s="11" t="n">
        <f aca="false">IF($A56="",0,SUMIFS(tblAuftraege[Einnahmen],tblAuftraege[Datum Einnahmen],"&gt;="&amp;L$5,tblAuftraege[Datum Einnahmen],"&lt;"&amp;EDATE(L$5,1),tblAuftraege[Auftrag],$A56))</f>
        <v>0</v>
      </c>
      <c r="M56" s="11" t="n">
        <f aca="false">IF($A56="",0,SUMIFS(tblAuftraege[Einnahmen],tblAuftraege[Datum Einnahmen],"&gt;="&amp;M$5,tblAuftraege[Datum Einnahmen],"&lt;"&amp;EDATE(M$5,1),tblAuftraege[Auftrag],$A56))</f>
        <v>0</v>
      </c>
      <c r="N56" s="11" t="n">
        <f aca="false">IF($A56="",0,SUMIFS(tblAuftraege[Einnahmen],tblAuftraege[Datum Einnahmen],"&gt;="&amp;N$5,tblAuftraege[Datum Einnahmen],"&lt;"&amp;EDATE(N$5,1),tblAuftraege[Auftrag],$A56))</f>
        <v>0</v>
      </c>
      <c r="O56" s="11" t="n">
        <f aca="false">IF($A56="",0,SUMIFS(tblAuftraege[Einnahmen],tblAuftraege[Datum Einnahmen],"&gt;="&amp;O$5,tblAuftraege[Datum Einnahmen],"&lt;"&amp;EDATE(O$5,1),tblAuftraege[Auftrag],$A56))</f>
        <v>0</v>
      </c>
      <c r="P56" s="11" t="n">
        <f aca="false">IF($A56="",0,SUMIFS(tblAuftraege[Einnahmen],tblAuftraege[Datum Einnahmen],"&gt;="&amp;P$5,tblAuftraege[Datum Einnahmen],"&lt;"&amp;EDATE(P$5,1),tblAuftraege[Auftrag],$A56))</f>
        <v>0</v>
      </c>
      <c r="Q56" s="11" t="n">
        <f aca="false">IF($A56="",0,SUMIFS(tblAuftraege[Einnahmen],tblAuftraege[Datum Einnahmen],"&gt;="&amp;Q$5,tblAuftraege[Datum Einnahmen],"&lt;"&amp;EDATE(Q$5,1),tblAuftraege[Auftrag],$A56))</f>
        <v>0</v>
      </c>
      <c r="R56" s="11" t="n">
        <f aca="false">IF($A56="",0,SUMIFS(tblAuftraege[Einnahmen],tblAuftraege[Datum Einnahmen],"&gt;="&amp;R$5,tblAuftraege[Datum Einnahmen],"&lt;"&amp;EDATE(R$5,1),tblAuftraege[Auftrag],$A56))</f>
        <v>0</v>
      </c>
      <c r="S56" s="11" t="n">
        <f aca="false">IF($A56="",0,SUMIFS(tblAuftraege[Einnahmen],tblAuftraege[Datum Einnahmen],"&gt;="&amp;S$5,tblAuftraege[Datum Einnahmen],"&lt;"&amp;EDATE(S$5,1),tblAuftraege[Auftrag],$A56))</f>
        <v>0</v>
      </c>
      <c r="T56" s="11" t="n">
        <f aca="false">IF($A56="",0,SUMIFS(tblAuftraege[Einnahmen],tblAuftraege[Datum Einnahmen],"&gt;="&amp;T$5,tblAuftraege[Datum Einnahmen],"&lt;"&amp;EDATE(T$5,1),tblAuftraege[Auftrag],$A56))</f>
        <v>0</v>
      </c>
      <c r="U56" s="11" t="n">
        <f aca="false">IF($A56="",0,SUMIFS(tblAuftraege[Einnahmen],tblAuftraege[Datum Einnahmen],"&gt;="&amp;U$5,tblAuftraege[Datum Einnahmen],"&lt;"&amp;EDATE(U$5,1),tblAuftraege[Auftrag],$A56))</f>
        <v>0</v>
      </c>
      <c r="V56" s="11" t="n">
        <f aca="false">IF($A56="",0,SUMIFS(tblAuftraege[Einnahmen],tblAuftraege[Datum Einnahmen],"&gt;="&amp;V$5,tblAuftraege[Datum Einnahmen],"&lt;"&amp;EDATE(V$5,1),tblAuftraege[Auftrag],$A56))</f>
        <v>0</v>
      </c>
      <c r="W56" s="11" t="n">
        <f aca="false">IF($A56="",0,SUMIFS(tblAuftraege[Einnahmen],tblAuftraege[Datum Einnahmen],"&gt;="&amp;W$5,tblAuftraege[Datum Einnahmen],"&lt;"&amp;EDATE(W$5,1),tblAuftraege[Auftrag],$A56))</f>
        <v>0</v>
      </c>
      <c r="X56" s="11" t="n">
        <f aca="false">IF($A56="",0,SUMIFS(tblAuftraege[Einnahmen],tblAuftraege[Datum Einnahmen],"&gt;="&amp;X$5,tblAuftraege[Datum Einnahmen],"&lt;"&amp;EDATE(X$5,1),tblAuftraege[Auftrag],$A56))</f>
        <v>0</v>
      </c>
      <c r="Y56" s="11" t="n">
        <f aca="false">IF($A56="",0,SUMIFS(tblAuftraege[Einnahmen],tblAuftraege[Datum Einnahmen],"&gt;="&amp;Y$5,tblAuftraege[Datum Einnahmen],"&lt;"&amp;EDATE(Y$5,1),tblAuftraege[Auftrag],$A56))</f>
        <v>0</v>
      </c>
      <c r="Z56" s="11" t="n">
        <f aca="false">IF($A56="",0,SUMIFS(tblAuftraege[Einnahmen],tblAuftraege[Datum Einnahmen],"&gt;="&amp;Z$5,tblAuftraege[Datum Einnahmen],"&lt;"&amp;EDATE(Z$5,1),tblAuftraege[Auftrag],$A56))</f>
        <v>0</v>
      </c>
      <c r="AA56" s="11" t="n">
        <f aca="false">IF($A56="",0,SUMIFS(tblAuftraege[Einnahmen],tblAuftraege[Datum Einnahmen],"&gt;="&amp;AA$5,tblAuftraege[Datum Einnahmen],"&lt;"&amp;EDATE(AA$5,1),tblAuftraege[Auftrag],$A56))</f>
        <v>0</v>
      </c>
      <c r="AB56" s="11" t="n">
        <f aca="false">IF($A56="",0,SUMIFS(tblAuftraege[Einnahmen],tblAuftraege[Datum Einnahmen],"&gt;="&amp;AB$5,tblAuftraege[Datum Einnahmen],"&lt;"&amp;EDATE(AB$5,1),tblAuftraege[Auftrag],$A56))</f>
        <v>0</v>
      </c>
      <c r="AC56" s="11" t="n">
        <f aca="false">IF($A56="",0,SUMIFS(tblAuftraege[Einnahmen],tblAuftraege[Datum Einnahmen],"&gt;="&amp;AC$5,tblAuftraege[Datum Einnahmen],"&lt;"&amp;EDATE(AC$5,1),tblAuftraege[Auftrag],$A56))</f>
        <v>0</v>
      </c>
      <c r="AD56" s="11" t="n">
        <f aca="false">IF($A56="",0,SUMIFS(tblAuftraege[Einnahmen],tblAuftraege[Datum Einnahmen],"&gt;="&amp;AD$5,tblAuftraege[Datum Einnahmen],"&lt;"&amp;EDATE(AD$5,1),tblAuftraege[Auftrag],$A56))</f>
        <v>0</v>
      </c>
      <c r="AE56" s="11" t="n">
        <f aca="false">IF($A56="",0,SUMIFS(tblAuftraege[Einnahmen],tblAuftraege[Datum Einnahmen],"&gt;="&amp;AE$5,tblAuftraege[Datum Einnahmen],"&lt;"&amp;EDATE(AE$5,1),tblAuftraege[Auftrag],$A56))</f>
        <v>0</v>
      </c>
      <c r="AF56" s="11" t="n">
        <f aca="false">IF($A56="",0,SUMIFS(tblAuftraege[Einnahmen],tblAuftraege[Datum Einnahmen],"&gt;="&amp;AF$5,tblAuftraege[Datum Einnahmen],"&lt;"&amp;EDATE(AF$5,1),tblAuftraege[Auftrag],$A56))</f>
        <v>0</v>
      </c>
      <c r="AG56" s="11" t="n">
        <f aca="false">IF($A56="",0,SUMIFS(tblAuftraege[Einnahmen],tblAuftraege[Datum Einnahmen],"&gt;="&amp;AG$5,tblAuftraege[Datum Einnahmen],"&lt;"&amp;EDATE(AG$5,1),tblAuftraege[Auftrag],$A56))</f>
        <v>0</v>
      </c>
      <c r="AH56" s="11" t="n">
        <f aca="false">IF($A56="",0,SUMIFS(tblAuftraege[Einnahmen],tblAuftraege[Datum Einnahmen],"&gt;="&amp;AH$5,tblAuftraege[Datum Einnahmen],"&lt;"&amp;EDATE(AH$5,1),tblAuftraege[Auftrag],$A56))</f>
        <v>0</v>
      </c>
      <c r="AI56" s="11" t="n">
        <f aca="false">IF($A56="",0,SUMIFS(tblAuftraege[Einnahmen],tblAuftraege[Datum Einnahmen],"&gt;="&amp;AI$5,tblAuftraege[Datum Einnahmen],"&lt;"&amp;EDATE(AI$5,1),tblAuftraege[Auftrag],$A56))</f>
        <v>0</v>
      </c>
      <c r="AJ56" s="11" t="n">
        <f aca="false">IF($A56="",0,SUMIFS(tblAuftraege[Einnahmen],tblAuftraege[Datum Einnahmen],"&gt;="&amp;AJ$5,tblAuftraege[Datum Einnahmen],"&lt;"&amp;EDATE(AJ$5,1),tblAuftraege[Auftrag],$A56))</f>
        <v>0</v>
      </c>
      <c r="AK56" s="11" t="n">
        <f aca="false">IF($A56="",0,SUMIFS(tblAuftraege[Einnahmen],tblAuftraege[Datum Einnahmen],"&gt;="&amp;AK$5,tblAuftraege[Datum Einnahmen],"&lt;"&amp;EDATE(AK$5,1),tblAuftraege[Auftrag],$A56))</f>
        <v>0</v>
      </c>
      <c r="AL56" s="11" t="n">
        <f aca="false">IF($A56="",0,SUMIFS(tblAuftraege[Einnahmen],tblAuftraege[Datum Einnahmen],"&gt;="&amp;AL$5,tblAuftraege[Datum Einnahmen],"&lt;"&amp;EDATE(AL$5,1),tblAuftraege[Auftrag],$A56))</f>
        <v>0</v>
      </c>
      <c r="AM56" s="11" t="n">
        <f aca="false">IF($A56="",0,SUMIFS(tblAuftraege[Einnahmen],tblAuftraege[Datum Einnahmen],"&gt;="&amp;AM$5,tblAuftraege[Datum Einnahmen],"&lt;"&amp;EDATE(AM$5,1),tblAuftraege[Auftrag],$A56))</f>
        <v>0</v>
      </c>
      <c r="AN56" s="11" t="n">
        <f aca="false">IF($A56="",0,SUMIFS(tblAuftraege[Einnahmen],tblAuftraege[Datum Einnahmen],"&gt;="&amp;AN$5,tblAuftraege[Datum Einnahmen],"&lt;"&amp;EDATE(AN$5,1),tblAuftraege[Auftrag],$A56))</f>
        <v>0</v>
      </c>
      <c r="AO56" s="11" t="n">
        <f aca="false">IF($A56="",0,SUMIFS(tblAuftraege[Einnahmen],tblAuftraege[Datum Einnahmen],"&gt;="&amp;AO$5,tblAuftraege[Datum Einnahmen],"&lt;"&amp;EDATE(AO$5,1),tblAuftraege[Auftrag],$A56))</f>
        <v>0</v>
      </c>
      <c r="AP56" s="11" t="n">
        <f aca="false">IF($A56="",0,SUMIFS(tblAuftraege[Einnahmen],tblAuftraege[Datum Einnahmen],"&gt;="&amp;AP$5,tblAuftraege[Datum Einnahmen],"&lt;"&amp;EDATE(AP$5,1),tblAuftraege[Auftrag],$A56))</f>
        <v>0</v>
      </c>
      <c r="AQ56" s="11" t="n">
        <f aca="false">IF($A56="",0,SUMIFS(tblAuftraege[Einnahmen],tblAuftraege[Datum Einnahmen],"&gt;="&amp;AQ$5,tblAuftraege[Datum Einnahmen],"&lt;"&amp;EDATE(AQ$5,1),tblAuftraege[Auftrag],$A56))</f>
        <v>0</v>
      </c>
      <c r="AR56" s="11" t="n">
        <f aca="false">IF($A56="",0,SUMIFS(tblAuftraege[Einnahmen],tblAuftraege[Datum Einnahmen],"&gt;="&amp;AR$5,tblAuftraege[Datum Einnahmen],"&lt;"&amp;EDATE(AR$5,1),tblAuftraege[Auftrag],$A56))</f>
        <v>0</v>
      </c>
      <c r="AS56" s="11" t="n">
        <f aca="false">IF($A56="",0,SUMIFS(tblAuftraege[Einnahmen],tblAuftraege[Datum Einnahmen],"&gt;="&amp;AS$5,tblAuftraege[Datum Einnahmen],"&lt;"&amp;EDATE(AS$5,1),tblAuftraege[Auftrag],$A56))</f>
        <v>0</v>
      </c>
      <c r="AT56" s="11" t="n">
        <f aca="false">IF($A56="",0,SUMIFS(tblAuftraege[Einnahmen],tblAuftraege[Datum Einnahmen],"&gt;="&amp;AT$5,tblAuftraege[Datum Einnahmen],"&lt;"&amp;EDATE(AT$5,1),tblAuftraege[Auftrag],$A56))</f>
        <v>0</v>
      </c>
      <c r="AU56" s="11" t="n">
        <f aca="false">IF($A56="",0,SUMIFS(tblAuftraege[Einnahmen],tblAuftraege[Datum Einnahmen],"&gt;="&amp;AU$5,tblAuftraege[Datum Einnahmen],"&lt;"&amp;EDATE(AU$5,1),tblAuftraege[Auftrag],$A56))</f>
        <v>0</v>
      </c>
      <c r="AV56" s="11" t="n">
        <f aca="false">IF($A56="",0,SUMIFS(tblAuftraege[Einnahmen],tblAuftraege[Datum Einnahmen],"&gt;="&amp;AV$5,tblAuftraege[Datum Einnahmen],"&lt;"&amp;EDATE(AV$5,1),tblAuftraege[Auftrag],$A56))</f>
        <v>0</v>
      </c>
      <c r="AW56" s="11" t="n">
        <f aca="false">IF($A56="",0,SUMIFS(tblAuftraege[Einnahmen],tblAuftraege[Datum Einnahmen],"&gt;="&amp;AW$5,tblAuftraege[Datum Einnahmen],"&lt;"&amp;EDATE(AW$5,1),tblAuftraege[Auftrag],$A56))</f>
        <v>0</v>
      </c>
      <c r="AX56" s="11" t="n">
        <f aca="false">IF($A56="",0,SUMIFS(tblAuftraege[Einnahmen],tblAuftraege[Datum Einnahmen],"&gt;="&amp;AX$5,tblAuftraege[Datum Einnahmen],"&lt;"&amp;EDATE(AX$5,1),tblAuftraege[Auftrag],$A56))</f>
        <v>0</v>
      </c>
      <c r="AY56" s="11" t="n">
        <f aca="false">IF($A56="",0,SUMIFS(tblAuftraege[Einnahmen],tblAuftraege[Datum Einnahmen],"&gt;="&amp;AY$5,tblAuftraege[Datum Einnahmen],"&lt;"&amp;EDATE(AY$5,1),tblAuftraege[Auftrag],$A56))</f>
        <v>0</v>
      </c>
      <c r="AZ56" s="11" t="n">
        <f aca="false">IF($A56="",0,SUMIFS(tblAuftraege[Einnahmen],tblAuftraege[Datum Einnahmen],"&gt;="&amp;AZ$5,tblAuftraege[Datum Einnahmen],"&lt;"&amp;EDATE(AZ$5,1),tblAuftraege[Auftrag],$A56))</f>
        <v>0</v>
      </c>
      <c r="BA56" s="11" t="n">
        <f aca="false">IF($A56="",0,SUMIFS(tblAuftraege[Einnahmen],tblAuftraege[Datum Einnahmen],"&gt;="&amp;BA$5,tblAuftraege[Datum Einnahmen],"&lt;"&amp;EDATE(BA$5,1),tblAuftraege[Auftrag],$A56))</f>
        <v>0</v>
      </c>
      <c r="BB56" s="11" t="n">
        <f aca="false">IF($A56="",0,SUMIFS(tblAuftraege[Einnahmen],tblAuftraege[Datum Einnahmen],"&gt;="&amp;BB$5,tblAuftraege[Datum Einnahmen],"&lt;"&amp;EDATE(BB$5,1),tblAuftraege[Auftrag],$A56))</f>
        <v>0</v>
      </c>
      <c r="BC56" s="11" t="n">
        <f aca="false">IF($A56="",0,SUMIFS(tblAuftraege[Einnahmen],tblAuftraege[Datum Einnahmen],"&gt;="&amp;BC$5,tblAuftraege[Datum Einnahmen],"&lt;"&amp;EDATE(BC$5,1),tblAuftraege[Auftrag],$A56))</f>
        <v>0</v>
      </c>
      <c r="BD56" s="11" t="n">
        <f aca="false">IF($A56="",0,SUMIFS(tblAuftraege[Einnahmen],tblAuftraege[Datum Einnahmen],"&gt;="&amp;BD$5,tblAuftraege[Datum Einnahmen],"&lt;"&amp;EDATE(BD$5,1),tblAuftraege[Auftrag],$A56))</f>
        <v>0</v>
      </c>
      <c r="BE56" s="11" t="n">
        <f aca="false">IF($A56="",0,SUMIFS(tblAuftraege[Einnahmen],tblAuftraege[Datum Einnahmen],"&gt;="&amp;BE$5,tblAuftraege[Datum Einnahmen],"&lt;"&amp;EDATE(BE$5,1),tblAuftraege[Auftrag],$A56))</f>
        <v>0</v>
      </c>
      <c r="BF56" s="11" t="n">
        <f aca="false">IF($A56="",0,SUMIFS(tblAuftraege[Einnahmen],tblAuftraege[Datum Einnahmen],"&gt;="&amp;BF$5,tblAuftraege[Datum Einnahmen],"&lt;"&amp;EDATE(BF$5,1),tblAuftraege[Auftrag],$A56))</f>
        <v>0</v>
      </c>
      <c r="BG56" s="11" t="n">
        <f aca="false">SUM(E56:J56)</f>
        <v>0</v>
      </c>
      <c r="BH56" s="11" t="n">
        <f aca="false">SUM(K56:V56)</f>
        <v>0</v>
      </c>
      <c r="BI56" s="11" t="n">
        <f aca="false">SUM(W56:AH56)</f>
        <v>0</v>
      </c>
      <c r="BJ56" s="11" t="n">
        <f aca="false">SUM(AI56:AT56)</f>
        <v>0</v>
      </c>
      <c r="BK56" s="11" t="n">
        <f aca="false">SUM(AU56:BF56)</f>
        <v>0</v>
      </c>
      <c r="BL56" s="12" t="n">
        <f aca="false">SUM(E56:BF56)</f>
        <v>0</v>
      </c>
    </row>
    <row r="57" customFormat="false" ht="15" hidden="false" customHeight="false" outlineLevel="0" collapsed="false">
      <c r="A57" s="9"/>
      <c r="B57" s="10" t="str">
        <f aca="false">IF($A57="","",IFERROR(INDEX(tblAuftraege[Kostenstelle],MATCH($A57,tblAuftraege[Auftrag],0)),""))</f>
        <v/>
      </c>
      <c r="C57" s="10" t="str">
        <f aca="false">IF($A57="","",IFERROR(INDEX(tblAuftraege[Themenfeld],MATCH($A57,tblAuftraege[Auftrag],0)),""))</f>
        <v/>
      </c>
      <c r="D57" s="10" t="str">
        <f aca="false">IF($A57="","",IFERROR(INDEX(tblAuftraege[Kategorie],MATCH($A57,tblAuftraege[Auftrag],0)),""))</f>
        <v/>
      </c>
      <c r="E57" s="11" t="n">
        <f aca="false">IF($A57="",0,SUMIFS(tblAuftraege[Einnahmen],tblAuftraege[Datum Einnahmen],"&gt;="&amp;E$5,tblAuftraege[Datum Einnahmen],"&lt;"&amp;EDATE(E$5,1),tblAuftraege[Auftrag],$A57))</f>
        <v>0</v>
      </c>
      <c r="F57" s="11" t="n">
        <f aca="false">IF($A57="",0,SUMIFS(tblAuftraege[Einnahmen],tblAuftraege[Datum Einnahmen],"&gt;="&amp;F$5,tblAuftraege[Datum Einnahmen],"&lt;"&amp;EDATE(F$5,1),tblAuftraege[Auftrag],$A57))</f>
        <v>0</v>
      </c>
      <c r="G57" s="11" t="n">
        <f aca="false">IF($A57="",0,SUMIFS(tblAuftraege[Einnahmen],tblAuftraege[Datum Einnahmen],"&gt;="&amp;G$5,tblAuftraege[Datum Einnahmen],"&lt;"&amp;EDATE(G$5,1),tblAuftraege[Auftrag],$A57))</f>
        <v>0</v>
      </c>
      <c r="H57" s="11" t="n">
        <f aca="false">IF($A57="",0,SUMIFS(tblAuftraege[Einnahmen],tblAuftraege[Datum Einnahmen],"&gt;="&amp;H$5,tblAuftraege[Datum Einnahmen],"&lt;"&amp;EDATE(H$5,1),tblAuftraege[Auftrag],$A57))</f>
        <v>0</v>
      </c>
      <c r="I57" s="11" t="n">
        <f aca="false">IF($A57="",0,SUMIFS(tblAuftraege[Einnahmen],tblAuftraege[Datum Einnahmen],"&gt;="&amp;I$5,tblAuftraege[Datum Einnahmen],"&lt;"&amp;EDATE(I$5,1),tblAuftraege[Auftrag],$A57))</f>
        <v>0</v>
      </c>
      <c r="J57" s="11" t="n">
        <f aca="false">IF($A57="",0,SUMIFS(tblAuftraege[Einnahmen],tblAuftraege[Datum Einnahmen],"&gt;="&amp;J$5,tblAuftraege[Datum Einnahmen],"&lt;"&amp;EDATE(J$5,1),tblAuftraege[Auftrag],$A57))</f>
        <v>0</v>
      </c>
      <c r="K57" s="11" t="n">
        <f aca="false">IF($A57="",0,SUMIFS(tblAuftraege[Einnahmen],tblAuftraege[Datum Einnahmen],"&gt;="&amp;K$5,tblAuftraege[Datum Einnahmen],"&lt;"&amp;EDATE(K$5,1),tblAuftraege[Auftrag],$A57))</f>
        <v>0</v>
      </c>
      <c r="L57" s="11" t="n">
        <f aca="false">IF($A57="",0,SUMIFS(tblAuftraege[Einnahmen],tblAuftraege[Datum Einnahmen],"&gt;="&amp;L$5,tblAuftraege[Datum Einnahmen],"&lt;"&amp;EDATE(L$5,1),tblAuftraege[Auftrag],$A57))</f>
        <v>0</v>
      </c>
      <c r="M57" s="11" t="n">
        <f aca="false">IF($A57="",0,SUMIFS(tblAuftraege[Einnahmen],tblAuftraege[Datum Einnahmen],"&gt;="&amp;M$5,tblAuftraege[Datum Einnahmen],"&lt;"&amp;EDATE(M$5,1),tblAuftraege[Auftrag],$A57))</f>
        <v>0</v>
      </c>
      <c r="N57" s="11" t="n">
        <f aca="false">IF($A57="",0,SUMIFS(tblAuftraege[Einnahmen],tblAuftraege[Datum Einnahmen],"&gt;="&amp;N$5,tblAuftraege[Datum Einnahmen],"&lt;"&amp;EDATE(N$5,1),tblAuftraege[Auftrag],$A57))</f>
        <v>0</v>
      </c>
      <c r="O57" s="11" t="n">
        <f aca="false">IF($A57="",0,SUMIFS(tblAuftraege[Einnahmen],tblAuftraege[Datum Einnahmen],"&gt;="&amp;O$5,tblAuftraege[Datum Einnahmen],"&lt;"&amp;EDATE(O$5,1),tblAuftraege[Auftrag],$A57))</f>
        <v>0</v>
      </c>
      <c r="P57" s="11" t="n">
        <f aca="false">IF($A57="",0,SUMIFS(tblAuftraege[Einnahmen],tblAuftraege[Datum Einnahmen],"&gt;="&amp;P$5,tblAuftraege[Datum Einnahmen],"&lt;"&amp;EDATE(P$5,1),tblAuftraege[Auftrag],$A57))</f>
        <v>0</v>
      </c>
      <c r="Q57" s="11" t="n">
        <f aca="false">IF($A57="",0,SUMIFS(tblAuftraege[Einnahmen],tblAuftraege[Datum Einnahmen],"&gt;="&amp;Q$5,tblAuftraege[Datum Einnahmen],"&lt;"&amp;EDATE(Q$5,1),tblAuftraege[Auftrag],$A57))</f>
        <v>0</v>
      </c>
      <c r="R57" s="11" t="n">
        <f aca="false">IF($A57="",0,SUMIFS(tblAuftraege[Einnahmen],tblAuftraege[Datum Einnahmen],"&gt;="&amp;R$5,tblAuftraege[Datum Einnahmen],"&lt;"&amp;EDATE(R$5,1),tblAuftraege[Auftrag],$A57))</f>
        <v>0</v>
      </c>
      <c r="S57" s="11" t="n">
        <f aca="false">IF($A57="",0,SUMIFS(tblAuftraege[Einnahmen],tblAuftraege[Datum Einnahmen],"&gt;="&amp;S$5,tblAuftraege[Datum Einnahmen],"&lt;"&amp;EDATE(S$5,1),tblAuftraege[Auftrag],$A57))</f>
        <v>0</v>
      </c>
      <c r="T57" s="11" t="n">
        <f aca="false">IF($A57="",0,SUMIFS(tblAuftraege[Einnahmen],tblAuftraege[Datum Einnahmen],"&gt;="&amp;T$5,tblAuftraege[Datum Einnahmen],"&lt;"&amp;EDATE(T$5,1),tblAuftraege[Auftrag],$A57))</f>
        <v>0</v>
      </c>
      <c r="U57" s="11" t="n">
        <f aca="false">IF($A57="",0,SUMIFS(tblAuftraege[Einnahmen],tblAuftraege[Datum Einnahmen],"&gt;="&amp;U$5,tblAuftraege[Datum Einnahmen],"&lt;"&amp;EDATE(U$5,1),tblAuftraege[Auftrag],$A57))</f>
        <v>0</v>
      </c>
      <c r="V57" s="11" t="n">
        <f aca="false">IF($A57="",0,SUMIFS(tblAuftraege[Einnahmen],tblAuftraege[Datum Einnahmen],"&gt;="&amp;V$5,tblAuftraege[Datum Einnahmen],"&lt;"&amp;EDATE(V$5,1),tblAuftraege[Auftrag],$A57))</f>
        <v>0</v>
      </c>
      <c r="W57" s="11" t="n">
        <f aca="false">IF($A57="",0,SUMIFS(tblAuftraege[Einnahmen],tblAuftraege[Datum Einnahmen],"&gt;="&amp;W$5,tblAuftraege[Datum Einnahmen],"&lt;"&amp;EDATE(W$5,1),tblAuftraege[Auftrag],$A57))</f>
        <v>0</v>
      </c>
      <c r="X57" s="11" t="n">
        <f aca="false">IF($A57="",0,SUMIFS(tblAuftraege[Einnahmen],tblAuftraege[Datum Einnahmen],"&gt;="&amp;X$5,tblAuftraege[Datum Einnahmen],"&lt;"&amp;EDATE(X$5,1),tblAuftraege[Auftrag],$A57))</f>
        <v>0</v>
      </c>
      <c r="Y57" s="11" t="n">
        <f aca="false">IF($A57="",0,SUMIFS(tblAuftraege[Einnahmen],tblAuftraege[Datum Einnahmen],"&gt;="&amp;Y$5,tblAuftraege[Datum Einnahmen],"&lt;"&amp;EDATE(Y$5,1),tblAuftraege[Auftrag],$A57))</f>
        <v>0</v>
      </c>
      <c r="Z57" s="11" t="n">
        <f aca="false">IF($A57="",0,SUMIFS(tblAuftraege[Einnahmen],tblAuftraege[Datum Einnahmen],"&gt;="&amp;Z$5,tblAuftraege[Datum Einnahmen],"&lt;"&amp;EDATE(Z$5,1),tblAuftraege[Auftrag],$A57))</f>
        <v>0</v>
      </c>
      <c r="AA57" s="11" t="n">
        <f aca="false">IF($A57="",0,SUMIFS(tblAuftraege[Einnahmen],tblAuftraege[Datum Einnahmen],"&gt;="&amp;AA$5,tblAuftraege[Datum Einnahmen],"&lt;"&amp;EDATE(AA$5,1),tblAuftraege[Auftrag],$A57))</f>
        <v>0</v>
      </c>
      <c r="AB57" s="11" t="n">
        <f aca="false">IF($A57="",0,SUMIFS(tblAuftraege[Einnahmen],tblAuftraege[Datum Einnahmen],"&gt;="&amp;AB$5,tblAuftraege[Datum Einnahmen],"&lt;"&amp;EDATE(AB$5,1),tblAuftraege[Auftrag],$A57))</f>
        <v>0</v>
      </c>
      <c r="AC57" s="11" t="n">
        <f aca="false">IF($A57="",0,SUMIFS(tblAuftraege[Einnahmen],tblAuftraege[Datum Einnahmen],"&gt;="&amp;AC$5,tblAuftraege[Datum Einnahmen],"&lt;"&amp;EDATE(AC$5,1),tblAuftraege[Auftrag],$A57))</f>
        <v>0</v>
      </c>
      <c r="AD57" s="11" t="n">
        <f aca="false">IF($A57="",0,SUMIFS(tblAuftraege[Einnahmen],tblAuftraege[Datum Einnahmen],"&gt;="&amp;AD$5,tblAuftraege[Datum Einnahmen],"&lt;"&amp;EDATE(AD$5,1),tblAuftraege[Auftrag],$A57))</f>
        <v>0</v>
      </c>
      <c r="AE57" s="11" t="n">
        <f aca="false">IF($A57="",0,SUMIFS(tblAuftraege[Einnahmen],tblAuftraege[Datum Einnahmen],"&gt;="&amp;AE$5,tblAuftraege[Datum Einnahmen],"&lt;"&amp;EDATE(AE$5,1),tblAuftraege[Auftrag],$A57))</f>
        <v>0</v>
      </c>
      <c r="AF57" s="11" t="n">
        <f aca="false">IF($A57="",0,SUMIFS(tblAuftraege[Einnahmen],tblAuftraege[Datum Einnahmen],"&gt;="&amp;AF$5,tblAuftraege[Datum Einnahmen],"&lt;"&amp;EDATE(AF$5,1),tblAuftraege[Auftrag],$A57))</f>
        <v>0</v>
      </c>
      <c r="AG57" s="11" t="n">
        <f aca="false">IF($A57="",0,SUMIFS(tblAuftraege[Einnahmen],tblAuftraege[Datum Einnahmen],"&gt;="&amp;AG$5,tblAuftraege[Datum Einnahmen],"&lt;"&amp;EDATE(AG$5,1),tblAuftraege[Auftrag],$A57))</f>
        <v>0</v>
      </c>
      <c r="AH57" s="11" t="n">
        <f aca="false">IF($A57="",0,SUMIFS(tblAuftraege[Einnahmen],tblAuftraege[Datum Einnahmen],"&gt;="&amp;AH$5,tblAuftraege[Datum Einnahmen],"&lt;"&amp;EDATE(AH$5,1),tblAuftraege[Auftrag],$A57))</f>
        <v>0</v>
      </c>
      <c r="AI57" s="11" t="n">
        <f aca="false">IF($A57="",0,SUMIFS(tblAuftraege[Einnahmen],tblAuftraege[Datum Einnahmen],"&gt;="&amp;AI$5,tblAuftraege[Datum Einnahmen],"&lt;"&amp;EDATE(AI$5,1),tblAuftraege[Auftrag],$A57))</f>
        <v>0</v>
      </c>
      <c r="AJ57" s="11" t="n">
        <f aca="false">IF($A57="",0,SUMIFS(tblAuftraege[Einnahmen],tblAuftraege[Datum Einnahmen],"&gt;="&amp;AJ$5,tblAuftraege[Datum Einnahmen],"&lt;"&amp;EDATE(AJ$5,1),tblAuftraege[Auftrag],$A57))</f>
        <v>0</v>
      </c>
      <c r="AK57" s="11" t="n">
        <f aca="false">IF($A57="",0,SUMIFS(tblAuftraege[Einnahmen],tblAuftraege[Datum Einnahmen],"&gt;="&amp;AK$5,tblAuftraege[Datum Einnahmen],"&lt;"&amp;EDATE(AK$5,1),tblAuftraege[Auftrag],$A57))</f>
        <v>0</v>
      </c>
      <c r="AL57" s="11" t="n">
        <f aca="false">IF($A57="",0,SUMIFS(tblAuftraege[Einnahmen],tblAuftraege[Datum Einnahmen],"&gt;="&amp;AL$5,tblAuftraege[Datum Einnahmen],"&lt;"&amp;EDATE(AL$5,1),tblAuftraege[Auftrag],$A57))</f>
        <v>0</v>
      </c>
      <c r="AM57" s="11" t="n">
        <f aca="false">IF($A57="",0,SUMIFS(tblAuftraege[Einnahmen],tblAuftraege[Datum Einnahmen],"&gt;="&amp;AM$5,tblAuftraege[Datum Einnahmen],"&lt;"&amp;EDATE(AM$5,1),tblAuftraege[Auftrag],$A57))</f>
        <v>0</v>
      </c>
      <c r="AN57" s="11" t="n">
        <f aca="false">IF($A57="",0,SUMIFS(tblAuftraege[Einnahmen],tblAuftraege[Datum Einnahmen],"&gt;="&amp;AN$5,tblAuftraege[Datum Einnahmen],"&lt;"&amp;EDATE(AN$5,1),tblAuftraege[Auftrag],$A57))</f>
        <v>0</v>
      </c>
      <c r="AO57" s="11" t="n">
        <f aca="false">IF($A57="",0,SUMIFS(tblAuftraege[Einnahmen],tblAuftraege[Datum Einnahmen],"&gt;="&amp;AO$5,tblAuftraege[Datum Einnahmen],"&lt;"&amp;EDATE(AO$5,1),tblAuftraege[Auftrag],$A57))</f>
        <v>0</v>
      </c>
      <c r="AP57" s="11" t="n">
        <f aca="false">IF($A57="",0,SUMIFS(tblAuftraege[Einnahmen],tblAuftraege[Datum Einnahmen],"&gt;="&amp;AP$5,tblAuftraege[Datum Einnahmen],"&lt;"&amp;EDATE(AP$5,1),tblAuftraege[Auftrag],$A57))</f>
        <v>0</v>
      </c>
      <c r="AQ57" s="11" t="n">
        <f aca="false">IF($A57="",0,SUMIFS(tblAuftraege[Einnahmen],tblAuftraege[Datum Einnahmen],"&gt;="&amp;AQ$5,tblAuftraege[Datum Einnahmen],"&lt;"&amp;EDATE(AQ$5,1),tblAuftraege[Auftrag],$A57))</f>
        <v>0</v>
      </c>
      <c r="AR57" s="11" t="n">
        <f aca="false">IF($A57="",0,SUMIFS(tblAuftraege[Einnahmen],tblAuftraege[Datum Einnahmen],"&gt;="&amp;AR$5,tblAuftraege[Datum Einnahmen],"&lt;"&amp;EDATE(AR$5,1),tblAuftraege[Auftrag],$A57))</f>
        <v>0</v>
      </c>
      <c r="AS57" s="11" t="n">
        <f aca="false">IF($A57="",0,SUMIFS(tblAuftraege[Einnahmen],tblAuftraege[Datum Einnahmen],"&gt;="&amp;AS$5,tblAuftraege[Datum Einnahmen],"&lt;"&amp;EDATE(AS$5,1),tblAuftraege[Auftrag],$A57))</f>
        <v>0</v>
      </c>
      <c r="AT57" s="11" t="n">
        <f aca="false">IF($A57="",0,SUMIFS(tblAuftraege[Einnahmen],tblAuftraege[Datum Einnahmen],"&gt;="&amp;AT$5,tblAuftraege[Datum Einnahmen],"&lt;"&amp;EDATE(AT$5,1),tblAuftraege[Auftrag],$A57))</f>
        <v>0</v>
      </c>
      <c r="AU57" s="11" t="n">
        <f aca="false">IF($A57="",0,SUMIFS(tblAuftraege[Einnahmen],tblAuftraege[Datum Einnahmen],"&gt;="&amp;AU$5,tblAuftraege[Datum Einnahmen],"&lt;"&amp;EDATE(AU$5,1),tblAuftraege[Auftrag],$A57))</f>
        <v>0</v>
      </c>
      <c r="AV57" s="11" t="n">
        <f aca="false">IF($A57="",0,SUMIFS(tblAuftraege[Einnahmen],tblAuftraege[Datum Einnahmen],"&gt;="&amp;AV$5,tblAuftraege[Datum Einnahmen],"&lt;"&amp;EDATE(AV$5,1),tblAuftraege[Auftrag],$A57))</f>
        <v>0</v>
      </c>
      <c r="AW57" s="11" t="n">
        <f aca="false">IF($A57="",0,SUMIFS(tblAuftraege[Einnahmen],tblAuftraege[Datum Einnahmen],"&gt;="&amp;AW$5,tblAuftraege[Datum Einnahmen],"&lt;"&amp;EDATE(AW$5,1),tblAuftraege[Auftrag],$A57))</f>
        <v>0</v>
      </c>
      <c r="AX57" s="11" t="n">
        <f aca="false">IF($A57="",0,SUMIFS(tblAuftraege[Einnahmen],tblAuftraege[Datum Einnahmen],"&gt;="&amp;AX$5,tblAuftraege[Datum Einnahmen],"&lt;"&amp;EDATE(AX$5,1),tblAuftraege[Auftrag],$A57))</f>
        <v>0</v>
      </c>
      <c r="AY57" s="11" t="n">
        <f aca="false">IF($A57="",0,SUMIFS(tblAuftraege[Einnahmen],tblAuftraege[Datum Einnahmen],"&gt;="&amp;AY$5,tblAuftraege[Datum Einnahmen],"&lt;"&amp;EDATE(AY$5,1),tblAuftraege[Auftrag],$A57))</f>
        <v>0</v>
      </c>
      <c r="AZ57" s="11" t="n">
        <f aca="false">IF($A57="",0,SUMIFS(tblAuftraege[Einnahmen],tblAuftraege[Datum Einnahmen],"&gt;="&amp;AZ$5,tblAuftraege[Datum Einnahmen],"&lt;"&amp;EDATE(AZ$5,1),tblAuftraege[Auftrag],$A57))</f>
        <v>0</v>
      </c>
      <c r="BA57" s="11" t="n">
        <f aca="false">IF($A57="",0,SUMIFS(tblAuftraege[Einnahmen],tblAuftraege[Datum Einnahmen],"&gt;="&amp;BA$5,tblAuftraege[Datum Einnahmen],"&lt;"&amp;EDATE(BA$5,1),tblAuftraege[Auftrag],$A57))</f>
        <v>0</v>
      </c>
      <c r="BB57" s="11" t="n">
        <f aca="false">IF($A57="",0,SUMIFS(tblAuftraege[Einnahmen],tblAuftraege[Datum Einnahmen],"&gt;="&amp;BB$5,tblAuftraege[Datum Einnahmen],"&lt;"&amp;EDATE(BB$5,1),tblAuftraege[Auftrag],$A57))</f>
        <v>0</v>
      </c>
      <c r="BC57" s="11" t="n">
        <f aca="false">IF($A57="",0,SUMIFS(tblAuftraege[Einnahmen],tblAuftraege[Datum Einnahmen],"&gt;="&amp;BC$5,tblAuftraege[Datum Einnahmen],"&lt;"&amp;EDATE(BC$5,1),tblAuftraege[Auftrag],$A57))</f>
        <v>0</v>
      </c>
      <c r="BD57" s="11" t="n">
        <f aca="false">IF($A57="",0,SUMIFS(tblAuftraege[Einnahmen],tblAuftraege[Datum Einnahmen],"&gt;="&amp;BD$5,tblAuftraege[Datum Einnahmen],"&lt;"&amp;EDATE(BD$5,1),tblAuftraege[Auftrag],$A57))</f>
        <v>0</v>
      </c>
      <c r="BE57" s="11" t="n">
        <f aca="false">IF($A57="",0,SUMIFS(tblAuftraege[Einnahmen],tblAuftraege[Datum Einnahmen],"&gt;="&amp;BE$5,tblAuftraege[Datum Einnahmen],"&lt;"&amp;EDATE(BE$5,1),tblAuftraege[Auftrag],$A57))</f>
        <v>0</v>
      </c>
      <c r="BF57" s="11" t="n">
        <f aca="false">IF($A57="",0,SUMIFS(tblAuftraege[Einnahmen],tblAuftraege[Datum Einnahmen],"&gt;="&amp;BF$5,tblAuftraege[Datum Einnahmen],"&lt;"&amp;EDATE(BF$5,1),tblAuftraege[Auftrag],$A57))</f>
        <v>0</v>
      </c>
      <c r="BG57" s="11" t="n">
        <f aca="false">SUM(E57:J57)</f>
        <v>0</v>
      </c>
      <c r="BH57" s="11" t="n">
        <f aca="false">SUM(K57:V57)</f>
        <v>0</v>
      </c>
      <c r="BI57" s="11" t="n">
        <f aca="false">SUM(W57:AH57)</f>
        <v>0</v>
      </c>
      <c r="BJ57" s="11" t="n">
        <f aca="false">SUM(AI57:AT57)</f>
        <v>0</v>
      </c>
      <c r="BK57" s="11" t="n">
        <f aca="false">SUM(AU57:BF57)</f>
        <v>0</v>
      </c>
      <c r="BL57" s="12" t="n">
        <f aca="false">SUM(E57:BF57)</f>
        <v>0</v>
      </c>
    </row>
    <row r="58" customFormat="false" ht="15" hidden="false" customHeight="false" outlineLevel="0" collapsed="false">
      <c r="A58" s="13" t="s">
        <v>69</v>
      </c>
      <c r="B58" s="14" t="s">
        <v>70</v>
      </c>
      <c r="C58" s="15"/>
      <c r="D58" s="15"/>
      <c r="E58" s="11" t="n">
        <f aca="false">E59-SUM(E8:E57)</f>
        <v>0</v>
      </c>
      <c r="F58" s="11" t="n">
        <f aca="false">F59-SUM(F8:F57)</f>
        <v>0</v>
      </c>
      <c r="G58" s="11" t="n">
        <f aca="false">G59-SUM(G8:G57)</f>
        <v>0</v>
      </c>
      <c r="H58" s="11" t="n">
        <f aca="false">H59-SUM(H8:H57)</f>
        <v>0</v>
      </c>
      <c r="I58" s="11" t="n">
        <f aca="false">I59-SUM(I8:I57)</f>
        <v>0</v>
      </c>
      <c r="J58" s="11" t="n">
        <f aca="false">J59-SUM(J8:J57)</f>
        <v>0</v>
      </c>
      <c r="K58" s="11" t="n">
        <f aca="false">K59-SUM(K8:K57)</f>
        <v>0</v>
      </c>
      <c r="L58" s="11" t="n">
        <f aca="false">L59-SUM(L8:L57)</f>
        <v>0</v>
      </c>
      <c r="M58" s="11" t="n">
        <f aca="false">M59-SUM(M8:M57)</f>
        <v>0</v>
      </c>
      <c r="N58" s="11" t="n">
        <f aca="false">N59-SUM(N8:N57)</f>
        <v>0</v>
      </c>
      <c r="O58" s="11" t="n">
        <f aca="false">O59-SUM(O8:O57)</f>
        <v>0</v>
      </c>
      <c r="P58" s="11" t="n">
        <f aca="false">P59-SUM(P8:P57)</f>
        <v>0</v>
      </c>
      <c r="Q58" s="11" t="n">
        <f aca="false">Q59-SUM(Q8:Q57)</f>
        <v>0</v>
      </c>
      <c r="R58" s="11" t="n">
        <f aca="false">R59-SUM(R8:R57)</f>
        <v>0</v>
      </c>
      <c r="S58" s="11" t="n">
        <f aca="false">S59-SUM(S8:S57)</f>
        <v>0</v>
      </c>
      <c r="T58" s="11" t="n">
        <f aca="false">T59-SUM(T8:T57)</f>
        <v>0</v>
      </c>
      <c r="U58" s="11" t="n">
        <f aca="false">U59-SUM(U8:U57)</f>
        <v>0</v>
      </c>
      <c r="V58" s="11" t="n">
        <f aca="false">V59-SUM(V8:V57)</f>
        <v>0</v>
      </c>
      <c r="W58" s="11" t="n">
        <f aca="false">W59-SUM(W8:W57)</f>
        <v>0</v>
      </c>
      <c r="X58" s="11" t="n">
        <f aca="false">X59-SUM(X8:X57)</f>
        <v>0</v>
      </c>
      <c r="Y58" s="11" t="n">
        <f aca="false">Y59-SUM(Y8:Y57)</f>
        <v>0</v>
      </c>
      <c r="Z58" s="11" t="n">
        <f aca="false">Z59-SUM(Z8:Z57)</f>
        <v>0</v>
      </c>
      <c r="AA58" s="11" t="n">
        <f aca="false">AA59-SUM(AA8:AA57)</f>
        <v>0</v>
      </c>
      <c r="AB58" s="11" t="n">
        <f aca="false">AB59-SUM(AB8:AB57)</f>
        <v>0</v>
      </c>
      <c r="AC58" s="11" t="n">
        <f aca="false">AC59-SUM(AC8:AC57)</f>
        <v>0</v>
      </c>
      <c r="AD58" s="11" t="n">
        <f aca="false">AD59-SUM(AD8:AD57)</f>
        <v>0</v>
      </c>
      <c r="AE58" s="11" t="n">
        <f aca="false">AE59-SUM(AE8:AE57)</f>
        <v>0</v>
      </c>
      <c r="AF58" s="11" t="n">
        <f aca="false">AF59-SUM(AF8:AF57)</f>
        <v>0</v>
      </c>
      <c r="AG58" s="11" t="n">
        <f aca="false">AG59-SUM(AG8:AG57)</f>
        <v>0</v>
      </c>
      <c r="AH58" s="11" t="n">
        <f aca="false">AH59-SUM(AH8:AH57)</f>
        <v>0</v>
      </c>
      <c r="AI58" s="11" t="n">
        <f aca="false">AI59-SUM(AI8:AI57)</f>
        <v>0</v>
      </c>
      <c r="AJ58" s="11" t="n">
        <f aca="false">AJ59-SUM(AJ8:AJ57)</f>
        <v>0</v>
      </c>
      <c r="AK58" s="11" t="n">
        <f aca="false">AK59-SUM(AK8:AK57)</f>
        <v>0</v>
      </c>
      <c r="AL58" s="11" t="n">
        <f aca="false">AL59-SUM(AL8:AL57)</f>
        <v>0</v>
      </c>
      <c r="AM58" s="11" t="n">
        <f aca="false">AM59-SUM(AM8:AM57)</f>
        <v>0</v>
      </c>
      <c r="AN58" s="11" t="n">
        <f aca="false">AN59-SUM(AN8:AN57)</f>
        <v>0</v>
      </c>
      <c r="AO58" s="11" t="n">
        <f aca="false">AO59-SUM(AO8:AO57)</f>
        <v>0</v>
      </c>
      <c r="AP58" s="11" t="n">
        <f aca="false">AP59-SUM(AP8:AP57)</f>
        <v>0</v>
      </c>
      <c r="AQ58" s="11" t="n">
        <f aca="false">AQ59-SUM(AQ8:AQ57)</f>
        <v>0</v>
      </c>
      <c r="AR58" s="11" t="n">
        <f aca="false">AR59-SUM(AR8:AR57)</f>
        <v>0</v>
      </c>
      <c r="AS58" s="11" t="n">
        <f aca="false">AS59-SUM(AS8:AS57)</f>
        <v>0</v>
      </c>
      <c r="AT58" s="11" t="n">
        <f aca="false">AT59-SUM(AT8:AT57)</f>
        <v>0</v>
      </c>
      <c r="AU58" s="11" t="n">
        <f aca="false">AU59-SUM(AU8:AU57)</f>
        <v>0</v>
      </c>
      <c r="AV58" s="11" t="n">
        <f aca="false">AV59-SUM(AV8:AV57)</f>
        <v>0</v>
      </c>
      <c r="AW58" s="11" t="n">
        <f aca="false">AW59-SUM(AW8:AW57)</f>
        <v>0</v>
      </c>
      <c r="AX58" s="11" t="n">
        <f aca="false">AX59-SUM(AX8:AX57)</f>
        <v>0</v>
      </c>
      <c r="AY58" s="11" t="n">
        <f aca="false">AY59-SUM(AY8:AY57)</f>
        <v>0</v>
      </c>
      <c r="AZ58" s="11" t="n">
        <f aca="false">AZ59-SUM(AZ8:AZ57)</f>
        <v>0</v>
      </c>
      <c r="BA58" s="11" t="n">
        <f aca="false">BA59-SUM(BA8:BA57)</f>
        <v>0</v>
      </c>
      <c r="BB58" s="11" t="n">
        <f aca="false">BB59-SUM(BB8:BB57)</f>
        <v>0</v>
      </c>
      <c r="BC58" s="11" t="n">
        <f aca="false">BC59-SUM(BC8:BC57)</f>
        <v>0</v>
      </c>
      <c r="BD58" s="11" t="n">
        <f aca="false">BD59-SUM(BD8:BD57)</f>
        <v>0</v>
      </c>
      <c r="BE58" s="11" t="n">
        <f aca="false">BE59-SUM(BE8:BE57)</f>
        <v>0</v>
      </c>
      <c r="BF58" s="11" t="n">
        <f aca="false">BF59-SUM(BF8:BF57)</f>
        <v>0</v>
      </c>
      <c r="BG58" s="11" t="n">
        <f aca="false">BG59-SUM(BG8:BG57)</f>
        <v>0</v>
      </c>
      <c r="BH58" s="11" t="n">
        <f aca="false">BH59-SUM(BH8:BH57)</f>
        <v>0</v>
      </c>
      <c r="BI58" s="11" t="n">
        <f aca="false">BI59-SUM(BI8:BI57)</f>
        <v>0</v>
      </c>
      <c r="BJ58" s="11" t="n">
        <f aca="false">BJ59-SUM(BJ8:BJ57)</f>
        <v>0</v>
      </c>
      <c r="BK58" s="11" t="n">
        <f aca="false">BK59-SUM(BK8:BK57)</f>
        <v>0</v>
      </c>
      <c r="BL58" s="11" t="n">
        <f aca="false">BL59-SUM(BL8:BL57)</f>
        <v>0</v>
      </c>
    </row>
    <row r="59" customFormat="false" ht="15" hidden="false" customHeight="false" outlineLevel="0" collapsed="false">
      <c r="A59" s="16" t="s">
        <v>71</v>
      </c>
      <c r="B59" s="17"/>
      <c r="C59" s="18"/>
      <c r="D59" s="18"/>
      <c r="E59" s="19" t="n">
        <f aca="false">SUMIFS(tblAuftraege[Einnahmen],tblAuftraege[Datum Einnahmen],"&gt;="&amp;E$5,tblAuftraege[Datum Einnahmen],"&lt;"&amp;EDATE(E$5,1))</f>
        <v>0</v>
      </c>
      <c r="F59" s="19" t="n">
        <f aca="false">SUMIFS(tblAuftraege[Einnahmen],tblAuftraege[Datum Einnahmen],"&gt;="&amp;F$5,tblAuftraege[Datum Einnahmen],"&lt;"&amp;EDATE(F$5,1))</f>
        <v>0</v>
      </c>
      <c r="G59" s="19" t="n">
        <f aca="false">SUMIFS(tblAuftraege[Einnahmen],tblAuftraege[Datum Einnahmen],"&gt;="&amp;G$5,tblAuftraege[Datum Einnahmen],"&lt;"&amp;EDATE(G$5,1))</f>
        <v>0</v>
      </c>
      <c r="H59" s="19" t="n">
        <f aca="false">SUMIFS(tblAuftraege[Einnahmen],tblAuftraege[Datum Einnahmen],"&gt;="&amp;H$5,tblAuftraege[Datum Einnahmen],"&lt;"&amp;EDATE(H$5,1))</f>
        <v>0</v>
      </c>
      <c r="I59" s="19" t="n">
        <f aca="false">SUMIFS(tblAuftraege[Einnahmen],tblAuftraege[Datum Einnahmen],"&gt;="&amp;I$5,tblAuftraege[Datum Einnahmen],"&lt;"&amp;EDATE(I$5,1))</f>
        <v>0</v>
      </c>
      <c r="J59" s="19" t="n">
        <f aca="false">SUMIFS(tblAuftraege[Einnahmen],tblAuftraege[Datum Einnahmen],"&gt;="&amp;J$5,tblAuftraege[Datum Einnahmen],"&lt;"&amp;EDATE(J$5,1))</f>
        <v>0</v>
      </c>
      <c r="K59" s="19" t="n">
        <f aca="false">SUMIFS(tblAuftraege[Einnahmen],tblAuftraege[Datum Einnahmen],"&gt;="&amp;K$5,tblAuftraege[Datum Einnahmen],"&lt;"&amp;EDATE(K$5,1))</f>
        <v>0</v>
      </c>
      <c r="L59" s="19" t="n">
        <f aca="false">SUMIFS(tblAuftraege[Einnahmen],tblAuftraege[Datum Einnahmen],"&gt;="&amp;L$5,tblAuftraege[Datum Einnahmen],"&lt;"&amp;EDATE(L$5,1))</f>
        <v>0</v>
      </c>
      <c r="M59" s="19" t="n">
        <f aca="false">SUMIFS(tblAuftraege[Einnahmen],tblAuftraege[Datum Einnahmen],"&gt;="&amp;M$5,tblAuftraege[Datum Einnahmen],"&lt;"&amp;EDATE(M$5,1))</f>
        <v>0</v>
      </c>
      <c r="N59" s="19" t="n">
        <f aca="false">SUMIFS(tblAuftraege[Einnahmen],tblAuftraege[Datum Einnahmen],"&gt;="&amp;N$5,tblAuftraege[Datum Einnahmen],"&lt;"&amp;EDATE(N$5,1))</f>
        <v>0</v>
      </c>
      <c r="O59" s="19" t="n">
        <f aca="false">SUMIFS(tblAuftraege[Einnahmen],tblAuftraege[Datum Einnahmen],"&gt;="&amp;O$5,tblAuftraege[Datum Einnahmen],"&lt;"&amp;EDATE(O$5,1))</f>
        <v>0</v>
      </c>
      <c r="P59" s="19" t="n">
        <f aca="false">SUMIFS(tblAuftraege[Einnahmen],tblAuftraege[Datum Einnahmen],"&gt;="&amp;P$5,tblAuftraege[Datum Einnahmen],"&lt;"&amp;EDATE(P$5,1))</f>
        <v>0</v>
      </c>
      <c r="Q59" s="19" t="n">
        <f aca="false">SUMIFS(tblAuftraege[Einnahmen],tblAuftraege[Datum Einnahmen],"&gt;="&amp;Q$5,tblAuftraege[Datum Einnahmen],"&lt;"&amp;EDATE(Q$5,1))</f>
        <v>0</v>
      </c>
      <c r="R59" s="19" t="n">
        <f aca="false">SUMIFS(tblAuftraege[Einnahmen],tblAuftraege[Datum Einnahmen],"&gt;="&amp;R$5,tblAuftraege[Datum Einnahmen],"&lt;"&amp;EDATE(R$5,1))</f>
        <v>0</v>
      </c>
      <c r="S59" s="19" t="n">
        <f aca="false">SUMIFS(tblAuftraege[Einnahmen],tblAuftraege[Datum Einnahmen],"&gt;="&amp;S$5,tblAuftraege[Datum Einnahmen],"&lt;"&amp;EDATE(S$5,1))</f>
        <v>0</v>
      </c>
      <c r="T59" s="19" t="n">
        <f aca="false">SUMIFS(tblAuftraege[Einnahmen],tblAuftraege[Datum Einnahmen],"&gt;="&amp;T$5,tblAuftraege[Datum Einnahmen],"&lt;"&amp;EDATE(T$5,1))</f>
        <v>0</v>
      </c>
      <c r="U59" s="19" t="n">
        <f aca="false">SUMIFS(tblAuftraege[Einnahmen],tblAuftraege[Datum Einnahmen],"&gt;="&amp;U$5,tblAuftraege[Datum Einnahmen],"&lt;"&amp;EDATE(U$5,1))</f>
        <v>0</v>
      </c>
      <c r="V59" s="19" t="n">
        <f aca="false">SUMIFS(tblAuftraege[Einnahmen],tblAuftraege[Datum Einnahmen],"&gt;="&amp;V$5,tblAuftraege[Datum Einnahmen],"&lt;"&amp;EDATE(V$5,1))</f>
        <v>0</v>
      </c>
      <c r="W59" s="19" t="n">
        <f aca="false">SUMIFS(tblAuftraege[Einnahmen],tblAuftraege[Datum Einnahmen],"&gt;="&amp;W$5,tblAuftraege[Datum Einnahmen],"&lt;"&amp;EDATE(W$5,1))</f>
        <v>0</v>
      </c>
      <c r="X59" s="19" t="n">
        <f aca="false">SUMIFS(tblAuftraege[Einnahmen],tblAuftraege[Datum Einnahmen],"&gt;="&amp;X$5,tblAuftraege[Datum Einnahmen],"&lt;"&amp;EDATE(X$5,1))</f>
        <v>0</v>
      </c>
      <c r="Y59" s="19" t="n">
        <f aca="false">SUMIFS(tblAuftraege[Einnahmen],tblAuftraege[Datum Einnahmen],"&gt;="&amp;Y$5,tblAuftraege[Datum Einnahmen],"&lt;"&amp;EDATE(Y$5,1))</f>
        <v>0</v>
      </c>
      <c r="Z59" s="19" t="n">
        <f aca="false">SUMIFS(tblAuftraege[Einnahmen],tblAuftraege[Datum Einnahmen],"&gt;="&amp;Z$5,tblAuftraege[Datum Einnahmen],"&lt;"&amp;EDATE(Z$5,1))</f>
        <v>0</v>
      </c>
      <c r="AA59" s="19" t="n">
        <f aca="false">SUMIFS(tblAuftraege[Einnahmen],tblAuftraege[Datum Einnahmen],"&gt;="&amp;AA$5,tblAuftraege[Datum Einnahmen],"&lt;"&amp;EDATE(AA$5,1))</f>
        <v>0</v>
      </c>
      <c r="AB59" s="19" t="n">
        <f aca="false">SUMIFS(tblAuftraege[Einnahmen],tblAuftraege[Datum Einnahmen],"&gt;="&amp;AB$5,tblAuftraege[Datum Einnahmen],"&lt;"&amp;EDATE(AB$5,1))</f>
        <v>0</v>
      </c>
      <c r="AC59" s="19" t="n">
        <f aca="false">SUMIFS(tblAuftraege[Einnahmen],tblAuftraege[Datum Einnahmen],"&gt;="&amp;AC$5,tblAuftraege[Datum Einnahmen],"&lt;"&amp;EDATE(AC$5,1))</f>
        <v>0</v>
      </c>
      <c r="AD59" s="19" t="n">
        <f aca="false">SUMIFS(tblAuftraege[Einnahmen],tblAuftraege[Datum Einnahmen],"&gt;="&amp;AD$5,tblAuftraege[Datum Einnahmen],"&lt;"&amp;EDATE(AD$5,1))</f>
        <v>0</v>
      </c>
      <c r="AE59" s="19" t="n">
        <f aca="false">SUMIFS(tblAuftraege[Einnahmen],tblAuftraege[Datum Einnahmen],"&gt;="&amp;AE$5,tblAuftraege[Datum Einnahmen],"&lt;"&amp;EDATE(AE$5,1))</f>
        <v>0</v>
      </c>
      <c r="AF59" s="19" t="n">
        <f aca="false">SUMIFS(tblAuftraege[Einnahmen],tblAuftraege[Datum Einnahmen],"&gt;="&amp;AF$5,tblAuftraege[Datum Einnahmen],"&lt;"&amp;EDATE(AF$5,1))</f>
        <v>0</v>
      </c>
      <c r="AG59" s="19" t="n">
        <f aca="false">SUMIFS(tblAuftraege[Einnahmen],tblAuftraege[Datum Einnahmen],"&gt;="&amp;AG$5,tblAuftraege[Datum Einnahmen],"&lt;"&amp;EDATE(AG$5,1))</f>
        <v>0</v>
      </c>
      <c r="AH59" s="19" t="n">
        <f aca="false">SUMIFS(tblAuftraege[Einnahmen],tblAuftraege[Datum Einnahmen],"&gt;="&amp;AH$5,tblAuftraege[Datum Einnahmen],"&lt;"&amp;EDATE(AH$5,1))</f>
        <v>0</v>
      </c>
      <c r="AI59" s="19" t="n">
        <f aca="false">SUMIFS(tblAuftraege[Einnahmen],tblAuftraege[Datum Einnahmen],"&gt;="&amp;AI$5,tblAuftraege[Datum Einnahmen],"&lt;"&amp;EDATE(AI$5,1))</f>
        <v>0</v>
      </c>
      <c r="AJ59" s="19" t="n">
        <f aca="false">SUMIFS(tblAuftraege[Einnahmen],tblAuftraege[Datum Einnahmen],"&gt;="&amp;AJ$5,tblAuftraege[Datum Einnahmen],"&lt;"&amp;EDATE(AJ$5,1))</f>
        <v>0</v>
      </c>
      <c r="AK59" s="19" t="n">
        <f aca="false">SUMIFS(tblAuftraege[Einnahmen],tblAuftraege[Datum Einnahmen],"&gt;="&amp;AK$5,tblAuftraege[Datum Einnahmen],"&lt;"&amp;EDATE(AK$5,1))</f>
        <v>0</v>
      </c>
      <c r="AL59" s="19" t="n">
        <f aca="false">SUMIFS(tblAuftraege[Einnahmen],tblAuftraege[Datum Einnahmen],"&gt;="&amp;AL$5,tblAuftraege[Datum Einnahmen],"&lt;"&amp;EDATE(AL$5,1))</f>
        <v>0</v>
      </c>
      <c r="AM59" s="19" t="n">
        <f aca="false">SUMIFS(tblAuftraege[Einnahmen],tblAuftraege[Datum Einnahmen],"&gt;="&amp;AM$5,tblAuftraege[Datum Einnahmen],"&lt;"&amp;EDATE(AM$5,1))</f>
        <v>0</v>
      </c>
      <c r="AN59" s="19" t="n">
        <f aca="false">SUMIFS(tblAuftraege[Einnahmen],tblAuftraege[Datum Einnahmen],"&gt;="&amp;AN$5,tblAuftraege[Datum Einnahmen],"&lt;"&amp;EDATE(AN$5,1))</f>
        <v>0</v>
      </c>
      <c r="AO59" s="19" t="n">
        <f aca="false">SUMIFS(tblAuftraege[Einnahmen],tblAuftraege[Datum Einnahmen],"&gt;="&amp;AO$5,tblAuftraege[Datum Einnahmen],"&lt;"&amp;EDATE(AO$5,1))</f>
        <v>0</v>
      </c>
      <c r="AP59" s="19" t="n">
        <f aca="false">SUMIFS(tblAuftraege[Einnahmen],tblAuftraege[Datum Einnahmen],"&gt;="&amp;AP$5,tblAuftraege[Datum Einnahmen],"&lt;"&amp;EDATE(AP$5,1))</f>
        <v>0</v>
      </c>
      <c r="AQ59" s="19" t="n">
        <f aca="false">SUMIFS(tblAuftraege[Einnahmen],tblAuftraege[Datum Einnahmen],"&gt;="&amp;AQ$5,tblAuftraege[Datum Einnahmen],"&lt;"&amp;EDATE(AQ$5,1))</f>
        <v>0</v>
      </c>
      <c r="AR59" s="19" t="n">
        <f aca="false">SUMIFS(tblAuftraege[Einnahmen],tblAuftraege[Datum Einnahmen],"&gt;="&amp;AR$5,tblAuftraege[Datum Einnahmen],"&lt;"&amp;EDATE(AR$5,1))</f>
        <v>0</v>
      </c>
      <c r="AS59" s="19" t="n">
        <f aca="false">SUMIFS(tblAuftraege[Einnahmen],tblAuftraege[Datum Einnahmen],"&gt;="&amp;AS$5,tblAuftraege[Datum Einnahmen],"&lt;"&amp;EDATE(AS$5,1))</f>
        <v>0</v>
      </c>
      <c r="AT59" s="19" t="n">
        <f aca="false">SUMIFS(tblAuftraege[Einnahmen],tblAuftraege[Datum Einnahmen],"&gt;="&amp;AT$5,tblAuftraege[Datum Einnahmen],"&lt;"&amp;EDATE(AT$5,1))</f>
        <v>0</v>
      </c>
      <c r="AU59" s="19" t="n">
        <f aca="false">SUMIFS(tblAuftraege[Einnahmen],tblAuftraege[Datum Einnahmen],"&gt;="&amp;AU$5,tblAuftraege[Datum Einnahmen],"&lt;"&amp;EDATE(AU$5,1))</f>
        <v>0</v>
      </c>
      <c r="AV59" s="19" t="n">
        <f aca="false">SUMIFS(tblAuftraege[Einnahmen],tblAuftraege[Datum Einnahmen],"&gt;="&amp;AV$5,tblAuftraege[Datum Einnahmen],"&lt;"&amp;EDATE(AV$5,1))</f>
        <v>0</v>
      </c>
      <c r="AW59" s="19" t="n">
        <f aca="false">SUMIFS(tblAuftraege[Einnahmen],tblAuftraege[Datum Einnahmen],"&gt;="&amp;AW$5,tblAuftraege[Datum Einnahmen],"&lt;"&amp;EDATE(AW$5,1))</f>
        <v>0</v>
      </c>
      <c r="AX59" s="19" t="n">
        <f aca="false">SUMIFS(tblAuftraege[Einnahmen],tblAuftraege[Datum Einnahmen],"&gt;="&amp;AX$5,tblAuftraege[Datum Einnahmen],"&lt;"&amp;EDATE(AX$5,1))</f>
        <v>0</v>
      </c>
      <c r="AY59" s="19" t="n">
        <f aca="false">SUMIFS(tblAuftraege[Einnahmen],tblAuftraege[Datum Einnahmen],"&gt;="&amp;AY$5,tblAuftraege[Datum Einnahmen],"&lt;"&amp;EDATE(AY$5,1))</f>
        <v>0</v>
      </c>
      <c r="AZ59" s="19" t="n">
        <f aca="false">SUMIFS(tblAuftraege[Einnahmen],tblAuftraege[Datum Einnahmen],"&gt;="&amp;AZ$5,tblAuftraege[Datum Einnahmen],"&lt;"&amp;EDATE(AZ$5,1))</f>
        <v>0</v>
      </c>
      <c r="BA59" s="19" t="n">
        <f aca="false">SUMIFS(tblAuftraege[Einnahmen],tblAuftraege[Datum Einnahmen],"&gt;="&amp;BA$5,tblAuftraege[Datum Einnahmen],"&lt;"&amp;EDATE(BA$5,1))</f>
        <v>0</v>
      </c>
      <c r="BB59" s="19" t="n">
        <f aca="false">SUMIFS(tblAuftraege[Einnahmen],tblAuftraege[Datum Einnahmen],"&gt;="&amp;BB$5,tblAuftraege[Datum Einnahmen],"&lt;"&amp;EDATE(BB$5,1))</f>
        <v>0</v>
      </c>
      <c r="BC59" s="19" t="n">
        <f aca="false">SUMIFS(tblAuftraege[Einnahmen],tblAuftraege[Datum Einnahmen],"&gt;="&amp;BC$5,tblAuftraege[Datum Einnahmen],"&lt;"&amp;EDATE(BC$5,1))</f>
        <v>0</v>
      </c>
      <c r="BD59" s="19" t="n">
        <f aca="false">SUMIFS(tblAuftraege[Einnahmen],tblAuftraege[Datum Einnahmen],"&gt;="&amp;BD$5,tblAuftraege[Datum Einnahmen],"&lt;"&amp;EDATE(BD$5,1))</f>
        <v>0</v>
      </c>
      <c r="BE59" s="19" t="n">
        <f aca="false">SUMIFS(tblAuftraege[Einnahmen],tblAuftraege[Datum Einnahmen],"&gt;="&amp;BE$5,tblAuftraege[Datum Einnahmen],"&lt;"&amp;EDATE(BE$5,1))</f>
        <v>0</v>
      </c>
      <c r="BF59" s="19" t="n">
        <f aca="false">SUMIFS(tblAuftraege[Einnahmen],tblAuftraege[Datum Einnahmen],"&gt;="&amp;BF$5,tblAuftraege[Datum Einnahmen],"&lt;"&amp;EDATE(BF$5,1))</f>
        <v>0</v>
      </c>
      <c r="BG59" s="19" t="n">
        <f aca="false">SUM(E59:J59)</f>
        <v>0</v>
      </c>
      <c r="BH59" s="19" t="n">
        <f aca="false">SUM(K59:V59)</f>
        <v>0</v>
      </c>
      <c r="BI59" s="19" t="n">
        <f aca="false">SUM(W59:AH59)</f>
        <v>0</v>
      </c>
      <c r="BJ59" s="19" t="n">
        <f aca="false">SUM(AI59:AT59)</f>
        <v>0</v>
      </c>
      <c r="BK59" s="19" t="n">
        <f aca="false">SUM(AU59:BF59)</f>
        <v>0</v>
      </c>
      <c r="BL59" s="19" t="n">
        <f aca="false">SUM(E59:BF59)</f>
        <v>0</v>
      </c>
    </row>
    <row r="61" customFormat="false" ht="19.5" hidden="false" customHeight="true" outlineLevel="0" collapsed="false">
      <c r="A61" s="7" t="s">
        <v>72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</row>
    <row r="62" customFormat="false" ht="15" hidden="false" customHeight="false" outlineLevel="0" collapsed="false">
      <c r="A62" s="9"/>
      <c r="B62" s="10" t="str">
        <f aca="false">IF($A62="","",IFERROR(INDEX(tblAuftraege[Kostenstelle],MATCH($A62,tblAuftraege[Auftrag],0)),""))</f>
        <v/>
      </c>
      <c r="C62" s="10" t="str">
        <f aca="false">IF($A62="","",IFERROR(INDEX(tblAuftraege[Themenfeld],MATCH($A62,tblAuftraege[Auftrag],0)),""))</f>
        <v/>
      </c>
      <c r="D62" s="10" t="str">
        <f aca="false">IF($A62="","",IFERROR(INDEX(tblAuftraege[Kategorie],MATCH($A62,tblAuftraege[Auftrag],0)),""))</f>
        <v/>
      </c>
      <c r="E62" s="11" t="n">
        <f aca="false">IF($A62="",0,SUMIFS(tblAuftraege[Ausgaben],tblAuftraege[Datum Ausgaben],"&gt;="&amp;E$5,tblAuftraege[Datum Ausgaben],"&lt;"&amp;EDATE(E$5,1),tblAuftraege[Auftrag],$A62))</f>
        <v>0</v>
      </c>
      <c r="F62" s="11" t="n">
        <f aca="false">IF($A62="",0,SUMIFS(tblAuftraege[Ausgaben],tblAuftraege[Datum Ausgaben],"&gt;="&amp;F$5,tblAuftraege[Datum Ausgaben],"&lt;"&amp;EDATE(F$5,1),tblAuftraege[Auftrag],$A62))</f>
        <v>0</v>
      </c>
      <c r="G62" s="11" t="n">
        <f aca="false">IF($A62="",0,SUMIFS(tblAuftraege[Ausgaben],tblAuftraege[Datum Ausgaben],"&gt;="&amp;G$5,tblAuftraege[Datum Ausgaben],"&lt;"&amp;EDATE(G$5,1),tblAuftraege[Auftrag],$A62))</f>
        <v>0</v>
      </c>
      <c r="H62" s="11" t="n">
        <f aca="false">IF($A62="",0,SUMIFS(tblAuftraege[Ausgaben],tblAuftraege[Datum Ausgaben],"&gt;="&amp;H$5,tblAuftraege[Datum Ausgaben],"&lt;"&amp;EDATE(H$5,1),tblAuftraege[Auftrag],$A62))</f>
        <v>0</v>
      </c>
      <c r="I62" s="11" t="n">
        <f aca="false">IF($A62="",0,SUMIFS(tblAuftraege[Ausgaben],tblAuftraege[Datum Ausgaben],"&gt;="&amp;I$5,tblAuftraege[Datum Ausgaben],"&lt;"&amp;EDATE(I$5,1),tblAuftraege[Auftrag],$A62))</f>
        <v>0</v>
      </c>
      <c r="J62" s="11" t="n">
        <f aca="false">IF($A62="",0,SUMIFS(tblAuftraege[Ausgaben],tblAuftraege[Datum Ausgaben],"&gt;="&amp;J$5,tblAuftraege[Datum Ausgaben],"&lt;"&amp;EDATE(J$5,1),tblAuftraege[Auftrag],$A62))</f>
        <v>0</v>
      </c>
      <c r="K62" s="11" t="n">
        <f aca="false">IF($A62="",0,SUMIFS(tblAuftraege[Ausgaben],tblAuftraege[Datum Ausgaben],"&gt;="&amp;K$5,tblAuftraege[Datum Ausgaben],"&lt;"&amp;EDATE(K$5,1),tblAuftraege[Auftrag],$A62))</f>
        <v>0</v>
      </c>
      <c r="L62" s="11" t="n">
        <f aca="false">IF($A62="",0,SUMIFS(tblAuftraege[Ausgaben],tblAuftraege[Datum Ausgaben],"&gt;="&amp;L$5,tblAuftraege[Datum Ausgaben],"&lt;"&amp;EDATE(L$5,1),tblAuftraege[Auftrag],$A62))</f>
        <v>0</v>
      </c>
      <c r="M62" s="11" t="n">
        <f aca="false">IF($A62="",0,SUMIFS(tblAuftraege[Ausgaben],tblAuftraege[Datum Ausgaben],"&gt;="&amp;M$5,tblAuftraege[Datum Ausgaben],"&lt;"&amp;EDATE(M$5,1),tblAuftraege[Auftrag],$A62))</f>
        <v>0</v>
      </c>
      <c r="N62" s="11" t="n">
        <f aca="false">IF($A62="",0,SUMIFS(tblAuftraege[Ausgaben],tblAuftraege[Datum Ausgaben],"&gt;="&amp;N$5,tblAuftraege[Datum Ausgaben],"&lt;"&amp;EDATE(N$5,1),tblAuftraege[Auftrag],$A62))</f>
        <v>0</v>
      </c>
      <c r="O62" s="11" t="n">
        <f aca="false">IF($A62="",0,SUMIFS(tblAuftraege[Ausgaben],tblAuftraege[Datum Ausgaben],"&gt;="&amp;O$5,tblAuftraege[Datum Ausgaben],"&lt;"&amp;EDATE(O$5,1),tblAuftraege[Auftrag],$A62))</f>
        <v>0</v>
      </c>
      <c r="P62" s="11" t="n">
        <f aca="false">IF($A62="",0,SUMIFS(tblAuftraege[Ausgaben],tblAuftraege[Datum Ausgaben],"&gt;="&amp;P$5,tblAuftraege[Datum Ausgaben],"&lt;"&amp;EDATE(P$5,1),tblAuftraege[Auftrag],$A62))</f>
        <v>0</v>
      </c>
      <c r="Q62" s="11" t="n">
        <f aca="false">IF($A62="",0,SUMIFS(tblAuftraege[Ausgaben],tblAuftraege[Datum Ausgaben],"&gt;="&amp;Q$5,tblAuftraege[Datum Ausgaben],"&lt;"&amp;EDATE(Q$5,1),tblAuftraege[Auftrag],$A62))</f>
        <v>0</v>
      </c>
      <c r="R62" s="11" t="n">
        <f aca="false">IF($A62="",0,SUMIFS(tblAuftraege[Ausgaben],tblAuftraege[Datum Ausgaben],"&gt;="&amp;R$5,tblAuftraege[Datum Ausgaben],"&lt;"&amp;EDATE(R$5,1),tblAuftraege[Auftrag],$A62))</f>
        <v>0</v>
      </c>
      <c r="S62" s="11" t="n">
        <f aca="false">IF($A62="",0,SUMIFS(tblAuftraege[Ausgaben],tblAuftraege[Datum Ausgaben],"&gt;="&amp;S$5,tblAuftraege[Datum Ausgaben],"&lt;"&amp;EDATE(S$5,1),tblAuftraege[Auftrag],$A62))</f>
        <v>0</v>
      </c>
      <c r="T62" s="11" t="n">
        <f aca="false">IF($A62="",0,SUMIFS(tblAuftraege[Ausgaben],tblAuftraege[Datum Ausgaben],"&gt;="&amp;T$5,tblAuftraege[Datum Ausgaben],"&lt;"&amp;EDATE(T$5,1),tblAuftraege[Auftrag],$A62))</f>
        <v>0</v>
      </c>
      <c r="U62" s="11" t="n">
        <f aca="false">IF($A62="",0,SUMIFS(tblAuftraege[Ausgaben],tblAuftraege[Datum Ausgaben],"&gt;="&amp;U$5,tblAuftraege[Datum Ausgaben],"&lt;"&amp;EDATE(U$5,1),tblAuftraege[Auftrag],$A62))</f>
        <v>0</v>
      </c>
      <c r="V62" s="11" t="n">
        <f aca="false">IF($A62="",0,SUMIFS(tblAuftraege[Ausgaben],tblAuftraege[Datum Ausgaben],"&gt;="&amp;V$5,tblAuftraege[Datum Ausgaben],"&lt;"&amp;EDATE(V$5,1),tblAuftraege[Auftrag],$A62))</f>
        <v>0</v>
      </c>
      <c r="W62" s="11" t="n">
        <f aca="false">IF($A62="",0,SUMIFS(tblAuftraege[Ausgaben],tblAuftraege[Datum Ausgaben],"&gt;="&amp;W$5,tblAuftraege[Datum Ausgaben],"&lt;"&amp;EDATE(W$5,1),tblAuftraege[Auftrag],$A62))</f>
        <v>0</v>
      </c>
      <c r="X62" s="11" t="n">
        <f aca="false">IF($A62="",0,SUMIFS(tblAuftraege[Ausgaben],tblAuftraege[Datum Ausgaben],"&gt;="&amp;X$5,tblAuftraege[Datum Ausgaben],"&lt;"&amp;EDATE(X$5,1),tblAuftraege[Auftrag],$A62))</f>
        <v>0</v>
      </c>
      <c r="Y62" s="11" t="n">
        <f aca="false">IF($A62="",0,SUMIFS(tblAuftraege[Ausgaben],tblAuftraege[Datum Ausgaben],"&gt;="&amp;Y$5,tblAuftraege[Datum Ausgaben],"&lt;"&amp;EDATE(Y$5,1),tblAuftraege[Auftrag],$A62))</f>
        <v>0</v>
      </c>
      <c r="Z62" s="11" t="n">
        <f aca="false">IF($A62="",0,SUMIFS(tblAuftraege[Ausgaben],tblAuftraege[Datum Ausgaben],"&gt;="&amp;Z$5,tblAuftraege[Datum Ausgaben],"&lt;"&amp;EDATE(Z$5,1),tblAuftraege[Auftrag],$A62))</f>
        <v>0</v>
      </c>
      <c r="AA62" s="11" t="n">
        <f aca="false">IF($A62="",0,SUMIFS(tblAuftraege[Ausgaben],tblAuftraege[Datum Ausgaben],"&gt;="&amp;AA$5,tblAuftraege[Datum Ausgaben],"&lt;"&amp;EDATE(AA$5,1),tblAuftraege[Auftrag],$A62))</f>
        <v>0</v>
      </c>
      <c r="AB62" s="11" t="n">
        <f aca="false">IF($A62="",0,SUMIFS(tblAuftraege[Ausgaben],tblAuftraege[Datum Ausgaben],"&gt;="&amp;AB$5,tblAuftraege[Datum Ausgaben],"&lt;"&amp;EDATE(AB$5,1),tblAuftraege[Auftrag],$A62))</f>
        <v>0</v>
      </c>
      <c r="AC62" s="11" t="n">
        <f aca="false">IF($A62="",0,SUMIFS(tblAuftraege[Ausgaben],tblAuftraege[Datum Ausgaben],"&gt;="&amp;AC$5,tblAuftraege[Datum Ausgaben],"&lt;"&amp;EDATE(AC$5,1),tblAuftraege[Auftrag],$A62))</f>
        <v>0</v>
      </c>
      <c r="AD62" s="11" t="n">
        <f aca="false">IF($A62="",0,SUMIFS(tblAuftraege[Ausgaben],tblAuftraege[Datum Ausgaben],"&gt;="&amp;AD$5,tblAuftraege[Datum Ausgaben],"&lt;"&amp;EDATE(AD$5,1),tblAuftraege[Auftrag],$A62))</f>
        <v>0</v>
      </c>
      <c r="AE62" s="11" t="n">
        <f aca="false">IF($A62="",0,SUMIFS(tblAuftraege[Ausgaben],tblAuftraege[Datum Ausgaben],"&gt;="&amp;AE$5,tblAuftraege[Datum Ausgaben],"&lt;"&amp;EDATE(AE$5,1),tblAuftraege[Auftrag],$A62))</f>
        <v>0</v>
      </c>
      <c r="AF62" s="11" t="n">
        <f aca="false">IF($A62="",0,SUMIFS(tblAuftraege[Ausgaben],tblAuftraege[Datum Ausgaben],"&gt;="&amp;AF$5,tblAuftraege[Datum Ausgaben],"&lt;"&amp;EDATE(AF$5,1),tblAuftraege[Auftrag],$A62))</f>
        <v>0</v>
      </c>
      <c r="AG62" s="11" t="n">
        <f aca="false">IF($A62="",0,SUMIFS(tblAuftraege[Ausgaben],tblAuftraege[Datum Ausgaben],"&gt;="&amp;AG$5,tblAuftraege[Datum Ausgaben],"&lt;"&amp;EDATE(AG$5,1),tblAuftraege[Auftrag],$A62))</f>
        <v>0</v>
      </c>
      <c r="AH62" s="11" t="n">
        <f aca="false">IF($A62="",0,SUMIFS(tblAuftraege[Ausgaben],tblAuftraege[Datum Ausgaben],"&gt;="&amp;AH$5,tblAuftraege[Datum Ausgaben],"&lt;"&amp;EDATE(AH$5,1),tblAuftraege[Auftrag],$A62))</f>
        <v>0</v>
      </c>
      <c r="AI62" s="11" t="n">
        <f aca="false">IF($A62="",0,SUMIFS(tblAuftraege[Ausgaben],tblAuftraege[Datum Ausgaben],"&gt;="&amp;AI$5,tblAuftraege[Datum Ausgaben],"&lt;"&amp;EDATE(AI$5,1),tblAuftraege[Auftrag],$A62))</f>
        <v>0</v>
      </c>
      <c r="AJ62" s="11" t="n">
        <f aca="false">IF($A62="",0,SUMIFS(tblAuftraege[Ausgaben],tblAuftraege[Datum Ausgaben],"&gt;="&amp;AJ$5,tblAuftraege[Datum Ausgaben],"&lt;"&amp;EDATE(AJ$5,1),tblAuftraege[Auftrag],$A62))</f>
        <v>0</v>
      </c>
      <c r="AK62" s="11" t="n">
        <f aca="false">IF($A62="",0,SUMIFS(tblAuftraege[Ausgaben],tblAuftraege[Datum Ausgaben],"&gt;="&amp;AK$5,tblAuftraege[Datum Ausgaben],"&lt;"&amp;EDATE(AK$5,1),tblAuftraege[Auftrag],$A62))</f>
        <v>0</v>
      </c>
      <c r="AL62" s="11" t="n">
        <f aca="false">IF($A62="",0,SUMIFS(tblAuftraege[Ausgaben],tblAuftraege[Datum Ausgaben],"&gt;="&amp;AL$5,tblAuftraege[Datum Ausgaben],"&lt;"&amp;EDATE(AL$5,1),tblAuftraege[Auftrag],$A62))</f>
        <v>0</v>
      </c>
      <c r="AM62" s="11" t="n">
        <f aca="false">IF($A62="",0,SUMIFS(tblAuftraege[Ausgaben],tblAuftraege[Datum Ausgaben],"&gt;="&amp;AM$5,tblAuftraege[Datum Ausgaben],"&lt;"&amp;EDATE(AM$5,1),tblAuftraege[Auftrag],$A62))</f>
        <v>0</v>
      </c>
      <c r="AN62" s="11" t="n">
        <f aca="false">IF($A62="",0,SUMIFS(tblAuftraege[Ausgaben],tblAuftraege[Datum Ausgaben],"&gt;="&amp;AN$5,tblAuftraege[Datum Ausgaben],"&lt;"&amp;EDATE(AN$5,1),tblAuftraege[Auftrag],$A62))</f>
        <v>0</v>
      </c>
      <c r="AO62" s="11" t="n">
        <f aca="false">IF($A62="",0,SUMIFS(tblAuftraege[Ausgaben],tblAuftraege[Datum Ausgaben],"&gt;="&amp;AO$5,tblAuftraege[Datum Ausgaben],"&lt;"&amp;EDATE(AO$5,1),tblAuftraege[Auftrag],$A62))</f>
        <v>0</v>
      </c>
      <c r="AP62" s="11" t="n">
        <f aca="false">IF($A62="",0,SUMIFS(tblAuftraege[Ausgaben],tblAuftraege[Datum Ausgaben],"&gt;="&amp;AP$5,tblAuftraege[Datum Ausgaben],"&lt;"&amp;EDATE(AP$5,1),tblAuftraege[Auftrag],$A62))</f>
        <v>0</v>
      </c>
      <c r="AQ62" s="11" t="n">
        <f aca="false">IF($A62="",0,SUMIFS(tblAuftraege[Ausgaben],tblAuftraege[Datum Ausgaben],"&gt;="&amp;AQ$5,tblAuftraege[Datum Ausgaben],"&lt;"&amp;EDATE(AQ$5,1),tblAuftraege[Auftrag],$A62))</f>
        <v>0</v>
      </c>
      <c r="AR62" s="11" t="n">
        <f aca="false">IF($A62="",0,SUMIFS(tblAuftraege[Ausgaben],tblAuftraege[Datum Ausgaben],"&gt;="&amp;AR$5,tblAuftraege[Datum Ausgaben],"&lt;"&amp;EDATE(AR$5,1),tblAuftraege[Auftrag],$A62))</f>
        <v>0</v>
      </c>
      <c r="AS62" s="11" t="n">
        <f aca="false">IF($A62="",0,SUMIFS(tblAuftraege[Ausgaben],tblAuftraege[Datum Ausgaben],"&gt;="&amp;AS$5,tblAuftraege[Datum Ausgaben],"&lt;"&amp;EDATE(AS$5,1),tblAuftraege[Auftrag],$A62))</f>
        <v>0</v>
      </c>
      <c r="AT62" s="11" t="n">
        <f aca="false">IF($A62="",0,SUMIFS(tblAuftraege[Ausgaben],tblAuftraege[Datum Ausgaben],"&gt;="&amp;AT$5,tblAuftraege[Datum Ausgaben],"&lt;"&amp;EDATE(AT$5,1),tblAuftraege[Auftrag],$A62))</f>
        <v>0</v>
      </c>
      <c r="AU62" s="11" t="n">
        <f aca="false">IF($A62="",0,SUMIFS(tblAuftraege[Ausgaben],tblAuftraege[Datum Ausgaben],"&gt;="&amp;AU$5,tblAuftraege[Datum Ausgaben],"&lt;"&amp;EDATE(AU$5,1),tblAuftraege[Auftrag],$A62))</f>
        <v>0</v>
      </c>
      <c r="AV62" s="11" t="n">
        <f aca="false">IF($A62="",0,SUMIFS(tblAuftraege[Ausgaben],tblAuftraege[Datum Ausgaben],"&gt;="&amp;AV$5,tblAuftraege[Datum Ausgaben],"&lt;"&amp;EDATE(AV$5,1),tblAuftraege[Auftrag],$A62))</f>
        <v>0</v>
      </c>
      <c r="AW62" s="11" t="n">
        <f aca="false">IF($A62="",0,SUMIFS(tblAuftraege[Ausgaben],tblAuftraege[Datum Ausgaben],"&gt;="&amp;AW$5,tblAuftraege[Datum Ausgaben],"&lt;"&amp;EDATE(AW$5,1),tblAuftraege[Auftrag],$A62))</f>
        <v>0</v>
      </c>
      <c r="AX62" s="11" t="n">
        <f aca="false">IF($A62="",0,SUMIFS(tblAuftraege[Ausgaben],tblAuftraege[Datum Ausgaben],"&gt;="&amp;AX$5,tblAuftraege[Datum Ausgaben],"&lt;"&amp;EDATE(AX$5,1),tblAuftraege[Auftrag],$A62))</f>
        <v>0</v>
      </c>
      <c r="AY62" s="11" t="n">
        <f aca="false">IF($A62="",0,SUMIFS(tblAuftraege[Ausgaben],tblAuftraege[Datum Ausgaben],"&gt;="&amp;AY$5,tblAuftraege[Datum Ausgaben],"&lt;"&amp;EDATE(AY$5,1),tblAuftraege[Auftrag],$A62))</f>
        <v>0</v>
      </c>
      <c r="AZ62" s="11" t="n">
        <f aca="false">IF($A62="",0,SUMIFS(tblAuftraege[Ausgaben],tblAuftraege[Datum Ausgaben],"&gt;="&amp;AZ$5,tblAuftraege[Datum Ausgaben],"&lt;"&amp;EDATE(AZ$5,1),tblAuftraege[Auftrag],$A62))</f>
        <v>0</v>
      </c>
      <c r="BA62" s="11" t="n">
        <f aca="false">IF($A62="",0,SUMIFS(tblAuftraege[Ausgaben],tblAuftraege[Datum Ausgaben],"&gt;="&amp;BA$5,tblAuftraege[Datum Ausgaben],"&lt;"&amp;EDATE(BA$5,1),tblAuftraege[Auftrag],$A62))</f>
        <v>0</v>
      </c>
      <c r="BB62" s="11" t="n">
        <f aca="false">IF($A62="",0,SUMIFS(tblAuftraege[Ausgaben],tblAuftraege[Datum Ausgaben],"&gt;="&amp;BB$5,tblAuftraege[Datum Ausgaben],"&lt;"&amp;EDATE(BB$5,1),tblAuftraege[Auftrag],$A62))</f>
        <v>0</v>
      </c>
      <c r="BC62" s="11" t="n">
        <f aca="false">IF($A62="",0,SUMIFS(tblAuftraege[Ausgaben],tblAuftraege[Datum Ausgaben],"&gt;="&amp;BC$5,tblAuftraege[Datum Ausgaben],"&lt;"&amp;EDATE(BC$5,1),tblAuftraege[Auftrag],$A62))</f>
        <v>0</v>
      </c>
      <c r="BD62" s="11" t="n">
        <f aca="false">IF($A62="",0,SUMIFS(tblAuftraege[Ausgaben],tblAuftraege[Datum Ausgaben],"&gt;="&amp;BD$5,tblAuftraege[Datum Ausgaben],"&lt;"&amp;EDATE(BD$5,1),tblAuftraege[Auftrag],$A62))</f>
        <v>0</v>
      </c>
      <c r="BE62" s="11" t="n">
        <f aca="false">IF($A62="",0,SUMIFS(tblAuftraege[Ausgaben],tblAuftraege[Datum Ausgaben],"&gt;="&amp;BE$5,tblAuftraege[Datum Ausgaben],"&lt;"&amp;EDATE(BE$5,1),tblAuftraege[Auftrag],$A62))</f>
        <v>0</v>
      </c>
      <c r="BF62" s="11" t="n">
        <f aca="false">IF($A62="",0,SUMIFS(tblAuftraege[Ausgaben],tblAuftraege[Datum Ausgaben],"&gt;="&amp;BF$5,tblAuftraege[Datum Ausgaben],"&lt;"&amp;EDATE(BF$5,1),tblAuftraege[Auftrag],$A62))</f>
        <v>0</v>
      </c>
      <c r="BG62" s="11" t="n">
        <f aca="false">SUM(E62:J62)</f>
        <v>0</v>
      </c>
      <c r="BH62" s="11" t="n">
        <f aca="false">SUM(K62:V62)</f>
        <v>0</v>
      </c>
      <c r="BI62" s="11" t="n">
        <f aca="false">SUM(W62:AH62)</f>
        <v>0</v>
      </c>
      <c r="BJ62" s="11" t="n">
        <f aca="false">SUM(AI62:AT62)</f>
        <v>0</v>
      </c>
      <c r="BK62" s="11" t="n">
        <f aca="false">SUM(AU62:BF62)</f>
        <v>0</v>
      </c>
      <c r="BL62" s="12" t="n">
        <f aca="false">SUM(E62:BF62)</f>
        <v>0</v>
      </c>
    </row>
    <row r="63" customFormat="false" ht="15" hidden="false" customHeight="false" outlineLevel="0" collapsed="false">
      <c r="A63" s="9"/>
      <c r="B63" s="10" t="str">
        <f aca="false">IF($A63="","",IFERROR(INDEX(tblAuftraege[Kostenstelle],MATCH($A63,tblAuftraege[Auftrag],0)),""))</f>
        <v/>
      </c>
      <c r="C63" s="10" t="str">
        <f aca="false">IF($A63="","",IFERROR(INDEX(tblAuftraege[Themenfeld],MATCH($A63,tblAuftraege[Auftrag],0)),""))</f>
        <v/>
      </c>
      <c r="D63" s="10" t="str">
        <f aca="false">IF($A63="","",IFERROR(INDEX(tblAuftraege[Kategorie],MATCH($A63,tblAuftraege[Auftrag],0)),""))</f>
        <v/>
      </c>
      <c r="E63" s="11" t="n">
        <f aca="false">IF($A63="",0,SUMIFS(tblAuftraege[Ausgaben],tblAuftraege[Datum Ausgaben],"&gt;="&amp;E$5,tblAuftraege[Datum Ausgaben],"&lt;"&amp;EDATE(E$5,1),tblAuftraege[Auftrag],$A63))</f>
        <v>0</v>
      </c>
      <c r="F63" s="11" t="n">
        <f aca="false">IF($A63="",0,SUMIFS(tblAuftraege[Ausgaben],tblAuftraege[Datum Ausgaben],"&gt;="&amp;F$5,tblAuftraege[Datum Ausgaben],"&lt;"&amp;EDATE(F$5,1),tblAuftraege[Auftrag],$A63))</f>
        <v>0</v>
      </c>
      <c r="G63" s="11" t="n">
        <f aca="false">IF($A63="",0,SUMIFS(tblAuftraege[Ausgaben],tblAuftraege[Datum Ausgaben],"&gt;="&amp;G$5,tblAuftraege[Datum Ausgaben],"&lt;"&amp;EDATE(G$5,1),tblAuftraege[Auftrag],$A63))</f>
        <v>0</v>
      </c>
      <c r="H63" s="11" t="n">
        <f aca="false">IF($A63="",0,SUMIFS(tblAuftraege[Ausgaben],tblAuftraege[Datum Ausgaben],"&gt;="&amp;H$5,tblAuftraege[Datum Ausgaben],"&lt;"&amp;EDATE(H$5,1),tblAuftraege[Auftrag],$A63))</f>
        <v>0</v>
      </c>
      <c r="I63" s="11" t="n">
        <f aca="false">IF($A63="",0,SUMIFS(tblAuftraege[Ausgaben],tblAuftraege[Datum Ausgaben],"&gt;="&amp;I$5,tblAuftraege[Datum Ausgaben],"&lt;"&amp;EDATE(I$5,1),tblAuftraege[Auftrag],$A63))</f>
        <v>0</v>
      </c>
      <c r="J63" s="11" t="n">
        <f aca="false">IF($A63="",0,SUMIFS(tblAuftraege[Ausgaben],tblAuftraege[Datum Ausgaben],"&gt;="&amp;J$5,tblAuftraege[Datum Ausgaben],"&lt;"&amp;EDATE(J$5,1),tblAuftraege[Auftrag],$A63))</f>
        <v>0</v>
      </c>
      <c r="K63" s="11" t="n">
        <f aca="false">IF($A63="",0,SUMIFS(tblAuftraege[Ausgaben],tblAuftraege[Datum Ausgaben],"&gt;="&amp;K$5,tblAuftraege[Datum Ausgaben],"&lt;"&amp;EDATE(K$5,1),tblAuftraege[Auftrag],$A63))</f>
        <v>0</v>
      </c>
      <c r="L63" s="11" t="n">
        <f aca="false">IF($A63="",0,SUMIFS(tblAuftraege[Ausgaben],tblAuftraege[Datum Ausgaben],"&gt;="&amp;L$5,tblAuftraege[Datum Ausgaben],"&lt;"&amp;EDATE(L$5,1),tblAuftraege[Auftrag],$A63))</f>
        <v>0</v>
      </c>
      <c r="M63" s="11" t="n">
        <f aca="false">IF($A63="",0,SUMIFS(tblAuftraege[Ausgaben],tblAuftraege[Datum Ausgaben],"&gt;="&amp;M$5,tblAuftraege[Datum Ausgaben],"&lt;"&amp;EDATE(M$5,1),tblAuftraege[Auftrag],$A63))</f>
        <v>0</v>
      </c>
      <c r="N63" s="11" t="n">
        <f aca="false">IF($A63="",0,SUMIFS(tblAuftraege[Ausgaben],tblAuftraege[Datum Ausgaben],"&gt;="&amp;N$5,tblAuftraege[Datum Ausgaben],"&lt;"&amp;EDATE(N$5,1),tblAuftraege[Auftrag],$A63))</f>
        <v>0</v>
      </c>
      <c r="O63" s="11" t="n">
        <f aca="false">IF($A63="",0,SUMIFS(tblAuftraege[Ausgaben],tblAuftraege[Datum Ausgaben],"&gt;="&amp;O$5,tblAuftraege[Datum Ausgaben],"&lt;"&amp;EDATE(O$5,1),tblAuftraege[Auftrag],$A63))</f>
        <v>0</v>
      </c>
      <c r="P63" s="11" t="n">
        <f aca="false">IF($A63="",0,SUMIFS(tblAuftraege[Ausgaben],tblAuftraege[Datum Ausgaben],"&gt;="&amp;P$5,tblAuftraege[Datum Ausgaben],"&lt;"&amp;EDATE(P$5,1),tblAuftraege[Auftrag],$A63))</f>
        <v>0</v>
      </c>
      <c r="Q63" s="11" t="n">
        <f aca="false">IF($A63="",0,SUMIFS(tblAuftraege[Ausgaben],tblAuftraege[Datum Ausgaben],"&gt;="&amp;Q$5,tblAuftraege[Datum Ausgaben],"&lt;"&amp;EDATE(Q$5,1),tblAuftraege[Auftrag],$A63))</f>
        <v>0</v>
      </c>
      <c r="R63" s="11" t="n">
        <f aca="false">IF($A63="",0,SUMIFS(tblAuftraege[Ausgaben],tblAuftraege[Datum Ausgaben],"&gt;="&amp;R$5,tblAuftraege[Datum Ausgaben],"&lt;"&amp;EDATE(R$5,1),tblAuftraege[Auftrag],$A63))</f>
        <v>0</v>
      </c>
      <c r="S63" s="11" t="n">
        <f aca="false">IF($A63="",0,SUMIFS(tblAuftraege[Ausgaben],tblAuftraege[Datum Ausgaben],"&gt;="&amp;S$5,tblAuftraege[Datum Ausgaben],"&lt;"&amp;EDATE(S$5,1),tblAuftraege[Auftrag],$A63))</f>
        <v>0</v>
      </c>
      <c r="T63" s="11" t="n">
        <f aca="false">IF($A63="",0,SUMIFS(tblAuftraege[Ausgaben],tblAuftraege[Datum Ausgaben],"&gt;="&amp;T$5,tblAuftraege[Datum Ausgaben],"&lt;"&amp;EDATE(T$5,1),tblAuftraege[Auftrag],$A63))</f>
        <v>0</v>
      </c>
      <c r="U63" s="11" t="n">
        <f aca="false">IF($A63="",0,SUMIFS(tblAuftraege[Ausgaben],tblAuftraege[Datum Ausgaben],"&gt;="&amp;U$5,tblAuftraege[Datum Ausgaben],"&lt;"&amp;EDATE(U$5,1),tblAuftraege[Auftrag],$A63))</f>
        <v>0</v>
      </c>
      <c r="V63" s="11" t="n">
        <f aca="false">IF($A63="",0,SUMIFS(tblAuftraege[Ausgaben],tblAuftraege[Datum Ausgaben],"&gt;="&amp;V$5,tblAuftraege[Datum Ausgaben],"&lt;"&amp;EDATE(V$5,1),tblAuftraege[Auftrag],$A63))</f>
        <v>0</v>
      </c>
      <c r="W63" s="11" t="n">
        <f aca="false">IF($A63="",0,SUMIFS(tblAuftraege[Ausgaben],tblAuftraege[Datum Ausgaben],"&gt;="&amp;W$5,tblAuftraege[Datum Ausgaben],"&lt;"&amp;EDATE(W$5,1),tblAuftraege[Auftrag],$A63))</f>
        <v>0</v>
      </c>
      <c r="X63" s="11" t="n">
        <f aca="false">IF($A63="",0,SUMIFS(tblAuftraege[Ausgaben],tblAuftraege[Datum Ausgaben],"&gt;="&amp;X$5,tblAuftraege[Datum Ausgaben],"&lt;"&amp;EDATE(X$5,1),tblAuftraege[Auftrag],$A63))</f>
        <v>0</v>
      </c>
      <c r="Y63" s="11" t="n">
        <f aca="false">IF($A63="",0,SUMIFS(tblAuftraege[Ausgaben],tblAuftraege[Datum Ausgaben],"&gt;="&amp;Y$5,tblAuftraege[Datum Ausgaben],"&lt;"&amp;EDATE(Y$5,1),tblAuftraege[Auftrag],$A63))</f>
        <v>0</v>
      </c>
      <c r="Z63" s="11" t="n">
        <f aca="false">IF($A63="",0,SUMIFS(tblAuftraege[Ausgaben],tblAuftraege[Datum Ausgaben],"&gt;="&amp;Z$5,tblAuftraege[Datum Ausgaben],"&lt;"&amp;EDATE(Z$5,1),tblAuftraege[Auftrag],$A63))</f>
        <v>0</v>
      </c>
      <c r="AA63" s="11" t="n">
        <f aca="false">IF($A63="",0,SUMIFS(tblAuftraege[Ausgaben],tblAuftraege[Datum Ausgaben],"&gt;="&amp;AA$5,tblAuftraege[Datum Ausgaben],"&lt;"&amp;EDATE(AA$5,1),tblAuftraege[Auftrag],$A63))</f>
        <v>0</v>
      </c>
      <c r="AB63" s="11" t="n">
        <f aca="false">IF($A63="",0,SUMIFS(tblAuftraege[Ausgaben],tblAuftraege[Datum Ausgaben],"&gt;="&amp;AB$5,tblAuftraege[Datum Ausgaben],"&lt;"&amp;EDATE(AB$5,1),tblAuftraege[Auftrag],$A63))</f>
        <v>0</v>
      </c>
      <c r="AC63" s="11" t="n">
        <f aca="false">IF($A63="",0,SUMIFS(tblAuftraege[Ausgaben],tblAuftraege[Datum Ausgaben],"&gt;="&amp;AC$5,tblAuftraege[Datum Ausgaben],"&lt;"&amp;EDATE(AC$5,1),tblAuftraege[Auftrag],$A63))</f>
        <v>0</v>
      </c>
      <c r="AD63" s="11" t="n">
        <f aca="false">IF($A63="",0,SUMIFS(tblAuftraege[Ausgaben],tblAuftraege[Datum Ausgaben],"&gt;="&amp;AD$5,tblAuftraege[Datum Ausgaben],"&lt;"&amp;EDATE(AD$5,1),tblAuftraege[Auftrag],$A63))</f>
        <v>0</v>
      </c>
      <c r="AE63" s="11" t="n">
        <f aca="false">IF($A63="",0,SUMIFS(tblAuftraege[Ausgaben],tblAuftraege[Datum Ausgaben],"&gt;="&amp;AE$5,tblAuftraege[Datum Ausgaben],"&lt;"&amp;EDATE(AE$5,1),tblAuftraege[Auftrag],$A63))</f>
        <v>0</v>
      </c>
      <c r="AF63" s="11" t="n">
        <f aca="false">IF($A63="",0,SUMIFS(tblAuftraege[Ausgaben],tblAuftraege[Datum Ausgaben],"&gt;="&amp;AF$5,tblAuftraege[Datum Ausgaben],"&lt;"&amp;EDATE(AF$5,1),tblAuftraege[Auftrag],$A63))</f>
        <v>0</v>
      </c>
      <c r="AG63" s="11" t="n">
        <f aca="false">IF($A63="",0,SUMIFS(tblAuftraege[Ausgaben],tblAuftraege[Datum Ausgaben],"&gt;="&amp;AG$5,tblAuftraege[Datum Ausgaben],"&lt;"&amp;EDATE(AG$5,1),tblAuftraege[Auftrag],$A63))</f>
        <v>0</v>
      </c>
      <c r="AH63" s="11" t="n">
        <f aca="false">IF($A63="",0,SUMIFS(tblAuftraege[Ausgaben],tblAuftraege[Datum Ausgaben],"&gt;="&amp;AH$5,tblAuftraege[Datum Ausgaben],"&lt;"&amp;EDATE(AH$5,1),tblAuftraege[Auftrag],$A63))</f>
        <v>0</v>
      </c>
      <c r="AI63" s="11" t="n">
        <f aca="false">IF($A63="",0,SUMIFS(tblAuftraege[Ausgaben],tblAuftraege[Datum Ausgaben],"&gt;="&amp;AI$5,tblAuftraege[Datum Ausgaben],"&lt;"&amp;EDATE(AI$5,1),tblAuftraege[Auftrag],$A63))</f>
        <v>0</v>
      </c>
      <c r="AJ63" s="11" t="n">
        <f aca="false">IF($A63="",0,SUMIFS(tblAuftraege[Ausgaben],tblAuftraege[Datum Ausgaben],"&gt;="&amp;AJ$5,tblAuftraege[Datum Ausgaben],"&lt;"&amp;EDATE(AJ$5,1),tblAuftraege[Auftrag],$A63))</f>
        <v>0</v>
      </c>
      <c r="AK63" s="11" t="n">
        <f aca="false">IF($A63="",0,SUMIFS(tblAuftraege[Ausgaben],tblAuftraege[Datum Ausgaben],"&gt;="&amp;AK$5,tblAuftraege[Datum Ausgaben],"&lt;"&amp;EDATE(AK$5,1),tblAuftraege[Auftrag],$A63))</f>
        <v>0</v>
      </c>
      <c r="AL63" s="11" t="n">
        <f aca="false">IF($A63="",0,SUMIFS(tblAuftraege[Ausgaben],tblAuftraege[Datum Ausgaben],"&gt;="&amp;AL$5,tblAuftraege[Datum Ausgaben],"&lt;"&amp;EDATE(AL$5,1),tblAuftraege[Auftrag],$A63))</f>
        <v>0</v>
      </c>
      <c r="AM63" s="11" t="n">
        <f aca="false">IF($A63="",0,SUMIFS(tblAuftraege[Ausgaben],tblAuftraege[Datum Ausgaben],"&gt;="&amp;AM$5,tblAuftraege[Datum Ausgaben],"&lt;"&amp;EDATE(AM$5,1),tblAuftraege[Auftrag],$A63))</f>
        <v>0</v>
      </c>
      <c r="AN63" s="11" t="n">
        <f aca="false">IF($A63="",0,SUMIFS(tblAuftraege[Ausgaben],tblAuftraege[Datum Ausgaben],"&gt;="&amp;AN$5,tblAuftraege[Datum Ausgaben],"&lt;"&amp;EDATE(AN$5,1),tblAuftraege[Auftrag],$A63))</f>
        <v>0</v>
      </c>
      <c r="AO63" s="11" t="n">
        <f aca="false">IF($A63="",0,SUMIFS(tblAuftraege[Ausgaben],tblAuftraege[Datum Ausgaben],"&gt;="&amp;AO$5,tblAuftraege[Datum Ausgaben],"&lt;"&amp;EDATE(AO$5,1),tblAuftraege[Auftrag],$A63))</f>
        <v>0</v>
      </c>
      <c r="AP63" s="11" t="n">
        <f aca="false">IF($A63="",0,SUMIFS(tblAuftraege[Ausgaben],tblAuftraege[Datum Ausgaben],"&gt;="&amp;AP$5,tblAuftraege[Datum Ausgaben],"&lt;"&amp;EDATE(AP$5,1),tblAuftraege[Auftrag],$A63))</f>
        <v>0</v>
      </c>
      <c r="AQ63" s="11" t="n">
        <f aca="false">IF($A63="",0,SUMIFS(tblAuftraege[Ausgaben],tblAuftraege[Datum Ausgaben],"&gt;="&amp;AQ$5,tblAuftraege[Datum Ausgaben],"&lt;"&amp;EDATE(AQ$5,1),tblAuftraege[Auftrag],$A63))</f>
        <v>0</v>
      </c>
      <c r="AR63" s="11" t="n">
        <f aca="false">IF($A63="",0,SUMIFS(tblAuftraege[Ausgaben],tblAuftraege[Datum Ausgaben],"&gt;="&amp;AR$5,tblAuftraege[Datum Ausgaben],"&lt;"&amp;EDATE(AR$5,1),tblAuftraege[Auftrag],$A63))</f>
        <v>0</v>
      </c>
      <c r="AS63" s="11" t="n">
        <f aca="false">IF($A63="",0,SUMIFS(tblAuftraege[Ausgaben],tblAuftraege[Datum Ausgaben],"&gt;="&amp;AS$5,tblAuftraege[Datum Ausgaben],"&lt;"&amp;EDATE(AS$5,1),tblAuftraege[Auftrag],$A63))</f>
        <v>0</v>
      </c>
      <c r="AT63" s="11" t="n">
        <f aca="false">IF($A63="",0,SUMIFS(tblAuftraege[Ausgaben],tblAuftraege[Datum Ausgaben],"&gt;="&amp;AT$5,tblAuftraege[Datum Ausgaben],"&lt;"&amp;EDATE(AT$5,1),tblAuftraege[Auftrag],$A63))</f>
        <v>0</v>
      </c>
      <c r="AU63" s="11" t="n">
        <f aca="false">IF($A63="",0,SUMIFS(tblAuftraege[Ausgaben],tblAuftraege[Datum Ausgaben],"&gt;="&amp;AU$5,tblAuftraege[Datum Ausgaben],"&lt;"&amp;EDATE(AU$5,1),tblAuftraege[Auftrag],$A63))</f>
        <v>0</v>
      </c>
      <c r="AV63" s="11" t="n">
        <f aca="false">IF($A63="",0,SUMIFS(tblAuftraege[Ausgaben],tblAuftraege[Datum Ausgaben],"&gt;="&amp;AV$5,tblAuftraege[Datum Ausgaben],"&lt;"&amp;EDATE(AV$5,1),tblAuftraege[Auftrag],$A63))</f>
        <v>0</v>
      </c>
      <c r="AW63" s="11" t="n">
        <f aca="false">IF($A63="",0,SUMIFS(tblAuftraege[Ausgaben],tblAuftraege[Datum Ausgaben],"&gt;="&amp;AW$5,tblAuftraege[Datum Ausgaben],"&lt;"&amp;EDATE(AW$5,1),tblAuftraege[Auftrag],$A63))</f>
        <v>0</v>
      </c>
      <c r="AX63" s="11" t="n">
        <f aca="false">IF($A63="",0,SUMIFS(tblAuftraege[Ausgaben],tblAuftraege[Datum Ausgaben],"&gt;="&amp;AX$5,tblAuftraege[Datum Ausgaben],"&lt;"&amp;EDATE(AX$5,1),tblAuftraege[Auftrag],$A63))</f>
        <v>0</v>
      </c>
      <c r="AY63" s="11" t="n">
        <f aca="false">IF($A63="",0,SUMIFS(tblAuftraege[Ausgaben],tblAuftraege[Datum Ausgaben],"&gt;="&amp;AY$5,tblAuftraege[Datum Ausgaben],"&lt;"&amp;EDATE(AY$5,1),tblAuftraege[Auftrag],$A63))</f>
        <v>0</v>
      </c>
      <c r="AZ63" s="11" t="n">
        <f aca="false">IF($A63="",0,SUMIFS(tblAuftraege[Ausgaben],tblAuftraege[Datum Ausgaben],"&gt;="&amp;AZ$5,tblAuftraege[Datum Ausgaben],"&lt;"&amp;EDATE(AZ$5,1),tblAuftraege[Auftrag],$A63))</f>
        <v>0</v>
      </c>
      <c r="BA63" s="11" t="n">
        <f aca="false">IF($A63="",0,SUMIFS(tblAuftraege[Ausgaben],tblAuftraege[Datum Ausgaben],"&gt;="&amp;BA$5,tblAuftraege[Datum Ausgaben],"&lt;"&amp;EDATE(BA$5,1),tblAuftraege[Auftrag],$A63))</f>
        <v>0</v>
      </c>
      <c r="BB63" s="11" t="n">
        <f aca="false">IF($A63="",0,SUMIFS(tblAuftraege[Ausgaben],tblAuftraege[Datum Ausgaben],"&gt;="&amp;BB$5,tblAuftraege[Datum Ausgaben],"&lt;"&amp;EDATE(BB$5,1),tblAuftraege[Auftrag],$A63))</f>
        <v>0</v>
      </c>
      <c r="BC63" s="11" t="n">
        <f aca="false">IF($A63="",0,SUMIFS(tblAuftraege[Ausgaben],tblAuftraege[Datum Ausgaben],"&gt;="&amp;BC$5,tblAuftraege[Datum Ausgaben],"&lt;"&amp;EDATE(BC$5,1),tblAuftraege[Auftrag],$A63))</f>
        <v>0</v>
      </c>
      <c r="BD63" s="11" t="n">
        <f aca="false">IF($A63="",0,SUMIFS(tblAuftraege[Ausgaben],tblAuftraege[Datum Ausgaben],"&gt;="&amp;BD$5,tblAuftraege[Datum Ausgaben],"&lt;"&amp;EDATE(BD$5,1),tblAuftraege[Auftrag],$A63))</f>
        <v>0</v>
      </c>
      <c r="BE63" s="11" t="n">
        <f aca="false">IF($A63="",0,SUMIFS(tblAuftraege[Ausgaben],tblAuftraege[Datum Ausgaben],"&gt;="&amp;BE$5,tblAuftraege[Datum Ausgaben],"&lt;"&amp;EDATE(BE$5,1),tblAuftraege[Auftrag],$A63))</f>
        <v>0</v>
      </c>
      <c r="BF63" s="11" t="n">
        <f aca="false">IF($A63="",0,SUMIFS(tblAuftraege[Ausgaben],tblAuftraege[Datum Ausgaben],"&gt;="&amp;BF$5,tblAuftraege[Datum Ausgaben],"&lt;"&amp;EDATE(BF$5,1),tblAuftraege[Auftrag],$A63))</f>
        <v>0</v>
      </c>
      <c r="BG63" s="11" t="n">
        <f aca="false">SUM(E63:J63)</f>
        <v>0</v>
      </c>
      <c r="BH63" s="11" t="n">
        <f aca="false">SUM(K63:V63)</f>
        <v>0</v>
      </c>
      <c r="BI63" s="11" t="n">
        <f aca="false">SUM(W63:AH63)</f>
        <v>0</v>
      </c>
      <c r="BJ63" s="11" t="n">
        <f aca="false">SUM(AI63:AT63)</f>
        <v>0</v>
      </c>
      <c r="BK63" s="11" t="n">
        <f aca="false">SUM(AU63:BF63)</f>
        <v>0</v>
      </c>
      <c r="BL63" s="12" t="n">
        <f aca="false">SUM(E63:BF63)</f>
        <v>0</v>
      </c>
    </row>
    <row r="64" customFormat="false" ht="15" hidden="false" customHeight="false" outlineLevel="0" collapsed="false">
      <c r="A64" s="9"/>
      <c r="B64" s="10" t="str">
        <f aca="false">IF($A64="","",IFERROR(INDEX(tblAuftraege[Kostenstelle],MATCH($A64,tblAuftraege[Auftrag],0)),""))</f>
        <v/>
      </c>
      <c r="C64" s="10" t="str">
        <f aca="false">IF($A64="","",IFERROR(INDEX(tblAuftraege[Themenfeld],MATCH($A64,tblAuftraege[Auftrag],0)),""))</f>
        <v/>
      </c>
      <c r="D64" s="10" t="str">
        <f aca="false">IF($A64="","",IFERROR(INDEX(tblAuftraege[Kategorie],MATCH($A64,tblAuftraege[Auftrag],0)),""))</f>
        <v/>
      </c>
      <c r="E64" s="11" t="n">
        <f aca="false">IF($A64="",0,SUMIFS(tblAuftraege[Ausgaben],tblAuftraege[Datum Ausgaben],"&gt;="&amp;E$5,tblAuftraege[Datum Ausgaben],"&lt;"&amp;EDATE(E$5,1),tblAuftraege[Auftrag],$A64))</f>
        <v>0</v>
      </c>
      <c r="F64" s="11" t="n">
        <f aca="false">IF($A64="",0,SUMIFS(tblAuftraege[Ausgaben],tblAuftraege[Datum Ausgaben],"&gt;="&amp;F$5,tblAuftraege[Datum Ausgaben],"&lt;"&amp;EDATE(F$5,1),tblAuftraege[Auftrag],$A64))</f>
        <v>0</v>
      </c>
      <c r="G64" s="11" t="n">
        <f aca="false">IF($A64="",0,SUMIFS(tblAuftraege[Ausgaben],tblAuftraege[Datum Ausgaben],"&gt;="&amp;G$5,tblAuftraege[Datum Ausgaben],"&lt;"&amp;EDATE(G$5,1),tblAuftraege[Auftrag],$A64))</f>
        <v>0</v>
      </c>
      <c r="H64" s="11" t="n">
        <f aca="false">IF($A64="",0,SUMIFS(tblAuftraege[Ausgaben],tblAuftraege[Datum Ausgaben],"&gt;="&amp;H$5,tblAuftraege[Datum Ausgaben],"&lt;"&amp;EDATE(H$5,1),tblAuftraege[Auftrag],$A64))</f>
        <v>0</v>
      </c>
      <c r="I64" s="11" t="n">
        <f aca="false">IF($A64="",0,SUMIFS(tblAuftraege[Ausgaben],tblAuftraege[Datum Ausgaben],"&gt;="&amp;I$5,tblAuftraege[Datum Ausgaben],"&lt;"&amp;EDATE(I$5,1),tblAuftraege[Auftrag],$A64))</f>
        <v>0</v>
      </c>
      <c r="J64" s="11" t="n">
        <f aca="false">IF($A64="",0,SUMIFS(tblAuftraege[Ausgaben],tblAuftraege[Datum Ausgaben],"&gt;="&amp;J$5,tblAuftraege[Datum Ausgaben],"&lt;"&amp;EDATE(J$5,1),tblAuftraege[Auftrag],$A64))</f>
        <v>0</v>
      </c>
      <c r="K64" s="11" t="n">
        <f aca="false">IF($A64="",0,SUMIFS(tblAuftraege[Ausgaben],tblAuftraege[Datum Ausgaben],"&gt;="&amp;K$5,tblAuftraege[Datum Ausgaben],"&lt;"&amp;EDATE(K$5,1),tblAuftraege[Auftrag],$A64))</f>
        <v>0</v>
      </c>
      <c r="L64" s="11" t="n">
        <f aca="false">IF($A64="",0,SUMIFS(tblAuftraege[Ausgaben],tblAuftraege[Datum Ausgaben],"&gt;="&amp;L$5,tblAuftraege[Datum Ausgaben],"&lt;"&amp;EDATE(L$5,1),tblAuftraege[Auftrag],$A64))</f>
        <v>0</v>
      </c>
      <c r="M64" s="11" t="n">
        <f aca="false">IF($A64="",0,SUMIFS(tblAuftraege[Ausgaben],tblAuftraege[Datum Ausgaben],"&gt;="&amp;M$5,tblAuftraege[Datum Ausgaben],"&lt;"&amp;EDATE(M$5,1),tblAuftraege[Auftrag],$A64))</f>
        <v>0</v>
      </c>
      <c r="N64" s="11" t="n">
        <f aca="false">IF($A64="",0,SUMIFS(tblAuftraege[Ausgaben],tblAuftraege[Datum Ausgaben],"&gt;="&amp;N$5,tblAuftraege[Datum Ausgaben],"&lt;"&amp;EDATE(N$5,1),tblAuftraege[Auftrag],$A64))</f>
        <v>0</v>
      </c>
      <c r="O64" s="11" t="n">
        <f aca="false">IF($A64="",0,SUMIFS(tblAuftraege[Ausgaben],tblAuftraege[Datum Ausgaben],"&gt;="&amp;O$5,tblAuftraege[Datum Ausgaben],"&lt;"&amp;EDATE(O$5,1),tblAuftraege[Auftrag],$A64))</f>
        <v>0</v>
      </c>
      <c r="P64" s="11" t="n">
        <f aca="false">IF($A64="",0,SUMIFS(tblAuftraege[Ausgaben],tblAuftraege[Datum Ausgaben],"&gt;="&amp;P$5,tblAuftraege[Datum Ausgaben],"&lt;"&amp;EDATE(P$5,1),tblAuftraege[Auftrag],$A64))</f>
        <v>0</v>
      </c>
      <c r="Q64" s="11" t="n">
        <f aca="false">IF($A64="",0,SUMIFS(tblAuftraege[Ausgaben],tblAuftraege[Datum Ausgaben],"&gt;="&amp;Q$5,tblAuftraege[Datum Ausgaben],"&lt;"&amp;EDATE(Q$5,1),tblAuftraege[Auftrag],$A64))</f>
        <v>0</v>
      </c>
      <c r="R64" s="11" t="n">
        <f aca="false">IF($A64="",0,SUMIFS(tblAuftraege[Ausgaben],tblAuftraege[Datum Ausgaben],"&gt;="&amp;R$5,tblAuftraege[Datum Ausgaben],"&lt;"&amp;EDATE(R$5,1),tblAuftraege[Auftrag],$A64))</f>
        <v>0</v>
      </c>
      <c r="S64" s="11" t="n">
        <f aca="false">IF($A64="",0,SUMIFS(tblAuftraege[Ausgaben],tblAuftraege[Datum Ausgaben],"&gt;="&amp;S$5,tblAuftraege[Datum Ausgaben],"&lt;"&amp;EDATE(S$5,1),tblAuftraege[Auftrag],$A64))</f>
        <v>0</v>
      </c>
      <c r="T64" s="11" t="n">
        <f aca="false">IF($A64="",0,SUMIFS(tblAuftraege[Ausgaben],tblAuftraege[Datum Ausgaben],"&gt;="&amp;T$5,tblAuftraege[Datum Ausgaben],"&lt;"&amp;EDATE(T$5,1),tblAuftraege[Auftrag],$A64))</f>
        <v>0</v>
      </c>
      <c r="U64" s="11" t="n">
        <f aca="false">IF($A64="",0,SUMIFS(tblAuftraege[Ausgaben],tblAuftraege[Datum Ausgaben],"&gt;="&amp;U$5,tblAuftraege[Datum Ausgaben],"&lt;"&amp;EDATE(U$5,1),tblAuftraege[Auftrag],$A64))</f>
        <v>0</v>
      </c>
      <c r="V64" s="11" t="n">
        <f aca="false">IF($A64="",0,SUMIFS(tblAuftraege[Ausgaben],tblAuftraege[Datum Ausgaben],"&gt;="&amp;V$5,tblAuftraege[Datum Ausgaben],"&lt;"&amp;EDATE(V$5,1),tblAuftraege[Auftrag],$A64))</f>
        <v>0</v>
      </c>
      <c r="W64" s="11" t="n">
        <f aca="false">IF($A64="",0,SUMIFS(tblAuftraege[Ausgaben],tblAuftraege[Datum Ausgaben],"&gt;="&amp;W$5,tblAuftraege[Datum Ausgaben],"&lt;"&amp;EDATE(W$5,1),tblAuftraege[Auftrag],$A64))</f>
        <v>0</v>
      </c>
      <c r="X64" s="11" t="n">
        <f aca="false">IF($A64="",0,SUMIFS(tblAuftraege[Ausgaben],tblAuftraege[Datum Ausgaben],"&gt;="&amp;X$5,tblAuftraege[Datum Ausgaben],"&lt;"&amp;EDATE(X$5,1),tblAuftraege[Auftrag],$A64))</f>
        <v>0</v>
      </c>
      <c r="Y64" s="11" t="n">
        <f aca="false">IF($A64="",0,SUMIFS(tblAuftraege[Ausgaben],tblAuftraege[Datum Ausgaben],"&gt;="&amp;Y$5,tblAuftraege[Datum Ausgaben],"&lt;"&amp;EDATE(Y$5,1),tblAuftraege[Auftrag],$A64))</f>
        <v>0</v>
      </c>
      <c r="Z64" s="11" t="n">
        <f aca="false">IF($A64="",0,SUMIFS(tblAuftraege[Ausgaben],tblAuftraege[Datum Ausgaben],"&gt;="&amp;Z$5,tblAuftraege[Datum Ausgaben],"&lt;"&amp;EDATE(Z$5,1),tblAuftraege[Auftrag],$A64))</f>
        <v>0</v>
      </c>
      <c r="AA64" s="11" t="n">
        <f aca="false">IF($A64="",0,SUMIFS(tblAuftraege[Ausgaben],tblAuftraege[Datum Ausgaben],"&gt;="&amp;AA$5,tblAuftraege[Datum Ausgaben],"&lt;"&amp;EDATE(AA$5,1),tblAuftraege[Auftrag],$A64))</f>
        <v>0</v>
      </c>
      <c r="AB64" s="11" t="n">
        <f aca="false">IF($A64="",0,SUMIFS(tblAuftraege[Ausgaben],tblAuftraege[Datum Ausgaben],"&gt;="&amp;AB$5,tblAuftraege[Datum Ausgaben],"&lt;"&amp;EDATE(AB$5,1),tblAuftraege[Auftrag],$A64))</f>
        <v>0</v>
      </c>
      <c r="AC64" s="11" t="n">
        <f aca="false">IF($A64="",0,SUMIFS(tblAuftraege[Ausgaben],tblAuftraege[Datum Ausgaben],"&gt;="&amp;AC$5,tblAuftraege[Datum Ausgaben],"&lt;"&amp;EDATE(AC$5,1),tblAuftraege[Auftrag],$A64))</f>
        <v>0</v>
      </c>
      <c r="AD64" s="11" t="n">
        <f aca="false">IF($A64="",0,SUMIFS(tblAuftraege[Ausgaben],tblAuftraege[Datum Ausgaben],"&gt;="&amp;AD$5,tblAuftraege[Datum Ausgaben],"&lt;"&amp;EDATE(AD$5,1),tblAuftraege[Auftrag],$A64))</f>
        <v>0</v>
      </c>
      <c r="AE64" s="11" t="n">
        <f aca="false">IF($A64="",0,SUMIFS(tblAuftraege[Ausgaben],tblAuftraege[Datum Ausgaben],"&gt;="&amp;AE$5,tblAuftraege[Datum Ausgaben],"&lt;"&amp;EDATE(AE$5,1),tblAuftraege[Auftrag],$A64))</f>
        <v>0</v>
      </c>
      <c r="AF64" s="11" t="n">
        <f aca="false">IF($A64="",0,SUMIFS(tblAuftraege[Ausgaben],tblAuftraege[Datum Ausgaben],"&gt;="&amp;AF$5,tblAuftraege[Datum Ausgaben],"&lt;"&amp;EDATE(AF$5,1),tblAuftraege[Auftrag],$A64))</f>
        <v>0</v>
      </c>
      <c r="AG64" s="11" t="n">
        <f aca="false">IF($A64="",0,SUMIFS(tblAuftraege[Ausgaben],tblAuftraege[Datum Ausgaben],"&gt;="&amp;AG$5,tblAuftraege[Datum Ausgaben],"&lt;"&amp;EDATE(AG$5,1),tblAuftraege[Auftrag],$A64))</f>
        <v>0</v>
      </c>
      <c r="AH64" s="11" t="n">
        <f aca="false">IF($A64="",0,SUMIFS(tblAuftraege[Ausgaben],tblAuftraege[Datum Ausgaben],"&gt;="&amp;AH$5,tblAuftraege[Datum Ausgaben],"&lt;"&amp;EDATE(AH$5,1),tblAuftraege[Auftrag],$A64))</f>
        <v>0</v>
      </c>
      <c r="AI64" s="11" t="n">
        <f aca="false">IF($A64="",0,SUMIFS(tblAuftraege[Ausgaben],tblAuftraege[Datum Ausgaben],"&gt;="&amp;AI$5,tblAuftraege[Datum Ausgaben],"&lt;"&amp;EDATE(AI$5,1),tblAuftraege[Auftrag],$A64))</f>
        <v>0</v>
      </c>
      <c r="AJ64" s="11" t="n">
        <f aca="false">IF($A64="",0,SUMIFS(tblAuftraege[Ausgaben],tblAuftraege[Datum Ausgaben],"&gt;="&amp;AJ$5,tblAuftraege[Datum Ausgaben],"&lt;"&amp;EDATE(AJ$5,1),tblAuftraege[Auftrag],$A64))</f>
        <v>0</v>
      </c>
      <c r="AK64" s="11" t="n">
        <f aca="false">IF($A64="",0,SUMIFS(tblAuftraege[Ausgaben],tblAuftraege[Datum Ausgaben],"&gt;="&amp;AK$5,tblAuftraege[Datum Ausgaben],"&lt;"&amp;EDATE(AK$5,1),tblAuftraege[Auftrag],$A64))</f>
        <v>0</v>
      </c>
      <c r="AL64" s="11" t="n">
        <f aca="false">IF($A64="",0,SUMIFS(tblAuftraege[Ausgaben],tblAuftraege[Datum Ausgaben],"&gt;="&amp;AL$5,tblAuftraege[Datum Ausgaben],"&lt;"&amp;EDATE(AL$5,1),tblAuftraege[Auftrag],$A64))</f>
        <v>0</v>
      </c>
      <c r="AM64" s="11" t="n">
        <f aca="false">IF($A64="",0,SUMIFS(tblAuftraege[Ausgaben],tblAuftraege[Datum Ausgaben],"&gt;="&amp;AM$5,tblAuftraege[Datum Ausgaben],"&lt;"&amp;EDATE(AM$5,1),tblAuftraege[Auftrag],$A64))</f>
        <v>0</v>
      </c>
      <c r="AN64" s="11" t="n">
        <f aca="false">IF($A64="",0,SUMIFS(tblAuftraege[Ausgaben],tblAuftraege[Datum Ausgaben],"&gt;="&amp;AN$5,tblAuftraege[Datum Ausgaben],"&lt;"&amp;EDATE(AN$5,1),tblAuftraege[Auftrag],$A64))</f>
        <v>0</v>
      </c>
      <c r="AO64" s="11" t="n">
        <f aca="false">IF($A64="",0,SUMIFS(tblAuftraege[Ausgaben],tblAuftraege[Datum Ausgaben],"&gt;="&amp;AO$5,tblAuftraege[Datum Ausgaben],"&lt;"&amp;EDATE(AO$5,1),tblAuftraege[Auftrag],$A64))</f>
        <v>0</v>
      </c>
      <c r="AP64" s="11" t="n">
        <f aca="false">IF($A64="",0,SUMIFS(tblAuftraege[Ausgaben],tblAuftraege[Datum Ausgaben],"&gt;="&amp;AP$5,tblAuftraege[Datum Ausgaben],"&lt;"&amp;EDATE(AP$5,1),tblAuftraege[Auftrag],$A64))</f>
        <v>0</v>
      </c>
      <c r="AQ64" s="11" t="n">
        <f aca="false">IF($A64="",0,SUMIFS(tblAuftraege[Ausgaben],tblAuftraege[Datum Ausgaben],"&gt;="&amp;AQ$5,tblAuftraege[Datum Ausgaben],"&lt;"&amp;EDATE(AQ$5,1),tblAuftraege[Auftrag],$A64))</f>
        <v>0</v>
      </c>
      <c r="AR64" s="11" t="n">
        <f aca="false">IF($A64="",0,SUMIFS(tblAuftraege[Ausgaben],tblAuftraege[Datum Ausgaben],"&gt;="&amp;AR$5,tblAuftraege[Datum Ausgaben],"&lt;"&amp;EDATE(AR$5,1),tblAuftraege[Auftrag],$A64))</f>
        <v>0</v>
      </c>
      <c r="AS64" s="11" t="n">
        <f aca="false">IF($A64="",0,SUMIFS(tblAuftraege[Ausgaben],tblAuftraege[Datum Ausgaben],"&gt;="&amp;AS$5,tblAuftraege[Datum Ausgaben],"&lt;"&amp;EDATE(AS$5,1),tblAuftraege[Auftrag],$A64))</f>
        <v>0</v>
      </c>
      <c r="AT64" s="11" t="n">
        <f aca="false">IF($A64="",0,SUMIFS(tblAuftraege[Ausgaben],tblAuftraege[Datum Ausgaben],"&gt;="&amp;AT$5,tblAuftraege[Datum Ausgaben],"&lt;"&amp;EDATE(AT$5,1),tblAuftraege[Auftrag],$A64))</f>
        <v>0</v>
      </c>
      <c r="AU64" s="11" t="n">
        <f aca="false">IF($A64="",0,SUMIFS(tblAuftraege[Ausgaben],tblAuftraege[Datum Ausgaben],"&gt;="&amp;AU$5,tblAuftraege[Datum Ausgaben],"&lt;"&amp;EDATE(AU$5,1),tblAuftraege[Auftrag],$A64))</f>
        <v>0</v>
      </c>
      <c r="AV64" s="11" t="n">
        <f aca="false">IF($A64="",0,SUMIFS(tblAuftraege[Ausgaben],tblAuftraege[Datum Ausgaben],"&gt;="&amp;AV$5,tblAuftraege[Datum Ausgaben],"&lt;"&amp;EDATE(AV$5,1),tblAuftraege[Auftrag],$A64))</f>
        <v>0</v>
      </c>
      <c r="AW64" s="11" t="n">
        <f aca="false">IF($A64="",0,SUMIFS(tblAuftraege[Ausgaben],tblAuftraege[Datum Ausgaben],"&gt;="&amp;AW$5,tblAuftraege[Datum Ausgaben],"&lt;"&amp;EDATE(AW$5,1),tblAuftraege[Auftrag],$A64))</f>
        <v>0</v>
      </c>
      <c r="AX64" s="11" t="n">
        <f aca="false">IF($A64="",0,SUMIFS(tblAuftraege[Ausgaben],tblAuftraege[Datum Ausgaben],"&gt;="&amp;AX$5,tblAuftraege[Datum Ausgaben],"&lt;"&amp;EDATE(AX$5,1),tblAuftraege[Auftrag],$A64))</f>
        <v>0</v>
      </c>
      <c r="AY64" s="11" t="n">
        <f aca="false">IF($A64="",0,SUMIFS(tblAuftraege[Ausgaben],tblAuftraege[Datum Ausgaben],"&gt;="&amp;AY$5,tblAuftraege[Datum Ausgaben],"&lt;"&amp;EDATE(AY$5,1),tblAuftraege[Auftrag],$A64))</f>
        <v>0</v>
      </c>
      <c r="AZ64" s="11" t="n">
        <f aca="false">IF($A64="",0,SUMIFS(tblAuftraege[Ausgaben],tblAuftraege[Datum Ausgaben],"&gt;="&amp;AZ$5,tblAuftraege[Datum Ausgaben],"&lt;"&amp;EDATE(AZ$5,1),tblAuftraege[Auftrag],$A64))</f>
        <v>0</v>
      </c>
      <c r="BA64" s="11" t="n">
        <f aca="false">IF($A64="",0,SUMIFS(tblAuftraege[Ausgaben],tblAuftraege[Datum Ausgaben],"&gt;="&amp;BA$5,tblAuftraege[Datum Ausgaben],"&lt;"&amp;EDATE(BA$5,1),tblAuftraege[Auftrag],$A64))</f>
        <v>0</v>
      </c>
      <c r="BB64" s="11" t="n">
        <f aca="false">IF($A64="",0,SUMIFS(tblAuftraege[Ausgaben],tblAuftraege[Datum Ausgaben],"&gt;="&amp;BB$5,tblAuftraege[Datum Ausgaben],"&lt;"&amp;EDATE(BB$5,1),tblAuftraege[Auftrag],$A64))</f>
        <v>0</v>
      </c>
      <c r="BC64" s="11" t="n">
        <f aca="false">IF($A64="",0,SUMIFS(tblAuftraege[Ausgaben],tblAuftraege[Datum Ausgaben],"&gt;="&amp;BC$5,tblAuftraege[Datum Ausgaben],"&lt;"&amp;EDATE(BC$5,1),tblAuftraege[Auftrag],$A64))</f>
        <v>0</v>
      </c>
      <c r="BD64" s="11" t="n">
        <f aca="false">IF($A64="",0,SUMIFS(tblAuftraege[Ausgaben],tblAuftraege[Datum Ausgaben],"&gt;="&amp;BD$5,tblAuftraege[Datum Ausgaben],"&lt;"&amp;EDATE(BD$5,1),tblAuftraege[Auftrag],$A64))</f>
        <v>0</v>
      </c>
      <c r="BE64" s="11" t="n">
        <f aca="false">IF($A64="",0,SUMIFS(tblAuftraege[Ausgaben],tblAuftraege[Datum Ausgaben],"&gt;="&amp;BE$5,tblAuftraege[Datum Ausgaben],"&lt;"&amp;EDATE(BE$5,1),tblAuftraege[Auftrag],$A64))</f>
        <v>0</v>
      </c>
      <c r="BF64" s="11" t="n">
        <f aca="false">IF($A64="",0,SUMIFS(tblAuftraege[Ausgaben],tblAuftraege[Datum Ausgaben],"&gt;="&amp;BF$5,tblAuftraege[Datum Ausgaben],"&lt;"&amp;EDATE(BF$5,1),tblAuftraege[Auftrag],$A64))</f>
        <v>0</v>
      </c>
      <c r="BG64" s="11" t="n">
        <f aca="false">SUM(E64:J64)</f>
        <v>0</v>
      </c>
      <c r="BH64" s="11" t="n">
        <f aca="false">SUM(K64:V64)</f>
        <v>0</v>
      </c>
      <c r="BI64" s="11" t="n">
        <f aca="false">SUM(W64:AH64)</f>
        <v>0</v>
      </c>
      <c r="BJ64" s="11" t="n">
        <f aca="false">SUM(AI64:AT64)</f>
        <v>0</v>
      </c>
      <c r="BK64" s="11" t="n">
        <f aca="false">SUM(AU64:BF64)</f>
        <v>0</v>
      </c>
      <c r="BL64" s="12" t="n">
        <f aca="false">SUM(E64:BF64)</f>
        <v>0</v>
      </c>
    </row>
    <row r="65" customFormat="false" ht="15" hidden="false" customHeight="false" outlineLevel="0" collapsed="false">
      <c r="A65" s="9"/>
      <c r="B65" s="10" t="str">
        <f aca="false">IF($A65="","",IFERROR(INDEX(tblAuftraege[Kostenstelle],MATCH($A65,tblAuftraege[Auftrag],0)),""))</f>
        <v/>
      </c>
      <c r="C65" s="10" t="str">
        <f aca="false">IF($A65="","",IFERROR(INDEX(tblAuftraege[Themenfeld],MATCH($A65,tblAuftraege[Auftrag],0)),""))</f>
        <v/>
      </c>
      <c r="D65" s="10" t="str">
        <f aca="false">IF($A65="","",IFERROR(INDEX(tblAuftraege[Kategorie],MATCH($A65,tblAuftraege[Auftrag],0)),""))</f>
        <v/>
      </c>
      <c r="E65" s="11" t="n">
        <f aca="false">IF($A65="",0,SUMIFS(tblAuftraege[Ausgaben],tblAuftraege[Datum Ausgaben],"&gt;="&amp;E$5,tblAuftraege[Datum Ausgaben],"&lt;"&amp;EDATE(E$5,1),tblAuftraege[Auftrag],$A65))</f>
        <v>0</v>
      </c>
      <c r="F65" s="11" t="n">
        <f aca="false">IF($A65="",0,SUMIFS(tblAuftraege[Ausgaben],tblAuftraege[Datum Ausgaben],"&gt;="&amp;F$5,tblAuftraege[Datum Ausgaben],"&lt;"&amp;EDATE(F$5,1),tblAuftraege[Auftrag],$A65))</f>
        <v>0</v>
      </c>
      <c r="G65" s="11" t="n">
        <f aca="false">IF($A65="",0,SUMIFS(tblAuftraege[Ausgaben],tblAuftraege[Datum Ausgaben],"&gt;="&amp;G$5,tblAuftraege[Datum Ausgaben],"&lt;"&amp;EDATE(G$5,1),tblAuftraege[Auftrag],$A65))</f>
        <v>0</v>
      </c>
      <c r="H65" s="11" t="n">
        <f aca="false">IF($A65="",0,SUMIFS(tblAuftraege[Ausgaben],tblAuftraege[Datum Ausgaben],"&gt;="&amp;H$5,tblAuftraege[Datum Ausgaben],"&lt;"&amp;EDATE(H$5,1),tblAuftraege[Auftrag],$A65))</f>
        <v>0</v>
      </c>
      <c r="I65" s="11" t="n">
        <f aca="false">IF($A65="",0,SUMIFS(tblAuftraege[Ausgaben],tblAuftraege[Datum Ausgaben],"&gt;="&amp;I$5,tblAuftraege[Datum Ausgaben],"&lt;"&amp;EDATE(I$5,1),tblAuftraege[Auftrag],$A65))</f>
        <v>0</v>
      </c>
      <c r="J65" s="11" t="n">
        <f aca="false">IF($A65="",0,SUMIFS(tblAuftraege[Ausgaben],tblAuftraege[Datum Ausgaben],"&gt;="&amp;J$5,tblAuftraege[Datum Ausgaben],"&lt;"&amp;EDATE(J$5,1),tblAuftraege[Auftrag],$A65))</f>
        <v>0</v>
      </c>
      <c r="K65" s="11" t="n">
        <f aca="false">IF($A65="",0,SUMIFS(tblAuftraege[Ausgaben],tblAuftraege[Datum Ausgaben],"&gt;="&amp;K$5,tblAuftraege[Datum Ausgaben],"&lt;"&amp;EDATE(K$5,1),tblAuftraege[Auftrag],$A65))</f>
        <v>0</v>
      </c>
      <c r="L65" s="11" t="n">
        <f aca="false">IF($A65="",0,SUMIFS(tblAuftraege[Ausgaben],tblAuftraege[Datum Ausgaben],"&gt;="&amp;L$5,tblAuftraege[Datum Ausgaben],"&lt;"&amp;EDATE(L$5,1),tblAuftraege[Auftrag],$A65))</f>
        <v>0</v>
      </c>
      <c r="M65" s="11" t="n">
        <f aca="false">IF($A65="",0,SUMIFS(tblAuftraege[Ausgaben],tblAuftraege[Datum Ausgaben],"&gt;="&amp;M$5,tblAuftraege[Datum Ausgaben],"&lt;"&amp;EDATE(M$5,1),tblAuftraege[Auftrag],$A65))</f>
        <v>0</v>
      </c>
      <c r="N65" s="11" t="n">
        <f aca="false">IF($A65="",0,SUMIFS(tblAuftraege[Ausgaben],tblAuftraege[Datum Ausgaben],"&gt;="&amp;N$5,tblAuftraege[Datum Ausgaben],"&lt;"&amp;EDATE(N$5,1),tblAuftraege[Auftrag],$A65))</f>
        <v>0</v>
      </c>
      <c r="O65" s="11" t="n">
        <f aca="false">IF($A65="",0,SUMIFS(tblAuftraege[Ausgaben],tblAuftraege[Datum Ausgaben],"&gt;="&amp;O$5,tblAuftraege[Datum Ausgaben],"&lt;"&amp;EDATE(O$5,1),tblAuftraege[Auftrag],$A65))</f>
        <v>0</v>
      </c>
      <c r="P65" s="11" t="n">
        <f aca="false">IF($A65="",0,SUMIFS(tblAuftraege[Ausgaben],tblAuftraege[Datum Ausgaben],"&gt;="&amp;P$5,tblAuftraege[Datum Ausgaben],"&lt;"&amp;EDATE(P$5,1),tblAuftraege[Auftrag],$A65))</f>
        <v>0</v>
      </c>
      <c r="Q65" s="11" t="n">
        <f aca="false">IF($A65="",0,SUMIFS(tblAuftraege[Ausgaben],tblAuftraege[Datum Ausgaben],"&gt;="&amp;Q$5,tblAuftraege[Datum Ausgaben],"&lt;"&amp;EDATE(Q$5,1),tblAuftraege[Auftrag],$A65))</f>
        <v>0</v>
      </c>
      <c r="R65" s="11" t="n">
        <f aca="false">IF($A65="",0,SUMIFS(tblAuftraege[Ausgaben],tblAuftraege[Datum Ausgaben],"&gt;="&amp;R$5,tblAuftraege[Datum Ausgaben],"&lt;"&amp;EDATE(R$5,1),tblAuftraege[Auftrag],$A65))</f>
        <v>0</v>
      </c>
      <c r="S65" s="11" t="n">
        <f aca="false">IF($A65="",0,SUMIFS(tblAuftraege[Ausgaben],tblAuftraege[Datum Ausgaben],"&gt;="&amp;S$5,tblAuftraege[Datum Ausgaben],"&lt;"&amp;EDATE(S$5,1),tblAuftraege[Auftrag],$A65))</f>
        <v>0</v>
      </c>
      <c r="T65" s="11" t="n">
        <f aca="false">IF($A65="",0,SUMIFS(tblAuftraege[Ausgaben],tblAuftraege[Datum Ausgaben],"&gt;="&amp;T$5,tblAuftraege[Datum Ausgaben],"&lt;"&amp;EDATE(T$5,1),tblAuftraege[Auftrag],$A65))</f>
        <v>0</v>
      </c>
      <c r="U65" s="11" t="n">
        <f aca="false">IF($A65="",0,SUMIFS(tblAuftraege[Ausgaben],tblAuftraege[Datum Ausgaben],"&gt;="&amp;U$5,tblAuftraege[Datum Ausgaben],"&lt;"&amp;EDATE(U$5,1),tblAuftraege[Auftrag],$A65))</f>
        <v>0</v>
      </c>
      <c r="V65" s="11" t="n">
        <f aca="false">IF($A65="",0,SUMIFS(tblAuftraege[Ausgaben],tblAuftraege[Datum Ausgaben],"&gt;="&amp;V$5,tblAuftraege[Datum Ausgaben],"&lt;"&amp;EDATE(V$5,1),tblAuftraege[Auftrag],$A65))</f>
        <v>0</v>
      </c>
      <c r="W65" s="11" t="n">
        <f aca="false">IF($A65="",0,SUMIFS(tblAuftraege[Ausgaben],tblAuftraege[Datum Ausgaben],"&gt;="&amp;W$5,tblAuftraege[Datum Ausgaben],"&lt;"&amp;EDATE(W$5,1),tblAuftraege[Auftrag],$A65))</f>
        <v>0</v>
      </c>
      <c r="X65" s="11" t="n">
        <f aca="false">IF($A65="",0,SUMIFS(tblAuftraege[Ausgaben],tblAuftraege[Datum Ausgaben],"&gt;="&amp;X$5,tblAuftraege[Datum Ausgaben],"&lt;"&amp;EDATE(X$5,1),tblAuftraege[Auftrag],$A65))</f>
        <v>0</v>
      </c>
      <c r="Y65" s="11" t="n">
        <f aca="false">IF($A65="",0,SUMIFS(tblAuftraege[Ausgaben],tblAuftraege[Datum Ausgaben],"&gt;="&amp;Y$5,tblAuftraege[Datum Ausgaben],"&lt;"&amp;EDATE(Y$5,1),tblAuftraege[Auftrag],$A65))</f>
        <v>0</v>
      </c>
      <c r="Z65" s="11" t="n">
        <f aca="false">IF($A65="",0,SUMIFS(tblAuftraege[Ausgaben],tblAuftraege[Datum Ausgaben],"&gt;="&amp;Z$5,tblAuftraege[Datum Ausgaben],"&lt;"&amp;EDATE(Z$5,1),tblAuftraege[Auftrag],$A65))</f>
        <v>0</v>
      </c>
      <c r="AA65" s="11" t="n">
        <f aca="false">IF($A65="",0,SUMIFS(tblAuftraege[Ausgaben],tblAuftraege[Datum Ausgaben],"&gt;="&amp;AA$5,tblAuftraege[Datum Ausgaben],"&lt;"&amp;EDATE(AA$5,1),tblAuftraege[Auftrag],$A65))</f>
        <v>0</v>
      </c>
      <c r="AB65" s="11" t="n">
        <f aca="false">IF($A65="",0,SUMIFS(tblAuftraege[Ausgaben],tblAuftraege[Datum Ausgaben],"&gt;="&amp;AB$5,tblAuftraege[Datum Ausgaben],"&lt;"&amp;EDATE(AB$5,1),tblAuftraege[Auftrag],$A65))</f>
        <v>0</v>
      </c>
      <c r="AC65" s="11" t="n">
        <f aca="false">IF($A65="",0,SUMIFS(tblAuftraege[Ausgaben],tblAuftraege[Datum Ausgaben],"&gt;="&amp;AC$5,tblAuftraege[Datum Ausgaben],"&lt;"&amp;EDATE(AC$5,1),tblAuftraege[Auftrag],$A65))</f>
        <v>0</v>
      </c>
      <c r="AD65" s="11" t="n">
        <f aca="false">IF($A65="",0,SUMIFS(tblAuftraege[Ausgaben],tblAuftraege[Datum Ausgaben],"&gt;="&amp;AD$5,tblAuftraege[Datum Ausgaben],"&lt;"&amp;EDATE(AD$5,1),tblAuftraege[Auftrag],$A65))</f>
        <v>0</v>
      </c>
      <c r="AE65" s="11" t="n">
        <f aca="false">IF($A65="",0,SUMIFS(tblAuftraege[Ausgaben],tblAuftraege[Datum Ausgaben],"&gt;="&amp;AE$5,tblAuftraege[Datum Ausgaben],"&lt;"&amp;EDATE(AE$5,1),tblAuftraege[Auftrag],$A65))</f>
        <v>0</v>
      </c>
      <c r="AF65" s="11" t="n">
        <f aca="false">IF($A65="",0,SUMIFS(tblAuftraege[Ausgaben],tblAuftraege[Datum Ausgaben],"&gt;="&amp;AF$5,tblAuftraege[Datum Ausgaben],"&lt;"&amp;EDATE(AF$5,1),tblAuftraege[Auftrag],$A65))</f>
        <v>0</v>
      </c>
      <c r="AG65" s="11" t="n">
        <f aca="false">IF($A65="",0,SUMIFS(tblAuftraege[Ausgaben],tblAuftraege[Datum Ausgaben],"&gt;="&amp;AG$5,tblAuftraege[Datum Ausgaben],"&lt;"&amp;EDATE(AG$5,1),tblAuftraege[Auftrag],$A65))</f>
        <v>0</v>
      </c>
      <c r="AH65" s="11" t="n">
        <f aca="false">IF($A65="",0,SUMIFS(tblAuftraege[Ausgaben],tblAuftraege[Datum Ausgaben],"&gt;="&amp;AH$5,tblAuftraege[Datum Ausgaben],"&lt;"&amp;EDATE(AH$5,1),tblAuftraege[Auftrag],$A65))</f>
        <v>0</v>
      </c>
      <c r="AI65" s="11" t="n">
        <f aca="false">IF($A65="",0,SUMIFS(tblAuftraege[Ausgaben],tblAuftraege[Datum Ausgaben],"&gt;="&amp;AI$5,tblAuftraege[Datum Ausgaben],"&lt;"&amp;EDATE(AI$5,1),tblAuftraege[Auftrag],$A65))</f>
        <v>0</v>
      </c>
      <c r="AJ65" s="11" t="n">
        <f aca="false">IF($A65="",0,SUMIFS(tblAuftraege[Ausgaben],tblAuftraege[Datum Ausgaben],"&gt;="&amp;AJ$5,tblAuftraege[Datum Ausgaben],"&lt;"&amp;EDATE(AJ$5,1),tblAuftraege[Auftrag],$A65))</f>
        <v>0</v>
      </c>
      <c r="AK65" s="11" t="n">
        <f aca="false">IF($A65="",0,SUMIFS(tblAuftraege[Ausgaben],tblAuftraege[Datum Ausgaben],"&gt;="&amp;AK$5,tblAuftraege[Datum Ausgaben],"&lt;"&amp;EDATE(AK$5,1),tblAuftraege[Auftrag],$A65))</f>
        <v>0</v>
      </c>
      <c r="AL65" s="11" t="n">
        <f aca="false">IF($A65="",0,SUMIFS(tblAuftraege[Ausgaben],tblAuftraege[Datum Ausgaben],"&gt;="&amp;AL$5,tblAuftraege[Datum Ausgaben],"&lt;"&amp;EDATE(AL$5,1),tblAuftraege[Auftrag],$A65))</f>
        <v>0</v>
      </c>
      <c r="AM65" s="11" t="n">
        <f aca="false">IF($A65="",0,SUMIFS(tblAuftraege[Ausgaben],tblAuftraege[Datum Ausgaben],"&gt;="&amp;AM$5,tblAuftraege[Datum Ausgaben],"&lt;"&amp;EDATE(AM$5,1),tblAuftraege[Auftrag],$A65))</f>
        <v>0</v>
      </c>
      <c r="AN65" s="11" t="n">
        <f aca="false">IF($A65="",0,SUMIFS(tblAuftraege[Ausgaben],tblAuftraege[Datum Ausgaben],"&gt;="&amp;AN$5,tblAuftraege[Datum Ausgaben],"&lt;"&amp;EDATE(AN$5,1),tblAuftraege[Auftrag],$A65))</f>
        <v>0</v>
      </c>
      <c r="AO65" s="11" t="n">
        <f aca="false">IF($A65="",0,SUMIFS(tblAuftraege[Ausgaben],tblAuftraege[Datum Ausgaben],"&gt;="&amp;AO$5,tblAuftraege[Datum Ausgaben],"&lt;"&amp;EDATE(AO$5,1),tblAuftraege[Auftrag],$A65))</f>
        <v>0</v>
      </c>
      <c r="AP65" s="11" t="n">
        <f aca="false">IF($A65="",0,SUMIFS(tblAuftraege[Ausgaben],tblAuftraege[Datum Ausgaben],"&gt;="&amp;AP$5,tblAuftraege[Datum Ausgaben],"&lt;"&amp;EDATE(AP$5,1),tblAuftraege[Auftrag],$A65))</f>
        <v>0</v>
      </c>
      <c r="AQ65" s="11" t="n">
        <f aca="false">IF($A65="",0,SUMIFS(tblAuftraege[Ausgaben],tblAuftraege[Datum Ausgaben],"&gt;="&amp;AQ$5,tblAuftraege[Datum Ausgaben],"&lt;"&amp;EDATE(AQ$5,1),tblAuftraege[Auftrag],$A65))</f>
        <v>0</v>
      </c>
      <c r="AR65" s="11" t="n">
        <f aca="false">IF($A65="",0,SUMIFS(tblAuftraege[Ausgaben],tblAuftraege[Datum Ausgaben],"&gt;="&amp;AR$5,tblAuftraege[Datum Ausgaben],"&lt;"&amp;EDATE(AR$5,1),tblAuftraege[Auftrag],$A65))</f>
        <v>0</v>
      </c>
      <c r="AS65" s="11" t="n">
        <f aca="false">IF($A65="",0,SUMIFS(tblAuftraege[Ausgaben],tblAuftraege[Datum Ausgaben],"&gt;="&amp;AS$5,tblAuftraege[Datum Ausgaben],"&lt;"&amp;EDATE(AS$5,1),tblAuftraege[Auftrag],$A65))</f>
        <v>0</v>
      </c>
      <c r="AT65" s="11" t="n">
        <f aca="false">IF($A65="",0,SUMIFS(tblAuftraege[Ausgaben],tblAuftraege[Datum Ausgaben],"&gt;="&amp;AT$5,tblAuftraege[Datum Ausgaben],"&lt;"&amp;EDATE(AT$5,1),tblAuftraege[Auftrag],$A65))</f>
        <v>0</v>
      </c>
      <c r="AU65" s="11" t="n">
        <f aca="false">IF($A65="",0,SUMIFS(tblAuftraege[Ausgaben],tblAuftraege[Datum Ausgaben],"&gt;="&amp;AU$5,tblAuftraege[Datum Ausgaben],"&lt;"&amp;EDATE(AU$5,1),tblAuftraege[Auftrag],$A65))</f>
        <v>0</v>
      </c>
      <c r="AV65" s="11" t="n">
        <f aca="false">IF($A65="",0,SUMIFS(tblAuftraege[Ausgaben],tblAuftraege[Datum Ausgaben],"&gt;="&amp;AV$5,tblAuftraege[Datum Ausgaben],"&lt;"&amp;EDATE(AV$5,1),tblAuftraege[Auftrag],$A65))</f>
        <v>0</v>
      </c>
      <c r="AW65" s="11" t="n">
        <f aca="false">IF($A65="",0,SUMIFS(tblAuftraege[Ausgaben],tblAuftraege[Datum Ausgaben],"&gt;="&amp;AW$5,tblAuftraege[Datum Ausgaben],"&lt;"&amp;EDATE(AW$5,1),tblAuftraege[Auftrag],$A65))</f>
        <v>0</v>
      </c>
      <c r="AX65" s="11" t="n">
        <f aca="false">IF($A65="",0,SUMIFS(tblAuftraege[Ausgaben],tblAuftraege[Datum Ausgaben],"&gt;="&amp;AX$5,tblAuftraege[Datum Ausgaben],"&lt;"&amp;EDATE(AX$5,1),tblAuftraege[Auftrag],$A65))</f>
        <v>0</v>
      </c>
      <c r="AY65" s="11" t="n">
        <f aca="false">IF($A65="",0,SUMIFS(tblAuftraege[Ausgaben],tblAuftraege[Datum Ausgaben],"&gt;="&amp;AY$5,tblAuftraege[Datum Ausgaben],"&lt;"&amp;EDATE(AY$5,1),tblAuftraege[Auftrag],$A65))</f>
        <v>0</v>
      </c>
      <c r="AZ65" s="11" t="n">
        <f aca="false">IF($A65="",0,SUMIFS(tblAuftraege[Ausgaben],tblAuftraege[Datum Ausgaben],"&gt;="&amp;AZ$5,tblAuftraege[Datum Ausgaben],"&lt;"&amp;EDATE(AZ$5,1),tblAuftraege[Auftrag],$A65))</f>
        <v>0</v>
      </c>
      <c r="BA65" s="11" t="n">
        <f aca="false">IF($A65="",0,SUMIFS(tblAuftraege[Ausgaben],tblAuftraege[Datum Ausgaben],"&gt;="&amp;BA$5,tblAuftraege[Datum Ausgaben],"&lt;"&amp;EDATE(BA$5,1),tblAuftraege[Auftrag],$A65))</f>
        <v>0</v>
      </c>
      <c r="BB65" s="11" t="n">
        <f aca="false">IF($A65="",0,SUMIFS(tblAuftraege[Ausgaben],tblAuftraege[Datum Ausgaben],"&gt;="&amp;BB$5,tblAuftraege[Datum Ausgaben],"&lt;"&amp;EDATE(BB$5,1),tblAuftraege[Auftrag],$A65))</f>
        <v>0</v>
      </c>
      <c r="BC65" s="11" t="n">
        <f aca="false">IF($A65="",0,SUMIFS(tblAuftraege[Ausgaben],tblAuftraege[Datum Ausgaben],"&gt;="&amp;BC$5,tblAuftraege[Datum Ausgaben],"&lt;"&amp;EDATE(BC$5,1),tblAuftraege[Auftrag],$A65))</f>
        <v>0</v>
      </c>
      <c r="BD65" s="11" t="n">
        <f aca="false">IF($A65="",0,SUMIFS(tblAuftraege[Ausgaben],tblAuftraege[Datum Ausgaben],"&gt;="&amp;BD$5,tblAuftraege[Datum Ausgaben],"&lt;"&amp;EDATE(BD$5,1),tblAuftraege[Auftrag],$A65))</f>
        <v>0</v>
      </c>
      <c r="BE65" s="11" t="n">
        <f aca="false">IF($A65="",0,SUMIFS(tblAuftraege[Ausgaben],tblAuftraege[Datum Ausgaben],"&gt;="&amp;BE$5,tblAuftraege[Datum Ausgaben],"&lt;"&amp;EDATE(BE$5,1),tblAuftraege[Auftrag],$A65))</f>
        <v>0</v>
      </c>
      <c r="BF65" s="11" t="n">
        <f aca="false">IF($A65="",0,SUMIFS(tblAuftraege[Ausgaben],tblAuftraege[Datum Ausgaben],"&gt;="&amp;BF$5,tblAuftraege[Datum Ausgaben],"&lt;"&amp;EDATE(BF$5,1),tblAuftraege[Auftrag],$A65))</f>
        <v>0</v>
      </c>
      <c r="BG65" s="11" t="n">
        <f aca="false">SUM(E65:J65)</f>
        <v>0</v>
      </c>
      <c r="BH65" s="11" t="n">
        <f aca="false">SUM(K65:V65)</f>
        <v>0</v>
      </c>
      <c r="BI65" s="11" t="n">
        <f aca="false">SUM(W65:AH65)</f>
        <v>0</v>
      </c>
      <c r="BJ65" s="11" t="n">
        <f aca="false">SUM(AI65:AT65)</f>
        <v>0</v>
      </c>
      <c r="BK65" s="11" t="n">
        <f aca="false">SUM(AU65:BF65)</f>
        <v>0</v>
      </c>
      <c r="BL65" s="12" t="n">
        <f aca="false">SUM(E65:BF65)</f>
        <v>0</v>
      </c>
    </row>
    <row r="66" customFormat="false" ht="15" hidden="false" customHeight="false" outlineLevel="0" collapsed="false">
      <c r="A66" s="9"/>
      <c r="B66" s="10" t="str">
        <f aca="false">IF($A66="","",IFERROR(INDEX(tblAuftraege[Kostenstelle],MATCH($A66,tblAuftraege[Auftrag],0)),""))</f>
        <v/>
      </c>
      <c r="C66" s="10" t="str">
        <f aca="false">IF($A66="","",IFERROR(INDEX(tblAuftraege[Themenfeld],MATCH($A66,tblAuftraege[Auftrag],0)),""))</f>
        <v/>
      </c>
      <c r="D66" s="10" t="str">
        <f aca="false">IF($A66="","",IFERROR(INDEX(tblAuftraege[Kategorie],MATCH($A66,tblAuftraege[Auftrag],0)),""))</f>
        <v/>
      </c>
      <c r="E66" s="11" t="n">
        <f aca="false">IF($A66="",0,SUMIFS(tblAuftraege[Ausgaben],tblAuftraege[Datum Ausgaben],"&gt;="&amp;E$5,tblAuftraege[Datum Ausgaben],"&lt;"&amp;EDATE(E$5,1),tblAuftraege[Auftrag],$A66))</f>
        <v>0</v>
      </c>
      <c r="F66" s="11" t="n">
        <f aca="false">IF($A66="",0,SUMIFS(tblAuftraege[Ausgaben],tblAuftraege[Datum Ausgaben],"&gt;="&amp;F$5,tblAuftraege[Datum Ausgaben],"&lt;"&amp;EDATE(F$5,1),tblAuftraege[Auftrag],$A66))</f>
        <v>0</v>
      </c>
      <c r="G66" s="11" t="n">
        <f aca="false">IF($A66="",0,SUMIFS(tblAuftraege[Ausgaben],tblAuftraege[Datum Ausgaben],"&gt;="&amp;G$5,tblAuftraege[Datum Ausgaben],"&lt;"&amp;EDATE(G$5,1),tblAuftraege[Auftrag],$A66))</f>
        <v>0</v>
      </c>
      <c r="H66" s="11" t="n">
        <f aca="false">IF($A66="",0,SUMIFS(tblAuftraege[Ausgaben],tblAuftraege[Datum Ausgaben],"&gt;="&amp;H$5,tblAuftraege[Datum Ausgaben],"&lt;"&amp;EDATE(H$5,1),tblAuftraege[Auftrag],$A66))</f>
        <v>0</v>
      </c>
      <c r="I66" s="11" t="n">
        <f aca="false">IF($A66="",0,SUMIFS(tblAuftraege[Ausgaben],tblAuftraege[Datum Ausgaben],"&gt;="&amp;I$5,tblAuftraege[Datum Ausgaben],"&lt;"&amp;EDATE(I$5,1),tblAuftraege[Auftrag],$A66))</f>
        <v>0</v>
      </c>
      <c r="J66" s="11" t="n">
        <f aca="false">IF($A66="",0,SUMIFS(tblAuftraege[Ausgaben],tblAuftraege[Datum Ausgaben],"&gt;="&amp;J$5,tblAuftraege[Datum Ausgaben],"&lt;"&amp;EDATE(J$5,1),tblAuftraege[Auftrag],$A66))</f>
        <v>0</v>
      </c>
      <c r="K66" s="11" t="n">
        <f aca="false">IF($A66="",0,SUMIFS(tblAuftraege[Ausgaben],tblAuftraege[Datum Ausgaben],"&gt;="&amp;K$5,tblAuftraege[Datum Ausgaben],"&lt;"&amp;EDATE(K$5,1),tblAuftraege[Auftrag],$A66))</f>
        <v>0</v>
      </c>
      <c r="L66" s="11" t="n">
        <f aca="false">IF($A66="",0,SUMIFS(tblAuftraege[Ausgaben],tblAuftraege[Datum Ausgaben],"&gt;="&amp;L$5,tblAuftraege[Datum Ausgaben],"&lt;"&amp;EDATE(L$5,1),tblAuftraege[Auftrag],$A66))</f>
        <v>0</v>
      </c>
      <c r="M66" s="11" t="n">
        <f aca="false">IF($A66="",0,SUMIFS(tblAuftraege[Ausgaben],tblAuftraege[Datum Ausgaben],"&gt;="&amp;M$5,tblAuftraege[Datum Ausgaben],"&lt;"&amp;EDATE(M$5,1),tblAuftraege[Auftrag],$A66))</f>
        <v>0</v>
      </c>
      <c r="N66" s="11" t="n">
        <f aca="false">IF($A66="",0,SUMIFS(tblAuftraege[Ausgaben],tblAuftraege[Datum Ausgaben],"&gt;="&amp;N$5,tblAuftraege[Datum Ausgaben],"&lt;"&amp;EDATE(N$5,1),tblAuftraege[Auftrag],$A66))</f>
        <v>0</v>
      </c>
      <c r="O66" s="11" t="n">
        <f aca="false">IF($A66="",0,SUMIFS(tblAuftraege[Ausgaben],tblAuftraege[Datum Ausgaben],"&gt;="&amp;O$5,tblAuftraege[Datum Ausgaben],"&lt;"&amp;EDATE(O$5,1),tblAuftraege[Auftrag],$A66))</f>
        <v>0</v>
      </c>
      <c r="P66" s="11" t="n">
        <f aca="false">IF($A66="",0,SUMIFS(tblAuftraege[Ausgaben],tblAuftraege[Datum Ausgaben],"&gt;="&amp;P$5,tblAuftraege[Datum Ausgaben],"&lt;"&amp;EDATE(P$5,1),tblAuftraege[Auftrag],$A66))</f>
        <v>0</v>
      </c>
      <c r="Q66" s="11" t="n">
        <f aca="false">IF($A66="",0,SUMIFS(tblAuftraege[Ausgaben],tblAuftraege[Datum Ausgaben],"&gt;="&amp;Q$5,tblAuftraege[Datum Ausgaben],"&lt;"&amp;EDATE(Q$5,1),tblAuftraege[Auftrag],$A66))</f>
        <v>0</v>
      </c>
      <c r="R66" s="11" t="n">
        <f aca="false">IF($A66="",0,SUMIFS(tblAuftraege[Ausgaben],tblAuftraege[Datum Ausgaben],"&gt;="&amp;R$5,tblAuftraege[Datum Ausgaben],"&lt;"&amp;EDATE(R$5,1),tblAuftraege[Auftrag],$A66))</f>
        <v>0</v>
      </c>
      <c r="S66" s="11" t="n">
        <f aca="false">IF($A66="",0,SUMIFS(tblAuftraege[Ausgaben],tblAuftraege[Datum Ausgaben],"&gt;="&amp;S$5,tblAuftraege[Datum Ausgaben],"&lt;"&amp;EDATE(S$5,1),tblAuftraege[Auftrag],$A66))</f>
        <v>0</v>
      </c>
      <c r="T66" s="11" t="n">
        <f aca="false">IF($A66="",0,SUMIFS(tblAuftraege[Ausgaben],tblAuftraege[Datum Ausgaben],"&gt;="&amp;T$5,tblAuftraege[Datum Ausgaben],"&lt;"&amp;EDATE(T$5,1),tblAuftraege[Auftrag],$A66))</f>
        <v>0</v>
      </c>
      <c r="U66" s="11" t="n">
        <f aca="false">IF($A66="",0,SUMIFS(tblAuftraege[Ausgaben],tblAuftraege[Datum Ausgaben],"&gt;="&amp;U$5,tblAuftraege[Datum Ausgaben],"&lt;"&amp;EDATE(U$5,1),tblAuftraege[Auftrag],$A66))</f>
        <v>0</v>
      </c>
      <c r="V66" s="11" t="n">
        <f aca="false">IF($A66="",0,SUMIFS(tblAuftraege[Ausgaben],tblAuftraege[Datum Ausgaben],"&gt;="&amp;V$5,tblAuftraege[Datum Ausgaben],"&lt;"&amp;EDATE(V$5,1),tblAuftraege[Auftrag],$A66))</f>
        <v>0</v>
      </c>
      <c r="W66" s="11" t="n">
        <f aca="false">IF($A66="",0,SUMIFS(tblAuftraege[Ausgaben],tblAuftraege[Datum Ausgaben],"&gt;="&amp;W$5,tblAuftraege[Datum Ausgaben],"&lt;"&amp;EDATE(W$5,1),tblAuftraege[Auftrag],$A66))</f>
        <v>0</v>
      </c>
      <c r="X66" s="11" t="n">
        <f aca="false">IF($A66="",0,SUMIFS(tblAuftraege[Ausgaben],tblAuftraege[Datum Ausgaben],"&gt;="&amp;X$5,tblAuftraege[Datum Ausgaben],"&lt;"&amp;EDATE(X$5,1),tblAuftraege[Auftrag],$A66))</f>
        <v>0</v>
      </c>
      <c r="Y66" s="11" t="n">
        <f aca="false">IF($A66="",0,SUMIFS(tblAuftraege[Ausgaben],tblAuftraege[Datum Ausgaben],"&gt;="&amp;Y$5,tblAuftraege[Datum Ausgaben],"&lt;"&amp;EDATE(Y$5,1),tblAuftraege[Auftrag],$A66))</f>
        <v>0</v>
      </c>
      <c r="Z66" s="11" t="n">
        <f aca="false">IF($A66="",0,SUMIFS(tblAuftraege[Ausgaben],tblAuftraege[Datum Ausgaben],"&gt;="&amp;Z$5,tblAuftraege[Datum Ausgaben],"&lt;"&amp;EDATE(Z$5,1),tblAuftraege[Auftrag],$A66))</f>
        <v>0</v>
      </c>
      <c r="AA66" s="11" t="n">
        <f aca="false">IF($A66="",0,SUMIFS(tblAuftraege[Ausgaben],tblAuftraege[Datum Ausgaben],"&gt;="&amp;AA$5,tblAuftraege[Datum Ausgaben],"&lt;"&amp;EDATE(AA$5,1),tblAuftraege[Auftrag],$A66))</f>
        <v>0</v>
      </c>
      <c r="AB66" s="11" t="n">
        <f aca="false">IF($A66="",0,SUMIFS(tblAuftraege[Ausgaben],tblAuftraege[Datum Ausgaben],"&gt;="&amp;AB$5,tblAuftraege[Datum Ausgaben],"&lt;"&amp;EDATE(AB$5,1),tblAuftraege[Auftrag],$A66))</f>
        <v>0</v>
      </c>
      <c r="AC66" s="11" t="n">
        <f aca="false">IF($A66="",0,SUMIFS(tblAuftraege[Ausgaben],tblAuftraege[Datum Ausgaben],"&gt;="&amp;AC$5,tblAuftraege[Datum Ausgaben],"&lt;"&amp;EDATE(AC$5,1),tblAuftraege[Auftrag],$A66))</f>
        <v>0</v>
      </c>
      <c r="AD66" s="11" t="n">
        <f aca="false">IF($A66="",0,SUMIFS(tblAuftraege[Ausgaben],tblAuftraege[Datum Ausgaben],"&gt;="&amp;AD$5,tblAuftraege[Datum Ausgaben],"&lt;"&amp;EDATE(AD$5,1),tblAuftraege[Auftrag],$A66))</f>
        <v>0</v>
      </c>
      <c r="AE66" s="11" t="n">
        <f aca="false">IF($A66="",0,SUMIFS(tblAuftraege[Ausgaben],tblAuftraege[Datum Ausgaben],"&gt;="&amp;AE$5,tblAuftraege[Datum Ausgaben],"&lt;"&amp;EDATE(AE$5,1),tblAuftraege[Auftrag],$A66))</f>
        <v>0</v>
      </c>
      <c r="AF66" s="11" t="n">
        <f aca="false">IF($A66="",0,SUMIFS(tblAuftraege[Ausgaben],tblAuftraege[Datum Ausgaben],"&gt;="&amp;AF$5,tblAuftraege[Datum Ausgaben],"&lt;"&amp;EDATE(AF$5,1),tblAuftraege[Auftrag],$A66))</f>
        <v>0</v>
      </c>
      <c r="AG66" s="11" t="n">
        <f aca="false">IF($A66="",0,SUMIFS(tblAuftraege[Ausgaben],tblAuftraege[Datum Ausgaben],"&gt;="&amp;AG$5,tblAuftraege[Datum Ausgaben],"&lt;"&amp;EDATE(AG$5,1),tblAuftraege[Auftrag],$A66))</f>
        <v>0</v>
      </c>
      <c r="AH66" s="11" t="n">
        <f aca="false">IF($A66="",0,SUMIFS(tblAuftraege[Ausgaben],tblAuftraege[Datum Ausgaben],"&gt;="&amp;AH$5,tblAuftraege[Datum Ausgaben],"&lt;"&amp;EDATE(AH$5,1),tblAuftraege[Auftrag],$A66))</f>
        <v>0</v>
      </c>
      <c r="AI66" s="11" t="n">
        <f aca="false">IF($A66="",0,SUMIFS(tblAuftraege[Ausgaben],tblAuftraege[Datum Ausgaben],"&gt;="&amp;AI$5,tblAuftraege[Datum Ausgaben],"&lt;"&amp;EDATE(AI$5,1),tblAuftraege[Auftrag],$A66))</f>
        <v>0</v>
      </c>
      <c r="AJ66" s="11" t="n">
        <f aca="false">IF($A66="",0,SUMIFS(tblAuftraege[Ausgaben],tblAuftraege[Datum Ausgaben],"&gt;="&amp;AJ$5,tblAuftraege[Datum Ausgaben],"&lt;"&amp;EDATE(AJ$5,1),tblAuftraege[Auftrag],$A66))</f>
        <v>0</v>
      </c>
      <c r="AK66" s="11" t="n">
        <f aca="false">IF($A66="",0,SUMIFS(tblAuftraege[Ausgaben],tblAuftraege[Datum Ausgaben],"&gt;="&amp;AK$5,tblAuftraege[Datum Ausgaben],"&lt;"&amp;EDATE(AK$5,1),tblAuftraege[Auftrag],$A66))</f>
        <v>0</v>
      </c>
      <c r="AL66" s="11" t="n">
        <f aca="false">IF($A66="",0,SUMIFS(tblAuftraege[Ausgaben],tblAuftraege[Datum Ausgaben],"&gt;="&amp;AL$5,tblAuftraege[Datum Ausgaben],"&lt;"&amp;EDATE(AL$5,1),tblAuftraege[Auftrag],$A66))</f>
        <v>0</v>
      </c>
      <c r="AM66" s="11" t="n">
        <f aca="false">IF($A66="",0,SUMIFS(tblAuftraege[Ausgaben],tblAuftraege[Datum Ausgaben],"&gt;="&amp;AM$5,tblAuftraege[Datum Ausgaben],"&lt;"&amp;EDATE(AM$5,1),tblAuftraege[Auftrag],$A66))</f>
        <v>0</v>
      </c>
      <c r="AN66" s="11" t="n">
        <f aca="false">IF($A66="",0,SUMIFS(tblAuftraege[Ausgaben],tblAuftraege[Datum Ausgaben],"&gt;="&amp;AN$5,tblAuftraege[Datum Ausgaben],"&lt;"&amp;EDATE(AN$5,1),tblAuftraege[Auftrag],$A66))</f>
        <v>0</v>
      </c>
      <c r="AO66" s="11" t="n">
        <f aca="false">IF($A66="",0,SUMIFS(tblAuftraege[Ausgaben],tblAuftraege[Datum Ausgaben],"&gt;="&amp;AO$5,tblAuftraege[Datum Ausgaben],"&lt;"&amp;EDATE(AO$5,1),tblAuftraege[Auftrag],$A66))</f>
        <v>0</v>
      </c>
      <c r="AP66" s="11" t="n">
        <f aca="false">IF($A66="",0,SUMIFS(tblAuftraege[Ausgaben],tblAuftraege[Datum Ausgaben],"&gt;="&amp;AP$5,tblAuftraege[Datum Ausgaben],"&lt;"&amp;EDATE(AP$5,1),tblAuftraege[Auftrag],$A66))</f>
        <v>0</v>
      </c>
      <c r="AQ66" s="11" t="n">
        <f aca="false">IF($A66="",0,SUMIFS(tblAuftraege[Ausgaben],tblAuftraege[Datum Ausgaben],"&gt;="&amp;AQ$5,tblAuftraege[Datum Ausgaben],"&lt;"&amp;EDATE(AQ$5,1),tblAuftraege[Auftrag],$A66))</f>
        <v>0</v>
      </c>
      <c r="AR66" s="11" t="n">
        <f aca="false">IF($A66="",0,SUMIFS(tblAuftraege[Ausgaben],tblAuftraege[Datum Ausgaben],"&gt;="&amp;AR$5,tblAuftraege[Datum Ausgaben],"&lt;"&amp;EDATE(AR$5,1),tblAuftraege[Auftrag],$A66))</f>
        <v>0</v>
      </c>
      <c r="AS66" s="11" t="n">
        <f aca="false">IF($A66="",0,SUMIFS(tblAuftraege[Ausgaben],tblAuftraege[Datum Ausgaben],"&gt;="&amp;AS$5,tblAuftraege[Datum Ausgaben],"&lt;"&amp;EDATE(AS$5,1),tblAuftraege[Auftrag],$A66))</f>
        <v>0</v>
      </c>
      <c r="AT66" s="11" t="n">
        <f aca="false">IF($A66="",0,SUMIFS(tblAuftraege[Ausgaben],tblAuftraege[Datum Ausgaben],"&gt;="&amp;AT$5,tblAuftraege[Datum Ausgaben],"&lt;"&amp;EDATE(AT$5,1),tblAuftraege[Auftrag],$A66))</f>
        <v>0</v>
      </c>
      <c r="AU66" s="11" t="n">
        <f aca="false">IF($A66="",0,SUMIFS(tblAuftraege[Ausgaben],tblAuftraege[Datum Ausgaben],"&gt;="&amp;AU$5,tblAuftraege[Datum Ausgaben],"&lt;"&amp;EDATE(AU$5,1),tblAuftraege[Auftrag],$A66))</f>
        <v>0</v>
      </c>
      <c r="AV66" s="11" t="n">
        <f aca="false">IF($A66="",0,SUMIFS(tblAuftraege[Ausgaben],tblAuftraege[Datum Ausgaben],"&gt;="&amp;AV$5,tblAuftraege[Datum Ausgaben],"&lt;"&amp;EDATE(AV$5,1),tblAuftraege[Auftrag],$A66))</f>
        <v>0</v>
      </c>
      <c r="AW66" s="11" t="n">
        <f aca="false">IF($A66="",0,SUMIFS(tblAuftraege[Ausgaben],tblAuftraege[Datum Ausgaben],"&gt;="&amp;AW$5,tblAuftraege[Datum Ausgaben],"&lt;"&amp;EDATE(AW$5,1),tblAuftraege[Auftrag],$A66))</f>
        <v>0</v>
      </c>
      <c r="AX66" s="11" t="n">
        <f aca="false">IF($A66="",0,SUMIFS(tblAuftraege[Ausgaben],tblAuftraege[Datum Ausgaben],"&gt;="&amp;AX$5,tblAuftraege[Datum Ausgaben],"&lt;"&amp;EDATE(AX$5,1),tblAuftraege[Auftrag],$A66))</f>
        <v>0</v>
      </c>
      <c r="AY66" s="11" t="n">
        <f aca="false">IF($A66="",0,SUMIFS(tblAuftraege[Ausgaben],tblAuftraege[Datum Ausgaben],"&gt;="&amp;AY$5,tblAuftraege[Datum Ausgaben],"&lt;"&amp;EDATE(AY$5,1),tblAuftraege[Auftrag],$A66))</f>
        <v>0</v>
      </c>
      <c r="AZ66" s="11" t="n">
        <f aca="false">IF($A66="",0,SUMIFS(tblAuftraege[Ausgaben],tblAuftraege[Datum Ausgaben],"&gt;="&amp;AZ$5,tblAuftraege[Datum Ausgaben],"&lt;"&amp;EDATE(AZ$5,1),tblAuftraege[Auftrag],$A66))</f>
        <v>0</v>
      </c>
      <c r="BA66" s="11" t="n">
        <f aca="false">IF($A66="",0,SUMIFS(tblAuftraege[Ausgaben],tblAuftraege[Datum Ausgaben],"&gt;="&amp;BA$5,tblAuftraege[Datum Ausgaben],"&lt;"&amp;EDATE(BA$5,1),tblAuftraege[Auftrag],$A66))</f>
        <v>0</v>
      </c>
      <c r="BB66" s="11" t="n">
        <f aca="false">IF($A66="",0,SUMIFS(tblAuftraege[Ausgaben],tblAuftraege[Datum Ausgaben],"&gt;="&amp;BB$5,tblAuftraege[Datum Ausgaben],"&lt;"&amp;EDATE(BB$5,1),tblAuftraege[Auftrag],$A66))</f>
        <v>0</v>
      </c>
      <c r="BC66" s="11" t="n">
        <f aca="false">IF($A66="",0,SUMIFS(tblAuftraege[Ausgaben],tblAuftraege[Datum Ausgaben],"&gt;="&amp;BC$5,tblAuftraege[Datum Ausgaben],"&lt;"&amp;EDATE(BC$5,1),tblAuftraege[Auftrag],$A66))</f>
        <v>0</v>
      </c>
      <c r="BD66" s="11" t="n">
        <f aca="false">IF($A66="",0,SUMIFS(tblAuftraege[Ausgaben],tblAuftraege[Datum Ausgaben],"&gt;="&amp;BD$5,tblAuftraege[Datum Ausgaben],"&lt;"&amp;EDATE(BD$5,1),tblAuftraege[Auftrag],$A66))</f>
        <v>0</v>
      </c>
      <c r="BE66" s="11" t="n">
        <f aca="false">IF($A66="",0,SUMIFS(tblAuftraege[Ausgaben],tblAuftraege[Datum Ausgaben],"&gt;="&amp;BE$5,tblAuftraege[Datum Ausgaben],"&lt;"&amp;EDATE(BE$5,1),tblAuftraege[Auftrag],$A66))</f>
        <v>0</v>
      </c>
      <c r="BF66" s="11" t="n">
        <f aca="false">IF($A66="",0,SUMIFS(tblAuftraege[Ausgaben],tblAuftraege[Datum Ausgaben],"&gt;="&amp;BF$5,tblAuftraege[Datum Ausgaben],"&lt;"&amp;EDATE(BF$5,1),tblAuftraege[Auftrag],$A66))</f>
        <v>0</v>
      </c>
      <c r="BG66" s="11" t="n">
        <f aca="false">SUM(E66:J66)</f>
        <v>0</v>
      </c>
      <c r="BH66" s="11" t="n">
        <f aca="false">SUM(K66:V66)</f>
        <v>0</v>
      </c>
      <c r="BI66" s="11" t="n">
        <f aca="false">SUM(W66:AH66)</f>
        <v>0</v>
      </c>
      <c r="BJ66" s="11" t="n">
        <f aca="false">SUM(AI66:AT66)</f>
        <v>0</v>
      </c>
      <c r="BK66" s="11" t="n">
        <f aca="false">SUM(AU66:BF66)</f>
        <v>0</v>
      </c>
      <c r="BL66" s="12" t="n">
        <f aca="false">SUM(E66:BF66)</f>
        <v>0</v>
      </c>
    </row>
    <row r="67" customFormat="false" ht="15" hidden="false" customHeight="false" outlineLevel="0" collapsed="false">
      <c r="A67" s="9"/>
      <c r="B67" s="10" t="str">
        <f aca="false">IF($A67="","",IFERROR(INDEX(tblAuftraege[Kostenstelle],MATCH($A67,tblAuftraege[Auftrag],0)),""))</f>
        <v/>
      </c>
      <c r="C67" s="10" t="str">
        <f aca="false">IF($A67="","",IFERROR(INDEX(tblAuftraege[Themenfeld],MATCH($A67,tblAuftraege[Auftrag],0)),""))</f>
        <v/>
      </c>
      <c r="D67" s="10" t="str">
        <f aca="false">IF($A67="","",IFERROR(INDEX(tblAuftraege[Kategorie],MATCH($A67,tblAuftraege[Auftrag],0)),""))</f>
        <v/>
      </c>
      <c r="E67" s="11" t="n">
        <f aca="false">IF($A67="",0,SUMIFS(tblAuftraege[Ausgaben],tblAuftraege[Datum Ausgaben],"&gt;="&amp;E$5,tblAuftraege[Datum Ausgaben],"&lt;"&amp;EDATE(E$5,1),tblAuftraege[Auftrag],$A67))</f>
        <v>0</v>
      </c>
      <c r="F67" s="11" t="n">
        <f aca="false">IF($A67="",0,SUMIFS(tblAuftraege[Ausgaben],tblAuftraege[Datum Ausgaben],"&gt;="&amp;F$5,tblAuftraege[Datum Ausgaben],"&lt;"&amp;EDATE(F$5,1),tblAuftraege[Auftrag],$A67))</f>
        <v>0</v>
      </c>
      <c r="G67" s="11" t="n">
        <f aca="false">IF($A67="",0,SUMIFS(tblAuftraege[Ausgaben],tblAuftraege[Datum Ausgaben],"&gt;="&amp;G$5,tblAuftraege[Datum Ausgaben],"&lt;"&amp;EDATE(G$5,1),tblAuftraege[Auftrag],$A67))</f>
        <v>0</v>
      </c>
      <c r="H67" s="11" t="n">
        <f aca="false">IF($A67="",0,SUMIFS(tblAuftraege[Ausgaben],tblAuftraege[Datum Ausgaben],"&gt;="&amp;H$5,tblAuftraege[Datum Ausgaben],"&lt;"&amp;EDATE(H$5,1),tblAuftraege[Auftrag],$A67))</f>
        <v>0</v>
      </c>
      <c r="I67" s="11" t="n">
        <f aca="false">IF($A67="",0,SUMIFS(tblAuftraege[Ausgaben],tblAuftraege[Datum Ausgaben],"&gt;="&amp;I$5,tblAuftraege[Datum Ausgaben],"&lt;"&amp;EDATE(I$5,1),tblAuftraege[Auftrag],$A67))</f>
        <v>0</v>
      </c>
      <c r="J67" s="11" t="n">
        <f aca="false">IF($A67="",0,SUMIFS(tblAuftraege[Ausgaben],tblAuftraege[Datum Ausgaben],"&gt;="&amp;J$5,tblAuftraege[Datum Ausgaben],"&lt;"&amp;EDATE(J$5,1),tblAuftraege[Auftrag],$A67))</f>
        <v>0</v>
      </c>
      <c r="K67" s="11" t="n">
        <f aca="false">IF($A67="",0,SUMIFS(tblAuftraege[Ausgaben],tblAuftraege[Datum Ausgaben],"&gt;="&amp;K$5,tblAuftraege[Datum Ausgaben],"&lt;"&amp;EDATE(K$5,1),tblAuftraege[Auftrag],$A67))</f>
        <v>0</v>
      </c>
      <c r="L67" s="11" t="n">
        <f aca="false">IF($A67="",0,SUMIFS(tblAuftraege[Ausgaben],tblAuftraege[Datum Ausgaben],"&gt;="&amp;L$5,tblAuftraege[Datum Ausgaben],"&lt;"&amp;EDATE(L$5,1),tblAuftraege[Auftrag],$A67))</f>
        <v>0</v>
      </c>
      <c r="M67" s="11" t="n">
        <f aca="false">IF($A67="",0,SUMIFS(tblAuftraege[Ausgaben],tblAuftraege[Datum Ausgaben],"&gt;="&amp;M$5,tblAuftraege[Datum Ausgaben],"&lt;"&amp;EDATE(M$5,1),tblAuftraege[Auftrag],$A67))</f>
        <v>0</v>
      </c>
      <c r="N67" s="11" t="n">
        <f aca="false">IF($A67="",0,SUMIFS(tblAuftraege[Ausgaben],tblAuftraege[Datum Ausgaben],"&gt;="&amp;N$5,tblAuftraege[Datum Ausgaben],"&lt;"&amp;EDATE(N$5,1),tblAuftraege[Auftrag],$A67))</f>
        <v>0</v>
      </c>
      <c r="O67" s="11" t="n">
        <f aca="false">IF($A67="",0,SUMIFS(tblAuftraege[Ausgaben],tblAuftraege[Datum Ausgaben],"&gt;="&amp;O$5,tblAuftraege[Datum Ausgaben],"&lt;"&amp;EDATE(O$5,1),tblAuftraege[Auftrag],$A67))</f>
        <v>0</v>
      </c>
      <c r="P67" s="11" t="n">
        <f aca="false">IF($A67="",0,SUMIFS(tblAuftraege[Ausgaben],tblAuftraege[Datum Ausgaben],"&gt;="&amp;P$5,tblAuftraege[Datum Ausgaben],"&lt;"&amp;EDATE(P$5,1),tblAuftraege[Auftrag],$A67))</f>
        <v>0</v>
      </c>
      <c r="Q67" s="11" t="n">
        <f aca="false">IF($A67="",0,SUMIFS(tblAuftraege[Ausgaben],tblAuftraege[Datum Ausgaben],"&gt;="&amp;Q$5,tblAuftraege[Datum Ausgaben],"&lt;"&amp;EDATE(Q$5,1),tblAuftraege[Auftrag],$A67))</f>
        <v>0</v>
      </c>
      <c r="R67" s="11" t="n">
        <f aca="false">IF($A67="",0,SUMIFS(tblAuftraege[Ausgaben],tblAuftraege[Datum Ausgaben],"&gt;="&amp;R$5,tblAuftraege[Datum Ausgaben],"&lt;"&amp;EDATE(R$5,1),tblAuftraege[Auftrag],$A67))</f>
        <v>0</v>
      </c>
      <c r="S67" s="11" t="n">
        <f aca="false">IF($A67="",0,SUMIFS(tblAuftraege[Ausgaben],tblAuftraege[Datum Ausgaben],"&gt;="&amp;S$5,tblAuftraege[Datum Ausgaben],"&lt;"&amp;EDATE(S$5,1),tblAuftraege[Auftrag],$A67))</f>
        <v>0</v>
      </c>
      <c r="T67" s="11" t="n">
        <f aca="false">IF($A67="",0,SUMIFS(tblAuftraege[Ausgaben],tblAuftraege[Datum Ausgaben],"&gt;="&amp;T$5,tblAuftraege[Datum Ausgaben],"&lt;"&amp;EDATE(T$5,1),tblAuftraege[Auftrag],$A67))</f>
        <v>0</v>
      </c>
      <c r="U67" s="11" t="n">
        <f aca="false">IF($A67="",0,SUMIFS(tblAuftraege[Ausgaben],tblAuftraege[Datum Ausgaben],"&gt;="&amp;U$5,tblAuftraege[Datum Ausgaben],"&lt;"&amp;EDATE(U$5,1),tblAuftraege[Auftrag],$A67))</f>
        <v>0</v>
      </c>
      <c r="V67" s="11" t="n">
        <f aca="false">IF($A67="",0,SUMIFS(tblAuftraege[Ausgaben],tblAuftraege[Datum Ausgaben],"&gt;="&amp;V$5,tblAuftraege[Datum Ausgaben],"&lt;"&amp;EDATE(V$5,1),tblAuftraege[Auftrag],$A67))</f>
        <v>0</v>
      </c>
      <c r="W67" s="11" t="n">
        <f aca="false">IF($A67="",0,SUMIFS(tblAuftraege[Ausgaben],tblAuftraege[Datum Ausgaben],"&gt;="&amp;W$5,tblAuftraege[Datum Ausgaben],"&lt;"&amp;EDATE(W$5,1),tblAuftraege[Auftrag],$A67))</f>
        <v>0</v>
      </c>
      <c r="X67" s="11" t="n">
        <f aca="false">IF($A67="",0,SUMIFS(tblAuftraege[Ausgaben],tblAuftraege[Datum Ausgaben],"&gt;="&amp;X$5,tblAuftraege[Datum Ausgaben],"&lt;"&amp;EDATE(X$5,1),tblAuftraege[Auftrag],$A67))</f>
        <v>0</v>
      </c>
      <c r="Y67" s="11" t="n">
        <f aca="false">IF($A67="",0,SUMIFS(tblAuftraege[Ausgaben],tblAuftraege[Datum Ausgaben],"&gt;="&amp;Y$5,tblAuftraege[Datum Ausgaben],"&lt;"&amp;EDATE(Y$5,1),tblAuftraege[Auftrag],$A67))</f>
        <v>0</v>
      </c>
      <c r="Z67" s="11" t="n">
        <f aca="false">IF($A67="",0,SUMIFS(tblAuftraege[Ausgaben],tblAuftraege[Datum Ausgaben],"&gt;="&amp;Z$5,tblAuftraege[Datum Ausgaben],"&lt;"&amp;EDATE(Z$5,1),tblAuftraege[Auftrag],$A67))</f>
        <v>0</v>
      </c>
      <c r="AA67" s="11" t="n">
        <f aca="false">IF($A67="",0,SUMIFS(tblAuftraege[Ausgaben],tblAuftraege[Datum Ausgaben],"&gt;="&amp;AA$5,tblAuftraege[Datum Ausgaben],"&lt;"&amp;EDATE(AA$5,1),tblAuftraege[Auftrag],$A67))</f>
        <v>0</v>
      </c>
      <c r="AB67" s="11" t="n">
        <f aca="false">IF($A67="",0,SUMIFS(tblAuftraege[Ausgaben],tblAuftraege[Datum Ausgaben],"&gt;="&amp;AB$5,tblAuftraege[Datum Ausgaben],"&lt;"&amp;EDATE(AB$5,1),tblAuftraege[Auftrag],$A67))</f>
        <v>0</v>
      </c>
      <c r="AC67" s="11" t="n">
        <f aca="false">IF($A67="",0,SUMIFS(tblAuftraege[Ausgaben],tblAuftraege[Datum Ausgaben],"&gt;="&amp;AC$5,tblAuftraege[Datum Ausgaben],"&lt;"&amp;EDATE(AC$5,1),tblAuftraege[Auftrag],$A67))</f>
        <v>0</v>
      </c>
      <c r="AD67" s="11" t="n">
        <f aca="false">IF($A67="",0,SUMIFS(tblAuftraege[Ausgaben],tblAuftraege[Datum Ausgaben],"&gt;="&amp;AD$5,tblAuftraege[Datum Ausgaben],"&lt;"&amp;EDATE(AD$5,1),tblAuftraege[Auftrag],$A67))</f>
        <v>0</v>
      </c>
      <c r="AE67" s="11" t="n">
        <f aca="false">IF($A67="",0,SUMIFS(tblAuftraege[Ausgaben],tblAuftraege[Datum Ausgaben],"&gt;="&amp;AE$5,tblAuftraege[Datum Ausgaben],"&lt;"&amp;EDATE(AE$5,1),tblAuftraege[Auftrag],$A67))</f>
        <v>0</v>
      </c>
      <c r="AF67" s="11" t="n">
        <f aca="false">IF($A67="",0,SUMIFS(tblAuftraege[Ausgaben],tblAuftraege[Datum Ausgaben],"&gt;="&amp;AF$5,tblAuftraege[Datum Ausgaben],"&lt;"&amp;EDATE(AF$5,1),tblAuftraege[Auftrag],$A67))</f>
        <v>0</v>
      </c>
      <c r="AG67" s="11" t="n">
        <f aca="false">IF($A67="",0,SUMIFS(tblAuftraege[Ausgaben],tblAuftraege[Datum Ausgaben],"&gt;="&amp;AG$5,tblAuftraege[Datum Ausgaben],"&lt;"&amp;EDATE(AG$5,1),tblAuftraege[Auftrag],$A67))</f>
        <v>0</v>
      </c>
      <c r="AH67" s="11" t="n">
        <f aca="false">IF($A67="",0,SUMIFS(tblAuftraege[Ausgaben],tblAuftraege[Datum Ausgaben],"&gt;="&amp;AH$5,tblAuftraege[Datum Ausgaben],"&lt;"&amp;EDATE(AH$5,1),tblAuftraege[Auftrag],$A67))</f>
        <v>0</v>
      </c>
      <c r="AI67" s="11" t="n">
        <f aca="false">IF($A67="",0,SUMIFS(tblAuftraege[Ausgaben],tblAuftraege[Datum Ausgaben],"&gt;="&amp;AI$5,tblAuftraege[Datum Ausgaben],"&lt;"&amp;EDATE(AI$5,1),tblAuftraege[Auftrag],$A67))</f>
        <v>0</v>
      </c>
      <c r="AJ67" s="11" t="n">
        <f aca="false">IF($A67="",0,SUMIFS(tblAuftraege[Ausgaben],tblAuftraege[Datum Ausgaben],"&gt;="&amp;AJ$5,tblAuftraege[Datum Ausgaben],"&lt;"&amp;EDATE(AJ$5,1),tblAuftraege[Auftrag],$A67))</f>
        <v>0</v>
      </c>
      <c r="AK67" s="11" t="n">
        <f aca="false">IF($A67="",0,SUMIFS(tblAuftraege[Ausgaben],tblAuftraege[Datum Ausgaben],"&gt;="&amp;AK$5,tblAuftraege[Datum Ausgaben],"&lt;"&amp;EDATE(AK$5,1),tblAuftraege[Auftrag],$A67))</f>
        <v>0</v>
      </c>
      <c r="AL67" s="11" t="n">
        <f aca="false">IF($A67="",0,SUMIFS(tblAuftraege[Ausgaben],tblAuftraege[Datum Ausgaben],"&gt;="&amp;AL$5,tblAuftraege[Datum Ausgaben],"&lt;"&amp;EDATE(AL$5,1),tblAuftraege[Auftrag],$A67))</f>
        <v>0</v>
      </c>
      <c r="AM67" s="11" t="n">
        <f aca="false">IF($A67="",0,SUMIFS(tblAuftraege[Ausgaben],tblAuftraege[Datum Ausgaben],"&gt;="&amp;AM$5,tblAuftraege[Datum Ausgaben],"&lt;"&amp;EDATE(AM$5,1),tblAuftraege[Auftrag],$A67))</f>
        <v>0</v>
      </c>
      <c r="AN67" s="11" t="n">
        <f aca="false">IF($A67="",0,SUMIFS(tblAuftraege[Ausgaben],tblAuftraege[Datum Ausgaben],"&gt;="&amp;AN$5,tblAuftraege[Datum Ausgaben],"&lt;"&amp;EDATE(AN$5,1),tblAuftraege[Auftrag],$A67))</f>
        <v>0</v>
      </c>
      <c r="AO67" s="11" t="n">
        <f aca="false">IF($A67="",0,SUMIFS(tblAuftraege[Ausgaben],tblAuftraege[Datum Ausgaben],"&gt;="&amp;AO$5,tblAuftraege[Datum Ausgaben],"&lt;"&amp;EDATE(AO$5,1),tblAuftraege[Auftrag],$A67))</f>
        <v>0</v>
      </c>
      <c r="AP67" s="11" t="n">
        <f aca="false">IF($A67="",0,SUMIFS(tblAuftraege[Ausgaben],tblAuftraege[Datum Ausgaben],"&gt;="&amp;AP$5,tblAuftraege[Datum Ausgaben],"&lt;"&amp;EDATE(AP$5,1),tblAuftraege[Auftrag],$A67))</f>
        <v>0</v>
      </c>
      <c r="AQ67" s="11" t="n">
        <f aca="false">IF($A67="",0,SUMIFS(tblAuftraege[Ausgaben],tblAuftraege[Datum Ausgaben],"&gt;="&amp;AQ$5,tblAuftraege[Datum Ausgaben],"&lt;"&amp;EDATE(AQ$5,1),tblAuftraege[Auftrag],$A67))</f>
        <v>0</v>
      </c>
      <c r="AR67" s="11" t="n">
        <f aca="false">IF($A67="",0,SUMIFS(tblAuftraege[Ausgaben],tblAuftraege[Datum Ausgaben],"&gt;="&amp;AR$5,tblAuftraege[Datum Ausgaben],"&lt;"&amp;EDATE(AR$5,1),tblAuftraege[Auftrag],$A67))</f>
        <v>0</v>
      </c>
      <c r="AS67" s="11" t="n">
        <f aca="false">IF($A67="",0,SUMIFS(tblAuftraege[Ausgaben],tblAuftraege[Datum Ausgaben],"&gt;="&amp;AS$5,tblAuftraege[Datum Ausgaben],"&lt;"&amp;EDATE(AS$5,1),tblAuftraege[Auftrag],$A67))</f>
        <v>0</v>
      </c>
      <c r="AT67" s="11" t="n">
        <f aca="false">IF($A67="",0,SUMIFS(tblAuftraege[Ausgaben],tblAuftraege[Datum Ausgaben],"&gt;="&amp;AT$5,tblAuftraege[Datum Ausgaben],"&lt;"&amp;EDATE(AT$5,1),tblAuftraege[Auftrag],$A67))</f>
        <v>0</v>
      </c>
      <c r="AU67" s="11" t="n">
        <f aca="false">IF($A67="",0,SUMIFS(tblAuftraege[Ausgaben],tblAuftraege[Datum Ausgaben],"&gt;="&amp;AU$5,tblAuftraege[Datum Ausgaben],"&lt;"&amp;EDATE(AU$5,1),tblAuftraege[Auftrag],$A67))</f>
        <v>0</v>
      </c>
      <c r="AV67" s="11" t="n">
        <f aca="false">IF($A67="",0,SUMIFS(tblAuftraege[Ausgaben],tblAuftraege[Datum Ausgaben],"&gt;="&amp;AV$5,tblAuftraege[Datum Ausgaben],"&lt;"&amp;EDATE(AV$5,1),tblAuftraege[Auftrag],$A67))</f>
        <v>0</v>
      </c>
      <c r="AW67" s="11" t="n">
        <f aca="false">IF($A67="",0,SUMIFS(tblAuftraege[Ausgaben],tblAuftraege[Datum Ausgaben],"&gt;="&amp;AW$5,tblAuftraege[Datum Ausgaben],"&lt;"&amp;EDATE(AW$5,1),tblAuftraege[Auftrag],$A67))</f>
        <v>0</v>
      </c>
      <c r="AX67" s="11" t="n">
        <f aca="false">IF($A67="",0,SUMIFS(tblAuftraege[Ausgaben],tblAuftraege[Datum Ausgaben],"&gt;="&amp;AX$5,tblAuftraege[Datum Ausgaben],"&lt;"&amp;EDATE(AX$5,1),tblAuftraege[Auftrag],$A67))</f>
        <v>0</v>
      </c>
      <c r="AY67" s="11" t="n">
        <f aca="false">IF($A67="",0,SUMIFS(tblAuftraege[Ausgaben],tblAuftraege[Datum Ausgaben],"&gt;="&amp;AY$5,tblAuftraege[Datum Ausgaben],"&lt;"&amp;EDATE(AY$5,1),tblAuftraege[Auftrag],$A67))</f>
        <v>0</v>
      </c>
      <c r="AZ67" s="11" t="n">
        <f aca="false">IF($A67="",0,SUMIFS(tblAuftraege[Ausgaben],tblAuftraege[Datum Ausgaben],"&gt;="&amp;AZ$5,tblAuftraege[Datum Ausgaben],"&lt;"&amp;EDATE(AZ$5,1),tblAuftraege[Auftrag],$A67))</f>
        <v>0</v>
      </c>
      <c r="BA67" s="11" t="n">
        <f aca="false">IF($A67="",0,SUMIFS(tblAuftraege[Ausgaben],tblAuftraege[Datum Ausgaben],"&gt;="&amp;BA$5,tblAuftraege[Datum Ausgaben],"&lt;"&amp;EDATE(BA$5,1),tblAuftraege[Auftrag],$A67))</f>
        <v>0</v>
      </c>
      <c r="BB67" s="11" t="n">
        <f aca="false">IF($A67="",0,SUMIFS(tblAuftraege[Ausgaben],tblAuftraege[Datum Ausgaben],"&gt;="&amp;BB$5,tblAuftraege[Datum Ausgaben],"&lt;"&amp;EDATE(BB$5,1),tblAuftraege[Auftrag],$A67))</f>
        <v>0</v>
      </c>
      <c r="BC67" s="11" t="n">
        <f aca="false">IF($A67="",0,SUMIFS(tblAuftraege[Ausgaben],tblAuftraege[Datum Ausgaben],"&gt;="&amp;BC$5,tblAuftraege[Datum Ausgaben],"&lt;"&amp;EDATE(BC$5,1),tblAuftraege[Auftrag],$A67))</f>
        <v>0</v>
      </c>
      <c r="BD67" s="11" t="n">
        <f aca="false">IF($A67="",0,SUMIFS(tblAuftraege[Ausgaben],tblAuftraege[Datum Ausgaben],"&gt;="&amp;BD$5,tblAuftraege[Datum Ausgaben],"&lt;"&amp;EDATE(BD$5,1),tblAuftraege[Auftrag],$A67))</f>
        <v>0</v>
      </c>
      <c r="BE67" s="11" t="n">
        <f aca="false">IF($A67="",0,SUMIFS(tblAuftraege[Ausgaben],tblAuftraege[Datum Ausgaben],"&gt;="&amp;BE$5,tblAuftraege[Datum Ausgaben],"&lt;"&amp;EDATE(BE$5,1),tblAuftraege[Auftrag],$A67))</f>
        <v>0</v>
      </c>
      <c r="BF67" s="11" t="n">
        <f aca="false">IF($A67="",0,SUMIFS(tblAuftraege[Ausgaben],tblAuftraege[Datum Ausgaben],"&gt;="&amp;BF$5,tblAuftraege[Datum Ausgaben],"&lt;"&amp;EDATE(BF$5,1),tblAuftraege[Auftrag],$A67))</f>
        <v>0</v>
      </c>
      <c r="BG67" s="11" t="n">
        <f aca="false">SUM(E67:J67)</f>
        <v>0</v>
      </c>
      <c r="BH67" s="11" t="n">
        <f aca="false">SUM(K67:V67)</f>
        <v>0</v>
      </c>
      <c r="BI67" s="11" t="n">
        <f aca="false">SUM(W67:AH67)</f>
        <v>0</v>
      </c>
      <c r="BJ67" s="11" t="n">
        <f aca="false">SUM(AI67:AT67)</f>
        <v>0</v>
      </c>
      <c r="BK67" s="11" t="n">
        <f aca="false">SUM(AU67:BF67)</f>
        <v>0</v>
      </c>
      <c r="BL67" s="12" t="n">
        <f aca="false">SUM(E67:BF67)</f>
        <v>0</v>
      </c>
    </row>
    <row r="68" customFormat="false" ht="15" hidden="false" customHeight="false" outlineLevel="0" collapsed="false">
      <c r="A68" s="9"/>
      <c r="B68" s="10" t="str">
        <f aca="false">IF($A68="","",IFERROR(INDEX(tblAuftraege[Kostenstelle],MATCH($A68,tblAuftraege[Auftrag],0)),""))</f>
        <v/>
      </c>
      <c r="C68" s="10" t="str">
        <f aca="false">IF($A68="","",IFERROR(INDEX(tblAuftraege[Themenfeld],MATCH($A68,tblAuftraege[Auftrag],0)),""))</f>
        <v/>
      </c>
      <c r="D68" s="10" t="str">
        <f aca="false">IF($A68="","",IFERROR(INDEX(tblAuftraege[Kategorie],MATCH($A68,tblAuftraege[Auftrag],0)),""))</f>
        <v/>
      </c>
      <c r="E68" s="11" t="n">
        <f aca="false">IF($A68="",0,SUMIFS(tblAuftraege[Ausgaben],tblAuftraege[Datum Ausgaben],"&gt;="&amp;E$5,tblAuftraege[Datum Ausgaben],"&lt;"&amp;EDATE(E$5,1),tblAuftraege[Auftrag],$A68))</f>
        <v>0</v>
      </c>
      <c r="F68" s="11" t="n">
        <f aca="false">IF($A68="",0,SUMIFS(tblAuftraege[Ausgaben],tblAuftraege[Datum Ausgaben],"&gt;="&amp;F$5,tblAuftraege[Datum Ausgaben],"&lt;"&amp;EDATE(F$5,1),tblAuftraege[Auftrag],$A68))</f>
        <v>0</v>
      </c>
      <c r="G68" s="11" t="n">
        <f aca="false">IF($A68="",0,SUMIFS(tblAuftraege[Ausgaben],tblAuftraege[Datum Ausgaben],"&gt;="&amp;G$5,tblAuftraege[Datum Ausgaben],"&lt;"&amp;EDATE(G$5,1),tblAuftraege[Auftrag],$A68))</f>
        <v>0</v>
      </c>
      <c r="H68" s="11" t="n">
        <f aca="false">IF($A68="",0,SUMIFS(tblAuftraege[Ausgaben],tblAuftraege[Datum Ausgaben],"&gt;="&amp;H$5,tblAuftraege[Datum Ausgaben],"&lt;"&amp;EDATE(H$5,1),tblAuftraege[Auftrag],$A68))</f>
        <v>0</v>
      </c>
      <c r="I68" s="11" t="n">
        <f aca="false">IF($A68="",0,SUMIFS(tblAuftraege[Ausgaben],tblAuftraege[Datum Ausgaben],"&gt;="&amp;I$5,tblAuftraege[Datum Ausgaben],"&lt;"&amp;EDATE(I$5,1),tblAuftraege[Auftrag],$A68))</f>
        <v>0</v>
      </c>
      <c r="J68" s="11" t="n">
        <f aca="false">IF($A68="",0,SUMIFS(tblAuftraege[Ausgaben],tblAuftraege[Datum Ausgaben],"&gt;="&amp;J$5,tblAuftraege[Datum Ausgaben],"&lt;"&amp;EDATE(J$5,1),tblAuftraege[Auftrag],$A68))</f>
        <v>0</v>
      </c>
      <c r="K68" s="11" t="n">
        <f aca="false">IF($A68="",0,SUMIFS(tblAuftraege[Ausgaben],tblAuftraege[Datum Ausgaben],"&gt;="&amp;K$5,tblAuftraege[Datum Ausgaben],"&lt;"&amp;EDATE(K$5,1),tblAuftraege[Auftrag],$A68))</f>
        <v>0</v>
      </c>
      <c r="L68" s="11" t="n">
        <f aca="false">IF($A68="",0,SUMIFS(tblAuftraege[Ausgaben],tblAuftraege[Datum Ausgaben],"&gt;="&amp;L$5,tblAuftraege[Datum Ausgaben],"&lt;"&amp;EDATE(L$5,1),tblAuftraege[Auftrag],$A68))</f>
        <v>0</v>
      </c>
      <c r="M68" s="11" t="n">
        <f aca="false">IF($A68="",0,SUMIFS(tblAuftraege[Ausgaben],tblAuftraege[Datum Ausgaben],"&gt;="&amp;M$5,tblAuftraege[Datum Ausgaben],"&lt;"&amp;EDATE(M$5,1),tblAuftraege[Auftrag],$A68))</f>
        <v>0</v>
      </c>
      <c r="N68" s="11" t="n">
        <f aca="false">IF($A68="",0,SUMIFS(tblAuftraege[Ausgaben],tblAuftraege[Datum Ausgaben],"&gt;="&amp;N$5,tblAuftraege[Datum Ausgaben],"&lt;"&amp;EDATE(N$5,1),tblAuftraege[Auftrag],$A68))</f>
        <v>0</v>
      </c>
      <c r="O68" s="11" t="n">
        <f aca="false">IF($A68="",0,SUMIFS(tblAuftraege[Ausgaben],tblAuftraege[Datum Ausgaben],"&gt;="&amp;O$5,tblAuftraege[Datum Ausgaben],"&lt;"&amp;EDATE(O$5,1),tblAuftraege[Auftrag],$A68))</f>
        <v>0</v>
      </c>
      <c r="P68" s="11" t="n">
        <f aca="false">IF($A68="",0,SUMIFS(tblAuftraege[Ausgaben],tblAuftraege[Datum Ausgaben],"&gt;="&amp;P$5,tblAuftraege[Datum Ausgaben],"&lt;"&amp;EDATE(P$5,1),tblAuftraege[Auftrag],$A68))</f>
        <v>0</v>
      </c>
      <c r="Q68" s="11" t="n">
        <f aca="false">IF($A68="",0,SUMIFS(tblAuftraege[Ausgaben],tblAuftraege[Datum Ausgaben],"&gt;="&amp;Q$5,tblAuftraege[Datum Ausgaben],"&lt;"&amp;EDATE(Q$5,1),tblAuftraege[Auftrag],$A68))</f>
        <v>0</v>
      </c>
      <c r="R68" s="11" t="n">
        <f aca="false">IF($A68="",0,SUMIFS(tblAuftraege[Ausgaben],tblAuftraege[Datum Ausgaben],"&gt;="&amp;R$5,tblAuftraege[Datum Ausgaben],"&lt;"&amp;EDATE(R$5,1),tblAuftraege[Auftrag],$A68))</f>
        <v>0</v>
      </c>
      <c r="S68" s="11" t="n">
        <f aca="false">IF($A68="",0,SUMIFS(tblAuftraege[Ausgaben],tblAuftraege[Datum Ausgaben],"&gt;="&amp;S$5,tblAuftraege[Datum Ausgaben],"&lt;"&amp;EDATE(S$5,1),tblAuftraege[Auftrag],$A68))</f>
        <v>0</v>
      </c>
      <c r="T68" s="11" t="n">
        <f aca="false">IF($A68="",0,SUMIFS(tblAuftraege[Ausgaben],tblAuftraege[Datum Ausgaben],"&gt;="&amp;T$5,tblAuftraege[Datum Ausgaben],"&lt;"&amp;EDATE(T$5,1),tblAuftraege[Auftrag],$A68))</f>
        <v>0</v>
      </c>
      <c r="U68" s="11" t="n">
        <f aca="false">IF($A68="",0,SUMIFS(tblAuftraege[Ausgaben],tblAuftraege[Datum Ausgaben],"&gt;="&amp;U$5,tblAuftraege[Datum Ausgaben],"&lt;"&amp;EDATE(U$5,1),tblAuftraege[Auftrag],$A68))</f>
        <v>0</v>
      </c>
      <c r="V68" s="11" t="n">
        <f aca="false">IF($A68="",0,SUMIFS(tblAuftraege[Ausgaben],tblAuftraege[Datum Ausgaben],"&gt;="&amp;V$5,tblAuftraege[Datum Ausgaben],"&lt;"&amp;EDATE(V$5,1),tblAuftraege[Auftrag],$A68))</f>
        <v>0</v>
      </c>
      <c r="W68" s="11" t="n">
        <f aca="false">IF($A68="",0,SUMIFS(tblAuftraege[Ausgaben],tblAuftraege[Datum Ausgaben],"&gt;="&amp;W$5,tblAuftraege[Datum Ausgaben],"&lt;"&amp;EDATE(W$5,1),tblAuftraege[Auftrag],$A68))</f>
        <v>0</v>
      </c>
      <c r="X68" s="11" t="n">
        <f aca="false">IF($A68="",0,SUMIFS(tblAuftraege[Ausgaben],tblAuftraege[Datum Ausgaben],"&gt;="&amp;X$5,tblAuftraege[Datum Ausgaben],"&lt;"&amp;EDATE(X$5,1),tblAuftraege[Auftrag],$A68))</f>
        <v>0</v>
      </c>
      <c r="Y68" s="11" t="n">
        <f aca="false">IF($A68="",0,SUMIFS(tblAuftraege[Ausgaben],tblAuftraege[Datum Ausgaben],"&gt;="&amp;Y$5,tblAuftraege[Datum Ausgaben],"&lt;"&amp;EDATE(Y$5,1),tblAuftraege[Auftrag],$A68))</f>
        <v>0</v>
      </c>
      <c r="Z68" s="11" t="n">
        <f aca="false">IF($A68="",0,SUMIFS(tblAuftraege[Ausgaben],tblAuftraege[Datum Ausgaben],"&gt;="&amp;Z$5,tblAuftraege[Datum Ausgaben],"&lt;"&amp;EDATE(Z$5,1),tblAuftraege[Auftrag],$A68))</f>
        <v>0</v>
      </c>
      <c r="AA68" s="11" t="n">
        <f aca="false">IF($A68="",0,SUMIFS(tblAuftraege[Ausgaben],tblAuftraege[Datum Ausgaben],"&gt;="&amp;AA$5,tblAuftraege[Datum Ausgaben],"&lt;"&amp;EDATE(AA$5,1),tblAuftraege[Auftrag],$A68))</f>
        <v>0</v>
      </c>
      <c r="AB68" s="11" t="n">
        <f aca="false">IF($A68="",0,SUMIFS(tblAuftraege[Ausgaben],tblAuftraege[Datum Ausgaben],"&gt;="&amp;AB$5,tblAuftraege[Datum Ausgaben],"&lt;"&amp;EDATE(AB$5,1),tblAuftraege[Auftrag],$A68))</f>
        <v>0</v>
      </c>
      <c r="AC68" s="11" t="n">
        <f aca="false">IF($A68="",0,SUMIFS(tblAuftraege[Ausgaben],tblAuftraege[Datum Ausgaben],"&gt;="&amp;AC$5,tblAuftraege[Datum Ausgaben],"&lt;"&amp;EDATE(AC$5,1),tblAuftraege[Auftrag],$A68))</f>
        <v>0</v>
      </c>
      <c r="AD68" s="11" t="n">
        <f aca="false">IF($A68="",0,SUMIFS(tblAuftraege[Ausgaben],tblAuftraege[Datum Ausgaben],"&gt;="&amp;AD$5,tblAuftraege[Datum Ausgaben],"&lt;"&amp;EDATE(AD$5,1),tblAuftraege[Auftrag],$A68))</f>
        <v>0</v>
      </c>
      <c r="AE68" s="11" t="n">
        <f aca="false">IF($A68="",0,SUMIFS(tblAuftraege[Ausgaben],tblAuftraege[Datum Ausgaben],"&gt;="&amp;AE$5,tblAuftraege[Datum Ausgaben],"&lt;"&amp;EDATE(AE$5,1),tblAuftraege[Auftrag],$A68))</f>
        <v>0</v>
      </c>
      <c r="AF68" s="11" t="n">
        <f aca="false">IF($A68="",0,SUMIFS(tblAuftraege[Ausgaben],tblAuftraege[Datum Ausgaben],"&gt;="&amp;AF$5,tblAuftraege[Datum Ausgaben],"&lt;"&amp;EDATE(AF$5,1),tblAuftraege[Auftrag],$A68))</f>
        <v>0</v>
      </c>
      <c r="AG68" s="11" t="n">
        <f aca="false">IF($A68="",0,SUMIFS(tblAuftraege[Ausgaben],tblAuftraege[Datum Ausgaben],"&gt;="&amp;AG$5,tblAuftraege[Datum Ausgaben],"&lt;"&amp;EDATE(AG$5,1),tblAuftraege[Auftrag],$A68))</f>
        <v>0</v>
      </c>
      <c r="AH68" s="11" t="n">
        <f aca="false">IF($A68="",0,SUMIFS(tblAuftraege[Ausgaben],tblAuftraege[Datum Ausgaben],"&gt;="&amp;AH$5,tblAuftraege[Datum Ausgaben],"&lt;"&amp;EDATE(AH$5,1),tblAuftraege[Auftrag],$A68))</f>
        <v>0</v>
      </c>
      <c r="AI68" s="11" t="n">
        <f aca="false">IF($A68="",0,SUMIFS(tblAuftraege[Ausgaben],tblAuftraege[Datum Ausgaben],"&gt;="&amp;AI$5,tblAuftraege[Datum Ausgaben],"&lt;"&amp;EDATE(AI$5,1),tblAuftraege[Auftrag],$A68))</f>
        <v>0</v>
      </c>
      <c r="AJ68" s="11" t="n">
        <f aca="false">IF($A68="",0,SUMIFS(tblAuftraege[Ausgaben],tblAuftraege[Datum Ausgaben],"&gt;="&amp;AJ$5,tblAuftraege[Datum Ausgaben],"&lt;"&amp;EDATE(AJ$5,1),tblAuftraege[Auftrag],$A68))</f>
        <v>0</v>
      </c>
      <c r="AK68" s="11" t="n">
        <f aca="false">IF($A68="",0,SUMIFS(tblAuftraege[Ausgaben],tblAuftraege[Datum Ausgaben],"&gt;="&amp;AK$5,tblAuftraege[Datum Ausgaben],"&lt;"&amp;EDATE(AK$5,1),tblAuftraege[Auftrag],$A68))</f>
        <v>0</v>
      </c>
      <c r="AL68" s="11" t="n">
        <f aca="false">IF($A68="",0,SUMIFS(tblAuftraege[Ausgaben],tblAuftraege[Datum Ausgaben],"&gt;="&amp;AL$5,tblAuftraege[Datum Ausgaben],"&lt;"&amp;EDATE(AL$5,1),tblAuftraege[Auftrag],$A68))</f>
        <v>0</v>
      </c>
      <c r="AM68" s="11" t="n">
        <f aca="false">IF($A68="",0,SUMIFS(tblAuftraege[Ausgaben],tblAuftraege[Datum Ausgaben],"&gt;="&amp;AM$5,tblAuftraege[Datum Ausgaben],"&lt;"&amp;EDATE(AM$5,1),tblAuftraege[Auftrag],$A68))</f>
        <v>0</v>
      </c>
      <c r="AN68" s="11" t="n">
        <f aca="false">IF($A68="",0,SUMIFS(tblAuftraege[Ausgaben],tblAuftraege[Datum Ausgaben],"&gt;="&amp;AN$5,tblAuftraege[Datum Ausgaben],"&lt;"&amp;EDATE(AN$5,1),tblAuftraege[Auftrag],$A68))</f>
        <v>0</v>
      </c>
      <c r="AO68" s="11" t="n">
        <f aca="false">IF($A68="",0,SUMIFS(tblAuftraege[Ausgaben],tblAuftraege[Datum Ausgaben],"&gt;="&amp;AO$5,tblAuftraege[Datum Ausgaben],"&lt;"&amp;EDATE(AO$5,1),tblAuftraege[Auftrag],$A68))</f>
        <v>0</v>
      </c>
      <c r="AP68" s="11" t="n">
        <f aca="false">IF($A68="",0,SUMIFS(tblAuftraege[Ausgaben],tblAuftraege[Datum Ausgaben],"&gt;="&amp;AP$5,tblAuftraege[Datum Ausgaben],"&lt;"&amp;EDATE(AP$5,1),tblAuftraege[Auftrag],$A68))</f>
        <v>0</v>
      </c>
      <c r="AQ68" s="11" t="n">
        <f aca="false">IF($A68="",0,SUMIFS(tblAuftraege[Ausgaben],tblAuftraege[Datum Ausgaben],"&gt;="&amp;AQ$5,tblAuftraege[Datum Ausgaben],"&lt;"&amp;EDATE(AQ$5,1),tblAuftraege[Auftrag],$A68))</f>
        <v>0</v>
      </c>
      <c r="AR68" s="11" t="n">
        <f aca="false">IF($A68="",0,SUMIFS(tblAuftraege[Ausgaben],tblAuftraege[Datum Ausgaben],"&gt;="&amp;AR$5,tblAuftraege[Datum Ausgaben],"&lt;"&amp;EDATE(AR$5,1),tblAuftraege[Auftrag],$A68))</f>
        <v>0</v>
      </c>
      <c r="AS68" s="11" t="n">
        <f aca="false">IF($A68="",0,SUMIFS(tblAuftraege[Ausgaben],tblAuftraege[Datum Ausgaben],"&gt;="&amp;AS$5,tblAuftraege[Datum Ausgaben],"&lt;"&amp;EDATE(AS$5,1),tblAuftraege[Auftrag],$A68))</f>
        <v>0</v>
      </c>
      <c r="AT68" s="11" t="n">
        <f aca="false">IF($A68="",0,SUMIFS(tblAuftraege[Ausgaben],tblAuftraege[Datum Ausgaben],"&gt;="&amp;AT$5,tblAuftraege[Datum Ausgaben],"&lt;"&amp;EDATE(AT$5,1),tblAuftraege[Auftrag],$A68))</f>
        <v>0</v>
      </c>
      <c r="AU68" s="11" t="n">
        <f aca="false">IF($A68="",0,SUMIFS(tblAuftraege[Ausgaben],tblAuftraege[Datum Ausgaben],"&gt;="&amp;AU$5,tblAuftraege[Datum Ausgaben],"&lt;"&amp;EDATE(AU$5,1),tblAuftraege[Auftrag],$A68))</f>
        <v>0</v>
      </c>
      <c r="AV68" s="11" t="n">
        <f aca="false">IF($A68="",0,SUMIFS(tblAuftraege[Ausgaben],tblAuftraege[Datum Ausgaben],"&gt;="&amp;AV$5,tblAuftraege[Datum Ausgaben],"&lt;"&amp;EDATE(AV$5,1),tblAuftraege[Auftrag],$A68))</f>
        <v>0</v>
      </c>
      <c r="AW68" s="11" t="n">
        <f aca="false">IF($A68="",0,SUMIFS(tblAuftraege[Ausgaben],tblAuftraege[Datum Ausgaben],"&gt;="&amp;AW$5,tblAuftraege[Datum Ausgaben],"&lt;"&amp;EDATE(AW$5,1),tblAuftraege[Auftrag],$A68))</f>
        <v>0</v>
      </c>
      <c r="AX68" s="11" t="n">
        <f aca="false">IF($A68="",0,SUMIFS(tblAuftraege[Ausgaben],tblAuftraege[Datum Ausgaben],"&gt;="&amp;AX$5,tblAuftraege[Datum Ausgaben],"&lt;"&amp;EDATE(AX$5,1),tblAuftraege[Auftrag],$A68))</f>
        <v>0</v>
      </c>
      <c r="AY68" s="11" t="n">
        <f aca="false">IF($A68="",0,SUMIFS(tblAuftraege[Ausgaben],tblAuftraege[Datum Ausgaben],"&gt;="&amp;AY$5,tblAuftraege[Datum Ausgaben],"&lt;"&amp;EDATE(AY$5,1),tblAuftraege[Auftrag],$A68))</f>
        <v>0</v>
      </c>
      <c r="AZ68" s="11" t="n">
        <f aca="false">IF($A68="",0,SUMIFS(tblAuftraege[Ausgaben],tblAuftraege[Datum Ausgaben],"&gt;="&amp;AZ$5,tblAuftraege[Datum Ausgaben],"&lt;"&amp;EDATE(AZ$5,1),tblAuftraege[Auftrag],$A68))</f>
        <v>0</v>
      </c>
      <c r="BA68" s="11" t="n">
        <f aca="false">IF($A68="",0,SUMIFS(tblAuftraege[Ausgaben],tblAuftraege[Datum Ausgaben],"&gt;="&amp;BA$5,tblAuftraege[Datum Ausgaben],"&lt;"&amp;EDATE(BA$5,1),tblAuftraege[Auftrag],$A68))</f>
        <v>0</v>
      </c>
      <c r="BB68" s="11" t="n">
        <f aca="false">IF($A68="",0,SUMIFS(tblAuftraege[Ausgaben],tblAuftraege[Datum Ausgaben],"&gt;="&amp;BB$5,tblAuftraege[Datum Ausgaben],"&lt;"&amp;EDATE(BB$5,1),tblAuftraege[Auftrag],$A68))</f>
        <v>0</v>
      </c>
      <c r="BC68" s="11" t="n">
        <f aca="false">IF($A68="",0,SUMIFS(tblAuftraege[Ausgaben],tblAuftraege[Datum Ausgaben],"&gt;="&amp;BC$5,tblAuftraege[Datum Ausgaben],"&lt;"&amp;EDATE(BC$5,1),tblAuftraege[Auftrag],$A68))</f>
        <v>0</v>
      </c>
      <c r="BD68" s="11" t="n">
        <f aca="false">IF($A68="",0,SUMIFS(tblAuftraege[Ausgaben],tblAuftraege[Datum Ausgaben],"&gt;="&amp;BD$5,tblAuftraege[Datum Ausgaben],"&lt;"&amp;EDATE(BD$5,1),tblAuftraege[Auftrag],$A68))</f>
        <v>0</v>
      </c>
      <c r="BE68" s="11" t="n">
        <f aca="false">IF($A68="",0,SUMIFS(tblAuftraege[Ausgaben],tblAuftraege[Datum Ausgaben],"&gt;="&amp;BE$5,tblAuftraege[Datum Ausgaben],"&lt;"&amp;EDATE(BE$5,1),tblAuftraege[Auftrag],$A68))</f>
        <v>0</v>
      </c>
      <c r="BF68" s="11" t="n">
        <f aca="false">IF($A68="",0,SUMIFS(tblAuftraege[Ausgaben],tblAuftraege[Datum Ausgaben],"&gt;="&amp;BF$5,tblAuftraege[Datum Ausgaben],"&lt;"&amp;EDATE(BF$5,1),tblAuftraege[Auftrag],$A68))</f>
        <v>0</v>
      </c>
      <c r="BG68" s="11" t="n">
        <f aca="false">SUM(E68:J68)</f>
        <v>0</v>
      </c>
      <c r="BH68" s="11" t="n">
        <f aca="false">SUM(K68:V68)</f>
        <v>0</v>
      </c>
      <c r="BI68" s="11" t="n">
        <f aca="false">SUM(W68:AH68)</f>
        <v>0</v>
      </c>
      <c r="BJ68" s="11" t="n">
        <f aca="false">SUM(AI68:AT68)</f>
        <v>0</v>
      </c>
      <c r="BK68" s="11" t="n">
        <f aca="false">SUM(AU68:BF68)</f>
        <v>0</v>
      </c>
      <c r="BL68" s="12" t="n">
        <f aca="false">SUM(E68:BF68)</f>
        <v>0</v>
      </c>
    </row>
    <row r="69" customFormat="false" ht="15" hidden="false" customHeight="false" outlineLevel="0" collapsed="false">
      <c r="A69" s="9"/>
      <c r="B69" s="10" t="str">
        <f aca="false">IF($A69="","",IFERROR(INDEX(tblAuftraege[Kostenstelle],MATCH($A69,tblAuftraege[Auftrag],0)),""))</f>
        <v/>
      </c>
      <c r="C69" s="10" t="str">
        <f aca="false">IF($A69="","",IFERROR(INDEX(tblAuftraege[Themenfeld],MATCH($A69,tblAuftraege[Auftrag],0)),""))</f>
        <v/>
      </c>
      <c r="D69" s="10" t="str">
        <f aca="false">IF($A69="","",IFERROR(INDEX(tblAuftraege[Kategorie],MATCH($A69,tblAuftraege[Auftrag],0)),""))</f>
        <v/>
      </c>
      <c r="E69" s="11" t="n">
        <f aca="false">IF($A69="",0,SUMIFS(tblAuftraege[Ausgaben],tblAuftraege[Datum Ausgaben],"&gt;="&amp;E$5,tblAuftraege[Datum Ausgaben],"&lt;"&amp;EDATE(E$5,1),tblAuftraege[Auftrag],$A69))</f>
        <v>0</v>
      </c>
      <c r="F69" s="11" t="n">
        <f aca="false">IF($A69="",0,SUMIFS(tblAuftraege[Ausgaben],tblAuftraege[Datum Ausgaben],"&gt;="&amp;F$5,tblAuftraege[Datum Ausgaben],"&lt;"&amp;EDATE(F$5,1),tblAuftraege[Auftrag],$A69))</f>
        <v>0</v>
      </c>
      <c r="G69" s="11" t="n">
        <f aca="false">IF($A69="",0,SUMIFS(tblAuftraege[Ausgaben],tblAuftraege[Datum Ausgaben],"&gt;="&amp;G$5,tblAuftraege[Datum Ausgaben],"&lt;"&amp;EDATE(G$5,1),tblAuftraege[Auftrag],$A69))</f>
        <v>0</v>
      </c>
      <c r="H69" s="11" t="n">
        <f aca="false">IF($A69="",0,SUMIFS(tblAuftraege[Ausgaben],tblAuftraege[Datum Ausgaben],"&gt;="&amp;H$5,tblAuftraege[Datum Ausgaben],"&lt;"&amp;EDATE(H$5,1),tblAuftraege[Auftrag],$A69))</f>
        <v>0</v>
      </c>
      <c r="I69" s="11" t="n">
        <f aca="false">IF($A69="",0,SUMIFS(tblAuftraege[Ausgaben],tblAuftraege[Datum Ausgaben],"&gt;="&amp;I$5,tblAuftraege[Datum Ausgaben],"&lt;"&amp;EDATE(I$5,1),tblAuftraege[Auftrag],$A69))</f>
        <v>0</v>
      </c>
      <c r="J69" s="11" t="n">
        <f aca="false">IF($A69="",0,SUMIFS(tblAuftraege[Ausgaben],tblAuftraege[Datum Ausgaben],"&gt;="&amp;J$5,tblAuftraege[Datum Ausgaben],"&lt;"&amp;EDATE(J$5,1),tblAuftraege[Auftrag],$A69))</f>
        <v>0</v>
      </c>
      <c r="K69" s="11" t="n">
        <f aca="false">IF($A69="",0,SUMIFS(tblAuftraege[Ausgaben],tblAuftraege[Datum Ausgaben],"&gt;="&amp;K$5,tblAuftraege[Datum Ausgaben],"&lt;"&amp;EDATE(K$5,1),tblAuftraege[Auftrag],$A69))</f>
        <v>0</v>
      </c>
      <c r="L69" s="11" t="n">
        <f aca="false">IF($A69="",0,SUMIFS(tblAuftraege[Ausgaben],tblAuftraege[Datum Ausgaben],"&gt;="&amp;L$5,tblAuftraege[Datum Ausgaben],"&lt;"&amp;EDATE(L$5,1),tblAuftraege[Auftrag],$A69))</f>
        <v>0</v>
      </c>
      <c r="M69" s="11" t="n">
        <f aca="false">IF($A69="",0,SUMIFS(tblAuftraege[Ausgaben],tblAuftraege[Datum Ausgaben],"&gt;="&amp;M$5,tblAuftraege[Datum Ausgaben],"&lt;"&amp;EDATE(M$5,1),tblAuftraege[Auftrag],$A69))</f>
        <v>0</v>
      </c>
      <c r="N69" s="11" t="n">
        <f aca="false">IF($A69="",0,SUMIFS(tblAuftraege[Ausgaben],tblAuftraege[Datum Ausgaben],"&gt;="&amp;N$5,tblAuftraege[Datum Ausgaben],"&lt;"&amp;EDATE(N$5,1),tblAuftraege[Auftrag],$A69))</f>
        <v>0</v>
      </c>
      <c r="O69" s="11" t="n">
        <f aca="false">IF($A69="",0,SUMIFS(tblAuftraege[Ausgaben],tblAuftraege[Datum Ausgaben],"&gt;="&amp;O$5,tblAuftraege[Datum Ausgaben],"&lt;"&amp;EDATE(O$5,1),tblAuftraege[Auftrag],$A69))</f>
        <v>0</v>
      </c>
      <c r="P69" s="11" t="n">
        <f aca="false">IF($A69="",0,SUMIFS(tblAuftraege[Ausgaben],tblAuftraege[Datum Ausgaben],"&gt;="&amp;P$5,tblAuftraege[Datum Ausgaben],"&lt;"&amp;EDATE(P$5,1),tblAuftraege[Auftrag],$A69))</f>
        <v>0</v>
      </c>
      <c r="Q69" s="11" t="n">
        <f aca="false">IF($A69="",0,SUMIFS(tblAuftraege[Ausgaben],tblAuftraege[Datum Ausgaben],"&gt;="&amp;Q$5,tblAuftraege[Datum Ausgaben],"&lt;"&amp;EDATE(Q$5,1),tblAuftraege[Auftrag],$A69))</f>
        <v>0</v>
      </c>
      <c r="R69" s="11" t="n">
        <f aca="false">IF($A69="",0,SUMIFS(tblAuftraege[Ausgaben],tblAuftraege[Datum Ausgaben],"&gt;="&amp;R$5,tblAuftraege[Datum Ausgaben],"&lt;"&amp;EDATE(R$5,1),tblAuftraege[Auftrag],$A69))</f>
        <v>0</v>
      </c>
      <c r="S69" s="11" t="n">
        <f aca="false">IF($A69="",0,SUMIFS(tblAuftraege[Ausgaben],tblAuftraege[Datum Ausgaben],"&gt;="&amp;S$5,tblAuftraege[Datum Ausgaben],"&lt;"&amp;EDATE(S$5,1),tblAuftraege[Auftrag],$A69))</f>
        <v>0</v>
      </c>
      <c r="T69" s="11" t="n">
        <f aca="false">IF($A69="",0,SUMIFS(tblAuftraege[Ausgaben],tblAuftraege[Datum Ausgaben],"&gt;="&amp;T$5,tblAuftraege[Datum Ausgaben],"&lt;"&amp;EDATE(T$5,1),tblAuftraege[Auftrag],$A69))</f>
        <v>0</v>
      </c>
      <c r="U69" s="11" t="n">
        <f aca="false">IF($A69="",0,SUMIFS(tblAuftraege[Ausgaben],tblAuftraege[Datum Ausgaben],"&gt;="&amp;U$5,tblAuftraege[Datum Ausgaben],"&lt;"&amp;EDATE(U$5,1),tblAuftraege[Auftrag],$A69))</f>
        <v>0</v>
      </c>
      <c r="V69" s="11" t="n">
        <f aca="false">IF($A69="",0,SUMIFS(tblAuftraege[Ausgaben],tblAuftraege[Datum Ausgaben],"&gt;="&amp;V$5,tblAuftraege[Datum Ausgaben],"&lt;"&amp;EDATE(V$5,1),tblAuftraege[Auftrag],$A69))</f>
        <v>0</v>
      </c>
      <c r="W69" s="11" t="n">
        <f aca="false">IF($A69="",0,SUMIFS(tblAuftraege[Ausgaben],tblAuftraege[Datum Ausgaben],"&gt;="&amp;W$5,tblAuftraege[Datum Ausgaben],"&lt;"&amp;EDATE(W$5,1),tblAuftraege[Auftrag],$A69))</f>
        <v>0</v>
      </c>
      <c r="X69" s="11" t="n">
        <f aca="false">IF($A69="",0,SUMIFS(tblAuftraege[Ausgaben],tblAuftraege[Datum Ausgaben],"&gt;="&amp;X$5,tblAuftraege[Datum Ausgaben],"&lt;"&amp;EDATE(X$5,1),tblAuftraege[Auftrag],$A69))</f>
        <v>0</v>
      </c>
      <c r="Y69" s="11" t="n">
        <f aca="false">IF($A69="",0,SUMIFS(tblAuftraege[Ausgaben],tblAuftraege[Datum Ausgaben],"&gt;="&amp;Y$5,tblAuftraege[Datum Ausgaben],"&lt;"&amp;EDATE(Y$5,1),tblAuftraege[Auftrag],$A69))</f>
        <v>0</v>
      </c>
      <c r="Z69" s="11" t="n">
        <f aca="false">IF($A69="",0,SUMIFS(tblAuftraege[Ausgaben],tblAuftraege[Datum Ausgaben],"&gt;="&amp;Z$5,tblAuftraege[Datum Ausgaben],"&lt;"&amp;EDATE(Z$5,1),tblAuftraege[Auftrag],$A69))</f>
        <v>0</v>
      </c>
      <c r="AA69" s="11" t="n">
        <f aca="false">IF($A69="",0,SUMIFS(tblAuftraege[Ausgaben],tblAuftraege[Datum Ausgaben],"&gt;="&amp;AA$5,tblAuftraege[Datum Ausgaben],"&lt;"&amp;EDATE(AA$5,1),tblAuftraege[Auftrag],$A69))</f>
        <v>0</v>
      </c>
      <c r="AB69" s="11" t="n">
        <f aca="false">IF($A69="",0,SUMIFS(tblAuftraege[Ausgaben],tblAuftraege[Datum Ausgaben],"&gt;="&amp;AB$5,tblAuftraege[Datum Ausgaben],"&lt;"&amp;EDATE(AB$5,1),tblAuftraege[Auftrag],$A69))</f>
        <v>0</v>
      </c>
      <c r="AC69" s="11" t="n">
        <f aca="false">IF($A69="",0,SUMIFS(tblAuftraege[Ausgaben],tblAuftraege[Datum Ausgaben],"&gt;="&amp;AC$5,tblAuftraege[Datum Ausgaben],"&lt;"&amp;EDATE(AC$5,1),tblAuftraege[Auftrag],$A69))</f>
        <v>0</v>
      </c>
      <c r="AD69" s="11" t="n">
        <f aca="false">IF($A69="",0,SUMIFS(tblAuftraege[Ausgaben],tblAuftraege[Datum Ausgaben],"&gt;="&amp;AD$5,tblAuftraege[Datum Ausgaben],"&lt;"&amp;EDATE(AD$5,1),tblAuftraege[Auftrag],$A69))</f>
        <v>0</v>
      </c>
      <c r="AE69" s="11" t="n">
        <f aca="false">IF($A69="",0,SUMIFS(tblAuftraege[Ausgaben],tblAuftraege[Datum Ausgaben],"&gt;="&amp;AE$5,tblAuftraege[Datum Ausgaben],"&lt;"&amp;EDATE(AE$5,1),tblAuftraege[Auftrag],$A69))</f>
        <v>0</v>
      </c>
      <c r="AF69" s="11" t="n">
        <f aca="false">IF($A69="",0,SUMIFS(tblAuftraege[Ausgaben],tblAuftraege[Datum Ausgaben],"&gt;="&amp;AF$5,tblAuftraege[Datum Ausgaben],"&lt;"&amp;EDATE(AF$5,1),tblAuftraege[Auftrag],$A69))</f>
        <v>0</v>
      </c>
      <c r="AG69" s="11" t="n">
        <f aca="false">IF($A69="",0,SUMIFS(tblAuftraege[Ausgaben],tblAuftraege[Datum Ausgaben],"&gt;="&amp;AG$5,tblAuftraege[Datum Ausgaben],"&lt;"&amp;EDATE(AG$5,1),tblAuftraege[Auftrag],$A69))</f>
        <v>0</v>
      </c>
      <c r="AH69" s="11" t="n">
        <f aca="false">IF($A69="",0,SUMIFS(tblAuftraege[Ausgaben],tblAuftraege[Datum Ausgaben],"&gt;="&amp;AH$5,tblAuftraege[Datum Ausgaben],"&lt;"&amp;EDATE(AH$5,1),tblAuftraege[Auftrag],$A69))</f>
        <v>0</v>
      </c>
      <c r="AI69" s="11" t="n">
        <f aca="false">IF($A69="",0,SUMIFS(tblAuftraege[Ausgaben],tblAuftraege[Datum Ausgaben],"&gt;="&amp;AI$5,tblAuftraege[Datum Ausgaben],"&lt;"&amp;EDATE(AI$5,1),tblAuftraege[Auftrag],$A69))</f>
        <v>0</v>
      </c>
      <c r="AJ69" s="11" t="n">
        <f aca="false">IF($A69="",0,SUMIFS(tblAuftraege[Ausgaben],tblAuftraege[Datum Ausgaben],"&gt;="&amp;AJ$5,tblAuftraege[Datum Ausgaben],"&lt;"&amp;EDATE(AJ$5,1),tblAuftraege[Auftrag],$A69))</f>
        <v>0</v>
      </c>
      <c r="AK69" s="11" t="n">
        <f aca="false">IF($A69="",0,SUMIFS(tblAuftraege[Ausgaben],tblAuftraege[Datum Ausgaben],"&gt;="&amp;AK$5,tblAuftraege[Datum Ausgaben],"&lt;"&amp;EDATE(AK$5,1),tblAuftraege[Auftrag],$A69))</f>
        <v>0</v>
      </c>
      <c r="AL69" s="11" t="n">
        <f aca="false">IF($A69="",0,SUMIFS(tblAuftraege[Ausgaben],tblAuftraege[Datum Ausgaben],"&gt;="&amp;AL$5,tblAuftraege[Datum Ausgaben],"&lt;"&amp;EDATE(AL$5,1),tblAuftraege[Auftrag],$A69))</f>
        <v>0</v>
      </c>
      <c r="AM69" s="11" t="n">
        <f aca="false">IF($A69="",0,SUMIFS(tblAuftraege[Ausgaben],tblAuftraege[Datum Ausgaben],"&gt;="&amp;AM$5,tblAuftraege[Datum Ausgaben],"&lt;"&amp;EDATE(AM$5,1),tblAuftraege[Auftrag],$A69))</f>
        <v>0</v>
      </c>
      <c r="AN69" s="11" t="n">
        <f aca="false">IF($A69="",0,SUMIFS(tblAuftraege[Ausgaben],tblAuftraege[Datum Ausgaben],"&gt;="&amp;AN$5,tblAuftraege[Datum Ausgaben],"&lt;"&amp;EDATE(AN$5,1),tblAuftraege[Auftrag],$A69))</f>
        <v>0</v>
      </c>
      <c r="AO69" s="11" t="n">
        <f aca="false">IF($A69="",0,SUMIFS(tblAuftraege[Ausgaben],tblAuftraege[Datum Ausgaben],"&gt;="&amp;AO$5,tblAuftraege[Datum Ausgaben],"&lt;"&amp;EDATE(AO$5,1),tblAuftraege[Auftrag],$A69))</f>
        <v>0</v>
      </c>
      <c r="AP69" s="11" t="n">
        <f aca="false">IF($A69="",0,SUMIFS(tblAuftraege[Ausgaben],tblAuftraege[Datum Ausgaben],"&gt;="&amp;AP$5,tblAuftraege[Datum Ausgaben],"&lt;"&amp;EDATE(AP$5,1),tblAuftraege[Auftrag],$A69))</f>
        <v>0</v>
      </c>
      <c r="AQ69" s="11" t="n">
        <f aca="false">IF($A69="",0,SUMIFS(tblAuftraege[Ausgaben],tblAuftraege[Datum Ausgaben],"&gt;="&amp;AQ$5,tblAuftraege[Datum Ausgaben],"&lt;"&amp;EDATE(AQ$5,1),tblAuftraege[Auftrag],$A69))</f>
        <v>0</v>
      </c>
      <c r="AR69" s="11" t="n">
        <f aca="false">IF($A69="",0,SUMIFS(tblAuftraege[Ausgaben],tblAuftraege[Datum Ausgaben],"&gt;="&amp;AR$5,tblAuftraege[Datum Ausgaben],"&lt;"&amp;EDATE(AR$5,1),tblAuftraege[Auftrag],$A69))</f>
        <v>0</v>
      </c>
      <c r="AS69" s="11" t="n">
        <f aca="false">IF($A69="",0,SUMIFS(tblAuftraege[Ausgaben],tblAuftraege[Datum Ausgaben],"&gt;="&amp;AS$5,tblAuftraege[Datum Ausgaben],"&lt;"&amp;EDATE(AS$5,1),tblAuftraege[Auftrag],$A69))</f>
        <v>0</v>
      </c>
      <c r="AT69" s="11" t="n">
        <f aca="false">IF($A69="",0,SUMIFS(tblAuftraege[Ausgaben],tblAuftraege[Datum Ausgaben],"&gt;="&amp;AT$5,tblAuftraege[Datum Ausgaben],"&lt;"&amp;EDATE(AT$5,1),tblAuftraege[Auftrag],$A69))</f>
        <v>0</v>
      </c>
      <c r="AU69" s="11" t="n">
        <f aca="false">IF($A69="",0,SUMIFS(tblAuftraege[Ausgaben],tblAuftraege[Datum Ausgaben],"&gt;="&amp;AU$5,tblAuftraege[Datum Ausgaben],"&lt;"&amp;EDATE(AU$5,1),tblAuftraege[Auftrag],$A69))</f>
        <v>0</v>
      </c>
      <c r="AV69" s="11" t="n">
        <f aca="false">IF($A69="",0,SUMIFS(tblAuftraege[Ausgaben],tblAuftraege[Datum Ausgaben],"&gt;="&amp;AV$5,tblAuftraege[Datum Ausgaben],"&lt;"&amp;EDATE(AV$5,1),tblAuftraege[Auftrag],$A69))</f>
        <v>0</v>
      </c>
      <c r="AW69" s="11" t="n">
        <f aca="false">IF($A69="",0,SUMIFS(tblAuftraege[Ausgaben],tblAuftraege[Datum Ausgaben],"&gt;="&amp;AW$5,tblAuftraege[Datum Ausgaben],"&lt;"&amp;EDATE(AW$5,1),tblAuftraege[Auftrag],$A69))</f>
        <v>0</v>
      </c>
      <c r="AX69" s="11" t="n">
        <f aca="false">IF($A69="",0,SUMIFS(tblAuftraege[Ausgaben],tblAuftraege[Datum Ausgaben],"&gt;="&amp;AX$5,tblAuftraege[Datum Ausgaben],"&lt;"&amp;EDATE(AX$5,1),tblAuftraege[Auftrag],$A69))</f>
        <v>0</v>
      </c>
      <c r="AY69" s="11" t="n">
        <f aca="false">IF($A69="",0,SUMIFS(tblAuftraege[Ausgaben],tblAuftraege[Datum Ausgaben],"&gt;="&amp;AY$5,tblAuftraege[Datum Ausgaben],"&lt;"&amp;EDATE(AY$5,1),tblAuftraege[Auftrag],$A69))</f>
        <v>0</v>
      </c>
      <c r="AZ69" s="11" t="n">
        <f aca="false">IF($A69="",0,SUMIFS(tblAuftraege[Ausgaben],tblAuftraege[Datum Ausgaben],"&gt;="&amp;AZ$5,tblAuftraege[Datum Ausgaben],"&lt;"&amp;EDATE(AZ$5,1),tblAuftraege[Auftrag],$A69))</f>
        <v>0</v>
      </c>
      <c r="BA69" s="11" t="n">
        <f aca="false">IF($A69="",0,SUMIFS(tblAuftraege[Ausgaben],tblAuftraege[Datum Ausgaben],"&gt;="&amp;BA$5,tblAuftraege[Datum Ausgaben],"&lt;"&amp;EDATE(BA$5,1),tblAuftraege[Auftrag],$A69))</f>
        <v>0</v>
      </c>
      <c r="BB69" s="11" t="n">
        <f aca="false">IF($A69="",0,SUMIFS(tblAuftraege[Ausgaben],tblAuftraege[Datum Ausgaben],"&gt;="&amp;BB$5,tblAuftraege[Datum Ausgaben],"&lt;"&amp;EDATE(BB$5,1),tblAuftraege[Auftrag],$A69))</f>
        <v>0</v>
      </c>
      <c r="BC69" s="11" t="n">
        <f aca="false">IF($A69="",0,SUMIFS(tblAuftraege[Ausgaben],tblAuftraege[Datum Ausgaben],"&gt;="&amp;BC$5,tblAuftraege[Datum Ausgaben],"&lt;"&amp;EDATE(BC$5,1),tblAuftraege[Auftrag],$A69))</f>
        <v>0</v>
      </c>
      <c r="BD69" s="11" t="n">
        <f aca="false">IF($A69="",0,SUMIFS(tblAuftraege[Ausgaben],tblAuftraege[Datum Ausgaben],"&gt;="&amp;BD$5,tblAuftraege[Datum Ausgaben],"&lt;"&amp;EDATE(BD$5,1),tblAuftraege[Auftrag],$A69))</f>
        <v>0</v>
      </c>
      <c r="BE69" s="11" t="n">
        <f aca="false">IF($A69="",0,SUMIFS(tblAuftraege[Ausgaben],tblAuftraege[Datum Ausgaben],"&gt;="&amp;BE$5,tblAuftraege[Datum Ausgaben],"&lt;"&amp;EDATE(BE$5,1),tblAuftraege[Auftrag],$A69))</f>
        <v>0</v>
      </c>
      <c r="BF69" s="11" t="n">
        <f aca="false">IF($A69="",0,SUMIFS(tblAuftraege[Ausgaben],tblAuftraege[Datum Ausgaben],"&gt;="&amp;BF$5,tblAuftraege[Datum Ausgaben],"&lt;"&amp;EDATE(BF$5,1),tblAuftraege[Auftrag],$A69))</f>
        <v>0</v>
      </c>
      <c r="BG69" s="11" t="n">
        <f aca="false">SUM(E69:J69)</f>
        <v>0</v>
      </c>
      <c r="BH69" s="11" t="n">
        <f aca="false">SUM(K69:V69)</f>
        <v>0</v>
      </c>
      <c r="BI69" s="11" t="n">
        <f aca="false">SUM(W69:AH69)</f>
        <v>0</v>
      </c>
      <c r="BJ69" s="11" t="n">
        <f aca="false">SUM(AI69:AT69)</f>
        <v>0</v>
      </c>
      <c r="BK69" s="11" t="n">
        <f aca="false">SUM(AU69:BF69)</f>
        <v>0</v>
      </c>
      <c r="BL69" s="12" t="n">
        <f aca="false">SUM(E69:BF69)</f>
        <v>0</v>
      </c>
    </row>
    <row r="70" customFormat="false" ht="15" hidden="false" customHeight="false" outlineLevel="0" collapsed="false">
      <c r="A70" s="9"/>
      <c r="B70" s="10" t="str">
        <f aca="false">IF($A70="","",IFERROR(INDEX(tblAuftraege[Kostenstelle],MATCH($A70,tblAuftraege[Auftrag],0)),""))</f>
        <v/>
      </c>
      <c r="C70" s="10" t="str">
        <f aca="false">IF($A70="","",IFERROR(INDEX(tblAuftraege[Themenfeld],MATCH($A70,tblAuftraege[Auftrag],0)),""))</f>
        <v/>
      </c>
      <c r="D70" s="10" t="str">
        <f aca="false">IF($A70="","",IFERROR(INDEX(tblAuftraege[Kategorie],MATCH($A70,tblAuftraege[Auftrag],0)),""))</f>
        <v/>
      </c>
      <c r="E70" s="11" t="n">
        <f aca="false">IF($A70="",0,SUMIFS(tblAuftraege[Ausgaben],tblAuftraege[Datum Ausgaben],"&gt;="&amp;E$5,tblAuftraege[Datum Ausgaben],"&lt;"&amp;EDATE(E$5,1),tblAuftraege[Auftrag],$A70))</f>
        <v>0</v>
      </c>
      <c r="F70" s="11" t="n">
        <f aca="false">IF($A70="",0,SUMIFS(tblAuftraege[Ausgaben],tblAuftraege[Datum Ausgaben],"&gt;="&amp;F$5,tblAuftraege[Datum Ausgaben],"&lt;"&amp;EDATE(F$5,1),tblAuftraege[Auftrag],$A70))</f>
        <v>0</v>
      </c>
      <c r="G70" s="11" t="n">
        <f aca="false">IF($A70="",0,SUMIFS(tblAuftraege[Ausgaben],tblAuftraege[Datum Ausgaben],"&gt;="&amp;G$5,tblAuftraege[Datum Ausgaben],"&lt;"&amp;EDATE(G$5,1),tblAuftraege[Auftrag],$A70))</f>
        <v>0</v>
      </c>
      <c r="H70" s="11" t="n">
        <f aca="false">IF($A70="",0,SUMIFS(tblAuftraege[Ausgaben],tblAuftraege[Datum Ausgaben],"&gt;="&amp;H$5,tblAuftraege[Datum Ausgaben],"&lt;"&amp;EDATE(H$5,1),tblAuftraege[Auftrag],$A70))</f>
        <v>0</v>
      </c>
      <c r="I70" s="11" t="n">
        <f aca="false">IF($A70="",0,SUMIFS(tblAuftraege[Ausgaben],tblAuftraege[Datum Ausgaben],"&gt;="&amp;I$5,tblAuftraege[Datum Ausgaben],"&lt;"&amp;EDATE(I$5,1),tblAuftraege[Auftrag],$A70))</f>
        <v>0</v>
      </c>
      <c r="J70" s="11" t="n">
        <f aca="false">IF($A70="",0,SUMIFS(tblAuftraege[Ausgaben],tblAuftraege[Datum Ausgaben],"&gt;="&amp;J$5,tblAuftraege[Datum Ausgaben],"&lt;"&amp;EDATE(J$5,1),tblAuftraege[Auftrag],$A70))</f>
        <v>0</v>
      </c>
      <c r="K70" s="11" t="n">
        <f aca="false">IF($A70="",0,SUMIFS(tblAuftraege[Ausgaben],tblAuftraege[Datum Ausgaben],"&gt;="&amp;K$5,tblAuftraege[Datum Ausgaben],"&lt;"&amp;EDATE(K$5,1),tblAuftraege[Auftrag],$A70))</f>
        <v>0</v>
      </c>
      <c r="L70" s="11" t="n">
        <f aca="false">IF($A70="",0,SUMIFS(tblAuftraege[Ausgaben],tblAuftraege[Datum Ausgaben],"&gt;="&amp;L$5,tblAuftraege[Datum Ausgaben],"&lt;"&amp;EDATE(L$5,1),tblAuftraege[Auftrag],$A70))</f>
        <v>0</v>
      </c>
      <c r="M70" s="11" t="n">
        <f aca="false">IF($A70="",0,SUMIFS(tblAuftraege[Ausgaben],tblAuftraege[Datum Ausgaben],"&gt;="&amp;M$5,tblAuftraege[Datum Ausgaben],"&lt;"&amp;EDATE(M$5,1),tblAuftraege[Auftrag],$A70))</f>
        <v>0</v>
      </c>
      <c r="N70" s="11" t="n">
        <f aca="false">IF($A70="",0,SUMIFS(tblAuftraege[Ausgaben],tblAuftraege[Datum Ausgaben],"&gt;="&amp;N$5,tblAuftraege[Datum Ausgaben],"&lt;"&amp;EDATE(N$5,1),tblAuftraege[Auftrag],$A70))</f>
        <v>0</v>
      </c>
      <c r="O70" s="11" t="n">
        <f aca="false">IF($A70="",0,SUMIFS(tblAuftraege[Ausgaben],tblAuftraege[Datum Ausgaben],"&gt;="&amp;O$5,tblAuftraege[Datum Ausgaben],"&lt;"&amp;EDATE(O$5,1),tblAuftraege[Auftrag],$A70))</f>
        <v>0</v>
      </c>
      <c r="P70" s="11" t="n">
        <f aca="false">IF($A70="",0,SUMIFS(tblAuftraege[Ausgaben],tblAuftraege[Datum Ausgaben],"&gt;="&amp;P$5,tblAuftraege[Datum Ausgaben],"&lt;"&amp;EDATE(P$5,1),tblAuftraege[Auftrag],$A70))</f>
        <v>0</v>
      </c>
      <c r="Q70" s="11" t="n">
        <f aca="false">IF($A70="",0,SUMIFS(tblAuftraege[Ausgaben],tblAuftraege[Datum Ausgaben],"&gt;="&amp;Q$5,tblAuftraege[Datum Ausgaben],"&lt;"&amp;EDATE(Q$5,1),tblAuftraege[Auftrag],$A70))</f>
        <v>0</v>
      </c>
      <c r="R70" s="11" t="n">
        <f aca="false">IF($A70="",0,SUMIFS(tblAuftraege[Ausgaben],tblAuftraege[Datum Ausgaben],"&gt;="&amp;R$5,tblAuftraege[Datum Ausgaben],"&lt;"&amp;EDATE(R$5,1),tblAuftraege[Auftrag],$A70))</f>
        <v>0</v>
      </c>
      <c r="S70" s="11" t="n">
        <f aca="false">IF($A70="",0,SUMIFS(tblAuftraege[Ausgaben],tblAuftraege[Datum Ausgaben],"&gt;="&amp;S$5,tblAuftraege[Datum Ausgaben],"&lt;"&amp;EDATE(S$5,1),tblAuftraege[Auftrag],$A70))</f>
        <v>0</v>
      </c>
      <c r="T70" s="11" t="n">
        <f aca="false">IF($A70="",0,SUMIFS(tblAuftraege[Ausgaben],tblAuftraege[Datum Ausgaben],"&gt;="&amp;T$5,tblAuftraege[Datum Ausgaben],"&lt;"&amp;EDATE(T$5,1),tblAuftraege[Auftrag],$A70))</f>
        <v>0</v>
      </c>
      <c r="U70" s="11" t="n">
        <f aca="false">IF($A70="",0,SUMIFS(tblAuftraege[Ausgaben],tblAuftraege[Datum Ausgaben],"&gt;="&amp;U$5,tblAuftraege[Datum Ausgaben],"&lt;"&amp;EDATE(U$5,1),tblAuftraege[Auftrag],$A70))</f>
        <v>0</v>
      </c>
      <c r="V70" s="11" t="n">
        <f aca="false">IF($A70="",0,SUMIFS(tblAuftraege[Ausgaben],tblAuftraege[Datum Ausgaben],"&gt;="&amp;V$5,tblAuftraege[Datum Ausgaben],"&lt;"&amp;EDATE(V$5,1),tblAuftraege[Auftrag],$A70))</f>
        <v>0</v>
      </c>
      <c r="W70" s="11" t="n">
        <f aca="false">IF($A70="",0,SUMIFS(tblAuftraege[Ausgaben],tblAuftraege[Datum Ausgaben],"&gt;="&amp;W$5,tblAuftraege[Datum Ausgaben],"&lt;"&amp;EDATE(W$5,1),tblAuftraege[Auftrag],$A70))</f>
        <v>0</v>
      </c>
      <c r="X70" s="11" t="n">
        <f aca="false">IF($A70="",0,SUMIFS(tblAuftraege[Ausgaben],tblAuftraege[Datum Ausgaben],"&gt;="&amp;X$5,tblAuftraege[Datum Ausgaben],"&lt;"&amp;EDATE(X$5,1),tblAuftraege[Auftrag],$A70))</f>
        <v>0</v>
      </c>
      <c r="Y70" s="11" t="n">
        <f aca="false">IF($A70="",0,SUMIFS(tblAuftraege[Ausgaben],tblAuftraege[Datum Ausgaben],"&gt;="&amp;Y$5,tblAuftraege[Datum Ausgaben],"&lt;"&amp;EDATE(Y$5,1),tblAuftraege[Auftrag],$A70))</f>
        <v>0</v>
      </c>
      <c r="Z70" s="11" t="n">
        <f aca="false">IF($A70="",0,SUMIFS(tblAuftraege[Ausgaben],tblAuftraege[Datum Ausgaben],"&gt;="&amp;Z$5,tblAuftraege[Datum Ausgaben],"&lt;"&amp;EDATE(Z$5,1),tblAuftraege[Auftrag],$A70))</f>
        <v>0</v>
      </c>
      <c r="AA70" s="11" t="n">
        <f aca="false">IF($A70="",0,SUMIFS(tblAuftraege[Ausgaben],tblAuftraege[Datum Ausgaben],"&gt;="&amp;AA$5,tblAuftraege[Datum Ausgaben],"&lt;"&amp;EDATE(AA$5,1),tblAuftraege[Auftrag],$A70))</f>
        <v>0</v>
      </c>
      <c r="AB70" s="11" t="n">
        <f aca="false">IF($A70="",0,SUMIFS(tblAuftraege[Ausgaben],tblAuftraege[Datum Ausgaben],"&gt;="&amp;AB$5,tblAuftraege[Datum Ausgaben],"&lt;"&amp;EDATE(AB$5,1),tblAuftraege[Auftrag],$A70))</f>
        <v>0</v>
      </c>
      <c r="AC70" s="11" t="n">
        <f aca="false">IF($A70="",0,SUMIFS(tblAuftraege[Ausgaben],tblAuftraege[Datum Ausgaben],"&gt;="&amp;AC$5,tblAuftraege[Datum Ausgaben],"&lt;"&amp;EDATE(AC$5,1),tblAuftraege[Auftrag],$A70))</f>
        <v>0</v>
      </c>
      <c r="AD70" s="11" t="n">
        <f aca="false">IF($A70="",0,SUMIFS(tblAuftraege[Ausgaben],tblAuftraege[Datum Ausgaben],"&gt;="&amp;AD$5,tblAuftraege[Datum Ausgaben],"&lt;"&amp;EDATE(AD$5,1),tblAuftraege[Auftrag],$A70))</f>
        <v>0</v>
      </c>
      <c r="AE70" s="11" t="n">
        <f aca="false">IF($A70="",0,SUMIFS(tblAuftraege[Ausgaben],tblAuftraege[Datum Ausgaben],"&gt;="&amp;AE$5,tblAuftraege[Datum Ausgaben],"&lt;"&amp;EDATE(AE$5,1),tblAuftraege[Auftrag],$A70))</f>
        <v>0</v>
      </c>
      <c r="AF70" s="11" t="n">
        <f aca="false">IF($A70="",0,SUMIFS(tblAuftraege[Ausgaben],tblAuftraege[Datum Ausgaben],"&gt;="&amp;AF$5,tblAuftraege[Datum Ausgaben],"&lt;"&amp;EDATE(AF$5,1),tblAuftraege[Auftrag],$A70))</f>
        <v>0</v>
      </c>
      <c r="AG70" s="11" t="n">
        <f aca="false">IF($A70="",0,SUMIFS(tblAuftraege[Ausgaben],tblAuftraege[Datum Ausgaben],"&gt;="&amp;AG$5,tblAuftraege[Datum Ausgaben],"&lt;"&amp;EDATE(AG$5,1),tblAuftraege[Auftrag],$A70))</f>
        <v>0</v>
      </c>
      <c r="AH70" s="11" t="n">
        <f aca="false">IF($A70="",0,SUMIFS(tblAuftraege[Ausgaben],tblAuftraege[Datum Ausgaben],"&gt;="&amp;AH$5,tblAuftraege[Datum Ausgaben],"&lt;"&amp;EDATE(AH$5,1),tblAuftraege[Auftrag],$A70))</f>
        <v>0</v>
      </c>
      <c r="AI70" s="11" t="n">
        <f aca="false">IF($A70="",0,SUMIFS(tblAuftraege[Ausgaben],tblAuftraege[Datum Ausgaben],"&gt;="&amp;AI$5,tblAuftraege[Datum Ausgaben],"&lt;"&amp;EDATE(AI$5,1),tblAuftraege[Auftrag],$A70))</f>
        <v>0</v>
      </c>
      <c r="AJ70" s="11" t="n">
        <f aca="false">IF($A70="",0,SUMIFS(tblAuftraege[Ausgaben],tblAuftraege[Datum Ausgaben],"&gt;="&amp;AJ$5,tblAuftraege[Datum Ausgaben],"&lt;"&amp;EDATE(AJ$5,1),tblAuftraege[Auftrag],$A70))</f>
        <v>0</v>
      </c>
      <c r="AK70" s="11" t="n">
        <f aca="false">IF($A70="",0,SUMIFS(tblAuftraege[Ausgaben],tblAuftraege[Datum Ausgaben],"&gt;="&amp;AK$5,tblAuftraege[Datum Ausgaben],"&lt;"&amp;EDATE(AK$5,1),tblAuftraege[Auftrag],$A70))</f>
        <v>0</v>
      </c>
      <c r="AL70" s="11" t="n">
        <f aca="false">IF($A70="",0,SUMIFS(tblAuftraege[Ausgaben],tblAuftraege[Datum Ausgaben],"&gt;="&amp;AL$5,tblAuftraege[Datum Ausgaben],"&lt;"&amp;EDATE(AL$5,1),tblAuftraege[Auftrag],$A70))</f>
        <v>0</v>
      </c>
      <c r="AM70" s="11" t="n">
        <f aca="false">IF($A70="",0,SUMIFS(tblAuftraege[Ausgaben],tblAuftraege[Datum Ausgaben],"&gt;="&amp;AM$5,tblAuftraege[Datum Ausgaben],"&lt;"&amp;EDATE(AM$5,1),tblAuftraege[Auftrag],$A70))</f>
        <v>0</v>
      </c>
      <c r="AN70" s="11" t="n">
        <f aca="false">IF($A70="",0,SUMIFS(tblAuftraege[Ausgaben],tblAuftraege[Datum Ausgaben],"&gt;="&amp;AN$5,tblAuftraege[Datum Ausgaben],"&lt;"&amp;EDATE(AN$5,1),tblAuftraege[Auftrag],$A70))</f>
        <v>0</v>
      </c>
      <c r="AO70" s="11" t="n">
        <f aca="false">IF($A70="",0,SUMIFS(tblAuftraege[Ausgaben],tblAuftraege[Datum Ausgaben],"&gt;="&amp;AO$5,tblAuftraege[Datum Ausgaben],"&lt;"&amp;EDATE(AO$5,1),tblAuftraege[Auftrag],$A70))</f>
        <v>0</v>
      </c>
      <c r="AP70" s="11" t="n">
        <f aca="false">IF($A70="",0,SUMIFS(tblAuftraege[Ausgaben],tblAuftraege[Datum Ausgaben],"&gt;="&amp;AP$5,tblAuftraege[Datum Ausgaben],"&lt;"&amp;EDATE(AP$5,1),tblAuftraege[Auftrag],$A70))</f>
        <v>0</v>
      </c>
      <c r="AQ70" s="11" t="n">
        <f aca="false">IF($A70="",0,SUMIFS(tblAuftraege[Ausgaben],tblAuftraege[Datum Ausgaben],"&gt;="&amp;AQ$5,tblAuftraege[Datum Ausgaben],"&lt;"&amp;EDATE(AQ$5,1),tblAuftraege[Auftrag],$A70))</f>
        <v>0</v>
      </c>
      <c r="AR70" s="11" t="n">
        <f aca="false">IF($A70="",0,SUMIFS(tblAuftraege[Ausgaben],tblAuftraege[Datum Ausgaben],"&gt;="&amp;AR$5,tblAuftraege[Datum Ausgaben],"&lt;"&amp;EDATE(AR$5,1),tblAuftraege[Auftrag],$A70))</f>
        <v>0</v>
      </c>
      <c r="AS70" s="11" t="n">
        <f aca="false">IF($A70="",0,SUMIFS(tblAuftraege[Ausgaben],tblAuftraege[Datum Ausgaben],"&gt;="&amp;AS$5,tblAuftraege[Datum Ausgaben],"&lt;"&amp;EDATE(AS$5,1),tblAuftraege[Auftrag],$A70))</f>
        <v>0</v>
      </c>
      <c r="AT70" s="11" t="n">
        <f aca="false">IF($A70="",0,SUMIFS(tblAuftraege[Ausgaben],tblAuftraege[Datum Ausgaben],"&gt;="&amp;AT$5,tblAuftraege[Datum Ausgaben],"&lt;"&amp;EDATE(AT$5,1),tblAuftraege[Auftrag],$A70))</f>
        <v>0</v>
      </c>
      <c r="AU70" s="11" t="n">
        <f aca="false">IF($A70="",0,SUMIFS(tblAuftraege[Ausgaben],tblAuftraege[Datum Ausgaben],"&gt;="&amp;AU$5,tblAuftraege[Datum Ausgaben],"&lt;"&amp;EDATE(AU$5,1),tblAuftraege[Auftrag],$A70))</f>
        <v>0</v>
      </c>
      <c r="AV70" s="11" t="n">
        <f aca="false">IF($A70="",0,SUMIFS(tblAuftraege[Ausgaben],tblAuftraege[Datum Ausgaben],"&gt;="&amp;AV$5,tblAuftraege[Datum Ausgaben],"&lt;"&amp;EDATE(AV$5,1),tblAuftraege[Auftrag],$A70))</f>
        <v>0</v>
      </c>
      <c r="AW70" s="11" t="n">
        <f aca="false">IF($A70="",0,SUMIFS(tblAuftraege[Ausgaben],tblAuftraege[Datum Ausgaben],"&gt;="&amp;AW$5,tblAuftraege[Datum Ausgaben],"&lt;"&amp;EDATE(AW$5,1),tblAuftraege[Auftrag],$A70))</f>
        <v>0</v>
      </c>
      <c r="AX70" s="11" t="n">
        <f aca="false">IF($A70="",0,SUMIFS(tblAuftraege[Ausgaben],tblAuftraege[Datum Ausgaben],"&gt;="&amp;AX$5,tblAuftraege[Datum Ausgaben],"&lt;"&amp;EDATE(AX$5,1),tblAuftraege[Auftrag],$A70))</f>
        <v>0</v>
      </c>
      <c r="AY70" s="11" t="n">
        <f aca="false">IF($A70="",0,SUMIFS(tblAuftraege[Ausgaben],tblAuftraege[Datum Ausgaben],"&gt;="&amp;AY$5,tblAuftraege[Datum Ausgaben],"&lt;"&amp;EDATE(AY$5,1),tblAuftraege[Auftrag],$A70))</f>
        <v>0</v>
      </c>
      <c r="AZ70" s="11" t="n">
        <f aca="false">IF($A70="",0,SUMIFS(tblAuftraege[Ausgaben],tblAuftraege[Datum Ausgaben],"&gt;="&amp;AZ$5,tblAuftraege[Datum Ausgaben],"&lt;"&amp;EDATE(AZ$5,1),tblAuftraege[Auftrag],$A70))</f>
        <v>0</v>
      </c>
      <c r="BA70" s="11" t="n">
        <f aca="false">IF($A70="",0,SUMIFS(tblAuftraege[Ausgaben],tblAuftraege[Datum Ausgaben],"&gt;="&amp;BA$5,tblAuftraege[Datum Ausgaben],"&lt;"&amp;EDATE(BA$5,1),tblAuftraege[Auftrag],$A70))</f>
        <v>0</v>
      </c>
      <c r="BB70" s="11" t="n">
        <f aca="false">IF($A70="",0,SUMIFS(tblAuftraege[Ausgaben],tblAuftraege[Datum Ausgaben],"&gt;="&amp;BB$5,tblAuftraege[Datum Ausgaben],"&lt;"&amp;EDATE(BB$5,1),tblAuftraege[Auftrag],$A70))</f>
        <v>0</v>
      </c>
      <c r="BC70" s="11" t="n">
        <f aca="false">IF($A70="",0,SUMIFS(tblAuftraege[Ausgaben],tblAuftraege[Datum Ausgaben],"&gt;="&amp;BC$5,tblAuftraege[Datum Ausgaben],"&lt;"&amp;EDATE(BC$5,1),tblAuftraege[Auftrag],$A70))</f>
        <v>0</v>
      </c>
      <c r="BD70" s="11" t="n">
        <f aca="false">IF($A70="",0,SUMIFS(tblAuftraege[Ausgaben],tblAuftraege[Datum Ausgaben],"&gt;="&amp;BD$5,tblAuftraege[Datum Ausgaben],"&lt;"&amp;EDATE(BD$5,1),tblAuftraege[Auftrag],$A70))</f>
        <v>0</v>
      </c>
      <c r="BE70" s="11" t="n">
        <f aca="false">IF($A70="",0,SUMIFS(tblAuftraege[Ausgaben],tblAuftraege[Datum Ausgaben],"&gt;="&amp;BE$5,tblAuftraege[Datum Ausgaben],"&lt;"&amp;EDATE(BE$5,1),tblAuftraege[Auftrag],$A70))</f>
        <v>0</v>
      </c>
      <c r="BF70" s="11" t="n">
        <f aca="false">IF($A70="",0,SUMIFS(tblAuftraege[Ausgaben],tblAuftraege[Datum Ausgaben],"&gt;="&amp;BF$5,tblAuftraege[Datum Ausgaben],"&lt;"&amp;EDATE(BF$5,1),tblAuftraege[Auftrag],$A70))</f>
        <v>0</v>
      </c>
      <c r="BG70" s="11" t="n">
        <f aca="false">SUM(E70:J70)</f>
        <v>0</v>
      </c>
      <c r="BH70" s="11" t="n">
        <f aca="false">SUM(K70:V70)</f>
        <v>0</v>
      </c>
      <c r="BI70" s="11" t="n">
        <f aca="false">SUM(W70:AH70)</f>
        <v>0</v>
      </c>
      <c r="BJ70" s="11" t="n">
        <f aca="false">SUM(AI70:AT70)</f>
        <v>0</v>
      </c>
      <c r="BK70" s="11" t="n">
        <f aca="false">SUM(AU70:BF70)</f>
        <v>0</v>
      </c>
      <c r="BL70" s="12" t="n">
        <f aca="false">SUM(E70:BF70)</f>
        <v>0</v>
      </c>
    </row>
    <row r="71" customFormat="false" ht="15" hidden="false" customHeight="false" outlineLevel="0" collapsed="false">
      <c r="A71" s="9"/>
      <c r="B71" s="10" t="str">
        <f aca="false">IF($A71="","",IFERROR(INDEX(tblAuftraege[Kostenstelle],MATCH($A71,tblAuftraege[Auftrag],0)),""))</f>
        <v/>
      </c>
      <c r="C71" s="10" t="str">
        <f aca="false">IF($A71="","",IFERROR(INDEX(tblAuftraege[Themenfeld],MATCH($A71,tblAuftraege[Auftrag],0)),""))</f>
        <v/>
      </c>
      <c r="D71" s="10" t="str">
        <f aca="false">IF($A71="","",IFERROR(INDEX(tblAuftraege[Kategorie],MATCH($A71,tblAuftraege[Auftrag],0)),""))</f>
        <v/>
      </c>
      <c r="E71" s="11" t="n">
        <f aca="false">IF($A71="",0,SUMIFS(tblAuftraege[Ausgaben],tblAuftraege[Datum Ausgaben],"&gt;="&amp;E$5,tblAuftraege[Datum Ausgaben],"&lt;"&amp;EDATE(E$5,1),tblAuftraege[Auftrag],$A71))</f>
        <v>0</v>
      </c>
      <c r="F71" s="11" t="n">
        <f aca="false">IF($A71="",0,SUMIFS(tblAuftraege[Ausgaben],tblAuftraege[Datum Ausgaben],"&gt;="&amp;F$5,tblAuftraege[Datum Ausgaben],"&lt;"&amp;EDATE(F$5,1),tblAuftraege[Auftrag],$A71))</f>
        <v>0</v>
      </c>
      <c r="G71" s="11" t="n">
        <f aca="false">IF($A71="",0,SUMIFS(tblAuftraege[Ausgaben],tblAuftraege[Datum Ausgaben],"&gt;="&amp;G$5,tblAuftraege[Datum Ausgaben],"&lt;"&amp;EDATE(G$5,1),tblAuftraege[Auftrag],$A71))</f>
        <v>0</v>
      </c>
      <c r="H71" s="11" t="n">
        <f aca="false">IF($A71="",0,SUMIFS(tblAuftraege[Ausgaben],tblAuftraege[Datum Ausgaben],"&gt;="&amp;H$5,tblAuftraege[Datum Ausgaben],"&lt;"&amp;EDATE(H$5,1),tblAuftraege[Auftrag],$A71))</f>
        <v>0</v>
      </c>
      <c r="I71" s="11" t="n">
        <f aca="false">IF($A71="",0,SUMIFS(tblAuftraege[Ausgaben],tblAuftraege[Datum Ausgaben],"&gt;="&amp;I$5,tblAuftraege[Datum Ausgaben],"&lt;"&amp;EDATE(I$5,1),tblAuftraege[Auftrag],$A71))</f>
        <v>0</v>
      </c>
      <c r="J71" s="11" t="n">
        <f aca="false">IF($A71="",0,SUMIFS(tblAuftraege[Ausgaben],tblAuftraege[Datum Ausgaben],"&gt;="&amp;J$5,tblAuftraege[Datum Ausgaben],"&lt;"&amp;EDATE(J$5,1),tblAuftraege[Auftrag],$A71))</f>
        <v>0</v>
      </c>
      <c r="K71" s="11" t="n">
        <f aca="false">IF($A71="",0,SUMIFS(tblAuftraege[Ausgaben],tblAuftraege[Datum Ausgaben],"&gt;="&amp;K$5,tblAuftraege[Datum Ausgaben],"&lt;"&amp;EDATE(K$5,1),tblAuftraege[Auftrag],$A71))</f>
        <v>0</v>
      </c>
      <c r="L71" s="11" t="n">
        <f aca="false">IF($A71="",0,SUMIFS(tblAuftraege[Ausgaben],tblAuftraege[Datum Ausgaben],"&gt;="&amp;L$5,tblAuftraege[Datum Ausgaben],"&lt;"&amp;EDATE(L$5,1),tblAuftraege[Auftrag],$A71))</f>
        <v>0</v>
      </c>
      <c r="M71" s="11" t="n">
        <f aca="false">IF($A71="",0,SUMIFS(tblAuftraege[Ausgaben],tblAuftraege[Datum Ausgaben],"&gt;="&amp;M$5,tblAuftraege[Datum Ausgaben],"&lt;"&amp;EDATE(M$5,1),tblAuftraege[Auftrag],$A71))</f>
        <v>0</v>
      </c>
      <c r="N71" s="11" t="n">
        <f aca="false">IF($A71="",0,SUMIFS(tblAuftraege[Ausgaben],tblAuftraege[Datum Ausgaben],"&gt;="&amp;N$5,tblAuftraege[Datum Ausgaben],"&lt;"&amp;EDATE(N$5,1),tblAuftraege[Auftrag],$A71))</f>
        <v>0</v>
      </c>
      <c r="O71" s="11" t="n">
        <f aca="false">IF($A71="",0,SUMIFS(tblAuftraege[Ausgaben],tblAuftraege[Datum Ausgaben],"&gt;="&amp;O$5,tblAuftraege[Datum Ausgaben],"&lt;"&amp;EDATE(O$5,1),tblAuftraege[Auftrag],$A71))</f>
        <v>0</v>
      </c>
      <c r="P71" s="11" t="n">
        <f aca="false">IF($A71="",0,SUMIFS(tblAuftraege[Ausgaben],tblAuftraege[Datum Ausgaben],"&gt;="&amp;P$5,tblAuftraege[Datum Ausgaben],"&lt;"&amp;EDATE(P$5,1),tblAuftraege[Auftrag],$A71))</f>
        <v>0</v>
      </c>
      <c r="Q71" s="11" t="n">
        <f aca="false">IF($A71="",0,SUMIFS(tblAuftraege[Ausgaben],tblAuftraege[Datum Ausgaben],"&gt;="&amp;Q$5,tblAuftraege[Datum Ausgaben],"&lt;"&amp;EDATE(Q$5,1),tblAuftraege[Auftrag],$A71))</f>
        <v>0</v>
      </c>
      <c r="R71" s="11" t="n">
        <f aca="false">IF($A71="",0,SUMIFS(tblAuftraege[Ausgaben],tblAuftraege[Datum Ausgaben],"&gt;="&amp;R$5,tblAuftraege[Datum Ausgaben],"&lt;"&amp;EDATE(R$5,1),tblAuftraege[Auftrag],$A71))</f>
        <v>0</v>
      </c>
      <c r="S71" s="11" t="n">
        <f aca="false">IF($A71="",0,SUMIFS(tblAuftraege[Ausgaben],tblAuftraege[Datum Ausgaben],"&gt;="&amp;S$5,tblAuftraege[Datum Ausgaben],"&lt;"&amp;EDATE(S$5,1),tblAuftraege[Auftrag],$A71))</f>
        <v>0</v>
      </c>
      <c r="T71" s="11" t="n">
        <f aca="false">IF($A71="",0,SUMIFS(tblAuftraege[Ausgaben],tblAuftraege[Datum Ausgaben],"&gt;="&amp;T$5,tblAuftraege[Datum Ausgaben],"&lt;"&amp;EDATE(T$5,1),tblAuftraege[Auftrag],$A71))</f>
        <v>0</v>
      </c>
      <c r="U71" s="11" t="n">
        <f aca="false">IF($A71="",0,SUMIFS(tblAuftraege[Ausgaben],tblAuftraege[Datum Ausgaben],"&gt;="&amp;U$5,tblAuftraege[Datum Ausgaben],"&lt;"&amp;EDATE(U$5,1),tblAuftraege[Auftrag],$A71))</f>
        <v>0</v>
      </c>
      <c r="V71" s="11" t="n">
        <f aca="false">IF($A71="",0,SUMIFS(tblAuftraege[Ausgaben],tblAuftraege[Datum Ausgaben],"&gt;="&amp;V$5,tblAuftraege[Datum Ausgaben],"&lt;"&amp;EDATE(V$5,1),tblAuftraege[Auftrag],$A71))</f>
        <v>0</v>
      </c>
      <c r="W71" s="11" t="n">
        <f aca="false">IF($A71="",0,SUMIFS(tblAuftraege[Ausgaben],tblAuftraege[Datum Ausgaben],"&gt;="&amp;W$5,tblAuftraege[Datum Ausgaben],"&lt;"&amp;EDATE(W$5,1),tblAuftraege[Auftrag],$A71))</f>
        <v>0</v>
      </c>
      <c r="X71" s="11" t="n">
        <f aca="false">IF($A71="",0,SUMIFS(tblAuftraege[Ausgaben],tblAuftraege[Datum Ausgaben],"&gt;="&amp;X$5,tblAuftraege[Datum Ausgaben],"&lt;"&amp;EDATE(X$5,1),tblAuftraege[Auftrag],$A71))</f>
        <v>0</v>
      </c>
      <c r="Y71" s="11" t="n">
        <f aca="false">IF($A71="",0,SUMIFS(tblAuftraege[Ausgaben],tblAuftraege[Datum Ausgaben],"&gt;="&amp;Y$5,tblAuftraege[Datum Ausgaben],"&lt;"&amp;EDATE(Y$5,1),tblAuftraege[Auftrag],$A71))</f>
        <v>0</v>
      </c>
      <c r="Z71" s="11" t="n">
        <f aca="false">IF($A71="",0,SUMIFS(tblAuftraege[Ausgaben],tblAuftraege[Datum Ausgaben],"&gt;="&amp;Z$5,tblAuftraege[Datum Ausgaben],"&lt;"&amp;EDATE(Z$5,1),tblAuftraege[Auftrag],$A71))</f>
        <v>0</v>
      </c>
      <c r="AA71" s="11" t="n">
        <f aca="false">IF($A71="",0,SUMIFS(tblAuftraege[Ausgaben],tblAuftraege[Datum Ausgaben],"&gt;="&amp;AA$5,tblAuftraege[Datum Ausgaben],"&lt;"&amp;EDATE(AA$5,1),tblAuftraege[Auftrag],$A71))</f>
        <v>0</v>
      </c>
      <c r="AB71" s="11" t="n">
        <f aca="false">IF($A71="",0,SUMIFS(tblAuftraege[Ausgaben],tblAuftraege[Datum Ausgaben],"&gt;="&amp;AB$5,tblAuftraege[Datum Ausgaben],"&lt;"&amp;EDATE(AB$5,1),tblAuftraege[Auftrag],$A71))</f>
        <v>0</v>
      </c>
      <c r="AC71" s="11" t="n">
        <f aca="false">IF($A71="",0,SUMIFS(tblAuftraege[Ausgaben],tblAuftraege[Datum Ausgaben],"&gt;="&amp;AC$5,tblAuftraege[Datum Ausgaben],"&lt;"&amp;EDATE(AC$5,1),tblAuftraege[Auftrag],$A71))</f>
        <v>0</v>
      </c>
      <c r="AD71" s="11" t="n">
        <f aca="false">IF($A71="",0,SUMIFS(tblAuftraege[Ausgaben],tblAuftraege[Datum Ausgaben],"&gt;="&amp;AD$5,tblAuftraege[Datum Ausgaben],"&lt;"&amp;EDATE(AD$5,1),tblAuftraege[Auftrag],$A71))</f>
        <v>0</v>
      </c>
      <c r="AE71" s="11" t="n">
        <f aca="false">IF($A71="",0,SUMIFS(tblAuftraege[Ausgaben],tblAuftraege[Datum Ausgaben],"&gt;="&amp;AE$5,tblAuftraege[Datum Ausgaben],"&lt;"&amp;EDATE(AE$5,1),tblAuftraege[Auftrag],$A71))</f>
        <v>0</v>
      </c>
      <c r="AF71" s="11" t="n">
        <f aca="false">IF($A71="",0,SUMIFS(tblAuftraege[Ausgaben],tblAuftraege[Datum Ausgaben],"&gt;="&amp;AF$5,tblAuftraege[Datum Ausgaben],"&lt;"&amp;EDATE(AF$5,1),tblAuftraege[Auftrag],$A71))</f>
        <v>0</v>
      </c>
      <c r="AG71" s="11" t="n">
        <f aca="false">IF($A71="",0,SUMIFS(tblAuftraege[Ausgaben],tblAuftraege[Datum Ausgaben],"&gt;="&amp;AG$5,tblAuftraege[Datum Ausgaben],"&lt;"&amp;EDATE(AG$5,1),tblAuftraege[Auftrag],$A71))</f>
        <v>0</v>
      </c>
      <c r="AH71" s="11" t="n">
        <f aca="false">IF($A71="",0,SUMIFS(tblAuftraege[Ausgaben],tblAuftraege[Datum Ausgaben],"&gt;="&amp;AH$5,tblAuftraege[Datum Ausgaben],"&lt;"&amp;EDATE(AH$5,1),tblAuftraege[Auftrag],$A71))</f>
        <v>0</v>
      </c>
      <c r="AI71" s="11" t="n">
        <f aca="false">IF($A71="",0,SUMIFS(tblAuftraege[Ausgaben],tblAuftraege[Datum Ausgaben],"&gt;="&amp;AI$5,tblAuftraege[Datum Ausgaben],"&lt;"&amp;EDATE(AI$5,1),tblAuftraege[Auftrag],$A71))</f>
        <v>0</v>
      </c>
      <c r="AJ71" s="11" t="n">
        <f aca="false">IF($A71="",0,SUMIFS(tblAuftraege[Ausgaben],tblAuftraege[Datum Ausgaben],"&gt;="&amp;AJ$5,tblAuftraege[Datum Ausgaben],"&lt;"&amp;EDATE(AJ$5,1),tblAuftraege[Auftrag],$A71))</f>
        <v>0</v>
      </c>
      <c r="AK71" s="11" t="n">
        <f aca="false">IF($A71="",0,SUMIFS(tblAuftraege[Ausgaben],tblAuftraege[Datum Ausgaben],"&gt;="&amp;AK$5,tblAuftraege[Datum Ausgaben],"&lt;"&amp;EDATE(AK$5,1),tblAuftraege[Auftrag],$A71))</f>
        <v>0</v>
      </c>
      <c r="AL71" s="11" t="n">
        <f aca="false">IF($A71="",0,SUMIFS(tblAuftraege[Ausgaben],tblAuftraege[Datum Ausgaben],"&gt;="&amp;AL$5,tblAuftraege[Datum Ausgaben],"&lt;"&amp;EDATE(AL$5,1),tblAuftraege[Auftrag],$A71))</f>
        <v>0</v>
      </c>
      <c r="AM71" s="11" t="n">
        <f aca="false">IF($A71="",0,SUMIFS(tblAuftraege[Ausgaben],tblAuftraege[Datum Ausgaben],"&gt;="&amp;AM$5,tblAuftraege[Datum Ausgaben],"&lt;"&amp;EDATE(AM$5,1),tblAuftraege[Auftrag],$A71))</f>
        <v>0</v>
      </c>
      <c r="AN71" s="11" t="n">
        <f aca="false">IF($A71="",0,SUMIFS(tblAuftraege[Ausgaben],tblAuftraege[Datum Ausgaben],"&gt;="&amp;AN$5,tblAuftraege[Datum Ausgaben],"&lt;"&amp;EDATE(AN$5,1),tblAuftraege[Auftrag],$A71))</f>
        <v>0</v>
      </c>
      <c r="AO71" s="11" t="n">
        <f aca="false">IF($A71="",0,SUMIFS(tblAuftraege[Ausgaben],tblAuftraege[Datum Ausgaben],"&gt;="&amp;AO$5,tblAuftraege[Datum Ausgaben],"&lt;"&amp;EDATE(AO$5,1),tblAuftraege[Auftrag],$A71))</f>
        <v>0</v>
      </c>
      <c r="AP71" s="11" t="n">
        <f aca="false">IF($A71="",0,SUMIFS(tblAuftraege[Ausgaben],tblAuftraege[Datum Ausgaben],"&gt;="&amp;AP$5,tblAuftraege[Datum Ausgaben],"&lt;"&amp;EDATE(AP$5,1),tblAuftraege[Auftrag],$A71))</f>
        <v>0</v>
      </c>
      <c r="AQ71" s="11" t="n">
        <f aca="false">IF($A71="",0,SUMIFS(tblAuftraege[Ausgaben],tblAuftraege[Datum Ausgaben],"&gt;="&amp;AQ$5,tblAuftraege[Datum Ausgaben],"&lt;"&amp;EDATE(AQ$5,1),tblAuftraege[Auftrag],$A71))</f>
        <v>0</v>
      </c>
      <c r="AR71" s="11" t="n">
        <f aca="false">IF($A71="",0,SUMIFS(tblAuftraege[Ausgaben],tblAuftraege[Datum Ausgaben],"&gt;="&amp;AR$5,tblAuftraege[Datum Ausgaben],"&lt;"&amp;EDATE(AR$5,1),tblAuftraege[Auftrag],$A71))</f>
        <v>0</v>
      </c>
      <c r="AS71" s="11" t="n">
        <f aca="false">IF($A71="",0,SUMIFS(tblAuftraege[Ausgaben],tblAuftraege[Datum Ausgaben],"&gt;="&amp;AS$5,tblAuftraege[Datum Ausgaben],"&lt;"&amp;EDATE(AS$5,1),tblAuftraege[Auftrag],$A71))</f>
        <v>0</v>
      </c>
      <c r="AT71" s="11" t="n">
        <f aca="false">IF($A71="",0,SUMIFS(tblAuftraege[Ausgaben],tblAuftraege[Datum Ausgaben],"&gt;="&amp;AT$5,tblAuftraege[Datum Ausgaben],"&lt;"&amp;EDATE(AT$5,1),tblAuftraege[Auftrag],$A71))</f>
        <v>0</v>
      </c>
      <c r="AU71" s="11" t="n">
        <f aca="false">IF($A71="",0,SUMIFS(tblAuftraege[Ausgaben],tblAuftraege[Datum Ausgaben],"&gt;="&amp;AU$5,tblAuftraege[Datum Ausgaben],"&lt;"&amp;EDATE(AU$5,1),tblAuftraege[Auftrag],$A71))</f>
        <v>0</v>
      </c>
      <c r="AV71" s="11" t="n">
        <f aca="false">IF($A71="",0,SUMIFS(tblAuftraege[Ausgaben],tblAuftraege[Datum Ausgaben],"&gt;="&amp;AV$5,tblAuftraege[Datum Ausgaben],"&lt;"&amp;EDATE(AV$5,1),tblAuftraege[Auftrag],$A71))</f>
        <v>0</v>
      </c>
      <c r="AW71" s="11" t="n">
        <f aca="false">IF($A71="",0,SUMIFS(tblAuftraege[Ausgaben],tblAuftraege[Datum Ausgaben],"&gt;="&amp;AW$5,tblAuftraege[Datum Ausgaben],"&lt;"&amp;EDATE(AW$5,1),tblAuftraege[Auftrag],$A71))</f>
        <v>0</v>
      </c>
      <c r="AX71" s="11" t="n">
        <f aca="false">IF($A71="",0,SUMIFS(tblAuftraege[Ausgaben],tblAuftraege[Datum Ausgaben],"&gt;="&amp;AX$5,tblAuftraege[Datum Ausgaben],"&lt;"&amp;EDATE(AX$5,1),tblAuftraege[Auftrag],$A71))</f>
        <v>0</v>
      </c>
      <c r="AY71" s="11" t="n">
        <f aca="false">IF($A71="",0,SUMIFS(tblAuftraege[Ausgaben],tblAuftraege[Datum Ausgaben],"&gt;="&amp;AY$5,tblAuftraege[Datum Ausgaben],"&lt;"&amp;EDATE(AY$5,1),tblAuftraege[Auftrag],$A71))</f>
        <v>0</v>
      </c>
      <c r="AZ71" s="11" t="n">
        <f aca="false">IF($A71="",0,SUMIFS(tblAuftraege[Ausgaben],tblAuftraege[Datum Ausgaben],"&gt;="&amp;AZ$5,tblAuftraege[Datum Ausgaben],"&lt;"&amp;EDATE(AZ$5,1),tblAuftraege[Auftrag],$A71))</f>
        <v>0</v>
      </c>
      <c r="BA71" s="11" t="n">
        <f aca="false">IF($A71="",0,SUMIFS(tblAuftraege[Ausgaben],tblAuftraege[Datum Ausgaben],"&gt;="&amp;BA$5,tblAuftraege[Datum Ausgaben],"&lt;"&amp;EDATE(BA$5,1),tblAuftraege[Auftrag],$A71))</f>
        <v>0</v>
      </c>
      <c r="BB71" s="11" t="n">
        <f aca="false">IF($A71="",0,SUMIFS(tblAuftraege[Ausgaben],tblAuftraege[Datum Ausgaben],"&gt;="&amp;BB$5,tblAuftraege[Datum Ausgaben],"&lt;"&amp;EDATE(BB$5,1),tblAuftraege[Auftrag],$A71))</f>
        <v>0</v>
      </c>
      <c r="BC71" s="11" t="n">
        <f aca="false">IF($A71="",0,SUMIFS(tblAuftraege[Ausgaben],tblAuftraege[Datum Ausgaben],"&gt;="&amp;BC$5,tblAuftraege[Datum Ausgaben],"&lt;"&amp;EDATE(BC$5,1),tblAuftraege[Auftrag],$A71))</f>
        <v>0</v>
      </c>
      <c r="BD71" s="11" t="n">
        <f aca="false">IF($A71="",0,SUMIFS(tblAuftraege[Ausgaben],tblAuftraege[Datum Ausgaben],"&gt;="&amp;BD$5,tblAuftraege[Datum Ausgaben],"&lt;"&amp;EDATE(BD$5,1),tblAuftraege[Auftrag],$A71))</f>
        <v>0</v>
      </c>
      <c r="BE71" s="11" t="n">
        <f aca="false">IF($A71="",0,SUMIFS(tblAuftraege[Ausgaben],tblAuftraege[Datum Ausgaben],"&gt;="&amp;BE$5,tblAuftraege[Datum Ausgaben],"&lt;"&amp;EDATE(BE$5,1),tblAuftraege[Auftrag],$A71))</f>
        <v>0</v>
      </c>
      <c r="BF71" s="11" t="n">
        <f aca="false">IF($A71="",0,SUMIFS(tblAuftraege[Ausgaben],tblAuftraege[Datum Ausgaben],"&gt;="&amp;BF$5,tblAuftraege[Datum Ausgaben],"&lt;"&amp;EDATE(BF$5,1),tblAuftraege[Auftrag],$A71))</f>
        <v>0</v>
      </c>
      <c r="BG71" s="11" t="n">
        <f aca="false">SUM(E71:J71)</f>
        <v>0</v>
      </c>
      <c r="BH71" s="11" t="n">
        <f aca="false">SUM(K71:V71)</f>
        <v>0</v>
      </c>
      <c r="BI71" s="11" t="n">
        <f aca="false">SUM(W71:AH71)</f>
        <v>0</v>
      </c>
      <c r="BJ71" s="11" t="n">
        <f aca="false">SUM(AI71:AT71)</f>
        <v>0</v>
      </c>
      <c r="BK71" s="11" t="n">
        <f aca="false">SUM(AU71:BF71)</f>
        <v>0</v>
      </c>
      <c r="BL71" s="12" t="n">
        <f aca="false">SUM(E71:BF71)</f>
        <v>0</v>
      </c>
    </row>
    <row r="72" customFormat="false" ht="15" hidden="false" customHeight="false" outlineLevel="0" collapsed="false">
      <c r="A72" s="9"/>
      <c r="B72" s="10" t="str">
        <f aca="false">IF($A72="","",IFERROR(INDEX(tblAuftraege[Kostenstelle],MATCH($A72,tblAuftraege[Auftrag],0)),""))</f>
        <v/>
      </c>
      <c r="C72" s="10" t="str">
        <f aca="false">IF($A72="","",IFERROR(INDEX(tblAuftraege[Themenfeld],MATCH($A72,tblAuftraege[Auftrag],0)),""))</f>
        <v/>
      </c>
      <c r="D72" s="10" t="str">
        <f aca="false">IF($A72="","",IFERROR(INDEX(tblAuftraege[Kategorie],MATCH($A72,tblAuftraege[Auftrag],0)),""))</f>
        <v/>
      </c>
      <c r="E72" s="11" t="n">
        <f aca="false">IF($A72="",0,SUMIFS(tblAuftraege[Ausgaben],tblAuftraege[Datum Ausgaben],"&gt;="&amp;E$5,tblAuftraege[Datum Ausgaben],"&lt;"&amp;EDATE(E$5,1),tblAuftraege[Auftrag],$A72))</f>
        <v>0</v>
      </c>
      <c r="F72" s="11" t="n">
        <f aca="false">IF($A72="",0,SUMIFS(tblAuftraege[Ausgaben],tblAuftraege[Datum Ausgaben],"&gt;="&amp;F$5,tblAuftraege[Datum Ausgaben],"&lt;"&amp;EDATE(F$5,1),tblAuftraege[Auftrag],$A72))</f>
        <v>0</v>
      </c>
      <c r="G72" s="11" t="n">
        <f aca="false">IF($A72="",0,SUMIFS(tblAuftraege[Ausgaben],tblAuftraege[Datum Ausgaben],"&gt;="&amp;G$5,tblAuftraege[Datum Ausgaben],"&lt;"&amp;EDATE(G$5,1),tblAuftraege[Auftrag],$A72))</f>
        <v>0</v>
      </c>
      <c r="H72" s="11" t="n">
        <f aca="false">IF($A72="",0,SUMIFS(tblAuftraege[Ausgaben],tblAuftraege[Datum Ausgaben],"&gt;="&amp;H$5,tblAuftraege[Datum Ausgaben],"&lt;"&amp;EDATE(H$5,1),tblAuftraege[Auftrag],$A72))</f>
        <v>0</v>
      </c>
      <c r="I72" s="11" t="n">
        <f aca="false">IF($A72="",0,SUMIFS(tblAuftraege[Ausgaben],tblAuftraege[Datum Ausgaben],"&gt;="&amp;I$5,tblAuftraege[Datum Ausgaben],"&lt;"&amp;EDATE(I$5,1),tblAuftraege[Auftrag],$A72))</f>
        <v>0</v>
      </c>
      <c r="J72" s="11" t="n">
        <f aca="false">IF($A72="",0,SUMIFS(tblAuftraege[Ausgaben],tblAuftraege[Datum Ausgaben],"&gt;="&amp;J$5,tblAuftraege[Datum Ausgaben],"&lt;"&amp;EDATE(J$5,1),tblAuftraege[Auftrag],$A72))</f>
        <v>0</v>
      </c>
      <c r="K72" s="11" t="n">
        <f aca="false">IF($A72="",0,SUMIFS(tblAuftraege[Ausgaben],tblAuftraege[Datum Ausgaben],"&gt;="&amp;K$5,tblAuftraege[Datum Ausgaben],"&lt;"&amp;EDATE(K$5,1),tblAuftraege[Auftrag],$A72))</f>
        <v>0</v>
      </c>
      <c r="L72" s="11" t="n">
        <f aca="false">IF($A72="",0,SUMIFS(tblAuftraege[Ausgaben],tblAuftraege[Datum Ausgaben],"&gt;="&amp;L$5,tblAuftraege[Datum Ausgaben],"&lt;"&amp;EDATE(L$5,1),tblAuftraege[Auftrag],$A72))</f>
        <v>0</v>
      </c>
      <c r="M72" s="11" t="n">
        <f aca="false">IF($A72="",0,SUMIFS(tblAuftraege[Ausgaben],tblAuftraege[Datum Ausgaben],"&gt;="&amp;M$5,tblAuftraege[Datum Ausgaben],"&lt;"&amp;EDATE(M$5,1),tblAuftraege[Auftrag],$A72))</f>
        <v>0</v>
      </c>
      <c r="N72" s="11" t="n">
        <f aca="false">IF($A72="",0,SUMIFS(tblAuftraege[Ausgaben],tblAuftraege[Datum Ausgaben],"&gt;="&amp;N$5,tblAuftraege[Datum Ausgaben],"&lt;"&amp;EDATE(N$5,1),tblAuftraege[Auftrag],$A72))</f>
        <v>0</v>
      </c>
      <c r="O72" s="11" t="n">
        <f aca="false">IF($A72="",0,SUMIFS(tblAuftraege[Ausgaben],tblAuftraege[Datum Ausgaben],"&gt;="&amp;O$5,tblAuftraege[Datum Ausgaben],"&lt;"&amp;EDATE(O$5,1),tblAuftraege[Auftrag],$A72))</f>
        <v>0</v>
      </c>
      <c r="P72" s="11" t="n">
        <f aca="false">IF($A72="",0,SUMIFS(tblAuftraege[Ausgaben],tblAuftraege[Datum Ausgaben],"&gt;="&amp;P$5,tblAuftraege[Datum Ausgaben],"&lt;"&amp;EDATE(P$5,1),tblAuftraege[Auftrag],$A72))</f>
        <v>0</v>
      </c>
      <c r="Q72" s="11" t="n">
        <f aca="false">IF($A72="",0,SUMIFS(tblAuftraege[Ausgaben],tblAuftraege[Datum Ausgaben],"&gt;="&amp;Q$5,tblAuftraege[Datum Ausgaben],"&lt;"&amp;EDATE(Q$5,1),tblAuftraege[Auftrag],$A72))</f>
        <v>0</v>
      </c>
      <c r="R72" s="11" t="n">
        <f aca="false">IF($A72="",0,SUMIFS(tblAuftraege[Ausgaben],tblAuftraege[Datum Ausgaben],"&gt;="&amp;R$5,tblAuftraege[Datum Ausgaben],"&lt;"&amp;EDATE(R$5,1),tblAuftraege[Auftrag],$A72))</f>
        <v>0</v>
      </c>
      <c r="S72" s="11" t="n">
        <f aca="false">IF($A72="",0,SUMIFS(tblAuftraege[Ausgaben],tblAuftraege[Datum Ausgaben],"&gt;="&amp;S$5,tblAuftraege[Datum Ausgaben],"&lt;"&amp;EDATE(S$5,1),tblAuftraege[Auftrag],$A72))</f>
        <v>0</v>
      </c>
      <c r="T72" s="11" t="n">
        <f aca="false">IF($A72="",0,SUMIFS(tblAuftraege[Ausgaben],tblAuftraege[Datum Ausgaben],"&gt;="&amp;T$5,tblAuftraege[Datum Ausgaben],"&lt;"&amp;EDATE(T$5,1),tblAuftraege[Auftrag],$A72))</f>
        <v>0</v>
      </c>
      <c r="U72" s="11" t="n">
        <f aca="false">IF($A72="",0,SUMIFS(tblAuftraege[Ausgaben],tblAuftraege[Datum Ausgaben],"&gt;="&amp;U$5,tblAuftraege[Datum Ausgaben],"&lt;"&amp;EDATE(U$5,1),tblAuftraege[Auftrag],$A72))</f>
        <v>0</v>
      </c>
      <c r="V72" s="11" t="n">
        <f aca="false">IF($A72="",0,SUMIFS(tblAuftraege[Ausgaben],tblAuftraege[Datum Ausgaben],"&gt;="&amp;V$5,tblAuftraege[Datum Ausgaben],"&lt;"&amp;EDATE(V$5,1),tblAuftraege[Auftrag],$A72))</f>
        <v>0</v>
      </c>
      <c r="W72" s="11" t="n">
        <f aca="false">IF($A72="",0,SUMIFS(tblAuftraege[Ausgaben],tblAuftraege[Datum Ausgaben],"&gt;="&amp;W$5,tblAuftraege[Datum Ausgaben],"&lt;"&amp;EDATE(W$5,1),tblAuftraege[Auftrag],$A72))</f>
        <v>0</v>
      </c>
      <c r="X72" s="11" t="n">
        <f aca="false">IF($A72="",0,SUMIFS(tblAuftraege[Ausgaben],tblAuftraege[Datum Ausgaben],"&gt;="&amp;X$5,tblAuftraege[Datum Ausgaben],"&lt;"&amp;EDATE(X$5,1),tblAuftraege[Auftrag],$A72))</f>
        <v>0</v>
      </c>
      <c r="Y72" s="11" t="n">
        <f aca="false">IF($A72="",0,SUMIFS(tblAuftraege[Ausgaben],tblAuftraege[Datum Ausgaben],"&gt;="&amp;Y$5,tblAuftraege[Datum Ausgaben],"&lt;"&amp;EDATE(Y$5,1),tblAuftraege[Auftrag],$A72))</f>
        <v>0</v>
      </c>
      <c r="Z72" s="11" t="n">
        <f aca="false">IF($A72="",0,SUMIFS(tblAuftraege[Ausgaben],tblAuftraege[Datum Ausgaben],"&gt;="&amp;Z$5,tblAuftraege[Datum Ausgaben],"&lt;"&amp;EDATE(Z$5,1),tblAuftraege[Auftrag],$A72))</f>
        <v>0</v>
      </c>
      <c r="AA72" s="11" t="n">
        <f aca="false">IF($A72="",0,SUMIFS(tblAuftraege[Ausgaben],tblAuftraege[Datum Ausgaben],"&gt;="&amp;AA$5,tblAuftraege[Datum Ausgaben],"&lt;"&amp;EDATE(AA$5,1),tblAuftraege[Auftrag],$A72))</f>
        <v>0</v>
      </c>
      <c r="AB72" s="11" t="n">
        <f aca="false">IF($A72="",0,SUMIFS(tblAuftraege[Ausgaben],tblAuftraege[Datum Ausgaben],"&gt;="&amp;AB$5,tblAuftraege[Datum Ausgaben],"&lt;"&amp;EDATE(AB$5,1),tblAuftraege[Auftrag],$A72))</f>
        <v>0</v>
      </c>
      <c r="AC72" s="11" t="n">
        <f aca="false">IF($A72="",0,SUMIFS(tblAuftraege[Ausgaben],tblAuftraege[Datum Ausgaben],"&gt;="&amp;AC$5,tblAuftraege[Datum Ausgaben],"&lt;"&amp;EDATE(AC$5,1),tblAuftraege[Auftrag],$A72))</f>
        <v>0</v>
      </c>
      <c r="AD72" s="11" t="n">
        <f aca="false">IF($A72="",0,SUMIFS(tblAuftraege[Ausgaben],tblAuftraege[Datum Ausgaben],"&gt;="&amp;AD$5,tblAuftraege[Datum Ausgaben],"&lt;"&amp;EDATE(AD$5,1),tblAuftraege[Auftrag],$A72))</f>
        <v>0</v>
      </c>
      <c r="AE72" s="11" t="n">
        <f aca="false">IF($A72="",0,SUMIFS(tblAuftraege[Ausgaben],tblAuftraege[Datum Ausgaben],"&gt;="&amp;AE$5,tblAuftraege[Datum Ausgaben],"&lt;"&amp;EDATE(AE$5,1),tblAuftraege[Auftrag],$A72))</f>
        <v>0</v>
      </c>
      <c r="AF72" s="11" t="n">
        <f aca="false">IF($A72="",0,SUMIFS(tblAuftraege[Ausgaben],tblAuftraege[Datum Ausgaben],"&gt;="&amp;AF$5,tblAuftraege[Datum Ausgaben],"&lt;"&amp;EDATE(AF$5,1),tblAuftraege[Auftrag],$A72))</f>
        <v>0</v>
      </c>
      <c r="AG72" s="11" t="n">
        <f aca="false">IF($A72="",0,SUMIFS(tblAuftraege[Ausgaben],tblAuftraege[Datum Ausgaben],"&gt;="&amp;AG$5,tblAuftraege[Datum Ausgaben],"&lt;"&amp;EDATE(AG$5,1),tblAuftraege[Auftrag],$A72))</f>
        <v>0</v>
      </c>
      <c r="AH72" s="11" t="n">
        <f aca="false">IF($A72="",0,SUMIFS(tblAuftraege[Ausgaben],tblAuftraege[Datum Ausgaben],"&gt;="&amp;AH$5,tblAuftraege[Datum Ausgaben],"&lt;"&amp;EDATE(AH$5,1),tblAuftraege[Auftrag],$A72))</f>
        <v>0</v>
      </c>
      <c r="AI72" s="11" t="n">
        <f aca="false">IF($A72="",0,SUMIFS(tblAuftraege[Ausgaben],tblAuftraege[Datum Ausgaben],"&gt;="&amp;AI$5,tblAuftraege[Datum Ausgaben],"&lt;"&amp;EDATE(AI$5,1),tblAuftraege[Auftrag],$A72))</f>
        <v>0</v>
      </c>
      <c r="AJ72" s="11" t="n">
        <f aca="false">IF($A72="",0,SUMIFS(tblAuftraege[Ausgaben],tblAuftraege[Datum Ausgaben],"&gt;="&amp;AJ$5,tblAuftraege[Datum Ausgaben],"&lt;"&amp;EDATE(AJ$5,1),tblAuftraege[Auftrag],$A72))</f>
        <v>0</v>
      </c>
      <c r="AK72" s="11" t="n">
        <f aca="false">IF($A72="",0,SUMIFS(tblAuftraege[Ausgaben],tblAuftraege[Datum Ausgaben],"&gt;="&amp;AK$5,tblAuftraege[Datum Ausgaben],"&lt;"&amp;EDATE(AK$5,1),tblAuftraege[Auftrag],$A72))</f>
        <v>0</v>
      </c>
      <c r="AL72" s="11" t="n">
        <f aca="false">IF($A72="",0,SUMIFS(tblAuftraege[Ausgaben],tblAuftraege[Datum Ausgaben],"&gt;="&amp;AL$5,tblAuftraege[Datum Ausgaben],"&lt;"&amp;EDATE(AL$5,1),tblAuftraege[Auftrag],$A72))</f>
        <v>0</v>
      </c>
      <c r="AM72" s="11" t="n">
        <f aca="false">IF($A72="",0,SUMIFS(tblAuftraege[Ausgaben],tblAuftraege[Datum Ausgaben],"&gt;="&amp;AM$5,tblAuftraege[Datum Ausgaben],"&lt;"&amp;EDATE(AM$5,1),tblAuftraege[Auftrag],$A72))</f>
        <v>0</v>
      </c>
      <c r="AN72" s="11" t="n">
        <f aca="false">IF($A72="",0,SUMIFS(tblAuftraege[Ausgaben],tblAuftraege[Datum Ausgaben],"&gt;="&amp;AN$5,tblAuftraege[Datum Ausgaben],"&lt;"&amp;EDATE(AN$5,1),tblAuftraege[Auftrag],$A72))</f>
        <v>0</v>
      </c>
      <c r="AO72" s="11" t="n">
        <f aca="false">IF($A72="",0,SUMIFS(tblAuftraege[Ausgaben],tblAuftraege[Datum Ausgaben],"&gt;="&amp;AO$5,tblAuftraege[Datum Ausgaben],"&lt;"&amp;EDATE(AO$5,1),tblAuftraege[Auftrag],$A72))</f>
        <v>0</v>
      </c>
      <c r="AP72" s="11" t="n">
        <f aca="false">IF($A72="",0,SUMIFS(tblAuftraege[Ausgaben],tblAuftraege[Datum Ausgaben],"&gt;="&amp;AP$5,tblAuftraege[Datum Ausgaben],"&lt;"&amp;EDATE(AP$5,1),tblAuftraege[Auftrag],$A72))</f>
        <v>0</v>
      </c>
      <c r="AQ72" s="11" t="n">
        <f aca="false">IF($A72="",0,SUMIFS(tblAuftraege[Ausgaben],tblAuftraege[Datum Ausgaben],"&gt;="&amp;AQ$5,tblAuftraege[Datum Ausgaben],"&lt;"&amp;EDATE(AQ$5,1),tblAuftraege[Auftrag],$A72))</f>
        <v>0</v>
      </c>
      <c r="AR72" s="11" t="n">
        <f aca="false">IF($A72="",0,SUMIFS(tblAuftraege[Ausgaben],tblAuftraege[Datum Ausgaben],"&gt;="&amp;AR$5,tblAuftraege[Datum Ausgaben],"&lt;"&amp;EDATE(AR$5,1),tblAuftraege[Auftrag],$A72))</f>
        <v>0</v>
      </c>
      <c r="AS72" s="11" t="n">
        <f aca="false">IF($A72="",0,SUMIFS(tblAuftraege[Ausgaben],tblAuftraege[Datum Ausgaben],"&gt;="&amp;AS$5,tblAuftraege[Datum Ausgaben],"&lt;"&amp;EDATE(AS$5,1),tblAuftraege[Auftrag],$A72))</f>
        <v>0</v>
      </c>
      <c r="AT72" s="11" t="n">
        <f aca="false">IF($A72="",0,SUMIFS(tblAuftraege[Ausgaben],tblAuftraege[Datum Ausgaben],"&gt;="&amp;AT$5,tblAuftraege[Datum Ausgaben],"&lt;"&amp;EDATE(AT$5,1),tblAuftraege[Auftrag],$A72))</f>
        <v>0</v>
      </c>
      <c r="AU72" s="11" t="n">
        <f aca="false">IF($A72="",0,SUMIFS(tblAuftraege[Ausgaben],tblAuftraege[Datum Ausgaben],"&gt;="&amp;AU$5,tblAuftraege[Datum Ausgaben],"&lt;"&amp;EDATE(AU$5,1),tblAuftraege[Auftrag],$A72))</f>
        <v>0</v>
      </c>
      <c r="AV72" s="11" t="n">
        <f aca="false">IF($A72="",0,SUMIFS(tblAuftraege[Ausgaben],tblAuftraege[Datum Ausgaben],"&gt;="&amp;AV$5,tblAuftraege[Datum Ausgaben],"&lt;"&amp;EDATE(AV$5,1),tblAuftraege[Auftrag],$A72))</f>
        <v>0</v>
      </c>
      <c r="AW72" s="11" t="n">
        <f aca="false">IF($A72="",0,SUMIFS(tblAuftraege[Ausgaben],tblAuftraege[Datum Ausgaben],"&gt;="&amp;AW$5,tblAuftraege[Datum Ausgaben],"&lt;"&amp;EDATE(AW$5,1),tblAuftraege[Auftrag],$A72))</f>
        <v>0</v>
      </c>
      <c r="AX72" s="11" t="n">
        <f aca="false">IF($A72="",0,SUMIFS(tblAuftraege[Ausgaben],tblAuftraege[Datum Ausgaben],"&gt;="&amp;AX$5,tblAuftraege[Datum Ausgaben],"&lt;"&amp;EDATE(AX$5,1),tblAuftraege[Auftrag],$A72))</f>
        <v>0</v>
      </c>
      <c r="AY72" s="11" t="n">
        <f aca="false">IF($A72="",0,SUMIFS(tblAuftraege[Ausgaben],tblAuftraege[Datum Ausgaben],"&gt;="&amp;AY$5,tblAuftraege[Datum Ausgaben],"&lt;"&amp;EDATE(AY$5,1),tblAuftraege[Auftrag],$A72))</f>
        <v>0</v>
      </c>
      <c r="AZ72" s="11" t="n">
        <f aca="false">IF($A72="",0,SUMIFS(tblAuftraege[Ausgaben],tblAuftraege[Datum Ausgaben],"&gt;="&amp;AZ$5,tblAuftraege[Datum Ausgaben],"&lt;"&amp;EDATE(AZ$5,1),tblAuftraege[Auftrag],$A72))</f>
        <v>0</v>
      </c>
      <c r="BA72" s="11" t="n">
        <f aca="false">IF($A72="",0,SUMIFS(tblAuftraege[Ausgaben],tblAuftraege[Datum Ausgaben],"&gt;="&amp;BA$5,tblAuftraege[Datum Ausgaben],"&lt;"&amp;EDATE(BA$5,1),tblAuftraege[Auftrag],$A72))</f>
        <v>0</v>
      </c>
      <c r="BB72" s="11" t="n">
        <f aca="false">IF($A72="",0,SUMIFS(tblAuftraege[Ausgaben],tblAuftraege[Datum Ausgaben],"&gt;="&amp;BB$5,tblAuftraege[Datum Ausgaben],"&lt;"&amp;EDATE(BB$5,1),tblAuftraege[Auftrag],$A72))</f>
        <v>0</v>
      </c>
      <c r="BC72" s="11" t="n">
        <f aca="false">IF($A72="",0,SUMIFS(tblAuftraege[Ausgaben],tblAuftraege[Datum Ausgaben],"&gt;="&amp;BC$5,tblAuftraege[Datum Ausgaben],"&lt;"&amp;EDATE(BC$5,1),tblAuftraege[Auftrag],$A72))</f>
        <v>0</v>
      </c>
      <c r="BD72" s="11" t="n">
        <f aca="false">IF($A72="",0,SUMIFS(tblAuftraege[Ausgaben],tblAuftraege[Datum Ausgaben],"&gt;="&amp;BD$5,tblAuftraege[Datum Ausgaben],"&lt;"&amp;EDATE(BD$5,1),tblAuftraege[Auftrag],$A72))</f>
        <v>0</v>
      </c>
      <c r="BE72" s="11" t="n">
        <f aca="false">IF($A72="",0,SUMIFS(tblAuftraege[Ausgaben],tblAuftraege[Datum Ausgaben],"&gt;="&amp;BE$5,tblAuftraege[Datum Ausgaben],"&lt;"&amp;EDATE(BE$5,1),tblAuftraege[Auftrag],$A72))</f>
        <v>0</v>
      </c>
      <c r="BF72" s="11" t="n">
        <f aca="false">IF($A72="",0,SUMIFS(tblAuftraege[Ausgaben],tblAuftraege[Datum Ausgaben],"&gt;="&amp;BF$5,tblAuftraege[Datum Ausgaben],"&lt;"&amp;EDATE(BF$5,1),tblAuftraege[Auftrag],$A72))</f>
        <v>0</v>
      </c>
      <c r="BG72" s="11" t="n">
        <f aca="false">SUM(E72:J72)</f>
        <v>0</v>
      </c>
      <c r="BH72" s="11" t="n">
        <f aca="false">SUM(K72:V72)</f>
        <v>0</v>
      </c>
      <c r="BI72" s="11" t="n">
        <f aca="false">SUM(W72:AH72)</f>
        <v>0</v>
      </c>
      <c r="BJ72" s="11" t="n">
        <f aca="false">SUM(AI72:AT72)</f>
        <v>0</v>
      </c>
      <c r="BK72" s="11" t="n">
        <f aca="false">SUM(AU72:BF72)</f>
        <v>0</v>
      </c>
      <c r="BL72" s="12" t="n">
        <f aca="false">SUM(E72:BF72)</f>
        <v>0</v>
      </c>
    </row>
    <row r="73" customFormat="false" ht="15" hidden="false" customHeight="false" outlineLevel="0" collapsed="false">
      <c r="A73" s="9"/>
      <c r="B73" s="10" t="str">
        <f aca="false">IF($A73="","",IFERROR(INDEX(tblAuftraege[Kostenstelle],MATCH($A73,tblAuftraege[Auftrag],0)),""))</f>
        <v/>
      </c>
      <c r="C73" s="10" t="str">
        <f aca="false">IF($A73="","",IFERROR(INDEX(tblAuftraege[Themenfeld],MATCH($A73,tblAuftraege[Auftrag],0)),""))</f>
        <v/>
      </c>
      <c r="D73" s="10" t="str">
        <f aca="false">IF($A73="","",IFERROR(INDEX(tblAuftraege[Kategorie],MATCH($A73,tblAuftraege[Auftrag],0)),""))</f>
        <v/>
      </c>
      <c r="E73" s="11" t="n">
        <f aca="false">IF($A73="",0,SUMIFS(tblAuftraege[Ausgaben],tblAuftraege[Datum Ausgaben],"&gt;="&amp;E$5,tblAuftraege[Datum Ausgaben],"&lt;"&amp;EDATE(E$5,1),tblAuftraege[Auftrag],$A73))</f>
        <v>0</v>
      </c>
      <c r="F73" s="11" t="n">
        <f aca="false">IF($A73="",0,SUMIFS(tblAuftraege[Ausgaben],tblAuftraege[Datum Ausgaben],"&gt;="&amp;F$5,tblAuftraege[Datum Ausgaben],"&lt;"&amp;EDATE(F$5,1),tblAuftraege[Auftrag],$A73))</f>
        <v>0</v>
      </c>
      <c r="G73" s="11" t="n">
        <f aca="false">IF($A73="",0,SUMIFS(tblAuftraege[Ausgaben],tblAuftraege[Datum Ausgaben],"&gt;="&amp;G$5,tblAuftraege[Datum Ausgaben],"&lt;"&amp;EDATE(G$5,1),tblAuftraege[Auftrag],$A73))</f>
        <v>0</v>
      </c>
      <c r="H73" s="11" t="n">
        <f aca="false">IF($A73="",0,SUMIFS(tblAuftraege[Ausgaben],tblAuftraege[Datum Ausgaben],"&gt;="&amp;H$5,tblAuftraege[Datum Ausgaben],"&lt;"&amp;EDATE(H$5,1),tblAuftraege[Auftrag],$A73))</f>
        <v>0</v>
      </c>
      <c r="I73" s="11" t="n">
        <f aca="false">IF($A73="",0,SUMIFS(tblAuftraege[Ausgaben],tblAuftraege[Datum Ausgaben],"&gt;="&amp;I$5,tblAuftraege[Datum Ausgaben],"&lt;"&amp;EDATE(I$5,1),tblAuftraege[Auftrag],$A73))</f>
        <v>0</v>
      </c>
      <c r="J73" s="11" t="n">
        <f aca="false">IF($A73="",0,SUMIFS(tblAuftraege[Ausgaben],tblAuftraege[Datum Ausgaben],"&gt;="&amp;J$5,tblAuftraege[Datum Ausgaben],"&lt;"&amp;EDATE(J$5,1),tblAuftraege[Auftrag],$A73))</f>
        <v>0</v>
      </c>
      <c r="K73" s="11" t="n">
        <f aca="false">IF($A73="",0,SUMIFS(tblAuftraege[Ausgaben],tblAuftraege[Datum Ausgaben],"&gt;="&amp;K$5,tblAuftraege[Datum Ausgaben],"&lt;"&amp;EDATE(K$5,1),tblAuftraege[Auftrag],$A73))</f>
        <v>0</v>
      </c>
      <c r="L73" s="11" t="n">
        <f aca="false">IF($A73="",0,SUMIFS(tblAuftraege[Ausgaben],tblAuftraege[Datum Ausgaben],"&gt;="&amp;L$5,tblAuftraege[Datum Ausgaben],"&lt;"&amp;EDATE(L$5,1),tblAuftraege[Auftrag],$A73))</f>
        <v>0</v>
      </c>
      <c r="M73" s="11" t="n">
        <f aca="false">IF($A73="",0,SUMIFS(tblAuftraege[Ausgaben],tblAuftraege[Datum Ausgaben],"&gt;="&amp;M$5,tblAuftraege[Datum Ausgaben],"&lt;"&amp;EDATE(M$5,1),tblAuftraege[Auftrag],$A73))</f>
        <v>0</v>
      </c>
      <c r="N73" s="11" t="n">
        <f aca="false">IF($A73="",0,SUMIFS(tblAuftraege[Ausgaben],tblAuftraege[Datum Ausgaben],"&gt;="&amp;N$5,tblAuftraege[Datum Ausgaben],"&lt;"&amp;EDATE(N$5,1),tblAuftraege[Auftrag],$A73))</f>
        <v>0</v>
      </c>
      <c r="O73" s="11" t="n">
        <f aca="false">IF($A73="",0,SUMIFS(tblAuftraege[Ausgaben],tblAuftraege[Datum Ausgaben],"&gt;="&amp;O$5,tblAuftraege[Datum Ausgaben],"&lt;"&amp;EDATE(O$5,1),tblAuftraege[Auftrag],$A73))</f>
        <v>0</v>
      </c>
      <c r="P73" s="11" t="n">
        <f aca="false">IF($A73="",0,SUMIFS(tblAuftraege[Ausgaben],tblAuftraege[Datum Ausgaben],"&gt;="&amp;P$5,tblAuftraege[Datum Ausgaben],"&lt;"&amp;EDATE(P$5,1),tblAuftraege[Auftrag],$A73))</f>
        <v>0</v>
      </c>
      <c r="Q73" s="11" t="n">
        <f aca="false">IF($A73="",0,SUMIFS(tblAuftraege[Ausgaben],tblAuftraege[Datum Ausgaben],"&gt;="&amp;Q$5,tblAuftraege[Datum Ausgaben],"&lt;"&amp;EDATE(Q$5,1),tblAuftraege[Auftrag],$A73))</f>
        <v>0</v>
      </c>
      <c r="R73" s="11" t="n">
        <f aca="false">IF($A73="",0,SUMIFS(tblAuftraege[Ausgaben],tblAuftraege[Datum Ausgaben],"&gt;="&amp;R$5,tblAuftraege[Datum Ausgaben],"&lt;"&amp;EDATE(R$5,1),tblAuftraege[Auftrag],$A73))</f>
        <v>0</v>
      </c>
      <c r="S73" s="11" t="n">
        <f aca="false">IF($A73="",0,SUMIFS(tblAuftraege[Ausgaben],tblAuftraege[Datum Ausgaben],"&gt;="&amp;S$5,tblAuftraege[Datum Ausgaben],"&lt;"&amp;EDATE(S$5,1),tblAuftraege[Auftrag],$A73))</f>
        <v>0</v>
      </c>
      <c r="T73" s="11" t="n">
        <f aca="false">IF($A73="",0,SUMIFS(tblAuftraege[Ausgaben],tblAuftraege[Datum Ausgaben],"&gt;="&amp;T$5,tblAuftraege[Datum Ausgaben],"&lt;"&amp;EDATE(T$5,1),tblAuftraege[Auftrag],$A73))</f>
        <v>0</v>
      </c>
      <c r="U73" s="11" t="n">
        <f aca="false">IF($A73="",0,SUMIFS(tblAuftraege[Ausgaben],tblAuftraege[Datum Ausgaben],"&gt;="&amp;U$5,tblAuftraege[Datum Ausgaben],"&lt;"&amp;EDATE(U$5,1),tblAuftraege[Auftrag],$A73))</f>
        <v>0</v>
      </c>
      <c r="V73" s="11" t="n">
        <f aca="false">IF($A73="",0,SUMIFS(tblAuftraege[Ausgaben],tblAuftraege[Datum Ausgaben],"&gt;="&amp;V$5,tblAuftraege[Datum Ausgaben],"&lt;"&amp;EDATE(V$5,1),tblAuftraege[Auftrag],$A73))</f>
        <v>0</v>
      </c>
      <c r="W73" s="11" t="n">
        <f aca="false">IF($A73="",0,SUMIFS(tblAuftraege[Ausgaben],tblAuftraege[Datum Ausgaben],"&gt;="&amp;W$5,tblAuftraege[Datum Ausgaben],"&lt;"&amp;EDATE(W$5,1),tblAuftraege[Auftrag],$A73))</f>
        <v>0</v>
      </c>
      <c r="X73" s="11" t="n">
        <f aca="false">IF($A73="",0,SUMIFS(tblAuftraege[Ausgaben],tblAuftraege[Datum Ausgaben],"&gt;="&amp;X$5,tblAuftraege[Datum Ausgaben],"&lt;"&amp;EDATE(X$5,1),tblAuftraege[Auftrag],$A73))</f>
        <v>0</v>
      </c>
      <c r="Y73" s="11" t="n">
        <f aca="false">IF($A73="",0,SUMIFS(tblAuftraege[Ausgaben],tblAuftraege[Datum Ausgaben],"&gt;="&amp;Y$5,tblAuftraege[Datum Ausgaben],"&lt;"&amp;EDATE(Y$5,1),tblAuftraege[Auftrag],$A73))</f>
        <v>0</v>
      </c>
      <c r="Z73" s="11" t="n">
        <f aca="false">IF($A73="",0,SUMIFS(tblAuftraege[Ausgaben],tblAuftraege[Datum Ausgaben],"&gt;="&amp;Z$5,tblAuftraege[Datum Ausgaben],"&lt;"&amp;EDATE(Z$5,1),tblAuftraege[Auftrag],$A73))</f>
        <v>0</v>
      </c>
      <c r="AA73" s="11" t="n">
        <f aca="false">IF($A73="",0,SUMIFS(tblAuftraege[Ausgaben],tblAuftraege[Datum Ausgaben],"&gt;="&amp;AA$5,tblAuftraege[Datum Ausgaben],"&lt;"&amp;EDATE(AA$5,1),tblAuftraege[Auftrag],$A73))</f>
        <v>0</v>
      </c>
      <c r="AB73" s="11" t="n">
        <f aca="false">IF($A73="",0,SUMIFS(tblAuftraege[Ausgaben],tblAuftraege[Datum Ausgaben],"&gt;="&amp;AB$5,tblAuftraege[Datum Ausgaben],"&lt;"&amp;EDATE(AB$5,1),tblAuftraege[Auftrag],$A73))</f>
        <v>0</v>
      </c>
      <c r="AC73" s="11" t="n">
        <f aca="false">IF($A73="",0,SUMIFS(tblAuftraege[Ausgaben],tblAuftraege[Datum Ausgaben],"&gt;="&amp;AC$5,tblAuftraege[Datum Ausgaben],"&lt;"&amp;EDATE(AC$5,1),tblAuftraege[Auftrag],$A73))</f>
        <v>0</v>
      </c>
      <c r="AD73" s="11" t="n">
        <f aca="false">IF($A73="",0,SUMIFS(tblAuftraege[Ausgaben],tblAuftraege[Datum Ausgaben],"&gt;="&amp;AD$5,tblAuftraege[Datum Ausgaben],"&lt;"&amp;EDATE(AD$5,1),tblAuftraege[Auftrag],$A73))</f>
        <v>0</v>
      </c>
      <c r="AE73" s="11" t="n">
        <f aca="false">IF($A73="",0,SUMIFS(tblAuftraege[Ausgaben],tblAuftraege[Datum Ausgaben],"&gt;="&amp;AE$5,tblAuftraege[Datum Ausgaben],"&lt;"&amp;EDATE(AE$5,1),tblAuftraege[Auftrag],$A73))</f>
        <v>0</v>
      </c>
      <c r="AF73" s="11" t="n">
        <f aca="false">IF($A73="",0,SUMIFS(tblAuftraege[Ausgaben],tblAuftraege[Datum Ausgaben],"&gt;="&amp;AF$5,tblAuftraege[Datum Ausgaben],"&lt;"&amp;EDATE(AF$5,1),tblAuftraege[Auftrag],$A73))</f>
        <v>0</v>
      </c>
      <c r="AG73" s="11" t="n">
        <f aca="false">IF($A73="",0,SUMIFS(tblAuftraege[Ausgaben],tblAuftraege[Datum Ausgaben],"&gt;="&amp;AG$5,tblAuftraege[Datum Ausgaben],"&lt;"&amp;EDATE(AG$5,1),tblAuftraege[Auftrag],$A73))</f>
        <v>0</v>
      </c>
      <c r="AH73" s="11" t="n">
        <f aca="false">IF($A73="",0,SUMIFS(tblAuftraege[Ausgaben],tblAuftraege[Datum Ausgaben],"&gt;="&amp;AH$5,tblAuftraege[Datum Ausgaben],"&lt;"&amp;EDATE(AH$5,1),tblAuftraege[Auftrag],$A73))</f>
        <v>0</v>
      </c>
      <c r="AI73" s="11" t="n">
        <f aca="false">IF($A73="",0,SUMIFS(tblAuftraege[Ausgaben],tblAuftraege[Datum Ausgaben],"&gt;="&amp;AI$5,tblAuftraege[Datum Ausgaben],"&lt;"&amp;EDATE(AI$5,1),tblAuftraege[Auftrag],$A73))</f>
        <v>0</v>
      </c>
      <c r="AJ73" s="11" t="n">
        <f aca="false">IF($A73="",0,SUMIFS(tblAuftraege[Ausgaben],tblAuftraege[Datum Ausgaben],"&gt;="&amp;AJ$5,tblAuftraege[Datum Ausgaben],"&lt;"&amp;EDATE(AJ$5,1),tblAuftraege[Auftrag],$A73))</f>
        <v>0</v>
      </c>
      <c r="AK73" s="11" t="n">
        <f aca="false">IF($A73="",0,SUMIFS(tblAuftraege[Ausgaben],tblAuftraege[Datum Ausgaben],"&gt;="&amp;AK$5,tblAuftraege[Datum Ausgaben],"&lt;"&amp;EDATE(AK$5,1),tblAuftraege[Auftrag],$A73))</f>
        <v>0</v>
      </c>
      <c r="AL73" s="11" t="n">
        <f aca="false">IF($A73="",0,SUMIFS(tblAuftraege[Ausgaben],tblAuftraege[Datum Ausgaben],"&gt;="&amp;AL$5,tblAuftraege[Datum Ausgaben],"&lt;"&amp;EDATE(AL$5,1),tblAuftraege[Auftrag],$A73))</f>
        <v>0</v>
      </c>
      <c r="AM73" s="11" t="n">
        <f aca="false">IF($A73="",0,SUMIFS(tblAuftraege[Ausgaben],tblAuftraege[Datum Ausgaben],"&gt;="&amp;AM$5,tblAuftraege[Datum Ausgaben],"&lt;"&amp;EDATE(AM$5,1),tblAuftraege[Auftrag],$A73))</f>
        <v>0</v>
      </c>
      <c r="AN73" s="11" t="n">
        <f aca="false">IF($A73="",0,SUMIFS(tblAuftraege[Ausgaben],tblAuftraege[Datum Ausgaben],"&gt;="&amp;AN$5,tblAuftraege[Datum Ausgaben],"&lt;"&amp;EDATE(AN$5,1),tblAuftraege[Auftrag],$A73))</f>
        <v>0</v>
      </c>
      <c r="AO73" s="11" t="n">
        <f aca="false">IF($A73="",0,SUMIFS(tblAuftraege[Ausgaben],tblAuftraege[Datum Ausgaben],"&gt;="&amp;AO$5,tblAuftraege[Datum Ausgaben],"&lt;"&amp;EDATE(AO$5,1),tblAuftraege[Auftrag],$A73))</f>
        <v>0</v>
      </c>
      <c r="AP73" s="11" t="n">
        <f aca="false">IF($A73="",0,SUMIFS(tblAuftraege[Ausgaben],tblAuftraege[Datum Ausgaben],"&gt;="&amp;AP$5,tblAuftraege[Datum Ausgaben],"&lt;"&amp;EDATE(AP$5,1),tblAuftraege[Auftrag],$A73))</f>
        <v>0</v>
      </c>
      <c r="AQ73" s="11" t="n">
        <f aca="false">IF($A73="",0,SUMIFS(tblAuftraege[Ausgaben],tblAuftraege[Datum Ausgaben],"&gt;="&amp;AQ$5,tblAuftraege[Datum Ausgaben],"&lt;"&amp;EDATE(AQ$5,1),tblAuftraege[Auftrag],$A73))</f>
        <v>0</v>
      </c>
      <c r="AR73" s="11" t="n">
        <f aca="false">IF($A73="",0,SUMIFS(tblAuftraege[Ausgaben],tblAuftraege[Datum Ausgaben],"&gt;="&amp;AR$5,tblAuftraege[Datum Ausgaben],"&lt;"&amp;EDATE(AR$5,1),tblAuftraege[Auftrag],$A73))</f>
        <v>0</v>
      </c>
      <c r="AS73" s="11" t="n">
        <f aca="false">IF($A73="",0,SUMIFS(tblAuftraege[Ausgaben],tblAuftraege[Datum Ausgaben],"&gt;="&amp;AS$5,tblAuftraege[Datum Ausgaben],"&lt;"&amp;EDATE(AS$5,1),tblAuftraege[Auftrag],$A73))</f>
        <v>0</v>
      </c>
      <c r="AT73" s="11" t="n">
        <f aca="false">IF($A73="",0,SUMIFS(tblAuftraege[Ausgaben],tblAuftraege[Datum Ausgaben],"&gt;="&amp;AT$5,tblAuftraege[Datum Ausgaben],"&lt;"&amp;EDATE(AT$5,1),tblAuftraege[Auftrag],$A73))</f>
        <v>0</v>
      </c>
      <c r="AU73" s="11" t="n">
        <f aca="false">IF($A73="",0,SUMIFS(tblAuftraege[Ausgaben],tblAuftraege[Datum Ausgaben],"&gt;="&amp;AU$5,tblAuftraege[Datum Ausgaben],"&lt;"&amp;EDATE(AU$5,1),tblAuftraege[Auftrag],$A73))</f>
        <v>0</v>
      </c>
      <c r="AV73" s="11" t="n">
        <f aca="false">IF($A73="",0,SUMIFS(tblAuftraege[Ausgaben],tblAuftraege[Datum Ausgaben],"&gt;="&amp;AV$5,tblAuftraege[Datum Ausgaben],"&lt;"&amp;EDATE(AV$5,1),tblAuftraege[Auftrag],$A73))</f>
        <v>0</v>
      </c>
      <c r="AW73" s="11" t="n">
        <f aca="false">IF($A73="",0,SUMIFS(tblAuftraege[Ausgaben],tblAuftraege[Datum Ausgaben],"&gt;="&amp;AW$5,tblAuftraege[Datum Ausgaben],"&lt;"&amp;EDATE(AW$5,1),tblAuftraege[Auftrag],$A73))</f>
        <v>0</v>
      </c>
      <c r="AX73" s="11" t="n">
        <f aca="false">IF($A73="",0,SUMIFS(tblAuftraege[Ausgaben],tblAuftraege[Datum Ausgaben],"&gt;="&amp;AX$5,tblAuftraege[Datum Ausgaben],"&lt;"&amp;EDATE(AX$5,1),tblAuftraege[Auftrag],$A73))</f>
        <v>0</v>
      </c>
      <c r="AY73" s="11" t="n">
        <f aca="false">IF($A73="",0,SUMIFS(tblAuftraege[Ausgaben],tblAuftraege[Datum Ausgaben],"&gt;="&amp;AY$5,tblAuftraege[Datum Ausgaben],"&lt;"&amp;EDATE(AY$5,1),tblAuftraege[Auftrag],$A73))</f>
        <v>0</v>
      </c>
      <c r="AZ73" s="11" t="n">
        <f aca="false">IF($A73="",0,SUMIFS(tblAuftraege[Ausgaben],tblAuftraege[Datum Ausgaben],"&gt;="&amp;AZ$5,tblAuftraege[Datum Ausgaben],"&lt;"&amp;EDATE(AZ$5,1),tblAuftraege[Auftrag],$A73))</f>
        <v>0</v>
      </c>
      <c r="BA73" s="11" t="n">
        <f aca="false">IF($A73="",0,SUMIFS(tblAuftraege[Ausgaben],tblAuftraege[Datum Ausgaben],"&gt;="&amp;BA$5,tblAuftraege[Datum Ausgaben],"&lt;"&amp;EDATE(BA$5,1),tblAuftraege[Auftrag],$A73))</f>
        <v>0</v>
      </c>
      <c r="BB73" s="11" t="n">
        <f aca="false">IF($A73="",0,SUMIFS(tblAuftraege[Ausgaben],tblAuftraege[Datum Ausgaben],"&gt;="&amp;BB$5,tblAuftraege[Datum Ausgaben],"&lt;"&amp;EDATE(BB$5,1),tblAuftraege[Auftrag],$A73))</f>
        <v>0</v>
      </c>
      <c r="BC73" s="11" t="n">
        <f aca="false">IF($A73="",0,SUMIFS(tblAuftraege[Ausgaben],tblAuftraege[Datum Ausgaben],"&gt;="&amp;BC$5,tblAuftraege[Datum Ausgaben],"&lt;"&amp;EDATE(BC$5,1),tblAuftraege[Auftrag],$A73))</f>
        <v>0</v>
      </c>
      <c r="BD73" s="11" t="n">
        <f aca="false">IF($A73="",0,SUMIFS(tblAuftraege[Ausgaben],tblAuftraege[Datum Ausgaben],"&gt;="&amp;BD$5,tblAuftraege[Datum Ausgaben],"&lt;"&amp;EDATE(BD$5,1),tblAuftraege[Auftrag],$A73))</f>
        <v>0</v>
      </c>
      <c r="BE73" s="11" t="n">
        <f aca="false">IF($A73="",0,SUMIFS(tblAuftraege[Ausgaben],tblAuftraege[Datum Ausgaben],"&gt;="&amp;BE$5,tblAuftraege[Datum Ausgaben],"&lt;"&amp;EDATE(BE$5,1),tblAuftraege[Auftrag],$A73))</f>
        <v>0</v>
      </c>
      <c r="BF73" s="11" t="n">
        <f aca="false">IF($A73="",0,SUMIFS(tblAuftraege[Ausgaben],tblAuftraege[Datum Ausgaben],"&gt;="&amp;BF$5,tblAuftraege[Datum Ausgaben],"&lt;"&amp;EDATE(BF$5,1),tblAuftraege[Auftrag],$A73))</f>
        <v>0</v>
      </c>
      <c r="BG73" s="11" t="n">
        <f aca="false">SUM(E73:J73)</f>
        <v>0</v>
      </c>
      <c r="BH73" s="11" t="n">
        <f aca="false">SUM(K73:V73)</f>
        <v>0</v>
      </c>
      <c r="BI73" s="11" t="n">
        <f aca="false">SUM(W73:AH73)</f>
        <v>0</v>
      </c>
      <c r="BJ73" s="11" t="n">
        <f aca="false">SUM(AI73:AT73)</f>
        <v>0</v>
      </c>
      <c r="BK73" s="11" t="n">
        <f aca="false">SUM(AU73:BF73)</f>
        <v>0</v>
      </c>
      <c r="BL73" s="12" t="n">
        <f aca="false">SUM(E73:BF73)</f>
        <v>0</v>
      </c>
    </row>
    <row r="74" customFormat="false" ht="15" hidden="false" customHeight="false" outlineLevel="0" collapsed="false">
      <c r="A74" s="9"/>
      <c r="B74" s="10" t="str">
        <f aca="false">IF($A74="","",IFERROR(INDEX(tblAuftraege[Kostenstelle],MATCH($A74,tblAuftraege[Auftrag],0)),""))</f>
        <v/>
      </c>
      <c r="C74" s="10" t="str">
        <f aca="false">IF($A74="","",IFERROR(INDEX(tblAuftraege[Themenfeld],MATCH($A74,tblAuftraege[Auftrag],0)),""))</f>
        <v/>
      </c>
      <c r="D74" s="10" t="str">
        <f aca="false">IF($A74="","",IFERROR(INDEX(tblAuftraege[Kategorie],MATCH($A74,tblAuftraege[Auftrag],0)),""))</f>
        <v/>
      </c>
      <c r="E74" s="11" t="n">
        <f aca="false">IF($A74="",0,SUMIFS(tblAuftraege[Ausgaben],tblAuftraege[Datum Ausgaben],"&gt;="&amp;E$5,tblAuftraege[Datum Ausgaben],"&lt;"&amp;EDATE(E$5,1),tblAuftraege[Auftrag],$A74))</f>
        <v>0</v>
      </c>
      <c r="F74" s="11" t="n">
        <f aca="false">IF($A74="",0,SUMIFS(tblAuftraege[Ausgaben],tblAuftraege[Datum Ausgaben],"&gt;="&amp;F$5,tblAuftraege[Datum Ausgaben],"&lt;"&amp;EDATE(F$5,1),tblAuftraege[Auftrag],$A74))</f>
        <v>0</v>
      </c>
      <c r="G74" s="11" t="n">
        <f aca="false">IF($A74="",0,SUMIFS(tblAuftraege[Ausgaben],tblAuftraege[Datum Ausgaben],"&gt;="&amp;G$5,tblAuftraege[Datum Ausgaben],"&lt;"&amp;EDATE(G$5,1),tblAuftraege[Auftrag],$A74))</f>
        <v>0</v>
      </c>
      <c r="H74" s="11" t="n">
        <f aca="false">IF($A74="",0,SUMIFS(tblAuftraege[Ausgaben],tblAuftraege[Datum Ausgaben],"&gt;="&amp;H$5,tblAuftraege[Datum Ausgaben],"&lt;"&amp;EDATE(H$5,1),tblAuftraege[Auftrag],$A74))</f>
        <v>0</v>
      </c>
      <c r="I74" s="11" t="n">
        <f aca="false">IF($A74="",0,SUMIFS(tblAuftraege[Ausgaben],tblAuftraege[Datum Ausgaben],"&gt;="&amp;I$5,tblAuftraege[Datum Ausgaben],"&lt;"&amp;EDATE(I$5,1),tblAuftraege[Auftrag],$A74))</f>
        <v>0</v>
      </c>
      <c r="J74" s="11" t="n">
        <f aca="false">IF($A74="",0,SUMIFS(tblAuftraege[Ausgaben],tblAuftraege[Datum Ausgaben],"&gt;="&amp;J$5,tblAuftraege[Datum Ausgaben],"&lt;"&amp;EDATE(J$5,1),tblAuftraege[Auftrag],$A74))</f>
        <v>0</v>
      </c>
      <c r="K74" s="11" t="n">
        <f aca="false">IF($A74="",0,SUMIFS(tblAuftraege[Ausgaben],tblAuftraege[Datum Ausgaben],"&gt;="&amp;K$5,tblAuftraege[Datum Ausgaben],"&lt;"&amp;EDATE(K$5,1),tblAuftraege[Auftrag],$A74))</f>
        <v>0</v>
      </c>
      <c r="L74" s="11" t="n">
        <f aca="false">IF($A74="",0,SUMIFS(tblAuftraege[Ausgaben],tblAuftraege[Datum Ausgaben],"&gt;="&amp;L$5,tblAuftraege[Datum Ausgaben],"&lt;"&amp;EDATE(L$5,1),tblAuftraege[Auftrag],$A74))</f>
        <v>0</v>
      </c>
      <c r="M74" s="11" t="n">
        <f aca="false">IF($A74="",0,SUMIFS(tblAuftraege[Ausgaben],tblAuftraege[Datum Ausgaben],"&gt;="&amp;M$5,tblAuftraege[Datum Ausgaben],"&lt;"&amp;EDATE(M$5,1),tblAuftraege[Auftrag],$A74))</f>
        <v>0</v>
      </c>
      <c r="N74" s="11" t="n">
        <f aca="false">IF($A74="",0,SUMIFS(tblAuftraege[Ausgaben],tblAuftraege[Datum Ausgaben],"&gt;="&amp;N$5,tblAuftraege[Datum Ausgaben],"&lt;"&amp;EDATE(N$5,1),tblAuftraege[Auftrag],$A74))</f>
        <v>0</v>
      </c>
      <c r="O74" s="11" t="n">
        <f aca="false">IF($A74="",0,SUMIFS(tblAuftraege[Ausgaben],tblAuftraege[Datum Ausgaben],"&gt;="&amp;O$5,tblAuftraege[Datum Ausgaben],"&lt;"&amp;EDATE(O$5,1),tblAuftraege[Auftrag],$A74))</f>
        <v>0</v>
      </c>
      <c r="P74" s="11" t="n">
        <f aca="false">IF($A74="",0,SUMIFS(tblAuftraege[Ausgaben],tblAuftraege[Datum Ausgaben],"&gt;="&amp;P$5,tblAuftraege[Datum Ausgaben],"&lt;"&amp;EDATE(P$5,1),tblAuftraege[Auftrag],$A74))</f>
        <v>0</v>
      </c>
      <c r="Q74" s="11" t="n">
        <f aca="false">IF($A74="",0,SUMIFS(tblAuftraege[Ausgaben],tblAuftraege[Datum Ausgaben],"&gt;="&amp;Q$5,tblAuftraege[Datum Ausgaben],"&lt;"&amp;EDATE(Q$5,1),tblAuftraege[Auftrag],$A74))</f>
        <v>0</v>
      </c>
      <c r="R74" s="11" t="n">
        <f aca="false">IF($A74="",0,SUMIFS(tblAuftraege[Ausgaben],tblAuftraege[Datum Ausgaben],"&gt;="&amp;R$5,tblAuftraege[Datum Ausgaben],"&lt;"&amp;EDATE(R$5,1),tblAuftraege[Auftrag],$A74))</f>
        <v>0</v>
      </c>
      <c r="S74" s="11" t="n">
        <f aca="false">IF($A74="",0,SUMIFS(tblAuftraege[Ausgaben],tblAuftraege[Datum Ausgaben],"&gt;="&amp;S$5,tblAuftraege[Datum Ausgaben],"&lt;"&amp;EDATE(S$5,1),tblAuftraege[Auftrag],$A74))</f>
        <v>0</v>
      </c>
      <c r="T74" s="11" t="n">
        <f aca="false">IF($A74="",0,SUMIFS(tblAuftraege[Ausgaben],tblAuftraege[Datum Ausgaben],"&gt;="&amp;T$5,tblAuftraege[Datum Ausgaben],"&lt;"&amp;EDATE(T$5,1),tblAuftraege[Auftrag],$A74))</f>
        <v>0</v>
      </c>
      <c r="U74" s="11" t="n">
        <f aca="false">IF($A74="",0,SUMIFS(tblAuftraege[Ausgaben],tblAuftraege[Datum Ausgaben],"&gt;="&amp;U$5,tblAuftraege[Datum Ausgaben],"&lt;"&amp;EDATE(U$5,1),tblAuftraege[Auftrag],$A74))</f>
        <v>0</v>
      </c>
      <c r="V74" s="11" t="n">
        <f aca="false">IF($A74="",0,SUMIFS(tblAuftraege[Ausgaben],tblAuftraege[Datum Ausgaben],"&gt;="&amp;V$5,tblAuftraege[Datum Ausgaben],"&lt;"&amp;EDATE(V$5,1),tblAuftraege[Auftrag],$A74))</f>
        <v>0</v>
      </c>
      <c r="W74" s="11" t="n">
        <f aca="false">IF($A74="",0,SUMIFS(tblAuftraege[Ausgaben],tblAuftraege[Datum Ausgaben],"&gt;="&amp;W$5,tblAuftraege[Datum Ausgaben],"&lt;"&amp;EDATE(W$5,1),tblAuftraege[Auftrag],$A74))</f>
        <v>0</v>
      </c>
      <c r="X74" s="11" t="n">
        <f aca="false">IF($A74="",0,SUMIFS(tblAuftraege[Ausgaben],tblAuftraege[Datum Ausgaben],"&gt;="&amp;X$5,tblAuftraege[Datum Ausgaben],"&lt;"&amp;EDATE(X$5,1),tblAuftraege[Auftrag],$A74))</f>
        <v>0</v>
      </c>
      <c r="Y74" s="11" t="n">
        <f aca="false">IF($A74="",0,SUMIFS(tblAuftraege[Ausgaben],tblAuftraege[Datum Ausgaben],"&gt;="&amp;Y$5,tblAuftraege[Datum Ausgaben],"&lt;"&amp;EDATE(Y$5,1),tblAuftraege[Auftrag],$A74))</f>
        <v>0</v>
      </c>
      <c r="Z74" s="11" t="n">
        <f aca="false">IF($A74="",0,SUMIFS(tblAuftraege[Ausgaben],tblAuftraege[Datum Ausgaben],"&gt;="&amp;Z$5,tblAuftraege[Datum Ausgaben],"&lt;"&amp;EDATE(Z$5,1),tblAuftraege[Auftrag],$A74))</f>
        <v>0</v>
      </c>
      <c r="AA74" s="11" t="n">
        <f aca="false">IF($A74="",0,SUMIFS(tblAuftraege[Ausgaben],tblAuftraege[Datum Ausgaben],"&gt;="&amp;AA$5,tblAuftraege[Datum Ausgaben],"&lt;"&amp;EDATE(AA$5,1),tblAuftraege[Auftrag],$A74))</f>
        <v>0</v>
      </c>
      <c r="AB74" s="11" t="n">
        <f aca="false">IF($A74="",0,SUMIFS(tblAuftraege[Ausgaben],tblAuftraege[Datum Ausgaben],"&gt;="&amp;AB$5,tblAuftraege[Datum Ausgaben],"&lt;"&amp;EDATE(AB$5,1),tblAuftraege[Auftrag],$A74))</f>
        <v>0</v>
      </c>
      <c r="AC74" s="11" t="n">
        <f aca="false">IF($A74="",0,SUMIFS(tblAuftraege[Ausgaben],tblAuftraege[Datum Ausgaben],"&gt;="&amp;AC$5,tblAuftraege[Datum Ausgaben],"&lt;"&amp;EDATE(AC$5,1),tblAuftraege[Auftrag],$A74))</f>
        <v>0</v>
      </c>
      <c r="AD74" s="11" t="n">
        <f aca="false">IF($A74="",0,SUMIFS(tblAuftraege[Ausgaben],tblAuftraege[Datum Ausgaben],"&gt;="&amp;AD$5,tblAuftraege[Datum Ausgaben],"&lt;"&amp;EDATE(AD$5,1),tblAuftraege[Auftrag],$A74))</f>
        <v>0</v>
      </c>
      <c r="AE74" s="11" t="n">
        <f aca="false">IF($A74="",0,SUMIFS(tblAuftraege[Ausgaben],tblAuftraege[Datum Ausgaben],"&gt;="&amp;AE$5,tblAuftraege[Datum Ausgaben],"&lt;"&amp;EDATE(AE$5,1),tblAuftraege[Auftrag],$A74))</f>
        <v>0</v>
      </c>
      <c r="AF74" s="11" t="n">
        <f aca="false">IF($A74="",0,SUMIFS(tblAuftraege[Ausgaben],tblAuftraege[Datum Ausgaben],"&gt;="&amp;AF$5,tblAuftraege[Datum Ausgaben],"&lt;"&amp;EDATE(AF$5,1),tblAuftraege[Auftrag],$A74))</f>
        <v>0</v>
      </c>
      <c r="AG74" s="11" t="n">
        <f aca="false">IF($A74="",0,SUMIFS(tblAuftraege[Ausgaben],tblAuftraege[Datum Ausgaben],"&gt;="&amp;AG$5,tblAuftraege[Datum Ausgaben],"&lt;"&amp;EDATE(AG$5,1),tblAuftraege[Auftrag],$A74))</f>
        <v>0</v>
      </c>
      <c r="AH74" s="11" t="n">
        <f aca="false">IF($A74="",0,SUMIFS(tblAuftraege[Ausgaben],tblAuftraege[Datum Ausgaben],"&gt;="&amp;AH$5,tblAuftraege[Datum Ausgaben],"&lt;"&amp;EDATE(AH$5,1),tblAuftraege[Auftrag],$A74))</f>
        <v>0</v>
      </c>
      <c r="AI74" s="11" t="n">
        <f aca="false">IF($A74="",0,SUMIFS(tblAuftraege[Ausgaben],tblAuftraege[Datum Ausgaben],"&gt;="&amp;AI$5,tblAuftraege[Datum Ausgaben],"&lt;"&amp;EDATE(AI$5,1),tblAuftraege[Auftrag],$A74))</f>
        <v>0</v>
      </c>
      <c r="AJ74" s="11" t="n">
        <f aca="false">IF($A74="",0,SUMIFS(tblAuftraege[Ausgaben],tblAuftraege[Datum Ausgaben],"&gt;="&amp;AJ$5,tblAuftraege[Datum Ausgaben],"&lt;"&amp;EDATE(AJ$5,1),tblAuftraege[Auftrag],$A74))</f>
        <v>0</v>
      </c>
      <c r="AK74" s="11" t="n">
        <f aca="false">IF($A74="",0,SUMIFS(tblAuftraege[Ausgaben],tblAuftraege[Datum Ausgaben],"&gt;="&amp;AK$5,tblAuftraege[Datum Ausgaben],"&lt;"&amp;EDATE(AK$5,1),tblAuftraege[Auftrag],$A74))</f>
        <v>0</v>
      </c>
      <c r="AL74" s="11" t="n">
        <f aca="false">IF($A74="",0,SUMIFS(tblAuftraege[Ausgaben],tblAuftraege[Datum Ausgaben],"&gt;="&amp;AL$5,tblAuftraege[Datum Ausgaben],"&lt;"&amp;EDATE(AL$5,1),tblAuftraege[Auftrag],$A74))</f>
        <v>0</v>
      </c>
      <c r="AM74" s="11" t="n">
        <f aca="false">IF($A74="",0,SUMIFS(tblAuftraege[Ausgaben],tblAuftraege[Datum Ausgaben],"&gt;="&amp;AM$5,tblAuftraege[Datum Ausgaben],"&lt;"&amp;EDATE(AM$5,1),tblAuftraege[Auftrag],$A74))</f>
        <v>0</v>
      </c>
      <c r="AN74" s="11" t="n">
        <f aca="false">IF($A74="",0,SUMIFS(tblAuftraege[Ausgaben],tblAuftraege[Datum Ausgaben],"&gt;="&amp;AN$5,tblAuftraege[Datum Ausgaben],"&lt;"&amp;EDATE(AN$5,1),tblAuftraege[Auftrag],$A74))</f>
        <v>0</v>
      </c>
      <c r="AO74" s="11" t="n">
        <f aca="false">IF($A74="",0,SUMIFS(tblAuftraege[Ausgaben],tblAuftraege[Datum Ausgaben],"&gt;="&amp;AO$5,tblAuftraege[Datum Ausgaben],"&lt;"&amp;EDATE(AO$5,1),tblAuftraege[Auftrag],$A74))</f>
        <v>0</v>
      </c>
      <c r="AP74" s="11" t="n">
        <f aca="false">IF($A74="",0,SUMIFS(tblAuftraege[Ausgaben],tblAuftraege[Datum Ausgaben],"&gt;="&amp;AP$5,tblAuftraege[Datum Ausgaben],"&lt;"&amp;EDATE(AP$5,1),tblAuftraege[Auftrag],$A74))</f>
        <v>0</v>
      </c>
      <c r="AQ74" s="11" t="n">
        <f aca="false">IF($A74="",0,SUMIFS(tblAuftraege[Ausgaben],tblAuftraege[Datum Ausgaben],"&gt;="&amp;AQ$5,tblAuftraege[Datum Ausgaben],"&lt;"&amp;EDATE(AQ$5,1),tblAuftraege[Auftrag],$A74))</f>
        <v>0</v>
      </c>
      <c r="AR74" s="11" t="n">
        <f aca="false">IF($A74="",0,SUMIFS(tblAuftraege[Ausgaben],tblAuftraege[Datum Ausgaben],"&gt;="&amp;AR$5,tblAuftraege[Datum Ausgaben],"&lt;"&amp;EDATE(AR$5,1),tblAuftraege[Auftrag],$A74))</f>
        <v>0</v>
      </c>
      <c r="AS74" s="11" t="n">
        <f aca="false">IF($A74="",0,SUMIFS(tblAuftraege[Ausgaben],tblAuftraege[Datum Ausgaben],"&gt;="&amp;AS$5,tblAuftraege[Datum Ausgaben],"&lt;"&amp;EDATE(AS$5,1),tblAuftraege[Auftrag],$A74))</f>
        <v>0</v>
      </c>
      <c r="AT74" s="11" t="n">
        <f aca="false">IF($A74="",0,SUMIFS(tblAuftraege[Ausgaben],tblAuftraege[Datum Ausgaben],"&gt;="&amp;AT$5,tblAuftraege[Datum Ausgaben],"&lt;"&amp;EDATE(AT$5,1),tblAuftraege[Auftrag],$A74))</f>
        <v>0</v>
      </c>
      <c r="AU74" s="11" t="n">
        <f aca="false">IF($A74="",0,SUMIFS(tblAuftraege[Ausgaben],tblAuftraege[Datum Ausgaben],"&gt;="&amp;AU$5,tblAuftraege[Datum Ausgaben],"&lt;"&amp;EDATE(AU$5,1),tblAuftraege[Auftrag],$A74))</f>
        <v>0</v>
      </c>
      <c r="AV74" s="11" t="n">
        <f aca="false">IF($A74="",0,SUMIFS(tblAuftraege[Ausgaben],tblAuftraege[Datum Ausgaben],"&gt;="&amp;AV$5,tblAuftraege[Datum Ausgaben],"&lt;"&amp;EDATE(AV$5,1),tblAuftraege[Auftrag],$A74))</f>
        <v>0</v>
      </c>
      <c r="AW74" s="11" t="n">
        <f aca="false">IF($A74="",0,SUMIFS(tblAuftraege[Ausgaben],tblAuftraege[Datum Ausgaben],"&gt;="&amp;AW$5,tblAuftraege[Datum Ausgaben],"&lt;"&amp;EDATE(AW$5,1),tblAuftraege[Auftrag],$A74))</f>
        <v>0</v>
      </c>
      <c r="AX74" s="11" t="n">
        <f aca="false">IF($A74="",0,SUMIFS(tblAuftraege[Ausgaben],tblAuftraege[Datum Ausgaben],"&gt;="&amp;AX$5,tblAuftraege[Datum Ausgaben],"&lt;"&amp;EDATE(AX$5,1),tblAuftraege[Auftrag],$A74))</f>
        <v>0</v>
      </c>
      <c r="AY74" s="11" t="n">
        <f aca="false">IF($A74="",0,SUMIFS(tblAuftraege[Ausgaben],tblAuftraege[Datum Ausgaben],"&gt;="&amp;AY$5,tblAuftraege[Datum Ausgaben],"&lt;"&amp;EDATE(AY$5,1),tblAuftraege[Auftrag],$A74))</f>
        <v>0</v>
      </c>
      <c r="AZ74" s="11" t="n">
        <f aca="false">IF($A74="",0,SUMIFS(tblAuftraege[Ausgaben],tblAuftraege[Datum Ausgaben],"&gt;="&amp;AZ$5,tblAuftraege[Datum Ausgaben],"&lt;"&amp;EDATE(AZ$5,1),tblAuftraege[Auftrag],$A74))</f>
        <v>0</v>
      </c>
      <c r="BA74" s="11" t="n">
        <f aca="false">IF($A74="",0,SUMIFS(tblAuftraege[Ausgaben],tblAuftraege[Datum Ausgaben],"&gt;="&amp;BA$5,tblAuftraege[Datum Ausgaben],"&lt;"&amp;EDATE(BA$5,1),tblAuftraege[Auftrag],$A74))</f>
        <v>0</v>
      </c>
      <c r="BB74" s="11" t="n">
        <f aca="false">IF($A74="",0,SUMIFS(tblAuftraege[Ausgaben],tblAuftraege[Datum Ausgaben],"&gt;="&amp;BB$5,tblAuftraege[Datum Ausgaben],"&lt;"&amp;EDATE(BB$5,1),tblAuftraege[Auftrag],$A74))</f>
        <v>0</v>
      </c>
      <c r="BC74" s="11" t="n">
        <f aca="false">IF($A74="",0,SUMIFS(tblAuftraege[Ausgaben],tblAuftraege[Datum Ausgaben],"&gt;="&amp;BC$5,tblAuftraege[Datum Ausgaben],"&lt;"&amp;EDATE(BC$5,1),tblAuftraege[Auftrag],$A74))</f>
        <v>0</v>
      </c>
      <c r="BD74" s="11" t="n">
        <f aca="false">IF($A74="",0,SUMIFS(tblAuftraege[Ausgaben],tblAuftraege[Datum Ausgaben],"&gt;="&amp;BD$5,tblAuftraege[Datum Ausgaben],"&lt;"&amp;EDATE(BD$5,1),tblAuftraege[Auftrag],$A74))</f>
        <v>0</v>
      </c>
      <c r="BE74" s="11" t="n">
        <f aca="false">IF($A74="",0,SUMIFS(tblAuftraege[Ausgaben],tblAuftraege[Datum Ausgaben],"&gt;="&amp;BE$5,tblAuftraege[Datum Ausgaben],"&lt;"&amp;EDATE(BE$5,1),tblAuftraege[Auftrag],$A74))</f>
        <v>0</v>
      </c>
      <c r="BF74" s="11" t="n">
        <f aca="false">IF($A74="",0,SUMIFS(tblAuftraege[Ausgaben],tblAuftraege[Datum Ausgaben],"&gt;="&amp;BF$5,tblAuftraege[Datum Ausgaben],"&lt;"&amp;EDATE(BF$5,1),tblAuftraege[Auftrag],$A74))</f>
        <v>0</v>
      </c>
      <c r="BG74" s="11" t="n">
        <f aca="false">SUM(E74:J74)</f>
        <v>0</v>
      </c>
      <c r="BH74" s="11" t="n">
        <f aca="false">SUM(K74:V74)</f>
        <v>0</v>
      </c>
      <c r="BI74" s="11" t="n">
        <f aca="false">SUM(W74:AH74)</f>
        <v>0</v>
      </c>
      <c r="BJ74" s="11" t="n">
        <f aca="false">SUM(AI74:AT74)</f>
        <v>0</v>
      </c>
      <c r="BK74" s="11" t="n">
        <f aca="false">SUM(AU74:BF74)</f>
        <v>0</v>
      </c>
      <c r="BL74" s="12" t="n">
        <f aca="false">SUM(E74:BF74)</f>
        <v>0</v>
      </c>
    </row>
    <row r="75" customFormat="false" ht="15" hidden="false" customHeight="false" outlineLevel="0" collapsed="false">
      <c r="A75" s="9"/>
      <c r="B75" s="10" t="str">
        <f aca="false">IF($A75="","",IFERROR(INDEX(tblAuftraege[Kostenstelle],MATCH($A75,tblAuftraege[Auftrag],0)),""))</f>
        <v/>
      </c>
      <c r="C75" s="10" t="str">
        <f aca="false">IF($A75="","",IFERROR(INDEX(tblAuftraege[Themenfeld],MATCH($A75,tblAuftraege[Auftrag],0)),""))</f>
        <v/>
      </c>
      <c r="D75" s="10" t="str">
        <f aca="false">IF($A75="","",IFERROR(INDEX(tblAuftraege[Kategorie],MATCH($A75,tblAuftraege[Auftrag],0)),""))</f>
        <v/>
      </c>
      <c r="E75" s="11" t="n">
        <f aca="false">IF($A75="",0,SUMIFS(tblAuftraege[Ausgaben],tblAuftraege[Datum Ausgaben],"&gt;="&amp;E$5,tblAuftraege[Datum Ausgaben],"&lt;"&amp;EDATE(E$5,1),tblAuftraege[Auftrag],$A75))</f>
        <v>0</v>
      </c>
      <c r="F75" s="11" t="n">
        <f aca="false">IF($A75="",0,SUMIFS(tblAuftraege[Ausgaben],tblAuftraege[Datum Ausgaben],"&gt;="&amp;F$5,tblAuftraege[Datum Ausgaben],"&lt;"&amp;EDATE(F$5,1),tblAuftraege[Auftrag],$A75))</f>
        <v>0</v>
      </c>
      <c r="G75" s="11" t="n">
        <f aca="false">IF($A75="",0,SUMIFS(tblAuftraege[Ausgaben],tblAuftraege[Datum Ausgaben],"&gt;="&amp;G$5,tblAuftraege[Datum Ausgaben],"&lt;"&amp;EDATE(G$5,1),tblAuftraege[Auftrag],$A75))</f>
        <v>0</v>
      </c>
      <c r="H75" s="11" t="n">
        <f aca="false">IF($A75="",0,SUMIFS(tblAuftraege[Ausgaben],tblAuftraege[Datum Ausgaben],"&gt;="&amp;H$5,tblAuftraege[Datum Ausgaben],"&lt;"&amp;EDATE(H$5,1),tblAuftraege[Auftrag],$A75))</f>
        <v>0</v>
      </c>
      <c r="I75" s="11" t="n">
        <f aca="false">IF($A75="",0,SUMIFS(tblAuftraege[Ausgaben],tblAuftraege[Datum Ausgaben],"&gt;="&amp;I$5,tblAuftraege[Datum Ausgaben],"&lt;"&amp;EDATE(I$5,1),tblAuftraege[Auftrag],$A75))</f>
        <v>0</v>
      </c>
      <c r="J75" s="11" t="n">
        <f aca="false">IF($A75="",0,SUMIFS(tblAuftraege[Ausgaben],tblAuftraege[Datum Ausgaben],"&gt;="&amp;J$5,tblAuftraege[Datum Ausgaben],"&lt;"&amp;EDATE(J$5,1),tblAuftraege[Auftrag],$A75))</f>
        <v>0</v>
      </c>
      <c r="K75" s="11" t="n">
        <f aca="false">IF($A75="",0,SUMIFS(tblAuftraege[Ausgaben],tblAuftraege[Datum Ausgaben],"&gt;="&amp;K$5,tblAuftraege[Datum Ausgaben],"&lt;"&amp;EDATE(K$5,1),tblAuftraege[Auftrag],$A75))</f>
        <v>0</v>
      </c>
      <c r="L75" s="11" t="n">
        <f aca="false">IF($A75="",0,SUMIFS(tblAuftraege[Ausgaben],tblAuftraege[Datum Ausgaben],"&gt;="&amp;L$5,tblAuftraege[Datum Ausgaben],"&lt;"&amp;EDATE(L$5,1),tblAuftraege[Auftrag],$A75))</f>
        <v>0</v>
      </c>
      <c r="M75" s="11" t="n">
        <f aca="false">IF($A75="",0,SUMIFS(tblAuftraege[Ausgaben],tblAuftraege[Datum Ausgaben],"&gt;="&amp;M$5,tblAuftraege[Datum Ausgaben],"&lt;"&amp;EDATE(M$5,1),tblAuftraege[Auftrag],$A75))</f>
        <v>0</v>
      </c>
      <c r="N75" s="11" t="n">
        <f aca="false">IF($A75="",0,SUMIFS(tblAuftraege[Ausgaben],tblAuftraege[Datum Ausgaben],"&gt;="&amp;N$5,tblAuftraege[Datum Ausgaben],"&lt;"&amp;EDATE(N$5,1),tblAuftraege[Auftrag],$A75))</f>
        <v>0</v>
      </c>
      <c r="O75" s="11" t="n">
        <f aca="false">IF($A75="",0,SUMIFS(tblAuftraege[Ausgaben],tblAuftraege[Datum Ausgaben],"&gt;="&amp;O$5,tblAuftraege[Datum Ausgaben],"&lt;"&amp;EDATE(O$5,1),tblAuftraege[Auftrag],$A75))</f>
        <v>0</v>
      </c>
      <c r="P75" s="11" t="n">
        <f aca="false">IF($A75="",0,SUMIFS(tblAuftraege[Ausgaben],tblAuftraege[Datum Ausgaben],"&gt;="&amp;P$5,tblAuftraege[Datum Ausgaben],"&lt;"&amp;EDATE(P$5,1),tblAuftraege[Auftrag],$A75))</f>
        <v>0</v>
      </c>
      <c r="Q75" s="11" t="n">
        <f aca="false">IF($A75="",0,SUMIFS(tblAuftraege[Ausgaben],tblAuftraege[Datum Ausgaben],"&gt;="&amp;Q$5,tblAuftraege[Datum Ausgaben],"&lt;"&amp;EDATE(Q$5,1),tblAuftraege[Auftrag],$A75))</f>
        <v>0</v>
      </c>
      <c r="R75" s="11" t="n">
        <f aca="false">IF($A75="",0,SUMIFS(tblAuftraege[Ausgaben],tblAuftraege[Datum Ausgaben],"&gt;="&amp;R$5,tblAuftraege[Datum Ausgaben],"&lt;"&amp;EDATE(R$5,1),tblAuftraege[Auftrag],$A75))</f>
        <v>0</v>
      </c>
      <c r="S75" s="11" t="n">
        <f aca="false">IF($A75="",0,SUMIFS(tblAuftraege[Ausgaben],tblAuftraege[Datum Ausgaben],"&gt;="&amp;S$5,tblAuftraege[Datum Ausgaben],"&lt;"&amp;EDATE(S$5,1),tblAuftraege[Auftrag],$A75))</f>
        <v>0</v>
      </c>
      <c r="T75" s="11" t="n">
        <f aca="false">IF($A75="",0,SUMIFS(tblAuftraege[Ausgaben],tblAuftraege[Datum Ausgaben],"&gt;="&amp;T$5,tblAuftraege[Datum Ausgaben],"&lt;"&amp;EDATE(T$5,1),tblAuftraege[Auftrag],$A75))</f>
        <v>0</v>
      </c>
      <c r="U75" s="11" t="n">
        <f aca="false">IF($A75="",0,SUMIFS(tblAuftraege[Ausgaben],tblAuftraege[Datum Ausgaben],"&gt;="&amp;U$5,tblAuftraege[Datum Ausgaben],"&lt;"&amp;EDATE(U$5,1),tblAuftraege[Auftrag],$A75))</f>
        <v>0</v>
      </c>
      <c r="V75" s="11" t="n">
        <f aca="false">IF($A75="",0,SUMIFS(tblAuftraege[Ausgaben],tblAuftraege[Datum Ausgaben],"&gt;="&amp;V$5,tblAuftraege[Datum Ausgaben],"&lt;"&amp;EDATE(V$5,1),tblAuftraege[Auftrag],$A75))</f>
        <v>0</v>
      </c>
      <c r="W75" s="11" t="n">
        <f aca="false">IF($A75="",0,SUMIFS(tblAuftraege[Ausgaben],tblAuftraege[Datum Ausgaben],"&gt;="&amp;W$5,tblAuftraege[Datum Ausgaben],"&lt;"&amp;EDATE(W$5,1),tblAuftraege[Auftrag],$A75))</f>
        <v>0</v>
      </c>
      <c r="X75" s="11" t="n">
        <f aca="false">IF($A75="",0,SUMIFS(tblAuftraege[Ausgaben],tblAuftraege[Datum Ausgaben],"&gt;="&amp;X$5,tblAuftraege[Datum Ausgaben],"&lt;"&amp;EDATE(X$5,1),tblAuftraege[Auftrag],$A75))</f>
        <v>0</v>
      </c>
      <c r="Y75" s="11" t="n">
        <f aca="false">IF($A75="",0,SUMIFS(tblAuftraege[Ausgaben],tblAuftraege[Datum Ausgaben],"&gt;="&amp;Y$5,tblAuftraege[Datum Ausgaben],"&lt;"&amp;EDATE(Y$5,1),tblAuftraege[Auftrag],$A75))</f>
        <v>0</v>
      </c>
      <c r="Z75" s="11" t="n">
        <f aca="false">IF($A75="",0,SUMIFS(tblAuftraege[Ausgaben],tblAuftraege[Datum Ausgaben],"&gt;="&amp;Z$5,tblAuftraege[Datum Ausgaben],"&lt;"&amp;EDATE(Z$5,1),tblAuftraege[Auftrag],$A75))</f>
        <v>0</v>
      </c>
      <c r="AA75" s="11" t="n">
        <f aca="false">IF($A75="",0,SUMIFS(tblAuftraege[Ausgaben],tblAuftraege[Datum Ausgaben],"&gt;="&amp;AA$5,tblAuftraege[Datum Ausgaben],"&lt;"&amp;EDATE(AA$5,1),tblAuftraege[Auftrag],$A75))</f>
        <v>0</v>
      </c>
      <c r="AB75" s="11" t="n">
        <f aca="false">IF($A75="",0,SUMIFS(tblAuftraege[Ausgaben],tblAuftraege[Datum Ausgaben],"&gt;="&amp;AB$5,tblAuftraege[Datum Ausgaben],"&lt;"&amp;EDATE(AB$5,1),tblAuftraege[Auftrag],$A75))</f>
        <v>0</v>
      </c>
      <c r="AC75" s="11" t="n">
        <f aca="false">IF($A75="",0,SUMIFS(tblAuftraege[Ausgaben],tblAuftraege[Datum Ausgaben],"&gt;="&amp;AC$5,tblAuftraege[Datum Ausgaben],"&lt;"&amp;EDATE(AC$5,1),tblAuftraege[Auftrag],$A75))</f>
        <v>0</v>
      </c>
      <c r="AD75" s="11" t="n">
        <f aca="false">IF($A75="",0,SUMIFS(tblAuftraege[Ausgaben],tblAuftraege[Datum Ausgaben],"&gt;="&amp;AD$5,tblAuftraege[Datum Ausgaben],"&lt;"&amp;EDATE(AD$5,1),tblAuftraege[Auftrag],$A75))</f>
        <v>0</v>
      </c>
      <c r="AE75" s="11" t="n">
        <f aca="false">IF($A75="",0,SUMIFS(tblAuftraege[Ausgaben],tblAuftraege[Datum Ausgaben],"&gt;="&amp;AE$5,tblAuftraege[Datum Ausgaben],"&lt;"&amp;EDATE(AE$5,1),tblAuftraege[Auftrag],$A75))</f>
        <v>0</v>
      </c>
      <c r="AF75" s="11" t="n">
        <f aca="false">IF($A75="",0,SUMIFS(tblAuftraege[Ausgaben],tblAuftraege[Datum Ausgaben],"&gt;="&amp;AF$5,tblAuftraege[Datum Ausgaben],"&lt;"&amp;EDATE(AF$5,1),tblAuftraege[Auftrag],$A75))</f>
        <v>0</v>
      </c>
      <c r="AG75" s="11" t="n">
        <f aca="false">IF($A75="",0,SUMIFS(tblAuftraege[Ausgaben],tblAuftraege[Datum Ausgaben],"&gt;="&amp;AG$5,tblAuftraege[Datum Ausgaben],"&lt;"&amp;EDATE(AG$5,1),tblAuftraege[Auftrag],$A75))</f>
        <v>0</v>
      </c>
      <c r="AH75" s="11" t="n">
        <f aca="false">IF($A75="",0,SUMIFS(tblAuftraege[Ausgaben],tblAuftraege[Datum Ausgaben],"&gt;="&amp;AH$5,tblAuftraege[Datum Ausgaben],"&lt;"&amp;EDATE(AH$5,1),tblAuftraege[Auftrag],$A75))</f>
        <v>0</v>
      </c>
      <c r="AI75" s="11" t="n">
        <f aca="false">IF($A75="",0,SUMIFS(tblAuftraege[Ausgaben],tblAuftraege[Datum Ausgaben],"&gt;="&amp;AI$5,tblAuftraege[Datum Ausgaben],"&lt;"&amp;EDATE(AI$5,1),tblAuftraege[Auftrag],$A75))</f>
        <v>0</v>
      </c>
      <c r="AJ75" s="11" t="n">
        <f aca="false">IF($A75="",0,SUMIFS(tblAuftraege[Ausgaben],tblAuftraege[Datum Ausgaben],"&gt;="&amp;AJ$5,tblAuftraege[Datum Ausgaben],"&lt;"&amp;EDATE(AJ$5,1),tblAuftraege[Auftrag],$A75))</f>
        <v>0</v>
      </c>
      <c r="AK75" s="11" t="n">
        <f aca="false">IF($A75="",0,SUMIFS(tblAuftraege[Ausgaben],tblAuftraege[Datum Ausgaben],"&gt;="&amp;AK$5,tblAuftraege[Datum Ausgaben],"&lt;"&amp;EDATE(AK$5,1),tblAuftraege[Auftrag],$A75))</f>
        <v>0</v>
      </c>
      <c r="AL75" s="11" t="n">
        <f aca="false">IF($A75="",0,SUMIFS(tblAuftraege[Ausgaben],tblAuftraege[Datum Ausgaben],"&gt;="&amp;AL$5,tblAuftraege[Datum Ausgaben],"&lt;"&amp;EDATE(AL$5,1),tblAuftraege[Auftrag],$A75))</f>
        <v>0</v>
      </c>
      <c r="AM75" s="11" t="n">
        <f aca="false">IF($A75="",0,SUMIFS(tblAuftraege[Ausgaben],tblAuftraege[Datum Ausgaben],"&gt;="&amp;AM$5,tblAuftraege[Datum Ausgaben],"&lt;"&amp;EDATE(AM$5,1),tblAuftraege[Auftrag],$A75))</f>
        <v>0</v>
      </c>
      <c r="AN75" s="11" t="n">
        <f aca="false">IF($A75="",0,SUMIFS(tblAuftraege[Ausgaben],tblAuftraege[Datum Ausgaben],"&gt;="&amp;AN$5,tblAuftraege[Datum Ausgaben],"&lt;"&amp;EDATE(AN$5,1),tblAuftraege[Auftrag],$A75))</f>
        <v>0</v>
      </c>
      <c r="AO75" s="11" t="n">
        <f aca="false">IF($A75="",0,SUMIFS(tblAuftraege[Ausgaben],tblAuftraege[Datum Ausgaben],"&gt;="&amp;AO$5,tblAuftraege[Datum Ausgaben],"&lt;"&amp;EDATE(AO$5,1),tblAuftraege[Auftrag],$A75))</f>
        <v>0</v>
      </c>
      <c r="AP75" s="11" t="n">
        <f aca="false">IF($A75="",0,SUMIFS(tblAuftraege[Ausgaben],tblAuftraege[Datum Ausgaben],"&gt;="&amp;AP$5,tblAuftraege[Datum Ausgaben],"&lt;"&amp;EDATE(AP$5,1),tblAuftraege[Auftrag],$A75))</f>
        <v>0</v>
      </c>
      <c r="AQ75" s="11" t="n">
        <f aca="false">IF($A75="",0,SUMIFS(tblAuftraege[Ausgaben],tblAuftraege[Datum Ausgaben],"&gt;="&amp;AQ$5,tblAuftraege[Datum Ausgaben],"&lt;"&amp;EDATE(AQ$5,1),tblAuftraege[Auftrag],$A75))</f>
        <v>0</v>
      </c>
      <c r="AR75" s="11" t="n">
        <f aca="false">IF($A75="",0,SUMIFS(tblAuftraege[Ausgaben],tblAuftraege[Datum Ausgaben],"&gt;="&amp;AR$5,tblAuftraege[Datum Ausgaben],"&lt;"&amp;EDATE(AR$5,1),tblAuftraege[Auftrag],$A75))</f>
        <v>0</v>
      </c>
      <c r="AS75" s="11" t="n">
        <f aca="false">IF($A75="",0,SUMIFS(tblAuftraege[Ausgaben],tblAuftraege[Datum Ausgaben],"&gt;="&amp;AS$5,tblAuftraege[Datum Ausgaben],"&lt;"&amp;EDATE(AS$5,1),tblAuftraege[Auftrag],$A75))</f>
        <v>0</v>
      </c>
      <c r="AT75" s="11" t="n">
        <f aca="false">IF($A75="",0,SUMIFS(tblAuftraege[Ausgaben],tblAuftraege[Datum Ausgaben],"&gt;="&amp;AT$5,tblAuftraege[Datum Ausgaben],"&lt;"&amp;EDATE(AT$5,1),tblAuftraege[Auftrag],$A75))</f>
        <v>0</v>
      </c>
      <c r="AU75" s="11" t="n">
        <f aca="false">IF($A75="",0,SUMIFS(tblAuftraege[Ausgaben],tblAuftraege[Datum Ausgaben],"&gt;="&amp;AU$5,tblAuftraege[Datum Ausgaben],"&lt;"&amp;EDATE(AU$5,1),tblAuftraege[Auftrag],$A75))</f>
        <v>0</v>
      </c>
      <c r="AV75" s="11" t="n">
        <f aca="false">IF($A75="",0,SUMIFS(tblAuftraege[Ausgaben],tblAuftraege[Datum Ausgaben],"&gt;="&amp;AV$5,tblAuftraege[Datum Ausgaben],"&lt;"&amp;EDATE(AV$5,1),tblAuftraege[Auftrag],$A75))</f>
        <v>0</v>
      </c>
      <c r="AW75" s="11" t="n">
        <f aca="false">IF($A75="",0,SUMIFS(tblAuftraege[Ausgaben],tblAuftraege[Datum Ausgaben],"&gt;="&amp;AW$5,tblAuftraege[Datum Ausgaben],"&lt;"&amp;EDATE(AW$5,1),tblAuftraege[Auftrag],$A75))</f>
        <v>0</v>
      </c>
      <c r="AX75" s="11" t="n">
        <f aca="false">IF($A75="",0,SUMIFS(tblAuftraege[Ausgaben],tblAuftraege[Datum Ausgaben],"&gt;="&amp;AX$5,tblAuftraege[Datum Ausgaben],"&lt;"&amp;EDATE(AX$5,1),tblAuftraege[Auftrag],$A75))</f>
        <v>0</v>
      </c>
      <c r="AY75" s="11" t="n">
        <f aca="false">IF($A75="",0,SUMIFS(tblAuftraege[Ausgaben],tblAuftraege[Datum Ausgaben],"&gt;="&amp;AY$5,tblAuftraege[Datum Ausgaben],"&lt;"&amp;EDATE(AY$5,1),tblAuftraege[Auftrag],$A75))</f>
        <v>0</v>
      </c>
      <c r="AZ75" s="11" t="n">
        <f aca="false">IF($A75="",0,SUMIFS(tblAuftraege[Ausgaben],tblAuftraege[Datum Ausgaben],"&gt;="&amp;AZ$5,tblAuftraege[Datum Ausgaben],"&lt;"&amp;EDATE(AZ$5,1),tblAuftraege[Auftrag],$A75))</f>
        <v>0</v>
      </c>
      <c r="BA75" s="11" t="n">
        <f aca="false">IF($A75="",0,SUMIFS(tblAuftraege[Ausgaben],tblAuftraege[Datum Ausgaben],"&gt;="&amp;BA$5,tblAuftraege[Datum Ausgaben],"&lt;"&amp;EDATE(BA$5,1),tblAuftraege[Auftrag],$A75))</f>
        <v>0</v>
      </c>
      <c r="BB75" s="11" t="n">
        <f aca="false">IF($A75="",0,SUMIFS(tblAuftraege[Ausgaben],tblAuftraege[Datum Ausgaben],"&gt;="&amp;BB$5,tblAuftraege[Datum Ausgaben],"&lt;"&amp;EDATE(BB$5,1),tblAuftraege[Auftrag],$A75))</f>
        <v>0</v>
      </c>
      <c r="BC75" s="11" t="n">
        <f aca="false">IF($A75="",0,SUMIFS(tblAuftraege[Ausgaben],tblAuftraege[Datum Ausgaben],"&gt;="&amp;BC$5,tblAuftraege[Datum Ausgaben],"&lt;"&amp;EDATE(BC$5,1),tblAuftraege[Auftrag],$A75))</f>
        <v>0</v>
      </c>
      <c r="BD75" s="11" t="n">
        <f aca="false">IF($A75="",0,SUMIFS(tblAuftraege[Ausgaben],tblAuftraege[Datum Ausgaben],"&gt;="&amp;BD$5,tblAuftraege[Datum Ausgaben],"&lt;"&amp;EDATE(BD$5,1),tblAuftraege[Auftrag],$A75))</f>
        <v>0</v>
      </c>
      <c r="BE75" s="11" t="n">
        <f aca="false">IF($A75="",0,SUMIFS(tblAuftraege[Ausgaben],tblAuftraege[Datum Ausgaben],"&gt;="&amp;BE$5,tblAuftraege[Datum Ausgaben],"&lt;"&amp;EDATE(BE$5,1),tblAuftraege[Auftrag],$A75))</f>
        <v>0</v>
      </c>
      <c r="BF75" s="11" t="n">
        <f aca="false">IF($A75="",0,SUMIFS(tblAuftraege[Ausgaben],tblAuftraege[Datum Ausgaben],"&gt;="&amp;BF$5,tblAuftraege[Datum Ausgaben],"&lt;"&amp;EDATE(BF$5,1),tblAuftraege[Auftrag],$A75))</f>
        <v>0</v>
      </c>
      <c r="BG75" s="11" t="n">
        <f aca="false">SUM(E75:J75)</f>
        <v>0</v>
      </c>
      <c r="BH75" s="11" t="n">
        <f aca="false">SUM(K75:V75)</f>
        <v>0</v>
      </c>
      <c r="BI75" s="11" t="n">
        <f aca="false">SUM(W75:AH75)</f>
        <v>0</v>
      </c>
      <c r="BJ75" s="11" t="n">
        <f aca="false">SUM(AI75:AT75)</f>
        <v>0</v>
      </c>
      <c r="BK75" s="11" t="n">
        <f aca="false">SUM(AU75:BF75)</f>
        <v>0</v>
      </c>
      <c r="BL75" s="12" t="n">
        <f aca="false">SUM(E75:BF75)</f>
        <v>0</v>
      </c>
    </row>
    <row r="76" customFormat="false" ht="15" hidden="false" customHeight="false" outlineLevel="0" collapsed="false">
      <c r="A76" s="9"/>
      <c r="B76" s="10" t="str">
        <f aca="false">IF($A76="","",IFERROR(INDEX(tblAuftraege[Kostenstelle],MATCH($A76,tblAuftraege[Auftrag],0)),""))</f>
        <v/>
      </c>
      <c r="C76" s="10" t="str">
        <f aca="false">IF($A76="","",IFERROR(INDEX(tblAuftraege[Themenfeld],MATCH($A76,tblAuftraege[Auftrag],0)),""))</f>
        <v/>
      </c>
      <c r="D76" s="10" t="str">
        <f aca="false">IF($A76="","",IFERROR(INDEX(tblAuftraege[Kategorie],MATCH($A76,tblAuftraege[Auftrag],0)),""))</f>
        <v/>
      </c>
      <c r="E76" s="11" t="n">
        <f aca="false">IF($A76="",0,SUMIFS(tblAuftraege[Ausgaben],tblAuftraege[Datum Ausgaben],"&gt;="&amp;E$5,tblAuftraege[Datum Ausgaben],"&lt;"&amp;EDATE(E$5,1),tblAuftraege[Auftrag],$A76))</f>
        <v>0</v>
      </c>
      <c r="F76" s="11" t="n">
        <f aca="false">IF($A76="",0,SUMIFS(tblAuftraege[Ausgaben],tblAuftraege[Datum Ausgaben],"&gt;="&amp;F$5,tblAuftraege[Datum Ausgaben],"&lt;"&amp;EDATE(F$5,1),tblAuftraege[Auftrag],$A76))</f>
        <v>0</v>
      </c>
      <c r="G76" s="11" t="n">
        <f aca="false">IF($A76="",0,SUMIFS(tblAuftraege[Ausgaben],tblAuftraege[Datum Ausgaben],"&gt;="&amp;G$5,tblAuftraege[Datum Ausgaben],"&lt;"&amp;EDATE(G$5,1),tblAuftraege[Auftrag],$A76))</f>
        <v>0</v>
      </c>
      <c r="H76" s="11" t="n">
        <f aca="false">IF($A76="",0,SUMIFS(tblAuftraege[Ausgaben],tblAuftraege[Datum Ausgaben],"&gt;="&amp;H$5,tblAuftraege[Datum Ausgaben],"&lt;"&amp;EDATE(H$5,1),tblAuftraege[Auftrag],$A76))</f>
        <v>0</v>
      </c>
      <c r="I76" s="11" t="n">
        <f aca="false">IF($A76="",0,SUMIFS(tblAuftraege[Ausgaben],tblAuftraege[Datum Ausgaben],"&gt;="&amp;I$5,tblAuftraege[Datum Ausgaben],"&lt;"&amp;EDATE(I$5,1),tblAuftraege[Auftrag],$A76))</f>
        <v>0</v>
      </c>
      <c r="J76" s="11" t="n">
        <f aca="false">IF($A76="",0,SUMIFS(tblAuftraege[Ausgaben],tblAuftraege[Datum Ausgaben],"&gt;="&amp;J$5,tblAuftraege[Datum Ausgaben],"&lt;"&amp;EDATE(J$5,1),tblAuftraege[Auftrag],$A76))</f>
        <v>0</v>
      </c>
      <c r="K76" s="11" t="n">
        <f aca="false">IF($A76="",0,SUMIFS(tblAuftraege[Ausgaben],tblAuftraege[Datum Ausgaben],"&gt;="&amp;K$5,tblAuftraege[Datum Ausgaben],"&lt;"&amp;EDATE(K$5,1),tblAuftraege[Auftrag],$A76))</f>
        <v>0</v>
      </c>
      <c r="L76" s="11" t="n">
        <f aca="false">IF($A76="",0,SUMIFS(tblAuftraege[Ausgaben],tblAuftraege[Datum Ausgaben],"&gt;="&amp;L$5,tblAuftraege[Datum Ausgaben],"&lt;"&amp;EDATE(L$5,1),tblAuftraege[Auftrag],$A76))</f>
        <v>0</v>
      </c>
      <c r="M76" s="11" t="n">
        <f aca="false">IF($A76="",0,SUMIFS(tblAuftraege[Ausgaben],tblAuftraege[Datum Ausgaben],"&gt;="&amp;M$5,tblAuftraege[Datum Ausgaben],"&lt;"&amp;EDATE(M$5,1),tblAuftraege[Auftrag],$A76))</f>
        <v>0</v>
      </c>
      <c r="N76" s="11" t="n">
        <f aca="false">IF($A76="",0,SUMIFS(tblAuftraege[Ausgaben],tblAuftraege[Datum Ausgaben],"&gt;="&amp;N$5,tblAuftraege[Datum Ausgaben],"&lt;"&amp;EDATE(N$5,1),tblAuftraege[Auftrag],$A76))</f>
        <v>0</v>
      </c>
      <c r="O76" s="11" t="n">
        <f aca="false">IF($A76="",0,SUMIFS(tblAuftraege[Ausgaben],tblAuftraege[Datum Ausgaben],"&gt;="&amp;O$5,tblAuftraege[Datum Ausgaben],"&lt;"&amp;EDATE(O$5,1),tblAuftraege[Auftrag],$A76))</f>
        <v>0</v>
      </c>
      <c r="P76" s="11" t="n">
        <f aca="false">IF($A76="",0,SUMIFS(tblAuftraege[Ausgaben],tblAuftraege[Datum Ausgaben],"&gt;="&amp;P$5,tblAuftraege[Datum Ausgaben],"&lt;"&amp;EDATE(P$5,1),tblAuftraege[Auftrag],$A76))</f>
        <v>0</v>
      </c>
      <c r="Q76" s="11" t="n">
        <f aca="false">IF($A76="",0,SUMIFS(tblAuftraege[Ausgaben],tblAuftraege[Datum Ausgaben],"&gt;="&amp;Q$5,tblAuftraege[Datum Ausgaben],"&lt;"&amp;EDATE(Q$5,1),tblAuftraege[Auftrag],$A76))</f>
        <v>0</v>
      </c>
      <c r="R76" s="11" t="n">
        <f aca="false">IF($A76="",0,SUMIFS(tblAuftraege[Ausgaben],tblAuftraege[Datum Ausgaben],"&gt;="&amp;R$5,tblAuftraege[Datum Ausgaben],"&lt;"&amp;EDATE(R$5,1),tblAuftraege[Auftrag],$A76))</f>
        <v>0</v>
      </c>
      <c r="S76" s="11" t="n">
        <f aca="false">IF($A76="",0,SUMIFS(tblAuftraege[Ausgaben],tblAuftraege[Datum Ausgaben],"&gt;="&amp;S$5,tblAuftraege[Datum Ausgaben],"&lt;"&amp;EDATE(S$5,1),tblAuftraege[Auftrag],$A76))</f>
        <v>0</v>
      </c>
      <c r="T76" s="11" t="n">
        <f aca="false">IF($A76="",0,SUMIFS(tblAuftraege[Ausgaben],tblAuftraege[Datum Ausgaben],"&gt;="&amp;T$5,tblAuftraege[Datum Ausgaben],"&lt;"&amp;EDATE(T$5,1),tblAuftraege[Auftrag],$A76))</f>
        <v>0</v>
      </c>
      <c r="U76" s="11" t="n">
        <f aca="false">IF($A76="",0,SUMIFS(tblAuftraege[Ausgaben],tblAuftraege[Datum Ausgaben],"&gt;="&amp;U$5,tblAuftraege[Datum Ausgaben],"&lt;"&amp;EDATE(U$5,1),tblAuftraege[Auftrag],$A76))</f>
        <v>0</v>
      </c>
      <c r="V76" s="11" t="n">
        <f aca="false">IF($A76="",0,SUMIFS(tblAuftraege[Ausgaben],tblAuftraege[Datum Ausgaben],"&gt;="&amp;V$5,tblAuftraege[Datum Ausgaben],"&lt;"&amp;EDATE(V$5,1),tblAuftraege[Auftrag],$A76))</f>
        <v>0</v>
      </c>
      <c r="W76" s="11" t="n">
        <f aca="false">IF($A76="",0,SUMIFS(tblAuftraege[Ausgaben],tblAuftraege[Datum Ausgaben],"&gt;="&amp;W$5,tblAuftraege[Datum Ausgaben],"&lt;"&amp;EDATE(W$5,1),tblAuftraege[Auftrag],$A76))</f>
        <v>0</v>
      </c>
      <c r="X76" s="11" t="n">
        <f aca="false">IF($A76="",0,SUMIFS(tblAuftraege[Ausgaben],tblAuftraege[Datum Ausgaben],"&gt;="&amp;X$5,tblAuftraege[Datum Ausgaben],"&lt;"&amp;EDATE(X$5,1),tblAuftraege[Auftrag],$A76))</f>
        <v>0</v>
      </c>
      <c r="Y76" s="11" t="n">
        <f aca="false">IF($A76="",0,SUMIFS(tblAuftraege[Ausgaben],tblAuftraege[Datum Ausgaben],"&gt;="&amp;Y$5,tblAuftraege[Datum Ausgaben],"&lt;"&amp;EDATE(Y$5,1),tblAuftraege[Auftrag],$A76))</f>
        <v>0</v>
      </c>
      <c r="Z76" s="11" t="n">
        <f aca="false">IF($A76="",0,SUMIFS(tblAuftraege[Ausgaben],tblAuftraege[Datum Ausgaben],"&gt;="&amp;Z$5,tblAuftraege[Datum Ausgaben],"&lt;"&amp;EDATE(Z$5,1),tblAuftraege[Auftrag],$A76))</f>
        <v>0</v>
      </c>
      <c r="AA76" s="11" t="n">
        <f aca="false">IF($A76="",0,SUMIFS(tblAuftraege[Ausgaben],tblAuftraege[Datum Ausgaben],"&gt;="&amp;AA$5,tblAuftraege[Datum Ausgaben],"&lt;"&amp;EDATE(AA$5,1),tblAuftraege[Auftrag],$A76))</f>
        <v>0</v>
      </c>
      <c r="AB76" s="11" t="n">
        <f aca="false">IF($A76="",0,SUMIFS(tblAuftraege[Ausgaben],tblAuftraege[Datum Ausgaben],"&gt;="&amp;AB$5,tblAuftraege[Datum Ausgaben],"&lt;"&amp;EDATE(AB$5,1),tblAuftraege[Auftrag],$A76))</f>
        <v>0</v>
      </c>
      <c r="AC76" s="11" t="n">
        <f aca="false">IF($A76="",0,SUMIFS(tblAuftraege[Ausgaben],tblAuftraege[Datum Ausgaben],"&gt;="&amp;AC$5,tblAuftraege[Datum Ausgaben],"&lt;"&amp;EDATE(AC$5,1),tblAuftraege[Auftrag],$A76))</f>
        <v>0</v>
      </c>
      <c r="AD76" s="11" t="n">
        <f aca="false">IF($A76="",0,SUMIFS(tblAuftraege[Ausgaben],tblAuftraege[Datum Ausgaben],"&gt;="&amp;AD$5,tblAuftraege[Datum Ausgaben],"&lt;"&amp;EDATE(AD$5,1),tblAuftraege[Auftrag],$A76))</f>
        <v>0</v>
      </c>
      <c r="AE76" s="11" t="n">
        <f aca="false">IF($A76="",0,SUMIFS(tblAuftraege[Ausgaben],tblAuftraege[Datum Ausgaben],"&gt;="&amp;AE$5,tblAuftraege[Datum Ausgaben],"&lt;"&amp;EDATE(AE$5,1),tblAuftraege[Auftrag],$A76))</f>
        <v>0</v>
      </c>
      <c r="AF76" s="11" t="n">
        <f aca="false">IF($A76="",0,SUMIFS(tblAuftraege[Ausgaben],tblAuftraege[Datum Ausgaben],"&gt;="&amp;AF$5,tblAuftraege[Datum Ausgaben],"&lt;"&amp;EDATE(AF$5,1),tblAuftraege[Auftrag],$A76))</f>
        <v>0</v>
      </c>
      <c r="AG76" s="11" t="n">
        <f aca="false">IF($A76="",0,SUMIFS(tblAuftraege[Ausgaben],tblAuftraege[Datum Ausgaben],"&gt;="&amp;AG$5,tblAuftraege[Datum Ausgaben],"&lt;"&amp;EDATE(AG$5,1),tblAuftraege[Auftrag],$A76))</f>
        <v>0</v>
      </c>
      <c r="AH76" s="11" t="n">
        <f aca="false">IF($A76="",0,SUMIFS(tblAuftraege[Ausgaben],tblAuftraege[Datum Ausgaben],"&gt;="&amp;AH$5,tblAuftraege[Datum Ausgaben],"&lt;"&amp;EDATE(AH$5,1),tblAuftraege[Auftrag],$A76))</f>
        <v>0</v>
      </c>
      <c r="AI76" s="11" t="n">
        <f aca="false">IF($A76="",0,SUMIFS(tblAuftraege[Ausgaben],tblAuftraege[Datum Ausgaben],"&gt;="&amp;AI$5,tblAuftraege[Datum Ausgaben],"&lt;"&amp;EDATE(AI$5,1),tblAuftraege[Auftrag],$A76))</f>
        <v>0</v>
      </c>
      <c r="AJ76" s="11" t="n">
        <f aca="false">IF($A76="",0,SUMIFS(tblAuftraege[Ausgaben],tblAuftraege[Datum Ausgaben],"&gt;="&amp;AJ$5,tblAuftraege[Datum Ausgaben],"&lt;"&amp;EDATE(AJ$5,1),tblAuftraege[Auftrag],$A76))</f>
        <v>0</v>
      </c>
      <c r="AK76" s="11" t="n">
        <f aca="false">IF($A76="",0,SUMIFS(tblAuftraege[Ausgaben],tblAuftraege[Datum Ausgaben],"&gt;="&amp;AK$5,tblAuftraege[Datum Ausgaben],"&lt;"&amp;EDATE(AK$5,1),tblAuftraege[Auftrag],$A76))</f>
        <v>0</v>
      </c>
      <c r="AL76" s="11" t="n">
        <f aca="false">IF($A76="",0,SUMIFS(tblAuftraege[Ausgaben],tblAuftraege[Datum Ausgaben],"&gt;="&amp;AL$5,tblAuftraege[Datum Ausgaben],"&lt;"&amp;EDATE(AL$5,1),tblAuftraege[Auftrag],$A76))</f>
        <v>0</v>
      </c>
      <c r="AM76" s="11" t="n">
        <f aca="false">IF($A76="",0,SUMIFS(tblAuftraege[Ausgaben],tblAuftraege[Datum Ausgaben],"&gt;="&amp;AM$5,tblAuftraege[Datum Ausgaben],"&lt;"&amp;EDATE(AM$5,1),tblAuftraege[Auftrag],$A76))</f>
        <v>0</v>
      </c>
      <c r="AN76" s="11" t="n">
        <f aca="false">IF($A76="",0,SUMIFS(tblAuftraege[Ausgaben],tblAuftraege[Datum Ausgaben],"&gt;="&amp;AN$5,tblAuftraege[Datum Ausgaben],"&lt;"&amp;EDATE(AN$5,1),tblAuftraege[Auftrag],$A76))</f>
        <v>0</v>
      </c>
      <c r="AO76" s="11" t="n">
        <f aca="false">IF($A76="",0,SUMIFS(tblAuftraege[Ausgaben],tblAuftraege[Datum Ausgaben],"&gt;="&amp;AO$5,tblAuftraege[Datum Ausgaben],"&lt;"&amp;EDATE(AO$5,1),tblAuftraege[Auftrag],$A76))</f>
        <v>0</v>
      </c>
      <c r="AP76" s="11" t="n">
        <f aca="false">IF($A76="",0,SUMIFS(tblAuftraege[Ausgaben],tblAuftraege[Datum Ausgaben],"&gt;="&amp;AP$5,tblAuftraege[Datum Ausgaben],"&lt;"&amp;EDATE(AP$5,1),tblAuftraege[Auftrag],$A76))</f>
        <v>0</v>
      </c>
      <c r="AQ76" s="11" t="n">
        <f aca="false">IF($A76="",0,SUMIFS(tblAuftraege[Ausgaben],tblAuftraege[Datum Ausgaben],"&gt;="&amp;AQ$5,tblAuftraege[Datum Ausgaben],"&lt;"&amp;EDATE(AQ$5,1),tblAuftraege[Auftrag],$A76))</f>
        <v>0</v>
      </c>
      <c r="AR76" s="11" t="n">
        <f aca="false">IF($A76="",0,SUMIFS(tblAuftraege[Ausgaben],tblAuftraege[Datum Ausgaben],"&gt;="&amp;AR$5,tblAuftraege[Datum Ausgaben],"&lt;"&amp;EDATE(AR$5,1),tblAuftraege[Auftrag],$A76))</f>
        <v>0</v>
      </c>
      <c r="AS76" s="11" t="n">
        <f aca="false">IF($A76="",0,SUMIFS(tblAuftraege[Ausgaben],tblAuftraege[Datum Ausgaben],"&gt;="&amp;AS$5,tblAuftraege[Datum Ausgaben],"&lt;"&amp;EDATE(AS$5,1),tblAuftraege[Auftrag],$A76))</f>
        <v>0</v>
      </c>
      <c r="AT76" s="11" t="n">
        <f aca="false">IF($A76="",0,SUMIFS(tblAuftraege[Ausgaben],tblAuftraege[Datum Ausgaben],"&gt;="&amp;AT$5,tblAuftraege[Datum Ausgaben],"&lt;"&amp;EDATE(AT$5,1),tblAuftraege[Auftrag],$A76))</f>
        <v>0</v>
      </c>
      <c r="AU76" s="11" t="n">
        <f aca="false">IF($A76="",0,SUMIFS(tblAuftraege[Ausgaben],tblAuftraege[Datum Ausgaben],"&gt;="&amp;AU$5,tblAuftraege[Datum Ausgaben],"&lt;"&amp;EDATE(AU$5,1),tblAuftraege[Auftrag],$A76))</f>
        <v>0</v>
      </c>
      <c r="AV76" s="11" t="n">
        <f aca="false">IF($A76="",0,SUMIFS(tblAuftraege[Ausgaben],tblAuftraege[Datum Ausgaben],"&gt;="&amp;AV$5,tblAuftraege[Datum Ausgaben],"&lt;"&amp;EDATE(AV$5,1),tblAuftraege[Auftrag],$A76))</f>
        <v>0</v>
      </c>
      <c r="AW76" s="11" t="n">
        <f aca="false">IF($A76="",0,SUMIFS(tblAuftraege[Ausgaben],tblAuftraege[Datum Ausgaben],"&gt;="&amp;AW$5,tblAuftraege[Datum Ausgaben],"&lt;"&amp;EDATE(AW$5,1),tblAuftraege[Auftrag],$A76))</f>
        <v>0</v>
      </c>
      <c r="AX76" s="11" t="n">
        <f aca="false">IF($A76="",0,SUMIFS(tblAuftraege[Ausgaben],tblAuftraege[Datum Ausgaben],"&gt;="&amp;AX$5,tblAuftraege[Datum Ausgaben],"&lt;"&amp;EDATE(AX$5,1),tblAuftraege[Auftrag],$A76))</f>
        <v>0</v>
      </c>
      <c r="AY76" s="11" t="n">
        <f aca="false">IF($A76="",0,SUMIFS(tblAuftraege[Ausgaben],tblAuftraege[Datum Ausgaben],"&gt;="&amp;AY$5,tblAuftraege[Datum Ausgaben],"&lt;"&amp;EDATE(AY$5,1),tblAuftraege[Auftrag],$A76))</f>
        <v>0</v>
      </c>
      <c r="AZ76" s="11" t="n">
        <f aca="false">IF($A76="",0,SUMIFS(tblAuftraege[Ausgaben],tblAuftraege[Datum Ausgaben],"&gt;="&amp;AZ$5,tblAuftraege[Datum Ausgaben],"&lt;"&amp;EDATE(AZ$5,1),tblAuftraege[Auftrag],$A76))</f>
        <v>0</v>
      </c>
      <c r="BA76" s="11" t="n">
        <f aca="false">IF($A76="",0,SUMIFS(tblAuftraege[Ausgaben],tblAuftraege[Datum Ausgaben],"&gt;="&amp;BA$5,tblAuftraege[Datum Ausgaben],"&lt;"&amp;EDATE(BA$5,1),tblAuftraege[Auftrag],$A76))</f>
        <v>0</v>
      </c>
      <c r="BB76" s="11" t="n">
        <f aca="false">IF($A76="",0,SUMIFS(tblAuftraege[Ausgaben],tblAuftraege[Datum Ausgaben],"&gt;="&amp;BB$5,tblAuftraege[Datum Ausgaben],"&lt;"&amp;EDATE(BB$5,1),tblAuftraege[Auftrag],$A76))</f>
        <v>0</v>
      </c>
      <c r="BC76" s="11" t="n">
        <f aca="false">IF($A76="",0,SUMIFS(tblAuftraege[Ausgaben],tblAuftraege[Datum Ausgaben],"&gt;="&amp;BC$5,tblAuftraege[Datum Ausgaben],"&lt;"&amp;EDATE(BC$5,1),tblAuftraege[Auftrag],$A76))</f>
        <v>0</v>
      </c>
      <c r="BD76" s="11" t="n">
        <f aca="false">IF($A76="",0,SUMIFS(tblAuftraege[Ausgaben],tblAuftraege[Datum Ausgaben],"&gt;="&amp;BD$5,tblAuftraege[Datum Ausgaben],"&lt;"&amp;EDATE(BD$5,1),tblAuftraege[Auftrag],$A76))</f>
        <v>0</v>
      </c>
      <c r="BE76" s="11" t="n">
        <f aca="false">IF($A76="",0,SUMIFS(tblAuftraege[Ausgaben],tblAuftraege[Datum Ausgaben],"&gt;="&amp;BE$5,tblAuftraege[Datum Ausgaben],"&lt;"&amp;EDATE(BE$5,1),tblAuftraege[Auftrag],$A76))</f>
        <v>0</v>
      </c>
      <c r="BF76" s="11" t="n">
        <f aca="false">IF($A76="",0,SUMIFS(tblAuftraege[Ausgaben],tblAuftraege[Datum Ausgaben],"&gt;="&amp;BF$5,tblAuftraege[Datum Ausgaben],"&lt;"&amp;EDATE(BF$5,1),tblAuftraege[Auftrag],$A76))</f>
        <v>0</v>
      </c>
      <c r="BG76" s="11" t="n">
        <f aca="false">SUM(E76:J76)</f>
        <v>0</v>
      </c>
      <c r="BH76" s="11" t="n">
        <f aca="false">SUM(K76:V76)</f>
        <v>0</v>
      </c>
      <c r="BI76" s="11" t="n">
        <f aca="false">SUM(W76:AH76)</f>
        <v>0</v>
      </c>
      <c r="BJ76" s="11" t="n">
        <f aca="false">SUM(AI76:AT76)</f>
        <v>0</v>
      </c>
      <c r="BK76" s="11" t="n">
        <f aca="false">SUM(AU76:BF76)</f>
        <v>0</v>
      </c>
      <c r="BL76" s="12" t="n">
        <f aca="false">SUM(E76:BF76)</f>
        <v>0</v>
      </c>
    </row>
    <row r="77" customFormat="false" ht="15" hidden="false" customHeight="false" outlineLevel="0" collapsed="false">
      <c r="A77" s="9"/>
      <c r="B77" s="10" t="str">
        <f aca="false">IF($A77="","",IFERROR(INDEX(tblAuftraege[Kostenstelle],MATCH($A77,tblAuftraege[Auftrag],0)),""))</f>
        <v/>
      </c>
      <c r="C77" s="10" t="str">
        <f aca="false">IF($A77="","",IFERROR(INDEX(tblAuftraege[Themenfeld],MATCH($A77,tblAuftraege[Auftrag],0)),""))</f>
        <v/>
      </c>
      <c r="D77" s="10" t="str">
        <f aca="false">IF($A77="","",IFERROR(INDEX(tblAuftraege[Kategorie],MATCH($A77,tblAuftraege[Auftrag],0)),""))</f>
        <v/>
      </c>
      <c r="E77" s="11" t="n">
        <f aca="false">IF($A77="",0,SUMIFS(tblAuftraege[Ausgaben],tblAuftraege[Datum Ausgaben],"&gt;="&amp;E$5,tblAuftraege[Datum Ausgaben],"&lt;"&amp;EDATE(E$5,1),tblAuftraege[Auftrag],$A77))</f>
        <v>0</v>
      </c>
      <c r="F77" s="11" t="n">
        <f aca="false">IF($A77="",0,SUMIFS(tblAuftraege[Ausgaben],tblAuftraege[Datum Ausgaben],"&gt;="&amp;F$5,tblAuftraege[Datum Ausgaben],"&lt;"&amp;EDATE(F$5,1),tblAuftraege[Auftrag],$A77))</f>
        <v>0</v>
      </c>
      <c r="G77" s="11" t="n">
        <f aca="false">IF($A77="",0,SUMIFS(tblAuftraege[Ausgaben],tblAuftraege[Datum Ausgaben],"&gt;="&amp;G$5,tblAuftraege[Datum Ausgaben],"&lt;"&amp;EDATE(G$5,1),tblAuftraege[Auftrag],$A77))</f>
        <v>0</v>
      </c>
      <c r="H77" s="11" t="n">
        <f aca="false">IF($A77="",0,SUMIFS(tblAuftraege[Ausgaben],tblAuftraege[Datum Ausgaben],"&gt;="&amp;H$5,tblAuftraege[Datum Ausgaben],"&lt;"&amp;EDATE(H$5,1),tblAuftraege[Auftrag],$A77))</f>
        <v>0</v>
      </c>
      <c r="I77" s="11" t="n">
        <f aca="false">IF($A77="",0,SUMIFS(tblAuftraege[Ausgaben],tblAuftraege[Datum Ausgaben],"&gt;="&amp;I$5,tblAuftraege[Datum Ausgaben],"&lt;"&amp;EDATE(I$5,1),tblAuftraege[Auftrag],$A77))</f>
        <v>0</v>
      </c>
      <c r="J77" s="11" t="n">
        <f aca="false">IF($A77="",0,SUMIFS(tblAuftraege[Ausgaben],tblAuftraege[Datum Ausgaben],"&gt;="&amp;J$5,tblAuftraege[Datum Ausgaben],"&lt;"&amp;EDATE(J$5,1),tblAuftraege[Auftrag],$A77))</f>
        <v>0</v>
      </c>
      <c r="K77" s="11" t="n">
        <f aca="false">IF($A77="",0,SUMIFS(tblAuftraege[Ausgaben],tblAuftraege[Datum Ausgaben],"&gt;="&amp;K$5,tblAuftraege[Datum Ausgaben],"&lt;"&amp;EDATE(K$5,1),tblAuftraege[Auftrag],$A77))</f>
        <v>0</v>
      </c>
      <c r="L77" s="11" t="n">
        <f aca="false">IF($A77="",0,SUMIFS(tblAuftraege[Ausgaben],tblAuftraege[Datum Ausgaben],"&gt;="&amp;L$5,tblAuftraege[Datum Ausgaben],"&lt;"&amp;EDATE(L$5,1),tblAuftraege[Auftrag],$A77))</f>
        <v>0</v>
      </c>
      <c r="M77" s="11" t="n">
        <f aca="false">IF($A77="",0,SUMIFS(tblAuftraege[Ausgaben],tblAuftraege[Datum Ausgaben],"&gt;="&amp;M$5,tblAuftraege[Datum Ausgaben],"&lt;"&amp;EDATE(M$5,1),tblAuftraege[Auftrag],$A77))</f>
        <v>0</v>
      </c>
      <c r="N77" s="11" t="n">
        <f aca="false">IF($A77="",0,SUMIFS(tblAuftraege[Ausgaben],tblAuftraege[Datum Ausgaben],"&gt;="&amp;N$5,tblAuftraege[Datum Ausgaben],"&lt;"&amp;EDATE(N$5,1),tblAuftraege[Auftrag],$A77))</f>
        <v>0</v>
      </c>
      <c r="O77" s="11" t="n">
        <f aca="false">IF($A77="",0,SUMIFS(tblAuftraege[Ausgaben],tblAuftraege[Datum Ausgaben],"&gt;="&amp;O$5,tblAuftraege[Datum Ausgaben],"&lt;"&amp;EDATE(O$5,1),tblAuftraege[Auftrag],$A77))</f>
        <v>0</v>
      </c>
      <c r="P77" s="11" t="n">
        <f aca="false">IF($A77="",0,SUMIFS(tblAuftraege[Ausgaben],tblAuftraege[Datum Ausgaben],"&gt;="&amp;P$5,tblAuftraege[Datum Ausgaben],"&lt;"&amp;EDATE(P$5,1),tblAuftraege[Auftrag],$A77))</f>
        <v>0</v>
      </c>
      <c r="Q77" s="11" t="n">
        <f aca="false">IF($A77="",0,SUMIFS(tblAuftraege[Ausgaben],tblAuftraege[Datum Ausgaben],"&gt;="&amp;Q$5,tblAuftraege[Datum Ausgaben],"&lt;"&amp;EDATE(Q$5,1),tblAuftraege[Auftrag],$A77))</f>
        <v>0</v>
      </c>
      <c r="R77" s="11" t="n">
        <f aca="false">IF($A77="",0,SUMIFS(tblAuftraege[Ausgaben],tblAuftraege[Datum Ausgaben],"&gt;="&amp;R$5,tblAuftraege[Datum Ausgaben],"&lt;"&amp;EDATE(R$5,1),tblAuftraege[Auftrag],$A77))</f>
        <v>0</v>
      </c>
      <c r="S77" s="11" t="n">
        <f aca="false">IF($A77="",0,SUMIFS(tblAuftraege[Ausgaben],tblAuftraege[Datum Ausgaben],"&gt;="&amp;S$5,tblAuftraege[Datum Ausgaben],"&lt;"&amp;EDATE(S$5,1),tblAuftraege[Auftrag],$A77))</f>
        <v>0</v>
      </c>
      <c r="T77" s="11" t="n">
        <f aca="false">IF($A77="",0,SUMIFS(tblAuftraege[Ausgaben],tblAuftraege[Datum Ausgaben],"&gt;="&amp;T$5,tblAuftraege[Datum Ausgaben],"&lt;"&amp;EDATE(T$5,1),tblAuftraege[Auftrag],$A77))</f>
        <v>0</v>
      </c>
      <c r="U77" s="11" t="n">
        <f aca="false">IF($A77="",0,SUMIFS(tblAuftraege[Ausgaben],tblAuftraege[Datum Ausgaben],"&gt;="&amp;U$5,tblAuftraege[Datum Ausgaben],"&lt;"&amp;EDATE(U$5,1),tblAuftraege[Auftrag],$A77))</f>
        <v>0</v>
      </c>
      <c r="V77" s="11" t="n">
        <f aca="false">IF($A77="",0,SUMIFS(tblAuftraege[Ausgaben],tblAuftraege[Datum Ausgaben],"&gt;="&amp;V$5,tblAuftraege[Datum Ausgaben],"&lt;"&amp;EDATE(V$5,1),tblAuftraege[Auftrag],$A77))</f>
        <v>0</v>
      </c>
      <c r="W77" s="11" t="n">
        <f aca="false">IF($A77="",0,SUMIFS(tblAuftraege[Ausgaben],tblAuftraege[Datum Ausgaben],"&gt;="&amp;W$5,tblAuftraege[Datum Ausgaben],"&lt;"&amp;EDATE(W$5,1),tblAuftraege[Auftrag],$A77))</f>
        <v>0</v>
      </c>
      <c r="X77" s="11" t="n">
        <f aca="false">IF($A77="",0,SUMIFS(tblAuftraege[Ausgaben],tblAuftraege[Datum Ausgaben],"&gt;="&amp;X$5,tblAuftraege[Datum Ausgaben],"&lt;"&amp;EDATE(X$5,1),tblAuftraege[Auftrag],$A77))</f>
        <v>0</v>
      </c>
      <c r="Y77" s="11" t="n">
        <f aca="false">IF($A77="",0,SUMIFS(tblAuftraege[Ausgaben],tblAuftraege[Datum Ausgaben],"&gt;="&amp;Y$5,tblAuftraege[Datum Ausgaben],"&lt;"&amp;EDATE(Y$5,1),tblAuftraege[Auftrag],$A77))</f>
        <v>0</v>
      </c>
      <c r="Z77" s="11" t="n">
        <f aca="false">IF($A77="",0,SUMIFS(tblAuftraege[Ausgaben],tblAuftraege[Datum Ausgaben],"&gt;="&amp;Z$5,tblAuftraege[Datum Ausgaben],"&lt;"&amp;EDATE(Z$5,1),tblAuftraege[Auftrag],$A77))</f>
        <v>0</v>
      </c>
      <c r="AA77" s="11" t="n">
        <f aca="false">IF($A77="",0,SUMIFS(tblAuftraege[Ausgaben],tblAuftraege[Datum Ausgaben],"&gt;="&amp;AA$5,tblAuftraege[Datum Ausgaben],"&lt;"&amp;EDATE(AA$5,1),tblAuftraege[Auftrag],$A77))</f>
        <v>0</v>
      </c>
      <c r="AB77" s="11" t="n">
        <f aca="false">IF($A77="",0,SUMIFS(tblAuftraege[Ausgaben],tblAuftraege[Datum Ausgaben],"&gt;="&amp;AB$5,tblAuftraege[Datum Ausgaben],"&lt;"&amp;EDATE(AB$5,1),tblAuftraege[Auftrag],$A77))</f>
        <v>0</v>
      </c>
      <c r="AC77" s="11" t="n">
        <f aca="false">IF($A77="",0,SUMIFS(tblAuftraege[Ausgaben],tblAuftraege[Datum Ausgaben],"&gt;="&amp;AC$5,tblAuftraege[Datum Ausgaben],"&lt;"&amp;EDATE(AC$5,1),tblAuftraege[Auftrag],$A77))</f>
        <v>0</v>
      </c>
      <c r="AD77" s="11" t="n">
        <f aca="false">IF($A77="",0,SUMIFS(tblAuftraege[Ausgaben],tblAuftraege[Datum Ausgaben],"&gt;="&amp;AD$5,tblAuftraege[Datum Ausgaben],"&lt;"&amp;EDATE(AD$5,1),tblAuftraege[Auftrag],$A77))</f>
        <v>0</v>
      </c>
      <c r="AE77" s="11" t="n">
        <f aca="false">IF($A77="",0,SUMIFS(tblAuftraege[Ausgaben],tblAuftraege[Datum Ausgaben],"&gt;="&amp;AE$5,tblAuftraege[Datum Ausgaben],"&lt;"&amp;EDATE(AE$5,1),tblAuftraege[Auftrag],$A77))</f>
        <v>0</v>
      </c>
      <c r="AF77" s="11" t="n">
        <f aca="false">IF($A77="",0,SUMIFS(tblAuftraege[Ausgaben],tblAuftraege[Datum Ausgaben],"&gt;="&amp;AF$5,tblAuftraege[Datum Ausgaben],"&lt;"&amp;EDATE(AF$5,1),tblAuftraege[Auftrag],$A77))</f>
        <v>0</v>
      </c>
      <c r="AG77" s="11" t="n">
        <f aca="false">IF($A77="",0,SUMIFS(tblAuftraege[Ausgaben],tblAuftraege[Datum Ausgaben],"&gt;="&amp;AG$5,tblAuftraege[Datum Ausgaben],"&lt;"&amp;EDATE(AG$5,1),tblAuftraege[Auftrag],$A77))</f>
        <v>0</v>
      </c>
      <c r="AH77" s="11" t="n">
        <f aca="false">IF($A77="",0,SUMIFS(tblAuftraege[Ausgaben],tblAuftraege[Datum Ausgaben],"&gt;="&amp;AH$5,tblAuftraege[Datum Ausgaben],"&lt;"&amp;EDATE(AH$5,1),tblAuftraege[Auftrag],$A77))</f>
        <v>0</v>
      </c>
      <c r="AI77" s="11" t="n">
        <f aca="false">IF($A77="",0,SUMIFS(tblAuftraege[Ausgaben],tblAuftraege[Datum Ausgaben],"&gt;="&amp;AI$5,tblAuftraege[Datum Ausgaben],"&lt;"&amp;EDATE(AI$5,1),tblAuftraege[Auftrag],$A77))</f>
        <v>0</v>
      </c>
      <c r="AJ77" s="11" t="n">
        <f aca="false">IF($A77="",0,SUMIFS(tblAuftraege[Ausgaben],tblAuftraege[Datum Ausgaben],"&gt;="&amp;AJ$5,tblAuftraege[Datum Ausgaben],"&lt;"&amp;EDATE(AJ$5,1),tblAuftraege[Auftrag],$A77))</f>
        <v>0</v>
      </c>
      <c r="AK77" s="11" t="n">
        <f aca="false">IF($A77="",0,SUMIFS(tblAuftraege[Ausgaben],tblAuftraege[Datum Ausgaben],"&gt;="&amp;AK$5,tblAuftraege[Datum Ausgaben],"&lt;"&amp;EDATE(AK$5,1),tblAuftraege[Auftrag],$A77))</f>
        <v>0</v>
      </c>
      <c r="AL77" s="11" t="n">
        <f aca="false">IF($A77="",0,SUMIFS(tblAuftraege[Ausgaben],tblAuftraege[Datum Ausgaben],"&gt;="&amp;AL$5,tblAuftraege[Datum Ausgaben],"&lt;"&amp;EDATE(AL$5,1),tblAuftraege[Auftrag],$A77))</f>
        <v>0</v>
      </c>
      <c r="AM77" s="11" t="n">
        <f aca="false">IF($A77="",0,SUMIFS(tblAuftraege[Ausgaben],tblAuftraege[Datum Ausgaben],"&gt;="&amp;AM$5,tblAuftraege[Datum Ausgaben],"&lt;"&amp;EDATE(AM$5,1),tblAuftraege[Auftrag],$A77))</f>
        <v>0</v>
      </c>
      <c r="AN77" s="11" t="n">
        <f aca="false">IF($A77="",0,SUMIFS(tblAuftraege[Ausgaben],tblAuftraege[Datum Ausgaben],"&gt;="&amp;AN$5,tblAuftraege[Datum Ausgaben],"&lt;"&amp;EDATE(AN$5,1),tblAuftraege[Auftrag],$A77))</f>
        <v>0</v>
      </c>
      <c r="AO77" s="11" t="n">
        <f aca="false">IF($A77="",0,SUMIFS(tblAuftraege[Ausgaben],tblAuftraege[Datum Ausgaben],"&gt;="&amp;AO$5,tblAuftraege[Datum Ausgaben],"&lt;"&amp;EDATE(AO$5,1),tblAuftraege[Auftrag],$A77))</f>
        <v>0</v>
      </c>
      <c r="AP77" s="11" t="n">
        <f aca="false">IF($A77="",0,SUMIFS(tblAuftraege[Ausgaben],tblAuftraege[Datum Ausgaben],"&gt;="&amp;AP$5,tblAuftraege[Datum Ausgaben],"&lt;"&amp;EDATE(AP$5,1),tblAuftraege[Auftrag],$A77))</f>
        <v>0</v>
      </c>
      <c r="AQ77" s="11" t="n">
        <f aca="false">IF($A77="",0,SUMIFS(tblAuftraege[Ausgaben],tblAuftraege[Datum Ausgaben],"&gt;="&amp;AQ$5,tblAuftraege[Datum Ausgaben],"&lt;"&amp;EDATE(AQ$5,1),tblAuftraege[Auftrag],$A77))</f>
        <v>0</v>
      </c>
      <c r="AR77" s="11" t="n">
        <f aca="false">IF($A77="",0,SUMIFS(tblAuftraege[Ausgaben],tblAuftraege[Datum Ausgaben],"&gt;="&amp;AR$5,tblAuftraege[Datum Ausgaben],"&lt;"&amp;EDATE(AR$5,1),tblAuftraege[Auftrag],$A77))</f>
        <v>0</v>
      </c>
      <c r="AS77" s="11" t="n">
        <f aca="false">IF($A77="",0,SUMIFS(tblAuftraege[Ausgaben],tblAuftraege[Datum Ausgaben],"&gt;="&amp;AS$5,tblAuftraege[Datum Ausgaben],"&lt;"&amp;EDATE(AS$5,1),tblAuftraege[Auftrag],$A77))</f>
        <v>0</v>
      </c>
      <c r="AT77" s="11" t="n">
        <f aca="false">IF($A77="",0,SUMIFS(tblAuftraege[Ausgaben],tblAuftraege[Datum Ausgaben],"&gt;="&amp;AT$5,tblAuftraege[Datum Ausgaben],"&lt;"&amp;EDATE(AT$5,1),tblAuftraege[Auftrag],$A77))</f>
        <v>0</v>
      </c>
      <c r="AU77" s="11" t="n">
        <f aca="false">IF($A77="",0,SUMIFS(tblAuftraege[Ausgaben],tblAuftraege[Datum Ausgaben],"&gt;="&amp;AU$5,tblAuftraege[Datum Ausgaben],"&lt;"&amp;EDATE(AU$5,1),tblAuftraege[Auftrag],$A77))</f>
        <v>0</v>
      </c>
      <c r="AV77" s="11" t="n">
        <f aca="false">IF($A77="",0,SUMIFS(tblAuftraege[Ausgaben],tblAuftraege[Datum Ausgaben],"&gt;="&amp;AV$5,tblAuftraege[Datum Ausgaben],"&lt;"&amp;EDATE(AV$5,1),tblAuftraege[Auftrag],$A77))</f>
        <v>0</v>
      </c>
      <c r="AW77" s="11" t="n">
        <f aca="false">IF($A77="",0,SUMIFS(tblAuftraege[Ausgaben],tblAuftraege[Datum Ausgaben],"&gt;="&amp;AW$5,tblAuftraege[Datum Ausgaben],"&lt;"&amp;EDATE(AW$5,1),tblAuftraege[Auftrag],$A77))</f>
        <v>0</v>
      </c>
      <c r="AX77" s="11" t="n">
        <f aca="false">IF($A77="",0,SUMIFS(tblAuftraege[Ausgaben],tblAuftraege[Datum Ausgaben],"&gt;="&amp;AX$5,tblAuftraege[Datum Ausgaben],"&lt;"&amp;EDATE(AX$5,1),tblAuftraege[Auftrag],$A77))</f>
        <v>0</v>
      </c>
      <c r="AY77" s="11" t="n">
        <f aca="false">IF($A77="",0,SUMIFS(tblAuftraege[Ausgaben],tblAuftraege[Datum Ausgaben],"&gt;="&amp;AY$5,tblAuftraege[Datum Ausgaben],"&lt;"&amp;EDATE(AY$5,1),tblAuftraege[Auftrag],$A77))</f>
        <v>0</v>
      </c>
      <c r="AZ77" s="11" t="n">
        <f aca="false">IF($A77="",0,SUMIFS(tblAuftraege[Ausgaben],tblAuftraege[Datum Ausgaben],"&gt;="&amp;AZ$5,tblAuftraege[Datum Ausgaben],"&lt;"&amp;EDATE(AZ$5,1),tblAuftraege[Auftrag],$A77))</f>
        <v>0</v>
      </c>
      <c r="BA77" s="11" t="n">
        <f aca="false">IF($A77="",0,SUMIFS(tblAuftraege[Ausgaben],tblAuftraege[Datum Ausgaben],"&gt;="&amp;BA$5,tblAuftraege[Datum Ausgaben],"&lt;"&amp;EDATE(BA$5,1),tblAuftraege[Auftrag],$A77))</f>
        <v>0</v>
      </c>
      <c r="BB77" s="11" t="n">
        <f aca="false">IF($A77="",0,SUMIFS(tblAuftraege[Ausgaben],tblAuftraege[Datum Ausgaben],"&gt;="&amp;BB$5,tblAuftraege[Datum Ausgaben],"&lt;"&amp;EDATE(BB$5,1),tblAuftraege[Auftrag],$A77))</f>
        <v>0</v>
      </c>
      <c r="BC77" s="11" t="n">
        <f aca="false">IF($A77="",0,SUMIFS(tblAuftraege[Ausgaben],tblAuftraege[Datum Ausgaben],"&gt;="&amp;BC$5,tblAuftraege[Datum Ausgaben],"&lt;"&amp;EDATE(BC$5,1),tblAuftraege[Auftrag],$A77))</f>
        <v>0</v>
      </c>
      <c r="BD77" s="11" t="n">
        <f aca="false">IF($A77="",0,SUMIFS(tblAuftraege[Ausgaben],tblAuftraege[Datum Ausgaben],"&gt;="&amp;BD$5,tblAuftraege[Datum Ausgaben],"&lt;"&amp;EDATE(BD$5,1),tblAuftraege[Auftrag],$A77))</f>
        <v>0</v>
      </c>
      <c r="BE77" s="11" t="n">
        <f aca="false">IF($A77="",0,SUMIFS(tblAuftraege[Ausgaben],tblAuftraege[Datum Ausgaben],"&gt;="&amp;BE$5,tblAuftraege[Datum Ausgaben],"&lt;"&amp;EDATE(BE$5,1),tblAuftraege[Auftrag],$A77))</f>
        <v>0</v>
      </c>
      <c r="BF77" s="11" t="n">
        <f aca="false">IF($A77="",0,SUMIFS(tblAuftraege[Ausgaben],tblAuftraege[Datum Ausgaben],"&gt;="&amp;BF$5,tblAuftraege[Datum Ausgaben],"&lt;"&amp;EDATE(BF$5,1),tblAuftraege[Auftrag],$A77))</f>
        <v>0</v>
      </c>
      <c r="BG77" s="11" t="n">
        <f aca="false">SUM(E77:J77)</f>
        <v>0</v>
      </c>
      <c r="BH77" s="11" t="n">
        <f aca="false">SUM(K77:V77)</f>
        <v>0</v>
      </c>
      <c r="BI77" s="11" t="n">
        <f aca="false">SUM(W77:AH77)</f>
        <v>0</v>
      </c>
      <c r="BJ77" s="11" t="n">
        <f aca="false">SUM(AI77:AT77)</f>
        <v>0</v>
      </c>
      <c r="BK77" s="11" t="n">
        <f aca="false">SUM(AU77:BF77)</f>
        <v>0</v>
      </c>
      <c r="BL77" s="12" t="n">
        <f aca="false">SUM(E77:BF77)</f>
        <v>0</v>
      </c>
    </row>
    <row r="78" customFormat="false" ht="15" hidden="false" customHeight="false" outlineLevel="0" collapsed="false">
      <c r="A78" s="9"/>
      <c r="B78" s="10" t="str">
        <f aca="false">IF($A78="","",IFERROR(INDEX(tblAuftraege[Kostenstelle],MATCH($A78,tblAuftraege[Auftrag],0)),""))</f>
        <v/>
      </c>
      <c r="C78" s="10" t="str">
        <f aca="false">IF($A78="","",IFERROR(INDEX(tblAuftraege[Themenfeld],MATCH($A78,tblAuftraege[Auftrag],0)),""))</f>
        <v/>
      </c>
      <c r="D78" s="10" t="str">
        <f aca="false">IF($A78="","",IFERROR(INDEX(tblAuftraege[Kategorie],MATCH($A78,tblAuftraege[Auftrag],0)),""))</f>
        <v/>
      </c>
      <c r="E78" s="11" t="n">
        <f aca="false">IF($A78="",0,SUMIFS(tblAuftraege[Ausgaben],tblAuftraege[Datum Ausgaben],"&gt;="&amp;E$5,tblAuftraege[Datum Ausgaben],"&lt;"&amp;EDATE(E$5,1),tblAuftraege[Auftrag],$A78))</f>
        <v>0</v>
      </c>
      <c r="F78" s="11" t="n">
        <f aca="false">IF($A78="",0,SUMIFS(tblAuftraege[Ausgaben],tblAuftraege[Datum Ausgaben],"&gt;="&amp;F$5,tblAuftraege[Datum Ausgaben],"&lt;"&amp;EDATE(F$5,1),tblAuftraege[Auftrag],$A78))</f>
        <v>0</v>
      </c>
      <c r="G78" s="11" t="n">
        <f aca="false">IF($A78="",0,SUMIFS(tblAuftraege[Ausgaben],tblAuftraege[Datum Ausgaben],"&gt;="&amp;G$5,tblAuftraege[Datum Ausgaben],"&lt;"&amp;EDATE(G$5,1),tblAuftraege[Auftrag],$A78))</f>
        <v>0</v>
      </c>
      <c r="H78" s="11" t="n">
        <f aca="false">IF($A78="",0,SUMIFS(tblAuftraege[Ausgaben],tblAuftraege[Datum Ausgaben],"&gt;="&amp;H$5,tblAuftraege[Datum Ausgaben],"&lt;"&amp;EDATE(H$5,1),tblAuftraege[Auftrag],$A78))</f>
        <v>0</v>
      </c>
      <c r="I78" s="11" t="n">
        <f aca="false">IF($A78="",0,SUMIFS(tblAuftraege[Ausgaben],tblAuftraege[Datum Ausgaben],"&gt;="&amp;I$5,tblAuftraege[Datum Ausgaben],"&lt;"&amp;EDATE(I$5,1),tblAuftraege[Auftrag],$A78))</f>
        <v>0</v>
      </c>
      <c r="J78" s="11" t="n">
        <f aca="false">IF($A78="",0,SUMIFS(tblAuftraege[Ausgaben],tblAuftraege[Datum Ausgaben],"&gt;="&amp;J$5,tblAuftraege[Datum Ausgaben],"&lt;"&amp;EDATE(J$5,1),tblAuftraege[Auftrag],$A78))</f>
        <v>0</v>
      </c>
      <c r="K78" s="11" t="n">
        <f aca="false">IF($A78="",0,SUMIFS(tblAuftraege[Ausgaben],tblAuftraege[Datum Ausgaben],"&gt;="&amp;K$5,tblAuftraege[Datum Ausgaben],"&lt;"&amp;EDATE(K$5,1),tblAuftraege[Auftrag],$A78))</f>
        <v>0</v>
      </c>
      <c r="L78" s="11" t="n">
        <f aca="false">IF($A78="",0,SUMIFS(tblAuftraege[Ausgaben],tblAuftraege[Datum Ausgaben],"&gt;="&amp;L$5,tblAuftraege[Datum Ausgaben],"&lt;"&amp;EDATE(L$5,1),tblAuftraege[Auftrag],$A78))</f>
        <v>0</v>
      </c>
      <c r="M78" s="11" t="n">
        <f aca="false">IF($A78="",0,SUMIFS(tblAuftraege[Ausgaben],tblAuftraege[Datum Ausgaben],"&gt;="&amp;M$5,tblAuftraege[Datum Ausgaben],"&lt;"&amp;EDATE(M$5,1),tblAuftraege[Auftrag],$A78))</f>
        <v>0</v>
      </c>
      <c r="N78" s="11" t="n">
        <f aca="false">IF($A78="",0,SUMIFS(tblAuftraege[Ausgaben],tblAuftraege[Datum Ausgaben],"&gt;="&amp;N$5,tblAuftraege[Datum Ausgaben],"&lt;"&amp;EDATE(N$5,1),tblAuftraege[Auftrag],$A78))</f>
        <v>0</v>
      </c>
      <c r="O78" s="11" t="n">
        <f aca="false">IF($A78="",0,SUMIFS(tblAuftraege[Ausgaben],tblAuftraege[Datum Ausgaben],"&gt;="&amp;O$5,tblAuftraege[Datum Ausgaben],"&lt;"&amp;EDATE(O$5,1),tblAuftraege[Auftrag],$A78))</f>
        <v>0</v>
      </c>
      <c r="P78" s="11" t="n">
        <f aca="false">IF($A78="",0,SUMIFS(tblAuftraege[Ausgaben],tblAuftraege[Datum Ausgaben],"&gt;="&amp;P$5,tblAuftraege[Datum Ausgaben],"&lt;"&amp;EDATE(P$5,1),tblAuftraege[Auftrag],$A78))</f>
        <v>0</v>
      </c>
      <c r="Q78" s="11" t="n">
        <f aca="false">IF($A78="",0,SUMIFS(tblAuftraege[Ausgaben],tblAuftraege[Datum Ausgaben],"&gt;="&amp;Q$5,tblAuftraege[Datum Ausgaben],"&lt;"&amp;EDATE(Q$5,1),tblAuftraege[Auftrag],$A78))</f>
        <v>0</v>
      </c>
      <c r="R78" s="11" t="n">
        <f aca="false">IF($A78="",0,SUMIFS(tblAuftraege[Ausgaben],tblAuftraege[Datum Ausgaben],"&gt;="&amp;R$5,tblAuftraege[Datum Ausgaben],"&lt;"&amp;EDATE(R$5,1),tblAuftraege[Auftrag],$A78))</f>
        <v>0</v>
      </c>
      <c r="S78" s="11" t="n">
        <f aca="false">IF($A78="",0,SUMIFS(tblAuftraege[Ausgaben],tblAuftraege[Datum Ausgaben],"&gt;="&amp;S$5,tblAuftraege[Datum Ausgaben],"&lt;"&amp;EDATE(S$5,1),tblAuftraege[Auftrag],$A78))</f>
        <v>0</v>
      </c>
      <c r="T78" s="11" t="n">
        <f aca="false">IF($A78="",0,SUMIFS(tblAuftraege[Ausgaben],tblAuftraege[Datum Ausgaben],"&gt;="&amp;T$5,tblAuftraege[Datum Ausgaben],"&lt;"&amp;EDATE(T$5,1),tblAuftraege[Auftrag],$A78))</f>
        <v>0</v>
      </c>
      <c r="U78" s="11" t="n">
        <f aca="false">IF($A78="",0,SUMIFS(tblAuftraege[Ausgaben],tblAuftraege[Datum Ausgaben],"&gt;="&amp;U$5,tblAuftraege[Datum Ausgaben],"&lt;"&amp;EDATE(U$5,1),tblAuftraege[Auftrag],$A78))</f>
        <v>0</v>
      </c>
      <c r="V78" s="11" t="n">
        <f aca="false">IF($A78="",0,SUMIFS(tblAuftraege[Ausgaben],tblAuftraege[Datum Ausgaben],"&gt;="&amp;V$5,tblAuftraege[Datum Ausgaben],"&lt;"&amp;EDATE(V$5,1),tblAuftraege[Auftrag],$A78))</f>
        <v>0</v>
      </c>
      <c r="W78" s="11" t="n">
        <f aca="false">IF($A78="",0,SUMIFS(tblAuftraege[Ausgaben],tblAuftraege[Datum Ausgaben],"&gt;="&amp;W$5,tblAuftraege[Datum Ausgaben],"&lt;"&amp;EDATE(W$5,1),tblAuftraege[Auftrag],$A78))</f>
        <v>0</v>
      </c>
      <c r="X78" s="11" t="n">
        <f aca="false">IF($A78="",0,SUMIFS(tblAuftraege[Ausgaben],tblAuftraege[Datum Ausgaben],"&gt;="&amp;X$5,tblAuftraege[Datum Ausgaben],"&lt;"&amp;EDATE(X$5,1),tblAuftraege[Auftrag],$A78))</f>
        <v>0</v>
      </c>
      <c r="Y78" s="11" t="n">
        <f aca="false">IF($A78="",0,SUMIFS(tblAuftraege[Ausgaben],tblAuftraege[Datum Ausgaben],"&gt;="&amp;Y$5,tblAuftraege[Datum Ausgaben],"&lt;"&amp;EDATE(Y$5,1),tblAuftraege[Auftrag],$A78))</f>
        <v>0</v>
      </c>
      <c r="Z78" s="11" t="n">
        <f aca="false">IF($A78="",0,SUMIFS(tblAuftraege[Ausgaben],tblAuftraege[Datum Ausgaben],"&gt;="&amp;Z$5,tblAuftraege[Datum Ausgaben],"&lt;"&amp;EDATE(Z$5,1),tblAuftraege[Auftrag],$A78))</f>
        <v>0</v>
      </c>
      <c r="AA78" s="11" t="n">
        <f aca="false">IF($A78="",0,SUMIFS(tblAuftraege[Ausgaben],tblAuftraege[Datum Ausgaben],"&gt;="&amp;AA$5,tblAuftraege[Datum Ausgaben],"&lt;"&amp;EDATE(AA$5,1),tblAuftraege[Auftrag],$A78))</f>
        <v>0</v>
      </c>
      <c r="AB78" s="11" t="n">
        <f aca="false">IF($A78="",0,SUMIFS(tblAuftraege[Ausgaben],tblAuftraege[Datum Ausgaben],"&gt;="&amp;AB$5,tblAuftraege[Datum Ausgaben],"&lt;"&amp;EDATE(AB$5,1),tblAuftraege[Auftrag],$A78))</f>
        <v>0</v>
      </c>
      <c r="AC78" s="11" t="n">
        <f aca="false">IF($A78="",0,SUMIFS(tblAuftraege[Ausgaben],tblAuftraege[Datum Ausgaben],"&gt;="&amp;AC$5,tblAuftraege[Datum Ausgaben],"&lt;"&amp;EDATE(AC$5,1),tblAuftraege[Auftrag],$A78))</f>
        <v>0</v>
      </c>
      <c r="AD78" s="11" t="n">
        <f aca="false">IF($A78="",0,SUMIFS(tblAuftraege[Ausgaben],tblAuftraege[Datum Ausgaben],"&gt;="&amp;AD$5,tblAuftraege[Datum Ausgaben],"&lt;"&amp;EDATE(AD$5,1),tblAuftraege[Auftrag],$A78))</f>
        <v>0</v>
      </c>
      <c r="AE78" s="11" t="n">
        <f aca="false">IF($A78="",0,SUMIFS(tblAuftraege[Ausgaben],tblAuftraege[Datum Ausgaben],"&gt;="&amp;AE$5,tblAuftraege[Datum Ausgaben],"&lt;"&amp;EDATE(AE$5,1),tblAuftraege[Auftrag],$A78))</f>
        <v>0</v>
      </c>
      <c r="AF78" s="11" t="n">
        <f aca="false">IF($A78="",0,SUMIFS(tblAuftraege[Ausgaben],tblAuftraege[Datum Ausgaben],"&gt;="&amp;AF$5,tblAuftraege[Datum Ausgaben],"&lt;"&amp;EDATE(AF$5,1),tblAuftraege[Auftrag],$A78))</f>
        <v>0</v>
      </c>
      <c r="AG78" s="11" t="n">
        <f aca="false">IF($A78="",0,SUMIFS(tblAuftraege[Ausgaben],tblAuftraege[Datum Ausgaben],"&gt;="&amp;AG$5,tblAuftraege[Datum Ausgaben],"&lt;"&amp;EDATE(AG$5,1),tblAuftraege[Auftrag],$A78))</f>
        <v>0</v>
      </c>
      <c r="AH78" s="11" t="n">
        <f aca="false">IF($A78="",0,SUMIFS(tblAuftraege[Ausgaben],tblAuftraege[Datum Ausgaben],"&gt;="&amp;AH$5,tblAuftraege[Datum Ausgaben],"&lt;"&amp;EDATE(AH$5,1),tblAuftraege[Auftrag],$A78))</f>
        <v>0</v>
      </c>
      <c r="AI78" s="11" t="n">
        <f aca="false">IF($A78="",0,SUMIFS(tblAuftraege[Ausgaben],tblAuftraege[Datum Ausgaben],"&gt;="&amp;AI$5,tblAuftraege[Datum Ausgaben],"&lt;"&amp;EDATE(AI$5,1),tblAuftraege[Auftrag],$A78))</f>
        <v>0</v>
      </c>
      <c r="AJ78" s="11" t="n">
        <f aca="false">IF($A78="",0,SUMIFS(tblAuftraege[Ausgaben],tblAuftraege[Datum Ausgaben],"&gt;="&amp;AJ$5,tblAuftraege[Datum Ausgaben],"&lt;"&amp;EDATE(AJ$5,1),tblAuftraege[Auftrag],$A78))</f>
        <v>0</v>
      </c>
      <c r="AK78" s="11" t="n">
        <f aca="false">IF($A78="",0,SUMIFS(tblAuftraege[Ausgaben],tblAuftraege[Datum Ausgaben],"&gt;="&amp;AK$5,tblAuftraege[Datum Ausgaben],"&lt;"&amp;EDATE(AK$5,1),tblAuftraege[Auftrag],$A78))</f>
        <v>0</v>
      </c>
      <c r="AL78" s="11" t="n">
        <f aca="false">IF($A78="",0,SUMIFS(tblAuftraege[Ausgaben],tblAuftraege[Datum Ausgaben],"&gt;="&amp;AL$5,tblAuftraege[Datum Ausgaben],"&lt;"&amp;EDATE(AL$5,1),tblAuftraege[Auftrag],$A78))</f>
        <v>0</v>
      </c>
      <c r="AM78" s="11" t="n">
        <f aca="false">IF($A78="",0,SUMIFS(tblAuftraege[Ausgaben],tblAuftraege[Datum Ausgaben],"&gt;="&amp;AM$5,tblAuftraege[Datum Ausgaben],"&lt;"&amp;EDATE(AM$5,1),tblAuftraege[Auftrag],$A78))</f>
        <v>0</v>
      </c>
      <c r="AN78" s="11" t="n">
        <f aca="false">IF($A78="",0,SUMIFS(tblAuftraege[Ausgaben],tblAuftraege[Datum Ausgaben],"&gt;="&amp;AN$5,tblAuftraege[Datum Ausgaben],"&lt;"&amp;EDATE(AN$5,1),tblAuftraege[Auftrag],$A78))</f>
        <v>0</v>
      </c>
      <c r="AO78" s="11" t="n">
        <f aca="false">IF($A78="",0,SUMIFS(tblAuftraege[Ausgaben],tblAuftraege[Datum Ausgaben],"&gt;="&amp;AO$5,tblAuftraege[Datum Ausgaben],"&lt;"&amp;EDATE(AO$5,1),tblAuftraege[Auftrag],$A78))</f>
        <v>0</v>
      </c>
      <c r="AP78" s="11" t="n">
        <f aca="false">IF($A78="",0,SUMIFS(tblAuftraege[Ausgaben],tblAuftraege[Datum Ausgaben],"&gt;="&amp;AP$5,tblAuftraege[Datum Ausgaben],"&lt;"&amp;EDATE(AP$5,1),tblAuftraege[Auftrag],$A78))</f>
        <v>0</v>
      </c>
      <c r="AQ78" s="11" t="n">
        <f aca="false">IF($A78="",0,SUMIFS(tblAuftraege[Ausgaben],tblAuftraege[Datum Ausgaben],"&gt;="&amp;AQ$5,tblAuftraege[Datum Ausgaben],"&lt;"&amp;EDATE(AQ$5,1),tblAuftraege[Auftrag],$A78))</f>
        <v>0</v>
      </c>
      <c r="AR78" s="11" t="n">
        <f aca="false">IF($A78="",0,SUMIFS(tblAuftraege[Ausgaben],tblAuftraege[Datum Ausgaben],"&gt;="&amp;AR$5,tblAuftraege[Datum Ausgaben],"&lt;"&amp;EDATE(AR$5,1),tblAuftraege[Auftrag],$A78))</f>
        <v>0</v>
      </c>
      <c r="AS78" s="11" t="n">
        <f aca="false">IF($A78="",0,SUMIFS(tblAuftraege[Ausgaben],tblAuftraege[Datum Ausgaben],"&gt;="&amp;AS$5,tblAuftraege[Datum Ausgaben],"&lt;"&amp;EDATE(AS$5,1),tblAuftraege[Auftrag],$A78))</f>
        <v>0</v>
      </c>
      <c r="AT78" s="11" t="n">
        <f aca="false">IF($A78="",0,SUMIFS(tblAuftraege[Ausgaben],tblAuftraege[Datum Ausgaben],"&gt;="&amp;AT$5,tblAuftraege[Datum Ausgaben],"&lt;"&amp;EDATE(AT$5,1),tblAuftraege[Auftrag],$A78))</f>
        <v>0</v>
      </c>
      <c r="AU78" s="11" t="n">
        <f aca="false">IF($A78="",0,SUMIFS(tblAuftraege[Ausgaben],tblAuftraege[Datum Ausgaben],"&gt;="&amp;AU$5,tblAuftraege[Datum Ausgaben],"&lt;"&amp;EDATE(AU$5,1),tblAuftraege[Auftrag],$A78))</f>
        <v>0</v>
      </c>
      <c r="AV78" s="11" t="n">
        <f aca="false">IF($A78="",0,SUMIFS(tblAuftraege[Ausgaben],tblAuftraege[Datum Ausgaben],"&gt;="&amp;AV$5,tblAuftraege[Datum Ausgaben],"&lt;"&amp;EDATE(AV$5,1),tblAuftraege[Auftrag],$A78))</f>
        <v>0</v>
      </c>
      <c r="AW78" s="11" t="n">
        <f aca="false">IF($A78="",0,SUMIFS(tblAuftraege[Ausgaben],tblAuftraege[Datum Ausgaben],"&gt;="&amp;AW$5,tblAuftraege[Datum Ausgaben],"&lt;"&amp;EDATE(AW$5,1),tblAuftraege[Auftrag],$A78))</f>
        <v>0</v>
      </c>
      <c r="AX78" s="11" t="n">
        <f aca="false">IF($A78="",0,SUMIFS(tblAuftraege[Ausgaben],tblAuftraege[Datum Ausgaben],"&gt;="&amp;AX$5,tblAuftraege[Datum Ausgaben],"&lt;"&amp;EDATE(AX$5,1),tblAuftraege[Auftrag],$A78))</f>
        <v>0</v>
      </c>
      <c r="AY78" s="11" t="n">
        <f aca="false">IF($A78="",0,SUMIFS(tblAuftraege[Ausgaben],tblAuftraege[Datum Ausgaben],"&gt;="&amp;AY$5,tblAuftraege[Datum Ausgaben],"&lt;"&amp;EDATE(AY$5,1),tblAuftraege[Auftrag],$A78))</f>
        <v>0</v>
      </c>
      <c r="AZ78" s="11" t="n">
        <f aca="false">IF($A78="",0,SUMIFS(tblAuftraege[Ausgaben],tblAuftraege[Datum Ausgaben],"&gt;="&amp;AZ$5,tblAuftraege[Datum Ausgaben],"&lt;"&amp;EDATE(AZ$5,1),tblAuftraege[Auftrag],$A78))</f>
        <v>0</v>
      </c>
      <c r="BA78" s="11" t="n">
        <f aca="false">IF($A78="",0,SUMIFS(tblAuftraege[Ausgaben],tblAuftraege[Datum Ausgaben],"&gt;="&amp;BA$5,tblAuftraege[Datum Ausgaben],"&lt;"&amp;EDATE(BA$5,1),tblAuftraege[Auftrag],$A78))</f>
        <v>0</v>
      </c>
      <c r="BB78" s="11" t="n">
        <f aca="false">IF($A78="",0,SUMIFS(tblAuftraege[Ausgaben],tblAuftraege[Datum Ausgaben],"&gt;="&amp;BB$5,tblAuftraege[Datum Ausgaben],"&lt;"&amp;EDATE(BB$5,1),tblAuftraege[Auftrag],$A78))</f>
        <v>0</v>
      </c>
      <c r="BC78" s="11" t="n">
        <f aca="false">IF($A78="",0,SUMIFS(tblAuftraege[Ausgaben],tblAuftraege[Datum Ausgaben],"&gt;="&amp;BC$5,tblAuftraege[Datum Ausgaben],"&lt;"&amp;EDATE(BC$5,1),tblAuftraege[Auftrag],$A78))</f>
        <v>0</v>
      </c>
      <c r="BD78" s="11" t="n">
        <f aca="false">IF($A78="",0,SUMIFS(tblAuftraege[Ausgaben],tblAuftraege[Datum Ausgaben],"&gt;="&amp;BD$5,tblAuftraege[Datum Ausgaben],"&lt;"&amp;EDATE(BD$5,1),tblAuftraege[Auftrag],$A78))</f>
        <v>0</v>
      </c>
      <c r="BE78" s="11" t="n">
        <f aca="false">IF($A78="",0,SUMIFS(tblAuftraege[Ausgaben],tblAuftraege[Datum Ausgaben],"&gt;="&amp;BE$5,tblAuftraege[Datum Ausgaben],"&lt;"&amp;EDATE(BE$5,1),tblAuftraege[Auftrag],$A78))</f>
        <v>0</v>
      </c>
      <c r="BF78" s="11" t="n">
        <f aca="false">IF($A78="",0,SUMIFS(tblAuftraege[Ausgaben],tblAuftraege[Datum Ausgaben],"&gt;="&amp;BF$5,tblAuftraege[Datum Ausgaben],"&lt;"&amp;EDATE(BF$5,1),tblAuftraege[Auftrag],$A78))</f>
        <v>0</v>
      </c>
      <c r="BG78" s="11" t="n">
        <f aca="false">SUM(E78:J78)</f>
        <v>0</v>
      </c>
      <c r="BH78" s="11" t="n">
        <f aca="false">SUM(K78:V78)</f>
        <v>0</v>
      </c>
      <c r="BI78" s="11" t="n">
        <f aca="false">SUM(W78:AH78)</f>
        <v>0</v>
      </c>
      <c r="BJ78" s="11" t="n">
        <f aca="false">SUM(AI78:AT78)</f>
        <v>0</v>
      </c>
      <c r="BK78" s="11" t="n">
        <f aca="false">SUM(AU78:BF78)</f>
        <v>0</v>
      </c>
      <c r="BL78" s="12" t="n">
        <f aca="false">SUM(E78:BF78)</f>
        <v>0</v>
      </c>
    </row>
    <row r="79" customFormat="false" ht="15" hidden="false" customHeight="false" outlineLevel="0" collapsed="false">
      <c r="A79" s="9"/>
      <c r="B79" s="10" t="str">
        <f aca="false">IF($A79="","",IFERROR(INDEX(tblAuftraege[Kostenstelle],MATCH($A79,tblAuftraege[Auftrag],0)),""))</f>
        <v/>
      </c>
      <c r="C79" s="10" t="str">
        <f aca="false">IF($A79="","",IFERROR(INDEX(tblAuftraege[Themenfeld],MATCH($A79,tblAuftraege[Auftrag],0)),""))</f>
        <v/>
      </c>
      <c r="D79" s="10" t="str">
        <f aca="false">IF($A79="","",IFERROR(INDEX(tblAuftraege[Kategorie],MATCH($A79,tblAuftraege[Auftrag],0)),""))</f>
        <v/>
      </c>
      <c r="E79" s="11" t="n">
        <f aca="false">IF($A79="",0,SUMIFS(tblAuftraege[Ausgaben],tblAuftraege[Datum Ausgaben],"&gt;="&amp;E$5,tblAuftraege[Datum Ausgaben],"&lt;"&amp;EDATE(E$5,1),tblAuftraege[Auftrag],$A79))</f>
        <v>0</v>
      </c>
      <c r="F79" s="11" t="n">
        <f aca="false">IF($A79="",0,SUMIFS(tblAuftraege[Ausgaben],tblAuftraege[Datum Ausgaben],"&gt;="&amp;F$5,tblAuftraege[Datum Ausgaben],"&lt;"&amp;EDATE(F$5,1),tblAuftraege[Auftrag],$A79))</f>
        <v>0</v>
      </c>
      <c r="G79" s="11" t="n">
        <f aca="false">IF($A79="",0,SUMIFS(tblAuftraege[Ausgaben],tblAuftraege[Datum Ausgaben],"&gt;="&amp;G$5,tblAuftraege[Datum Ausgaben],"&lt;"&amp;EDATE(G$5,1),tblAuftraege[Auftrag],$A79))</f>
        <v>0</v>
      </c>
      <c r="H79" s="11" t="n">
        <f aca="false">IF($A79="",0,SUMIFS(tblAuftraege[Ausgaben],tblAuftraege[Datum Ausgaben],"&gt;="&amp;H$5,tblAuftraege[Datum Ausgaben],"&lt;"&amp;EDATE(H$5,1),tblAuftraege[Auftrag],$A79))</f>
        <v>0</v>
      </c>
      <c r="I79" s="11" t="n">
        <f aca="false">IF($A79="",0,SUMIFS(tblAuftraege[Ausgaben],tblAuftraege[Datum Ausgaben],"&gt;="&amp;I$5,tblAuftraege[Datum Ausgaben],"&lt;"&amp;EDATE(I$5,1),tblAuftraege[Auftrag],$A79))</f>
        <v>0</v>
      </c>
      <c r="J79" s="11" t="n">
        <f aca="false">IF($A79="",0,SUMIFS(tblAuftraege[Ausgaben],tblAuftraege[Datum Ausgaben],"&gt;="&amp;J$5,tblAuftraege[Datum Ausgaben],"&lt;"&amp;EDATE(J$5,1),tblAuftraege[Auftrag],$A79))</f>
        <v>0</v>
      </c>
      <c r="K79" s="11" t="n">
        <f aca="false">IF($A79="",0,SUMIFS(tblAuftraege[Ausgaben],tblAuftraege[Datum Ausgaben],"&gt;="&amp;K$5,tblAuftraege[Datum Ausgaben],"&lt;"&amp;EDATE(K$5,1),tblAuftraege[Auftrag],$A79))</f>
        <v>0</v>
      </c>
      <c r="L79" s="11" t="n">
        <f aca="false">IF($A79="",0,SUMIFS(tblAuftraege[Ausgaben],tblAuftraege[Datum Ausgaben],"&gt;="&amp;L$5,tblAuftraege[Datum Ausgaben],"&lt;"&amp;EDATE(L$5,1),tblAuftraege[Auftrag],$A79))</f>
        <v>0</v>
      </c>
      <c r="M79" s="11" t="n">
        <f aca="false">IF($A79="",0,SUMIFS(tblAuftraege[Ausgaben],tblAuftraege[Datum Ausgaben],"&gt;="&amp;M$5,tblAuftraege[Datum Ausgaben],"&lt;"&amp;EDATE(M$5,1),tblAuftraege[Auftrag],$A79))</f>
        <v>0</v>
      </c>
      <c r="N79" s="11" t="n">
        <f aca="false">IF($A79="",0,SUMIFS(tblAuftraege[Ausgaben],tblAuftraege[Datum Ausgaben],"&gt;="&amp;N$5,tblAuftraege[Datum Ausgaben],"&lt;"&amp;EDATE(N$5,1),tblAuftraege[Auftrag],$A79))</f>
        <v>0</v>
      </c>
      <c r="O79" s="11" t="n">
        <f aca="false">IF($A79="",0,SUMIFS(tblAuftraege[Ausgaben],tblAuftraege[Datum Ausgaben],"&gt;="&amp;O$5,tblAuftraege[Datum Ausgaben],"&lt;"&amp;EDATE(O$5,1),tblAuftraege[Auftrag],$A79))</f>
        <v>0</v>
      </c>
      <c r="P79" s="11" t="n">
        <f aca="false">IF($A79="",0,SUMIFS(tblAuftraege[Ausgaben],tblAuftraege[Datum Ausgaben],"&gt;="&amp;P$5,tblAuftraege[Datum Ausgaben],"&lt;"&amp;EDATE(P$5,1),tblAuftraege[Auftrag],$A79))</f>
        <v>0</v>
      </c>
      <c r="Q79" s="11" t="n">
        <f aca="false">IF($A79="",0,SUMIFS(tblAuftraege[Ausgaben],tblAuftraege[Datum Ausgaben],"&gt;="&amp;Q$5,tblAuftraege[Datum Ausgaben],"&lt;"&amp;EDATE(Q$5,1),tblAuftraege[Auftrag],$A79))</f>
        <v>0</v>
      </c>
      <c r="R79" s="11" t="n">
        <f aca="false">IF($A79="",0,SUMIFS(tblAuftraege[Ausgaben],tblAuftraege[Datum Ausgaben],"&gt;="&amp;R$5,tblAuftraege[Datum Ausgaben],"&lt;"&amp;EDATE(R$5,1),tblAuftraege[Auftrag],$A79))</f>
        <v>0</v>
      </c>
      <c r="S79" s="11" t="n">
        <f aca="false">IF($A79="",0,SUMIFS(tblAuftraege[Ausgaben],tblAuftraege[Datum Ausgaben],"&gt;="&amp;S$5,tblAuftraege[Datum Ausgaben],"&lt;"&amp;EDATE(S$5,1),tblAuftraege[Auftrag],$A79))</f>
        <v>0</v>
      </c>
      <c r="T79" s="11" t="n">
        <f aca="false">IF($A79="",0,SUMIFS(tblAuftraege[Ausgaben],tblAuftraege[Datum Ausgaben],"&gt;="&amp;T$5,tblAuftraege[Datum Ausgaben],"&lt;"&amp;EDATE(T$5,1),tblAuftraege[Auftrag],$A79))</f>
        <v>0</v>
      </c>
      <c r="U79" s="11" t="n">
        <f aca="false">IF($A79="",0,SUMIFS(tblAuftraege[Ausgaben],tblAuftraege[Datum Ausgaben],"&gt;="&amp;U$5,tblAuftraege[Datum Ausgaben],"&lt;"&amp;EDATE(U$5,1),tblAuftraege[Auftrag],$A79))</f>
        <v>0</v>
      </c>
      <c r="V79" s="11" t="n">
        <f aca="false">IF($A79="",0,SUMIFS(tblAuftraege[Ausgaben],tblAuftraege[Datum Ausgaben],"&gt;="&amp;V$5,tblAuftraege[Datum Ausgaben],"&lt;"&amp;EDATE(V$5,1),tblAuftraege[Auftrag],$A79))</f>
        <v>0</v>
      </c>
      <c r="W79" s="11" t="n">
        <f aca="false">IF($A79="",0,SUMIFS(tblAuftraege[Ausgaben],tblAuftraege[Datum Ausgaben],"&gt;="&amp;W$5,tblAuftraege[Datum Ausgaben],"&lt;"&amp;EDATE(W$5,1),tblAuftraege[Auftrag],$A79))</f>
        <v>0</v>
      </c>
      <c r="X79" s="11" t="n">
        <f aca="false">IF($A79="",0,SUMIFS(tblAuftraege[Ausgaben],tblAuftraege[Datum Ausgaben],"&gt;="&amp;X$5,tblAuftraege[Datum Ausgaben],"&lt;"&amp;EDATE(X$5,1),tblAuftraege[Auftrag],$A79))</f>
        <v>0</v>
      </c>
      <c r="Y79" s="11" t="n">
        <f aca="false">IF($A79="",0,SUMIFS(tblAuftraege[Ausgaben],tblAuftraege[Datum Ausgaben],"&gt;="&amp;Y$5,tblAuftraege[Datum Ausgaben],"&lt;"&amp;EDATE(Y$5,1),tblAuftraege[Auftrag],$A79))</f>
        <v>0</v>
      </c>
      <c r="Z79" s="11" t="n">
        <f aca="false">IF($A79="",0,SUMIFS(tblAuftraege[Ausgaben],tblAuftraege[Datum Ausgaben],"&gt;="&amp;Z$5,tblAuftraege[Datum Ausgaben],"&lt;"&amp;EDATE(Z$5,1),tblAuftraege[Auftrag],$A79))</f>
        <v>0</v>
      </c>
      <c r="AA79" s="11" t="n">
        <f aca="false">IF($A79="",0,SUMIFS(tblAuftraege[Ausgaben],tblAuftraege[Datum Ausgaben],"&gt;="&amp;AA$5,tblAuftraege[Datum Ausgaben],"&lt;"&amp;EDATE(AA$5,1),tblAuftraege[Auftrag],$A79))</f>
        <v>0</v>
      </c>
      <c r="AB79" s="11" t="n">
        <f aca="false">IF($A79="",0,SUMIFS(tblAuftraege[Ausgaben],tblAuftraege[Datum Ausgaben],"&gt;="&amp;AB$5,tblAuftraege[Datum Ausgaben],"&lt;"&amp;EDATE(AB$5,1),tblAuftraege[Auftrag],$A79))</f>
        <v>0</v>
      </c>
      <c r="AC79" s="11" t="n">
        <f aca="false">IF($A79="",0,SUMIFS(tblAuftraege[Ausgaben],tblAuftraege[Datum Ausgaben],"&gt;="&amp;AC$5,tblAuftraege[Datum Ausgaben],"&lt;"&amp;EDATE(AC$5,1),tblAuftraege[Auftrag],$A79))</f>
        <v>0</v>
      </c>
      <c r="AD79" s="11" t="n">
        <f aca="false">IF($A79="",0,SUMIFS(tblAuftraege[Ausgaben],tblAuftraege[Datum Ausgaben],"&gt;="&amp;AD$5,tblAuftraege[Datum Ausgaben],"&lt;"&amp;EDATE(AD$5,1),tblAuftraege[Auftrag],$A79))</f>
        <v>0</v>
      </c>
      <c r="AE79" s="11" t="n">
        <f aca="false">IF($A79="",0,SUMIFS(tblAuftraege[Ausgaben],tblAuftraege[Datum Ausgaben],"&gt;="&amp;AE$5,tblAuftraege[Datum Ausgaben],"&lt;"&amp;EDATE(AE$5,1),tblAuftraege[Auftrag],$A79))</f>
        <v>0</v>
      </c>
      <c r="AF79" s="11" t="n">
        <f aca="false">IF($A79="",0,SUMIFS(tblAuftraege[Ausgaben],tblAuftraege[Datum Ausgaben],"&gt;="&amp;AF$5,tblAuftraege[Datum Ausgaben],"&lt;"&amp;EDATE(AF$5,1),tblAuftraege[Auftrag],$A79))</f>
        <v>0</v>
      </c>
      <c r="AG79" s="11" t="n">
        <f aca="false">IF($A79="",0,SUMIFS(tblAuftraege[Ausgaben],tblAuftraege[Datum Ausgaben],"&gt;="&amp;AG$5,tblAuftraege[Datum Ausgaben],"&lt;"&amp;EDATE(AG$5,1),tblAuftraege[Auftrag],$A79))</f>
        <v>0</v>
      </c>
      <c r="AH79" s="11" t="n">
        <f aca="false">IF($A79="",0,SUMIFS(tblAuftraege[Ausgaben],tblAuftraege[Datum Ausgaben],"&gt;="&amp;AH$5,tblAuftraege[Datum Ausgaben],"&lt;"&amp;EDATE(AH$5,1),tblAuftraege[Auftrag],$A79))</f>
        <v>0</v>
      </c>
      <c r="AI79" s="11" t="n">
        <f aca="false">IF($A79="",0,SUMIFS(tblAuftraege[Ausgaben],tblAuftraege[Datum Ausgaben],"&gt;="&amp;AI$5,tblAuftraege[Datum Ausgaben],"&lt;"&amp;EDATE(AI$5,1),tblAuftraege[Auftrag],$A79))</f>
        <v>0</v>
      </c>
      <c r="AJ79" s="11" t="n">
        <f aca="false">IF($A79="",0,SUMIFS(tblAuftraege[Ausgaben],tblAuftraege[Datum Ausgaben],"&gt;="&amp;AJ$5,tblAuftraege[Datum Ausgaben],"&lt;"&amp;EDATE(AJ$5,1),tblAuftraege[Auftrag],$A79))</f>
        <v>0</v>
      </c>
      <c r="AK79" s="11" t="n">
        <f aca="false">IF($A79="",0,SUMIFS(tblAuftraege[Ausgaben],tblAuftraege[Datum Ausgaben],"&gt;="&amp;AK$5,tblAuftraege[Datum Ausgaben],"&lt;"&amp;EDATE(AK$5,1),tblAuftraege[Auftrag],$A79))</f>
        <v>0</v>
      </c>
      <c r="AL79" s="11" t="n">
        <f aca="false">IF($A79="",0,SUMIFS(tblAuftraege[Ausgaben],tblAuftraege[Datum Ausgaben],"&gt;="&amp;AL$5,tblAuftraege[Datum Ausgaben],"&lt;"&amp;EDATE(AL$5,1),tblAuftraege[Auftrag],$A79))</f>
        <v>0</v>
      </c>
      <c r="AM79" s="11" t="n">
        <f aca="false">IF($A79="",0,SUMIFS(tblAuftraege[Ausgaben],tblAuftraege[Datum Ausgaben],"&gt;="&amp;AM$5,tblAuftraege[Datum Ausgaben],"&lt;"&amp;EDATE(AM$5,1),tblAuftraege[Auftrag],$A79))</f>
        <v>0</v>
      </c>
      <c r="AN79" s="11" t="n">
        <f aca="false">IF($A79="",0,SUMIFS(tblAuftraege[Ausgaben],tblAuftraege[Datum Ausgaben],"&gt;="&amp;AN$5,tblAuftraege[Datum Ausgaben],"&lt;"&amp;EDATE(AN$5,1),tblAuftraege[Auftrag],$A79))</f>
        <v>0</v>
      </c>
      <c r="AO79" s="11" t="n">
        <f aca="false">IF($A79="",0,SUMIFS(tblAuftraege[Ausgaben],tblAuftraege[Datum Ausgaben],"&gt;="&amp;AO$5,tblAuftraege[Datum Ausgaben],"&lt;"&amp;EDATE(AO$5,1),tblAuftraege[Auftrag],$A79))</f>
        <v>0</v>
      </c>
      <c r="AP79" s="11" t="n">
        <f aca="false">IF($A79="",0,SUMIFS(tblAuftraege[Ausgaben],tblAuftraege[Datum Ausgaben],"&gt;="&amp;AP$5,tblAuftraege[Datum Ausgaben],"&lt;"&amp;EDATE(AP$5,1),tblAuftraege[Auftrag],$A79))</f>
        <v>0</v>
      </c>
      <c r="AQ79" s="11" t="n">
        <f aca="false">IF($A79="",0,SUMIFS(tblAuftraege[Ausgaben],tblAuftraege[Datum Ausgaben],"&gt;="&amp;AQ$5,tblAuftraege[Datum Ausgaben],"&lt;"&amp;EDATE(AQ$5,1),tblAuftraege[Auftrag],$A79))</f>
        <v>0</v>
      </c>
      <c r="AR79" s="11" t="n">
        <f aca="false">IF($A79="",0,SUMIFS(tblAuftraege[Ausgaben],tblAuftraege[Datum Ausgaben],"&gt;="&amp;AR$5,tblAuftraege[Datum Ausgaben],"&lt;"&amp;EDATE(AR$5,1),tblAuftraege[Auftrag],$A79))</f>
        <v>0</v>
      </c>
      <c r="AS79" s="11" t="n">
        <f aca="false">IF($A79="",0,SUMIFS(tblAuftraege[Ausgaben],tblAuftraege[Datum Ausgaben],"&gt;="&amp;AS$5,tblAuftraege[Datum Ausgaben],"&lt;"&amp;EDATE(AS$5,1),tblAuftraege[Auftrag],$A79))</f>
        <v>0</v>
      </c>
      <c r="AT79" s="11" t="n">
        <f aca="false">IF($A79="",0,SUMIFS(tblAuftraege[Ausgaben],tblAuftraege[Datum Ausgaben],"&gt;="&amp;AT$5,tblAuftraege[Datum Ausgaben],"&lt;"&amp;EDATE(AT$5,1),tblAuftraege[Auftrag],$A79))</f>
        <v>0</v>
      </c>
      <c r="AU79" s="11" t="n">
        <f aca="false">IF($A79="",0,SUMIFS(tblAuftraege[Ausgaben],tblAuftraege[Datum Ausgaben],"&gt;="&amp;AU$5,tblAuftraege[Datum Ausgaben],"&lt;"&amp;EDATE(AU$5,1),tblAuftraege[Auftrag],$A79))</f>
        <v>0</v>
      </c>
      <c r="AV79" s="11" t="n">
        <f aca="false">IF($A79="",0,SUMIFS(tblAuftraege[Ausgaben],tblAuftraege[Datum Ausgaben],"&gt;="&amp;AV$5,tblAuftraege[Datum Ausgaben],"&lt;"&amp;EDATE(AV$5,1),tblAuftraege[Auftrag],$A79))</f>
        <v>0</v>
      </c>
      <c r="AW79" s="11" t="n">
        <f aca="false">IF($A79="",0,SUMIFS(tblAuftraege[Ausgaben],tblAuftraege[Datum Ausgaben],"&gt;="&amp;AW$5,tblAuftraege[Datum Ausgaben],"&lt;"&amp;EDATE(AW$5,1),tblAuftraege[Auftrag],$A79))</f>
        <v>0</v>
      </c>
      <c r="AX79" s="11" t="n">
        <f aca="false">IF($A79="",0,SUMIFS(tblAuftraege[Ausgaben],tblAuftraege[Datum Ausgaben],"&gt;="&amp;AX$5,tblAuftraege[Datum Ausgaben],"&lt;"&amp;EDATE(AX$5,1),tblAuftraege[Auftrag],$A79))</f>
        <v>0</v>
      </c>
      <c r="AY79" s="11" t="n">
        <f aca="false">IF($A79="",0,SUMIFS(tblAuftraege[Ausgaben],tblAuftraege[Datum Ausgaben],"&gt;="&amp;AY$5,tblAuftraege[Datum Ausgaben],"&lt;"&amp;EDATE(AY$5,1),tblAuftraege[Auftrag],$A79))</f>
        <v>0</v>
      </c>
      <c r="AZ79" s="11" t="n">
        <f aca="false">IF($A79="",0,SUMIFS(tblAuftraege[Ausgaben],tblAuftraege[Datum Ausgaben],"&gt;="&amp;AZ$5,tblAuftraege[Datum Ausgaben],"&lt;"&amp;EDATE(AZ$5,1),tblAuftraege[Auftrag],$A79))</f>
        <v>0</v>
      </c>
      <c r="BA79" s="11" t="n">
        <f aca="false">IF($A79="",0,SUMIFS(tblAuftraege[Ausgaben],tblAuftraege[Datum Ausgaben],"&gt;="&amp;BA$5,tblAuftraege[Datum Ausgaben],"&lt;"&amp;EDATE(BA$5,1),tblAuftraege[Auftrag],$A79))</f>
        <v>0</v>
      </c>
      <c r="BB79" s="11" t="n">
        <f aca="false">IF($A79="",0,SUMIFS(tblAuftraege[Ausgaben],tblAuftraege[Datum Ausgaben],"&gt;="&amp;BB$5,tblAuftraege[Datum Ausgaben],"&lt;"&amp;EDATE(BB$5,1),tblAuftraege[Auftrag],$A79))</f>
        <v>0</v>
      </c>
      <c r="BC79" s="11" t="n">
        <f aca="false">IF($A79="",0,SUMIFS(tblAuftraege[Ausgaben],tblAuftraege[Datum Ausgaben],"&gt;="&amp;BC$5,tblAuftraege[Datum Ausgaben],"&lt;"&amp;EDATE(BC$5,1),tblAuftraege[Auftrag],$A79))</f>
        <v>0</v>
      </c>
      <c r="BD79" s="11" t="n">
        <f aca="false">IF($A79="",0,SUMIFS(tblAuftraege[Ausgaben],tblAuftraege[Datum Ausgaben],"&gt;="&amp;BD$5,tblAuftraege[Datum Ausgaben],"&lt;"&amp;EDATE(BD$5,1),tblAuftraege[Auftrag],$A79))</f>
        <v>0</v>
      </c>
      <c r="BE79" s="11" t="n">
        <f aca="false">IF($A79="",0,SUMIFS(tblAuftraege[Ausgaben],tblAuftraege[Datum Ausgaben],"&gt;="&amp;BE$5,tblAuftraege[Datum Ausgaben],"&lt;"&amp;EDATE(BE$5,1),tblAuftraege[Auftrag],$A79))</f>
        <v>0</v>
      </c>
      <c r="BF79" s="11" t="n">
        <f aca="false">IF($A79="",0,SUMIFS(tblAuftraege[Ausgaben],tblAuftraege[Datum Ausgaben],"&gt;="&amp;BF$5,tblAuftraege[Datum Ausgaben],"&lt;"&amp;EDATE(BF$5,1),tblAuftraege[Auftrag],$A79))</f>
        <v>0</v>
      </c>
      <c r="BG79" s="11" t="n">
        <f aca="false">SUM(E79:J79)</f>
        <v>0</v>
      </c>
      <c r="BH79" s="11" t="n">
        <f aca="false">SUM(K79:V79)</f>
        <v>0</v>
      </c>
      <c r="BI79" s="11" t="n">
        <f aca="false">SUM(W79:AH79)</f>
        <v>0</v>
      </c>
      <c r="BJ79" s="11" t="n">
        <f aca="false">SUM(AI79:AT79)</f>
        <v>0</v>
      </c>
      <c r="BK79" s="11" t="n">
        <f aca="false">SUM(AU79:BF79)</f>
        <v>0</v>
      </c>
      <c r="BL79" s="12" t="n">
        <f aca="false">SUM(E79:BF79)</f>
        <v>0</v>
      </c>
    </row>
    <row r="80" customFormat="false" ht="15" hidden="false" customHeight="false" outlineLevel="0" collapsed="false">
      <c r="A80" s="9"/>
      <c r="B80" s="10" t="str">
        <f aca="false">IF($A80="","",IFERROR(INDEX(tblAuftraege[Kostenstelle],MATCH($A80,tblAuftraege[Auftrag],0)),""))</f>
        <v/>
      </c>
      <c r="C80" s="10" t="str">
        <f aca="false">IF($A80="","",IFERROR(INDEX(tblAuftraege[Themenfeld],MATCH($A80,tblAuftraege[Auftrag],0)),""))</f>
        <v/>
      </c>
      <c r="D80" s="10" t="str">
        <f aca="false">IF($A80="","",IFERROR(INDEX(tblAuftraege[Kategorie],MATCH($A80,tblAuftraege[Auftrag],0)),""))</f>
        <v/>
      </c>
      <c r="E80" s="11" t="n">
        <f aca="false">IF($A80="",0,SUMIFS(tblAuftraege[Ausgaben],tblAuftraege[Datum Ausgaben],"&gt;="&amp;E$5,tblAuftraege[Datum Ausgaben],"&lt;"&amp;EDATE(E$5,1),tblAuftraege[Auftrag],$A80))</f>
        <v>0</v>
      </c>
      <c r="F80" s="11" t="n">
        <f aca="false">IF($A80="",0,SUMIFS(tblAuftraege[Ausgaben],tblAuftraege[Datum Ausgaben],"&gt;="&amp;F$5,tblAuftraege[Datum Ausgaben],"&lt;"&amp;EDATE(F$5,1),tblAuftraege[Auftrag],$A80))</f>
        <v>0</v>
      </c>
      <c r="G80" s="11" t="n">
        <f aca="false">IF($A80="",0,SUMIFS(tblAuftraege[Ausgaben],tblAuftraege[Datum Ausgaben],"&gt;="&amp;G$5,tblAuftraege[Datum Ausgaben],"&lt;"&amp;EDATE(G$5,1),tblAuftraege[Auftrag],$A80))</f>
        <v>0</v>
      </c>
      <c r="H80" s="11" t="n">
        <f aca="false">IF($A80="",0,SUMIFS(tblAuftraege[Ausgaben],tblAuftraege[Datum Ausgaben],"&gt;="&amp;H$5,tblAuftraege[Datum Ausgaben],"&lt;"&amp;EDATE(H$5,1),tblAuftraege[Auftrag],$A80))</f>
        <v>0</v>
      </c>
      <c r="I80" s="11" t="n">
        <f aca="false">IF($A80="",0,SUMIFS(tblAuftraege[Ausgaben],tblAuftraege[Datum Ausgaben],"&gt;="&amp;I$5,tblAuftraege[Datum Ausgaben],"&lt;"&amp;EDATE(I$5,1),tblAuftraege[Auftrag],$A80))</f>
        <v>0</v>
      </c>
      <c r="J80" s="11" t="n">
        <f aca="false">IF($A80="",0,SUMIFS(tblAuftraege[Ausgaben],tblAuftraege[Datum Ausgaben],"&gt;="&amp;J$5,tblAuftraege[Datum Ausgaben],"&lt;"&amp;EDATE(J$5,1),tblAuftraege[Auftrag],$A80))</f>
        <v>0</v>
      </c>
      <c r="K80" s="11" t="n">
        <f aca="false">IF($A80="",0,SUMIFS(tblAuftraege[Ausgaben],tblAuftraege[Datum Ausgaben],"&gt;="&amp;K$5,tblAuftraege[Datum Ausgaben],"&lt;"&amp;EDATE(K$5,1),tblAuftraege[Auftrag],$A80))</f>
        <v>0</v>
      </c>
      <c r="L80" s="11" t="n">
        <f aca="false">IF($A80="",0,SUMIFS(tblAuftraege[Ausgaben],tblAuftraege[Datum Ausgaben],"&gt;="&amp;L$5,tblAuftraege[Datum Ausgaben],"&lt;"&amp;EDATE(L$5,1),tblAuftraege[Auftrag],$A80))</f>
        <v>0</v>
      </c>
      <c r="M80" s="11" t="n">
        <f aca="false">IF($A80="",0,SUMIFS(tblAuftraege[Ausgaben],tblAuftraege[Datum Ausgaben],"&gt;="&amp;M$5,tblAuftraege[Datum Ausgaben],"&lt;"&amp;EDATE(M$5,1),tblAuftraege[Auftrag],$A80))</f>
        <v>0</v>
      </c>
      <c r="N80" s="11" t="n">
        <f aca="false">IF($A80="",0,SUMIFS(tblAuftraege[Ausgaben],tblAuftraege[Datum Ausgaben],"&gt;="&amp;N$5,tblAuftraege[Datum Ausgaben],"&lt;"&amp;EDATE(N$5,1),tblAuftraege[Auftrag],$A80))</f>
        <v>0</v>
      </c>
      <c r="O80" s="11" t="n">
        <f aca="false">IF($A80="",0,SUMIFS(tblAuftraege[Ausgaben],tblAuftraege[Datum Ausgaben],"&gt;="&amp;O$5,tblAuftraege[Datum Ausgaben],"&lt;"&amp;EDATE(O$5,1),tblAuftraege[Auftrag],$A80))</f>
        <v>0</v>
      </c>
      <c r="P80" s="11" t="n">
        <f aca="false">IF($A80="",0,SUMIFS(tblAuftraege[Ausgaben],tblAuftraege[Datum Ausgaben],"&gt;="&amp;P$5,tblAuftraege[Datum Ausgaben],"&lt;"&amp;EDATE(P$5,1),tblAuftraege[Auftrag],$A80))</f>
        <v>0</v>
      </c>
      <c r="Q80" s="11" t="n">
        <f aca="false">IF($A80="",0,SUMIFS(tblAuftraege[Ausgaben],tblAuftraege[Datum Ausgaben],"&gt;="&amp;Q$5,tblAuftraege[Datum Ausgaben],"&lt;"&amp;EDATE(Q$5,1),tblAuftraege[Auftrag],$A80))</f>
        <v>0</v>
      </c>
      <c r="R80" s="11" t="n">
        <f aca="false">IF($A80="",0,SUMIFS(tblAuftraege[Ausgaben],tblAuftraege[Datum Ausgaben],"&gt;="&amp;R$5,tblAuftraege[Datum Ausgaben],"&lt;"&amp;EDATE(R$5,1),tblAuftraege[Auftrag],$A80))</f>
        <v>0</v>
      </c>
      <c r="S80" s="11" t="n">
        <f aca="false">IF($A80="",0,SUMIFS(tblAuftraege[Ausgaben],tblAuftraege[Datum Ausgaben],"&gt;="&amp;S$5,tblAuftraege[Datum Ausgaben],"&lt;"&amp;EDATE(S$5,1),tblAuftraege[Auftrag],$A80))</f>
        <v>0</v>
      </c>
      <c r="T80" s="11" t="n">
        <f aca="false">IF($A80="",0,SUMIFS(tblAuftraege[Ausgaben],tblAuftraege[Datum Ausgaben],"&gt;="&amp;T$5,tblAuftraege[Datum Ausgaben],"&lt;"&amp;EDATE(T$5,1),tblAuftraege[Auftrag],$A80))</f>
        <v>0</v>
      </c>
      <c r="U80" s="11" t="n">
        <f aca="false">IF($A80="",0,SUMIFS(tblAuftraege[Ausgaben],tblAuftraege[Datum Ausgaben],"&gt;="&amp;U$5,tblAuftraege[Datum Ausgaben],"&lt;"&amp;EDATE(U$5,1),tblAuftraege[Auftrag],$A80))</f>
        <v>0</v>
      </c>
      <c r="V80" s="11" t="n">
        <f aca="false">IF($A80="",0,SUMIFS(tblAuftraege[Ausgaben],tblAuftraege[Datum Ausgaben],"&gt;="&amp;V$5,tblAuftraege[Datum Ausgaben],"&lt;"&amp;EDATE(V$5,1),tblAuftraege[Auftrag],$A80))</f>
        <v>0</v>
      </c>
      <c r="W80" s="11" t="n">
        <f aca="false">IF($A80="",0,SUMIFS(tblAuftraege[Ausgaben],tblAuftraege[Datum Ausgaben],"&gt;="&amp;W$5,tblAuftraege[Datum Ausgaben],"&lt;"&amp;EDATE(W$5,1),tblAuftraege[Auftrag],$A80))</f>
        <v>0</v>
      </c>
      <c r="X80" s="11" t="n">
        <f aca="false">IF($A80="",0,SUMIFS(tblAuftraege[Ausgaben],tblAuftraege[Datum Ausgaben],"&gt;="&amp;X$5,tblAuftraege[Datum Ausgaben],"&lt;"&amp;EDATE(X$5,1),tblAuftraege[Auftrag],$A80))</f>
        <v>0</v>
      </c>
      <c r="Y80" s="11" t="n">
        <f aca="false">IF($A80="",0,SUMIFS(tblAuftraege[Ausgaben],tblAuftraege[Datum Ausgaben],"&gt;="&amp;Y$5,tblAuftraege[Datum Ausgaben],"&lt;"&amp;EDATE(Y$5,1),tblAuftraege[Auftrag],$A80))</f>
        <v>0</v>
      </c>
      <c r="Z80" s="11" t="n">
        <f aca="false">IF($A80="",0,SUMIFS(tblAuftraege[Ausgaben],tblAuftraege[Datum Ausgaben],"&gt;="&amp;Z$5,tblAuftraege[Datum Ausgaben],"&lt;"&amp;EDATE(Z$5,1),tblAuftraege[Auftrag],$A80))</f>
        <v>0</v>
      </c>
      <c r="AA80" s="11" t="n">
        <f aca="false">IF($A80="",0,SUMIFS(tblAuftraege[Ausgaben],tblAuftraege[Datum Ausgaben],"&gt;="&amp;AA$5,tblAuftraege[Datum Ausgaben],"&lt;"&amp;EDATE(AA$5,1),tblAuftraege[Auftrag],$A80))</f>
        <v>0</v>
      </c>
      <c r="AB80" s="11" t="n">
        <f aca="false">IF($A80="",0,SUMIFS(tblAuftraege[Ausgaben],tblAuftraege[Datum Ausgaben],"&gt;="&amp;AB$5,tblAuftraege[Datum Ausgaben],"&lt;"&amp;EDATE(AB$5,1),tblAuftraege[Auftrag],$A80))</f>
        <v>0</v>
      </c>
      <c r="AC80" s="11" t="n">
        <f aca="false">IF($A80="",0,SUMIFS(tblAuftraege[Ausgaben],tblAuftraege[Datum Ausgaben],"&gt;="&amp;AC$5,tblAuftraege[Datum Ausgaben],"&lt;"&amp;EDATE(AC$5,1),tblAuftraege[Auftrag],$A80))</f>
        <v>0</v>
      </c>
      <c r="AD80" s="11" t="n">
        <f aca="false">IF($A80="",0,SUMIFS(tblAuftraege[Ausgaben],tblAuftraege[Datum Ausgaben],"&gt;="&amp;AD$5,tblAuftraege[Datum Ausgaben],"&lt;"&amp;EDATE(AD$5,1),tblAuftraege[Auftrag],$A80))</f>
        <v>0</v>
      </c>
      <c r="AE80" s="11" t="n">
        <f aca="false">IF($A80="",0,SUMIFS(tblAuftraege[Ausgaben],tblAuftraege[Datum Ausgaben],"&gt;="&amp;AE$5,tblAuftraege[Datum Ausgaben],"&lt;"&amp;EDATE(AE$5,1),tblAuftraege[Auftrag],$A80))</f>
        <v>0</v>
      </c>
      <c r="AF80" s="11" t="n">
        <f aca="false">IF($A80="",0,SUMIFS(tblAuftraege[Ausgaben],tblAuftraege[Datum Ausgaben],"&gt;="&amp;AF$5,tblAuftraege[Datum Ausgaben],"&lt;"&amp;EDATE(AF$5,1),tblAuftraege[Auftrag],$A80))</f>
        <v>0</v>
      </c>
      <c r="AG80" s="11" t="n">
        <f aca="false">IF($A80="",0,SUMIFS(tblAuftraege[Ausgaben],tblAuftraege[Datum Ausgaben],"&gt;="&amp;AG$5,tblAuftraege[Datum Ausgaben],"&lt;"&amp;EDATE(AG$5,1),tblAuftraege[Auftrag],$A80))</f>
        <v>0</v>
      </c>
      <c r="AH80" s="11" t="n">
        <f aca="false">IF($A80="",0,SUMIFS(tblAuftraege[Ausgaben],tblAuftraege[Datum Ausgaben],"&gt;="&amp;AH$5,tblAuftraege[Datum Ausgaben],"&lt;"&amp;EDATE(AH$5,1),tblAuftraege[Auftrag],$A80))</f>
        <v>0</v>
      </c>
      <c r="AI80" s="11" t="n">
        <f aca="false">IF($A80="",0,SUMIFS(tblAuftraege[Ausgaben],tblAuftraege[Datum Ausgaben],"&gt;="&amp;AI$5,tblAuftraege[Datum Ausgaben],"&lt;"&amp;EDATE(AI$5,1),tblAuftraege[Auftrag],$A80))</f>
        <v>0</v>
      </c>
      <c r="AJ80" s="11" t="n">
        <f aca="false">IF($A80="",0,SUMIFS(tblAuftraege[Ausgaben],tblAuftraege[Datum Ausgaben],"&gt;="&amp;AJ$5,tblAuftraege[Datum Ausgaben],"&lt;"&amp;EDATE(AJ$5,1),tblAuftraege[Auftrag],$A80))</f>
        <v>0</v>
      </c>
      <c r="AK80" s="11" t="n">
        <f aca="false">IF($A80="",0,SUMIFS(tblAuftraege[Ausgaben],tblAuftraege[Datum Ausgaben],"&gt;="&amp;AK$5,tblAuftraege[Datum Ausgaben],"&lt;"&amp;EDATE(AK$5,1),tblAuftraege[Auftrag],$A80))</f>
        <v>0</v>
      </c>
      <c r="AL80" s="11" t="n">
        <f aca="false">IF($A80="",0,SUMIFS(tblAuftraege[Ausgaben],tblAuftraege[Datum Ausgaben],"&gt;="&amp;AL$5,tblAuftraege[Datum Ausgaben],"&lt;"&amp;EDATE(AL$5,1),tblAuftraege[Auftrag],$A80))</f>
        <v>0</v>
      </c>
      <c r="AM80" s="11" t="n">
        <f aca="false">IF($A80="",0,SUMIFS(tblAuftraege[Ausgaben],tblAuftraege[Datum Ausgaben],"&gt;="&amp;AM$5,tblAuftraege[Datum Ausgaben],"&lt;"&amp;EDATE(AM$5,1),tblAuftraege[Auftrag],$A80))</f>
        <v>0</v>
      </c>
      <c r="AN80" s="11" t="n">
        <f aca="false">IF($A80="",0,SUMIFS(tblAuftraege[Ausgaben],tblAuftraege[Datum Ausgaben],"&gt;="&amp;AN$5,tblAuftraege[Datum Ausgaben],"&lt;"&amp;EDATE(AN$5,1),tblAuftraege[Auftrag],$A80))</f>
        <v>0</v>
      </c>
      <c r="AO80" s="11" t="n">
        <f aca="false">IF($A80="",0,SUMIFS(tblAuftraege[Ausgaben],tblAuftraege[Datum Ausgaben],"&gt;="&amp;AO$5,tblAuftraege[Datum Ausgaben],"&lt;"&amp;EDATE(AO$5,1),tblAuftraege[Auftrag],$A80))</f>
        <v>0</v>
      </c>
      <c r="AP80" s="11" t="n">
        <f aca="false">IF($A80="",0,SUMIFS(tblAuftraege[Ausgaben],tblAuftraege[Datum Ausgaben],"&gt;="&amp;AP$5,tblAuftraege[Datum Ausgaben],"&lt;"&amp;EDATE(AP$5,1),tblAuftraege[Auftrag],$A80))</f>
        <v>0</v>
      </c>
      <c r="AQ80" s="11" t="n">
        <f aca="false">IF($A80="",0,SUMIFS(tblAuftraege[Ausgaben],tblAuftraege[Datum Ausgaben],"&gt;="&amp;AQ$5,tblAuftraege[Datum Ausgaben],"&lt;"&amp;EDATE(AQ$5,1),tblAuftraege[Auftrag],$A80))</f>
        <v>0</v>
      </c>
      <c r="AR80" s="11" t="n">
        <f aca="false">IF($A80="",0,SUMIFS(tblAuftraege[Ausgaben],tblAuftraege[Datum Ausgaben],"&gt;="&amp;AR$5,tblAuftraege[Datum Ausgaben],"&lt;"&amp;EDATE(AR$5,1),tblAuftraege[Auftrag],$A80))</f>
        <v>0</v>
      </c>
      <c r="AS80" s="11" t="n">
        <f aca="false">IF($A80="",0,SUMIFS(tblAuftraege[Ausgaben],tblAuftraege[Datum Ausgaben],"&gt;="&amp;AS$5,tblAuftraege[Datum Ausgaben],"&lt;"&amp;EDATE(AS$5,1),tblAuftraege[Auftrag],$A80))</f>
        <v>0</v>
      </c>
      <c r="AT80" s="11" t="n">
        <f aca="false">IF($A80="",0,SUMIFS(tblAuftraege[Ausgaben],tblAuftraege[Datum Ausgaben],"&gt;="&amp;AT$5,tblAuftraege[Datum Ausgaben],"&lt;"&amp;EDATE(AT$5,1),tblAuftraege[Auftrag],$A80))</f>
        <v>0</v>
      </c>
      <c r="AU80" s="11" t="n">
        <f aca="false">IF($A80="",0,SUMIFS(tblAuftraege[Ausgaben],tblAuftraege[Datum Ausgaben],"&gt;="&amp;AU$5,tblAuftraege[Datum Ausgaben],"&lt;"&amp;EDATE(AU$5,1),tblAuftraege[Auftrag],$A80))</f>
        <v>0</v>
      </c>
      <c r="AV80" s="11" t="n">
        <f aca="false">IF($A80="",0,SUMIFS(tblAuftraege[Ausgaben],tblAuftraege[Datum Ausgaben],"&gt;="&amp;AV$5,tblAuftraege[Datum Ausgaben],"&lt;"&amp;EDATE(AV$5,1),tblAuftraege[Auftrag],$A80))</f>
        <v>0</v>
      </c>
      <c r="AW80" s="11" t="n">
        <f aca="false">IF($A80="",0,SUMIFS(tblAuftraege[Ausgaben],tblAuftraege[Datum Ausgaben],"&gt;="&amp;AW$5,tblAuftraege[Datum Ausgaben],"&lt;"&amp;EDATE(AW$5,1),tblAuftraege[Auftrag],$A80))</f>
        <v>0</v>
      </c>
      <c r="AX80" s="11" t="n">
        <f aca="false">IF($A80="",0,SUMIFS(tblAuftraege[Ausgaben],tblAuftraege[Datum Ausgaben],"&gt;="&amp;AX$5,tblAuftraege[Datum Ausgaben],"&lt;"&amp;EDATE(AX$5,1),tblAuftraege[Auftrag],$A80))</f>
        <v>0</v>
      </c>
      <c r="AY80" s="11" t="n">
        <f aca="false">IF($A80="",0,SUMIFS(tblAuftraege[Ausgaben],tblAuftraege[Datum Ausgaben],"&gt;="&amp;AY$5,tblAuftraege[Datum Ausgaben],"&lt;"&amp;EDATE(AY$5,1),tblAuftraege[Auftrag],$A80))</f>
        <v>0</v>
      </c>
      <c r="AZ80" s="11" t="n">
        <f aca="false">IF($A80="",0,SUMIFS(tblAuftraege[Ausgaben],tblAuftraege[Datum Ausgaben],"&gt;="&amp;AZ$5,tblAuftraege[Datum Ausgaben],"&lt;"&amp;EDATE(AZ$5,1),tblAuftraege[Auftrag],$A80))</f>
        <v>0</v>
      </c>
      <c r="BA80" s="11" t="n">
        <f aca="false">IF($A80="",0,SUMIFS(tblAuftraege[Ausgaben],tblAuftraege[Datum Ausgaben],"&gt;="&amp;BA$5,tblAuftraege[Datum Ausgaben],"&lt;"&amp;EDATE(BA$5,1),tblAuftraege[Auftrag],$A80))</f>
        <v>0</v>
      </c>
      <c r="BB80" s="11" t="n">
        <f aca="false">IF($A80="",0,SUMIFS(tblAuftraege[Ausgaben],tblAuftraege[Datum Ausgaben],"&gt;="&amp;BB$5,tblAuftraege[Datum Ausgaben],"&lt;"&amp;EDATE(BB$5,1),tblAuftraege[Auftrag],$A80))</f>
        <v>0</v>
      </c>
      <c r="BC80" s="11" t="n">
        <f aca="false">IF($A80="",0,SUMIFS(tblAuftraege[Ausgaben],tblAuftraege[Datum Ausgaben],"&gt;="&amp;BC$5,tblAuftraege[Datum Ausgaben],"&lt;"&amp;EDATE(BC$5,1),tblAuftraege[Auftrag],$A80))</f>
        <v>0</v>
      </c>
      <c r="BD80" s="11" t="n">
        <f aca="false">IF($A80="",0,SUMIFS(tblAuftraege[Ausgaben],tblAuftraege[Datum Ausgaben],"&gt;="&amp;BD$5,tblAuftraege[Datum Ausgaben],"&lt;"&amp;EDATE(BD$5,1),tblAuftraege[Auftrag],$A80))</f>
        <v>0</v>
      </c>
      <c r="BE80" s="11" t="n">
        <f aca="false">IF($A80="",0,SUMIFS(tblAuftraege[Ausgaben],tblAuftraege[Datum Ausgaben],"&gt;="&amp;BE$5,tblAuftraege[Datum Ausgaben],"&lt;"&amp;EDATE(BE$5,1),tblAuftraege[Auftrag],$A80))</f>
        <v>0</v>
      </c>
      <c r="BF80" s="11" t="n">
        <f aca="false">IF($A80="",0,SUMIFS(tblAuftraege[Ausgaben],tblAuftraege[Datum Ausgaben],"&gt;="&amp;BF$5,tblAuftraege[Datum Ausgaben],"&lt;"&amp;EDATE(BF$5,1),tblAuftraege[Auftrag],$A80))</f>
        <v>0</v>
      </c>
      <c r="BG80" s="11" t="n">
        <f aca="false">SUM(E80:J80)</f>
        <v>0</v>
      </c>
      <c r="BH80" s="11" t="n">
        <f aca="false">SUM(K80:V80)</f>
        <v>0</v>
      </c>
      <c r="BI80" s="11" t="n">
        <f aca="false">SUM(W80:AH80)</f>
        <v>0</v>
      </c>
      <c r="BJ80" s="11" t="n">
        <f aca="false">SUM(AI80:AT80)</f>
        <v>0</v>
      </c>
      <c r="BK80" s="11" t="n">
        <f aca="false">SUM(AU80:BF80)</f>
        <v>0</v>
      </c>
      <c r="BL80" s="12" t="n">
        <f aca="false">SUM(E80:BF80)</f>
        <v>0</v>
      </c>
    </row>
    <row r="81" customFormat="false" ht="15" hidden="false" customHeight="false" outlineLevel="0" collapsed="false">
      <c r="A81" s="9"/>
      <c r="B81" s="10" t="str">
        <f aca="false">IF($A81="","",IFERROR(INDEX(tblAuftraege[Kostenstelle],MATCH($A81,tblAuftraege[Auftrag],0)),""))</f>
        <v/>
      </c>
      <c r="C81" s="10" t="str">
        <f aca="false">IF($A81="","",IFERROR(INDEX(tblAuftraege[Themenfeld],MATCH($A81,tblAuftraege[Auftrag],0)),""))</f>
        <v/>
      </c>
      <c r="D81" s="10" t="str">
        <f aca="false">IF($A81="","",IFERROR(INDEX(tblAuftraege[Kategorie],MATCH($A81,tblAuftraege[Auftrag],0)),""))</f>
        <v/>
      </c>
      <c r="E81" s="11" t="n">
        <f aca="false">IF($A81="",0,SUMIFS(tblAuftraege[Ausgaben],tblAuftraege[Datum Ausgaben],"&gt;="&amp;E$5,tblAuftraege[Datum Ausgaben],"&lt;"&amp;EDATE(E$5,1),tblAuftraege[Auftrag],$A81))</f>
        <v>0</v>
      </c>
      <c r="F81" s="11" t="n">
        <f aca="false">IF($A81="",0,SUMIFS(tblAuftraege[Ausgaben],tblAuftraege[Datum Ausgaben],"&gt;="&amp;F$5,tblAuftraege[Datum Ausgaben],"&lt;"&amp;EDATE(F$5,1),tblAuftraege[Auftrag],$A81))</f>
        <v>0</v>
      </c>
      <c r="G81" s="11" t="n">
        <f aca="false">IF($A81="",0,SUMIFS(tblAuftraege[Ausgaben],tblAuftraege[Datum Ausgaben],"&gt;="&amp;G$5,tblAuftraege[Datum Ausgaben],"&lt;"&amp;EDATE(G$5,1),tblAuftraege[Auftrag],$A81))</f>
        <v>0</v>
      </c>
      <c r="H81" s="11" t="n">
        <f aca="false">IF($A81="",0,SUMIFS(tblAuftraege[Ausgaben],tblAuftraege[Datum Ausgaben],"&gt;="&amp;H$5,tblAuftraege[Datum Ausgaben],"&lt;"&amp;EDATE(H$5,1),tblAuftraege[Auftrag],$A81))</f>
        <v>0</v>
      </c>
      <c r="I81" s="11" t="n">
        <f aca="false">IF($A81="",0,SUMIFS(tblAuftraege[Ausgaben],tblAuftraege[Datum Ausgaben],"&gt;="&amp;I$5,tblAuftraege[Datum Ausgaben],"&lt;"&amp;EDATE(I$5,1),tblAuftraege[Auftrag],$A81))</f>
        <v>0</v>
      </c>
      <c r="J81" s="11" t="n">
        <f aca="false">IF($A81="",0,SUMIFS(tblAuftraege[Ausgaben],tblAuftraege[Datum Ausgaben],"&gt;="&amp;J$5,tblAuftraege[Datum Ausgaben],"&lt;"&amp;EDATE(J$5,1),tblAuftraege[Auftrag],$A81))</f>
        <v>0</v>
      </c>
      <c r="K81" s="11" t="n">
        <f aca="false">IF($A81="",0,SUMIFS(tblAuftraege[Ausgaben],tblAuftraege[Datum Ausgaben],"&gt;="&amp;K$5,tblAuftraege[Datum Ausgaben],"&lt;"&amp;EDATE(K$5,1),tblAuftraege[Auftrag],$A81))</f>
        <v>0</v>
      </c>
      <c r="L81" s="11" t="n">
        <f aca="false">IF($A81="",0,SUMIFS(tblAuftraege[Ausgaben],tblAuftraege[Datum Ausgaben],"&gt;="&amp;L$5,tblAuftraege[Datum Ausgaben],"&lt;"&amp;EDATE(L$5,1),tblAuftraege[Auftrag],$A81))</f>
        <v>0</v>
      </c>
      <c r="M81" s="11" t="n">
        <f aca="false">IF($A81="",0,SUMIFS(tblAuftraege[Ausgaben],tblAuftraege[Datum Ausgaben],"&gt;="&amp;M$5,tblAuftraege[Datum Ausgaben],"&lt;"&amp;EDATE(M$5,1),tblAuftraege[Auftrag],$A81))</f>
        <v>0</v>
      </c>
      <c r="N81" s="11" t="n">
        <f aca="false">IF($A81="",0,SUMIFS(tblAuftraege[Ausgaben],tblAuftraege[Datum Ausgaben],"&gt;="&amp;N$5,tblAuftraege[Datum Ausgaben],"&lt;"&amp;EDATE(N$5,1),tblAuftraege[Auftrag],$A81))</f>
        <v>0</v>
      </c>
      <c r="O81" s="11" t="n">
        <f aca="false">IF($A81="",0,SUMIFS(tblAuftraege[Ausgaben],tblAuftraege[Datum Ausgaben],"&gt;="&amp;O$5,tblAuftraege[Datum Ausgaben],"&lt;"&amp;EDATE(O$5,1),tblAuftraege[Auftrag],$A81))</f>
        <v>0</v>
      </c>
      <c r="P81" s="11" t="n">
        <f aca="false">IF($A81="",0,SUMIFS(tblAuftraege[Ausgaben],tblAuftraege[Datum Ausgaben],"&gt;="&amp;P$5,tblAuftraege[Datum Ausgaben],"&lt;"&amp;EDATE(P$5,1),tblAuftraege[Auftrag],$A81))</f>
        <v>0</v>
      </c>
      <c r="Q81" s="11" t="n">
        <f aca="false">IF($A81="",0,SUMIFS(tblAuftraege[Ausgaben],tblAuftraege[Datum Ausgaben],"&gt;="&amp;Q$5,tblAuftraege[Datum Ausgaben],"&lt;"&amp;EDATE(Q$5,1),tblAuftraege[Auftrag],$A81))</f>
        <v>0</v>
      </c>
      <c r="R81" s="11" t="n">
        <f aca="false">IF($A81="",0,SUMIFS(tblAuftraege[Ausgaben],tblAuftraege[Datum Ausgaben],"&gt;="&amp;R$5,tblAuftraege[Datum Ausgaben],"&lt;"&amp;EDATE(R$5,1),tblAuftraege[Auftrag],$A81))</f>
        <v>0</v>
      </c>
      <c r="S81" s="11" t="n">
        <f aca="false">IF($A81="",0,SUMIFS(tblAuftraege[Ausgaben],tblAuftraege[Datum Ausgaben],"&gt;="&amp;S$5,tblAuftraege[Datum Ausgaben],"&lt;"&amp;EDATE(S$5,1),tblAuftraege[Auftrag],$A81))</f>
        <v>0</v>
      </c>
      <c r="T81" s="11" t="n">
        <f aca="false">IF($A81="",0,SUMIFS(tblAuftraege[Ausgaben],tblAuftraege[Datum Ausgaben],"&gt;="&amp;T$5,tblAuftraege[Datum Ausgaben],"&lt;"&amp;EDATE(T$5,1),tblAuftraege[Auftrag],$A81))</f>
        <v>0</v>
      </c>
      <c r="U81" s="11" t="n">
        <f aca="false">IF($A81="",0,SUMIFS(tblAuftraege[Ausgaben],tblAuftraege[Datum Ausgaben],"&gt;="&amp;U$5,tblAuftraege[Datum Ausgaben],"&lt;"&amp;EDATE(U$5,1),tblAuftraege[Auftrag],$A81))</f>
        <v>0</v>
      </c>
      <c r="V81" s="11" t="n">
        <f aca="false">IF($A81="",0,SUMIFS(tblAuftraege[Ausgaben],tblAuftraege[Datum Ausgaben],"&gt;="&amp;V$5,tblAuftraege[Datum Ausgaben],"&lt;"&amp;EDATE(V$5,1),tblAuftraege[Auftrag],$A81))</f>
        <v>0</v>
      </c>
      <c r="W81" s="11" t="n">
        <f aca="false">IF($A81="",0,SUMIFS(tblAuftraege[Ausgaben],tblAuftraege[Datum Ausgaben],"&gt;="&amp;W$5,tblAuftraege[Datum Ausgaben],"&lt;"&amp;EDATE(W$5,1),tblAuftraege[Auftrag],$A81))</f>
        <v>0</v>
      </c>
      <c r="X81" s="11" t="n">
        <f aca="false">IF($A81="",0,SUMIFS(tblAuftraege[Ausgaben],tblAuftraege[Datum Ausgaben],"&gt;="&amp;X$5,tblAuftraege[Datum Ausgaben],"&lt;"&amp;EDATE(X$5,1),tblAuftraege[Auftrag],$A81))</f>
        <v>0</v>
      </c>
      <c r="Y81" s="11" t="n">
        <f aca="false">IF($A81="",0,SUMIFS(tblAuftraege[Ausgaben],tblAuftraege[Datum Ausgaben],"&gt;="&amp;Y$5,tblAuftraege[Datum Ausgaben],"&lt;"&amp;EDATE(Y$5,1),tblAuftraege[Auftrag],$A81))</f>
        <v>0</v>
      </c>
      <c r="Z81" s="11" t="n">
        <f aca="false">IF($A81="",0,SUMIFS(tblAuftraege[Ausgaben],tblAuftraege[Datum Ausgaben],"&gt;="&amp;Z$5,tblAuftraege[Datum Ausgaben],"&lt;"&amp;EDATE(Z$5,1),tblAuftraege[Auftrag],$A81))</f>
        <v>0</v>
      </c>
      <c r="AA81" s="11" t="n">
        <f aca="false">IF($A81="",0,SUMIFS(tblAuftraege[Ausgaben],tblAuftraege[Datum Ausgaben],"&gt;="&amp;AA$5,tblAuftraege[Datum Ausgaben],"&lt;"&amp;EDATE(AA$5,1),tblAuftraege[Auftrag],$A81))</f>
        <v>0</v>
      </c>
      <c r="AB81" s="11" t="n">
        <f aca="false">IF($A81="",0,SUMIFS(tblAuftraege[Ausgaben],tblAuftraege[Datum Ausgaben],"&gt;="&amp;AB$5,tblAuftraege[Datum Ausgaben],"&lt;"&amp;EDATE(AB$5,1),tblAuftraege[Auftrag],$A81))</f>
        <v>0</v>
      </c>
      <c r="AC81" s="11" t="n">
        <f aca="false">IF($A81="",0,SUMIFS(tblAuftraege[Ausgaben],tblAuftraege[Datum Ausgaben],"&gt;="&amp;AC$5,tblAuftraege[Datum Ausgaben],"&lt;"&amp;EDATE(AC$5,1),tblAuftraege[Auftrag],$A81))</f>
        <v>0</v>
      </c>
      <c r="AD81" s="11" t="n">
        <f aca="false">IF($A81="",0,SUMIFS(tblAuftraege[Ausgaben],tblAuftraege[Datum Ausgaben],"&gt;="&amp;AD$5,tblAuftraege[Datum Ausgaben],"&lt;"&amp;EDATE(AD$5,1),tblAuftraege[Auftrag],$A81))</f>
        <v>0</v>
      </c>
      <c r="AE81" s="11" t="n">
        <f aca="false">IF($A81="",0,SUMIFS(tblAuftraege[Ausgaben],tblAuftraege[Datum Ausgaben],"&gt;="&amp;AE$5,tblAuftraege[Datum Ausgaben],"&lt;"&amp;EDATE(AE$5,1),tblAuftraege[Auftrag],$A81))</f>
        <v>0</v>
      </c>
      <c r="AF81" s="11" t="n">
        <f aca="false">IF($A81="",0,SUMIFS(tblAuftraege[Ausgaben],tblAuftraege[Datum Ausgaben],"&gt;="&amp;AF$5,tblAuftraege[Datum Ausgaben],"&lt;"&amp;EDATE(AF$5,1),tblAuftraege[Auftrag],$A81))</f>
        <v>0</v>
      </c>
      <c r="AG81" s="11" t="n">
        <f aca="false">IF($A81="",0,SUMIFS(tblAuftraege[Ausgaben],tblAuftraege[Datum Ausgaben],"&gt;="&amp;AG$5,tblAuftraege[Datum Ausgaben],"&lt;"&amp;EDATE(AG$5,1),tblAuftraege[Auftrag],$A81))</f>
        <v>0</v>
      </c>
      <c r="AH81" s="11" t="n">
        <f aca="false">IF($A81="",0,SUMIFS(tblAuftraege[Ausgaben],tblAuftraege[Datum Ausgaben],"&gt;="&amp;AH$5,tblAuftraege[Datum Ausgaben],"&lt;"&amp;EDATE(AH$5,1),tblAuftraege[Auftrag],$A81))</f>
        <v>0</v>
      </c>
      <c r="AI81" s="11" t="n">
        <f aca="false">IF($A81="",0,SUMIFS(tblAuftraege[Ausgaben],tblAuftraege[Datum Ausgaben],"&gt;="&amp;AI$5,tblAuftraege[Datum Ausgaben],"&lt;"&amp;EDATE(AI$5,1),tblAuftraege[Auftrag],$A81))</f>
        <v>0</v>
      </c>
      <c r="AJ81" s="11" t="n">
        <f aca="false">IF($A81="",0,SUMIFS(tblAuftraege[Ausgaben],tblAuftraege[Datum Ausgaben],"&gt;="&amp;AJ$5,tblAuftraege[Datum Ausgaben],"&lt;"&amp;EDATE(AJ$5,1),tblAuftraege[Auftrag],$A81))</f>
        <v>0</v>
      </c>
      <c r="AK81" s="11" t="n">
        <f aca="false">IF($A81="",0,SUMIFS(tblAuftraege[Ausgaben],tblAuftraege[Datum Ausgaben],"&gt;="&amp;AK$5,tblAuftraege[Datum Ausgaben],"&lt;"&amp;EDATE(AK$5,1),tblAuftraege[Auftrag],$A81))</f>
        <v>0</v>
      </c>
      <c r="AL81" s="11" t="n">
        <f aca="false">IF($A81="",0,SUMIFS(tblAuftraege[Ausgaben],tblAuftraege[Datum Ausgaben],"&gt;="&amp;AL$5,tblAuftraege[Datum Ausgaben],"&lt;"&amp;EDATE(AL$5,1),tblAuftraege[Auftrag],$A81))</f>
        <v>0</v>
      </c>
      <c r="AM81" s="11" t="n">
        <f aca="false">IF($A81="",0,SUMIFS(tblAuftraege[Ausgaben],tblAuftraege[Datum Ausgaben],"&gt;="&amp;AM$5,tblAuftraege[Datum Ausgaben],"&lt;"&amp;EDATE(AM$5,1),tblAuftraege[Auftrag],$A81))</f>
        <v>0</v>
      </c>
      <c r="AN81" s="11" t="n">
        <f aca="false">IF($A81="",0,SUMIFS(tblAuftraege[Ausgaben],tblAuftraege[Datum Ausgaben],"&gt;="&amp;AN$5,tblAuftraege[Datum Ausgaben],"&lt;"&amp;EDATE(AN$5,1),tblAuftraege[Auftrag],$A81))</f>
        <v>0</v>
      </c>
      <c r="AO81" s="11" t="n">
        <f aca="false">IF($A81="",0,SUMIFS(tblAuftraege[Ausgaben],tblAuftraege[Datum Ausgaben],"&gt;="&amp;AO$5,tblAuftraege[Datum Ausgaben],"&lt;"&amp;EDATE(AO$5,1),tblAuftraege[Auftrag],$A81))</f>
        <v>0</v>
      </c>
      <c r="AP81" s="11" t="n">
        <f aca="false">IF($A81="",0,SUMIFS(tblAuftraege[Ausgaben],tblAuftraege[Datum Ausgaben],"&gt;="&amp;AP$5,tblAuftraege[Datum Ausgaben],"&lt;"&amp;EDATE(AP$5,1),tblAuftraege[Auftrag],$A81))</f>
        <v>0</v>
      </c>
      <c r="AQ81" s="11" t="n">
        <f aca="false">IF($A81="",0,SUMIFS(tblAuftraege[Ausgaben],tblAuftraege[Datum Ausgaben],"&gt;="&amp;AQ$5,tblAuftraege[Datum Ausgaben],"&lt;"&amp;EDATE(AQ$5,1),tblAuftraege[Auftrag],$A81))</f>
        <v>0</v>
      </c>
      <c r="AR81" s="11" t="n">
        <f aca="false">IF($A81="",0,SUMIFS(tblAuftraege[Ausgaben],tblAuftraege[Datum Ausgaben],"&gt;="&amp;AR$5,tblAuftraege[Datum Ausgaben],"&lt;"&amp;EDATE(AR$5,1),tblAuftraege[Auftrag],$A81))</f>
        <v>0</v>
      </c>
      <c r="AS81" s="11" t="n">
        <f aca="false">IF($A81="",0,SUMIFS(tblAuftraege[Ausgaben],tblAuftraege[Datum Ausgaben],"&gt;="&amp;AS$5,tblAuftraege[Datum Ausgaben],"&lt;"&amp;EDATE(AS$5,1),tblAuftraege[Auftrag],$A81))</f>
        <v>0</v>
      </c>
      <c r="AT81" s="11" t="n">
        <f aca="false">IF($A81="",0,SUMIFS(tblAuftraege[Ausgaben],tblAuftraege[Datum Ausgaben],"&gt;="&amp;AT$5,tblAuftraege[Datum Ausgaben],"&lt;"&amp;EDATE(AT$5,1),tblAuftraege[Auftrag],$A81))</f>
        <v>0</v>
      </c>
      <c r="AU81" s="11" t="n">
        <f aca="false">IF($A81="",0,SUMIFS(tblAuftraege[Ausgaben],tblAuftraege[Datum Ausgaben],"&gt;="&amp;AU$5,tblAuftraege[Datum Ausgaben],"&lt;"&amp;EDATE(AU$5,1),tblAuftraege[Auftrag],$A81))</f>
        <v>0</v>
      </c>
      <c r="AV81" s="11" t="n">
        <f aca="false">IF($A81="",0,SUMIFS(tblAuftraege[Ausgaben],tblAuftraege[Datum Ausgaben],"&gt;="&amp;AV$5,tblAuftraege[Datum Ausgaben],"&lt;"&amp;EDATE(AV$5,1),tblAuftraege[Auftrag],$A81))</f>
        <v>0</v>
      </c>
      <c r="AW81" s="11" t="n">
        <f aca="false">IF($A81="",0,SUMIFS(tblAuftraege[Ausgaben],tblAuftraege[Datum Ausgaben],"&gt;="&amp;AW$5,tblAuftraege[Datum Ausgaben],"&lt;"&amp;EDATE(AW$5,1),tblAuftraege[Auftrag],$A81))</f>
        <v>0</v>
      </c>
      <c r="AX81" s="11" t="n">
        <f aca="false">IF($A81="",0,SUMIFS(tblAuftraege[Ausgaben],tblAuftraege[Datum Ausgaben],"&gt;="&amp;AX$5,tblAuftraege[Datum Ausgaben],"&lt;"&amp;EDATE(AX$5,1),tblAuftraege[Auftrag],$A81))</f>
        <v>0</v>
      </c>
      <c r="AY81" s="11" t="n">
        <f aca="false">IF($A81="",0,SUMIFS(tblAuftraege[Ausgaben],tblAuftraege[Datum Ausgaben],"&gt;="&amp;AY$5,tblAuftraege[Datum Ausgaben],"&lt;"&amp;EDATE(AY$5,1),tblAuftraege[Auftrag],$A81))</f>
        <v>0</v>
      </c>
      <c r="AZ81" s="11" t="n">
        <f aca="false">IF($A81="",0,SUMIFS(tblAuftraege[Ausgaben],tblAuftraege[Datum Ausgaben],"&gt;="&amp;AZ$5,tblAuftraege[Datum Ausgaben],"&lt;"&amp;EDATE(AZ$5,1),tblAuftraege[Auftrag],$A81))</f>
        <v>0</v>
      </c>
      <c r="BA81" s="11" t="n">
        <f aca="false">IF($A81="",0,SUMIFS(tblAuftraege[Ausgaben],tblAuftraege[Datum Ausgaben],"&gt;="&amp;BA$5,tblAuftraege[Datum Ausgaben],"&lt;"&amp;EDATE(BA$5,1),tblAuftraege[Auftrag],$A81))</f>
        <v>0</v>
      </c>
      <c r="BB81" s="11" t="n">
        <f aca="false">IF($A81="",0,SUMIFS(tblAuftraege[Ausgaben],tblAuftraege[Datum Ausgaben],"&gt;="&amp;BB$5,tblAuftraege[Datum Ausgaben],"&lt;"&amp;EDATE(BB$5,1),tblAuftraege[Auftrag],$A81))</f>
        <v>0</v>
      </c>
      <c r="BC81" s="11" t="n">
        <f aca="false">IF($A81="",0,SUMIFS(tblAuftraege[Ausgaben],tblAuftraege[Datum Ausgaben],"&gt;="&amp;BC$5,tblAuftraege[Datum Ausgaben],"&lt;"&amp;EDATE(BC$5,1),tblAuftraege[Auftrag],$A81))</f>
        <v>0</v>
      </c>
      <c r="BD81" s="11" t="n">
        <f aca="false">IF($A81="",0,SUMIFS(tblAuftraege[Ausgaben],tblAuftraege[Datum Ausgaben],"&gt;="&amp;BD$5,tblAuftraege[Datum Ausgaben],"&lt;"&amp;EDATE(BD$5,1),tblAuftraege[Auftrag],$A81))</f>
        <v>0</v>
      </c>
      <c r="BE81" s="11" t="n">
        <f aca="false">IF($A81="",0,SUMIFS(tblAuftraege[Ausgaben],tblAuftraege[Datum Ausgaben],"&gt;="&amp;BE$5,tblAuftraege[Datum Ausgaben],"&lt;"&amp;EDATE(BE$5,1),tblAuftraege[Auftrag],$A81))</f>
        <v>0</v>
      </c>
      <c r="BF81" s="11" t="n">
        <f aca="false">IF($A81="",0,SUMIFS(tblAuftraege[Ausgaben],tblAuftraege[Datum Ausgaben],"&gt;="&amp;BF$5,tblAuftraege[Datum Ausgaben],"&lt;"&amp;EDATE(BF$5,1),tblAuftraege[Auftrag],$A81))</f>
        <v>0</v>
      </c>
      <c r="BG81" s="11" t="n">
        <f aca="false">SUM(E81:J81)</f>
        <v>0</v>
      </c>
      <c r="BH81" s="11" t="n">
        <f aca="false">SUM(K81:V81)</f>
        <v>0</v>
      </c>
      <c r="BI81" s="11" t="n">
        <f aca="false">SUM(W81:AH81)</f>
        <v>0</v>
      </c>
      <c r="BJ81" s="11" t="n">
        <f aca="false">SUM(AI81:AT81)</f>
        <v>0</v>
      </c>
      <c r="BK81" s="11" t="n">
        <f aca="false">SUM(AU81:BF81)</f>
        <v>0</v>
      </c>
      <c r="BL81" s="12" t="n">
        <f aca="false">SUM(E81:BF81)</f>
        <v>0</v>
      </c>
    </row>
    <row r="82" customFormat="false" ht="15" hidden="false" customHeight="false" outlineLevel="0" collapsed="false">
      <c r="A82" s="9"/>
      <c r="B82" s="10" t="str">
        <f aca="false">IF($A82="","",IFERROR(INDEX(tblAuftraege[Kostenstelle],MATCH($A82,tblAuftraege[Auftrag],0)),""))</f>
        <v/>
      </c>
      <c r="C82" s="10" t="str">
        <f aca="false">IF($A82="","",IFERROR(INDEX(tblAuftraege[Themenfeld],MATCH($A82,tblAuftraege[Auftrag],0)),""))</f>
        <v/>
      </c>
      <c r="D82" s="10" t="str">
        <f aca="false">IF($A82="","",IFERROR(INDEX(tblAuftraege[Kategorie],MATCH($A82,tblAuftraege[Auftrag],0)),""))</f>
        <v/>
      </c>
      <c r="E82" s="11" t="n">
        <f aca="false">IF($A82="",0,SUMIFS(tblAuftraege[Ausgaben],tblAuftraege[Datum Ausgaben],"&gt;="&amp;E$5,tblAuftraege[Datum Ausgaben],"&lt;"&amp;EDATE(E$5,1),tblAuftraege[Auftrag],$A82))</f>
        <v>0</v>
      </c>
      <c r="F82" s="11" t="n">
        <f aca="false">IF($A82="",0,SUMIFS(tblAuftraege[Ausgaben],tblAuftraege[Datum Ausgaben],"&gt;="&amp;F$5,tblAuftraege[Datum Ausgaben],"&lt;"&amp;EDATE(F$5,1),tblAuftraege[Auftrag],$A82))</f>
        <v>0</v>
      </c>
      <c r="G82" s="11" t="n">
        <f aca="false">IF($A82="",0,SUMIFS(tblAuftraege[Ausgaben],tblAuftraege[Datum Ausgaben],"&gt;="&amp;G$5,tblAuftraege[Datum Ausgaben],"&lt;"&amp;EDATE(G$5,1),tblAuftraege[Auftrag],$A82))</f>
        <v>0</v>
      </c>
      <c r="H82" s="11" t="n">
        <f aca="false">IF($A82="",0,SUMIFS(tblAuftraege[Ausgaben],tblAuftraege[Datum Ausgaben],"&gt;="&amp;H$5,tblAuftraege[Datum Ausgaben],"&lt;"&amp;EDATE(H$5,1),tblAuftraege[Auftrag],$A82))</f>
        <v>0</v>
      </c>
      <c r="I82" s="11" t="n">
        <f aca="false">IF($A82="",0,SUMIFS(tblAuftraege[Ausgaben],tblAuftraege[Datum Ausgaben],"&gt;="&amp;I$5,tblAuftraege[Datum Ausgaben],"&lt;"&amp;EDATE(I$5,1),tblAuftraege[Auftrag],$A82))</f>
        <v>0</v>
      </c>
      <c r="J82" s="11" t="n">
        <f aca="false">IF($A82="",0,SUMIFS(tblAuftraege[Ausgaben],tblAuftraege[Datum Ausgaben],"&gt;="&amp;J$5,tblAuftraege[Datum Ausgaben],"&lt;"&amp;EDATE(J$5,1),tblAuftraege[Auftrag],$A82))</f>
        <v>0</v>
      </c>
      <c r="K82" s="11" t="n">
        <f aca="false">IF($A82="",0,SUMIFS(tblAuftraege[Ausgaben],tblAuftraege[Datum Ausgaben],"&gt;="&amp;K$5,tblAuftraege[Datum Ausgaben],"&lt;"&amp;EDATE(K$5,1),tblAuftraege[Auftrag],$A82))</f>
        <v>0</v>
      </c>
      <c r="L82" s="11" t="n">
        <f aca="false">IF($A82="",0,SUMIFS(tblAuftraege[Ausgaben],tblAuftraege[Datum Ausgaben],"&gt;="&amp;L$5,tblAuftraege[Datum Ausgaben],"&lt;"&amp;EDATE(L$5,1),tblAuftraege[Auftrag],$A82))</f>
        <v>0</v>
      </c>
      <c r="M82" s="11" t="n">
        <f aca="false">IF($A82="",0,SUMIFS(tblAuftraege[Ausgaben],tblAuftraege[Datum Ausgaben],"&gt;="&amp;M$5,tblAuftraege[Datum Ausgaben],"&lt;"&amp;EDATE(M$5,1),tblAuftraege[Auftrag],$A82))</f>
        <v>0</v>
      </c>
      <c r="N82" s="11" t="n">
        <f aca="false">IF($A82="",0,SUMIFS(tblAuftraege[Ausgaben],tblAuftraege[Datum Ausgaben],"&gt;="&amp;N$5,tblAuftraege[Datum Ausgaben],"&lt;"&amp;EDATE(N$5,1),tblAuftraege[Auftrag],$A82))</f>
        <v>0</v>
      </c>
      <c r="O82" s="11" t="n">
        <f aca="false">IF($A82="",0,SUMIFS(tblAuftraege[Ausgaben],tblAuftraege[Datum Ausgaben],"&gt;="&amp;O$5,tblAuftraege[Datum Ausgaben],"&lt;"&amp;EDATE(O$5,1),tblAuftraege[Auftrag],$A82))</f>
        <v>0</v>
      </c>
      <c r="P82" s="11" t="n">
        <f aca="false">IF($A82="",0,SUMIFS(tblAuftraege[Ausgaben],tblAuftraege[Datum Ausgaben],"&gt;="&amp;P$5,tblAuftraege[Datum Ausgaben],"&lt;"&amp;EDATE(P$5,1),tblAuftraege[Auftrag],$A82))</f>
        <v>0</v>
      </c>
      <c r="Q82" s="11" t="n">
        <f aca="false">IF($A82="",0,SUMIFS(tblAuftraege[Ausgaben],tblAuftraege[Datum Ausgaben],"&gt;="&amp;Q$5,tblAuftraege[Datum Ausgaben],"&lt;"&amp;EDATE(Q$5,1),tblAuftraege[Auftrag],$A82))</f>
        <v>0</v>
      </c>
      <c r="R82" s="11" t="n">
        <f aca="false">IF($A82="",0,SUMIFS(tblAuftraege[Ausgaben],tblAuftraege[Datum Ausgaben],"&gt;="&amp;R$5,tblAuftraege[Datum Ausgaben],"&lt;"&amp;EDATE(R$5,1),tblAuftraege[Auftrag],$A82))</f>
        <v>0</v>
      </c>
      <c r="S82" s="11" t="n">
        <f aca="false">IF($A82="",0,SUMIFS(tblAuftraege[Ausgaben],tblAuftraege[Datum Ausgaben],"&gt;="&amp;S$5,tblAuftraege[Datum Ausgaben],"&lt;"&amp;EDATE(S$5,1),tblAuftraege[Auftrag],$A82))</f>
        <v>0</v>
      </c>
      <c r="T82" s="11" t="n">
        <f aca="false">IF($A82="",0,SUMIFS(tblAuftraege[Ausgaben],tblAuftraege[Datum Ausgaben],"&gt;="&amp;T$5,tblAuftraege[Datum Ausgaben],"&lt;"&amp;EDATE(T$5,1),tblAuftraege[Auftrag],$A82))</f>
        <v>0</v>
      </c>
      <c r="U82" s="11" t="n">
        <f aca="false">IF($A82="",0,SUMIFS(tblAuftraege[Ausgaben],tblAuftraege[Datum Ausgaben],"&gt;="&amp;U$5,tblAuftraege[Datum Ausgaben],"&lt;"&amp;EDATE(U$5,1),tblAuftraege[Auftrag],$A82))</f>
        <v>0</v>
      </c>
      <c r="V82" s="11" t="n">
        <f aca="false">IF($A82="",0,SUMIFS(tblAuftraege[Ausgaben],tblAuftraege[Datum Ausgaben],"&gt;="&amp;V$5,tblAuftraege[Datum Ausgaben],"&lt;"&amp;EDATE(V$5,1),tblAuftraege[Auftrag],$A82))</f>
        <v>0</v>
      </c>
      <c r="W82" s="11" t="n">
        <f aca="false">IF($A82="",0,SUMIFS(tblAuftraege[Ausgaben],tblAuftraege[Datum Ausgaben],"&gt;="&amp;W$5,tblAuftraege[Datum Ausgaben],"&lt;"&amp;EDATE(W$5,1),tblAuftraege[Auftrag],$A82))</f>
        <v>0</v>
      </c>
      <c r="X82" s="11" t="n">
        <f aca="false">IF($A82="",0,SUMIFS(tblAuftraege[Ausgaben],tblAuftraege[Datum Ausgaben],"&gt;="&amp;X$5,tblAuftraege[Datum Ausgaben],"&lt;"&amp;EDATE(X$5,1),tblAuftraege[Auftrag],$A82))</f>
        <v>0</v>
      </c>
      <c r="Y82" s="11" t="n">
        <f aca="false">IF($A82="",0,SUMIFS(tblAuftraege[Ausgaben],tblAuftraege[Datum Ausgaben],"&gt;="&amp;Y$5,tblAuftraege[Datum Ausgaben],"&lt;"&amp;EDATE(Y$5,1),tblAuftraege[Auftrag],$A82))</f>
        <v>0</v>
      </c>
      <c r="Z82" s="11" t="n">
        <f aca="false">IF($A82="",0,SUMIFS(tblAuftraege[Ausgaben],tblAuftraege[Datum Ausgaben],"&gt;="&amp;Z$5,tblAuftraege[Datum Ausgaben],"&lt;"&amp;EDATE(Z$5,1),tblAuftraege[Auftrag],$A82))</f>
        <v>0</v>
      </c>
      <c r="AA82" s="11" t="n">
        <f aca="false">IF($A82="",0,SUMIFS(tblAuftraege[Ausgaben],tblAuftraege[Datum Ausgaben],"&gt;="&amp;AA$5,tblAuftraege[Datum Ausgaben],"&lt;"&amp;EDATE(AA$5,1),tblAuftraege[Auftrag],$A82))</f>
        <v>0</v>
      </c>
      <c r="AB82" s="11" t="n">
        <f aca="false">IF($A82="",0,SUMIFS(tblAuftraege[Ausgaben],tblAuftraege[Datum Ausgaben],"&gt;="&amp;AB$5,tblAuftraege[Datum Ausgaben],"&lt;"&amp;EDATE(AB$5,1),tblAuftraege[Auftrag],$A82))</f>
        <v>0</v>
      </c>
      <c r="AC82" s="11" t="n">
        <f aca="false">IF($A82="",0,SUMIFS(tblAuftraege[Ausgaben],tblAuftraege[Datum Ausgaben],"&gt;="&amp;AC$5,tblAuftraege[Datum Ausgaben],"&lt;"&amp;EDATE(AC$5,1),tblAuftraege[Auftrag],$A82))</f>
        <v>0</v>
      </c>
      <c r="AD82" s="11" t="n">
        <f aca="false">IF($A82="",0,SUMIFS(tblAuftraege[Ausgaben],tblAuftraege[Datum Ausgaben],"&gt;="&amp;AD$5,tblAuftraege[Datum Ausgaben],"&lt;"&amp;EDATE(AD$5,1),tblAuftraege[Auftrag],$A82))</f>
        <v>0</v>
      </c>
      <c r="AE82" s="11" t="n">
        <f aca="false">IF($A82="",0,SUMIFS(tblAuftraege[Ausgaben],tblAuftraege[Datum Ausgaben],"&gt;="&amp;AE$5,tblAuftraege[Datum Ausgaben],"&lt;"&amp;EDATE(AE$5,1),tblAuftraege[Auftrag],$A82))</f>
        <v>0</v>
      </c>
      <c r="AF82" s="11" t="n">
        <f aca="false">IF($A82="",0,SUMIFS(tblAuftraege[Ausgaben],tblAuftraege[Datum Ausgaben],"&gt;="&amp;AF$5,tblAuftraege[Datum Ausgaben],"&lt;"&amp;EDATE(AF$5,1),tblAuftraege[Auftrag],$A82))</f>
        <v>0</v>
      </c>
      <c r="AG82" s="11" t="n">
        <f aca="false">IF($A82="",0,SUMIFS(tblAuftraege[Ausgaben],tblAuftraege[Datum Ausgaben],"&gt;="&amp;AG$5,tblAuftraege[Datum Ausgaben],"&lt;"&amp;EDATE(AG$5,1),tblAuftraege[Auftrag],$A82))</f>
        <v>0</v>
      </c>
      <c r="AH82" s="11" t="n">
        <f aca="false">IF($A82="",0,SUMIFS(tblAuftraege[Ausgaben],tblAuftraege[Datum Ausgaben],"&gt;="&amp;AH$5,tblAuftraege[Datum Ausgaben],"&lt;"&amp;EDATE(AH$5,1),tblAuftraege[Auftrag],$A82))</f>
        <v>0</v>
      </c>
      <c r="AI82" s="11" t="n">
        <f aca="false">IF($A82="",0,SUMIFS(tblAuftraege[Ausgaben],tblAuftraege[Datum Ausgaben],"&gt;="&amp;AI$5,tblAuftraege[Datum Ausgaben],"&lt;"&amp;EDATE(AI$5,1),tblAuftraege[Auftrag],$A82))</f>
        <v>0</v>
      </c>
      <c r="AJ82" s="11" t="n">
        <f aca="false">IF($A82="",0,SUMIFS(tblAuftraege[Ausgaben],tblAuftraege[Datum Ausgaben],"&gt;="&amp;AJ$5,tblAuftraege[Datum Ausgaben],"&lt;"&amp;EDATE(AJ$5,1),tblAuftraege[Auftrag],$A82))</f>
        <v>0</v>
      </c>
      <c r="AK82" s="11" t="n">
        <f aca="false">IF($A82="",0,SUMIFS(tblAuftraege[Ausgaben],tblAuftraege[Datum Ausgaben],"&gt;="&amp;AK$5,tblAuftraege[Datum Ausgaben],"&lt;"&amp;EDATE(AK$5,1),tblAuftraege[Auftrag],$A82))</f>
        <v>0</v>
      </c>
      <c r="AL82" s="11" t="n">
        <f aca="false">IF($A82="",0,SUMIFS(tblAuftraege[Ausgaben],tblAuftraege[Datum Ausgaben],"&gt;="&amp;AL$5,tblAuftraege[Datum Ausgaben],"&lt;"&amp;EDATE(AL$5,1),tblAuftraege[Auftrag],$A82))</f>
        <v>0</v>
      </c>
      <c r="AM82" s="11" t="n">
        <f aca="false">IF($A82="",0,SUMIFS(tblAuftraege[Ausgaben],tblAuftraege[Datum Ausgaben],"&gt;="&amp;AM$5,tblAuftraege[Datum Ausgaben],"&lt;"&amp;EDATE(AM$5,1),tblAuftraege[Auftrag],$A82))</f>
        <v>0</v>
      </c>
      <c r="AN82" s="11" t="n">
        <f aca="false">IF($A82="",0,SUMIFS(tblAuftraege[Ausgaben],tblAuftraege[Datum Ausgaben],"&gt;="&amp;AN$5,tblAuftraege[Datum Ausgaben],"&lt;"&amp;EDATE(AN$5,1),tblAuftraege[Auftrag],$A82))</f>
        <v>0</v>
      </c>
      <c r="AO82" s="11" t="n">
        <f aca="false">IF($A82="",0,SUMIFS(tblAuftraege[Ausgaben],tblAuftraege[Datum Ausgaben],"&gt;="&amp;AO$5,tblAuftraege[Datum Ausgaben],"&lt;"&amp;EDATE(AO$5,1),tblAuftraege[Auftrag],$A82))</f>
        <v>0</v>
      </c>
      <c r="AP82" s="11" t="n">
        <f aca="false">IF($A82="",0,SUMIFS(tblAuftraege[Ausgaben],tblAuftraege[Datum Ausgaben],"&gt;="&amp;AP$5,tblAuftraege[Datum Ausgaben],"&lt;"&amp;EDATE(AP$5,1),tblAuftraege[Auftrag],$A82))</f>
        <v>0</v>
      </c>
      <c r="AQ82" s="11" t="n">
        <f aca="false">IF($A82="",0,SUMIFS(tblAuftraege[Ausgaben],tblAuftraege[Datum Ausgaben],"&gt;="&amp;AQ$5,tblAuftraege[Datum Ausgaben],"&lt;"&amp;EDATE(AQ$5,1),tblAuftraege[Auftrag],$A82))</f>
        <v>0</v>
      </c>
      <c r="AR82" s="11" t="n">
        <f aca="false">IF($A82="",0,SUMIFS(tblAuftraege[Ausgaben],tblAuftraege[Datum Ausgaben],"&gt;="&amp;AR$5,tblAuftraege[Datum Ausgaben],"&lt;"&amp;EDATE(AR$5,1),tblAuftraege[Auftrag],$A82))</f>
        <v>0</v>
      </c>
      <c r="AS82" s="11" t="n">
        <f aca="false">IF($A82="",0,SUMIFS(tblAuftraege[Ausgaben],tblAuftraege[Datum Ausgaben],"&gt;="&amp;AS$5,tblAuftraege[Datum Ausgaben],"&lt;"&amp;EDATE(AS$5,1),tblAuftraege[Auftrag],$A82))</f>
        <v>0</v>
      </c>
      <c r="AT82" s="11" t="n">
        <f aca="false">IF($A82="",0,SUMIFS(tblAuftraege[Ausgaben],tblAuftraege[Datum Ausgaben],"&gt;="&amp;AT$5,tblAuftraege[Datum Ausgaben],"&lt;"&amp;EDATE(AT$5,1),tblAuftraege[Auftrag],$A82))</f>
        <v>0</v>
      </c>
      <c r="AU82" s="11" t="n">
        <f aca="false">IF($A82="",0,SUMIFS(tblAuftraege[Ausgaben],tblAuftraege[Datum Ausgaben],"&gt;="&amp;AU$5,tblAuftraege[Datum Ausgaben],"&lt;"&amp;EDATE(AU$5,1),tblAuftraege[Auftrag],$A82))</f>
        <v>0</v>
      </c>
      <c r="AV82" s="11" t="n">
        <f aca="false">IF($A82="",0,SUMIFS(tblAuftraege[Ausgaben],tblAuftraege[Datum Ausgaben],"&gt;="&amp;AV$5,tblAuftraege[Datum Ausgaben],"&lt;"&amp;EDATE(AV$5,1),tblAuftraege[Auftrag],$A82))</f>
        <v>0</v>
      </c>
      <c r="AW82" s="11" t="n">
        <f aca="false">IF($A82="",0,SUMIFS(tblAuftraege[Ausgaben],tblAuftraege[Datum Ausgaben],"&gt;="&amp;AW$5,tblAuftraege[Datum Ausgaben],"&lt;"&amp;EDATE(AW$5,1),tblAuftraege[Auftrag],$A82))</f>
        <v>0</v>
      </c>
      <c r="AX82" s="11" t="n">
        <f aca="false">IF($A82="",0,SUMIFS(tblAuftraege[Ausgaben],tblAuftraege[Datum Ausgaben],"&gt;="&amp;AX$5,tblAuftraege[Datum Ausgaben],"&lt;"&amp;EDATE(AX$5,1),tblAuftraege[Auftrag],$A82))</f>
        <v>0</v>
      </c>
      <c r="AY82" s="11" t="n">
        <f aca="false">IF($A82="",0,SUMIFS(tblAuftraege[Ausgaben],tblAuftraege[Datum Ausgaben],"&gt;="&amp;AY$5,tblAuftraege[Datum Ausgaben],"&lt;"&amp;EDATE(AY$5,1),tblAuftraege[Auftrag],$A82))</f>
        <v>0</v>
      </c>
      <c r="AZ82" s="11" t="n">
        <f aca="false">IF($A82="",0,SUMIFS(tblAuftraege[Ausgaben],tblAuftraege[Datum Ausgaben],"&gt;="&amp;AZ$5,tblAuftraege[Datum Ausgaben],"&lt;"&amp;EDATE(AZ$5,1),tblAuftraege[Auftrag],$A82))</f>
        <v>0</v>
      </c>
      <c r="BA82" s="11" t="n">
        <f aca="false">IF($A82="",0,SUMIFS(tblAuftraege[Ausgaben],tblAuftraege[Datum Ausgaben],"&gt;="&amp;BA$5,tblAuftraege[Datum Ausgaben],"&lt;"&amp;EDATE(BA$5,1),tblAuftraege[Auftrag],$A82))</f>
        <v>0</v>
      </c>
      <c r="BB82" s="11" t="n">
        <f aca="false">IF($A82="",0,SUMIFS(tblAuftraege[Ausgaben],tblAuftraege[Datum Ausgaben],"&gt;="&amp;BB$5,tblAuftraege[Datum Ausgaben],"&lt;"&amp;EDATE(BB$5,1),tblAuftraege[Auftrag],$A82))</f>
        <v>0</v>
      </c>
      <c r="BC82" s="11" t="n">
        <f aca="false">IF($A82="",0,SUMIFS(tblAuftraege[Ausgaben],tblAuftraege[Datum Ausgaben],"&gt;="&amp;BC$5,tblAuftraege[Datum Ausgaben],"&lt;"&amp;EDATE(BC$5,1),tblAuftraege[Auftrag],$A82))</f>
        <v>0</v>
      </c>
      <c r="BD82" s="11" t="n">
        <f aca="false">IF($A82="",0,SUMIFS(tblAuftraege[Ausgaben],tblAuftraege[Datum Ausgaben],"&gt;="&amp;BD$5,tblAuftraege[Datum Ausgaben],"&lt;"&amp;EDATE(BD$5,1),tblAuftraege[Auftrag],$A82))</f>
        <v>0</v>
      </c>
      <c r="BE82" s="11" t="n">
        <f aca="false">IF($A82="",0,SUMIFS(tblAuftraege[Ausgaben],tblAuftraege[Datum Ausgaben],"&gt;="&amp;BE$5,tblAuftraege[Datum Ausgaben],"&lt;"&amp;EDATE(BE$5,1),tblAuftraege[Auftrag],$A82))</f>
        <v>0</v>
      </c>
      <c r="BF82" s="11" t="n">
        <f aca="false">IF($A82="",0,SUMIFS(tblAuftraege[Ausgaben],tblAuftraege[Datum Ausgaben],"&gt;="&amp;BF$5,tblAuftraege[Datum Ausgaben],"&lt;"&amp;EDATE(BF$5,1),tblAuftraege[Auftrag],$A82))</f>
        <v>0</v>
      </c>
      <c r="BG82" s="11" t="n">
        <f aca="false">SUM(E82:J82)</f>
        <v>0</v>
      </c>
      <c r="BH82" s="11" t="n">
        <f aca="false">SUM(K82:V82)</f>
        <v>0</v>
      </c>
      <c r="BI82" s="11" t="n">
        <f aca="false">SUM(W82:AH82)</f>
        <v>0</v>
      </c>
      <c r="BJ82" s="11" t="n">
        <f aca="false">SUM(AI82:AT82)</f>
        <v>0</v>
      </c>
      <c r="BK82" s="11" t="n">
        <f aca="false">SUM(AU82:BF82)</f>
        <v>0</v>
      </c>
      <c r="BL82" s="12" t="n">
        <f aca="false">SUM(E82:BF82)</f>
        <v>0</v>
      </c>
    </row>
    <row r="83" customFormat="false" ht="15" hidden="false" customHeight="false" outlineLevel="0" collapsed="false">
      <c r="A83" s="9"/>
      <c r="B83" s="10" t="str">
        <f aca="false">IF($A83="","",IFERROR(INDEX(tblAuftraege[Kostenstelle],MATCH($A83,tblAuftraege[Auftrag],0)),""))</f>
        <v/>
      </c>
      <c r="C83" s="10" t="str">
        <f aca="false">IF($A83="","",IFERROR(INDEX(tblAuftraege[Themenfeld],MATCH($A83,tblAuftraege[Auftrag],0)),""))</f>
        <v/>
      </c>
      <c r="D83" s="10" t="str">
        <f aca="false">IF($A83="","",IFERROR(INDEX(tblAuftraege[Kategorie],MATCH($A83,tblAuftraege[Auftrag],0)),""))</f>
        <v/>
      </c>
      <c r="E83" s="11" t="n">
        <f aca="false">IF($A83="",0,SUMIFS(tblAuftraege[Ausgaben],tblAuftraege[Datum Ausgaben],"&gt;="&amp;E$5,tblAuftraege[Datum Ausgaben],"&lt;"&amp;EDATE(E$5,1),tblAuftraege[Auftrag],$A83))</f>
        <v>0</v>
      </c>
      <c r="F83" s="11" t="n">
        <f aca="false">IF($A83="",0,SUMIFS(tblAuftraege[Ausgaben],tblAuftraege[Datum Ausgaben],"&gt;="&amp;F$5,tblAuftraege[Datum Ausgaben],"&lt;"&amp;EDATE(F$5,1),tblAuftraege[Auftrag],$A83))</f>
        <v>0</v>
      </c>
      <c r="G83" s="11" t="n">
        <f aca="false">IF($A83="",0,SUMIFS(tblAuftraege[Ausgaben],tblAuftraege[Datum Ausgaben],"&gt;="&amp;G$5,tblAuftraege[Datum Ausgaben],"&lt;"&amp;EDATE(G$5,1),tblAuftraege[Auftrag],$A83))</f>
        <v>0</v>
      </c>
      <c r="H83" s="11" t="n">
        <f aca="false">IF($A83="",0,SUMIFS(tblAuftraege[Ausgaben],tblAuftraege[Datum Ausgaben],"&gt;="&amp;H$5,tblAuftraege[Datum Ausgaben],"&lt;"&amp;EDATE(H$5,1),tblAuftraege[Auftrag],$A83))</f>
        <v>0</v>
      </c>
      <c r="I83" s="11" t="n">
        <f aca="false">IF($A83="",0,SUMIFS(tblAuftraege[Ausgaben],tblAuftraege[Datum Ausgaben],"&gt;="&amp;I$5,tblAuftraege[Datum Ausgaben],"&lt;"&amp;EDATE(I$5,1),tblAuftraege[Auftrag],$A83))</f>
        <v>0</v>
      </c>
      <c r="J83" s="11" t="n">
        <f aca="false">IF($A83="",0,SUMIFS(tblAuftraege[Ausgaben],tblAuftraege[Datum Ausgaben],"&gt;="&amp;J$5,tblAuftraege[Datum Ausgaben],"&lt;"&amp;EDATE(J$5,1),tblAuftraege[Auftrag],$A83))</f>
        <v>0</v>
      </c>
      <c r="K83" s="11" t="n">
        <f aca="false">IF($A83="",0,SUMIFS(tblAuftraege[Ausgaben],tblAuftraege[Datum Ausgaben],"&gt;="&amp;K$5,tblAuftraege[Datum Ausgaben],"&lt;"&amp;EDATE(K$5,1),tblAuftraege[Auftrag],$A83))</f>
        <v>0</v>
      </c>
      <c r="L83" s="11" t="n">
        <f aca="false">IF($A83="",0,SUMIFS(tblAuftraege[Ausgaben],tblAuftraege[Datum Ausgaben],"&gt;="&amp;L$5,tblAuftraege[Datum Ausgaben],"&lt;"&amp;EDATE(L$5,1),tblAuftraege[Auftrag],$A83))</f>
        <v>0</v>
      </c>
      <c r="M83" s="11" t="n">
        <f aca="false">IF($A83="",0,SUMIFS(tblAuftraege[Ausgaben],tblAuftraege[Datum Ausgaben],"&gt;="&amp;M$5,tblAuftraege[Datum Ausgaben],"&lt;"&amp;EDATE(M$5,1),tblAuftraege[Auftrag],$A83))</f>
        <v>0</v>
      </c>
      <c r="N83" s="11" t="n">
        <f aca="false">IF($A83="",0,SUMIFS(tblAuftraege[Ausgaben],tblAuftraege[Datum Ausgaben],"&gt;="&amp;N$5,tblAuftraege[Datum Ausgaben],"&lt;"&amp;EDATE(N$5,1),tblAuftraege[Auftrag],$A83))</f>
        <v>0</v>
      </c>
      <c r="O83" s="11" t="n">
        <f aca="false">IF($A83="",0,SUMIFS(tblAuftraege[Ausgaben],tblAuftraege[Datum Ausgaben],"&gt;="&amp;O$5,tblAuftraege[Datum Ausgaben],"&lt;"&amp;EDATE(O$5,1),tblAuftraege[Auftrag],$A83))</f>
        <v>0</v>
      </c>
      <c r="P83" s="11" t="n">
        <f aca="false">IF($A83="",0,SUMIFS(tblAuftraege[Ausgaben],tblAuftraege[Datum Ausgaben],"&gt;="&amp;P$5,tblAuftraege[Datum Ausgaben],"&lt;"&amp;EDATE(P$5,1),tblAuftraege[Auftrag],$A83))</f>
        <v>0</v>
      </c>
      <c r="Q83" s="11" t="n">
        <f aca="false">IF($A83="",0,SUMIFS(tblAuftraege[Ausgaben],tblAuftraege[Datum Ausgaben],"&gt;="&amp;Q$5,tblAuftraege[Datum Ausgaben],"&lt;"&amp;EDATE(Q$5,1),tblAuftraege[Auftrag],$A83))</f>
        <v>0</v>
      </c>
      <c r="R83" s="11" t="n">
        <f aca="false">IF($A83="",0,SUMIFS(tblAuftraege[Ausgaben],tblAuftraege[Datum Ausgaben],"&gt;="&amp;R$5,tblAuftraege[Datum Ausgaben],"&lt;"&amp;EDATE(R$5,1),tblAuftraege[Auftrag],$A83))</f>
        <v>0</v>
      </c>
      <c r="S83" s="11" t="n">
        <f aca="false">IF($A83="",0,SUMIFS(tblAuftraege[Ausgaben],tblAuftraege[Datum Ausgaben],"&gt;="&amp;S$5,tblAuftraege[Datum Ausgaben],"&lt;"&amp;EDATE(S$5,1),tblAuftraege[Auftrag],$A83))</f>
        <v>0</v>
      </c>
      <c r="T83" s="11" t="n">
        <f aca="false">IF($A83="",0,SUMIFS(tblAuftraege[Ausgaben],tblAuftraege[Datum Ausgaben],"&gt;="&amp;T$5,tblAuftraege[Datum Ausgaben],"&lt;"&amp;EDATE(T$5,1),tblAuftraege[Auftrag],$A83))</f>
        <v>0</v>
      </c>
      <c r="U83" s="11" t="n">
        <f aca="false">IF($A83="",0,SUMIFS(tblAuftraege[Ausgaben],tblAuftraege[Datum Ausgaben],"&gt;="&amp;U$5,tblAuftraege[Datum Ausgaben],"&lt;"&amp;EDATE(U$5,1),tblAuftraege[Auftrag],$A83))</f>
        <v>0</v>
      </c>
      <c r="V83" s="11" t="n">
        <f aca="false">IF($A83="",0,SUMIFS(tblAuftraege[Ausgaben],tblAuftraege[Datum Ausgaben],"&gt;="&amp;V$5,tblAuftraege[Datum Ausgaben],"&lt;"&amp;EDATE(V$5,1),tblAuftraege[Auftrag],$A83))</f>
        <v>0</v>
      </c>
      <c r="W83" s="11" t="n">
        <f aca="false">IF($A83="",0,SUMIFS(tblAuftraege[Ausgaben],tblAuftraege[Datum Ausgaben],"&gt;="&amp;W$5,tblAuftraege[Datum Ausgaben],"&lt;"&amp;EDATE(W$5,1),tblAuftraege[Auftrag],$A83))</f>
        <v>0</v>
      </c>
      <c r="X83" s="11" t="n">
        <f aca="false">IF($A83="",0,SUMIFS(tblAuftraege[Ausgaben],tblAuftraege[Datum Ausgaben],"&gt;="&amp;X$5,tblAuftraege[Datum Ausgaben],"&lt;"&amp;EDATE(X$5,1),tblAuftraege[Auftrag],$A83))</f>
        <v>0</v>
      </c>
      <c r="Y83" s="11" t="n">
        <f aca="false">IF($A83="",0,SUMIFS(tblAuftraege[Ausgaben],tblAuftraege[Datum Ausgaben],"&gt;="&amp;Y$5,tblAuftraege[Datum Ausgaben],"&lt;"&amp;EDATE(Y$5,1),tblAuftraege[Auftrag],$A83))</f>
        <v>0</v>
      </c>
      <c r="Z83" s="11" t="n">
        <f aca="false">IF($A83="",0,SUMIFS(tblAuftraege[Ausgaben],tblAuftraege[Datum Ausgaben],"&gt;="&amp;Z$5,tblAuftraege[Datum Ausgaben],"&lt;"&amp;EDATE(Z$5,1),tblAuftraege[Auftrag],$A83))</f>
        <v>0</v>
      </c>
      <c r="AA83" s="11" t="n">
        <f aca="false">IF($A83="",0,SUMIFS(tblAuftraege[Ausgaben],tblAuftraege[Datum Ausgaben],"&gt;="&amp;AA$5,tblAuftraege[Datum Ausgaben],"&lt;"&amp;EDATE(AA$5,1),tblAuftraege[Auftrag],$A83))</f>
        <v>0</v>
      </c>
      <c r="AB83" s="11" t="n">
        <f aca="false">IF($A83="",0,SUMIFS(tblAuftraege[Ausgaben],tblAuftraege[Datum Ausgaben],"&gt;="&amp;AB$5,tblAuftraege[Datum Ausgaben],"&lt;"&amp;EDATE(AB$5,1),tblAuftraege[Auftrag],$A83))</f>
        <v>0</v>
      </c>
      <c r="AC83" s="11" t="n">
        <f aca="false">IF($A83="",0,SUMIFS(tblAuftraege[Ausgaben],tblAuftraege[Datum Ausgaben],"&gt;="&amp;AC$5,tblAuftraege[Datum Ausgaben],"&lt;"&amp;EDATE(AC$5,1),tblAuftraege[Auftrag],$A83))</f>
        <v>0</v>
      </c>
      <c r="AD83" s="11" t="n">
        <f aca="false">IF($A83="",0,SUMIFS(tblAuftraege[Ausgaben],tblAuftraege[Datum Ausgaben],"&gt;="&amp;AD$5,tblAuftraege[Datum Ausgaben],"&lt;"&amp;EDATE(AD$5,1),tblAuftraege[Auftrag],$A83))</f>
        <v>0</v>
      </c>
      <c r="AE83" s="11" t="n">
        <f aca="false">IF($A83="",0,SUMIFS(tblAuftraege[Ausgaben],tblAuftraege[Datum Ausgaben],"&gt;="&amp;AE$5,tblAuftraege[Datum Ausgaben],"&lt;"&amp;EDATE(AE$5,1),tblAuftraege[Auftrag],$A83))</f>
        <v>0</v>
      </c>
      <c r="AF83" s="11" t="n">
        <f aca="false">IF($A83="",0,SUMIFS(tblAuftraege[Ausgaben],tblAuftraege[Datum Ausgaben],"&gt;="&amp;AF$5,tblAuftraege[Datum Ausgaben],"&lt;"&amp;EDATE(AF$5,1),tblAuftraege[Auftrag],$A83))</f>
        <v>0</v>
      </c>
      <c r="AG83" s="11" t="n">
        <f aca="false">IF($A83="",0,SUMIFS(tblAuftraege[Ausgaben],tblAuftraege[Datum Ausgaben],"&gt;="&amp;AG$5,tblAuftraege[Datum Ausgaben],"&lt;"&amp;EDATE(AG$5,1),tblAuftraege[Auftrag],$A83))</f>
        <v>0</v>
      </c>
      <c r="AH83" s="11" t="n">
        <f aca="false">IF($A83="",0,SUMIFS(tblAuftraege[Ausgaben],tblAuftraege[Datum Ausgaben],"&gt;="&amp;AH$5,tblAuftraege[Datum Ausgaben],"&lt;"&amp;EDATE(AH$5,1),tblAuftraege[Auftrag],$A83))</f>
        <v>0</v>
      </c>
      <c r="AI83" s="11" t="n">
        <f aca="false">IF($A83="",0,SUMIFS(tblAuftraege[Ausgaben],tblAuftraege[Datum Ausgaben],"&gt;="&amp;AI$5,tblAuftraege[Datum Ausgaben],"&lt;"&amp;EDATE(AI$5,1),tblAuftraege[Auftrag],$A83))</f>
        <v>0</v>
      </c>
      <c r="AJ83" s="11" t="n">
        <f aca="false">IF($A83="",0,SUMIFS(tblAuftraege[Ausgaben],tblAuftraege[Datum Ausgaben],"&gt;="&amp;AJ$5,tblAuftraege[Datum Ausgaben],"&lt;"&amp;EDATE(AJ$5,1),tblAuftraege[Auftrag],$A83))</f>
        <v>0</v>
      </c>
      <c r="AK83" s="11" t="n">
        <f aca="false">IF($A83="",0,SUMIFS(tblAuftraege[Ausgaben],tblAuftraege[Datum Ausgaben],"&gt;="&amp;AK$5,tblAuftraege[Datum Ausgaben],"&lt;"&amp;EDATE(AK$5,1),tblAuftraege[Auftrag],$A83))</f>
        <v>0</v>
      </c>
      <c r="AL83" s="11" t="n">
        <f aca="false">IF($A83="",0,SUMIFS(tblAuftraege[Ausgaben],tblAuftraege[Datum Ausgaben],"&gt;="&amp;AL$5,tblAuftraege[Datum Ausgaben],"&lt;"&amp;EDATE(AL$5,1),tblAuftraege[Auftrag],$A83))</f>
        <v>0</v>
      </c>
      <c r="AM83" s="11" t="n">
        <f aca="false">IF($A83="",0,SUMIFS(tblAuftraege[Ausgaben],tblAuftraege[Datum Ausgaben],"&gt;="&amp;AM$5,tblAuftraege[Datum Ausgaben],"&lt;"&amp;EDATE(AM$5,1),tblAuftraege[Auftrag],$A83))</f>
        <v>0</v>
      </c>
      <c r="AN83" s="11" t="n">
        <f aca="false">IF($A83="",0,SUMIFS(tblAuftraege[Ausgaben],tblAuftraege[Datum Ausgaben],"&gt;="&amp;AN$5,tblAuftraege[Datum Ausgaben],"&lt;"&amp;EDATE(AN$5,1),tblAuftraege[Auftrag],$A83))</f>
        <v>0</v>
      </c>
      <c r="AO83" s="11" t="n">
        <f aca="false">IF($A83="",0,SUMIFS(tblAuftraege[Ausgaben],tblAuftraege[Datum Ausgaben],"&gt;="&amp;AO$5,tblAuftraege[Datum Ausgaben],"&lt;"&amp;EDATE(AO$5,1),tblAuftraege[Auftrag],$A83))</f>
        <v>0</v>
      </c>
      <c r="AP83" s="11" t="n">
        <f aca="false">IF($A83="",0,SUMIFS(tblAuftraege[Ausgaben],tblAuftraege[Datum Ausgaben],"&gt;="&amp;AP$5,tblAuftraege[Datum Ausgaben],"&lt;"&amp;EDATE(AP$5,1),tblAuftraege[Auftrag],$A83))</f>
        <v>0</v>
      </c>
      <c r="AQ83" s="11" t="n">
        <f aca="false">IF($A83="",0,SUMIFS(tblAuftraege[Ausgaben],tblAuftraege[Datum Ausgaben],"&gt;="&amp;AQ$5,tblAuftraege[Datum Ausgaben],"&lt;"&amp;EDATE(AQ$5,1),tblAuftraege[Auftrag],$A83))</f>
        <v>0</v>
      </c>
      <c r="AR83" s="11" t="n">
        <f aca="false">IF($A83="",0,SUMIFS(tblAuftraege[Ausgaben],tblAuftraege[Datum Ausgaben],"&gt;="&amp;AR$5,tblAuftraege[Datum Ausgaben],"&lt;"&amp;EDATE(AR$5,1),tblAuftraege[Auftrag],$A83))</f>
        <v>0</v>
      </c>
      <c r="AS83" s="11" t="n">
        <f aca="false">IF($A83="",0,SUMIFS(tblAuftraege[Ausgaben],tblAuftraege[Datum Ausgaben],"&gt;="&amp;AS$5,tblAuftraege[Datum Ausgaben],"&lt;"&amp;EDATE(AS$5,1),tblAuftraege[Auftrag],$A83))</f>
        <v>0</v>
      </c>
      <c r="AT83" s="11" t="n">
        <f aca="false">IF($A83="",0,SUMIFS(tblAuftraege[Ausgaben],tblAuftraege[Datum Ausgaben],"&gt;="&amp;AT$5,tblAuftraege[Datum Ausgaben],"&lt;"&amp;EDATE(AT$5,1),tblAuftraege[Auftrag],$A83))</f>
        <v>0</v>
      </c>
      <c r="AU83" s="11" t="n">
        <f aca="false">IF($A83="",0,SUMIFS(tblAuftraege[Ausgaben],tblAuftraege[Datum Ausgaben],"&gt;="&amp;AU$5,tblAuftraege[Datum Ausgaben],"&lt;"&amp;EDATE(AU$5,1),tblAuftraege[Auftrag],$A83))</f>
        <v>0</v>
      </c>
      <c r="AV83" s="11" t="n">
        <f aca="false">IF($A83="",0,SUMIFS(tblAuftraege[Ausgaben],tblAuftraege[Datum Ausgaben],"&gt;="&amp;AV$5,tblAuftraege[Datum Ausgaben],"&lt;"&amp;EDATE(AV$5,1),tblAuftraege[Auftrag],$A83))</f>
        <v>0</v>
      </c>
      <c r="AW83" s="11" t="n">
        <f aca="false">IF($A83="",0,SUMIFS(tblAuftraege[Ausgaben],tblAuftraege[Datum Ausgaben],"&gt;="&amp;AW$5,tblAuftraege[Datum Ausgaben],"&lt;"&amp;EDATE(AW$5,1),tblAuftraege[Auftrag],$A83))</f>
        <v>0</v>
      </c>
      <c r="AX83" s="11" t="n">
        <f aca="false">IF($A83="",0,SUMIFS(tblAuftraege[Ausgaben],tblAuftraege[Datum Ausgaben],"&gt;="&amp;AX$5,tblAuftraege[Datum Ausgaben],"&lt;"&amp;EDATE(AX$5,1),tblAuftraege[Auftrag],$A83))</f>
        <v>0</v>
      </c>
      <c r="AY83" s="11" t="n">
        <f aca="false">IF($A83="",0,SUMIFS(tblAuftraege[Ausgaben],tblAuftraege[Datum Ausgaben],"&gt;="&amp;AY$5,tblAuftraege[Datum Ausgaben],"&lt;"&amp;EDATE(AY$5,1),tblAuftraege[Auftrag],$A83))</f>
        <v>0</v>
      </c>
      <c r="AZ83" s="11" t="n">
        <f aca="false">IF($A83="",0,SUMIFS(tblAuftraege[Ausgaben],tblAuftraege[Datum Ausgaben],"&gt;="&amp;AZ$5,tblAuftraege[Datum Ausgaben],"&lt;"&amp;EDATE(AZ$5,1),tblAuftraege[Auftrag],$A83))</f>
        <v>0</v>
      </c>
      <c r="BA83" s="11" t="n">
        <f aca="false">IF($A83="",0,SUMIFS(tblAuftraege[Ausgaben],tblAuftraege[Datum Ausgaben],"&gt;="&amp;BA$5,tblAuftraege[Datum Ausgaben],"&lt;"&amp;EDATE(BA$5,1),tblAuftraege[Auftrag],$A83))</f>
        <v>0</v>
      </c>
      <c r="BB83" s="11" t="n">
        <f aca="false">IF($A83="",0,SUMIFS(tblAuftraege[Ausgaben],tblAuftraege[Datum Ausgaben],"&gt;="&amp;BB$5,tblAuftraege[Datum Ausgaben],"&lt;"&amp;EDATE(BB$5,1),tblAuftraege[Auftrag],$A83))</f>
        <v>0</v>
      </c>
      <c r="BC83" s="11" t="n">
        <f aca="false">IF($A83="",0,SUMIFS(tblAuftraege[Ausgaben],tblAuftraege[Datum Ausgaben],"&gt;="&amp;BC$5,tblAuftraege[Datum Ausgaben],"&lt;"&amp;EDATE(BC$5,1),tblAuftraege[Auftrag],$A83))</f>
        <v>0</v>
      </c>
      <c r="BD83" s="11" t="n">
        <f aca="false">IF($A83="",0,SUMIFS(tblAuftraege[Ausgaben],tblAuftraege[Datum Ausgaben],"&gt;="&amp;BD$5,tblAuftraege[Datum Ausgaben],"&lt;"&amp;EDATE(BD$5,1),tblAuftraege[Auftrag],$A83))</f>
        <v>0</v>
      </c>
      <c r="BE83" s="11" t="n">
        <f aca="false">IF($A83="",0,SUMIFS(tblAuftraege[Ausgaben],tblAuftraege[Datum Ausgaben],"&gt;="&amp;BE$5,tblAuftraege[Datum Ausgaben],"&lt;"&amp;EDATE(BE$5,1),tblAuftraege[Auftrag],$A83))</f>
        <v>0</v>
      </c>
      <c r="BF83" s="11" t="n">
        <f aca="false">IF($A83="",0,SUMIFS(tblAuftraege[Ausgaben],tblAuftraege[Datum Ausgaben],"&gt;="&amp;BF$5,tblAuftraege[Datum Ausgaben],"&lt;"&amp;EDATE(BF$5,1),tblAuftraege[Auftrag],$A83))</f>
        <v>0</v>
      </c>
      <c r="BG83" s="11" t="n">
        <f aca="false">SUM(E83:J83)</f>
        <v>0</v>
      </c>
      <c r="BH83" s="11" t="n">
        <f aca="false">SUM(K83:V83)</f>
        <v>0</v>
      </c>
      <c r="BI83" s="11" t="n">
        <f aca="false">SUM(W83:AH83)</f>
        <v>0</v>
      </c>
      <c r="BJ83" s="11" t="n">
        <f aca="false">SUM(AI83:AT83)</f>
        <v>0</v>
      </c>
      <c r="BK83" s="11" t="n">
        <f aca="false">SUM(AU83:BF83)</f>
        <v>0</v>
      </c>
      <c r="BL83" s="12" t="n">
        <f aca="false">SUM(E83:BF83)</f>
        <v>0</v>
      </c>
    </row>
    <row r="84" customFormat="false" ht="15" hidden="false" customHeight="false" outlineLevel="0" collapsed="false">
      <c r="A84" s="9"/>
      <c r="B84" s="10" t="str">
        <f aca="false">IF($A84="","",IFERROR(INDEX(tblAuftraege[Kostenstelle],MATCH($A84,tblAuftraege[Auftrag],0)),""))</f>
        <v/>
      </c>
      <c r="C84" s="10" t="str">
        <f aca="false">IF($A84="","",IFERROR(INDEX(tblAuftraege[Themenfeld],MATCH($A84,tblAuftraege[Auftrag],0)),""))</f>
        <v/>
      </c>
      <c r="D84" s="10" t="str">
        <f aca="false">IF($A84="","",IFERROR(INDEX(tblAuftraege[Kategorie],MATCH($A84,tblAuftraege[Auftrag],0)),""))</f>
        <v/>
      </c>
      <c r="E84" s="11" t="n">
        <f aca="false">IF($A84="",0,SUMIFS(tblAuftraege[Ausgaben],tblAuftraege[Datum Ausgaben],"&gt;="&amp;E$5,tblAuftraege[Datum Ausgaben],"&lt;"&amp;EDATE(E$5,1),tblAuftraege[Auftrag],$A84))</f>
        <v>0</v>
      </c>
      <c r="F84" s="11" t="n">
        <f aca="false">IF($A84="",0,SUMIFS(tblAuftraege[Ausgaben],tblAuftraege[Datum Ausgaben],"&gt;="&amp;F$5,tblAuftraege[Datum Ausgaben],"&lt;"&amp;EDATE(F$5,1),tblAuftraege[Auftrag],$A84))</f>
        <v>0</v>
      </c>
      <c r="G84" s="11" t="n">
        <f aca="false">IF($A84="",0,SUMIFS(tblAuftraege[Ausgaben],tblAuftraege[Datum Ausgaben],"&gt;="&amp;G$5,tblAuftraege[Datum Ausgaben],"&lt;"&amp;EDATE(G$5,1),tblAuftraege[Auftrag],$A84))</f>
        <v>0</v>
      </c>
      <c r="H84" s="11" t="n">
        <f aca="false">IF($A84="",0,SUMIFS(tblAuftraege[Ausgaben],tblAuftraege[Datum Ausgaben],"&gt;="&amp;H$5,tblAuftraege[Datum Ausgaben],"&lt;"&amp;EDATE(H$5,1),tblAuftraege[Auftrag],$A84))</f>
        <v>0</v>
      </c>
      <c r="I84" s="11" t="n">
        <f aca="false">IF($A84="",0,SUMIFS(tblAuftraege[Ausgaben],tblAuftraege[Datum Ausgaben],"&gt;="&amp;I$5,tblAuftraege[Datum Ausgaben],"&lt;"&amp;EDATE(I$5,1),tblAuftraege[Auftrag],$A84))</f>
        <v>0</v>
      </c>
      <c r="J84" s="11" t="n">
        <f aca="false">IF($A84="",0,SUMIFS(tblAuftraege[Ausgaben],tblAuftraege[Datum Ausgaben],"&gt;="&amp;J$5,tblAuftraege[Datum Ausgaben],"&lt;"&amp;EDATE(J$5,1),tblAuftraege[Auftrag],$A84))</f>
        <v>0</v>
      </c>
      <c r="K84" s="11" t="n">
        <f aca="false">IF($A84="",0,SUMIFS(tblAuftraege[Ausgaben],tblAuftraege[Datum Ausgaben],"&gt;="&amp;K$5,tblAuftraege[Datum Ausgaben],"&lt;"&amp;EDATE(K$5,1),tblAuftraege[Auftrag],$A84))</f>
        <v>0</v>
      </c>
      <c r="L84" s="11" t="n">
        <f aca="false">IF($A84="",0,SUMIFS(tblAuftraege[Ausgaben],tblAuftraege[Datum Ausgaben],"&gt;="&amp;L$5,tblAuftraege[Datum Ausgaben],"&lt;"&amp;EDATE(L$5,1),tblAuftraege[Auftrag],$A84))</f>
        <v>0</v>
      </c>
      <c r="M84" s="11" t="n">
        <f aca="false">IF($A84="",0,SUMIFS(tblAuftraege[Ausgaben],tblAuftraege[Datum Ausgaben],"&gt;="&amp;M$5,tblAuftraege[Datum Ausgaben],"&lt;"&amp;EDATE(M$5,1),tblAuftraege[Auftrag],$A84))</f>
        <v>0</v>
      </c>
      <c r="N84" s="11" t="n">
        <f aca="false">IF($A84="",0,SUMIFS(tblAuftraege[Ausgaben],tblAuftraege[Datum Ausgaben],"&gt;="&amp;N$5,tblAuftraege[Datum Ausgaben],"&lt;"&amp;EDATE(N$5,1),tblAuftraege[Auftrag],$A84))</f>
        <v>0</v>
      </c>
      <c r="O84" s="11" t="n">
        <f aca="false">IF($A84="",0,SUMIFS(tblAuftraege[Ausgaben],tblAuftraege[Datum Ausgaben],"&gt;="&amp;O$5,tblAuftraege[Datum Ausgaben],"&lt;"&amp;EDATE(O$5,1),tblAuftraege[Auftrag],$A84))</f>
        <v>0</v>
      </c>
      <c r="P84" s="11" t="n">
        <f aca="false">IF($A84="",0,SUMIFS(tblAuftraege[Ausgaben],tblAuftraege[Datum Ausgaben],"&gt;="&amp;P$5,tblAuftraege[Datum Ausgaben],"&lt;"&amp;EDATE(P$5,1),tblAuftraege[Auftrag],$A84))</f>
        <v>0</v>
      </c>
      <c r="Q84" s="11" t="n">
        <f aca="false">IF($A84="",0,SUMIFS(tblAuftraege[Ausgaben],tblAuftraege[Datum Ausgaben],"&gt;="&amp;Q$5,tblAuftraege[Datum Ausgaben],"&lt;"&amp;EDATE(Q$5,1),tblAuftraege[Auftrag],$A84))</f>
        <v>0</v>
      </c>
      <c r="R84" s="11" t="n">
        <f aca="false">IF($A84="",0,SUMIFS(tblAuftraege[Ausgaben],tblAuftraege[Datum Ausgaben],"&gt;="&amp;R$5,tblAuftraege[Datum Ausgaben],"&lt;"&amp;EDATE(R$5,1),tblAuftraege[Auftrag],$A84))</f>
        <v>0</v>
      </c>
      <c r="S84" s="11" t="n">
        <f aca="false">IF($A84="",0,SUMIFS(tblAuftraege[Ausgaben],tblAuftraege[Datum Ausgaben],"&gt;="&amp;S$5,tblAuftraege[Datum Ausgaben],"&lt;"&amp;EDATE(S$5,1),tblAuftraege[Auftrag],$A84))</f>
        <v>0</v>
      </c>
      <c r="T84" s="11" t="n">
        <f aca="false">IF($A84="",0,SUMIFS(tblAuftraege[Ausgaben],tblAuftraege[Datum Ausgaben],"&gt;="&amp;T$5,tblAuftraege[Datum Ausgaben],"&lt;"&amp;EDATE(T$5,1),tblAuftraege[Auftrag],$A84))</f>
        <v>0</v>
      </c>
      <c r="U84" s="11" t="n">
        <f aca="false">IF($A84="",0,SUMIFS(tblAuftraege[Ausgaben],tblAuftraege[Datum Ausgaben],"&gt;="&amp;U$5,tblAuftraege[Datum Ausgaben],"&lt;"&amp;EDATE(U$5,1),tblAuftraege[Auftrag],$A84))</f>
        <v>0</v>
      </c>
      <c r="V84" s="11" t="n">
        <f aca="false">IF($A84="",0,SUMIFS(tblAuftraege[Ausgaben],tblAuftraege[Datum Ausgaben],"&gt;="&amp;V$5,tblAuftraege[Datum Ausgaben],"&lt;"&amp;EDATE(V$5,1),tblAuftraege[Auftrag],$A84))</f>
        <v>0</v>
      </c>
      <c r="W84" s="11" t="n">
        <f aca="false">IF($A84="",0,SUMIFS(tblAuftraege[Ausgaben],tblAuftraege[Datum Ausgaben],"&gt;="&amp;W$5,tblAuftraege[Datum Ausgaben],"&lt;"&amp;EDATE(W$5,1),tblAuftraege[Auftrag],$A84))</f>
        <v>0</v>
      </c>
      <c r="X84" s="11" t="n">
        <f aca="false">IF($A84="",0,SUMIFS(tblAuftraege[Ausgaben],tblAuftraege[Datum Ausgaben],"&gt;="&amp;X$5,tblAuftraege[Datum Ausgaben],"&lt;"&amp;EDATE(X$5,1),tblAuftraege[Auftrag],$A84))</f>
        <v>0</v>
      </c>
      <c r="Y84" s="11" t="n">
        <f aca="false">IF($A84="",0,SUMIFS(tblAuftraege[Ausgaben],tblAuftraege[Datum Ausgaben],"&gt;="&amp;Y$5,tblAuftraege[Datum Ausgaben],"&lt;"&amp;EDATE(Y$5,1),tblAuftraege[Auftrag],$A84))</f>
        <v>0</v>
      </c>
      <c r="Z84" s="11" t="n">
        <f aca="false">IF($A84="",0,SUMIFS(tblAuftraege[Ausgaben],tblAuftraege[Datum Ausgaben],"&gt;="&amp;Z$5,tblAuftraege[Datum Ausgaben],"&lt;"&amp;EDATE(Z$5,1),tblAuftraege[Auftrag],$A84))</f>
        <v>0</v>
      </c>
      <c r="AA84" s="11" t="n">
        <f aca="false">IF($A84="",0,SUMIFS(tblAuftraege[Ausgaben],tblAuftraege[Datum Ausgaben],"&gt;="&amp;AA$5,tblAuftraege[Datum Ausgaben],"&lt;"&amp;EDATE(AA$5,1),tblAuftraege[Auftrag],$A84))</f>
        <v>0</v>
      </c>
      <c r="AB84" s="11" t="n">
        <f aca="false">IF($A84="",0,SUMIFS(tblAuftraege[Ausgaben],tblAuftraege[Datum Ausgaben],"&gt;="&amp;AB$5,tblAuftraege[Datum Ausgaben],"&lt;"&amp;EDATE(AB$5,1),tblAuftraege[Auftrag],$A84))</f>
        <v>0</v>
      </c>
      <c r="AC84" s="11" t="n">
        <f aca="false">IF($A84="",0,SUMIFS(tblAuftraege[Ausgaben],tblAuftraege[Datum Ausgaben],"&gt;="&amp;AC$5,tblAuftraege[Datum Ausgaben],"&lt;"&amp;EDATE(AC$5,1),tblAuftraege[Auftrag],$A84))</f>
        <v>0</v>
      </c>
      <c r="AD84" s="11" t="n">
        <f aca="false">IF($A84="",0,SUMIFS(tblAuftraege[Ausgaben],tblAuftraege[Datum Ausgaben],"&gt;="&amp;AD$5,tblAuftraege[Datum Ausgaben],"&lt;"&amp;EDATE(AD$5,1),tblAuftraege[Auftrag],$A84))</f>
        <v>0</v>
      </c>
      <c r="AE84" s="11" t="n">
        <f aca="false">IF($A84="",0,SUMIFS(tblAuftraege[Ausgaben],tblAuftraege[Datum Ausgaben],"&gt;="&amp;AE$5,tblAuftraege[Datum Ausgaben],"&lt;"&amp;EDATE(AE$5,1),tblAuftraege[Auftrag],$A84))</f>
        <v>0</v>
      </c>
      <c r="AF84" s="11" t="n">
        <f aca="false">IF($A84="",0,SUMIFS(tblAuftraege[Ausgaben],tblAuftraege[Datum Ausgaben],"&gt;="&amp;AF$5,tblAuftraege[Datum Ausgaben],"&lt;"&amp;EDATE(AF$5,1),tblAuftraege[Auftrag],$A84))</f>
        <v>0</v>
      </c>
      <c r="AG84" s="11" t="n">
        <f aca="false">IF($A84="",0,SUMIFS(tblAuftraege[Ausgaben],tblAuftraege[Datum Ausgaben],"&gt;="&amp;AG$5,tblAuftraege[Datum Ausgaben],"&lt;"&amp;EDATE(AG$5,1),tblAuftraege[Auftrag],$A84))</f>
        <v>0</v>
      </c>
      <c r="AH84" s="11" t="n">
        <f aca="false">IF($A84="",0,SUMIFS(tblAuftraege[Ausgaben],tblAuftraege[Datum Ausgaben],"&gt;="&amp;AH$5,tblAuftraege[Datum Ausgaben],"&lt;"&amp;EDATE(AH$5,1),tblAuftraege[Auftrag],$A84))</f>
        <v>0</v>
      </c>
      <c r="AI84" s="11" t="n">
        <f aca="false">IF($A84="",0,SUMIFS(tblAuftraege[Ausgaben],tblAuftraege[Datum Ausgaben],"&gt;="&amp;AI$5,tblAuftraege[Datum Ausgaben],"&lt;"&amp;EDATE(AI$5,1),tblAuftraege[Auftrag],$A84))</f>
        <v>0</v>
      </c>
      <c r="AJ84" s="11" t="n">
        <f aca="false">IF($A84="",0,SUMIFS(tblAuftraege[Ausgaben],tblAuftraege[Datum Ausgaben],"&gt;="&amp;AJ$5,tblAuftraege[Datum Ausgaben],"&lt;"&amp;EDATE(AJ$5,1),tblAuftraege[Auftrag],$A84))</f>
        <v>0</v>
      </c>
      <c r="AK84" s="11" t="n">
        <f aca="false">IF($A84="",0,SUMIFS(tblAuftraege[Ausgaben],tblAuftraege[Datum Ausgaben],"&gt;="&amp;AK$5,tblAuftraege[Datum Ausgaben],"&lt;"&amp;EDATE(AK$5,1),tblAuftraege[Auftrag],$A84))</f>
        <v>0</v>
      </c>
      <c r="AL84" s="11" t="n">
        <f aca="false">IF($A84="",0,SUMIFS(tblAuftraege[Ausgaben],tblAuftraege[Datum Ausgaben],"&gt;="&amp;AL$5,tblAuftraege[Datum Ausgaben],"&lt;"&amp;EDATE(AL$5,1),tblAuftraege[Auftrag],$A84))</f>
        <v>0</v>
      </c>
      <c r="AM84" s="11" t="n">
        <f aca="false">IF($A84="",0,SUMIFS(tblAuftraege[Ausgaben],tblAuftraege[Datum Ausgaben],"&gt;="&amp;AM$5,tblAuftraege[Datum Ausgaben],"&lt;"&amp;EDATE(AM$5,1),tblAuftraege[Auftrag],$A84))</f>
        <v>0</v>
      </c>
      <c r="AN84" s="11" t="n">
        <f aca="false">IF($A84="",0,SUMIFS(tblAuftraege[Ausgaben],tblAuftraege[Datum Ausgaben],"&gt;="&amp;AN$5,tblAuftraege[Datum Ausgaben],"&lt;"&amp;EDATE(AN$5,1),tblAuftraege[Auftrag],$A84))</f>
        <v>0</v>
      </c>
      <c r="AO84" s="11" t="n">
        <f aca="false">IF($A84="",0,SUMIFS(tblAuftraege[Ausgaben],tblAuftraege[Datum Ausgaben],"&gt;="&amp;AO$5,tblAuftraege[Datum Ausgaben],"&lt;"&amp;EDATE(AO$5,1),tblAuftraege[Auftrag],$A84))</f>
        <v>0</v>
      </c>
      <c r="AP84" s="11" t="n">
        <f aca="false">IF($A84="",0,SUMIFS(tblAuftraege[Ausgaben],tblAuftraege[Datum Ausgaben],"&gt;="&amp;AP$5,tblAuftraege[Datum Ausgaben],"&lt;"&amp;EDATE(AP$5,1),tblAuftraege[Auftrag],$A84))</f>
        <v>0</v>
      </c>
      <c r="AQ84" s="11" t="n">
        <f aca="false">IF($A84="",0,SUMIFS(tblAuftraege[Ausgaben],tblAuftraege[Datum Ausgaben],"&gt;="&amp;AQ$5,tblAuftraege[Datum Ausgaben],"&lt;"&amp;EDATE(AQ$5,1),tblAuftraege[Auftrag],$A84))</f>
        <v>0</v>
      </c>
      <c r="AR84" s="11" t="n">
        <f aca="false">IF($A84="",0,SUMIFS(tblAuftraege[Ausgaben],tblAuftraege[Datum Ausgaben],"&gt;="&amp;AR$5,tblAuftraege[Datum Ausgaben],"&lt;"&amp;EDATE(AR$5,1),tblAuftraege[Auftrag],$A84))</f>
        <v>0</v>
      </c>
      <c r="AS84" s="11" t="n">
        <f aca="false">IF($A84="",0,SUMIFS(tblAuftraege[Ausgaben],tblAuftraege[Datum Ausgaben],"&gt;="&amp;AS$5,tblAuftraege[Datum Ausgaben],"&lt;"&amp;EDATE(AS$5,1),tblAuftraege[Auftrag],$A84))</f>
        <v>0</v>
      </c>
      <c r="AT84" s="11" t="n">
        <f aca="false">IF($A84="",0,SUMIFS(tblAuftraege[Ausgaben],tblAuftraege[Datum Ausgaben],"&gt;="&amp;AT$5,tblAuftraege[Datum Ausgaben],"&lt;"&amp;EDATE(AT$5,1),tblAuftraege[Auftrag],$A84))</f>
        <v>0</v>
      </c>
      <c r="AU84" s="11" t="n">
        <f aca="false">IF($A84="",0,SUMIFS(tblAuftraege[Ausgaben],tblAuftraege[Datum Ausgaben],"&gt;="&amp;AU$5,tblAuftraege[Datum Ausgaben],"&lt;"&amp;EDATE(AU$5,1),tblAuftraege[Auftrag],$A84))</f>
        <v>0</v>
      </c>
      <c r="AV84" s="11" t="n">
        <f aca="false">IF($A84="",0,SUMIFS(tblAuftraege[Ausgaben],tblAuftraege[Datum Ausgaben],"&gt;="&amp;AV$5,tblAuftraege[Datum Ausgaben],"&lt;"&amp;EDATE(AV$5,1),tblAuftraege[Auftrag],$A84))</f>
        <v>0</v>
      </c>
      <c r="AW84" s="11" t="n">
        <f aca="false">IF($A84="",0,SUMIFS(tblAuftraege[Ausgaben],tblAuftraege[Datum Ausgaben],"&gt;="&amp;AW$5,tblAuftraege[Datum Ausgaben],"&lt;"&amp;EDATE(AW$5,1),tblAuftraege[Auftrag],$A84))</f>
        <v>0</v>
      </c>
      <c r="AX84" s="11" t="n">
        <f aca="false">IF($A84="",0,SUMIFS(tblAuftraege[Ausgaben],tblAuftraege[Datum Ausgaben],"&gt;="&amp;AX$5,tblAuftraege[Datum Ausgaben],"&lt;"&amp;EDATE(AX$5,1),tblAuftraege[Auftrag],$A84))</f>
        <v>0</v>
      </c>
      <c r="AY84" s="11" t="n">
        <f aca="false">IF($A84="",0,SUMIFS(tblAuftraege[Ausgaben],tblAuftraege[Datum Ausgaben],"&gt;="&amp;AY$5,tblAuftraege[Datum Ausgaben],"&lt;"&amp;EDATE(AY$5,1),tblAuftraege[Auftrag],$A84))</f>
        <v>0</v>
      </c>
      <c r="AZ84" s="11" t="n">
        <f aca="false">IF($A84="",0,SUMIFS(tblAuftraege[Ausgaben],tblAuftraege[Datum Ausgaben],"&gt;="&amp;AZ$5,tblAuftraege[Datum Ausgaben],"&lt;"&amp;EDATE(AZ$5,1),tblAuftraege[Auftrag],$A84))</f>
        <v>0</v>
      </c>
      <c r="BA84" s="11" t="n">
        <f aca="false">IF($A84="",0,SUMIFS(tblAuftraege[Ausgaben],tblAuftraege[Datum Ausgaben],"&gt;="&amp;BA$5,tblAuftraege[Datum Ausgaben],"&lt;"&amp;EDATE(BA$5,1),tblAuftraege[Auftrag],$A84))</f>
        <v>0</v>
      </c>
      <c r="BB84" s="11" t="n">
        <f aca="false">IF($A84="",0,SUMIFS(tblAuftraege[Ausgaben],tblAuftraege[Datum Ausgaben],"&gt;="&amp;BB$5,tblAuftraege[Datum Ausgaben],"&lt;"&amp;EDATE(BB$5,1),tblAuftraege[Auftrag],$A84))</f>
        <v>0</v>
      </c>
      <c r="BC84" s="11" t="n">
        <f aca="false">IF($A84="",0,SUMIFS(tblAuftraege[Ausgaben],tblAuftraege[Datum Ausgaben],"&gt;="&amp;BC$5,tblAuftraege[Datum Ausgaben],"&lt;"&amp;EDATE(BC$5,1),tblAuftraege[Auftrag],$A84))</f>
        <v>0</v>
      </c>
      <c r="BD84" s="11" t="n">
        <f aca="false">IF($A84="",0,SUMIFS(tblAuftraege[Ausgaben],tblAuftraege[Datum Ausgaben],"&gt;="&amp;BD$5,tblAuftraege[Datum Ausgaben],"&lt;"&amp;EDATE(BD$5,1),tblAuftraege[Auftrag],$A84))</f>
        <v>0</v>
      </c>
      <c r="BE84" s="11" t="n">
        <f aca="false">IF($A84="",0,SUMIFS(tblAuftraege[Ausgaben],tblAuftraege[Datum Ausgaben],"&gt;="&amp;BE$5,tblAuftraege[Datum Ausgaben],"&lt;"&amp;EDATE(BE$5,1),tblAuftraege[Auftrag],$A84))</f>
        <v>0</v>
      </c>
      <c r="BF84" s="11" t="n">
        <f aca="false">IF($A84="",0,SUMIFS(tblAuftraege[Ausgaben],tblAuftraege[Datum Ausgaben],"&gt;="&amp;BF$5,tblAuftraege[Datum Ausgaben],"&lt;"&amp;EDATE(BF$5,1),tblAuftraege[Auftrag],$A84))</f>
        <v>0</v>
      </c>
      <c r="BG84" s="11" t="n">
        <f aca="false">SUM(E84:J84)</f>
        <v>0</v>
      </c>
      <c r="BH84" s="11" t="n">
        <f aca="false">SUM(K84:V84)</f>
        <v>0</v>
      </c>
      <c r="BI84" s="11" t="n">
        <f aca="false">SUM(W84:AH84)</f>
        <v>0</v>
      </c>
      <c r="BJ84" s="11" t="n">
        <f aca="false">SUM(AI84:AT84)</f>
        <v>0</v>
      </c>
      <c r="BK84" s="11" t="n">
        <f aca="false">SUM(AU84:BF84)</f>
        <v>0</v>
      </c>
      <c r="BL84" s="12" t="n">
        <f aca="false">SUM(E84:BF84)</f>
        <v>0</v>
      </c>
    </row>
    <row r="85" customFormat="false" ht="15" hidden="false" customHeight="false" outlineLevel="0" collapsed="false">
      <c r="A85" s="9"/>
      <c r="B85" s="10" t="str">
        <f aca="false">IF($A85="","",IFERROR(INDEX(tblAuftraege[Kostenstelle],MATCH($A85,tblAuftraege[Auftrag],0)),""))</f>
        <v/>
      </c>
      <c r="C85" s="10" t="str">
        <f aca="false">IF($A85="","",IFERROR(INDEX(tblAuftraege[Themenfeld],MATCH($A85,tblAuftraege[Auftrag],0)),""))</f>
        <v/>
      </c>
      <c r="D85" s="10" t="str">
        <f aca="false">IF($A85="","",IFERROR(INDEX(tblAuftraege[Kategorie],MATCH($A85,tblAuftraege[Auftrag],0)),""))</f>
        <v/>
      </c>
      <c r="E85" s="11" t="n">
        <f aca="false">IF($A85="",0,SUMIFS(tblAuftraege[Ausgaben],tblAuftraege[Datum Ausgaben],"&gt;="&amp;E$5,tblAuftraege[Datum Ausgaben],"&lt;"&amp;EDATE(E$5,1),tblAuftraege[Auftrag],$A85))</f>
        <v>0</v>
      </c>
      <c r="F85" s="11" t="n">
        <f aca="false">IF($A85="",0,SUMIFS(tblAuftraege[Ausgaben],tblAuftraege[Datum Ausgaben],"&gt;="&amp;F$5,tblAuftraege[Datum Ausgaben],"&lt;"&amp;EDATE(F$5,1),tblAuftraege[Auftrag],$A85))</f>
        <v>0</v>
      </c>
      <c r="G85" s="11" t="n">
        <f aca="false">IF($A85="",0,SUMIFS(tblAuftraege[Ausgaben],tblAuftraege[Datum Ausgaben],"&gt;="&amp;G$5,tblAuftraege[Datum Ausgaben],"&lt;"&amp;EDATE(G$5,1),tblAuftraege[Auftrag],$A85))</f>
        <v>0</v>
      </c>
      <c r="H85" s="11" t="n">
        <f aca="false">IF($A85="",0,SUMIFS(tblAuftraege[Ausgaben],tblAuftraege[Datum Ausgaben],"&gt;="&amp;H$5,tblAuftraege[Datum Ausgaben],"&lt;"&amp;EDATE(H$5,1),tblAuftraege[Auftrag],$A85))</f>
        <v>0</v>
      </c>
      <c r="I85" s="11" t="n">
        <f aca="false">IF($A85="",0,SUMIFS(tblAuftraege[Ausgaben],tblAuftraege[Datum Ausgaben],"&gt;="&amp;I$5,tblAuftraege[Datum Ausgaben],"&lt;"&amp;EDATE(I$5,1),tblAuftraege[Auftrag],$A85))</f>
        <v>0</v>
      </c>
      <c r="J85" s="11" t="n">
        <f aca="false">IF($A85="",0,SUMIFS(tblAuftraege[Ausgaben],tblAuftraege[Datum Ausgaben],"&gt;="&amp;J$5,tblAuftraege[Datum Ausgaben],"&lt;"&amp;EDATE(J$5,1),tblAuftraege[Auftrag],$A85))</f>
        <v>0</v>
      </c>
      <c r="K85" s="11" t="n">
        <f aca="false">IF($A85="",0,SUMIFS(tblAuftraege[Ausgaben],tblAuftraege[Datum Ausgaben],"&gt;="&amp;K$5,tblAuftraege[Datum Ausgaben],"&lt;"&amp;EDATE(K$5,1),tblAuftraege[Auftrag],$A85))</f>
        <v>0</v>
      </c>
      <c r="L85" s="11" t="n">
        <f aca="false">IF($A85="",0,SUMIFS(tblAuftraege[Ausgaben],tblAuftraege[Datum Ausgaben],"&gt;="&amp;L$5,tblAuftraege[Datum Ausgaben],"&lt;"&amp;EDATE(L$5,1),tblAuftraege[Auftrag],$A85))</f>
        <v>0</v>
      </c>
      <c r="M85" s="11" t="n">
        <f aca="false">IF($A85="",0,SUMIFS(tblAuftraege[Ausgaben],tblAuftraege[Datum Ausgaben],"&gt;="&amp;M$5,tblAuftraege[Datum Ausgaben],"&lt;"&amp;EDATE(M$5,1),tblAuftraege[Auftrag],$A85))</f>
        <v>0</v>
      </c>
      <c r="N85" s="11" t="n">
        <f aca="false">IF($A85="",0,SUMIFS(tblAuftraege[Ausgaben],tblAuftraege[Datum Ausgaben],"&gt;="&amp;N$5,tblAuftraege[Datum Ausgaben],"&lt;"&amp;EDATE(N$5,1),tblAuftraege[Auftrag],$A85))</f>
        <v>0</v>
      </c>
      <c r="O85" s="11" t="n">
        <f aca="false">IF($A85="",0,SUMIFS(tblAuftraege[Ausgaben],tblAuftraege[Datum Ausgaben],"&gt;="&amp;O$5,tblAuftraege[Datum Ausgaben],"&lt;"&amp;EDATE(O$5,1),tblAuftraege[Auftrag],$A85))</f>
        <v>0</v>
      </c>
      <c r="P85" s="11" t="n">
        <f aca="false">IF($A85="",0,SUMIFS(tblAuftraege[Ausgaben],tblAuftraege[Datum Ausgaben],"&gt;="&amp;P$5,tblAuftraege[Datum Ausgaben],"&lt;"&amp;EDATE(P$5,1),tblAuftraege[Auftrag],$A85))</f>
        <v>0</v>
      </c>
      <c r="Q85" s="11" t="n">
        <f aca="false">IF($A85="",0,SUMIFS(tblAuftraege[Ausgaben],tblAuftraege[Datum Ausgaben],"&gt;="&amp;Q$5,tblAuftraege[Datum Ausgaben],"&lt;"&amp;EDATE(Q$5,1),tblAuftraege[Auftrag],$A85))</f>
        <v>0</v>
      </c>
      <c r="R85" s="11" t="n">
        <f aca="false">IF($A85="",0,SUMIFS(tblAuftraege[Ausgaben],tblAuftraege[Datum Ausgaben],"&gt;="&amp;R$5,tblAuftraege[Datum Ausgaben],"&lt;"&amp;EDATE(R$5,1),tblAuftraege[Auftrag],$A85))</f>
        <v>0</v>
      </c>
      <c r="S85" s="11" t="n">
        <f aca="false">IF($A85="",0,SUMIFS(tblAuftraege[Ausgaben],tblAuftraege[Datum Ausgaben],"&gt;="&amp;S$5,tblAuftraege[Datum Ausgaben],"&lt;"&amp;EDATE(S$5,1),tblAuftraege[Auftrag],$A85))</f>
        <v>0</v>
      </c>
      <c r="T85" s="11" t="n">
        <f aca="false">IF($A85="",0,SUMIFS(tblAuftraege[Ausgaben],tblAuftraege[Datum Ausgaben],"&gt;="&amp;T$5,tblAuftraege[Datum Ausgaben],"&lt;"&amp;EDATE(T$5,1),tblAuftraege[Auftrag],$A85))</f>
        <v>0</v>
      </c>
      <c r="U85" s="11" t="n">
        <f aca="false">IF($A85="",0,SUMIFS(tblAuftraege[Ausgaben],tblAuftraege[Datum Ausgaben],"&gt;="&amp;U$5,tblAuftraege[Datum Ausgaben],"&lt;"&amp;EDATE(U$5,1),tblAuftraege[Auftrag],$A85))</f>
        <v>0</v>
      </c>
      <c r="V85" s="11" t="n">
        <f aca="false">IF($A85="",0,SUMIFS(tblAuftraege[Ausgaben],tblAuftraege[Datum Ausgaben],"&gt;="&amp;V$5,tblAuftraege[Datum Ausgaben],"&lt;"&amp;EDATE(V$5,1),tblAuftraege[Auftrag],$A85))</f>
        <v>0</v>
      </c>
      <c r="W85" s="11" t="n">
        <f aca="false">IF($A85="",0,SUMIFS(tblAuftraege[Ausgaben],tblAuftraege[Datum Ausgaben],"&gt;="&amp;W$5,tblAuftraege[Datum Ausgaben],"&lt;"&amp;EDATE(W$5,1),tblAuftraege[Auftrag],$A85))</f>
        <v>0</v>
      </c>
      <c r="X85" s="11" t="n">
        <f aca="false">IF($A85="",0,SUMIFS(tblAuftraege[Ausgaben],tblAuftraege[Datum Ausgaben],"&gt;="&amp;X$5,tblAuftraege[Datum Ausgaben],"&lt;"&amp;EDATE(X$5,1),tblAuftraege[Auftrag],$A85))</f>
        <v>0</v>
      </c>
      <c r="Y85" s="11" t="n">
        <f aca="false">IF($A85="",0,SUMIFS(tblAuftraege[Ausgaben],tblAuftraege[Datum Ausgaben],"&gt;="&amp;Y$5,tblAuftraege[Datum Ausgaben],"&lt;"&amp;EDATE(Y$5,1),tblAuftraege[Auftrag],$A85))</f>
        <v>0</v>
      </c>
      <c r="Z85" s="11" t="n">
        <f aca="false">IF($A85="",0,SUMIFS(tblAuftraege[Ausgaben],tblAuftraege[Datum Ausgaben],"&gt;="&amp;Z$5,tblAuftraege[Datum Ausgaben],"&lt;"&amp;EDATE(Z$5,1),tblAuftraege[Auftrag],$A85))</f>
        <v>0</v>
      </c>
      <c r="AA85" s="11" t="n">
        <f aca="false">IF($A85="",0,SUMIFS(tblAuftraege[Ausgaben],tblAuftraege[Datum Ausgaben],"&gt;="&amp;AA$5,tblAuftraege[Datum Ausgaben],"&lt;"&amp;EDATE(AA$5,1),tblAuftraege[Auftrag],$A85))</f>
        <v>0</v>
      </c>
      <c r="AB85" s="11" t="n">
        <f aca="false">IF($A85="",0,SUMIFS(tblAuftraege[Ausgaben],tblAuftraege[Datum Ausgaben],"&gt;="&amp;AB$5,tblAuftraege[Datum Ausgaben],"&lt;"&amp;EDATE(AB$5,1),tblAuftraege[Auftrag],$A85))</f>
        <v>0</v>
      </c>
      <c r="AC85" s="11" t="n">
        <f aca="false">IF($A85="",0,SUMIFS(tblAuftraege[Ausgaben],tblAuftraege[Datum Ausgaben],"&gt;="&amp;AC$5,tblAuftraege[Datum Ausgaben],"&lt;"&amp;EDATE(AC$5,1),tblAuftraege[Auftrag],$A85))</f>
        <v>0</v>
      </c>
      <c r="AD85" s="11" t="n">
        <f aca="false">IF($A85="",0,SUMIFS(tblAuftraege[Ausgaben],tblAuftraege[Datum Ausgaben],"&gt;="&amp;AD$5,tblAuftraege[Datum Ausgaben],"&lt;"&amp;EDATE(AD$5,1),tblAuftraege[Auftrag],$A85))</f>
        <v>0</v>
      </c>
      <c r="AE85" s="11" t="n">
        <f aca="false">IF($A85="",0,SUMIFS(tblAuftraege[Ausgaben],tblAuftraege[Datum Ausgaben],"&gt;="&amp;AE$5,tblAuftraege[Datum Ausgaben],"&lt;"&amp;EDATE(AE$5,1),tblAuftraege[Auftrag],$A85))</f>
        <v>0</v>
      </c>
      <c r="AF85" s="11" t="n">
        <f aca="false">IF($A85="",0,SUMIFS(tblAuftraege[Ausgaben],tblAuftraege[Datum Ausgaben],"&gt;="&amp;AF$5,tblAuftraege[Datum Ausgaben],"&lt;"&amp;EDATE(AF$5,1),tblAuftraege[Auftrag],$A85))</f>
        <v>0</v>
      </c>
      <c r="AG85" s="11" t="n">
        <f aca="false">IF($A85="",0,SUMIFS(tblAuftraege[Ausgaben],tblAuftraege[Datum Ausgaben],"&gt;="&amp;AG$5,tblAuftraege[Datum Ausgaben],"&lt;"&amp;EDATE(AG$5,1),tblAuftraege[Auftrag],$A85))</f>
        <v>0</v>
      </c>
      <c r="AH85" s="11" t="n">
        <f aca="false">IF($A85="",0,SUMIFS(tblAuftraege[Ausgaben],tblAuftraege[Datum Ausgaben],"&gt;="&amp;AH$5,tblAuftraege[Datum Ausgaben],"&lt;"&amp;EDATE(AH$5,1),tblAuftraege[Auftrag],$A85))</f>
        <v>0</v>
      </c>
      <c r="AI85" s="11" t="n">
        <f aca="false">IF($A85="",0,SUMIFS(tblAuftraege[Ausgaben],tblAuftraege[Datum Ausgaben],"&gt;="&amp;AI$5,tblAuftraege[Datum Ausgaben],"&lt;"&amp;EDATE(AI$5,1),tblAuftraege[Auftrag],$A85))</f>
        <v>0</v>
      </c>
      <c r="AJ85" s="11" t="n">
        <f aca="false">IF($A85="",0,SUMIFS(tblAuftraege[Ausgaben],tblAuftraege[Datum Ausgaben],"&gt;="&amp;AJ$5,tblAuftraege[Datum Ausgaben],"&lt;"&amp;EDATE(AJ$5,1),tblAuftraege[Auftrag],$A85))</f>
        <v>0</v>
      </c>
      <c r="AK85" s="11" t="n">
        <f aca="false">IF($A85="",0,SUMIFS(tblAuftraege[Ausgaben],tblAuftraege[Datum Ausgaben],"&gt;="&amp;AK$5,tblAuftraege[Datum Ausgaben],"&lt;"&amp;EDATE(AK$5,1),tblAuftraege[Auftrag],$A85))</f>
        <v>0</v>
      </c>
      <c r="AL85" s="11" t="n">
        <f aca="false">IF($A85="",0,SUMIFS(tblAuftraege[Ausgaben],tblAuftraege[Datum Ausgaben],"&gt;="&amp;AL$5,tblAuftraege[Datum Ausgaben],"&lt;"&amp;EDATE(AL$5,1),tblAuftraege[Auftrag],$A85))</f>
        <v>0</v>
      </c>
      <c r="AM85" s="11" t="n">
        <f aca="false">IF($A85="",0,SUMIFS(tblAuftraege[Ausgaben],tblAuftraege[Datum Ausgaben],"&gt;="&amp;AM$5,tblAuftraege[Datum Ausgaben],"&lt;"&amp;EDATE(AM$5,1),tblAuftraege[Auftrag],$A85))</f>
        <v>0</v>
      </c>
      <c r="AN85" s="11" t="n">
        <f aca="false">IF($A85="",0,SUMIFS(tblAuftraege[Ausgaben],tblAuftraege[Datum Ausgaben],"&gt;="&amp;AN$5,tblAuftraege[Datum Ausgaben],"&lt;"&amp;EDATE(AN$5,1),tblAuftraege[Auftrag],$A85))</f>
        <v>0</v>
      </c>
      <c r="AO85" s="11" t="n">
        <f aca="false">IF($A85="",0,SUMIFS(tblAuftraege[Ausgaben],tblAuftraege[Datum Ausgaben],"&gt;="&amp;AO$5,tblAuftraege[Datum Ausgaben],"&lt;"&amp;EDATE(AO$5,1),tblAuftraege[Auftrag],$A85))</f>
        <v>0</v>
      </c>
      <c r="AP85" s="11" t="n">
        <f aca="false">IF($A85="",0,SUMIFS(tblAuftraege[Ausgaben],tblAuftraege[Datum Ausgaben],"&gt;="&amp;AP$5,tblAuftraege[Datum Ausgaben],"&lt;"&amp;EDATE(AP$5,1),tblAuftraege[Auftrag],$A85))</f>
        <v>0</v>
      </c>
      <c r="AQ85" s="11" t="n">
        <f aca="false">IF($A85="",0,SUMIFS(tblAuftraege[Ausgaben],tblAuftraege[Datum Ausgaben],"&gt;="&amp;AQ$5,tblAuftraege[Datum Ausgaben],"&lt;"&amp;EDATE(AQ$5,1),tblAuftraege[Auftrag],$A85))</f>
        <v>0</v>
      </c>
      <c r="AR85" s="11" t="n">
        <f aca="false">IF($A85="",0,SUMIFS(tblAuftraege[Ausgaben],tblAuftraege[Datum Ausgaben],"&gt;="&amp;AR$5,tblAuftraege[Datum Ausgaben],"&lt;"&amp;EDATE(AR$5,1),tblAuftraege[Auftrag],$A85))</f>
        <v>0</v>
      </c>
      <c r="AS85" s="11" t="n">
        <f aca="false">IF($A85="",0,SUMIFS(tblAuftraege[Ausgaben],tblAuftraege[Datum Ausgaben],"&gt;="&amp;AS$5,tblAuftraege[Datum Ausgaben],"&lt;"&amp;EDATE(AS$5,1),tblAuftraege[Auftrag],$A85))</f>
        <v>0</v>
      </c>
      <c r="AT85" s="11" t="n">
        <f aca="false">IF($A85="",0,SUMIFS(tblAuftraege[Ausgaben],tblAuftraege[Datum Ausgaben],"&gt;="&amp;AT$5,tblAuftraege[Datum Ausgaben],"&lt;"&amp;EDATE(AT$5,1),tblAuftraege[Auftrag],$A85))</f>
        <v>0</v>
      </c>
      <c r="AU85" s="11" t="n">
        <f aca="false">IF($A85="",0,SUMIFS(tblAuftraege[Ausgaben],tblAuftraege[Datum Ausgaben],"&gt;="&amp;AU$5,tblAuftraege[Datum Ausgaben],"&lt;"&amp;EDATE(AU$5,1),tblAuftraege[Auftrag],$A85))</f>
        <v>0</v>
      </c>
      <c r="AV85" s="11" t="n">
        <f aca="false">IF($A85="",0,SUMIFS(tblAuftraege[Ausgaben],tblAuftraege[Datum Ausgaben],"&gt;="&amp;AV$5,tblAuftraege[Datum Ausgaben],"&lt;"&amp;EDATE(AV$5,1),tblAuftraege[Auftrag],$A85))</f>
        <v>0</v>
      </c>
      <c r="AW85" s="11" t="n">
        <f aca="false">IF($A85="",0,SUMIFS(tblAuftraege[Ausgaben],tblAuftraege[Datum Ausgaben],"&gt;="&amp;AW$5,tblAuftraege[Datum Ausgaben],"&lt;"&amp;EDATE(AW$5,1),tblAuftraege[Auftrag],$A85))</f>
        <v>0</v>
      </c>
      <c r="AX85" s="11" t="n">
        <f aca="false">IF($A85="",0,SUMIFS(tblAuftraege[Ausgaben],tblAuftraege[Datum Ausgaben],"&gt;="&amp;AX$5,tblAuftraege[Datum Ausgaben],"&lt;"&amp;EDATE(AX$5,1),tblAuftraege[Auftrag],$A85))</f>
        <v>0</v>
      </c>
      <c r="AY85" s="11" t="n">
        <f aca="false">IF($A85="",0,SUMIFS(tblAuftraege[Ausgaben],tblAuftraege[Datum Ausgaben],"&gt;="&amp;AY$5,tblAuftraege[Datum Ausgaben],"&lt;"&amp;EDATE(AY$5,1),tblAuftraege[Auftrag],$A85))</f>
        <v>0</v>
      </c>
      <c r="AZ85" s="11" t="n">
        <f aca="false">IF($A85="",0,SUMIFS(tblAuftraege[Ausgaben],tblAuftraege[Datum Ausgaben],"&gt;="&amp;AZ$5,tblAuftraege[Datum Ausgaben],"&lt;"&amp;EDATE(AZ$5,1),tblAuftraege[Auftrag],$A85))</f>
        <v>0</v>
      </c>
      <c r="BA85" s="11" t="n">
        <f aca="false">IF($A85="",0,SUMIFS(tblAuftraege[Ausgaben],tblAuftraege[Datum Ausgaben],"&gt;="&amp;BA$5,tblAuftraege[Datum Ausgaben],"&lt;"&amp;EDATE(BA$5,1),tblAuftraege[Auftrag],$A85))</f>
        <v>0</v>
      </c>
      <c r="BB85" s="11" t="n">
        <f aca="false">IF($A85="",0,SUMIFS(tblAuftraege[Ausgaben],tblAuftraege[Datum Ausgaben],"&gt;="&amp;BB$5,tblAuftraege[Datum Ausgaben],"&lt;"&amp;EDATE(BB$5,1),tblAuftraege[Auftrag],$A85))</f>
        <v>0</v>
      </c>
      <c r="BC85" s="11" t="n">
        <f aca="false">IF($A85="",0,SUMIFS(tblAuftraege[Ausgaben],tblAuftraege[Datum Ausgaben],"&gt;="&amp;BC$5,tblAuftraege[Datum Ausgaben],"&lt;"&amp;EDATE(BC$5,1),tblAuftraege[Auftrag],$A85))</f>
        <v>0</v>
      </c>
      <c r="BD85" s="11" t="n">
        <f aca="false">IF($A85="",0,SUMIFS(tblAuftraege[Ausgaben],tblAuftraege[Datum Ausgaben],"&gt;="&amp;BD$5,tblAuftraege[Datum Ausgaben],"&lt;"&amp;EDATE(BD$5,1),tblAuftraege[Auftrag],$A85))</f>
        <v>0</v>
      </c>
      <c r="BE85" s="11" t="n">
        <f aca="false">IF($A85="",0,SUMIFS(tblAuftraege[Ausgaben],tblAuftraege[Datum Ausgaben],"&gt;="&amp;BE$5,tblAuftraege[Datum Ausgaben],"&lt;"&amp;EDATE(BE$5,1),tblAuftraege[Auftrag],$A85))</f>
        <v>0</v>
      </c>
      <c r="BF85" s="11" t="n">
        <f aca="false">IF($A85="",0,SUMIFS(tblAuftraege[Ausgaben],tblAuftraege[Datum Ausgaben],"&gt;="&amp;BF$5,tblAuftraege[Datum Ausgaben],"&lt;"&amp;EDATE(BF$5,1),tblAuftraege[Auftrag],$A85))</f>
        <v>0</v>
      </c>
      <c r="BG85" s="11" t="n">
        <f aca="false">SUM(E85:J85)</f>
        <v>0</v>
      </c>
      <c r="BH85" s="11" t="n">
        <f aca="false">SUM(K85:V85)</f>
        <v>0</v>
      </c>
      <c r="BI85" s="11" t="n">
        <f aca="false">SUM(W85:AH85)</f>
        <v>0</v>
      </c>
      <c r="BJ85" s="11" t="n">
        <f aca="false">SUM(AI85:AT85)</f>
        <v>0</v>
      </c>
      <c r="BK85" s="11" t="n">
        <f aca="false">SUM(AU85:BF85)</f>
        <v>0</v>
      </c>
      <c r="BL85" s="12" t="n">
        <f aca="false">SUM(E85:BF85)</f>
        <v>0</v>
      </c>
    </row>
    <row r="86" customFormat="false" ht="15" hidden="false" customHeight="false" outlineLevel="0" collapsed="false">
      <c r="A86" s="9"/>
      <c r="B86" s="10" t="str">
        <f aca="false">IF($A86="","",IFERROR(INDEX(tblAuftraege[Kostenstelle],MATCH($A86,tblAuftraege[Auftrag],0)),""))</f>
        <v/>
      </c>
      <c r="C86" s="10" t="str">
        <f aca="false">IF($A86="","",IFERROR(INDEX(tblAuftraege[Themenfeld],MATCH($A86,tblAuftraege[Auftrag],0)),""))</f>
        <v/>
      </c>
      <c r="D86" s="10" t="str">
        <f aca="false">IF($A86="","",IFERROR(INDEX(tblAuftraege[Kategorie],MATCH($A86,tblAuftraege[Auftrag],0)),""))</f>
        <v/>
      </c>
      <c r="E86" s="11" t="n">
        <f aca="false">IF($A86="",0,SUMIFS(tblAuftraege[Ausgaben],tblAuftraege[Datum Ausgaben],"&gt;="&amp;E$5,tblAuftraege[Datum Ausgaben],"&lt;"&amp;EDATE(E$5,1),tblAuftraege[Auftrag],$A86))</f>
        <v>0</v>
      </c>
      <c r="F86" s="11" t="n">
        <f aca="false">IF($A86="",0,SUMIFS(tblAuftraege[Ausgaben],tblAuftraege[Datum Ausgaben],"&gt;="&amp;F$5,tblAuftraege[Datum Ausgaben],"&lt;"&amp;EDATE(F$5,1),tblAuftraege[Auftrag],$A86))</f>
        <v>0</v>
      </c>
      <c r="G86" s="11" t="n">
        <f aca="false">IF($A86="",0,SUMIFS(tblAuftraege[Ausgaben],tblAuftraege[Datum Ausgaben],"&gt;="&amp;G$5,tblAuftraege[Datum Ausgaben],"&lt;"&amp;EDATE(G$5,1),tblAuftraege[Auftrag],$A86))</f>
        <v>0</v>
      </c>
      <c r="H86" s="11" t="n">
        <f aca="false">IF($A86="",0,SUMIFS(tblAuftraege[Ausgaben],tblAuftraege[Datum Ausgaben],"&gt;="&amp;H$5,tblAuftraege[Datum Ausgaben],"&lt;"&amp;EDATE(H$5,1),tblAuftraege[Auftrag],$A86))</f>
        <v>0</v>
      </c>
      <c r="I86" s="11" t="n">
        <f aca="false">IF($A86="",0,SUMIFS(tblAuftraege[Ausgaben],tblAuftraege[Datum Ausgaben],"&gt;="&amp;I$5,tblAuftraege[Datum Ausgaben],"&lt;"&amp;EDATE(I$5,1),tblAuftraege[Auftrag],$A86))</f>
        <v>0</v>
      </c>
      <c r="J86" s="11" t="n">
        <f aca="false">IF($A86="",0,SUMIFS(tblAuftraege[Ausgaben],tblAuftraege[Datum Ausgaben],"&gt;="&amp;J$5,tblAuftraege[Datum Ausgaben],"&lt;"&amp;EDATE(J$5,1),tblAuftraege[Auftrag],$A86))</f>
        <v>0</v>
      </c>
      <c r="K86" s="11" t="n">
        <f aca="false">IF($A86="",0,SUMIFS(tblAuftraege[Ausgaben],tblAuftraege[Datum Ausgaben],"&gt;="&amp;K$5,tblAuftraege[Datum Ausgaben],"&lt;"&amp;EDATE(K$5,1),tblAuftraege[Auftrag],$A86))</f>
        <v>0</v>
      </c>
      <c r="L86" s="11" t="n">
        <f aca="false">IF($A86="",0,SUMIFS(tblAuftraege[Ausgaben],tblAuftraege[Datum Ausgaben],"&gt;="&amp;L$5,tblAuftraege[Datum Ausgaben],"&lt;"&amp;EDATE(L$5,1),tblAuftraege[Auftrag],$A86))</f>
        <v>0</v>
      </c>
      <c r="M86" s="11" t="n">
        <f aca="false">IF($A86="",0,SUMIFS(tblAuftraege[Ausgaben],tblAuftraege[Datum Ausgaben],"&gt;="&amp;M$5,tblAuftraege[Datum Ausgaben],"&lt;"&amp;EDATE(M$5,1),tblAuftraege[Auftrag],$A86))</f>
        <v>0</v>
      </c>
      <c r="N86" s="11" t="n">
        <f aca="false">IF($A86="",0,SUMIFS(tblAuftraege[Ausgaben],tblAuftraege[Datum Ausgaben],"&gt;="&amp;N$5,tblAuftraege[Datum Ausgaben],"&lt;"&amp;EDATE(N$5,1),tblAuftraege[Auftrag],$A86))</f>
        <v>0</v>
      </c>
      <c r="O86" s="11" t="n">
        <f aca="false">IF($A86="",0,SUMIFS(tblAuftraege[Ausgaben],tblAuftraege[Datum Ausgaben],"&gt;="&amp;O$5,tblAuftraege[Datum Ausgaben],"&lt;"&amp;EDATE(O$5,1),tblAuftraege[Auftrag],$A86))</f>
        <v>0</v>
      </c>
      <c r="P86" s="11" t="n">
        <f aca="false">IF($A86="",0,SUMIFS(tblAuftraege[Ausgaben],tblAuftraege[Datum Ausgaben],"&gt;="&amp;P$5,tblAuftraege[Datum Ausgaben],"&lt;"&amp;EDATE(P$5,1),tblAuftraege[Auftrag],$A86))</f>
        <v>0</v>
      </c>
      <c r="Q86" s="11" t="n">
        <f aca="false">IF($A86="",0,SUMIFS(tblAuftraege[Ausgaben],tblAuftraege[Datum Ausgaben],"&gt;="&amp;Q$5,tblAuftraege[Datum Ausgaben],"&lt;"&amp;EDATE(Q$5,1),tblAuftraege[Auftrag],$A86))</f>
        <v>0</v>
      </c>
      <c r="R86" s="11" t="n">
        <f aca="false">IF($A86="",0,SUMIFS(tblAuftraege[Ausgaben],tblAuftraege[Datum Ausgaben],"&gt;="&amp;R$5,tblAuftraege[Datum Ausgaben],"&lt;"&amp;EDATE(R$5,1),tblAuftraege[Auftrag],$A86))</f>
        <v>0</v>
      </c>
      <c r="S86" s="11" t="n">
        <f aca="false">IF($A86="",0,SUMIFS(tblAuftraege[Ausgaben],tblAuftraege[Datum Ausgaben],"&gt;="&amp;S$5,tblAuftraege[Datum Ausgaben],"&lt;"&amp;EDATE(S$5,1),tblAuftraege[Auftrag],$A86))</f>
        <v>0</v>
      </c>
      <c r="T86" s="11" t="n">
        <f aca="false">IF($A86="",0,SUMIFS(tblAuftraege[Ausgaben],tblAuftraege[Datum Ausgaben],"&gt;="&amp;T$5,tblAuftraege[Datum Ausgaben],"&lt;"&amp;EDATE(T$5,1),tblAuftraege[Auftrag],$A86))</f>
        <v>0</v>
      </c>
      <c r="U86" s="11" t="n">
        <f aca="false">IF($A86="",0,SUMIFS(tblAuftraege[Ausgaben],tblAuftraege[Datum Ausgaben],"&gt;="&amp;U$5,tblAuftraege[Datum Ausgaben],"&lt;"&amp;EDATE(U$5,1),tblAuftraege[Auftrag],$A86))</f>
        <v>0</v>
      </c>
      <c r="V86" s="11" t="n">
        <f aca="false">IF($A86="",0,SUMIFS(tblAuftraege[Ausgaben],tblAuftraege[Datum Ausgaben],"&gt;="&amp;V$5,tblAuftraege[Datum Ausgaben],"&lt;"&amp;EDATE(V$5,1),tblAuftraege[Auftrag],$A86))</f>
        <v>0</v>
      </c>
      <c r="W86" s="11" t="n">
        <f aca="false">IF($A86="",0,SUMIFS(tblAuftraege[Ausgaben],tblAuftraege[Datum Ausgaben],"&gt;="&amp;W$5,tblAuftraege[Datum Ausgaben],"&lt;"&amp;EDATE(W$5,1),tblAuftraege[Auftrag],$A86))</f>
        <v>0</v>
      </c>
      <c r="X86" s="11" t="n">
        <f aca="false">IF($A86="",0,SUMIFS(tblAuftraege[Ausgaben],tblAuftraege[Datum Ausgaben],"&gt;="&amp;X$5,tblAuftraege[Datum Ausgaben],"&lt;"&amp;EDATE(X$5,1),tblAuftraege[Auftrag],$A86))</f>
        <v>0</v>
      </c>
      <c r="Y86" s="11" t="n">
        <f aca="false">IF($A86="",0,SUMIFS(tblAuftraege[Ausgaben],tblAuftraege[Datum Ausgaben],"&gt;="&amp;Y$5,tblAuftraege[Datum Ausgaben],"&lt;"&amp;EDATE(Y$5,1),tblAuftraege[Auftrag],$A86))</f>
        <v>0</v>
      </c>
      <c r="Z86" s="11" t="n">
        <f aca="false">IF($A86="",0,SUMIFS(tblAuftraege[Ausgaben],tblAuftraege[Datum Ausgaben],"&gt;="&amp;Z$5,tblAuftraege[Datum Ausgaben],"&lt;"&amp;EDATE(Z$5,1),tblAuftraege[Auftrag],$A86))</f>
        <v>0</v>
      </c>
      <c r="AA86" s="11" t="n">
        <f aca="false">IF($A86="",0,SUMIFS(tblAuftraege[Ausgaben],tblAuftraege[Datum Ausgaben],"&gt;="&amp;AA$5,tblAuftraege[Datum Ausgaben],"&lt;"&amp;EDATE(AA$5,1),tblAuftraege[Auftrag],$A86))</f>
        <v>0</v>
      </c>
      <c r="AB86" s="11" t="n">
        <f aca="false">IF($A86="",0,SUMIFS(tblAuftraege[Ausgaben],tblAuftraege[Datum Ausgaben],"&gt;="&amp;AB$5,tblAuftraege[Datum Ausgaben],"&lt;"&amp;EDATE(AB$5,1),tblAuftraege[Auftrag],$A86))</f>
        <v>0</v>
      </c>
      <c r="AC86" s="11" t="n">
        <f aca="false">IF($A86="",0,SUMIFS(tblAuftraege[Ausgaben],tblAuftraege[Datum Ausgaben],"&gt;="&amp;AC$5,tblAuftraege[Datum Ausgaben],"&lt;"&amp;EDATE(AC$5,1),tblAuftraege[Auftrag],$A86))</f>
        <v>0</v>
      </c>
      <c r="AD86" s="11" t="n">
        <f aca="false">IF($A86="",0,SUMIFS(tblAuftraege[Ausgaben],tblAuftraege[Datum Ausgaben],"&gt;="&amp;AD$5,tblAuftraege[Datum Ausgaben],"&lt;"&amp;EDATE(AD$5,1),tblAuftraege[Auftrag],$A86))</f>
        <v>0</v>
      </c>
      <c r="AE86" s="11" t="n">
        <f aca="false">IF($A86="",0,SUMIFS(tblAuftraege[Ausgaben],tblAuftraege[Datum Ausgaben],"&gt;="&amp;AE$5,tblAuftraege[Datum Ausgaben],"&lt;"&amp;EDATE(AE$5,1),tblAuftraege[Auftrag],$A86))</f>
        <v>0</v>
      </c>
      <c r="AF86" s="11" t="n">
        <f aca="false">IF($A86="",0,SUMIFS(tblAuftraege[Ausgaben],tblAuftraege[Datum Ausgaben],"&gt;="&amp;AF$5,tblAuftraege[Datum Ausgaben],"&lt;"&amp;EDATE(AF$5,1),tblAuftraege[Auftrag],$A86))</f>
        <v>0</v>
      </c>
      <c r="AG86" s="11" t="n">
        <f aca="false">IF($A86="",0,SUMIFS(tblAuftraege[Ausgaben],tblAuftraege[Datum Ausgaben],"&gt;="&amp;AG$5,tblAuftraege[Datum Ausgaben],"&lt;"&amp;EDATE(AG$5,1),tblAuftraege[Auftrag],$A86))</f>
        <v>0</v>
      </c>
      <c r="AH86" s="11" t="n">
        <f aca="false">IF($A86="",0,SUMIFS(tblAuftraege[Ausgaben],tblAuftraege[Datum Ausgaben],"&gt;="&amp;AH$5,tblAuftraege[Datum Ausgaben],"&lt;"&amp;EDATE(AH$5,1),tblAuftraege[Auftrag],$A86))</f>
        <v>0</v>
      </c>
      <c r="AI86" s="11" t="n">
        <f aca="false">IF($A86="",0,SUMIFS(tblAuftraege[Ausgaben],tblAuftraege[Datum Ausgaben],"&gt;="&amp;AI$5,tblAuftraege[Datum Ausgaben],"&lt;"&amp;EDATE(AI$5,1),tblAuftraege[Auftrag],$A86))</f>
        <v>0</v>
      </c>
      <c r="AJ86" s="11" t="n">
        <f aca="false">IF($A86="",0,SUMIFS(tblAuftraege[Ausgaben],tblAuftraege[Datum Ausgaben],"&gt;="&amp;AJ$5,tblAuftraege[Datum Ausgaben],"&lt;"&amp;EDATE(AJ$5,1),tblAuftraege[Auftrag],$A86))</f>
        <v>0</v>
      </c>
      <c r="AK86" s="11" t="n">
        <f aca="false">IF($A86="",0,SUMIFS(tblAuftraege[Ausgaben],tblAuftraege[Datum Ausgaben],"&gt;="&amp;AK$5,tblAuftraege[Datum Ausgaben],"&lt;"&amp;EDATE(AK$5,1),tblAuftraege[Auftrag],$A86))</f>
        <v>0</v>
      </c>
      <c r="AL86" s="11" t="n">
        <f aca="false">IF($A86="",0,SUMIFS(tblAuftraege[Ausgaben],tblAuftraege[Datum Ausgaben],"&gt;="&amp;AL$5,tblAuftraege[Datum Ausgaben],"&lt;"&amp;EDATE(AL$5,1),tblAuftraege[Auftrag],$A86))</f>
        <v>0</v>
      </c>
      <c r="AM86" s="11" t="n">
        <f aca="false">IF($A86="",0,SUMIFS(tblAuftraege[Ausgaben],tblAuftraege[Datum Ausgaben],"&gt;="&amp;AM$5,tblAuftraege[Datum Ausgaben],"&lt;"&amp;EDATE(AM$5,1),tblAuftraege[Auftrag],$A86))</f>
        <v>0</v>
      </c>
      <c r="AN86" s="11" t="n">
        <f aca="false">IF($A86="",0,SUMIFS(tblAuftraege[Ausgaben],tblAuftraege[Datum Ausgaben],"&gt;="&amp;AN$5,tblAuftraege[Datum Ausgaben],"&lt;"&amp;EDATE(AN$5,1),tblAuftraege[Auftrag],$A86))</f>
        <v>0</v>
      </c>
      <c r="AO86" s="11" t="n">
        <f aca="false">IF($A86="",0,SUMIFS(tblAuftraege[Ausgaben],tblAuftraege[Datum Ausgaben],"&gt;="&amp;AO$5,tblAuftraege[Datum Ausgaben],"&lt;"&amp;EDATE(AO$5,1),tblAuftraege[Auftrag],$A86))</f>
        <v>0</v>
      </c>
      <c r="AP86" s="11" t="n">
        <f aca="false">IF($A86="",0,SUMIFS(tblAuftraege[Ausgaben],tblAuftraege[Datum Ausgaben],"&gt;="&amp;AP$5,tblAuftraege[Datum Ausgaben],"&lt;"&amp;EDATE(AP$5,1),tblAuftraege[Auftrag],$A86))</f>
        <v>0</v>
      </c>
      <c r="AQ86" s="11" t="n">
        <f aca="false">IF($A86="",0,SUMIFS(tblAuftraege[Ausgaben],tblAuftraege[Datum Ausgaben],"&gt;="&amp;AQ$5,tblAuftraege[Datum Ausgaben],"&lt;"&amp;EDATE(AQ$5,1),tblAuftraege[Auftrag],$A86))</f>
        <v>0</v>
      </c>
      <c r="AR86" s="11" t="n">
        <f aca="false">IF($A86="",0,SUMIFS(tblAuftraege[Ausgaben],tblAuftraege[Datum Ausgaben],"&gt;="&amp;AR$5,tblAuftraege[Datum Ausgaben],"&lt;"&amp;EDATE(AR$5,1),tblAuftraege[Auftrag],$A86))</f>
        <v>0</v>
      </c>
      <c r="AS86" s="11" t="n">
        <f aca="false">IF($A86="",0,SUMIFS(tblAuftraege[Ausgaben],tblAuftraege[Datum Ausgaben],"&gt;="&amp;AS$5,tblAuftraege[Datum Ausgaben],"&lt;"&amp;EDATE(AS$5,1),tblAuftraege[Auftrag],$A86))</f>
        <v>0</v>
      </c>
      <c r="AT86" s="11" t="n">
        <f aca="false">IF($A86="",0,SUMIFS(tblAuftraege[Ausgaben],tblAuftraege[Datum Ausgaben],"&gt;="&amp;AT$5,tblAuftraege[Datum Ausgaben],"&lt;"&amp;EDATE(AT$5,1),tblAuftraege[Auftrag],$A86))</f>
        <v>0</v>
      </c>
      <c r="AU86" s="11" t="n">
        <f aca="false">IF($A86="",0,SUMIFS(tblAuftraege[Ausgaben],tblAuftraege[Datum Ausgaben],"&gt;="&amp;AU$5,tblAuftraege[Datum Ausgaben],"&lt;"&amp;EDATE(AU$5,1),tblAuftraege[Auftrag],$A86))</f>
        <v>0</v>
      </c>
      <c r="AV86" s="11" t="n">
        <f aca="false">IF($A86="",0,SUMIFS(tblAuftraege[Ausgaben],tblAuftraege[Datum Ausgaben],"&gt;="&amp;AV$5,tblAuftraege[Datum Ausgaben],"&lt;"&amp;EDATE(AV$5,1),tblAuftraege[Auftrag],$A86))</f>
        <v>0</v>
      </c>
      <c r="AW86" s="11" t="n">
        <f aca="false">IF($A86="",0,SUMIFS(tblAuftraege[Ausgaben],tblAuftraege[Datum Ausgaben],"&gt;="&amp;AW$5,tblAuftraege[Datum Ausgaben],"&lt;"&amp;EDATE(AW$5,1),tblAuftraege[Auftrag],$A86))</f>
        <v>0</v>
      </c>
      <c r="AX86" s="11" t="n">
        <f aca="false">IF($A86="",0,SUMIFS(tblAuftraege[Ausgaben],tblAuftraege[Datum Ausgaben],"&gt;="&amp;AX$5,tblAuftraege[Datum Ausgaben],"&lt;"&amp;EDATE(AX$5,1),tblAuftraege[Auftrag],$A86))</f>
        <v>0</v>
      </c>
      <c r="AY86" s="11" t="n">
        <f aca="false">IF($A86="",0,SUMIFS(tblAuftraege[Ausgaben],tblAuftraege[Datum Ausgaben],"&gt;="&amp;AY$5,tblAuftraege[Datum Ausgaben],"&lt;"&amp;EDATE(AY$5,1),tblAuftraege[Auftrag],$A86))</f>
        <v>0</v>
      </c>
      <c r="AZ86" s="11" t="n">
        <f aca="false">IF($A86="",0,SUMIFS(tblAuftraege[Ausgaben],tblAuftraege[Datum Ausgaben],"&gt;="&amp;AZ$5,tblAuftraege[Datum Ausgaben],"&lt;"&amp;EDATE(AZ$5,1),tblAuftraege[Auftrag],$A86))</f>
        <v>0</v>
      </c>
      <c r="BA86" s="11" t="n">
        <f aca="false">IF($A86="",0,SUMIFS(tblAuftraege[Ausgaben],tblAuftraege[Datum Ausgaben],"&gt;="&amp;BA$5,tblAuftraege[Datum Ausgaben],"&lt;"&amp;EDATE(BA$5,1),tblAuftraege[Auftrag],$A86))</f>
        <v>0</v>
      </c>
      <c r="BB86" s="11" t="n">
        <f aca="false">IF($A86="",0,SUMIFS(tblAuftraege[Ausgaben],tblAuftraege[Datum Ausgaben],"&gt;="&amp;BB$5,tblAuftraege[Datum Ausgaben],"&lt;"&amp;EDATE(BB$5,1),tblAuftraege[Auftrag],$A86))</f>
        <v>0</v>
      </c>
      <c r="BC86" s="11" t="n">
        <f aca="false">IF($A86="",0,SUMIFS(tblAuftraege[Ausgaben],tblAuftraege[Datum Ausgaben],"&gt;="&amp;BC$5,tblAuftraege[Datum Ausgaben],"&lt;"&amp;EDATE(BC$5,1),tblAuftraege[Auftrag],$A86))</f>
        <v>0</v>
      </c>
      <c r="BD86" s="11" t="n">
        <f aca="false">IF($A86="",0,SUMIFS(tblAuftraege[Ausgaben],tblAuftraege[Datum Ausgaben],"&gt;="&amp;BD$5,tblAuftraege[Datum Ausgaben],"&lt;"&amp;EDATE(BD$5,1),tblAuftraege[Auftrag],$A86))</f>
        <v>0</v>
      </c>
      <c r="BE86" s="11" t="n">
        <f aca="false">IF($A86="",0,SUMIFS(tblAuftraege[Ausgaben],tblAuftraege[Datum Ausgaben],"&gt;="&amp;BE$5,tblAuftraege[Datum Ausgaben],"&lt;"&amp;EDATE(BE$5,1),tblAuftraege[Auftrag],$A86))</f>
        <v>0</v>
      </c>
      <c r="BF86" s="11" t="n">
        <f aca="false">IF($A86="",0,SUMIFS(tblAuftraege[Ausgaben],tblAuftraege[Datum Ausgaben],"&gt;="&amp;BF$5,tblAuftraege[Datum Ausgaben],"&lt;"&amp;EDATE(BF$5,1),tblAuftraege[Auftrag],$A86))</f>
        <v>0</v>
      </c>
      <c r="BG86" s="11" t="n">
        <f aca="false">SUM(E86:J86)</f>
        <v>0</v>
      </c>
      <c r="BH86" s="11" t="n">
        <f aca="false">SUM(K86:V86)</f>
        <v>0</v>
      </c>
      <c r="BI86" s="11" t="n">
        <f aca="false">SUM(W86:AH86)</f>
        <v>0</v>
      </c>
      <c r="BJ86" s="11" t="n">
        <f aca="false">SUM(AI86:AT86)</f>
        <v>0</v>
      </c>
      <c r="BK86" s="11" t="n">
        <f aca="false">SUM(AU86:BF86)</f>
        <v>0</v>
      </c>
      <c r="BL86" s="12" t="n">
        <f aca="false">SUM(E86:BF86)</f>
        <v>0</v>
      </c>
    </row>
    <row r="87" customFormat="false" ht="15" hidden="false" customHeight="false" outlineLevel="0" collapsed="false">
      <c r="A87" s="9"/>
      <c r="B87" s="10" t="str">
        <f aca="false">IF($A87="","",IFERROR(INDEX(tblAuftraege[Kostenstelle],MATCH($A87,tblAuftraege[Auftrag],0)),""))</f>
        <v/>
      </c>
      <c r="C87" s="10" t="str">
        <f aca="false">IF($A87="","",IFERROR(INDEX(tblAuftraege[Themenfeld],MATCH($A87,tblAuftraege[Auftrag],0)),""))</f>
        <v/>
      </c>
      <c r="D87" s="10" t="str">
        <f aca="false">IF($A87="","",IFERROR(INDEX(tblAuftraege[Kategorie],MATCH($A87,tblAuftraege[Auftrag],0)),""))</f>
        <v/>
      </c>
      <c r="E87" s="11" t="n">
        <f aca="false">IF($A87="",0,SUMIFS(tblAuftraege[Ausgaben],tblAuftraege[Datum Ausgaben],"&gt;="&amp;E$5,tblAuftraege[Datum Ausgaben],"&lt;"&amp;EDATE(E$5,1),tblAuftraege[Auftrag],$A87))</f>
        <v>0</v>
      </c>
      <c r="F87" s="11" t="n">
        <f aca="false">IF($A87="",0,SUMIFS(tblAuftraege[Ausgaben],tblAuftraege[Datum Ausgaben],"&gt;="&amp;F$5,tblAuftraege[Datum Ausgaben],"&lt;"&amp;EDATE(F$5,1),tblAuftraege[Auftrag],$A87))</f>
        <v>0</v>
      </c>
      <c r="G87" s="11" t="n">
        <f aca="false">IF($A87="",0,SUMIFS(tblAuftraege[Ausgaben],tblAuftraege[Datum Ausgaben],"&gt;="&amp;G$5,tblAuftraege[Datum Ausgaben],"&lt;"&amp;EDATE(G$5,1),tblAuftraege[Auftrag],$A87))</f>
        <v>0</v>
      </c>
      <c r="H87" s="11" t="n">
        <f aca="false">IF($A87="",0,SUMIFS(tblAuftraege[Ausgaben],tblAuftraege[Datum Ausgaben],"&gt;="&amp;H$5,tblAuftraege[Datum Ausgaben],"&lt;"&amp;EDATE(H$5,1),tblAuftraege[Auftrag],$A87))</f>
        <v>0</v>
      </c>
      <c r="I87" s="11" t="n">
        <f aca="false">IF($A87="",0,SUMIFS(tblAuftraege[Ausgaben],tblAuftraege[Datum Ausgaben],"&gt;="&amp;I$5,tblAuftraege[Datum Ausgaben],"&lt;"&amp;EDATE(I$5,1),tblAuftraege[Auftrag],$A87))</f>
        <v>0</v>
      </c>
      <c r="J87" s="11" t="n">
        <f aca="false">IF($A87="",0,SUMIFS(tblAuftraege[Ausgaben],tblAuftraege[Datum Ausgaben],"&gt;="&amp;J$5,tblAuftraege[Datum Ausgaben],"&lt;"&amp;EDATE(J$5,1),tblAuftraege[Auftrag],$A87))</f>
        <v>0</v>
      </c>
      <c r="K87" s="11" t="n">
        <f aca="false">IF($A87="",0,SUMIFS(tblAuftraege[Ausgaben],tblAuftraege[Datum Ausgaben],"&gt;="&amp;K$5,tblAuftraege[Datum Ausgaben],"&lt;"&amp;EDATE(K$5,1),tblAuftraege[Auftrag],$A87))</f>
        <v>0</v>
      </c>
      <c r="L87" s="11" t="n">
        <f aca="false">IF($A87="",0,SUMIFS(tblAuftraege[Ausgaben],tblAuftraege[Datum Ausgaben],"&gt;="&amp;L$5,tblAuftraege[Datum Ausgaben],"&lt;"&amp;EDATE(L$5,1),tblAuftraege[Auftrag],$A87))</f>
        <v>0</v>
      </c>
      <c r="M87" s="11" t="n">
        <f aca="false">IF($A87="",0,SUMIFS(tblAuftraege[Ausgaben],tblAuftraege[Datum Ausgaben],"&gt;="&amp;M$5,tblAuftraege[Datum Ausgaben],"&lt;"&amp;EDATE(M$5,1),tblAuftraege[Auftrag],$A87))</f>
        <v>0</v>
      </c>
      <c r="N87" s="11" t="n">
        <f aca="false">IF($A87="",0,SUMIFS(tblAuftraege[Ausgaben],tblAuftraege[Datum Ausgaben],"&gt;="&amp;N$5,tblAuftraege[Datum Ausgaben],"&lt;"&amp;EDATE(N$5,1),tblAuftraege[Auftrag],$A87))</f>
        <v>0</v>
      </c>
      <c r="O87" s="11" t="n">
        <f aca="false">IF($A87="",0,SUMIFS(tblAuftraege[Ausgaben],tblAuftraege[Datum Ausgaben],"&gt;="&amp;O$5,tblAuftraege[Datum Ausgaben],"&lt;"&amp;EDATE(O$5,1),tblAuftraege[Auftrag],$A87))</f>
        <v>0</v>
      </c>
      <c r="P87" s="11" t="n">
        <f aca="false">IF($A87="",0,SUMIFS(tblAuftraege[Ausgaben],tblAuftraege[Datum Ausgaben],"&gt;="&amp;P$5,tblAuftraege[Datum Ausgaben],"&lt;"&amp;EDATE(P$5,1),tblAuftraege[Auftrag],$A87))</f>
        <v>0</v>
      </c>
      <c r="Q87" s="11" t="n">
        <f aca="false">IF($A87="",0,SUMIFS(tblAuftraege[Ausgaben],tblAuftraege[Datum Ausgaben],"&gt;="&amp;Q$5,tblAuftraege[Datum Ausgaben],"&lt;"&amp;EDATE(Q$5,1),tblAuftraege[Auftrag],$A87))</f>
        <v>0</v>
      </c>
      <c r="R87" s="11" t="n">
        <f aca="false">IF($A87="",0,SUMIFS(tblAuftraege[Ausgaben],tblAuftraege[Datum Ausgaben],"&gt;="&amp;R$5,tblAuftraege[Datum Ausgaben],"&lt;"&amp;EDATE(R$5,1),tblAuftraege[Auftrag],$A87))</f>
        <v>0</v>
      </c>
      <c r="S87" s="11" t="n">
        <f aca="false">IF($A87="",0,SUMIFS(tblAuftraege[Ausgaben],tblAuftraege[Datum Ausgaben],"&gt;="&amp;S$5,tblAuftraege[Datum Ausgaben],"&lt;"&amp;EDATE(S$5,1),tblAuftraege[Auftrag],$A87))</f>
        <v>0</v>
      </c>
      <c r="T87" s="11" t="n">
        <f aca="false">IF($A87="",0,SUMIFS(tblAuftraege[Ausgaben],tblAuftraege[Datum Ausgaben],"&gt;="&amp;T$5,tblAuftraege[Datum Ausgaben],"&lt;"&amp;EDATE(T$5,1),tblAuftraege[Auftrag],$A87))</f>
        <v>0</v>
      </c>
      <c r="U87" s="11" t="n">
        <f aca="false">IF($A87="",0,SUMIFS(tblAuftraege[Ausgaben],tblAuftraege[Datum Ausgaben],"&gt;="&amp;U$5,tblAuftraege[Datum Ausgaben],"&lt;"&amp;EDATE(U$5,1),tblAuftraege[Auftrag],$A87))</f>
        <v>0</v>
      </c>
      <c r="V87" s="11" t="n">
        <f aca="false">IF($A87="",0,SUMIFS(tblAuftraege[Ausgaben],tblAuftraege[Datum Ausgaben],"&gt;="&amp;V$5,tblAuftraege[Datum Ausgaben],"&lt;"&amp;EDATE(V$5,1),tblAuftraege[Auftrag],$A87))</f>
        <v>0</v>
      </c>
      <c r="W87" s="11" t="n">
        <f aca="false">IF($A87="",0,SUMIFS(tblAuftraege[Ausgaben],tblAuftraege[Datum Ausgaben],"&gt;="&amp;W$5,tblAuftraege[Datum Ausgaben],"&lt;"&amp;EDATE(W$5,1),tblAuftraege[Auftrag],$A87))</f>
        <v>0</v>
      </c>
      <c r="X87" s="11" t="n">
        <f aca="false">IF($A87="",0,SUMIFS(tblAuftraege[Ausgaben],tblAuftraege[Datum Ausgaben],"&gt;="&amp;X$5,tblAuftraege[Datum Ausgaben],"&lt;"&amp;EDATE(X$5,1),tblAuftraege[Auftrag],$A87))</f>
        <v>0</v>
      </c>
      <c r="Y87" s="11" t="n">
        <f aca="false">IF($A87="",0,SUMIFS(tblAuftraege[Ausgaben],tblAuftraege[Datum Ausgaben],"&gt;="&amp;Y$5,tblAuftraege[Datum Ausgaben],"&lt;"&amp;EDATE(Y$5,1),tblAuftraege[Auftrag],$A87))</f>
        <v>0</v>
      </c>
      <c r="Z87" s="11" t="n">
        <f aca="false">IF($A87="",0,SUMIFS(tblAuftraege[Ausgaben],tblAuftraege[Datum Ausgaben],"&gt;="&amp;Z$5,tblAuftraege[Datum Ausgaben],"&lt;"&amp;EDATE(Z$5,1),tblAuftraege[Auftrag],$A87))</f>
        <v>0</v>
      </c>
      <c r="AA87" s="11" t="n">
        <f aca="false">IF($A87="",0,SUMIFS(tblAuftraege[Ausgaben],tblAuftraege[Datum Ausgaben],"&gt;="&amp;AA$5,tblAuftraege[Datum Ausgaben],"&lt;"&amp;EDATE(AA$5,1),tblAuftraege[Auftrag],$A87))</f>
        <v>0</v>
      </c>
      <c r="AB87" s="11" t="n">
        <f aca="false">IF($A87="",0,SUMIFS(tblAuftraege[Ausgaben],tblAuftraege[Datum Ausgaben],"&gt;="&amp;AB$5,tblAuftraege[Datum Ausgaben],"&lt;"&amp;EDATE(AB$5,1),tblAuftraege[Auftrag],$A87))</f>
        <v>0</v>
      </c>
      <c r="AC87" s="11" t="n">
        <f aca="false">IF($A87="",0,SUMIFS(tblAuftraege[Ausgaben],tblAuftraege[Datum Ausgaben],"&gt;="&amp;AC$5,tblAuftraege[Datum Ausgaben],"&lt;"&amp;EDATE(AC$5,1),tblAuftraege[Auftrag],$A87))</f>
        <v>0</v>
      </c>
      <c r="AD87" s="11" t="n">
        <f aca="false">IF($A87="",0,SUMIFS(tblAuftraege[Ausgaben],tblAuftraege[Datum Ausgaben],"&gt;="&amp;AD$5,tblAuftraege[Datum Ausgaben],"&lt;"&amp;EDATE(AD$5,1),tblAuftraege[Auftrag],$A87))</f>
        <v>0</v>
      </c>
      <c r="AE87" s="11" t="n">
        <f aca="false">IF($A87="",0,SUMIFS(tblAuftraege[Ausgaben],tblAuftraege[Datum Ausgaben],"&gt;="&amp;AE$5,tblAuftraege[Datum Ausgaben],"&lt;"&amp;EDATE(AE$5,1),tblAuftraege[Auftrag],$A87))</f>
        <v>0</v>
      </c>
      <c r="AF87" s="11" t="n">
        <f aca="false">IF($A87="",0,SUMIFS(tblAuftraege[Ausgaben],tblAuftraege[Datum Ausgaben],"&gt;="&amp;AF$5,tblAuftraege[Datum Ausgaben],"&lt;"&amp;EDATE(AF$5,1),tblAuftraege[Auftrag],$A87))</f>
        <v>0</v>
      </c>
      <c r="AG87" s="11" t="n">
        <f aca="false">IF($A87="",0,SUMIFS(tblAuftraege[Ausgaben],tblAuftraege[Datum Ausgaben],"&gt;="&amp;AG$5,tblAuftraege[Datum Ausgaben],"&lt;"&amp;EDATE(AG$5,1),tblAuftraege[Auftrag],$A87))</f>
        <v>0</v>
      </c>
      <c r="AH87" s="11" t="n">
        <f aca="false">IF($A87="",0,SUMIFS(tblAuftraege[Ausgaben],tblAuftraege[Datum Ausgaben],"&gt;="&amp;AH$5,tblAuftraege[Datum Ausgaben],"&lt;"&amp;EDATE(AH$5,1),tblAuftraege[Auftrag],$A87))</f>
        <v>0</v>
      </c>
      <c r="AI87" s="11" t="n">
        <f aca="false">IF($A87="",0,SUMIFS(tblAuftraege[Ausgaben],tblAuftraege[Datum Ausgaben],"&gt;="&amp;AI$5,tblAuftraege[Datum Ausgaben],"&lt;"&amp;EDATE(AI$5,1),tblAuftraege[Auftrag],$A87))</f>
        <v>0</v>
      </c>
      <c r="AJ87" s="11" t="n">
        <f aca="false">IF($A87="",0,SUMIFS(tblAuftraege[Ausgaben],tblAuftraege[Datum Ausgaben],"&gt;="&amp;AJ$5,tblAuftraege[Datum Ausgaben],"&lt;"&amp;EDATE(AJ$5,1),tblAuftraege[Auftrag],$A87))</f>
        <v>0</v>
      </c>
      <c r="AK87" s="11" t="n">
        <f aca="false">IF($A87="",0,SUMIFS(tblAuftraege[Ausgaben],tblAuftraege[Datum Ausgaben],"&gt;="&amp;AK$5,tblAuftraege[Datum Ausgaben],"&lt;"&amp;EDATE(AK$5,1),tblAuftraege[Auftrag],$A87))</f>
        <v>0</v>
      </c>
      <c r="AL87" s="11" t="n">
        <f aca="false">IF($A87="",0,SUMIFS(tblAuftraege[Ausgaben],tblAuftraege[Datum Ausgaben],"&gt;="&amp;AL$5,tblAuftraege[Datum Ausgaben],"&lt;"&amp;EDATE(AL$5,1),tblAuftraege[Auftrag],$A87))</f>
        <v>0</v>
      </c>
      <c r="AM87" s="11" t="n">
        <f aca="false">IF($A87="",0,SUMIFS(tblAuftraege[Ausgaben],tblAuftraege[Datum Ausgaben],"&gt;="&amp;AM$5,tblAuftraege[Datum Ausgaben],"&lt;"&amp;EDATE(AM$5,1),tblAuftraege[Auftrag],$A87))</f>
        <v>0</v>
      </c>
      <c r="AN87" s="11" t="n">
        <f aca="false">IF($A87="",0,SUMIFS(tblAuftraege[Ausgaben],tblAuftraege[Datum Ausgaben],"&gt;="&amp;AN$5,tblAuftraege[Datum Ausgaben],"&lt;"&amp;EDATE(AN$5,1),tblAuftraege[Auftrag],$A87))</f>
        <v>0</v>
      </c>
      <c r="AO87" s="11" t="n">
        <f aca="false">IF($A87="",0,SUMIFS(tblAuftraege[Ausgaben],tblAuftraege[Datum Ausgaben],"&gt;="&amp;AO$5,tblAuftraege[Datum Ausgaben],"&lt;"&amp;EDATE(AO$5,1),tblAuftraege[Auftrag],$A87))</f>
        <v>0</v>
      </c>
      <c r="AP87" s="11" t="n">
        <f aca="false">IF($A87="",0,SUMIFS(tblAuftraege[Ausgaben],tblAuftraege[Datum Ausgaben],"&gt;="&amp;AP$5,tblAuftraege[Datum Ausgaben],"&lt;"&amp;EDATE(AP$5,1),tblAuftraege[Auftrag],$A87))</f>
        <v>0</v>
      </c>
      <c r="AQ87" s="11" t="n">
        <f aca="false">IF($A87="",0,SUMIFS(tblAuftraege[Ausgaben],tblAuftraege[Datum Ausgaben],"&gt;="&amp;AQ$5,tblAuftraege[Datum Ausgaben],"&lt;"&amp;EDATE(AQ$5,1),tblAuftraege[Auftrag],$A87))</f>
        <v>0</v>
      </c>
      <c r="AR87" s="11" t="n">
        <f aca="false">IF($A87="",0,SUMIFS(tblAuftraege[Ausgaben],tblAuftraege[Datum Ausgaben],"&gt;="&amp;AR$5,tblAuftraege[Datum Ausgaben],"&lt;"&amp;EDATE(AR$5,1),tblAuftraege[Auftrag],$A87))</f>
        <v>0</v>
      </c>
      <c r="AS87" s="11" t="n">
        <f aca="false">IF($A87="",0,SUMIFS(tblAuftraege[Ausgaben],tblAuftraege[Datum Ausgaben],"&gt;="&amp;AS$5,tblAuftraege[Datum Ausgaben],"&lt;"&amp;EDATE(AS$5,1),tblAuftraege[Auftrag],$A87))</f>
        <v>0</v>
      </c>
      <c r="AT87" s="11" t="n">
        <f aca="false">IF($A87="",0,SUMIFS(tblAuftraege[Ausgaben],tblAuftraege[Datum Ausgaben],"&gt;="&amp;AT$5,tblAuftraege[Datum Ausgaben],"&lt;"&amp;EDATE(AT$5,1),tblAuftraege[Auftrag],$A87))</f>
        <v>0</v>
      </c>
      <c r="AU87" s="11" t="n">
        <f aca="false">IF($A87="",0,SUMIFS(tblAuftraege[Ausgaben],tblAuftraege[Datum Ausgaben],"&gt;="&amp;AU$5,tblAuftraege[Datum Ausgaben],"&lt;"&amp;EDATE(AU$5,1),tblAuftraege[Auftrag],$A87))</f>
        <v>0</v>
      </c>
      <c r="AV87" s="11" t="n">
        <f aca="false">IF($A87="",0,SUMIFS(tblAuftraege[Ausgaben],tblAuftraege[Datum Ausgaben],"&gt;="&amp;AV$5,tblAuftraege[Datum Ausgaben],"&lt;"&amp;EDATE(AV$5,1),tblAuftraege[Auftrag],$A87))</f>
        <v>0</v>
      </c>
      <c r="AW87" s="11" t="n">
        <f aca="false">IF($A87="",0,SUMIFS(tblAuftraege[Ausgaben],tblAuftraege[Datum Ausgaben],"&gt;="&amp;AW$5,tblAuftraege[Datum Ausgaben],"&lt;"&amp;EDATE(AW$5,1),tblAuftraege[Auftrag],$A87))</f>
        <v>0</v>
      </c>
      <c r="AX87" s="11" t="n">
        <f aca="false">IF($A87="",0,SUMIFS(tblAuftraege[Ausgaben],tblAuftraege[Datum Ausgaben],"&gt;="&amp;AX$5,tblAuftraege[Datum Ausgaben],"&lt;"&amp;EDATE(AX$5,1),tblAuftraege[Auftrag],$A87))</f>
        <v>0</v>
      </c>
      <c r="AY87" s="11" t="n">
        <f aca="false">IF($A87="",0,SUMIFS(tblAuftraege[Ausgaben],tblAuftraege[Datum Ausgaben],"&gt;="&amp;AY$5,tblAuftraege[Datum Ausgaben],"&lt;"&amp;EDATE(AY$5,1),tblAuftraege[Auftrag],$A87))</f>
        <v>0</v>
      </c>
      <c r="AZ87" s="11" t="n">
        <f aca="false">IF($A87="",0,SUMIFS(tblAuftraege[Ausgaben],tblAuftraege[Datum Ausgaben],"&gt;="&amp;AZ$5,tblAuftraege[Datum Ausgaben],"&lt;"&amp;EDATE(AZ$5,1),tblAuftraege[Auftrag],$A87))</f>
        <v>0</v>
      </c>
      <c r="BA87" s="11" t="n">
        <f aca="false">IF($A87="",0,SUMIFS(tblAuftraege[Ausgaben],tblAuftraege[Datum Ausgaben],"&gt;="&amp;BA$5,tblAuftraege[Datum Ausgaben],"&lt;"&amp;EDATE(BA$5,1),tblAuftraege[Auftrag],$A87))</f>
        <v>0</v>
      </c>
      <c r="BB87" s="11" t="n">
        <f aca="false">IF($A87="",0,SUMIFS(tblAuftraege[Ausgaben],tblAuftraege[Datum Ausgaben],"&gt;="&amp;BB$5,tblAuftraege[Datum Ausgaben],"&lt;"&amp;EDATE(BB$5,1),tblAuftraege[Auftrag],$A87))</f>
        <v>0</v>
      </c>
      <c r="BC87" s="11" t="n">
        <f aca="false">IF($A87="",0,SUMIFS(tblAuftraege[Ausgaben],tblAuftraege[Datum Ausgaben],"&gt;="&amp;BC$5,tblAuftraege[Datum Ausgaben],"&lt;"&amp;EDATE(BC$5,1),tblAuftraege[Auftrag],$A87))</f>
        <v>0</v>
      </c>
      <c r="BD87" s="11" t="n">
        <f aca="false">IF($A87="",0,SUMIFS(tblAuftraege[Ausgaben],tblAuftraege[Datum Ausgaben],"&gt;="&amp;BD$5,tblAuftraege[Datum Ausgaben],"&lt;"&amp;EDATE(BD$5,1),tblAuftraege[Auftrag],$A87))</f>
        <v>0</v>
      </c>
      <c r="BE87" s="11" t="n">
        <f aca="false">IF($A87="",0,SUMIFS(tblAuftraege[Ausgaben],tblAuftraege[Datum Ausgaben],"&gt;="&amp;BE$5,tblAuftraege[Datum Ausgaben],"&lt;"&amp;EDATE(BE$5,1),tblAuftraege[Auftrag],$A87))</f>
        <v>0</v>
      </c>
      <c r="BF87" s="11" t="n">
        <f aca="false">IF($A87="",0,SUMIFS(tblAuftraege[Ausgaben],tblAuftraege[Datum Ausgaben],"&gt;="&amp;BF$5,tblAuftraege[Datum Ausgaben],"&lt;"&amp;EDATE(BF$5,1),tblAuftraege[Auftrag],$A87))</f>
        <v>0</v>
      </c>
      <c r="BG87" s="11" t="n">
        <f aca="false">SUM(E87:J87)</f>
        <v>0</v>
      </c>
      <c r="BH87" s="11" t="n">
        <f aca="false">SUM(K87:V87)</f>
        <v>0</v>
      </c>
      <c r="BI87" s="11" t="n">
        <f aca="false">SUM(W87:AH87)</f>
        <v>0</v>
      </c>
      <c r="BJ87" s="11" t="n">
        <f aca="false">SUM(AI87:AT87)</f>
        <v>0</v>
      </c>
      <c r="BK87" s="11" t="n">
        <f aca="false">SUM(AU87:BF87)</f>
        <v>0</v>
      </c>
      <c r="BL87" s="12" t="n">
        <f aca="false">SUM(E87:BF87)</f>
        <v>0</v>
      </c>
    </row>
    <row r="88" customFormat="false" ht="15" hidden="false" customHeight="false" outlineLevel="0" collapsed="false">
      <c r="A88" s="9"/>
      <c r="B88" s="10" t="str">
        <f aca="false">IF($A88="","",IFERROR(INDEX(tblAuftraege[Kostenstelle],MATCH($A88,tblAuftraege[Auftrag],0)),""))</f>
        <v/>
      </c>
      <c r="C88" s="10" t="str">
        <f aca="false">IF($A88="","",IFERROR(INDEX(tblAuftraege[Themenfeld],MATCH($A88,tblAuftraege[Auftrag],0)),""))</f>
        <v/>
      </c>
      <c r="D88" s="10" t="str">
        <f aca="false">IF($A88="","",IFERROR(INDEX(tblAuftraege[Kategorie],MATCH($A88,tblAuftraege[Auftrag],0)),""))</f>
        <v/>
      </c>
      <c r="E88" s="11" t="n">
        <f aca="false">IF($A88="",0,SUMIFS(tblAuftraege[Ausgaben],tblAuftraege[Datum Ausgaben],"&gt;="&amp;E$5,tblAuftraege[Datum Ausgaben],"&lt;"&amp;EDATE(E$5,1),tblAuftraege[Auftrag],$A88))</f>
        <v>0</v>
      </c>
      <c r="F88" s="11" t="n">
        <f aca="false">IF($A88="",0,SUMIFS(tblAuftraege[Ausgaben],tblAuftraege[Datum Ausgaben],"&gt;="&amp;F$5,tblAuftraege[Datum Ausgaben],"&lt;"&amp;EDATE(F$5,1),tblAuftraege[Auftrag],$A88))</f>
        <v>0</v>
      </c>
      <c r="G88" s="11" t="n">
        <f aca="false">IF($A88="",0,SUMIFS(tblAuftraege[Ausgaben],tblAuftraege[Datum Ausgaben],"&gt;="&amp;G$5,tblAuftraege[Datum Ausgaben],"&lt;"&amp;EDATE(G$5,1),tblAuftraege[Auftrag],$A88))</f>
        <v>0</v>
      </c>
      <c r="H88" s="11" t="n">
        <f aca="false">IF($A88="",0,SUMIFS(tblAuftraege[Ausgaben],tblAuftraege[Datum Ausgaben],"&gt;="&amp;H$5,tblAuftraege[Datum Ausgaben],"&lt;"&amp;EDATE(H$5,1),tblAuftraege[Auftrag],$A88))</f>
        <v>0</v>
      </c>
      <c r="I88" s="11" t="n">
        <f aca="false">IF($A88="",0,SUMIFS(tblAuftraege[Ausgaben],tblAuftraege[Datum Ausgaben],"&gt;="&amp;I$5,tblAuftraege[Datum Ausgaben],"&lt;"&amp;EDATE(I$5,1),tblAuftraege[Auftrag],$A88))</f>
        <v>0</v>
      </c>
      <c r="J88" s="11" t="n">
        <f aca="false">IF($A88="",0,SUMIFS(tblAuftraege[Ausgaben],tblAuftraege[Datum Ausgaben],"&gt;="&amp;J$5,tblAuftraege[Datum Ausgaben],"&lt;"&amp;EDATE(J$5,1),tblAuftraege[Auftrag],$A88))</f>
        <v>0</v>
      </c>
      <c r="K88" s="11" t="n">
        <f aca="false">IF($A88="",0,SUMIFS(tblAuftraege[Ausgaben],tblAuftraege[Datum Ausgaben],"&gt;="&amp;K$5,tblAuftraege[Datum Ausgaben],"&lt;"&amp;EDATE(K$5,1),tblAuftraege[Auftrag],$A88))</f>
        <v>0</v>
      </c>
      <c r="L88" s="11" t="n">
        <f aca="false">IF($A88="",0,SUMIFS(tblAuftraege[Ausgaben],tblAuftraege[Datum Ausgaben],"&gt;="&amp;L$5,tblAuftraege[Datum Ausgaben],"&lt;"&amp;EDATE(L$5,1),tblAuftraege[Auftrag],$A88))</f>
        <v>0</v>
      </c>
      <c r="M88" s="11" t="n">
        <f aca="false">IF($A88="",0,SUMIFS(tblAuftraege[Ausgaben],tblAuftraege[Datum Ausgaben],"&gt;="&amp;M$5,tblAuftraege[Datum Ausgaben],"&lt;"&amp;EDATE(M$5,1),tblAuftraege[Auftrag],$A88))</f>
        <v>0</v>
      </c>
      <c r="N88" s="11" t="n">
        <f aca="false">IF($A88="",0,SUMIFS(tblAuftraege[Ausgaben],tblAuftraege[Datum Ausgaben],"&gt;="&amp;N$5,tblAuftraege[Datum Ausgaben],"&lt;"&amp;EDATE(N$5,1),tblAuftraege[Auftrag],$A88))</f>
        <v>0</v>
      </c>
      <c r="O88" s="11" t="n">
        <f aca="false">IF($A88="",0,SUMIFS(tblAuftraege[Ausgaben],tblAuftraege[Datum Ausgaben],"&gt;="&amp;O$5,tblAuftraege[Datum Ausgaben],"&lt;"&amp;EDATE(O$5,1),tblAuftraege[Auftrag],$A88))</f>
        <v>0</v>
      </c>
      <c r="P88" s="11" t="n">
        <f aca="false">IF($A88="",0,SUMIFS(tblAuftraege[Ausgaben],tblAuftraege[Datum Ausgaben],"&gt;="&amp;P$5,tblAuftraege[Datum Ausgaben],"&lt;"&amp;EDATE(P$5,1),tblAuftraege[Auftrag],$A88))</f>
        <v>0</v>
      </c>
      <c r="Q88" s="11" t="n">
        <f aca="false">IF($A88="",0,SUMIFS(tblAuftraege[Ausgaben],tblAuftraege[Datum Ausgaben],"&gt;="&amp;Q$5,tblAuftraege[Datum Ausgaben],"&lt;"&amp;EDATE(Q$5,1),tblAuftraege[Auftrag],$A88))</f>
        <v>0</v>
      </c>
      <c r="R88" s="11" t="n">
        <f aca="false">IF($A88="",0,SUMIFS(tblAuftraege[Ausgaben],tblAuftraege[Datum Ausgaben],"&gt;="&amp;R$5,tblAuftraege[Datum Ausgaben],"&lt;"&amp;EDATE(R$5,1),tblAuftraege[Auftrag],$A88))</f>
        <v>0</v>
      </c>
      <c r="S88" s="11" t="n">
        <f aca="false">IF($A88="",0,SUMIFS(tblAuftraege[Ausgaben],tblAuftraege[Datum Ausgaben],"&gt;="&amp;S$5,tblAuftraege[Datum Ausgaben],"&lt;"&amp;EDATE(S$5,1),tblAuftraege[Auftrag],$A88))</f>
        <v>0</v>
      </c>
      <c r="T88" s="11" t="n">
        <f aca="false">IF($A88="",0,SUMIFS(tblAuftraege[Ausgaben],tblAuftraege[Datum Ausgaben],"&gt;="&amp;T$5,tblAuftraege[Datum Ausgaben],"&lt;"&amp;EDATE(T$5,1),tblAuftraege[Auftrag],$A88))</f>
        <v>0</v>
      </c>
      <c r="U88" s="11" t="n">
        <f aca="false">IF($A88="",0,SUMIFS(tblAuftraege[Ausgaben],tblAuftraege[Datum Ausgaben],"&gt;="&amp;U$5,tblAuftraege[Datum Ausgaben],"&lt;"&amp;EDATE(U$5,1),tblAuftraege[Auftrag],$A88))</f>
        <v>0</v>
      </c>
      <c r="V88" s="11" t="n">
        <f aca="false">IF($A88="",0,SUMIFS(tblAuftraege[Ausgaben],tblAuftraege[Datum Ausgaben],"&gt;="&amp;V$5,tblAuftraege[Datum Ausgaben],"&lt;"&amp;EDATE(V$5,1),tblAuftraege[Auftrag],$A88))</f>
        <v>0</v>
      </c>
      <c r="W88" s="11" t="n">
        <f aca="false">IF($A88="",0,SUMIFS(tblAuftraege[Ausgaben],tblAuftraege[Datum Ausgaben],"&gt;="&amp;W$5,tblAuftraege[Datum Ausgaben],"&lt;"&amp;EDATE(W$5,1),tblAuftraege[Auftrag],$A88))</f>
        <v>0</v>
      </c>
      <c r="X88" s="11" t="n">
        <f aca="false">IF($A88="",0,SUMIFS(tblAuftraege[Ausgaben],tblAuftraege[Datum Ausgaben],"&gt;="&amp;X$5,tblAuftraege[Datum Ausgaben],"&lt;"&amp;EDATE(X$5,1),tblAuftraege[Auftrag],$A88))</f>
        <v>0</v>
      </c>
      <c r="Y88" s="11" t="n">
        <f aca="false">IF($A88="",0,SUMIFS(tblAuftraege[Ausgaben],tblAuftraege[Datum Ausgaben],"&gt;="&amp;Y$5,tblAuftraege[Datum Ausgaben],"&lt;"&amp;EDATE(Y$5,1),tblAuftraege[Auftrag],$A88))</f>
        <v>0</v>
      </c>
      <c r="Z88" s="11" t="n">
        <f aca="false">IF($A88="",0,SUMIFS(tblAuftraege[Ausgaben],tblAuftraege[Datum Ausgaben],"&gt;="&amp;Z$5,tblAuftraege[Datum Ausgaben],"&lt;"&amp;EDATE(Z$5,1),tblAuftraege[Auftrag],$A88))</f>
        <v>0</v>
      </c>
      <c r="AA88" s="11" t="n">
        <f aca="false">IF($A88="",0,SUMIFS(tblAuftraege[Ausgaben],tblAuftraege[Datum Ausgaben],"&gt;="&amp;AA$5,tblAuftraege[Datum Ausgaben],"&lt;"&amp;EDATE(AA$5,1),tblAuftraege[Auftrag],$A88))</f>
        <v>0</v>
      </c>
      <c r="AB88" s="11" t="n">
        <f aca="false">IF($A88="",0,SUMIFS(tblAuftraege[Ausgaben],tblAuftraege[Datum Ausgaben],"&gt;="&amp;AB$5,tblAuftraege[Datum Ausgaben],"&lt;"&amp;EDATE(AB$5,1),tblAuftraege[Auftrag],$A88))</f>
        <v>0</v>
      </c>
      <c r="AC88" s="11" t="n">
        <f aca="false">IF($A88="",0,SUMIFS(tblAuftraege[Ausgaben],tblAuftraege[Datum Ausgaben],"&gt;="&amp;AC$5,tblAuftraege[Datum Ausgaben],"&lt;"&amp;EDATE(AC$5,1),tblAuftraege[Auftrag],$A88))</f>
        <v>0</v>
      </c>
      <c r="AD88" s="11" t="n">
        <f aca="false">IF($A88="",0,SUMIFS(tblAuftraege[Ausgaben],tblAuftraege[Datum Ausgaben],"&gt;="&amp;AD$5,tblAuftraege[Datum Ausgaben],"&lt;"&amp;EDATE(AD$5,1),tblAuftraege[Auftrag],$A88))</f>
        <v>0</v>
      </c>
      <c r="AE88" s="11" t="n">
        <f aca="false">IF($A88="",0,SUMIFS(tblAuftraege[Ausgaben],tblAuftraege[Datum Ausgaben],"&gt;="&amp;AE$5,tblAuftraege[Datum Ausgaben],"&lt;"&amp;EDATE(AE$5,1),tblAuftraege[Auftrag],$A88))</f>
        <v>0</v>
      </c>
      <c r="AF88" s="11" t="n">
        <f aca="false">IF($A88="",0,SUMIFS(tblAuftraege[Ausgaben],tblAuftraege[Datum Ausgaben],"&gt;="&amp;AF$5,tblAuftraege[Datum Ausgaben],"&lt;"&amp;EDATE(AF$5,1),tblAuftraege[Auftrag],$A88))</f>
        <v>0</v>
      </c>
      <c r="AG88" s="11" t="n">
        <f aca="false">IF($A88="",0,SUMIFS(tblAuftraege[Ausgaben],tblAuftraege[Datum Ausgaben],"&gt;="&amp;AG$5,tblAuftraege[Datum Ausgaben],"&lt;"&amp;EDATE(AG$5,1),tblAuftraege[Auftrag],$A88))</f>
        <v>0</v>
      </c>
      <c r="AH88" s="11" t="n">
        <f aca="false">IF($A88="",0,SUMIFS(tblAuftraege[Ausgaben],tblAuftraege[Datum Ausgaben],"&gt;="&amp;AH$5,tblAuftraege[Datum Ausgaben],"&lt;"&amp;EDATE(AH$5,1),tblAuftraege[Auftrag],$A88))</f>
        <v>0</v>
      </c>
      <c r="AI88" s="11" t="n">
        <f aca="false">IF($A88="",0,SUMIFS(tblAuftraege[Ausgaben],tblAuftraege[Datum Ausgaben],"&gt;="&amp;AI$5,tblAuftraege[Datum Ausgaben],"&lt;"&amp;EDATE(AI$5,1),tblAuftraege[Auftrag],$A88))</f>
        <v>0</v>
      </c>
      <c r="AJ88" s="11" t="n">
        <f aca="false">IF($A88="",0,SUMIFS(tblAuftraege[Ausgaben],tblAuftraege[Datum Ausgaben],"&gt;="&amp;AJ$5,tblAuftraege[Datum Ausgaben],"&lt;"&amp;EDATE(AJ$5,1),tblAuftraege[Auftrag],$A88))</f>
        <v>0</v>
      </c>
      <c r="AK88" s="11" t="n">
        <f aca="false">IF($A88="",0,SUMIFS(tblAuftraege[Ausgaben],tblAuftraege[Datum Ausgaben],"&gt;="&amp;AK$5,tblAuftraege[Datum Ausgaben],"&lt;"&amp;EDATE(AK$5,1),tblAuftraege[Auftrag],$A88))</f>
        <v>0</v>
      </c>
      <c r="AL88" s="11" t="n">
        <f aca="false">IF($A88="",0,SUMIFS(tblAuftraege[Ausgaben],tblAuftraege[Datum Ausgaben],"&gt;="&amp;AL$5,tblAuftraege[Datum Ausgaben],"&lt;"&amp;EDATE(AL$5,1),tblAuftraege[Auftrag],$A88))</f>
        <v>0</v>
      </c>
      <c r="AM88" s="11" t="n">
        <f aca="false">IF($A88="",0,SUMIFS(tblAuftraege[Ausgaben],tblAuftraege[Datum Ausgaben],"&gt;="&amp;AM$5,tblAuftraege[Datum Ausgaben],"&lt;"&amp;EDATE(AM$5,1),tblAuftraege[Auftrag],$A88))</f>
        <v>0</v>
      </c>
      <c r="AN88" s="11" t="n">
        <f aca="false">IF($A88="",0,SUMIFS(tblAuftraege[Ausgaben],tblAuftraege[Datum Ausgaben],"&gt;="&amp;AN$5,tblAuftraege[Datum Ausgaben],"&lt;"&amp;EDATE(AN$5,1),tblAuftraege[Auftrag],$A88))</f>
        <v>0</v>
      </c>
      <c r="AO88" s="11" t="n">
        <f aca="false">IF($A88="",0,SUMIFS(tblAuftraege[Ausgaben],tblAuftraege[Datum Ausgaben],"&gt;="&amp;AO$5,tblAuftraege[Datum Ausgaben],"&lt;"&amp;EDATE(AO$5,1),tblAuftraege[Auftrag],$A88))</f>
        <v>0</v>
      </c>
      <c r="AP88" s="11" t="n">
        <f aca="false">IF($A88="",0,SUMIFS(tblAuftraege[Ausgaben],tblAuftraege[Datum Ausgaben],"&gt;="&amp;AP$5,tblAuftraege[Datum Ausgaben],"&lt;"&amp;EDATE(AP$5,1),tblAuftraege[Auftrag],$A88))</f>
        <v>0</v>
      </c>
      <c r="AQ88" s="11" t="n">
        <f aca="false">IF($A88="",0,SUMIFS(tblAuftraege[Ausgaben],tblAuftraege[Datum Ausgaben],"&gt;="&amp;AQ$5,tblAuftraege[Datum Ausgaben],"&lt;"&amp;EDATE(AQ$5,1),tblAuftraege[Auftrag],$A88))</f>
        <v>0</v>
      </c>
      <c r="AR88" s="11" t="n">
        <f aca="false">IF($A88="",0,SUMIFS(tblAuftraege[Ausgaben],tblAuftraege[Datum Ausgaben],"&gt;="&amp;AR$5,tblAuftraege[Datum Ausgaben],"&lt;"&amp;EDATE(AR$5,1),tblAuftraege[Auftrag],$A88))</f>
        <v>0</v>
      </c>
      <c r="AS88" s="11" t="n">
        <f aca="false">IF($A88="",0,SUMIFS(tblAuftraege[Ausgaben],tblAuftraege[Datum Ausgaben],"&gt;="&amp;AS$5,tblAuftraege[Datum Ausgaben],"&lt;"&amp;EDATE(AS$5,1),tblAuftraege[Auftrag],$A88))</f>
        <v>0</v>
      </c>
      <c r="AT88" s="11" t="n">
        <f aca="false">IF($A88="",0,SUMIFS(tblAuftraege[Ausgaben],tblAuftraege[Datum Ausgaben],"&gt;="&amp;AT$5,tblAuftraege[Datum Ausgaben],"&lt;"&amp;EDATE(AT$5,1),tblAuftraege[Auftrag],$A88))</f>
        <v>0</v>
      </c>
      <c r="AU88" s="11" t="n">
        <f aca="false">IF($A88="",0,SUMIFS(tblAuftraege[Ausgaben],tblAuftraege[Datum Ausgaben],"&gt;="&amp;AU$5,tblAuftraege[Datum Ausgaben],"&lt;"&amp;EDATE(AU$5,1),tblAuftraege[Auftrag],$A88))</f>
        <v>0</v>
      </c>
      <c r="AV88" s="11" t="n">
        <f aca="false">IF($A88="",0,SUMIFS(tblAuftraege[Ausgaben],tblAuftraege[Datum Ausgaben],"&gt;="&amp;AV$5,tblAuftraege[Datum Ausgaben],"&lt;"&amp;EDATE(AV$5,1),tblAuftraege[Auftrag],$A88))</f>
        <v>0</v>
      </c>
      <c r="AW88" s="11" t="n">
        <f aca="false">IF($A88="",0,SUMIFS(tblAuftraege[Ausgaben],tblAuftraege[Datum Ausgaben],"&gt;="&amp;AW$5,tblAuftraege[Datum Ausgaben],"&lt;"&amp;EDATE(AW$5,1),tblAuftraege[Auftrag],$A88))</f>
        <v>0</v>
      </c>
      <c r="AX88" s="11" t="n">
        <f aca="false">IF($A88="",0,SUMIFS(tblAuftraege[Ausgaben],tblAuftraege[Datum Ausgaben],"&gt;="&amp;AX$5,tblAuftraege[Datum Ausgaben],"&lt;"&amp;EDATE(AX$5,1),tblAuftraege[Auftrag],$A88))</f>
        <v>0</v>
      </c>
      <c r="AY88" s="11" t="n">
        <f aca="false">IF($A88="",0,SUMIFS(tblAuftraege[Ausgaben],tblAuftraege[Datum Ausgaben],"&gt;="&amp;AY$5,tblAuftraege[Datum Ausgaben],"&lt;"&amp;EDATE(AY$5,1),tblAuftraege[Auftrag],$A88))</f>
        <v>0</v>
      </c>
      <c r="AZ88" s="11" t="n">
        <f aca="false">IF($A88="",0,SUMIFS(tblAuftraege[Ausgaben],tblAuftraege[Datum Ausgaben],"&gt;="&amp;AZ$5,tblAuftraege[Datum Ausgaben],"&lt;"&amp;EDATE(AZ$5,1),tblAuftraege[Auftrag],$A88))</f>
        <v>0</v>
      </c>
      <c r="BA88" s="11" t="n">
        <f aca="false">IF($A88="",0,SUMIFS(tblAuftraege[Ausgaben],tblAuftraege[Datum Ausgaben],"&gt;="&amp;BA$5,tblAuftraege[Datum Ausgaben],"&lt;"&amp;EDATE(BA$5,1),tblAuftraege[Auftrag],$A88))</f>
        <v>0</v>
      </c>
      <c r="BB88" s="11" t="n">
        <f aca="false">IF($A88="",0,SUMIFS(tblAuftraege[Ausgaben],tblAuftraege[Datum Ausgaben],"&gt;="&amp;BB$5,tblAuftraege[Datum Ausgaben],"&lt;"&amp;EDATE(BB$5,1),tblAuftraege[Auftrag],$A88))</f>
        <v>0</v>
      </c>
      <c r="BC88" s="11" t="n">
        <f aca="false">IF($A88="",0,SUMIFS(tblAuftraege[Ausgaben],tblAuftraege[Datum Ausgaben],"&gt;="&amp;BC$5,tblAuftraege[Datum Ausgaben],"&lt;"&amp;EDATE(BC$5,1),tblAuftraege[Auftrag],$A88))</f>
        <v>0</v>
      </c>
      <c r="BD88" s="11" t="n">
        <f aca="false">IF($A88="",0,SUMIFS(tblAuftraege[Ausgaben],tblAuftraege[Datum Ausgaben],"&gt;="&amp;BD$5,tblAuftraege[Datum Ausgaben],"&lt;"&amp;EDATE(BD$5,1),tblAuftraege[Auftrag],$A88))</f>
        <v>0</v>
      </c>
      <c r="BE88" s="11" t="n">
        <f aca="false">IF($A88="",0,SUMIFS(tblAuftraege[Ausgaben],tblAuftraege[Datum Ausgaben],"&gt;="&amp;BE$5,tblAuftraege[Datum Ausgaben],"&lt;"&amp;EDATE(BE$5,1),tblAuftraege[Auftrag],$A88))</f>
        <v>0</v>
      </c>
      <c r="BF88" s="11" t="n">
        <f aca="false">IF($A88="",0,SUMIFS(tblAuftraege[Ausgaben],tblAuftraege[Datum Ausgaben],"&gt;="&amp;BF$5,tblAuftraege[Datum Ausgaben],"&lt;"&amp;EDATE(BF$5,1),tblAuftraege[Auftrag],$A88))</f>
        <v>0</v>
      </c>
      <c r="BG88" s="11" t="n">
        <f aca="false">SUM(E88:J88)</f>
        <v>0</v>
      </c>
      <c r="BH88" s="11" t="n">
        <f aca="false">SUM(K88:V88)</f>
        <v>0</v>
      </c>
      <c r="BI88" s="11" t="n">
        <f aca="false">SUM(W88:AH88)</f>
        <v>0</v>
      </c>
      <c r="BJ88" s="11" t="n">
        <f aca="false">SUM(AI88:AT88)</f>
        <v>0</v>
      </c>
      <c r="BK88" s="11" t="n">
        <f aca="false">SUM(AU88:BF88)</f>
        <v>0</v>
      </c>
      <c r="BL88" s="12" t="n">
        <f aca="false">SUM(E88:BF88)</f>
        <v>0</v>
      </c>
    </row>
    <row r="89" customFormat="false" ht="15" hidden="false" customHeight="false" outlineLevel="0" collapsed="false">
      <c r="A89" s="9"/>
      <c r="B89" s="10" t="str">
        <f aca="false">IF($A89="","",IFERROR(INDEX(tblAuftraege[Kostenstelle],MATCH($A89,tblAuftraege[Auftrag],0)),""))</f>
        <v/>
      </c>
      <c r="C89" s="10" t="str">
        <f aca="false">IF($A89="","",IFERROR(INDEX(tblAuftraege[Themenfeld],MATCH($A89,tblAuftraege[Auftrag],0)),""))</f>
        <v/>
      </c>
      <c r="D89" s="10" t="str">
        <f aca="false">IF($A89="","",IFERROR(INDEX(tblAuftraege[Kategorie],MATCH($A89,tblAuftraege[Auftrag],0)),""))</f>
        <v/>
      </c>
      <c r="E89" s="11" t="n">
        <f aca="false">IF($A89="",0,SUMIFS(tblAuftraege[Ausgaben],tblAuftraege[Datum Ausgaben],"&gt;="&amp;E$5,tblAuftraege[Datum Ausgaben],"&lt;"&amp;EDATE(E$5,1),tblAuftraege[Auftrag],$A89))</f>
        <v>0</v>
      </c>
      <c r="F89" s="11" t="n">
        <f aca="false">IF($A89="",0,SUMIFS(tblAuftraege[Ausgaben],tblAuftraege[Datum Ausgaben],"&gt;="&amp;F$5,tblAuftraege[Datum Ausgaben],"&lt;"&amp;EDATE(F$5,1),tblAuftraege[Auftrag],$A89))</f>
        <v>0</v>
      </c>
      <c r="G89" s="11" t="n">
        <f aca="false">IF($A89="",0,SUMIFS(tblAuftraege[Ausgaben],tblAuftraege[Datum Ausgaben],"&gt;="&amp;G$5,tblAuftraege[Datum Ausgaben],"&lt;"&amp;EDATE(G$5,1),tblAuftraege[Auftrag],$A89))</f>
        <v>0</v>
      </c>
      <c r="H89" s="11" t="n">
        <f aca="false">IF($A89="",0,SUMIFS(tblAuftraege[Ausgaben],tblAuftraege[Datum Ausgaben],"&gt;="&amp;H$5,tblAuftraege[Datum Ausgaben],"&lt;"&amp;EDATE(H$5,1),tblAuftraege[Auftrag],$A89))</f>
        <v>0</v>
      </c>
      <c r="I89" s="11" t="n">
        <f aca="false">IF($A89="",0,SUMIFS(tblAuftraege[Ausgaben],tblAuftraege[Datum Ausgaben],"&gt;="&amp;I$5,tblAuftraege[Datum Ausgaben],"&lt;"&amp;EDATE(I$5,1),tblAuftraege[Auftrag],$A89))</f>
        <v>0</v>
      </c>
      <c r="J89" s="11" t="n">
        <f aca="false">IF($A89="",0,SUMIFS(tblAuftraege[Ausgaben],tblAuftraege[Datum Ausgaben],"&gt;="&amp;J$5,tblAuftraege[Datum Ausgaben],"&lt;"&amp;EDATE(J$5,1),tblAuftraege[Auftrag],$A89))</f>
        <v>0</v>
      </c>
      <c r="K89" s="11" t="n">
        <f aca="false">IF($A89="",0,SUMIFS(tblAuftraege[Ausgaben],tblAuftraege[Datum Ausgaben],"&gt;="&amp;K$5,tblAuftraege[Datum Ausgaben],"&lt;"&amp;EDATE(K$5,1),tblAuftraege[Auftrag],$A89))</f>
        <v>0</v>
      </c>
      <c r="L89" s="11" t="n">
        <f aca="false">IF($A89="",0,SUMIFS(tblAuftraege[Ausgaben],tblAuftraege[Datum Ausgaben],"&gt;="&amp;L$5,tblAuftraege[Datum Ausgaben],"&lt;"&amp;EDATE(L$5,1),tblAuftraege[Auftrag],$A89))</f>
        <v>0</v>
      </c>
      <c r="M89" s="11" t="n">
        <f aca="false">IF($A89="",0,SUMIFS(tblAuftraege[Ausgaben],tblAuftraege[Datum Ausgaben],"&gt;="&amp;M$5,tblAuftraege[Datum Ausgaben],"&lt;"&amp;EDATE(M$5,1),tblAuftraege[Auftrag],$A89))</f>
        <v>0</v>
      </c>
      <c r="N89" s="11" t="n">
        <f aca="false">IF($A89="",0,SUMIFS(tblAuftraege[Ausgaben],tblAuftraege[Datum Ausgaben],"&gt;="&amp;N$5,tblAuftraege[Datum Ausgaben],"&lt;"&amp;EDATE(N$5,1),tblAuftraege[Auftrag],$A89))</f>
        <v>0</v>
      </c>
      <c r="O89" s="11" t="n">
        <f aca="false">IF($A89="",0,SUMIFS(tblAuftraege[Ausgaben],tblAuftraege[Datum Ausgaben],"&gt;="&amp;O$5,tblAuftraege[Datum Ausgaben],"&lt;"&amp;EDATE(O$5,1),tblAuftraege[Auftrag],$A89))</f>
        <v>0</v>
      </c>
      <c r="P89" s="11" t="n">
        <f aca="false">IF($A89="",0,SUMIFS(tblAuftraege[Ausgaben],tblAuftraege[Datum Ausgaben],"&gt;="&amp;P$5,tblAuftraege[Datum Ausgaben],"&lt;"&amp;EDATE(P$5,1),tblAuftraege[Auftrag],$A89))</f>
        <v>0</v>
      </c>
      <c r="Q89" s="11" t="n">
        <f aca="false">IF($A89="",0,SUMIFS(tblAuftraege[Ausgaben],tblAuftraege[Datum Ausgaben],"&gt;="&amp;Q$5,tblAuftraege[Datum Ausgaben],"&lt;"&amp;EDATE(Q$5,1),tblAuftraege[Auftrag],$A89))</f>
        <v>0</v>
      </c>
      <c r="R89" s="11" t="n">
        <f aca="false">IF($A89="",0,SUMIFS(tblAuftraege[Ausgaben],tblAuftraege[Datum Ausgaben],"&gt;="&amp;R$5,tblAuftraege[Datum Ausgaben],"&lt;"&amp;EDATE(R$5,1),tblAuftraege[Auftrag],$A89))</f>
        <v>0</v>
      </c>
      <c r="S89" s="11" t="n">
        <f aca="false">IF($A89="",0,SUMIFS(tblAuftraege[Ausgaben],tblAuftraege[Datum Ausgaben],"&gt;="&amp;S$5,tblAuftraege[Datum Ausgaben],"&lt;"&amp;EDATE(S$5,1),tblAuftraege[Auftrag],$A89))</f>
        <v>0</v>
      </c>
      <c r="T89" s="11" t="n">
        <f aca="false">IF($A89="",0,SUMIFS(tblAuftraege[Ausgaben],tblAuftraege[Datum Ausgaben],"&gt;="&amp;T$5,tblAuftraege[Datum Ausgaben],"&lt;"&amp;EDATE(T$5,1),tblAuftraege[Auftrag],$A89))</f>
        <v>0</v>
      </c>
      <c r="U89" s="11" t="n">
        <f aca="false">IF($A89="",0,SUMIFS(tblAuftraege[Ausgaben],tblAuftraege[Datum Ausgaben],"&gt;="&amp;U$5,tblAuftraege[Datum Ausgaben],"&lt;"&amp;EDATE(U$5,1),tblAuftraege[Auftrag],$A89))</f>
        <v>0</v>
      </c>
      <c r="V89" s="11" t="n">
        <f aca="false">IF($A89="",0,SUMIFS(tblAuftraege[Ausgaben],tblAuftraege[Datum Ausgaben],"&gt;="&amp;V$5,tblAuftraege[Datum Ausgaben],"&lt;"&amp;EDATE(V$5,1),tblAuftraege[Auftrag],$A89))</f>
        <v>0</v>
      </c>
      <c r="W89" s="11" t="n">
        <f aca="false">IF($A89="",0,SUMIFS(tblAuftraege[Ausgaben],tblAuftraege[Datum Ausgaben],"&gt;="&amp;W$5,tblAuftraege[Datum Ausgaben],"&lt;"&amp;EDATE(W$5,1),tblAuftraege[Auftrag],$A89))</f>
        <v>0</v>
      </c>
      <c r="X89" s="11" t="n">
        <f aca="false">IF($A89="",0,SUMIFS(tblAuftraege[Ausgaben],tblAuftraege[Datum Ausgaben],"&gt;="&amp;X$5,tblAuftraege[Datum Ausgaben],"&lt;"&amp;EDATE(X$5,1),tblAuftraege[Auftrag],$A89))</f>
        <v>0</v>
      </c>
      <c r="Y89" s="11" t="n">
        <f aca="false">IF($A89="",0,SUMIFS(tblAuftraege[Ausgaben],tblAuftraege[Datum Ausgaben],"&gt;="&amp;Y$5,tblAuftraege[Datum Ausgaben],"&lt;"&amp;EDATE(Y$5,1),tblAuftraege[Auftrag],$A89))</f>
        <v>0</v>
      </c>
      <c r="Z89" s="11" t="n">
        <f aca="false">IF($A89="",0,SUMIFS(tblAuftraege[Ausgaben],tblAuftraege[Datum Ausgaben],"&gt;="&amp;Z$5,tblAuftraege[Datum Ausgaben],"&lt;"&amp;EDATE(Z$5,1),tblAuftraege[Auftrag],$A89))</f>
        <v>0</v>
      </c>
      <c r="AA89" s="11" t="n">
        <f aca="false">IF($A89="",0,SUMIFS(tblAuftraege[Ausgaben],tblAuftraege[Datum Ausgaben],"&gt;="&amp;AA$5,tblAuftraege[Datum Ausgaben],"&lt;"&amp;EDATE(AA$5,1),tblAuftraege[Auftrag],$A89))</f>
        <v>0</v>
      </c>
      <c r="AB89" s="11" t="n">
        <f aca="false">IF($A89="",0,SUMIFS(tblAuftraege[Ausgaben],tblAuftraege[Datum Ausgaben],"&gt;="&amp;AB$5,tblAuftraege[Datum Ausgaben],"&lt;"&amp;EDATE(AB$5,1),tblAuftraege[Auftrag],$A89))</f>
        <v>0</v>
      </c>
      <c r="AC89" s="11" t="n">
        <f aca="false">IF($A89="",0,SUMIFS(tblAuftraege[Ausgaben],tblAuftraege[Datum Ausgaben],"&gt;="&amp;AC$5,tblAuftraege[Datum Ausgaben],"&lt;"&amp;EDATE(AC$5,1),tblAuftraege[Auftrag],$A89))</f>
        <v>0</v>
      </c>
      <c r="AD89" s="11" t="n">
        <f aca="false">IF($A89="",0,SUMIFS(tblAuftraege[Ausgaben],tblAuftraege[Datum Ausgaben],"&gt;="&amp;AD$5,tblAuftraege[Datum Ausgaben],"&lt;"&amp;EDATE(AD$5,1),tblAuftraege[Auftrag],$A89))</f>
        <v>0</v>
      </c>
      <c r="AE89" s="11" t="n">
        <f aca="false">IF($A89="",0,SUMIFS(tblAuftraege[Ausgaben],tblAuftraege[Datum Ausgaben],"&gt;="&amp;AE$5,tblAuftraege[Datum Ausgaben],"&lt;"&amp;EDATE(AE$5,1),tblAuftraege[Auftrag],$A89))</f>
        <v>0</v>
      </c>
      <c r="AF89" s="11" t="n">
        <f aca="false">IF($A89="",0,SUMIFS(tblAuftraege[Ausgaben],tblAuftraege[Datum Ausgaben],"&gt;="&amp;AF$5,tblAuftraege[Datum Ausgaben],"&lt;"&amp;EDATE(AF$5,1),tblAuftraege[Auftrag],$A89))</f>
        <v>0</v>
      </c>
      <c r="AG89" s="11" t="n">
        <f aca="false">IF($A89="",0,SUMIFS(tblAuftraege[Ausgaben],tblAuftraege[Datum Ausgaben],"&gt;="&amp;AG$5,tblAuftraege[Datum Ausgaben],"&lt;"&amp;EDATE(AG$5,1),tblAuftraege[Auftrag],$A89))</f>
        <v>0</v>
      </c>
      <c r="AH89" s="11" t="n">
        <f aca="false">IF($A89="",0,SUMIFS(tblAuftraege[Ausgaben],tblAuftraege[Datum Ausgaben],"&gt;="&amp;AH$5,tblAuftraege[Datum Ausgaben],"&lt;"&amp;EDATE(AH$5,1),tblAuftraege[Auftrag],$A89))</f>
        <v>0</v>
      </c>
      <c r="AI89" s="11" t="n">
        <f aca="false">IF($A89="",0,SUMIFS(tblAuftraege[Ausgaben],tblAuftraege[Datum Ausgaben],"&gt;="&amp;AI$5,tblAuftraege[Datum Ausgaben],"&lt;"&amp;EDATE(AI$5,1),tblAuftraege[Auftrag],$A89))</f>
        <v>0</v>
      </c>
      <c r="AJ89" s="11" t="n">
        <f aca="false">IF($A89="",0,SUMIFS(tblAuftraege[Ausgaben],tblAuftraege[Datum Ausgaben],"&gt;="&amp;AJ$5,tblAuftraege[Datum Ausgaben],"&lt;"&amp;EDATE(AJ$5,1),tblAuftraege[Auftrag],$A89))</f>
        <v>0</v>
      </c>
      <c r="AK89" s="11" t="n">
        <f aca="false">IF($A89="",0,SUMIFS(tblAuftraege[Ausgaben],tblAuftraege[Datum Ausgaben],"&gt;="&amp;AK$5,tblAuftraege[Datum Ausgaben],"&lt;"&amp;EDATE(AK$5,1),tblAuftraege[Auftrag],$A89))</f>
        <v>0</v>
      </c>
      <c r="AL89" s="11" t="n">
        <f aca="false">IF($A89="",0,SUMIFS(tblAuftraege[Ausgaben],tblAuftraege[Datum Ausgaben],"&gt;="&amp;AL$5,tblAuftraege[Datum Ausgaben],"&lt;"&amp;EDATE(AL$5,1),tblAuftraege[Auftrag],$A89))</f>
        <v>0</v>
      </c>
      <c r="AM89" s="11" t="n">
        <f aca="false">IF($A89="",0,SUMIFS(tblAuftraege[Ausgaben],tblAuftraege[Datum Ausgaben],"&gt;="&amp;AM$5,tblAuftraege[Datum Ausgaben],"&lt;"&amp;EDATE(AM$5,1),tblAuftraege[Auftrag],$A89))</f>
        <v>0</v>
      </c>
      <c r="AN89" s="11" t="n">
        <f aca="false">IF($A89="",0,SUMIFS(tblAuftraege[Ausgaben],tblAuftraege[Datum Ausgaben],"&gt;="&amp;AN$5,tblAuftraege[Datum Ausgaben],"&lt;"&amp;EDATE(AN$5,1),tblAuftraege[Auftrag],$A89))</f>
        <v>0</v>
      </c>
      <c r="AO89" s="11" t="n">
        <f aca="false">IF($A89="",0,SUMIFS(tblAuftraege[Ausgaben],tblAuftraege[Datum Ausgaben],"&gt;="&amp;AO$5,tblAuftraege[Datum Ausgaben],"&lt;"&amp;EDATE(AO$5,1),tblAuftraege[Auftrag],$A89))</f>
        <v>0</v>
      </c>
      <c r="AP89" s="11" t="n">
        <f aca="false">IF($A89="",0,SUMIFS(tblAuftraege[Ausgaben],tblAuftraege[Datum Ausgaben],"&gt;="&amp;AP$5,tblAuftraege[Datum Ausgaben],"&lt;"&amp;EDATE(AP$5,1),tblAuftraege[Auftrag],$A89))</f>
        <v>0</v>
      </c>
      <c r="AQ89" s="11" t="n">
        <f aca="false">IF($A89="",0,SUMIFS(tblAuftraege[Ausgaben],tblAuftraege[Datum Ausgaben],"&gt;="&amp;AQ$5,tblAuftraege[Datum Ausgaben],"&lt;"&amp;EDATE(AQ$5,1),tblAuftraege[Auftrag],$A89))</f>
        <v>0</v>
      </c>
      <c r="AR89" s="11" t="n">
        <f aca="false">IF($A89="",0,SUMIFS(tblAuftraege[Ausgaben],tblAuftraege[Datum Ausgaben],"&gt;="&amp;AR$5,tblAuftraege[Datum Ausgaben],"&lt;"&amp;EDATE(AR$5,1),tblAuftraege[Auftrag],$A89))</f>
        <v>0</v>
      </c>
      <c r="AS89" s="11" t="n">
        <f aca="false">IF($A89="",0,SUMIFS(tblAuftraege[Ausgaben],tblAuftraege[Datum Ausgaben],"&gt;="&amp;AS$5,tblAuftraege[Datum Ausgaben],"&lt;"&amp;EDATE(AS$5,1),tblAuftraege[Auftrag],$A89))</f>
        <v>0</v>
      </c>
      <c r="AT89" s="11" t="n">
        <f aca="false">IF($A89="",0,SUMIFS(tblAuftraege[Ausgaben],tblAuftraege[Datum Ausgaben],"&gt;="&amp;AT$5,tblAuftraege[Datum Ausgaben],"&lt;"&amp;EDATE(AT$5,1),tblAuftraege[Auftrag],$A89))</f>
        <v>0</v>
      </c>
      <c r="AU89" s="11" t="n">
        <f aca="false">IF($A89="",0,SUMIFS(tblAuftraege[Ausgaben],tblAuftraege[Datum Ausgaben],"&gt;="&amp;AU$5,tblAuftraege[Datum Ausgaben],"&lt;"&amp;EDATE(AU$5,1),tblAuftraege[Auftrag],$A89))</f>
        <v>0</v>
      </c>
      <c r="AV89" s="11" t="n">
        <f aca="false">IF($A89="",0,SUMIFS(tblAuftraege[Ausgaben],tblAuftraege[Datum Ausgaben],"&gt;="&amp;AV$5,tblAuftraege[Datum Ausgaben],"&lt;"&amp;EDATE(AV$5,1),tblAuftraege[Auftrag],$A89))</f>
        <v>0</v>
      </c>
      <c r="AW89" s="11" t="n">
        <f aca="false">IF($A89="",0,SUMIFS(tblAuftraege[Ausgaben],tblAuftraege[Datum Ausgaben],"&gt;="&amp;AW$5,tblAuftraege[Datum Ausgaben],"&lt;"&amp;EDATE(AW$5,1),tblAuftraege[Auftrag],$A89))</f>
        <v>0</v>
      </c>
      <c r="AX89" s="11" t="n">
        <f aca="false">IF($A89="",0,SUMIFS(tblAuftraege[Ausgaben],tblAuftraege[Datum Ausgaben],"&gt;="&amp;AX$5,tblAuftraege[Datum Ausgaben],"&lt;"&amp;EDATE(AX$5,1),tblAuftraege[Auftrag],$A89))</f>
        <v>0</v>
      </c>
      <c r="AY89" s="11" t="n">
        <f aca="false">IF($A89="",0,SUMIFS(tblAuftraege[Ausgaben],tblAuftraege[Datum Ausgaben],"&gt;="&amp;AY$5,tblAuftraege[Datum Ausgaben],"&lt;"&amp;EDATE(AY$5,1),tblAuftraege[Auftrag],$A89))</f>
        <v>0</v>
      </c>
      <c r="AZ89" s="11" t="n">
        <f aca="false">IF($A89="",0,SUMIFS(tblAuftraege[Ausgaben],tblAuftraege[Datum Ausgaben],"&gt;="&amp;AZ$5,tblAuftraege[Datum Ausgaben],"&lt;"&amp;EDATE(AZ$5,1),tblAuftraege[Auftrag],$A89))</f>
        <v>0</v>
      </c>
      <c r="BA89" s="11" t="n">
        <f aca="false">IF($A89="",0,SUMIFS(tblAuftraege[Ausgaben],tblAuftraege[Datum Ausgaben],"&gt;="&amp;BA$5,tblAuftraege[Datum Ausgaben],"&lt;"&amp;EDATE(BA$5,1),tblAuftraege[Auftrag],$A89))</f>
        <v>0</v>
      </c>
      <c r="BB89" s="11" t="n">
        <f aca="false">IF($A89="",0,SUMIFS(tblAuftraege[Ausgaben],tblAuftraege[Datum Ausgaben],"&gt;="&amp;BB$5,tblAuftraege[Datum Ausgaben],"&lt;"&amp;EDATE(BB$5,1),tblAuftraege[Auftrag],$A89))</f>
        <v>0</v>
      </c>
      <c r="BC89" s="11" t="n">
        <f aca="false">IF($A89="",0,SUMIFS(tblAuftraege[Ausgaben],tblAuftraege[Datum Ausgaben],"&gt;="&amp;BC$5,tblAuftraege[Datum Ausgaben],"&lt;"&amp;EDATE(BC$5,1),tblAuftraege[Auftrag],$A89))</f>
        <v>0</v>
      </c>
      <c r="BD89" s="11" t="n">
        <f aca="false">IF($A89="",0,SUMIFS(tblAuftraege[Ausgaben],tblAuftraege[Datum Ausgaben],"&gt;="&amp;BD$5,tblAuftraege[Datum Ausgaben],"&lt;"&amp;EDATE(BD$5,1),tblAuftraege[Auftrag],$A89))</f>
        <v>0</v>
      </c>
      <c r="BE89" s="11" t="n">
        <f aca="false">IF($A89="",0,SUMIFS(tblAuftraege[Ausgaben],tblAuftraege[Datum Ausgaben],"&gt;="&amp;BE$5,tblAuftraege[Datum Ausgaben],"&lt;"&amp;EDATE(BE$5,1),tblAuftraege[Auftrag],$A89))</f>
        <v>0</v>
      </c>
      <c r="BF89" s="11" t="n">
        <f aca="false">IF($A89="",0,SUMIFS(tblAuftraege[Ausgaben],tblAuftraege[Datum Ausgaben],"&gt;="&amp;BF$5,tblAuftraege[Datum Ausgaben],"&lt;"&amp;EDATE(BF$5,1),tblAuftraege[Auftrag],$A89))</f>
        <v>0</v>
      </c>
      <c r="BG89" s="11" t="n">
        <f aca="false">SUM(E89:J89)</f>
        <v>0</v>
      </c>
      <c r="BH89" s="11" t="n">
        <f aca="false">SUM(K89:V89)</f>
        <v>0</v>
      </c>
      <c r="BI89" s="11" t="n">
        <f aca="false">SUM(W89:AH89)</f>
        <v>0</v>
      </c>
      <c r="BJ89" s="11" t="n">
        <f aca="false">SUM(AI89:AT89)</f>
        <v>0</v>
      </c>
      <c r="BK89" s="11" t="n">
        <f aca="false">SUM(AU89:BF89)</f>
        <v>0</v>
      </c>
      <c r="BL89" s="12" t="n">
        <f aca="false">SUM(E89:BF89)</f>
        <v>0</v>
      </c>
    </row>
    <row r="90" customFormat="false" ht="15" hidden="false" customHeight="false" outlineLevel="0" collapsed="false">
      <c r="A90" s="9"/>
      <c r="B90" s="10" t="str">
        <f aca="false">IF($A90="","",IFERROR(INDEX(tblAuftraege[Kostenstelle],MATCH($A90,tblAuftraege[Auftrag],0)),""))</f>
        <v/>
      </c>
      <c r="C90" s="10" t="str">
        <f aca="false">IF($A90="","",IFERROR(INDEX(tblAuftraege[Themenfeld],MATCH($A90,tblAuftraege[Auftrag],0)),""))</f>
        <v/>
      </c>
      <c r="D90" s="10" t="str">
        <f aca="false">IF($A90="","",IFERROR(INDEX(tblAuftraege[Kategorie],MATCH($A90,tblAuftraege[Auftrag],0)),""))</f>
        <v/>
      </c>
      <c r="E90" s="11" t="n">
        <f aca="false">IF($A90="",0,SUMIFS(tblAuftraege[Ausgaben],tblAuftraege[Datum Ausgaben],"&gt;="&amp;E$5,tblAuftraege[Datum Ausgaben],"&lt;"&amp;EDATE(E$5,1),tblAuftraege[Auftrag],$A90))</f>
        <v>0</v>
      </c>
      <c r="F90" s="11" t="n">
        <f aca="false">IF($A90="",0,SUMIFS(tblAuftraege[Ausgaben],tblAuftraege[Datum Ausgaben],"&gt;="&amp;F$5,tblAuftraege[Datum Ausgaben],"&lt;"&amp;EDATE(F$5,1),tblAuftraege[Auftrag],$A90))</f>
        <v>0</v>
      </c>
      <c r="G90" s="11" t="n">
        <f aca="false">IF($A90="",0,SUMIFS(tblAuftraege[Ausgaben],tblAuftraege[Datum Ausgaben],"&gt;="&amp;G$5,tblAuftraege[Datum Ausgaben],"&lt;"&amp;EDATE(G$5,1),tblAuftraege[Auftrag],$A90))</f>
        <v>0</v>
      </c>
      <c r="H90" s="11" t="n">
        <f aca="false">IF($A90="",0,SUMIFS(tblAuftraege[Ausgaben],tblAuftraege[Datum Ausgaben],"&gt;="&amp;H$5,tblAuftraege[Datum Ausgaben],"&lt;"&amp;EDATE(H$5,1),tblAuftraege[Auftrag],$A90))</f>
        <v>0</v>
      </c>
      <c r="I90" s="11" t="n">
        <f aca="false">IF($A90="",0,SUMIFS(tblAuftraege[Ausgaben],tblAuftraege[Datum Ausgaben],"&gt;="&amp;I$5,tblAuftraege[Datum Ausgaben],"&lt;"&amp;EDATE(I$5,1),tblAuftraege[Auftrag],$A90))</f>
        <v>0</v>
      </c>
      <c r="J90" s="11" t="n">
        <f aca="false">IF($A90="",0,SUMIFS(tblAuftraege[Ausgaben],tblAuftraege[Datum Ausgaben],"&gt;="&amp;J$5,tblAuftraege[Datum Ausgaben],"&lt;"&amp;EDATE(J$5,1),tblAuftraege[Auftrag],$A90))</f>
        <v>0</v>
      </c>
      <c r="K90" s="11" t="n">
        <f aca="false">IF($A90="",0,SUMIFS(tblAuftraege[Ausgaben],tblAuftraege[Datum Ausgaben],"&gt;="&amp;K$5,tblAuftraege[Datum Ausgaben],"&lt;"&amp;EDATE(K$5,1),tblAuftraege[Auftrag],$A90))</f>
        <v>0</v>
      </c>
      <c r="L90" s="11" t="n">
        <f aca="false">IF($A90="",0,SUMIFS(tblAuftraege[Ausgaben],tblAuftraege[Datum Ausgaben],"&gt;="&amp;L$5,tblAuftraege[Datum Ausgaben],"&lt;"&amp;EDATE(L$5,1),tblAuftraege[Auftrag],$A90))</f>
        <v>0</v>
      </c>
      <c r="M90" s="11" t="n">
        <f aca="false">IF($A90="",0,SUMIFS(tblAuftraege[Ausgaben],tblAuftraege[Datum Ausgaben],"&gt;="&amp;M$5,tblAuftraege[Datum Ausgaben],"&lt;"&amp;EDATE(M$5,1),tblAuftraege[Auftrag],$A90))</f>
        <v>0</v>
      </c>
      <c r="N90" s="11" t="n">
        <f aca="false">IF($A90="",0,SUMIFS(tblAuftraege[Ausgaben],tblAuftraege[Datum Ausgaben],"&gt;="&amp;N$5,tblAuftraege[Datum Ausgaben],"&lt;"&amp;EDATE(N$5,1),tblAuftraege[Auftrag],$A90))</f>
        <v>0</v>
      </c>
      <c r="O90" s="11" t="n">
        <f aca="false">IF($A90="",0,SUMIFS(tblAuftraege[Ausgaben],tblAuftraege[Datum Ausgaben],"&gt;="&amp;O$5,tblAuftraege[Datum Ausgaben],"&lt;"&amp;EDATE(O$5,1),tblAuftraege[Auftrag],$A90))</f>
        <v>0</v>
      </c>
      <c r="P90" s="11" t="n">
        <f aca="false">IF($A90="",0,SUMIFS(tblAuftraege[Ausgaben],tblAuftraege[Datum Ausgaben],"&gt;="&amp;P$5,tblAuftraege[Datum Ausgaben],"&lt;"&amp;EDATE(P$5,1),tblAuftraege[Auftrag],$A90))</f>
        <v>0</v>
      </c>
      <c r="Q90" s="11" t="n">
        <f aca="false">IF($A90="",0,SUMIFS(tblAuftraege[Ausgaben],tblAuftraege[Datum Ausgaben],"&gt;="&amp;Q$5,tblAuftraege[Datum Ausgaben],"&lt;"&amp;EDATE(Q$5,1),tblAuftraege[Auftrag],$A90))</f>
        <v>0</v>
      </c>
      <c r="R90" s="11" t="n">
        <f aca="false">IF($A90="",0,SUMIFS(tblAuftraege[Ausgaben],tblAuftraege[Datum Ausgaben],"&gt;="&amp;R$5,tblAuftraege[Datum Ausgaben],"&lt;"&amp;EDATE(R$5,1),tblAuftraege[Auftrag],$A90))</f>
        <v>0</v>
      </c>
      <c r="S90" s="11" t="n">
        <f aca="false">IF($A90="",0,SUMIFS(tblAuftraege[Ausgaben],tblAuftraege[Datum Ausgaben],"&gt;="&amp;S$5,tblAuftraege[Datum Ausgaben],"&lt;"&amp;EDATE(S$5,1),tblAuftraege[Auftrag],$A90))</f>
        <v>0</v>
      </c>
      <c r="T90" s="11" t="n">
        <f aca="false">IF($A90="",0,SUMIFS(tblAuftraege[Ausgaben],tblAuftraege[Datum Ausgaben],"&gt;="&amp;T$5,tblAuftraege[Datum Ausgaben],"&lt;"&amp;EDATE(T$5,1),tblAuftraege[Auftrag],$A90))</f>
        <v>0</v>
      </c>
      <c r="U90" s="11" t="n">
        <f aca="false">IF($A90="",0,SUMIFS(tblAuftraege[Ausgaben],tblAuftraege[Datum Ausgaben],"&gt;="&amp;U$5,tblAuftraege[Datum Ausgaben],"&lt;"&amp;EDATE(U$5,1),tblAuftraege[Auftrag],$A90))</f>
        <v>0</v>
      </c>
      <c r="V90" s="11" t="n">
        <f aca="false">IF($A90="",0,SUMIFS(tblAuftraege[Ausgaben],tblAuftraege[Datum Ausgaben],"&gt;="&amp;V$5,tblAuftraege[Datum Ausgaben],"&lt;"&amp;EDATE(V$5,1),tblAuftraege[Auftrag],$A90))</f>
        <v>0</v>
      </c>
      <c r="W90" s="11" t="n">
        <f aca="false">IF($A90="",0,SUMIFS(tblAuftraege[Ausgaben],tblAuftraege[Datum Ausgaben],"&gt;="&amp;W$5,tblAuftraege[Datum Ausgaben],"&lt;"&amp;EDATE(W$5,1),tblAuftraege[Auftrag],$A90))</f>
        <v>0</v>
      </c>
      <c r="X90" s="11" t="n">
        <f aca="false">IF($A90="",0,SUMIFS(tblAuftraege[Ausgaben],tblAuftraege[Datum Ausgaben],"&gt;="&amp;X$5,tblAuftraege[Datum Ausgaben],"&lt;"&amp;EDATE(X$5,1),tblAuftraege[Auftrag],$A90))</f>
        <v>0</v>
      </c>
      <c r="Y90" s="11" t="n">
        <f aca="false">IF($A90="",0,SUMIFS(tblAuftraege[Ausgaben],tblAuftraege[Datum Ausgaben],"&gt;="&amp;Y$5,tblAuftraege[Datum Ausgaben],"&lt;"&amp;EDATE(Y$5,1),tblAuftraege[Auftrag],$A90))</f>
        <v>0</v>
      </c>
      <c r="Z90" s="11" t="n">
        <f aca="false">IF($A90="",0,SUMIFS(tblAuftraege[Ausgaben],tblAuftraege[Datum Ausgaben],"&gt;="&amp;Z$5,tblAuftraege[Datum Ausgaben],"&lt;"&amp;EDATE(Z$5,1),tblAuftraege[Auftrag],$A90))</f>
        <v>0</v>
      </c>
      <c r="AA90" s="11" t="n">
        <f aca="false">IF($A90="",0,SUMIFS(tblAuftraege[Ausgaben],tblAuftraege[Datum Ausgaben],"&gt;="&amp;AA$5,tblAuftraege[Datum Ausgaben],"&lt;"&amp;EDATE(AA$5,1),tblAuftraege[Auftrag],$A90))</f>
        <v>0</v>
      </c>
      <c r="AB90" s="11" t="n">
        <f aca="false">IF($A90="",0,SUMIFS(tblAuftraege[Ausgaben],tblAuftraege[Datum Ausgaben],"&gt;="&amp;AB$5,tblAuftraege[Datum Ausgaben],"&lt;"&amp;EDATE(AB$5,1),tblAuftraege[Auftrag],$A90))</f>
        <v>0</v>
      </c>
      <c r="AC90" s="11" t="n">
        <f aca="false">IF($A90="",0,SUMIFS(tblAuftraege[Ausgaben],tblAuftraege[Datum Ausgaben],"&gt;="&amp;AC$5,tblAuftraege[Datum Ausgaben],"&lt;"&amp;EDATE(AC$5,1),tblAuftraege[Auftrag],$A90))</f>
        <v>0</v>
      </c>
      <c r="AD90" s="11" t="n">
        <f aca="false">IF($A90="",0,SUMIFS(tblAuftraege[Ausgaben],tblAuftraege[Datum Ausgaben],"&gt;="&amp;AD$5,tblAuftraege[Datum Ausgaben],"&lt;"&amp;EDATE(AD$5,1),tblAuftraege[Auftrag],$A90))</f>
        <v>0</v>
      </c>
      <c r="AE90" s="11" t="n">
        <f aca="false">IF($A90="",0,SUMIFS(tblAuftraege[Ausgaben],tblAuftraege[Datum Ausgaben],"&gt;="&amp;AE$5,tblAuftraege[Datum Ausgaben],"&lt;"&amp;EDATE(AE$5,1),tblAuftraege[Auftrag],$A90))</f>
        <v>0</v>
      </c>
      <c r="AF90" s="11" t="n">
        <f aca="false">IF($A90="",0,SUMIFS(tblAuftraege[Ausgaben],tblAuftraege[Datum Ausgaben],"&gt;="&amp;AF$5,tblAuftraege[Datum Ausgaben],"&lt;"&amp;EDATE(AF$5,1),tblAuftraege[Auftrag],$A90))</f>
        <v>0</v>
      </c>
      <c r="AG90" s="11" t="n">
        <f aca="false">IF($A90="",0,SUMIFS(tblAuftraege[Ausgaben],tblAuftraege[Datum Ausgaben],"&gt;="&amp;AG$5,tblAuftraege[Datum Ausgaben],"&lt;"&amp;EDATE(AG$5,1),tblAuftraege[Auftrag],$A90))</f>
        <v>0</v>
      </c>
      <c r="AH90" s="11" t="n">
        <f aca="false">IF($A90="",0,SUMIFS(tblAuftraege[Ausgaben],tblAuftraege[Datum Ausgaben],"&gt;="&amp;AH$5,tblAuftraege[Datum Ausgaben],"&lt;"&amp;EDATE(AH$5,1),tblAuftraege[Auftrag],$A90))</f>
        <v>0</v>
      </c>
      <c r="AI90" s="11" t="n">
        <f aca="false">IF($A90="",0,SUMIFS(tblAuftraege[Ausgaben],tblAuftraege[Datum Ausgaben],"&gt;="&amp;AI$5,tblAuftraege[Datum Ausgaben],"&lt;"&amp;EDATE(AI$5,1),tblAuftraege[Auftrag],$A90))</f>
        <v>0</v>
      </c>
      <c r="AJ90" s="11" t="n">
        <f aca="false">IF($A90="",0,SUMIFS(tblAuftraege[Ausgaben],tblAuftraege[Datum Ausgaben],"&gt;="&amp;AJ$5,tblAuftraege[Datum Ausgaben],"&lt;"&amp;EDATE(AJ$5,1),tblAuftraege[Auftrag],$A90))</f>
        <v>0</v>
      </c>
      <c r="AK90" s="11" t="n">
        <f aca="false">IF($A90="",0,SUMIFS(tblAuftraege[Ausgaben],tblAuftraege[Datum Ausgaben],"&gt;="&amp;AK$5,tblAuftraege[Datum Ausgaben],"&lt;"&amp;EDATE(AK$5,1),tblAuftraege[Auftrag],$A90))</f>
        <v>0</v>
      </c>
      <c r="AL90" s="11" t="n">
        <f aca="false">IF($A90="",0,SUMIFS(tblAuftraege[Ausgaben],tblAuftraege[Datum Ausgaben],"&gt;="&amp;AL$5,tblAuftraege[Datum Ausgaben],"&lt;"&amp;EDATE(AL$5,1),tblAuftraege[Auftrag],$A90))</f>
        <v>0</v>
      </c>
      <c r="AM90" s="11" t="n">
        <f aca="false">IF($A90="",0,SUMIFS(tblAuftraege[Ausgaben],tblAuftraege[Datum Ausgaben],"&gt;="&amp;AM$5,tblAuftraege[Datum Ausgaben],"&lt;"&amp;EDATE(AM$5,1),tblAuftraege[Auftrag],$A90))</f>
        <v>0</v>
      </c>
      <c r="AN90" s="11" t="n">
        <f aca="false">IF($A90="",0,SUMIFS(tblAuftraege[Ausgaben],tblAuftraege[Datum Ausgaben],"&gt;="&amp;AN$5,tblAuftraege[Datum Ausgaben],"&lt;"&amp;EDATE(AN$5,1),tblAuftraege[Auftrag],$A90))</f>
        <v>0</v>
      </c>
      <c r="AO90" s="11" t="n">
        <f aca="false">IF($A90="",0,SUMIFS(tblAuftraege[Ausgaben],tblAuftraege[Datum Ausgaben],"&gt;="&amp;AO$5,tblAuftraege[Datum Ausgaben],"&lt;"&amp;EDATE(AO$5,1),tblAuftraege[Auftrag],$A90))</f>
        <v>0</v>
      </c>
      <c r="AP90" s="11" t="n">
        <f aca="false">IF($A90="",0,SUMIFS(tblAuftraege[Ausgaben],tblAuftraege[Datum Ausgaben],"&gt;="&amp;AP$5,tblAuftraege[Datum Ausgaben],"&lt;"&amp;EDATE(AP$5,1),tblAuftraege[Auftrag],$A90))</f>
        <v>0</v>
      </c>
      <c r="AQ90" s="11" t="n">
        <f aca="false">IF($A90="",0,SUMIFS(tblAuftraege[Ausgaben],tblAuftraege[Datum Ausgaben],"&gt;="&amp;AQ$5,tblAuftraege[Datum Ausgaben],"&lt;"&amp;EDATE(AQ$5,1),tblAuftraege[Auftrag],$A90))</f>
        <v>0</v>
      </c>
      <c r="AR90" s="11" t="n">
        <f aca="false">IF($A90="",0,SUMIFS(tblAuftraege[Ausgaben],tblAuftraege[Datum Ausgaben],"&gt;="&amp;AR$5,tblAuftraege[Datum Ausgaben],"&lt;"&amp;EDATE(AR$5,1),tblAuftraege[Auftrag],$A90))</f>
        <v>0</v>
      </c>
      <c r="AS90" s="11" t="n">
        <f aca="false">IF($A90="",0,SUMIFS(tblAuftraege[Ausgaben],tblAuftraege[Datum Ausgaben],"&gt;="&amp;AS$5,tblAuftraege[Datum Ausgaben],"&lt;"&amp;EDATE(AS$5,1),tblAuftraege[Auftrag],$A90))</f>
        <v>0</v>
      </c>
      <c r="AT90" s="11" t="n">
        <f aca="false">IF($A90="",0,SUMIFS(tblAuftraege[Ausgaben],tblAuftraege[Datum Ausgaben],"&gt;="&amp;AT$5,tblAuftraege[Datum Ausgaben],"&lt;"&amp;EDATE(AT$5,1),tblAuftraege[Auftrag],$A90))</f>
        <v>0</v>
      </c>
      <c r="AU90" s="11" t="n">
        <f aca="false">IF($A90="",0,SUMIFS(tblAuftraege[Ausgaben],tblAuftraege[Datum Ausgaben],"&gt;="&amp;AU$5,tblAuftraege[Datum Ausgaben],"&lt;"&amp;EDATE(AU$5,1),tblAuftraege[Auftrag],$A90))</f>
        <v>0</v>
      </c>
      <c r="AV90" s="11" t="n">
        <f aca="false">IF($A90="",0,SUMIFS(tblAuftraege[Ausgaben],tblAuftraege[Datum Ausgaben],"&gt;="&amp;AV$5,tblAuftraege[Datum Ausgaben],"&lt;"&amp;EDATE(AV$5,1),tblAuftraege[Auftrag],$A90))</f>
        <v>0</v>
      </c>
      <c r="AW90" s="11" t="n">
        <f aca="false">IF($A90="",0,SUMIFS(tblAuftraege[Ausgaben],tblAuftraege[Datum Ausgaben],"&gt;="&amp;AW$5,tblAuftraege[Datum Ausgaben],"&lt;"&amp;EDATE(AW$5,1),tblAuftraege[Auftrag],$A90))</f>
        <v>0</v>
      </c>
      <c r="AX90" s="11" t="n">
        <f aca="false">IF($A90="",0,SUMIFS(tblAuftraege[Ausgaben],tblAuftraege[Datum Ausgaben],"&gt;="&amp;AX$5,tblAuftraege[Datum Ausgaben],"&lt;"&amp;EDATE(AX$5,1),tblAuftraege[Auftrag],$A90))</f>
        <v>0</v>
      </c>
      <c r="AY90" s="11" t="n">
        <f aca="false">IF($A90="",0,SUMIFS(tblAuftraege[Ausgaben],tblAuftraege[Datum Ausgaben],"&gt;="&amp;AY$5,tblAuftraege[Datum Ausgaben],"&lt;"&amp;EDATE(AY$5,1),tblAuftraege[Auftrag],$A90))</f>
        <v>0</v>
      </c>
      <c r="AZ90" s="11" t="n">
        <f aca="false">IF($A90="",0,SUMIFS(tblAuftraege[Ausgaben],tblAuftraege[Datum Ausgaben],"&gt;="&amp;AZ$5,tblAuftraege[Datum Ausgaben],"&lt;"&amp;EDATE(AZ$5,1),tblAuftraege[Auftrag],$A90))</f>
        <v>0</v>
      </c>
      <c r="BA90" s="11" t="n">
        <f aca="false">IF($A90="",0,SUMIFS(tblAuftraege[Ausgaben],tblAuftraege[Datum Ausgaben],"&gt;="&amp;BA$5,tblAuftraege[Datum Ausgaben],"&lt;"&amp;EDATE(BA$5,1),tblAuftraege[Auftrag],$A90))</f>
        <v>0</v>
      </c>
      <c r="BB90" s="11" t="n">
        <f aca="false">IF($A90="",0,SUMIFS(tblAuftraege[Ausgaben],tblAuftraege[Datum Ausgaben],"&gt;="&amp;BB$5,tblAuftraege[Datum Ausgaben],"&lt;"&amp;EDATE(BB$5,1),tblAuftraege[Auftrag],$A90))</f>
        <v>0</v>
      </c>
      <c r="BC90" s="11" t="n">
        <f aca="false">IF($A90="",0,SUMIFS(tblAuftraege[Ausgaben],tblAuftraege[Datum Ausgaben],"&gt;="&amp;BC$5,tblAuftraege[Datum Ausgaben],"&lt;"&amp;EDATE(BC$5,1),tblAuftraege[Auftrag],$A90))</f>
        <v>0</v>
      </c>
      <c r="BD90" s="11" t="n">
        <f aca="false">IF($A90="",0,SUMIFS(tblAuftraege[Ausgaben],tblAuftraege[Datum Ausgaben],"&gt;="&amp;BD$5,tblAuftraege[Datum Ausgaben],"&lt;"&amp;EDATE(BD$5,1),tblAuftraege[Auftrag],$A90))</f>
        <v>0</v>
      </c>
      <c r="BE90" s="11" t="n">
        <f aca="false">IF($A90="",0,SUMIFS(tblAuftraege[Ausgaben],tblAuftraege[Datum Ausgaben],"&gt;="&amp;BE$5,tblAuftraege[Datum Ausgaben],"&lt;"&amp;EDATE(BE$5,1),tblAuftraege[Auftrag],$A90))</f>
        <v>0</v>
      </c>
      <c r="BF90" s="11" t="n">
        <f aca="false">IF($A90="",0,SUMIFS(tblAuftraege[Ausgaben],tblAuftraege[Datum Ausgaben],"&gt;="&amp;BF$5,tblAuftraege[Datum Ausgaben],"&lt;"&amp;EDATE(BF$5,1),tblAuftraege[Auftrag],$A90))</f>
        <v>0</v>
      </c>
      <c r="BG90" s="11" t="n">
        <f aca="false">SUM(E90:J90)</f>
        <v>0</v>
      </c>
      <c r="BH90" s="11" t="n">
        <f aca="false">SUM(K90:V90)</f>
        <v>0</v>
      </c>
      <c r="BI90" s="11" t="n">
        <f aca="false">SUM(W90:AH90)</f>
        <v>0</v>
      </c>
      <c r="BJ90" s="11" t="n">
        <f aca="false">SUM(AI90:AT90)</f>
        <v>0</v>
      </c>
      <c r="BK90" s="11" t="n">
        <f aca="false">SUM(AU90:BF90)</f>
        <v>0</v>
      </c>
      <c r="BL90" s="12" t="n">
        <f aca="false">SUM(E90:BF90)</f>
        <v>0</v>
      </c>
    </row>
    <row r="91" customFormat="false" ht="15" hidden="false" customHeight="false" outlineLevel="0" collapsed="false">
      <c r="A91" s="9"/>
      <c r="B91" s="10" t="str">
        <f aca="false">IF($A91="","",IFERROR(INDEX(tblAuftraege[Kostenstelle],MATCH($A91,tblAuftraege[Auftrag],0)),""))</f>
        <v/>
      </c>
      <c r="C91" s="10" t="str">
        <f aca="false">IF($A91="","",IFERROR(INDEX(tblAuftraege[Themenfeld],MATCH($A91,tblAuftraege[Auftrag],0)),""))</f>
        <v/>
      </c>
      <c r="D91" s="10" t="str">
        <f aca="false">IF($A91="","",IFERROR(INDEX(tblAuftraege[Kategorie],MATCH($A91,tblAuftraege[Auftrag],0)),""))</f>
        <v/>
      </c>
      <c r="E91" s="11" t="n">
        <f aca="false">IF($A91="",0,SUMIFS(tblAuftraege[Ausgaben],tblAuftraege[Datum Ausgaben],"&gt;="&amp;E$5,tblAuftraege[Datum Ausgaben],"&lt;"&amp;EDATE(E$5,1),tblAuftraege[Auftrag],$A91))</f>
        <v>0</v>
      </c>
      <c r="F91" s="11" t="n">
        <f aca="false">IF($A91="",0,SUMIFS(tblAuftraege[Ausgaben],tblAuftraege[Datum Ausgaben],"&gt;="&amp;F$5,tblAuftraege[Datum Ausgaben],"&lt;"&amp;EDATE(F$5,1),tblAuftraege[Auftrag],$A91))</f>
        <v>0</v>
      </c>
      <c r="G91" s="11" t="n">
        <f aca="false">IF($A91="",0,SUMIFS(tblAuftraege[Ausgaben],tblAuftraege[Datum Ausgaben],"&gt;="&amp;G$5,tblAuftraege[Datum Ausgaben],"&lt;"&amp;EDATE(G$5,1),tblAuftraege[Auftrag],$A91))</f>
        <v>0</v>
      </c>
      <c r="H91" s="11" t="n">
        <f aca="false">IF($A91="",0,SUMIFS(tblAuftraege[Ausgaben],tblAuftraege[Datum Ausgaben],"&gt;="&amp;H$5,tblAuftraege[Datum Ausgaben],"&lt;"&amp;EDATE(H$5,1),tblAuftraege[Auftrag],$A91))</f>
        <v>0</v>
      </c>
      <c r="I91" s="11" t="n">
        <f aca="false">IF($A91="",0,SUMIFS(tblAuftraege[Ausgaben],tblAuftraege[Datum Ausgaben],"&gt;="&amp;I$5,tblAuftraege[Datum Ausgaben],"&lt;"&amp;EDATE(I$5,1),tblAuftraege[Auftrag],$A91))</f>
        <v>0</v>
      </c>
      <c r="J91" s="11" t="n">
        <f aca="false">IF($A91="",0,SUMIFS(tblAuftraege[Ausgaben],tblAuftraege[Datum Ausgaben],"&gt;="&amp;J$5,tblAuftraege[Datum Ausgaben],"&lt;"&amp;EDATE(J$5,1),tblAuftraege[Auftrag],$A91))</f>
        <v>0</v>
      </c>
      <c r="K91" s="11" t="n">
        <f aca="false">IF($A91="",0,SUMIFS(tblAuftraege[Ausgaben],tblAuftraege[Datum Ausgaben],"&gt;="&amp;K$5,tblAuftraege[Datum Ausgaben],"&lt;"&amp;EDATE(K$5,1),tblAuftraege[Auftrag],$A91))</f>
        <v>0</v>
      </c>
      <c r="L91" s="11" t="n">
        <f aca="false">IF($A91="",0,SUMIFS(tblAuftraege[Ausgaben],tblAuftraege[Datum Ausgaben],"&gt;="&amp;L$5,tblAuftraege[Datum Ausgaben],"&lt;"&amp;EDATE(L$5,1),tblAuftraege[Auftrag],$A91))</f>
        <v>0</v>
      </c>
      <c r="M91" s="11" t="n">
        <f aca="false">IF($A91="",0,SUMIFS(tblAuftraege[Ausgaben],tblAuftraege[Datum Ausgaben],"&gt;="&amp;M$5,tblAuftraege[Datum Ausgaben],"&lt;"&amp;EDATE(M$5,1),tblAuftraege[Auftrag],$A91))</f>
        <v>0</v>
      </c>
      <c r="N91" s="11" t="n">
        <f aca="false">IF($A91="",0,SUMIFS(tblAuftraege[Ausgaben],tblAuftraege[Datum Ausgaben],"&gt;="&amp;N$5,tblAuftraege[Datum Ausgaben],"&lt;"&amp;EDATE(N$5,1),tblAuftraege[Auftrag],$A91))</f>
        <v>0</v>
      </c>
      <c r="O91" s="11" t="n">
        <f aca="false">IF($A91="",0,SUMIFS(tblAuftraege[Ausgaben],tblAuftraege[Datum Ausgaben],"&gt;="&amp;O$5,tblAuftraege[Datum Ausgaben],"&lt;"&amp;EDATE(O$5,1),tblAuftraege[Auftrag],$A91))</f>
        <v>0</v>
      </c>
      <c r="P91" s="11" t="n">
        <f aca="false">IF($A91="",0,SUMIFS(tblAuftraege[Ausgaben],tblAuftraege[Datum Ausgaben],"&gt;="&amp;P$5,tblAuftraege[Datum Ausgaben],"&lt;"&amp;EDATE(P$5,1),tblAuftraege[Auftrag],$A91))</f>
        <v>0</v>
      </c>
      <c r="Q91" s="11" t="n">
        <f aca="false">IF($A91="",0,SUMIFS(tblAuftraege[Ausgaben],tblAuftraege[Datum Ausgaben],"&gt;="&amp;Q$5,tblAuftraege[Datum Ausgaben],"&lt;"&amp;EDATE(Q$5,1),tblAuftraege[Auftrag],$A91))</f>
        <v>0</v>
      </c>
      <c r="R91" s="11" t="n">
        <f aca="false">IF($A91="",0,SUMIFS(tblAuftraege[Ausgaben],tblAuftraege[Datum Ausgaben],"&gt;="&amp;R$5,tblAuftraege[Datum Ausgaben],"&lt;"&amp;EDATE(R$5,1),tblAuftraege[Auftrag],$A91))</f>
        <v>0</v>
      </c>
      <c r="S91" s="11" t="n">
        <f aca="false">IF($A91="",0,SUMIFS(tblAuftraege[Ausgaben],tblAuftraege[Datum Ausgaben],"&gt;="&amp;S$5,tblAuftraege[Datum Ausgaben],"&lt;"&amp;EDATE(S$5,1),tblAuftraege[Auftrag],$A91))</f>
        <v>0</v>
      </c>
      <c r="T91" s="11" t="n">
        <f aca="false">IF($A91="",0,SUMIFS(tblAuftraege[Ausgaben],tblAuftraege[Datum Ausgaben],"&gt;="&amp;T$5,tblAuftraege[Datum Ausgaben],"&lt;"&amp;EDATE(T$5,1),tblAuftraege[Auftrag],$A91))</f>
        <v>0</v>
      </c>
      <c r="U91" s="11" t="n">
        <f aca="false">IF($A91="",0,SUMIFS(tblAuftraege[Ausgaben],tblAuftraege[Datum Ausgaben],"&gt;="&amp;U$5,tblAuftraege[Datum Ausgaben],"&lt;"&amp;EDATE(U$5,1),tblAuftraege[Auftrag],$A91))</f>
        <v>0</v>
      </c>
      <c r="V91" s="11" t="n">
        <f aca="false">IF($A91="",0,SUMIFS(tblAuftraege[Ausgaben],tblAuftraege[Datum Ausgaben],"&gt;="&amp;V$5,tblAuftraege[Datum Ausgaben],"&lt;"&amp;EDATE(V$5,1),tblAuftraege[Auftrag],$A91))</f>
        <v>0</v>
      </c>
      <c r="W91" s="11" t="n">
        <f aca="false">IF($A91="",0,SUMIFS(tblAuftraege[Ausgaben],tblAuftraege[Datum Ausgaben],"&gt;="&amp;W$5,tblAuftraege[Datum Ausgaben],"&lt;"&amp;EDATE(W$5,1),tblAuftraege[Auftrag],$A91))</f>
        <v>0</v>
      </c>
      <c r="X91" s="11" t="n">
        <f aca="false">IF($A91="",0,SUMIFS(tblAuftraege[Ausgaben],tblAuftraege[Datum Ausgaben],"&gt;="&amp;X$5,tblAuftraege[Datum Ausgaben],"&lt;"&amp;EDATE(X$5,1),tblAuftraege[Auftrag],$A91))</f>
        <v>0</v>
      </c>
      <c r="Y91" s="11" t="n">
        <f aca="false">IF($A91="",0,SUMIFS(tblAuftraege[Ausgaben],tblAuftraege[Datum Ausgaben],"&gt;="&amp;Y$5,tblAuftraege[Datum Ausgaben],"&lt;"&amp;EDATE(Y$5,1),tblAuftraege[Auftrag],$A91))</f>
        <v>0</v>
      </c>
      <c r="Z91" s="11" t="n">
        <f aca="false">IF($A91="",0,SUMIFS(tblAuftraege[Ausgaben],tblAuftraege[Datum Ausgaben],"&gt;="&amp;Z$5,tblAuftraege[Datum Ausgaben],"&lt;"&amp;EDATE(Z$5,1),tblAuftraege[Auftrag],$A91))</f>
        <v>0</v>
      </c>
      <c r="AA91" s="11" t="n">
        <f aca="false">IF($A91="",0,SUMIFS(tblAuftraege[Ausgaben],tblAuftraege[Datum Ausgaben],"&gt;="&amp;AA$5,tblAuftraege[Datum Ausgaben],"&lt;"&amp;EDATE(AA$5,1),tblAuftraege[Auftrag],$A91))</f>
        <v>0</v>
      </c>
      <c r="AB91" s="11" t="n">
        <f aca="false">IF($A91="",0,SUMIFS(tblAuftraege[Ausgaben],tblAuftraege[Datum Ausgaben],"&gt;="&amp;AB$5,tblAuftraege[Datum Ausgaben],"&lt;"&amp;EDATE(AB$5,1),tblAuftraege[Auftrag],$A91))</f>
        <v>0</v>
      </c>
      <c r="AC91" s="11" t="n">
        <f aca="false">IF($A91="",0,SUMIFS(tblAuftraege[Ausgaben],tblAuftraege[Datum Ausgaben],"&gt;="&amp;AC$5,tblAuftraege[Datum Ausgaben],"&lt;"&amp;EDATE(AC$5,1),tblAuftraege[Auftrag],$A91))</f>
        <v>0</v>
      </c>
      <c r="AD91" s="11" t="n">
        <f aca="false">IF($A91="",0,SUMIFS(tblAuftraege[Ausgaben],tblAuftraege[Datum Ausgaben],"&gt;="&amp;AD$5,tblAuftraege[Datum Ausgaben],"&lt;"&amp;EDATE(AD$5,1),tblAuftraege[Auftrag],$A91))</f>
        <v>0</v>
      </c>
      <c r="AE91" s="11" t="n">
        <f aca="false">IF($A91="",0,SUMIFS(tblAuftraege[Ausgaben],tblAuftraege[Datum Ausgaben],"&gt;="&amp;AE$5,tblAuftraege[Datum Ausgaben],"&lt;"&amp;EDATE(AE$5,1),tblAuftraege[Auftrag],$A91))</f>
        <v>0</v>
      </c>
      <c r="AF91" s="11" t="n">
        <f aca="false">IF($A91="",0,SUMIFS(tblAuftraege[Ausgaben],tblAuftraege[Datum Ausgaben],"&gt;="&amp;AF$5,tblAuftraege[Datum Ausgaben],"&lt;"&amp;EDATE(AF$5,1),tblAuftraege[Auftrag],$A91))</f>
        <v>0</v>
      </c>
      <c r="AG91" s="11" t="n">
        <f aca="false">IF($A91="",0,SUMIFS(tblAuftraege[Ausgaben],tblAuftraege[Datum Ausgaben],"&gt;="&amp;AG$5,tblAuftraege[Datum Ausgaben],"&lt;"&amp;EDATE(AG$5,1),tblAuftraege[Auftrag],$A91))</f>
        <v>0</v>
      </c>
      <c r="AH91" s="11" t="n">
        <f aca="false">IF($A91="",0,SUMIFS(tblAuftraege[Ausgaben],tblAuftraege[Datum Ausgaben],"&gt;="&amp;AH$5,tblAuftraege[Datum Ausgaben],"&lt;"&amp;EDATE(AH$5,1),tblAuftraege[Auftrag],$A91))</f>
        <v>0</v>
      </c>
      <c r="AI91" s="11" t="n">
        <f aca="false">IF($A91="",0,SUMIFS(tblAuftraege[Ausgaben],tblAuftraege[Datum Ausgaben],"&gt;="&amp;AI$5,tblAuftraege[Datum Ausgaben],"&lt;"&amp;EDATE(AI$5,1),tblAuftraege[Auftrag],$A91))</f>
        <v>0</v>
      </c>
      <c r="AJ91" s="11" t="n">
        <f aca="false">IF($A91="",0,SUMIFS(tblAuftraege[Ausgaben],tblAuftraege[Datum Ausgaben],"&gt;="&amp;AJ$5,tblAuftraege[Datum Ausgaben],"&lt;"&amp;EDATE(AJ$5,1),tblAuftraege[Auftrag],$A91))</f>
        <v>0</v>
      </c>
      <c r="AK91" s="11" t="n">
        <f aca="false">IF($A91="",0,SUMIFS(tblAuftraege[Ausgaben],tblAuftraege[Datum Ausgaben],"&gt;="&amp;AK$5,tblAuftraege[Datum Ausgaben],"&lt;"&amp;EDATE(AK$5,1),tblAuftraege[Auftrag],$A91))</f>
        <v>0</v>
      </c>
      <c r="AL91" s="11" t="n">
        <f aca="false">IF($A91="",0,SUMIFS(tblAuftraege[Ausgaben],tblAuftraege[Datum Ausgaben],"&gt;="&amp;AL$5,tblAuftraege[Datum Ausgaben],"&lt;"&amp;EDATE(AL$5,1),tblAuftraege[Auftrag],$A91))</f>
        <v>0</v>
      </c>
      <c r="AM91" s="11" t="n">
        <f aca="false">IF($A91="",0,SUMIFS(tblAuftraege[Ausgaben],tblAuftraege[Datum Ausgaben],"&gt;="&amp;AM$5,tblAuftraege[Datum Ausgaben],"&lt;"&amp;EDATE(AM$5,1),tblAuftraege[Auftrag],$A91))</f>
        <v>0</v>
      </c>
      <c r="AN91" s="11" t="n">
        <f aca="false">IF($A91="",0,SUMIFS(tblAuftraege[Ausgaben],tblAuftraege[Datum Ausgaben],"&gt;="&amp;AN$5,tblAuftraege[Datum Ausgaben],"&lt;"&amp;EDATE(AN$5,1),tblAuftraege[Auftrag],$A91))</f>
        <v>0</v>
      </c>
      <c r="AO91" s="11" t="n">
        <f aca="false">IF($A91="",0,SUMIFS(tblAuftraege[Ausgaben],tblAuftraege[Datum Ausgaben],"&gt;="&amp;AO$5,tblAuftraege[Datum Ausgaben],"&lt;"&amp;EDATE(AO$5,1),tblAuftraege[Auftrag],$A91))</f>
        <v>0</v>
      </c>
      <c r="AP91" s="11" t="n">
        <f aca="false">IF($A91="",0,SUMIFS(tblAuftraege[Ausgaben],tblAuftraege[Datum Ausgaben],"&gt;="&amp;AP$5,tblAuftraege[Datum Ausgaben],"&lt;"&amp;EDATE(AP$5,1),tblAuftraege[Auftrag],$A91))</f>
        <v>0</v>
      </c>
      <c r="AQ91" s="11" t="n">
        <f aca="false">IF($A91="",0,SUMIFS(tblAuftraege[Ausgaben],tblAuftraege[Datum Ausgaben],"&gt;="&amp;AQ$5,tblAuftraege[Datum Ausgaben],"&lt;"&amp;EDATE(AQ$5,1),tblAuftraege[Auftrag],$A91))</f>
        <v>0</v>
      </c>
      <c r="AR91" s="11" t="n">
        <f aca="false">IF($A91="",0,SUMIFS(tblAuftraege[Ausgaben],tblAuftraege[Datum Ausgaben],"&gt;="&amp;AR$5,tblAuftraege[Datum Ausgaben],"&lt;"&amp;EDATE(AR$5,1),tblAuftraege[Auftrag],$A91))</f>
        <v>0</v>
      </c>
      <c r="AS91" s="11" t="n">
        <f aca="false">IF($A91="",0,SUMIFS(tblAuftraege[Ausgaben],tblAuftraege[Datum Ausgaben],"&gt;="&amp;AS$5,tblAuftraege[Datum Ausgaben],"&lt;"&amp;EDATE(AS$5,1),tblAuftraege[Auftrag],$A91))</f>
        <v>0</v>
      </c>
      <c r="AT91" s="11" t="n">
        <f aca="false">IF($A91="",0,SUMIFS(tblAuftraege[Ausgaben],tblAuftraege[Datum Ausgaben],"&gt;="&amp;AT$5,tblAuftraege[Datum Ausgaben],"&lt;"&amp;EDATE(AT$5,1),tblAuftraege[Auftrag],$A91))</f>
        <v>0</v>
      </c>
      <c r="AU91" s="11" t="n">
        <f aca="false">IF($A91="",0,SUMIFS(tblAuftraege[Ausgaben],tblAuftraege[Datum Ausgaben],"&gt;="&amp;AU$5,tblAuftraege[Datum Ausgaben],"&lt;"&amp;EDATE(AU$5,1),tblAuftraege[Auftrag],$A91))</f>
        <v>0</v>
      </c>
      <c r="AV91" s="11" t="n">
        <f aca="false">IF($A91="",0,SUMIFS(tblAuftraege[Ausgaben],tblAuftraege[Datum Ausgaben],"&gt;="&amp;AV$5,tblAuftraege[Datum Ausgaben],"&lt;"&amp;EDATE(AV$5,1),tblAuftraege[Auftrag],$A91))</f>
        <v>0</v>
      </c>
      <c r="AW91" s="11" t="n">
        <f aca="false">IF($A91="",0,SUMIFS(tblAuftraege[Ausgaben],tblAuftraege[Datum Ausgaben],"&gt;="&amp;AW$5,tblAuftraege[Datum Ausgaben],"&lt;"&amp;EDATE(AW$5,1),tblAuftraege[Auftrag],$A91))</f>
        <v>0</v>
      </c>
      <c r="AX91" s="11" t="n">
        <f aca="false">IF($A91="",0,SUMIFS(tblAuftraege[Ausgaben],tblAuftraege[Datum Ausgaben],"&gt;="&amp;AX$5,tblAuftraege[Datum Ausgaben],"&lt;"&amp;EDATE(AX$5,1),tblAuftraege[Auftrag],$A91))</f>
        <v>0</v>
      </c>
      <c r="AY91" s="11" t="n">
        <f aca="false">IF($A91="",0,SUMIFS(tblAuftraege[Ausgaben],tblAuftraege[Datum Ausgaben],"&gt;="&amp;AY$5,tblAuftraege[Datum Ausgaben],"&lt;"&amp;EDATE(AY$5,1),tblAuftraege[Auftrag],$A91))</f>
        <v>0</v>
      </c>
      <c r="AZ91" s="11" t="n">
        <f aca="false">IF($A91="",0,SUMIFS(tblAuftraege[Ausgaben],tblAuftraege[Datum Ausgaben],"&gt;="&amp;AZ$5,tblAuftraege[Datum Ausgaben],"&lt;"&amp;EDATE(AZ$5,1),tblAuftraege[Auftrag],$A91))</f>
        <v>0</v>
      </c>
      <c r="BA91" s="11" t="n">
        <f aca="false">IF($A91="",0,SUMIFS(tblAuftraege[Ausgaben],tblAuftraege[Datum Ausgaben],"&gt;="&amp;BA$5,tblAuftraege[Datum Ausgaben],"&lt;"&amp;EDATE(BA$5,1),tblAuftraege[Auftrag],$A91))</f>
        <v>0</v>
      </c>
      <c r="BB91" s="11" t="n">
        <f aca="false">IF($A91="",0,SUMIFS(tblAuftraege[Ausgaben],tblAuftraege[Datum Ausgaben],"&gt;="&amp;BB$5,tblAuftraege[Datum Ausgaben],"&lt;"&amp;EDATE(BB$5,1),tblAuftraege[Auftrag],$A91))</f>
        <v>0</v>
      </c>
      <c r="BC91" s="11" t="n">
        <f aca="false">IF($A91="",0,SUMIFS(tblAuftraege[Ausgaben],tblAuftraege[Datum Ausgaben],"&gt;="&amp;BC$5,tblAuftraege[Datum Ausgaben],"&lt;"&amp;EDATE(BC$5,1),tblAuftraege[Auftrag],$A91))</f>
        <v>0</v>
      </c>
      <c r="BD91" s="11" t="n">
        <f aca="false">IF($A91="",0,SUMIFS(tblAuftraege[Ausgaben],tblAuftraege[Datum Ausgaben],"&gt;="&amp;BD$5,tblAuftraege[Datum Ausgaben],"&lt;"&amp;EDATE(BD$5,1),tblAuftraege[Auftrag],$A91))</f>
        <v>0</v>
      </c>
      <c r="BE91" s="11" t="n">
        <f aca="false">IF($A91="",0,SUMIFS(tblAuftraege[Ausgaben],tblAuftraege[Datum Ausgaben],"&gt;="&amp;BE$5,tblAuftraege[Datum Ausgaben],"&lt;"&amp;EDATE(BE$5,1),tblAuftraege[Auftrag],$A91))</f>
        <v>0</v>
      </c>
      <c r="BF91" s="11" t="n">
        <f aca="false">IF($A91="",0,SUMIFS(tblAuftraege[Ausgaben],tblAuftraege[Datum Ausgaben],"&gt;="&amp;BF$5,tblAuftraege[Datum Ausgaben],"&lt;"&amp;EDATE(BF$5,1),tblAuftraege[Auftrag],$A91))</f>
        <v>0</v>
      </c>
      <c r="BG91" s="11" t="n">
        <f aca="false">SUM(E91:J91)</f>
        <v>0</v>
      </c>
      <c r="BH91" s="11" t="n">
        <f aca="false">SUM(K91:V91)</f>
        <v>0</v>
      </c>
      <c r="BI91" s="11" t="n">
        <f aca="false">SUM(W91:AH91)</f>
        <v>0</v>
      </c>
      <c r="BJ91" s="11" t="n">
        <f aca="false">SUM(AI91:AT91)</f>
        <v>0</v>
      </c>
      <c r="BK91" s="11" t="n">
        <f aca="false">SUM(AU91:BF91)</f>
        <v>0</v>
      </c>
      <c r="BL91" s="12" t="n">
        <f aca="false">SUM(E91:BF91)</f>
        <v>0</v>
      </c>
    </row>
    <row r="92" customFormat="false" ht="15" hidden="false" customHeight="false" outlineLevel="0" collapsed="false">
      <c r="A92" s="9"/>
      <c r="B92" s="10" t="str">
        <f aca="false">IF($A92="","",IFERROR(INDEX(tblAuftraege[Kostenstelle],MATCH($A92,tblAuftraege[Auftrag],0)),""))</f>
        <v/>
      </c>
      <c r="C92" s="10" t="str">
        <f aca="false">IF($A92="","",IFERROR(INDEX(tblAuftraege[Themenfeld],MATCH($A92,tblAuftraege[Auftrag],0)),""))</f>
        <v/>
      </c>
      <c r="D92" s="10" t="str">
        <f aca="false">IF($A92="","",IFERROR(INDEX(tblAuftraege[Kategorie],MATCH($A92,tblAuftraege[Auftrag],0)),""))</f>
        <v/>
      </c>
      <c r="E92" s="11" t="n">
        <f aca="false">IF($A92="",0,SUMIFS(tblAuftraege[Ausgaben],tblAuftraege[Datum Ausgaben],"&gt;="&amp;E$5,tblAuftraege[Datum Ausgaben],"&lt;"&amp;EDATE(E$5,1),tblAuftraege[Auftrag],$A92))</f>
        <v>0</v>
      </c>
      <c r="F92" s="11" t="n">
        <f aca="false">IF($A92="",0,SUMIFS(tblAuftraege[Ausgaben],tblAuftraege[Datum Ausgaben],"&gt;="&amp;F$5,tblAuftraege[Datum Ausgaben],"&lt;"&amp;EDATE(F$5,1),tblAuftraege[Auftrag],$A92))</f>
        <v>0</v>
      </c>
      <c r="G92" s="11" t="n">
        <f aca="false">IF($A92="",0,SUMIFS(tblAuftraege[Ausgaben],tblAuftraege[Datum Ausgaben],"&gt;="&amp;G$5,tblAuftraege[Datum Ausgaben],"&lt;"&amp;EDATE(G$5,1),tblAuftraege[Auftrag],$A92))</f>
        <v>0</v>
      </c>
      <c r="H92" s="11" t="n">
        <f aca="false">IF($A92="",0,SUMIFS(tblAuftraege[Ausgaben],tblAuftraege[Datum Ausgaben],"&gt;="&amp;H$5,tblAuftraege[Datum Ausgaben],"&lt;"&amp;EDATE(H$5,1),tblAuftraege[Auftrag],$A92))</f>
        <v>0</v>
      </c>
      <c r="I92" s="11" t="n">
        <f aca="false">IF($A92="",0,SUMIFS(tblAuftraege[Ausgaben],tblAuftraege[Datum Ausgaben],"&gt;="&amp;I$5,tblAuftraege[Datum Ausgaben],"&lt;"&amp;EDATE(I$5,1),tblAuftraege[Auftrag],$A92))</f>
        <v>0</v>
      </c>
      <c r="J92" s="11" t="n">
        <f aca="false">IF($A92="",0,SUMIFS(tblAuftraege[Ausgaben],tblAuftraege[Datum Ausgaben],"&gt;="&amp;J$5,tblAuftraege[Datum Ausgaben],"&lt;"&amp;EDATE(J$5,1),tblAuftraege[Auftrag],$A92))</f>
        <v>0</v>
      </c>
      <c r="K92" s="11" t="n">
        <f aca="false">IF($A92="",0,SUMIFS(tblAuftraege[Ausgaben],tblAuftraege[Datum Ausgaben],"&gt;="&amp;K$5,tblAuftraege[Datum Ausgaben],"&lt;"&amp;EDATE(K$5,1),tblAuftraege[Auftrag],$A92))</f>
        <v>0</v>
      </c>
      <c r="L92" s="11" t="n">
        <f aca="false">IF($A92="",0,SUMIFS(tblAuftraege[Ausgaben],tblAuftraege[Datum Ausgaben],"&gt;="&amp;L$5,tblAuftraege[Datum Ausgaben],"&lt;"&amp;EDATE(L$5,1),tblAuftraege[Auftrag],$A92))</f>
        <v>0</v>
      </c>
      <c r="M92" s="11" t="n">
        <f aca="false">IF($A92="",0,SUMIFS(tblAuftraege[Ausgaben],tblAuftraege[Datum Ausgaben],"&gt;="&amp;M$5,tblAuftraege[Datum Ausgaben],"&lt;"&amp;EDATE(M$5,1),tblAuftraege[Auftrag],$A92))</f>
        <v>0</v>
      </c>
      <c r="N92" s="11" t="n">
        <f aca="false">IF($A92="",0,SUMIFS(tblAuftraege[Ausgaben],tblAuftraege[Datum Ausgaben],"&gt;="&amp;N$5,tblAuftraege[Datum Ausgaben],"&lt;"&amp;EDATE(N$5,1),tblAuftraege[Auftrag],$A92))</f>
        <v>0</v>
      </c>
      <c r="O92" s="11" t="n">
        <f aca="false">IF($A92="",0,SUMIFS(tblAuftraege[Ausgaben],tblAuftraege[Datum Ausgaben],"&gt;="&amp;O$5,tblAuftraege[Datum Ausgaben],"&lt;"&amp;EDATE(O$5,1),tblAuftraege[Auftrag],$A92))</f>
        <v>0</v>
      </c>
      <c r="P92" s="11" t="n">
        <f aca="false">IF($A92="",0,SUMIFS(tblAuftraege[Ausgaben],tblAuftraege[Datum Ausgaben],"&gt;="&amp;P$5,tblAuftraege[Datum Ausgaben],"&lt;"&amp;EDATE(P$5,1),tblAuftraege[Auftrag],$A92))</f>
        <v>0</v>
      </c>
      <c r="Q92" s="11" t="n">
        <f aca="false">IF($A92="",0,SUMIFS(tblAuftraege[Ausgaben],tblAuftraege[Datum Ausgaben],"&gt;="&amp;Q$5,tblAuftraege[Datum Ausgaben],"&lt;"&amp;EDATE(Q$5,1),tblAuftraege[Auftrag],$A92))</f>
        <v>0</v>
      </c>
      <c r="R92" s="11" t="n">
        <f aca="false">IF($A92="",0,SUMIFS(tblAuftraege[Ausgaben],tblAuftraege[Datum Ausgaben],"&gt;="&amp;R$5,tblAuftraege[Datum Ausgaben],"&lt;"&amp;EDATE(R$5,1),tblAuftraege[Auftrag],$A92))</f>
        <v>0</v>
      </c>
      <c r="S92" s="11" t="n">
        <f aca="false">IF($A92="",0,SUMIFS(tblAuftraege[Ausgaben],tblAuftraege[Datum Ausgaben],"&gt;="&amp;S$5,tblAuftraege[Datum Ausgaben],"&lt;"&amp;EDATE(S$5,1),tblAuftraege[Auftrag],$A92))</f>
        <v>0</v>
      </c>
      <c r="T92" s="11" t="n">
        <f aca="false">IF($A92="",0,SUMIFS(tblAuftraege[Ausgaben],tblAuftraege[Datum Ausgaben],"&gt;="&amp;T$5,tblAuftraege[Datum Ausgaben],"&lt;"&amp;EDATE(T$5,1),tblAuftraege[Auftrag],$A92))</f>
        <v>0</v>
      </c>
      <c r="U92" s="11" t="n">
        <f aca="false">IF($A92="",0,SUMIFS(tblAuftraege[Ausgaben],tblAuftraege[Datum Ausgaben],"&gt;="&amp;U$5,tblAuftraege[Datum Ausgaben],"&lt;"&amp;EDATE(U$5,1),tblAuftraege[Auftrag],$A92))</f>
        <v>0</v>
      </c>
      <c r="V92" s="11" t="n">
        <f aca="false">IF($A92="",0,SUMIFS(tblAuftraege[Ausgaben],tblAuftraege[Datum Ausgaben],"&gt;="&amp;V$5,tblAuftraege[Datum Ausgaben],"&lt;"&amp;EDATE(V$5,1),tblAuftraege[Auftrag],$A92))</f>
        <v>0</v>
      </c>
      <c r="W92" s="11" t="n">
        <f aca="false">IF($A92="",0,SUMIFS(tblAuftraege[Ausgaben],tblAuftraege[Datum Ausgaben],"&gt;="&amp;W$5,tblAuftraege[Datum Ausgaben],"&lt;"&amp;EDATE(W$5,1),tblAuftraege[Auftrag],$A92))</f>
        <v>0</v>
      </c>
      <c r="X92" s="11" t="n">
        <f aca="false">IF($A92="",0,SUMIFS(tblAuftraege[Ausgaben],tblAuftraege[Datum Ausgaben],"&gt;="&amp;X$5,tblAuftraege[Datum Ausgaben],"&lt;"&amp;EDATE(X$5,1),tblAuftraege[Auftrag],$A92))</f>
        <v>0</v>
      </c>
      <c r="Y92" s="11" t="n">
        <f aca="false">IF($A92="",0,SUMIFS(tblAuftraege[Ausgaben],tblAuftraege[Datum Ausgaben],"&gt;="&amp;Y$5,tblAuftraege[Datum Ausgaben],"&lt;"&amp;EDATE(Y$5,1),tblAuftraege[Auftrag],$A92))</f>
        <v>0</v>
      </c>
      <c r="Z92" s="11" t="n">
        <f aca="false">IF($A92="",0,SUMIFS(tblAuftraege[Ausgaben],tblAuftraege[Datum Ausgaben],"&gt;="&amp;Z$5,tblAuftraege[Datum Ausgaben],"&lt;"&amp;EDATE(Z$5,1),tblAuftraege[Auftrag],$A92))</f>
        <v>0</v>
      </c>
      <c r="AA92" s="11" t="n">
        <f aca="false">IF($A92="",0,SUMIFS(tblAuftraege[Ausgaben],tblAuftraege[Datum Ausgaben],"&gt;="&amp;AA$5,tblAuftraege[Datum Ausgaben],"&lt;"&amp;EDATE(AA$5,1),tblAuftraege[Auftrag],$A92))</f>
        <v>0</v>
      </c>
      <c r="AB92" s="11" t="n">
        <f aca="false">IF($A92="",0,SUMIFS(tblAuftraege[Ausgaben],tblAuftraege[Datum Ausgaben],"&gt;="&amp;AB$5,tblAuftraege[Datum Ausgaben],"&lt;"&amp;EDATE(AB$5,1),tblAuftraege[Auftrag],$A92))</f>
        <v>0</v>
      </c>
      <c r="AC92" s="11" t="n">
        <f aca="false">IF($A92="",0,SUMIFS(tblAuftraege[Ausgaben],tblAuftraege[Datum Ausgaben],"&gt;="&amp;AC$5,tblAuftraege[Datum Ausgaben],"&lt;"&amp;EDATE(AC$5,1),tblAuftraege[Auftrag],$A92))</f>
        <v>0</v>
      </c>
      <c r="AD92" s="11" t="n">
        <f aca="false">IF($A92="",0,SUMIFS(tblAuftraege[Ausgaben],tblAuftraege[Datum Ausgaben],"&gt;="&amp;AD$5,tblAuftraege[Datum Ausgaben],"&lt;"&amp;EDATE(AD$5,1),tblAuftraege[Auftrag],$A92))</f>
        <v>0</v>
      </c>
      <c r="AE92" s="11" t="n">
        <f aca="false">IF($A92="",0,SUMIFS(tblAuftraege[Ausgaben],tblAuftraege[Datum Ausgaben],"&gt;="&amp;AE$5,tblAuftraege[Datum Ausgaben],"&lt;"&amp;EDATE(AE$5,1),tblAuftraege[Auftrag],$A92))</f>
        <v>0</v>
      </c>
      <c r="AF92" s="11" t="n">
        <f aca="false">IF($A92="",0,SUMIFS(tblAuftraege[Ausgaben],tblAuftraege[Datum Ausgaben],"&gt;="&amp;AF$5,tblAuftraege[Datum Ausgaben],"&lt;"&amp;EDATE(AF$5,1),tblAuftraege[Auftrag],$A92))</f>
        <v>0</v>
      </c>
      <c r="AG92" s="11" t="n">
        <f aca="false">IF($A92="",0,SUMIFS(tblAuftraege[Ausgaben],tblAuftraege[Datum Ausgaben],"&gt;="&amp;AG$5,tblAuftraege[Datum Ausgaben],"&lt;"&amp;EDATE(AG$5,1),tblAuftraege[Auftrag],$A92))</f>
        <v>0</v>
      </c>
      <c r="AH92" s="11" t="n">
        <f aca="false">IF($A92="",0,SUMIFS(tblAuftraege[Ausgaben],tblAuftraege[Datum Ausgaben],"&gt;="&amp;AH$5,tblAuftraege[Datum Ausgaben],"&lt;"&amp;EDATE(AH$5,1),tblAuftraege[Auftrag],$A92))</f>
        <v>0</v>
      </c>
      <c r="AI92" s="11" t="n">
        <f aca="false">IF($A92="",0,SUMIFS(tblAuftraege[Ausgaben],tblAuftraege[Datum Ausgaben],"&gt;="&amp;AI$5,tblAuftraege[Datum Ausgaben],"&lt;"&amp;EDATE(AI$5,1),tblAuftraege[Auftrag],$A92))</f>
        <v>0</v>
      </c>
      <c r="AJ92" s="11" t="n">
        <f aca="false">IF($A92="",0,SUMIFS(tblAuftraege[Ausgaben],tblAuftraege[Datum Ausgaben],"&gt;="&amp;AJ$5,tblAuftraege[Datum Ausgaben],"&lt;"&amp;EDATE(AJ$5,1),tblAuftraege[Auftrag],$A92))</f>
        <v>0</v>
      </c>
      <c r="AK92" s="11" t="n">
        <f aca="false">IF($A92="",0,SUMIFS(tblAuftraege[Ausgaben],tblAuftraege[Datum Ausgaben],"&gt;="&amp;AK$5,tblAuftraege[Datum Ausgaben],"&lt;"&amp;EDATE(AK$5,1),tblAuftraege[Auftrag],$A92))</f>
        <v>0</v>
      </c>
      <c r="AL92" s="11" t="n">
        <f aca="false">IF($A92="",0,SUMIFS(tblAuftraege[Ausgaben],tblAuftraege[Datum Ausgaben],"&gt;="&amp;AL$5,tblAuftraege[Datum Ausgaben],"&lt;"&amp;EDATE(AL$5,1),tblAuftraege[Auftrag],$A92))</f>
        <v>0</v>
      </c>
      <c r="AM92" s="11" t="n">
        <f aca="false">IF($A92="",0,SUMIFS(tblAuftraege[Ausgaben],tblAuftraege[Datum Ausgaben],"&gt;="&amp;AM$5,tblAuftraege[Datum Ausgaben],"&lt;"&amp;EDATE(AM$5,1),tblAuftraege[Auftrag],$A92))</f>
        <v>0</v>
      </c>
      <c r="AN92" s="11" t="n">
        <f aca="false">IF($A92="",0,SUMIFS(tblAuftraege[Ausgaben],tblAuftraege[Datum Ausgaben],"&gt;="&amp;AN$5,tblAuftraege[Datum Ausgaben],"&lt;"&amp;EDATE(AN$5,1),tblAuftraege[Auftrag],$A92))</f>
        <v>0</v>
      </c>
      <c r="AO92" s="11" t="n">
        <f aca="false">IF($A92="",0,SUMIFS(tblAuftraege[Ausgaben],tblAuftraege[Datum Ausgaben],"&gt;="&amp;AO$5,tblAuftraege[Datum Ausgaben],"&lt;"&amp;EDATE(AO$5,1),tblAuftraege[Auftrag],$A92))</f>
        <v>0</v>
      </c>
      <c r="AP92" s="11" t="n">
        <f aca="false">IF($A92="",0,SUMIFS(tblAuftraege[Ausgaben],tblAuftraege[Datum Ausgaben],"&gt;="&amp;AP$5,tblAuftraege[Datum Ausgaben],"&lt;"&amp;EDATE(AP$5,1),tblAuftraege[Auftrag],$A92))</f>
        <v>0</v>
      </c>
      <c r="AQ92" s="11" t="n">
        <f aca="false">IF($A92="",0,SUMIFS(tblAuftraege[Ausgaben],tblAuftraege[Datum Ausgaben],"&gt;="&amp;AQ$5,tblAuftraege[Datum Ausgaben],"&lt;"&amp;EDATE(AQ$5,1),tblAuftraege[Auftrag],$A92))</f>
        <v>0</v>
      </c>
      <c r="AR92" s="11" t="n">
        <f aca="false">IF($A92="",0,SUMIFS(tblAuftraege[Ausgaben],tblAuftraege[Datum Ausgaben],"&gt;="&amp;AR$5,tblAuftraege[Datum Ausgaben],"&lt;"&amp;EDATE(AR$5,1),tblAuftraege[Auftrag],$A92))</f>
        <v>0</v>
      </c>
      <c r="AS92" s="11" t="n">
        <f aca="false">IF($A92="",0,SUMIFS(tblAuftraege[Ausgaben],tblAuftraege[Datum Ausgaben],"&gt;="&amp;AS$5,tblAuftraege[Datum Ausgaben],"&lt;"&amp;EDATE(AS$5,1),tblAuftraege[Auftrag],$A92))</f>
        <v>0</v>
      </c>
      <c r="AT92" s="11" t="n">
        <f aca="false">IF($A92="",0,SUMIFS(tblAuftraege[Ausgaben],tblAuftraege[Datum Ausgaben],"&gt;="&amp;AT$5,tblAuftraege[Datum Ausgaben],"&lt;"&amp;EDATE(AT$5,1),tblAuftraege[Auftrag],$A92))</f>
        <v>0</v>
      </c>
      <c r="AU92" s="11" t="n">
        <f aca="false">IF($A92="",0,SUMIFS(tblAuftraege[Ausgaben],tblAuftraege[Datum Ausgaben],"&gt;="&amp;AU$5,tblAuftraege[Datum Ausgaben],"&lt;"&amp;EDATE(AU$5,1),tblAuftraege[Auftrag],$A92))</f>
        <v>0</v>
      </c>
      <c r="AV92" s="11" t="n">
        <f aca="false">IF($A92="",0,SUMIFS(tblAuftraege[Ausgaben],tblAuftraege[Datum Ausgaben],"&gt;="&amp;AV$5,tblAuftraege[Datum Ausgaben],"&lt;"&amp;EDATE(AV$5,1),tblAuftraege[Auftrag],$A92))</f>
        <v>0</v>
      </c>
      <c r="AW92" s="11" t="n">
        <f aca="false">IF($A92="",0,SUMIFS(tblAuftraege[Ausgaben],tblAuftraege[Datum Ausgaben],"&gt;="&amp;AW$5,tblAuftraege[Datum Ausgaben],"&lt;"&amp;EDATE(AW$5,1),tblAuftraege[Auftrag],$A92))</f>
        <v>0</v>
      </c>
      <c r="AX92" s="11" t="n">
        <f aca="false">IF($A92="",0,SUMIFS(tblAuftraege[Ausgaben],tblAuftraege[Datum Ausgaben],"&gt;="&amp;AX$5,tblAuftraege[Datum Ausgaben],"&lt;"&amp;EDATE(AX$5,1),tblAuftraege[Auftrag],$A92))</f>
        <v>0</v>
      </c>
      <c r="AY92" s="11" t="n">
        <f aca="false">IF($A92="",0,SUMIFS(tblAuftraege[Ausgaben],tblAuftraege[Datum Ausgaben],"&gt;="&amp;AY$5,tblAuftraege[Datum Ausgaben],"&lt;"&amp;EDATE(AY$5,1),tblAuftraege[Auftrag],$A92))</f>
        <v>0</v>
      </c>
      <c r="AZ92" s="11" t="n">
        <f aca="false">IF($A92="",0,SUMIFS(tblAuftraege[Ausgaben],tblAuftraege[Datum Ausgaben],"&gt;="&amp;AZ$5,tblAuftraege[Datum Ausgaben],"&lt;"&amp;EDATE(AZ$5,1),tblAuftraege[Auftrag],$A92))</f>
        <v>0</v>
      </c>
      <c r="BA92" s="11" t="n">
        <f aca="false">IF($A92="",0,SUMIFS(tblAuftraege[Ausgaben],tblAuftraege[Datum Ausgaben],"&gt;="&amp;BA$5,tblAuftraege[Datum Ausgaben],"&lt;"&amp;EDATE(BA$5,1),tblAuftraege[Auftrag],$A92))</f>
        <v>0</v>
      </c>
      <c r="BB92" s="11" t="n">
        <f aca="false">IF($A92="",0,SUMIFS(tblAuftraege[Ausgaben],tblAuftraege[Datum Ausgaben],"&gt;="&amp;BB$5,tblAuftraege[Datum Ausgaben],"&lt;"&amp;EDATE(BB$5,1),tblAuftraege[Auftrag],$A92))</f>
        <v>0</v>
      </c>
      <c r="BC92" s="11" t="n">
        <f aca="false">IF($A92="",0,SUMIFS(tblAuftraege[Ausgaben],tblAuftraege[Datum Ausgaben],"&gt;="&amp;BC$5,tblAuftraege[Datum Ausgaben],"&lt;"&amp;EDATE(BC$5,1),tblAuftraege[Auftrag],$A92))</f>
        <v>0</v>
      </c>
      <c r="BD92" s="11" t="n">
        <f aca="false">IF($A92="",0,SUMIFS(tblAuftraege[Ausgaben],tblAuftraege[Datum Ausgaben],"&gt;="&amp;BD$5,tblAuftraege[Datum Ausgaben],"&lt;"&amp;EDATE(BD$5,1),tblAuftraege[Auftrag],$A92))</f>
        <v>0</v>
      </c>
      <c r="BE92" s="11" t="n">
        <f aca="false">IF($A92="",0,SUMIFS(tblAuftraege[Ausgaben],tblAuftraege[Datum Ausgaben],"&gt;="&amp;BE$5,tblAuftraege[Datum Ausgaben],"&lt;"&amp;EDATE(BE$5,1),tblAuftraege[Auftrag],$A92))</f>
        <v>0</v>
      </c>
      <c r="BF92" s="11" t="n">
        <f aca="false">IF($A92="",0,SUMIFS(tblAuftraege[Ausgaben],tblAuftraege[Datum Ausgaben],"&gt;="&amp;BF$5,tblAuftraege[Datum Ausgaben],"&lt;"&amp;EDATE(BF$5,1),tblAuftraege[Auftrag],$A92))</f>
        <v>0</v>
      </c>
      <c r="BG92" s="11" t="n">
        <f aca="false">SUM(E92:J92)</f>
        <v>0</v>
      </c>
      <c r="BH92" s="11" t="n">
        <f aca="false">SUM(K92:V92)</f>
        <v>0</v>
      </c>
      <c r="BI92" s="11" t="n">
        <f aca="false">SUM(W92:AH92)</f>
        <v>0</v>
      </c>
      <c r="BJ92" s="11" t="n">
        <f aca="false">SUM(AI92:AT92)</f>
        <v>0</v>
      </c>
      <c r="BK92" s="11" t="n">
        <f aca="false">SUM(AU92:BF92)</f>
        <v>0</v>
      </c>
      <c r="BL92" s="12" t="n">
        <f aca="false">SUM(E92:BF92)</f>
        <v>0</v>
      </c>
    </row>
    <row r="93" customFormat="false" ht="15" hidden="false" customHeight="false" outlineLevel="0" collapsed="false">
      <c r="A93" s="9"/>
      <c r="B93" s="10" t="str">
        <f aca="false">IF($A93="","",IFERROR(INDEX(tblAuftraege[Kostenstelle],MATCH($A93,tblAuftraege[Auftrag],0)),""))</f>
        <v/>
      </c>
      <c r="C93" s="10" t="str">
        <f aca="false">IF($A93="","",IFERROR(INDEX(tblAuftraege[Themenfeld],MATCH($A93,tblAuftraege[Auftrag],0)),""))</f>
        <v/>
      </c>
      <c r="D93" s="10" t="str">
        <f aca="false">IF($A93="","",IFERROR(INDEX(tblAuftraege[Kategorie],MATCH($A93,tblAuftraege[Auftrag],0)),""))</f>
        <v/>
      </c>
      <c r="E93" s="11" t="n">
        <f aca="false">IF($A93="",0,SUMIFS(tblAuftraege[Ausgaben],tblAuftraege[Datum Ausgaben],"&gt;="&amp;E$5,tblAuftraege[Datum Ausgaben],"&lt;"&amp;EDATE(E$5,1),tblAuftraege[Auftrag],$A93))</f>
        <v>0</v>
      </c>
      <c r="F93" s="11" t="n">
        <f aca="false">IF($A93="",0,SUMIFS(tblAuftraege[Ausgaben],tblAuftraege[Datum Ausgaben],"&gt;="&amp;F$5,tblAuftraege[Datum Ausgaben],"&lt;"&amp;EDATE(F$5,1),tblAuftraege[Auftrag],$A93))</f>
        <v>0</v>
      </c>
      <c r="G93" s="11" t="n">
        <f aca="false">IF($A93="",0,SUMIFS(tblAuftraege[Ausgaben],tblAuftraege[Datum Ausgaben],"&gt;="&amp;G$5,tblAuftraege[Datum Ausgaben],"&lt;"&amp;EDATE(G$5,1),tblAuftraege[Auftrag],$A93))</f>
        <v>0</v>
      </c>
      <c r="H93" s="11" t="n">
        <f aca="false">IF($A93="",0,SUMIFS(tblAuftraege[Ausgaben],tblAuftraege[Datum Ausgaben],"&gt;="&amp;H$5,tblAuftraege[Datum Ausgaben],"&lt;"&amp;EDATE(H$5,1),tblAuftraege[Auftrag],$A93))</f>
        <v>0</v>
      </c>
      <c r="I93" s="11" t="n">
        <f aca="false">IF($A93="",0,SUMIFS(tblAuftraege[Ausgaben],tblAuftraege[Datum Ausgaben],"&gt;="&amp;I$5,tblAuftraege[Datum Ausgaben],"&lt;"&amp;EDATE(I$5,1),tblAuftraege[Auftrag],$A93))</f>
        <v>0</v>
      </c>
      <c r="J93" s="11" t="n">
        <f aca="false">IF($A93="",0,SUMIFS(tblAuftraege[Ausgaben],tblAuftraege[Datum Ausgaben],"&gt;="&amp;J$5,tblAuftraege[Datum Ausgaben],"&lt;"&amp;EDATE(J$5,1),tblAuftraege[Auftrag],$A93))</f>
        <v>0</v>
      </c>
      <c r="K93" s="11" t="n">
        <f aca="false">IF($A93="",0,SUMIFS(tblAuftraege[Ausgaben],tblAuftraege[Datum Ausgaben],"&gt;="&amp;K$5,tblAuftraege[Datum Ausgaben],"&lt;"&amp;EDATE(K$5,1),tblAuftraege[Auftrag],$A93))</f>
        <v>0</v>
      </c>
      <c r="L93" s="11" t="n">
        <f aca="false">IF($A93="",0,SUMIFS(tblAuftraege[Ausgaben],tblAuftraege[Datum Ausgaben],"&gt;="&amp;L$5,tblAuftraege[Datum Ausgaben],"&lt;"&amp;EDATE(L$5,1),tblAuftraege[Auftrag],$A93))</f>
        <v>0</v>
      </c>
      <c r="M93" s="11" t="n">
        <f aca="false">IF($A93="",0,SUMIFS(tblAuftraege[Ausgaben],tblAuftraege[Datum Ausgaben],"&gt;="&amp;M$5,tblAuftraege[Datum Ausgaben],"&lt;"&amp;EDATE(M$5,1),tblAuftraege[Auftrag],$A93))</f>
        <v>0</v>
      </c>
      <c r="N93" s="11" t="n">
        <f aca="false">IF($A93="",0,SUMIFS(tblAuftraege[Ausgaben],tblAuftraege[Datum Ausgaben],"&gt;="&amp;N$5,tblAuftraege[Datum Ausgaben],"&lt;"&amp;EDATE(N$5,1),tblAuftraege[Auftrag],$A93))</f>
        <v>0</v>
      </c>
      <c r="O93" s="11" t="n">
        <f aca="false">IF($A93="",0,SUMIFS(tblAuftraege[Ausgaben],tblAuftraege[Datum Ausgaben],"&gt;="&amp;O$5,tblAuftraege[Datum Ausgaben],"&lt;"&amp;EDATE(O$5,1),tblAuftraege[Auftrag],$A93))</f>
        <v>0</v>
      </c>
      <c r="P93" s="11" t="n">
        <f aca="false">IF($A93="",0,SUMIFS(tblAuftraege[Ausgaben],tblAuftraege[Datum Ausgaben],"&gt;="&amp;P$5,tblAuftraege[Datum Ausgaben],"&lt;"&amp;EDATE(P$5,1),tblAuftraege[Auftrag],$A93))</f>
        <v>0</v>
      </c>
      <c r="Q93" s="11" t="n">
        <f aca="false">IF($A93="",0,SUMIFS(tblAuftraege[Ausgaben],tblAuftraege[Datum Ausgaben],"&gt;="&amp;Q$5,tblAuftraege[Datum Ausgaben],"&lt;"&amp;EDATE(Q$5,1),tblAuftraege[Auftrag],$A93))</f>
        <v>0</v>
      </c>
      <c r="R93" s="11" t="n">
        <f aca="false">IF($A93="",0,SUMIFS(tblAuftraege[Ausgaben],tblAuftraege[Datum Ausgaben],"&gt;="&amp;R$5,tblAuftraege[Datum Ausgaben],"&lt;"&amp;EDATE(R$5,1),tblAuftraege[Auftrag],$A93))</f>
        <v>0</v>
      </c>
      <c r="S93" s="11" t="n">
        <f aca="false">IF($A93="",0,SUMIFS(tblAuftraege[Ausgaben],tblAuftraege[Datum Ausgaben],"&gt;="&amp;S$5,tblAuftraege[Datum Ausgaben],"&lt;"&amp;EDATE(S$5,1),tblAuftraege[Auftrag],$A93))</f>
        <v>0</v>
      </c>
      <c r="T93" s="11" t="n">
        <f aca="false">IF($A93="",0,SUMIFS(tblAuftraege[Ausgaben],tblAuftraege[Datum Ausgaben],"&gt;="&amp;T$5,tblAuftraege[Datum Ausgaben],"&lt;"&amp;EDATE(T$5,1),tblAuftraege[Auftrag],$A93))</f>
        <v>0</v>
      </c>
      <c r="U93" s="11" t="n">
        <f aca="false">IF($A93="",0,SUMIFS(tblAuftraege[Ausgaben],tblAuftraege[Datum Ausgaben],"&gt;="&amp;U$5,tblAuftraege[Datum Ausgaben],"&lt;"&amp;EDATE(U$5,1),tblAuftraege[Auftrag],$A93))</f>
        <v>0</v>
      </c>
      <c r="V93" s="11" t="n">
        <f aca="false">IF($A93="",0,SUMIFS(tblAuftraege[Ausgaben],tblAuftraege[Datum Ausgaben],"&gt;="&amp;V$5,tblAuftraege[Datum Ausgaben],"&lt;"&amp;EDATE(V$5,1),tblAuftraege[Auftrag],$A93))</f>
        <v>0</v>
      </c>
      <c r="W93" s="11" t="n">
        <f aca="false">IF($A93="",0,SUMIFS(tblAuftraege[Ausgaben],tblAuftraege[Datum Ausgaben],"&gt;="&amp;W$5,tblAuftraege[Datum Ausgaben],"&lt;"&amp;EDATE(W$5,1),tblAuftraege[Auftrag],$A93))</f>
        <v>0</v>
      </c>
      <c r="X93" s="11" t="n">
        <f aca="false">IF($A93="",0,SUMIFS(tblAuftraege[Ausgaben],tblAuftraege[Datum Ausgaben],"&gt;="&amp;X$5,tblAuftraege[Datum Ausgaben],"&lt;"&amp;EDATE(X$5,1),tblAuftraege[Auftrag],$A93))</f>
        <v>0</v>
      </c>
      <c r="Y93" s="11" t="n">
        <f aca="false">IF($A93="",0,SUMIFS(tblAuftraege[Ausgaben],tblAuftraege[Datum Ausgaben],"&gt;="&amp;Y$5,tblAuftraege[Datum Ausgaben],"&lt;"&amp;EDATE(Y$5,1),tblAuftraege[Auftrag],$A93))</f>
        <v>0</v>
      </c>
      <c r="Z93" s="11" t="n">
        <f aca="false">IF($A93="",0,SUMIFS(tblAuftraege[Ausgaben],tblAuftraege[Datum Ausgaben],"&gt;="&amp;Z$5,tblAuftraege[Datum Ausgaben],"&lt;"&amp;EDATE(Z$5,1),tblAuftraege[Auftrag],$A93))</f>
        <v>0</v>
      </c>
      <c r="AA93" s="11" t="n">
        <f aca="false">IF($A93="",0,SUMIFS(tblAuftraege[Ausgaben],tblAuftraege[Datum Ausgaben],"&gt;="&amp;AA$5,tblAuftraege[Datum Ausgaben],"&lt;"&amp;EDATE(AA$5,1),tblAuftraege[Auftrag],$A93))</f>
        <v>0</v>
      </c>
      <c r="AB93" s="11" t="n">
        <f aca="false">IF($A93="",0,SUMIFS(tblAuftraege[Ausgaben],tblAuftraege[Datum Ausgaben],"&gt;="&amp;AB$5,tblAuftraege[Datum Ausgaben],"&lt;"&amp;EDATE(AB$5,1),tblAuftraege[Auftrag],$A93))</f>
        <v>0</v>
      </c>
      <c r="AC93" s="11" t="n">
        <f aca="false">IF($A93="",0,SUMIFS(tblAuftraege[Ausgaben],tblAuftraege[Datum Ausgaben],"&gt;="&amp;AC$5,tblAuftraege[Datum Ausgaben],"&lt;"&amp;EDATE(AC$5,1),tblAuftraege[Auftrag],$A93))</f>
        <v>0</v>
      </c>
      <c r="AD93" s="11" t="n">
        <f aca="false">IF($A93="",0,SUMIFS(tblAuftraege[Ausgaben],tblAuftraege[Datum Ausgaben],"&gt;="&amp;AD$5,tblAuftraege[Datum Ausgaben],"&lt;"&amp;EDATE(AD$5,1),tblAuftraege[Auftrag],$A93))</f>
        <v>0</v>
      </c>
      <c r="AE93" s="11" t="n">
        <f aca="false">IF($A93="",0,SUMIFS(tblAuftraege[Ausgaben],tblAuftraege[Datum Ausgaben],"&gt;="&amp;AE$5,tblAuftraege[Datum Ausgaben],"&lt;"&amp;EDATE(AE$5,1),tblAuftraege[Auftrag],$A93))</f>
        <v>0</v>
      </c>
      <c r="AF93" s="11" t="n">
        <f aca="false">IF($A93="",0,SUMIFS(tblAuftraege[Ausgaben],tblAuftraege[Datum Ausgaben],"&gt;="&amp;AF$5,tblAuftraege[Datum Ausgaben],"&lt;"&amp;EDATE(AF$5,1),tblAuftraege[Auftrag],$A93))</f>
        <v>0</v>
      </c>
      <c r="AG93" s="11" t="n">
        <f aca="false">IF($A93="",0,SUMIFS(tblAuftraege[Ausgaben],tblAuftraege[Datum Ausgaben],"&gt;="&amp;AG$5,tblAuftraege[Datum Ausgaben],"&lt;"&amp;EDATE(AG$5,1),tblAuftraege[Auftrag],$A93))</f>
        <v>0</v>
      </c>
      <c r="AH93" s="11" t="n">
        <f aca="false">IF($A93="",0,SUMIFS(tblAuftraege[Ausgaben],tblAuftraege[Datum Ausgaben],"&gt;="&amp;AH$5,tblAuftraege[Datum Ausgaben],"&lt;"&amp;EDATE(AH$5,1),tblAuftraege[Auftrag],$A93))</f>
        <v>0</v>
      </c>
      <c r="AI93" s="11" t="n">
        <f aca="false">IF($A93="",0,SUMIFS(tblAuftraege[Ausgaben],tblAuftraege[Datum Ausgaben],"&gt;="&amp;AI$5,tblAuftraege[Datum Ausgaben],"&lt;"&amp;EDATE(AI$5,1),tblAuftraege[Auftrag],$A93))</f>
        <v>0</v>
      </c>
      <c r="AJ93" s="11" t="n">
        <f aca="false">IF($A93="",0,SUMIFS(tblAuftraege[Ausgaben],tblAuftraege[Datum Ausgaben],"&gt;="&amp;AJ$5,tblAuftraege[Datum Ausgaben],"&lt;"&amp;EDATE(AJ$5,1),tblAuftraege[Auftrag],$A93))</f>
        <v>0</v>
      </c>
      <c r="AK93" s="11" t="n">
        <f aca="false">IF($A93="",0,SUMIFS(tblAuftraege[Ausgaben],tblAuftraege[Datum Ausgaben],"&gt;="&amp;AK$5,tblAuftraege[Datum Ausgaben],"&lt;"&amp;EDATE(AK$5,1),tblAuftraege[Auftrag],$A93))</f>
        <v>0</v>
      </c>
      <c r="AL93" s="11" t="n">
        <f aca="false">IF($A93="",0,SUMIFS(tblAuftraege[Ausgaben],tblAuftraege[Datum Ausgaben],"&gt;="&amp;AL$5,tblAuftraege[Datum Ausgaben],"&lt;"&amp;EDATE(AL$5,1),tblAuftraege[Auftrag],$A93))</f>
        <v>0</v>
      </c>
      <c r="AM93" s="11" t="n">
        <f aca="false">IF($A93="",0,SUMIFS(tblAuftraege[Ausgaben],tblAuftraege[Datum Ausgaben],"&gt;="&amp;AM$5,tblAuftraege[Datum Ausgaben],"&lt;"&amp;EDATE(AM$5,1),tblAuftraege[Auftrag],$A93))</f>
        <v>0</v>
      </c>
      <c r="AN93" s="11" t="n">
        <f aca="false">IF($A93="",0,SUMIFS(tblAuftraege[Ausgaben],tblAuftraege[Datum Ausgaben],"&gt;="&amp;AN$5,tblAuftraege[Datum Ausgaben],"&lt;"&amp;EDATE(AN$5,1),tblAuftraege[Auftrag],$A93))</f>
        <v>0</v>
      </c>
      <c r="AO93" s="11" t="n">
        <f aca="false">IF($A93="",0,SUMIFS(tblAuftraege[Ausgaben],tblAuftraege[Datum Ausgaben],"&gt;="&amp;AO$5,tblAuftraege[Datum Ausgaben],"&lt;"&amp;EDATE(AO$5,1),tblAuftraege[Auftrag],$A93))</f>
        <v>0</v>
      </c>
      <c r="AP93" s="11" t="n">
        <f aca="false">IF($A93="",0,SUMIFS(tblAuftraege[Ausgaben],tblAuftraege[Datum Ausgaben],"&gt;="&amp;AP$5,tblAuftraege[Datum Ausgaben],"&lt;"&amp;EDATE(AP$5,1),tblAuftraege[Auftrag],$A93))</f>
        <v>0</v>
      </c>
      <c r="AQ93" s="11" t="n">
        <f aca="false">IF($A93="",0,SUMIFS(tblAuftraege[Ausgaben],tblAuftraege[Datum Ausgaben],"&gt;="&amp;AQ$5,tblAuftraege[Datum Ausgaben],"&lt;"&amp;EDATE(AQ$5,1),tblAuftraege[Auftrag],$A93))</f>
        <v>0</v>
      </c>
      <c r="AR93" s="11" t="n">
        <f aca="false">IF($A93="",0,SUMIFS(tblAuftraege[Ausgaben],tblAuftraege[Datum Ausgaben],"&gt;="&amp;AR$5,tblAuftraege[Datum Ausgaben],"&lt;"&amp;EDATE(AR$5,1),tblAuftraege[Auftrag],$A93))</f>
        <v>0</v>
      </c>
      <c r="AS93" s="11" t="n">
        <f aca="false">IF($A93="",0,SUMIFS(tblAuftraege[Ausgaben],tblAuftraege[Datum Ausgaben],"&gt;="&amp;AS$5,tblAuftraege[Datum Ausgaben],"&lt;"&amp;EDATE(AS$5,1),tblAuftraege[Auftrag],$A93))</f>
        <v>0</v>
      </c>
      <c r="AT93" s="11" t="n">
        <f aca="false">IF($A93="",0,SUMIFS(tblAuftraege[Ausgaben],tblAuftraege[Datum Ausgaben],"&gt;="&amp;AT$5,tblAuftraege[Datum Ausgaben],"&lt;"&amp;EDATE(AT$5,1),tblAuftraege[Auftrag],$A93))</f>
        <v>0</v>
      </c>
      <c r="AU93" s="11" t="n">
        <f aca="false">IF($A93="",0,SUMIFS(tblAuftraege[Ausgaben],tblAuftraege[Datum Ausgaben],"&gt;="&amp;AU$5,tblAuftraege[Datum Ausgaben],"&lt;"&amp;EDATE(AU$5,1),tblAuftraege[Auftrag],$A93))</f>
        <v>0</v>
      </c>
      <c r="AV93" s="11" t="n">
        <f aca="false">IF($A93="",0,SUMIFS(tblAuftraege[Ausgaben],tblAuftraege[Datum Ausgaben],"&gt;="&amp;AV$5,tblAuftraege[Datum Ausgaben],"&lt;"&amp;EDATE(AV$5,1),tblAuftraege[Auftrag],$A93))</f>
        <v>0</v>
      </c>
      <c r="AW93" s="11" t="n">
        <f aca="false">IF($A93="",0,SUMIFS(tblAuftraege[Ausgaben],tblAuftraege[Datum Ausgaben],"&gt;="&amp;AW$5,tblAuftraege[Datum Ausgaben],"&lt;"&amp;EDATE(AW$5,1),tblAuftraege[Auftrag],$A93))</f>
        <v>0</v>
      </c>
      <c r="AX93" s="11" t="n">
        <f aca="false">IF($A93="",0,SUMIFS(tblAuftraege[Ausgaben],tblAuftraege[Datum Ausgaben],"&gt;="&amp;AX$5,tblAuftraege[Datum Ausgaben],"&lt;"&amp;EDATE(AX$5,1),tblAuftraege[Auftrag],$A93))</f>
        <v>0</v>
      </c>
      <c r="AY93" s="11" t="n">
        <f aca="false">IF($A93="",0,SUMIFS(tblAuftraege[Ausgaben],tblAuftraege[Datum Ausgaben],"&gt;="&amp;AY$5,tblAuftraege[Datum Ausgaben],"&lt;"&amp;EDATE(AY$5,1),tblAuftraege[Auftrag],$A93))</f>
        <v>0</v>
      </c>
      <c r="AZ93" s="11" t="n">
        <f aca="false">IF($A93="",0,SUMIFS(tblAuftraege[Ausgaben],tblAuftraege[Datum Ausgaben],"&gt;="&amp;AZ$5,tblAuftraege[Datum Ausgaben],"&lt;"&amp;EDATE(AZ$5,1),tblAuftraege[Auftrag],$A93))</f>
        <v>0</v>
      </c>
      <c r="BA93" s="11" t="n">
        <f aca="false">IF($A93="",0,SUMIFS(tblAuftraege[Ausgaben],tblAuftraege[Datum Ausgaben],"&gt;="&amp;BA$5,tblAuftraege[Datum Ausgaben],"&lt;"&amp;EDATE(BA$5,1),tblAuftraege[Auftrag],$A93))</f>
        <v>0</v>
      </c>
      <c r="BB93" s="11" t="n">
        <f aca="false">IF($A93="",0,SUMIFS(tblAuftraege[Ausgaben],tblAuftraege[Datum Ausgaben],"&gt;="&amp;BB$5,tblAuftraege[Datum Ausgaben],"&lt;"&amp;EDATE(BB$5,1),tblAuftraege[Auftrag],$A93))</f>
        <v>0</v>
      </c>
      <c r="BC93" s="11" t="n">
        <f aca="false">IF($A93="",0,SUMIFS(tblAuftraege[Ausgaben],tblAuftraege[Datum Ausgaben],"&gt;="&amp;BC$5,tblAuftraege[Datum Ausgaben],"&lt;"&amp;EDATE(BC$5,1),tblAuftraege[Auftrag],$A93))</f>
        <v>0</v>
      </c>
      <c r="BD93" s="11" t="n">
        <f aca="false">IF($A93="",0,SUMIFS(tblAuftraege[Ausgaben],tblAuftraege[Datum Ausgaben],"&gt;="&amp;BD$5,tblAuftraege[Datum Ausgaben],"&lt;"&amp;EDATE(BD$5,1),tblAuftraege[Auftrag],$A93))</f>
        <v>0</v>
      </c>
      <c r="BE93" s="11" t="n">
        <f aca="false">IF($A93="",0,SUMIFS(tblAuftraege[Ausgaben],tblAuftraege[Datum Ausgaben],"&gt;="&amp;BE$5,tblAuftraege[Datum Ausgaben],"&lt;"&amp;EDATE(BE$5,1),tblAuftraege[Auftrag],$A93))</f>
        <v>0</v>
      </c>
      <c r="BF93" s="11" t="n">
        <f aca="false">IF($A93="",0,SUMIFS(tblAuftraege[Ausgaben],tblAuftraege[Datum Ausgaben],"&gt;="&amp;BF$5,tblAuftraege[Datum Ausgaben],"&lt;"&amp;EDATE(BF$5,1),tblAuftraege[Auftrag],$A93))</f>
        <v>0</v>
      </c>
      <c r="BG93" s="11" t="n">
        <f aca="false">SUM(E93:J93)</f>
        <v>0</v>
      </c>
      <c r="BH93" s="11" t="n">
        <f aca="false">SUM(K93:V93)</f>
        <v>0</v>
      </c>
      <c r="BI93" s="11" t="n">
        <f aca="false">SUM(W93:AH93)</f>
        <v>0</v>
      </c>
      <c r="BJ93" s="11" t="n">
        <f aca="false">SUM(AI93:AT93)</f>
        <v>0</v>
      </c>
      <c r="BK93" s="11" t="n">
        <f aca="false">SUM(AU93:BF93)</f>
        <v>0</v>
      </c>
      <c r="BL93" s="12" t="n">
        <f aca="false">SUM(E93:BF93)</f>
        <v>0</v>
      </c>
    </row>
    <row r="94" customFormat="false" ht="15" hidden="false" customHeight="false" outlineLevel="0" collapsed="false">
      <c r="A94" s="9"/>
      <c r="B94" s="10" t="str">
        <f aca="false">IF($A94="","",IFERROR(INDEX(tblAuftraege[Kostenstelle],MATCH($A94,tblAuftraege[Auftrag],0)),""))</f>
        <v/>
      </c>
      <c r="C94" s="10" t="str">
        <f aca="false">IF($A94="","",IFERROR(INDEX(tblAuftraege[Themenfeld],MATCH($A94,tblAuftraege[Auftrag],0)),""))</f>
        <v/>
      </c>
      <c r="D94" s="10" t="str">
        <f aca="false">IF($A94="","",IFERROR(INDEX(tblAuftraege[Kategorie],MATCH($A94,tblAuftraege[Auftrag],0)),""))</f>
        <v/>
      </c>
      <c r="E94" s="11" t="n">
        <f aca="false">IF($A94="",0,SUMIFS(tblAuftraege[Ausgaben],tblAuftraege[Datum Ausgaben],"&gt;="&amp;E$5,tblAuftraege[Datum Ausgaben],"&lt;"&amp;EDATE(E$5,1),tblAuftraege[Auftrag],$A94))</f>
        <v>0</v>
      </c>
      <c r="F94" s="11" t="n">
        <f aca="false">IF($A94="",0,SUMIFS(tblAuftraege[Ausgaben],tblAuftraege[Datum Ausgaben],"&gt;="&amp;F$5,tblAuftraege[Datum Ausgaben],"&lt;"&amp;EDATE(F$5,1),tblAuftraege[Auftrag],$A94))</f>
        <v>0</v>
      </c>
      <c r="G94" s="11" t="n">
        <f aca="false">IF($A94="",0,SUMIFS(tblAuftraege[Ausgaben],tblAuftraege[Datum Ausgaben],"&gt;="&amp;G$5,tblAuftraege[Datum Ausgaben],"&lt;"&amp;EDATE(G$5,1),tblAuftraege[Auftrag],$A94))</f>
        <v>0</v>
      </c>
      <c r="H94" s="11" t="n">
        <f aca="false">IF($A94="",0,SUMIFS(tblAuftraege[Ausgaben],tblAuftraege[Datum Ausgaben],"&gt;="&amp;H$5,tblAuftraege[Datum Ausgaben],"&lt;"&amp;EDATE(H$5,1),tblAuftraege[Auftrag],$A94))</f>
        <v>0</v>
      </c>
      <c r="I94" s="11" t="n">
        <f aca="false">IF($A94="",0,SUMIFS(tblAuftraege[Ausgaben],tblAuftraege[Datum Ausgaben],"&gt;="&amp;I$5,tblAuftraege[Datum Ausgaben],"&lt;"&amp;EDATE(I$5,1),tblAuftraege[Auftrag],$A94))</f>
        <v>0</v>
      </c>
      <c r="J94" s="11" t="n">
        <f aca="false">IF($A94="",0,SUMIFS(tblAuftraege[Ausgaben],tblAuftraege[Datum Ausgaben],"&gt;="&amp;J$5,tblAuftraege[Datum Ausgaben],"&lt;"&amp;EDATE(J$5,1),tblAuftraege[Auftrag],$A94))</f>
        <v>0</v>
      </c>
      <c r="K94" s="11" t="n">
        <f aca="false">IF($A94="",0,SUMIFS(tblAuftraege[Ausgaben],tblAuftraege[Datum Ausgaben],"&gt;="&amp;K$5,tblAuftraege[Datum Ausgaben],"&lt;"&amp;EDATE(K$5,1),tblAuftraege[Auftrag],$A94))</f>
        <v>0</v>
      </c>
      <c r="L94" s="11" t="n">
        <f aca="false">IF($A94="",0,SUMIFS(tblAuftraege[Ausgaben],tblAuftraege[Datum Ausgaben],"&gt;="&amp;L$5,tblAuftraege[Datum Ausgaben],"&lt;"&amp;EDATE(L$5,1),tblAuftraege[Auftrag],$A94))</f>
        <v>0</v>
      </c>
      <c r="M94" s="11" t="n">
        <f aca="false">IF($A94="",0,SUMIFS(tblAuftraege[Ausgaben],tblAuftraege[Datum Ausgaben],"&gt;="&amp;M$5,tblAuftraege[Datum Ausgaben],"&lt;"&amp;EDATE(M$5,1),tblAuftraege[Auftrag],$A94))</f>
        <v>0</v>
      </c>
      <c r="N94" s="11" t="n">
        <f aca="false">IF($A94="",0,SUMIFS(tblAuftraege[Ausgaben],tblAuftraege[Datum Ausgaben],"&gt;="&amp;N$5,tblAuftraege[Datum Ausgaben],"&lt;"&amp;EDATE(N$5,1),tblAuftraege[Auftrag],$A94))</f>
        <v>0</v>
      </c>
      <c r="O94" s="11" t="n">
        <f aca="false">IF($A94="",0,SUMIFS(tblAuftraege[Ausgaben],tblAuftraege[Datum Ausgaben],"&gt;="&amp;O$5,tblAuftraege[Datum Ausgaben],"&lt;"&amp;EDATE(O$5,1),tblAuftraege[Auftrag],$A94))</f>
        <v>0</v>
      </c>
      <c r="P94" s="11" t="n">
        <f aca="false">IF($A94="",0,SUMIFS(tblAuftraege[Ausgaben],tblAuftraege[Datum Ausgaben],"&gt;="&amp;P$5,tblAuftraege[Datum Ausgaben],"&lt;"&amp;EDATE(P$5,1),tblAuftraege[Auftrag],$A94))</f>
        <v>0</v>
      </c>
      <c r="Q94" s="11" t="n">
        <f aca="false">IF($A94="",0,SUMIFS(tblAuftraege[Ausgaben],tblAuftraege[Datum Ausgaben],"&gt;="&amp;Q$5,tblAuftraege[Datum Ausgaben],"&lt;"&amp;EDATE(Q$5,1),tblAuftraege[Auftrag],$A94))</f>
        <v>0</v>
      </c>
      <c r="R94" s="11" t="n">
        <f aca="false">IF($A94="",0,SUMIFS(tblAuftraege[Ausgaben],tblAuftraege[Datum Ausgaben],"&gt;="&amp;R$5,tblAuftraege[Datum Ausgaben],"&lt;"&amp;EDATE(R$5,1),tblAuftraege[Auftrag],$A94))</f>
        <v>0</v>
      </c>
      <c r="S94" s="11" t="n">
        <f aca="false">IF($A94="",0,SUMIFS(tblAuftraege[Ausgaben],tblAuftraege[Datum Ausgaben],"&gt;="&amp;S$5,tblAuftraege[Datum Ausgaben],"&lt;"&amp;EDATE(S$5,1),tblAuftraege[Auftrag],$A94))</f>
        <v>0</v>
      </c>
      <c r="T94" s="11" t="n">
        <f aca="false">IF($A94="",0,SUMIFS(tblAuftraege[Ausgaben],tblAuftraege[Datum Ausgaben],"&gt;="&amp;T$5,tblAuftraege[Datum Ausgaben],"&lt;"&amp;EDATE(T$5,1),tblAuftraege[Auftrag],$A94))</f>
        <v>0</v>
      </c>
      <c r="U94" s="11" t="n">
        <f aca="false">IF($A94="",0,SUMIFS(tblAuftraege[Ausgaben],tblAuftraege[Datum Ausgaben],"&gt;="&amp;U$5,tblAuftraege[Datum Ausgaben],"&lt;"&amp;EDATE(U$5,1),tblAuftraege[Auftrag],$A94))</f>
        <v>0</v>
      </c>
      <c r="V94" s="11" t="n">
        <f aca="false">IF($A94="",0,SUMIFS(tblAuftraege[Ausgaben],tblAuftraege[Datum Ausgaben],"&gt;="&amp;V$5,tblAuftraege[Datum Ausgaben],"&lt;"&amp;EDATE(V$5,1),tblAuftraege[Auftrag],$A94))</f>
        <v>0</v>
      </c>
      <c r="W94" s="11" t="n">
        <f aca="false">IF($A94="",0,SUMIFS(tblAuftraege[Ausgaben],tblAuftraege[Datum Ausgaben],"&gt;="&amp;W$5,tblAuftraege[Datum Ausgaben],"&lt;"&amp;EDATE(W$5,1),tblAuftraege[Auftrag],$A94))</f>
        <v>0</v>
      </c>
      <c r="X94" s="11" t="n">
        <f aca="false">IF($A94="",0,SUMIFS(tblAuftraege[Ausgaben],tblAuftraege[Datum Ausgaben],"&gt;="&amp;X$5,tblAuftraege[Datum Ausgaben],"&lt;"&amp;EDATE(X$5,1),tblAuftraege[Auftrag],$A94))</f>
        <v>0</v>
      </c>
      <c r="Y94" s="11" t="n">
        <f aca="false">IF($A94="",0,SUMIFS(tblAuftraege[Ausgaben],tblAuftraege[Datum Ausgaben],"&gt;="&amp;Y$5,tblAuftraege[Datum Ausgaben],"&lt;"&amp;EDATE(Y$5,1),tblAuftraege[Auftrag],$A94))</f>
        <v>0</v>
      </c>
      <c r="Z94" s="11" t="n">
        <f aca="false">IF($A94="",0,SUMIFS(tblAuftraege[Ausgaben],tblAuftraege[Datum Ausgaben],"&gt;="&amp;Z$5,tblAuftraege[Datum Ausgaben],"&lt;"&amp;EDATE(Z$5,1),tblAuftraege[Auftrag],$A94))</f>
        <v>0</v>
      </c>
      <c r="AA94" s="11" t="n">
        <f aca="false">IF($A94="",0,SUMIFS(tblAuftraege[Ausgaben],tblAuftraege[Datum Ausgaben],"&gt;="&amp;AA$5,tblAuftraege[Datum Ausgaben],"&lt;"&amp;EDATE(AA$5,1),tblAuftraege[Auftrag],$A94))</f>
        <v>0</v>
      </c>
      <c r="AB94" s="11" t="n">
        <f aca="false">IF($A94="",0,SUMIFS(tblAuftraege[Ausgaben],tblAuftraege[Datum Ausgaben],"&gt;="&amp;AB$5,tblAuftraege[Datum Ausgaben],"&lt;"&amp;EDATE(AB$5,1),tblAuftraege[Auftrag],$A94))</f>
        <v>0</v>
      </c>
      <c r="AC94" s="11" t="n">
        <f aca="false">IF($A94="",0,SUMIFS(tblAuftraege[Ausgaben],tblAuftraege[Datum Ausgaben],"&gt;="&amp;AC$5,tblAuftraege[Datum Ausgaben],"&lt;"&amp;EDATE(AC$5,1),tblAuftraege[Auftrag],$A94))</f>
        <v>0</v>
      </c>
      <c r="AD94" s="11" t="n">
        <f aca="false">IF($A94="",0,SUMIFS(tblAuftraege[Ausgaben],tblAuftraege[Datum Ausgaben],"&gt;="&amp;AD$5,tblAuftraege[Datum Ausgaben],"&lt;"&amp;EDATE(AD$5,1),tblAuftraege[Auftrag],$A94))</f>
        <v>0</v>
      </c>
      <c r="AE94" s="11" t="n">
        <f aca="false">IF($A94="",0,SUMIFS(tblAuftraege[Ausgaben],tblAuftraege[Datum Ausgaben],"&gt;="&amp;AE$5,tblAuftraege[Datum Ausgaben],"&lt;"&amp;EDATE(AE$5,1),tblAuftraege[Auftrag],$A94))</f>
        <v>0</v>
      </c>
      <c r="AF94" s="11" t="n">
        <f aca="false">IF($A94="",0,SUMIFS(tblAuftraege[Ausgaben],tblAuftraege[Datum Ausgaben],"&gt;="&amp;AF$5,tblAuftraege[Datum Ausgaben],"&lt;"&amp;EDATE(AF$5,1),tblAuftraege[Auftrag],$A94))</f>
        <v>0</v>
      </c>
      <c r="AG94" s="11" t="n">
        <f aca="false">IF($A94="",0,SUMIFS(tblAuftraege[Ausgaben],tblAuftraege[Datum Ausgaben],"&gt;="&amp;AG$5,tblAuftraege[Datum Ausgaben],"&lt;"&amp;EDATE(AG$5,1),tblAuftraege[Auftrag],$A94))</f>
        <v>0</v>
      </c>
      <c r="AH94" s="11" t="n">
        <f aca="false">IF($A94="",0,SUMIFS(tblAuftraege[Ausgaben],tblAuftraege[Datum Ausgaben],"&gt;="&amp;AH$5,tblAuftraege[Datum Ausgaben],"&lt;"&amp;EDATE(AH$5,1),tblAuftraege[Auftrag],$A94))</f>
        <v>0</v>
      </c>
      <c r="AI94" s="11" t="n">
        <f aca="false">IF($A94="",0,SUMIFS(tblAuftraege[Ausgaben],tblAuftraege[Datum Ausgaben],"&gt;="&amp;AI$5,tblAuftraege[Datum Ausgaben],"&lt;"&amp;EDATE(AI$5,1),tblAuftraege[Auftrag],$A94))</f>
        <v>0</v>
      </c>
      <c r="AJ94" s="11" t="n">
        <f aca="false">IF($A94="",0,SUMIFS(tblAuftraege[Ausgaben],tblAuftraege[Datum Ausgaben],"&gt;="&amp;AJ$5,tblAuftraege[Datum Ausgaben],"&lt;"&amp;EDATE(AJ$5,1),tblAuftraege[Auftrag],$A94))</f>
        <v>0</v>
      </c>
      <c r="AK94" s="11" t="n">
        <f aca="false">IF($A94="",0,SUMIFS(tblAuftraege[Ausgaben],tblAuftraege[Datum Ausgaben],"&gt;="&amp;AK$5,tblAuftraege[Datum Ausgaben],"&lt;"&amp;EDATE(AK$5,1),tblAuftraege[Auftrag],$A94))</f>
        <v>0</v>
      </c>
      <c r="AL94" s="11" t="n">
        <f aca="false">IF($A94="",0,SUMIFS(tblAuftraege[Ausgaben],tblAuftraege[Datum Ausgaben],"&gt;="&amp;AL$5,tblAuftraege[Datum Ausgaben],"&lt;"&amp;EDATE(AL$5,1),tblAuftraege[Auftrag],$A94))</f>
        <v>0</v>
      </c>
      <c r="AM94" s="11" t="n">
        <f aca="false">IF($A94="",0,SUMIFS(tblAuftraege[Ausgaben],tblAuftraege[Datum Ausgaben],"&gt;="&amp;AM$5,tblAuftraege[Datum Ausgaben],"&lt;"&amp;EDATE(AM$5,1),tblAuftraege[Auftrag],$A94))</f>
        <v>0</v>
      </c>
      <c r="AN94" s="11" t="n">
        <f aca="false">IF($A94="",0,SUMIFS(tblAuftraege[Ausgaben],tblAuftraege[Datum Ausgaben],"&gt;="&amp;AN$5,tblAuftraege[Datum Ausgaben],"&lt;"&amp;EDATE(AN$5,1),tblAuftraege[Auftrag],$A94))</f>
        <v>0</v>
      </c>
      <c r="AO94" s="11" t="n">
        <f aca="false">IF($A94="",0,SUMIFS(tblAuftraege[Ausgaben],tblAuftraege[Datum Ausgaben],"&gt;="&amp;AO$5,tblAuftraege[Datum Ausgaben],"&lt;"&amp;EDATE(AO$5,1),tblAuftraege[Auftrag],$A94))</f>
        <v>0</v>
      </c>
      <c r="AP94" s="11" t="n">
        <f aca="false">IF($A94="",0,SUMIFS(tblAuftraege[Ausgaben],tblAuftraege[Datum Ausgaben],"&gt;="&amp;AP$5,tblAuftraege[Datum Ausgaben],"&lt;"&amp;EDATE(AP$5,1),tblAuftraege[Auftrag],$A94))</f>
        <v>0</v>
      </c>
      <c r="AQ94" s="11" t="n">
        <f aca="false">IF($A94="",0,SUMIFS(tblAuftraege[Ausgaben],tblAuftraege[Datum Ausgaben],"&gt;="&amp;AQ$5,tblAuftraege[Datum Ausgaben],"&lt;"&amp;EDATE(AQ$5,1),tblAuftraege[Auftrag],$A94))</f>
        <v>0</v>
      </c>
      <c r="AR94" s="11" t="n">
        <f aca="false">IF($A94="",0,SUMIFS(tblAuftraege[Ausgaben],tblAuftraege[Datum Ausgaben],"&gt;="&amp;AR$5,tblAuftraege[Datum Ausgaben],"&lt;"&amp;EDATE(AR$5,1),tblAuftraege[Auftrag],$A94))</f>
        <v>0</v>
      </c>
      <c r="AS94" s="11" t="n">
        <f aca="false">IF($A94="",0,SUMIFS(tblAuftraege[Ausgaben],tblAuftraege[Datum Ausgaben],"&gt;="&amp;AS$5,tblAuftraege[Datum Ausgaben],"&lt;"&amp;EDATE(AS$5,1),tblAuftraege[Auftrag],$A94))</f>
        <v>0</v>
      </c>
      <c r="AT94" s="11" t="n">
        <f aca="false">IF($A94="",0,SUMIFS(tblAuftraege[Ausgaben],tblAuftraege[Datum Ausgaben],"&gt;="&amp;AT$5,tblAuftraege[Datum Ausgaben],"&lt;"&amp;EDATE(AT$5,1),tblAuftraege[Auftrag],$A94))</f>
        <v>0</v>
      </c>
      <c r="AU94" s="11" t="n">
        <f aca="false">IF($A94="",0,SUMIFS(tblAuftraege[Ausgaben],tblAuftraege[Datum Ausgaben],"&gt;="&amp;AU$5,tblAuftraege[Datum Ausgaben],"&lt;"&amp;EDATE(AU$5,1),tblAuftraege[Auftrag],$A94))</f>
        <v>0</v>
      </c>
      <c r="AV94" s="11" t="n">
        <f aca="false">IF($A94="",0,SUMIFS(tblAuftraege[Ausgaben],tblAuftraege[Datum Ausgaben],"&gt;="&amp;AV$5,tblAuftraege[Datum Ausgaben],"&lt;"&amp;EDATE(AV$5,1),tblAuftraege[Auftrag],$A94))</f>
        <v>0</v>
      </c>
      <c r="AW94" s="11" t="n">
        <f aca="false">IF($A94="",0,SUMIFS(tblAuftraege[Ausgaben],tblAuftraege[Datum Ausgaben],"&gt;="&amp;AW$5,tblAuftraege[Datum Ausgaben],"&lt;"&amp;EDATE(AW$5,1),tblAuftraege[Auftrag],$A94))</f>
        <v>0</v>
      </c>
      <c r="AX94" s="11" t="n">
        <f aca="false">IF($A94="",0,SUMIFS(tblAuftraege[Ausgaben],tblAuftraege[Datum Ausgaben],"&gt;="&amp;AX$5,tblAuftraege[Datum Ausgaben],"&lt;"&amp;EDATE(AX$5,1),tblAuftraege[Auftrag],$A94))</f>
        <v>0</v>
      </c>
      <c r="AY94" s="11" t="n">
        <f aca="false">IF($A94="",0,SUMIFS(tblAuftraege[Ausgaben],tblAuftraege[Datum Ausgaben],"&gt;="&amp;AY$5,tblAuftraege[Datum Ausgaben],"&lt;"&amp;EDATE(AY$5,1),tblAuftraege[Auftrag],$A94))</f>
        <v>0</v>
      </c>
      <c r="AZ94" s="11" t="n">
        <f aca="false">IF($A94="",0,SUMIFS(tblAuftraege[Ausgaben],tblAuftraege[Datum Ausgaben],"&gt;="&amp;AZ$5,tblAuftraege[Datum Ausgaben],"&lt;"&amp;EDATE(AZ$5,1),tblAuftraege[Auftrag],$A94))</f>
        <v>0</v>
      </c>
      <c r="BA94" s="11" t="n">
        <f aca="false">IF($A94="",0,SUMIFS(tblAuftraege[Ausgaben],tblAuftraege[Datum Ausgaben],"&gt;="&amp;BA$5,tblAuftraege[Datum Ausgaben],"&lt;"&amp;EDATE(BA$5,1),tblAuftraege[Auftrag],$A94))</f>
        <v>0</v>
      </c>
      <c r="BB94" s="11" t="n">
        <f aca="false">IF($A94="",0,SUMIFS(tblAuftraege[Ausgaben],tblAuftraege[Datum Ausgaben],"&gt;="&amp;BB$5,tblAuftraege[Datum Ausgaben],"&lt;"&amp;EDATE(BB$5,1),tblAuftraege[Auftrag],$A94))</f>
        <v>0</v>
      </c>
      <c r="BC94" s="11" t="n">
        <f aca="false">IF($A94="",0,SUMIFS(tblAuftraege[Ausgaben],tblAuftraege[Datum Ausgaben],"&gt;="&amp;BC$5,tblAuftraege[Datum Ausgaben],"&lt;"&amp;EDATE(BC$5,1),tblAuftraege[Auftrag],$A94))</f>
        <v>0</v>
      </c>
      <c r="BD94" s="11" t="n">
        <f aca="false">IF($A94="",0,SUMIFS(tblAuftraege[Ausgaben],tblAuftraege[Datum Ausgaben],"&gt;="&amp;BD$5,tblAuftraege[Datum Ausgaben],"&lt;"&amp;EDATE(BD$5,1),tblAuftraege[Auftrag],$A94))</f>
        <v>0</v>
      </c>
      <c r="BE94" s="11" t="n">
        <f aca="false">IF($A94="",0,SUMIFS(tblAuftraege[Ausgaben],tblAuftraege[Datum Ausgaben],"&gt;="&amp;BE$5,tblAuftraege[Datum Ausgaben],"&lt;"&amp;EDATE(BE$5,1),tblAuftraege[Auftrag],$A94))</f>
        <v>0</v>
      </c>
      <c r="BF94" s="11" t="n">
        <f aca="false">IF($A94="",0,SUMIFS(tblAuftraege[Ausgaben],tblAuftraege[Datum Ausgaben],"&gt;="&amp;BF$5,tblAuftraege[Datum Ausgaben],"&lt;"&amp;EDATE(BF$5,1),tblAuftraege[Auftrag],$A94))</f>
        <v>0</v>
      </c>
      <c r="BG94" s="11" t="n">
        <f aca="false">SUM(E94:J94)</f>
        <v>0</v>
      </c>
      <c r="BH94" s="11" t="n">
        <f aca="false">SUM(K94:V94)</f>
        <v>0</v>
      </c>
      <c r="BI94" s="11" t="n">
        <f aca="false">SUM(W94:AH94)</f>
        <v>0</v>
      </c>
      <c r="BJ94" s="11" t="n">
        <f aca="false">SUM(AI94:AT94)</f>
        <v>0</v>
      </c>
      <c r="BK94" s="11" t="n">
        <f aca="false">SUM(AU94:BF94)</f>
        <v>0</v>
      </c>
      <c r="BL94" s="12" t="n">
        <f aca="false">SUM(E94:BF94)</f>
        <v>0</v>
      </c>
    </row>
    <row r="95" customFormat="false" ht="15" hidden="false" customHeight="false" outlineLevel="0" collapsed="false">
      <c r="A95" s="9"/>
      <c r="B95" s="10" t="str">
        <f aca="false">IF($A95="","",IFERROR(INDEX(tblAuftraege[Kostenstelle],MATCH($A95,tblAuftraege[Auftrag],0)),""))</f>
        <v/>
      </c>
      <c r="C95" s="10" t="str">
        <f aca="false">IF($A95="","",IFERROR(INDEX(tblAuftraege[Themenfeld],MATCH($A95,tblAuftraege[Auftrag],0)),""))</f>
        <v/>
      </c>
      <c r="D95" s="10" t="str">
        <f aca="false">IF($A95="","",IFERROR(INDEX(tblAuftraege[Kategorie],MATCH($A95,tblAuftraege[Auftrag],0)),""))</f>
        <v/>
      </c>
      <c r="E95" s="11" t="n">
        <f aca="false">IF($A95="",0,SUMIFS(tblAuftraege[Ausgaben],tblAuftraege[Datum Ausgaben],"&gt;="&amp;E$5,tblAuftraege[Datum Ausgaben],"&lt;"&amp;EDATE(E$5,1),tblAuftraege[Auftrag],$A95))</f>
        <v>0</v>
      </c>
      <c r="F95" s="11" t="n">
        <f aca="false">IF($A95="",0,SUMIFS(tblAuftraege[Ausgaben],tblAuftraege[Datum Ausgaben],"&gt;="&amp;F$5,tblAuftraege[Datum Ausgaben],"&lt;"&amp;EDATE(F$5,1),tblAuftraege[Auftrag],$A95))</f>
        <v>0</v>
      </c>
      <c r="G95" s="11" t="n">
        <f aca="false">IF($A95="",0,SUMIFS(tblAuftraege[Ausgaben],tblAuftraege[Datum Ausgaben],"&gt;="&amp;G$5,tblAuftraege[Datum Ausgaben],"&lt;"&amp;EDATE(G$5,1),tblAuftraege[Auftrag],$A95))</f>
        <v>0</v>
      </c>
      <c r="H95" s="11" t="n">
        <f aca="false">IF($A95="",0,SUMIFS(tblAuftraege[Ausgaben],tblAuftraege[Datum Ausgaben],"&gt;="&amp;H$5,tblAuftraege[Datum Ausgaben],"&lt;"&amp;EDATE(H$5,1),tblAuftraege[Auftrag],$A95))</f>
        <v>0</v>
      </c>
      <c r="I95" s="11" t="n">
        <f aca="false">IF($A95="",0,SUMIFS(tblAuftraege[Ausgaben],tblAuftraege[Datum Ausgaben],"&gt;="&amp;I$5,tblAuftraege[Datum Ausgaben],"&lt;"&amp;EDATE(I$5,1),tblAuftraege[Auftrag],$A95))</f>
        <v>0</v>
      </c>
      <c r="J95" s="11" t="n">
        <f aca="false">IF($A95="",0,SUMIFS(tblAuftraege[Ausgaben],tblAuftraege[Datum Ausgaben],"&gt;="&amp;J$5,tblAuftraege[Datum Ausgaben],"&lt;"&amp;EDATE(J$5,1),tblAuftraege[Auftrag],$A95))</f>
        <v>0</v>
      </c>
      <c r="K95" s="11" t="n">
        <f aca="false">IF($A95="",0,SUMIFS(tblAuftraege[Ausgaben],tblAuftraege[Datum Ausgaben],"&gt;="&amp;K$5,tblAuftraege[Datum Ausgaben],"&lt;"&amp;EDATE(K$5,1),tblAuftraege[Auftrag],$A95))</f>
        <v>0</v>
      </c>
      <c r="L95" s="11" t="n">
        <f aca="false">IF($A95="",0,SUMIFS(tblAuftraege[Ausgaben],tblAuftraege[Datum Ausgaben],"&gt;="&amp;L$5,tblAuftraege[Datum Ausgaben],"&lt;"&amp;EDATE(L$5,1),tblAuftraege[Auftrag],$A95))</f>
        <v>0</v>
      </c>
      <c r="M95" s="11" t="n">
        <f aca="false">IF($A95="",0,SUMIFS(tblAuftraege[Ausgaben],tblAuftraege[Datum Ausgaben],"&gt;="&amp;M$5,tblAuftraege[Datum Ausgaben],"&lt;"&amp;EDATE(M$5,1),tblAuftraege[Auftrag],$A95))</f>
        <v>0</v>
      </c>
      <c r="N95" s="11" t="n">
        <f aca="false">IF($A95="",0,SUMIFS(tblAuftraege[Ausgaben],tblAuftraege[Datum Ausgaben],"&gt;="&amp;N$5,tblAuftraege[Datum Ausgaben],"&lt;"&amp;EDATE(N$5,1),tblAuftraege[Auftrag],$A95))</f>
        <v>0</v>
      </c>
      <c r="O95" s="11" t="n">
        <f aca="false">IF($A95="",0,SUMIFS(tblAuftraege[Ausgaben],tblAuftraege[Datum Ausgaben],"&gt;="&amp;O$5,tblAuftraege[Datum Ausgaben],"&lt;"&amp;EDATE(O$5,1),tblAuftraege[Auftrag],$A95))</f>
        <v>0</v>
      </c>
      <c r="P95" s="11" t="n">
        <f aca="false">IF($A95="",0,SUMIFS(tblAuftraege[Ausgaben],tblAuftraege[Datum Ausgaben],"&gt;="&amp;P$5,tblAuftraege[Datum Ausgaben],"&lt;"&amp;EDATE(P$5,1),tblAuftraege[Auftrag],$A95))</f>
        <v>0</v>
      </c>
      <c r="Q95" s="11" t="n">
        <f aca="false">IF($A95="",0,SUMIFS(tblAuftraege[Ausgaben],tblAuftraege[Datum Ausgaben],"&gt;="&amp;Q$5,tblAuftraege[Datum Ausgaben],"&lt;"&amp;EDATE(Q$5,1),tblAuftraege[Auftrag],$A95))</f>
        <v>0</v>
      </c>
      <c r="R95" s="11" t="n">
        <f aca="false">IF($A95="",0,SUMIFS(tblAuftraege[Ausgaben],tblAuftraege[Datum Ausgaben],"&gt;="&amp;R$5,tblAuftraege[Datum Ausgaben],"&lt;"&amp;EDATE(R$5,1),tblAuftraege[Auftrag],$A95))</f>
        <v>0</v>
      </c>
      <c r="S95" s="11" t="n">
        <f aca="false">IF($A95="",0,SUMIFS(tblAuftraege[Ausgaben],tblAuftraege[Datum Ausgaben],"&gt;="&amp;S$5,tblAuftraege[Datum Ausgaben],"&lt;"&amp;EDATE(S$5,1),tblAuftraege[Auftrag],$A95))</f>
        <v>0</v>
      </c>
      <c r="T95" s="11" t="n">
        <f aca="false">IF($A95="",0,SUMIFS(tblAuftraege[Ausgaben],tblAuftraege[Datum Ausgaben],"&gt;="&amp;T$5,tblAuftraege[Datum Ausgaben],"&lt;"&amp;EDATE(T$5,1),tblAuftraege[Auftrag],$A95))</f>
        <v>0</v>
      </c>
      <c r="U95" s="11" t="n">
        <f aca="false">IF($A95="",0,SUMIFS(tblAuftraege[Ausgaben],tblAuftraege[Datum Ausgaben],"&gt;="&amp;U$5,tblAuftraege[Datum Ausgaben],"&lt;"&amp;EDATE(U$5,1),tblAuftraege[Auftrag],$A95))</f>
        <v>0</v>
      </c>
      <c r="V95" s="11" t="n">
        <f aca="false">IF($A95="",0,SUMIFS(tblAuftraege[Ausgaben],tblAuftraege[Datum Ausgaben],"&gt;="&amp;V$5,tblAuftraege[Datum Ausgaben],"&lt;"&amp;EDATE(V$5,1),tblAuftraege[Auftrag],$A95))</f>
        <v>0</v>
      </c>
      <c r="W95" s="11" t="n">
        <f aca="false">IF($A95="",0,SUMIFS(tblAuftraege[Ausgaben],tblAuftraege[Datum Ausgaben],"&gt;="&amp;W$5,tblAuftraege[Datum Ausgaben],"&lt;"&amp;EDATE(W$5,1),tblAuftraege[Auftrag],$A95))</f>
        <v>0</v>
      </c>
      <c r="X95" s="11" t="n">
        <f aca="false">IF($A95="",0,SUMIFS(tblAuftraege[Ausgaben],tblAuftraege[Datum Ausgaben],"&gt;="&amp;X$5,tblAuftraege[Datum Ausgaben],"&lt;"&amp;EDATE(X$5,1),tblAuftraege[Auftrag],$A95))</f>
        <v>0</v>
      </c>
      <c r="Y95" s="11" t="n">
        <f aca="false">IF($A95="",0,SUMIFS(tblAuftraege[Ausgaben],tblAuftraege[Datum Ausgaben],"&gt;="&amp;Y$5,tblAuftraege[Datum Ausgaben],"&lt;"&amp;EDATE(Y$5,1),tblAuftraege[Auftrag],$A95))</f>
        <v>0</v>
      </c>
      <c r="Z95" s="11" t="n">
        <f aca="false">IF($A95="",0,SUMIFS(tblAuftraege[Ausgaben],tblAuftraege[Datum Ausgaben],"&gt;="&amp;Z$5,tblAuftraege[Datum Ausgaben],"&lt;"&amp;EDATE(Z$5,1),tblAuftraege[Auftrag],$A95))</f>
        <v>0</v>
      </c>
      <c r="AA95" s="11" t="n">
        <f aca="false">IF($A95="",0,SUMIFS(tblAuftraege[Ausgaben],tblAuftraege[Datum Ausgaben],"&gt;="&amp;AA$5,tblAuftraege[Datum Ausgaben],"&lt;"&amp;EDATE(AA$5,1),tblAuftraege[Auftrag],$A95))</f>
        <v>0</v>
      </c>
      <c r="AB95" s="11" t="n">
        <f aca="false">IF($A95="",0,SUMIFS(tblAuftraege[Ausgaben],tblAuftraege[Datum Ausgaben],"&gt;="&amp;AB$5,tblAuftraege[Datum Ausgaben],"&lt;"&amp;EDATE(AB$5,1),tblAuftraege[Auftrag],$A95))</f>
        <v>0</v>
      </c>
      <c r="AC95" s="11" t="n">
        <f aca="false">IF($A95="",0,SUMIFS(tblAuftraege[Ausgaben],tblAuftraege[Datum Ausgaben],"&gt;="&amp;AC$5,tblAuftraege[Datum Ausgaben],"&lt;"&amp;EDATE(AC$5,1),tblAuftraege[Auftrag],$A95))</f>
        <v>0</v>
      </c>
      <c r="AD95" s="11" t="n">
        <f aca="false">IF($A95="",0,SUMIFS(tblAuftraege[Ausgaben],tblAuftraege[Datum Ausgaben],"&gt;="&amp;AD$5,tblAuftraege[Datum Ausgaben],"&lt;"&amp;EDATE(AD$5,1),tblAuftraege[Auftrag],$A95))</f>
        <v>0</v>
      </c>
      <c r="AE95" s="11" t="n">
        <f aca="false">IF($A95="",0,SUMIFS(tblAuftraege[Ausgaben],tblAuftraege[Datum Ausgaben],"&gt;="&amp;AE$5,tblAuftraege[Datum Ausgaben],"&lt;"&amp;EDATE(AE$5,1),tblAuftraege[Auftrag],$A95))</f>
        <v>0</v>
      </c>
      <c r="AF95" s="11" t="n">
        <f aca="false">IF($A95="",0,SUMIFS(tblAuftraege[Ausgaben],tblAuftraege[Datum Ausgaben],"&gt;="&amp;AF$5,tblAuftraege[Datum Ausgaben],"&lt;"&amp;EDATE(AF$5,1),tblAuftraege[Auftrag],$A95))</f>
        <v>0</v>
      </c>
      <c r="AG95" s="11" t="n">
        <f aca="false">IF($A95="",0,SUMIFS(tblAuftraege[Ausgaben],tblAuftraege[Datum Ausgaben],"&gt;="&amp;AG$5,tblAuftraege[Datum Ausgaben],"&lt;"&amp;EDATE(AG$5,1),tblAuftraege[Auftrag],$A95))</f>
        <v>0</v>
      </c>
      <c r="AH95" s="11" t="n">
        <f aca="false">IF($A95="",0,SUMIFS(tblAuftraege[Ausgaben],tblAuftraege[Datum Ausgaben],"&gt;="&amp;AH$5,tblAuftraege[Datum Ausgaben],"&lt;"&amp;EDATE(AH$5,1),tblAuftraege[Auftrag],$A95))</f>
        <v>0</v>
      </c>
      <c r="AI95" s="11" t="n">
        <f aca="false">IF($A95="",0,SUMIFS(tblAuftraege[Ausgaben],tblAuftraege[Datum Ausgaben],"&gt;="&amp;AI$5,tblAuftraege[Datum Ausgaben],"&lt;"&amp;EDATE(AI$5,1),tblAuftraege[Auftrag],$A95))</f>
        <v>0</v>
      </c>
      <c r="AJ95" s="11" t="n">
        <f aca="false">IF($A95="",0,SUMIFS(tblAuftraege[Ausgaben],tblAuftraege[Datum Ausgaben],"&gt;="&amp;AJ$5,tblAuftraege[Datum Ausgaben],"&lt;"&amp;EDATE(AJ$5,1),tblAuftraege[Auftrag],$A95))</f>
        <v>0</v>
      </c>
      <c r="AK95" s="11" t="n">
        <f aca="false">IF($A95="",0,SUMIFS(tblAuftraege[Ausgaben],tblAuftraege[Datum Ausgaben],"&gt;="&amp;AK$5,tblAuftraege[Datum Ausgaben],"&lt;"&amp;EDATE(AK$5,1),tblAuftraege[Auftrag],$A95))</f>
        <v>0</v>
      </c>
      <c r="AL95" s="11" t="n">
        <f aca="false">IF($A95="",0,SUMIFS(tblAuftraege[Ausgaben],tblAuftraege[Datum Ausgaben],"&gt;="&amp;AL$5,tblAuftraege[Datum Ausgaben],"&lt;"&amp;EDATE(AL$5,1),tblAuftraege[Auftrag],$A95))</f>
        <v>0</v>
      </c>
      <c r="AM95" s="11" t="n">
        <f aca="false">IF($A95="",0,SUMIFS(tblAuftraege[Ausgaben],tblAuftraege[Datum Ausgaben],"&gt;="&amp;AM$5,tblAuftraege[Datum Ausgaben],"&lt;"&amp;EDATE(AM$5,1),tblAuftraege[Auftrag],$A95))</f>
        <v>0</v>
      </c>
      <c r="AN95" s="11" t="n">
        <f aca="false">IF($A95="",0,SUMIFS(tblAuftraege[Ausgaben],tblAuftraege[Datum Ausgaben],"&gt;="&amp;AN$5,tblAuftraege[Datum Ausgaben],"&lt;"&amp;EDATE(AN$5,1),tblAuftraege[Auftrag],$A95))</f>
        <v>0</v>
      </c>
      <c r="AO95" s="11" t="n">
        <f aca="false">IF($A95="",0,SUMIFS(tblAuftraege[Ausgaben],tblAuftraege[Datum Ausgaben],"&gt;="&amp;AO$5,tblAuftraege[Datum Ausgaben],"&lt;"&amp;EDATE(AO$5,1),tblAuftraege[Auftrag],$A95))</f>
        <v>0</v>
      </c>
      <c r="AP95" s="11" t="n">
        <f aca="false">IF($A95="",0,SUMIFS(tblAuftraege[Ausgaben],tblAuftraege[Datum Ausgaben],"&gt;="&amp;AP$5,tblAuftraege[Datum Ausgaben],"&lt;"&amp;EDATE(AP$5,1),tblAuftraege[Auftrag],$A95))</f>
        <v>0</v>
      </c>
      <c r="AQ95" s="11" t="n">
        <f aca="false">IF($A95="",0,SUMIFS(tblAuftraege[Ausgaben],tblAuftraege[Datum Ausgaben],"&gt;="&amp;AQ$5,tblAuftraege[Datum Ausgaben],"&lt;"&amp;EDATE(AQ$5,1),tblAuftraege[Auftrag],$A95))</f>
        <v>0</v>
      </c>
      <c r="AR95" s="11" t="n">
        <f aca="false">IF($A95="",0,SUMIFS(tblAuftraege[Ausgaben],tblAuftraege[Datum Ausgaben],"&gt;="&amp;AR$5,tblAuftraege[Datum Ausgaben],"&lt;"&amp;EDATE(AR$5,1),tblAuftraege[Auftrag],$A95))</f>
        <v>0</v>
      </c>
      <c r="AS95" s="11" t="n">
        <f aca="false">IF($A95="",0,SUMIFS(tblAuftraege[Ausgaben],tblAuftraege[Datum Ausgaben],"&gt;="&amp;AS$5,tblAuftraege[Datum Ausgaben],"&lt;"&amp;EDATE(AS$5,1),tblAuftraege[Auftrag],$A95))</f>
        <v>0</v>
      </c>
      <c r="AT95" s="11" t="n">
        <f aca="false">IF($A95="",0,SUMIFS(tblAuftraege[Ausgaben],tblAuftraege[Datum Ausgaben],"&gt;="&amp;AT$5,tblAuftraege[Datum Ausgaben],"&lt;"&amp;EDATE(AT$5,1),tblAuftraege[Auftrag],$A95))</f>
        <v>0</v>
      </c>
      <c r="AU95" s="11" t="n">
        <f aca="false">IF($A95="",0,SUMIFS(tblAuftraege[Ausgaben],tblAuftraege[Datum Ausgaben],"&gt;="&amp;AU$5,tblAuftraege[Datum Ausgaben],"&lt;"&amp;EDATE(AU$5,1),tblAuftraege[Auftrag],$A95))</f>
        <v>0</v>
      </c>
      <c r="AV95" s="11" t="n">
        <f aca="false">IF($A95="",0,SUMIFS(tblAuftraege[Ausgaben],tblAuftraege[Datum Ausgaben],"&gt;="&amp;AV$5,tblAuftraege[Datum Ausgaben],"&lt;"&amp;EDATE(AV$5,1),tblAuftraege[Auftrag],$A95))</f>
        <v>0</v>
      </c>
      <c r="AW95" s="11" t="n">
        <f aca="false">IF($A95="",0,SUMIFS(tblAuftraege[Ausgaben],tblAuftraege[Datum Ausgaben],"&gt;="&amp;AW$5,tblAuftraege[Datum Ausgaben],"&lt;"&amp;EDATE(AW$5,1),tblAuftraege[Auftrag],$A95))</f>
        <v>0</v>
      </c>
      <c r="AX95" s="11" t="n">
        <f aca="false">IF($A95="",0,SUMIFS(tblAuftraege[Ausgaben],tblAuftraege[Datum Ausgaben],"&gt;="&amp;AX$5,tblAuftraege[Datum Ausgaben],"&lt;"&amp;EDATE(AX$5,1),tblAuftraege[Auftrag],$A95))</f>
        <v>0</v>
      </c>
      <c r="AY95" s="11" t="n">
        <f aca="false">IF($A95="",0,SUMIFS(tblAuftraege[Ausgaben],tblAuftraege[Datum Ausgaben],"&gt;="&amp;AY$5,tblAuftraege[Datum Ausgaben],"&lt;"&amp;EDATE(AY$5,1),tblAuftraege[Auftrag],$A95))</f>
        <v>0</v>
      </c>
      <c r="AZ95" s="11" t="n">
        <f aca="false">IF($A95="",0,SUMIFS(tblAuftraege[Ausgaben],tblAuftraege[Datum Ausgaben],"&gt;="&amp;AZ$5,tblAuftraege[Datum Ausgaben],"&lt;"&amp;EDATE(AZ$5,1),tblAuftraege[Auftrag],$A95))</f>
        <v>0</v>
      </c>
      <c r="BA95" s="11" t="n">
        <f aca="false">IF($A95="",0,SUMIFS(tblAuftraege[Ausgaben],tblAuftraege[Datum Ausgaben],"&gt;="&amp;BA$5,tblAuftraege[Datum Ausgaben],"&lt;"&amp;EDATE(BA$5,1),tblAuftraege[Auftrag],$A95))</f>
        <v>0</v>
      </c>
      <c r="BB95" s="11" t="n">
        <f aca="false">IF($A95="",0,SUMIFS(tblAuftraege[Ausgaben],tblAuftraege[Datum Ausgaben],"&gt;="&amp;BB$5,tblAuftraege[Datum Ausgaben],"&lt;"&amp;EDATE(BB$5,1),tblAuftraege[Auftrag],$A95))</f>
        <v>0</v>
      </c>
      <c r="BC95" s="11" t="n">
        <f aca="false">IF($A95="",0,SUMIFS(tblAuftraege[Ausgaben],tblAuftraege[Datum Ausgaben],"&gt;="&amp;BC$5,tblAuftraege[Datum Ausgaben],"&lt;"&amp;EDATE(BC$5,1),tblAuftraege[Auftrag],$A95))</f>
        <v>0</v>
      </c>
      <c r="BD95" s="11" t="n">
        <f aca="false">IF($A95="",0,SUMIFS(tblAuftraege[Ausgaben],tblAuftraege[Datum Ausgaben],"&gt;="&amp;BD$5,tblAuftraege[Datum Ausgaben],"&lt;"&amp;EDATE(BD$5,1),tblAuftraege[Auftrag],$A95))</f>
        <v>0</v>
      </c>
      <c r="BE95" s="11" t="n">
        <f aca="false">IF($A95="",0,SUMIFS(tblAuftraege[Ausgaben],tblAuftraege[Datum Ausgaben],"&gt;="&amp;BE$5,tblAuftraege[Datum Ausgaben],"&lt;"&amp;EDATE(BE$5,1),tblAuftraege[Auftrag],$A95))</f>
        <v>0</v>
      </c>
      <c r="BF95" s="11" t="n">
        <f aca="false">IF($A95="",0,SUMIFS(tblAuftraege[Ausgaben],tblAuftraege[Datum Ausgaben],"&gt;="&amp;BF$5,tblAuftraege[Datum Ausgaben],"&lt;"&amp;EDATE(BF$5,1),tblAuftraege[Auftrag],$A95))</f>
        <v>0</v>
      </c>
      <c r="BG95" s="11" t="n">
        <f aca="false">SUM(E95:J95)</f>
        <v>0</v>
      </c>
      <c r="BH95" s="11" t="n">
        <f aca="false">SUM(K95:V95)</f>
        <v>0</v>
      </c>
      <c r="BI95" s="11" t="n">
        <f aca="false">SUM(W95:AH95)</f>
        <v>0</v>
      </c>
      <c r="BJ95" s="11" t="n">
        <f aca="false">SUM(AI95:AT95)</f>
        <v>0</v>
      </c>
      <c r="BK95" s="11" t="n">
        <f aca="false">SUM(AU95:BF95)</f>
        <v>0</v>
      </c>
      <c r="BL95" s="12" t="n">
        <f aca="false">SUM(E95:BF95)</f>
        <v>0</v>
      </c>
    </row>
    <row r="96" customFormat="false" ht="15" hidden="false" customHeight="false" outlineLevel="0" collapsed="false">
      <c r="A96" s="9"/>
      <c r="B96" s="10" t="str">
        <f aca="false">IF($A96="","",IFERROR(INDEX(tblAuftraege[Kostenstelle],MATCH($A96,tblAuftraege[Auftrag],0)),""))</f>
        <v/>
      </c>
      <c r="C96" s="10" t="str">
        <f aca="false">IF($A96="","",IFERROR(INDEX(tblAuftraege[Themenfeld],MATCH($A96,tblAuftraege[Auftrag],0)),""))</f>
        <v/>
      </c>
      <c r="D96" s="10" t="str">
        <f aca="false">IF($A96="","",IFERROR(INDEX(tblAuftraege[Kategorie],MATCH($A96,tblAuftraege[Auftrag],0)),""))</f>
        <v/>
      </c>
      <c r="E96" s="11" t="n">
        <f aca="false">IF($A96="",0,SUMIFS(tblAuftraege[Ausgaben],tblAuftraege[Datum Ausgaben],"&gt;="&amp;E$5,tblAuftraege[Datum Ausgaben],"&lt;"&amp;EDATE(E$5,1),tblAuftraege[Auftrag],$A96))</f>
        <v>0</v>
      </c>
      <c r="F96" s="11" t="n">
        <f aca="false">IF($A96="",0,SUMIFS(tblAuftraege[Ausgaben],tblAuftraege[Datum Ausgaben],"&gt;="&amp;F$5,tblAuftraege[Datum Ausgaben],"&lt;"&amp;EDATE(F$5,1),tblAuftraege[Auftrag],$A96))</f>
        <v>0</v>
      </c>
      <c r="G96" s="11" t="n">
        <f aca="false">IF($A96="",0,SUMIFS(tblAuftraege[Ausgaben],tblAuftraege[Datum Ausgaben],"&gt;="&amp;G$5,tblAuftraege[Datum Ausgaben],"&lt;"&amp;EDATE(G$5,1),tblAuftraege[Auftrag],$A96))</f>
        <v>0</v>
      </c>
      <c r="H96" s="11" t="n">
        <f aca="false">IF($A96="",0,SUMIFS(tblAuftraege[Ausgaben],tblAuftraege[Datum Ausgaben],"&gt;="&amp;H$5,tblAuftraege[Datum Ausgaben],"&lt;"&amp;EDATE(H$5,1),tblAuftraege[Auftrag],$A96))</f>
        <v>0</v>
      </c>
      <c r="I96" s="11" t="n">
        <f aca="false">IF($A96="",0,SUMIFS(tblAuftraege[Ausgaben],tblAuftraege[Datum Ausgaben],"&gt;="&amp;I$5,tblAuftraege[Datum Ausgaben],"&lt;"&amp;EDATE(I$5,1),tblAuftraege[Auftrag],$A96))</f>
        <v>0</v>
      </c>
      <c r="J96" s="11" t="n">
        <f aca="false">IF($A96="",0,SUMIFS(tblAuftraege[Ausgaben],tblAuftraege[Datum Ausgaben],"&gt;="&amp;J$5,tblAuftraege[Datum Ausgaben],"&lt;"&amp;EDATE(J$5,1),tblAuftraege[Auftrag],$A96))</f>
        <v>0</v>
      </c>
      <c r="K96" s="11" t="n">
        <f aca="false">IF($A96="",0,SUMIFS(tblAuftraege[Ausgaben],tblAuftraege[Datum Ausgaben],"&gt;="&amp;K$5,tblAuftraege[Datum Ausgaben],"&lt;"&amp;EDATE(K$5,1),tblAuftraege[Auftrag],$A96))</f>
        <v>0</v>
      </c>
      <c r="L96" s="11" t="n">
        <f aca="false">IF($A96="",0,SUMIFS(tblAuftraege[Ausgaben],tblAuftraege[Datum Ausgaben],"&gt;="&amp;L$5,tblAuftraege[Datum Ausgaben],"&lt;"&amp;EDATE(L$5,1),tblAuftraege[Auftrag],$A96))</f>
        <v>0</v>
      </c>
      <c r="M96" s="11" t="n">
        <f aca="false">IF($A96="",0,SUMIFS(tblAuftraege[Ausgaben],tblAuftraege[Datum Ausgaben],"&gt;="&amp;M$5,tblAuftraege[Datum Ausgaben],"&lt;"&amp;EDATE(M$5,1),tblAuftraege[Auftrag],$A96))</f>
        <v>0</v>
      </c>
      <c r="N96" s="11" t="n">
        <f aca="false">IF($A96="",0,SUMIFS(tblAuftraege[Ausgaben],tblAuftraege[Datum Ausgaben],"&gt;="&amp;N$5,tblAuftraege[Datum Ausgaben],"&lt;"&amp;EDATE(N$5,1),tblAuftraege[Auftrag],$A96))</f>
        <v>0</v>
      </c>
      <c r="O96" s="11" t="n">
        <f aca="false">IF($A96="",0,SUMIFS(tblAuftraege[Ausgaben],tblAuftraege[Datum Ausgaben],"&gt;="&amp;O$5,tblAuftraege[Datum Ausgaben],"&lt;"&amp;EDATE(O$5,1),tblAuftraege[Auftrag],$A96))</f>
        <v>0</v>
      </c>
      <c r="P96" s="11" t="n">
        <f aca="false">IF($A96="",0,SUMIFS(tblAuftraege[Ausgaben],tblAuftraege[Datum Ausgaben],"&gt;="&amp;P$5,tblAuftraege[Datum Ausgaben],"&lt;"&amp;EDATE(P$5,1),tblAuftraege[Auftrag],$A96))</f>
        <v>0</v>
      </c>
      <c r="Q96" s="11" t="n">
        <f aca="false">IF($A96="",0,SUMIFS(tblAuftraege[Ausgaben],tblAuftraege[Datum Ausgaben],"&gt;="&amp;Q$5,tblAuftraege[Datum Ausgaben],"&lt;"&amp;EDATE(Q$5,1),tblAuftraege[Auftrag],$A96))</f>
        <v>0</v>
      </c>
      <c r="R96" s="11" t="n">
        <f aca="false">IF($A96="",0,SUMIFS(tblAuftraege[Ausgaben],tblAuftraege[Datum Ausgaben],"&gt;="&amp;R$5,tblAuftraege[Datum Ausgaben],"&lt;"&amp;EDATE(R$5,1),tblAuftraege[Auftrag],$A96))</f>
        <v>0</v>
      </c>
      <c r="S96" s="11" t="n">
        <f aca="false">IF($A96="",0,SUMIFS(tblAuftraege[Ausgaben],tblAuftraege[Datum Ausgaben],"&gt;="&amp;S$5,tblAuftraege[Datum Ausgaben],"&lt;"&amp;EDATE(S$5,1),tblAuftraege[Auftrag],$A96))</f>
        <v>0</v>
      </c>
      <c r="T96" s="11" t="n">
        <f aca="false">IF($A96="",0,SUMIFS(tblAuftraege[Ausgaben],tblAuftraege[Datum Ausgaben],"&gt;="&amp;T$5,tblAuftraege[Datum Ausgaben],"&lt;"&amp;EDATE(T$5,1),tblAuftraege[Auftrag],$A96))</f>
        <v>0</v>
      </c>
      <c r="U96" s="11" t="n">
        <f aca="false">IF($A96="",0,SUMIFS(tblAuftraege[Ausgaben],tblAuftraege[Datum Ausgaben],"&gt;="&amp;U$5,tblAuftraege[Datum Ausgaben],"&lt;"&amp;EDATE(U$5,1),tblAuftraege[Auftrag],$A96))</f>
        <v>0</v>
      </c>
      <c r="V96" s="11" t="n">
        <f aca="false">IF($A96="",0,SUMIFS(tblAuftraege[Ausgaben],tblAuftraege[Datum Ausgaben],"&gt;="&amp;V$5,tblAuftraege[Datum Ausgaben],"&lt;"&amp;EDATE(V$5,1),tblAuftraege[Auftrag],$A96))</f>
        <v>0</v>
      </c>
      <c r="W96" s="11" t="n">
        <f aca="false">IF($A96="",0,SUMIFS(tblAuftraege[Ausgaben],tblAuftraege[Datum Ausgaben],"&gt;="&amp;W$5,tblAuftraege[Datum Ausgaben],"&lt;"&amp;EDATE(W$5,1),tblAuftraege[Auftrag],$A96))</f>
        <v>0</v>
      </c>
      <c r="X96" s="11" t="n">
        <f aca="false">IF($A96="",0,SUMIFS(tblAuftraege[Ausgaben],tblAuftraege[Datum Ausgaben],"&gt;="&amp;X$5,tblAuftraege[Datum Ausgaben],"&lt;"&amp;EDATE(X$5,1),tblAuftraege[Auftrag],$A96))</f>
        <v>0</v>
      </c>
      <c r="Y96" s="11" t="n">
        <f aca="false">IF($A96="",0,SUMIFS(tblAuftraege[Ausgaben],tblAuftraege[Datum Ausgaben],"&gt;="&amp;Y$5,tblAuftraege[Datum Ausgaben],"&lt;"&amp;EDATE(Y$5,1),tblAuftraege[Auftrag],$A96))</f>
        <v>0</v>
      </c>
      <c r="Z96" s="11" t="n">
        <f aca="false">IF($A96="",0,SUMIFS(tblAuftraege[Ausgaben],tblAuftraege[Datum Ausgaben],"&gt;="&amp;Z$5,tblAuftraege[Datum Ausgaben],"&lt;"&amp;EDATE(Z$5,1),tblAuftraege[Auftrag],$A96))</f>
        <v>0</v>
      </c>
      <c r="AA96" s="11" t="n">
        <f aca="false">IF($A96="",0,SUMIFS(tblAuftraege[Ausgaben],tblAuftraege[Datum Ausgaben],"&gt;="&amp;AA$5,tblAuftraege[Datum Ausgaben],"&lt;"&amp;EDATE(AA$5,1),tblAuftraege[Auftrag],$A96))</f>
        <v>0</v>
      </c>
      <c r="AB96" s="11" t="n">
        <f aca="false">IF($A96="",0,SUMIFS(tblAuftraege[Ausgaben],tblAuftraege[Datum Ausgaben],"&gt;="&amp;AB$5,tblAuftraege[Datum Ausgaben],"&lt;"&amp;EDATE(AB$5,1),tblAuftraege[Auftrag],$A96))</f>
        <v>0</v>
      </c>
      <c r="AC96" s="11" t="n">
        <f aca="false">IF($A96="",0,SUMIFS(tblAuftraege[Ausgaben],tblAuftraege[Datum Ausgaben],"&gt;="&amp;AC$5,tblAuftraege[Datum Ausgaben],"&lt;"&amp;EDATE(AC$5,1),tblAuftraege[Auftrag],$A96))</f>
        <v>0</v>
      </c>
      <c r="AD96" s="11" t="n">
        <f aca="false">IF($A96="",0,SUMIFS(tblAuftraege[Ausgaben],tblAuftraege[Datum Ausgaben],"&gt;="&amp;AD$5,tblAuftraege[Datum Ausgaben],"&lt;"&amp;EDATE(AD$5,1),tblAuftraege[Auftrag],$A96))</f>
        <v>0</v>
      </c>
      <c r="AE96" s="11" t="n">
        <f aca="false">IF($A96="",0,SUMIFS(tblAuftraege[Ausgaben],tblAuftraege[Datum Ausgaben],"&gt;="&amp;AE$5,tblAuftraege[Datum Ausgaben],"&lt;"&amp;EDATE(AE$5,1),tblAuftraege[Auftrag],$A96))</f>
        <v>0</v>
      </c>
      <c r="AF96" s="11" t="n">
        <f aca="false">IF($A96="",0,SUMIFS(tblAuftraege[Ausgaben],tblAuftraege[Datum Ausgaben],"&gt;="&amp;AF$5,tblAuftraege[Datum Ausgaben],"&lt;"&amp;EDATE(AF$5,1),tblAuftraege[Auftrag],$A96))</f>
        <v>0</v>
      </c>
      <c r="AG96" s="11" t="n">
        <f aca="false">IF($A96="",0,SUMIFS(tblAuftraege[Ausgaben],tblAuftraege[Datum Ausgaben],"&gt;="&amp;AG$5,tblAuftraege[Datum Ausgaben],"&lt;"&amp;EDATE(AG$5,1),tblAuftraege[Auftrag],$A96))</f>
        <v>0</v>
      </c>
      <c r="AH96" s="11" t="n">
        <f aca="false">IF($A96="",0,SUMIFS(tblAuftraege[Ausgaben],tblAuftraege[Datum Ausgaben],"&gt;="&amp;AH$5,tblAuftraege[Datum Ausgaben],"&lt;"&amp;EDATE(AH$5,1),tblAuftraege[Auftrag],$A96))</f>
        <v>0</v>
      </c>
      <c r="AI96" s="11" t="n">
        <f aca="false">IF($A96="",0,SUMIFS(tblAuftraege[Ausgaben],tblAuftraege[Datum Ausgaben],"&gt;="&amp;AI$5,tblAuftraege[Datum Ausgaben],"&lt;"&amp;EDATE(AI$5,1),tblAuftraege[Auftrag],$A96))</f>
        <v>0</v>
      </c>
      <c r="AJ96" s="11" t="n">
        <f aca="false">IF($A96="",0,SUMIFS(tblAuftraege[Ausgaben],tblAuftraege[Datum Ausgaben],"&gt;="&amp;AJ$5,tblAuftraege[Datum Ausgaben],"&lt;"&amp;EDATE(AJ$5,1),tblAuftraege[Auftrag],$A96))</f>
        <v>0</v>
      </c>
      <c r="AK96" s="11" t="n">
        <f aca="false">IF($A96="",0,SUMIFS(tblAuftraege[Ausgaben],tblAuftraege[Datum Ausgaben],"&gt;="&amp;AK$5,tblAuftraege[Datum Ausgaben],"&lt;"&amp;EDATE(AK$5,1),tblAuftraege[Auftrag],$A96))</f>
        <v>0</v>
      </c>
      <c r="AL96" s="11" t="n">
        <f aca="false">IF($A96="",0,SUMIFS(tblAuftraege[Ausgaben],tblAuftraege[Datum Ausgaben],"&gt;="&amp;AL$5,tblAuftraege[Datum Ausgaben],"&lt;"&amp;EDATE(AL$5,1),tblAuftraege[Auftrag],$A96))</f>
        <v>0</v>
      </c>
      <c r="AM96" s="11" t="n">
        <f aca="false">IF($A96="",0,SUMIFS(tblAuftraege[Ausgaben],tblAuftraege[Datum Ausgaben],"&gt;="&amp;AM$5,tblAuftraege[Datum Ausgaben],"&lt;"&amp;EDATE(AM$5,1),tblAuftraege[Auftrag],$A96))</f>
        <v>0</v>
      </c>
      <c r="AN96" s="11" t="n">
        <f aca="false">IF($A96="",0,SUMIFS(tblAuftraege[Ausgaben],tblAuftraege[Datum Ausgaben],"&gt;="&amp;AN$5,tblAuftraege[Datum Ausgaben],"&lt;"&amp;EDATE(AN$5,1),tblAuftraege[Auftrag],$A96))</f>
        <v>0</v>
      </c>
      <c r="AO96" s="11" t="n">
        <f aca="false">IF($A96="",0,SUMIFS(tblAuftraege[Ausgaben],tblAuftraege[Datum Ausgaben],"&gt;="&amp;AO$5,tblAuftraege[Datum Ausgaben],"&lt;"&amp;EDATE(AO$5,1),tblAuftraege[Auftrag],$A96))</f>
        <v>0</v>
      </c>
      <c r="AP96" s="11" t="n">
        <f aca="false">IF($A96="",0,SUMIFS(tblAuftraege[Ausgaben],tblAuftraege[Datum Ausgaben],"&gt;="&amp;AP$5,tblAuftraege[Datum Ausgaben],"&lt;"&amp;EDATE(AP$5,1),tblAuftraege[Auftrag],$A96))</f>
        <v>0</v>
      </c>
      <c r="AQ96" s="11" t="n">
        <f aca="false">IF($A96="",0,SUMIFS(tblAuftraege[Ausgaben],tblAuftraege[Datum Ausgaben],"&gt;="&amp;AQ$5,tblAuftraege[Datum Ausgaben],"&lt;"&amp;EDATE(AQ$5,1),tblAuftraege[Auftrag],$A96))</f>
        <v>0</v>
      </c>
      <c r="AR96" s="11" t="n">
        <f aca="false">IF($A96="",0,SUMIFS(tblAuftraege[Ausgaben],tblAuftraege[Datum Ausgaben],"&gt;="&amp;AR$5,tblAuftraege[Datum Ausgaben],"&lt;"&amp;EDATE(AR$5,1),tblAuftraege[Auftrag],$A96))</f>
        <v>0</v>
      </c>
      <c r="AS96" s="11" t="n">
        <f aca="false">IF($A96="",0,SUMIFS(tblAuftraege[Ausgaben],tblAuftraege[Datum Ausgaben],"&gt;="&amp;AS$5,tblAuftraege[Datum Ausgaben],"&lt;"&amp;EDATE(AS$5,1),tblAuftraege[Auftrag],$A96))</f>
        <v>0</v>
      </c>
      <c r="AT96" s="11" t="n">
        <f aca="false">IF($A96="",0,SUMIFS(tblAuftraege[Ausgaben],tblAuftraege[Datum Ausgaben],"&gt;="&amp;AT$5,tblAuftraege[Datum Ausgaben],"&lt;"&amp;EDATE(AT$5,1),tblAuftraege[Auftrag],$A96))</f>
        <v>0</v>
      </c>
      <c r="AU96" s="11" t="n">
        <f aca="false">IF($A96="",0,SUMIFS(tblAuftraege[Ausgaben],tblAuftraege[Datum Ausgaben],"&gt;="&amp;AU$5,tblAuftraege[Datum Ausgaben],"&lt;"&amp;EDATE(AU$5,1),tblAuftraege[Auftrag],$A96))</f>
        <v>0</v>
      </c>
      <c r="AV96" s="11" t="n">
        <f aca="false">IF($A96="",0,SUMIFS(tblAuftraege[Ausgaben],tblAuftraege[Datum Ausgaben],"&gt;="&amp;AV$5,tblAuftraege[Datum Ausgaben],"&lt;"&amp;EDATE(AV$5,1),tblAuftraege[Auftrag],$A96))</f>
        <v>0</v>
      </c>
      <c r="AW96" s="11" t="n">
        <f aca="false">IF($A96="",0,SUMIFS(tblAuftraege[Ausgaben],tblAuftraege[Datum Ausgaben],"&gt;="&amp;AW$5,tblAuftraege[Datum Ausgaben],"&lt;"&amp;EDATE(AW$5,1),tblAuftraege[Auftrag],$A96))</f>
        <v>0</v>
      </c>
      <c r="AX96" s="11" t="n">
        <f aca="false">IF($A96="",0,SUMIFS(tblAuftraege[Ausgaben],tblAuftraege[Datum Ausgaben],"&gt;="&amp;AX$5,tblAuftraege[Datum Ausgaben],"&lt;"&amp;EDATE(AX$5,1),tblAuftraege[Auftrag],$A96))</f>
        <v>0</v>
      </c>
      <c r="AY96" s="11" t="n">
        <f aca="false">IF($A96="",0,SUMIFS(tblAuftraege[Ausgaben],tblAuftraege[Datum Ausgaben],"&gt;="&amp;AY$5,tblAuftraege[Datum Ausgaben],"&lt;"&amp;EDATE(AY$5,1),tblAuftraege[Auftrag],$A96))</f>
        <v>0</v>
      </c>
      <c r="AZ96" s="11" t="n">
        <f aca="false">IF($A96="",0,SUMIFS(tblAuftraege[Ausgaben],tblAuftraege[Datum Ausgaben],"&gt;="&amp;AZ$5,tblAuftraege[Datum Ausgaben],"&lt;"&amp;EDATE(AZ$5,1),tblAuftraege[Auftrag],$A96))</f>
        <v>0</v>
      </c>
      <c r="BA96" s="11" t="n">
        <f aca="false">IF($A96="",0,SUMIFS(tblAuftraege[Ausgaben],tblAuftraege[Datum Ausgaben],"&gt;="&amp;BA$5,tblAuftraege[Datum Ausgaben],"&lt;"&amp;EDATE(BA$5,1),tblAuftraege[Auftrag],$A96))</f>
        <v>0</v>
      </c>
      <c r="BB96" s="11" t="n">
        <f aca="false">IF($A96="",0,SUMIFS(tblAuftraege[Ausgaben],tblAuftraege[Datum Ausgaben],"&gt;="&amp;BB$5,tblAuftraege[Datum Ausgaben],"&lt;"&amp;EDATE(BB$5,1),tblAuftraege[Auftrag],$A96))</f>
        <v>0</v>
      </c>
      <c r="BC96" s="11" t="n">
        <f aca="false">IF($A96="",0,SUMIFS(tblAuftraege[Ausgaben],tblAuftraege[Datum Ausgaben],"&gt;="&amp;BC$5,tblAuftraege[Datum Ausgaben],"&lt;"&amp;EDATE(BC$5,1),tblAuftraege[Auftrag],$A96))</f>
        <v>0</v>
      </c>
      <c r="BD96" s="11" t="n">
        <f aca="false">IF($A96="",0,SUMIFS(tblAuftraege[Ausgaben],tblAuftraege[Datum Ausgaben],"&gt;="&amp;BD$5,tblAuftraege[Datum Ausgaben],"&lt;"&amp;EDATE(BD$5,1),tblAuftraege[Auftrag],$A96))</f>
        <v>0</v>
      </c>
      <c r="BE96" s="11" t="n">
        <f aca="false">IF($A96="",0,SUMIFS(tblAuftraege[Ausgaben],tblAuftraege[Datum Ausgaben],"&gt;="&amp;BE$5,tblAuftraege[Datum Ausgaben],"&lt;"&amp;EDATE(BE$5,1),tblAuftraege[Auftrag],$A96))</f>
        <v>0</v>
      </c>
      <c r="BF96" s="11" t="n">
        <f aca="false">IF($A96="",0,SUMIFS(tblAuftraege[Ausgaben],tblAuftraege[Datum Ausgaben],"&gt;="&amp;BF$5,tblAuftraege[Datum Ausgaben],"&lt;"&amp;EDATE(BF$5,1),tblAuftraege[Auftrag],$A96))</f>
        <v>0</v>
      </c>
      <c r="BG96" s="11" t="n">
        <f aca="false">SUM(E96:J96)</f>
        <v>0</v>
      </c>
      <c r="BH96" s="11" t="n">
        <f aca="false">SUM(K96:V96)</f>
        <v>0</v>
      </c>
      <c r="BI96" s="11" t="n">
        <f aca="false">SUM(W96:AH96)</f>
        <v>0</v>
      </c>
      <c r="BJ96" s="11" t="n">
        <f aca="false">SUM(AI96:AT96)</f>
        <v>0</v>
      </c>
      <c r="BK96" s="11" t="n">
        <f aca="false">SUM(AU96:BF96)</f>
        <v>0</v>
      </c>
      <c r="BL96" s="12" t="n">
        <f aca="false">SUM(E96:BF96)</f>
        <v>0</v>
      </c>
    </row>
    <row r="97" customFormat="false" ht="15" hidden="false" customHeight="false" outlineLevel="0" collapsed="false">
      <c r="A97" s="9"/>
      <c r="B97" s="10" t="str">
        <f aca="false">IF($A97="","",IFERROR(INDEX(tblAuftraege[Kostenstelle],MATCH($A97,tblAuftraege[Auftrag],0)),""))</f>
        <v/>
      </c>
      <c r="C97" s="10" t="str">
        <f aca="false">IF($A97="","",IFERROR(INDEX(tblAuftraege[Themenfeld],MATCH($A97,tblAuftraege[Auftrag],0)),""))</f>
        <v/>
      </c>
      <c r="D97" s="10" t="str">
        <f aca="false">IF($A97="","",IFERROR(INDEX(tblAuftraege[Kategorie],MATCH($A97,tblAuftraege[Auftrag],0)),""))</f>
        <v/>
      </c>
      <c r="E97" s="11" t="n">
        <f aca="false">IF($A97="",0,SUMIFS(tblAuftraege[Ausgaben],tblAuftraege[Datum Ausgaben],"&gt;="&amp;E$5,tblAuftraege[Datum Ausgaben],"&lt;"&amp;EDATE(E$5,1),tblAuftraege[Auftrag],$A97))</f>
        <v>0</v>
      </c>
      <c r="F97" s="11" t="n">
        <f aca="false">IF($A97="",0,SUMIFS(tblAuftraege[Ausgaben],tblAuftraege[Datum Ausgaben],"&gt;="&amp;F$5,tblAuftraege[Datum Ausgaben],"&lt;"&amp;EDATE(F$5,1),tblAuftraege[Auftrag],$A97))</f>
        <v>0</v>
      </c>
      <c r="G97" s="11" t="n">
        <f aca="false">IF($A97="",0,SUMIFS(tblAuftraege[Ausgaben],tblAuftraege[Datum Ausgaben],"&gt;="&amp;G$5,tblAuftraege[Datum Ausgaben],"&lt;"&amp;EDATE(G$5,1),tblAuftraege[Auftrag],$A97))</f>
        <v>0</v>
      </c>
      <c r="H97" s="11" t="n">
        <f aca="false">IF($A97="",0,SUMIFS(tblAuftraege[Ausgaben],tblAuftraege[Datum Ausgaben],"&gt;="&amp;H$5,tblAuftraege[Datum Ausgaben],"&lt;"&amp;EDATE(H$5,1),tblAuftraege[Auftrag],$A97))</f>
        <v>0</v>
      </c>
      <c r="I97" s="11" t="n">
        <f aca="false">IF($A97="",0,SUMIFS(tblAuftraege[Ausgaben],tblAuftraege[Datum Ausgaben],"&gt;="&amp;I$5,tblAuftraege[Datum Ausgaben],"&lt;"&amp;EDATE(I$5,1),tblAuftraege[Auftrag],$A97))</f>
        <v>0</v>
      </c>
      <c r="J97" s="11" t="n">
        <f aca="false">IF($A97="",0,SUMIFS(tblAuftraege[Ausgaben],tblAuftraege[Datum Ausgaben],"&gt;="&amp;J$5,tblAuftraege[Datum Ausgaben],"&lt;"&amp;EDATE(J$5,1),tblAuftraege[Auftrag],$A97))</f>
        <v>0</v>
      </c>
      <c r="K97" s="11" t="n">
        <f aca="false">IF($A97="",0,SUMIFS(tblAuftraege[Ausgaben],tblAuftraege[Datum Ausgaben],"&gt;="&amp;K$5,tblAuftraege[Datum Ausgaben],"&lt;"&amp;EDATE(K$5,1),tblAuftraege[Auftrag],$A97))</f>
        <v>0</v>
      </c>
      <c r="L97" s="11" t="n">
        <f aca="false">IF($A97="",0,SUMIFS(tblAuftraege[Ausgaben],tblAuftraege[Datum Ausgaben],"&gt;="&amp;L$5,tblAuftraege[Datum Ausgaben],"&lt;"&amp;EDATE(L$5,1),tblAuftraege[Auftrag],$A97))</f>
        <v>0</v>
      </c>
      <c r="M97" s="11" t="n">
        <f aca="false">IF($A97="",0,SUMIFS(tblAuftraege[Ausgaben],tblAuftraege[Datum Ausgaben],"&gt;="&amp;M$5,tblAuftraege[Datum Ausgaben],"&lt;"&amp;EDATE(M$5,1),tblAuftraege[Auftrag],$A97))</f>
        <v>0</v>
      </c>
      <c r="N97" s="11" t="n">
        <f aca="false">IF($A97="",0,SUMIFS(tblAuftraege[Ausgaben],tblAuftraege[Datum Ausgaben],"&gt;="&amp;N$5,tblAuftraege[Datum Ausgaben],"&lt;"&amp;EDATE(N$5,1),tblAuftraege[Auftrag],$A97))</f>
        <v>0</v>
      </c>
      <c r="O97" s="11" t="n">
        <f aca="false">IF($A97="",0,SUMIFS(tblAuftraege[Ausgaben],tblAuftraege[Datum Ausgaben],"&gt;="&amp;O$5,tblAuftraege[Datum Ausgaben],"&lt;"&amp;EDATE(O$5,1),tblAuftraege[Auftrag],$A97))</f>
        <v>0</v>
      </c>
      <c r="P97" s="11" t="n">
        <f aca="false">IF($A97="",0,SUMIFS(tblAuftraege[Ausgaben],tblAuftraege[Datum Ausgaben],"&gt;="&amp;P$5,tblAuftraege[Datum Ausgaben],"&lt;"&amp;EDATE(P$5,1),tblAuftraege[Auftrag],$A97))</f>
        <v>0</v>
      </c>
      <c r="Q97" s="11" t="n">
        <f aca="false">IF($A97="",0,SUMIFS(tblAuftraege[Ausgaben],tblAuftraege[Datum Ausgaben],"&gt;="&amp;Q$5,tblAuftraege[Datum Ausgaben],"&lt;"&amp;EDATE(Q$5,1),tblAuftraege[Auftrag],$A97))</f>
        <v>0</v>
      </c>
      <c r="R97" s="11" t="n">
        <f aca="false">IF($A97="",0,SUMIFS(tblAuftraege[Ausgaben],tblAuftraege[Datum Ausgaben],"&gt;="&amp;R$5,tblAuftraege[Datum Ausgaben],"&lt;"&amp;EDATE(R$5,1),tblAuftraege[Auftrag],$A97))</f>
        <v>0</v>
      </c>
      <c r="S97" s="11" t="n">
        <f aca="false">IF($A97="",0,SUMIFS(tblAuftraege[Ausgaben],tblAuftraege[Datum Ausgaben],"&gt;="&amp;S$5,tblAuftraege[Datum Ausgaben],"&lt;"&amp;EDATE(S$5,1),tblAuftraege[Auftrag],$A97))</f>
        <v>0</v>
      </c>
      <c r="T97" s="11" t="n">
        <f aca="false">IF($A97="",0,SUMIFS(tblAuftraege[Ausgaben],tblAuftraege[Datum Ausgaben],"&gt;="&amp;T$5,tblAuftraege[Datum Ausgaben],"&lt;"&amp;EDATE(T$5,1),tblAuftraege[Auftrag],$A97))</f>
        <v>0</v>
      </c>
      <c r="U97" s="11" t="n">
        <f aca="false">IF($A97="",0,SUMIFS(tblAuftraege[Ausgaben],tblAuftraege[Datum Ausgaben],"&gt;="&amp;U$5,tblAuftraege[Datum Ausgaben],"&lt;"&amp;EDATE(U$5,1),tblAuftraege[Auftrag],$A97))</f>
        <v>0</v>
      </c>
      <c r="V97" s="11" t="n">
        <f aca="false">IF($A97="",0,SUMIFS(tblAuftraege[Ausgaben],tblAuftraege[Datum Ausgaben],"&gt;="&amp;V$5,tblAuftraege[Datum Ausgaben],"&lt;"&amp;EDATE(V$5,1),tblAuftraege[Auftrag],$A97))</f>
        <v>0</v>
      </c>
      <c r="W97" s="11" t="n">
        <f aca="false">IF($A97="",0,SUMIFS(tblAuftraege[Ausgaben],tblAuftraege[Datum Ausgaben],"&gt;="&amp;W$5,tblAuftraege[Datum Ausgaben],"&lt;"&amp;EDATE(W$5,1),tblAuftraege[Auftrag],$A97))</f>
        <v>0</v>
      </c>
      <c r="X97" s="11" t="n">
        <f aca="false">IF($A97="",0,SUMIFS(tblAuftraege[Ausgaben],tblAuftraege[Datum Ausgaben],"&gt;="&amp;X$5,tblAuftraege[Datum Ausgaben],"&lt;"&amp;EDATE(X$5,1),tblAuftraege[Auftrag],$A97))</f>
        <v>0</v>
      </c>
      <c r="Y97" s="11" t="n">
        <f aca="false">IF($A97="",0,SUMIFS(tblAuftraege[Ausgaben],tblAuftraege[Datum Ausgaben],"&gt;="&amp;Y$5,tblAuftraege[Datum Ausgaben],"&lt;"&amp;EDATE(Y$5,1),tblAuftraege[Auftrag],$A97))</f>
        <v>0</v>
      </c>
      <c r="Z97" s="11" t="n">
        <f aca="false">IF($A97="",0,SUMIFS(tblAuftraege[Ausgaben],tblAuftraege[Datum Ausgaben],"&gt;="&amp;Z$5,tblAuftraege[Datum Ausgaben],"&lt;"&amp;EDATE(Z$5,1),tblAuftraege[Auftrag],$A97))</f>
        <v>0</v>
      </c>
      <c r="AA97" s="11" t="n">
        <f aca="false">IF($A97="",0,SUMIFS(tblAuftraege[Ausgaben],tblAuftraege[Datum Ausgaben],"&gt;="&amp;AA$5,tblAuftraege[Datum Ausgaben],"&lt;"&amp;EDATE(AA$5,1),tblAuftraege[Auftrag],$A97))</f>
        <v>0</v>
      </c>
      <c r="AB97" s="11" t="n">
        <f aca="false">IF($A97="",0,SUMIFS(tblAuftraege[Ausgaben],tblAuftraege[Datum Ausgaben],"&gt;="&amp;AB$5,tblAuftraege[Datum Ausgaben],"&lt;"&amp;EDATE(AB$5,1),tblAuftraege[Auftrag],$A97))</f>
        <v>0</v>
      </c>
      <c r="AC97" s="11" t="n">
        <f aca="false">IF($A97="",0,SUMIFS(tblAuftraege[Ausgaben],tblAuftraege[Datum Ausgaben],"&gt;="&amp;AC$5,tblAuftraege[Datum Ausgaben],"&lt;"&amp;EDATE(AC$5,1),tblAuftraege[Auftrag],$A97))</f>
        <v>0</v>
      </c>
      <c r="AD97" s="11" t="n">
        <f aca="false">IF($A97="",0,SUMIFS(tblAuftraege[Ausgaben],tblAuftraege[Datum Ausgaben],"&gt;="&amp;AD$5,tblAuftraege[Datum Ausgaben],"&lt;"&amp;EDATE(AD$5,1),tblAuftraege[Auftrag],$A97))</f>
        <v>0</v>
      </c>
      <c r="AE97" s="11" t="n">
        <f aca="false">IF($A97="",0,SUMIFS(tblAuftraege[Ausgaben],tblAuftraege[Datum Ausgaben],"&gt;="&amp;AE$5,tblAuftraege[Datum Ausgaben],"&lt;"&amp;EDATE(AE$5,1),tblAuftraege[Auftrag],$A97))</f>
        <v>0</v>
      </c>
      <c r="AF97" s="11" t="n">
        <f aca="false">IF($A97="",0,SUMIFS(tblAuftraege[Ausgaben],tblAuftraege[Datum Ausgaben],"&gt;="&amp;AF$5,tblAuftraege[Datum Ausgaben],"&lt;"&amp;EDATE(AF$5,1),tblAuftraege[Auftrag],$A97))</f>
        <v>0</v>
      </c>
      <c r="AG97" s="11" t="n">
        <f aca="false">IF($A97="",0,SUMIFS(tblAuftraege[Ausgaben],tblAuftraege[Datum Ausgaben],"&gt;="&amp;AG$5,tblAuftraege[Datum Ausgaben],"&lt;"&amp;EDATE(AG$5,1),tblAuftraege[Auftrag],$A97))</f>
        <v>0</v>
      </c>
      <c r="AH97" s="11" t="n">
        <f aca="false">IF($A97="",0,SUMIFS(tblAuftraege[Ausgaben],tblAuftraege[Datum Ausgaben],"&gt;="&amp;AH$5,tblAuftraege[Datum Ausgaben],"&lt;"&amp;EDATE(AH$5,1),tblAuftraege[Auftrag],$A97))</f>
        <v>0</v>
      </c>
      <c r="AI97" s="11" t="n">
        <f aca="false">IF($A97="",0,SUMIFS(tblAuftraege[Ausgaben],tblAuftraege[Datum Ausgaben],"&gt;="&amp;AI$5,tblAuftraege[Datum Ausgaben],"&lt;"&amp;EDATE(AI$5,1),tblAuftraege[Auftrag],$A97))</f>
        <v>0</v>
      </c>
      <c r="AJ97" s="11" t="n">
        <f aca="false">IF($A97="",0,SUMIFS(tblAuftraege[Ausgaben],tblAuftraege[Datum Ausgaben],"&gt;="&amp;AJ$5,tblAuftraege[Datum Ausgaben],"&lt;"&amp;EDATE(AJ$5,1),tblAuftraege[Auftrag],$A97))</f>
        <v>0</v>
      </c>
      <c r="AK97" s="11" t="n">
        <f aca="false">IF($A97="",0,SUMIFS(tblAuftraege[Ausgaben],tblAuftraege[Datum Ausgaben],"&gt;="&amp;AK$5,tblAuftraege[Datum Ausgaben],"&lt;"&amp;EDATE(AK$5,1),tblAuftraege[Auftrag],$A97))</f>
        <v>0</v>
      </c>
      <c r="AL97" s="11" t="n">
        <f aca="false">IF($A97="",0,SUMIFS(tblAuftraege[Ausgaben],tblAuftraege[Datum Ausgaben],"&gt;="&amp;AL$5,tblAuftraege[Datum Ausgaben],"&lt;"&amp;EDATE(AL$5,1),tblAuftraege[Auftrag],$A97))</f>
        <v>0</v>
      </c>
      <c r="AM97" s="11" t="n">
        <f aca="false">IF($A97="",0,SUMIFS(tblAuftraege[Ausgaben],tblAuftraege[Datum Ausgaben],"&gt;="&amp;AM$5,tblAuftraege[Datum Ausgaben],"&lt;"&amp;EDATE(AM$5,1),tblAuftraege[Auftrag],$A97))</f>
        <v>0</v>
      </c>
      <c r="AN97" s="11" t="n">
        <f aca="false">IF($A97="",0,SUMIFS(tblAuftraege[Ausgaben],tblAuftraege[Datum Ausgaben],"&gt;="&amp;AN$5,tblAuftraege[Datum Ausgaben],"&lt;"&amp;EDATE(AN$5,1),tblAuftraege[Auftrag],$A97))</f>
        <v>0</v>
      </c>
      <c r="AO97" s="11" t="n">
        <f aca="false">IF($A97="",0,SUMIFS(tblAuftraege[Ausgaben],tblAuftraege[Datum Ausgaben],"&gt;="&amp;AO$5,tblAuftraege[Datum Ausgaben],"&lt;"&amp;EDATE(AO$5,1),tblAuftraege[Auftrag],$A97))</f>
        <v>0</v>
      </c>
      <c r="AP97" s="11" t="n">
        <f aca="false">IF($A97="",0,SUMIFS(tblAuftraege[Ausgaben],tblAuftraege[Datum Ausgaben],"&gt;="&amp;AP$5,tblAuftraege[Datum Ausgaben],"&lt;"&amp;EDATE(AP$5,1),tblAuftraege[Auftrag],$A97))</f>
        <v>0</v>
      </c>
      <c r="AQ97" s="11" t="n">
        <f aca="false">IF($A97="",0,SUMIFS(tblAuftraege[Ausgaben],tblAuftraege[Datum Ausgaben],"&gt;="&amp;AQ$5,tblAuftraege[Datum Ausgaben],"&lt;"&amp;EDATE(AQ$5,1),tblAuftraege[Auftrag],$A97))</f>
        <v>0</v>
      </c>
      <c r="AR97" s="11" t="n">
        <f aca="false">IF($A97="",0,SUMIFS(tblAuftraege[Ausgaben],tblAuftraege[Datum Ausgaben],"&gt;="&amp;AR$5,tblAuftraege[Datum Ausgaben],"&lt;"&amp;EDATE(AR$5,1),tblAuftraege[Auftrag],$A97))</f>
        <v>0</v>
      </c>
      <c r="AS97" s="11" t="n">
        <f aca="false">IF($A97="",0,SUMIFS(tblAuftraege[Ausgaben],tblAuftraege[Datum Ausgaben],"&gt;="&amp;AS$5,tblAuftraege[Datum Ausgaben],"&lt;"&amp;EDATE(AS$5,1),tblAuftraege[Auftrag],$A97))</f>
        <v>0</v>
      </c>
      <c r="AT97" s="11" t="n">
        <f aca="false">IF($A97="",0,SUMIFS(tblAuftraege[Ausgaben],tblAuftraege[Datum Ausgaben],"&gt;="&amp;AT$5,tblAuftraege[Datum Ausgaben],"&lt;"&amp;EDATE(AT$5,1),tblAuftraege[Auftrag],$A97))</f>
        <v>0</v>
      </c>
      <c r="AU97" s="11" t="n">
        <f aca="false">IF($A97="",0,SUMIFS(tblAuftraege[Ausgaben],tblAuftraege[Datum Ausgaben],"&gt;="&amp;AU$5,tblAuftraege[Datum Ausgaben],"&lt;"&amp;EDATE(AU$5,1),tblAuftraege[Auftrag],$A97))</f>
        <v>0</v>
      </c>
      <c r="AV97" s="11" t="n">
        <f aca="false">IF($A97="",0,SUMIFS(tblAuftraege[Ausgaben],tblAuftraege[Datum Ausgaben],"&gt;="&amp;AV$5,tblAuftraege[Datum Ausgaben],"&lt;"&amp;EDATE(AV$5,1),tblAuftraege[Auftrag],$A97))</f>
        <v>0</v>
      </c>
      <c r="AW97" s="11" t="n">
        <f aca="false">IF($A97="",0,SUMIFS(tblAuftraege[Ausgaben],tblAuftraege[Datum Ausgaben],"&gt;="&amp;AW$5,tblAuftraege[Datum Ausgaben],"&lt;"&amp;EDATE(AW$5,1),tblAuftraege[Auftrag],$A97))</f>
        <v>0</v>
      </c>
      <c r="AX97" s="11" t="n">
        <f aca="false">IF($A97="",0,SUMIFS(tblAuftraege[Ausgaben],tblAuftraege[Datum Ausgaben],"&gt;="&amp;AX$5,tblAuftraege[Datum Ausgaben],"&lt;"&amp;EDATE(AX$5,1),tblAuftraege[Auftrag],$A97))</f>
        <v>0</v>
      </c>
      <c r="AY97" s="11" t="n">
        <f aca="false">IF($A97="",0,SUMIFS(tblAuftraege[Ausgaben],tblAuftraege[Datum Ausgaben],"&gt;="&amp;AY$5,tblAuftraege[Datum Ausgaben],"&lt;"&amp;EDATE(AY$5,1),tblAuftraege[Auftrag],$A97))</f>
        <v>0</v>
      </c>
      <c r="AZ97" s="11" t="n">
        <f aca="false">IF($A97="",0,SUMIFS(tblAuftraege[Ausgaben],tblAuftraege[Datum Ausgaben],"&gt;="&amp;AZ$5,tblAuftraege[Datum Ausgaben],"&lt;"&amp;EDATE(AZ$5,1),tblAuftraege[Auftrag],$A97))</f>
        <v>0</v>
      </c>
      <c r="BA97" s="11" t="n">
        <f aca="false">IF($A97="",0,SUMIFS(tblAuftraege[Ausgaben],tblAuftraege[Datum Ausgaben],"&gt;="&amp;BA$5,tblAuftraege[Datum Ausgaben],"&lt;"&amp;EDATE(BA$5,1),tblAuftraege[Auftrag],$A97))</f>
        <v>0</v>
      </c>
      <c r="BB97" s="11" t="n">
        <f aca="false">IF($A97="",0,SUMIFS(tblAuftraege[Ausgaben],tblAuftraege[Datum Ausgaben],"&gt;="&amp;BB$5,tblAuftraege[Datum Ausgaben],"&lt;"&amp;EDATE(BB$5,1),tblAuftraege[Auftrag],$A97))</f>
        <v>0</v>
      </c>
      <c r="BC97" s="11" t="n">
        <f aca="false">IF($A97="",0,SUMIFS(tblAuftraege[Ausgaben],tblAuftraege[Datum Ausgaben],"&gt;="&amp;BC$5,tblAuftraege[Datum Ausgaben],"&lt;"&amp;EDATE(BC$5,1),tblAuftraege[Auftrag],$A97))</f>
        <v>0</v>
      </c>
      <c r="BD97" s="11" t="n">
        <f aca="false">IF($A97="",0,SUMIFS(tblAuftraege[Ausgaben],tblAuftraege[Datum Ausgaben],"&gt;="&amp;BD$5,tblAuftraege[Datum Ausgaben],"&lt;"&amp;EDATE(BD$5,1),tblAuftraege[Auftrag],$A97))</f>
        <v>0</v>
      </c>
      <c r="BE97" s="11" t="n">
        <f aca="false">IF($A97="",0,SUMIFS(tblAuftraege[Ausgaben],tblAuftraege[Datum Ausgaben],"&gt;="&amp;BE$5,tblAuftraege[Datum Ausgaben],"&lt;"&amp;EDATE(BE$5,1),tblAuftraege[Auftrag],$A97))</f>
        <v>0</v>
      </c>
      <c r="BF97" s="11" t="n">
        <f aca="false">IF($A97="",0,SUMIFS(tblAuftraege[Ausgaben],tblAuftraege[Datum Ausgaben],"&gt;="&amp;BF$5,tblAuftraege[Datum Ausgaben],"&lt;"&amp;EDATE(BF$5,1),tblAuftraege[Auftrag],$A97))</f>
        <v>0</v>
      </c>
      <c r="BG97" s="11" t="n">
        <f aca="false">SUM(E97:J97)</f>
        <v>0</v>
      </c>
      <c r="BH97" s="11" t="n">
        <f aca="false">SUM(K97:V97)</f>
        <v>0</v>
      </c>
      <c r="BI97" s="11" t="n">
        <f aca="false">SUM(W97:AH97)</f>
        <v>0</v>
      </c>
      <c r="BJ97" s="11" t="n">
        <f aca="false">SUM(AI97:AT97)</f>
        <v>0</v>
      </c>
      <c r="BK97" s="11" t="n">
        <f aca="false">SUM(AU97:BF97)</f>
        <v>0</v>
      </c>
      <c r="BL97" s="12" t="n">
        <f aca="false">SUM(E97:BF97)</f>
        <v>0</v>
      </c>
    </row>
    <row r="98" customFormat="false" ht="15" hidden="false" customHeight="false" outlineLevel="0" collapsed="false">
      <c r="A98" s="9"/>
      <c r="B98" s="10" t="str">
        <f aca="false">IF($A98="","",IFERROR(INDEX(tblAuftraege[Kostenstelle],MATCH($A98,tblAuftraege[Auftrag],0)),""))</f>
        <v/>
      </c>
      <c r="C98" s="10" t="str">
        <f aca="false">IF($A98="","",IFERROR(INDEX(tblAuftraege[Themenfeld],MATCH($A98,tblAuftraege[Auftrag],0)),""))</f>
        <v/>
      </c>
      <c r="D98" s="10" t="str">
        <f aca="false">IF($A98="","",IFERROR(INDEX(tblAuftraege[Kategorie],MATCH($A98,tblAuftraege[Auftrag],0)),""))</f>
        <v/>
      </c>
      <c r="E98" s="11" t="n">
        <f aca="false">IF($A98="",0,SUMIFS(tblAuftraege[Ausgaben],tblAuftraege[Datum Ausgaben],"&gt;="&amp;E$5,tblAuftraege[Datum Ausgaben],"&lt;"&amp;EDATE(E$5,1),tblAuftraege[Auftrag],$A98))</f>
        <v>0</v>
      </c>
      <c r="F98" s="11" t="n">
        <f aca="false">IF($A98="",0,SUMIFS(tblAuftraege[Ausgaben],tblAuftraege[Datum Ausgaben],"&gt;="&amp;F$5,tblAuftraege[Datum Ausgaben],"&lt;"&amp;EDATE(F$5,1),tblAuftraege[Auftrag],$A98))</f>
        <v>0</v>
      </c>
      <c r="G98" s="11" t="n">
        <f aca="false">IF($A98="",0,SUMIFS(tblAuftraege[Ausgaben],tblAuftraege[Datum Ausgaben],"&gt;="&amp;G$5,tblAuftraege[Datum Ausgaben],"&lt;"&amp;EDATE(G$5,1),tblAuftraege[Auftrag],$A98))</f>
        <v>0</v>
      </c>
      <c r="H98" s="11" t="n">
        <f aca="false">IF($A98="",0,SUMIFS(tblAuftraege[Ausgaben],tblAuftraege[Datum Ausgaben],"&gt;="&amp;H$5,tblAuftraege[Datum Ausgaben],"&lt;"&amp;EDATE(H$5,1),tblAuftraege[Auftrag],$A98))</f>
        <v>0</v>
      </c>
      <c r="I98" s="11" t="n">
        <f aca="false">IF($A98="",0,SUMIFS(tblAuftraege[Ausgaben],tblAuftraege[Datum Ausgaben],"&gt;="&amp;I$5,tblAuftraege[Datum Ausgaben],"&lt;"&amp;EDATE(I$5,1),tblAuftraege[Auftrag],$A98))</f>
        <v>0</v>
      </c>
      <c r="J98" s="11" t="n">
        <f aca="false">IF($A98="",0,SUMIFS(tblAuftraege[Ausgaben],tblAuftraege[Datum Ausgaben],"&gt;="&amp;J$5,tblAuftraege[Datum Ausgaben],"&lt;"&amp;EDATE(J$5,1),tblAuftraege[Auftrag],$A98))</f>
        <v>0</v>
      </c>
      <c r="K98" s="11" t="n">
        <f aca="false">IF($A98="",0,SUMIFS(tblAuftraege[Ausgaben],tblAuftraege[Datum Ausgaben],"&gt;="&amp;K$5,tblAuftraege[Datum Ausgaben],"&lt;"&amp;EDATE(K$5,1),tblAuftraege[Auftrag],$A98))</f>
        <v>0</v>
      </c>
      <c r="L98" s="11" t="n">
        <f aca="false">IF($A98="",0,SUMIFS(tblAuftraege[Ausgaben],tblAuftraege[Datum Ausgaben],"&gt;="&amp;L$5,tblAuftraege[Datum Ausgaben],"&lt;"&amp;EDATE(L$5,1),tblAuftraege[Auftrag],$A98))</f>
        <v>0</v>
      </c>
      <c r="M98" s="11" t="n">
        <f aca="false">IF($A98="",0,SUMIFS(tblAuftraege[Ausgaben],tblAuftraege[Datum Ausgaben],"&gt;="&amp;M$5,tblAuftraege[Datum Ausgaben],"&lt;"&amp;EDATE(M$5,1),tblAuftraege[Auftrag],$A98))</f>
        <v>0</v>
      </c>
      <c r="N98" s="11" t="n">
        <f aca="false">IF($A98="",0,SUMIFS(tblAuftraege[Ausgaben],tblAuftraege[Datum Ausgaben],"&gt;="&amp;N$5,tblAuftraege[Datum Ausgaben],"&lt;"&amp;EDATE(N$5,1),tblAuftraege[Auftrag],$A98))</f>
        <v>0</v>
      </c>
      <c r="O98" s="11" t="n">
        <f aca="false">IF($A98="",0,SUMIFS(tblAuftraege[Ausgaben],tblAuftraege[Datum Ausgaben],"&gt;="&amp;O$5,tblAuftraege[Datum Ausgaben],"&lt;"&amp;EDATE(O$5,1),tblAuftraege[Auftrag],$A98))</f>
        <v>0</v>
      </c>
      <c r="P98" s="11" t="n">
        <f aca="false">IF($A98="",0,SUMIFS(tblAuftraege[Ausgaben],tblAuftraege[Datum Ausgaben],"&gt;="&amp;P$5,tblAuftraege[Datum Ausgaben],"&lt;"&amp;EDATE(P$5,1),tblAuftraege[Auftrag],$A98))</f>
        <v>0</v>
      </c>
      <c r="Q98" s="11" t="n">
        <f aca="false">IF($A98="",0,SUMIFS(tblAuftraege[Ausgaben],tblAuftraege[Datum Ausgaben],"&gt;="&amp;Q$5,tblAuftraege[Datum Ausgaben],"&lt;"&amp;EDATE(Q$5,1),tblAuftraege[Auftrag],$A98))</f>
        <v>0</v>
      </c>
      <c r="R98" s="11" t="n">
        <f aca="false">IF($A98="",0,SUMIFS(tblAuftraege[Ausgaben],tblAuftraege[Datum Ausgaben],"&gt;="&amp;R$5,tblAuftraege[Datum Ausgaben],"&lt;"&amp;EDATE(R$5,1),tblAuftraege[Auftrag],$A98))</f>
        <v>0</v>
      </c>
      <c r="S98" s="11" t="n">
        <f aca="false">IF($A98="",0,SUMIFS(tblAuftraege[Ausgaben],tblAuftraege[Datum Ausgaben],"&gt;="&amp;S$5,tblAuftraege[Datum Ausgaben],"&lt;"&amp;EDATE(S$5,1),tblAuftraege[Auftrag],$A98))</f>
        <v>0</v>
      </c>
      <c r="T98" s="11" t="n">
        <f aca="false">IF($A98="",0,SUMIFS(tblAuftraege[Ausgaben],tblAuftraege[Datum Ausgaben],"&gt;="&amp;T$5,tblAuftraege[Datum Ausgaben],"&lt;"&amp;EDATE(T$5,1),tblAuftraege[Auftrag],$A98))</f>
        <v>0</v>
      </c>
      <c r="U98" s="11" t="n">
        <f aca="false">IF($A98="",0,SUMIFS(tblAuftraege[Ausgaben],tblAuftraege[Datum Ausgaben],"&gt;="&amp;U$5,tblAuftraege[Datum Ausgaben],"&lt;"&amp;EDATE(U$5,1),tblAuftraege[Auftrag],$A98))</f>
        <v>0</v>
      </c>
      <c r="V98" s="11" t="n">
        <f aca="false">IF($A98="",0,SUMIFS(tblAuftraege[Ausgaben],tblAuftraege[Datum Ausgaben],"&gt;="&amp;V$5,tblAuftraege[Datum Ausgaben],"&lt;"&amp;EDATE(V$5,1),tblAuftraege[Auftrag],$A98))</f>
        <v>0</v>
      </c>
      <c r="W98" s="11" t="n">
        <f aca="false">IF($A98="",0,SUMIFS(tblAuftraege[Ausgaben],tblAuftraege[Datum Ausgaben],"&gt;="&amp;W$5,tblAuftraege[Datum Ausgaben],"&lt;"&amp;EDATE(W$5,1),tblAuftraege[Auftrag],$A98))</f>
        <v>0</v>
      </c>
      <c r="X98" s="11" t="n">
        <f aca="false">IF($A98="",0,SUMIFS(tblAuftraege[Ausgaben],tblAuftraege[Datum Ausgaben],"&gt;="&amp;X$5,tblAuftraege[Datum Ausgaben],"&lt;"&amp;EDATE(X$5,1),tblAuftraege[Auftrag],$A98))</f>
        <v>0</v>
      </c>
      <c r="Y98" s="11" t="n">
        <f aca="false">IF($A98="",0,SUMIFS(tblAuftraege[Ausgaben],tblAuftraege[Datum Ausgaben],"&gt;="&amp;Y$5,tblAuftraege[Datum Ausgaben],"&lt;"&amp;EDATE(Y$5,1),tblAuftraege[Auftrag],$A98))</f>
        <v>0</v>
      </c>
      <c r="Z98" s="11" t="n">
        <f aca="false">IF($A98="",0,SUMIFS(tblAuftraege[Ausgaben],tblAuftraege[Datum Ausgaben],"&gt;="&amp;Z$5,tblAuftraege[Datum Ausgaben],"&lt;"&amp;EDATE(Z$5,1),tblAuftraege[Auftrag],$A98))</f>
        <v>0</v>
      </c>
      <c r="AA98" s="11" t="n">
        <f aca="false">IF($A98="",0,SUMIFS(tblAuftraege[Ausgaben],tblAuftraege[Datum Ausgaben],"&gt;="&amp;AA$5,tblAuftraege[Datum Ausgaben],"&lt;"&amp;EDATE(AA$5,1),tblAuftraege[Auftrag],$A98))</f>
        <v>0</v>
      </c>
      <c r="AB98" s="11" t="n">
        <f aca="false">IF($A98="",0,SUMIFS(tblAuftraege[Ausgaben],tblAuftraege[Datum Ausgaben],"&gt;="&amp;AB$5,tblAuftraege[Datum Ausgaben],"&lt;"&amp;EDATE(AB$5,1),tblAuftraege[Auftrag],$A98))</f>
        <v>0</v>
      </c>
      <c r="AC98" s="11" t="n">
        <f aca="false">IF($A98="",0,SUMIFS(tblAuftraege[Ausgaben],tblAuftraege[Datum Ausgaben],"&gt;="&amp;AC$5,tblAuftraege[Datum Ausgaben],"&lt;"&amp;EDATE(AC$5,1),tblAuftraege[Auftrag],$A98))</f>
        <v>0</v>
      </c>
      <c r="AD98" s="11" t="n">
        <f aca="false">IF($A98="",0,SUMIFS(tblAuftraege[Ausgaben],tblAuftraege[Datum Ausgaben],"&gt;="&amp;AD$5,tblAuftraege[Datum Ausgaben],"&lt;"&amp;EDATE(AD$5,1),tblAuftraege[Auftrag],$A98))</f>
        <v>0</v>
      </c>
      <c r="AE98" s="11" t="n">
        <f aca="false">IF($A98="",0,SUMIFS(tblAuftraege[Ausgaben],tblAuftraege[Datum Ausgaben],"&gt;="&amp;AE$5,tblAuftraege[Datum Ausgaben],"&lt;"&amp;EDATE(AE$5,1),tblAuftraege[Auftrag],$A98))</f>
        <v>0</v>
      </c>
      <c r="AF98" s="11" t="n">
        <f aca="false">IF($A98="",0,SUMIFS(tblAuftraege[Ausgaben],tblAuftraege[Datum Ausgaben],"&gt;="&amp;AF$5,tblAuftraege[Datum Ausgaben],"&lt;"&amp;EDATE(AF$5,1),tblAuftraege[Auftrag],$A98))</f>
        <v>0</v>
      </c>
      <c r="AG98" s="11" t="n">
        <f aca="false">IF($A98="",0,SUMIFS(tblAuftraege[Ausgaben],tblAuftraege[Datum Ausgaben],"&gt;="&amp;AG$5,tblAuftraege[Datum Ausgaben],"&lt;"&amp;EDATE(AG$5,1),tblAuftraege[Auftrag],$A98))</f>
        <v>0</v>
      </c>
      <c r="AH98" s="11" t="n">
        <f aca="false">IF($A98="",0,SUMIFS(tblAuftraege[Ausgaben],tblAuftraege[Datum Ausgaben],"&gt;="&amp;AH$5,tblAuftraege[Datum Ausgaben],"&lt;"&amp;EDATE(AH$5,1),tblAuftraege[Auftrag],$A98))</f>
        <v>0</v>
      </c>
      <c r="AI98" s="11" t="n">
        <f aca="false">IF($A98="",0,SUMIFS(tblAuftraege[Ausgaben],tblAuftraege[Datum Ausgaben],"&gt;="&amp;AI$5,tblAuftraege[Datum Ausgaben],"&lt;"&amp;EDATE(AI$5,1),tblAuftraege[Auftrag],$A98))</f>
        <v>0</v>
      </c>
      <c r="AJ98" s="11" t="n">
        <f aca="false">IF($A98="",0,SUMIFS(tblAuftraege[Ausgaben],tblAuftraege[Datum Ausgaben],"&gt;="&amp;AJ$5,tblAuftraege[Datum Ausgaben],"&lt;"&amp;EDATE(AJ$5,1),tblAuftraege[Auftrag],$A98))</f>
        <v>0</v>
      </c>
      <c r="AK98" s="11" t="n">
        <f aca="false">IF($A98="",0,SUMIFS(tblAuftraege[Ausgaben],tblAuftraege[Datum Ausgaben],"&gt;="&amp;AK$5,tblAuftraege[Datum Ausgaben],"&lt;"&amp;EDATE(AK$5,1),tblAuftraege[Auftrag],$A98))</f>
        <v>0</v>
      </c>
      <c r="AL98" s="11" t="n">
        <f aca="false">IF($A98="",0,SUMIFS(tblAuftraege[Ausgaben],tblAuftraege[Datum Ausgaben],"&gt;="&amp;AL$5,tblAuftraege[Datum Ausgaben],"&lt;"&amp;EDATE(AL$5,1),tblAuftraege[Auftrag],$A98))</f>
        <v>0</v>
      </c>
      <c r="AM98" s="11" t="n">
        <f aca="false">IF($A98="",0,SUMIFS(tblAuftraege[Ausgaben],tblAuftraege[Datum Ausgaben],"&gt;="&amp;AM$5,tblAuftraege[Datum Ausgaben],"&lt;"&amp;EDATE(AM$5,1),tblAuftraege[Auftrag],$A98))</f>
        <v>0</v>
      </c>
      <c r="AN98" s="11" t="n">
        <f aca="false">IF($A98="",0,SUMIFS(tblAuftraege[Ausgaben],tblAuftraege[Datum Ausgaben],"&gt;="&amp;AN$5,tblAuftraege[Datum Ausgaben],"&lt;"&amp;EDATE(AN$5,1),tblAuftraege[Auftrag],$A98))</f>
        <v>0</v>
      </c>
      <c r="AO98" s="11" t="n">
        <f aca="false">IF($A98="",0,SUMIFS(tblAuftraege[Ausgaben],tblAuftraege[Datum Ausgaben],"&gt;="&amp;AO$5,tblAuftraege[Datum Ausgaben],"&lt;"&amp;EDATE(AO$5,1),tblAuftraege[Auftrag],$A98))</f>
        <v>0</v>
      </c>
      <c r="AP98" s="11" t="n">
        <f aca="false">IF($A98="",0,SUMIFS(tblAuftraege[Ausgaben],tblAuftraege[Datum Ausgaben],"&gt;="&amp;AP$5,tblAuftraege[Datum Ausgaben],"&lt;"&amp;EDATE(AP$5,1),tblAuftraege[Auftrag],$A98))</f>
        <v>0</v>
      </c>
      <c r="AQ98" s="11" t="n">
        <f aca="false">IF($A98="",0,SUMIFS(tblAuftraege[Ausgaben],tblAuftraege[Datum Ausgaben],"&gt;="&amp;AQ$5,tblAuftraege[Datum Ausgaben],"&lt;"&amp;EDATE(AQ$5,1),tblAuftraege[Auftrag],$A98))</f>
        <v>0</v>
      </c>
      <c r="AR98" s="11" t="n">
        <f aca="false">IF($A98="",0,SUMIFS(tblAuftraege[Ausgaben],tblAuftraege[Datum Ausgaben],"&gt;="&amp;AR$5,tblAuftraege[Datum Ausgaben],"&lt;"&amp;EDATE(AR$5,1),tblAuftraege[Auftrag],$A98))</f>
        <v>0</v>
      </c>
      <c r="AS98" s="11" t="n">
        <f aca="false">IF($A98="",0,SUMIFS(tblAuftraege[Ausgaben],tblAuftraege[Datum Ausgaben],"&gt;="&amp;AS$5,tblAuftraege[Datum Ausgaben],"&lt;"&amp;EDATE(AS$5,1),tblAuftraege[Auftrag],$A98))</f>
        <v>0</v>
      </c>
      <c r="AT98" s="11" t="n">
        <f aca="false">IF($A98="",0,SUMIFS(tblAuftraege[Ausgaben],tblAuftraege[Datum Ausgaben],"&gt;="&amp;AT$5,tblAuftraege[Datum Ausgaben],"&lt;"&amp;EDATE(AT$5,1),tblAuftraege[Auftrag],$A98))</f>
        <v>0</v>
      </c>
      <c r="AU98" s="11" t="n">
        <f aca="false">IF($A98="",0,SUMIFS(tblAuftraege[Ausgaben],tblAuftraege[Datum Ausgaben],"&gt;="&amp;AU$5,tblAuftraege[Datum Ausgaben],"&lt;"&amp;EDATE(AU$5,1),tblAuftraege[Auftrag],$A98))</f>
        <v>0</v>
      </c>
      <c r="AV98" s="11" t="n">
        <f aca="false">IF($A98="",0,SUMIFS(tblAuftraege[Ausgaben],tblAuftraege[Datum Ausgaben],"&gt;="&amp;AV$5,tblAuftraege[Datum Ausgaben],"&lt;"&amp;EDATE(AV$5,1),tblAuftraege[Auftrag],$A98))</f>
        <v>0</v>
      </c>
      <c r="AW98" s="11" t="n">
        <f aca="false">IF($A98="",0,SUMIFS(tblAuftraege[Ausgaben],tblAuftraege[Datum Ausgaben],"&gt;="&amp;AW$5,tblAuftraege[Datum Ausgaben],"&lt;"&amp;EDATE(AW$5,1),tblAuftraege[Auftrag],$A98))</f>
        <v>0</v>
      </c>
      <c r="AX98" s="11" t="n">
        <f aca="false">IF($A98="",0,SUMIFS(tblAuftraege[Ausgaben],tblAuftraege[Datum Ausgaben],"&gt;="&amp;AX$5,tblAuftraege[Datum Ausgaben],"&lt;"&amp;EDATE(AX$5,1),tblAuftraege[Auftrag],$A98))</f>
        <v>0</v>
      </c>
      <c r="AY98" s="11" t="n">
        <f aca="false">IF($A98="",0,SUMIFS(tblAuftraege[Ausgaben],tblAuftraege[Datum Ausgaben],"&gt;="&amp;AY$5,tblAuftraege[Datum Ausgaben],"&lt;"&amp;EDATE(AY$5,1),tblAuftraege[Auftrag],$A98))</f>
        <v>0</v>
      </c>
      <c r="AZ98" s="11" t="n">
        <f aca="false">IF($A98="",0,SUMIFS(tblAuftraege[Ausgaben],tblAuftraege[Datum Ausgaben],"&gt;="&amp;AZ$5,tblAuftraege[Datum Ausgaben],"&lt;"&amp;EDATE(AZ$5,1),tblAuftraege[Auftrag],$A98))</f>
        <v>0</v>
      </c>
      <c r="BA98" s="11" t="n">
        <f aca="false">IF($A98="",0,SUMIFS(tblAuftraege[Ausgaben],tblAuftraege[Datum Ausgaben],"&gt;="&amp;BA$5,tblAuftraege[Datum Ausgaben],"&lt;"&amp;EDATE(BA$5,1),tblAuftraege[Auftrag],$A98))</f>
        <v>0</v>
      </c>
      <c r="BB98" s="11" t="n">
        <f aca="false">IF($A98="",0,SUMIFS(tblAuftraege[Ausgaben],tblAuftraege[Datum Ausgaben],"&gt;="&amp;BB$5,tblAuftraege[Datum Ausgaben],"&lt;"&amp;EDATE(BB$5,1),tblAuftraege[Auftrag],$A98))</f>
        <v>0</v>
      </c>
      <c r="BC98" s="11" t="n">
        <f aca="false">IF($A98="",0,SUMIFS(tblAuftraege[Ausgaben],tblAuftraege[Datum Ausgaben],"&gt;="&amp;BC$5,tblAuftraege[Datum Ausgaben],"&lt;"&amp;EDATE(BC$5,1),tblAuftraege[Auftrag],$A98))</f>
        <v>0</v>
      </c>
      <c r="BD98" s="11" t="n">
        <f aca="false">IF($A98="",0,SUMIFS(tblAuftraege[Ausgaben],tblAuftraege[Datum Ausgaben],"&gt;="&amp;BD$5,tblAuftraege[Datum Ausgaben],"&lt;"&amp;EDATE(BD$5,1),tblAuftraege[Auftrag],$A98))</f>
        <v>0</v>
      </c>
      <c r="BE98" s="11" t="n">
        <f aca="false">IF($A98="",0,SUMIFS(tblAuftraege[Ausgaben],tblAuftraege[Datum Ausgaben],"&gt;="&amp;BE$5,tblAuftraege[Datum Ausgaben],"&lt;"&amp;EDATE(BE$5,1),tblAuftraege[Auftrag],$A98))</f>
        <v>0</v>
      </c>
      <c r="BF98" s="11" t="n">
        <f aca="false">IF($A98="",0,SUMIFS(tblAuftraege[Ausgaben],tblAuftraege[Datum Ausgaben],"&gt;="&amp;BF$5,tblAuftraege[Datum Ausgaben],"&lt;"&amp;EDATE(BF$5,1),tblAuftraege[Auftrag],$A98))</f>
        <v>0</v>
      </c>
      <c r="BG98" s="11" t="n">
        <f aca="false">SUM(E98:J98)</f>
        <v>0</v>
      </c>
      <c r="BH98" s="11" t="n">
        <f aca="false">SUM(K98:V98)</f>
        <v>0</v>
      </c>
      <c r="BI98" s="11" t="n">
        <f aca="false">SUM(W98:AH98)</f>
        <v>0</v>
      </c>
      <c r="BJ98" s="11" t="n">
        <f aca="false">SUM(AI98:AT98)</f>
        <v>0</v>
      </c>
      <c r="BK98" s="11" t="n">
        <f aca="false">SUM(AU98:BF98)</f>
        <v>0</v>
      </c>
      <c r="BL98" s="12" t="n">
        <f aca="false">SUM(E98:BF98)</f>
        <v>0</v>
      </c>
    </row>
    <row r="99" customFormat="false" ht="15" hidden="false" customHeight="false" outlineLevel="0" collapsed="false">
      <c r="A99" s="9"/>
      <c r="B99" s="10" t="str">
        <f aca="false">IF($A99="","",IFERROR(INDEX(tblAuftraege[Kostenstelle],MATCH($A99,tblAuftraege[Auftrag],0)),""))</f>
        <v/>
      </c>
      <c r="C99" s="10" t="str">
        <f aca="false">IF($A99="","",IFERROR(INDEX(tblAuftraege[Themenfeld],MATCH($A99,tblAuftraege[Auftrag],0)),""))</f>
        <v/>
      </c>
      <c r="D99" s="10" t="str">
        <f aca="false">IF($A99="","",IFERROR(INDEX(tblAuftraege[Kategorie],MATCH($A99,tblAuftraege[Auftrag],0)),""))</f>
        <v/>
      </c>
      <c r="E99" s="11" t="n">
        <f aca="false">IF($A99="",0,SUMIFS(tblAuftraege[Ausgaben],tblAuftraege[Datum Ausgaben],"&gt;="&amp;E$5,tblAuftraege[Datum Ausgaben],"&lt;"&amp;EDATE(E$5,1),tblAuftraege[Auftrag],$A99))</f>
        <v>0</v>
      </c>
      <c r="F99" s="11" t="n">
        <f aca="false">IF($A99="",0,SUMIFS(tblAuftraege[Ausgaben],tblAuftraege[Datum Ausgaben],"&gt;="&amp;F$5,tblAuftraege[Datum Ausgaben],"&lt;"&amp;EDATE(F$5,1),tblAuftraege[Auftrag],$A99))</f>
        <v>0</v>
      </c>
      <c r="G99" s="11" t="n">
        <f aca="false">IF($A99="",0,SUMIFS(tblAuftraege[Ausgaben],tblAuftraege[Datum Ausgaben],"&gt;="&amp;G$5,tblAuftraege[Datum Ausgaben],"&lt;"&amp;EDATE(G$5,1),tblAuftraege[Auftrag],$A99))</f>
        <v>0</v>
      </c>
      <c r="H99" s="11" t="n">
        <f aca="false">IF($A99="",0,SUMIFS(tblAuftraege[Ausgaben],tblAuftraege[Datum Ausgaben],"&gt;="&amp;H$5,tblAuftraege[Datum Ausgaben],"&lt;"&amp;EDATE(H$5,1),tblAuftraege[Auftrag],$A99))</f>
        <v>0</v>
      </c>
      <c r="I99" s="11" t="n">
        <f aca="false">IF($A99="",0,SUMIFS(tblAuftraege[Ausgaben],tblAuftraege[Datum Ausgaben],"&gt;="&amp;I$5,tblAuftraege[Datum Ausgaben],"&lt;"&amp;EDATE(I$5,1),tblAuftraege[Auftrag],$A99))</f>
        <v>0</v>
      </c>
      <c r="J99" s="11" t="n">
        <f aca="false">IF($A99="",0,SUMIFS(tblAuftraege[Ausgaben],tblAuftraege[Datum Ausgaben],"&gt;="&amp;J$5,tblAuftraege[Datum Ausgaben],"&lt;"&amp;EDATE(J$5,1),tblAuftraege[Auftrag],$A99))</f>
        <v>0</v>
      </c>
      <c r="K99" s="11" t="n">
        <f aca="false">IF($A99="",0,SUMIFS(tblAuftraege[Ausgaben],tblAuftraege[Datum Ausgaben],"&gt;="&amp;K$5,tblAuftraege[Datum Ausgaben],"&lt;"&amp;EDATE(K$5,1),tblAuftraege[Auftrag],$A99))</f>
        <v>0</v>
      </c>
      <c r="L99" s="11" t="n">
        <f aca="false">IF($A99="",0,SUMIFS(tblAuftraege[Ausgaben],tblAuftraege[Datum Ausgaben],"&gt;="&amp;L$5,tblAuftraege[Datum Ausgaben],"&lt;"&amp;EDATE(L$5,1),tblAuftraege[Auftrag],$A99))</f>
        <v>0</v>
      </c>
      <c r="M99" s="11" t="n">
        <f aca="false">IF($A99="",0,SUMIFS(tblAuftraege[Ausgaben],tblAuftraege[Datum Ausgaben],"&gt;="&amp;M$5,tblAuftraege[Datum Ausgaben],"&lt;"&amp;EDATE(M$5,1),tblAuftraege[Auftrag],$A99))</f>
        <v>0</v>
      </c>
      <c r="N99" s="11" t="n">
        <f aca="false">IF($A99="",0,SUMIFS(tblAuftraege[Ausgaben],tblAuftraege[Datum Ausgaben],"&gt;="&amp;N$5,tblAuftraege[Datum Ausgaben],"&lt;"&amp;EDATE(N$5,1),tblAuftraege[Auftrag],$A99))</f>
        <v>0</v>
      </c>
      <c r="O99" s="11" t="n">
        <f aca="false">IF($A99="",0,SUMIFS(tblAuftraege[Ausgaben],tblAuftraege[Datum Ausgaben],"&gt;="&amp;O$5,tblAuftraege[Datum Ausgaben],"&lt;"&amp;EDATE(O$5,1),tblAuftraege[Auftrag],$A99))</f>
        <v>0</v>
      </c>
      <c r="P99" s="11" t="n">
        <f aca="false">IF($A99="",0,SUMIFS(tblAuftraege[Ausgaben],tblAuftraege[Datum Ausgaben],"&gt;="&amp;P$5,tblAuftraege[Datum Ausgaben],"&lt;"&amp;EDATE(P$5,1),tblAuftraege[Auftrag],$A99))</f>
        <v>0</v>
      </c>
      <c r="Q99" s="11" t="n">
        <f aca="false">IF($A99="",0,SUMIFS(tblAuftraege[Ausgaben],tblAuftraege[Datum Ausgaben],"&gt;="&amp;Q$5,tblAuftraege[Datum Ausgaben],"&lt;"&amp;EDATE(Q$5,1),tblAuftraege[Auftrag],$A99))</f>
        <v>0</v>
      </c>
      <c r="R99" s="11" t="n">
        <f aca="false">IF($A99="",0,SUMIFS(tblAuftraege[Ausgaben],tblAuftraege[Datum Ausgaben],"&gt;="&amp;R$5,tblAuftraege[Datum Ausgaben],"&lt;"&amp;EDATE(R$5,1),tblAuftraege[Auftrag],$A99))</f>
        <v>0</v>
      </c>
      <c r="S99" s="11" t="n">
        <f aca="false">IF($A99="",0,SUMIFS(tblAuftraege[Ausgaben],tblAuftraege[Datum Ausgaben],"&gt;="&amp;S$5,tblAuftraege[Datum Ausgaben],"&lt;"&amp;EDATE(S$5,1),tblAuftraege[Auftrag],$A99))</f>
        <v>0</v>
      </c>
      <c r="T99" s="11" t="n">
        <f aca="false">IF($A99="",0,SUMIFS(tblAuftraege[Ausgaben],tblAuftraege[Datum Ausgaben],"&gt;="&amp;T$5,tblAuftraege[Datum Ausgaben],"&lt;"&amp;EDATE(T$5,1),tblAuftraege[Auftrag],$A99))</f>
        <v>0</v>
      </c>
      <c r="U99" s="11" t="n">
        <f aca="false">IF($A99="",0,SUMIFS(tblAuftraege[Ausgaben],tblAuftraege[Datum Ausgaben],"&gt;="&amp;U$5,tblAuftraege[Datum Ausgaben],"&lt;"&amp;EDATE(U$5,1),tblAuftraege[Auftrag],$A99))</f>
        <v>0</v>
      </c>
      <c r="V99" s="11" t="n">
        <f aca="false">IF($A99="",0,SUMIFS(tblAuftraege[Ausgaben],tblAuftraege[Datum Ausgaben],"&gt;="&amp;V$5,tblAuftraege[Datum Ausgaben],"&lt;"&amp;EDATE(V$5,1),tblAuftraege[Auftrag],$A99))</f>
        <v>0</v>
      </c>
      <c r="W99" s="11" t="n">
        <f aca="false">IF($A99="",0,SUMIFS(tblAuftraege[Ausgaben],tblAuftraege[Datum Ausgaben],"&gt;="&amp;W$5,tblAuftraege[Datum Ausgaben],"&lt;"&amp;EDATE(W$5,1),tblAuftraege[Auftrag],$A99))</f>
        <v>0</v>
      </c>
      <c r="X99" s="11" t="n">
        <f aca="false">IF($A99="",0,SUMIFS(tblAuftraege[Ausgaben],tblAuftraege[Datum Ausgaben],"&gt;="&amp;X$5,tblAuftraege[Datum Ausgaben],"&lt;"&amp;EDATE(X$5,1),tblAuftraege[Auftrag],$A99))</f>
        <v>0</v>
      </c>
      <c r="Y99" s="11" t="n">
        <f aca="false">IF($A99="",0,SUMIFS(tblAuftraege[Ausgaben],tblAuftraege[Datum Ausgaben],"&gt;="&amp;Y$5,tblAuftraege[Datum Ausgaben],"&lt;"&amp;EDATE(Y$5,1),tblAuftraege[Auftrag],$A99))</f>
        <v>0</v>
      </c>
      <c r="Z99" s="11" t="n">
        <f aca="false">IF($A99="",0,SUMIFS(tblAuftraege[Ausgaben],tblAuftraege[Datum Ausgaben],"&gt;="&amp;Z$5,tblAuftraege[Datum Ausgaben],"&lt;"&amp;EDATE(Z$5,1),tblAuftraege[Auftrag],$A99))</f>
        <v>0</v>
      </c>
      <c r="AA99" s="11" t="n">
        <f aca="false">IF($A99="",0,SUMIFS(tblAuftraege[Ausgaben],tblAuftraege[Datum Ausgaben],"&gt;="&amp;AA$5,tblAuftraege[Datum Ausgaben],"&lt;"&amp;EDATE(AA$5,1),tblAuftraege[Auftrag],$A99))</f>
        <v>0</v>
      </c>
      <c r="AB99" s="11" t="n">
        <f aca="false">IF($A99="",0,SUMIFS(tblAuftraege[Ausgaben],tblAuftraege[Datum Ausgaben],"&gt;="&amp;AB$5,tblAuftraege[Datum Ausgaben],"&lt;"&amp;EDATE(AB$5,1),tblAuftraege[Auftrag],$A99))</f>
        <v>0</v>
      </c>
      <c r="AC99" s="11" t="n">
        <f aca="false">IF($A99="",0,SUMIFS(tblAuftraege[Ausgaben],tblAuftraege[Datum Ausgaben],"&gt;="&amp;AC$5,tblAuftraege[Datum Ausgaben],"&lt;"&amp;EDATE(AC$5,1),tblAuftraege[Auftrag],$A99))</f>
        <v>0</v>
      </c>
      <c r="AD99" s="11" t="n">
        <f aca="false">IF($A99="",0,SUMIFS(tblAuftraege[Ausgaben],tblAuftraege[Datum Ausgaben],"&gt;="&amp;AD$5,tblAuftraege[Datum Ausgaben],"&lt;"&amp;EDATE(AD$5,1),tblAuftraege[Auftrag],$A99))</f>
        <v>0</v>
      </c>
      <c r="AE99" s="11" t="n">
        <f aca="false">IF($A99="",0,SUMIFS(tblAuftraege[Ausgaben],tblAuftraege[Datum Ausgaben],"&gt;="&amp;AE$5,tblAuftraege[Datum Ausgaben],"&lt;"&amp;EDATE(AE$5,1),tblAuftraege[Auftrag],$A99))</f>
        <v>0</v>
      </c>
      <c r="AF99" s="11" t="n">
        <f aca="false">IF($A99="",0,SUMIFS(tblAuftraege[Ausgaben],tblAuftraege[Datum Ausgaben],"&gt;="&amp;AF$5,tblAuftraege[Datum Ausgaben],"&lt;"&amp;EDATE(AF$5,1),tblAuftraege[Auftrag],$A99))</f>
        <v>0</v>
      </c>
      <c r="AG99" s="11" t="n">
        <f aca="false">IF($A99="",0,SUMIFS(tblAuftraege[Ausgaben],tblAuftraege[Datum Ausgaben],"&gt;="&amp;AG$5,tblAuftraege[Datum Ausgaben],"&lt;"&amp;EDATE(AG$5,1),tblAuftraege[Auftrag],$A99))</f>
        <v>0</v>
      </c>
      <c r="AH99" s="11" t="n">
        <f aca="false">IF($A99="",0,SUMIFS(tblAuftraege[Ausgaben],tblAuftraege[Datum Ausgaben],"&gt;="&amp;AH$5,tblAuftraege[Datum Ausgaben],"&lt;"&amp;EDATE(AH$5,1),tblAuftraege[Auftrag],$A99))</f>
        <v>0</v>
      </c>
      <c r="AI99" s="11" t="n">
        <f aca="false">IF($A99="",0,SUMIFS(tblAuftraege[Ausgaben],tblAuftraege[Datum Ausgaben],"&gt;="&amp;AI$5,tblAuftraege[Datum Ausgaben],"&lt;"&amp;EDATE(AI$5,1),tblAuftraege[Auftrag],$A99))</f>
        <v>0</v>
      </c>
      <c r="AJ99" s="11" t="n">
        <f aca="false">IF($A99="",0,SUMIFS(tblAuftraege[Ausgaben],tblAuftraege[Datum Ausgaben],"&gt;="&amp;AJ$5,tblAuftraege[Datum Ausgaben],"&lt;"&amp;EDATE(AJ$5,1),tblAuftraege[Auftrag],$A99))</f>
        <v>0</v>
      </c>
      <c r="AK99" s="11" t="n">
        <f aca="false">IF($A99="",0,SUMIFS(tblAuftraege[Ausgaben],tblAuftraege[Datum Ausgaben],"&gt;="&amp;AK$5,tblAuftraege[Datum Ausgaben],"&lt;"&amp;EDATE(AK$5,1),tblAuftraege[Auftrag],$A99))</f>
        <v>0</v>
      </c>
      <c r="AL99" s="11" t="n">
        <f aca="false">IF($A99="",0,SUMIFS(tblAuftraege[Ausgaben],tblAuftraege[Datum Ausgaben],"&gt;="&amp;AL$5,tblAuftraege[Datum Ausgaben],"&lt;"&amp;EDATE(AL$5,1),tblAuftraege[Auftrag],$A99))</f>
        <v>0</v>
      </c>
      <c r="AM99" s="11" t="n">
        <f aca="false">IF($A99="",0,SUMIFS(tblAuftraege[Ausgaben],tblAuftraege[Datum Ausgaben],"&gt;="&amp;AM$5,tblAuftraege[Datum Ausgaben],"&lt;"&amp;EDATE(AM$5,1),tblAuftraege[Auftrag],$A99))</f>
        <v>0</v>
      </c>
      <c r="AN99" s="11" t="n">
        <f aca="false">IF($A99="",0,SUMIFS(tblAuftraege[Ausgaben],tblAuftraege[Datum Ausgaben],"&gt;="&amp;AN$5,tblAuftraege[Datum Ausgaben],"&lt;"&amp;EDATE(AN$5,1),tblAuftraege[Auftrag],$A99))</f>
        <v>0</v>
      </c>
      <c r="AO99" s="11" t="n">
        <f aca="false">IF($A99="",0,SUMIFS(tblAuftraege[Ausgaben],tblAuftraege[Datum Ausgaben],"&gt;="&amp;AO$5,tblAuftraege[Datum Ausgaben],"&lt;"&amp;EDATE(AO$5,1),tblAuftraege[Auftrag],$A99))</f>
        <v>0</v>
      </c>
      <c r="AP99" s="11" t="n">
        <f aca="false">IF($A99="",0,SUMIFS(tblAuftraege[Ausgaben],tblAuftraege[Datum Ausgaben],"&gt;="&amp;AP$5,tblAuftraege[Datum Ausgaben],"&lt;"&amp;EDATE(AP$5,1),tblAuftraege[Auftrag],$A99))</f>
        <v>0</v>
      </c>
      <c r="AQ99" s="11" t="n">
        <f aca="false">IF($A99="",0,SUMIFS(tblAuftraege[Ausgaben],tblAuftraege[Datum Ausgaben],"&gt;="&amp;AQ$5,tblAuftraege[Datum Ausgaben],"&lt;"&amp;EDATE(AQ$5,1),tblAuftraege[Auftrag],$A99))</f>
        <v>0</v>
      </c>
      <c r="AR99" s="11" t="n">
        <f aca="false">IF($A99="",0,SUMIFS(tblAuftraege[Ausgaben],tblAuftraege[Datum Ausgaben],"&gt;="&amp;AR$5,tblAuftraege[Datum Ausgaben],"&lt;"&amp;EDATE(AR$5,1),tblAuftraege[Auftrag],$A99))</f>
        <v>0</v>
      </c>
      <c r="AS99" s="11" t="n">
        <f aca="false">IF($A99="",0,SUMIFS(tblAuftraege[Ausgaben],tblAuftraege[Datum Ausgaben],"&gt;="&amp;AS$5,tblAuftraege[Datum Ausgaben],"&lt;"&amp;EDATE(AS$5,1),tblAuftraege[Auftrag],$A99))</f>
        <v>0</v>
      </c>
      <c r="AT99" s="11" t="n">
        <f aca="false">IF($A99="",0,SUMIFS(tblAuftraege[Ausgaben],tblAuftraege[Datum Ausgaben],"&gt;="&amp;AT$5,tblAuftraege[Datum Ausgaben],"&lt;"&amp;EDATE(AT$5,1),tblAuftraege[Auftrag],$A99))</f>
        <v>0</v>
      </c>
      <c r="AU99" s="11" t="n">
        <f aca="false">IF($A99="",0,SUMIFS(tblAuftraege[Ausgaben],tblAuftraege[Datum Ausgaben],"&gt;="&amp;AU$5,tblAuftraege[Datum Ausgaben],"&lt;"&amp;EDATE(AU$5,1),tblAuftraege[Auftrag],$A99))</f>
        <v>0</v>
      </c>
      <c r="AV99" s="11" t="n">
        <f aca="false">IF($A99="",0,SUMIFS(tblAuftraege[Ausgaben],tblAuftraege[Datum Ausgaben],"&gt;="&amp;AV$5,tblAuftraege[Datum Ausgaben],"&lt;"&amp;EDATE(AV$5,1),tblAuftraege[Auftrag],$A99))</f>
        <v>0</v>
      </c>
      <c r="AW99" s="11" t="n">
        <f aca="false">IF($A99="",0,SUMIFS(tblAuftraege[Ausgaben],tblAuftraege[Datum Ausgaben],"&gt;="&amp;AW$5,tblAuftraege[Datum Ausgaben],"&lt;"&amp;EDATE(AW$5,1),tblAuftraege[Auftrag],$A99))</f>
        <v>0</v>
      </c>
      <c r="AX99" s="11" t="n">
        <f aca="false">IF($A99="",0,SUMIFS(tblAuftraege[Ausgaben],tblAuftraege[Datum Ausgaben],"&gt;="&amp;AX$5,tblAuftraege[Datum Ausgaben],"&lt;"&amp;EDATE(AX$5,1),tblAuftraege[Auftrag],$A99))</f>
        <v>0</v>
      </c>
      <c r="AY99" s="11" t="n">
        <f aca="false">IF($A99="",0,SUMIFS(tblAuftraege[Ausgaben],tblAuftraege[Datum Ausgaben],"&gt;="&amp;AY$5,tblAuftraege[Datum Ausgaben],"&lt;"&amp;EDATE(AY$5,1),tblAuftraege[Auftrag],$A99))</f>
        <v>0</v>
      </c>
      <c r="AZ99" s="11" t="n">
        <f aca="false">IF($A99="",0,SUMIFS(tblAuftraege[Ausgaben],tblAuftraege[Datum Ausgaben],"&gt;="&amp;AZ$5,tblAuftraege[Datum Ausgaben],"&lt;"&amp;EDATE(AZ$5,1),tblAuftraege[Auftrag],$A99))</f>
        <v>0</v>
      </c>
      <c r="BA99" s="11" t="n">
        <f aca="false">IF($A99="",0,SUMIFS(tblAuftraege[Ausgaben],tblAuftraege[Datum Ausgaben],"&gt;="&amp;BA$5,tblAuftraege[Datum Ausgaben],"&lt;"&amp;EDATE(BA$5,1),tblAuftraege[Auftrag],$A99))</f>
        <v>0</v>
      </c>
      <c r="BB99" s="11" t="n">
        <f aca="false">IF($A99="",0,SUMIFS(tblAuftraege[Ausgaben],tblAuftraege[Datum Ausgaben],"&gt;="&amp;BB$5,tblAuftraege[Datum Ausgaben],"&lt;"&amp;EDATE(BB$5,1),tblAuftraege[Auftrag],$A99))</f>
        <v>0</v>
      </c>
      <c r="BC99" s="11" t="n">
        <f aca="false">IF($A99="",0,SUMIFS(tblAuftraege[Ausgaben],tblAuftraege[Datum Ausgaben],"&gt;="&amp;BC$5,tblAuftraege[Datum Ausgaben],"&lt;"&amp;EDATE(BC$5,1),tblAuftraege[Auftrag],$A99))</f>
        <v>0</v>
      </c>
      <c r="BD99" s="11" t="n">
        <f aca="false">IF($A99="",0,SUMIFS(tblAuftraege[Ausgaben],tblAuftraege[Datum Ausgaben],"&gt;="&amp;BD$5,tblAuftraege[Datum Ausgaben],"&lt;"&amp;EDATE(BD$5,1),tblAuftraege[Auftrag],$A99))</f>
        <v>0</v>
      </c>
      <c r="BE99" s="11" t="n">
        <f aca="false">IF($A99="",0,SUMIFS(tblAuftraege[Ausgaben],tblAuftraege[Datum Ausgaben],"&gt;="&amp;BE$5,tblAuftraege[Datum Ausgaben],"&lt;"&amp;EDATE(BE$5,1),tblAuftraege[Auftrag],$A99))</f>
        <v>0</v>
      </c>
      <c r="BF99" s="11" t="n">
        <f aca="false">IF($A99="",0,SUMIFS(tblAuftraege[Ausgaben],tblAuftraege[Datum Ausgaben],"&gt;="&amp;BF$5,tblAuftraege[Datum Ausgaben],"&lt;"&amp;EDATE(BF$5,1),tblAuftraege[Auftrag],$A99))</f>
        <v>0</v>
      </c>
      <c r="BG99" s="11" t="n">
        <f aca="false">SUM(E99:J99)</f>
        <v>0</v>
      </c>
      <c r="BH99" s="11" t="n">
        <f aca="false">SUM(K99:V99)</f>
        <v>0</v>
      </c>
      <c r="BI99" s="11" t="n">
        <f aca="false">SUM(W99:AH99)</f>
        <v>0</v>
      </c>
      <c r="BJ99" s="11" t="n">
        <f aca="false">SUM(AI99:AT99)</f>
        <v>0</v>
      </c>
      <c r="BK99" s="11" t="n">
        <f aca="false">SUM(AU99:BF99)</f>
        <v>0</v>
      </c>
      <c r="BL99" s="12" t="n">
        <f aca="false">SUM(E99:BF99)</f>
        <v>0</v>
      </c>
    </row>
    <row r="100" customFormat="false" ht="15" hidden="false" customHeight="false" outlineLevel="0" collapsed="false">
      <c r="A100" s="9"/>
      <c r="B100" s="10" t="str">
        <f aca="false">IF($A100="","",IFERROR(INDEX(tblAuftraege[Kostenstelle],MATCH($A100,tblAuftraege[Auftrag],0)),""))</f>
        <v/>
      </c>
      <c r="C100" s="10" t="str">
        <f aca="false">IF($A100="","",IFERROR(INDEX(tblAuftraege[Themenfeld],MATCH($A100,tblAuftraege[Auftrag],0)),""))</f>
        <v/>
      </c>
      <c r="D100" s="10" t="str">
        <f aca="false">IF($A100="","",IFERROR(INDEX(tblAuftraege[Kategorie],MATCH($A100,tblAuftraege[Auftrag],0)),""))</f>
        <v/>
      </c>
      <c r="E100" s="11" t="n">
        <f aca="false">IF($A100="",0,SUMIFS(tblAuftraege[Ausgaben],tblAuftraege[Datum Ausgaben],"&gt;="&amp;E$5,tblAuftraege[Datum Ausgaben],"&lt;"&amp;EDATE(E$5,1),tblAuftraege[Auftrag],$A100))</f>
        <v>0</v>
      </c>
      <c r="F100" s="11" t="n">
        <f aca="false">IF($A100="",0,SUMIFS(tblAuftraege[Ausgaben],tblAuftraege[Datum Ausgaben],"&gt;="&amp;F$5,tblAuftraege[Datum Ausgaben],"&lt;"&amp;EDATE(F$5,1),tblAuftraege[Auftrag],$A100))</f>
        <v>0</v>
      </c>
      <c r="G100" s="11" t="n">
        <f aca="false">IF($A100="",0,SUMIFS(tblAuftraege[Ausgaben],tblAuftraege[Datum Ausgaben],"&gt;="&amp;G$5,tblAuftraege[Datum Ausgaben],"&lt;"&amp;EDATE(G$5,1),tblAuftraege[Auftrag],$A100))</f>
        <v>0</v>
      </c>
      <c r="H100" s="11" t="n">
        <f aca="false">IF($A100="",0,SUMIFS(tblAuftraege[Ausgaben],tblAuftraege[Datum Ausgaben],"&gt;="&amp;H$5,tblAuftraege[Datum Ausgaben],"&lt;"&amp;EDATE(H$5,1),tblAuftraege[Auftrag],$A100))</f>
        <v>0</v>
      </c>
      <c r="I100" s="11" t="n">
        <f aca="false">IF($A100="",0,SUMIFS(tblAuftraege[Ausgaben],tblAuftraege[Datum Ausgaben],"&gt;="&amp;I$5,tblAuftraege[Datum Ausgaben],"&lt;"&amp;EDATE(I$5,1),tblAuftraege[Auftrag],$A100))</f>
        <v>0</v>
      </c>
      <c r="J100" s="11" t="n">
        <f aca="false">IF($A100="",0,SUMIFS(tblAuftraege[Ausgaben],tblAuftraege[Datum Ausgaben],"&gt;="&amp;J$5,tblAuftraege[Datum Ausgaben],"&lt;"&amp;EDATE(J$5,1),tblAuftraege[Auftrag],$A100))</f>
        <v>0</v>
      </c>
      <c r="K100" s="11" t="n">
        <f aca="false">IF($A100="",0,SUMIFS(tblAuftraege[Ausgaben],tblAuftraege[Datum Ausgaben],"&gt;="&amp;K$5,tblAuftraege[Datum Ausgaben],"&lt;"&amp;EDATE(K$5,1),tblAuftraege[Auftrag],$A100))</f>
        <v>0</v>
      </c>
      <c r="L100" s="11" t="n">
        <f aca="false">IF($A100="",0,SUMIFS(tblAuftraege[Ausgaben],tblAuftraege[Datum Ausgaben],"&gt;="&amp;L$5,tblAuftraege[Datum Ausgaben],"&lt;"&amp;EDATE(L$5,1),tblAuftraege[Auftrag],$A100))</f>
        <v>0</v>
      </c>
      <c r="M100" s="11" t="n">
        <f aca="false">IF($A100="",0,SUMIFS(tblAuftraege[Ausgaben],tblAuftraege[Datum Ausgaben],"&gt;="&amp;M$5,tblAuftraege[Datum Ausgaben],"&lt;"&amp;EDATE(M$5,1),tblAuftraege[Auftrag],$A100))</f>
        <v>0</v>
      </c>
      <c r="N100" s="11" t="n">
        <f aca="false">IF($A100="",0,SUMIFS(tblAuftraege[Ausgaben],tblAuftraege[Datum Ausgaben],"&gt;="&amp;N$5,tblAuftraege[Datum Ausgaben],"&lt;"&amp;EDATE(N$5,1),tblAuftraege[Auftrag],$A100))</f>
        <v>0</v>
      </c>
      <c r="O100" s="11" t="n">
        <f aca="false">IF($A100="",0,SUMIFS(tblAuftraege[Ausgaben],tblAuftraege[Datum Ausgaben],"&gt;="&amp;O$5,tblAuftraege[Datum Ausgaben],"&lt;"&amp;EDATE(O$5,1),tblAuftraege[Auftrag],$A100))</f>
        <v>0</v>
      </c>
      <c r="P100" s="11" t="n">
        <f aca="false">IF($A100="",0,SUMIFS(tblAuftraege[Ausgaben],tblAuftraege[Datum Ausgaben],"&gt;="&amp;P$5,tblAuftraege[Datum Ausgaben],"&lt;"&amp;EDATE(P$5,1),tblAuftraege[Auftrag],$A100))</f>
        <v>0</v>
      </c>
      <c r="Q100" s="11" t="n">
        <f aca="false">IF($A100="",0,SUMIFS(tblAuftraege[Ausgaben],tblAuftraege[Datum Ausgaben],"&gt;="&amp;Q$5,tblAuftraege[Datum Ausgaben],"&lt;"&amp;EDATE(Q$5,1),tblAuftraege[Auftrag],$A100))</f>
        <v>0</v>
      </c>
      <c r="R100" s="11" t="n">
        <f aca="false">IF($A100="",0,SUMIFS(tblAuftraege[Ausgaben],tblAuftraege[Datum Ausgaben],"&gt;="&amp;R$5,tblAuftraege[Datum Ausgaben],"&lt;"&amp;EDATE(R$5,1),tblAuftraege[Auftrag],$A100))</f>
        <v>0</v>
      </c>
      <c r="S100" s="11" t="n">
        <f aca="false">IF($A100="",0,SUMIFS(tblAuftraege[Ausgaben],tblAuftraege[Datum Ausgaben],"&gt;="&amp;S$5,tblAuftraege[Datum Ausgaben],"&lt;"&amp;EDATE(S$5,1),tblAuftraege[Auftrag],$A100))</f>
        <v>0</v>
      </c>
      <c r="T100" s="11" t="n">
        <f aca="false">IF($A100="",0,SUMIFS(tblAuftraege[Ausgaben],tblAuftraege[Datum Ausgaben],"&gt;="&amp;T$5,tblAuftraege[Datum Ausgaben],"&lt;"&amp;EDATE(T$5,1),tblAuftraege[Auftrag],$A100))</f>
        <v>0</v>
      </c>
      <c r="U100" s="11" t="n">
        <f aca="false">IF($A100="",0,SUMIFS(tblAuftraege[Ausgaben],tblAuftraege[Datum Ausgaben],"&gt;="&amp;U$5,tblAuftraege[Datum Ausgaben],"&lt;"&amp;EDATE(U$5,1),tblAuftraege[Auftrag],$A100))</f>
        <v>0</v>
      </c>
      <c r="V100" s="11" t="n">
        <f aca="false">IF($A100="",0,SUMIFS(tblAuftraege[Ausgaben],tblAuftraege[Datum Ausgaben],"&gt;="&amp;V$5,tblAuftraege[Datum Ausgaben],"&lt;"&amp;EDATE(V$5,1),tblAuftraege[Auftrag],$A100))</f>
        <v>0</v>
      </c>
      <c r="W100" s="11" t="n">
        <f aca="false">IF($A100="",0,SUMIFS(tblAuftraege[Ausgaben],tblAuftraege[Datum Ausgaben],"&gt;="&amp;W$5,tblAuftraege[Datum Ausgaben],"&lt;"&amp;EDATE(W$5,1),tblAuftraege[Auftrag],$A100))</f>
        <v>0</v>
      </c>
      <c r="X100" s="11" t="n">
        <f aca="false">IF($A100="",0,SUMIFS(tblAuftraege[Ausgaben],tblAuftraege[Datum Ausgaben],"&gt;="&amp;X$5,tblAuftraege[Datum Ausgaben],"&lt;"&amp;EDATE(X$5,1),tblAuftraege[Auftrag],$A100))</f>
        <v>0</v>
      </c>
      <c r="Y100" s="11" t="n">
        <f aca="false">IF($A100="",0,SUMIFS(tblAuftraege[Ausgaben],tblAuftraege[Datum Ausgaben],"&gt;="&amp;Y$5,tblAuftraege[Datum Ausgaben],"&lt;"&amp;EDATE(Y$5,1),tblAuftraege[Auftrag],$A100))</f>
        <v>0</v>
      </c>
      <c r="Z100" s="11" t="n">
        <f aca="false">IF($A100="",0,SUMIFS(tblAuftraege[Ausgaben],tblAuftraege[Datum Ausgaben],"&gt;="&amp;Z$5,tblAuftraege[Datum Ausgaben],"&lt;"&amp;EDATE(Z$5,1),tblAuftraege[Auftrag],$A100))</f>
        <v>0</v>
      </c>
      <c r="AA100" s="11" t="n">
        <f aca="false">IF($A100="",0,SUMIFS(tblAuftraege[Ausgaben],tblAuftraege[Datum Ausgaben],"&gt;="&amp;AA$5,tblAuftraege[Datum Ausgaben],"&lt;"&amp;EDATE(AA$5,1),tblAuftraege[Auftrag],$A100))</f>
        <v>0</v>
      </c>
      <c r="AB100" s="11" t="n">
        <f aca="false">IF($A100="",0,SUMIFS(tblAuftraege[Ausgaben],tblAuftraege[Datum Ausgaben],"&gt;="&amp;AB$5,tblAuftraege[Datum Ausgaben],"&lt;"&amp;EDATE(AB$5,1),tblAuftraege[Auftrag],$A100))</f>
        <v>0</v>
      </c>
      <c r="AC100" s="11" t="n">
        <f aca="false">IF($A100="",0,SUMIFS(tblAuftraege[Ausgaben],tblAuftraege[Datum Ausgaben],"&gt;="&amp;AC$5,tblAuftraege[Datum Ausgaben],"&lt;"&amp;EDATE(AC$5,1),tblAuftraege[Auftrag],$A100))</f>
        <v>0</v>
      </c>
      <c r="AD100" s="11" t="n">
        <f aca="false">IF($A100="",0,SUMIFS(tblAuftraege[Ausgaben],tblAuftraege[Datum Ausgaben],"&gt;="&amp;AD$5,tblAuftraege[Datum Ausgaben],"&lt;"&amp;EDATE(AD$5,1),tblAuftraege[Auftrag],$A100))</f>
        <v>0</v>
      </c>
      <c r="AE100" s="11" t="n">
        <f aca="false">IF($A100="",0,SUMIFS(tblAuftraege[Ausgaben],tblAuftraege[Datum Ausgaben],"&gt;="&amp;AE$5,tblAuftraege[Datum Ausgaben],"&lt;"&amp;EDATE(AE$5,1),tblAuftraege[Auftrag],$A100))</f>
        <v>0</v>
      </c>
      <c r="AF100" s="11" t="n">
        <f aca="false">IF($A100="",0,SUMIFS(tblAuftraege[Ausgaben],tblAuftraege[Datum Ausgaben],"&gt;="&amp;AF$5,tblAuftraege[Datum Ausgaben],"&lt;"&amp;EDATE(AF$5,1),tblAuftraege[Auftrag],$A100))</f>
        <v>0</v>
      </c>
      <c r="AG100" s="11" t="n">
        <f aca="false">IF($A100="",0,SUMIFS(tblAuftraege[Ausgaben],tblAuftraege[Datum Ausgaben],"&gt;="&amp;AG$5,tblAuftraege[Datum Ausgaben],"&lt;"&amp;EDATE(AG$5,1),tblAuftraege[Auftrag],$A100))</f>
        <v>0</v>
      </c>
      <c r="AH100" s="11" t="n">
        <f aca="false">IF($A100="",0,SUMIFS(tblAuftraege[Ausgaben],tblAuftraege[Datum Ausgaben],"&gt;="&amp;AH$5,tblAuftraege[Datum Ausgaben],"&lt;"&amp;EDATE(AH$5,1),tblAuftraege[Auftrag],$A100))</f>
        <v>0</v>
      </c>
      <c r="AI100" s="11" t="n">
        <f aca="false">IF($A100="",0,SUMIFS(tblAuftraege[Ausgaben],tblAuftraege[Datum Ausgaben],"&gt;="&amp;AI$5,tblAuftraege[Datum Ausgaben],"&lt;"&amp;EDATE(AI$5,1),tblAuftraege[Auftrag],$A100))</f>
        <v>0</v>
      </c>
      <c r="AJ100" s="11" t="n">
        <f aca="false">IF($A100="",0,SUMIFS(tblAuftraege[Ausgaben],tblAuftraege[Datum Ausgaben],"&gt;="&amp;AJ$5,tblAuftraege[Datum Ausgaben],"&lt;"&amp;EDATE(AJ$5,1),tblAuftraege[Auftrag],$A100))</f>
        <v>0</v>
      </c>
      <c r="AK100" s="11" t="n">
        <f aca="false">IF($A100="",0,SUMIFS(tblAuftraege[Ausgaben],tblAuftraege[Datum Ausgaben],"&gt;="&amp;AK$5,tblAuftraege[Datum Ausgaben],"&lt;"&amp;EDATE(AK$5,1),tblAuftraege[Auftrag],$A100))</f>
        <v>0</v>
      </c>
      <c r="AL100" s="11" t="n">
        <f aca="false">IF($A100="",0,SUMIFS(tblAuftraege[Ausgaben],tblAuftraege[Datum Ausgaben],"&gt;="&amp;AL$5,tblAuftraege[Datum Ausgaben],"&lt;"&amp;EDATE(AL$5,1),tblAuftraege[Auftrag],$A100))</f>
        <v>0</v>
      </c>
      <c r="AM100" s="11" t="n">
        <f aca="false">IF($A100="",0,SUMIFS(tblAuftraege[Ausgaben],tblAuftraege[Datum Ausgaben],"&gt;="&amp;AM$5,tblAuftraege[Datum Ausgaben],"&lt;"&amp;EDATE(AM$5,1),tblAuftraege[Auftrag],$A100))</f>
        <v>0</v>
      </c>
      <c r="AN100" s="11" t="n">
        <f aca="false">IF($A100="",0,SUMIFS(tblAuftraege[Ausgaben],tblAuftraege[Datum Ausgaben],"&gt;="&amp;AN$5,tblAuftraege[Datum Ausgaben],"&lt;"&amp;EDATE(AN$5,1),tblAuftraege[Auftrag],$A100))</f>
        <v>0</v>
      </c>
      <c r="AO100" s="11" t="n">
        <f aca="false">IF($A100="",0,SUMIFS(tblAuftraege[Ausgaben],tblAuftraege[Datum Ausgaben],"&gt;="&amp;AO$5,tblAuftraege[Datum Ausgaben],"&lt;"&amp;EDATE(AO$5,1),tblAuftraege[Auftrag],$A100))</f>
        <v>0</v>
      </c>
      <c r="AP100" s="11" t="n">
        <f aca="false">IF($A100="",0,SUMIFS(tblAuftraege[Ausgaben],tblAuftraege[Datum Ausgaben],"&gt;="&amp;AP$5,tblAuftraege[Datum Ausgaben],"&lt;"&amp;EDATE(AP$5,1),tblAuftraege[Auftrag],$A100))</f>
        <v>0</v>
      </c>
      <c r="AQ100" s="11" t="n">
        <f aca="false">IF($A100="",0,SUMIFS(tblAuftraege[Ausgaben],tblAuftraege[Datum Ausgaben],"&gt;="&amp;AQ$5,tblAuftraege[Datum Ausgaben],"&lt;"&amp;EDATE(AQ$5,1),tblAuftraege[Auftrag],$A100))</f>
        <v>0</v>
      </c>
      <c r="AR100" s="11" t="n">
        <f aca="false">IF($A100="",0,SUMIFS(tblAuftraege[Ausgaben],tblAuftraege[Datum Ausgaben],"&gt;="&amp;AR$5,tblAuftraege[Datum Ausgaben],"&lt;"&amp;EDATE(AR$5,1),tblAuftraege[Auftrag],$A100))</f>
        <v>0</v>
      </c>
      <c r="AS100" s="11" t="n">
        <f aca="false">IF($A100="",0,SUMIFS(tblAuftraege[Ausgaben],tblAuftraege[Datum Ausgaben],"&gt;="&amp;AS$5,tblAuftraege[Datum Ausgaben],"&lt;"&amp;EDATE(AS$5,1),tblAuftraege[Auftrag],$A100))</f>
        <v>0</v>
      </c>
      <c r="AT100" s="11" t="n">
        <f aca="false">IF($A100="",0,SUMIFS(tblAuftraege[Ausgaben],tblAuftraege[Datum Ausgaben],"&gt;="&amp;AT$5,tblAuftraege[Datum Ausgaben],"&lt;"&amp;EDATE(AT$5,1),tblAuftraege[Auftrag],$A100))</f>
        <v>0</v>
      </c>
      <c r="AU100" s="11" t="n">
        <f aca="false">IF($A100="",0,SUMIFS(tblAuftraege[Ausgaben],tblAuftraege[Datum Ausgaben],"&gt;="&amp;AU$5,tblAuftraege[Datum Ausgaben],"&lt;"&amp;EDATE(AU$5,1),tblAuftraege[Auftrag],$A100))</f>
        <v>0</v>
      </c>
      <c r="AV100" s="11" t="n">
        <f aca="false">IF($A100="",0,SUMIFS(tblAuftraege[Ausgaben],tblAuftraege[Datum Ausgaben],"&gt;="&amp;AV$5,tblAuftraege[Datum Ausgaben],"&lt;"&amp;EDATE(AV$5,1),tblAuftraege[Auftrag],$A100))</f>
        <v>0</v>
      </c>
      <c r="AW100" s="11" t="n">
        <f aca="false">IF($A100="",0,SUMIFS(tblAuftraege[Ausgaben],tblAuftraege[Datum Ausgaben],"&gt;="&amp;AW$5,tblAuftraege[Datum Ausgaben],"&lt;"&amp;EDATE(AW$5,1),tblAuftraege[Auftrag],$A100))</f>
        <v>0</v>
      </c>
      <c r="AX100" s="11" t="n">
        <f aca="false">IF($A100="",0,SUMIFS(tblAuftraege[Ausgaben],tblAuftraege[Datum Ausgaben],"&gt;="&amp;AX$5,tblAuftraege[Datum Ausgaben],"&lt;"&amp;EDATE(AX$5,1),tblAuftraege[Auftrag],$A100))</f>
        <v>0</v>
      </c>
      <c r="AY100" s="11" t="n">
        <f aca="false">IF($A100="",0,SUMIFS(tblAuftraege[Ausgaben],tblAuftraege[Datum Ausgaben],"&gt;="&amp;AY$5,tblAuftraege[Datum Ausgaben],"&lt;"&amp;EDATE(AY$5,1),tblAuftraege[Auftrag],$A100))</f>
        <v>0</v>
      </c>
      <c r="AZ100" s="11" t="n">
        <f aca="false">IF($A100="",0,SUMIFS(tblAuftraege[Ausgaben],tblAuftraege[Datum Ausgaben],"&gt;="&amp;AZ$5,tblAuftraege[Datum Ausgaben],"&lt;"&amp;EDATE(AZ$5,1),tblAuftraege[Auftrag],$A100))</f>
        <v>0</v>
      </c>
      <c r="BA100" s="11" t="n">
        <f aca="false">IF($A100="",0,SUMIFS(tblAuftraege[Ausgaben],tblAuftraege[Datum Ausgaben],"&gt;="&amp;BA$5,tblAuftraege[Datum Ausgaben],"&lt;"&amp;EDATE(BA$5,1),tblAuftraege[Auftrag],$A100))</f>
        <v>0</v>
      </c>
      <c r="BB100" s="11" t="n">
        <f aca="false">IF($A100="",0,SUMIFS(tblAuftraege[Ausgaben],tblAuftraege[Datum Ausgaben],"&gt;="&amp;BB$5,tblAuftraege[Datum Ausgaben],"&lt;"&amp;EDATE(BB$5,1),tblAuftraege[Auftrag],$A100))</f>
        <v>0</v>
      </c>
      <c r="BC100" s="11" t="n">
        <f aca="false">IF($A100="",0,SUMIFS(tblAuftraege[Ausgaben],tblAuftraege[Datum Ausgaben],"&gt;="&amp;BC$5,tblAuftraege[Datum Ausgaben],"&lt;"&amp;EDATE(BC$5,1),tblAuftraege[Auftrag],$A100))</f>
        <v>0</v>
      </c>
      <c r="BD100" s="11" t="n">
        <f aca="false">IF($A100="",0,SUMIFS(tblAuftraege[Ausgaben],tblAuftraege[Datum Ausgaben],"&gt;="&amp;BD$5,tblAuftraege[Datum Ausgaben],"&lt;"&amp;EDATE(BD$5,1),tblAuftraege[Auftrag],$A100))</f>
        <v>0</v>
      </c>
      <c r="BE100" s="11" t="n">
        <f aca="false">IF($A100="",0,SUMIFS(tblAuftraege[Ausgaben],tblAuftraege[Datum Ausgaben],"&gt;="&amp;BE$5,tblAuftraege[Datum Ausgaben],"&lt;"&amp;EDATE(BE$5,1),tblAuftraege[Auftrag],$A100))</f>
        <v>0</v>
      </c>
      <c r="BF100" s="11" t="n">
        <f aca="false">IF($A100="",0,SUMIFS(tblAuftraege[Ausgaben],tblAuftraege[Datum Ausgaben],"&gt;="&amp;BF$5,tblAuftraege[Datum Ausgaben],"&lt;"&amp;EDATE(BF$5,1),tblAuftraege[Auftrag],$A100))</f>
        <v>0</v>
      </c>
      <c r="BG100" s="11" t="n">
        <f aca="false">SUM(E100:J100)</f>
        <v>0</v>
      </c>
      <c r="BH100" s="11" t="n">
        <f aca="false">SUM(K100:V100)</f>
        <v>0</v>
      </c>
      <c r="BI100" s="11" t="n">
        <f aca="false">SUM(W100:AH100)</f>
        <v>0</v>
      </c>
      <c r="BJ100" s="11" t="n">
        <f aca="false">SUM(AI100:AT100)</f>
        <v>0</v>
      </c>
      <c r="BK100" s="11" t="n">
        <f aca="false">SUM(AU100:BF100)</f>
        <v>0</v>
      </c>
      <c r="BL100" s="12" t="n">
        <f aca="false">SUM(E100:BF100)</f>
        <v>0</v>
      </c>
    </row>
    <row r="101" customFormat="false" ht="15" hidden="false" customHeight="false" outlineLevel="0" collapsed="false">
      <c r="A101" s="9"/>
      <c r="B101" s="10" t="str">
        <f aca="false">IF($A101="","",IFERROR(INDEX(tblAuftraege[Kostenstelle],MATCH($A101,tblAuftraege[Auftrag],0)),""))</f>
        <v/>
      </c>
      <c r="C101" s="10" t="str">
        <f aca="false">IF($A101="","",IFERROR(INDEX(tblAuftraege[Themenfeld],MATCH($A101,tblAuftraege[Auftrag],0)),""))</f>
        <v/>
      </c>
      <c r="D101" s="10" t="str">
        <f aca="false">IF($A101="","",IFERROR(INDEX(tblAuftraege[Kategorie],MATCH($A101,tblAuftraege[Auftrag],0)),""))</f>
        <v/>
      </c>
      <c r="E101" s="11" t="n">
        <f aca="false">IF($A101="",0,SUMIFS(tblAuftraege[Ausgaben],tblAuftraege[Datum Ausgaben],"&gt;="&amp;E$5,tblAuftraege[Datum Ausgaben],"&lt;"&amp;EDATE(E$5,1),tblAuftraege[Auftrag],$A101))</f>
        <v>0</v>
      </c>
      <c r="F101" s="11" t="n">
        <f aca="false">IF($A101="",0,SUMIFS(tblAuftraege[Ausgaben],tblAuftraege[Datum Ausgaben],"&gt;="&amp;F$5,tblAuftraege[Datum Ausgaben],"&lt;"&amp;EDATE(F$5,1),tblAuftraege[Auftrag],$A101))</f>
        <v>0</v>
      </c>
      <c r="G101" s="11" t="n">
        <f aca="false">IF($A101="",0,SUMIFS(tblAuftraege[Ausgaben],tblAuftraege[Datum Ausgaben],"&gt;="&amp;G$5,tblAuftraege[Datum Ausgaben],"&lt;"&amp;EDATE(G$5,1),tblAuftraege[Auftrag],$A101))</f>
        <v>0</v>
      </c>
      <c r="H101" s="11" t="n">
        <f aca="false">IF($A101="",0,SUMIFS(tblAuftraege[Ausgaben],tblAuftraege[Datum Ausgaben],"&gt;="&amp;H$5,tblAuftraege[Datum Ausgaben],"&lt;"&amp;EDATE(H$5,1),tblAuftraege[Auftrag],$A101))</f>
        <v>0</v>
      </c>
      <c r="I101" s="11" t="n">
        <f aca="false">IF($A101="",0,SUMIFS(tblAuftraege[Ausgaben],tblAuftraege[Datum Ausgaben],"&gt;="&amp;I$5,tblAuftraege[Datum Ausgaben],"&lt;"&amp;EDATE(I$5,1),tblAuftraege[Auftrag],$A101))</f>
        <v>0</v>
      </c>
      <c r="J101" s="11" t="n">
        <f aca="false">IF($A101="",0,SUMIFS(tblAuftraege[Ausgaben],tblAuftraege[Datum Ausgaben],"&gt;="&amp;J$5,tblAuftraege[Datum Ausgaben],"&lt;"&amp;EDATE(J$5,1),tblAuftraege[Auftrag],$A101))</f>
        <v>0</v>
      </c>
      <c r="K101" s="11" t="n">
        <f aca="false">IF($A101="",0,SUMIFS(tblAuftraege[Ausgaben],tblAuftraege[Datum Ausgaben],"&gt;="&amp;K$5,tblAuftraege[Datum Ausgaben],"&lt;"&amp;EDATE(K$5,1),tblAuftraege[Auftrag],$A101))</f>
        <v>0</v>
      </c>
      <c r="L101" s="11" t="n">
        <f aca="false">IF($A101="",0,SUMIFS(tblAuftraege[Ausgaben],tblAuftraege[Datum Ausgaben],"&gt;="&amp;L$5,tblAuftraege[Datum Ausgaben],"&lt;"&amp;EDATE(L$5,1),tblAuftraege[Auftrag],$A101))</f>
        <v>0</v>
      </c>
      <c r="M101" s="11" t="n">
        <f aca="false">IF($A101="",0,SUMIFS(tblAuftraege[Ausgaben],tblAuftraege[Datum Ausgaben],"&gt;="&amp;M$5,tblAuftraege[Datum Ausgaben],"&lt;"&amp;EDATE(M$5,1),tblAuftraege[Auftrag],$A101))</f>
        <v>0</v>
      </c>
      <c r="N101" s="11" t="n">
        <f aca="false">IF($A101="",0,SUMIFS(tblAuftraege[Ausgaben],tblAuftraege[Datum Ausgaben],"&gt;="&amp;N$5,tblAuftraege[Datum Ausgaben],"&lt;"&amp;EDATE(N$5,1),tblAuftraege[Auftrag],$A101))</f>
        <v>0</v>
      </c>
      <c r="O101" s="11" t="n">
        <f aca="false">IF($A101="",0,SUMIFS(tblAuftraege[Ausgaben],tblAuftraege[Datum Ausgaben],"&gt;="&amp;O$5,tblAuftraege[Datum Ausgaben],"&lt;"&amp;EDATE(O$5,1),tblAuftraege[Auftrag],$A101))</f>
        <v>0</v>
      </c>
      <c r="P101" s="11" t="n">
        <f aca="false">IF($A101="",0,SUMIFS(tblAuftraege[Ausgaben],tblAuftraege[Datum Ausgaben],"&gt;="&amp;P$5,tblAuftraege[Datum Ausgaben],"&lt;"&amp;EDATE(P$5,1),tblAuftraege[Auftrag],$A101))</f>
        <v>0</v>
      </c>
      <c r="Q101" s="11" t="n">
        <f aca="false">IF($A101="",0,SUMIFS(tblAuftraege[Ausgaben],tblAuftraege[Datum Ausgaben],"&gt;="&amp;Q$5,tblAuftraege[Datum Ausgaben],"&lt;"&amp;EDATE(Q$5,1),tblAuftraege[Auftrag],$A101))</f>
        <v>0</v>
      </c>
      <c r="R101" s="11" t="n">
        <f aca="false">IF($A101="",0,SUMIFS(tblAuftraege[Ausgaben],tblAuftraege[Datum Ausgaben],"&gt;="&amp;R$5,tblAuftraege[Datum Ausgaben],"&lt;"&amp;EDATE(R$5,1),tblAuftraege[Auftrag],$A101))</f>
        <v>0</v>
      </c>
      <c r="S101" s="11" t="n">
        <f aca="false">IF($A101="",0,SUMIFS(tblAuftraege[Ausgaben],tblAuftraege[Datum Ausgaben],"&gt;="&amp;S$5,tblAuftraege[Datum Ausgaben],"&lt;"&amp;EDATE(S$5,1),tblAuftraege[Auftrag],$A101))</f>
        <v>0</v>
      </c>
      <c r="T101" s="11" t="n">
        <f aca="false">IF($A101="",0,SUMIFS(tblAuftraege[Ausgaben],tblAuftraege[Datum Ausgaben],"&gt;="&amp;T$5,tblAuftraege[Datum Ausgaben],"&lt;"&amp;EDATE(T$5,1),tblAuftraege[Auftrag],$A101))</f>
        <v>0</v>
      </c>
      <c r="U101" s="11" t="n">
        <f aca="false">IF($A101="",0,SUMIFS(tblAuftraege[Ausgaben],tblAuftraege[Datum Ausgaben],"&gt;="&amp;U$5,tblAuftraege[Datum Ausgaben],"&lt;"&amp;EDATE(U$5,1),tblAuftraege[Auftrag],$A101))</f>
        <v>0</v>
      </c>
      <c r="V101" s="11" t="n">
        <f aca="false">IF($A101="",0,SUMIFS(tblAuftraege[Ausgaben],tblAuftraege[Datum Ausgaben],"&gt;="&amp;V$5,tblAuftraege[Datum Ausgaben],"&lt;"&amp;EDATE(V$5,1),tblAuftraege[Auftrag],$A101))</f>
        <v>0</v>
      </c>
      <c r="W101" s="11" t="n">
        <f aca="false">IF($A101="",0,SUMIFS(tblAuftraege[Ausgaben],tblAuftraege[Datum Ausgaben],"&gt;="&amp;W$5,tblAuftraege[Datum Ausgaben],"&lt;"&amp;EDATE(W$5,1),tblAuftraege[Auftrag],$A101))</f>
        <v>0</v>
      </c>
      <c r="X101" s="11" t="n">
        <f aca="false">IF($A101="",0,SUMIFS(tblAuftraege[Ausgaben],tblAuftraege[Datum Ausgaben],"&gt;="&amp;X$5,tblAuftraege[Datum Ausgaben],"&lt;"&amp;EDATE(X$5,1),tblAuftraege[Auftrag],$A101))</f>
        <v>0</v>
      </c>
      <c r="Y101" s="11" t="n">
        <f aca="false">IF($A101="",0,SUMIFS(tblAuftraege[Ausgaben],tblAuftraege[Datum Ausgaben],"&gt;="&amp;Y$5,tblAuftraege[Datum Ausgaben],"&lt;"&amp;EDATE(Y$5,1),tblAuftraege[Auftrag],$A101))</f>
        <v>0</v>
      </c>
      <c r="Z101" s="11" t="n">
        <f aca="false">IF($A101="",0,SUMIFS(tblAuftraege[Ausgaben],tblAuftraege[Datum Ausgaben],"&gt;="&amp;Z$5,tblAuftraege[Datum Ausgaben],"&lt;"&amp;EDATE(Z$5,1),tblAuftraege[Auftrag],$A101))</f>
        <v>0</v>
      </c>
      <c r="AA101" s="11" t="n">
        <f aca="false">IF($A101="",0,SUMIFS(tblAuftraege[Ausgaben],tblAuftraege[Datum Ausgaben],"&gt;="&amp;AA$5,tblAuftraege[Datum Ausgaben],"&lt;"&amp;EDATE(AA$5,1),tblAuftraege[Auftrag],$A101))</f>
        <v>0</v>
      </c>
      <c r="AB101" s="11" t="n">
        <f aca="false">IF($A101="",0,SUMIFS(tblAuftraege[Ausgaben],tblAuftraege[Datum Ausgaben],"&gt;="&amp;AB$5,tblAuftraege[Datum Ausgaben],"&lt;"&amp;EDATE(AB$5,1),tblAuftraege[Auftrag],$A101))</f>
        <v>0</v>
      </c>
      <c r="AC101" s="11" t="n">
        <f aca="false">IF($A101="",0,SUMIFS(tblAuftraege[Ausgaben],tblAuftraege[Datum Ausgaben],"&gt;="&amp;AC$5,tblAuftraege[Datum Ausgaben],"&lt;"&amp;EDATE(AC$5,1),tblAuftraege[Auftrag],$A101))</f>
        <v>0</v>
      </c>
      <c r="AD101" s="11" t="n">
        <f aca="false">IF($A101="",0,SUMIFS(tblAuftraege[Ausgaben],tblAuftraege[Datum Ausgaben],"&gt;="&amp;AD$5,tblAuftraege[Datum Ausgaben],"&lt;"&amp;EDATE(AD$5,1),tblAuftraege[Auftrag],$A101))</f>
        <v>0</v>
      </c>
      <c r="AE101" s="11" t="n">
        <f aca="false">IF($A101="",0,SUMIFS(tblAuftraege[Ausgaben],tblAuftraege[Datum Ausgaben],"&gt;="&amp;AE$5,tblAuftraege[Datum Ausgaben],"&lt;"&amp;EDATE(AE$5,1),tblAuftraege[Auftrag],$A101))</f>
        <v>0</v>
      </c>
      <c r="AF101" s="11" t="n">
        <f aca="false">IF($A101="",0,SUMIFS(tblAuftraege[Ausgaben],tblAuftraege[Datum Ausgaben],"&gt;="&amp;AF$5,tblAuftraege[Datum Ausgaben],"&lt;"&amp;EDATE(AF$5,1),tblAuftraege[Auftrag],$A101))</f>
        <v>0</v>
      </c>
      <c r="AG101" s="11" t="n">
        <f aca="false">IF($A101="",0,SUMIFS(tblAuftraege[Ausgaben],tblAuftraege[Datum Ausgaben],"&gt;="&amp;AG$5,tblAuftraege[Datum Ausgaben],"&lt;"&amp;EDATE(AG$5,1),tblAuftraege[Auftrag],$A101))</f>
        <v>0</v>
      </c>
      <c r="AH101" s="11" t="n">
        <f aca="false">IF($A101="",0,SUMIFS(tblAuftraege[Ausgaben],tblAuftraege[Datum Ausgaben],"&gt;="&amp;AH$5,tblAuftraege[Datum Ausgaben],"&lt;"&amp;EDATE(AH$5,1),tblAuftraege[Auftrag],$A101))</f>
        <v>0</v>
      </c>
      <c r="AI101" s="11" t="n">
        <f aca="false">IF($A101="",0,SUMIFS(tblAuftraege[Ausgaben],tblAuftraege[Datum Ausgaben],"&gt;="&amp;AI$5,tblAuftraege[Datum Ausgaben],"&lt;"&amp;EDATE(AI$5,1),tblAuftraege[Auftrag],$A101))</f>
        <v>0</v>
      </c>
      <c r="AJ101" s="11" t="n">
        <f aca="false">IF($A101="",0,SUMIFS(tblAuftraege[Ausgaben],tblAuftraege[Datum Ausgaben],"&gt;="&amp;AJ$5,tblAuftraege[Datum Ausgaben],"&lt;"&amp;EDATE(AJ$5,1),tblAuftraege[Auftrag],$A101))</f>
        <v>0</v>
      </c>
      <c r="AK101" s="11" t="n">
        <f aca="false">IF($A101="",0,SUMIFS(tblAuftraege[Ausgaben],tblAuftraege[Datum Ausgaben],"&gt;="&amp;AK$5,tblAuftraege[Datum Ausgaben],"&lt;"&amp;EDATE(AK$5,1),tblAuftraege[Auftrag],$A101))</f>
        <v>0</v>
      </c>
      <c r="AL101" s="11" t="n">
        <f aca="false">IF($A101="",0,SUMIFS(tblAuftraege[Ausgaben],tblAuftraege[Datum Ausgaben],"&gt;="&amp;AL$5,tblAuftraege[Datum Ausgaben],"&lt;"&amp;EDATE(AL$5,1),tblAuftraege[Auftrag],$A101))</f>
        <v>0</v>
      </c>
      <c r="AM101" s="11" t="n">
        <f aca="false">IF($A101="",0,SUMIFS(tblAuftraege[Ausgaben],tblAuftraege[Datum Ausgaben],"&gt;="&amp;AM$5,tblAuftraege[Datum Ausgaben],"&lt;"&amp;EDATE(AM$5,1),tblAuftraege[Auftrag],$A101))</f>
        <v>0</v>
      </c>
      <c r="AN101" s="11" t="n">
        <f aca="false">IF($A101="",0,SUMIFS(tblAuftraege[Ausgaben],tblAuftraege[Datum Ausgaben],"&gt;="&amp;AN$5,tblAuftraege[Datum Ausgaben],"&lt;"&amp;EDATE(AN$5,1),tblAuftraege[Auftrag],$A101))</f>
        <v>0</v>
      </c>
      <c r="AO101" s="11" t="n">
        <f aca="false">IF($A101="",0,SUMIFS(tblAuftraege[Ausgaben],tblAuftraege[Datum Ausgaben],"&gt;="&amp;AO$5,tblAuftraege[Datum Ausgaben],"&lt;"&amp;EDATE(AO$5,1),tblAuftraege[Auftrag],$A101))</f>
        <v>0</v>
      </c>
      <c r="AP101" s="11" t="n">
        <f aca="false">IF($A101="",0,SUMIFS(tblAuftraege[Ausgaben],tblAuftraege[Datum Ausgaben],"&gt;="&amp;AP$5,tblAuftraege[Datum Ausgaben],"&lt;"&amp;EDATE(AP$5,1),tblAuftraege[Auftrag],$A101))</f>
        <v>0</v>
      </c>
      <c r="AQ101" s="11" t="n">
        <f aca="false">IF($A101="",0,SUMIFS(tblAuftraege[Ausgaben],tblAuftraege[Datum Ausgaben],"&gt;="&amp;AQ$5,tblAuftraege[Datum Ausgaben],"&lt;"&amp;EDATE(AQ$5,1),tblAuftraege[Auftrag],$A101))</f>
        <v>0</v>
      </c>
      <c r="AR101" s="11" t="n">
        <f aca="false">IF($A101="",0,SUMIFS(tblAuftraege[Ausgaben],tblAuftraege[Datum Ausgaben],"&gt;="&amp;AR$5,tblAuftraege[Datum Ausgaben],"&lt;"&amp;EDATE(AR$5,1),tblAuftraege[Auftrag],$A101))</f>
        <v>0</v>
      </c>
      <c r="AS101" s="11" t="n">
        <f aca="false">IF($A101="",0,SUMIFS(tblAuftraege[Ausgaben],tblAuftraege[Datum Ausgaben],"&gt;="&amp;AS$5,tblAuftraege[Datum Ausgaben],"&lt;"&amp;EDATE(AS$5,1),tblAuftraege[Auftrag],$A101))</f>
        <v>0</v>
      </c>
      <c r="AT101" s="11" t="n">
        <f aca="false">IF($A101="",0,SUMIFS(tblAuftraege[Ausgaben],tblAuftraege[Datum Ausgaben],"&gt;="&amp;AT$5,tblAuftraege[Datum Ausgaben],"&lt;"&amp;EDATE(AT$5,1),tblAuftraege[Auftrag],$A101))</f>
        <v>0</v>
      </c>
      <c r="AU101" s="11" t="n">
        <f aca="false">IF($A101="",0,SUMIFS(tblAuftraege[Ausgaben],tblAuftraege[Datum Ausgaben],"&gt;="&amp;AU$5,tblAuftraege[Datum Ausgaben],"&lt;"&amp;EDATE(AU$5,1),tblAuftraege[Auftrag],$A101))</f>
        <v>0</v>
      </c>
      <c r="AV101" s="11" t="n">
        <f aca="false">IF($A101="",0,SUMIFS(tblAuftraege[Ausgaben],tblAuftraege[Datum Ausgaben],"&gt;="&amp;AV$5,tblAuftraege[Datum Ausgaben],"&lt;"&amp;EDATE(AV$5,1),tblAuftraege[Auftrag],$A101))</f>
        <v>0</v>
      </c>
      <c r="AW101" s="11" t="n">
        <f aca="false">IF($A101="",0,SUMIFS(tblAuftraege[Ausgaben],tblAuftraege[Datum Ausgaben],"&gt;="&amp;AW$5,tblAuftraege[Datum Ausgaben],"&lt;"&amp;EDATE(AW$5,1),tblAuftraege[Auftrag],$A101))</f>
        <v>0</v>
      </c>
      <c r="AX101" s="11" t="n">
        <f aca="false">IF($A101="",0,SUMIFS(tblAuftraege[Ausgaben],tblAuftraege[Datum Ausgaben],"&gt;="&amp;AX$5,tblAuftraege[Datum Ausgaben],"&lt;"&amp;EDATE(AX$5,1),tblAuftraege[Auftrag],$A101))</f>
        <v>0</v>
      </c>
      <c r="AY101" s="11" t="n">
        <f aca="false">IF($A101="",0,SUMIFS(tblAuftraege[Ausgaben],tblAuftraege[Datum Ausgaben],"&gt;="&amp;AY$5,tblAuftraege[Datum Ausgaben],"&lt;"&amp;EDATE(AY$5,1),tblAuftraege[Auftrag],$A101))</f>
        <v>0</v>
      </c>
      <c r="AZ101" s="11" t="n">
        <f aca="false">IF($A101="",0,SUMIFS(tblAuftraege[Ausgaben],tblAuftraege[Datum Ausgaben],"&gt;="&amp;AZ$5,tblAuftraege[Datum Ausgaben],"&lt;"&amp;EDATE(AZ$5,1),tblAuftraege[Auftrag],$A101))</f>
        <v>0</v>
      </c>
      <c r="BA101" s="11" t="n">
        <f aca="false">IF($A101="",0,SUMIFS(tblAuftraege[Ausgaben],tblAuftraege[Datum Ausgaben],"&gt;="&amp;BA$5,tblAuftraege[Datum Ausgaben],"&lt;"&amp;EDATE(BA$5,1),tblAuftraege[Auftrag],$A101))</f>
        <v>0</v>
      </c>
      <c r="BB101" s="11" t="n">
        <f aca="false">IF($A101="",0,SUMIFS(tblAuftraege[Ausgaben],tblAuftraege[Datum Ausgaben],"&gt;="&amp;BB$5,tblAuftraege[Datum Ausgaben],"&lt;"&amp;EDATE(BB$5,1),tblAuftraege[Auftrag],$A101))</f>
        <v>0</v>
      </c>
      <c r="BC101" s="11" t="n">
        <f aca="false">IF($A101="",0,SUMIFS(tblAuftraege[Ausgaben],tblAuftraege[Datum Ausgaben],"&gt;="&amp;BC$5,tblAuftraege[Datum Ausgaben],"&lt;"&amp;EDATE(BC$5,1),tblAuftraege[Auftrag],$A101))</f>
        <v>0</v>
      </c>
      <c r="BD101" s="11" t="n">
        <f aca="false">IF($A101="",0,SUMIFS(tblAuftraege[Ausgaben],tblAuftraege[Datum Ausgaben],"&gt;="&amp;BD$5,tblAuftraege[Datum Ausgaben],"&lt;"&amp;EDATE(BD$5,1),tblAuftraege[Auftrag],$A101))</f>
        <v>0</v>
      </c>
      <c r="BE101" s="11" t="n">
        <f aca="false">IF($A101="",0,SUMIFS(tblAuftraege[Ausgaben],tblAuftraege[Datum Ausgaben],"&gt;="&amp;BE$5,tblAuftraege[Datum Ausgaben],"&lt;"&amp;EDATE(BE$5,1),tblAuftraege[Auftrag],$A101))</f>
        <v>0</v>
      </c>
      <c r="BF101" s="11" t="n">
        <f aca="false">IF($A101="",0,SUMIFS(tblAuftraege[Ausgaben],tblAuftraege[Datum Ausgaben],"&gt;="&amp;BF$5,tblAuftraege[Datum Ausgaben],"&lt;"&amp;EDATE(BF$5,1),tblAuftraege[Auftrag],$A101))</f>
        <v>0</v>
      </c>
      <c r="BG101" s="11" t="n">
        <f aca="false">SUM(E101:J101)</f>
        <v>0</v>
      </c>
      <c r="BH101" s="11" t="n">
        <f aca="false">SUM(K101:V101)</f>
        <v>0</v>
      </c>
      <c r="BI101" s="11" t="n">
        <f aca="false">SUM(W101:AH101)</f>
        <v>0</v>
      </c>
      <c r="BJ101" s="11" t="n">
        <f aca="false">SUM(AI101:AT101)</f>
        <v>0</v>
      </c>
      <c r="BK101" s="11" t="n">
        <f aca="false">SUM(AU101:BF101)</f>
        <v>0</v>
      </c>
      <c r="BL101" s="12" t="n">
        <f aca="false">SUM(E101:BF101)</f>
        <v>0</v>
      </c>
    </row>
    <row r="102" customFormat="false" ht="15" hidden="false" customHeight="false" outlineLevel="0" collapsed="false">
      <c r="A102" s="9"/>
      <c r="B102" s="10" t="str">
        <f aca="false">IF($A102="","",IFERROR(INDEX(tblAuftraege[Kostenstelle],MATCH($A102,tblAuftraege[Auftrag],0)),""))</f>
        <v/>
      </c>
      <c r="C102" s="10" t="str">
        <f aca="false">IF($A102="","",IFERROR(INDEX(tblAuftraege[Themenfeld],MATCH($A102,tblAuftraege[Auftrag],0)),""))</f>
        <v/>
      </c>
      <c r="D102" s="10" t="str">
        <f aca="false">IF($A102="","",IFERROR(INDEX(tblAuftraege[Kategorie],MATCH($A102,tblAuftraege[Auftrag],0)),""))</f>
        <v/>
      </c>
      <c r="E102" s="11" t="n">
        <f aca="false">IF($A102="",0,SUMIFS(tblAuftraege[Ausgaben],tblAuftraege[Datum Ausgaben],"&gt;="&amp;E$5,tblAuftraege[Datum Ausgaben],"&lt;"&amp;EDATE(E$5,1),tblAuftraege[Auftrag],$A102))</f>
        <v>0</v>
      </c>
      <c r="F102" s="11" t="n">
        <f aca="false">IF($A102="",0,SUMIFS(tblAuftraege[Ausgaben],tblAuftraege[Datum Ausgaben],"&gt;="&amp;F$5,tblAuftraege[Datum Ausgaben],"&lt;"&amp;EDATE(F$5,1),tblAuftraege[Auftrag],$A102))</f>
        <v>0</v>
      </c>
      <c r="G102" s="11" t="n">
        <f aca="false">IF($A102="",0,SUMIFS(tblAuftraege[Ausgaben],tblAuftraege[Datum Ausgaben],"&gt;="&amp;G$5,tblAuftraege[Datum Ausgaben],"&lt;"&amp;EDATE(G$5,1),tblAuftraege[Auftrag],$A102))</f>
        <v>0</v>
      </c>
      <c r="H102" s="11" t="n">
        <f aca="false">IF($A102="",0,SUMIFS(tblAuftraege[Ausgaben],tblAuftraege[Datum Ausgaben],"&gt;="&amp;H$5,tblAuftraege[Datum Ausgaben],"&lt;"&amp;EDATE(H$5,1),tblAuftraege[Auftrag],$A102))</f>
        <v>0</v>
      </c>
      <c r="I102" s="11" t="n">
        <f aca="false">IF($A102="",0,SUMIFS(tblAuftraege[Ausgaben],tblAuftraege[Datum Ausgaben],"&gt;="&amp;I$5,tblAuftraege[Datum Ausgaben],"&lt;"&amp;EDATE(I$5,1),tblAuftraege[Auftrag],$A102))</f>
        <v>0</v>
      </c>
      <c r="J102" s="11" t="n">
        <f aca="false">IF($A102="",0,SUMIFS(tblAuftraege[Ausgaben],tblAuftraege[Datum Ausgaben],"&gt;="&amp;J$5,tblAuftraege[Datum Ausgaben],"&lt;"&amp;EDATE(J$5,1),tblAuftraege[Auftrag],$A102))</f>
        <v>0</v>
      </c>
      <c r="K102" s="11" t="n">
        <f aca="false">IF($A102="",0,SUMIFS(tblAuftraege[Ausgaben],tblAuftraege[Datum Ausgaben],"&gt;="&amp;K$5,tblAuftraege[Datum Ausgaben],"&lt;"&amp;EDATE(K$5,1),tblAuftraege[Auftrag],$A102))</f>
        <v>0</v>
      </c>
      <c r="L102" s="11" t="n">
        <f aca="false">IF($A102="",0,SUMIFS(tblAuftraege[Ausgaben],tblAuftraege[Datum Ausgaben],"&gt;="&amp;L$5,tblAuftraege[Datum Ausgaben],"&lt;"&amp;EDATE(L$5,1),tblAuftraege[Auftrag],$A102))</f>
        <v>0</v>
      </c>
      <c r="M102" s="11" t="n">
        <f aca="false">IF($A102="",0,SUMIFS(tblAuftraege[Ausgaben],tblAuftraege[Datum Ausgaben],"&gt;="&amp;M$5,tblAuftraege[Datum Ausgaben],"&lt;"&amp;EDATE(M$5,1),tblAuftraege[Auftrag],$A102))</f>
        <v>0</v>
      </c>
      <c r="N102" s="11" t="n">
        <f aca="false">IF($A102="",0,SUMIFS(tblAuftraege[Ausgaben],tblAuftraege[Datum Ausgaben],"&gt;="&amp;N$5,tblAuftraege[Datum Ausgaben],"&lt;"&amp;EDATE(N$5,1),tblAuftraege[Auftrag],$A102))</f>
        <v>0</v>
      </c>
      <c r="O102" s="11" t="n">
        <f aca="false">IF($A102="",0,SUMIFS(tblAuftraege[Ausgaben],tblAuftraege[Datum Ausgaben],"&gt;="&amp;O$5,tblAuftraege[Datum Ausgaben],"&lt;"&amp;EDATE(O$5,1),tblAuftraege[Auftrag],$A102))</f>
        <v>0</v>
      </c>
      <c r="P102" s="11" t="n">
        <f aca="false">IF($A102="",0,SUMIFS(tblAuftraege[Ausgaben],tblAuftraege[Datum Ausgaben],"&gt;="&amp;P$5,tblAuftraege[Datum Ausgaben],"&lt;"&amp;EDATE(P$5,1),tblAuftraege[Auftrag],$A102))</f>
        <v>0</v>
      </c>
      <c r="Q102" s="11" t="n">
        <f aca="false">IF($A102="",0,SUMIFS(tblAuftraege[Ausgaben],tblAuftraege[Datum Ausgaben],"&gt;="&amp;Q$5,tblAuftraege[Datum Ausgaben],"&lt;"&amp;EDATE(Q$5,1),tblAuftraege[Auftrag],$A102))</f>
        <v>0</v>
      </c>
      <c r="R102" s="11" t="n">
        <f aca="false">IF($A102="",0,SUMIFS(tblAuftraege[Ausgaben],tblAuftraege[Datum Ausgaben],"&gt;="&amp;R$5,tblAuftraege[Datum Ausgaben],"&lt;"&amp;EDATE(R$5,1),tblAuftraege[Auftrag],$A102))</f>
        <v>0</v>
      </c>
      <c r="S102" s="11" t="n">
        <f aca="false">IF($A102="",0,SUMIFS(tblAuftraege[Ausgaben],tblAuftraege[Datum Ausgaben],"&gt;="&amp;S$5,tblAuftraege[Datum Ausgaben],"&lt;"&amp;EDATE(S$5,1),tblAuftraege[Auftrag],$A102))</f>
        <v>0</v>
      </c>
      <c r="T102" s="11" t="n">
        <f aca="false">IF($A102="",0,SUMIFS(tblAuftraege[Ausgaben],tblAuftraege[Datum Ausgaben],"&gt;="&amp;T$5,tblAuftraege[Datum Ausgaben],"&lt;"&amp;EDATE(T$5,1),tblAuftraege[Auftrag],$A102))</f>
        <v>0</v>
      </c>
      <c r="U102" s="11" t="n">
        <f aca="false">IF($A102="",0,SUMIFS(tblAuftraege[Ausgaben],tblAuftraege[Datum Ausgaben],"&gt;="&amp;U$5,tblAuftraege[Datum Ausgaben],"&lt;"&amp;EDATE(U$5,1),tblAuftraege[Auftrag],$A102))</f>
        <v>0</v>
      </c>
      <c r="V102" s="11" t="n">
        <f aca="false">IF($A102="",0,SUMIFS(tblAuftraege[Ausgaben],tblAuftraege[Datum Ausgaben],"&gt;="&amp;V$5,tblAuftraege[Datum Ausgaben],"&lt;"&amp;EDATE(V$5,1),tblAuftraege[Auftrag],$A102))</f>
        <v>0</v>
      </c>
      <c r="W102" s="11" t="n">
        <f aca="false">IF($A102="",0,SUMIFS(tblAuftraege[Ausgaben],tblAuftraege[Datum Ausgaben],"&gt;="&amp;W$5,tblAuftraege[Datum Ausgaben],"&lt;"&amp;EDATE(W$5,1),tblAuftraege[Auftrag],$A102))</f>
        <v>0</v>
      </c>
      <c r="X102" s="11" t="n">
        <f aca="false">IF($A102="",0,SUMIFS(tblAuftraege[Ausgaben],tblAuftraege[Datum Ausgaben],"&gt;="&amp;X$5,tblAuftraege[Datum Ausgaben],"&lt;"&amp;EDATE(X$5,1),tblAuftraege[Auftrag],$A102))</f>
        <v>0</v>
      </c>
      <c r="Y102" s="11" t="n">
        <f aca="false">IF($A102="",0,SUMIFS(tblAuftraege[Ausgaben],tblAuftraege[Datum Ausgaben],"&gt;="&amp;Y$5,tblAuftraege[Datum Ausgaben],"&lt;"&amp;EDATE(Y$5,1),tblAuftraege[Auftrag],$A102))</f>
        <v>0</v>
      </c>
      <c r="Z102" s="11" t="n">
        <f aca="false">IF($A102="",0,SUMIFS(tblAuftraege[Ausgaben],tblAuftraege[Datum Ausgaben],"&gt;="&amp;Z$5,tblAuftraege[Datum Ausgaben],"&lt;"&amp;EDATE(Z$5,1),tblAuftraege[Auftrag],$A102))</f>
        <v>0</v>
      </c>
      <c r="AA102" s="11" t="n">
        <f aca="false">IF($A102="",0,SUMIFS(tblAuftraege[Ausgaben],tblAuftraege[Datum Ausgaben],"&gt;="&amp;AA$5,tblAuftraege[Datum Ausgaben],"&lt;"&amp;EDATE(AA$5,1),tblAuftraege[Auftrag],$A102))</f>
        <v>0</v>
      </c>
      <c r="AB102" s="11" t="n">
        <f aca="false">IF($A102="",0,SUMIFS(tblAuftraege[Ausgaben],tblAuftraege[Datum Ausgaben],"&gt;="&amp;AB$5,tblAuftraege[Datum Ausgaben],"&lt;"&amp;EDATE(AB$5,1),tblAuftraege[Auftrag],$A102))</f>
        <v>0</v>
      </c>
      <c r="AC102" s="11" t="n">
        <f aca="false">IF($A102="",0,SUMIFS(tblAuftraege[Ausgaben],tblAuftraege[Datum Ausgaben],"&gt;="&amp;AC$5,tblAuftraege[Datum Ausgaben],"&lt;"&amp;EDATE(AC$5,1),tblAuftraege[Auftrag],$A102))</f>
        <v>0</v>
      </c>
      <c r="AD102" s="11" t="n">
        <f aca="false">IF($A102="",0,SUMIFS(tblAuftraege[Ausgaben],tblAuftraege[Datum Ausgaben],"&gt;="&amp;AD$5,tblAuftraege[Datum Ausgaben],"&lt;"&amp;EDATE(AD$5,1),tblAuftraege[Auftrag],$A102))</f>
        <v>0</v>
      </c>
      <c r="AE102" s="11" t="n">
        <f aca="false">IF($A102="",0,SUMIFS(tblAuftraege[Ausgaben],tblAuftraege[Datum Ausgaben],"&gt;="&amp;AE$5,tblAuftraege[Datum Ausgaben],"&lt;"&amp;EDATE(AE$5,1),tblAuftraege[Auftrag],$A102))</f>
        <v>0</v>
      </c>
      <c r="AF102" s="11" t="n">
        <f aca="false">IF($A102="",0,SUMIFS(tblAuftraege[Ausgaben],tblAuftraege[Datum Ausgaben],"&gt;="&amp;AF$5,tblAuftraege[Datum Ausgaben],"&lt;"&amp;EDATE(AF$5,1),tblAuftraege[Auftrag],$A102))</f>
        <v>0</v>
      </c>
      <c r="AG102" s="11" t="n">
        <f aca="false">IF($A102="",0,SUMIFS(tblAuftraege[Ausgaben],tblAuftraege[Datum Ausgaben],"&gt;="&amp;AG$5,tblAuftraege[Datum Ausgaben],"&lt;"&amp;EDATE(AG$5,1),tblAuftraege[Auftrag],$A102))</f>
        <v>0</v>
      </c>
      <c r="AH102" s="11" t="n">
        <f aca="false">IF($A102="",0,SUMIFS(tblAuftraege[Ausgaben],tblAuftraege[Datum Ausgaben],"&gt;="&amp;AH$5,tblAuftraege[Datum Ausgaben],"&lt;"&amp;EDATE(AH$5,1),tblAuftraege[Auftrag],$A102))</f>
        <v>0</v>
      </c>
      <c r="AI102" s="11" t="n">
        <f aca="false">IF($A102="",0,SUMIFS(tblAuftraege[Ausgaben],tblAuftraege[Datum Ausgaben],"&gt;="&amp;AI$5,tblAuftraege[Datum Ausgaben],"&lt;"&amp;EDATE(AI$5,1),tblAuftraege[Auftrag],$A102))</f>
        <v>0</v>
      </c>
      <c r="AJ102" s="11" t="n">
        <f aca="false">IF($A102="",0,SUMIFS(tblAuftraege[Ausgaben],tblAuftraege[Datum Ausgaben],"&gt;="&amp;AJ$5,tblAuftraege[Datum Ausgaben],"&lt;"&amp;EDATE(AJ$5,1),tblAuftraege[Auftrag],$A102))</f>
        <v>0</v>
      </c>
      <c r="AK102" s="11" t="n">
        <f aca="false">IF($A102="",0,SUMIFS(tblAuftraege[Ausgaben],tblAuftraege[Datum Ausgaben],"&gt;="&amp;AK$5,tblAuftraege[Datum Ausgaben],"&lt;"&amp;EDATE(AK$5,1),tblAuftraege[Auftrag],$A102))</f>
        <v>0</v>
      </c>
      <c r="AL102" s="11" t="n">
        <f aca="false">IF($A102="",0,SUMIFS(tblAuftraege[Ausgaben],tblAuftraege[Datum Ausgaben],"&gt;="&amp;AL$5,tblAuftraege[Datum Ausgaben],"&lt;"&amp;EDATE(AL$5,1),tblAuftraege[Auftrag],$A102))</f>
        <v>0</v>
      </c>
      <c r="AM102" s="11" t="n">
        <f aca="false">IF($A102="",0,SUMIFS(tblAuftraege[Ausgaben],tblAuftraege[Datum Ausgaben],"&gt;="&amp;AM$5,tblAuftraege[Datum Ausgaben],"&lt;"&amp;EDATE(AM$5,1),tblAuftraege[Auftrag],$A102))</f>
        <v>0</v>
      </c>
      <c r="AN102" s="11" t="n">
        <f aca="false">IF($A102="",0,SUMIFS(tblAuftraege[Ausgaben],tblAuftraege[Datum Ausgaben],"&gt;="&amp;AN$5,tblAuftraege[Datum Ausgaben],"&lt;"&amp;EDATE(AN$5,1),tblAuftraege[Auftrag],$A102))</f>
        <v>0</v>
      </c>
      <c r="AO102" s="11" t="n">
        <f aca="false">IF($A102="",0,SUMIFS(tblAuftraege[Ausgaben],tblAuftraege[Datum Ausgaben],"&gt;="&amp;AO$5,tblAuftraege[Datum Ausgaben],"&lt;"&amp;EDATE(AO$5,1),tblAuftraege[Auftrag],$A102))</f>
        <v>0</v>
      </c>
      <c r="AP102" s="11" t="n">
        <f aca="false">IF($A102="",0,SUMIFS(tblAuftraege[Ausgaben],tblAuftraege[Datum Ausgaben],"&gt;="&amp;AP$5,tblAuftraege[Datum Ausgaben],"&lt;"&amp;EDATE(AP$5,1),tblAuftraege[Auftrag],$A102))</f>
        <v>0</v>
      </c>
      <c r="AQ102" s="11" t="n">
        <f aca="false">IF($A102="",0,SUMIFS(tblAuftraege[Ausgaben],tblAuftraege[Datum Ausgaben],"&gt;="&amp;AQ$5,tblAuftraege[Datum Ausgaben],"&lt;"&amp;EDATE(AQ$5,1),tblAuftraege[Auftrag],$A102))</f>
        <v>0</v>
      </c>
      <c r="AR102" s="11" t="n">
        <f aca="false">IF($A102="",0,SUMIFS(tblAuftraege[Ausgaben],tblAuftraege[Datum Ausgaben],"&gt;="&amp;AR$5,tblAuftraege[Datum Ausgaben],"&lt;"&amp;EDATE(AR$5,1),tblAuftraege[Auftrag],$A102))</f>
        <v>0</v>
      </c>
      <c r="AS102" s="11" t="n">
        <f aca="false">IF($A102="",0,SUMIFS(tblAuftraege[Ausgaben],tblAuftraege[Datum Ausgaben],"&gt;="&amp;AS$5,tblAuftraege[Datum Ausgaben],"&lt;"&amp;EDATE(AS$5,1),tblAuftraege[Auftrag],$A102))</f>
        <v>0</v>
      </c>
      <c r="AT102" s="11" t="n">
        <f aca="false">IF($A102="",0,SUMIFS(tblAuftraege[Ausgaben],tblAuftraege[Datum Ausgaben],"&gt;="&amp;AT$5,tblAuftraege[Datum Ausgaben],"&lt;"&amp;EDATE(AT$5,1),tblAuftraege[Auftrag],$A102))</f>
        <v>0</v>
      </c>
      <c r="AU102" s="11" t="n">
        <f aca="false">IF($A102="",0,SUMIFS(tblAuftraege[Ausgaben],tblAuftraege[Datum Ausgaben],"&gt;="&amp;AU$5,tblAuftraege[Datum Ausgaben],"&lt;"&amp;EDATE(AU$5,1),tblAuftraege[Auftrag],$A102))</f>
        <v>0</v>
      </c>
      <c r="AV102" s="11" t="n">
        <f aca="false">IF($A102="",0,SUMIFS(tblAuftraege[Ausgaben],tblAuftraege[Datum Ausgaben],"&gt;="&amp;AV$5,tblAuftraege[Datum Ausgaben],"&lt;"&amp;EDATE(AV$5,1),tblAuftraege[Auftrag],$A102))</f>
        <v>0</v>
      </c>
      <c r="AW102" s="11" t="n">
        <f aca="false">IF($A102="",0,SUMIFS(tblAuftraege[Ausgaben],tblAuftraege[Datum Ausgaben],"&gt;="&amp;AW$5,tblAuftraege[Datum Ausgaben],"&lt;"&amp;EDATE(AW$5,1),tblAuftraege[Auftrag],$A102))</f>
        <v>0</v>
      </c>
      <c r="AX102" s="11" t="n">
        <f aca="false">IF($A102="",0,SUMIFS(tblAuftraege[Ausgaben],tblAuftraege[Datum Ausgaben],"&gt;="&amp;AX$5,tblAuftraege[Datum Ausgaben],"&lt;"&amp;EDATE(AX$5,1),tblAuftraege[Auftrag],$A102))</f>
        <v>0</v>
      </c>
      <c r="AY102" s="11" t="n">
        <f aca="false">IF($A102="",0,SUMIFS(tblAuftraege[Ausgaben],tblAuftraege[Datum Ausgaben],"&gt;="&amp;AY$5,tblAuftraege[Datum Ausgaben],"&lt;"&amp;EDATE(AY$5,1),tblAuftraege[Auftrag],$A102))</f>
        <v>0</v>
      </c>
      <c r="AZ102" s="11" t="n">
        <f aca="false">IF($A102="",0,SUMIFS(tblAuftraege[Ausgaben],tblAuftraege[Datum Ausgaben],"&gt;="&amp;AZ$5,tblAuftraege[Datum Ausgaben],"&lt;"&amp;EDATE(AZ$5,1),tblAuftraege[Auftrag],$A102))</f>
        <v>0</v>
      </c>
      <c r="BA102" s="11" t="n">
        <f aca="false">IF($A102="",0,SUMIFS(tblAuftraege[Ausgaben],tblAuftraege[Datum Ausgaben],"&gt;="&amp;BA$5,tblAuftraege[Datum Ausgaben],"&lt;"&amp;EDATE(BA$5,1),tblAuftraege[Auftrag],$A102))</f>
        <v>0</v>
      </c>
      <c r="BB102" s="11" t="n">
        <f aca="false">IF($A102="",0,SUMIFS(tblAuftraege[Ausgaben],tblAuftraege[Datum Ausgaben],"&gt;="&amp;BB$5,tblAuftraege[Datum Ausgaben],"&lt;"&amp;EDATE(BB$5,1),tblAuftraege[Auftrag],$A102))</f>
        <v>0</v>
      </c>
      <c r="BC102" s="11" t="n">
        <f aca="false">IF($A102="",0,SUMIFS(tblAuftraege[Ausgaben],tblAuftraege[Datum Ausgaben],"&gt;="&amp;BC$5,tblAuftraege[Datum Ausgaben],"&lt;"&amp;EDATE(BC$5,1),tblAuftraege[Auftrag],$A102))</f>
        <v>0</v>
      </c>
      <c r="BD102" s="11" t="n">
        <f aca="false">IF($A102="",0,SUMIFS(tblAuftraege[Ausgaben],tblAuftraege[Datum Ausgaben],"&gt;="&amp;BD$5,tblAuftraege[Datum Ausgaben],"&lt;"&amp;EDATE(BD$5,1),tblAuftraege[Auftrag],$A102))</f>
        <v>0</v>
      </c>
      <c r="BE102" s="11" t="n">
        <f aca="false">IF($A102="",0,SUMIFS(tblAuftraege[Ausgaben],tblAuftraege[Datum Ausgaben],"&gt;="&amp;BE$5,tblAuftraege[Datum Ausgaben],"&lt;"&amp;EDATE(BE$5,1),tblAuftraege[Auftrag],$A102))</f>
        <v>0</v>
      </c>
      <c r="BF102" s="11" t="n">
        <f aca="false">IF($A102="",0,SUMIFS(tblAuftraege[Ausgaben],tblAuftraege[Datum Ausgaben],"&gt;="&amp;BF$5,tblAuftraege[Datum Ausgaben],"&lt;"&amp;EDATE(BF$5,1),tblAuftraege[Auftrag],$A102))</f>
        <v>0</v>
      </c>
      <c r="BG102" s="11" t="n">
        <f aca="false">SUM(E102:J102)</f>
        <v>0</v>
      </c>
      <c r="BH102" s="11" t="n">
        <f aca="false">SUM(K102:V102)</f>
        <v>0</v>
      </c>
      <c r="BI102" s="11" t="n">
        <f aca="false">SUM(W102:AH102)</f>
        <v>0</v>
      </c>
      <c r="BJ102" s="11" t="n">
        <f aca="false">SUM(AI102:AT102)</f>
        <v>0</v>
      </c>
      <c r="BK102" s="11" t="n">
        <f aca="false">SUM(AU102:BF102)</f>
        <v>0</v>
      </c>
      <c r="BL102" s="12" t="n">
        <f aca="false">SUM(E102:BF102)</f>
        <v>0</v>
      </c>
    </row>
    <row r="103" customFormat="false" ht="15" hidden="false" customHeight="false" outlineLevel="0" collapsed="false">
      <c r="A103" s="9"/>
      <c r="B103" s="10" t="str">
        <f aca="false">IF($A103="","",IFERROR(INDEX(tblAuftraege[Kostenstelle],MATCH($A103,tblAuftraege[Auftrag],0)),""))</f>
        <v/>
      </c>
      <c r="C103" s="10" t="str">
        <f aca="false">IF($A103="","",IFERROR(INDEX(tblAuftraege[Themenfeld],MATCH($A103,tblAuftraege[Auftrag],0)),""))</f>
        <v/>
      </c>
      <c r="D103" s="10" t="str">
        <f aca="false">IF($A103="","",IFERROR(INDEX(tblAuftraege[Kategorie],MATCH($A103,tblAuftraege[Auftrag],0)),""))</f>
        <v/>
      </c>
      <c r="E103" s="11" t="n">
        <f aca="false">IF($A103="",0,SUMIFS(tblAuftraege[Ausgaben],tblAuftraege[Datum Ausgaben],"&gt;="&amp;E$5,tblAuftraege[Datum Ausgaben],"&lt;"&amp;EDATE(E$5,1),tblAuftraege[Auftrag],$A103))</f>
        <v>0</v>
      </c>
      <c r="F103" s="11" t="n">
        <f aca="false">IF($A103="",0,SUMIFS(tblAuftraege[Ausgaben],tblAuftraege[Datum Ausgaben],"&gt;="&amp;F$5,tblAuftraege[Datum Ausgaben],"&lt;"&amp;EDATE(F$5,1),tblAuftraege[Auftrag],$A103))</f>
        <v>0</v>
      </c>
      <c r="G103" s="11" t="n">
        <f aca="false">IF($A103="",0,SUMIFS(tblAuftraege[Ausgaben],tblAuftraege[Datum Ausgaben],"&gt;="&amp;G$5,tblAuftraege[Datum Ausgaben],"&lt;"&amp;EDATE(G$5,1),tblAuftraege[Auftrag],$A103))</f>
        <v>0</v>
      </c>
      <c r="H103" s="11" t="n">
        <f aca="false">IF($A103="",0,SUMIFS(tblAuftraege[Ausgaben],tblAuftraege[Datum Ausgaben],"&gt;="&amp;H$5,tblAuftraege[Datum Ausgaben],"&lt;"&amp;EDATE(H$5,1),tblAuftraege[Auftrag],$A103))</f>
        <v>0</v>
      </c>
      <c r="I103" s="11" t="n">
        <f aca="false">IF($A103="",0,SUMIFS(tblAuftraege[Ausgaben],tblAuftraege[Datum Ausgaben],"&gt;="&amp;I$5,tblAuftraege[Datum Ausgaben],"&lt;"&amp;EDATE(I$5,1),tblAuftraege[Auftrag],$A103))</f>
        <v>0</v>
      </c>
      <c r="J103" s="11" t="n">
        <f aca="false">IF($A103="",0,SUMIFS(tblAuftraege[Ausgaben],tblAuftraege[Datum Ausgaben],"&gt;="&amp;J$5,tblAuftraege[Datum Ausgaben],"&lt;"&amp;EDATE(J$5,1),tblAuftraege[Auftrag],$A103))</f>
        <v>0</v>
      </c>
      <c r="K103" s="11" t="n">
        <f aca="false">IF($A103="",0,SUMIFS(tblAuftraege[Ausgaben],tblAuftraege[Datum Ausgaben],"&gt;="&amp;K$5,tblAuftraege[Datum Ausgaben],"&lt;"&amp;EDATE(K$5,1),tblAuftraege[Auftrag],$A103))</f>
        <v>0</v>
      </c>
      <c r="L103" s="11" t="n">
        <f aca="false">IF($A103="",0,SUMIFS(tblAuftraege[Ausgaben],tblAuftraege[Datum Ausgaben],"&gt;="&amp;L$5,tblAuftraege[Datum Ausgaben],"&lt;"&amp;EDATE(L$5,1),tblAuftraege[Auftrag],$A103))</f>
        <v>0</v>
      </c>
      <c r="M103" s="11" t="n">
        <f aca="false">IF($A103="",0,SUMIFS(tblAuftraege[Ausgaben],tblAuftraege[Datum Ausgaben],"&gt;="&amp;M$5,tblAuftraege[Datum Ausgaben],"&lt;"&amp;EDATE(M$5,1),tblAuftraege[Auftrag],$A103))</f>
        <v>0</v>
      </c>
      <c r="N103" s="11" t="n">
        <f aca="false">IF($A103="",0,SUMIFS(tblAuftraege[Ausgaben],tblAuftraege[Datum Ausgaben],"&gt;="&amp;N$5,tblAuftraege[Datum Ausgaben],"&lt;"&amp;EDATE(N$5,1),tblAuftraege[Auftrag],$A103))</f>
        <v>0</v>
      </c>
      <c r="O103" s="11" t="n">
        <f aca="false">IF($A103="",0,SUMIFS(tblAuftraege[Ausgaben],tblAuftraege[Datum Ausgaben],"&gt;="&amp;O$5,tblAuftraege[Datum Ausgaben],"&lt;"&amp;EDATE(O$5,1),tblAuftraege[Auftrag],$A103))</f>
        <v>0</v>
      </c>
      <c r="P103" s="11" t="n">
        <f aca="false">IF($A103="",0,SUMIFS(tblAuftraege[Ausgaben],tblAuftraege[Datum Ausgaben],"&gt;="&amp;P$5,tblAuftraege[Datum Ausgaben],"&lt;"&amp;EDATE(P$5,1),tblAuftraege[Auftrag],$A103))</f>
        <v>0</v>
      </c>
      <c r="Q103" s="11" t="n">
        <f aca="false">IF($A103="",0,SUMIFS(tblAuftraege[Ausgaben],tblAuftraege[Datum Ausgaben],"&gt;="&amp;Q$5,tblAuftraege[Datum Ausgaben],"&lt;"&amp;EDATE(Q$5,1),tblAuftraege[Auftrag],$A103))</f>
        <v>0</v>
      </c>
      <c r="R103" s="11" t="n">
        <f aca="false">IF($A103="",0,SUMIFS(tblAuftraege[Ausgaben],tblAuftraege[Datum Ausgaben],"&gt;="&amp;R$5,tblAuftraege[Datum Ausgaben],"&lt;"&amp;EDATE(R$5,1),tblAuftraege[Auftrag],$A103))</f>
        <v>0</v>
      </c>
      <c r="S103" s="11" t="n">
        <f aca="false">IF($A103="",0,SUMIFS(tblAuftraege[Ausgaben],tblAuftraege[Datum Ausgaben],"&gt;="&amp;S$5,tblAuftraege[Datum Ausgaben],"&lt;"&amp;EDATE(S$5,1),tblAuftraege[Auftrag],$A103))</f>
        <v>0</v>
      </c>
      <c r="T103" s="11" t="n">
        <f aca="false">IF($A103="",0,SUMIFS(tblAuftraege[Ausgaben],tblAuftraege[Datum Ausgaben],"&gt;="&amp;T$5,tblAuftraege[Datum Ausgaben],"&lt;"&amp;EDATE(T$5,1),tblAuftraege[Auftrag],$A103))</f>
        <v>0</v>
      </c>
      <c r="U103" s="11" t="n">
        <f aca="false">IF($A103="",0,SUMIFS(tblAuftraege[Ausgaben],tblAuftraege[Datum Ausgaben],"&gt;="&amp;U$5,tblAuftraege[Datum Ausgaben],"&lt;"&amp;EDATE(U$5,1),tblAuftraege[Auftrag],$A103))</f>
        <v>0</v>
      </c>
      <c r="V103" s="11" t="n">
        <f aca="false">IF($A103="",0,SUMIFS(tblAuftraege[Ausgaben],tblAuftraege[Datum Ausgaben],"&gt;="&amp;V$5,tblAuftraege[Datum Ausgaben],"&lt;"&amp;EDATE(V$5,1),tblAuftraege[Auftrag],$A103))</f>
        <v>0</v>
      </c>
      <c r="W103" s="11" t="n">
        <f aca="false">IF($A103="",0,SUMIFS(tblAuftraege[Ausgaben],tblAuftraege[Datum Ausgaben],"&gt;="&amp;W$5,tblAuftraege[Datum Ausgaben],"&lt;"&amp;EDATE(W$5,1),tblAuftraege[Auftrag],$A103))</f>
        <v>0</v>
      </c>
      <c r="X103" s="11" t="n">
        <f aca="false">IF($A103="",0,SUMIFS(tblAuftraege[Ausgaben],tblAuftraege[Datum Ausgaben],"&gt;="&amp;X$5,tblAuftraege[Datum Ausgaben],"&lt;"&amp;EDATE(X$5,1),tblAuftraege[Auftrag],$A103))</f>
        <v>0</v>
      </c>
      <c r="Y103" s="11" t="n">
        <f aca="false">IF($A103="",0,SUMIFS(tblAuftraege[Ausgaben],tblAuftraege[Datum Ausgaben],"&gt;="&amp;Y$5,tblAuftraege[Datum Ausgaben],"&lt;"&amp;EDATE(Y$5,1),tblAuftraege[Auftrag],$A103))</f>
        <v>0</v>
      </c>
      <c r="Z103" s="11" t="n">
        <f aca="false">IF($A103="",0,SUMIFS(tblAuftraege[Ausgaben],tblAuftraege[Datum Ausgaben],"&gt;="&amp;Z$5,tblAuftraege[Datum Ausgaben],"&lt;"&amp;EDATE(Z$5,1),tblAuftraege[Auftrag],$A103))</f>
        <v>0</v>
      </c>
      <c r="AA103" s="11" t="n">
        <f aca="false">IF($A103="",0,SUMIFS(tblAuftraege[Ausgaben],tblAuftraege[Datum Ausgaben],"&gt;="&amp;AA$5,tblAuftraege[Datum Ausgaben],"&lt;"&amp;EDATE(AA$5,1),tblAuftraege[Auftrag],$A103))</f>
        <v>0</v>
      </c>
      <c r="AB103" s="11" t="n">
        <f aca="false">IF($A103="",0,SUMIFS(tblAuftraege[Ausgaben],tblAuftraege[Datum Ausgaben],"&gt;="&amp;AB$5,tblAuftraege[Datum Ausgaben],"&lt;"&amp;EDATE(AB$5,1),tblAuftraege[Auftrag],$A103))</f>
        <v>0</v>
      </c>
      <c r="AC103" s="11" t="n">
        <f aca="false">IF($A103="",0,SUMIFS(tblAuftraege[Ausgaben],tblAuftraege[Datum Ausgaben],"&gt;="&amp;AC$5,tblAuftraege[Datum Ausgaben],"&lt;"&amp;EDATE(AC$5,1),tblAuftraege[Auftrag],$A103))</f>
        <v>0</v>
      </c>
      <c r="AD103" s="11" t="n">
        <f aca="false">IF($A103="",0,SUMIFS(tblAuftraege[Ausgaben],tblAuftraege[Datum Ausgaben],"&gt;="&amp;AD$5,tblAuftraege[Datum Ausgaben],"&lt;"&amp;EDATE(AD$5,1),tblAuftraege[Auftrag],$A103))</f>
        <v>0</v>
      </c>
      <c r="AE103" s="11" t="n">
        <f aca="false">IF($A103="",0,SUMIFS(tblAuftraege[Ausgaben],tblAuftraege[Datum Ausgaben],"&gt;="&amp;AE$5,tblAuftraege[Datum Ausgaben],"&lt;"&amp;EDATE(AE$5,1),tblAuftraege[Auftrag],$A103))</f>
        <v>0</v>
      </c>
      <c r="AF103" s="11" t="n">
        <f aca="false">IF($A103="",0,SUMIFS(tblAuftraege[Ausgaben],tblAuftraege[Datum Ausgaben],"&gt;="&amp;AF$5,tblAuftraege[Datum Ausgaben],"&lt;"&amp;EDATE(AF$5,1),tblAuftraege[Auftrag],$A103))</f>
        <v>0</v>
      </c>
      <c r="AG103" s="11" t="n">
        <f aca="false">IF($A103="",0,SUMIFS(tblAuftraege[Ausgaben],tblAuftraege[Datum Ausgaben],"&gt;="&amp;AG$5,tblAuftraege[Datum Ausgaben],"&lt;"&amp;EDATE(AG$5,1),tblAuftraege[Auftrag],$A103))</f>
        <v>0</v>
      </c>
      <c r="AH103" s="11" t="n">
        <f aca="false">IF($A103="",0,SUMIFS(tblAuftraege[Ausgaben],tblAuftraege[Datum Ausgaben],"&gt;="&amp;AH$5,tblAuftraege[Datum Ausgaben],"&lt;"&amp;EDATE(AH$5,1),tblAuftraege[Auftrag],$A103))</f>
        <v>0</v>
      </c>
      <c r="AI103" s="11" t="n">
        <f aca="false">IF($A103="",0,SUMIFS(tblAuftraege[Ausgaben],tblAuftraege[Datum Ausgaben],"&gt;="&amp;AI$5,tblAuftraege[Datum Ausgaben],"&lt;"&amp;EDATE(AI$5,1),tblAuftraege[Auftrag],$A103))</f>
        <v>0</v>
      </c>
      <c r="AJ103" s="11" t="n">
        <f aca="false">IF($A103="",0,SUMIFS(tblAuftraege[Ausgaben],tblAuftraege[Datum Ausgaben],"&gt;="&amp;AJ$5,tblAuftraege[Datum Ausgaben],"&lt;"&amp;EDATE(AJ$5,1),tblAuftraege[Auftrag],$A103))</f>
        <v>0</v>
      </c>
      <c r="AK103" s="11" t="n">
        <f aca="false">IF($A103="",0,SUMIFS(tblAuftraege[Ausgaben],tblAuftraege[Datum Ausgaben],"&gt;="&amp;AK$5,tblAuftraege[Datum Ausgaben],"&lt;"&amp;EDATE(AK$5,1),tblAuftraege[Auftrag],$A103))</f>
        <v>0</v>
      </c>
      <c r="AL103" s="11" t="n">
        <f aca="false">IF($A103="",0,SUMIFS(tblAuftraege[Ausgaben],tblAuftraege[Datum Ausgaben],"&gt;="&amp;AL$5,tblAuftraege[Datum Ausgaben],"&lt;"&amp;EDATE(AL$5,1),tblAuftraege[Auftrag],$A103))</f>
        <v>0</v>
      </c>
      <c r="AM103" s="11" t="n">
        <f aca="false">IF($A103="",0,SUMIFS(tblAuftraege[Ausgaben],tblAuftraege[Datum Ausgaben],"&gt;="&amp;AM$5,tblAuftraege[Datum Ausgaben],"&lt;"&amp;EDATE(AM$5,1),tblAuftraege[Auftrag],$A103))</f>
        <v>0</v>
      </c>
      <c r="AN103" s="11" t="n">
        <f aca="false">IF($A103="",0,SUMIFS(tblAuftraege[Ausgaben],tblAuftraege[Datum Ausgaben],"&gt;="&amp;AN$5,tblAuftraege[Datum Ausgaben],"&lt;"&amp;EDATE(AN$5,1),tblAuftraege[Auftrag],$A103))</f>
        <v>0</v>
      </c>
      <c r="AO103" s="11" t="n">
        <f aca="false">IF($A103="",0,SUMIFS(tblAuftraege[Ausgaben],tblAuftraege[Datum Ausgaben],"&gt;="&amp;AO$5,tblAuftraege[Datum Ausgaben],"&lt;"&amp;EDATE(AO$5,1),tblAuftraege[Auftrag],$A103))</f>
        <v>0</v>
      </c>
      <c r="AP103" s="11" t="n">
        <f aca="false">IF($A103="",0,SUMIFS(tblAuftraege[Ausgaben],tblAuftraege[Datum Ausgaben],"&gt;="&amp;AP$5,tblAuftraege[Datum Ausgaben],"&lt;"&amp;EDATE(AP$5,1),tblAuftraege[Auftrag],$A103))</f>
        <v>0</v>
      </c>
      <c r="AQ103" s="11" t="n">
        <f aca="false">IF($A103="",0,SUMIFS(tblAuftraege[Ausgaben],tblAuftraege[Datum Ausgaben],"&gt;="&amp;AQ$5,tblAuftraege[Datum Ausgaben],"&lt;"&amp;EDATE(AQ$5,1),tblAuftraege[Auftrag],$A103))</f>
        <v>0</v>
      </c>
      <c r="AR103" s="11" t="n">
        <f aca="false">IF($A103="",0,SUMIFS(tblAuftraege[Ausgaben],tblAuftraege[Datum Ausgaben],"&gt;="&amp;AR$5,tblAuftraege[Datum Ausgaben],"&lt;"&amp;EDATE(AR$5,1),tblAuftraege[Auftrag],$A103))</f>
        <v>0</v>
      </c>
      <c r="AS103" s="11" t="n">
        <f aca="false">IF($A103="",0,SUMIFS(tblAuftraege[Ausgaben],tblAuftraege[Datum Ausgaben],"&gt;="&amp;AS$5,tblAuftraege[Datum Ausgaben],"&lt;"&amp;EDATE(AS$5,1),tblAuftraege[Auftrag],$A103))</f>
        <v>0</v>
      </c>
      <c r="AT103" s="11" t="n">
        <f aca="false">IF($A103="",0,SUMIFS(tblAuftraege[Ausgaben],tblAuftraege[Datum Ausgaben],"&gt;="&amp;AT$5,tblAuftraege[Datum Ausgaben],"&lt;"&amp;EDATE(AT$5,1),tblAuftraege[Auftrag],$A103))</f>
        <v>0</v>
      </c>
      <c r="AU103" s="11" t="n">
        <f aca="false">IF($A103="",0,SUMIFS(tblAuftraege[Ausgaben],tblAuftraege[Datum Ausgaben],"&gt;="&amp;AU$5,tblAuftraege[Datum Ausgaben],"&lt;"&amp;EDATE(AU$5,1),tblAuftraege[Auftrag],$A103))</f>
        <v>0</v>
      </c>
      <c r="AV103" s="11" t="n">
        <f aca="false">IF($A103="",0,SUMIFS(tblAuftraege[Ausgaben],tblAuftraege[Datum Ausgaben],"&gt;="&amp;AV$5,tblAuftraege[Datum Ausgaben],"&lt;"&amp;EDATE(AV$5,1),tblAuftraege[Auftrag],$A103))</f>
        <v>0</v>
      </c>
      <c r="AW103" s="11" t="n">
        <f aca="false">IF($A103="",0,SUMIFS(tblAuftraege[Ausgaben],tblAuftraege[Datum Ausgaben],"&gt;="&amp;AW$5,tblAuftraege[Datum Ausgaben],"&lt;"&amp;EDATE(AW$5,1),tblAuftraege[Auftrag],$A103))</f>
        <v>0</v>
      </c>
      <c r="AX103" s="11" t="n">
        <f aca="false">IF($A103="",0,SUMIFS(tblAuftraege[Ausgaben],tblAuftraege[Datum Ausgaben],"&gt;="&amp;AX$5,tblAuftraege[Datum Ausgaben],"&lt;"&amp;EDATE(AX$5,1),tblAuftraege[Auftrag],$A103))</f>
        <v>0</v>
      </c>
      <c r="AY103" s="11" t="n">
        <f aca="false">IF($A103="",0,SUMIFS(tblAuftraege[Ausgaben],tblAuftraege[Datum Ausgaben],"&gt;="&amp;AY$5,tblAuftraege[Datum Ausgaben],"&lt;"&amp;EDATE(AY$5,1),tblAuftraege[Auftrag],$A103))</f>
        <v>0</v>
      </c>
      <c r="AZ103" s="11" t="n">
        <f aca="false">IF($A103="",0,SUMIFS(tblAuftraege[Ausgaben],tblAuftraege[Datum Ausgaben],"&gt;="&amp;AZ$5,tblAuftraege[Datum Ausgaben],"&lt;"&amp;EDATE(AZ$5,1),tblAuftraege[Auftrag],$A103))</f>
        <v>0</v>
      </c>
      <c r="BA103" s="11" t="n">
        <f aca="false">IF($A103="",0,SUMIFS(tblAuftraege[Ausgaben],tblAuftraege[Datum Ausgaben],"&gt;="&amp;BA$5,tblAuftraege[Datum Ausgaben],"&lt;"&amp;EDATE(BA$5,1),tblAuftraege[Auftrag],$A103))</f>
        <v>0</v>
      </c>
      <c r="BB103" s="11" t="n">
        <f aca="false">IF($A103="",0,SUMIFS(tblAuftraege[Ausgaben],tblAuftraege[Datum Ausgaben],"&gt;="&amp;BB$5,tblAuftraege[Datum Ausgaben],"&lt;"&amp;EDATE(BB$5,1),tblAuftraege[Auftrag],$A103))</f>
        <v>0</v>
      </c>
      <c r="BC103" s="11" t="n">
        <f aca="false">IF($A103="",0,SUMIFS(tblAuftraege[Ausgaben],tblAuftraege[Datum Ausgaben],"&gt;="&amp;BC$5,tblAuftraege[Datum Ausgaben],"&lt;"&amp;EDATE(BC$5,1),tblAuftraege[Auftrag],$A103))</f>
        <v>0</v>
      </c>
      <c r="BD103" s="11" t="n">
        <f aca="false">IF($A103="",0,SUMIFS(tblAuftraege[Ausgaben],tblAuftraege[Datum Ausgaben],"&gt;="&amp;BD$5,tblAuftraege[Datum Ausgaben],"&lt;"&amp;EDATE(BD$5,1),tblAuftraege[Auftrag],$A103))</f>
        <v>0</v>
      </c>
      <c r="BE103" s="11" t="n">
        <f aca="false">IF($A103="",0,SUMIFS(tblAuftraege[Ausgaben],tblAuftraege[Datum Ausgaben],"&gt;="&amp;BE$5,tblAuftraege[Datum Ausgaben],"&lt;"&amp;EDATE(BE$5,1),tblAuftraege[Auftrag],$A103))</f>
        <v>0</v>
      </c>
      <c r="BF103" s="11" t="n">
        <f aca="false">IF($A103="",0,SUMIFS(tblAuftraege[Ausgaben],tblAuftraege[Datum Ausgaben],"&gt;="&amp;BF$5,tblAuftraege[Datum Ausgaben],"&lt;"&amp;EDATE(BF$5,1),tblAuftraege[Auftrag],$A103))</f>
        <v>0</v>
      </c>
      <c r="BG103" s="11" t="n">
        <f aca="false">SUM(E103:J103)</f>
        <v>0</v>
      </c>
      <c r="BH103" s="11" t="n">
        <f aca="false">SUM(K103:V103)</f>
        <v>0</v>
      </c>
      <c r="BI103" s="11" t="n">
        <f aca="false">SUM(W103:AH103)</f>
        <v>0</v>
      </c>
      <c r="BJ103" s="11" t="n">
        <f aca="false">SUM(AI103:AT103)</f>
        <v>0</v>
      </c>
      <c r="BK103" s="11" t="n">
        <f aca="false">SUM(AU103:BF103)</f>
        <v>0</v>
      </c>
      <c r="BL103" s="12" t="n">
        <f aca="false">SUM(E103:BF103)</f>
        <v>0</v>
      </c>
    </row>
    <row r="104" customFormat="false" ht="15" hidden="false" customHeight="false" outlineLevel="0" collapsed="false">
      <c r="A104" s="9"/>
      <c r="B104" s="10" t="str">
        <f aca="false">IF($A104="","",IFERROR(INDEX(tblAuftraege[Kostenstelle],MATCH($A104,tblAuftraege[Auftrag],0)),""))</f>
        <v/>
      </c>
      <c r="C104" s="10" t="str">
        <f aca="false">IF($A104="","",IFERROR(INDEX(tblAuftraege[Themenfeld],MATCH($A104,tblAuftraege[Auftrag],0)),""))</f>
        <v/>
      </c>
      <c r="D104" s="10" t="str">
        <f aca="false">IF($A104="","",IFERROR(INDEX(tblAuftraege[Kategorie],MATCH($A104,tblAuftraege[Auftrag],0)),""))</f>
        <v/>
      </c>
      <c r="E104" s="11" t="n">
        <f aca="false">IF($A104="",0,SUMIFS(tblAuftraege[Ausgaben],tblAuftraege[Datum Ausgaben],"&gt;="&amp;E$5,tblAuftraege[Datum Ausgaben],"&lt;"&amp;EDATE(E$5,1),tblAuftraege[Auftrag],$A104))</f>
        <v>0</v>
      </c>
      <c r="F104" s="11" t="n">
        <f aca="false">IF($A104="",0,SUMIFS(tblAuftraege[Ausgaben],tblAuftraege[Datum Ausgaben],"&gt;="&amp;F$5,tblAuftraege[Datum Ausgaben],"&lt;"&amp;EDATE(F$5,1),tblAuftraege[Auftrag],$A104))</f>
        <v>0</v>
      </c>
      <c r="G104" s="11" t="n">
        <f aca="false">IF($A104="",0,SUMIFS(tblAuftraege[Ausgaben],tblAuftraege[Datum Ausgaben],"&gt;="&amp;G$5,tblAuftraege[Datum Ausgaben],"&lt;"&amp;EDATE(G$5,1),tblAuftraege[Auftrag],$A104))</f>
        <v>0</v>
      </c>
      <c r="H104" s="11" t="n">
        <f aca="false">IF($A104="",0,SUMIFS(tblAuftraege[Ausgaben],tblAuftraege[Datum Ausgaben],"&gt;="&amp;H$5,tblAuftraege[Datum Ausgaben],"&lt;"&amp;EDATE(H$5,1),tblAuftraege[Auftrag],$A104))</f>
        <v>0</v>
      </c>
      <c r="I104" s="11" t="n">
        <f aca="false">IF($A104="",0,SUMIFS(tblAuftraege[Ausgaben],tblAuftraege[Datum Ausgaben],"&gt;="&amp;I$5,tblAuftraege[Datum Ausgaben],"&lt;"&amp;EDATE(I$5,1),tblAuftraege[Auftrag],$A104))</f>
        <v>0</v>
      </c>
      <c r="J104" s="11" t="n">
        <f aca="false">IF($A104="",0,SUMIFS(tblAuftraege[Ausgaben],tblAuftraege[Datum Ausgaben],"&gt;="&amp;J$5,tblAuftraege[Datum Ausgaben],"&lt;"&amp;EDATE(J$5,1),tblAuftraege[Auftrag],$A104))</f>
        <v>0</v>
      </c>
      <c r="K104" s="11" t="n">
        <f aca="false">IF($A104="",0,SUMIFS(tblAuftraege[Ausgaben],tblAuftraege[Datum Ausgaben],"&gt;="&amp;K$5,tblAuftraege[Datum Ausgaben],"&lt;"&amp;EDATE(K$5,1),tblAuftraege[Auftrag],$A104))</f>
        <v>0</v>
      </c>
      <c r="L104" s="11" t="n">
        <f aca="false">IF($A104="",0,SUMIFS(tblAuftraege[Ausgaben],tblAuftraege[Datum Ausgaben],"&gt;="&amp;L$5,tblAuftraege[Datum Ausgaben],"&lt;"&amp;EDATE(L$5,1),tblAuftraege[Auftrag],$A104))</f>
        <v>0</v>
      </c>
      <c r="M104" s="11" t="n">
        <f aca="false">IF($A104="",0,SUMIFS(tblAuftraege[Ausgaben],tblAuftraege[Datum Ausgaben],"&gt;="&amp;M$5,tblAuftraege[Datum Ausgaben],"&lt;"&amp;EDATE(M$5,1),tblAuftraege[Auftrag],$A104))</f>
        <v>0</v>
      </c>
      <c r="N104" s="11" t="n">
        <f aca="false">IF($A104="",0,SUMIFS(tblAuftraege[Ausgaben],tblAuftraege[Datum Ausgaben],"&gt;="&amp;N$5,tblAuftraege[Datum Ausgaben],"&lt;"&amp;EDATE(N$5,1),tblAuftraege[Auftrag],$A104))</f>
        <v>0</v>
      </c>
      <c r="O104" s="11" t="n">
        <f aca="false">IF($A104="",0,SUMIFS(tblAuftraege[Ausgaben],tblAuftraege[Datum Ausgaben],"&gt;="&amp;O$5,tblAuftraege[Datum Ausgaben],"&lt;"&amp;EDATE(O$5,1),tblAuftraege[Auftrag],$A104))</f>
        <v>0</v>
      </c>
      <c r="P104" s="11" t="n">
        <f aca="false">IF($A104="",0,SUMIFS(tblAuftraege[Ausgaben],tblAuftraege[Datum Ausgaben],"&gt;="&amp;P$5,tblAuftraege[Datum Ausgaben],"&lt;"&amp;EDATE(P$5,1),tblAuftraege[Auftrag],$A104))</f>
        <v>0</v>
      </c>
      <c r="Q104" s="11" t="n">
        <f aca="false">IF($A104="",0,SUMIFS(tblAuftraege[Ausgaben],tblAuftraege[Datum Ausgaben],"&gt;="&amp;Q$5,tblAuftraege[Datum Ausgaben],"&lt;"&amp;EDATE(Q$5,1),tblAuftraege[Auftrag],$A104))</f>
        <v>0</v>
      </c>
      <c r="R104" s="11" t="n">
        <f aca="false">IF($A104="",0,SUMIFS(tblAuftraege[Ausgaben],tblAuftraege[Datum Ausgaben],"&gt;="&amp;R$5,tblAuftraege[Datum Ausgaben],"&lt;"&amp;EDATE(R$5,1),tblAuftraege[Auftrag],$A104))</f>
        <v>0</v>
      </c>
      <c r="S104" s="11" t="n">
        <f aca="false">IF($A104="",0,SUMIFS(tblAuftraege[Ausgaben],tblAuftraege[Datum Ausgaben],"&gt;="&amp;S$5,tblAuftraege[Datum Ausgaben],"&lt;"&amp;EDATE(S$5,1),tblAuftraege[Auftrag],$A104))</f>
        <v>0</v>
      </c>
      <c r="T104" s="11" t="n">
        <f aca="false">IF($A104="",0,SUMIFS(tblAuftraege[Ausgaben],tblAuftraege[Datum Ausgaben],"&gt;="&amp;T$5,tblAuftraege[Datum Ausgaben],"&lt;"&amp;EDATE(T$5,1),tblAuftraege[Auftrag],$A104))</f>
        <v>0</v>
      </c>
      <c r="U104" s="11" t="n">
        <f aca="false">IF($A104="",0,SUMIFS(tblAuftraege[Ausgaben],tblAuftraege[Datum Ausgaben],"&gt;="&amp;U$5,tblAuftraege[Datum Ausgaben],"&lt;"&amp;EDATE(U$5,1),tblAuftraege[Auftrag],$A104))</f>
        <v>0</v>
      </c>
      <c r="V104" s="11" t="n">
        <f aca="false">IF($A104="",0,SUMIFS(tblAuftraege[Ausgaben],tblAuftraege[Datum Ausgaben],"&gt;="&amp;V$5,tblAuftraege[Datum Ausgaben],"&lt;"&amp;EDATE(V$5,1),tblAuftraege[Auftrag],$A104))</f>
        <v>0</v>
      </c>
      <c r="W104" s="11" t="n">
        <f aca="false">IF($A104="",0,SUMIFS(tblAuftraege[Ausgaben],tblAuftraege[Datum Ausgaben],"&gt;="&amp;W$5,tblAuftraege[Datum Ausgaben],"&lt;"&amp;EDATE(W$5,1),tblAuftraege[Auftrag],$A104))</f>
        <v>0</v>
      </c>
      <c r="X104" s="11" t="n">
        <f aca="false">IF($A104="",0,SUMIFS(tblAuftraege[Ausgaben],tblAuftraege[Datum Ausgaben],"&gt;="&amp;X$5,tblAuftraege[Datum Ausgaben],"&lt;"&amp;EDATE(X$5,1),tblAuftraege[Auftrag],$A104))</f>
        <v>0</v>
      </c>
      <c r="Y104" s="11" t="n">
        <f aca="false">IF($A104="",0,SUMIFS(tblAuftraege[Ausgaben],tblAuftraege[Datum Ausgaben],"&gt;="&amp;Y$5,tblAuftraege[Datum Ausgaben],"&lt;"&amp;EDATE(Y$5,1),tblAuftraege[Auftrag],$A104))</f>
        <v>0</v>
      </c>
      <c r="Z104" s="11" t="n">
        <f aca="false">IF($A104="",0,SUMIFS(tblAuftraege[Ausgaben],tblAuftraege[Datum Ausgaben],"&gt;="&amp;Z$5,tblAuftraege[Datum Ausgaben],"&lt;"&amp;EDATE(Z$5,1),tblAuftraege[Auftrag],$A104))</f>
        <v>0</v>
      </c>
      <c r="AA104" s="11" t="n">
        <f aca="false">IF($A104="",0,SUMIFS(tblAuftraege[Ausgaben],tblAuftraege[Datum Ausgaben],"&gt;="&amp;AA$5,tblAuftraege[Datum Ausgaben],"&lt;"&amp;EDATE(AA$5,1),tblAuftraege[Auftrag],$A104))</f>
        <v>0</v>
      </c>
      <c r="AB104" s="11" t="n">
        <f aca="false">IF($A104="",0,SUMIFS(tblAuftraege[Ausgaben],tblAuftraege[Datum Ausgaben],"&gt;="&amp;AB$5,tblAuftraege[Datum Ausgaben],"&lt;"&amp;EDATE(AB$5,1),tblAuftraege[Auftrag],$A104))</f>
        <v>0</v>
      </c>
      <c r="AC104" s="11" t="n">
        <f aca="false">IF($A104="",0,SUMIFS(tblAuftraege[Ausgaben],tblAuftraege[Datum Ausgaben],"&gt;="&amp;AC$5,tblAuftraege[Datum Ausgaben],"&lt;"&amp;EDATE(AC$5,1),tblAuftraege[Auftrag],$A104))</f>
        <v>0</v>
      </c>
      <c r="AD104" s="11" t="n">
        <f aca="false">IF($A104="",0,SUMIFS(tblAuftraege[Ausgaben],tblAuftraege[Datum Ausgaben],"&gt;="&amp;AD$5,tblAuftraege[Datum Ausgaben],"&lt;"&amp;EDATE(AD$5,1),tblAuftraege[Auftrag],$A104))</f>
        <v>0</v>
      </c>
      <c r="AE104" s="11" t="n">
        <f aca="false">IF($A104="",0,SUMIFS(tblAuftraege[Ausgaben],tblAuftraege[Datum Ausgaben],"&gt;="&amp;AE$5,tblAuftraege[Datum Ausgaben],"&lt;"&amp;EDATE(AE$5,1),tblAuftraege[Auftrag],$A104))</f>
        <v>0</v>
      </c>
      <c r="AF104" s="11" t="n">
        <f aca="false">IF($A104="",0,SUMIFS(tblAuftraege[Ausgaben],tblAuftraege[Datum Ausgaben],"&gt;="&amp;AF$5,tblAuftraege[Datum Ausgaben],"&lt;"&amp;EDATE(AF$5,1),tblAuftraege[Auftrag],$A104))</f>
        <v>0</v>
      </c>
      <c r="AG104" s="11" t="n">
        <f aca="false">IF($A104="",0,SUMIFS(tblAuftraege[Ausgaben],tblAuftraege[Datum Ausgaben],"&gt;="&amp;AG$5,tblAuftraege[Datum Ausgaben],"&lt;"&amp;EDATE(AG$5,1),tblAuftraege[Auftrag],$A104))</f>
        <v>0</v>
      </c>
      <c r="AH104" s="11" t="n">
        <f aca="false">IF($A104="",0,SUMIFS(tblAuftraege[Ausgaben],tblAuftraege[Datum Ausgaben],"&gt;="&amp;AH$5,tblAuftraege[Datum Ausgaben],"&lt;"&amp;EDATE(AH$5,1),tblAuftraege[Auftrag],$A104))</f>
        <v>0</v>
      </c>
      <c r="AI104" s="11" t="n">
        <f aca="false">IF($A104="",0,SUMIFS(tblAuftraege[Ausgaben],tblAuftraege[Datum Ausgaben],"&gt;="&amp;AI$5,tblAuftraege[Datum Ausgaben],"&lt;"&amp;EDATE(AI$5,1),tblAuftraege[Auftrag],$A104))</f>
        <v>0</v>
      </c>
      <c r="AJ104" s="11" t="n">
        <f aca="false">IF($A104="",0,SUMIFS(tblAuftraege[Ausgaben],tblAuftraege[Datum Ausgaben],"&gt;="&amp;AJ$5,tblAuftraege[Datum Ausgaben],"&lt;"&amp;EDATE(AJ$5,1),tblAuftraege[Auftrag],$A104))</f>
        <v>0</v>
      </c>
      <c r="AK104" s="11" t="n">
        <f aca="false">IF($A104="",0,SUMIFS(tblAuftraege[Ausgaben],tblAuftraege[Datum Ausgaben],"&gt;="&amp;AK$5,tblAuftraege[Datum Ausgaben],"&lt;"&amp;EDATE(AK$5,1),tblAuftraege[Auftrag],$A104))</f>
        <v>0</v>
      </c>
      <c r="AL104" s="11" t="n">
        <f aca="false">IF($A104="",0,SUMIFS(tblAuftraege[Ausgaben],tblAuftraege[Datum Ausgaben],"&gt;="&amp;AL$5,tblAuftraege[Datum Ausgaben],"&lt;"&amp;EDATE(AL$5,1),tblAuftraege[Auftrag],$A104))</f>
        <v>0</v>
      </c>
      <c r="AM104" s="11" t="n">
        <f aca="false">IF($A104="",0,SUMIFS(tblAuftraege[Ausgaben],tblAuftraege[Datum Ausgaben],"&gt;="&amp;AM$5,tblAuftraege[Datum Ausgaben],"&lt;"&amp;EDATE(AM$5,1),tblAuftraege[Auftrag],$A104))</f>
        <v>0</v>
      </c>
      <c r="AN104" s="11" t="n">
        <f aca="false">IF($A104="",0,SUMIFS(tblAuftraege[Ausgaben],tblAuftraege[Datum Ausgaben],"&gt;="&amp;AN$5,tblAuftraege[Datum Ausgaben],"&lt;"&amp;EDATE(AN$5,1),tblAuftraege[Auftrag],$A104))</f>
        <v>0</v>
      </c>
      <c r="AO104" s="11" t="n">
        <f aca="false">IF($A104="",0,SUMIFS(tblAuftraege[Ausgaben],tblAuftraege[Datum Ausgaben],"&gt;="&amp;AO$5,tblAuftraege[Datum Ausgaben],"&lt;"&amp;EDATE(AO$5,1),tblAuftraege[Auftrag],$A104))</f>
        <v>0</v>
      </c>
      <c r="AP104" s="11" t="n">
        <f aca="false">IF($A104="",0,SUMIFS(tblAuftraege[Ausgaben],tblAuftraege[Datum Ausgaben],"&gt;="&amp;AP$5,tblAuftraege[Datum Ausgaben],"&lt;"&amp;EDATE(AP$5,1),tblAuftraege[Auftrag],$A104))</f>
        <v>0</v>
      </c>
      <c r="AQ104" s="11" t="n">
        <f aca="false">IF($A104="",0,SUMIFS(tblAuftraege[Ausgaben],tblAuftraege[Datum Ausgaben],"&gt;="&amp;AQ$5,tblAuftraege[Datum Ausgaben],"&lt;"&amp;EDATE(AQ$5,1),tblAuftraege[Auftrag],$A104))</f>
        <v>0</v>
      </c>
      <c r="AR104" s="11" t="n">
        <f aca="false">IF($A104="",0,SUMIFS(tblAuftraege[Ausgaben],tblAuftraege[Datum Ausgaben],"&gt;="&amp;AR$5,tblAuftraege[Datum Ausgaben],"&lt;"&amp;EDATE(AR$5,1),tblAuftraege[Auftrag],$A104))</f>
        <v>0</v>
      </c>
      <c r="AS104" s="11" t="n">
        <f aca="false">IF($A104="",0,SUMIFS(tblAuftraege[Ausgaben],tblAuftraege[Datum Ausgaben],"&gt;="&amp;AS$5,tblAuftraege[Datum Ausgaben],"&lt;"&amp;EDATE(AS$5,1),tblAuftraege[Auftrag],$A104))</f>
        <v>0</v>
      </c>
      <c r="AT104" s="11" t="n">
        <f aca="false">IF($A104="",0,SUMIFS(tblAuftraege[Ausgaben],tblAuftraege[Datum Ausgaben],"&gt;="&amp;AT$5,tblAuftraege[Datum Ausgaben],"&lt;"&amp;EDATE(AT$5,1),tblAuftraege[Auftrag],$A104))</f>
        <v>0</v>
      </c>
      <c r="AU104" s="11" t="n">
        <f aca="false">IF($A104="",0,SUMIFS(tblAuftraege[Ausgaben],tblAuftraege[Datum Ausgaben],"&gt;="&amp;AU$5,tblAuftraege[Datum Ausgaben],"&lt;"&amp;EDATE(AU$5,1),tblAuftraege[Auftrag],$A104))</f>
        <v>0</v>
      </c>
      <c r="AV104" s="11" t="n">
        <f aca="false">IF($A104="",0,SUMIFS(tblAuftraege[Ausgaben],tblAuftraege[Datum Ausgaben],"&gt;="&amp;AV$5,tblAuftraege[Datum Ausgaben],"&lt;"&amp;EDATE(AV$5,1),tblAuftraege[Auftrag],$A104))</f>
        <v>0</v>
      </c>
      <c r="AW104" s="11" t="n">
        <f aca="false">IF($A104="",0,SUMIFS(tblAuftraege[Ausgaben],tblAuftraege[Datum Ausgaben],"&gt;="&amp;AW$5,tblAuftraege[Datum Ausgaben],"&lt;"&amp;EDATE(AW$5,1),tblAuftraege[Auftrag],$A104))</f>
        <v>0</v>
      </c>
      <c r="AX104" s="11" t="n">
        <f aca="false">IF($A104="",0,SUMIFS(tblAuftraege[Ausgaben],tblAuftraege[Datum Ausgaben],"&gt;="&amp;AX$5,tblAuftraege[Datum Ausgaben],"&lt;"&amp;EDATE(AX$5,1),tblAuftraege[Auftrag],$A104))</f>
        <v>0</v>
      </c>
      <c r="AY104" s="11" t="n">
        <f aca="false">IF($A104="",0,SUMIFS(tblAuftraege[Ausgaben],tblAuftraege[Datum Ausgaben],"&gt;="&amp;AY$5,tblAuftraege[Datum Ausgaben],"&lt;"&amp;EDATE(AY$5,1),tblAuftraege[Auftrag],$A104))</f>
        <v>0</v>
      </c>
      <c r="AZ104" s="11" t="n">
        <f aca="false">IF($A104="",0,SUMIFS(tblAuftraege[Ausgaben],tblAuftraege[Datum Ausgaben],"&gt;="&amp;AZ$5,tblAuftraege[Datum Ausgaben],"&lt;"&amp;EDATE(AZ$5,1),tblAuftraege[Auftrag],$A104))</f>
        <v>0</v>
      </c>
      <c r="BA104" s="11" t="n">
        <f aca="false">IF($A104="",0,SUMIFS(tblAuftraege[Ausgaben],tblAuftraege[Datum Ausgaben],"&gt;="&amp;BA$5,tblAuftraege[Datum Ausgaben],"&lt;"&amp;EDATE(BA$5,1),tblAuftraege[Auftrag],$A104))</f>
        <v>0</v>
      </c>
      <c r="BB104" s="11" t="n">
        <f aca="false">IF($A104="",0,SUMIFS(tblAuftraege[Ausgaben],tblAuftraege[Datum Ausgaben],"&gt;="&amp;BB$5,tblAuftraege[Datum Ausgaben],"&lt;"&amp;EDATE(BB$5,1),tblAuftraege[Auftrag],$A104))</f>
        <v>0</v>
      </c>
      <c r="BC104" s="11" t="n">
        <f aca="false">IF($A104="",0,SUMIFS(tblAuftraege[Ausgaben],tblAuftraege[Datum Ausgaben],"&gt;="&amp;BC$5,tblAuftraege[Datum Ausgaben],"&lt;"&amp;EDATE(BC$5,1),tblAuftraege[Auftrag],$A104))</f>
        <v>0</v>
      </c>
      <c r="BD104" s="11" t="n">
        <f aca="false">IF($A104="",0,SUMIFS(tblAuftraege[Ausgaben],tblAuftraege[Datum Ausgaben],"&gt;="&amp;BD$5,tblAuftraege[Datum Ausgaben],"&lt;"&amp;EDATE(BD$5,1),tblAuftraege[Auftrag],$A104))</f>
        <v>0</v>
      </c>
      <c r="BE104" s="11" t="n">
        <f aca="false">IF($A104="",0,SUMIFS(tblAuftraege[Ausgaben],tblAuftraege[Datum Ausgaben],"&gt;="&amp;BE$5,tblAuftraege[Datum Ausgaben],"&lt;"&amp;EDATE(BE$5,1),tblAuftraege[Auftrag],$A104))</f>
        <v>0</v>
      </c>
      <c r="BF104" s="11" t="n">
        <f aca="false">IF($A104="",0,SUMIFS(tblAuftraege[Ausgaben],tblAuftraege[Datum Ausgaben],"&gt;="&amp;BF$5,tblAuftraege[Datum Ausgaben],"&lt;"&amp;EDATE(BF$5,1),tblAuftraege[Auftrag],$A104))</f>
        <v>0</v>
      </c>
      <c r="BG104" s="11" t="n">
        <f aca="false">SUM(E104:J104)</f>
        <v>0</v>
      </c>
      <c r="BH104" s="11" t="n">
        <f aca="false">SUM(K104:V104)</f>
        <v>0</v>
      </c>
      <c r="BI104" s="11" t="n">
        <f aca="false">SUM(W104:AH104)</f>
        <v>0</v>
      </c>
      <c r="BJ104" s="11" t="n">
        <f aca="false">SUM(AI104:AT104)</f>
        <v>0</v>
      </c>
      <c r="BK104" s="11" t="n">
        <f aca="false">SUM(AU104:BF104)</f>
        <v>0</v>
      </c>
      <c r="BL104" s="12" t="n">
        <f aca="false">SUM(E104:BF104)</f>
        <v>0</v>
      </c>
    </row>
    <row r="105" customFormat="false" ht="15" hidden="false" customHeight="false" outlineLevel="0" collapsed="false">
      <c r="A105" s="9"/>
      <c r="B105" s="10" t="str">
        <f aca="false">IF($A105="","",IFERROR(INDEX(tblAuftraege[Kostenstelle],MATCH($A105,tblAuftraege[Auftrag],0)),""))</f>
        <v/>
      </c>
      <c r="C105" s="10" t="str">
        <f aca="false">IF($A105="","",IFERROR(INDEX(tblAuftraege[Themenfeld],MATCH($A105,tblAuftraege[Auftrag],0)),""))</f>
        <v/>
      </c>
      <c r="D105" s="10" t="str">
        <f aca="false">IF($A105="","",IFERROR(INDEX(tblAuftraege[Kategorie],MATCH($A105,tblAuftraege[Auftrag],0)),""))</f>
        <v/>
      </c>
      <c r="E105" s="11" t="n">
        <f aca="false">IF($A105="",0,SUMIFS(tblAuftraege[Ausgaben],tblAuftraege[Datum Ausgaben],"&gt;="&amp;E$5,tblAuftraege[Datum Ausgaben],"&lt;"&amp;EDATE(E$5,1),tblAuftraege[Auftrag],$A105))</f>
        <v>0</v>
      </c>
      <c r="F105" s="11" t="n">
        <f aca="false">IF($A105="",0,SUMIFS(tblAuftraege[Ausgaben],tblAuftraege[Datum Ausgaben],"&gt;="&amp;F$5,tblAuftraege[Datum Ausgaben],"&lt;"&amp;EDATE(F$5,1),tblAuftraege[Auftrag],$A105))</f>
        <v>0</v>
      </c>
      <c r="G105" s="11" t="n">
        <f aca="false">IF($A105="",0,SUMIFS(tblAuftraege[Ausgaben],tblAuftraege[Datum Ausgaben],"&gt;="&amp;G$5,tblAuftraege[Datum Ausgaben],"&lt;"&amp;EDATE(G$5,1),tblAuftraege[Auftrag],$A105))</f>
        <v>0</v>
      </c>
      <c r="H105" s="11" t="n">
        <f aca="false">IF($A105="",0,SUMIFS(tblAuftraege[Ausgaben],tblAuftraege[Datum Ausgaben],"&gt;="&amp;H$5,tblAuftraege[Datum Ausgaben],"&lt;"&amp;EDATE(H$5,1),tblAuftraege[Auftrag],$A105))</f>
        <v>0</v>
      </c>
      <c r="I105" s="11" t="n">
        <f aca="false">IF($A105="",0,SUMIFS(tblAuftraege[Ausgaben],tblAuftraege[Datum Ausgaben],"&gt;="&amp;I$5,tblAuftraege[Datum Ausgaben],"&lt;"&amp;EDATE(I$5,1),tblAuftraege[Auftrag],$A105))</f>
        <v>0</v>
      </c>
      <c r="J105" s="11" t="n">
        <f aca="false">IF($A105="",0,SUMIFS(tblAuftraege[Ausgaben],tblAuftraege[Datum Ausgaben],"&gt;="&amp;J$5,tblAuftraege[Datum Ausgaben],"&lt;"&amp;EDATE(J$5,1),tblAuftraege[Auftrag],$A105))</f>
        <v>0</v>
      </c>
      <c r="K105" s="11" t="n">
        <f aca="false">IF($A105="",0,SUMIFS(tblAuftraege[Ausgaben],tblAuftraege[Datum Ausgaben],"&gt;="&amp;K$5,tblAuftraege[Datum Ausgaben],"&lt;"&amp;EDATE(K$5,1),tblAuftraege[Auftrag],$A105))</f>
        <v>0</v>
      </c>
      <c r="L105" s="11" t="n">
        <f aca="false">IF($A105="",0,SUMIFS(tblAuftraege[Ausgaben],tblAuftraege[Datum Ausgaben],"&gt;="&amp;L$5,tblAuftraege[Datum Ausgaben],"&lt;"&amp;EDATE(L$5,1),tblAuftraege[Auftrag],$A105))</f>
        <v>0</v>
      </c>
      <c r="M105" s="11" t="n">
        <f aca="false">IF($A105="",0,SUMIFS(tblAuftraege[Ausgaben],tblAuftraege[Datum Ausgaben],"&gt;="&amp;M$5,tblAuftraege[Datum Ausgaben],"&lt;"&amp;EDATE(M$5,1),tblAuftraege[Auftrag],$A105))</f>
        <v>0</v>
      </c>
      <c r="N105" s="11" t="n">
        <f aca="false">IF($A105="",0,SUMIFS(tblAuftraege[Ausgaben],tblAuftraege[Datum Ausgaben],"&gt;="&amp;N$5,tblAuftraege[Datum Ausgaben],"&lt;"&amp;EDATE(N$5,1),tblAuftraege[Auftrag],$A105))</f>
        <v>0</v>
      </c>
      <c r="O105" s="11" t="n">
        <f aca="false">IF($A105="",0,SUMIFS(tblAuftraege[Ausgaben],tblAuftraege[Datum Ausgaben],"&gt;="&amp;O$5,tblAuftraege[Datum Ausgaben],"&lt;"&amp;EDATE(O$5,1),tblAuftraege[Auftrag],$A105))</f>
        <v>0</v>
      </c>
      <c r="P105" s="11" t="n">
        <f aca="false">IF($A105="",0,SUMIFS(tblAuftraege[Ausgaben],tblAuftraege[Datum Ausgaben],"&gt;="&amp;P$5,tblAuftraege[Datum Ausgaben],"&lt;"&amp;EDATE(P$5,1),tblAuftraege[Auftrag],$A105))</f>
        <v>0</v>
      </c>
      <c r="Q105" s="11" t="n">
        <f aca="false">IF($A105="",0,SUMIFS(tblAuftraege[Ausgaben],tblAuftraege[Datum Ausgaben],"&gt;="&amp;Q$5,tblAuftraege[Datum Ausgaben],"&lt;"&amp;EDATE(Q$5,1),tblAuftraege[Auftrag],$A105))</f>
        <v>0</v>
      </c>
      <c r="R105" s="11" t="n">
        <f aca="false">IF($A105="",0,SUMIFS(tblAuftraege[Ausgaben],tblAuftraege[Datum Ausgaben],"&gt;="&amp;R$5,tblAuftraege[Datum Ausgaben],"&lt;"&amp;EDATE(R$5,1),tblAuftraege[Auftrag],$A105))</f>
        <v>0</v>
      </c>
      <c r="S105" s="11" t="n">
        <f aca="false">IF($A105="",0,SUMIFS(tblAuftraege[Ausgaben],tblAuftraege[Datum Ausgaben],"&gt;="&amp;S$5,tblAuftraege[Datum Ausgaben],"&lt;"&amp;EDATE(S$5,1),tblAuftraege[Auftrag],$A105))</f>
        <v>0</v>
      </c>
      <c r="T105" s="11" t="n">
        <f aca="false">IF($A105="",0,SUMIFS(tblAuftraege[Ausgaben],tblAuftraege[Datum Ausgaben],"&gt;="&amp;T$5,tblAuftraege[Datum Ausgaben],"&lt;"&amp;EDATE(T$5,1),tblAuftraege[Auftrag],$A105))</f>
        <v>0</v>
      </c>
      <c r="U105" s="11" t="n">
        <f aca="false">IF($A105="",0,SUMIFS(tblAuftraege[Ausgaben],tblAuftraege[Datum Ausgaben],"&gt;="&amp;U$5,tblAuftraege[Datum Ausgaben],"&lt;"&amp;EDATE(U$5,1),tblAuftraege[Auftrag],$A105))</f>
        <v>0</v>
      </c>
      <c r="V105" s="11" t="n">
        <f aca="false">IF($A105="",0,SUMIFS(tblAuftraege[Ausgaben],tblAuftraege[Datum Ausgaben],"&gt;="&amp;V$5,tblAuftraege[Datum Ausgaben],"&lt;"&amp;EDATE(V$5,1),tblAuftraege[Auftrag],$A105))</f>
        <v>0</v>
      </c>
      <c r="W105" s="11" t="n">
        <f aca="false">IF($A105="",0,SUMIFS(tblAuftraege[Ausgaben],tblAuftraege[Datum Ausgaben],"&gt;="&amp;W$5,tblAuftraege[Datum Ausgaben],"&lt;"&amp;EDATE(W$5,1),tblAuftraege[Auftrag],$A105))</f>
        <v>0</v>
      </c>
      <c r="X105" s="11" t="n">
        <f aca="false">IF($A105="",0,SUMIFS(tblAuftraege[Ausgaben],tblAuftraege[Datum Ausgaben],"&gt;="&amp;X$5,tblAuftraege[Datum Ausgaben],"&lt;"&amp;EDATE(X$5,1),tblAuftraege[Auftrag],$A105))</f>
        <v>0</v>
      </c>
      <c r="Y105" s="11" t="n">
        <f aca="false">IF($A105="",0,SUMIFS(tblAuftraege[Ausgaben],tblAuftraege[Datum Ausgaben],"&gt;="&amp;Y$5,tblAuftraege[Datum Ausgaben],"&lt;"&amp;EDATE(Y$5,1),tblAuftraege[Auftrag],$A105))</f>
        <v>0</v>
      </c>
      <c r="Z105" s="11" t="n">
        <f aca="false">IF($A105="",0,SUMIFS(tblAuftraege[Ausgaben],tblAuftraege[Datum Ausgaben],"&gt;="&amp;Z$5,tblAuftraege[Datum Ausgaben],"&lt;"&amp;EDATE(Z$5,1),tblAuftraege[Auftrag],$A105))</f>
        <v>0</v>
      </c>
      <c r="AA105" s="11" t="n">
        <f aca="false">IF($A105="",0,SUMIFS(tblAuftraege[Ausgaben],tblAuftraege[Datum Ausgaben],"&gt;="&amp;AA$5,tblAuftraege[Datum Ausgaben],"&lt;"&amp;EDATE(AA$5,1),tblAuftraege[Auftrag],$A105))</f>
        <v>0</v>
      </c>
      <c r="AB105" s="11" t="n">
        <f aca="false">IF($A105="",0,SUMIFS(tblAuftraege[Ausgaben],tblAuftraege[Datum Ausgaben],"&gt;="&amp;AB$5,tblAuftraege[Datum Ausgaben],"&lt;"&amp;EDATE(AB$5,1),tblAuftraege[Auftrag],$A105))</f>
        <v>0</v>
      </c>
      <c r="AC105" s="11" t="n">
        <f aca="false">IF($A105="",0,SUMIFS(tblAuftraege[Ausgaben],tblAuftraege[Datum Ausgaben],"&gt;="&amp;AC$5,tblAuftraege[Datum Ausgaben],"&lt;"&amp;EDATE(AC$5,1),tblAuftraege[Auftrag],$A105))</f>
        <v>0</v>
      </c>
      <c r="AD105" s="11" t="n">
        <f aca="false">IF($A105="",0,SUMIFS(tblAuftraege[Ausgaben],tblAuftraege[Datum Ausgaben],"&gt;="&amp;AD$5,tblAuftraege[Datum Ausgaben],"&lt;"&amp;EDATE(AD$5,1),tblAuftraege[Auftrag],$A105))</f>
        <v>0</v>
      </c>
      <c r="AE105" s="11" t="n">
        <f aca="false">IF($A105="",0,SUMIFS(tblAuftraege[Ausgaben],tblAuftraege[Datum Ausgaben],"&gt;="&amp;AE$5,tblAuftraege[Datum Ausgaben],"&lt;"&amp;EDATE(AE$5,1),tblAuftraege[Auftrag],$A105))</f>
        <v>0</v>
      </c>
      <c r="AF105" s="11" t="n">
        <f aca="false">IF($A105="",0,SUMIFS(tblAuftraege[Ausgaben],tblAuftraege[Datum Ausgaben],"&gt;="&amp;AF$5,tblAuftraege[Datum Ausgaben],"&lt;"&amp;EDATE(AF$5,1),tblAuftraege[Auftrag],$A105))</f>
        <v>0</v>
      </c>
      <c r="AG105" s="11" t="n">
        <f aca="false">IF($A105="",0,SUMIFS(tblAuftraege[Ausgaben],tblAuftraege[Datum Ausgaben],"&gt;="&amp;AG$5,tblAuftraege[Datum Ausgaben],"&lt;"&amp;EDATE(AG$5,1),tblAuftraege[Auftrag],$A105))</f>
        <v>0</v>
      </c>
      <c r="AH105" s="11" t="n">
        <f aca="false">IF($A105="",0,SUMIFS(tblAuftraege[Ausgaben],tblAuftraege[Datum Ausgaben],"&gt;="&amp;AH$5,tblAuftraege[Datum Ausgaben],"&lt;"&amp;EDATE(AH$5,1),tblAuftraege[Auftrag],$A105))</f>
        <v>0</v>
      </c>
      <c r="AI105" s="11" t="n">
        <f aca="false">IF($A105="",0,SUMIFS(tblAuftraege[Ausgaben],tblAuftraege[Datum Ausgaben],"&gt;="&amp;AI$5,tblAuftraege[Datum Ausgaben],"&lt;"&amp;EDATE(AI$5,1),tblAuftraege[Auftrag],$A105))</f>
        <v>0</v>
      </c>
      <c r="AJ105" s="11" t="n">
        <f aca="false">IF($A105="",0,SUMIFS(tblAuftraege[Ausgaben],tblAuftraege[Datum Ausgaben],"&gt;="&amp;AJ$5,tblAuftraege[Datum Ausgaben],"&lt;"&amp;EDATE(AJ$5,1),tblAuftraege[Auftrag],$A105))</f>
        <v>0</v>
      </c>
      <c r="AK105" s="11" t="n">
        <f aca="false">IF($A105="",0,SUMIFS(tblAuftraege[Ausgaben],tblAuftraege[Datum Ausgaben],"&gt;="&amp;AK$5,tblAuftraege[Datum Ausgaben],"&lt;"&amp;EDATE(AK$5,1),tblAuftraege[Auftrag],$A105))</f>
        <v>0</v>
      </c>
      <c r="AL105" s="11" t="n">
        <f aca="false">IF($A105="",0,SUMIFS(tblAuftraege[Ausgaben],tblAuftraege[Datum Ausgaben],"&gt;="&amp;AL$5,tblAuftraege[Datum Ausgaben],"&lt;"&amp;EDATE(AL$5,1),tblAuftraege[Auftrag],$A105))</f>
        <v>0</v>
      </c>
      <c r="AM105" s="11" t="n">
        <f aca="false">IF($A105="",0,SUMIFS(tblAuftraege[Ausgaben],tblAuftraege[Datum Ausgaben],"&gt;="&amp;AM$5,tblAuftraege[Datum Ausgaben],"&lt;"&amp;EDATE(AM$5,1),tblAuftraege[Auftrag],$A105))</f>
        <v>0</v>
      </c>
      <c r="AN105" s="11" t="n">
        <f aca="false">IF($A105="",0,SUMIFS(tblAuftraege[Ausgaben],tblAuftraege[Datum Ausgaben],"&gt;="&amp;AN$5,tblAuftraege[Datum Ausgaben],"&lt;"&amp;EDATE(AN$5,1),tblAuftraege[Auftrag],$A105))</f>
        <v>0</v>
      </c>
      <c r="AO105" s="11" t="n">
        <f aca="false">IF($A105="",0,SUMIFS(tblAuftraege[Ausgaben],tblAuftraege[Datum Ausgaben],"&gt;="&amp;AO$5,tblAuftraege[Datum Ausgaben],"&lt;"&amp;EDATE(AO$5,1),tblAuftraege[Auftrag],$A105))</f>
        <v>0</v>
      </c>
      <c r="AP105" s="11" t="n">
        <f aca="false">IF($A105="",0,SUMIFS(tblAuftraege[Ausgaben],tblAuftraege[Datum Ausgaben],"&gt;="&amp;AP$5,tblAuftraege[Datum Ausgaben],"&lt;"&amp;EDATE(AP$5,1),tblAuftraege[Auftrag],$A105))</f>
        <v>0</v>
      </c>
      <c r="AQ105" s="11" t="n">
        <f aca="false">IF($A105="",0,SUMIFS(tblAuftraege[Ausgaben],tblAuftraege[Datum Ausgaben],"&gt;="&amp;AQ$5,tblAuftraege[Datum Ausgaben],"&lt;"&amp;EDATE(AQ$5,1),tblAuftraege[Auftrag],$A105))</f>
        <v>0</v>
      </c>
      <c r="AR105" s="11" t="n">
        <f aca="false">IF($A105="",0,SUMIFS(tblAuftraege[Ausgaben],tblAuftraege[Datum Ausgaben],"&gt;="&amp;AR$5,tblAuftraege[Datum Ausgaben],"&lt;"&amp;EDATE(AR$5,1),tblAuftraege[Auftrag],$A105))</f>
        <v>0</v>
      </c>
      <c r="AS105" s="11" t="n">
        <f aca="false">IF($A105="",0,SUMIFS(tblAuftraege[Ausgaben],tblAuftraege[Datum Ausgaben],"&gt;="&amp;AS$5,tblAuftraege[Datum Ausgaben],"&lt;"&amp;EDATE(AS$5,1),tblAuftraege[Auftrag],$A105))</f>
        <v>0</v>
      </c>
      <c r="AT105" s="11" t="n">
        <f aca="false">IF($A105="",0,SUMIFS(tblAuftraege[Ausgaben],tblAuftraege[Datum Ausgaben],"&gt;="&amp;AT$5,tblAuftraege[Datum Ausgaben],"&lt;"&amp;EDATE(AT$5,1),tblAuftraege[Auftrag],$A105))</f>
        <v>0</v>
      </c>
      <c r="AU105" s="11" t="n">
        <f aca="false">IF($A105="",0,SUMIFS(tblAuftraege[Ausgaben],tblAuftraege[Datum Ausgaben],"&gt;="&amp;AU$5,tblAuftraege[Datum Ausgaben],"&lt;"&amp;EDATE(AU$5,1),tblAuftraege[Auftrag],$A105))</f>
        <v>0</v>
      </c>
      <c r="AV105" s="11" t="n">
        <f aca="false">IF($A105="",0,SUMIFS(tblAuftraege[Ausgaben],tblAuftraege[Datum Ausgaben],"&gt;="&amp;AV$5,tblAuftraege[Datum Ausgaben],"&lt;"&amp;EDATE(AV$5,1),tblAuftraege[Auftrag],$A105))</f>
        <v>0</v>
      </c>
      <c r="AW105" s="11" t="n">
        <f aca="false">IF($A105="",0,SUMIFS(tblAuftraege[Ausgaben],tblAuftraege[Datum Ausgaben],"&gt;="&amp;AW$5,tblAuftraege[Datum Ausgaben],"&lt;"&amp;EDATE(AW$5,1),tblAuftraege[Auftrag],$A105))</f>
        <v>0</v>
      </c>
      <c r="AX105" s="11" t="n">
        <f aca="false">IF($A105="",0,SUMIFS(tblAuftraege[Ausgaben],tblAuftraege[Datum Ausgaben],"&gt;="&amp;AX$5,tblAuftraege[Datum Ausgaben],"&lt;"&amp;EDATE(AX$5,1),tblAuftraege[Auftrag],$A105))</f>
        <v>0</v>
      </c>
      <c r="AY105" s="11" t="n">
        <f aca="false">IF($A105="",0,SUMIFS(tblAuftraege[Ausgaben],tblAuftraege[Datum Ausgaben],"&gt;="&amp;AY$5,tblAuftraege[Datum Ausgaben],"&lt;"&amp;EDATE(AY$5,1),tblAuftraege[Auftrag],$A105))</f>
        <v>0</v>
      </c>
      <c r="AZ105" s="11" t="n">
        <f aca="false">IF($A105="",0,SUMIFS(tblAuftraege[Ausgaben],tblAuftraege[Datum Ausgaben],"&gt;="&amp;AZ$5,tblAuftraege[Datum Ausgaben],"&lt;"&amp;EDATE(AZ$5,1),tblAuftraege[Auftrag],$A105))</f>
        <v>0</v>
      </c>
      <c r="BA105" s="11" t="n">
        <f aca="false">IF($A105="",0,SUMIFS(tblAuftraege[Ausgaben],tblAuftraege[Datum Ausgaben],"&gt;="&amp;BA$5,tblAuftraege[Datum Ausgaben],"&lt;"&amp;EDATE(BA$5,1),tblAuftraege[Auftrag],$A105))</f>
        <v>0</v>
      </c>
      <c r="BB105" s="11" t="n">
        <f aca="false">IF($A105="",0,SUMIFS(tblAuftraege[Ausgaben],tblAuftraege[Datum Ausgaben],"&gt;="&amp;BB$5,tblAuftraege[Datum Ausgaben],"&lt;"&amp;EDATE(BB$5,1),tblAuftraege[Auftrag],$A105))</f>
        <v>0</v>
      </c>
      <c r="BC105" s="11" t="n">
        <f aca="false">IF($A105="",0,SUMIFS(tblAuftraege[Ausgaben],tblAuftraege[Datum Ausgaben],"&gt;="&amp;BC$5,tblAuftraege[Datum Ausgaben],"&lt;"&amp;EDATE(BC$5,1),tblAuftraege[Auftrag],$A105))</f>
        <v>0</v>
      </c>
      <c r="BD105" s="11" t="n">
        <f aca="false">IF($A105="",0,SUMIFS(tblAuftraege[Ausgaben],tblAuftraege[Datum Ausgaben],"&gt;="&amp;BD$5,tblAuftraege[Datum Ausgaben],"&lt;"&amp;EDATE(BD$5,1),tblAuftraege[Auftrag],$A105))</f>
        <v>0</v>
      </c>
      <c r="BE105" s="11" t="n">
        <f aca="false">IF($A105="",0,SUMIFS(tblAuftraege[Ausgaben],tblAuftraege[Datum Ausgaben],"&gt;="&amp;BE$5,tblAuftraege[Datum Ausgaben],"&lt;"&amp;EDATE(BE$5,1),tblAuftraege[Auftrag],$A105))</f>
        <v>0</v>
      </c>
      <c r="BF105" s="11" t="n">
        <f aca="false">IF($A105="",0,SUMIFS(tblAuftraege[Ausgaben],tblAuftraege[Datum Ausgaben],"&gt;="&amp;BF$5,tblAuftraege[Datum Ausgaben],"&lt;"&amp;EDATE(BF$5,1),tblAuftraege[Auftrag],$A105))</f>
        <v>0</v>
      </c>
      <c r="BG105" s="11" t="n">
        <f aca="false">SUM(E105:J105)</f>
        <v>0</v>
      </c>
      <c r="BH105" s="11" t="n">
        <f aca="false">SUM(K105:V105)</f>
        <v>0</v>
      </c>
      <c r="BI105" s="11" t="n">
        <f aca="false">SUM(W105:AH105)</f>
        <v>0</v>
      </c>
      <c r="BJ105" s="11" t="n">
        <f aca="false">SUM(AI105:AT105)</f>
        <v>0</v>
      </c>
      <c r="BK105" s="11" t="n">
        <f aca="false">SUM(AU105:BF105)</f>
        <v>0</v>
      </c>
      <c r="BL105" s="12" t="n">
        <f aca="false">SUM(E105:BF105)</f>
        <v>0</v>
      </c>
    </row>
    <row r="106" customFormat="false" ht="15" hidden="false" customHeight="false" outlineLevel="0" collapsed="false">
      <c r="A106" s="9"/>
      <c r="B106" s="10" t="str">
        <f aca="false">IF($A106="","",IFERROR(INDEX(tblAuftraege[Kostenstelle],MATCH($A106,tblAuftraege[Auftrag],0)),""))</f>
        <v/>
      </c>
      <c r="C106" s="10" t="str">
        <f aca="false">IF($A106="","",IFERROR(INDEX(tblAuftraege[Themenfeld],MATCH($A106,tblAuftraege[Auftrag],0)),""))</f>
        <v/>
      </c>
      <c r="D106" s="10" t="str">
        <f aca="false">IF($A106="","",IFERROR(INDEX(tblAuftraege[Kategorie],MATCH($A106,tblAuftraege[Auftrag],0)),""))</f>
        <v/>
      </c>
      <c r="E106" s="11" t="n">
        <f aca="false">IF($A106="",0,SUMIFS(tblAuftraege[Ausgaben],tblAuftraege[Datum Ausgaben],"&gt;="&amp;E$5,tblAuftraege[Datum Ausgaben],"&lt;"&amp;EDATE(E$5,1),tblAuftraege[Auftrag],$A106))</f>
        <v>0</v>
      </c>
      <c r="F106" s="11" t="n">
        <f aca="false">IF($A106="",0,SUMIFS(tblAuftraege[Ausgaben],tblAuftraege[Datum Ausgaben],"&gt;="&amp;F$5,tblAuftraege[Datum Ausgaben],"&lt;"&amp;EDATE(F$5,1),tblAuftraege[Auftrag],$A106))</f>
        <v>0</v>
      </c>
      <c r="G106" s="11" t="n">
        <f aca="false">IF($A106="",0,SUMIFS(tblAuftraege[Ausgaben],tblAuftraege[Datum Ausgaben],"&gt;="&amp;G$5,tblAuftraege[Datum Ausgaben],"&lt;"&amp;EDATE(G$5,1),tblAuftraege[Auftrag],$A106))</f>
        <v>0</v>
      </c>
      <c r="H106" s="11" t="n">
        <f aca="false">IF($A106="",0,SUMIFS(tblAuftraege[Ausgaben],tblAuftraege[Datum Ausgaben],"&gt;="&amp;H$5,tblAuftraege[Datum Ausgaben],"&lt;"&amp;EDATE(H$5,1),tblAuftraege[Auftrag],$A106))</f>
        <v>0</v>
      </c>
      <c r="I106" s="11" t="n">
        <f aca="false">IF($A106="",0,SUMIFS(tblAuftraege[Ausgaben],tblAuftraege[Datum Ausgaben],"&gt;="&amp;I$5,tblAuftraege[Datum Ausgaben],"&lt;"&amp;EDATE(I$5,1),tblAuftraege[Auftrag],$A106))</f>
        <v>0</v>
      </c>
      <c r="J106" s="11" t="n">
        <f aca="false">IF($A106="",0,SUMIFS(tblAuftraege[Ausgaben],tblAuftraege[Datum Ausgaben],"&gt;="&amp;J$5,tblAuftraege[Datum Ausgaben],"&lt;"&amp;EDATE(J$5,1),tblAuftraege[Auftrag],$A106))</f>
        <v>0</v>
      </c>
      <c r="K106" s="11" t="n">
        <f aca="false">IF($A106="",0,SUMIFS(tblAuftraege[Ausgaben],tblAuftraege[Datum Ausgaben],"&gt;="&amp;K$5,tblAuftraege[Datum Ausgaben],"&lt;"&amp;EDATE(K$5,1),tblAuftraege[Auftrag],$A106))</f>
        <v>0</v>
      </c>
      <c r="L106" s="11" t="n">
        <f aca="false">IF($A106="",0,SUMIFS(tblAuftraege[Ausgaben],tblAuftraege[Datum Ausgaben],"&gt;="&amp;L$5,tblAuftraege[Datum Ausgaben],"&lt;"&amp;EDATE(L$5,1),tblAuftraege[Auftrag],$A106))</f>
        <v>0</v>
      </c>
      <c r="M106" s="11" t="n">
        <f aca="false">IF($A106="",0,SUMIFS(tblAuftraege[Ausgaben],tblAuftraege[Datum Ausgaben],"&gt;="&amp;M$5,tblAuftraege[Datum Ausgaben],"&lt;"&amp;EDATE(M$5,1),tblAuftraege[Auftrag],$A106))</f>
        <v>0</v>
      </c>
      <c r="N106" s="11" t="n">
        <f aca="false">IF($A106="",0,SUMIFS(tblAuftraege[Ausgaben],tblAuftraege[Datum Ausgaben],"&gt;="&amp;N$5,tblAuftraege[Datum Ausgaben],"&lt;"&amp;EDATE(N$5,1),tblAuftraege[Auftrag],$A106))</f>
        <v>0</v>
      </c>
      <c r="O106" s="11" t="n">
        <f aca="false">IF($A106="",0,SUMIFS(tblAuftraege[Ausgaben],tblAuftraege[Datum Ausgaben],"&gt;="&amp;O$5,tblAuftraege[Datum Ausgaben],"&lt;"&amp;EDATE(O$5,1),tblAuftraege[Auftrag],$A106))</f>
        <v>0</v>
      </c>
      <c r="P106" s="11" t="n">
        <f aca="false">IF($A106="",0,SUMIFS(tblAuftraege[Ausgaben],tblAuftraege[Datum Ausgaben],"&gt;="&amp;P$5,tblAuftraege[Datum Ausgaben],"&lt;"&amp;EDATE(P$5,1),tblAuftraege[Auftrag],$A106))</f>
        <v>0</v>
      </c>
      <c r="Q106" s="11" t="n">
        <f aca="false">IF($A106="",0,SUMIFS(tblAuftraege[Ausgaben],tblAuftraege[Datum Ausgaben],"&gt;="&amp;Q$5,tblAuftraege[Datum Ausgaben],"&lt;"&amp;EDATE(Q$5,1),tblAuftraege[Auftrag],$A106))</f>
        <v>0</v>
      </c>
      <c r="R106" s="11" t="n">
        <f aca="false">IF($A106="",0,SUMIFS(tblAuftraege[Ausgaben],tblAuftraege[Datum Ausgaben],"&gt;="&amp;R$5,tblAuftraege[Datum Ausgaben],"&lt;"&amp;EDATE(R$5,1),tblAuftraege[Auftrag],$A106))</f>
        <v>0</v>
      </c>
      <c r="S106" s="11" t="n">
        <f aca="false">IF($A106="",0,SUMIFS(tblAuftraege[Ausgaben],tblAuftraege[Datum Ausgaben],"&gt;="&amp;S$5,tblAuftraege[Datum Ausgaben],"&lt;"&amp;EDATE(S$5,1),tblAuftraege[Auftrag],$A106))</f>
        <v>0</v>
      </c>
      <c r="T106" s="11" t="n">
        <f aca="false">IF($A106="",0,SUMIFS(tblAuftraege[Ausgaben],tblAuftraege[Datum Ausgaben],"&gt;="&amp;T$5,tblAuftraege[Datum Ausgaben],"&lt;"&amp;EDATE(T$5,1),tblAuftraege[Auftrag],$A106))</f>
        <v>0</v>
      </c>
      <c r="U106" s="11" t="n">
        <f aca="false">IF($A106="",0,SUMIFS(tblAuftraege[Ausgaben],tblAuftraege[Datum Ausgaben],"&gt;="&amp;U$5,tblAuftraege[Datum Ausgaben],"&lt;"&amp;EDATE(U$5,1),tblAuftraege[Auftrag],$A106))</f>
        <v>0</v>
      </c>
      <c r="V106" s="11" t="n">
        <f aca="false">IF($A106="",0,SUMIFS(tblAuftraege[Ausgaben],tblAuftraege[Datum Ausgaben],"&gt;="&amp;V$5,tblAuftraege[Datum Ausgaben],"&lt;"&amp;EDATE(V$5,1),tblAuftraege[Auftrag],$A106))</f>
        <v>0</v>
      </c>
      <c r="W106" s="11" t="n">
        <f aca="false">IF($A106="",0,SUMIFS(tblAuftraege[Ausgaben],tblAuftraege[Datum Ausgaben],"&gt;="&amp;W$5,tblAuftraege[Datum Ausgaben],"&lt;"&amp;EDATE(W$5,1),tblAuftraege[Auftrag],$A106))</f>
        <v>0</v>
      </c>
      <c r="X106" s="11" t="n">
        <f aca="false">IF($A106="",0,SUMIFS(tblAuftraege[Ausgaben],tblAuftraege[Datum Ausgaben],"&gt;="&amp;X$5,tblAuftraege[Datum Ausgaben],"&lt;"&amp;EDATE(X$5,1),tblAuftraege[Auftrag],$A106))</f>
        <v>0</v>
      </c>
      <c r="Y106" s="11" t="n">
        <f aca="false">IF($A106="",0,SUMIFS(tblAuftraege[Ausgaben],tblAuftraege[Datum Ausgaben],"&gt;="&amp;Y$5,tblAuftraege[Datum Ausgaben],"&lt;"&amp;EDATE(Y$5,1),tblAuftraege[Auftrag],$A106))</f>
        <v>0</v>
      </c>
      <c r="Z106" s="11" t="n">
        <f aca="false">IF($A106="",0,SUMIFS(tblAuftraege[Ausgaben],tblAuftraege[Datum Ausgaben],"&gt;="&amp;Z$5,tblAuftraege[Datum Ausgaben],"&lt;"&amp;EDATE(Z$5,1),tblAuftraege[Auftrag],$A106))</f>
        <v>0</v>
      </c>
      <c r="AA106" s="11" t="n">
        <f aca="false">IF($A106="",0,SUMIFS(tblAuftraege[Ausgaben],tblAuftraege[Datum Ausgaben],"&gt;="&amp;AA$5,tblAuftraege[Datum Ausgaben],"&lt;"&amp;EDATE(AA$5,1),tblAuftraege[Auftrag],$A106))</f>
        <v>0</v>
      </c>
      <c r="AB106" s="11" t="n">
        <f aca="false">IF($A106="",0,SUMIFS(tblAuftraege[Ausgaben],tblAuftraege[Datum Ausgaben],"&gt;="&amp;AB$5,tblAuftraege[Datum Ausgaben],"&lt;"&amp;EDATE(AB$5,1),tblAuftraege[Auftrag],$A106))</f>
        <v>0</v>
      </c>
      <c r="AC106" s="11" t="n">
        <f aca="false">IF($A106="",0,SUMIFS(tblAuftraege[Ausgaben],tblAuftraege[Datum Ausgaben],"&gt;="&amp;AC$5,tblAuftraege[Datum Ausgaben],"&lt;"&amp;EDATE(AC$5,1),tblAuftraege[Auftrag],$A106))</f>
        <v>0</v>
      </c>
      <c r="AD106" s="11" t="n">
        <f aca="false">IF($A106="",0,SUMIFS(tblAuftraege[Ausgaben],tblAuftraege[Datum Ausgaben],"&gt;="&amp;AD$5,tblAuftraege[Datum Ausgaben],"&lt;"&amp;EDATE(AD$5,1),tblAuftraege[Auftrag],$A106))</f>
        <v>0</v>
      </c>
      <c r="AE106" s="11" t="n">
        <f aca="false">IF($A106="",0,SUMIFS(tblAuftraege[Ausgaben],tblAuftraege[Datum Ausgaben],"&gt;="&amp;AE$5,tblAuftraege[Datum Ausgaben],"&lt;"&amp;EDATE(AE$5,1),tblAuftraege[Auftrag],$A106))</f>
        <v>0</v>
      </c>
      <c r="AF106" s="11" t="n">
        <f aca="false">IF($A106="",0,SUMIFS(tblAuftraege[Ausgaben],tblAuftraege[Datum Ausgaben],"&gt;="&amp;AF$5,tblAuftraege[Datum Ausgaben],"&lt;"&amp;EDATE(AF$5,1),tblAuftraege[Auftrag],$A106))</f>
        <v>0</v>
      </c>
      <c r="AG106" s="11" t="n">
        <f aca="false">IF($A106="",0,SUMIFS(tblAuftraege[Ausgaben],tblAuftraege[Datum Ausgaben],"&gt;="&amp;AG$5,tblAuftraege[Datum Ausgaben],"&lt;"&amp;EDATE(AG$5,1),tblAuftraege[Auftrag],$A106))</f>
        <v>0</v>
      </c>
      <c r="AH106" s="11" t="n">
        <f aca="false">IF($A106="",0,SUMIFS(tblAuftraege[Ausgaben],tblAuftraege[Datum Ausgaben],"&gt;="&amp;AH$5,tblAuftraege[Datum Ausgaben],"&lt;"&amp;EDATE(AH$5,1),tblAuftraege[Auftrag],$A106))</f>
        <v>0</v>
      </c>
      <c r="AI106" s="11" t="n">
        <f aca="false">IF($A106="",0,SUMIFS(tblAuftraege[Ausgaben],tblAuftraege[Datum Ausgaben],"&gt;="&amp;AI$5,tblAuftraege[Datum Ausgaben],"&lt;"&amp;EDATE(AI$5,1),tblAuftraege[Auftrag],$A106))</f>
        <v>0</v>
      </c>
      <c r="AJ106" s="11" t="n">
        <f aca="false">IF($A106="",0,SUMIFS(tblAuftraege[Ausgaben],tblAuftraege[Datum Ausgaben],"&gt;="&amp;AJ$5,tblAuftraege[Datum Ausgaben],"&lt;"&amp;EDATE(AJ$5,1),tblAuftraege[Auftrag],$A106))</f>
        <v>0</v>
      </c>
      <c r="AK106" s="11" t="n">
        <f aca="false">IF($A106="",0,SUMIFS(tblAuftraege[Ausgaben],tblAuftraege[Datum Ausgaben],"&gt;="&amp;AK$5,tblAuftraege[Datum Ausgaben],"&lt;"&amp;EDATE(AK$5,1),tblAuftraege[Auftrag],$A106))</f>
        <v>0</v>
      </c>
      <c r="AL106" s="11" t="n">
        <f aca="false">IF($A106="",0,SUMIFS(tblAuftraege[Ausgaben],tblAuftraege[Datum Ausgaben],"&gt;="&amp;AL$5,tblAuftraege[Datum Ausgaben],"&lt;"&amp;EDATE(AL$5,1),tblAuftraege[Auftrag],$A106))</f>
        <v>0</v>
      </c>
      <c r="AM106" s="11" t="n">
        <f aca="false">IF($A106="",0,SUMIFS(tblAuftraege[Ausgaben],tblAuftraege[Datum Ausgaben],"&gt;="&amp;AM$5,tblAuftraege[Datum Ausgaben],"&lt;"&amp;EDATE(AM$5,1),tblAuftraege[Auftrag],$A106))</f>
        <v>0</v>
      </c>
      <c r="AN106" s="11" t="n">
        <f aca="false">IF($A106="",0,SUMIFS(tblAuftraege[Ausgaben],tblAuftraege[Datum Ausgaben],"&gt;="&amp;AN$5,tblAuftraege[Datum Ausgaben],"&lt;"&amp;EDATE(AN$5,1),tblAuftraege[Auftrag],$A106))</f>
        <v>0</v>
      </c>
      <c r="AO106" s="11" t="n">
        <f aca="false">IF($A106="",0,SUMIFS(tblAuftraege[Ausgaben],tblAuftraege[Datum Ausgaben],"&gt;="&amp;AO$5,tblAuftraege[Datum Ausgaben],"&lt;"&amp;EDATE(AO$5,1),tblAuftraege[Auftrag],$A106))</f>
        <v>0</v>
      </c>
      <c r="AP106" s="11" t="n">
        <f aca="false">IF($A106="",0,SUMIFS(tblAuftraege[Ausgaben],tblAuftraege[Datum Ausgaben],"&gt;="&amp;AP$5,tblAuftraege[Datum Ausgaben],"&lt;"&amp;EDATE(AP$5,1),tblAuftraege[Auftrag],$A106))</f>
        <v>0</v>
      </c>
      <c r="AQ106" s="11" t="n">
        <f aca="false">IF($A106="",0,SUMIFS(tblAuftraege[Ausgaben],tblAuftraege[Datum Ausgaben],"&gt;="&amp;AQ$5,tblAuftraege[Datum Ausgaben],"&lt;"&amp;EDATE(AQ$5,1),tblAuftraege[Auftrag],$A106))</f>
        <v>0</v>
      </c>
      <c r="AR106" s="11" t="n">
        <f aca="false">IF($A106="",0,SUMIFS(tblAuftraege[Ausgaben],tblAuftraege[Datum Ausgaben],"&gt;="&amp;AR$5,tblAuftraege[Datum Ausgaben],"&lt;"&amp;EDATE(AR$5,1),tblAuftraege[Auftrag],$A106))</f>
        <v>0</v>
      </c>
      <c r="AS106" s="11" t="n">
        <f aca="false">IF($A106="",0,SUMIFS(tblAuftraege[Ausgaben],tblAuftraege[Datum Ausgaben],"&gt;="&amp;AS$5,tblAuftraege[Datum Ausgaben],"&lt;"&amp;EDATE(AS$5,1),tblAuftraege[Auftrag],$A106))</f>
        <v>0</v>
      </c>
      <c r="AT106" s="11" t="n">
        <f aca="false">IF($A106="",0,SUMIFS(tblAuftraege[Ausgaben],tblAuftraege[Datum Ausgaben],"&gt;="&amp;AT$5,tblAuftraege[Datum Ausgaben],"&lt;"&amp;EDATE(AT$5,1),tblAuftraege[Auftrag],$A106))</f>
        <v>0</v>
      </c>
      <c r="AU106" s="11" t="n">
        <f aca="false">IF($A106="",0,SUMIFS(tblAuftraege[Ausgaben],tblAuftraege[Datum Ausgaben],"&gt;="&amp;AU$5,tblAuftraege[Datum Ausgaben],"&lt;"&amp;EDATE(AU$5,1),tblAuftraege[Auftrag],$A106))</f>
        <v>0</v>
      </c>
      <c r="AV106" s="11" t="n">
        <f aca="false">IF($A106="",0,SUMIFS(tblAuftraege[Ausgaben],tblAuftraege[Datum Ausgaben],"&gt;="&amp;AV$5,tblAuftraege[Datum Ausgaben],"&lt;"&amp;EDATE(AV$5,1),tblAuftraege[Auftrag],$A106))</f>
        <v>0</v>
      </c>
      <c r="AW106" s="11" t="n">
        <f aca="false">IF($A106="",0,SUMIFS(tblAuftraege[Ausgaben],tblAuftraege[Datum Ausgaben],"&gt;="&amp;AW$5,tblAuftraege[Datum Ausgaben],"&lt;"&amp;EDATE(AW$5,1),tblAuftraege[Auftrag],$A106))</f>
        <v>0</v>
      </c>
      <c r="AX106" s="11" t="n">
        <f aca="false">IF($A106="",0,SUMIFS(tblAuftraege[Ausgaben],tblAuftraege[Datum Ausgaben],"&gt;="&amp;AX$5,tblAuftraege[Datum Ausgaben],"&lt;"&amp;EDATE(AX$5,1),tblAuftraege[Auftrag],$A106))</f>
        <v>0</v>
      </c>
      <c r="AY106" s="11" t="n">
        <f aca="false">IF($A106="",0,SUMIFS(tblAuftraege[Ausgaben],tblAuftraege[Datum Ausgaben],"&gt;="&amp;AY$5,tblAuftraege[Datum Ausgaben],"&lt;"&amp;EDATE(AY$5,1),tblAuftraege[Auftrag],$A106))</f>
        <v>0</v>
      </c>
      <c r="AZ106" s="11" t="n">
        <f aca="false">IF($A106="",0,SUMIFS(tblAuftraege[Ausgaben],tblAuftraege[Datum Ausgaben],"&gt;="&amp;AZ$5,tblAuftraege[Datum Ausgaben],"&lt;"&amp;EDATE(AZ$5,1),tblAuftraege[Auftrag],$A106))</f>
        <v>0</v>
      </c>
      <c r="BA106" s="11" t="n">
        <f aca="false">IF($A106="",0,SUMIFS(tblAuftraege[Ausgaben],tblAuftraege[Datum Ausgaben],"&gt;="&amp;BA$5,tblAuftraege[Datum Ausgaben],"&lt;"&amp;EDATE(BA$5,1),tblAuftraege[Auftrag],$A106))</f>
        <v>0</v>
      </c>
      <c r="BB106" s="11" t="n">
        <f aca="false">IF($A106="",0,SUMIFS(tblAuftraege[Ausgaben],tblAuftraege[Datum Ausgaben],"&gt;="&amp;BB$5,tblAuftraege[Datum Ausgaben],"&lt;"&amp;EDATE(BB$5,1),tblAuftraege[Auftrag],$A106))</f>
        <v>0</v>
      </c>
      <c r="BC106" s="11" t="n">
        <f aca="false">IF($A106="",0,SUMIFS(tblAuftraege[Ausgaben],tblAuftraege[Datum Ausgaben],"&gt;="&amp;BC$5,tblAuftraege[Datum Ausgaben],"&lt;"&amp;EDATE(BC$5,1),tblAuftraege[Auftrag],$A106))</f>
        <v>0</v>
      </c>
      <c r="BD106" s="11" t="n">
        <f aca="false">IF($A106="",0,SUMIFS(tblAuftraege[Ausgaben],tblAuftraege[Datum Ausgaben],"&gt;="&amp;BD$5,tblAuftraege[Datum Ausgaben],"&lt;"&amp;EDATE(BD$5,1),tblAuftraege[Auftrag],$A106))</f>
        <v>0</v>
      </c>
      <c r="BE106" s="11" t="n">
        <f aca="false">IF($A106="",0,SUMIFS(tblAuftraege[Ausgaben],tblAuftraege[Datum Ausgaben],"&gt;="&amp;BE$5,tblAuftraege[Datum Ausgaben],"&lt;"&amp;EDATE(BE$5,1),tblAuftraege[Auftrag],$A106))</f>
        <v>0</v>
      </c>
      <c r="BF106" s="11" t="n">
        <f aca="false">IF($A106="",0,SUMIFS(tblAuftraege[Ausgaben],tblAuftraege[Datum Ausgaben],"&gt;="&amp;BF$5,tblAuftraege[Datum Ausgaben],"&lt;"&amp;EDATE(BF$5,1),tblAuftraege[Auftrag],$A106))</f>
        <v>0</v>
      </c>
      <c r="BG106" s="11" t="n">
        <f aca="false">SUM(E106:J106)</f>
        <v>0</v>
      </c>
      <c r="BH106" s="11" t="n">
        <f aca="false">SUM(K106:V106)</f>
        <v>0</v>
      </c>
      <c r="BI106" s="11" t="n">
        <f aca="false">SUM(W106:AH106)</f>
        <v>0</v>
      </c>
      <c r="BJ106" s="11" t="n">
        <f aca="false">SUM(AI106:AT106)</f>
        <v>0</v>
      </c>
      <c r="BK106" s="11" t="n">
        <f aca="false">SUM(AU106:BF106)</f>
        <v>0</v>
      </c>
      <c r="BL106" s="12" t="n">
        <f aca="false">SUM(E106:BF106)</f>
        <v>0</v>
      </c>
    </row>
    <row r="107" customFormat="false" ht="15" hidden="false" customHeight="false" outlineLevel="0" collapsed="false">
      <c r="A107" s="9"/>
      <c r="B107" s="10" t="str">
        <f aca="false">IF($A107="","",IFERROR(INDEX(tblAuftraege[Kostenstelle],MATCH($A107,tblAuftraege[Auftrag],0)),""))</f>
        <v/>
      </c>
      <c r="C107" s="10" t="str">
        <f aca="false">IF($A107="","",IFERROR(INDEX(tblAuftraege[Themenfeld],MATCH($A107,tblAuftraege[Auftrag],0)),""))</f>
        <v/>
      </c>
      <c r="D107" s="10" t="str">
        <f aca="false">IF($A107="","",IFERROR(INDEX(tblAuftraege[Kategorie],MATCH($A107,tblAuftraege[Auftrag],0)),""))</f>
        <v/>
      </c>
      <c r="E107" s="11" t="n">
        <f aca="false">IF($A107="",0,SUMIFS(tblAuftraege[Ausgaben],tblAuftraege[Datum Ausgaben],"&gt;="&amp;E$5,tblAuftraege[Datum Ausgaben],"&lt;"&amp;EDATE(E$5,1),tblAuftraege[Auftrag],$A107))</f>
        <v>0</v>
      </c>
      <c r="F107" s="11" t="n">
        <f aca="false">IF($A107="",0,SUMIFS(tblAuftraege[Ausgaben],tblAuftraege[Datum Ausgaben],"&gt;="&amp;F$5,tblAuftraege[Datum Ausgaben],"&lt;"&amp;EDATE(F$5,1),tblAuftraege[Auftrag],$A107))</f>
        <v>0</v>
      </c>
      <c r="G107" s="11" t="n">
        <f aca="false">IF($A107="",0,SUMIFS(tblAuftraege[Ausgaben],tblAuftraege[Datum Ausgaben],"&gt;="&amp;G$5,tblAuftraege[Datum Ausgaben],"&lt;"&amp;EDATE(G$5,1),tblAuftraege[Auftrag],$A107))</f>
        <v>0</v>
      </c>
      <c r="H107" s="11" t="n">
        <f aca="false">IF($A107="",0,SUMIFS(tblAuftraege[Ausgaben],tblAuftraege[Datum Ausgaben],"&gt;="&amp;H$5,tblAuftraege[Datum Ausgaben],"&lt;"&amp;EDATE(H$5,1),tblAuftraege[Auftrag],$A107))</f>
        <v>0</v>
      </c>
      <c r="I107" s="11" t="n">
        <f aca="false">IF($A107="",0,SUMIFS(tblAuftraege[Ausgaben],tblAuftraege[Datum Ausgaben],"&gt;="&amp;I$5,tblAuftraege[Datum Ausgaben],"&lt;"&amp;EDATE(I$5,1),tblAuftraege[Auftrag],$A107))</f>
        <v>0</v>
      </c>
      <c r="J107" s="11" t="n">
        <f aca="false">IF($A107="",0,SUMIFS(tblAuftraege[Ausgaben],tblAuftraege[Datum Ausgaben],"&gt;="&amp;J$5,tblAuftraege[Datum Ausgaben],"&lt;"&amp;EDATE(J$5,1),tblAuftraege[Auftrag],$A107))</f>
        <v>0</v>
      </c>
      <c r="K107" s="11" t="n">
        <f aca="false">IF($A107="",0,SUMIFS(tblAuftraege[Ausgaben],tblAuftraege[Datum Ausgaben],"&gt;="&amp;K$5,tblAuftraege[Datum Ausgaben],"&lt;"&amp;EDATE(K$5,1),tblAuftraege[Auftrag],$A107))</f>
        <v>0</v>
      </c>
      <c r="L107" s="11" t="n">
        <f aca="false">IF($A107="",0,SUMIFS(tblAuftraege[Ausgaben],tblAuftraege[Datum Ausgaben],"&gt;="&amp;L$5,tblAuftraege[Datum Ausgaben],"&lt;"&amp;EDATE(L$5,1),tblAuftraege[Auftrag],$A107))</f>
        <v>0</v>
      </c>
      <c r="M107" s="11" t="n">
        <f aca="false">IF($A107="",0,SUMIFS(tblAuftraege[Ausgaben],tblAuftraege[Datum Ausgaben],"&gt;="&amp;M$5,tblAuftraege[Datum Ausgaben],"&lt;"&amp;EDATE(M$5,1),tblAuftraege[Auftrag],$A107))</f>
        <v>0</v>
      </c>
      <c r="N107" s="11" t="n">
        <f aca="false">IF($A107="",0,SUMIFS(tblAuftraege[Ausgaben],tblAuftraege[Datum Ausgaben],"&gt;="&amp;N$5,tblAuftraege[Datum Ausgaben],"&lt;"&amp;EDATE(N$5,1),tblAuftraege[Auftrag],$A107))</f>
        <v>0</v>
      </c>
      <c r="O107" s="11" t="n">
        <f aca="false">IF($A107="",0,SUMIFS(tblAuftraege[Ausgaben],tblAuftraege[Datum Ausgaben],"&gt;="&amp;O$5,tblAuftraege[Datum Ausgaben],"&lt;"&amp;EDATE(O$5,1),tblAuftraege[Auftrag],$A107))</f>
        <v>0</v>
      </c>
      <c r="P107" s="11" t="n">
        <f aca="false">IF($A107="",0,SUMIFS(tblAuftraege[Ausgaben],tblAuftraege[Datum Ausgaben],"&gt;="&amp;P$5,tblAuftraege[Datum Ausgaben],"&lt;"&amp;EDATE(P$5,1),tblAuftraege[Auftrag],$A107))</f>
        <v>0</v>
      </c>
      <c r="Q107" s="11" t="n">
        <f aca="false">IF($A107="",0,SUMIFS(tblAuftraege[Ausgaben],tblAuftraege[Datum Ausgaben],"&gt;="&amp;Q$5,tblAuftraege[Datum Ausgaben],"&lt;"&amp;EDATE(Q$5,1),tblAuftraege[Auftrag],$A107))</f>
        <v>0</v>
      </c>
      <c r="R107" s="11" t="n">
        <f aca="false">IF($A107="",0,SUMIFS(tblAuftraege[Ausgaben],tblAuftraege[Datum Ausgaben],"&gt;="&amp;R$5,tblAuftraege[Datum Ausgaben],"&lt;"&amp;EDATE(R$5,1),tblAuftraege[Auftrag],$A107))</f>
        <v>0</v>
      </c>
      <c r="S107" s="11" t="n">
        <f aca="false">IF($A107="",0,SUMIFS(tblAuftraege[Ausgaben],tblAuftraege[Datum Ausgaben],"&gt;="&amp;S$5,tblAuftraege[Datum Ausgaben],"&lt;"&amp;EDATE(S$5,1),tblAuftraege[Auftrag],$A107))</f>
        <v>0</v>
      </c>
      <c r="T107" s="11" t="n">
        <f aca="false">IF($A107="",0,SUMIFS(tblAuftraege[Ausgaben],tblAuftraege[Datum Ausgaben],"&gt;="&amp;T$5,tblAuftraege[Datum Ausgaben],"&lt;"&amp;EDATE(T$5,1),tblAuftraege[Auftrag],$A107))</f>
        <v>0</v>
      </c>
      <c r="U107" s="11" t="n">
        <f aca="false">IF($A107="",0,SUMIFS(tblAuftraege[Ausgaben],tblAuftraege[Datum Ausgaben],"&gt;="&amp;U$5,tblAuftraege[Datum Ausgaben],"&lt;"&amp;EDATE(U$5,1),tblAuftraege[Auftrag],$A107))</f>
        <v>0</v>
      </c>
      <c r="V107" s="11" t="n">
        <f aca="false">IF($A107="",0,SUMIFS(tblAuftraege[Ausgaben],tblAuftraege[Datum Ausgaben],"&gt;="&amp;V$5,tblAuftraege[Datum Ausgaben],"&lt;"&amp;EDATE(V$5,1),tblAuftraege[Auftrag],$A107))</f>
        <v>0</v>
      </c>
      <c r="W107" s="11" t="n">
        <f aca="false">IF($A107="",0,SUMIFS(tblAuftraege[Ausgaben],tblAuftraege[Datum Ausgaben],"&gt;="&amp;W$5,tblAuftraege[Datum Ausgaben],"&lt;"&amp;EDATE(W$5,1),tblAuftraege[Auftrag],$A107))</f>
        <v>0</v>
      </c>
      <c r="X107" s="11" t="n">
        <f aca="false">IF($A107="",0,SUMIFS(tblAuftraege[Ausgaben],tblAuftraege[Datum Ausgaben],"&gt;="&amp;X$5,tblAuftraege[Datum Ausgaben],"&lt;"&amp;EDATE(X$5,1),tblAuftraege[Auftrag],$A107))</f>
        <v>0</v>
      </c>
      <c r="Y107" s="11" t="n">
        <f aca="false">IF($A107="",0,SUMIFS(tblAuftraege[Ausgaben],tblAuftraege[Datum Ausgaben],"&gt;="&amp;Y$5,tblAuftraege[Datum Ausgaben],"&lt;"&amp;EDATE(Y$5,1),tblAuftraege[Auftrag],$A107))</f>
        <v>0</v>
      </c>
      <c r="Z107" s="11" t="n">
        <f aca="false">IF($A107="",0,SUMIFS(tblAuftraege[Ausgaben],tblAuftraege[Datum Ausgaben],"&gt;="&amp;Z$5,tblAuftraege[Datum Ausgaben],"&lt;"&amp;EDATE(Z$5,1),tblAuftraege[Auftrag],$A107))</f>
        <v>0</v>
      </c>
      <c r="AA107" s="11" t="n">
        <f aca="false">IF($A107="",0,SUMIFS(tblAuftraege[Ausgaben],tblAuftraege[Datum Ausgaben],"&gt;="&amp;AA$5,tblAuftraege[Datum Ausgaben],"&lt;"&amp;EDATE(AA$5,1),tblAuftraege[Auftrag],$A107))</f>
        <v>0</v>
      </c>
      <c r="AB107" s="11" t="n">
        <f aca="false">IF($A107="",0,SUMIFS(tblAuftraege[Ausgaben],tblAuftraege[Datum Ausgaben],"&gt;="&amp;AB$5,tblAuftraege[Datum Ausgaben],"&lt;"&amp;EDATE(AB$5,1),tblAuftraege[Auftrag],$A107))</f>
        <v>0</v>
      </c>
      <c r="AC107" s="11" t="n">
        <f aca="false">IF($A107="",0,SUMIFS(tblAuftraege[Ausgaben],tblAuftraege[Datum Ausgaben],"&gt;="&amp;AC$5,tblAuftraege[Datum Ausgaben],"&lt;"&amp;EDATE(AC$5,1),tblAuftraege[Auftrag],$A107))</f>
        <v>0</v>
      </c>
      <c r="AD107" s="11" t="n">
        <f aca="false">IF($A107="",0,SUMIFS(tblAuftraege[Ausgaben],tblAuftraege[Datum Ausgaben],"&gt;="&amp;AD$5,tblAuftraege[Datum Ausgaben],"&lt;"&amp;EDATE(AD$5,1),tblAuftraege[Auftrag],$A107))</f>
        <v>0</v>
      </c>
      <c r="AE107" s="11" t="n">
        <f aca="false">IF($A107="",0,SUMIFS(tblAuftraege[Ausgaben],tblAuftraege[Datum Ausgaben],"&gt;="&amp;AE$5,tblAuftraege[Datum Ausgaben],"&lt;"&amp;EDATE(AE$5,1),tblAuftraege[Auftrag],$A107))</f>
        <v>0</v>
      </c>
      <c r="AF107" s="11" t="n">
        <f aca="false">IF($A107="",0,SUMIFS(tblAuftraege[Ausgaben],tblAuftraege[Datum Ausgaben],"&gt;="&amp;AF$5,tblAuftraege[Datum Ausgaben],"&lt;"&amp;EDATE(AF$5,1),tblAuftraege[Auftrag],$A107))</f>
        <v>0</v>
      </c>
      <c r="AG107" s="11" t="n">
        <f aca="false">IF($A107="",0,SUMIFS(tblAuftraege[Ausgaben],tblAuftraege[Datum Ausgaben],"&gt;="&amp;AG$5,tblAuftraege[Datum Ausgaben],"&lt;"&amp;EDATE(AG$5,1),tblAuftraege[Auftrag],$A107))</f>
        <v>0</v>
      </c>
      <c r="AH107" s="11" t="n">
        <f aca="false">IF($A107="",0,SUMIFS(tblAuftraege[Ausgaben],tblAuftraege[Datum Ausgaben],"&gt;="&amp;AH$5,tblAuftraege[Datum Ausgaben],"&lt;"&amp;EDATE(AH$5,1),tblAuftraege[Auftrag],$A107))</f>
        <v>0</v>
      </c>
      <c r="AI107" s="11" t="n">
        <f aca="false">IF($A107="",0,SUMIFS(tblAuftraege[Ausgaben],tblAuftraege[Datum Ausgaben],"&gt;="&amp;AI$5,tblAuftraege[Datum Ausgaben],"&lt;"&amp;EDATE(AI$5,1),tblAuftraege[Auftrag],$A107))</f>
        <v>0</v>
      </c>
      <c r="AJ107" s="11" t="n">
        <f aca="false">IF($A107="",0,SUMIFS(tblAuftraege[Ausgaben],tblAuftraege[Datum Ausgaben],"&gt;="&amp;AJ$5,tblAuftraege[Datum Ausgaben],"&lt;"&amp;EDATE(AJ$5,1),tblAuftraege[Auftrag],$A107))</f>
        <v>0</v>
      </c>
      <c r="AK107" s="11" t="n">
        <f aca="false">IF($A107="",0,SUMIFS(tblAuftraege[Ausgaben],tblAuftraege[Datum Ausgaben],"&gt;="&amp;AK$5,tblAuftraege[Datum Ausgaben],"&lt;"&amp;EDATE(AK$5,1),tblAuftraege[Auftrag],$A107))</f>
        <v>0</v>
      </c>
      <c r="AL107" s="11" t="n">
        <f aca="false">IF($A107="",0,SUMIFS(tblAuftraege[Ausgaben],tblAuftraege[Datum Ausgaben],"&gt;="&amp;AL$5,tblAuftraege[Datum Ausgaben],"&lt;"&amp;EDATE(AL$5,1),tblAuftraege[Auftrag],$A107))</f>
        <v>0</v>
      </c>
      <c r="AM107" s="11" t="n">
        <f aca="false">IF($A107="",0,SUMIFS(tblAuftraege[Ausgaben],tblAuftraege[Datum Ausgaben],"&gt;="&amp;AM$5,tblAuftraege[Datum Ausgaben],"&lt;"&amp;EDATE(AM$5,1),tblAuftraege[Auftrag],$A107))</f>
        <v>0</v>
      </c>
      <c r="AN107" s="11" t="n">
        <f aca="false">IF($A107="",0,SUMIFS(tblAuftraege[Ausgaben],tblAuftraege[Datum Ausgaben],"&gt;="&amp;AN$5,tblAuftraege[Datum Ausgaben],"&lt;"&amp;EDATE(AN$5,1),tblAuftraege[Auftrag],$A107))</f>
        <v>0</v>
      </c>
      <c r="AO107" s="11" t="n">
        <f aca="false">IF($A107="",0,SUMIFS(tblAuftraege[Ausgaben],tblAuftraege[Datum Ausgaben],"&gt;="&amp;AO$5,tblAuftraege[Datum Ausgaben],"&lt;"&amp;EDATE(AO$5,1),tblAuftraege[Auftrag],$A107))</f>
        <v>0</v>
      </c>
      <c r="AP107" s="11" t="n">
        <f aca="false">IF($A107="",0,SUMIFS(tblAuftraege[Ausgaben],tblAuftraege[Datum Ausgaben],"&gt;="&amp;AP$5,tblAuftraege[Datum Ausgaben],"&lt;"&amp;EDATE(AP$5,1),tblAuftraege[Auftrag],$A107))</f>
        <v>0</v>
      </c>
      <c r="AQ107" s="11" t="n">
        <f aca="false">IF($A107="",0,SUMIFS(tblAuftraege[Ausgaben],tblAuftraege[Datum Ausgaben],"&gt;="&amp;AQ$5,tblAuftraege[Datum Ausgaben],"&lt;"&amp;EDATE(AQ$5,1),tblAuftraege[Auftrag],$A107))</f>
        <v>0</v>
      </c>
      <c r="AR107" s="11" t="n">
        <f aca="false">IF($A107="",0,SUMIFS(tblAuftraege[Ausgaben],tblAuftraege[Datum Ausgaben],"&gt;="&amp;AR$5,tblAuftraege[Datum Ausgaben],"&lt;"&amp;EDATE(AR$5,1),tblAuftraege[Auftrag],$A107))</f>
        <v>0</v>
      </c>
      <c r="AS107" s="11" t="n">
        <f aca="false">IF($A107="",0,SUMIFS(tblAuftraege[Ausgaben],tblAuftraege[Datum Ausgaben],"&gt;="&amp;AS$5,tblAuftraege[Datum Ausgaben],"&lt;"&amp;EDATE(AS$5,1),tblAuftraege[Auftrag],$A107))</f>
        <v>0</v>
      </c>
      <c r="AT107" s="11" t="n">
        <f aca="false">IF($A107="",0,SUMIFS(tblAuftraege[Ausgaben],tblAuftraege[Datum Ausgaben],"&gt;="&amp;AT$5,tblAuftraege[Datum Ausgaben],"&lt;"&amp;EDATE(AT$5,1),tblAuftraege[Auftrag],$A107))</f>
        <v>0</v>
      </c>
      <c r="AU107" s="11" t="n">
        <f aca="false">IF($A107="",0,SUMIFS(tblAuftraege[Ausgaben],tblAuftraege[Datum Ausgaben],"&gt;="&amp;AU$5,tblAuftraege[Datum Ausgaben],"&lt;"&amp;EDATE(AU$5,1),tblAuftraege[Auftrag],$A107))</f>
        <v>0</v>
      </c>
      <c r="AV107" s="11" t="n">
        <f aca="false">IF($A107="",0,SUMIFS(tblAuftraege[Ausgaben],tblAuftraege[Datum Ausgaben],"&gt;="&amp;AV$5,tblAuftraege[Datum Ausgaben],"&lt;"&amp;EDATE(AV$5,1),tblAuftraege[Auftrag],$A107))</f>
        <v>0</v>
      </c>
      <c r="AW107" s="11" t="n">
        <f aca="false">IF($A107="",0,SUMIFS(tblAuftraege[Ausgaben],tblAuftraege[Datum Ausgaben],"&gt;="&amp;AW$5,tblAuftraege[Datum Ausgaben],"&lt;"&amp;EDATE(AW$5,1),tblAuftraege[Auftrag],$A107))</f>
        <v>0</v>
      </c>
      <c r="AX107" s="11" t="n">
        <f aca="false">IF($A107="",0,SUMIFS(tblAuftraege[Ausgaben],tblAuftraege[Datum Ausgaben],"&gt;="&amp;AX$5,tblAuftraege[Datum Ausgaben],"&lt;"&amp;EDATE(AX$5,1),tblAuftraege[Auftrag],$A107))</f>
        <v>0</v>
      </c>
      <c r="AY107" s="11" t="n">
        <f aca="false">IF($A107="",0,SUMIFS(tblAuftraege[Ausgaben],tblAuftraege[Datum Ausgaben],"&gt;="&amp;AY$5,tblAuftraege[Datum Ausgaben],"&lt;"&amp;EDATE(AY$5,1),tblAuftraege[Auftrag],$A107))</f>
        <v>0</v>
      </c>
      <c r="AZ107" s="11" t="n">
        <f aca="false">IF($A107="",0,SUMIFS(tblAuftraege[Ausgaben],tblAuftraege[Datum Ausgaben],"&gt;="&amp;AZ$5,tblAuftraege[Datum Ausgaben],"&lt;"&amp;EDATE(AZ$5,1),tblAuftraege[Auftrag],$A107))</f>
        <v>0</v>
      </c>
      <c r="BA107" s="11" t="n">
        <f aca="false">IF($A107="",0,SUMIFS(tblAuftraege[Ausgaben],tblAuftraege[Datum Ausgaben],"&gt;="&amp;BA$5,tblAuftraege[Datum Ausgaben],"&lt;"&amp;EDATE(BA$5,1),tblAuftraege[Auftrag],$A107))</f>
        <v>0</v>
      </c>
      <c r="BB107" s="11" t="n">
        <f aca="false">IF($A107="",0,SUMIFS(tblAuftraege[Ausgaben],tblAuftraege[Datum Ausgaben],"&gt;="&amp;BB$5,tblAuftraege[Datum Ausgaben],"&lt;"&amp;EDATE(BB$5,1),tblAuftraege[Auftrag],$A107))</f>
        <v>0</v>
      </c>
      <c r="BC107" s="11" t="n">
        <f aca="false">IF($A107="",0,SUMIFS(tblAuftraege[Ausgaben],tblAuftraege[Datum Ausgaben],"&gt;="&amp;BC$5,tblAuftraege[Datum Ausgaben],"&lt;"&amp;EDATE(BC$5,1),tblAuftraege[Auftrag],$A107))</f>
        <v>0</v>
      </c>
      <c r="BD107" s="11" t="n">
        <f aca="false">IF($A107="",0,SUMIFS(tblAuftraege[Ausgaben],tblAuftraege[Datum Ausgaben],"&gt;="&amp;BD$5,tblAuftraege[Datum Ausgaben],"&lt;"&amp;EDATE(BD$5,1),tblAuftraege[Auftrag],$A107))</f>
        <v>0</v>
      </c>
      <c r="BE107" s="11" t="n">
        <f aca="false">IF($A107="",0,SUMIFS(tblAuftraege[Ausgaben],tblAuftraege[Datum Ausgaben],"&gt;="&amp;BE$5,tblAuftraege[Datum Ausgaben],"&lt;"&amp;EDATE(BE$5,1),tblAuftraege[Auftrag],$A107))</f>
        <v>0</v>
      </c>
      <c r="BF107" s="11" t="n">
        <f aca="false">IF($A107="",0,SUMIFS(tblAuftraege[Ausgaben],tblAuftraege[Datum Ausgaben],"&gt;="&amp;BF$5,tblAuftraege[Datum Ausgaben],"&lt;"&amp;EDATE(BF$5,1),tblAuftraege[Auftrag],$A107))</f>
        <v>0</v>
      </c>
      <c r="BG107" s="11" t="n">
        <f aca="false">SUM(E107:J107)</f>
        <v>0</v>
      </c>
      <c r="BH107" s="11" t="n">
        <f aca="false">SUM(K107:V107)</f>
        <v>0</v>
      </c>
      <c r="BI107" s="11" t="n">
        <f aca="false">SUM(W107:AH107)</f>
        <v>0</v>
      </c>
      <c r="BJ107" s="11" t="n">
        <f aca="false">SUM(AI107:AT107)</f>
        <v>0</v>
      </c>
      <c r="BK107" s="11" t="n">
        <f aca="false">SUM(AU107:BF107)</f>
        <v>0</v>
      </c>
      <c r="BL107" s="12" t="n">
        <f aca="false">SUM(E107:BF107)</f>
        <v>0</v>
      </c>
    </row>
    <row r="108" customFormat="false" ht="15" hidden="false" customHeight="false" outlineLevel="0" collapsed="false">
      <c r="A108" s="9"/>
      <c r="B108" s="10" t="str">
        <f aca="false">IF($A108="","",IFERROR(INDEX(tblAuftraege[Kostenstelle],MATCH($A108,tblAuftraege[Auftrag],0)),""))</f>
        <v/>
      </c>
      <c r="C108" s="10" t="str">
        <f aca="false">IF($A108="","",IFERROR(INDEX(tblAuftraege[Themenfeld],MATCH($A108,tblAuftraege[Auftrag],0)),""))</f>
        <v/>
      </c>
      <c r="D108" s="10" t="str">
        <f aca="false">IF($A108="","",IFERROR(INDEX(tblAuftraege[Kategorie],MATCH($A108,tblAuftraege[Auftrag],0)),""))</f>
        <v/>
      </c>
      <c r="E108" s="11" t="n">
        <f aca="false">IF($A108="",0,SUMIFS(tblAuftraege[Ausgaben],tblAuftraege[Datum Ausgaben],"&gt;="&amp;E$5,tblAuftraege[Datum Ausgaben],"&lt;"&amp;EDATE(E$5,1),tblAuftraege[Auftrag],$A108))</f>
        <v>0</v>
      </c>
      <c r="F108" s="11" t="n">
        <f aca="false">IF($A108="",0,SUMIFS(tblAuftraege[Ausgaben],tblAuftraege[Datum Ausgaben],"&gt;="&amp;F$5,tblAuftraege[Datum Ausgaben],"&lt;"&amp;EDATE(F$5,1),tblAuftraege[Auftrag],$A108))</f>
        <v>0</v>
      </c>
      <c r="G108" s="11" t="n">
        <f aca="false">IF($A108="",0,SUMIFS(tblAuftraege[Ausgaben],tblAuftraege[Datum Ausgaben],"&gt;="&amp;G$5,tblAuftraege[Datum Ausgaben],"&lt;"&amp;EDATE(G$5,1),tblAuftraege[Auftrag],$A108))</f>
        <v>0</v>
      </c>
      <c r="H108" s="11" t="n">
        <f aca="false">IF($A108="",0,SUMIFS(tblAuftraege[Ausgaben],tblAuftraege[Datum Ausgaben],"&gt;="&amp;H$5,tblAuftraege[Datum Ausgaben],"&lt;"&amp;EDATE(H$5,1),tblAuftraege[Auftrag],$A108))</f>
        <v>0</v>
      </c>
      <c r="I108" s="11" t="n">
        <f aca="false">IF($A108="",0,SUMIFS(tblAuftraege[Ausgaben],tblAuftraege[Datum Ausgaben],"&gt;="&amp;I$5,tblAuftraege[Datum Ausgaben],"&lt;"&amp;EDATE(I$5,1),tblAuftraege[Auftrag],$A108))</f>
        <v>0</v>
      </c>
      <c r="J108" s="11" t="n">
        <f aca="false">IF($A108="",0,SUMIFS(tblAuftraege[Ausgaben],tblAuftraege[Datum Ausgaben],"&gt;="&amp;J$5,tblAuftraege[Datum Ausgaben],"&lt;"&amp;EDATE(J$5,1),tblAuftraege[Auftrag],$A108))</f>
        <v>0</v>
      </c>
      <c r="K108" s="11" t="n">
        <f aca="false">IF($A108="",0,SUMIFS(tblAuftraege[Ausgaben],tblAuftraege[Datum Ausgaben],"&gt;="&amp;K$5,tblAuftraege[Datum Ausgaben],"&lt;"&amp;EDATE(K$5,1),tblAuftraege[Auftrag],$A108))</f>
        <v>0</v>
      </c>
      <c r="L108" s="11" t="n">
        <f aca="false">IF($A108="",0,SUMIFS(tblAuftraege[Ausgaben],tblAuftraege[Datum Ausgaben],"&gt;="&amp;L$5,tblAuftraege[Datum Ausgaben],"&lt;"&amp;EDATE(L$5,1),tblAuftraege[Auftrag],$A108))</f>
        <v>0</v>
      </c>
      <c r="M108" s="11" t="n">
        <f aca="false">IF($A108="",0,SUMIFS(tblAuftraege[Ausgaben],tblAuftraege[Datum Ausgaben],"&gt;="&amp;M$5,tblAuftraege[Datum Ausgaben],"&lt;"&amp;EDATE(M$5,1),tblAuftraege[Auftrag],$A108))</f>
        <v>0</v>
      </c>
      <c r="N108" s="11" t="n">
        <f aca="false">IF($A108="",0,SUMIFS(tblAuftraege[Ausgaben],tblAuftraege[Datum Ausgaben],"&gt;="&amp;N$5,tblAuftraege[Datum Ausgaben],"&lt;"&amp;EDATE(N$5,1),tblAuftraege[Auftrag],$A108))</f>
        <v>0</v>
      </c>
      <c r="O108" s="11" t="n">
        <f aca="false">IF($A108="",0,SUMIFS(tblAuftraege[Ausgaben],tblAuftraege[Datum Ausgaben],"&gt;="&amp;O$5,tblAuftraege[Datum Ausgaben],"&lt;"&amp;EDATE(O$5,1),tblAuftraege[Auftrag],$A108))</f>
        <v>0</v>
      </c>
      <c r="P108" s="11" t="n">
        <f aca="false">IF($A108="",0,SUMIFS(tblAuftraege[Ausgaben],tblAuftraege[Datum Ausgaben],"&gt;="&amp;P$5,tblAuftraege[Datum Ausgaben],"&lt;"&amp;EDATE(P$5,1),tblAuftraege[Auftrag],$A108))</f>
        <v>0</v>
      </c>
      <c r="Q108" s="11" t="n">
        <f aca="false">IF($A108="",0,SUMIFS(tblAuftraege[Ausgaben],tblAuftraege[Datum Ausgaben],"&gt;="&amp;Q$5,tblAuftraege[Datum Ausgaben],"&lt;"&amp;EDATE(Q$5,1),tblAuftraege[Auftrag],$A108))</f>
        <v>0</v>
      </c>
      <c r="R108" s="11" t="n">
        <f aca="false">IF($A108="",0,SUMIFS(tblAuftraege[Ausgaben],tblAuftraege[Datum Ausgaben],"&gt;="&amp;R$5,tblAuftraege[Datum Ausgaben],"&lt;"&amp;EDATE(R$5,1),tblAuftraege[Auftrag],$A108))</f>
        <v>0</v>
      </c>
      <c r="S108" s="11" t="n">
        <f aca="false">IF($A108="",0,SUMIFS(tblAuftraege[Ausgaben],tblAuftraege[Datum Ausgaben],"&gt;="&amp;S$5,tblAuftraege[Datum Ausgaben],"&lt;"&amp;EDATE(S$5,1),tblAuftraege[Auftrag],$A108))</f>
        <v>0</v>
      </c>
      <c r="T108" s="11" t="n">
        <f aca="false">IF($A108="",0,SUMIFS(tblAuftraege[Ausgaben],tblAuftraege[Datum Ausgaben],"&gt;="&amp;T$5,tblAuftraege[Datum Ausgaben],"&lt;"&amp;EDATE(T$5,1),tblAuftraege[Auftrag],$A108))</f>
        <v>0</v>
      </c>
      <c r="U108" s="11" t="n">
        <f aca="false">IF($A108="",0,SUMIFS(tblAuftraege[Ausgaben],tblAuftraege[Datum Ausgaben],"&gt;="&amp;U$5,tblAuftraege[Datum Ausgaben],"&lt;"&amp;EDATE(U$5,1),tblAuftraege[Auftrag],$A108))</f>
        <v>0</v>
      </c>
      <c r="V108" s="11" t="n">
        <f aca="false">IF($A108="",0,SUMIFS(tblAuftraege[Ausgaben],tblAuftraege[Datum Ausgaben],"&gt;="&amp;V$5,tblAuftraege[Datum Ausgaben],"&lt;"&amp;EDATE(V$5,1),tblAuftraege[Auftrag],$A108))</f>
        <v>0</v>
      </c>
      <c r="W108" s="11" t="n">
        <f aca="false">IF($A108="",0,SUMIFS(tblAuftraege[Ausgaben],tblAuftraege[Datum Ausgaben],"&gt;="&amp;W$5,tblAuftraege[Datum Ausgaben],"&lt;"&amp;EDATE(W$5,1),tblAuftraege[Auftrag],$A108))</f>
        <v>0</v>
      </c>
      <c r="X108" s="11" t="n">
        <f aca="false">IF($A108="",0,SUMIFS(tblAuftraege[Ausgaben],tblAuftraege[Datum Ausgaben],"&gt;="&amp;X$5,tblAuftraege[Datum Ausgaben],"&lt;"&amp;EDATE(X$5,1),tblAuftraege[Auftrag],$A108))</f>
        <v>0</v>
      </c>
      <c r="Y108" s="11" t="n">
        <f aca="false">IF($A108="",0,SUMIFS(tblAuftraege[Ausgaben],tblAuftraege[Datum Ausgaben],"&gt;="&amp;Y$5,tblAuftraege[Datum Ausgaben],"&lt;"&amp;EDATE(Y$5,1),tblAuftraege[Auftrag],$A108))</f>
        <v>0</v>
      </c>
      <c r="Z108" s="11" t="n">
        <f aca="false">IF($A108="",0,SUMIFS(tblAuftraege[Ausgaben],tblAuftraege[Datum Ausgaben],"&gt;="&amp;Z$5,tblAuftraege[Datum Ausgaben],"&lt;"&amp;EDATE(Z$5,1),tblAuftraege[Auftrag],$A108))</f>
        <v>0</v>
      </c>
      <c r="AA108" s="11" t="n">
        <f aca="false">IF($A108="",0,SUMIFS(tblAuftraege[Ausgaben],tblAuftraege[Datum Ausgaben],"&gt;="&amp;AA$5,tblAuftraege[Datum Ausgaben],"&lt;"&amp;EDATE(AA$5,1),tblAuftraege[Auftrag],$A108))</f>
        <v>0</v>
      </c>
      <c r="AB108" s="11" t="n">
        <f aca="false">IF($A108="",0,SUMIFS(tblAuftraege[Ausgaben],tblAuftraege[Datum Ausgaben],"&gt;="&amp;AB$5,tblAuftraege[Datum Ausgaben],"&lt;"&amp;EDATE(AB$5,1),tblAuftraege[Auftrag],$A108))</f>
        <v>0</v>
      </c>
      <c r="AC108" s="11" t="n">
        <f aca="false">IF($A108="",0,SUMIFS(tblAuftraege[Ausgaben],tblAuftraege[Datum Ausgaben],"&gt;="&amp;AC$5,tblAuftraege[Datum Ausgaben],"&lt;"&amp;EDATE(AC$5,1),tblAuftraege[Auftrag],$A108))</f>
        <v>0</v>
      </c>
      <c r="AD108" s="11" t="n">
        <f aca="false">IF($A108="",0,SUMIFS(tblAuftraege[Ausgaben],tblAuftraege[Datum Ausgaben],"&gt;="&amp;AD$5,tblAuftraege[Datum Ausgaben],"&lt;"&amp;EDATE(AD$5,1),tblAuftraege[Auftrag],$A108))</f>
        <v>0</v>
      </c>
      <c r="AE108" s="11" t="n">
        <f aca="false">IF($A108="",0,SUMIFS(tblAuftraege[Ausgaben],tblAuftraege[Datum Ausgaben],"&gt;="&amp;AE$5,tblAuftraege[Datum Ausgaben],"&lt;"&amp;EDATE(AE$5,1),tblAuftraege[Auftrag],$A108))</f>
        <v>0</v>
      </c>
      <c r="AF108" s="11" t="n">
        <f aca="false">IF($A108="",0,SUMIFS(tblAuftraege[Ausgaben],tblAuftraege[Datum Ausgaben],"&gt;="&amp;AF$5,tblAuftraege[Datum Ausgaben],"&lt;"&amp;EDATE(AF$5,1),tblAuftraege[Auftrag],$A108))</f>
        <v>0</v>
      </c>
      <c r="AG108" s="11" t="n">
        <f aca="false">IF($A108="",0,SUMIFS(tblAuftraege[Ausgaben],tblAuftraege[Datum Ausgaben],"&gt;="&amp;AG$5,tblAuftraege[Datum Ausgaben],"&lt;"&amp;EDATE(AG$5,1),tblAuftraege[Auftrag],$A108))</f>
        <v>0</v>
      </c>
      <c r="AH108" s="11" t="n">
        <f aca="false">IF($A108="",0,SUMIFS(tblAuftraege[Ausgaben],tblAuftraege[Datum Ausgaben],"&gt;="&amp;AH$5,tblAuftraege[Datum Ausgaben],"&lt;"&amp;EDATE(AH$5,1),tblAuftraege[Auftrag],$A108))</f>
        <v>0</v>
      </c>
      <c r="AI108" s="11" t="n">
        <f aca="false">IF($A108="",0,SUMIFS(tblAuftraege[Ausgaben],tblAuftraege[Datum Ausgaben],"&gt;="&amp;AI$5,tblAuftraege[Datum Ausgaben],"&lt;"&amp;EDATE(AI$5,1),tblAuftraege[Auftrag],$A108))</f>
        <v>0</v>
      </c>
      <c r="AJ108" s="11" t="n">
        <f aca="false">IF($A108="",0,SUMIFS(tblAuftraege[Ausgaben],tblAuftraege[Datum Ausgaben],"&gt;="&amp;AJ$5,tblAuftraege[Datum Ausgaben],"&lt;"&amp;EDATE(AJ$5,1),tblAuftraege[Auftrag],$A108))</f>
        <v>0</v>
      </c>
      <c r="AK108" s="11" t="n">
        <f aca="false">IF($A108="",0,SUMIFS(tblAuftraege[Ausgaben],tblAuftraege[Datum Ausgaben],"&gt;="&amp;AK$5,tblAuftraege[Datum Ausgaben],"&lt;"&amp;EDATE(AK$5,1),tblAuftraege[Auftrag],$A108))</f>
        <v>0</v>
      </c>
      <c r="AL108" s="11" t="n">
        <f aca="false">IF($A108="",0,SUMIFS(tblAuftraege[Ausgaben],tblAuftraege[Datum Ausgaben],"&gt;="&amp;AL$5,tblAuftraege[Datum Ausgaben],"&lt;"&amp;EDATE(AL$5,1),tblAuftraege[Auftrag],$A108))</f>
        <v>0</v>
      </c>
      <c r="AM108" s="11" t="n">
        <f aca="false">IF($A108="",0,SUMIFS(tblAuftraege[Ausgaben],tblAuftraege[Datum Ausgaben],"&gt;="&amp;AM$5,tblAuftraege[Datum Ausgaben],"&lt;"&amp;EDATE(AM$5,1),tblAuftraege[Auftrag],$A108))</f>
        <v>0</v>
      </c>
      <c r="AN108" s="11" t="n">
        <f aca="false">IF($A108="",0,SUMIFS(tblAuftraege[Ausgaben],tblAuftraege[Datum Ausgaben],"&gt;="&amp;AN$5,tblAuftraege[Datum Ausgaben],"&lt;"&amp;EDATE(AN$5,1),tblAuftraege[Auftrag],$A108))</f>
        <v>0</v>
      </c>
      <c r="AO108" s="11" t="n">
        <f aca="false">IF($A108="",0,SUMIFS(tblAuftraege[Ausgaben],tblAuftraege[Datum Ausgaben],"&gt;="&amp;AO$5,tblAuftraege[Datum Ausgaben],"&lt;"&amp;EDATE(AO$5,1),tblAuftraege[Auftrag],$A108))</f>
        <v>0</v>
      </c>
      <c r="AP108" s="11" t="n">
        <f aca="false">IF($A108="",0,SUMIFS(tblAuftraege[Ausgaben],tblAuftraege[Datum Ausgaben],"&gt;="&amp;AP$5,tblAuftraege[Datum Ausgaben],"&lt;"&amp;EDATE(AP$5,1),tblAuftraege[Auftrag],$A108))</f>
        <v>0</v>
      </c>
      <c r="AQ108" s="11" t="n">
        <f aca="false">IF($A108="",0,SUMIFS(tblAuftraege[Ausgaben],tblAuftraege[Datum Ausgaben],"&gt;="&amp;AQ$5,tblAuftraege[Datum Ausgaben],"&lt;"&amp;EDATE(AQ$5,1),tblAuftraege[Auftrag],$A108))</f>
        <v>0</v>
      </c>
      <c r="AR108" s="11" t="n">
        <f aca="false">IF($A108="",0,SUMIFS(tblAuftraege[Ausgaben],tblAuftraege[Datum Ausgaben],"&gt;="&amp;AR$5,tblAuftraege[Datum Ausgaben],"&lt;"&amp;EDATE(AR$5,1),tblAuftraege[Auftrag],$A108))</f>
        <v>0</v>
      </c>
      <c r="AS108" s="11" t="n">
        <f aca="false">IF($A108="",0,SUMIFS(tblAuftraege[Ausgaben],tblAuftraege[Datum Ausgaben],"&gt;="&amp;AS$5,tblAuftraege[Datum Ausgaben],"&lt;"&amp;EDATE(AS$5,1),tblAuftraege[Auftrag],$A108))</f>
        <v>0</v>
      </c>
      <c r="AT108" s="11" t="n">
        <f aca="false">IF($A108="",0,SUMIFS(tblAuftraege[Ausgaben],tblAuftraege[Datum Ausgaben],"&gt;="&amp;AT$5,tblAuftraege[Datum Ausgaben],"&lt;"&amp;EDATE(AT$5,1),tblAuftraege[Auftrag],$A108))</f>
        <v>0</v>
      </c>
      <c r="AU108" s="11" t="n">
        <f aca="false">IF($A108="",0,SUMIFS(tblAuftraege[Ausgaben],tblAuftraege[Datum Ausgaben],"&gt;="&amp;AU$5,tblAuftraege[Datum Ausgaben],"&lt;"&amp;EDATE(AU$5,1),tblAuftraege[Auftrag],$A108))</f>
        <v>0</v>
      </c>
      <c r="AV108" s="11" t="n">
        <f aca="false">IF($A108="",0,SUMIFS(tblAuftraege[Ausgaben],tblAuftraege[Datum Ausgaben],"&gt;="&amp;AV$5,tblAuftraege[Datum Ausgaben],"&lt;"&amp;EDATE(AV$5,1),tblAuftraege[Auftrag],$A108))</f>
        <v>0</v>
      </c>
      <c r="AW108" s="11" t="n">
        <f aca="false">IF($A108="",0,SUMIFS(tblAuftraege[Ausgaben],tblAuftraege[Datum Ausgaben],"&gt;="&amp;AW$5,tblAuftraege[Datum Ausgaben],"&lt;"&amp;EDATE(AW$5,1),tblAuftraege[Auftrag],$A108))</f>
        <v>0</v>
      </c>
      <c r="AX108" s="11" t="n">
        <f aca="false">IF($A108="",0,SUMIFS(tblAuftraege[Ausgaben],tblAuftraege[Datum Ausgaben],"&gt;="&amp;AX$5,tblAuftraege[Datum Ausgaben],"&lt;"&amp;EDATE(AX$5,1),tblAuftraege[Auftrag],$A108))</f>
        <v>0</v>
      </c>
      <c r="AY108" s="11" t="n">
        <f aca="false">IF($A108="",0,SUMIFS(tblAuftraege[Ausgaben],tblAuftraege[Datum Ausgaben],"&gt;="&amp;AY$5,tblAuftraege[Datum Ausgaben],"&lt;"&amp;EDATE(AY$5,1),tblAuftraege[Auftrag],$A108))</f>
        <v>0</v>
      </c>
      <c r="AZ108" s="11" t="n">
        <f aca="false">IF($A108="",0,SUMIFS(tblAuftraege[Ausgaben],tblAuftraege[Datum Ausgaben],"&gt;="&amp;AZ$5,tblAuftraege[Datum Ausgaben],"&lt;"&amp;EDATE(AZ$5,1),tblAuftraege[Auftrag],$A108))</f>
        <v>0</v>
      </c>
      <c r="BA108" s="11" t="n">
        <f aca="false">IF($A108="",0,SUMIFS(tblAuftraege[Ausgaben],tblAuftraege[Datum Ausgaben],"&gt;="&amp;BA$5,tblAuftraege[Datum Ausgaben],"&lt;"&amp;EDATE(BA$5,1),tblAuftraege[Auftrag],$A108))</f>
        <v>0</v>
      </c>
      <c r="BB108" s="11" t="n">
        <f aca="false">IF($A108="",0,SUMIFS(tblAuftraege[Ausgaben],tblAuftraege[Datum Ausgaben],"&gt;="&amp;BB$5,tblAuftraege[Datum Ausgaben],"&lt;"&amp;EDATE(BB$5,1),tblAuftraege[Auftrag],$A108))</f>
        <v>0</v>
      </c>
      <c r="BC108" s="11" t="n">
        <f aca="false">IF($A108="",0,SUMIFS(tblAuftraege[Ausgaben],tblAuftraege[Datum Ausgaben],"&gt;="&amp;BC$5,tblAuftraege[Datum Ausgaben],"&lt;"&amp;EDATE(BC$5,1),tblAuftraege[Auftrag],$A108))</f>
        <v>0</v>
      </c>
      <c r="BD108" s="11" t="n">
        <f aca="false">IF($A108="",0,SUMIFS(tblAuftraege[Ausgaben],tblAuftraege[Datum Ausgaben],"&gt;="&amp;BD$5,tblAuftraege[Datum Ausgaben],"&lt;"&amp;EDATE(BD$5,1),tblAuftraege[Auftrag],$A108))</f>
        <v>0</v>
      </c>
      <c r="BE108" s="11" t="n">
        <f aca="false">IF($A108="",0,SUMIFS(tblAuftraege[Ausgaben],tblAuftraege[Datum Ausgaben],"&gt;="&amp;BE$5,tblAuftraege[Datum Ausgaben],"&lt;"&amp;EDATE(BE$5,1),tblAuftraege[Auftrag],$A108))</f>
        <v>0</v>
      </c>
      <c r="BF108" s="11" t="n">
        <f aca="false">IF($A108="",0,SUMIFS(tblAuftraege[Ausgaben],tblAuftraege[Datum Ausgaben],"&gt;="&amp;BF$5,tblAuftraege[Datum Ausgaben],"&lt;"&amp;EDATE(BF$5,1),tblAuftraege[Auftrag],$A108))</f>
        <v>0</v>
      </c>
      <c r="BG108" s="11" t="n">
        <f aca="false">SUM(E108:J108)</f>
        <v>0</v>
      </c>
      <c r="BH108" s="11" t="n">
        <f aca="false">SUM(K108:V108)</f>
        <v>0</v>
      </c>
      <c r="BI108" s="11" t="n">
        <f aca="false">SUM(W108:AH108)</f>
        <v>0</v>
      </c>
      <c r="BJ108" s="11" t="n">
        <f aca="false">SUM(AI108:AT108)</f>
        <v>0</v>
      </c>
      <c r="BK108" s="11" t="n">
        <f aca="false">SUM(AU108:BF108)</f>
        <v>0</v>
      </c>
      <c r="BL108" s="12" t="n">
        <f aca="false">SUM(E108:BF108)</f>
        <v>0</v>
      </c>
    </row>
    <row r="109" customFormat="false" ht="15" hidden="false" customHeight="false" outlineLevel="0" collapsed="false">
      <c r="A109" s="9"/>
      <c r="B109" s="10" t="str">
        <f aca="false">IF($A109="","",IFERROR(INDEX(tblAuftraege[Kostenstelle],MATCH($A109,tblAuftraege[Auftrag],0)),""))</f>
        <v/>
      </c>
      <c r="C109" s="10" t="str">
        <f aca="false">IF($A109="","",IFERROR(INDEX(tblAuftraege[Themenfeld],MATCH($A109,tblAuftraege[Auftrag],0)),""))</f>
        <v/>
      </c>
      <c r="D109" s="10" t="str">
        <f aca="false">IF($A109="","",IFERROR(INDEX(tblAuftraege[Kategorie],MATCH($A109,tblAuftraege[Auftrag],0)),""))</f>
        <v/>
      </c>
      <c r="E109" s="11" t="n">
        <f aca="false">IF($A109="",0,SUMIFS(tblAuftraege[Ausgaben],tblAuftraege[Datum Ausgaben],"&gt;="&amp;E$5,tblAuftraege[Datum Ausgaben],"&lt;"&amp;EDATE(E$5,1),tblAuftraege[Auftrag],$A109))</f>
        <v>0</v>
      </c>
      <c r="F109" s="11" t="n">
        <f aca="false">IF($A109="",0,SUMIFS(tblAuftraege[Ausgaben],tblAuftraege[Datum Ausgaben],"&gt;="&amp;F$5,tblAuftraege[Datum Ausgaben],"&lt;"&amp;EDATE(F$5,1),tblAuftraege[Auftrag],$A109))</f>
        <v>0</v>
      </c>
      <c r="G109" s="11" t="n">
        <f aca="false">IF($A109="",0,SUMIFS(tblAuftraege[Ausgaben],tblAuftraege[Datum Ausgaben],"&gt;="&amp;G$5,tblAuftraege[Datum Ausgaben],"&lt;"&amp;EDATE(G$5,1),tblAuftraege[Auftrag],$A109))</f>
        <v>0</v>
      </c>
      <c r="H109" s="11" t="n">
        <f aca="false">IF($A109="",0,SUMIFS(tblAuftraege[Ausgaben],tblAuftraege[Datum Ausgaben],"&gt;="&amp;H$5,tblAuftraege[Datum Ausgaben],"&lt;"&amp;EDATE(H$5,1),tblAuftraege[Auftrag],$A109))</f>
        <v>0</v>
      </c>
      <c r="I109" s="11" t="n">
        <f aca="false">IF($A109="",0,SUMIFS(tblAuftraege[Ausgaben],tblAuftraege[Datum Ausgaben],"&gt;="&amp;I$5,tblAuftraege[Datum Ausgaben],"&lt;"&amp;EDATE(I$5,1),tblAuftraege[Auftrag],$A109))</f>
        <v>0</v>
      </c>
      <c r="J109" s="11" t="n">
        <f aca="false">IF($A109="",0,SUMIFS(tblAuftraege[Ausgaben],tblAuftraege[Datum Ausgaben],"&gt;="&amp;J$5,tblAuftraege[Datum Ausgaben],"&lt;"&amp;EDATE(J$5,1),tblAuftraege[Auftrag],$A109))</f>
        <v>0</v>
      </c>
      <c r="K109" s="11" t="n">
        <f aca="false">IF($A109="",0,SUMIFS(tblAuftraege[Ausgaben],tblAuftraege[Datum Ausgaben],"&gt;="&amp;K$5,tblAuftraege[Datum Ausgaben],"&lt;"&amp;EDATE(K$5,1),tblAuftraege[Auftrag],$A109))</f>
        <v>0</v>
      </c>
      <c r="L109" s="11" t="n">
        <f aca="false">IF($A109="",0,SUMIFS(tblAuftraege[Ausgaben],tblAuftraege[Datum Ausgaben],"&gt;="&amp;L$5,tblAuftraege[Datum Ausgaben],"&lt;"&amp;EDATE(L$5,1),tblAuftraege[Auftrag],$A109))</f>
        <v>0</v>
      </c>
      <c r="M109" s="11" t="n">
        <f aca="false">IF($A109="",0,SUMIFS(tblAuftraege[Ausgaben],tblAuftraege[Datum Ausgaben],"&gt;="&amp;M$5,tblAuftraege[Datum Ausgaben],"&lt;"&amp;EDATE(M$5,1),tblAuftraege[Auftrag],$A109))</f>
        <v>0</v>
      </c>
      <c r="N109" s="11" t="n">
        <f aca="false">IF($A109="",0,SUMIFS(tblAuftraege[Ausgaben],tblAuftraege[Datum Ausgaben],"&gt;="&amp;N$5,tblAuftraege[Datum Ausgaben],"&lt;"&amp;EDATE(N$5,1),tblAuftraege[Auftrag],$A109))</f>
        <v>0</v>
      </c>
      <c r="O109" s="11" t="n">
        <f aca="false">IF($A109="",0,SUMIFS(tblAuftraege[Ausgaben],tblAuftraege[Datum Ausgaben],"&gt;="&amp;O$5,tblAuftraege[Datum Ausgaben],"&lt;"&amp;EDATE(O$5,1),tblAuftraege[Auftrag],$A109))</f>
        <v>0</v>
      </c>
      <c r="P109" s="11" t="n">
        <f aca="false">IF($A109="",0,SUMIFS(tblAuftraege[Ausgaben],tblAuftraege[Datum Ausgaben],"&gt;="&amp;P$5,tblAuftraege[Datum Ausgaben],"&lt;"&amp;EDATE(P$5,1),tblAuftraege[Auftrag],$A109))</f>
        <v>0</v>
      </c>
      <c r="Q109" s="11" t="n">
        <f aca="false">IF($A109="",0,SUMIFS(tblAuftraege[Ausgaben],tblAuftraege[Datum Ausgaben],"&gt;="&amp;Q$5,tblAuftraege[Datum Ausgaben],"&lt;"&amp;EDATE(Q$5,1),tblAuftraege[Auftrag],$A109))</f>
        <v>0</v>
      </c>
      <c r="R109" s="11" t="n">
        <f aca="false">IF($A109="",0,SUMIFS(tblAuftraege[Ausgaben],tblAuftraege[Datum Ausgaben],"&gt;="&amp;R$5,tblAuftraege[Datum Ausgaben],"&lt;"&amp;EDATE(R$5,1),tblAuftraege[Auftrag],$A109))</f>
        <v>0</v>
      </c>
      <c r="S109" s="11" t="n">
        <f aca="false">IF($A109="",0,SUMIFS(tblAuftraege[Ausgaben],tblAuftraege[Datum Ausgaben],"&gt;="&amp;S$5,tblAuftraege[Datum Ausgaben],"&lt;"&amp;EDATE(S$5,1),tblAuftraege[Auftrag],$A109))</f>
        <v>0</v>
      </c>
      <c r="T109" s="11" t="n">
        <f aca="false">IF($A109="",0,SUMIFS(tblAuftraege[Ausgaben],tblAuftraege[Datum Ausgaben],"&gt;="&amp;T$5,tblAuftraege[Datum Ausgaben],"&lt;"&amp;EDATE(T$5,1),tblAuftraege[Auftrag],$A109))</f>
        <v>0</v>
      </c>
      <c r="U109" s="11" t="n">
        <f aca="false">IF($A109="",0,SUMIFS(tblAuftraege[Ausgaben],tblAuftraege[Datum Ausgaben],"&gt;="&amp;U$5,tblAuftraege[Datum Ausgaben],"&lt;"&amp;EDATE(U$5,1),tblAuftraege[Auftrag],$A109))</f>
        <v>0</v>
      </c>
      <c r="V109" s="11" t="n">
        <f aca="false">IF($A109="",0,SUMIFS(tblAuftraege[Ausgaben],tblAuftraege[Datum Ausgaben],"&gt;="&amp;V$5,tblAuftraege[Datum Ausgaben],"&lt;"&amp;EDATE(V$5,1),tblAuftraege[Auftrag],$A109))</f>
        <v>0</v>
      </c>
      <c r="W109" s="11" t="n">
        <f aca="false">IF($A109="",0,SUMIFS(tblAuftraege[Ausgaben],tblAuftraege[Datum Ausgaben],"&gt;="&amp;W$5,tblAuftraege[Datum Ausgaben],"&lt;"&amp;EDATE(W$5,1),tblAuftraege[Auftrag],$A109))</f>
        <v>0</v>
      </c>
      <c r="X109" s="11" t="n">
        <f aca="false">IF($A109="",0,SUMIFS(tblAuftraege[Ausgaben],tblAuftraege[Datum Ausgaben],"&gt;="&amp;X$5,tblAuftraege[Datum Ausgaben],"&lt;"&amp;EDATE(X$5,1),tblAuftraege[Auftrag],$A109))</f>
        <v>0</v>
      </c>
      <c r="Y109" s="11" t="n">
        <f aca="false">IF($A109="",0,SUMIFS(tblAuftraege[Ausgaben],tblAuftraege[Datum Ausgaben],"&gt;="&amp;Y$5,tblAuftraege[Datum Ausgaben],"&lt;"&amp;EDATE(Y$5,1),tblAuftraege[Auftrag],$A109))</f>
        <v>0</v>
      </c>
      <c r="Z109" s="11" t="n">
        <f aca="false">IF($A109="",0,SUMIFS(tblAuftraege[Ausgaben],tblAuftraege[Datum Ausgaben],"&gt;="&amp;Z$5,tblAuftraege[Datum Ausgaben],"&lt;"&amp;EDATE(Z$5,1),tblAuftraege[Auftrag],$A109))</f>
        <v>0</v>
      </c>
      <c r="AA109" s="11" t="n">
        <f aca="false">IF($A109="",0,SUMIFS(tblAuftraege[Ausgaben],tblAuftraege[Datum Ausgaben],"&gt;="&amp;AA$5,tblAuftraege[Datum Ausgaben],"&lt;"&amp;EDATE(AA$5,1),tblAuftraege[Auftrag],$A109))</f>
        <v>0</v>
      </c>
      <c r="AB109" s="11" t="n">
        <f aca="false">IF($A109="",0,SUMIFS(tblAuftraege[Ausgaben],tblAuftraege[Datum Ausgaben],"&gt;="&amp;AB$5,tblAuftraege[Datum Ausgaben],"&lt;"&amp;EDATE(AB$5,1),tblAuftraege[Auftrag],$A109))</f>
        <v>0</v>
      </c>
      <c r="AC109" s="11" t="n">
        <f aca="false">IF($A109="",0,SUMIFS(tblAuftraege[Ausgaben],tblAuftraege[Datum Ausgaben],"&gt;="&amp;AC$5,tblAuftraege[Datum Ausgaben],"&lt;"&amp;EDATE(AC$5,1),tblAuftraege[Auftrag],$A109))</f>
        <v>0</v>
      </c>
      <c r="AD109" s="11" t="n">
        <f aca="false">IF($A109="",0,SUMIFS(tblAuftraege[Ausgaben],tblAuftraege[Datum Ausgaben],"&gt;="&amp;AD$5,tblAuftraege[Datum Ausgaben],"&lt;"&amp;EDATE(AD$5,1),tblAuftraege[Auftrag],$A109))</f>
        <v>0</v>
      </c>
      <c r="AE109" s="11" t="n">
        <f aca="false">IF($A109="",0,SUMIFS(tblAuftraege[Ausgaben],tblAuftraege[Datum Ausgaben],"&gt;="&amp;AE$5,tblAuftraege[Datum Ausgaben],"&lt;"&amp;EDATE(AE$5,1),tblAuftraege[Auftrag],$A109))</f>
        <v>0</v>
      </c>
      <c r="AF109" s="11" t="n">
        <f aca="false">IF($A109="",0,SUMIFS(tblAuftraege[Ausgaben],tblAuftraege[Datum Ausgaben],"&gt;="&amp;AF$5,tblAuftraege[Datum Ausgaben],"&lt;"&amp;EDATE(AF$5,1),tblAuftraege[Auftrag],$A109))</f>
        <v>0</v>
      </c>
      <c r="AG109" s="11" t="n">
        <f aca="false">IF($A109="",0,SUMIFS(tblAuftraege[Ausgaben],tblAuftraege[Datum Ausgaben],"&gt;="&amp;AG$5,tblAuftraege[Datum Ausgaben],"&lt;"&amp;EDATE(AG$5,1),tblAuftraege[Auftrag],$A109))</f>
        <v>0</v>
      </c>
      <c r="AH109" s="11" t="n">
        <f aca="false">IF($A109="",0,SUMIFS(tblAuftraege[Ausgaben],tblAuftraege[Datum Ausgaben],"&gt;="&amp;AH$5,tblAuftraege[Datum Ausgaben],"&lt;"&amp;EDATE(AH$5,1),tblAuftraege[Auftrag],$A109))</f>
        <v>0</v>
      </c>
      <c r="AI109" s="11" t="n">
        <f aca="false">IF($A109="",0,SUMIFS(tblAuftraege[Ausgaben],tblAuftraege[Datum Ausgaben],"&gt;="&amp;AI$5,tblAuftraege[Datum Ausgaben],"&lt;"&amp;EDATE(AI$5,1),tblAuftraege[Auftrag],$A109))</f>
        <v>0</v>
      </c>
      <c r="AJ109" s="11" t="n">
        <f aca="false">IF($A109="",0,SUMIFS(tblAuftraege[Ausgaben],tblAuftraege[Datum Ausgaben],"&gt;="&amp;AJ$5,tblAuftraege[Datum Ausgaben],"&lt;"&amp;EDATE(AJ$5,1),tblAuftraege[Auftrag],$A109))</f>
        <v>0</v>
      </c>
      <c r="AK109" s="11" t="n">
        <f aca="false">IF($A109="",0,SUMIFS(tblAuftraege[Ausgaben],tblAuftraege[Datum Ausgaben],"&gt;="&amp;AK$5,tblAuftraege[Datum Ausgaben],"&lt;"&amp;EDATE(AK$5,1),tblAuftraege[Auftrag],$A109))</f>
        <v>0</v>
      </c>
      <c r="AL109" s="11" t="n">
        <f aca="false">IF($A109="",0,SUMIFS(tblAuftraege[Ausgaben],tblAuftraege[Datum Ausgaben],"&gt;="&amp;AL$5,tblAuftraege[Datum Ausgaben],"&lt;"&amp;EDATE(AL$5,1),tblAuftraege[Auftrag],$A109))</f>
        <v>0</v>
      </c>
      <c r="AM109" s="11" t="n">
        <f aca="false">IF($A109="",0,SUMIFS(tblAuftraege[Ausgaben],tblAuftraege[Datum Ausgaben],"&gt;="&amp;AM$5,tblAuftraege[Datum Ausgaben],"&lt;"&amp;EDATE(AM$5,1),tblAuftraege[Auftrag],$A109))</f>
        <v>0</v>
      </c>
      <c r="AN109" s="11" t="n">
        <f aca="false">IF($A109="",0,SUMIFS(tblAuftraege[Ausgaben],tblAuftraege[Datum Ausgaben],"&gt;="&amp;AN$5,tblAuftraege[Datum Ausgaben],"&lt;"&amp;EDATE(AN$5,1),tblAuftraege[Auftrag],$A109))</f>
        <v>0</v>
      </c>
      <c r="AO109" s="11" t="n">
        <f aca="false">IF($A109="",0,SUMIFS(tblAuftraege[Ausgaben],tblAuftraege[Datum Ausgaben],"&gt;="&amp;AO$5,tblAuftraege[Datum Ausgaben],"&lt;"&amp;EDATE(AO$5,1),tblAuftraege[Auftrag],$A109))</f>
        <v>0</v>
      </c>
      <c r="AP109" s="11" t="n">
        <f aca="false">IF($A109="",0,SUMIFS(tblAuftraege[Ausgaben],tblAuftraege[Datum Ausgaben],"&gt;="&amp;AP$5,tblAuftraege[Datum Ausgaben],"&lt;"&amp;EDATE(AP$5,1),tblAuftraege[Auftrag],$A109))</f>
        <v>0</v>
      </c>
      <c r="AQ109" s="11" t="n">
        <f aca="false">IF($A109="",0,SUMIFS(tblAuftraege[Ausgaben],tblAuftraege[Datum Ausgaben],"&gt;="&amp;AQ$5,tblAuftraege[Datum Ausgaben],"&lt;"&amp;EDATE(AQ$5,1),tblAuftraege[Auftrag],$A109))</f>
        <v>0</v>
      </c>
      <c r="AR109" s="11" t="n">
        <f aca="false">IF($A109="",0,SUMIFS(tblAuftraege[Ausgaben],tblAuftraege[Datum Ausgaben],"&gt;="&amp;AR$5,tblAuftraege[Datum Ausgaben],"&lt;"&amp;EDATE(AR$5,1),tblAuftraege[Auftrag],$A109))</f>
        <v>0</v>
      </c>
      <c r="AS109" s="11" t="n">
        <f aca="false">IF($A109="",0,SUMIFS(tblAuftraege[Ausgaben],tblAuftraege[Datum Ausgaben],"&gt;="&amp;AS$5,tblAuftraege[Datum Ausgaben],"&lt;"&amp;EDATE(AS$5,1),tblAuftraege[Auftrag],$A109))</f>
        <v>0</v>
      </c>
      <c r="AT109" s="11" t="n">
        <f aca="false">IF($A109="",0,SUMIFS(tblAuftraege[Ausgaben],tblAuftraege[Datum Ausgaben],"&gt;="&amp;AT$5,tblAuftraege[Datum Ausgaben],"&lt;"&amp;EDATE(AT$5,1),tblAuftraege[Auftrag],$A109))</f>
        <v>0</v>
      </c>
      <c r="AU109" s="11" t="n">
        <f aca="false">IF($A109="",0,SUMIFS(tblAuftraege[Ausgaben],tblAuftraege[Datum Ausgaben],"&gt;="&amp;AU$5,tblAuftraege[Datum Ausgaben],"&lt;"&amp;EDATE(AU$5,1),tblAuftraege[Auftrag],$A109))</f>
        <v>0</v>
      </c>
      <c r="AV109" s="11" t="n">
        <f aca="false">IF($A109="",0,SUMIFS(tblAuftraege[Ausgaben],tblAuftraege[Datum Ausgaben],"&gt;="&amp;AV$5,tblAuftraege[Datum Ausgaben],"&lt;"&amp;EDATE(AV$5,1),tblAuftraege[Auftrag],$A109))</f>
        <v>0</v>
      </c>
      <c r="AW109" s="11" t="n">
        <f aca="false">IF($A109="",0,SUMIFS(tblAuftraege[Ausgaben],tblAuftraege[Datum Ausgaben],"&gt;="&amp;AW$5,tblAuftraege[Datum Ausgaben],"&lt;"&amp;EDATE(AW$5,1),tblAuftraege[Auftrag],$A109))</f>
        <v>0</v>
      </c>
      <c r="AX109" s="11" t="n">
        <f aca="false">IF($A109="",0,SUMIFS(tblAuftraege[Ausgaben],tblAuftraege[Datum Ausgaben],"&gt;="&amp;AX$5,tblAuftraege[Datum Ausgaben],"&lt;"&amp;EDATE(AX$5,1),tblAuftraege[Auftrag],$A109))</f>
        <v>0</v>
      </c>
      <c r="AY109" s="11" t="n">
        <f aca="false">IF($A109="",0,SUMIFS(tblAuftraege[Ausgaben],tblAuftraege[Datum Ausgaben],"&gt;="&amp;AY$5,tblAuftraege[Datum Ausgaben],"&lt;"&amp;EDATE(AY$5,1),tblAuftraege[Auftrag],$A109))</f>
        <v>0</v>
      </c>
      <c r="AZ109" s="11" t="n">
        <f aca="false">IF($A109="",0,SUMIFS(tblAuftraege[Ausgaben],tblAuftraege[Datum Ausgaben],"&gt;="&amp;AZ$5,tblAuftraege[Datum Ausgaben],"&lt;"&amp;EDATE(AZ$5,1),tblAuftraege[Auftrag],$A109))</f>
        <v>0</v>
      </c>
      <c r="BA109" s="11" t="n">
        <f aca="false">IF($A109="",0,SUMIFS(tblAuftraege[Ausgaben],tblAuftraege[Datum Ausgaben],"&gt;="&amp;BA$5,tblAuftraege[Datum Ausgaben],"&lt;"&amp;EDATE(BA$5,1),tblAuftraege[Auftrag],$A109))</f>
        <v>0</v>
      </c>
      <c r="BB109" s="11" t="n">
        <f aca="false">IF($A109="",0,SUMIFS(tblAuftraege[Ausgaben],tblAuftraege[Datum Ausgaben],"&gt;="&amp;BB$5,tblAuftraege[Datum Ausgaben],"&lt;"&amp;EDATE(BB$5,1),tblAuftraege[Auftrag],$A109))</f>
        <v>0</v>
      </c>
      <c r="BC109" s="11" t="n">
        <f aca="false">IF($A109="",0,SUMIFS(tblAuftraege[Ausgaben],tblAuftraege[Datum Ausgaben],"&gt;="&amp;BC$5,tblAuftraege[Datum Ausgaben],"&lt;"&amp;EDATE(BC$5,1),tblAuftraege[Auftrag],$A109))</f>
        <v>0</v>
      </c>
      <c r="BD109" s="11" t="n">
        <f aca="false">IF($A109="",0,SUMIFS(tblAuftraege[Ausgaben],tblAuftraege[Datum Ausgaben],"&gt;="&amp;BD$5,tblAuftraege[Datum Ausgaben],"&lt;"&amp;EDATE(BD$5,1),tblAuftraege[Auftrag],$A109))</f>
        <v>0</v>
      </c>
      <c r="BE109" s="11" t="n">
        <f aca="false">IF($A109="",0,SUMIFS(tblAuftraege[Ausgaben],tblAuftraege[Datum Ausgaben],"&gt;="&amp;BE$5,tblAuftraege[Datum Ausgaben],"&lt;"&amp;EDATE(BE$5,1),tblAuftraege[Auftrag],$A109))</f>
        <v>0</v>
      </c>
      <c r="BF109" s="11" t="n">
        <f aca="false">IF($A109="",0,SUMIFS(tblAuftraege[Ausgaben],tblAuftraege[Datum Ausgaben],"&gt;="&amp;BF$5,tblAuftraege[Datum Ausgaben],"&lt;"&amp;EDATE(BF$5,1),tblAuftraege[Auftrag],$A109))</f>
        <v>0</v>
      </c>
      <c r="BG109" s="11" t="n">
        <f aca="false">SUM(E109:J109)</f>
        <v>0</v>
      </c>
      <c r="BH109" s="11" t="n">
        <f aca="false">SUM(K109:V109)</f>
        <v>0</v>
      </c>
      <c r="BI109" s="11" t="n">
        <f aca="false">SUM(W109:AH109)</f>
        <v>0</v>
      </c>
      <c r="BJ109" s="11" t="n">
        <f aca="false">SUM(AI109:AT109)</f>
        <v>0</v>
      </c>
      <c r="BK109" s="11" t="n">
        <f aca="false">SUM(AU109:BF109)</f>
        <v>0</v>
      </c>
      <c r="BL109" s="12" t="n">
        <f aca="false">SUM(E109:BF109)</f>
        <v>0</v>
      </c>
    </row>
    <row r="110" customFormat="false" ht="15" hidden="false" customHeight="false" outlineLevel="0" collapsed="false">
      <c r="A110" s="9"/>
      <c r="B110" s="10" t="str">
        <f aca="false">IF($A110="","",IFERROR(INDEX(tblAuftraege[Kostenstelle],MATCH($A110,tblAuftraege[Auftrag],0)),""))</f>
        <v/>
      </c>
      <c r="C110" s="10" t="str">
        <f aca="false">IF($A110="","",IFERROR(INDEX(tblAuftraege[Themenfeld],MATCH($A110,tblAuftraege[Auftrag],0)),""))</f>
        <v/>
      </c>
      <c r="D110" s="10" t="str">
        <f aca="false">IF($A110="","",IFERROR(INDEX(tblAuftraege[Kategorie],MATCH($A110,tblAuftraege[Auftrag],0)),""))</f>
        <v/>
      </c>
      <c r="E110" s="11" t="n">
        <f aca="false">IF($A110="",0,SUMIFS(tblAuftraege[Ausgaben],tblAuftraege[Datum Ausgaben],"&gt;="&amp;E$5,tblAuftraege[Datum Ausgaben],"&lt;"&amp;EDATE(E$5,1),tblAuftraege[Auftrag],$A110))</f>
        <v>0</v>
      </c>
      <c r="F110" s="11" t="n">
        <f aca="false">IF($A110="",0,SUMIFS(tblAuftraege[Ausgaben],tblAuftraege[Datum Ausgaben],"&gt;="&amp;F$5,tblAuftraege[Datum Ausgaben],"&lt;"&amp;EDATE(F$5,1),tblAuftraege[Auftrag],$A110))</f>
        <v>0</v>
      </c>
      <c r="G110" s="11" t="n">
        <f aca="false">IF($A110="",0,SUMIFS(tblAuftraege[Ausgaben],tblAuftraege[Datum Ausgaben],"&gt;="&amp;G$5,tblAuftraege[Datum Ausgaben],"&lt;"&amp;EDATE(G$5,1),tblAuftraege[Auftrag],$A110))</f>
        <v>0</v>
      </c>
      <c r="H110" s="11" t="n">
        <f aca="false">IF($A110="",0,SUMIFS(tblAuftraege[Ausgaben],tblAuftraege[Datum Ausgaben],"&gt;="&amp;H$5,tblAuftraege[Datum Ausgaben],"&lt;"&amp;EDATE(H$5,1),tblAuftraege[Auftrag],$A110))</f>
        <v>0</v>
      </c>
      <c r="I110" s="11" t="n">
        <f aca="false">IF($A110="",0,SUMIFS(tblAuftraege[Ausgaben],tblAuftraege[Datum Ausgaben],"&gt;="&amp;I$5,tblAuftraege[Datum Ausgaben],"&lt;"&amp;EDATE(I$5,1),tblAuftraege[Auftrag],$A110))</f>
        <v>0</v>
      </c>
      <c r="J110" s="11" t="n">
        <f aca="false">IF($A110="",0,SUMIFS(tblAuftraege[Ausgaben],tblAuftraege[Datum Ausgaben],"&gt;="&amp;J$5,tblAuftraege[Datum Ausgaben],"&lt;"&amp;EDATE(J$5,1),tblAuftraege[Auftrag],$A110))</f>
        <v>0</v>
      </c>
      <c r="K110" s="11" t="n">
        <f aca="false">IF($A110="",0,SUMIFS(tblAuftraege[Ausgaben],tblAuftraege[Datum Ausgaben],"&gt;="&amp;K$5,tblAuftraege[Datum Ausgaben],"&lt;"&amp;EDATE(K$5,1),tblAuftraege[Auftrag],$A110))</f>
        <v>0</v>
      </c>
      <c r="L110" s="11" t="n">
        <f aca="false">IF($A110="",0,SUMIFS(tblAuftraege[Ausgaben],tblAuftraege[Datum Ausgaben],"&gt;="&amp;L$5,tblAuftraege[Datum Ausgaben],"&lt;"&amp;EDATE(L$5,1),tblAuftraege[Auftrag],$A110))</f>
        <v>0</v>
      </c>
      <c r="M110" s="11" t="n">
        <f aca="false">IF($A110="",0,SUMIFS(tblAuftraege[Ausgaben],tblAuftraege[Datum Ausgaben],"&gt;="&amp;M$5,tblAuftraege[Datum Ausgaben],"&lt;"&amp;EDATE(M$5,1),tblAuftraege[Auftrag],$A110))</f>
        <v>0</v>
      </c>
      <c r="N110" s="11" t="n">
        <f aca="false">IF($A110="",0,SUMIFS(tblAuftraege[Ausgaben],tblAuftraege[Datum Ausgaben],"&gt;="&amp;N$5,tblAuftraege[Datum Ausgaben],"&lt;"&amp;EDATE(N$5,1),tblAuftraege[Auftrag],$A110))</f>
        <v>0</v>
      </c>
      <c r="O110" s="11" t="n">
        <f aca="false">IF($A110="",0,SUMIFS(tblAuftraege[Ausgaben],tblAuftraege[Datum Ausgaben],"&gt;="&amp;O$5,tblAuftraege[Datum Ausgaben],"&lt;"&amp;EDATE(O$5,1),tblAuftraege[Auftrag],$A110))</f>
        <v>0</v>
      </c>
      <c r="P110" s="11" t="n">
        <f aca="false">IF($A110="",0,SUMIFS(tblAuftraege[Ausgaben],tblAuftraege[Datum Ausgaben],"&gt;="&amp;P$5,tblAuftraege[Datum Ausgaben],"&lt;"&amp;EDATE(P$5,1),tblAuftraege[Auftrag],$A110))</f>
        <v>0</v>
      </c>
      <c r="Q110" s="11" t="n">
        <f aca="false">IF($A110="",0,SUMIFS(tblAuftraege[Ausgaben],tblAuftraege[Datum Ausgaben],"&gt;="&amp;Q$5,tblAuftraege[Datum Ausgaben],"&lt;"&amp;EDATE(Q$5,1),tblAuftraege[Auftrag],$A110))</f>
        <v>0</v>
      </c>
      <c r="R110" s="11" t="n">
        <f aca="false">IF($A110="",0,SUMIFS(tblAuftraege[Ausgaben],tblAuftraege[Datum Ausgaben],"&gt;="&amp;R$5,tblAuftraege[Datum Ausgaben],"&lt;"&amp;EDATE(R$5,1),tblAuftraege[Auftrag],$A110))</f>
        <v>0</v>
      </c>
      <c r="S110" s="11" t="n">
        <f aca="false">IF($A110="",0,SUMIFS(tblAuftraege[Ausgaben],tblAuftraege[Datum Ausgaben],"&gt;="&amp;S$5,tblAuftraege[Datum Ausgaben],"&lt;"&amp;EDATE(S$5,1),tblAuftraege[Auftrag],$A110))</f>
        <v>0</v>
      </c>
      <c r="T110" s="11" t="n">
        <f aca="false">IF($A110="",0,SUMIFS(tblAuftraege[Ausgaben],tblAuftraege[Datum Ausgaben],"&gt;="&amp;T$5,tblAuftraege[Datum Ausgaben],"&lt;"&amp;EDATE(T$5,1),tblAuftraege[Auftrag],$A110))</f>
        <v>0</v>
      </c>
      <c r="U110" s="11" t="n">
        <f aca="false">IF($A110="",0,SUMIFS(tblAuftraege[Ausgaben],tblAuftraege[Datum Ausgaben],"&gt;="&amp;U$5,tblAuftraege[Datum Ausgaben],"&lt;"&amp;EDATE(U$5,1),tblAuftraege[Auftrag],$A110))</f>
        <v>0</v>
      </c>
      <c r="V110" s="11" t="n">
        <f aca="false">IF($A110="",0,SUMIFS(tblAuftraege[Ausgaben],tblAuftraege[Datum Ausgaben],"&gt;="&amp;V$5,tblAuftraege[Datum Ausgaben],"&lt;"&amp;EDATE(V$5,1),tblAuftraege[Auftrag],$A110))</f>
        <v>0</v>
      </c>
      <c r="W110" s="11" t="n">
        <f aca="false">IF($A110="",0,SUMIFS(tblAuftraege[Ausgaben],tblAuftraege[Datum Ausgaben],"&gt;="&amp;W$5,tblAuftraege[Datum Ausgaben],"&lt;"&amp;EDATE(W$5,1),tblAuftraege[Auftrag],$A110))</f>
        <v>0</v>
      </c>
      <c r="X110" s="11" t="n">
        <f aca="false">IF($A110="",0,SUMIFS(tblAuftraege[Ausgaben],tblAuftraege[Datum Ausgaben],"&gt;="&amp;X$5,tblAuftraege[Datum Ausgaben],"&lt;"&amp;EDATE(X$5,1),tblAuftraege[Auftrag],$A110))</f>
        <v>0</v>
      </c>
      <c r="Y110" s="11" t="n">
        <f aca="false">IF($A110="",0,SUMIFS(tblAuftraege[Ausgaben],tblAuftraege[Datum Ausgaben],"&gt;="&amp;Y$5,tblAuftraege[Datum Ausgaben],"&lt;"&amp;EDATE(Y$5,1),tblAuftraege[Auftrag],$A110))</f>
        <v>0</v>
      </c>
      <c r="Z110" s="11" t="n">
        <f aca="false">IF($A110="",0,SUMIFS(tblAuftraege[Ausgaben],tblAuftraege[Datum Ausgaben],"&gt;="&amp;Z$5,tblAuftraege[Datum Ausgaben],"&lt;"&amp;EDATE(Z$5,1),tblAuftraege[Auftrag],$A110))</f>
        <v>0</v>
      </c>
      <c r="AA110" s="11" t="n">
        <f aca="false">IF($A110="",0,SUMIFS(tblAuftraege[Ausgaben],tblAuftraege[Datum Ausgaben],"&gt;="&amp;AA$5,tblAuftraege[Datum Ausgaben],"&lt;"&amp;EDATE(AA$5,1),tblAuftraege[Auftrag],$A110))</f>
        <v>0</v>
      </c>
      <c r="AB110" s="11" t="n">
        <f aca="false">IF($A110="",0,SUMIFS(tblAuftraege[Ausgaben],tblAuftraege[Datum Ausgaben],"&gt;="&amp;AB$5,tblAuftraege[Datum Ausgaben],"&lt;"&amp;EDATE(AB$5,1),tblAuftraege[Auftrag],$A110))</f>
        <v>0</v>
      </c>
      <c r="AC110" s="11" t="n">
        <f aca="false">IF($A110="",0,SUMIFS(tblAuftraege[Ausgaben],tblAuftraege[Datum Ausgaben],"&gt;="&amp;AC$5,tblAuftraege[Datum Ausgaben],"&lt;"&amp;EDATE(AC$5,1),tblAuftraege[Auftrag],$A110))</f>
        <v>0</v>
      </c>
      <c r="AD110" s="11" t="n">
        <f aca="false">IF($A110="",0,SUMIFS(tblAuftraege[Ausgaben],tblAuftraege[Datum Ausgaben],"&gt;="&amp;AD$5,tblAuftraege[Datum Ausgaben],"&lt;"&amp;EDATE(AD$5,1),tblAuftraege[Auftrag],$A110))</f>
        <v>0</v>
      </c>
      <c r="AE110" s="11" t="n">
        <f aca="false">IF($A110="",0,SUMIFS(tblAuftraege[Ausgaben],tblAuftraege[Datum Ausgaben],"&gt;="&amp;AE$5,tblAuftraege[Datum Ausgaben],"&lt;"&amp;EDATE(AE$5,1),tblAuftraege[Auftrag],$A110))</f>
        <v>0</v>
      </c>
      <c r="AF110" s="11" t="n">
        <f aca="false">IF($A110="",0,SUMIFS(tblAuftraege[Ausgaben],tblAuftraege[Datum Ausgaben],"&gt;="&amp;AF$5,tblAuftraege[Datum Ausgaben],"&lt;"&amp;EDATE(AF$5,1),tblAuftraege[Auftrag],$A110))</f>
        <v>0</v>
      </c>
      <c r="AG110" s="11" t="n">
        <f aca="false">IF($A110="",0,SUMIFS(tblAuftraege[Ausgaben],tblAuftraege[Datum Ausgaben],"&gt;="&amp;AG$5,tblAuftraege[Datum Ausgaben],"&lt;"&amp;EDATE(AG$5,1),tblAuftraege[Auftrag],$A110))</f>
        <v>0</v>
      </c>
      <c r="AH110" s="11" t="n">
        <f aca="false">IF($A110="",0,SUMIFS(tblAuftraege[Ausgaben],tblAuftraege[Datum Ausgaben],"&gt;="&amp;AH$5,tblAuftraege[Datum Ausgaben],"&lt;"&amp;EDATE(AH$5,1),tblAuftraege[Auftrag],$A110))</f>
        <v>0</v>
      </c>
      <c r="AI110" s="11" t="n">
        <f aca="false">IF($A110="",0,SUMIFS(tblAuftraege[Ausgaben],tblAuftraege[Datum Ausgaben],"&gt;="&amp;AI$5,tblAuftraege[Datum Ausgaben],"&lt;"&amp;EDATE(AI$5,1),tblAuftraege[Auftrag],$A110))</f>
        <v>0</v>
      </c>
      <c r="AJ110" s="11" t="n">
        <f aca="false">IF($A110="",0,SUMIFS(tblAuftraege[Ausgaben],tblAuftraege[Datum Ausgaben],"&gt;="&amp;AJ$5,tblAuftraege[Datum Ausgaben],"&lt;"&amp;EDATE(AJ$5,1),tblAuftraege[Auftrag],$A110))</f>
        <v>0</v>
      </c>
      <c r="AK110" s="11" t="n">
        <f aca="false">IF($A110="",0,SUMIFS(tblAuftraege[Ausgaben],tblAuftraege[Datum Ausgaben],"&gt;="&amp;AK$5,tblAuftraege[Datum Ausgaben],"&lt;"&amp;EDATE(AK$5,1),tblAuftraege[Auftrag],$A110))</f>
        <v>0</v>
      </c>
      <c r="AL110" s="11" t="n">
        <f aca="false">IF($A110="",0,SUMIFS(tblAuftraege[Ausgaben],tblAuftraege[Datum Ausgaben],"&gt;="&amp;AL$5,tblAuftraege[Datum Ausgaben],"&lt;"&amp;EDATE(AL$5,1),tblAuftraege[Auftrag],$A110))</f>
        <v>0</v>
      </c>
      <c r="AM110" s="11" t="n">
        <f aca="false">IF($A110="",0,SUMIFS(tblAuftraege[Ausgaben],tblAuftraege[Datum Ausgaben],"&gt;="&amp;AM$5,tblAuftraege[Datum Ausgaben],"&lt;"&amp;EDATE(AM$5,1),tblAuftraege[Auftrag],$A110))</f>
        <v>0</v>
      </c>
      <c r="AN110" s="11" t="n">
        <f aca="false">IF($A110="",0,SUMIFS(tblAuftraege[Ausgaben],tblAuftraege[Datum Ausgaben],"&gt;="&amp;AN$5,tblAuftraege[Datum Ausgaben],"&lt;"&amp;EDATE(AN$5,1),tblAuftraege[Auftrag],$A110))</f>
        <v>0</v>
      </c>
      <c r="AO110" s="11" t="n">
        <f aca="false">IF($A110="",0,SUMIFS(tblAuftraege[Ausgaben],tblAuftraege[Datum Ausgaben],"&gt;="&amp;AO$5,tblAuftraege[Datum Ausgaben],"&lt;"&amp;EDATE(AO$5,1),tblAuftraege[Auftrag],$A110))</f>
        <v>0</v>
      </c>
      <c r="AP110" s="11" t="n">
        <f aca="false">IF($A110="",0,SUMIFS(tblAuftraege[Ausgaben],tblAuftraege[Datum Ausgaben],"&gt;="&amp;AP$5,tblAuftraege[Datum Ausgaben],"&lt;"&amp;EDATE(AP$5,1),tblAuftraege[Auftrag],$A110))</f>
        <v>0</v>
      </c>
      <c r="AQ110" s="11" t="n">
        <f aca="false">IF($A110="",0,SUMIFS(tblAuftraege[Ausgaben],tblAuftraege[Datum Ausgaben],"&gt;="&amp;AQ$5,tblAuftraege[Datum Ausgaben],"&lt;"&amp;EDATE(AQ$5,1),tblAuftraege[Auftrag],$A110))</f>
        <v>0</v>
      </c>
      <c r="AR110" s="11" t="n">
        <f aca="false">IF($A110="",0,SUMIFS(tblAuftraege[Ausgaben],tblAuftraege[Datum Ausgaben],"&gt;="&amp;AR$5,tblAuftraege[Datum Ausgaben],"&lt;"&amp;EDATE(AR$5,1),tblAuftraege[Auftrag],$A110))</f>
        <v>0</v>
      </c>
      <c r="AS110" s="11" t="n">
        <f aca="false">IF($A110="",0,SUMIFS(tblAuftraege[Ausgaben],tblAuftraege[Datum Ausgaben],"&gt;="&amp;AS$5,tblAuftraege[Datum Ausgaben],"&lt;"&amp;EDATE(AS$5,1),tblAuftraege[Auftrag],$A110))</f>
        <v>0</v>
      </c>
      <c r="AT110" s="11" t="n">
        <f aca="false">IF($A110="",0,SUMIFS(tblAuftraege[Ausgaben],tblAuftraege[Datum Ausgaben],"&gt;="&amp;AT$5,tblAuftraege[Datum Ausgaben],"&lt;"&amp;EDATE(AT$5,1),tblAuftraege[Auftrag],$A110))</f>
        <v>0</v>
      </c>
      <c r="AU110" s="11" t="n">
        <f aca="false">IF($A110="",0,SUMIFS(tblAuftraege[Ausgaben],tblAuftraege[Datum Ausgaben],"&gt;="&amp;AU$5,tblAuftraege[Datum Ausgaben],"&lt;"&amp;EDATE(AU$5,1),tblAuftraege[Auftrag],$A110))</f>
        <v>0</v>
      </c>
      <c r="AV110" s="11" t="n">
        <f aca="false">IF($A110="",0,SUMIFS(tblAuftraege[Ausgaben],tblAuftraege[Datum Ausgaben],"&gt;="&amp;AV$5,tblAuftraege[Datum Ausgaben],"&lt;"&amp;EDATE(AV$5,1),tblAuftraege[Auftrag],$A110))</f>
        <v>0</v>
      </c>
      <c r="AW110" s="11" t="n">
        <f aca="false">IF($A110="",0,SUMIFS(tblAuftraege[Ausgaben],tblAuftraege[Datum Ausgaben],"&gt;="&amp;AW$5,tblAuftraege[Datum Ausgaben],"&lt;"&amp;EDATE(AW$5,1),tblAuftraege[Auftrag],$A110))</f>
        <v>0</v>
      </c>
      <c r="AX110" s="11" t="n">
        <f aca="false">IF($A110="",0,SUMIFS(tblAuftraege[Ausgaben],tblAuftraege[Datum Ausgaben],"&gt;="&amp;AX$5,tblAuftraege[Datum Ausgaben],"&lt;"&amp;EDATE(AX$5,1),tblAuftraege[Auftrag],$A110))</f>
        <v>0</v>
      </c>
      <c r="AY110" s="11" t="n">
        <f aca="false">IF($A110="",0,SUMIFS(tblAuftraege[Ausgaben],tblAuftraege[Datum Ausgaben],"&gt;="&amp;AY$5,tblAuftraege[Datum Ausgaben],"&lt;"&amp;EDATE(AY$5,1),tblAuftraege[Auftrag],$A110))</f>
        <v>0</v>
      </c>
      <c r="AZ110" s="11" t="n">
        <f aca="false">IF($A110="",0,SUMIFS(tblAuftraege[Ausgaben],tblAuftraege[Datum Ausgaben],"&gt;="&amp;AZ$5,tblAuftraege[Datum Ausgaben],"&lt;"&amp;EDATE(AZ$5,1),tblAuftraege[Auftrag],$A110))</f>
        <v>0</v>
      </c>
      <c r="BA110" s="11" t="n">
        <f aca="false">IF($A110="",0,SUMIFS(tblAuftraege[Ausgaben],tblAuftraege[Datum Ausgaben],"&gt;="&amp;BA$5,tblAuftraege[Datum Ausgaben],"&lt;"&amp;EDATE(BA$5,1),tblAuftraege[Auftrag],$A110))</f>
        <v>0</v>
      </c>
      <c r="BB110" s="11" t="n">
        <f aca="false">IF($A110="",0,SUMIFS(tblAuftraege[Ausgaben],tblAuftraege[Datum Ausgaben],"&gt;="&amp;BB$5,tblAuftraege[Datum Ausgaben],"&lt;"&amp;EDATE(BB$5,1),tblAuftraege[Auftrag],$A110))</f>
        <v>0</v>
      </c>
      <c r="BC110" s="11" t="n">
        <f aca="false">IF($A110="",0,SUMIFS(tblAuftraege[Ausgaben],tblAuftraege[Datum Ausgaben],"&gt;="&amp;BC$5,tblAuftraege[Datum Ausgaben],"&lt;"&amp;EDATE(BC$5,1),tblAuftraege[Auftrag],$A110))</f>
        <v>0</v>
      </c>
      <c r="BD110" s="11" t="n">
        <f aca="false">IF($A110="",0,SUMIFS(tblAuftraege[Ausgaben],tblAuftraege[Datum Ausgaben],"&gt;="&amp;BD$5,tblAuftraege[Datum Ausgaben],"&lt;"&amp;EDATE(BD$5,1),tblAuftraege[Auftrag],$A110))</f>
        <v>0</v>
      </c>
      <c r="BE110" s="11" t="n">
        <f aca="false">IF($A110="",0,SUMIFS(tblAuftraege[Ausgaben],tblAuftraege[Datum Ausgaben],"&gt;="&amp;BE$5,tblAuftraege[Datum Ausgaben],"&lt;"&amp;EDATE(BE$5,1),tblAuftraege[Auftrag],$A110))</f>
        <v>0</v>
      </c>
      <c r="BF110" s="11" t="n">
        <f aca="false">IF($A110="",0,SUMIFS(tblAuftraege[Ausgaben],tblAuftraege[Datum Ausgaben],"&gt;="&amp;BF$5,tblAuftraege[Datum Ausgaben],"&lt;"&amp;EDATE(BF$5,1),tblAuftraege[Auftrag],$A110))</f>
        <v>0</v>
      </c>
      <c r="BG110" s="11" t="n">
        <f aca="false">SUM(E110:J110)</f>
        <v>0</v>
      </c>
      <c r="BH110" s="11" t="n">
        <f aca="false">SUM(K110:V110)</f>
        <v>0</v>
      </c>
      <c r="BI110" s="11" t="n">
        <f aca="false">SUM(W110:AH110)</f>
        <v>0</v>
      </c>
      <c r="BJ110" s="11" t="n">
        <f aca="false">SUM(AI110:AT110)</f>
        <v>0</v>
      </c>
      <c r="BK110" s="11" t="n">
        <f aca="false">SUM(AU110:BF110)</f>
        <v>0</v>
      </c>
      <c r="BL110" s="12" t="n">
        <f aca="false">SUM(E110:BF110)</f>
        <v>0</v>
      </c>
    </row>
    <row r="111" customFormat="false" ht="15" hidden="false" customHeight="false" outlineLevel="0" collapsed="false">
      <c r="A111" s="9"/>
      <c r="B111" s="10" t="str">
        <f aca="false">IF($A111="","",IFERROR(INDEX(tblAuftraege[Kostenstelle],MATCH($A111,tblAuftraege[Auftrag],0)),""))</f>
        <v/>
      </c>
      <c r="C111" s="10" t="str">
        <f aca="false">IF($A111="","",IFERROR(INDEX(tblAuftraege[Themenfeld],MATCH($A111,tblAuftraege[Auftrag],0)),""))</f>
        <v/>
      </c>
      <c r="D111" s="10" t="str">
        <f aca="false">IF($A111="","",IFERROR(INDEX(tblAuftraege[Kategorie],MATCH($A111,tblAuftraege[Auftrag],0)),""))</f>
        <v/>
      </c>
      <c r="E111" s="11" t="n">
        <f aca="false">IF($A111="",0,SUMIFS(tblAuftraege[Ausgaben],tblAuftraege[Datum Ausgaben],"&gt;="&amp;E$5,tblAuftraege[Datum Ausgaben],"&lt;"&amp;EDATE(E$5,1),tblAuftraege[Auftrag],$A111))</f>
        <v>0</v>
      </c>
      <c r="F111" s="11" t="n">
        <f aca="false">IF($A111="",0,SUMIFS(tblAuftraege[Ausgaben],tblAuftraege[Datum Ausgaben],"&gt;="&amp;F$5,tblAuftraege[Datum Ausgaben],"&lt;"&amp;EDATE(F$5,1),tblAuftraege[Auftrag],$A111))</f>
        <v>0</v>
      </c>
      <c r="G111" s="11" t="n">
        <f aca="false">IF($A111="",0,SUMIFS(tblAuftraege[Ausgaben],tblAuftraege[Datum Ausgaben],"&gt;="&amp;G$5,tblAuftraege[Datum Ausgaben],"&lt;"&amp;EDATE(G$5,1),tblAuftraege[Auftrag],$A111))</f>
        <v>0</v>
      </c>
      <c r="H111" s="11" t="n">
        <f aca="false">IF($A111="",0,SUMIFS(tblAuftraege[Ausgaben],tblAuftraege[Datum Ausgaben],"&gt;="&amp;H$5,tblAuftraege[Datum Ausgaben],"&lt;"&amp;EDATE(H$5,1),tblAuftraege[Auftrag],$A111))</f>
        <v>0</v>
      </c>
      <c r="I111" s="11" t="n">
        <f aca="false">IF($A111="",0,SUMIFS(tblAuftraege[Ausgaben],tblAuftraege[Datum Ausgaben],"&gt;="&amp;I$5,tblAuftraege[Datum Ausgaben],"&lt;"&amp;EDATE(I$5,1),tblAuftraege[Auftrag],$A111))</f>
        <v>0</v>
      </c>
      <c r="J111" s="11" t="n">
        <f aca="false">IF($A111="",0,SUMIFS(tblAuftraege[Ausgaben],tblAuftraege[Datum Ausgaben],"&gt;="&amp;J$5,tblAuftraege[Datum Ausgaben],"&lt;"&amp;EDATE(J$5,1),tblAuftraege[Auftrag],$A111))</f>
        <v>0</v>
      </c>
      <c r="K111" s="11" t="n">
        <f aca="false">IF($A111="",0,SUMIFS(tblAuftraege[Ausgaben],tblAuftraege[Datum Ausgaben],"&gt;="&amp;K$5,tblAuftraege[Datum Ausgaben],"&lt;"&amp;EDATE(K$5,1),tblAuftraege[Auftrag],$A111))</f>
        <v>0</v>
      </c>
      <c r="L111" s="11" t="n">
        <f aca="false">IF($A111="",0,SUMIFS(tblAuftraege[Ausgaben],tblAuftraege[Datum Ausgaben],"&gt;="&amp;L$5,tblAuftraege[Datum Ausgaben],"&lt;"&amp;EDATE(L$5,1),tblAuftraege[Auftrag],$A111))</f>
        <v>0</v>
      </c>
      <c r="M111" s="11" t="n">
        <f aca="false">IF($A111="",0,SUMIFS(tblAuftraege[Ausgaben],tblAuftraege[Datum Ausgaben],"&gt;="&amp;M$5,tblAuftraege[Datum Ausgaben],"&lt;"&amp;EDATE(M$5,1),tblAuftraege[Auftrag],$A111))</f>
        <v>0</v>
      </c>
      <c r="N111" s="11" t="n">
        <f aca="false">IF($A111="",0,SUMIFS(tblAuftraege[Ausgaben],tblAuftraege[Datum Ausgaben],"&gt;="&amp;N$5,tblAuftraege[Datum Ausgaben],"&lt;"&amp;EDATE(N$5,1),tblAuftraege[Auftrag],$A111))</f>
        <v>0</v>
      </c>
      <c r="O111" s="11" t="n">
        <f aca="false">IF($A111="",0,SUMIFS(tblAuftraege[Ausgaben],tblAuftraege[Datum Ausgaben],"&gt;="&amp;O$5,tblAuftraege[Datum Ausgaben],"&lt;"&amp;EDATE(O$5,1),tblAuftraege[Auftrag],$A111))</f>
        <v>0</v>
      </c>
      <c r="P111" s="11" t="n">
        <f aca="false">IF($A111="",0,SUMIFS(tblAuftraege[Ausgaben],tblAuftraege[Datum Ausgaben],"&gt;="&amp;P$5,tblAuftraege[Datum Ausgaben],"&lt;"&amp;EDATE(P$5,1),tblAuftraege[Auftrag],$A111))</f>
        <v>0</v>
      </c>
      <c r="Q111" s="11" t="n">
        <f aca="false">IF($A111="",0,SUMIFS(tblAuftraege[Ausgaben],tblAuftraege[Datum Ausgaben],"&gt;="&amp;Q$5,tblAuftraege[Datum Ausgaben],"&lt;"&amp;EDATE(Q$5,1),tblAuftraege[Auftrag],$A111))</f>
        <v>0</v>
      </c>
      <c r="R111" s="11" t="n">
        <f aca="false">IF($A111="",0,SUMIFS(tblAuftraege[Ausgaben],tblAuftraege[Datum Ausgaben],"&gt;="&amp;R$5,tblAuftraege[Datum Ausgaben],"&lt;"&amp;EDATE(R$5,1),tblAuftraege[Auftrag],$A111))</f>
        <v>0</v>
      </c>
      <c r="S111" s="11" t="n">
        <f aca="false">IF($A111="",0,SUMIFS(tblAuftraege[Ausgaben],tblAuftraege[Datum Ausgaben],"&gt;="&amp;S$5,tblAuftraege[Datum Ausgaben],"&lt;"&amp;EDATE(S$5,1),tblAuftraege[Auftrag],$A111))</f>
        <v>0</v>
      </c>
      <c r="T111" s="11" t="n">
        <f aca="false">IF($A111="",0,SUMIFS(tblAuftraege[Ausgaben],tblAuftraege[Datum Ausgaben],"&gt;="&amp;T$5,tblAuftraege[Datum Ausgaben],"&lt;"&amp;EDATE(T$5,1),tblAuftraege[Auftrag],$A111))</f>
        <v>0</v>
      </c>
      <c r="U111" s="11" t="n">
        <f aca="false">IF($A111="",0,SUMIFS(tblAuftraege[Ausgaben],tblAuftraege[Datum Ausgaben],"&gt;="&amp;U$5,tblAuftraege[Datum Ausgaben],"&lt;"&amp;EDATE(U$5,1),tblAuftraege[Auftrag],$A111))</f>
        <v>0</v>
      </c>
      <c r="V111" s="11" t="n">
        <f aca="false">IF($A111="",0,SUMIFS(tblAuftraege[Ausgaben],tblAuftraege[Datum Ausgaben],"&gt;="&amp;V$5,tblAuftraege[Datum Ausgaben],"&lt;"&amp;EDATE(V$5,1),tblAuftraege[Auftrag],$A111))</f>
        <v>0</v>
      </c>
      <c r="W111" s="11" t="n">
        <f aca="false">IF($A111="",0,SUMIFS(tblAuftraege[Ausgaben],tblAuftraege[Datum Ausgaben],"&gt;="&amp;W$5,tblAuftraege[Datum Ausgaben],"&lt;"&amp;EDATE(W$5,1),tblAuftraege[Auftrag],$A111))</f>
        <v>0</v>
      </c>
      <c r="X111" s="11" t="n">
        <f aca="false">IF($A111="",0,SUMIFS(tblAuftraege[Ausgaben],tblAuftraege[Datum Ausgaben],"&gt;="&amp;X$5,tblAuftraege[Datum Ausgaben],"&lt;"&amp;EDATE(X$5,1),tblAuftraege[Auftrag],$A111))</f>
        <v>0</v>
      </c>
      <c r="Y111" s="11" t="n">
        <f aca="false">IF($A111="",0,SUMIFS(tblAuftraege[Ausgaben],tblAuftraege[Datum Ausgaben],"&gt;="&amp;Y$5,tblAuftraege[Datum Ausgaben],"&lt;"&amp;EDATE(Y$5,1),tblAuftraege[Auftrag],$A111))</f>
        <v>0</v>
      </c>
      <c r="Z111" s="11" t="n">
        <f aca="false">IF($A111="",0,SUMIFS(tblAuftraege[Ausgaben],tblAuftraege[Datum Ausgaben],"&gt;="&amp;Z$5,tblAuftraege[Datum Ausgaben],"&lt;"&amp;EDATE(Z$5,1),tblAuftraege[Auftrag],$A111))</f>
        <v>0</v>
      </c>
      <c r="AA111" s="11" t="n">
        <f aca="false">IF($A111="",0,SUMIFS(tblAuftraege[Ausgaben],tblAuftraege[Datum Ausgaben],"&gt;="&amp;AA$5,tblAuftraege[Datum Ausgaben],"&lt;"&amp;EDATE(AA$5,1),tblAuftraege[Auftrag],$A111))</f>
        <v>0</v>
      </c>
      <c r="AB111" s="11" t="n">
        <f aca="false">IF($A111="",0,SUMIFS(tblAuftraege[Ausgaben],tblAuftraege[Datum Ausgaben],"&gt;="&amp;AB$5,tblAuftraege[Datum Ausgaben],"&lt;"&amp;EDATE(AB$5,1),tblAuftraege[Auftrag],$A111))</f>
        <v>0</v>
      </c>
      <c r="AC111" s="11" t="n">
        <f aca="false">IF($A111="",0,SUMIFS(tblAuftraege[Ausgaben],tblAuftraege[Datum Ausgaben],"&gt;="&amp;AC$5,tblAuftraege[Datum Ausgaben],"&lt;"&amp;EDATE(AC$5,1),tblAuftraege[Auftrag],$A111))</f>
        <v>0</v>
      </c>
      <c r="AD111" s="11" t="n">
        <f aca="false">IF($A111="",0,SUMIFS(tblAuftraege[Ausgaben],tblAuftraege[Datum Ausgaben],"&gt;="&amp;AD$5,tblAuftraege[Datum Ausgaben],"&lt;"&amp;EDATE(AD$5,1),tblAuftraege[Auftrag],$A111))</f>
        <v>0</v>
      </c>
      <c r="AE111" s="11" t="n">
        <f aca="false">IF($A111="",0,SUMIFS(tblAuftraege[Ausgaben],tblAuftraege[Datum Ausgaben],"&gt;="&amp;AE$5,tblAuftraege[Datum Ausgaben],"&lt;"&amp;EDATE(AE$5,1),tblAuftraege[Auftrag],$A111))</f>
        <v>0</v>
      </c>
      <c r="AF111" s="11" t="n">
        <f aca="false">IF($A111="",0,SUMIFS(tblAuftraege[Ausgaben],tblAuftraege[Datum Ausgaben],"&gt;="&amp;AF$5,tblAuftraege[Datum Ausgaben],"&lt;"&amp;EDATE(AF$5,1),tblAuftraege[Auftrag],$A111))</f>
        <v>0</v>
      </c>
      <c r="AG111" s="11" t="n">
        <f aca="false">IF($A111="",0,SUMIFS(tblAuftraege[Ausgaben],tblAuftraege[Datum Ausgaben],"&gt;="&amp;AG$5,tblAuftraege[Datum Ausgaben],"&lt;"&amp;EDATE(AG$5,1),tblAuftraege[Auftrag],$A111))</f>
        <v>0</v>
      </c>
      <c r="AH111" s="11" t="n">
        <f aca="false">IF($A111="",0,SUMIFS(tblAuftraege[Ausgaben],tblAuftraege[Datum Ausgaben],"&gt;="&amp;AH$5,tblAuftraege[Datum Ausgaben],"&lt;"&amp;EDATE(AH$5,1),tblAuftraege[Auftrag],$A111))</f>
        <v>0</v>
      </c>
      <c r="AI111" s="11" t="n">
        <f aca="false">IF($A111="",0,SUMIFS(tblAuftraege[Ausgaben],tblAuftraege[Datum Ausgaben],"&gt;="&amp;AI$5,tblAuftraege[Datum Ausgaben],"&lt;"&amp;EDATE(AI$5,1),tblAuftraege[Auftrag],$A111))</f>
        <v>0</v>
      </c>
      <c r="AJ111" s="11" t="n">
        <f aca="false">IF($A111="",0,SUMIFS(tblAuftraege[Ausgaben],tblAuftraege[Datum Ausgaben],"&gt;="&amp;AJ$5,tblAuftraege[Datum Ausgaben],"&lt;"&amp;EDATE(AJ$5,1),tblAuftraege[Auftrag],$A111))</f>
        <v>0</v>
      </c>
      <c r="AK111" s="11" t="n">
        <f aca="false">IF($A111="",0,SUMIFS(tblAuftraege[Ausgaben],tblAuftraege[Datum Ausgaben],"&gt;="&amp;AK$5,tblAuftraege[Datum Ausgaben],"&lt;"&amp;EDATE(AK$5,1),tblAuftraege[Auftrag],$A111))</f>
        <v>0</v>
      </c>
      <c r="AL111" s="11" t="n">
        <f aca="false">IF($A111="",0,SUMIFS(tblAuftraege[Ausgaben],tblAuftraege[Datum Ausgaben],"&gt;="&amp;AL$5,tblAuftraege[Datum Ausgaben],"&lt;"&amp;EDATE(AL$5,1),tblAuftraege[Auftrag],$A111))</f>
        <v>0</v>
      </c>
      <c r="AM111" s="11" t="n">
        <f aca="false">IF($A111="",0,SUMIFS(tblAuftraege[Ausgaben],tblAuftraege[Datum Ausgaben],"&gt;="&amp;AM$5,tblAuftraege[Datum Ausgaben],"&lt;"&amp;EDATE(AM$5,1),tblAuftraege[Auftrag],$A111))</f>
        <v>0</v>
      </c>
      <c r="AN111" s="11" t="n">
        <f aca="false">IF($A111="",0,SUMIFS(tblAuftraege[Ausgaben],tblAuftraege[Datum Ausgaben],"&gt;="&amp;AN$5,tblAuftraege[Datum Ausgaben],"&lt;"&amp;EDATE(AN$5,1),tblAuftraege[Auftrag],$A111))</f>
        <v>0</v>
      </c>
      <c r="AO111" s="11" t="n">
        <f aca="false">IF($A111="",0,SUMIFS(tblAuftraege[Ausgaben],tblAuftraege[Datum Ausgaben],"&gt;="&amp;AO$5,tblAuftraege[Datum Ausgaben],"&lt;"&amp;EDATE(AO$5,1),tblAuftraege[Auftrag],$A111))</f>
        <v>0</v>
      </c>
      <c r="AP111" s="11" t="n">
        <f aca="false">IF($A111="",0,SUMIFS(tblAuftraege[Ausgaben],tblAuftraege[Datum Ausgaben],"&gt;="&amp;AP$5,tblAuftraege[Datum Ausgaben],"&lt;"&amp;EDATE(AP$5,1),tblAuftraege[Auftrag],$A111))</f>
        <v>0</v>
      </c>
      <c r="AQ111" s="11" t="n">
        <f aca="false">IF($A111="",0,SUMIFS(tblAuftraege[Ausgaben],tblAuftraege[Datum Ausgaben],"&gt;="&amp;AQ$5,tblAuftraege[Datum Ausgaben],"&lt;"&amp;EDATE(AQ$5,1),tblAuftraege[Auftrag],$A111))</f>
        <v>0</v>
      </c>
      <c r="AR111" s="11" t="n">
        <f aca="false">IF($A111="",0,SUMIFS(tblAuftraege[Ausgaben],tblAuftraege[Datum Ausgaben],"&gt;="&amp;AR$5,tblAuftraege[Datum Ausgaben],"&lt;"&amp;EDATE(AR$5,1),tblAuftraege[Auftrag],$A111))</f>
        <v>0</v>
      </c>
      <c r="AS111" s="11" t="n">
        <f aca="false">IF($A111="",0,SUMIFS(tblAuftraege[Ausgaben],tblAuftraege[Datum Ausgaben],"&gt;="&amp;AS$5,tblAuftraege[Datum Ausgaben],"&lt;"&amp;EDATE(AS$5,1),tblAuftraege[Auftrag],$A111))</f>
        <v>0</v>
      </c>
      <c r="AT111" s="11" t="n">
        <f aca="false">IF($A111="",0,SUMIFS(tblAuftraege[Ausgaben],tblAuftraege[Datum Ausgaben],"&gt;="&amp;AT$5,tblAuftraege[Datum Ausgaben],"&lt;"&amp;EDATE(AT$5,1),tblAuftraege[Auftrag],$A111))</f>
        <v>0</v>
      </c>
      <c r="AU111" s="11" t="n">
        <f aca="false">IF($A111="",0,SUMIFS(tblAuftraege[Ausgaben],tblAuftraege[Datum Ausgaben],"&gt;="&amp;AU$5,tblAuftraege[Datum Ausgaben],"&lt;"&amp;EDATE(AU$5,1),tblAuftraege[Auftrag],$A111))</f>
        <v>0</v>
      </c>
      <c r="AV111" s="11" t="n">
        <f aca="false">IF($A111="",0,SUMIFS(tblAuftraege[Ausgaben],tblAuftraege[Datum Ausgaben],"&gt;="&amp;AV$5,tblAuftraege[Datum Ausgaben],"&lt;"&amp;EDATE(AV$5,1),tblAuftraege[Auftrag],$A111))</f>
        <v>0</v>
      </c>
      <c r="AW111" s="11" t="n">
        <f aca="false">IF($A111="",0,SUMIFS(tblAuftraege[Ausgaben],tblAuftraege[Datum Ausgaben],"&gt;="&amp;AW$5,tblAuftraege[Datum Ausgaben],"&lt;"&amp;EDATE(AW$5,1),tblAuftraege[Auftrag],$A111))</f>
        <v>0</v>
      </c>
      <c r="AX111" s="11" t="n">
        <f aca="false">IF($A111="",0,SUMIFS(tblAuftraege[Ausgaben],tblAuftraege[Datum Ausgaben],"&gt;="&amp;AX$5,tblAuftraege[Datum Ausgaben],"&lt;"&amp;EDATE(AX$5,1),tblAuftraege[Auftrag],$A111))</f>
        <v>0</v>
      </c>
      <c r="AY111" s="11" t="n">
        <f aca="false">IF($A111="",0,SUMIFS(tblAuftraege[Ausgaben],tblAuftraege[Datum Ausgaben],"&gt;="&amp;AY$5,tblAuftraege[Datum Ausgaben],"&lt;"&amp;EDATE(AY$5,1),tblAuftraege[Auftrag],$A111))</f>
        <v>0</v>
      </c>
      <c r="AZ111" s="11" t="n">
        <f aca="false">IF($A111="",0,SUMIFS(tblAuftraege[Ausgaben],tblAuftraege[Datum Ausgaben],"&gt;="&amp;AZ$5,tblAuftraege[Datum Ausgaben],"&lt;"&amp;EDATE(AZ$5,1),tblAuftraege[Auftrag],$A111))</f>
        <v>0</v>
      </c>
      <c r="BA111" s="11" t="n">
        <f aca="false">IF($A111="",0,SUMIFS(tblAuftraege[Ausgaben],tblAuftraege[Datum Ausgaben],"&gt;="&amp;BA$5,tblAuftraege[Datum Ausgaben],"&lt;"&amp;EDATE(BA$5,1),tblAuftraege[Auftrag],$A111))</f>
        <v>0</v>
      </c>
      <c r="BB111" s="11" t="n">
        <f aca="false">IF($A111="",0,SUMIFS(tblAuftraege[Ausgaben],tblAuftraege[Datum Ausgaben],"&gt;="&amp;BB$5,tblAuftraege[Datum Ausgaben],"&lt;"&amp;EDATE(BB$5,1),tblAuftraege[Auftrag],$A111))</f>
        <v>0</v>
      </c>
      <c r="BC111" s="11" t="n">
        <f aca="false">IF($A111="",0,SUMIFS(tblAuftraege[Ausgaben],tblAuftraege[Datum Ausgaben],"&gt;="&amp;BC$5,tblAuftraege[Datum Ausgaben],"&lt;"&amp;EDATE(BC$5,1),tblAuftraege[Auftrag],$A111))</f>
        <v>0</v>
      </c>
      <c r="BD111" s="11" t="n">
        <f aca="false">IF($A111="",0,SUMIFS(tblAuftraege[Ausgaben],tblAuftraege[Datum Ausgaben],"&gt;="&amp;BD$5,tblAuftraege[Datum Ausgaben],"&lt;"&amp;EDATE(BD$5,1),tblAuftraege[Auftrag],$A111))</f>
        <v>0</v>
      </c>
      <c r="BE111" s="11" t="n">
        <f aca="false">IF($A111="",0,SUMIFS(tblAuftraege[Ausgaben],tblAuftraege[Datum Ausgaben],"&gt;="&amp;BE$5,tblAuftraege[Datum Ausgaben],"&lt;"&amp;EDATE(BE$5,1),tblAuftraege[Auftrag],$A111))</f>
        <v>0</v>
      </c>
      <c r="BF111" s="11" t="n">
        <f aca="false">IF($A111="",0,SUMIFS(tblAuftraege[Ausgaben],tblAuftraege[Datum Ausgaben],"&gt;="&amp;BF$5,tblAuftraege[Datum Ausgaben],"&lt;"&amp;EDATE(BF$5,1),tblAuftraege[Auftrag],$A111))</f>
        <v>0</v>
      </c>
      <c r="BG111" s="11" t="n">
        <f aca="false">SUM(E111:J111)</f>
        <v>0</v>
      </c>
      <c r="BH111" s="11" t="n">
        <f aca="false">SUM(K111:V111)</f>
        <v>0</v>
      </c>
      <c r="BI111" s="11" t="n">
        <f aca="false">SUM(W111:AH111)</f>
        <v>0</v>
      </c>
      <c r="BJ111" s="11" t="n">
        <f aca="false">SUM(AI111:AT111)</f>
        <v>0</v>
      </c>
      <c r="BK111" s="11" t="n">
        <f aca="false">SUM(AU111:BF111)</f>
        <v>0</v>
      </c>
      <c r="BL111" s="12" t="n">
        <f aca="false">SUM(E111:BF111)</f>
        <v>0</v>
      </c>
    </row>
    <row r="112" customFormat="false" ht="15" hidden="false" customHeight="false" outlineLevel="0" collapsed="false">
      <c r="A112" s="13" t="s">
        <v>69</v>
      </c>
      <c r="B112" s="14" t="s">
        <v>70</v>
      </c>
      <c r="C112" s="15"/>
      <c r="D112" s="15"/>
      <c r="E112" s="11" t="n">
        <f aca="false">E113-SUM(E62:E111)</f>
        <v>0</v>
      </c>
      <c r="F112" s="11" t="n">
        <f aca="false">F113-SUM(F62:F111)</f>
        <v>0</v>
      </c>
      <c r="G112" s="11" t="n">
        <f aca="false">G113-SUM(G62:G111)</f>
        <v>0</v>
      </c>
      <c r="H112" s="11" t="n">
        <f aca="false">H113-SUM(H62:H111)</f>
        <v>0</v>
      </c>
      <c r="I112" s="11" t="n">
        <f aca="false">I113-SUM(I62:I111)</f>
        <v>0</v>
      </c>
      <c r="J112" s="11" t="n">
        <f aca="false">J113-SUM(J62:J111)</f>
        <v>0</v>
      </c>
      <c r="K112" s="11" t="n">
        <f aca="false">K113-SUM(K62:K111)</f>
        <v>0</v>
      </c>
      <c r="L112" s="11" t="n">
        <f aca="false">L113-SUM(L62:L111)</f>
        <v>0</v>
      </c>
      <c r="M112" s="11" t="n">
        <f aca="false">M113-SUM(M62:M111)</f>
        <v>0</v>
      </c>
      <c r="N112" s="11" t="n">
        <f aca="false">N113-SUM(N62:N111)</f>
        <v>0</v>
      </c>
      <c r="O112" s="11" t="n">
        <f aca="false">O113-SUM(O62:O111)</f>
        <v>0</v>
      </c>
      <c r="P112" s="11" t="n">
        <f aca="false">P113-SUM(P62:P111)</f>
        <v>0</v>
      </c>
      <c r="Q112" s="11" t="n">
        <f aca="false">Q113-SUM(Q62:Q111)</f>
        <v>0</v>
      </c>
      <c r="R112" s="11" t="n">
        <f aca="false">R113-SUM(R62:R111)</f>
        <v>0</v>
      </c>
      <c r="S112" s="11" t="n">
        <f aca="false">S113-SUM(S62:S111)</f>
        <v>0</v>
      </c>
      <c r="T112" s="11" t="n">
        <f aca="false">T113-SUM(T62:T111)</f>
        <v>0</v>
      </c>
      <c r="U112" s="11" t="n">
        <f aca="false">U113-SUM(U62:U111)</f>
        <v>0</v>
      </c>
      <c r="V112" s="11" t="n">
        <f aca="false">V113-SUM(V62:V111)</f>
        <v>0</v>
      </c>
      <c r="W112" s="11" t="n">
        <f aca="false">W113-SUM(W62:W111)</f>
        <v>0</v>
      </c>
      <c r="X112" s="11" t="n">
        <f aca="false">X113-SUM(X62:X111)</f>
        <v>0</v>
      </c>
      <c r="Y112" s="11" t="n">
        <f aca="false">Y113-SUM(Y62:Y111)</f>
        <v>0</v>
      </c>
      <c r="Z112" s="11" t="n">
        <f aca="false">Z113-SUM(Z62:Z111)</f>
        <v>0</v>
      </c>
      <c r="AA112" s="11" t="n">
        <f aca="false">AA113-SUM(AA62:AA111)</f>
        <v>0</v>
      </c>
      <c r="AB112" s="11" t="n">
        <f aca="false">AB113-SUM(AB62:AB111)</f>
        <v>0</v>
      </c>
      <c r="AC112" s="11" t="n">
        <f aca="false">AC113-SUM(AC62:AC111)</f>
        <v>0</v>
      </c>
      <c r="AD112" s="11" t="n">
        <f aca="false">AD113-SUM(AD62:AD111)</f>
        <v>0</v>
      </c>
      <c r="AE112" s="11" t="n">
        <f aca="false">AE113-SUM(AE62:AE111)</f>
        <v>0</v>
      </c>
      <c r="AF112" s="11" t="n">
        <f aca="false">AF113-SUM(AF62:AF111)</f>
        <v>0</v>
      </c>
      <c r="AG112" s="11" t="n">
        <f aca="false">AG113-SUM(AG62:AG111)</f>
        <v>0</v>
      </c>
      <c r="AH112" s="11" t="n">
        <f aca="false">AH113-SUM(AH62:AH111)</f>
        <v>0</v>
      </c>
      <c r="AI112" s="11" t="n">
        <f aca="false">AI113-SUM(AI62:AI111)</f>
        <v>0</v>
      </c>
      <c r="AJ112" s="11" t="n">
        <f aca="false">AJ113-SUM(AJ62:AJ111)</f>
        <v>0</v>
      </c>
      <c r="AK112" s="11" t="n">
        <f aca="false">AK113-SUM(AK62:AK111)</f>
        <v>0</v>
      </c>
      <c r="AL112" s="11" t="n">
        <f aca="false">AL113-SUM(AL62:AL111)</f>
        <v>0</v>
      </c>
      <c r="AM112" s="11" t="n">
        <f aca="false">AM113-SUM(AM62:AM111)</f>
        <v>0</v>
      </c>
      <c r="AN112" s="11" t="n">
        <f aca="false">AN113-SUM(AN62:AN111)</f>
        <v>0</v>
      </c>
      <c r="AO112" s="11" t="n">
        <f aca="false">AO113-SUM(AO62:AO111)</f>
        <v>0</v>
      </c>
      <c r="AP112" s="11" t="n">
        <f aca="false">AP113-SUM(AP62:AP111)</f>
        <v>0</v>
      </c>
      <c r="AQ112" s="11" t="n">
        <f aca="false">AQ113-SUM(AQ62:AQ111)</f>
        <v>0</v>
      </c>
      <c r="AR112" s="11" t="n">
        <f aca="false">AR113-SUM(AR62:AR111)</f>
        <v>0</v>
      </c>
      <c r="AS112" s="11" t="n">
        <f aca="false">AS113-SUM(AS62:AS111)</f>
        <v>0</v>
      </c>
      <c r="AT112" s="11" t="n">
        <f aca="false">AT113-SUM(AT62:AT111)</f>
        <v>0</v>
      </c>
      <c r="AU112" s="11" t="n">
        <f aca="false">AU113-SUM(AU62:AU111)</f>
        <v>0</v>
      </c>
      <c r="AV112" s="11" t="n">
        <f aca="false">AV113-SUM(AV62:AV111)</f>
        <v>0</v>
      </c>
      <c r="AW112" s="11" t="n">
        <f aca="false">AW113-SUM(AW62:AW111)</f>
        <v>0</v>
      </c>
      <c r="AX112" s="11" t="n">
        <f aca="false">AX113-SUM(AX62:AX111)</f>
        <v>0</v>
      </c>
      <c r="AY112" s="11" t="n">
        <f aca="false">AY113-SUM(AY62:AY111)</f>
        <v>0</v>
      </c>
      <c r="AZ112" s="11" t="n">
        <f aca="false">AZ113-SUM(AZ62:AZ111)</f>
        <v>0</v>
      </c>
      <c r="BA112" s="11" t="n">
        <f aca="false">BA113-SUM(BA62:BA111)</f>
        <v>0</v>
      </c>
      <c r="BB112" s="11" t="n">
        <f aca="false">BB113-SUM(BB62:BB111)</f>
        <v>0</v>
      </c>
      <c r="BC112" s="11" t="n">
        <f aca="false">BC113-SUM(BC62:BC111)</f>
        <v>0</v>
      </c>
      <c r="BD112" s="11" t="n">
        <f aca="false">BD113-SUM(BD62:BD111)</f>
        <v>0</v>
      </c>
      <c r="BE112" s="11" t="n">
        <f aca="false">BE113-SUM(BE62:BE111)</f>
        <v>0</v>
      </c>
      <c r="BF112" s="11" t="n">
        <f aca="false">BF113-SUM(BF62:BF111)</f>
        <v>0</v>
      </c>
      <c r="BG112" s="11" t="n">
        <f aca="false">BG113-SUM(BG62:BG111)</f>
        <v>0</v>
      </c>
      <c r="BH112" s="11" t="n">
        <f aca="false">BH113-SUM(BH62:BH111)</f>
        <v>0</v>
      </c>
      <c r="BI112" s="11" t="n">
        <f aca="false">BI113-SUM(BI62:BI111)</f>
        <v>0</v>
      </c>
      <c r="BJ112" s="11" t="n">
        <f aca="false">BJ113-SUM(BJ62:BJ111)</f>
        <v>0</v>
      </c>
      <c r="BK112" s="11" t="n">
        <f aca="false">BK113-SUM(BK62:BK111)</f>
        <v>0</v>
      </c>
      <c r="BL112" s="11" t="n">
        <f aca="false">BL113-SUM(BL62:BL111)</f>
        <v>0</v>
      </c>
    </row>
    <row r="113" customFormat="false" ht="15" hidden="false" customHeight="false" outlineLevel="0" collapsed="false">
      <c r="A113" s="16" t="s">
        <v>73</v>
      </c>
      <c r="B113" s="17"/>
      <c r="C113" s="18"/>
      <c r="D113" s="18"/>
      <c r="E113" s="19" t="n">
        <f aca="false">SUMIFS(tblAuftraege[Ausgaben],tblAuftraege[Datum Ausgaben],"&gt;="&amp;E$5,tblAuftraege[Datum Ausgaben],"&lt;"&amp;EDATE(E$5,1))</f>
        <v>0</v>
      </c>
      <c r="F113" s="19" t="n">
        <f aca="false">SUMIFS(tblAuftraege[Ausgaben],tblAuftraege[Datum Ausgaben],"&gt;="&amp;F$5,tblAuftraege[Datum Ausgaben],"&lt;"&amp;EDATE(F$5,1))</f>
        <v>0</v>
      </c>
      <c r="G113" s="19" t="n">
        <f aca="false">SUMIFS(tblAuftraege[Ausgaben],tblAuftraege[Datum Ausgaben],"&gt;="&amp;G$5,tblAuftraege[Datum Ausgaben],"&lt;"&amp;EDATE(G$5,1))</f>
        <v>0</v>
      </c>
      <c r="H113" s="19" t="n">
        <f aca="false">SUMIFS(tblAuftraege[Ausgaben],tblAuftraege[Datum Ausgaben],"&gt;="&amp;H$5,tblAuftraege[Datum Ausgaben],"&lt;"&amp;EDATE(H$5,1))</f>
        <v>0</v>
      </c>
      <c r="I113" s="19" t="n">
        <f aca="false">SUMIFS(tblAuftraege[Ausgaben],tblAuftraege[Datum Ausgaben],"&gt;="&amp;I$5,tblAuftraege[Datum Ausgaben],"&lt;"&amp;EDATE(I$5,1))</f>
        <v>0</v>
      </c>
      <c r="J113" s="19" t="n">
        <f aca="false">SUMIFS(tblAuftraege[Ausgaben],tblAuftraege[Datum Ausgaben],"&gt;="&amp;J$5,tblAuftraege[Datum Ausgaben],"&lt;"&amp;EDATE(J$5,1))</f>
        <v>0</v>
      </c>
      <c r="K113" s="19" t="n">
        <f aca="false">SUMIFS(tblAuftraege[Ausgaben],tblAuftraege[Datum Ausgaben],"&gt;="&amp;K$5,tblAuftraege[Datum Ausgaben],"&lt;"&amp;EDATE(K$5,1))</f>
        <v>0</v>
      </c>
      <c r="L113" s="19" t="n">
        <f aca="false">SUMIFS(tblAuftraege[Ausgaben],tblAuftraege[Datum Ausgaben],"&gt;="&amp;L$5,tblAuftraege[Datum Ausgaben],"&lt;"&amp;EDATE(L$5,1))</f>
        <v>0</v>
      </c>
      <c r="M113" s="19" t="n">
        <f aca="false">SUMIFS(tblAuftraege[Ausgaben],tblAuftraege[Datum Ausgaben],"&gt;="&amp;M$5,tblAuftraege[Datum Ausgaben],"&lt;"&amp;EDATE(M$5,1))</f>
        <v>0</v>
      </c>
      <c r="N113" s="19" t="n">
        <f aca="false">SUMIFS(tblAuftraege[Ausgaben],tblAuftraege[Datum Ausgaben],"&gt;="&amp;N$5,tblAuftraege[Datum Ausgaben],"&lt;"&amp;EDATE(N$5,1))</f>
        <v>0</v>
      </c>
      <c r="O113" s="19" t="n">
        <f aca="false">SUMIFS(tblAuftraege[Ausgaben],tblAuftraege[Datum Ausgaben],"&gt;="&amp;O$5,tblAuftraege[Datum Ausgaben],"&lt;"&amp;EDATE(O$5,1))</f>
        <v>0</v>
      </c>
      <c r="P113" s="19" t="n">
        <f aca="false">SUMIFS(tblAuftraege[Ausgaben],tblAuftraege[Datum Ausgaben],"&gt;="&amp;P$5,tblAuftraege[Datum Ausgaben],"&lt;"&amp;EDATE(P$5,1))</f>
        <v>0</v>
      </c>
      <c r="Q113" s="19" t="n">
        <f aca="false">SUMIFS(tblAuftraege[Ausgaben],tblAuftraege[Datum Ausgaben],"&gt;="&amp;Q$5,tblAuftraege[Datum Ausgaben],"&lt;"&amp;EDATE(Q$5,1))</f>
        <v>0</v>
      </c>
      <c r="R113" s="19" t="n">
        <f aca="false">SUMIFS(tblAuftraege[Ausgaben],tblAuftraege[Datum Ausgaben],"&gt;="&amp;R$5,tblAuftraege[Datum Ausgaben],"&lt;"&amp;EDATE(R$5,1))</f>
        <v>0</v>
      </c>
      <c r="S113" s="19" t="n">
        <f aca="false">SUMIFS(tblAuftraege[Ausgaben],tblAuftraege[Datum Ausgaben],"&gt;="&amp;S$5,tblAuftraege[Datum Ausgaben],"&lt;"&amp;EDATE(S$5,1))</f>
        <v>0</v>
      </c>
      <c r="T113" s="19" t="n">
        <f aca="false">SUMIFS(tblAuftraege[Ausgaben],tblAuftraege[Datum Ausgaben],"&gt;="&amp;T$5,tblAuftraege[Datum Ausgaben],"&lt;"&amp;EDATE(T$5,1))</f>
        <v>0</v>
      </c>
      <c r="U113" s="19" t="n">
        <f aca="false">SUMIFS(tblAuftraege[Ausgaben],tblAuftraege[Datum Ausgaben],"&gt;="&amp;U$5,tblAuftraege[Datum Ausgaben],"&lt;"&amp;EDATE(U$5,1))</f>
        <v>0</v>
      </c>
      <c r="V113" s="19" t="n">
        <f aca="false">SUMIFS(tblAuftraege[Ausgaben],tblAuftraege[Datum Ausgaben],"&gt;="&amp;V$5,tblAuftraege[Datum Ausgaben],"&lt;"&amp;EDATE(V$5,1))</f>
        <v>0</v>
      </c>
      <c r="W113" s="19" t="n">
        <f aca="false">SUMIFS(tblAuftraege[Ausgaben],tblAuftraege[Datum Ausgaben],"&gt;="&amp;W$5,tblAuftraege[Datum Ausgaben],"&lt;"&amp;EDATE(W$5,1))</f>
        <v>0</v>
      </c>
      <c r="X113" s="19" t="n">
        <f aca="false">SUMIFS(tblAuftraege[Ausgaben],tblAuftraege[Datum Ausgaben],"&gt;="&amp;X$5,tblAuftraege[Datum Ausgaben],"&lt;"&amp;EDATE(X$5,1))</f>
        <v>0</v>
      </c>
      <c r="Y113" s="19" t="n">
        <f aca="false">SUMIFS(tblAuftraege[Ausgaben],tblAuftraege[Datum Ausgaben],"&gt;="&amp;Y$5,tblAuftraege[Datum Ausgaben],"&lt;"&amp;EDATE(Y$5,1))</f>
        <v>0</v>
      </c>
      <c r="Z113" s="19" t="n">
        <f aca="false">SUMIFS(tblAuftraege[Ausgaben],tblAuftraege[Datum Ausgaben],"&gt;="&amp;Z$5,tblAuftraege[Datum Ausgaben],"&lt;"&amp;EDATE(Z$5,1))</f>
        <v>0</v>
      </c>
      <c r="AA113" s="19" t="n">
        <f aca="false">SUMIFS(tblAuftraege[Ausgaben],tblAuftraege[Datum Ausgaben],"&gt;="&amp;AA$5,tblAuftraege[Datum Ausgaben],"&lt;"&amp;EDATE(AA$5,1))</f>
        <v>0</v>
      </c>
      <c r="AB113" s="19" t="n">
        <f aca="false">SUMIFS(tblAuftraege[Ausgaben],tblAuftraege[Datum Ausgaben],"&gt;="&amp;AB$5,tblAuftraege[Datum Ausgaben],"&lt;"&amp;EDATE(AB$5,1))</f>
        <v>0</v>
      </c>
      <c r="AC113" s="19" t="n">
        <f aca="false">SUMIFS(tblAuftraege[Ausgaben],tblAuftraege[Datum Ausgaben],"&gt;="&amp;AC$5,tblAuftraege[Datum Ausgaben],"&lt;"&amp;EDATE(AC$5,1))</f>
        <v>0</v>
      </c>
      <c r="AD113" s="19" t="n">
        <f aca="false">SUMIFS(tblAuftraege[Ausgaben],tblAuftraege[Datum Ausgaben],"&gt;="&amp;AD$5,tblAuftraege[Datum Ausgaben],"&lt;"&amp;EDATE(AD$5,1))</f>
        <v>0</v>
      </c>
      <c r="AE113" s="19" t="n">
        <f aca="false">SUMIFS(tblAuftraege[Ausgaben],tblAuftraege[Datum Ausgaben],"&gt;="&amp;AE$5,tblAuftraege[Datum Ausgaben],"&lt;"&amp;EDATE(AE$5,1))</f>
        <v>0</v>
      </c>
      <c r="AF113" s="19" t="n">
        <f aca="false">SUMIFS(tblAuftraege[Ausgaben],tblAuftraege[Datum Ausgaben],"&gt;="&amp;AF$5,tblAuftraege[Datum Ausgaben],"&lt;"&amp;EDATE(AF$5,1))</f>
        <v>0</v>
      </c>
      <c r="AG113" s="19" t="n">
        <f aca="false">SUMIFS(tblAuftraege[Ausgaben],tblAuftraege[Datum Ausgaben],"&gt;="&amp;AG$5,tblAuftraege[Datum Ausgaben],"&lt;"&amp;EDATE(AG$5,1))</f>
        <v>0</v>
      </c>
      <c r="AH113" s="19" t="n">
        <f aca="false">SUMIFS(tblAuftraege[Ausgaben],tblAuftraege[Datum Ausgaben],"&gt;="&amp;AH$5,tblAuftraege[Datum Ausgaben],"&lt;"&amp;EDATE(AH$5,1))</f>
        <v>0</v>
      </c>
      <c r="AI113" s="19" t="n">
        <f aca="false">SUMIFS(tblAuftraege[Ausgaben],tblAuftraege[Datum Ausgaben],"&gt;="&amp;AI$5,tblAuftraege[Datum Ausgaben],"&lt;"&amp;EDATE(AI$5,1))</f>
        <v>0</v>
      </c>
      <c r="AJ113" s="19" t="n">
        <f aca="false">SUMIFS(tblAuftraege[Ausgaben],tblAuftraege[Datum Ausgaben],"&gt;="&amp;AJ$5,tblAuftraege[Datum Ausgaben],"&lt;"&amp;EDATE(AJ$5,1))</f>
        <v>0</v>
      </c>
      <c r="AK113" s="19" t="n">
        <f aca="false">SUMIFS(tblAuftraege[Ausgaben],tblAuftraege[Datum Ausgaben],"&gt;="&amp;AK$5,tblAuftraege[Datum Ausgaben],"&lt;"&amp;EDATE(AK$5,1))</f>
        <v>0</v>
      </c>
      <c r="AL113" s="19" t="n">
        <f aca="false">SUMIFS(tblAuftraege[Ausgaben],tblAuftraege[Datum Ausgaben],"&gt;="&amp;AL$5,tblAuftraege[Datum Ausgaben],"&lt;"&amp;EDATE(AL$5,1))</f>
        <v>0</v>
      </c>
      <c r="AM113" s="19" t="n">
        <f aca="false">SUMIFS(tblAuftraege[Ausgaben],tblAuftraege[Datum Ausgaben],"&gt;="&amp;AM$5,tblAuftraege[Datum Ausgaben],"&lt;"&amp;EDATE(AM$5,1))</f>
        <v>0</v>
      </c>
      <c r="AN113" s="19" t="n">
        <f aca="false">SUMIFS(tblAuftraege[Ausgaben],tblAuftraege[Datum Ausgaben],"&gt;="&amp;AN$5,tblAuftraege[Datum Ausgaben],"&lt;"&amp;EDATE(AN$5,1))</f>
        <v>0</v>
      </c>
      <c r="AO113" s="19" t="n">
        <f aca="false">SUMIFS(tblAuftraege[Ausgaben],tblAuftraege[Datum Ausgaben],"&gt;="&amp;AO$5,tblAuftraege[Datum Ausgaben],"&lt;"&amp;EDATE(AO$5,1))</f>
        <v>0</v>
      </c>
      <c r="AP113" s="19" t="n">
        <f aca="false">SUMIFS(tblAuftraege[Ausgaben],tblAuftraege[Datum Ausgaben],"&gt;="&amp;AP$5,tblAuftraege[Datum Ausgaben],"&lt;"&amp;EDATE(AP$5,1))</f>
        <v>0</v>
      </c>
      <c r="AQ113" s="19" t="n">
        <f aca="false">SUMIFS(tblAuftraege[Ausgaben],tblAuftraege[Datum Ausgaben],"&gt;="&amp;AQ$5,tblAuftraege[Datum Ausgaben],"&lt;"&amp;EDATE(AQ$5,1))</f>
        <v>0</v>
      </c>
      <c r="AR113" s="19" t="n">
        <f aca="false">SUMIFS(tblAuftraege[Ausgaben],tblAuftraege[Datum Ausgaben],"&gt;="&amp;AR$5,tblAuftraege[Datum Ausgaben],"&lt;"&amp;EDATE(AR$5,1))</f>
        <v>0</v>
      </c>
      <c r="AS113" s="19" t="n">
        <f aca="false">SUMIFS(tblAuftraege[Ausgaben],tblAuftraege[Datum Ausgaben],"&gt;="&amp;AS$5,tblAuftraege[Datum Ausgaben],"&lt;"&amp;EDATE(AS$5,1))</f>
        <v>0</v>
      </c>
      <c r="AT113" s="19" t="n">
        <f aca="false">SUMIFS(tblAuftraege[Ausgaben],tblAuftraege[Datum Ausgaben],"&gt;="&amp;AT$5,tblAuftraege[Datum Ausgaben],"&lt;"&amp;EDATE(AT$5,1))</f>
        <v>0</v>
      </c>
      <c r="AU113" s="19" t="n">
        <f aca="false">SUMIFS(tblAuftraege[Ausgaben],tblAuftraege[Datum Ausgaben],"&gt;="&amp;AU$5,tblAuftraege[Datum Ausgaben],"&lt;"&amp;EDATE(AU$5,1))</f>
        <v>0</v>
      </c>
      <c r="AV113" s="19" t="n">
        <f aca="false">SUMIFS(tblAuftraege[Ausgaben],tblAuftraege[Datum Ausgaben],"&gt;="&amp;AV$5,tblAuftraege[Datum Ausgaben],"&lt;"&amp;EDATE(AV$5,1))</f>
        <v>0</v>
      </c>
      <c r="AW113" s="19" t="n">
        <f aca="false">SUMIFS(tblAuftraege[Ausgaben],tblAuftraege[Datum Ausgaben],"&gt;="&amp;AW$5,tblAuftraege[Datum Ausgaben],"&lt;"&amp;EDATE(AW$5,1))</f>
        <v>0</v>
      </c>
      <c r="AX113" s="19" t="n">
        <f aca="false">SUMIFS(tblAuftraege[Ausgaben],tblAuftraege[Datum Ausgaben],"&gt;="&amp;AX$5,tblAuftraege[Datum Ausgaben],"&lt;"&amp;EDATE(AX$5,1))</f>
        <v>0</v>
      </c>
      <c r="AY113" s="19" t="n">
        <f aca="false">SUMIFS(tblAuftraege[Ausgaben],tblAuftraege[Datum Ausgaben],"&gt;="&amp;AY$5,tblAuftraege[Datum Ausgaben],"&lt;"&amp;EDATE(AY$5,1))</f>
        <v>0</v>
      </c>
      <c r="AZ113" s="19" t="n">
        <f aca="false">SUMIFS(tblAuftraege[Ausgaben],tblAuftraege[Datum Ausgaben],"&gt;="&amp;AZ$5,tblAuftraege[Datum Ausgaben],"&lt;"&amp;EDATE(AZ$5,1))</f>
        <v>0</v>
      </c>
      <c r="BA113" s="19" t="n">
        <f aca="false">SUMIFS(tblAuftraege[Ausgaben],tblAuftraege[Datum Ausgaben],"&gt;="&amp;BA$5,tblAuftraege[Datum Ausgaben],"&lt;"&amp;EDATE(BA$5,1))</f>
        <v>0</v>
      </c>
      <c r="BB113" s="19" t="n">
        <f aca="false">SUMIFS(tblAuftraege[Ausgaben],tblAuftraege[Datum Ausgaben],"&gt;="&amp;BB$5,tblAuftraege[Datum Ausgaben],"&lt;"&amp;EDATE(BB$5,1))</f>
        <v>0</v>
      </c>
      <c r="BC113" s="19" t="n">
        <f aca="false">SUMIFS(tblAuftraege[Ausgaben],tblAuftraege[Datum Ausgaben],"&gt;="&amp;BC$5,tblAuftraege[Datum Ausgaben],"&lt;"&amp;EDATE(BC$5,1))</f>
        <v>0</v>
      </c>
      <c r="BD113" s="19" t="n">
        <f aca="false">SUMIFS(tblAuftraege[Ausgaben],tblAuftraege[Datum Ausgaben],"&gt;="&amp;BD$5,tblAuftraege[Datum Ausgaben],"&lt;"&amp;EDATE(BD$5,1))</f>
        <v>0</v>
      </c>
      <c r="BE113" s="19" t="n">
        <f aca="false">SUMIFS(tblAuftraege[Ausgaben],tblAuftraege[Datum Ausgaben],"&gt;="&amp;BE$5,tblAuftraege[Datum Ausgaben],"&lt;"&amp;EDATE(BE$5,1))</f>
        <v>0</v>
      </c>
      <c r="BF113" s="19" t="n">
        <f aca="false">SUMIFS(tblAuftraege[Ausgaben],tblAuftraege[Datum Ausgaben],"&gt;="&amp;BF$5,tblAuftraege[Datum Ausgaben],"&lt;"&amp;EDATE(BF$5,1))</f>
        <v>0</v>
      </c>
      <c r="BG113" s="19" t="n">
        <f aca="false">SUM(E113:J113)</f>
        <v>0</v>
      </c>
      <c r="BH113" s="19" t="n">
        <f aca="false">SUM(K113:V113)</f>
        <v>0</v>
      </c>
      <c r="BI113" s="19" t="n">
        <f aca="false">SUM(W113:AH113)</f>
        <v>0</v>
      </c>
      <c r="BJ113" s="19" t="n">
        <f aca="false">SUM(AI113:AT113)</f>
        <v>0</v>
      </c>
      <c r="BK113" s="19" t="n">
        <f aca="false">SUM(AU113:BF113)</f>
        <v>0</v>
      </c>
      <c r="BL113" s="19" t="n">
        <f aca="false">SUM(E113:BF113)</f>
        <v>0</v>
      </c>
    </row>
    <row r="115" customFormat="false" ht="19.5" hidden="false" customHeight="true" outlineLevel="0" collapsed="false">
      <c r="A115" s="7" t="s">
        <v>74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</row>
    <row r="116" customFormat="false" ht="15" hidden="false" customHeight="false" outlineLevel="0" collapsed="false">
      <c r="A116" s="13" t="s">
        <v>71</v>
      </c>
      <c r="B116" s="14"/>
      <c r="C116" s="15"/>
      <c r="D116" s="15"/>
      <c r="E116" s="11" t="n">
        <f aca="false">E59</f>
        <v>0</v>
      </c>
      <c r="F116" s="11" t="n">
        <f aca="false">F59</f>
        <v>0</v>
      </c>
      <c r="G116" s="11" t="n">
        <f aca="false">G59</f>
        <v>0</v>
      </c>
      <c r="H116" s="11" t="n">
        <f aca="false">H59</f>
        <v>0</v>
      </c>
      <c r="I116" s="11" t="n">
        <f aca="false">I59</f>
        <v>0</v>
      </c>
      <c r="J116" s="11" t="n">
        <f aca="false">J59</f>
        <v>0</v>
      </c>
      <c r="K116" s="11" t="n">
        <f aca="false">K59</f>
        <v>0</v>
      </c>
      <c r="L116" s="11" t="n">
        <f aca="false">L59</f>
        <v>0</v>
      </c>
      <c r="M116" s="11" t="n">
        <f aca="false">M59</f>
        <v>0</v>
      </c>
      <c r="N116" s="11" t="n">
        <f aca="false">N59</f>
        <v>0</v>
      </c>
      <c r="O116" s="11" t="n">
        <f aca="false">O59</f>
        <v>0</v>
      </c>
      <c r="P116" s="11" t="n">
        <f aca="false">P59</f>
        <v>0</v>
      </c>
      <c r="Q116" s="11" t="n">
        <f aca="false">Q59</f>
        <v>0</v>
      </c>
      <c r="R116" s="11" t="n">
        <f aca="false">R59</f>
        <v>0</v>
      </c>
      <c r="S116" s="11" t="n">
        <f aca="false">S59</f>
        <v>0</v>
      </c>
      <c r="T116" s="11" t="n">
        <f aca="false">T59</f>
        <v>0</v>
      </c>
      <c r="U116" s="11" t="n">
        <f aca="false">U59</f>
        <v>0</v>
      </c>
      <c r="V116" s="11" t="n">
        <f aca="false">V59</f>
        <v>0</v>
      </c>
      <c r="W116" s="11" t="n">
        <f aca="false">W59</f>
        <v>0</v>
      </c>
      <c r="X116" s="11" t="n">
        <f aca="false">X59</f>
        <v>0</v>
      </c>
      <c r="Y116" s="11" t="n">
        <f aca="false">Y59</f>
        <v>0</v>
      </c>
      <c r="Z116" s="11" t="n">
        <f aca="false">Z59</f>
        <v>0</v>
      </c>
      <c r="AA116" s="11" t="n">
        <f aca="false">AA59</f>
        <v>0</v>
      </c>
      <c r="AB116" s="11" t="n">
        <f aca="false">AB59</f>
        <v>0</v>
      </c>
      <c r="AC116" s="11" t="n">
        <f aca="false">AC59</f>
        <v>0</v>
      </c>
      <c r="AD116" s="11" t="n">
        <f aca="false">AD59</f>
        <v>0</v>
      </c>
      <c r="AE116" s="11" t="n">
        <f aca="false">AE59</f>
        <v>0</v>
      </c>
      <c r="AF116" s="11" t="n">
        <f aca="false">AF59</f>
        <v>0</v>
      </c>
      <c r="AG116" s="11" t="n">
        <f aca="false">AG59</f>
        <v>0</v>
      </c>
      <c r="AH116" s="11" t="n">
        <f aca="false">AH59</f>
        <v>0</v>
      </c>
      <c r="AI116" s="11" t="n">
        <f aca="false">AI59</f>
        <v>0</v>
      </c>
      <c r="AJ116" s="11" t="n">
        <f aca="false">AJ59</f>
        <v>0</v>
      </c>
      <c r="AK116" s="11" t="n">
        <f aca="false">AK59</f>
        <v>0</v>
      </c>
      <c r="AL116" s="11" t="n">
        <f aca="false">AL59</f>
        <v>0</v>
      </c>
      <c r="AM116" s="11" t="n">
        <f aca="false">AM59</f>
        <v>0</v>
      </c>
      <c r="AN116" s="11" t="n">
        <f aca="false">AN59</f>
        <v>0</v>
      </c>
      <c r="AO116" s="11" t="n">
        <f aca="false">AO59</f>
        <v>0</v>
      </c>
      <c r="AP116" s="11" t="n">
        <f aca="false">AP59</f>
        <v>0</v>
      </c>
      <c r="AQ116" s="11" t="n">
        <f aca="false">AQ59</f>
        <v>0</v>
      </c>
      <c r="AR116" s="11" t="n">
        <f aca="false">AR59</f>
        <v>0</v>
      </c>
      <c r="AS116" s="11" t="n">
        <f aca="false">AS59</f>
        <v>0</v>
      </c>
      <c r="AT116" s="11" t="n">
        <f aca="false">AT59</f>
        <v>0</v>
      </c>
      <c r="AU116" s="11" t="n">
        <f aca="false">AU59</f>
        <v>0</v>
      </c>
      <c r="AV116" s="11" t="n">
        <f aca="false">AV59</f>
        <v>0</v>
      </c>
      <c r="AW116" s="11" t="n">
        <f aca="false">AW59</f>
        <v>0</v>
      </c>
      <c r="AX116" s="11" t="n">
        <f aca="false">AX59</f>
        <v>0</v>
      </c>
      <c r="AY116" s="11" t="n">
        <f aca="false">AY59</f>
        <v>0</v>
      </c>
      <c r="AZ116" s="11" t="n">
        <f aca="false">AZ59</f>
        <v>0</v>
      </c>
      <c r="BA116" s="11" t="n">
        <f aca="false">BA59</f>
        <v>0</v>
      </c>
      <c r="BB116" s="11" t="n">
        <f aca="false">BB59</f>
        <v>0</v>
      </c>
      <c r="BC116" s="11" t="n">
        <f aca="false">BC59</f>
        <v>0</v>
      </c>
      <c r="BD116" s="11" t="n">
        <f aca="false">BD59</f>
        <v>0</v>
      </c>
      <c r="BE116" s="11" t="n">
        <f aca="false">BE59</f>
        <v>0</v>
      </c>
      <c r="BF116" s="11" t="n">
        <f aca="false">BF59</f>
        <v>0</v>
      </c>
      <c r="BG116" s="11" t="n">
        <f aca="false">BG59</f>
        <v>0</v>
      </c>
      <c r="BH116" s="11" t="n">
        <f aca="false">BH59</f>
        <v>0</v>
      </c>
      <c r="BI116" s="11" t="n">
        <f aca="false">BI59</f>
        <v>0</v>
      </c>
      <c r="BJ116" s="11" t="n">
        <f aca="false">BJ59</f>
        <v>0</v>
      </c>
      <c r="BK116" s="11" t="n">
        <f aca="false">BK59</f>
        <v>0</v>
      </c>
      <c r="BL116" s="11" t="n">
        <f aca="false">BL59</f>
        <v>0</v>
      </c>
    </row>
    <row r="117" customFormat="false" ht="15" hidden="false" customHeight="false" outlineLevel="0" collapsed="false">
      <c r="A117" s="13" t="s">
        <v>73</v>
      </c>
      <c r="B117" s="14"/>
      <c r="C117" s="15"/>
      <c r="D117" s="15"/>
      <c r="E117" s="11" t="n">
        <f aca="false">E113</f>
        <v>0</v>
      </c>
      <c r="F117" s="11" t="n">
        <f aca="false">F113</f>
        <v>0</v>
      </c>
      <c r="G117" s="11" t="n">
        <f aca="false">G113</f>
        <v>0</v>
      </c>
      <c r="H117" s="11" t="n">
        <f aca="false">H113</f>
        <v>0</v>
      </c>
      <c r="I117" s="11" t="n">
        <f aca="false">I113</f>
        <v>0</v>
      </c>
      <c r="J117" s="11" t="n">
        <f aca="false">J113</f>
        <v>0</v>
      </c>
      <c r="K117" s="11" t="n">
        <f aca="false">K113</f>
        <v>0</v>
      </c>
      <c r="L117" s="11" t="n">
        <f aca="false">L113</f>
        <v>0</v>
      </c>
      <c r="M117" s="11" t="n">
        <f aca="false">M113</f>
        <v>0</v>
      </c>
      <c r="N117" s="11" t="n">
        <f aca="false">N113</f>
        <v>0</v>
      </c>
      <c r="O117" s="11" t="n">
        <f aca="false">O113</f>
        <v>0</v>
      </c>
      <c r="P117" s="11" t="n">
        <f aca="false">P113</f>
        <v>0</v>
      </c>
      <c r="Q117" s="11" t="n">
        <f aca="false">Q113</f>
        <v>0</v>
      </c>
      <c r="R117" s="11" t="n">
        <f aca="false">R113</f>
        <v>0</v>
      </c>
      <c r="S117" s="11" t="n">
        <f aca="false">S113</f>
        <v>0</v>
      </c>
      <c r="T117" s="11" t="n">
        <f aca="false">T113</f>
        <v>0</v>
      </c>
      <c r="U117" s="11" t="n">
        <f aca="false">U113</f>
        <v>0</v>
      </c>
      <c r="V117" s="11" t="n">
        <f aca="false">V113</f>
        <v>0</v>
      </c>
      <c r="W117" s="11" t="n">
        <f aca="false">W113</f>
        <v>0</v>
      </c>
      <c r="X117" s="11" t="n">
        <f aca="false">X113</f>
        <v>0</v>
      </c>
      <c r="Y117" s="11" t="n">
        <f aca="false">Y113</f>
        <v>0</v>
      </c>
      <c r="Z117" s="11" t="n">
        <f aca="false">Z113</f>
        <v>0</v>
      </c>
      <c r="AA117" s="11" t="n">
        <f aca="false">AA113</f>
        <v>0</v>
      </c>
      <c r="AB117" s="11" t="n">
        <f aca="false">AB113</f>
        <v>0</v>
      </c>
      <c r="AC117" s="11" t="n">
        <f aca="false">AC113</f>
        <v>0</v>
      </c>
      <c r="AD117" s="11" t="n">
        <f aca="false">AD113</f>
        <v>0</v>
      </c>
      <c r="AE117" s="11" t="n">
        <f aca="false">AE113</f>
        <v>0</v>
      </c>
      <c r="AF117" s="11" t="n">
        <f aca="false">AF113</f>
        <v>0</v>
      </c>
      <c r="AG117" s="11" t="n">
        <f aca="false">AG113</f>
        <v>0</v>
      </c>
      <c r="AH117" s="11" t="n">
        <f aca="false">AH113</f>
        <v>0</v>
      </c>
      <c r="AI117" s="11" t="n">
        <f aca="false">AI113</f>
        <v>0</v>
      </c>
      <c r="AJ117" s="11" t="n">
        <f aca="false">AJ113</f>
        <v>0</v>
      </c>
      <c r="AK117" s="11" t="n">
        <f aca="false">AK113</f>
        <v>0</v>
      </c>
      <c r="AL117" s="11" t="n">
        <f aca="false">AL113</f>
        <v>0</v>
      </c>
      <c r="AM117" s="11" t="n">
        <f aca="false">AM113</f>
        <v>0</v>
      </c>
      <c r="AN117" s="11" t="n">
        <f aca="false">AN113</f>
        <v>0</v>
      </c>
      <c r="AO117" s="11" t="n">
        <f aca="false">AO113</f>
        <v>0</v>
      </c>
      <c r="AP117" s="11" t="n">
        <f aca="false">AP113</f>
        <v>0</v>
      </c>
      <c r="AQ117" s="11" t="n">
        <f aca="false">AQ113</f>
        <v>0</v>
      </c>
      <c r="AR117" s="11" t="n">
        <f aca="false">AR113</f>
        <v>0</v>
      </c>
      <c r="AS117" s="11" t="n">
        <f aca="false">AS113</f>
        <v>0</v>
      </c>
      <c r="AT117" s="11" t="n">
        <f aca="false">AT113</f>
        <v>0</v>
      </c>
      <c r="AU117" s="11" t="n">
        <f aca="false">AU113</f>
        <v>0</v>
      </c>
      <c r="AV117" s="11" t="n">
        <f aca="false">AV113</f>
        <v>0</v>
      </c>
      <c r="AW117" s="11" t="n">
        <f aca="false">AW113</f>
        <v>0</v>
      </c>
      <c r="AX117" s="11" t="n">
        <f aca="false">AX113</f>
        <v>0</v>
      </c>
      <c r="AY117" s="11" t="n">
        <f aca="false">AY113</f>
        <v>0</v>
      </c>
      <c r="AZ117" s="11" t="n">
        <f aca="false">AZ113</f>
        <v>0</v>
      </c>
      <c r="BA117" s="11" t="n">
        <f aca="false">BA113</f>
        <v>0</v>
      </c>
      <c r="BB117" s="11" t="n">
        <f aca="false">BB113</f>
        <v>0</v>
      </c>
      <c r="BC117" s="11" t="n">
        <f aca="false">BC113</f>
        <v>0</v>
      </c>
      <c r="BD117" s="11" t="n">
        <f aca="false">BD113</f>
        <v>0</v>
      </c>
      <c r="BE117" s="11" t="n">
        <f aca="false">BE113</f>
        <v>0</v>
      </c>
      <c r="BF117" s="11" t="n">
        <f aca="false">BF113</f>
        <v>0</v>
      </c>
      <c r="BG117" s="11" t="n">
        <f aca="false">BG113</f>
        <v>0</v>
      </c>
      <c r="BH117" s="11" t="n">
        <f aca="false">BH113</f>
        <v>0</v>
      </c>
      <c r="BI117" s="11" t="n">
        <f aca="false">BI113</f>
        <v>0</v>
      </c>
      <c r="BJ117" s="11" t="n">
        <f aca="false">BJ113</f>
        <v>0</v>
      </c>
      <c r="BK117" s="11" t="n">
        <f aca="false">BK113</f>
        <v>0</v>
      </c>
      <c r="BL117" s="11" t="n">
        <f aca="false">BL113</f>
        <v>0</v>
      </c>
    </row>
    <row r="118" customFormat="false" ht="15" hidden="false" customHeight="false" outlineLevel="0" collapsed="false">
      <c r="A118" s="20" t="s">
        <v>75</v>
      </c>
      <c r="B118" s="21"/>
      <c r="C118" s="22"/>
      <c r="D118" s="22"/>
      <c r="E118" s="23" t="n">
        <f aca="false">E116-E117</f>
        <v>0</v>
      </c>
      <c r="F118" s="23" t="n">
        <f aca="false">F116-F117</f>
        <v>0</v>
      </c>
      <c r="G118" s="23" t="n">
        <f aca="false">G116-G117</f>
        <v>0</v>
      </c>
      <c r="H118" s="23" t="n">
        <f aca="false">H116-H117</f>
        <v>0</v>
      </c>
      <c r="I118" s="23" t="n">
        <f aca="false">I116-I117</f>
        <v>0</v>
      </c>
      <c r="J118" s="23" t="n">
        <f aca="false">J116-J117</f>
        <v>0</v>
      </c>
      <c r="K118" s="23" t="n">
        <f aca="false">K116-K117</f>
        <v>0</v>
      </c>
      <c r="L118" s="23" t="n">
        <f aca="false">L116-L117</f>
        <v>0</v>
      </c>
      <c r="M118" s="23" t="n">
        <f aca="false">M116-M117</f>
        <v>0</v>
      </c>
      <c r="N118" s="23" t="n">
        <f aca="false">N116-N117</f>
        <v>0</v>
      </c>
      <c r="O118" s="23" t="n">
        <f aca="false">O116-O117</f>
        <v>0</v>
      </c>
      <c r="P118" s="23" t="n">
        <f aca="false">P116-P117</f>
        <v>0</v>
      </c>
      <c r="Q118" s="23" t="n">
        <f aca="false">Q116-Q117</f>
        <v>0</v>
      </c>
      <c r="R118" s="23" t="n">
        <f aca="false">R116-R117</f>
        <v>0</v>
      </c>
      <c r="S118" s="23" t="n">
        <f aca="false">S116-S117</f>
        <v>0</v>
      </c>
      <c r="T118" s="23" t="n">
        <f aca="false">T116-T117</f>
        <v>0</v>
      </c>
      <c r="U118" s="23" t="n">
        <f aca="false">U116-U117</f>
        <v>0</v>
      </c>
      <c r="V118" s="23" t="n">
        <f aca="false">V116-V117</f>
        <v>0</v>
      </c>
      <c r="W118" s="23" t="n">
        <f aca="false">W116-W117</f>
        <v>0</v>
      </c>
      <c r="X118" s="23" t="n">
        <f aca="false">X116-X117</f>
        <v>0</v>
      </c>
      <c r="Y118" s="23" t="n">
        <f aca="false">Y116-Y117</f>
        <v>0</v>
      </c>
      <c r="Z118" s="23" t="n">
        <f aca="false">Z116-Z117</f>
        <v>0</v>
      </c>
      <c r="AA118" s="23" t="n">
        <f aca="false">AA116-AA117</f>
        <v>0</v>
      </c>
      <c r="AB118" s="23" t="n">
        <f aca="false">AB116-AB117</f>
        <v>0</v>
      </c>
      <c r="AC118" s="23" t="n">
        <f aca="false">AC116-AC117</f>
        <v>0</v>
      </c>
      <c r="AD118" s="23" t="n">
        <f aca="false">AD116-AD117</f>
        <v>0</v>
      </c>
      <c r="AE118" s="23" t="n">
        <f aca="false">AE116-AE117</f>
        <v>0</v>
      </c>
      <c r="AF118" s="23" t="n">
        <f aca="false">AF116-AF117</f>
        <v>0</v>
      </c>
      <c r="AG118" s="23" t="n">
        <f aca="false">AG116-AG117</f>
        <v>0</v>
      </c>
      <c r="AH118" s="23" t="n">
        <f aca="false">AH116-AH117</f>
        <v>0</v>
      </c>
      <c r="AI118" s="23" t="n">
        <f aca="false">AI116-AI117</f>
        <v>0</v>
      </c>
      <c r="AJ118" s="23" t="n">
        <f aca="false">AJ116-AJ117</f>
        <v>0</v>
      </c>
      <c r="AK118" s="23" t="n">
        <f aca="false">AK116-AK117</f>
        <v>0</v>
      </c>
      <c r="AL118" s="23" t="n">
        <f aca="false">AL116-AL117</f>
        <v>0</v>
      </c>
      <c r="AM118" s="23" t="n">
        <f aca="false">AM116-AM117</f>
        <v>0</v>
      </c>
      <c r="AN118" s="23" t="n">
        <f aca="false">AN116-AN117</f>
        <v>0</v>
      </c>
      <c r="AO118" s="23" t="n">
        <f aca="false">AO116-AO117</f>
        <v>0</v>
      </c>
      <c r="AP118" s="23" t="n">
        <f aca="false">AP116-AP117</f>
        <v>0</v>
      </c>
      <c r="AQ118" s="23" t="n">
        <f aca="false">AQ116-AQ117</f>
        <v>0</v>
      </c>
      <c r="AR118" s="23" t="n">
        <f aca="false">AR116-AR117</f>
        <v>0</v>
      </c>
      <c r="AS118" s="23" t="n">
        <f aca="false">AS116-AS117</f>
        <v>0</v>
      </c>
      <c r="AT118" s="23" t="n">
        <f aca="false">AT116-AT117</f>
        <v>0</v>
      </c>
      <c r="AU118" s="23" t="n">
        <f aca="false">AU116-AU117</f>
        <v>0</v>
      </c>
      <c r="AV118" s="23" t="n">
        <f aca="false">AV116-AV117</f>
        <v>0</v>
      </c>
      <c r="AW118" s="23" t="n">
        <f aca="false">AW116-AW117</f>
        <v>0</v>
      </c>
      <c r="AX118" s="23" t="n">
        <f aca="false">AX116-AX117</f>
        <v>0</v>
      </c>
      <c r="AY118" s="23" t="n">
        <f aca="false">AY116-AY117</f>
        <v>0</v>
      </c>
      <c r="AZ118" s="23" t="n">
        <f aca="false">AZ116-AZ117</f>
        <v>0</v>
      </c>
      <c r="BA118" s="23" t="n">
        <f aca="false">BA116-BA117</f>
        <v>0</v>
      </c>
      <c r="BB118" s="23" t="n">
        <f aca="false">BB116-BB117</f>
        <v>0</v>
      </c>
      <c r="BC118" s="23" t="n">
        <f aca="false">BC116-BC117</f>
        <v>0</v>
      </c>
      <c r="BD118" s="23" t="n">
        <f aca="false">BD116-BD117</f>
        <v>0</v>
      </c>
      <c r="BE118" s="23" t="n">
        <f aca="false">BE116-BE117</f>
        <v>0</v>
      </c>
      <c r="BF118" s="23" t="n">
        <f aca="false">BF116-BF117</f>
        <v>0</v>
      </c>
      <c r="BG118" s="23" t="n">
        <f aca="false">BG116-BG117</f>
        <v>0</v>
      </c>
      <c r="BH118" s="23" t="n">
        <f aca="false">BH116-BH117</f>
        <v>0</v>
      </c>
      <c r="BI118" s="23" t="n">
        <f aca="false">BI116-BI117</f>
        <v>0</v>
      </c>
      <c r="BJ118" s="23" t="n">
        <f aca="false">BJ116-BJ117</f>
        <v>0</v>
      </c>
      <c r="BK118" s="23" t="n">
        <f aca="false">BK116-BK117</f>
        <v>0</v>
      </c>
      <c r="BL118" s="23" t="n">
        <f aca="false">BL116-BL117</f>
        <v>0</v>
      </c>
    </row>
    <row r="119" customFormat="false" ht="15" hidden="false" customHeight="false" outlineLevel="0" collapsed="false">
      <c r="A119" s="20" t="s">
        <v>76</v>
      </c>
      <c r="B119" s="21"/>
      <c r="C119" s="22"/>
      <c r="D119" s="22"/>
      <c r="E119" s="23" t="n">
        <f aca="false">E118</f>
        <v>0</v>
      </c>
      <c r="F119" s="23" t="n">
        <f aca="false">E119+F118</f>
        <v>0</v>
      </c>
      <c r="G119" s="23" t="n">
        <f aca="false">F119+G118</f>
        <v>0</v>
      </c>
      <c r="H119" s="23" t="n">
        <f aca="false">G119+H118</f>
        <v>0</v>
      </c>
      <c r="I119" s="23" t="n">
        <f aca="false">H119+I118</f>
        <v>0</v>
      </c>
      <c r="J119" s="23" t="n">
        <f aca="false">I119+J118</f>
        <v>0</v>
      </c>
      <c r="K119" s="23" t="n">
        <f aca="false">J119+K118</f>
        <v>0</v>
      </c>
      <c r="L119" s="23" t="n">
        <f aca="false">K119+L118</f>
        <v>0</v>
      </c>
      <c r="M119" s="23" t="n">
        <f aca="false">L119+M118</f>
        <v>0</v>
      </c>
      <c r="N119" s="23" t="n">
        <f aca="false">M119+N118</f>
        <v>0</v>
      </c>
      <c r="O119" s="23" t="n">
        <f aca="false">N119+O118</f>
        <v>0</v>
      </c>
      <c r="P119" s="23" t="n">
        <f aca="false">O119+P118</f>
        <v>0</v>
      </c>
      <c r="Q119" s="23" t="n">
        <f aca="false">P119+Q118</f>
        <v>0</v>
      </c>
      <c r="R119" s="23" t="n">
        <f aca="false">Q119+R118</f>
        <v>0</v>
      </c>
      <c r="S119" s="23" t="n">
        <f aca="false">R119+S118</f>
        <v>0</v>
      </c>
      <c r="T119" s="23" t="n">
        <f aca="false">S119+T118</f>
        <v>0</v>
      </c>
      <c r="U119" s="23" t="n">
        <f aca="false">T119+U118</f>
        <v>0</v>
      </c>
      <c r="V119" s="23" t="n">
        <f aca="false">U119+V118</f>
        <v>0</v>
      </c>
      <c r="W119" s="23" t="n">
        <f aca="false">V119+W118</f>
        <v>0</v>
      </c>
      <c r="X119" s="23" t="n">
        <f aca="false">W119+X118</f>
        <v>0</v>
      </c>
      <c r="Y119" s="23" t="n">
        <f aca="false">X119+Y118</f>
        <v>0</v>
      </c>
      <c r="Z119" s="23" t="n">
        <f aca="false">Y119+Z118</f>
        <v>0</v>
      </c>
      <c r="AA119" s="23" t="n">
        <f aca="false">Z119+AA118</f>
        <v>0</v>
      </c>
      <c r="AB119" s="23" t="n">
        <f aca="false">AA119+AB118</f>
        <v>0</v>
      </c>
      <c r="AC119" s="23" t="n">
        <f aca="false">AB119+AC118</f>
        <v>0</v>
      </c>
      <c r="AD119" s="23" t="n">
        <f aca="false">AC119+AD118</f>
        <v>0</v>
      </c>
      <c r="AE119" s="23" t="n">
        <f aca="false">AD119+AE118</f>
        <v>0</v>
      </c>
      <c r="AF119" s="23" t="n">
        <f aca="false">AE119+AF118</f>
        <v>0</v>
      </c>
      <c r="AG119" s="23" t="n">
        <f aca="false">AF119+AG118</f>
        <v>0</v>
      </c>
      <c r="AH119" s="23" t="n">
        <f aca="false">AG119+AH118</f>
        <v>0</v>
      </c>
      <c r="AI119" s="23" t="n">
        <f aca="false">AH119+AI118</f>
        <v>0</v>
      </c>
      <c r="AJ119" s="23" t="n">
        <f aca="false">AI119+AJ118</f>
        <v>0</v>
      </c>
      <c r="AK119" s="23" t="n">
        <f aca="false">AJ119+AK118</f>
        <v>0</v>
      </c>
      <c r="AL119" s="23" t="n">
        <f aca="false">AK119+AL118</f>
        <v>0</v>
      </c>
      <c r="AM119" s="23" t="n">
        <f aca="false">AL119+AM118</f>
        <v>0</v>
      </c>
      <c r="AN119" s="23" t="n">
        <f aca="false">AM119+AN118</f>
        <v>0</v>
      </c>
      <c r="AO119" s="23" t="n">
        <f aca="false">AN119+AO118</f>
        <v>0</v>
      </c>
      <c r="AP119" s="23" t="n">
        <f aca="false">AO119+AP118</f>
        <v>0</v>
      </c>
      <c r="AQ119" s="23" t="n">
        <f aca="false">AP119+AQ118</f>
        <v>0</v>
      </c>
      <c r="AR119" s="23" t="n">
        <f aca="false">AQ119+AR118</f>
        <v>0</v>
      </c>
      <c r="AS119" s="23" t="n">
        <f aca="false">AR119+AS118</f>
        <v>0</v>
      </c>
      <c r="AT119" s="23" t="n">
        <f aca="false">AS119+AT118</f>
        <v>0</v>
      </c>
      <c r="AU119" s="23" t="n">
        <f aca="false">AT119+AU118</f>
        <v>0</v>
      </c>
      <c r="AV119" s="23" t="n">
        <f aca="false">AU119+AV118</f>
        <v>0</v>
      </c>
      <c r="AW119" s="23" t="n">
        <f aca="false">AV119+AW118</f>
        <v>0</v>
      </c>
      <c r="AX119" s="23" t="n">
        <f aca="false">AW119+AX118</f>
        <v>0</v>
      </c>
      <c r="AY119" s="23" t="n">
        <f aca="false">AX119+AY118</f>
        <v>0</v>
      </c>
      <c r="AZ119" s="23" t="n">
        <f aca="false">AY119+AZ118</f>
        <v>0</v>
      </c>
      <c r="BA119" s="23" t="n">
        <f aca="false">AZ119+BA118</f>
        <v>0</v>
      </c>
      <c r="BB119" s="23" t="n">
        <f aca="false">BA119+BB118</f>
        <v>0</v>
      </c>
      <c r="BC119" s="23" t="n">
        <f aca="false">BB119+BC118</f>
        <v>0</v>
      </c>
      <c r="BD119" s="23" t="n">
        <f aca="false">BC119+BD118</f>
        <v>0</v>
      </c>
      <c r="BE119" s="23" t="n">
        <f aca="false">BD119+BE118</f>
        <v>0</v>
      </c>
      <c r="BF119" s="23" t="n">
        <f aca="false">BE119+BF118</f>
        <v>0</v>
      </c>
      <c r="BG119" s="23" t="n">
        <f aca="false">J119</f>
        <v>0</v>
      </c>
      <c r="BH119" s="23" t="n">
        <f aca="false">V119</f>
        <v>0</v>
      </c>
      <c r="BI119" s="23" t="n">
        <f aca="false">AH119</f>
        <v>0</v>
      </c>
      <c r="BJ119" s="23" t="n">
        <f aca="false">AT119</f>
        <v>0</v>
      </c>
      <c r="BK119" s="23" t="n">
        <f aca="false">BF119</f>
        <v>0</v>
      </c>
      <c r="BL119" s="23" t="n">
        <f aca="false">BF119</f>
        <v>0</v>
      </c>
    </row>
    <row r="121" customFormat="false" ht="19.5" hidden="false" customHeight="true" outlineLevel="0" collapsed="false">
      <c r="A121" s="7" t="s">
        <v>77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</row>
    <row r="122" customFormat="false" ht="15" hidden="false" customHeight="false" outlineLevel="0" collapsed="false">
      <c r="A122" s="13" t="s">
        <v>78</v>
      </c>
      <c r="B122" s="14"/>
      <c r="C122" s="15"/>
      <c r="D122" s="15"/>
      <c r="E122" s="11" t="n">
        <f aca="false">SUMIFS(tblAuftraege[Einnahmen],tblAuftraege[Datum Einnahmen],"&gt;="&amp;E$5,tblAuftraege[Datum Einnahmen],"&lt;"&amp;EDATE(E$5,1),tblAuftraege[Themenfeld],"IoT")</f>
        <v>0</v>
      </c>
      <c r="F122" s="11" t="n">
        <f aca="false">SUMIFS(tblAuftraege[Einnahmen],tblAuftraege[Datum Einnahmen],"&gt;="&amp;F$5,tblAuftraege[Datum Einnahmen],"&lt;"&amp;EDATE(F$5,1),tblAuftraege[Themenfeld],"IoT")</f>
        <v>0</v>
      </c>
      <c r="G122" s="11" t="n">
        <f aca="false">SUMIFS(tblAuftraege[Einnahmen],tblAuftraege[Datum Einnahmen],"&gt;="&amp;G$5,tblAuftraege[Datum Einnahmen],"&lt;"&amp;EDATE(G$5,1),tblAuftraege[Themenfeld],"IoT")</f>
        <v>0</v>
      </c>
      <c r="H122" s="11" t="n">
        <f aca="false">SUMIFS(tblAuftraege[Einnahmen],tblAuftraege[Datum Einnahmen],"&gt;="&amp;H$5,tblAuftraege[Datum Einnahmen],"&lt;"&amp;EDATE(H$5,1),tblAuftraege[Themenfeld],"IoT")</f>
        <v>0</v>
      </c>
      <c r="I122" s="11" t="n">
        <f aca="false">SUMIFS(tblAuftraege[Einnahmen],tblAuftraege[Datum Einnahmen],"&gt;="&amp;I$5,tblAuftraege[Datum Einnahmen],"&lt;"&amp;EDATE(I$5,1),tblAuftraege[Themenfeld],"IoT")</f>
        <v>0</v>
      </c>
      <c r="J122" s="11" t="n">
        <f aca="false">SUMIFS(tblAuftraege[Einnahmen],tblAuftraege[Datum Einnahmen],"&gt;="&amp;J$5,tblAuftraege[Datum Einnahmen],"&lt;"&amp;EDATE(J$5,1),tblAuftraege[Themenfeld],"IoT")</f>
        <v>0</v>
      </c>
      <c r="K122" s="11" t="n">
        <f aca="false">SUMIFS(tblAuftraege[Einnahmen],tblAuftraege[Datum Einnahmen],"&gt;="&amp;K$5,tblAuftraege[Datum Einnahmen],"&lt;"&amp;EDATE(K$5,1),tblAuftraege[Themenfeld],"IoT")</f>
        <v>0</v>
      </c>
      <c r="L122" s="11" t="n">
        <f aca="false">SUMIFS(tblAuftraege[Einnahmen],tblAuftraege[Datum Einnahmen],"&gt;="&amp;L$5,tblAuftraege[Datum Einnahmen],"&lt;"&amp;EDATE(L$5,1),tblAuftraege[Themenfeld],"IoT")</f>
        <v>0</v>
      </c>
      <c r="M122" s="11" t="n">
        <f aca="false">SUMIFS(tblAuftraege[Einnahmen],tblAuftraege[Datum Einnahmen],"&gt;="&amp;M$5,tblAuftraege[Datum Einnahmen],"&lt;"&amp;EDATE(M$5,1),tblAuftraege[Themenfeld],"IoT")</f>
        <v>0</v>
      </c>
      <c r="N122" s="11" t="n">
        <f aca="false">SUMIFS(tblAuftraege[Einnahmen],tblAuftraege[Datum Einnahmen],"&gt;="&amp;N$5,tblAuftraege[Datum Einnahmen],"&lt;"&amp;EDATE(N$5,1),tblAuftraege[Themenfeld],"IoT")</f>
        <v>0</v>
      </c>
      <c r="O122" s="11" t="n">
        <f aca="false">SUMIFS(tblAuftraege[Einnahmen],tblAuftraege[Datum Einnahmen],"&gt;="&amp;O$5,tblAuftraege[Datum Einnahmen],"&lt;"&amp;EDATE(O$5,1),tblAuftraege[Themenfeld],"IoT")</f>
        <v>0</v>
      </c>
      <c r="P122" s="11" t="n">
        <f aca="false">SUMIFS(tblAuftraege[Einnahmen],tblAuftraege[Datum Einnahmen],"&gt;="&amp;P$5,tblAuftraege[Datum Einnahmen],"&lt;"&amp;EDATE(P$5,1),tblAuftraege[Themenfeld],"IoT")</f>
        <v>0</v>
      </c>
      <c r="Q122" s="11" t="n">
        <f aca="false">SUMIFS(tblAuftraege[Einnahmen],tblAuftraege[Datum Einnahmen],"&gt;="&amp;Q$5,tblAuftraege[Datum Einnahmen],"&lt;"&amp;EDATE(Q$5,1),tblAuftraege[Themenfeld],"IoT")</f>
        <v>0</v>
      </c>
      <c r="R122" s="11" t="n">
        <f aca="false">SUMIFS(tblAuftraege[Einnahmen],tblAuftraege[Datum Einnahmen],"&gt;="&amp;R$5,tblAuftraege[Datum Einnahmen],"&lt;"&amp;EDATE(R$5,1),tblAuftraege[Themenfeld],"IoT")</f>
        <v>0</v>
      </c>
      <c r="S122" s="11" t="n">
        <f aca="false">SUMIFS(tblAuftraege[Einnahmen],tblAuftraege[Datum Einnahmen],"&gt;="&amp;S$5,tblAuftraege[Datum Einnahmen],"&lt;"&amp;EDATE(S$5,1),tblAuftraege[Themenfeld],"IoT")</f>
        <v>0</v>
      </c>
      <c r="T122" s="11" t="n">
        <f aca="false">SUMIFS(tblAuftraege[Einnahmen],tblAuftraege[Datum Einnahmen],"&gt;="&amp;T$5,tblAuftraege[Datum Einnahmen],"&lt;"&amp;EDATE(T$5,1),tblAuftraege[Themenfeld],"IoT")</f>
        <v>0</v>
      </c>
      <c r="U122" s="11" t="n">
        <f aca="false">SUMIFS(tblAuftraege[Einnahmen],tblAuftraege[Datum Einnahmen],"&gt;="&amp;U$5,tblAuftraege[Datum Einnahmen],"&lt;"&amp;EDATE(U$5,1),tblAuftraege[Themenfeld],"IoT")</f>
        <v>0</v>
      </c>
      <c r="V122" s="11" t="n">
        <f aca="false">SUMIFS(tblAuftraege[Einnahmen],tblAuftraege[Datum Einnahmen],"&gt;="&amp;V$5,tblAuftraege[Datum Einnahmen],"&lt;"&amp;EDATE(V$5,1),tblAuftraege[Themenfeld],"IoT")</f>
        <v>0</v>
      </c>
      <c r="W122" s="11" t="n">
        <f aca="false">SUMIFS(tblAuftraege[Einnahmen],tblAuftraege[Datum Einnahmen],"&gt;="&amp;W$5,tblAuftraege[Datum Einnahmen],"&lt;"&amp;EDATE(W$5,1),tblAuftraege[Themenfeld],"IoT")</f>
        <v>0</v>
      </c>
      <c r="X122" s="11" t="n">
        <f aca="false">SUMIFS(tblAuftraege[Einnahmen],tblAuftraege[Datum Einnahmen],"&gt;="&amp;X$5,tblAuftraege[Datum Einnahmen],"&lt;"&amp;EDATE(X$5,1),tblAuftraege[Themenfeld],"IoT")</f>
        <v>0</v>
      </c>
      <c r="Y122" s="11" t="n">
        <f aca="false">SUMIFS(tblAuftraege[Einnahmen],tblAuftraege[Datum Einnahmen],"&gt;="&amp;Y$5,tblAuftraege[Datum Einnahmen],"&lt;"&amp;EDATE(Y$5,1),tblAuftraege[Themenfeld],"IoT")</f>
        <v>0</v>
      </c>
      <c r="Z122" s="11" t="n">
        <f aca="false">SUMIFS(tblAuftraege[Einnahmen],tblAuftraege[Datum Einnahmen],"&gt;="&amp;Z$5,tblAuftraege[Datum Einnahmen],"&lt;"&amp;EDATE(Z$5,1),tblAuftraege[Themenfeld],"IoT")</f>
        <v>0</v>
      </c>
      <c r="AA122" s="11" t="n">
        <f aca="false">SUMIFS(tblAuftraege[Einnahmen],tblAuftraege[Datum Einnahmen],"&gt;="&amp;AA$5,tblAuftraege[Datum Einnahmen],"&lt;"&amp;EDATE(AA$5,1),tblAuftraege[Themenfeld],"IoT")</f>
        <v>0</v>
      </c>
      <c r="AB122" s="11" t="n">
        <f aca="false">SUMIFS(tblAuftraege[Einnahmen],tblAuftraege[Datum Einnahmen],"&gt;="&amp;AB$5,tblAuftraege[Datum Einnahmen],"&lt;"&amp;EDATE(AB$5,1),tblAuftraege[Themenfeld],"IoT")</f>
        <v>0</v>
      </c>
      <c r="AC122" s="11" t="n">
        <f aca="false">SUMIFS(tblAuftraege[Einnahmen],tblAuftraege[Datum Einnahmen],"&gt;="&amp;AC$5,tblAuftraege[Datum Einnahmen],"&lt;"&amp;EDATE(AC$5,1),tblAuftraege[Themenfeld],"IoT")</f>
        <v>0</v>
      </c>
      <c r="AD122" s="11" t="n">
        <f aca="false">SUMIFS(tblAuftraege[Einnahmen],tblAuftraege[Datum Einnahmen],"&gt;="&amp;AD$5,tblAuftraege[Datum Einnahmen],"&lt;"&amp;EDATE(AD$5,1),tblAuftraege[Themenfeld],"IoT")</f>
        <v>0</v>
      </c>
      <c r="AE122" s="11" t="n">
        <f aca="false">SUMIFS(tblAuftraege[Einnahmen],tblAuftraege[Datum Einnahmen],"&gt;="&amp;AE$5,tblAuftraege[Datum Einnahmen],"&lt;"&amp;EDATE(AE$5,1),tblAuftraege[Themenfeld],"IoT")</f>
        <v>0</v>
      </c>
      <c r="AF122" s="11" t="n">
        <f aca="false">SUMIFS(tblAuftraege[Einnahmen],tblAuftraege[Datum Einnahmen],"&gt;="&amp;AF$5,tblAuftraege[Datum Einnahmen],"&lt;"&amp;EDATE(AF$5,1),tblAuftraege[Themenfeld],"IoT")</f>
        <v>0</v>
      </c>
      <c r="AG122" s="11" t="n">
        <f aca="false">SUMIFS(tblAuftraege[Einnahmen],tblAuftraege[Datum Einnahmen],"&gt;="&amp;AG$5,tblAuftraege[Datum Einnahmen],"&lt;"&amp;EDATE(AG$5,1),tblAuftraege[Themenfeld],"IoT")</f>
        <v>0</v>
      </c>
      <c r="AH122" s="11" t="n">
        <f aca="false">SUMIFS(tblAuftraege[Einnahmen],tblAuftraege[Datum Einnahmen],"&gt;="&amp;AH$5,tblAuftraege[Datum Einnahmen],"&lt;"&amp;EDATE(AH$5,1),tblAuftraege[Themenfeld],"IoT")</f>
        <v>0</v>
      </c>
      <c r="AI122" s="11" t="n">
        <f aca="false">SUMIFS(tblAuftraege[Einnahmen],tblAuftraege[Datum Einnahmen],"&gt;="&amp;AI$5,tblAuftraege[Datum Einnahmen],"&lt;"&amp;EDATE(AI$5,1),tblAuftraege[Themenfeld],"IoT")</f>
        <v>0</v>
      </c>
      <c r="AJ122" s="11" t="n">
        <f aca="false">SUMIFS(tblAuftraege[Einnahmen],tblAuftraege[Datum Einnahmen],"&gt;="&amp;AJ$5,tblAuftraege[Datum Einnahmen],"&lt;"&amp;EDATE(AJ$5,1),tblAuftraege[Themenfeld],"IoT")</f>
        <v>0</v>
      </c>
      <c r="AK122" s="11" t="n">
        <f aca="false">SUMIFS(tblAuftraege[Einnahmen],tblAuftraege[Datum Einnahmen],"&gt;="&amp;AK$5,tblAuftraege[Datum Einnahmen],"&lt;"&amp;EDATE(AK$5,1),tblAuftraege[Themenfeld],"IoT")</f>
        <v>0</v>
      </c>
      <c r="AL122" s="11" t="n">
        <f aca="false">SUMIFS(tblAuftraege[Einnahmen],tblAuftraege[Datum Einnahmen],"&gt;="&amp;AL$5,tblAuftraege[Datum Einnahmen],"&lt;"&amp;EDATE(AL$5,1),tblAuftraege[Themenfeld],"IoT")</f>
        <v>0</v>
      </c>
      <c r="AM122" s="11" t="n">
        <f aca="false">SUMIFS(tblAuftraege[Einnahmen],tblAuftraege[Datum Einnahmen],"&gt;="&amp;AM$5,tblAuftraege[Datum Einnahmen],"&lt;"&amp;EDATE(AM$5,1),tblAuftraege[Themenfeld],"IoT")</f>
        <v>0</v>
      </c>
      <c r="AN122" s="11" t="n">
        <f aca="false">SUMIFS(tblAuftraege[Einnahmen],tblAuftraege[Datum Einnahmen],"&gt;="&amp;AN$5,tblAuftraege[Datum Einnahmen],"&lt;"&amp;EDATE(AN$5,1),tblAuftraege[Themenfeld],"IoT")</f>
        <v>0</v>
      </c>
      <c r="AO122" s="11" t="n">
        <f aca="false">SUMIFS(tblAuftraege[Einnahmen],tblAuftraege[Datum Einnahmen],"&gt;="&amp;AO$5,tblAuftraege[Datum Einnahmen],"&lt;"&amp;EDATE(AO$5,1),tblAuftraege[Themenfeld],"IoT")</f>
        <v>0</v>
      </c>
      <c r="AP122" s="11" t="n">
        <f aca="false">SUMIFS(tblAuftraege[Einnahmen],tblAuftraege[Datum Einnahmen],"&gt;="&amp;AP$5,tblAuftraege[Datum Einnahmen],"&lt;"&amp;EDATE(AP$5,1),tblAuftraege[Themenfeld],"IoT")</f>
        <v>0</v>
      </c>
      <c r="AQ122" s="11" t="n">
        <f aca="false">SUMIFS(tblAuftraege[Einnahmen],tblAuftraege[Datum Einnahmen],"&gt;="&amp;AQ$5,tblAuftraege[Datum Einnahmen],"&lt;"&amp;EDATE(AQ$5,1),tblAuftraege[Themenfeld],"IoT")</f>
        <v>0</v>
      </c>
      <c r="AR122" s="11" t="n">
        <f aca="false">SUMIFS(tblAuftraege[Einnahmen],tblAuftraege[Datum Einnahmen],"&gt;="&amp;AR$5,tblAuftraege[Datum Einnahmen],"&lt;"&amp;EDATE(AR$5,1),tblAuftraege[Themenfeld],"IoT")</f>
        <v>0</v>
      </c>
      <c r="AS122" s="11" t="n">
        <f aca="false">SUMIFS(tblAuftraege[Einnahmen],tblAuftraege[Datum Einnahmen],"&gt;="&amp;AS$5,tblAuftraege[Datum Einnahmen],"&lt;"&amp;EDATE(AS$5,1),tblAuftraege[Themenfeld],"IoT")</f>
        <v>0</v>
      </c>
      <c r="AT122" s="11" t="n">
        <f aca="false">SUMIFS(tblAuftraege[Einnahmen],tblAuftraege[Datum Einnahmen],"&gt;="&amp;AT$5,tblAuftraege[Datum Einnahmen],"&lt;"&amp;EDATE(AT$5,1),tblAuftraege[Themenfeld],"IoT")</f>
        <v>0</v>
      </c>
      <c r="AU122" s="11" t="n">
        <f aca="false">SUMIFS(tblAuftraege[Einnahmen],tblAuftraege[Datum Einnahmen],"&gt;="&amp;AU$5,tblAuftraege[Datum Einnahmen],"&lt;"&amp;EDATE(AU$5,1),tblAuftraege[Themenfeld],"IoT")</f>
        <v>0</v>
      </c>
      <c r="AV122" s="11" t="n">
        <f aca="false">SUMIFS(tblAuftraege[Einnahmen],tblAuftraege[Datum Einnahmen],"&gt;="&amp;AV$5,tblAuftraege[Datum Einnahmen],"&lt;"&amp;EDATE(AV$5,1),tblAuftraege[Themenfeld],"IoT")</f>
        <v>0</v>
      </c>
      <c r="AW122" s="11" t="n">
        <f aca="false">SUMIFS(tblAuftraege[Einnahmen],tblAuftraege[Datum Einnahmen],"&gt;="&amp;AW$5,tblAuftraege[Datum Einnahmen],"&lt;"&amp;EDATE(AW$5,1),tblAuftraege[Themenfeld],"IoT")</f>
        <v>0</v>
      </c>
      <c r="AX122" s="11" t="n">
        <f aca="false">SUMIFS(tblAuftraege[Einnahmen],tblAuftraege[Datum Einnahmen],"&gt;="&amp;AX$5,tblAuftraege[Datum Einnahmen],"&lt;"&amp;EDATE(AX$5,1),tblAuftraege[Themenfeld],"IoT")</f>
        <v>0</v>
      </c>
      <c r="AY122" s="11" t="n">
        <f aca="false">SUMIFS(tblAuftraege[Einnahmen],tblAuftraege[Datum Einnahmen],"&gt;="&amp;AY$5,tblAuftraege[Datum Einnahmen],"&lt;"&amp;EDATE(AY$5,1),tblAuftraege[Themenfeld],"IoT")</f>
        <v>0</v>
      </c>
      <c r="AZ122" s="11" t="n">
        <f aca="false">SUMIFS(tblAuftraege[Einnahmen],tblAuftraege[Datum Einnahmen],"&gt;="&amp;AZ$5,tblAuftraege[Datum Einnahmen],"&lt;"&amp;EDATE(AZ$5,1),tblAuftraege[Themenfeld],"IoT")</f>
        <v>0</v>
      </c>
      <c r="BA122" s="11" t="n">
        <f aca="false">SUMIFS(tblAuftraege[Einnahmen],tblAuftraege[Datum Einnahmen],"&gt;="&amp;BA$5,tblAuftraege[Datum Einnahmen],"&lt;"&amp;EDATE(BA$5,1),tblAuftraege[Themenfeld],"IoT")</f>
        <v>0</v>
      </c>
      <c r="BB122" s="11" t="n">
        <f aca="false">SUMIFS(tblAuftraege[Einnahmen],tblAuftraege[Datum Einnahmen],"&gt;="&amp;BB$5,tblAuftraege[Datum Einnahmen],"&lt;"&amp;EDATE(BB$5,1),tblAuftraege[Themenfeld],"IoT")</f>
        <v>0</v>
      </c>
      <c r="BC122" s="11" t="n">
        <f aca="false">SUMIFS(tblAuftraege[Einnahmen],tblAuftraege[Datum Einnahmen],"&gt;="&amp;BC$5,tblAuftraege[Datum Einnahmen],"&lt;"&amp;EDATE(BC$5,1),tblAuftraege[Themenfeld],"IoT")</f>
        <v>0</v>
      </c>
      <c r="BD122" s="11" t="n">
        <f aca="false">SUMIFS(tblAuftraege[Einnahmen],tblAuftraege[Datum Einnahmen],"&gt;="&amp;BD$5,tblAuftraege[Datum Einnahmen],"&lt;"&amp;EDATE(BD$5,1),tblAuftraege[Themenfeld],"IoT")</f>
        <v>0</v>
      </c>
      <c r="BE122" s="11" t="n">
        <f aca="false">SUMIFS(tblAuftraege[Einnahmen],tblAuftraege[Datum Einnahmen],"&gt;="&amp;BE$5,tblAuftraege[Datum Einnahmen],"&lt;"&amp;EDATE(BE$5,1),tblAuftraege[Themenfeld],"IoT")</f>
        <v>0</v>
      </c>
      <c r="BF122" s="11" t="n">
        <f aca="false">SUMIFS(tblAuftraege[Einnahmen],tblAuftraege[Datum Einnahmen],"&gt;="&amp;BF$5,tblAuftraege[Datum Einnahmen],"&lt;"&amp;EDATE(BF$5,1),tblAuftraege[Themenfeld],"IoT")</f>
        <v>0</v>
      </c>
      <c r="BG122" s="11" t="n">
        <f aca="false">SUM(E122:J122)</f>
        <v>0</v>
      </c>
      <c r="BH122" s="11" t="n">
        <f aca="false">SUM(K122:V122)</f>
        <v>0</v>
      </c>
      <c r="BI122" s="11" t="n">
        <f aca="false">SUM(W122:AH122)</f>
        <v>0</v>
      </c>
      <c r="BJ122" s="11" t="n">
        <f aca="false">SUM(AI122:AT122)</f>
        <v>0</v>
      </c>
      <c r="BK122" s="11" t="n">
        <f aca="false">SUM(AU122:BF122)</f>
        <v>0</v>
      </c>
      <c r="BL122" s="11" t="n">
        <f aca="false">SUM(E122:BF122)</f>
        <v>0</v>
      </c>
    </row>
    <row r="123" customFormat="false" ht="15" hidden="false" customHeight="false" outlineLevel="0" collapsed="false">
      <c r="A123" s="13" t="s">
        <v>79</v>
      </c>
      <c r="B123" s="14"/>
      <c r="C123" s="15"/>
      <c r="D123" s="15"/>
      <c r="E123" s="11" t="n">
        <f aca="false">SUMIFS(tblAuftraege[Ausgaben],tblAuftraege[Datum Ausgaben],"&gt;="&amp;E$5,tblAuftraege[Datum Ausgaben],"&lt;"&amp;EDATE(E$5,1),tblAuftraege[Themenfeld],"IoT")</f>
        <v>0</v>
      </c>
      <c r="F123" s="11" t="n">
        <f aca="false">SUMIFS(tblAuftraege[Ausgaben],tblAuftraege[Datum Ausgaben],"&gt;="&amp;F$5,tblAuftraege[Datum Ausgaben],"&lt;"&amp;EDATE(F$5,1),tblAuftraege[Themenfeld],"IoT")</f>
        <v>0</v>
      </c>
      <c r="G123" s="11" t="n">
        <f aca="false">SUMIFS(tblAuftraege[Ausgaben],tblAuftraege[Datum Ausgaben],"&gt;="&amp;G$5,tblAuftraege[Datum Ausgaben],"&lt;"&amp;EDATE(G$5,1),tblAuftraege[Themenfeld],"IoT")</f>
        <v>0</v>
      </c>
      <c r="H123" s="11" t="n">
        <f aca="false">SUMIFS(tblAuftraege[Ausgaben],tblAuftraege[Datum Ausgaben],"&gt;="&amp;H$5,tblAuftraege[Datum Ausgaben],"&lt;"&amp;EDATE(H$5,1),tblAuftraege[Themenfeld],"IoT")</f>
        <v>0</v>
      </c>
      <c r="I123" s="11" t="n">
        <f aca="false">SUMIFS(tblAuftraege[Ausgaben],tblAuftraege[Datum Ausgaben],"&gt;="&amp;I$5,tblAuftraege[Datum Ausgaben],"&lt;"&amp;EDATE(I$5,1),tblAuftraege[Themenfeld],"IoT")</f>
        <v>0</v>
      </c>
      <c r="J123" s="11" t="n">
        <f aca="false">SUMIFS(tblAuftraege[Ausgaben],tblAuftraege[Datum Ausgaben],"&gt;="&amp;J$5,tblAuftraege[Datum Ausgaben],"&lt;"&amp;EDATE(J$5,1),tblAuftraege[Themenfeld],"IoT")</f>
        <v>0</v>
      </c>
      <c r="K123" s="11" t="n">
        <f aca="false">SUMIFS(tblAuftraege[Ausgaben],tblAuftraege[Datum Ausgaben],"&gt;="&amp;K$5,tblAuftraege[Datum Ausgaben],"&lt;"&amp;EDATE(K$5,1),tblAuftraege[Themenfeld],"IoT")</f>
        <v>0</v>
      </c>
      <c r="L123" s="11" t="n">
        <f aca="false">SUMIFS(tblAuftraege[Ausgaben],tblAuftraege[Datum Ausgaben],"&gt;="&amp;L$5,tblAuftraege[Datum Ausgaben],"&lt;"&amp;EDATE(L$5,1),tblAuftraege[Themenfeld],"IoT")</f>
        <v>0</v>
      </c>
      <c r="M123" s="11" t="n">
        <f aca="false">SUMIFS(tblAuftraege[Ausgaben],tblAuftraege[Datum Ausgaben],"&gt;="&amp;M$5,tblAuftraege[Datum Ausgaben],"&lt;"&amp;EDATE(M$5,1),tblAuftraege[Themenfeld],"IoT")</f>
        <v>0</v>
      </c>
      <c r="N123" s="11" t="n">
        <f aca="false">SUMIFS(tblAuftraege[Ausgaben],tblAuftraege[Datum Ausgaben],"&gt;="&amp;N$5,tblAuftraege[Datum Ausgaben],"&lt;"&amp;EDATE(N$5,1),tblAuftraege[Themenfeld],"IoT")</f>
        <v>0</v>
      </c>
      <c r="O123" s="11" t="n">
        <f aca="false">SUMIFS(tblAuftraege[Ausgaben],tblAuftraege[Datum Ausgaben],"&gt;="&amp;O$5,tblAuftraege[Datum Ausgaben],"&lt;"&amp;EDATE(O$5,1),tblAuftraege[Themenfeld],"IoT")</f>
        <v>0</v>
      </c>
      <c r="P123" s="11" t="n">
        <f aca="false">SUMIFS(tblAuftraege[Ausgaben],tblAuftraege[Datum Ausgaben],"&gt;="&amp;P$5,tblAuftraege[Datum Ausgaben],"&lt;"&amp;EDATE(P$5,1),tblAuftraege[Themenfeld],"IoT")</f>
        <v>0</v>
      </c>
      <c r="Q123" s="11" t="n">
        <f aca="false">SUMIFS(tblAuftraege[Ausgaben],tblAuftraege[Datum Ausgaben],"&gt;="&amp;Q$5,tblAuftraege[Datum Ausgaben],"&lt;"&amp;EDATE(Q$5,1),tblAuftraege[Themenfeld],"IoT")</f>
        <v>0</v>
      </c>
      <c r="R123" s="11" t="n">
        <f aca="false">SUMIFS(tblAuftraege[Ausgaben],tblAuftraege[Datum Ausgaben],"&gt;="&amp;R$5,tblAuftraege[Datum Ausgaben],"&lt;"&amp;EDATE(R$5,1),tblAuftraege[Themenfeld],"IoT")</f>
        <v>0</v>
      </c>
      <c r="S123" s="11" t="n">
        <f aca="false">SUMIFS(tblAuftraege[Ausgaben],tblAuftraege[Datum Ausgaben],"&gt;="&amp;S$5,tblAuftraege[Datum Ausgaben],"&lt;"&amp;EDATE(S$5,1),tblAuftraege[Themenfeld],"IoT")</f>
        <v>0</v>
      </c>
      <c r="T123" s="11" t="n">
        <f aca="false">SUMIFS(tblAuftraege[Ausgaben],tblAuftraege[Datum Ausgaben],"&gt;="&amp;T$5,tblAuftraege[Datum Ausgaben],"&lt;"&amp;EDATE(T$5,1),tblAuftraege[Themenfeld],"IoT")</f>
        <v>0</v>
      </c>
      <c r="U123" s="11" t="n">
        <f aca="false">SUMIFS(tblAuftraege[Ausgaben],tblAuftraege[Datum Ausgaben],"&gt;="&amp;U$5,tblAuftraege[Datum Ausgaben],"&lt;"&amp;EDATE(U$5,1),tblAuftraege[Themenfeld],"IoT")</f>
        <v>0</v>
      </c>
      <c r="V123" s="11" t="n">
        <f aca="false">SUMIFS(tblAuftraege[Ausgaben],tblAuftraege[Datum Ausgaben],"&gt;="&amp;V$5,tblAuftraege[Datum Ausgaben],"&lt;"&amp;EDATE(V$5,1),tblAuftraege[Themenfeld],"IoT")</f>
        <v>0</v>
      </c>
      <c r="W123" s="11" t="n">
        <f aca="false">SUMIFS(tblAuftraege[Ausgaben],tblAuftraege[Datum Ausgaben],"&gt;="&amp;W$5,tblAuftraege[Datum Ausgaben],"&lt;"&amp;EDATE(W$5,1),tblAuftraege[Themenfeld],"IoT")</f>
        <v>0</v>
      </c>
      <c r="X123" s="11" t="n">
        <f aca="false">SUMIFS(tblAuftraege[Ausgaben],tblAuftraege[Datum Ausgaben],"&gt;="&amp;X$5,tblAuftraege[Datum Ausgaben],"&lt;"&amp;EDATE(X$5,1),tblAuftraege[Themenfeld],"IoT")</f>
        <v>0</v>
      </c>
      <c r="Y123" s="11" t="n">
        <f aca="false">SUMIFS(tblAuftraege[Ausgaben],tblAuftraege[Datum Ausgaben],"&gt;="&amp;Y$5,tblAuftraege[Datum Ausgaben],"&lt;"&amp;EDATE(Y$5,1),tblAuftraege[Themenfeld],"IoT")</f>
        <v>0</v>
      </c>
      <c r="Z123" s="11" t="n">
        <f aca="false">SUMIFS(tblAuftraege[Ausgaben],tblAuftraege[Datum Ausgaben],"&gt;="&amp;Z$5,tblAuftraege[Datum Ausgaben],"&lt;"&amp;EDATE(Z$5,1),tblAuftraege[Themenfeld],"IoT")</f>
        <v>0</v>
      </c>
      <c r="AA123" s="11" t="n">
        <f aca="false">SUMIFS(tblAuftraege[Ausgaben],tblAuftraege[Datum Ausgaben],"&gt;="&amp;AA$5,tblAuftraege[Datum Ausgaben],"&lt;"&amp;EDATE(AA$5,1),tblAuftraege[Themenfeld],"IoT")</f>
        <v>0</v>
      </c>
      <c r="AB123" s="11" t="n">
        <f aca="false">SUMIFS(tblAuftraege[Ausgaben],tblAuftraege[Datum Ausgaben],"&gt;="&amp;AB$5,tblAuftraege[Datum Ausgaben],"&lt;"&amp;EDATE(AB$5,1),tblAuftraege[Themenfeld],"IoT")</f>
        <v>0</v>
      </c>
      <c r="AC123" s="11" t="n">
        <f aca="false">SUMIFS(tblAuftraege[Ausgaben],tblAuftraege[Datum Ausgaben],"&gt;="&amp;AC$5,tblAuftraege[Datum Ausgaben],"&lt;"&amp;EDATE(AC$5,1),tblAuftraege[Themenfeld],"IoT")</f>
        <v>0</v>
      </c>
      <c r="AD123" s="11" t="n">
        <f aca="false">SUMIFS(tblAuftraege[Ausgaben],tblAuftraege[Datum Ausgaben],"&gt;="&amp;AD$5,tblAuftraege[Datum Ausgaben],"&lt;"&amp;EDATE(AD$5,1),tblAuftraege[Themenfeld],"IoT")</f>
        <v>0</v>
      </c>
      <c r="AE123" s="11" t="n">
        <f aca="false">SUMIFS(tblAuftraege[Ausgaben],tblAuftraege[Datum Ausgaben],"&gt;="&amp;AE$5,tblAuftraege[Datum Ausgaben],"&lt;"&amp;EDATE(AE$5,1),tblAuftraege[Themenfeld],"IoT")</f>
        <v>0</v>
      </c>
      <c r="AF123" s="11" t="n">
        <f aca="false">SUMIFS(tblAuftraege[Ausgaben],tblAuftraege[Datum Ausgaben],"&gt;="&amp;AF$5,tblAuftraege[Datum Ausgaben],"&lt;"&amp;EDATE(AF$5,1),tblAuftraege[Themenfeld],"IoT")</f>
        <v>0</v>
      </c>
      <c r="AG123" s="11" t="n">
        <f aca="false">SUMIFS(tblAuftraege[Ausgaben],tblAuftraege[Datum Ausgaben],"&gt;="&amp;AG$5,tblAuftraege[Datum Ausgaben],"&lt;"&amp;EDATE(AG$5,1),tblAuftraege[Themenfeld],"IoT")</f>
        <v>0</v>
      </c>
      <c r="AH123" s="11" t="n">
        <f aca="false">SUMIFS(tblAuftraege[Ausgaben],tblAuftraege[Datum Ausgaben],"&gt;="&amp;AH$5,tblAuftraege[Datum Ausgaben],"&lt;"&amp;EDATE(AH$5,1),tblAuftraege[Themenfeld],"IoT")</f>
        <v>0</v>
      </c>
      <c r="AI123" s="11" t="n">
        <f aca="false">SUMIFS(tblAuftraege[Ausgaben],tblAuftraege[Datum Ausgaben],"&gt;="&amp;AI$5,tblAuftraege[Datum Ausgaben],"&lt;"&amp;EDATE(AI$5,1),tblAuftraege[Themenfeld],"IoT")</f>
        <v>0</v>
      </c>
      <c r="AJ123" s="11" t="n">
        <f aca="false">SUMIFS(tblAuftraege[Ausgaben],tblAuftraege[Datum Ausgaben],"&gt;="&amp;AJ$5,tblAuftraege[Datum Ausgaben],"&lt;"&amp;EDATE(AJ$5,1),tblAuftraege[Themenfeld],"IoT")</f>
        <v>0</v>
      </c>
      <c r="AK123" s="11" t="n">
        <f aca="false">SUMIFS(tblAuftraege[Ausgaben],tblAuftraege[Datum Ausgaben],"&gt;="&amp;AK$5,tblAuftraege[Datum Ausgaben],"&lt;"&amp;EDATE(AK$5,1),tblAuftraege[Themenfeld],"IoT")</f>
        <v>0</v>
      </c>
      <c r="AL123" s="11" t="n">
        <f aca="false">SUMIFS(tblAuftraege[Ausgaben],tblAuftraege[Datum Ausgaben],"&gt;="&amp;AL$5,tblAuftraege[Datum Ausgaben],"&lt;"&amp;EDATE(AL$5,1),tblAuftraege[Themenfeld],"IoT")</f>
        <v>0</v>
      </c>
      <c r="AM123" s="11" t="n">
        <f aca="false">SUMIFS(tblAuftraege[Ausgaben],tblAuftraege[Datum Ausgaben],"&gt;="&amp;AM$5,tblAuftraege[Datum Ausgaben],"&lt;"&amp;EDATE(AM$5,1),tblAuftraege[Themenfeld],"IoT")</f>
        <v>0</v>
      </c>
      <c r="AN123" s="11" t="n">
        <f aca="false">SUMIFS(tblAuftraege[Ausgaben],tblAuftraege[Datum Ausgaben],"&gt;="&amp;AN$5,tblAuftraege[Datum Ausgaben],"&lt;"&amp;EDATE(AN$5,1),tblAuftraege[Themenfeld],"IoT")</f>
        <v>0</v>
      </c>
      <c r="AO123" s="11" t="n">
        <f aca="false">SUMIFS(tblAuftraege[Ausgaben],tblAuftraege[Datum Ausgaben],"&gt;="&amp;AO$5,tblAuftraege[Datum Ausgaben],"&lt;"&amp;EDATE(AO$5,1),tblAuftraege[Themenfeld],"IoT")</f>
        <v>0</v>
      </c>
      <c r="AP123" s="11" t="n">
        <f aca="false">SUMIFS(tblAuftraege[Ausgaben],tblAuftraege[Datum Ausgaben],"&gt;="&amp;AP$5,tblAuftraege[Datum Ausgaben],"&lt;"&amp;EDATE(AP$5,1),tblAuftraege[Themenfeld],"IoT")</f>
        <v>0</v>
      </c>
      <c r="AQ123" s="11" t="n">
        <f aca="false">SUMIFS(tblAuftraege[Ausgaben],tblAuftraege[Datum Ausgaben],"&gt;="&amp;AQ$5,tblAuftraege[Datum Ausgaben],"&lt;"&amp;EDATE(AQ$5,1),tblAuftraege[Themenfeld],"IoT")</f>
        <v>0</v>
      </c>
      <c r="AR123" s="11" t="n">
        <f aca="false">SUMIFS(tblAuftraege[Ausgaben],tblAuftraege[Datum Ausgaben],"&gt;="&amp;AR$5,tblAuftraege[Datum Ausgaben],"&lt;"&amp;EDATE(AR$5,1),tblAuftraege[Themenfeld],"IoT")</f>
        <v>0</v>
      </c>
      <c r="AS123" s="11" t="n">
        <f aca="false">SUMIFS(tblAuftraege[Ausgaben],tblAuftraege[Datum Ausgaben],"&gt;="&amp;AS$5,tblAuftraege[Datum Ausgaben],"&lt;"&amp;EDATE(AS$5,1),tblAuftraege[Themenfeld],"IoT")</f>
        <v>0</v>
      </c>
      <c r="AT123" s="11" t="n">
        <f aca="false">SUMIFS(tblAuftraege[Ausgaben],tblAuftraege[Datum Ausgaben],"&gt;="&amp;AT$5,tblAuftraege[Datum Ausgaben],"&lt;"&amp;EDATE(AT$5,1),tblAuftraege[Themenfeld],"IoT")</f>
        <v>0</v>
      </c>
      <c r="AU123" s="11" t="n">
        <f aca="false">SUMIFS(tblAuftraege[Ausgaben],tblAuftraege[Datum Ausgaben],"&gt;="&amp;AU$5,tblAuftraege[Datum Ausgaben],"&lt;"&amp;EDATE(AU$5,1),tblAuftraege[Themenfeld],"IoT")</f>
        <v>0</v>
      </c>
      <c r="AV123" s="11" t="n">
        <f aca="false">SUMIFS(tblAuftraege[Ausgaben],tblAuftraege[Datum Ausgaben],"&gt;="&amp;AV$5,tblAuftraege[Datum Ausgaben],"&lt;"&amp;EDATE(AV$5,1),tblAuftraege[Themenfeld],"IoT")</f>
        <v>0</v>
      </c>
      <c r="AW123" s="11" t="n">
        <f aca="false">SUMIFS(tblAuftraege[Ausgaben],tblAuftraege[Datum Ausgaben],"&gt;="&amp;AW$5,tblAuftraege[Datum Ausgaben],"&lt;"&amp;EDATE(AW$5,1),tblAuftraege[Themenfeld],"IoT")</f>
        <v>0</v>
      </c>
      <c r="AX123" s="11" t="n">
        <f aca="false">SUMIFS(tblAuftraege[Ausgaben],tblAuftraege[Datum Ausgaben],"&gt;="&amp;AX$5,tblAuftraege[Datum Ausgaben],"&lt;"&amp;EDATE(AX$5,1),tblAuftraege[Themenfeld],"IoT")</f>
        <v>0</v>
      </c>
      <c r="AY123" s="11" t="n">
        <f aca="false">SUMIFS(tblAuftraege[Ausgaben],tblAuftraege[Datum Ausgaben],"&gt;="&amp;AY$5,tblAuftraege[Datum Ausgaben],"&lt;"&amp;EDATE(AY$5,1),tblAuftraege[Themenfeld],"IoT")</f>
        <v>0</v>
      </c>
      <c r="AZ123" s="11" t="n">
        <f aca="false">SUMIFS(tblAuftraege[Ausgaben],tblAuftraege[Datum Ausgaben],"&gt;="&amp;AZ$5,tblAuftraege[Datum Ausgaben],"&lt;"&amp;EDATE(AZ$5,1),tblAuftraege[Themenfeld],"IoT")</f>
        <v>0</v>
      </c>
      <c r="BA123" s="11" t="n">
        <f aca="false">SUMIFS(tblAuftraege[Ausgaben],tblAuftraege[Datum Ausgaben],"&gt;="&amp;BA$5,tblAuftraege[Datum Ausgaben],"&lt;"&amp;EDATE(BA$5,1),tblAuftraege[Themenfeld],"IoT")</f>
        <v>0</v>
      </c>
      <c r="BB123" s="11" t="n">
        <f aca="false">SUMIFS(tblAuftraege[Ausgaben],tblAuftraege[Datum Ausgaben],"&gt;="&amp;BB$5,tblAuftraege[Datum Ausgaben],"&lt;"&amp;EDATE(BB$5,1),tblAuftraege[Themenfeld],"IoT")</f>
        <v>0</v>
      </c>
      <c r="BC123" s="11" t="n">
        <f aca="false">SUMIFS(tblAuftraege[Ausgaben],tblAuftraege[Datum Ausgaben],"&gt;="&amp;BC$5,tblAuftraege[Datum Ausgaben],"&lt;"&amp;EDATE(BC$5,1),tblAuftraege[Themenfeld],"IoT")</f>
        <v>0</v>
      </c>
      <c r="BD123" s="11" t="n">
        <f aca="false">SUMIFS(tblAuftraege[Ausgaben],tblAuftraege[Datum Ausgaben],"&gt;="&amp;BD$5,tblAuftraege[Datum Ausgaben],"&lt;"&amp;EDATE(BD$5,1),tblAuftraege[Themenfeld],"IoT")</f>
        <v>0</v>
      </c>
      <c r="BE123" s="11" t="n">
        <f aca="false">SUMIFS(tblAuftraege[Ausgaben],tblAuftraege[Datum Ausgaben],"&gt;="&amp;BE$5,tblAuftraege[Datum Ausgaben],"&lt;"&amp;EDATE(BE$5,1),tblAuftraege[Themenfeld],"IoT")</f>
        <v>0</v>
      </c>
      <c r="BF123" s="11" t="n">
        <f aca="false">SUMIFS(tblAuftraege[Ausgaben],tblAuftraege[Datum Ausgaben],"&gt;="&amp;BF$5,tblAuftraege[Datum Ausgaben],"&lt;"&amp;EDATE(BF$5,1),tblAuftraege[Themenfeld],"IoT")</f>
        <v>0</v>
      </c>
      <c r="BG123" s="11" t="n">
        <f aca="false">SUM(E123:J123)</f>
        <v>0</v>
      </c>
      <c r="BH123" s="11" t="n">
        <f aca="false">SUM(K123:V123)</f>
        <v>0</v>
      </c>
      <c r="BI123" s="11" t="n">
        <f aca="false">SUM(W123:AH123)</f>
        <v>0</v>
      </c>
      <c r="BJ123" s="11" t="n">
        <f aca="false">SUM(AI123:AT123)</f>
        <v>0</v>
      </c>
      <c r="BK123" s="11" t="n">
        <f aca="false">SUM(AU123:BF123)</f>
        <v>0</v>
      </c>
      <c r="BL123" s="11" t="n">
        <f aca="false">SUM(E123:BF123)</f>
        <v>0</v>
      </c>
    </row>
    <row r="124" customFormat="false" ht="15" hidden="false" customHeight="false" outlineLevel="0" collapsed="false">
      <c r="A124" s="24" t="s">
        <v>80</v>
      </c>
      <c r="B124" s="25"/>
      <c r="C124" s="26"/>
      <c r="D124" s="26"/>
      <c r="E124" s="27" t="n">
        <f aca="false">SUMPRODUCT(tblAuftraege[Einnahmen],tblAuftraege[Auftragswahrscheinlichkeit],(tblAuftraege[Datum Einnahmen]&gt;=E$5)*1,(tblAuftraege[Datum Einnahmen]&lt;EDATE(E$5,1))*1,(tblAuftraege[Themenfeld]="IoT")*1)-SUMPRODUCT(tblAuftraege[Ausgaben],tblAuftraege[Auftragswahrscheinlichkeit],(tblAuftraege[Datum Ausgaben]&gt;=E$5)*1,(tblAuftraege[Datum Ausgaben]&lt;EDATE(E$5,1))*1,(tblAuftraege[Themenfeld]="IoT")*1)</f>
        <v>0</v>
      </c>
      <c r="F124" s="27" t="n">
        <f aca="false">SUMPRODUCT(tblAuftraege[Einnahmen],tblAuftraege[Auftragswahrscheinlichkeit],(tblAuftraege[Datum Einnahmen]&gt;=F$5)*1,(tblAuftraege[Datum Einnahmen]&lt;EDATE(F$5,1))*1,(tblAuftraege[Themenfeld]="IoT")*1)-SUMPRODUCT(tblAuftraege[Ausgaben],tblAuftraege[Auftragswahrscheinlichkeit],(tblAuftraege[Datum Ausgaben]&gt;=F$5)*1,(tblAuftraege[Datum Ausgaben]&lt;EDATE(F$5,1))*1,(tblAuftraege[Themenfeld]="IoT")*1)</f>
        <v>0</v>
      </c>
      <c r="G124" s="27" t="n">
        <f aca="false">SUMPRODUCT(tblAuftraege[Einnahmen],tblAuftraege[Auftragswahrscheinlichkeit],(tblAuftraege[Datum Einnahmen]&gt;=G$5)*1,(tblAuftraege[Datum Einnahmen]&lt;EDATE(G$5,1))*1,(tblAuftraege[Themenfeld]="IoT")*1)-SUMPRODUCT(tblAuftraege[Ausgaben],tblAuftraege[Auftragswahrscheinlichkeit],(tblAuftraege[Datum Ausgaben]&gt;=G$5)*1,(tblAuftraege[Datum Ausgaben]&lt;EDATE(G$5,1))*1,(tblAuftraege[Themenfeld]="IoT")*1)</f>
        <v>0</v>
      </c>
      <c r="H124" s="27" t="n">
        <f aca="false">SUMPRODUCT(tblAuftraege[Einnahmen],tblAuftraege[Auftragswahrscheinlichkeit],(tblAuftraege[Datum Einnahmen]&gt;=H$5)*1,(tblAuftraege[Datum Einnahmen]&lt;EDATE(H$5,1))*1,(tblAuftraege[Themenfeld]="IoT")*1)-SUMPRODUCT(tblAuftraege[Ausgaben],tblAuftraege[Auftragswahrscheinlichkeit],(tblAuftraege[Datum Ausgaben]&gt;=H$5)*1,(tblAuftraege[Datum Ausgaben]&lt;EDATE(H$5,1))*1,(tblAuftraege[Themenfeld]="IoT")*1)</f>
        <v>0</v>
      </c>
      <c r="I124" s="27" t="n">
        <f aca="false">SUMPRODUCT(tblAuftraege[Einnahmen],tblAuftraege[Auftragswahrscheinlichkeit],(tblAuftraege[Datum Einnahmen]&gt;=I$5)*1,(tblAuftraege[Datum Einnahmen]&lt;EDATE(I$5,1))*1,(tblAuftraege[Themenfeld]="IoT")*1)-SUMPRODUCT(tblAuftraege[Ausgaben],tblAuftraege[Auftragswahrscheinlichkeit],(tblAuftraege[Datum Ausgaben]&gt;=I$5)*1,(tblAuftraege[Datum Ausgaben]&lt;EDATE(I$5,1))*1,(tblAuftraege[Themenfeld]="IoT")*1)</f>
        <v>0</v>
      </c>
      <c r="J124" s="27" t="n">
        <f aca="false">SUMPRODUCT(tblAuftraege[Einnahmen],tblAuftraege[Auftragswahrscheinlichkeit],(tblAuftraege[Datum Einnahmen]&gt;=J$5)*1,(tblAuftraege[Datum Einnahmen]&lt;EDATE(J$5,1))*1,(tblAuftraege[Themenfeld]="IoT")*1)-SUMPRODUCT(tblAuftraege[Ausgaben],tblAuftraege[Auftragswahrscheinlichkeit],(tblAuftraege[Datum Ausgaben]&gt;=J$5)*1,(tblAuftraege[Datum Ausgaben]&lt;EDATE(J$5,1))*1,(tblAuftraege[Themenfeld]="IoT")*1)</f>
        <v>0</v>
      </c>
      <c r="K124" s="27" t="n">
        <f aca="false">SUMPRODUCT(tblAuftraege[Einnahmen],tblAuftraege[Auftragswahrscheinlichkeit],(tblAuftraege[Datum Einnahmen]&gt;=K$5)*1,(tblAuftraege[Datum Einnahmen]&lt;EDATE(K$5,1))*1,(tblAuftraege[Themenfeld]="IoT")*1)-SUMPRODUCT(tblAuftraege[Ausgaben],tblAuftraege[Auftragswahrscheinlichkeit],(tblAuftraege[Datum Ausgaben]&gt;=K$5)*1,(tblAuftraege[Datum Ausgaben]&lt;EDATE(K$5,1))*1,(tblAuftraege[Themenfeld]="IoT")*1)</f>
        <v>0</v>
      </c>
      <c r="L124" s="27" t="n">
        <f aca="false">SUMPRODUCT(tblAuftraege[Einnahmen],tblAuftraege[Auftragswahrscheinlichkeit],(tblAuftraege[Datum Einnahmen]&gt;=L$5)*1,(tblAuftraege[Datum Einnahmen]&lt;EDATE(L$5,1))*1,(tblAuftraege[Themenfeld]="IoT")*1)-SUMPRODUCT(tblAuftraege[Ausgaben],tblAuftraege[Auftragswahrscheinlichkeit],(tblAuftraege[Datum Ausgaben]&gt;=L$5)*1,(tblAuftraege[Datum Ausgaben]&lt;EDATE(L$5,1))*1,(tblAuftraege[Themenfeld]="IoT")*1)</f>
        <v>0</v>
      </c>
      <c r="M124" s="27" t="n">
        <f aca="false">SUMPRODUCT(tblAuftraege[Einnahmen],tblAuftraege[Auftragswahrscheinlichkeit],(tblAuftraege[Datum Einnahmen]&gt;=M$5)*1,(tblAuftraege[Datum Einnahmen]&lt;EDATE(M$5,1))*1,(tblAuftraege[Themenfeld]="IoT")*1)-SUMPRODUCT(tblAuftraege[Ausgaben],tblAuftraege[Auftragswahrscheinlichkeit],(tblAuftraege[Datum Ausgaben]&gt;=M$5)*1,(tblAuftraege[Datum Ausgaben]&lt;EDATE(M$5,1))*1,(tblAuftraege[Themenfeld]="IoT")*1)</f>
        <v>0</v>
      </c>
      <c r="N124" s="27" t="n">
        <f aca="false">SUMPRODUCT(tblAuftraege[Einnahmen],tblAuftraege[Auftragswahrscheinlichkeit],(tblAuftraege[Datum Einnahmen]&gt;=N$5)*1,(tblAuftraege[Datum Einnahmen]&lt;EDATE(N$5,1))*1,(tblAuftraege[Themenfeld]="IoT")*1)-SUMPRODUCT(tblAuftraege[Ausgaben],tblAuftraege[Auftragswahrscheinlichkeit],(tblAuftraege[Datum Ausgaben]&gt;=N$5)*1,(tblAuftraege[Datum Ausgaben]&lt;EDATE(N$5,1))*1,(tblAuftraege[Themenfeld]="IoT")*1)</f>
        <v>0</v>
      </c>
      <c r="O124" s="27" t="n">
        <f aca="false">SUMPRODUCT(tblAuftraege[Einnahmen],tblAuftraege[Auftragswahrscheinlichkeit],(tblAuftraege[Datum Einnahmen]&gt;=O$5)*1,(tblAuftraege[Datum Einnahmen]&lt;EDATE(O$5,1))*1,(tblAuftraege[Themenfeld]="IoT")*1)-SUMPRODUCT(tblAuftraege[Ausgaben],tblAuftraege[Auftragswahrscheinlichkeit],(tblAuftraege[Datum Ausgaben]&gt;=O$5)*1,(tblAuftraege[Datum Ausgaben]&lt;EDATE(O$5,1))*1,(tblAuftraege[Themenfeld]="IoT")*1)</f>
        <v>0</v>
      </c>
      <c r="P124" s="27" t="n">
        <f aca="false">SUMPRODUCT(tblAuftraege[Einnahmen],tblAuftraege[Auftragswahrscheinlichkeit],(tblAuftraege[Datum Einnahmen]&gt;=P$5)*1,(tblAuftraege[Datum Einnahmen]&lt;EDATE(P$5,1))*1,(tblAuftraege[Themenfeld]="IoT")*1)-SUMPRODUCT(tblAuftraege[Ausgaben],tblAuftraege[Auftragswahrscheinlichkeit],(tblAuftraege[Datum Ausgaben]&gt;=P$5)*1,(tblAuftraege[Datum Ausgaben]&lt;EDATE(P$5,1))*1,(tblAuftraege[Themenfeld]="IoT")*1)</f>
        <v>0</v>
      </c>
      <c r="Q124" s="27" t="n">
        <f aca="false">SUMPRODUCT(tblAuftraege[Einnahmen],tblAuftraege[Auftragswahrscheinlichkeit],(tblAuftraege[Datum Einnahmen]&gt;=Q$5)*1,(tblAuftraege[Datum Einnahmen]&lt;EDATE(Q$5,1))*1,(tblAuftraege[Themenfeld]="IoT")*1)-SUMPRODUCT(tblAuftraege[Ausgaben],tblAuftraege[Auftragswahrscheinlichkeit],(tblAuftraege[Datum Ausgaben]&gt;=Q$5)*1,(tblAuftraege[Datum Ausgaben]&lt;EDATE(Q$5,1))*1,(tblAuftraege[Themenfeld]="IoT")*1)</f>
        <v>0</v>
      </c>
      <c r="R124" s="27" t="n">
        <f aca="false">SUMPRODUCT(tblAuftraege[Einnahmen],tblAuftraege[Auftragswahrscheinlichkeit],(tblAuftraege[Datum Einnahmen]&gt;=R$5)*1,(tblAuftraege[Datum Einnahmen]&lt;EDATE(R$5,1))*1,(tblAuftraege[Themenfeld]="IoT")*1)-SUMPRODUCT(tblAuftraege[Ausgaben],tblAuftraege[Auftragswahrscheinlichkeit],(tblAuftraege[Datum Ausgaben]&gt;=R$5)*1,(tblAuftraege[Datum Ausgaben]&lt;EDATE(R$5,1))*1,(tblAuftraege[Themenfeld]="IoT")*1)</f>
        <v>0</v>
      </c>
      <c r="S124" s="27" t="n">
        <f aca="false">SUMPRODUCT(tblAuftraege[Einnahmen],tblAuftraege[Auftragswahrscheinlichkeit],(tblAuftraege[Datum Einnahmen]&gt;=S$5)*1,(tblAuftraege[Datum Einnahmen]&lt;EDATE(S$5,1))*1,(tblAuftraege[Themenfeld]="IoT")*1)-SUMPRODUCT(tblAuftraege[Ausgaben],tblAuftraege[Auftragswahrscheinlichkeit],(tblAuftraege[Datum Ausgaben]&gt;=S$5)*1,(tblAuftraege[Datum Ausgaben]&lt;EDATE(S$5,1))*1,(tblAuftraege[Themenfeld]="IoT")*1)</f>
        <v>0</v>
      </c>
      <c r="T124" s="27" t="n">
        <f aca="false">SUMPRODUCT(tblAuftraege[Einnahmen],tblAuftraege[Auftragswahrscheinlichkeit],(tblAuftraege[Datum Einnahmen]&gt;=T$5)*1,(tblAuftraege[Datum Einnahmen]&lt;EDATE(T$5,1))*1,(tblAuftraege[Themenfeld]="IoT")*1)-SUMPRODUCT(tblAuftraege[Ausgaben],tblAuftraege[Auftragswahrscheinlichkeit],(tblAuftraege[Datum Ausgaben]&gt;=T$5)*1,(tblAuftraege[Datum Ausgaben]&lt;EDATE(T$5,1))*1,(tblAuftraege[Themenfeld]="IoT")*1)</f>
        <v>0</v>
      </c>
      <c r="U124" s="27" t="n">
        <f aca="false">SUMPRODUCT(tblAuftraege[Einnahmen],tblAuftraege[Auftragswahrscheinlichkeit],(tblAuftraege[Datum Einnahmen]&gt;=U$5)*1,(tblAuftraege[Datum Einnahmen]&lt;EDATE(U$5,1))*1,(tblAuftraege[Themenfeld]="IoT")*1)-SUMPRODUCT(tblAuftraege[Ausgaben],tblAuftraege[Auftragswahrscheinlichkeit],(tblAuftraege[Datum Ausgaben]&gt;=U$5)*1,(tblAuftraege[Datum Ausgaben]&lt;EDATE(U$5,1))*1,(tblAuftraege[Themenfeld]="IoT")*1)</f>
        <v>0</v>
      </c>
      <c r="V124" s="27" t="n">
        <f aca="false">SUMPRODUCT(tblAuftraege[Einnahmen],tblAuftraege[Auftragswahrscheinlichkeit],(tblAuftraege[Datum Einnahmen]&gt;=V$5)*1,(tblAuftraege[Datum Einnahmen]&lt;EDATE(V$5,1))*1,(tblAuftraege[Themenfeld]="IoT")*1)-SUMPRODUCT(tblAuftraege[Ausgaben],tblAuftraege[Auftragswahrscheinlichkeit],(tblAuftraege[Datum Ausgaben]&gt;=V$5)*1,(tblAuftraege[Datum Ausgaben]&lt;EDATE(V$5,1))*1,(tblAuftraege[Themenfeld]="IoT")*1)</f>
        <v>0</v>
      </c>
      <c r="W124" s="27" t="n">
        <f aca="false">SUMPRODUCT(tblAuftraege[Einnahmen],tblAuftraege[Auftragswahrscheinlichkeit],(tblAuftraege[Datum Einnahmen]&gt;=W$5)*1,(tblAuftraege[Datum Einnahmen]&lt;EDATE(W$5,1))*1,(tblAuftraege[Themenfeld]="IoT")*1)-SUMPRODUCT(tblAuftraege[Ausgaben],tblAuftraege[Auftragswahrscheinlichkeit],(tblAuftraege[Datum Ausgaben]&gt;=W$5)*1,(tblAuftraege[Datum Ausgaben]&lt;EDATE(W$5,1))*1,(tblAuftraege[Themenfeld]="IoT")*1)</f>
        <v>0</v>
      </c>
      <c r="X124" s="27" t="n">
        <f aca="false">SUMPRODUCT(tblAuftraege[Einnahmen],tblAuftraege[Auftragswahrscheinlichkeit],(tblAuftraege[Datum Einnahmen]&gt;=X$5)*1,(tblAuftraege[Datum Einnahmen]&lt;EDATE(X$5,1))*1,(tblAuftraege[Themenfeld]="IoT")*1)-SUMPRODUCT(tblAuftraege[Ausgaben],tblAuftraege[Auftragswahrscheinlichkeit],(tblAuftraege[Datum Ausgaben]&gt;=X$5)*1,(tblAuftraege[Datum Ausgaben]&lt;EDATE(X$5,1))*1,(tblAuftraege[Themenfeld]="IoT")*1)</f>
        <v>0</v>
      </c>
      <c r="Y124" s="27" t="n">
        <f aca="false">SUMPRODUCT(tblAuftraege[Einnahmen],tblAuftraege[Auftragswahrscheinlichkeit],(tblAuftraege[Datum Einnahmen]&gt;=Y$5)*1,(tblAuftraege[Datum Einnahmen]&lt;EDATE(Y$5,1))*1,(tblAuftraege[Themenfeld]="IoT")*1)-SUMPRODUCT(tblAuftraege[Ausgaben],tblAuftraege[Auftragswahrscheinlichkeit],(tblAuftraege[Datum Ausgaben]&gt;=Y$5)*1,(tblAuftraege[Datum Ausgaben]&lt;EDATE(Y$5,1))*1,(tblAuftraege[Themenfeld]="IoT")*1)</f>
        <v>0</v>
      </c>
      <c r="Z124" s="27" t="n">
        <f aca="false">SUMPRODUCT(tblAuftraege[Einnahmen],tblAuftraege[Auftragswahrscheinlichkeit],(tblAuftraege[Datum Einnahmen]&gt;=Z$5)*1,(tblAuftraege[Datum Einnahmen]&lt;EDATE(Z$5,1))*1,(tblAuftraege[Themenfeld]="IoT")*1)-SUMPRODUCT(tblAuftraege[Ausgaben],tblAuftraege[Auftragswahrscheinlichkeit],(tblAuftraege[Datum Ausgaben]&gt;=Z$5)*1,(tblAuftraege[Datum Ausgaben]&lt;EDATE(Z$5,1))*1,(tblAuftraege[Themenfeld]="IoT")*1)</f>
        <v>0</v>
      </c>
      <c r="AA124" s="27" t="n">
        <f aca="false">SUMPRODUCT(tblAuftraege[Einnahmen],tblAuftraege[Auftragswahrscheinlichkeit],(tblAuftraege[Datum Einnahmen]&gt;=AA$5)*1,(tblAuftraege[Datum Einnahmen]&lt;EDATE(AA$5,1))*1,(tblAuftraege[Themenfeld]="IoT")*1)-SUMPRODUCT(tblAuftraege[Ausgaben],tblAuftraege[Auftragswahrscheinlichkeit],(tblAuftraege[Datum Ausgaben]&gt;=AA$5)*1,(tblAuftraege[Datum Ausgaben]&lt;EDATE(AA$5,1))*1,(tblAuftraege[Themenfeld]="IoT")*1)</f>
        <v>0</v>
      </c>
      <c r="AB124" s="27" t="n">
        <f aca="false">SUMPRODUCT(tblAuftraege[Einnahmen],tblAuftraege[Auftragswahrscheinlichkeit],(tblAuftraege[Datum Einnahmen]&gt;=AB$5)*1,(tblAuftraege[Datum Einnahmen]&lt;EDATE(AB$5,1))*1,(tblAuftraege[Themenfeld]="IoT")*1)-SUMPRODUCT(tblAuftraege[Ausgaben],tblAuftraege[Auftragswahrscheinlichkeit],(tblAuftraege[Datum Ausgaben]&gt;=AB$5)*1,(tblAuftraege[Datum Ausgaben]&lt;EDATE(AB$5,1))*1,(tblAuftraege[Themenfeld]="IoT")*1)</f>
        <v>0</v>
      </c>
      <c r="AC124" s="27" t="n">
        <f aca="false">SUMPRODUCT(tblAuftraege[Einnahmen],tblAuftraege[Auftragswahrscheinlichkeit],(tblAuftraege[Datum Einnahmen]&gt;=AC$5)*1,(tblAuftraege[Datum Einnahmen]&lt;EDATE(AC$5,1))*1,(tblAuftraege[Themenfeld]="IoT")*1)-SUMPRODUCT(tblAuftraege[Ausgaben],tblAuftraege[Auftragswahrscheinlichkeit],(tblAuftraege[Datum Ausgaben]&gt;=AC$5)*1,(tblAuftraege[Datum Ausgaben]&lt;EDATE(AC$5,1))*1,(tblAuftraege[Themenfeld]="IoT")*1)</f>
        <v>0</v>
      </c>
      <c r="AD124" s="27" t="n">
        <f aca="false">SUMPRODUCT(tblAuftraege[Einnahmen],tblAuftraege[Auftragswahrscheinlichkeit],(tblAuftraege[Datum Einnahmen]&gt;=AD$5)*1,(tblAuftraege[Datum Einnahmen]&lt;EDATE(AD$5,1))*1,(tblAuftraege[Themenfeld]="IoT")*1)-SUMPRODUCT(tblAuftraege[Ausgaben],tblAuftraege[Auftragswahrscheinlichkeit],(tblAuftraege[Datum Ausgaben]&gt;=AD$5)*1,(tblAuftraege[Datum Ausgaben]&lt;EDATE(AD$5,1))*1,(tblAuftraege[Themenfeld]="IoT")*1)</f>
        <v>0</v>
      </c>
      <c r="AE124" s="27" t="n">
        <f aca="false">SUMPRODUCT(tblAuftraege[Einnahmen],tblAuftraege[Auftragswahrscheinlichkeit],(tblAuftraege[Datum Einnahmen]&gt;=AE$5)*1,(tblAuftraege[Datum Einnahmen]&lt;EDATE(AE$5,1))*1,(tblAuftraege[Themenfeld]="IoT")*1)-SUMPRODUCT(tblAuftraege[Ausgaben],tblAuftraege[Auftragswahrscheinlichkeit],(tblAuftraege[Datum Ausgaben]&gt;=AE$5)*1,(tblAuftraege[Datum Ausgaben]&lt;EDATE(AE$5,1))*1,(tblAuftraege[Themenfeld]="IoT")*1)</f>
        <v>0</v>
      </c>
      <c r="AF124" s="27" t="n">
        <f aca="false">SUMPRODUCT(tblAuftraege[Einnahmen],tblAuftraege[Auftragswahrscheinlichkeit],(tblAuftraege[Datum Einnahmen]&gt;=AF$5)*1,(tblAuftraege[Datum Einnahmen]&lt;EDATE(AF$5,1))*1,(tblAuftraege[Themenfeld]="IoT")*1)-SUMPRODUCT(tblAuftraege[Ausgaben],tblAuftraege[Auftragswahrscheinlichkeit],(tblAuftraege[Datum Ausgaben]&gt;=AF$5)*1,(tblAuftraege[Datum Ausgaben]&lt;EDATE(AF$5,1))*1,(tblAuftraege[Themenfeld]="IoT")*1)</f>
        <v>0</v>
      </c>
      <c r="AG124" s="27" t="n">
        <f aca="false">SUMPRODUCT(tblAuftraege[Einnahmen],tblAuftraege[Auftragswahrscheinlichkeit],(tblAuftraege[Datum Einnahmen]&gt;=AG$5)*1,(tblAuftraege[Datum Einnahmen]&lt;EDATE(AG$5,1))*1,(tblAuftraege[Themenfeld]="IoT")*1)-SUMPRODUCT(tblAuftraege[Ausgaben],tblAuftraege[Auftragswahrscheinlichkeit],(tblAuftraege[Datum Ausgaben]&gt;=AG$5)*1,(tblAuftraege[Datum Ausgaben]&lt;EDATE(AG$5,1))*1,(tblAuftraege[Themenfeld]="IoT")*1)</f>
        <v>0</v>
      </c>
      <c r="AH124" s="27" t="n">
        <f aca="false">SUMPRODUCT(tblAuftraege[Einnahmen],tblAuftraege[Auftragswahrscheinlichkeit],(tblAuftraege[Datum Einnahmen]&gt;=AH$5)*1,(tblAuftraege[Datum Einnahmen]&lt;EDATE(AH$5,1))*1,(tblAuftraege[Themenfeld]="IoT")*1)-SUMPRODUCT(tblAuftraege[Ausgaben],tblAuftraege[Auftragswahrscheinlichkeit],(tblAuftraege[Datum Ausgaben]&gt;=AH$5)*1,(tblAuftraege[Datum Ausgaben]&lt;EDATE(AH$5,1))*1,(tblAuftraege[Themenfeld]="IoT")*1)</f>
        <v>0</v>
      </c>
      <c r="AI124" s="27" t="n">
        <f aca="false">SUMPRODUCT(tblAuftraege[Einnahmen],tblAuftraege[Auftragswahrscheinlichkeit],(tblAuftraege[Datum Einnahmen]&gt;=AI$5)*1,(tblAuftraege[Datum Einnahmen]&lt;EDATE(AI$5,1))*1,(tblAuftraege[Themenfeld]="IoT")*1)-SUMPRODUCT(tblAuftraege[Ausgaben],tblAuftraege[Auftragswahrscheinlichkeit],(tblAuftraege[Datum Ausgaben]&gt;=AI$5)*1,(tblAuftraege[Datum Ausgaben]&lt;EDATE(AI$5,1))*1,(tblAuftraege[Themenfeld]="IoT")*1)</f>
        <v>0</v>
      </c>
      <c r="AJ124" s="27" t="n">
        <f aca="false">SUMPRODUCT(tblAuftraege[Einnahmen],tblAuftraege[Auftragswahrscheinlichkeit],(tblAuftraege[Datum Einnahmen]&gt;=AJ$5)*1,(tblAuftraege[Datum Einnahmen]&lt;EDATE(AJ$5,1))*1,(tblAuftraege[Themenfeld]="IoT")*1)-SUMPRODUCT(tblAuftraege[Ausgaben],tblAuftraege[Auftragswahrscheinlichkeit],(tblAuftraege[Datum Ausgaben]&gt;=AJ$5)*1,(tblAuftraege[Datum Ausgaben]&lt;EDATE(AJ$5,1))*1,(tblAuftraege[Themenfeld]="IoT")*1)</f>
        <v>0</v>
      </c>
      <c r="AK124" s="27" t="n">
        <f aca="false">SUMPRODUCT(tblAuftraege[Einnahmen],tblAuftraege[Auftragswahrscheinlichkeit],(tblAuftraege[Datum Einnahmen]&gt;=AK$5)*1,(tblAuftraege[Datum Einnahmen]&lt;EDATE(AK$5,1))*1,(tblAuftraege[Themenfeld]="IoT")*1)-SUMPRODUCT(tblAuftraege[Ausgaben],tblAuftraege[Auftragswahrscheinlichkeit],(tblAuftraege[Datum Ausgaben]&gt;=AK$5)*1,(tblAuftraege[Datum Ausgaben]&lt;EDATE(AK$5,1))*1,(tblAuftraege[Themenfeld]="IoT")*1)</f>
        <v>0</v>
      </c>
      <c r="AL124" s="27" t="n">
        <f aca="false">SUMPRODUCT(tblAuftraege[Einnahmen],tblAuftraege[Auftragswahrscheinlichkeit],(tblAuftraege[Datum Einnahmen]&gt;=AL$5)*1,(tblAuftraege[Datum Einnahmen]&lt;EDATE(AL$5,1))*1,(tblAuftraege[Themenfeld]="IoT")*1)-SUMPRODUCT(tblAuftraege[Ausgaben],tblAuftraege[Auftragswahrscheinlichkeit],(tblAuftraege[Datum Ausgaben]&gt;=AL$5)*1,(tblAuftraege[Datum Ausgaben]&lt;EDATE(AL$5,1))*1,(tblAuftraege[Themenfeld]="IoT")*1)</f>
        <v>0</v>
      </c>
      <c r="AM124" s="27" t="n">
        <f aca="false">SUMPRODUCT(tblAuftraege[Einnahmen],tblAuftraege[Auftragswahrscheinlichkeit],(tblAuftraege[Datum Einnahmen]&gt;=AM$5)*1,(tblAuftraege[Datum Einnahmen]&lt;EDATE(AM$5,1))*1,(tblAuftraege[Themenfeld]="IoT")*1)-SUMPRODUCT(tblAuftraege[Ausgaben],tblAuftraege[Auftragswahrscheinlichkeit],(tblAuftraege[Datum Ausgaben]&gt;=AM$5)*1,(tblAuftraege[Datum Ausgaben]&lt;EDATE(AM$5,1))*1,(tblAuftraege[Themenfeld]="IoT")*1)</f>
        <v>0</v>
      </c>
      <c r="AN124" s="27" t="n">
        <f aca="false">SUMPRODUCT(tblAuftraege[Einnahmen],tblAuftraege[Auftragswahrscheinlichkeit],(tblAuftraege[Datum Einnahmen]&gt;=AN$5)*1,(tblAuftraege[Datum Einnahmen]&lt;EDATE(AN$5,1))*1,(tblAuftraege[Themenfeld]="IoT")*1)-SUMPRODUCT(tblAuftraege[Ausgaben],tblAuftraege[Auftragswahrscheinlichkeit],(tblAuftraege[Datum Ausgaben]&gt;=AN$5)*1,(tblAuftraege[Datum Ausgaben]&lt;EDATE(AN$5,1))*1,(tblAuftraege[Themenfeld]="IoT")*1)</f>
        <v>0</v>
      </c>
      <c r="AO124" s="27" t="n">
        <f aca="false">SUMPRODUCT(tblAuftraege[Einnahmen],tblAuftraege[Auftragswahrscheinlichkeit],(tblAuftraege[Datum Einnahmen]&gt;=AO$5)*1,(tblAuftraege[Datum Einnahmen]&lt;EDATE(AO$5,1))*1,(tblAuftraege[Themenfeld]="IoT")*1)-SUMPRODUCT(tblAuftraege[Ausgaben],tblAuftraege[Auftragswahrscheinlichkeit],(tblAuftraege[Datum Ausgaben]&gt;=AO$5)*1,(tblAuftraege[Datum Ausgaben]&lt;EDATE(AO$5,1))*1,(tblAuftraege[Themenfeld]="IoT")*1)</f>
        <v>0</v>
      </c>
      <c r="AP124" s="27" t="n">
        <f aca="false">SUMPRODUCT(tblAuftraege[Einnahmen],tblAuftraege[Auftragswahrscheinlichkeit],(tblAuftraege[Datum Einnahmen]&gt;=AP$5)*1,(tblAuftraege[Datum Einnahmen]&lt;EDATE(AP$5,1))*1,(tblAuftraege[Themenfeld]="IoT")*1)-SUMPRODUCT(tblAuftraege[Ausgaben],tblAuftraege[Auftragswahrscheinlichkeit],(tblAuftraege[Datum Ausgaben]&gt;=AP$5)*1,(tblAuftraege[Datum Ausgaben]&lt;EDATE(AP$5,1))*1,(tblAuftraege[Themenfeld]="IoT")*1)</f>
        <v>0</v>
      </c>
      <c r="AQ124" s="27" t="n">
        <f aca="false">SUMPRODUCT(tblAuftraege[Einnahmen],tblAuftraege[Auftragswahrscheinlichkeit],(tblAuftraege[Datum Einnahmen]&gt;=AQ$5)*1,(tblAuftraege[Datum Einnahmen]&lt;EDATE(AQ$5,1))*1,(tblAuftraege[Themenfeld]="IoT")*1)-SUMPRODUCT(tblAuftraege[Ausgaben],tblAuftraege[Auftragswahrscheinlichkeit],(tblAuftraege[Datum Ausgaben]&gt;=AQ$5)*1,(tblAuftraege[Datum Ausgaben]&lt;EDATE(AQ$5,1))*1,(tblAuftraege[Themenfeld]="IoT")*1)</f>
        <v>0</v>
      </c>
      <c r="AR124" s="27" t="n">
        <f aca="false">SUMPRODUCT(tblAuftraege[Einnahmen],tblAuftraege[Auftragswahrscheinlichkeit],(tblAuftraege[Datum Einnahmen]&gt;=AR$5)*1,(tblAuftraege[Datum Einnahmen]&lt;EDATE(AR$5,1))*1,(tblAuftraege[Themenfeld]="IoT")*1)-SUMPRODUCT(tblAuftraege[Ausgaben],tblAuftraege[Auftragswahrscheinlichkeit],(tblAuftraege[Datum Ausgaben]&gt;=AR$5)*1,(tblAuftraege[Datum Ausgaben]&lt;EDATE(AR$5,1))*1,(tblAuftraege[Themenfeld]="IoT")*1)</f>
        <v>0</v>
      </c>
      <c r="AS124" s="27" t="n">
        <f aca="false">SUMPRODUCT(tblAuftraege[Einnahmen],tblAuftraege[Auftragswahrscheinlichkeit],(tblAuftraege[Datum Einnahmen]&gt;=AS$5)*1,(tblAuftraege[Datum Einnahmen]&lt;EDATE(AS$5,1))*1,(tblAuftraege[Themenfeld]="IoT")*1)-SUMPRODUCT(tblAuftraege[Ausgaben],tblAuftraege[Auftragswahrscheinlichkeit],(tblAuftraege[Datum Ausgaben]&gt;=AS$5)*1,(tblAuftraege[Datum Ausgaben]&lt;EDATE(AS$5,1))*1,(tblAuftraege[Themenfeld]="IoT")*1)</f>
        <v>0</v>
      </c>
      <c r="AT124" s="27" t="n">
        <f aca="false">SUMPRODUCT(tblAuftraege[Einnahmen],tblAuftraege[Auftragswahrscheinlichkeit],(tblAuftraege[Datum Einnahmen]&gt;=AT$5)*1,(tblAuftraege[Datum Einnahmen]&lt;EDATE(AT$5,1))*1,(tblAuftraege[Themenfeld]="IoT")*1)-SUMPRODUCT(tblAuftraege[Ausgaben],tblAuftraege[Auftragswahrscheinlichkeit],(tblAuftraege[Datum Ausgaben]&gt;=AT$5)*1,(tblAuftraege[Datum Ausgaben]&lt;EDATE(AT$5,1))*1,(tblAuftraege[Themenfeld]="IoT")*1)</f>
        <v>0</v>
      </c>
      <c r="AU124" s="27" t="n">
        <f aca="false">SUMPRODUCT(tblAuftraege[Einnahmen],tblAuftraege[Auftragswahrscheinlichkeit],(tblAuftraege[Datum Einnahmen]&gt;=AU$5)*1,(tblAuftraege[Datum Einnahmen]&lt;EDATE(AU$5,1))*1,(tblAuftraege[Themenfeld]="IoT")*1)-SUMPRODUCT(tblAuftraege[Ausgaben],tblAuftraege[Auftragswahrscheinlichkeit],(tblAuftraege[Datum Ausgaben]&gt;=AU$5)*1,(tblAuftraege[Datum Ausgaben]&lt;EDATE(AU$5,1))*1,(tblAuftraege[Themenfeld]="IoT")*1)</f>
        <v>0</v>
      </c>
      <c r="AV124" s="27" t="n">
        <f aca="false">SUMPRODUCT(tblAuftraege[Einnahmen],tblAuftraege[Auftragswahrscheinlichkeit],(tblAuftraege[Datum Einnahmen]&gt;=AV$5)*1,(tblAuftraege[Datum Einnahmen]&lt;EDATE(AV$5,1))*1,(tblAuftraege[Themenfeld]="IoT")*1)-SUMPRODUCT(tblAuftraege[Ausgaben],tblAuftraege[Auftragswahrscheinlichkeit],(tblAuftraege[Datum Ausgaben]&gt;=AV$5)*1,(tblAuftraege[Datum Ausgaben]&lt;EDATE(AV$5,1))*1,(tblAuftraege[Themenfeld]="IoT")*1)</f>
        <v>0</v>
      </c>
      <c r="AW124" s="27" t="n">
        <f aca="false">SUMPRODUCT(tblAuftraege[Einnahmen],tblAuftraege[Auftragswahrscheinlichkeit],(tblAuftraege[Datum Einnahmen]&gt;=AW$5)*1,(tblAuftraege[Datum Einnahmen]&lt;EDATE(AW$5,1))*1,(tblAuftraege[Themenfeld]="IoT")*1)-SUMPRODUCT(tblAuftraege[Ausgaben],tblAuftraege[Auftragswahrscheinlichkeit],(tblAuftraege[Datum Ausgaben]&gt;=AW$5)*1,(tblAuftraege[Datum Ausgaben]&lt;EDATE(AW$5,1))*1,(tblAuftraege[Themenfeld]="IoT")*1)</f>
        <v>0</v>
      </c>
      <c r="AX124" s="27" t="n">
        <f aca="false">SUMPRODUCT(tblAuftraege[Einnahmen],tblAuftraege[Auftragswahrscheinlichkeit],(tblAuftraege[Datum Einnahmen]&gt;=AX$5)*1,(tblAuftraege[Datum Einnahmen]&lt;EDATE(AX$5,1))*1,(tblAuftraege[Themenfeld]="IoT")*1)-SUMPRODUCT(tblAuftraege[Ausgaben],tblAuftraege[Auftragswahrscheinlichkeit],(tblAuftraege[Datum Ausgaben]&gt;=AX$5)*1,(tblAuftraege[Datum Ausgaben]&lt;EDATE(AX$5,1))*1,(tblAuftraege[Themenfeld]="IoT")*1)</f>
        <v>0</v>
      </c>
      <c r="AY124" s="27" t="n">
        <f aca="false">SUMPRODUCT(tblAuftraege[Einnahmen],tblAuftraege[Auftragswahrscheinlichkeit],(tblAuftraege[Datum Einnahmen]&gt;=AY$5)*1,(tblAuftraege[Datum Einnahmen]&lt;EDATE(AY$5,1))*1,(tblAuftraege[Themenfeld]="IoT")*1)-SUMPRODUCT(tblAuftraege[Ausgaben],tblAuftraege[Auftragswahrscheinlichkeit],(tblAuftraege[Datum Ausgaben]&gt;=AY$5)*1,(tblAuftraege[Datum Ausgaben]&lt;EDATE(AY$5,1))*1,(tblAuftraege[Themenfeld]="IoT")*1)</f>
        <v>0</v>
      </c>
      <c r="AZ124" s="27" t="n">
        <f aca="false">SUMPRODUCT(tblAuftraege[Einnahmen],tblAuftraege[Auftragswahrscheinlichkeit],(tblAuftraege[Datum Einnahmen]&gt;=AZ$5)*1,(tblAuftraege[Datum Einnahmen]&lt;EDATE(AZ$5,1))*1,(tblAuftraege[Themenfeld]="IoT")*1)-SUMPRODUCT(tblAuftraege[Ausgaben],tblAuftraege[Auftragswahrscheinlichkeit],(tblAuftraege[Datum Ausgaben]&gt;=AZ$5)*1,(tblAuftraege[Datum Ausgaben]&lt;EDATE(AZ$5,1))*1,(tblAuftraege[Themenfeld]="IoT")*1)</f>
        <v>0</v>
      </c>
      <c r="BA124" s="27" t="n">
        <f aca="false">SUMPRODUCT(tblAuftraege[Einnahmen],tblAuftraege[Auftragswahrscheinlichkeit],(tblAuftraege[Datum Einnahmen]&gt;=BA$5)*1,(tblAuftraege[Datum Einnahmen]&lt;EDATE(BA$5,1))*1,(tblAuftraege[Themenfeld]="IoT")*1)-SUMPRODUCT(tblAuftraege[Ausgaben],tblAuftraege[Auftragswahrscheinlichkeit],(tblAuftraege[Datum Ausgaben]&gt;=BA$5)*1,(tblAuftraege[Datum Ausgaben]&lt;EDATE(BA$5,1))*1,(tblAuftraege[Themenfeld]="IoT")*1)</f>
        <v>0</v>
      </c>
      <c r="BB124" s="27" t="n">
        <f aca="false">SUMPRODUCT(tblAuftraege[Einnahmen],tblAuftraege[Auftragswahrscheinlichkeit],(tblAuftraege[Datum Einnahmen]&gt;=BB$5)*1,(tblAuftraege[Datum Einnahmen]&lt;EDATE(BB$5,1))*1,(tblAuftraege[Themenfeld]="IoT")*1)-SUMPRODUCT(tblAuftraege[Ausgaben],tblAuftraege[Auftragswahrscheinlichkeit],(tblAuftraege[Datum Ausgaben]&gt;=BB$5)*1,(tblAuftraege[Datum Ausgaben]&lt;EDATE(BB$5,1))*1,(tblAuftraege[Themenfeld]="IoT")*1)</f>
        <v>0</v>
      </c>
      <c r="BC124" s="27" t="n">
        <f aca="false">SUMPRODUCT(tblAuftraege[Einnahmen],tblAuftraege[Auftragswahrscheinlichkeit],(tblAuftraege[Datum Einnahmen]&gt;=BC$5)*1,(tblAuftraege[Datum Einnahmen]&lt;EDATE(BC$5,1))*1,(tblAuftraege[Themenfeld]="IoT")*1)-SUMPRODUCT(tblAuftraege[Ausgaben],tblAuftraege[Auftragswahrscheinlichkeit],(tblAuftraege[Datum Ausgaben]&gt;=BC$5)*1,(tblAuftraege[Datum Ausgaben]&lt;EDATE(BC$5,1))*1,(tblAuftraege[Themenfeld]="IoT")*1)</f>
        <v>0</v>
      </c>
      <c r="BD124" s="27" t="n">
        <f aca="false">SUMPRODUCT(tblAuftraege[Einnahmen],tblAuftraege[Auftragswahrscheinlichkeit],(tblAuftraege[Datum Einnahmen]&gt;=BD$5)*1,(tblAuftraege[Datum Einnahmen]&lt;EDATE(BD$5,1))*1,(tblAuftraege[Themenfeld]="IoT")*1)-SUMPRODUCT(tblAuftraege[Ausgaben],tblAuftraege[Auftragswahrscheinlichkeit],(tblAuftraege[Datum Ausgaben]&gt;=BD$5)*1,(tblAuftraege[Datum Ausgaben]&lt;EDATE(BD$5,1))*1,(tblAuftraege[Themenfeld]="IoT")*1)</f>
        <v>0</v>
      </c>
      <c r="BE124" s="27" t="n">
        <f aca="false">SUMPRODUCT(tblAuftraege[Einnahmen],tblAuftraege[Auftragswahrscheinlichkeit],(tblAuftraege[Datum Einnahmen]&gt;=BE$5)*1,(tblAuftraege[Datum Einnahmen]&lt;EDATE(BE$5,1))*1,(tblAuftraege[Themenfeld]="IoT")*1)-SUMPRODUCT(tblAuftraege[Ausgaben],tblAuftraege[Auftragswahrscheinlichkeit],(tblAuftraege[Datum Ausgaben]&gt;=BE$5)*1,(tblAuftraege[Datum Ausgaben]&lt;EDATE(BE$5,1))*1,(tblAuftraege[Themenfeld]="IoT")*1)</f>
        <v>0</v>
      </c>
      <c r="BF124" s="27" t="n">
        <f aca="false">SUMPRODUCT(tblAuftraege[Einnahmen],tblAuftraege[Auftragswahrscheinlichkeit],(tblAuftraege[Datum Einnahmen]&gt;=BF$5)*1,(tblAuftraege[Datum Einnahmen]&lt;EDATE(BF$5,1))*1,(tblAuftraege[Themenfeld]="IoT")*1)-SUMPRODUCT(tblAuftraege[Ausgaben],tblAuftraege[Auftragswahrscheinlichkeit],(tblAuftraege[Datum Ausgaben]&gt;=BF$5)*1,(tblAuftraege[Datum Ausgaben]&lt;EDATE(BF$5,1))*1,(tblAuftraege[Themenfeld]="IoT")*1)</f>
        <v>0</v>
      </c>
      <c r="BG124" s="27" t="n">
        <f aca="false">SUM(E124:J124)</f>
        <v>0</v>
      </c>
      <c r="BH124" s="27" t="n">
        <f aca="false">SUM(K124:V124)</f>
        <v>0</v>
      </c>
      <c r="BI124" s="27" t="n">
        <f aca="false">SUM(W124:AH124)</f>
        <v>0</v>
      </c>
      <c r="BJ124" s="27" t="n">
        <f aca="false">SUM(AI124:AT124)</f>
        <v>0</v>
      </c>
      <c r="BK124" s="27" t="n">
        <f aca="false">SUM(AU124:BF124)</f>
        <v>0</v>
      </c>
      <c r="BL124" s="27" t="n">
        <f aca="false">SUM(E124:BF124)</f>
        <v>0</v>
      </c>
    </row>
    <row r="125" customFormat="false" ht="15" hidden="false" customHeight="false" outlineLevel="0" collapsed="false">
      <c r="A125" s="13" t="s">
        <v>81</v>
      </c>
      <c r="B125" s="14"/>
      <c r="C125" s="15"/>
      <c r="D125" s="15"/>
      <c r="E125" s="11" t="n">
        <f aca="false">SUMIFS(tblAuftraege[Einnahmen],tblAuftraege[Datum Einnahmen],"&gt;="&amp;E$5,tblAuftraege[Datum Einnahmen],"&lt;"&amp;EDATE(E$5,1),tblAuftraege[Themenfeld],"EDM")</f>
        <v>0</v>
      </c>
      <c r="F125" s="11" t="n">
        <f aca="false">SUMIFS(tblAuftraege[Einnahmen],tblAuftraege[Datum Einnahmen],"&gt;="&amp;F$5,tblAuftraege[Datum Einnahmen],"&lt;"&amp;EDATE(F$5,1),tblAuftraege[Themenfeld],"EDM")</f>
        <v>0</v>
      </c>
      <c r="G125" s="11" t="n">
        <f aca="false">SUMIFS(tblAuftraege[Einnahmen],tblAuftraege[Datum Einnahmen],"&gt;="&amp;G$5,tblAuftraege[Datum Einnahmen],"&lt;"&amp;EDATE(G$5,1),tblAuftraege[Themenfeld],"EDM")</f>
        <v>0</v>
      </c>
      <c r="H125" s="11" t="n">
        <f aca="false">SUMIFS(tblAuftraege[Einnahmen],tblAuftraege[Datum Einnahmen],"&gt;="&amp;H$5,tblAuftraege[Datum Einnahmen],"&lt;"&amp;EDATE(H$5,1),tblAuftraege[Themenfeld],"EDM")</f>
        <v>0</v>
      </c>
      <c r="I125" s="11" t="n">
        <f aca="false">SUMIFS(tblAuftraege[Einnahmen],tblAuftraege[Datum Einnahmen],"&gt;="&amp;I$5,tblAuftraege[Datum Einnahmen],"&lt;"&amp;EDATE(I$5,1),tblAuftraege[Themenfeld],"EDM")</f>
        <v>0</v>
      </c>
      <c r="J125" s="11" t="n">
        <f aca="false">SUMIFS(tblAuftraege[Einnahmen],tblAuftraege[Datum Einnahmen],"&gt;="&amp;J$5,tblAuftraege[Datum Einnahmen],"&lt;"&amp;EDATE(J$5,1),tblAuftraege[Themenfeld],"EDM")</f>
        <v>0</v>
      </c>
      <c r="K125" s="11" t="n">
        <f aca="false">SUMIFS(tblAuftraege[Einnahmen],tblAuftraege[Datum Einnahmen],"&gt;="&amp;K$5,tblAuftraege[Datum Einnahmen],"&lt;"&amp;EDATE(K$5,1),tblAuftraege[Themenfeld],"EDM")</f>
        <v>0</v>
      </c>
      <c r="L125" s="11" t="n">
        <f aca="false">SUMIFS(tblAuftraege[Einnahmen],tblAuftraege[Datum Einnahmen],"&gt;="&amp;L$5,tblAuftraege[Datum Einnahmen],"&lt;"&amp;EDATE(L$5,1),tblAuftraege[Themenfeld],"EDM")</f>
        <v>0</v>
      </c>
      <c r="M125" s="11" t="n">
        <f aca="false">SUMIFS(tblAuftraege[Einnahmen],tblAuftraege[Datum Einnahmen],"&gt;="&amp;M$5,tblAuftraege[Datum Einnahmen],"&lt;"&amp;EDATE(M$5,1),tblAuftraege[Themenfeld],"EDM")</f>
        <v>0</v>
      </c>
      <c r="N125" s="11" t="n">
        <f aca="false">SUMIFS(tblAuftraege[Einnahmen],tblAuftraege[Datum Einnahmen],"&gt;="&amp;N$5,tblAuftraege[Datum Einnahmen],"&lt;"&amp;EDATE(N$5,1),tblAuftraege[Themenfeld],"EDM")</f>
        <v>0</v>
      </c>
      <c r="O125" s="11" t="n">
        <f aca="false">SUMIFS(tblAuftraege[Einnahmen],tblAuftraege[Datum Einnahmen],"&gt;="&amp;O$5,tblAuftraege[Datum Einnahmen],"&lt;"&amp;EDATE(O$5,1),tblAuftraege[Themenfeld],"EDM")</f>
        <v>0</v>
      </c>
      <c r="P125" s="11" t="n">
        <f aca="false">SUMIFS(tblAuftraege[Einnahmen],tblAuftraege[Datum Einnahmen],"&gt;="&amp;P$5,tblAuftraege[Datum Einnahmen],"&lt;"&amp;EDATE(P$5,1),tblAuftraege[Themenfeld],"EDM")</f>
        <v>0</v>
      </c>
      <c r="Q125" s="11" t="n">
        <f aca="false">SUMIFS(tblAuftraege[Einnahmen],tblAuftraege[Datum Einnahmen],"&gt;="&amp;Q$5,tblAuftraege[Datum Einnahmen],"&lt;"&amp;EDATE(Q$5,1),tblAuftraege[Themenfeld],"EDM")</f>
        <v>0</v>
      </c>
      <c r="R125" s="11" t="n">
        <f aca="false">SUMIFS(tblAuftraege[Einnahmen],tblAuftraege[Datum Einnahmen],"&gt;="&amp;R$5,tblAuftraege[Datum Einnahmen],"&lt;"&amp;EDATE(R$5,1),tblAuftraege[Themenfeld],"EDM")</f>
        <v>0</v>
      </c>
      <c r="S125" s="11" t="n">
        <f aca="false">SUMIFS(tblAuftraege[Einnahmen],tblAuftraege[Datum Einnahmen],"&gt;="&amp;S$5,tblAuftraege[Datum Einnahmen],"&lt;"&amp;EDATE(S$5,1),tblAuftraege[Themenfeld],"EDM")</f>
        <v>0</v>
      </c>
      <c r="T125" s="11" t="n">
        <f aca="false">SUMIFS(tblAuftraege[Einnahmen],tblAuftraege[Datum Einnahmen],"&gt;="&amp;T$5,tblAuftraege[Datum Einnahmen],"&lt;"&amp;EDATE(T$5,1),tblAuftraege[Themenfeld],"EDM")</f>
        <v>0</v>
      </c>
      <c r="U125" s="11" t="n">
        <f aca="false">SUMIFS(tblAuftraege[Einnahmen],tblAuftraege[Datum Einnahmen],"&gt;="&amp;U$5,tblAuftraege[Datum Einnahmen],"&lt;"&amp;EDATE(U$5,1),tblAuftraege[Themenfeld],"EDM")</f>
        <v>0</v>
      </c>
      <c r="V125" s="11" t="n">
        <f aca="false">SUMIFS(tblAuftraege[Einnahmen],tblAuftraege[Datum Einnahmen],"&gt;="&amp;V$5,tblAuftraege[Datum Einnahmen],"&lt;"&amp;EDATE(V$5,1),tblAuftraege[Themenfeld],"EDM")</f>
        <v>0</v>
      </c>
      <c r="W125" s="11" t="n">
        <f aca="false">SUMIFS(tblAuftraege[Einnahmen],tblAuftraege[Datum Einnahmen],"&gt;="&amp;W$5,tblAuftraege[Datum Einnahmen],"&lt;"&amp;EDATE(W$5,1),tblAuftraege[Themenfeld],"EDM")</f>
        <v>0</v>
      </c>
      <c r="X125" s="11" t="n">
        <f aca="false">SUMIFS(tblAuftraege[Einnahmen],tblAuftraege[Datum Einnahmen],"&gt;="&amp;X$5,tblAuftraege[Datum Einnahmen],"&lt;"&amp;EDATE(X$5,1),tblAuftraege[Themenfeld],"EDM")</f>
        <v>0</v>
      </c>
      <c r="Y125" s="11" t="n">
        <f aca="false">SUMIFS(tblAuftraege[Einnahmen],tblAuftraege[Datum Einnahmen],"&gt;="&amp;Y$5,tblAuftraege[Datum Einnahmen],"&lt;"&amp;EDATE(Y$5,1),tblAuftraege[Themenfeld],"EDM")</f>
        <v>0</v>
      </c>
      <c r="Z125" s="11" t="n">
        <f aca="false">SUMIFS(tblAuftraege[Einnahmen],tblAuftraege[Datum Einnahmen],"&gt;="&amp;Z$5,tblAuftraege[Datum Einnahmen],"&lt;"&amp;EDATE(Z$5,1),tblAuftraege[Themenfeld],"EDM")</f>
        <v>0</v>
      </c>
      <c r="AA125" s="11" t="n">
        <f aca="false">SUMIFS(tblAuftraege[Einnahmen],tblAuftraege[Datum Einnahmen],"&gt;="&amp;AA$5,tblAuftraege[Datum Einnahmen],"&lt;"&amp;EDATE(AA$5,1),tblAuftraege[Themenfeld],"EDM")</f>
        <v>0</v>
      </c>
      <c r="AB125" s="11" t="n">
        <f aca="false">SUMIFS(tblAuftraege[Einnahmen],tblAuftraege[Datum Einnahmen],"&gt;="&amp;AB$5,tblAuftraege[Datum Einnahmen],"&lt;"&amp;EDATE(AB$5,1),tblAuftraege[Themenfeld],"EDM")</f>
        <v>0</v>
      </c>
      <c r="AC125" s="11" t="n">
        <f aca="false">SUMIFS(tblAuftraege[Einnahmen],tblAuftraege[Datum Einnahmen],"&gt;="&amp;AC$5,tblAuftraege[Datum Einnahmen],"&lt;"&amp;EDATE(AC$5,1),tblAuftraege[Themenfeld],"EDM")</f>
        <v>0</v>
      </c>
      <c r="AD125" s="11" t="n">
        <f aca="false">SUMIFS(tblAuftraege[Einnahmen],tblAuftraege[Datum Einnahmen],"&gt;="&amp;AD$5,tblAuftraege[Datum Einnahmen],"&lt;"&amp;EDATE(AD$5,1),tblAuftraege[Themenfeld],"EDM")</f>
        <v>0</v>
      </c>
      <c r="AE125" s="11" t="n">
        <f aca="false">SUMIFS(tblAuftraege[Einnahmen],tblAuftraege[Datum Einnahmen],"&gt;="&amp;AE$5,tblAuftraege[Datum Einnahmen],"&lt;"&amp;EDATE(AE$5,1),tblAuftraege[Themenfeld],"EDM")</f>
        <v>0</v>
      </c>
      <c r="AF125" s="11" t="n">
        <f aca="false">SUMIFS(tblAuftraege[Einnahmen],tblAuftraege[Datum Einnahmen],"&gt;="&amp;AF$5,tblAuftraege[Datum Einnahmen],"&lt;"&amp;EDATE(AF$5,1),tblAuftraege[Themenfeld],"EDM")</f>
        <v>0</v>
      </c>
      <c r="AG125" s="11" t="n">
        <f aca="false">SUMIFS(tblAuftraege[Einnahmen],tblAuftraege[Datum Einnahmen],"&gt;="&amp;AG$5,tblAuftraege[Datum Einnahmen],"&lt;"&amp;EDATE(AG$5,1),tblAuftraege[Themenfeld],"EDM")</f>
        <v>0</v>
      </c>
      <c r="AH125" s="11" t="n">
        <f aca="false">SUMIFS(tblAuftraege[Einnahmen],tblAuftraege[Datum Einnahmen],"&gt;="&amp;AH$5,tblAuftraege[Datum Einnahmen],"&lt;"&amp;EDATE(AH$5,1),tblAuftraege[Themenfeld],"EDM")</f>
        <v>0</v>
      </c>
      <c r="AI125" s="11" t="n">
        <f aca="false">SUMIFS(tblAuftraege[Einnahmen],tblAuftraege[Datum Einnahmen],"&gt;="&amp;AI$5,tblAuftraege[Datum Einnahmen],"&lt;"&amp;EDATE(AI$5,1),tblAuftraege[Themenfeld],"EDM")</f>
        <v>0</v>
      </c>
      <c r="AJ125" s="11" t="n">
        <f aca="false">SUMIFS(tblAuftraege[Einnahmen],tblAuftraege[Datum Einnahmen],"&gt;="&amp;AJ$5,tblAuftraege[Datum Einnahmen],"&lt;"&amp;EDATE(AJ$5,1),tblAuftraege[Themenfeld],"EDM")</f>
        <v>0</v>
      </c>
      <c r="AK125" s="11" t="n">
        <f aca="false">SUMIFS(tblAuftraege[Einnahmen],tblAuftraege[Datum Einnahmen],"&gt;="&amp;AK$5,tblAuftraege[Datum Einnahmen],"&lt;"&amp;EDATE(AK$5,1),tblAuftraege[Themenfeld],"EDM")</f>
        <v>0</v>
      </c>
      <c r="AL125" s="11" t="n">
        <f aca="false">SUMIFS(tblAuftraege[Einnahmen],tblAuftraege[Datum Einnahmen],"&gt;="&amp;AL$5,tblAuftraege[Datum Einnahmen],"&lt;"&amp;EDATE(AL$5,1),tblAuftraege[Themenfeld],"EDM")</f>
        <v>0</v>
      </c>
      <c r="AM125" s="11" t="n">
        <f aca="false">SUMIFS(tblAuftraege[Einnahmen],tblAuftraege[Datum Einnahmen],"&gt;="&amp;AM$5,tblAuftraege[Datum Einnahmen],"&lt;"&amp;EDATE(AM$5,1),tblAuftraege[Themenfeld],"EDM")</f>
        <v>0</v>
      </c>
      <c r="AN125" s="11" t="n">
        <f aca="false">SUMIFS(tblAuftraege[Einnahmen],tblAuftraege[Datum Einnahmen],"&gt;="&amp;AN$5,tblAuftraege[Datum Einnahmen],"&lt;"&amp;EDATE(AN$5,1),tblAuftraege[Themenfeld],"EDM")</f>
        <v>0</v>
      </c>
      <c r="AO125" s="11" t="n">
        <f aca="false">SUMIFS(tblAuftraege[Einnahmen],tblAuftraege[Datum Einnahmen],"&gt;="&amp;AO$5,tblAuftraege[Datum Einnahmen],"&lt;"&amp;EDATE(AO$5,1),tblAuftraege[Themenfeld],"EDM")</f>
        <v>0</v>
      </c>
      <c r="AP125" s="11" t="n">
        <f aca="false">SUMIFS(tblAuftraege[Einnahmen],tblAuftraege[Datum Einnahmen],"&gt;="&amp;AP$5,tblAuftraege[Datum Einnahmen],"&lt;"&amp;EDATE(AP$5,1),tblAuftraege[Themenfeld],"EDM")</f>
        <v>0</v>
      </c>
      <c r="AQ125" s="11" t="n">
        <f aca="false">SUMIFS(tblAuftraege[Einnahmen],tblAuftraege[Datum Einnahmen],"&gt;="&amp;AQ$5,tblAuftraege[Datum Einnahmen],"&lt;"&amp;EDATE(AQ$5,1),tblAuftraege[Themenfeld],"EDM")</f>
        <v>0</v>
      </c>
      <c r="AR125" s="11" t="n">
        <f aca="false">SUMIFS(tblAuftraege[Einnahmen],tblAuftraege[Datum Einnahmen],"&gt;="&amp;AR$5,tblAuftraege[Datum Einnahmen],"&lt;"&amp;EDATE(AR$5,1),tblAuftraege[Themenfeld],"EDM")</f>
        <v>0</v>
      </c>
      <c r="AS125" s="11" t="n">
        <f aca="false">SUMIFS(tblAuftraege[Einnahmen],tblAuftraege[Datum Einnahmen],"&gt;="&amp;AS$5,tblAuftraege[Datum Einnahmen],"&lt;"&amp;EDATE(AS$5,1),tblAuftraege[Themenfeld],"EDM")</f>
        <v>0</v>
      </c>
      <c r="AT125" s="11" t="n">
        <f aca="false">SUMIFS(tblAuftraege[Einnahmen],tblAuftraege[Datum Einnahmen],"&gt;="&amp;AT$5,tblAuftraege[Datum Einnahmen],"&lt;"&amp;EDATE(AT$5,1),tblAuftraege[Themenfeld],"EDM")</f>
        <v>0</v>
      </c>
      <c r="AU125" s="11" t="n">
        <f aca="false">SUMIFS(tblAuftraege[Einnahmen],tblAuftraege[Datum Einnahmen],"&gt;="&amp;AU$5,tblAuftraege[Datum Einnahmen],"&lt;"&amp;EDATE(AU$5,1),tblAuftraege[Themenfeld],"EDM")</f>
        <v>0</v>
      </c>
      <c r="AV125" s="11" t="n">
        <f aca="false">SUMIFS(tblAuftraege[Einnahmen],tblAuftraege[Datum Einnahmen],"&gt;="&amp;AV$5,tblAuftraege[Datum Einnahmen],"&lt;"&amp;EDATE(AV$5,1),tblAuftraege[Themenfeld],"EDM")</f>
        <v>0</v>
      </c>
      <c r="AW125" s="11" t="n">
        <f aca="false">SUMIFS(tblAuftraege[Einnahmen],tblAuftraege[Datum Einnahmen],"&gt;="&amp;AW$5,tblAuftraege[Datum Einnahmen],"&lt;"&amp;EDATE(AW$5,1),tblAuftraege[Themenfeld],"EDM")</f>
        <v>0</v>
      </c>
      <c r="AX125" s="11" t="n">
        <f aca="false">SUMIFS(tblAuftraege[Einnahmen],tblAuftraege[Datum Einnahmen],"&gt;="&amp;AX$5,tblAuftraege[Datum Einnahmen],"&lt;"&amp;EDATE(AX$5,1),tblAuftraege[Themenfeld],"EDM")</f>
        <v>0</v>
      </c>
      <c r="AY125" s="11" t="n">
        <f aca="false">SUMIFS(tblAuftraege[Einnahmen],tblAuftraege[Datum Einnahmen],"&gt;="&amp;AY$5,tblAuftraege[Datum Einnahmen],"&lt;"&amp;EDATE(AY$5,1),tblAuftraege[Themenfeld],"EDM")</f>
        <v>0</v>
      </c>
      <c r="AZ125" s="11" t="n">
        <f aca="false">SUMIFS(tblAuftraege[Einnahmen],tblAuftraege[Datum Einnahmen],"&gt;="&amp;AZ$5,tblAuftraege[Datum Einnahmen],"&lt;"&amp;EDATE(AZ$5,1),tblAuftraege[Themenfeld],"EDM")</f>
        <v>0</v>
      </c>
      <c r="BA125" s="11" t="n">
        <f aca="false">SUMIFS(tblAuftraege[Einnahmen],tblAuftraege[Datum Einnahmen],"&gt;="&amp;BA$5,tblAuftraege[Datum Einnahmen],"&lt;"&amp;EDATE(BA$5,1),tblAuftraege[Themenfeld],"EDM")</f>
        <v>0</v>
      </c>
      <c r="BB125" s="11" t="n">
        <f aca="false">SUMIFS(tblAuftraege[Einnahmen],tblAuftraege[Datum Einnahmen],"&gt;="&amp;BB$5,tblAuftraege[Datum Einnahmen],"&lt;"&amp;EDATE(BB$5,1),tblAuftraege[Themenfeld],"EDM")</f>
        <v>0</v>
      </c>
      <c r="BC125" s="11" t="n">
        <f aca="false">SUMIFS(tblAuftraege[Einnahmen],tblAuftraege[Datum Einnahmen],"&gt;="&amp;BC$5,tblAuftraege[Datum Einnahmen],"&lt;"&amp;EDATE(BC$5,1),tblAuftraege[Themenfeld],"EDM")</f>
        <v>0</v>
      </c>
      <c r="BD125" s="11" t="n">
        <f aca="false">SUMIFS(tblAuftraege[Einnahmen],tblAuftraege[Datum Einnahmen],"&gt;="&amp;BD$5,tblAuftraege[Datum Einnahmen],"&lt;"&amp;EDATE(BD$5,1),tblAuftraege[Themenfeld],"EDM")</f>
        <v>0</v>
      </c>
      <c r="BE125" s="11" t="n">
        <f aca="false">SUMIFS(tblAuftraege[Einnahmen],tblAuftraege[Datum Einnahmen],"&gt;="&amp;BE$5,tblAuftraege[Datum Einnahmen],"&lt;"&amp;EDATE(BE$5,1),tblAuftraege[Themenfeld],"EDM")</f>
        <v>0</v>
      </c>
      <c r="BF125" s="11" t="n">
        <f aca="false">SUMIFS(tblAuftraege[Einnahmen],tblAuftraege[Datum Einnahmen],"&gt;="&amp;BF$5,tblAuftraege[Datum Einnahmen],"&lt;"&amp;EDATE(BF$5,1),tblAuftraege[Themenfeld],"EDM")</f>
        <v>0</v>
      </c>
      <c r="BG125" s="11" t="n">
        <f aca="false">SUM(E125:J125)</f>
        <v>0</v>
      </c>
      <c r="BH125" s="11" t="n">
        <f aca="false">SUM(K125:V125)</f>
        <v>0</v>
      </c>
      <c r="BI125" s="11" t="n">
        <f aca="false">SUM(W125:AH125)</f>
        <v>0</v>
      </c>
      <c r="BJ125" s="11" t="n">
        <f aca="false">SUM(AI125:AT125)</f>
        <v>0</v>
      </c>
      <c r="BK125" s="11" t="n">
        <f aca="false">SUM(AU125:BF125)</f>
        <v>0</v>
      </c>
      <c r="BL125" s="11" t="n">
        <f aca="false">SUM(E125:BF125)</f>
        <v>0</v>
      </c>
    </row>
    <row r="126" customFormat="false" ht="15" hidden="false" customHeight="false" outlineLevel="0" collapsed="false">
      <c r="A126" s="13" t="s">
        <v>82</v>
      </c>
      <c r="B126" s="14"/>
      <c r="C126" s="15"/>
      <c r="D126" s="15"/>
      <c r="E126" s="11" t="n">
        <f aca="false">SUMIFS(tblAuftraege[Ausgaben],tblAuftraege[Datum Ausgaben],"&gt;="&amp;E$5,tblAuftraege[Datum Ausgaben],"&lt;"&amp;EDATE(E$5,1),tblAuftraege[Themenfeld],"EDM")</f>
        <v>0</v>
      </c>
      <c r="F126" s="11" t="n">
        <f aca="false">SUMIFS(tblAuftraege[Ausgaben],tblAuftraege[Datum Ausgaben],"&gt;="&amp;F$5,tblAuftraege[Datum Ausgaben],"&lt;"&amp;EDATE(F$5,1),tblAuftraege[Themenfeld],"EDM")</f>
        <v>0</v>
      </c>
      <c r="G126" s="11" t="n">
        <f aca="false">SUMIFS(tblAuftraege[Ausgaben],tblAuftraege[Datum Ausgaben],"&gt;="&amp;G$5,tblAuftraege[Datum Ausgaben],"&lt;"&amp;EDATE(G$5,1),tblAuftraege[Themenfeld],"EDM")</f>
        <v>0</v>
      </c>
      <c r="H126" s="11" t="n">
        <f aca="false">SUMIFS(tblAuftraege[Ausgaben],tblAuftraege[Datum Ausgaben],"&gt;="&amp;H$5,tblAuftraege[Datum Ausgaben],"&lt;"&amp;EDATE(H$5,1),tblAuftraege[Themenfeld],"EDM")</f>
        <v>0</v>
      </c>
      <c r="I126" s="11" t="n">
        <f aca="false">SUMIFS(tblAuftraege[Ausgaben],tblAuftraege[Datum Ausgaben],"&gt;="&amp;I$5,tblAuftraege[Datum Ausgaben],"&lt;"&amp;EDATE(I$5,1),tblAuftraege[Themenfeld],"EDM")</f>
        <v>0</v>
      </c>
      <c r="J126" s="11" t="n">
        <f aca="false">SUMIFS(tblAuftraege[Ausgaben],tblAuftraege[Datum Ausgaben],"&gt;="&amp;J$5,tblAuftraege[Datum Ausgaben],"&lt;"&amp;EDATE(J$5,1),tblAuftraege[Themenfeld],"EDM")</f>
        <v>0</v>
      </c>
      <c r="K126" s="11" t="n">
        <f aca="false">SUMIFS(tblAuftraege[Ausgaben],tblAuftraege[Datum Ausgaben],"&gt;="&amp;K$5,tblAuftraege[Datum Ausgaben],"&lt;"&amp;EDATE(K$5,1),tblAuftraege[Themenfeld],"EDM")</f>
        <v>0</v>
      </c>
      <c r="L126" s="11" t="n">
        <f aca="false">SUMIFS(tblAuftraege[Ausgaben],tblAuftraege[Datum Ausgaben],"&gt;="&amp;L$5,tblAuftraege[Datum Ausgaben],"&lt;"&amp;EDATE(L$5,1),tblAuftraege[Themenfeld],"EDM")</f>
        <v>0</v>
      </c>
      <c r="M126" s="11" t="n">
        <f aca="false">SUMIFS(tblAuftraege[Ausgaben],tblAuftraege[Datum Ausgaben],"&gt;="&amp;M$5,tblAuftraege[Datum Ausgaben],"&lt;"&amp;EDATE(M$5,1),tblAuftraege[Themenfeld],"EDM")</f>
        <v>0</v>
      </c>
      <c r="N126" s="11" t="n">
        <f aca="false">SUMIFS(tblAuftraege[Ausgaben],tblAuftraege[Datum Ausgaben],"&gt;="&amp;N$5,tblAuftraege[Datum Ausgaben],"&lt;"&amp;EDATE(N$5,1),tblAuftraege[Themenfeld],"EDM")</f>
        <v>0</v>
      </c>
      <c r="O126" s="11" t="n">
        <f aca="false">SUMIFS(tblAuftraege[Ausgaben],tblAuftraege[Datum Ausgaben],"&gt;="&amp;O$5,tblAuftraege[Datum Ausgaben],"&lt;"&amp;EDATE(O$5,1),tblAuftraege[Themenfeld],"EDM")</f>
        <v>0</v>
      </c>
      <c r="P126" s="11" t="n">
        <f aca="false">SUMIFS(tblAuftraege[Ausgaben],tblAuftraege[Datum Ausgaben],"&gt;="&amp;P$5,tblAuftraege[Datum Ausgaben],"&lt;"&amp;EDATE(P$5,1),tblAuftraege[Themenfeld],"EDM")</f>
        <v>0</v>
      </c>
      <c r="Q126" s="11" t="n">
        <f aca="false">SUMIFS(tblAuftraege[Ausgaben],tblAuftraege[Datum Ausgaben],"&gt;="&amp;Q$5,tblAuftraege[Datum Ausgaben],"&lt;"&amp;EDATE(Q$5,1),tblAuftraege[Themenfeld],"EDM")</f>
        <v>0</v>
      </c>
      <c r="R126" s="11" t="n">
        <f aca="false">SUMIFS(tblAuftraege[Ausgaben],tblAuftraege[Datum Ausgaben],"&gt;="&amp;R$5,tblAuftraege[Datum Ausgaben],"&lt;"&amp;EDATE(R$5,1),tblAuftraege[Themenfeld],"EDM")</f>
        <v>0</v>
      </c>
      <c r="S126" s="11" t="n">
        <f aca="false">SUMIFS(tblAuftraege[Ausgaben],tblAuftraege[Datum Ausgaben],"&gt;="&amp;S$5,tblAuftraege[Datum Ausgaben],"&lt;"&amp;EDATE(S$5,1),tblAuftraege[Themenfeld],"EDM")</f>
        <v>0</v>
      </c>
      <c r="T126" s="11" t="n">
        <f aca="false">SUMIFS(tblAuftraege[Ausgaben],tblAuftraege[Datum Ausgaben],"&gt;="&amp;T$5,tblAuftraege[Datum Ausgaben],"&lt;"&amp;EDATE(T$5,1),tblAuftraege[Themenfeld],"EDM")</f>
        <v>0</v>
      </c>
      <c r="U126" s="11" t="n">
        <f aca="false">SUMIFS(tblAuftraege[Ausgaben],tblAuftraege[Datum Ausgaben],"&gt;="&amp;U$5,tblAuftraege[Datum Ausgaben],"&lt;"&amp;EDATE(U$5,1),tblAuftraege[Themenfeld],"EDM")</f>
        <v>0</v>
      </c>
      <c r="V126" s="11" t="n">
        <f aca="false">SUMIFS(tblAuftraege[Ausgaben],tblAuftraege[Datum Ausgaben],"&gt;="&amp;V$5,tblAuftraege[Datum Ausgaben],"&lt;"&amp;EDATE(V$5,1),tblAuftraege[Themenfeld],"EDM")</f>
        <v>0</v>
      </c>
      <c r="W126" s="11" t="n">
        <f aca="false">SUMIFS(tblAuftraege[Ausgaben],tblAuftraege[Datum Ausgaben],"&gt;="&amp;W$5,tblAuftraege[Datum Ausgaben],"&lt;"&amp;EDATE(W$5,1),tblAuftraege[Themenfeld],"EDM")</f>
        <v>0</v>
      </c>
      <c r="X126" s="11" t="n">
        <f aca="false">SUMIFS(tblAuftraege[Ausgaben],tblAuftraege[Datum Ausgaben],"&gt;="&amp;X$5,tblAuftraege[Datum Ausgaben],"&lt;"&amp;EDATE(X$5,1),tblAuftraege[Themenfeld],"EDM")</f>
        <v>0</v>
      </c>
      <c r="Y126" s="11" t="n">
        <f aca="false">SUMIFS(tblAuftraege[Ausgaben],tblAuftraege[Datum Ausgaben],"&gt;="&amp;Y$5,tblAuftraege[Datum Ausgaben],"&lt;"&amp;EDATE(Y$5,1),tblAuftraege[Themenfeld],"EDM")</f>
        <v>0</v>
      </c>
      <c r="Z126" s="11" t="n">
        <f aca="false">SUMIFS(tblAuftraege[Ausgaben],tblAuftraege[Datum Ausgaben],"&gt;="&amp;Z$5,tblAuftraege[Datum Ausgaben],"&lt;"&amp;EDATE(Z$5,1),tblAuftraege[Themenfeld],"EDM")</f>
        <v>0</v>
      </c>
      <c r="AA126" s="11" t="n">
        <f aca="false">SUMIFS(tblAuftraege[Ausgaben],tblAuftraege[Datum Ausgaben],"&gt;="&amp;AA$5,tblAuftraege[Datum Ausgaben],"&lt;"&amp;EDATE(AA$5,1),tblAuftraege[Themenfeld],"EDM")</f>
        <v>0</v>
      </c>
      <c r="AB126" s="11" t="n">
        <f aca="false">SUMIFS(tblAuftraege[Ausgaben],tblAuftraege[Datum Ausgaben],"&gt;="&amp;AB$5,tblAuftraege[Datum Ausgaben],"&lt;"&amp;EDATE(AB$5,1),tblAuftraege[Themenfeld],"EDM")</f>
        <v>0</v>
      </c>
      <c r="AC126" s="11" t="n">
        <f aca="false">SUMIFS(tblAuftraege[Ausgaben],tblAuftraege[Datum Ausgaben],"&gt;="&amp;AC$5,tblAuftraege[Datum Ausgaben],"&lt;"&amp;EDATE(AC$5,1),tblAuftraege[Themenfeld],"EDM")</f>
        <v>0</v>
      </c>
      <c r="AD126" s="11" t="n">
        <f aca="false">SUMIFS(tblAuftraege[Ausgaben],tblAuftraege[Datum Ausgaben],"&gt;="&amp;AD$5,tblAuftraege[Datum Ausgaben],"&lt;"&amp;EDATE(AD$5,1),tblAuftraege[Themenfeld],"EDM")</f>
        <v>0</v>
      </c>
      <c r="AE126" s="11" t="n">
        <f aca="false">SUMIFS(tblAuftraege[Ausgaben],tblAuftraege[Datum Ausgaben],"&gt;="&amp;AE$5,tblAuftraege[Datum Ausgaben],"&lt;"&amp;EDATE(AE$5,1),tblAuftraege[Themenfeld],"EDM")</f>
        <v>0</v>
      </c>
      <c r="AF126" s="11" t="n">
        <f aca="false">SUMIFS(tblAuftraege[Ausgaben],tblAuftraege[Datum Ausgaben],"&gt;="&amp;AF$5,tblAuftraege[Datum Ausgaben],"&lt;"&amp;EDATE(AF$5,1),tblAuftraege[Themenfeld],"EDM")</f>
        <v>0</v>
      </c>
      <c r="AG126" s="11" t="n">
        <f aca="false">SUMIFS(tblAuftraege[Ausgaben],tblAuftraege[Datum Ausgaben],"&gt;="&amp;AG$5,tblAuftraege[Datum Ausgaben],"&lt;"&amp;EDATE(AG$5,1),tblAuftraege[Themenfeld],"EDM")</f>
        <v>0</v>
      </c>
      <c r="AH126" s="11" t="n">
        <f aca="false">SUMIFS(tblAuftraege[Ausgaben],tblAuftraege[Datum Ausgaben],"&gt;="&amp;AH$5,tblAuftraege[Datum Ausgaben],"&lt;"&amp;EDATE(AH$5,1),tblAuftraege[Themenfeld],"EDM")</f>
        <v>0</v>
      </c>
      <c r="AI126" s="11" t="n">
        <f aca="false">SUMIFS(tblAuftraege[Ausgaben],tblAuftraege[Datum Ausgaben],"&gt;="&amp;AI$5,tblAuftraege[Datum Ausgaben],"&lt;"&amp;EDATE(AI$5,1),tblAuftraege[Themenfeld],"EDM")</f>
        <v>0</v>
      </c>
      <c r="AJ126" s="11" t="n">
        <f aca="false">SUMIFS(tblAuftraege[Ausgaben],tblAuftraege[Datum Ausgaben],"&gt;="&amp;AJ$5,tblAuftraege[Datum Ausgaben],"&lt;"&amp;EDATE(AJ$5,1),tblAuftraege[Themenfeld],"EDM")</f>
        <v>0</v>
      </c>
      <c r="AK126" s="11" t="n">
        <f aca="false">SUMIFS(tblAuftraege[Ausgaben],tblAuftraege[Datum Ausgaben],"&gt;="&amp;AK$5,tblAuftraege[Datum Ausgaben],"&lt;"&amp;EDATE(AK$5,1),tblAuftraege[Themenfeld],"EDM")</f>
        <v>0</v>
      </c>
      <c r="AL126" s="11" t="n">
        <f aca="false">SUMIFS(tblAuftraege[Ausgaben],tblAuftraege[Datum Ausgaben],"&gt;="&amp;AL$5,tblAuftraege[Datum Ausgaben],"&lt;"&amp;EDATE(AL$5,1),tblAuftraege[Themenfeld],"EDM")</f>
        <v>0</v>
      </c>
      <c r="AM126" s="11" t="n">
        <f aca="false">SUMIFS(tblAuftraege[Ausgaben],tblAuftraege[Datum Ausgaben],"&gt;="&amp;AM$5,tblAuftraege[Datum Ausgaben],"&lt;"&amp;EDATE(AM$5,1),tblAuftraege[Themenfeld],"EDM")</f>
        <v>0</v>
      </c>
      <c r="AN126" s="11" t="n">
        <f aca="false">SUMIFS(tblAuftraege[Ausgaben],tblAuftraege[Datum Ausgaben],"&gt;="&amp;AN$5,tblAuftraege[Datum Ausgaben],"&lt;"&amp;EDATE(AN$5,1),tblAuftraege[Themenfeld],"EDM")</f>
        <v>0</v>
      </c>
      <c r="AO126" s="11" t="n">
        <f aca="false">SUMIFS(tblAuftraege[Ausgaben],tblAuftraege[Datum Ausgaben],"&gt;="&amp;AO$5,tblAuftraege[Datum Ausgaben],"&lt;"&amp;EDATE(AO$5,1),tblAuftraege[Themenfeld],"EDM")</f>
        <v>0</v>
      </c>
      <c r="AP126" s="11" t="n">
        <f aca="false">SUMIFS(tblAuftraege[Ausgaben],tblAuftraege[Datum Ausgaben],"&gt;="&amp;AP$5,tblAuftraege[Datum Ausgaben],"&lt;"&amp;EDATE(AP$5,1),tblAuftraege[Themenfeld],"EDM")</f>
        <v>0</v>
      </c>
      <c r="AQ126" s="11" t="n">
        <f aca="false">SUMIFS(tblAuftraege[Ausgaben],tblAuftraege[Datum Ausgaben],"&gt;="&amp;AQ$5,tblAuftraege[Datum Ausgaben],"&lt;"&amp;EDATE(AQ$5,1),tblAuftraege[Themenfeld],"EDM")</f>
        <v>0</v>
      </c>
      <c r="AR126" s="11" t="n">
        <f aca="false">SUMIFS(tblAuftraege[Ausgaben],tblAuftraege[Datum Ausgaben],"&gt;="&amp;AR$5,tblAuftraege[Datum Ausgaben],"&lt;"&amp;EDATE(AR$5,1),tblAuftraege[Themenfeld],"EDM")</f>
        <v>0</v>
      </c>
      <c r="AS126" s="11" t="n">
        <f aca="false">SUMIFS(tblAuftraege[Ausgaben],tblAuftraege[Datum Ausgaben],"&gt;="&amp;AS$5,tblAuftraege[Datum Ausgaben],"&lt;"&amp;EDATE(AS$5,1),tblAuftraege[Themenfeld],"EDM")</f>
        <v>0</v>
      </c>
      <c r="AT126" s="11" t="n">
        <f aca="false">SUMIFS(tblAuftraege[Ausgaben],tblAuftraege[Datum Ausgaben],"&gt;="&amp;AT$5,tblAuftraege[Datum Ausgaben],"&lt;"&amp;EDATE(AT$5,1),tblAuftraege[Themenfeld],"EDM")</f>
        <v>0</v>
      </c>
      <c r="AU126" s="11" t="n">
        <f aca="false">SUMIFS(tblAuftraege[Ausgaben],tblAuftraege[Datum Ausgaben],"&gt;="&amp;AU$5,tblAuftraege[Datum Ausgaben],"&lt;"&amp;EDATE(AU$5,1),tblAuftraege[Themenfeld],"EDM")</f>
        <v>0</v>
      </c>
      <c r="AV126" s="11" t="n">
        <f aca="false">SUMIFS(tblAuftraege[Ausgaben],tblAuftraege[Datum Ausgaben],"&gt;="&amp;AV$5,tblAuftraege[Datum Ausgaben],"&lt;"&amp;EDATE(AV$5,1),tblAuftraege[Themenfeld],"EDM")</f>
        <v>0</v>
      </c>
      <c r="AW126" s="11" t="n">
        <f aca="false">SUMIFS(tblAuftraege[Ausgaben],tblAuftraege[Datum Ausgaben],"&gt;="&amp;AW$5,tblAuftraege[Datum Ausgaben],"&lt;"&amp;EDATE(AW$5,1),tblAuftraege[Themenfeld],"EDM")</f>
        <v>0</v>
      </c>
      <c r="AX126" s="11" t="n">
        <f aca="false">SUMIFS(tblAuftraege[Ausgaben],tblAuftraege[Datum Ausgaben],"&gt;="&amp;AX$5,tblAuftraege[Datum Ausgaben],"&lt;"&amp;EDATE(AX$5,1),tblAuftraege[Themenfeld],"EDM")</f>
        <v>0</v>
      </c>
      <c r="AY126" s="11" t="n">
        <f aca="false">SUMIFS(tblAuftraege[Ausgaben],tblAuftraege[Datum Ausgaben],"&gt;="&amp;AY$5,tblAuftraege[Datum Ausgaben],"&lt;"&amp;EDATE(AY$5,1),tblAuftraege[Themenfeld],"EDM")</f>
        <v>0</v>
      </c>
      <c r="AZ126" s="11" t="n">
        <f aca="false">SUMIFS(tblAuftraege[Ausgaben],tblAuftraege[Datum Ausgaben],"&gt;="&amp;AZ$5,tblAuftraege[Datum Ausgaben],"&lt;"&amp;EDATE(AZ$5,1),tblAuftraege[Themenfeld],"EDM")</f>
        <v>0</v>
      </c>
      <c r="BA126" s="11" t="n">
        <f aca="false">SUMIFS(tblAuftraege[Ausgaben],tblAuftraege[Datum Ausgaben],"&gt;="&amp;BA$5,tblAuftraege[Datum Ausgaben],"&lt;"&amp;EDATE(BA$5,1),tblAuftraege[Themenfeld],"EDM")</f>
        <v>0</v>
      </c>
      <c r="BB126" s="11" t="n">
        <f aca="false">SUMIFS(tblAuftraege[Ausgaben],tblAuftraege[Datum Ausgaben],"&gt;="&amp;BB$5,tblAuftraege[Datum Ausgaben],"&lt;"&amp;EDATE(BB$5,1),tblAuftraege[Themenfeld],"EDM")</f>
        <v>0</v>
      </c>
      <c r="BC126" s="11" t="n">
        <f aca="false">SUMIFS(tblAuftraege[Ausgaben],tblAuftraege[Datum Ausgaben],"&gt;="&amp;BC$5,tblAuftraege[Datum Ausgaben],"&lt;"&amp;EDATE(BC$5,1),tblAuftraege[Themenfeld],"EDM")</f>
        <v>0</v>
      </c>
      <c r="BD126" s="11" t="n">
        <f aca="false">SUMIFS(tblAuftraege[Ausgaben],tblAuftraege[Datum Ausgaben],"&gt;="&amp;BD$5,tblAuftraege[Datum Ausgaben],"&lt;"&amp;EDATE(BD$5,1),tblAuftraege[Themenfeld],"EDM")</f>
        <v>0</v>
      </c>
      <c r="BE126" s="11" t="n">
        <f aca="false">SUMIFS(tblAuftraege[Ausgaben],tblAuftraege[Datum Ausgaben],"&gt;="&amp;BE$5,tblAuftraege[Datum Ausgaben],"&lt;"&amp;EDATE(BE$5,1),tblAuftraege[Themenfeld],"EDM")</f>
        <v>0</v>
      </c>
      <c r="BF126" s="11" t="n">
        <f aca="false">SUMIFS(tblAuftraege[Ausgaben],tblAuftraege[Datum Ausgaben],"&gt;="&amp;BF$5,tblAuftraege[Datum Ausgaben],"&lt;"&amp;EDATE(BF$5,1),tblAuftraege[Themenfeld],"EDM")</f>
        <v>0</v>
      </c>
      <c r="BG126" s="11" t="n">
        <f aca="false">SUM(E126:J126)</f>
        <v>0</v>
      </c>
      <c r="BH126" s="11" t="n">
        <f aca="false">SUM(K126:V126)</f>
        <v>0</v>
      </c>
      <c r="BI126" s="11" t="n">
        <f aca="false">SUM(W126:AH126)</f>
        <v>0</v>
      </c>
      <c r="BJ126" s="11" t="n">
        <f aca="false">SUM(AI126:AT126)</f>
        <v>0</v>
      </c>
      <c r="BK126" s="11" t="n">
        <f aca="false">SUM(AU126:BF126)</f>
        <v>0</v>
      </c>
      <c r="BL126" s="11" t="n">
        <f aca="false">SUM(E126:BF126)</f>
        <v>0</v>
      </c>
    </row>
    <row r="127" customFormat="false" ht="15" hidden="false" customHeight="false" outlineLevel="0" collapsed="false">
      <c r="A127" s="24" t="s">
        <v>83</v>
      </c>
      <c r="B127" s="25"/>
      <c r="C127" s="26"/>
      <c r="D127" s="26"/>
      <c r="E127" s="27" t="n">
        <f aca="false">SUMPRODUCT(tblAuftraege[Einnahmen],tblAuftraege[Auftragswahrscheinlichkeit],(tblAuftraege[Datum Einnahmen]&gt;=E$5)*1,(tblAuftraege[Datum Einnahmen]&lt;EDATE(E$5,1))*1,(tblAuftraege[Themenfeld]="EDM")*1)-SUMPRODUCT(tblAuftraege[Ausgaben],tblAuftraege[Auftragswahrscheinlichkeit],(tblAuftraege[Datum Ausgaben]&gt;=E$5)*1,(tblAuftraege[Datum Ausgaben]&lt;EDATE(E$5,1))*1,(tblAuftraege[Themenfeld]="EDM")*1)</f>
        <v>0</v>
      </c>
      <c r="F127" s="27" t="n">
        <f aca="false">SUMPRODUCT(tblAuftraege[Einnahmen],tblAuftraege[Auftragswahrscheinlichkeit],(tblAuftraege[Datum Einnahmen]&gt;=F$5)*1,(tblAuftraege[Datum Einnahmen]&lt;EDATE(F$5,1))*1,(tblAuftraege[Themenfeld]="EDM")*1)-SUMPRODUCT(tblAuftraege[Ausgaben],tblAuftraege[Auftragswahrscheinlichkeit],(tblAuftraege[Datum Ausgaben]&gt;=F$5)*1,(tblAuftraege[Datum Ausgaben]&lt;EDATE(F$5,1))*1,(tblAuftraege[Themenfeld]="EDM")*1)</f>
        <v>0</v>
      </c>
      <c r="G127" s="27" t="n">
        <f aca="false">SUMPRODUCT(tblAuftraege[Einnahmen],tblAuftraege[Auftragswahrscheinlichkeit],(tblAuftraege[Datum Einnahmen]&gt;=G$5)*1,(tblAuftraege[Datum Einnahmen]&lt;EDATE(G$5,1))*1,(tblAuftraege[Themenfeld]="EDM")*1)-SUMPRODUCT(tblAuftraege[Ausgaben],tblAuftraege[Auftragswahrscheinlichkeit],(tblAuftraege[Datum Ausgaben]&gt;=G$5)*1,(tblAuftraege[Datum Ausgaben]&lt;EDATE(G$5,1))*1,(tblAuftraege[Themenfeld]="EDM")*1)</f>
        <v>0</v>
      </c>
      <c r="H127" s="27" t="n">
        <f aca="false">SUMPRODUCT(tblAuftraege[Einnahmen],tblAuftraege[Auftragswahrscheinlichkeit],(tblAuftraege[Datum Einnahmen]&gt;=H$5)*1,(tblAuftraege[Datum Einnahmen]&lt;EDATE(H$5,1))*1,(tblAuftraege[Themenfeld]="EDM")*1)-SUMPRODUCT(tblAuftraege[Ausgaben],tblAuftraege[Auftragswahrscheinlichkeit],(tblAuftraege[Datum Ausgaben]&gt;=H$5)*1,(tblAuftraege[Datum Ausgaben]&lt;EDATE(H$5,1))*1,(tblAuftraege[Themenfeld]="EDM")*1)</f>
        <v>0</v>
      </c>
      <c r="I127" s="27" t="n">
        <f aca="false">SUMPRODUCT(tblAuftraege[Einnahmen],tblAuftraege[Auftragswahrscheinlichkeit],(tblAuftraege[Datum Einnahmen]&gt;=I$5)*1,(tblAuftraege[Datum Einnahmen]&lt;EDATE(I$5,1))*1,(tblAuftraege[Themenfeld]="EDM")*1)-SUMPRODUCT(tblAuftraege[Ausgaben],tblAuftraege[Auftragswahrscheinlichkeit],(tblAuftraege[Datum Ausgaben]&gt;=I$5)*1,(tblAuftraege[Datum Ausgaben]&lt;EDATE(I$5,1))*1,(tblAuftraege[Themenfeld]="EDM")*1)</f>
        <v>0</v>
      </c>
      <c r="J127" s="27" t="n">
        <f aca="false">SUMPRODUCT(tblAuftraege[Einnahmen],tblAuftraege[Auftragswahrscheinlichkeit],(tblAuftraege[Datum Einnahmen]&gt;=J$5)*1,(tblAuftraege[Datum Einnahmen]&lt;EDATE(J$5,1))*1,(tblAuftraege[Themenfeld]="EDM")*1)-SUMPRODUCT(tblAuftraege[Ausgaben],tblAuftraege[Auftragswahrscheinlichkeit],(tblAuftraege[Datum Ausgaben]&gt;=J$5)*1,(tblAuftraege[Datum Ausgaben]&lt;EDATE(J$5,1))*1,(tblAuftraege[Themenfeld]="EDM")*1)</f>
        <v>0</v>
      </c>
      <c r="K127" s="27" t="n">
        <f aca="false">SUMPRODUCT(tblAuftraege[Einnahmen],tblAuftraege[Auftragswahrscheinlichkeit],(tblAuftraege[Datum Einnahmen]&gt;=K$5)*1,(tblAuftraege[Datum Einnahmen]&lt;EDATE(K$5,1))*1,(tblAuftraege[Themenfeld]="EDM")*1)-SUMPRODUCT(tblAuftraege[Ausgaben],tblAuftraege[Auftragswahrscheinlichkeit],(tblAuftraege[Datum Ausgaben]&gt;=K$5)*1,(tblAuftraege[Datum Ausgaben]&lt;EDATE(K$5,1))*1,(tblAuftraege[Themenfeld]="EDM")*1)</f>
        <v>0</v>
      </c>
      <c r="L127" s="27" t="n">
        <f aca="false">SUMPRODUCT(tblAuftraege[Einnahmen],tblAuftraege[Auftragswahrscheinlichkeit],(tblAuftraege[Datum Einnahmen]&gt;=L$5)*1,(tblAuftraege[Datum Einnahmen]&lt;EDATE(L$5,1))*1,(tblAuftraege[Themenfeld]="EDM")*1)-SUMPRODUCT(tblAuftraege[Ausgaben],tblAuftraege[Auftragswahrscheinlichkeit],(tblAuftraege[Datum Ausgaben]&gt;=L$5)*1,(tblAuftraege[Datum Ausgaben]&lt;EDATE(L$5,1))*1,(tblAuftraege[Themenfeld]="EDM")*1)</f>
        <v>0</v>
      </c>
      <c r="M127" s="27" t="n">
        <f aca="false">SUMPRODUCT(tblAuftraege[Einnahmen],tblAuftraege[Auftragswahrscheinlichkeit],(tblAuftraege[Datum Einnahmen]&gt;=M$5)*1,(tblAuftraege[Datum Einnahmen]&lt;EDATE(M$5,1))*1,(tblAuftraege[Themenfeld]="EDM")*1)-SUMPRODUCT(tblAuftraege[Ausgaben],tblAuftraege[Auftragswahrscheinlichkeit],(tblAuftraege[Datum Ausgaben]&gt;=M$5)*1,(tblAuftraege[Datum Ausgaben]&lt;EDATE(M$5,1))*1,(tblAuftraege[Themenfeld]="EDM")*1)</f>
        <v>0</v>
      </c>
      <c r="N127" s="27" t="n">
        <f aca="false">SUMPRODUCT(tblAuftraege[Einnahmen],tblAuftraege[Auftragswahrscheinlichkeit],(tblAuftraege[Datum Einnahmen]&gt;=N$5)*1,(tblAuftraege[Datum Einnahmen]&lt;EDATE(N$5,1))*1,(tblAuftraege[Themenfeld]="EDM")*1)-SUMPRODUCT(tblAuftraege[Ausgaben],tblAuftraege[Auftragswahrscheinlichkeit],(tblAuftraege[Datum Ausgaben]&gt;=N$5)*1,(tblAuftraege[Datum Ausgaben]&lt;EDATE(N$5,1))*1,(tblAuftraege[Themenfeld]="EDM")*1)</f>
        <v>0</v>
      </c>
      <c r="O127" s="27" t="n">
        <f aca="false">SUMPRODUCT(tblAuftraege[Einnahmen],tblAuftraege[Auftragswahrscheinlichkeit],(tblAuftraege[Datum Einnahmen]&gt;=O$5)*1,(tblAuftraege[Datum Einnahmen]&lt;EDATE(O$5,1))*1,(tblAuftraege[Themenfeld]="EDM")*1)-SUMPRODUCT(tblAuftraege[Ausgaben],tblAuftraege[Auftragswahrscheinlichkeit],(tblAuftraege[Datum Ausgaben]&gt;=O$5)*1,(tblAuftraege[Datum Ausgaben]&lt;EDATE(O$5,1))*1,(tblAuftraege[Themenfeld]="EDM")*1)</f>
        <v>0</v>
      </c>
      <c r="P127" s="27" t="n">
        <f aca="false">SUMPRODUCT(tblAuftraege[Einnahmen],tblAuftraege[Auftragswahrscheinlichkeit],(tblAuftraege[Datum Einnahmen]&gt;=P$5)*1,(tblAuftraege[Datum Einnahmen]&lt;EDATE(P$5,1))*1,(tblAuftraege[Themenfeld]="EDM")*1)-SUMPRODUCT(tblAuftraege[Ausgaben],tblAuftraege[Auftragswahrscheinlichkeit],(tblAuftraege[Datum Ausgaben]&gt;=P$5)*1,(tblAuftraege[Datum Ausgaben]&lt;EDATE(P$5,1))*1,(tblAuftraege[Themenfeld]="EDM")*1)</f>
        <v>0</v>
      </c>
      <c r="Q127" s="27" t="n">
        <f aca="false">SUMPRODUCT(tblAuftraege[Einnahmen],tblAuftraege[Auftragswahrscheinlichkeit],(tblAuftraege[Datum Einnahmen]&gt;=Q$5)*1,(tblAuftraege[Datum Einnahmen]&lt;EDATE(Q$5,1))*1,(tblAuftraege[Themenfeld]="EDM")*1)-SUMPRODUCT(tblAuftraege[Ausgaben],tblAuftraege[Auftragswahrscheinlichkeit],(tblAuftraege[Datum Ausgaben]&gt;=Q$5)*1,(tblAuftraege[Datum Ausgaben]&lt;EDATE(Q$5,1))*1,(tblAuftraege[Themenfeld]="EDM")*1)</f>
        <v>0</v>
      </c>
      <c r="R127" s="27" t="n">
        <f aca="false">SUMPRODUCT(tblAuftraege[Einnahmen],tblAuftraege[Auftragswahrscheinlichkeit],(tblAuftraege[Datum Einnahmen]&gt;=R$5)*1,(tblAuftraege[Datum Einnahmen]&lt;EDATE(R$5,1))*1,(tblAuftraege[Themenfeld]="EDM")*1)-SUMPRODUCT(tblAuftraege[Ausgaben],tblAuftraege[Auftragswahrscheinlichkeit],(tblAuftraege[Datum Ausgaben]&gt;=R$5)*1,(tblAuftraege[Datum Ausgaben]&lt;EDATE(R$5,1))*1,(tblAuftraege[Themenfeld]="EDM")*1)</f>
        <v>0</v>
      </c>
      <c r="S127" s="27" t="n">
        <f aca="false">SUMPRODUCT(tblAuftraege[Einnahmen],tblAuftraege[Auftragswahrscheinlichkeit],(tblAuftraege[Datum Einnahmen]&gt;=S$5)*1,(tblAuftraege[Datum Einnahmen]&lt;EDATE(S$5,1))*1,(tblAuftraege[Themenfeld]="EDM")*1)-SUMPRODUCT(tblAuftraege[Ausgaben],tblAuftraege[Auftragswahrscheinlichkeit],(tblAuftraege[Datum Ausgaben]&gt;=S$5)*1,(tblAuftraege[Datum Ausgaben]&lt;EDATE(S$5,1))*1,(tblAuftraege[Themenfeld]="EDM")*1)</f>
        <v>0</v>
      </c>
      <c r="T127" s="27" t="n">
        <f aca="false">SUMPRODUCT(tblAuftraege[Einnahmen],tblAuftraege[Auftragswahrscheinlichkeit],(tblAuftraege[Datum Einnahmen]&gt;=T$5)*1,(tblAuftraege[Datum Einnahmen]&lt;EDATE(T$5,1))*1,(tblAuftraege[Themenfeld]="EDM")*1)-SUMPRODUCT(tblAuftraege[Ausgaben],tblAuftraege[Auftragswahrscheinlichkeit],(tblAuftraege[Datum Ausgaben]&gt;=T$5)*1,(tblAuftraege[Datum Ausgaben]&lt;EDATE(T$5,1))*1,(tblAuftraege[Themenfeld]="EDM")*1)</f>
        <v>0</v>
      </c>
      <c r="U127" s="27" t="n">
        <f aca="false">SUMPRODUCT(tblAuftraege[Einnahmen],tblAuftraege[Auftragswahrscheinlichkeit],(tblAuftraege[Datum Einnahmen]&gt;=U$5)*1,(tblAuftraege[Datum Einnahmen]&lt;EDATE(U$5,1))*1,(tblAuftraege[Themenfeld]="EDM")*1)-SUMPRODUCT(tblAuftraege[Ausgaben],tblAuftraege[Auftragswahrscheinlichkeit],(tblAuftraege[Datum Ausgaben]&gt;=U$5)*1,(tblAuftraege[Datum Ausgaben]&lt;EDATE(U$5,1))*1,(tblAuftraege[Themenfeld]="EDM")*1)</f>
        <v>0</v>
      </c>
      <c r="V127" s="27" t="n">
        <f aca="false">SUMPRODUCT(tblAuftraege[Einnahmen],tblAuftraege[Auftragswahrscheinlichkeit],(tblAuftraege[Datum Einnahmen]&gt;=V$5)*1,(tblAuftraege[Datum Einnahmen]&lt;EDATE(V$5,1))*1,(tblAuftraege[Themenfeld]="EDM")*1)-SUMPRODUCT(tblAuftraege[Ausgaben],tblAuftraege[Auftragswahrscheinlichkeit],(tblAuftraege[Datum Ausgaben]&gt;=V$5)*1,(tblAuftraege[Datum Ausgaben]&lt;EDATE(V$5,1))*1,(tblAuftraege[Themenfeld]="EDM")*1)</f>
        <v>0</v>
      </c>
      <c r="W127" s="27" t="n">
        <f aca="false">SUMPRODUCT(tblAuftraege[Einnahmen],tblAuftraege[Auftragswahrscheinlichkeit],(tblAuftraege[Datum Einnahmen]&gt;=W$5)*1,(tblAuftraege[Datum Einnahmen]&lt;EDATE(W$5,1))*1,(tblAuftraege[Themenfeld]="EDM")*1)-SUMPRODUCT(tblAuftraege[Ausgaben],tblAuftraege[Auftragswahrscheinlichkeit],(tblAuftraege[Datum Ausgaben]&gt;=W$5)*1,(tblAuftraege[Datum Ausgaben]&lt;EDATE(W$5,1))*1,(tblAuftraege[Themenfeld]="EDM")*1)</f>
        <v>0</v>
      </c>
      <c r="X127" s="27" t="n">
        <f aca="false">SUMPRODUCT(tblAuftraege[Einnahmen],tblAuftraege[Auftragswahrscheinlichkeit],(tblAuftraege[Datum Einnahmen]&gt;=X$5)*1,(tblAuftraege[Datum Einnahmen]&lt;EDATE(X$5,1))*1,(tblAuftraege[Themenfeld]="EDM")*1)-SUMPRODUCT(tblAuftraege[Ausgaben],tblAuftraege[Auftragswahrscheinlichkeit],(tblAuftraege[Datum Ausgaben]&gt;=X$5)*1,(tblAuftraege[Datum Ausgaben]&lt;EDATE(X$5,1))*1,(tblAuftraege[Themenfeld]="EDM")*1)</f>
        <v>0</v>
      </c>
      <c r="Y127" s="27" t="n">
        <f aca="false">SUMPRODUCT(tblAuftraege[Einnahmen],tblAuftraege[Auftragswahrscheinlichkeit],(tblAuftraege[Datum Einnahmen]&gt;=Y$5)*1,(tblAuftraege[Datum Einnahmen]&lt;EDATE(Y$5,1))*1,(tblAuftraege[Themenfeld]="EDM")*1)-SUMPRODUCT(tblAuftraege[Ausgaben],tblAuftraege[Auftragswahrscheinlichkeit],(tblAuftraege[Datum Ausgaben]&gt;=Y$5)*1,(tblAuftraege[Datum Ausgaben]&lt;EDATE(Y$5,1))*1,(tblAuftraege[Themenfeld]="EDM")*1)</f>
        <v>0</v>
      </c>
      <c r="Z127" s="27" t="n">
        <f aca="false">SUMPRODUCT(tblAuftraege[Einnahmen],tblAuftraege[Auftragswahrscheinlichkeit],(tblAuftraege[Datum Einnahmen]&gt;=Z$5)*1,(tblAuftraege[Datum Einnahmen]&lt;EDATE(Z$5,1))*1,(tblAuftraege[Themenfeld]="EDM")*1)-SUMPRODUCT(tblAuftraege[Ausgaben],tblAuftraege[Auftragswahrscheinlichkeit],(tblAuftraege[Datum Ausgaben]&gt;=Z$5)*1,(tblAuftraege[Datum Ausgaben]&lt;EDATE(Z$5,1))*1,(tblAuftraege[Themenfeld]="EDM")*1)</f>
        <v>0</v>
      </c>
      <c r="AA127" s="27" t="n">
        <f aca="false">SUMPRODUCT(tblAuftraege[Einnahmen],tblAuftraege[Auftragswahrscheinlichkeit],(tblAuftraege[Datum Einnahmen]&gt;=AA$5)*1,(tblAuftraege[Datum Einnahmen]&lt;EDATE(AA$5,1))*1,(tblAuftraege[Themenfeld]="EDM")*1)-SUMPRODUCT(tblAuftraege[Ausgaben],tblAuftraege[Auftragswahrscheinlichkeit],(tblAuftraege[Datum Ausgaben]&gt;=AA$5)*1,(tblAuftraege[Datum Ausgaben]&lt;EDATE(AA$5,1))*1,(tblAuftraege[Themenfeld]="EDM")*1)</f>
        <v>0</v>
      </c>
      <c r="AB127" s="27" t="n">
        <f aca="false">SUMPRODUCT(tblAuftraege[Einnahmen],tblAuftraege[Auftragswahrscheinlichkeit],(tblAuftraege[Datum Einnahmen]&gt;=AB$5)*1,(tblAuftraege[Datum Einnahmen]&lt;EDATE(AB$5,1))*1,(tblAuftraege[Themenfeld]="EDM")*1)-SUMPRODUCT(tblAuftraege[Ausgaben],tblAuftraege[Auftragswahrscheinlichkeit],(tblAuftraege[Datum Ausgaben]&gt;=AB$5)*1,(tblAuftraege[Datum Ausgaben]&lt;EDATE(AB$5,1))*1,(tblAuftraege[Themenfeld]="EDM")*1)</f>
        <v>0</v>
      </c>
      <c r="AC127" s="27" t="n">
        <f aca="false">SUMPRODUCT(tblAuftraege[Einnahmen],tblAuftraege[Auftragswahrscheinlichkeit],(tblAuftraege[Datum Einnahmen]&gt;=AC$5)*1,(tblAuftraege[Datum Einnahmen]&lt;EDATE(AC$5,1))*1,(tblAuftraege[Themenfeld]="EDM")*1)-SUMPRODUCT(tblAuftraege[Ausgaben],tblAuftraege[Auftragswahrscheinlichkeit],(tblAuftraege[Datum Ausgaben]&gt;=AC$5)*1,(tblAuftraege[Datum Ausgaben]&lt;EDATE(AC$5,1))*1,(tblAuftraege[Themenfeld]="EDM")*1)</f>
        <v>0</v>
      </c>
      <c r="AD127" s="27" t="n">
        <f aca="false">SUMPRODUCT(tblAuftraege[Einnahmen],tblAuftraege[Auftragswahrscheinlichkeit],(tblAuftraege[Datum Einnahmen]&gt;=AD$5)*1,(tblAuftraege[Datum Einnahmen]&lt;EDATE(AD$5,1))*1,(tblAuftraege[Themenfeld]="EDM")*1)-SUMPRODUCT(tblAuftraege[Ausgaben],tblAuftraege[Auftragswahrscheinlichkeit],(tblAuftraege[Datum Ausgaben]&gt;=AD$5)*1,(tblAuftraege[Datum Ausgaben]&lt;EDATE(AD$5,1))*1,(tblAuftraege[Themenfeld]="EDM")*1)</f>
        <v>0</v>
      </c>
      <c r="AE127" s="27" t="n">
        <f aca="false">SUMPRODUCT(tblAuftraege[Einnahmen],tblAuftraege[Auftragswahrscheinlichkeit],(tblAuftraege[Datum Einnahmen]&gt;=AE$5)*1,(tblAuftraege[Datum Einnahmen]&lt;EDATE(AE$5,1))*1,(tblAuftraege[Themenfeld]="EDM")*1)-SUMPRODUCT(tblAuftraege[Ausgaben],tblAuftraege[Auftragswahrscheinlichkeit],(tblAuftraege[Datum Ausgaben]&gt;=AE$5)*1,(tblAuftraege[Datum Ausgaben]&lt;EDATE(AE$5,1))*1,(tblAuftraege[Themenfeld]="EDM")*1)</f>
        <v>0</v>
      </c>
      <c r="AF127" s="27" t="n">
        <f aca="false">SUMPRODUCT(tblAuftraege[Einnahmen],tblAuftraege[Auftragswahrscheinlichkeit],(tblAuftraege[Datum Einnahmen]&gt;=AF$5)*1,(tblAuftraege[Datum Einnahmen]&lt;EDATE(AF$5,1))*1,(tblAuftraege[Themenfeld]="EDM")*1)-SUMPRODUCT(tblAuftraege[Ausgaben],tblAuftraege[Auftragswahrscheinlichkeit],(tblAuftraege[Datum Ausgaben]&gt;=AF$5)*1,(tblAuftraege[Datum Ausgaben]&lt;EDATE(AF$5,1))*1,(tblAuftraege[Themenfeld]="EDM")*1)</f>
        <v>0</v>
      </c>
      <c r="AG127" s="27" t="n">
        <f aca="false">SUMPRODUCT(tblAuftraege[Einnahmen],tblAuftraege[Auftragswahrscheinlichkeit],(tblAuftraege[Datum Einnahmen]&gt;=AG$5)*1,(tblAuftraege[Datum Einnahmen]&lt;EDATE(AG$5,1))*1,(tblAuftraege[Themenfeld]="EDM")*1)-SUMPRODUCT(tblAuftraege[Ausgaben],tblAuftraege[Auftragswahrscheinlichkeit],(tblAuftraege[Datum Ausgaben]&gt;=AG$5)*1,(tblAuftraege[Datum Ausgaben]&lt;EDATE(AG$5,1))*1,(tblAuftraege[Themenfeld]="EDM")*1)</f>
        <v>0</v>
      </c>
      <c r="AH127" s="27" t="n">
        <f aca="false">SUMPRODUCT(tblAuftraege[Einnahmen],tblAuftraege[Auftragswahrscheinlichkeit],(tblAuftraege[Datum Einnahmen]&gt;=AH$5)*1,(tblAuftraege[Datum Einnahmen]&lt;EDATE(AH$5,1))*1,(tblAuftraege[Themenfeld]="EDM")*1)-SUMPRODUCT(tblAuftraege[Ausgaben],tblAuftraege[Auftragswahrscheinlichkeit],(tblAuftraege[Datum Ausgaben]&gt;=AH$5)*1,(tblAuftraege[Datum Ausgaben]&lt;EDATE(AH$5,1))*1,(tblAuftraege[Themenfeld]="EDM")*1)</f>
        <v>0</v>
      </c>
      <c r="AI127" s="27" t="n">
        <f aca="false">SUMPRODUCT(tblAuftraege[Einnahmen],tblAuftraege[Auftragswahrscheinlichkeit],(tblAuftraege[Datum Einnahmen]&gt;=AI$5)*1,(tblAuftraege[Datum Einnahmen]&lt;EDATE(AI$5,1))*1,(tblAuftraege[Themenfeld]="EDM")*1)-SUMPRODUCT(tblAuftraege[Ausgaben],tblAuftraege[Auftragswahrscheinlichkeit],(tblAuftraege[Datum Ausgaben]&gt;=AI$5)*1,(tblAuftraege[Datum Ausgaben]&lt;EDATE(AI$5,1))*1,(tblAuftraege[Themenfeld]="EDM")*1)</f>
        <v>0</v>
      </c>
      <c r="AJ127" s="27" t="n">
        <f aca="false">SUMPRODUCT(tblAuftraege[Einnahmen],tblAuftraege[Auftragswahrscheinlichkeit],(tblAuftraege[Datum Einnahmen]&gt;=AJ$5)*1,(tblAuftraege[Datum Einnahmen]&lt;EDATE(AJ$5,1))*1,(tblAuftraege[Themenfeld]="EDM")*1)-SUMPRODUCT(tblAuftraege[Ausgaben],tblAuftraege[Auftragswahrscheinlichkeit],(tblAuftraege[Datum Ausgaben]&gt;=AJ$5)*1,(tblAuftraege[Datum Ausgaben]&lt;EDATE(AJ$5,1))*1,(tblAuftraege[Themenfeld]="EDM")*1)</f>
        <v>0</v>
      </c>
      <c r="AK127" s="27" t="n">
        <f aca="false">SUMPRODUCT(tblAuftraege[Einnahmen],tblAuftraege[Auftragswahrscheinlichkeit],(tblAuftraege[Datum Einnahmen]&gt;=AK$5)*1,(tblAuftraege[Datum Einnahmen]&lt;EDATE(AK$5,1))*1,(tblAuftraege[Themenfeld]="EDM")*1)-SUMPRODUCT(tblAuftraege[Ausgaben],tblAuftraege[Auftragswahrscheinlichkeit],(tblAuftraege[Datum Ausgaben]&gt;=AK$5)*1,(tblAuftraege[Datum Ausgaben]&lt;EDATE(AK$5,1))*1,(tblAuftraege[Themenfeld]="EDM")*1)</f>
        <v>0</v>
      </c>
      <c r="AL127" s="27" t="n">
        <f aca="false">SUMPRODUCT(tblAuftraege[Einnahmen],tblAuftraege[Auftragswahrscheinlichkeit],(tblAuftraege[Datum Einnahmen]&gt;=AL$5)*1,(tblAuftraege[Datum Einnahmen]&lt;EDATE(AL$5,1))*1,(tblAuftraege[Themenfeld]="EDM")*1)-SUMPRODUCT(tblAuftraege[Ausgaben],tblAuftraege[Auftragswahrscheinlichkeit],(tblAuftraege[Datum Ausgaben]&gt;=AL$5)*1,(tblAuftraege[Datum Ausgaben]&lt;EDATE(AL$5,1))*1,(tblAuftraege[Themenfeld]="EDM")*1)</f>
        <v>0</v>
      </c>
      <c r="AM127" s="27" t="n">
        <f aca="false">SUMPRODUCT(tblAuftraege[Einnahmen],tblAuftraege[Auftragswahrscheinlichkeit],(tblAuftraege[Datum Einnahmen]&gt;=AM$5)*1,(tblAuftraege[Datum Einnahmen]&lt;EDATE(AM$5,1))*1,(tblAuftraege[Themenfeld]="EDM")*1)-SUMPRODUCT(tblAuftraege[Ausgaben],tblAuftraege[Auftragswahrscheinlichkeit],(tblAuftraege[Datum Ausgaben]&gt;=AM$5)*1,(tblAuftraege[Datum Ausgaben]&lt;EDATE(AM$5,1))*1,(tblAuftraege[Themenfeld]="EDM")*1)</f>
        <v>0</v>
      </c>
      <c r="AN127" s="27" t="n">
        <f aca="false">SUMPRODUCT(tblAuftraege[Einnahmen],tblAuftraege[Auftragswahrscheinlichkeit],(tblAuftraege[Datum Einnahmen]&gt;=AN$5)*1,(tblAuftraege[Datum Einnahmen]&lt;EDATE(AN$5,1))*1,(tblAuftraege[Themenfeld]="EDM")*1)-SUMPRODUCT(tblAuftraege[Ausgaben],tblAuftraege[Auftragswahrscheinlichkeit],(tblAuftraege[Datum Ausgaben]&gt;=AN$5)*1,(tblAuftraege[Datum Ausgaben]&lt;EDATE(AN$5,1))*1,(tblAuftraege[Themenfeld]="EDM")*1)</f>
        <v>0</v>
      </c>
      <c r="AO127" s="27" t="n">
        <f aca="false">SUMPRODUCT(tblAuftraege[Einnahmen],tblAuftraege[Auftragswahrscheinlichkeit],(tblAuftraege[Datum Einnahmen]&gt;=AO$5)*1,(tblAuftraege[Datum Einnahmen]&lt;EDATE(AO$5,1))*1,(tblAuftraege[Themenfeld]="EDM")*1)-SUMPRODUCT(tblAuftraege[Ausgaben],tblAuftraege[Auftragswahrscheinlichkeit],(tblAuftraege[Datum Ausgaben]&gt;=AO$5)*1,(tblAuftraege[Datum Ausgaben]&lt;EDATE(AO$5,1))*1,(tblAuftraege[Themenfeld]="EDM")*1)</f>
        <v>0</v>
      </c>
      <c r="AP127" s="27" t="n">
        <f aca="false">SUMPRODUCT(tblAuftraege[Einnahmen],tblAuftraege[Auftragswahrscheinlichkeit],(tblAuftraege[Datum Einnahmen]&gt;=AP$5)*1,(tblAuftraege[Datum Einnahmen]&lt;EDATE(AP$5,1))*1,(tblAuftraege[Themenfeld]="EDM")*1)-SUMPRODUCT(tblAuftraege[Ausgaben],tblAuftraege[Auftragswahrscheinlichkeit],(tblAuftraege[Datum Ausgaben]&gt;=AP$5)*1,(tblAuftraege[Datum Ausgaben]&lt;EDATE(AP$5,1))*1,(tblAuftraege[Themenfeld]="EDM")*1)</f>
        <v>0</v>
      </c>
      <c r="AQ127" s="27" t="n">
        <f aca="false">SUMPRODUCT(tblAuftraege[Einnahmen],tblAuftraege[Auftragswahrscheinlichkeit],(tblAuftraege[Datum Einnahmen]&gt;=AQ$5)*1,(tblAuftraege[Datum Einnahmen]&lt;EDATE(AQ$5,1))*1,(tblAuftraege[Themenfeld]="EDM")*1)-SUMPRODUCT(tblAuftraege[Ausgaben],tblAuftraege[Auftragswahrscheinlichkeit],(tblAuftraege[Datum Ausgaben]&gt;=AQ$5)*1,(tblAuftraege[Datum Ausgaben]&lt;EDATE(AQ$5,1))*1,(tblAuftraege[Themenfeld]="EDM")*1)</f>
        <v>0</v>
      </c>
      <c r="AR127" s="27" t="n">
        <f aca="false">SUMPRODUCT(tblAuftraege[Einnahmen],tblAuftraege[Auftragswahrscheinlichkeit],(tblAuftraege[Datum Einnahmen]&gt;=AR$5)*1,(tblAuftraege[Datum Einnahmen]&lt;EDATE(AR$5,1))*1,(tblAuftraege[Themenfeld]="EDM")*1)-SUMPRODUCT(tblAuftraege[Ausgaben],tblAuftraege[Auftragswahrscheinlichkeit],(tblAuftraege[Datum Ausgaben]&gt;=AR$5)*1,(tblAuftraege[Datum Ausgaben]&lt;EDATE(AR$5,1))*1,(tblAuftraege[Themenfeld]="EDM")*1)</f>
        <v>0</v>
      </c>
      <c r="AS127" s="27" t="n">
        <f aca="false">SUMPRODUCT(tblAuftraege[Einnahmen],tblAuftraege[Auftragswahrscheinlichkeit],(tblAuftraege[Datum Einnahmen]&gt;=AS$5)*1,(tblAuftraege[Datum Einnahmen]&lt;EDATE(AS$5,1))*1,(tblAuftraege[Themenfeld]="EDM")*1)-SUMPRODUCT(tblAuftraege[Ausgaben],tblAuftraege[Auftragswahrscheinlichkeit],(tblAuftraege[Datum Ausgaben]&gt;=AS$5)*1,(tblAuftraege[Datum Ausgaben]&lt;EDATE(AS$5,1))*1,(tblAuftraege[Themenfeld]="EDM")*1)</f>
        <v>0</v>
      </c>
      <c r="AT127" s="27" t="n">
        <f aca="false">SUMPRODUCT(tblAuftraege[Einnahmen],tblAuftraege[Auftragswahrscheinlichkeit],(tblAuftraege[Datum Einnahmen]&gt;=AT$5)*1,(tblAuftraege[Datum Einnahmen]&lt;EDATE(AT$5,1))*1,(tblAuftraege[Themenfeld]="EDM")*1)-SUMPRODUCT(tblAuftraege[Ausgaben],tblAuftraege[Auftragswahrscheinlichkeit],(tblAuftraege[Datum Ausgaben]&gt;=AT$5)*1,(tblAuftraege[Datum Ausgaben]&lt;EDATE(AT$5,1))*1,(tblAuftraege[Themenfeld]="EDM")*1)</f>
        <v>0</v>
      </c>
      <c r="AU127" s="27" t="n">
        <f aca="false">SUMPRODUCT(tblAuftraege[Einnahmen],tblAuftraege[Auftragswahrscheinlichkeit],(tblAuftraege[Datum Einnahmen]&gt;=AU$5)*1,(tblAuftraege[Datum Einnahmen]&lt;EDATE(AU$5,1))*1,(tblAuftraege[Themenfeld]="EDM")*1)-SUMPRODUCT(tblAuftraege[Ausgaben],tblAuftraege[Auftragswahrscheinlichkeit],(tblAuftraege[Datum Ausgaben]&gt;=AU$5)*1,(tblAuftraege[Datum Ausgaben]&lt;EDATE(AU$5,1))*1,(tblAuftraege[Themenfeld]="EDM")*1)</f>
        <v>0</v>
      </c>
      <c r="AV127" s="27" t="n">
        <f aca="false">SUMPRODUCT(tblAuftraege[Einnahmen],tblAuftraege[Auftragswahrscheinlichkeit],(tblAuftraege[Datum Einnahmen]&gt;=AV$5)*1,(tblAuftraege[Datum Einnahmen]&lt;EDATE(AV$5,1))*1,(tblAuftraege[Themenfeld]="EDM")*1)-SUMPRODUCT(tblAuftraege[Ausgaben],tblAuftraege[Auftragswahrscheinlichkeit],(tblAuftraege[Datum Ausgaben]&gt;=AV$5)*1,(tblAuftraege[Datum Ausgaben]&lt;EDATE(AV$5,1))*1,(tblAuftraege[Themenfeld]="EDM")*1)</f>
        <v>0</v>
      </c>
      <c r="AW127" s="27" t="n">
        <f aca="false">SUMPRODUCT(tblAuftraege[Einnahmen],tblAuftraege[Auftragswahrscheinlichkeit],(tblAuftraege[Datum Einnahmen]&gt;=AW$5)*1,(tblAuftraege[Datum Einnahmen]&lt;EDATE(AW$5,1))*1,(tblAuftraege[Themenfeld]="EDM")*1)-SUMPRODUCT(tblAuftraege[Ausgaben],tblAuftraege[Auftragswahrscheinlichkeit],(tblAuftraege[Datum Ausgaben]&gt;=AW$5)*1,(tblAuftraege[Datum Ausgaben]&lt;EDATE(AW$5,1))*1,(tblAuftraege[Themenfeld]="EDM")*1)</f>
        <v>0</v>
      </c>
      <c r="AX127" s="27" t="n">
        <f aca="false">SUMPRODUCT(tblAuftraege[Einnahmen],tblAuftraege[Auftragswahrscheinlichkeit],(tblAuftraege[Datum Einnahmen]&gt;=AX$5)*1,(tblAuftraege[Datum Einnahmen]&lt;EDATE(AX$5,1))*1,(tblAuftraege[Themenfeld]="EDM")*1)-SUMPRODUCT(tblAuftraege[Ausgaben],tblAuftraege[Auftragswahrscheinlichkeit],(tblAuftraege[Datum Ausgaben]&gt;=AX$5)*1,(tblAuftraege[Datum Ausgaben]&lt;EDATE(AX$5,1))*1,(tblAuftraege[Themenfeld]="EDM")*1)</f>
        <v>0</v>
      </c>
      <c r="AY127" s="27" t="n">
        <f aca="false">SUMPRODUCT(tblAuftraege[Einnahmen],tblAuftraege[Auftragswahrscheinlichkeit],(tblAuftraege[Datum Einnahmen]&gt;=AY$5)*1,(tblAuftraege[Datum Einnahmen]&lt;EDATE(AY$5,1))*1,(tblAuftraege[Themenfeld]="EDM")*1)-SUMPRODUCT(tblAuftraege[Ausgaben],tblAuftraege[Auftragswahrscheinlichkeit],(tblAuftraege[Datum Ausgaben]&gt;=AY$5)*1,(tblAuftraege[Datum Ausgaben]&lt;EDATE(AY$5,1))*1,(tblAuftraege[Themenfeld]="EDM")*1)</f>
        <v>0</v>
      </c>
      <c r="AZ127" s="27" t="n">
        <f aca="false">SUMPRODUCT(tblAuftraege[Einnahmen],tblAuftraege[Auftragswahrscheinlichkeit],(tblAuftraege[Datum Einnahmen]&gt;=AZ$5)*1,(tblAuftraege[Datum Einnahmen]&lt;EDATE(AZ$5,1))*1,(tblAuftraege[Themenfeld]="EDM")*1)-SUMPRODUCT(tblAuftraege[Ausgaben],tblAuftraege[Auftragswahrscheinlichkeit],(tblAuftraege[Datum Ausgaben]&gt;=AZ$5)*1,(tblAuftraege[Datum Ausgaben]&lt;EDATE(AZ$5,1))*1,(tblAuftraege[Themenfeld]="EDM")*1)</f>
        <v>0</v>
      </c>
      <c r="BA127" s="27" t="n">
        <f aca="false">SUMPRODUCT(tblAuftraege[Einnahmen],tblAuftraege[Auftragswahrscheinlichkeit],(tblAuftraege[Datum Einnahmen]&gt;=BA$5)*1,(tblAuftraege[Datum Einnahmen]&lt;EDATE(BA$5,1))*1,(tblAuftraege[Themenfeld]="EDM")*1)-SUMPRODUCT(tblAuftraege[Ausgaben],tblAuftraege[Auftragswahrscheinlichkeit],(tblAuftraege[Datum Ausgaben]&gt;=BA$5)*1,(tblAuftraege[Datum Ausgaben]&lt;EDATE(BA$5,1))*1,(tblAuftraege[Themenfeld]="EDM")*1)</f>
        <v>0</v>
      </c>
      <c r="BB127" s="27" t="n">
        <f aca="false">SUMPRODUCT(tblAuftraege[Einnahmen],tblAuftraege[Auftragswahrscheinlichkeit],(tblAuftraege[Datum Einnahmen]&gt;=BB$5)*1,(tblAuftraege[Datum Einnahmen]&lt;EDATE(BB$5,1))*1,(tblAuftraege[Themenfeld]="EDM")*1)-SUMPRODUCT(tblAuftraege[Ausgaben],tblAuftraege[Auftragswahrscheinlichkeit],(tblAuftraege[Datum Ausgaben]&gt;=BB$5)*1,(tblAuftraege[Datum Ausgaben]&lt;EDATE(BB$5,1))*1,(tblAuftraege[Themenfeld]="EDM")*1)</f>
        <v>0</v>
      </c>
      <c r="BC127" s="27" t="n">
        <f aca="false">SUMPRODUCT(tblAuftraege[Einnahmen],tblAuftraege[Auftragswahrscheinlichkeit],(tblAuftraege[Datum Einnahmen]&gt;=BC$5)*1,(tblAuftraege[Datum Einnahmen]&lt;EDATE(BC$5,1))*1,(tblAuftraege[Themenfeld]="EDM")*1)-SUMPRODUCT(tblAuftraege[Ausgaben],tblAuftraege[Auftragswahrscheinlichkeit],(tblAuftraege[Datum Ausgaben]&gt;=BC$5)*1,(tblAuftraege[Datum Ausgaben]&lt;EDATE(BC$5,1))*1,(tblAuftraege[Themenfeld]="EDM")*1)</f>
        <v>0</v>
      </c>
      <c r="BD127" s="27" t="n">
        <f aca="false">SUMPRODUCT(tblAuftraege[Einnahmen],tblAuftraege[Auftragswahrscheinlichkeit],(tblAuftraege[Datum Einnahmen]&gt;=BD$5)*1,(tblAuftraege[Datum Einnahmen]&lt;EDATE(BD$5,1))*1,(tblAuftraege[Themenfeld]="EDM")*1)-SUMPRODUCT(tblAuftraege[Ausgaben],tblAuftraege[Auftragswahrscheinlichkeit],(tblAuftraege[Datum Ausgaben]&gt;=BD$5)*1,(tblAuftraege[Datum Ausgaben]&lt;EDATE(BD$5,1))*1,(tblAuftraege[Themenfeld]="EDM")*1)</f>
        <v>0</v>
      </c>
      <c r="BE127" s="27" t="n">
        <f aca="false">SUMPRODUCT(tblAuftraege[Einnahmen],tblAuftraege[Auftragswahrscheinlichkeit],(tblAuftraege[Datum Einnahmen]&gt;=BE$5)*1,(tblAuftraege[Datum Einnahmen]&lt;EDATE(BE$5,1))*1,(tblAuftraege[Themenfeld]="EDM")*1)-SUMPRODUCT(tblAuftraege[Ausgaben],tblAuftraege[Auftragswahrscheinlichkeit],(tblAuftraege[Datum Ausgaben]&gt;=BE$5)*1,(tblAuftraege[Datum Ausgaben]&lt;EDATE(BE$5,1))*1,(tblAuftraege[Themenfeld]="EDM")*1)</f>
        <v>0</v>
      </c>
      <c r="BF127" s="27" t="n">
        <f aca="false">SUMPRODUCT(tblAuftraege[Einnahmen],tblAuftraege[Auftragswahrscheinlichkeit],(tblAuftraege[Datum Einnahmen]&gt;=BF$5)*1,(tblAuftraege[Datum Einnahmen]&lt;EDATE(BF$5,1))*1,(tblAuftraege[Themenfeld]="EDM")*1)-SUMPRODUCT(tblAuftraege[Ausgaben],tblAuftraege[Auftragswahrscheinlichkeit],(tblAuftraege[Datum Ausgaben]&gt;=BF$5)*1,(tblAuftraege[Datum Ausgaben]&lt;EDATE(BF$5,1))*1,(tblAuftraege[Themenfeld]="EDM")*1)</f>
        <v>0</v>
      </c>
      <c r="BG127" s="27" t="n">
        <f aca="false">SUM(E127:J127)</f>
        <v>0</v>
      </c>
      <c r="BH127" s="27" t="n">
        <f aca="false">SUM(K127:V127)</f>
        <v>0</v>
      </c>
      <c r="BI127" s="27" t="n">
        <f aca="false">SUM(W127:AH127)</f>
        <v>0</v>
      </c>
      <c r="BJ127" s="27" t="n">
        <f aca="false">SUM(AI127:AT127)</f>
        <v>0</v>
      </c>
      <c r="BK127" s="27" t="n">
        <f aca="false">SUM(AU127:BF127)</f>
        <v>0</v>
      </c>
      <c r="BL127" s="27" t="n">
        <f aca="false">SUM(E127:BF127)</f>
        <v>0</v>
      </c>
    </row>
    <row r="128" customFormat="false" ht="15" hidden="false" customHeight="false" outlineLevel="0" collapsed="false">
      <c r="A128" s="13" t="s">
        <v>84</v>
      </c>
      <c r="B128" s="14"/>
      <c r="C128" s="15"/>
      <c r="D128" s="15"/>
      <c r="E128" s="11" t="n">
        <f aca="false">SUMIFS(tblAuftraege[Einnahmen],tblAuftraege[Datum Einnahmen],"&gt;="&amp;E$5,tblAuftraege[Datum Einnahmen],"&lt;"&amp;EDATE(E$5,1),tblAuftraege[Themenfeld],"Parking")</f>
        <v>0</v>
      </c>
      <c r="F128" s="11" t="n">
        <f aca="false">SUMIFS(tblAuftraege[Einnahmen],tblAuftraege[Datum Einnahmen],"&gt;="&amp;F$5,tblAuftraege[Datum Einnahmen],"&lt;"&amp;EDATE(F$5,1),tblAuftraege[Themenfeld],"Parking")</f>
        <v>0</v>
      </c>
      <c r="G128" s="11" t="n">
        <f aca="false">SUMIFS(tblAuftraege[Einnahmen],tblAuftraege[Datum Einnahmen],"&gt;="&amp;G$5,tblAuftraege[Datum Einnahmen],"&lt;"&amp;EDATE(G$5,1),tblAuftraege[Themenfeld],"Parking")</f>
        <v>0</v>
      </c>
      <c r="H128" s="11" t="n">
        <f aca="false">SUMIFS(tblAuftraege[Einnahmen],tblAuftraege[Datum Einnahmen],"&gt;="&amp;H$5,tblAuftraege[Datum Einnahmen],"&lt;"&amp;EDATE(H$5,1),tblAuftraege[Themenfeld],"Parking")</f>
        <v>0</v>
      </c>
      <c r="I128" s="11" t="n">
        <f aca="false">SUMIFS(tblAuftraege[Einnahmen],tblAuftraege[Datum Einnahmen],"&gt;="&amp;I$5,tblAuftraege[Datum Einnahmen],"&lt;"&amp;EDATE(I$5,1),tblAuftraege[Themenfeld],"Parking")</f>
        <v>0</v>
      </c>
      <c r="J128" s="11" t="n">
        <f aca="false">SUMIFS(tblAuftraege[Einnahmen],tblAuftraege[Datum Einnahmen],"&gt;="&amp;J$5,tblAuftraege[Datum Einnahmen],"&lt;"&amp;EDATE(J$5,1),tblAuftraege[Themenfeld],"Parking")</f>
        <v>0</v>
      </c>
      <c r="K128" s="11" t="n">
        <f aca="false">SUMIFS(tblAuftraege[Einnahmen],tblAuftraege[Datum Einnahmen],"&gt;="&amp;K$5,tblAuftraege[Datum Einnahmen],"&lt;"&amp;EDATE(K$5,1),tblAuftraege[Themenfeld],"Parking")</f>
        <v>0</v>
      </c>
      <c r="L128" s="11" t="n">
        <f aca="false">SUMIFS(tblAuftraege[Einnahmen],tblAuftraege[Datum Einnahmen],"&gt;="&amp;L$5,tblAuftraege[Datum Einnahmen],"&lt;"&amp;EDATE(L$5,1),tblAuftraege[Themenfeld],"Parking")</f>
        <v>0</v>
      </c>
      <c r="M128" s="11" t="n">
        <f aca="false">SUMIFS(tblAuftraege[Einnahmen],tblAuftraege[Datum Einnahmen],"&gt;="&amp;M$5,tblAuftraege[Datum Einnahmen],"&lt;"&amp;EDATE(M$5,1),tblAuftraege[Themenfeld],"Parking")</f>
        <v>0</v>
      </c>
      <c r="N128" s="11" t="n">
        <f aca="false">SUMIFS(tblAuftraege[Einnahmen],tblAuftraege[Datum Einnahmen],"&gt;="&amp;N$5,tblAuftraege[Datum Einnahmen],"&lt;"&amp;EDATE(N$5,1),tblAuftraege[Themenfeld],"Parking")</f>
        <v>0</v>
      </c>
      <c r="O128" s="11" t="n">
        <f aca="false">SUMIFS(tblAuftraege[Einnahmen],tblAuftraege[Datum Einnahmen],"&gt;="&amp;O$5,tblAuftraege[Datum Einnahmen],"&lt;"&amp;EDATE(O$5,1),tblAuftraege[Themenfeld],"Parking")</f>
        <v>0</v>
      </c>
      <c r="P128" s="11" t="n">
        <f aca="false">SUMIFS(tblAuftraege[Einnahmen],tblAuftraege[Datum Einnahmen],"&gt;="&amp;P$5,tblAuftraege[Datum Einnahmen],"&lt;"&amp;EDATE(P$5,1),tblAuftraege[Themenfeld],"Parking")</f>
        <v>0</v>
      </c>
      <c r="Q128" s="11" t="n">
        <f aca="false">SUMIFS(tblAuftraege[Einnahmen],tblAuftraege[Datum Einnahmen],"&gt;="&amp;Q$5,tblAuftraege[Datum Einnahmen],"&lt;"&amp;EDATE(Q$5,1),tblAuftraege[Themenfeld],"Parking")</f>
        <v>0</v>
      </c>
      <c r="R128" s="11" t="n">
        <f aca="false">SUMIFS(tblAuftraege[Einnahmen],tblAuftraege[Datum Einnahmen],"&gt;="&amp;R$5,tblAuftraege[Datum Einnahmen],"&lt;"&amp;EDATE(R$5,1),tblAuftraege[Themenfeld],"Parking")</f>
        <v>0</v>
      </c>
      <c r="S128" s="11" t="n">
        <f aca="false">SUMIFS(tblAuftraege[Einnahmen],tblAuftraege[Datum Einnahmen],"&gt;="&amp;S$5,tblAuftraege[Datum Einnahmen],"&lt;"&amp;EDATE(S$5,1),tblAuftraege[Themenfeld],"Parking")</f>
        <v>0</v>
      </c>
      <c r="T128" s="11" t="n">
        <f aca="false">SUMIFS(tblAuftraege[Einnahmen],tblAuftraege[Datum Einnahmen],"&gt;="&amp;T$5,tblAuftraege[Datum Einnahmen],"&lt;"&amp;EDATE(T$5,1),tblAuftraege[Themenfeld],"Parking")</f>
        <v>0</v>
      </c>
      <c r="U128" s="11" t="n">
        <f aca="false">SUMIFS(tblAuftraege[Einnahmen],tblAuftraege[Datum Einnahmen],"&gt;="&amp;U$5,tblAuftraege[Datum Einnahmen],"&lt;"&amp;EDATE(U$5,1),tblAuftraege[Themenfeld],"Parking")</f>
        <v>0</v>
      </c>
      <c r="V128" s="11" t="n">
        <f aca="false">SUMIFS(tblAuftraege[Einnahmen],tblAuftraege[Datum Einnahmen],"&gt;="&amp;V$5,tblAuftraege[Datum Einnahmen],"&lt;"&amp;EDATE(V$5,1),tblAuftraege[Themenfeld],"Parking")</f>
        <v>0</v>
      </c>
      <c r="W128" s="11" t="n">
        <f aca="false">SUMIFS(tblAuftraege[Einnahmen],tblAuftraege[Datum Einnahmen],"&gt;="&amp;W$5,tblAuftraege[Datum Einnahmen],"&lt;"&amp;EDATE(W$5,1),tblAuftraege[Themenfeld],"Parking")</f>
        <v>0</v>
      </c>
      <c r="X128" s="11" t="n">
        <f aca="false">SUMIFS(tblAuftraege[Einnahmen],tblAuftraege[Datum Einnahmen],"&gt;="&amp;X$5,tblAuftraege[Datum Einnahmen],"&lt;"&amp;EDATE(X$5,1),tblAuftraege[Themenfeld],"Parking")</f>
        <v>0</v>
      </c>
      <c r="Y128" s="11" t="n">
        <f aca="false">SUMIFS(tblAuftraege[Einnahmen],tblAuftraege[Datum Einnahmen],"&gt;="&amp;Y$5,tblAuftraege[Datum Einnahmen],"&lt;"&amp;EDATE(Y$5,1),tblAuftraege[Themenfeld],"Parking")</f>
        <v>0</v>
      </c>
      <c r="Z128" s="11" t="n">
        <f aca="false">SUMIFS(tblAuftraege[Einnahmen],tblAuftraege[Datum Einnahmen],"&gt;="&amp;Z$5,tblAuftraege[Datum Einnahmen],"&lt;"&amp;EDATE(Z$5,1),tblAuftraege[Themenfeld],"Parking")</f>
        <v>0</v>
      </c>
      <c r="AA128" s="11" t="n">
        <f aca="false">SUMIFS(tblAuftraege[Einnahmen],tblAuftraege[Datum Einnahmen],"&gt;="&amp;AA$5,tblAuftraege[Datum Einnahmen],"&lt;"&amp;EDATE(AA$5,1),tblAuftraege[Themenfeld],"Parking")</f>
        <v>0</v>
      </c>
      <c r="AB128" s="11" t="n">
        <f aca="false">SUMIFS(tblAuftraege[Einnahmen],tblAuftraege[Datum Einnahmen],"&gt;="&amp;AB$5,tblAuftraege[Datum Einnahmen],"&lt;"&amp;EDATE(AB$5,1),tblAuftraege[Themenfeld],"Parking")</f>
        <v>0</v>
      </c>
      <c r="AC128" s="11" t="n">
        <f aca="false">SUMIFS(tblAuftraege[Einnahmen],tblAuftraege[Datum Einnahmen],"&gt;="&amp;AC$5,tblAuftraege[Datum Einnahmen],"&lt;"&amp;EDATE(AC$5,1),tblAuftraege[Themenfeld],"Parking")</f>
        <v>0</v>
      </c>
      <c r="AD128" s="11" t="n">
        <f aca="false">SUMIFS(tblAuftraege[Einnahmen],tblAuftraege[Datum Einnahmen],"&gt;="&amp;AD$5,tblAuftraege[Datum Einnahmen],"&lt;"&amp;EDATE(AD$5,1),tblAuftraege[Themenfeld],"Parking")</f>
        <v>0</v>
      </c>
      <c r="AE128" s="11" t="n">
        <f aca="false">SUMIFS(tblAuftraege[Einnahmen],tblAuftraege[Datum Einnahmen],"&gt;="&amp;AE$5,tblAuftraege[Datum Einnahmen],"&lt;"&amp;EDATE(AE$5,1),tblAuftraege[Themenfeld],"Parking")</f>
        <v>0</v>
      </c>
      <c r="AF128" s="11" t="n">
        <f aca="false">SUMIFS(tblAuftraege[Einnahmen],tblAuftraege[Datum Einnahmen],"&gt;="&amp;AF$5,tblAuftraege[Datum Einnahmen],"&lt;"&amp;EDATE(AF$5,1),tblAuftraege[Themenfeld],"Parking")</f>
        <v>0</v>
      </c>
      <c r="AG128" s="11" t="n">
        <f aca="false">SUMIFS(tblAuftraege[Einnahmen],tblAuftraege[Datum Einnahmen],"&gt;="&amp;AG$5,tblAuftraege[Datum Einnahmen],"&lt;"&amp;EDATE(AG$5,1),tblAuftraege[Themenfeld],"Parking")</f>
        <v>0</v>
      </c>
      <c r="AH128" s="11" t="n">
        <f aca="false">SUMIFS(tblAuftraege[Einnahmen],tblAuftraege[Datum Einnahmen],"&gt;="&amp;AH$5,tblAuftraege[Datum Einnahmen],"&lt;"&amp;EDATE(AH$5,1),tblAuftraege[Themenfeld],"Parking")</f>
        <v>0</v>
      </c>
      <c r="AI128" s="11" t="n">
        <f aca="false">SUMIFS(tblAuftraege[Einnahmen],tblAuftraege[Datum Einnahmen],"&gt;="&amp;AI$5,tblAuftraege[Datum Einnahmen],"&lt;"&amp;EDATE(AI$5,1),tblAuftraege[Themenfeld],"Parking")</f>
        <v>0</v>
      </c>
      <c r="AJ128" s="11" t="n">
        <f aca="false">SUMIFS(tblAuftraege[Einnahmen],tblAuftraege[Datum Einnahmen],"&gt;="&amp;AJ$5,tblAuftraege[Datum Einnahmen],"&lt;"&amp;EDATE(AJ$5,1),tblAuftraege[Themenfeld],"Parking")</f>
        <v>0</v>
      </c>
      <c r="AK128" s="11" t="n">
        <f aca="false">SUMIFS(tblAuftraege[Einnahmen],tblAuftraege[Datum Einnahmen],"&gt;="&amp;AK$5,tblAuftraege[Datum Einnahmen],"&lt;"&amp;EDATE(AK$5,1),tblAuftraege[Themenfeld],"Parking")</f>
        <v>0</v>
      </c>
      <c r="AL128" s="11" t="n">
        <f aca="false">SUMIFS(tblAuftraege[Einnahmen],tblAuftraege[Datum Einnahmen],"&gt;="&amp;AL$5,tblAuftraege[Datum Einnahmen],"&lt;"&amp;EDATE(AL$5,1),tblAuftraege[Themenfeld],"Parking")</f>
        <v>0</v>
      </c>
      <c r="AM128" s="11" t="n">
        <f aca="false">SUMIFS(tblAuftraege[Einnahmen],tblAuftraege[Datum Einnahmen],"&gt;="&amp;AM$5,tblAuftraege[Datum Einnahmen],"&lt;"&amp;EDATE(AM$5,1),tblAuftraege[Themenfeld],"Parking")</f>
        <v>0</v>
      </c>
      <c r="AN128" s="11" t="n">
        <f aca="false">SUMIFS(tblAuftraege[Einnahmen],tblAuftraege[Datum Einnahmen],"&gt;="&amp;AN$5,tblAuftraege[Datum Einnahmen],"&lt;"&amp;EDATE(AN$5,1),tblAuftraege[Themenfeld],"Parking")</f>
        <v>0</v>
      </c>
      <c r="AO128" s="11" t="n">
        <f aca="false">SUMIFS(tblAuftraege[Einnahmen],tblAuftraege[Datum Einnahmen],"&gt;="&amp;AO$5,tblAuftraege[Datum Einnahmen],"&lt;"&amp;EDATE(AO$5,1),tblAuftraege[Themenfeld],"Parking")</f>
        <v>0</v>
      </c>
      <c r="AP128" s="11" t="n">
        <f aca="false">SUMIFS(tblAuftraege[Einnahmen],tblAuftraege[Datum Einnahmen],"&gt;="&amp;AP$5,tblAuftraege[Datum Einnahmen],"&lt;"&amp;EDATE(AP$5,1),tblAuftraege[Themenfeld],"Parking")</f>
        <v>0</v>
      </c>
      <c r="AQ128" s="11" t="n">
        <f aca="false">SUMIFS(tblAuftraege[Einnahmen],tblAuftraege[Datum Einnahmen],"&gt;="&amp;AQ$5,tblAuftraege[Datum Einnahmen],"&lt;"&amp;EDATE(AQ$5,1),tblAuftraege[Themenfeld],"Parking")</f>
        <v>0</v>
      </c>
      <c r="AR128" s="11" t="n">
        <f aca="false">SUMIFS(tblAuftraege[Einnahmen],tblAuftraege[Datum Einnahmen],"&gt;="&amp;AR$5,tblAuftraege[Datum Einnahmen],"&lt;"&amp;EDATE(AR$5,1),tblAuftraege[Themenfeld],"Parking")</f>
        <v>0</v>
      </c>
      <c r="AS128" s="11" t="n">
        <f aca="false">SUMIFS(tblAuftraege[Einnahmen],tblAuftraege[Datum Einnahmen],"&gt;="&amp;AS$5,tblAuftraege[Datum Einnahmen],"&lt;"&amp;EDATE(AS$5,1),tblAuftraege[Themenfeld],"Parking")</f>
        <v>0</v>
      </c>
      <c r="AT128" s="11" t="n">
        <f aca="false">SUMIFS(tblAuftraege[Einnahmen],tblAuftraege[Datum Einnahmen],"&gt;="&amp;AT$5,tblAuftraege[Datum Einnahmen],"&lt;"&amp;EDATE(AT$5,1),tblAuftraege[Themenfeld],"Parking")</f>
        <v>0</v>
      </c>
      <c r="AU128" s="11" t="n">
        <f aca="false">SUMIFS(tblAuftraege[Einnahmen],tblAuftraege[Datum Einnahmen],"&gt;="&amp;AU$5,tblAuftraege[Datum Einnahmen],"&lt;"&amp;EDATE(AU$5,1),tblAuftraege[Themenfeld],"Parking")</f>
        <v>0</v>
      </c>
      <c r="AV128" s="11" t="n">
        <f aca="false">SUMIFS(tblAuftraege[Einnahmen],tblAuftraege[Datum Einnahmen],"&gt;="&amp;AV$5,tblAuftraege[Datum Einnahmen],"&lt;"&amp;EDATE(AV$5,1),tblAuftraege[Themenfeld],"Parking")</f>
        <v>0</v>
      </c>
      <c r="AW128" s="11" t="n">
        <f aca="false">SUMIFS(tblAuftraege[Einnahmen],tblAuftraege[Datum Einnahmen],"&gt;="&amp;AW$5,tblAuftraege[Datum Einnahmen],"&lt;"&amp;EDATE(AW$5,1),tblAuftraege[Themenfeld],"Parking")</f>
        <v>0</v>
      </c>
      <c r="AX128" s="11" t="n">
        <f aca="false">SUMIFS(tblAuftraege[Einnahmen],tblAuftraege[Datum Einnahmen],"&gt;="&amp;AX$5,tblAuftraege[Datum Einnahmen],"&lt;"&amp;EDATE(AX$5,1),tblAuftraege[Themenfeld],"Parking")</f>
        <v>0</v>
      </c>
      <c r="AY128" s="11" t="n">
        <f aca="false">SUMIFS(tblAuftraege[Einnahmen],tblAuftraege[Datum Einnahmen],"&gt;="&amp;AY$5,tblAuftraege[Datum Einnahmen],"&lt;"&amp;EDATE(AY$5,1),tblAuftraege[Themenfeld],"Parking")</f>
        <v>0</v>
      </c>
      <c r="AZ128" s="11" t="n">
        <f aca="false">SUMIFS(tblAuftraege[Einnahmen],tblAuftraege[Datum Einnahmen],"&gt;="&amp;AZ$5,tblAuftraege[Datum Einnahmen],"&lt;"&amp;EDATE(AZ$5,1),tblAuftraege[Themenfeld],"Parking")</f>
        <v>0</v>
      </c>
      <c r="BA128" s="11" t="n">
        <f aca="false">SUMIFS(tblAuftraege[Einnahmen],tblAuftraege[Datum Einnahmen],"&gt;="&amp;BA$5,tblAuftraege[Datum Einnahmen],"&lt;"&amp;EDATE(BA$5,1),tblAuftraege[Themenfeld],"Parking")</f>
        <v>0</v>
      </c>
      <c r="BB128" s="11" t="n">
        <f aca="false">SUMIFS(tblAuftraege[Einnahmen],tblAuftraege[Datum Einnahmen],"&gt;="&amp;BB$5,tblAuftraege[Datum Einnahmen],"&lt;"&amp;EDATE(BB$5,1),tblAuftraege[Themenfeld],"Parking")</f>
        <v>0</v>
      </c>
      <c r="BC128" s="11" t="n">
        <f aca="false">SUMIFS(tblAuftraege[Einnahmen],tblAuftraege[Datum Einnahmen],"&gt;="&amp;BC$5,tblAuftraege[Datum Einnahmen],"&lt;"&amp;EDATE(BC$5,1),tblAuftraege[Themenfeld],"Parking")</f>
        <v>0</v>
      </c>
      <c r="BD128" s="11" t="n">
        <f aca="false">SUMIFS(tblAuftraege[Einnahmen],tblAuftraege[Datum Einnahmen],"&gt;="&amp;BD$5,tblAuftraege[Datum Einnahmen],"&lt;"&amp;EDATE(BD$5,1),tblAuftraege[Themenfeld],"Parking")</f>
        <v>0</v>
      </c>
      <c r="BE128" s="11" t="n">
        <f aca="false">SUMIFS(tblAuftraege[Einnahmen],tblAuftraege[Datum Einnahmen],"&gt;="&amp;BE$5,tblAuftraege[Datum Einnahmen],"&lt;"&amp;EDATE(BE$5,1),tblAuftraege[Themenfeld],"Parking")</f>
        <v>0</v>
      </c>
      <c r="BF128" s="11" t="n">
        <f aca="false">SUMIFS(tblAuftraege[Einnahmen],tblAuftraege[Datum Einnahmen],"&gt;="&amp;BF$5,tblAuftraege[Datum Einnahmen],"&lt;"&amp;EDATE(BF$5,1),tblAuftraege[Themenfeld],"Parking")</f>
        <v>0</v>
      </c>
      <c r="BG128" s="11" t="n">
        <f aca="false">SUM(E128:J128)</f>
        <v>0</v>
      </c>
      <c r="BH128" s="11" t="n">
        <f aca="false">SUM(K128:V128)</f>
        <v>0</v>
      </c>
      <c r="BI128" s="11" t="n">
        <f aca="false">SUM(W128:AH128)</f>
        <v>0</v>
      </c>
      <c r="BJ128" s="11" t="n">
        <f aca="false">SUM(AI128:AT128)</f>
        <v>0</v>
      </c>
      <c r="BK128" s="11" t="n">
        <f aca="false">SUM(AU128:BF128)</f>
        <v>0</v>
      </c>
      <c r="BL128" s="11" t="n">
        <f aca="false">SUM(E128:BF128)</f>
        <v>0</v>
      </c>
    </row>
    <row r="129" customFormat="false" ht="15" hidden="false" customHeight="false" outlineLevel="0" collapsed="false">
      <c r="A129" s="13" t="s">
        <v>85</v>
      </c>
      <c r="B129" s="14"/>
      <c r="C129" s="15"/>
      <c r="D129" s="15"/>
      <c r="E129" s="11" t="n">
        <f aca="false">SUMIFS(tblAuftraege[Ausgaben],tblAuftraege[Datum Ausgaben],"&gt;="&amp;E$5,tblAuftraege[Datum Ausgaben],"&lt;"&amp;EDATE(E$5,1),tblAuftraege[Themenfeld],"Parking")</f>
        <v>0</v>
      </c>
      <c r="F129" s="11" t="n">
        <f aca="false">SUMIFS(tblAuftraege[Ausgaben],tblAuftraege[Datum Ausgaben],"&gt;="&amp;F$5,tblAuftraege[Datum Ausgaben],"&lt;"&amp;EDATE(F$5,1),tblAuftraege[Themenfeld],"Parking")</f>
        <v>0</v>
      </c>
      <c r="G129" s="11" t="n">
        <f aca="false">SUMIFS(tblAuftraege[Ausgaben],tblAuftraege[Datum Ausgaben],"&gt;="&amp;G$5,tblAuftraege[Datum Ausgaben],"&lt;"&amp;EDATE(G$5,1),tblAuftraege[Themenfeld],"Parking")</f>
        <v>0</v>
      </c>
      <c r="H129" s="11" t="n">
        <f aca="false">SUMIFS(tblAuftraege[Ausgaben],tblAuftraege[Datum Ausgaben],"&gt;="&amp;H$5,tblAuftraege[Datum Ausgaben],"&lt;"&amp;EDATE(H$5,1),tblAuftraege[Themenfeld],"Parking")</f>
        <v>0</v>
      </c>
      <c r="I129" s="11" t="n">
        <f aca="false">SUMIFS(tblAuftraege[Ausgaben],tblAuftraege[Datum Ausgaben],"&gt;="&amp;I$5,tblAuftraege[Datum Ausgaben],"&lt;"&amp;EDATE(I$5,1),tblAuftraege[Themenfeld],"Parking")</f>
        <v>0</v>
      </c>
      <c r="J129" s="11" t="n">
        <f aca="false">SUMIFS(tblAuftraege[Ausgaben],tblAuftraege[Datum Ausgaben],"&gt;="&amp;J$5,tblAuftraege[Datum Ausgaben],"&lt;"&amp;EDATE(J$5,1),tblAuftraege[Themenfeld],"Parking")</f>
        <v>0</v>
      </c>
      <c r="K129" s="11" t="n">
        <f aca="false">SUMIFS(tblAuftraege[Ausgaben],tblAuftraege[Datum Ausgaben],"&gt;="&amp;K$5,tblAuftraege[Datum Ausgaben],"&lt;"&amp;EDATE(K$5,1),tblAuftraege[Themenfeld],"Parking")</f>
        <v>0</v>
      </c>
      <c r="L129" s="11" t="n">
        <f aca="false">SUMIFS(tblAuftraege[Ausgaben],tblAuftraege[Datum Ausgaben],"&gt;="&amp;L$5,tblAuftraege[Datum Ausgaben],"&lt;"&amp;EDATE(L$5,1),tblAuftraege[Themenfeld],"Parking")</f>
        <v>0</v>
      </c>
      <c r="M129" s="11" t="n">
        <f aca="false">SUMIFS(tblAuftraege[Ausgaben],tblAuftraege[Datum Ausgaben],"&gt;="&amp;M$5,tblAuftraege[Datum Ausgaben],"&lt;"&amp;EDATE(M$5,1),tblAuftraege[Themenfeld],"Parking")</f>
        <v>0</v>
      </c>
      <c r="N129" s="11" t="n">
        <f aca="false">SUMIFS(tblAuftraege[Ausgaben],tblAuftraege[Datum Ausgaben],"&gt;="&amp;N$5,tblAuftraege[Datum Ausgaben],"&lt;"&amp;EDATE(N$5,1),tblAuftraege[Themenfeld],"Parking")</f>
        <v>0</v>
      </c>
      <c r="O129" s="11" t="n">
        <f aca="false">SUMIFS(tblAuftraege[Ausgaben],tblAuftraege[Datum Ausgaben],"&gt;="&amp;O$5,tblAuftraege[Datum Ausgaben],"&lt;"&amp;EDATE(O$5,1),tblAuftraege[Themenfeld],"Parking")</f>
        <v>0</v>
      </c>
      <c r="P129" s="11" t="n">
        <f aca="false">SUMIFS(tblAuftraege[Ausgaben],tblAuftraege[Datum Ausgaben],"&gt;="&amp;P$5,tblAuftraege[Datum Ausgaben],"&lt;"&amp;EDATE(P$5,1),tblAuftraege[Themenfeld],"Parking")</f>
        <v>0</v>
      </c>
      <c r="Q129" s="11" t="n">
        <f aca="false">SUMIFS(tblAuftraege[Ausgaben],tblAuftraege[Datum Ausgaben],"&gt;="&amp;Q$5,tblAuftraege[Datum Ausgaben],"&lt;"&amp;EDATE(Q$5,1),tblAuftraege[Themenfeld],"Parking")</f>
        <v>0</v>
      </c>
      <c r="R129" s="11" t="n">
        <f aca="false">SUMIFS(tblAuftraege[Ausgaben],tblAuftraege[Datum Ausgaben],"&gt;="&amp;R$5,tblAuftraege[Datum Ausgaben],"&lt;"&amp;EDATE(R$5,1),tblAuftraege[Themenfeld],"Parking")</f>
        <v>0</v>
      </c>
      <c r="S129" s="11" t="n">
        <f aca="false">SUMIFS(tblAuftraege[Ausgaben],tblAuftraege[Datum Ausgaben],"&gt;="&amp;S$5,tblAuftraege[Datum Ausgaben],"&lt;"&amp;EDATE(S$5,1),tblAuftraege[Themenfeld],"Parking")</f>
        <v>0</v>
      </c>
      <c r="T129" s="11" t="n">
        <f aca="false">SUMIFS(tblAuftraege[Ausgaben],tblAuftraege[Datum Ausgaben],"&gt;="&amp;T$5,tblAuftraege[Datum Ausgaben],"&lt;"&amp;EDATE(T$5,1),tblAuftraege[Themenfeld],"Parking")</f>
        <v>0</v>
      </c>
      <c r="U129" s="11" t="n">
        <f aca="false">SUMIFS(tblAuftraege[Ausgaben],tblAuftraege[Datum Ausgaben],"&gt;="&amp;U$5,tblAuftraege[Datum Ausgaben],"&lt;"&amp;EDATE(U$5,1),tblAuftraege[Themenfeld],"Parking")</f>
        <v>0</v>
      </c>
      <c r="V129" s="11" t="n">
        <f aca="false">SUMIFS(tblAuftraege[Ausgaben],tblAuftraege[Datum Ausgaben],"&gt;="&amp;V$5,tblAuftraege[Datum Ausgaben],"&lt;"&amp;EDATE(V$5,1),tblAuftraege[Themenfeld],"Parking")</f>
        <v>0</v>
      </c>
      <c r="W129" s="11" t="n">
        <f aca="false">SUMIFS(tblAuftraege[Ausgaben],tblAuftraege[Datum Ausgaben],"&gt;="&amp;W$5,tblAuftraege[Datum Ausgaben],"&lt;"&amp;EDATE(W$5,1),tblAuftraege[Themenfeld],"Parking")</f>
        <v>0</v>
      </c>
      <c r="X129" s="11" t="n">
        <f aca="false">SUMIFS(tblAuftraege[Ausgaben],tblAuftraege[Datum Ausgaben],"&gt;="&amp;X$5,tblAuftraege[Datum Ausgaben],"&lt;"&amp;EDATE(X$5,1),tblAuftraege[Themenfeld],"Parking")</f>
        <v>0</v>
      </c>
      <c r="Y129" s="11" t="n">
        <f aca="false">SUMIFS(tblAuftraege[Ausgaben],tblAuftraege[Datum Ausgaben],"&gt;="&amp;Y$5,tblAuftraege[Datum Ausgaben],"&lt;"&amp;EDATE(Y$5,1),tblAuftraege[Themenfeld],"Parking")</f>
        <v>0</v>
      </c>
      <c r="Z129" s="11" t="n">
        <f aca="false">SUMIFS(tblAuftraege[Ausgaben],tblAuftraege[Datum Ausgaben],"&gt;="&amp;Z$5,tblAuftraege[Datum Ausgaben],"&lt;"&amp;EDATE(Z$5,1),tblAuftraege[Themenfeld],"Parking")</f>
        <v>0</v>
      </c>
      <c r="AA129" s="11" t="n">
        <f aca="false">SUMIFS(tblAuftraege[Ausgaben],tblAuftraege[Datum Ausgaben],"&gt;="&amp;AA$5,tblAuftraege[Datum Ausgaben],"&lt;"&amp;EDATE(AA$5,1),tblAuftraege[Themenfeld],"Parking")</f>
        <v>0</v>
      </c>
      <c r="AB129" s="11" t="n">
        <f aca="false">SUMIFS(tblAuftraege[Ausgaben],tblAuftraege[Datum Ausgaben],"&gt;="&amp;AB$5,tblAuftraege[Datum Ausgaben],"&lt;"&amp;EDATE(AB$5,1),tblAuftraege[Themenfeld],"Parking")</f>
        <v>0</v>
      </c>
      <c r="AC129" s="11" t="n">
        <f aca="false">SUMIFS(tblAuftraege[Ausgaben],tblAuftraege[Datum Ausgaben],"&gt;="&amp;AC$5,tblAuftraege[Datum Ausgaben],"&lt;"&amp;EDATE(AC$5,1),tblAuftraege[Themenfeld],"Parking")</f>
        <v>0</v>
      </c>
      <c r="AD129" s="11" t="n">
        <f aca="false">SUMIFS(tblAuftraege[Ausgaben],tblAuftraege[Datum Ausgaben],"&gt;="&amp;AD$5,tblAuftraege[Datum Ausgaben],"&lt;"&amp;EDATE(AD$5,1),tblAuftraege[Themenfeld],"Parking")</f>
        <v>0</v>
      </c>
      <c r="AE129" s="11" t="n">
        <f aca="false">SUMIFS(tblAuftraege[Ausgaben],tblAuftraege[Datum Ausgaben],"&gt;="&amp;AE$5,tblAuftraege[Datum Ausgaben],"&lt;"&amp;EDATE(AE$5,1),tblAuftraege[Themenfeld],"Parking")</f>
        <v>0</v>
      </c>
      <c r="AF129" s="11" t="n">
        <f aca="false">SUMIFS(tblAuftraege[Ausgaben],tblAuftraege[Datum Ausgaben],"&gt;="&amp;AF$5,tblAuftraege[Datum Ausgaben],"&lt;"&amp;EDATE(AF$5,1),tblAuftraege[Themenfeld],"Parking")</f>
        <v>0</v>
      </c>
      <c r="AG129" s="11" t="n">
        <f aca="false">SUMIFS(tblAuftraege[Ausgaben],tblAuftraege[Datum Ausgaben],"&gt;="&amp;AG$5,tblAuftraege[Datum Ausgaben],"&lt;"&amp;EDATE(AG$5,1),tblAuftraege[Themenfeld],"Parking")</f>
        <v>0</v>
      </c>
      <c r="AH129" s="11" t="n">
        <f aca="false">SUMIFS(tblAuftraege[Ausgaben],tblAuftraege[Datum Ausgaben],"&gt;="&amp;AH$5,tblAuftraege[Datum Ausgaben],"&lt;"&amp;EDATE(AH$5,1),tblAuftraege[Themenfeld],"Parking")</f>
        <v>0</v>
      </c>
      <c r="AI129" s="11" t="n">
        <f aca="false">SUMIFS(tblAuftraege[Ausgaben],tblAuftraege[Datum Ausgaben],"&gt;="&amp;AI$5,tblAuftraege[Datum Ausgaben],"&lt;"&amp;EDATE(AI$5,1),tblAuftraege[Themenfeld],"Parking")</f>
        <v>0</v>
      </c>
      <c r="AJ129" s="11" t="n">
        <f aca="false">SUMIFS(tblAuftraege[Ausgaben],tblAuftraege[Datum Ausgaben],"&gt;="&amp;AJ$5,tblAuftraege[Datum Ausgaben],"&lt;"&amp;EDATE(AJ$5,1),tblAuftraege[Themenfeld],"Parking")</f>
        <v>0</v>
      </c>
      <c r="AK129" s="11" t="n">
        <f aca="false">SUMIFS(tblAuftraege[Ausgaben],tblAuftraege[Datum Ausgaben],"&gt;="&amp;AK$5,tblAuftraege[Datum Ausgaben],"&lt;"&amp;EDATE(AK$5,1),tblAuftraege[Themenfeld],"Parking")</f>
        <v>0</v>
      </c>
      <c r="AL129" s="11" t="n">
        <f aca="false">SUMIFS(tblAuftraege[Ausgaben],tblAuftraege[Datum Ausgaben],"&gt;="&amp;AL$5,tblAuftraege[Datum Ausgaben],"&lt;"&amp;EDATE(AL$5,1),tblAuftraege[Themenfeld],"Parking")</f>
        <v>0</v>
      </c>
      <c r="AM129" s="11" t="n">
        <f aca="false">SUMIFS(tblAuftraege[Ausgaben],tblAuftraege[Datum Ausgaben],"&gt;="&amp;AM$5,tblAuftraege[Datum Ausgaben],"&lt;"&amp;EDATE(AM$5,1),tblAuftraege[Themenfeld],"Parking")</f>
        <v>0</v>
      </c>
      <c r="AN129" s="11" t="n">
        <f aca="false">SUMIFS(tblAuftraege[Ausgaben],tblAuftraege[Datum Ausgaben],"&gt;="&amp;AN$5,tblAuftraege[Datum Ausgaben],"&lt;"&amp;EDATE(AN$5,1),tblAuftraege[Themenfeld],"Parking")</f>
        <v>0</v>
      </c>
      <c r="AO129" s="11" t="n">
        <f aca="false">SUMIFS(tblAuftraege[Ausgaben],tblAuftraege[Datum Ausgaben],"&gt;="&amp;AO$5,tblAuftraege[Datum Ausgaben],"&lt;"&amp;EDATE(AO$5,1),tblAuftraege[Themenfeld],"Parking")</f>
        <v>0</v>
      </c>
      <c r="AP129" s="11" t="n">
        <f aca="false">SUMIFS(tblAuftraege[Ausgaben],tblAuftraege[Datum Ausgaben],"&gt;="&amp;AP$5,tblAuftraege[Datum Ausgaben],"&lt;"&amp;EDATE(AP$5,1),tblAuftraege[Themenfeld],"Parking")</f>
        <v>0</v>
      </c>
      <c r="AQ129" s="11" t="n">
        <f aca="false">SUMIFS(tblAuftraege[Ausgaben],tblAuftraege[Datum Ausgaben],"&gt;="&amp;AQ$5,tblAuftraege[Datum Ausgaben],"&lt;"&amp;EDATE(AQ$5,1),tblAuftraege[Themenfeld],"Parking")</f>
        <v>0</v>
      </c>
      <c r="AR129" s="11" t="n">
        <f aca="false">SUMIFS(tblAuftraege[Ausgaben],tblAuftraege[Datum Ausgaben],"&gt;="&amp;AR$5,tblAuftraege[Datum Ausgaben],"&lt;"&amp;EDATE(AR$5,1),tblAuftraege[Themenfeld],"Parking")</f>
        <v>0</v>
      </c>
      <c r="AS129" s="11" t="n">
        <f aca="false">SUMIFS(tblAuftraege[Ausgaben],tblAuftraege[Datum Ausgaben],"&gt;="&amp;AS$5,tblAuftraege[Datum Ausgaben],"&lt;"&amp;EDATE(AS$5,1),tblAuftraege[Themenfeld],"Parking")</f>
        <v>0</v>
      </c>
      <c r="AT129" s="11" t="n">
        <f aca="false">SUMIFS(tblAuftraege[Ausgaben],tblAuftraege[Datum Ausgaben],"&gt;="&amp;AT$5,tblAuftraege[Datum Ausgaben],"&lt;"&amp;EDATE(AT$5,1),tblAuftraege[Themenfeld],"Parking")</f>
        <v>0</v>
      </c>
      <c r="AU129" s="11" t="n">
        <f aca="false">SUMIFS(tblAuftraege[Ausgaben],tblAuftraege[Datum Ausgaben],"&gt;="&amp;AU$5,tblAuftraege[Datum Ausgaben],"&lt;"&amp;EDATE(AU$5,1),tblAuftraege[Themenfeld],"Parking")</f>
        <v>0</v>
      </c>
      <c r="AV129" s="11" t="n">
        <f aca="false">SUMIFS(tblAuftraege[Ausgaben],tblAuftraege[Datum Ausgaben],"&gt;="&amp;AV$5,tblAuftraege[Datum Ausgaben],"&lt;"&amp;EDATE(AV$5,1),tblAuftraege[Themenfeld],"Parking")</f>
        <v>0</v>
      </c>
      <c r="AW129" s="11" t="n">
        <f aca="false">SUMIFS(tblAuftraege[Ausgaben],tblAuftraege[Datum Ausgaben],"&gt;="&amp;AW$5,tblAuftraege[Datum Ausgaben],"&lt;"&amp;EDATE(AW$5,1),tblAuftraege[Themenfeld],"Parking")</f>
        <v>0</v>
      </c>
      <c r="AX129" s="11" t="n">
        <f aca="false">SUMIFS(tblAuftraege[Ausgaben],tblAuftraege[Datum Ausgaben],"&gt;="&amp;AX$5,tblAuftraege[Datum Ausgaben],"&lt;"&amp;EDATE(AX$5,1),tblAuftraege[Themenfeld],"Parking")</f>
        <v>0</v>
      </c>
      <c r="AY129" s="11" t="n">
        <f aca="false">SUMIFS(tblAuftraege[Ausgaben],tblAuftraege[Datum Ausgaben],"&gt;="&amp;AY$5,tblAuftraege[Datum Ausgaben],"&lt;"&amp;EDATE(AY$5,1),tblAuftraege[Themenfeld],"Parking")</f>
        <v>0</v>
      </c>
      <c r="AZ129" s="11" t="n">
        <f aca="false">SUMIFS(tblAuftraege[Ausgaben],tblAuftraege[Datum Ausgaben],"&gt;="&amp;AZ$5,tblAuftraege[Datum Ausgaben],"&lt;"&amp;EDATE(AZ$5,1),tblAuftraege[Themenfeld],"Parking")</f>
        <v>0</v>
      </c>
      <c r="BA129" s="11" t="n">
        <f aca="false">SUMIFS(tblAuftraege[Ausgaben],tblAuftraege[Datum Ausgaben],"&gt;="&amp;BA$5,tblAuftraege[Datum Ausgaben],"&lt;"&amp;EDATE(BA$5,1),tblAuftraege[Themenfeld],"Parking")</f>
        <v>0</v>
      </c>
      <c r="BB129" s="11" t="n">
        <f aca="false">SUMIFS(tblAuftraege[Ausgaben],tblAuftraege[Datum Ausgaben],"&gt;="&amp;BB$5,tblAuftraege[Datum Ausgaben],"&lt;"&amp;EDATE(BB$5,1),tblAuftraege[Themenfeld],"Parking")</f>
        <v>0</v>
      </c>
      <c r="BC129" s="11" t="n">
        <f aca="false">SUMIFS(tblAuftraege[Ausgaben],tblAuftraege[Datum Ausgaben],"&gt;="&amp;BC$5,tblAuftraege[Datum Ausgaben],"&lt;"&amp;EDATE(BC$5,1),tblAuftraege[Themenfeld],"Parking")</f>
        <v>0</v>
      </c>
      <c r="BD129" s="11" t="n">
        <f aca="false">SUMIFS(tblAuftraege[Ausgaben],tblAuftraege[Datum Ausgaben],"&gt;="&amp;BD$5,tblAuftraege[Datum Ausgaben],"&lt;"&amp;EDATE(BD$5,1),tblAuftraege[Themenfeld],"Parking")</f>
        <v>0</v>
      </c>
      <c r="BE129" s="11" t="n">
        <f aca="false">SUMIFS(tblAuftraege[Ausgaben],tblAuftraege[Datum Ausgaben],"&gt;="&amp;BE$5,tblAuftraege[Datum Ausgaben],"&lt;"&amp;EDATE(BE$5,1),tblAuftraege[Themenfeld],"Parking")</f>
        <v>0</v>
      </c>
      <c r="BF129" s="11" t="n">
        <f aca="false">SUMIFS(tblAuftraege[Ausgaben],tblAuftraege[Datum Ausgaben],"&gt;="&amp;BF$5,tblAuftraege[Datum Ausgaben],"&lt;"&amp;EDATE(BF$5,1),tblAuftraege[Themenfeld],"Parking")</f>
        <v>0</v>
      </c>
      <c r="BG129" s="11" t="n">
        <f aca="false">SUM(E129:J129)</f>
        <v>0</v>
      </c>
      <c r="BH129" s="11" t="n">
        <f aca="false">SUM(K129:V129)</f>
        <v>0</v>
      </c>
      <c r="BI129" s="11" t="n">
        <f aca="false">SUM(W129:AH129)</f>
        <v>0</v>
      </c>
      <c r="BJ129" s="11" t="n">
        <f aca="false">SUM(AI129:AT129)</f>
        <v>0</v>
      </c>
      <c r="BK129" s="11" t="n">
        <f aca="false">SUM(AU129:BF129)</f>
        <v>0</v>
      </c>
      <c r="BL129" s="11" t="n">
        <f aca="false">SUM(E129:BF129)</f>
        <v>0</v>
      </c>
    </row>
    <row r="130" customFormat="false" ht="15" hidden="false" customHeight="false" outlineLevel="0" collapsed="false">
      <c r="A130" s="24" t="s">
        <v>86</v>
      </c>
      <c r="B130" s="25"/>
      <c r="C130" s="26"/>
      <c r="D130" s="26"/>
      <c r="E130" s="27" t="n">
        <f aca="false">SUMPRODUCT(tblAuftraege[Einnahmen],tblAuftraege[Auftragswahrscheinlichkeit],(tblAuftraege[Datum Einnahmen]&gt;=E$5)*1,(tblAuftraege[Datum Einnahmen]&lt;EDATE(E$5,1))*1,(tblAuftraege[Themenfeld]="Parking")*1)-SUMPRODUCT(tblAuftraege[Ausgaben],tblAuftraege[Auftragswahrscheinlichkeit],(tblAuftraege[Datum Ausgaben]&gt;=E$5)*1,(tblAuftraege[Datum Ausgaben]&lt;EDATE(E$5,1))*1,(tblAuftraege[Themenfeld]="Parking")*1)</f>
        <v>0</v>
      </c>
      <c r="F130" s="27" t="n">
        <f aca="false">SUMPRODUCT(tblAuftraege[Einnahmen],tblAuftraege[Auftragswahrscheinlichkeit],(tblAuftraege[Datum Einnahmen]&gt;=F$5)*1,(tblAuftraege[Datum Einnahmen]&lt;EDATE(F$5,1))*1,(tblAuftraege[Themenfeld]="Parking")*1)-SUMPRODUCT(tblAuftraege[Ausgaben],tblAuftraege[Auftragswahrscheinlichkeit],(tblAuftraege[Datum Ausgaben]&gt;=F$5)*1,(tblAuftraege[Datum Ausgaben]&lt;EDATE(F$5,1))*1,(tblAuftraege[Themenfeld]="Parking")*1)</f>
        <v>0</v>
      </c>
      <c r="G130" s="27" t="n">
        <f aca="false">SUMPRODUCT(tblAuftraege[Einnahmen],tblAuftraege[Auftragswahrscheinlichkeit],(tblAuftraege[Datum Einnahmen]&gt;=G$5)*1,(tblAuftraege[Datum Einnahmen]&lt;EDATE(G$5,1))*1,(tblAuftraege[Themenfeld]="Parking")*1)-SUMPRODUCT(tblAuftraege[Ausgaben],tblAuftraege[Auftragswahrscheinlichkeit],(tblAuftraege[Datum Ausgaben]&gt;=G$5)*1,(tblAuftraege[Datum Ausgaben]&lt;EDATE(G$5,1))*1,(tblAuftraege[Themenfeld]="Parking")*1)</f>
        <v>0</v>
      </c>
      <c r="H130" s="27" t="n">
        <f aca="false">SUMPRODUCT(tblAuftraege[Einnahmen],tblAuftraege[Auftragswahrscheinlichkeit],(tblAuftraege[Datum Einnahmen]&gt;=H$5)*1,(tblAuftraege[Datum Einnahmen]&lt;EDATE(H$5,1))*1,(tblAuftraege[Themenfeld]="Parking")*1)-SUMPRODUCT(tblAuftraege[Ausgaben],tblAuftraege[Auftragswahrscheinlichkeit],(tblAuftraege[Datum Ausgaben]&gt;=H$5)*1,(tblAuftraege[Datum Ausgaben]&lt;EDATE(H$5,1))*1,(tblAuftraege[Themenfeld]="Parking")*1)</f>
        <v>0</v>
      </c>
      <c r="I130" s="27" t="n">
        <f aca="false">SUMPRODUCT(tblAuftraege[Einnahmen],tblAuftraege[Auftragswahrscheinlichkeit],(tblAuftraege[Datum Einnahmen]&gt;=I$5)*1,(tblAuftraege[Datum Einnahmen]&lt;EDATE(I$5,1))*1,(tblAuftraege[Themenfeld]="Parking")*1)-SUMPRODUCT(tblAuftraege[Ausgaben],tblAuftraege[Auftragswahrscheinlichkeit],(tblAuftraege[Datum Ausgaben]&gt;=I$5)*1,(tblAuftraege[Datum Ausgaben]&lt;EDATE(I$5,1))*1,(tblAuftraege[Themenfeld]="Parking")*1)</f>
        <v>0</v>
      </c>
      <c r="J130" s="27" t="n">
        <f aca="false">SUMPRODUCT(tblAuftraege[Einnahmen],tblAuftraege[Auftragswahrscheinlichkeit],(tblAuftraege[Datum Einnahmen]&gt;=J$5)*1,(tblAuftraege[Datum Einnahmen]&lt;EDATE(J$5,1))*1,(tblAuftraege[Themenfeld]="Parking")*1)-SUMPRODUCT(tblAuftraege[Ausgaben],tblAuftraege[Auftragswahrscheinlichkeit],(tblAuftraege[Datum Ausgaben]&gt;=J$5)*1,(tblAuftraege[Datum Ausgaben]&lt;EDATE(J$5,1))*1,(tblAuftraege[Themenfeld]="Parking")*1)</f>
        <v>0</v>
      </c>
      <c r="K130" s="27" t="n">
        <f aca="false">SUMPRODUCT(tblAuftraege[Einnahmen],tblAuftraege[Auftragswahrscheinlichkeit],(tblAuftraege[Datum Einnahmen]&gt;=K$5)*1,(tblAuftraege[Datum Einnahmen]&lt;EDATE(K$5,1))*1,(tblAuftraege[Themenfeld]="Parking")*1)-SUMPRODUCT(tblAuftraege[Ausgaben],tblAuftraege[Auftragswahrscheinlichkeit],(tblAuftraege[Datum Ausgaben]&gt;=K$5)*1,(tblAuftraege[Datum Ausgaben]&lt;EDATE(K$5,1))*1,(tblAuftraege[Themenfeld]="Parking")*1)</f>
        <v>0</v>
      </c>
      <c r="L130" s="27" t="n">
        <f aca="false">SUMPRODUCT(tblAuftraege[Einnahmen],tblAuftraege[Auftragswahrscheinlichkeit],(tblAuftraege[Datum Einnahmen]&gt;=L$5)*1,(tblAuftraege[Datum Einnahmen]&lt;EDATE(L$5,1))*1,(tblAuftraege[Themenfeld]="Parking")*1)-SUMPRODUCT(tblAuftraege[Ausgaben],tblAuftraege[Auftragswahrscheinlichkeit],(tblAuftraege[Datum Ausgaben]&gt;=L$5)*1,(tblAuftraege[Datum Ausgaben]&lt;EDATE(L$5,1))*1,(tblAuftraege[Themenfeld]="Parking")*1)</f>
        <v>0</v>
      </c>
      <c r="M130" s="27" t="n">
        <f aca="false">SUMPRODUCT(tblAuftraege[Einnahmen],tblAuftraege[Auftragswahrscheinlichkeit],(tblAuftraege[Datum Einnahmen]&gt;=M$5)*1,(tblAuftraege[Datum Einnahmen]&lt;EDATE(M$5,1))*1,(tblAuftraege[Themenfeld]="Parking")*1)-SUMPRODUCT(tblAuftraege[Ausgaben],tblAuftraege[Auftragswahrscheinlichkeit],(tblAuftraege[Datum Ausgaben]&gt;=M$5)*1,(tblAuftraege[Datum Ausgaben]&lt;EDATE(M$5,1))*1,(tblAuftraege[Themenfeld]="Parking")*1)</f>
        <v>0</v>
      </c>
      <c r="N130" s="27" t="n">
        <f aca="false">SUMPRODUCT(tblAuftraege[Einnahmen],tblAuftraege[Auftragswahrscheinlichkeit],(tblAuftraege[Datum Einnahmen]&gt;=N$5)*1,(tblAuftraege[Datum Einnahmen]&lt;EDATE(N$5,1))*1,(tblAuftraege[Themenfeld]="Parking")*1)-SUMPRODUCT(tblAuftraege[Ausgaben],tblAuftraege[Auftragswahrscheinlichkeit],(tblAuftraege[Datum Ausgaben]&gt;=N$5)*1,(tblAuftraege[Datum Ausgaben]&lt;EDATE(N$5,1))*1,(tblAuftraege[Themenfeld]="Parking")*1)</f>
        <v>0</v>
      </c>
      <c r="O130" s="27" t="n">
        <f aca="false">SUMPRODUCT(tblAuftraege[Einnahmen],tblAuftraege[Auftragswahrscheinlichkeit],(tblAuftraege[Datum Einnahmen]&gt;=O$5)*1,(tblAuftraege[Datum Einnahmen]&lt;EDATE(O$5,1))*1,(tblAuftraege[Themenfeld]="Parking")*1)-SUMPRODUCT(tblAuftraege[Ausgaben],tblAuftraege[Auftragswahrscheinlichkeit],(tblAuftraege[Datum Ausgaben]&gt;=O$5)*1,(tblAuftraege[Datum Ausgaben]&lt;EDATE(O$5,1))*1,(tblAuftraege[Themenfeld]="Parking")*1)</f>
        <v>0</v>
      </c>
      <c r="P130" s="27" t="n">
        <f aca="false">SUMPRODUCT(tblAuftraege[Einnahmen],tblAuftraege[Auftragswahrscheinlichkeit],(tblAuftraege[Datum Einnahmen]&gt;=P$5)*1,(tblAuftraege[Datum Einnahmen]&lt;EDATE(P$5,1))*1,(tblAuftraege[Themenfeld]="Parking")*1)-SUMPRODUCT(tblAuftraege[Ausgaben],tblAuftraege[Auftragswahrscheinlichkeit],(tblAuftraege[Datum Ausgaben]&gt;=P$5)*1,(tblAuftraege[Datum Ausgaben]&lt;EDATE(P$5,1))*1,(tblAuftraege[Themenfeld]="Parking")*1)</f>
        <v>0</v>
      </c>
      <c r="Q130" s="27" t="n">
        <f aca="false">SUMPRODUCT(tblAuftraege[Einnahmen],tblAuftraege[Auftragswahrscheinlichkeit],(tblAuftraege[Datum Einnahmen]&gt;=Q$5)*1,(tblAuftraege[Datum Einnahmen]&lt;EDATE(Q$5,1))*1,(tblAuftraege[Themenfeld]="Parking")*1)-SUMPRODUCT(tblAuftraege[Ausgaben],tblAuftraege[Auftragswahrscheinlichkeit],(tblAuftraege[Datum Ausgaben]&gt;=Q$5)*1,(tblAuftraege[Datum Ausgaben]&lt;EDATE(Q$5,1))*1,(tblAuftraege[Themenfeld]="Parking")*1)</f>
        <v>0</v>
      </c>
      <c r="R130" s="27" t="n">
        <f aca="false">SUMPRODUCT(tblAuftraege[Einnahmen],tblAuftraege[Auftragswahrscheinlichkeit],(tblAuftraege[Datum Einnahmen]&gt;=R$5)*1,(tblAuftraege[Datum Einnahmen]&lt;EDATE(R$5,1))*1,(tblAuftraege[Themenfeld]="Parking")*1)-SUMPRODUCT(tblAuftraege[Ausgaben],tblAuftraege[Auftragswahrscheinlichkeit],(tblAuftraege[Datum Ausgaben]&gt;=R$5)*1,(tblAuftraege[Datum Ausgaben]&lt;EDATE(R$5,1))*1,(tblAuftraege[Themenfeld]="Parking")*1)</f>
        <v>0</v>
      </c>
      <c r="S130" s="27" t="n">
        <f aca="false">SUMPRODUCT(tblAuftraege[Einnahmen],tblAuftraege[Auftragswahrscheinlichkeit],(tblAuftraege[Datum Einnahmen]&gt;=S$5)*1,(tblAuftraege[Datum Einnahmen]&lt;EDATE(S$5,1))*1,(tblAuftraege[Themenfeld]="Parking")*1)-SUMPRODUCT(tblAuftraege[Ausgaben],tblAuftraege[Auftragswahrscheinlichkeit],(tblAuftraege[Datum Ausgaben]&gt;=S$5)*1,(tblAuftraege[Datum Ausgaben]&lt;EDATE(S$5,1))*1,(tblAuftraege[Themenfeld]="Parking")*1)</f>
        <v>0</v>
      </c>
      <c r="T130" s="27" t="n">
        <f aca="false">SUMPRODUCT(tblAuftraege[Einnahmen],tblAuftraege[Auftragswahrscheinlichkeit],(tblAuftraege[Datum Einnahmen]&gt;=T$5)*1,(tblAuftraege[Datum Einnahmen]&lt;EDATE(T$5,1))*1,(tblAuftraege[Themenfeld]="Parking")*1)-SUMPRODUCT(tblAuftraege[Ausgaben],tblAuftraege[Auftragswahrscheinlichkeit],(tblAuftraege[Datum Ausgaben]&gt;=T$5)*1,(tblAuftraege[Datum Ausgaben]&lt;EDATE(T$5,1))*1,(tblAuftraege[Themenfeld]="Parking")*1)</f>
        <v>0</v>
      </c>
      <c r="U130" s="27" t="n">
        <f aca="false">SUMPRODUCT(tblAuftraege[Einnahmen],tblAuftraege[Auftragswahrscheinlichkeit],(tblAuftraege[Datum Einnahmen]&gt;=U$5)*1,(tblAuftraege[Datum Einnahmen]&lt;EDATE(U$5,1))*1,(tblAuftraege[Themenfeld]="Parking")*1)-SUMPRODUCT(tblAuftraege[Ausgaben],tblAuftraege[Auftragswahrscheinlichkeit],(tblAuftraege[Datum Ausgaben]&gt;=U$5)*1,(tblAuftraege[Datum Ausgaben]&lt;EDATE(U$5,1))*1,(tblAuftraege[Themenfeld]="Parking")*1)</f>
        <v>0</v>
      </c>
      <c r="V130" s="27" t="n">
        <f aca="false">SUMPRODUCT(tblAuftraege[Einnahmen],tblAuftraege[Auftragswahrscheinlichkeit],(tblAuftraege[Datum Einnahmen]&gt;=V$5)*1,(tblAuftraege[Datum Einnahmen]&lt;EDATE(V$5,1))*1,(tblAuftraege[Themenfeld]="Parking")*1)-SUMPRODUCT(tblAuftraege[Ausgaben],tblAuftraege[Auftragswahrscheinlichkeit],(tblAuftraege[Datum Ausgaben]&gt;=V$5)*1,(tblAuftraege[Datum Ausgaben]&lt;EDATE(V$5,1))*1,(tblAuftraege[Themenfeld]="Parking")*1)</f>
        <v>0</v>
      </c>
      <c r="W130" s="27" t="n">
        <f aca="false">SUMPRODUCT(tblAuftraege[Einnahmen],tblAuftraege[Auftragswahrscheinlichkeit],(tblAuftraege[Datum Einnahmen]&gt;=W$5)*1,(tblAuftraege[Datum Einnahmen]&lt;EDATE(W$5,1))*1,(tblAuftraege[Themenfeld]="Parking")*1)-SUMPRODUCT(tblAuftraege[Ausgaben],tblAuftraege[Auftragswahrscheinlichkeit],(tblAuftraege[Datum Ausgaben]&gt;=W$5)*1,(tblAuftraege[Datum Ausgaben]&lt;EDATE(W$5,1))*1,(tblAuftraege[Themenfeld]="Parking")*1)</f>
        <v>0</v>
      </c>
      <c r="X130" s="27" t="n">
        <f aca="false">SUMPRODUCT(tblAuftraege[Einnahmen],tblAuftraege[Auftragswahrscheinlichkeit],(tblAuftraege[Datum Einnahmen]&gt;=X$5)*1,(tblAuftraege[Datum Einnahmen]&lt;EDATE(X$5,1))*1,(tblAuftraege[Themenfeld]="Parking")*1)-SUMPRODUCT(tblAuftraege[Ausgaben],tblAuftraege[Auftragswahrscheinlichkeit],(tblAuftraege[Datum Ausgaben]&gt;=X$5)*1,(tblAuftraege[Datum Ausgaben]&lt;EDATE(X$5,1))*1,(tblAuftraege[Themenfeld]="Parking")*1)</f>
        <v>0</v>
      </c>
      <c r="Y130" s="27" t="n">
        <f aca="false">SUMPRODUCT(tblAuftraege[Einnahmen],tblAuftraege[Auftragswahrscheinlichkeit],(tblAuftraege[Datum Einnahmen]&gt;=Y$5)*1,(tblAuftraege[Datum Einnahmen]&lt;EDATE(Y$5,1))*1,(tblAuftraege[Themenfeld]="Parking")*1)-SUMPRODUCT(tblAuftraege[Ausgaben],tblAuftraege[Auftragswahrscheinlichkeit],(tblAuftraege[Datum Ausgaben]&gt;=Y$5)*1,(tblAuftraege[Datum Ausgaben]&lt;EDATE(Y$5,1))*1,(tblAuftraege[Themenfeld]="Parking")*1)</f>
        <v>0</v>
      </c>
      <c r="Z130" s="27" t="n">
        <f aca="false">SUMPRODUCT(tblAuftraege[Einnahmen],tblAuftraege[Auftragswahrscheinlichkeit],(tblAuftraege[Datum Einnahmen]&gt;=Z$5)*1,(tblAuftraege[Datum Einnahmen]&lt;EDATE(Z$5,1))*1,(tblAuftraege[Themenfeld]="Parking")*1)-SUMPRODUCT(tblAuftraege[Ausgaben],tblAuftraege[Auftragswahrscheinlichkeit],(tblAuftraege[Datum Ausgaben]&gt;=Z$5)*1,(tblAuftraege[Datum Ausgaben]&lt;EDATE(Z$5,1))*1,(tblAuftraege[Themenfeld]="Parking")*1)</f>
        <v>0</v>
      </c>
      <c r="AA130" s="27" t="n">
        <f aca="false">SUMPRODUCT(tblAuftraege[Einnahmen],tblAuftraege[Auftragswahrscheinlichkeit],(tblAuftraege[Datum Einnahmen]&gt;=AA$5)*1,(tblAuftraege[Datum Einnahmen]&lt;EDATE(AA$5,1))*1,(tblAuftraege[Themenfeld]="Parking")*1)-SUMPRODUCT(tblAuftraege[Ausgaben],tblAuftraege[Auftragswahrscheinlichkeit],(tblAuftraege[Datum Ausgaben]&gt;=AA$5)*1,(tblAuftraege[Datum Ausgaben]&lt;EDATE(AA$5,1))*1,(tblAuftraege[Themenfeld]="Parking")*1)</f>
        <v>0</v>
      </c>
      <c r="AB130" s="27" t="n">
        <f aca="false">SUMPRODUCT(tblAuftraege[Einnahmen],tblAuftraege[Auftragswahrscheinlichkeit],(tblAuftraege[Datum Einnahmen]&gt;=AB$5)*1,(tblAuftraege[Datum Einnahmen]&lt;EDATE(AB$5,1))*1,(tblAuftraege[Themenfeld]="Parking")*1)-SUMPRODUCT(tblAuftraege[Ausgaben],tblAuftraege[Auftragswahrscheinlichkeit],(tblAuftraege[Datum Ausgaben]&gt;=AB$5)*1,(tblAuftraege[Datum Ausgaben]&lt;EDATE(AB$5,1))*1,(tblAuftraege[Themenfeld]="Parking")*1)</f>
        <v>0</v>
      </c>
      <c r="AC130" s="27" t="n">
        <f aca="false">SUMPRODUCT(tblAuftraege[Einnahmen],tblAuftraege[Auftragswahrscheinlichkeit],(tblAuftraege[Datum Einnahmen]&gt;=AC$5)*1,(tblAuftraege[Datum Einnahmen]&lt;EDATE(AC$5,1))*1,(tblAuftraege[Themenfeld]="Parking")*1)-SUMPRODUCT(tblAuftraege[Ausgaben],tblAuftraege[Auftragswahrscheinlichkeit],(tblAuftraege[Datum Ausgaben]&gt;=AC$5)*1,(tblAuftraege[Datum Ausgaben]&lt;EDATE(AC$5,1))*1,(tblAuftraege[Themenfeld]="Parking")*1)</f>
        <v>0</v>
      </c>
      <c r="AD130" s="27" t="n">
        <f aca="false">SUMPRODUCT(tblAuftraege[Einnahmen],tblAuftraege[Auftragswahrscheinlichkeit],(tblAuftraege[Datum Einnahmen]&gt;=AD$5)*1,(tblAuftraege[Datum Einnahmen]&lt;EDATE(AD$5,1))*1,(tblAuftraege[Themenfeld]="Parking")*1)-SUMPRODUCT(tblAuftraege[Ausgaben],tblAuftraege[Auftragswahrscheinlichkeit],(tblAuftraege[Datum Ausgaben]&gt;=AD$5)*1,(tblAuftraege[Datum Ausgaben]&lt;EDATE(AD$5,1))*1,(tblAuftraege[Themenfeld]="Parking")*1)</f>
        <v>0</v>
      </c>
      <c r="AE130" s="27" t="n">
        <f aca="false">SUMPRODUCT(tblAuftraege[Einnahmen],tblAuftraege[Auftragswahrscheinlichkeit],(tblAuftraege[Datum Einnahmen]&gt;=AE$5)*1,(tblAuftraege[Datum Einnahmen]&lt;EDATE(AE$5,1))*1,(tblAuftraege[Themenfeld]="Parking")*1)-SUMPRODUCT(tblAuftraege[Ausgaben],tblAuftraege[Auftragswahrscheinlichkeit],(tblAuftraege[Datum Ausgaben]&gt;=AE$5)*1,(tblAuftraege[Datum Ausgaben]&lt;EDATE(AE$5,1))*1,(tblAuftraege[Themenfeld]="Parking")*1)</f>
        <v>0</v>
      </c>
      <c r="AF130" s="27" t="n">
        <f aca="false">SUMPRODUCT(tblAuftraege[Einnahmen],tblAuftraege[Auftragswahrscheinlichkeit],(tblAuftraege[Datum Einnahmen]&gt;=AF$5)*1,(tblAuftraege[Datum Einnahmen]&lt;EDATE(AF$5,1))*1,(tblAuftraege[Themenfeld]="Parking")*1)-SUMPRODUCT(tblAuftraege[Ausgaben],tblAuftraege[Auftragswahrscheinlichkeit],(tblAuftraege[Datum Ausgaben]&gt;=AF$5)*1,(tblAuftraege[Datum Ausgaben]&lt;EDATE(AF$5,1))*1,(tblAuftraege[Themenfeld]="Parking")*1)</f>
        <v>0</v>
      </c>
      <c r="AG130" s="27" t="n">
        <f aca="false">SUMPRODUCT(tblAuftraege[Einnahmen],tblAuftraege[Auftragswahrscheinlichkeit],(tblAuftraege[Datum Einnahmen]&gt;=AG$5)*1,(tblAuftraege[Datum Einnahmen]&lt;EDATE(AG$5,1))*1,(tblAuftraege[Themenfeld]="Parking")*1)-SUMPRODUCT(tblAuftraege[Ausgaben],tblAuftraege[Auftragswahrscheinlichkeit],(tblAuftraege[Datum Ausgaben]&gt;=AG$5)*1,(tblAuftraege[Datum Ausgaben]&lt;EDATE(AG$5,1))*1,(tblAuftraege[Themenfeld]="Parking")*1)</f>
        <v>0</v>
      </c>
      <c r="AH130" s="27" t="n">
        <f aca="false">SUMPRODUCT(tblAuftraege[Einnahmen],tblAuftraege[Auftragswahrscheinlichkeit],(tblAuftraege[Datum Einnahmen]&gt;=AH$5)*1,(tblAuftraege[Datum Einnahmen]&lt;EDATE(AH$5,1))*1,(tblAuftraege[Themenfeld]="Parking")*1)-SUMPRODUCT(tblAuftraege[Ausgaben],tblAuftraege[Auftragswahrscheinlichkeit],(tblAuftraege[Datum Ausgaben]&gt;=AH$5)*1,(tblAuftraege[Datum Ausgaben]&lt;EDATE(AH$5,1))*1,(tblAuftraege[Themenfeld]="Parking")*1)</f>
        <v>0</v>
      </c>
      <c r="AI130" s="27" t="n">
        <f aca="false">SUMPRODUCT(tblAuftraege[Einnahmen],tblAuftraege[Auftragswahrscheinlichkeit],(tblAuftraege[Datum Einnahmen]&gt;=AI$5)*1,(tblAuftraege[Datum Einnahmen]&lt;EDATE(AI$5,1))*1,(tblAuftraege[Themenfeld]="Parking")*1)-SUMPRODUCT(tblAuftraege[Ausgaben],tblAuftraege[Auftragswahrscheinlichkeit],(tblAuftraege[Datum Ausgaben]&gt;=AI$5)*1,(tblAuftraege[Datum Ausgaben]&lt;EDATE(AI$5,1))*1,(tblAuftraege[Themenfeld]="Parking")*1)</f>
        <v>0</v>
      </c>
      <c r="AJ130" s="27" t="n">
        <f aca="false">SUMPRODUCT(tblAuftraege[Einnahmen],tblAuftraege[Auftragswahrscheinlichkeit],(tblAuftraege[Datum Einnahmen]&gt;=AJ$5)*1,(tblAuftraege[Datum Einnahmen]&lt;EDATE(AJ$5,1))*1,(tblAuftraege[Themenfeld]="Parking")*1)-SUMPRODUCT(tblAuftraege[Ausgaben],tblAuftraege[Auftragswahrscheinlichkeit],(tblAuftraege[Datum Ausgaben]&gt;=AJ$5)*1,(tblAuftraege[Datum Ausgaben]&lt;EDATE(AJ$5,1))*1,(tblAuftraege[Themenfeld]="Parking")*1)</f>
        <v>0</v>
      </c>
      <c r="AK130" s="27" t="n">
        <f aca="false">SUMPRODUCT(tblAuftraege[Einnahmen],tblAuftraege[Auftragswahrscheinlichkeit],(tblAuftraege[Datum Einnahmen]&gt;=AK$5)*1,(tblAuftraege[Datum Einnahmen]&lt;EDATE(AK$5,1))*1,(tblAuftraege[Themenfeld]="Parking")*1)-SUMPRODUCT(tblAuftraege[Ausgaben],tblAuftraege[Auftragswahrscheinlichkeit],(tblAuftraege[Datum Ausgaben]&gt;=AK$5)*1,(tblAuftraege[Datum Ausgaben]&lt;EDATE(AK$5,1))*1,(tblAuftraege[Themenfeld]="Parking")*1)</f>
        <v>0</v>
      </c>
      <c r="AL130" s="27" t="n">
        <f aca="false">SUMPRODUCT(tblAuftraege[Einnahmen],tblAuftraege[Auftragswahrscheinlichkeit],(tblAuftraege[Datum Einnahmen]&gt;=AL$5)*1,(tblAuftraege[Datum Einnahmen]&lt;EDATE(AL$5,1))*1,(tblAuftraege[Themenfeld]="Parking")*1)-SUMPRODUCT(tblAuftraege[Ausgaben],tblAuftraege[Auftragswahrscheinlichkeit],(tblAuftraege[Datum Ausgaben]&gt;=AL$5)*1,(tblAuftraege[Datum Ausgaben]&lt;EDATE(AL$5,1))*1,(tblAuftraege[Themenfeld]="Parking")*1)</f>
        <v>0</v>
      </c>
      <c r="AM130" s="27" t="n">
        <f aca="false">SUMPRODUCT(tblAuftraege[Einnahmen],tblAuftraege[Auftragswahrscheinlichkeit],(tblAuftraege[Datum Einnahmen]&gt;=AM$5)*1,(tblAuftraege[Datum Einnahmen]&lt;EDATE(AM$5,1))*1,(tblAuftraege[Themenfeld]="Parking")*1)-SUMPRODUCT(tblAuftraege[Ausgaben],tblAuftraege[Auftragswahrscheinlichkeit],(tblAuftraege[Datum Ausgaben]&gt;=AM$5)*1,(tblAuftraege[Datum Ausgaben]&lt;EDATE(AM$5,1))*1,(tblAuftraege[Themenfeld]="Parking")*1)</f>
        <v>0</v>
      </c>
      <c r="AN130" s="27" t="n">
        <f aca="false">SUMPRODUCT(tblAuftraege[Einnahmen],tblAuftraege[Auftragswahrscheinlichkeit],(tblAuftraege[Datum Einnahmen]&gt;=AN$5)*1,(tblAuftraege[Datum Einnahmen]&lt;EDATE(AN$5,1))*1,(tblAuftraege[Themenfeld]="Parking")*1)-SUMPRODUCT(tblAuftraege[Ausgaben],tblAuftraege[Auftragswahrscheinlichkeit],(tblAuftraege[Datum Ausgaben]&gt;=AN$5)*1,(tblAuftraege[Datum Ausgaben]&lt;EDATE(AN$5,1))*1,(tblAuftraege[Themenfeld]="Parking")*1)</f>
        <v>0</v>
      </c>
      <c r="AO130" s="27" t="n">
        <f aca="false">SUMPRODUCT(tblAuftraege[Einnahmen],tblAuftraege[Auftragswahrscheinlichkeit],(tblAuftraege[Datum Einnahmen]&gt;=AO$5)*1,(tblAuftraege[Datum Einnahmen]&lt;EDATE(AO$5,1))*1,(tblAuftraege[Themenfeld]="Parking")*1)-SUMPRODUCT(tblAuftraege[Ausgaben],tblAuftraege[Auftragswahrscheinlichkeit],(tblAuftraege[Datum Ausgaben]&gt;=AO$5)*1,(tblAuftraege[Datum Ausgaben]&lt;EDATE(AO$5,1))*1,(tblAuftraege[Themenfeld]="Parking")*1)</f>
        <v>0</v>
      </c>
      <c r="AP130" s="27" t="n">
        <f aca="false">SUMPRODUCT(tblAuftraege[Einnahmen],tblAuftraege[Auftragswahrscheinlichkeit],(tblAuftraege[Datum Einnahmen]&gt;=AP$5)*1,(tblAuftraege[Datum Einnahmen]&lt;EDATE(AP$5,1))*1,(tblAuftraege[Themenfeld]="Parking")*1)-SUMPRODUCT(tblAuftraege[Ausgaben],tblAuftraege[Auftragswahrscheinlichkeit],(tblAuftraege[Datum Ausgaben]&gt;=AP$5)*1,(tblAuftraege[Datum Ausgaben]&lt;EDATE(AP$5,1))*1,(tblAuftraege[Themenfeld]="Parking")*1)</f>
        <v>0</v>
      </c>
      <c r="AQ130" s="27" t="n">
        <f aca="false">SUMPRODUCT(tblAuftraege[Einnahmen],tblAuftraege[Auftragswahrscheinlichkeit],(tblAuftraege[Datum Einnahmen]&gt;=AQ$5)*1,(tblAuftraege[Datum Einnahmen]&lt;EDATE(AQ$5,1))*1,(tblAuftraege[Themenfeld]="Parking")*1)-SUMPRODUCT(tblAuftraege[Ausgaben],tblAuftraege[Auftragswahrscheinlichkeit],(tblAuftraege[Datum Ausgaben]&gt;=AQ$5)*1,(tblAuftraege[Datum Ausgaben]&lt;EDATE(AQ$5,1))*1,(tblAuftraege[Themenfeld]="Parking")*1)</f>
        <v>0</v>
      </c>
      <c r="AR130" s="27" t="n">
        <f aca="false">SUMPRODUCT(tblAuftraege[Einnahmen],tblAuftraege[Auftragswahrscheinlichkeit],(tblAuftraege[Datum Einnahmen]&gt;=AR$5)*1,(tblAuftraege[Datum Einnahmen]&lt;EDATE(AR$5,1))*1,(tblAuftraege[Themenfeld]="Parking")*1)-SUMPRODUCT(tblAuftraege[Ausgaben],tblAuftraege[Auftragswahrscheinlichkeit],(tblAuftraege[Datum Ausgaben]&gt;=AR$5)*1,(tblAuftraege[Datum Ausgaben]&lt;EDATE(AR$5,1))*1,(tblAuftraege[Themenfeld]="Parking")*1)</f>
        <v>0</v>
      </c>
      <c r="AS130" s="27" t="n">
        <f aca="false">SUMPRODUCT(tblAuftraege[Einnahmen],tblAuftraege[Auftragswahrscheinlichkeit],(tblAuftraege[Datum Einnahmen]&gt;=AS$5)*1,(tblAuftraege[Datum Einnahmen]&lt;EDATE(AS$5,1))*1,(tblAuftraege[Themenfeld]="Parking")*1)-SUMPRODUCT(tblAuftraege[Ausgaben],tblAuftraege[Auftragswahrscheinlichkeit],(tblAuftraege[Datum Ausgaben]&gt;=AS$5)*1,(tblAuftraege[Datum Ausgaben]&lt;EDATE(AS$5,1))*1,(tblAuftraege[Themenfeld]="Parking")*1)</f>
        <v>0</v>
      </c>
      <c r="AT130" s="27" t="n">
        <f aca="false">SUMPRODUCT(tblAuftraege[Einnahmen],tblAuftraege[Auftragswahrscheinlichkeit],(tblAuftraege[Datum Einnahmen]&gt;=AT$5)*1,(tblAuftraege[Datum Einnahmen]&lt;EDATE(AT$5,1))*1,(tblAuftraege[Themenfeld]="Parking")*1)-SUMPRODUCT(tblAuftraege[Ausgaben],tblAuftraege[Auftragswahrscheinlichkeit],(tblAuftraege[Datum Ausgaben]&gt;=AT$5)*1,(tblAuftraege[Datum Ausgaben]&lt;EDATE(AT$5,1))*1,(tblAuftraege[Themenfeld]="Parking")*1)</f>
        <v>0</v>
      </c>
      <c r="AU130" s="27" t="n">
        <f aca="false">SUMPRODUCT(tblAuftraege[Einnahmen],tblAuftraege[Auftragswahrscheinlichkeit],(tblAuftraege[Datum Einnahmen]&gt;=AU$5)*1,(tblAuftraege[Datum Einnahmen]&lt;EDATE(AU$5,1))*1,(tblAuftraege[Themenfeld]="Parking")*1)-SUMPRODUCT(tblAuftraege[Ausgaben],tblAuftraege[Auftragswahrscheinlichkeit],(tblAuftraege[Datum Ausgaben]&gt;=AU$5)*1,(tblAuftraege[Datum Ausgaben]&lt;EDATE(AU$5,1))*1,(tblAuftraege[Themenfeld]="Parking")*1)</f>
        <v>0</v>
      </c>
      <c r="AV130" s="27" t="n">
        <f aca="false">SUMPRODUCT(tblAuftraege[Einnahmen],tblAuftraege[Auftragswahrscheinlichkeit],(tblAuftraege[Datum Einnahmen]&gt;=AV$5)*1,(tblAuftraege[Datum Einnahmen]&lt;EDATE(AV$5,1))*1,(tblAuftraege[Themenfeld]="Parking")*1)-SUMPRODUCT(tblAuftraege[Ausgaben],tblAuftraege[Auftragswahrscheinlichkeit],(tblAuftraege[Datum Ausgaben]&gt;=AV$5)*1,(tblAuftraege[Datum Ausgaben]&lt;EDATE(AV$5,1))*1,(tblAuftraege[Themenfeld]="Parking")*1)</f>
        <v>0</v>
      </c>
      <c r="AW130" s="27" t="n">
        <f aca="false">SUMPRODUCT(tblAuftraege[Einnahmen],tblAuftraege[Auftragswahrscheinlichkeit],(tblAuftraege[Datum Einnahmen]&gt;=AW$5)*1,(tblAuftraege[Datum Einnahmen]&lt;EDATE(AW$5,1))*1,(tblAuftraege[Themenfeld]="Parking")*1)-SUMPRODUCT(tblAuftraege[Ausgaben],tblAuftraege[Auftragswahrscheinlichkeit],(tblAuftraege[Datum Ausgaben]&gt;=AW$5)*1,(tblAuftraege[Datum Ausgaben]&lt;EDATE(AW$5,1))*1,(tblAuftraege[Themenfeld]="Parking")*1)</f>
        <v>0</v>
      </c>
      <c r="AX130" s="27" t="n">
        <f aca="false">SUMPRODUCT(tblAuftraege[Einnahmen],tblAuftraege[Auftragswahrscheinlichkeit],(tblAuftraege[Datum Einnahmen]&gt;=AX$5)*1,(tblAuftraege[Datum Einnahmen]&lt;EDATE(AX$5,1))*1,(tblAuftraege[Themenfeld]="Parking")*1)-SUMPRODUCT(tblAuftraege[Ausgaben],tblAuftraege[Auftragswahrscheinlichkeit],(tblAuftraege[Datum Ausgaben]&gt;=AX$5)*1,(tblAuftraege[Datum Ausgaben]&lt;EDATE(AX$5,1))*1,(tblAuftraege[Themenfeld]="Parking")*1)</f>
        <v>0</v>
      </c>
      <c r="AY130" s="27" t="n">
        <f aca="false">SUMPRODUCT(tblAuftraege[Einnahmen],tblAuftraege[Auftragswahrscheinlichkeit],(tblAuftraege[Datum Einnahmen]&gt;=AY$5)*1,(tblAuftraege[Datum Einnahmen]&lt;EDATE(AY$5,1))*1,(tblAuftraege[Themenfeld]="Parking")*1)-SUMPRODUCT(tblAuftraege[Ausgaben],tblAuftraege[Auftragswahrscheinlichkeit],(tblAuftraege[Datum Ausgaben]&gt;=AY$5)*1,(tblAuftraege[Datum Ausgaben]&lt;EDATE(AY$5,1))*1,(tblAuftraege[Themenfeld]="Parking")*1)</f>
        <v>0</v>
      </c>
      <c r="AZ130" s="27" t="n">
        <f aca="false">SUMPRODUCT(tblAuftraege[Einnahmen],tblAuftraege[Auftragswahrscheinlichkeit],(tblAuftraege[Datum Einnahmen]&gt;=AZ$5)*1,(tblAuftraege[Datum Einnahmen]&lt;EDATE(AZ$5,1))*1,(tblAuftraege[Themenfeld]="Parking")*1)-SUMPRODUCT(tblAuftraege[Ausgaben],tblAuftraege[Auftragswahrscheinlichkeit],(tblAuftraege[Datum Ausgaben]&gt;=AZ$5)*1,(tblAuftraege[Datum Ausgaben]&lt;EDATE(AZ$5,1))*1,(tblAuftraege[Themenfeld]="Parking")*1)</f>
        <v>0</v>
      </c>
      <c r="BA130" s="27" t="n">
        <f aca="false">SUMPRODUCT(tblAuftraege[Einnahmen],tblAuftraege[Auftragswahrscheinlichkeit],(tblAuftraege[Datum Einnahmen]&gt;=BA$5)*1,(tblAuftraege[Datum Einnahmen]&lt;EDATE(BA$5,1))*1,(tblAuftraege[Themenfeld]="Parking")*1)-SUMPRODUCT(tblAuftraege[Ausgaben],tblAuftraege[Auftragswahrscheinlichkeit],(tblAuftraege[Datum Ausgaben]&gt;=BA$5)*1,(tblAuftraege[Datum Ausgaben]&lt;EDATE(BA$5,1))*1,(tblAuftraege[Themenfeld]="Parking")*1)</f>
        <v>0</v>
      </c>
      <c r="BB130" s="27" t="n">
        <f aca="false">SUMPRODUCT(tblAuftraege[Einnahmen],tblAuftraege[Auftragswahrscheinlichkeit],(tblAuftraege[Datum Einnahmen]&gt;=BB$5)*1,(tblAuftraege[Datum Einnahmen]&lt;EDATE(BB$5,1))*1,(tblAuftraege[Themenfeld]="Parking")*1)-SUMPRODUCT(tblAuftraege[Ausgaben],tblAuftraege[Auftragswahrscheinlichkeit],(tblAuftraege[Datum Ausgaben]&gt;=BB$5)*1,(tblAuftraege[Datum Ausgaben]&lt;EDATE(BB$5,1))*1,(tblAuftraege[Themenfeld]="Parking")*1)</f>
        <v>0</v>
      </c>
      <c r="BC130" s="27" t="n">
        <f aca="false">SUMPRODUCT(tblAuftraege[Einnahmen],tblAuftraege[Auftragswahrscheinlichkeit],(tblAuftraege[Datum Einnahmen]&gt;=BC$5)*1,(tblAuftraege[Datum Einnahmen]&lt;EDATE(BC$5,1))*1,(tblAuftraege[Themenfeld]="Parking")*1)-SUMPRODUCT(tblAuftraege[Ausgaben],tblAuftraege[Auftragswahrscheinlichkeit],(tblAuftraege[Datum Ausgaben]&gt;=BC$5)*1,(tblAuftraege[Datum Ausgaben]&lt;EDATE(BC$5,1))*1,(tblAuftraege[Themenfeld]="Parking")*1)</f>
        <v>0</v>
      </c>
      <c r="BD130" s="27" t="n">
        <f aca="false">SUMPRODUCT(tblAuftraege[Einnahmen],tblAuftraege[Auftragswahrscheinlichkeit],(tblAuftraege[Datum Einnahmen]&gt;=BD$5)*1,(tblAuftraege[Datum Einnahmen]&lt;EDATE(BD$5,1))*1,(tblAuftraege[Themenfeld]="Parking")*1)-SUMPRODUCT(tblAuftraege[Ausgaben],tblAuftraege[Auftragswahrscheinlichkeit],(tblAuftraege[Datum Ausgaben]&gt;=BD$5)*1,(tblAuftraege[Datum Ausgaben]&lt;EDATE(BD$5,1))*1,(tblAuftraege[Themenfeld]="Parking")*1)</f>
        <v>0</v>
      </c>
      <c r="BE130" s="27" t="n">
        <f aca="false">SUMPRODUCT(tblAuftraege[Einnahmen],tblAuftraege[Auftragswahrscheinlichkeit],(tblAuftraege[Datum Einnahmen]&gt;=BE$5)*1,(tblAuftraege[Datum Einnahmen]&lt;EDATE(BE$5,1))*1,(tblAuftraege[Themenfeld]="Parking")*1)-SUMPRODUCT(tblAuftraege[Ausgaben],tblAuftraege[Auftragswahrscheinlichkeit],(tblAuftraege[Datum Ausgaben]&gt;=BE$5)*1,(tblAuftraege[Datum Ausgaben]&lt;EDATE(BE$5,1))*1,(tblAuftraege[Themenfeld]="Parking")*1)</f>
        <v>0</v>
      </c>
      <c r="BF130" s="27" t="n">
        <f aca="false">SUMPRODUCT(tblAuftraege[Einnahmen],tblAuftraege[Auftragswahrscheinlichkeit],(tblAuftraege[Datum Einnahmen]&gt;=BF$5)*1,(tblAuftraege[Datum Einnahmen]&lt;EDATE(BF$5,1))*1,(tblAuftraege[Themenfeld]="Parking")*1)-SUMPRODUCT(tblAuftraege[Ausgaben],tblAuftraege[Auftragswahrscheinlichkeit],(tblAuftraege[Datum Ausgaben]&gt;=BF$5)*1,(tblAuftraege[Datum Ausgaben]&lt;EDATE(BF$5,1))*1,(tblAuftraege[Themenfeld]="Parking")*1)</f>
        <v>0</v>
      </c>
      <c r="BG130" s="27" t="n">
        <f aca="false">SUM(E130:J130)</f>
        <v>0</v>
      </c>
      <c r="BH130" s="27" t="n">
        <f aca="false">SUM(K130:V130)</f>
        <v>0</v>
      </c>
      <c r="BI130" s="27" t="n">
        <f aca="false">SUM(W130:AH130)</f>
        <v>0</v>
      </c>
      <c r="BJ130" s="27" t="n">
        <f aca="false">SUM(AI130:AT130)</f>
        <v>0</v>
      </c>
      <c r="BK130" s="27" t="n">
        <f aca="false">SUM(AU130:BF130)</f>
        <v>0</v>
      </c>
      <c r="BL130" s="27" t="n">
        <f aca="false">SUM(E130:BF130)</f>
        <v>0</v>
      </c>
    </row>
    <row r="131" customFormat="false" ht="15" hidden="false" customHeight="false" outlineLevel="0" collapsed="false">
      <c r="A131" s="13" t="s">
        <v>87</v>
      </c>
      <c r="B131" s="14"/>
      <c r="C131" s="15"/>
      <c r="D131" s="15"/>
      <c r="E131" s="11" t="n">
        <f aca="false">SUMIFS(tblAuftraege[Einnahmen],tblAuftraege[Datum Einnahmen],"&gt;="&amp;E$5,tblAuftraege[Datum Einnahmen],"&lt;"&amp;EDATE(E$5,1),tblAuftraege[Themenfeld],"LLM")</f>
        <v>0</v>
      </c>
      <c r="F131" s="11" t="n">
        <f aca="false">SUMIFS(tblAuftraege[Einnahmen],tblAuftraege[Datum Einnahmen],"&gt;="&amp;F$5,tblAuftraege[Datum Einnahmen],"&lt;"&amp;EDATE(F$5,1),tblAuftraege[Themenfeld],"LLM")</f>
        <v>0</v>
      </c>
      <c r="G131" s="11" t="n">
        <f aca="false">SUMIFS(tblAuftraege[Einnahmen],tblAuftraege[Datum Einnahmen],"&gt;="&amp;G$5,tblAuftraege[Datum Einnahmen],"&lt;"&amp;EDATE(G$5,1),tblAuftraege[Themenfeld],"LLM")</f>
        <v>0</v>
      </c>
      <c r="H131" s="11" t="n">
        <f aca="false">SUMIFS(tblAuftraege[Einnahmen],tblAuftraege[Datum Einnahmen],"&gt;="&amp;H$5,tblAuftraege[Datum Einnahmen],"&lt;"&amp;EDATE(H$5,1),tblAuftraege[Themenfeld],"LLM")</f>
        <v>0</v>
      </c>
      <c r="I131" s="11" t="n">
        <f aca="false">SUMIFS(tblAuftraege[Einnahmen],tblAuftraege[Datum Einnahmen],"&gt;="&amp;I$5,tblAuftraege[Datum Einnahmen],"&lt;"&amp;EDATE(I$5,1),tblAuftraege[Themenfeld],"LLM")</f>
        <v>0</v>
      </c>
      <c r="J131" s="11" t="n">
        <f aca="false">SUMIFS(tblAuftraege[Einnahmen],tblAuftraege[Datum Einnahmen],"&gt;="&amp;J$5,tblAuftraege[Datum Einnahmen],"&lt;"&amp;EDATE(J$5,1),tblAuftraege[Themenfeld],"LLM")</f>
        <v>0</v>
      </c>
      <c r="K131" s="11" t="n">
        <f aca="false">SUMIFS(tblAuftraege[Einnahmen],tblAuftraege[Datum Einnahmen],"&gt;="&amp;K$5,tblAuftraege[Datum Einnahmen],"&lt;"&amp;EDATE(K$5,1),tblAuftraege[Themenfeld],"LLM")</f>
        <v>0</v>
      </c>
      <c r="L131" s="11" t="n">
        <f aca="false">SUMIFS(tblAuftraege[Einnahmen],tblAuftraege[Datum Einnahmen],"&gt;="&amp;L$5,tblAuftraege[Datum Einnahmen],"&lt;"&amp;EDATE(L$5,1),tblAuftraege[Themenfeld],"LLM")</f>
        <v>0</v>
      </c>
      <c r="M131" s="11" t="n">
        <f aca="false">SUMIFS(tblAuftraege[Einnahmen],tblAuftraege[Datum Einnahmen],"&gt;="&amp;M$5,tblAuftraege[Datum Einnahmen],"&lt;"&amp;EDATE(M$5,1),tblAuftraege[Themenfeld],"LLM")</f>
        <v>0</v>
      </c>
      <c r="N131" s="11" t="n">
        <f aca="false">SUMIFS(tblAuftraege[Einnahmen],tblAuftraege[Datum Einnahmen],"&gt;="&amp;N$5,tblAuftraege[Datum Einnahmen],"&lt;"&amp;EDATE(N$5,1),tblAuftraege[Themenfeld],"LLM")</f>
        <v>0</v>
      </c>
      <c r="O131" s="11" t="n">
        <f aca="false">SUMIFS(tblAuftraege[Einnahmen],tblAuftraege[Datum Einnahmen],"&gt;="&amp;O$5,tblAuftraege[Datum Einnahmen],"&lt;"&amp;EDATE(O$5,1),tblAuftraege[Themenfeld],"LLM")</f>
        <v>0</v>
      </c>
      <c r="P131" s="11" t="n">
        <f aca="false">SUMIFS(tblAuftraege[Einnahmen],tblAuftraege[Datum Einnahmen],"&gt;="&amp;P$5,tblAuftraege[Datum Einnahmen],"&lt;"&amp;EDATE(P$5,1),tblAuftraege[Themenfeld],"LLM")</f>
        <v>0</v>
      </c>
      <c r="Q131" s="11" t="n">
        <f aca="false">SUMIFS(tblAuftraege[Einnahmen],tblAuftraege[Datum Einnahmen],"&gt;="&amp;Q$5,tblAuftraege[Datum Einnahmen],"&lt;"&amp;EDATE(Q$5,1),tblAuftraege[Themenfeld],"LLM")</f>
        <v>0</v>
      </c>
      <c r="R131" s="11" t="n">
        <f aca="false">SUMIFS(tblAuftraege[Einnahmen],tblAuftraege[Datum Einnahmen],"&gt;="&amp;R$5,tblAuftraege[Datum Einnahmen],"&lt;"&amp;EDATE(R$5,1),tblAuftraege[Themenfeld],"LLM")</f>
        <v>0</v>
      </c>
      <c r="S131" s="11" t="n">
        <f aca="false">SUMIFS(tblAuftraege[Einnahmen],tblAuftraege[Datum Einnahmen],"&gt;="&amp;S$5,tblAuftraege[Datum Einnahmen],"&lt;"&amp;EDATE(S$5,1),tblAuftraege[Themenfeld],"LLM")</f>
        <v>0</v>
      </c>
      <c r="T131" s="11" t="n">
        <f aca="false">SUMIFS(tblAuftraege[Einnahmen],tblAuftraege[Datum Einnahmen],"&gt;="&amp;T$5,tblAuftraege[Datum Einnahmen],"&lt;"&amp;EDATE(T$5,1),tblAuftraege[Themenfeld],"LLM")</f>
        <v>0</v>
      </c>
      <c r="U131" s="11" t="n">
        <f aca="false">SUMIFS(tblAuftraege[Einnahmen],tblAuftraege[Datum Einnahmen],"&gt;="&amp;U$5,tblAuftraege[Datum Einnahmen],"&lt;"&amp;EDATE(U$5,1),tblAuftraege[Themenfeld],"LLM")</f>
        <v>0</v>
      </c>
      <c r="V131" s="11" t="n">
        <f aca="false">SUMIFS(tblAuftraege[Einnahmen],tblAuftraege[Datum Einnahmen],"&gt;="&amp;V$5,tblAuftraege[Datum Einnahmen],"&lt;"&amp;EDATE(V$5,1),tblAuftraege[Themenfeld],"LLM")</f>
        <v>0</v>
      </c>
      <c r="W131" s="11" t="n">
        <f aca="false">SUMIFS(tblAuftraege[Einnahmen],tblAuftraege[Datum Einnahmen],"&gt;="&amp;W$5,tblAuftraege[Datum Einnahmen],"&lt;"&amp;EDATE(W$5,1),tblAuftraege[Themenfeld],"LLM")</f>
        <v>0</v>
      </c>
      <c r="X131" s="11" t="n">
        <f aca="false">SUMIFS(tblAuftraege[Einnahmen],tblAuftraege[Datum Einnahmen],"&gt;="&amp;X$5,tblAuftraege[Datum Einnahmen],"&lt;"&amp;EDATE(X$5,1),tblAuftraege[Themenfeld],"LLM")</f>
        <v>0</v>
      </c>
      <c r="Y131" s="11" t="n">
        <f aca="false">SUMIFS(tblAuftraege[Einnahmen],tblAuftraege[Datum Einnahmen],"&gt;="&amp;Y$5,tblAuftraege[Datum Einnahmen],"&lt;"&amp;EDATE(Y$5,1),tblAuftraege[Themenfeld],"LLM")</f>
        <v>0</v>
      </c>
      <c r="Z131" s="11" t="n">
        <f aca="false">SUMIFS(tblAuftraege[Einnahmen],tblAuftraege[Datum Einnahmen],"&gt;="&amp;Z$5,tblAuftraege[Datum Einnahmen],"&lt;"&amp;EDATE(Z$5,1),tblAuftraege[Themenfeld],"LLM")</f>
        <v>0</v>
      </c>
      <c r="AA131" s="11" t="n">
        <f aca="false">SUMIFS(tblAuftraege[Einnahmen],tblAuftraege[Datum Einnahmen],"&gt;="&amp;AA$5,tblAuftraege[Datum Einnahmen],"&lt;"&amp;EDATE(AA$5,1),tblAuftraege[Themenfeld],"LLM")</f>
        <v>0</v>
      </c>
      <c r="AB131" s="11" t="n">
        <f aca="false">SUMIFS(tblAuftraege[Einnahmen],tblAuftraege[Datum Einnahmen],"&gt;="&amp;AB$5,tblAuftraege[Datum Einnahmen],"&lt;"&amp;EDATE(AB$5,1),tblAuftraege[Themenfeld],"LLM")</f>
        <v>0</v>
      </c>
      <c r="AC131" s="11" t="n">
        <f aca="false">SUMIFS(tblAuftraege[Einnahmen],tblAuftraege[Datum Einnahmen],"&gt;="&amp;AC$5,tblAuftraege[Datum Einnahmen],"&lt;"&amp;EDATE(AC$5,1),tblAuftraege[Themenfeld],"LLM")</f>
        <v>0</v>
      </c>
      <c r="AD131" s="11" t="n">
        <f aca="false">SUMIFS(tblAuftraege[Einnahmen],tblAuftraege[Datum Einnahmen],"&gt;="&amp;AD$5,tblAuftraege[Datum Einnahmen],"&lt;"&amp;EDATE(AD$5,1),tblAuftraege[Themenfeld],"LLM")</f>
        <v>0</v>
      </c>
      <c r="AE131" s="11" t="n">
        <f aca="false">SUMIFS(tblAuftraege[Einnahmen],tblAuftraege[Datum Einnahmen],"&gt;="&amp;AE$5,tblAuftraege[Datum Einnahmen],"&lt;"&amp;EDATE(AE$5,1),tblAuftraege[Themenfeld],"LLM")</f>
        <v>0</v>
      </c>
      <c r="AF131" s="11" t="n">
        <f aca="false">SUMIFS(tblAuftraege[Einnahmen],tblAuftraege[Datum Einnahmen],"&gt;="&amp;AF$5,tblAuftraege[Datum Einnahmen],"&lt;"&amp;EDATE(AF$5,1),tblAuftraege[Themenfeld],"LLM")</f>
        <v>0</v>
      </c>
      <c r="AG131" s="11" t="n">
        <f aca="false">SUMIFS(tblAuftraege[Einnahmen],tblAuftraege[Datum Einnahmen],"&gt;="&amp;AG$5,tblAuftraege[Datum Einnahmen],"&lt;"&amp;EDATE(AG$5,1),tblAuftraege[Themenfeld],"LLM")</f>
        <v>0</v>
      </c>
      <c r="AH131" s="11" t="n">
        <f aca="false">SUMIFS(tblAuftraege[Einnahmen],tblAuftraege[Datum Einnahmen],"&gt;="&amp;AH$5,tblAuftraege[Datum Einnahmen],"&lt;"&amp;EDATE(AH$5,1),tblAuftraege[Themenfeld],"LLM")</f>
        <v>0</v>
      </c>
      <c r="AI131" s="11" t="n">
        <f aca="false">SUMIFS(tblAuftraege[Einnahmen],tblAuftraege[Datum Einnahmen],"&gt;="&amp;AI$5,tblAuftraege[Datum Einnahmen],"&lt;"&amp;EDATE(AI$5,1),tblAuftraege[Themenfeld],"LLM")</f>
        <v>0</v>
      </c>
      <c r="AJ131" s="11" t="n">
        <f aca="false">SUMIFS(tblAuftraege[Einnahmen],tblAuftraege[Datum Einnahmen],"&gt;="&amp;AJ$5,tblAuftraege[Datum Einnahmen],"&lt;"&amp;EDATE(AJ$5,1),tblAuftraege[Themenfeld],"LLM")</f>
        <v>0</v>
      </c>
      <c r="AK131" s="11" t="n">
        <f aca="false">SUMIFS(tblAuftraege[Einnahmen],tblAuftraege[Datum Einnahmen],"&gt;="&amp;AK$5,tblAuftraege[Datum Einnahmen],"&lt;"&amp;EDATE(AK$5,1),tblAuftraege[Themenfeld],"LLM")</f>
        <v>0</v>
      </c>
      <c r="AL131" s="11" t="n">
        <f aca="false">SUMIFS(tblAuftraege[Einnahmen],tblAuftraege[Datum Einnahmen],"&gt;="&amp;AL$5,tblAuftraege[Datum Einnahmen],"&lt;"&amp;EDATE(AL$5,1),tblAuftraege[Themenfeld],"LLM")</f>
        <v>0</v>
      </c>
      <c r="AM131" s="11" t="n">
        <f aca="false">SUMIFS(tblAuftraege[Einnahmen],tblAuftraege[Datum Einnahmen],"&gt;="&amp;AM$5,tblAuftraege[Datum Einnahmen],"&lt;"&amp;EDATE(AM$5,1),tblAuftraege[Themenfeld],"LLM")</f>
        <v>0</v>
      </c>
      <c r="AN131" s="11" t="n">
        <f aca="false">SUMIFS(tblAuftraege[Einnahmen],tblAuftraege[Datum Einnahmen],"&gt;="&amp;AN$5,tblAuftraege[Datum Einnahmen],"&lt;"&amp;EDATE(AN$5,1),tblAuftraege[Themenfeld],"LLM")</f>
        <v>0</v>
      </c>
      <c r="AO131" s="11" t="n">
        <f aca="false">SUMIFS(tblAuftraege[Einnahmen],tblAuftraege[Datum Einnahmen],"&gt;="&amp;AO$5,tblAuftraege[Datum Einnahmen],"&lt;"&amp;EDATE(AO$5,1),tblAuftraege[Themenfeld],"LLM")</f>
        <v>0</v>
      </c>
      <c r="AP131" s="11" t="n">
        <f aca="false">SUMIFS(tblAuftraege[Einnahmen],tblAuftraege[Datum Einnahmen],"&gt;="&amp;AP$5,tblAuftraege[Datum Einnahmen],"&lt;"&amp;EDATE(AP$5,1),tblAuftraege[Themenfeld],"LLM")</f>
        <v>0</v>
      </c>
      <c r="AQ131" s="11" t="n">
        <f aca="false">SUMIFS(tblAuftraege[Einnahmen],tblAuftraege[Datum Einnahmen],"&gt;="&amp;AQ$5,tblAuftraege[Datum Einnahmen],"&lt;"&amp;EDATE(AQ$5,1),tblAuftraege[Themenfeld],"LLM")</f>
        <v>0</v>
      </c>
      <c r="AR131" s="11" t="n">
        <f aca="false">SUMIFS(tblAuftraege[Einnahmen],tblAuftraege[Datum Einnahmen],"&gt;="&amp;AR$5,tblAuftraege[Datum Einnahmen],"&lt;"&amp;EDATE(AR$5,1),tblAuftraege[Themenfeld],"LLM")</f>
        <v>0</v>
      </c>
      <c r="AS131" s="11" t="n">
        <f aca="false">SUMIFS(tblAuftraege[Einnahmen],tblAuftraege[Datum Einnahmen],"&gt;="&amp;AS$5,tblAuftraege[Datum Einnahmen],"&lt;"&amp;EDATE(AS$5,1),tblAuftraege[Themenfeld],"LLM")</f>
        <v>0</v>
      </c>
      <c r="AT131" s="11" t="n">
        <f aca="false">SUMIFS(tblAuftraege[Einnahmen],tblAuftraege[Datum Einnahmen],"&gt;="&amp;AT$5,tblAuftraege[Datum Einnahmen],"&lt;"&amp;EDATE(AT$5,1),tblAuftraege[Themenfeld],"LLM")</f>
        <v>0</v>
      </c>
      <c r="AU131" s="11" t="n">
        <f aca="false">SUMIFS(tblAuftraege[Einnahmen],tblAuftraege[Datum Einnahmen],"&gt;="&amp;AU$5,tblAuftraege[Datum Einnahmen],"&lt;"&amp;EDATE(AU$5,1),tblAuftraege[Themenfeld],"LLM")</f>
        <v>0</v>
      </c>
      <c r="AV131" s="11" t="n">
        <f aca="false">SUMIFS(tblAuftraege[Einnahmen],tblAuftraege[Datum Einnahmen],"&gt;="&amp;AV$5,tblAuftraege[Datum Einnahmen],"&lt;"&amp;EDATE(AV$5,1),tblAuftraege[Themenfeld],"LLM")</f>
        <v>0</v>
      </c>
      <c r="AW131" s="11" t="n">
        <f aca="false">SUMIFS(tblAuftraege[Einnahmen],tblAuftraege[Datum Einnahmen],"&gt;="&amp;AW$5,tblAuftraege[Datum Einnahmen],"&lt;"&amp;EDATE(AW$5,1),tblAuftraege[Themenfeld],"LLM")</f>
        <v>0</v>
      </c>
      <c r="AX131" s="11" t="n">
        <f aca="false">SUMIFS(tblAuftraege[Einnahmen],tblAuftraege[Datum Einnahmen],"&gt;="&amp;AX$5,tblAuftraege[Datum Einnahmen],"&lt;"&amp;EDATE(AX$5,1),tblAuftraege[Themenfeld],"LLM")</f>
        <v>0</v>
      </c>
      <c r="AY131" s="11" t="n">
        <f aca="false">SUMIFS(tblAuftraege[Einnahmen],tblAuftraege[Datum Einnahmen],"&gt;="&amp;AY$5,tblAuftraege[Datum Einnahmen],"&lt;"&amp;EDATE(AY$5,1),tblAuftraege[Themenfeld],"LLM")</f>
        <v>0</v>
      </c>
      <c r="AZ131" s="11" t="n">
        <f aca="false">SUMIFS(tblAuftraege[Einnahmen],tblAuftraege[Datum Einnahmen],"&gt;="&amp;AZ$5,tblAuftraege[Datum Einnahmen],"&lt;"&amp;EDATE(AZ$5,1),tblAuftraege[Themenfeld],"LLM")</f>
        <v>0</v>
      </c>
      <c r="BA131" s="11" t="n">
        <f aca="false">SUMIFS(tblAuftraege[Einnahmen],tblAuftraege[Datum Einnahmen],"&gt;="&amp;BA$5,tblAuftraege[Datum Einnahmen],"&lt;"&amp;EDATE(BA$5,1),tblAuftraege[Themenfeld],"LLM")</f>
        <v>0</v>
      </c>
      <c r="BB131" s="11" t="n">
        <f aca="false">SUMIFS(tblAuftraege[Einnahmen],tblAuftraege[Datum Einnahmen],"&gt;="&amp;BB$5,tblAuftraege[Datum Einnahmen],"&lt;"&amp;EDATE(BB$5,1),tblAuftraege[Themenfeld],"LLM")</f>
        <v>0</v>
      </c>
      <c r="BC131" s="11" t="n">
        <f aca="false">SUMIFS(tblAuftraege[Einnahmen],tblAuftraege[Datum Einnahmen],"&gt;="&amp;BC$5,tblAuftraege[Datum Einnahmen],"&lt;"&amp;EDATE(BC$5,1),tblAuftraege[Themenfeld],"LLM")</f>
        <v>0</v>
      </c>
      <c r="BD131" s="11" t="n">
        <f aca="false">SUMIFS(tblAuftraege[Einnahmen],tblAuftraege[Datum Einnahmen],"&gt;="&amp;BD$5,tblAuftraege[Datum Einnahmen],"&lt;"&amp;EDATE(BD$5,1),tblAuftraege[Themenfeld],"LLM")</f>
        <v>0</v>
      </c>
      <c r="BE131" s="11" t="n">
        <f aca="false">SUMIFS(tblAuftraege[Einnahmen],tblAuftraege[Datum Einnahmen],"&gt;="&amp;BE$5,tblAuftraege[Datum Einnahmen],"&lt;"&amp;EDATE(BE$5,1),tblAuftraege[Themenfeld],"LLM")</f>
        <v>0</v>
      </c>
      <c r="BF131" s="11" t="n">
        <f aca="false">SUMIFS(tblAuftraege[Einnahmen],tblAuftraege[Datum Einnahmen],"&gt;="&amp;BF$5,tblAuftraege[Datum Einnahmen],"&lt;"&amp;EDATE(BF$5,1),tblAuftraege[Themenfeld],"LLM")</f>
        <v>0</v>
      </c>
      <c r="BG131" s="11" t="n">
        <f aca="false">SUM(E131:J131)</f>
        <v>0</v>
      </c>
      <c r="BH131" s="11" t="n">
        <f aca="false">SUM(K131:V131)</f>
        <v>0</v>
      </c>
      <c r="BI131" s="11" t="n">
        <f aca="false">SUM(W131:AH131)</f>
        <v>0</v>
      </c>
      <c r="BJ131" s="11" t="n">
        <f aca="false">SUM(AI131:AT131)</f>
        <v>0</v>
      </c>
      <c r="BK131" s="11" t="n">
        <f aca="false">SUM(AU131:BF131)</f>
        <v>0</v>
      </c>
      <c r="BL131" s="11" t="n">
        <f aca="false">SUM(E131:BF131)</f>
        <v>0</v>
      </c>
    </row>
    <row r="132" customFormat="false" ht="15" hidden="false" customHeight="false" outlineLevel="0" collapsed="false">
      <c r="A132" s="13" t="s">
        <v>88</v>
      </c>
      <c r="B132" s="14"/>
      <c r="C132" s="15"/>
      <c r="D132" s="15"/>
      <c r="E132" s="11" t="n">
        <f aca="false">SUMIFS(tblAuftraege[Ausgaben],tblAuftraege[Datum Ausgaben],"&gt;="&amp;E$5,tblAuftraege[Datum Ausgaben],"&lt;"&amp;EDATE(E$5,1),tblAuftraege[Themenfeld],"LLM")</f>
        <v>0</v>
      </c>
      <c r="F132" s="11" t="n">
        <f aca="false">SUMIFS(tblAuftraege[Ausgaben],tblAuftraege[Datum Ausgaben],"&gt;="&amp;F$5,tblAuftraege[Datum Ausgaben],"&lt;"&amp;EDATE(F$5,1),tblAuftraege[Themenfeld],"LLM")</f>
        <v>0</v>
      </c>
      <c r="G132" s="11" t="n">
        <f aca="false">SUMIFS(tblAuftraege[Ausgaben],tblAuftraege[Datum Ausgaben],"&gt;="&amp;G$5,tblAuftraege[Datum Ausgaben],"&lt;"&amp;EDATE(G$5,1),tblAuftraege[Themenfeld],"LLM")</f>
        <v>0</v>
      </c>
      <c r="H132" s="11" t="n">
        <f aca="false">SUMIFS(tblAuftraege[Ausgaben],tblAuftraege[Datum Ausgaben],"&gt;="&amp;H$5,tblAuftraege[Datum Ausgaben],"&lt;"&amp;EDATE(H$5,1),tblAuftraege[Themenfeld],"LLM")</f>
        <v>0</v>
      </c>
      <c r="I132" s="11" t="n">
        <f aca="false">SUMIFS(tblAuftraege[Ausgaben],tblAuftraege[Datum Ausgaben],"&gt;="&amp;I$5,tblAuftraege[Datum Ausgaben],"&lt;"&amp;EDATE(I$5,1),tblAuftraege[Themenfeld],"LLM")</f>
        <v>0</v>
      </c>
      <c r="J132" s="11" t="n">
        <f aca="false">SUMIFS(tblAuftraege[Ausgaben],tblAuftraege[Datum Ausgaben],"&gt;="&amp;J$5,tblAuftraege[Datum Ausgaben],"&lt;"&amp;EDATE(J$5,1),tblAuftraege[Themenfeld],"LLM")</f>
        <v>0</v>
      </c>
      <c r="K132" s="11" t="n">
        <f aca="false">SUMIFS(tblAuftraege[Ausgaben],tblAuftraege[Datum Ausgaben],"&gt;="&amp;K$5,tblAuftraege[Datum Ausgaben],"&lt;"&amp;EDATE(K$5,1),tblAuftraege[Themenfeld],"LLM")</f>
        <v>0</v>
      </c>
      <c r="L132" s="11" t="n">
        <f aca="false">SUMIFS(tblAuftraege[Ausgaben],tblAuftraege[Datum Ausgaben],"&gt;="&amp;L$5,tblAuftraege[Datum Ausgaben],"&lt;"&amp;EDATE(L$5,1),tblAuftraege[Themenfeld],"LLM")</f>
        <v>0</v>
      </c>
      <c r="M132" s="11" t="n">
        <f aca="false">SUMIFS(tblAuftraege[Ausgaben],tblAuftraege[Datum Ausgaben],"&gt;="&amp;M$5,tblAuftraege[Datum Ausgaben],"&lt;"&amp;EDATE(M$5,1),tblAuftraege[Themenfeld],"LLM")</f>
        <v>0</v>
      </c>
      <c r="N132" s="11" t="n">
        <f aca="false">SUMIFS(tblAuftraege[Ausgaben],tblAuftraege[Datum Ausgaben],"&gt;="&amp;N$5,tblAuftraege[Datum Ausgaben],"&lt;"&amp;EDATE(N$5,1),tblAuftraege[Themenfeld],"LLM")</f>
        <v>0</v>
      </c>
      <c r="O132" s="11" t="n">
        <f aca="false">SUMIFS(tblAuftraege[Ausgaben],tblAuftraege[Datum Ausgaben],"&gt;="&amp;O$5,tblAuftraege[Datum Ausgaben],"&lt;"&amp;EDATE(O$5,1),tblAuftraege[Themenfeld],"LLM")</f>
        <v>0</v>
      </c>
      <c r="P132" s="11" t="n">
        <f aca="false">SUMIFS(tblAuftraege[Ausgaben],tblAuftraege[Datum Ausgaben],"&gt;="&amp;P$5,tblAuftraege[Datum Ausgaben],"&lt;"&amp;EDATE(P$5,1),tblAuftraege[Themenfeld],"LLM")</f>
        <v>0</v>
      </c>
      <c r="Q132" s="11" t="n">
        <f aca="false">SUMIFS(tblAuftraege[Ausgaben],tblAuftraege[Datum Ausgaben],"&gt;="&amp;Q$5,tblAuftraege[Datum Ausgaben],"&lt;"&amp;EDATE(Q$5,1),tblAuftraege[Themenfeld],"LLM")</f>
        <v>0</v>
      </c>
      <c r="R132" s="11" t="n">
        <f aca="false">SUMIFS(tblAuftraege[Ausgaben],tblAuftraege[Datum Ausgaben],"&gt;="&amp;R$5,tblAuftraege[Datum Ausgaben],"&lt;"&amp;EDATE(R$5,1),tblAuftraege[Themenfeld],"LLM")</f>
        <v>0</v>
      </c>
      <c r="S132" s="11" t="n">
        <f aca="false">SUMIFS(tblAuftraege[Ausgaben],tblAuftraege[Datum Ausgaben],"&gt;="&amp;S$5,tblAuftraege[Datum Ausgaben],"&lt;"&amp;EDATE(S$5,1),tblAuftraege[Themenfeld],"LLM")</f>
        <v>0</v>
      </c>
      <c r="T132" s="11" t="n">
        <f aca="false">SUMIFS(tblAuftraege[Ausgaben],tblAuftraege[Datum Ausgaben],"&gt;="&amp;T$5,tblAuftraege[Datum Ausgaben],"&lt;"&amp;EDATE(T$5,1),tblAuftraege[Themenfeld],"LLM")</f>
        <v>0</v>
      </c>
      <c r="U132" s="11" t="n">
        <f aca="false">SUMIFS(tblAuftraege[Ausgaben],tblAuftraege[Datum Ausgaben],"&gt;="&amp;U$5,tblAuftraege[Datum Ausgaben],"&lt;"&amp;EDATE(U$5,1),tblAuftraege[Themenfeld],"LLM")</f>
        <v>0</v>
      </c>
      <c r="V132" s="11" t="n">
        <f aca="false">SUMIFS(tblAuftraege[Ausgaben],tblAuftraege[Datum Ausgaben],"&gt;="&amp;V$5,tblAuftraege[Datum Ausgaben],"&lt;"&amp;EDATE(V$5,1),tblAuftraege[Themenfeld],"LLM")</f>
        <v>0</v>
      </c>
      <c r="W132" s="11" t="n">
        <f aca="false">SUMIFS(tblAuftraege[Ausgaben],tblAuftraege[Datum Ausgaben],"&gt;="&amp;W$5,tblAuftraege[Datum Ausgaben],"&lt;"&amp;EDATE(W$5,1),tblAuftraege[Themenfeld],"LLM")</f>
        <v>0</v>
      </c>
      <c r="X132" s="11" t="n">
        <f aca="false">SUMIFS(tblAuftraege[Ausgaben],tblAuftraege[Datum Ausgaben],"&gt;="&amp;X$5,tblAuftraege[Datum Ausgaben],"&lt;"&amp;EDATE(X$5,1),tblAuftraege[Themenfeld],"LLM")</f>
        <v>0</v>
      </c>
      <c r="Y132" s="11" t="n">
        <f aca="false">SUMIFS(tblAuftraege[Ausgaben],tblAuftraege[Datum Ausgaben],"&gt;="&amp;Y$5,tblAuftraege[Datum Ausgaben],"&lt;"&amp;EDATE(Y$5,1),tblAuftraege[Themenfeld],"LLM")</f>
        <v>0</v>
      </c>
      <c r="Z132" s="11" t="n">
        <f aca="false">SUMIFS(tblAuftraege[Ausgaben],tblAuftraege[Datum Ausgaben],"&gt;="&amp;Z$5,tblAuftraege[Datum Ausgaben],"&lt;"&amp;EDATE(Z$5,1),tblAuftraege[Themenfeld],"LLM")</f>
        <v>0</v>
      </c>
      <c r="AA132" s="11" t="n">
        <f aca="false">SUMIFS(tblAuftraege[Ausgaben],tblAuftraege[Datum Ausgaben],"&gt;="&amp;AA$5,tblAuftraege[Datum Ausgaben],"&lt;"&amp;EDATE(AA$5,1),tblAuftraege[Themenfeld],"LLM")</f>
        <v>0</v>
      </c>
      <c r="AB132" s="11" t="n">
        <f aca="false">SUMIFS(tblAuftraege[Ausgaben],tblAuftraege[Datum Ausgaben],"&gt;="&amp;AB$5,tblAuftraege[Datum Ausgaben],"&lt;"&amp;EDATE(AB$5,1),tblAuftraege[Themenfeld],"LLM")</f>
        <v>0</v>
      </c>
      <c r="AC132" s="11" t="n">
        <f aca="false">SUMIFS(tblAuftraege[Ausgaben],tblAuftraege[Datum Ausgaben],"&gt;="&amp;AC$5,tblAuftraege[Datum Ausgaben],"&lt;"&amp;EDATE(AC$5,1),tblAuftraege[Themenfeld],"LLM")</f>
        <v>0</v>
      </c>
      <c r="AD132" s="11" t="n">
        <f aca="false">SUMIFS(tblAuftraege[Ausgaben],tblAuftraege[Datum Ausgaben],"&gt;="&amp;AD$5,tblAuftraege[Datum Ausgaben],"&lt;"&amp;EDATE(AD$5,1),tblAuftraege[Themenfeld],"LLM")</f>
        <v>0</v>
      </c>
      <c r="AE132" s="11" t="n">
        <f aca="false">SUMIFS(tblAuftraege[Ausgaben],tblAuftraege[Datum Ausgaben],"&gt;="&amp;AE$5,tblAuftraege[Datum Ausgaben],"&lt;"&amp;EDATE(AE$5,1),tblAuftraege[Themenfeld],"LLM")</f>
        <v>0</v>
      </c>
      <c r="AF132" s="11" t="n">
        <f aca="false">SUMIFS(tblAuftraege[Ausgaben],tblAuftraege[Datum Ausgaben],"&gt;="&amp;AF$5,tblAuftraege[Datum Ausgaben],"&lt;"&amp;EDATE(AF$5,1),tblAuftraege[Themenfeld],"LLM")</f>
        <v>0</v>
      </c>
      <c r="AG132" s="11" t="n">
        <f aca="false">SUMIFS(tblAuftraege[Ausgaben],tblAuftraege[Datum Ausgaben],"&gt;="&amp;AG$5,tblAuftraege[Datum Ausgaben],"&lt;"&amp;EDATE(AG$5,1),tblAuftraege[Themenfeld],"LLM")</f>
        <v>0</v>
      </c>
      <c r="AH132" s="11" t="n">
        <f aca="false">SUMIFS(tblAuftraege[Ausgaben],tblAuftraege[Datum Ausgaben],"&gt;="&amp;AH$5,tblAuftraege[Datum Ausgaben],"&lt;"&amp;EDATE(AH$5,1),tblAuftraege[Themenfeld],"LLM")</f>
        <v>0</v>
      </c>
      <c r="AI132" s="11" t="n">
        <f aca="false">SUMIFS(tblAuftraege[Ausgaben],tblAuftraege[Datum Ausgaben],"&gt;="&amp;AI$5,tblAuftraege[Datum Ausgaben],"&lt;"&amp;EDATE(AI$5,1),tblAuftraege[Themenfeld],"LLM")</f>
        <v>0</v>
      </c>
      <c r="AJ132" s="11" t="n">
        <f aca="false">SUMIFS(tblAuftraege[Ausgaben],tblAuftraege[Datum Ausgaben],"&gt;="&amp;AJ$5,tblAuftraege[Datum Ausgaben],"&lt;"&amp;EDATE(AJ$5,1),tblAuftraege[Themenfeld],"LLM")</f>
        <v>0</v>
      </c>
      <c r="AK132" s="11" t="n">
        <f aca="false">SUMIFS(tblAuftraege[Ausgaben],tblAuftraege[Datum Ausgaben],"&gt;="&amp;AK$5,tblAuftraege[Datum Ausgaben],"&lt;"&amp;EDATE(AK$5,1),tblAuftraege[Themenfeld],"LLM")</f>
        <v>0</v>
      </c>
      <c r="AL132" s="11" t="n">
        <f aca="false">SUMIFS(tblAuftraege[Ausgaben],tblAuftraege[Datum Ausgaben],"&gt;="&amp;AL$5,tblAuftraege[Datum Ausgaben],"&lt;"&amp;EDATE(AL$5,1),tblAuftraege[Themenfeld],"LLM")</f>
        <v>0</v>
      </c>
      <c r="AM132" s="11" t="n">
        <f aca="false">SUMIFS(tblAuftraege[Ausgaben],tblAuftraege[Datum Ausgaben],"&gt;="&amp;AM$5,tblAuftraege[Datum Ausgaben],"&lt;"&amp;EDATE(AM$5,1),tblAuftraege[Themenfeld],"LLM")</f>
        <v>0</v>
      </c>
      <c r="AN132" s="11" t="n">
        <f aca="false">SUMIFS(tblAuftraege[Ausgaben],tblAuftraege[Datum Ausgaben],"&gt;="&amp;AN$5,tblAuftraege[Datum Ausgaben],"&lt;"&amp;EDATE(AN$5,1),tblAuftraege[Themenfeld],"LLM")</f>
        <v>0</v>
      </c>
      <c r="AO132" s="11" t="n">
        <f aca="false">SUMIFS(tblAuftraege[Ausgaben],tblAuftraege[Datum Ausgaben],"&gt;="&amp;AO$5,tblAuftraege[Datum Ausgaben],"&lt;"&amp;EDATE(AO$5,1),tblAuftraege[Themenfeld],"LLM")</f>
        <v>0</v>
      </c>
      <c r="AP132" s="11" t="n">
        <f aca="false">SUMIFS(tblAuftraege[Ausgaben],tblAuftraege[Datum Ausgaben],"&gt;="&amp;AP$5,tblAuftraege[Datum Ausgaben],"&lt;"&amp;EDATE(AP$5,1),tblAuftraege[Themenfeld],"LLM")</f>
        <v>0</v>
      </c>
      <c r="AQ132" s="11" t="n">
        <f aca="false">SUMIFS(tblAuftraege[Ausgaben],tblAuftraege[Datum Ausgaben],"&gt;="&amp;AQ$5,tblAuftraege[Datum Ausgaben],"&lt;"&amp;EDATE(AQ$5,1),tblAuftraege[Themenfeld],"LLM")</f>
        <v>0</v>
      </c>
      <c r="AR132" s="11" t="n">
        <f aca="false">SUMIFS(tblAuftraege[Ausgaben],tblAuftraege[Datum Ausgaben],"&gt;="&amp;AR$5,tblAuftraege[Datum Ausgaben],"&lt;"&amp;EDATE(AR$5,1),tblAuftraege[Themenfeld],"LLM")</f>
        <v>0</v>
      </c>
      <c r="AS132" s="11" t="n">
        <f aca="false">SUMIFS(tblAuftraege[Ausgaben],tblAuftraege[Datum Ausgaben],"&gt;="&amp;AS$5,tblAuftraege[Datum Ausgaben],"&lt;"&amp;EDATE(AS$5,1),tblAuftraege[Themenfeld],"LLM")</f>
        <v>0</v>
      </c>
      <c r="AT132" s="11" t="n">
        <f aca="false">SUMIFS(tblAuftraege[Ausgaben],tblAuftraege[Datum Ausgaben],"&gt;="&amp;AT$5,tblAuftraege[Datum Ausgaben],"&lt;"&amp;EDATE(AT$5,1),tblAuftraege[Themenfeld],"LLM")</f>
        <v>0</v>
      </c>
      <c r="AU132" s="11" t="n">
        <f aca="false">SUMIFS(tblAuftraege[Ausgaben],tblAuftraege[Datum Ausgaben],"&gt;="&amp;AU$5,tblAuftraege[Datum Ausgaben],"&lt;"&amp;EDATE(AU$5,1),tblAuftraege[Themenfeld],"LLM")</f>
        <v>0</v>
      </c>
      <c r="AV132" s="11" t="n">
        <f aca="false">SUMIFS(tblAuftraege[Ausgaben],tblAuftraege[Datum Ausgaben],"&gt;="&amp;AV$5,tblAuftraege[Datum Ausgaben],"&lt;"&amp;EDATE(AV$5,1),tblAuftraege[Themenfeld],"LLM")</f>
        <v>0</v>
      </c>
      <c r="AW132" s="11" t="n">
        <f aca="false">SUMIFS(tblAuftraege[Ausgaben],tblAuftraege[Datum Ausgaben],"&gt;="&amp;AW$5,tblAuftraege[Datum Ausgaben],"&lt;"&amp;EDATE(AW$5,1),tblAuftraege[Themenfeld],"LLM")</f>
        <v>0</v>
      </c>
      <c r="AX132" s="11" t="n">
        <f aca="false">SUMIFS(tblAuftraege[Ausgaben],tblAuftraege[Datum Ausgaben],"&gt;="&amp;AX$5,tblAuftraege[Datum Ausgaben],"&lt;"&amp;EDATE(AX$5,1),tblAuftraege[Themenfeld],"LLM")</f>
        <v>0</v>
      </c>
      <c r="AY132" s="11" t="n">
        <f aca="false">SUMIFS(tblAuftraege[Ausgaben],tblAuftraege[Datum Ausgaben],"&gt;="&amp;AY$5,tblAuftraege[Datum Ausgaben],"&lt;"&amp;EDATE(AY$5,1),tblAuftraege[Themenfeld],"LLM")</f>
        <v>0</v>
      </c>
      <c r="AZ132" s="11" t="n">
        <f aca="false">SUMIFS(tblAuftraege[Ausgaben],tblAuftraege[Datum Ausgaben],"&gt;="&amp;AZ$5,tblAuftraege[Datum Ausgaben],"&lt;"&amp;EDATE(AZ$5,1),tblAuftraege[Themenfeld],"LLM")</f>
        <v>0</v>
      </c>
      <c r="BA132" s="11" t="n">
        <f aca="false">SUMIFS(tblAuftraege[Ausgaben],tblAuftraege[Datum Ausgaben],"&gt;="&amp;BA$5,tblAuftraege[Datum Ausgaben],"&lt;"&amp;EDATE(BA$5,1),tblAuftraege[Themenfeld],"LLM")</f>
        <v>0</v>
      </c>
      <c r="BB132" s="11" t="n">
        <f aca="false">SUMIFS(tblAuftraege[Ausgaben],tblAuftraege[Datum Ausgaben],"&gt;="&amp;BB$5,tblAuftraege[Datum Ausgaben],"&lt;"&amp;EDATE(BB$5,1),tblAuftraege[Themenfeld],"LLM")</f>
        <v>0</v>
      </c>
      <c r="BC132" s="11" t="n">
        <f aca="false">SUMIFS(tblAuftraege[Ausgaben],tblAuftraege[Datum Ausgaben],"&gt;="&amp;BC$5,tblAuftraege[Datum Ausgaben],"&lt;"&amp;EDATE(BC$5,1),tblAuftraege[Themenfeld],"LLM")</f>
        <v>0</v>
      </c>
      <c r="BD132" s="11" t="n">
        <f aca="false">SUMIFS(tblAuftraege[Ausgaben],tblAuftraege[Datum Ausgaben],"&gt;="&amp;BD$5,tblAuftraege[Datum Ausgaben],"&lt;"&amp;EDATE(BD$5,1),tblAuftraege[Themenfeld],"LLM")</f>
        <v>0</v>
      </c>
      <c r="BE132" s="11" t="n">
        <f aca="false">SUMIFS(tblAuftraege[Ausgaben],tblAuftraege[Datum Ausgaben],"&gt;="&amp;BE$5,tblAuftraege[Datum Ausgaben],"&lt;"&amp;EDATE(BE$5,1),tblAuftraege[Themenfeld],"LLM")</f>
        <v>0</v>
      </c>
      <c r="BF132" s="11" t="n">
        <f aca="false">SUMIFS(tblAuftraege[Ausgaben],tblAuftraege[Datum Ausgaben],"&gt;="&amp;BF$5,tblAuftraege[Datum Ausgaben],"&lt;"&amp;EDATE(BF$5,1),tblAuftraege[Themenfeld],"LLM")</f>
        <v>0</v>
      </c>
      <c r="BG132" s="11" t="n">
        <f aca="false">SUM(E132:J132)</f>
        <v>0</v>
      </c>
      <c r="BH132" s="11" t="n">
        <f aca="false">SUM(K132:V132)</f>
        <v>0</v>
      </c>
      <c r="BI132" s="11" t="n">
        <f aca="false">SUM(W132:AH132)</f>
        <v>0</v>
      </c>
      <c r="BJ132" s="11" t="n">
        <f aca="false">SUM(AI132:AT132)</f>
        <v>0</v>
      </c>
      <c r="BK132" s="11" t="n">
        <f aca="false">SUM(AU132:BF132)</f>
        <v>0</v>
      </c>
      <c r="BL132" s="11" t="n">
        <f aca="false">SUM(E132:BF132)</f>
        <v>0</v>
      </c>
    </row>
    <row r="133" customFormat="false" ht="15" hidden="false" customHeight="false" outlineLevel="0" collapsed="false">
      <c r="A133" s="24" t="s">
        <v>89</v>
      </c>
      <c r="B133" s="25"/>
      <c r="C133" s="26"/>
      <c r="D133" s="26"/>
      <c r="E133" s="27" t="n">
        <f aca="false">SUMPRODUCT(tblAuftraege[Einnahmen],tblAuftraege[Auftragswahrscheinlichkeit],(tblAuftraege[Datum Einnahmen]&gt;=E$5)*1,(tblAuftraege[Datum Einnahmen]&lt;EDATE(E$5,1))*1,(tblAuftraege[Themenfeld]="LLM")*1)-SUMPRODUCT(tblAuftraege[Ausgaben],tblAuftraege[Auftragswahrscheinlichkeit],(tblAuftraege[Datum Ausgaben]&gt;=E$5)*1,(tblAuftraege[Datum Ausgaben]&lt;EDATE(E$5,1))*1,(tblAuftraege[Themenfeld]="LLM")*1)</f>
        <v>0</v>
      </c>
      <c r="F133" s="27" t="n">
        <f aca="false">SUMPRODUCT(tblAuftraege[Einnahmen],tblAuftraege[Auftragswahrscheinlichkeit],(tblAuftraege[Datum Einnahmen]&gt;=F$5)*1,(tblAuftraege[Datum Einnahmen]&lt;EDATE(F$5,1))*1,(tblAuftraege[Themenfeld]="LLM")*1)-SUMPRODUCT(tblAuftraege[Ausgaben],tblAuftraege[Auftragswahrscheinlichkeit],(tblAuftraege[Datum Ausgaben]&gt;=F$5)*1,(tblAuftraege[Datum Ausgaben]&lt;EDATE(F$5,1))*1,(tblAuftraege[Themenfeld]="LLM")*1)</f>
        <v>0</v>
      </c>
      <c r="G133" s="27" t="n">
        <f aca="false">SUMPRODUCT(tblAuftraege[Einnahmen],tblAuftraege[Auftragswahrscheinlichkeit],(tblAuftraege[Datum Einnahmen]&gt;=G$5)*1,(tblAuftraege[Datum Einnahmen]&lt;EDATE(G$5,1))*1,(tblAuftraege[Themenfeld]="LLM")*1)-SUMPRODUCT(tblAuftraege[Ausgaben],tblAuftraege[Auftragswahrscheinlichkeit],(tblAuftraege[Datum Ausgaben]&gt;=G$5)*1,(tblAuftraege[Datum Ausgaben]&lt;EDATE(G$5,1))*1,(tblAuftraege[Themenfeld]="LLM")*1)</f>
        <v>0</v>
      </c>
      <c r="H133" s="27" t="n">
        <f aca="false">SUMPRODUCT(tblAuftraege[Einnahmen],tblAuftraege[Auftragswahrscheinlichkeit],(tblAuftraege[Datum Einnahmen]&gt;=H$5)*1,(tblAuftraege[Datum Einnahmen]&lt;EDATE(H$5,1))*1,(tblAuftraege[Themenfeld]="LLM")*1)-SUMPRODUCT(tblAuftraege[Ausgaben],tblAuftraege[Auftragswahrscheinlichkeit],(tblAuftraege[Datum Ausgaben]&gt;=H$5)*1,(tblAuftraege[Datum Ausgaben]&lt;EDATE(H$5,1))*1,(tblAuftraege[Themenfeld]="LLM")*1)</f>
        <v>0</v>
      </c>
      <c r="I133" s="27" t="n">
        <f aca="false">SUMPRODUCT(tblAuftraege[Einnahmen],tblAuftraege[Auftragswahrscheinlichkeit],(tblAuftraege[Datum Einnahmen]&gt;=I$5)*1,(tblAuftraege[Datum Einnahmen]&lt;EDATE(I$5,1))*1,(tblAuftraege[Themenfeld]="LLM")*1)-SUMPRODUCT(tblAuftraege[Ausgaben],tblAuftraege[Auftragswahrscheinlichkeit],(tblAuftraege[Datum Ausgaben]&gt;=I$5)*1,(tblAuftraege[Datum Ausgaben]&lt;EDATE(I$5,1))*1,(tblAuftraege[Themenfeld]="LLM")*1)</f>
        <v>0</v>
      </c>
      <c r="J133" s="27" t="n">
        <f aca="false">SUMPRODUCT(tblAuftraege[Einnahmen],tblAuftraege[Auftragswahrscheinlichkeit],(tblAuftraege[Datum Einnahmen]&gt;=J$5)*1,(tblAuftraege[Datum Einnahmen]&lt;EDATE(J$5,1))*1,(tblAuftraege[Themenfeld]="LLM")*1)-SUMPRODUCT(tblAuftraege[Ausgaben],tblAuftraege[Auftragswahrscheinlichkeit],(tblAuftraege[Datum Ausgaben]&gt;=J$5)*1,(tblAuftraege[Datum Ausgaben]&lt;EDATE(J$5,1))*1,(tblAuftraege[Themenfeld]="LLM")*1)</f>
        <v>0</v>
      </c>
      <c r="K133" s="27" t="n">
        <f aca="false">SUMPRODUCT(tblAuftraege[Einnahmen],tblAuftraege[Auftragswahrscheinlichkeit],(tblAuftraege[Datum Einnahmen]&gt;=K$5)*1,(tblAuftraege[Datum Einnahmen]&lt;EDATE(K$5,1))*1,(tblAuftraege[Themenfeld]="LLM")*1)-SUMPRODUCT(tblAuftraege[Ausgaben],tblAuftraege[Auftragswahrscheinlichkeit],(tblAuftraege[Datum Ausgaben]&gt;=K$5)*1,(tblAuftraege[Datum Ausgaben]&lt;EDATE(K$5,1))*1,(tblAuftraege[Themenfeld]="LLM")*1)</f>
        <v>0</v>
      </c>
      <c r="L133" s="27" t="n">
        <f aca="false">SUMPRODUCT(tblAuftraege[Einnahmen],tblAuftraege[Auftragswahrscheinlichkeit],(tblAuftraege[Datum Einnahmen]&gt;=L$5)*1,(tblAuftraege[Datum Einnahmen]&lt;EDATE(L$5,1))*1,(tblAuftraege[Themenfeld]="LLM")*1)-SUMPRODUCT(tblAuftraege[Ausgaben],tblAuftraege[Auftragswahrscheinlichkeit],(tblAuftraege[Datum Ausgaben]&gt;=L$5)*1,(tblAuftraege[Datum Ausgaben]&lt;EDATE(L$5,1))*1,(tblAuftraege[Themenfeld]="LLM")*1)</f>
        <v>0</v>
      </c>
      <c r="M133" s="27" t="n">
        <f aca="false">SUMPRODUCT(tblAuftraege[Einnahmen],tblAuftraege[Auftragswahrscheinlichkeit],(tblAuftraege[Datum Einnahmen]&gt;=M$5)*1,(tblAuftraege[Datum Einnahmen]&lt;EDATE(M$5,1))*1,(tblAuftraege[Themenfeld]="LLM")*1)-SUMPRODUCT(tblAuftraege[Ausgaben],tblAuftraege[Auftragswahrscheinlichkeit],(tblAuftraege[Datum Ausgaben]&gt;=M$5)*1,(tblAuftraege[Datum Ausgaben]&lt;EDATE(M$5,1))*1,(tblAuftraege[Themenfeld]="LLM")*1)</f>
        <v>0</v>
      </c>
      <c r="N133" s="27" t="n">
        <f aca="false">SUMPRODUCT(tblAuftraege[Einnahmen],tblAuftraege[Auftragswahrscheinlichkeit],(tblAuftraege[Datum Einnahmen]&gt;=N$5)*1,(tblAuftraege[Datum Einnahmen]&lt;EDATE(N$5,1))*1,(tblAuftraege[Themenfeld]="LLM")*1)-SUMPRODUCT(tblAuftraege[Ausgaben],tblAuftraege[Auftragswahrscheinlichkeit],(tblAuftraege[Datum Ausgaben]&gt;=N$5)*1,(tblAuftraege[Datum Ausgaben]&lt;EDATE(N$5,1))*1,(tblAuftraege[Themenfeld]="LLM")*1)</f>
        <v>0</v>
      </c>
      <c r="O133" s="27" t="n">
        <f aca="false">SUMPRODUCT(tblAuftraege[Einnahmen],tblAuftraege[Auftragswahrscheinlichkeit],(tblAuftraege[Datum Einnahmen]&gt;=O$5)*1,(tblAuftraege[Datum Einnahmen]&lt;EDATE(O$5,1))*1,(tblAuftraege[Themenfeld]="LLM")*1)-SUMPRODUCT(tblAuftraege[Ausgaben],tblAuftraege[Auftragswahrscheinlichkeit],(tblAuftraege[Datum Ausgaben]&gt;=O$5)*1,(tblAuftraege[Datum Ausgaben]&lt;EDATE(O$5,1))*1,(tblAuftraege[Themenfeld]="LLM")*1)</f>
        <v>0</v>
      </c>
      <c r="P133" s="27" t="n">
        <f aca="false">SUMPRODUCT(tblAuftraege[Einnahmen],tblAuftraege[Auftragswahrscheinlichkeit],(tblAuftraege[Datum Einnahmen]&gt;=P$5)*1,(tblAuftraege[Datum Einnahmen]&lt;EDATE(P$5,1))*1,(tblAuftraege[Themenfeld]="LLM")*1)-SUMPRODUCT(tblAuftraege[Ausgaben],tblAuftraege[Auftragswahrscheinlichkeit],(tblAuftraege[Datum Ausgaben]&gt;=P$5)*1,(tblAuftraege[Datum Ausgaben]&lt;EDATE(P$5,1))*1,(tblAuftraege[Themenfeld]="LLM")*1)</f>
        <v>0</v>
      </c>
      <c r="Q133" s="27" t="n">
        <f aca="false">SUMPRODUCT(tblAuftraege[Einnahmen],tblAuftraege[Auftragswahrscheinlichkeit],(tblAuftraege[Datum Einnahmen]&gt;=Q$5)*1,(tblAuftraege[Datum Einnahmen]&lt;EDATE(Q$5,1))*1,(tblAuftraege[Themenfeld]="LLM")*1)-SUMPRODUCT(tblAuftraege[Ausgaben],tblAuftraege[Auftragswahrscheinlichkeit],(tblAuftraege[Datum Ausgaben]&gt;=Q$5)*1,(tblAuftraege[Datum Ausgaben]&lt;EDATE(Q$5,1))*1,(tblAuftraege[Themenfeld]="LLM")*1)</f>
        <v>0</v>
      </c>
      <c r="R133" s="27" t="n">
        <f aca="false">SUMPRODUCT(tblAuftraege[Einnahmen],tblAuftraege[Auftragswahrscheinlichkeit],(tblAuftraege[Datum Einnahmen]&gt;=R$5)*1,(tblAuftraege[Datum Einnahmen]&lt;EDATE(R$5,1))*1,(tblAuftraege[Themenfeld]="LLM")*1)-SUMPRODUCT(tblAuftraege[Ausgaben],tblAuftraege[Auftragswahrscheinlichkeit],(tblAuftraege[Datum Ausgaben]&gt;=R$5)*1,(tblAuftraege[Datum Ausgaben]&lt;EDATE(R$5,1))*1,(tblAuftraege[Themenfeld]="LLM")*1)</f>
        <v>0</v>
      </c>
      <c r="S133" s="27" t="n">
        <f aca="false">SUMPRODUCT(tblAuftraege[Einnahmen],tblAuftraege[Auftragswahrscheinlichkeit],(tblAuftraege[Datum Einnahmen]&gt;=S$5)*1,(tblAuftraege[Datum Einnahmen]&lt;EDATE(S$5,1))*1,(tblAuftraege[Themenfeld]="LLM")*1)-SUMPRODUCT(tblAuftraege[Ausgaben],tblAuftraege[Auftragswahrscheinlichkeit],(tblAuftraege[Datum Ausgaben]&gt;=S$5)*1,(tblAuftraege[Datum Ausgaben]&lt;EDATE(S$5,1))*1,(tblAuftraege[Themenfeld]="LLM")*1)</f>
        <v>0</v>
      </c>
      <c r="T133" s="27" t="n">
        <f aca="false">SUMPRODUCT(tblAuftraege[Einnahmen],tblAuftraege[Auftragswahrscheinlichkeit],(tblAuftraege[Datum Einnahmen]&gt;=T$5)*1,(tblAuftraege[Datum Einnahmen]&lt;EDATE(T$5,1))*1,(tblAuftraege[Themenfeld]="LLM")*1)-SUMPRODUCT(tblAuftraege[Ausgaben],tblAuftraege[Auftragswahrscheinlichkeit],(tblAuftraege[Datum Ausgaben]&gt;=T$5)*1,(tblAuftraege[Datum Ausgaben]&lt;EDATE(T$5,1))*1,(tblAuftraege[Themenfeld]="LLM")*1)</f>
        <v>0</v>
      </c>
      <c r="U133" s="27" t="n">
        <f aca="false">SUMPRODUCT(tblAuftraege[Einnahmen],tblAuftraege[Auftragswahrscheinlichkeit],(tblAuftraege[Datum Einnahmen]&gt;=U$5)*1,(tblAuftraege[Datum Einnahmen]&lt;EDATE(U$5,1))*1,(tblAuftraege[Themenfeld]="LLM")*1)-SUMPRODUCT(tblAuftraege[Ausgaben],tblAuftraege[Auftragswahrscheinlichkeit],(tblAuftraege[Datum Ausgaben]&gt;=U$5)*1,(tblAuftraege[Datum Ausgaben]&lt;EDATE(U$5,1))*1,(tblAuftraege[Themenfeld]="LLM")*1)</f>
        <v>0</v>
      </c>
      <c r="V133" s="27" t="n">
        <f aca="false">SUMPRODUCT(tblAuftraege[Einnahmen],tblAuftraege[Auftragswahrscheinlichkeit],(tblAuftraege[Datum Einnahmen]&gt;=V$5)*1,(tblAuftraege[Datum Einnahmen]&lt;EDATE(V$5,1))*1,(tblAuftraege[Themenfeld]="LLM")*1)-SUMPRODUCT(tblAuftraege[Ausgaben],tblAuftraege[Auftragswahrscheinlichkeit],(tblAuftraege[Datum Ausgaben]&gt;=V$5)*1,(tblAuftraege[Datum Ausgaben]&lt;EDATE(V$5,1))*1,(tblAuftraege[Themenfeld]="LLM")*1)</f>
        <v>0</v>
      </c>
      <c r="W133" s="27" t="n">
        <f aca="false">SUMPRODUCT(tblAuftraege[Einnahmen],tblAuftraege[Auftragswahrscheinlichkeit],(tblAuftraege[Datum Einnahmen]&gt;=W$5)*1,(tblAuftraege[Datum Einnahmen]&lt;EDATE(W$5,1))*1,(tblAuftraege[Themenfeld]="LLM")*1)-SUMPRODUCT(tblAuftraege[Ausgaben],tblAuftraege[Auftragswahrscheinlichkeit],(tblAuftraege[Datum Ausgaben]&gt;=W$5)*1,(tblAuftraege[Datum Ausgaben]&lt;EDATE(W$5,1))*1,(tblAuftraege[Themenfeld]="LLM")*1)</f>
        <v>0</v>
      </c>
      <c r="X133" s="27" t="n">
        <f aca="false">SUMPRODUCT(tblAuftraege[Einnahmen],tblAuftraege[Auftragswahrscheinlichkeit],(tblAuftraege[Datum Einnahmen]&gt;=X$5)*1,(tblAuftraege[Datum Einnahmen]&lt;EDATE(X$5,1))*1,(tblAuftraege[Themenfeld]="LLM")*1)-SUMPRODUCT(tblAuftraege[Ausgaben],tblAuftraege[Auftragswahrscheinlichkeit],(tblAuftraege[Datum Ausgaben]&gt;=X$5)*1,(tblAuftraege[Datum Ausgaben]&lt;EDATE(X$5,1))*1,(tblAuftraege[Themenfeld]="LLM")*1)</f>
        <v>0</v>
      </c>
      <c r="Y133" s="27" t="n">
        <f aca="false">SUMPRODUCT(tblAuftraege[Einnahmen],tblAuftraege[Auftragswahrscheinlichkeit],(tblAuftraege[Datum Einnahmen]&gt;=Y$5)*1,(tblAuftraege[Datum Einnahmen]&lt;EDATE(Y$5,1))*1,(tblAuftraege[Themenfeld]="LLM")*1)-SUMPRODUCT(tblAuftraege[Ausgaben],tblAuftraege[Auftragswahrscheinlichkeit],(tblAuftraege[Datum Ausgaben]&gt;=Y$5)*1,(tblAuftraege[Datum Ausgaben]&lt;EDATE(Y$5,1))*1,(tblAuftraege[Themenfeld]="LLM")*1)</f>
        <v>0</v>
      </c>
      <c r="Z133" s="27" t="n">
        <f aca="false">SUMPRODUCT(tblAuftraege[Einnahmen],tblAuftraege[Auftragswahrscheinlichkeit],(tblAuftraege[Datum Einnahmen]&gt;=Z$5)*1,(tblAuftraege[Datum Einnahmen]&lt;EDATE(Z$5,1))*1,(tblAuftraege[Themenfeld]="LLM")*1)-SUMPRODUCT(tblAuftraege[Ausgaben],tblAuftraege[Auftragswahrscheinlichkeit],(tblAuftraege[Datum Ausgaben]&gt;=Z$5)*1,(tblAuftraege[Datum Ausgaben]&lt;EDATE(Z$5,1))*1,(tblAuftraege[Themenfeld]="LLM")*1)</f>
        <v>0</v>
      </c>
      <c r="AA133" s="27" t="n">
        <f aca="false">SUMPRODUCT(tblAuftraege[Einnahmen],tblAuftraege[Auftragswahrscheinlichkeit],(tblAuftraege[Datum Einnahmen]&gt;=AA$5)*1,(tblAuftraege[Datum Einnahmen]&lt;EDATE(AA$5,1))*1,(tblAuftraege[Themenfeld]="LLM")*1)-SUMPRODUCT(tblAuftraege[Ausgaben],tblAuftraege[Auftragswahrscheinlichkeit],(tblAuftraege[Datum Ausgaben]&gt;=AA$5)*1,(tblAuftraege[Datum Ausgaben]&lt;EDATE(AA$5,1))*1,(tblAuftraege[Themenfeld]="LLM")*1)</f>
        <v>0</v>
      </c>
      <c r="AB133" s="27" t="n">
        <f aca="false">SUMPRODUCT(tblAuftraege[Einnahmen],tblAuftraege[Auftragswahrscheinlichkeit],(tblAuftraege[Datum Einnahmen]&gt;=AB$5)*1,(tblAuftraege[Datum Einnahmen]&lt;EDATE(AB$5,1))*1,(tblAuftraege[Themenfeld]="LLM")*1)-SUMPRODUCT(tblAuftraege[Ausgaben],tblAuftraege[Auftragswahrscheinlichkeit],(tblAuftraege[Datum Ausgaben]&gt;=AB$5)*1,(tblAuftraege[Datum Ausgaben]&lt;EDATE(AB$5,1))*1,(tblAuftraege[Themenfeld]="LLM")*1)</f>
        <v>0</v>
      </c>
      <c r="AC133" s="27" t="n">
        <f aca="false">SUMPRODUCT(tblAuftraege[Einnahmen],tblAuftraege[Auftragswahrscheinlichkeit],(tblAuftraege[Datum Einnahmen]&gt;=AC$5)*1,(tblAuftraege[Datum Einnahmen]&lt;EDATE(AC$5,1))*1,(tblAuftraege[Themenfeld]="LLM")*1)-SUMPRODUCT(tblAuftraege[Ausgaben],tblAuftraege[Auftragswahrscheinlichkeit],(tblAuftraege[Datum Ausgaben]&gt;=AC$5)*1,(tblAuftraege[Datum Ausgaben]&lt;EDATE(AC$5,1))*1,(tblAuftraege[Themenfeld]="LLM")*1)</f>
        <v>0</v>
      </c>
      <c r="AD133" s="27" t="n">
        <f aca="false">SUMPRODUCT(tblAuftraege[Einnahmen],tblAuftraege[Auftragswahrscheinlichkeit],(tblAuftraege[Datum Einnahmen]&gt;=AD$5)*1,(tblAuftraege[Datum Einnahmen]&lt;EDATE(AD$5,1))*1,(tblAuftraege[Themenfeld]="LLM")*1)-SUMPRODUCT(tblAuftraege[Ausgaben],tblAuftraege[Auftragswahrscheinlichkeit],(tblAuftraege[Datum Ausgaben]&gt;=AD$5)*1,(tblAuftraege[Datum Ausgaben]&lt;EDATE(AD$5,1))*1,(tblAuftraege[Themenfeld]="LLM")*1)</f>
        <v>0</v>
      </c>
      <c r="AE133" s="27" t="n">
        <f aca="false">SUMPRODUCT(tblAuftraege[Einnahmen],tblAuftraege[Auftragswahrscheinlichkeit],(tblAuftraege[Datum Einnahmen]&gt;=AE$5)*1,(tblAuftraege[Datum Einnahmen]&lt;EDATE(AE$5,1))*1,(tblAuftraege[Themenfeld]="LLM")*1)-SUMPRODUCT(tblAuftraege[Ausgaben],tblAuftraege[Auftragswahrscheinlichkeit],(tblAuftraege[Datum Ausgaben]&gt;=AE$5)*1,(tblAuftraege[Datum Ausgaben]&lt;EDATE(AE$5,1))*1,(tblAuftraege[Themenfeld]="LLM")*1)</f>
        <v>0</v>
      </c>
      <c r="AF133" s="27" t="n">
        <f aca="false">SUMPRODUCT(tblAuftraege[Einnahmen],tblAuftraege[Auftragswahrscheinlichkeit],(tblAuftraege[Datum Einnahmen]&gt;=AF$5)*1,(tblAuftraege[Datum Einnahmen]&lt;EDATE(AF$5,1))*1,(tblAuftraege[Themenfeld]="LLM")*1)-SUMPRODUCT(tblAuftraege[Ausgaben],tblAuftraege[Auftragswahrscheinlichkeit],(tblAuftraege[Datum Ausgaben]&gt;=AF$5)*1,(tblAuftraege[Datum Ausgaben]&lt;EDATE(AF$5,1))*1,(tblAuftraege[Themenfeld]="LLM")*1)</f>
        <v>0</v>
      </c>
      <c r="AG133" s="27" t="n">
        <f aca="false">SUMPRODUCT(tblAuftraege[Einnahmen],tblAuftraege[Auftragswahrscheinlichkeit],(tblAuftraege[Datum Einnahmen]&gt;=AG$5)*1,(tblAuftraege[Datum Einnahmen]&lt;EDATE(AG$5,1))*1,(tblAuftraege[Themenfeld]="LLM")*1)-SUMPRODUCT(tblAuftraege[Ausgaben],tblAuftraege[Auftragswahrscheinlichkeit],(tblAuftraege[Datum Ausgaben]&gt;=AG$5)*1,(tblAuftraege[Datum Ausgaben]&lt;EDATE(AG$5,1))*1,(tblAuftraege[Themenfeld]="LLM")*1)</f>
        <v>0</v>
      </c>
      <c r="AH133" s="27" t="n">
        <f aca="false">SUMPRODUCT(tblAuftraege[Einnahmen],tblAuftraege[Auftragswahrscheinlichkeit],(tblAuftraege[Datum Einnahmen]&gt;=AH$5)*1,(tblAuftraege[Datum Einnahmen]&lt;EDATE(AH$5,1))*1,(tblAuftraege[Themenfeld]="LLM")*1)-SUMPRODUCT(tblAuftraege[Ausgaben],tblAuftraege[Auftragswahrscheinlichkeit],(tblAuftraege[Datum Ausgaben]&gt;=AH$5)*1,(tblAuftraege[Datum Ausgaben]&lt;EDATE(AH$5,1))*1,(tblAuftraege[Themenfeld]="LLM")*1)</f>
        <v>0</v>
      </c>
      <c r="AI133" s="27" t="n">
        <f aca="false">SUMPRODUCT(tblAuftraege[Einnahmen],tblAuftraege[Auftragswahrscheinlichkeit],(tblAuftraege[Datum Einnahmen]&gt;=AI$5)*1,(tblAuftraege[Datum Einnahmen]&lt;EDATE(AI$5,1))*1,(tblAuftraege[Themenfeld]="LLM")*1)-SUMPRODUCT(tblAuftraege[Ausgaben],tblAuftraege[Auftragswahrscheinlichkeit],(tblAuftraege[Datum Ausgaben]&gt;=AI$5)*1,(tblAuftraege[Datum Ausgaben]&lt;EDATE(AI$5,1))*1,(tblAuftraege[Themenfeld]="LLM")*1)</f>
        <v>0</v>
      </c>
      <c r="AJ133" s="27" t="n">
        <f aca="false">SUMPRODUCT(tblAuftraege[Einnahmen],tblAuftraege[Auftragswahrscheinlichkeit],(tblAuftraege[Datum Einnahmen]&gt;=AJ$5)*1,(tblAuftraege[Datum Einnahmen]&lt;EDATE(AJ$5,1))*1,(tblAuftraege[Themenfeld]="LLM")*1)-SUMPRODUCT(tblAuftraege[Ausgaben],tblAuftraege[Auftragswahrscheinlichkeit],(tblAuftraege[Datum Ausgaben]&gt;=AJ$5)*1,(tblAuftraege[Datum Ausgaben]&lt;EDATE(AJ$5,1))*1,(tblAuftraege[Themenfeld]="LLM")*1)</f>
        <v>0</v>
      </c>
      <c r="AK133" s="27" t="n">
        <f aca="false">SUMPRODUCT(tblAuftraege[Einnahmen],tblAuftraege[Auftragswahrscheinlichkeit],(tblAuftraege[Datum Einnahmen]&gt;=AK$5)*1,(tblAuftraege[Datum Einnahmen]&lt;EDATE(AK$5,1))*1,(tblAuftraege[Themenfeld]="LLM")*1)-SUMPRODUCT(tblAuftraege[Ausgaben],tblAuftraege[Auftragswahrscheinlichkeit],(tblAuftraege[Datum Ausgaben]&gt;=AK$5)*1,(tblAuftraege[Datum Ausgaben]&lt;EDATE(AK$5,1))*1,(tblAuftraege[Themenfeld]="LLM")*1)</f>
        <v>0</v>
      </c>
      <c r="AL133" s="27" t="n">
        <f aca="false">SUMPRODUCT(tblAuftraege[Einnahmen],tblAuftraege[Auftragswahrscheinlichkeit],(tblAuftraege[Datum Einnahmen]&gt;=AL$5)*1,(tblAuftraege[Datum Einnahmen]&lt;EDATE(AL$5,1))*1,(tblAuftraege[Themenfeld]="LLM")*1)-SUMPRODUCT(tblAuftraege[Ausgaben],tblAuftraege[Auftragswahrscheinlichkeit],(tblAuftraege[Datum Ausgaben]&gt;=AL$5)*1,(tblAuftraege[Datum Ausgaben]&lt;EDATE(AL$5,1))*1,(tblAuftraege[Themenfeld]="LLM")*1)</f>
        <v>0</v>
      </c>
      <c r="AM133" s="27" t="n">
        <f aca="false">SUMPRODUCT(tblAuftraege[Einnahmen],tblAuftraege[Auftragswahrscheinlichkeit],(tblAuftraege[Datum Einnahmen]&gt;=AM$5)*1,(tblAuftraege[Datum Einnahmen]&lt;EDATE(AM$5,1))*1,(tblAuftraege[Themenfeld]="LLM")*1)-SUMPRODUCT(tblAuftraege[Ausgaben],tblAuftraege[Auftragswahrscheinlichkeit],(tblAuftraege[Datum Ausgaben]&gt;=AM$5)*1,(tblAuftraege[Datum Ausgaben]&lt;EDATE(AM$5,1))*1,(tblAuftraege[Themenfeld]="LLM")*1)</f>
        <v>0</v>
      </c>
      <c r="AN133" s="27" t="n">
        <f aca="false">SUMPRODUCT(tblAuftraege[Einnahmen],tblAuftraege[Auftragswahrscheinlichkeit],(tblAuftraege[Datum Einnahmen]&gt;=AN$5)*1,(tblAuftraege[Datum Einnahmen]&lt;EDATE(AN$5,1))*1,(tblAuftraege[Themenfeld]="LLM")*1)-SUMPRODUCT(tblAuftraege[Ausgaben],tblAuftraege[Auftragswahrscheinlichkeit],(tblAuftraege[Datum Ausgaben]&gt;=AN$5)*1,(tblAuftraege[Datum Ausgaben]&lt;EDATE(AN$5,1))*1,(tblAuftraege[Themenfeld]="LLM")*1)</f>
        <v>0</v>
      </c>
      <c r="AO133" s="27" t="n">
        <f aca="false">SUMPRODUCT(tblAuftraege[Einnahmen],tblAuftraege[Auftragswahrscheinlichkeit],(tblAuftraege[Datum Einnahmen]&gt;=AO$5)*1,(tblAuftraege[Datum Einnahmen]&lt;EDATE(AO$5,1))*1,(tblAuftraege[Themenfeld]="LLM")*1)-SUMPRODUCT(tblAuftraege[Ausgaben],tblAuftraege[Auftragswahrscheinlichkeit],(tblAuftraege[Datum Ausgaben]&gt;=AO$5)*1,(tblAuftraege[Datum Ausgaben]&lt;EDATE(AO$5,1))*1,(tblAuftraege[Themenfeld]="LLM")*1)</f>
        <v>0</v>
      </c>
      <c r="AP133" s="27" t="n">
        <f aca="false">SUMPRODUCT(tblAuftraege[Einnahmen],tblAuftraege[Auftragswahrscheinlichkeit],(tblAuftraege[Datum Einnahmen]&gt;=AP$5)*1,(tblAuftraege[Datum Einnahmen]&lt;EDATE(AP$5,1))*1,(tblAuftraege[Themenfeld]="LLM")*1)-SUMPRODUCT(tblAuftraege[Ausgaben],tblAuftraege[Auftragswahrscheinlichkeit],(tblAuftraege[Datum Ausgaben]&gt;=AP$5)*1,(tblAuftraege[Datum Ausgaben]&lt;EDATE(AP$5,1))*1,(tblAuftraege[Themenfeld]="LLM")*1)</f>
        <v>0</v>
      </c>
      <c r="AQ133" s="27" t="n">
        <f aca="false">SUMPRODUCT(tblAuftraege[Einnahmen],tblAuftraege[Auftragswahrscheinlichkeit],(tblAuftraege[Datum Einnahmen]&gt;=AQ$5)*1,(tblAuftraege[Datum Einnahmen]&lt;EDATE(AQ$5,1))*1,(tblAuftraege[Themenfeld]="LLM")*1)-SUMPRODUCT(tblAuftraege[Ausgaben],tblAuftraege[Auftragswahrscheinlichkeit],(tblAuftraege[Datum Ausgaben]&gt;=AQ$5)*1,(tblAuftraege[Datum Ausgaben]&lt;EDATE(AQ$5,1))*1,(tblAuftraege[Themenfeld]="LLM")*1)</f>
        <v>0</v>
      </c>
      <c r="AR133" s="27" t="n">
        <f aca="false">SUMPRODUCT(tblAuftraege[Einnahmen],tblAuftraege[Auftragswahrscheinlichkeit],(tblAuftraege[Datum Einnahmen]&gt;=AR$5)*1,(tblAuftraege[Datum Einnahmen]&lt;EDATE(AR$5,1))*1,(tblAuftraege[Themenfeld]="LLM")*1)-SUMPRODUCT(tblAuftraege[Ausgaben],tblAuftraege[Auftragswahrscheinlichkeit],(tblAuftraege[Datum Ausgaben]&gt;=AR$5)*1,(tblAuftraege[Datum Ausgaben]&lt;EDATE(AR$5,1))*1,(tblAuftraege[Themenfeld]="LLM")*1)</f>
        <v>0</v>
      </c>
      <c r="AS133" s="27" t="n">
        <f aca="false">SUMPRODUCT(tblAuftraege[Einnahmen],tblAuftraege[Auftragswahrscheinlichkeit],(tblAuftraege[Datum Einnahmen]&gt;=AS$5)*1,(tblAuftraege[Datum Einnahmen]&lt;EDATE(AS$5,1))*1,(tblAuftraege[Themenfeld]="LLM")*1)-SUMPRODUCT(tblAuftraege[Ausgaben],tblAuftraege[Auftragswahrscheinlichkeit],(tblAuftraege[Datum Ausgaben]&gt;=AS$5)*1,(tblAuftraege[Datum Ausgaben]&lt;EDATE(AS$5,1))*1,(tblAuftraege[Themenfeld]="LLM")*1)</f>
        <v>0</v>
      </c>
      <c r="AT133" s="27" t="n">
        <f aca="false">SUMPRODUCT(tblAuftraege[Einnahmen],tblAuftraege[Auftragswahrscheinlichkeit],(tblAuftraege[Datum Einnahmen]&gt;=AT$5)*1,(tblAuftraege[Datum Einnahmen]&lt;EDATE(AT$5,1))*1,(tblAuftraege[Themenfeld]="LLM")*1)-SUMPRODUCT(tblAuftraege[Ausgaben],tblAuftraege[Auftragswahrscheinlichkeit],(tblAuftraege[Datum Ausgaben]&gt;=AT$5)*1,(tblAuftraege[Datum Ausgaben]&lt;EDATE(AT$5,1))*1,(tblAuftraege[Themenfeld]="LLM")*1)</f>
        <v>0</v>
      </c>
      <c r="AU133" s="27" t="n">
        <f aca="false">SUMPRODUCT(tblAuftraege[Einnahmen],tblAuftraege[Auftragswahrscheinlichkeit],(tblAuftraege[Datum Einnahmen]&gt;=AU$5)*1,(tblAuftraege[Datum Einnahmen]&lt;EDATE(AU$5,1))*1,(tblAuftraege[Themenfeld]="LLM")*1)-SUMPRODUCT(tblAuftraege[Ausgaben],tblAuftraege[Auftragswahrscheinlichkeit],(tblAuftraege[Datum Ausgaben]&gt;=AU$5)*1,(tblAuftraege[Datum Ausgaben]&lt;EDATE(AU$5,1))*1,(tblAuftraege[Themenfeld]="LLM")*1)</f>
        <v>0</v>
      </c>
      <c r="AV133" s="27" t="n">
        <f aca="false">SUMPRODUCT(tblAuftraege[Einnahmen],tblAuftraege[Auftragswahrscheinlichkeit],(tblAuftraege[Datum Einnahmen]&gt;=AV$5)*1,(tblAuftraege[Datum Einnahmen]&lt;EDATE(AV$5,1))*1,(tblAuftraege[Themenfeld]="LLM")*1)-SUMPRODUCT(tblAuftraege[Ausgaben],tblAuftraege[Auftragswahrscheinlichkeit],(tblAuftraege[Datum Ausgaben]&gt;=AV$5)*1,(tblAuftraege[Datum Ausgaben]&lt;EDATE(AV$5,1))*1,(tblAuftraege[Themenfeld]="LLM")*1)</f>
        <v>0</v>
      </c>
      <c r="AW133" s="27" t="n">
        <f aca="false">SUMPRODUCT(tblAuftraege[Einnahmen],tblAuftraege[Auftragswahrscheinlichkeit],(tblAuftraege[Datum Einnahmen]&gt;=AW$5)*1,(tblAuftraege[Datum Einnahmen]&lt;EDATE(AW$5,1))*1,(tblAuftraege[Themenfeld]="LLM")*1)-SUMPRODUCT(tblAuftraege[Ausgaben],tblAuftraege[Auftragswahrscheinlichkeit],(tblAuftraege[Datum Ausgaben]&gt;=AW$5)*1,(tblAuftraege[Datum Ausgaben]&lt;EDATE(AW$5,1))*1,(tblAuftraege[Themenfeld]="LLM")*1)</f>
        <v>0</v>
      </c>
      <c r="AX133" s="27" t="n">
        <f aca="false">SUMPRODUCT(tblAuftraege[Einnahmen],tblAuftraege[Auftragswahrscheinlichkeit],(tblAuftraege[Datum Einnahmen]&gt;=AX$5)*1,(tblAuftraege[Datum Einnahmen]&lt;EDATE(AX$5,1))*1,(tblAuftraege[Themenfeld]="LLM")*1)-SUMPRODUCT(tblAuftraege[Ausgaben],tblAuftraege[Auftragswahrscheinlichkeit],(tblAuftraege[Datum Ausgaben]&gt;=AX$5)*1,(tblAuftraege[Datum Ausgaben]&lt;EDATE(AX$5,1))*1,(tblAuftraege[Themenfeld]="LLM")*1)</f>
        <v>0</v>
      </c>
      <c r="AY133" s="27" t="n">
        <f aca="false">SUMPRODUCT(tblAuftraege[Einnahmen],tblAuftraege[Auftragswahrscheinlichkeit],(tblAuftraege[Datum Einnahmen]&gt;=AY$5)*1,(tblAuftraege[Datum Einnahmen]&lt;EDATE(AY$5,1))*1,(tblAuftraege[Themenfeld]="LLM")*1)-SUMPRODUCT(tblAuftraege[Ausgaben],tblAuftraege[Auftragswahrscheinlichkeit],(tblAuftraege[Datum Ausgaben]&gt;=AY$5)*1,(tblAuftraege[Datum Ausgaben]&lt;EDATE(AY$5,1))*1,(tblAuftraege[Themenfeld]="LLM")*1)</f>
        <v>0</v>
      </c>
      <c r="AZ133" s="27" t="n">
        <f aca="false">SUMPRODUCT(tblAuftraege[Einnahmen],tblAuftraege[Auftragswahrscheinlichkeit],(tblAuftraege[Datum Einnahmen]&gt;=AZ$5)*1,(tblAuftraege[Datum Einnahmen]&lt;EDATE(AZ$5,1))*1,(tblAuftraege[Themenfeld]="LLM")*1)-SUMPRODUCT(tblAuftraege[Ausgaben],tblAuftraege[Auftragswahrscheinlichkeit],(tblAuftraege[Datum Ausgaben]&gt;=AZ$5)*1,(tblAuftraege[Datum Ausgaben]&lt;EDATE(AZ$5,1))*1,(tblAuftraege[Themenfeld]="LLM")*1)</f>
        <v>0</v>
      </c>
      <c r="BA133" s="27" t="n">
        <f aca="false">SUMPRODUCT(tblAuftraege[Einnahmen],tblAuftraege[Auftragswahrscheinlichkeit],(tblAuftraege[Datum Einnahmen]&gt;=BA$5)*1,(tblAuftraege[Datum Einnahmen]&lt;EDATE(BA$5,1))*1,(tblAuftraege[Themenfeld]="LLM")*1)-SUMPRODUCT(tblAuftraege[Ausgaben],tblAuftraege[Auftragswahrscheinlichkeit],(tblAuftraege[Datum Ausgaben]&gt;=BA$5)*1,(tblAuftraege[Datum Ausgaben]&lt;EDATE(BA$5,1))*1,(tblAuftraege[Themenfeld]="LLM")*1)</f>
        <v>0</v>
      </c>
      <c r="BB133" s="27" t="n">
        <f aca="false">SUMPRODUCT(tblAuftraege[Einnahmen],tblAuftraege[Auftragswahrscheinlichkeit],(tblAuftraege[Datum Einnahmen]&gt;=BB$5)*1,(tblAuftraege[Datum Einnahmen]&lt;EDATE(BB$5,1))*1,(tblAuftraege[Themenfeld]="LLM")*1)-SUMPRODUCT(tblAuftraege[Ausgaben],tblAuftraege[Auftragswahrscheinlichkeit],(tblAuftraege[Datum Ausgaben]&gt;=BB$5)*1,(tblAuftraege[Datum Ausgaben]&lt;EDATE(BB$5,1))*1,(tblAuftraege[Themenfeld]="LLM")*1)</f>
        <v>0</v>
      </c>
      <c r="BC133" s="27" t="n">
        <f aca="false">SUMPRODUCT(tblAuftraege[Einnahmen],tblAuftraege[Auftragswahrscheinlichkeit],(tblAuftraege[Datum Einnahmen]&gt;=BC$5)*1,(tblAuftraege[Datum Einnahmen]&lt;EDATE(BC$5,1))*1,(tblAuftraege[Themenfeld]="LLM")*1)-SUMPRODUCT(tblAuftraege[Ausgaben],tblAuftraege[Auftragswahrscheinlichkeit],(tblAuftraege[Datum Ausgaben]&gt;=BC$5)*1,(tblAuftraege[Datum Ausgaben]&lt;EDATE(BC$5,1))*1,(tblAuftraege[Themenfeld]="LLM")*1)</f>
        <v>0</v>
      </c>
      <c r="BD133" s="27" t="n">
        <f aca="false">SUMPRODUCT(tblAuftraege[Einnahmen],tblAuftraege[Auftragswahrscheinlichkeit],(tblAuftraege[Datum Einnahmen]&gt;=BD$5)*1,(tblAuftraege[Datum Einnahmen]&lt;EDATE(BD$5,1))*1,(tblAuftraege[Themenfeld]="LLM")*1)-SUMPRODUCT(tblAuftraege[Ausgaben],tblAuftraege[Auftragswahrscheinlichkeit],(tblAuftraege[Datum Ausgaben]&gt;=BD$5)*1,(tblAuftraege[Datum Ausgaben]&lt;EDATE(BD$5,1))*1,(tblAuftraege[Themenfeld]="LLM")*1)</f>
        <v>0</v>
      </c>
      <c r="BE133" s="27" t="n">
        <f aca="false">SUMPRODUCT(tblAuftraege[Einnahmen],tblAuftraege[Auftragswahrscheinlichkeit],(tblAuftraege[Datum Einnahmen]&gt;=BE$5)*1,(tblAuftraege[Datum Einnahmen]&lt;EDATE(BE$5,1))*1,(tblAuftraege[Themenfeld]="LLM")*1)-SUMPRODUCT(tblAuftraege[Ausgaben],tblAuftraege[Auftragswahrscheinlichkeit],(tblAuftraege[Datum Ausgaben]&gt;=BE$5)*1,(tblAuftraege[Datum Ausgaben]&lt;EDATE(BE$5,1))*1,(tblAuftraege[Themenfeld]="LLM")*1)</f>
        <v>0</v>
      </c>
      <c r="BF133" s="27" t="n">
        <f aca="false">SUMPRODUCT(tblAuftraege[Einnahmen],tblAuftraege[Auftragswahrscheinlichkeit],(tblAuftraege[Datum Einnahmen]&gt;=BF$5)*1,(tblAuftraege[Datum Einnahmen]&lt;EDATE(BF$5,1))*1,(tblAuftraege[Themenfeld]="LLM")*1)-SUMPRODUCT(tblAuftraege[Ausgaben],tblAuftraege[Auftragswahrscheinlichkeit],(tblAuftraege[Datum Ausgaben]&gt;=BF$5)*1,(tblAuftraege[Datum Ausgaben]&lt;EDATE(BF$5,1))*1,(tblAuftraege[Themenfeld]="LLM")*1)</f>
        <v>0</v>
      </c>
      <c r="BG133" s="27" t="n">
        <f aca="false">SUM(E133:J133)</f>
        <v>0</v>
      </c>
      <c r="BH133" s="27" t="n">
        <f aca="false">SUM(K133:V133)</f>
        <v>0</v>
      </c>
      <c r="BI133" s="27" t="n">
        <f aca="false">SUM(W133:AH133)</f>
        <v>0</v>
      </c>
      <c r="BJ133" s="27" t="n">
        <f aca="false">SUM(AI133:AT133)</f>
        <v>0</v>
      </c>
      <c r="BK133" s="27" t="n">
        <f aca="false">SUM(AU133:BF133)</f>
        <v>0</v>
      </c>
      <c r="BL133" s="27" t="n">
        <f aca="false">SUM(E133:BF133)</f>
        <v>0</v>
      </c>
    </row>
    <row r="135" customFormat="false" ht="19.5" hidden="false" customHeight="true" outlineLevel="0" collapsed="false">
      <c r="A135" s="7" t="s">
        <v>90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</row>
    <row r="136" customFormat="false" ht="15" hidden="false" customHeight="false" outlineLevel="0" collapsed="false">
      <c r="A136" s="13" t="s">
        <v>91</v>
      </c>
      <c r="B136" s="14"/>
      <c r="C136" s="15"/>
      <c r="D136" s="15"/>
      <c r="E136" s="11" t="n">
        <f aca="false">SUMIFS(tblAuftraege[Einnahmen],tblAuftraege[Datum Einnahmen],"&gt;="&amp;E$5,tblAuftraege[Datum Einnahmen],"&lt;"&amp;EDATE(E$5,1),tblAuftraege[Kategorie],"Hardware")</f>
        <v>0</v>
      </c>
      <c r="F136" s="11" t="n">
        <f aca="false">SUMIFS(tblAuftraege[Einnahmen],tblAuftraege[Datum Einnahmen],"&gt;="&amp;F$5,tblAuftraege[Datum Einnahmen],"&lt;"&amp;EDATE(F$5,1),tblAuftraege[Kategorie],"Hardware")</f>
        <v>0</v>
      </c>
      <c r="G136" s="11" t="n">
        <f aca="false">SUMIFS(tblAuftraege[Einnahmen],tblAuftraege[Datum Einnahmen],"&gt;="&amp;G$5,tblAuftraege[Datum Einnahmen],"&lt;"&amp;EDATE(G$5,1),tblAuftraege[Kategorie],"Hardware")</f>
        <v>0</v>
      </c>
      <c r="H136" s="11" t="n">
        <f aca="false">SUMIFS(tblAuftraege[Einnahmen],tblAuftraege[Datum Einnahmen],"&gt;="&amp;H$5,tblAuftraege[Datum Einnahmen],"&lt;"&amp;EDATE(H$5,1),tblAuftraege[Kategorie],"Hardware")</f>
        <v>0</v>
      </c>
      <c r="I136" s="11" t="n">
        <f aca="false">SUMIFS(tblAuftraege[Einnahmen],tblAuftraege[Datum Einnahmen],"&gt;="&amp;I$5,tblAuftraege[Datum Einnahmen],"&lt;"&amp;EDATE(I$5,1),tblAuftraege[Kategorie],"Hardware")</f>
        <v>0</v>
      </c>
      <c r="J136" s="11" t="n">
        <f aca="false">SUMIFS(tblAuftraege[Einnahmen],tblAuftraege[Datum Einnahmen],"&gt;="&amp;J$5,tblAuftraege[Datum Einnahmen],"&lt;"&amp;EDATE(J$5,1),tblAuftraege[Kategorie],"Hardware")</f>
        <v>0</v>
      </c>
      <c r="K136" s="11" t="n">
        <f aca="false">SUMIFS(tblAuftraege[Einnahmen],tblAuftraege[Datum Einnahmen],"&gt;="&amp;K$5,tblAuftraege[Datum Einnahmen],"&lt;"&amp;EDATE(K$5,1),tblAuftraege[Kategorie],"Hardware")</f>
        <v>0</v>
      </c>
      <c r="L136" s="11" t="n">
        <f aca="false">SUMIFS(tblAuftraege[Einnahmen],tblAuftraege[Datum Einnahmen],"&gt;="&amp;L$5,tblAuftraege[Datum Einnahmen],"&lt;"&amp;EDATE(L$5,1),tblAuftraege[Kategorie],"Hardware")</f>
        <v>0</v>
      </c>
      <c r="M136" s="11" t="n">
        <f aca="false">SUMIFS(tblAuftraege[Einnahmen],tblAuftraege[Datum Einnahmen],"&gt;="&amp;M$5,tblAuftraege[Datum Einnahmen],"&lt;"&amp;EDATE(M$5,1),tblAuftraege[Kategorie],"Hardware")</f>
        <v>0</v>
      </c>
      <c r="N136" s="11" t="n">
        <f aca="false">SUMIFS(tblAuftraege[Einnahmen],tblAuftraege[Datum Einnahmen],"&gt;="&amp;N$5,tblAuftraege[Datum Einnahmen],"&lt;"&amp;EDATE(N$5,1),tblAuftraege[Kategorie],"Hardware")</f>
        <v>0</v>
      </c>
      <c r="O136" s="11" t="n">
        <f aca="false">SUMIFS(tblAuftraege[Einnahmen],tblAuftraege[Datum Einnahmen],"&gt;="&amp;O$5,tblAuftraege[Datum Einnahmen],"&lt;"&amp;EDATE(O$5,1),tblAuftraege[Kategorie],"Hardware")</f>
        <v>0</v>
      </c>
      <c r="P136" s="11" t="n">
        <f aca="false">SUMIFS(tblAuftraege[Einnahmen],tblAuftraege[Datum Einnahmen],"&gt;="&amp;P$5,tblAuftraege[Datum Einnahmen],"&lt;"&amp;EDATE(P$5,1),tblAuftraege[Kategorie],"Hardware")</f>
        <v>0</v>
      </c>
      <c r="Q136" s="11" t="n">
        <f aca="false">SUMIFS(tblAuftraege[Einnahmen],tblAuftraege[Datum Einnahmen],"&gt;="&amp;Q$5,tblAuftraege[Datum Einnahmen],"&lt;"&amp;EDATE(Q$5,1),tblAuftraege[Kategorie],"Hardware")</f>
        <v>0</v>
      </c>
      <c r="R136" s="11" t="n">
        <f aca="false">SUMIFS(tblAuftraege[Einnahmen],tblAuftraege[Datum Einnahmen],"&gt;="&amp;R$5,tblAuftraege[Datum Einnahmen],"&lt;"&amp;EDATE(R$5,1),tblAuftraege[Kategorie],"Hardware")</f>
        <v>0</v>
      </c>
      <c r="S136" s="11" t="n">
        <f aca="false">SUMIFS(tblAuftraege[Einnahmen],tblAuftraege[Datum Einnahmen],"&gt;="&amp;S$5,tblAuftraege[Datum Einnahmen],"&lt;"&amp;EDATE(S$5,1),tblAuftraege[Kategorie],"Hardware")</f>
        <v>0</v>
      </c>
      <c r="T136" s="11" t="n">
        <f aca="false">SUMIFS(tblAuftraege[Einnahmen],tblAuftraege[Datum Einnahmen],"&gt;="&amp;T$5,tblAuftraege[Datum Einnahmen],"&lt;"&amp;EDATE(T$5,1),tblAuftraege[Kategorie],"Hardware")</f>
        <v>0</v>
      </c>
      <c r="U136" s="11" t="n">
        <f aca="false">SUMIFS(tblAuftraege[Einnahmen],tblAuftraege[Datum Einnahmen],"&gt;="&amp;U$5,tblAuftraege[Datum Einnahmen],"&lt;"&amp;EDATE(U$5,1),tblAuftraege[Kategorie],"Hardware")</f>
        <v>0</v>
      </c>
      <c r="V136" s="11" t="n">
        <f aca="false">SUMIFS(tblAuftraege[Einnahmen],tblAuftraege[Datum Einnahmen],"&gt;="&amp;V$5,tblAuftraege[Datum Einnahmen],"&lt;"&amp;EDATE(V$5,1),tblAuftraege[Kategorie],"Hardware")</f>
        <v>0</v>
      </c>
      <c r="W136" s="11" t="n">
        <f aca="false">SUMIFS(tblAuftraege[Einnahmen],tblAuftraege[Datum Einnahmen],"&gt;="&amp;W$5,tblAuftraege[Datum Einnahmen],"&lt;"&amp;EDATE(W$5,1),tblAuftraege[Kategorie],"Hardware")</f>
        <v>0</v>
      </c>
      <c r="X136" s="11" t="n">
        <f aca="false">SUMIFS(tblAuftraege[Einnahmen],tblAuftraege[Datum Einnahmen],"&gt;="&amp;X$5,tblAuftraege[Datum Einnahmen],"&lt;"&amp;EDATE(X$5,1),tblAuftraege[Kategorie],"Hardware")</f>
        <v>0</v>
      </c>
      <c r="Y136" s="11" t="n">
        <f aca="false">SUMIFS(tblAuftraege[Einnahmen],tblAuftraege[Datum Einnahmen],"&gt;="&amp;Y$5,tblAuftraege[Datum Einnahmen],"&lt;"&amp;EDATE(Y$5,1),tblAuftraege[Kategorie],"Hardware")</f>
        <v>0</v>
      </c>
      <c r="Z136" s="11" t="n">
        <f aca="false">SUMIFS(tblAuftraege[Einnahmen],tblAuftraege[Datum Einnahmen],"&gt;="&amp;Z$5,tblAuftraege[Datum Einnahmen],"&lt;"&amp;EDATE(Z$5,1),tblAuftraege[Kategorie],"Hardware")</f>
        <v>0</v>
      </c>
      <c r="AA136" s="11" t="n">
        <f aca="false">SUMIFS(tblAuftraege[Einnahmen],tblAuftraege[Datum Einnahmen],"&gt;="&amp;AA$5,tblAuftraege[Datum Einnahmen],"&lt;"&amp;EDATE(AA$5,1),tblAuftraege[Kategorie],"Hardware")</f>
        <v>0</v>
      </c>
      <c r="AB136" s="11" t="n">
        <f aca="false">SUMIFS(tblAuftraege[Einnahmen],tblAuftraege[Datum Einnahmen],"&gt;="&amp;AB$5,tblAuftraege[Datum Einnahmen],"&lt;"&amp;EDATE(AB$5,1),tblAuftraege[Kategorie],"Hardware")</f>
        <v>0</v>
      </c>
      <c r="AC136" s="11" t="n">
        <f aca="false">SUMIFS(tblAuftraege[Einnahmen],tblAuftraege[Datum Einnahmen],"&gt;="&amp;AC$5,tblAuftraege[Datum Einnahmen],"&lt;"&amp;EDATE(AC$5,1),tblAuftraege[Kategorie],"Hardware")</f>
        <v>0</v>
      </c>
      <c r="AD136" s="11" t="n">
        <f aca="false">SUMIFS(tblAuftraege[Einnahmen],tblAuftraege[Datum Einnahmen],"&gt;="&amp;AD$5,tblAuftraege[Datum Einnahmen],"&lt;"&amp;EDATE(AD$5,1),tblAuftraege[Kategorie],"Hardware")</f>
        <v>0</v>
      </c>
      <c r="AE136" s="11" t="n">
        <f aca="false">SUMIFS(tblAuftraege[Einnahmen],tblAuftraege[Datum Einnahmen],"&gt;="&amp;AE$5,tblAuftraege[Datum Einnahmen],"&lt;"&amp;EDATE(AE$5,1),tblAuftraege[Kategorie],"Hardware")</f>
        <v>0</v>
      </c>
      <c r="AF136" s="11" t="n">
        <f aca="false">SUMIFS(tblAuftraege[Einnahmen],tblAuftraege[Datum Einnahmen],"&gt;="&amp;AF$5,tblAuftraege[Datum Einnahmen],"&lt;"&amp;EDATE(AF$5,1),tblAuftraege[Kategorie],"Hardware")</f>
        <v>0</v>
      </c>
      <c r="AG136" s="11" t="n">
        <f aca="false">SUMIFS(tblAuftraege[Einnahmen],tblAuftraege[Datum Einnahmen],"&gt;="&amp;AG$5,tblAuftraege[Datum Einnahmen],"&lt;"&amp;EDATE(AG$5,1),tblAuftraege[Kategorie],"Hardware")</f>
        <v>0</v>
      </c>
      <c r="AH136" s="11" t="n">
        <f aca="false">SUMIFS(tblAuftraege[Einnahmen],tblAuftraege[Datum Einnahmen],"&gt;="&amp;AH$5,tblAuftraege[Datum Einnahmen],"&lt;"&amp;EDATE(AH$5,1),tblAuftraege[Kategorie],"Hardware")</f>
        <v>0</v>
      </c>
      <c r="AI136" s="11" t="n">
        <f aca="false">SUMIFS(tblAuftraege[Einnahmen],tblAuftraege[Datum Einnahmen],"&gt;="&amp;AI$5,tblAuftraege[Datum Einnahmen],"&lt;"&amp;EDATE(AI$5,1),tblAuftraege[Kategorie],"Hardware")</f>
        <v>0</v>
      </c>
      <c r="AJ136" s="11" t="n">
        <f aca="false">SUMIFS(tblAuftraege[Einnahmen],tblAuftraege[Datum Einnahmen],"&gt;="&amp;AJ$5,tblAuftraege[Datum Einnahmen],"&lt;"&amp;EDATE(AJ$5,1),tblAuftraege[Kategorie],"Hardware")</f>
        <v>0</v>
      </c>
      <c r="AK136" s="11" t="n">
        <f aca="false">SUMIFS(tblAuftraege[Einnahmen],tblAuftraege[Datum Einnahmen],"&gt;="&amp;AK$5,tblAuftraege[Datum Einnahmen],"&lt;"&amp;EDATE(AK$5,1),tblAuftraege[Kategorie],"Hardware")</f>
        <v>0</v>
      </c>
      <c r="AL136" s="11" t="n">
        <f aca="false">SUMIFS(tblAuftraege[Einnahmen],tblAuftraege[Datum Einnahmen],"&gt;="&amp;AL$5,tblAuftraege[Datum Einnahmen],"&lt;"&amp;EDATE(AL$5,1),tblAuftraege[Kategorie],"Hardware")</f>
        <v>0</v>
      </c>
      <c r="AM136" s="11" t="n">
        <f aca="false">SUMIFS(tblAuftraege[Einnahmen],tblAuftraege[Datum Einnahmen],"&gt;="&amp;AM$5,tblAuftraege[Datum Einnahmen],"&lt;"&amp;EDATE(AM$5,1),tblAuftraege[Kategorie],"Hardware")</f>
        <v>0</v>
      </c>
      <c r="AN136" s="11" t="n">
        <f aca="false">SUMIFS(tblAuftraege[Einnahmen],tblAuftraege[Datum Einnahmen],"&gt;="&amp;AN$5,tblAuftraege[Datum Einnahmen],"&lt;"&amp;EDATE(AN$5,1),tblAuftraege[Kategorie],"Hardware")</f>
        <v>0</v>
      </c>
      <c r="AO136" s="11" t="n">
        <f aca="false">SUMIFS(tblAuftraege[Einnahmen],tblAuftraege[Datum Einnahmen],"&gt;="&amp;AO$5,tblAuftraege[Datum Einnahmen],"&lt;"&amp;EDATE(AO$5,1),tblAuftraege[Kategorie],"Hardware")</f>
        <v>0</v>
      </c>
      <c r="AP136" s="11" t="n">
        <f aca="false">SUMIFS(tblAuftraege[Einnahmen],tblAuftraege[Datum Einnahmen],"&gt;="&amp;AP$5,tblAuftraege[Datum Einnahmen],"&lt;"&amp;EDATE(AP$5,1),tblAuftraege[Kategorie],"Hardware")</f>
        <v>0</v>
      </c>
      <c r="AQ136" s="11" t="n">
        <f aca="false">SUMIFS(tblAuftraege[Einnahmen],tblAuftraege[Datum Einnahmen],"&gt;="&amp;AQ$5,tblAuftraege[Datum Einnahmen],"&lt;"&amp;EDATE(AQ$5,1),tblAuftraege[Kategorie],"Hardware")</f>
        <v>0</v>
      </c>
      <c r="AR136" s="11" t="n">
        <f aca="false">SUMIFS(tblAuftraege[Einnahmen],tblAuftraege[Datum Einnahmen],"&gt;="&amp;AR$5,tblAuftraege[Datum Einnahmen],"&lt;"&amp;EDATE(AR$5,1),tblAuftraege[Kategorie],"Hardware")</f>
        <v>0</v>
      </c>
      <c r="AS136" s="11" t="n">
        <f aca="false">SUMIFS(tblAuftraege[Einnahmen],tblAuftraege[Datum Einnahmen],"&gt;="&amp;AS$5,tblAuftraege[Datum Einnahmen],"&lt;"&amp;EDATE(AS$5,1),tblAuftraege[Kategorie],"Hardware")</f>
        <v>0</v>
      </c>
      <c r="AT136" s="11" t="n">
        <f aca="false">SUMIFS(tblAuftraege[Einnahmen],tblAuftraege[Datum Einnahmen],"&gt;="&amp;AT$5,tblAuftraege[Datum Einnahmen],"&lt;"&amp;EDATE(AT$5,1),tblAuftraege[Kategorie],"Hardware")</f>
        <v>0</v>
      </c>
      <c r="AU136" s="11" t="n">
        <f aca="false">SUMIFS(tblAuftraege[Einnahmen],tblAuftraege[Datum Einnahmen],"&gt;="&amp;AU$5,tblAuftraege[Datum Einnahmen],"&lt;"&amp;EDATE(AU$5,1),tblAuftraege[Kategorie],"Hardware")</f>
        <v>0</v>
      </c>
      <c r="AV136" s="11" t="n">
        <f aca="false">SUMIFS(tblAuftraege[Einnahmen],tblAuftraege[Datum Einnahmen],"&gt;="&amp;AV$5,tblAuftraege[Datum Einnahmen],"&lt;"&amp;EDATE(AV$5,1),tblAuftraege[Kategorie],"Hardware")</f>
        <v>0</v>
      </c>
      <c r="AW136" s="11" t="n">
        <f aca="false">SUMIFS(tblAuftraege[Einnahmen],tblAuftraege[Datum Einnahmen],"&gt;="&amp;AW$5,tblAuftraege[Datum Einnahmen],"&lt;"&amp;EDATE(AW$5,1),tblAuftraege[Kategorie],"Hardware")</f>
        <v>0</v>
      </c>
      <c r="AX136" s="11" t="n">
        <f aca="false">SUMIFS(tblAuftraege[Einnahmen],tblAuftraege[Datum Einnahmen],"&gt;="&amp;AX$5,tblAuftraege[Datum Einnahmen],"&lt;"&amp;EDATE(AX$5,1),tblAuftraege[Kategorie],"Hardware")</f>
        <v>0</v>
      </c>
      <c r="AY136" s="11" t="n">
        <f aca="false">SUMIFS(tblAuftraege[Einnahmen],tblAuftraege[Datum Einnahmen],"&gt;="&amp;AY$5,tblAuftraege[Datum Einnahmen],"&lt;"&amp;EDATE(AY$5,1),tblAuftraege[Kategorie],"Hardware")</f>
        <v>0</v>
      </c>
      <c r="AZ136" s="11" t="n">
        <f aca="false">SUMIFS(tblAuftraege[Einnahmen],tblAuftraege[Datum Einnahmen],"&gt;="&amp;AZ$5,tblAuftraege[Datum Einnahmen],"&lt;"&amp;EDATE(AZ$5,1),tblAuftraege[Kategorie],"Hardware")</f>
        <v>0</v>
      </c>
      <c r="BA136" s="11" t="n">
        <f aca="false">SUMIFS(tblAuftraege[Einnahmen],tblAuftraege[Datum Einnahmen],"&gt;="&amp;BA$5,tblAuftraege[Datum Einnahmen],"&lt;"&amp;EDATE(BA$5,1),tblAuftraege[Kategorie],"Hardware")</f>
        <v>0</v>
      </c>
      <c r="BB136" s="11" t="n">
        <f aca="false">SUMIFS(tblAuftraege[Einnahmen],tblAuftraege[Datum Einnahmen],"&gt;="&amp;BB$5,tblAuftraege[Datum Einnahmen],"&lt;"&amp;EDATE(BB$5,1),tblAuftraege[Kategorie],"Hardware")</f>
        <v>0</v>
      </c>
      <c r="BC136" s="11" t="n">
        <f aca="false">SUMIFS(tblAuftraege[Einnahmen],tblAuftraege[Datum Einnahmen],"&gt;="&amp;BC$5,tblAuftraege[Datum Einnahmen],"&lt;"&amp;EDATE(BC$5,1),tblAuftraege[Kategorie],"Hardware")</f>
        <v>0</v>
      </c>
      <c r="BD136" s="11" t="n">
        <f aca="false">SUMIFS(tblAuftraege[Einnahmen],tblAuftraege[Datum Einnahmen],"&gt;="&amp;BD$5,tblAuftraege[Datum Einnahmen],"&lt;"&amp;EDATE(BD$5,1),tblAuftraege[Kategorie],"Hardware")</f>
        <v>0</v>
      </c>
      <c r="BE136" s="11" t="n">
        <f aca="false">SUMIFS(tblAuftraege[Einnahmen],tblAuftraege[Datum Einnahmen],"&gt;="&amp;BE$5,tblAuftraege[Datum Einnahmen],"&lt;"&amp;EDATE(BE$5,1),tblAuftraege[Kategorie],"Hardware")</f>
        <v>0</v>
      </c>
      <c r="BF136" s="11" t="n">
        <f aca="false">SUMIFS(tblAuftraege[Einnahmen],tblAuftraege[Datum Einnahmen],"&gt;="&amp;BF$5,tblAuftraege[Datum Einnahmen],"&lt;"&amp;EDATE(BF$5,1),tblAuftraege[Kategorie],"Hardware")</f>
        <v>0</v>
      </c>
      <c r="BG136" s="11" t="n">
        <f aca="false">SUM(E136:J136)</f>
        <v>0</v>
      </c>
      <c r="BH136" s="11" t="n">
        <f aca="false">SUM(K136:V136)</f>
        <v>0</v>
      </c>
      <c r="BI136" s="11" t="n">
        <f aca="false">SUM(W136:AH136)</f>
        <v>0</v>
      </c>
      <c r="BJ136" s="11" t="n">
        <f aca="false">SUM(AI136:AT136)</f>
        <v>0</v>
      </c>
      <c r="BK136" s="11" t="n">
        <f aca="false">SUM(AU136:BF136)</f>
        <v>0</v>
      </c>
      <c r="BL136" s="11" t="n">
        <f aca="false">SUM(E136:BF136)</f>
        <v>0</v>
      </c>
    </row>
    <row r="137" customFormat="false" ht="15" hidden="false" customHeight="false" outlineLevel="0" collapsed="false">
      <c r="A137" s="13" t="s">
        <v>92</v>
      </c>
      <c r="B137" s="14"/>
      <c r="C137" s="15"/>
      <c r="D137" s="15"/>
      <c r="E137" s="11" t="n">
        <f aca="false">SUMIFS(tblAuftraege[Ausgaben],tblAuftraege[Datum Ausgaben],"&gt;="&amp;E$5,tblAuftraege[Datum Ausgaben],"&lt;"&amp;EDATE(E$5,1),tblAuftraege[Kategorie],"Hardware")</f>
        <v>0</v>
      </c>
      <c r="F137" s="11" t="n">
        <f aca="false">SUMIFS(tblAuftraege[Ausgaben],tblAuftraege[Datum Ausgaben],"&gt;="&amp;F$5,tblAuftraege[Datum Ausgaben],"&lt;"&amp;EDATE(F$5,1),tblAuftraege[Kategorie],"Hardware")</f>
        <v>0</v>
      </c>
      <c r="G137" s="11" t="n">
        <f aca="false">SUMIFS(tblAuftraege[Ausgaben],tblAuftraege[Datum Ausgaben],"&gt;="&amp;G$5,tblAuftraege[Datum Ausgaben],"&lt;"&amp;EDATE(G$5,1),tblAuftraege[Kategorie],"Hardware")</f>
        <v>0</v>
      </c>
      <c r="H137" s="11" t="n">
        <f aca="false">SUMIFS(tblAuftraege[Ausgaben],tblAuftraege[Datum Ausgaben],"&gt;="&amp;H$5,tblAuftraege[Datum Ausgaben],"&lt;"&amp;EDATE(H$5,1),tblAuftraege[Kategorie],"Hardware")</f>
        <v>0</v>
      </c>
      <c r="I137" s="11" t="n">
        <f aca="false">SUMIFS(tblAuftraege[Ausgaben],tblAuftraege[Datum Ausgaben],"&gt;="&amp;I$5,tblAuftraege[Datum Ausgaben],"&lt;"&amp;EDATE(I$5,1),tblAuftraege[Kategorie],"Hardware")</f>
        <v>0</v>
      </c>
      <c r="J137" s="11" t="n">
        <f aca="false">SUMIFS(tblAuftraege[Ausgaben],tblAuftraege[Datum Ausgaben],"&gt;="&amp;J$5,tblAuftraege[Datum Ausgaben],"&lt;"&amp;EDATE(J$5,1),tblAuftraege[Kategorie],"Hardware")</f>
        <v>0</v>
      </c>
      <c r="K137" s="11" t="n">
        <f aca="false">SUMIFS(tblAuftraege[Ausgaben],tblAuftraege[Datum Ausgaben],"&gt;="&amp;K$5,tblAuftraege[Datum Ausgaben],"&lt;"&amp;EDATE(K$5,1),tblAuftraege[Kategorie],"Hardware")</f>
        <v>0</v>
      </c>
      <c r="L137" s="11" t="n">
        <f aca="false">SUMIFS(tblAuftraege[Ausgaben],tblAuftraege[Datum Ausgaben],"&gt;="&amp;L$5,tblAuftraege[Datum Ausgaben],"&lt;"&amp;EDATE(L$5,1),tblAuftraege[Kategorie],"Hardware")</f>
        <v>0</v>
      </c>
      <c r="M137" s="11" t="n">
        <f aca="false">SUMIFS(tblAuftraege[Ausgaben],tblAuftraege[Datum Ausgaben],"&gt;="&amp;M$5,tblAuftraege[Datum Ausgaben],"&lt;"&amp;EDATE(M$5,1),tblAuftraege[Kategorie],"Hardware")</f>
        <v>0</v>
      </c>
      <c r="N137" s="11" t="n">
        <f aca="false">SUMIFS(tblAuftraege[Ausgaben],tblAuftraege[Datum Ausgaben],"&gt;="&amp;N$5,tblAuftraege[Datum Ausgaben],"&lt;"&amp;EDATE(N$5,1),tblAuftraege[Kategorie],"Hardware")</f>
        <v>0</v>
      </c>
      <c r="O137" s="11" t="n">
        <f aca="false">SUMIFS(tblAuftraege[Ausgaben],tblAuftraege[Datum Ausgaben],"&gt;="&amp;O$5,tblAuftraege[Datum Ausgaben],"&lt;"&amp;EDATE(O$5,1),tblAuftraege[Kategorie],"Hardware")</f>
        <v>0</v>
      </c>
      <c r="P137" s="11" t="n">
        <f aca="false">SUMIFS(tblAuftraege[Ausgaben],tblAuftraege[Datum Ausgaben],"&gt;="&amp;P$5,tblAuftraege[Datum Ausgaben],"&lt;"&amp;EDATE(P$5,1),tblAuftraege[Kategorie],"Hardware")</f>
        <v>0</v>
      </c>
      <c r="Q137" s="11" t="n">
        <f aca="false">SUMIFS(tblAuftraege[Ausgaben],tblAuftraege[Datum Ausgaben],"&gt;="&amp;Q$5,tblAuftraege[Datum Ausgaben],"&lt;"&amp;EDATE(Q$5,1),tblAuftraege[Kategorie],"Hardware")</f>
        <v>0</v>
      </c>
      <c r="R137" s="11" t="n">
        <f aca="false">SUMIFS(tblAuftraege[Ausgaben],tblAuftraege[Datum Ausgaben],"&gt;="&amp;R$5,tblAuftraege[Datum Ausgaben],"&lt;"&amp;EDATE(R$5,1),tblAuftraege[Kategorie],"Hardware")</f>
        <v>0</v>
      </c>
      <c r="S137" s="11" t="n">
        <f aca="false">SUMIFS(tblAuftraege[Ausgaben],tblAuftraege[Datum Ausgaben],"&gt;="&amp;S$5,tblAuftraege[Datum Ausgaben],"&lt;"&amp;EDATE(S$5,1),tblAuftraege[Kategorie],"Hardware")</f>
        <v>0</v>
      </c>
      <c r="T137" s="11" t="n">
        <f aca="false">SUMIFS(tblAuftraege[Ausgaben],tblAuftraege[Datum Ausgaben],"&gt;="&amp;T$5,tblAuftraege[Datum Ausgaben],"&lt;"&amp;EDATE(T$5,1),tblAuftraege[Kategorie],"Hardware")</f>
        <v>0</v>
      </c>
      <c r="U137" s="11" t="n">
        <f aca="false">SUMIFS(tblAuftraege[Ausgaben],tblAuftraege[Datum Ausgaben],"&gt;="&amp;U$5,tblAuftraege[Datum Ausgaben],"&lt;"&amp;EDATE(U$5,1),tblAuftraege[Kategorie],"Hardware")</f>
        <v>0</v>
      </c>
      <c r="V137" s="11" t="n">
        <f aca="false">SUMIFS(tblAuftraege[Ausgaben],tblAuftraege[Datum Ausgaben],"&gt;="&amp;V$5,tblAuftraege[Datum Ausgaben],"&lt;"&amp;EDATE(V$5,1),tblAuftraege[Kategorie],"Hardware")</f>
        <v>0</v>
      </c>
      <c r="W137" s="11" t="n">
        <f aca="false">SUMIFS(tblAuftraege[Ausgaben],tblAuftraege[Datum Ausgaben],"&gt;="&amp;W$5,tblAuftraege[Datum Ausgaben],"&lt;"&amp;EDATE(W$5,1),tblAuftraege[Kategorie],"Hardware")</f>
        <v>0</v>
      </c>
      <c r="X137" s="11" t="n">
        <f aca="false">SUMIFS(tblAuftraege[Ausgaben],tblAuftraege[Datum Ausgaben],"&gt;="&amp;X$5,tblAuftraege[Datum Ausgaben],"&lt;"&amp;EDATE(X$5,1),tblAuftraege[Kategorie],"Hardware")</f>
        <v>0</v>
      </c>
      <c r="Y137" s="11" t="n">
        <f aca="false">SUMIFS(tblAuftraege[Ausgaben],tblAuftraege[Datum Ausgaben],"&gt;="&amp;Y$5,tblAuftraege[Datum Ausgaben],"&lt;"&amp;EDATE(Y$5,1),tblAuftraege[Kategorie],"Hardware")</f>
        <v>0</v>
      </c>
      <c r="Z137" s="11" t="n">
        <f aca="false">SUMIFS(tblAuftraege[Ausgaben],tblAuftraege[Datum Ausgaben],"&gt;="&amp;Z$5,tblAuftraege[Datum Ausgaben],"&lt;"&amp;EDATE(Z$5,1),tblAuftraege[Kategorie],"Hardware")</f>
        <v>0</v>
      </c>
      <c r="AA137" s="11" t="n">
        <f aca="false">SUMIFS(tblAuftraege[Ausgaben],tblAuftraege[Datum Ausgaben],"&gt;="&amp;AA$5,tblAuftraege[Datum Ausgaben],"&lt;"&amp;EDATE(AA$5,1),tblAuftraege[Kategorie],"Hardware")</f>
        <v>0</v>
      </c>
      <c r="AB137" s="11" t="n">
        <f aca="false">SUMIFS(tblAuftraege[Ausgaben],tblAuftraege[Datum Ausgaben],"&gt;="&amp;AB$5,tblAuftraege[Datum Ausgaben],"&lt;"&amp;EDATE(AB$5,1),tblAuftraege[Kategorie],"Hardware")</f>
        <v>0</v>
      </c>
      <c r="AC137" s="11" t="n">
        <f aca="false">SUMIFS(tblAuftraege[Ausgaben],tblAuftraege[Datum Ausgaben],"&gt;="&amp;AC$5,tblAuftraege[Datum Ausgaben],"&lt;"&amp;EDATE(AC$5,1),tblAuftraege[Kategorie],"Hardware")</f>
        <v>0</v>
      </c>
      <c r="AD137" s="11" t="n">
        <f aca="false">SUMIFS(tblAuftraege[Ausgaben],tblAuftraege[Datum Ausgaben],"&gt;="&amp;AD$5,tblAuftraege[Datum Ausgaben],"&lt;"&amp;EDATE(AD$5,1),tblAuftraege[Kategorie],"Hardware")</f>
        <v>0</v>
      </c>
      <c r="AE137" s="11" t="n">
        <f aca="false">SUMIFS(tblAuftraege[Ausgaben],tblAuftraege[Datum Ausgaben],"&gt;="&amp;AE$5,tblAuftraege[Datum Ausgaben],"&lt;"&amp;EDATE(AE$5,1),tblAuftraege[Kategorie],"Hardware")</f>
        <v>0</v>
      </c>
      <c r="AF137" s="11" t="n">
        <f aca="false">SUMIFS(tblAuftraege[Ausgaben],tblAuftraege[Datum Ausgaben],"&gt;="&amp;AF$5,tblAuftraege[Datum Ausgaben],"&lt;"&amp;EDATE(AF$5,1),tblAuftraege[Kategorie],"Hardware")</f>
        <v>0</v>
      </c>
      <c r="AG137" s="11" t="n">
        <f aca="false">SUMIFS(tblAuftraege[Ausgaben],tblAuftraege[Datum Ausgaben],"&gt;="&amp;AG$5,tblAuftraege[Datum Ausgaben],"&lt;"&amp;EDATE(AG$5,1),tblAuftraege[Kategorie],"Hardware")</f>
        <v>0</v>
      </c>
      <c r="AH137" s="11" t="n">
        <f aca="false">SUMIFS(tblAuftraege[Ausgaben],tblAuftraege[Datum Ausgaben],"&gt;="&amp;AH$5,tblAuftraege[Datum Ausgaben],"&lt;"&amp;EDATE(AH$5,1),tblAuftraege[Kategorie],"Hardware")</f>
        <v>0</v>
      </c>
      <c r="AI137" s="11" t="n">
        <f aca="false">SUMIFS(tblAuftraege[Ausgaben],tblAuftraege[Datum Ausgaben],"&gt;="&amp;AI$5,tblAuftraege[Datum Ausgaben],"&lt;"&amp;EDATE(AI$5,1),tblAuftraege[Kategorie],"Hardware")</f>
        <v>0</v>
      </c>
      <c r="AJ137" s="11" t="n">
        <f aca="false">SUMIFS(tblAuftraege[Ausgaben],tblAuftraege[Datum Ausgaben],"&gt;="&amp;AJ$5,tblAuftraege[Datum Ausgaben],"&lt;"&amp;EDATE(AJ$5,1),tblAuftraege[Kategorie],"Hardware")</f>
        <v>0</v>
      </c>
      <c r="AK137" s="11" t="n">
        <f aca="false">SUMIFS(tblAuftraege[Ausgaben],tblAuftraege[Datum Ausgaben],"&gt;="&amp;AK$5,tblAuftraege[Datum Ausgaben],"&lt;"&amp;EDATE(AK$5,1),tblAuftraege[Kategorie],"Hardware")</f>
        <v>0</v>
      </c>
      <c r="AL137" s="11" t="n">
        <f aca="false">SUMIFS(tblAuftraege[Ausgaben],tblAuftraege[Datum Ausgaben],"&gt;="&amp;AL$5,tblAuftraege[Datum Ausgaben],"&lt;"&amp;EDATE(AL$5,1),tblAuftraege[Kategorie],"Hardware")</f>
        <v>0</v>
      </c>
      <c r="AM137" s="11" t="n">
        <f aca="false">SUMIFS(tblAuftraege[Ausgaben],tblAuftraege[Datum Ausgaben],"&gt;="&amp;AM$5,tblAuftraege[Datum Ausgaben],"&lt;"&amp;EDATE(AM$5,1),tblAuftraege[Kategorie],"Hardware")</f>
        <v>0</v>
      </c>
      <c r="AN137" s="11" t="n">
        <f aca="false">SUMIFS(tblAuftraege[Ausgaben],tblAuftraege[Datum Ausgaben],"&gt;="&amp;AN$5,tblAuftraege[Datum Ausgaben],"&lt;"&amp;EDATE(AN$5,1),tblAuftraege[Kategorie],"Hardware")</f>
        <v>0</v>
      </c>
      <c r="AO137" s="11" t="n">
        <f aca="false">SUMIFS(tblAuftraege[Ausgaben],tblAuftraege[Datum Ausgaben],"&gt;="&amp;AO$5,tblAuftraege[Datum Ausgaben],"&lt;"&amp;EDATE(AO$5,1),tblAuftraege[Kategorie],"Hardware")</f>
        <v>0</v>
      </c>
      <c r="AP137" s="11" t="n">
        <f aca="false">SUMIFS(tblAuftraege[Ausgaben],tblAuftraege[Datum Ausgaben],"&gt;="&amp;AP$5,tblAuftraege[Datum Ausgaben],"&lt;"&amp;EDATE(AP$5,1),tblAuftraege[Kategorie],"Hardware")</f>
        <v>0</v>
      </c>
      <c r="AQ137" s="11" t="n">
        <f aca="false">SUMIFS(tblAuftraege[Ausgaben],tblAuftraege[Datum Ausgaben],"&gt;="&amp;AQ$5,tblAuftraege[Datum Ausgaben],"&lt;"&amp;EDATE(AQ$5,1),tblAuftraege[Kategorie],"Hardware")</f>
        <v>0</v>
      </c>
      <c r="AR137" s="11" t="n">
        <f aca="false">SUMIFS(tblAuftraege[Ausgaben],tblAuftraege[Datum Ausgaben],"&gt;="&amp;AR$5,tblAuftraege[Datum Ausgaben],"&lt;"&amp;EDATE(AR$5,1),tblAuftraege[Kategorie],"Hardware")</f>
        <v>0</v>
      </c>
      <c r="AS137" s="11" t="n">
        <f aca="false">SUMIFS(tblAuftraege[Ausgaben],tblAuftraege[Datum Ausgaben],"&gt;="&amp;AS$5,tblAuftraege[Datum Ausgaben],"&lt;"&amp;EDATE(AS$5,1),tblAuftraege[Kategorie],"Hardware")</f>
        <v>0</v>
      </c>
      <c r="AT137" s="11" t="n">
        <f aca="false">SUMIFS(tblAuftraege[Ausgaben],tblAuftraege[Datum Ausgaben],"&gt;="&amp;AT$5,tblAuftraege[Datum Ausgaben],"&lt;"&amp;EDATE(AT$5,1),tblAuftraege[Kategorie],"Hardware")</f>
        <v>0</v>
      </c>
      <c r="AU137" s="11" t="n">
        <f aca="false">SUMIFS(tblAuftraege[Ausgaben],tblAuftraege[Datum Ausgaben],"&gt;="&amp;AU$5,tblAuftraege[Datum Ausgaben],"&lt;"&amp;EDATE(AU$5,1),tblAuftraege[Kategorie],"Hardware")</f>
        <v>0</v>
      </c>
      <c r="AV137" s="11" t="n">
        <f aca="false">SUMIFS(tblAuftraege[Ausgaben],tblAuftraege[Datum Ausgaben],"&gt;="&amp;AV$5,tblAuftraege[Datum Ausgaben],"&lt;"&amp;EDATE(AV$5,1),tblAuftraege[Kategorie],"Hardware")</f>
        <v>0</v>
      </c>
      <c r="AW137" s="11" t="n">
        <f aca="false">SUMIFS(tblAuftraege[Ausgaben],tblAuftraege[Datum Ausgaben],"&gt;="&amp;AW$5,tblAuftraege[Datum Ausgaben],"&lt;"&amp;EDATE(AW$5,1),tblAuftraege[Kategorie],"Hardware")</f>
        <v>0</v>
      </c>
      <c r="AX137" s="11" t="n">
        <f aca="false">SUMIFS(tblAuftraege[Ausgaben],tblAuftraege[Datum Ausgaben],"&gt;="&amp;AX$5,tblAuftraege[Datum Ausgaben],"&lt;"&amp;EDATE(AX$5,1),tblAuftraege[Kategorie],"Hardware")</f>
        <v>0</v>
      </c>
      <c r="AY137" s="11" t="n">
        <f aca="false">SUMIFS(tblAuftraege[Ausgaben],tblAuftraege[Datum Ausgaben],"&gt;="&amp;AY$5,tblAuftraege[Datum Ausgaben],"&lt;"&amp;EDATE(AY$5,1),tblAuftraege[Kategorie],"Hardware")</f>
        <v>0</v>
      </c>
      <c r="AZ137" s="11" t="n">
        <f aca="false">SUMIFS(tblAuftraege[Ausgaben],tblAuftraege[Datum Ausgaben],"&gt;="&amp;AZ$5,tblAuftraege[Datum Ausgaben],"&lt;"&amp;EDATE(AZ$5,1),tblAuftraege[Kategorie],"Hardware")</f>
        <v>0</v>
      </c>
      <c r="BA137" s="11" t="n">
        <f aca="false">SUMIFS(tblAuftraege[Ausgaben],tblAuftraege[Datum Ausgaben],"&gt;="&amp;BA$5,tblAuftraege[Datum Ausgaben],"&lt;"&amp;EDATE(BA$5,1),tblAuftraege[Kategorie],"Hardware")</f>
        <v>0</v>
      </c>
      <c r="BB137" s="11" t="n">
        <f aca="false">SUMIFS(tblAuftraege[Ausgaben],tblAuftraege[Datum Ausgaben],"&gt;="&amp;BB$5,tblAuftraege[Datum Ausgaben],"&lt;"&amp;EDATE(BB$5,1),tblAuftraege[Kategorie],"Hardware")</f>
        <v>0</v>
      </c>
      <c r="BC137" s="11" t="n">
        <f aca="false">SUMIFS(tblAuftraege[Ausgaben],tblAuftraege[Datum Ausgaben],"&gt;="&amp;BC$5,tblAuftraege[Datum Ausgaben],"&lt;"&amp;EDATE(BC$5,1),tblAuftraege[Kategorie],"Hardware")</f>
        <v>0</v>
      </c>
      <c r="BD137" s="11" t="n">
        <f aca="false">SUMIFS(tblAuftraege[Ausgaben],tblAuftraege[Datum Ausgaben],"&gt;="&amp;BD$5,tblAuftraege[Datum Ausgaben],"&lt;"&amp;EDATE(BD$5,1),tblAuftraege[Kategorie],"Hardware")</f>
        <v>0</v>
      </c>
      <c r="BE137" s="11" t="n">
        <f aca="false">SUMIFS(tblAuftraege[Ausgaben],tblAuftraege[Datum Ausgaben],"&gt;="&amp;BE$5,tblAuftraege[Datum Ausgaben],"&lt;"&amp;EDATE(BE$5,1),tblAuftraege[Kategorie],"Hardware")</f>
        <v>0</v>
      </c>
      <c r="BF137" s="11" t="n">
        <f aca="false">SUMIFS(tblAuftraege[Ausgaben],tblAuftraege[Datum Ausgaben],"&gt;="&amp;BF$5,tblAuftraege[Datum Ausgaben],"&lt;"&amp;EDATE(BF$5,1),tblAuftraege[Kategorie],"Hardware")</f>
        <v>0</v>
      </c>
      <c r="BG137" s="11" t="n">
        <f aca="false">SUM(E137:J137)</f>
        <v>0</v>
      </c>
      <c r="BH137" s="11" t="n">
        <f aca="false">SUM(K137:V137)</f>
        <v>0</v>
      </c>
      <c r="BI137" s="11" t="n">
        <f aca="false">SUM(W137:AH137)</f>
        <v>0</v>
      </c>
      <c r="BJ137" s="11" t="n">
        <f aca="false">SUM(AI137:AT137)</f>
        <v>0</v>
      </c>
      <c r="BK137" s="11" t="n">
        <f aca="false">SUM(AU137:BF137)</f>
        <v>0</v>
      </c>
      <c r="BL137" s="11" t="n">
        <f aca="false">SUM(E137:BF137)</f>
        <v>0</v>
      </c>
    </row>
    <row r="138" customFormat="false" ht="15" hidden="false" customHeight="false" outlineLevel="0" collapsed="false">
      <c r="A138" s="13" t="s">
        <v>93</v>
      </c>
      <c r="B138" s="14"/>
      <c r="C138" s="15"/>
      <c r="D138" s="15"/>
      <c r="E138" s="11" t="n">
        <f aca="false">SUMIFS(tblAuftraege[Einnahmen],tblAuftraege[Datum Einnahmen],"&gt;="&amp;E$5,tblAuftraege[Datum Einnahmen],"&lt;"&amp;EDATE(E$5,1),tblAuftraege[Kategorie],"Hardware + Dienstleistung")</f>
        <v>0</v>
      </c>
      <c r="F138" s="11" t="n">
        <f aca="false">SUMIFS(tblAuftraege[Einnahmen],tblAuftraege[Datum Einnahmen],"&gt;="&amp;F$5,tblAuftraege[Datum Einnahmen],"&lt;"&amp;EDATE(F$5,1),tblAuftraege[Kategorie],"Hardware + Dienstleistung")</f>
        <v>0</v>
      </c>
      <c r="G138" s="11" t="n">
        <f aca="false">SUMIFS(tblAuftraege[Einnahmen],tblAuftraege[Datum Einnahmen],"&gt;="&amp;G$5,tblAuftraege[Datum Einnahmen],"&lt;"&amp;EDATE(G$5,1),tblAuftraege[Kategorie],"Hardware + Dienstleistung")</f>
        <v>0</v>
      </c>
      <c r="H138" s="11" t="n">
        <f aca="false">SUMIFS(tblAuftraege[Einnahmen],tblAuftraege[Datum Einnahmen],"&gt;="&amp;H$5,tblAuftraege[Datum Einnahmen],"&lt;"&amp;EDATE(H$5,1),tblAuftraege[Kategorie],"Hardware + Dienstleistung")</f>
        <v>0</v>
      </c>
      <c r="I138" s="11" t="n">
        <f aca="false">SUMIFS(tblAuftraege[Einnahmen],tblAuftraege[Datum Einnahmen],"&gt;="&amp;I$5,tblAuftraege[Datum Einnahmen],"&lt;"&amp;EDATE(I$5,1),tblAuftraege[Kategorie],"Hardware + Dienstleistung")</f>
        <v>0</v>
      </c>
      <c r="J138" s="11" t="n">
        <f aca="false">SUMIFS(tblAuftraege[Einnahmen],tblAuftraege[Datum Einnahmen],"&gt;="&amp;J$5,tblAuftraege[Datum Einnahmen],"&lt;"&amp;EDATE(J$5,1),tblAuftraege[Kategorie],"Hardware + Dienstleistung")</f>
        <v>0</v>
      </c>
      <c r="K138" s="11" t="n">
        <f aca="false">SUMIFS(tblAuftraege[Einnahmen],tblAuftraege[Datum Einnahmen],"&gt;="&amp;K$5,tblAuftraege[Datum Einnahmen],"&lt;"&amp;EDATE(K$5,1),tblAuftraege[Kategorie],"Hardware + Dienstleistung")</f>
        <v>0</v>
      </c>
      <c r="L138" s="11" t="n">
        <f aca="false">SUMIFS(tblAuftraege[Einnahmen],tblAuftraege[Datum Einnahmen],"&gt;="&amp;L$5,tblAuftraege[Datum Einnahmen],"&lt;"&amp;EDATE(L$5,1),tblAuftraege[Kategorie],"Hardware + Dienstleistung")</f>
        <v>0</v>
      </c>
      <c r="M138" s="11" t="n">
        <f aca="false">SUMIFS(tblAuftraege[Einnahmen],tblAuftraege[Datum Einnahmen],"&gt;="&amp;M$5,tblAuftraege[Datum Einnahmen],"&lt;"&amp;EDATE(M$5,1),tblAuftraege[Kategorie],"Hardware + Dienstleistung")</f>
        <v>0</v>
      </c>
      <c r="N138" s="11" t="n">
        <f aca="false">SUMIFS(tblAuftraege[Einnahmen],tblAuftraege[Datum Einnahmen],"&gt;="&amp;N$5,tblAuftraege[Datum Einnahmen],"&lt;"&amp;EDATE(N$5,1),tblAuftraege[Kategorie],"Hardware + Dienstleistung")</f>
        <v>0</v>
      </c>
      <c r="O138" s="11" t="n">
        <f aca="false">SUMIFS(tblAuftraege[Einnahmen],tblAuftraege[Datum Einnahmen],"&gt;="&amp;O$5,tblAuftraege[Datum Einnahmen],"&lt;"&amp;EDATE(O$5,1),tblAuftraege[Kategorie],"Hardware + Dienstleistung")</f>
        <v>0</v>
      </c>
      <c r="P138" s="11" t="n">
        <f aca="false">SUMIFS(tblAuftraege[Einnahmen],tblAuftraege[Datum Einnahmen],"&gt;="&amp;P$5,tblAuftraege[Datum Einnahmen],"&lt;"&amp;EDATE(P$5,1),tblAuftraege[Kategorie],"Hardware + Dienstleistung")</f>
        <v>0</v>
      </c>
      <c r="Q138" s="11" t="n">
        <f aca="false">SUMIFS(tblAuftraege[Einnahmen],tblAuftraege[Datum Einnahmen],"&gt;="&amp;Q$5,tblAuftraege[Datum Einnahmen],"&lt;"&amp;EDATE(Q$5,1),tblAuftraege[Kategorie],"Hardware + Dienstleistung")</f>
        <v>0</v>
      </c>
      <c r="R138" s="11" t="n">
        <f aca="false">SUMIFS(tblAuftraege[Einnahmen],tblAuftraege[Datum Einnahmen],"&gt;="&amp;R$5,tblAuftraege[Datum Einnahmen],"&lt;"&amp;EDATE(R$5,1),tblAuftraege[Kategorie],"Hardware + Dienstleistung")</f>
        <v>0</v>
      </c>
      <c r="S138" s="11" t="n">
        <f aca="false">SUMIFS(tblAuftraege[Einnahmen],tblAuftraege[Datum Einnahmen],"&gt;="&amp;S$5,tblAuftraege[Datum Einnahmen],"&lt;"&amp;EDATE(S$5,1),tblAuftraege[Kategorie],"Hardware + Dienstleistung")</f>
        <v>0</v>
      </c>
      <c r="T138" s="11" t="n">
        <f aca="false">SUMIFS(tblAuftraege[Einnahmen],tblAuftraege[Datum Einnahmen],"&gt;="&amp;T$5,tblAuftraege[Datum Einnahmen],"&lt;"&amp;EDATE(T$5,1),tblAuftraege[Kategorie],"Hardware + Dienstleistung")</f>
        <v>0</v>
      </c>
      <c r="U138" s="11" t="n">
        <f aca="false">SUMIFS(tblAuftraege[Einnahmen],tblAuftraege[Datum Einnahmen],"&gt;="&amp;U$5,tblAuftraege[Datum Einnahmen],"&lt;"&amp;EDATE(U$5,1),tblAuftraege[Kategorie],"Hardware + Dienstleistung")</f>
        <v>0</v>
      </c>
      <c r="V138" s="11" t="n">
        <f aca="false">SUMIFS(tblAuftraege[Einnahmen],tblAuftraege[Datum Einnahmen],"&gt;="&amp;V$5,tblAuftraege[Datum Einnahmen],"&lt;"&amp;EDATE(V$5,1),tblAuftraege[Kategorie],"Hardware + Dienstleistung")</f>
        <v>0</v>
      </c>
      <c r="W138" s="11" t="n">
        <f aca="false">SUMIFS(tblAuftraege[Einnahmen],tblAuftraege[Datum Einnahmen],"&gt;="&amp;W$5,tblAuftraege[Datum Einnahmen],"&lt;"&amp;EDATE(W$5,1),tblAuftraege[Kategorie],"Hardware + Dienstleistung")</f>
        <v>0</v>
      </c>
      <c r="X138" s="11" t="n">
        <f aca="false">SUMIFS(tblAuftraege[Einnahmen],tblAuftraege[Datum Einnahmen],"&gt;="&amp;X$5,tblAuftraege[Datum Einnahmen],"&lt;"&amp;EDATE(X$5,1),tblAuftraege[Kategorie],"Hardware + Dienstleistung")</f>
        <v>0</v>
      </c>
      <c r="Y138" s="11" t="n">
        <f aca="false">SUMIFS(tblAuftraege[Einnahmen],tblAuftraege[Datum Einnahmen],"&gt;="&amp;Y$5,tblAuftraege[Datum Einnahmen],"&lt;"&amp;EDATE(Y$5,1),tblAuftraege[Kategorie],"Hardware + Dienstleistung")</f>
        <v>0</v>
      </c>
      <c r="Z138" s="11" t="n">
        <f aca="false">SUMIFS(tblAuftraege[Einnahmen],tblAuftraege[Datum Einnahmen],"&gt;="&amp;Z$5,tblAuftraege[Datum Einnahmen],"&lt;"&amp;EDATE(Z$5,1),tblAuftraege[Kategorie],"Hardware + Dienstleistung")</f>
        <v>0</v>
      </c>
      <c r="AA138" s="11" t="n">
        <f aca="false">SUMIFS(tblAuftraege[Einnahmen],tblAuftraege[Datum Einnahmen],"&gt;="&amp;AA$5,tblAuftraege[Datum Einnahmen],"&lt;"&amp;EDATE(AA$5,1),tblAuftraege[Kategorie],"Hardware + Dienstleistung")</f>
        <v>0</v>
      </c>
      <c r="AB138" s="11" t="n">
        <f aca="false">SUMIFS(tblAuftraege[Einnahmen],tblAuftraege[Datum Einnahmen],"&gt;="&amp;AB$5,tblAuftraege[Datum Einnahmen],"&lt;"&amp;EDATE(AB$5,1),tblAuftraege[Kategorie],"Hardware + Dienstleistung")</f>
        <v>0</v>
      </c>
      <c r="AC138" s="11" t="n">
        <f aca="false">SUMIFS(tblAuftraege[Einnahmen],tblAuftraege[Datum Einnahmen],"&gt;="&amp;AC$5,tblAuftraege[Datum Einnahmen],"&lt;"&amp;EDATE(AC$5,1),tblAuftraege[Kategorie],"Hardware + Dienstleistung")</f>
        <v>0</v>
      </c>
      <c r="AD138" s="11" t="n">
        <f aca="false">SUMIFS(tblAuftraege[Einnahmen],tblAuftraege[Datum Einnahmen],"&gt;="&amp;AD$5,tblAuftraege[Datum Einnahmen],"&lt;"&amp;EDATE(AD$5,1),tblAuftraege[Kategorie],"Hardware + Dienstleistung")</f>
        <v>0</v>
      </c>
      <c r="AE138" s="11" t="n">
        <f aca="false">SUMIFS(tblAuftraege[Einnahmen],tblAuftraege[Datum Einnahmen],"&gt;="&amp;AE$5,tblAuftraege[Datum Einnahmen],"&lt;"&amp;EDATE(AE$5,1),tblAuftraege[Kategorie],"Hardware + Dienstleistung")</f>
        <v>0</v>
      </c>
      <c r="AF138" s="11" t="n">
        <f aca="false">SUMIFS(tblAuftraege[Einnahmen],tblAuftraege[Datum Einnahmen],"&gt;="&amp;AF$5,tblAuftraege[Datum Einnahmen],"&lt;"&amp;EDATE(AF$5,1),tblAuftraege[Kategorie],"Hardware + Dienstleistung")</f>
        <v>0</v>
      </c>
      <c r="AG138" s="11" t="n">
        <f aca="false">SUMIFS(tblAuftraege[Einnahmen],tblAuftraege[Datum Einnahmen],"&gt;="&amp;AG$5,tblAuftraege[Datum Einnahmen],"&lt;"&amp;EDATE(AG$5,1),tblAuftraege[Kategorie],"Hardware + Dienstleistung")</f>
        <v>0</v>
      </c>
      <c r="AH138" s="11" t="n">
        <f aca="false">SUMIFS(tblAuftraege[Einnahmen],tblAuftraege[Datum Einnahmen],"&gt;="&amp;AH$5,tblAuftraege[Datum Einnahmen],"&lt;"&amp;EDATE(AH$5,1),tblAuftraege[Kategorie],"Hardware + Dienstleistung")</f>
        <v>0</v>
      </c>
      <c r="AI138" s="11" t="n">
        <f aca="false">SUMIFS(tblAuftraege[Einnahmen],tblAuftraege[Datum Einnahmen],"&gt;="&amp;AI$5,tblAuftraege[Datum Einnahmen],"&lt;"&amp;EDATE(AI$5,1),tblAuftraege[Kategorie],"Hardware + Dienstleistung")</f>
        <v>0</v>
      </c>
      <c r="AJ138" s="11" t="n">
        <f aca="false">SUMIFS(tblAuftraege[Einnahmen],tblAuftraege[Datum Einnahmen],"&gt;="&amp;AJ$5,tblAuftraege[Datum Einnahmen],"&lt;"&amp;EDATE(AJ$5,1),tblAuftraege[Kategorie],"Hardware + Dienstleistung")</f>
        <v>0</v>
      </c>
      <c r="AK138" s="11" t="n">
        <f aca="false">SUMIFS(tblAuftraege[Einnahmen],tblAuftraege[Datum Einnahmen],"&gt;="&amp;AK$5,tblAuftraege[Datum Einnahmen],"&lt;"&amp;EDATE(AK$5,1),tblAuftraege[Kategorie],"Hardware + Dienstleistung")</f>
        <v>0</v>
      </c>
      <c r="AL138" s="11" t="n">
        <f aca="false">SUMIFS(tblAuftraege[Einnahmen],tblAuftraege[Datum Einnahmen],"&gt;="&amp;AL$5,tblAuftraege[Datum Einnahmen],"&lt;"&amp;EDATE(AL$5,1),tblAuftraege[Kategorie],"Hardware + Dienstleistung")</f>
        <v>0</v>
      </c>
      <c r="AM138" s="11" t="n">
        <f aca="false">SUMIFS(tblAuftraege[Einnahmen],tblAuftraege[Datum Einnahmen],"&gt;="&amp;AM$5,tblAuftraege[Datum Einnahmen],"&lt;"&amp;EDATE(AM$5,1),tblAuftraege[Kategorie],"Hardware + Dienstleistung")</f>
        <v>0</v>
      </c>
      <c r="AN138" s="11" t="n">
        <f aca="false">SUMIFS(tblAuftraege[Einnahmen],tblAuftraege[Datum Einnahmen],"&gt;="&amp;AN$5,tblAuftraege[Datum Einnahmen],"&lt;"&amp;EDATE(AN$5,1),tblAuftraege[Kategorie],"Hardware + Dienstleistung")</f>
        <v>0</v>
      </c>
      <c r="AO138" s="11" t="n">
        <f aca="false">SUMIFS(tblAuftraege[Einnahmen],tblAuftraege[Datum Einnahmen],"&gt;="&amp;AO$5,tblAuftraege[Datum Einnahmen],"&lt;"&amp;EDATE(AO$5,1),tblAuftraege[Kategorie],"Hardware + Dienstleistung")</f>
        <v>0</v>
      </c>
      <c r="AP138" s="11" t="n">
        <f aca="false">SUMIFS(tblAuftraege[Einnahmen],tblAuftraege[Datum Einnahmen],"&gt;="&amp;AP$5,tblAuftraege[Datum Einnahmen],"&lt;"&amp;EDATE(AP$5,1),tblAuftraege[Kategorie],"Hardware + Dienstleistung")</f>
        <v>0</v>
      </c>
      <c r="AQ138" s="11" t="n">
        <f aca="false">SUMIFS(tblAuftraege[Einnahmen],tblAuftraege[Datum Einnahmen],"&gt;="&amp;AQ$5,tblAuftraege[Datum Einnahmen],"&lt;"&amp;EDATE(AQ$5,1),tblAuftraege[Kategorie],"Hardware + Dienstleistung")</f>
        <v>0</v>
      </c>
      <c r="AR138" s="11" t="n">
        <f aca="false">SUMIFS(tblAuftraege[Einnahmen],tblAuftraege[Datum Einnahmen],"&gt;="&amp;AR$5,tblAuftraege[Datum Einnahmen],"&lt;"&amp;EDATE(AR$5,1),tblAuftraege[Kategorie],"Hardware + Dienstleistung")</f>
        <v>0</v>
      </c>
      <c r="AS138" s="11" t="n">
        <f aca="false">SUMIFS(tblAuftraege[Einnahmen],tblAuftraege[Datum Einnahmen],"&gt;="&amp;AS$5,tblAuftraege[Datum Einnahmen],"&lt;"&amp;EDATE(AS$5,1),tblAuftraege[Kategorie],"Hardware + Dienstleistung")</f>
        <v>0</v>
      </c>
      <c r="AT138" s="11" t="n">
        <f aca="false">SUMIFS(tblAuftraege[Einnahmen],tblAuftraege[Datum Einnahmen],"&gt;="&amp;AT$5,tblAuftraege[Datum Einnahmen],"&lt;"&amp;EDATE(AT$5,1),tblAuftraege[Kategorie],"Hardware + Dienstleistung")</f>
        <v>0</v>
      </c>
      <c r="AU138" s="11" t="n">
        <f aca="false">SUMIFS(tblAuftraege[Einnahmen],tblAuftraege[Datum Einnahmen],"&gt;="&amp;AU$5,tblAuftraege[Datum Einnahmen],"&lt;"&amp;EDATE(AU$5,1),tblAuftraege[Kategorie],"Hardware + Dienstleistung")</f>
        <v>0</v>
      </c>
      <c r="AV138" s="11" t="n">
        <f aca="false">SUMIFS(tblAuftraege[Einnahmen],tblAuftraege[Datum Einnahmen],"&gt;="&amp;AV$5,tblAuftraege[Datum Einnahmen],"&lt;"&amp;EDATE(AV$5,1),tblAuftraege[Kategorie],"Hardware + Dienstleistung")</f>
        <v>0</v>
      </c>
      <c r="AW138" s="11" t="n">
        <f aca="false">SUMIFS(tblAuftraege[Einnahmen],tblAuftraege[Datum Einnahmen],"&gt;="&amp;AW$5,tblAuftraege[Datum Einnahmen],"&lt;"&amp;EDATE(AW$5,1),tblAuftraege[Kategorie],"Hardware + Dienstleistung")</f>
        <v>0</v>
      </c>
      <c r="AX138" s="11" t="n">
        <f aca="false">SUMIFS(tblAuftraege[Einnahmen],tblAuftraege[Datum Einnahmen],"&gt;="&amp;AX$5,tblAuftraege[Datum Einnahmen],"&lt;"&amp;EDATE(AX$5,1),tblAuftraege[Kategorie],"Hardware + Dienstleistung")</f>
        <v>0</v>
      </c>
      <c r="AY138" s="11" t="n">
        <f aca="false">SUMIFS(tblAuftraege[Einnahmen],tblAuftraege[Datum Einnahmen],"&gt;="&amp;AY$5,tblAuftraege[Datum Einnahmen],"&lt;"&amp;EDATE(AY$5,1),tblAuftraege[Kategorie],"Hardware + Dienstleistung")</f>
        <v>0</v>
      </c>
      <c r="AZ138" s="11" t="n">
        <f aca="false">SUMIFS(tblAuftraege[Einnahmen],tblAuftraege[Datum Einnahmen],"&gt;="&amp;AZ$5,tblAuftraege[Datum Einnahmen],"&lt;"&amp;EDATE(AZ$5,1),tblAuftraege[Kategorie],"Hardware + Dienstleistung")</f>
        <v>0</v>
      </c>
      <c r="BA138" s="11" t="n">
        <f aca="false">SUMIFS(tblAuftraege[Einnahmen],tblAuftraege[Datum Einnahmen],"&gt;="&amp;BA$5,tblAuftraege[Datum Einnahmen],"&lt;"&amp;EDATE(BA$5,1),tblAuftraege[Kategorie],"Hardware + Dienstleistung")</f>
        <v>0</v>
      </c>
      <c r="BB138" s="11" t="n">
        <f aca="false">SUMIFS(tblAuftraege[Einnahmen],tblAuftraege[Datum Einnahmen],"&gt;="&amp;BB$5,tblAuftraege[Datum Einnahmen],"&lt;"&amp;EDATE(BB$5,1),tblAuftraege[Kategorie],"Hardware + Dienstleistung")</f>
        <v>0</v>
      </c>
      <c r="BC138" s="11" t="n">
        <f aca="false">SUMIFS(tblAuftraege[Einnahmen],tblAuftraege[Datum Einnahmen],"&gt;="&amp;BC$5,tblAuftraege[Datum Einnahmen],"&lt;"&amp;EDATE(BC$5,1),tblAuftraege[Kategorie],"Hardware + Dienstleistung")</f>
        <v>0</v>
      </c>
      <c r="BD138" s="11" t="n">
        <f aca="false">SUMIFS(tblAuftraege[Einnahmen],tblAuftraege[Datum Einnahmen],"&gt;="&amp;BD$5,tblAuftraege[Datum Einnahmen],"&lt;"&amp;EDATE(BD$5,1),tblAuftraege[Kategorie],"Hardware + Dienstleistung")</f>
        <v>0</v>
      </c>
      <c r="BE138" s="11" t="n">
        <f aca="false">SUMIFS(tblAuftraege[Einnahmen],tblAuftraege[Datum Einnahmen],"&gt;="&amp;BE$5,tblAuftraege[Datum Einnahmen],"&lt;"&amp;EDATE(BE$5,1),tblAuftraege[Kategorie],"Hardware + Dienstleistung")</f>
        <v>0</v>
      </c>
      <c r="BF138" s="11" t="n">
        <f aca="false">SUMIFS(tblAuftraege[Einnahmen],tblAuftraege[Datum Einnahmen],"&gt;="&amp;BF$5,tblAuftraege[Datum Einnahmen],"&lt;"&amp;EDATE(BF$5,1),tblAuftraege[Kategorie],"Hardware + Dienstleistung")</f>
        <v>0</v>
      </c>
      <c r="BG138" s="11" t="n">
        <f aca="false">SUM(E138:J138)</f>
        <v>0</v>
      </c>
      <c r="BH138" s="11" t="n">
        <f aca="false">SUM(K138:V138)</f>
        <v>0</v>
      </c>
      <c r="BI138" s="11" t="n">
        <f aca="false">SUM(W138:AH138)</f>
        <v>0</v>
      </c>
      <c r="BJ138" s="11" t="n">
        <f aca="false">SUM(AI138:AT138)</f>
        <v>0</v>
      </c>
      <c r="BK138" s="11" t="n">
        <f aca="false">SUM(AU138:BF138)</f>
        <v>0</v>
      </c>
      <c r="BL138" s="11" t="n">
        <f aca="false">SUM(E138:BF138)</f>
        <v>0</v>
      </c>
    </row>
    <row r="139" customFormat="false" ht="15" hidden="false" customHeight="false" outlineLevel="0" collapsed="false">
      <c r="A139" s="13" t="s">
        <v>94</v>
      </c>
      <c r="B139" s="14"/>
      <c r="C139" s="15"/>
      <c r="D139" s="15"/>
      <c r="E139" s="11" t="n">
        <f aca="false">SUMIFS(tblAuftraege[Ausgaben],tblAuftraege[Datum Ausgaben],"&gt;="&amp;E$5,tblAuftraege[Datum Ausgaben],"&lt;"&amp;EDATE(E$5,1),tblAuftraege[Kategorie],"Hardware + Dienstleistung")</f>
        <v>0</v>
      </c>
      <c r="F139" s="11" t="n">
        <f aca="false">SUMIFS(tblAuftraege[Ausgaben],tblAuftraege[Datum Ausgaben],"&gt;="&amp;F$5,tblAuftraege[Datum Ausgaben],"&lt;"&amp;EDATE(F$5,1),tblAuftraege[Kategorie],"Hardware + Dienstleistung")</f>
        <v>0</v>
      </c>
      <c r="G139" s="11" t="n">
        <f aca="false">SUMIFS(tblAuftraege[Ausgaben],tblAuftraege[Datum Ausgaben],"&gt;="&amp;G$5,tblAuftraege[Datum Ausgaben],"&lt;"&amp;EDATE(G$5,1),tblAuftraege[Kategorie],"Hardware + Dienstleistung")</f>
        <v>0</v>
      </c>
      <c r="H139" s="11" t="n">
        <f aca="false">SUMIFS(tblAuftraege[Ausgaben],tblAuftraege[Datum Ausgaben],"&gt;="&amp;H$5,tblAuftraege[Datum Ausgaben],"&lt;"&amp;EDATE(H$5,1),tblAuftraege[Kategorie],"Hardware + Dienstleistung")</f>
        <v>0</v>
      </c>
      <c r="I139" s="11" t="n">
        <f aca="false">SUMIFS(tblAuftraege[Ausgaben],tblAuftraege[Datum Ausgaben],"&gt;="&amp;I$5,tblAuftraege[Datum Ausgaben],"&lt;"&amp;EDATE(I$5,1),tblAuftraege[Kategorie],"Hardware + Dienstleistung")</f>
        <v>0</v>
      </c>
      <c r="J139" s="11" t="n">
        <f aca="false">SUMIFS(tblAuftraege[Ausgaben],tblAuftraege[Datum Ausgaben],"&gt;="&amp;J$5,tblAuftraege[Datum Ausgaben],"&lt;"&amp;EDATE(J$5,1),tblAuftraege[Kategorie],"Hardware + Dienstleistung")</f>
        <v>0</v>
      </c>
      <c r="K139" s="11" t="n">
        <f aca="false">SUMIFS(tblAuftraege[Ausgaben],tblAuftraege[Datum Ausgaben],"&gt;="&amp;K$5,tblAuftraege[Datum Ausgaben],"&lt;"&amp;EDATE(K$5,1),tblAuftraege[Kategorie],"Hardware + Dienstleistung")</f>
        <v>0</v>
      </c>
      <c r="L139" s="11" t="n">
        <f aca="false">SUMIFS(tblAuftraege[Ausgaben],tblAuftraege[Datum Ausgaben],"&gt;="&amp;L$5,tblAuftraege[Datum Ausgaben],"&lt;"&amp;EDATE(L$5,1),tblAuftraege[Kategorie],"Hardware + Dienstleistung")</f>
        <v>0</v>
      </c>
      <c r="M139" s="11" t="n">
        <f aca="false">SUMIFS(tblAuftraege[Ausgaben],tblAuftraege[Datum Ausgaben],"&gt;="&amp;M$5,tblAuftraege[Datum Ausgaben],"&lt;"&amp;EDATE(M$5,1),tblAuftraege[Kategorie],"Hardware + Dienstleistung")</f>
        <v>0</v>
      </c>
      <c r="N139" s="11" t="n">
        <f aca="false">SUMIFS(tblAuftraege[Ausgaben],tblAuftraege[Datum Ausgaben],"&gt;="&amp;N$5,tblAuftraege[Datum Ausgaben],"&lt;"&amp;EDATE(N$5,1),tblAuftraege[Kategorie],"Hardware + Dienstleistung")</f>
        <v>0</v>
      </c>
      <c r="O139" s="11" t="n">
        <f aca="false">SUMIFS(tblAuftraege[Ausgaben],tblAuftraege[Datum Ausgaben],"&gt;="&amp;O$5,tblAuftraege[Datum Ausgaben],"&lt;"&amp;EDATE(O$5,1),tblAuftraege[Kategorie],"Hardware + Dienstleistung")</f>
        <v>0</v>
      </c>
      <c r="P139" s="11" t="n">
        <f aca="false">SUMIFS(tblAuftraege[Ausgaben],tblAuftraege[Datum Ausgaben],"&gt;="&amp;P$5,tblAuftraege[Datum Ausgaben],"&lt;"&amp;EDATE(P$5,1),tblAuftraege[Kategorie],"Hardware + Dienstleistung")</f>
        <v>0</v>
      </c>
      <c r="Q139" s="11" t="n">
        <f aca="false">SUMIFS(tblAuftraege[Ausgaben],tblAuftraege[Datum Ausgaben],"&gt;="&amp;Q$5,tblAuftraege[Datum Ausgaben],"&lt;"&amp;EDATE(Q$5,1),tblAuftraege[Kategorie],"Hardware + Dienstleistung")</f>
        <v>0</v>
      </c>
      <c r="R139" s="11" t="n">
        <f aca="false">SUMIFS(tblAuftraege[Ausgaben],tblAuftraege[Datum Ausgaben],"&gt;="&amp;R$5,tblAuftraege[Datum Ausgaben],"&lt;"&amp;EDATE(R$5,1),tblAuftraege[Kategorie],"Hardware + Dienstleistung")</f>
        <v>0</v>
      </c>
      <c r="S139" s="11" t="n">
        <f aca="false">SUMIFS(tblAuftraege[Ausgaben],tblAuftraege[Datum Ausgaben],"&gt;="&amp;S$5,tblAuftraege[Datum Ausgaben],"&lt;"&amp;EDATE(S$5,1),tblAuftraege[Kategorie],"Hardware + Dienstleistung")</f>
        <v>0</v>
      </c>
      <c r="T139" s="11" t="n">
        <f aca="false">SUMIFS(tblAuftraege[Ausgaben],tblAuftraege[Datum Ausgaben],"&gt;="&amp;T$5,tblAuftraege[Datum Ausgaben],"&lt;"&amp;EDATE(T$5,1),tblAuftraege[Kategorie],"Hardware + Dienstleistung")</f>
        <v>0</v>
      </c>
      <c r="U139" s="11" t="n">
        <f aca="false">SUMIFS(tblAuftraege[Ausgaben],tblAuftraege[Datum Ausgaben],"&gt;="&amp;U$5,tblAuftraege[Datum Ausgaben],"&lt;"&amp;EDATE(U$5,1),tblAuftraege[Kategorie],"Hardware + Dienstleistung")</f>
        <v>0</v>
      </c>
      <c r="V139" s="11" t="n">
        <f aca="false">SUMIFS(tblAuftraege[Ausgaben],tblAuftraege[Datum Ausgaben],"&gt;="&amp;V$5,tblAuftraege[Datum Ausgaben],"&lt;"&amp;EDATE(V$5,1),tblAuftraege[Kategorie],"Hardware + Dienstleistung")</f>
        <v>0</v>
      </c>
      <c r="W139" s="11" t="n">
        <f aca="false">SUMIFS(tblAuftraege[Ausgaben],tblAuftraege[Datum Ausgaben],"&gt;="&amp;W$5,tblAuftraege[Datum Ausgaben],"&lt;"&amp;EDATE(W$5,1),tblAuftraege[Kategorie],"Hardware + Dienstleistung")</f>
        <v>0</v>
      </c>
      <c r="X139" s="11" t="n">
        <f aca="false">SUMIFS(tblAuftraege[Ausgaben],tblAuftraege[Datum Ausgaben],"&gt;="&amp;X$5,tblAuftraege[Datum Ausgaben],"&lt;"&amp;EDATE(X$5,1),tblAuftraege[Kategorie],"Hardware + Dienstleistung")</f>
        <v>0</v>
      </c>
      <c r="Y139" s="11" t="n">
        <f aca="false">SUMIFS(tblAuftraege[Ausgaben],tblAuftraege[Datum Ausgaben],"&gt;="&amp;Y$5,tblAuftraege[Datum Ausgaben],"&lt;"&amp;EDATE(Y$5,1),tblAuftraege[Kategorie],"Hardware + Dienstleistung")</f>
        <v>0</v>
      </c>
      <c r="Z139" s="11" t="n">
        <f aca="false">SUMIFS(tblAuftraege[Ausgaben],tblAuftraege[Datum Ausgaben],"&gt;="&amp;Z$5,tblAuftraege[Datum Ausgaben],"&lt;"&amp;EDATE(Z$5,1),tblAuftraege[Kategorie],"Hardware + Dienstleistung")</f>
        <v>0</v>
      </c>
      <c r="AA139" s="11" t="n">
        <f aca="false">SUMIFS(tblAuftraege[Ausgaben],tblAuftraege[Datum Ausgaben],"&gt;="&amp;AA$5,tblAuftraege[Datum Ausgaben],"&lt;"&amp;EDATE(AA$5,1),tblAuftraege[Kategorie],"Hardware + Dienstleistung")</f>
        <v>0</v>
      </c>
      <c r="AB139" s="11" t="n">
        <f aca="false">SUMIFS(tblAuftraege[Ausgaben],tblAuftraege[Datum Ausgaben],"&gt;="&amp;AB$5,tblAuftraege[Datum Ausgaben],"&lt;"&amp;EDATE(AB$5,1),tblAuftraege[Kategorie],"Hardware + Dienstleistung")</f>
        <v>0</v>
      </c>
      <c r="AC139" s="11" t="n">
        <f aca="false">SUMIFS(tblAuftraege[Ausgaben],tblAuftraege[Datum Ausgaben],"&gt;="&amp;AC$5,tblAuftraege[Datum Ausgaben],"&lt;"&amp;EDATE(AC$5,1),tblAuftraege[Kategorie],"Hardware + Dienstleistung")</f>
        <v>0</v>
      </c>
      <c r="AD139" s="11" t="n">
        <f aca="false">SUMIFS(tblAuftraege[Ausgaben],tblAuftraege[Datum Ausgaben],"&gt;="&amp;AD$5,tblAuftraege[Datum Ausgaben],"&lt;"&amp;EDATE(AD$5,1),tblAuftraege[Kategorie],"Hardware + Dienstleistung")</f>
        <v>0</v>
      </c>
      <c r="AE139" s="11" t="n">
        <f aca="false">SUMIFS(tblAuftraege[Ausgaben],tblAuftraege[Datum Ausgaben],"&gt;="&amp;AE$5,tblAuftraege[Datum Ausgaben],"&lt;"&amp;EDATE(AE$5,1),tblAuftraege[Kategorie],"Hardware + Dienstleistung")</f>
        <v>0</v>
      </c>
      <c r="AF139" s="11" t="n">
        <f aca="false">SUMIFS(tblAuftraege[Ausgaben],tblAuftraege[Datum Ausgaben],"&gt;="&amp;AF$5,tblAuftraege[Datum Ausgaben],"&lt;"&amp;EDATE(AF$5,1),tblAuftraege[Kategorie],"Hardware + Dienstleistung")</f>
        <v>0</v>
      </c>
      <c r="AG139" s="11" t="n">
        <f aca="false">SUMIFS(tblAuftraege[Ausgaben],tblAuftraege[Datum Ausgaben],"&gt;="&amp;AG$5,tblAuftraege[Datum Ausgaben],"&lt;"&amp;EDATE(AG$5,1),tblAuftraege[Kategorie],"Hardware + Dienstleistung")</f>
        <v>0</v>
      </c>
      <c r="AH139" s="11" t="n">
        <f aca="false">SUMIFS(tblAuftraege[Ausgaben],tblAuftraege[Datum Ausgaben],"&gt;="&amp;AH$5,tblAuftraege[Datum Ausgaben],"&lt;"&amp;EDATE(AH$5,1),tblAuftraege[Kategorie],"Hardware + Dienstleistung")</f>
        <v>0</v>
      </c>
      <c r="AI139" s="11" t="n">
        <f aca="false">SUMIFS(tblAuftraege[Ausgaben],tblAuftraege[Datum Ausgaben],"&gt;="&amp;AI$5,tblAuftraege[Datum Ausgaben],"&lt;"&amp;EDATE(AI$5,1),tblAuftraege[Kategorie],"Hardware + Dienstleistung")</f>
        <v>0</v>
      </c>
      <c r="AJ139" s="11" t="n">
        <f aca="false">SUMIFS(tblAuftraege[Ausgaben],tblAuftraege[Datum Ausgaben],"&gt;="&amp;AJ$5,tblAuftraege[Datum Ausgaben],"&lt;"&amp;EDATE(AJ$5,1),tblAuftraege[Kategorie],"Hardware + Dienstleistung")</f>
        <v>0</v>
      </c>
      <c r="AK139" s="11" t="n">
        <f aca="false">SUMIFS(tblAuftraege[Ausgaben],tblAuftraege[Datum Ausgaben],"&gt;="&amp;AK$5,tblAuftraege[Datum Ausgaben],"&lt;"&amp;EDATE(AK$5,1),tblAuftraege[Kategorie],"Hardware + Dienstleistung")</f>
        <v>0</v>
      </c>
      <c r="AL139" s="11" t="n">
        <f aca="false">SUMIFS(tblAuftraege[Ausgaben],tblAuftraege[Datum Ausgaben],"&gt;="&amp;AL$5,tblAuftraege[Datum Ausgaben],"&lt;"&amp;EDATE(AL$5,1),tblAuftraege[Kategorie],"Hardware + Dienstleistung")</f>
        <v>0</v>
      </c>
      <c r="AM139" s="11" t="n">
        <f aca="false">SUMIFS(tblAuftraege[Ausgaben],tblAuftraege[Datum Ausgaben],"&gt;="&amp;AM$5,tblAuftraege[Datum Ausgaben],"&lt;"&amp;EDATE(AM$5,1),tblAuftraege[Kategorie],"Hardware + Dienstleistung")</f>
        <v>0</v>
      </c>
      <c r="AN139" s="11" t="n">
        <f aca="false">SUMIFS(tblAuftraege[Ausgaben],tblAuftraege[Datum Ausgaben],"&gt;="&amp;AN$5,tblAuftraege[Datum Ausgaben],"&lt;"&amp;EDATE(AN$5,1),tblAuftraege[Kategorie],"Hardware + Dienstleistung")</f>
        <v>0</v>
      </c>
      <c r="AO139" s="11" t="n">
        <f aca="false">SUMIFS(tblAuftraege[Ausgaben],tblAuftraege[Datum Ausgaben],"&gt;="&amp;AO$5,tblAuftraege[Datum Ausgaben],"&lt;"&amp;EDATE(AO$5,1),tblAuftraege[Kategorie],"Hardware + Dienstleistung")</f>
        <v>0</v>
      </c>
      <c r="AP139" s="11" t="n">
        <f aca="false">SUMIFS(tblAuftraege[Ausgaben],tblAuftraege[Datum Ausgaben],"&gt;="&amp;AP$5,tblAuftraege[Datum Ausgaben],"&lt;"&amp;EDATE(AP$5,1),tblAuftraege[Kategorie],"Hardware + Dienstleistung")</f>
        <v>0</v>
      </c>
      <c r="AQ139" s="11" t="n">
        <f aca="false">SUMIFS(tblAuftraege[Ausgaben],tblAuftraege[Datum Ausgaben],"&gt;="&amp;AQ$5,tblAuftraege[Datum Ausgaben],"&lt;"&amp;EDATE(AQ$5,1),tblAuftraege[Kategorie],"Hardware + Dienstleistung")</f>
        <v>0</v>
      </c>
      <c r="AR139" s="11" t="n">
        <f aca="false">SUMIFS(tblAuftraege[Ausgaben],tblAuftraege[Datum Ausgaben],"&gt;="&amp;AR$5,tblAuftraege[Datum Ausgaben],"&lt;"&amp;EDATE(AR$5,1),tblAuftraege[Kategorie],"Hardware + Dienstleistung")</f>
        <v>0</v>
      </c>
      <c r="AS139" s="11" t="n">
        <f aca="false">SUMIFS(tblAuftraege[Ausgaben],tblAuftraege[Datum Ausgaben],"&gt;="&amp;AS$5,tblAuftraege[Datum Ausgaben],"&lt;"&amp;EDATE(AS$5,1),tblAuftraege[Kategorie],"Hardware + Dienstleistung")</f>
        <v>0</v>
      </c>
      <c r="AT139" s="11" t="n">
        <f aca="false">SUMIFS(tblAuftraege[Ausgaben],tblAuftraege[Datum Ausgaben],"&gt;="&amp;AT$5,tblAuftraege[Datum Ausgaben],"&lt;"&amp;EDATE(AT$5,1),tblAuftraege[Kategorie],"Hardware + Dienstleistung")</f>
        <v>0</v>
      </c>
      <c r="AU139" s="11" t="n">
        <f aca="false">SUMIFS(tblAuftraege[Ausgaben],tblAuftraege[Datum Ausgaben],"&gt;="&amp;AU$5,tblAuftraege[Datum Ausgaben],"&lt;"&amp;EDATE(AU$5,1),tblAuftraege[Kategorie],"Hardware + Dienstleistung")</f>
        <v>0</v>
      </c>
      <c r="AV139" s="11" t="n">
        <f aca="false">SUMIFS(tblAuftraege[Ausgaben],tblAuftraege[Datum Ausgaben],"&gt;="&amp;AV$5,tblAuftraege[Datum Ausgaben],"&lt;"&amp;EDATE(AV$5,1),tblAuftraege[Kategorie],"Hardware + Dienstleistung")</f>
        <v>0</v>
      </c>
      <c r="AW139" s="11" t="n">
        <f aca="false">SUMIFS(tblAuftraege[Ausgaben],tblAuftraege[Datum Ausgaben],"&gt;="&amp;AW$5,tblAuftraege[Datum Ausgaben],"&lt;"&amp;EDATE(AW$5,1),tblAuftraege[Kategorie],"Hardware + Dienstleistung")</f>
        <v>0</v>
      </c>
      <c r="AX139" s="11" t="n">
        <f aca="false">SUMIFS(tblAuftraege[Ausgaben],tblAuftraege[Datum Ausgaben],"&gt;="&amp;AX$5,tblAuftraege[Datum Ausgaben],"&lt;"&amp;EDATE(AX$5,1),tblAuftraege[Kategorie],"Hardware + Dienstleistung")</f>
        <v>0</v>
      </c>
      <c r="AY139" s="11" t="n">
        <f aca="false">SUMIFS(tblAuftraege[Ausgaben],tblAuftraege[Datum Ausgaben],"&gt;="&amp;AY$5,tblAuftraege[Datum Ausgaben],"&lt;"&amp;EDATE(AY$5,1),tblAuftraege[Kategorie],"Hardware + Dienstleistung")</f>
        <v>0</v>
      </c>
      <c r="AZ139" s="11" t="n">
        <f aca="false">SUMIFS(tblAuftraege[Ausgaben],tblAuftraege[Datum Ausgaben],"&gt;="&amp;AZ$5,tblAuftraege[Datum Ausgaben],"&lt;"&amp;EDATE(AZ$5,1),tblAuftraege[Kategorie],"Hardware + Dienstleistung")</f>
        <v>0</v>
      </c>
      <c r="BA139" s="11" t="n">
        <f aca="false">SUMIFS(tblAuftraege[Ausgaben],tblAuftraege[Datum Ausgaben],"&gt;="&amp;BA$5,tblAuftraege[Datum Ausgaben],"&lt;"&amp;EDATE(BA$5,1),tblAuftraege[Kategorie],"Hardware + Dienstleistung")</f>
        <v>0</v>
      </c>
      <c r="BB139" s="11" t="n">
        <f aca="false">SUMIFS(tblAuftraege[Ausgaben],tblAuftraege[Datum Ausgaben],"&gt;="&amp;BB$5,tblAuftraege[Datum Ausgaben],"&lt;"&amp;EDATE(BB$5,1),tblAuftraege[Kategorie],"Hardware + Dienstleistung")</f>
        <v>0</v>
      </c>
      <c r="BC139" s="11" t="n">
        <f aca="false">SUMIFS(tblAuftraege[Ausgaben],tblAuftraege[Datum Ausgaben],"&gt;="&amp;BC$5,tblAuftraege[Datum Ausgaben],"&lt;"&amp;EDATE(BC$5,1),tblAuftraege[Kategorie],"Hardware + Dienstleistung")</f>
        <v>0</v>
      </c>
      <c r="BD139" s="11" t="n">
        <f aca="false">SUMIFS(tblAuftraege[Ausgaben],tblAuftraege[Datum Ausgaben],"&gt;="&amp;BD$5,tblAuftraege[Datum Ausgaben],"&lt;"&amp;EDATE(BD$5,1),tblAuftraege[Kategorie],"Hardware + Dienstleistung")</f>
        <v>0</v>
      </c>
      <c r="BE139" s="11" t="n">
        <f aca="false">SUMIFS(tblAuftraege[Ausgaben],tblAuftraege[Datum Ausgaben],"&gt;="&amp;BE$5,tblAuftraege[Datum Ausgaben],"&lt;"&amp;EDATE(BE$5,1),tblAuftraege[Kategorie],"Hardware + Dienstleistung")</f>
        <v>0</v>
      </c>
      <c r="BF139" s="11" t="n">
        <f aca="false">SUMIFS(tblAuftraege[Ausgaben],tblAuftraege[Datum Ausgaben],"&gt;="&amp;BF$5,tblAuftraege[Datum Ausgaben],"&lt;"&amp;EDATE(BF$5,1),tblAuftraege[Kategorie],"Hardware + Dienstleistung")</f>
        <v>0</v>
      </c>
      <c r="BG139" s="11" t="n">
        <f aca="false">SUM(E139:J139)</f>
        <v>0</v>
      </c>
      <c r="BH139" s="11" t="n">
        <f aca="false">SUM(K139:V139)</f>
        <v>0</v>
      </c>
      <c r="BI139" s="11" t="n">
        <f aca="false">SUM(W139:AH139)</f>
        <v>0</v>
      </c>
      <c r="BJ139" s="11" t="n">
        <f aca="false">SUM(AI139:AT139)</f>
        <v>0</v>
      </c>
      <c r="BK139" s="11" t="n">
        <f aca="false">SUM(AU139:BF139)</f>
        <v>0</v>
      </c>
      <c r="BL139" s="11" t="n">
        <f aca="false">SUM(E139:BF139)</f>
        <v>0</v>
      </c>
    </row>
    <row r="140" customFormat="false" ht="15" hidden="false" customHeight="false" outlineLevel="0" collapsed="false">
      <c r="A140" s="13" t="s">
        <v>95</v>
      </c>
      <c r="B140" s="14"/>
      <c r="C140" s="15"/>
      <c r="D140" s="15"/>
      <c r="E140" s="11" t="n">
        <f aca="false">SUMIFS(tblAuftraege[Einnahmen],tblAuftraege[Datum Einnahmen],"&gt;="&amp;E$5,tblAuftraege[Datum Einnahmen],"&lt;"&amp;EDATE(E$5,1),tblAuftraege[Kategorie],"Lizenzen")</f>
        <v>0</v>
      </c>
      <c r="F140" s="11" t="n">
        <f aca="false">SUMIFS(tblAuftraege[Einnahmen],tblAuftraege[Datum Einnahmen],"&gt;="&amp;F$5,tblAuftraege[Datum Einnahmen],"&lt;"&amp;EDATE(F$5,1),tblAuftraege[Kategorie],"Lizenzen")</f>
        <v>0</v>
      </c>
      <c r="G140" s="11" t="n">
        <f aca="false">SUMIFS(tblAuftraege[Einnahmen],tblAuftraege[Datum Einnahmen],"&gt;="&amp;G$5,tblAuftraege[Datum Einnahmen],"&lt;"&amp;EDATE(G$5,1),tblAuftraege[Kategorie],"Lizenzen")</f>
        <v>0</v>
      </c>
      <c r="H140" s="11" t="n">
        <f aca="false">SUMIFS(tblAuftraege[Einnahmen],tblAuftraege[Datum Einnahmen],"&gt;="&amp;H$5,tblAuftraege[Datum Einnahmen],"&lt;"&amp;EDATE(H$5,1),tblAuftraege[Kategorie],"Lizenzen")</f>
        <v>0</v>
      </c>
      <c r="I140" s="11" t="n">
        <f aca="false">SUMIFS(tblAuftraege[Einnahmen],tblAuftraege[Datum Einnahmen],"&gt;="&amp;I$5,tblAuftraege[Datum Einnahmen],"&lt;"&amp;EDATE(I$5,1),tblAuftraege[Kategorie],"Lizenzen")</f>
        <v>0</v>
      </c>
      <c r="J140" s="11" t="n">
        <f aca="false">SUMIFS(tblAuftraege[Einnahmen],tblAuftraege[Datum Einnahmen],"&gt;="&amp;J$5,tblAuftraege[Datum Einnahmen],"&lt;"&amp;EDATE(J$5,1),tblAuftraege[Kategorie],"Lizenzen")</f>
        <v>0</v>
      </c>
      <c r="K140" s="11" t="n">
        <f aca="false">SUMIFS(tblAuftraege[Einnahmen],tblAuftraege[Datum Einnahmen],"&gt;="&amp;K$5,tblAuftraege[Datum Einnahmen],"&lt;"&amp;EDATE(K$5,1),tblAuftraege[Kategorie],"Lizenzen")</f>
        <v>0</v>
      </c>
      <c r="L140" s="11" t="n">
        <f aca="false">SUMIFS(tblAuftraege[Einnahmen],tblAuftraege[Datum Einnahmen],"&gt;="&amp;L$5,tblAuftraege[Datum Einnahmen],"&lt;"&amp;EDATE(L$5,1),tblAuftraege[Kategorie],"Lizenzen")</f>
        <v>0</v>
      </c>
      <c r="M140" s="11" t="n">
        <f aca="false">SUMIFS(tblAuftraege[Einnahmen],tblAuftraege[Datum Einnahmen],"&gt;="&amp;M$5,tblAuftraege[Datum Einnahmen],"&lt;"&amp;EDATE(M$5,1),tblAuftraege[Kategorie],"Lizenzen")</f>
        <v>0</v>
      </c>
      <c r="N140" s="11" t="n">
        <f aca="false">SUMIFS(tblAuftraege[Einnahmen],tblAuftraege[Datum Einnahmen],"&gt;="&amp;N$5,tblAuftraege[Datum Einnahmen],"&lt;"&amp;EDATE(N$5,1),tblAuftraege[Kategorie],"Lizenzen")</f>
        <v>0</v>
      </c>
      <c r="O140" s="11" t="n">
        <f aca="false">SUMIFS(tblAuftraege[Einnahmen],tblAuftraege[Datum Einnahmen],"&gt;="&amp;O$5,tblAuftraege[Datum Einnahmen],"&lt;"&amp;EDATE(O$5,1),tblAuftraege[Kategorie],"Lizenzen")</f>
        <v>0</v>
      </c>
      <c r="P140" s="11" t="n">
        <f aca="false">SUMIFS(tblAuftraege[Einnahmen],tblAuftraege[Datum Einnahmen],"&gt;="&amp;P$5,tblAuftraege[Datum Einnahmen],"&lt;"&amp;EDATE(P$5,1),tblAuftraege[Kategorie],"Lizenzen")</f>
        <v>0</v>
      </c>
      <c r="Q140" s="11" t="n">
        <f aca="false">SUMIFS(tblAuftraege[Einnahmen],tblAuftraege[Datum Einnahmen],"&gt;="&amp;Q$5,tblAuftraege[Datum Einnahmen],"&lt;"&amp;EDATE(Q$5,1),tblAuftraege[Kategorie],"Lizenzen")</f>
        <v>0</v>
      </c>
      <c r="R140" s="11" t="n">
        <f aca="false">SUMIFS(tblAuftraege[Einnahmen],tblAuftraege[Datum Einnahmen],"&gt;="&amp;R$5,tblAuftraege[Datum Einnahmen],"&lt;"&amp;EDATE(R$5,1),tblAuftraege[Kategorie],"Lizenzen")</f>
        <v>0</v>
      </c>
      <c r="S140" s="11" t="n">
        <f aca="false">SUMIFS(tblAuftraege[Einnahmen],tblAuftraege[Datum Einnahmen],"&gt;="&amp;S$5,tblAuftraege[Datum Einnahmen],"&lt;"&amp;EDATE(S$5,1),tblAuftraege[Kategorie],"Lizenzen")</f>
        <v>0</v>
      </c>
      <c r="T140" s="11" t="n">
        <f aca="false">SUMIFS(tblAuftraege[Einnahmen],tblAuftraege[Datum Einnahmen],"&gt;="&amp;T$5,tblAuftraege[Datum Einnahmen],"&lt;"&amp;EDATE(T$5,1),tblAuftraege[Kategorie],"Lizenzen")</f>
        <v>0</v>
      </c>
      <c r="U140" s="11" t="n">
        <f aca="false">SUMIFS(tblAuftraege[Einnahmen],tblAuftraege[Datum Einnahmen],"&gt;="&amp;U$5,tblAuftraege[Datum Einnahmen],"&lt;"&amp;EDATE(U$5,1),tblAuftraege[Kategorie],"Lizenzen")</f>
        <v>0</v>
      </c>
      <c r="V140" s="11" t="n">
        <f aca="false">SUMIFS(tblAuftraege[Einnahmen],tblAuftraege[Datum Einnahmen],"&gt;="&amp;V$5,tblAuftraege[Datum Einnahmen],"&lt;"&amp;EDATE(V$5,1),tblAuftraege[Kategorie],"Lizenzen")</f>
        <v>0</v>
      </c>
      <c r="W140" s="11" t="n">
        <f aca="false">SUMIFS(tblAuftraege[Einnahmen],tblAuftraege[Datum Einnahmen],"&gt;="&amp;W$5,tblAuftraege[Datum Einnahmen],"&lt;"&amp;EDATE(W$5,1),tblAuftraege[Kategorie],"Lizenzen")</f>
        <v>0</v>
      </c>
      <c r="X140" s="11" t="n">
        <f aca="false">SUMIFS(tblAuftraege[Einnahmen],tblAuftraege[Datum Einnahmen],"&gt;="&amp;X$5,tblAuftraege[Datum Einnahmen],"&lt;"&amp;EDATE(X$5,1),tblAuftraege[Kategorie],"Lizenzen")</f>
        <v>0</v>
      </c>
      <c r="Y140" s="11" t="n">
        <f aca="false">SUMIFS(tblAuftraege[Einnahmen],tblAuftraege[Datum Einnahmen],"&gt;="&amp;Y$5,tblAuftraege[Datum Einnahmen],"&lt;"&amp;EDATE(Y$5,1),tblAuftraege[Kategorie],"Lizenzen")</f>
        <v>0</v>
      </c>
      <c r="Z140" s="11" t="n">
        <f aca="false">SUMIFS(tblAuftraege[Einnahmen],tblAuftraege[Datum Einnahmen],"&gt;="&amp;Z$5,tblAuftraege[Datum Einnahmen],"&lt;"&amp;EDATE(Z$5,1),tblAuftraege[Kategorie],"Lizenzen")</f>
        <v>0</v>
      </c>
      <c r="AA140" s="11" t="n">
        <f aca="false">SUMIFS(tblAuftraege[Einnahmen],tblAuftraege[Datum Einnahmen],"&gt;="&amp;AA$5,tblAuftraege[Datum Einnahmen],"&lt;"&amp;EDATE(AA$5,1),tblAuftraege[Kategorie],"Lizenzen")</f>
        <v>0</v>
      </c>
      <c r="AB140" s="11" t="n">
        <f aca="false">SUMIFS(tblAuftraege[Einnahmen],tblAuftraege[Datum Einnahmen],"&gt;="&amp;AB$5,tblAuftraege[Datum Einnahmen],"&lt;"&amp;EDATE(AB$5,1),tblAuftraege[Kategorie],"Lizenzen")</f>
        <v>0</v>
      </c>
      <c r="AC140" s="11" t="n">
        <f aca="false">SUMIFS(tblAuftraege[Einnahmen],tblAuftraege[Datum Einnahmen],"&gt;="&amp;AC$5,tblAuftraege[Datum Einnahmen],"&lt;"&amp;EDATE(AC$5,1),tblAuftraege[Kategorie],"Lizenzen")</f>
        <v>0</v>
      </c>
      <c r="AD140" s="11" t="n">
        <f aca="false">SUMIFS(tblAuftraege[Einnahmen],tblAuftraege[Datum Einnahmen],"&gt;="&amp;AD$5,tblAuftraege[Datum Einnahmen],"&lt;"&amp;EDATE(AD$5,1),tblAuftraege[Kategorie],"Lizenzen")</f>
        <v>0</v>
      </c>
      <c r="AE140" s="11" t="n">
        <f aca="false">SUMIFS(tblAuftraege[Einnahmen],tblAuftraege[Datum Einnahmen],"&gt;="&amp;AE$5,tblAuftraege[Datum Einnahmen],"&lt;"&amp;EDATE(AE$5,1),tblAuftraege[Kategorie],"Lizenzen")</f>
        <v>0</v>
      </c>
      <c r="AF140" s="11" t="n">
        <f aca="false">SUMIFS(tblAuftraege[Einnahmen],tblAuftraege[Datum Einnahmen],"&gt;="&amp;AF$5,tblAuftraege[Datum Einnahmen],"&lt;"&amp;EDATE(AF$5,1),tblAuftraege[Kategorie],"Lizenzen")</f>
        <v>0</v>
      </c>
      <c r="AG140" s="11" t="n">
        <f aca="false">SUMIFS(tblAuftraege[Einnahmen],tblAuftraege[Datum Einnahmen],"&gt;="&amp;AG$5,tblAuftraege[Datum Einnahmen],"&lt;"&amp;EDATE(AG$5,1),tblAuftraege[Kategorie],"Lizenzen")</f>
        <v>0</v>
      </c>
      <c r="AH140" s="11" t="n">
        <f aca="false">SUMIFS(tblAuftraege[Einnahmen],tblAuftraege[Datum Einnahmen],"&gt;="&amp;AH$5,tblAuftraege[Datum Einnahmen],"&lt;"&amp;EDATE(AH$5,1),tblAuftraege[Kategorie],"Lizenzen")</f>
        <v>0</v>
      </c>
      <c r="AI140" s="11" t="n">
        <f aca="false">SUMIFS(tblAuftraege[Einnahmen],tblAuftraege[Datum Einnahmen],"&gt;="&amp;AI$5,tblAuftraege[Datum Einnahmen],"&lt;"&amp;EDATE(AI$5,1),tblAuftraege[Kategorie],"Lizenzen")</f>
        <v>0</v>
      </c>
      <c r="AJ140" s="11" t="n">
        <f aca="false">SUMIFS(tblAuftraege[Einnahmen],tblAuftraege[Datum Einnahmen],"&gt;="&amp;AJ$5,tblAuftraege[Datum Einnahmen],"&lt;"&amp;EDATE(AJ$5,1),tblAuftraege[Kategorie],"Lizenzen")</f>
        <v>0</v>
      </c>
      <c r="AK140" s="11" t="n">
        <f aca="false">SUMIFS(tblAuftraege[Einnahmen],tblAuftraege[Datum Einnahmen],"&gt;="&amp;AK$5,tblAuftraege[Datum Einnahmen],"&lt;"&amp;EDATE(AK$5,1),tblAuftraege[Kategorie],"Lizenzen")</f>
        <v>0</v>
      </c>
      <c r="AL140" s="11" t="n">
        <f aca="false">SUMIFS(tblAuftraege[Einnahmen],tblAuftraege[Datum Einnahmen],"&gt;="&amp;AL$5,tblAuftraege[Datum Einnahmen],"&lt;"&amp;EDATE(AL$5,1),tblAuftraege[Kategorie],"Lizenzen")</f>
        <v>0</v>
      </c>
      <c r="AM140" s="11" t="n">
        <f aca="false">SUMIFS(tblAuftraege[Einnahmen],tblAuftraege[Datum Einnahmen],"&gt;="&amp;AM$5,tblAuftraege[Datum Einnahmen],"&lt;"&amp;EDATE(AM$5,1),tblAuftraege[Kategorie],"Lizenzen")</f>
        <v>0</v>
      </c>
      <c r="AN140" s="11" t="n">
        <f aca="false">SUMIFS(tblAuftraege[Einnahmen],tblAuftraege[Datum Einnahmen],"&gt;="&amp;AN$5,tblAuftraege[Datum Einnahmen],"&lt;"&amp;EDATE(AN$5,1),tblAuftraege[Kategorie],"Lizenzen")</f>
        <v>0</v>
      </c>
      <c r="AO140" s="11" t="n">
        <f aca="false">SUMIFS(tblAuftraege[Einnahmen],tblAuftraege[Datum Einnahmen],"&gt;="&amp;AO$5,tblAuftraege[Datum Einnahmen],"&lt;"&amp;EDATE(AO$5,1),tblAuftraege[Kategorie],"Lizenzen")</f>
        <v>0</v>
      </c>
      <c r="AP140" s="11" t="n">
        <f aca="false">SUMIFS(tblAuftraege[Einnahmen],tblAuftraege[Datum Einnahmen],"&gt;="&amp;AP$5,tblAuftraege[Datum Einnahmen],"&lt;"&amp;EDATE(AP$5,1),tblAuftraege[Kategorie],"Lizenzen")</f>
        <v>0</v>
      </c>
      <c r="AQ140" s="11" t="n">
        <f aca="false">SUMIFS(tblAuftraege[Einnahmen],tblAuftraege[Datum Einnahmen],"&gt;="&amp;AQ$5,tblAuftraege[Datum Einnahmen],"&lt;"&amp;EDATE(AQ$5,1),tblAuftraege[Kategorie],"Lizenzen")</f>
        <v>0</v>
      </c>
      <c r="AR140" s="11" t="n">
        <f aca="false">SUMIFS(tblAuftraege[Einnahmen],tblAuftraege[Datum Einnahmen],"&gt;="&amp;AR$5,tblAuftraege[Datum Einnahmen],"&lt;"&amp;EDATE(AR$5,1),tblAuftraege[Kategorie],"Lizenzen")</f>
        <v>0</v>
      </c>
      <c r="AS140" s="11" t="n">
        <f aca="false">SUMIFS(tblAuftraege[Einnahmen],tblAuftraege[Datum Einnahmen],"&gt;="&amp;AS$5,tblAuftraege[Datum Einnahmen],"&lt;"&amp;EDATE(AS$5,1),tblAuftraege[Kategorie],"Lizenzen")</f>
        <v>0</v>
      </c>
      <c r="AT140" s="11" t="n">
        <f aca="false">SUMIFS(tblAuftraege[Einnahmen],tblAuftraege[Datum Einnahmen],"&gt;="&amp;AT$5,tblAuftraege[Datum Einnahmen],"&lt;"&amp;EDATE(AT$5,1),tblAuftraege[Kategorie],"Lizenzen")</f>
        <v>0</v>
      </c>
      <c r="AU140" s="11" t="n">
        <f aca="false">SUMIFS(tblAuftraege[Einnahmen],tblAuftraege[Datum Einnahmen],"&gt;="&amp;AU$5,tblAuftraege[Datum Einnahmen],"&lt;"&amp;EDATE(AU$5,1),tblAuftraege[Kategorie],"Lizenzen")</f>
        <v>0</v>
      </c>
      <c r="AV140" s="11" t="n">
        <f aca="false">SUMIFS(tblAuftraege[Einnahmen],tblAuftraege[Datum Einnahmen],"&gt;="&amp;AV$5,tblAuftraege[Datum Einnahmen],"&lt;"&amp;EDATE(AV$5,1),tblAuftraege[Kategorie],"Lizenzen")</f>
        <v>0</v>
      </c>
      <c r="AW140" s="11" t="n">
        <f aca="false">SUMIFS(tblAuftraege[Einnahmen],tblAuftraege[Datum Einnahmen],"&gt;="&amp;AW$5,tblAuftraege[Datum Einnahmen],"&lt;"&amp;EDATE(AW$5,1),tblAuftraege[Kategorie],"Lizenzen")</f>
        <v>0</v>
      </c>
      <c r="AX140" s="11" t="n">
        <f aca="false">SUMIFS(tblAuftraege[Einnahmen],tblAuftraege[Datum Einnahmen],"&gt;="&amp;AX$5,tblAuftraege[Datum Einnahmen],"&lt;"&amp;EDATE(AX$5,1),tblAuftraege[Kategorie],"Lizenzen")</f>
        <v>0</v>
      </c>
      <c r="AY140" s="11" t="n">
        <f aca="false">SUMIFS(tblAuftraege[Einnahmen],tblAuftraege[Datum Einnahmen],"&gt;="&amp;AY$5,tblAuftraege[Datum Einnahmen],"&lt;"&amp;EDATE(AY$5,1),tblAuftraege[Kategorie],"Lizenzen")</f>
        <v>0</v>
      </c>
      <c r="AZ140" s="11" t="n">
        <f aca="false">SUMIFS(tblAuftraege[Einnahmen],tblAuftraege[Datum Einnahmen],"&gt;="&amp;AZ$5,tblAuftraege[Datum Einnahmen],"&lt;"&amp;EDATE(AZ$5,1),tblAuftraege[Kategorie],"Lizenzen")</f>
        <v>0</v>
      </c>
      <c r="BA140" s="11" t="n">
        <f aca="false">SUMIFS(tblAuftraege[Einnahmen],tblAuftraege[Datum Einnahmen],"&gt;="&amp;BA$5,tblAuftraege[Datum Einnahmen],"&lt;"&amp;EDATE(BA$5,1),tblAuftraege[Kategorie],"Lizenzen")</f>
        <v>0</v>
      </c>
      <c r="BB140" s="11" t="n">
        <f aca="false">SUMIFS(tblAuftraege[Einnahmen],tblAuftraege[Datum Einnahmen],"&gt;="&amp;BB$5,tblAuftraege[Datum Einnahmen],"&lt;"&amp;EDATE(BB$5,1),tblAuftraege[Kategorie],"Lizenzen")</f>
        <v>0</v>
      </c>
      <c r="BC140" s="11" t="n">
        <f aca="false">SUMIFS(tblAuftraege[Einnahmen],tblAuftraege[Datum Einnahmen],"&gt;="&amp;BC$5,tblAuftraege[Datum Einnahmen],"&lt;"&amp;EDATE(BC$5,1),tblAuftraege[Kategorie],"Lizenzen")</f>
        <v>0</v>
      </c>
      <c r="BD140" s="11" t="n">
        <f aca="false">SUMIFS(tblAuftraege[Einnahmen],tblAuftraege[Datum Einnahmen],"&gt;="&amp;BD$5,tblAuftraege[Datum Einnahmen],"&lt;"&amp;EDATE(BD$5,1),tblAuftraege[Kategorie],"Lizenzen")</f>
        <v>0</v>
      </c>
      <c r="BE140" s="11" t="n">
        <f aca="false">SUMIFS(tblAuftraege[Einnahmen],tblAuftraege[Datum Einnahmen],"&gt;="&amp;BE$5,tblAuftraege[Datum Einnahmen],"&lt;"&amp;EDATE(BE$5,1),tblAuftraege[Kategorie],"Lizenzen")</f>
        <v>0</v>
      </c>
      <c r="BF140" s="11" t="n">
        <f aca="false">SUMIFS(tblAuftraege[Einnahmen],tblAuftraege[Datum Einnahmen],"&gt;="&amp;BF$5,tblAuftraege[Datum Einnahmen],"&lt;"&amp;EDATE(BF$5,1),tblAuftraege[Kategorie],"Lizenzen")</f>
        <v>0</v>
      </c>
      <c r="BG140" s="11" t="n">
        <f aca="false">SUM(E140:J140)</f>
        <v>0</v>
      </c>
      <c r="BH140" s="11" t="n">
        <f aca="false">SUM(K140:V140)</f>
        <v>0</v>
      </c>
      <c r="BI140" s="11" t="n">
        <f aca="false">SUM(W140:AH140)</f>
        <v>0</v>
      </c>
      <c r="BJ140" s="11" t="n">
        <f aca="false">SUM(AI140:AT140)</f>
        <v>0</v>
      </c>
      <c r="BK140" s="11" t="n">
        <f aca="false">SUM(AU140:BF140)</f>
        <v>0</v>
      </c>
      <c r="BL140" s="11" t="n">
        <f aca="false">SUM(E140:BF140)</f>
        <v>0</v>
      </c>
    </row>
    <row r="141" customFormat="false" ht="15" hidden="false" customHeight="false" outlineLevel="0" collapsed="false">
      <c r="A141" s="13" t="s">
        <v>96</v>
      </c>
      <c r="B141" s="14"/>
      <c r="C141" s="15"/>
      <c r="D141" s="15"/>
      <c r="E141" s="11" t="n">
        <f aca="false">SUMIFS(tblAuftraege[Ausgaben],tblAuftraege[Datum Ausgaben],"&gt;="&amp;E$5,tblAuftraege[Datum Ausgaben],"&lt;"&amp;EDATE(E$5,1),tblAuftraege[Kategorie],"Lizenzen")</f>
        <v>0</v>
      </c>
      <c r="F141" s="11" t="n">
        <f aca="false">SUMIFS(tblAuftraege[Ausgaben],tblAuftraege[Datum Ausgaben],"&gt;="&amp;F$5,tblAuftraege[Datum Ausgaben],"&lt;"&amp;EDATE(F$5,1),tblAuftraege[Kategorie],"Lizenzen")</f>
        <v>0</v>
      </c>
      <c r="G141" s="11" t="n">
        <f aca="false">SUMIFS(tblAuftraege[Ausgaben],tblAuftraege[Datum Ausgaben],"&gt;="&amp;G$5,tblAuftraege[Datum Ausgaben],"&lt;"&amp;EDATE(G$5,1),tblAuftraege[Kategorie],"Lizenzen")</f>
        <v>0</v>
      </c>
      <c r="H141" s="11" t="n">
        <f aca="false">SUMIFS(tblAuftraege[Ausgaben],tblAuftraege[Datum Ausgaben],"&gt;="&amp;H$5,tblAuftraege[Datum Ausgaben],"&lt;"&amp;EDATE(H$5,1),tblAuftraege[Kategorie],"Lizenzen")</f>
        <v>0</v>
      </c>
      <c r="I141" s="11" t="n">
        <f aca="false">SUMIFS(tblAuftraege[Ausgaben],tblAuftraege[Datum Ausgaben],"&gt;="&amp;I$5,tblAuftraege[Datum Ausgaben],"&lt;"&amp;EDATE(I$5,1),tblAuftraege[Kategorie],"Lizenzen")</f>
        <v>0</v>
      </c>
      <c r="J141" s="11" t="n">
        <f aca="false">SUMIFS(tblAuftraege[Ausgaben],tblAuftraege[Datum Ausgaben],"&gt;="&amp;J$5,tblAuftraege[Datum Ausgaben],"&lt;"&amp;EDATE(J$5,1),tblAuftraege[Kategorie],"Lizenzen")</f>
        <v>0</v>
      </c>
      <c r="K141" s="11" t="n">
        <f aca="false">SUMIFS(tblAuftraege[Ausgaben],tblAuftraege[Datum Ausgaben],"&gt;="&amp;K$5,tblAuftraege[Datum Ausgaben],"&lt;"&amp;EDATE(K$5,1),tblAuftraege[Kategorie],"Lizenzen")</f>
        <v>0</v>
      </c>
      <c r="L141" s="11" t="n">
        <f aca="false">SUMIFS(tblAuftraege[Ausgaben],tblAuftraege[Datum Ausgaben],"&gt;="&amp;L$5,tblAuftraege[Datum Ausgaben],"&lt;"&amp;EDATE(L$5,1),tblAuftraege[Kategorie],"Lizenzen")</f>
        <v>0</v>
      </c>
      <c r="M141" s="11" t="n">
        <f aca="false">SUMIFS(tblAuftraege[Ausgaben],tblAuftraege[Datum Ausgaben],"&gt;="&amp;M$5,tblAuftraege[Datum Ausgaben],"&lt;"&amp;EDATE(M$5,1),tblAuftraege[Kategorie],"Lizenzen")</f>
        <v>0</v>
      </c>
      <c r="N141" s="11" t="n">
        <f aca="false">SUMIFS(tblAuftraege[Ausgaben],tblAuftraege[Datum Ausgaben],"&gt;="&amp;N$5,tblAuftraege[Datum Ausgaben],"&lt;"&amp;EDATE(N$5,1),tblAuftraege[Kategorie],"Lizenzen")</f>
        <v>0</v>
      </c>
      <c r="O141" s="11" t="n">
        <f aca="false">SUMIFS(tblAuftraege[Ausgaben],tblAuftraege[Datum Ausgaben],"&gt;="&amp;O$5,tblAuftraege[Datum Ausgaben],"&lt;"&amp;EDATE(O$5,1),tblAuftraege[Kategorie],"Lizenzen")</f>
        <v>0</v>
      </c>
      <c r="P141" s="11" t="n">
        <f aca="false">SUMIFS(tblAuftraege[Ausgaben],tblAuftraege[Datum Ausgaben],"&gt;="&amp;P$5,tblAuftraege[Datum Ausgaben],"&lt;"&amp;EDATE(P$5,1),tblAuftraege[Kategorie],"Lizenzen")</f>
        <v>0</v>
      </c>
      <c r="Q141" s="11" t="n">
        <f aca="false">SUMIFS(tblAuftraege[Ausgaben],tblAuftraege[Datum Ausgaben],"&gt;="&amp;Q$5,tblAuftraege[Datum Ausgaben],"&lt;"&amp;EDATE(Q$5,1),tblAuftraege[Kategorie],"Lizenzen")</f>
        <v>0</v>
      </c>
      <c r="R141" s="11" t="n">
        <f aca="false">SUMIFS(tblAuftraege[Ausgaben],tblAuftraege[Datum Ausgaben],"&gt;="&amp;R$5,tblAuftraege[Datum Ausgaben],"&lt;"&amp;EDATE(R$5,1),tblAuftraege[Kategorie],"Lizenzen")</f>
        <v>0</v>
      </c>
      <c r="S141" s="11" t="n">
        <f aca="false">SUMIFS(tblAuftraege[Ausgaben],tblAuftraege[Datum Ausgaben],"&gt;="&amp;S$5,tblAuftraege[Datum Ausgaben],"&lt;"&amp;EDATE(S$5,1),tblAuftraege[Kategorie],"Lizenzen")</f>
        <v>0</v>
      </c>
      <c r="T141" s="11" t="n">
        <f aca="false">SUMIFS(tblAuftraege[Ausgaben],tblAuftraege[Datum Ausgaben],"&gt;="&amp;T$5,tblAuftraege[Datum Ausgaben],"&lt;"&amp;EDATE(T$5,1),tblAuftraege[Kategorie],"Lizenzen")</f>
        <v>0</v>
      </c>
      <c r="U141" s="11" t="n">
        <f aca="false">SUMIFS(tblAuftraege[Ausgaben],tblAuftraege[Datum Ausgaben],"&gt;="&amp;U$5,tblAuftraege[Datum Ausgaben],"&lt;"&amp;EDATE(U$5,1),tblAuftraege[Kategorie],"Lizenzen")</f>
        <v>0</v>
      </c>
      <c r="V141" s="11" t="n">
        <f aca="false">SUMIFS(tblAuftraege[Ausgaben],tblAuftraege[Datum Ausgaben],"&gt;="&amp;V$5,tblAuftraege[Datum Ausgaben],"&lt;"&amp;EDATE(V$5,1),tblAuftraege[Kategorie],"Lizenzen")</f>
        <v>0</v>
      </c>
      <c r="W141" s="11" t="n">
        <f aca="false">SUMIFS(tblAuftraege[Ausgaben],tblAuftraege[Datum Ausgaben],"&gt;="&amp;W$5,tblAuftraege[Datum Ausgaben],"&lt;"&amp;EDATE(W$5,1),tblAuftraege[Kategorie],"Lizenzen")</f>
        <v>0</v>
      </c>
      <c r="X141" s="11" t="n">
        <f aca="false">SUMIFS(tblAuftraege[Ausgaben],tblAuftraege[Datum Ausgaben],"&gt;="&amp;X$5,tblAuftraege[Datum Ausgaben],"&lt;"&amp;EDATE(X$5,1),tblAuftraege[Kategorie],"Lizenzen")</f>
        <v>0</v>
      </c>
      <c r="Y141" s="11" t="n">
        <f aca="false">SUMIFS(tblAuftraege[Ausgaben],tblAuftraege[Datum Ausgaben],"&gt;="&amp;Y$5,tblAuftraege[Datum Ausgaben],"&lt;"&amp;EDATE(Y$5,1),tblAuftraege[Kategorie],"Lizenzen")</f>
        <v>0</v>
      </c>
      <c r="Z141" s="11" t="n">
        <f aca="false">SUMIFS(tblAuftraege[Ausgaben],tblAuftraege[Datum Ausgaben],"&gt;="&amp;Z$5,tblAuftraege[Datum Ausgaben],"&lt;"&amp;EDATE(Z$5,1),tblAuftraege[Kategorie],"Lizenzen")</f>
        <v>0</v>
      </c>
      <c r="AA141" s="11" t="n">
        <f aca="false">SUMIFS(tblAuftraege[Ausgaben],tblAuftraege[Datum Ausgaben],"&gt;="&amp;AA$5,tblAuftraege[Datum Ausgaben],"&lt;"&amp;EDATE(AA$5,1),tblAuftraege[Kategorie],"Lizenzen")</f>
        <v>0</v>
      </c>
      <c r="AB141" s="11" t="n">
        <f aca="false">SUMIFS(tblAuftraege[Ausgaben],tblAuftraege[Datum Ausgaben],"&gt;="&amp;AB$5,tblAuftraege[Datum Ausgaben],"&lt;"&amp;EDATE(AB$5,1),tblAuftraege[Kategorie],"Lizenzen")</f>
        <v>0</v>
      </c>
      <c r="AC141" s="11" t="n">
        <f aca="false">SUMIFS(tblAuftraege[Ausgaben],tblAuftraege[Datum Ausgaben],"&gt;="&amp;AC$5,tblAuftraege[Datum Ausgaben],"&lt;"&amp;EDATE(AC$5,1),tblAuftraege[Kategorie],"Lizenzen")</f>
        <v>0</v>
      </c>
      <c r="AD141" s="11" t="n">
        <f aca="false">SUMIFS(tblAuftraege[Ausgaben],tblAuftraege[Datum Ausgaben],"&gt;="&amp;AD$5,tblAuftraege[Datum Ausgaben],"&lt;"&amp;EDATE(AD$5,1),tblAuftraege[Kategorie],"Lizenzen")</f>
        <v>0</v>
      </c>
      <c r="AE141" s="11" t="n">
        <f aca="false">SUMIFS(tblAuftraege[Ausgaben],tblAuftraege[Datum Ausgaben],"&gt;="&amp;AE$5,tblAuftraege[Datum Ausgaben],"&lt;"&amp;EDATE(AE$5,1),tblAuftraege[Kategorie],"Lizenzen")</f>
        <v>0</v>
      </c>
      <c r="AF141" s="11" t="n">
        <f aca="false">SUMIFS(tblAuftraege[Ausgaben],tblAuftraege[Datum Ausgaben],"&gt;="&amp;AF$5,tblAuftraege[Datum Ausgaben],"&lt;"&amp;EDATE(AF$5,1),tblAuftraege[Kategorie],"Lizenzen")</f>
        <v>0</v>
      </c>
      <c r="AG141" s="11" t="n">
        <f aca="false">SUMIFS(tblAuftraege[Ausgaben],tblAuftraege[Datum Ausgaben],"&gt;="&amp;AG$5,tblAuftraege[Datum Ausgaben],"&lt;"&amp;EDATE(AG$5,1),tblAuftraege[Kategorie],"Lizenzen")</f>
        <v>0</v>
      </c>
      <c r="AH141" s="11" t="n">
        <f aca="false">SUMIFS(tblAuftraege[Ausgaben],tblAuftraege[Datum Ausgaben],"&gt;="&amp;AH$5,tblAuftraege[Datum Ausgaben],"&lt;"&amp;EDATE(AH$5,1),tblAuftraege[Kategorie],"Lizenzen")</f>
        <v>0</v>
      </c>
      <c r="AI141" s="11" t="n">
        <f aca="false">SUMIFS(tblAuftraege[Ausgaben],tblAuftraege[Datum Ausgaben],"&gt;="&amp;AI$5,tblAuftraege[Datum Ausgaben],"&lt;"&amp;EDATE(AI$5,1),tblAuftraege[Kategorie],"Lizenzen")</f>
        <v>0</v>
      </c>
      <c r="AJ141" s="11" t="n">
        <f aca="false">SUMIFS(tblAuftraege[Ausgaben],tblAuftraege[Datum Ausgaben],"&gt;="&amp;AJ$5,tblAuftraege[Datum Ausgaben],"&lt;"&amp;EDATE(AJ$5,1),tblAuftraege[Kategorie],"Lizenzen")</f>
        <v>0</v>
      </c>
      <c r="AK141" s="11" t="n">
        <f aca="false">SUMIFS(tblAuftraege[Ausgaben],tblAuftraege[Datum Ausgaben],"&gt;="&amp;AK$5,tblAuftraege[Datum Ausgaben],"&lt;"&amp;EDATE(AK$5,1),tblAuftraege[Kategorie],"Lizenzen")</f>
        <v>0</v>
      </c>
      <c r="AL141" s="11" t="n">
        <f aca="false">SUMIFS(tblAuftraege[Ausgaben],tblAuftraege[Datum Ausgaben],"&gt;="&amp;AL$5,tblAuftraege[Datum Ausgaben],"&lt;"&amp;EDATE(AL$5,1),tblAuftraege[Kategorie],"Lizenzen")</f>
        <v>0</v>
      </c>
      <c r="AM141" s="11" t="n">
        <f aca="false">SUMIFS(tblAuftraege[Ausgaben],tblAuftraege[Datum Ausgaben],"&gt;="&amp;AM$5,tblAuftraege[Datum Ausgaben],"&lt;"&amp;EDATE(AM$5,1),tblAuftraege[Kategorie],"Lizenzen")</f>
        <v>0</v>
      </c>
      <c r="AN141" s="11" t="n">
        <f aca="false">SUMIFS(tblAuftraege[Ausgaben],tblAuftraege[Datum Ausgaben],"&gt;="&amp;AN$5,tblAuftraege[Datum Ausgaben],"&lt;"&amp;EDATE(AN$5,1),tblAuftraege[Kategorie],"Lizenzen")</f>
        <v>0</v>
      </c>
      <c r="AO141" s="11" t="n">
        <f aca="false">SUMIFS(tblAuftraege[Ausgaben],tblAuftraege[Datum Ausgaben],"&gt;="&amp;AO$5,tblAuftraege[Datum Ausgaben],"&lt;"&amp;EDATE(AO$5,1),tblAuftraege[Kategorie],"Lizenzen")</f>
        <v>0</v>
      </c>
      <c r="AP141" s="11" t="n">
        <f aca="false">SUMIFS(tblAuftraege[Ausgaben],tblAuftraege[Datum Ausgaben],"&gt;="&amp;AP$5,tblAuftraege[Datum Ausgaben],"&lt;"&amp;EDATE(AP$5,1),tblAuftraege[Kategorie],"Lizenzen")</f>
        <v>0</v>
      </c>
      <c r="AQ141" s="11" t="n">
        <f aca="false">SUMIFS(tblAuftraege[Ausgaben],tblAuftraege[Datum Ausgaben],"&gt;="&amp;AQ$5,tblAuftraege[Datum Ausgaben],"&lt;"&amp;EDATE(AQ$5,1),tblAuftraege[Kategorie],"Lizenzen")</f>
        <v>0</v>
      </c>
      <c r="AR141" s="11" t="n">
        <f aca="false">SUMIFS(tblAuftraege[Ausgaben],tblAuftraege[Datum Ausgaben],"&gt;="&amp;AR$5,tblAuftraege[Datum Ausgaben],"&lt;"&amp;EDATE(AR$5,1),tblAuftraege[Kategorie],"Lizenzen")</f>
        <v>0</v>
      </c>
      <c r="AS141" s="11" t="n">
        <f aca="false">SUMIFS(tblAuftraege[Ausgaben],tblAuftraege[Datum Ausgaben],"&gt;="&amp;AS$5,tblAuftraege[Datum Ausgaben],"&lt;"&amp;EDATE(AS$5,1),tblAuftraege[Kategorie],"Lizenzen")</f>
        <v>0</v>
      </c>
      <c r="AT141" s="11" t="n">
        <f aca="false">SUMIFS(tblAuftraege[Ausgaben],tblAuftraege[Datum Ausgaben],"&gt;="&amp;AT$5,tblAuftraege[Datum Ausgaben],"&lt;"&amp;EDATE(AT$5,1),tblAuftraege[Kategorie],"Lizenzen")</f>
        <v>0</v>
      </c>
      <c r="AU141" s="11" t="n">
        <f aca="false">SUMIFS(tblAuftraege[Ausgaben],tblAuftraege[Datum Ausgaben],"&gt;="&amp;AU$5,tblAuftraege[Datum Ausgaben],"&lt;"&amp;EDATE(AU$5,1),tblAuftraege[Kategorie],"Lizenzen")</f>
        <v>0</v>
      </c>
      <c r="AV141" s="11" t="n">
        <f aca="false">SUMIFS(tblAuftraege[Ausgaben],tblAuftraege[Datum Ausgaben],"&gt;="&amp;AV$5,tblAuftraege[Datum Ausgaben],"&lt;"&amp;EDATE(AV$5,1),tblAuftraege[Kategorie],"Lizenzen")</f>
        <v>0</v>
      </c>
      <c r="AW141" s="11" t="n">
        <f aca="false">SUMIFS(tblAuftraege[Ausgaben],tblAuftraege[Datum Ausgaben],"&gt;="&amp;AW$5,tblAuftraege[Datum Ausgaben],"&lt;"&amp;EDATE(AW$5,1),tblAuftraege[Kategorie],"Lizenzen")</f>
        <v>0</v>
      </c>
      <c r="AX141" s="11" t="n">
        <f aca="false">SUMIFS(tblAuftraege[Ausgaben],tblAuftraege[Datum Ausgaben],"&gt;="&amp;AX$5,tblAuftraege[Datum Ausgaben],"&lt;"&amp;EDATE(AX$5,1),tblAuftraege[Kategorie],"Lizenzen")</f>
        <v>0</v>
      </c>
      <c r="AY141" s="11" t="n">
        <f aca="false">SUMIFS(tblAuftraege[Ausgaben],tblAuftraege[Datum Ausgaben],"&gt;="&amp;AY$5,tblAuftraege[Datum Ausgaben],"&lt;"&amp;EDATE(AY$5,1),tblAuftraege[Kategorie],"Lizenzen")</f>
        <v>0</v>
      </c>
      <c r="AZ141" s="11" t="n">
        <f aca="false">SUMIFS(tblAuftraege[Ausgaben],tblAuftraege[Datum Ausgaben],"&gt;="&amp;AZ$5,tblAuftraege[Datum Ausgaben],"&lt;"&amp;EDATE(AZ$5,1),tblAuftraege[Kategorie],"Lizenzen")</f>
        <v>0</v>
      </c>
      <c r="BA141" s="11" t="n">
        <f aca="false">SUMIFS(tblAuftraege[Ausgaben],tblAuftraege[Datum Ausgaben],"&gt;="&amp;BA$5,tblAuftraege[Datum Ausgaben],"&lt;"&amp;EDATE(BA$5,1),tblAuftraege[Kategorie],"Lizenzen")</f>
        <v>0</v>
      </c>
      <c r="BB141" s="11" t="n">
        <f aca="false">SUMIFS(tblAuftraege[Ausgaben],tblAuftraege[Datum Ausgaben],"&gt;="&amp;BB$5,tblAuftraege[Datum Ausgaben],"&lt;"&amp;EDATE(BB$5,1),tblAuftraege[Kategorie],"Lizenzen")</f>
        <v>0</v>
      </c>
      <c r="BC141" s="11" t="n">
        <f aca="false">SUMIFS(tblAuftraege[Ausgaben],tblAuftraege[Datum Ausgaben],"&gt;="&amp;BC$5,tblAuftraege[Datum Ausgaben],"&lt;"&amp;EDATE(BC$5,1),tblAuftraege[Kategorie],"Lizenzen")</f>
        <v>0</v>
      </c>
      <c r="BD141" s="11" t="n">
        <f aca="false">SUMIFS(tblAuftraege[Ausgaben],tblAuftraege[Datum Ausgaben],"&gt;="&amp;BD$5,tblAuftraege[Datum Ausgaben],"&lt;"&amp;EDATE(BD$5,1),tblAuftraege[Kategorie],"Lizenzen")</f>
        <v>0</v>
      </c>
      <c r="BE141" s="11" t="n">
        <f aca="false">SUMIFS(tblAuftraege[Ausgaben],tblAuftraege[Datum Ausgaben],"&gt;="&amp;BE$5,tblAuftraege[Datum Ausgaben],"&lt;"&amp;EDATE(BE$5,1),tblAuftraege[Kategorie],"Lizenzen")</f>
        <v>0</v>
      </c>
      <c r="BF141" s="11" t="n">
        <f aca="false">SUMIFS(tblAuftraege[Ausgaben],tblAuftraege[Datum Ausgaben],"&gt;="&amp;BF$5,tblAuftraege[Datum Ausgaben],"&lt;"&amp;EDATE(BF$5,1),tblAuftraege[Kategorie],"Lizenzen")</f>
        <v>0</v>
      </c>
      <c r="BG141" s="11" t="n">
        <f aca="false">SUM(E141:J141)</f>
        <v>0</v>
      </c>
      <c r="BH141" s="11" t="n">
        <f aca="false">SUM(K141:V141)</f>
        <v>0</v>
      </c>
      <c r="BI141" s="11" t="n">
        <f aca="false">SUM(W141:AH141)</f>
        <v>0</v>
      </c>
      <c r="BJ141" s="11" t="n">
        <f aca="false">SUM(AI141:AT141)</f>
        <v>0</v>
      </c>
      <c r="BK141" s="11" t="n">
        <f aca="false">SUM(AU141:BF141)</f>
        <v>0</v>
      </c>
      <c r="BL141" s="11" t="n">
        <f aca="false">SUM(E141:BF141)</f>
        <v>0</v>
      </c>
    </row>
    <row r="142" customFormat="false" ht="15" hidden="false" customHeight="false" outlineLevel="0" collapsed="false">
      <c r="A142" s="13" t="s">
        <v>97</v>
      </c>
      <c r="B142" s="14"/>
      <c r="C142" s="15"/>
      <c r="D142" s="15"/>
      <c r="E142" s="11" t="n">
        <f aca="false">SUMIFS(tblAuftraege[Einnahmen],tblAuftraege[Datum Einnahmen],"&gt;="&amp;E$5,tblAuftraege[Datum Einnahmen],"&lt;"&amp;EDATE(E$5,1),tblAuftraege[Kategorie],"Dienstleistung")</f>
        <v>0</v>
      </c>
      <c r="F142" s="11" t="n">
        <f aca="false">SUMIFS(tblAuftraege[Einnahmen],tblAuftraege[Datum Einnahmen],"&gt;="&amp;F$5,tblAuftraege[Datum Einnahmen],"&lt;"&amp;EDATE(F$5,1),tblAuftraege[Kategorie],"Dienstleistung")</f>
        <v>0</v>
      </c>
      <c r="G142" s="11" t="n">
        <f aca="false">SUMIFS(tblAuftraege[Einnahmen],tblAuftraege[Datum Einnahmen],"&gt;="&amp;G$5,tblAuftraege[Datum Einnahmen],"&lt;"&amp;EDATE(G$5,1),tblAuftraege[Kategorie],"Dienstleistung")</f>
        <v>0</v>
      </c>
      <c r="H142" s="11" t="n">
        <f aca="false">SUMIFS(tblAuftraege[Einnahmen],tblAuftraege[Datum Einnahmen],"&gt;="&amp;H$5,tblAuftraege[Datum Einnahmen],"&lt;"&amp;EDATE(H$5,1),tblAuftraege[Kategorie],"Dienstleistung")</f>
        <v>0</v>
      </c>
      <c r="I142" s="11" t="n">
        <f aca="false">SUMIFS(tblAuftraege[Einnahmen],tblAuftraege[Datum Einnahmen],"&gt;="&amp;I$5,tblAuftraege[Datum Einnahmen],"&lt;"&amp;EDATE(I$5,1),tblAuftraege[Kategorie],"Dienstleistung")</f>
        <v>0</v>
      </c>
      <c r="J142" s="11" t="n">
        <f aca="false">SUMIFS(tblAuftraege[Einnahmen],tblAuftraege[Datum Einnahmen],"&gt;="&amp;J$5,tblAuftraege[Datum Einnahmen],"&lt;"&amp;EDATE(J$5,1),tblAuftraege[Kategorie],"Dienstleistung")</f>
        <v>0</v>
      </c>
      <c r="K142" s="11" t="n">
        <f aca="false">SUMIFS(tblAuftraege[Einnahmen],tblAuftraege[Datum Einnahmen],"&gt;="&amp;K$5,tblAuftraege[Datum Einnahmen],"&lt;"&amp;EDATE(K$5,1),tblAuftraege[Kategorie],"Dienstleistung")</f>
        <v>0</v>
      </c>
      <c r="L142" s="11" t="n">
        <f aca="false">SUMIFS(tblAuftraege[Einnahmen],tblAuftraege[Datum Einnahmen],"&gt;="&amp;L$5,tblAuftraege[Datum Einnahmen],"&lt;"&amp;EDATE(L$5,1),tblAuftraege[Kategorie],"Dienstleistung")</f>
        <v>0</v>
      </c>
      <c r="M142" s="11" t="n">
        <f aca="false">SUMIFS(tblAuftraege[Einnahmen],tblAuftraege[Datum Einnahmen],"&gt;="&amp;M$5,tblAuftraege[Datum Einnahmen],"&lt;"&amp;EDATE(M$5,1),tblAuftraege[Kategorie],"Dienstleistung")</f>
        <v>0</v>
      </c>
      <c r="N142" s="11" t="n">
        <f aca="false">SUMIFS(tblAuftraege[Einnahmen],tblAuftraege[Datum Einnahmen],"&gt;="&amp;N$5,tblAuftraege[Datum Einnahmen],"&lt;"&amp;EDATE(N$5,1),tblAuftraege[Kategorie],"Dienstleistung")</f>
        <v>0</v>
      </c>
      <c r="O142" s="11" t="n">
        <f aca="false">SUMIFS(tblAuftraege[Einnahmen],tblAuftraege[Datum Einnahmen],"&gt;="&amp;O$5,tblAuftraege[Datum Einnahmen],"&lt;"&amp;EDATE(O$5,1),tblAuftraege[Kategorie],"Dienstleistung")</f>
        <v>0</v>
      </c>
      <c r="P142" s="11" t="n">
        <f aca="false">SUMIFS(tblAuftraege[Einnahmen],tblAuftraege[Datum Einnahmen],"&gt;="&amp;P$5,tblAuftraege[Datum Einnahmen],"&lt;"&amp;EDATE(P$5,1),tblAuftraege[Kategorie],"Dienstleistung")</f>
        <v>0</v>
      </c>
      <c r="Q142" s="11" t="n">
        <f aca="false">SUMIFS(tblAuftraege[Einnahmen],tblAuftraege[Datum Einnahmen],"&gt;="&amp;Q$5,tblAuftraege[Datum Einnahmen],"&lt;"&amp;EDATE(Q$5,1),tblAuftraege[Kategorie],"Dienstleistung")</f>
        <v>0</v>
      </c>
      <c r="R142" s="11" t="n">
        <f aca="false">SUMIFS(tblAuftraege[Einnahmen],tblAuftraege[Datum Einnahmen],"&gt;="&amp;R$5,tblAuftraege[Datum Einnahmen],"&lt;"&amp;EDATE(R$5,1),tblAuftraege[Kategorie],"Dienstleistung")</f>
        <v>0</v>
      </c>
      <c r="S142" s="11" t="n">
        <f aca="false">SUMIFS(tblAuftraege[Einnahmen],tblAuftraege[Datum Einnahmen],"&gt;="&amp;S$5,tblAuftraege[Datum Einnahmen],"&lt;"&amp;EDATE(S$5,1),tblAuftraege[Kategorie],"Dienstleistung")</f>
        <v>0</v>
      </c>
      <c r="T142" s="11" t="n">
        <f aca="false">SUMIFS(tblAuftraege[Einnahmen],tblAuftraege[Datum Einnahmen],"&gt;="&amp;T$5,tblAuftraege[Datum Einnahmen],"&lt;"&amp;EDATE(T$5,1),tblAuftraege[Kategorie],"Dienstleistung")</f>
        <v>0</v>
      </c>
      <c r="U142" s="11" t="n">
        <f aca="false">SUMIFS(tblAuftraege[Einnahmen],tblAuftraege[Datum Einnahmen],"&gt;="&amp;U$5,tblAuftraege[Datum Einnahmen],"&lt;"&amp;EDATE(U$5,1),tblAuftraege[Kategorie],"Dienstleistung")</f>
        <v>0</v>
      </c>
      <c r="V142" s="11" t="n">
        <f aca="false">SUMIFS(tblAuftraege[Einnahmen],tblAuftraege[Datum Einnahmen],"&gt;="&amp;V$5,tblAuftraege[Datum Einnahmen],"&lt;"&amp;EDATE(V$5,1),tblAuftraege[Kategorie],"Dienstleistung")</f>
        <v>0</v>
      </c>
      <c r="W142" s="11" t="n">
        <f aca="false">SUMIFS(tblAuftraege[Einnahmen],tblAuftraege[Datum Einnahmen],"&gt;="&amp;W$5,tblAuftraege[Datum Einnahmen],"&lt;"&amp;EDATE(W$5,1),tblAuftraege[Kategorie],"Dienstleistung")</f>
        <v>0</v>
      </c>
      <c r="X142" s="11" t="n">
        <f aca="false">SUMIFS(tblAuftraege[Einnahmen],tblAuftraege[Datum Einnahmen],"&gt;="&amp;X$5,tblAuftraege[Datum Einnahmen],"&lt;"&amp;EDATE(X$5,1),tblAuftraege[Kategorie],"Dienstleistung")</f>
        <v>0</v>
      </c>
      <c r="Y142" s="11" t="n">
        <f aca="false">SUMIFS(tblAuftraege[Einnahmen],tblAuftraege[Datum Einnahmen],"&gt;="&amp;Y$5,tblAuftraege[Datum Einnahmen],"&lt;"&amp;EDATE(Y$5,1),tblAuftraege[Kategorie],"Dienstleistung")</f>
        <v>0</v>
      </c>
      <c r="Z142" s="11" t="n">
        <f aca="false">SUMIFS(tblAuftraege[Einnahmen],tblAuftraege[Datum Einnahmen],"&gt;="&amp;Z$5,tblAuftraege[Datum Einnahmen],"&lt;"&amp;EDATE(Z$5,1),tblAuftraege[Kategorie],"Dienstleistung")</f>
        <v>0</v>
      </c>
      <c r="AA142" s="11" t="n">
        <f aca="false">SUMIFS(tblAuftraege[Einnahmen],tblAuftraege[Datum Einnahmen],"&gt;="&amp;AA$5,tblAuftraege[Datum Einnahmen],"&lt;"&amp;EDATE(AA$5,1),tblAuftraege[Kategorie],"Dienstleistung")</f>
        <v>0</v>
      </c>
      <c r="AB142" s="11" t="n">
        <f aca="false">SUMIFS(tblAuftraege[Einnahmen],tblAuftraege[Datum Einnahmen],"&gt;="&amp;AB$5,tblAuftraege[Datum Einnahmen],"&lt;"&amp;EDATE(AB$5,1),tblAuftraege[Kategorie],"Dienstleistung")</f>
        <v>0</v>
      </c>
      <c r="AC142" s="11" t="n">
        <f aca="false">SUMIFS(tblAuftraege[Einnahmen],tblAuftraege[Datum Einnahmen],"&gt;="&amp;AC$5,tblAuftraege[Datum Einnahmen],"&lt;"&amp;EDATE(AC$5,1),tblAuftraege[Kategorie],"Dienstleistung")</f>
        <v>0</v>
      </c>
      <c r="AD142" s="11" t="n">
        <f aca="false">SUMIFS(tblAuftraege[Einnahmen],tblAuftraege[Datum Einnahmen],"&gt;="&amp;AD$5,tblAuftraege[Datum Einnahmen],"&lt;"&amp;EDATE(AD$5,1),tblAuftraege[Kategorie],"Dienstleistung")</f>
        <v>0</v>
      </c>
      <c r="AE142" s="11" t="n">
        <f aca="false">SUMIFS(tblAuftraege[Einnahmen],tblAuftraege[Datum Einnahmen],"&gt;="&amp;AE$5,tblAuftraege[Datum Einnahmen],"&lt;"&amp;EDATE(AE$5,1),tblAuftraege[Kategorie],"Dienstleistung")</f>
        <v>0</v>
      </c>
      <c r="AF142" s="11" t="n">
        <f aca="false">SUMIFS(tblAuftraege[Einnahmen],tblAuftraege[Datum Einnahmen],"&gt;="&amp;AF$5,tblAuftraege[Datum Einnahmen],"&lt;"&amp;EDATE(AF$5,1),tblAuftraege[Kategorie],"Dienstleistung")</f>
        <v>0</v>
      </c>
      <c r="AG142" s="11" t="n">
        <f aca="false">SUMIFS(tblAuftraege[Einnahmen],tblAuftraege[Datum Einnahmen],"&gt;="&amp;AG$5,tblAuftraege[Datum Einnahmen],"&lt;"&amp;EDATE(AG$5,1),tblAuftraege[Kategorie],"Dienstleistung")</f>
        <v>0</v>
      </c>
      <c r="AH142" s="11" t="n">
        <f aca="false">SUMIFS(tblAuftraege[Einnahmen],tblAuftraege[Datum Einnahmen],"&gt;="&amp;AH$5,tblAuftraege[Datum Einnahmen],"&lt;"&amp;EDATE(AH$5,1),tblAuftraege[Kategorie],"Dienstleistung")</f>
        <v>0</v>
      </c>
      <c r="AI142" s="11" t="n">
        <f aca="false">SUMIFS(tblAuftraege[Einnahmen],tblAuftraege[Datum Einnahmen],"&gt;="&amp;AI$5,tblAuftraege[Datum Einnahmen],"&lt;"&amp;EDATE(AI$5,1),tblAuftraege[Kategorie],"Dienstleistung")</f>
        <v>0</v>
      </c>
      <c r="AJ142" s="11" t="n">
        <f aca="false">SUMIFS(tblAuftraege[Einnahmen],tblAuftraege[Datum Einnahmen],"&gt;="&amp;AJ$5,tblAuftraege[Datum Einnahmen],"&lt;"&amp;EDATE(AJ$5,1),tblAuftraege[Kategorie],"Dienstleistung")</f>
        <v>0</v>
      </c>
      <c r="AK142" s="11" t="n">
        <f aca="false">SUMIFS(tblAuftraege[Einnahmen],tblAuftraege[Datum Einnahmen],"&gt;="&amp;AK$5,tblAuftraege[Datum Einnahmen],"&lt;"&amp;EDATE(AK$5,1),tblAuftraege[Kategorie],"Dienstleistung")</f>
        <v>0</v>
      </c>
      <c r="AL142" s="11" t="n">
        <f aca="false">SUMIFS(tblAuftraege[Einnahmen],tblAuftraege[Datum Einnahmen],"&gt;="&amp;AL$5,tblAuftraege[Datum Einnahmen],"&lt;"&amp;EDATE(AL$5,1),tblAuftraege[Kategorie],"Dienstleistung")</f>
        <v>0</v>
      </c>
      <c r="AM142" s="11" t="n">
        <f aca="false">SUMIFS(tblAuftraege[Einnahmen],tblAuftraege[Datum Einnahmen],"&gt;="&amp;AM$5,tblAuftraege[Datum Einnahmen],"&lt;"&amp;EDATE(AM$5,1),tblAuftraege[Kategorie],"Dienstleistung")</f>
        <v>0</v>
      </c>
      <c r="AN142" s="11" t="n">
        <f aca="false">SUMIFS(tblAuftraege[Einnahmen],tblAuftraege[Datum Einnahmen],"&gt;="&amp;AN$5,tblAuftraege[Datum Einnahmen],"&lt;"&amp;EDATE(AN$5,1),tblAuftraege[Kategorie],"Dienstleistung")</f>
        <v>0</v>
      </c>
      <c r="AO142" s="11" t="n">
        <f aca="false">SUMIFS(tblAuftraege[Einnahmen],tblAuftraege[Datum Einnahmen],"&gt;="&amp;AO$5,tblAuftraege[Datum Einnahmen],"&lt;"&amp;EDATE(AO$5,1),tblAuftraege[Kategorie],"Dienstleistung")</f>
        <v>0</v>
      </c>
      <c r="AP142" s="11" t="n">
        <f aca="false">SUMIFS(tblAuftraege[Einnahmen],tblAuftraege[Datum Einnahmen],"&gt;="&amp;AP$5,tblAuftraege[Datum Einnahmen],"&lt;"&amp;EDATE(AP$5,1),tblAuftraege[Kategorie],"Dienstleistung")</f>
        <v>0</v>
      </c>
      <c r="AQ142" s="11" t="n">
        <f aca="false">SUMIFS(tblAuftraege[Einnahmen],tblAuftraege[Datum Einnahmen],"&gt;="&amp;AQ$5,tblAuftraege[Datum Einnahmen],"&lt;"&amp;EDATE(AQ$5,1),tblAuftraege[Kategorie],"Dienstleistung")</f>
        <v>0</v>
      </c>
      <c r="AR142" s="11" t="n">
        <f aca="false">SUMIFS(tblAuftraege[Einnahmen],tblAuftraege[Datum Einnahmen],"&gt;="&amp;AR$5,tblAuftraege[Datum Einnahmen],"&lt;"&amp;EDATE(AR$5,1),tblAuftraege[Kategorie],"Dienstleistung")</f>
        <v>0</v>
      </c>
      <c r="AS142" s="11" t="n">
        <f aca="false">SUMIFS(tblAuftraege[Einnahmen],tblAuftraege[Datum Einnahmen],"&gt;="&amp;AS$5,tblAuftraege[Datum Einnahmen],"&lt;"&amp;EDATE(AS$5,1),tblAuftraege[Kategorie],"Dienstleistung")</f>
        <v>0</v>
      </c>
      <c r="AT142" s="11" t="n">
        <f aca="false">SUMIFS(tblAuftraege[Einnahmen],tblAuftraege[Datum Einnahmen],"&gt;="&amp;AT$5,tblAuftraege[Datum Einnahmen],"&lt;"&amp;EDATE(AT$5,1),tblAuftraege[Kategorie],"Dienstleistung")</f>
        <v>0</v>
      </c>
      <c r="AU142" s="11" t="n">
        <f aca="false">SUMIFS(tblAuftraege[Einnahmen],tblAuftraege[Datum Einnahmen],"&gt;="&amp;AU$5,tblAuftraege[Datum Einnahmen],"&lt;"&amp;EDATE(AU$5,1),tblAuftraege[Kategorie],"Dienstleistung")</f>
        <v>0</v>
      </c>
      <c r="AV142" s="11" t="n">
        <f aca="false">SUMIFS(tblAuftraege[Einnahmen],tblAuftraege[Datum Einnahmen],"&gt;="&amp;AV$5,tblAuftraege[Datum Einnahmen],"&lt;"&amp;EDATE(AV$5,1),tblAuftraege[Kategorie],"Dienstleistung")</f>
        <v>0</v>
      </c>
      <c r="AW142" s="11" t="n">
        <f aca="false">SUMIFS(tblAuftraege[Einnahmen],tblAuftraege[Datum Einnahmen],"&gt;="&amp;AW$5,tblAuftraege[Datum Einnahmen],"&lt;"&amp;EDATE(AW$5,1),tblAuftraege[Kategorie],"Dienstleistung")</f>
        <v>0</v>
      </c>
      <c r="AX142" s="11" t="n">
        <f aca="false">SUMIFS(tblAuftraege[Einnahmen],tblAuftraege[Datum Einnahmen],"&gt;="&amp;AX$5,tblAuftraege[Datum Einnahmen],"&lt;"&amp;EDATE(AX$5,1),tblAuftraege[Kategorie],"Dienstleistung")</f>
        <v>0</v>
      </c>
      <c r="AY142" s="11" t="n">
        <f aca="false">SUMIFS(tblAuftraege[Einnahmen],tblAuftraege[Datum Einnahmen],"&gt;="&amp;AY$5,tblAuftraege[Datum Einnahmen],"&lt;"&amp;EDATE(AY$5,1),tblAuftraege[Kategorie],"Dienstleistung")</f>
        <v>0</v>
      </c>
      <c r="AZ142" s="11" t="n">
        <f aca="false">SUMIFS(tblAuftraege[Einnahmen],tblAuftraege[Datum Einnahmen],"&gt;="&amp;AZ$5,tblAuftraege[Datum Einnahmen],"&lt;"&amp;EDATE(AZ$5,1),tblAuftraege[Kategorie],"Dienstleistung")</f>
        <v>0</v>
      </c>
      <c r="BA142" s="11" t="n">
        <f aca="false">SUMIFS(tblAuftraege[Einnahmen],tblAuftraege[Datum Einnahmen],"&gt;="&amp;BA$5,tblAuftraege[Datum Einnahmen],"&lt;"&amp;EDATE(BA$5,1),tblAuftraege[Kategorie],"Dienstleistung")</f>
        <v>0</v>
      </c>
      <c r="BB142" s="11" t="n">
        <f aca="false">SUMIFS(tblAuftraege[Einnahmen],tblAuftraege[Datum Einnahmen],"&gt;="&amp;BB$5,tblAuftraege[Datum Einnahmen],"&lt;"&amp;EDATE(BB$5,1),tblAuftraege[Kategorie],"Dienstleistung")</f>
        <v>0</v>
      </c>
      <c r="BC142" s="11" t="n">
        <f aca="false">SUMIFS(tblAuftraege[Einnahmen],tblAuftraege[Datum Einnahmen],"&gt;="&amp;BC$5,tblAuftraege[Datum Einnahmen],"&lt;"&amp;EDATE(BC$5,1),tblAuftraege[Kategorie],"Dienstleistung")</f>
        <v>0</v>
      </c>
      <c r="BD142" s="11" t="n">
        <f aca="false">SUMIFS(tblAuftraege[Einnahmen],tblAuftraege[Datum Einnahmen],"&gt;="&amp;BD$5,tblAuftraege[Datum Einnahmen],"&lt;"&amp;EDATE(BD$5,1),tblAuftraege[Kategorie],"Dienstleistung")</f>
        <v>0</v>
      </c>
      <c r="BE142" s="11" t="n">
        <f aca="false">SUMIFS(tblAuftraege[Einnahmen],tblAuftraege[Datum Einnahmen],"&gt;="&amp;BE$5,tblAuftraege[Datum Einnahmen],"&lt;"&amp;EDATE(BE$5,1),tblAuftraege[Kategorie],"Dienstleistung")</f>
        <v>0</v>
      </c>
      <c r="BF142" s="11" t="n">
        <f aca="false">SUMIFS(tblAuftraege[Einnahmen],tblAuftraege[Datum Einnahmen],"&gt;="&amp;BF$5,tblAuftraege[Datum Einnahmen],"&lt;"&amp;EDATE(BF$5,1),tblAuftraege[Kategorie],"Dienstleistung")</f>
        <v>0</v>
      </c>
      <c r="BG142" s="11" t="n">
        <f aca="false">SUM(E142:J142)</f>
        <v>0</v>
      </c>
      <c r="BH142" s="11" t="n">
        <f aca="false">SUM(K142:V142)</f>
        <v>0</v>
      </c>
      <c r="BI142" s="11" t="n">
        <f aca="false">SUM(W142:AH142)</f>
        <v>0</v>
      </c>
      <c r="BJ142" s="11" t="n">
        <f aca="false">SUM(AI142:AT142)</f>
        <v>0</v>
      </c>
      <c r="BK142" s="11" t="n">
        <f aca="false">SUM(AU142:BF142)</f>
        <v>0</v>
      </c>
      <c r="BL142" s="11" t="n">
        <f aca="false">SUM(E142:BF142)</f>
        <v>0</v>
      </c>
    </row>
    <row r="143" customFormat="false" ht="15" hidden="false" customHeight="false" outlineLevel="0" collapsed="false">
      <c r="A143" s="13" t="s">
        <v>98</v>
      </c>
      <c r="B143" s="14"/>
      <c r="C143" s="15"/>
      <c r="D143" s="15"/>
      <c r="E143" s="11" t="n">
        <f aca="false">SUMIFS(tblAuftraege[Ausgaben],tblAuftraege[Datum Ausgaben],"&gt;="&amp;E$5,tblAuftraege[Datum Ausgaben],"&lt;"&amp;EDATE(E$5,1),tblAuftraege[Kategorie],"Dienstleistung")</f>
        <v>0</v>
      </c>
      <c r="F143" s="11" t="n">
        <f aca="false">SUMIFS(tblAuftraege[Ausgaben],tblAuftraege[Datum Ausgaben],"&gt;="&amp;F$5,tblAuftraege[Datum Ausgaben],"&lt;"&amp;EDATE(F$5,1),tblAuftraege[Kategorie],"Dienstleistung")</f>
        <v>0</v>
      </c>
      <c r="G143" s="11" t="n">
        <f aca="false">SUMIFS(tblAuftraege[Ausgaben],tblAuftraege[Datum Ausgaben],"&gt;="&amp;G$5,tblAuftraege[Datum Ausgaben],"&lt;"&amp;EDATE(G$5,1),tblAuftraege[Kategorie],"Dienstleistung")</f>
        <v>0</v>
      </c>
      <c r="H143" s="11" t="n">
        <f aca="false">SUMIFS(tblAuftraege[Ausgaben],tblAuftraege[Datum Ausgaben],"&gt;="&amp;H$5,tblAuftraege[Datum Ausgaben],"&lt;"&amp;EDATE(H$5,1),tblAuftraege[Kategorie],"Dienstleistung")</f>
        <v>0</v>
      </c>
      <c r="I143" s="11" t="n">
        <f aca="false">SUMIFS(tblAuftraege[Ausgaben],tblAuftraege[Datum Ausgaben],"&gt;="&amp;I$5,tblAuftraege[Datum Ausgaben],"&lt;"&amp;EDATE(I$5,1),tblAuftraege[Kategorie],"Dienstleistung")</f>
        <v>0</v>
      </c>
      <c r="J143" s="11" t="n">
        <f aca="false">SUMIFS(tblAuftraege[Ausgaben],tblAuftraege[Datum Ausgaben],"&gt;="&amp;J$5,tblAuftraege[Datum Ausgaben],"&lt;"&amp;EDATE(J$5,1),tblAuftraege[Kategorie],"Dienstleistung")</f>
        <v>0</v>
      </c>
      <c r="K143" s="11" t="n">
        <f aca="false">SUMIFS(tblAuftraege[Ausgaben],tblAuftraege[Datum Ausgaben],"&gt;="&amp;K$5,tblAuftraege[Datum Ausgaben],"&lt;"&amp;EDATE(K$5,1),tblAuftraege[Kategorie],"Dienstleistung")</f>
        <v>0</v>
      </c>
      <c r="L143" s="11" t="n">
        <f aca="false">SUMIFS(tblAuftraege[Ausgaben],tblAuftraege[Datum Ausgaben],"&gt;="&amp;L$5,tblAuftraege[Datum Ausgaben],"&lt;"&amp;EDATE(L$5,1),tblAuftraege[Kategorie],"Dienstleistung")</f>
        <v>0</v>
      </c>
      <c r="M143" s="11" t="n">
        <f aca="false">SUMIFS(tblAuftraege[Ausgaben],tblAuftraege[Datum Ausgaben],"&gt;="&amp;M$5,tblAuftraege[Datum Ausgaben],"&lt;"&amp;EDATE(M$5,1),tblAuftraege[Kategorie],"Dienstleistung")</f>
        <v>0</v>
      </c>
      <c r="N143" s="11" t="n">
        <f aca="false">SUMIFS(tblAuftraege[Ausgaben],tblAuftraege[Datum Ausgaben],"&gt;="&amp;N$5,tblAuftraege[Datum Ausgaben],"&lt;"&amp;EDATE(N$5,1),tblAuftraege[Kategorie],"Dienstleistung")</f>
        <v>0</v>
      </c>
      <c r="O143" s="11" t="n">
        <f aca="false">SUMIFS(tblAuftraege[Ausgaben],tblAuftraege[Datum Ausgaben],"&gt;="&amp;O$5,tblAuftraege[Datum Ausgaben],"&lt;"&amp;EDATE(O$5,1),tblAuftraege[Kategorie],"Dienstleistung")</f>
        <v>0</v>
      </c>
      <c r="P143" s="11" t="n">
        <f aca="false">SUMIFS(tblAuftraege[Ausgaben],tblAuftraege[Datum Ausgaben],"&gt;="&amp;P$5,tblAuftraege[Datum Ausgaben],"&lt;"&amp;EDATE(P$5,1),tblAuftraege[Kategorie],"Dienstleistung")</f>
        <v>0</v>
      </c>
      <c r="Q143" s="11" t="n">
        <f aca="false">SUMIFS(tblAuftraege[Ausgaben],tblAuftraege[Datum Ausgaben],"&gt;="&amp;Q$5,tblAuftraege[Datum Ausgaben],"&lt;"&amp;EDATE(Q$5,1),tblAuftraege[Kategorie],"Dienstleistung")</f>
        <v>0</v>
      </c>
      <c r="R143" s="11" t="n">
        <f aca="false">SUMIFS(tblAuftraege[Ausgaben],tblAuftraege[Datum Ausgaben],"&gt;="&amp;R$5,tblAuftraege[Datum Ausgaben],"&lt;"&amp;EDATE(R$5,1),tblAuftraege[Kategorie],"Dienstleistung")</f>
        <v>0</v>
      </c>
      <c r="S143" s="11" t="n">
        <f aca="false">SUMIFS(tblAuftraege[Ausgaben],tblAuftraege[Datum Ausgaben],"&gt;="&amp;S$5,tblAuftraege[Datum Ausgaben],"&lt;"&amp;EDATE(S$5,1),tblAuftraege[Kategorie],"Dienstleistung")</f>
        <v>0</v>
      </c>
      <c r="T143" s="11" t="n">
        <f aca="false">SUMIFS(tblAuftraege[Ausgaben],tblAuftraege[Datum Ausgaben],"&gt;="&amp;T$5,tblAuftraege[Datum Ausgaben],"&lt;"&amp;EDATE(T$5,1),tblAuftraege[Kategorie],"Dienstleistung")</f>
        <v>0</v>
      </c>
      <c r="U143" s="11" t="n">
        <f aca="false">SUMIFS(tblAuftraege[Ausgaben],tblAuftraege[Datum Ausgaben],"&gt;="&amp;U$5,tblAuftraege[Datum Ausgaben],"&lt;"&amp;EDATE(U$5,1),tblAuftraege[Kategorie],"Dienstleistung")</f>
        <v>0</v>
      </c>
      <c r="V143" s="11" t="n">
        <f aca="false">SUMIFS(tblAuftraege[Ausgaben],tblAuftraege[Datum Ausgaben],"&gt;="&amp;V$5,tblAuftraege[Datum Ausgaben],"&lt;"&amp;EDATE(V$5,1),tblAuftraege[Kategorie],"Dienstleistung")</f>
        <v>0</v>
      </c>
      <c r="W143" s="11" t="n">
        <f aca="false">SUMIFS(tblAuftraege[Ausgaben],tblAuftraege[Datum Ausgaben],"&gt;="&amp;W$5,tblAuftraege[Datum Ausgaben],"&lt;"&amp;EDATE(W$5,1),tblAuftraege[Kategorie],"Dienstleistung")</f>
        <v>0</v>
      </c>
      <c r="X143" s="11" t="n">
        <f aca="false">SUMIFS(tblAuftraege[Ausgaben],tblAuftraege[Datum Ausgaben],"&gt;="&amp;X$5,tblAuftraege[Datum Ausgaben],"&lt;"&amp;EDATE(X$5,1),tblAuftraege[Kategorie],"Dienstleistung")</f>
        <v>0</v>
      </c>
      <c r="Y143" s="11" t="n">
        <f aca="false">SUMIFS(tblAuftraege[Ausgaben],tblAuftraege[Datum Ausgaben],"&gt;="&amp;Y$5,tblAuftraege[Datum Ausgaben],"&lt;"&amp;EDATE(Y$5,1),tblAuftraege[Kategorie],"Dienstleistung")</f>
        <v>0</v>
      </c>
      <c r="Z143" s="11" t="n">
        <f aca="false">SUMIFS(tblAuftraege[Ausgaben],tblAuftraege[Datum Ausgaben],"&gt;="&amp;Z$5,tblAuftraege[Datum Ausgaben],"&lt;"&amp;EDATE(Z$5,1),tblAuftraege[Kategorie],"Dienstleistung")</f>
        <v>0</v>
      </c>
      <c r="AA143" s="11" t="n">
        <f aca="false">SUMIFS(tblAuftraege[Ausgaben],tblAuftraege[Datum Ausgaben],"&gt;="&amp;AA$5,tblAuftraege[Datum Ausgaben],"&lt;"&amp;EDATE(AA$5,1),tblAuftraege[Kategorie],"Dienstleistung")</f>
        <v>0</v>
      </c>
      <c r="AB143" s="11" t="n">
        <f aca="false">SUMIFS(tblAuftraege[Ausgaben],tblAuftraege[Datum Ausgaben],"&gt;="&amp;AB$5,tblAuftraege[Datum Ausgaben],"&lt;"&amp;EDATE(AB$5,1),tblAuftraege[Kategorie],"Dienstleistung")</f>
        <v>0</v>
      </c>
      <c r="AC143" s="11" t="n">
        <f aca="false">SUMIFS(tblAuftraege[Ausgaben],tblAuftraege[Datum Ausgaben],"&gt;="&amp;AC$5,tblAuftraege[Datum Ausgaben],"&lt;"&amp;EDATE(AC$5,1),tblAuftraege[Kategorie],"Dienstleistung")</f>
        <v>0</v>
      </c>
      <c r="AD143" s="11" t="n">
        <f aca="false">SUMIFS(tblAuftraege[Ausgaben],tblAuftraege[Datum Ausgaben],"&gt;="&amp;AD$5,tblAuftraege[Datum Ausgaben],"&lt;"&amp;EDATE(AD$5,1),tblAuftraege[Kategorie],"Dienstleistung")</f>
        <v>0</v>
      </c>
      <c r="AE143" s="11" t="n">
        <f aca="false">SUMIFS(tblAuftraege[Ausgaben],tblAuftraege[Datum Ausgaben],"&gt;="&amp;AE$5,tblAuftraege[Datum Ausgaben],"&lt;"&amp;EDATE(AE$5,1),tblAuftraege[Kategorie],"Dienstleistung")</f>
        <v>0</v>
      </c>
      <c r="AF143" s="11" t="n">
        <f aca="false">SUMIFS(tblAuftraege[Ausgaben],tblAuftraege[Datum Ausgaben],"&gt;="&amp;AF$5,tblAuftraege[Datum Ausgaben],"&lt;"&amp;EDATE(AF$5,1),tblAuftraege[Kategorie],"Dienstleistung")</f>
        <v>0</v>
      </c>
      <c r="AG143" s="11" t="n">
        <f aca="false">SUMIFS(tblAuftraege[Ausgaben],tblAuftraege[Datum Ausgaben],"&gt;="&amp;AG$5,tblAuftraege[Datum Ausgaben],"&lt;"&amp;EDATE(AG$5,1),tblAuftraege[Kategorie],"Dienstleistung")</f>
        <v>0</v>
      </c>
      <c r="AH143" s="11" t="n">
        <f aca="false">SUMIFS(tblAuftraege[Ausgaben],tblAuftraege[Datum Ausgaben],"&gt;="&amp;AH$5,tblAuftraege[Datum Ausgaben],"&lt;"&amp;EDATE(AH$5,1),tblAuftraege[Kategorie],"Dienstleistung")</f>
        <v>0</v>
      </c>
      <c r="AI143" s="11" t="n">
        <f aca="false">SUMIFS(tblAuftraege[Ausgaben],tblAuftraege[Datum Ausgaben],"&gt;="&amp;AI$5,tblAuftraege[Datum Ausgaben],"&lt;"&amp;EDATE(AI$5,1),tblAuftraege[Kategorie],"Dienstleistung")</f>
        <v>0</v>
      </c>
      <c r="AJ143" s="11" t="n">
        <f aca="false">SUMIFS(tblAuftraege[Ausgaben],tblAuftraege[Datum Ausgaben],"&gt;="&amp;AJ$5,tblAuftraege[Datum Ausgaben],"&lt;"&amp;EDATE(AJ$5,1),tblAuftraege[Kategorie],"Dienstleistung")</f>
        <v>0</v>
      </c>
      <c r="AK143" s="11" t="n">
        <f aca="false">SUMIFS(tblAuftraege[Ausgaben],tblAuftraege[Datum Ausgaben],"&gt;="&amp;AK$5,tblAuftraege[Datum Ausgaben],"&lt;"&amp;EDATE(AK$5,1),tblAuftraege[Kategorie],"Dienstleistung")</f>
        <v>0</v>
      </c>
      <c r="AL143" s="11" t="n">
        <f aca="false">SUMIFS(tblAuftraege[Ausgaben],tblAuftraege[Datum Ausgaben],"&gt;="&amp;AL$5,tblAuftraege[Datum Ausgaben],"&lt;"&amp;EDATE(AL$5,1),tblAuftraege[Kategorie],"Dienstleistung")</f>
        <v>0</v>
      </c>
      <c r="AM143" s="11" t="n">
        <f aca="false">SUMIFS(tblAuftraege[Ausgaben],tblAuftraege[Datum Ausgaben],"&gt;="&amp;AM$5,tblAuftraege[Datum Ausgaben],"&lt;"&amp;EDATE(AM$5,1),tblAuftraege[Kategorie],"Dienstleistung")</f>
        <v>0</v>
      </c>
      <c r="AN143" s="11" t="n">
        <f aca="false">SUMIFS(tblAuftraege[Ausgaben],tblAuftraege[Datum Ausgaben],"&gt;="&amp;AN$5,tblAuftraege[Datum Ausgaben],"&lt;"&amp;EDATE(AN$5,1),tblAuftraege[Kategorie],"Dienstleistung")</f>
        <v>0</v>
      </c>
      <c r="AO143" s="11" t="n">
        <f aca="false">SUMIFS(tblAuftraege[Ausgaben],tblAuftraege[Datum Ausgaben],"&gt;="&amp;AO$5,tblAuftraege[Datum Ausgaben],"&lt;"&amp;EDATE(AO$5,1),tblAuftraege[Kategorie],"Dienstleistung")</f>
        <v>0</v>
      </c>
      <c r="AP143" s="11" t="n">
        <f aca="false">SUMIFS(tblAuftraege[Ausgaben],tblAuftraege[Datum Ausgaben],"&gt;="&amp;AP$5,tblAuftraege[Datum Ausgaben],"&lt;"&amp;EDATE(AP$5,1),tblAuftraege[Kategorie],"Dienstleistung")</f>
        <v>0</v>
      </c>
      <c r="AQ143" s="11" t="n">
        <f aca="false">SUMIFS(tblAuftraege[Ausgaben],tblAuftraege[Datum Ausgaben],"&gt;="&amp;AQ$5,tblAuftraege[Datum Ausgaben],"&lt;"&amp;EDATE(AQ$5,1),tblAuftraege[Kategorie],"Dienstleistung")</f>
        <v>0</v>
      </c>
      <c r="AR143" s="11" t="n">
        <f aca="false">SUMIFS(tblAuftraege[Ausgaben],tblAuftraege[Datum Ausgaben],"&gt;="&amp;AR$5,tblAuftraege[Datum Ausgaben],"&lt;"&amp;EDATE(AR$5,1),tblAuftraege[Kategorie],"Dienstleistung")</f>
        <v>0</v>
      </c>
      <c r="AS143" s="11" t="n">
        <f aca="false">SUMIFS(tblAuftraege[Ausgaben],tblAuftraege[Datum Ausgaben],"&gt;="&amp;AS$5,tblAuftraege[Datum Ausgaben],"&lt;"&amp;EDATE(AS$5,1),tblAuftraege[Kategorie],"Dienstleistung")</f>
        <v>0</v>
      </c>
      <c r="AT143" s="11" t="n">
        <f aca="false">SUMIFS(tblAuftraege[Ausgaben],tblAuftraege[Datum Ausgaben],"&gt;="&amp;AT$5,tblAuftraege[Datum Ausgaben],"&lt;"&amp;EDATE(AT$5,1),tblAuftraege[Kategorie],"Dienstleistung")</f>
        <v>0</v>
      </c>
      <c r="AU143" s="11" t="n">
        <f aca="false">SUMIFS(tblAuftraege[Ausgaben],tblAuftraege[Datum Ausgaben],"&gt;="&amp;AU$5,tblAuftraege[Datum Ausgaben],"&lt;"&amp;EDATE(AU$5,1),tblAuftraege[Kategorie],"Dienstleistung")</f>
        <v>0</v>
      </c>
      <c r="AV143" s="11" t="n">
        <f aca="false">SUMIFS(tblAuftraege[Ausgaben],tblAuftraege[Datum Ausgaben],"&gt;="&amp;AV$5,tblAuftraege[Datum Ausgaben],"&lt;"&amp;EDATE(AV$5,1),tblAuftraege[Kategorie],"Dienstleistung")</f>
        <v>0</v>
      </c>
      <c r="AW143" s="11" t="n">
        <f aca="false">SUMIFS(tblAuftraege[Ausgaben],tblAuftraege[Datum Ausgaben],"&gt;="&amp;AW$5,tblAuftraege[Datum Ausgaben],"&lt;"&amp;EDATE(AW$5,1),tblAuftraege[Kategorie],"Dienstleistung")</f>
        <v>0</v>
      </c>
      <c r="AX143" s="11" t="n">
        <f aca="false">SUMIFS(tblAuftraege[Ausgaben],tblAuftraege[Datum Ausgaben],"&gt;="&amp;AX$5,tblAuftraege[Datum Ausgaben],"&lt;"&amp;EDATE(AX$5,1),tblAuftraege[Kategorie],"Dienstleistung")</f>
        <v>0</v>
      </c>
      <c r="AY143" s="11" t="n">
        <f aca="false">SUMIFS(tblAuftraege[Ausgaben],tblAuftraege[Datum Ausgaben],"&gt;="&amp;AY$5,tblAuftraege[Datum Ausgaben],"&lt;"&amp;EDATE(AY$5,1),tblAuftraege[Kategorie],"Dienstleistung")</f>
        <v>0</v>
      </c>
      <c r="AZ143" s="11" t="n">
        <f aca="false">SUMIFS(tblAuftraege[Ausgaben],tblAuftraege[Datum Ausgaben],"&gt;="&amp;AZ$5,tblAuftraege[Datum Ausgaben],"&lt;"&amp;EDATE(AZ$5,1),tblAuftraege[Kategorie],"Dienstleistung")</f>
        <v>0</v>
      </c>
      <c r="BA143" s="11" t="n">
        <f aca="false">SUMIFS(tblAuftraege[Ausgaben],tblAuftraege[Datum Ausgaben],"&gt;="&amp;BA$5,tblAuftraege[Datum Ausgaben],"&lt;"&amp;EDATE(BA$5,1),tblAuftraege[Kategorie],"Dienstleistung")</f>
        <v>0</v>
      </c>
      <c r="BB143" s="11" t="n">
        <f aca="false">SUMIFS(tblAuftraege[Ausgaben],tblAuftraege[Datum Ausgaben],"&gt;="&amp;BB$5,tblAuftraege[Datum Ausgaben],"&lt;"&amp;EDATE(BB$5,1),tblAuftraege[Kategorie],"Dienstleistung")</f>
        <v>0</v>
      </c>
      <c r="BC143" s="11" t="n">
        <f aca="false">SUMIFS(tblAuftraege[Ausgaben],tblAuftraege[Datum Ausgaben],"&gt;="&amp;BC$5,tblAuftraege[Datum Ausgaben],"&lt;"&amp;EDATE(BC$5,1),tblAuftraege[Kategorie],"Dienstleistung")</f>
        <v>0</v>
      </c>
      <c r="BD143" s="11" t="n">
        <f aca="false">SUMIFS(tblAuftraege[Ausgaben],tblAuftraege[Datum Ausgaben],"&gt;="&amp;BD$5,tblAuftraege[Datum Ausgaben],"&lt;"&amp;EDATE(BD$5,1),tblAuftraege[Kategorie],"Dienstleistung")</f>
        <v>0</v>
      </c>
      <c r="BE143" s="11" t="n">
        <f aca="false">SUMIFS(tblAuftraege[Ausgaben],tblAuftraege[Datum Ausgaben],"&gt;="&amp;BE$5,tblAuftraege[Datum Ausgaben],"&lt;"&amp;EDATE(BE$5,1),tblAuftraege[Kategorie],"Dienstleistung")</f>
        <v>0</v>
      </c>
      <c r="BF143" s="11" t="n">
        <f aca="false">SUMIFS(tblAuftraege[Ausgaben],tblAuftraege[Datum Ausgaben],"&gt;="&amp;BF$5,tblAuftraege[Datum Ausgaben],"&lt;"&amp;EDATE(BF$5,1),tblAuftraege[Kategorie],"Dienstleistung")</f>
        <v>0</v>
      </c>
      <c r="BG143" s="11" t="n">
        <f aca="false">SUM(E143:J143)</f>
        <v>0</v>
      </c>
      <c r="BH143" s="11" t="n">
        <f aca="false">SUM(K143:V143)</f>
        <v>0</v>
      </c>
      <c r="BI143" s="11" t="n">
        <f aca="false">SUM(W143:AH143)</f>
        <v>0</v>
      </c>
      <c r="BJ143" s="11" t="n">
        <f aca="false">SUM(AI143:AT143)</f>
        <v>0</v>
      </c>
      <c r="BK143" s="11" t="n">
        <f aca="false">SUM(AU143:BF143)</f>
        <v>0</v>
      </c>
      <c r="BL143" s="11" t="n">
        <f aca="false">SUM(E143:BF143)</f>
        <v>0</v>
      </c>
    </row>
    <row r="145" customFormat="false" ht="19.5" hidden="false" customHeight="true" outlineLevel="0" collapsed="false">
      <c r="A145" s="7" t="s">
        <v>99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</row>
    <row r="146" customFormat="false" ht="15" hidden="false" customHeight="false" outlineLevel="0" collapsed="false">
      <c r="A146" s="28" t="s">
        <v>100</v>
      </c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</row>
    <row r="147" customFormat="false" ht="15" hidden="false" customHeight="false" outlineLevel="0" collapsed="false">
      <c r="A147" s="29" t="s">
        <v>101</v>
      </c>
      <c r="B147" s="15"/>
      <c r="C147" s="15"/>
      <c r="D147" s="30" t="n">
        <f aca="false">SUM(tblAuftraege[Einnahmen])</f>
        <v>0</v>
      </c>
    </row>
    <row r="148" customFormat="false" ht="15" hidden="false" customHeight="false" outlineLevel="0" collapsed="false">
      <c r="A148" s="29" t="s">
        <v>102</v>
      </c>
      <c r="B148" s="15"/>
      <c r="C148" s="15"/>
      <c r="D148" s="30" t="n">
        <f aca="false">SUM(tblAuftraege[Ausgaben])</f>
        <v>0</v>
      </c>
    </row>
    <row r="149" customFormat="false" ht="15" hidden="false" customHeight="false" outlineLevel="0" collapsed="false">
      <c r="A149" s="31" t="s">
        <v>103</v>
      </c>
      <c r="B149" s="26"/>
      <c r="C149" s="26"/>
      <c r="D149" s="32" t="n">
        <f aca="false">D147-D148</f>
        <v>0</v>
      </c>
    </row>
    <row r="150" customFormat="false" ht="15" hidden="false" customHeight="false" outlineLevel="0" collapsed="false">
      <c r="A150" s="29" t="s">
        <v>104</v>
      </c>
      <c r="B150" s="15"/>
      <c r="C150" s="15"/>
      <c r="D150" s="30" t="n">
        <f aca="false">SUMPRODUCT(tblAuftraege[Einnahmen],tblAuftraege[Auftragswahrscheinlichkeit])</f>
        <v>0</v>
      </c>
    </row>
    <row r="151" customFormat="false" ht="15" hidden="false" customHeight="false" outlineLevel="0" collapsed="false">
      <c r="A151" s="29" t="s">
        <v>105</v>
      </c>
      <c r="B151" s="15"/>
      <c r="C151" s="15"/>
      <c r="D151" s="30" t="n">
        <f aca="false">SUMPRODUCT(tblAuftraege[Ausgaben],tblAuftraege[Auftragswahrscheinlichkeit])</f>
        <v>0</v>
      </c>
    </row>
    <row r="152" customFormat="false" ht="15" hidden="false" customHeight="false" outlineLevel="0" collapsed="false">
      <c r="A152" s="31" t="s">
        <v>106</v>
      </c>
      <c r="B152" s="26"/>
      <c r="C152" s="26"/>
      <c r="D152" s="32" t="n">
        <f aca="false">D150-D151</f>
        <v>0</v>
      </c>
    </row>
    <row r="153" customFormat="false" ht="15" hidden="false" customHeight="false" outlineLevel="0" collapsed="false">
      <c r="A153" s="29" t="s">
        <v>107</v>
      </c>
      <c r="B153" s="15"/>
      <c r="C153" s="15"/>
      <c r="D153" s="30" t="n">
        <f aca="false">SUMIFS(tblAuftraege[Einnahmen],tblAuftraege[Auftragswahrscheinlichkeit],1)</f>
        <v>0</v>
      </c>
    </row>
    <row r="154" customFormat="false" ht="15" hidden="false" customHeight="false" outlineLevel="0" collapsed="false">
      <c r="A154" s="29" t="s">
        <v>108</v>
      </c>
      <c r="B154" s="15"/>
      <c r="C154" s="15"/>
      <c r="D154" s="30" t="n">
        <f aca="false">SUMIFS(tblAuftraege[Ausgaben],tblAuftraege[Auftragswahrscheinlichkeit],1)</f>
        <v>0</v>
      </c>
    </row>
    <row r="155" customFormat="false" ht="15" hidden="false" customHeight="false" outlineLevel="0" collapsed="false">
      <c r="A155" s="31" t="s">
        <v>109</v>
      </c>
      <c r="B155" s="26"/>
      <c r="C155" s="26"/>
      <c r="D155" s="32" t="n">
        <f aca="false">D153-D154</f>
        <v>0</v>
      </c>
    </row>
    <row r="156" customFormat="false" ht="15" hidden="false" customHeight="false" outlineLevel="0" collapsed="false">
      <c r="A156" s="29" t="s">
        <v>110</v>
      </c>
      <c r="B156" s="15"/>
      <c r="C156" s="15"/>
      <c r="D156" s="33" t="n">
        <f aca="false">IFERROR(AVERAGE(tblAuftraege[Auftragswahrscheinlichkeit]),0)</f>
        <v>0</v>
      </c>
    </row>
    <row r="157" customFormat="false" ht="15" hidden="false" customHeight="false" outlineLevel="0" collapsed="false">
      <c r="A157" s="29" t="s">
        <v>111</v>
      </c>
      <c r="B157" s="15"/>
      <c r="C157" s="15"/>
      <c r="D157" s="34" t="n">
        <f aca="false">COUNTIFS(tblAuftraege[Auftragswahrscheinlichkeit],"&gt;0",tblAuftraege[Auftragswahrscheinlichkeit],"&lt;1")</f>
        <v>0</v>
      </c>
    </row>
    <row r="158" customFormat="false" ht="15" hidden="false" customHeight="false" outlineLevel="0" collapsed="false">
      <c r="A158" s="29" t="s">
        <v>112</v>
      </c>
      <c r="B158" s="15"/>
      <c r="C158" s="15"/>
      <c r="D158" s="34" t="n">
        <f aca="false">COUNTIF(tblAuftraege[Auftragswahrscheinlichkeit],1)</f>
        <v>0</v>
      </c>
    </row>
    <row r="159" customFormat="false" ht="15" hidden="false" customHeight="false" outlineLevel="0" collapsed="false">
      <c r="A159" s="29" t="s">
        <v>113</v>
      </c>
      <c r="B159" s="15"/>
      <c r="C159" s="15"/>
      <c r="D159" s="30" t="n">
        <f aca="false">SUM(tblAuftraege[Einnahmen])</f>
        <v>0</v>
      </c>
    </row>
    <row r="160" customFormat="false" ht="15" hidden="false" customHeight="false" outlineLevel="0" collapsed="false">
      <c r="A160" s="29" t="s">
        <v>114</v>
      </c>
      <c r="B160" s="15"/>
      <c r="C160" s="15"/>
      <c r="D160" s="30" t="n">
        <f aca="false">SUMPRODUCT(tblAuftraege[Einnahmen],tblAuftraege[Auftragswahrscheinlichkeit])</f>
        <v>0</v>
      </c>
    </row>
    <row r="161" customFormat="false" ht="15" hidden="false" customHeight="false" outlineLevel="0" collapsed="false">
      <c r="A161" s="31" t="s">
        <v>115</v>
      </c>
      <c r="B161" s="26"/>
      <c r="C161" s="26"/>
      <c r="D161" s="32" t="n">
        <f aca="false">D159-D160</f>
        <v>0</v>
      </c>
    </row>
    <row r="162" customFormat="false" ht="15" hidden="false" customHeight="false" outlineLevel="0" collapsed="false">
      <c r="A162" s="28" t="s">
        <v>116</v>
      </c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</row>
    <row r="163" customFormat="false" ht="15" hidden="false" customHeight="false" outlineLevel="0" collapsed="false">
      <c r="A163" s="13" t="s">
        <v>104</v>
      </c>
      <c r="B163" s="14"/>
      <c r="C163" s="15"/>
      <c r="D163" s="15"/>
      <c r="E163" s="11" t="n">
        <f aca="false">SUMPRODUCT(tblAuftraege[Einnahmen],tblAuftraege[Auftragswahrscheinlichkeit],(tblAuftraege[Datum Einnahmen]&gt;=E$5)*1,(tblAuftraege[Datum Einnahmen]&lt;EDATE(E$5,1))*1)</f>
        <v>0</v>
      </c>
      <c r="F163" s="11" t="n">
        <f aca="false">SUMPRODUCT(tblAuftraege[Einnahmen],tblAuftraege[Auftragswahrscheinlichkeit],(tblAuftraege[Datum Einnahmen]&gt;=F$5)*1,(tblAuftraege[Datum Einnahmen]&lt;EDATE(F$5,1))*1)</f>
        <v>0</v>
      </c>
      <c r="G163" s="11" t="n">
        <f aca="false">SUMPRODUCT(tblAuftraege[Einnahmen],tblAuftraege[Auftragswahrscheinlichkeit],(tblAuftraege[Datum Einnahmen]&gt;=G$5)*1,(tblAuftraege[Datum Einnahmen]&lt;EDATE(G$5,1))*1)</f>
        <v>0</v>
      </c>
      <c r="H163" s="11" t="n">
        <f aca="false">SUMPRODUCT(tblAuftraege[Einnahmen],tblAuftraege[Auftragswahrscheinlichkeit],(tblAuftraege[Datum Einnahmen]&gt;=H$5)*1,(tblAuftraege[Datum Einnahmen]&lt;EDATE(H$5,1))*1)</f>
        <v>0</v>
      </c>
      <c r="I163" s="11" t="n">
        <f aca="false">SUMPRODUCT(tblAuftraege[Einnahmen],tblAuftraege[Auftragswahrscheinlichkeit],(tblAuftraege[Datum Einnahmen]&gt;=I$5)*1,(tblAuftraege[Datum Einnahmen]&lt;EDATE(I$5,1))*1)</f>
        <v>0</v>
      </c>
      <c r="J163" s="11" t="n">
        <f aca="false">SUMPRODUCT(tblAuftraege[Einnahmen],tblAuftraege[Auftragswahrscheinlichkeit],(tblAuftraege[Datum Einnahmen]&gt;=J$5)*1,(tblAuftraege[Datum Einnahmen]&lt;EDATE(J$5,1))*1)</f>
        <v>0</v>
      </c>
      <c r="K163" s="11" t="n">
        <f aca="false">SUMPRODUCT(tblAuftraege[Einnahmen],tblAuftraege[Auftragswahrscheinlichkeit],(tblAuftraege[Datum Einnahmen]&gt;=K$5)*1,(tblAuftraege[Datum Einnahmen]&lt;EDATE(K$5,1))*1)</f>
        <v>0</v>
      </c>
      <c r="L163" s="11" t="n">
        <f aca="false">SUMPRODUCT(tblAuftraege[Einnahmen],tblAuftraege[Auftragswahrscheinlichkeit],(tblAuftraege[Datum Einnahmen]&gt;=L$5)*1,(tblAuftraege[Datum Einnahmen]&lt;EDATE(L$5,1))*1)</f>
        <v>0</v>
      </c>
      <c r="M163" s="11" t="n">
        <f aca="false">SUMPRODUCT(tblAuftraege[Einnahmen],tblAuftraege[Auftragswahrscheinlichkeit],(tblAuftraege[Datum Einnahmen]&gt;=M$5)*1,(tblAuftraege[Datum Einnahmen]&lt;EDATE(M$5,1))*1)</f>
        <v>0</v>
      </c>
      <c r="N163" s="11" t="n">
        <f aca="false">SUMPRODUCT(tblAuftraege[Einnahmen],tblAuftraege[Auftragswahrscheinlichkeit],(tblAuftraege[Datum Einnahmen]&gt;=N$5)*1,(tblAuftraege[Datum Einnahmen]&lt;EDATE(N$5,1))*1)</f>
        <v>0</v>
      </c>
      <c r="O163" s="11" t="n">
        <f aca="false">SUMPRODUCT(tblAuftraege[Einnahmen],tblAuftraege[Auftragswahrscheinlichkeit],(tblAuftraege[Datum Einnahmen]&gt;=O$5)*1,(tblAuftraege[Datum Einnahmen]&lt;EDATE(O$5,1))*1)</f>
        <v>0</v>
      </c>
      <c r="P163" s="11" t="n">
        <f aca="false">SUMPRODUCT(tblAuftraege[Einnahmen],tblAuftraege[Auftragswahrscheinlichkeit],(tblAuftraege[Datum Einnahmen]&gt;=P$5)*1,(tblAuftraege[Datum Einnahmen]&lt;EDATE(P$5,1))*1)</f>
        <v>0</v>
      </c>
      <c r="Q163" s="11" t="n">
        <f aca="false">SUMPRODUCT(tblAuftraege[Einnahmen],tblAuftraege[Auftragswahrscheinlichkeit],(tblAuftraege[Datum Einnahmen]&gt;=Q$5)*1,(tblAuftraege[Datum Einnahmen]&lt;EDATE(Q$5,1))*1)</f>
        <v>0</v>
      </c>
      <c r="R163" s="11" t="n">
        <f aca="false">SUMPRODUCT(tblAuftraege[Einnahmen],tblAuftraege[Auftragswahrscheinlichkeit],(tblAuftraege[Datum Einnahmen]&gt;=R$5)*1,(tblAuftraege[Datum Einnahmen]&lt;EDATE(R$5,1))*1)</f>
        <v>0</v>
      </c>
      <c r="S163" s="11" t="n">
        <f aca="false">SUMPRODUCT(tblAuftraege[Einnahmen],tblAuftraege[Auftragswahrscheinlichkeit],(tblAuftraege[Datum Einnahmen]&gt;=S$5)*1,(tblAuftraege[Datum Einnahmen]&lt;EDATE(S$5,1))*1)</f>
        <v>0</v>
      </c>
      <c r="T163" s="11" t="n">
        <f aca="false">SUMPRODUCT(tblAuftraege[Einnahmen],tblAuftraege[Auftragswahrscheinlichkeit],(tblAuftraege[Datum Einnahmen]&gt;=T$5)*1,(tblAuftraege[Datum Einnahmen]&lt;EDATE(T$5,1))*1)</f>
        <v>0</v>
      </c>
      <c r="U163" s="11" t="n">
        <f aca="false">SUMPRODUCT(tblAuftraege[Einnahmen],tblAuftraege[Auftragswahrscheinlichkeit],(tblAuftraege[Datum Einnahmen]&gt;=U$5)*1,(tblAuftraege[Datum Einnahmen]&lt;EDATE(U$5,1))*1)</f>
        <v>0</v>
      </c>
      <c r="V163" s="11" t="n">
        <f aca="false">SUMPRODUCT(tblAuftraege[Einnahmen],tblAuftraege[Auftragswahrscheinlichkeit],(tblAuftraege[Datum Einnahmen]&gt;=V$5)*1,(tblAuftraege[Datum Einnahmen]&lt;EDATE(V$5,1))*1)</f>
        <v>0</v>
      </c>
      <c r="W163" s="11" t="n">
        <f aca="false">SUMPRODUCT(tblAuftraege[Einnahmen],tblAuftraege[Auftragswahrscheinlichkeit],(tblAuftraege[Datum Einnahmen]&gt;=W$5)*1,(tblAuftraege[Datum Einnahmen]&lt;EDATE(W$5,1))*1)</f>
        <v>0</v>
      </c>
      <c r="X163" s="11" t="n">
        <f aca="false">SUMPRODUCT(tblAuftraege[Einnahmen],tblAuftraege[Auftragswahrscheinlichkeit],(tblAuftraege[Datum Einnahmen]&gt;=X$5)*1,(tblAuftraege[Datum Einnahmen]&lt;EDATE(X$5,1))*1)</f>
        <v>0</v>
      </c>
      <c r="Y163" s="11" t="n">
        <f aca="false">SUMPRODUCT(tblAuftraege[Einnahmen],tblAuftraege[Auftragswahrscheinlichkeit],(tblAuftraege[Datum Einnahmen]&gt;=Y$5)*1,(tblAuftraege[Datum Einnahmen]&lt;EDATE(Y$5,1))*1)</f>
        <v>0</v>
      </c>
      <c r="Z163" s="11" t="n">
        <f aca="false">SUMPRODUCT(tblAuftraege[Einnahmen],tblAuftraege[Auftragswahrscheinlichkeit],(tblAuftraege[Datum Einnahmen]&gt;=Z$5)*1,(tblAuftraege[Datum Einnahmen]&lt;EDATE(Z$5,1))*1)</f>
        <v>0</v>
      </c>
      <c r="AA163" s="11" t="n">
        <f aca="false">SUMPRODUCT(tblAuftraege[Einnahmen],tblAuftraege[Auftragswahrscheinlichkeit],(tblAuftraege[Datum Einnahmen]&gt;=AA$5)*1,(tblAuftraege[Datum Einnahmen]&lt;EDATE(AA$5,1))*1)</f>
        <v>0</v>
      </c>
      <c r="AB163" s="11" t="n">
        <f aca="false">SUMPRODUCT(tblAuftraege[Einnahmen],tblAuftraege[Auftragswahrscheinlichkeit],(tblAuftraege[Datum Einnahmen]&gt;=AB$5)*1,(tblAuftraege[Datum Einnahmen]&lt;EDATE(AB$5,1))*1)</f>
        <v>0</v>
      </c>
      <c r="AC163" s="11" t="n">
        <f aca="false">SUMPRODUCT(tblAuftraege[Einnahmen],tblAuftraege[Auftragswahrscheinlichkeit],(tblAuftraege[Datum Einnahmen]&gt;=AC$5)*1,(tblAuftraege[Datum Einnahmen]&lt;EDATE(AC$5,1))*1)</f>
        <v>0</v>
      </c>
      <c r="AD163" s="11" t="n">
        <f aca="false">SUMPRODUCT(tblAuftraege[Einnahmen],tblAuftraege[Auftragswahrscheinlichkeit],(tblAuftraege[Datum Einnahmen]&gt;=AD$5)*1,(tblAuftraege[Datum Einnahmen]&lt;EDATE(AD$5,1))*1)</f>
        <v>0</v>
      </c>
      <c r="AE163" s="11" t="n">
        <f aca="false">SUMPRODUCT(tblAuftraege[Einnahmen],tblAuftraege[Auftragswahrscheinlichkeit],(tblAuftraege[Datum Einnahmen]&gt;=AE$5)*1,(tblAuftraege[Datum Einnahmen]&lt;EDATE(AE$5,1))*1)</f>
        <v>0</v>
      </c>
      <c r="AF163" s="11" t="n">
        <f aca="false">SUMPRODUCT(tblAuftraege[Einnahmen],tblAuftraege[Auftragswahrscheinlichkeit],(tblAuftraege[Datum Einnahmen]&gt;=AF$5)*1,(tblAuftraege[Datum Einnahmen]&lt;EDATE(AF$5,1))*1)</f>
        <v>0</v>
      </c>
      <c r="AG163" s="11" t="n">
        <f aca="false">SUMPRODUCT(tblAuftraege[Einnahmen],tblAuftraege[Auftragswahrscheinlichkeit],(tblAuftraege[Datum Einnahmen]&gt;=AG$5)*1,(tblAuftraege[Datum Einnahmen]&lt;EDATE(AG$5,1))*1)</f>
        <v>0</v>
      </c>
      <c r="AH163" s="11" t="n">
        <f aca="false">SUMPRODUCT(tblAuftraege[Einnahmen],tblAuftraege[Auftragswahrscheinlichkeit],(tblAuftraege[Datum Einnahmen]&gt;=AH$5)*1,(tblAuftraege[Datum Einnahmen]&lt;EDATE(AH$5,1))*1)</f>
        <v>0</v>
      </c>
      <c r="AI163" s="11" t="n">
        <f aca="false">SUMPRODUCT(tblAuftraege[Einnahmen],tblAuftraege[Auftragswahrscheinlichkeit],(tblAuftraege[Datum Einnahmen]&gt;=AI$5)*1,(tblAuftraege[Datum Einnahmen]&lt;EDATE(AI$5,1))*1)</f>
        <v>0</v>
      </c>
      <c r="AJ163" s="11" t="n">
        <f aca="false">SUMPRODUCT(tblAuftraege[Einnahmen],tblAuftraege[Auftragswahrscheinlichkeit],(tblAuftraege[Datum Einnahmen]&gt;=AJ$5)*1,(tblAuftraege[Datum Einnahmen]&lt;EDATE(AJ$5,1))*1)</f>
        <v>0</v>
      </c>
      <c r="AK163" s="11" t="n">
        <f aca="false">SUMPRODUCT(tblAuftraege[Einnahmen],tblAuftraege[Auftragswahrscheinlichkeit],(tblAuftraege[Datum Einnahmen]&gt;=AK$5)*1,(tblAuftraege[Datum Einnahmen]&lt;EDATE(AK$5,1))*1)</f>
        <v>0</v>
      </c>
      <c r="AL163" s="11" t="n">
        <f aca="false">SUMPRODUCT(tblAuftraege[Einnahmen],tblAuftraege[Auftragswahrscheinlichkeit],(tblAuftraege[Datum Einnahmen]&gt;=AL$5)*1,(tblAuftraege[Datum Einnahmen]&lt;EDATE(AL$5,1))*1)</f>
        <v>0</v>
      </c>
      <c r="AM163" s="11" t="n">
        <f aca="false">SUMPRODUCT(tblAuftraege[Einnahmen],tblAuftraege[Auftragswahrscheinlichkeit],(tblAuftraege[Datum Einnahmen]&gt;=AM$5)*1,(tblAuftraege[Datum Einnahmen]&lt;EDATE(AM$5,1))*1)</f>
        <v>0</v>
      </c>
      <c r="AN163" s="11" t="n">
        <f aca="false">SUMPRODUCT(tblAuftraege[Einnahmen],tblAuftraege[Auftragswahrscheinlichkeit],(tblAuftraege[Datum Einnahmen]&gt;=AN$5)*1,(tblAuftraege[Datum Einnahmen]&lt;EDATE(AN$5,1))*1)</f>
        <v>0</v>
      </c>
      <c r="AO163" s="11" t="n">
        <f aca="false">SUMPRODUCT(tblAuftraege[Einnahmen],tblAuftraege[Auftragswahrscheinlichkeit],(tblAuftraege[Datum Einnahmen]&gt;=AO$5)*1,(tblAuftraege[Datum Einnahmen]&lt;EDATE(AO$5,1))*1)</f>
        <v>0</v>
      </c>
      <c r="AP163" s="11" t="n">
        <f aca="false">SUMPRODUCT(tblAuftraege[Einnahmen],tblAuftraege[Auftragswahrscheinlichkeit],(tblAuftraege[Datum Einnahmen]&gt;=AP$5)*1,(tblAuftraege[Datum Einnahmen]&lt;EDATE(AP$5,1))*1)</f>
        <v>0</v>
      </c>
      <c r="AQ163" s="11" t="n">
        <f aca="false">SUMPRODUCT(tblAuftraege[Einnahmen],tblAuftraege[Auftragswahrscheinlichkeit],(tblAuftraege[Datum Einnahmen]&gt;=AQ$5)*1,(tblAuftraege[Datum Einnahmen]&lt;EDATE(AQ$5,1))*1)</f>
        <v>0</v>
      </c>
      <c r="AR163" s="11" t="n">
        <f aca="false">SUMPRODUCT(tblAuftraege[Einnahmen],tblAuftraege[Auftragswahrscheinlichkeit],(tblAuftraege[Datum Einnahmen]&gt;=AR$5)*1,(tblAuftraege[Datum Einnahmen]&lt;EDATE(AR$5,1))*1)</f>
        <v>0</v>
      </c>
      <c r="AS163" s="11" t="n">
        <f aca="false">SUMPRODUCT(tblAuftraege[Einnahmen],tblAuftraege[Auftragswahrscheinlichkeit],(tblAuftraege[Datum Einnahmen]&gt;=AS$5)*1,(tblAuftraege[Datum Einnahmen]&lt;EDATE(AS$5,1))*1)</f>
        <v>0</v>
      </c>
      <c r="AT163" s="11" t="n">
        <f aca="false">SUMPRODUCT(tblAuftraege[Einnahmen],tblAuftraege[Auftragswahrscheinlichkeit],(tblAuftraege[Datum Einnahmen]&gt;=AT$5)*1,(tblAuftraege[Datum Einnahmen]&lt;EDATE(AT$5,1))*1)</f>
        <v>0</v>
      </c>
      <c r="AU163" s="11" t="n">
        <f aca="false">SUMPRODUCT(tblAuftraege[Einnahmen],tblAuftraege[Auftragswahrscheinlichkeit],(tblAuftraege[Datum Einnahmen]&gt;=AU$5)*1,(tblAuftraege[Datum Einnahmen]&lt;EDATE(AU$5,1))*1)</f>
        <v>0</v>
      </c>
      <c r="AV163" s="11" t="n">
        <f aca="false">SUMPRODUCT(tblAuftraege[Einnahmen],tblAuftraege[Auftragswahrscheinlichkeit],(tblAuftraege[Datum Einnahmen]&gt;=AV$5)*1,(tblAuftraege[Datum Einnahmen]&lt;EDATE(AV$5,1))*1)</f>
        <v>0</v>
      </c>
      <c r="AW163" s="11" t="n">
        <f aca="false">SUMPRODUCT(tblAuftraege[Einnahmen],tblAuftraege[Auftragswahrscheinlichkeit],(tblAuftraege[Datum Einnahmen]&gt;=AW$5)*1,(tblAuftraege[Datum Einnahmen]&lt;EDATE(AW$5,1))*1)</f>
        <v>0</v>
      </c>
      <c r="AX163" s="11" t="n">
        <f aca="false">SUMPRODUCT(tblAuftraege[Einnahmen],tblAuftraege[Auftragswahrscheinlichkeit],(tblAuftraege[Datum Einnahmen]&gt;=AX$5)*1,(tblAuftraege[Datum Einnahmen]&lt;EDATE(AX$5,1))*1)</f>
        <v>0</v>
      </c>
      <c r="AY163" s="11" t="n">
        <f aca="false">SUMPRODUCT(tblAuftraege[Einnahmen],tblAuftraege[Auftragswahrscheinlichkeit],(tblAuftraege[Datum Einnahmen]&gt;=AY$5)*1,(tblAuftraege[Datum Einnahmen]&lt;EDATE(AY$5,1))*1)</f>
        <v>0</v>
      </c>
      <c r="AZ163" s="11" t="n">
        <f aca="false">SUMPRODUCT(tblAuftraege[Einnahmen],tblAuftraege[Auftragswahrscheinlichkeit],(tblAuftraege[Datum Einnahmen]&gt;=AZ$5)*1,(tblAuftraege[Datum Einnahmen]&lt;EDATE(AZ$5,1))*1)</f>
        <v>0</v>
      </c>
      <c r="BA163" s="11" t="n">
        <f aca="false">SUMPRODUCT(tblAuftraege[Einnahmen],tblAuftraege[Auftragswahrscheinlichkeit],(tblAuftraege[Datum Einnahmen]&gt;=BA$5)*1,(tblAuftraege[Datum Einnahmen]&lt;EDATE(BA$5,1))*1)</f>
        <v>0</v>
      </c>
      <c r="BB163" s="11" t="n">
        <f aca="false">SUMPRODUCT(tblAuftraege[Einnahmen],tblAuftraege[Auftragswahrscheinlichkeit],(tblAuftraege[Datum Einnahmen]&gt;=BB$5)*1,(tblAuftraege[Datum Einnahmen]&lt;EDATE(BB$5,1))*1)</f>
        <v>0</v>
      </c>
      <c r="BC163" s="11" t="n">
        <f aca="false">SUMPRODUCT(tblAuftraege[Einnahmen],tblAuftraege[Auftragswahrscheinlichkeit],(tblAuftraege[Datum Einnahmen]&gt;=BC$5)*1,(tblAuftraege[Datum Einnahmen]&lt;EDATE(BC$5,1))*1)</f>
        <v>0</v>
      </c>
      <c r="BD163" s="11" t="n">
        <f aca="false">SUMPRODUCT(tblAuftraege[Einnahmen],tblAuftraege[Auftragswahrscheinlichkeit],(tblAuftraege[Datum Einnahmen]&gt;=BD$5)*1,(tblAuftraege[Datum Einnahmen]&lt;EDATE(BD$5,1))*1)</f>
        <v>0</v>
      </c>
      <c r="BE163" s="11" t="n">
        <f aca="false">SUMPRODUCT(tblAuftraege[Einnahmen],tblAuftraege[Auftragswahrscheinlichkeit],(tblAuftraege[Datum Einnahmen]&gt;=BE$5)*1,(tblAuftraege[Datum Einnahmen]&lt;EDATE(BE$5,1))*1)</f>
        <v>0</v>
      </c>
      <c r="BF163" s="11" t="n">
        <f aca="false">SUMPRODUCT(tblAuftraege[Einnahmen],tblAuftraege[Auftragswahrscheinlichkeit],(tblAuftraege[Datum Einnahmen]&gt;=BF$5)*1,(tblAuftraege[Datum Einnahmen]&lt;EDATE(BF$5,1))*1)</f>
        <v>0</v>
      </c>
      <c r="BG163" s="11" t="n">
        <f aca="false">SUM(E163:J163)</f>
        <v>0</v>
      </c>
      <c r="BH163" s="11" t="n">
        <f aca="false">SUM(K163:V163)</f>
        <v>0</v>
      </c>
      <c r="BI163" s="11" t="n">
        <f aca="false">SUM(W163:AH163)</f>
        <v>0</v>
      </c>
      <c r="BJ163" s="11" t="n">
        <f aca="false">SUM(AI163:AT163)</f>
        <v>0</v>
      </c>
      <c r="BK163" s="11" t="n">
        <f aca="false">SUM(AU163:BF163)</f>
        <v>0</v>
      </c>
      <c r="BL163" s="11" t="n">
        <f aca="false">SUM(E163:BF163)</f>
        <v>0</v>
      </c>
    </row>
    <row r="164" customFormat="false" ht="15" hidden="false" customHeight="false" outlineLevel="0" collapsed="false">
      <c r="A164" s="13" t="s">
        <v>105</v>
      </c>
      <c r="B164" s="14"/>
      <c r="C164" s="15"/>
      <c r="D164" s="15"/>
      <c r="E164" s="11" t="n">
        <f aca="false">SUMPRODUCT(tblAuftraege[Ausgaben],tblAuftraege[Auftragswahrscheinlichkeit],(tblAuftraege[Datum Ausgaben]&gt;=E$5)*1,(tblAuftraege[Datum Ausgaben]&lt;EDATE(E$5,1))*1)</f>
        <v>0</v>
      </c>
      <c r="F164" s="11" t="n">
        <f aca="false">SUMPRODUCT(tblAuftraege[Ausgaben],tblAuftraege[Auftragswahrscheinlichkeit],(tblAuftraege[Datum Ausgaben]&gt;=F$5)*1,(tblAuftraege[Datum Ausgaben]&lt;EDATE(F$5,1))*1)</f>
        <v>0</v>
      </c>
      <c r="G164" s="11" t="n">
        <f aca="false">SUMPRODUCT(tblAuftraege[Ausgaben],tblAuftraege[Auftragswahrscheinlichkeit],(tblAuftraege[Datum Ausgaben]&gt;=G$5)*1,(tblAuftraege[Datum Ausgaben]&lt;EDATE(G$5,1))*1)</f>
        <v>0</v>
      </c>
      <c r="H164" s="11" t="n">
        <f aca="false">SUMPRODUCT(tblAuftraege[Ausgaben],tblAuftraege[Auftragswahrscheinlichkeit],(tblAuftraege[Datum Ausgaben]&gt;=H$5)*1,(tblAuftraege[Datum Ausgaben]&lt;EDATE(H$5,1))*1)</f>
        <v>0</v>
      </c>
      <c r="I164" s="11" t="n">
        <f aca="false">SUMPRODUCT(tblAuftraege[Ausgaben],tblAuftraege[Auftragswahrscheinlichkeit],(tblAuftraege[Datum Ausgaben]&gt;=I$5)*1,(tblAuftraege[Datum Ausgaben]&lt;EDATE(I$5,1))*1)</f>
        <v>0</v>
      </c>
      <c r="J164" s="11" t="n">
        <f aca="false">SUMPRODUCT(tblAuftraege[Ausgaben],tblAuftraege[Auftragswahrscheinlichkeit],(tblAuftraege[Datum Ausgaben]&gt;=J$5)*1,(tblAuftraege[Datum Ausgaben]&lt;EDATE(J$5,1))*1)</f>
        <v>0</v>
      </c>
      <c r="K164" s="11" t="n">
        <f aca="false">SUMPRODUCT(tblAuftraege[Ausgaben],tblAuftraege[Auftragswahrscheinlichkeit],(tblAuftraege[Datum Ausgaben]&gt;=K$5)*1,(tblAuftraege[Datum Ausgaben]&lt;EDATE(K$5,1))*1)</f>
        <v>0</v>
      </c>
      <c r="L164" s="11" t="n">
        <f aca="false">SUMPRODUCT(tblAuftraege[Ausgaben],tblAuftraege[Auftragswahrscheinlichkeit],(tblAuftraege[Datum Ausgaben]&gt;=L$5)*1,(tblAuftraege[Datum Ausgaben]&lt;EDATE(L$5,1))*1)</f>
        <v>0</v>
      </c>
      <c r="M164" s="11" t="n">
        <f aca="false">SUMPRODUCT(tblAuftraege[Ausgaben],tblAuftraege[Auftragswahrscheinlichkeit],(tblAuftraege[Datum Ausgaben]&gt;=M$5)*1,(tblAuftraege[Datum Ausgaben]&lt;EDATE(M$5,1))*1)</f>
        <v>0</v>
      </c>
      <c r="N164" s="11" t="n">
        <f aca="false">SUMPRODUCT(tblAuftraege[Ausgaben],tblAuftraege[Auftragswahrscheinlichkeit],(tblAuftraege[Datum Ausgaben]&gt;=N$5)*1,(tblAuftraege[Datum Ausgaben]&lt;EDATE(N$5,1))*1)</f>
        <v>0</v>
      </c>
      <c r="O164" s="11" t="n">
        <f aca="false">SUMPRODUCT(tblAuftraege[Ausgaben],tblAuftraege[Auftragswahrscheinlichkeit],(tblAuftraege[Datum Ausgaben]&gt;=O$5)*1,(tblAuftraege[Datum Ausgaben]&lt;EDATE(O$5,1))*1)</f>
        <v>0</v>
      </c>
      <c r="P164" s="11" t="n">
        <f aca="false">SUMPRODUCT(tblAuftraege[Ausgaben],tblAuftraege[Auftragswahrscheinlichkeit],(tblAuftraege[Datum Ausgaben]&gt;=P$5)*1,(tblAuftraege[Datum Ausgaben]&lt;EDATE(P$5,1))*1)</f>
        <v>0</v>
      </c>
      <c r="Q164" s="11" t="n">
        <f aca="false">SUMPRODUCT(tblAuftraege[Ausgaben],tblAuftraege[Auftragswahrscheinlichkeit],(tblAuftraege[Datum Ausgaben]&gt;=Q$5)*1,(tblAuftraege[Datum Ausgaben]&lt;EDATE(Q$5,1))*1)</f>
        <v>0</v>
      </c>
      <c r="R164" s="11" t="n">
        <f aca="false">SUMPRODUCT(tblAuftraege[Ausgaben],tblAuftraege[Auftragswahrscheinlichkeit],(tblAuftraege[Datum Ausgaben]&gt;=R$5)*1,(tblAuftraege[Datum Ausgaben]&lt;EDATE(R$5,1))*1)</f>
        <v>0</v>
      </c>
      <c r="S164" s="11" t="n">
        <f aca="false">SUMPRODUCT(tblAuftraege[Ausgaben],tblAuftraege[Auftragswahrscheinlichkeit],(tblAuftraege[Datum Ausgaben]&gt;=S$5)*1,(tblAuftraege[Datum Ausgaben]&lt;EDATE(S$5,1))*1)</f>
        <v>0</v>
      </c>
      <c r="T164" s="11" t="n">
        <f aca="false">SUMPRODUCT(tblAuftraege[Ausgaben],tblAuftraege[Auftragswahrscheinlichkeit],(tblAuftraege[Datum Ausgaben]&gt;=T$5)*1,(tblAuftraege[Datum Ausgaben]&lt;EDATE(T$5,1))*1)</f>
        <v>0</v>
      </c>
      <c r="U164" s="11" t="n">
        <f aca="false">SUMPRODUCT(tblAuftraege[Ausgaben],tblAuftraege[Auftragswahrscheinlichkeit],(tblAuftraege[Datum Ausgaben]&gt;=U$5)*1,(tblAuftraege[Datum Ausgaben]&lt;EDATE(U$5,1))*1)</f>
        <v>0</v>
      </c>
      <c r="V164" s="11" t="n">
        <f aca="false">SUMPRODUCT(tblAuftraege[Ausgaben],tblAuftraege[Auftragswahrscheinlichkeit],(tblAuftraege[Datum Ausgaben]&gt;=V$5)*1,(tblAuftraege[Datum Ausgaben]&lt;EDATE(V$5,1))*1)</f>
        <v>0</v>
      </c>
      <c r="W164" s="11" t="n">
        <f aca="false">SUMPRODUCT(tblAuftraege[Ausgaben],tblAuftraege[Auftragswahrscheinlichkeit],(tblAuftraege[Datum Ausgaben]&gt;=W$5)*1,(tblAuftraege[Datum Ausgaben]&lt;EDATE(W$5,1))*1)</f>
        <v>0</v>
      </c>
      <c r="X164" s="11" t="n">
        <f aca="false">SUMPRODUCT(tblAuftraege[Ausgaben],tblAuftraege[Auftragswahrscheinlichkeit],(tblAuftraege[Datum Ausgaben]&gt;=X$5)*1,(tblAuftraege[Datum Ausgaben]&lt;EDATE(X$5,1))*1)</f>
        <v>0</v>
      </c>
      <c r="Y164" s="11" t="n">
        <f aca="false">SUMPRODUCT(tblAuftraege[Ausgaben],tblAuftraege[Auftragswahrscheinlichkeit],(tblAuftraege[Datum Ausgaben]&gt;=Y$5)*1,(tblAuftraege[Datum Ausgaben]&lt;EDATE(Y$5,1))*1)</f>
        <v>0</v>
      </c>
      <c r="Z164" s="11" t="n">
        <f aca="false">SUMPRODUCT(tblAuftraege[Ausgaben],tblAuftraege[Auftragswahrscheinlichkeit],(tblAuftraege[Datum Ausgaben]&gt;=Z$5)*1,(tblAuftraege[Datum Ausgaben]&lt;EDATE(Z$5,1))*1)</f>
        <v>0</v>
      </c>
      <c r="AA164" s="11" t="n">
        <f aca="false">SUMPRODUCT(tblAuftraege[Ausgaben],tblAuftraege[Auftragswahrscheinlichkeit],(tblAuftraege[Datum Ausgaben]&gt;=AA$5)*1,(tblAuftraege[Datum Ausgaben]&lt;EDATE(AA$5,1))*1)</f>
        <v>0</v>
      </c>
      <c r="AB164" s="11" t="n">
        <f aca="false">SUMPRODUCT(tblAuftraege[Ausgaben],tblAuftraege[Auftragswahrscheinlichkeit],(tblAuftraege[Datum Ausgaben]&gt;=AB$5)*1,(tblAuftraege[Datum Ausgaben]&lt;EDATE(AB$5,1))*1)</f>
        <v>0</v>
      </c>
      <c r="AC164" s="11" t="n">
        <f aca="false">SUMPRODUCT(tblAuftraege[Ausgaben],tblAuftraege[Auftragswahrscheinlichkeit],(tblAuftraege[Datum Ausgaben]&gt;=AC$5)*1,(tblAuftraege[Datum Ausgaben]&lt;EDATE(AC$5,1))*1)</f>
        <v>0</v>
      </c>
      <c r="AD164" s="11" t="n">
        <f aca="false">SUMPRODUCT(tblAuftraege[Ausgaben],tblAuftraege[Auftragswahrscheinlichkeit],(tblAuftraege[Datum Ausgaben]&gt;=AD$5)*1,(tblAuftraege[Datum Ausgaben]&lt;EDATE(AD$5,1))*1)</f>
        <v>0</v>
      </c>
      <c r="AE164" s="11" t="n">
        <f aca="false">SUMPRODUCT(tblAuftraege[Ausgaben],tblAuftraege[Auftragswahrscheinlichkeit],(tblAuftraege[Datum Ausgaben]&gt;=AE$5)*1,(tblAuftraege[Datum Ausgaben]&lt;EDATE(AE$5,1))*1)</f>
        <v>0</v>
      </c>
      <c r="AF164" s="11" t="n">
        <f aca="false">SUMPRODUCT(tblAuftraege[Ausgaben],tblAuftraege[Auftragswahrscheinlichkeit],(tblAuftraege[Datum Ausgaben]&gt;=AF$5)*1,(tblAuftraege[Datum Ausgaben]&lt;EDATE(AF$5,1))*1)</f>
        <v>0</v>
      </c>
      <c r="AG164" s="11" t="n">
        <f aca="false">SUMPRODUCT(tblAuftraege[Ausgaben],tblAuftraege[Auftragswahrscheinlichkeit],(tblAuftraege[Datum Ausgaben]&gt;=AG$5)*1,(tblAuftraege[Datum Ausgaben]&lt;EDATE(AG$5,1))*1)</f>
        <v>0</v>
      </c>
      <c r="AH164" s="11" t="n">
        <f aca="false">SUMPRODUCT(tblAuftraege[Ausgaben],tblAuftraege[Auftragswahrscheinlichkeit],(tblAuftraege[Datum Ausgaben]&gt;=AH$5)*1,(tblAuftraege[Datum Ausgaben]&lt;EDATE(AH$5,1))*1)</f>
        <v>0</v>
      </c>
      <c r="AI164" s="11" t="n">
        <f aca="false">SUMPRODUCT(tblAuftraege[Ausgaben],tblAuftraege[Auftragswahrscheinlichkeit],(tblAuftraege[Datum Ausgaben]&gt;=AI$5)*1,(tblAuftraege[Datum Ausgaben]&lt;EDATE(AI$5,1))*1)</f>
        <v>0</v>
      </c>
      <c r="AJ164" s="11" t="n">
        <f aca="false">SUMPRODUCT(tblAuftraege[Ausgaben],tblAuftraege[Auftragswahrscheinlichkeit],(tblAuftraege[Datum Ausgaben]&gt;=AJ$5)*1,(tblAuftraege[Datum Ausgaben]&lt;EDATE(AJ$5,1))*1)</f>
        <v>0</v>
      </c>
      <c r="AK164" s="11" t="n">
        <f aca="false">SUMPRODUCT(tblAuftraege[Ausgaben],tblAuftraege[Auftragswahrscheinlichkeit],(tblAuftraege[Datum Ausgaben]&gt;=AK$5)*1,(tblAuftraege[Datum Ausgaben]&lt;EDATE(AK$5,1))*1)</f>
        <v>0</v>
      </c>
      <c r="AL164" s="11" t="n">
        <f aca="false">SUMPRODUCT(tblAuftraege[Ausgaben],tblAuftraege[Auftragswahrscheinlichkeit],(tblAuftraege[Datum Ausgaben]&gt;=AL$5)*1,(tblAuftraege[Datum Ausgaben]&lt;EDATE(AL$5,1))*1)</f>
        <v>0</v>
      </c>
      <c r="AM164" s="11" t="n">
        <f aca="false">SUMPRODUCT(tblAuftraege[Ausgaben],tblAuftraege[Auftragswahrscheinlichkeit],(tblAuftraege[Datum Ausgaben]&gt;=AM$5)*1,(tblAuftraege[Datum Ausgaben]&lt;EDATE(AM$5,1))*1)</f>
        <v>0</v>
      </c>
      <c r="AN164" s="11" t="n">
        <f aca="false">SUMPRODUCT(tblAuftraege[Ausgaben],tblAuftraege[Auftragswahrscheinlichkeit],(tblAuftraege[Datum Ausgaben]&gt;=AN$5)*1,(tblAuftraege[Datum Ausgaben]&lt;EDATE(AN$5,1))*1)</f>
        <v>0</v>
      </c>
      <c r="AO164" s="11" t="n">
        <f aca="false">SUMPRODUCT(tblAuftraege[Ausgaben],tblAuftraege[Auftragswahrscheinlichkeit],(tblAuftraege[Datum Ausgaben]&gt;=AO$5)*1,(tblAuftraege[Datum Ausgaben]&lt;EDATE(AO$5,1))*1)</f>
        <v>0</v>
      </c>
      <c r="AP164" s="11" t="n">
        <f aca="false">SUMPRODUCT(tblAuftraege[Ausgaben],tblAuftraege[Auftragswahrscheinlichkeit],(tblAuftraege[Datum Ausgaben]&gt;=AP$5)*1,(tblAuftraege[Datum Ausgaben]&lt;EDATE(AP$5,1))*1)</f>
        <v>0</v>
      </c>
      <c r="AQ164" s="11" t="n">
        <f aca="false">SUMPRODUCT(tblAuftraege[Ausgaben],tblAuftraege[Auftragswahrscheinlichkeit],(tblAuftraege[Datum Ausgaben]&gt;=AQ$5)*1,(tblAuftraege[Datum Ausgaben]&lt;EDATE(AQ$5,1))*1)</f>
        <v>0</v>
      </c>
      <c r="AR164" s="11" t="n">
        <f aca="false">SUMPRODUCT(tblAuftraege[Ausgaben],tblAuftraege[Auftragswahrscheinlichkeit],(tblAuftraege[Datum Ausgaben]&gt;=AR$5)*1,(tblAuftraege[Datum Ausgaben]&lt;EDATE(AR$5,1))*1)</f>
        <v>0</v>
      </c>
      <c r="AS164" s="11" t="n">
        <f aca="false">SUMPRODUCT(tblAuftraege[Ausgaben],tblAuftraege[Auftragswahrscheinlichkeit],(tblAuftraege[Datum Ausgaben]&gt;=AS$5)*1,(tblAuftraege[Datum Ausgaben]&lt;EDATE(AS$5,1))*1)</f>
        <v>0</v>
      </c>
      <c r="AT164" s="11" t="n">
        <f aca="false">SUMPRODUCT(tblAuftraege[Ausgaben],tblAuftraege[Auftragswahrscheinlichkeit],(tblAuftraege[Datum Ausgaben]&gt;=AT$5)*1,(tblAuftraege[Datum Ausgaben]&lt;EDATE(AT$5,1))*1)</f>
        <v>0</v>
      </c>
      <c r="AU164" s="11" t="n">
        <f aca="false">SUMPRODUCT(tblAuftraege[Ausgaben],tblAuftraege[Auftragswahrscheinlichkeit],(tblAuftraege[Datum Ausgaben]&gt;=AU$5)*1,(tblAuftraege[Datum Ausgaben]&lt;EDATE(AU$5,1))*1)</f>
        <v>0</v>
      </c>
      <c r="AV164" s="11" t="n">
        <f aca="false">SUMPRODUCT(tblAuftraege[Ausgaben],tblAuftraege[Auftragswahrscheinlichkeit],(tblAuftraege[Datum Ausgaben]&gt;=AV$5)*1,(tblAuftraege[Datum Ausgaben]&lt;EDATE(AV$5,1))*1)</f>
        <v>0</v>
      </c>
      <c r="AW164" s="11" t="n">
        <f aca="false">SUMPRODUCT(tblAuftraege[Ausgaben],tblAuftraege[Auftragswahrscheinlichkeit],(tblAuftraege[Datum Ausgaben]&gt;=AW$5)*1,(tblAuftraege[Datum Ausgaben]&lt;EDATE(AW$5,1))*1)</f>
        <v>0</v>
      </c>
      <c r="AX164" s="11" t="n">
        <f aca="false">SUMPRODUCT(tblAuftraege[Ausgaben],tblAuftraege[Auftragswahrscheinlichkeit],(tblAuftraege[Datum Ausgaben]&gt;=AX$5)*1,(tblAuftraege[Datum Ausgaben]&lt;EDATE(AX$5,1))*1)</f>
        <v>0</v>
      </c>
      <c r="AY164" s="11" t="n">
        <f aca="false">SUMPRODUCT(tblAuftraege[Ausgaben],tblAuftraege[Auftragswahrscheinlichkeit],(tblAuftraege[Datum Ausgaben]&gt;=AY$5)*1,(tblAuftraege[Datum Ausgaben]&lt;EDATE(AY$5,1))*1)</f>
        <v>0</v>
      </c>
      <c r="AZ164" s="11" t="n">
        <f aca="false">SUMPRODUCT(tblAuftraege[Ausgaben],tblAuftraege[Auftragswahrscheinlichkeit],(tblAuftraege[Datum Ausgaben]&gt;=AZ$5)*1,(tblAuftraege[Datum Ausgaben]&lt;EDATE(AZ$5,1))*1)</f>
        <v>0</v>
      </c>
      <c r="BA164" s="11" t="n">
        <f aca="false">SUMPRODUCT(tblAuftraege[Ausgaben],tblAuftraege[Auftragswahrscheinlichkeit],(tblAuftraege[Datum Ausgaben]&gt;=BA$5)*1,(tblAuftraege[Datum Ausgaben]&lt;EDATE(BA$5,1))*1)</f>
        <v>0</v>
      </c>
      <c r="BB164" s="11" t="n">
        <f aca="false">SUMPRODUCT(tblAuftraege[Ausgaben],tblAuftraege[Auftragswahrscheinlichkeit],(tblAuftraege[Datum Ausgaben]&gt;=BB$5)*1,(tblAuftraege[Datum Ausgaben]&lt;EDATE(BB$5,1))*1)</f>
        <v>0</v>
      </c>
      <c r="BC164" s="11" t="n">
        <f aca="false">SUMPRODUCT(tblAuftraege[Ausgaben],tblAuftraege[Auftragswahrscheinlichkeit],(tblAuftraege[Datum Ausgaben]&gt;=BC$5)*1,(tblAuftraege[Datum Ausgaben]&lt;EDATE(BC$5,1))*1)</f>
        <v>0</v>
      </c>
      <c r="BD164" s="11" t="n">
        <f aca="false">SUMPRODUCT(tblAuftraege[Ausgaben],tblAuftraege[Auftragswahrscheinlichkeit],(tblAuftraege[Datum Ausgaben]&gt;=BD$5)*1,(tblAuftraege[Datum Ausgaben]&lt;EDATE(BD$5,1))*1)</f>
        <v>0</v>
      </c>
      <c r="BE164" s="11" t="n">
        <f aca="false">SUMPRODUCT(tblAuftraege[Ausgaben],tblAuftraege[Auftragswahrscheinlichkeit],(tblAuftraege[Datum Ausgaben]&gt;=BE$5)*1,(tblAuftraege[Datum Ausgaben]&lt;EDATE(BE$5,1))*1)</f>
        <v>0</v>
      </c>
      <c r="BF164" s="11" t="n">
        <f aca="false">SUMPRODUCT(tblAuftraege[Ausgaben],tblAuftraege[Auftragswahrscheinlichkeit],(tblAuftraege[Datum Ausgaben]&gt;=BF$5)*1,(tblAuftraege[Datum Ausgaben]&lt;EDATE(BF$5,1))*1)</f>
        <v>0</v>
      </c>
      <c r="BG164" s="11" t="n">
        <f aca="false">SUM(E164:J164)</f>
        <v>0</v>
      </c>
      <c r="BH164" s="11" t="n">
        <f aca="false">SUM(K164:V164)</f>
        <v>0</v>
      </c>
      <c r="BI164" s="11" t="n">
        <f aca="false">SUM(W164:AH164)</f>
        <v>0</v>
      </c>
      <c r="BJ164" s="11" t="n">
        <f aca="false">SUM(AI164:AT164)</f>
        <v>0</v>
      </c>
      <c r="BK164" s="11" t="n">
        <f aca="false">SUM(AU164:BF164)</f>
        <v>0</v>
      </c>
      <c r="BL164" s="11" t="n">
        <f aca="false">SUM(E164:BF164)</f>
        <v>0</v>
      </c>
    </row>
    <row r="165" customFormat="false" ht="15" hidden="false" customHeight="false" outlineLevel="0" collapsed="false">
      <c r="A165" s="28" t="s">
        <v>106</v>
      </c>
      <c r="B165" s="25"/>
      <c r="C165" s="26"/>
      <c r="D165" s="26"/>
      <c r="E165" s="35" t="n">
        <f aca="false">E163-E164</f>
        <v>0</v>
      </c>
      <c r="F165" s="35" t="n">
        <f aca="false">F163-F164</f>
        <v>0</v>
      </c>
      <c r="G165" s="35" t="n">
        <f aca="false">G163-G164</f>
        <v>0</v>
      </c>
      <c r="H165" s="35" t="n">
        <f aca="false">H163-H164</f>
        <v>0</v>
      </c>
      <c r="I165" s="35" t="n">
        <f aca="false">I163-I164</f>
        <v>0</v>
      </c>
      <c r="J165" s="35" t="n">
        <f aca="false">J163-J164</f>
        <v>0</v>
      </c>
      <c r="K165" s="35" t="n">
        <f aca="false">K163-K164</f>
        <v>0</v>
      </c>
      <c r="L165" s="35" t="n">
        <f aca="false">L163-L164</f>
        <v>0</v>
      </c>
      <c r="M165" s="35" t="n">
        <f aca="false">M163-M164</f>
        <v>0</v>
      </c>
      <c r="N165" s="35" t="n">
        <f aca="false">N163-N164</f>
        <v>0</v>
      </c>
      <c r="O165" s="35" t="n">
        <f aca="false">O163-O164</f>
        <v>0</v>
      </c>
      <c r="P165" s="35" t="n">
        <f aca="false">P163-P164</f>
        <v>0</v>
      </c>
      <c r="Q165" s="35" t="n">
        <f aca="false">Q163-Q164</f>
        <v>0</v>
      </c>
      <c r="R165" s="35" t="n">
        <f aca="false">R163-R164</f>
        <v>0</v>
      </c>
      <c r="S165" s="35" t="n">
        <f aca="false">S163-S164</f>
        <v>0</v>
      </c>
      <c r="T165" s="35" t="n">
        <f aca="false">T163-T164</f>
        <v>0</v>
      </c>
      <c r="U165" s="35" t="n">
        <f aca="false">U163-U164</f>
        <v>0</v>
      </c>
      <c r="V165" s="35" t="n">
        <f aca="false">V163-V164</f>
        <v>0</v>
      </c>
      <c r="W165" s="35" t="n">
        <f aca="false">W163-W164</f>
        <v>0</v>
      </c>
      <c r="X165" s="35" t="n">
        <f aca="false">X163-X164</f>
        <v>0</v>
      </c>
      <c r="Y165" s="35" t="n">
        <f aca="false">Y163-Y164</f>
        <v>0</v>
      </c>
      <c r="Z165" s="35" t="n">
        <f aca="false">Z163-Z164</f>
        <v>0</v>
      </c>
      <c r="AA165" s="35" t="n">
        <f aca="false">AA163-AA164</f>
        <v>0</v>
      </c>
      <c r="AB165" s="35" t="n">
        <f aca="false">AB163-AB164</f>
        <v>0</v>
      </c>
      <c r="AC165" s="35" t="n">
        <f aca="false">AC163-AC164</f>
        <v>0</v>
      </c>
      <c r="AD165" s="35" t="n">
        <f aca="false">AD163-AD164</f>
        <v>0</v>
      </c>
      <c r="AE165" s="35" t="n">
        <f aca="false">AE163-AE164</f>
        <v>0</v>
      </c>
      <c r="AF165" s="35" t="n">
        <f aca="false">AF163-AF164</f>
        <v>0</v>
      </c>
      <c r="AG165" s="35" t="n">
        <f aca="false">AG163-AG164</f>
        <v>0</v>
      </c>
      <c r="AH165" s="35" t="n">
        <f aca="false">AH163-AH164</f>
        <v>0</v>
      </c>
      <c r="AI165" s="35" t="n">
        <f aca="false">AI163-AI164</f>
        <v>0</v>
      </c>
      <c r="AJ165" s="35" t="n">
        <f aca="false">AJ163-AJ164</f>
        <v>0</v>
      </c>
      <c r="AK165" s="35" t="n">
        <f aca="false">AK163-AK164</f>
        <v>0</v>
      </c>
      <c r="AL165" s="35" t="n">
        <f aca="false">AL163-AL164</f>
        <v>0</v>
      </c>
      <c r="AM165" s="35" t="n">
        <f aca="false">AM163-AM164</f>
        <v>0</v>
      </c>
      <c r="AN165" s="35" t="n">
        <f aca="false">AN163-AN164</f>
        <v>0</v>
      </c>
      <c r="AO165" s="35" t="n">
        <f aca="false">AO163-AO164</f>
        <v>0</v>
      </c>
      <c r="AP165" s="35" t="n">
        <f aca="false">AP163-AP164</f>
        <v>0</v>
      </c>
      <c r="AQ165" s="35" t="n">
        <f aca="false">AQ163-AQ164</f>
        <v>0</v>
      </c>
      <c r="AR165" s="35" t="n">
        <f aca="false">AR163-AR164</f>
        <v>0</v>
      </c>
      <c r="AS165" s="35" t="n">
        <f aca="false">AS163-AS164</f>
        <v>0</v>
      </c>
      <c r="AT165" s="35" t="n">
        <f aca="false">AT163-AT164</f>
        <v>0</v>
      </c>
      <c r="AU165" s="35" t="n">
        <f aca="false">AU163-AU164</f>
        <v>0</v>
      </c>
      <c r="AV165" s="35" t="n">
        <f aca="false">AV163-AV164</f>
        <v>0</v>
      </c>
      <c r="AW165" s="35" t="n">
        <f aca="false">AW163-AW164</f>
        <v>0</v>
      </c>
      <c r="AX165" s="35" t="n">
        <f aca="false">AX163-AX164</f>
        <v>0</v>
      </c>
      <c r="AY165" s="35" t="n">
        <f aca="false">AY163-AY164</f>
        <v>0</v>
      </c>
      <c r="AZ165" s="35" t="n">
        <f aca="false">AZ163-AZ164</f>
        <v>0</v>
      </c>
      <c r="BA165" s="35" t="n">
        <f aca="false">BA163-BA164</f>
        <v>0</v>
      </c>
      <c r="BB165" s="35" t="n">
        <f aca="false">BB163-BB164</f>
        <v>0</v>
      </c>
      <c r="BC165" s="35" t="n">
        <f aca="false">BC163-BC164</f>
        <v>0</v>
      </c>
      <c r="BD165" s="35" t="n">
        <f aca="false">BD163-BD164</f>
        <v>0</v>
      </c>
      <c r="BE165" s="35" t="n">
        <f aca="false">BE163-BE164</f>
        <v>0</v>
      </c>
      <c r="BF165" s="35" t="n">
        <f aca="false">BF163-BF164</f>
        <v>0</v>
      </c>
      <c r="BG165" s="35" t="n">
        <f aca="false">BG163-BG164</f>
        <v>0</v>
      </c>
      <c r="BH165" s="35" t="n">
        <f aca="false">BH163-BH164</f>
        <v>0</v>
      </c>
      <c r="BI165" s="35" t="n">
        <f aca="false">BI163-BI164</f>
        <v>0</v>
      </c>
      <c r="BJ165" s="35" t="n">
        <f aca="false">BJ163-BJ164</f>
        <v>0</v>
      </c>
      <c r="BK165" s="35" t="n">
        <f aca="false">BK163-BK164</f>
        <v>0</v>
      </c>
      <c r="BL165" s="35" t="n">
        <f aca="false">BL163-BL164</f>
        <v>0</v>
      </c>
    </row>
    <row r="166" customFormat="false" ht="15" hidden="false" customHeight="false" outlineLevel="0" collapsed="false">
      <c r="A166" s="28" t="s">
        <v>117</v>
      </c>
      <c r="B166" s="25"/>
      <c r="C166" s="26"/>
      <c r="D166" s="26"/>
      <c r="E166" s="35" t="n">
        <f aca="false">E165</f>
        <v>0</v>
      </c>
      <c r="F166" s="35" t="n">
        <f aca="false">E166+F165</f>
        <v>0</v>
      </c>
      <c r="G166" s="35" t="n">
        <f aca="false">F166+G165</f>
        <v>0</v>
      </c>
      <c r="H166" s="35" t="n">
        <f aca="false">G166+H165</f>
        <v>0</v>
      </c>
      <c r="I166" s="35" t="n">
        <f aca="false">H166+I165</f>
        <v>0</v>
      </c>
      <c r="J166" s="35" t="n">
        <f aca="false">I166+J165</f>
        <v>0</v>
      </c>
      <c r="K166" s="35" t="n">
        <f aca="false">J166+K165</f>
        <v>0</v>
      </c>
      <c r="L166" s="35" t="n">
        <f aca="false">K166+L165</f>
        <v>0</v>
      </c>
      <c r="M166" s="35" t="n">
        <f aca="false">L166+M165</f>
        <v>0</v>
      </c>
      <c r="N166" s="35" t="n">
        <f aca="false">M166+N165</f>
        <v>0</v>
      </c>
      <c r="O166" s="35" t="n">
        <f aca="false">N166+O165</f>
        <v>0</v>
      </c>
      <c r="P166" s="35" t="n">
        <f aca="false">O166+P165</f>
        <v>0</v>
      </c>
      <c r="Q166" s="35" t="n">
        <f aca="false">P166+Q165</f>
        <v>0</v>
      </c>
      <c r="R166" s="35" t="n">
        <f aca="false">Q166+R165</f>
        <v>0</v>
      </c>
      <c r="S166" s="35" t="n">
        <f aca="false">R166+S165</f>
        <v>0</v>
      </c>
      <c r="T166" s="35" t="n">
        <f aca="false">S166+T165</f>
        <v>0</v>
      </c>
      <c r="U166" s="35" t="n">
        <f aca="false">T166+U165</f>
        <v>0</v>
      </c>
      <c r="V166" s="35" t="n">
        <f aca="false">U166+V165</f>
        <v>0</v>
      </c>
      <c r="W166" s="35" t="n">
        <f aca="false">V166+W165</f>
        <v>0</v>
      </c>
      <c r="X166" s="35" t="n">
        <f aca="false">W166+X165</f>
        <v>0</v>
      </c>
      <c r="Y166" s="35" t="n">
        <f aca="false">X166+Y165</f>
        <v>0</v>
      </c>
      <c r="Z166" s="35" t="n">
        <f aca="false">Y166+Z165</f>
        <v>0</v>
      </c>
      <c r="AA166" s="35" t="n">
        <f aca="false">Z166+AA165</f>
        <v>0</v>
      </c>
      <c r="AB166" s="35" t="n">
        <f aca="false">AA166+AB165</f>
        <v>0</v>
      </c>
      <c r="AC166" s="35" t="n">
        <f aca="false">AB166+AC165</f>
        <v>0</v>
      </c>
      <c r="AD166" s="35" t="n">
        <f aca="false">AC166+AD165</f>
        <v>0</v>
      </c>
      <c r="AE166" s="35" t="n">
        <f aca="false">AD166+AE165</f>
        <v>0</v>
      </c>
      <c r="AF166" s="35" t="n">
        <f aca="false">AE166+AF165</f>
        <v>0</v>
      </c>
      <c r="AG166" s="35" t="n">
        <f aca="false">AF166+AG165</f>
        <v>0</v>
      </c>
      <c r="AH166" s="35" t="n">
        <f aca="false">AG166+AH165</f>
        <v>0</v>
      </c>
      <c r="AI166" s="35" t="n">
        <f aca="false">AH166+AI165</f>
        <v>0</v>
      </c>
      <c r="AJ166" s="35" t="n">
        <f aca="false">AI166+AJ165</f>
        <v>0</v>
      </c>
      <c r="AK166" s="35" t="n">
        <f aca="false">AJ166+AK165</f>
        <v>0</v>
      </c>
      <c r="AL166" s="35" t="n">
        <f aca="false">AK166+AL165</f>
        <v>0</v>
      </c>
      <c r="AM166" s="35" t="n">
        <f aca="false">AL166+AM165</f>
        <v>0</v>
      </c>
      <c r="AN166" s="35" t="n">
        <f aca="false">AM166+AN165</f>
        <v>0</v>
      </c>
      <c r="AO166" s="35" t="n">
        <f aca="false">AN166+AO165</f>
        <v>0</v>
      </c>
      <c r="AP166" s="35" t="n">
        <f aca="false">AO166+AP165</f>
        <v>0</v>
      </c>
      <c r="AQ166" s="35" t="n">
        <f aca="false">AP166+AQ165</f>
        <v>0</v>
      </c>
      <c r="AR166" s="35" t="n">
        <f aca="false">AQ166+AR165</f>
        <v>0</v>
      </c>
      <c r="AS166" s="35" t="n">
        <f aca="false">AR166+AS165</f>
        <v>0</v>
      </c>
      <c r="AT166" s="35" t="n">
        <f aca="false">AS166+AT165</f>
        <v>0</v>
      </c>
      <c r="AU166" s="35" t="n">
        <f aca="false">AT166+AU165</f>
        <v>0</v>
      </c>
      <c r="AV166" s="35" t="n">
        <f aca="false">AU166+AV165</f>
        <v>0</v>
      </c>
      <c r="AW166" s="35" t="n">
        <f aca="false">AV166+AW165</f>
        <v>0</v>
      </c>
      <c r="AX166" s="35" t="n">
        <f aca="false">AW166+AX165</f>
        <v>0</v>
      </c>
      <c r="AY166" s="35" t="n">
        <f aca="false">AX166+AY165</f>
        <v>0</v>
      </c>
      <c r="AZ166" s="35" t="n">
        <f aca="false">AY166+AZ165</f>
        <v>0</v>
      </c>
      <c r="BA166" s="35" t="n">
        <f aca="false">AZ166+BA165</f>
        <v>0</v>
      </c>
      <c r="BB166" s="35" t="n">
        <f aca="false">BA166+BB165</f>
        <v>0</v>
      </c>
      <c r="BC166" s="35" t="n">
        <f aca="false">BB166+BC165</f>
        <v>0</v>
      </c>
      <c r="BD166" s="35" t="n">
        <f aca="false">BC166+BD165</f>
        <v>0</v>
      </c>
      <c r="BE166" s="35" t="n">
        <f aca="false">BD166+BE165</f>
        <v>0</v>
      </c>
      <c r="BF166" s="35" t="n">
        <f aca="false">BE166+BF165</f>
        <v>0</v>
      </c>
      <c r="BG166" s="35" t="n">
        <f aca="false">J166</f>
        <v>0</v>
      </c>
      <c r="BH166" s="35" t="n">
        <f aca="false">V166</f>
        <v>0</v>
      </c>
      <c r="BI166" s="35" t="n">
        <f aca="false">AH166</f>
        <v>0</v>
      </c>
      <c r="BJ166" s="35" t="n">
        <f aca="false">AT166</f>
        <v>0</v>
      </c>
      <c r="BK166" s="35" t="n">
        <f aca="false">BF166</f>
        <v>0</v>
      </c>
      <c r="BL166" s="35" t="n">
        <f aca="false">BF166</f>
        <v>0</v>
      </c>
    </row>
    <row r="167" customFormat="false" ht="15" hidden="false" customHeight="false" outlineLevel="0" collapsed="false">
      <c r="A167" s="28" t="s">
        <v>118</v>
      </c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</row>
    <row r="168" customFormat="false" ht="15" hidden="false" customHeight="false" outlineLevel="0" collapsed="false">
      <c r="A168" s="13" t="s">
        <v>107</v>
      </c>
      <c r="B168" s="14"/>
      <c r="C168" s="15"/>
      <c r="D168" s="15"/>
      <c r="E168" s="11" t="n">
        <f aca="false">SUMIFS(tblAuftraege[Einnahmen],tblAuftraege[Datum Einnahmen],"&gt;="&amp;E$5,tblAuftraege[Datum Einnahmen],"&lt;"&amp;EDATE(E$5,1),tblAuftraege[Auftragswahrscheinlichkeit],1)</f>
        <v>0</v>
      </c>
      <c r="F168" s="11" t="n">
        <f aca="false">SUMIFS(tblAuftraege[Einnahmen],tblAuftraege[Datum Einnahmen],"&gt;="&amp;F$5,tblAuftraege[Datum Einnahmen],"&lt;"&amp;EDATE(F$5,1),tblAuftraege[Auftragswahrscheinlichkeit],1)</f>
        <v>0</v>
      </c>
      <c r="G168" s="11" t="n">
        <f aca="false">SUMIFS(tblAuftraege[Einnahmen],tblAuftraege[Datum Einnahmen],"&gt;="&amp;G$5,tblAuftraege[Datum Einnahmen],"&lt;"&amp;EDATE(G$5,1),tblAuftraege[Auftragswahrscheinlichkeit],1)</f>
        <v>0</v>
      </c>
      <c r="H168" s="11" t="n">
        <f aca="false">SUMIFS(tblAuftraege[Einnahmen],tblAuftraege[Datum Einnahmen],"&gt;="&amp;H$5,tblAuftraege[Datum Einnahmen],"&lt;"&amp;EDATE(H$5,1),tblAuftraege[Auftragswahrscheinlichkeit],1)</f>
        <v>0</v>
      </c>
      <c r="I168" s="11" t="n">
        <f aca="false">SUMIFS(tblAuftraege[Einnahmen],tblAuftraege[Datum Einnahmen],"&gt;="&amp;I$5,tblAuftraege[Datum Einnahmen],"&lt;"&amp;EDATE(I$5,1),tblAuftraege[Auftragswahrscheinlichkeit],1)</f>
        <v>0</v>
      </c>
      <c r="J168" s="11" t="n">
        <f aca="false">SUMIFS(tblAuftraege[Einnahmen],tblAuftraege[Datum Einnahmen],"&gt;="&amp;J$5,tblAuftraege[Datum Einnahmen],"&lt;"&amp;EDATE(J$5,1),tblAuftraege[Auftragswahrscheinlichkeit],1)</f>
        <v>0</v>
      </c>
      <c r="K168" s="11" t="n">
        <f aca="false">SUMIFS(tblAuftraege[Einnahmen],tblAuftraege[Datum Einnahmen],"&gt;="&amp;K$5,tblAuftraege[Datum Einnahmen],"&lt;"&amp;EDATE(K$5,1),tblAuftraege[Auftragswahrscheinlichkeit],1)</f>
        <v>0</v>
      </c>
      <c r="L168" s="11" t="n">
        <f aca="false">SUMIFS(tblAuftraege[Einnahmen],tblAuftraege[Datum Einnahmen],"&gt;="&amp;L$5,tblAuftraege[Datum Einnahmen],"&lt;"&amp;EDATE(L$5,1),tblAuftraege[Auftragswahrscheinlichkeit],1)</f>
        <v>0</v>
      </c>
      <c r="M168" s="11" t="n">
        <f aca="false">SUMIFS(tblAuftraege[Einnahmen],tblAuftraege[Datum Einnahmen],"&gt;="&amp;M$5,tblAuftraege[Datum Einnahmen],"&lt;"&amp;EDATE(M$5,1),tblAuftraege[Auftragswahrscheinlichkeit],1)</f>
        <v>0</v>
      </c>
      <c r="N168" s="11" t="n">
        <f aca="false">SUMIFS(tblAuftraege[Einnahmen],tblAuftraege[Datum Einnahmen],"&gt;="&amp;N$5,tblAuftraege[Datum Einnahmen],"&lt;"&amp;EDATE(N$5,1),tblAuftraege[Auftragswahrscheinlichkeit],1)</f>
        <v>0</v>
      </c>
      <c r="O168" s="11" t="n">
        <f aca="false">SUMIFS(tblAuftraege[Einnahmen],tblAuftraege[Datum Einnahmen],"&gt;="&amp;O$5,tblAuftraege[Datum Einnahmen],"&lt;"&amp;EDATE(O$5,1),tblAuftraege[Auftragswahrscheinlichkeit],1)</f>
        <v>0</v>
      </c>
      <c r="P168" s="11" t="n">
        <f aca="false">SUMIFS(tblAuftraege[Einnahmen],tblAuftraege[Datum Einnahmen],"&gt;="&amp;P$5,tblAuftraege[Datum Einnahmen],"&lt;"&amp;EDATE(P$5,1),tblAuftraege[Auftragswahrscheinlichkeit],1)</f>
        <v>0</v>
      </c>
      <c r="Q168" s="11" t="n">
        <f aca="false">SUMIFS(tblAuftraege[Einnahmen],tblAuftraege[Datum Einnahmen],"&gt;="&amp;Q$5,tblAuftraege[Datum Einnahmen],"&lt;"&amp;EDATE(Q$5,1),tblAuftraege[Auftragswahrscheinlichkeit],1)</f>
        <v>0</v>
      </c>
      <c r="R168" s="11" t="n">
        <f aca="false">SUMIFS(tblAuftraege[Einnahmen],tblAuftraege[Datum Einnahmen],"&gt;="&amp;R$5,tblAuftraege[Datum Einnahmen],"&lt;"&amp;EDATE(R$5,1),tblAuftraege[Auftragswahrscheinlichkeit],1)</f>
        <v>0</v>
      </c>
      <c r="S168" s="11" t="n">
        <f aca="false">SUMIFS(tblAuftraege[Einnahmen],tblAuftraege[Datum Einnahmen],"&gt;="&amp;S$5,tblAuftraege[Datum Einnahmen],"&lt;"&amp;EDATE(S$5,1),tblAuftraege[Auftragswahrscheinlichkeit],1)</f>
        <v>0</v>
      </c>
      <c r="T168" s="11" t="n">
        <f aca="false">SUMIFS(tblAuftraege[Einnahmen],tblAuftraege[Datum Einnahmen],"&gt;="&amp;T$5,tblAuftraege[Datum Einnahmen],"&lt;"&amp;EDATE(T$5,1),tblAuftraege[Auftragswahrscheinlichkeit],1)</f>
        <v>0</v>
      </c>
      <c r="U168" s="11" t="n">
        <f aca="false">SUMIFS(tblAuftraege[Einnahmen],tblAuftraege[Datum Einnahmen],"&gt;="&amp;U$5,tblAuftraege[Datum Einnahmen],"&lt;"&amp;EDATE(U$5,1),tblAuftraege[Auftragswahrscheinlichkeit],1)</f>
        <v>0</v>
      </c>
      <c r="V168" s="11" t="n">
        <f aca="false">SUMIFS(tblAuftraege[Einnahmen],tblAuftraege[Datum Einnahmen],"&gt;="&amp;V$5,tblAuftraege[Datum Einnahmen],"&lt;"&amp;EDATE(V$5,1),tblAuftraege[Auftragswahrscheinlichkeit],1)</f>
        <v>0</v>
      </c>
      <c r="W168" s="11" t="n">
        <f aca="false">SUMIFS(tblAuftraege[Einnahmen],tblAuftraege[Datum Einnahmen],"&gt;="&amp;W$5,tblAuftraege[Datum Einnahmen],"&lt;"&amp;EDATE(W$5,1),tblAuftraege[Auftragswahrscheinlichkeit],1)</f>
        <v>0</v>
      </c>
      <c r="X168" s="11" t="n">
        <f aca="false">SUMIFS(tblAuftraege[Einnahmen],tblAuftraege[Datum Einnahmen],"&gt;="&amp;X$5,tblAuftraege[Datum Einnahmen],"&lt;"&amp;EDATE(X$5,1),tblAuftraege[Auftragswahrscheinlichkeit],1)</f>
        <v>0</v>
      </c>
      <c r="Y168" s="11" t="n">
        <f aca="false">SUMIFS(tblAuftraege[Einnahmen],tblAuftraege[Datum Einnahmen],"&gt;="&amp;Y$5,tblAuftraege[Datum Einnahmen],"&lt;"&amp;EDATE(Y$5,1),tblAuftraege[Auftragswahrscheinlichkeit],1)</f>
        <v>0</v>
      </c>
      <c r="Z168" s="11" t="n">
        <f aca="false">SUMIFS(tblAuftraege[Einnahmen],tblAuftraege[Datum Einnahmen],"&gt;="&amp;Z$5,tblAuftraege[Datum Einnahmen],"&lt;"&amp;EDATE(Z$5,1),tblAuftraege[Auftragswahrscheinlichkeit],1)</f>
        <v>0</v>
      </c>
      <c r="AA168" s="11" t="n">
        <f aca="false">SUMIFS(tblAuftraege[Einnahmen],tblAuftraege[Datum Einnahmen],"&gt;="&amp;AA$5,tblAuftraege[Datum Einnahmen],"&lt;"&amp;EDATE(AA$5,1),tblAuftraege[Auftragswahrscheinlichkeit],1)</f>
        <v>0</v>
      </c>
      <c r="AB168" s="11" t="n">
        <f aca="false">SUMIFS(tblAuftraege[Einnahmen],tblAuftraege[Datum Einnahmen],"&gt;="&amp;AB$5,tblAuftraege[Datum Einnahmen],"&lt;"&amp;EDATE(AB$5,1),tblAuftraege[Auftragswahrscheinlichkeit],1)</f>
        <v>0</v>
      </c>
      <c r="AC168" s="11" t="n">
        <f aca="false">SUMIFS(tblAuftraege[Einnahmen],tblAuftraege[Datum Einnahmen],"&gt;="&amp;AC$5,tblAuftraege[Datum Einnahmen],"&lt;"&amp;EDATE(AC$5,1),tblAuftraege[Auftragswahrscheinlichkeit],1)</f>
        <v>0</v>
      </c>
      <c r="AD168" s="11" t="n">
        <f aca="false">SUMIFS(tblAuftraege[Einnahmen],tblAuftraege[Datum Einnahmen],"&gt;="&amp;AD$5,tblAuftraege[Datum Einnahmen],"&lt;"&amp;EDATE(AD$5,1),tblAuftraege[Auftragswahrscheinlichkeit],1)</f>
        <v>0</v>
      </c>
      <c r="AE168" s="11" t="n">
        <f aca="false">SUMIFS(tblAuftraege[Einnahmen],tblAuftraege[Datum Einnahmen],"&gt;="&amp;AE$5,tblAuftraege[Datum Einnahmen],"&lt;"&amp;EDATE(AE$5,1),tblAuftraege[Auftragswahrscheinlichkeit],1)</f>
        <v>0</v>
      </c>
      <c r="AF168" s="11" t="n">
        <f aca="false">SUMIFS(tblAuftraege[Einnahmen],tblAuftraege[Datum Einnahmen],"&gt;="&amp;AF$5,tblAuftraege[Datum Einnahmen],"&lt;"&amp;EDATE(AF$5,1),tblAuftraege[Auftragswahrscheinlichkeit],1)</f>
        <v>0</v>
      </c>
      <c r="AG168" s="11" t="n">
        <f aca="false">SUMIFS(tblAuftraege[Einnahmen],tblAuftraege[Datum Einnahmen],"&gt;="&amp;AG$5,tblAuftraege[Datum Einnahmen],"&lt;"&amp;EDATE(AG$5,1),tblAuftraege[Auftragswahrscheinlichkeit],1)</f>
        <v>0</v>
      </c>
      <c r="AH168" s="11" t="n">
        <f aca="false">SUMIFS(tblAuftraege[Einnahmen],tblAuftraege[Datum Einnahmen],"&gt;="&amp;AH$5,tblAuftraege[Datum Einnahmen],"&lt;"&amp;EDATE(AH$5,1),tblAuftraege[Auftragswahrscheinlichkeit],1)</f>
        <v>0</v>
      </c>
      <c r="AI168" s="11" t="n">
        <f aca="false">SUMIFS(tblAuftraege[Einnahmen],tblAuftraege[Datum Einnahmen],"&gt;="&amp;AI$5,tblAuftraege[Datum Einnahmen],"&lt;"&amp;EDATE(AI$5,1),tblAuftraege[Auftragswahrscheinlichkeit],1)</f>
        <v>0</v>
      </c>
      <c r="AJ168" s="11" t="n">
        <f aca="false">SUMIFS(tblAuftraege[Einnahmen],tblAuftraege[Datum Einnahmen],"&gt;="&amp;AJ$5,tblAuftraege[Datum Einnahmen],"&lt;"&amp;EDATE(AJ$5,1),tblAuftraege[Auftragswahrscheinlichkeit],1)</f>
        <v>0</v>
      </c>
      <c r="AK168" s="11" t="n">
        <f aca="false">SUMIFS(tblAuftraege[Einnahmen],tblAuftraege[Datum Einnahmen],"&gt;="&amp;AK$5,tblAuftraege[Datum Einnahmen],"&lt;"&amp;EDATE(AK$5,1),tblAuftraege[Auftragswahrscheinlichkeit],1)</f>
        <v>0</v>
      </c>
      <c r="AL168" s="11" t="n">
        <f aca="false">SUMIFS(tblAuftraege[Einnahmen],tblAuftraege[Datum Einnahmen],"&gt;="&amp;AL$5,tblAuftraege[Datum Einnahmen],"&lt;"&amp;EDATE(AL$5,1),tblAuftraege[Auftragswahrscheinlichkeit],1)</f>
        <v>0</v>
      </c>
      <c r="AM168" s="11" t="n">
        <f aca="false">SUMIFS(tblAuftraege[Einnahmen],tblAuftraege[Datum Einnahmen],"&gt;="&amp;AM$5,tblAuftraege[Datum Einnahmen],"&lt;"&amp;EDATE(AM$5,1),tblAuftraege[Auftragswahrscheinlichkeit],1)</f>
        <v>0</v>
      </c>
      <c r="AN168" s="11" t="n">
        <f aca="false">SUMIFS(tblAuftraege[Einnahmen],tblAuftraege[Datum Einnahmen],"&gt;="&amp;AN$5,tblAuftraege[Datum Einnahmen],"&lt;"&amp;EDATE(AN$5,1),tblAuftraege[Auftragswahrscheinlichkeit],1)</f>
        <v>0</v>
      </c>
      <c r="AO168" s="11" t="n">
        <f aca="false">SUMIFS(tblAuftraege[Einnahmen],tblAuftraege[Datum Einnahmen],"&gt;="&amp;AO$5,tblAuftraege[Datum Einnahmen],"&lt;"&amp;EDATE(AO$5,1),tblAuftraege[Auftragswahrscheinlichkeit],1)</f>
        <v>0</v>
      </c>
      <c r="AP168" s="11" t="n">
        <f aca="false">SUMIFS(tblAuftraege[Einnahmen],tblAuftraege[Datum Einnahmen],"&gt;="&amp;AP$5,tblAuftraege[Datum Einnahmen],"&lt;"&amp;EDATE(AP$5,1),tblAuftraege[Auftragswahrscheinlichkeit],1)</f>
        <v>0</v>
      </c>
      <c r="AQ168" s="11" t="n">
        <f aca="false">SUMIFS(tblAuftraege[Einnahmen],tblAuftraege[Datum Einnahmen],"&gt;="&amp;AQ$5,tblAuftraege[Datum Einnahmen],"&lt;"&amp;EDATE(AQ$5,1),tblAuftraege[Auftragswahrscheinlichkeit],1)</f>
        <v>0</v>
      </c>
      <c r="AR168" s="11" t="n">
        <f aca="false">SUMIFS(tblAuftraege[Einnahmen],tblAuftraege[Datum Einnahmen],"&gt;="&amp;AR$5,tblAuftraege[Datum Einnahmen],"&lt;"&amp;EDATE(AR$5,1),tblAuftraege[Auftragswahrscheinlichkeit],1)</f>
        <v>0</v>
      </c>
      <c r="AS168" s="11" t="n">
        <f aca="false">SUMIFS(tblAuftraege[Einnahmen],tblAuftraege[Datum Einnahmen],"&gt;="&amp;AS$5,tblAuftraege[Datum Einnahmen],"&lt;"&amp;EDATE(AS$5,1),tblAuftraege[Auftragswahrscheinlichkeit],1)</f>
        <v>0</v>
      </c>
      <c r="AT168" s="11" t="n">
        <f aca="false">SUMIFS(tblAuftraege[Einnahmen],tblAuftraege[Datum Einnahmen],"&gt;="&amp;AT$5,tblAuftraege[Datum Einnahmen],"&lt;"&amp;EDATE(AT$5,1),tblAuftraege[Auftragswahrscheinlichkeit],1)</f>
        <v>0</v>
      </c>
      <c r="AU168" s="11" t="n">
        <f aca="false">SUMIFS(tblAuftraege[Einnahmen],tblAuftraege[Datum Einnahmen],"&gt;="&amp;AU$5,tblAuftraege[Datum Einnahmen],"&lt;"&amp;EDATE(AU$5,1),tblAuftraege[Auftragswahrscheinlichkeit],1)</f>
        <v>0</v>
      </c>
      <c r="AV168" s="11" t="n">
        <f aca="false">SUMIFS(tblAuftraege[Einnahmen],tblAuftraege[Datum Einnahmen],"&gt;="&amp;AV$5,tblAuftraege[Datum Einnahmen],"&lt;"&amp;EDATE(AV$5,1),tblAuftraege[Auftragswahrscheinlichkeit],1)</f>
        <v>0</v>
      </c>
      <c r="AW168" s="11" t="n">
        <f aca="false">SUMIFS(tblAuftraege[Einnahmen],tblAuftraege[Datum Einnahmen],"&gt;="&amp;AW$5,tblAuftraege[Datum Einnahmen],"&lt;"&amp;EDATE(AW$5,1),tblAuftraege[Auftragswahrscheinlichkeit],1)</f>
        <v>0</v>
      </c>
      <c r="AX168" s="11" t="n">
        <f aca="false">SUMIFS(tblAuftraege[Einnahmen],tblAuftraege[Datum Einnahmen],"&gt;="&amp;AX$5,tblAuftraege[Datum Einnahmen],"&lt;"&amp;EDATE(AX$5,1),tblAuftraege[Auftragswahrscheinlichkeit],1)</f>
        <v>0</v>
      </c>
      <c r="AY168" s="11" t="n">
        <f aca="false">SUMIFS(tblAuftraege[Einnahmen],tblAuftraege[Datum Einnahmen],"&gt;="&amp;AY$5,tblAuftraege[Datum Einnahmen],"&lt;"&amp;EDATE(AY$5,1),tblAuftraege[Auftragswahrscheinlichkeit],1)</f>
        <v>0</v>
      </c>
      <c r="AZ168" s="11" t="n">
        <f aca="false">SUMIFS(tblAuftraege[Einnahmen],tblAuftraege[Datum Einnahmen],"&gt;="&amp;AZ$5,tblAuftraege[Datum Einnahmen],"&lt;"&amp;EDATE(AZ$5,1),tblAuftraege[Auftragswahrscheinlichkeit],1)</f>
        <v>0</v>
      </c>
      <c r="BA168" s="11" t="n">
        <f aca="false">SUMIFS(tblAuftraege[Einnahmen],tblAuftraege[Datum Einnahmen],"&gt;="&amp;BA$5,tblAuftraege[Datum Einnahmen],"&lt;"&amp;EDATE(BA$5,1),tblAuftraege[Auftragswahrscheinlichkeit],1)</f>
        <v>0</v>
      </c>
      <c r="BB168" s="11" t="n">
        <f aca="false">SUMIFS(tblAuftraege[Einnahmen],tblAuftraege[Datum Einnahmen],"&gt;="&amp;BB$5,tblAuftraege[Datum Einnahmen],"&lt;"&amp;EDATE(BB$5,1),tblAuftraege[Auftragswahrscheinlichkeit],1)</f>
        <v>0</v>
      </c>
      <c r="BC168" s="11" t="n">
        <f aca="false">SUMIFS(tblAuftraege[Einnahmen],tblAuftraege[Datum Einnahmen],"&gt;="&amp;BC$5,tblAuftraege[Datum Einnahmen],"&lt;"&amp;EDATE(BC$5,1),tblAuftraege[Auftragswahrscheinlichkeit],1)</f>
        <v>0</v>
      </c>
      <c r="BD168" s="11" t="n">
        <f aca="false">SUMIFS(tblAuftraege[Einnahmen],tblAuftraege[Datum Einnahmen],"&gt;="&amp;BD$5,tblAuftraege[Datum Einnahmen],"&lt;"&amp;EDATE(BD$5,1),tblAuftraege[Auftragswahrscheinlichkeit],1)</f>
        <v>0</v>
      </c>
      <c r="BE168" s="11" t="n">
        <f aca="false">SUMIFS(tblAuftraege[Einnahmen],tblAuftraege[Datum Einnahmen],"&gt;="&amp;BE$5,tblAuftraege[Datum Einnahmen],"&lt;"&amp;EDATE(BE$5,1),tblAuftraege[Auftragswahrscheinlichkeit],1)</f>
        <v>0</v>
      </c>
      <c r="BF168" s="11" t="n">
        <f aca="false">SUMIFS(tblAuftraege[Einnahmen],tblAuftraege[Datum Einnahmen],"&gt;="&amp;BF$5,tblAuftraege[Datum Einnahmen],"&lt;"&amp;EDATE(BF$5,1),tblAuftraege[Auftragswahrscheinlichkeit],1)</f>
        <v>0</v>
      </c>
      <c r="BG168" s="11" t="n">
        <f aca="false">SUM(E168:J168)</f>
        <v>0</v>
      </c>
      <c r="BH168" s="11" t="n">
        <f aca="false">SUM(K168:V168)</f>
        <v>0</v>
      </c>
      <c r="BI168" s="11" t="n">
        <f aca="false">SUM(W168:AH168)</f>
        <v>0</v>
      </c>
      <c r="BJ168" s="11" t="n">
        <f aca="false">SUM(AI168:AT168)</f>
        <v>0</v>
      </c>
      <c r="BK168" s="11" t="n">
        <f aca="false">SUM(AU168:BF168)</f>
        <v>0</v>
      </c>
      <c r="BL168" s="11" t="n">
        <f aca="false">SUM(E168:BF168)</f>
        <v>0</v>
      </c>
    </row>
    <row r="169" customFormat="false" ht="15" hidden="false" customHeight="false" outlineLevel="0" collapsed="false">
      <c r="A169" s="13" t="s">
        <v>108</v>
      </c>
      <c r="B169" s="14"/>
      <c r="C169" s="15"/>
      <c r="D169" s="15"/>
      <c r="E169" s="11" t="n">
        <f aca="false">SUMIFS(tblAuftraege[Ausgaben],tblAuftraege[Datum Ausgaben],"&gt;="&amp;E$5,tblAuftraege[Datum Ausgaben],"&lt;"&amp;EDATE(E$5,1),tblAuftraege[Auftragswahrscheinlichkeit],1)</f>
        <v>0</v>
      </c>
      <c r="F169" s="11" t="n">
        <f aca="false">SUMIFS(tblAuftraege[Ausgaben],tblAuftraege[Datum Ausgaben],"&gt;="&amp;F$5,tblAuftraege[Datum Ausgaben],"&lt;"&amp;EDATE(F$5,1),tblAuftraege[Auftragswahrscheinlichkeit],1)</f>
        <v>0</v>
      </c>
      <c r="G169" s="11" t="n">
        <f aca="false">SUMIFS(tblAuftraege[Ausgaben],tblAuftraege[Datum Ausgaben],"&gt;="&amp;G$5,tblAuftraege[Datum Ausgaben],"&lt;"&amp;EDATE(G$5,1),tblAuftraege[Auftragswahrscheinlichkeit],1)</f>
        <v>0</v>
      </c>
      <c r="H169" s="11" t="n">
        <f aca="false">SUMIFS(tblAuftraege[Ausgaben],tblAuftraege[Datum Ausgaben],"&gt;="&amp;H$5,tblAuftraege[Datum Ausgaben],"&lt;"&amp;EDATE(H$5,1),tblAuftraege[Auftragswahrscheinlichkeit],1)</f>
        <v>0</v>
      </c>
      <c r="I169" s="11" t="n">
        <f aca="false">SUMIFS(tblAuftraege[Ausgaben],tblAuftraege[Datum Ausgaben],"&gt;="&amp;I$5,tblAuftraege[Datum Ausgaben],"&lt;"&amp;EDATE(I$5,1),tblAuftraege[Auftragswahrscheinlichkeit],1)</f>
        <v>0</v>
      </c>
      <c r="J169" s="11" t="n">
        <f aca="false">SUMIFS(tblAuftraege[Ausgaben],tblAuftraege[Datum Ausgaben],"&gt;="&amp;J$5,tblAuftraege[Datum Ausgaben],"&lt;"&amp;EDATE(J$5,1),tblAuftraege[Auftragswahrscheinlichkeit],1)</f>
        <v>0</v>
      </c>
      <c r="K169" s="11" t="n">
        <f aca="false">SUMIFS(tblAuftraege[Ausgaben],tblAuftraege[Datum Ausgaben],"&gt;="&amp;K$5,tblAuftraege[Datum Ausgaben],"&lt;"&amp;EDATE(K$5,1),tblAuftraege[Auftragswahrscheinlichkeit],1)</f>
        <v>0</v>
      </c>
      <c r="L169" s="11" t="n">
        <f aca="false">SUMIFS(tblAuftraege[Ausgaben],tblAuftraege[Datum Ausgaben],"&gt;="&amp;L$5,tblAuftraege[Datum Ausgaben],"&lt;"&amp;EDATE(L$5,1),tblAuftraege[Auftragswahrscheinlichkeit],1)</f>
        <v>0</v>
      </c>
      <c r="M169" s="11" t="n">
        <f aca="false">SUMIFS(tblAuftraege[Ausgaben],tblAuftraege[Datum Ausgaben],"&gt;="&amp;M$5,tblAuftraege[Datum Ausgaben],"&lt;"&amp;EDATE(M$5,1),tblAuftraege[Auftragswahrscheinlichkeit],1)</f>
        <v>0</v>
      </c>
      <c r="N169" s="11" t="n">
        <f aca="false">SUMIFS(tblAuftraege[Ausgaben],tblAuftraege[Datum Ausgaben],"&gt;="&amp;N$5,tblAuftraege[Datum Ausgaben],"&lt;"&amp;EDATE(N$5,1),tblAuftraege[Auftragswahrscheinlichkeit],1)</f>
        <v>0</v>
      </c>
      <c r="O169" s="11" t="n">
        <f aca="false">SUMIFS(tblAuftraege[Ausgaben],tblAuftraege[Datum Ausgaben],"&gt;="&amp;O$5,tblAuftraege[Datum Ausgaben],"&lt;"&amp;EDATE(O$5,1),tblAuftraege[Auftragswahrscheinlichkeit],1)</f>
        <v>0</v>
      </c>
      <c r="P169" s="11" t="n">
        <f aca="false">SUMIFS(tblAuftraege[Ausgaben],tblAuftraege[Datum Ausgaben],"&gt;="&amp;P$5,tblAuftraege[Datum Ausgaben],"&lt;"&amp;EDATE(P$5,1),tblAuftraege[Auftragswahrscheinlichkeit],1)</f>
        <v>0</v>
      </c>
      <c r="Q169" s="11" t="n">
        <f aca="false">SUMIFS(tblAuftraege[Ausgaben],tblAuftraege[Datum Ausgaben],"&gt;="&amp;Q$5,tblAuftraege[Datum Ausgaben],"&lt;"&amp;EDATE(Q$5,1),tblAuftraege[Auftragswahrscheinlichkeit],1)</f>
        <v>0</v>
      </c>
      <c r="R169" s="11" t="n">
        <f aca="false">SUMIFS(tblAuftraege[Ausgaben],tblAuftraege[Datum Ausgaben],"&gt;="&amp;R$5,tblAuftraege[Datum Ausgaben],"&lt;"&amp;EDATE(R$5,1),tblAuftraege[Auftragswahrscheinlichkeit],1)</f>
        <v>0</v>
      </c>
      <c r="S169" s="11" t="n">
        <f aca="false">SUMIFS(tblAuftraege[Ausgaben],tblAuftraege[Datum Ausgaben],"&gt;="&amp;S$5,tblAuftraege[Datum Ausgaben],"&lt;"&amp;EDATE(S$5,1),tblAuftraege[Auftragswahrscheinlichkeit],1)</f>
        <v>0</v>
      </c>
      <c r="T169" s="11" t="n">
        <f aca="false">SUMIFS(tblAuftraege[Ausgaben],tblAuftraege[Datum Ausgaben],"&gt;="&amp;T$5,tblAuftraege[Datum Ausgaben],"&lt;"&amp;EDATE(T$5,1),tblAuftraege[Auftragswahrscheinlichkeit],1)</f>
        <v>0</v>
      </c>
      <c r="U169" s="11" t="n">
        <f aca="false">SUMIFS(tblAuftraege[Ausgaben],tblAuftraege[Datum Ausgaben],"&gt;="&amp;U$5,tblAuftraege[Datum Ausgaben],"&lt;"&amp;EDATE(U$5,1),tblAuftraege[Auftragswahrscheinlichkeit],1)</f>
        <v>0</v>
      </c>
      <c r="V169" s="11" t="n">
        <f aca="false">SUMIFS(tblAuftraege[Ausgaben],tblAuftraege[Datum Ausgaben],"&gt;="&amp;V$5,tblAuftraege[Datum Ausgaben],"&lt;"&amp;EDATE(V$5,1),tblAuftraege[Auftragswahrscheinlichkeit],1)</f>
        <v>0</v>
      </c>
      <c r="W169" s="11" t="n">
        <f aca="false">SUMIFS(tblAuftraege[Ausgaben],tblAuftraege[Datum Ausgaben],"&gt;="&amp;W$5,tblAuftraege[Datum Ausgaben],"&lt;"&amp;EDATE(W$5,1),tblAuftraege[Auftragswahrscheinlichkeit],1)</f>
        <v>0</v>
      </c>
      <c r="X169" s="11" t="n">
        <f aca="false">SUMIFS(tblAuftraege[Ausgaben],tblAuftraege[Datum Ausgaben],"&gt;="&amp;X$5,tblAuftraege[Datum Ausgaben],"&lt;"&amp;EDATE(X$5,1),tblAuftraege[Auftragswahrscheinlichkeit],1)</f>
        <v>0</v>
      </c>
      <c r="Y169" s="11" t="n">
        <f aca="false">SUMIFS(tblAuftraege[Ausgaben],tblAuftraege[Datum Ausgaben],"&gt;="&amp;Y$5,tblAuftraege[Datum Ausgaben],"&lt;"&amp;EDATE(Y$5,1),tblAuftraege[Auftragswahrscheinlichkeit],1)</f>
        <v>0</v>
      </c>
      <c r="Z169" s="11" t="n">
        <f aca="false">SUMIFS(tblAuftraege[Ausgaben],tblAuftraege[Datum Ausgaben],"&gt;="&amp;Z$5,tblAuftraege[Datum Ausgaben],"&lt;"&amp;EDATE(Z$5,1),tblAuftraege[Auftragswahrscheinlichkeit],1)</f>
        <v>0</v>
      </c>
      <c r="AA169" s="11" t="n">
        <f aca="false">SUMIFS(tblAuftraege[Ausgaben],tblAuftraege[Datum Ausgaben],"&gt;="&amp;AA$5,tblAuftraege[Datum Ausgaben],"&lt;"&amp;EDATE(AA$5,1),tblAuftraege[Auftragswahrscheinlichkeit],1)</f>
        <v>0</v>
      </c>
      <c r="AB169" s="11" t="n">
        <f aca="false">SUMIFS(tblAuftraege[Ausgaben],tblAuftraege[Datum Ausgaben],"&gt;="&amp;AB$5,tblAuftraege[Datum Ausgaben],"&lt;"&amp;EDATE(AB$5,1),tblAuftraege[Auftragswahrscheinlichkeit],1)</f>
        <v>0</v>
      </c>
      <c r="AC169" s="11" t="n">
        <f aca="false">SUMIFS(tblAuftraege[Ausgaben],tblAuftraege[Datum Ausgaben],"&gt;="&amp;AC$5,tblAuftraege[Datum Ausgaben],"&lt;"&amp;EDATE(AC$5,1),tblAuftraege[Auftragswahrscheinlichkeit],1)</f>
        <v>0</v>
      </c>
      <c r="AD169" s="11" t="n">
        <f aca="false">SUMIFS(tblAuftraege[Ausgaben],tblAuftraege[Datum Ausgaben],"&gt;="&amp;AD$5,tblAuftraege[Datum Ausgaben],"&lt;"&amp;EDATE(AD$5,1),tblAuftraege[Auftragswahrscheinlichkeit],1)</f>
        <v>0</v>
      </c>
      <c r="AE169" s="11" t="n">
        <f aca="false">SUMIFS(tblAuftraege[Ausgaben],tblAuftraege[Datum Ausgaben],"&gt;="&amp;AE$5,tblAuftraege[Datum Ausgaben],"&lt;"&amp;EDATE(AE$5,1),tblAuftraege[Auftragswahrscheinlichkeit],1)</f>
        <v>0</v>
      </c>
      <c r="AF169" s="11" t="n">
        <f aca="false">SUMIFS(tblAuftraege[Ausgaben],tblAuftraege[Datum Ausgaben],"&gt;="&amp;AF$5,tblAuftraege[Datum Ausgaben],"&lt;"&amp;EDATE(AF$5,1),tblAuftraege[Auftragswahrscheinlichkeit],1)</f>
        <v>0</v>
      </c>
      <c r="AG169" s="11" t="n">
        <f aca="false">SUMIFS(tblAuftraege[Ausgaben],tblAuftraege[Datum Ausgaben],"&gt;="&amp;AG$5,tblAuftraege[Datum Ausgaben],"&lt;"&amp;EDATE(AG$5,1),tblAuftraege[Auftragswahrscheinlichkeit],1)</f>
        <v>0</v>
      </c>
      <c r="AH169" s="11" t="n">
        <f aca="false">SUMIFS(tblAuftraege[Ausgaben],tblAuftraege[Datum Ausgaben],"&gt;="&amp;AH$5,tblAuftraege[Datum Ausgaben],"&lt;"&amp;EDATE(AH$5,1),tblAuftraege[Auftragswahrscheinlichkeit],1)</f>
        <v>0</v>
      </c>
      <c r="AI169" s="11" t="n">
        <f aca="false">SUMIFS(tblAuftraege[Ausgaben],tblAuftraege[Datum Ausgaben],"&gt;="&amp;AI$5,tblAuftraege[Datum Ausgaben],"&lt;"&amp;EDATE(AI$5,1),tblAuftraege[Auftragswahrscheinlichkeit],1)</f>
        <v>0</v>
      </c>
      <c r="AJ169" s="11" t="n">
        <f aca="false">SUMIFS(tblAuftraege[Ausgaben],tblAuftraege[Datum Ausgaben],"&gt;="&amp;AJ$5,tblAuftraege[Datum Ausgaben],"&lt;"&amp;EDATE(AJ$5,1),tblAuftraege[Auftragswahrscheinlichkeit],1)</f>
        <v>0</v>
      </c>
      <c r="AK169" s="11" t="n">
        <f aca="false">SUMIFS(tblAuftraege[Ausgaben],tblAuftraege[Datum Ausgaben],"&gt;="&amp;AK$5,tblAuftraege[Datum Ausgaben],"&lt;"&amp;EDATE(AK$5,1),tblAuftraege[Auftragswahrscheinlichkeit],1)</f>
        <v>0</v>
      </c>
      <c r="AL169" s="11" t="n">
        <f aca="false">SUMIFS(tblAuftraege[Ausgaben],tblAuftraege[Datum Ausgaben],"&gt;="&amp;AL$5,tblAuftraege[Datum Ausgaben],"&lt;"&amp;EDATE(AL$5,1),tblAuftraege[Auftragswahrscheinlichkeit],1)</f>
        <v>0</v>
      </c>
      <c r="AM169" s="11" t="n">
        <f aca="false">SUMIFS(tblAuftraege[Ausgaben],tblAuftraege[Datum Ausgaben],"&gt;="&amp;AM$5,tblAuftraege[Datum Ausgaben],"&lt;"&amp;EDATE(AM$5,1),tblAuftraege[Auftragswahrscheinlichkeit],1)</f>
        <v>0</v>
      </c>
      <c r="AN169" s="11" t="n">
        <f aca="false">SUMIFS(tblAuftraege[Ausgaben],tblAuftraege[Datum Ausgaben],"&gt;="&amp;AN$5,tblAuftraege[Datum Ausgaben],"&lt;"&amp;EDATE(AN$5,1),tblAuftraege[Auftragswahrscheinlichkeit],1)</f>
        <v>0</v>
      </c>
      <c r="AO169" s="11" t="n">
        <f aca="false">SUMIFS(tblAuftraege[Ausgaben],tblAuftraege[Datum Ausgaben],"&gt;="&amp;AO$5,tblAuftraege[Datum Ausgaben],"&lt;"&amp;EDATE(AO$5,1),tblAuftraege[Auftragswahrscheinlichkeit],1)</f>
        <v>0</v>
      </c>
      <c r="AP169" s="11" t="n">
        <f aca="false">SUMIFS(tblAuftraege[Ausgaben],tblAuftraege[Datum Ausgaben],"&gt;="&amp;AP$5,tblAuftraege[Datum Ausgaben],"&lt;"&amp;EDATE(AP$5,1),tblAuftraege[Auftragswahrscheinlichkeit],1)</f>
        <v>0</v>
      </c>
      <c r="AQ169" s="11" t="n">
        <f aca="false">SUMIFS(tblAuftraege[Ausgaben],tblAuftraege[Datum Ausgaben],"&gt;="&amp;AQ$5,tblAuftraege[Datum Ausgaben],"&lt;"&amp;EDATE(AQ$5,1),tblAuftraege[Auftragswahrscheinlichkeit],1)</f>
        <v>0</v>
      </c>
      <c r="AR169" s="11" t="n">
        <f aca="false">SUMIFS(tblAuftraege[Ausgaben],tblAuftraege[Datum Ausgaben],"&gt;="&amp;AR$5,tblAuftraege[Datum Ausgaben],"&lt;"&amp;EDATE(AR$5,1),tblAuftraege[Auftragswahrscheinlichkeit],1)</f>
        <v>0</v>
      </c>
      <c r="AS169" s="11" t="n">
        <f aca="false">SUMIFS(tblAuftraege[Ausgaben],tblAuftraege[Datum Ausgaben],"&gt;="&amp;AS$5,tblAuftraege[Datum Ausgaben],"&lt;"&amp;EDATE(AS$5,1),tblAuftraege[Auftragswahrscheinlichkeit],1)</f>
        <v>0</v>
      </c>
      <c r="AT169" s="11" t="n">
        <f aca="false">SUMIFS(tblAuftraege[Ausgaben],tblAuftraege[Datum Ausgaben],"&gt;="&amp;AT$5,tblAuftraege[Datum Ausgaben],"&lt;"&amp;EDATE(AT$5,1),tblAuftraege[Auftragswahrscheinlichkeit],1)</f>
        <v>0</v>
      </c>
      <c r="AU169" s="11" t="n">
        <f aca="false">SUMIFS(tblAuftraege[Ausgaben],tblAuftraege[Datum Ausgaben],"&gt;="&amp;AU$5,tblAuftraege[Datum Ausgaben],"&lt;"&amp;EDATE(AU$5,1),tblAuftraege[Auftragswahrscheinlichkeit],1)</f>
        <v>0</v>
      </c>
      <c r="AV169" s="11" t="n">
        <f aca="false">SUMIFS(tblAuftraege[Ausgaben],tblAuftraege[Datum Ausgaben],"&gt;="&amp;AV$5,tblAuftraege[Datum Ausgaben],"&lt;"&amp;EDATE(AV$5,1),tblAuftraege[Auftragswahrscheinlichkeit],1)</f>
        <v>0</v>
      </c>
      <c r="AW169" s="11" t="n">
        <f aca="false">SUMIFS(tblAuftraege[Ausgaben],tblAuftraege[Datum Ausgaben],"&gt;="&amp;AW$5,tblAuftraege[Datum Ausgaben],"&lt;"&amp;EDATE(AW$5,1),tblAuftraege[Auftragswahrscheinlichkeit],1)</f>
        <v>0</v>
      </c>
      <c r="AX169" s="11" t="n">
        <f aca="false">SUMIFS(tblAuftraege[Ausgaben],tblAuftraege[Datum Ausgaben],"&gt;="&amp;AX$5,tblAuftraege[Datum Ausgaben],"&lt;"&amp;EDATE(AX$5,1),tblAuftraege[Auftragswahrscheinlichkeit],1)</f>
        <v>0</v>
      </c>
      <c r="AY169" s="11" t="n">
        <f aca="false">SUMIFS(tblAuftraege[Ausgaben],tblAuftraege[Datum Ausgaben],"&gt;="&amp;AY$5,tblAuftraege[Datum Ausgaben],"&lt;"&amp;EDATE(AY$5,1),tblAuftraege[Auftragswahrscheinlichkeit],1)</f>
        <v>0</v>
      </c>
      <c r="AZ169" s="11" t="n">
        <f aca="false">SUMIFS(tblAuftraege[Ausgaben],tblAuftraege[Datum Ausgaben],"&gt;="&amp;AZ$5,tblAuftraege[Datum Ausgaben],"&lt;"&amp;EDATE(AZ$5,1),tblAuftraege[Auftragswahrscheinlichkeit],1)</f>
        <v>0</v>
      </c>
      <c r="BA169" s="11" t="n">
        <f aca="false">SUMIFS(tblAuftraege[Ausgaben],tblAuftraege[Datum Ausgaben],"&gt;="&amp;BA$5,tblAuftraege[Datum Ausgaben],"&lt;"&amp;EDATE(BA$5,1),tblAuftraege[Auftragswahrscheinlichkeit],1)</f>
        <v>0</v>
      </c>
      <c r="BB169" s="11" t="n">
        <f aca="false">SUMIFS(tblAuftraege[Ausgaben],tblAuftraege[Datum Ausgaben],"&gt;="&amp;BB$5,tblAuftraege[Datum Ausgaben],"&lt;"&amp;EDATE(BB$5,1),tblAuftraege[Auftragswahrscheinlichkeit],1)</f>
        <v>0</v>
      </c>
      <c r="BC169" s="11" t="n">
        <f aca="false">SUMIFS(tblAuftraege[Ausgaben],tblAuftraege[Datum Ausgaben],"&gt;="&amp;BC$5,tblAuftraege[Datum Ausgaben],"&lt;"&amp;EDATE(BC$5,1),tblAuftraege[Auftragswahrscheinlichkeit],1)</f>
        <v>0</v>
      </c>
      <c r="BD169" s="11" t="n">
        <f aca="false">SUMIFS(tblAuftraege[Ausgaben],tblAuftraege[Datum Ausgaben],"&gt;="&amp;BD$5,tblAuftraege[Datum Ausgaben],"&lt;"&amp;EDATE(BD$5,1),tblAuftraege[Auftragswahrscheinlichkeit],1)</f>
        <v>0</v>
      </c>
      <c r="BE169" s="11" t="n">
        <f aca="false">SUMIFS(tblAuftraege[Ausgaben],tblAuftraege[Datum Ausgaben],"&gt;="&amp;BE$5,tblAuftraege[Datum Ausgaben],"&lt;"&amp;EDATE(BE$5,1),tblAuftraege[Auftragswahrscheinlichkeit],1)</f>
        <v>0</v>
      </c>
      <c r="BF169" s="11" t="n">
        <f aca="false">SUMIFS(tblAuftraege[Ausgaben],tblAuftraege[Datum Ausgaben],"&gt;="&amp;BF$5,tblAuftraege[Datum Ausgaben],"&lt;"&amp;EDATE(BF$5,1),tblAuftraege[Auftragswahrscheinlichkeit],1)</f>
        <v>0</v>
      </c>
      <c r="BG169" s="11" t="n">
        <f aca="false">SUM(E169:J169)</f>
        <v>0</v>
      </c>
      <c r="BH169" s="11" t="n">
        <f aca="false">SUM(K169:V169)</f>
        <v>0</v>
      </c>
      <c r="BI169" s="11" t="n">
        <f aca="false">SUM(W169:AH169)</f>
        <v>0</v>
      </c>
      <c r="BJ169" s="11" t="n">
        <f aca="false">SUM(AI169:AT169)</f>
        <v>0</v>
      </c>
      <c r="BK169" s="11" t="n">
        <f aca="false">SUM(AU169:BF169)</f>
        <v>0</v>
      </c>
      <c r="BL169" s="11" t="n">
        <f aca="false">SUM(E169:BF169)</f>
        <v>0</v>
      </c>
    </row>
    <row r="170" customFormat="false" ht="15" hidden="false" customHeight="false" outlineLevel="0" collapsed="false">
      <c r="A170" s="20" t="s">
        <v>109</v>
      </c>
      <c r="B170" s="21"/>
      <c r="C170" s="22"/>
      <c r="D170" s="22"/>
      <c r="E170" s="23" t="n">
        <f aca="false">E168-E169</f>
        <v>0</v>
      </c>
      <c r="F170" s="23" t="n">
        <f aca="false">F168-F169</f>
        <v>0</v>
      </c>
      <c r="G170" s="23" t="n">
        <f aca="false">G168-G169</f>
        <v>0</v>
      </c>
      <c r="H170" s="23" t="n">
        <f aca="false">H168-H169</f>
        <v>0</v>
      </c>
      <c r="I170" s="23" t="n">
        <f aca="false">I168-I169</f>
        <v>0</v>
      </c>
      <c r="J170" s="23" t="n">
        <f aca="false">J168-J169</f>
        <v>0</v>
      </c>
      <c r="K170" s="23" t="n">
        <f aca="false">K168-K169</f>
        <v>0</v>
      </c>
      <c r="L170" s="23" t="n">
        <f aca="false">L168-L169</f>
        <v>0</v>
      </c>
      <c r="M170" s="23" t="n">
        <f aca="false">M168-M169</f>
        <v>0</v>
      </c>
      <c r="N170" s="23" t="n">
        <f aca="false">N168-N169</f>
        <v>0</v>
      </c>
      <c r="O170" s="23" t="n">
        <f aca="false">O168-O169</f>
        <v>0</v>
      </c>
      <c r="P170" s="23" t="n">
        <f aca="false">P168-P169</f>
        <v>0</v>
      </c>
      <c r="Q170" s="23" t="n">
        <f aca="false">Q168-Q169</f>
        <v>0</v>
      </c>
      <c r="R170" s="23" t="n">
        <f aca="false">R168-R169</f>
        <v>0</v>
      </c>
      <c r="S170" s="23" t="n">
        <f aca="false">S168-S169</f>
        <v>0</v>
      </c>
      <c r="T170" s="23" t="n">
        <f aca="false">T168-T169</f>
        <v>0</v>
      </c>
      <c r="U170" s="23" t="n">
        <f aca="false">U168-U169</f>
        <v>0</v>
      </c>
      <c r="V170" s="23" t="n">
        <f aca="false">V168-V169</f>
        <v>0</v>
      </c>
      <c r="W170" s="23" t="n">
        <f aca="false">W168-W169</f>
        <v>0</v>
      </c>
      <c r="X170" s="23" t="n">
        <f aca="false">X168-X169</f>
        <v>0</v>
      </c>
      <c r="Y170" s="23" t="n">
        <f aca="false">Y168-Y169</f>
        <v>0</v>
      </c>
      <c r="Z170" s="23" t="n">
        <f aca="false">Z168-Z169</f>
        <v>0</v>
      </c>
      <c r="AA170" s="23" t="n">
        <f aca="false">AA168-AA169</f>
        <v>0</v>
      </c>
      <c r="AB170" s="23" t="n">
        <f aca="false">AB168-AB169</f>
        <v>0</v>
      </c>
      <c r="AC170" s="23" t="n">
        <f aca="false">AC168-AC169</f>
        <v>0</v>
      </c>
      <c r="AD170" s="23" t="n">
        <f aca="false">AD168-AD169</f>
        <v>0</v>
      </c>
      <c r="AE170" s="23" t="n">
        <f aca="false">AE168-AE169</f>
        <v>0</v>
      </c>
      <c r="AF170" s="23" t="n">
        <f aca="false">AF168-AF169</f>
        <v>0</v>
      </c>
      <c r="AG170" s="23" t="n">
        <f aca="false">AG168-AG169</f>
        <v>0</v>
      </c>
      <c r="AH170" s="23" t="n">
        <f aca="false">AH168-AH169</f>
        <v>0</v>
      </c>
      <c r="AI170" s="23" t="n">
        <f aca="false">AI168-AI169</f>
        <v>0</v>
      </c>
      <c r="AJ170" s="23" t="n">
        <f aca="false">AJ168-AJ169</f>
        <v>0</v>
      </c>
      <c r="AK170" s="23" t="n">
        <f aca="false">AK168-AK169</f>
        <v>0</v>
      </c>
      <c r="AL170" s="23" t="n">
        <f aca="false">AL168-AL169</f>
        <v>0</v>
      </c>
      <c r="AM170" s="23" t="n">
        <f aca="false">AM168-AM169</f>
        <v>0</v>
      </c>
      <c r="AN170" s="23" t="n">
        <f aca="false">AN168-AN169</f>
        <v>0</v>
      </c>
      <c r="AO170" s="23" t="n">
        <f aca="false">AO168-AO169</f>
        <v>0</v>
      </c>
      <c r="AP170" s="23" t="n">
        <f aca="false">AP168-AP169</f>
        <v>0</v>
      </c>
      <c r="AQ170" s="23" t="n">
        <f aca="false">AQ168-AQ169</f>
        <v>0</v>
      </c>
      <c r="AR170" s="23" t="n">
        <f aca="false">AR168-AR169</f>
        <v>0</v>
      </c>
      <c r="AS170" s="23" t="n">
        <f aca="false">AS168-AS169</f>
        <v>0</v>
      </c>
      <c r="AT170" s="23" t="n">
        <f aca="false">AT168-AT169</f>
        <v>0</v>
      </c>
      <c r="AU170" s="23" t="n">
        <f aca="false">AU168-AU169</f>
        <v>0</v>
      </c>
      <c r="AV170" s="23" t="n">
        <f aca="false">AV168-AV169</f>
        <v>0</v>
      </c>
      <c r="AW170" s="23" t="n">
        <f aca="false">AW168-AW169</f>
        <v>0</v>
      </c>
      <c r="AX170" s="23" t="n">
        <f aca="false">AX168-AX169</f>
        <v>0</v>
      </c>
      <c r="AY170" s="23" t="n">
        <f aca="false">AY168-AY169</f>
        <v>0</v>
      </c>
      <c r="AZ170" s="23" t="n">
        <f aca="false">AZ168-AZ169</f>
        <v>0</v>
      </c>
      <c r="BA170" s="23" t="n">
        <f aca="false">BA168-BA169</f>
        <v>0</v>
      </c>
      <c r="BB170" s="23" t="n">
        <f aca="false">BB168-BB169</f>
        <v>0</v>
      </c>
      <c r="BC170" s="23" t="n">
        <f aca="false">BC168-BC169</f>
        <v>0</v>
      </c>
      <c r="BD170" s="23" t="n">
        <f aca="false">BD168-BD169</f>
        <v>0</v>
      </c>
      <c r="BE170" s="23" t="n">
        <f aca="false">BE168-BE169</f>
        <v>0</v>
      </c>
      <c r="BF170" s="23" t="n">
        <f aca="false">BF168-BF169</f>
        <v>0</v>
      </c>
      <c r="BG170" s="23" t="n">
        <f aca="false">BG168-BG169</f>
        <v>0</v>
      </c>
      <c r="BH170" s="23" t="n">
        <f aca="false">BH168-BH169</f>
        <v>0</v>
      </c>
      <c r="BI170" s="23" t="n">
        <f aca="false">BI168-BI169</f>
        <v>0</v>
      </c>
      <c r="BJ170" s="23" t="n">
        <f aca="false">BJ168-BJ169</f>
        <v>0</v>
      </c>
      <c r="BK170" s="23" t="n">
        <f aca="false">BK168-BK169</f>
        <v>0</v>
      </c>
      <c r="BL170" s="23" t="n">
        <f aca="false">BL168-BL169</f>
        <v>0</v>
      </c>
    </row>
    <row r="172" customFormat="false" ht="19.5" hidden="false" customHeight="true" outlineLevel="0" collapsed="false">
      <c r="A172" s="7" t="s">
        <v>119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</row>
    <row r="173" customFormat="false" ht="15" hidden="false" customHeight="false" outlineLevel="0" collapsed="false">
      <c r="A173" s="9" t="s">
        <v>120</v>
      </c>
      <c r="B173" s="36" t="s">
        <v>121</v>
      </c>
      <c r="C173" s="15"/>
      <c r="D173" s="15"/>
      <c r="E173" s="11" t="n">
        <f aca="false">IF($A173="",0,SUMIFS(tblAuftraege[Einnahmen],tblAuftraege[Datum Einnahmen],"&gt;="&amp;E$5,tblAuftraege[Datum Einnahmen],"&lt;"&amp;EDATE(E$5,1),tblAuftraege[Kostenstelle],$A173))</f>
        <v>0</v>
      </c>
      <c r="F173" s="11" t="n">
        <f aca="false">IF($A173="",0,SUMIFS(tblAuftraege[Einnahmen],tblAuftraege[Datum Einnahmen],"&gt;="&amp;F$5,tblAuftraege[Datum Einnahmen],"&lt;"&amp;EDATE(F$5,1),tblAuftraege[Kostenstelle],$A173))</f>
        <v>0</v>
      </c>
      <c r="G173" s="11" t="n">
        <f aca="false">IF($A173="",0,SUMIFS(tblAuftraege[Einnahmen],tblAuftraege[Datum Einnahmen],"&gt;="&amp;G$5,tblAuftraege[Datum Einnahmen],"&lt;"&amp;EDATE(G$5,1),tblAuftraege[Kostenstelle],$A173))</f>
        <v>0</v>
      </c>
      <c r="H173" s="11" t="n">
        <f aca="false">IF($A173="",0,SUMIFS(tblAuftraege[Einnahmen],tblAuftraege[Datum Einnahmen],"&gt;="&amp;H$5,tblAuftraege[Datum Einnahmen],"&lt;"&amp;EDATE(H$5,1),tblAuftraege[Kostenstelle],$A173))</f>
        <v>0</v>
      </c>
      <c r="I173" s="11" t="n">
        <f aca="false">IF($A173="",0,SUMIFS(tblAuftraege[Einnahmen],tblAuftraege[Datum Einnahmen],"&gt;="&amp;I$5,tblAuftraege[Datum Einnahmen],"&lt;"&amp;EDATE(I$5,1),tblAuftraege[Kostenstelle],$A173))</f>
        <v>0</v>
      </c>
      <c r="J173" s="11" t="n">
        <f aca="false">IF($A173="",0,SUMIFS(tblAuftraege[Einnahmen],tblAuftraege[Datum Einnahmen],"&gt;="&amp;J$5,tblAuftraege[Datum Einnahmen],"&lt;"&amp;EDATE(J$5,1),tblAuftraege[Kostenstelle],$A173))</f>
        <v>0</v>
      </c>
      <c r="K173" s="11" t="n">
        <f aca="false">IF($A173="",0,SUMIFS(tblAuftraege[Einnahmen],tblAuftraege[Datum Einnahmen],"&gt;="&amp;K$5,tblAuftraege[Datum Einnahmen],"&lt;"&amp;EDATE(K$5,1),tblAuftraege[Kostenstelle],$A173))</f>
        <v>0</v>
      </c>
      <c r="L173" s="11" t="n">
        <f aca="false">IF($A173="",0,SUMIFS(tblAuftraege[Einnahmen],tblAuftraege[Datum Einnahmen],"&gt;="&amp;L$5,tblAuftraege[Datum Einnahmen],"&lt;"&amp;EDATE(L$5,1),tblAuftraege[Kostenstelle],$A173))</f>
        <v>0</v>
      </c>
      <c r="M173" s="11" t="n">
        <f aca="false">IF($A173="",0,SUMIFS(tblAuftraege[Einnahmen],tblAuftraege[Datum Einnahmen],"&gt;="&amp;M$5,tblAuftraege[Datum Einnahmen],"&lt;"&amp;EDATE(M$5,1),tblAuftraege[Kostenstelle],$A173))</f>
        <v>0</v>
      </c>
      <c r="N173" s="11" t="n">
        <f aca="false">IF($A173="",0,SUMIFS(tblAuftraege[Einnahmen],tblAuftraege[Datum Einnahmen],"&gt;="&amp;N$5,tblAuftraege[Datum Einnahmen],"&lt;"&amp;EDATE(N$5,1),tblAuftraege[Kostenstelle],$A173))</f>
        <v>0</v>
      </c>
      <c r="O173" s="11" t="n">
        <f aca="false">IF($A173="",0,SUMIFS(tblAuftraege[Einnahmen],tblAuftraege[Datum Einnahmen],"&gt;="&amp;O$5,tblAuftraege[Datum Einnahmen],"&lt;"&amp;EDATE(O$5,1),tblAuftraege[Kostenstelle],$A173))</f>
        <v>0</v>
      </c>
      <c r="P173" s="11" t="n">
        <f aca="false">IF($A173="",0,SUMIFS(tblAuftraege[Einnahmen],tblAuftraege[Datum Einnahmen],"&gt;="&amp;P$5,tblAuftraege[Datum Einnahmen],"&lt;"&amp;EDATE(P$5,1),tblAuftraege[Kostenstelle],$A173))</f>
        <v>0</v>
      </c>
      <c r="Q173" s="11" t="n">
        <f aca="false">IF($A173="",0,SUMIFS(tblAuftraege[Einnahmen],tblAuftraege[Datum Einnahmen],"&gt;="&amp;Q$5,tblAuftraege[Datum Einnahmen],"&lt;"&amp;EDATE(Q$5,1),tblAuftraege[Kostenstelle],$A173))</f>
        <v>0</v>
      </c>
      <c r="R173" s="11" t="n">
        <f aca="false">IF($A173="",0,SUMIFS(tblAuftraege[Einnahmen],tblAuftraege[Datum Einnahmen],"&gt;="&amp;R$5,tblAuftraege[Datum Einnahmen],"&lt;"&amp;EDATE(R$5,1),tblAuftraege[Kostenstelle],$A173))</f>
        <v>0</v>
      </c>
      <c r="S173" s="11" t="n">
        <f aca="false">IF($A173="",0,SUMIFS(tblAuftraege[Einnahmen],tblAuftraege[Datum Einnahmen],"&gt;="&amp;S$5,tblAuftraege[Datum Einnahmen],"&lt;"&amp;EDATE(S$5,1),tblAuftraege[Kostenstelle],$A173))</f>
        <v>0</v>
      </c>
      <c r="T173" s="11" t="n">
        <f aca="false">IF($A173="",0,SUMIFS(tblAuftraege[Einnahmen],tblAuftraege[Datum Einnahmen],"&gt;="&amp;T$5,tblAuftraege[Datum Einnahmen],"&lt;"&amp;EDATE(T$5,1),tblAuftraege[Kostenstelle],$A173))</f>
        <v>0</v>
      </c>
      <c r="U173" s="11" t="n">
        <f aca="false">IF($A173="",0,SUMIFS(tblAuftraege[Einnahmen],tblAuftraege[Datum Einnahmen],"&gt;="&amp;U$5,tblAuftraege[Datum Einnahmen],"&lt;"&amp;EDATE(U$5,1),tblAuftraege[Kostenstelle],$A173))</f>
        <v>0</v>
      </c>
      <c r="V173" s="11" t="n">
        <f aca="false">IF($A173="",0,SUMIFS(tblAuftraege[Einnahmen],tblAuftraege[Datum Einnahmen],"&gt;="&amp;V$5,tblAuftraege[Datum Einnahmen],"&lt;"&amp;EDATE(V$5,1),tblAuftraege[Kostenstelle],$A173))</f>
        <v>0</v>
      </c>
      <c r="W173" s="11" t="n">
        <f aca="false">IF($A173="",0,SUMIFS(tblAuftraege[Einnahmen],tblAuftraege[Datum Einnahmen],"&gt;="&amp;W$5,tblAuftraege[Datum Einnahmen],"&lt;"&amp;EDATE(W$5,1),tblAuftraege[Kostenstelle],$A173))</f>
        <v>0</v>
      </c>
      <c r="X173" s="11" t="n">
        <f aca="false">IF($A173="",0,SUMIFS(tblAuftraege[Einnahmen],tblAuftraege[Datum Einnahmen],"&gt;="&amp;X$5,tblAuftraege[Datum Einnahmen],"&lt;"&amp;EDATE(X$5,1),tblAuftraege[Kostenstelle],$A173))</f>
        <v>0</v>
      </c>
      <c r="Y173" s="11" t="n">
        <f aca="false">IF($A173="",0,SUMIFS(tblAuftraege[Einnahmen],tblAuftraege[Datum Einnahmen],"&gt;="&amp;Y$5,tblAuftraege[Datum Einnahmen],"&lt;"&amp;EDATE(Y$5,1),tblAuftraege[Kostenstelle],$A173))</f>
        <v>0</v>
      </c>
      <c r="Z173" s="11" t="n">
        <f aca="false">IF($A173="",0,SUMIFS(tblAuftraege[Einnahmen],tblAuftraege[Datum Einnahmen],"&gt;="&amp;Z$5,tblAuftraege[Datum Einnahmen],"&lt;"&amp;EDATE(Z$5,1),tblAuftraege[Kostenstelle],$A173))</f>
        <v>0</v>
      </c>
      <c r="AA173" s="11" t="n">
        <f aca="false">IF($A173="",0,SUMIFS(tblAuftraege[Einnahmen],tblAuftraege[Datum Einnahmen],"&gt;="&amp;AA$5,tblAuftraege[Datum Einnahmen],"&lt;"&amp;EDATE(AA$5,1),tblAuftraege[Kostenstelle],$A173))</f>
        <v>0</v>
      </c>
      <c r="AB173" s="11" t="n">
        <f aca="false">IF($A173="",0,SUMIFS(tblAuftraege[Einnahmen],tblAuftraege[Datum Einnahmen],"&gt;="&amp;AB$5,tblAuftraege[Datum Einnahmen],"&lt;"&amp;EDATE(AB$5,1),tblAuftraege[Kostenstelle],$A173))</f>
        <v>0</v>
      </c>
      <c r="AC173" s="11" t="n">
        <f aca="false">IF($A173="",0,SUMIFS(tblAuftraege[Einnahmen],tblAuftraege[Datum Einnahmen],"&gt;="&amp;AC$5,tblAuftraege[Datum Einnahmen],"&lt;"&amp;EDATE(AC$5,1),tblAuftraege[Kostenstelle],$A173))</f>
        <v>0</v>
      </c>
      <c r="AD173" s="11" t="n">
        <f aca="false">IF($A173="",0,SUMIFS(tblAuftraege[Einnahmen],tblAuftraege[Datum Einnahmen],"&gt;="&amp;AD$5,tblAuftraege[Datum Einnahmen],"&lt;"&amp;EDATE(AD$5,1),tblAuftraege[Kostenstelle],$A173))</f>
        <v>0</v>
      </c>
      <c r="AE173" s="11" t="n">
        <f aca="false">IF($A173="",0,SUMIFS(tblAuftraege[Einnahmen],tblAuftraege[Datum Einnahmen],"&gt;="&amp;AE$5,tblAuftraege[Datum Einnahmen],"&lt;"&amp;EDATE(AE$5,1),tblAuftraege[Kostenstelle],$A173))</f>
        <v>0</v>
      </c>
      <c r="AF173" s="11" t="n">
        <f aca="false">IF($A173="",0,SUMIFS(tblAuftraege[Einnahmen],tblAuftraege[Datum Einnahmen],"&gt;="&amp;AF$5,tblAuftraege[Datum Einnahmen],"&lt;"&amp;EDATE(AF$5,1),tblAuftraege[Kostenstelle],$A173))</f>
        <v>0</v>
      </c>
      <c r="AG173" s="11" t="n">
        <f aca="false">IF($A173="",0,SUMIFS(tblAuftraege[Einnahmen],tblAuftraege[Datum Einnahmen],"&gt;="&amp;AG$5,tblAuftraege[Datum Einnahmen],"&lt;"&amp;EDATE(AG$5,1),tblAuftraege[Kostenstelle],$A173))</f>
        <v>0</v>
      </c>
      <c r="AH173" s="11" t="n">
        <f aca="false">IF($A173="",0,SUMIFS(tblAuftraege[Einnahmen],tblAuftraege[Datum Einnahmen],"&gt;="&amp;AH$5,tblAuftraege[Datum Einnahmen],"&lt;"&amp;EDATE(AH$5,1),tblAuftraege[Kostenstelle],$A173))</f>
        <v>0</v>
      </c>
      <c r="AI173" s="11" t="n">
        <f aca="false">IF($A173="",0,SUMIFS(tblAuftraege[Einnahmen],tblAuftraege[Datum Einnahmen],"&gt;="&amp;AI$5,tblAuftraege[Datum Einnahmen],"&lt;"&amp;EDATE(AI$5,1),tblAuftraege[Kostenstelle],$A173))</f>
        <v>0</v>
      </c>
      <c r="AJ173" s="11" t="n">
        <f aca="false">IF($A173="",0,SUMIFS(tblAuftraege[Einnahmen],tblAuftraege[Datum Einnahmen],"&gt;="&amp;AJ$5,tblAuftraege[Datum Einnahmen],"&lt;"&amp;EDATE(AJ$5,1),tblAuftraege[Kostenstelle],$A173))</f>
        <v>0</v>
      </c>
      <c r="AK173" s="11" t="n">
        <f aca="false">IF($A173="",0,SUMIFS(tblAuftraege[Einnahmen],tblAuftraege[Datum Einnahmen],"&gt;="&amp;AK$5,tblAuftraege[Datum Einnahmen],"&lt;"&amp;EDATE(AK$5,1),tblAuftraege[Kostenstelle],$A173))</f>
        <v>0</v>
      </c>
      <c r="AL173" s="11" t="n">
        <f aca="false">IF($A173="",0,SUMIFS(tblAuftraege[Einnahmen],tblAuftraege[Datum Einnahmen],"&gt;="&amp;AL$5,tblAuftraege[Datum Einnahmen],"&lt;"&amp;EDATE(AL$5,1),tblAuftraege[Kostenstelle],$A173))</f>
        <v>0</v>
      </c>
      <c r="AM173" s="11" t="n">
        <f aca="false">IF($A173="",0,SUMIFS(tblAuftraege[Einnahmen],tblAuftraege[Datum Einnahmen],"&gt;="&amp;AM$5,tblAuftraege[Datum Einnahmen],"&lt;"&amp;EDATE(AM$5,1),tblAuftraege[Kostenstelle],$A173))</f>
        <v>0</v>
      </c>
      <c r="AN173" s="11" t="n">
        <f aca="false">IF($A173="",0,SUMIFS(tblAuftraege[Einnahmen],tblAuftraege[Datum Einnahmen],"&gt;="&amp;AN$5,tblAuftraege[Datum Einnahmen],"&lt;"&amp;EDATE(AN$5,1),tblAuftraege[Kostenstelle],$A173))</f>
        <v>0</v>
      </c>
      <c r="AO173" s="11" t="n">
        <f aca="false">IF($A173="",0,SUMIFS(tblAuftraege[Einnahmen],tblAuftraege[Datum Einnahmen],"&gt;="&amp;AO$5,tblAuftraege[Datum Einnahmen],"&lt;"&amp;EDATE(AO$5,1),tblAuftraege[Kostenstelle],$A173))</f>
        <v>0</v>
      </c>
      <c r="AP173" s="11" t="n">
        <f aca="false">IF($A173="",0,SUMIFS(tblAuftraege[Einnahmen],tblAuftraege[Datum Einnahmen],"&gt;="&amp;AP$5,tblAuftraege[Datum Einnahmen],"&lt;"&amp;EDATE(AP$5,1),tblAuftraege[Kostenstelle],$A173))</f>
        <v>0</v>
      </c>
      <c r="AQ173" s="11" t="n">
        <f aca="false">IF($A173="",0,SUMIFS(tblAuftraege[Einnahmen],tblAuftraege[Datum Einnahmen],"&gt;="&amp;AQ$5,tblAuftraege[Datum Einnahmen],"&lt;"&amp;EDATE(AQ$5,1),tblAuftraege[Kostenstelle],$A173))</f>
        <v>0</v>
      </c>
      <c r="AR173" s="11" t="n">
        <f aca="false">IF($A173="",0,SUMIFS(tblAuftraege[Einnahmen],tblAuftraege[Datum Einnahmen],"&gt;="&amp;AR$5,tblAuftraege[Datum Einnahmen],"&lt;"&amp;EDATE(AR$5,1),tblAuftraege[Kostenstelle],$A173))</f>
        <v>0</v>
      </c>
      <c r="AS173" s="11" t="n">
        <f aca="false">IF($A173="",0,SUMIFS(tblAuftraege[Einnahmen],tblAuftraege[Datum Einnahmen],"&gt;="&amp;AS$5,tblAuftraege[Datum Einnahmen],"&lt;"&amp;EDATE(AS$5,1),tblAuftraege[Kostenstelle],$A173))</f>
        <v>0</v>
      </c>
      <c r="AT173" s="11" t="n">
        <f aca="false">IF($A173="",0,SUMIFS(tblAuftraege[Einnahmen],tblAuftraege[Datum Einnahmen],"&gt;="&amp;AT$5,tblAuftraege[Datum Einnahmen],"&lt;"&amp;EDATE(AT$5,1),tblAuftraege[Kostenstelle],$A173))</f>
        <v>0</v>
      </c>
      <c r="AU173" s="11" t="n">
        <f aca="false">IF($A173="",0,SUMIFS(tblAuftraege[Einnahmen],tblAuftraege[Datum Einnahmen],"&gt;="&amp;AU$5,tblAuftraege[Datum Einnahmen],"&lt;"&amp;EDATE(AU$5,1),tblAuftraege[Kostenstelle],$A173))</f>
        <v>0</v>
      </c>
      <c r="AV173" s="11" t="n">
        <f aca="false">IF($A173="",0,SUMIFS(tblAuftraege[Einnahmen],tblAuftraege[Datum Einnahmen],"&gt;="&amp;AV$5,tblAuftraege[Datum Einnahmen],"&lt;"&amp;EDATE(AV$5,1),tblAuftraege[Kostenstelle],$A173))</f>
        <v>0</v>
      </c>
      <c r="AW173" s="11" t="n">
        <f aca="false">IF($A173="",0,SUMIFS(tblAuftraege[Einnahmen],tblAuftraege[Datum Einnahmen],"&gt;="&amp;AW$5,tblAuftraege[Datum Einnahmen],"&lt;"&amp;EDATE(AW$5,1),tblAuftraege[Kostenstelle],$A173))</f>
        <v>0</v>
      </c>
      <c r="AX173" s="11" t="n">
        <f aca="false">IF($A173="",0,SUMIFS(tblAuftraege[Einnahmen],tblAuftraege[Datum Einnahmen],"&gt;="&amp;AX$5,tblAuftraege[Datum Einnahmen],"&lt;"&amp;EDATE(AX$5,1),tblAuftraege[Kostenstelle],$A173))</f>
        <v>0</v>
      </c>
      <c r="AY173" s="11" t="n">
        <f aca="false">IF($A173="",0,SUMIFS(tblAuftraege[Einnahmen],tblAuftraege[Datum Einnahmen],"&gt;="&amp;AY$5,tblAuftraege[Datum Einnahmen],"&lt;"&amp;EDATE(AY$5,1),tblAuftraege[Kostenstelle],$A173))</f>
        <v>0</v>
      </c>
      <c r="AZ173" s="11" t="n">
        <f aca="false">IF($A173="",0,SUMIFS(tblAuftraege[Einnahmen],tblAuftraege[Datum Einnahmen],"&gt;="&amp;AZ$5,tblAuftraege[Datum Einnahmen],"&lt;"&amp;EDATE(AZ$5,1),tblAuftraege[Kostenstelle],$A173))</f>
        <v>0</v>
      </c>
      <c r="BA173" s="11" t="n">
        <f aca="false">IF($A173="",0,SUMIFS(tblAuftraege[Einnahmen],tblAuftraege[Datum Einnahmen],"&gt;="&amp;BA$5,tblAuftraege[Datum Einnahmen],"&lt;"&amp;EDATE(BA$5,1),tblAuftraege[Kostenstelle],$A173))</f>
        <v>0</v>
      </c>
      <c r="BB173" s="11" t="n">
        <f aca="false">IF($A173="",0,SUMIFS(tblAuftraege[Einnahmen],tblAuftraege[Datum Einnahmen],"&gt;="&amp;BB$5,tblAuftraege[Datum Einnahmen],"&lt;"&amp;EDATE(BB$5,1),tblAuftraege[Kostenstelle],$A173))</f>
        <v>0</v>
      </c>
      <c r="BC173" s="11" t="n">
        <f aca="false">IF($A173="",0,SUMIFS(tblAuftraege[Einnahmen],tblAuftraege[Datum Einnahmen],"&gt;="&amp;BC$5,tblAuftraege[Datum Einnahmen],"&lt;"&amp;EDATE(BC$5,1),tblAuftraege[Kostenstelle],$A173))</f>
        <v>0</v>
      </c>
      <c r="BD173" s="11" t="n">
        <f aca="false">IF($A173="",0,SUMIFS(tblAuftraege[Einnahmen],tblAuftraege[Datum Einnahmen],"&gt;="&amp;BD$5,tblAuftraege[Datum Einnahmen],"&lt;"&amp;EDATE(BD$5,1),tblAuftraege[Kostenstelle],$A173))</f>
        <v>0</v>
      </c>
      <c r="BE173" s="11" t="n">
        <f aca="false">IF($A173="",0,SUMIFS(tblAuftraege[Einnahmen],tblAuftraege[Datum Einnahmen],"&gt;="&amp;BE$5,tblAuftraege[Datum Einnahmen],"&lt;"&amp;EDATE(BE$5,1),tblAuftraege[Kostenstelle],$A173))</f>
        <v>0</v>
      </c>
      <c r="BF173" s="11" t="n">
        <f aca="false">IF($A173="",0,SUMIFS(tblAuftraege[Einnahmen],tblAuftraege[Datum Einnahmen],"&gt;="&amp;BF$5,tblAuftraege[Datum Einnahmen],"&lt;"&amp;EDATE(BF$5,1),tblAuftraege[Kostenstelle],$A173))</f>
        <v>0</v>
      </c>
      <c r="BG173" s="11" t="n">
        <f aca="false">SUM(E173:J173)</f>
        <v>0</v>
      </c>
      <c r="BH173" s="11" t="n">
        <f aca="false">SUM(K173:V173)</f>
        <v>0</v>
      </c>
      <c r="BI173" s="11" t="n">
        <f aca="false">SUM(W173:AH173)</f>
        <v>0</v>
      </c>
      <c r="BJ173" s="11" t="n">
        <f aca="false">SUM(AI173:AT173)</f>
        <v>0</v>
      </c>
      <c r="BK173" s="11" t="n">
        <f aca="false">SUM(AU173:BF173)</f>
        <v>0</v>
      </c>
      <c r="BL173" s="12" t="n">
        <f aca="false">SUM(E173:BF173)</f>
        <v>0</v>
      </c>
    </row>
    <row r="174" customFormat="false" ht="15" hidden="false" customHeight="false" outlineLevel="0" collapsed="false">
      <c r="A174" s="9" t="s">
        <v>122</v>
      </c>
      <c r="B174" s="36" t="s">
        <v>123</v>
      </c>
      <c r="C174" s="15"/>
      <c r="D174" s="15"/>
      <c r="E174" s="11" t="n">
        <f aca="false">IF($A174="",0,SUMIFS(tblAuftraege[Einnahmen],tblAuftraege[Datum Einnahmen],"&gt;="&amp;E$5,tblAuftraege[Datum Einnahmen],"&lt;"&amp;EDATE(E$5,1),tblAuftraege[Kostenstelle],$A174))</f>
        <v>0</v>
      </c>
      <c r="F174" s="11" t="n">
        <f aca="false">IF($A174="",0,SUMIFS(tblAuftraege[Einnahmen],tblAuftraege[Datum Einnahmen],"&gt;="&amp;F$5,tblAuftraege[Datum Einnahmen],"&lt;"&amp;EDATE(F$5,1),tblAuftraege[Kostenstelle],$A174))</f>
        <v>0</v>
      </c>
      <c r="G174" s="11" t="n">
        <f aca="false">IF($A174="",0,SUMIFS(tblAuftraege[Einnahmen],tblAuftraege[Datum Einnahmen],"&gt;="&amp;G$5,tblAuftraege[Datum Einnahmen],"&lt;"&amp;EDATE(G$5,1),tblAuftraege[Kostenstelle],$A174))</f>
        <v>0</v>
      </c>
      <c r="H174" s="11" t="n">
        <f aca="false">IF($A174="",0,SUMIFS(tblAuftraege[Einnahmen],tblAuftraege[Datum Einnahmen],"&gt;="&amp;H$5,tblAuftraege[Datum Einnahmen],"&lt;"&amp;EDATE(H$5,1),tblAuftraege[Kostenstelle],$A174))</f>
        <v>0</v>
      </c>
      <c r="I174" s="11" t="n">
        <f aca="false">IF($A174="",0,SUMIFS(tblAuftraege[Einnahmen],tblAuftraege[Datum Einnahmen],"&gt;="&amp;I$5,tblAuftraege[Datum Einnahmen],"&lt;"&amp;EDATE(I$5,1),tblAuftraege[Kostenstelle],$A174))</f>
        <v>0</v>
      </c>
      <c r="J174" s="11" t="n">
        <f aca="false">IF($A174="",0,SUMIFS(tblAuftraege[Einnahmen],tblAuftraege[Datum Einnahmen],"&gt;="&amp;J$5,tblAuftraege[Datum Einnahmen],"&lt;"&amp;EDATE(J$5,1),tblAuftraege[Kostenstelle],$A174))</f>
        <v>0</v>
      </c>
      <c r="K174" s="11" t="n">
        <f aca="false">IF($A174="",0,SUMIFS(tblAuftraege[Einnahmen],tblAuftraege[Datum Einnahmen],"&gt;="&amp;K$5,tblAuftraege[Datum Einnahmen],"&lt;"&amp;EDATE(K$5,1),tblAuftraege[Kostenstelle],$A174))</f>
        <v>0</v>
      </c>
      <c r="L174" s="11" t="n">
        <f aca="false">IF($A174="",0,SUMIFS(tblAuftraege[Einnahmen],tblAuftraege[Datum Einnahmen],"&gt;="&amp;L$5,tblAuftraege[Datum Einnahmen],"&lt;"&amp;EDATE(L$5,1),tblAuftraege[Kostenstelle],$A174))</f>
        <v>0</v>
      </c>
      <c r="M174" s="11" t="n">
        <f aca="false">IF($A174="",0,SUMIFS(tblAuftraege[Einnahmen],tblAuftraege[Datum Einnahmen],"&gt;="&amp;M$5,tblAuftraege[Datum Einnahmen],"&lt;"&amp;EDATE(M$5,1),tblAuftraege[Kostenstelle],$A174))</f>
        <v>0</v>
      </c>
      <c r="N174" s="11" t="n">
        <f aca="false">IF($A174="",0,SUMIFS(tblAuftraege[Einnahmen],tblAuftraege[Datum Einnahmen],"&gt;="&amp;N$5,tblAuftraege[Datum Einnahmen],"&lt;"&amp;EDATE(N$5,1),tblAuftraege[Kostenstelle],$A174))</f>
        <v>0</v>
      </c>
      <c r="O174" s="11" t="n">
        <f aca="false">IF($A174="",0,SUMIFS(tblAuftraege[Einnahmen],tblAuftraege[Datum Einnahmen],"&gt;="&amp;O$5,tblAuftraege[Datum Einnahmen],"&lt;"&amp;EDATE(O$5,1),tblAuftraege[Kostenstelle],$A174))</f>
        <v>0</v>
      </c>
      <c r="P174" s="11" t="n">
        <f aca="false">IF($A174="",0,SUMIFS(tblAuftraege[Einnahmen],tblAuftraege[Datum Einnahmen],"&gt;="&amp;P$5,tblAuftraege[Datum Einnahmen],"&lt;"&amp;EDATE(P$5,1),tblAuftraege[Kostenstelle],$A174))</f>
        <v>0</v>
      </c>
      <c r="Q174" s="11" t="n">
        <f aca="false">IF($A174="",0,SUMIFS(tblAuftraege[Einnahmen],tblAuftraege[Datum Einnahmen],"&gt;="&amp;Q$5,tblAuftraege[Datum Einnahmen],"&lt;"&amp;EDATE(Q$5,1),tblAuftraege[Kostenstelle],$A174))</f>
        <v>0</v>
      </c>
      <c r="R174" s="11" t="n">
        <f aca="false">IF($A174="",0,SUMIFS(tblAuftraege[Einnahmen],tblAuftraege[Datum Einnahmen],"&gt;="&amp;R$5,tblAuftraege[Datum Einnahmen],"&lt;"&amp;EDATE(R$5,1),tblAuftraege[Kostenstelle],$A174))</f>
        <v>0</v>
      </c>
      <c r="S174" s="11" t="n">
        <f aca="false">IF($A174="",0,SUMIFS(tblAuftraege[Einnahmen],tblAuftraege[Datum Einnahmen],"&gt;="&amp;S$5,tblAuftraege[Datum Einnahmen],"&lt;"&amp;EDATE(S$5,1),tblAuftraege[Kostenstelle],$A174))</f>
        <v>0</v>
      </c>
      <c r="T174" s="11" t="n">
        <f aca="false">IF($A174="",0,SUMIFS(tblAuftraege[Einnahmen],tblAuftraege[Datum Einnahmen],"&gt;="&amp;T$5,tblAuftraege[Datum Einnahmen],"&lt;"&amp;EDATE(T$5,1),tblAuftraege[Kostenstelle],$A174))</f>
        <v>0</v>
      </c>
      <c r="U174" s="11" t="n">
        <f aca="false">IF($A174="",0,SUMIFS(tblAuftraege[Einnahmen],tblAuftraege[Datum Einnahmen],"&gt;="&amp;U$5,tblAuftraege[Datum Einnahmen],"&lt;"&amp;EDATE(U$5,1),tblAuftraege[Kostenstelle],$A174))</f>
        <v>0</v>
      </c>
      <c r="V174" s="11" t="n">
        <f aca="false">IF($A174="",0,SUMIFS(tblAuftraege[Einnahmen],tblAuftraege[Datum Einnahmen],"&gt;="&amp;V$5,tblAuftraege[Datum Einnahmen],"&lt;"&amp;EDATE(V$5,1),tblAuftraege[Kostenstelle],$A174))</f>
        <v>0</v>
      </c>
      <c r="W174" s="11" t="n">
        <f aca="false">IF($A174="",0,SUMIFS(tblAuftraege[Einnahmen],tblAuftraege[Datum Einnahmen],"&gt;="&amp;W$5,tblAuftraege[Datum Einnahmen],"&lt;"&amp;EDATE(W$5,1),tblAuftraege[Kostenstelle],$A174))</f>
        <v>0</v>
      </c>
      <c r="X174" s="11" t="n">
        <f aca="false">IF($A174="",0,SUMIFS(tblAuftraege[Einnahmen],tblAuftraege[Datum Einnahmen],"&gt;="&amp;X$5,tblAuftraege[Datum Einnahmen],"&lt;"&amp;EDATE(X$5,1),tblAuftraege[Kostenstelle],$A174))</f>
        <v>0</v>
      </c>
      <c r="Y174" s="11" t="n">
        <f aca="false">IF($A174="",0,SUMIFS(tblAuftraege[Einnahmen],tblAuftraege[Datum Einnahmen],"&gt;="&amp;Y$5,tblAuftraege[Datum Einnahmen],"&lt;"&amp;EDATE(Y$5,1),tblAuftraege[Kostenstelle],$A174))</f>
        <v>0</v>
      </c>
      <c r="Z174" s="11" t="n">
        <f aca="false">IF($A174="",0,SUMIFS(tblAuftraege[Einnahmen],tblAuftraege[Datum Einnahmen],"&gt;="&amp;Z$5,tblAuftraege[Datum Einnahmen],"&lt;"&amp;EDATE(Z$5,1),tblAuftraege[Kostenstelle],$A174))</f>
        <v>0</v>
      </c>
      <c r="AA174" s="11" t="n">
        <f aca="false">IF($A174="",0,SUMIFS(tblAuftraege[Einnahmen],tblAuftraege[Datum Einnahmen],"&gt;="&amp;AA$5,tblAuftraege[Datum Einnahmen],"&lt;"&amp;EDATE(AA$5,1),tblAuftraege[Kostenstelle],$A174))</f>
        <v>0</v>
      </c>
      <c r="AB174" s="11" t="n">
        <f aca="false">IF($A174="",0,SUMIFS(tblAuftraege[Einnahmen],tblAuftraege[Datum Einnahmen],"&gt;="&amp;AB$5,tblAuftraege[Datum Einnahmen],"&lt;"&amp;EDATE(AB$5,1),tblAuftraege[Kostenstelle],$A174))</f>
        <v>0</v>
      </c>
      <c r="AC174" s="11" t="n">
        <f aca="false">IF($A174="",0,SUMIFS(tblAuftraege[Einnahmen],tblAuftraege[Datum Einnahmen],"&gt;="&amp;AC$5,tblAuftraege[Datum Einnahmen],"&lt;"&amp;EDATE(AC$5,1),tblAuftraege[Kostenstelle],$A174))</f>
        <v>0</v>
      </c>
      <c r="AD174" s="11" t="n">
        <f aca="false">IF($A174="",0,SUMIFS(tblAuftraege[Einnahmen],tblAuftraege[Datum Einnahmen],"&gt;="&amp;AD$5,tblAuftraege[Datum Einnahmen],"&lt;"&amp;EDATE(AD$5,1),tblAuftraege[Kostenstelle],$A174))</f>
        <v>0</v>
      </c>
      <c r="AE174" s="11" t="n">
        <f aca="false">IF($A174="",0,SUMIFS(tblAuftraege[Einnahmen],tblAuftraege[Datum Einnahmen],"&gt;="&amp;AE$5,tblAuftraege[Datum Einnahmen],"&lt;"&amp;EDATE(AE$5,1),tblAuftraege[Kostenstelle],$A174))</f>
        <v>0</v>
      </c>
      <c r="AF174" s="11" t="n">
        <f aca="false">IF($A174="",0,SUMIFS(tblAuftraege[Einnahmen],tblAuftraege[Datum Einnahmen],"&gt;="&amp;AF$5,tblAuftraege[Datum Einnahmen],"&lt;"&amp;EDATE(AF$5,1),tblAuftraege[Kostenstelle],$A174))</f>
        <v>0</v>
      </c>
      <c r="AG174" s="11" t="n">
        <f aca="false">IF($A174="",0,SUMIFS(tblAuftraege[Einnahmen],tblAuftraege[Datum Einnahmen],"&gt;="&amp;AG$5,tblAuftraege[Datum Einnahmen],"&lt;"&amp;EDATE(AG$5,1),tblAuftraege[Kostenstelle],$A174))</f>
        <v>0</v>
      </c>
      <c r="AH174" s="11" t="n">
        <f aca="false">IF($A174="",0,SUMIFS(tblAuftraege[Einnahmen],tblAuftraege[Datum Einnahmen],"&gt;="&amp;AH$5,tblAuftraege[Datum Einnahmen],"&lt;"&amp;EDATE(AH$5,1),tblAuftraege[Kostenstelle],$A174))</f>
        <v>0</v>
      </c>
      <c r="AI174" s="11" t="n">
        <f aca="false">IF($A174="",0,SUMIFS(tblAuftraege[Einnahmen],tblAuftraege[Datum Einnahmen],"&gt;="&amp;AI$5,tblAuftraege[Datum Einnahmen],"&lt;"&amp;EDATE(AI$5,1),tblAuftraege[Kostenstelle],$A174))</f>
        <v>0</v>
      </c>
      <c r="AJ174" s="11" t="n">
        <f aca="false">IF($A174="",0,SUMIFS(tblAuftraege[Einnahmen],tblAuftraege[Datum Einnahmen],"&gt;="&amp;AJ$5,tblAuftraege[Datum Einnahmen],"&lt;"&amp;EDATE(AJ$5,1),tblAuftraege[Kostenstelle],$A174))</f>
        <v>0</v>
      </c>
      <c r="AK174" s="11" t="n">
        <f aca="false">IF($A174="",0,SUMIFS(tblAuftraege[Einnahmen],tblAuftraege[Datum Einnahmen],"&gt;="&amp;AK$5,tblAuftraege[Datum Einnahmen],"&lt;"&amp;EDATE(AK$5,1),tblAuftraege[Kostenstelle],$A174))</f>
        <v>0</v>
      </c>
      <c r="AL174" s="11" t="n">
        <f aca="false">IF($A174="",0,SUMIFS(tblAuftraege[Einnahmen],tblAuftraege[Datum Einnahmen],"&gt;="&amp;AL$5,tblAuftraege[Datum Einnahmen],"&lt;"&amp;EDATE(AL$5,1),tblAuftraege[Kostenstelle],$A174))</f>
        <v>0</v>
      </c>
      <c r="AM174" s="11" t="n">
        <f aca="false">IF($A174="",0,SUMIFS(tblAuftraege[Einnahmen],tblAuftraege[Datum Einnahmen],"&gt;="&amp;AM$5,tblAuftraege[Datum Einnahmen],"&lt;"&amp;EDATE(AM$5,1),tblAuftraege[Kostenstelle],$A174))</f>
        <v>0</v>
      </c>
      <c r="AN174" s="11" t="n">
        <f aca="false">IF($A174="",0,SUMIFS(tblAuftraege[Einnahmen],tblAuftraege[Datum Einnahmen],"&gt;="&amp;AN$5,tblAuftraege[Datum Einnahmen],"&lt;"&amp;EDATE(AN$5,1),tblAuftraege[Kostenstelle],$A174))</f>
        <v>0</v>
      </c>
      <c r="AO174" s="11" t="n">
        <f aca="false">IF($A174="",0,SUMIFS(tblAuftraege[Einnahmen],tblAuftraege[Datum Einnahmen],"&gt;="&amp;AO$5,tblAuftraege[Datum Einnahmen],"&lt;"&amp;EDATE(AO$5,1),tblAuftraege[Kostenstelle],$A174))</f>
        <v>0</v>
      </c>
      <c r="AP174" s="11" t="n">
        <f aca="false">IF($A174="",0,SUMIFS(tblAuftraege[Einnahmen],tblAuftraege[Datum Einnahmen],"&gt;="&amp;AP$5,tblAuftraege[Datum Einnahmen],"&lt;"&amp;EDATE(AP$5,1),tblAuftraege[Kostenstelle],$A174))</f>
        <v>0</v>
      </c>
      <c r="AQ174" s="11" t="n">
        <f aca="false">IF($A174="",0,SUMIFS(tblAuftraege[Einnahmen],tblAuftraege[Datum Einnahmen],"&gt;="&amp;AQ$5,tblAuftraege[Datum Einnahmen],"&lt;"&amp;EDATE(AQ$5,1),tblAuftraege[Kostenstelle],$A174))</f>
        <v>0</v>
      </c>
      <c r="AR174" s="11" t="n">
        <f aca="false">IF($A174="",0,SUMIFS(tblAuftraege[Einnahmen],tblAuftraege[Datum Einnahmen],"&gt;="&amp;AR$5,tblAuftraege[Datum Einnahmen],"&lt;"&amp;EDATE(AR$5,1),tblAuftraege[Kostenstelle],$A174))</f>
        <v>0</v>
      </c>
      <c r="AS174" s="11" t="n">
        <f aca="false">IF($A174="",0,SUMIFS(tblAuftraege[Einnahmen],tblAuftraege[Datum Einnahmen],"&gt;="&amp;AS$5,tblAuftraege[Datum Einnahmen],"&lt;"&amp;EDATE(AS$5,1),tblAuftraege[Kostenstelle],$A174))</f>
        <v>0</v>
      </c>
      <c r="AT174" s="11" t="n">
        <f aca="false">IF($A174="",0,SUMIFS(tblAuftraege[Einnahmen],tblAuftraege[Datum Einnahmen],"&gt;="&amp;AT$5,tblAuftraege[Datum Einnahmen],"&lt;"&amp;EDATE(AT$5,1),tblAuftraege[Kostenstelle],$A174))</f>
        <v>0</v>
      </c>
      <c r="AU174" s="11" t="n">
        <f aca="false">IF($A174="",0,SUMIFS(tblAuftraege[Einnahmen],tblAuftraege[Datum Einnahmen],"&gt;="&amp;AU$5,tblAuftraege[Datum Einnahmen],"&lt;"&amp;EDATE(AU$5,1),tblAuftraege[Kostenstelle],$A174))</f>
        <v>0</v>
      </c>
      <c r="AV174" s="11" t="n">
        <f aca="false">IF($A174="",0,SUMIFS(tblAuftraege[Einnahmen],tblAuftraege[Datum Einnahmen],"&gt;="&amp;AV$5,tblAuftraege[Datum Einnahmen],"&lt;"&amp;EDATE(AV$5,1),tblAuftraege[Kostenstelle],$A174))</f>
        <v>0</v>
      </c>
      <c r="AW174" s="11" t="n">
        <f aca="false">IF($A174="",0,SUMIFS(tblAuftraege[Einnahmen],tblAuftraege[Datum Einnahmen],"&gt;="&amp;AW$5,tblAuftraege[Datum Einnahmen],"&lt;"&amp;EDATE(AW$5,1),tblAuftraege[Kostenstelle],$A174))</f>
        <v>0</v>
      </c>
      <c r="AX174" s="11" t="n">
        <f aca="false">IF($A174="",0,SUMIFS(tblAuftraege[Einnahmen],tblAuftraege[Datum Einnahmen],"&gt;="&amp;AX$5,tblAuftraege[Datum Einnahmen],"&lt;"&amp;EDATE(AX$5,1),tblAuftraege[Kostenstelle],$A174))</f>
        <v>0</v>
      </c>
      <c r="AY174" s="11" t="n">
        <f aca="false">IF($A174="",0,SUMIFS(tblAuftraege[Einnahmen],tblAuftraege[Datum Einnahmen],"&gt;="&amp;AY$5,tblAuftraege[Datum Einnahmen],"&lt;"&amp;EDATE(AY$5,1),tblAuftraege[Kostenstelle],$A174))</f>
        <v>0</v>
      </c>
      <c r="AZ174" s="11" t="n">
        <f aca="false">IF($A174="",0,SUMIFS(tblAuftraege[Einnahmen],tblAuftraege[Datum Einnahmen],"&gt;="&amp;AZ$5,tblAuftraege[Datum Einnahmen],"&lt;"&amp;EDATE(AZ$5,1),tblAuftraege[Kostenstelle],$A174))</f>
        <v>0</v>
      </c>
      <c r="BA174" s="11" t="n">
        <f aca="false">IF($A174="",0,SUMIFS(tblAuftraege[Einnahmen],tblAuftraege[Datum Einnahmen],"&gt;="&amp;BA$5,tblAuftraege[Datum Einnahmen],"&lt;"&amp;EDATE(BA$5,1),tblAuftraege[Kostenstelle],$A174))</f>
        <v>0</v>
      </c>
      <c r="BB174" s="11" t="n">
        <f aca="false">IF($A174="",0,SUMIFS(tblAuftraege[Einnahmen],tblAuftraege[Datum Einnahmen],"&gt;="&amp;BB$5,tblAuftraege[Datum Einnahmen],"&lt;"&amp;EDATE(BB$5,1),tblAuftraege[Kostenstelle],$A174))</f>
        <v>0</v>
      </c>
      <c r="BC174" s="11" t="n">
        <f aca="false">IF($A174="",0,SUMIFS(tblAuftraege[Einnahmen],tblAuftraege[Datum Einnahmen],"&gt;="&amp;BC$5,tblAuftraege[Datum Einnahmen],"&lt;"&amp;EDATE(BC$5,1),tblAuftraege[Kostenstelle],$A174))</f>
        <v>0</v>
      </c>
      <c r="BD174" s="11" t="n">
        <f aca="false">IF($A174="",0,SUMIFS(tblAuftraege[Einnahmen],tblAuftraege[Datum Einnahmen],"&gt;="&amp;BD$5,tblAuftraege[Datum Einnahmen],"&lt;"&amp;EDATE(BD$5,1),tblAuftraege[Kostenstelle],$A174))</f>
        <v>0</v>
      </c>
      <c r="BE174" s="11" t="n">
        <f aca="false">IF($A174="",0,SUMIFS(tblAuftraege[Einnahmen],tblAuftraege[Datum Einnahmen],"&gt;="&amp;BE$5,tblAuftraege[Datum Einnahmen],"&lt;"&amp;EDATE(BE$5,1),tblAuftraege[Kostenstelle],$A174))</f>
        <v>0</v>
      </c>
      <c r="BF174" s="11" t="n">
        <f aca="false">IF($A174="",0,SUMIFS(tblAuftraege[Einnahmen],tblAuftraege[Datum Einnahmen],"&gt;="&amp;BF$5,tblAuftraege[Datum Einnahmen],"&lt;"&amp;EDATE(BF$5,1),tblAuftraege[Kostenstelle],$A174))</f>
        <v>0</v>
      </c>
      <c r="BG174" s="11" t="n">
        <f aca="false">SUM(E174:J174)</f>
        <v>0</v>
      </c>
      <c r="BH174" s="11" t="n">
        <f aca="false">SUM(K174:V174)</f>
        <v>0</v>
      </c>
      <c r="BI174" s="11" t="n">
        <f aca="false">SUM(W174:AH174)</f>
        <v>0</v>
      </c>
      <c r="BJ174" s="11" t="n">
        <f aca="false">SUM(AI174:AT174)</f>
        <v>0</v>
      </c>
      <c r="BK174" s="11" t="n">
        <f aca="false">SUM(AU174:BF174)</f>
        <v>0</v>
      </c>
      <c r="BL174" s="12" t="n">
        <f aca="false">SUM(E174:BF174)</f>
        <v>0</v>
      </c>
    </row>
    <row r="175" customFormat="false" ht="15" hidden="false" customHeight="false" outlineLevel="0" collapsed="false">
      <c r="A175" s="9" t="s">
        <v>124</v>
      </c>
      <c r="B175" s="36" t="s">
        <v>125</v>
      </c>
      <c r="C175" s="15"/>
      <c r="D175" s="15"/>
      <c r="E175" s="11" t="n">
        <f aca="false">IF($A175="",0,SUMIFS(tblAuftraege[Einnahmen],tblAuftraege[Datum Einnahmen],"&gt;="&amp;E$5,tblAuftraege[Datum Einnahmen],"&lt;"&amp;EDATE(E$5,1),tblAuftraege[Kostenstelle],$A175))</f>
        <v>0</v>
      </c>
      <c r="F175" s="11" t="n">
        <f aca="false">IF($A175="",0,SUMIFS(tblAuftraege[Einnahmen],tblAuftraege[Datum Einnahmen],"&gt;="&amp;F$5,tblAuftraege[Datum Einnahmen],"&lt;"&amp;EDATE(F$5,1),tblAuftraege[Kostenstelle],$A175))</f>
        <v>0</v>
      </c>
      <c r="G175" s="11" t="n">
        <f aca="false">IF($A175="",0,SUMIFS(tblAuftraege[Einnahmen],tblAuftraege[Datum Einnahmen],"&gt;="&amp;G$5,tblAuftraege[Datum Einnahmen],"&lt;"&amp;EDATE(G$5,1),tblAuftraege[Kostenstelle],$A175))</f>
        <v>0</v>
      </c>
      <c r="H175" s="11" t="n">
        <f aca="false">IF($A175="",0,SUMIFS(tblAuftraege[Einnahmen],tblAuftraege[Datum Einnahmen],"&gt;="&amp;H$5,tblAuftraege[Datum Einnahmen],"&lt;"&amp;EDATE(H$5,1),tblAuftraege[Kostenstelle],$A175))</f>
        <v>0</v>
      </c>
      <c r="I175" s="11" t="n">
        <f aca="false">IF($A175="",0,SUMIFS(tblAuftraege[Einnahmen],tblAuftraege[Datum Einnahmen],"&gt;="&amp;I$5,tblAuftraege[Datum Einnahmen],"&lt;"&amp;EDATE(I$5,1),tblAuftraege[Kostenstelle],$A175))</f>
        <v>0</v>
      </c>
      <c r="J175" s="11" t="n">
        <f aca="false">IF($A175="",0,SUMIFS(tblAuftraege[Einnahmen],tblAuftraege[Datum Einnahmen],"&gt;="&amp;J$5,tblAuftraege[Datum Einnahmen],"&lt;"&amp;EDATE(J$5,1),tblAuftraege[Kostenstelle],$A175))</f>
        <v>0</v>
      </c>
      <c r="K175" s="11" t="n">
        <f aca="false">IF($A175="",0,SUMIFS(tblAuftraege[Einnahmen],tblAuftraege[Datum Einnahmen],"&gt;="&amp;K$5,tblAuftraege[Datum Einnahmen],"&lt;"&amp;EDATE(K$5,1),tblAuftraege[Kostenstelle],$A175))</f>
        <v>0</v>
      </c>
      <c r="L175" s="11" t="n">
        <f aca="false">IF($A175="",0,SUMIFS(tblAuftraege[Einnahmen],tblAuftraege[Datum Einnahmen],"&gt;="&amp;L$5,tblAuftraege[Datum Einnahmen],"&lt;"&amp;EDATE(L$5,1),tblAuftraege[Kostenstelle],$A175))</f>
        <v>0</v>
      </c>
      <c r="M175" s="11" t="n">
        <f aca="false">IF($A175="",0,SUMIFS(tblAuftraege[Einnahmen],tblAuftraege[Datum Einnahmen],"&gt;="&amp;M$5,tblAuftraege[Datum Einnahmen],"&lt;"&amp;EDATE(M$5,1),tblAuftraege[Kostenstelle],$A175))</f>
        <v>0</v>
      </c>
      <c r="N175" s="11" t="n">
        <f aca="false">IF($A175="",0,SUMIFS(tblAuftraege[Einnahmen],tblAuftraege[Datum Einnahmen],"&gt;="&amp;N$5,tblAuftraege[Datum Einnahmen],"&lt;"&amp;EDATE(N$5,1),tblAuftraege[Kostenstelle],$A175))</f>
        <v>0</v>
      </c>
      <c r="O175" s="11" t="n">
        <f aca="false">IF($A175="",0,SUMIFS(tblAuftraege[Einnahmen],tblAuftraege[Datum Einnahmen],"&gt;="&amp;O$5,tblAuftraege[Datum Einnahmen],"&lt;"&amp;EDATE(O$5,1),tblAuftraege[Kostenstelle],$A175))</f>
        <v>0</v>
      </c>
      <c r="P175" s="11" t="n">
        <f aca="false">IF($A175="",0,SUMIFS(tblAuftraege[Einnahmen],tblAuftraege[Datum Einnahmen],"&gt;="&amp;P$5,tblAuftraege[Datum Einnahmen],"&lt;"&amp;EDATE(P$5,1),tblAuftraege[Kostenstelle],$A175))</f>
        <v>0</v>
      </c>
      <c r="Q175" s="11" t="n">
        <f aca="false">IF($A175="",0,SUMIFS(tblAuftraege[Einnahmen],tblAuftraege[Datum Einnahmen],"&gt;="&amp;Q$5,tblAuftraege[Datum Einnahmen],"&lt;"&amp;EDATE(Q$5,1),tblAuftraege[Kostenstelle],$A175))</f>
        <v>0</v>
      </c>
      <c r="R175" s="11" t="n">
        <f aca="false">IF($A175="",0,SUMIFS(tblAuftraege[Einnahmen],tblAuftraege[Datum Einnahmen],"&gt;="&amp;R$5,tblAuftraege[Datum Einnahmen],"&lt;"&amp;EDATE(R$5,1),tblAuftraege[Kostenstelle],$A175))</f>
        <v>0</v>
      </c>
      <c r="S175" s="11" t="n">
        <f aca="false">IF($A175="",0,SUMIFS(tblAuftraege[Einnahmen],tblAuftraege[Datum Einnahmen],"&gt;="&amp;S$5,tblAuftraege[Datum Einnahmen],"&lt;"&amp;EDATE(S$5,1),tblAuftraege[Kostenstelle],$A175))</f>
        <v>0</v>
      </c>
      <c r="T175" s="11" t="n">
        <f aca="false">IF($A175="",0,SUMIFS(tblAuftraege[Einnahmen],tblAuftraege[Datum Einnahmen],"&gt;="&amp;T$5,tblAuftraege[Datum Einnahmen],"&lt;"&amp;EDATE(T$5,1),tblAuftraege[Kostenstelle],$A175))</f>
        <v>0</v>
      </c>
      <c r="U175" s="11" t="n">
        <f aca="false">IF($A175="",0,SUMIFS(tblAuftraege[Einnahmen],tblAuftraege[Datum Einnahmen],"&gt;="&amp;U$5,tblAuftraege[Datum Einnahmen],"&lt;"&amp;EDATE(U$5,1),tblAuftraege[Kostenstelle],$A175))</f>
        <v>0</v>
      </c>
      <c r="V175" s="11" t="n">
        <f aca="false">IF($A175="",0,SUMIFS(tblAuftraege[Einnahmen],tblAuftraege[Datum Einnahmen],"&gt;="&amp;V$5,tblAuftraege[Datum Einnahmen],"&lt;"&amp;EDATE(V$5,1),tblAuftraege[Kostenstelle],$A175))</f>
        <v>0</v>
      </c>
      <c r="W175" s="11" t="n">
        <f aca="false">IF($A175="",0,SUMIFS(tblAuftraege[Einnahmen],tblAuftraege[Datum Einnahmen],"&gt;="&amp;W$5,tblAuftraege[Datum Einnahmen],"&lt;"&amp;EDATE(W$5,1),tblAuftraege[Kostenstelle],$A175))</f>
        <v>0</v>
      </c>
      <c r="X175" s="11" t="n">
        <f aca="false">IF($A175="",0,SUMIFS(tblAuftraege[Einnahmen],tblAuftraege[Datum Einnahmen],"&gt;="&amp;X$5,tblAuftraege[Datum Einnahmen],"&lt;"&amp;EDATE(X$5,1),tblAuftraege[Kostenstelle],$A175))</f>
        <v>0</v>
      </c>
      <c r="Y175" s="11" t="n">
        <f aca="false">IF($A175="",0,SUMIFS(tblAuftraege[Einnahmen],tblAuftraege[Datum Einnahmen],"&gt;="&amp;Y$5,tblAuftraege[Datum Einnahmen],"&lt;"&amp;EDATE(Y$5,1),tblAuftraege[Kostenstelle],$A175))</f>
        <v>0</v>
      </c>
      <c r="Z175" s="11" t="n">
        <f aca="false">IF($A175="",0,SUMIFS(tblAuftraege[Einnahmen],tblAuftraege[Datum Einnahmen],"&gt;="&amp;Z$5,tblAuftraege[Datum Einnahmen],"&lt;"&amp;EDATE(Z$5,1),tblAuftraege[Kostenstelle],$A175))</f>
        <v>0</v>
      </c>
      <c r="AA175" s="11" t="n">
        <f aca="false">IF($A175="",0,SUMIFS(tblAuftraege[Einnahmen],tblAuftraege[Datum Einnahmen],"&gt;="&amp;AA$5,tblAuftraege[Datum Einnahmen],"&lt;"&amp;EDATE(AA$5,1),tblAuftraege[Kostenstelle],$A175))</f>
        <v>0</v>
      </c>
      <c r="AB175" s="11" t="n">
        <f aca="false">IF($A175="",0,SUMIFS(tblAuftraege[Einnahmen],tblAuftraege[Datum Einnahmen],"&gt;="&amp;AB$5,tblAuftraege[Datum Einnahmen],"&lt;"&amp;EDATE(AB$5,1),tblAuftraege[Kostenstelle],$A175))</f>
        <v>0</v>
      </c>
      <c r="AC175" s="11" t="n">
        <f aca="false">IF($A175="",0,SUMIFS(tblAuftraege[Einnahmen],tblAuftraege[Datum Einnahmen],"&gt;="&amp;AC$5,tblAuftraege[Datum Einnahmen],"&lt;"&amp;EDATE(AC$5,1),tblAuftraege[Kostenstelle],$A175))</f>
        <v>0</v>
      </c>
      <c r="AD175" s="11" t="n">
        <f aca="false">IF($A175="",0,SUMIFS(tblAuftraege[Einnahmen],tblAuftraege[Datum Einnahmen],"&gt;="&amp;AD$5,tblAuftraege[Datum Einnahmen],"&lt;"&amp;EDATE(AD$5,1),tblAuftraege[Kostenstelle],$A175))</f>
        <v>0</v>
      </c>
      <c r="AE175" s="11" t="n">
        <f aca="false">IF($A175="",0,SUMIFS(tblAuftraege[Einnahmen],tblAuftraege[Datum Einnahmen],"&gt;="&amp;AE$5,tblAuftraege[Datum Einnahmen],"&lt;"&amp;EDATE(AE$5,1),tblAuftraege[Kostenstelle],$A175))</f>
        <v>0</v>
      </c>
      <c r="AF175" s="11" t="n">
        <f aca="false">IF($A175="",0,SUMIFS(tblAuftraege[Einnahmen],tblAuftraege[Datum Einnahmen],"&gt;="&amp;AF$5,tblAuftraege[Datum Einnahmen],"&lt;"&amp;EDATE(AF$5,1),tblAuftraege[Kostenstelle],$A175))</f>
        <v>0</v>
      </c>
      <c r="AG175" s="11" t="n">
        <f aca="false">IF($A175="",0,SUMIFS(tblAuftraege[Einnahmen],tblAuftraege[Datum Einnahmen],"&gt;="&amp;AG$5,tblAuftraege[Datum Einnahmen],"&lt;"&amp;EDATE(AG$5,1),tblAuftraege[Kostenstelle],$A175))</f>
        <v>0</v>
      </c>
      <c r="AH175" s="11" t="n">
        <f aca="false">IF($A175="",0,SUMIFS(tblAuftraege[Einnahmen],tblAuftraege[Datum Einnahmen],"&gt;="&amp;AH$5,tblAuftraege[Datum Einnahmen],"&lt;"&amp;EDATE(AH$5,1),tblAuftraege[Kostenstelle],$A175))</f>
        <v>0</v>
      </c>
      <c r="AI175" s="11" t="n">
        <f aca="false">IF($A175="",0,SUMIFS(tblAuftraege[Einnahmen],tblAuftraege[Datum Einnahmen],"&gt;="&amp;AI$5,tblAuftraege[Datum Einnahmen],"&lt;"&amp;EDATE(AI$5,1),tblAuftraege[Kostenstelle],$A175))</f>
        <v>0</v>
      </c>
      <c r="AJ175" s="11" t="n">
        <f aca="false">IF($A175="",0,SUMIFS(tblAuftraege[Einnahmen],tblAuftraege[Datum Einnahmen],"&gt;="&amp;AJ$5,tblAuftraege[Datum Einnahmen],"&lt;"&amp;EDATE(AJ$5,1),tblAuftraege[Kostenstelle],$A175))</f>
        <v>0</v>
      </c>
      <c r="AK175" s="11" t="n">
        <f aca="false">IF($A175="",0,SUMIFS(tblAuftraege[Einnahmen],tblAuftraege[Datum Einnahmen],"&gt;="&amp;AK$5,tblAuftraege[Datum Einnahmen],"&lt;"&amp;EDATE(AK$5,1),tblAuftraege[Kostenstelle],$A175))</f>
        <v>0</v>
      </c>
      <c r="AL175" s="11" t="n">
        <f aca="false">IF($A175="",0,SUMIFS(tblAuftraege[Einnahmen],tblAuftraege[Datum Einnahmen],"&gt;="&amp;AL$5,tblAuftraege[Datum Einnahmen],"&lt;"&amp;EDATE(AL$5,1),tblAuftraege[Kostenstelle],$A175))</f>
        <v>0</v>
      </c>
      <c r="AM175" s="11" t="n">
        <f aca="false">IF($A175="",0,SUMIFS(tblAuftraege[Einnahmen],tblAuftraege[Datum Einnahmen],"&gt;="&amp;AM$5,tblAuftraege[Datum Einnahmen],"&lt;"&amp;EDATE(AM$5,1),tblAuftraege[Kostenstelle],$A175))</f>
        <v>0</v>
      </c>
      <c r="AN175" s="11" t="n">
        <f aca="false">IF($A175="",0,SUMIFS(tblAuftraege[Einnahmen],tblAuftraege[Datum Einnahmen],"&gt;="&amp;AN$5,tblAuftraege[Datum Einnahmen],"&lt;"&amp;EDATE(AN$5,1),tblAuftraege[Kostenstelle],$A175))</f>
        <v>0</v>
      </c>
      <c r="AO175" s="11" t="n">
        <f aca="false">IF($A175="",0,SUMIFS(tblAuftraege[Einnahmen],tblAuftraege[Datum Einnahmen],"&gt;="&amp;AO$5,tblAuftraege[Datum Einnahmen],"&lt;"&amp;EDATE(AO$5,1),tblAuftraege[Kostenstelle],$A175))</f>
        <v>0</v>
      </c>
      <c r="AP175" s="11" t="n">
        <f aca="false">IF($A175="",0,SUMIFS(tblAuftraege[Einnahmen],tblAuftraege[Datum Einnahmen],"&gt;="&amp;AP$5,tblAuftraege[Datum Einnahmen],"&lt;"&amp;EDATE(AP$5,1),tblAuftraege[Kostenstelle],$A175))</f>
        <v>0</v>
      </c>
      <c r="AQ175" s="11" t="n">
        <f aca="false">IF($A175="",0,SUMIFS(tblAuftraege[Einnahmen],tblAuftraege[Datum Einnahmen],"&gt;="&amp;AQ$5,tblAuftraege[Datum Einnahmen],"&lt;"&amp;EDATE(AQ$5,1),tblAuftraege[Kostenstelle],$A175))</f>
        <v>0</v>
      </c>
      <c r="AR175" s="11" t="n">
        <f aca="false">IF($A175="",0,SUMIFS(tblAuftraege[Einnahmen],tblAuftraege[Datum Einnahmen],"&gt;="&amp;AR$5,tblAuftraege[Datum Einnahmen],"&lt;"&amp;EDATE(AR$5,1),tblAuftraege[Kostenstelle],$A175))</f>
        <v>0</v>
      </c>
      <c r="AS175" s="11" t="n">
        <f aca="false">IF($A175="",0,SUMIFS(tblAuftraege[Einnahmen],tblAuftraege[Datum Einnahmen],"&gt;="&amp;AS$5,tblAuftraege[Datum Einnahmen],"&lt;"&amp;EDATE(AS$5,1),tblAuftraege[Kostenstelle],$A175))</f>
        <v>0</v>
      </c>
      <c r="AT175" s="11" t="n">
        <f aca="false">IF($A175="",0,SUMIFS(tblAuftraege[Einnahmen],tblAuftraege[Datum Einnahmen],"&gt;="&amp;AT$5,tblAuftraege[Datum Einnahmen],"&lt;"&amp;EDATE(AT$5,1),tblAuftraege[Kostenstelle],$A175))</f>
        <v>0</v>
      </c>
      <c r="AU175" s="11" t="n">
        <f aca="false">IF($A175="",0,SUMIFS(tblAuftraege[Einnahmen],tblAuftraege[Datum Einnahmen],"&gt;="&amp;AU$5,tblAuftraege[Datum Einnahmen],"&lt;"&amp;EDATE(AU$5,1),tblAuftraege[Kostenstelle],$A175))</f>
        <v>0</v>
      </c>
      <c r="AV175" s="11" t="n">
        <f aca="false">IF($A175="",0,SUMIFS(tblAuftraege[Einnahmen],tblAuftraege[Datum Einnahmen],"&gt;="&amp;AV$5,tblAuftraege[Datum Einnahmen],"&lt;"&amp;EDATE(AV$5,1),tblAuftraege[Kostenstelle],$A175))</f>
        <v>0</v>
      </c>
      <c r="AW175" s="11" t="n">
        <f aca="false">IF($A175="",0,SUMIFS(tblAuftraege[Einnahmen],tblAuftraege[Datum Einnahmen],"&gt;="&amp;AW$5,tblAuftraege[Datum Einnahmen],"&lt;"&amp;EDATE(AW$5,1),tblAuftraege[Kostenstelle],$A175))</f>
        <v>0</v>
      </c>
      <c r="AX175" s="11" t="n">
        <f aca="false">IF($A175="",0,SUMIFS(tblAuftraege[Einnahmen],tblAuftraege[Datum Einnahmen],"&gt;="&amp;AX$5,tblAuftraege[Datum Einnahmen],"&lt;"&amp;EDATE(AX$5,1),tblAuftraege[Kostenstelle],$A175))</f>
        <v>0</v>
      </c>
      <c r="AY175" s="11" t="n">
        <f aca="false">IF($A175="",0,SUMIFS(tblAuftraege[Einnahmen],tblAuftraege[Datum Einnahmen],"&gt;="&amp;AY$5,tblAuftraege[Datum Einnahmen],"&lt;"&amp;EDATE(AY$5,1),tblAuftraege[Kostenstelle],$A175))</f>
        <v>0</v>
      </c>
      <c r="AZ175" s="11" t="n">
        <f aca="false">IF($A175="",0,SUMIFS(tblAuftraege[Einnahmen],tblAuftraege[Datum Einnahmen],"&gt;="&amp;AZ$5,tblAuftraege[Datum Einnahmen],"&lt;"&amp;EDATE(AZ$5,1),tblAuftraege[Kostenstelle],$A175))</f>
        <v>0</v>
      </c>
      <c r="BA175" s="11" t="n">
        <f aca="false">IF($A175="",0,SUMIFS(tblAuftraege[Einnahmen],tblAuftraege[Datum Einnahmen],"&gt;="&amp;BA$5,tblAuftraege[Datum Einnahmen],"&lt;"&amp;EDATE(BA$5,1),tblAuftraege[Kostenstelle],$A175))</f>
        <v>0</v>
      </c>
      <c r="BB175" s="11" t="n">
        <f aca="false">IF($A175="",0,SUMIFS(tblAuftraege[Einnahmen],tblAuftraege[Datum Einnahmen],"&gt;="&amp;BB$5,tblAuftraege[Datum Einnahmen],"&lt;"&amp;EDATE(BB$5,1),tblAuftraege[Kostenstelle],$A175))</f>
        <v>0</v>
      </c>
      <c r="BC175" s="11" t="n">
        <f aca="false">IF($A175="",0,SUMIFS(tblAuftraege[Einnahmen],tblAuftraege[Datum Einnahmen],"&gt;="&amp;BC$5,tblAuftraege[Datum Einnahmen],"&lt;"&amp;EDATE(BC$5,1),tblAuftraege[Kostenstelle],$A175))</f>
        <v>0</v>
      </c>
      <c r="BD175" s="11" t="n">
        <f aca="false">IF($A175="",0,SUMIFS(tblAuftraege[Einnahmen],tblAuftraege[Datum Einnahmen],"&gt;="&amp;BD$5,tblAuftraege[Datum Einnahmen],"&lt;"&amp;EDATE(BD$5,1),tblAuftraege[Kostenstelle],$A175))</f>
        <v>0</v>
      </c>
      <c r="BE175" s="11" t="n">
        <f aca="false">IF($A175="",0,SUMIFS(tblAuftraege[Einnahmen],tblAuftraege[Datum Einnahmen],"&gt;="&amp;BE$5,tblAuftraege[Datum Einnahmen],"&lt;"&amp;EDATE(BE$5,1),tblAuftraege[Kostenstelle],$A175))</f>
        <v>0</v>
      </c>
      <c r="BF175" s="11" t="n">
        <f aca="false">IF($A175="",0,SUMIFS(tblAuftraege[Einnahmen],tblAuftraege[Datum Einnahmen],"&gt;="&amp;BF$5,tblAuftraege[Datum Einnahmen],"&lt;"&amp;EDATE(BF$5,1),tblAuftraege[Kostenstelle],$A175))</f>
        <v>0</v>
      </c>
      <c r="BG175" s="11" t="n">
        <f aca="false">SUM(E175:J175)</f>
        <v>0</v>
      </c>
      <c r="BH175" s="11" t="n">
        <f aca="false">SUM(K175:V175)</f>
        <v>0</v>
      </c>
      <c r="BI175" s="11" t="n">
        <f aca="false">SUM(W175:AH175)</f>
        <v>0</v>
      </c>
      <c r="BJ175" s="11" t="n">
        <f aca="false">SUM(AI175:AT175)</f>
        <v>0</v>
      </c>
      <c r="BK175" s="11" t="n">
        <f aca="false">SUM(AU175:BF175)</f>
        <v>0</v>
      </c>
      <c r="BL175" s="12" t="n">
        <f aca="false">SUM(E175:BF175)</f>
        <v>0</v>
      </c>
    </row>
    <row r="176" customFormat="false" ht="15" hidden="false" customHeight="false" outlineLevel="0" collapsed="false">
      <c r="A176" s="9" t="s">
        <v>126</v>
      </c>
      <c r="B176" s="36" t="s">
        <v>127</v>
      </c>
      <c r="C176" s="15"/>
      <c r="D176" s="15"/>
      <c r="E176" s="11" t="n">
        <f aca="false">IF($A176="",0,SUMIFS(tblAuftraege[Einnahmen],tblAuftraege[Datum Einnahmen],"&gt;="&amp;E$5,tblAuftraege[Datum Einnahmen],"&lt;"&amp;EDATE(E$5,1),tblAuftraege[Kostenstelle],$A176))</f>
        <v>0</v>
      </c>
      <c r="F176" s="11" t="n">
        <f aca="false">IF($A176="",0,SUMIFS(tblAuftraege[Einnahmen],tblAuftraege[Datum Einnahmen],"&gt;="&amp;F$5,tblAuftraege[Datum Einnahmen],"&lt;"&amp;EDATE(F$5,1),tblAuftraege[Kostenstelle],$A176))</f>
        <v>0</v>
      </c>
      <c r="G176" s="11" t="n">
        <f aca="false">IF($A176="",0,SUMIFS(tblAuftraege[Einnahmen],tblAuftraege[Datum Einnahmen],"&gt;="&amp;G$5,tblAuftraege[Datum Einnahmen],"&lt;"&amp;EDATE(G$5,1),tblAuftraege[Kostenstelle],$A176))</f>
        <v>0</v>
      </c>
      <c r="H176" s="11" t="n">
        <f aca="false">IF($A176="",0,SUMIFS(tblAuftraege[Einnahmen],tblAuftraege[Datum Einnahmen],"&gt;="&amp;H$5,tblAuftraege[Datum Einnahmen],"&lt;"&amp;EDATE(H$5,1),tblAuftraege[Kostenstelle],$A176))</f>
        <v>0</v>
      </c>
      <c r="I176" s="11" t="n">
        <f aca="false">IF($A176="",0,SUMIFS(tblAuftraege[Einnahmen],tblAuftraege[Datum Einnahmen],"&gt;="&amp;I$5,tblAuftraege[Datum Einnahmen],"&lt;"&amp;EDATE(I$5,1),tblAuftraege[Kostenstelle],$A176))</f>
        <v>0</v>
      </c>
      <c r="J176" s="11" t="n">
        <f aca="false">IF($A176="",0,SUMIFS(tblAuftraege[Einnahmen],tblAuftraege[Datum Einnahmen],"&gt;="&amp;J$5,tblAuftraege[Datum Einnahmen],"&lt;"&amp;EDATE(J$5,1),tblAuftraege[Kostenstelle],$A176))</f>
        <v>0</v>
      </c>
      <c r="K176" s="11" t="n">
        <f aca="false">IF($A176="",0,SUMIFS(tblAuftraege[Einnahmen],tblAuftraege[Datum Einnahmen],"&gt;="&amp;K$5,tblAuftraege[Datum Einnahmen],"&lt;"&amp;EDATE(K$5,1),tblAuftraege[Kostenstelle],$A176))</f>
        <v>0</v>
      </c>
      <c r="L176" s="11" t="n">
        <f aca="false">IF($A176="",0,SUMIFS(tblAuftraege[Einnahmen],tblAuftraege[Datum Einnahmen],"&gt;="&amp;L$5,tblAuftraege[Datum Einnahmen],"&lt;"&amp;EDATE(L$5,1),tblAuftraege[Kostenstelle],$A176))</f>
        <v>0</v>
      </c>
      <c r="M176" s="11" t="n">
        <f aca="false">IF($A176="",0,SUMIFS(tblAuftraege[Einnahmen],tblAuftraege[Datum Einnahmen],"&gt;="&amp;M$5,tblAuftraege[Datum Einnahmen],"&lt;"&amp;EDATE(M$5,1),tblAuftraege[Kostenstelle],$A176))</f>
        <v>0</v>
      </c>
      <c r="N176" s="11" t="n">
        <f aca="false">IF($A176="",0,SUMIFS(tblAuftraege[Einnahmen],tblAuftraege[Datum Einnahmen],"&gt;="&amp;N$5,tblAuftraege[Datum Einnahmen],"&lt;"&amp;EDATE(N$5,1),tblAuftraege[Kostenstelle],$A176))</f>
        <v>0</v>
      </c>
      <c r="O176" s="11" t="n">
        <f aca="false">IF($A176="",0,SUMIFS(tblAuftraege[Einnahmen],tblAuftraege[Datum Einnahmen],"&gt;="&amp;O$5,tblAuftraege[Datum Einnahmen],"&lt;"&amp;EDATE(O$5,1),tblAuftraege[Kostenstelle],$A176))</f>
        <v>0</v>
      </c>
      <c r="P176" s="11" t="n">
        <f aca="false">IF($A176="",0,SUMIFS(tblAuftraege[Einnahmen],tblAuftraege[Datum Einnahmen],"&gt;="&amp;P$5,tblAuftraege[Datum Einnahmen],"&lt;"&amp;EDATE(P$5,1),tblAuftraege[Kostenstelle],$A176))</f>
        <v>0</v>
      </c>
      <c r="Q176" s="11" t="n">
        <f aca="false">IF($A176="",0,SUMIFS(tblAuftraege[Einnahmen],tblAuftraege[Datum Einnahmen],"&gt;="&amp;Q$5,tblAuftraege[Datum Einnahmen],"&lt;"&amp;EDATE(Q$5,1),tblAuftraege[Kostenstelle],$A176))</f>
        <v>0</v>
      </c>
      <c r="R176" s="11" t="n">
        <f aca="false">IF($A176="",0,SUMIFS(tblAuftraege[Einnahmen],tblAuftraege[Datum Einnahmen],"&gt;="&amp;R$5,tblAuftraege[Datum Einnahmen],"&lt;"&amp;EDATE(R$5,1),tblAuftraege[Kostenstelle],$A176))</f>
        <v>0</v>
      </c>
      <c r="S176" s="11" t="n">
        <f aca="false">IF($A176="",0,SUMIFS(tblAuftraege[Einnahmen],tblAuftraege[Datum Einnahmen],"&gt;="&amp;S$5,tblAuftraege[Datum Einnahmen],"&lt;"&amp;EDATE(S$5,1),tblAuftraege[Kostenstelle],$A176))</f>
        <v>0</v>
      </c>
      <c r="T176" s="11" t="n">
        <f aca="false">IF($A176="",0,SUMIFS(tblAuftraege[Einnahmen],tblAuftraege[Datum Einnahmen],"&gt;="&amp;T$5,tblAuftraege[Datum Einnahmen],"&lt;"&amp;EDATE(T$5,1),tblAuftraege[Kostenstelle],$A176))</f>
        <v>0</v>
      </c>
      <c r="U176" s="11" t="n">
        <f aca="false">IF($A176="",0,SUMIFS(tblAuftraege[Einnahmen],tblAuftraege[Datum Einnahmen],"&gt;="&amp;U$5,tblAuftraege[Datum Einnahmen],"&lt;"&amp;EDATE(U$5,1),tblAuftraege[Kostenstelle],$A176))</f>
        <v>0</v>
      </c>
      <c r="V176" s="11" t="n">
        <f aca="false">IF($A176="",0,SUMIFS(tblAuftraege[Einnahmen],tblAuftraege[Datum Einnahmen],"&gt;="&amp;V$5,tblAuftraege[Datum Einnahmen],"&lt;"&amp;EDATE(V$5,1),tblAuftraege[Kostenstelle],$A176))</f>
        <v>0</v>
      </c>
      <c r="W176" s="11" t="n">
        <f aca="false">IF($A176="",0,SUMIFS(tblAuftraege[Einnahmen],tblAuftraege[Datum Einnahmen],"&gt;="&amp;W$5,tblAuftraege[Datum Einnahmen],"&lt;"&amp;EDATE(W$5,1),tblAuftraege[Kostenstelle],$A176))</f>
        <v>0</v>
      </c>
      <c r="X176" s="11" t="n">
        <f aca="false">IF($A176="",0,SUMIFS(tblAuftraege[Einnahmen],tblAuftraege[Datum Einnahmen],"&gt;="&amp;X$5,tblAuftraege[Datum Einnahmen],"&lt;"&amp;EDATE(X$5,1),tblAuftraege[Kostenstelle],$A176))</f>
        <v>0</v>
      </c>
      <c r="Y176" s="11" t="n">
        <f aca="false">IF($A176="",0,SUMIFS(tblAuftraege[Einnahmen],tblAuftraege[Datum Einnahmen],"&gt;="&amp;Y$5,tblAuftraege[Datum Einnahmen],"&lt;"&amp;EDATE(Y$5,1),tblAuftraege[Kostenstelle],$A176))</f>
        <v>0</v>
      </c>
      <c r="Z176" s="11" t="n">
        <f aca="false">IF($A176="",0,SUMIFS(tblAuftraege[Einnahmen],tblAuftraege[Datum Einnahmen],"&gt;="&amp;Z$5,tblAuftraege[Datum Einnahmen],"&lt;"&amp;EDATE(Z$5,1),tblAuftraege[Kostenstelle],$A176))</f>
        <v>0</v>
      </c>
      <c r="AA176" s="11" t="n">
        <f aca="false">IF($A176="",0,SUMIFS(tblAuftraege[Einnahmen],tblAuftraege[Datum Einnahmen],"&gt;="&amp;AA$5,tblAuftraege[Datum Einnahmen],"&lt;"&amp;EDATE(AA$5,1),tblAuftraege[Kostenstelle],$A176))</f>
        <v>0</v>
      </c>
      <c r="AB176" s="11" t="n">
        <f aca="false">IF($A176="",0,SUMIFS(tblAuftraege[Einnahmen],tblAuftraege[Datum Einnahmen],"&gt;="&amp;AB$5,tblAuftraege[Datum Einnahmen],"&lt;"&amp;EDATE(AB$5,1),tblAuftraege[Kostenstelle],$A176))</f>
        <v>0</v>
      </c>
      <c r="AC176" s="11" t="n">
        <f aca="false">IF($A176="",0,SUMIFS(tblAuftraege[Einnahmen],tblAuftraege[Datum Einnahmen],"&gt;="&amp;AC$5,tblAuftraege[Datum Einnahmen],"&lt;"&amp;EDATE(AC$5,1),tblAuftraege[Kostenstelle],$A176))</f>
        <v>0</v>
      </c>
      <c r="AD176" s="11" t="n">
        <f aca="false">IF($A176="",0,SUMIFS(tblAuftraege[Einnahmen],tblAuftraege[Datum Einnahmen],"&gt;="&amp;AD$5,tblAuftraege[Datum Einnahmen],"&lt;"&amp;EDATE(AD$5,1),tblAuftraege[Kostenstelle],$A176))</f>
        <v>0</v>
      </c>
      <c r="AE176" s="11" t="n">
        <f aca="false">IF($A176="",0,SUMIFS(tblAuftraege[Einnahmen],tblAuftraege[Datum Einnahmen],"&gt;="&amp;AE$5,tblAuftraege[Datum Einnahmen],"&lt;"&amp;EDATE(AE$5,1),tblAuftraege[Kostenstelle],$A176))</f>
        <v>0</v>
      </c>
      <c r="AF176" s="11" t="n">
        <f aca="false">IF($A176="",0,SUMIFS(tblAuftraege[Einnahmen],tblAuftraege[Datum Einnahmen],"&gt;="&amp;AF$5,tblAuftraege[Datum Einnahmen],"&lt;"&amp;EDATE(AF$5,1),tblAuftraege[Kostenstelle],$A176))</f>
        <v>0</v>
      </c>
      <c r="AG176" s="11" t="n">
        <f aca="false">IF($A176="",0,SUMIFS(tblAuftraege[Einnahmen],tblAuftraege[Datum Einnahmen],"&gt;="&amp;AG$5,tblAuftraege[Datum Einnahmen],"&lt;"&amp;EDATE(AG$5,1),tblAuftraege[Kostenstelle],$A176))</f>
        <v>0</v>
      </c>
      <c r="AH176" s="11" t="n">
        <f aca="false">IF($A176="",0,SUMIFS(tblAuftraege[Einnahmen],tblAuftraege[Datum Einnahmen],"&gt;="&amp;AH$5,tblAuftraege[Datum Einnahmen],"&lt;"&amp;EDATE(AH$5,1),tblAuftraege[Kostenstelle],$A176))</f>
        <v>0</v>
      </c>
      <c r="AI176" s="11" t="n">
        <f aca="false">IF($A176="",0,SUMIFS(tblAuftraege[Einnahmen],tblAuftraege[Datum Einnahmen],"&gt;="&amp;AI$5,tblAuftraege[Datum Einnahmen],"&lt;"&amp;EDATE(AI$5,1),tblAuftraege[Kostenstelle],$A176))</f>
        <v>0</v>
      </c>
      <c r="AJ176" s="11" t="n">
        <f aca="false">IF($A176="",0,SUMIFS(tblAuftraege[Einnahmen],tblAuftraege[Datum Einnahmen],"&gt;="&amp;AJ$5,tblAuftraege[Datum Einnahmen],"&lt;"&amp;EDATE(AJ$5,1),tblAuftraege[Kostenstelle],$A176))</f>
        <v>0</v>
      </c>
      <c r="AK176" s="11" t="n">
        <f aca="false">IF($A176="",0,SUMIFS(tblAuftraege[Einnahmen],tblAuftraege[Datum Einnahmen],"&gt;="&amp;AK$5,tblAuftraege[Datum Einnahmen],"&lt;"&amp;EDATE(AK$5,1),tblAuftraege[Kostenstelle],$A176))</f>
        <v>0</v>
      </c>
      <c r="AL176" s="11" t="n">
        <f aca="false">IF($A176="",0,SUMIFS(tblAuftraege[Einnahmen],tblAuftraege[Datum Einnahmen],"&gt;="&amp;AL$5,tblAuftraege[Datum Einnahmen],"&lt;"&amp;EDATE(AL$5,1),tblAuftraege[Kostenstelle],$A176))</f>
        <v>0</v>
      </c>
      <c r="AM176" s="11" t="n">
        <f aca="false">IF($A176="",0,SUMIFS(tblAuftraege[Einnahmen],tblAuftraege[Datum Einnahmen],"&gt;="&amp;AM$5,tblAuftraege[Datum Einnahmen],"&lt;"&amp;EDATE(AM$5,1),tblAuftraege[Kostenstelle],$A176))</f>
        <v>0</v>
      </c>
      <c r="AN176" s="11" t="n">
        <f aca="false">IF($A176="",0,SUMIFS(tblAuftraege[Einnahmen],tblAuftraege[Datum Einnahmen],"&gt;="&amp;AN$5,tblAuftraege[Datum Einnahmen],"&lt;"&amp;EDATE(AN$5,1),tblAuftraege[Kostenstelle],$A176))</f>
        <v>0</v>
      </c>
      <c r="AO176" s="11" t="n">
        <f aca="false">IF($A176="",0,SUMIFS(tblAuftraege[Einnahmen],tblAuftraege[Datum Einnahmen],"&gt;="&amp;AO$5,tblAuftraege[Datum Einnahmen],"&lt;"&amp;EDATE(AO$5,1),tblAuftraege[Kostenstelle],$A176))</f>
        <v>0</v>
      </c>
      <c r="AP176" s="11" t="n">
        <f aca="false">IF($A176="",0,SUMIFS(tblAuftraege[Einnahmen],tblAuftraege[Datum Einnahmen],"&gt;="&amp;AP$5,tblAuftraege[Datum Einnahmen],"&lt;"&amp;EDATE(AP$5,1),tblAuftraege[Kostenstelle],$A176))</f>
        <v>0</v>
      </c>
      <c r="AQ176" s="11" t="n">
        <f aca="false">IF($A176="",0,SUMIFS(tblAuftraege[Einnahmen],tblAuftraege[Datum Einnahmen],"&gt;="&amp;AQ$5,tblAuftraege[Datum Einnahmen],"&lt;"&amp;EDATE(AQ$5,1),tblAuftraege[Kostenstelle],$A176))</f>
        <v>0</v>
      </c>
      <c r="AR176" s="11" t="n">
        <f aca="false">IF($A176="",0,SUMIFS(tblAuftraege[Einnahmen],tblAuftraege[Datum Einnahmen],"&gt;="&amp;AR$5,tblAuftraege[Datum Einnahmen],"&lt;"&amp;EDATE(AR$5,1),tblAuftraege[Kostenstelle],$A176))</f>
        <v>0</v>
      </c>
      <c r="AS176" s="11" t="n">
        <f aca="false">IF($A176="",0,SUMIFS(tblAuftraege[Einnahmen],tblAuftraege[Datum Einnahmen],"&gt;="&amp;AS$5,tblAuftraege[Datum Einnahmen],"&lt;"&amp;EDATE(AS$5,1),tblAuftraege[Kostenstelle],$A176))</f>
        <v>0</v>
      </c>
      <c r="AT176" s="11" t="n">
        <f aca="false">IF($A176="",0,SUMIFS(tblAuftraege[Einnahmen],tblAuftraege[Datum Einnahmen],"&gt;="&amp;AT$5,tblAuftraege[Datum Einnahmen],"&lt;"&amp;EDATE(AT$5,1),tblAuftraege[Kostenstelle],$A176))</f>
        <v>0</v>
      </c>
      <c r="AU176" s="11" t="n">
        <f aca="false">IF($A176="",0,SUMIFS(tblAuftraege[Einnahmen],tblAuftraege[Datum Einnahmen],"&gt;="&amp;AU$5,tblAuftraege[Datum Einnahmen],"&lt;"&amp;EDATE(AU$5,1),tblAuftraege[Kostenstelle],$A176))</f>
        <v>0</v>
      </c>
      <c r="AV176" s="11" t="n">
        <f aca="false">IF($A176="",0,SUMIFS(tblAuftraege[Einnahmen],tblAuftraege[Datum Einnahmen],"&gt;="&amp;AV$5,tblAuftraege[Datum Einnahmen],"&lt;"&amp;EDATE(AV$5,1),tblAuftraege[Kostenstelle],$A176))</f>
        <v>0</v>
      </c>
      <c r="AW176" s="11" t="n">
        <f aca="false">IF($A176="",0,SUMIFS(tblAuftraege[Einnahmen],tblAuftraege[Datum Einnahmen],"&gt;="&amp;AW$5,tblAuftraege[Datum Einnahmen],"&lt;"&amp;EDATE(AW$5,1),tblAuftraege[Kostenstelle],$A176))</f>
        <v>0</v>
      </c>
      <c r="AX176" s="11" t="n">
        <f aca="false">IF($A176="",0,SUMIFS(tblAuftraege[Einnahmen],tblAuftraege[Datum Einnahmen],"&gt;="&amp;AX$5,tblAuftraege[Datum Einnahmen],"&lt;"&amp;EDATE(AX$5,1),tblAuftraege[Kostenstelle],$A176))</f>
        <v>0</v>
      </c>
      <c r="AY176" s="11" t="n">
        <f aca="false">IF($A176="",0,SUMIFS(tblAuftraege[Einnahmen],tblAuftraege[Datum Einnahmen],"&gt;="&amp;AY$5,tblAuftraege[Datum Einnahmen],"&lt;"&amp;EDATE(AY$5,1),tblAuftraege[Kostenstelle],$A176))</f>
        <v>0</v>
      </c>
      <c r="AZ176" s="11" t="n">
        <f aca="false">IF($A176="",0,SUMIFS(tblAuftraege[Einnahmen],tblAuftraege[Datum Einnahmen],"&gt;="&amp;AZ$5,tblAuftraege[Datum Einnahmen],"&lt;"&amp;EDATE(AZ$5,1),tblAuftraege[Kostenstelle],$A176))</f>
        <v>0</v>
      </c>
      <c r="BA176" s="11" t="n">
        <f aca="false">IF($A176="",0,SUMIFS(tblAuftraege[Einnahmen],tblAuftraege[Datum Einnahmen],"&gt;="&amp;BA$5,tblAuftraege[Datum Einnahmen],"&lt;"&amp;EDATE(BA$5,1),tblAuftraege[Kostenstelle],$A176))</f>
        <v>0</v>
      </c>
      <c r="BB176" s="11" t="n">
        <f aca="false">IF($A176="",0,SUMIFS(tblAuftraege[Einnahmen],tblAuftraege[Datum Einnahmen],"&gt;="&amp;BB$5,tblAuftraege[Datum Einnahmen],"&lt;"&amp;EDATE(BB$5,1),tblAuftraege[Kostenstelle],$A176))</f>
        <v>0</v>
      </c>
      <c r="BC176" s="11" t="n">
        <f aca="false">IF($A176="",0,SUMIFS(tblAuftraege[Einnahmen],tblAuftraege[Datum Einnahmen],"&gt;="&amp;BC$5,tblAuftraege[Datum Einnahmen],"&lt;"&amp;EDATE(BC$5,1),tblAuftraege[Kostenstelle],$A176))</f>
        <v>0</v>
      </c>
      <c r="BD176" s="11" t="n">
        <f aca="false">IF($A176="",0,SUMIFS(tblAuftraege[Einnahmen],tblAuftraege[Datum Einnahmen],"&gt;="&amp;BD$5,tblAuftraege[Datum Einnahmen],"&lt;"&amp;EDATE(BD$5,1),tblAuftraege[Kostenstelle],$A176))</f>
        <v>0</v>
      </c>
      <c r="BE176" s="11" t="n">
        <f aca="false">IF($A176="",0,SUMIFS(tblAuftraege[Einnahmen],tblAuftraege[Datum Einnahmen],"&gt;="&amp;BE$5,tblAuftraege[Datum Einnahmen],"&lt;"&amp;EDATE(BE$5,1),tblAuftraege[Kostenstelle],$A176))</f>
        <v>0</v>
      </c>
      <c r="BF176" s="11" t="n">
        <f aca="false">IF($A176="",0,SUMIFS(tblAuftraege[Einnahmen],tblAuftraege[Datum Einnahmen],"&gt;="&amp;BF$5,tblAuftraege[Datum Einnahmen],"&lt;"&amp;EDATE(BF$5,1),tblAuftraege[Kostenstelle],$A176))</f>
        <v>0</v>
      </c>
      <c r="BG176" s="11" t="n">
        <f aca="false">SUM(E176:J176)</f>
        <v>0</v>
      </c>
      <c r="BH176" s="11" t="n">
        <f aca="false">SUM(K176:V176)</f>
        <v>0</v>
      </c>
      <c r="BI176" s="11" t="n">
        <f aca="false">SUM(W176:AH176)</f>
        <v>0</v>
      </c>
      <c r="BJ176" s="11" t="n">
        <f aca="false">SUM(AI176:AT176)</f>
        <v>0</v>
      </c>
      <c r="BK176" s="11" t="n">
        <f aca="false">SUM(AU176:BF176)</f>
        <v>0</v>
      </c>
      <c r="BL176" s="12" t="n">
        <f aca="false">SUM(E176:BF176)</f>
        <v>0</v>
      </c>
    </row>
    <row r="177" customFormat="false" ht="15" hidden="false" customHeight="false" outlineLevel="0" collapsed="false">
      <c r="A177" s="9" t="s">
        <v>128</v>
      </c>
      <c r="B177" s="36" t="s">
        <v>129</v>
      </c>
      <c r="C177" s="15"/>
      <c r="D177" s="15"/>
      <c r="E177" s="11" t="n">
        <f aca="false">IF($A177="",0,SUMIFS(tblAuftraege[Einnahmen],tblAuftraege[Datum Einnahmen],"&gt;="&amp;E$5,tblAuftraege[Datum Einnahmen],"&lt;"&amp;EDATE(E$5,1),tblAuftraege[Kostenstelle],$A177))</f>
        <v>0</v>
      </c>
      <c r="F177" s="11" t="n">
        <f aca="false">IF($A177="",0,SUMIFS(tblAuftraege[Einnahmen],tblAuftraege[Datum Einnahmen],"&gt;="&amp;F$5,tblAuftraege[Datum Einnahmen],"&lt;"&amp;EDATE(F$5,1),tblAuftraege[Kostenstelle],$A177))</f>
        <v>0</v>
      </c>
      <c r="G177" s="11" t="n">
        <f aca="false">IF($A177="",0,SUMIFS(tblAuftraege[Einnahmen],tblAuftraege[Datum Einnahmen],"&gt;="&amp;G$5,tblAuftraege[Datum Einnahmen],"&lt;"&amp;EDATE(G$5,1),tblAuftraege[Kostenstelle],$A177))</f>
        <v>0</v>
      </c>
      <c r="H177" s="11" t="n">
        <f aca="false">IF($A177="",0,SUMIFS(tblAuftraege[Einnahmen],tblAuftraege[Datum Einnahmen],"&gt;="&amp;H$5,tblAuftraege[Datum Einnahmen],"&lt;"&amp;EDATE(H$5,1),tblAuftraege[Kostenstelle],$A177))</f>
        <v>0</v>
      </c>
      <c r="I177" s="11" t="n">
        <f aca="false">IF($A177="",0,SUMIFS(tblAuftraege[Einnahmen],tblAuftraege[Datum Einnahmen],"&gt;="&amp;I$5,tblAuftraege[Datum Einnahmen],"&lt;"&amp;EDATE(I$5,1),tblAuftraege[Kostenstelle],$A177))</f>
        <v>0</v>
      </c>
      <c r="J177" s="11" t="n">
        <f aca="false">IF($A177="",0,SUMIFS(tblAuftraege[Einnahmen],tblAuftraege[Datum Einnahmen],"&gt;="&amp;J$5,tblAuftraege[Datum Einnahmen],"&lt;"&amp;EDATE(J$5,1),tblAuftraege[Kostenstelle],$A177))</f>
        <v>0</v>
      </c>
      <c r="K177" s="11" t="n">
        <f aca="false">IF($A177="",0,SUMIFS(tblAuftraege[Einnahmen],tblAuftraege[Datum Einnahmen],"&gt;="&amp;K$5,tblAuftraege[Datum Einnahmen],"&lt;"&amp;EDATE(K$5,1),tblAuftraege[Kostenstelle],$A177))</f>
        <v>0</v>
      </c>
      <c r="L177" s="11" t="n">
        <f aca="false">IF($A177="",0,SUMIFS(tblAuftraege[Einnahmen],tblAuftraege[Datum Einnahmen],"&gt;="&amp;L$5,tblAuftraege[Datum Einnahmen],"&lt;"&amp;EDATE(L$5,1),tblAuftraege[Kostenstelle],$A177))</f>
        <v>0</v>
      </c>
      <c r="M177" s="11" t="n">
        <f aca="false">IF($A177="",0,SUMIFS(tblAuftraege[Einnahmen],tblAuftraege[Datum Einnahmen],"&gt;="&amp;M$5,tblAuftraege[Datum Einnahmen],"&lt;"&amp;EDATE(M$5,1),tblAuftraege[Kostenstelle],$A177))</f>
        <v>0</v>
      </c>
      <c r="N177" s="11" t="n">
        <f aca="false">IF($A177="",0,SUMIFS(tblAuftraege[Einnahmen],tblAuftraege[Datum Einnahmen],"&gt;="&amp;N$5,tblAuftraege[Datum Einnahmen],"&lt;"&amp;EDATE(N$5,1),tblAuftraege[Kostenstelle],$A177))</f>
        <v>0</v>
      </c>
      <c r="O177" s="11" t="n">
        <f aca="false">IF($A177="",0,SUMIFS(tblAuftraege[Einnahmen],tblAuftraege[Datum Einnahmen],"&gt;="&amp;O$5,tblAuftraege[Datum Einnahmen],"&lt;"&amp;EDATE(O$5,1),tblAuftraege[Kostenstelle],$A177))</f>
        <v>0</v>
      </c>
      <c r="P177" s="11" t="n">
        <f aca="false">IF($A177="",0,SUMIFS(tblAuftraege[Einnahmen],tblAuftraege[Datum Einnahmen],"&gt;="&amp;P$5,tblAuftraege[Datum Einnahmen],"&lt;"&amp;EDATE(P$5,1),tblAuftraege[Kostenstelle],$A177))</f>
        <v>0</v>
      </c>
      <c r="Q177" s="11" t="n">
        <f aca="false">IF($A177="",0,SUMIFS(tblAuftraege[Einnahmen],tblAuftraege[Datum Einnahmen],"&gt;="&amp;Q$5,tblAuftraege[Datum Einnahmen],"&lt;"&amp;EDATE(Q$5,1),tblAuftraege[Kostenstelle],$A177))</f>
        <v>0</v>
      </c>
      <c r="R177" s="11" t="n">
        <f aca="false">IF($A177="",0,SUMIFS(tblAuftraege[Einnahmen],tblAuftraege[Datum Einnahmen],"&gt;="&amp;R$5,tblAuftraege[Datum Einnahmen],"&lt;"&amp;EDATE(R$5,1),tblAuftraege[Kostenstelle],$A177))</f>
        <v>0</v>
      </c>
      <c r="S177" s="11" t="n">
        <f aca="false">IF($A177="",0,SUMIFS(tblAuftraege[Einnahmen],tblAuftraege[Datum Einnahmen],"&gt;="&amp;S$5,tblAuftraege[Datum Einnahmen],"&lt;"&amp;EDATE(S$5,1),tblAuftraege[Kostenstelle],$A177))</f>
        <v>0</v>
      </c>
      <c r="T177" s="11" t="n">
        <f aca="false">IF($A177="",0,SUMIFS(tblAuftraege[Einnahmen],tblAuftraege[Datum Einnahmen],"&gt;="&amp;T$5,tblAuftraege[Datum Einnahmen],"&lt;"&amp;EDATE(T$5,1),tblAuftraege[Kostenstelle],$A177))</f>
        <v>0</v>
      </c>
      <c r="U177" s="11" t="n">
        <f aca="false">IF($A177="",0,SUMIFS(tblAuftraege[Einnahmen],tblAuftraege[Datum Einnahmen],"&gt;="&amp;U$5,tblAuftraege[Datum Einnahmen],"&lt;"&amp;EDATE(U$5,1),tblAuftraege[Kostenstelle],$A177))</f>
        <v>0</v>
      </c>
      <c r="V177" s="11" t="n">
        <f aca="false">IF($A177="",0,SUMIFS(tblAuftraege[Einnahmen],tblAuftraege[Datum Einnahmen],"&gt;="&amp;V$5,tblAuftraege[Datum Einnahmen],"&lt;"&amp;EDATE(V$5,1),tblAuftraege[Kostenstelle],$A177))</f>
        <v>0</v>
      </c>
      <c r="W177" s="11" t="n">
        <f aca="false">IF($A177="",0,SUMIFS(tblAuftraege[Einnahmen],tblAuftraege[Datum Einnahmen],"&gt;="&amp;W$5,tblAuftraege[Datum Einnahmen],"&lt;"&amp;EDATE(W$5,1),tblAuftraege[Kostenstelle],$A177))</f>
        <v>0</v>
      </c>
      <c r="X177" s="11" t="n">
        <f aca="false">IF($A177="",0,SUMIFS(tblAuftraege[Einnahmen],tblAuftraege[Datum Einnahmen],"&gt;="&amp;X$5,tblAuftraege[Datum Einnahmen],"&lt;"&amp;EDATE(X$5,1),tblAuftraege[Kostenstelle],$A177))</f>
        <v>0</v>
      </c>
      <c r="Y177" s="11" t="n">
        <f aca="false">IF($A177="",0,SUMIFS(tblAuftraege[Einnahmen],tblAuftraege[Datum Einnahmen],"&gt;="&amp;Y$5,tblAuftraege[Datum Einnahmen],"&lt;"&amp;EDATE(Y$5,1),tblAuftraege[Kostenstelle],$A177))</f>
        <v>0</v>
      </c>
      <c r="Z177" s="11" t="n">
        <f aca="false">IF($A177="",0,SUMIFS(tblAuftraege[Einnahmen],tblAuftraege[Datum Einnahmen],"&gt;="&amp;Z$5,tblAuftraege[Datum Einnahmen],"&lt;"&amp;EDATE(Z$5,1),tblAuftraege[Kostenstelle],$A177))</f>
        <v>0</v>
      </c>
      <c r="AA177" s="11" t="n">
        <f aca="false">IF($A177="",0,SUMIFS(tblAuftraege[Einnahmen],tblAuftraege[Datum Einnahmen],"&gt;="&amp;AA$5,tblAuftraege[Datum Einnahmen],"&lt;"&amp;EDATE(AA$5,1),tblAuftraege[Kostenstelle],$A177))</f>
        <v>0</v>
      </c>
      <c r="AB177" s="11" t="n">
        <f aca="false">IF($A177="",0,SUMIFS(tblAuftraege[Einnahmen],tblAuftraege[Datum Einnahmen],"&gt;="&amp;AB$5,tblAuftraege[Datum Einnahmen],"&lt;"&amp;EDATE(AB$5,1),tblAuftraege[Kostenstelle],$A177))</f>
        <v>0</v>
      </c>
      <c r="AC177" s="11" t="n">
        <f aca="false">IF($A177="",0,SUMIFS(tblAuftraege[Einnahmen],tblAuftraege[Datum Einnahmen],"&gt;="&amp;AC$5,tblAuftraege[Datum Einnahmen],"&lt;"&amp;EDATE(AC$5,1),tblAuftraege[Kostenstelle],$A177))</f>
        <v>0</v>
      </c>
      <c r="AD177" s="11" t="n">
        <f aca="false">IF($A177="",0,SUMIFS(tblAuftraege[Einnahmen],tblAuftraege[Datum Einnahmen],"&gt;="&amp;AD$5,tblAuftraege[Datum Einnahmen],"&lt;"&amp;EDATE(AD$5,1),tblAuftraege[Kostenstelle],$A177))</f>
        <v>0</v>
      </c>
      <c r="AE177" s="11" t="n">
        <f aca="false">IF($A177="",0,SUMIFS(tblAuftraege[Einnahmen],tblAuftraege[Datum Einnahmen],"&gt;="&amp;AE$5,tblAuftraege[Datum Einnahmen],"&lt;"&amp;EDATE(AE$5,1),tblAuftraege[Kostenstelle],$A177))</f>
        <v>0</v>
      </c>
      <c r="AF177" s="11" t="n">
        <f aca="false">IF($A177="",0,SUMIFS(tblAuftraege[Einnahmen],tblAuftraege[Datum Einnahmen],"&gt;="&amp;AF$5,tblAuftraege[Datum Einnahmen],"&lt;"&amp;EDATE(AF$5,1),tblAuftraege[Kostenstelle],$A177))</f>
        <v>0</v>
      </c>
      <c r="AG177" s="11" t="n">
        <f aca="false">IF($A177="",0,SUMIFS(tblAuftraege[Einnahmen],tblAuftraege[Datum Einnahmen],"&gt;="&amp;AG$5,tblAuftraege[Datum Einnahmen],"&lt;"&amp;EDATE(AG$5,1),tblAuftraege[Kostenstelle],$A177))</f>
        <v>0</v>
      </c>
      <c r="AH177" s="11" t="n">
        <f aca="false">IF($A177="",0,SUMIFS(tblAuftraege[Einnahmen],tblAuftraege[Datum Einnahmen],"&gt;="&amp;AH$5,tblAuftraege[Datum Einnahmen],"&lt;"&amp;EDATE(AH$5,1),tblAuftraege[Kostenstelle],$A177))</f>
        <v>0</v>
      </c>
      <c r="AI177" s="11" t="n">
        <f aca="false">IF($A177="",0,SUMIFS(tblAuftraege[Einnahmen],tblAuftraege[Datum Einnahmen],"&gt;="&amp;AI$5,tblAuftraege[Datum Einnahmen],"&lt;"&amp;EDATE(AI$5,1),tblAuftraege[Kostenstelle],$A177))</f>
        <v>0</v>
      </c>
      <c r="AJ177" s="11" t="n">
        <f aca="false">IF($A177="",0,SUMIFS(tblAuftraege[Einnahmen],tblAuftraege[Datum Einnahmen],"&gt;="&amp;AJ$5,tblAuftraege[Datum Einnahmen],"&lt;"&amp;EDATE(AJ$5,1),tblAuftraege[Kostenstelle],$A177))</f>
        <v>0</v>
      </c>
      <c r="AK177" s="11" t="n">
        <f aca="false">IF($A177="",0,SUMIFS(tblAuftraege[Einnahmen],tblAuftraege[Datum Einnahmen],"&gt;="&amp;AK$5,tblAuftraege[Datum Einnahmen],"&lt;"&amp;EDATE(AK$5,1),tblAuftraege[Kostenstelle],$A177))</f>
        <v>0</v>
      </c>
      <c r="AL177" s="11" t="n">
        <f aca="false">IF($A177="",0,SUMIFS(tblAuftraege[Einnahmen],tblAuftraege[Datum Einnahmen],"&gt;="&amp;AL$5,tblAuftraege[Datum Einnahmen],"&lt;"&amp;EDATE(AL$5,1),tblAuftraege[Kostenstelle],$A177))</f>
        <v>0</v>
      </c>
      <c r="AM177" s="11" t="n">
        <f aca="false">IF($A177="",0,SUMIFS(tblAuftraege[Einnahmen],tblAuftraege[Datum Einnahmen],"&gt;="&amp;AM$5,tblAuftraege[Datum Einnahmen],"&lt;"&amp;EDATE(AM$5,1),tblAuftraege[Kostenstelle],$A177))</f>
        <v>0</v>
      </c>
      <c r="AN177" s="11" t="n">
        <f aca="false">IF($A177="",0,SUMIFS(tblAuftraege[Einnahmen],tblAuftraege[Datum Einnahmen],"&gt;="&amp;AN$5,tblAuftraege[Datum Einnahmen],"&lt;"&amp;EDATE(AN$5,1),tblAuftraege[Kostenstelle],$A177))</f>
        <v>0</v>
      </c>
      <c r="AO177" s="11" t="n">
        <f aca="false">IF($A177="",0,SUMIFS(tblAuftraege[Einnahmen],tblAuftraege[Datum Einnahmen],"&gt;="&amp;AO$5,tblAuftraege[Datum Einnahmen],"&lt;"&amp;EDATE(AO$5,1),tblAuftraege[Kostenstelle],$A177))</f>
        <v>0</v>
      </c>
      <c r="AP177" s="11" t="n">
        <f aca="false">IF($A177="",0,SUMIFS(tblAuftraege[Einnahmen],tblAuftraege[Datum Einnahmen],"&gt;="&amp;AP$5,tblAuftraege[Datum Einnahmen],"&lt;"&amp;EDATE(AP$5,1),tblAuftraege[Kostenstelle],$A177))</f>
        <v>0</v>
      </c>
      <c r="AQ177" s="11" t="n">
        <f aca="false">IF($A177="",0,SUMIFS(tblAuftraege[Einnahmen],tblAuftraege[Datum Einnahmen],"&gt;="&amp;AQ$5,tblAuftraege[Datum Einnahmen],"&lt;"&amp;EDATE(AQ$5,1),tblAuftraege[Kostenstelle],$A177))</f>
        <v>0</v>
      </c>
      <c r="AR177" s="11" t="n">
        <f aca="false">IF($A177="",0,SUMIFS(tblAuftraege[Einnahmen],tblAuftraege[Datum Einnahmen],"&gt;="&amp;AR$5,tblAuftraege[Datum Einnahmen],"&lt;"&amp;EDATE(AR$5,1),tblAuftraege[Kostenstelle],$A177))</f>
        <v>0</v>
      </c>
      <c r="AS177" s="11" t="n">
        <f aca="false">IF($A177="",0,SUMIFS(tblAuftraege[Einnahmen],tblAuftraege[Datum Einnahmen],"&gt;="&amp;AS$5,tblAuftraege[Datum Einnahmen],"&lt;"&amp;EDATE(AS$5,1),tblAuftraege[Kostenstelle],$A177))</f>
        <v>0</v>
      </c>
      <c r="AT177" s="11" t="n">
        <f aca="false">IF($A177="",0,SUMIFS(tblAuftraege[Einnahmen],tblAuftraege[Datum Einnahmen],"&gt;="&amp;AT$5,tblAuftraege[Datum Einnahmen],"&lt;"&amp;EDATE(AT$5,1),tblAuftraege[Kostenstelle],$A177))</f>
        <v>0</v>
      </c>
      <c r="AU177" s="11" t="n">
        <f aca="false">IF($A177="",0,SUMIFS(tblAuftraege[Einnahmen],tblAuftraege[Datum Einnahmen],"&gt;="&amp;AU$5,tblAuftraege[Datum Einnahmen],"&lt;"&amp;EDATE(AU$5,1),tblAuftraege[Kostenstelle],$A177))</f>
        <v>0</v>
      </c>
      <c r="AV177" s="11" t="n">
        <f aca="false">IF($A177="",0,SUMIFS(tblAuftraege[Einnahmen],tblAuftraege[Datum Einnahmen],"&gt;="&amp;AV$5,tblAuftraege[Datum Einnahmen],"&lt;"&amp;EDATE(AV$5,1),tblAuftraege[Kostenstelle],$A177))</f>
        <v>0</v>
      </c>
      <c r="AW177" s="11" t="n">
        <f aca="false">IF($A177="",0,SUMIFS(tblAuftraege[Einnahmen],tblAuftraege[Datum Einnahmen],"&gt;="&amp;AW$5,tblAuftraege[Datum Einnahmen],"&lt;"&amp;EDATE(AW$5,1),tblAuftraege[Kostenstelle],$A177))</f>
        <v>0</v>
      </c>
      <c r="AX177" s="11" t="n">
        <f aca="false">IF($A177="",0,SUMIFS(tblAuftraege[Einnahmen],tblAuftraege[Datum Einnahmen],"&gt;="&amp;AX$5,tblAuftraege[Datum Einnahmen],"&lt;"&amp;EDATE(AX$5,1),tblAuftraege[Kostenstelle],$A177))</f>
        <v>0</v>
      </c>
      <c r="AY177" s="11" t="n">
        <f aca="false">IF($A177="",0,SUMIFS(tblAuftraege[Einnahmen],tblAuftraege[Datum Einnahmen],"&gt;="&amp;AY$5,tblAuftraege[Datum Einnahmen],"&lt;"&amp;EDATE(AY$5,1),tblAuftraege[Kostenstelle],$A177))</f>
        <v>0</v>
      </c>
      <c r="AZ177" s="11" t="n">
        <f aca="false">IF($A177="",0,SUMIFS(tblAuftraege[Einnahmen],tblAuftraege[Datum Einnahmen],"&gt;="&amp;AZ$5,tblAuftraege[Datum Einnahmen],"&lt;"&amp;EDATE(AZ$5,1),tblAuftraege[Kostenstelle],$A177))</f>
        <v>0</v>
      </c>
      <c r="BA177" s="11" t="n">
        <f aca="false">IF($A177="",0,SUMIFS(tblAuftraege[Einnahmen],tblAuftraege[Datum Einnahmen],"&gt;="&amp;BA$5,tblAuftraege[Datum Einnahmen],"&lt;"&amp;EDATE(BA$5,1),tblAuftraege[Kostenstelle],$A177))</f>
        <v>0</v>
      </c>
      <c r="BB177" s="11" t="n">
        <f aca="false">IF($A177="",0,SUMIFS(tblAuftraege[Einnahmen],tblAuftraege[Datum Einnahmen],"&gt;="&amp;BB$5,tblAuftraege[Datum Einnahmen],"&lt;"&amp;EDATE(BB$5,1),tblAuftraege[Kostenstelle],$A177))</f>
        <v>0</v>
      </c>
      <c r="BC177" s="11" t="n">
        <f aca="false">IF($A177="",0,SUMIFS(tblAuftraege[Einnahmen],tblAuftraege[Datum Einnahmen],"&gt;="&amp;BC$5,tblAuftraege[Datum Einnahmen],"&lt;"&amp;EDATE(BC$5,1),tblAuftraege[Kostenstelle],$A177))</f>
        <v>0</v>
      </c>
      <c r="BD177" s="11" t="n">
        <f aca="false">IF($A177="",0,SUMIFS(tblAuftraege[Einnahmen],tblAuftraege[Datum Einnahmen],"&gt;="&amp;BD$5,tblAuftraege[Datum Einnahmen],"&lt;"&amp;EDATE(BD$5,1),tblAuftraege[Kostenstelle],$A177))</f>
        <v>0</v>
      </c>
      <c r="BE177" s="11" t="n">
        <f aca="false">IF($A177="",0,SUMIFS(tblAuftraege[Einnahmen],tblAuftraege[Datum Einnahmen],"&gt;="&amp;BE$5,tblAuftraege[Datum Einnahmen],"&lt;"&amp;EDATE(BE$5,1),tblAuftraege[Kostenstelle],$A177))</f>
        <v>0</v>
      </c>
      <c r="BF177" s="11" t="n">
        <f aca="false">IF($A177="",0,SUMIFS(tblAuftraege[Einnahmen],tblAuftraege[Datum Einnahmen],"&gt;="&amp;BF$5,tblAuftraege[Datum Einnahmen],"&lt;"&amp;EDATE(BF$5,1),tblAuftraege[Kostenstelle],$A177))</f>
        <v>0</v>
      </c>
      <c r="BG177" s="11" t="n">
        <f aca="false">SUM(E177:J177)</f>
        <v>0</v>
      </c>
      <c r="BH177" s="11" t="n">
        <f aca="false">SUM(K177:V177)</f>
        <v>0</v>
      </c>
      <c r="BI177" s="11" t="n">
        <f aca="false">SUM(W177:AH177)</f>
        <v>0</v>
      </c>
      <c r="BJ177" s="11" t="n">
        <f aca="false">SUM(AI177:AT177)</f>
        <v>0</v>
      </c>
      <c r="BK177" s="11" t="n">
        <f aca="false">SUM(AU177:BF177)</f>
        <v>0</v>
      </c>
      <c r="BL177" s="12" t="n">
        <f aca="false">SUM(E177:BF177)</f>
        <v>0</v>
      </c>
    </row>
    <row r="178" customFormat="false" ht="15" hidden="false" customHeight="false" outlineLevel="0" collapsed="false">
      <c r="A178" s="9" t="s">
        <v>130</v>
      </c>
      <c r="B178" s="36" t="s">
        <v>131</v>
      </c>
      <c r="C178" s="15"/>
      <c r="D178" s="15"/>
      <c r="E178" s="11" t="n">
        <f aca="false">IF($A178="",0,SUMIFS(tblAuftraege[Einnahmen],tblAuftraege[Datum Einnahmen],"&gt;="&amp;E$5,tblAuftraege[Datum Einnahmen],"&lt;"&amp;EDATE(E$5,1),tblAuftraege[Kostenstelle],$A178))</f>
        <v>0</v>
      </c>
      <c r="F178" s="11" t="n">
        <f aca="false">IF($A178="",0,SUMIFS(tblAuftraege[Einnahmen],tblAuftraege[Datum Einnahmen],"&gt;="&amp;F$5,tblAuftraege[Datum Einnahmen],"&lt;"&amp;EDATE(F$5,1),tblAuftraege[Kostenstelle],$A178))</f>
        <v>0</v>
      </c>
      <c r="G178" s="11" t="n">
        <f aca="false">IF($A178="",0,SUMIFS(tblAuftraege[Einnahmen],tblAuftraege[Datum Einnahmen],"&gt;="&amp;G$5,tblAuftraege[Datum Einnahmen],"&lt;"&amp;EDATE(G$5,1),tblAuftraege[Kostenstelle],$A178))</f>
        <v>0</v>
      </c>
      <c r="H178" s="11" t="n">
        <f aca="false">IF($A178="",0,SUMIFS(tblAuftraege[Einnahmen],tblAuftraege[Datum Einnahmen],"&gt;="&amp;H$5,tblAuftraege[Datum Einnahmen],"&lt;"&amp;EDATE(H$5,1),tblAuftraege[Kostenstelle],$A178))</f>
        <v>0</v>
      </c>
      <c r="I178" s="11" t="n">
        <f aca="false">IF($A178="",0,SUMIFS(tblAuftraege[Einnahmen],tblAuftraege[Datum Einnahmen],"&gt;="&amp;I$5,tblAuftraege[Datum Einnahmen],"&lt;"&amp;EDATE(I$5,1),tblAuftraege[Kostenstelle],$A178))</f>
        <v>0</v>
      </c>
      <c r="J178" s="11" t="n">
        <f aca="false">IF($A178="",0,SUMIFS(tblAuftraege[Einnahmen],tblAuftraege[Datum Einnahmen],"&gt;="&amp;J$5,tblAuftraege[Datum Einnahmen],"&lt;"&amp;EDATE(J$5,1),tblAuftraege[Kostenstelle],$A178))</f>
        <v>0</v>
      </c>
      <c r="K178" s="11" t="n">
        <f aca="false">IF($A178="",0,SUMIFS(tblAuftraege[Einnahmen],tblAuftraege[Datum Einnahmen],"&gt;="&amp;K$5,tblAuftraege[Datum Einnahmen],"&lt;"&amp;EDATE(K$5,1),tblAuftraege[Kostenstelle],$A178))</f>
        <v>0</v>
      </c>
      <c r="L178" s="11" t="n">
        <f aca="false">IF($A178="",0,SUMIFS(tblAuftraege[Einnahmen],tblAuftraege[Datum Einnahmen],"&gt;="&amp;L$5,tblAuftraege[Datum Einnahmen],"&lt;"&amp;EDATE(L$5,1),tblAuftraege[Kostenstelle],$A178))</f>
        <v>0</v>
      </c>
      <c r="M178" s="11" t="n">
        <f aca="false">IF($A178="",0,SUMIFS(tblAuftraege[Einnahmen],tblAuftraege[Datum Einnahmen],"&gt;="&amp;M$5,tblAuftraege[Datum Einnahmen],"&lt;"&amp;EDATE(M$5,1),tblAuftraege[Kostenstelle],$A178))</f>
        <v>0</v>
      </c>
      <c r="N178" s="11" t="n">
        <f aca="false">IF($A178="",0,SUMIFS(tblAuftraege[Einnahmen],tblAuftraege[Datum Einnahmen],"&gt;="&amp;N$5,tblAuftraege[Datum Einnahmen],"&lt;"&amp;EDATE(N$5,1),tblAuftraege[Kostenstelle],$A178))</f>
        <v>0</v>
      </c>
      <c r="O178" s="11" t="n">
        <f aca="false">IF($A178="",0,SUMIFS(tblAuftraege[Einnahmen],tblAuftraege[Datum Einnahmen],"&gt;="&amp;O$5,tblAuftraege[Datum Einnahmen],"&lt;"&amp;EDATE(O$5,1),tblAuftraege[Kostenstelle],$A178))</f>
        <v>0</v>
      </c>
      <c r="P178" s="11" t="n">
        <f aca="false">IF($A178="",0,SUMIFS(tblAuftraege[Einnahmen],tblAuftraege[Datum Einnahmen],"&gt;="&amp;P$5,tblAuftraege[Datum Einnahmen],"&lt;"&amp;EDATE(P$5,1),tblAuftraege[Kostenstelle],$A178))</f>
        <v>0</v>
      </c>
      <c r="Q178" s="11" t="n">
        <f aca="false">IF($A178="",0,SUMIFS(tblAuftraege[Einnahmen],tblAuftraege[Datum Einnahmen],"&gt;="&amp;Q$5,tblAuftraege[Datum Einnahmen],"&lt;"&amp;EDATE(Q$5,1),tblAuftraege[Kostenstelle],$A178))</f>
        <v>0</v>
      </c>
      <c r="R178" s="11" t="n">
        <f aca="false">IF($A178="",0,SUMIFS(tblAuftraege[Einnahmen],tblAuftraege[Datum Einnahmen],"&gt;="&amp;R$5,tblAuftraege[Datum Einnahmen],"&lt;"&amp;EDATE(R$5,1),tblAuftraege[Kostenstelle],$A178))</f>
        <v>0</v>
      </c>
      <c r="S178" s="11" t="n">
        <f aca="false">IF($A178="",0,SUMIFS(tblAuftraege[Einnahmen],tblAuftraege[Datum Einnahmen],"&gt;="&amp;S$5,tblAuftraege[Datum Einnahmen],"&lt;"&amp;EDATE(S$5,1),tblAuftraege[Kostenstelle],$A178))</f>
        <v>0</v>
      </c>
      <c r="T178" s="11" t="n">
        <f aca="false">IF($A178="",0,SUMIFS(tblAuftraege[Einnahmen],tblAuftraege[Datum Einnahmen],"&gt;="&amp;T$5,tblAuftraege[Datum Einnahmen],"&lt;"&amp;EDATE(T$5,1),tblAuftraege[Kostenstelle],$A178))</f>
        <v>0</v>
      </c>
      <c r="U178" s="11" t="n">
        <f aca="false">IF($A178="",0,SUMIFS(tblAuftraege[Einnahmen],tblAuftraege[Datum Einnahmen],"&gt;="&amp;U$5,tblAuftraege[Datum Einnahmen],"&lt;"&amp;EDATE(U$5,1),tblAuftraege[Kostenstelle],$A178))</f>
        <v>0</v>
      </c>
      <c r="V178" s="11" t="n">
        <f aca="false">IF($A178="",0,SUMIFS(tblAuftraege[Einnahmen],tblAuftraege[Datum Einnahmen],"&gt;="&amp;V$5,tblAuftraege[Datum Einnahmen],"&lt;"&amp;EDATE(V$5,1),tblAuftraege[Kostenstelle],$A178))</f>
        <v>0</v>
      </c>
      <c r="W178" s="11" t="n">
        <f aca="false">IF($A178="",0,SUMIFS(tblAuftraege[Einnahmen],tblAuftraege[Datum Einnahmen],"&gt;="&amp;W$5,tblAuftraege[Datum Einnahmen],"&lt;"&amp;EDATE(W$5,1),tblAuftraege[Kostenstelle],$A178))</f>
        <v>0</v>
      </c>
      <c r="X178" s="11" t="n">
        <f aca="false">IF($A178="",0,SUMIFS(tblAuftraege[Einnahmen],tblAuftraege[Datum Einnahmen],"&gt;="&amp;X$5,tblAuftraege[Datum Einnahmen],"&lt;"&amp;EDATE(X$5,1),tblAuftraege[Kostenstelle],$A178))</f>
        <v>0</v>
      </c>
      <c r="Y178" s="11" t="n">
        <f aca="false">IF($A178="",0,SUMIFS(tblAuftraege[Einnahmen],tblAuftraege[Datum Einnahmen],"&gt;="&amp;Y$5,tblAuftraege[Datum Einnahmen],"&lt;"&amp;EDATE(Y$5,1),tblAuftraege[Kostenstelle],$A178))</f>
        <v>0</v>
      </c>
      <c r="Z178" s="11" t="n">
        <f aca="false">IF($A178="",0,SUMIFS(tblAuftraege[Einnahmen],tblAuftraege[Datum Einnahmen],"&gt;="&amp;Z$5,tblAuftraege[Datum Einnahmen],"&lt;"&amp;EDATE(Z$5,1),tblAuftraege[Kostenstelle],$A178))</f>
        <v>0</v>
      </c>
      <c r="AA178" s="11" t="n">
        <f aca="false">IF($A178="",0,SUMIFS(tblAuftraege[Einnahmen],tblAuftraege[Datum Einnahmen],"&gt;="&amp;AA$5,tblAuftraege[Datum Einnahmen],"&lt;"&amp;EDATE(AA$5,1),tblAuftraege[Kostenstelle],$A178))</f>
        <v>0</v>
      </c>
      <c r="AB178" s="11" t="n">
        <f aca="false">IF($A178="",0,SUMIFS(tblAuftraege[Einnahmen],tblAuftraege[Datum Einnahmen],"&gt;="&amp;AB$5,tblAuftraege[Datum Einnahmen],"&lt;"&amp;EDATE(AB$5,1),tblAuftraege[Kostenstelle],$A178))</f>
        <v>0</v>
      </c>
      <c r="AC178" s="11" t="n">
        <f aca="false">IF($A178="",0,SUMIFS(tblAuftraege[Einnahmen],tblAuftraege[Datum Einnahmen],"&gt;="&amp;AC$5,tblAuftraege[Datum Einnahmen],"&lt;"&amp;EDATE(AC$5,1),tblAuftraege[Kostenstelle],$A178))</f>
        <v>0</v>
      </c>
      <c r="AD178" s="11" t="n">
        <f aca="false">IF($A178="",0,SUMIFS(tblAuftraege[Einnahmen],tblAuftraege[Datum Einnahmen],"&gt;="&amp;AD$5,tblAuftraege[Datum Einnahmen],"&lt;"&amp;EDATE(AD$5,1),tblAuftraege[Kostenstelle],$A178))</f>
        <v>0</v>
      </c>
      <c r="AE178" s="11" t="n">
        <f aca="false">IF($A178="",0,SUMIFS(tblAuftraege[Einnahmen],tblAuftraege[Datum Einnahmen],"&gt;="&amp;AE$5,tblAuftraege[Datum Einnahmen],"&lt;"&amp;EDATE(AE$5,1),tblAuftraege[Kostenstelle],$A178))</f>
        <v>0</v>
      </c>
      <c r="AF178" s="11" t="n">
        <f aca="false">IF($A178="",0,SUMIFS(tblAuftraege[Einnahmen],tblAuftraege[Datum Einnahmen],"&gt;="&amp;AF$5,tblAuftraege[Datum Einnahmen],"&lt;"&amp;EDATE(AF$5,1),tblAuftraege[Kostenstelle],$A178))</f>
        <v>0</v>
      </c>
      <c r="AG178" s="11" t="n">
        <f aca="false">IF($A178="",0,SUMIFS(tblAuftraege[Einnahmen],tblAuftraege[Datum Einnahmen],"&gt;="&amp;AG$5,tblAuftraege[Datum Einnahmen],"&lt;"&amp;EDATE(AG$5,1),tblAuftraege[Kostenstelle],$A178))</f>
        <v>0</v>
      </c>
      <c r="AH178" s="11" t="n">
        <f aca="false">IF($A178="",0,SUMIFS(tblAuftraege[Einnahmen],tblAuftraege[Datum Einnahmen],"&gt;="&amp;AH$5,tblAuftraege[Datum Einnahmen],"&lt;"&amp;EDATE(AH$5,1),tblAuftraege[Kostenstelle],$A178))</f>
        <v>0</v>
      </c>
      <c r="AI178" s="11" t="n">
        <f aca="false">IF($A178="",0,SUMIFS(tblAuftraege[Einnahmen],tblAuftraege[Datum Einnahmen],"&gt;="&amp;AI$5,tblAuftraege[Datum Einnahmen],"&lt;"&amp;EDATE(AI$5,1),tblAuftraege[Kostenstelle],$A178))</f>
        <v>0</v>
      </c>
      <c r="AJ178" s="11" t="n">
        <f aca="false">IF($A178="",0,SUMIFS(tblAuftraege[Einnahmen],tblAuftraege[Datum Einnahmen],"&gt;="&amp;AJ$5,tblAuftraege[Datum Einnahmen],"&lt;"&amp;EDATE(AJ$5,1),tblAuftraege[Kostenstelle],$A178))</f>
        <v>0</v>
      </c>
      <c r="AK178" s="11" t="n">
        <f aca="false">IF($A178="",0,SUMIFS(tblAuftraege[Einnahmen],tblAuftraege[Datum Einnahmen],"&gt;="&amp;AK$5,tblAuftraege[Datum Einnahmen],"&lt;"&amp;EDATE(AK$5,1),tblAuftraege[Kostenstelle],$A178))</f>
        <v>0</v>
      </c>
      <c r="AL178" s="11" t="n">
        <f aca="false">IF($A178="",0,SUMIFS(tblAuftraege[Einnahmen],tblAuftraege[Datum Einnahmen],"&gt;="&amp;AL$5,tblAuftraege[Datum Einnahmen],"&lt;"&amp;EDATE(AL$5,1),tblAuftraege[Kostenstelle],$A178))</f>
        <v>0</v>
      </c>
      <c r="AM178" s="11" t="n">
        <f aca="false">IF($A178="",0,SUMIFS(tblAuftraege[Einnahmen],tblAuftraege[Datum Einnahmen],"&gt;="&amp;AM$5,tblAuftraege[Datum Einnahmen],"&lt;"&amp;EDATE(AM$5,1),tblAuftraege[Kostenstelle],$A178))</f>
        <v>0</v>
      </c>
      <c r="AN178" s="11" t="n">
        <f aca="false">IF($A178="",0,SUMIFS(tblAuftraege[Einnahmen],tblAuftraege[Datum Einnahmen],"&gt;="&amp;AN$5,tblAuftraege[Datum Einnahmen],"&lt;"&amp;EDATE(AN$5,1),tblAuftraege[Kostenstelle],$A178))</f>
        <v>0</v>
      </c>
      <c r="AO178" s="11" t="n">
        <f aca="false">IF($A178="",0,SUMIFS(tblAuftraege[Einnahmen],tblAuftraege[Datum Einnahmen],"&gt;="&amp;AO$5,tblAuftraege[Datum Einnahmen],"&lt;"&amp;EDATE(AO$5,1),tblAuftraege[Kostenstelle],$A178))</f>
        <v>0</v>
      </c>
      <c r="AP178" s="11" t="n">
        <f aca="false">IF($A178="",0,SUMIFS(tblAuftraege[Einnahmen],tblAuftraege[Datum Einnahmen],"&gt;="&amp;AP$5,tblAuftraege[Datum Einnahmen],"&lt;"&amp;EDATE(AP$5,1),tblAuftraege[Kostenstelle],$A178))</f>
        <v>0</v>
      </c>
      <c r="AQ178" s="11" t="n">
        <f aca="false">IF($A178="",0,SUMIFS(tblAuftraege[Einnahmen],tblAuftraege[Datum Einnahmen],"&gt;="&amp;AQ$5,tblAuftraege[Datum Einnahmen],"&lt;"&amp;EDATE(AQ$5,1),tblAuftraege[Kostenstelle],$A178))</f>
        <v>0</v>
      </c>
      <c r="AR178" s="11" t="n">
        <f aca="false">IF($A178="",0,SUMIFS(tblAuftraege[Einnahmen],tblAuftraege[Datum Einnahmen],"&gt;="&amp;AR$5,tblAuftraege[Datum Einnahmen],"&lt;"&amp;EDATE(AR$5,1),tblAuftraege[Kostenstelle],$A178))</f>
        <v>0</v>
      </c>
      <c r="AS178" s="11" t="n">
        <f aca="false">IF($A178="",0,SUMIFS(tblAuftraege[Einnahmen],tblAuftraege[Datum Einnahmen],"&gt;="&amp;AS$5,tblAuftraege[Datum Einnahmen],"&lt;"&amp;EDATE(AS$5,1),tblAuftraege[Kostenstelle],$A178))</f>
        <v>0</v>
      </c>
      <c r="AT178" s="11" t="n">
        <f aca="false">IF($A178="",0,SUMIFS(tblAuftraege[Einnahmen],tblAuftraege[Datum Einnahmen],"&gt;="&amp;AT$5,tblAuftraege[Datum Einnahmen],"&lt;"&amp;EDATE(AT$5,1),tblAuftraege[Kostenstelle],$A178))</f>
        <v>0</v>
      </c>
      <c r="AU178" s="11" t="n">
        <f aca="false">IF($A178="",0,SUMIFS(tblAuftraege[Einnahmen],tblAuftraege[Datum Einnahmen],"&gt;="&amp;AU$5,tblAuftraege[Datum Einnahmen],"&lt;"&amp;EDATE(AU$5,1),tblAuftraege[Kostenstelle],$A178))</f>
        <v>0</v>
      </c>
      <c r="AV178" s="11" t="n">
        <f aca="false">IF($A178="",0,SUMIFS(tblAuftraege[Einnahmen],tblAuftraege[Datum Einnahmen],"&gt;="&amp;AV$5,tblAuftraege[Datum Einnahmen],"&lt;"&amp;EDATE(AV$5,1),tblAuftraege[Kostenstelle],$A178))</f>
        <v>0</v>
      </c>
      <c r="AW178" s="11" t="n">
        <f aca="false">IF($A178="",0,SUMIFS(tblAuftraege[Einnahmen],tblAuftraege[Datum Einnahmen],"&gt;="&amp;AW$5,tblAuftraege[Datum Einnahmen],"&lt;"&amp;EDATE(AW$5,1),tblAuftraege[Kostenstelle],$A178))</f>
        <v>0</v>
      </c>
      <c r="AX178" s="11" t="n">
        <f aca="false">IF($A178="",0,SUMIFS(tblAuftraege[Einnahmen],tblAuftraege[Datum Einnahmen],"&gt;="&amp;AX$5,tblAuftraege[Datum Einnahmen],"&lt;"&amp;EDATE(AX$5,1),tblAuftraege[Kostenstelle],$A178))</f>
        <v>0</v>
      </c>
      <c r="AY178" s="11" t="n">
        <f aca="false">IF($A178="",0,SUMIFS(tblAuftraege[Einnahmen],tblAuftraege[Datum Einnahmen],"&gt;="&amp;AY$5,tblAuftraege[Datum Einnahmen],"&lt;"&amp;EDATE(AY$5,1),tblAuftraege[Kostenstelle],$A178))</f>
        <v>0</v>
      </c>
      <c r="AZ178" s="11" t="n">
        <f aca="false">IF($A178="",0,SUMIFS(tblAuftraege[Einnahmen],tblAuftraege[Datum Einnahmen],"&gt;="&amp;AZ$5,tblAuftraege[Datum Einnahmen],"&lt;"&amp;EDATE(AZ$5,1),tblAuftraege[Kostenstelle],$A178))</f>
        <v>0</v>
      </c>
      <c r="BA178" s="11" t="n">
        <f aca="false">IF($A178="",0,SUMIFS(tblAuftraege[Einnahmen],tblAuftraege[Datum Einnahmen],"&gt;="&amp;BA$5,tblAuftraege[Datum Einnahmen],"&lt;"&amp;EDATE(BA$5,1),tblAuftraege[Kostenstelle],$A178))</f>
        <v>0</v>
      </c>
      <c r="BB178" s="11" t="n">
        <f aca="false">IF($A178="",0,SUMIFS(tblAuftraege[Einnahmen],tblAuftraege[Datum Einnahmen],"&gt;="&amp;BB$5,tblAuftraege[Datum Einnahmen],"&lt;"&amp;EDATE(BB$5,1),tblAuftraege[Kostenstelle],$A178))</f>
        <v>0</v>
      </c>
      <c r="BC178" s="11" t="n">
        <f aca="false">IF($A178="",0,SUMIFS(tblAuftraege[Einnahmen],tblAuftraege[Datum Einnahmen],"&gt;="&amp;BC$5,tblAuftraege[Datum Einnahmen],"&lt;"&amp;EDATE(BC$5,1),tblAuftraege[Kostenstelle],$A178))</f>
        <v>0</v>
      </c>
      <c r="BD178" s="11" t="n">
        <f aca="false">IF($A178="",0,SUMIFS(tblAuftraege[Einnahmen],tblAuftraege[Datum Einnahmen],"&gt;="&amp;BD$5,tblAuftraege[Datum Einnahmen],"&lt;"&amp;EDATE(BD$5,1),tblAuftraege[Kostenstelle],$A178))</f>
        <v>0</v>
      </c>
      <c r="BE178" s="11" t="n">
        <f aca="false">IF($A178="",0,SUMIFS(tblAuftraege[Einnahmen],tblAuftraege[Datum Einnahmen],"&gt;="&amp;BE$5,tblAuftraege[Datum Einnahmen],"&lt;"&amp;EDATE(BE$5,1),tblAuftraege[Kostenstelle],$A178))</f>
        <v>0</v>
      </c>
      <c r="BF178" s="11" t="n">
        <f aca="false">IF($A178="",0,SUMIFS(tblAuftraege[Einnahmen],tblAuftraege[Datum Einnahmen],"&gt;="&amp;BF$5,tblAuftraege[Datum Einnahmen],"&lt;"&amp;EDATE(BF$5,1),tblAuftraege[Kostenstelle],$A178))</f>
        <v>0</v>
      </c>
      <c r="BG178" s="11" t="n">
        <f aca="false">SUM(E178:J178)</f>
        <v>0</v>
      </c>
      <c r="BH178" s="11" t="n">
        <f aca="false">SUM(K178:V178)</f>
        <v>0</v>
      </c>
      <c r="BI178" s="11" t="n">
        <f aca="false">SUM(W178:AH178)</f>
        <v>0</v>
      </c>
      <c r="BJ178" s="11" t="n">
        <f aca="false">SUM(AI178:AT178)</f>
        <v>0</v>
      </c>
      <c r="BK178" s="11" t="n">
        <f aca="false">SUM(AU178:BF178)</f>
        <v>0</v>
      </c>
      <c r="BL178" s="12" t="n">
        <f aca="false">SUM(E178:BF178)</f>
        <v>0</v>
      </c>
    </row>
    <row r="179" customFormat="false" ht="15" hidden="false" customHeight="false" outlineLevel="0" collapsed="false">
      <c r="A179" s="9" t="s">
        <v>132</v>
      </c>
      <c r="B179" s="36" t="s">
        <v>133</v>
      </c>
      <c r="C179" s="15"/>
      <c r="D179" s="15"/>
      <c r="E179" s="11" t="n">
        <f aca="false">IF($A179="",0,SUMIFS(tblAuftraege[Einnahmen],tblAuftraege[Datum Einnahmen],"&gt;="&amp;E$5,tblAuftraege[Datum Einnahmen],"&lt;"&amp;EDATE(E$5,1),tblAuftraege[Kostenstelle],$A179))</f>
        <v>0</v>
      </c>
      <c r="F179" s="11" t="n">
        <f aca="false">IF($A179="",0,SUMIFS(tblAuftraege[Einnahmen],tblAuftraege[Datum Einnahmen],"&gt;="&amp;F$5,tblAuftraege[Datum Einnahmen],"&lt;"&amp;EDATE(F$5,1),tblAuftraege[Kostenstelle],$A179))</f>
        <v>0</v>
      </c>
      <c r="G179" s="11" t="n">
        <f aca="false">IF($A179="",0,SUMIFS(tblAuftraege[Einnahmen],tblAuftraege[Datum Einnahmen],"&gt;="&amp;G$5,tblAuftraege[Datum Einnahmen],"&lt;"&amp;EDATE(G$5,1),tblAuftraege[Kostenstelle],$A179))</f>
        <v>0</v>
      </c>
      <c r="H179" s="11" t="n">
        <f aca="false">IF($A179="",0,SUMIFS(tblAuftraege[Einnahmen],tblAuftraege[Datum Einnahmen],"&gt;="&amp;H$5,tblAuftraege[Datum Einnahmen],"&lt;"&amp;EDATE(H$5,1),tblAuftraege[Kostenstelle],$A179))</f>
        <v>0</v>
      </c>
      <c r="I179" s="11" t="n">
        <f aca="false">IF($A179="",0,SUMIFS(tblAuftraege[Einnahmen],tblAuftraege[Datum Einnahmen],"&gt;="&amp;I$5,tblAuftraege[Datum Einnahmen],"&lt;"&amp;EDATE(I$5,1),tblAuftraege[Kostenstelle],$A179))</f>
        <v>0</v>
      </c>
      <c r="J179" s="11" t="n">
        <f aca="false">IF($A179="",0,SUMIFS(tblAuftraege[Einnahmen],tblAuftraege[Datum Einnahmen],"&gt;="&amp;J$5,tblAuftraege[Datum Einnahmen],"&lt;"&amp;EDATE(J$5,1),tblAuftraege[Kostenstelle],$A179))</f>
        <v>0</v>
      </c>
      <c r="K179" s="11" t="n">
        <f aca="false">IF($A179="",0,SUMIFS(tblAuftraege[Einnahmen],tblAuftraege[Datum Einnahmen],"&gt;="&amp;K$5,tblAuftraege[Datum Einnahmen],"&lt;"&amp;EDATE(K$5,1),tblAuftraege[Kostenstelle],$A179))</f>
        <v>0</v>
      </c>
      <c r="L179" s="11" t="n">
        <f aca="false">IF($A179="",0,SUMIFS(tblAuftraege[Einnahmen],tblAuftraege[Datum Einnahmen],"&gt;="&amp;L$5,tblAuftraege[Datum Einnahmen],"&lt;"&amp;EDATE(L$5,1),tblAuftraege[Kostenstelle],$A179))</f>
        <v>0</v>
      </c>
      <c r="M179" s="11" t="n">
        <f aca="false">IF($A179="",0,SUMIFS(tblAuftraege[Einnahmen],tblAuftraege[Datum Einnahmen],"&gt;="&amp;M$5,tblAuftraege[Datum Einnahmen],"&lt;"&amp;EDATE(M$5,1),tblAuftraege[Kostenstelle],$A179))</f>
        <v>0</v>
      </c>
      <c r="N179" s="11" t="n">
        <f aca="false">IF($A179="",0,SUMIFS(tblAuftraege[Einnahmen],tblAuftraege[Datum Einnahmen],"&gt;="&amp;N$5,tblAuftraege[Datum Einnahmen],"&lt;"&amp;EDATE(N$5,1),tblAuftraege[Kostenstelle],$A179))</f>
        <v>0</v>
      </c>
      <c r="O179" s="11" t="n">
        <f aca="false">IF($A179="",0,SUMIFS(tblAuftraege[Einnahmen],tblAuftraege[Datum Einnahmen],"&gt;="&amp;O$5,tblAuftraege[Datum Einnahmen],"&lt;"&amp;EDATE(O$5,1),tblAuftraege[Kostenstelle],$A179))</f>
        <v>0</v>
      </c>
      <c r="P179" s="11" t="n">
        <f aca="false">IF($A179="",0,SUMIFS(tblAuftraege[Einnahmen],tblAuftraege[Datum Einnahmen],"&gt;="&amp;P$5,tblAuftraege[Datum Einnahmen],"&lt;"&amp;EDATE(P$5,1),tblAuftraege[Kostenstelle],$A179))</f>
        <v>0</v>
      </c>
      <c r="Q179" s="11" t="n">
        <f aca="false">IF($A179="",0,SUMIFS(tblAuftraege[Einnahmen],tblAuftraege[Datum Einnahmen],"&gt;="&amp;Q$5,tblAuftraege[Datum Einnahmen],"&lt;"&amp;EDATE(Q$5,1),tblAuftraege[Kostenstelle],$A179))</f>
        <v>0</v>
      </c>
      <c r="R179" s="11" t="n">
        <f aca="false">IF($A179="",0,SUMIFS(tblAuftraege[Einnahmen],tblAuftraege[Datum Einnahmen],"&gt;="&amp;R$5,tblAuftraege[Datum Einnahmen],"&lt;"&amp;EDATE(R$5,1),tblAuftraege[Kostenstelle],$A179))</f>
        <v>0</v>
      </c>
      <c r="S179" s="11" t="n">
        <f aca="false">IF($A179="",0,SUMIFS(tblAuftraege[Einnahmen],tblAuftraege[Datum Einnahmen],"&gt;="&amp;S$5,tblAuftraege[Datum Einnahmen],"&lt;"&amp;EDATE(S$5,1),tblAuftraege[Kostenstelle],$A179))</f>
        <v>0</v>
      </c>
      <c r="T179" s="11" t="n">
        <f aca="false">IF($A179="",0,SUMIFS(tblAuftraege[Einnahmen],tblAuftraege[Datum Einnahmen],"&gt;="&amp;T$5,tblAuftraege[Datum Einnahmen],"&lt;"&amp;EDATE(T$5,1),tblAuftraege[Kostenstelle],$A179))</f>
        <v>0</v>
      </c>
      <c r="U179" s="11" t="n">
        <f aca="false">IF($A179="",0,SUMIFS(tblAuftraege[Einnahmen],tblAuftraege[Datum Einnahmen],"&gt;="&amp;U$5,tblAuftraege[Datum Einnahmen],"&lt;"&amp;EDATE(U$5,1),tblAuftraege[Kostenstelle],$A179))</f>
        <v>0</v>
      </c>
      <c r="V179" s="11" t="n">
        <f aca="false">IF($A179="",0,SUMIFS(tblAuftraege[Einnahmen],tblAuftraege[Datum Einnahmen],"&gt;="&amp;V$5,tblAuftraege[Datum Einnahmen],"&lt;"&amp;EDATE(V$5,1),tblAuftraege[Kostenstelle],$A179))</f>
        <v>0</v>
      </c>
      <c r="W179" s="11" t="n">
        <f aca="false">IF($A179="",0,SUMIFS(tblAuftraege[Einnahmen],tblAuftraege[Datum Einnahmen],"&gt;="&amp;W$5,tblAuftraege[Datum Einnahmen],"&lt;"&amp;EDATE(W$5,1),tblAuftraege[Kostenstelle],$A179))</f>
        <v>0</v>
      </c>
      <c r="X179" s="11" t="n">
        <f aca="false">IF($A179="",0,SUMIFS(tblAuftraege[Einnahmen],tblAuftraege[Datum Einnahmen],"&gt;="&amp;X$5,tblAuftraege[Datum Einnahmen],"&lt;"&amp;EDATE(X$5,1),tblAuftraege[Kostenstelle],$A179))</f>
        <v>0</v>
      </c>
      <c r="Y179" s="11" t="n">
        <f aca="false">IF($A179="",0,SUMIFS(tblAuftraege[Einnahmen],tblAuftraege[Datum Einnahmen],"&gt;="&amp;Y$5,tblAuftraege[Datum Einnahmen],"&lt;"&amp;EDATE(Y$5,1),tblAuftraege[Kostenstelle],$A179))</f>
        <v>0</v>
      </c>
      <c r="Z179" s="11" t="n">
        <f aca="false">IF($A179="",0,SUMIFS(tblAuftraege[Einnahmen],tblAuftraege[Datum Einnahmen],"&gt;="&amp;Z$5,tblAuftraege[Datum Einnahmen],"&lt;"&amp;EDATE(Z$5,1),tblAuftraege[Kostenstelle],$A179))</f>
        <v>0</v>
      </c>
      <c r="AA179" s="11" t="n">
        <f aca="false">IF($A179="",0,SUMIFS(tblAuftraege[Einnahmen],tblAuftraege[Datum Einnahmen],"&gt;="&amp;AA$5,tblAuftraege[Datum Einnahmen],"&lt;"&amp;EDATE(AA$5,1),tblAuftraege[Kostenstelle],$A179))</f>
        <v>0</v>
      </c>
      <c r="AB179" s="11" t="n">
        <f aca="false">IF($A179="",0,SUMIFS(tblAuftraege[Einnahmen],tblAuftraege[Datum Einnahmen],"&gt;="&amp;AB$5,tblAuftraege[Datum Einnahmen],"&lt;"&amp;EDATE(AB$5,1),tblAuftraege[Kostenstelle],$A179))</f>
        <v>0</v>
      </c>
      <c r="AC179" s="11" t="n">
        <f aca="false">IF($A179="",0,SUMIFS(tblAuftraege[Einnahmen],tblAuftraege[Datum Einnahmen],"&gt;="&amp;AC$5,tblAuftraege[Datum Einnahmen],"&lt;"&amp;EDATE(AC$5,1),tblAuftraege[Kostenstelle],$A179))</f>
        <v>0</v>
      </c>
      <c r="AD179" s="11" t="n">
        <f aca="false">IF($A179="",0,SUMIFS(tblAuftraege[Einnahmen],tblAuftraege[Datum Einnahmen],"&gt;="&amp;AD$5,tblAuftraege[Datum Einnahmen],"&lt;"&amp;EDATE(AD$5,1),tblAuftraege[Kostenstelle],$A179))</f>
        <v>0</v>
      </c>
      <c r="AE179" s="11" t="n">
        <f aca="false">IF($A179="",0,SUMIFS(tblAuftraege[Einnahmen],tblAuftraege[Datum Einnahmen],"&gt;="&amp;AE$5,tblAuftraege[Datum Einnahmen],"&lt;"&amp;EDATE(AE$5,1),tblAuftraege[Kostenstelle],$A179))</f>
        <v>0</v>
      </c>
      <c r="AF179" s="11" t="n">
        <f aca="false">IF($A179="",0,SUMIFS(tblAuftraege[Einnahmen],tblAuftraege[Datum Einnahmen],"&gt;="&amp;AF$5,tblAuftraege[Datum Einnahmen],"&lt;"&amp;EDATE(AF$5,1),tblAuftraege[Kostenstelle],$A179))</f>
        <v>0</v>
      </c>
      <c r="AG179" s="11" t="n">
        <f aca="false">IF($A179="",0,SUMIFS(tblAuftraege[Einnahmen],tblAuftraege[Datum Einnahmen],"&gt;="&amp;AG$5,tblAuftraege[Datum Einnahmen],"&lt;"&amp;EDATE(AG$5,1),tblAuftraege[Kostenstelle],$A179))</f>
        <v>0</v>
      </c>
      <c r="AH179" s="11" t="n">
        <f aca="false">IF($A179="",0,SUMIFS(tblAuftraege[Einnahmen],tblAuftraege[Datum Einnahmen],"&gt;="&amp;AH$5,tblAuftraege[Datum Einnahmen],"&lt;"&amp;EDATE(AH$5,1),tblAuftraege[Kostenstelle],$A179))</f>
        <v>0</v>
      </c>
      <c r="AI179" s="11" t="n">
        <f aca="false">IF($A179="",0,SUMIFS(tblAuftraege[Einnahmen],tblAuftraege[Datum Einnahmen],"&gt;="&amp;AI$5,tblAuftraege[Datum Einnahmen],"&lt;"&amp;EDATE(AI$5,1),tblAuftraege[Kostenstelle],$A179))</f>
        <v>0</v>
      </c>
      <c r="AJ179" s="11" t="n">
        <f aca="false">IF($A179="",0,SUMIFS(tblAuftraege[Einnahmen],tblAuftraege[Datum Einnahmen],"&gt;="&amp;AJ$5,tblAuftraege[Datum Einnahmen],"&lt;"&amp;EDATE(AJ$5,1),tblAuftraege[Kostenstelle],$A179))</f>
        <v>0</v>
      </c>
      <c r="AK179" s="11" t="n">
        <f aca="false">IF($A179="",0,SUMIFS(tblAuftraege[Einnahmen],tblAuftraege[Datum Einnahmen],"&gt;="&amp;AK$5,tblAuftraege[Datum Einnahmen],"&lt;"&amp;EDATE(AK$5,1),tblAuftraege[Kostenstelle],$A179))</f>
        <v>0</v>
      </c>
      <c r="AL179" s="11" t="n">
        <f aca="false">IF($A179="",0,SUMIFS(tblAuftraege[Einnahmen],tblAuftraege[Datum Einnahmen],"&gt;="&amp;AL$5,tblAuftraege[Datum Einnahmen],"&lt;"&amp;EDATE(AL$5,1),tblAuftraege[Kostenstelle],$A179))</f>
        <v>0</v>
      </c>
      <c r="AM179" s="11" t="n">
        <f aca="false">IF($A179="",0,SUMIFS(tblAuftraege[Einnahmen],tblAuftraege[Datum Einnahmen],"&gt;="&amp;AM$5,tblAuftraege[Datum Einnahmen],"&lt;"&amp;EDATE(AM$5,1),tblAuftraege[Kostenstelle],$A179))</f>
        <v>0</v>
      </c>
      <c r="AN179" s="11" t="n">
        <f aca="false">IF($A179="",0,SUMIFS(tblAuftraege[Einnahmen],tblAuftraege[Datum Einnahmen],"&gt;="&amp;AN$5,tblAuftraege[Datum Einnahmen],"&lt;"&amp;EDATE(AN$5,1),tblAuftraege[Kostenstelle],$A179))</f>
        <v>0</v>
      </c>
      <c r="AO179" s="11" t="n">
        <f aca="false">IF($A179="",0,SUMIFS(tblAuftraege[Einnahmen],tblAuftraege[Datum Einnahmen],"&gt;="&amp;AO$5,tblAuftraege[Datum Einnahmen],"&lt;"&amp;EDATE(AO$5,1),tblAuftraege[Kostenstelle],$A179))</f>
        <v>0</v>
      </c>
      <c r="AP179" s="11" t="n">
        <f aca="false">IF($A179="",0,SUMIFS(tblAuftraege[Einnahmen],tblAuftraege[Datum Einnahmen],"&gt;="&amp;AP$5,tblAuftraege[Datum Einnahmen],"&lt;"&amp;EDATE(AP$5,1),tblAuftraege[Kostenstelle],$A179))</f>
        <v>0</v>
      </c>
      <c r="AQ179" s="11" t="n">
        <f aca="false">IF($A179="",0,SUMIFS(tblAuftraege[Einnahmen],tblAuftraege[Datum Einnahmen],"&gt;="&amp;AQ$5,tblAuftraege[Datum Einnahmen],"&lt;"&amp;EDATE(AQ$5,1),tblAuftraege[Kostenstelle],$A179))</f>
        <v>0</v>
      </c>
      <c r="AR179" s="11" t="n">
        <f aca="false">IF($A179="",0,SUMIFS(tblAuftraege[Einnahmen],tblAuftraege[Datum Einnahmen],"&gt;="&amp;AR$5,tblAuftraege[Datum Einnahmen],"&lt;"&amp;EDATE(AR$5,1),tblAuftraege[Kostenstelle],$A179))</f>
        <v>0</v>
      </c>
      <c r="AS179" s="11" t="n">
        <f aca="false">IF($A179="",0,SUMIFS(tblAuftraege[Einnahmen],tblAuftraege[Datum Einnahmen],"&gt;="&amp;AS$5,tblAuftraege[Datum Einnahmen],"&lt;"&amp;EDATE(AS$5,1),tblAuftraege[Kostenstelle],$A179))</f>
        <v>0</v>
      </c>
      <c r="AT179" s="11" t="n">
        <f aca="false">IF($A179="",0,SUMIFS(tblAuftraege[Einnahmen],tblAuftraege[Datum Einnahmen],"&gt;="&amp;AT$5,tblAuftraege[Datum Einnahmen],"&lt;"&amp;EDATE(AT$5,1),tblAuftraege[Kostenstelle],$A179))</f>
        <v>0</v>
      </c>
      <c r="AU179" s="11" t="n">
        <f aca="false">IF($A179="",0,SUMIFS(tblAuftraege[Einnahmen],tblAuftraege[Datum Einnahmen],"&gt;="&amp;AU$5,tblAuftraege[Datum Einnahmen],"&lt;"&amp;EDATE(AU$5,1),tblAuftraege[Kostenstelle],$A179))</f>
        <v>0</v>
      </c>
      <c r="AV179" s="11" t="n">
        <f aca="false">IF($A179="",0,SUMIFS(tblAuftraege[Einnahmen],tblAuftraege[Datum Einnahmen],"&gt;="&amp;AV$5,tblAuftraege[Datum Einnahmen],"&lt;"&amp;EDATE(AV$5,1),tblAuftraege[Kostenstelle],$A179))</f>
        <v>0</v>
      </c>
      <c r="AW179" s="11" t="n">
        <f aca="false">IF($A179="",0,SUMIFS(tblAuftraege[Einnahmen],tblAuftraege[Datum Einnahmen],"&gt;="&amp;AW$5,tblAuftraege[Datum Einnahmen],"&lt;"&amp;EDATE(AW$5,1),tblAuftraege[Kostenstelle],$A179))</f>
        <v>0</v>
      </c>
      <c r="AX179" s="11" t="n">
        <f aca="false">IF($A179="",0,SUMIFS(tblAuftraege[Einnahmen],tblAuftraege[Datum Einnahmen],"&gt;="&amp;AX$5,tblAuftraege[Datum Einnahmen],"&lt;"&amp;EDATE(AX$5,1),tblAuftraege[Kostenstelle],$A179))</f>
        <v>0</v>
      </c>
      <c r="AY179" s="11" t="n">
        <f aca="false">IF($A179="",0,SUMIFS(tblAuftraege[Einnahmen],tblAuftraege[Datum Einnahmen],"&gt;="&amp;AY$5,tblAuftraege[Datum Einnahmen],"&lt;"&amp;EDATE(AY$5,1),tblAuftraege[Kostenstelle],$A179))</f>
        <v>0</v>
      </c>
      <c r="AZ179" s="11" t="n">
        <f aca="false">IF($A179="",0,SUMIFS(tblAuftraege[Einnahmen],tblAuftraege[Datum Einnahmen],"&gt;="&amp;AZ$5,tblAuftraege[Datum Einnahmen],"&lt;"&amp;EDATE(AZ$5,1),tblAuftraege[Kostenstelle],$A179))</f>
        <v>0</v>
      </c>
      <c r="BA179" s="11" t="n">
        <f aca="false">IF($A179="",0,SUMIFS(tblAuftraege[Einnahmen],tblAuftraege[Datum Einnahmen],"&gt;="&amp;BA$5,tblAuftraege[Datum Einnahmen],"&lt;"&amp;EDATE(BA$5,1),tblAuftraege[Kostenstelle],$A179))</f>
        <v>0</v>
      </c>
      <c r="BB179" s="11" t="n">
        <f aca="false">IF($A179="",0,SUMIFS(tblAuftraege[Einnahmen],tblAuftraege[Datum Einnahmen],"&gt;="&amp;BB$5,tblAuftraege[Datum Einnahmen],"&lt;"&amp;EDATE(BB$5,1),tblAuftraege[Kostenstelle],$A179))</f>
        <v>0</v>
      </c>
      <c r="BC179" s="11" t="n">
        <f aca="false">IF($A179="",0,SUMIFS(tblAuftraege[Einnahmen],tblAuftraege[Datum Einnahmen],"&gt;="&amp;BC$5,tblAuftraege[Datum Einnahmen],"&lt;"&amp;EDATE(BC$5,1),tblAuftraege[Kostenstelle],$A179))</f>
        <v>0</v>
      </c>
      <c r="BD179" s="11" t="n">
        <f aca="false">IF($A179="",0,SUMIFS(tblAuftraege[Einnahmen],tblAuftraege[Datum Einnahmen],"&gt;="&amp;BD$5,tblAuftraege[Datum Einnahmen],"&lt;"&amp;EDATE(BD$5,1),tblAuftraege[Kostenstelle],$A179))</f>
        <v>0</v>
      </c>
      <c r="BE179" s="11" t="n">
        <f aca="false">IF($A179="",0,SUMIFS(tblAuftraege[Einnahmen],tblAuftraege[Datum Einnahmen],"&gt;="&amp;BE$5,tblAuftraege[Datum Einnahmen],"&lt;"&amp;EDATE(BE$5,1),tblAuftraege[Kostenstelle],$A179))</f>
        <v>0</v>
      </c>
      <c r="BF179" s="11" t="n">
        <f aca="false">IF($A179="",0,SUMIFS(tblAuftraege[Einnahmen],tblAuftraege[Datum Einnahmen],"&gt;="&amp;BF$5,tblAuftraege[Datum Einnahmen],"&lt;"&amp;EDATE(BF$5,1),tblAuftraege[Kostenstelle],$A179))</f>
        <v>0</v>
      </c>
      <c r="BG179" s="11" t="n">
        <f aca="false">SUM(E179:J179)</f>
        <v>0</v>
      </c>
      <c r="BH179" s="11" t="n">
        <f aca="false">SUM(K179:V179)</f>
        <v>0</v>
      </c>
      <c r="BI179" s="11" t="n">
        <f aca="false">SUM(W179:AH179)</f>
        <v>0</v>
      </c>
      <c r="BJ179" s="11" t="n">
        <f aca="false">SUM(AI179:AT179)</f>
        <v>0</v>
      </c>
      <c r="BK179" s="11" t="n">
        <f aca="false">SUM(AU179:BF179)</f>
        <v>0</v>
      </c>
      <c r="BL179" s="12" t="n">
        <f aca="false">SUM(E179:BF179)</f>
        <v>0</v>
      </c>
    </row>
    <row r="180" customFormat="false" ht="15" hidden="false" customHeight="false" outlineLevel="0" collapsed="false">
      <c r="A180" s="9" t="s">
        <v>134</v>
      </c>
      <c r="B180" s="36" t="s">
        <v>135</v>
      </c>
      <c r="C180" s="15"/>
      <c r="D180" s="15"/>
      <c r="E180" s="11" t="n">
        <f aca="false">IF($A180="",0,SUMIFS(tblAuftraege[Einnahmen],tblAuftraege[Datum Einnahmen],"&gt;="&amp;E$5,tblAuftraege[Datum Einnahmen],"&lt;"&amp;EDATE(E$5,1),tblAuftraege[Kostenstelle],$A180))</f>
        <v>0</v>
      </c>
      <c r="F180" s="11" t="n">
        <f aca="false">IF($A180="",0,SUMIFS(tblAuftraege[Einnahmen],tblAuftraege[Datum Einnahmen],"&gt;="&amp;F$5,tblAuftraege[Datum Einnahmen],"&lt;"&amp;EDATE(F$5,1),tblAuftraege[Kostenstelle],$A180))</f>
        <v>0</v>
      </c>
      <c r="G180" s="11" t="n">
        <f aca="false">IF($A180="",0,SUMIFS(tblAuftraege[Einnahmen],tblAuftraege[Datum Einnahmen],"&gt;="&amp;G$5,tblAuftraege[Datum Einnahmen],"&lt;"&amp;EDATE(G$5,1),tblAuftraege[Kostenstelle],$A180))</f>
        <v>0</v>
      </c>
      <c r="H180" s="11" t="n">
        <f aca="false">IF($A180="",0,SUMIFS(tblAuftraege[Einnahmen],tblAuftraege[Datum Einnahmen],"&gt;="&amp;H$5,tblAuftraege[Datum Einnahmen],"&lt;"&amp;EDATE(H$5,1),tblAuftraege[Kostenstelle],$A180))</f>
        <v>0</v>
      </c>
      <c r="I180" s="11" t="n">
        <f aca="false">IF($A180="",0,SUMIFS(tblAuftraege[Einnahmen],tblAuftraege[Datum Einnahmen],"&gt;="&amp;I$5,tblAuftraege[Datum Einnahmen],"&lt;"&amp;EDATE(I$5,1),tblAuftraege[Kostenstelle],$A180))</f>
        <v>0</v>
      </c>
      <c r="J180" s="11" t="n">
        <f aca="false">IF($A180="",0,SUMIFS(tblAuftraege[Einnahmen],tblAuftraege[Datum Einnahmen],"&gt;="&amp;J$5,tblAuftraege[Datum Einnahmen],"&lt;"&amp;EDATE(J$5,1),tblAuftraege[Kostenstelle],$A180))</f>
        <v>0</v>
      </c>
      <c r="K180" s="11" t="n">
        <f aca="false">IF($A180="",0,SUMIFS(tblAuftraege[Einnahmen],tblAuftraege[Datum Einnahmen],"&gt;="&amp;K$5,tblAuftraege[Datum Einnahmen],"&lt;"&amp;EDATE(K$5,1),tblAuftraege[Kostenstelle],$A180))</f>
        <v>0</v>
      </c>
      <c r="L180" s="11" t="n">
        <f aca="false">IF($A180="",0,SUMIFS(tblAuftraege[Einnahmen],tblAuftraege[Datum Einnahmen],"&gt;="&amp;L$5,tblAuftraege[Datum Einnahmen],"&lt;"&amp;EDATE(L$5,1),tblAuftraege[Kostenstelle],$A180))</f>
        <v>0</v>
      </c>
      <c r="M180" s="11" t="n">
        <f aca="false">IF($A180="",0,SUMIFS(tblAuftraege[Einnahmen],tblAuftraege[Datum Einnahmen],"&gt;="&amp;M$5,tblAuftraege[Datum Einnahmen],"&lt;"&amp;EDATE(M$5,1),tblAuftraege[Kostenstelle],$A180))</f>
        <v>0</v>
      </c>
      <c r="N180" s="11" t="n">
        <f aca="false">IF($A180="",0,SUMIFS(tblAuftraege[Einnahmen],tblAuftraege[Datum Einnahmen],"&gt;="&amp;N$5,tblAuftraege[Datum Einnahmen],"&lt;"&amp;EDATE(N$5,1),tblAuftraege[Kostenstelle],$A180))</f>
        <v>0</v>
      </c>
      <c r="O180" s="11" t="n">
        <f aca="false">IF($A180="",0,SUMIFS(tblAuftraege[Einnahmen],tblAuftraege[Datum Einnahmen],"&gt;="&amp;O$5,tblAuftraege[Datum Einnahmen],"&lt;"&amp;EDATE(O$5,1),tblAuftraege[Kostenstelle],$A180))</f>
        <v>0</v>
      </c>
      <c r="P180" s="11" t="n">
        <f aca="false">IF($A180="",0,SUMIFS(tblAuftraege[Einnahmen],tblAuftraege[Datum Einnahmen],"&gt;="&amp;P$5,tblAuftraege[Datum Einnahmen],"&lt;"&amp;EDATE(P$5,1),tblAuftraege[Kostenstelle],$A180))</f>
        <v>0</v>
      </c>
      <c r="Q180" s="11" t="n">
        <f aca="false">IF($A180="",0,SUMIFS(tblAuftraege[Einnahmen],tblAuftraege[Datum Einnahmen],"&gt;="&amp;Q$5,tblAuftraege[Datum Einnahmen],"&lt;"&amp;EDATE(Q$5,1),tblAuftraege[Kostenstelle],$A180))</f>
        <v>0</v>
      </c>
      <c r="R180" s="11" t="n">
        <f aca="false">IF($A180="",0,SUMIFS(tblAuftraege[Einnahmen],tblAuftraege[Datum Einnahmen],"&gt;="&amp;R$5,tblAuftraege[Datum Einnahmen],"&lt;"&amp;EDATE(R$5,1),tblAuftraege[Kostenstelle],$A180))</f>
        <v>0</v>
      </c>
      <c r="S180" s="11" t="n">
        <f aca="false">IF($A180="",0,SUMIFS(tblAuftraege[Einnahmen],tblAuftraege[Datum Einnahmen],"&gt;="&amp;S$5,tblAuftraege[Datum Einnahmen],"&lt;"&amp;EDATE(S$5,1),tblAuftraege[Kostenstelle],$A180))</f>
        <v>0</v>
      </c>
      <c r="T180" s="11" t="n">
        <f aca="false">IF($A180="",0,SUMIFS(tblAuftraege[Einnahmen],tblAuftraege[Datum Einnahmen],"&gt;="&amp;T$5,tblAuftraege[Datum Einnahmen],"&lt;"&amp;EDATE(T$5,1),tblAuftraege[Kostenstelle],$A180))</f>
        <v>0</v>
      </c>
      <c r="U180" s="11" t="n">
        <f aca="false">IF($A180="",0,SUMIFS(tblAuftraege[Einnahmen],tblAuftraege[Datum Einnahmen],"&gt;="&amp;U$5,tblAuftraege[Datum Einnahmen],"&lt;"&amp;EDATE(U$5,1),tblAuftraege[Kostenstelle],$A180))</f>
        <v>0</v>
      </c>
      <c r="V180" s="11" t="n">
        <f aca="false">IF($A180="",0,SUMIFS(tblAuftraege[Einnahmen],tblAuftraege[Datum Einnahmen],"&gt;="&amp;V$5,tblAuftraege[Datum Einnahmen],"&lt;"&amp;EDATE(V$5,1),tblAuftraege[Kostenstelle],$A180))</f>
        <v>0</v>
      </c>
      <c r="W180" s="11" t="n">
        <f aca="false">IF($A180="",0,SUMIFS(tblAuftraege[Einnahmen],tblAuftraege[Datum Einnahmen],"&gt;="&amp;W$5,tblAuftraege[Datum Einnahmen],"&lt;"&amp;EDATE(W$5,1),tblAuftraege[Kostenstelle],$A180))</f>
        <v>0</v>
      </c>
      <c r="X180" s="11" t="n">
        <f aca="false">IF($A180="",0,SUMIFS(tblAuftraege[Einnahmen],tblAuftraege[Datum Einnahmen],"&gt;="&amp;X$5,tblAuftraege[Datum Einnahmen],"&lt;"&amp;EDATE(X$5,1),tblAuftraege[Kostenstelle],$A180))</f>
        <v>0</v>
      </c>
      <c r="Y180" s="11" t="n">
        <f aca="false">IF($A180="",0,SUMIFS(tblAuftraege[Einnahmen],tblAuftraege[Datum Einnahmen],"&gt;="&amp;Y$5,tblAuftraege[Datum Einnahmen],"&lt;"&amp;EDATE(Y$5,1),tblAuftraege[Kostenstelle],$A180))</f>
        <v>0</v>
      </c>
      <c r="Z180" s="11" t="n">
        <f aca="false">IF($A180="",0,SUMIFS(tblAuftraege[Einnahmen],tblAuftraege[Datum Einnahmen],"&gt;="&amp;Z$5,tblAuftraege[Datum Einnahmen],"&lt;"&amp;EDATE(Z$5,1),tblAuftraege[Kostenstelle],$A180))</f>
        <v>0</v>
      </c>
      <c r="AA180" s="11" t="n">
        <f aca="false">IF($A180="",0,SUMIFS(tblAuftraege[Einnahmen],tblAuftraege[Datum Einnahmen],"&gt;="&amp;AA$5,tblAuftraege[Datum Einnahmen],"&lt;"&amp;EDATE(AA$5,1),tblAuftraege[Kostenstelle],$A180))</f>
        <v>0</v>
      </c>
      <c r="AB180" s="11" t="n">
        <f aca="false">IF($A180="",0,SUMIFS(tblAuftraege[Einnahmen],tblAuftraege[Datum Einnahmen],"&gt;="&amp;AB$5,tblAuftraege[Datum Einnahmen],"&lt;"&amp;EDATE(AB$5,1),tblAuftraege[Kostenstelle],$A180))</f>
        <v>0</v>
      </c>
      <c r="AC180" s="11" t="n">
        <f aca="false">IF($A180="",0,SUMIFS(tblAuftraege[Einnahmen],tblAuftraege[Datum Einnahmen],"&gt;="&amp;AC$5,tblAuftraege[Datum Einnahmen],"&lt;"&amp;EDATE(AC$5,1),tblAuftraege[Kostenstelle],$A180))</f>
        <v>0</v>
      </c>
      <c r="AD180" s="11" t="n">
        <f aca="false">IF($A180="",0,SUMIFS(tblAuftraege[Einnahmen],tblAuftraege[Datum Einnahmen],"&gt;="&amp;AD$5,tblAuftraege[Datum Einnahmen],"&lt;"&amp;EDATE(AD$5,1),tblAuftraege[Kostenstelle],$A180))</f>
        <v>0</v>
      </c>
      <c r="AE180" s="11" t="n">
        <f aca="false">IF($A180="",0,SUMIFS(tblAuftraege[Einnahmen],tblAuftraege[Datum Einnahmen],"&gt;="&amp;AE$5,tblAuftraege[Datum Einnahmen],"&lt;"&amp;EDATE(AE$5,1),tblAuftraege[Kostenstelle],$A180))</f>
        <v>0</v>
      </c>
      <c r="AF180" s="11" t="n">
        <f aca="false">IF($A180="",0,SUMIFS(tblAuftraege[Einnahmen],tblAuftraege[Datum Einnahmen],"&gt;="&amp;AF$5,tblAuftraege[Datum Einnahmen],"&lt;"&amp;EDATE(AF$5,1),tblAuftraege[Kostenstelle],$A180))</f>
        <v>0</v>
      </c>
      <c r="AG180" s="11" t="n">
        <f aca="false">IF($A180="",0,SUMIFS(tblAuftraege[Einnahmen],tblAuftraege[Datum Einnahmen],"&gt;="&amp;AG$5,tblAuftraege[Datum Einnahmen],"&lt;"&amp;EDATE(AG$5,1),tblAuftraege[Kostenstelle],$A180))</f>
        <v>0</v>
      </c>
      <c r="AH180" s="11" t="n">
        <f aca="false">IF($A180="",0,SUMIFS(tblAuftraege[Einnahmen],tblAuftraege[Datum Einnahmen],"&gt;="&amp;AH$5,tblAuftraege[Datum Einnahmen],"&lt;"&amp;EDATE(AH$5,1),tblAuftraege[Kostenstelle],$A180))</f>
        <v>0</v>
      </c>
      <c r="AI180" s="11" t="n">
        <f aca="false">IF($A180="",0,SUMIFS(tblAuftraege[Einnahmen],tblAuftraege[Datum Einnahmen],"&gt;="&amp;AI$5,tblAuftraege[Datum Einnahmen],"&lt;"&amp;EDATE(AI$5,1),tblAuftraege[Kostenstelle],$A180))</f>
        <v>0</v>
      </c>
      <c r="AJ180" s="11" t="n">
        <f aca="false">IF($A180="",0,SUMIFS(tblAuftraege[Einnahmen],tblAuftraege[Datum Einnahmen],"&gt;="&amp;AJ$5,tblAuftraege[Datum Einnahmen],"&lt;"&amp;EDATE(AJ$5,1),tblAuftraege[Kostenstelle],$A180))</f>
        <v>0</v>
      </c>
      <c r="AK180" s="11" t="n">
        <f aca="false">IF($A180="",0,SUMIFS(tblAuftraege[Einnahmen],tblAuftraege[Datum Einnahmen],"&gt;="&amp;AK$5,tblAuftraege[Datum Einnahmen],"&lt;"&amp;EDATE(AK$5,1),tblAuftraege[Kostenstelle],$A180))</f>
        <v>0</v>
      </c>
      <c r="AL180" s="11" t="n">
        <f aca="false">IF($A180="",0,SUMIFS(tblAuftraege[Einnahmen],tblAuftraege[Datum Einnahmen],"&gt;="&amp;AL$5,tblAuftraege[Datum Einnahmen],"&lt;"&amp;EDATE(AL$5,1),tblAuftraege[Kostenstelle],$A180))</f>
        <v>0</v>
      </c>
      <c r="AM180" s="11" t="n">
        <f aca="false">IF($A180="",0,SUMIFS(tblAuftraege[Einnahmen],tblAuftraege[Datum Einnahmen],"&gt;="&amp;AM$5,tblAuftraege[Datum Einnahmen],"&lt;"&amp;EDATE(AM$5,1),tblAuftraege[Kostenstelle],$A180))</f>
        <v>0</v>
      </c>
      <c r="AN180" s="11" t="n">
        <f aca="false">IF($A180="",0,SUMIFS(tblAuftraege[Einnahmen],tblAuftraege[Datum Einnahmen],"&gt;="&amp;AN$5,tblAuftraege[Datum Einnahmen],"&lt;"&amp;EDATE(AN$5,1),tblAuftraege[Kostenstelle],$A180))</f>
        <v>0</v>
      </c>
      <c r="AO180" s="11" t="n">
        <f aca="false">IF($A180="",0,SUMIFS(tblAuftraege[Einnahmen],tblAuftraege[Datum Einnahmen],"&gt;="&amp;AO$5,tblAuftraege[Datum Einnahmen],"&lt;"&amp;EDATE(AO$5,1),tblAuftraege[Kostenstelle],$A180))</f>
        <v>0</v>
      </c>
      <c r="AP180" s="11" t="n">
        <f aca="false">IF($A180="",0,SUMIFS(tblAuftraege[Einnahmen],tblAuftraege[Datum Einnahmen],"&gt;="&amp;AP$5,tblAuftraege[Datum Einnahmen],"&lt;"&amp;EDATE(AP$5,1),tblAuftraege[Kostenstelle],$A180))</f>
        <v>0</v>
      </c>
      <c r="AQ180" s="11" t="n">
        <f aca="false">IF($A180="",0,SUMIFS(tblAuftraege[Einnahmen],tblAuftraege[Datum Einnahmen],"&gt;="&amp;AQ$5,tblAuftraege[Datum Einnahmen],"&lt;"&amp;EDATE(AQ$5,1),tblAuftraege[Kostenstelle],$A180))</f>
        <v>0</v>
      </c>
      <c r="AR180" s="11" t="n">
        <f aca="false">IF($A180="",0,SUMIFS(tblAuftraege[Einnahmen],tblAuftraege[Datum Einnahmen],"&gt;="&amp;AR$5,tblAuftraege[Datum Einnahmen],"&lt;"&amp;EDATE(AR$5,1),tblAuftraege[Kostenstelle],$A180))</f>
        <v>0</v>
      </c>
      <c r="AS180" s="11" t="n">
        <f aca="false">IF($A180="",0,SUMIFS(tblAuftraege[Einnahmen],tblAuftraege[Datum Einnahmen],"&gt;="&amp;AS$5,tblAuftraege[Datum Einnahmen],"&lt;"&amp;EDATE(AS$5,1),tblAuftraege[Kostenstelle],$A180))</f>
        <v>0</v>
      </c>
      <c r="AT180" s="11" t="n">
        <f aca="false">IF($A180="",0,SUMIFS(tblAuftraege[Einnahmen],tblAuftraege[Datum Einnahmen],"&gt;="&amp;AT$5,tblAuftraege[Datum Einnahmen],"&lt;"&amp;EDATE(AT$5,1),tblAuftraege[Kostenstelle],$A180))</f>
        <v>0</v>
      </c>
      <c r="AU180" s="11" t="n">
        <f aca="false">IF($A180="",0,SUMIFS(tblAuftraege[Einnahmen],tblAuftraege[Datum Einnahmen],"&gt;="&amp;AU$5,tblAuftraege[Datum Einnahmen],"&lt;"&amp;EDATE(AU$5,1),tblAuftraege[Kostenstelle],$A180))</f>
        <v>0</v>
      </c>
      <c r="AV180" s="11" t="n">
        <f aca="false">IF($A180="",0,SUMIFS(tblAuftraege[Einnahmen],tblAuftraege[Datum Einnahmen],"&gt;="&amp;AV$5,tblAuftraege[Datum Einnahmen],"&lt;"&amp;EDATE(AV$5,1),tblAuftraege[Kostenstelle],$A180))</f>
        <v>0</v>
      </c>
      <c r="AW180" s="11" t="n">
        <f aca="false">IF($A180="",0,SUMIFS(tblAuftraege[Einnahmen],tblAuftraege[Datum Einnahmen],"&gt;="&amp;AW$5,tblAuftraege[Datum Einnahmen],"&lt;"&amp;EDATE(AW$5,1),tblAuftraege[Kostenstelle],$A180))</f>
        <v>0</v>
      </c>
      <c r="AX180" s="11" t="n">
        <f aca="false">IF($A180="",0,SUMIFS(tblAuftraege[Einnahmen],tblAuftraege[Datum Einnahmen],"&gt;="&amp;AX$5,tblAuftraege[Datum Einnahmen],"&lt;"&amp;EDATE(AX$5,1),tblAuftraege[Kostenstelle],$A180))</f>
        <v>0</v>
      </c>
      <c r="AY180" s="11" t="n">
        <f aca="false">IF($A180="",0,SUMIFS(tblAuftraege[Einnahmen],tblAuftraege[Datum Einnahmen],"&gt;="&amp;AY$5,tblAuftraege[Datum Einnahmen],"&lt;"&amp;EDATE(AY$5,1),tblAuftraege[Kostenstelle],$A180))</f>
        <v>0</v>
      </c>
      <c r="AZ180" s="11" t="n">
        <f aca="false">IF($A180="",0,SUMIFS(tblAuftraege[Einnahmen],tblAuftraege[Datum Einnahmen],"&gt;="&amp;AZ$5,tblAuftraege[Datum Einnahmen],"&lt;"&amp;EDATE(AZ$5,1),tblAuftraege[Kostenstelle],$A180))</f>
        <v>0</v>
      </c>
      <c r="BA180" s="11" t="n">
        <f aca="false">IF($A180="",0,SUMIFS(tblAuftraege[Einnahmen],tblAuftraege[Datum Einnahmen],"&gt;="&amp;BA$5,tblAuftraege[Datum Einnahmen],"&lt;"&amp;EDATE(BA$5,1),tblAuftraege[Kostenstelle],$A180))</f>
        <v>0</v>
      </c>
      <c r="BB180" s="11" t="n">
        <f aca="false">IF($A180="",0,SUMIFS(tblAuftraege[Einnahmen],tblAuftraege[Datum Einnahmen],"&gt;="&amp;BB$5,tblAuftraege[Datum Einnahmen],"&lt;"&amp;EDATE(BB$5,1),tblAuftraege[Kostenstelle],$A180))</f>
        <v>0</v>
      </c>
      <c r="BC180" s="11" t="n">
        <f aca="false">IF($A180="",0,SUMIFS(tblAuftraege[Einnahmen],tblAuftraege[Datum Einnahmen],"&gt;="&amp;BC$5,tblAuftraege[Datum Einnahmen],"&lt;"&amp;EDATE(BC$5,1),tblAuftraege[Kostenstelle],$A180))</f>
        <v>0</v>
      </c>
      <c r="BD180" s="11" t="n">
        <f aca="false">IF($A180="",0,SUMIFS(tblAuftraege[Einnahmen],tblAuftraege[Datum Einnahmen],"&gt;="&amp;BD$5,tblAuftraege[Datum Einnahmen],"&lt;"&amp;EDATE(BD$5,1),tblAuftraege[Kostenstelle],$A180))</f>
        <v>0</v>
      </c>
      <c r="BE180" s="11" t="n">
        <f aca="false">IF($A180="",0,SUMIFS(tblAuftraege[Einnahmen],tblAuftraege[Datum Einnahmen],"&gt;="&amp;BE$5,tblAuftraege[Datum Einnahmen],"&lt;"&amp;EDATE(BE$5,1),tblAuftraege[Kostenstelle],$A180))</f>
        <v>0</v>
      </c>
      <c r="BF180" s="11" t="n">
        <f aca="false">IF($A180="",0,SUMIFS(tblAuftraege[Einnahmen],tblAuftraege[Datum Einnahmen],"&gt;="&amp;BF$5,tblAuftraege[Datum Einnahmen],"&lt;"&amp;EDATE(BF$5,1),tblAuftraege[Kostenstelle],$A180))</f>
        <v>0</v>
      </c>
      <c r="BG180" s="11" t="n">
        <f aca="false">SUM(E180:J180)</f>
        <v>0</v>
      </c>
      <c r="BH180" s="11" t="n">
        <f aca="false">SUM(K180:V180)</f>
        <v>0</v>
      </c>
      <c r="BI180" s="11" t="n">
        <f aca="false">SUM(W180:AH180)</f>
        <v>0</v>
      </c>
      <c r="BJ180" s="11" t="n">
        <f aca="false">SUM(AI180:AT180)</f>
        <v>0</v>
      </c>
      <c r="BK180" s="11" t="n">
        <f aca="false">SUM(AU180:BF180)</f>
        <v>0</v>
      </c>
      <c r="BL180" s="12" t="n">
        <f aca="false">SUM(E180:BF180)</f>
        <v>0</v>
      </c>
    </row>
    <row r="181" customFormat="false" ht="15" hidden="false" customHeight="false" outlineLevel="0" collapsed="false">
      <c r="A181" s="9"/>
      <c r="B181" s="15"/>
      <c r="C181" s="15"/>
      <c r="D181" s="15"/>
      <c r="E181" s="11" t="n">
        <f aca="false">IF($A181="",0,SUMIFS(tblAuftraege[Einnahmen],tblAuftraege[Datum Einnahmen],"&gt;="&amp;E$5,tblAuftraege[Datum Einnahmen],"&lt;"&amp;EDATE(E$5,1),tblAuftraege[Kostenstelle],$A181))</f>
        <v>0</v>
      </c>
      <c r="F181" s="11" t="n">
        <f aca="false">IF($A181="",0,SUMIFS(tblAuftraege[Einnahmen],tblAuftraege[Datum Einnahmen],"&gt;="&amp;F$5,tblAuftraege[Datum Einnahmen],"&lt;"&amp;EDATE(F$5,1),tblAuftraege[Kostenstelle],$A181))</f>
        <v>0</v>
      </c>
      <c r="G181" s="11" t="n">
        <f aca="false">IF($A181="",0,SUMIFS(tblAuftraege[Einnahmen],tblAuftraege[Datum Einnahmen],"&gt;="&amp;G$5,tblAuftraege[Datum Einnahmen],"&lt;"&amp;EDATE(G$5,1),tblAuftraege[Kostenstelle],$A181))</f>
        <v>0</v>
      </c>
      <c r="H181" s="11" t="n">
        <f aca="false">IF($A181="",0,SUMIFS(tblAuftraege[Einnahmen],tblAuftraege[Datum Einnahmen],"&gt;="&amp;H$5,tblAuftraege[Datum Einnahmen],"&lt;"&amp;EDATE(H$5,1),tblAuftraege[Kostenstelle],$A181))</f>
        <v>0</v>
      </c>
      <c r="I181" s="11" t="n">
        <f aca="false">IF($A181="",0,SUMIFS(tblAuftraege[Einnahmen],tblAuftraege[Datum Einnahmen],"&gt;="&amp;I$5,tblAuftraege[Datum Einnahmen],"&lt;"&amp;EDATE(I$5,1),tblAuftraege[Kostenstelle],$A181))</f>
        <v>0</v>
      </c>
      <c r="J181" s="11" t="n">
        <f aca="false">IF($A181="",0,SUMIFS(tblAuftraege[Einnahmen],tblAuftraege[Datum Einnahmen],"&gt;="&amp;J$5,tblAuftraege[Datum Einnahmen],"&lt;"&amp;EDATE(J$5,1),tblAuftraege[Kostenstelle],$A181))</f>
        <v>0</v>
      </c>
      <c r="K181" s="11" t="n">
        <f aca="false">IF($A181="",0,SUMIFS(tblAuftraege[Einnahmen],tblAuftraege[Datum Einnahmen],"&gt;="&amp;K$5,tblAuftraege[Datum Einnahmen],"&lt;"&amp;EDATE(K$5,1),tblAuftraege[Kostenstelle],$A181))</f>
        <v>0</v>
      </c>
      <c r="L181" s="11" t="n">
        <f aca="false">IF($A181="",0,SUMIFS(tblAuftraege[Einnahmen],tblAuftraege[Datum Einnahmen],"&gt;="&amp;L$5,tblAuftraege[Datum Einnahmen],"&lt;"&amp;EDATE(L$5,1),tblAuftraege[Kostenstelle],$A181))</f>
        <v>0</v>
      </c>
      <c r="M181" s="11" t="n">
        <f aca="false">IF($A181="",0,SUMIFS(tblAuftraege[Einnahmen],tblAuftraege[Datum Einnahmen],"&gt;="&amp;M$5,tblAuftraege[Datum Einnahmen],"&lt;"&amp;EDATE(M$5,1),tblAuftraege[Kostenstelle],$A181))</f>
        <v>0</v>
      </c>
      <c r="N181" s="11" t="n">
        <f aca="false">IF($A181="",0,SUMIFS(tblAuftraege[Einnahmen],tblAuftraege[Datum Einnahmen],"&gt;="&amp;N$5,tblAuftraege[Datum Einnahmen],"&lt;"&amp;EDATE(N$5,1),tblAuftraege[Kostenstelle],$A181))</f>
        <v>0</v>
      </c>
      <c r="O181" s="11" t="n">
        <f aca="false">IF($A181="",0,SUMIFS(tblAuftraege[Einnahmen],tblAuftraege[Datum Einnahmen],"&gt;="&amp;O$5,tblAuftraege[Datum Einnahmen],"&lt;"&amp;EDATE(O$5,1),tblAuftraege[Kostenstelle],$A181))</f>
        <v>0</v>
      </c>
      <c r="P181" s="11" t="n">
        <f aca="false">IF($A181="",0,SUMIFS(tblAuftraege[Einnahmen],tblAuftraege[Datum Einnahmen],"&gt;="&amp;P$5,tblAuftraege[Datum Einnahmen],"&lt;"&amp;EDATE(P$5,1),tblAuftraege[Kostenstelle],$A181))</f>
        <v>0</v>
      </c>
      <c r="Q181" s="11" t="n">
        <f aca="false">IF($A181="",0,SUMIFS(tblAuftraege[Einnahmen],tblAuftraege[Datum Einnahmen],"&gt;="&amp;Q$5,tblAuftraege[Datum Einnahmen],"&lt;"&amp;EDATE(Q$5,1),tblAuftraege[Kostenstelle],$A181))</f>
        <v>0</v>
      </c>
      <c r="R181" s="11" t="n">
        <f aca="false">IF($A181="",0,SUMIFS(tblAuftraege[Einnahmen],tblAuftraege[Datum Einnahmen],"&gt;="&amp;R$5,tblAuftraege[Datum Einnahmen],"&lt;"&amp;EDATE(R$5,1),tblAuftraege[Kostenstelle],$A181))</f>
        <v>0</v>
      </c>
      <c r="S181" s="11" t="n">
        <f aca="false">IF($A181="",0,SUMIFS(tblAuftraege[Einnahmen],tblAuftraege[Datum Einnahmen],"&gt;="&amp;S$5,tblAuftraege[Datum Einnahmen],"&lt;"&amp;EDATE(S$5,1),tblAuftraege[Kostenstelle],$A181))</f>
        <v>0</v>
      </c>
      <c r="T181" s="11" t="n">
        <f aca="false">IF($A181="",0,SUMIFS(tblAuftraege[Einnahmen],tblAuftraege[Datum Einnahmen],"&gt;="&amp;T$5,tblAuftraege[Datum Einnahmen],"&lt;"&amp;EDATE(T$5,1),tblAuftraege[Kostenstelle],$A181))</f>
        <v>0</v>
      </c>
      <c r="U181" s="11" t="n">
        <f aca="false">IF($A181="",0,SUMIFS(tblAuftraege[Einnahmen],tblAuftraege[Datum Einnahmen],"&gt;="&amp;U$5,tblAuftraege[Datum Einnahmen],"&lt;"&amp;EDATE(U$5,1),tblAuftraege[Kostenstelle],$A181))</f>
        <v>0</v>
      </c>
      <c r="V181" s="11" t="n">
        <f aca="false">IF($A181="",0,SUMIFS(tblAuftraege[Einnahmen],tblAuftraege[Datum Einnahmen],"&gt;="&amp;V$5,tblAuftraege[Datum Einnahmen],"&lt;"&amp;EDATE(V$5,1),tblAuftraege[Kostenstelle],$A181))</f>
        <v>0</v>
      </c>
      <c r="W181" s="11" t="n">
        <f aca="false">IF($A181="",0,SUMIFS(tblAuftraege[Einnahmen],tblAuftraege[Datum Einnahmen],"&gt;="&amp;W$5,tblAuftraege[Datum Einnahmen],"&lt;"&amp;EDATE(W$5,1),tblAuftraege[Kostenstelle],$A181))</f>
        <v>0</v>
      </c>
      <c r="X181" s="11" t="n">
        <f aca="false">IF($A181="",0,SUMIFS(tblAuftraege[Einnahmen],tblAuftraege[Datum Einnahmen],"&gt;="&amp;X$5,tblAuftraege[Datum Einnahmen],"&lt;"&amp;EDATE(X$5,1),tblAuftraege[Kostenstelle],$A181))</f>
        <v>0</v>
      </c>
      <c r="Y181" s="11" t="n">
        <f aca="false">IF($A181="",0,SUMIFS(tblAuftraege[Einnahmen],tblAuftraege[Datum Einnahmen],"&gt;="&amp;Y$5,tblAuftraege[Datum Einnahmen],"&lt;"&amp;EDATE(Y$5,1),tblAuftraege[Kostenstelle],$A181))</f>
        <v>0</v>
      </c>
      <c r="Z181" s="11" t="n">
        <f aca="false">IF($A181="",0,SUMIFS(tblAuftraege[Einnahmen],tblAuftraege[Datum Einnahmen],"&gt;="&amp;Z$5,tblAuftraege[Datum Einnahmen],"&lt;"&amp;EDATE(Z$5,1),tblAuftraege[Kostenstelle],$A181))</f>
        <v>0</v>
      </c>
      <c r="AA181" s="11" t="n">
        <f aca="false">IF($A181="",0,SUMIFS(tblAuftraege[Einnahmen],tblAuftraege[Datum Einnahmen],"&gt;="&amp;AA$5,tblAuftraege[Datum Einnahmen],"&lt;"&amp;EDATE(AA$5,1),tblAuftraege[Kostenstelle],$A181))</f>
        <v>0</v>
      </c>
      <c r="AB181" s="11" t="n">
        <f aca="false">IF($A181="",0,SUMIFS(tblAuftraege[Einnahmen],tblAuftraege[Datum Einnahmen],"&gt;="&amp;AB$5,tblAuftraege[Datum Einnahmen],"&lt;"&amp;EDATE(AB$5,1),tblAuftraege[Kostenstelle],$A181))</f>
        <v>0</v>
      </c>
      <c r="AC181" s="11" t="n">
        <f aca="false">IF($A181="",0,SUMIFS(tblAuftraege[Einnahmen],tblAuftraege[Datum Einnahmen],"&gt;="&amp;AC$5,tblAuftraege[Datum Einnahmen],"&lt;"&amp;EDATE(AC$5,1),tblAuftraege[Kostenstelle],$A181))</f>
        <v>0</v>
      </c>
      <c r="AD181" s="11" t="n">
        <f aca="false">IF($A181="",0,SUMIFS(tblAuftraege[Einnahmen],tblAuftraege[Datum Einnahmen],"&gt;="&amp;AD$5,tblAuftraege[Datum Einnahmen],"&lt;"&amp;EDATE(AD$5,1),tblAuftraege[Kostenstelle],$A181))</f>
        <v>0</v>
      </c>
      <c r="AE181" s="11" t="n">
        <f aca="false">IF($A181="",0,SUMIFS(tblAuftraege[Einnahmen],tblAuftraege[Datum Einnahmen],"&gt;="&amp;AE$5,tblAuftraege[Datum Einnahmen],"&lt;"&amp;EDATE(AE$5,1),tblAuftraege[Kostenstelle],$A181))</f>
        <v>0</v>
      </c>
      <c r="AF181" s="11" t="n">
        <f aca="false">IF($A181="",0,SUMIFS(tblAuftraege[Einnahmen],tblAuftraege[Datum Einnahmen],"&gt;="&amp;AF$5,tblAuftraege[Datum Einnahmen],"&lt;"&amp;EDATE(AF$5,1),tblAuftraege[Kostenstelle],$A181))</f>
        <v>0</v>
      </c>
      <c r="AG181" s="11" t="n">
        <f aca="false">IF($A181="",0,SUMIFS(tblAuftraege[Einnahmen],tblAuftraege[Datum Einnahmen],"&gt;="&amp;AG$5,tblAuftraege[Datum Einnahmen],"&lt;"&amp;EDATE(AG$5,1),tblAuftraege[Kostenstelle],$A181))</f>
        <v>0</v>
      </c>
      <c r="AH181" s="11" t="n">
        <f aca="false">IF($A181="",0,SUMIFS(tblAuftraege[Einnahmen],tblAuftraege[Datum Einnahmen],"&gt;="&amp;AH$5,tblAuftraege[Datum Einnahmen],"&lt;"&amp;EDATE(AH$5,1),tblAuftraege[Kostenstelle],$A181))</f>
        <v>0</v>
      </c>
      <c r="AI181" s="11" t="n">
        <f aca="false">IF($A181="",0,SUMIFS(tblAuftraege[Einnahmen],tblAuftraege[Datum Einnahmen],"&gt;="&amp;AI$5,tblAuftraege[Datum Einnahmen],"&lt;"&amp;EDATE(AI$5,1),tblAuftraege[Kostenstelle],$A181))</f>
        <v>0</v>
      </c>
      <c r="AJ181" s="11" t="n">
        <f aca="false">IF($A181="",0,SUMIFS(tblAuftraege[Einnahmen],tblAuftraege[Datum Einnahmen],"&gt;="&amp;AJ$5,tblAuftraege[Datum Einnahmen],"&lt;"&amp;EDATE(AJ$5,1),tblAuftraege[Kostenstelle],$A181))</f>
        <v>0</v>
      </c>
      <c r="AK181" s="11" t="n">
        <f aca="false">IF($A181="",0,SUMIFS(tblAuftraege[Einnahmen],tblAuftraege[Datum Einnahmen],"&gt;="&amp;AK$5,tblAuftraege[Datum Einnahmen],"&lt;"&amp;EDATE(AK$5,1),tblAuftraege[Kostenstelle],$A181))</f>
        <v>0</v>
      </c>
      <c r="AL181" s="11" t="n">
        <f aca="false">IF($A181="",0,SUMIFS(tblAuftraege[Einnahmen],tblAuftraege[Datum Einnahmen],"&gt;="&amp;AL$5,tblAuftraege[Datum Einnahmen],"&lt;"&amp;EDATE(AL$5,1),tblAuftraege[Kostenstelle],$A181))</f>
        <v>0</v>
      </c>
      <c r="AM181" s="11" t="n">
        <f aca="false">IF($A181="",0,SUMIFS(tblAuftraege[Einnahmen],tblAuftraege[Datum Einnahmen],"&gt;="&amp;AM$5,tblAuftraege[Datum Einnahmen],"&lt;"&amp;EDATE(AM$5,1),tblAuftraege[Kostenstelle],$A181))</f>
        <v>0</v>
      </c>
      <c r="AN181" s="11" t="n">
        <f aca="false">IF($A181="",0,SUMIFS(tblAuftraege[Einnahmen],tblAuftraege[Datum Einnahmen],"&gt;="&amp;AN$5,tblAuftraege[Datum Einnahmen],"&lt;"&amp;EDATE(AN$5,1),tblAuftraege[Kostenstelle],$A181))</f>
        <v>0</v>
      </c>
      <c r="AO181" s="11" t="n">
        <f aca="false">IF($A181="",0,SUMIFS(tblAuftraege[Einnahmen],tblAuftraege[Datum Einnahmen],"&gt;="&amp;AO$5,tblAuftraege[Datum Einnahmen],"&lt;"&amp;EDATE(AO$5,1),tblAuftraege[Kostenstelle],$A181))</f>
        <v>0</v>
      </c>
      <c r="AP181" s="11" t="n">
        <f aca="false">IF($A181="",0,SUMIFS(tblAuftraege[Einnahmen],tblAuftraege[Datum Einnahmen],"&gt;="&amp;AP$5,tblAuftraege[Datum Einnahmen],"&lt;"&amp;EDATE(AP$5,1),tblAuftraege[Kostenstelle],$A181))</f>
        <v>0</v>
      </c>
      <c r="AQ181" s="11" t="n">
        <f aca="false">IF($A181="",0,SUMIFS(tblAuftraege[Einnahmen],tblAuftraege[Datum Einnahmen],"&gt;="&amp;AQ$5,tblAuftraege[Datum Einnahmen],"&lt;"&amp;EDATE(AQ$5,1),tblAuftraege[Kostenstelle],$A181))</f>
        <v>0</v>
      </c>
      <c r="AR181" s="11" t="n">
        <f aca="false">IF($A181="",0,SUMIFS(tblAuftraege[Einnahmen],tblAuftraege[Datum Einnahmen],"&gt;="&amp;AR$5,tblAuftraege[Datum Einnahmen],"&lt;"&amp;EDATE(AR$5,1),tblAuftraege[Kostenstelle],$A181))</f>
        <v>0</v>
      </c>
      <c r="AS181" s="11" t="n">
        <f aca="false">IF($A181="",0,SUMIFS(tblAuftraege[Einnahmen],tblAuftraege[Datum Einnahmen],"&gt;="&amp;AS$5,tblAuftraege[Datum Einnahmen],"&lt;"&amp;EDATE(AS$5,1),tblAuftraege[Kostenstelle],$A181))</f>
        <v>0</v>
      </c>
      <c r="AT181" s="11" t="n">
        <f aca="false">IF($A181="",0,SUMIFS(tblAuftraege[Einnahmen],tblAuftraege[Datum Einnahmen],"&gt;="&amp;AT$5,tblAuftraege[Datum Einnahmen],"&lt;"&amp;EDATE(AT$5,1),tblAuftraege[Kostenstelle],$A181))</f>
        <v>0</v>
      </c>
      <c r="AU181" s="11" t="n">
        <f aca="false">IF($A181="",0,SUMIFS(tblAuftraege[Einnahmen],tblAuftraege[Datum Einnahmen],"&gt;="&amp;AU$5,tblAuftraege[Datum Einnahmen],"&lt;"&amp;EDATE(AU$5,1),tblAuftraege[Kostenstelle],$A181))</f>
        <v>0</v>
      </c>
      <c r="AV181" s="11" t="n">
        <f aca="false">IF($A181="",0,SUMIFS(tblAuftraege[Einnahmen],tblAuftraege[Datum Einnahmen],"&gt;="&amp;AV$5,tblAuftraege[Datum Einnahmen],"&lt;"&amp;EDATE(AV$5,1),tblAuftraege[Kostenstelle],$A181))</f>
        <v>0</v>
      </c>
      <c r="AW181" s="11" t="n">
        <f aca="false">IF($A181="",0,SUMIFS(tblAuftraege[Einnahmen],tblAuftraege[Datum Einnahmen],"&gt;="&amp;AW$5,tblAuftraege[Datum Einnahmen],"&lt;"&amp;EDATE(AW$5,1),tblAuftraege[Kostenstelle],$A181))</f>
        <v>0</v>
      </c>
      <c r="AX181" s="11" t="n">
        <f aca="false">IF($A181="",0,SUMIFS(tblAuftraege[Einnahmen],tblAuftraege[Datum Einnahmen],"&gt;="&amp;AX$5,tblAuftraege[Datum Einnahmen],"&lt;"&amp;EDATE(AX$5,1),tblAuftraege[Kostenstelle],$A181))</f>
        <v>0</v>
      </c>
      <c r="AY181" s="11" t="n">
        <f aca="false">IF($A181="",0,SUMIFS(tblAuftraege[Einnahmen],tblAuftraege[Datum Einnahmen],"&gt;="&amp;AY$5,tblAuftraege[Datum Einnahmen],"&lt;"&amp;EDATE(AY$5,1),tblAuftraege[Kostenstelle],$A181))</f>
        <v>0</v>
      </c>
      <c r="AZ181" s="11" t="n">
        <f aca="false">IF($A181="",0,SUMIFS(tblAuftraege[Einnahmen],tblAuftraege[Datum Einnahmen],"&gt;="&amp;AZ$5,tblAuftraege[Datum Einnahmen],"&lt;"&amp;EDATE(AZ$5,1),tblAuftraege[Kostenstelle],$A181))</f>
        <v>0</v>
      </c>
      <c r="BA181" s="11" t="n">
        <f aca="false">IF($A181="",0,SUMIFS(tblAuftraege[Einnahmen],tblAuftraege[Datum Einnahmen],"&gt;="&amp;BA$5,tblAuftraege[Datum Einnahmen],"&lt;"&amp;EDATE(BA$5,1),tblAuftraege[Kostenstelle],$A181))</f>
        <v>0</v>
      </c>
      <c r="BB181" s="11" t="n">
        <f aca="false">IF($A181="",0,SUMIFS(tblAuftraege[Einnahmen],tblAuftraege[Datum Einnahmen],"&gt;="&amp;BB$5,tblAuftraege[Datum Einnahmen],"&lt;"&amp;EDATE(BB$5,1),tblAuftraege[Kostenstelle],$A181))</f>
        <v>0</v>
      </c>
      <c r="BC181" s="11" t="n">
        <f aca="false">IF($A181="",0,SUMIFS(tblAuftraege[Einnahmen],tblAuftraege[Datum Einnahmen],"&gt;="&amp;BC$5,tblAuftraege[Datum Einnahmen],"&lt;"&amp;EDATE(BC$5,1),tblAuftraege[Kostenstelle],$A181))</f>
        <v>0</v>
      </c>
      <c r="BD181" s="11" t="n">
        <f aca="false">IF($A181="",0,SUMIFS(tblAuftraege[Einnahmen],tblAuftraege[Datum Einnahmen],"&gt;="&amp;BD$5,tblAuftraege[Datum Einnahmen],"&lt;"&amp;EDATE(BD$5,1),tblAuftraege[Kostenstelle],$A181))</f>
        <v>0</v>
      </c>
      <c r="BE181" s="11" t="n">
        <f aca="false">IF($A181="",0,SUMIFS(tblAuftraege[Einnahmen],tblAuftraege[Datum Einnahmen],"&gt;="&amp;BE$5,tblAuftraege[Datum Einnahmen],"&lt;"&amp;EDATE(BE$5,1),tblAuftraege[Kostenstelle],$A181))</f>
        <v>0</v>
      </c>
      <c r="BF181" s="11" t="n">
        <f aca="false">IF($A181="",0,SUMIFS(tblAuftraege[Einnahmen],tblAuftraege[Datum Einnahmen],"&gt;="&amp;BF$5,tblAuftraege[Datum Einnahmen],"&lt;"&amp;EDATE(BF$5,1),tblAuftraege[Kostenstelle],$A181))</f>
        <v>0</v>
      </c>
      <c r="BG181" s="11" t="n">
        <f aca="false">SUM(E181:J181)</f>
        <v>0</v>
      </c>
      <c r="BH181" s="11" t="n">
        <f aca="false">SUM(K181:V181)</f>
        <v>0</v>
      </c>
      <c r="BI181" s="11" t="n">
        <f aca="false">SUM(W181:AH181)</f>
        <v>0</v>
      </c>
      <c r="BJ181" s="11" t="n">
        <f aca="false">SUM(AI181:AT181)</f>
        <v>0</v>
      </c>
      <c r="BK181" s="11" t="n">
        <f aca="false">SUM(AU181:BF181)</f>
        <v>0</v>
      </c>
      <c r="BL181" s="12" t="n">
        <f aca="false">SUM(E181:BF181)</f>
        <v>0</v>
      </c>
    </row>
    <row r="182" customFormat="false" ht="15" hidden="false" customHeight="false" outlineLevel="0" collapsed="false">
      <c r="A182" s="9"/>
      <c r="B182" s="15"/>
      <c r="C182" s="15"/>
      <c r="D182" s="15"/>
      <c r="E182" s="11" t="n">
        <f aca="false">IF($A182="",0,SUMIFS(tblAuftraege[Einnahmen],tblAuftraege[Datum Einnahmen],"&gt;="&amp;E$5,tblAuftraege[Datum Einnahmen],"&lt;"&amp;EDATE(E$5,1),tblAuftraege[Kostenstelle],$A182))</f>
        <v>0</v>
      </c>
      <c r="F182" s="11" t="n">
        <f aca="false">IF($A182="",0,SUMIFS(tblAuftraege[Einnahmen],tblAuftraege[Datum Einnahmen],"&gt;="&amp;F$5,tblAuftraege[Datum Einnahmen],"&lt;"&amp;EDATE(F$5,1),tblAuftraege[Kostenstelle],$A182))</f>
        <v>0</v>
      </c>
      <c r="G182" s="11" t="n">
        <f aca="false">IF($A182="",0,SUMIFS(tblAuftraege[Einnahmen],tblAuftraege[Datum Einnahmen],"&gt;="&amp;G$5,tblAuftraege[Datum Einnahmen],"&lt;"&amp;EDATE(G$5,1),tblAuftraege[Kostenstelle],$A182))</f>
        <v>0</v>
      </c>
      <c r="H182" s="11" t="n">
        <f aca="false">IF($A182="",0,SUMIFS(tblAuftraege[Einnahmen],tblAuftraege[Datum Einnahmen],"&gt;="&amp;H$5,tblAuftraege[Datum Einnahmen],"&lt;"&amp;EDATE(H$5,1),tblAuftraege[Kostenstelle],$A182))</f>
        <v>0</v>
      </c>
      <c r="I182" s="11" t="n">
        <f aca="false">IF($A182="",0,SUMIFS(tblAuftraege[Einnahmen],tblAuftraege[Datum Einnahmen],"&gt;="&amp;I$5,tblAuftraege[Datum Einnahmen],"&lt;"&amp;EDATE(I$5,1),tblAuftraege[Kostenstelle],$A182))</f>
        <v>0</v>
      </c>
      <c r="J182" s="11" t="n">
        <f aca="false">IF($A182="",0,SUMIFS(tblAuftraege[Einnahmen],tblAuftraege[Datum Einnahmen],"&gt;="&amp;J$5,tblAuftraege[Datum Einnahmen],"&lt;"&amp;EDATE(J$5,1),tblAuftraege[Kostenstelle],$A182))</f>
        <v>0</v>
      </c>
      <c r="K182" s="11" t="n">
        <f aca="false">IF($A182="",0,SUMIFS(tblAuftraege[Einnahmen],tblAuftraege[Datum Einnahmen],"&gt;="&amp;K$5,tblAuftraege[Datum Einnahmen],"&lt;"&amp;EDATE(K$5,1),tblAuftraege[Kostenstelle],$A182))</f>
        <v>0</v>
      </c>
      <c r="L182" s="11" t="n">
        <f aca="false">IF($A182="",0,SUMIFS(tblAuftraege[Einnahmen],tblAuftraege[Datum Einnahmen],"&gt;="&amp;L$5,tblAuftraege[Datum Einnahmen],"&lt;"&amp;EDATE(L$5,1),tblAuftraege[Kostenstelle],$A182))</f>
        <v>0</v>
      </c>
      <c r="M182" s="11" t="n">
        <f aca="false">IF($A182="",0,SUMIFS(tblAuftraege[Einnahmen],tblAuftraege[Datum Einnahmen],"&gt;="&amp;M$5,tblAuftraege[Datum Einnahmen],"&lt;"&amp;EDATE(M$5,1),tblAuftraege[Kostenstelle],$A182))</f>
        <v>0</v>
      </c>
      <c r="N182" s="11" t="n">
        <f aca="false">IF($A182="",0,SUMIFS(tblAuftraege[Einnahmen],tblAuftraege[Datum Einnahmen],"&gt;="&amp;N$5,tblAuftraege[Datum Einnahmen],"&lt;"&amp;EDATE(N$5,1),tblAuftraege[Kostenstelle],$A182))</f>
        <v>0</v>
      </c>
      <c r="O182" s="11" t="n">
        <f aca="false">IF($A182="",0,SUMIFS(tblAuftraege[Einnahmen],tblAuftraege[Datum Einnahmen],"&gt;="&amp;O$5,tblAuftraege[Datum Einnahmen],"&lt;"&amp;EDATE(O$5,1),tblAuftraege[Kostenstelle],$A182))</f>
        <v>0</v>
      </c>
      <c r="P182" s="11" t="n">
        <f aca="false">IF($A182="",0,SUMIFS(tblAuftraege[Einnahmen],tblAuftraege[Datum Einnahmen],"&gt;="&amp;P$5,tblAuftraege[Datum Einnahmen],"&lt;"&amp;EDATE(P$5,1),tblAuftraege[Kostenstelle],$A182))</f>
        <v>0</v>
      </c>
      <c r="Q182" s="11" t="n">
        <f aca="false">IF($A182="",0,SUMIFS(tblAuftraege[Einnahmen],tblAuftraege[Datum Einnahmen],"&gt;="&amp;Q$5,tblAuftraege[Datum Einnahmen],"&lt;"&amp;EDATE(Q$5,1),tblAuftraege[Kostenstelle],$A182))</f>
        <v>0</v>
      </c>
      <c r="R182" s="11" t="n">
        <f aca="false">IF($A182="",0,SUMIFS(tblAuftraege[Einnahmen],tblAuftraege[Datum Einnahmen],"&gt;="&amp;R$5,tblAuftraege[Datum Einnahmen],"&lt;"&amp;EDATE(R$5,1),tblAuftraege[Kostenstelle],$A182))</f>
        <v>0</v>
      </c>
      <c r="S182" s="11" t="n">
        <f aca="false">IF($A182="",0,SUMIFS(tblAuftraege[Einnahmen],tblAuftraege[Datum Einnahmen],"&gt;="&amp;S$5,tblAuftraege[Datum Einnahmen],"&lt;"&amp;EDATE(S$5,1),tblAuftraege[Kostenstelle],$A182))</f>
        <v>0</v>
      </c>
      <c r="T182" s="11" t="n">
        <f aca="false">IF($A182="",0,SUMIFS(tblAuftraege[Einnahmen],tblAuftraege[Datum Einnahmen],"&gt;="&amp;T$5,tblAuftraege[Datum Einnahmen],"&lt;"&amp;EDATE(T$5,1),tblAuftraege[Kostenstelle],$A182))</f>
        <v>0</v>
      </c>
      <c r="U182" s="11" t="n">
        <f aca="false">IF($A182="",0,SUMIFS(tblAuftraege[Einnahmen],tblAuftraege[Datum Einnahmen],"&gt;="&amp;U$5,tblAuftraege[Datum Einnahmen],"&lt;"&amp;EDATE(U$5,1),tblAuftraege[Kostenstelle],$A182))</f>
        <v>0</v>
      </c>
      <c r="V182" s="11" t="n">
        <f aca="false">IF($A182="",0,SUMIFS(tblAuftraege[Einnahmen],tblAuftraege[Datum Einnahmen],"&gt;="&amp;V$5,tblAuftraege[Datum Einnahmen],"&lt;"&amp;EDATE(V$5,1),tblAuftraege[Kostenstelle],$A182))</f>
        <v>0</v>
      </c>
      <c r="W182" s="11" t="n">
        <f aca="false">IF($A182="",0,SUMIFS(tblAuftraege[Einnahmen],tblAuftraege[Datum Einnahmen],"&gt;="&amp;W$5,tblAuftraege[Datum Einnahmen],"&lt;"&amp;EDATE(W$5,1),tblAuftraege[Kostenstelle],$A182))</f>
        <v>0</v>
      </c>
      <c r="X182" s="11" t="n">
        <f aca="false">IF($A182="",0,SUMIFS(tblAuftraege[Einnahmen],tblAuftraege[Datum Einnahmen],"&gt;="&amp;X$5,tblAuftraege[Datum Einnahmen],"&lt;"&amp;EDATE(X$5,1),tblAuftraege[Kostenstelle],$A182))</f>
        <v>0</v>
      </c>
      <c r="Y182" s="11" t="n">
        <f aca="false">IF($A182="",0,SUMIFS(tblAuftraege[Einnahmen],tblAuftraege[Datum Einnahmen],"&gt;="&amp;Y$5,tblAuftraege[Datum Einnahmen],"&lt;"&amp;EDATE(Y$5,1),tblAuftraege[Kostenstelle],$A182))</f>
        <v>0</v>
      </c>
      <c r="Z182" s="11" t="n">
        <f aca="false">IF($A182="",0,SUMIFS(tblAuftraege[Einnahmen],tblAuftraege[Datum Einnahmen],"&gt;="&amp;Z$5,tblAuftraege[Datum Einnahmen],"&lt;"&amp;EDATE(Z$5,1),tblAuftraege[Kostenstelle],$A182))</f>
        <v>0</v>
      </c>
      <c r="AA182" s="11" t="n">
        <f aca="false">IF($A182="",0,SUMIFS(tblAuftraege[Einnahmen],tblAuftraege[Datum Einnahmen],"&gt;="&amp;AA$5,tblAuftraege[Datum Einnahmen],"&lt;"&amp;EDATE(AA$5,1),tblAuftraege[Kostenstelle],$A182))</f>
        <v>0</v>
      </c>
      <c r="AB182" s="11" t="n">
        <f aca="false">IF($A182="",0,SUMIFS(tblAuftraege[Einnahmen],tblAuftraege[Datum Einnahmen],"&gt;="&amp;AB$5,tblAuftraege[Datum Einnahmen],"&lt;"&amp;EDATE(AB$5,1),tblAuftraege[Kostenstelle],$A182))</f>
        <v>0</v>
      </c>
      <c r="AC182" s="11" t="n">
        <f aca="false">IF($A182="",0,SUMIFS(tblAuftraege[Einnahmen],tblAuftraege[Datum Einnahmen],"&gt;="&amp;AC$5,tblAuftraege[Datum Einnahmen],"&lt;"&amp;EDATE(AC$5,1),tblAuftraege[Kostenstelle],$A182))</f>
        <v>0</v>
      </c>
      <c r="AD182" s="11" t="n">
        <f aca="false">IF($A182="",0,SUMIFS(tblAuftraege[Einnahmen],tblAuftraege[Datum Einnahmen],"&gt;="&amp;AD$5,tblAuftraege[Datum Einnahmen],"&lt;"&amp;EDATE(AD$5,1),tblAuftraege[Kostenstelle],$A182))</f>
        <v>0</v>
      </c>
      <c r="AE182" s="11" t="n">
        <f aca="false">IF($A182="",0,SUMIFS(tblAuftraege[Einnahmen],tblAuftraege[Datum Einnahmen],"&gt;="&amp;AE$5,tblAuftraege[Datum Einnahmen],"&lt;"&amp;EDATE(AE$5,1),tblAuftraege[Kostenstelle],$A182))</f>
        <v>0</v>
      </c>
      <c r="AF182" s="11" t="n">
        <f aca="false">IF($A182="",0,SUMIFS(tblAuftraege[Einnahmen],tblAuftraege[Datum Einnahmen],"&gt;="&amp;AF$5,tblAuftraege[Datum Einnahmen],"&lt;"&amp;EDATE(AF$5,1),tblAuftraege[Kostenstelle],$A182))</f>
        <v>0</v>
      </c>
      <c r="AG182" s="11" t="n">
        <f aca="false">IF($A182="",0,SUMIFS(tblAuftraege[Einnahmen],tblAuftraege[Datum Einnahmen],"&gt;="&amp;AG$5,tblAuftraege[Datum Einnahmen],"&lt;"&amp;EDATE(AG$5,1),tblAuftraege[Kostenstelle],$A182))</f>
        <v>0</v>
      </c>
      <c r="AH182" s="11" t="n">
        <f aca="false">IF($A182="",0,SUMIFS(tblAuftraege[Einnahmen],tblAuftraege[Datum Einnahmen],"&gt;="&amp;AH$5,tblAuftraege[Datum Einnahmen],"&lt;"&amp;EDATE(AH$5,1),tblAuftraege[Kostenstelle],$A182))</f>
        <v>0</v>
      </c>
      <c r="AI182" s="11" t="n">
        <f aca="false">IF($A182="",0,SUMIFS(tblAuftraege[Einnahmen],tblAuftraege[Datum Einnahmen],"&gt;="&amp;AI$5,tblAuftraege[Datum Einnahmen],"&lt;"&amp;EDATE(AI$5,1),tblAuftraege[Kostenstelle],$A182))</f>
        <v>0</v>
      </c>
      <c r="AJ182" s="11" t="n">
        <f aca="false">IF($A182="",0,SUMIFS(tblAuftraege[Einnahmen],tblAuftraege[Datum Einnahmen],"&gt;="&amp;AJ$5,tblAuftraege[Datum Einnahmen],"&lt;"&amp;EDATE(AJ$5,1),tblAuftraege[Kostenstelle],$A182))</f>
        <v>0</v>
      </c>
      <c r="AK182" s="11" t="n">
        <f aca="false">IF($A182="",0,SUMIFS(tblAuftraege[Einnahmen],tblAuftraege[Datum Einnahmen],"&gt;="&amp;AK$5,tblAuftraege[Datum Einnahmen],"&lt;"&amp;EDATE(AK$5,1),tblAuftraege[Kostenstelle],$A182))</f>
        <v>0</v>
      </c>
      <c r="AL182" s="11" t="n">
        <f aca="false">IF($A182="",0,SUMIFS(tblAuftraege[Einnahmen],tblAuftraege[Datum Einnahmen],"&gt;="&amp;AL$5,tblAuftraege[Datum Einnahmen],"&lt;"&amp;EDATE(AL$5,1),tblAuftraege[Kostenstelle],$A182))</f>
        <v>0</v>
      </c>
      <c r="AM182" s="11" t="n">
        <f aca="false">IF($A182="",0,SUMIFS(tblAuftraege[Einnahmen],tblAuftraege[Datum Einnahmen],"&gt;="&amp;AM$5,tblAuftraege[Datum Einnahmen],"&lt;"&amp;EDATE(AM$5,1),tblAuftraege[Kostenstelle],$A182))</f>
        <v>0</v>
      </c>
      <c r="AN182" s="11" t="n">
        <f aca="false">IF($A182="",0,SUMIFS(tblAuftraege[Einnahmen],tblAuftraege[Datum Einnahmen],"&gt;="&amp;AN$5,tblAuftraege[Datum Einnahmen],"&lt;"&amp;EDATE(AN$5,1),tblAuftraege[Kostenstelle],$A182))</f>
        <v>0</v>
      </c>
      <c r="AO182" s="11" t="n">
        <f aca="false">IF($A182="",0,SUMIFS(tblAuftraege[Einnahmen],tblAuftraege[Datum Einnahmen],"&gt;="&amp;AO$5,tblAuftraege[Datum Einnahmen],"&lt;"&amp;EDATE(AO$5,1),tblAuftraege[Kostenstelle],$A182))</f>
        <v>0</v>
      </c>
      <c r="AP182" s="11" t="n">
        <f aca="false">IF($A182="",0,SUMIFS(tblAuftraege[Einnahmen],tblAuftraege[Datum Einnahmen],"&gt;="&amp;AP$5,tblAuftraege[Datum Einnahmen],"&lt;"&amp;EDATE(AP$5,1),tblAuftraege[Kostenstelle],$A182))</f>
        <v>0</v>
      </c>
      <c r="AQ182" s="11" t="n">
        <f aca="false">IF($A182="",0,SUMIFS(tblAuftraege[Einnahmen],tblAuftraege[Datum Einnahmen],"&gt;="&amp;AQ$5,tblAuftraege[Datum Einnahmen],"&lt;"&amp;EDATE(AQ$5,1),tblAuftraege[Kostenstelle],$A182))</f>
        <v>0</v>
      </c>
      <c r="AR182" s="11" t="n">
        <f aca="false">IF($A182="",0,SUMIFS(tblAuftraege[Einnahmen],tblAuftraege[Datum Einnahmen],"&gt;="&amp;AR$5,tblAuftraege[Datum Einnahmen],"&lt;"&amp;EDATE(AR$5,1),tblAuftraege[Kostenstelle],$A182))</f>
        <v>0</v>
      </c>
      <c r="AS182" s="11" t="n">
        <f aca="false">IF($A182="",0,SUMIFS(tblAuftraege[Einnahmen],tblAuftraege[Datum Einnahmen],"&gt;="&amp;AS$5,tblAuftraege[Datum Einnahmen],"&lt;"&amp;EDATE(AS$5,1),tblAuftraege[Kostenstelle],$A182))</f>
        <v>0</v>
      </c>
      <c r="AT182" s="11" t="n">
        <f aca="false">IF($A182="",0,SUMIFS(tblAuftraege[Einnahmen],tblAuftraege[Datum Einnahmen],"&gt;="&amp;AT$5,tblAuftraege[Datum Einnahmen],"&lt;"&amp;EDATE(AT$5,1),tblAuftraege[Kostenstelle],$A182))</f>
        <v>0</v>
      </c>
      <c r="AU182" s="11" t="n">
        <f aca="false">IF($A182="",0,SUMIFS(tblAuftraege[Einnahmen],tblAuftraege[Datum Einnahmen],"&gt;="&amp;AU$5,tblAuftraege[Datum Einnahmen],"&lt;"&amp;EDATE(AU$5,1),tblAuftraege[Kostenstelle],$A182))</f>
        <v>0</v>
      </c>
      <c r="AV182" s="11" t="n">
        <f aca="false">IF($A182="",0,SUMIFS(tblAuftraege[Einnahmen],tblAuftraege[Datum Einnahmen],"&gt;="&amp;AV$5,tblAuftraege[Datum Einnahmen],"&lt;"&amp;EDATE(AV$5,1),tblAuftraege[Kostenstelle],$A182))</f>
        <v>0</v>
      </c>
      <c r="AW182" s="11" t="n">
        <f aca="false">IF($A182="",0,SUMIFS(tblAuftraege[Einnahmen],tblAuftraege[Datum Einnahmen],"&gt;="&amp;AW$5,tblAuftraege[Datum Einnahmen],"&lt;"&amp;EDATE(AW$5,1),tblAuftraege[Kostenstelle],$A182))</f>
        <v>0</v>
      </c>
      <c r="AX182" s="11" t="n">
        <f aca="false">IF($A182="",0,SUMIFS(tblAuftraege[Einnahmen],tblAuftraege[Datum Einnahmen],"&gt;="&amp;AX$5,tblAuftraege[Datum Einnahmen],"&lt;"&amp;EDATE(AX$5,1),tblAuftraege[Kostenstelle],$A182))</f>
        <v>0</v>
      </c>
      <c r="AY182" s="11" t="n">
        <f aca="false">IF($A182="",0,SUMIFS(tblAuftraege[Einnahmen],tblAuftraege[Datum Einnahmen],"&gt;="&amp;AY$5,tblAuftraege[Datum Einnahmen],"&lt;"&amp;EDATE(AY$5,1),tblAuftraege[Kostenstelle],$A182))</f>
        <v>0</v>
      </c>
      <c r="AZ182" s="11" t="n">
        <f aca="false">IF($A182="",0,SUMIFS(tblAuftraege[Einnahmen],tblAuftraege[Datum Einnahmen],"&gt;="&amp;AZ$5,tblAuftraege[Datum Einnahmen],"&lt;"&amp;EDATE(AZ$5,1),tblAuftraege[Kostenstelle],$A182))</f>
        <v>0</v>
      </c>
      <c r="BA182" s="11" t="n">
        <f aca="false">IF($A182="",0,SUMIFS(tblAuftraege[Einnahmen],tblAuftraege[Datum Einnahmen],"&gt;="&amp;BA$5,tblAuftraege[Datum Einnahmen],"&lt;"&amp;EDATE(BA$5,1),tblAuftraege[Kostenstelle],$A182))</f>
        <v>0</v>
      </c>
      <c r="BB182" s="11" t="n">
        <f aca="false">IF($A182="",0,SUMIFS(tblAuftraege[Einnahmen],tblAuftraege[Datum Einnahmen],"&gt;="&amp;BB$5,tblAuftraege[Datum Einnahmen],"&lt;"&amp;EDATE(BB$5,1),tblAuftraege[Kostenstelle],$A182))</f>
        <v>0</v>
      </c>
      <c r="BC182" s="11" t="n">
        <f aca="false">IF($A182="",0,SUMIFS(tblAuftraege[Einnahmen],tblAuftraege[Datum Einnahmen],"&gt;="&amp;BC$5,tblAuftraege[Datum Einnahmen],"&lt;"&amp;EDATE(BC$5,1),tblAuftraege[Kostenstelle],$A182))</f>
        <v>0</v>
      </c>
      <c r="BD182" s="11" t="n">
        <f aca="false">IF($A182="",0,SUMIFS(tblAuftraege[Einnahmen],tblAuftraege[Datum Einnahmen],"&gt;="&amp;BD$5,tblAuftraege[Datum Einnahmen],"&lt;"&amp;EDATE(BD$5,1),tblAuftraege[Kostenstelle],$A182))</f>
        <v>0</v>
      </c>
      <c r="BE182" s="11" t="n">
        <f aca="false">IF($A182="",0,SUMIFS(tblAuftraege[Einnahmen],tblAuftraege[Datum Einnahmen],"&gt;="&amp;BE$5,tblAuftraege[Datum Einnahmen],"&lt;"&amp;EDATE(BE$5,1),tblAuftraege[Kostenstelle],$A182))</f>
        <v>0</v>
      </c>
      <c r="BF182" s="11" t="n">
        <f aca="false">IF($A182="",0,SUMIFS(tblAuftraege[Einnahmen],tblAuftraege[Datum Einnahmen],"&gt;="&amp;BF$5,tblAuftraege[Datum Einnahmen],"&lt;"&amp;EDATE(BF$5,1),tblAuftraege[Kostenstelle],$A182))</f>
        <v>0</v>
      </c>
      <c r="BG182" s="11" t="n">
        <f aca="false">SUM(E182:J182)</f>
        <v>0</v>
      </c>
      <c r="BH182" s="11" t="n">
        <f aca="false">SUM(K182:V182)</f>
        <v>0</v>
      </c>
      <c r="BI182" s="11" t="n">
        <f aca="false">SUM(W182:AH182)</f>
        <v>0</v>
      </c>
      <c r="BJ182" s="11" t="n">
        <f aca="false">SUM(AI182:AT182)</f>
        <v>0</v>
      </c>
      <c r="BK182" s="11" t="n">
        <f aca="false">SUM(AU182:BF182)</f>
        <v>0</v>
      </c>
      <c r="BL182" s="12" t="n">
        <f aca="false">SUM(E182:BF182)</f>
        <v>0</v>
      </c>
    </row>
    <row r="183" customFormat="false" ht="15" hidden="false" customHeight="false" outlineLevel="0" collapsed="false">
      <c r="A183" s="9"/>
      <c r="B183" s="15"/>
      <c r="C183" s="15"/>
      <c r="D183" s="15"/>
      <c r="E183" s="11" t="n">
        <f aca="false">IF($A183="",0,SUMIFS(tblAuftraege[Einnahmen],tblAuftraege[Datum Einnahmen],"&gt;="&amp;E$5,tblAuftraege[Datum Einnahmen],"&lt;"&amp;EDATE(E$5,1),tblAuftraege[Kostenstelle],$A183))</f>
        <v>0</v>
      </c>
      <c r="F183" s="11" t="n">
        <f aca="false">IF($A183="",0,SUMIFS(tblAuftraege[Einnahmen],tblAuftraege[Datum Einnahmen],"&gt;="&amp;F$5,tblAuftraege[Datum Einnahmen],"&lt;"&amp;EDATE(F$5,1),tblAuftraege[Kostenstelle],$A183))</f>
        <v>0</v>
      </c>
      <c r="G183" s="11" t="n">
        <f aca="false">IF($A183="",0,SUMIFS(tblAuftraege[Einnahmen],tblAuftraege[Datum Einnahmen],"&gt;="&amp;G$5,tblAuftraege[Datum Einnahmen],"&lt;"&amp;EDATE(G$5,1),tblAuftraege[Kostenstelle],$A183))</f>
        <v>0</v>
      </c>
      <c r="H183" s="11" t="n">
        <f aca="false">IF($A183="",0,SUMIFS(tblAuftraege[Einnahmen],tblAuftraege[Datum Einnahmen],"&gt;="&amp;H$5,tblAuftraege[Datum Einnahmen],"&lt;"&amp;EDATE(H$5,1),tblAuftraege[Kostenstelle],$A183))</f>
        <v>0</v>
      </c>
      <c r="I183" s="11" t="n">
        <f aca="false">IF($A183="",0,SUMIFS(tblAuftraege[Einnahmen],tblAuftraege[Datum Einnahmen],"&gt;="&amp;I$5,tblAuftraege[Datum Einnahmen],"&lt;"&amp;EDATE(I$5,1),tblAuftraege[Kostenstelle],$A183))</f>
        <v>0</v>
      </c>
      <c r="J183" s="11" t="n">
        <f aca="false">IF($A183="",0,SUMIFS(tblAuftraege[Einnahmen],tblAuftraege[Datum Einnahmen],"&gt;="&amp;J$5,tblAuftraege[Datum Einnahmen],"&lt;"&amp;EDATE(J$5,1),tblAuftraege[Kostenstelle],$A183))</f>
        <v>0</v>
      </c>
      <c r="K183" s="11" t="n">
        <f aca="false">IF($A183="",0,SUMIFS(tblAuftraege[Einnahmen],tblAuftraege[Datum Einnahmen],"&gt;="&amp;K$5,tblAuftraege[Datum Einnahmen],"&lt;"&amp;EDATE(K$5,1),tblAuftraege[Kostenstelle],$A183))</f>
        <v>0</v>
      </c>
      <c r="L183" s="11" t="n">
        <f aca="false">IF($A183="",0,SUMIFS(tblAuftraege[Einnahmen],tblAuftraege[Datum Einnahmen],"&gt;="&amp;L$5,tblAuftraege[Datum Einnahmen],"&lt;"&amp;EDATE(L$5,1),tblAuftraege[Kostenstelle],$A183))</f>
        <v>0</v>
      </c>
      <c r="M183" s="11" t="n">
        <f aca="false">IF($A183="",0,SUMIFS(tblAuftraege[Einnahmen],tblAuftraege[Datum Einnahmen],"&gt;="&amp;M$5,tblAuftraege[Datum Einnahmen],"&lt;"&amp;EDATE(M$5,1),tblAuftraege[Kostenstelle],$A183))</f>
        <v>0</v>
      </c>
      <c r="N183" s="11" t="n">
        <f aca="false">IF($A183="",0,SUMIFS(tblAuftraege[Einnahmen],tblAuftraege[Datum Einnahmen],"&gt;="&amp;N$5,tblAuftraege[Datum Einnahmen],"&lt;"&amp;EDATE(N$5,1),tblAuftraege[Kostenstelle],$A183))</f>
        <v>0</v>
      </c>
      <c r="O183" s="11" t="n">
        <f aca="false">IF($A183="",0,SUMIFS(tblAuftraege[Einnahmen],tblAuftraege[Datum Einnahmen],"&gt;="&amp;O$5,tblAuftraege[Datum Einnahmen],"&lt;"&amp;EDATE(O$5,1),tblAuftraege[Kostenstelle],$A183))</f>
        <v>0</v>
      </c>
      <c r="P183" s="11" t="n">
        <f aca="false">IF($A183="",0,SUMIFS(tblAuftraege[Einnahmen],tblAuftraege[Datum Einnahmen],"&gt;="&amp;P$5,tblAuftraege[Datum Einnahmen],"&lt;"&amp;EDATE(P$5,1),tblAuftraege[Kostenstelle],$A183))</f>
        <v>0</v>
      </c>
      <c r="Q183" s="11" t="n">
        <f aca="false">IF($A183="",0,SUMIFS(tblAuftraege[Einnahmen],tblAuftraege[Datum Einnahmen],"&gt;="&amp;Q$5,tblAuftraege[Datum Einnahmen],"&lt;"&amp;EDATE(Q$5,1),tblAuftraege[Kostenstelle],$A183))</f>
        <v>0</v>
      </c>
      <c r="R183" s="11" t="n">
        <f aca="false">IF($A183="",0,SUMIFS(tblAuftraege[Einnahmen],tblAuftraege[Datum Einnahmen],"&gt;="&amp;R$5,tblAuftraege[Datum Einnahmen],"&lt;"&amp;EDATE(R$5,1),tblAuftraege[Kostenstelle],$A183))</f>
        <v>0</v>
      </c>
      <c r="S183" s="11" t="n">
        <f aca="false">IF($A183="",0,SUMIFS(tblAuftraege[Einnahmen],tblAuftraege[Datum Einnahmen],"&gt;="&amp;S$5,tblAuftraege[Datum Einnahmen],"&lt;"&amp;EDATE(S$5,1),tblAuftraege[Kostenstelle],$A183))</f>
        <v>0</v>
      </c>
      <c r="T183" s="11" t="n">
        <f aca="false">IF($A183="",0,SUMIFS(tblAuftraege[Einnahmen],tblAuftraege[Datum Einnahmen],"&gt;="&amp;T$5,tblAuftraege[Datum Einnahmen],"&lt;"&amp;EDATE(T$5,1),tblAuftraege[Kostenstelle],$A183))</f>
        <v>0</v>
      </c>
      <c r="U183" s="11" t="n">
        <f aca="false">IF($A183="",0,SUMIFS(tblAuftraege[Einnahmen],tblAuftraege[Datum Einnahmen],"&gt;="&amp;U$5,tblAuftraege[Datum Einnahmen],"&lt;"&amp;EDATE(U$5,1),tblAuftraege[Kostenstelle],$A183))</f>
        <v>0</v>
      </c>
      <c r="V183" s="11" t="n">
        <f aca="false">IF($A183="",0,SUMIFS(tblAuftraege[Einnahmen],tblAuftraege[Datum Einnahmen],"&gt;="&amp;V$5,tblAuftraege[Datum Einnahmen],"&lt;"&amp;EDATE(V$5,1),tblAuftraege[Kostenstelle],$A183))</f>
        <v>0</v>
      </c>
      <c r="W183" s="11" t="n">
        <f aca="false">IF($A183="",0,SUMIFS(tblAuftraege[Einnahmen],tblAuftraege[Datum Einnahmen],"&gt;="&amp;W$5,tblAuftraege[Datum Einnahmen],"&lt;"&amp;EDATE(W$5,1),tblAuftraege[Kostenstelle],$A183))</f>
        <v>0</v>
      </c>
      <c r="X183" s="11" t="n">
        <f aca="false">IF($A183="",0,SUMIFS(tblAuftraege[Einnahmen],tblAuftraege[Datum Einnahmen],"&gt;="&amp;X$5,tblAuftraege[Datum Einnahmen],"&lt;"&amp;EDATE(X$5,1),tblAuftraege[Kostenstelle],$A183))</f>
        <v>0</v>
      </c>
      <c r="Y183" s="11" t="n">
        <f aca="false">IF($A183="",0,SUMIFS(tblAuftraege[Einnahmen],tblAuftraege[Datum Einnahmen],"&gt;="&amp;Y$5,tblAuftraege[Datum Einnahmen],"&lt;"&amp;EDATE(Y$5,1),tblAuftraege[Kostenstelle],$A183))</f>
        <v>0</v>
      </c>
      <c r="Z183" s="11" t="n">
        <f aca="false">IF($A183="",0,SUMIFS(tblAuftraege[Einnahmen],tblAuftraege[Datum Einnahmen],"&gt;="&amp;Z$5,tblAuftraege[Datum Einnahmen],"&lt;"&amp;EDATE(Z$5,1),tblAuftraege[Kostenstelle],$A183))</f>
        <v>0</v>
      </c>
      <c r="AA183" s="11" t="n">
        <f aca="false">IF($A183="",0,SUMIFS(tblAuftraege[Einnahmen],tblAuftraege[Datum Einnahmen],"&gt;="&amp;AA$5,tblAuftraege[Datum Einnahmen],"&lt;"&amp;EDATE(AA$5,1),tblAuftraege[Kostenstelle],$A183))</f>
        <v>0</v>
      </c>
      <c r="AB183" s="11" t="n">
        <f aca="false">IF($A183="",0,SUMIFS(tblAuftraege[Einnahmen],tblAuftraege[Datum Einnahmen],"&gt;="&amp;AB$5,tblAuftraege[Datum Einnahmen],"&lt;"&amp;EDATE(AB$5,1),tblAuftraege[Kostenstelle],$A183))</f>
        <v>0</v>
      </c>
      <c r="AC183" s="11" t="n">
        <f aca="false">IF($A183="",0,SUMIFS(tblAuftraege[Einnahmen],tblAuftraege[Datum Einnahmen],"&gt;="&amp;AC$5,tblAuftraege[Datum Einnahmen],"&lt;"&amp;EDATE(AC$5,1),tblAuftraege[Kostenstelle],$A183))</f>
        <v>0</v>
      </c>
      <c r="AD183" s="11" t="n">
        <f aca="false">IF($A183="",0,SUMIFS(tblAuftraege[Einnahmen],tblAuftraege[Datum Einnahmen],"&gt;="&amp;AD$5,tblAuftraege[Datum Einnahmen],"&lt;"&amp;EDATE(AD$5,1),tblAuftraege[Kostenstelle],$A183))</f>
        <v>0</v>
      </c>
      <c r="AE183" s="11" t="n">
        <f aca="false">IF($A183="",0,SUMIFS(tblAuftraege[Einnahmen],tblAuftraege[Datum Einnahmen],"&gt;="&amp;AE$5,tblAuftraege[Datum Einnahmen],"&lt;"&amp;EDATE(AE$5,1),tblAuftraege[Kostenstelle],$A183))</f>
        <v>0</v>
      </c>
      <c r="AF183" s="11" t="n">
        <f aca="false">IF($A183="",0,SUMIFS(tblAuftraege[Einnahmen],tblAuftraege[Datum Einnahmen],"&gt;="&amp;AF$5,tblAuftraege[Datum Einnahmen],"&lt;"&amp;EDATE(AF$5,1),tblAuftraege[Kostenstelle],$A183))</f>
        <v>0</v>
      </c>
      <c r="AG183" s="11" t="n">
        <f aca="false">IF($A183="",0,SUMIFS(tblAuftraege[Einnahmen],tblAuftraege[Datum Einnahmen],"&gt;="&amp;AG$5,tblAuftraege[Datum Einnahmen],"&lt;"&amp;EDATE(AG$5,1),tblAuftraege[Kostenstelle],$A183))</f>
        <v>0</v>
      </c>
      <c r="AH183" s="11" t="n">
        <f aca="false">IF($A183="",0,SUMIFS(tblAuftraege[Einnahmen],tblAuftraege[Datum Einnahmen],"&gt;="&amp;AH$5,tblAuftraege[Datum Einnahmen],"&lt;"&amp;EDATE(AH$5,1),tblAuftraege[Kostenstelle],$A183))</f>
        <v>0</v>
      </c>
      <c r="AI183" s="11" t="n">
        <f aca="false">IF($A183="",0,SUMIFS(tblAuftraege[Einnahmen],tblAuftraege[Datum Einnahmen],"&gt;="&amp;AI$5,tblAuftraege[Datum Einnahmen],"&lt;"&amp;EDATE(AI$5,1),tblAuftraege[Kostenstelle],$A183))</f>
        <v>0</v>
      </c>
      <c r="AJ183" s="11" t="n">
        <f aca="false">IF($A183="",0,SUMIFS(tblAuftraege[Einnahmen],tblAuftraege[Datum Einnahmen],"&gt;="&amp;AJ$5,tblAuftraege[Datum Einnahmen],"&lt;"&amp;EDATE(AJ$5,1),tblAuftraege[Kostenstelle],$A183))</f>
        <v>0</v>
      </c>
      <c r="AK183" s="11" t="n">
        <f aca="false">IF($A183="",0,SUMIFS(tblAuftraege[Einnahmen],tblAuftraege[Datum Einnahmen],"&gt;="&amp;AK$5,tblAuftraege[Datum Einnahmen],"&lt;"&amp;EDATE(AK$5,1),tblAuftraege[Kostenstelle],$A183))</f>
        <v>0</v>
      </c>
      <c r="AL183" s="11" t="n">
        <f aca="false">IF($A183="",0,SUMIFS(tblAuftraege[Einnahmen],tblAuftraege[Datum Einnahmen],"&gt;="&amp;AL$5,tblAuftraege[Datum Einnahmen],"&lt;"&amp;EDATE(AL$5,1),tblAuftraege[Kostenstelle],$A183))</f>
        <v>0</v>
      </c>
      <c r="AM183" s="11" t="n">
        <f aca="false">IF($A183="",0,SUMIFS(tblAuftraege[Einnahmen],tblAuftraege[Datum Einnahmen],"&gt;="&amp;AM$5,tblAuftraege[Datum Einnahmen],"&lt;"&amp;EDATE(AM$5,1),tblAuftraege[Kostenstelle],$A183))</f>
        <v>0</v>
      </c>
      <c r="AN183" s="11" t="n">
        <f aca="false">IF($A183="",0,SUMIFS(tblAuftraege[Einnahmen],tblAuftraege[Datum Einnahmen],"&gt;="&amp;AN$5,tblAuftraege[Datum Einnahmen],"&lt;"&amp;EDATE(AN$5,1),tblAuftraege[Kostenstelle],$A183))</f>
        <v>0</v>
      </c>
      <c r="AO183" s="11" t="n">
        <f aca="false">IF($A183="",0,SUMIFS(tblAuftraege[Einnahmen],tblAuftraege[Datum Einnahmen],"&gt;="&amp;AO$5,tblAuftraege[Datum Einnahmen],"&lt;"&amp;EDATE(AO$5,1),tblAuftraege[Kostenstelle],$A183))</f>
        <v>0</v>
      </c>
      <c r="AP183" s="11" t="n">
        <f aca="false">IF($A183="",0,SUMIFS(tblAuftraege[Einnahmen],tblAuftraege[Datum Einnahmen],"&gt;="&amp;AP$5,tblAuftraege[Datum Einnahmen],"&lt;"&amp;EDATE(AP$5,1),tblAuftraege[Kostenstelle],$A183))</f>
        <v>0</v>
      </c>
      <c r="AQ183" s="11" t="n">
        <f aca="false">IF($A183="",0,SUMIFS(tblAuftraege[Einnahmen],tblAuftraege[Datum Einnahmen],"&gt;="&amp;AQ$5,tblAuftraege[Datum Einnahmen],"&lt;"&amp;EDATE(AQ$5,1),tblAuftraege[Kostenstelle],$A183))</f>
        <v>0</v>
      </c>
      <c r="AR183" s="11" t="n">
        <f aca="false">IF($A183="",0,SUMIFS(tblAuftraege[Einnahmen],tblAuftraege[Datum Einnahmen],"&gt;="&amp;AR$5,tblAuftraege[Datum Einnahmen],"&lt;"&amp;EDATE(AR$5,1),tblAuftraege[Kostenstelle],$A183))</f>
        <v>0</v>
      </c>
      <c r="AS183" s="11" t="n">
        <f aca="false">IF($A183="",0,SUMIFS(tblAuftraege[Einnahmen],tblAuftraege[Datum Einnahmen],"&gt;="&amp;AS$5,tblAuftraege[Datum Einnahmen],"&lt;"&amp;EDATE(AS$5,1),tblAuftraege[Kostenstelle],$A183))</f>
        <v>0</v>
      </c>
      <c r="AT183" s="11" t="n">
        <f aca="false">IF($A183="",0,SUMIFS(tblAuftraege[Einnahmen],tblAuftraege[Datum Einnahmen],"&gt;="&amp;AT$5,tblAuftraege[Datum Einnahmen],"&lt;"&amp;EDATE(AT$5,1),tblAuftraege[Kostenstelle],$A183))</f>
        <v>0</v>
      </c>
      <c r="AU183" s="11" t="n">
        <f aca="false">IF($A183="",0,SUMIFS(tblAuftraege[Einnahmen],tblAuftraege[Datum Einnahmen],"&gt;="&amp;AU$5,tblAuftraege[Datum Einnahmen],"&lt;"&amp;EDATE(AU$5,1),tblAuftraege[Kostenstelle],$A183))</f>
        <v>0</v>
      </c>
      <c r="AV183" s="11" t="n">
        <f aca="false">IF($A183="",0,SUMIFS(tblAuftraege[Einnahmen],tblAuftraege[Datum Einnahmen],"&gt;="&amp;AV$5,tblAuftraege[Datum Einnahmen],"&lt;"&amp;EDATE(AV$5,1),tblAuftraege[Kostenstelle],$A183))</f>
        <v>0</v>
      </c>
      <c r="AW183" s="11" t="n">
        <f aca="false">IF($A183="",0,SUMIFS(tblAuftraege[Einnahmen],tblAuftraege[Datum Einnahmen],"&gt;="&amp;AW$5,tblAuftraege[Datum Einnahmen],"&lt;"&amp;EDATE(AW$5,1),tblAuftraege[Kostenstelle],$A183))</f>
        <v>0</v>
      </c>
      <c r="AX183" s="11" t="n">
        <f aca="false">IF($A183="",0,SUMIFS(tblAuftraege[Einnahmen],tblAuftraege[Datum Einnahmen],"&gt;="&amp;AX$5,tblAuftraege[Datum Einnahmen],"&lt;"&amp;EDATE(AX$5,1),tblAuftraege[Kostenstelle],$A183))</f>
        <v>0</v>
      </c>
      <c r="AY183" s="11" t="n">
        <f aca="false">IF($A183="",0,SUMIFS(tblAuftraege[Einnahmen],tblAuftraege[Datum Einnahmen],"&gt;="&amp;AY$5,tblAuftraege[Datum Einnahmen],"&lt;"&amp;EDATE(AY$5,1),tblAuftraege[Kostenstelle],$A183))</f>
        <v>0</v>
      </c>
      <c r="AZ183" s="11" t="n">
        <f aca="false">IF($A183="",0,SUMIFS(tblAuftraege[Einnahmen],tblAuftraege[Datum Einnahmen],"&gt;="&amp;AZ$5,tblAuftraege[Datum Einnahmen],"&lt;"&amp;EDATE(AZ$5,1),tblAuftraege[Kostenstelle],$A183))</f>
        <v>0</v>
      </c>
      <c r="BA183" s="11" t="n">
        <f aca="false">IF($A183="",0,SUMIFS(tblAuftraege[Einnahmen],tblAuftraege[Datum Einnahmen],"&gt;="&amp;BA$5,tblAuftraege[Datum Einnahmen],"&lt;"&amp;EDATE(BA$5,1),tblAuftraege[Kostenstelle],$A183))</f>
        <v>0</v>
      </c>
      <c r="BB183" s="11" t="n">
        <f aca="false">IF($A183="",0,SUMIFS(tblAuftraege[Einnahmen],tblAuftraege[Datum Einnahmen],"&gt;="&amp;BB$5,tblAuftraege[Datum Einnahmen],"&lt;"&amp;EDATE(BB$5,1),tblAuftraege[Kostenstelle],$A183))</f>
        <v>0</v>
      </c>
      <c r="BC183" s="11" t="n">
        <f aca="false">IF($A183="",0,SUMIFS(tblAuftraege[Einnahmen],tblAuftraege[Datum Einnahmen],"&gt;="&amp;BC$5,tblAuftraege[Datum Einnahmen],"&lt;"&amp;EDATE(BC$5,1),tblAuftraege[Kostenstelle],$A183))</f>
        <v>0</v>
      </c>
      <c r="BD183" s="11" t="n">
        <f aca="false">IF($A183="",0,SUMIFS(tblAuftraege[Einnahmen],tblAuftraege[Datum Einnahmen],"&gt;="&amp;BD$5,tblAuftraege[Datum Einnahmen],"&lt;"&amp;EDATE(BD$5,1),tblAuftraege[Kostenstelle],$A183))</f>
        <v>0</v>
      </c>
      <c r="BE183" s="11" t="n">
        <f aca="false">IF($A183="",0,SUMIFS(tblAuftraege[Einnahmen],tblAuftraege[Datum Einnahmen],"&gt;="&amp;BE$5,tblAuftraege[Datum Einnahmen],"&lt;"&amp;EDATE(BE$5,1),tblAuftraege[Kostenstelle],$A183))</f>
        <v>0</v>
      </c>
      <c r="BF183" s="11" t="n">
        <f aca="false">IF($A183="",0,SUMIFS(tblAuftraege[Einnahmen],tblAuftraege[Datum Einnahmen],"&gt;="&amp;BF$5,tblAuftraege[Datum Einnahmen],"&lt;"&amp;EDATE(BF$5,1),tblAuftraege[Kostenstelle],$A183))</f>
        <v>0</v>
      </c>
      <c r="BG183" s="11" t="n">
        <f aca="false">SUM(E183:J183)</f>
        <v>0</v>
      </c>
      <c r="BH183" s="11" t="n">
        <f aca="false">SUM(K183:V183)</f>
        <v>0</v>
      </c>
      <c r="BI183" s="11" t="n">
        <f aca="false">SUM(W183:AH183)</f>
        <v>0</v>
      </c>
      <c r="BJ183" s="11" t="n">
        <f aca="false">SUM(AI183:AT183)</f>
        <v>0</v>
      </c>
      <c r="BK183" s="11" t="n">
        <f aca="false">SUM(AU183:BF183)</f>
        <v>0</v>
      </c>
      <c r="BL183" s="12" t="n">
        <f aca="false">SUM(E183:BF183)</f>
        <v>0</v>
      </c>
    </row>
    <row r="184" customFormat="false" ht="15" hidden="false" customHeight="false" outlineLevel="0" collapsed="false">
      <c r="A184" s="9"/>
      <c r="B184" s="15"/>
      <c r="C184" s="15"/>
      <c r="D184" s="15"/>
      <c r="E184" s="11" t="n">
        <f aca="false">IF($A184="",0,SUMIFS(tblAuftraege[Einnahmen],tblAuftraege[Datum Einnahmen],"&gt;="&amp;E$5,tblAuftraege[Datum Einnahmen],"&lt;"&amp;EDATE(E$5,1),tblAuftraege[Kostenstelle],$A184))</f>
        <v>0</v>
      </c>
      <c r="F184" s="11" t="n">
        <f aca="false">IF($A184="",0,SUMIFS(tblAuftraege[Einnahmen],tblAuftraege[Datum Einnahmen],"&gt;="&amp;F$5,tblAuftraege[Datum Einnahmen],"&lt;"&amp;EDATE(F$5,1),tblAuftraege[Kostenstelle],$A184))</f>
        <v>0</v>
      </c>
      <c r="G184" s="11" t="n">
        <f aca="false">IF($A184="",0,SUMIFS(tblAuftraege[Einnahmen],tblAuftraege[Datum Einnahmen],"&gt;="&amp;G$5,tblAuftraege[Datum Einnahmen],"&lt;"&amp;EDATE(G$5,1),tblAuftraege[Kostenstelle],$A184))</f>
        <v>0</v>
      </c>
      <c r="H184" s="11" t="n">
        <f aca="false">IF($A184="",0,SUMIFS(tblAuftraege[Einnahmen],tblAuftraege[Datum Einnahmen],"&gt;="&amp;H$5,tblAuftraege[Datum Einnahmen],"&lt;"&amp;EDATE(H$5,1),tblAuftraege[Kostenstelle],$A184))</f>
        <v>0</v>
      </c>
      <c r="I184" s="11" t="n">
        <f aca="false">IF($A184="",0,SUMIFS(tblAuftraege[Einnahmen],tblAuftraege[Datum Einnahmen],"&gt;="&amp;I$5,tblAuftraege[Datum Einnahmen],"&lt;"&amp;EDATE(I$5,1),tblAuftraege[Kostenstelle],$A184))</f>
        <v>0</v>
      </c>
      <c r="J184" s="11" t="n">
        <f aca="false">IF($A184="",0,SUMIFS(tblAuftraege[Einnahmen],tblAuftraege[Datum Einnahmen],"&gt;="&amp;J$5,tblAuftraege[Datum Einnahmen],"&lt;"&amp;EDATE(J$5,1),tblAuftraege[Kostenstelle],$A184))</f>
        <v>0</v>
      </c>
      <c r="K184" s="11" t="n">
        <f aca="false">IF($A184="",0,SUMIFS(tblAuftraege[Einnahmen],tblAuftraege[Datum Einnahmen],"&gt;="&amp;K$5,tblAuftraege[Datum Einnahmen],"&lt;"&amp;EDATE(K$5,1),tblAuftraege[Kostenstelle],$A184))</f>
        <v>0</v>
      </c>
      <c r="L184" s="11" t="n">
        <f aca="false">IF($A184="",0,SUMIFS(tblAuftraege[Einnahmen],tblAuftraege[Datum Einnahmen],"&gt;="&amp;L$5,tblAuftraege[Datum Einnahmen],"&lt;"&amp;EDATE(L$5,1),tblAuftraege[Kostenstelle],$A184))</f>
        <v>0</v>
      </c>
      <c r="M184" s="11" t="n">
        <f aca="false">IF($A184="",0,SUMIFS(tblAuftraege[Einnahmen],tblAuftraege[Datum Einnahmen],"&gt;="&amp;M$5,tblAuftraege[Datum Einnahmen],"&lt;"&amp;EDATE(M$5,1),tblAuftraege[Kostenstelle],$A184))</f>
        <v>0</v>
      </c>
      <c r="N184" s="11" t="n">
        <f aca="false">IF($A184="",0,SUMIFS(tblAuftraege[Einnahmen],tblAuftraege[Datum Einnahmen],"&gt;="&amp;N$5,tblAuftraege[Datum Einnahmen],"&lt;"&amp;EDATE(N$5,1),tblAuftraege[Kostenstelle],$A184))</f>
        <v>0</v>
      </c>
      <c r="O184" s="11" t="n">
        <f aca="false">IF($A184="",0,SUMIFS(tblAuftraege[Einnahmen],tblAuftraege[Datum Einnahmen],"&gt;="&amp;O$5,tblAuftraege[Datum Einnahmen],"&lt;"&amp;EDATE(O$5,1),tblAuftraege[Kostenstelle],$A184))</f>
        <v>0</v>
      </c>
      <c r="P184" s="11" t="n">
        <f aca="false">IF($A184="",0,SUMIFS(tblAuftraege[Einnahmen],tblAuftraege[Datum Einnahmen],"&gt;="&amp;P$5,tblAuftraege[Datum Einnahmen],"&lt;"&amp;EDATE(P$5,1),tblAuftraege[Kostenstelle],$A184))</f>
        <v>0</v>
      </c>
      <c r="Q184" s="11" t="n">
        <f aca="false">IF($A184="",0,SUMIFS(tblAuftraege[Einnahmen],tblAuftraege[Datum Einnahmen],"&gt;="&amp;Q$5,tblAuftraege[Datum Einnahmen],"&lt;"&amp;EDATE(Q$5,1),tblAuftraege[Kostenstelle],$A184))</f>
        <v>0</v>
      </c>
      <c r="R184" s="11" t="n">
        <f aca="false">IF($A184="",0,SUMIFS(tblAuftraege[Einnahmen],tblAuftraege[Datum Einnahmen],"&gt;="&amp;R$5,tblAuftraege[Datum Einnahmen],"&lt;"&amp;EDATE(R$5,1),tblAuftraege[Kostenstelle],$A184))</f>
        <v>0</v>
      </c>
      <c r="S184" s="11" t="n">
        <f aca="false">IF($A184="",0,SUMIFS(tblAuftraege[Einnahmen],tblAuftraege[Datum Einnahmen],"&gt;="&amp;S$5,tblAuftraege[Datum Einnahmen],"&lt;"&amp;EDATE(S$5,1),tblAuftraege[Kostenstelle],$A184))</f>
        <v>0</v>
      </c>
      <c r="T184" s="11" t="n">
        <f aca="false">IF($A184="",0,SUMIFS(tblAuftraege[Einnahmen],tblAuftraege[Datum Einnahmen],"&gt;="&amp;T$5,tblAuftraege[Datum Einnahmen],"&lt;"&amp;EDATE(T$5,1),tblAuftraege[Kostenstelle],$A184))</f>
        <v>0</v>
      </c>
      <c r="U184" s="11" t="n">
        <f aca="false">IF($A184="",0,SUMIFS(tblAuftraege[Einnahmen],tblAuftraege[Datum Einnahmen],"&gt;="&amp;U$5,tblAuftraege[Datum Einnahmen],"&lt;"&amp;EDATE(U$5,1),tblAuftraege[Kostenstelle],$A184))</f>
        <v>0</v>
      </c>
      <c r="V184" s="11" t="n">
        <f aca="false">IF($A184="",0,SUMIFS(tblAuftraege[Einnahmen],tblAuftraege[Datum Einnahmen],"&gt;="&amp;V$5,tblAuftraege[Datum Einnahmen],"&lt;"&amp;EDATE(V$5,1),tblAuftraege[Kostenstelle],$A184))</f>
        <v>0</v>
      </c>
      <c r="W184" s="11" t="n">
        <f aca="false">IF($A184="",0,SUMIFS(tblAuftraege[Einnahmen],tblAuftraege[Datum Einnahmen],"&gt;="&amp;W$5,tblAuftraege[Datum Einnahmen],"&lt;"&amp;EDATE(W$5,1),tblAuftraege[Kostenstelle],$A184))</f>
        <v>0</v>
      </c>
      <c r="X184" s="11" t="n">
        <f aca="false">IF($A184="",0,SUMIFS(tblAuftraege[Einnahmen],tblAuftraege[Datum Einnahmen],"&gt;="&amp;X$5,tblAuftraege[Datum Einnahmen],"&lt;"&amp;EDATE(X$5,1),tblAuftraege[Kostenstelle],$A184))</f>
        <v>0</v>
      </c>
      <c r="Y184" s="11" t="n">
        <f aca="false">IF($A184="",0,SUMIFS(tblAuftraege[Einnahmen],tblAuftraege[Datum Einnahmen],"&gt;="&amp;Y$5,tblAuftraege[Datum Einnahmen],"&lt;"&amp;EDATE(Y$5,1),tblAuftraege[Kostenstelle],$A184))</f>
        <v>0</v>
      </c>
      <c r="Z184" s="11" t="n">
        <f aca="false">IF($A184="",0,SUMIFS(tblAuftraege[Einnahmen],tblAuftraege[Datum Einnahmen],"&gt;="&amp;Z$5,tblAuftraege[Datum Einnahmen],"&lt;"&amp;EDATE(Z$5,1),tblAuftraege[Kostenstelle],$A184))</f>
        <v>0</v>
      </c>
      <c r="AA184" s="11" t="n">
        <f aca="false">IF($A184="",0,SUMIFS(tblAuftraege[Einnahmen],tblAuftraege[Datum Einnahmen],"&gt;="&amp;AA$5,tblAuftraege[Datum Einnahmen],"&lt;"&amp;EDATE(AA$5,1),tblAuftraege[Kostenstelle],$A184))</f>
        <v>0</v>
      </c>
      <c r="AB184" s="11" t="n">
        <f aca="false">IF($A184="",0,SUMIFS(tblAuftraege[Einnahmen],tblAuftraege[Datum Einnahmen],"&gt;="&amp;AB$5,tblAuftraege[Datum Einnahmen],"&lt;"&amp;EDATE(AB$5,1),tblAuftraege[Kostenstelle],$A184))</f>
        <v>0</v>
      </c>
      <c r="AC184" s="11" t="n">
        <f aca="false">IF($A184="",0,SUMIFS(tblAuftraege[Einnahmen],tblAuftraege[Datum Einnahmen],"&gt;="&amp;AC$5,tblAuftraege[Datum Einnahmen],"&lt;"&amp;EDATE(AC$5,1),tblAuftraege[Kostenstelle],$A184))</f>
        <v>0</v>
      </c>
      <c r="AD184" s="11" t="n">
        <f aca="false">IF($A184="",0,SUMIFS(tblAuftraege[Einnahmen],tblAuftraege[Datum Einnahmen],"&gt;="&amp;AD$5,tblAuftraege[Datum Einnahmen],"&lt;"&amp;EDATE(AD$5,1),tblAuftraege[Kostenstelle],$A184))</f>
        <v>0</v>
      </c>
      <c r="AE184" s="11" t="n">
        <f aca="false">IF($A184="",0,SUMIFS(tblAuftraege[Einnahmen],tblAuftraege[Datum Einnahmen],"&gt;="&amp;AE$5,tblAuftraege[Datum Einnahmen],"&lt;"&amp;EDATE(AE$5,1),tblAuftraege[Kostenstelle],$A184))</f>
        <v>0</v>
      </c>
      <c r="AF184" s="11" t="n">
        <f aca="false">IF($A184="",0,SUMIFS(tblAuftraege[Einnahmen],tblAuftraege[Datum Einnahmen],"&gt;="&amp;AF$5,tblAuftraege[Datum Einnahmen],"&lt;"&amp;EDATE(AF$5,1),tblAuftraege[Kostenstelle],$A184))</f>
        <v>0</v>
      </c>
      <c r="AG184" s="11" t="n">
        <f aca="false">IF($A184="",0,SUMIFS(tblAuftraege[Einnahmen],tblAuftraege[Datum Einnahmen],"&gt;="&amp;AG$5,tblAuftraege[Datum Einnahmen],"&lt;"&amp;EDATE(AG$5,1),tblAuftraege[Kostenstelle],$A184))</f>
        <v>0</v>
      </c>
      <c r="AH184" s="11" t="n">
        <f aca="false">IF($A184="",0,SUMIFS(tblAuftraege[Einnahmen],tblAuftraege[Datum Einnahmen],"&gt;="&amp;AH$5,tblAuftraege[Datum Einnahmen],"&lt;"&amp;EDATE(AH$5,1),tblAuftraege[Kostenstelle],$A184))</f>
        <v>0</v>
      </c>
      <c r="AI184" s="11" t="n">
        <f aca="false">IF($A184="",0,SUMIFS(tblAuftraege[Einnahmen],tblAuftraege[Datum Einnahmen],"&gt;="&amp;AI$5,tblAuftraege[Datum Einnahmen],"&lt;"&amp;EDATE(AI$5,1),tblAuftraege[Kostenstelle],$A184))</f>
        <v>0</v>
      </c>
      <c r="AJ184" s="11" t="n">
        <f aca="false">IF($A184="",0,SUMIFS(tblAuftraege[Einnahmen],tblAuftraege[Datum Einnahmen],"&gt;="&amp;AJ$5,tblAuftraege[Datum Einnahmen],"&lt;"&amp;EDATE(AJ$5,1),tblAuftraege[Kostenstelle],$A184))</f>
        <v>0</v>
      </c>
      <c r="AK184" s="11" t="n">
        <f aca="false">IF($A184="",0,SUMIFS(tblAuftraege[Einnahmen],tblAuftraege[Datum Einnahmen],"&gt;="&amp;AK$5,tblAuftraege[Datum Einnahmen],"&lt;"&amp;EDATE(AK$5,1),tblAuftraege[Kostenstelle],$A184))</f>
        <v>0</v>
      </c>
      <c r="AL184" s="11" t="n">
        <f aca="false">IF($A184="",0,SUMIFS(tblAuftraege[Einnahmen],tblAuftraege[Datum Einnahmen],"&gt;="&amp;AL$5,tblAuftraege[Datum Einnahmen],"&lt;"&amp;EDATE(AL$5,1),tblAuftraege[Kostenstelle],$A184))</f>
        <v>0</v>
      </c>
      <c r="AM184" s="11" t="n">
        <f aca="false">IF($A184="",0,SUMIFS(tblAuftraege[Einnahmen],tblAuftraege[Datum Einnahmen],"&gt;="&amp;AM$5,tblAuftraege[Datum Einnahmen],"&lt;"&amp;EDATE(AM$5,1),tblAuftraege[Kostenstelle],$A184))</f>
        <v>0</v>
      </c>
      <c r="AN184" s="11" t="n">
        <f aca="false">IF($A184="",0,SUMIFS(tblAuftraege[Einnahmen],tblAuftraege[Datum Einnahmen],"&gt;="&amp;AN$5,tblAuftraege[Datum Einnahmen],"&lt;"&amp;EDATE(AN$5,1),tblAuftraege[Kostenstelle],$A184))</f>
        <v>0</v>
      </c>
      <c r="AO184" s="11" t="n">
        <f aca="false">IF($A184="",0,SUMIFS(tblAuftraege[Einnahmen],tblAuftraege[Datum Einnahmen],"&gt;="&amp;AO$5,tblAuftraege[Datum Einnahmen],"&lt;"&amp;EDATE(AO$5,1),tblAuftraege[Kostenstelle],$A184))</f>
        <v>0</v>
      </c>
      <c r="AP184" s="11" t="n">
        <f aca="false">IF($A184="",0,SUMIFS(tblAuftraege[Einnahmen],tblAuftraege[Datum Einnahmen],"&gt;="&amp;AP$5,tblAuftraege[Datum Einnahmen],"&lt;"&amp;EDATE(AP$5,1),tblAuftraege[Kostenstelle],$A184))</f>
        <v>0</v>
      </c>
      <c r="AQ184" s="11" t="n">
        <f aca="false">IF($A184="",0,SUMIFS(tblAuftraege[Einnahmen],tblAuftraege[Datum Einnahmen],"&gt;="&amp;AQ$5,tblAuftraege[Datum Einnahmen],"&lt;"&amp;EDATE(AQ$5,1),tblAuftraege[Kostenstelle],$A184))</f>
        <v>0</v>
      </c>
      <c r="AR184" s="11" t="n">
        <f aca="false">IF($A184="",0,SUMIFS(tblAuftraege[Einnahmen],tblAuftraege[Datum Einnahmen],"&gt;="&amp;AR$5,tblAuftraege[Datum Einnahmen],"&lt;"&amp;EDATE(AR$5,1),tblAuftraege[Kostenstelle],$A184))</f>
        <v>0</v>
      </c>
      <c r="AS184" s="11" t="n">
        <f aca="false">IF($A184="",0,SUMIFS(tblAuftraege[Einnahmen],tblAuftraege[Datum Einnahmen],"&gt;="&amp;AS$5,tblAuftraege[Datum Einnahmen],"&lt;"&amp;EDATE(AS$5,1),tblAuftraege[Kostenstelle],$A184))</f>
        <v>0</v>
      </c>
      <c r="AT184" s="11" t="n">
        <f aca="false">IF($A184="",0,SUMIFS(tblAuftraege[Einnahmen],tblAuftraege[Datum Einnahmen],"&gt;="&amp;AT$5,tblAuftraege[Datum Einnahmen],"&lt;"&amp;EDATE(AT$5,1),tblAuftraege[Kostenstelle],$A184))</f>
        <v>0</v>
      </c>
      <c r="AU184" s="11" t="n">
        <f aca="false">IF($A184="",0,SUMIFS(tblAuftraege[Einnahmen],tblAuftraege[Datum Einnahmen],"&gt;="&amp;AU$5,tblAuftraege[Datum Einnahmen],"&lt;"&amp;EDATE(AU$5,1),tblAuftraege[Kostenstelle],$A184))</f>
        <v>0</v>
      </c>
      <c r="AV184" s="11" t="n">
        <f aca="false">IF($A184="",0,SUMIFS(tblAuftraege[Einnahmen],tblAuftraege[Datum Einnahmen],"&gt;="&amp;AV$5,tblAuftraege[Datum Einnahmen],"&lt;"&amp;EDATE(AV$5,1),tblAuftraege[Kostenstelle],$A184))</f>
        <v>0</v>
      </c>
      <c r="AW184" s="11" t="n">
        <f aca="false">IF($A184="",0,SUMIFS(tblAuftraege[Einnahmen],tblAuftraege[Datum Einnahmen],"&gt;="&amp;AW$5,tblAuftraege[Datum Einnahmen],"&lt;"&amp;EDATE(AW$5,1),tblAuftraege[Kostenstelle],$A184))</f>
        <v>0</v>
      </c>
      <c r="AX184" s="11" t="n">
        <f aca="false">IF($A184="",0,SUMIFS(tblAuftraege[Einnahmen],tblAuftraege[Datum Einnahmen],"&gt;="&amp;AX$5,tblAuftraege[Datum Einnahmen],"&lt;"&amp;EDATE(AX$5,1),tblAuftraege[Kostenstelle],$A184))</f>
        <v>0</v>
      </c>
      <c r="AY184" s="11" t="n">
        <f aca="false">IF($A184="",0,SUMIFS(tblAuftraege[Einnahmen],tblAuftraege[Datum Einnahmen],"&gt;="&amp;AY$5,tblAuftraege[Datum Einnahmen],"&lt;"&amp;EDATE(AY$5,1),tblAuftraege[Kostenstelle],$A184))</f>
        <v>0</v>
      </c>
      <c r="AZ184" s="11" t="n">
        <f aca="false">IF($A184="",0,SUMIFS(tblAuftraege[Einnahmen],tblAuftraege[Datum Einnahmen],"&gt;="&amp;AZ$5,tblAuftraege[Datum Einnahmen],"&lt;"&amp;EDATE(AZ$5,1),tblAuftraege[Kostenstelle],$A184))</f>
        <v>0</v>
      </c>
      <c r="BA184" s="11" t="n">
        <f aca="false">IF($A184="",0,SUMIFS(tblAuftraege[Einnahmen],tblAuftraege[Datum Einnahmen],"&gt;="&amp;BA$5,tblAuftraege[Datum Einnahmen],"&lt;"&amp;EDATE(BA$5,1),tblAuftraege[Kostenstelle],$A184))</f>
        <v>0</v>
      </c>
      <c r="BB184" s="11" t="n">
        <f aca="false">IF($A184="",0,SUMIFS(tblAuftraege[Einnahmen],tblAuftraege[Datum Einnahmen],"&gt;="&amp;BB$5,tblAuftraege[Datum Einnahmen],"&lt;"&amp;EDATE(BB$5,1),tblAuftraege[Kostenstelle],$A184))</f>
        <v>0</v>
      </c>
      <c r="BC184" s="11" t="n">
        <f aca="false">IF($A184="",0,SUMIFS(tblAuftraege[Einnahmen],tblAuftraege[Datum Einnahmen],"&gt;="&amp;BC$5,tblAuftraege[Datum Einnahmen],"&lt;"&amp;EDATE(BC$5,1),tblAuftraege[Kostenstelle],$A184))</f>
        <v>0</v>
      </c>
      <c r="BD184" s="11" t="n">
        <f aca="false">IF($A184="",0,SUMIFS(tblAuftraege[Einnahmen],tblAuftraege[Datum Einnahmen],"&gt;="&amp;BD$5,tblAuftraege[Datum Einnahmen],"&lt;"&amp;EDATE(BD$5,1),tblAuftraege[Kostenstelle],$A184))</f>
        <v>0</v>
      </c>
      <c r="BE184" s="11" t="n">
        <f aca="false">IF($A184="",0,SUMIFS(tblAuftraege[Einnahmen],tblAuftraege[Datum Einnahmen],"&gt;="&amp;BE$5,tblAuftraege[Datum Einnahmen],"&lt;"&amp;EDATE(BE$5,1),tblAuftraege[Kostenstelle],$A184))</f>
        <v>0</v>
      </c>
      <c r="BF184" s="11" t="n">
        <f aca="false">IF($A184="",0,SUMIFS(tblAuftraege[Einnahmen],tblAuftraege[Datum Einnahmen],"&gt;="&amp;BF$5,tblAuftraege[Datum Einnahmen],"&lt;"&amp;EDATE(BF$5,1),tblAuftraege[Kostenstelle],$A184))</f>
        <v>0</v>
      </c>
      <c r="BG184" s="11" t="n">
        <f aca="false">SUM(E184:J184)</f>
        <v>0</v>
      </c>
      <c r="BH184" s="11" t="n">
        <f aca="false">SUM(K184:V184)</f>
        <v>0</v>
      </c>
      <c r="BI184" s="11" t="n">
        <f aca="false">SUM(W184:AH184)</f>
        <v>0</v>
      </c>
      <c r="BJ184" s="11" t="n">
        <f aca="false">SUM(AI184:AT184)</f>
        <v>0</v>
      </c>
      <c r="BK184" s="11" t="n">
        <f aca="false">SUM(AU184:BF184)</f>
        <v>0</v>
      </c>
      <c r="BL184" s="12" t="n">
        <f aca="false">SUM(E184:BF184)</f>
        <v>0</v>
      </c>
    </row>
    <row r="185" customFormat="false" ht="15" hidden="false" customHeight="false" outlineLevel="0" collapsed="false">
      <c r="A185" s="9"/>
      <c r="B185" s="15"/>
      <c r="C185" s="15"/>
      <c r="D185" s="15"/>
      <c r="E185" s="11" t="n">
        <f aca="false">IF($A185="",0,SUMIFS(tblAuftraege[Einnahmen],tblAuftraege[Datum Einnahmen],"&gt;="&amp;E$5,tblAuftraege[Datum Einnahmen],"&lt;"&amp;EDATE(E$5,1),tblAuftraege[Kostenstelle],$A185))</f>
        <v>0</v>
      </c>
      <c r="F185" s="11" t="n">
        <f aca="false">IF($A185="",0,SUMIFS(tblAuftraege[Einnahmen],tblAuftraege[Datum Einnahmen],"&gt;="&amp;F$5,tblAuftraege[Datum Einnahmen],"&lt;"&amp;EDATE(F$5,1),tblAuftraege[Kostenstelle],$A185))</f>
        <v>0</v>
      </c>
      <c r="G185" s="11" t="n">
        <f aca="false">IF($A185="",0,SUMIFS(tblAuftraege[Einnahmen],tblAuftraege[Datum Einnahmen],"&gt;="&amp;G$5,tblAuftraege[Datum Einnahmen],"&lt;"&amp;EDATE(G$5,1),tblAuftraege[Kostenstelle],$A185))</f>
        <v>0</v>
      </c>
      <c r="H185" s="11" t="n">
        <f aca="false">IF($A185="",0,SUMIFS(tblAuftraege[Einnahmen],tblAuftraege[Datum Einnahmen],"&gt;="&amp;H$5,tblAuftraege[Datum Einnahmen],"&lt;"&amp;EDATE(H$5,1),tblAuftraege[Kostenstelle],$A185))</f>
        <v>0</v>
      </c>
      <c r="I185" s="11" t="n">
        <f aca="false">IF($A185="",0,SUMIFS(tblAuftraege[Einnahmen],tblAuftraege[Datum Einnahmen],"&gt;="&amp;I$5,tblAuftraege[Datum Einnahmen],"&lt;"&amp;EDATE(I$5,1),tblAuftraege[Kostenstelle],$A185))</f>
        <v>0</v>
      </c>
      <c r="J185" s="11" t="n">
        <f aca="false">IF($A185="",0,SUMIFS(tblAuftraege[Einnahmen],tblAuftraege[Datum Einnahmen],"&gt;="&amp;J$5,tblAuftraege[Datum Einnahmen],"&lt;"&amp;EDATE(J$5,1),tblAuftraege[Kostenstelle],$A185))</f>
        <v>0</v>
      </c>
      <c r="K185" s="11" t="n">
        <f aca="false">IF($A185="",0,SUMIFS(tblAuftraege[Einnahmen],tblAuftraege[Datum Einnahmen],"&gt;="&amp;K$5,tblAuftraege[Datum Einnahmen],"&lt;"&amp;EDATE(K$5,1),tblAuftraege[Kostenstelle],$A185))</f>
        <v>0</v>
      </c>
      <c r="L185" s="11" t="n">
        <f aca="false">IF($A185="",0,SUMIFS(tblAuftraege[Einnahmen],tblAuftraege[Datum Einnahmen],"&gt;="&amp;L$5,tblAuftraege[Datum Einnahmen],"&lt;"&amp;EDATE(L$5,1),tblAuftraege[Kostenstelle],$A185))</f>
        <v>0</v>
      </c>
      <c r="M185" s="11" t="n">
        <f aca="false">IF($A185="",0,SUMIFS(tblAuftraege[Einnahmen],tblAuftraege[Datum Einnahmen],"&gt;="&amp;M$5,tblAuftraege[Datum Einnahmen],"&lt;"&amp;EDATE(M$5,1),tblAuftraege[Kostenstelle],$A185))</f>
        <v>0</v>
      </c>
      <c r="N185" s="11" t="n">
        <f aca="false">IF($A185="",0,SUMIFS(tblAuftraege[Einnahmen],tblAuftraege[Datum Einnahmen],"&gt;="&amp;N$5,tblAuftraege[Datum Einnahmen],"&lt;"&amp;EDATE(N$5,1),tblAuftraege[Kostenstelle],$A185))</f>
        <v>0</v>
      </c>
      <c r="O185" s="11" t="n">
        <f aca="false">IF($A185="",0,SUMIFS(tblAuftraege[Einnahmen],tblAuftraege[Datum Einnahmen],"&gt;="&amp;O$5,tblAuftraege[Datum Einnahmen],"&lt;"&amp;EDATE(O$5,1),tblAuftraege[Kostenstelle],$A185))</f>
        <v>0</v>
      </c>
      <c r="P185" s="11" t="n">
        <f aca="false">IF($A185="",0,SUMIFS(tblAuftraege[Einnahmen],tblAuftraege[Datum Einnahmen],"&gt;="&amp;P$5,tblAuftraege[Datum Einnahmen],"&lt;"&amp;EDATE(P$5,1),tblAuftraege[Kostenstelle],$A185))</f>
        <v>0</v>
      </c>
      <c r="Q185" s="11" t="n">
        <f aca="false">IF($A185="",0,SUMIFS(tblAuftraege[Einnahmen],tblAuftraege[Datum Einnahmen],"&gt;="&amp;Q$5,tblAuftraege[Datum Einnahmen],"&lt;"&amp;EDATE(Q$5,1),tblAuftraege[Kostenstelle],$A185))</f>
        <v>0</v>
      </c>
      <c r="R185" s="11" t="n">
        <f aca="false">IF($A185="",0,SUMIFS(tblAuftraege[Einnahmen],tblAuftraege[Datum Einnahmen],"&gt;="&amp;R$5,tblAuftraege[Datum Einnahmen],"&lt;"&amp;EDATE(R$5,1),tblAuftraege[Kostenstelle],$A185))</f>
        <v>0</v>
      </c>
      <c r="S185" s="11" t="n">
        <f aca="false">IF($A185="",0,SUMIFS(tblAuftraege[Einnahmen],tblAuftraege[Datum Einnahmen],"&gt;="&amp;S$5,tblAuftraege[Datum Einnahmen],"&lt;"&amp;EDATE(S$5,1),tblAuftraege[Kostenstelle],$A185))</f>
        <v>0</v>
      </c>
      <c r="T185" s="11" t="n">
        <f aca="false">IF($A185="",0,SUMIFS(tblAuftraege[Einnahmen],tblAuftraege[Datum Einnahmen],"&gt;="&amp;T$5,tblAuftraege[Datum Einnahmen],"&lt;"&amp;EDATE(T$5,1),tblAuftraege[Kostenstelle],$A185))</f>
        <v>0</v>
      </c>
      <c r="U185" s="11" t="n">
        <f aca="false">IF($A185="",0,SUMIFS(tblAuftraege[Einnahmen],tblAuftraege[Datum Einnahmen],"&gt;="&amp;U$5,tblAuftraege[Datum Einnahmen],"&lt;"&amp;EDATE(U$5,1),tblAuftraege[Kostenstelle],$A185))</f>
        <v>0</v>
      </c>
      <c r="V185" s="11" t="n">
        <f aca="false">IF($A185="",0,SUMIFS(tblAuftraege[Einnahmen],tblAuftraege[Datum Einnahmen],"&gt;="&amp;V$5,tblAuftraege[Datum Einnahmen],"&lt;"&amp;EDATE(V$5,1),tblAuftraege[Kostenstelle],$A185))</f>
        <v>0</v>
      </c>
      <c r="W185" s="11" t="n">
        <f aca="false">IF($A185="",0,SUMIFS(tblAuftraege[Einnahmen],tblAuftraege[Datum Einnahmen],"&gt;="&amp;W$5,tblAuftraege[Datum Einnahmen],"&lt;"&amp;EDATE(W$5,1),tblAuftraege[Kostenstelle],$A185))</f>
        <v>0</v>
      </c>
      <c r="X185" s="11" t="n">
        <f aca="false">IF($A185="",0,SUMIFS(tblAuftraege[Einnahmen],tblAuftraege[Datum Einnahmen],"&gt;="&amp;X$5,tblAuftraege[Datum Einnahmen],"&lt;"&amp;EDATE(X$5,1),tblAuftraege[Kostenstelle],$A185))</f>
        <v>0</v>
      </c>
      <c r="Y185" s="11" t="n">
        <f aca="false">IF($A185="",0,SUMIFS(tblAuftraege[Einnahmen],tblAuftraege[Datum Einnahmen],"&gt;="&amp;Y$5,tblAuftraege[Datum Einnahmen],"&lt;"&amp;EDATE(Y$5,1),tblAuftraege[Kostenstelle],$A185))</f>
        <v>0</v>
      </c>
      <c r="Z185" s="11" t="n">
        <f aca="false">IF($A185="",0,SUMIFS(tblAuftraege[Einnahmen],tblAuftraege[Datum Einnahmen],"&gt;="&amp;Z$5,tblAuftraege[Datum Einnahmen],"&lt;"&amp;EDATE(Z$5,1),tblAuftraege[Kostenstelle],$A185))</f>
        <v>0</v>
      </c>
      <c r="AA185" s="11" t="n">
        <f aca="false">IF($A185="",0,SUMIFS(tblAuftraege[Einnahmen],tblAuftraege[Datum Einnahmen],"&gt;="&amp;AA$5,tblAuftraege[Datum Einnahmen],"&lt;"&amp;EDATE(AA$5,1),tblAuftraege[Kostenstelle],$A185))</f>
        <v>0</v>
      </c>
      <c r="AB185" s="11" t="n">
        <f aca="false">IF($A185="",0,SUMIFS(tblAuftraege[Einnahmen],tblAuftraege[Datum Einnahmen],"&gt;="&amp;AB$5,tblAuftraege[Datum Einnahmen],"&lt;"&amp;EDATE(AB$5,1),tblAuftraege[Kostenstelle],$A185))</f>
        <v>0</v>
      </c>
      <c r="AC185" s="11" t="n">
        <f aca="false">IF($A185="",0,SUMIFS(tblAuftraege[Einnahmen],tblAuftraege[Datum Einnahmen],"&gt;="&amp;AC$5,tblAuftraege[Datum Einnahmen],"&lt;"&amp;EDATE(AC$5,1),tblAuftraege[Kostenstelle],$A185))</f>
        <v>0</v>
      </c>
      <c r="AD185" s="11" t="n">
        <f aca="false">IF($A185="",0,SUMIFS(tblAuftraege[Einnahmen],tblAuftraege[Datum Einnahmen],"&gt;="&amp;AD$5,tblAuftraege[Datum Einnahmen],"&lt;"&amp;EDATE(AD$5,1),tblAuftraege[Kostenstelle],$A185))</f>
        <v>0</v>
      </c>
      <c r="AE185" s="11" t="n">
        <f aca="false">IF($A185="",0,SUMIFS(tblAuftraege[Einnahmen],tblAuftraege[Datum Einnahmen],"&gt;="&amp;AE$5,tblAuftraege[Datum Einnahmen],"&lt;"&amp;EDATE(AE$5,1),tblAuftraege[Kostenstelle],$A185))</f>
        <v>0</v>
      </c>
      <c r="AF185" s="11" t="n">
        <f aca="false">IF($A185="",0,SUMIFS(tblAuftraege[Einnahmen],tblAuftraege[Datum Einnahmen],"&gt;="&amp;AF$5,tblAuftraege[Datum Einnahmen],"&lt;"&amp;EDATE(AF$5,1),tblAuftraege[Kostenstelle],$A185))</f>
        <v>0</v>
      </c>
      <c r="AG185" s="11" t="n">
        <f aca="false">IF($A185="",0,SUMIFS(tblAuftraege[Einnahmen],tblAuftraege[Datum Einnahmen],"&gt;="&amp;AG$5,tblAuftraege[Datum Einnahmen],"&lt;"&amp;EDATE(AG$5,1),tblAuftraege[Kostenstelle],$A185))</f>
        <v>0</v>
      </c>
      <c r="AH185" s="11" t="n">
        <f aca="false">IF($A185="",0,SUMIFS(tblAuftraege[Einnahmen],tblAuftraege[Datum Einnahmen],"&gt;="&amp;AH$5,tblAuftraege[Datum Einnahmen],"&lt;"&amp;EDATE(AH$5,1),tblAuftraege[Kostenstelle],$A185))</f>
        <v>0</v>
      </c>
      <c r="AI185" s="11" t="n">
        <f aca="false">IF($A185="",0,SUMIFS(tblAuftraege[Einnahmen],tblAuftraege[Datum Einnahmen],"&gt;="&amp;AI$5,tblAuftraege[Datum Einnahmen],"&lt;"&amp;EDATE(AI$5,1),tblAuftraege[Kostenstelle],$A185))</f>
        <v>0</v>
      </c>
      <c r="AJ185" s="11" t="n">
        <f aca="false">IF($A185="",0,SUMIFS(tblAuftraege[Einnahmen],tblAuftraege[Datum Einnahmen],"&gt;="&amp;AJ$5,tblAuftraege[Datum Einnahmen],"&lt;"&amp;EDATE(AJ$5,1),tblAuftraege[Kostenstelle],$A185))</f>
        <v>0</v>
      </c>
      <c r="AK185" s="11" t="n">
        <f aca="false">IF($A185="",0,SUMIFS(tblAuftraege[Einnahmen],tblAuftraege[Datum Einnahmen],"&gt;="&amp;AK$5,tblAuftraege[Datum Einnahmen],"&lt;"&amp;EDATE(AK$5,1),tblAuftraege[Kostenstelle],$A185))</f>
        <v>0</v>
      </c>
      <c r="AL185" s="11" t="n">
        <f aca="false">IF($A185="",0,SUMIFS(tblAuftraege[Einnahmen],tblAuftraege[Datum Einnahmen],"&gt;="&amp;AL$5,tblAuftraege[Datum Einnahmen],"&lt;"&amp;EDATE(AL$5,1),tblAuftraege[Kostenstelle],$A185))</f>
        <v>0</v>
      </c>
      <c r="AM185" s="11" t="n">
        <f aca="false">IF($A185="",0,SUMIFS(tblAuftraege[Einnahmen],tblAuftraege[Datum Einnahmen],"&gt;="&amp;AM$5,tblAuftraege[Datum Einnahmen],"&lt;"&amp;EDATE(AM$5,1),tblAuftraege[Kostenstelle],$A185))</f>
        <v>0</v>
      </c>
      <c r="AN185" s="11" t="n">
        <f aca="false">IF($A185="",0,SUMIFS(tblAuftraege[Einnahmen],tblAuftraege[Datum Einnahmen],"&gt;="&amp;AN$5,tblAuftraege[Datum Einnahmen],"&lt;"&amp;EDATE(AN$5,1),tblAuftraege[Kostenstelle],$A185))</f>
        <v>0</v>
      </c>
      <c r="AO185" s="11" t="n">
        <f aca="false">IF($A185="",0,SUMIFS(tblAuftraege[Einnahmen],tblAuftraege[Datum Einnahmen],"&gt;="&amp;AO$5,tblAuftraege[Datum Einnahmen],"&lt;"&amp;EDATE(AO$5,1),tblAuftraege[Kostenstelle],$A185))</f>
        <v>0</v>
      </c>
      <c r="AP185" s="11" t="n">
        <f aca="false">IF($A185="",0,SUMIFS(tblAuftraege[Einnahmen],tblAuftraege[Datum Einnahmen],"&gt;="&amp;AP$5,tblAuftraege[Datum Einnahmen],"&lt;"&amp;EDATE(AP$5,1),tblAuftraege[Kostenstelle],$A185))</f>
        <v>0</v>
      </c>
      <c r="AQ185" s="11" t="n">
        <f aca="false">IF($A185="",0,SUMIFS(tblAuftraege[Einnahmen],tblAuftraege[Datum Einnahmen],"&gt;="&amp;AQ$5,tblAuftraege[Datum Einnahmen],"&lt;"&amp;EDATE(AQ$5,1),tblAuftraege[Kostenstelle],$A185))</f>
        <v>0</v>
      </c>
      <c r="AR185" s="11" t="n">
        <f aca="false">IF($A185="",0,SUMIFS(tblAuftraege[Einnahmen],tblAuftraege[Datum Einnahmen],"&gt;="&amp;AR$5,tblAuftraege[Datum Einnahmen],"&lt;"&amp;EDATE(AR$5,1),tblAuftraege[Kostenstelle],$A185))</f>
        <v>0</v>
      </c>
      <c r="AS185" s="11" t="n">
        <f aca="false">IF($A185="",0,SUMIFS(tblAuftraege[Einnahmen],tblAuftraege[Datum Einnahmen],"&gt;="&amp;AS$5,tblAuftraege[Datum Einnahmen],"&lt;"&amp;EDATE(AS$5,1),tblAuftraege[Kostenstelle],$A185))</f>
        <v>0</v>
      </c>
      <c r="AT185" s="11" t="n">
        <f aca="false">IF($A185="",0,SUMIFS(tblAuftraege[Einnahmen],tblAuftraege[Datum Einnahmen],"&gt;="&amp;AT$5,tblAuftraege[Datum Einnahmen],"&lt;"&amp;EDATE(AT$5,1),tblAuftraege[Kostenstelle],$A185))</f>
        <v>0</v>
      </c>
      <c r="AU185" s="11" t="n">
        <f aca="false">IF($A185="",0,SUMIFS(tblAuftraege[Einnahmen],tblAuftraege[Datum Einnahmen],"&gt;="&amp;AU$5,tblAuftraege[Datum Einnahmen],"&lt;"&amp;EDATE(AU$5,1),tblAuftraege[Kostenstelle],$A185))</f>
        <v>0</v>
      </c>
      <c r="AV185" s="11" t="n">
        <f aca="false">IF($A185="",0,SUMIFS(tblAuftraege[Einnahmen],tblAuftraege[Datum Einnahmen],"&gt;="&amp;AV$5,tblAuftraege[Datum Einnahmen],"&lt;"&amp;EDATE(AV$5,1),tblAuftraege[Kostenstelle],$A185))</f>
        <v>0</v>
      </c>
      <c r="AW185" s="11" t="n">
        <f aca="false">IF($A185="",0,SUMIFS(tblAuftraege[Einnahmen],tblAuftraege[Datum Einnahmen],"&gt;="&amp;AW$5,tblAuftraege[Datum Einnahmen],"&lt;"&amp;EDATE(AW$5,1),tblAuftraege[Kostenstelle],$A185))</f>
        <v>0</v>
      </c>
      <c r="AX185" s="11" t="n">
        <f aca="false">IF($A185="",0,SUMIFS(tblAuftraege[Einnahmen],tblAuftraege[Datum Einnahmen],"&gt;="&amp;AX$5,tblAuftraege[Datum Einnahmen],"&lt;"&amp;EDATE(AX$5,1),tblAuftraege[Kostenstelle],$A185))</f>
        <v>0</v>
      </c>
      <c r="AY185" s="11" t="n">
        <f aca="false">IF($A185="",0,SUMIFS(tblAuftraege[Einnahmen],tblAuftraege[Datum Einnahmen],"&gt;="&amp;AY$5,tblAuftraege[Datum Einnahmen],"&lt;"&amp;EDATE(AY$5,1),tblAuftraege[Kostenstelle],$A185))</f>
        <v>0</v>
      </c>
      <c r="AZ185" s="11" t="n">
        <f aca="false">IF($A185="",0,SUMIFS(tblAuftraege[Einnahmen],tblAuftraege[Datum Einnahmen],"&gt;="&amp;AZ$5,tblAuftraege[Datum Einnahmen],"&lt;"&amp;EDATE(AZ$5,1),tblAuftraege[Kostenstelle],$A185))</f>
        <v>0</v>
      </c>
      <c r="BA185" s="11" t="n">
        <f aca="false">IF($A185="",0,SUMIFS(tblAuftraege[Einnahmen],tblAuftraege[Datum Einnahmen],"&gt;="&amp;BA$5,tblAuftraege[Datum Einnahmen],"&lt;"&amp;EDATE(BA$5,1),tblAuftraege[Kostenstelle],$A185))</f>
        <v>0</v>
      </c>
      <c r="BB185" s="11" t="n">
        <f aca="false">IF($A185="",0,SUMIFS(tblAuftraege[Einnahmen],tblAuftraege[Datum Einnahmen],"&gt;="&amp;BB$5,tblAuftraege[Datum Einnahmen],"&lt;"&amp;EDATE(BB$5,1),tblAuftraege[Kostenstelle],$A185))</f>
        <v>0</v>
      </c>
      <c r="BC185" s="11" t="n">
        <f aca="false">IF($A185="",0,SUMIFS(tblAuftraege[Einnahmen],tblAuftraege[Datum Einnahmen],"&gt;="&amp;BC$5,tblAuftraege[Datum Einnahmen],"&lt;"&amp;EDATE(BC$5,1),tblAuftraege[Kostenstelle],$A185))</f>
        <v>0</v>
      </c>
      <c r="BD185" s="11" t="n">
        <f aca="false">IF($A185="",0,SUMIFS(tblAuftraege[Einnahmen],tblAuftraege[Datum Einnahmen],"&gt;="&amp;BD$5,tblAuftraege[Datum Einnahmen],"&lt;"&amp;EDATE(BD$5,1),tblAuftraege[Kostenstelle],$A185))</f>
        <v>0</v>
      </c>
      <c r="BE185" s="11" t="n">
        <f aca="false">IF($A185="",0,SUMIFS(tblAuftraege[Einnahmen],tblAuftraege[Datum Einnahmen],"&gt;="&amp;BE$5,tblAuftraege[Datum Einnahmen],"&lt;"&amp;EDATE(BE$5,1),tblAuftraege[Kostenstelle],$A185))</f>
        <v>0</v>
      </c>
      <c r="BF185" s="11" t="n">
        <f aca="false">IF($A185="",0,SUMIFS(tblAuftraege[Einnahmen],tblAuftraege[Datum Einnahmen],"&gt;="&amp;BF$5,tblAuftraege[Datum Einnahmen],"&lt;"&amp;EDATE(BF$5,1),tblAuftraege[Kostenstelle],$A185))</f>
        <v>0</v>
      </c>
      <c r="BG185" s="11" t="n">
        <f aca="false">SUM(E185:J185)</f>
        <v>0</v>
      </c>
      <c r="BH185" s="11" t="n">
        <f aca="false">SUM(K185:V185)</f>
        <v>0</v>
      </c>
      <c r="BI185" s="11" t="n">
        <f aca="false">SUM(W185:AH185)</f>
        <v>0</v>
      </c>
      <c r="BJ185" s="11" t="n">
        <f aca="false">SUM(AI185:AT185)</f>
        <v>0</v>
      </c>
      <c r="BK185" s="11" t="n">
        <f aca="false">SUM(AU185:BF185)</f>
        <v>0</v>
      </c>
      <c r="BL185" s="12" t="n">
        <f aca="false">SUM(E185:BF185)</f>
        <v>0</v>
      </c>
    </row>
    <row r="186" customFormat="false" ht="15" hidden="false" customHeight="false" outlineLevel="0" collapsed="false">
      <c r="A186" s="9"/>
      <c r="B186" s="15"/>
      <c r="C186" s="15"/>
      <c r="D186" s="15"/>
      <c r="E186" s="11" t="n">
        <f aca="false">IF($A186="",0,SUMIFS(tblAuftraege[Einnahmen],tblAuftraege[Datum Einnahmen],"&gt;="&amp;E$5,tblAuftraege[Datum Einnahmen],"&lt;"&amp;EDATE(E$5,1),tblAuftraege[Kostenstelle],$A186))</f>
        <v>0</v>
      </c>
      <c r="F186" s="11" t="n">
        <f aca="false">IF($A186="",0,SUMIFS(tblAuftraege[Einnahmen],tblAuftraege[Datum Einnahmen],"&gt;="&amp;F$5,tblAuftraege[Datum Einnahmen],"&lt;"&amp;EDATE(F$5,1),tblAuftraege[Kostenstelle],$A186))</f>
        <v>0</v>
      </c>
      <c r="G186" s="11" t="n">
        <f aca="false">IF($A186="",0,SUMIFS(tblAuftraege[Einnahmen],tblAuftraege[Datum Einnahmen],"&gt;="&amp;G$5,tblAuftraege[Datum Einnahmen],"&lt;"&amp;EDATE(G$5,1),tblAuftraege[Kostenstelle],$A186))</f>
        <v>0</v>
      </c>
      <c r="H186" s="11" t="n">
        <f aca="false">IF($A186="",0,SUMIFS(tblAuftraege[Einnahmen],tblAuftraege[Datum Einnahmen],"&gt;="&amp;H$5,tblAuftraege[Datum Einnahmen],"&lt;"&amp;EDATE(H$5,1),tblAuftraege[Kostenstelle],$A186))</f>
        <v>0</v>
      </c>
      <c r="I186" s="11" t="n">
        <f aca="false">IF($A186="",0,SUMIFS(tblAuftraege[Einnahmen],tblAuftraege[Datum Einnahmen],"&gt;="&amp;I$5,tblAuftraege[Datum Einnahmen],"&lt;"&amp;EDATE(I$5,1),tblAuftraege[Kostenstelle],$A186))</f>
        <v>0</v>
      </c>
      <c r="J186" s="11" t="n">
        <f aca="false">IF($A186="",0,SUMIFS(tblAuftraege[Einnahmen],tblAuftraege[Datum Einnahmen],"&gt;="&amp;J$5,tblAuftraege[Datum Einnahmen],"&lt;"&amp;EDATE(J$5,1),tblAuftraege[Kostenstelle],$A186))</f>
        <v>0</v>
      </c>
      <c r="K186" s="11" t="n">
        <f aca="false">IF($A186="",0,SUMIFS(tblAuftraege[Einnahmen],tblAuftraege[Datum Einnahmen],"&gt;="&amp;K$5,tblAuftraege[Datum Einnahmen],"&lt;"&amp;EDATE(K$5,1),tblAuftraege[Kostenstelle],$A186))</f>
        <v>0</v>
      </c>
      <c r="L186" s="11" t="n">
        <f aca="false">IF($A186="",0,SUMIFS(tblAuftraege[Einnahmen],tblAuftraege[Datum Einnahmen],"&gt;="&amp;L$5,tblAuftraege[Datum Einnahmen],"&lt;"&amp;EDATE(L$5,1),tblAuftraege[Kostenstelle],$A186))</f>
        <v>0</v>
      </c>
      <c r="M186" s="11" t="n">
        <f aca="false">IF($A186="",0,SUMIFS(tblAuftraege[Einnahmen],tblAuftraege[Datum Einnahmen],"&gt;="&amp;M$5,tblAuftraege[Datum Einnahmen],"&lt;"&amp;EDATE(M$5,1),tblAuftraege[Kostenstelle],$A186))</f>
        <v>0</v>
      </c>
      <c r="N186" s="11" t="n">
        <f aca="false">IF($A186="",0,SUMIFS(tblAuftraege[Einnahmen],tblAuftraege[Datum Einnahmen],"&gt;="&amp;N$5,tblAuftraege[Datum Einnahmen],"&lt;"&amp;EDATE(N$5,1),tblAuftraege[Kostenstelle],$A186))</f>
        <v>0</v>
      </c>
      <c r="O186" s="11" t="n">
        <f aca="false">IF($A186="",0,SUMIFS(tblAuftraege[Einnahmen],tblAuftraege[Datum Einnahmen],"&gt;="&amp;O$5,tblAuftraege[Datum Einnahmen],"&lt;"&amp;EDATE(O$5,1),tblAuftraege[Kostenstelle],$A186))</f>
        <v>0</v>
      </c>
      <c r="P186" s="11" t="n">
        <f aca="false">IF($A186="",0,SUMIFS(tblAuftraege[Einnahmen],tblAuftraege[Datum Einnahmen],"&gt;="&amp;P$5,tblAuftraege[Datum Einnahmen],"&lt;"&amp;EDATE(P$5,1),tblAuftraege[Kostenstelle],$A186))</f>
        <v>0</v>
      </c>
      <c r="Q186" s="11" t="n">
        <f aca="false">IF($A186="",0,SUMIFS(tblAuftraege[Einnahmen],tblAuftraege[Datum Einnahmen],"&gt;="&amp;Q$5,tblAuftraege[Datum Einnahmen],"&lt;"&amp;EDATE(Q$5,1),tblAuftraege[Kostenstelle],$A186))</f>
        <v>0</v>
      </c>
      <c r="R186" s="11" t="n">
        <f aca="false">IF($A186="",0,SUMIFS(tblAuftraege[Einnahmen],tblAuftraege[Datum Einnahmen],"&gt;="&amp;R$5,tblAuftraege[Datum Einnahmen],"&lt;"&amp;EDATE(R$5,1),tblAuftraege[Kostenstelle],$A186))</f>
        <v>0</v>
      </c>
      <c r="S186" s="11" t="n">
        <f aca="false">IF($A186="",0,SUMIFS(tblAuftraege[Einnahmen],tblAuftraege[Datum Einnahmen],"&gt;="&amp;S$5,tblAuftraege[Datum Einnahmen],"&lt;"&amp;EDATE(S$5,1),tblAuftraege[Kostenstelle],$A186))</f>
        <v>0</v>
      </c>
      <c r="T186" s="11" t="n">
        <f aca="false">IF($A186="",0,SUMIFS(tblAuftraege[Einnahmen],tblAuftraege[Datum Einnahmen],"&gt;="&amp;T$5,tblAuftraege[Datum Einnahmen],"&lt;"&amp;EDATE(T$5,1),tblAuftraege[Kostenstelle],$A186))</f>
        <v>0</v>
      </c>
      <c r="U186" s="11" t="n">
        <f aca="false">IF($A186="",0,SUMIFS(tblAuftraege[Einnahmen],tblAuftraege[Datum Einnahmen],"&gt;="&amp;U$5,tblAuftraege[Datum Einnahmen],"&lt;"&amp;EDATE(U$5,1),tblAuftraege[Kostenstelle],$A186))</f>
        <v>0</v>
      </c>
      <c r="V186" s="11" t="n">
        <f aca="false">IF($A186="",0,SUMIFS(tblAuftraege[Einnahmen],tblAuftraege[Datum Einnahmen],"&gt;="&amp;V$5,tblAuftraege[Datum Einnahmen],"&lt;"&amp;EDATE(V$5,1),tblAuftraege[Kostenstelle],$A186))</f>
        <v>0</v>
      </c>
      <c r="W186" s="11" t="n">
        <f aca="false">IF($A186="",0,SUMIFS(tblAuftraege[Einnahmen],tblAuftraege[Datum Einnahmen],"&gt;="&amp;W$5,tblAuftraege[Datum Einnahmen],"&lt;"&amp;EDATE(W$5,1),tblAuftraege[Kostenstelle],$A186))</f>
        <v>0</v>
      </c>
      <c r="X186" s="11" t="n">
        <f aca="false">IF($A186="",0,SUMIFS(tblAuftraege[Einnahmen],tblAuftraege[Datum Einnahmen],"&gt;="&amp;X$5,tblAuftraege[Datum Einnahmen],"&lt;"&amp;EDATE(X$5,1),tblAuftraege[Kostenstelle],$A186))</f>
        <v>0</v>
      </c>
      <c r="Y186" s="11" t="n">
        <f aca="false">IF($A186="",0,SUMIFS(tblAuftraege[Einnahmen],tblAuftraege[Datum Einnahmen],"&gt;="&amp;Y$5,tblAuftraege[Datum Einnahmen],"&lt;"&amp;EDATE(Y$5,1),tblAuftraege[Kostenstelle],$A186))</f>
        <v>0</v>
      </c>
      <c r="Z186" s="11" t="n">
        <f aca="false">IF($A186="",0,SUMIFS(tblAuftraege[Einnahmen],tblAuftraege[Datum Einnahmen],"&gt;="&amp;Z$5,tblAuftraege[Datum Einnahmen],"&lt;"&amp;EDATE(Z$5,1),tblAuftraege[Kostenstelle],$A186))</f>
        <v>0</v>
      </c>
      <c r="AA186" s="11" t="n">
        <f aca="false">IF($A186="",0,SUMIFS(tblAuftraege[Einnahmen],tblAuftraege[Datum Einnahmen],"&gt;="&amp;AA$5,tblAuftraege[Datum Einnahmen],"&lt;"&amp;EDATE(AA$5,1),tblAuftraege[Kostenstelle],$A186))</f>
        <v>0</v>
      </c>
      <c r="AB186" s="11" t="n">
        <f aca="false">IF($A186="",0,SUMIFS(tblAuftraege[Einnahmen],tblAuftraege[Datum Einnahmen],"&gt;="&amp;AB$5,tblAuftraege[Datum Einnahmen],"&lt;"&amp;EDATE(AB$5,1),tblAuftraege[Kostenstelle],$A186))</f>
        <v>0</v>
      </c>
      <c r="AC186" s="11" t="n">
        <f aca="false">IF($A186="",0,SUMIFS(tblAuftraege[Einnahmen],tblAuftraege[Datum Einnahmen],"&gt;="&amp;AC$5,tblAuftraege[Datum Einnahmen],"&lt;"&amp;EDATE(AC$5,1),tblAuftraege[Kostenstelle],$A186))</f>
        <v>0</v>
      </c>
      <c r="AD186" s="11" t="n">
        <f aca="false">IF($A186="",0,SUMIFS(tblAuftraege[Einnahmen],tblAuftraege[Datum Einnahmen],"&gt;="&amp;AD$5,tblAuftraege[Datum Einnahmen],"&lt;"&amp;EDATE(AD$5,1),tblAuftraege[Kostenstelle],$A186))</f>
        <v>0</v>
      </c>
      <c r="AE186" s="11" t="n">
        <f aca="false">IF($A186="",0,SUMIFS(tblAuftraege[Einnahmen],tblAuftraege[Datum Einnahmen],"&gt;="&amp;AE$5,tblAuftraege[Datum Einnahmen],"&lt;"&amp;EDATE(AE$5,1),tblAuftraege[Kostenstelle],$A186))</f>
        <v>0</v>
      </c>
      <c r="AF186" s="11" t="n">
        <f aca="false">IF($A186="",0,SUMIFS(tblAuftraege[Einnahmen],tblAuftraege[Datum Einnahmen],"&gt;="&amp;AF$5,tblAuftraege[Datum Einnahmen],"&lt;"&amp;EDATE(AF$5,1),tblAuftraege[Kostenstelle],$A186))</f>
        <v>0</v>
      </c>
      <c r="AG186" s="11" t="n">
        <f aca="false">IF($A186="",0,SUMIFS(tblAuftraege[Einnahmen],tblAuftraege[Datum Einnahmen],"&gt;="&amp;AG$5,tblAuftraege[Datum Einnahmen],"&lt;"&amp;EDATE(AG$5,1),tblAuftraege[Kostenstelle],$A186))</f>
        <v>0</v>
      </c>
      <c r="AH186" s="11" t="n">
        <f aca="false">IF($A186="",0,SUMIFS(tblAuftraege[Einnahmen],tblAuftraege[Datum Einnahmen],"&gt;="&amp;AH$5,tblAuftraege[Datum Einnahmen],"&lt;"&amp;EDATE(AH$5,1),tblAuftraege[Kostenstelle],$A186))</f>
        <v>0</v>
      </c>
      <c r="AI186" s="11" t="n">
        <f aca="false">IF($A186="",0,SUMIFS(tblAuftraege[Einnahmen],tblAuftraege[Datum Einnahmen],"&gt;="&amp;AI$5,tblAuftraege[Datum Einnahmen],"&lt;"&amp;EDATE(AI$5,1),tblAuftraege[Kostenstelle],$A186))</f>
        <v>0</v>
      </c>
      <c r="AJ186" s="11" t="n">
        <f aca="false">IF($A186="",0,SUMIFS(tblAuftraege[Einnahmen],tblAuftraege[Datum Einnahmen],"&gt;="&amp;AJ$5,tblAuftraege[Datum Einnahmen],"&lt;"&amp;EDATE(AJ$5,1),tblAuftraege[Kostenstelle],$A186))</f>
        <v>0</v>
      </c>
      <c r="AK186" s="11" t="n">
        <f aca="false">IF($A186="",0,SUMIFS(tblAuftraege[Einnahmen],tblAuftraege[Datum Einnahmen],"&gt;="&amp;AK$5,tblAuftraege[Datum Einnahmen],"&lt;"&amp;EDATE(AK$5,1),tblAuftraege[Kostenstelle],$A186))</f>
        <v>0</v>
      </c>
      <c r="AL186" s="11" t="n">
        <f aca="false">IF($A186="",0,SUMIFS(tblAuftraege[Einnahmen],tblAuftraege[Datum Einnahmen],"&gt;="&amp;AL$5,tblAuftraege[Datum Einnahmen],"&lt;"&amp;EDATE(AL$5,1),tblAuftraege[Kostenstelle],$A186))</f>
        <v>0</v>
      </c>
      <c r="AM186" s="11" t="n">
        <f aca="false">IF($A186="",0,SUMIFS(tblAuftraege[Einnahmen],tblAuftraege[Datum Einnahmen],"&gt;="&amp;AM$5,tblAuftraege[Datum Einnahmen],"&lt;"&amp;EDATE(AM$5,1),tblAuftraege[Kostenstelle],$A186))</f>
        <v>0</v>
      </c>
      <c r="AN186" s="11" t="n">
        <f aca="false">IF($A186="",0,SUMIFS(tblAuftraege[Einnahmen],tblAuftraege[Datum Einnahmen],"&gt;="&amp;AN$5,tblAuftraege[Datum Einnahmen],"&lt;"&amp;EDATE(AN$5,1),tblAuftraege[Kostenstelle],$A186))</f>
        <v>0</v>
      </c>
      <c r="AO186" s="11" t="n">
        <f aca="false">IF($A186="",0,SUMIFS(tblAuftraege[Einnahmen],tblAuftraege[Datum Einnahmen],"&gt;="&amp;AO$5,tblAuftraege[Datum Einnahmen],"&lt;"&amp;EDATE(AO$5,1),tblAuftraege[Kostenstelle],$A186))</f>
        <v>0</v>
      </c>
      <c r="AP186" s="11" t="n">
        <f aca="false">IF($A186="",0,SUMIFS(tblAuftraege[Einnahmen],tblAuftraege[Datum Einnahmen],"&gt;="&amp;AP$5,tblAuftraege[Datum Einnahmen],"&lt;"&amp;EDATE(AP$5,1),tblAuftraege[Kostenstelle],$A186))</f>
        <v>0</v>
      </c>
      <c r="AQ186" s="11" t="n">
        <f aca="false">IF($A186="",0,SUMIFS(tblAuftraege[Einnahmen],tblAuftraege[Datum Einnahmen],"&gt;="&amp;AQ$5,tblAuftraege[Datum Einnahmen],"&lt;"&amp;EDATE(AQ$5,1),tblAuftraege[Kostenstelle],$A186))</f>
        <v>0</v>
      </c>
      <c r="AR186" s="11" t="n">
        <f aca="false">IF($A186="",0,SUMIFS(tblAuftraege[Einnahmen],tblAuftraege[Datum Einnahmen],"&gt;="&amp;AR$5,tblAuftraege[Datum Einnahmen],"&lt;"&amp;EDATE(AR$5,1),tblAuftraege[Kostenstelle],$A186))</f>
        <v>0</v>
      </c>
      <c r="AS186" s="11" t="n">
        <f aca="false">IF($A186="",0,SUMIFS(tblAuftraege[Einnahmen],tblAuftraege[Datum Einnahmen],"&gt;="&amp;AS$5,tblAuftraege[Datum Einnahmen],"&lt;"&amp;EDATE(AS$5,1),tblAuftraege[Kostenstelle],$A186))</f>
        <v>0</v>
      </c>
      <c r="AT186" s="11" t="n">
        <f aca="false">IF($A186="",0,SUMIFS(tblAuftraege[Einnahmen],tblAuftraege[Datum Einnahmen],"&gt;="&amp;AT$5,tblAuftraege[Datum Einnahmen],"&lt;"&amp;EDATE(AT$5,1),tblAuftraege[Kostenstelle],$A186))</f>
        <v>0</v>
      </c>
      <c r="AU186" s="11" t="n">
        <f aca="false">IF($A186="",0,SUMIFS(tblAuftraege[Einnahmen],tblAuftraege[Datum Einnahmen],"&gt;="&amp;AU$5,tblAuftraege[Datum Einnahmen],"&lt;"&amp;EDATE(AU$5,1),tblAuftraege[Kostenstelle],$A186))</f>
        <v>0</v>
      </c>
      <c r="AV186" s="11" t="n">
        <f aca="false">IF($A186="",0,SUMIFS(tblAuftraege[Einnahmen],tblAuftraege[Datum Einnahmen],"&gt;="&amp;AV$5,tblAuftraege[Datum Einnahmen],"&lt;"&amp;EDATE(AV$5,1),tblAuftraege[Kostenstelle],$A186))</f>
        <v>0</v>
      </c>
      <c r="AW186" s="11" t="n">
        <f aca="false">IF($A186="",0,SUMIFS(tblAuftraege[Einnahmen],tblAuftraege[Datum Einnahmen],"&gt;="&amp;AW$5,tblAuftraege[Datum Einnahmen],"&lt;"&amp;EDATE(AW$5,1),tblAuftraege[Kostenstelle],$A186))</f>
        <v>0</v>
      </c>
      <c r="AX186" s="11" t="n">
        <f aca="false">IF($A186="",0,SUMIFS(tblAuftraege[Einnahmen],tblAuftraege[Datum Einnahmen],"&gt;="&amp;AX$5,tblAuftraege[Datum Einnahmen],"&lt;"&amp;EDATE(AX$5,1),tblAuftraege[Kostenstelle],$A186))</f>
        <v>0</v>
      </c>
      <c r="AY186" s="11" t="n">
        <f aca="false">IF($A186="",0,SUMIFS(tblAuftraege[Einnahmen],tblAuftraege[Datum Einnahmen],"&gt;="&amp;AY$5,tblAuftraege[Datum Einnahmen],"&lt;"&amp;EDATE(AY$5,1),tblAuftraege[Kostenstelle],$A186))</f>
        <v>0</v>
      </c>
      <c r="AZ186" s="11" t="n">
        <f aca="false">IF($A186="",0,SUMIFS(tblAuftraege[Einnahmen],tblAuftraege[Datum Einnahmen],"&gt;="&amp;AZ$5,tblAuftraege[Datum Einnahmen],"&lt;"&amp;EDATE(AZ$5,1),tblAuftraege[Kostenstelle],$A186))</f>
        <v>0</v>
      </c>
      <c r="BA186" s="11" t="n">
        <f aca="false">IF($A186="",0,SUMIFS(tblAuftraege[Einnahmen],tblAuftraege[Datum Einnahmen],"&gt;="&amp;BA$5,tblAuftraege[Datum Einnahmen],"&lt;"&amp;EDATE(BA$5,1),tblAuftraege[Kostenstelle],$A186))</f>
        <v>0</v>
      </c>
      <c r="BB186" s="11" t="n">
        <f aca="false">IF($A186="",0,SUMIFS(tblAuftraege[Einnahmen],tblAuftraege[Datum Einnahmen],"&gt;="&amp;BB$5,tblAuftraege[Datum Einnahmen],"&lt;"&amp;EDATE(BB$5,1),tblAuftraege[Kostenstelle],$A186))</f>
        <v>0</v>
      </c>
      <c r="BC186" s="11" t="n">
        <f aca="false">IF($A186="",0,SUMIFS(tblAuftraege[Einnahmen],tblAuftraege[Datum Einnahmen],"&gt;="&amp;BC$5,tblAuftraege[Datum Einnahmen],"&lt;"&amp;EDATE(BC$5,1),tblAuftraege[Kostenstelle],$A186))</f>
        <v>0</v>
      </c>
      <c r="BD186" s="11" t="n">
        <f aca="false">IF($A186="",0,SUMIFS(tblAuftraege[Einnahmen],tblAuftraege[Datum Einnahmen],"&gt;="&amp;BD$5,tblAuftraege[Datum Einnahmen],"&lt;"&amp;EDATE(BD$5,1),tblAuftraege[Kostenstelle],$A186))</f>
        <v>0</v>
      </c>
      <c r="BE186" s="11" t="n">
        <f aca="false">IF($A186="",0,SUMIFS(tblAuftraege[Einnahmen],tblAuftraege[Datum Einnahmen],"&gt;="&amp;BE$5,tblAuftraege[Datum Einnahmen],"&lt;"&amp;EDATE(BE$5,1),tblAuftraege[Kostenstelle],$A186))</f>
        <v>0</v>
      </c>
      <c r="BF186" s="11" t="n">
        <f aca="false">IF($A186="",0,SUMIFS(tblAuftraege[Einnahmen],tblAuftraege[Datum Einnahmen],"&gt;="&amp;BF$5,tblAuftraege[Datum Einnahmen],"&lt;"&amp;EDATE(BF$5,1),tblAuftraege[Kostenstelle],$A186))</f>
        <v>0</v>
      </c>
      <c r="BG186" s="11" t="n">
        <f aca="false">SUM(E186:J186)</f>
        <v>0</v>
      </c>
      <c r="BH186" s="11" t="n">
        <f aca="false">SUM(K186:V186)</f>
        <v>0</v>
      </c>
      <c r="BI186" s="11" t="n">
        <f aca="false">SUM(W186:AH186)</f>
        <v>0</v>
      </c>
      <c r="BJ186" s="11" t="n">
        <f aca="false">SUM(AI186:AT186)</f>
        <v>0</v>
      </c>
      <c r="BK186" s="11" t="n">
        <f aca="false">SUM(AU186:BF186)</f>
        <v>0</v>
      </c>
      <c r="BL186" s="12" t="n">
        <f aca="false">SUM(E186:BF186)</f>
        <v>0</v>
      </c>
    </row>
    <row r="187" customFormat="false" ht="15" hidden="false" customHeight="false" outlineLevel="0" collapsed="false">
      <c r="A187" s="9"/>
      <c r="B187" s="15"/>
      <c r="C187" s="15"/>
      <c r="D187" s="15"/>
      <c r="E187" s="11" t="n">
        <f aca="false">IF($A187="",0,SUMIFS(tblAuftraege[Einnahmen],tblAuftraege[Datum Einnahmen],"&gt;="&amp;E$5,tblAuftraege[Datum Einnahmen],"&lt;"&amp;EDATE(E$5,1),tblAuftraege[Kostenstelle],$A187))</f>
        <v>0</v>
      </c>
      <c r="F187" s="11" t="n">
        <f aca="false">IF($A187="",0,SUMIFS(tblAuftraege[Einnahmen],tblAuftraege[Datum Einnahmen],"&gt;="&amp;F$5,tblAuftraege[Datum Einnahmen],"&lt;"&amp;EDATE(F$5,1),tblAuftraege[Kostenstelle],$A187))</f>
        <v>0</v>
      </c>
      <c r="G187" s="11" t="n">
        <f aca="false">IF($A187="",0,SUMIFS(tblAuftraege[Einnahmen],tblAuftraege[Datum Einnahmen],"&gt;="&amp;G$5,tblAuftraege[Datum Einnahmen],"&lt;"&amp;EDATE(G$5,1),tblAuftraege[Kostenstelle],$A187))</f>
        <v>0</v>
      </c>
      <c r="H187" s="11" t="n">
        <f aca="false">IF($A187="",0,SUMIFS(tblAuftraege[Einnahmen],tblAuftraege[Datum Einnahmen],"&gt;="&amp;H$5,tblAuftraege[Datum Einnahmen],"&lt;"&amp;EDATE(H$5,1),tblAuftraege[Kostenstelle],$A187))</f>
        <v>0</v>
      </c>
      <c r="I187" s="11" t="n">
        <f aca="false">IF($A187="",0,SUMIFS(tblAuftraege[Einnahmen],tblAuftraege[Datum Einnahmen],"&gt;="&amp;I$5,tblAuftraege[Datum Einnahmen],"&lt;"&amp;EDATE(I$5,1),tblAuftraege[Kostenstelle],$A187))</f>
        <v>0</v>
      </c>
      <c r="J187" s="11" t="n">
        <f aca="false">IF($A187="",0,SUMIFS(tblAuftraege[Einnahmen],tblAuftraege[Datum Einnahmen],"&gt;="&amp;J$5,tblAuftraege[Datum Einnahmen],"&lt;"&amp;EDATE(J$5,1),tblAuftraege[Kostenstelle],$A187))</f>
        <v>0</v>
      </c>
      <c r="K187" s="11" t="n">
        <f aca="false">IF($A187="",0,SUMIFS(tblAuftraege[Einnahmen],tblAuftraege[Datum Einnahmen],"&gt;="&amp;K$5,tblAuftraege[Datum Einnahmen],"&lt;"&amp;EDATE(K$5,1),tblAuftraege[Kostenstelle],$A187))</f>
        <v>0</v>
      </c>
      <c r="L187" s="11" t="n">
        <f aca="false">IF($A187="",0,SUMIFS(tblAuftraege[Einnahmen],tblAuftraege[Datum Einnahmen],"&gt;="&amp;L$5,tblAuftraege[Datum Einnahmen],"&lt;"&amp;EDATE(L$5,1),tblAuftraege[Kostenstelle],$A187))</f>
        <v>0</v>
      </c>
      <c r="M187" s="11" t="n">
        <f aca="false">IF($A187="",0,SUMIFS(tblAuftraege[Einnahmen],tblAuftraege[Datum Einnahmen],"&gt;="&amp;M$5,tblAuftraege[Datum Einnahmen],"&lt;"&amp;EDATE(M$5,1),tblAuftraege[Kostenstelle],$A187))</f>
        <v>0</v>
      </c>
      <c r="N187" s="11" t="n">
        <f aca="false">IF($A187="",0,SUMIFS(tblAuftraege[Einnahmen],tblAuftraege[Datum Einnahmen],"&gt;="&amp;N$5,tblAuftraege[Datum Einnahmen],"&lt;"&amp;EDATE(N$5,1),tblAuftraege[Kostenstelle],$A187))</f>
        <v>0</v>
      </c>
      <c r="O187" s="11" t="n">
        <f aca="false">IF($A187="",0,SUMIFS(tblAuftraege[Einnahmen],tblAuftraege[Datum Einnahmen],"&gt;="&amp;O$5,tblAuftraege[Datum Einnahmen],"&lt;"&amp;EDATE(O$5,1),tblAuftraege[Kostenstelle],$A187))</f>
        <v>0</v>
      </c>
      <c r="P187" s="11" t="n">
        <f aca="false">IF($A187="",0,SUMIFS(tblAuftraege[Einnahmen],tblAuftraege[Datum Einnahmen],"&gt;="&amp;P$5,tblAuftraege[Datum Einnahmen],"&lt;"&amp;EDATE(P$5,1),tblAuftraege[Kostenstelle],$A187))</f>
        <v>0</v>
      </c>
      <c r="Q187" s="11" t="n">
        <f aca="false">IF($A187="",0,SUMIFS(tblAuftraege[Einnahmen],tblAuftraege[Datum Einnahmen],"&gt;="&amp;Q$5,tblAuftraege[Datum Einnahmen],"&lt;"&amp;EDATE(Q$5,1),tblAuftraege[Kostenstelle],$A187))</f>
        <v>0</v>
      </c>
      <c r="R187" s="11" t="n">
        <f aca="false">IF($A187="",0,SUMIFS(tblAuftraege[Einnahmen],tblAuftraege[Datum Einnahmen],"&gt;="&amp;R$5,tblAuftraege[Datum Einnahmen],"&lt;"&amp;EDATE(R$5,1),tblAuftraege[Kostenstelle],$A187))</f>
        <v>0</v>
      </c>
      <c r="S187" s="11" t="n">
        <f aca="false">IF($A187="",0,SUMIFS(tblAuftraege[Einnahmen],tblAuftraege[Datum Einnahmen],"&gt;="&amp;S$5,tblAuftraege[Datum Einnahmen],"&lt;"&amp;EDATE(S$5,1),tblAuftraege[Kostenstelle],$A187))</f>
        <v>0</v>
      </c>
      <c r="T187" s="11" t="n">
        <f aca="false">IF($A187="",0,SUMIFS(tblAuftraege[Einnahmen],tblAuftraege[Datum Einnahmen],"&gt;="&amp;T$5,tblAuftraege[Datum Einnahmen],"&lt;"&amp;EDATE(T$5,1),tblAuftraege[Kostenstelle],$A187))</f>
        <v>0</v>
      </c>
      <c r="U187" s="11" t="n">
        <f aca="false">IF($A187="",0,SUMIFS(tblAuftraege[Einnahmen],tblAuftraege[Datum Einnahmen],"&gt;="&amp;U$5,tblAuftraege[Datum Einnahmen],"&lt;"&amp;EDATE(U$5,1),tblAuftraege[Kostenstelle],$A187))</f>
        <v>0</v>
      </c>
      <c r="V187" s="11" t="n">
        <f aca="false">IF($A187="",0,SUMIFS(tblAuftraege[Einnahmen],tblAuftraege[Datum Einnahmen],"&gt;="&amp;V$5,tblAuftraege[Datum Einnahmen],"&lt;"&amp;EDATE(V$5,1),tblAuftraege[Kostenstelle],$A187))</f>
        <v>0</v>
      </c>
      <c r="W187" s="11" t="n">
        <f aca="false">IF($A187="",0,SUMIFS(tblAuftraege[Einnahmen],tblAuftraege[Datum Einnahmen],"&gt;="&amp;W$5,tblAuftraege[Datum Einnahmen],"&lt;"&amp;EDATE(W$5,1),tblAuftraege[Kostenstelle],$A187))</f>
        <v>0</v>
      </c>
      <c r="X187" s="11" t="n">
        <f aca="false">IF($A187="",0,SUMIFS(tblAuftraege[Einnahmen],tblAuftraege[Datum Einnahmen],"&gt;="&amp;X$5,tblAuftraege[Datum Einnahmen],"&lt;"&amp;EDATE(X$5,1),tblAuftraege[Kostenstelle],$A187))</f>
        <v>0</v>
      </c>
      <c r="Y187" s="11" t="n">
        <f aca="false">IF($A187="",0,SUMIFS(tblAuftraege[Einnahmen],tblAuftraege[Datum Einnahmen],"&gt;="&amp;Y$5,tblAuftraege[Datum Einnahmen],"&lt;"&amp;EDATE(Y$5,1),tblAuftraege[Kostenstelle],$A187))</f>
        <v>0</v>
      </c>
      <c r="Z187" s="11" t="n">
        <f aca="false">IF($A187="",0,SUMIFS(tblAuftraege[Einnahmen],tblAuftraege[Datum Einnahmen],"&gt;="&amp;Z$5,tblAuftraege[Datum Einnahmen],"&lt;"&amp;EDATE(Z$5,1),tblAuftraege[Kostenstelle],$A187))</f>
        <v>0</v>
      </c>
      <c r="AA187" s="11" t="n">
        <f aca="false">IF($A187="",0,SUMIFS(tblAuftraege[Einnahmen],tblAuftraege[Datum Einnahmen],"&gt;="&amp;AA$5,tblAuftraege[Datum Einnahmen],"&lt;"&amp;EDATE(AA$5,1),tblAuftraege[Kostenstelle],$A187))</f>
        <v>0</v>
      </c>
      <c r="AB187" s="11" t="n">
        <f aca="false">IF($A187="",0,SUMIFS(tblAuftraege[Einnahmen],tblAuftraege[Datum Einnahmen],"&gt;="&amp;AB$5,tblAuftraege[Datum Einnahmen],"&lt;"&amp;EDATE(AB$5,1),tblAuftraege[Kostenstelle],$A187))</f>
        <v>0</v>
      </c>
      <c r="AC187" s="11" t="n">
        <f aca="false">IF($A187="",0,SUMIFS(tblAuftraege[Einnahmen],tblAuftraege[Datum Einnahmen],"&gt;="&amp;AC$5,tblAuftraege[Datum Einnahmen],"&lt;"&amp;EDATE(AC$5,1),tblAuftraege[Kostenstelle],$A187))</f>
        <v>0</v>
      </c>
      <c r="AD187" s="11" t="n">
        <f aca="false">IF($A187="",0,SUMIFS(tblAuftraege[Einnahmen],tblAuftraege[Datum Einnahmen],"&gt;="&amp;AD$5,tblAuftraege[Datum Einnahmen],"&lt;"&amp;EDATE(AD$5,1),tblAuftraege[Kostenstelle],$A187))</f>
        <v>0</v>
      </c>
      <c r="AE187" s="11" t="n">
        <f aca="false">IF($A187="",0,SUMIFS(tblAuftraege[Einnahmen],tblAuftraege[Datum Einnahmen],"&gt;="&amp;AE$5,tblAuftraege[Datum Einnahmen],"&lt;"&amp;EDATE(AE$5,1),tblAuftraege[Kostenstelle],$A187))</f>
        <v>0</v>
      </c>
      <c r="AF187" s="11" t="n">
        <f aca="false">IF($A187="",0,SUMIFS(tblAuftraege[Einnahmen],tblAuftraege[Datum Einnahmen],"&gt;="&amp;AF$5,tblAuftraege[Datum Einnahmen],"&lt;"&amp;EDATE(AF$5,1),tblAuftraege[Kostenstelle],$A187))</f>
        <v>0</v>
      </c>
      <c r="AG187" s="11" t="n">
        <f aca="false">IF($A187="",0,SUMIFS(tblAuftraege[Einnahmen],tblAuftraege[Datum Einnahmen],"&gt;="&amp;AG$5,tblAuftraege[Datum Einnahmen],"&lt;"&amp;EDATE(AG$5,1),tblAuftraege[Kostenstelle],$A187))</f>
        <v>0</v>
      </c>
      <c r="AH187" s="11" t="n">
        <f aca="false">IF($A187="",0,SUMIFS(tblAuftraege[Einnahmen],tblAuftraege[Datum Einnahmen],"&gt;="&amp;AH$5,tblAuftraege[Datum Einnahmen],"&lt;"&amp;EDATE(AH$5,1),tblAuftraege[Kostenstelle],$A187))</f>
        <v>0</v>
      </c>
      <c r="AI187" s="11" t="n">
        <f aca="false">IF($A187="",0,SUMIFS(tblAuftraege[Einnahmen],tblAuftraege[Datum Einnahmen],"&gt;="&amp;AI$5,tblAuftraege[Datum Einnahmen],"&lt;"&amp;EDATE(AI$5,1),tblAuftraege[Kostenstelle],$A187))</f>
        <v>0</v>
      </c>
      <c r="AJ187" s="11" t="n">
        <f aca="false">IF($A187="",0,SUMIFS(tblAuftraege[Einnahmen],tblAuftraege[Datum Einnahmen],"&gt;="&amp;AJ$5,tblAuftraege[Datum Einnahmen],"&lt;"&amp;EDATE(AJ$5,1),tblAuftraege[Kostenstelle],$A187))</f>
        <v>0</v>
      </c>
      <c r="AK187" s="11" t="n">
        <f aca="false">IF($A187="",0,SUMIFS(tblAuftraege[Einnahmen],tblAuftraege[Datum Einnahmen],"&gt;="&amp;AK$5,tblAuftraege[Datum Einnahmen],"&lt;"&amp;EDATE(AK$5,1),tblAuftraege[Kostenstelle],$A187))</f>
        <v>0</v>
      </c>
      <c r="AL187" s="11" t="n">
        <f aca="false">IF($A187="",0,SUMIFS(tblAuftraege[Einnahmen],tblAuftraege[Datum Einnahmen],"&gt;="&amp;AL$5,tblAuftraege[Datum Einnahmen],"&lt;"&amp;EDATE(AL$5,1),tblAuftraege[Kostenstelle],$A187))</f>
        <v>0</v>
      </c>
      <c r="AM187" s="11" t="n">
        <f aca="false">IF($A187="",0,SUMIFS(tblAuftraege[Einnahmen],tblAuftraege[Datum Einnahmen],"&gt;="&amp;AM$5,tblAuftraege[Datum Einnahmen],"&lt;"&amp;EDATE(AM$5,1),tblAuftraege[Kostenstelle],$A187))</f>
        <v>0</v>
      </c>
      <c r="AN187" s="11" t="n">
        <f aca="false">IF($A187="",0,SUMIFS(tblAuftraege[Einnahmen],tblAuftraege[Datum Einnahmen],"&gt;="&amp;AN$5,tblAuftraege[Datum Einnahmen],"&lt;"&amp;EDATE(AN$5,1),tblAuftraege[Kostenstelle],$A187))</f>
        <v>0</v>
      </c>
      <c r="AO187" s="11" t="n">
        <f aca="false">IF($A187="",0,SUMIFS(tblAuftraege[Einnahmen],tblAuftraege[Datum Einnahmen],"&gt;="&amp;AO$5,tblAuftraege[Datum Einnahmen],"&lt;"&amp;EDATE(AO$5,1),tblAuftraege[Kostenstelle],$A187))</f>
        <v>0</v>
      </c>
      <c r="AP187" s="11" t="n">
        <f aca="false">IF($A187="",0,SUMIFS(tblAuftraege[Einnahmen],tblAuftraege[Datum Einnahmen],"&gt;="&amp;AP$5,tblAuftraege[Datum Einnahmen],"&lt;"&amp;EDATE(AP$5,1),tblAuftraege[Kostenstelle],$A187))</f>
        <v>0</v>
      </c>
      <c r="AQ187" s="11" t="n">
        <f aca="false">IF($A187="",0,SUMIFS(tblAuftraege[Einnahmen],tblAuftraege[Datum Einnahmen],"&gt;="&amp;AQ$5,tblAuftraege[Datum Einnahmen],"&lt;"&amp;EDATE(AQ$5,1),tblAuftraege[Kostenstelle],$A187))</f>
        <v>0</v>
      </c>
      <c r="AR187" s="11" t="n">
        <f aca="false">IF($A187="",0,SUMIFS(tblAuftraege[Einnahmen],tblAuftraege[Datum Einnahmen],"&gt;="&amp;AR$5,tblAuftraege[Datum Einnahmen],"&lt;"&amp;EDATE(AR$5,1),tblAuftraege[Kostenstelle],$A187))</f>
        <v>0</v>
      </c>
      <c r="AS187" s="11" t="n">
        <f aca="false">IF($A187="",0,SUMIFS(tblAuftraege[Einnahmen],tblAuftraege[Datum Einnahmen],"&gt;="&amp;AS$5,tblAuftraege[Datum Einnahmen],"&lt;"&amp;EDATE(AS$5,1),tblAuftraege[Kostenstelle],$A187))</f>
        <v>0</v>
      </c>
      <c r="AT187" s="11" t="n">
        <f aca="false">IF($A187="",0,SUMIFS(tblAuftraege[Einnahmen],tblAuftraege[Datum Einnahmen],"&gt;="&amp;AT$5,tblAuftraege[Datum Einnahmen],"&lt;"&amp;EDATE(AT$5,1),tblAuftraege[Kostenstelle],$A187))</f>
        <v>0</v>
      </c>
      <c r="AU187" s="11" t="n">
        <f aca="false">IF($A187="",0,SUMIFS(tblAuftraege[Einnahmen],tblAuftraege[Datum Einnahmen],"&gt;="&amp;AU$5,tblAuftraege[Datum Einnahmen],"&lt;"&amp;EDATE(AU$5,1),tblAuftraege[Kostenstelle],$A187))</f>
        <v>0</v>
      </c>
      <c r="AV187" s="11" t="n">
        <f aca="false">IF($A187="",0,SUMIFS(tblAuftraege[Einnahmen],tblAuftraege[Datum Einnahmen],"&gt;="&amp;AV$5,tblAuftraege[Datum Einnahmen],"&lt;"&amp;EDATE(AV$5,1),tblAuftraege[Kostenstelle],$A187))</f>
        <v>0</v>
      </c>
      <c r="AW187" s="11" t="n">
        <f aca="false">IF($A187="",0,SUMIFS(tblAuftraege[Einnahmen],tblAuftraege[Datum Einnahmen],"&gt;="&amp;AW$5,tblAuftraege[Datum Einnahmen],"&lt;"&amp;EDATE(AW$5,1),tblAuftraege[Kostenstelle],$A187))</f>
        <v>0</v>
      </c>
      <c r="AX187" s="11" t="n">
        <f aca="false">IF($A187="",0,SUMIFS(tblAuftraege[Einnahmen],tblAuftraege[Datum Einnahmen],"&gt;="&amp;AX$5,tblAuftraege[Datum Einnahmen],"&lt;"&amp;EDATE(AX$5,1),tblAuftraege[Kostenstelle],$A187))</f>
        <v>0</v>
      </c>
      <c r="AY187" s="11" t="n">
        <f aca="false">IF($A187="",0,SUMIFS(tblAuftraege[Einnahmen],tblAuftraege[Datum Einnahmen],"&gt;="&amp;AY$5,tblAuftraege[Datum Einnahmen],"&lt;"&amp;EDATE(AY$5,1),tblAuftraege[Kostenstelle],$A187))</f>
        <v>0</v>
      </c>
      <c r="AZ187" s="11" t="n">
        <f aca="false">IF($A187="",0,SUMIFS(tblAuftraege[Einnahmen],tblAuftraege[Datum Einnahmen],"&gt;="&amp;AZ$5,tblAuftraege[Datum Einnahmen],"&lt;"&amp;EDATE(AZ$5,1),tblAuftraege[Kostenstelle],$A187))</f>
        <v>0</v>
      </c>
      <c r="BA187" s="11" t="n">
        <f aca="false">IF($A187="",0,SUMIFS(tblAuftraege[Einnahmen],tblAuftraege[Datum Einnahmen],"&gt;="&amp;BA$5,tblAuftraege[Datum Einnahmen],"&lt;"&amp;EDATE(BA$5,1),tblAuftraege[Kostenstelle],$A187))</f>
        <v>0</v>
      </c>
      <c r="BB187" s="11" t="n">
        <f aca="false">IF($A187="",0,SUMIFS(tblAuftraege[Einnahmen],tblAuftraege[Datum Einnahmen],"&gt;="&amp;BB$5,tblAuftraege[Datum Einnahmen],"&lt;"&amp;EDATE(BB$5,1),tblAuftraege[Kostenstelle],$A187))</f>
        <v>0</v>
      </c>
      <c r="BC187" s="11" t="n">
        <f aca="false">IF($A187="",0,SUMIFS(tblAuftraege[Einnahmen],tblAuftraege[Datum Einnahmen],"&gt;="&amp;BC$5,tblAuftraege[Datum Einnahmen],"&lt;"&amp;EDATE(BC$5,1),tblAuftraege[Kostenstelle],$A187))</f>
        <v>0</v>
      </c>
      <c r="BD187" s="11" t="n">
        <f aca="false">IF($A187="",0,SUMIFS(tblAuftraege[Einnahmen],tblAuftraege[Datum Einnahmen],"&gt;="&amp;BD$5,tblAuftraege[Datum Einnahmen],"&lt;"&amp;EDATE(BD$5,1),tblAuftraege[Kostenstelle],$A187))</f>
        <v>0</v>
      </c>
      <c r="BE187" s="11" t="n">
        <f aca="false">IF($A187="",0,SUMIFS(tblAuftraege[Einnahmen],tblAuftraege[Datum Einnahmen],"&gt;="&amp;BE$5,tblAuftraege[Datum Einnahmen],"&lt;"&amp;EDATE(BE$5,1),tblAuftraege[Kostenstelle],$A187))</f>
        <v>0</v>
      </c>
      <c r="BF187" s="11" t="n">
        <f aca="false">IF($A187="",0,SUMIFS(tblAuftraege[Einnahmen],tblAuftraege[Datum Einnahmen],"&gt;="&amp;BF$5,tblAuftraege[Datum Einnahmen],"&lt;"&amp;EDATE(BF$5,1),tblAuftraege[Kostenstelle],$A187))</f>
        <v>0</v>
      </c>
      <c r="BG187" s="11" t="n">
        <f aca="false">SUM(E187:J187)</f>
        <v>0</v>
      </c>
      <c r="BH187" s="11" t="n">
        <f aca="false">SUM(K187:V187)</f>
        <v>0</v>
      </c>
      <c r="BI187" s="11" t="n">
        <f aca="false">SUM(W187:AH187)</f>
        <v>0</v>
      </c>
      <c r="BJ187" s="11" t="n">
        <f aca="false">SUM(AI187:AT187)</f>
        <v>0</v>
      </c>
      <c r="BK187" s="11" t="n">
        <f aca="false">SUM(AU187:BF187)</f>
        <v>0</v>
      </c>
      <c r="BL187" s="12" t="n">
        <f aca="false">SUM(E187:BF187)</f>
        <v>0</v>
      </c>
    </row>
    <row r="189" customFormat="false" ht="19.5" hidden="false" customHeight="true" outlineLevel="0" collapsed="false">
      <c r="A189" s="7" t="s">
        <v>136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</row>
    <row r="190" customFormat="false" ht="15" hidden="false" customHeight="false" outlineLevel="0" collapsed="false">
      <c r="A190" s="9" t="s">
        <v>120</v>
      </c>
      <c r="B190" s="36" t="s">
        <v>121</v>
      </c>
      <c r="C190" s="15"/>
      <c r="D190" s="15"/>
      <c r="E190" s="11" t="n">
        <f aca="false">IF($A190="",0,SUMIFS(tblAuftraege[Ausgaben],tblAuftraege[Datum Ausgaben],"&gt;="&amp;E$5,tblAuftraege[Datum Ausgaben],"&lt;"&amp;EDATE(E$5,1),tblAuftraege[Kostenstelle],$A190))</f>
        <v>0</v>
      </c>
      <c r="F190" s="11" t="n">
        <f aca="false">IF($A190="",0,SUMIFS(tblAuftraege[Ausgaben],tblAuftraege[Datum Ausgaben],"&gt;="&amp;F$5,tblAuftraege[Datum Ausgaben],"&lt;"&amp;EDATE(F$5,1),tblAuftraege[Kostenstelle],$A190))</f>
        <v>0</v>
      </c>
      <c r="G190" s="11" t="n">
        <f aca="false">IF($A190="",0,SUMIFS(tblAuftraege[Ausgaben],tblAuftraege[Datum Ausgaben],"&gt;="&amp;G$5,tblAuftraege[Datum Ausgaben],"&lt;"&amp;EDATE(G$5,1),tblAuftraege[Kostenstelle],$A190))</f>
        <v>0</v>
      </c>
      <c r="H190" s="11" t="n">
        <f aca="false">IF($A190="",0,SUMIFS(tblAuftraege[Ausgaben],tblAuftraege[Datum Ausgaben],"&gt;="&amp;H$5,tblAuftraege[Datum Ausgaben],"&lt;"&amp;EDATE(H$5,1),tblAuftraege[Kostenstelle],$A190))</f>
        <v>0</v>
      </c>
      <c r="I190" s="11" t="n">
        <f aca="false">IF($A190="",0,SUMIFS(tblAuftraege[Ausgaben],tblAuftraege[Datum Ausgaben],"&gt;="&amp;I$5,tblAuftraege[Datum Ausgaben],"&lt;"&amp;EDATE(I$5,1),tblAuftraege[Kostenstelle],$A190))</f>
        <v>0</v>
      </c>
      <c r="J190" s="11" t="n">
        <f aca="false">IF($A190="",0,SUMIFS(tblAuftraege[Ausgaben],tblAuftraege[Datum Ausgaben],"&gt;="&amp;J$5,tblAuftraege[Datum Ausgaben],"&lt;"&amp;EDATE(J$5,1),tblAuftraege[Kostenstelle],$A190))</f>
        <v>0</v>
      </c>
      <c r="K190" s="11" t="n">
        <f aca="false">IF($A190="",0,SUMIFS(tblAuftraege[Ausgaben],tblAuftraege[Datum Ausgaben],"&gt;="&amp;K$5,tblAuftraege[Datum Ausgaben],"&lt;"&amp;EDATE(K$5,1),tblAuftraege[Kostenstelle],$A190))</f>
        <v>0</v>
      </c>
      <c r="L190" s="11" t="n">
        <f aca="false">IF($A190="",0,SUMIFS(tblAuftraege[Ausgaben],tblAuftraege[Datum Ausgaben],"&gt;="&amp;L$5,tblAuftraege[Datum Ausgaben],"&lt;"&amp;EDATE(L$5,1),tblAuftraege[Kostenstelle],$A190))</f>
        <v>0</v>
      </c>
      <c r="M190" s="11" t="n">
        <f aca="false">IF($A190="",0,SUMIFS(tblAuftraege[Ausgaben],tblAuftraege[Datum Ausgaben],"&gt;="&amp;M$5,tblAuftraege[Datum Ausgaben],"&lt;"&amp;EDATE(M$5,1),tblAuftraege[Kostenstelle],$A190))</f>
        <v>0</v>
      </c>
      <c r="N190" s="11" t="n">
        <f aca="false">IF($A190="",0,SUMIFS(tblAuftraege[Ausgaben],tblAuftraege[Datum Ausgaben],"&gt;="&amp;N$5,tblAuftraege[Datum Ausgaben],"&lt;"&amp;EDATE(N$5,1),tblAuftraege[Kostenstelle],$A190))</f>
        <v>0</v>
      </c>
      <c r="O190" s="11" t="n">
        <f aca="false">IF($A190="",0,SUMIFS(tblAuftraege[Ausgaben],tblAuftraege[Datum Ausgaben],"&gt;="&amp;O$5,tblAuftraege[Datum Ausgaben],"&lt;"&amp;EDATE(O$5,1),tblAuftraege[Kostenstelle],$A190))</f>
        <v>0</v>
      </c>
      <c r="P190" s="11" t="n">
        <f aca="false">IF($A190="",0,SUMIFS(tblAuftraege[Ausgaben],tblAuftraege[Datum Ausgaben],"&gt;="&amp;P$5,tblAuftraege[Datum Ausgaben],"&lt;"&amp;EDATE(P$5,1),tblAuftraege[Kostenstelle],$A190))</f>
        <v>0</v>
      </c>
      <c r="Q190" s="11" t="n">
        <f aca="false">IF($A190="",0,SUMIFS(tblAuftraege[Ausgaben],tblAuftraege[Datum Ausgaben],"&gt;="&amp;Q$5,tblAuftraege[Datum Ausgaben],"&lt;"&amp;EDATE(Q$5,1),tblAuftraege[Kostenstelle],$A190))</f>
        <v>0</v>
      </c>
      <c r="R190" s="11" t="n">
        <f aca="false">IF($A190="",0,SUMIFS(tblAuftraege[Ausgaben],tblAuftraege[Datum Ausgaben],"&gt;="&amp;R$5,tblAuftraege[Datum Ausgaben],"&lt;"&amp;EDATE(R$5,1),tblAuftraege[Kostenstelle],$A190))</f>
        <v>0</v>
      </c>
      <c r="S190" s="11" t="n">
        <f aca="false">IF($A190="",0,SUMIFS(tblAuftraege[Ausgaben],tblAuftraege[Datum Ausgaben],"&gt;="&amp;S$5,tblAuftraege[Datum Ausgaben],"&lt;"&amp;EDATE(S$5,1),tblAuftraege[Kostenstelle],$A190))</f>
        <v>0</v>
      </c>
      <c r="T190" s="11" t="n">
        <f aca="false">IF($A190="",0,SUMIFS(tblAuftraege[Ausgaben],tblAuftraege[Datum Ausgaben],"&gt;="&amp;T$5,tblAuftraege[Datum Ausgaben],"&lt;"&amp;EDATE(T$5,1),tblAuftraege[Kostenstelle],$A190))</f>
        <v>0</v>
      </c>
      <c r="U190" s="11" t="n">
        <f aca="false">IF($A190="",0,SUMIFS(tblAuftraege[Ausgaben],tblAuftraege[Datum Ausgaben],"&gt;="&amp;U$5,tblAuftraege[Datum Ausgaben],"&lt;"&amp;EDATE(U$5,1),tblAuftraege[Kostenstelle],$A190))</f>
        <v>0</v>
      </c>
      <c r="V190" s="11" t="n">
        <f aca="false">IF($A190="",0,SUMIFS(tblAuftraege[Ausgaben],tblAuftraege[Datum Ausgaben],"&gt;="&amp;V$5,tblAuftraege[Datum Ausgaben],"&lt;"&amp;EDATE(V$5,1),tblAuftraege[Kostenstelle],$A190))</f>
        <v>0</v>
      </c>
      <c r="W190" s="11" t="n">
        <f aca="false">IF($A190="",0,SUMIFS(tblAuftraege[Ausgaben],tblAuftraege[Datum Ausgaben],"&gt;="&amp;W$5,tblAuftraege[Datum Ausgaben],"&lt;"&amp;EDATE(W$5,1),tblAuftraege[Kostenstelle],$A190))</f>
        <v>0</v>
      </c>
      <c r="X190" s="11" t="n">
        <f aca="false">IF($A190="",0,SUMIFS(tblAuftraege[Ausgaben],tblAuftraege[Datum Ausgaben],"&gt;="&amp;X$5,tblAuftraege[Datum Ausgaben],"&lt;"&amp;EDATE(X$5,1),tblAuftraege[Kostenstelle],$A190))</f>
        <v>0</v>
      </c>
      <c r="Y190" s="11" t="n">
        <f aca="false">IF($A190="",0,SUMIFS(tblAuftraege[Ausgaben],tblAuftraege[Datum Ausgaben],"&gt;="&amp;Y$5,tblAuftraege[Datum Ausgaben],"&lt;"&amp;EDATE(Y$5,1),tblAuftraege[Kostenstelle],$A190))</f>
        <v>0</v>
      </c>
      <c r="Z190" s="11" t="n">
        <f aca="false">IF($A190="",0,SUMIFS(tblAuftraege[Ausgaben],tblAuftraege[Datum Ausgaben],"&gt;="&amp;Z$5,tblAuftraege[Datum Ausgaben],"&lt;"&amp;EDATE(Z$5,1),tblAuftraege[Kostenstelle],$A190))</f>
        <v>0</v>
      </c>
      <c r="AA190" s="11" t="n">
        <f aca="false">IF($A190="",0,SUMIFS(tblAuftraege[Ausgaben],tblAuftraege[Datum Ausgaben],"&gt;="&amp;AA$5,tblAuftraege[Datum Ausgaben],"&lt;"&amp;EDATE(AA$5,1),tblAuftraege[Kostenstelle],$A190))</f>
        <v>0</v>
      </c>
      <c r="AB190" s="11" t="n">
        <f aca="false">IF($A190="",0,SUMIFS(tblAuftraege[Ausgaben],tblAuftraege[Datum Ausgaben],"&gt;="&amp;AB$5,tblAuftraege[Datum Ausgaben],"&lt;"&amp;EDATE(AB$5,1),tblAuftraege[Kostenstelle],$A190))</f>
        <v>0</v>
      </c>
      <c r="AC190" s="11" t="n">
        <f aca="false">IF($A190="",0,SUMIFS(tblAuftraege[Ausgaben],tblAuftraege[Datum Ausgaben],"&gt;="&amp;AC$5,tblAuftraege[Datum Ausgaben],"&lt;"&amp;EDATE(AC$5,1),tblAuftraege[Kostenstelle],$A190))</f>
        <v>0</v>
      </c>
      <c r="AD190" s="11" t="n">
        <f aca="false">IF($A190="",0,SUMIFS(tblAuftraege[Ausgaben],tblAuftraege[Datum Ausgaben],"&gt;="&amp;AD$5,tblAuftraege[Datum Ausgaben],"&lt;"&amp;EDATE(AD$5,1),tblAuftraege[Kostenstelle],$A190))</f>
        <v>0</v>
      </c>
      <c r="AE190" s="11" t="n">
        <f aca="false">IF($A190="",0,SUMIFS(tblAuftraege[Ausgaben],tblAuftraege[Datum Ausgaben],"&gt;="&amp;AE$5,tblAuftraege[Datum Ausgaben],"&lt;"&amp;EDATE(AE$5,1),tblAuftraege[Kostenstelle],$A190))</f>
        <v>0</v>
      </c>
      <c r="AF190" s="11" t="n">
        <f aca="false">IF($A190="",0,SUMIFS(tblAuftraege[Ausgaben],tblAuftraege[Datum Ausgaben],"&gt;="&amp;AF$5,tblAuftraege[Datum Ausgaben],"&lt;"&amp;EDATE(AF$5,1),tblAuftraege[Kostenstelle],$A190))</f>
        <v>0</v>
      </c>
      <c r="AG190" s="11" t="n">
        <f aca="false">IF($A190="",0,SUMIFS(tblAuftraege[Ausgaben],tblAuftraege[Datum Ausgaben],"&gt;="&amp;AG$5,tblAuftraege[Datum Ausgaben],"&lt;"&amp;EDATE(AG$5,1),tblAuftraege[Kostenstelle],$A190))</f>
        <v>0</v>
      </c>
      <c r="AH190" s="11" t="n">
        <f aca="false">IF($A190="",0,SUMIFS(tblAuftraege[Ausgaben],tblAuftraege[Datum Ausgaben],"&gt;="&amp;AH$5,tblAuftraege[Datum Ausgaben],"&lt;"&amp;EDATE(AH$5,1),tblAuftraege[Kostenstelle],$A190))</f>
        <v>0</v>
      </c>
      <c r="AI190" s="11" t="n">
        <f aca="false">IF($A190="",0,SUMIFS(tblAuftraege[Ausgaben],tblAuftraege[Datum Ausgaben],"&gt;="&amp;AI$5,tblAuftraege[Datum Ausgaben],"&lt;"&amp;EDATE(AI$5,1),tblAuftraege[Kostenstelle],$A190))</f>
        <v>0</v>
      </c>
      <c r="AJ190" s="11" t="n">
        <f aca="false">IF($A190="",0,SUMIFS(tblAuftraege[Ausgaben],tblAuftraege[Datum Ausgaben],"&gt;="&amp;AJ$5,tblAuftraege[Datum Ausgaben],"&lt;"&amp;EDATE(AJ$5,1),tblAuftraege[Kostenstelle],$A190))</f>
        <v>0</v>
      </c>
      <c r="AK190" s="11" t="n">
        <f aca="false">IF($A190="",0,SUMIFS(tblAuftraege[Ausgaben],tblAuftraege[Datum Ausgaben],"&gt;="&amp;AK$5,tblAuftraege[Datum Ausgaben],"&lt;"&amp;EDATE(AK$5,1),tblAuftraege[Kostenstelle],$A190))</f>
        <v>0</v>
      </c>
      <c r="AL190" s="11" t="n">
        <f aca="false">IF($A190="",0,SUMIFS(tblAuftraege[Ausgaben],tblAuftraege[Datum Ausgaben],"&gt;="&amp;AL$5,tblAuftraege[Datum Ausgaben],"&lt;"&amp;EDATE(AL$5,1),tblAuftraege[Kostenstelle],$A190))</f>
        <v>0</v>
      </c>
      <c r="AM190" s="11" t="n">
        <f aca="false">IF($A190="",0,SUMIFS(tblAuftraege[Ausgaben],tblAuftraege[Datum Ausgaben],"&gt;="&amp;AM$5,tblAuftraege[Datum Ausgaben],"&lt;"&amp;EDATE(AM$5,1),tblAuftraege[Kostenstelle],$A190))</f>
        <v>0</v>
      </c>
      <c r="AN190" s="11" t="n">
        <f aca="false">IF($A190="",0,SUMIFS(tblAuftraege[Ausgaben],tblAuftraege[Datum Ausgaben],"&gt;="&amp;AN$5,tblAuftraege[Datum Ausgaben],"&lt;"&amp;EDATE(AN$5,1),tblAuftraege[Kostenstelle],$A190))</f>
        <v>0</v>
      </c>
      <c r="AO190" s="11" t="n">
        <f aca="false">IF($A190="",0,SUMIFS(tblAuftraege[Ausgaben],tblAuftraege[Datum Ausgaben],"&gt;="&amp;AO$5,tblAuftraege[Datum Ausgaben],"&lt;"&amp;EDATE(AO$5,1),tblAuftraege[Kostenstelle],$A190))</f>
        <v>0</v>
      </c>
      <c r="AP190" s="11" t="n">
        <f aca="false">IF($A190="",0,SUMIFS(tblAuftraege[Ausgaben],tblAuftraege[Datum Ausgaben],"&gt;="&amp;AP$5,tblAuftraege[Datum Ausgaben],"&lt;"&amp;EDATE(AP$5,1),tblAuftraege[Kostenstelle],$A190))</f>
        <v>0</v>
      </c>
      <c r="AQ190" s="11" t="n">
        <f aca="false">IF($A190="",0,SUMIFS(tblAuftraege[Ausgaben],tblAuftraege[Datum Ausgaben],"&gt;="&amp;AQ$5,tblAuftraege[Datum Ausgaben],"&lt;"&amp;EDATE(AQ$5,1),tblAuftraege[Kostenstelle],$A190))</f>
        <v>0</v>
      </c>
      <c r="AR190" s="11" t="n">
        <f aca="false">IF($A190="",0,SUMIFS(tblAuftraege[Ausgaben],tblAuftraege[Datum Ausgaben],"&gt;="&amp;AR$5,tblAuftraege[Datum Ausgaben],"&lt;"&amp;EDATE(AR$5,1),tblAuftraege[Kostenstelle],$A190))</f>
        <v>0</v>
      </c>
      <c r="AS190" s="11" t="n">
        <f aca="false">IF($A190="",0,SUMIFS(tblAuftraege[Ausgaben],tblAuftraege[Datum Ausgaben],"&gt;="&amp;AS$5,tblAuftraege[Datum Ausgaben],"&lt;"&amp;EDATE(AS$5,1),tblAuftraege[Kostenstelle],$A190))</f>
        <v>0</v>
      </c>
      <c r="AT190" s="11" t="n">
        <f aca="false">IF($A190="",0,SUMIFS(tblAuftraege[Ausgaben],tblAuftraege[Datum Ausgaben],"&gt;="&amp;AT$5,tblAuftraege[Datum Ausgaben],"&lt;"&amp;EDATE(AT$5,1),tblAuftraege[Kostenstelle],$A190))</f>
        <v>0</v>
      </c>
      <c r="AU190" s="11" t="n">
        <f aca="false">IF($A190="",0,SUMIFS(tblAuftraege[Ausgaben],tblAuftraege[Datum Ausgaben],"&gt;="&amp;AU$5,tblAuftraege[Datum Ausgaben],"&lt;"&amp;EDATE(AU$5,1),tblAuftraege[Kostenstelle],$A190))</f>
        <v>0</v>
      </c>
      <c r="AV190" s="11" t="n">
        <f aca="false">IF($A190="",0,SUMIFS(tblAuftraege[Ausgaben],tblAuftraege[Datum Ausgaben],"&gt;="&amp;AV$5,tblAuftraege[Datum Ausgaben],"&lt;"&amp;EDATE(AV$5,1),tblAuftraege[Kostenstelle],$A190))</f>
        <v>0</v>
      </c>
      <c r="AW190" s="11" t="n">
        <f aca="false">IF($A190="",0,SUMIFS(tblAuftraege[Ausgaben],tblAuftraege[Datum Ausgaben],"&gt;="&amp;AW$5,tblAuftraege[Datum Ausgaben],"&lt;"&amp;EDATE(AW$5,1),tblAuftraege[Kostenstelle],$A190))</f>
        <v>0</v>
      </c>
      <c r="AX190" s="11" t="n">
        <f aca="false">IF($A190="",0,SUMIFS(tblAuftraege[Ausgaben],tblAuftraege[Datum Ausgaben],"&gt;="&amp;AX$5,tblAuftraege[Datum Ausgaben],"&lt;"&amp;EDATE(AX$5,1),tblAuftraege[Kostenstelle],$A190))</f>
        <v>0</v>
      </c>
      <c r="AY190" s="11" t="n">
        <f aca="false">IF($A190="",0,SUMIFS(tblAuftraege[Ausgaben],tblAuftraege[Datum Ausgaben],"&gt;="&amp;AY$5,tblAuftraege[Datum Ausgaben],"&lt;"&amp;EDATE(AY$5,1),tblAuftraege[Kostenstelle],$A190))</f>
        <v>0</v>
      </c>
      <c r="AZ190" s="11" t="n">
        <f aca="false">IF($A190="",0,SUMIFS(tblAuftraege[Ausgaben],tblAuftraege[Datum Ausgaben],"&gt;="&amp;AZ$5,tblAuftraege[Datum Ausgaben],"&lt;"&amp;EDATE(AZ$5,1),tblAuftraege[Kostenstelle],$A190))</f>
        <v>0</v>
      </c>
      <c r="BA190" s="11" t="n">
        <f aca="false">IF($A190="",0,SUMIFS(tblAuftraege[Ausgaben],tblAuftraege[Datum Ausgaben],"&gt;="&amp;BA$5,tblAuftraege[Datum Ausgaben],"&lt;"&amp;EDATE(BA$5,1),tblAuftraege[Kostenstelle],$A190))</f>
        <v>0</v>
      </c>
      <c r="BB190" s="11" t="n">
        <f aca="false">IF($A190="",0,SUMIFS(tblAuftraege[Ausgaben],tblAuftraege[Datum Ausgaben],"&gt;="&amp;BB$5,tblAuftraege[Datum Ausgaben],"&lt;"&amp;EDATE(BB$5,1),tblAuftraege[Kostenstelle],$A190))</f>
        <v>0</v>
      </c>
      <c r="BC190" s="11" t="n">
        <f aca="false">IF($A190="",0,SUMIFS(tblAuftraege[Ausgaben],tblAuftraege[Datum Ausgaben],"&gt;="&amp;BC$5,tblAuftraege[Datum Ausgaben],"&lt;"&amp;EDATE(BC$5,1),tblAuftraege[Kostenstelle],$A190))</f>
        <v>0</v>
      </c>
      <c r="BD190" s="11" t="n">
        <f aca="false">IF($A190="",0,SUMIFS(tblAuftraege[Ausgaben],tblAuftraege[Datum Ausgaben],"&gt;="&amp;BD$5,tblAuftraege[Datum Ausgaben],"&lt;"&amp;EDATE(BD$5,1),tblAuftraege[Kostenstelle],$A190))</f>
        <v>0</v>
      </c>
      <c r="BE190" s="11" t="n">
        <f aca="false">IF($A190="",0,SUMIFS(tblAuftraege[Ausgaben],tblAuftraege[Datum Ausgaben],"&gt;="&amp;BE$5,tblAuftraege[Datum Ausgaben],"&lt;"&amp;EDATE(BE$5,1),tblAuftraege[Kostenstelle],$A190))</f>
        <v>0</v>
      </c>
      <c r="BF190" s="11" t="n">
        <f aca="false">IF($A190="",0,SUMIFS(tblAuftraege[Ausgaben],tblAuftraege[Datum Ausgaben],"&gt;="&amp;BF$5,tblAuftraege[Datum Ausgaben],"&lt;"&amp;EDATE(BF$5,1),tblAuftraege[Kostenstelle],$A190))</f>
        <v>0</v>
      </c>
      <c r="BG190" s="11" t="n">
        <f aca="false">SUM(E190:J190)</f>
        <v>0</v>
      </c>
      <c r="BH190" s="11" t="n">
        <f aca="false">SUM(K190:V190)</f>
        <v>0</v>
      </c>
      <c r="BI190" s="11" t="n">
        <f aca="false">SUM(W190:AH190)</f>
        <v>0</v>
      </c>
      <c r="BJ190" s="11" t="n">
        <f aca="false">SUM(AI190:AT190)</f>
        <v>0</v>
      </c>
      <c r="BK190" s="11" t="n">
        <f aca="false">SUM(AU190:BF190)</f>
        <v>0</v>
      </c>
      <c r="BL190" s="12" t="n">
        <f aca="false">SUM(E190:BF190)</f>
        <v>0</v>
      </c>
    </row>
    <row r="191" customFormat="false" ht="15" hidden="false" customHeight="false" outlineLevel="0" collapsed="false">
      <c r="A191" s="9" t="s">
        <v>122</v>
      </c>
      <c r="B191" s="36" t="s">
        <v>123</v>
      </c>
      <c r="C191" s="15"/>
      <c r="D191" s="15"/>
      <c r="E191" s="11" t="n">
        <f aca="false">IF($A191="",0,SUMIFS(tblAuftraege[Ausgaben],tblAuftraege[Datum Ausgaben],"&gt;="&amp;E$5,tblAuftraege[Datum Ausgaben],"&lt;"&amp;EDATE(E$5,1),tblAuftraege[Kostenstelle],$A191))</f>
        <v>0</v>
      </c>
      <c r="F191" s="11" t="n">
        <f aca="false">IF($A191="",0,SUMIFS(tblAuftraege[Ausgaben],tblAuftraege[Datum Ausgaben],"&gt;="&amp;F$5,tblAuftraege[Datum Ausgaben],"&lt;"&amp;EDATE(F$5,1),tblAuftraege[Kostenstelle],$A191))</f>
        <v>0</v>
      </c>
      <c r="G191" s="11" t="n">
        <f aca="false">IF($A191="",0,SUMIFS(tblAuftraege[Ausgaben],tblAuftraege[Datum Ausgaben],"&gt;="&amp;G$5,tblAuftraege[Datum Ausgaben],"&lt;"&amp;EDATE(G$5,1),tblAuftraege[Kostenstelle],$A191))</f>
        <v>0</v>
      </c>
      <c r="H191" s="11" t="n">
        <f aca="false">IF($A191="",0,SUMIFS(tblAuftraege[Ausgaben],tblAuftraege[Datum Ausgaben],"&gt;="&amp;H$5,tblAuftraege[Datum Ausgaben],"&lt;"&amp;EDATE(H$5,1),tblAuftraege[Kostenstelle],$A191))</f>
        <v>0</v>
      </c>
      <c r="I191" s="11" t="n">
        <f aca="false">IF($A191="",0,SUMIFS(tblAuftraege[Ausgaben],tblAuftraege[Datum Ausgaben],"&gt;="&amp;I$5,tblAuftraege[Datum Ausgaben],"&lt;"&amp;EDATE(I$5,1),tblAuftraege[Kostenstelle],$A191))</f>
        <v>0</v>
      </c>
      <c r="J191" s="11" t="n">
        <f aca="false">IF($A191="",0,SUMIFS(tblAuftraege[Ausgaben],tblAuftraege[Datum Ausgaben],"&gt;="&amp;J$5,tblAuftraege[Datum Ausgaben],"&lt;"&amp;EDATE(J$5,1),tblAuftraege[Kostenstelle],$A191))</f>
        <v>0</v>
      </c>
      <c r="K191" s="11" t="n">
        <f aca="false">IF($A191="",0,SUMIFS(tblAuftraege[Ausgaben],tblAuftraege[Datum Ausgaben],"&gt;="&amp;K$5,tblAuftraege[Datum Ausgaben],"&lt;"&amp;EDATE(K$5,1),tblAuftraege[Kostenstelle],$A191))</f>
        <v>0</v>
      </c>
      <c r="L191" s="11" t="n">
        <f aca="false">IF($A191="",0,SUMIFS(tblAuftraege[Ausgaben],tblAuftraege[Datum Ausgaben],"&gt;="&amp;L$5,tblAuftraege[Datum Ausgaben],"&lt;"&amp;EDATE(L$5,1),tblAuftraege[Kostenstelle],$A191))</f>
        <v>0</v>
      </c>
      <c r="M191" s="11" t="n">
        <f aca="false">IF($A191="",0,SUMIFS(tblAuftraege[Ausgaben],tblAuftraege[Datum Ausgaben],"&gt;="&amp;M$5,tblAuftraege[Datum Ausgaben],"&lt;"&amp;EDATE(M$5,1),tblAuftraege[Kostenstelle],$A191))</f>
        <v>0</v>
      </c>
      <c r="N191" s="11" t="n">
        <f aca="false">IF($A191="",0,SUMIFS(tblAuftraege[Ausgaben],tblAuftraege[Datum Ausgaben],"&gt;="&amp;N$5,tblAuftraege[Datum Ausgaben],"&lt;"&amp;EDATE(N$5,1),tblAuftraege[Kostenstelle],$A191))</f>
        <v>0</v>
      </c>
      <c r="O191" s="11" t="n">
        <f aca="false">IF($A191="",0,SUMIFS(tblAuftraege[Ausgaben],tblAuftraege[Datum Ausgaben],"&gt;="&amp;O$5,tblAuftraege[Datum Ausgaben],"&lt;"&amp;EDATE(O$5,1),tblAuftraege[Kostenstelle],$A191))</f>
        <v>0</v>
      </c>
      <c r="P191" s="11" t="n">
        <f aca="false">IF($A191="",0,SUMIFS(tblAuftraege[Ausgaben],tblAuftraege[Datum Ausgaben],"&gt;="&amp;P$5,tblAuftraege[Datum Ausgaben],"&lt;"&amp;EDATE(P$5,1),tblAuftraege[Kostenstelle],$A191))</f>
        <v>0</v>
      </c>
      <c r="Q191" s="11" t="n">
        <f aca="false">IF($A191="",0,SUMIFS(tblAuftraege[Ausgaben],tblAuftraege[Datum Ausgaben],"&gt;="&amp;Q$5,tblAuftraege[Datum Ausgaben],"&lt;"&amp;EDATE(Q$5,1),tblAuftraege[Kostenstelle],$A191))</f>
        <v>0</v>
      </c>
      <c r="R191" s="11" t="n">
        <f aca="false">IF($A191="",0,SUMIFS(tblAuftraege[Ausgaben],tblAuftraege[Datum Ausgaben],"&gt;="&amp;R$5,tblAuftraege[Datum Ausgaben],"&lt;"&amp;EDATE(R$5,1),tblAuftraege[Kostenstelle],$A191))</f>
        <v>0</v>
      </c>
      <c r="S191" s="11" t="n">
        <f aca="false">IF($A191="",0,SUMIFS(tblAuftraege[Ausgaben],tblAuftraege[Datum Ausgaben],"&gt;="&amp;S$5,tblAuftraege[Datum Ausgaben],"&lt;"&amp;EDATE(S$5,1),tblAuftraege[Kostenstelle],$A191))</f>
        <v>0</v>
      </c>
      <c r="T191" s="11" t="n">
        <f aca="false">IF($A191="",0,SUMIFS(tblAuftraege[Ausgaben],tblAuftraege[Datum Ausgaben],"&gt;="&amp;T$5,tblAuftraege[Datum Ausgaben],"&lt;"&amp;EDATE(T$5,1),tblAuftraege[Kostenstelle],$A191))</f>
        <v>0</v>
      </c>
      <c r="U191" s="11" t="n">
        <f aca="false">IF($A191="",0,SUMIFS(tblAuftraege[Ausgaben],tblAuftraege[Datum Ausgaben],"&gt;="&amp;U$5,tblAuftraege[Datum Ausgaben],"&lt;"&amp;EDATE(U$5,1),tblAuftraege[Kostenstelle],$A191))</f>
        <v>0</v>
      </c>
      <c r="V191" s="11" t="n">
        <f aca="false">IF($A191="",0,SUMIFS(tblAuftraege[Ausgaben],tblAuftraege[Datum Ausgaben],"&gt;="&amp;V$5,tblAuftraege[Datum Ausgaben],"&lt;"&amp;EDATE(V$5,1),tblAuftraege[Kostenstelle],$A191))</f>
        <v>0</v>
      </c>
      <c r="W191" s="11" t="n">
        <f aca="false">IF($A191="",0,SUMIFS(tblAuftraege[Ausgaben],tblAuftraege[Datum Ausgaben],"&gt;="&amp;W$5,tblAuftraege[Datum Ausgaben],"&lt;"&amp;EDATE(W$5,1),tblAuftraege[Kostenstelle],$A191))</f>
        <v>0</v>
      </c>
      <c r="X191" s="11" t="n">
        <f aca="false">IF($A191="",0,SUMIFS(tblAuftraege[Ausgaben],tblAuftraege[Datum Ausgaben],"&gt;="&amp;X$5,tblAuftraege[Datum Ausgaben],"&lt;"&amp;EDATE(X$5,1),tblAuftraege[Kostenstelle],$A191))</f>
        <v>0</v>
      </c>
      <c r="Y191" s="11" t="n">
        <f aca="false">IF($A191="",0,SUMIFS(tblAuftraege[Ausgaben],tblAuftraege[Datum Ausgaben],"&gt;="&amp;Y$5,tblAuftraege[Datum Ausgaben],"&lt;"&amp;EDATE(Y$5,1),tblAuftraege[Kostenstelle],$A191))</f>
        <v>0</v>
      </c>
      <c r="Z191" s="11" t="n">
        <f aca="false">IF($A191="",0,SUMIFS(tblAuftraege[Ausgaben],tblAuftraege[Datum Ausgaben],"&gt;="&amp;Z$5,tblAuftraege[Datum Ausgaben],"&lt;"&amp;EDATE(Z$5,1),tblAuftraege[Kostenstelle],$A191))</f>
        <v>0</v>
      </c>
      <c r="AA191" s="11" t="n">
        <f aca="false">IF($A191="",0,SUMIFS(tblAuftraege[Ausgaben],tblAuftraege[Datum Ausgaben],"&gt;="&amp;AA$5,tblAuftraege[Datum Ausgaben],"&lt;"&amp;EDATE(AA$5,1),tblAuftraege[Kostenstelle],$A191))</f>
        <v>0</v>
      </c>
      <c r="AB191" s="11" t="n">
        <f aca="false">IF($A191="",0,SUMIFS(tblAuftraege[Ausgaben],tblAuftraege[Datum Ausgaben],"&gt;="&amp;AB$5,tblAuftraege[Datum Ausgaben],"&lt;"&amp;EDATE(AB$5,1),tblAuftraege[Kostenstelle],$A191))</f>
        <v>0</v>
      </c>
      <c r="AC191" s="11" t="n">
        <f aca="false">IF($A191="",0,SUMIFS(tblAuftraege[Ausgaben],tblAuftraege[Datum Ausgaben],"&gt;="&amp;AC$5,tblAuftraege[Datum Ausgaben],"&lt;"&amp;EDATE(AC$5,1),tblAuftraege[Kostenstelle],$A191))</f>
        <v>0</v>
      </c>
      <c r="AD191" s="11" t="n">
        <f aca="false">IF($A191="",0,SUMIFS(tblAuftraege[Ausgaben],tblAuftraege[Datum Ausgaben],"&gt;="&amp;AD$5,tblAuftraege[Datum Ausgaben],"&lt;"&amp;EDATE(AD$5,1),tblAuftraege[Kostenstelle],$A191))</f>
        <v>0</v>
      </c>
      <c r="AE191" s="11" t="n">
        <f aca="false">IF($A191="",0,SUMIFS(tblAuftraege[Ausgaben],tblAuftraege[Datum Ausgaben],"&gt;="&amp;AE$5,tblAuftraege[Datum Ausgaben],"&lt;"&amp;EDATE(AE$5,1),tblAuftraege[Kostenstelle],$A191))</f>
        <v>0</v>
      </c>
      <c r="AF191" s="11" t="n">
        <f aca="false">IF($A191="",0,SUMIFS(tblAuftraege[Ausgaben],tblAuftraege[Datum Ausgaben],"&gt;="&amp;AF$5,tblAuftraege[Datum Ausgaben],"&lt;"&amp;EDATE(AF$5,1),tblAuftraege[Kostenstelle],$A191))</f>
        <v>0</v>
      </c>
      <c r="AG191" s="11" t="n">
        <f aca="false">IF($A191="",0,SUMIFS(tblAuftraege[Ausgaben],tblAuftraege[Datum Ausgaben],"&gt;="&amp;AG$5,tblAuftraege[Datum Ausgaben],"&lt;"&amp;EDATE(AG$5,1),tblAuftraege[Kostenstelle],$A191))</f>
        <v>0</v>
      </c>
      <c r="AH191" s="11" t="n">
        <f aca="false">IF($A191="",0,SUMIFS(tblAuftraege[Ausgaben],tblAuftraege[Datum Ausgaben],"&gt;="&amp;AH$5,tblAuftraege[Datum Ausgaben],"&lt;"&amp;EDATE(AH$5,1),tblAuftraege[Kostenstelle],$A191))</f>
        <v>0</v>
      </c>
      <c r="AI191" s="11" t="n">
        <f aca="false">IF($A191="",0,SUMIFS(tblAuftraege[Ausgaben],tblAuftraege[Datum Ausgaben],"&gt;="&amp;AI$5,tblAuftraege[Datum Ausgaben],"&lt;"&amp;EDATE(AI$5,1),tblAuftraege[Kostenstelle],$A191))</f>
        <v>0</v>
      </c>
      <c r="AJ191" s="11" t="n">
        <f aca="false">IF($A191="",0,SUMIFS(tblAuftraege[Ausgaben],tblAuftraege[Datum Ausgaben],"&gt;="&amp;AJ$5,tblAuftraege[Datum Ausgaben],"&lt;"&amp;EDATE(AJ$5,1),tblAuftraege[Kostenstelle],$A191))</f>
        <v>0</v>
      </c>
      <c r="AK191" s="11" t="n">
        <f aca="false">IF($A191="",0,SUMIFS(tblAuftraege[Ausgaben],tblAuftraege[Datum Ausgaben],"&gt;="&amp;AK$5,tblAuftraege[Datum Ausgaben],"&lt;"&amp;EDATE(AK$5,1),tblAuftraege[Kostenstelle],$A191))</f>
        <v>0</v>
      </c>
      <c r="AL191" s="11" t="n">
        <f aca="false">IF($A191="",0,SUMIFS(tblAuftraege[Ausgaben],tblAuftraege[Datum Ausgaben],"&gt;="&amp;AL$5,tblAuftraege[Datum Ausgaben],"&lt;"&amp;EDATE(AL$5,1),tblAuftraege[Kostenstelle],$A191))</f>
        <v>0</v>
      </c>
      <c r="AM191" s="11" t="n">
        <f aca="false">IF($A191="",0,SUMIFS(tblAuftraege[Ausgaben],tblAuftraege[Datum Ausgaben],"&gt;="&amp;AM$5,tblAuftraege[Datum Ausgaben],"&lt;"&amp;EDATE(AM$5,1),tblAuftraege[Kostenstelle],$A191))</f>
        <v>0</v>
      </c>
      <c r="AN191" s="11" t="n">
        <f aca="false">IF($A191="",0,SUMIFS(tblAuftraege[Ausgaben],tblAuftraege[Datum Ausgaben],"&gt;="&amp;AN$5,tblAuftraege[Datum Ausgaben],"&lt;"&amp;EDATE(AN$5,1),tblAuftraege[Kostenstelle],$A191))</f>
        <v>0</v>
      </c>
      <c r="AO191" s="11" t="n">
        <f aca="false">IF($A191="",0,SUMIFS(tblAuftraege[Ausgaben],tblAuftraege[Datum Ausgaben],"&gt;="&amp;AO$5,tblAuftraege[Datum Ausgaben],"&lt;"&amp;EDATE(AO$5,1),tblAuftraege[Kostenstelle],$A191))</f>
        <v>0</v>
      </c>
      <c r="AP191" s="11" t="n">
        <f aca="false">IF($A191="",0,SUMIFS(tblAuftraege[Ausgaben],tblAuftraege[Datum Ausgaben],"&gt;="&amp;AP$5,tblAuftraege[Datum Ausgaben],"&lt;"&amp;EDATE(AP$5,1),tblAuftraege[Kostenstelle],$A191))</f>
        <v>0</v>
      </c>
      <c r="AQ191" s="11" t="n">
        <f aca="false">IF($A191="",0,SUMIFS(tblAuftraege[Ausgaben],tblAuftraege[Datum Ausgaben],"&gt;="&amp;AQ$5,tblAuftraege[Datum Ausgaben],"&lt;"&amp;EDATE(AQ$5,1),tblAuftraege[Kostenstelle],$A191))</f>
        <v>0</v>
      </c>
      <c r="AR191" s="11" t="n">
        <f aca="false">IF($A191="",0,SUMIFS(tblAuftraege[Ausgaben],tblAuftraege[Datum Ausgaben],"&gt;="&amp;AR$5,tblAuftraege[Datum Ausgaben],"&lt;"&amp;EDATE(AR$5,1),tblAuftraege[Kostenstelle],$A191))</f>
        <v>0</v>
      </c>
      <c r="AS191" s="11" t="n">
        <f aca="false">IF($A191="",0,SUMIFS(tblAuftraege[Ausgaben],tblAuftraege[Datum Ausgaben],"&gt;="&amp;AS$5,tblAuftraege[Datum Ausgaben],"&lt;"&amp;EDATE(AS$5,1),tblAuftraege[Kostenstelle],$A191))</f>
        <v>0</v>
      </c>
      <c r="AT191" s="11" t="n">
        <f aca="false">IF($A191="",0,SUMIFS(tblAuftraege[Ausgaben],tblAuftraege[Datum Ausgaben],"&gt;="&amp;AT$5,tblAuftraege[Datum Ausgaben],"&lt;"&amp;EDATE(AT$5,1),tblAuftraege[Kostenstelle],$A191))</f>
        <v>0</v>
      </c>
      <c r="AU191" s="11" t="n">
        <f aca="false">IF($A191="",0,SUMIFS(tblAuftraege[Ausgaben],tblAuftraege[Datum Ausgaben],"&gt;="&amp;AU$5,tblAuftraege[Datum Ausgaben],"&lt;"&amp;EDATE(AU$5,1),tblAuftraege[Kostenstelle],$A191))</f>
        <v>0</v>
      </c>
      <c r="AV191" s="11" t="n">
        <f aca="false">IF($A191="",0,SUMIFS(tblAuftraege[Ausgaben],tblAuftraege[Datum Ausgaben],"&gt;="&amp;AV$5,tblAuftraege[Datum Ausgaben],"&lt;"&amp;EDATE(AV$5,1),tblAuftraege[Kostenstelle],$A191))</f>
        <v>0</v>
      </c>
      <c r="AW191" s="11" t="n">
        <f aca="false">IF($A191="",0,SUMIFS(tblAuftraege[Ausgaben],tblAuftraege[Datum Ausgaben],"&gt;="&amp;AW$5,tblAuftraege[Datum Ausgaben],"&lt;"&amp;EDATE(AW$5,1),tblAuftraege[Kostenstelle],$A191))</f>
        <v>0</v>
      </c>
      <c r="AX191" s="11" t="n">
        <f aca="false">IF($A191="",0,SUMIFS(tblAuftraege[Ausgaben],tblAuftraege[Datum Ausgaben],"&gt;="&amp;AX$5,tblAuftraege[Datum Ausgaben],"&lt;"&amp;EDATE(AX$5,1),tblAuftraege[Kostenstelle],$A191))</f>
        <v>0</v>
      </c>
      <c r="AY191" s="11" t="n">
        <f aca="false">IF($A191="",0,SUMIFS(tblAuftraege[Ausgaben],tblAuftraege[Datum Ausgaben],"&gt;="&amp;AY$5,tblAuftraege[Datum Ausgaben],"&lt;"&amp;EDATE(AY$5,1),tblAuftraege[Kostenstelle],$A191))</f>
        <v>0</v>
      </c>
      <c r="AZ191" s="11" t="n">
        <f aca="false">IF($A191="",0,SUMIFS(tblAuftraege[Ausgaben],tblAuftraege[Datum Ausgaben],"&gt;="&amp;AZ$5,tblAuftraege[Datum Ausgaben],"&lt;"&amp;EDATE(AZ$5,1),tblAuftraege[Kostenstelle],$A191))</f>
        <v>0</v>
      </c>
      <c r="BA191" s="11" t="n">
        <f aca="false">IF($A191="",0,SUMIFS(tblAuftraege[Ausgaben],tblAuftraege[Datum Ausgaben],"&gt;="&amp;BA$5,tblAuftraege[Datum Ausgaben],"&lt;"&amp;EDATE(BA$5,1),tblAuftraege[Kostenstelle],$A191))</f>
        <v>0</v>
      </c>
      <c r="BB191" s="11" t="n">
        <f aca="false">IF($A191="",0,SUMIFS(tblAuftraege[Ausgaben],tblAuftraege[Datum Ausgaben],"&gt;="&amp;BB$5,tblAuftraege[Datum Ausgaben],"&lt;"&amp;EDATE(BB$5,1),tblAuftraege[Kostenstelle],$A191))</f>
        <v>0</v>
      </c>
      <c r="BC191" s="11" t="n">
        <f aca="false">IF($A191="",0,SUMIFS(tblAuftraege[Ausgaben],tblAuftraege[Datum Ausgaben],"&gt;="&amp;BC$5,tblAuftraege[Datum Ausgaben],"&lt;"&amp;EDATE(BC$5,1),tblAuftraege[Kostenstelle],$A191))</f>
        <v>0</v>
      </c>
      <c r="BD191" s="11" t="n">
        <f aca="false">IF($A191="",0,SUMIFS(tblAuftraege[Ausgaben],tblAuftraege[Datum Ausgaben],"&gt;="&amp;BD$5,tblAuftraege[Datum Ausgaben],"&lt;"&amp;EDATE(BD$5,1),tblAuftraege[Kostenstelle],$A191))</f>
        <v>0</v>
      </c>
      <c r="BE191" s="11" t="n">
        <f aca="false">IF($A191="",0,SUMIFS(tblAuftraege[Ausgaben],tblAuftraege[Datum Ausgaben],"&gt;="&amp;BE$5,tblAuftraege[Datum Ausgaben],"&lt;"&amp;EDATE(BE$5,1),tblAuftraege[Kostenstelle],$A191))</f>
        <v>0</v>
      </c>
      <c r="BF191" s="11" t="n">
        <f aca="false">IF($A191="",0,SUMIFS(tblAuftraege[Ausgaben],tblAuftraege[Datum Ausgaben],"&gt;="&amp;BF$5,tblAuftraege[Datum Ausgaben],"&lt;"&amp;EDATE(BF$5,1),tblAuftraege[Kostenstelle],$A191))</f>
        <v>0</v>
      </c>
      <c r="BG191" s="11" t="n">
        <f aca="false">SUM(E191:J191)</f>
        <v>0</v>
      </c>
      <c r="BH191" s="11" t="n">
        <f aca="false">SUM(K191:V191)</f>
        <v>0</v>
      </c>
      <c r="BI191" s="11" t="n">
        <f aca="false">SUM(W191:AH191)</f>
        <v>0</v>
      </c>
      <c r="BJ191" s="11" t="n">
        <f aca="false">SUM(AI191:AT191)</f>
        <v>0</v>
      </c>
      <c r="BK191" s="11" t="n">
        <f aca="false">SUM(AU191:BF191)</f>
        <v>0</v>
      </c>
      <c r="BL191" s="12" t="n">
        <f aca="false">SUM(E191:BF191)</f>
        <v>0</v>
      </c>
    </row>
    <row r="192" customFormat="false" ht="15" hidden="false" customHeight="false" outlineLevel="0" collapsed="false">
      <c r="A192" s="9" t="s">
        <v>124</v>
      </c>
      <c r="B192" s="36" t="s">
        <v>125</v>
      </c>
      <c r="C192" s="15"/>
      <c r="D192" s="15"/>
      <c r="E192" s="11" t="n">
        <f aca="false">IF($A192="",0,SUMIFS(tblAuftraege[Ausgaben],tblAuftraege[Datum Ausgaben],"&gt;="&amp;E$5,tblAuftraege[Datum Ausgaben],"&lt;"&amp;EDATE(E$5,1),tblAuftraege[Kostenstelle],$A192))</f>
        <v>0</v>
      </c>
      <c r="F192" s="11" t="n">
        <f aca="false">IF($A192="",0,SUMIFS(tblAuftraege[Ausgaben],tblAuftraege[Datum Ausgaben],"&gt;="&amp;F$5,tblAuftraege[Datum Ausgaben],"&lt;"&amp;EDATE(F$5,1),tblAuftraege[Kostenstelle],$A192))</f>
        <v>0</v>
      </c>
      <c r="G192" s="11" t="n">
        <f aca="false">IF($A192="",0,SUMIFS(tblAuftraege[Ausgaben],tblAuftraege[Datum Ausgaben],"&gt;="&amp;G$5,tblAuftraege[Datum Ausgaben],"&lt;"&amp;EDATE(G$5,1),tblAuftraege[Kostenstelle],$A192))</f>
        <v>0</v>
      </c>
      <c r="H192" s="11" t="n">
        <f aca="false">IF($A192="",0,SUMIFS(tblAuftraege[Ausgaben],tblAuftraege[Datum Ausgaben],"&gt;="&amp;H$5,tblAuftraege[Datum Ausgaben],"&lt;"&amp;EDATE(H$5,1),tblAuftraege[Kostenstelle],$A192))</f>
        <v>0</v>
      </c>
      <c r="I192" s="11" t="n">
        <f aca="false">IF($A192="",0,SUMIFS(tblAuftraege[Ausgaben],tblAuftraege[Datum Ausgaben],"&gt;="&amp;I$5,tblAuftraege[Datum Ausgaben],"&lt;"&amp;EDATE(I$5,1),tblAuftraege[Kostenstelle],$A192))</f>
        <v>0</v>
      </c>
      <c r="J192" s="11" t="n">
        <f aca="false">IF($A192="",0,SUMIFS(tblAuftraege[Ausgaben],tblAuftraege[Datum Ausgaben],"&gt;="&amp;J$5,tblAuftraege[Datum Ausgaben],"&lt;"&amp;EDATE(J$5,1),tblAuftraege[Kostenstelle],$A192))</f>
        <v>0</v>
      </c>
      <c r="K192" s="11" t="n">
        <f aca="false">IF($A192="",0,SUMIFS(tblAuftraege[Ausgaben],tblAuftraege[Datum Ausgaben],"&gt;="&amp;K$5,tblAuftraege[Datum Ausgaben],"&lt;"&amp;EDATE(K$5,1),tblAuftraege[Kostenstelle],$A192))</f>
        <v>0</v>
      </c>
      <c r="L192" s="11" t="n">
        <f aca="false">IF($A192="",0,SUMIFS(tblAuftraege[Ausgaben],tblAuftraege[Datum Ausgaben],"&gt;="&amp;L$5,tblAuftraege[Datum Ausgaben],"&lt;"&amp;EDATE(L$5,1),tblAuftraege[Kostenstelle],$A192))</f>
        <v>0</v>
      </c>
      <c r="M192" s="11" t="n">
        <f aca="false">IF($A192="",0,SUMIFS(tblAuftraege[Ausgaben],tblAuftraege[Datum Ausgaben],"&gt;="&amp;M$5,tblAuftraege[Datum Ausgaben],"&lt;"&amp;EDATE(M$5,1),tblAuftraege[Kostenstelle],$A192))</f>
        <v>0</v>
      </c>
      <c r="N192" s="11" t="n">
        <f aca="false">IF($A192="",0,SUMIFS(tblAuftraege[Ausgaben],tblAuftraege[Datum Ausgaben],"&gt;="&amp;N$5,tblAuftraege[Datum Ausgaben],"&lt;"&amp;EDATE(N$5,1),tblAuftraege[Kostenstelle],$A192))</f>
        <v>0</v>
      </c>
      <c r="O192" s="11" t="n">
        <f aca="false">IF($A192="",0,SUMIFS(tblAuftraege[Ausgaben],tblAuftraege[Datum Ausgaben],"&gt;="&amp;O$5,tblAuftraege[Datum Ausgaben],"&lt;"&amp;EDATE(O$5,1),tblAuftraege[Kostenstelle],$A192))</f>
        <v>0</v>
      </c>
      <c r="P192" s="11" t="n">
        <f aca="false">IF($A192="",0,SUMIFS(tblAuftraege[Ausgaben],tblAuftraege[Datum Ausgaben],"&gt;="&amp;P$5,tblAuftraege[Datum Ausgaben],"&lt;"&amp;EDATE(P$5,1),tblAuftraege[Kostenstelle],$A192))</f>
        <v>0</v>
      </c>
      <c r="Q192" s="11" t="n">
        <f aca="false">IF($A192="",0,SUMIFS(tblAuftraege[Ausgaben],tblAuftraege[Datum Ausgaben],"&gt;="&amp;Q$5,tblAuftraege[Datum Ausgaben],"&lt;"&amp;EDATE(Q$5,1),tblAuftraege[Kostenstelle],$A192))</f>
        <v>0</v>
      </c>
      <c r="R192" s="11" t="n">
        <f aca="false">IF($A192="",0,SUMIFS(tblAuftraege[Ausgaben],tblAuftraege[Datum Ausgaben],"&gt;="&amp;R$5,tblAuftraege[Datum Ausgaben],"&lt;"&amp;EDATE(R$5,1),tblAuftraege[Kostenstelle],$A192))</f>
        <v>0</v>
      </c>
      <c r="S192" s="11" t="n">
        <f aca="false">IF($A192="",0,SUMIFS(tblAuftraege[Ausgaben],tblAuftraege[Datum Ausgaben],"&gt;="&amp;S$5,tblAuftraege[Datum Ausgaben],"&lt;"&amp;EDATE(S$5,1),tblAuftraege[Kostenstelle],$A192))</f>
        <v>0</v>
      </c>
      <c r="T192" s="11" t="n">
        <f aca="false">IF($A192="",0,SUMIFS(tblAuftraege[Ausgaben],tblAuftraege[Datum Ausgaben],"&gt;="&amp;T$5,tblAuftraege[Datum Ausgaben],"&lt;"&amp;EDATE(T$5,1),tblAuftraege[Kostenstelle],$A192))</f>
        <v>0</v>
      </c>
      <c r="U192" s="11" t="n">
        <f aca="false">IF($A192="",0,SUMIFS(tblAuftraege[Ausgaben],tblAuftraege[Datum Ausgaben],"&gt;="&amp;U$5,tblAuftraege[Datum Ausgaben],"&lt;"&amp;EDATE(U$5,1),tblAuftraege[Kostenstelle],$A192))</f>
        <v>0</v>
      </c>
      <c r="V192" s="11" t="n">
        <f aca="false">IF($A192="",0,SUMIFS(tblAuftraege[Ausgaben],tblAuftraege[Datum Ausgaben],"&gt;="&amp;V$5,tblAuftraege[Datum Ausgaben],"&lt;"&amp;EDATE(V$5,1),tblAuftraege[Kostenstelle],$A192))</f>
        <v>0</v>
      </c>
      <c r="W192" s="11" t="n">
        <f aca="false">IF($A192="",0,SUMIFS(tblAuftraege[Ausgaben],tblAuftraege[Datum Ausgaben],"&gt;="&amp;W$5,tblAuftraege[Datum Ausgaben],"&lt;"&amp;EDATE(W$5,1),tblAuftraege[Kostenstelle],$A192))</f>
        <v>0</v>
      </c>
      <c r="X192" s="11" t="n">
        <f aca="false">IF($A192="",0,SUMIFS(tblAuftraege[Ausgaben],tblAuftraege[Datum Ausgaben],"&gt;="&amp;X$5,tblAuftraege[Datum Ausgaben],"&lt;"&amp;EDATE(X$5,1),tblAuftraege[Kostenstelle],$A192))</f>
        <v>0</v>
      </c>
      <c r="Y192" s="11" t="n">
        <f aca="false">IF($A192="",0,SUMIFS(tblAuftraege[Ausgaben],tblAuftraege[Datum Ausgaben],"&gt;="&amp;Y$5,tblAuftraege[Datum Ausgaben],"&lt;"&amp;EDATE(Y$5,1),tblAuftraege[Kostenstelle],$A192))</f>
        <v>0</v>
      </c>
      <c r="Z192" s="11" t="n">
        <f aca="false">IF($A192="",0,SUMIFS(tblAuftraege[Ausgaben],tblAuftraege[Datum Ausgaben],"&gt;="&amp;Z$5,tblAuftraege[Datum Ausgaben],"&lt;"&amp;EDATE(Z$5,1),tblAuftraege[Kostenstelle],$A192))</f>
        <v>0</v>
      </c>
      <c r="AA192" s="11" t="n">
        <f aca="false">IF($A192="",0,SUMIFS(tblAuftraege[Ausgaben],tblAuftraege[Datum Ausgaben],"&gt;="&amp;AA$5,tblAuftraege[Datum Ausgaben],"&lt;"&amp;EDATE(AA$5,1),tblAuftraege[Kostenstelle],$A192))</f>
        <v>0</v>
      </c>
      <c r="AB192" s="11" t="n">
        <f aca="false">IF($A192="",0,SUMIFS(tblAuftraege[Ausgaben],tblAuftraege[Datum Ausgaben],"&gt;="&amp;AB$5,tblAuftraege[Datum Ausgaben],"&lt;"&amp;EDATE(AB$5,1),tblAuftraege[Kostenstelle],$A192))</f>
        <v>0</v>
      </c>
      <c r="AC192" s="11" t="n">
        <f aca="false">IF($A192="",0,SUMIFS(tblAuftraege[Ausgaben],tblAuftraege[Datum Ausgaben],"&gt;="&amp;AC$5,tblAuftraege[Datum Ausgaben],"&lt;"&amp;EDATE(AC$5,1),tblAuftraege[Kostenstelle],$A192))</f>
        <v>0</v>
      </c>
      <c r="AD192" s="11" t="n">
        <f aca="false">IF($A192="",0,SUMIFS(tblAuftraege[Ausgaben],tblAuftraege[Datum Ausgaben],"&gt;="&amp;AD$5,tblAuftraege[Datum Ausgaben],"&lt;"&amp;EDATE(AD$5,1),tblAuftraege[Kostenstelle],$A192))</f>
        <v>0</v>
      </c>
      <c r="AE192" s="11" t="n">
        <f aca="false">IF($A192="",0,SUMIFS(tblAuftraege[Ausgaben],tblAuftraege[Datum Ausgaben],"&gt;="&amp;AE$5,tblAuftraege[Datum Ausgaben],"&lt;"&amp;EDATE(AE$5,1),tblAuftraege[Kostenstelle],$A192))</f>
        <v>0</v>
      </c>
      <c r="AF192" s="11" t="n">
        <f aca="false">IF($A192="",0,SUMIFS(tblAuftraege[Ausgaben],tblAuftraege[Datum Ausgaben],"&gt;="&amp;AF$5,tblAuftraege[Datum Ausgaben],"&lt;"&amp;EDATE(AF$5,1),tblAuftraege[Kostenstelle],$A192))</f>
        <v>0</v>
      </c>
      <c r="AG192" s="11" t="n">
        <f aca="false">IF($A192="",0,SUMIFS(tblAuftraege[Ausgaben],tblAuftraege[Datum Ausgaben],"&gt;="&amp;AG$5,tblAuftraege[Datum Ausgaben],"&lt;"&amp;EDATE(AG$5,1),tblAuftraege[Kostenstelle],$A192))</f>
        <v>0</v>
      </c>
      <c r="AH192" s="11" t="n">
        <f aca="false">IF($A192="",0,SUMIFS(tblAuftraege[Ausgaben],tblAuftraege[Datum Ausgaben],"&gt;="&amp;AH$5,tblAuftraege[Datum Ausgaben],"&lt;"&amp;EDATE(AH$5,1),tblAuftraege[Kostenstelle],$A192))</f>
        <v>0</v>
      </c>
      <c r="AI192" s="11" t="n">
        <f aca="false">IF($A192="",0,SUMIFS(tblAuftraege[Ausgaben],tblAuftraege[Datum Ausgaben],"&gt;="&amp;AI$5,tblAuftraege[Datum Ausgaben],"&lt;"&amp;EDATE(AI$5,1),tblAuftraege[Kostenstelle],$A192))</f>
        <v>0</v>
      </c>
      <c r="AJ192" s="11" t="n">
        <f aca="false">IF($A192="",0,SUMIFS(tblAuftraege[Ausgaben],tblAuftraege[Datum Ausgaben],"&gt;="&amp;AJ$5,tblAuftraege[Datum Ausgaben],"&lt;"&amp;EDATE(AJ$5,1),tblAuftraege[Kostenstelle],$A192))</f>
        <v>0</v>
      </c>
      <c r="AK192" s="11" t="n">
        <f aca="false">IF($A192="",0,SUMIFS(tblAuftraege[Ausgaben],tblAuftraege[Datum Ausgaben],"&gt;="&amp;AK$5,tblAuftraege[Datum Ausgaben],"&lt;"&amp;EDATE(AK$5,1),tblAuftraege[Kostenstelle],$A192))</f>
        <v>0</v>
      </c>
      <c r="AL192" s="11" t="n">
        <f aca="false">IF($A192="",0,SUMIFS(tblAuftraege[Ausgaben],tblAuftraege[Datum Ausgaben],"&gt;="&amp;AL$5,tblAuftraege[Datum Ausgaben],"&lt;"&amp;EDATE(AL$5,1),tblAuftraege[Kostenstelle],$A192))</f>
        <v>0</v>
      </c>
      <c r="AM192" s="11" t="n">
        <f aca="false">IF($A192="",0,SUMIFS(tblAuftraege[Ausgaben],tblAuftraege[Datum Ausgaben],"&gt;="&amp;AM$5,tblAuftraege[Datum Ausgaben],"&lt;"&amp;EDATE(AM$5,1),tblAuftraege[Kostenstelle],$A192))</f>
        <v>0</v>
      </c>
      <c r="AN192" s="11" t="n">
        <f aca="false">IF($A192="",0,SUMIFS(tblAuftraege[Ausgaben],tblAuftraege[Datum Ausgaben],"&gt;="&amp;AN$5,tblAuftraege[Datum Ausgaben],"&lt;"&amp;EDATE(AN$5,1),tblAuftraege[Kostenstelle],$A192))</f>
        <v>0</v>
      </c>
      <c r="AO192" s="11" t="n">
        <f aca="false">IF($A192="",0,SUMIFS(tblAuftraege[Ausgaben],tblAuftraege[Datum Ausgaben],"&gt;="&amp;AO$5,tblAuftraege[Datum Ausgaben],"&lt;"&amp;EDATE(AO$5,1),tblAuftraege[Kostenstelle],$A192))</f>
        <v>0</v>
      </c>
      <c r="AP192" s="11" t="n">
        <f aca="false">IF($A192="",0,SUMIFS(tblAuftraege[Ausgaben],tblAuftraege[Datum Ausgaben],"&gt;="&amp;AP$5,tblAuftraege[Datum Ausgaben],"&lt;"&amp;EDATE(AP$5,1),tblAuftraege[Kostenstelle],$A192))</f>
        <v>0</v>
      </c>
      <c r="AQ192" s="11" t="n">
        <f aca="false">IF($A192="",0,SUMIFS(tblAuftraege[Ausgaben],tblAuftraege[Datum Ausgaben],"&gt;="&amp;AQ$5,tblAuftraege[Datum Ausgaben],"&lt;"&amp;EDATE(AQ$5,1),tblAuftraege[Kostenstelle],$A192))</f>
        <v>0</v>
      </c>
      <c r="AR192" s="11" t="n">
        <f aca="false">IF($A192="",0,SUMIFS(tblAuftraege[Ausgaben],tblAuftraege[Datum Ausgaben],"&gt;="&amp;AR$5,tblAuftraege[Datum Ausgaben],"&lt;"&amp;EDATE(AR$5,1),tblAuftraege[Kostenstelle],$A192))</f>
        <v>0</v>
      </c>
      <c r="AS192" s="11" t="n">
        <f aca="false">IF($A192="",0,SUMIFS(tblAuftraege[Ausgaben],tblAuftraege[Datum Ausgaben],"&gt;="&amp;AS$5,tblAuftraege[Datum Ausgaben],"&lt;"&amp;EDATE(AS$5,1),tblAuftraege[Kostenstelle],$A192))</f>
        <v>0</v>
      </c>
      <c r="AT192" s="11" t="n">
        <f aca="false">IF($A192="",0,SUMIFS(tblAuftraege[Ausgaben],tblAuftraege[Datum Ausgaben],"&gt;="&amp;AT$5,tblAuftraege[Datum Ausgaben],"&lt;"&amp;EDATE(AT$5,1),tblAuftraege[Kostenstelle],$A192))</f>
        <v>0</v>
      </c>
      <c r="AU192" s="11" t="n">
        <f aca="false">IF($A192="",0,SUMIFS(tblAuftraege[Ausgaben],tblAuftraege[Datum Ausgaben],"&gt;="&amp;AU$5,tblAuftraege[Datum Ausgaben],"&lt;"&amp;EDATE(AU$5,1),tblAuftraege[Kostenstelle],$A192))</f>
        <v>0</v>
      </c>
      <c r="AV192" s="11" t="n">
        <f aca="false">IF($A192="",0,SUMIFS(tblAuftraege[Ausgaben],tblAuftraege[Datum Ausgaben],"&gt;="&amp;AV$5,tblAuftraege[Datum Ausgaben],"&lt;"&amp;EDATE(AV$5,1),tblAuftraege[Kostenstelle],$A192))</f>
        <v>0</v>
      </c>
      <c r="AW192" s="11" t="n">
        <f aca="false">IF($A192="",0,SUMIFS(tblAuftraege[Ausgaben],tblAuftraege[Datum Ausgaben],"&gt;="&amp;AW$5,tblAuftraege[Datum Ausgaben],"&lt;"&amp;EDATE(AW$5,1),tblAuftraege[Kostenstelle],$A192))</f>
        <v>0</v>
      </c>
      <c r="AX192" s="11" t="n">
        <f aca="false">IF($A192="",0,SUMIFS(tblAuftraege[Ausgaben],tblAuftraege[Datum Ausgaben],"&gt;="&amp;AX$5,tblAuftraege[Datum Ausgaben],"&lt;"&amp;EDATE(AX$5,1),tblAuftraege[Kostenstelle],$A192))</f>
        <v>0</v>
      </c>
      <c r="AY192" s="11" t="n">
        <f aca="false">IF($A192="",0,SUMIFS(tblAuftraege[Ausgaben],tblAuftraege[Datum Ausgaben],"&gt;="&amp;AY$5,tblAuftraege[Datum Ausgaben],"&lt;"&amp;EDATE(AY$5,1),tblAuftraege[Kostenstelle],$A192))</f>
        <v>0</v>
      </c>
      <c r="AZ192" s="11" t="n">
        <f aca="false">IF($A192="",0,SUMIFS(tblAuftraege[Ausgaben],tblAuftraege[Datum Ausgaben],"&gt;="&amp;AZ$5,tblAuftraege[Datum Ausgaben],"&lt;"&amp;EDATE(AZ$5,1),tblAuftraege[Kostenstelle],$A192))</f>
        <v>0</v>
      </c>
      <c r="BA192" s="11" t="n">
        <f aca="false">IF($A192="",0,SUMIFS(tblAuftraege[Ausgaben],tblAuftraege[Datum Ausgaben],"&gt;="&amp;BA$5,tblAuftraege[Datum Ausgaben],"&lt;"&amp;EDATE(BA$5,1),tblAuftraege[Kostenstelle],$A192))</f>
        <v>0</v>
      </c>
      <c r="BB192" s="11" t="n">
        <f aca="false">IF($A192="",0,SUMIFS(tblAuftraege[Ausgaben],tblAuftraege[Datum Ausgaben],"&gt;="&amp;BB$5,tblAuftraege[Datum Ausgaben],"&lt;"&amp;EDATE(BB$5,1),tblAuftraege[Kostenstelle],$A192))</f>
        <v>0</v>
      </c>
      <c r="BC192" s="11" t="n">
        <f aca="false">IF($A192="",0,SUMIFS(tblAuftraege[Ausgaben],tblAuftraege[Datum Ausgaben],"&gt;="&amp;BC$5,tblAuftraege[Datum Ausgaben],"&lt;"&amp;EDATE(BC$5,1),tblAuftraege[Kostenstelle],$A192))</f>
        <v>0</v>
      </c>
      <c r="BD192" s="11" t="n">
        <f aca="false">IF($A192="",0,SUMIFS(tblAuftraege[Ausgaben],tblAuftraege[Datum Ausgaben],"&gt;="&amp;BD$5,tblAuftraege[Datum Ausgaben],"&lt;"&amp;EDATE(BD$5,1),tblAuftraege[Kostenstelle],$A192))</f>
        <v>0</v>
      </c>
      <c r="BE192" s="11" t="n">
        <f aca="false">IF($A192="",0,SUMIFS(tblAuftraege[Ausgaben],tblAuftraege[Datum Ausgaben],"&gt;="&amp;BE$5,tblAuftraege[Datum Ausgaben],"&lt;"&amp;EDATE(BE$5,1),tblAuftraege[Kostenstelle],$A192))</f>
        <v>0</v>
      </c>
      <c r="BF192" s="11" t="n">
        <f aca="false">IF($A192="",0,SUMIFS(tblAuftraege[Ausgaben],tblAuftraege[Datum Ausgaben],"&gt;="&amp;BF$5,tblAuftraege[Datum Ausgaben],"&lt;"&amp;EDATE(BF$5,1),tblAuftraege[Kostenstelle],$A192))</f>
        <v>0</v>
      </c>
      <c r="BG192" s="11" t="n">
        <f aca="false">SUM(E192:J192)</f>
        <v>0</v>
      </c>
      <c r="BH192" s="11" t="n">
        <f aca="false">SUM(K192:V192)</f>
        <v>0</v>
      </c>
      <c r="BI192" s="11" t="n">
        <f aca="false">SUM(W192:AH192)</f>
        <v>0</v>
      </c>
      <c r="BJ192" s="11" t="n">
        <f aca="false">SUM(AI192:AT192)</f>
        <v>0</v>
      </c>
      <c r="BK192" s="11" t="n">
        <f aca="false">SUM(AU192:BF192)</f>
        <v>0</v>
      </c>
      <c r="BL192" s="12" t="n">
        <f aca="false">SUM(E192:BF192)</f>
        <v>0</v>
      </c>
    </row>
    <row r="193" customFormat="false" ht="15" hidden="false" customHeight="false" outlineLevel="0" collapsed="false">
      <c r="A193" s="9" t="s">
        <v>126</v>
      </c>
      <c r="B193" s="36" t="s">
        <v>127</v>
      </c>
      <c r="C193" s="15"/>
      <c r="D193" s="15"/>
      <c r="E193" s="11" t="n">
        <f aca="false">IF($A193="",0,SUMIFS(tblAuftraege[Ausgaben],tblAuftraege[Datum Ausgaben],"&gt;="&amp;E$5,tblAuftraege[Datum Ausgaben],"&lt;"&amp;EDATE(E$5,1),tblAuftraege[Kostenstelle],$A193))</f>
        <v>0</v>
      </c>
      <c r="F193" s="11" t="n">
        <f aca="false">IF($A193="",0,SUMIFS(tblAuftraege[Ausgaben],tblAuftraege[Datum Ausgaben],"&gt;="&amp;F$5,tblAuftraege[Datum Ausgaben],"&lt;"&amp;EDATE(F$5,1),tblAuftraege[Kostenstelle],$A193))</f>
        <v>0</v>
      </c>
      <c r="G193" s="11" t="n">
        <f aca="false">IF($A193="",0,SUMIFS(tblAuftraege[Ausgaben],tblAuftraege[Datum Ausgaben],"&gt;="&amp;G$5,tblAuftraege[Datum Ausgaben],"&lt;"&amp;EDATE(G$5,1),tblAuftraege[Kostenstelle],$A193))</f>
        <v>0</v>
      </c>
      <c r="H193" s="11" t="n">
        <f aca="false">IF($A193="",0,SUMIFS(tblAuftraege[Ausgaben],tblAuftraege[Datum Ausgaben],"&gt;="&amp;H$5,tblAuftraege[Datum Ausgaben],"&lt;"&amp;EDATE(H$5,1),tblAuftraege[Kostenstelle],$A193))</f>
        <v>0</v>
      </c>
      <c r="I193" s="11" t="n">
        <f aca="false">IF($A193="",0,SUMIFS(tblAuftraege[Ausgaben],tblAuftraege[Datum Ausgaben],"&gt;="&amp;I$5,tblAuftraege[Datum Ausgaben],"&lt;"&amp;EDATE(I$5,1),tblAuftraege[Kostenstelle],$A193))</f>
        <v>0</v>
      </c>
      <c r="J193" s="11" t="n">
        <f aca="false">IF($A193="",0,SUMIFS(tblAuftraege[Ausgaben],tblAuftraege[Datum Ausgaben],"&gt;="&amp;J$5,tblAuftraege[Datum Ausgaben],"&lt;"&amp;EDATE(J$5,1),tblAuftraege[Kostenstelle],$A193))</f>
        <v>0</v>
      </c>
      <c r="K193" s="11" t="n">
        <f aca="false">IF($A193="",0,SUMIFS(tblAuftraege[Ausgaben],tblAuftraege[Datum Ausgaben],"&gt;="&amp;K$5,tblAuftraege[Datum Ausgaben],"&lt;"&amp;EDATE(K$5,1),tblAuftraege[Kostenstelle],$A193))</f>
        <v>0</v>
      </c>
      <c r="L193" s="11" t="n">
        <f aca="false">IF($A193="",0,SUMIFS(tblAuftraege[Ausgaben],tblAuftraege[Datum Ausgaben],"&gt;="&amp;L$5,tblAuftraege[Datum Ausgaben],"&lt;"&amp;EDATE(L$5,1),tblAuftraege[Kostenstelle],$A193))</f>
        <v>0</v>
      </c>
      <c r="M193" s="11" t="n">
        <f aca="false">IF($A193="",0,SUMIFS(tblAuftraege[Ausgaben],tblAuftraege[Datum Ausgaben],"&gt;="&amp;M$5,tblAuftraege[Datum Ausgaben],"&lt;"&amp;EDATE(M$5,1),tblAuftraege[Kostenstelle],$A193))</f>
        <v>0</v>
      </c>
      <c r="N193" s="11" t="n">
        <f aca="false">IF($A193="",0,SUMIFS(tblAuftraege[Ausgaben],tblAuftraege[Datum Ausgaben],"&gt;="&amp;N$5,tblAuftraege[Datum Ausgaben],"&lt;"&amp;EDATE(N$5,1),tblAuftraege[Kostenstelle],$A193))</f>
        <v>0</v>
      </c>
      <c r="O193" s="11" t="n">
        <f aca="false">IF($A193="",0,SUMIFS(tblAuftraege[Ausgaben],tblAuftraege[Datum Ausgaben],"&gt;="&amp;O$5,tblAuftraege[Datum Ausgaben],"&lt;"&amp;EDATE(O$5,1),tblAuftraege[Kostenstelle],$A193))</f>
        <v>0</v>
      </c>
      <c r="P193" s="11" t="n">
        <f aca="false">IF($A193="",0,SUMIFS(tblAuftraege[Ausgaben],tblAuftraege[Datum Ausgaben],"&gt;="&amp;P$5,tblAuftraege[Datum Ausgaben],"&lt;"&amp;EDATE(P$5,1),tblAuftraege[Kostenstelle],$A193))</f>
        <v>0</v>
      </c>
      <c r="Q193" s="11" t="n">
        <f aca="false">IF($A193="",0,SUMIFS(tblAuftraege[Ausgaben],tblAuftraege[Datum Ausgaben],"&gt;="&amp;Q$5,tblAuftraege[Datum Ausgaben],"&lt;"&amp;EDATE(Q$5,1),tblAuftraege[Kostenstelle],$A193))</f>
        <v>0</v>
      </c>
      <c r="R193" s="11" t="n">
        <f aca="false">IF($A193="",0,SUMIFS(tblAuftraege[Ausgaben],tblAuftraege[Datum Ausgaben],"&gt;="&amp;R$5,tblAuftraege[Datum Ausgaben],"&lt;"&amp;EDATE(R$5,1),tblAuftraege[Kostenstelle],$A193))</f>
        <v>0</v>
      </c>
      <c r="S193" s="11" t="n">
        <f aca="false">IF($A193="",0,SUMIFS(tblAuftraege[Ausgaben],tblAuftraege[Datum Ausgaben],"&gt;="&amp;S$5,tblAuftraege[Datum Ausgaben],"&lt;"&amp;EDATE(S$5,1),tblAuftraege[Kostenstelle],$A193))</f>
        <v>0</v>
      </c>
      <c r="T193" s="11" t="n">
        <f aca="false">IF($A193="",0,SUMIFS(tblAuftraege[Ausgaben],tblAuftraege[Datum Ausgaben],"&gt;="&amp;T$5,tblAuftraege[Datum Ausgaben],"&lt;"&amp;EDATE(T$5,1),tblAuftraege[Kostenstelle],$A193))</f>
        <v>0</v>
      </c>
      <c r="U193" s="11" t="n">
        <f aca="false">IF($A193="",0,SUMIFS(tblAuftraege[Ausgaben],tblAuftraege[Datum Ausgaben],"&gt;="&amp;U$5,tblAuftraege[Datum Ausgaben],"&lt;"&amp;EDATE(U$5,1),tblAuftraege[Kostenstelle],$A193))</f>
        <v>0</v>
      </c>
      <c r="V193" s="11" t="n">
        <f aca="false">IF($A193="",0,SUMIFS(tblAuftraege[Ausgaben],tblAuftraege[Datum Ausgaben],"&gt;="&amp;V$5,tblAuftraege[Datum Ausgaben],"&lt;"&amp;EDATE(V$5,1),tblAuftraege[Kostenstelle],$A193))</f>
        <v>0</v>
      </c>
      <c r="W193" s="11" t="n">
        <f aca="false">IF($A193="",0,SUMIFS(tblAuftraege[Ausgaben],tblAuftraege[Datum Ausgaben],"&gt;="&amp;W$5,tblAuftraege[Datum Ausgaben],"&lt;"&amp;EDATE(W$5,1),tblAuftraege[Kostenstelle],$A193))</f>
        <v>0</v>
      </c>
      <c r="X193" s="11" t="n">
        <f aca="false">IF($A193="",0,SUMIFS(tblAuftraege[Ausgaben],tblAuftraege[Datum Ausgaben],"&gt;="&amp;X$5,tblAuftraege[Datum Ausgaben],"&lt;"&amp;EDATE(X$5,1),tblAuftraege[Kostenstelle],$A193))</f>
        <v>0</v>
      </c>
      <c r="Y193" s="11" t="n">
        <f aca="false">IF($A193="",0,SUMIFS(tblAuftraege[Ausgaben],tblAuftraege[Datum Ausgaben],"&gt;="&amp;Y$5,tblAuftraege[Datum Ausgaben],"&lt;"&amp;EDATE(Y$5,1),tblAuftraege[Kostenstelle],$A193))</f>
        <v>0</v>
      </c>
      <c r="Z193" s="11" t="n">
        <f aca="false">IF($A193="",0,SUMIFS(tblAuftraege[Ausgaben],tblAuftraege[Datum Ausgaben],"&gt;="&amp;Z$5,tblAuftraege[Datum Ausgaben],"&lt;"&amp;EDATE(Z$5,1),tblAuftraege[Kostenstelle],$A193))</f>
        <v>0</v>
      </c>
      <c r="AA193" s="11" t="n">
        <f aca="false">IF($A193="",0,SUMIFS(tblAuftraege[Ausgaben],tblAuftraege[Datum Ausgaben],"&gt;="&amp;AA$5,tblAuftraege[Datum Ausgaben],"&lt;"&amp;EDATE(AA$5,1),tblAuftraege[Kostenstelle],$A193))</f>
        <v>0</v>
      </c>
      <c r="AB193" s="11" t="n">
        <f aca="false">IF($A193="",0,SUMIFS(tblAuftraege[Ausgaben],tblAuftraege[Datum Ausgaben],"&gt;="&amp;AB$5,tblAuftraege[Datum Ausgaben],"&lt;"&amp;EDATE(AB$5,1),tblAuftraege[Kostenstelle],$A193))</f>
        <v>0</v>
      </c>
      <c r="AC193" s="11" t="n">
        <f aca="false">IF($A193="",0,SUMIFS(tblAuftraege[Ausgaben],tblAuftraege[Datum Ausgaben],"&gt;="&amp;AC$5,tblAuftraege[Datum Ausgaben],"&lt;"&amp;EDATE(AC$5,1),tblAuftraege[Kostenstelle],$A193))</f>
        <v>0</v>
      </c>
      <c r="AD193" s="11" t="n">
        <f aca="false">IF($A193="",0,SUMIFS(tblAuftraege[Ausgaben],tblAuftraege[Datum Ausgaben],"&gt;="&amp;AD$5,tblAuftraege[Datum Ausgaben],"&lt;"&amp;EDATE(AD$5,1),tblAuftraege[Kostenstelle],$A193))</f>
        <v>0</v>
      </c>
      <c r="AE193" s="11" t="n">
        <f aca="false">IF($A193="",0,SUMIFS(tblAuftraege[Ausgaben],tblAuftraege[Datum Ausgaben],"&gt;="&amp;AE$5,tblAuftraege[Datum Ausgaben],"&lt;"&amp;EDATE(AE$5,1),tblAuftraege[Kostenstelle],$A193))</f>
        <v>0</v>
      </c>
      <c r="AF193" s="11" t="n">
        <f aca="false">IF($A193="",0,SUMIFS(tblAuftraege[Ausgaben],tblAuftraege[Datum Ausgaben],"&gt;="&amp;AF$5,tblAuftraege[Datum Ausgaben],"&lt;"&amp;EDATE(AF$5,1),tblAuftraege[Kostenstelle],$A193))</f>
        <v>0</v>
      </c>
      <c r="AG193" s="11" t="n">
        <f aca="false">IF($A193="",0,SUMIFS(tblAuftraege[Ausgaben],tblAuftraege[Datum Ausgaben],"&gt;="&amp;AG$5,tblAuftraege[Datum Ausgaben],"&lt;"&amp;EDATE(AG$5,1),tblAuftraege[Kostenstelle],$A193))</f>
        <v>0</v>
      </c>
      <c r="AH193" s="11" t="n">
        <f aca="false">IF($A193="",0,SUMIFS(tblAuftraege[Ausgaben],tblAuftraege[Datum Ausgaben],"&gt;="&amp;AH$5,tblAuftraege[Datum Ausgaben],"&lt;"&amp;EDATE(AH$5,1),tblAuftraege[Kostenstelle],$A193))</f>
        <v>0</v>
      </c>
      <c r="AI193" s="11" t="n">
        <f aca="false">IF($A193="",0,SUMIFS(tblAuftraege[Ausgaben],tblAuftraege[Datum Ausgaben],"&gt;="&amp;AI$5,tblAuftraege[Datum Ausgaben],"&lt;"&amp;EDATE(AI$5,1),tblAuftraege[Kostenstelle],$A193))</f>
        <v>0</v>
      </c>
      <c r="AJ193" s="11" t="n">
        <f aca="false">IF($A193="",0,SUMIFS(tblAuftraege[Ausgaben],tblAuftraege[Datum Ausgaben],"&gt;="&amp;AJ$5,tblAuftraege[Datum Ausgaben],"&lt;"&amp;EDATE(AJ$5,1),tblAuftraege[Kostenstelle],$A193))</f>
        <v>0</v>
      </c>
      <c r="AK193" s="11" t="n">
        <f aca="false">IF($A193="",0,SUMIFS(tblAuftraege[Ausgaben],tblAuftraege[Datum Ausgaben],"&gt;="&amp;AK$5,tblAuftraege[Datum Ausgaben],"&lt;"&amp;EDATE(AK$5,1),tblAuftraege[Kostenstelle],$A193))</f>
        <v>0</v>
      </c>
      <c r="AL193" s="11" t="n">
        <f aca="false">IF($A193="",0,SUMIFS(tblAuftraege[Ausgaben],tblAuftraege[Datum Ausgaben],"&gt;="&amp;AL$5,tblAuftraege[Datum Ausgaben],"&lt;"&amp;EDATE(AL$5,1),tblAuftraege[Kostenstelle],$A193))</f>
        <v>0</v>
      </c>
      <c r="AM193" s="11" t="n">
        <f aca="false">IF($A193="",0,SUMIFS(tblAuftraege[Ausgaben],tblAuftraege[Datum Ausgaben],"&gt;="&amp;AM$5,tblAuftraege[Datum Ausgaben],"&lt;"&amp;EDATE(AM$5,1),tblAuftraege[Kostenstelle],$A193))</f>
        <v>0</v>
      </c>
      <c r="AN193" s="11" t="n">
        <f aca="false">IF($A193="",0,SUMIFS(tblAuftraege[Ausgaben],tblAuftraege[Datum Ausgaben],"&gt;="&amp;AN$5,tblAuftraege[Datum Ausgaben],"&lt;"&amp;EDATE(AN$5,1),tblAuftraege[Kostenstelle],$A193))</f>
        <v>0</v>
      </c>
      <c r="AO193" s="11" t="n">
        <f aca="false">IF($A193="",0,SUMIFS(tblAuftraege[Ausgaben],tblAuftraege[Datum Ausgaben],"&gt;="&amp;AO$5,tblAuftraege[Datum Ausgaben],"&lt;"&amp;EDATE(AO$5,1),tblAuftraege[Kostenstelle],$A193))</f>
        <v>0</v>
      </c>
      <c r="AP193" s="11" t="n">
        <f aca="false">IF($A193="",0,SUMIFS(tblAuftraege[Ausgaben],tblAuftraege[Datum Ausgaben],"&gt;="&amp;AP$5,tblAuftraege[Datum Ausgaben],"&lt;"&amp;EDATE(AP$5,1),tblAuftraege[Kostenstelle],$A193))</f>
        <v>0</v>
      </c>
      <c r="AQ193" s="11" t="n">
        <f aca="false">IF($A193="",0,SUMIFS(tblAuftraege[Ausgaben],tblAuftraege[Datum Ausgaben],"&gt;="&amp;AQ$5,tblAuftraege[Datum Ausgaben],"&lt;"&amp;EDATE(AQ$5,1),tblAuftraege[Kostenstelle],$A193))</f>
        <v>0</v>
      </c>
      <c r="AR193" s="11" t="n">
        <f aca="false">IF($A193="",0,SUMIFS(tblAuftraege[Ausgaben],tblAuftraege[Datum Ausgaben],"&gt;="&amp;AR$5,tblAuftraege[Datum Ausgaben],"&lt;"&amp;EDATE(AR$5,1),tblAuftraege[Kostenstelle],$A193))</f>
        <v>0</v>
      </c>
      <c r="AS193" s="11" t="n">
        <f aca="false">IF($A193="",0,SUMIFS(tblAuftraege[Ausgaben],tblAuftraege[Datum Ausgaben],"&gt;="&amp;AS$5,tblAuftraege[Datum Ausgaben],"&lt;"&amp;EDATE(AS$5,1),tblAuftraege[Kostenstelle],$A193))</f>
        <v>0</v>
      </c>
      <c r="AT193" s="11" t="n">
        <f aca="false">IF($A193="",0,SUMIFS(tblAuftraege[Ausgaben],tblAuftraege[Datum Ausgaben],"&gt;="&amp;AT$5,tblAuftraege[Datum Ausgaben],"&lt;"&amp;EDATE(AT$5,1),tblAuftraege[Kostenstelle],$A193))</f>
        <v>0</v>
      </c>
      <c r="AU193" s="11" t="n">
        <f aca="false">IF($A193="",0,SUMIFS(tblAuftraege[Ausgaben],tblAuftraege[Datum Ausgaben],"&gt;="&amp;AU$5,tblAuftraege[Datum Ausgaben],"&lt;"&amp;EDATE(AU$5,1),tblAuftraege[Kostenstelle],$A193))</f>
        <v>0</v>
      </c>
      <c r="AV193" s="11" t="n">
        <f aca="false">IF($A193="",0,SUMIFS(tblAuftraege[Ausgaben],tblAuftraege[Datum Ausgaben],"&gt;="&amp;AV$5,tblAuftraege[Datum Ausgaben],"&lt;"&amp;EDATE(AV$5,1),tblAuftraege[Kostenstelle],$A193))</f>
        <v>0</v>
      </c>
      <c r="AW193" s="11" t="n">
        <f aca="false">IF($A193="",0,SUMIFS(tblAuftraege[Ausgaben],tblAuftraege[Datum Ausgaben],"&gt;="&amp;AW$5,tblAuftraege[Datum Ausgaben],"&lt;"&amp;EDATE(AW$5,1),tblAuftraege[Kostenstelle],$A193))</f>
        <v>0</v>
      </c>
      <c r="AX193" s="11" t="n">
        <f aca="false">IF($A193="",0,SUMIFS(tblAuftraege[Ausgaben],tblAuftraege[Datum Ausgaben],"&gt;="&amp;AX$5,tblAuftraege[Datum Ausgaben],"&lt;"&amp;EDATE(AX$5,1),tblAuftraege[Kostenstelle],$A193))</f>
        <v>0</v>
      </c>
      <c r="AY193" s="11" t="n">
        <f aca="false">IF($A193="",0,SUMIFS(tblAuftraege[Ausgaben],tblAuftraege[Datum Ausgaben],"&gt;="&amp;AY$5,tblAuftraege[Datum Ausgaben],"&lt;"&amp;EDATE(AY$5,1),tblAuftraege[Kostenstelle],$A193))</f>
        <v>0</v>
      </c>
      <c r="AZ193" s="11" t="n">
        <f aca="false">IF($A193="",0,SUMIFS(tblAuftraege[Ausgaben],tblAuftraege[Datum Ausgaben],"&gt;="&amp;AZ$5,tblAuftraege[Datum Ausgaben],"&lt;"&amp;EDATE(AZ$5,1),tblAuftraege[Kostenstelle],$A193))</f>
        <v>0</v>
      </c>
      <c r="BA193" s="11" t="n">
        <f aca="false">IF($A193="",0,SUMIFS(tblAuftraege[Ausgaben],tblAuftraege[Datum Ausgaben],"&gt;="&amp;BA$5,tblAuftraege[Datum Ausgaben],"&lt;"&amp;EDATE(BA$5,1),tblAuftraege[Kostenstelle],$A193))</f>
        <v>0</v>
      </c>
      <c r="BB193" s="11" t="n">
        <f aca="false">IF($A193="",0,SUMIFS(tblAuftraege[Ausgaben],tblAuftraege[Datum Ausgaben],"&gt;="&amp;BB$5,tblAuftraege[Datum Ausgaben],"&lt;"&amp;EDATE(BB$5,1),tblAuftraege[Kostenstelle],$A193))</f>
        <v>0</v>
      </c>
      <c r="BC193" s="11" t="n">
        <f aca="false">IF($A193="",0,SUMIFS(tblAuftraege[Ausgaben],tblAuftraege[Datum Ausgaben],"&gt;="&amp;BC$5,tblAuftraege[Datum Ausgaben],"&lt;"&amp;EDATE(BC$5,1),tblAuftraege[Kostenstelle],$A193))</f>
        <v>0</v>
      </c>
      <c r="BD193" s="11" t="n">
        <f aca="false">IF($A193="",0,SUMIFS(tblAuftraege[Ausgaben],tblAuftraege[Datum Ausgaben],"&gt;="&amp;BD$5,tblAuftraege[Datum Ausgaben],"&lt;"&amp;EDATE(BD$5,1),tblAuftraege[Kostenstelle],$A193))</f>
        <v>0</v>
      </c>
      <c r="BE193" s="11" t="n">
        <f aca="false">IF($A193="",0,SUMIFS(tblAuftraege[Ausgaben],tblAuftraege[Datum Ausgaben],"&gt;="&amp;BE$5,tblAuftraege[Datum Ausgaben],"&lt;"&amp;EDATE(BE$5,1),tblAuftraege[Kostenstelle],$A193))</f>
        <v>0</v>
      </c>
      <c r="BF193" s="11" t="n">
        <f aca="false">IF($A193="",0,SUMIFS(tblAuftraege[Ausgaben],tblAuftraege[Datum Ausgaben],"&gt;="&amp;BF$5,tblAuftraege[Datum Ausgaben],"&lt;"&amp;EDATE(BF$5,1),tblAuftraege[Kostenstelle],$A193))</f>
        <v>0</v>
      </c>
      <c r="BG193" s="11" t="n">
        <f aca="false">SUM(E193:J193)</f>
        <v>0</v>
      </c>
      <c r="BH193" s="11" t="n">
        <f aca="false">SUM(K193:V193)</f>
        <v>0</v>
      </c>
      <c r="BI193" s="11" t="n">
        <f aca="false">SUM(W193:AH193)</f>
        <v>0</v>
      </c>
      <c r="BJ193" s="11" t="n">
        <f aca="false">SUM(AI193:AT193)</f>
        <v>0</v>
      </c>
      <c r="BK193" s="11" t="n">
        <f aca="false">SUM(AU193:BF193)</f>
        <v>0</v>
      </c>
      <c r="BL193" s="12" t="n">
        <f aca="false">SUM(E193:BF193)</f>
        <v>0</v>
      </c>
    </row>
    <row r="194" customFormat="false" ht="15" hidden="false" customHeight="false" outlineLevel="0" collapsed="false">
      <c r="A194" s="9" t="s">
        <v>128</v>
      </c>
      <c r="B194" s="36" t="s">
        <v>129</v>
      </c>
      <c r="C194" s="15"/>
      <c r="D194" s="15"/>
      <c r="E194" s="11" t="n">
        <f aca="false">IF($A194="",0,SUMIFS(tblAuftraege[Ausgaben],tblAuftraege[Datum Ausgaben],"&gt;="&amp;E$5,tblAuftraege[Datum Ausgaben],"&lt;"&amp;EDATE(E$5,1),tblAuftraege[Kostenstelle],$A194))</f>
        <v>0</v>
      </c>
      <c r="F194" s="11" t="n">
        <f aca="false">IF($A194="",0,SUMIFS(tblAuftraege[Ausgaben],tblAuftraege[Datum Ausgaben],"&gt;="&amp;F$5,tblAuftraege[Datum Ausgaben],"&lt;"&amp;EDATE(F$5,1),tblAuftraege[Kostenstelle],$A194))</f>
        <v>0</v>
      </c>
      <c r="G194" s="11" t="n">
        <f aca="false">IF($A194="",0,SUMIFS(tblAuftraege[Ausgaben],tblAuftraege[Datum Ausgaben],"&gt;="&amp;G$5,tblAuftraege[Datum Ausgaben],"&lt;"&amp;EDATE(G$5,1),tblAuftraege[Kostenstelle],$A194))</f>
        <v>0</v>
      </c>
      <c r="H194" s="11" t="n">
        <f aca="false">IF($A194="",0,SUMIFS(tblAuftraege[Ausgaben],tblAuftraege[Datum Ausgaben],"&gt;="&amp;H$5,tblAuftraege[Datum Ausgaben],"&lt;"&amp;EDATE(H$5,1),tblAuftraege[Kostenstelle],$A194))</f>
        <v>0</v>
      </c>
      <c r="I194" s="11" t="n">
        <f aca="false">IF($A194="",0,SUMIFS(tblAuftraege[Ausgaben],tblAuftraege[Datum Ausgaben],"&gt;="&amp;I$5,tblAuftraege[Datum Ausgaben],"&lt;"&amp;EDATE(I$5,1),tblAuftraege[Kostenstelle],$A194))</f>
        <v>0</v>
      </c>
      <c r="J194" s="11" t="n">
        <f aca="false">IF($A194="",0,SUMIFS(tblAuftraege[Ausgaben],tblAuftraege[Datum Ausgaben],"&gt;="&amp;J$5,tblAuftraege[Datum Ausgaben],"&lt;"&amp;EDATE(J$5,1),tblAuftraege[Kostenstelle],$A194))</f>
        <v>0</v>
      </c>
      <c r="K194" s="11" t="n">
        <f aca="false">IF($A194="",0,SUMIFS(tblAuftraege[Ausgaben],tblAuftraege[Datum Ausgaben],"&gt;="&amp;K$5,tblAuftraege[Datum Ausgaben],"&lt;"&amp;EDATE(K$5,1),tblAuftraege[Kostenstelle],$A194))</f>
        <v>0</v>
      </c>
      <c r="L194" s="11" t="n">
        <f aca="false">IF($A194="",0,SUMIFS(tblAuftraege[Ausgaben],tblAuftraege[Datum Ausgaben],"&gt;="&amp;L$5,tblAuftraege[Datum Ausgaben],"&lt;"&amp;EDATE(L$5,1),tblAuftraege[Kostenstelle],$A194))</f>
        <v>0</v>
      </c>
      <c r="M194" s="11" t="n">
        <f aca="false">IF($A194="",0,SUMIFS(tblAuftraege[Ausgaben],tblAuftraege[Datum Ausgaben],"&gt;="&amp;M$5,tblAuftraege[Datum Ausgaben],"&lt;"&amp;EDATE(M$5,1),tblAuftraege[Kostenstelle],$A194))</f>
        <v>0</v>
      </c>
      <c r="N194" s="11" t="n">
        <f aca="false">IF($A194="",0,SUMIFS(tblAuftraege[Ausgaben],tblAuftraege[Datum Ausgaben],"&gt;="&amp;N$5,tblAuftraege[Datum Ausgaben],"&lt;"&amp;EDATE(N$5,1),tblAuftraege[Kostenstelle],$A194))</f>
        <v>0</v>
      </c>
      <c r="O194" s="11" t="n">
        <f aca="false">IF($A194="",0,SUMIFS(tblAuftraege[Ausgaben],tblAuftraege[Datum Ausgaben],"&gt;="&amp;O$5,tblAuftraege[Datum Ausgaben],"&lt;"&amp;EDATE(O$5,1),tblAuftraege[Kostenstelle],$A194))</f>
        <v>0</v>
      </c>
      <c r="P194" s="11" t="n">
        <f aca="false">IF($A194="",0,SUMIFS(tblAuftraege[Ausgaben],tblAuftraege[Datum Ausgaben],"&gt;="&amp;P$5,tblAuftraege[Datum Ausgaben],"&lt;"&amp;EDATE(P$5,1),tblAuftraege[Kostenstelle],$A194))</f>
        <v>0</v>
      </c>
      <c r="Q194" s="11" t="n">
        <f aca="false">IF($A194="",0,SUMIFS(tblAuftraege[Ausgaben],tblAuftraege[Datum Ausgaben],"&gt;="&amp;Q$5,tblAuftraege[Datum Ausgaben],"&lt;"&amp;EDATE(Q$5,1),tblAuftraege[Kostenstelle],$A194))</f>
        <v>0</v>
      </c>
      <c r="R194" s="11" t="n">
        <f aca="false">IF($A194="",0,SUMIFS(tblAuftraege[Ausgaben],tblAuftraege[Datum Ausgaben],"&gt;="&amp;R$5,tblAuftraege[Datum Ausgaben],"&lt;"&amp;EDATE(R$5,1),tblAuftraege[Kostenstelle],$A194))</f>
        <v>0</v>
      </c>
      <c r="S194" s="11" t="n">
        <f aca="false">IF($A194="",0,SUMIFS(tblAuftraege[Ausgaben],tblAuftraege[Datum Ausgaben],"&gt;="&amp;S$5,tblAuftraege[Datum Ausgaben],"&lt;"&amp;EDATE(S$5,1),tblAuftraege[Kostenstelle],$A194))</f>
        <v>0</v>
      </c>
      <c r="T194" s="11" t="n">
        <f aca="false">IF($A194="",0,SUMIFS(tblAuftraege[Ausgaben],tblAuftraege[Datum Ausgaben],"&gt;="&amp;T$5,tblAuftraege[Datum Ausgaben],"&lt;"&amp;EDATE(T$5,1),tblAuftraege[Kostenstelle],$A194))</f>
        <v>0</v>
      </c>
      <c r="U194" s="11" t="n">
        <f aca="false">IF($A194="",0,SUMIFS(tblAuftraege[Ausgaben],tblAuftraege[Datum Ausgaben],"&gt;="&amp;U$5,tblAuftraege[Datum Ausgaben],"&lt;"&amp;EDATE(U$5,1),tblAuftraege[Kostenstelle],$A194))</f>
        <v>0</v>
      </c>
      <c r="V194" s="11" t="n">
        <f aca="false">IF($A194="",0,SUMIFS(tblAuftraege[Ausgaben],tblAuftraege[Datum Ausgaben],"&gt;="&amp;V$5,tblAuftraege[Datum Ausgaben],"&lt;"&amp;EDATE(V$5,1),tblAuftraege[Kostenstelle],$A194))</f>
        <v>0</v>
      </c>
      <c r="W194" s="11" t="n">
        <f aca="false">IF($A194="",0,SUMIFS(tblAuftraege[Ausgaben],tblAuftraege[Datum Ausgaben],"&gt;="&amp;W$5,tblAuftraege[Datum Ausgaben],"&lt;"&amp;EDATE(W$5,1),tblAuftraege[Kostenstelle],$A194))</f>
        <v>0</v>
      </c>
      <c r="X194" s="11" t="n">
        <f aca="false">IF($A194="",0,SUMIFS(tblAuftraege[Ausgaben],tblAuftraege[Datum Ausgaben],"&gt;="&amp;X$5,tblAuftraege[Datum Ausgaben],"&lt;"&amp;EDATE(X$5,1),tblAuftraege[Kostenstelle],$A194))</f>
        <v>0</v>
      </c>
      <c r="Y194" s="11" t="n">
        <f aca="false">IF($A194="",0,SUMIFS(tblAuftraege[Ausgaben],tblAuftraege[Datum Ausgaben],"&gt;="&amp;Y$5,tblAuftraege[Datum Ausgaben],"&lt;"&amp;EDATE(Y$5,1),tblAuftraege[Kostenstelle],$A194))</f>
        <v>0</v>
      </c>
      <c r="Z194" s="11" t="n">
        <f aca="false">IF($A194="",0,SUMIFS(tblAuftraege[Ausgaben],tblAuftraege[Datum Ausgaben],"&gt;="&amp;Z$5,tblAuftraege[Datum Ausgaben],"&lt;"&amp;EDATE(Z$5,1),tblAuftraege[Kostenstelle],$A194))</f>
        <v>0</v>
      </c>
      <c r="AA194" s="11" t="n">
        <f aca="false">IF($A194="",0,SUMIFS(tblAuftraege[Ausgaben],tblAuftraege[Datum Ausgaben],"&gt;="&amp;AA$5,tblAuftraege[Datum Ausgaben],"&lt;"&amp;EDATE(AA$5,1),tblAuftraege[Kostenstelle],$A194))</f>
        <v>0</v>
      </c>
      <c r="AB194" s="11" t="n">
        <f aca="false">IF($A194="",0,SUMIFS(tblAuftraege[Ausgaben],tblAuftraege[Datum Ausgaben],"&gt;="&amp;AB$5,tblAuftraege[Datum Ausgaben],"&lt;"&amp;EDATE(AB$5,1),tblAuftraege[Kostenstelle],$A194))</f>
        <v>0</v>
      </c>
      <c r="AC194" s="11" t="n">
        <f aca="false">IF($A194="",0,SUMIFS(tblAuftraege[Ausgaben],tblAuftraege[Datum Ausgaben],"&gt;="&amp;AC$5,tblAuftraege[Datum Ausgaben],"&lt;"&amp;EDATE(AC$5,1),tblAuftraege[Kostenstelle],$A194))</f>
        <v>0</v>
      </c>
      <c r="AD194" s="11" t="n">
        <f aca="false">IF($A194="",0,SUMIFS(tblAuftraege[Ausgaben],tblAuftraege[Datum Ausgaben],"&gt;="&amp;AD$5,tblAuftraege[Datum Ausgaben],"&lt;"&amp;EDATE(AD$5,1),tblAuftraege[Kostenstelle],$A194))</f>
        <v>0</v>
      </c>
      <c r="AE194" s="11" t="n">
        <f aca="false">IF($A194="",0,SUMIFS(tblAuftraege[Ausgaben],tblAuftraege[Datum Ausgaben],"&gt;="&amp;AE$5,tblAuftraege[Datum Ausgaben],"&lt;"&amp;EDATE(AE$5,1),tblAuftraege[Kostenstelle],$A194))</f>
        <v>0</v>
      </c>
      <c r="AF194" s="11" t="n">
        <f aca="false">IF($A194="",0,SUMIFS(tblAuftraege[Ausgaben],tblAuftraege[Datum Ausgaben],"&gt;="&amp;AF$5,tblAuftraege[Datum Ausgaben],"&lt;"&amp;EDATE(AF$5,1),tblAuftraege[Kostenstelle],$A194))</f>
        <v>0</v>
      </c>
      <c r="AG194" s="11" t="n">
        <f aca="false">IF($A194="",0,SUMIFS(tblAuftraege[Ausgaben],tblAuftraege[Datum Ausgaben],"&gt;="&amp;AG$5,tblAuftraege[Datum Ausgaben],"&lt;"&amp;EDATE(AG$5,1),tblAuftraege[Kostenstelle],$A194))</f>
        <v>0</v>
      </c>
      <c r="AH194" s="11" t="n">
        <f aca="false">IF($A194="",0,SUMIFS(tblAuftraege[Ausgaben],tblAuftraege[Datum Ausgaben],"&gt;="&amp;AH$5,tblAuftraege[Datum Ausgaben],"&lt;"&amp;EDATE(AH$5,1),tblAuftraege[Kostenstelle],$A194))</f>
        <v>0</v>
      </c>
      <c r="AI194" s="11" t="n">
        <f aca="false">IF($A194="",0,SUMIFS(tblAuftraege[Ausgaben],tblAuftraege[Datum Ausgaben],"&gt;="&amp;AI$5,tblAuftraege[Datum Ausgaben],"&lt;"&amp;EDATE(AI$5,1),tblAuftraege[Kostenstelle],$A194))</f>
        <v>0</v>
      </c>
      <c r="AJ194" s="11" t="n">
        <f aca="false">IF($A194="",0,SUMIFS(tblAuftraege[Ausgaben],tblAuftraege[Datum Ausgaben],"&gt;="&amp;AJ$5,tblAuftraege[Datum Ausgaben],"&lt;"&amp;EDATE(AJ$5,1),tblAuftraege[Kostenstelle],$A194))</f>
        <v>0</v>
      </c>
      <c r="AK194" s="11" t="n">
        <f aca="false">IF($A194="",0,SUMIFS(tblAuftraege[Ausgaben],tblAuftraege[Datum Ausgaben],"&gt;="&amp;AK$5,tblAuftraege[Datum Ausgaben],"&lt;"&amp;EDATE(AK$5,1),tblAuftraege[Kostenstelle],$A194))</f>
        <v>0</v>
      </c>
      <c r="AL194" s="11" t="n">
        <f aca="false">IF($A194="",0,SUMIFS(tblAuftraege[Ausgaben],tblAuftraege[Datum Ausgaben],"&gt;="&amp;AL$5,tblAuftraege[Datum Ausgaben],"&lt;"&amp;EDATE(AL$5,1),tblAuftraege[Kostenstelle],$A194))</f>
        <v>0</v>
      </c>
      <c r="AM194" s="11" t="n">
        <f aca="false">IF($A194="",0,SUMIFS(tblAuftraege[Ausgaben],tblAuftraege[Datum Ausgaben],"&gt;="&amp;AM$5,tblAuftraege[Datum Ausgaben],"&lt;"&amp;EDATE(AM$5,1),tblAuftraege[Kostenstelle],$A194))</f>
        <v>0</v>
      </c>
      <c r="AN194" s="11" t="n">
        <f aca="false">IF($A194="",0,SUMIFS(tblAuftraege[Ausgaben],tblAuftraege[Datum Ausgaben],"&gt;="&amp;AN$5,tblAuftraege[Datum Ausgaben],"&lt;"&amp;EDATE(AN$5,1),tblAuftraege[Kostenstelle],$A194))</f>
        <v>0</v>
      </c>
      <c r="AO194" s="11" t="n">
        <f aca="false">IF($A194="",0,SUMIFS(tblAuftraege[Ausgaben],tblAuftraege[Datum Ausgaben],"&gt;="&amp;AO$5,tblAuftraege[Datum Ausgaben],"&lt;"&amp;EDATE(AO$5,1),tblAuftraege[Kostenstelle],$A194))</f>
        <v>0</v>
      </c>
      <c r="AP194" s="11" t="n">
        <f aca="false">IF($A194="",0,SUMIFS(tblAuftraege[Ausgaben],tblAuftraege[Datum Ausgaben],"&gt;="&amp;AP$5,tblAuftraege[Datum Ausgaben],"&lt;"&amp;EDATE(AP$5,1),tblAuftraege[Kostenstelle],$A194))</f>
        <v>0</v>
      </c>
      <c r="AQ194" s="11" t="n">
        <f aca="false">IF($A194="",0,SUMIFS(tblAuftraege[Ausgaben],tblAuftraege[Datum Ausgaben],"&gt;="&amp;AQ$5,tblAuftraege[Datum Ausgaben],"&lt;"&amp;EDATE(AQ$5,1),tblAuftraege[Kostenstelle],$A194))</f>
        <v>0</v>
      </c>
      <c r="AR194" s="11" t="n">
        <f aca="false">IF($A194="",0,SUMIFS(tblAuftraege[Ausgaben],tblAuftraege[Datum Ausgaben],"&gt;="&amp;AR$5,tblAuftraege[Datum Ausgaben],"&lt;"&amp;EDATE(AR$5,1),tblAuftraege[Kostenstelle],$A194))</f>
        <v>0</v>
      </c>
      <c r="AS194" s="11" t="n">
        <f aca="false">IF($A194="",0,SUMIFS(tblAuftraege[Ausgaben],tblAuftraege[Datum Ausgaben],"&gt;="&amp;AS$5,tblAuftraege[Datum Ausgaben],"&lt;"&amp;EDATE(AS$5,1),tblAuftraege[Kostenstelle],$A194))</f>
        <v>0</v>
      </c>
      <c r="AT194" s="11" t="n">
        <f aca="false">IF($A194="",0,SUMIFS(tblAuftraege[Ausgaben],tblAuftraege[Datum Ausgaben],"&gt;="&amp;AT$5,tblAuftraege[Datum Ausgaben],"&lt;"&amp;EDATE(AT$5,1),tblAuftraege[Kostenstelle],$A194))</f>
        <v>0</v>
      </c>
      <c r="AU194" s="11" t="n">
        <f aca="false">IF($A194="",0,SUMIFS(tblAuftraege[Ausgaben],tblAuftraege[Datum Ausgaben],"&gt;="&amp;AU$5,tblAuftraege[Datum Ausgaben],"&lt;"&amp;EDATE(AU$5,1),tblAuftraege[Kostenstelle],$A194))</f>
        <v>0</v>
      </c>
      <c r="AV194" s="11" t="n">
        <f aca="false">IF($A194="",0,SUMIFS(tblAuftraege[Ausgaben],tblAuftraege[Datum Ausgaben],"&gt;="&amp;AV$5,tblAuftraege[Datum Ausgaben],"&lt;"&amp;EDATE(AV$5,1),tblAuftraege[Kostenstelle],$A194))</f>
        <v>0</v>
      </c>
      <c r="AW194" s="11" t="n">
        <f aca="false">IF($A194="",0,SUMIFS(tblAuftraege[Ausgaben],tblAuftraege[Datum Ausgaben],"&gt;="&amp;AW$5,tblAuftraege[Datum Ausgaben],"&lt;"&amp;EDATE(AW$5,1),tblAuftraege[Kostenstelle],$A194))</f>
        <v>0</v>
      </c>
      <c r="AX194" s="11" t="n">
        <f aca="false">IF($A194="",0,SUMIFS(tblAuftraege[Ausgaben],tblAuftraege[Datum Ausgaben],"&gt;="&amp;AX$5,tblAuftraege[Datum Ausgaben],"&lt;"&amp;EDATE(AX$5,1),tblAuftraege[Kostenstelle],$A194))</f>
        <v>0</v>
      </c>
      <c r="AY194" s="11" t="n">
        <f aca="false">IF($A194="",0,SUMIFS(tblAuftraege[Ausgaben],tblAuftraege[Datum Ausgaben],"&gt;="&amp;AY$5,tblAuftraege[Datum Ausgaben],"&lt;"&amp;EDATE(AY$5,1),tblAuftraege[Kostenstelle],$A194))</f>
        <v>0</v>
      </c>
      <c r="AZ194" s="11" t="n">
        <f aca="false">IF($A194="",0,SUMIFS(tblAuftraege[Ausgaben],tblAuftraege[Datum Ausgaben],"&gt;="&amp;AZ$5,tblAuftraege[Datum Ausgaben],"&lt;"&amp;EDATE(AZ$5,1),tblAuftraege[Kostenstelle],$A194))</f>
        <v>0</v>
      </c>
      <c r="BA194" s="11" t="n">
        <f aca="false">IF($A194="",0,SUMIFS(tblAuftraege[Ausgaben],tblAuftraege[Datum Ausgaben],"&gt;="&amp;BA$5,tblAuftraege[Datum Ausgaben],"&lt;"&amp;EDATE(BA$5,1),tblAuftraege[Kostenstelle],$A194))</f>
        <v>0</v>
      </c>
      <c r="BB194" s="11" t="n">
        <f aca="false">IF($A194="",0,SUMIFS(tblAuftraege[Ausgaben],tblAuftraege[Datum Ausgaben],"&gt;="&amp;BB$5,tblAuftraege[Datum Ausgaben],"&lt;"&amp;EDATE(BB$5,1),tblAuftraege[Kostenstelle],$A194))</f>
        <v>0</v>
      </c>
      <c r="BC194" s="11" t="n">
        <f aca="false">IF($A194="",0,SUMIFS(tblAuftraege[Ausgaben],tblAuftraege[Datum Ausgaben],"&gt;="&amp;BC$5,tblAuftraege[Datum Ausgaben],"&lt;"&amp;EDATE(BC$5,1),tblAuftraege[Kostenstelle],$A194))</f>
        <v>0</v>
      </c>
      <c r="BD194" s="11" t="n">
        <f aca="false">IF($A194="",0,SUMIFS(tblAuftraege[Ausgaben],tblAuftraege[Datum Ausgaben],"&gt;="&amp;BD$5,tblAuftraege[Datum Ausgaben],"&lt;"&amp;EDATE(BD$5,1),tblAuftraege[Kostenstelle],$A194))</f>
        <v>0</v>
      </c>
      <c r="BE194" s="11" t="n">
        <f aca="false">IF($A194="",0,SUMIFS(tblAuftraege[Ausgaben],tblAuftraege[Datum Ausgaben],"&gt;="&amp;BE$5,tblAuftraege[Datum Ausgaben],"&lt;"&amp;EDATE(BE$5,1),tblAuftraege[Kostenstelle],$A194))</f>
        <v>0</v>
      </c>
      <c r="BF194" s="11" t="n">
        <f aca="false">IF($A194="",0,SUMIFS(tblAuftraege[Ausgaben],tblAuftraege[Datum Ausgaben],"&gt;="&amp;BF$5,tblAuftraege[Datum Ausgaben],"&lt;"&amp;EDATE(BF$5,1),tblAuftraege[Kostenstelle],$A194))</f>
        <v>0</v>
      </c>
      <c r="BG194" s="11" t="n">
        <f aca="false">SUM(E194:J194)</f>
        <v>0</v>
      </c>
      <c r="BH194" s="11" t="n">
        <f aca="false">SUM(K194:V194)</f>
        <v>0</v>
      </c>
      <c r="BI194" s="11" t="n">
        <f aca="false">SUM(W194:AH194)</f>
        <v>0</v>
      </c>
      <c r="BJ194" s="11" t="n">
        <f aca="false">SUM(AI194:AT194)</f>
        <v>0</v>
      </c>
      <c r="BK194" s="11" t="n">
        <f aca="false">SUM(AU194:BF194)</f>
        <v>0</v>
      </c>
      <c r="BL194" s="12" t="n">
        <f aca="false">SUM(E194:BF194)</f>
        <v>0</v>
      </c>
    </row>
    <row r="195" customFormat="false" ht="15" hidden="false" customHeight="false" outlineLevel="0" collapsed="false">
      <c r="A195" s="9" t="s">
        <v>130</v>
      </c>
      <c r="B195" s="36" t="s">
        <v>131</v>
      </c>
      <c r="C195" s="15"/>
      <c r="D195" s="15"/>
      <c r="E195" s="11" t="n">
        <f aca="false">IF($A195="",0,SUMIFS(tblAuftraege[Ausgaben],tblAuftraege[Datum Ausgaben],"&gt;="&amp;E$5,tblAuftraege[Datum Ausgaben],"&lt;"&amp;EDATE(E$5,1),tblAuftraege[Kostenstelle],$A195))</f>
        <v>0</v>
      </c>
      <c r="F195" s="11" t="n">
        <f aca="false">IF($A195="",0,SUMIFS(tblAuftraege[Ausgaben],tblAuftraege[Datum Ausgaben],"&gt;="&amp;F$5,tblAuftraege[Datum Ausgaben],"&lt;"&amp;EDATE(F$5,1),tblAuftraege[Kostenstelle],$A195))</f>
        <v>0</v>
      </c>
      <c r="G195" s="11" t="n">
        <f aca="false">IF($A195="",0,SUMIFS(tblAuftraege[Ausgaben],tblAuftraege[Datum Ausgaben],"&gt;="&amp;G$5,tblAuftraege[Datum Ausgaben],"&lt;"&amp;EDATE(G$5,1),tblAuftraege[Kostenstelle],$A195))</f>
        <v>0</v>
      </c>
      <c r="H195" s="11" t="n">
        <f aca="false">IF($A195="",0,SUMIFS(tblAuftraege[Ausgaben],tblAuftraege[Datum Ausgaben],"&gt;="&amp;H$5,tblAuftraege[Datum Ausgaben],"&lt;"&amp;EDATE(H$5,1),tblAuftraege[Kostenstelle],$A195))</f>
        <v>0</v>
      </c>
      <c r="I195" s="11" t="n">
        <f aca="false">IF($A195="",0,SUMIFS(tblAuftraege[Ausgaben],tblAuftraege[Datum Ausgaben],"&gt;="&amp;I$5,tblAuftraege[Datum Ausgaben],"&lt;"&amp;EDATE(I$5,1),tblAuftraege[Kostenstelle],$A195))</f>
        <v>0</v>
      </c>
      <c r="J195" s="11" t="n">
        <f aca="false">IF($A195="",0,SUMIFS(tblAuftraege[Ausgaben],tblAuftraege[Datum Ausgaben],"&gt;="&amp;J$5,tblAuftraege[Datum Ausgaben],"&lt;"&amp;EDATE(J$5,1),tblAuftraege[Kostenstelle],$A195))</f>
        <v>0</v>
      </c>
      <c r="K195" s="11" t="n">
        <f aca="false">IF($A195="",0,SUMIFS(tblAuftraege[Ausgaben],tblAuftraege[Datum Ausgaben],"&gt;="&amp;K$5,tblAuftraege[Datum Ausgaben],"&lt;"&amp;EDATE(K$5,1),tblAuftraege[Kostenstelle],$A195))</f>
        <v>0</v>
      </c>
      <c r="L195" s="11" t="n">
        <f aca="false">IF($A195="",0,SUMIFS(tblAuftraege[Ausgaben],tblAuftraege[Datum Ausgaben],"&gt;="&amp;L$5,tblAuftraege[Datum Ausgaben],"&lt;"&amp;EDATE(L$5,1),tblAuftraege[Kostenstelle],$A195))</f>
        <v>0</v>
      </c>
      <c r="M195" s="11" t="n">
        <f aca="false">IF($A195="",0,SUMIFS(tblAuftraege[Ausgaben],tblAuftraege[Datum Ausgaben],"&gt;="&amp;M$5,tblAuftraege[Datum Ausgaben],"&lt;"&amp;EDATE(M$5,1),tblAuftraege[Kostenstelle],$A195))</f>
        <v>0</v>
      </c>
      <c r="N195" s="11" t="n">
        <f aca="false">IF($A195="",0,SUMIFS(tblAuftraege[Ausgaben],tblAuftraege[Datum Ausgaben],"&gt;="&amp;N$5,tblAuftraege[Datum Ausgaben],"&lt;"&amp;EDATE(N$5,1),tblAuftraege[Kostenstelle],$A195))</f>
        <v>0</v>
      </c>
      <c r="O195" s="11" t="n">
        <f aca="false">IF($A195="",0,SUMIFS(tblAuftraege[Ausgaben],tblAuftraege[Datum Ausgaben],"&gt;="&amp;O$5,tblAuftraege[Datum Ausgaben],"&lt;"&amp;EDATE(O$5,1),tblAuftraege[Kostenstelle],$A195))</f>
        <v>0</v>
      </c>
      <c r="P195" s="11" t="n">
        <f aca="false">IF($A195="",0,SUMIFS(tblAuftraege[Ausgaben],tblAuftraege[Datum Ausgaben],"&gt;="&amp;P$5,tblAuftraege[Datum Ausgaben],"&lt;"&amp;EDATE(P$5,1),tblAuftraege[Kostenstelle],$A195))</f>
        <v>0</v>
      </c>
      <c r="Q195" s="11" t="n">
        <f aca="false">IF($A195="",0,SUMIFS(tblAuftraege[Ausgaben],tblAuftraege[Datum Ausgaben],"&gt;="&amp;Q$5,tblAuftraege[Datum Ausgaben],"&lt;"&amp;EDATE(Q$5,1),tblAuftraege[Kostenstelle],$A195))</f>
        <v>0</v>
      </c>
      <c r="R195" s="11" t="n">
        <f aca="false">IF($A195="",0,SUMIFS(tblAuftraege[Ausgaben],tblAuftraege[Datum Ausgaben],"&gt;="&amp;R$5,tblAuftraege[Datum Ausgaben],"&lt;"&amp;EDATE(R$5,1),tblAuftraege[Kostenstelle],$A195))</f>
        <v>0</v>
      </c>
      <c r="S195" s="11" t="n">
        <f aca="false">IF($A195="",0,SUMIFS(tblAuftraege[Ausgaben],tblAuftraege[Datum Ausgaben],"&gt;="&amp;S$5,tblAuftraege[Datum Ausgaben],"&lt;"&amp;EDATE(S$5,1),tblAuftraege[Kostenstelle],$A195))</f>
        <v>0</v>
      </c>
      <c r="T195" s="11" t="n">
        <f aca="false">IF($A195="",0,SUMIFS(tblAuftraege[Ausgaben],tblAuftraege[Datum Ausgaben],"&gt;="&amp;T$5,tblAuftraege[Datum Ausgaben],"&lt;"&amp;EDATE(T$5,1),tblAuftraege[Kostenstelle],$A195))</f>
        <v>0</v>
      </c>
      <c r="U195" s="11" t="n">
        <f aca="false">IF($A195="",0,SUMIFS(tblAuftraege[Ausgaben],tblAuftraege[Datum Ausgaben],"&gt;="&amp;U$5,tblAuftraege[Datum Ausgaben],"&lt;"&amp;EDATE(U$5,1),tblAuftraege[Kostenstelle],$A195))</f>
        <v>0</v>
      </c>
      <c r="V195" s="11" t="n">
        <f aca="false">IF($A195="",0,SUMIFS(tblAuftraege[Ausgaben],tblAuftraege[Datum Ausgaben],"&gt;="&amp;V$5,tblAuftraege[Datum Ausgaben],"&lt;"&amp;EDATE(V$5,1),tblAuftraege[Kostenstelle],$A195))</f>
        <v>0</v>
      </c>
      <c r="W195" s="11" t="n">
        <f aca="false">IF($A195="",0,SUMIFS(tblAuftraege[Ausgaben],tblAuftraege[Datum Ausgaben],"&gt;="&amp;W$5,tblAuftraege[Datum Ausgaben],"&lt;"&amp;EDATE(W$5,1),tblAuftraege[Kostenstelle],$A195))</f>
        <v>0</v>
      </c>
      <c r="X195" s="11" t="n">
        <f aca="false">IF($A195="",0,SUMIFS(tblAuftraege[Ausgaben],tblAuftraege[Datum Ausgaben],"&gt;="&amp;X$5,tblAuftraege[Datum Ausgaben],"&lt;"&amp;EDATE(X$5,1),tblAuftraege[Kostenstelle],$A195))</f>
        <v>0</v>
      </c>
      <c r="Y195" s="11" t="n">
        <f aca="false">IF($A195="",0,SUMIFS(tblAuftraege[Ausgaben],tblAuftraege[Datum Ausgaben],"&gt;="&amp;Y$5,tblAuftraege[Datum Ausgaben],"&lt;"&amp;EDATE(Y$5,1),tblAuftraege[Kostenstelle],$A195))</f>
        <v>0</v>
      </c>
      <c r="Z195" s="11" t="n">
        <f aca="false">IF($A195="",0,SUMIFS(tblAuftraege[Ausgaben],tblAuftraege[Datum Ausgaben],"&gt;="&amp;Z$5,tblAuftraege[Datum Ausgaben],"&lt;"&amp;EDATE(Z$5,1),tblAuftraege[Kostenstelle],$A195))</f>
        <v>0</v>
      </c>
      <c r="AA195" s="11" t="n">
        <f aca="false">IF($A195="",0,SUMIFS(tblAuftraege[Ausgaben],tblAuftraege[Datum Ausgaben],"&gt;="&amp;AA$5,tblAuftraege[Datum Ausgaben],"&lt;"&amp;EDATE(AA$5,1),tblAuftraege[Kostenstelle],$A195))</f>
        <v>0</v>
      </c>
      <c r="AB195" s="11" t="n">
        <f aca="false">IF($A195="",0,SUMIFS(tblAuftraege[Ausgaben],tblAuftraege[Datum Ausgaben],"&gt;="&amp;AB$5,tblAuftraege[Datum Ausgaben],"&lt;"&amp;EDATE(AB$5,1),tblAuftraege[Kostenstelle],$A195))</f>
        <v>0</v>
      </c>
      <c r="AC195" s="11" t="n">
        <f aca="false">IF($A195="",0,SUMIFS(tblAuftraege[Ausgaben],tblAuftraege[Datum Ausgaben],"&gt;="&amp;AC$5,tblAuftraege[Datum Ausgaben],"&lt;"&amp;EDATE(AC$5,1),tblAuftraege[Kostenstelle],$A195))</f>
        <v>0</v>
      </c>
      <c r="AD195" s="11" t="n">
        <f aca="false">IF($A195="",0,SUMIFS(tblAuftraege[Ausgaben],tblAuftraege[Datum Ausgaben],"&gt;="&amp;AD$5,tblAuftraege[Datum Ausgaben],"&lt;"&amp;EDATE(AD$5,1),tblAuftraege[Kostenstelle],$A195))</f>
        <v>0</v>
      </c>
      <c r="AE195" s="11" t="n">
        <f aca="false">IF($A195="",0,SUMIFS(tblAuftraege[Ausgaben],tblAuftraege[Datum Ausgaben],"&gt;="&amp;AE$5,tblAuftraege[Datum Ausgaben],"&lt;"&amp;EDATE(AE$5,1),tblAuftraege[Kostenstelle],$A195))</f>
        <v>0</v>
      </c>
      <c r="AF195" s="11" t="n">
        <f aca="false">IF($A195="",0,SUMIFS(tblAuftraege[Ausgaben],tblAuftraege[Datum Ausgaben],"&gt;="&amp;AF$5,tblAuftraege[Datum Ausgaben],"&lt;"&amp;EDATE(AF$5,1),tblAuftraege[Kostenstelle],$A195))</f>
        <v>0</v>
      </c>
      <c r="AG195" s="11" t="n">
        <f aca="false">IF($A195="",0,SUMIFS(tblAuftraege[Ausgaben],tblAuftraege[Datum Ausgaben],"&gt;="&amp;AG$5,tblAuftraege[Datum Ausgaben],"&lt;"&amp;EDATE(AG$5,1),tblAuftraege[Kostenstelle],$A195))</f>
        <v>0</v>
      </c>
      <c r="AH195" s="11" t="n">
        <f aca="false">IF($A195="",0,SUMIFS(tblAuftraege[Ausgaben],tblAuftraege[Datum Ausgaben],"&gt;="&amp;AH$5,tblAuftraege[Datum Ausgaben],"&lt;"&amp;EDATE(AH$5,1),tblAuftraege[Kostenstelle],$A195))</f>
        <v>0</v>
      </c>
      <c r="AI195" s="11" t="n">
        <f aca="false">IF($A195="",0,SUMIFS(tblAuftraege[Ausgaben],tblAuftraege[Datum Ausgaben],"&gt;="&amp;AI$5,tblAuftraege[Datum Ausgaben],"&lt;"&amp;EDATE(AI$5,1),tblAuftraege[Kostenstelle],$A195))</f>
        <v>0</v>
      </c>
      <c r="AJ195" s="11" t="n">
        <f aca="false">IF($A195="",0,SUMIFS(tblAuftraege[Ausgaben],tblAuftraege[Datum Ausgaben],"&gt;="&amp;AJ$5,tblAuftraege[Datum Ausgaben],"&lt;"&amp;EDATE(AJ$5,1),tblAuftraege[Kostenstelle],$A195))</f>
        <v>0</v>
      </c>
      <c r="AK195" s="11" t="n">
        <f aca="false">IF($A195="",0,SUMIFS(tblAuftraege[Ausgaben],tblAuftraege[Datum Ausgaben],"&gt;="&amp;AK$5,tblAuftraege[Datum Ausgaben],"&lt;"&amp;EDATE(AK$5,1),tblAuftraege[Kostenstelle],$A195))</f>
        <v>0</v>
      </c>
      <c r="AL195" s="11" t="n">
        <f aca="false">IF($A195="",0,SUMIFS(tblAuftraege[Ausgaben],tblAuftraege[Datum Ausgaben],"&gt;="&amp;AL$5,tblAuftraege[Datum Ausgaben],"&lt;"&amp;EDATE(AL$5,1),tblAuftraege[Kostenstelle],$A195))</f>
        <v>0</v>
      </c>
      <c r="AM195" s="11" t="n">
        <f aca="false">IF($A195="",0,SUMIFS(tblAuftraege[Ausgaben],tblAuftraege[Datum Ausgaben],"&gt;="&amp;AM$5,tblAuftraege[Datum Ausgaben],"&lt;"&amp;EDATE(AM$5,1),tblAuftraege[Kostenstelle],$A195))</f>
        <v>0</v>
      </c>
      <c r="AN195" s="11" t="n">
        <f aca="false">IF($A195="",0,SUMIFS(tblAuftraege[Ausgaben],tblAuftraege[Datum Ausgaben],"&gt;="&amp;AN$5,tblAuftraege[Datum Ausgaben],"&lt;"&amp;EDATE(AN$5,1),tblAuftraege[Kostenstelle],$A195))</f>
        <v>0</v>
      </c>
      <c r="AO195" s="11" t="n">
        <f aca="false">IF($A195="",0,SUMIFS(tblAuftraege[Ausgaben],tblAuftraege[Datum Ausgaben],"&gt;="&amp;AO$5,tblAuftraege[Datum Ausgaben],"&lt;"&amp;EDATE(AO$5,1),tblAuftraege[Kostenstelle],$A195))</f>
        <v>0</v>
      </c>
      <c r="AP195" s="11" t="n">
        <f aca="false">IF($A195="",0,SUMIFS(tblAuftraege[Ausgaben],tblAuftraege[Datum Ausgaben],"&gt;="&amp;AP$5,tblAuftraege[Datum Ausgaben],"&lt;"&amp;EDATE(AP$5,1),tblAuftraege[Kostenstelle],$A195))</f>
        <v>0</v>
      </c>
      <c r="AQ195" s="11" t="n">
        <f aca="false">IF($A195="",0,SUMIFS(tblAuftraege[Ausgaben],tblAuftraege[Datum Ausgaben],"&gt;="&amp;AQ$5,tblAuftraege[Datum Ausgaben],"&lt;"&amp;EDATE(AQ$5,1),tblAuftraege[Kostenstelle],$A195))</f>
        <v>0</v>
      </c>
      <c r="AR195" s="11" t="n">
        <f aca="false">IF($A195="",0,SUMIFS(tblAuftraege[Ausgaben],tblAuftraege[Datum Ausgaben],"&gt;="&amp;AR$5,tblAuftraege[Datum Ausgaben],"&lt;"&amp;EDATE(AR$5,1),tblAuftraege[Kostenstelle],$A195))</f>
        <v>0</v>
      </c>
      <c r="AS195" s="11" t="n">
        <f aca="false">IF($A195="",0,SUMIFS(tblAuftraege[Ausgaben],tblAuftraege[Datum Ausgaben],"&gt;="&amp;AS$5,tblAuftraege[Datum Ausgaben],"&lt;"&amp;EDATE(AS$5,1),tblAuftraege[Kostenstelle],$A195))</f>
        <v>0</v>
      </c>
      <c r="AT195" s="11" t="n">
        <f aca="false">IF($A195="",0,SUMIFS(tblAuftraege[Ausgaben],tblAuftraege[Datum Ausgaben],"&gt;="&amp;AT$5,tblAuftraege[Datum Ausgaben],"&lt;"&amp;EDATE(AT$5,1),tblAuftraege[Kostenstelle],$A195))</f>
        <v>0</v>
      </c>
      <c r="AU195" s="11" t="n">
        <f aca="false">IF($A195="",0,SUMIFS(tblAuftraege[Ausgaben],tblAuftraege[Datum Ausgaben],"&gt;="&amp;AU$5,tblAuftraege[Datum Ausgaben],"&lt;"&amp;EDATE(AU$5,1),tblAuftraege[Kostenstelle],$A195))</f>
        <v>0</v>
      </c>
      <c r="AV195" s="11" t="n">
        <f aca="false">IF($A195="",0,SUMIFS(tblAuftraege[Ausgaben],tblAuftraege[Datum Ausgaben],"&gt;="&amp;AV$5,tblAuftraege[Datum Ausgaben],"&lt;"&amp;EDATE(AV$5,1),tblAuftraege[Kostenstelle],$A195))</f>
        <v>0</v>
      </c>
      <c r="AW195" s="11" t="n">
        <f aca="false">IF($A195="",0,SUMIFS(tblAuftraege[Ausgaben],tblAuftraege[Datum Ausgaben],"&gt;="&amp;AW$5,tblAuftraege[Datum Ausgaben],"&lt;"&amp;EDATE(AW$5,1),tblAuftraege[Kostenstelle],$A195))</f>
        <v>0</v>
      </c>
      <c r="AX195" s="11" t="n">
        <f aca="false">IF($A195="",0,SUMIFS(tblAuftraege[Ausgaben],tblAuftraege[Datum Ausgaben],"&gt;="&amp;AX$5,tblAuftraege[Datum Ausgaben],"&lt;"&amp;EDATE(AX$5,1),tblAuftraege[Kostenstelle],$A195))</f>
        <v>0</v>
      </c>
      <c r="AY195" s="11" t="n">
        <f aca="false">IF($A195="",0,SUMIFS(tblAuftraege[Ausgaben],tblAuftraege[Datum Ausgaben],"&gt;="&amp;AY$5,tblAuftraege[Datum Ausgaben],"&lt;"&amp;EDATE(AY$5,1),tblAuftraege[Kostenstelle],$A195))</f>
        <v>0</v>
      </c>
      <c r="AZ195" s="11" t="n">
        <f aca="false">IF($A195="",0,SUMIFS(tblAuftraege[Ausgaben],tblAuftraege[Datum Ausgaben],"&gt;="&amp;AZ$5,tblAuftraege[Datum Ausgaben],"&lt;"&amp;EDATE(AZ$5,1),tblAuftraege[Kostenstelle],$A195))</f>
        <v>0</v>
      </c>
      <c r="BA195" s="11" t="n">
        <f aca="false">IF($A195="",0,SUMIFS(tblAuftraege[Ausgaben],tblAuftraege[Datum Ausgaben],"&gt;="&amp;BA$5,tblAuftraege[Datum Ausgaben],"&lt;"&amp;EDATE(BA$5,1),tblAuftraege[Kostenstelle],$A195))</f>
        <v>0</v>
      </c>
      <c r="BB195" s="11" t="n">
        <f aca="false">IF($A195="",0,SUMIFS(tblAuftraege[Ausgaben],tblAuftraege[Datum Ausgaben],"&gt;="&amp;BB$5,tblAuftraege[Datum Ausgaben],"&lt;"&amp;EDATE(BB$5,1),tblAuftraege[Kostenstelle],$A195))</f>
        <v>0</v>
      </c>
      <c r="BC195" s="11" t="n">
        <f aca="false">IF($A195="",0,SUMIFS(tblAuftraege[Ausgaben],tblAuftraege[Datum Ausgaben],"&gt;="&amp;BC$5,tblAuftraege[Datum Ausgaben],"&lt;"&amp;EDATE(BC$5,1),tblAuftraege[Kostenstelle],$A195))</f>
        <v>0</v>
      </c>
      <c r="BD195" s="11" t="n">
        <f aca="false">IF($A195="",0,SUMIFS(tblAuftraege[Ausgaben],tblAuftraege[Datum Ausgaben],"&gt;="&amp;BD$5,tblAuftraege[Datum Ausgaben],"&lt;"&amp;EDATE(BD$5,1),tblAuftraege[Kostenstelle],$A195))</f>
        <v>0</v>
      </c>
      <c r="BE195" s="11" t="n">
        <f aca="false">IF($A195="",0,SUMIFS(tblAuftraege[Ausgaben],tblAuftraege[Datum Ausgaben],"&gt;="&amp;BE$5,tblAuftraege[Datum Ausgaben],"&lt;"&amp;EDATE(BE$5,1),tblAuftraege[Kostenstelle],$A195))</f>
        <v>0</v>
      </c>
      <c r="BF195" s="11" t="n">
        <f aca="false">IF($A195="",0,SUMIFS(tblAuftraege[Ausgaben],tblAuftraege[Datum Ausgaben],"&gt;="&amp;BF$5,tblAuftraege[Datum Ausgaben],"&lt;"&amp;EDATE(BF$5,1),tblAuftraege[Kostenstelle],$A195))</f>
        <v>0</v>
      </c>
      <c r="BG195" s="11" t="n">
        <f aca="false">SUM(E195:J195)</f>
        <v>0</v>
      </c>
      <c r="BH195" s="11" t="n">
        <f aca="false">SUM(K195:V195)</f>
        <v>0</v>
      </c>
      <c r="BI195" s="11" t="n">
        <f aca="false">SUM(W195:AH195)</f>
        <v>0</v>
      </c>
      <c r="BJ195" s="11" t="n">
        <f aca="false">SUM(AI195:AT195)</f>
        <v>0</v>
      </c>
      <c r="BK195" s="11" t="n">
        <f aca="false">SUM(AU195:BF195)</f>
        <v>0</v>
      </c>
      <c r="BL195" s="12" t="n">
        <f aca="false">SUM(E195:BF195)</f>
        <v>0</v>
      </c>
    </row>
    <row r="196" customFormat="false" ht="15" hidden="false" customHeight="false" outlineLevel="0" collapsed="false">
      <c r="A196" s="9" t="s">
        <v>132</v>
      </c>
      <c r="B196" s="36" t="s">
        <v>133</v>
      </c>
      <c r="C196" s="15"/>
      <c r="D196" s="15"/>
      <c r="E196" s="11" t="n">
        <f aca="false">IF($A196="",0,SUMIFS(tblAuftraege[Ausgaben],tblAuftraege[Datum Ausgaben],"&gt;="&amp;E$5,tblAuftraege[Datum Ausgaben],"&lt;"&amp;EDATE(E$5,1),tblAuftraege[Kostenstelle],$A196))</f>
        <v>0</v>
      </c>
      <c r="F196" s="11" t="n">
        <f aca="false">IF($A196="",0,SUMIFS(tblAuftraege[Ausgaben],tblAuftraege[Datum Ausgaben],"&gt;="&amp;F$5,tblAuftraege[Datum Ausgaben],"&lt;"&amp;EDATE(F$5,1),tblAuftraege[Kostenstelle],$A196))</f>
        <v>0</v>
      </c>
      <c r="G196" s="11" t="n">
        <f aca="false">IF($A196="",0,SUMIFS(tblAuftraege[Ausgaben],tblAuftraege[Datum Ausgaben],"&gt;="&amp;G$5,tblAuftraege[Datum Ausgaben],"&lt;"&amp;EDATE(G$5,1),tblAuftraege[Kostenstelle],$A196))</f>
        <v>0</v>
      </c>
      <c r="H196" s="11" t="n">
        <f aca="false">IF($A196="",0,SUMIFS(tblAuftraege[Ausgaben],tblAuftraege[Datum Ausgaben],"&gt;="&amp;H$5,tblAuftraege[Datum Ausgaben],"&lt;"&amp;EDATE(H$5,1),tblAuftraege[Kostenstelle],$A196))</f>
        <v>0</v>
      </c>
      <c r="I196" s="11" t="n">
        <f aca="false">IF($A196="",0,SUMIFS(tblAuftraege[Ausgaben],tblAuftraege[Datum Ausgaben],"&gt;="&amp;I$5,tblAuftraege[Datum Ausgaben],"&lt;"&amp;EDATE(I$5,1),tblAuftraege[Kostenstelle],$A196))</f>
        <v>0</v>
      </c>
      <c r="J196" s="11" t="n">
        <f aca="false">IF($A196="",0,SUMIFS(tblAuftraege[Ausgaben],tblAuftraege[Datum Ausgaben],"&gt;="&amp;J$5,tblAuftraege[Datum Ausgaben],"&lt;"&amp;EDATE(J$5,1),tblAuftraege[Kostenstelle],$A196))</f>
        <v>0</v>
      </c>
      <c r="K196" s="11" t="n">
        <f aca="false">IF($A196="",0,SUMIFS(tblAuftraege[Ausgaben],tblAuftraege[Datum Ausgaben],"&gt;="&amp;K$5,tblAuftraege[Datum Ausgaben],"&lt;"&amp;EDATE(K$5,1),tblAuftraege[Kostenstelle],$A196))</f>
        <v>0</v>
      </c>
      <c r="L196" s="11" t="n">
        <f aca="false">IF($A196="",0,SUMIFS(tblAuftraege[Ausgaben],tblAuftraege[Datum Ausgaben],"&gt;="&amp;L$5,tblAuftraege[Datum Ausgaben],"&lt;"&amp;EDATE(L$5,1),tblAuftraege[Kostenstelle],$A196))</f>
        <v>0</v>
      </c>
      <c r="M196" s="11" t="n">
        <f aca="false">IF($A196="",0,SUMIFS(tblAuftraege[Ausgaben],tblAuftraege[Datum Ausgaben],"&gt;="&amp;M$5,tblAuftraege[Datum Ausgaben],"&lt;"&amp;EDATE(M$5,1),tblAuftraege[Kostenstelle],$A196))</f>
        <v>0</v>
      </c>
      <c r="N196" s="11" t="n">
        <f aca="false">IF($A196="",0,SUMIFS(tblAuftraege[Ausgaben],tblAuftraege[Datum Ausgaben],"&gt;="&amp;N$5,tblAuftraege[Datum Ausgaben],"&lt;"&amp;EDATE(N$5,1),tblAuftraege[Kostenstelle],$A196))</f>
        <v>0</v>
      </c>
      <c r="O196" s="11" t="n">
        <f aca="false">IF($A196="",0,SUMIFS(tblAuftraege[Ausgaben],tblAuftraege[Datum Ausgaben],"&gt;="&amp;O$5,tblAuftraege[Datum Ausgaben],"&lt;"&amp;EDATE(O$5,1),tblAuftraege[Kostenstelle],$A196))</f>
        <v>0</v>
      </c>
      <c r="P196" s="11" t="n">
        <f aca="false">IF($A196="",0,SUMIFS(tblAuftraege[Ausgaben],tblAuftraege[Datum Ausgaben],"&gt;="&amp;P$5,tblAuftraege[Datum Ausgaben],"&lt;"&amp;EDATE(P$5,1),tblAuftraege[Kostenstelle],$A196))</f>
        <v>0</v>
      </c>
      <c r="Q196" s="11" t="n">
        <f aca="false">IF($A196="",0,SUMIFS(tblAuftraege[Ausgaben],tblAuftraege[Datum Ausgaben],"&gt;="&amp;Q$5,tblAuftraege[Datum Ausgaben],"&lt;"&amp;EDATE(Q$5,1),tblAuftraege[Kostenstelle],$A196))</f>
        <v>0</v>
      </c>
      <c r="R196" s="11" t="n">
        <f aca="false">IF($A196="",0,SUMIFS(tblAuftraege[Ausgaben],tblAuftraege[Datum Ausgaben],"&gt;="&amp;R$5,tblAuftraege[Datum Ausgaben],"&lt;"&amp;EDATE(R$5,1),tblAuftraege[Kostenstelle],$A196))</f>
        <v>0</v>
      </c>
      <c r="S196" s="11" t="n">
        <f aca="false">IF($A196="",0,SUMIFS(tblAuftraege[Ausgaben],tblAuftraege[Datum Ausgaben],"&gt;="&amp;S$5,tblAuftraege[Datum Ausgaben],"&lt;"&amp;EDATE(S$5,1),tblAuftraege[Kostenstelle],$A196))</f>
        <v>0</v>
      </c>
      <c r="T196" s="11" t="n">
        <f aca="false">IF($A196="",0,SUMIFS(tblAuftraege[Ausgaben],tblAuftraege[Datum Ausgaben],"&gt;="&amp;T$5,tblAuftraege[Datum Ausgaben],"&lt;"&amp;EDATE(T$5,1),tblAuftraege[Kostenstelle],$A196))</f>
        <v>0</v>
      </c>
      <c r="U196" s="11" t="n">
        <f aca="false">IF($A196="",0,SUMIFS(tblAuftraege[Ausgaben],tblAuftraege[Datum Ausgaben],"&gt;="&amp;U$5,tblAuftraege[Datum Ausgaben],"&lt;"&amp;EDATE(U$5,1),tblAuftraege[Kostenstelle],$A196))</f>
        <v>0</v>
      </c>
      <c r="V196" s="11" t="n">
        <f aca="false">IF($A196="",0,SUMIFS(tblAuftraege[Ausgaben],tblAuftraege[Datum Ausgaben],"&gt;="&amp;V$5,tblAuftraege[Datum Ausgaben],"&lt;"&amp;EDATE(V$5,1),tblAuftraege[Kostenstelle],$A196))</f>
        <v>0</v>
      </c>
      <c r="W196" s="11" t="n">
        <f aca="false">IF($A196="",0,SUMIFS(tblAuftraege[Ausgaben],tblAuftraege[Datum Ausgaben],"&gt;="&amp;W$5,tblAuftraege[Datum Ausgaben],"&lt;"&amp;EDATE(W$5,1),tblAuftraege[Kostenstelle],$A196))</f>
        <v>0</v>
      </c>
      <c r="X196" s="11" t="n">
        <f aca="false">IF($A196="",0,SUMIFS(tblAuftraege[Ausgaben],tblAuftraege[Datum Ausgaben],"&gt;="&amp;X$5,tblAuftraege[Datum Ausgaben],"&lt;"&amp;EDATE(X$5,1),tblAuftraege[Kostenstelle],$A196))</f>
        <v>0</v>
      </c>
      <c r="Y196" s="11" t="n">
        <f aca="false">IF($A196="",0,SUMIFS(tblAuftraege[Ausgaben],tblAuftraege[Datum Ausgaben],"&gt;="&amp;Y$5,tblAuftraege[Datum Ausgaben],"&lt;"&amp;EDATE(Y$5,1),tblAuftraege[Kostenstelle],$A196))</f>
        <v>0</v>
      </c>
      <c r="Z196" s="11" t="n">
        <f aca="false">IF($A196="",0,SUMIFS(tblAuftraege[Ausgaben],tblAuftraege[Datum Ausgaben],"&gt;="&amp;Z$5,tblAuftraege[Datum Ausgaben],"&lt;"&amp;EDATE(Z$5,1),tblAuftraege[Kostenstelle],$A196))</f>
        <v>0</v>
      </c>
      <c r="AA196" s="11" t="n">
        <f aca="false">IF($A196="",0,SUMIFS(tblAuftraege[Ausgaben],tblAuftraege[Datum Ausgaben],"&gt;="&amp;AA$5,tblAuftraege[Datum Ausgaben],"&lt;"&amp;EDATE(AA$5,1),tblAuftraege[Kostenstelle],$A196))</f>
        <v>0</v>
      </c>
      <c r="AB196" s="11" t="n">
        <f aca="false">IF($A196="",0,SUMIFS(tblAuftraege[Ausgaben],tblAuftraege[Datum Ausgaben],"&gt;="&amp;AB$5,tblAuftraege[Datum Ausgaben],"&lt;"&amp;EDATE(AB$5,1),tblAuftraege[Kostenstelle],$A196))</f>
        <v>0</v>
      </c>
      <c r="AC196" s="11" t="n">
        <f aca="false">IF($A196="",0,SUMIFS(tblAuftraege[Ausgaben],tblAuftraege[Datum Ausgaben],"&gt;="&amp;AC$5,tblAuftraege[Datum Ausgaben],"&lt;"&amp;EDATE(AC$5,1),tblAuftraege[Kostenstelle],$A196))</f>
        <v>0</v>
      </c>
      <c r="AD196" s="11" t="n">
        <f aca="false">IF($A196="",0,SUMIFS(tblAuftraege[Ausgaben],tblAuftraege[Datum Ausgaben],"&gt;="&amp;AD$5,tblAuftraege[Datum Ausgaben],"&lt;"&amp;EDATE(AD$5,1),tblAuftraege[Kostenstelle],$A196))</f>
        <v>0</v>
      </c>
      <c r="AE196" s="11" t="n">
        <f aca="false">IF($A196="",0,SUMIFS(tblAuftraege[Ausgaben],tblAuftraege[Datum Ausgaben],"&gt;="&amp;AE$5,tblAuftraege[Datum Ausgaben],"&lt;"&amp;EDATE(AE$5,1),tblAuftraege[Kostenstelle],$A196))</f>
        <v>0</v>
      </c>
      <c r="AF196" s="11" t="n">
        <f aca="false">IF($A196="",0,SUMIFS(tblAuftraege[Ausgaben],tblAuftraege[Datum Ausgaben],"&gt;="&amp;AF$5,tblAuftraege[Datum Ausgaben],"&lt;"&amp;EDATE(AF$5,1),tblAuftraege[Kostenstelle],$A196))</f>
        <v>0</v>
      </c>
      <c r="AG196" s="11" t="n">
        <f aca="false">IF($A196="",0,SUMIFS(tblAuftraege[Ausgaben],tblAuftraege[Datum Ausgaben],"&gt;="&amp;AG$5,tblAuftraege[Datum Ausgaben],"&lt;"&amp;EDATE(AG$5,1),tblAuftraege[Kostenstelle],$A196))</f>
        <v>0</v>
      </c>
      <c r="AH196" s="11" t="n">
        <f aca="false">IF($A196="",0,SUMIFS(tblAuftraege[Ausgaben],tblAuftraege[Datum Ausgaben],"&gt;="&amp;AH$5,tblAuftraege[Datum Ausgaben],"&lt;"&amp;EDATE(AH$5,1),tblAuftraege[Kostenstelle],$A196))</f>
        <v>0</v>
      </c>
      <c r="AI196" s="11" t="n">
        <f aca="false">IF($A196="",0,SUMIFS(tblAuftraege[Ausgaben],tblAuftraege[Datum Ausgaben],"&gt;="&amp;AI$5,tblAuftraege[Datum Ausgaben],"&lt;"&amp;EDATE(AI$5,1),tblAuftraege[Kostenstelle],$A196))</f>
        <v>0</v>
      </c>
      <c r="AJ196" s="11" t="n">
        <f aca="false">IF($A196="",0,SUMIFS(tblAuftraege[Ausgaben],tblAuftraege[Datum Ausgaben],"&gt;="&amp;AJ$5,tblAuftraege[Datum Ausgaben],"&lt;"&amp;EDATE(AJ$5,1),tblAuftraege[Kostenstelle],$A196))</f>
        <v>0</v>
      </c>
      <c r="AK196" s="11" t="n">
        <f aca="false">IF($A196="",0,SUMIFS(tblAuftraege[Ausgaben],tblAuftraege[Datum Ausgaben],"&gt;="&amp;AK$5,tblAuftraege[Datum Ausgaben],"&lt;"&amp;EDATE(AK$5,1),tblAuftraege[Kostenstelle],$A196))</f>
        <v>0</v>
      </c>
      <c r="AL196" s="11" t="n">
        <f aca="false">IF($A196="",0,SUMIFS(tblAuftraege[Ausgaben],tblAuftraege[Datum Ausgaben],"&gt;="&amp;AL$5,tblAuftraege[Datum Ausgaben],"&lt;"&amp;EDATE(AL$5,1),tblAuftraege[Kostenstelle],$A196))</f>
        <v>0</v>
      </c>
      <c r="AM196" s="11" t="n">
        <f aca="false">IF($A196="",0,SUMIFS(tblAuftraege[Ausgaben],tblAuftraege[Datum Ausgaben],"&gt;="&amp;AM$5,tblAuftraege[Datum Ausgaben],"&lt;"&amp;EDATE(AM$5,1),tblAuftraege[Kostenstelle],$A196))</f>
        <v>0</v>
      </c>
      <c r="AN196" s="11" t="n">
        <f aca="false">IF($A196="",0,SUMIFS(tblAuftraege[Ausgaben],tblAuftraege[Datum Ausgaben],"&gt;="&amp;AN$5,tblAuftraege[Datum Ausgaben],"&lt;"&amp;EDATE(AN$5,1),tblAuftraege[Kostenstelle],$A196))</f>
        <v>0</v>
      </c>
      <c r="AO196" s="11" t="n">
        <f aca="false">IF($A196="",0,SUMIFS(tblAuftraege[Ausgaben],tblAuftraege[Datum Ausgaben],"&gt;="&amp;AO$5,tblAuftraege[Datum Ausgaben],"&lt;"&amp;EDATE(AO$5,1),tblAuftraege[Kostenstelle],$A196))</f>
        <v>0</v>
      </c>
      <c r="AP196" s="11" t="n">
        <f aca="false">IF($A196="",0,SUMIFS(tblAuftraege[Ausgaben],tblAuftraege[Datum Ausgaben],"&gt;="&amp;AP$5,tblAuftraege[Datum Ausgaben],"&lt;"&amp;EDATE(AP$5,1),tblAuftraege[Kostenstelle],$A196))</f>
        <v>0</v>
      </c>
      <c r="AQ196" s="11" t="n">
        <f aca="false">IF($A196="",0,SUMIFS(tblAuftraege[Ausgaben],tblAuftraege[Datum Ausgaben],"&gt;="&amp;AQ$5,tblAuftraege[Datum Ausgaben],"&lt;"&amp;EDATE(AQ$5,1),tblAuftraege[Kostenstelle],$A196))</f>
        <v>0</v>
      </c>
      <c r="AR196" s="11" t="n">
        <f aca="false">IF($A196="",0,SUMIFS(tblAuftraege[Ausgaben],tblAuftraege[Datum Ausgaben],"&gt;="&amp;AR$5,tblAuftraege[Datum Ausgaben],"&lt;"&amp;EDATE(AR$5,1),tblAuftraege[Kostenstelle],$A196))</f>
        <v>0</v>
      </c>
      <c r="AS196" s="11" t="n">
        <f aca="false">IF($A196="",0,SUMIFS(tblAuftraege[Ausgaben],tblAuftraege[Datum Ausgaben],"&gt;="&amp;AS$5,tblAuftraege[Datum Ausgaben],"&lt;"&amp;EDATE(AS$5,1),tblAuftraege[Kostenstelle],$A196))</f>
        <v>0</v>
      </c>
      <c r="AT196" s="11" t="n">
        <f aca="false">IF($A196="",0,SUMIFS(tblAuftraege[Ausgaben],tblAuftraege[Datum Ausgaben],"&gt;="&amp;AT$5,tblAuftraege[Datum Ausgaben],"&lt;"&amp;EDATE(AT$5,1),tblAuftraege[Kostenstelle],$A196))</f>
        <v>0</v>
      </c>
      <c r="AU196" s="11" t="n">
        <f aca="false">IF($A196="",0,SUMIFS(tblAuftraege[Ausgaben],tblAuftraege[Datum Ausgaben],"&gt;="&amp;AU$5,tblAuftraege[Datum Ausgaben],"&lt;"&amp;EDATE(AU$5,1),tblAuftraege[Kostenstelle],$A196))</f>
        <v>0</v>
      </c>
      <c r="AV196" s="11" t="n">
        <f aca="false">IF($A196="",0,SUMIFS(tblAuftraege[Ausgaben],tblAuftraege[Datum Ausgaben],"&gt;="&amp;AV$5,tblAuftraege[Datum Ausgaben],"&lt;"&amp;EDATE(AV$5,1),tblAuftraege[Kostenstelle],$A196))</f>
        <v>0</v>
      </c>
      <c r="AW196" s="11" t="n">
        <f aca="false">IF($A196="",0,SUMIFS(tblAuftraege[Ausgaben],tblAuftraege[Datum Ausgaben],"&gt;="&amp;AW$5,tblAuftraege[Datum Ausgaben],"&lt;"&amp;EDATE(AW$5,1),tblAuftraege[Kostenstelle],$A196))</f>
        <v>0</v>
      </c>
      <c r="AX196" s="11" t="n">
        <f aca="false">IF($A196="",0,SUMIFS(tblAuftraege[Ausgaben],tblAuftraege[Datum Ausgaben],"&gt;="&amp;AX$5,tblAuftraege[Datum Ausgaben],"&lt;"&amp;EDATE(AX$5,1),tblAuftraege[Kostenstelle],$A196))</f>
        <v>0</v>
      </c>
      <c r="AY196" s="11" t="n">
        <f aca="false">IF($A196="",0,SUMIFS(tblAuftraege[Ausgaben],tblAuftraege[Datum Ausgaben],"&gt;="&amp;AY$5,tblAuftraege[Datum Ausgaben],"&lt;"&amp;EDATE(AY$5,1),tblAuftraege[Kostenstelle],$A196))</f>
        <v>0</v>
      </c>
      <c r="AZ196" s="11" t="n">
        <f aca="false">IF($A196="",0,SUMIFS(tblAuftraege[Ausgaben],tblAuftraege[Datum Ausgaben],"&gt;="&amp;AZ$5,tblAuftraege[Datum Ausgaben],"&lt;"&amp;EDATE(AZ$5,1),tblAuftraege[Kostenstelle],$A196))</f>
        <v>0</v>
      </c>
      <c r="BA196" s="11" t="n">
        <f aca="false">IF($A196="",0,SUMIFS(tblAuftraege[Ausgaben],tblAuftraege[Datum Ausgaben],"&gt;="&amp;BA$5,tblAuftraege[Datum Ausgaben],"&lt;"&amp;EDATE(BA$5,1),tblAuftraege[Kostenstelle],$A196))</f>
        <v>0</v>
      </c>
      <c r="BB196" s="11" t="n">
        <f aca="false">IF($A196="",0,SUMIFS(tblAuftraege[Ausgaben],tblAuftraege[Datum Ausgaben],"&gt;="&amp;BB$5,tblAuftraege[Datum Ausgaben],"&lt;"&amp;EDATE(BB$5,1),tblAuftraege[Kostenstelle],$A196))</f>
        <v>0</v>
      </c>
      <c r="BC196" s="11" t="n">
        <f aca="false">IF($A196="",0,SUMIFS(tblAuftraege[Ausgaben],tblAuftraege[Datum Ausgaben],"&gt;="&amp;BC$5,tblAuftraege[Datum Ausgaben],"&lt;"&amp;EDATE(BC$5,1),tblAuftraege[Kostenstelle],$A196))</f>
        <v>0</v>
      </c>
      <c r="BD196" s="11" t="n">
        <f aca="false">IF($A196="",0,SUMIFS(tblAuftraege[Ausgaben],tblAuftraege[Datum Ausgaben],"&gt;="&amp;BD$5,tblAuftraege[Datum Ausgaben],"&lt;"&amp;EDATE(BD$5,1),tblAuftraege[Kostenstelle],$A196))</f>
        <v>0</v>
      </c>
      <c r="BE196" s="11" t="n">
        <f aca="false">IF($A196="",0,SUMIFS(tblAuftraege[Ausgaben],tblAuftraege[Datum Ausgaben],"&gt;="&amp;BE$5,tblAuftraege[Datum Ausgaben],"&lt;"&amp;EDATE(BE$5,1),tblAuftraege[Kostenstelle],$A196))</f>
        <v>0</v>
      </c>
      <c r="BF196" s="11" t="n">
        <f aca="false">IF($A196="",0,SUMIFS(tblAuftraege[Ausgaben],tblAuftraege[Datum Ausgaben],"&gt;="&amp;BF$5,tblAuftraege[Datum Ausgaben],"&lt;"&amp;EDATE(BF$5,1),tblAuftraege[Kostenstelle],$A196))</f>
        <v>0</v>
      </c>
      <c r="BG196" s="11" t="n">
        <f aca="false">SUM(E196:J196)</f>
        <v>0</v>
      </c>
      <c r="BH196" s="11" t="n">
        <f aca="false">SUM(K196:V196)</f>
        <v>0</v>
      </c>
      <c r="BI196" s="11" t="n">
        <f aca="false">SUM(W196:AH196)</f>
        <v>0</v>
      </c>
      <c r="BJ196" s="11" t="n">
        <f aca="false">SUM(AI196:AT196)</f>
        <v>0</v>
      </c>
      <c r="BK196" s="11" t="n">
        <f aca="false">SUM(AU196:BF196)</f>
        <v>0</v>
      </c>
      <c r="BL196" s="12" t="n">
        <f aca="false">SUM(E196:BF196)</f>
        <v>0</v>
      </c>
    </row>
    <row r="197" customFormat="false" ht="15" hidden="false" customHeight="false" outlineLevel="0" collapsed="false">
      <c r="A197" s="9" t="s">
        <v>134</v>
      </c>
      <c r="B197" s="36" t="s">
        <v>135</v>
      </c>
      <c r="C197" s="15"/>
      <c r="D197" s="15"/>
      <c r="E197" s="11" t="n">
        <f aca="false">IF($A197="",0,SUMIFS(tblAuftraege[Ausgaben],tblAuftraege[Datum Ausgaben],"&gt;="&amp;E$5,tblAuftraege[Datum Ausgaben],"&lt;"&amp;EDATE(E$5,1),tblAuftraege[Kostenstelle],$A197))</f>
        <v>0</v>
      </c>
      <c r="F197" s="11" t="n">
        <f aca="false">IF($A197="",0,SUMIFS(tblAuftraege[Ausgaben],tblAuftraege[Datum Ausgaben],"&gt;="&amp;F$5,tblAuftraege[Datum Ausgaben],"&lt;"&amp;EDATE(F$5,1),tblAuftraege[Kostenstelle],$A197))</f>
        <v>0</v>
      </c>
      <c r="G197" s="11" t="n">
        <f aca="false">IF($A197="",0,SUMIFS(tblAuftraege[Ausgaben],tblAuftraege[Datum Ausgaben],"&gt;="&amp;G$5,tblAuftraege[Datum Ausgaben],"&lt;"&amp;EDATE(G$5,1),tblAuftraege[Kostenstelle],$A197))</f>
        <v>0</v>
      </c>
      <c r="H197" s="11" t="n">
        <f aca="false">IF($A197="",0,SUMIFS(tblAuftraege[Ausgaben],tblAuftraege[Datum Ausgaben],"&gt;="&amp;H$5,tblAuftraege[Datum Ausgaben],"&lt;"&amp;EDATE(H$5,1),tblAuftraege[Kostenstelle],$A197))</f>
        <v>0</v>
      </c>
      <c r="I197" s="11" t="n">
        <f aca="false">IF($A197="",0,SUMIFS(tblAuftraege[Ausgaben],tblAuftraege[Datum Ausgaben],"&gt;="&amp;I$5,tblAuftraege[Datum Ausgaben],"&lt;"&amp;EDATE(I$5,1),tblAuftraege[Kostenstelle],$A197))</f>
        <v>0</v>
      </c>
      <c r="J197" s="11" t="n">
        <f aca="false">IF($A197="",0,SUMIFS(tblAuftraege[Ausgaben],tblAuftraege[Datum Ausgaben],"&gt;="&amp;J$5,tblAuftraege[Datum Ausgaben],"&lt;"&amp;EDATE(J$5,1),tblAuftraege[Kostenstelle],$A197))</f>
        <v>0</v>
      </c>
      <c r="K197" s="11" t="n">
        <f aca="false">IF($A197="",0,SUMIFS(tblAuftraege[Ausgaben],tblAuftraege[Datum Ausgaben],"&gt;="&amp;K$5,tblAuftraege[Datum Ausgaben],"&lt;"&amp;EDATE(K$5,1),tblAuftraege[Kostenstelle],$A197))</f>
        <v>0</v>
      </c>
      <c r="L197" s="11" t="n">
        <f aca="false">IF($A197="",0,SUMIFS(tblAuftraege[Ausgaben],tblAuftraege[Datum Ausgaben],"&gt;="&amp;L$5,tblAuftraege[Datum Ausgaben],"&lt;"&amp;EDATE(L$5,1),tblAuftraege[Kostenstelle],$A197))</f>
        <v>0</v>
      </c>
      <c r="M197" s="11" t="n">
        <f aca="false">IF($A197="",0,SUMIFS(tblAuftraege[Ausgaben],tblAuftraege[Datum Ausgaben],"&gt;="&amp;M$5,tblAuftraege[Datum Ausgaben],"&lt;"&amp;EDATE(M$5,1),tblAuftraege[Kostenstelle],$A197))</f>
        <v>0</v>
      </c>
      <c r="N197" s="11" t="n">
        <f aca="false">IF($A197="",0,SUMIFS(tblAuftraege[Ausgaben],tblAuftraege[Datum Ausgaben],"&gt;="&amp;N$5,tblAuftraege[Datum Ausgaben],"&lt;"&amp;EDATE(N$5,1),tblAuftraege[Kostenstelle],$A197))</f>
        <v>0</v>
      </c>
      <c r="O197" s="11" t="n">
        <f aca="false">IF($A197="",0,SUMIFS(tblAuftraege[Ausgaben],tblAuftraege[Datum Ausgaben],"&gt;="&amp;O$5,tblAuftraege[Datum Ausgaben],"&lt;"&amp;EDATE(O$5,1),tblAuftraege[Kostenstelle],$A197))</f>
        <v>0</v>
      </c>
      <c r="P197" s="11" t="n">
        <f aca="false">IF($A197="",0,SUMIFS(tblAuftraege[Ausgaben],tblAuftraege[Datum Ausgaben],"&gt;="&amp;P$5,tblAuftraege[Datum Ausgaben],"&lt;"&amp;EDATE(P$5,1),tblAuftraege[Kostenstelle],$A197))</f>
        <v>0</v>
      </c>
      <c r="Q197" s="11" t="n">
        <f aca="false">IF($A197="",0,SUMIFS(tblAuftraege[Ausgaben],tblAuftraege[Datum Ausgaben],"&gt;="&amp;Q$5,tblAuftraege[Datum Ausgaben],"&lt;"&amp;EDATE(Q$5,1),tblAuftraege[Kostenstelle],$A197))</f>
        <v>0</v>
      </c>
      <c r="R197" s="11" t="n">
        <f aca="false">IF($A197="",0,SUMIFS(tblAuftraege[Ausgaben],tblAuftraege[Datum Ausgaben],"&gt;="&amp;R$5,tblAuftraege[Datum Ausgaben],"&lt;"&amp;EDATE(R$5,1),tblAuftraege[Kostenstelle],$A197))</f>
        <v>0</v>
      </c>
      <c r="S197" s="11" t="n">
        <f aca="false">IF($A197="",0,SUMIFS(tblAuftraege[Ausgaben],tblAuftraege[Datum Ausgaben],"&gt;="&amp;S$5,tblAuftraege[Datum Ausgaben],"&lt;"&amp;EDATE(S$5,1),tblAuftraege[Kostenstelle],$A197))</f>
        <v>0</v>
      </c>
      <c r="T197" s="11" t="n">
        <f aca="false">IF($A197="",0,SUMIFS(tblAuftraege[Ausgaben],tblAuftraege[Datum Ausgaben],"&gt;="&amp;T$5,tblAuftraege[Datum Ausgaben],"&lt;"&amp;EDATE(T$5,1),tblAuftraege[Kostenstelle],$A197))</f>
        <v>0</v>
      </c>
      <c r="U197" s="11" t="n">
        <f aca="false">IF($A197="",0,SUMIFS(tblAuftraege[Ausgaben],tblAuftraege[Datum Ausgaben],"&gt;="&amp;U$5,tblAuftraege[Datum Ausgaben],"&lt;"&amp;EDATE(U$5,1),tblAuftraege[Kostenstelle],$A197))</f>
        <v>0</v>
      </c>
      <c r="V197" s="11" t="n">
        <f aca="false">IF($A197="",0,SUMIFS(tblAuftraege[Ausgaben],tblAuftraege[Datum Ausgaben],"&gt;="&amp;V$5,tblAuftraege[Datum Ausgaben],"&lt;"&amp;EDATE(V$5,1),tblAuftraege[Kostenstelle],$A197))</f>
        <v>0</v>
      </c>
      <c r="W197" s="11" t="n">
        <f aca="false">IF($A197="",0,SUMIFS(tblAuftraege[Ausgaben],tblAuftraege[Datum Ausgaben],"&gt;="&amp;W$5,tblAuftraege[Datum Ausgaben],"&lt;"&amp;EDATE(W$5,1),tblAuftraege[Kostenstelle],$A197))</f>
        <v>0</v>
      </c>
      <c r="X197" s="11" t="n">
        <f aca="false">IF($A197="",0,SUMIFS(tblAuftraege[Ausgaben],tblAuftraege[Datum Ausgaben],"&gt;="&amp;X$5,tblAuftraege[Datum Ausgaben],"&lt;"&amp;EDATE(X$5,1),tblAuftraege[Kostenstelle],$A197))</f>
        <v>0</v>
      </c>
      <c r="Y197" s="11" t="n">
        <f aca="false">IF($A197="",0,SUMIFS(tblAuftraege[Ausgaben],tblAuftraege[Datum Ausgaben],"&gt;="&amp;Y$5,tblAuftraege[Datum Ausgaben],"&lt;"&amp;EDATE(Y$5,1),tblAuftraege[Kostenstelle],$A197))</f>
        <v>0</v>
      </c>
      <c r="Z197" s="11" t="n">
        <f aca="false">IF($A197="",0,SUMIFS(tblAuftraege[Ausgaben],tblAuftraege[Datum Ausgaben],"&gt;="&amp;Z$5,tblAuftraege[Datum Ausgaben],"&lt;"&amp;EDATE(Z$5,1),tblAuftraege[Kostenstelle],$A197))</f>
        <v>0</v>
      </c>
      <c r="AA197" s="11" t="n">
        <f aca="false">IF($A197="",0,SUMIFS(tblAuftraege[Ausgaben],tblAuftraege[Datum Ausgaben],"&gt;="&amp;AA$5,tblAuftraege[Datum Ausgaben],"&lt;"&amp;EDATE(AA$5,1),tblAuftraege[Kostenstelle],$A197))</f>
        <v>0</v>
      </c>
      <c r="AB197" s="11" t="n">
        <f aca="false">IF($A197="",0,SUMIFS(tblAuftraege[Ausgaben],tblAuftraege[Datum Ausgaben],"&gt;="&amp;AB$5,tblAuftraege[Datum Ausgaben],"&lt;"&amp;EDATE(AB$5,1),tblAuftraege[Kostenstelle],$A197))</f>
        <v>0</v>
      </c>
      <c r="AC197" s="11" t="n">
        <f aca="false">IF($A197="",0,SUMIFS(tblAuftraege[Ausgaben],tblAuftraege[Datum Ausgaben],"&gt;="&amp;AC$5,tblAuftraege[Datum Ausgaben],"&lt;"&amp;EDATE(AC$5,1),tblAuftraege[Kostenstelle],$A197))</f>
        <v>0</v>
      </c>
      <c r="AD197" s="11" t="n">
        <f aca="false">IF($A197="",0,SUMIFS(tblAuftraege[Ausgaben],tblAuftraege[Datum Ausgaben],"&gt;="&amp;AD$5,tblAuftraege[Datum Ausgaben],"&lt;"&amp;EDATE(AD$5,1),tblAuftraege[Kostenstelle],$A197))</f>
        <v>0</v>
      </c>
      <c r="AE197" s="11" t="n">
        <f aca="false">IF($A197="",0,SUMIFS(tblAuftraege[Ausgaben],tblAuftraege[Datum Ausgaben],"&gt;="&amp;AE$5,tblAuftraege[Datum Ausgaben],"&lt;"&amp;EDATE(AE$5,1),tblAuftraege[Kostenstelle],$A197))</f>
        <v>0</v>
      </c>
      <c r="AF197" s="11" t="n">
        <f aca="false">IF($A197="",0,SUMIFS(tblAuftraege[Ausgaben],tblAuftraege[Datum Ausgaben],"&gt;="&amp;AF$5,tblAuftraege[Datum Ausgaben],"&lt;"&amp;EDATE(AF$5,1),tblAuftraege[Kostenstelle],$A197))</f>
        <v>0</v>
      </c>
      <c r="AG197" s="11" t="n">
        <f aca="false">IF($A197="",0,SUMIFS(tblAuftraege[Ausgaben],tblAuftraege[Datum Ausgaben],"&gt;="&amp;AG$5,tblAuftraege[Datum Ausgaben],"&lt;"&amp;EDATE(AG$5,1),tblAuftraege[Kostenstelle],$A197))</f>
        <v>0</v>
      </c>
      <c r="AH197" s="11" t="n">
        <f aca="false">IF($A197="",0,SUMIFS(tblAuftraege[Ausgaben],tblAuftraege[Datum Ausgaben],"&gt;="&amp;AH$5,tblAuftraege[Datum Ausgaben],"&lt;"&amp;EDATE(AH$5,1),tblAuftraege[Kostenstelle],$A197))</f>
        <v>0</v>
      </c>
      <c r="AI197" s="11" t="n">
        <f aca="false">IF($A197="",0,SUMIFS(tblAuftraege[Ausgaben],tblAuftraege[Datum Ausgaben],"&gt;="&amp;AI$5,tblAuftraege[Datum Ausgaben],"&lt;"&amp;EDATE(AI$5,1),tblAuftraege[Kostenstelle],$A197))</f>
        <v>0</v>
      </c>
      <c r="AJ197" s="11" t="n">
        <f aca="false">IF($A197="",0,SUMIFS(tblAuftraege[Ausgaben],tblAuftraege[Datum Ausgaben],"&gt;="&amp;AJ$5,tblAuftraege[Datum Ausgaben],"&lt;"&amp;EDATE(AJ$5,1),tblAuftraege[Kostenstelle],$A197))</f>
        <v>0</v>
      </c>
      <c r="AK197" s="11" t="n">
        <f aca="false">IF($A197="",0,SUMIFS(tblAuftraege[Ausgaben],tblAuftraege[Datum Ausgaben],"&gt;="&amp;AK$5,tblAuftraege[Datum Ausgaben],"&lt;"&amp;EDATE(AK$5,1),tblAuftraege[Kostenstelle],$A197))</f>
        <v>0</v>
      </c>
      <c r="AL197" s="11" t="n">
        <f aca="false">IF($A197="",0,SUMIFS(tblAuftraege[Ausgaben],tblAuftraege[Datum Ausgaben],"&gt;="&amp;AL$5,tblAuftraege[Datum Ausgaben],"&lt;"&amp;EDATE(AL$5,1),tblAuftraege[Kostenstelle],$A197))</f>
        <v>0</v>
      </c>
      <c r="AM197" s="11" t="n">
        <f aca="false">IF($A197="",0,SUMIFS(tblAuftraege[Ausgaben],tblAuftraege[Datum Ausgaben],"&gt;="&amp;AM$5,tblAuftraege[Datum Ausgaben],"&lt;"&amp;EDATE(AM$5,1),tblAuftraege[Kostenstelle],$A197))</f>
        <v>0</v>
      </c>
      <c r="AN197" s="11" t="n">
        <f aca="false">IF($A197="",0,SUMIFS(tblAuftraege[Ausgaben],tblAuftraege[Datum Ausgaben],"&gt;="&amp;AN$5,tblAuftraege[Datum Ausgaben],"&lt;"&amp;EDATE(AN$5,1),tblAuftraege[Kostenstelle],$A197))</f>
        <v>0</v>
      </c>
      <c r="AO197" s="11" t="n">
        <f aca="false">IF($A197="",0,SUMIFS(tblAuftraege[Ausgaben],tblAuftraege[Datum Ausgaben],"&gt;="&amp;AO$5,tblAuftraege[Datum Ausgaben],"&lt;"&amp;EDATE(AO$5,1),tblAuftraege[Kostenstelle],$A197))</f>
        <v>0</v>
      </c>
      <c r="AP197" s="11" t="n">
        <f aca="false">IF($A197="",0,SUMIFS(tblAuftraege[Ausgaben],tblAuftraege[Datum Ausgaben],"&gt;="&amp;AP$5,tblAuftraege[Datum Ausgaben],"&lt;"&amp;EDATE(AP$5,1),tblAuftraege[Kostenstelle],$A197))</f>
        <v>0</v>
      </c>
      <c r="AQ197" s="11" t="n">
        <f aca="false">IF($A197="",0,SUMIFS(tblAuftraege[Ausgaben],tblAuftraege[Datum Ausgaben],"&gt;="&amp;AQ$5,tblAuftraege[Datum Ausgaben],"&lt;"&amp;EDATE(AQ$5,1),tblAuftraege[Kostenstelle],$A197))</f>
        <v>0</v>
      </c>
      <c r="AR197" s="11" t="n">
        <f aca="false">IF($A197="",0,SUMIFS(tblAuftraege[Ausgaben],tblAuftraege[Datum Ausgaben],"&gt;="&amp;AR$5,tblAuftraege[Datum Ausgaben],"&lt;"&amp;EDATE(AR$5,1),tblAuftraege[Kostenstelle],$A197))</f>
        <v>0</v>
      </c>
      <c r="AS197" s="11" t="n">
        <f aca="false">IF($A197="",0,SUMIFS(tblAuftraege[Ausgaben],tblAuftraege[Datum Ausgaben],"&gt;="&amp;AS$5,tblAuftraege[Datum Ausgaben],"&lt;"&amp;EDATE(AS$5,1),tblAuftraege[Kostenstelle],$A197))</f>
        <v>0</v>
      </c>
      <c r="AT197" s="11" t="n">
        <f aca="false">IF($A197="",0,SUMIFS(tblAuftraege[Ausgaben],tblAuftraege[Datum Ausgaben],"&gt;="&amp;AT$5,tblAuftraege[Datum Ausgaben],"&lt;"&amp;EDATE(AT$5,1),tblAuftraege[Kostenstelle],$A197))</f>
        <v>0</v>
      </c>
      <c r="AU197" s="11" t="n">
        <f aca="false">IF($A197="",0,SUMIFS(tblAuftraege[Ausgaben],tblAuftraege[Datum Ausgaben],"&gt;="&amp;AU$5,tblAuftraege[Datum Ausgaben],"&lt;"&amp;EDATE(AU$5,1),tblAuftraege[Kostenstelle],$A197))</f>
        <v>0</v>
      </c>
      <c r="AV197" s="11" t="n">
        <f aca="false">IF($A197="",0,SUMIFS(tblAuftraege[Ausgaben],tblAuftraege[Datum Ausgaben],"&gt;="&amp;AV$5,tblAuftraege[Datum Ausgaben],"&lt;"&amp;EDATE(AV$5,1),tblAuftraege[Kostenstelle],$A197))</f>
        <v>0</v>
      </c>
      <c r="AW197" s="11" t="n">
        <f aca="false">IF($A197="",0,SUMIFS(tblAuftraege[Ausgaben],tblAuftraege[Datum Ausgaben],"&gt;="&amp;AW$5,tblAuftraege[Datum Ausgaben],"&lt;"&amp;EDATE(AW$5,1),tblAuftraege[Kostenstelle],$A197))</f>
        <v>0</v>
      </c>
      <c r="AX197" s="11" t="n">
        <f aca="false">IF($A197="",0,SUMIFS(tblAuftraege[Ausgaben],tblAuftraege[Datum Ausgaben],"&gt;="&amp;AX$5,tblAuftraege[Datum Ausgaben],"&lt;"&amp;EDATE(AX$5,1),tblAuftraege[Kostenstelle],$A197))</f>
        <v>0</v>
      </c>
      <c r="AY197" s="11" t="n">
        <f aca="false">IF($A197="",0,SUMIFS(tblAuftraege[Ausgaben],tblAuftraege[Datum Ausgaben],"&gt;="&amp;AY$5,tblAuftraege[Datum Ausgaben],"&lt;"&amp;EDATE(AY$5,1),tblAuftraege[Kostenstelle],$A197))</f>
        <v>0</v>
      </c>
      <c r="AZ197" s="11" t="n">
        <f aca="false">IF($A197="",0,SUMIFS(tblAuftraege[Ausgaben],tblAuftraege[Datum Ausgaben],"&gt;="&amp;AZ$5,tblAuftraege[Datum Ausgaben],"&lt;"&amp;EDATE(AZ$5,1),tblAuftraege[Kostenstelle],$A197))</f>
        <v>0</v>
      </c>
      <c r="BA197" s="11" t="n">
        <f aca="false">IF($A197="",0,SUMIFS(tblAuftraege[Ausgaben],tblAuftraege[Datum Ausgaben],"&gt;="&amp;BA$5,tblAuftraege[Datum Ausgaben],"&lt;"&amp;EDATE(BA$5,1),tblAuftraege[Kostenstelle],$A197))</f>
        <v>0</v>
      </c>
      <c r="BB197" s="11" t="n">
        <f aca="false">IF($A197="",0,SUMIFS(tblAuftraege[Ausgaben],tblAuftraege[Datum Ausgaben],"&gt;="&amp;BB$5,tblAuftraege[Datum Ausgaben],"&lt;"&amp;EDATE(BB$5,1),tblAuftraege[Kostenstelle],$A197))</f>
        <v>0</v>
      </c>
      <c r="BC197" s="11" t="n">
        <f aca="false">IF($A197="",0,SUMIFS(tblAuftraege[Ausgaben],tblAuftraege[Datum Ausgaben],"&gt;="&amp;BC$5,tblAuftraege[Datum Ausgaben],"&lt;"&amp;EDATE(BC$5,1),tblAuftraege[Kostenstelle],$A197))</f>
        <v>0</v>
      </c>
      <c r="BD197" s="11" t="n">
        <f aca="false">IF($A197="",0,SUMIFS(tblAuftraege[Ausgaben],tblAuftraege[Datum Ausgaben],"&gt;="&amp;BD$5,tblAuftraege[Datum Ausgaben],"&lt;"&amp;EDATE(BD$5,1),tblAuftraege[Kostenstelle],$A197))</f>
        <v>0</v>
      </c>
      <c r="BE197" s="11" t="n">
        <f aca="false">IF($A197="",0,SUMIFS(tblAuftraege[Ausgaben],tblAuftraege[Datum Ausgaben],"&gt;="&amp;BE$5,tblAuftraege[Datum Ausgaben],"&lt;"&amp;EDATE(BE$5,1),tblAuftraege[Kostenstelle],$A197))</f>
        <v>0</v>
      </c>
      <c r="BF197" s="11" t="n">
        <f aca="false">IF($A197="",0,SUMIFS(tblAuftraege[Ausgaben],tblAuftraege[Datum Ausgaben],"&gt;="&amp;BF$5,tblAuftraege[Datum Ausgaben],"&lt;"&amp;EDATE(BF$5,1),tblAuftraege[Kostenstelle],$A197))</f>
        <v>0</v>
      </c>
      <c r="BG197" s="11" t="n">
        <f aca="false">SUM(E197:J197)</f>
        <v>0</v>
      </c>
      <c r="BH197" s="11" t="n">
        <f aca="false">SUM(K197:V197)</f>
        <v>0</v>
      </c>
      <c r="BI197" s="11" t="n">
        <f aca="false">SUM(W197:AH197)</f>
        <v>0</v>
      </c>
      <c r="BJ197" s="11" t="n">
        <f aca="false">SUM(AI197:AT197)</f>
        <v>0</v>
      </c>
      <c r="BK197" s="11" t="n">
        <f aca="false">SUM(AU197:BF197)</f>
        <v>0</v>
      </c>
      <c r="BL197" s="12" t="n">
        <f aca="false">SUM(E197:BF197)</f>
        <v>0</v>
      </c>
    </row>
    <row r="198" customFormat="false" ht="15" hidden="false" customHeight="false" outlineLevel="0" collapsed="false">
      <c r="A198" s="9"/>
      <c r="B198" s="15"/>
      <c r="C198" s="15"/>
      <c r="D198" s="15"/>
      <c r="E198" s="11" t="n">
        <f aca="false">IF($A198="",0,SUMIFS(tblAuftraege[Ausgaben],tblAuftraege[Datum Ausgaben],"&gt;="&amp;E$5,tblAuftraege[Datum Ausgaben],"&lt;"&amp;EDATE(E$5,1),tblAuftraege[Kostenstelle],$A198))</f>
        <v>0</v>
      </c>
      <c r="F198" s="11" t="n">
        <f aca="false">IF($A198="",0,SUMIFS(tblAuftraege[Ausgaben],tblAuftraege[Datum Ausgaben],"&gt;="&amp;F$5,tblAuftraege[Datum Ausgaben],"&lt;"&amp;EDATE(F$5,1),tblAuftraege[Kostenstelle],$A198))</f>
        <v>0</v>
      </c>
      <c r="G198" s="11" t="n">
        <f aca="false">IF($A198="",0,SUMIFS(tblAuftraege[Ausgaben],tblAuftraege[Datum Ausgaben],"&gt;="&amp;G$5,tblAuftraege[Datum Ausgaben],"&lt;"&amp;EDATE(G$5,1),tblAuftraege[Kostenstelle],$A198))</f>
        <v>0</v>
      </c>
      <c r="H198" s="11" t="n">
        <f aca="false">IF($A198="",0,SUMIFS(tblAuftraege[Ausgaben],tblAuftraege[Datum Ausgaben],"&gt;="&amp;H$5,tblAuftraege[Datum Ausgaben],"&lt;"&amp;EDATE(H$5,1),tblAuftraege[Kostenstelle],$A198))</f>
        <v>0</v>
      </c>
      <c r="I198" s="11" t="n">
        <f aca="false">IF($A198="",0,SUMIFS(tblAuftraege[Ausgaben],tblAuftraege[Datum Ausgaben],"&gt;="&amp;I$5,tblAuftraege[Datum Ausgaben],"&lt;"&amp;EDATE(I$5,1),tblAuftraege[Kostenstelle],$A198))</f>
        <v>0</v>
      </c>
      <c r="J198" s="11" t="n">
        <f aca="false">IF($A198="",0,SUMIFS(tblAuftraege[Ausgaben],tblAuftraege[Datum Ausgaben],"&gt;="&amp;J$5,tblAuftraege[Datum Ausgaben],"&lt;"&amp;EDATE(J$5,1),tblAuftraege[Kostenstelle],$A198))</f>
        <v>0</v>
      </c>
      <c r="K198" s="11" t="n">
        <f aca="false">IF($A198="",0,SUMIFS(tblAuftraege[Ausgaben],tblAuftraege[Datum Ausgaben],"&gt;="&amp;K$5,tblAuftraege[Datum Ausgaben],"&lt;"&amp;EDATE(K$5,1),tblAuftraege[Kostenstelle],$A198))</f>
        <v>0</v>
      </c>
      <c r="L198" s="11" t="n">
        <f aca="false">IF($A198="",0,SUMIFS(tblAuftraege[Ausgaben],tblAuftraege[Datum Ausgaben],"&gt;="&amp;L$5,tblAuftraege[Datum Ausgaben],"&lt;"&amp;EDATE(L$5,1),tblAuftraege[Kostenstelle],$A198))</f>
        <v>0</v>
      </c>
      <c r="M198" s="11" t="n">
        <f aca="false">IF($A198="",0,SUMIFS(tblAuftraege[Ausgaben],tblAuftraege[Datum Ausgaben],"&gt;="&amp;M$5,tblAuftraege[Datum Ausgaben],"&lt;"&amp;EDATE(M$5,1),tblAuftraege[Kostenstelle],$A198))</f>
        <v>0</v>
      </c>
      <c r="N198" s="11" t="n">
        <f aca="false">IF($A198="",0,SUMIFS(tblAuftraege[Ausgaben],tblAuftraege[Datum Ausgaben],"&gt;="&amp;N$5,tblAuftraege[Datum Ausgaben],"&lt;"&amp;EDATE(N$5,1),tblAuftraege[Kostenstelle],$A198))</f>
        <v>0</v>
      </c>
      <c r="O198" s="11" t="n">
        <f aca="false">IF($A198="",0,SUMIFS(tblAuftraege[Ausgaben],tblAuftraege[Datum Ausgaben],"&gt;="&amp;O$5,tblAuftraege[Datum Ausgaben],"&lt;"&amp;EDATE(O$5,1),tblAuftraege[Kostenstelle],$A198))</f>
        <v>0</v>
      </c>
      <c r="P198" s="11" t="n">
        <f aca="false">IF($A198="",0,SUMIFS(tblAuftraege[Ausgaben],tblAuftraege[Datum Ausgaben],"&gt;="&amp;P$5,tblAuftraege[Datum Ausgaben],"&lt;"&amp;EDATE(P$5,1),tblAuftraege[Kostenstelle],$A198))</f>
        <v>0</v>
      </c>
      <c r="Q198" s="11" t="n">
        <f aca="false">IF($A198="",0,SUMIFS(tblAuftraege[Ausgaben],tblAuftraege[Datum Ausgaben],"&gt;="&amp;Q$5,tblAuftraege[Datum Ausgaben],"&lt;"&amp;EDATE(Q$5,1),tblAuftraege[Kostenstelle],$A198))</f>
        <v>0</v>
      </c>
      <c r="R198" s="11" t="n">
        <f aca="false">IF($A198="",0,SUMIFS(tblAuftraege[Ausgaben],tblAuftraege[Datum Ausgaben],"&gt;="&amp;R$5,tblAuftraege[Datum Ausgaben],"&lt;"&amp;EDATE(R$5,1),tblAuftraege[Kostenstelle],$A198))</f>
        <v>0</v>
      </c>
      <c r="S198" s="11" t="n">
        <f aca="false">IF($A198="",0,SUMIFS(tblAuftraege[Ausgaben],tblAuftraege[Datum Ausgaben],"&gt;="&amp;S$5,tblAuftraege[Datum Ausgaben],"&lt;"&amp;EDATE(S$5,1),tblAuftraege[Kostenstelle],$A198))</f>
        <v>0</v>
      </c>
      <c r="T198" s="11" t="n">
        <f aca="false">IF($A198="",0,SUMIFS(tblAuftraege[Ausgaben],tblAuftraege[Datum Ausgaben],"&gt;="&amp;T$5,tblAuftraege[Datum Ausgaben],"&lt;"&amp;EDATE(T$5,1),tblAuftraege[Kostenstelle],$A198))</f>
        <v>0</v>
      </c>
      <c r="U198" s="11" t="n">
        <f aca="false">IF($A198="",0,SUMIFS(tblAuftraege[Ausgaben],tblAuftraege[Datum Ausgaben],"&gt;="&amp;U$5,tblAuftraege[Datum Ausgaben],"&lt;"&amp;EDATE(U$5,1),tblAuftraege[Kostenstelle],$A198))</f>
        <v>0</v>
      </c>
      <c r="V198" s="11" t="n">
        <f aca="false">IF($A198="",0,SUMIFS(tblAuftraege[Ausgaben],tblAuftraege[Datum Ausgaben],"&gt;="&amp;V$5,tblAuftraege[Datum Ausgaben],"&lt;"&amp;EDATE(V$5,1),tblAuftraege[Kostenstelle],$A198))</f>
        <v>0</v>
      </c>
      <c r="W198" s="11" t="n">
        <f aca="false">IF($A198="",0,SUMIFS(tblAuftraege[Ausgaben],tblAuftraege[Datum Ausgaben],"&gt;="&amp;W$5,tblAuftraege[Datum Ausgaben],"&lt;"&amp;EDATE(W$5,1),tblAuftraege[Kostenstelle],$A198))</f>
        <v>0</v>
      </c>
      <c r="X198" s="11" t="n">
        <f aca="false">IF($A198="",0,SUMIFS(tblAuftraege[Ausgaben],tblAuftraege[Datum Ausgaben],"&gt;="&amp;X$5,tblAuftraege[Datum Ausgaben],"&lt;"&amp;EDATE(X$5,1),tblAuftraege[Kostenstelle],$A198))</f>
        <v>0</v>
      </c>
      <c r="Y198" s="11" t="n">
        <f aca="false">IF($A198="",0,SUMIFS(tblAuftraege[Ausgaben],tblAuftraege[Datum Ausgaben],"&gt;="&amp;Y$5,tblAuftraege[Datum Ausgaben],"&lt;"&amp;EDATE(Y$5,1),tblAuftraege[Kostenstelle],$A198))</f>
        <v>0</v>
      </c>
      <c r="Z198" s="11" t="n">
        <f aca="false">IF($A198="",0,SUMIFS(tblAuftraege[Ausgaben],tblAuftraege[Datum Ausgaben],"&gt;="&amp;Z$5,tblAuftraege[Datum Ausgaben],"&lt;"&amp;EDATE(Z$5,1),tblAuftraege[Kostenstelle],$A198))</f>
        <v>0</v>
      </c>
      <c r="AA198" s="11" t="n">
        <f aca="false">IF($A198="",0,SUMIFS(tblAuftraege[Ausgaben],tblAuftraege[Datum Ausgaben],"&gt;="&amp;AA$5,tblAuftraege[Datum Ausgaben],"&lt;"&amp;EDATE(AA$5,1),tblAuftraege[Kostenstelle],$A198))</f>
        <v>0</v>
      </c>
      <c r="AB198" s="11" t="n">
        <f aca="false">IF($A198="",0,SUMIFS(tblAuftraege[Ausgaben],tblAuftraege[Datum Ausgaben],"&gt;="&amp;AB$5,tblAuftraege[Datum Ausgaben],"&lt;"&amp;EDATE(AB$5,1),tblAuftraege[Kostenstelle],$A198))</f>
        <v>0</v>
      </c>
      <c r="AC198" s="11" t="n">
        <f aca="false">IF($A198="",0,SUMIFS(tblAuftraege[Ausgaben],tblAuftraege[Datum Ausgaben],"&gt;="&amp;AC$5,tblAuftraege[Datum Ausgaben],"&lt;"&amp;EDATE(AC$5,1),tblAuftraege[Kostenstelle],$A198))</f>
        <v>0</v>
      </c>
      <c r="AD198" s="11" t="n">
        <f aca="false">IF($A198="",0,SUMIFS(tblAuftraege[Ausgaben],tblAuftraege[Datum Ausgaben],"&gt;="&amp;AD$5,tblAuftraege[Datum Ausgaben],"&lt;"&amp;EDATE(AD$5,1),tblAuftraege[Kostenstelle],$A198))</f>
        <v>0</v>
      </c>
      <c r="AE198" s="11" t="n">
        <f aca="false">IF($A198="",0,SUMIFS(tblAuftraege[Ausgaben],tblAuftraege[Datum Ausgaben],"&gt;="&amp;AE$5,tblAuftraege[Datum Ausgaben],"&lt;"&amp;EDATE(AE$5,1),tblAuftraege[Kostenstelle],$A198))</f>
        <v>0</v>
      </c>
      <c r="AF198" s="11" t="n">
        <f aca="false">IF($A198="",0,SUMIFS(tblAuftraege[Ausgaben],tblAuftraege[Datum Ausgaben],"&gt;="&amp;AF$5,tblAuftraege[Datum Ausgaben],"&lt;"&amp;EDATE(AF$5,1),tblAuftraege[Kostenstelle],$A198))</f>
        <v>0</v>
      </c>
      <c r="AG198" s="11" t="n">
        <f aca="false">IF($A198="",0,SUMIFS(tblAuftraege[Ausgaben],tblAuftraege[Datum Ausgaben],"&gt;="&amp;AG$5,tblAuftraege[Datum Ausgaben],"&lt;"&amp;EDATE(AG$5,1),tblAuftraege[Kostenstelle],$A198))</f>
        <v>0</v>
      </c>
      <c r="AH198" s="11" t="n">
        <f aca="false">IF($A198="",0,SUMIFS(tblAuftraege[Ausgaben],tblAuftraege[Datum Ausgaben],"&gt;="&amp;AH$5,tblAuftraege[Datum Ausgaben],"&lt;"&amp;EDATE(AH$5,1),tblAuftraege[Kostenstelle],$A198))</f>
        <v>0</v>
      </c>
      <c r="AI198" s="11" t="n">
        <f aca="false">IF($A198="",0,SUMIFS(tblAuftraege[Ausgaben],tblAuftraege[Datum Ausgaben],"&gt;="&amp;AI$5,tblAuftraege[Datum Ausgaben],"&lt;"&amp;EDATE(AI$5,1),tblAuftraege[Kostenstelle],$A198))</f>
        <v>0</v>
      </c>
      <c r="AJ198" s="11" t="n">
        <f aca="false">IF($A198="",0,SUMIFS(tblAuftraege[Ausgaben],tblAuftraege[Datum Ausgaben],"&gt;="&amp;AJ$5,tblAuftraege[Datum Ausgaben],"&lt;"&amp;EDATE(AJ$5,1),tblAuftraege[Kostenstelle],$A198))</f>
        <v>0</v>
      </c>
      <c r="AK198" s="11" t="n">
        <f aca="false">IF($A198="",0,SUMIFS(tblAuftraege[Ausgaben],tblAuftraege[Datum Ausgaben],"&gt;="&amp;AK$5,tblAuftraege[Datum Ausgaben],"&lt;"&amp;EDATE(AK$5,1),tblAuftraege[Kostenstelle],$A198))</f>
        <v>0</v>
      </c>
      <c r="AL198" s="11" t="n">
        <f aca="false">IF($A198="",0,SUMIFS(tblAuftraege[Ausgaben],tblAuftraege[Datum Ausgaben],"&gt;="&amp;AL$5,tblAuftraege[Datum Ausgaben],"&lt;"&amp;EDATE(AL$5,1),tblAuftraege[Kostenstelle],$A198))</f>
        <v>0</v>
      </c>
      <c r="AM198" s="11" t="n">
        <f aca="false">IF($A198="",0,SUMIFS(tblAuftraege[Ausgaben],tblAuftraege[Datum Ausgaben],"&gt;="&amp;AM$5,tblAuftraege[Datum Ausgaben],"&lt;"&amp;EDATE(AM$5,1),tblAuftraege[Kostenstelle],$A198))</f>
        <v>0</v>
      </c>
      <c r="AN198" s="11" t="n">
        <f aca="false">IF($A198="",0,SUMIFS(tblAuftraege[Ausgaben],tblAuftraege[Datum Ausgaben],"&gt;="&amp;AN$5,tblAuftraege[Datum Ausgaben],"&lt;"&amp;EDATE(AN$5,1),tblAuftraege[Kostenstelle],$A198))</f>
        <v>0</v>
      </c>
      <c r="AO198" s="11" t="n">
        <f aca="false">IF($A198="",0,SUMIFS(tblAuftraege[Ausgaben],tblAuftraege[Datum Ausgaben],"&gt;="&amp;AO$5,tblAuftraege[Datum Ausgaben],"&lt;"&amp;EDATE(AO$5,1),tblAuftraege[Kostenstelle],$A198))</f>
        <v>0</v>
      </c>
      <c r="AP198" s="11" t="n">
        <f aca="false">IF($A198="",0,SUMIFS(tblAuftraege[Ausgaben],tblAuftraege[Datum Ausgaben],"&gt;="&amp;AP$5,tblAuftraege[Datum Ausgaben],"&lt;"&amp;EDATE(AP$5,1),tblAuftraege[Kostenstelle],$A198))</f>
        <v>0</v>
      </c>
      <c r="AQ198" s="11" t="n">
        <f aca="false">IF($A198="",0,SUMIFS(tblAuftraege[Ausgaben],tblAuftraege[Datum Ausgaben],"&gt;="&amp;AQ$5,tblAuftraege[Datum Ausgaben],"&lt;"&amp;EDATE(AQ$5,1),tblAuftraege[Kostenstelle],$A198))</f>
        <v>0</v>
      </c>
      <c r="AR198" s="11" t="n">
        <f aca="false">IF($A198="",0,SUMIFS(tblAuftraege[Ausgaben],tblAuftraege[Datum Ausgaben],"&gt;="&amp;AR$5,tblAuftraege[Datum Ausgaben],"&lt;"&amp;EDATE(AR$5,1),tblAuftraege[Kostenstelle],$A198))</f>
        <v>0</v>
      </c>
      <c r="AS198" s="11" t="n">
        <f aca="false">IF($A198="",0,SUMIFS(tblAuftraege[Ausgaben],tblAuftraege[Datum Ausgaben],"&gt;="&amp;AS$5,tblAuftraege[Datum Ausgaben],"&lt;"&amp;EDATE(AS$5,1),tblAuftraege[Kostenstelle],$A198))</f>
        <v>0</v>
      </c>
      <c r="AT198" s="11" t="n">
        <f aca="false">IF($A198="",0,SUMIFS(tblAuftraege[Ausgaben],tblAuftraege[Datum Ausgaben],"&gt;="&amp;AT$5,tblAuftraege[Datum Ausgaben],"&lt;"&amp;EDATE(AT$5,1),tblAuftraege[Kostenstelle],$A198))</f>
        <v>0</v>
      </c>
      <c r="AU198" s="11" t="n">
        <f aca="false">IF($A198="",0,SUMIFS(tblAuftraege[Ausgaben],tblAuftraege[Datum Ausgaben],"&gt;="&amp;AU$5,tblAuftraege[Datum Ausgaben],"&lt;"&amp;EDATE(AU$5,1),tblAuftraege[Kostenstelle],$A198))</f>
        <v>0</v>
      </c>
      <c r="AV198" s="11" t="n">
        <f aca="false">IF($A198="",0,SUMIFS(tblAuftraege[Ausgaben],tblAuftraege[Datum Ausgaben],"&gt;="&amp;AV$5,tblAuftraege[Datum Ausgaben],"&lt;"&amp;EDATE(AV$5,1),tblAuftraege[Kostenstelle],$A198))</f>
        <v>0</v>
      </c>
      <c r="AW198" s="11" t="n">
        <f aca="false">IF($A198="",0,SUMIFS(tblAuftraege[Ausgaben],tblAuftraege[Datum Ausgaben],"&gt;="&amp;AW$5,tblAuftraege[Datum Ausgaben],"&lt;"&amp;EDATE(AW$5,1),tblAuftraege[Kostenstelle],$A198))</f>
        <v>0</v>
      </c>
      <c r="AX198" s="11" t="n">
        <f aca="false">IF($A198="",0,SUMIFS(tblAuftraege[Ausgaben],tblAuftraege[Datum Ausgaben],"&gt;="&amp;AX$5,tblAuftraege[Datum Ausgaben],"&lt;"&amp;EDATE(AX$5,1),tblAuftraege[Kostenstelle],$A198))</f>
        <v>0</v>
      </c>
      <c r="AY198" s="11" t="n">
        <f aca="false">IF($A198="",0,SUMIFS(tblAuftraege[Ausgaben],tblAuftraege[Datum Ausgaben],"&gt;="&amp;AY$5,tblAuftraege[Datum Ausgaben],"&lt;"&amp;EDATE(AY$5,1),tblAuftraege[Kostenstelle],$A198))</f>
        <v>0</v>
      </c>
      <c r="AZ198" s="11" t="n">
        <f aca="false">IF($A198="",0,SUMIFS(tblAuftraege[Ausgaben],tblAuftraege[Datum Ausgaben],"&gt;="&amp;AZ$5,tblAuftraege[Datum Ausgaben],"&lt;"&amp;EDATE(AZ$5,1),tblAuftraege[Kostenstelle],$A198))</f>
        <v>0</v>
      </c>
      <c r="BA198" s="11" t="n">
        <f aca="false">IF($A198="",0,SUMIFS(tblAuftraege[Ausgaben],tblAuftraege[Datum Ausgaben],"&gt;="&amp;BA$5,tblAuftraege[Datum Ausgaben],"&lt;"&amp;EDATE(BA$5,1),tblAuftraege[Kostenstelle],$A198))</f>
        <v>0</v>
      </c>
      <c r="BB198" s="11" t="n">
        <f aca="false">IF($A198="",0,SUMIFS(tblAuftraege[Ausgaben],tblAuftraege[Datum Ausgaben],"&gt;="&amp;BB$5,tblAuftraege[Datum Ausgaben],"&lt;"&amp;EDATE(BB$5,1),tblAuftraege[Kostenstelle],$A198))</f>
        <v>0</v>
      </c>
      <c r="BC198" s="11" t="n">
        <f aca="false">IF($A198="",0,SUMIFS(tblAuftraege[Ausgaben],tblAuftraege[Datum Ausgaben],"&gt;="&amp;BC$5,tblAuftraege[Datum Ausgaben],"&lt;"&amp;EDATE(BC$5,1),tblAuftraege[Kostenstelle],$A198))</f>
        <v>0</v>
      </c>
      <c r="BD198" s="11" t="n">
        <f aca="false">IF($A198="",0,SUMIFS(tblAuftraege[Ausgaben],tblAuftraege[Datum Ausgaben],"&gt;="&amp;BD$5,tblAuftraege[Datum Ausgaben],"&lt;"&amp;EDATE(BD$5,1),tblAuftraege[Kostenstelle],$A198))</f>
        <v>0</v>
      </c>
      <c r="BE198" s="11" t="n">
        <f aca="false">IF($A198="",0,SUMIFS(tblAuftraege[Ausgaben],tblAuftraege[Datum Ausgaben],"&gt;="&amp;BE$5,tblAuftraege[Datum Ausgaben],"&lt;"&amp;EDATE(BE$5,1),tblAuftraege[Kostenstelle],$A198))</f>
        <v>0</v>
      </c>
      <c r="BF198" s="11" t="n">
        <f aca="false">IF($A198="",0,SUMIFS(tblAuftraege[Ausgaben],tblAuftraege[Datum Ausgaben],"&gt;="&amp;BF$5,tblAuftraege[Datum Ausgaben],"&lt;"&amp;EDATE(BF$5,1),tblAuftraege[Kostenstelle],$A198))</f>
        <v>0</v>
      </c>
      <c r="BG198" s="11" t="n">
        <f aca="false">SUM(E198:J198)</f>
        <v>0</v>
      </c>
      <c r="BH198" s="11" t="n">
        <f aca="false">SUM(K198:V198)</f>
        <v>0</v>
      </c>
      <c r="BI198" s="11" t="n">
        <f aca="false">SUM(W198:AH198)</f>
        <v>0</v>
      </c>
      <c r="BJ198" s="11" t="n">
        <f aca="false">SUM(AI198:AT198)</f>
        <v>0</v>
      </c>
      <c r="BK198" s="11" t="n">
        <f aca="false">SUM(AU198:BF198)</f>
        <v>0</v>
      </c>
      <c r="BL198" s="12" t="n">
        <f aca="false">SUM(E198:BF198)</f>
        <v>0</v>
      </c>
    </row>
    <row r="199" customFormat="false" ht="15" hidden="false" customHeight="false" outlineLevel="0" collapsed="false">
      <c r="A199" s="9"/>
      <c r="B199" s="15"/>
      <c r="C199" s="15"/>
      <c r="D199" s="15"/>
      <c r="E199" s="11" t="n">
        <f aca="false">IF($A199="",0,SUMIFS(tblAuftraege[Ausgaben],tblAuftraege[Datum Ausgaben],"&gt;="&amp;E$5,tblAuftraege[Datum Ausgaben],"&lt;"&amp;EDATE(E$5,1),tblAuftraege[Kostenstelle],$A199))</f>
        <v>0</v>
      </c>
      <c r="F199" s="11" t="n">
        <f aca="false">IF($A199="",0,SUMIFS(tblAuftraege[Ausgaben],tblAuftraege[Datum Ausgaben],"&gt;="&amp;F$5,tblAuftraege[Datum Ausgaben],"&lt;"&amp;EDATE(F$5,1),tblAuftraege[Kostenstelle],$A199))</f>
        <v>0</v>
      </c>
      <c r="G199" s="11" t="n">
        <f aca="false">IF($A199="",0,SUMIFS(tblAuftraege[Ausgaben],tblAuftraege[Datum Ausgaben],"&gt;="&amp;G$5,tblAuftraege[Datum Ausgaben],"&lt;"&amp;EDATE(G$5,1),tblAuftraege[Kostenstelle],$A199))</f>
        <v>0</v>
      </c>
      <c r="H199" s="11" t="n">
        <f aca="false">IF($A199="",0,SUMIFS(tblAuftraege[Ausgaben],tblAuftraege[Datum Ausgaben],"&gt;="&amp;H$5,tblAuftraege[Datum Ausgaben],"&lt;"&amp;EDATE(H$5,1),tblAuftraege[Kostenstelle],$A199))</f>
        <v>0</v>
      </c>
      <c r="I199" s="11" t="n">
        <f aca="false">IF($A199="",0,SUMIFS(tblAuftraege[Ausgaben],tblAuftraege[Datum Ausgaben],"&gt;="&amp;I$5,tblAuftraege[Datum Ausgaben],"&lt;"&amp;EDATE(I$5,1),tblAuftraege[Kostenstelle],$A199))</f>
        <v>0</v>
      </c>
      <c r="J199" s="11" t="n">
        <f aca="false">IF($A199="",0,SUMIFS(tblAuftraege[Ausgaben],tblAuftraege[Datum Ausgaben],"&gt;="&amp;J$5,tblAuftraege[Datum Ausgaben],"&lt;"&amp;EDATE(J$5,1),tblAuftraege[Kostenstelle],$A199))</f>
        <v>0</v>
      </c>
      <c r="K199" s="11" t="n">
        <f aca="false">IF($A199="",0,SUMIFS(tblAuftraege[Ausgaben],tblAuftraege[Datum Ausgaben],"&gt;="&amp;K$5,tblAuftraege[Datum Ausgaben],"&lt;"&amp;EDATE(K$5,1),tblAuftraege[Kostenstelle],$A199))</f>
        <v>0</v>
      </c>
      <c r="L199" s="11" t="n">
        <f aca="false">IF($A199="",0,SUMIFS(tblAuftraege[Ausgaben],tblAuftraege[Datum Ausgaben],"&gt;="&amp;L$5,tblAuftraege[Datum Ausgaben],"&lt;"&amp;EDATE(L$5,1),tblAuftraege[Kostenstelle],$A199))</f>
        <v>0</v>
      </c>
      <c r="M199" s="11" t="n">
        <f aca="false">IF($A199="",0,SUMIFS(tblAuftraege[Ausgaben],tblAuftraege[Datum Ausgaben],"&gt;="&amp;M$5,tblAuftraege[Datum Ausgaben],"&lt;"&amp;EDATE(M$5,1),tblAuftraege[Kostenstelle],$A199))</f>
        <v>0</v>
      </c>
      <c r="N199" s="11" t="n">
        <f aca="false">IF($A199="",0,SUMIFS(tblAuftraege[Ausgaben],tblAuftraege[Datum Ausgaben],"&gt;="&amp;N$5,tblAuftraege[Datum Ausgaben],"&lt;"&amp;EDATE(N$5,1),tblAuftraege[Kostenstelle],$A199))</f>
        <v>0</v>
      </c>
      <c r="O199" s="11" t="n">
        <f aca="false">IF($A199="",0,SUMIFS(tblAuftraege[Ausgaben],tblAuftraege[Datum Ausgaben],"&gt;="&amp;O$5,tblAuftraege[Datum Ausgaben],"&lt;"&amp;EDATE(O$5,1),tblAuftraege[Kostenstelle],$A199))</f>
        <v>0</v>
      </c>
      <c r="P199" s="11" t="n">
        <f aca="false">IF($A199="",0,SUMIFS(tblAuftraege[Ausgaben],tblAuftraege[Datum Ausgaben],"&gt;="&amp;P$5,tblAuftraege[Datum Ausgaben],"&lt;"&amp;EDATE(P$5,1),tblAuftraege[Kostenstelle],$A199))</f>
        <v>0</v>
      </c>
      <c r="Q199" s="11" t="n">
        <f aca="false">IF($A199="",0,SUMIFS(tblAuftraege[Ausgaben],tblAuftraege[Datum Ausgaben],"&gt;="&amp;Q$5,tblAuftraege[Datum Ausgaben],"&lt;"&amp;EDATE(Q$5,1),tblAuftraege[Kostenstelle],$A199))</f>
        <v>0</v>
      </c>
      <c r="R199" s="11" t="n">
        <f aca="false">IF($A199="",0,SUMIFS(tblAuftraege[Ausgaben],tblAuftraege[Datum Ausgaben],"&gt;="&amp;R$5,tblAuftraege[Datum Ausgaben],"&lt;"&amp;EDATE(R$5,1),tblAuftraege[Kostenstelle],$A199))</f>
        <v>0</v>
      </c>
      <c r="S199" s="11" t="n">
        <f aca="false">IF($A199="",0,SUMIFS(tblAuftraege[Ausgaben],tblAuftraege[Datum Ausgaben],"&gt;="&amp;S$5,tblAuftraege[Datum Ausgaben],"&lt;"&amp;EDATE(S$5,1),tblAuftraege[Kostenstelle],$A199))</f>
        <v>0</v>
      </c>
      <c r="T199" s="11" t="n">
        <f aca="false">IF($A199="",0,SUMIFS(tblAuftraege[Ausgaben],tblAuftraege[Datum Ausgaben],"&gt;="&amp;T$5,tblAuftraege[Datum Ausgaben],"&lt;"&amp;EDATE(T$5,1),tblAuftraege[Kostenstelle],$A199))</f>
        <v>0</v>
      </c>
      <c r="U199" s="11" t="n">
        <f aca="false">IF($A199="",0,SUMIFS(tblAuftraege[Ausgaben],tblAuftraege[Datum Ausgaben],"&gt;="&amp;U$5,tblAuftraege[Datum Ausgaben],"&lt;"&amp;EDATE(U$5,1),tblAuftraege[Kostenstelle],$A199))</f>
        <v>0</v>
      </c>
      <c r="V199" s="11" t="n">
        <f aca="false">IF($A199="",0,SUMIFS(tblAuftraege[Ausgaben],tblAuftraege[Datum Ausgaben],"&gt;="&amp;V$5,tblAuftraege[Datum Ausgaben],"&lt;"&amp;EDATE(V$5,1),tblAuftraege[Kostenstelle],$A199))</f>
        <v>0</v>
      </c>
      <c r="W199" s="11" t="n">
        <f aca="false">IF($A199="",0,SUMIFS(tblAuftraege[Ausgaben],tblAuftraege[Datum Ausgaben],"&gt;="&amp;W$5,tblAuftraege[Datum Ausgaben],"&lt;"&amp;EDATE(W$5,1),tblAuftraege[Kostenstelle],$A199))</f>
        <v>0</v>
      </c>
      <c r="X199" s="11" t="n">
        <f aca="false">IF($A199="",0,SUMIFS(tblAuftraege[Ausgaben],tblAuftraege[Datum Ausgaben],"&gt;="&amp;X$5,tblAuftraege[Datum Ausgaben],"&lt;"&amp;EDATE(X$5,1),tblAuftraege[Kostenstelle],$A199))</f>
        <v>0</v>
      </c>
      <c r="Y199" s="11" t="n">
        <f aca="false">IF($A199="",0,SUMIFS(tblAuftraege[Ausgaben],tblAuftraege[Datum Ausgaben],"&gt;="&amp;Y$5,tblAuftraege[Datum Ausgaben],"&lt;"&amp;EDATE(Y$5,1),tblAuftraege[Kostenstelle],$A199))</f>
        <v>0</v>
      </c>
      <c r="Z199" s="11" t="n">
        <f aca="false">IF($A199="",0,SUMIFS(tblAuftraege[Ausgaben],tblAuftraege[Datum Ausgaben],"&gt;="&amp;Z$5,tblAuftraege[Datum Ausgaben],"&lt;"&amp;EDATE(Z$5,1),tblAuftraege[Kostenstelle],$A199))</f>
        <v>0</v>
      </c>
      <c r="AA199" s="11" t="n">
        <f aca="false">IF($A199="",0,SUMIFS(tblAuftraege[Ausgaben],tblAuftraege[Datum Ausgaben],"&gt;="&amp;AA$5,tblAuftraege[Datum Ausgaben],"&lt;"&amp;EDATE(AA$5,1),tblAuftraege[Kostenstelle],$A199))</f>
        <v>0</v>
      </c>
      <c r="AB199" s="11" t="n">
        <f aca="false">IF($A199="",0,SUMIFS(tblAuftraege[Ausgaben],tblAuftraege[Datum Ausgaben],"&gt;="&amp;AB$5,tblAuftraege[Datum Ausgaben],"&lt;"&amp;EDATE(AB$5,1),tblAuftraege[Kostenstelle],$A199))</f>
        <v>0</v>
      </c>
      <c r="AC199" s="11" t="n">
        <f aca="false">IF($A199="",0,SUMIFS(tblAuftraege[Ausgaben],tblAuftraege[Datum Ausgaben],"&gt;="&amp;AC$5,tblAuftraege[Datum Ausgaben],"&lt;"&amp;EDATE(AC$5,1),tblAuftraege[Kostenstelle],$A199))</f>
        <v>0</v>
      </c>
      <c r="AD199" s="11" t="n">
        <f aca="false">IF($A199="",0,SUMIFS(tblAuftraege[Ausgaben],tblAuftraege[Datum Ausgaben],"&gt;="&amp;AD$5,tblAuftraege[Datum Ausgaben],"&lt;"&amp;EDATE(AD$5,1),tblAuftraege[Kostenstelle],$A199))</f>
        <v>0</v>
      </c>
      <c r="AE199" s="11" t="n">
        <f aca="false">IF($A199="",0,SUMIFS(tblAuftraege[Ausgaben],tblAuftraege[Datum Ausgaben],"&gt;="&amp;AE$5,tblAuftraege[Datum Ausgaben],"&lt;"&amp;EDATE(AE$5,1),tblAuftraege[Kostenstelle],$A199))</f>
        <v>0</v>
      </c>
      <c r="AF199" s="11" t="n">
        <f aca="false">IF($A199="",0,SUMIFS(tblAuftraege[Ausgaben],tblAuftraege[Datum Ausgaben],"&gt;="&amp;AF$5,tblAuftraege[Datum Ausgaben],"&lt;"&amp;EDATE(AF$5,1),tblAuftraege[Kostenstelle],$A199))</f>
        <v>0</v>
      </c>
      <c r="AG199" s="11" t="n">
        <f aca="false">IF($A199="",0,SUMIFS(tblAuftraege[Ausgaben],tblAuftraege[Datum Ausgaben],"&gt;="&amp;AG$5,tblAuftraege[Datum Ausgaben],"&lt;"&amp;EDATE(AG$5,1),tblAuftraege[Kostenstelle],$A199))</f>
        <v>0</v>
      </c>
      <c r="AH199" s="11" t="n">
        <f aca="false">IF($A199="",0,SUMIFS(tblAuftraege[Ausgaben],tblAuftraege[Datum Ausgaben],"&gt;="&amp;AH$5,tblAuftraege[Datum Ausgaben],"&lt;"&amp;EDATE(AH$5,1),tblAuftraege[Kostenstelle],$A199))</f>
        <v>0</v>
      </c>
      <c r="AI199" s="11" t="n">
        <f aca="false">IF($A199="",0,SUMIFS(tblAuftraege[Ausgaben],tblAuftraege[Datum Ausgaben],"&gt;="&amp;AI$5,tblAuftraege[Datum Ausgaben],"&lt;"&amp;EDATE(AI$5,1),tblAuftraege[Kostenstelle],$A199))</f>
        <v>0</v>
      </c>
      <c r="AJ199" s="11" t="n">
        <f aca="false">IF($A199="",0,SUMIFS(tblAuftraege[Ausgaben],tblAuftraege[Datum Ausgaben],"&gt;="&amp;AJ$5,tblAuftraege[Datum Ausgaben],"&lt;"&amp;EDATE(AJ$5,1),tblAuftraege[Kostenstelle],$A199))</f>
        <v>0</v>
      </c>
      <c r="AK199" s="11" t="n">
        <f aca="false">IF($A199="",0,SUMIFS(tblAuftraege[Ausgaben],tblAuftraege[Datum Ausgaben],"&gt;="&amp;AK$5,tblAuftraege[Datum Ausgaben],"&lt;"&amp;EDATE(AK$5,1),tblAuftraege[Kostenstelle],$A199))</f>
        <v>0</v>
      </c>
      <c r="AL199" s="11" t="n">
        <f aca="false">IF($A199="",0,SUMIFS(tblAuftraege[Ausgaben],tblAuftraege[Datum Ausgaben],"&gt;="&amp;AL$5,tblAuftraege[Datum Ausgaben],"&lt;"&amp;EDATE(AL$5,1),tblAuftraege[Kostenstelle],$A199))</f>
        <v>0</v>
      </c>
      <c r="AM199" s="11" t="n">
        <f aca="false">IF($A199="",0,SUMIFS(tblAuftraege[Ausgaben],tblAuftraege[Datum Ausgaben],"&gt;="&amp;AM$5,tblAuftraege[Datum Ausgaben],"&lt;"&amp;EDATE(AM$5,1),tblAuftraege[Kostenstelle],$A199))</f>
        <v>0</v>
      </c>
      <c r="AN199" s="11" t="n">
        <f aca="false">IF($A199="",0,SUMIFS(tblAuftraege[Ausgaben],tblAuftraege[Datum Ausgaben],"&gt;="&amp;AN$5,tblAuftraege[Datum Ausgaben],"&lt;"&amp;EDATE(AN$5,1),tblAuftraege[Kostenstelle],$A199))</f>
        <v>0</v>
      </c>
      <c r="AO199" s="11" t="n">
        <f aca="false">IF($A199="",0,SUMIFS(tblAuftraege[Ausgaben],tblAuftraege[Datum Ausgaben],"&gt;="&amp;AO$5,tblAuftraege[Datum Ausgaben],"&lt;"&amp;EDATE(AO$5,1),tblAuftraege[Kostenstelle],$A199))</f>
        <v>0</v>
      </c>
      <c r="AP199" s="11" t="n">
        <f aca="false">IF($A199="",0,SUMIFS(tblAuftraege[Ausgaben],tblAuftraege[Datum Ausgaben],"&gt;="&amp;AP$5,tblAuftraege[Datum Ausgaben],"&lt;"&amp;EDATE(AP$5,1),tblAuftraege[Kostenstelle],$A199))</f>
        <v>0</v>
      </c>
      <c r="AQ199" s="11" t="n">
        <f aca="false">IF($A199="",0,SUMIFS(tblAuftraege[Ausgaben],tblAuftraege[Datum Ausgaben],"&gt;="&amp;AQ$5,tblAuftraege[Datum Ausgaben],"&lt;"&amp;EDATE(AQ$5,1),tblAuftraege[Kostenstelle],$A199))</f>
        <v>0</v>
      </c>
      <c r="AR199" s="11" t="n">
        <f aca="false">IF($A199="",0,SUMIFS(tblAuftraege[Ausgaben],tblAuftraege[Datum Ausgaben],"&gt;="&amp;AR$5,tblAuftraege[Datum Ausgaben],"&lt;"&amp;EDATE(AR$5,1),tblAuftraege[Kostenstelle],$A199))</f>
        <v>0</v>
      </c>
      <c r="AS199" s="11" t="n">
        <f aca="false">IF($A199="",0,SUMIFS(tblAuftraege[Ausgaben],tblAuftraege[Datum Ausgaben],"&gt;="&amp;AS$5,tblAuftraege[Datum Ausgaben],"&lt;"&amp;EDATE(AS$5,1),tblAuftraege[Kostenstelle],$A199))</f>
        <v>0</v>
      </c>
      <c r="AT199" s="11" t="n">
        <f aca="false">IF($A199="",0,SUMIFS(tblAuftraege[Ausgaben],tblAuftraege[Datum Ausgaben],"&gt;="&amp;AT$5,tblAuftraege[Datum Ausgaben],"&lt;"&amp;EDATE(AT$5,1),tblAuftraege[Kostenstelle],$A199))</f>
        <v>0</v>
      </c>
      <c r="AU199" s="11" t="n">
        <f aca="false">IF($A199="",0,SUMIFS(tblAuftraege[Ausgaben],tblAuftraege[Datum Ausgaben],"&gt;="&amp;AU$5,tblAuftraege[Datum Ausgaben],"&lt;"&amp;EDATE(AU$5,1),tblAuftraege[Kostenstelle],$A199))</f>
        <v>0</v>
      </c>
      <c r="AV199" s="11" t="n">
        <f aca="false">IF($A199="",0,SUMIFS(tblAuftraege[Ausgaben],tblAuftraege[Datum Ausgaben],"&gt;="&amp;AV$5,tblAuftraege[Datum Ausgaben],"&lt;"&amp;EDATE(AV$5,1),tblAuftraege[Kostenstelle],$A199))</f>
        <v>0</v>
      </c>
      <c r="AW199" s="11" t="n">
        <f aca="false">IF($A199="",0,SUMIFS(tblAuftraege[Ausgaben],tblAuftraege[Datum Ausgaben],"&gt;="&amp;AW$5,tblAuftraege[Datum Ausgaben],"&lt;"&amp;EDATE(AW$5,1),tblAuftraege[Kostenstelle],$A199))</f>
        <v>0</v>
      </c>
      <c r="AX199" s="11" t="n">
        <f aca="false">IF($A199="",0,SUMIFS(tblAuftraege[Ausgaben],tblAuftraege[Datum Ausgaben],"&gt;="&amp;AX$5,tblAuftraege[Datum Ausgaben],"&lt;"&amp;EDATE(AX$5,1),tblAuftraege[Kostenstelle],$A199))</f>
        <v>0</v>
      </c>
      <c r="AY199" s="11" t="n">
        <f aca="false">IF($A199="",0,SUMIFS(tblAuftraege[Ausgaben],tblAuftraege[Datum Ausgaben],"&gt;="&amp;AY$5,tblAuftraege[Datum Ausgaben],"&lt;"&amp;EDATE(AY$5,1),tblAuftraege[Kostenstelle],$A199))</f>
        <v>0</v>
      </c>
      <c r="AZ199" s="11" t="n">
        <f aca="false">IF($A199="",0,SUMIFS(tblAuftraege[Ausgaben],tblAuftraege[Datum Ausgaben],"&gt;="&amp;AZ$5,tblAuftraege[Datum Ausgaben],"&lt;"&amp;EDATE(AZ$5,1),tblAuftraege[Kostenstelle],$A199))</f>
        <v>0</v>
      </c>
      <c r="BA199" s="11" t="n">
        <f aca="false">IF($A199="",0,SUMIFS(tblAuftraege[Ausgaben],tblAuftraege[Datum Ausgaben],"&gt;="&amp;BA$5,tblAuftraege[Datum Ausgaben],"&lt;"&amp;EDATE(BA$5,1),tblAuftraege[Kostenstelle],$A199))</f>
        <v>0</v>
      </c>
      <c r="BB199" s="11" t="n">
        <f aca="false">IF($A199="",0,SUMIFS(tblAuftraege[Ausgaben],tblAuftraege[Datum Ausgaben],"&gt;="&amp;BB$5,tblAuftraege[Datum Ausgaben],"&lt;"&amp;EDATE(BB$5,1),tblAuftraege[Kostenstelle],$A199))</f>
        <v>0</v>
      </c>
      <c r="BC199" s="11" t="n">
        <f aca="false">IF($A199="",0,SUMIFS(tblAuftraege[Ausgaben],tblAuftraege[Datum Ausgaben],"&gt;="&amp;BC$5,tblAuftraege[Datum Ausgaben],"&lt;"&amp;EDATE(BC$5,1),tblAuftraege[Kostenstelle],$A199))</f>
        <v>0</v>
      </c>
      <c r="BD199" s="11" t="n">
        <f aca="false">IF($A199="",0,SUMIFS(tblAuftraege[Ausgaben],tblAuftraege[Datum Ausgaben],"&gt;="&amp;BD$5,tblAuftraege[Datum Ausgaben],"&lt;"&amp;EDATE(BD$5,1),tblAuftraege[Kostenstelle],$A199))</f>
        <v>0</v>
      </c>
      <c r="BE199" s="11" t="n">
        <f aca="false">IF($A199="",0,SUMIFS(tblAuftraege[Ausgaben],tblAuftraege[Datum Ausgaben],"&gt;="&amp;BE$5,tblAuftraege[Datum Ausgaben],"&lt;"&amp;EDATE(BE$5,1),tblAuftraege[Kostenstelle],$A199))</f>
        <v>0</v>
      </c>
      <c r="BF199" s="11" t="n">
        <f aca="false">IF($A199="",0,SUMIFS(tblAuftraege[Ausgaben],tblAuftraege[Datum Ausgaben],"&gt;="&amp;BF$5,tblAuftraege[Datum Ausgaben],"&lt;"&amp;EDATE(BF$5,1),tblAuftraege[Kostenstelle],$A199))</f>
        <v>0</v>
      </c>
      <c r="BG199" s="11" t="n">
        <f aca="false">SUM(E199:J199)</f>
        <v>0</v>
      </c>
      <c r="BH199" s="11" t="n">
        <f aca="false">SUM(K199:V199)</f>
        <v>0</v>
      </c>
      <c r="BI199" s="11" t="n">
        <f aca="false">SUM(W199:AH199)</f>
        <v>0</v>
      </c>
      <c r="BJ199" s="11" t="n">
        <f aca="false">SUM(AI199:AT199)</f>
        <v>0</v>
      </c>
      <c r="BK199" s="11" t="n">
        <f aca="false">SUM(AU199:BF199)</f>
        <v>0</v>
      </c>
      <c r="BL199" s="12" t="n">
        <f aca="false">SUM(E199:BF199)</f>
        <v>0</v>
      </c>
    </row>
    <row r="200" customFormat="false" ht="15" hidden="false" customHeight="false" outlineLevel="0" collapsed="false">
      <c r="A200" s="9"/>
      <c r="B200" s="15"/>
      <c r="C200" s="15"/>
      <c r="D200" s="15"/>
      <c r="E200" s="11" t="n">
        <f aca="false">IF($A200="",0,SUMIFS(tblAuftraege[Ausgaben],tblAuftraege[Datum Ausgaben],"&gt;="&amp;E$5,tblAuftraege[Datum Ausgaben],"&lt;"&amp;EDATE(E$5,1),tblAuftraege[Kostenstelle],$A200))</f>
        <v>0</v>
      </c>
      <c r="F200" s="11" t="n">
        <f aca="false">IF($A200="",0,SUMIFS(tblAuftraege[Ausgaben],tblAuftraege[Datum Ausgaben],"&gt;="&amp;F$5,tblAuftraege[Datum Ausgaben],"&lt;"&amp;EDATE(F$5,1),tblAuftraege[Kostenstelle],$A200))</f>
        <v>0</v>
      </c>
      <c r="G200" s="11" t="n">
        <f aca="false">IF($A200="",0,SUMIFS(tblAuftraege[Ausgaben],tblAuftraege[Datum Ausgaben],"&gt;="&amp;G$5,tblAuftraege[Datum Ausgaben],"&lt;"&amp;EDATE(G$5,1),tblAuftraege[Kostenstelle],$A200))</f>
        <v>0</v>
      </c>
      <c r="H200" s="11" t="n">
        <f aca="false">IF($A200="",0,SUMIFS(tblAuftraege[Ausgaben],tblAuftraege[Datum Ausgaben],"&gt;="&amp;H$5,tblAuftraege[Datum Ausgaben],"&lt;"&amp;EDATE(H$5,1),tblAuftraege[Kostenstelle],$A200))</f>
        <v>0</v>
      </c>
      <c r="I200" s="11" t="n">
        <f aca="false">IF($A200="",0,SUMIFS(tblAuftraege[Ausgaben],tblAuftraege[Datum Ausgaben],"&gt;="&amp;I$5,tblAuftraege[Datum Ausgaben],"&lt;"&amp;EDATE(I$5,1),tblAuftraege[Kostenstelle],$A200))</f>
        <v>0</v>
      </c>
      <c r="J200" s="11" t="n">
        <f aca="false">IF($A200="",0,SUMIFS(tblAuftraege[Ausgaben],tblAuftraege[Datum Ausgaben],"&gt;="&amp;J$5,tblAuftraege[Datum Ausgaben],"&lt;"&amp;EDATE(J$5,1),tblAuftraege[Kostenstelle],$A200))</f>
        <v>0</v>
      </c>
      <c r="K200" s="11" t="n">
        <f aca="false">IF($A200="",0,SUMIFS(tblAuftraege[Ausgaben],tblAuftraege[Datum Ausgaben],"&gt;="&amp;K$5,tblAuftraege[Datum Ausgaben],"&lt;"&amp;EDATE(K$5,1),tblAuftraege[Kostenstelle],$A200))</f>
        <v>0</v>
      </c>
      <c r="L200" s="11" t="n">
        <f aca="false">IF($A200="",0,SUMIFS(tblAuftraege[Ausgaben],tblAuftraege[Datum Ausgaben],"&gt;="&amp;L$5,tblAuftraege[Datum Ausgaben],"&lt;"&amp;EDATE(L$5,1),tblAuftraege[Kostenstelle],$A200))</f>
        <v>0</v>
      </c>
      <c r="M200" s="11" t="n">
        <f aca="false">IF($A200="",0,SUMIFS(tblAuftraege[Ausgaben],tblAuftraege[Datum Ausgaben],"&gt;="&amp;M$5,tblAuftraege[Datum Ausgaben],"&lt;"&amp;EDATE(M$5,1),tblAuftraege[Kostenstelle],$A200))</f>
        <v>0</v>
      </c>
      <c r="N200" s="11" t="n">
        <f aca="false">IF($A200="",0,SUMIFS(tblAuftraege[Ausgaben],tblAuftraege[Datum Ausgaben],"&gt;="&amp;N$5,tblAuftraege[Datum Ausgaben],"&lt;"&amp;EDATE(N$5,1),tblAuftraege[Kostenstelle],$A200))</f>
        <v>0</v>
      </c>
      <c r="O200" s="11" t="n">
        <f aca="false">IF($A200="",0,SUMIFS(tblAuftraege[Ausgaben],tblAuftraege[Datum Ausgaben],"&gt;="&amp;O$5,tblAuftraege[Datum Ausgaben],"&lt;"&amp;EDATE(O$5,1),tblAuftraege[Kostenstelle],$A200))</f>
        <v>0</v>
      </c>
      <c r="P200" s="11" t="n">
        <f aca="false">IF($A200="",0,SUMIFS(tblAuftraege[Ausgaben],tblAuftraege[Datum Ausgaben],"&gt;="&amp;P$5,tblAuftraege[Datum Ausgaben],"&lt;"&amp;EDATE(P$5,1),tblAuftraege[Kostenstelle],$A200))</f>
        <v>0</v>
      </c>
      <c r="Q200" s="11" t="n">
        <f aca="false">IF($A200="",0,SUMIFS(tblAuftraege[Ausgaben],tblAuftraege[Datum Ausgaben],"&gt;="&amp;Q$5,tblAuftraege[Datum Ausgaben],"&lt;"&amp;EDATE(Q$5,1),tblAuftraege[Kostenstelle],$A200))</f>
        <v>0</v>
      </c>
      <c r="R200" s="11" t="n">
        <f aca="false">IF($A200="",0,SUMIFS(tblAuftraege[Ausgaben],tblAuftraege[Datum Ausgaben],"&gt;="&amp;R$5,tblAuftraege[Datum Ausgaben],"&lt;"&amp;EDATE(R$5,1),tblAuftraege[Kostenstelle],$A200))</f>
        <v>0</v>
      </c>
      <c r="S200" s="11" t="n">
        <f aca="false">IF($A200="",0,SUMIFS(tblAuftraege[Ausgaben],tblAuftraege[Datum Ausgaben],"&gt;="&amp;S$5,tblAuftraege[Datum Ausgaben],"&lt;"&amp;EDATE(S$5,1),tblAuftraege[Kostenstelle],$A200))</f>
        <v>0</v>
      </c>
      <c r="T200" s="11" t="n">
        <f aca="false">IF($A200="",0,SUMIFS(tblAuftraege[Ausgaben],tblAuftraege[Datum Ausgaben],"&gt;="&amp;T$5,tblAuftraege[Datum Ausgaben],"&lt;"&amp;EDATE(T$5,1),tblAuftraege[Kostenstelle],$A200))</f>
        <v>0</v>
      </c>
      <c r="U200" s="11" t="n">
        <f aca="false">IF($A200="",0,SUMIFS(tblAuftraege[Ausgaben],tblAuftraege[Datum Ausgaben],"&gt;="&amp;U$5,tblAuftraege[Datum Ausgaben],"&lt;"&amp;EDATE(U$5,1),tblAuftraege[Kostenstelle],$A200))</f>
        <v>0</v>
      </c>
      <c r="V200" s="11" t="n">
        <f aca="false">IF($A200="",0,SUMIFS(tblAuftraege[Ausgaben],tblAuftraege[Datum Ausgaben],"&gt;="&amp;V$5,tblAuftraege[Datum Ausgaben],"&lt;"&amp;EDATE(V$5,1),tblAuftraege[Kostenstelle],$A200))</f>
        <v>0</v>
      </c>
      <c r="W200" s="11" t="n">
        <f aca="false">IF($A200="",0,SUMIFS(tblAuftraege[Ausgaben],tblAuftraege[Datum Ausgaben],"&gt;="&amp;W$5,tblAuftraege[Datum Ausgaben],"&lt;"&amp;EDATE(W$5,1),tblAuftraege[Kostenstelle],$A200))</f>
        <v>0</v>
      </c>
      <c r="X200" s="11" t="n">
        <f aca="false">IF($A200="",0,SUMIFS(tblAuftraege[Ausgaben],tblAuftraege[Datum Ausgaben],"&gt;="&amp;X$5,tblAuftraege[Datum Ausgaben],"&lt;"&amp;EDATE(X$5,1),tblAuftraege[Kostenstelle],$A200))</f>
        <v>0</v>
      </c>
      <c r="Y200" s="11" t="n">
        <f aca="false">IF($A200="",0,SUMIFS(tblAuftraege[Ausgaben],tblAuftraege[Datum Ausgaben],"&gt;="&amp;Y$5,tblAuftraege[Datum Ausgaben],"&lt;"&amp;EDATE(Y$5,1),tblAuftraege[Kostenstelle],$A200))</f>
        <v>0</v>
      </c>
      <c r="Z200" s="11" t="n">
        <f aca="false">IF($A200="",0,SUMIFS(tblAuftraege[Ausgaben],tblAuftraege[Datum Ausgaben],"&gt;="&amp;Z$5,tblAuftraege[Datum Ausgaben],"&lt;"&amp;EDATE(Z$5,1),tblAuftraege[Kostenstelle],$A200))</f>
        <v>0</v>
      </c>
      <c r="AA200" s="11" t="n">
        <f aca="false">IF($A200="",0,SUMIFS(tblAuftraege[Ausgaben],tblAuftraege[Datum Ausgaben],"&gt;="&amp;AA$5,tblAuftraege[Datum Ausgaben],"&lt;"&amp;EDATE(AA$5,1),tblAuftraege[Kostenstelle],$A200))</f>
        <v>0</v>
      </c>
      <c r="AB200" s="11" t="n">
        <f aca="false">IF($A200="",0,SUMIFS(tblAuftraege[Ausgaben],tblAuftraege[Datum Ausgaben],"&gt;="&amp;AB$5,tblAuftraege[Datum Ausgaben],"&lt;"&amp;EDATE(AB$5,1),tblAuftraege[Kostenstelle],$A200))</f>
        <v>0</v>
      </c>
      <c r="AC200" s="11" t="n">
        <f aca="false">IF($A200="",0,SUMIFS(tblAuftraege[Ausgaben],tblAuftraege[Datum Ausgaben],"&gt;="&amp;AC$5,tblAuftraege[Datum Ausgaben],"&lt;"&amp;EDATE(AC$5,1),tblAuftraege[Kostenstelle],$A200))</f>
        <v>0</v>
      </c>
      <c r="AD200" s="11" t="n">
        <f aca="false">IF($A200="",0,SUMIFS(tblAuftraege[Ausgaben],tblAuftraege[Datum Ausgaben],"&gt;="&amp;AD$5,tblAuftraege[Datum Ausgaben],"&lt;"&amp;EDATE(AD$5,1),tblAuftraege[Kostenstelle],$A200))</f>
        <v>0</v>
      </c>
      <c r="AE200" s="11" t="n">
        <f aca="false">IF($A200="",0,SUMIFS(tblAuftraege[Ausgaben],tblAuftraege[Datum Ausgaben],"&gt;="&amp;AE$5,tblAuftraege[Datum Ausgaben],"&lt;"&amp;EDATE(AE$5,1),tblAuftraege[Kostenstelle],$A200))</f>
        <v>0</v>
      </c>
      <c r="AF200" s="11" t="n">
        <f aca="false">IF($A200="",0,SUMIFS(tblAuftraege[Ausgaben],tblAuftraege[Datum Ausgaben],"&gt;="&amp;AF$5,tblAuftraege[Datum Ausgaben],"&lt;"&amp;EDATE(AF$5,1),tblAuftraege[Kostenstelle],$A200))</f>
        <v>0</v>
      </c>
      <c r="AG200" s="11" t="n">
        <f aca="false">IF($A200="",0,SUMIFS(tblAuftraege[Ausgaben],tblAuftraege[Datum Ausgaben],"&gt;="&amp;AG$5,tblAuftraege[Datum Ausgaben],"&lt;"&amp;EDATE(AG$5,1),tblAuftraege[Kostenstelle],$A200))</f>
        <v>0</v>
      </c>
      <c r="AH200" s="11" t="n">
        <f aca="false">IF($A200="",0,SUMIFS(tblAuftraege[Ausgaben],tblAuftraege[Datum Ausgaben],"&gt;="&amp;AH$5,tblAuftraege[Datum Ausgaben],"&lt;"&amp;EDATE(AH$5,1),tblAuftraege[Kostenstelle],$A200))</f>
        <v>0</v>
      </c>
      <c r="AI200" s="11" t="n">
        <f aca="false">IF($A200="",0,SUMIFS(tblAuftraege[Ausgaben],tblAuftraege[Datum Ausgaben],"&gt;="&amp;AI$5,tblAuftraege[Datum Ausgaben],"&lt;"&amp;EDATE(AI$5,1),tblAuftraege[Kostenstelle],$A200))</f>
        <v>0</v>
      </c>
      <c r="AJ200" s="11" t="n">
        <f aca="false">IF($A200="",0,SUMIFS(tblAuftraege[Ausgaben],tblAuftraege[Datum Ausgaben],"&gt;="&amp;AJ$5,tblAuftraege[Datum Ausgaben],"&lt;"&amp;EDATE(AJ$5,1),tblAuftraege[Kostenstelle],$A200))</f>
        <v>0</v>
      </c>
      <c r="AK200" s="11" t="n">
        <f aca="false">IF($A200="",0,SUMIFS(tblAuftraege[Ausgaben],tblAuftraege[Datum Ausgaben],"&gt;="&amp;AK$5,tblAuftraege[Datum Ausgaben],"&lt;"&amp;EDATE(AK$5,1),tblAuftraege[Kostenstelle],$A200))</f>
        <v>0</v>
      </c>
      <c r="AL200" s="11" t="n">
        <f aca="false">IF($A200="",0,SUMIFS(tblAuftraege[Ausgaben],tblAuftraege[Datum Ausgaben],"&gt;="&amp;AL$5,tblAuftraege[Datum Ausgaben],"&lt;"&amp;EDATE(AL$5,1),tblAuftraege[Kostenstelle],$A200))</f>
        <v>0</v>
      </c>
      <c r="AM200" s="11" t="n">
        <f aca="false">IF($A200="",0,SUMIFS(tblAuftraege[Ausgaben],tblAuftraege[Datum Ausgaben],"&gt;="&amp;AM$5,tblAuftraege[Datum Ausgaben],"&lt;"&amp;EDATE(AM$5,1),tblAuftraege[Kostenstelle],$A200))</f>
        <v>0</v>
      </c>
      <c r="AN200" s="11" t="n">
        <f aca="false">IF($A200="",0,SUMIFS(tblAuftraege[Ausgaben],tblAuftraege[Datum Ausgaben],"&gt;="&amp;AN$5,tblAuftraege[Datum Ausgaben],"&lt;"&amp;EDATE(AN$5,1),tblAuftraege[Kostenstelle],$A200))</f>
        <v>0</v>
      </c>
      <c r="AO200" s="11" t="n">
        <f aca="false">IF($A200="",0,SUMIFS(tblAuftraege[Ausgaben],tblAuftraege[Datum Ausgaben],"&gt;="&amp;AO$5,tblAuftraege[Datum Ausgaben],"&lt;"&amp;EDATE(AO$5,1),tblAuftraege[Kostenstelle],$A200))</f>
        <v>0</v>
      </c>
      <c r="AP200" s="11" t="n">
        <f aca="false">IF($A200="",0,SUMIFS(tblAuftraege[Ausgaben],tblAuftraege[Datum Ausgaben],"&gt;="&amp;AP$5,tblAuftraege[Datum Ausgaben],"&lt;"&amp;EDATE(AP$5,1),tblAuftraege[Kostenstelle],$A200))</f>
        <v>0</v>
      </c>
      <c r="AQ200" s="11" t="n">
        <f aca="false">IF($A200="",0,SUMIFS(tblAuftraege[Ausgaben],tblAuftraege[Datum Ausgaben],"&gt;="&amp;AQ$5,tblAuftraege[Datum Ausgaben],"&lt;"&amp;EDATE(AQ$5,1),tblAuftraege[Kostenstelle],$A200))</f>
        <v>0</v>
      </c>
      <c r="AR200" s="11" t="n">
        <f aca="false">IF($A200="",0,SUMIFS(tblAuftraege[Ausgaben],tblAuftraege[Datum Ausgaben],"&gt;="&amp;AR$5,tblAuftraege[Datum Ausgaben],"&lt;"&amp;EDATE(AR$5,1),tblAuftraege[Kostenstelle],$A200))</f>
        <v>0</v>
      </c>
      <c r="AS200" s="11" t="n">
        <f aca="false">IF($A200="",0,SUMIFS(tblAuftraege[Ausgaben],tblAuftraege[Datum Ausgaben],"&gt;="&amp;AS$5,tblAuftraege[Datum Ausgaben],"&lt;"&amp;EDATE(AS$5,1),tblAuftraege[Kostenstelle],$A200))</f>
        <v>0</v>
      </c>
      <c r="AT200" s="11" t="n">
        <f aca="false">IF($A200="",0,SUMIFS(tblAuftraege[Ausgaben],tblAuftraege[Datum Ausgaben],"&gt;="&amp;AT$5,tblAuftraege[Datum Ausgaben],"&lt;"&amp;EDATE(AT$5,1),tblAuftraege[Kostenstelle],$A200))</f>
        <v>0</v>
      </c>
      <c r="AU200" s="11" t="n">
        <f aca="false">IF($A200="",0,SUMIFS(tblAuftraege[Ausgaben],tblAuftraege[Datum Ausgaben],"&gt;="&amp;AU$5,tblAuftraege[Datum Ausgaben],"&lt;"&amp;EDATE(AU$5,1),tblAuftraege[Kostenstelle],$A200))</f>
        <v>0</v>
      </c>
      <c r="AV200" s="11" t="n">
        <f aca="false">IF($A200="",0,SUMIFS(tblAuftraege[Ausgaben],tblAuftraege[Datum Ausgaben],"&gt;="&amp;AV$5,tblAuftraege[Datum Ausgaben],"&lt;"&amp;EDATE(AV$5,1),tblAuftraege[Kostenstelle],$A200))</f>
        <v>0</v>
      </c>
      <c r="AW200" s="11" t="n">
        <f aca="false">IF($A200="",0,SUMIFS(tblAuftraege[Ausgaben],tblAuftraege[Datum Ausgaben],"&gt;="&amp;AW$5,tblAuftraege[Datum Ausgaben],"&lt;"&amp;EDATE(AW$5,1),tblAuftraege[Kostenstelle],$A200))</f>
        <v>0</v>
      </c>
      <c r="AX200" s="11" t="n">
        <f aca="false">IF($A200="",0,SUMIFS(tblAuftraege[Ausgaben],tblAuftraege[Datum Ausgaben],"&gt;="&amp;AX$5,tblAuftraege[Datum Ausgaben],"&lt;"&amp;EDATE(AX$5,1),tblAuftraege[Kostenstelle],$A200))</f>
        <v>0</v>
      </c>
      <c r="AY200" s="11" t="n">
        <f aca="false">IF($A200="",0,SUMIFS(tblAuftraege[Ausgaben],tblAuftraege[Datum Ausgaben],"&gt;="&amp;AY$5,tblAuftraege[Datum Ausgaben],"&lt;"&amp;EDATE(AY$5,1),tblAuftraege[Kostenstelle],$A200))</f>
        <v>0</v>
      </c>
      <c r="AZ200" s="11" t="n">
        <f aca="false">IF($A200="",0,SUMIFS(tblAuftraege[Ausgaben],tblAuftraege[Datum Ausgaben],"&gt;="&amp;AZ$5,tblAuftraege[Datum Ausgaben],"&lt;"&amp;EDATE(AZ$5,1),tblAuftraege[Kostenstelle],$A200))</f>
        <v>0</v>
      </c>
      <c r="BA200" s="11" t="n">
        <f aca="false">IF($A200="",0,SUMIFS(tblAuftraege[Ausgaben],tblAuftraege[Datum Ausgaben],"&gt;="&amp;BA$5,tblAuftraege[Datum Ausgaben],"&lt;"&amp;EDATE(BA$5,1),tblAuftraege[Kostenstelle],$A200))</f>
        <v>0</v>
      </c>
      <c r="BB200" s="11" t="n">
        <f aca="false">IF($A200="",0,SUMIFS(tblAuftraege[Ausgaben],tblAuftraege[Datum Ausgaben],"&gt;="&amp;BB$5,tblAuftraege[Datum Ausgaben],"&lt;"&amp;EDATE(BB$5,1),tblAuftraege[Kostenstelle],$A200))</f>
        <v>0</v>
      </c>
      <c r="BC200" s="11" t="n">
        <f aca="false">IF($A200="",0,SUMIFS(tblAuftraege[Ausgaben],tblAuftraege[Datum Ausgaben],"&gt;="&amp;BC$5,tblAuftraege[Datum Ausgaben],"&lt;"&amp;EDATE(BC$5,1),tblAuftraege[Kostenstelle],$A200))</f>
        <v>0</v>
      </c>
      <c r="BD200" s="11" t="n">
        <f aca="false">IF($A200="",0,SUMIFS(tblAuftraege[Ausgaben],tblAuftraege[Datum Ausgaben],"&gt;="&amp;BD$5,tblAuftraege[Datum Ausgaben],"&lt;"&amp;EDATE(BD$5,1),tblAuftraege[Kostenstelle],$A200))</f>
        <v>0</v>
      </c>
      <c r="BE200" s="11" t="n">
        <f aca="false">IF($A200="",0,SUMIFS(tblAuftraege[Ausgaben],tblAuftraege[Datum Ausgaben],"&gt;="&amp;BE$5,tblAuftraege[Datum Ausgaben],"&lt;"&amp;EDATE(BE$5,1),tblAuftraege[Kostenstelle],$A200))</f>
        <v>0</v>
      </c>
      <c r="BF200" s="11" t="n">
        <f aca="false">IF($A200="",0,SUMIFS(tblAuftraege[Ausgaben],tblAuftraege[Datum Ausgaben],"&gt;="&amp;BF$5,tblAuftraege[Datum Ausgaben],"&lt;"&amp;EDATE(BF$5,1),tblAuftraege[Kostenstelle],$A200))</f>
        <v>0</v>
      </c>
      <c r="BG200" s="11" t="n">
        <f aca="false">SUM(E200:J200)</f>
        <v>0</v>
      </c>
      <c r="BH200" s="11" t="n">
        <f aca="false">SUM(K200:V200)</f>
        <v>0</v>
      </c>
      <c r="BI200" s="11" t="n">
        <f aca="false">SUM(W200:AH200)</f>
        <v>0</v>
      </c>
      <c r="BJ200" s="11" t="n">
        <f aca="false">SUM(AI200:AT200)</f>
        <v>0</v>
      </c>
      <c r="BK200" s="11" t="n">
        <f aca="false">SUM(AU200:BF200)</f>
        <v>0</v>
      </c>
      <c r="BL200" s="12" t="n">
        <f aca="false">SUM(E200:BF200)</f>
        <v>0</v>
      </c>
    </row>
    <row r="201" customFormat="false" ht="15" hidden="false" customHeight="false" outlineLevel="0" collapsed="false">
      <c r="A201" s="9"/>
      <c r="B201" s="15"/>
      <c r="C201" s="15"/>
      <c r="D201" s="15"/>
      <c r="E201" s="11" t="n">
        <f aca="false">IF($A201="",0,SUMIFS(tblAuftraege[Ausgaben],tblAuftraege[Datum Ausgaben],"&gt;="&amp;E$5,tblAuftraege[Datum Ausgaben],"&lt;"&amp;EDATE(E$5,1),tblAuftraege[Kostenstelle],$A201))</f>
        <v>0</v>
      </c>
      <c r="F201" s="11" t="n">
        <f aca="false">IF($A201="",0,SUMIFS(tblAuftraege[Ausgaben],tblAuftraege[Datum Ausgaben],"&gt;="&amp;F$5,tblAuftraege[Datum Ausgaben],"&lt;"&amp;EDATE(F$5,1),tblAuftraege[Kostenstelle],$A201))</f>
        <v>0</v>
      </c>
      <c r="G201" s="11" t="n">
        <f aca="false">IF($A201="",0,SUMIFS(tblAuftraege[Ausgaben],tblAuftraege[Datum Ausgaben],"&gt;="&amp;G$5,tblAuftraege[Datum Ausgaben],"&lt;"&amp;EDATE(G$5,1),tblAuftraege[Kostenstelle],$A201))</f>
        <v>0</v>
      </c>
      <c r="H201" s="11" t="n">
        <f aca="false">IF($A201="",0,SUMIFS(tblAuftraege[Ausgaben],tblAuftraege[Datum Ausgaben],"&gt;="&amp;H$5,tblAuftraege[Datum Ausgaben],"&lt;"&amp;EDATE(H$5,1),tblAuftraege[Kostenstelle],$A201))</f>
        <v>0</v>
      </c>
      <c r="I201" s="11" t="n">
        <f aca="false">IF($A201="",0,SUMIFS(tblAuftraege[Ausgaben],tblAuftraege[Datum Ausgaben],"&gt;="&amp;I$5,tblAuftraege[Datum Ausgaben],"&lt;"&amp;EDATE(I$5,1),tblAuftraege[Kostenstelle],$A201))</f>
        <v>0</v>
      </c>
      <c r="J201" s="11" t="n">
        <f aca="false">IF($A201="",0,SUMIFS(tblAuftraege[Ausgaben],tblAuftraege[Datum Ausgaben],"&gt;="&amp;J$5,tblAuftraege[Datum Ausgaben],"&lt;"&amp;EDATE(J$5,1),tblAuftraege[Kostenstelle],$A201))</f>
        <v>0</v>
      </c>
      <c r="K201" s="11" t="n">
        <f aca="false">IF($A201="",0,SUMIFS(tblAuftraege[Ausgaben],tblAuftraege[Datum Ausgaben],"&gt;="&amp;K$5,tblAuftraege[Datum Ausgaben],"&lt;"&amp;EDATE(K$5,1),tblAuftraege[Kostenstelle],$A201))</f>
        <v>0</v>
      </c>
      <c r="L201" s="11" t="n">
        <f aca="false">IF($A201="",0,SUMIFS(tblAuftraege[Ausgaben],tblAuftraege[Datum Ausgaben],"&gt;="&amp;L$5,tblAuftraege[Datum Ausgaben],"&lt;"&amp;EDATE(L$5,1),tblAuftraege[Kostenstelle],$A201))</f>
        <v>0</v>
      </c>
      <c r="M201" s="11" t="n">
        <f aca="false">IF($A201="",0,SUMIFS(tblAuftraege[Ausgaben],tblAuftraege[Datum Ausgaben],"&gt;="&amp;M$5,tblAuftraege[Datum Ausgaben],"&lt;"&amp;EDATE(M$5,1),tblAuftraege[Kostenstelle],$A201))</f>
        <v>0</v>
      </c>
      <c r="N201" s="11" t="n">
        <f aca="false">IF($A201="",0,SUMIFS(tblAuftraege[Ausgaben],tblAuftraege[Datum Ausgaben],"&gt;="&amp;N$5,tblAuftraege[Datum Ausgaben],"&lt;"&amp;EDATE(N$5,1),tblAuftraege[Kostenstelle],$A201))</f>
        <v>0</v>
      </c>
      <c r="O201" s="11" t="n">
        <f aca="false">IF($A201="",0,SUMIFS(tblAuftraege[Ausgaben],tblAuftraege[Datum Ausgaben],"&gt;="&amp;O$5,tblAuftraege[Datum Ausgaben],"&lt;"&amp;EDATE(O$5,1),tblAuftraege[Kostenstelle],$A201))</f>
        <v>0</v>
      </c>
      <c r="P201" s="11" t="n">
        <f aca="false">IF($A201="",0,SUMIFS(tblAuftraege[Ausgaben],tblAuftraege[Datum Ausgaben],"&gt;="&amp;P$5,tblAuftraege[Datum Ausgaben],"&lt;"&amp;EDATE(P$5,1),tblAuftraege[Kostenstelle],$A201))</f>
        <v>0</v>
      </c>
      <c r="Q201" s="11" t="n">
        <f aca="false">IF($A201="",0,SUMIFS(tblAuftraege[Ausgaben],tblAuftraege[Datum Ausgaben],"&gt;="&amp;Q$5,tblAuftraege[Datum Ausgaben],"&lt;"&amp;EDATE(Q$5,1),tblAuftraege[Kostenstelle],$A201))</f>
        <v>0</v>
      </c>
      <c r="R201" s="11" t="n">
        <f aca="false">IF($A201="",0,SUMIFS(tblAuftraege[Ausgaben],tblAuftraege[Datum Ausgaben],"&gt;="&amp;R$5,tblAuftraege[Datum Ausgaben],"&lt;"&amp;EDATE(R$5,1),tblAuftraege[Kostenstelle],$A201))</f>
        <v>0</v>
      </c>
      <c r="S201" s="11" t="n">
        <f aca="false">IF($A201="",0,SUMIFS(tblAuftraege[Ausgaben],tblAuftraege[Datum Ausgaben],"&gt;="&amp;S$5,tblAuftraege[Datum Ausgaben],"&lt;"&amp;EDATE(S$5,1),tblAuftraege[Kostenstelle],$A201))</f>
        <v>0</v>
      </c>
      <c r="T201" s="11" t="n">
        <f aca="false">IF($A201="",0,SUMIFS(tblAuftraege[Ausgaben],tblAuftraege[Datum Ausgaben],"&gt;="&amp;T$5,tblAuftraege[Datum Ausgaben],"&lt;"&amp;EDATE(T$5,1),tblAuftraege[Kostenstelle],$A201))</f>
        <v>0</v>
      </c>
      <c r="U201" s="11" t="n">
        <f aca="false">IF($A201="",0,SUMIFS(tblAuftraege[Ausgaben],tblAuftraege[Datum Ausgaben],"&gt;="&amp;U$5,tblAuftraege[Datum Ausgaben],"&lt;"&amp;EDATE(U$5,1),tblAuftraege[Kostenstelle],$A201))</f>
        <v>0</v>
      </c>
      <c r="V201" s="11" t="n">
        <f aca="false">IF($A201="",0,SUMIFS(tblAuftraege[Ausgaben],tblAuftraege[Datum Ausgaben],"&gt;="&amp;V$5,tblAuftraege[Datum Ausgaben],"&lt;"&amp;EDATE(V$5,1),tblAuftraege[Kostenstelle],$A201))</f>
        <v>0</v>
      </c>
      <c r="W201" s="11" t="n">
        <f aca="false">IF($A201="",0,SUMIFS(tblAuftraege[Ausgaben],tblAuftraege[Datum Ausgaben],"&gt;="&amp;W$5,tblAuftraege[Datum Ausgaben],"&lt;"&amp;EDATE(W$5,1),tblAuftraege[Kostenstelle],$A201))</f>
        <v>0</v>
      </c>
      <c r="X201" s="11" t="n">
        <f aca="false">IF($A201="",0,SUMIFS(tblAuftraege[Ausgaben],tblAuftraege[Datum Ausgaben],"&gt;="&amp;X$5,tblAuftraege[Datum Ausgaben],"&lt;"&amp;EDATE(X$5,1),tblAuftraege[Kostenstelle],$A201))</f>
        <v>0</v>
      </c>
      <c r="Y201" s="11" t="n">
        <f aca="false">IF($A201="",0,SUMIFS(tblAuftraege[Ausgaben],tblAuftraege[Datum Ausgaben],"&gt;="&amp;Y$5,tblAuftraege[Datum Ausgaben],"&lt;"&amp;EDATE(Y$5,1),tblAuftraege[Kostenstelle],$A201))</f>
        <v>0</v>
      </c>
      <c r="Z201" s="11" t="n">
        <f aca="false">IF($A201="",0,SUMIFS(tblAuftraege[Ausgaben],tblAuftraege[Datum Ausgaben],"&gt;="&amp;Z$5,tblAuftraege[Datum Ausgaben],"&lt;"&amp;EDATE(Z$5,1),tblAuftraege[Kostenstelle],$A201))</f>
        <v>0</v>
      </c>
      <c r="AA201" s="11" t="n">
        <f aca="false">IF($A201="",0,SUMIFS(tblAuftraege[Ausgaben],tblAuftraege[Datum Ausgaben],"&gt;="&amp;AA$5,tblAuftraege[Datum Ausgaben],"&lt;"&amp;EDATE(AA$5,1),tblAuftraege[Kostenstelle],$A201))</f>
        <v>0</v>
      </c>
      <c r="AB201" s="11" t="n">
        <f aca="false">IF($A201="",0,SUMIFS(tblAuftraege[Ausgaben],tblAuftraege[Datum Ausgaben],"&gt;="&amp;AB$5,tblAuftraege[Datum Ausgaben],"&lt;"&amp;EDATE(AB$5,1),tblAuftraege[Kostenstelle],$A201))</f>
        <v>0</v>
      </c>
      <c r="AC201" s="11" t="n">
        <f aca="false">IF($A201="",0,SUMIFS(tblAuftraege[Ausgaben],tblAuftraege[Datum Ausgaben],"&gt;="&amp;AC$5,tblAuftraege[Datum Ausgaben],"&lt;"&amp;EDATE(AC$5,1),tblAuftraege[Kostenstelle],$A201))</f>
        <v>0</v>
      </c>
      <c r="AD201" s="11" t="n">
        <f aca="false">IF($A201="",0,SUMIFS(tblAuftraege[Ausgaben],tblAuftraege[Datum Ausgaben],"&gt;="&amp;AD$5,tblAuftraege[Datum Ausgaben],"&lt;"&amp;EDATE(AD$5,1),tblAuftraege[Kostenstelle],$A201))</f>
        <v>0</v>
      </c>
      <c r="AE201" s="11" t="n">
        <f aca="false">IF($A201="",0,SUMIFS(tblAuftraege[Ausgaben],tblAuftraege[Datum Ausgaben],"&gt;="&amp;AE$5,tblAuftraege[Datum Ausgaben],"&lt;"&amp;EDATE(AE$5,1),tblAuftraege[Kostenstelle],$A201))</f>
        <v>0</v>
      </c>
      <c r="AF201" s="11" t="n">
        <f aca="false">IF($A201="",0,SUMIFS(tblAuftraege[Ausgaben],tblAuftraege[Datum Ausgaben],"&gt;="&amp;AF$5,tblAuftraege[Datum Ausgaben],"&lt;"&amp;EDATE(AF$5,1),tblAuftraege[Kostenstelle],$A201))</f>
        <v>0</v>
      </c>
      <c r="AG201" s="11" t="n">
        <f aca="false">IF($A201="",0,SUMIFS(tblAuftraege[Ausgaben],tblAuftraege[Datum Ausgaben],"&gt;="&amp;AG$5,tblAuftraege[Datum Ausgaben],"&lt;"&amp;EDATE(AG$5,1),tblAuftraege[Kostenstelle],$A201))</f>
        <v>0</v>
      </c>
      <c r="AH201" s="11" t="n">
        <f aca="false">IF($A201="",0,SUMIFS(tblAuftraege[Ausgaben],tblAuftraege[Datum Ausgaben],"&gt;="&amp;AH$5,tblAuftraege[Datum Ausgaben],"&lt;"&amp;EDATE(AH$5,1),tblAuftraege[Kostenstelle],$A201))</f>
        <v>0</v>
      </c>
      <c r="AI201" s="11" t="n">
        <f aca="false">IF($A201="",0,SUMIFS(tblAuftraege[Ausgaben],tblAuftraege[Datum Ausgaben],"&gt;="&amp;AI$5,tblAuftraege[Datum Ausgaben],"&lt;"&amp;EDATE(AI$5,1),tblAuftraege[Kostenstelle],$A201))</f>
        <v>0</v>
      </c>
      <c r="AJ201" s="11" t="n">
        <f aca="false">IF($A201="",0,SUMIFS(tblAuftraege[Ausgaben],tblAuftraege[Datum Ausgaben],"&gt;="&amp;AJ$5,tblAuftraege[Datum Ausgaben],"&lt;"&amp;EDATE(AJ$5,1),tblAuftraege[Kostenstelle],$A201))</f>
        <v>0</v>
      </c>
      <c r="AK201" s="11" t="n">
        <f aca="false">IF($A201="",0,SUMIFS(tblAuftraege[Ausgaben],tblAuftraege[Datum Ausgaben],"&gt;="&amp;AK$5,tblAuftraege[Datum Ausgaben],"&lt;"&amp;EDATE(AK$5,1),tblAuftraege[Kostenstelle],$A201))</f>
        <v>0</v>
      </c>
      <c r="AL201" s="11" t="n">
        <f aca="false">IF($A201="",0,SUMIFS(tblAuftraege[Ausgaben],tblAuftraege[Datum Ausgaben],"&gt;="&amp;AL$5,tblAuftraege[Datum Ausgaben],"&lt;"&amp;EDATE(AL$5,1),tblAuftraege[Kostenstelle],$A201))</f>
        <v>0</v>
      </c>
      <c r="AM201" s="11" t="n">
        <f aca="false">IF($A201="",0,SUMIFS(tblAuftraege[Ausgaben],tblAuftraege[Datum Ausgaben],"&gt;="&amp;AM$5,tblAuftraege[Datum Ausgaben],"&lt;"&amp;EDATE(AM$5,1),tblAuftraege[Kostenstelle],$A201))</f>
        <v>0</v>
      </c>
      <c r="AN201" s="11" t="n">
        <f aca="false">IF($A201="",0,SUMIFS(tblAuftraege[Ausgaben],tblAuftraege[Datum Ausgaben],"&gt;="&amp;AN$5,tblAuftraege[Datum Ausgaben],"&lt;"&amp;EDATE(AN$5,1),tblAuftraege[Kostenstelle],$A201))</f>
        <v>0</v>
      </c>
      <c r="AO201" s="11" t="n">
        <f aca="false">IF($A201="",0,SUMIFS(tblAuftraege[Ausgaben],tblAuftraege[Datum Ausgaben],"&gt;="&amp;AO$5,tblAuftraege[Datum Ausgaben],"&lt;"&amp;EDATE(AO$5,1),tblAuftraege[Kostenstelle],$A201))</f>
        <v>0</v>
      </c>
      <c r="AP201" s="11" t="n">
        <f aca="false">IF($A201="",0,SUMIFS(tblAuftraege[Ausgaben],tblAuftraege[Datum Ausgaben],"&gt;="&amp;AP$5,tblAuftraege[Datum Ausgaben],"&lt;"&amp;EDATE(AP$5,1),tblAuftraege[Kostenstelle],$A201))</f>
        <v>0</v>
      </c>
      <c r="AQ201" s="11" t="n">
        <f aca="false">IF($A201="",0,SUMIFS(tblAuftraege[Ausgaben],tblAuftraege[Datum Ausgaben],"&gt;="&amp;AQ$5,tblAuftraege[Datum Ausgaben],"&lt;"&amp;EDATE(AQ$5,1),tblAuftraege[Kostenstelle],$A201))</f>
        <v>0</v>
      </c>
      <c r="AR201" s="11" t="n">
        <f aca="false">IF($A201="",0,SUMIFS(tblAuftraege[Ausgaben],tblAuftraege[Datum Ausgaben],"&gt;="&amp;AR$5,tblAuftraege[Datum Ausgaben],"&lt;"&amp;EDATE(AR$5,1),tblAuftraege[Kostenstelle],$A201))</f>
        <v>0</v>
      </c>
      <c r="AS201" s="11" t="n">
        <f aca="false">IF($A201="",0,SUMIFS(tblAuftraege[Ausgaben],tblAuftraege[Datum Ausgaben],"&gt;="&amp;AS$5,tblAuftraege[Datum Ausgaben],"&lt;"&amp;EDATE(AS$5,1),tblAuftraege[Kostenstelle],$A201))</f>
        <v>0</v>
      </c>
      <c r="AT201" s="11" t="n">
        <f aca="false">IF($A201="",0,SUMIFS(tblAuftraege[Ausgaben],tblAuftraege[Datum Ausgaben],"&gt;="&amp;AT$5,tblAuftraege[Datum Ausgaben],"&lt;"&amp;EDATE(AT$5,1),tblAuftraege[Kostenstelle],$A201))</f>
        <v>0</v>
      </c>
      <c r="AU201" s="11" t="n">
        <f aca="false">IF($A201="",0,SUMIFS(tblAuftraege[Ausgaben],tblAuftraege[Datum Ausgaben],"&gt;="&amp;AU$5,tblAuftraege[Datum Ausgaben],"&lt;"&amp;EDATE(AU$5,1),tblAuftraege[Kostenstelle],$A201))</f>
        <v>0</v>
      </c>
      <c r="AV201" s="11" t="n">
        <f aca="false">IF($A201="",0,SUMIFS(tblAuftraege[Ausgaben],tblAuftraege[Datum Ausgaben],"&gt;="&amp;AV$5,tblAuftraege[Datum Ausgaben],"&lt;"&amp;EDATE(AV$5,1),tblAuftraege[Kostenstelle],$A201))</f>
        <v>0</v>
      </c>
      <c r="AW201" s="11" t="n">
        <f aca="false">IF($A201="",0,SUMIFS(tblAuftraege[Ausgaben],tblAuftraege[Datum Ausgaben],"&gt;="&amp;AW$5,tblAuftraege[Datum Ausgaben],"&lt;"&amp;EDATE(AW$5,1),tblAuftraege[Kostenstelle],$A201))</f>
        <v>0</v>
      </c>
      <c r="AX201" s="11" t="n">
        <f aca="false">IF($A201="",0,SUMIFS(tblAuftraege[Ausgaben],tblAuftraege[Datum Ausgaben],"&gt;="&amp;AX$5,tblAuftraege[Datum Ausgaben],"&lt;"&amp;EDATE(AX$5,1),tblAuftraege[Kostenstelle],$A201))</f>
        <v>0</v>
      </c>
      <c r="AY201" s="11" t="n">
        <f aca="false">IF($A201="",0,SUMIFS(tblAuftraege[Ausgaben],tblAuftraege[Datum Ausgaben],"&gt;="&amp;AY$5,tblAuftraege[Datum Ausgaben],"&lt;"&amp;EDATE(AY$5,1),tblAuftraege[Kostenstelle],$A201))</f>
        <v>0</v>
      </c>
      <c r="AZ201" s="11" t="n">
        <f aca="false">IF($A201="",0,SUMIFS(tblAuftraege[Ausgaben],tblAuftraege[Datum Ausgaben],"&gt;="&amp;AZ$5,tblAuftraege[Datum Ausgaben],"&lt;"&amp;EDATE(AZ$5,1),tblAuftraege[Kostenstelle],$A201))</f>
        <v>0</v>
      </c>
      <c r="BA201" s="11" t="n">
        <f aca="false">IF($A201="",0,SUMIFS(tblAuftraege[Ausgaben],tblAuftraege[Datum Ausgaben],"&gt;="&amp;BA$5,tblAuftraege[Datum Ausgaben],"&lt;"&amp;EDATE(BA$5,1),tblAuftraege[Kostenstelle],$A201))</f>
        <v>0</v>
      </c>
      <c r="BB201" s="11" t="n">
        <f aca="false">IF($A201="",0,SUMIFS(tblAuftraege[Ausgaben],tblAuftraege[Datum Ausgaben],"&gt;="&amp;BB$5,tblAuftraege[Datum Ausgaben],"&lt;"&amp;EDATE(BB$5,1),tblAuftraege[Kostenstelle],$A201))</f>
        <v>0</v>
      </c>
      <c r="BC201" s="11" t="n">
        <f aca="false">IF($A201="",0,SUMIFS(tblAuftraege[Ausgaben],tblAuftraege[Datum Ausgaben],"&gt;="&amp;BC$5,tblAuftraege[Datum Ausgaben],"&lt;"&amp;EDATE(BC$5,1),tblAuftraege[Kostenstelle],$A201))</f>
        <v>0</v>
      </c>
      <c r="BD201" s="11" t="n">
        <f aca="false">IF($A201="",0,SUMIFS(tblAuftraege[Ausgaben],tblAuftraege[Datum Ausgaben],"&gt;="&amp;BD$5,tblAuftraege[Datum Ausgaben],"&lt;"&amp;EDATE(BD$5,1),tblAuftraege[Kostenstelle],$A201))</f>
        <v>0</v>
      </c>
      <c r="BE201" s="11" t="n">
        <f aca="false">IF($A201="",0,SUMIFS(tblAuftraege[Ausgaben],tblAuftraege[Datum Ausgaben],"&gt;="&amp;BE$5,tblAuftraege[Datum Ausgaben],"&lt;"&amp;EDATE(BE$5,1),tblAuftraege[Kostenstelle],$A201))</f>
        <v>0</v>
      </c>
      <c r="BF201" s="11" t="n">
        <f aca="false">IF($A201="",0,SUMIFS(tblAuftraege[Ausgaben],tblAuftraege[Datum Ausgaben],"&gt;="&amp;BF$5,tblAuftraege[Datum Ausgaben],"&lt;"&amp;EDATE(BF$5,1),tblAuftraege[Kostenstelle],$A201))</f>
        <v>0</v>
      </c>
      <c r="BG201" s="11" t="n">
        <f aca="false">SUM(E201:J201)</f>
        <v>0</v>
      </c>
      <c r="BH201" s="11" t="n">
        <f aca="false">SUM(K201:V201)</f>
        <v>0</v>
      </c>
      <c r="BI201" s="11" t="n">
        <f aca="false">SUM(W201:AH201)</f>
        <v>0</v>
      </c>
      <c r="BJ201" s="11" t="n">
        <f aca="false">SUM(AI201:AT201)</f>
        <v>0</v>
      </c>
      <c r="BK201" s="11" t="n">
        <f aca="false">SUM(AU201:BF201)</f>
        <v>0</v>
      </c>
      <c r="BL201" s="12" t="n">
        <f aca="false">SUM(E201:BF201)</f>
        <v>0</v>
      </c>
    </row>
    <row r="202" customFormat="false" ht="15" hidden="false" customHeight="false" outlineLevel="0" collapsed="false">
      <c r="A202" s="9"/>
      <c r="B202" s="15"/>
      <c r="C202" s="15"/>
      <c r="D202" s="15"/>
      <c r="E202" s="11" t="n">
        <f aca="false">IF($A202="",0,SUMIFS(tblAuftraege[Ausgaben],tblAuftraege[Datum Ausgaben],"&gt;="&amp;E$5,tblAuftraege[Datum Ausgaben],"&lt;"&amp;EDATE(E$5,1),tblAuftraege[Kostenstelle],$A202))</f>
        <v>0</v>
      </c>
      <c r="F202" s="11" t="n">
        <f aca="false">IF($A202="",0,SUMIFS(tblAuftraege[Ausgaben],tblAuftraege[Datum Ausgaben],"&gt;="&amp;F$5,tblAuftraege[Datum Ausgaben],"&lt;"&amp;EDATE(F$5,1),tblAuftraege[Kostenstelle],$A202))</f>
        <v>0</v>
      </c>
      <c r="G202" s="11" t="n">
        <f aca="false">IF($A202="",0,SUMIFS(tblAuftraege[Ausgaben],tblAuftraege[Datum Ausgaben],"&gt;="&amp;G$5,tblAuftraege[Datum Ausgaben],"&lt;"&amp;EDATE(G$5,1),tblAuftraege[Kostenstelle],$A202))</f>
        <v>0</v>
      </c>
      <c r="H202" s="11" t="n">
        <f aca="false">IF($A202="",0,SUMIFS(tblAuftraege[Ausgaben],tblAuftraege[Datum Ausgaben],"&gt;="&amp;H$5,tblAuftraege[Datum Ausgaben],"&lt;"&amp;EDATE(H$5,1),tblAuftraege[Kostenstelle],$A202))</f>
        <v>0</v>
      </c>
      <c r="I202" s="11" t="n">
        <f aca="false">IF($A202="",0,SUMIFS(tblAuftraege[Ausgaben],tblAuftraege[Datum Ausgaben],"&gt;="&amp;I$5,tblAuftraege[Datum Ausgaben],"&lt;"&amp;EDATE(I$5,1),tblAuftraege[Kostenstelle],$A202))</f>
        <v>0</v>
      </c>
      <c r="J202" s="11" t="n">
        <f aca="false">IF($A202="",0,SUMIFS(tblAuftraege[Ausgaben],tblAuftraege[Datum Ausgaben],"&gt;="&amp;J$5,tblAuftraege[Datum Ausgaben],"&lt;"&amp;EDATE(J$5,1),tblAuftraege[Kostenstelle],$A202))</f>
        <v>0</v>
      </c>
      <c r="K202" s="11" t="n">
        <f aca="false">IF($A202="",0,SUMIFS(tblAuftraege[Ausgaben],tblAuftraege[Datum Ausgaben],"&gt;="&amp;K$5,tblAuftraege[Datum Ausgaben],"&lt;"&amp;EDATE(K$5,1),tblAuftraege[Kostenstelle],$A202))</f>
        <v>0</v>
      </c>
      <c r="L202" s="11" t="n">
        <f aca="false">IF($A202="",0,SUMIFS(tblAuftraege[Ausgaben],tblAuftraege[Datum Ausgaben],"&gt;="&amp;L$5,tblAuftraege[Datum Ausgaben],"&lt;"&amp;EDATE(L$5,1),tblAuftraege[Kostenstelle],$A202))</f>
        <v>0</v>
      </c>
      <c r="M202" s="11" t="n">
        <f aca="false">IF($A202="",0,SUMIFS(tblAuftraege[Ausgaben],tblAuftraege[Datum Ausgaben],"&gt;="&amp;M$5,tblAuftraege[Datum Ausgaben],"&lt;"&amp;EDATE(M$5,1),tblAuftraege[Kostenstelle],$A202))</f>
        <v>0</v>
      </c>
      <c r="N202" s="11" t="n">
        <f aca="false">IF($A202="",0,SUMIFS(tblAuftraege[Ausgaben],tblAuftraege[Datum Ausgaben],"&gt;="&amp;N$5,tblAuftraege[Datum Ausgaben],"&lt;"&amp;EDATE(N$5,1),tblAuftraege[Kostenstelle],$A202))</f>
        <v>0</v>
      </c>
      <c r="O202" s="11" t="n">
        <f aca="false">IF($A202="",0,SUMIFS(tblAuftraege[Ausgaben],tblAuftraege[Datum Ausgaben],"&gt;="&amp;O$5,tblAuftraege[Datum Ausgaben],"&lt;"&amp;EDATE(O$5,1),tblAuftraege[Kostenstelle],$A202))</f>
        <v>0</v>
      </c>
      <c r="P202" s="11" t="n">
        <f aca="false">IF($A202="",0,SUMIFS(tblAuftraege[Ausgaben],tblAuftraege[Datum Ausgaben],"&gt;="&amp;P$5,tblAuftraege[Datum Ausgaben],"&lt;"&amp;EDATE(P$5,1),tblAuftraege[Kostenstelle],$A202))</f>
        <v>0</v>
      </c>
      <c r="Q202" s="11" t="n">
        <f aca="false">IF($A202="",0,SUMIFS(tblAuftraege[Ausgaben],tblAuftraege[Datum Ausgaben],"&gt;="&amp;Q$5,tblAuftraege[Datum Ausgaben],"&lt;"&amp;EDATE(Q$5,1),tblAuftraege[Kostenstelle],$A202))</f>
        <v>0</v>
      </c>
      <c r="R202" s="11" t="n">
        <f aca="false">IF($A202="",0,SUMIFS(tblAuftraege[Ausgaben],tblAuftraege[Datum Ausgaben],"&gt;="&amp;R$5,tblAuftraege[Datum Ausgaben],"&lt;"&amp;EDATE(R$5,1),tblAuftraege[Kostenstelle],$A202))</f>
        <v>0</v>
      </c>
      <c r="S202" s="11" t="n">
        <f aca="false">IF($A202="",0,SUMIFS(tblAuftraege[Ausgaben],tblAuftraege[Datum Ausgaben],"&gt;="&amp;S$5,tblAuftraege[Datum Ausgaben],"&lt;"&amp;EDATE(S$5,1),tblAuftraege[Kostenstelle],$A202))</f>
        <v>0</v>
      </c>
      <c r="T202" s="11" t="n">
        <f aca="false">IF($A202="",0,SUMIFS(tblAuftraege[Ausgaben],tblAuftraege[Datum Ausgaben],"&gt;="&amp;T$5,tblAuftraege[Datum Ausgaben],"&lt;"&amp;EDATE(T$5,1),tblAuftraege[Kostenstelle],$A202))</f>
        <v>0</v>
      </c>
      <c r="U202" s="11" t="n">
        <f aca="false">IF($A202="",0,SUMIFS(tblAuftraege[Ausgaben],tblAuftraege[Datum Ausgaben],"&gt;="&amp;U$5,tblAuftraege[Datum Ausgaben],"&lt;"&amp;EDATE(U$5,1),tblAuftraege[Kostenstelle],$A202))</f>
        <v>0</v>
      </c>
      <c r="V202" s="11" t="n">
        <f aca="false">IF($A202="",0,SUMIFS(tblAuftraege[Ausgaben],tblAuftraege[Datum Ausgaben],"&gt;="&amp;V$5,tblAuftraege[Datum Ausgaben],"&lt;"&amp;EDATE(V$5,1),tblAuftraege[Kostenstelle],$A202))</f>
        <v>0</v>
      </c>
      <c r="W202" s="11" t="n">
        <f aca="false">IF($A202="",0,SUMIFS(tblAuftraege[Ausgaben],tblAuftraege[Datum Ausgaben],"&gt;="&amp;W$5,tblAuftraege[Datum Ausgaben],"&lt;"&amp;EDATE(W$5,1),tblAuftraege[Kostenstelle],$A202))</f>
        <v>0</v>
      </c>
      <c r="X202" s="11" t="n">
        <f aca="false">IF($A202="",0,SUMIFS(tblAuftraege[Ausgaben],tblAuftraege[Datum Ausgaben],"&gt;="&amp;X$5,tblAuftraege[Datum Ausgaben],"&lt;"&amp;EDATE(X$5,1),tblAuftraege[Kostenstelle],$A202))</f>
        <v>0</v>
      </c>
      <c r="Y202" s="11" t="n">
        <f aca="false">IF($A202="",0,SUMIFS(tblAuftraege[Ausgaben],tblAuftraege[Datum Ausgaben],"&gt;="&amp;Y$5,tblAuftraege[Datum Ausgaben],"&lt;"&amp;EDATE(Y$5,1),tblAuftraege[Kostenstelle],$A202))</f>
        <v>0</v>
      </c>
      <c r="Z202" s="11" t="n">
        <f aca="false">IF($A202="",0,SUMIFS(tblAuftraege[Ausgaben],tblAuftraege[Datum Ausgaben],"&gt;="&amp;Z$5,tblAuftraege[Datum Ausgaben],"&lt;"&amp;EDATE(Z$5,1),tblAuftraege[Kostenstelle],$A202))</f>
        <v>0</v>
      </c>
      <c r="AA202" s="11" t="n">
        <f aca="false">IF($A202="",0,SUMIFS(tblAuftraege[Ausgaben],tblAuftraege[Datum Ausgaben],"&gt;="&amp;AA$5,tblAuftraege[Datum Ausgaben],"&lt;"&amp;EDATE(AA$5,1),tblAuftraege[Kostenstelle],$A202))</f>
        <v>0</v>
      </c>
      <c r="AB202" s="11" t="n">
        <f aca="false">IF($A202="",0,SUMIFS(tblAuftraege[Ausgaben],tblAuftraege[Datum Ausgaben],"&gt;="&amp;AB$5,tblAuftraege[Datum Ausgaben],"&lt;"&amp;EDATE(AB$5,1),tblAuftraege[Kostenstelle],$A202))</f>
        <v>0</v>
      </c>
      <c r="AC202" s="11" t="n">
        <f aca="false">IF($A202="",0,SUMIFS(tblAuftraege[Ausgaben],tblAuftraege[Datum Ausgaben],"&gt;="&amp;AC$5,tblAuftraege[Datum Ausgaben],"&lt;"&amp;EDATE(AC$5,1),tblAuftraege[Kostenstelle],$A202))</f>
        <v>0</v>
      </c>
      <c r="AD202" s="11" t="n">
        <f aca="false">IF($A202="",0,SUMIFS(tblAuftraege[Ausgaben],tblAuftraege[Datum Ausgaben],"&gt;="&amp;AD$5,tblAuftraege[Datum Ausgaben],"&lt;"&amp;EDATE(AD$5,1),tblAuftraege[Kostenstelle],$A202))</f>
        <v>0</v>
      </c>
      <c r="AE202" s="11" t="n">
        <f aca="false">IF($A202="",0,SUMIFS(tblAuftraege[Ausgaben],tblAuftraege[Datum Ausgaben],"&gt;="&amp;AE$5,tblAuftraege[Datum Ausgaben],"&lt;"&amp;EDATE(AE$5,1),tblAuftraege[Kostenstelle],$A202))</f>
        <v>0</v>
      </c>
      <c r="AF202" s="11" t="n">
        <f aca="false">IF($A202="",0,SUMIFS(tblAuftraege[Ausgaben],tblAuftraege[Datum Ausgaben],"&gt;="&amp;AF$5,tblAuftraege[Datum Ausgaben],"&lt;"&amp;EDATE(AF$5,1),tblAuftraege[Kostenstelle],$A202))</f>
        <v>0</v>
      </c>
      <c r="AG202" s="11" t="n">
        <f aca="false">IF($A202="",0,SUMIFS(tblAuftraege[Ausgaben],tblAuftraege[Datum Ausgaben],"&gt;="&amp;AG$5,tblAuftraege[Datum Ausgaben],"&lt;"&amp;EDATE(AG$5,1),tblAuftraege[Kostenstelle],$A202))</f>
        <v>0</v>
      </c>
      <c r="AH202" s="11" t="n">
        <f aca="false">IF($A202="",0,SUMIFS(tblAuftraege[Ausgaben],tblAuftraege[Datum Ausgaben],"&gt;="&amp;AH$5,tblAuftraege[Datum Ausgaben],"&lt;"&amp;EDATE(AH$5,1),tblAuftraege[Kostenstelle],$A202))</f>
        <v>0</v>
      </c>
      <c r="AI202" s="11" t="n">
        <f aca="false">IF($A202="",0,SUMIFS(tblAuftraege[Ausgaben],tblAuftraege[Datum Ausgaben],"&gt;="&amp;AI$5,tblAuftraege[Datum Ausgaben],"&lt;"&amp;EDATE(AI$5,1),tblAuftraege[Kostenstelle],$A202))</f>
        <v>0</v>
      </c>
      <c r="AJ202" s="11" t="n">
        <f aca="false">IF($A202="",0,SUMIFS(tblAuftraege[Ausgaben],tblAuftraege[Datum Ausgaben],"&gt;="&amp;AJ$5,tblAuftraege[Datum Ausgaben],"&lt;"&amp;EDATE(AJ$5,1),tblAuftraege[Kostenstelle],$A202))</f>
        <v>0</v>
      </c>
      <c r="AK202" s="11" t="n">
        <f aca="false">IF($A202="",0,SUMIFS(tblAuftraege[Ausgaben],tblAuftraege[Datum Ausgaben],"&gt;="&amp;AK$5,tblAuftraege[Datum Ausgaben],"&lt;"&amp;EDATE(AK$5,1),tblAuftraege[Kostenstelle],$A202))</f>
        <v>0</v>
      </c>
      <c r="AL202" s="11" t="n">
        <f aca="false">IF($A202="",0,SUMIFS(tblAuftraege[Ausgaben],tblAuftraege[Datum Ausgaben],"&gt;="&amp;AL$5,tblAuftraege[Datum Ausgaben],"&lt;"&amp;EDATE(AL$5,1),tblAuftraege[Kostenstelle],$A202))</f>
        <v>0</v>
      </c>
      <c r="AM202" s="11" t="n">
        <f aca="false">IF($A202="",0,SUMIFS(tblAuftraege[Ausgaben],tblAuftraege[Datum Ausgaben],"&gt;="&amp;AM$5,tblAuftraege[Datum Ausgaben],"&lt;"&amp;EDATE(AM$5,1),tblAuftraege[Kostenstelle],$A202))</f>
        <v>0</v>
      </c>
      <c r="AN202" s="11" t="n">
        <f aca="false">IF($A202="",0,SUMIFS(tblAuftraege[Ausgaben],tblAuftraege[Datum Ausgaben],"&gt;="&amp;AN$5,tblAuftraege[Datum Ausgaben],"&lt;"&amp;EDATE(AN$5,1),tblAuftraege[Kostenstelle],$A202))</f>
        <v>0</v>
      </c>
      <c r="AO202" s="11" t="n">
        <f aca="false">IF($A202="",0,SUMIFS(tblAuftraege[Ausgaben],tblAuftraege[Datum Ausgaben],"&gt;="&amp;AO$5,tblAuftraege[Datum Ausgaben],"&lt;"&amp;EDATE(AO$5,1),tblAuftraege[Kostenstelle],$A202))</f>
        <v>0</v>
      </c>
      <c r="AP202" s="11" t="n">
        <f aca="false">IF($A202="",0,SUMIFS(tblAuftraege[Ausgaben],tblAuftraege[Datum Ausgaben],"&gt;="&amp;AP$5,tblAuftraege[Datum Ausgaben],"&lt;"&amp;EDATE(AP$5,1),tblAuftraege[Kostenstelle],$A202))</f>
        <v>0</v>
      </c>
      <c r="AQ202" s="11" t="n">
        <f aca="false">IF($A202="",0,SUMIFS(tblAuftraege[Ausgaben],tblAuftraege[Datum Ausgaben],"&gt;="&amp;AQ$5,tblAuftraege[Datum Ausgaben],"&lt;"&amp;EDATE(AQ$5,1),tblAuftraege[Kostenstelle],$A202))</f>
        <v>0</v>
      </c>
      <c r="AR202" s="11" t="n">
        <f aca="false">IF($A202="",0,SUMIFS(tblAuftraege[Ausgaben],tblAuftraege[Datum Ausgaben],"&gt;="&amp;AR$5,tblAuftraege[Datum Ausgaben],"&lt;"&amp;EDATE(AR$5,1),tblAuftraege[Kostenstelle],$A202))</f>
        <v>0</v>
      </c>
      <c r="AS202" s="11" t="n">
        <f aca="false">IF($A202="",0,SUMIFS(tblAuftraege[Ausgaben],tblAuftraege[Datum Ausgaben],"&gt;="&amp;AS$5,tblAuftraege[Datum Ausgaben],"&lt;"&amp;EDATE(AS$5,1),tblAuftraege[Kostenstelle],$A202))</f>
        <v>0</v>
      </c>
      <c r="AT202" s="11" t="n">
        <f aca="false">IF($A202="",0,SUMIFS(tblAuftraege[Ausgaben],tblAuftraege[Datum Ausgaben],"&gt;="&amp;AT$5,tblAuftraege[Datum Ausgaben],"&lt;"&amp;EDATE(AT$5,1),tblAuftraege[Kostenstelle],$A202))</f>
        <v>0</v>
      </c>
      <c r="AU202" s="11" t="n">
        <f aca="false">IF($A202="",0,SUMIFS(tblAuftraege[Ausgaben],tblAuftraege[Datum Ausgaben],"&gt;="&amp;AU$5,tblAuftraege[Datum Ausgaben],"&lt;"&amp;EDATE(AU$5,1),tblAuftraege[Kostenstelle],$A202))</f>
        <v>0</v>
      </c>
      <c r="AV202" s="11" t="n">
        <f aca="false">IF($A202="",0,SUMIFS(tblAuftraege[Ausgaben],tblAuftraege[Datum Ausgaben],"&gt;="&amp;AV$5,tblAuftraege[Datum Ausgaben],"&lt;"&amp;EDATE(AV$5,1),tblAuftraege[Kostenstelle],$A202))</f>
        <v>0</v>
      </c>
      <c r="AW202" s="11" t="n">
        <f aca="false">IF($A202="",0,SUMIFS(tblAuftraege[Ausgaben],tblAuftraege[Datum Ausgaben],"&gt;="&amp;AW$5,tblAuftraege[Datum Ausgaben],"&lt;"&amp;EDATE(AW$5,1),tblAuftraege[Kostenstelle],$A202))</f>
        <v>0</v>
      </c>
      <c r="AX202" s="11" t="n">
        <f aca="false">IF($A202="",0,SUMIFS(tblAuftraege[Ausgaben],tblAuftraege[Datum Ausgaben],"&gt;="&amp;AX$5,tblAuftraege[Datum Ausgaben],"&lt;"&amp;EDATE(AX$5,1),tblAuftraege[Kostenstelle],$A202))</f>
        <v>0</v>
      </c>
      <c r="AY202" s="11" t="n">
        <f aca="false">IF($A202="",0,SUMIFS(tblAuftraege[Ausgaben],tblAuftraege[Datum Ausgaben],"&gt;="&amp;AY$5,tblAuftraege[Datum Ausgaben],"&lt;"&amp;EDATE(AY$5,1),tblAuftraege[Kostenstelle],$A202))</f>
        <v>0</v>
      </c>
      <c r="AZ202" s="11" t="n">
        <f aca="false">IF($A202="",0,SUMIFS(tblAuftraege[Ausgaben],tblAuftraege[Datum Ausgaben],"&gt;="&amp;AZ$5,tblAuftraege[Datum Ausgaben],"&lt;"&amp;EDATE(AZ$5,1),tblAuftraege[Kostenstelle],$A202))</f>
        <v>0</v>
      </c>
      <c r="BA202" s="11" t="n">
        <f aca="false">IF($A202="",0,SUMIFS(tblAuftraege[Ausgaben],tblAuftraege[Datum Ausgaben],"&gt;="&amp;BA$5,tblAuftraege[Datum Ausgaben],"&lt;"&amp;EDATE(BA$5,1),tblAuftraege[Kostenstelle],$A202))</f>
        <v>0</v>
      </c>
      <c r="BB202" s="11" t="n">
        <f aca="false">IF($A202="",0,SUMIFS(tblAuftraege[Ausgaben],tblAuftraege[Datum Ausgaben],"&gt;="&amp;BB$5,tblAuftraege[Datum Ausgaben],"&lt;"&amp;EDATE(BB$5,1),tblAuftraege[Kostenstelle],$A202))</f>
        <v>0</v>
      </c>
      <c r="BC202" s="11" t="n">
        <f aca="false">IF($A202="",0,SUMIFS(tblAuftraege[Ausgaben],tblAuftraege[Datum Ausgaben],"&gt;="&amp;BC$5,tblAuftraege[Datum Ausgaben],"&lt;"&amp;EDATE(BC$5,1),tblAuftraege[Kostenstelle],$A202))</f>
        <v>0</v>
      </c>
      <c r="BD202" s="11" t="n">
        <f aca="false">IF($A202="",0,SUMIFS(tblAuftraege[Ausgaben],tblAuftraege[Datum Ausgaben],"&gt;="&amp;BD$5,tblAuftraege[Datum Ausgaben],"&lt;"&amp;EDATE(BD$5,1),tblAuftraege[Kostenstelle],$A202))</f>
        <v>0</v>
      </c>
      <c r="BE202" s="11" t="n">
        <f aca="false">IF($A202="",0,SUMIFS(tblAuftraege[Ausgaben],tblAuftraege[Datum Ausgaben],"&gt;="&amp;BE$5,tblAuftraege[Datum Ausgaben],"&lt;"&amp;EDATE(BE$5,1),tblAuftraege[Kostenstelle],$A202))</f>
        <v>0</v>
      </c>
      <c r="BF202" s="11" t="n">
        <f aca="false">IF($A202="",0,SUMIFS(tblAuftraege[Ausgaben],tblAuftraege[Datum Ausgaben],"&gt;="&amp;BF$5,tblAuftraege[Datum Ausgaben],"&lt;"&amp;EDATE(BF$5,1),tblAuftraege[Kostenstelle],$A202))</f>
        <v>0</v>
      </c>
      <c r="BG202" s="11" t="n">
        <f aca="false">SUM(E202:J202)</f>
        <v>0</v>
      </c>
      <c r="BH202" s="11" t="n">
        <f aca="false">SUM(K202:V202)</f>
        <v>0</v>
      </c>
      <c r="BI202" s="11" t="n">
        <f aca="false">SUM(W202:AH202)</f>
        <v>0</v>
      </c>
      <c r="BJ202" s="11" t="n">
        <f aca="false">SUM(AI202:AT202)</f>
        <v>0</v>
      </c>
      <c r="BK202" s="11" t="n">
        <f aca="false">SUM(AU202:BF202)</f>
        <v>0</v>
      </c>
      <c r="BL202" s="12" t="n">
        <f aca="false">SUM(E202:BF202)</f>
        <v>0</v>
      </c>
    </row>
    <row r="203" customFormat="false" ht="15" hidden="false" customHeight="false" outlineLevel="0" collapsed="false">
      <c r="A203" s="9"/>
      <c r="B203" s="15"/>
      <c r="C203" s="15"/>
      <c r="D203" s="15"/>
      <c r="E203" s="11" t="n">
        <f aca="false">IF($A203="",0,SUMIFS(tblAuftraege[Ausgaben],tblAuftraege[Datum Ausgaben],"&gt;="&amp;E$5,tblAuftraege[Datum Ausgaben],"&lt;"&amp;EDATE(E$5,1),tblAuftraege[Kostenstelle],$A203))</f>
        <v>0</v>
      </c>
      <c r="F203" s="11" t="n">
        <f aca="false">IF($A203="",0,SUMIFS(tblAuftraege[Ausgaben],tblAuftraege[Datum Ausgaben],"&gt;="&amp;F$5,tblAuftraege[Datum Ausgaben],"&lt;"&amp;EDATE(F$5,1),tblAuftraege[Kostenstelle],$A203))</f>
        <v>0</v>
      </c>
      <c r="G203" s="11" t="n">
        <f aca="false">IF($A203="",0,SUMIFS(tblAuftraege[Ausgaben],tblAuftraege[Datum Ausgaben],"&gt;="&amp;G$5,tblAuftraege[Datum Ausgaben],"&lt;"&amp;EDATE(G$5,1),tblAuftraege[Kostenstelle],$A203))</f>
        <v>0</v>
      </c>
      <c r="H203" s="11" t="n">
        <f aca="false">IF($A203="",0,SUMIFS(tblAuftraege[Ausgaben],tblAuftraege[Datum Ausgaben],"&gt;="&amp;H$5,tblAuftraege[Datum Ausgaben],"&lt;"&amp;EDATE(H$5,1),tblAuftraege[Kostenstelle],$A203))</f>
        <v>0</v>
      </c>
      <c r="I203" s="11" t="n">
        <f aca="false">IF($A203="",0,SUMIFS(tblAuftraege[Ausgaben],tblAuftraege[Datum Ausgaben],"&gt;="&amp;I$5,tblAuftraege[Datum Ausgaben],"&lt;"&amp;EDATE(I$5,1),tblAuftraege[Kostenstelle],$A203))</f>
        <v>0</v>
      </c>
      <c r="J203" s="11" t="n">
        <f aca="false">IF($A203="",0,SUMIFS(tblAuftraege[Ausgaben],tblAuftraege[Datum Ausgaben],"&gt;="&amp;J$5,tblAuftraege[Datum Ausgaben],"&lt;"&amp;EDATE(J$5,1),tblAuftraege[Kostenstelle],$A203))</f>
        <v>0</v>
      </c>
      <c r="K203" s="11" t="n">
        <f aca="false">IF($A203="",0,SUMIFS(tblAuftraege[Ausgaben],tblAuftraege[Datum Ausgaben],"&gt;="&amp;K$5,tblAuftraege[Datum Ausgaben],"&lt;"&amp;EDATE(K$5,1),tblAuftraege[Kostenstelle],$A203))</f>
        <v>0</v>
      </c>
      <c r="L203" s="11" t="n">
        <f aca="false">IF($A203="",0,SUMIFS(tblAuftraege[Ausgaben],tblAuftraege[Datum Ausgaben],"&gt;="&amp;L$5,tblAuftraege[Datum Ausgaben],"&lt;"&amp;EDATE(L$5,1),tblAuftraege[Kostenstelle],$A203))</f>
        <v>0</v>
      </c>
      <c r="M203" s="11" t="n">
        <f aca="false">IF($A203="",0,SUMIFS(tblAuftraege[Ausgaben],tblAuftraege[Datum Ausgaben],"&gt;="&amp;M$5,tblAuftraege[Datum Ausgaben],"&lt;"&amp;EDATE(M$5,1),tblAuftraege[Kostenstelle],$A203))</f>
        <v>0</v>
      </c>
      <c r="N203" s="11" t="n">
        <f aca="false">IF($A203="",0,SUMIFS(tblAuftraege[Ausgaben],tblAuftraege[Datum Ausgaben],"&gt;="&amp;N$5,tblAuftraege[Datum Ausgaben],"&lt;"&amp;EDATE(N$5,1),tblAuftraege[Kostenstelle],$A203))</f>
        <v>0</v>
      </c>
      <c r="O203" s="11" t="n">
        <f aca="false">IF($A203="",0,SUMIFS(tblAuftraege[Ausgaben],tblAuftraege[Datum Ausgaben],"&gt;="&amp;O$5,tblAuftraege[Datum Ausgaben],"&lt;"&amp;EDATE(O$5,1),tblAuftraege[Kostenstelle],$A203))</f>
        <v>0</v>
      </c>
      <c r="P203" s="11" t="n">
        <f aca="false">IF($A203="",0,SUMIFS(tblAuftraege[Ausgaben],tblAuftraege[Datum Ausgaben],"&gt;="&amp;P$5,tblAuftraege[Datum Ausgaben],"&lt;"&amp;EDATE(P$5,1),tblAuftraege[Kostenstelle],$A203))</f>
        <v>0</v>
      </c>
      <c r="Q203" s="11" t="n">
        <f aca="false">IF($A203="",0,SUMIFS(tblAuftraege[Ausgaben],tblAuftraege[Datum Ausgaben],"&gt;="&amp;Q$5,tblAuftraege[Datum Ausgaben],"&lt;"&amp;EDATE(Q$5,1),tblAuftraege[Kostenstelle],$A203))</f>
        <v>0</v>
      </c>
      <c r="R203" s="11" t="n">
        <f aca="false">IF($A203="",0,SUMIFS(tblAuftraege[Ausgaben],tblAuftraege[Datum Ausgaben],"&gt;="&amp;R$5,tblAuftraege[Datum Ausgaben],"&lt;"&amp;EDATE(R$5,1),tblAuftraege[Kostenstelle],$A203))</f>
        <v>0</v>
      </c>
      <c r="S203" s="11" t="n">
        <f aca="false">IF($A203="",0,SUMIFS(tblAuftraege[Ausgaben],tblAuftraege[Datum Ausgaben],"&gt;="&amp;S$5,tblAuftraege[Datum Ausgaben],"&lt;"&amp;EDATE(S$5,1),tblAuftraege[Kostenstelle],$A203))</f>
        <v>0</v>
      </c>
      <c r="T203" s="11" t="n">
        <f aca="false">IF($A203="",0,SUMIFS(tblAuftraege[Ausgaben],tblAuftraege[Datum Ausgaben],"&gt;="&amp;T$5,tblAuftraege[Datum Ausgaben],"&lt;"&amp;EDATE(T$5,1),tblAuftraege[Kostenstelle],$A203))</f>
        <v>0</v>
      </c>
      <c r="U203" s="11" t="n">
        <f aca="false">IF($A203="",0,SUMIFS(tblAuftraege[Ausgaben],tblAuftraege[Datum Ausgaben],"&gt;="&amp;U$5,tblAuftraege[Datum Ausgaben],"&lt;"&amp;EDATE(U$5,1),tblAuftraege[Kostenstelle],$A203))</f>
        <v>0</v>
      </c>
      <c r="V203" s="11" t="n">
        <f aca="false">IF($A203="",0,SUMIFS(tblAuftraege[Ausgaben],tblAuftraege[Datum Ausgaben],"&gt;="&amp;V$5,tblAuftraege[Datum Ausgaben],"&lt;"&amp;EDATE(V$5,1),tblAuftraege[Kostenstelle],$A203))</f>
        <v>0</v>
      </c>
      <c r="W203" s="11" t="n">
        <f aca="false">IF($A203="",0,SUMIFS(tblAuftraege[Ausgaben],tblAuftraege[Datum Ausgaben],"&gt;="&amp;W$5,tblAuftraege[Datum Ausgaben],"&lt;"&amp;EDATE(W$5,1),tblAuftraege[Kostenstelle],$A203))</f>
        <v>0</v>
      </c>
      <c r="X203" s="11" t="n">
        <f aca="false">IF($A203="",0,SUMIFS(tblAuftraege[Ausgaben],tblAuftraege[Datum Ausgaben],"&gt;="&amp;X$5,tblAuftraege[Datum Ausgaben],"&lt;"&amp;EDATE(X$5,1),tblAuftraege[Kostenstelle],$A203))</f>
        <v>0</v>
      </c>
      <c r="Y203" s="11" t="n">
        <f aca="false">IF($A203="",0,SUMIFS(tblAuftraege[Ausgaben],tblAuftraege[Datum Ausgaben],"&gt;="&amp;Y$5,tblAuftraege[Datum Ausgaben],"&lt;"&amp;EDATE(Y$5,1),tblAuftraege[Kostenstelle],$A203))</f>
        <v>0</v>
      </c>
      <c r="Z203" s="11" t="n">
        <f aca="false">IF($A203="",0,SUMIFS(tblAuftraege[Ausgaben],tblAuftraege[Datum Ausgaben],"&gt;="&amp;Z$5,tblAuftraege[Datum Ausgaben],"&lt;"&amp;EDATE(Z$5,1),tblAuftraege[Kostenstelle],$A203))</f>
        <v>0</v>
      </c>
      <c r="AA203" s="11" t="n">
        <f aca="false">IF($A203="",0,SUMIFS(tblAuftraege[Ausgaben],tblAuftraege[Datum Ausgaben],"&gt;="&amp;AA$5,tblAuftraege[Datum Ausgaben],"&lt;"&amp;EDATE(AA$5,1),tblAuftraege[Kostenstelle],$A203))</f>
        <v>0</v>
      </c>
      <c r="AB203" s="11" t="n">
        <f aca="false">IF($A203="",0,SUMIFS(tblAuftraege[Ausgaben],tblAuftraege[Datum Ausgaben],"&gt;="&amp;AB$5,tblAuftraege[Datum Ausgaben],"&lt;"&amp;EDATE(AB$5,1),tblAuftraege[Kostenstelle],$A203))</f>
        <v>0</v>
      </c>
      <c r="AC203" s="11" t="n">
        <f aca="false">IF($A203="",0,SUMIFS(tblAuftraege[Ausgaben],tblAuftraege[Datum Ausgaben],"&gt;="&amp;AC$5,tblAuftraege[Datum Ausgaben],"&lt;"&amp;EDATE(AC$5,1),tblAuftraege[Kostenstelle],$A203))</f>
        <v>0</v>
      </c>
      <c r="AD203" s="11" t="n">
        <f aca="false">IF($A203="",0,SUMIFS(tblAuftraege[Ausgaben],tblAuftraege[Datum Ausgaben],"&gt;="&amp;AD$5,tblAuftraege[Datum Ausgaben],"&lt;"&amp;EDATE(AD$5,1),tblAuftraege[Kostenstelle],$A203))</f>
        <v>0</v>
      </c>
      <c r="AE203" s="11" t="n">
        <f aca="false">IF($A203="",0,SUMIFS(tblAuftraege[Ausgaben],tblAuftraege[Datum Ausgaben],"&gt;="&amp;AE$5,tblAuftraege[Datum Ausgaben],"&lt;"&amp;EDATE(AE$5,1),tblAuftraege[Kostenstelle],$A203))</f>
        <v>0</v>
      </c>
      <c r="AF203" s="11" t="n">
        <f aca="false">IF($A203="",0,SUMIFS(tblAuftraege[Ausgaben],tblAuftraege[Datum Ausgaben],"&gt;="&amp;AF$5,tblAuftraege[Datum Ausgaben],"&lt;"&amp;EDATE(AF$5,1),tblAuftraege[Kostenstelle],$A203))</f>
        <v>0</v>
      </c>
      <c r="AG203" s="11" t="n">
        <f aca="false">IF($A203="",0,SUMIFS(tblAuftraege[Ausgaben],tblAuftraege[Datum Ausgaben],"&gt;="&amp;AG$5,tblAuftraege[Datum Ausgaben],"&lt;"&amp;EDATE(AG$5,1),tblAuftraege[Kostenstelle],$A203))</f>
        <v>0</v>
      </c>
      <c r="AH203" s="11" t="n">
        <f aca="false">IF($A203="",0,SUMIFS(tblAuftraege[Ausgaben],tblAuftraege[Datum Ausgaben],"&gt;="&amp;AH$5,tblAuftraege[Datum Ausgaben],"&lt;"&amp;EDATE(AH$5,1),tblAuftraege[Kostenstelle],$A203))</f>
        <v>0</v>
      </c>
      <c r="AI203" s="11" t="n">
        <f aca="false">IF($A203="",0,SUMIFS(tblAuftraege[Ausgaben],tblAuftraege[Datum Ausgaben],"&gt;="&amp;AI$5,tblAuftraege[Datum Ausgaben],"&lt;"&amp;EDATE(AI$5,1),tblAuftraege[Kostenstelle],$A203))</f>
        <v>0</v>
      </c>
      <c r="AJ203" s="11" t="n">
        <f aca="false">IF($A203="",0,SUMIFS(tblAuftraege[Ausgaben],tblAuftraege[Datum Ausgaben],"&gt;="&amp;AJ$5,tblAuftraege[Datum Ausgaben],"&lt;"&amp;EDATE(AJ$5,1),tblAuftraege[Kostenstelle],$A203))</f>
        <v>0</v>
      </c>
      <c r="AK203" s="11" t="n">
        <f aca="false">IF($A203="",0,SUMIFS(tblAuftraege[Ausgaben],tblAuftraege[Datum Ausgaben],"&gt;="&amp;AK$5,tblAuftraege[Datum Ausgaben],"&lt;"&amp;EDATE(AK$5,1),tblAuftraege[Kostenstelle],$A203))</f>
        <v>0</v>
      </c>
      <c r="AL203" s="11" t="n">
        <f aca="false">IF($A203="",0,SUMIFS(tblAuftraege[Ausgaben],tblAuftraege[Datum Ausgaben],"&gt;="&amp;AL$5,tblAuftraege[Datum Ausgaben],"&lt;"&amp;EDATE(AL$5,1),tblAuftraege[Kostenstelle],$A203))</f>
        <v>0</v>
      </c>
      <c r="AM203" s="11" t="n">
        <f aca="false">IF($A203="",0,SUMIFS(tblAuftraege[Ausgaben],tblAuftraege[Datum Ausgaben],"&gt;="&amp;AM$5,tblAuftraege[Datum Ausgaben],"&lt;"&amp;EDATE(AM$5,1),tblAuftraege[Kostenstelle],$A203))</f>
        <v>0</v>
      </c>
      <c r="AN203" s="11" t="n">
        <f aca="false">IF($A203="",0,SUMIFS(tblAuftraege[Ausgaben],tblAuftraege[Datum Ausgaben],"&gt;="&amp;AN$5,tblAuftraege[Datum Ausgaben],"&lt;"&amp;EDATE(AN$5,1),tblAuftraege[Kostenstelle],$A203))</f>
        <v>0</v>
      </c>
      <c r="AO203" s="11" t="n">
        <f aca="false">IF($A203="",0,SUMIFS(tblAuftraege[Ausgaben],tblAuftraege[Datum Ausgaben],"&gt;="&amp;AO$5,tblAuftraege[Datum Ausgaben],"&lt;"&amp;EDATE(AO$5,1),tblAuftraege[Kostenstelle],$A203))</f>
        <v>0</v>
      </c>
      <c r="AP203" s="11" t="n">
        <f aca="false">IF($A203="",0,SUMIFS(tblAuftraege[Ausgaben],tblAuftraege[Datum Ausgaben],"&gt;="&amp;AP$5,tblAuftraege[Datum Ausgaben],"&lt;"&amp;EDATE(AP$5,1),tblAuftraege[Kostenstelle],$A203))</f>
        <v>0</v>
      </c>
      <c r="AQ203" s="11" t="n">
        <f aca="false">IF($A203="",0,SUMIFS(tblAuftraege[Ausgaben],tblAuftraege[Datum Ausgaben],"&gt;="&amp;AQ$5,tblAuftraege[Datum Ausgaben],"&lt;"&amp;EDATE(AQ$5,1),tblAuftraege[Kostenstelle],$A203))</f>
        <v>0</v>
      </c>
      <c r="AR203" s="11" t="n">
        <f aca="false">IF($A203="",0,SUMIFS(tblAuftraege[Ausgaben],tblAuftraege[Datum Ausgaben],"&gt;="&amp;AR$5,tblAuftraege[Datum Ausgaben],"&lt;"&amp;EDATE(AR$5,1),tblAuftraege[Kostenstelle],$A203))</f>
        <v>0</v>
      </c>
      <c r="AS203" s="11" t="n">
        <f aca="false">IF($A203="",0,SUMIFS(tblAuftraege[Ausgaben],tblAuftraege[Datum Ausgaben],"&gt;="&amp;AS$5,tblAuftraege[Datum Ausgaben],"&lt;"&amp;EDATE(AS$5,1),tblAuftraege[Kostenstelle],$A203))</f>
        <v>0</v>
      </c>
      <c r="AT203" s="11" t="n">
        <f aca="false">IF($A203="",0,SUMIFS(tblAuftraege[Ausgaben],tblAuftraege[Datum Ausgaben],"&gt;="&amp;AT$5,tblAuftraege[Datum Ausgaben],"&lt;"&amp;EDATE(AT$5,1),tblAuftraege[Kostenstelle],$A203))</f>
        <v>0</v>
      </c>
      <c r="AU203" s="11" t="n">
        <f aca="false">IF($A203="",0,SUMIFS(tblAuftraege[Ausgaben],tblAuftraege[Datum Ausgaben],"&gt;="&amp;AU$5,tblAuftraege[Datum Ausgaben],"&lt;"&amp;EDATE(AU$5,1),tblAuftraege[Kostenstelle],$A203))</f>
        <v>0</v>
      </c>
      <c r="AV203" s="11" t="n">
        <f aca="false">IF($A203="",0,SUMIFS(tblAuftraege[Ausgaben],tblAuftraege[Datum Ausgaben],"&gt;="&amp;AV$5,tblAuftraege[Datum Ausgaben],"&lt;"&amp;EDATE(AV$5,1),tblAuftraege[Kostenstelle],$A203))</f>
        <v>0</v>
      </c>
      <c r="AW203" s="11" t="n">
        <f aca="false">IF($A203="",0,SUMIFS(tblAuftraege[Ausgaben],tblAuftraege[Datum Ausgaben],"&gt;="&amp;AW$5,tblAuftraege[Datum Ausgaben],"&lt;"&amp;EDATE(AW$5,1),tblAuftraege[Kostenstelle],$A203))</f>
        <v>0</v>
      </c>
      <c r="AX203" s="11" t="n">
        <f aca="false">IF($A203="",0,SUMIFS(tblAuftraege[Ausgaben],tblAuftraege[Datum Ausgaben],"&gt;="&amp;AX$5,tblAuftraege[Datum Ausgaben],"&lt;"&amp;EDATE(AX$5,1),tblAuftraege[Kostenstelle],$A203))</f>
        <v>0</v>
      </c>
      <c r="AY203" s="11" t="n">
        <f aca="false">IF($A203="",0,SUMIFS(tblAuftraege[Ausgaben],tblAuftraege[Datum Ausgaben],"&gt;="&amp;AY$5,tblAuftraege[Datum Ausgaben],"&lt;"&amp;EDATE(AY$5,1),tblAuftraege[Kostenstelle],$A203))</f>
        <v>0</v>
      </c>
      <c r="AZ203" s="11" t="n">
        <f aca="false">IF($A203="",0,SUMIFS(tblAuftraege[Ausgaben],tblAuftraege[Datum Ausgaben],"&gt;="&amp;AZ$5,tblAuftraege[Datum Ausgaben],"&lt;"&amp;EDATE(AZ$5,1),tblAuftraege[Kostenstelle],$A203))</f>
        <v>0</v>
      </c>
      <c r="BA203" s="11" t="n">
        <f aca="false">IF($A203="",0,SUMIFS(tblAuftraege[Ausgaben],tblAuftraege[Datum Ausgaben],"&gt;="&amp;BA$5,tblAuftraege[Datum Ausgaben],"&lt;"&amp;EDATE(BA$5,1),tblAuftraege[Kostenstelle],$A203))</f>
        <v>0</v>
      </c>
      <c r="BB203" s="11" t="n">
        <f aca="false">IF($A203="",0,SUMIFS(tblAuftraege[Ausgaben],tblAuftraege[Datum Ausgaben],"&gt;="&amp;BB$5,tblAuftraege[Datum Ausgaben],"&lt;"&amp;EDATE(BB$5,1),tblAuftraege[Kostenstelle],$A203))</f>
        <v>0</v>
      </c>
      <c r="BC203" s="11" t="n">
        <f aca="false">IF($A203="",0,SUMIFS(tblAuftraege[Ausgaben],tblAuftraege[Datum Ausgaben],"&gt;="&amp;BC$5,tblAuftraege[Datum Ausgaben],"&lt;"&amp;EDATE(BC$5,1),tblAuftraege[Kostenstelle],$A203))</f>
        <v>0</v>
      </c>
      <c r="BD203" s="11" t="n">
        <f aca="false">IF($A203="",0,SUMIFS(tblAuftraege[Ausgaben],tblAuftraege[Datum Ausgaben],"&gt;="&amp;BD$5,tblAuftraege[Datum Ausgaben],"&lt;"&amp;EDATE(BD$5,1),tblAuftraege[Kostenstelle],$A203))</f>
        <v>0</v>
      </c>
      <c r="BE203" s="11" t="n">
        <f aca="false">IF($A203="",0,SUMIFS(tblAuftraege[Ausgaben],tblAuftraege[Datum Ausgaben],"&gt;="&amp;BE$5,tblAuftraege[Datum Ausgaben],"&lt;"&amp;EDATE(BE$5,1),tblAuftraege[Kostenstelle],$A203))</f>
        <v>0</v>
      </c>
      <c r="BF203" s="11" t="n">
        <f aca="false">IF($A203="",0,SUMIFS(tblAuftraege[Ausgaben],tblAuftraege[Datum Ausgaben],"&gt;="&amp;BF$5,tblAuftraege[Datum Ausgaben],"&lt;"&amp;EDATE(BF$5,1),tblAuftraege[Kostenstelle],$A203))</f>
        <v>0</v>
      </c>
      <c r="BG203" s="11" t="n">
        <f aca="false">SUM(E203:J203)</f>
        <v>0</v>
      </c>
      <c r="BH203" s="11" t="n">
        <f aca="false">SUM(K203:V203)</f>
        <v>0</v>
      </c>
      <c r="BI203" s="11" t="n">
        <f aca="false">SUM(W203:AH203)</f>
        <v>0</v>
      </c>
      <c r="BJ203" s="11" t="n">
        <f aca="false">SUM(AI203:AT203)</f>
        <v>0</v>
      </c>
      <c r="BK203" s="11" t="n">
        <f aca="false">SUM(AU203:BF203)</f>
        <v>0</v>
      </c>
      <c r="BL203" s="12" t="n">
        <f aca="false">SUM(E203:BF203)</f>
        <v>0</v>
      </c>
    </row>
    <row r="204" customFormat="false" ht="15" hidden="false" customHeight="false" outlineLevel="0" collapsed="false">
      <c r="A204" s="9"/>
      <c r="B204" s="15"/>
      <c r="C204" s="15"/>
      <c r="D204" s="15"/>
      <c r="E204" s="11" t="n">
        <f aca="false">IF($A204="",0,SUMIFS(tblAuftraege[Ausgaben],tblAuftraege[Datum Ausgaben],"&gt;="&amp;E$5,tblAuftraege[Datum Ausgaben],"&lt;"&amp;EDATE(E$5,1),tblAuftraege[Kostenstelle],$A204))</f>
        <v>0</v>
      </c>
      <c r="F204" s="11" t="n">
        <f aca="false">IF($A204="",0,SUMIFS(tblAuftraege[Ausgaben],tblAuftraege[Datum Ausgaben],"&gt;="&amp;F$5,tblAuftraege[Datum Ausgaben],"&lt;"&amp;EDATE(F$5,1),tblAuftraege[Kostenstelle],$A204))</f>
        <v>0</v>
      </c>
      <c r="G204" s="11" t="n">
        <f aca="false">IF($A204="",0,SUMIFS(tblAuftraege[Ausgaben],tblAuftraege[Datum Ausgaben],"&gt;="&amp;G$5,tblAuftraege[Datum Ausgaben],"&lt;"&amp;EDATE(G$5,1),tblAuftraege[Kostenstelle],$A204))</f>
        <v>0</v>
      </c>
      <c r="H204" s="11" t="n">
        <f aca="false">IF($A204="",0,SUMIFS(tblAuftraege[Ausgaben],tblAuftraege[Datum Ausgaben],"&gt;="&amp;H$5,tblAuftraege[Datum Ausgaben],"&lt;"&amp;EDATE(H$5,1),tblAuftraege[Kostenstelle],$A204))</f>
        <v>0</v>
      </c>
      <c r="I204" s="11" t="n">
        <f aca="false">IF($A204="",0,SUMIFS(tblAuftraege[Ausgaben],tblAuftraege[Datum Ausgaben],"&gt;="&amp;I$5,tblAuftraege[Datum Ausgaben],"&lt;"&amp;EDATE(I$5,1),tblAuftraege[Kostenstelle],$A204))</f>
        <v>0</v>
      </c>
      <c r="J204" s="11" t="n">
        <f aca="false">IF($A204="",0,SUMIFS(tblAuftraege[Ausgaben],tblAuftraege[Datum Ausgaben],"&gt;="&amp;J$5,tblAuftraege[Datum Ausgaben],"&lt;"&amp;EDATE(J$5,1),tblAuftraege[Kostenstelle],$A204))</f>
        <v>0</v>
      </c>
      <c r="K204" s="11" t="n">
        <f aca="false">IF($A204="",0,SUMIFS(tblAuftraege[Ausgaben],tblAuftraege[Datum Ausgaben],"&gt;="&amp;K$5,tblAuftraege[Datum Ausgaben],"&lt;"&amp;EDATE(K$5,1),tblAuftraege[Kostenstelle],$A204))</f>
        <v>0</v>
      </c>
      <c r="L204" s="11" t="n">
        <f aca="false">IF($A204="",0,SUMIFS(tblAuftraege[Ausgaben],tblAuftraege[Datum Ausgaben],"&gt;="&amp;L$5,tblAuftraege[Datum Ausgaben],"&lt;"&amp;EDATE(L$5,1),tblAuftraege[Kostenstelle],$A204))</f>
        <v>0</v>
      </c>
      <c r="M204" s="11" t="n">
        <f aca="false">IF($A204="",0,SUMIFS(tblAuftraege[Ausgaben],tblAuftraege[Datum Ausgaben],"&gt;="&amp;M$5,tblAuftraege[Datum Ausgaben],"&lt;"&amp;EDATE(M$5,1),tblAuftraege[Kostenstelle],$A204))</f>
        <v>0</v>
      </c>
      <c r="N204" s="11" t="n">
        <f aca="false">IF($A204="",0,SUMIFS(tblAuftraege[Ausgaben],tblAuftraege[Datum Ausgaben],"&gt;="&amp;N$5,tblAuftraege[Datum Ausgaben],"&lt;"&amp;EDATE(N$5,1),tblAuftraege[Kostenstelle],$A204))</f>
        <v>0</v>
      </c>
      <c r="O204" s="11" t="n">
        <f aca="false">IF($A204="",0,SUMIFS(tblAuftraege[Ausgaben],tblAuftraege[Datum Ausgaben],"&gt;="&amp;O$5,tblAuftraege[Datum Ausgaben],"&lt;"&amp;EDATE(O$5,1),tblAuftraege[Kostenstelle],$A204))</f>
        <v>0</v>
      </c>
      <c r="P204" s="11" t="n">
        <f aca="false">IF($A204="",0,SUMIFS(tblAuftraege[Ausgaben],tblAuftraege[Datum Ausgaben],"&gt;="&amp;P$5,tblAuftraege[Datum Ausgaben],"&lt;"&amp;EDATE(P$5,1),tblAuftraege[Kostenstelle],$A204))</f>
        <v>0</v>
      </c>
      <c r="Q204" s="11" t="n">
        <f aca="false">IF($A204="",0,SUMIFS(tblAuftraege[Ausgaben],tblAuftraege[Datum Ausgaben],"&gt;="&amp;Q$5,tblAuftraege[Datum Ausgaben],"&lt;"&amp;EDATE(Q$5,1),tblAuftraege[Kostenstelle],$A204))</f>
        <v>0</v>
      </c>
      <c r="R204" s="11" t="n">
        <f aca="false">IF($A204="",0,SUMIFS(tblAuftraege[Ausgaben],tblAuftraege[Datum Ausgaben],"&gt;="&amp;R$5,tblAuftraege[Datum Ausgaben],"&lt;"&amp;EDATE(R$5,1),tblAuftraege[Kostenstelle],$A204))</f>
        <v>0</v>
      </c>
      <c r="S204" s="11" t="n">
        <f aca="false">IF($A204="",0,SUMIFS(tblAuftraege[Ausgaben],tblAuftraege[Datum Ausgaben],"&gt;="&amp;S$5,tblAuftraege[Datum Ausgaben],"&lt;"&amp;EDATE(S$5,1),tblAuftraege[Kostenstelle],$A204))</f>
        <v>0</v>
      </c>
      <c r="T204" s="11" t="n">
        <f aca="false">IF($A204="",0,SUMIFS(tblAuftraege[Ausgaben],tblAuftraege[Datum Ausgaben],"&gt;="&amp;T$5,tblAuftraege[Datum Ausgaben],"&lt;"&amp;EDATE(T$5,1),tblAuftraege[Kostenstelle],$A204))</f>
        <v>0</v>
      </c>
      <c r="U204" s="11" t="n">
        <f aca="false">IF($A204="",0,SUMIFS(tblAuftraege[Ausgaben],tblAuftraege[Datum Ausgaben],"&gt;="&amp;U$5,tblAuftraege[Datum Ausgaben],"&lt;"&amp;EDATE(U$5,1),tblAuftraege[Kostenstelle],$A204))</f>
        <v>0</v>
      </c>
      <c r="V204" s="11" t="n">
        <f aca="false">IF($A204="",0,SUMIFS(tblAuftraege[Ausgaben],tblAuftraege[Datum Ausgaben],"&gt;="&amp;V$5,tblAuftraege[Datum Ausgaben],"&lt;"&amp;EDATE(V$5,1),tblAuftraege[Kostenstelle],$A204))</f>
        <v>0</v>
      </c>
      <c r="W204" s="11" t="n">
        <f aca="false">IF($A204="",0,SUMIFS(tblAuftraege[Ausgaben],tblAuftraege[Datum Ausgaben],"&gt;="&amp;W$5,tblAuftraege[Datum Ausgaben],"&lt;"&amp;EDATE(W$5,1),tblAuftraege[Kostenstelle],$A204))</f>
        <v>0</v>
      </c>
      <c r="X204" s="11" t="n">
        <f aca="false">IF($A204="",0,SUMIFS(tblAuftraege[Ausgaben],tblAuftraege[Datum Ausgaben],"&gt;="&amp;X$5,tblAuftraege[Datum Ausgaben],"&lt;"&amp;EDATE(X$5,1),tblAuftraege[Kostenstelle],$A204))</f>
        <v>0</v>
      </c>
      <c r="Y204" s="11" t="n">
        <f aca="false">IF($A204="",0,SUMIFS(tblAuftraege[Ausgaben],tblAuftraege[Datum Ausgaben],"&gt;="&amp;Y$5,tblAuftraege[Datum Ausgaben],"&lt;"&amp;EDATE(Y$5,1),tblAuftraege[Kostenstelle],$A204))</f>
        <v>0</v>
      </c>
      <c r="Z204" s="11" t="n">
        <f aca="false">IF($A204="",0,SUMIFS(tblAuftraege[Ausgaben],tblAuftraege[Datum Ausgaben],"&gt;="&amp;Z$5,tblAuftraege[Datum Ausgaben],"&lt;"&amp;EDATE(Z$5,1),tblAuftraege[Kostenstelle],$A204))</f>
        <v>0</v>
      </c>
      <c r="AA204" s="11" t="n">
        <f aca="false">IF($A204="",0,SUMIFS(tblAuftraege[Ausgaben],tblAuftraege[Datum Ausgaben],"&gt;="&amp;AA$5,tblAuftraege[Datum Ausgaben],"&lt;"&amp;EDATE(AA$5,1),tblAuftraege[Kostenstelle],$A204))</f>
        <v>0</v>
      </c>
      <c r="AB204" s="11" t="n">
        <f aca="false">IF($A204="",0,SUMIFS(tblAuftraege[Ausgaben],tblAuftraege[Datum Ausgaben],"&gt;="&amp;AB$5,tblAuftraege[Datum Ausgaben],"&lt;"&amp;EDATE(AB$5,1),tblAuftraege[Kostenstelle],$A204))</f>
        <v>0</v>
      </c>
      <c r="AC204" s="11" t="n">
        <f aca="false">IF($A204="",0,SUMIFS(tblAuftraege[Ausgaben],tblAuftraege[Datum Ausgaben],"&gt;="&amp;AC$5,tblAuftraege[Datum Ausgaben],"&lt;"&amp;EDATE(AC$5,1),tblAuftraege[Kostenstelle],$A204))</f>
        <v>0</v>
      </c>
      <c r="AD204" s="11" t="n">
        <f aca="false">IF($A204="",0,SUMIFS(tblAuftraege[Ausgaben],tblAuftraege[Datum Ausgaben],"&gt;="&amp;AD$5,tblAuftraege[Datum Ausgaben],"&lt;"&amp;EDATE(AD$5,1),tblAuftraege[Kostenstelle],$A204))</f>
        <v>0</v>
      </c>
      <c r="AE204" s="11" t="n">
        <f aca="false">IF($A204="",0,SUMIFS(tblAuftraege[Ausgaben],tblAuftraege[Datum Ausgaben],"&gt;="&amp;AE$5,tblAuftraege[Datum Ausgaben],"&lt;"&amp;EDATE(AE$5,1),tblAuftraege[Kostenstelle],$A204))</f>
        <v>0</v>
      </c>
      <c r="AF204" s="11" t="n">
        <f aca="false">IF($A204="",0,SUMIFS(tblAuftraege[Ausgaben],tblAuftraege[Datum Ausgaben],"&gt;="&amp;AF$5,tblAuftraege[Datum Ausgaben],"&lt;"&amp;EDATE(AF$5,1),tblAuftraege[Kostenstelle],$A204))</f>
        <v>0</v>
      </c>
      <c r="AG204" s="11" t="n">
        <f aca="false">IF($A204="",0,SUMIFS(tblAuftraege[Ausgaben],tblAuftraege[Datum Ausgaben],"&gt;="&amp;AG$5,tblAuftraege[Datum Ausgaben],"&lt;"&amp;EDATE(AG$5,1),tblAuftraege[Kostenstelle],$A204))</f>
        <v>0</v>
      </c>
      <c r="AH204" s="11" t="n">
        <f aca="false">IF($A204="",0,SUMIFS(tblAuftraege[Ausgaben],tblAuftraege[Datum Ausgaben],"&gt;="&amp;AH$5,tblAuftraege[Datum Ausgaben],"&lt;"&amp;EDATE(AH$5,1),tblAuftraege[Kostenstelle],$A204))</f>
        <v>0</v>
      </c>
      <c r="AI204" s="11" t="n">
        <f aca="false">IF($A204="",0,SUMIFS(tblAuftraege[Ausgaben],tblAuftraege[Datum Ausgaben],"&gt;="&amp;AI$5,tblAuftraege[Datum Ausgaben],"&lt;"&amp;EDATE(AI$5,1),tblAuftraege[Kostenstelle],$A204))</f>
        <v>0</v>
      </c>
      <c r="AJ204" s="11" t="n">
        <f aca="false">IF($A204="",0,SUMIFS(tblAuftraege[Ausgaben],tblAuftraege[Datum Ausgaben],"&gt;="&amp;AJ$5,tblAuftraege[Datum Ausgaben],"&lt;"&amp;EDATE(AJ$5,1),tblAuftraege[Kostenstelle],$A204))</f>
        <v>0</v>
      </c>
      <c r="AK204" s="11" t="n">
        <f aca="false">IF($A204="",0,SUMIFS(tblAuftraege[Ausgaben],tblAuftraege[Datum Ausgaben],"&gt;="&amp;AK$5,tblAuftraege[Datum Ausgaben],"&lt;"&amp;EDATE(AK$5,1),tblAuftraege[Kostenstelle],$A204))</f>
        <v>0</v>
      </c>
      <c r="AL204" s="11" t="n">
        <f aca="false">IF($A204="",0,SUMIFS(tblAuftraege[Ausgaben],tblAuftraege[Datum Ausgaben],"&gt;="&amp;AL$5,tblAuftraege[Datum Ausgaben],"&lt;"&amp;EDATE(AL$5,1),tblAuftraege[Kostenstelle],$A204))</f>
        <v>0</v>
      </c>
      <c r="AM204" s="11" t="n">
        <f aca="false">IF($A204="",0,SUMIFS(tblAuftraege[Ausgaben],tblAuftraege[Datum Ausgaben],"&gt;="&amp;AM$5,tblAuftraege[Datum Ausgaben],"&lt;"&amp;EDATE(AM$5,1),tblAuftraege[Kostenstelle],$A204))</f>
        <v>0</v>
      </c>
      <c r="AN204" s="11" t="n">
        <f aca="false">IF($A204="",0,SUMIFS(tblAuftraege[Ausgaben],tblAuftraege[Datum Ausgaben],"&gt;="&amp;AN$5,tblAuftraege[Datum Ausgaben],"&lt;"&amp;EDATE(AN$5,1),tblAuftraege[Kostenstelle],$A204))</f>
        <v>0</v>
      </c>
      <c r="AO204" s="11" t="n">
        <f aca="false">IF($A204="",0,SUMIFS(tblAuftraege[Ausgaben],tblAuftraege[Datum Ausgaben],"&gt;="&amp;AO$5,tblAuftraege[Datum Ausgaben],"&lt;"&amp;EDATE(AO$5,1),tblAuftraege[Kostenstelle],$A204))</f>
        <v>0</v>
      </c>
      <c r="AP204" s="11" t="n">
        <f aca="false">IF($A204="",0,SUMIFS(tblAuftraege[Ausgaben],tblAuftraege[Datum Ausgaben],"&gt;="&amp;AP$5,tblAuftraege[Datum Ausgaben],"&lt;"&amp;EDATE(AP$5,1),tblAuftraege[Kostenstelle],$A204))</f>
        <v>0</v>
      </c>
      <c r="AQ204" s="11" t="n">
        <f aca="false">IF($A204="",0,SUMIFS(tblAuftraege[Ausgaben],tblAuftraege[Datum Ausgaben],"&gt;="&amp;AQ$5,tblAuftraege[Datum Ausgaben],"&lt;"&amp;EDATE(AQ$5,1),tblAuftraege[Kostenstelle],$A204))</f>
        <v>0</v>
      </c>
      <c r="AR204" s="11" t="n">
        <f aca="false">IF($A204="",0,SUMIFS(tblAuftraege[Ausgaben],tblAuftraege[Datum Ausgaben],"&gt;="&amp;AR$5,tblAuftraege[Datum Ausgaben],"&lt;"&amp;EDATE(AR$5,1),tblAuftraege[Kostenstelle],$A204))</f>
        <v>0</v>
      </c>
      <c r="AS204" s="11" t="n">
        <f aca="false">IF($A204="",0,SUMIFS(tblAuftraege[Ausgaben],tblAuftraege[Datum Ausgaben],"&gt;="&amp;AS$5,tblAuftraege[Datum Ausgaben],"&lt;"&amp;EDATE(AS$5,1),tblAuftraege[Kostenstelle],$A204))</f>
        <v>0</v>
      </c>
      <c r="AT204" s="11" t="n">
        <f aca="false">IF($A204="",0,SUMIFS(tblAuftraege[Ausgaben],tblAuftraege[Datum Ausgaben],"&gt;="&amp;AT$5,tblAuftraege[Datum Ausgaben],"&lt;"&amp;EDATE(AT$5,1),tblAuftraege[Kostenstelle],$A204))</f>
        <v>0</v>
      </c>
      <c r="AU204" s="11" t="n">
        <f aca="false">IF($A204="",0,SUMIFS(tblAuftraege[Ausgaben],tblAuftraege[Datum Ausgaben],"&gt;="&amp;AU$5,tblAuftraege[Datum Ausgaben],"&lt;"&amp;EDATE(AU$5,1),tblAuftraege[Kostenstelle],$A204))</f>
        <v>0</v>
      </c>
      <c r="AV204" s="11" t="n">
        <f aca="false">IF($A204="",0,SUMIFS(tblAuftraege[Ausgaben],tblAuftraege[Datum Ausgaben],"&gt;="&amp;AV$5,tblAuftraege[Datum Ausgaben],"&lt;"&amp;EDATE(AV$5,1),tblAuftraege[Kostenstelle],$A204))</f>
        <v>0</v>
      </c>
      <c r="AW204" s="11" t="n">
        <f aca="false">IF($A204="",0,SUMIFS(tblAuftraege[Ausgaben],tblAuftraege[Datum Ausgaben],"&gt;="&amp;AW$5,tblAuftraege[Datum Ausgaben],"&lt;"&amp;EDATE(AW$5,1),tblAuftraege[Kostenstelle],$A204))</f>
        <v>0</v>
      </c>
      <c r="AX204" s="11" t="n">
        <f aca="false">IF($A204="",0,SUMIFS(tblAuftraege[Ausgaben],tblAuftraege[Datum Ausgaben],"&gt;="&amp;AX$5,tblAuftraege[Datum Ausgaben],"&lt;"&amp;EDATE(AX$5,1),tblAuftraege[Kostenstelle],$A204))</f>
        <v>0</v>
      </c>
      <c r="AY204" s="11" t="n">
        <f aca="false">IF($A204="",0,SUMIFS(tblAuftraege[Ausgaben],tblAuftraege[Datum Ausgaben],"&gt;="&amp;AY$5,tblAuftraege[Datum Ausgaben],"&lt;"&amp;EDATE(AY$5,1),tblAuftraege[Kostenstelle],$A204))</f>
        <v>0</v>
      </c>
      <c r="AZ204" s="11" t="n">
        <f aca="false">IF($A204="",0,SUMIFS(tblAuftraege[Ausgaben],tblAuftraege[Datum Ausgaben],"&gt;="&amp;AZ$5,tblAuftraege[Datum Ausgaben],"&lt;"&amp;EDATE(AZ$5,1),tblAuftraege[Kostenstelle],$A204))</f>
        <v>0</v>
      </c>
      <c r="BA204" s="11" t="n">
        <f aca="false">IF($A204="",0,SUMIFS(tblAuftraege[Ausgaben],tblAuftraege[Datum Ausgaben],"&gt;="&amp;BA$5,tblAuftraege[Datum Ausgaben],"&lt;"&amp;EDATE(BA$5,1),tblAuftraege[Kostenstelle],$A204))</f>
        <v>0</v>
      </c>
      <c r="BB204" s="11" t="n">
        <f aca="false">IF($A204="",0,SUMIFS(tblAuftraege[Ausgaben],tblAuftraege[Datum Ausgaben],"&gt;="&amp;BB$5,tblAuftraege[Datum Ausgaben],"&lt;"&amp;EDATE(BB$5,1),tblAuftraege[Kostenstelle],$A204))</f>
        <v>0</v>
      </c>
      <c r="BC204" s="11" t="n">
        <f aca="false">IF($A204="",0,SUMIFS(tblAuftraege[Ausgaben],tblAuftraege[Datum Ausgaben],"&gt;="&amp;BC$5,tblAuftraege[Datum Ausgaben],"&lt;"&amp;EDATE(BC$5,1),tblAuftraege[Kostenstelle],$A204))</f>
        <v>0</v>
      </c>
      <c r="BD204" s="11" t="n">
        <f aca="false">IF($A204="",0,SUMIFS(tblAuftraege[Ausgaben],tblAuftraege[Datum Ausgaben],"&gt;="&amp;BD$5,tblAuftraege[Datum Ausgaben],"&lt;"&amp;EDATE(BD$5,1),tblAuftraege[Kostenstelle],$A204))</f>
        <v>0</v>
      </c>
      <c r="BE204" s="11" t="n">
        <f aca="false">IF($A204="",0,SUMIFS(tblAuftraege[Ausgaben],tblAuftraege[Datum Ausgaben],"&gt;="&amp;BE$5,tblAuftraege[Datum Ausgaben],"&lt;"&amp;EDATE(BE$5,1),tblAuftraege[Kostenstelle],$A204))</f>
        <v>0</v>
      </c>
      <c r="BF204" s="11" t="n">
        <f aca="false">IF($A204="",0,SUMIFS(tblAuftraege[Ausgaben],tblAuftraege[Datum Ausgaben],"&gt;="&amp;BF$5,tblAuftraege[Datum Ausgaben],"&lt;"&amp;EDATE(BF$5,1),tblAuftraege[Kostenstelle],$A204))</f>
        <v>0</v>
      </c>
      <c r="BG204" s="11" t="n">
        <f aca="false">SUM(E204:J204)</f>
        <v>0</v>
      </c>
      <c r="BH204" s="11" t="n">
        <f aca="false">SUM(K204:V204)</f>
        <v>0</v>
      </c>
      <c r="BI204" s="11" t="n">
        <f aca="false">SUM(W204:AH204)</f>
        <v>0</v>
      </c>
      <c r="BJ204" s="11" t="n">
        <f aca="false">SUM(AI204:AT204)</f>
        <v>0</v>
      </c>
      <c r="BK204" s="11" t="n">
        <f aca="false">SUM(AU204:BF204)</f>
        <v>0</v>
      </c>
      <c r="BL204" s="12" t="n">
        <f aca="false">SUM(E204:BF204)</f>
        <v>0</v>
      </c>
    </row>
    <row r="207" customFormat="false" ht="15" hidden="false" customHeight="false" outlineLevel="0" collapsed="false">
      <c r="A207" s="37" t="s">
        <v>137</v>
      </c>
    </row>
    <row r="208" customFormat="false" ht="15" hidden="false" customHeight="false" outlineLevel="0" collapsed="false">
      <c r="A208" s="38"/>
      <c r="B208" s="39" t="s">
        <v>138</v>
      </c>
    </row>
    <row r="209" customFormat="false" ht="15" hidden="false" customHeight="false" outlineLevel="0" collapsed="false">
      <c r="A209" s="15"/>
      <c r="B209" s="39" t="s">
        <v>139</v>
      </c>
    </row>
    <row r="210" customFormat="false" ht="15" hidden="false" customHeight="false" outlineLevel="0" collapsed="false">
      <c r="A210" s="22"/>
      <c r="B210" s="39" t="s">
        <v>140</v>
      </c>
    </row>
    <row r="211" customFormat="false" ht="15" hidden="false" customHeight="false" outlineLevel="0" collapsed="false">
      <c r="A211" s="3" t="s">
        <v>141</v>
      </c>
    </row>
    <row r="212" customFormat="false" ht="15" hidden="false" customHeight="false" outlineLevel="0" collapsed="false">
      <c r="A212" s="3" t="s">
        <v>142</v>
      </c>
    </row>
    <row r="213" customFormat="false" ht="15" hidden="false" customHeight="false" outlineLevel="0" collapsed="false">
      <c r="A213" s="3" t="s">
        <v>143</v>
      </c>
    </row>
    <row r="214" customFormat="false" ht="15" hidden="false" customHeight="false" outlineLevel="0" collapsed="false">
      <c r="A214" s="3" t="s">
        <v>144</v>
      </c>
    </row>
    <row r="215" customFormat="false" ht="15" hidden="false" customHeight="false" outlineLevel="0" collapsed="false">
      <c r="A215" s="26"/>
      <c r="B215" s="39" t="s">
        <v>145</v>
      </c>
    </row>
    <row r="216" customFormat="false" ht="15" hidden="false" customHeight="false" outlineLevel="0" collapsed="false">
      <c r="A216" s="3" t="s">
        <v>146</v>
      </c>
    </row>
    <row r="217" customFormat="false" ht="15" hidden="false" customHeight="false" outlineLevel="0" collapsed="false">
      <c r="A217" s="3" t="s">
        <v>147</v>
      </c>
    </row>
  </sheetData>
  <conditionalFormatting sqref="E8:BL204">
    <cfRule type="cellIs" priority="2" operator="lessThan" aboveAverage="0" equalAverage="0" bottom="0" percent="0" rank="0" text="" dxfId="0">
      <formula>0</formula>
    </cfRule>
  </conditionalFormatting>
  <conditionalFormatting sqref="D147:D155 E118:BL119 E165:BL166 E170:BL170">
    <cfRule type="cellIs" priority="3" operator="greaterThan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3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DusL Plus Autostrom – Cashflow  |  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17"/>
    <col collapsed="false" customWidth="true" hidden="false" outlineLevel="0" max="8" min="7" style="0" width="16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40" t="s">
        <v>148</v>
      </c>
    </row>
    <row r="2" customFormat="false" ht="15" hidden="false" customHeight="false" outlineLevel="0" collapsed="false">
      <c r="A2" s="41" t="s">
        <v>149</v>
      </c>
    </row>
    <row r="3" customFormat="false" ht="15" hidden="false" customHeight="false" outlineLevel="0" collapsed="false">
      <c r="A3" s="3" t="s">
        <v>150</v>
      </c>
    </row>
    <row r="4" customFormat="false" ht="15" hidden="false" customHeight="false" outlineLevel="0" collapsed="false">
      <c r="A4" s="3" t="s">
        <v>151</v>
      </c>
    </row>
    <row r="6" customFormat="false" ht="30" hidden="false" customHeight="true" outlineLevel="0" collapsed="false">
      <c r="A6" s="5" t="s">
        <v>4</v>
      </c>
      <c r="B6" s="5" t="s">
        <v>6</v>
      </c>
      <c r="C6" s="5" t="s">
        <v>7</v>
      </c>
      <c r="D6" s="5" t="s">
        <v>5</v>
      </c>
      <c r="E6" s="6" t="s">
        <v>152</v>
      </c>
      <c r="F6" s="6" t="s">
        <v>153</v>
      </c>
      <c r="G6" s="6" t="s">
        <v>154</v>
      </c>
      <c r="H6" s="6" t="s">
        <v>155</v>
      </c>
      <c r="I6" s="6" t="s">
        <v>156</v>
      </c>
    </row>
    <row r="7" customFormat="false" ht="15" hidden="false" customHeight="false" outlineLevel="0" collapsed="false">
      <c r="A7" s="42"/>
      <c r="B7" s="43"/>
      <c r="C7" s="43"/>
      <c r="D7" s="43"/>
      <c r="E7" s="44"/>
      <c r="F7" s="44"/>
      <c r="G7" s="45"/>
      <c r="H7" s="45"/>
      <c r="I7" s="46"/>
    </row>
    <row r="8" customFormat="false" ht="15" hidden="false" customHeight="false" outlineLevel="0" collapsed="false">
      <c r="A8" s="42"/>
      <c r="B8" s="43"/>
      <c r="C8" s="43"/>
      <c r="D8" s="43"/>
      <c r="E8" s="44"/>
      <c r="F8" s="44"/>
      <c r="G8" s="45"/>
      <c r="H8" s="45"/>
      <c r="I8" s="46"/>
    </row>
    <row r="9" customFormat="false" ht="15" hidden="false" customHeight="false" outlineLevel="0" collapsed="false">
      <c r="A9" s="42"/>
      <c r="B9" s="43"/>
      <c r="C9" s="43"/>
      <c r="D9" s="43"/>
      <c r="E9" s="44"/>
      <c r="F9" s="44"/>
      <c r="G9" s="45"/>
      <c r="H9" s="45"/>
      <c r="I9" s="46"/>
    </row>
    <row r="10" customFormat="false" ht="15" hidden="false" customHeight="false" outlineLevel="0" collapsed="false">
      <c r="A10" s="42"/>
      <c r="B10" s="43"/>
      <c r="C10" s="43"/>
      <c r="D10" s="43"/>
      <c r="E10" s="44"/>
      <c r="F10" s="44"/>
      <c r="G10" s="45"/>
      <c r="H10" s="45"/>
      <c r="I10" s="46"/>
    </row>
    <row r="11" customFormat="false" ht="15" hidden="false" customHeight="false" outlineLevel="0" collapsed="false">
      <c r="A11" s="42"/>
      <c r="B11" s="43"/>
      <c r="C11" s="43"/>
      <c r="D11" s="43"/>
      <c r="E11" s="44"/>
      <c r="F11" s="44"/>
      <c r="G11" s="45"/>
      <c r="H11" s="45"/>
      <c r="I11" s="46"/>
    </row>
    <row r="12" customFormat="false" ht="15" hidden="false" customHeight="false" outlineLevel="0" collapsed="false">
      <c r="A12" s="42"/>
      <c r="B12" s="43"/>
      <c r="C12" s="43"/>
      <c r="D12" s="43"/>
      <c r="E12" s="44"/>
      <c r="F12" s="44"/>
      <c r="G12" s="45"/>
      <c r="H12" s="45"/>
      <c r="I12" s="46"/>
    </row>
    <row r="13" customFormat="false" ht="15" hidden="false" customHeight="false" outlineLevel="0" collapsed="false">
      <c r="A13" s="42"/>
      <c r="B13" s="43"/>
      <c r="C13" s="43"/>
      <c r="D13" s="43"/>
      <c r="E13" s="44"/>
      <c r="F13" s="44"/>
      <c r="G13" s="45"/>
      <c r="H13" s="45"/>
      <c r="I13" s="46"/>
    </row>
    <row r="14" customFormat="false" ht="15" hidden="false" customHeight="false" outlineLevel="0" collapsed="false">
      <c r="A14" s="42"/>
      <c r="B14" s="43"/>
      <c r="C14" s="43"/>
      <c r="D14" s="43"/>
      <c r="E14" s="44"/>
      <c r="F14" s="44"/>
      <c r="G14" s="45"/>
      <c r="H14" s="45"/>
      <c r="I14" s="46"/>
    </row>
    <row r="15" customFormat="false" ht="15" hidden="false" customHeight="false" outlineLevel="0" collapsed="false">
      <c r="A15" s="42"/>
      <c r="B15" s="43"/>
      <c r="C15" s="43"/>
      <c r="D15" s="43"/>
      <c r="E15" s="44"/>
      <c r="F15" s="44"/>
      <c r="G15" s="45"/>
      <c r="H15" s="45"/>
      <c r="I15" s="46"/>
    </row>
    <row r="16" customFormat="false" ht="15" hidden="false" customHeight="false" outlineLevel="0" collapsed="false">
      <c r="A16" s="42"/>
      <c r="B16" s="43"/>
      <c r="C16" s="43"/>
      <c r="D16" s="43"/>
      <c r="E16" s="44"/>
      <c r="F16" s="44"/>
      <c r="G16" s="45"/>
      <c r="H16" s="45"/>
      <c r="I16" s="46"/>
    </row>
    <row r="17" customFormat="false" ht="15" hidden="false" customHeight="false" outlineLevel="0" collapsed="false">
      <c r="A17" s="42"/>
      <c r="B17" s="43"/>
      <c r="C17" s="43"/>
      <c r="D17" s="43"/>
      <c r="E17" s="44"/>
      <c r="F17" s="44"/>
      <c r="G17" s="45"/>
      <c r="H17" s="45"/>
      <c r="I17" s="46"/>
    </row>
    <row r="18" customFormat="false" ht="15" hidden="false" customHeight="false" outlineLevel="0" collapsed="false">
      <c r="A18" s="42"/>
      <c r="B18" s="43"/>
      <c r="C18" s="43"/>
      <c r="D18" s="43"/>
      <c r="E18" s="44"/>
      <c r="F18" s="44"/>
      <c r="G18" s="45"/>
      <c r="H18" s="45"/>
      <c r="I18" s="46"/>
    </row>
    <row r="19" customFormat="false" ht="15" hidden="false" customHeight="false" outlineLevel="0" collapsed="false">
      <c r="A19" s="42"/>
      <c r="B19" s="43"/>
      <c r="C19" s="43"/>
      <c r="D19" s="43"/>
      <c r="E19" s="44"/>
      <c r="F19" s="44"/>
      <c r="G19" s="45"/>
      <c r="H19" s="45"/>
      <c r="I19" s="46"/>
    </row>
    <row r="20" customFormat="false" ht="15" hidden="false" customHeight="false" outlineLevel="0" collapsed="false">
      <c r="A20" s="42"/>
      <c r="B20" s="43"/>
      <c r="C20" s="43"/>
      <c r="D20" s="43"/>
      <c r="E20" s="44"/>
      <c r="F20" s="44"/>
      <c r="G20" s="45"/>
      <c r="H20" s="45"/>
      <c r="I20" s="46"/>
    </row>
    <row r="21" customFormat="false" ht="15" hidden="false" customHeight="false" outlineLevel="0" collapsed="false">
      <c r="A21" s="42"/>
      <c r="B21" s="43"/>
      <c r="C21" s="43"/>
      <c r="D21" s="43"/>
      <c r="E21" s="44"/>
      <c r="F21" s="44"/>
      <c r="G21" s="45"/>
      <c r="H21" s="45"/>
      <c r="I21" s="46"/>
    </row>
    <row r="22" customFormat="false" ht="15" hidden="false" customHeight="false" outlineLevel="0" collapsed="false">
      <c r="A22" s="42"/>
      <c r="B22" s="43"/>
      <c r="C22" s="43"/>
      <c r="D22" s="43"/>
      <c r="E22" s="44"/>
      <c r="F22" s="44"/>
      <c r="G22" s="45"/>
      <c r="H22" s="45"/>
      <c r="I22" s="46"/>
    </row>
    <row r="23" customFormat="false" ht="15" hidden="false" customHeight="false" outlineLevel="0" collapsed="false">
      <c r="A23" s="42"/>
      <c r="B23" s="43"/>
      <c r="C23" s="43"/>
      <c r="D23" s="43"/>
      <c r="E23" s="44"/>
      <c r="F23" s="44"/>
      <c r="G23" s="45"/>
      <c r="H23" s="45"/>
      <c r="I23" s="46"/>
    </row>
    <row r="24" customFormat="false" ht="15" hidden="false" customHeight="false" outlineLevel="0" collapsed="false">
      <c r="A24" s="42"/>
      <c r="B24" s="43"/>
      <c r="C24" s="43"/>
      <c r="D24" s="43"/>
      <c r="E24" s="44"/>
      <c r="F24" s="44"/>
      <c r="G24" s="45"/>
      <c r="H24" s="45"/>
      <c r="I24" s="46"/>
    </row>
    <row r="25" customFormat="false" ht="15" hidden="false" customHeight="false" outlineLevel="0" collapsed="false">
      <c r="A25" s="42"/>
      <c r="B25" s="43"/>
      <c r="C25" s="43"/>
      <c r="D25" s="43"/>
      <c r="E25" s="44"/>
      <c r="F25" s="44"/>
      <c r="G25" s="45"/>
      <c r="H25" s="45"/>
      <c r="I25" s="46"/>
    </row>
    <row r="26" customFormat="false" ht="15" hidden="false" customHeight="false" outlineLevel="0" collapsed="false">
      <c r="A26" s="42"/>
      <c r="B26" s="43"/>
      <c r="C26" s="43"/>
      <c r="D26" s="43"/>
      <c r="E26" s="44"/>
      <c r="F26" s="44"/>
      <c r="G26" s="45"/>
      <c r="H26" s="45"/>
      <c r="I26" s="46"/>
    </row>
    <row r="27" customFormat="false" ht="15" hidden="false" customHeight="false" outlineLevel="0" collapsed="false">
      <c r="A27" s="42"/>
      <c r="B27" s="43"/>
      <c r="C27" s="43"/>
      <c r="D27" s="43"/>
      <c r="E27" s="44"/>
      <c r="F27" s="44"/>
      <c r="G27" s="45"/>
      <c r="H27" s="45"/>
      <c r="I27" s="46"/>
    </row>
    <row r="28" customFormat="false" ht="15" hidden="false" customHeight="false" outlineLevel="0" collapsed="false">
      <c r="A28" s="42"/>
      <c r="B28" s="43"/>
      <c r="C28" s="43"/>
      <c r="D28" s="43"/>
      <c r="E28" s="44"/>
      <c r="F28" s="44"/>
      <c r="G28" s="45"/>
      <c r="H28" s="45"/>
      <c r="I28" s="46"/>
    </row>
    <row r="29" customFormat="false" ht="15" hidden="false" customHeight="false" outlineLevel="0" collapsed="false">
      <c r="A29" s="42"/>
      <c r="B29" s="43"/>
      <c r="C29" s="43"/>
      <c r="D29" s="43"/>
      <c r="E29" s="44"/>
      <c r="F29" s="44"/>
      <c r="G29" s="45"/>
      <c r="H29" s="45"/>
      <c r="I29" s="46"/>
    </row>
    <row r="30" customFormat="false" ht="15" hidden="false" customHeight="false" outlineLevel="0" collapsed="false">
      <c r="A30" s="42"/>
      <c r="B30" s="43"/>
      <c r="C30" s="43"/>
      <c r="D30" s="43"/>
      <c r="E30" s="44"/>
      <c r="F30" s="44"/>
      <c r="G30" s="45"/>
      <c r="H30" s="45"/>
      <c r="I30" s="46"/>
    </row>
    <row r="31" customFormat="false" ht="15" hidden="false" customHeight="false" outlineLevel="0" collapsed="false">
      <c r="A31" s="42"/>
      <c r="B31" s="43"/>
      <c r="C31" s="43"/>
      <c r="D31" s="43"/>
      <c r="E31" s="44"/>
      <c r="F31" s="44"/>
      <c r="G31" s="45"/>
      <c r="H31" s="45"/>
      <c r="I31" s="46"/>
    </row>
    <row r="32" customFormat="false" ht="15" hidden="false" customHeight="false" outlineLevel="0" collapsed="false">
      <c r="A32" s="42"/>
      <c r="B32" s="43"/>
      <c r="C32" s="43"/>
      <c r="D32" s="43"/>
      <c r="E32" s="44"/>
      <c r="F32" s="44"/>
      <c r="G32" s="45"/>
      <c r="H32" s="45"/>
      <c r="I32" s="46"/>
    </row>
    <row r="33" customFormat="false" ht="15" hidden="false" customHeight="false" outlineLevel="0" collapsed="false">
      <c r="A33" s="42"/>
      <c r="B33" s="43"/>
      <c r="C33" s="43"/>
      <c r="D33" s="43"/>
      <c r="E33" s="44"/>
      <c r="F33" s="44"/>
      <c r="G33" s="45"/>
      <c r="H33" s="45"/>
      <c r="I33" s="46"/>
    </row>
    <row r="34" customFormat="false" ht="15" hidden="false" customHeight="false" outlineLevel="0" collapsed="false">
      <c r="A34" s="42"/>
      <c r="B34" s="43"/>
      <c r="C34" s="43"/>
      <c r="D34" s="43"/>
      <c r="E34" s="44"/>
      <c r="F34" s="44"/>
      <c r="G34" s="45"/>
      <c r="H34" s="45"/>
      <c r="I34" s="46"/>
    </row>
    <row r="35" customFormat="false" ht="15" hidden="false" customHeight="false" outlineLevel="0" collapsed="false">
      <c r="A35" s="42"/>
      <c r="B35" s="43"/>
      <c r="C35" s="43"/>
      <c r="D35" s="43"/>
      <c r="E35" s="44"/>
      <c r="F35" s="44"/>
      <c r="G35" s="45"/>
      <c r="H35" s="45"/>
      <c r="I35" s="46"/>
    </row>
    <row r="36" customFormat="false" ht="15" hidden="false" customHeight="false" outlineLevel="0" collapsed="false">
      <c r="A36" s="42"/>
      <c r="B36" s="43"/>
      <c r="C36" s="43"/>
      <c r="D36" s="43"/>
      <c r="E36" s="44"/>
      <c r="F36" s="44"/>
      <c r="G36" s="45"/>
      <c r="H36" s="45"/>
      <c r="I36" s="46"/>
    </row>
    <row r="37" customFormat="false" ht="15" hidden="false" customHeight="false" outlineLevel="0" collapsed="false">
      <c r="A37" s="42"/>
      <c r="B37" s="43"/>
      <c r="C37" s="43"/>
      <c r="D37" s="43"/>
      <c r="E37" s="44"/>
      <c r="F37" s="44"/>
      <c r="G37" s="45"/>
      <c r="H37" s="45"/>
      <c r="I37" s="46"/>
    </row>
    <row r="38" customFormat="false" ht="15" hidden="false" customHeight="false" outlineLevel="0" collapsed="false">
      <c r="A38" s="42"/>
      <c r="B38" s="43"/>
      <c r="C38" s="43"/>
      <c r="D38" s="43"/>
      <c r="E38" s="44"/>
      <c r="F38" s="44"/>
      <c r="G38" s="45"/>
      <c r="H38" s="45"/>
      <c r="I38" s="46"/>
    </row>
    <row r="39" customFormat="false" ht="15" hidden="false" customHeight="false" outlineLevel="0" collapsed="false">
      <c r="A39" s="42"/>
      <c r="B39" s="43"/>
      <c r="C39" s="43"/>
      <c r="D39" s="43"/>
      <c r="E39" s="44"/>
      <c r="F39" s="44"/>
      <c r="G39" s="45"/>
      <c r="H39" s="45"/>
      <c r="I39" s="46"/>
    </row>
    <row r="40" customFormat="false" ht="15" hidden="false" customHeight="false" outlineLevel="0" collapsed="false">
      <c r="A40" s="42"/>
      <c r="B40" s="43"/>
      <c r="C40" s="43"/>
      <c r="D40" s="43"/>
      <c r="E40" s="44"/>
      <c r="F40" s="44"/>
      <c r="G40" s="45"/>
      <c r="H40" s="45"/>
      <c r="I40" s="46"/>
    </row>
    <row r="41" customFormat="false" ht="15" hidden="false" customHeight="false" outlineLevel="0" collapsed="false">
      <c r="A41" s="42"/>
      <c r="B41" s="43"/>
      <c r="C41" s="43"/>
      <c r="D41" s="43"/>
      <c r="E41" s="44"/>
      <c r="F41" s="44"/>
      <c r="G41" s="45"/>
      <c r="H41" s="45"/>
      <c r="I41" s="46"/>
    </row>
    <row r="42" customFormat="false" ht="15" hidden="false" customHeight="false" outlineLevel="0" collapsed="false">
      <c r="A42" s="42"/>
      <c r="B42" s="43"/>
      <c r="C42" s="43"/>
      <c r="D42" s="43"/>
      <c r="E42" s="44"/>
      <c r="F42" s="44"/>
      <c r="G42" s="45"/>
      <c r="H42" s="45"/>
      <c r="I42" s="46"/>
    </row>
    <row r="43" customFormat="false" ht="15" hidden="false" customHeight="false" outlineLevel="0" collapsed="false">
      <c r="A43" s="42"/>
      <c r="B43" s="43"/>
      <c r="C43" s="43"/>
      <c r="D43" s="43"/>
      <c r="E43" s="44"/>
      <c r="F43" s="44"/>
      <c r="G43" s="45"/>
      <c r="H43" s="45"/>
      <c r="I43" s="46"/>
    </row>
    <row r="44" customFormat="false" ht="15" hidden="false" customHeight="false" outlineLevel="0" collapsed="false">
      <c r="A44" s="42"/>
      <c r="B44" s="43"/>
      <c r="C44" s="43"/>
      <c r="D44" s="43"/>
      <c r="E44" s="44"/>
      <c r="F44" s="44"/>
      <c r="G44" s="45"/>
      <c r="H44" s="45"/>
      <c r="I44" s="46"/>
    </row>
    <row r="45" customFormat="false" ht="15" hidden="false" customHeight="false" outlineLevel="0" collapsed="false">
      <c r="A45" s="42"/>
      <c r="B45" s="43"/>
      <c r="C45" s="43"/>
      <c r="D45" s="43"/>
      <c r="E45" s="44"/>
      <c r="F45" s="44"/>
      <c r="G45" s="45"/>
      <c r="H45" s="45"/>
      <c r="I45" s="46"/>
    </row>
    <row r="46" customFormat="false" ht="15" hidden="false" customHeight="false" outlineLevel="0" collapsed="false">
      <c r="A46" s="42"/>
      <c r="B46" s="43"/>
      <c r="C46" s="43"/>
      <c r="D46" s="43"/>
      <c r="E46" s="44"/>
      <c r="F46" s="44"/>
      <c r="G46" s="45"/>
      <c r="H46" s="45"/>
      <c r="I46" s="46"/>
    </row>
    <row r="47" customFormat="false" ht="15" hidden="false" customHeight="false" outlineLevel="0" collapsed="false">
      <c r="A47" s="42"/>
      <c r="B47" s="43"/>
      <c r="C47" s="43"/>
      <c r="D47" s="43"/>
      <c r="E47" s="44"/>
      <c r="F47" s="44"/>
      <c r="G47" s="45"/>
      <c r="H47" s="45"/>
      <c r="I47" s="46"/>
    </row>
    <row r="48" customFormat="false" ht="15" hidden="false" customHeight="false" outlineLevel="0" collapsed="false">
      <c r="A48" s="42"/>
      <c r="B48" s="43"/>
      <c r="C48" s="43"/>
      <c r="D48" s="43"/>
      <c r="E48" s="44"/>
      <c r="F48" s="44"/>
      <c r="G48" s="45"/>
      <c r="H48" s="45"/>
      <c r="I48" s="46"/>
    </row>
    <row r="49" customFormat="false" ht="15" hidden="false" customHeight="false" outlineLevel="0" collapsed="false">
      <c r="A49" s="42"/>
      <c r="B49" s="43"/>
      <c r="C49" s="43"/>
      <c r="D49" s="43"/>
      <c r="E49" s="44"/>
      <c r="F49" s="44"/>
      <c r="G49" s="45"/>
      <c r="H49" s="45"/>
      <c r="I49" s="46"/>
    </row>
    <row r="50" customFormat="false" ht="15" hidden="false" customHeight="false" outlineLevel="0" collapsed="false">
      <c r="A50" s="42"/>
      <c r="B50" s="43"/>
      <c r="C50" s="43"/>
      <c r="D50" s="43"/>
      <c r="E50" s="44"/>
      <c r="F50" s="44"/>
      <c r="G50" s="45"/>
      <c r="H50" s="45"/>
      <c r="I50" s="46"/>
    </row>
    <row r="51" customFormat="false" ht="15" hidden="false" customHeight="false" outlineLevel="0" collapsed="false">
      <c r="A51" s="42"/>
      <c r="B51" s="43"/>
      <c r="C51" s="43"/>
      <c r="D51" s="43"/>
      <c r="E51" s="44"/>
      <c r="F51" s="44"/>
      <c r="G51" s="45"/>
      <c r="H51" s="45"/>
      <c r="I51" s="46"/>
    </row>
    <row r="52" customFormat="false" ht="15" hidden="false" customHeight="false" outlineLevel="0" collapsed="false">
      <c r="A52" s="42"/>
      <c r="B52" s="43"/>
      <c r="C52" s="43"/>
      <c r="D52" s="43"/>
      <c r="E52" s="44"/>
      <c r="F52" s="44"/>
      <c r="G52" s="45"/>
      <c r="H52" s="45"/>
      <c r="I52" s="46"/>
    </row>
    <row r="53" customFormat="false" ht="15" hidden="false" customHeight="false" outlineLevel="0" collapsed="false">
      <c r="A53" s="42"/>
      <c r="B53" s="43"/>
      <c r="C53" s="43"/>
      <c r="D53" s="43"/>
      <c r="E53" s="44"/>
      <c r="F53" s="44"/>
      <c r="G53" s="45"/>
      <c r="H53" s="45"/>
      <c r="I53" s="46"/>
    </row>
    <row r="54" customFormat="false" ht="15" hidden="false" customHeight="false" outlineLevel="0" collapsed="false">
      <c r="A54" s="42"/>
      <c r="B54" s="43"/>
      <c r="C54" s="43"/>
      <c r="D54" s="43"/>
      <c r="E54" s="44"/>
      <c r="F54" s="44"/>
      <c r="G54" s="45"/>
      <c r="H54" s="45"/>
      <c r="I54" s="46"/>
    </row>
    <row r="55" customFormat="false" ht="15" hidden="false" customHeight="false" outlineLevel="0" collapsed="false">
      <c r="A55" s="42"/>
      <c r="B55" s="43"/>
      <c r="C55" s="43"/>
      <c r="D55" s="43"/>
      <c r="E55" s="44"/>
      <c r="F55" s="44"/>
      <c r="G55" s="45"/>
      <c r="H55" s="45"/>
      <c r="I55" s="46"/>
    </row>
    <row r="56" customFormat="false" ht="15" hidden="false" customHeight="false" outlineLevel="0" collapsed="false">
      <c r="A56" s="42"/>
      <c r="B56" s="43"/>
      <c r="C56" s="43"/>
      <c r="D56" s="43"/>
      <c r="E56" s="44"/>
      <c r="F56" s="44"/>
      <c r="G56" s="45"/>
      <c r="H56" s="45"/>
      <c r="I56" s="46"/>
    </row>
    <row r="57" customFormat="false" ht="15" hidden="false" customHeight="false" outlineLevel="0" collapsed="false">
      <c r="A57" s="42"/>
      <c r="B57" s="43"/>
      <c r="C57" s="43"/>
      <c r="D57" s="43"/>
      <c r="E57" s="44"/>
      <c r="F57" s="44"/>
      <c r="G57" s="45"/>
      <c r="H57" s="45"/>
      <c r="I57" s="46"/>
    </row>
    <row r="58" customFormat="false" ht="15" hidden="false" customHeight="false" outlineLevel="0" collapsed="false">
      <c r="A58" s="42"/>
      <c r="B58" s="43"/>
      <c r="C58" s="43"/>
      <c r="D58" s="43"/>
      <c r="E58" s="44"/>
      <c r="F58" s="44"/>
      <c r="G58" s="45"/>
      <c r="H58" s="45"/>
      <c r="I58" s="46"/>
    </row>
    <row r="59" customFormat="false" ht="15" hidden="false" customHeight="false" outlineLevel="0" collapsed="false">
      <c r="A59" s="42"/>
      <c r="B59" s="43"/>
      <c r="C59" s="43"/>
      <c r="D59" s="43"/>
      <c r="E59" s="44"/>
      <c r="F59" s="44"/>
      <c r="G59" s="45"/>
      <c r="H59" s="45"/>
      <c r="I59" s="46"/>
    </row>
    <row r="60" customFormat="false" ht="15" hidden="false" customHeight="false" outlineLevel="0" collapsed="false">
      <c r="A60" s="42"/>
      <c r="B60" s="43"/>
      <c r="C60" s="43"/>
      <c r="D60" s="43"/>
      <c r="E60" s="44"/>
      <c r="F60" s="44"/>
      <c r="G60" s="45"/>
      <c r="H60" s="45"/>
      <c r="I60" s="46"/>
    </row>
    <row r="61" customFormat="false" ht="15" hidden="false" customHeight="false" outlineLevel="0" collapsed="false">
      <c r="A61" s="42"/>
      <c r="B61" s="43"/>
      <c r="C61" s="43"/>
      <c r="D61" s="43"/>
      <c r="E61" s="44"/>
      <c r="F61" s="44"/>
      <c r="G61" s="45"/>
      <c r="H61" s="45"/>
      <c r="I61" s="46"/>
    </row>
    <row r="62" customFormat="false" ht="15" hidden="false" customHeight="false" outlineLevel="0" collapsed="false">
      <c r="A62" s="42"/>
      <c r="B62" s="43"/>
      <c r="C62" s="43"/>
      <c r="D62" s="43"/>
      <c r="E62" s="44"/>
      <c r="F62" s="44"/>
      <c r="G62" s="45"/>
      <c r="H62" s="45"/>
      <c r="I62" s="46"/>
    </row>
    <row r="63" customFormat="false" ht="15" hidden="false" customHeight="false" outlineLevel="0" collapsed="false">
      <c r="A63" s="42"/>
      <c r="B63" s="43"/>
      <c r="C63" s="43"/>
      <c r="D63" s="43"/>
      <c r="E63" s="44"/>
      <c r="F63" s="44"/>
      <c r="G63" s="45"/>
      <c r="H63" s="45"/>
      <c r="I63" s="46"/>
    </row>
    <row r="64" customFormat="false" ht="15" hidden="false" customHeight="false" outlineLevel="0" collapsed="false">
      <c r="A64" s="42"/>
      <c r="B64" s="43"/>
      <c r="C64" s="43"/>
      <c r="D64" s="43"/>
      <c r="E64" s="44"/>
      <c r="F64" s="44"/>
      <c r="G64" s="45"/>
      <c r="H64" s="45"/>
      <c r="I64" s="46"/>
    </row>
    <row r="65" customFormat="false" ht="15" hidden="false" customHeight="false" outlineLevel="0" collapsed="false">
      <c r="A65" s="42"/>
      <c r="B65" s="43"/>
      <c r="C65" s="43"/>
      <c r="D65" s="43"/>
      <c r="E65" s="44"/>
      <c r="F65" s="44"/>
      <c r="G65" s="45"/>
      <c r="H65" s="45"/>
      <c r="I65" s="46"/>
    </row>
    <row r="66" customFormat="false" ht="15" hidden="false" customHeight="false" outlineLevel="0" collapsed="false">
      <c r="A66" s="42"/>
      <c r="B66" s="43"/>
      <c r="C66" s="43"/>
      <c r="D66" s="43"/>
      <c r="E66" s="44"/>
      <c r="F66" s="44"/>
      <c r="G66" s="45"/>
      <c r="H66" s="45"/>
      <c r="I66" s="46"/>
    </row>
    <row r="67" customFormat="false" ht="15" hidden="false" customHeight="false" outlineLevel="0" collapsed="false">
      <c r="A67" s="42"/>
      <c r="B67" s="43"/>
      <c r="C67" s="43"/>
      <c r="D67" s="43"/>
      <c r="E67" s="44"/>
      <c r="F67" s="44"/>
      <c r="G67" s="45"/>
      <c r="H67" s="45"/>
      <c r="I67" s="46"/>
    </row>
    <row r="68" customFormat="false" ht="15" hidden="false" customHeight="false" outlineLevel="0" collapsed="false">
      <c r="A68" s="42"/>
      <c r="B68" s="43"/>
      <c r="C68" s="43"/>
      <c r="D68" s="43"/>
      <c r="E68" s="44"/>
      <c r="F68" s="44"/>
      <c r="G68" s="45"/>
      <c r="H68" s="45"/>
      <c r="I68" s="46"/>
    </row>
    <row r="69" customFormat="false" ht="15" hidden="false" customHeight="false" outlineLevel="0" collapsed="false">
      <c r="A69" s="42"/>
      <c r="B69" s="43"/>
      <c r="C69" s="43"/>
      <c r="D69" s="43"/>
      <c r="E69" s="44"/>
      <c r="F69" s="44"/>
      <c r="G69" s="45"/>
      <c r="H69" s="45"/>
      <c r="I69" s="46"/>
    </row>
    <row r="70" customFormat="false" ht="15" hidden="false" customHeight="false" outlineLevel="0" collapsed="false">
      <c r="A70" s="42"/>
      <c r="B70" s="43"/>
      <c r="C70" s="43"/>
      <c r="D70" s="43"/>
      <c r="E70" s="44"/>
      <c r="F70" s="44"/>
      <c r="G70" s="45"/>
      <c r="H70" s="45"/>
      <c r="I70" s="46"/>
    </row>
    <row r="71" customFormat="false" ht="15" hidden="false" customHeight="false" outlineLevel="0" collapsed="false">
      <c r="A71" s="42"/>
      <c r="B71" s="43"/>
      <c r="C71" s="43"/>
      <c r="D71" s="43"/>
      <c r="E71" s="44"/>
      <c r="F71" s="44"/>
      <c r="G71" s="45"/>
      <c r="H71" s="45"/>
      <c r="I71" s="46"/>
    </row>
    <row r="72" customFormat="false" ht="15" hidden="false" customHeight="false" outlineLevel="0" collapsed="false">
      <c r="A72" s="42"/>
      <c r="B72" s="43"/>
      <c r="C72" s="43"/>
      <c r="D72" s="43"/>
      <c r="E72" s="44"/>
      <c r="F72" s="44"/>
      <c r="G72" s="45"/>
      <c r="H72" s="45"/>
      <c r="I72" s="46"/>
    </row>
    <row r="73" customFormat="false" ht="15" hidden="false" customHeight="false" outlineLevel="0" collapsed="false">
      <c r="A73" s="42"/>
      <c r="B73" s="43"/>
      <c r="C73" s="43"/>
      <c r="D73" s="43"/>
      <c r="E73" s="44"/>
      <c r="F73" s="44"/>
      <c r="G73" s="45"/>
      <c r="H73" s="45"/>
      <c r="I73" s="46"/>
    </row>
    <row r="74" customFormat="false" ht="15" hidden="false" customHeight="false" outlineLevel="0" collapsed="false">
      <c r="A74" s="42"/>
      <c r="B74" s="43"/>
      <c r="C74" s="43"/>
      <c r="D74" s="43"/>
      <c r="E74" s="44"/>
      <c r="F74" s="44"/>
      <c r="G74" s="45"/>
      <c r="H74" s="45"/>
      <c r="I74" s="46"/>
    </row>
    <row r="75" customFormat="false" ht="15" hidden="false" customHeight="false" outlineLevel="0" collapsed="false">
      <c r="A75" s="42"/>
      <c r="B75" s="43"/>
      <c r="C75" s="43"/>
      <c r="D75" s="43"/>
      <c r="E75" s="44"/>
      <c r="F75" s="44"/>
      <c r="G75" s="45"/>
      <c r="H75" s="45"/>
      <c r="I75" s="46"/>
    </row>
    <row r="76" customFormat="false" ht="15" hidden="false" customHeight="false" outlineLevel="0" collapsed="false">
      <c r="A76" s="42"/>
      <c r="B76" s="43"/>
      <c r="C76" s="43"/>
      <c r="D76" s="43"/>
      <c r="E76" s="44"/>
      <c r="F76" s="44"/>
      <c r="G76" s="45"/>
      <c r="H76" s="45"/>
      <c r="I76" s="46"/>
    </row>
    <row r="77" customFormat="false" ht="15" hidden="false" customHeight="false" outlineLevel="0" collapsed="false">
      <c r="A77" s="42"/>
      <c r="B77" s="43"/>
      <c r="C77" s="43"/>
      <c r="D77" s="43"/>
      <c r="E77" s="44"/>
      <c r="F77" s="44"/>
      <c r="G77" s="45"/>
      <c r="H77" s="45"/>
      <c r="I77" s="46"/>
    </row>
    <row r="78" customFormat="false" ht="15" hidden="false" customHeight="false" outlineLevel="0" collapsed="false">
      <c r="A78" s="42"/>
      <c r="B78" s="43"/>
      <c r="C78" s="43"/>
      <c r="D78" s="43"/>
      <c r="E78" s="44"/>
      <c r="F78" s="44"/>
      <c r="G78" s="45"/>
      <c r="H78" s="45"/>
      <c r="I78" s="46"/>
    </row>
    <row r="79" customFormat="false" ht="15" hidden="false" customHeight="false" outlineLevel="0" collapsed="false">
      <c r="A79" s="42"/>
      <c r="B79" s="43"/>
      <c r="C79" s="43"/>
      <c r="D79" s="43"/>
      <c r="E79" s="44"/>
      <c r="F79" s="44"/>
      <c r="G79" s="45"/>
      <c r="H79" s="45"/>
      <c r="I79" s="46"/>
    </row>
    <row r="80" customFormat="false" ht="15" hidden="false" customHeight="false" outlineLevel="0" collapsed="false">
      <c r="A80" s="42"/>
      <c r="B80" s="43"/>
      <c r="C80" s="43"/>
      <c r="D80" s="43"/>
      <c r="E80" s="44"/>
      <c r="F80" s="44"/>
      <c r="G80" s="45"/>
      <c r="H80" s="45"/>
      <c r="I80" s="46"/>
    </row>
    <row r="81" customFormat="false" ht="15" hidden="false" customHeight="false" outlineLevel="0" collapsed="false">
      <c r="A81" s="42"/>
      <c r="B81" s="43"/>
      <c r="C81" s="43"/>
      <c r="D81" s="43"/>
      <c r="E81" s="44"/>
      <c r="F81" s="44"/>
      <c r="G81" s="45"/>
      <c r="H81" s="45"/>
      <c r="I81" s="46"/>
    </row>
    <row r="82" customFormat="false" ht="15" hidden="false" customHeight="false" outlineLevel="0" collapsed="false">
      <c r="A82" s="42"/>
      <c r="B82" s="43"/>
      <c r="C82" s="43"/>
      <c r="D82" s="43"/>
      <c r="E82" s="44"/>
      <c r="F82" s="44"/>
      <c r="G82" s="45"/>
      <c r="H82" s="45"/>
      <c r="I82" s="46"/>
    </row>
    <row r="83" customFormat="false" ht="15" hidden="false" customHeight="false" outlineLevel="0" collapsed="false">
      <c r="A83" s="42"/>
      <c r="B83" s="43"/>
      <c r="C83" s="43"/>
      <c r="D83" s="43"/>
      <c r="E83" s="44"/>
      <c r="F83" s="44"/>
      <c r="G83" s="45"/>
      <c r="H83" s="45"/>
      <c r="I83" s="46"/>
    </row>
    <row r="84" customFormat="false" ht="15" hidden="false" customHeight="false" outlineLevel="0" collapsed="false">
      <c r="A84" s="42"/>
      <c r="B84" s="43"/>
      <c r="C84" s="43"/>
      <c r="D84" s="43"/>
      <c r="E84" s="44"/>
      <c r="F84" s="44"/>
      <c r="G84" s="45"/>
      <c r="H84" s="45"/>
      <c r="I84" s="46"/>
    </row>
    <row r="85" customFormat="false" ht="15" hidden="false" customHeight="false" outlineLevel="0" collapsed="false">
      <c r="A85" s="42"/>
      <c r="B85" s="43"/>
      <c r="C85" s="43"/>
      <c r="D85" s="43"/>
      <c r="E85" s="44"/>
      <c r="F85" s="44"/>
      <c r="G85" s="45"/>
      <c r="H85" s="45"/>
      <c r="I85" s="46"/>
    </row>
    <row r="86" customFormat="false" ht="15" hidden="false" customHeight="false" outlineLevel="0" collapsed="false">
      <c r="A86" s="42"/>
      <c r="B86" s="43"/>
      <c r="C86" s="43"/>
      <c r="D86" s="43"/>
      <c r="E86" s="44"/>
      <c r="F86" s="44"/>
      <c r="G86" s="45"/>
      <c r="H86" s="45"/>
      <c r="I86" s="46"/>
    </row>
    <row r="87" customFormat="false" ht="15" hidden="false" customHeight="false" outlineLevel="0" collapsed="false">
      <c r="A87" s="42"/>
      <c r="B87" s="43"/>
      <c r="C87" s="43"/>
      <c r="D87" s="43"/>
      <c r="E87" s="44"/>
      <c r="F87" s="44"/>
      <c r="G87" s="45"/>
      <c r="H87" s="45"/>
      <c r="I87" s="46"/>
    </row>
    <row r="88" customFormat="false" ht="15" hidden="false" customHeight="false" outlineLevel="0" collapsed="false">
      <c r="A88" s="42"/>
      <c r="B88" s="43"/>
      <c r="C88" s="43"/>
      <c r="D88" s="43"/>
      <c r="E88" s="44"/>
      <c r="F88" s="44"/>
      <c r="G88" s="45"/>
      <c r="H88" s="45"/>
      <c r="I88" s="46"/>
    </row>
    <row r="89" customFormat="false" ht="15" hidden="false" customHeight="false" outlineLevel="0" collapsed="false">
      <c r="A89" s="42"/>
      <c r="B89" s="43"/>
      <c r="C89" s="43"/>
      <c r="D89" s="43"/>
      <c r="E89" s="44"/>
      <c r="F89" s="44"/>
      <c r="G89" s="45"/>
      <c r="H89" s="45"/>
      <c r="I89" s="46"/>
    </row>
    <row r="90" customFormat="false" ht="15" hidden="false" customHeight="false" outlineLevel="0" collapsed="false">
      <c r="A90" s="42"/>
      <c r="B90" s="43"/>
      <c r="C90" s="43"/>
      <c r="D90" s="43"/>
      <c r="E90" s="44"/>
      <c r="F90" s="44"/>
      <c r="G90" s="45"/>
      <c r="H90" s="45"/>
      <c r="I90" s="46"/>
    </row>
    <row r="91" customFormat="false" ht="15" hidden="false" customHeight="false" outlineLevel="0" collapsed="false">
      <c r="A91" s="42"/>
      <c r="B91" s="43"/>
      <c r="C91" s="43"/>
      <c r="D91" s="43"/>
      <c r="E91" s="44"/>
      <c r="F91" s="44"/>
      <c r="G91" s="45"/>
      <c r="H91" s="45"/>
      <c r="I91" s="46"/>
    </row>
    <row r="92" customFormat="false" ht="15" hidden="false" customHeight="false" outlineLevel="0" collapsed="false">
      <c r="A92" s="42"/>
      <c r="B92" s="43"/>
      <c r="C92" s="43"/>
      <c r="D92" s="43"/>
      <c r="E92" s="44"/>
      <c r="F92" s="44"/>
      <c r="G92" s="45"/>
      <c r="H92" s="45"/>
      <c r="I92" s="46"/>
    </row>
    <row r="93" customFormat="false" ht="15" hidden="false" customHeight="false" outlineLevel="0" collapsed="false">
      <c r="A93" s="42"/>
      <c r="B93" s="43"/>
      <c r="C93" s="43"/>
      <c r="D93" s="43"/>
      <c r="E93" s="44"/>
      <c r="F93" s="44"/>
      <c r="G93" s="45"/>
      <c r="H93" s="45"/>
      <c r="I93" s="46"/>
    </row>
    <row r="94" customFormat="false" ht="15" hidden="false" customHeight="false" outlineLevel="0" collapsed="false">
      <c r="A94" s="42"/>
      <c r="B94" s="43"/>
      <c r="C94" s="43"/>
      <c r="D94" s="43"/>
      <c r="E94" s="44"/>
      <c r="F94" s="44"/>
      <c r="G94" s="45"/>
      <c r="H94" s="45"/>
      <c r="I94" s="46"/>
    </row>
    <row r="95" customFormat="false" ht="15" hidden="false" customHeight="false" outlineLevel="0" collapsed="false">
      <c r="A95" s="42"/>
      <c r="B95" s="43"/>
      <c r="C95" s="43"/>
      <c r="D95" s="43"/>
      <c r="E95" s="44"/>
      <c r="F95" s="44"/>
      <c r="G95" s="45"/>
      <c r="H95" s="45"/>
      <c r="I95" s="46"/>
    </row>
    <row r="96" customFormat="false" ht="15" hidden="false" customHeight="false" outlineLevel="0" collapsed="false">
      <c r="A96" s="42"/>
      <c r="B96" s="43"/>
      <c r="C96" s="43"/>
      <c r="D96" s="43"/>
      <c r="E96" s="44"/>
      <c r="F96" s="44"/>
      <c r="G96" s="45"/>
      <c r="H96" s="45"/>
      <c r="I96" s="46"/>
    </row>
    <row r="97" customFormat="false" ht="15" hidden="false" customHeight="false" outlineLevel="0" collapsed="false">
      <c r="A97" s="42"/>
      <c r="B97" s="43"/>
      <c r="C97" s="43"/>
      <c r="D97" s="43"/>
      <c r="E97" s="44"/>
      <c r="F97" s="44"/>
      <c r="G97" s="45"/>
      <c r="H97" s="45"/>
      <c r="I97" s="46"/>
    </row>
    <row r="98" customFormat="false" ht="15" hidden="false" customHeight="false" outlineLevel="0" collapsed="false">
      <c r="A98" s="42"/>
      <c r="B98" s="43"/>
      <c r="C98" s="43"/>
      <c r="D98" s="43"/>
      <c r="E98" s="44"/>
      <c r="F98" s="44"/>
      <c r="G98" s="45"/>
      <c r="H98" s="45"/>
      <c r="I98" s="46"/>
    </row>
    <row r="99" customFormat="false" ht="15" hidden="false" customHeight="false" outlineLevel="0" collapsed="false">
      <c r="A99" s="42"/>
      <c r="B99" s="43"/>
      <c r="C99" s="43"/>
      <c r="D99" s="43"/>
      <c r="E99" s="44"/>
      <c r="F99" s="44"/>
      <c r="G99" s="45"/>
      <c r="H99" s="45"/>
      <c r="I99" s="46"/>
    </row>
    <row r="100" customFormat="false" ht="15" hidden="false" customHeight="false" outlineLevel="0" collapsed="false">
      <c r="A100" s="42"/>
      <c r="B100" s="43"/>
      <c r="C100" s="43"/>
      <c r="D100" s="43"/>
      <c r="E100" s="44"/>
      <c r="F100" s="44"/>
      <c r="G100" s="45"/>
      <c r="H100" s="45"/>
      <c r="I100" s="46"/>
    </row>
    <row r="101" customFormat="false" ht="15" hidden="false" customHeight="false" outlineLevel="0" collapsed="false">
      <c r="A101" s="42"/>
      <c r="B101" s="43"/>
      <c r="C101" s="43"/>
      <c r="D101" s="43"/>
      <c r="E101" s="44"/>
      <c r="F101" s="44"/>
      <c r="G101" s="45"/>
      <c r="H101" s="45"/>
      <c r="I101" s="46"/>
    </row>
    <row r="102" customFormat="false" ht="15" hidden="false" customHeight="false" outlineLevel="0" collapsed="false">
      <c r="A102" s="42"/>
      <c r="B102" s="43"/>
      <c r="C102" s="43"/>
      <c r="D102" s="43"/>
      <c r="E102" s="44"/>
      <c r="F102" s="44"/>
      <c r="G102" s="45"/>
      <c r="H102" s="45"/>
      <c r="I102" s="46"/>
    </row>
    <row r="103" customFormat="false" ht="15" hidden="false" customHeight="false" outlineLevel="0" collapsed="false">
      <c r="A103" s="42"/>
      <c r="B103" s="43"/>
      <c r="C103" s="43"/>
      <c r="D103" s="43"/>
      <c r="E103" s="44"/>
      <c r="F103" s="44"/>
      <c r="G103" s="45"/>
      <c r="H103" s="45"/>
      <c r="I103" s="46"/>
    </row>
    <row r="104" customFormat="false" ht="15" hidden="false" customHeight="false" outlineLevel="0" collapsed="false">
      <c r="A104" s="42"/>
      <c r="B104" s="43"/>
      <c r="C104" s="43"/>
      <c r="D104" s="43"/>
      <c r="E104" s="44"/>
      <c r="F104" s="44"/>
      <c r="G104" s="45"/>
      <c r="H104" s="45"/>
      <c r="I104" s="46"/>
    </row>
    <row r="105" customFormat="false" ht="15" hidden="false" customHeight="false" outlineLevel="0" collapsed="false">
      <c r="A105" s="42"/>
      <c r="B105" s="43"/>
      <c r="C105" s="43"/>
      <c r="D105" s="43"/>
      <c r="E105" s="44"/>
      <c r="F105" s="44"/>
      <c r="G105" s="45"/>
      <c r="H105" s="45"/>
      <c r="I105" s="46"/>
    </row>
    <row r="106" customFormat="false" ht="15" hidden="false" customHeight="false" outlineLevel="0" collapsed="false">
      <c r="A106" s="42"/>
      <c r="B106" s="43"/>
      <c r="C106" s="43"/>
      <c r="D106" s="43"/>
      <c r="E106" s="44"/>
      <c r="F106" s="44"/>
      <c r="G106" s="45"/>
      <c r="H106" s="45"/>
      <c r="I106" s="46"/>
    </row>
    <row r="107" customFormat="false" ht="15" hidden="false" customHeight="false" outlineLevel="0" collapsed="false">
      <c r="A107" s="42"/>
      <c r="B107" s="43"/>
      <c r="C107" s="43"/>
      <c r="D107" s="43"/>
      <c r="E107" s="44"/>
      <c r="F107" s="44"/>
      <c r="G107" s="45"/>
      <c r="H107" s="45"/>
      <c r="I107" s="46"/>
    </row>
    <row r="108" customFormat="false" ht="15" hidden="false" customHeight="false" outlineLevel="0" collapsed="false">
      <c r="A108" s="42"/>
      <c r="B108" s="43"/>
      <c r="C108" s="43"/>
      <c r="D108" s="43"/>
      <c r="E108" s="44"/>
      <c r="F108" s="44"/>
      <c r="G108" s="45"/>
      <c r="H108" s="45"/>
      <c r="I108" s="46"/>
    </row>
    <row r="109" customFormat="false" ht="15" hidden="false" customHeight="false" outlineLevel="0" collapsed="false">
      <c r="A109" s="42"/>
      <c r="B109" s="43"/>
      <c r="C109" s="43"/>
      <c r="D109" s="43"/>
      <c r="E109" s="44"/>
      <c r="F109" s="44"/>
      <c r="G109" s="45"/>
      <c r="H109" s="45"/>
      <c r="I109" s="46"/>
    </row>
    <row r="110" customFormat="false" ht="15" hidden="false" customHeight="false" outlineLevel="0" collapsed="false">
      <c r="A110" s="42"/>
      <c r="B110" s="43"/>
      <c r="C110" s="43"/>
      <c r="D110" s="43"/>
      <c r="E110" s="44"/>
      <c r="F110" s="44"/>
      <c r="G110" s="45"/>
      <c r="H110" s="45"/>
      <c r="I110" s="46"/>
    </row>
    <row r="111" customFormat="false" ht="15" hidden="false" customHeight="false" outlineLevel="0" collapsed="false">
      <c r="A111" s="42"/>
      <c r="B111" s="43"/>
      <c r="C111" s="43"/>
      <c r="D111" s="43"/>
      <c r="E111" s="44"/>
      <c r="F111" s="44"/>
      <c r="G111" s="45"/>
      <c r="H111" s="45"/>
      <c r="I111" s="46"/>
    </row>
    <row r="112" customFormat="false" ht="15" hidden="false" customHeight="false" outlineLevel="0" collapsed="false">
      <c r="A112" s="42"/>
      <c r="B112" s="43"/>
      <c r="C112" s="43"/>
      <c r="D112" s="43"/>
      <c r="E112" s="44"/>
      <c r="F112" s="44"/>
      <c r="G112" s="45"/>
      <c r="H112" s="45"/>
      <c r="I112" s="46"/>
    </row>
    <row r="113" customFormat="false" ht="15" hidden="false" customHeight="false" outlineLevel="0" collapsed="false">
      <c r="A113" s="42"/>
      <c r="B113" s="43"/>
      <c r="C113" s="43"/>
      <c r="D113" s="43"/>
      <c r="E113" s="44"/>
      <c r="F113" s="44"/>
      <c r="G113" s="45"/>
      <c r="H113" s="45"/>
      <c r="I113" s="46"/>
    </row>
    <row r="114" customFormat="false" ht="15" hidden="false" customHeight="false" outlineLevel="0" collapsed="false">
      <c r="A114" s="42"/>
      <c r="B114" s="43"/>
      <c r="C114" s="43"/>
      <c r="D114" s="43"/>
      <c r="E114" s="44"/>
      <c r="F114" s="44"/>
      <c r="G114" s="45"/>
      <c r="H114" s="45"/>
      <c r="I114" s="46"/>
    </row>
    <row r="115" customFormat="false" ht="15" hidden="false" customHeight="false" outlineLevel="0" collapsed="false">
      <c r="A115" s="42"/>
      <c r="B115" s="43"/>
      <c r="C115" s="43"/>
      <c r="D115" s="43"/>
      <c r="E115" s="44"/>
      <c r="F115" s="44"/>
      <c r="G115" s="45"/>
      <c r="H115" s="45"/>
      <c r="I115" s="46"/>
    </row>
    <row r="116" customFormat="false" ht="15" hidden="false" customHeight="false" outlineLevel="0" collapsed="false">
      <c r="A116" s="42"/>
      <c r="B116" s="43"/>
      <c r="C116" s="43"/>
      <c r="D116" s="43"/>
      <c r="E116" s="44"/>
      <c r="F116" s="44"/>
      <c r="G116" s="45"/>
      <c r="H116" s="45"/>
      <c r="I116" s="46"/>
    </row>
    <row r="117" customFormat="false" ht="15" hidden="false" customHeight="false" outlineLevel="0" collapsed="false">
      <c r="A117" s="42"/>
      <c r="B117" s="43"/>
      <c r="C117" s="43"/>
      <c r="D117" s="43"/>
      <c r="E117" s="44"/>
      <c r="F117" s="44"/>
      <c r="G117" s="45"/>
      <c r="H117" s="45"/>
      <c r="I117" s="46"/>
    </row>
    <row r="118" customFormat="false" ht="15" hidden="false" customHeight="false" outlineLevel="0" collapsed="false">
      <c r="A118" s="42"/>
      <c r="B118" s="43"/>
      <c r="C118" s="43"/>
      <c r="D118" s="43"/>
      <c r="E118" s="44"/>
      <c r="F118" s="44"/>
      <c r="G118" s="45"/>
      <c r="H118" s="45"/>
      <c r="I118" s="46"/>
    </row>
    <row r="119" customFormat="false" ht="15" hidden="false" customHeight="false" outlineLevel="0" collapsed="false">
      <c r="A119" s="42"/>
      <c r="B119" s="43"/>
      <c r="C119" s="43"/>
      <c r="D119" s="43"/>
      <c r="E119" s="44"/>
      <c r="F119" s="44"/>
      <c r="G119" s="45"/>
      <c r="H119" s="45"/>
      <c r="I119" s="46"/>
    </row>
    <row r="120" customFormat="false" ht="15" hidden="false" customHeight="false" outlineLevel="0" collapsed="false">
      <c r="A120" s="42"/>
      <c r="B120" s="43"/>
      <c r="C120" s="43"/>
      <c r="D120" s="43"/>
      <c r="E120" s="44"/>
      <c r="F120" s="44"/>
      <c r="G120" s="45"/>
      <c r="H120" s="45"/>
      <c r="I120" s="46"/>
    </row>
    <row r="121" customFormat="false" ht="15" hidden="false" customHeight="false" outlineLevel="0" collapsed="false">
      <c r="A121" s="42"/>
      <c r="B121" s="43"/>
      <c r="C121" s="43"/>
      <c r="D121" s="43"/>
      <c r="E121" s="44"/>
      <c r="F121" s="44"/>
      <c r="G121" s="45"/>
      <c r="H121" s="45"/>
      <c r="I121" s="46"/>
    </row>
    <row r="122" customFormat="false" ht="15" hidden="false" customHeight="false" outlineLevel="0" collapsed="false">
      <c r="A122" s="42"/>
      <c r="B122" s="43"/>
      <c r="C122" s="43"/>
      <c r="D122" s="43"/>
      <c r="E122" s="44"/>
      <c r="F122" s="44"/>
      <c r="G122" s="45"/>
      <c r="H122" s="45"/>
      <c r="I122" s="46"/>
    </row>
    <row r="123" customFormat="false" ht="15" hidden="false" customHeight="false" outlineLevel="0" collapsed="false">
      <c r="A123" s="42"/>
      <c r="B123" s="43"/>
      <c r="C123" s="43"/>
      <c r="D123" s="43"/>
      <c r="E123" s="44"/>
      <c r="F123" s="44"/>
      <c r="G123" s="45"/>
      <c r="H123" s="45"/>
      <c r="I123" s="46"/>
    </row>
    <row r="124" customFormat="false" ht="15" hidden="false" customHeight="false" outlineLevel="0" collapsed="false">
      <c r="A124" s="42"/>
      <c r="B124" s="43"/>
      <c r="C124" s="43"/>
      <c r="D124" s="43"/>
      <c r="E124" s="44"/>
      <c r="F124" s="44"/>
      <c r="G124" s="45"/>
      <c r="H124" s="45"/>
      <c r="I124" s="46"/>
    </row>
    <row r="125" customFormat="false" ht="15" hidden="false" customHeight="false" outlineLevel="0" collapsed="false">
      <c r="A125" s="42"/>
      <c r="B125" s="43"/>
      <c r="C125" s="43"/>
      <c r="D125" s="43"/>
      <c r="E125" s="44"/>
      <c r="F125" s="44"/>
      <c r="G125" s="45"/>
      <c r="H125" s="45"/>
      <c r="I125" s="46"/>
    </row>
    <row r="126" customFormat="false" ht="15" hidden="false" customHeight="false" outlineLevel="0" collapsed="false">
      <c r="A126" s="42"/>
      <c r="B126" s="43"/>
      <c r="C126" s="43"/>
      <c r="D126" s="43"/>
      <c r="E126" s="44"/>
      <c r="F126" s="44"/>
      <c r="G126" s="45"/>
      <c r="H126" s="45"/>
      <c r="I126" s="46"/>
    </row>
    <row r="127" customFormat="false" ht="15" hidden="false" customHeight="false" outlineLevel="0" collapsed="false">
      <c r="A127" s="42"/>
      <c r="B127" s="43"/>
      <c r="C127" s="43"/>
      <c r="D127" s="43"/>
      <c r="E127" s="44"/>
      <c r="F127" s="44"/>
      <c r="G127" s="45"/>
      <c r="H127" s="45"/>
      <c r="I127" s="46"/>
    </row>
    <row r="128" customFormat="false" ht="15" hidden="false" customHeight="false" outlineLevel="0" collapsed="false">
      <c r="A128" s="42"/>
      <c r="B128" s="43"/>
      <c r="C128" s="43"/>
      <c r="D128" s="43"/>
      <c r="E128" s="44"/>
      <c r="F128" s="44"/>
      <c r="G128" s="45"/>
      <c r="H128" s="45"/>
      <c r="I128" s="46"/>
    </row>
    <row r="129" customFormat="false" ht="15" hidden="false" customHeight="false" outlineLevel="0" collapsed="false">
      <c r="A129" s="42"/>
      <c r="B129" s="43"/>
      <c r="C129" s="43"/>
      <c r="D129" s="43"/>
      <c r="E129" s="44"/>
      <c r="F129" s="44"/>
      <c r="G129" s="45"/>
      <c r="H129" s="45"/>
      <c r="I129" s="46"/>
    </row>
    <row r="130" customFormat="false" ht="15" hidden="false" customHeight="false" outlineLevel="0" collapsed="false">
      <c r="A130" s="42"/>
      <c r="B130" s="43"/>
      <c r="C130" s="43"/>
      <c r="D130" s="43"/>
      <c r="E130" s="44"/>
      <c r="F130" s="44"/>
      <c r="G130" s="45"/>
      <c r="H130" s="45"/>
      <c r="I130" s="46"/>
    </row>
    <row r="131" customFormat="false" ht="15" hidden="false" customHeight="false" outlineLevel="0" collapsed="false">
      <c r="A131" s="42"/>
      <c r="B131" s="43"/>
      <c r="C131" s="43"/>
      <c r="D131" s="43"/>
      <c r="E131" s="44"/>
      <c r="F131" s="44"/>
      <c r="G131" s="45"/>
      <c r="H131" s="45"/>
      <c r="I131" s="46"/>
    </row>
    <row r="132" customFormat="false" ht="15" hidden="false" customHeight="false" outlineLevel="0" collapsed="false">
      <c r="A132" s="42"/>
      <c r="B132" s="43"/>
      <c r="C132" s="43"/>
      <c r="D132" s="43"/>
      <c r="E132" s="44"/>
      <c r="F132" s="44"/>
      <c r="G132" s="45"/>
      <c r="H132" s="45"/>
      <c r="I132" s="46"/>
    </row>
    <row r="133" customFormat="false" ht="15" hidden="false" customHeight="false" outlineLevel="0" collapsed="false">
      <c r="A133" s="42"/>
      <c r="B133" s="43"/>
      <c r="C133" s="43"/>
      <c r="D133" s="43"/>
      <c r="E133" s="44"/>
      <c r="F133" s="44"/>
      <c r="G133" s="45"/>
      <c r="H133" s="45"/>
      <c r="I133" s="46"/>
    </row>
    <row r="134" customFormat="false" ht="15" hidden="false" customHeight="false" outlineLevel="0" collapsed="false">
      <c r="A134" s="42"/>
      <c r="B134" s="43"/>
      <c r="C134" s="43"/>
      <c r="D134" s="43"/>
      <c r="E134" s="44"/>
      <c r="F134" s="44"/>
      <c r="G134" s="45"/>
      <c r="H134" s="45"/>
      <c r="I134" s="46"/>
    </row>
    <row r="135" customFormat="false" ht="15" hidden="false" customHeight="false" outlineLevel="0" collapsed="false">
      <c r="A135" s="42"/>
      <c r="B135" s="43"/>
      <c r="C135" s="43"/>
      <c r="D135" s="43"/>
      <c r="E135" s="44"/>
      <c r="F135" s="44"/>
      <c r="G135" s="45"/>
      <c r="H135" s="45"/>
      <c r="I135" s="46"/>
    </row>
    <row r="136" customFormat="false" ht="15" hidden="false" customHeight="false" outlineLevel="0" collapsed="false">
      <c r="A136" s="42"/>
      <c r="B136" s="43"/>
      <c r="C136" s="43"/>
      <c r="D136" s="43"/>
      <c r="E136" s="44"/>
      <c r="F136" s="44"/>
      <c r="G136" s="45"/>
      <c r="H136" s="45"/>
      <c r="I136" s="46"/>
    </row>
    <row r="137" customFormat="false" ht="15" hidden="false" customHeight="false" outlineLevel="0" collapsed="false">
      <c r="A137" s="42"/>
      <c r="B137" s="43"/>
      <c r="C137" s="43"/>
      <c r="D137" s="43"/>
      <c r="E137" s="44"/>
      <c r="F137" s="44"/>
      <c r="G137" s="45"/>
      <c r="H137" s="45"/>
      <c r="I137" s="46"/>
    </row>
    <row r="138" customFormat="false" ht="15" hidden="false" customHeight="false" outlineLevel="0" collapsed="false">
      <c r="A138" s="42"/>
      <c r="B138" s="43"/>
      <c r="C138" s="43"/>
      <c r="D138" s="43"/>
      <c r="E138" s="44"/>
      <c r="F138" s="44"/>
      <c r="G138" s="45"/>
      <c r="H138" s="45"/>
      <c r="I138" s="46"/>
    </row>
    <row r="139" customFormat="false" ht="15" hidden="false" customHeight="false" outlineLevel="0" collapsed="false">
      <c r="A139" s="42"/>
      <c r="B139" s="43"/>
      <c r="C139" s="43"/>
      <c r="D139" s="43"/>
      <c r="E139" s="44"/>
      <c r="F139" s="44"/>
      <c r="G139" s="45"/>
      <c r="H139" s="45"/>
      <c r="I139" s="46"/>
    </row>
    <row r="140" customFormat="false" ht="15" hidden="false" customHeight="false" outlineLevel="0" collapsed="false">
      <c r="A140" s="42"/>
      <c r="B140" s="43"/>
      <c r="C140" s="43"/>
      <c r="D140" s="43"/>
      <c r="E140" s="44"/>
      <c r="F140" s="44"/>
      <c r="G140" s="45"/>
      <c r="H140" s="45"/>
      <c r="I140" s="46"/>
    </row>
    <row r="141" customFormat="false" ht="15" hidden="false" customHeight="false" outlineLevel="0" collapsed="false">
      <c r="A141" s="42"/>
      <c r="B141" s="43"/>
      <c r="C141" s="43"/>
      <c r="D141" s="43"/>
      <c r="E141" s="44"/>
      <c r="F141" s="44"/>
      <c r="G141" s="45"/>
      <c r="H141" s="45"/>
      <c r="I141" s="46"/>
    </row>
    <row r="142" customFormat="false" ht="15" hidden="false" customHeight="false" outlineLevel="0" collapsed="false">
      <c r="A142" s="42"/>
      <c r="B142" s="43"/>
      <c r="C142" s="43"/>
      <c r="D142" s="43"/>
      <c r="E142" s="44"/>
      <c r="F142" s="44"/>
      <c r="G142" s="45"/>
      <c r="H142" s="45"/>
      <c r="I142" s="46"/>
    </row>
    <row r="143" customFormat="false" ht="15" hidden="false" customHeight="false" outlineLevel="0" collapsed="false">
      <c r="A143" s="42"/>
      <c r="B143" s="43"/>
      <c r="C143" s="43"/>
      <c r="D143" s="43"/>
      <c r="E143" s="44"/>
      <c r="F143" s="44"/>
      <c r="G143" s="45"/>
      <c r="H143" s="45"/>
      <c r="I143" s="46"/>
    </row>
    <row r="144" customFormat="false" ht="15" hidden="false" customHeight="false" outlineLevel="0" collapsed="false">
      <c r="A144" s="42"/>
      <c r="B144" s="43"/>
      <c r="C144" s="43"/>
      <c r="D144" s="43"/>
      <c r="E144" s="44"/>
      <c r="F144" s="44"/>
      <c r="G144" s="45"/>
      <c r="H144" s="45"/>
      <c r="I144" s="46"/>
    </row>
    <row r="145" customFormat="false" ht="15" hidden="false" customHeight="false" outlineLevel="0" collapsed="false">
      <c r="A145" s="42"/>
      <c r="B145" s="43"/>
      <c r="C145" s="43"/>
      <c r="D145" s="43"/>
      <c r="E145" s="44"/>
      <c r="F145" s="44"/>
      <c r="G145" s="45"/>
      <c r="H145" s="45"/>
      <c r="I145" s="46"/>
    </row>
    <row r="146" customFormat="false" ht="15" hidden="false" customHeight="false" outlineLevel="0" collapsed="false">
      <c r="A146" s="42"/>
      <c r="B146" s="43"/>
      <c r="C146" s="43"/>
      <c r="D146" s="43"/>
      <c r="E146" s="44"/>
      <c r="F146" s="44"/>
      <c r="G146" s="45"/>
      <c r="H146" s="45"/>
      <c r="I146" s="46"/>
    </row>
    <row r="147" customFormat="false" ht="15" hidden="false" customHeight="false" outlineLevel="0" collapsed="false">
      <c r="A147" s="42"/>
      <c r="B147" s="43"/>
      <c r="C147" s="43"/>
      <c r="D147" s="43"/>
      <c r="E147" s="44"/>
      <c r="F147" s="44"/>
      <c r="G147" s="45"/>
      <c r="H147" s="45"/>
      <c r="I147" s="46"/>
    </row>
    <row r="148" customFormat="false" ht="15" hidden="false" customHeight="false" outlineLevel="0" collapsed="false">
      <c r="A148" s="42"/>
      <c r="B148" s="43"/>
      <c r="C148" s="43"/>
      <c r="D148" s="43"/>
      <c r="E148" s="44"/>
      <c r="F148" s="44"/>
      <c r="G148" s="45"/>
      <c r="H148" s="45"/>
      <c r="I148" s="46"/>
    </row>
    <row r="149" customFormat="false" ht="15" hidden="false" customHeight="false" outlineLevel="0" collapsed="false">
      <c r="A149" s="42"/>
      <c r="B149" s="43"/>
      <c r="C149" s="43"/>
      <c r="D149" s="43"/>
      <c r="E149" s="44"/>
      <c r="F149" s="44"/>
      <c r="G149" s="45"/>
      <c r="H149" s="45"/>
      <c r="I149" s="46"/>
    </row>
    <row r="150" customFormat="false" ht="15" hidden="false" customHeight="false" outlineLevel="0" collapsed="false">
      <c r="A150" s="42"/>
      <c r="B150" s="43"/>
      <c r="C150" s="43"/>
      <c r="D150" s="43"/>
      <c r="E150" s="44"/>
      <c r="F150" s="44"/>
      <c r="G150" s="45"/>
      <c r="H150" s="45"/>
      <c r="I150" s="46"/>
    </row>
    <row r="151" customFormat="false" ht="15" hidden="false" customHeight="false" outlineLevel="0" collapsed="false">
      <c r="A151" s="42"/>
      <c r="B151" s="43"/>
      <c r="C151" s="43"/>
      <c r="D151" s="43"/>
      <c r="E151" s="44"/>
      <c r="F151" s="44"/>
      <c r="G151" s="45"/>
      <c r="H151" s="45"/>
      <c r="I151" s="46"/>
    </row>
    <row r="152" customFormat="false" ht="15" hidden="false" customHeight="false" outlineLevel="0" collapsed="false">
      <c r="A152" s="42"/>
      <c r="B152" s="43"/>
      <c r="C152" s="43"/>
      <c r="D152" s="43"/>
      <c r="E152" s="44"/>
      <c r="F152" s="44"/>
      <c r="G152" s="45"/>
      <c r="H152" s="45"/>
      <c r="I152" s="46"/>
    </row>
    <row r="153" customFormat="false" ht="15" hidden="false" customHeight="false" outlineLevel="0" collapsed="false">
      <c r="A153" s="42"/>
      <c r="B153" s="43"/>
      <c r="C153" s="43"/>
      <c r="D153" s="43"/>
      <c r="E153" s="44"/>
      <c r="F153" s="44"/>
      <c r="G153" s="45"/>
      <c r="H153" s="45"/>
      <c r="I153" s="46"/>
    </row>
    <row r="154" customFormat="false" ht="15" hidden="false" customHeight="false" outlineLevel="0" collapsed="false">
      <c r="A154" s="42"/>
      <c r="B154" s="43"/>
      <c r="C154" s="43"/>
      <c r="D154" s="43"/>
      <c r="E154" s="44"/>
      <c r="F154" s="44"/>
      <c r="G154" s="45"/>
      <c r="H154" s="45"/>
      <c r="I154" s="46"/>
    </row>
    <row r="155" customFormat="false" ht="15" hidden="false" customHeight="false" outlineLevel="0" collapsed="false">
      <c r="A155" s="42"/>
      <c r="B155" s="43"/>
      <c r="C155" s="43"/>
      <c r="D155" s="43"/>
      <c r="E155" s="44"/>
      <c r="F155" s="44"/>
      <c r="G155" s="45"/>
      <c r="H155" s="45"/>
      <c r="I155" s="46"/>
    </row>
    <row r="156" customFormat="false" ht="15" hidden="false" customHeight="false" outlineLevel="0" collapsed="false">
      <c r="A156" s="42"/>
      <c r="B156" s="43"/>
      <c r="C156" s="43"/>
      <c r="D156" s="43"/>
      <c r="E156" s="44"/>
      <c r="F156" s="44"/>
      <c r="G156" s="45"/>
      <c r="H156" s="45"/>
      <c r="I156" s="46"/>
    </row>
    <row r="157" customFormat="false" ht="15" hidden="false" customHeight="false" outlineLevel="0" collapsed="false">
      <c r="A157" s="42"/>
      <c r="B157" s="43"/>
      <c r="C157" s="43"/>
      <c r="D157" s="43"/>
      <c r="E157" s="44"/>
      <c r="F157" s="44"/>
      <c r="G157" s="45"/>
      <c r="H157" s="45"/>
      <c r="I157" s="46"/>
    </row>
    <row r="158" customFormat="false" ht="15" hidden="false" customHeight="false" outlineLevel="0" collapsed="false">
      <c r="A158" s="42"/>
      <c r="B158" s="43"/>
      <c r="C158" s="43"/>
      <c r="D158" s="43"/>
      <c r="E158" s="44"/>
      <c r="F158" s="44"/>
      <c r="G158" s="45"/>
      <c r="H158" s="45"/>
      <c r="I158" s="46"/>
    </row>
    <row r="159" customFormat="false" ht="15" hidden="false" customHeight="false" outlineLevel="0" collapsed="false">
      <c r="A159" s="42"/>
      <c r="B159" s="43"/>
      <c r="C159" s="43"/>
      <c r="D159" s="43"/>
      <c r="E159" s="44"/>
      <c r="F159" s="44"/>
      <c r="G159" s="45"/>
      <c r="H159" s="45"/>
      <c r="I159" s="46"/>
    </row>
    <row r="160" customFormat="false" ht="15" hidden="false" customHeight="false" outlineLevel="0" collapsed="false">
      <c r="A160" s="42"/>
      <c r="B160" s="43"/>
      <c r="C160" s="43"/>
      <c r="D160" s="43"/>
      <c r="E160" s="44"/>
      <c r="F160" s="44"/>
      <c r="G160" s="45"/>
      <c r="H160" s="45"/>
      <c r="I160" s="46"/>
    </row>
    <row r="161" customFormat="false" ht="15" hidden="false" customHeight="false" outlineLevel="0" collapsed="false">
      <c r="A161" s="42"/>
      <c r="B161" s="43"/>
      <c r="C161" s="43"/>
      <c r="D161" s="43"/>
      <c r="E161" s="44"/>
      <c r="F161" s="44"/>
      <c r="G161" s="45"/>
      <c r="H161" s="45"/>
      <c r="I161" s="46"/>
    </row>
    <row r="162" customFormat="false" ht="15" hidden="false" customHeight="false" outlineLevel="0" collapsed="false">
      <c r="A162" s="42"/>
      <c r="B162" s="43"/>
      <c r="C162" s="43"/>
      <c r="D162" s="43"/>
      <c r="E162" s="44"/>
      <c r="F162" s="44"/>
      <c r="G162" s="45"/>
      <c r="H162" s="45"/>
      <c r="I162" s="46"/>
    </row>
    <row r="163" customFormat="false" ht="15" hidden="false" customHeight="false" outlineLevel="0" collapsed="false">
      <c r="A163" s="42"/>
      <c r="B163" s="43"/>
      <c r="C163" s="43"/>
      <c r="D163" s="43"/>
      <c r="E163" s="44"/>
      <c r="F163" s="44"/>
      <c r="G163" s="45"/>
      <c r="H163" s="45"/>
      <c r="I163" s="46"/>
    </row>
    <row r="164" customFormat="false" ht="15" hidden="false" customHeight="false" outlineLevel="0" collapsed="false">
      <c r="A164" s="42"/>
      <c r="B164" s="43"/>
      <c r="C164" s="43"/>
      <c r="D164" s="43"/>
      <c r="E164" s="44"/>
      <c r="F164" s="44"/>
      <c r="G164" s="45"/>
      <c r="H164" s="45"/>
      <c r="I164" s="46"/>
    </row>
    <row r="165" customFormat="false" ht="15" hidden="false" customHeight="false" outlineLevel="0" collapsed="false">
      <c r="A165" s="42"/>
      <c r="B165" s="43"/>
      <c r="C165" s="43"/>
      <c r="D165" s="43"/>
      <c r="E165" s="44"/>
      <c r="F165" s="44"/>
      <c r="G165" s="45"/>
      <c r="H165" s="45"/>
      <c r="I165" s="46"/>
    </row>
    <row r="166" customFormat="false" ht="15" hidden="false" customHeight="false" outlineLevel="0" collapsed="false">
      <c r="A166" s="42"/>
      <c r="B166" s="43"/>
      <c r="C166" s="43"/>
      <c r="D166" s="43"/>
      <c r="E166" s="44"/>
      <c r="F166" s="44"/>
      <c r="G166" s="45"/>
      <c r="H166" s="45"/>
      <c r="I166" s="46"/>
    </row>
    <row r="167" customFormat="false" ht="15" hidden="false" customHeight="false" outlineLevel="0" collapsed="false">
      <c r="A167" s="42"/>
      <c r="B167" s="43"/>
      <c r="C167" s="43"/>
      <c r="D167" s="43"/>
      <c r="E167" s="44"/>
      <c r="F167" s="44"/>
      <c r="G167" s="45"/>
      <c r="H167" s="45"/>
      <c r="I167" s="46"/>
    </row>
    <row r="168" customFormat="false" ht="15" hidden="false" customHeight="false" outlineLevel="0" collapsed="false">
      <c r="A168" s="42"/>
      <c r="B168" s="43"/>
      <c r="C168" s="43"/>
      <c r="D168" s="43"/>
      <c r="E168" s="44"/>
      <c r="F168" s="44"/>
      <c r="G168" s="45"/>
      <c r="H168" s="45"/>
      <c r="I168" s="46"/>
    </row>
    <row r="169" customFormat="false" ht="15" hidden="false" customHeight="false" outlineLevel="0" collapsed="false">
      <c r="A169" s="42"/>
      <c r="B169" s="43"/>
      <c r="C169" s="43"/>
      <c r="D169" s="43"/>
      <c r="E169" s="44"/>
      <c r="F169" s="44"/>
      <c r="G169" s="45"/>
      <c r="H169" s="45"/>
      <c r="I169" s="46"/>
    </row>
    <row r="170" customFormat="false" ht="15" hidden="false" customHeight="false" outlineLevel="0" collapsed="false">
      <c r="A170" s="42"/>
      <c r="B170" s="43"/>
      <c r="C170" s="43"/>
      <c r="D170" s="43"/>
      <c r="E170" s="44"/>
      <c r="F170" s="44"/>
      <c r="G170" s="45"/>
      <c r="H170" s="45"/>
      <c r="I170" s="46"/>
    </row>
    <row r="171" customFormat="false" ht="15" hidden="false" customHeight="false" outlineLevel="0" collapsed="false">
      <c r="A171" s="42"/>
      <c r="B171" s="43"/>
      <c r="C171" s="43"/>
      <c r="D171" s="43"/>
      <c r="E171" s="44"/>
      <c r="F171" s="44"/>
      <c r="G171" s="45"/>
      <c r="H171" s="45"/>
      <c r="I171" s="46"/>
    </row>
    <row r="172" customFormat="false" ht="15" hidden="false" customHeight="false" outlineLevel="0" collapsed="false">
      <c r="A172" s="42"/>
      <c r="B172" s="43"/>
      <c r="C172" s="43"/>
      <c r="D172" s="43"/>
      <c r="E172" s="44"/>
      <c r="F172" s="44"/>
      <c r="G172" s="45"/>
      <c r="H172" s="45"/>
      <c r="I172" s="46"/>
    </row>
    <row r="173" customFormat="false" ht="15" hidden="false" customHeight="false" outlineLevel="0" collapsed="false">
      <c r="A173" s="42"/>
      <c r="B173" s="43"/>
      <c r="C173" s="43"/>
      <c r="D173" s="43"/>
      <c r="E173" s="44"/>
      <c r="F173" s="44"/>
      <c r="G173" s="45"/>
      <c r="H173" s="45"/>
      <c r="I173" s="46"/>
    </row>
    <row r="174" customFormat="false" ht="15" hidden="false" customHeight="false" outlineLevel="0" collapsed="false">
      <c r="A174" s="42"/>
      <c r="B174" s="43"/>
      <c r="C174" s="43"/>
      <c r="D174" s="43"/>
      <c r="E174" s="44"/>
      <c r="F174" s="44"/>
      <c r="G174" s="45"/>
      <c r="H174" s="45"/>
      <c r="I174" s="46"/>
    </row>
    <row r="175" customFormat="false" ht="15" hidden="false" customHeight="false" outlineLevel="0" collapsed="false">
      <c r="A175" s="42"/>
      <c r="B175" s="43"/>
      <c r="C175" s="43"/>
      <c r="D175" s="43"/>
      <c r="E175" s="44"/>
      <c r="F175" s="44"/>
      <c r="G175" s="45"/>
      <c r="H175" s="45"/>
      <c r="I175" s="46"/>
    </row>
    <row r="176" customFormat="false" ht="15" hidden="false" customHeight="false" outlineLevel="0" collapsed="false">
      <c r="A176" s="42"/>
      <c r="B176" s="43"/>
      <c r="C176" s="43"/>
      <c r="D176" s="43"/>
      <c r="E176" s="44"/>
      <c r="F176" s="44"/>
      <c r="G176" s="45"/>
      <c r="H176" s="45"/>
      <c r="I176" s="46"/>
    </row>
    <row r="177" customFormat="false" ht="15" hidden="false" customHeight="false" outlineLevel="0" collapsed="false">
      <c r="A177" s="42"/>
      <c r="B177" s="43"/>
      <c r="C177" s="43"/>
      <c r="D177" s="43"/>
      <c r="E177" s="44"/>
      <c r="F177" s="44"/>
      <c r="G177" s="45"/>
      <c r="H177" s="45"/>
      <c r="I177" s="46"/>
    </row>
    <row r="178" customFormat="false" ht="15" hidden="false" customHeight="false" outlineLevel="0" collapsed="false">
      <c r="A178" s="42"/>
      <c r="B178" s="43"/>
      <c r="C178" s="43"/>
      <c r="D178" s="43"/>
      <c r="E178" s="44"/>
      <c r="F178" s="44"/>
      <c r="G178" s="45"/>
      <c r="H178" s="45"/>
      <c r="I178" s="46"/>
    </row>
    <row r="179" customFormat="false" ht="15" hidden="false" customHeight="false" outlineLevel="0" collapsed="false">
      <c r="A179" s="42"/>
      <c r="B179" s="43"/>
      <c r="C179" s="43"/>
      <c r="D179" s="43"/>
      <c r="E179" s="44"/>
      <c r="F179" s="44"/>
      <c r="G179" s="45"/>
      <c r="H179" s="45"/>
      <c r="I179" s="46"/>
    </row>
    <row r="180" customFormat="false" ht="15" hidden="false" customHeight="false" outlineLevel="0" collapsed="false">
      <c r="A180" s="42"/>
      <c r="B180" s="43"/>
      <c r="C180" s="43"/>
      <c r="D180" s="43"/>
      <c r="E180" s="44"/>
      <c r="F180" s="44"/>
      <c r="G180" s="45"/>
      <c r="H180" s="45"/>
      <c r="I180" s="46"/>
    </row>
    <row r="181" customFormat="false" ht="15" hidden="false" customHeight="false" outlineLevel="0" collapsed="false">
      <c r="A181" s="42"/>
      <c r="B181" s="43"/>
      <c r="C181" s="43"/>
      <c r="D181" s="43"/>
      <c r="E181" s="44"/>
      <c r="F181" s="44"/>
      <c r="G181" s="45"/>
      <c r="H181" s="45"/>
      <c r="I181" s="46"/>
    </row>
    <row r="182" customFormat="false" ht="15" hidden="false" customHeight="false" outlineLevel="0" collapsed="false">
      <c r="A182" s="42"/>
      <c r="B182" s="43"/>
      <c r="C182" s="43"/>
      <c r="D182" s="43"/>
      <c r="E182" s="44"/>
      <c r="F182" s="44"/>
      <c r="G182" s="45"/>
      <c r="H182" s="45"/>
      <c r="I182" s="46"/>
    </row>
    <row r="183" customFormat="false" ht="15" hidden="false" customHeight="false" outlineLevel="0" collapsed="false">
      <c r="A183" s="42"/>
      <c r="B183" s="43"/>
      <c r="C183" s="43"/>
      <c r="D183" s="43"/>
      <c r="E183" s="44"/>
      <c r="F183" s="44"/>
      <c r="G183" s="45"/>
      <c r="H183" s="45"/>
      <c r="I183" s="46"/>
    </row>
    <row r="184" customFormat="false" ht="15" hidden="false" customHeight="false" outlineLevel="0" collapsed="false">
      <c r="A184" s="42"/>
      <c r="B184" s="43"/>
      <c r="C184" s="43"/>
      <c r="D184" s="43"/>
      <c r="E184" s="44"/>
      <c r="F184" s="44"/>
      <c r="G184" s="45"/>
      <c r="H184" s="45"/>
      <c r="I184" s="46"/>
    </row>
    <row r="185" customFormat="false" ht="15" hidden="false" customHeight="false" outlineLevel="0" collapsed="false">
      <c r="A185" s="42"/>
      <c r="B185" s="43"/>
      <c r="C185" s="43"/>
      <c r="D185" s="43"/>
      <c r="E185" s="44"/>
      <c r="F185" s="44"/>
      <c r="G185" s="45"/>
      <c r="H185" s="45"/>
      <c r="I185" s="46"/>
    </row>
    <row r="186" customFormat="false" ht="15" hidden="false" customHeight="false" outlineLevel="0" collapsed="false">
      <c r="A186" s="42"/>
      <c r="B186" s="43"/>
      <c r="C186" s="43"/>
      <c r="D186" s="43"/>
      <c r="E186" s="44"/>
      <c r="F186" s="44"/>
      <c r="G186" s="45"/>
      <c r="H186" s="45"/>
      <c r="I186" s="46"/>
    </row>
    <row r="187" customFormat="false" ht="15" hidden="false" customHeight="false" outlineLevel="0" collapsed="false">
      <c r="A187" s="42"/>
      <c r="B187" s="43"/>
      <c r="C187" s="43"/>
      <c r="D187" s="43"/>
      <c r="E187" s="44"/>
      <c r="F187" s="44"/>
      <c r="G187" s="45"/>
      <c r="H187" s="45"/>
      <c r="I187" s="46"/>
    </row>
    <row r="188" customFormat="false" ht="15" hidden="false" customHeight="false" outlineLevel="0" collapsed="false">
      <c r="A188" s="42"/>
      <c r="B188" s="43"/>
      <c r="C188" s="43"/>
      <c r="D188" s="43"/>
      <c r="E188" s="44"/>
      <c r="F188" s="44"/>
      <c r="G188" s="45"/>
      <c r="H188" s="45"/>
      <c r="I188" s="46"/>
    </row>
    <row r="189" customFormat="false" ht="15" hidden="false" customHeight="false" outlineLevel="0" collapsed="false">
      <c r="A189" s="42"/>
      <c r="B189" s="43"/>
      <c r="C189" s="43"/>
      <c r="D189" s="43"/>
      <c r="E189" s="44"/>
      <c r="F189" s="44"/>
      <c r="G189" s="45"/>
      <c r="H189" s="45"/>
      <c r="I189" s="46"/>
    </row>
    <row r="190" customFormat="false" ht="15" hidden="false" customHeight="false" outlineLevel="0" collapsed="false">
      <c r="A190" s="42"/>
      <c r="B190" s="43"/>
      <c r="C190" s="43"/>
      <c r="D190" s="43"/>
      <c r="E190" s="44"/>
      <c r="F190" s="44"/>
      <c r="G190" s="45"/>
      <c r="H190" s="45"/>
      <c r="I190" s="46"/>
    </row>
    <row r="191" customFormat="false" ht="15" hidden="false" customHeight="false" outlineLevel="0" collapsed="false">
      <c r="A191" s="42"/>
      <c r="B191" s="43"/>
      <c r="C191" s="43"/>
      <c r="D191" s="43"/>
      <c r="E191" s="44"/>
      <c r="F191" s="44"/>
      <c r="G191" s="45"/>
      <c r="H191" s="45"/>
      <c r="I191" s="46"/>
    </row>
    <row r="192" customFormat="false" ht="15" hidden="false" customHeight="false" outlineLevel="0" collapsed="false">
      <c r="A192" s="42"/>
      <c r="B192" s="43"/>
      <c r="C192" s="43"/>
      <c r="D192" s="43"/>
      <c r="E192" s="44"/>
      <c r="F192" s="44"/>
      <c r="G192" s="45"/>
      <c r="H192" s="45"/>
      <c r="I192" s="46"/>
    </row>
    <row r="193" customFormat="false" ht="15" hidden="false" customHeight="false" outlineLevel="0" collapsed="false">
      <c r="A193" s="42"/>
      <c r="B193" s="43"/>
      <c r="C193" s="43"/>
      <c r="D193" s="43"/>
      <c r="E193" s="44"/>
      <c r="F193" s="44"/>
      <c r="G193" s="45"/>
      <c r="H193" s="45"/>
      <c r="I193" s="46"/>
    </row>
    <row r="194" customFormat="false" ht="15" hidden="false" customHeight="false" outlineLevel="0" collapsed="false">
      <c r="A194" s="42"/>
      <c r="B194" s="43"/>
      <c r="C194" s="43"/>
      <c r="D194" s="43"/>
      <c r="E194" s="44"/>
      <c r="F194" s="44"/>
      <c r="G194" s="45"/>
      <c r="H194" s="45"/>
      <c r="I194" s="46"/>
    </row>
    <row r="195" customFormat="false" ht="15" hidden="false" customHeight="false" outlineLevel="0" collapsed="false">
      <c r="A195" s="42"/>
      <c r="B195" s="43"/>
      <c r="C195" s="43"/>
      <c r="D195" s="43"/>
      <c r="E195" s="44"/>
      <c r="F195" s="44"/>
      <c r="G195" s="45"/>
      <c r="H195" s="45"/>
      <c r="I195" s="46"/>
    </row>
    <row r="196" customFormat="false" ht="15" hidden="false" customHeight="false" outlineLevel="0" collapsed="false">
      <c r="A196" s="42"/>
      <c r="B196" s="43"/>
      <c r="C196" s="43"/>
      <c r="D196" s="43"/>
      <c r="E196" s="44"/>
      <c r="F196" s="44"/>
      <c r="G196" s="45"/>
      <c r="H196" s="45"/>
      <c r="I196" s="46"/>
    </row>
    <row r="197" customFormat="false" ht="15" hidden="false" customHeight="false" outlineLevel="0" collapsed="false">
      <c r="A197" s="42"/>
      <c r="B197" s="43"/>
      <c r="C197" s="43"/>
      <c r="D197" s="43"/>
      <c r="E197" s="44"/>
      <c r="F197" s="44"/>
      <c r="G197" s="45"/>
      <c r="H197" s="45"/>
      <c r="I197" s="46"/>
    </row>
    <row r="198" customFormat="false" ht="15" hidden="false" customHeight="false" outlineLevel="0" collapsed="false">
      <c r="A198" s="42"/>
      <c r="B198" s="43"/>
      <c r="C198" s="43"/>
      <c r="D198" s="43"/>
      <c r="E198" s="44"/>
      <c r="F198" s="44"/>
      <c r="G198" s="45"/>
      <c r="H198" s="45"/>
      <c r="I198" s="46"/>
    </row>
    <row r="199" customFormat="false" ht="15" hidden="false" customHeight="false" outlineLevel="0" collapsed="false">
      <c r="A199" s="42"/>
      <c r="B199" s="43"/>
      <c r="C199" s="43"/>
      <c r="D199" s="43"/>
      <c r="E199" s="44"/>
      <c r="F199" s="44"/>
      <c r="G199" s="45"/>
      <c r="H199" s="45"/>
      <c r="I199" s="46"/>
    </row>
    <row r="200" customFormat="false" ht="15" hidden="false" customHeight="false" outlineLevel="0" collapsed="false">
      <c r="A200" s="42"/>
      <c r="B200" s="43"/>
      <c r="C200" s="43"/>
      <c r="D200" s="43"/>
      <c r="E200" s="44"/>
      <c r="F200" s="44"/>
      <c r="G200" s="45"/>
      <c r="H200" s="45"/>
      <c r="I200" s="46"/>
    </row>
    <row r="201" customFormat="false" ht="15" hidden="false" customHeight="false" outlineLevel="0" collapsed="false">
      <c r="A201" s="42"/>
      <c r="B201" s="43"/>
      <c r="C201" s="43"/>
      <c r="D201" s="43"/>
      <c r="E201" s="44"/>
      <c r="F201" s="44"/>
      <c r="G201" s="45"/>
      <c r="H201" s="45"/>
      <c r="I201" s="46"/>
    </row>
    <row r="202" customFormat="false" ht="15" hidden="false" customHeight="false" outlineLevel="0" collapsed="false">
      <c r="A202" s="42"/>
      <c r="B202" s="43"/>
      <c r="C202" s="43"/>
      <c r="D202" s="43"/>
      <c r="E202" s="44"/>
      <c r="F202" s="44"/>
      <c r="G202" s="45"/>
      <c r="H202" s="45"/>
      <c r="I202" s="46"/>
    </row>
    <row r="203" customFormat="false" ht="15" hidden="false" customHeight="false" outlineLevel="0" collapsed="false">
      <c r="A203" s="42"/>
      <c r="B203" s="43"/>
      <c r="C203" s="43"/>
      <c r="D203" s="43"/>
      <c r="E203" s="44"/>
      <c r="F203" s="44"/>
      <c r="G203" s="45"/>
      <c r="H203" s="45"/>
      <c r="I203" s="46"/>
    </row>
    <row r="204" customFormat="false" ht="15" hidden="false" customHeight="false" outlineLevel="0" collapsed="false">
      <c r="A204" s="42"/>
      <c r="B204" s="43"/>
      <c r="C204" s="43"/>
      <c r="D204" s="43"/>
      <c r="E204" s="44"/>
      <c r="F204" s="44"/>
      <c r="G204" s="45"/>
      <c r="H204" s="45"/>
      <c r="I204" s="46"/>
    </row>
    <row r="205" customFormat="false" ht="15" hidden="false" customHeight="false" outlineLevel="0" collapsed="false">
      <c r="A205" s="42"/>
      <c r="B205" s="43"/>
      <c r="C205" s="43"/>
      <c r="D205" s="43"/>
      <c r="E205" s="44"/>
      <c r="F205" s="44"/>
      <c r="G205" s="45"/>
      <c r="H205" s="45"/>
      <c r="I205" s="46"/>
    </row>
    <row r="206" customFormat="false" ht="15" hidden="false" customHeight="false" outlineLevel="0" collapsed="false">
      <c r="A206" s="42"/>
      <c r="B206" s="43"/>
      <c r="C206" s="43"/>
      <c r="D206" s="43"/>
      <c r="E206" s="44"/>
      <c r="F206" s="44"/>
      <c r="G206" s="45"/>
      <c r="H206" s="45"/>
      <c r="I206" s="46"/>
    </row>
    <row r="207" customFormat="false" ht="15" hidden="false" customHeight="false" outlineLevel="0" collapsed="false">
      <c r="A207" s="42"/>
      <c r="B207" s="43"/>
      <c r="C207" s="43"/>
      <c r="D207" s="43"/>
      <c r="E207" s="44"/>
      <c r="F207" s="44"/>
      <c r="G207" s="45"/>
      <c r="H207" s="45"/>
      <c r="I207" s="46"/>
    </row>
    <row r="208" customFormat="false" ht="15" hidden="false" customHeight="false" outlineLevel="0" collapsed="false">
      <c r="A208" s="42"/>
      <c r="B208" s="43"/>
      <c r="C208" s="43"/>
      <c r="D208" s="43"/>
      <c r="E208" s="44"/>
      <c r="F208" s="44"/>
      <c r="G208" s="45"/>
      <c r="H208" s="45"/>
      <c r="I208" s="46"/>
    </row>
    <row r="209" customFormat="false" ht="15" hidden="false" customHeight="false" outlineLevel="0" collapsed="false">
      <c r="A209" s="42"/>
      <c r="B209" s="43"/>
      <c r="C209" s="43"/>
      <c r="D209" s="43"/>
      <c r="E209" s="44"/>
      <c r="F209" s="44"/>
      <c r="G209" s="45"/>
      <c r="H209" s="45"/>
      <c r="I209" s="46"/>
    </row>
    <row r="210" customFormat="false" ht="15" hidden="false" customHeight="false" outlineLevel="0" collapsed="false">
      <c r="A210" s="42"/>
      <c r="B210" s="43"/>
      <c r="C210" s="43"/>
      <c r="D210" s="43"/>
      <c r="E210" s="44"/>
      <c r="F210" s="44"/>
      <c r="G210" s="45"/>
      <c r="H210" s="45"/>
      <c r="I210" s="46"/>
    </row>
    <row r="211" customFormat="false" ht="15" hidden="false" customHeight="false" outlineLevel="0" collapsed="false">
      <c r="A211" s="42"/>
      <c r="B211" s="43"/>
      <c r="C211" s="43"/>
      <c r="D211" s="43"/>
      <c r="E211" s="44"/>
      <c r="F211" s="44"/>
      <c r="G211" s="45"/>
      <c r="H211" s="45"/>
      <c r="I211" s="46"/>
    </row>
    <row r="212" customFormat="false" ht="15" hidden="false" customHeight="false" outlineLevel="0" collapsed="false">
      <c r="A212" s="42"/>
      <c r="B212" s="43"/>
      <c r="C212" s="43"/>
      <c r="D212" s="43"/>
      <c r="E212" s="44"/>
      <c r="F212" s="44"/>
      <c r="G212" s="45"/>
      <c r="H212" s="45"/>
      <c r="I212" s="46"/>
    </row>
    <row r="213" customFormat="false" ht="15" hidden="false" customHeight="false" outlineLevel="0" collapsed="false">
      <c r="A213" s="42"/>
      <c r="B213" s="43"/>
      <c r="C213" s="43"/>
      <c r="D213" s="43"/>
      <c r="E213" s="44"/>
      <c r="F213" s="44"/>
      <c r="G213" s="45"/>
      <c r="H213" s="45"/>
      <c r="I213" s="46"/>
    </row>
    <row r="214" customFormat="false" ht="15" hidden="false" customHeight="false" outlineLevel="0" collapsed="false">
      <c r="A214" s="42"/>
      <c r="B214" s="43"/>
      <c r="C214" s="43"/>
      <c r="D214" s="43"/>
      <c r="E214" s="44"/>
      <c r="F214" s="44"/>
      <c r="G214" s="45"/>
      <c r="H214" s="45"/>
      <c r="I214" s="46"/>
    </row>
    <row r="215" customFormat="false" ht="15" hidden="false" customHeight="false" outlineLevel="0" collapsed="false">
      <c r="A215" s="42"/>
      <c r="B215" s="43"/>
      <c r="C215" s="43"/>
      <c r="D215" s="43"/>
      <c r="E215" s="44"/>
      <c r="F215" s="44"/>
      <c r="G215" s="45"/>
      <c r="H215" s="45"/>
      <c r="I215" s="46"/>
    </row>
    <row r="216" customFormat="false" ht="15" hidden="false" customHeight="false" outlineLevel="0" collapsed="false">
      <c r="A216" s="42"/>
      <c r="B216" s="43"/>
      <c r="C216" s="43"/>
      <c r="D216" s="43"/>
      <c r="E216" s="44"/>
      <c r="F216" s="44"/>
      <c r="G216" s="45"/>
      <c r="H216" s="45"/>
      <c r="I216" s="46"/>
    </row>
    <row r="217" customFormat="false" ht="15" hidden="false" customHeight="false" outlineLevel="0" collapsed="false">
      <c r="A217" s="42"/>
      <c r="B217" s="43"/>
      <c r="C217" s="43"/>
      <c r="D217" s="43"/>
      <c r="E217" s="44"/>
      <c r="F217" s="44"/>
      <c r="G217" s="45"/>
      <c r="H217" s="45"/>
      <c r="I217" s="46"/>
    </row>
    <row r="218" customFormat="false" ht="15" hidden="false" customHeight="false" outlineLevel="0" collapsed="false">
      <c r="A218" s="42"/>
      <c r="B218" s="43"/>
      <c r="C218" s="43"/>
      <c r="D218" s="43"/>
      <c r="E218" s="44"/>
      <c r="F218" s="44"/>
      <c r="G218" s="45"/>
      <c r="H218" s="45"/>
      <c r="I218" s="46"/>
    </row>
    <row r="219" customFormat="false" ht="15" hidden="false" customHeight="false" outlineLevel="0" collapsed="false">
      <c r="A219" s="42"/>
      <c r="B219" s="43"/>
      <c r="C219" s="43"/>
      <c r="D219" s="43"/>
      <c r="E219" s="44"/>
      <c r="F219" s="44"/>
      <c r="G219" s="45"/>
      <c r="H219" s="45"/>
      <c r="I219" s="46"/>
    </row>
    <row r="220" customFormat="false" ht="15" hidden="false" customHeight="false" outlineLevel="0" collapsed="false">
      <c r="A220" s="42"/>
      <c r="B220" s="43"/>
      <c r="C220" s="43"/>
      <c r="D220" s="43"/>
      <c r="E220" s="44"/>
      <c r="F220" s="44"/>
      <c r="G220" s="45"/>
      <c r="H220" s="45"/>
      <c r="I220" s="46"/>
    </row>
    <row r="221" customFormat="false" ht="15" hidden="false" customHeight="false" outlineLevel="0" collapsed="false">
      <c r="A221" s="42"/>
      <c r="B221" s="43"/>
      <c r="C221" s="43"/>
      <c r="D221" s="43"/>
      <c r="E221" s="44"/>
      <c r="F221" s="44"/>
      <c r="G221" s="45"/>
      <c r="H221" s="45"/>
      <c r="I221" s="46"/>
    </row>
    <row r="222" customFormat="false" ht="15" hidden="false" customHeight="false" outlineLevel="0" collapsed="false">
      <c r="A222" s="42"/>
      <c r="B222" s="43"/>
      <c r="C222" s="43"/>
      <c r="D222" s="43"/>
      <c r="E222" s="44"/>
      <c r="F222" s="44"/>
      <c r="G222" s="45"/>
      <c r="H222" s="45"/>
      <c r="I222" s="46"/>
    </row>
    <row r="223" customFormat="false" ht="15" hidden="false" customHeight="false" outlineLevel="0" collapsed="false">
      <c r="A223" s="42"/>
      <c r="B223" s="43"/>
      <c r="C223" s="43"/>
      <c r="D223" s="43"/>
      <c r="E223" s="44"/>
      <c r="F223" s="44"/>
      <c r="G223" s="45"/>
      <c r="H223" s="45"/>
      <c r="I223" s="46"/>
    </row>
    <row r="224" customFormat="false" ht="15" hidden="false" customHeight="false" outlineLevel="0" collapsed="false">
      <c r="A224" s="42"/>
      <c r="B224" s="43"/>
      <c r="C224" s="43"/>
      <c r="D224" s="43"/>
      <c r="E224" s="44"/>
      <c r="F224" s="44"/>
      <c r="G224" s="45"/>
      <c r="H224" s="45"/>
      <c r="I224" s="46"/>
    </row>
    <row r="225" customFormat="false" ht="15" hidden="false" customHeight="false" outlineLevel="0" collapsed="false">
      <c r="A225" s="42"/>
      <c r="B225" s="43"/>
      <c r="C225" s="43"/>
      <c r="D225" s="43"/>
      <c r="E225" s="44"/>
      <c r="F225" s="44"/>
      <c r="G225" s="45"/>
      <c r="H225" s="45"/>
      <c r="I225" s="46"/>
    </row>
    <row r="226" customFormat="false" ht="15" hidden="false" customHeight="false" outlineLevel="0" collapsed="false">
      <c r="A226" s="42"/>
      <c r="B226" s="43"/>
      <c r="C226" s="43"/>
      <c r="D226" s="43"/>
      <c r="E226" s="44"/>
      <c r="F226" s="44"/>
      <c r="G226" s="45"/>
      <c r="H226" s="45"/>
      <c r="I226" s="46"/>
    </row>
    <row r="227" customFormat="false" ht="15" hidden="false" customHeight="false" outlineLevel="0" collapsed="false">
      <c r="A227" s="42"/>
      <c r="B227" s="43"/>
      <c r="C227" s="43"/>
      <c r="D227" s="43"/>
      <c r="E227" s="44"/>
      <c r="F227" s="44"/>
      <c r="G227" s="45"/>
      <c r="H227" s="45"/>
      <c r="I227" s="46"/>
    </row>
    <row r="228" customFormat="false" ht="15" hidden="false" customHeight="false" outlineLevel="0" collapsed="false">
      <c r="A228" s="42"/>
      <c r="B228" s="43"/>
      <c r="C228" s="43"/>
      <c r="D228" s="43"/>
      <c r="E228" s="44"/>
      <c r="F228" s="44"/>
      <c r="G228" s="45"/>
      <c r="H228" s="45"/>
      <c r="I228" s="46"/>
    </row>
    <row r="229" customFormat="false" ht="15" hidden="false" customHeight="false" outlineLevel="0" collapsed="false">
      <c r="A229" s="42"/>
      <c r="B229" s="43"/>
      <c r="C229" s="43"/>
      <c r="D229" s="43"/>
      <c r="E229" s="44"/>
      <c r="F229" s="44"/>
      <c r="G229" s="45"/>
      <c r="H229" s="45"/>
      <c r="I229" s="46"/>
    </row>
    <row r="230" customFormat="false" ht="15" hidden="false" customHeight="false" outlineLevel="0" collapsed="false">
      <c r="A230" s="42"/>
      <c r="B230" s="43"/>
      <c r="C230" s="43"/>
      <c r="D230" s="43"/>
      <c r="E230" s="44"/>
      <c r="F230" s="44"/>
      <c r="G230" s="45"/>
      <c r="H230" s="45"/>
      <c r="I230" s="46"/>
    </row>
    <row r="231" customFormat="false" ht="15" hidden="false" customHeight="false" outlineLevel="0" collapsed="false">
      <c r="A231" s="42"/>
      <c r="B231" s="43"/>
      <c r="C231" s="43"/>
      <c r="D231" s="43"/>
      <c r="E231" s="44"/>
      <c r="F231" s="44"/>
      <c r="G231" s="45"/>
      <c r="H231" s="45"/>
      <c r="I231" s="46"/>
    </row>
    <row r="232" customFormat="false" ht="15" hidden="false" customHeight="false" outlineLevel="0" collapsed="false">
      <c r="A232" s="42"/>
      <c r="B232" s="43"/>
      <c r="C232" s="43"/>
      <c r="D232" s="43"/>
      <c r="E232" s="44"/>
      <c r="F232" s="44"/>
      <c r="G232" s="45"/>
      <c r="H232" s="45"/>
      <c r="I232" s="46"/>
    </row>
    <row r="233" customFormat="false" ht="15" hidden="false" customHeight="false" outlineLevel="0" collapsed="false">
      <c r="A233" s="42"/>
      <c r="B233" s="43"/>
      <c r="C233" s="43"/>
      <c r="D233" s="43"/>
      <c r="E233" s="44"/>
      <c r="F233" s="44"/>
      <c r="G233" s="45"/>
      <c r="H233" s="45"/>
      <c r="I233" s="46"/>
    </row>
    <row r="234" customFormat="false" ht="15" hidden="false" customHeight="false" outlineLevel="0" collapsed="false">
      <c r="A234" s="42"/>
      <c r="B234" s="43"/>
      <c r="C234" s="43"/>
      <c r="D234" s="43"/>
      <c r="E234" s="44"/>
      <c r="F234" s="44"/>
      <c r="G234" s="45"/>
      <c r="H234" s="45"/>
      <c r="I234" s="46"/>
    </row>
    <row r="235" customFormat="false" ht="15" hidden="false" customHeight="false" outlineLevel="0" collapsed="false">
      <c r="A235" s="42"/>
      <c r="B235" s="43"/>
      <c r="C235" s="43"/>
      <c r="D235" s="43"/>
      <c r="E235" s="44"/>
      <c r="F235" s="44"/>
      <c r="G235" s="45"/>
      <c r="H235" s="45"/>
      <c r="I235" s="46"/>
    </row>
    <row r="236" customFormat="false" ht="15" hidden="false" customHeight="false" outlineLevel="0" collapsed="false">
      <c r="A236" s="42"/>
      <c r="B236" s="43"/>
      <c r="C236" s="43"/>
      <c r="D236" s="43"/>
      <c r="E236" s="44"/>
      <c r="F236" s="44"/>
      <c r="G236" s="45"/>
      <c r="H236" s="45"/>
      <c r="I236" s="46"/>
    </row>
    <row r="237" customFormat="false" ht="15" hidden="false" customHeight="false" outlineLevel="0" collapsed="false">
      <c r="A237" s="42"/>
      <c r="B237" s="43"/>
      <c r="C237" s="43"/>
      <c r="D237" s="43"/>
      <c r="E237" s="44"/>
      <c r="F237" s="44"/>
      <c r="G237" s="45"/>
      <c r="H237" s="45"/>
      <c r="I237" s="46"/>
    </row>
    <row r="238" customFormat="false" ht="15" hidden="false" customHeight="false" outlineLevel="0" collapsed="false">
      <c r="A238" s="42"/>
      <c r="B238" s="43"/>
      <c r="C238" s="43"/>
      <c r="D238" s="43"/>
      <c r="E238" s="44"/>
      <c r="F238" s="44"/>
      <c r="G238" s="45"/>
      <c r="H238" s="45"/>
      <c r="I238" s="46"/>
    </row>
    <row r="239" customFormat="false" ht="15" hidden="false" customHeight="false" outlineLevel="0" collapsed="false">
      <c r="A239" s="42"/>
      <c r="B239" s="43"/>
      <c r="C239" s="43"/>
      <c r="D239" s="43"/>
      <c r="E239" s="44"/>
      <c r="F239" s="44"/>
      <c r="G239" s="45"/>
      <c r="H239" s="45"/>
      <c r="I239" s="46"/>
    </row>
    <row r="240" customFormat="false" ht="15" hidden="false" customHeight="false" outlineLevel="0" collapsed="false">
      <c r="A240" s="42"/>
      <c r="B240" s="43"/>
      <c r="C240" s="43"/>
      <c r="D240" s="43"/>
      <c r="E240" s="44"/>
      <c r="F240" s="44"/>
      <c r="G240" s="45"/>
      <c r="H240" s="45"/>
      <c r="I240" s="46"/>
    </row>
    <row r="241" customFormat="false" ht="15" hidden="false" customHeight="false" outlineLevel="0" collapsed="false">
      <c r="A241" s="42"/>
      <c r="B241" s="43"/>
      <c r="C241" s="43"/>
      <c r="D241" s="43"/>
      <c r="E241" s="44"/>
      <c r="F241" s="44"/>
      <c r="G241" s="45"/>
      <c r="H241" s="45"/>
      <c r="I241" s="46"/>
    </row>
    <row r="242" customFormat="false" ht="15" hidden="false" customHeight="false" outlineLevel="0" collapsed="false">
      <c r="A242" s="42"/>
      <c r="B242" s="43"/>
      <c r="C242" s="43"/>
      <c r="D242" s="43"/>
      <c r="E242" s="44"/>
      <c r="F242" s="44"/>
      <c r="G242" s="45"/>
      <c r="H242" s="45"/>
      <c r="I242" s="46"/>
    </row>
    <row r="243" customFormat="false" ht="15" hidden="false" customHeight="false" outlineLevel="0" collapsed="false">
      <c r="A243" s="42"/>
      <c r="B243" s="43"/>
      <c r="C243" s="43"/>
      <c r="D243" s="43"/>
      <c r="E243" s="44"/>
      <c r="F243" s="44"/>
      <c r="G243" s="45"/>
      <c r="H243" s="45"/>
      <c r="I243" s="46"/>
    </row>
    <row r="244" customFormat="false" ht="15" hidden="false" customHeight="false" outlineLevel="0" collapsed="false">
      <c r="A244" s="42"/>
      <c r="B244" s="43"/>
      <c r="C244" s="43"/>
      <c r="D244" s="43"/>
      <c r="E244" s="44"/>
      <c r="F244" s="44"/>
      <c r="G244" s="45"/>
      <c r="H244" s="45"/>
      <c r="I244" s="46"/>
    </row>
    <row r="245" customFormat="false" ht="15" hidden="false" customHeight="false" outlineLevel="0" collapsed="false">
      <c r="A245" s="42"/>
      <c r="B245" s="43"/>
      <c r="C245" s="43"/>
      <c r="D245" s="43"/>
      <c r="E245" s="44"/>
      <c r="F245" s="44"/>
      <c r="G245" s="45"/>
      <c r="H245" s="45"/>
      <c r="I245" s="46"/>
    </row>
    <row r="246" customFormat="false" ht="15" hidden="false" customHeight="false" outlineLevel="0" collapsed="false">
      <c r="A246" s="42"/>
      <c r="B246" s="43"/>
      <c r="C246" s="43"/>
      <c r="D246" s="43"/>
      <c r="E246" s="44"/>
      <c r="F246" s="44"/>
      <c r="G246" s="45"/>
      <c r="H246" s="45"/>
      <c r="I246" s="46"/>
    </row>
    <row r="247" customFormat="false" ht="15" hidden="false" customHeight="false" outlineLevel="0" collapsed="false">
      <c r="A247" s="42"/>
      <c r="B247" s="43"/>
      <c r="C247" s="43"/>
      <c r="D247" s="43"/>
      <c r="E247" s="44"/>
      <c r="F247" s="44"/>
      <c r="G247" s="45"/>
      <c r="H247" s="45"/>
      <c r="I247" s="46"/>
    </row>
    <row r="248" customFormat="false" ht="15" hidden="false" customHeight="false" outlineLevel="0" collapsed="false">
      <c r="A248" s="42"/>
      <c r="B248" s="43"/>
      <c r="C248" s="43"/>
      <c r="D248" s="43"/>
      <c r="E248" s="44"/>
      <c r="F248" s="44"/>
      <c r="G248" s="45"/>
      <c r="H248" s="45"/>
      <c r="I248" s="46"/>
    </row>
    <row r="249" customFormat="false" ht="15" hidden="false" customHeight="false" outlineLevel="0" collapsed="false">
      <c r="A249" s="42"/>
      <c r="B249" s="43"/>
      <c r="C249" s="43"/>
      <c r="D249" s="43"/>
      <c r="E249" s="44"/>
      <c r="F249" s="44"/>
      <c r="G249" s="45"/>
      <c r="H249" s="45"/>
      <c r="I249" s="46"/>
    </row>
    <row r="250" customFormat="false" ht="15" hidden="false" customHeight="false" outlineLevel="0" collapsed="false">
      <c r="A250" s="42"/>
      <c r="B250" s="43"/>
      <c r="C250" s="43"/>
      <c r="D250" s="43"/>
      <c r="E250" s="44"/>
      <c r="F250" s="44"/>
      <c r="G250" s="45"/>
      <c r="H250" s="45"/>
      <c r="I250" s="46"/>
    </row>
    <row r="251" customFormat="false" ht="15" hidden="false" customHeight="false" outlineLevel="0" collapsed="false">
      <c r="A251" s="42"/>
      <c r="B251" s="43"/>
      <c r="C251" s="43"/>
      <c r="D251" s="43"/>
      <c r="E251" s="44"/>
      <c r="F251" s="44"/>
      <c r="G251" s="45"/>
      <c r="H251" s="45"/>
      <c r="I251" s="46"/>
    </row>
    <row r="252" customFormat="false" ht="15" hidden="false" customHeight="false" outlineLevel="0" collapsed="false">
      <c r="A252" s="42"/>
      <c r="B252" s="43"/>
      <c r="C252" s="43"/>
      <c r="D252" s="43"/>
      <c r="E252" s="44"/>
      <c r="F252" s="44"/>
      <c r="G252" s="45"/>
      <c r="H252" s="45"/>
      <c r="I252" s="46"/>
    </row>
    <row r="253" customFormat="false" ht="15" hidden="false" customHeight="false" outlineLevel="0" collapsed="false">
      <c r="A253" s="42"/>
      <c r="B253" s="43"/>
      <c r="C253" s="43"/>
      <c r="D253" s="43"/>
      <c r="E253" s="44"/>
      <c r="F253" s="44"/>
      <c r="G253" s="45"/>
      <c r="H253" s="45"/>
      <c r="I253" s="46"/>
    </row>
    <row r="254" customFormat="false" ht="15" hidden="false" customHeight="false" outlineLevel="0" collapsed="false">
      <c r="A254" s="42"/>
      <c r="B254" s="43"/>
      <c r="C254" s="43"/>
      <c r="D254" s="43"/>
      <c r="E254" s="44"/>
      <c r="F254" s="44"/>
      <c r="G254" s="45"/>
      <c r="H254" s="45"/>
      <c r="I254" s="46"/>
    </row>
    <row r="255" customFormat="false" ht="15" hidden="false" customHeight="false" outlineLevel="0" collapsed="false">
      <c r="A255" s="42"/>
      <c r="B255" s="43"/>
      <c r="C255" s="43"/>
      <c r="D255" s="43"/>
      <c r="E255" s="44"/>
      <c r="F255" s="44"/>
      <c r="G255" s="45"/>
      <c r="H255" s="45"/>
      <c r="I255" s="46"/>
    </row>
    <row r="256" customFormat="false" ht="15" hidden="false" customHeight="false" outlineLevel="0" collapsed="false">
      <c r="A256" s="42"/>
      <c r="B256" s="43"/>
      <c r="C256" s="43"/>
      <c r="D256" s="43"/>
      <c r="E256" s="44"/>
      <c r="F256" s="44"/>
      <c r="G256" s="45"/>
      <c r="H256" s="45"/>
      <c r="I256" s="46"/>
    </row>
    <row r="257" customFormat="false" ht="15" hidden="false" customHeight="false" outlineLevel="0" collapsed="false">
      <c r="A257" s="42"/>
      <c r="B257" s="43"/>
      <c r="C257" s="43"/>
      <c r="D257" s="43"/>
      <c r="E257" s="44"/>
      <c r="F257" s="44"/>
      <c r="G257" s="45"/>
      <c r="H257" s="45"/>
      <c r="I257" s="46"/>
    </row>
    <row r="258" customFormat="false" ht="15" hidden="false" customHeight="false" outlineLevel="0" collapsed="false">
      <c r="A258" s="42"/>
      <c r="B258" s="43"/>
      <c r="C258" s="43"/>
      <c r="D258" s="43"/>
      <c r="E258" s="44"/>
      <c r="F258" s="44"/>
      <c r="G258" s="45"/>
      <c r="H258" s="45"/>
      <c r="I258" s="46"/>
    </row>
    <row r="259" customFormat="false" ht="15" hidden="false" customHeight="false" outlineLevel="0" collapsed="false">
      <c r="A259" s="42"/>
      <c r="B259" s="43"/>
      <c r="C259" s="43"/>
      <c r="D259" s="43"/>
      <c r="E259" s="44"/>
      <c r="F259" s="44"/>
      <c r="G259" s="45"/>
      <c r="H259" s="45"/>
      <c r="I259" s="46"/>
    </row>
    <row r="260" customFormat="false" ht="15" hidden="false" customHeight="false" outlineLevel="0" collapsed="false">
      <c r="A260" s="42"/>
      <c r="B260" s="43"/>
      <c r="C260" s="43"/>
      <c r="D260" s="43"/>
      <c r="E260" s="44"/>
      <c r="F260" s="44"/>
      <c r="G260" s="45"/>
      <c r="H260" s="45"/>
      <c r="I260" s="46"/>
    </row>
    <row r="261" customFormat="false" ht="15" hidden="false" customHeight="false" outlineLevel="0" collapsed="false">
      <c r="A261" s="42"/>
      <c r="B261" s="43"/>
      <c r="C261" s="43"/>
      <c r="D261" s="43"/>
      <c r="E261" s="44"/>
      <c r="F261" s="44"/>
      <c r="G261" s="45"/>
      <c r="H261" s="45"/>
      <c r="I261" s="46"/>
    </row>
    <row r="262" customFormat="false" ht="15" hidden="false" customHeight="false" outlineLevel="0" collapsed="false">
      <c r="A262" s="42"/>
      <c r="B262" s="43"/>
      <c r="C262" s="43"/>
      <c r="D262" s="43"/>
      <c r="E262" s="44"/>
      <c r="F262" s="44"/>
      <c r="G262" s="45"/>
      <c r="H262" s="45"/>
      <c r="I262" s="46"/>
    </row>
    <row r="263" customFormat="false" ht="15" hidden="false" customHeight="false" outlineLevel="0" collapsed="false">
      <c r="A263" s="42"/>
      <c r="B263" s="43"/>
      <c r="C263" s="43"/>
      <c r="D263" s="43"/>
      <c r="E263" s="44"/>
      <c r="F263" s="44"/>
      <c r="G263" s="45"/>
      <c r="H263" s="45"/>
      <c r="I263" s="46"/>
    </row>
    <row r="264" customFormat="false" ht="15" hidden="false" customHeight="false" outlineLevel="0" collapsed="false">
      <c r="A264" s="42"/>
      <c r="B264" s="43"/>
      <c r="C264" s="43"/>
      <c r="D264" s="43"/>
      <c r="E264" s="44"/>
      <c r="F264" s="44"/>
      <c r="G264" s="45"/>
      <c r="H264" s="45"/>
      <c r="I264" s="46"/>
    </row>
    <row r="265" customFormat="false" ht="15" hidden="false" customHeight="false" outlineLevel="0" collapsed="false">
      <c r="A265" s="42"/>
      <c r="B265" s="43"/>
      <c r="C265" s="43"/>
      <c r="D265" s="43"/>
      <c r="E265" s="44"/>
      <c r="F265" s="44"/>
      <c r="G265" s="45"/>
      <c r="H265" s="45"/>
      <c r="I265" s="46"/>
    </row>
    <row r="266" customFormat="false" ht="15" hidden="false" customHeight="false" outlineLevel="0" collapsed="false">
      <c r="A266" s="42"/>
      <c r="B266" s="43"/>
      <c r="C266" s="43"/>
      <c r="D266" s="43"/>
      <c r="E266" s="44"/>
      <c r="F266" s="44"/>
      <c r="G266" s="45"/>
      <c r="H266" s="45"/>
      <c r="I266" s="46"/>
    </row>
    <row r="267" customFormat="false" ht="15" hidden="false" customHeight="false" outlineLevel="0" collapsed="false">
      <c r="A267" s="42"/>
      <c r="B267" s="43"/>
      <c r="C267" s="43"/>
      <c r="D267" s="43"/>
      <c r="E267" s="44"/>
      <c r="F267" s="44"/>
      <c r="G267" s="45"/>
      <c r="H267" s="45"/>
      <c r="I267" s="46"/>
    </row>
    <row r="268" customFormat="false" ht="15" hidden="false" customHeight="false" outlineLevel="0" collapsed="false">
      <c r="A268" s="42"/>
      <c r="B268" s="43"/>
      <c r="C268" s="43"/>
      <c r="D268" s="43"/>
      <c r="E268" s="44"/>
      <c r="F268" s="44"/>
      <c r="G268" s="45"/>
      <c r="H268" s="45"/>
      <c r="I268" s="46"/>
    </row>
    <row r="269" customFormat="false" ht="15" hidden="false" customHeight="false" outlineLevel="0" collapsed="false">
      <c r="A269" s="42"/>
      <c r="B269" s="43"/>
      <c r="C269" s="43"/>
      <c r="D269" s="43"/>
      <c r="E269" s="44"/>
      <c r="F269" s="44"/>
      <c r="G269" s="45"/>
      <c r="H269" s="45"/>
      <c r="I269" s="46"/>
    </row>
    <row r="270" customFormat="false" ht="15" hidden="false" customHeight="false" outlineLevel="0" collapsed="false">
      <c r="A270" s="42"/>
      <c r="B270" s="43"/>
      <c r="C270" s="43"/>
      <c r="D270" s="43"/>
      <c r="E270" s="44"/>
      <c r="F270" s="44"/>
      <c r="G270" s="45"/>
      <c r="H270" s="45"/>
      <c r="I270" s="46"/>
    </row>
    <row r="271" customFormat="false" ht="15" hidden="false" customHeight="false" outlineLevel="0" collapsed="false">
      <c r="A271" s="42"/>
      <c r="B271" s="43"/>
      <c r="C271" s="43"/>
      <c r="D271" s="43"/>
      <c r="E271" s="44"/>
      <c r="F271" s="44"/>
      <c r="G271" s="45"/>
      <c r="H271" s="45"/>
      <c r="I271" s="46"/>
    </row>
    <row r="272" customFormat="false" ht="15" hidden="false" customHeight="false" outlineLevel="0" collapsed="false">
      <c r="A272" s="42"/>
      <c r="B272" s="43"/>
      <c r="C272" s="43"/>
      <c r="D272" s="43"/>
      <c r="E272" s="44"/>
      <c r="F272" s="44"/>
      <c r="G272" s="45"/>
      <c r="H272" s="45"/>
      <c r="I272" s="46"/>
    </row>
    <row r="273" customFormat="false" ht="15" hidden="false" customHeight="false" outlineLevel="0" collapsed="false">
      <c r="A273" s="42"/>
      <c r="B273" s="43"/>
      <c r="C273" s="43"/>
      <c r="D273" s="43"/>
      <c r="E273" s="44"/>
      <c r="F273" s="44"/>
      <c r="G273" s="45"/>
      <c r="H273" s="45"/>
      <c r="I273" s="46"/>
    </row>
    <row r="274" customFormat="false" ht="15" hidden="false" customHeight="false" outlineLevel="0" collapsed="false">
      <c r="A274" s="42"/>
      <c r="B274" s="43"/>
      <c r="C274" s="43"/>
      <c r="D274" s="43"/>
      <c r="E274" s="44"/>
      <c r="F274" s="44"/>
      <c r="G274" s="45"/>
      <c r="H274" s="45"/>
      <c r="I274" s="46"/>
    </row>
    <row r="275" customFormat="false" ht="15" hidden="false" customHeight="false" outlineLevel="0" collapsed="false">
      <c r="A275" s="42"/>
      <c r="B275" s="43"/>
      <c r="C275" s="43"/>
      <c r="D275" s="43"/>
      <c r="E275" s="44"/>
      <c r="F275" s="44"/>
      <c r="G275" s="45"/>
      <c r="H275" s="45"/>
      <c r="I275" s="46"/>
    </row>
    <row r="276" customFormat="false" ht="15" hidden="false" customHeight="false" outlineLevel="0" collapsed="false">
      <c r="A276" s="42"/>
      <c r="B276" s="43"/>
      <c r="C276" s="43"/>
      <c r="D276" s="43"/>
      <c r="E276" s="44"/>
      <c r="F276" s="44"/>
      <c r="G276" s="45"/>
      <c r="H276" s="45"/>
      <c r="I276" s="46"/>
    </row>
    <row r="277" customFormat="false" ht="15" hidden="false" customHeight="false" outlineLevel="0" collapsed="false">
      <c r="A277" s="42"/>
      <c r="B277" s="43"/>
      <c r="C277" s="43"/>
      <c r="D277" s="43"/>
      <c r="E277" s="44"/>
      <c r="F277" s="44"/>
      <c r="G277" s="45"/>
      <c r="H277" s="45"/>
      <c r="I277" s="46"/>
    </row>
    <row r="278" customFormat="false" ht="15" hidden="false" customHeight="false" outlineLevel="0" collapsed="false">
      <c r="A278" s="42"/>
      <c r="B278" s="43"/>
      <c r="C278" s="43"/>
      <c r="D278" s="43"/>
      <c r="E278" s="44"/>
      <c r="F278" s="44"/>
      <c r="G278" s="45"/>
      <c r="H278" s="45"/>
      <c r="I278" s="46"/>
    </row>
    <row r="279" customFormat="false" ht="15" hidden="false" customHeight="false" outlineLevel="0" collapsed="false">
      <c r="A279" s="42"/>
      <c r="B279" s="43"/>
      <c r="C279" s="43"/>
      <c r="D279" s="43"/>
      <c r="E279" s="44"/>
      <c r="F279" s="44"/>
      <c r="G279" s="45"/>
      <c r="H279" s="45"/>
      <c r="I279" s="46"/>
    </row>
    <row r="280" customFormat="false" ht="15" hidden="false" customHeight="false" outlineLevel="0" collapsed="false">
      <c r="A280" s="42"/>
      <c r="B280" s="43"/>
      <c r="C280" s="43"/>
      <c r="D280" s="43"/>
      <c r="E280" s="44"/>
      <c r="F280" s="44"/>
      <c r="G280" s="45"/>
      <c r="H280" s="45"/>
      <c r="I280" s="46"/>
    </row>
    <row r="281" customFormat="false" ht="15" hidden="false" customHeight="false" outlineLevel="0" collapsed="false">
      <c r="A281" s="42"/>
      <c r="B281" s="43"/>
      <c r="C281" s="43"/>
      <c r="D281" s="43"/>
      <c r="E281" s="44"/>
      <c r="F281" s="44"/>
      <c r="G281" s="45"/>
      <c r="H281" s="45"/>
      <c r="I281" s="46"/>
    </row>
    <row r="282" customFormat="false" ht="15" hidden="false" customHeight="false" outlineLevel="0" collapsed="false">
      <c r="A282" s="42"/>
      <c r="B282" s="43"/>
      <c r="C282" s="43"/>
      <c r="D282" s="43"/>
      <c r="E282" s="44"/>
      <c r="F282" s="44"/>
      <c r="G282" s="45"/>
      <c r="H282" s="45"/>
      <c r="I282" s="46"/>
    </row>
    <row r="283" customFormat="false" ht="15" hidden="false" customHeight="false" outlineLevel="0" collapsed="false">
      <c r="A283" s="42"/>
      <c r="B283" s="43"/>
      <c r="C283" s="43"/>
      <c r="D283" s="43"/>
      <c r="E283" s="44"/>
      <c r="F283" s="44"/>
      <c r="G283" s="45"/>
      <c r="H283" s="45"/>
      <c r="I283" s="46"/>
    </row>
    <row r="284" customFormat="false" ht="15" hidden="false" customHeight="false" outlineLevel="0" collapsed="false">
      <c r="A284" s="42"/>
      <c r="B284" s="43"/>
      <c r="C284" s="43"/>
      <c r="D284" s="43"/>
      <c r="E284" s="44"/>
      <c r="F284" s="44"/>
      <c r="G284" s="45"/>
      <c r="H284" s="45"/>
      <c r="I284" s="46"/>
    </row>
    <row r="285" customFormat="false" ht="15" hidden="false" customHeight="false" outlineLevel="0" collapsed="false">
      <c r="A285" s="42"/>
      <c r="B285" s="43"/>
      <c r="C285" s="43"/>
      <c r="D285" s="43"/>
      <c r="E285" s="44"/>
      <c r="F285" s="44"/>
      <c r="G285" s="45"/>
      <c r="H285" s="45"/>
      <c r="I285" s="46"/>
    </row>
    <row r="286" customFormat="false" ht="15" hidden="false" customHeight="false" outlineLevel="0" collapsed="false">
      <c r="A286" s="42"/>
      <c r="B286" s="43"/>
      <c r="C286" s="43"/>
      <c r="D286" s="43"/>
      <c r="E286" s="44"/>
      <c r="F286" s="44"/>
      <c r="G286" s="45"/>
      <c r="H286" s="45"/>
      <c r="I286" s="46"/>
    </row>
    <row r="287" customFormat="false" ht="15" hidden="false" customHeight="false" outlineLevel="0" collapsed="false">
      <c r="A287" s="42"/>
      <c r="B287" s="43"/>
      <c r="C287" s="43"/>
      <c r="D287" s="43"/>
      <c r="E287" s="44"/>
      <c r="F287" s="44"/>
      <c r="G287" s="45"/>
      <c r="H287" s="45"/>
      <c r="I287" s="46"/>
    </row>
    <row r="288" customFormat="false" ht="15" hidden="false" customHeight="false" outlineLevel="0" collapsed="false">
      <c r="A288" s="42"/>
      <c r="B288" s="43"/>
      <c r="C288" s="43"/>
      <c r="D288" s="43"/>
      <c r="E288" s="44"/>
      <c r="F288" s="44"/>
      <c r="G288" s="45"/>
      <c r="H288" s="45"/>
      <c r="I288" s="46"/>
    </row>
    <row r="289" customFormat="false" ht="15" hidden="false" customHeight="false" outlineLevel="0" collapsed="false">
      <c r="A289" s="42"/>
      <c r="B289" s="43"/>
      <c r="C289" s="43"/>
      <c r="D289" s="43"/>
      <c r="E289" s="44"/>
      <c r="F289" s="44"/>
      <c r="G289" s="45"/>
      <c r="H289" s="45"/>
      <c r="I289" s="46"/>
    </row>
    <row r="290" customFormat="false" ht="15" hidden="false" customHeight="false" outlineLevel="0" collapsed="false">
      <c r="A290" s="42"/>
      <c r="B290" s="43"/>
      <c r="C290" s="43"/>
      <c r="D290" s="43"/>
      <c r="E290" s="44"/>
      <c r="F290" s="44"/>
      <c r="G290" s="45"/>
      <c r="H290" s="45"/>
      <c r="I290" s="46"/>
    </row>
    <row r="291" customFormat="false" ht="15" hidden="false" customHeight="false" outlineLevel="0" collapsed="false">
      <c r="A291" s="42"/>
      <c r="B291" s="43"/>
      <c r="C291" s="43"/>
      <c r="D291" s="43"/>
      <c r="E291" s="44"/>
      <c r="F291" s="44"/>
      <c r="G291" s="45"/>
      <c r="H291" s="45"/>
      <c r="I291" s="46"/>
    </row>
    <row r="292" customFormat="false" ht="15" hidden="false" customHeight="false" outlineLevel="0" collapsed="false">
      <c r="A292" s="42"/>
      <c r="B292" s="43"/>
      <c r="C292" s="43"/>
      <c r="D292" s="43"/>
      <c r="E292" s="44"/>
      <c r="F292" s="44"/>
      <c r="G292" s="45"/>
      <c r="H292" s="45"/>
      <c r="I292" s="46"/>
    </row>
    <row r="293" customFormat="false" ht="15" hidden="false" customHeight="false" outlineLevel="0" collapsed="false">
      <c r="A293" s="42"/>
      <c r="B293" s="43"/>
      <c r="C293" s="43"/>
      <c r="D293" s="43"/>
      <c r="E293" s="44"/>
      <c r="F293" s="44"/>
      <c r="G293" s="45"/>
      <c r="H293" s="45"/>
      <c r="I293" s="46"/>
    </row>
    <row r="294" customFormat="false" ht="15" hidden="false" customHeight="false" outlineLevel="0" collapsed="false">
      <c r="A294" s="42"/>
      <c r="B294" s="43"/>
      <c r="C294" s="43"/>
      <c r="D294" s="43"/>
      <c r="E294" s="44"/>
      <c r="F294" s="44"/>
      <c r="G294" s="45"/>
      <c r="H294" s="45"/>
      <c r="I294" s="46"/>
    </row>
    <row r="295" customFormat="false" ht="15" hidden="false" customHeight="false" outlineLevel="0" collapsed="false">
      <c r="A295" s="42"/>
      <c r="B295" s="43"/>
      <c r="C295" s="43"/>
      <c r="D295" s="43"/>
      <c r="E295" s="44"/>
      <c r="F295" s="44"/>
      <c r="G295" s="45"/>
      <c r="H295" s="45"/>
      <c r="I295" s="46"/>
    </row>
    <row r="296" customFormat="false" ht="15" hidden="false" customHeight="false" outlineLevel="0" collapsed="false">
      <c r="A296" s="42"/>
      <c r="B296" s="43"/>
      <c r="C296" s="43"/>
      <c r="D296" s="43"/>
      <c r="E296" s="44"/>
      <c r="F296" s="44"/>
      <c r="G296" s="45"/>
      <c r="H296" s="45"/>
      <c r="I296" s="46"/>
    </row>
    <row r="297" customFormat="false" ht="15" hidden="false" customHeight="false" outlineLevel="0" collapsed="false">
      <c r="A297" s="42"/>
      <c r="B297" s="43"/>
      <c r="C297" s="43"/>
      <c r="D297" s="43"/>
      <c r="E297" s="44"/>
      <c r="F297" s="44"/>
      <c r="G297" s="45"/>
      <c r="H297" s="45"/>
      <c r="I297" s="46"/>
    </row>
    <row r="298" customFormat="false" ht="15" hidden="false" customHeight="false" outlineLevel="0" collapsed="false">
      <c r="A298" s="42"/>
      <c r="B298" s="43"/>
      <c r="C298" s="43"/>
      <c r="D298" s="43"/>
      <c r="E298" s="44"/>
      <c r="F298" s="44"/>
      <c r="G298" s="45"/>
      <c r="H298" s="45"/>
      <c r="I298" s="46"/>
    </row>
    <row r="299" customFormat="false" ht="15" hidden="false" customHeight="false" outlineLevel="0" collapsed="false">
      <c r="A299" s="42"/>
      <c r="B299" s="43"/>
      <c r="C299" s="43"/>
      <c r="D299" s="43"/>
      <c r="E299" s="44"/>
      <c r="F299" s="44"/>
      <c r="G299" s="45"/>
      <c r="H299" s="45"/>
      <c r="I299" s="46"/>
    </row>
    <row r="300" customFormat="false" ht="15" hidden="false" customHeight="false" outlineLevel="0" collapsed="false">
      <c r="A300" s="42"/>
      <c r="B300" s="43"/>
      <c r="C300" s="43"/>
      <c r="D300" s="43"/>
      <c r="E300" s="44"/>
      <c r="F300" s="44"/>
      <c r="G300" s="45"/>
      <c r="H300" s="45"/>
      <c r="I300" s="46"/>
    </row>
    <row r="301" customFormat="false" ht="15" hidden="false" customHeight="false" outlineLevel="0" collapsed="false">
      <c r="A301" s="42"/>
      <c r="B301" s="43"/>
      <c r="C301" s="43"/>
      <c r="D301" s="43"/>
      <c r="E301" s="44"/>
      <c r="F301" s="44"/>
      <c r="G301" s="45"/>
      <c r="H301" s="45"/>
      <c r="I301" s="46"/>
    </row>
    <row r="302" customFormat="false" ht="15" hidden="false" customHeight="false" outlineLevel="0" collapsed="false">
      <c r="A302" s="42"/>
      <c r="B302" s="43"/>
      <c r="C302" s="43"/>
      <c r="D302" s="43"/>
      <c r="E302" s="44"/>
      <c r="F302" s="44"/>
      <c r="G302" s="45"/>
      <c r="H302" s="45"/>
      <c r="I302" s="46"/>
    </row>
    <row r="303" customFormat="false" ht="15" hidden="false" customHeight="false" outlineLevel="0" collapsed="false">
      <c r="A303" s="42"/>
      <c r="B303" s="43"/>
      <c r="C303" s="43"/>
      <c r="D303" s="43"/>
      <c r="E303" s="44"/>
      <c r="F303" s="44"/>
      <c r="G303" s="45"/>
      <c r="H303" s="45"/>
      <c r="I303" s="46"/>
    </row>
    <row r="304" customFormat="false" ht="15" hidden="false" customHeight="false" outlineLevel="0" collapsed="false">
      <c r="A304" s="42"/>
      <c r="B304" s="43"/>
      <c r="C304" s="43"/>
      <c r="D304" s="43"/>
      <c r="E304" s="44"/>
      <c r="F304" s="44"/>
      <c r="G304" s="45"/>
      <c r="H304" s="45"/>
      <c r="I304" s="46"/>
    </row>
    <row r="305" customFormat="false" ht="15" hidden="false" customHeight="false" outlineLevel="0" collapsed="false">
      <c r="A305" s="42"/>
      <c r="B305" s="43"/>
      <c r="C305" s="43"/>
      <c r="D305" s="43"/>
      <c r="E305" s="44"/>
      <c r="F305" s="44"/>
      <c r="G305" s="45"/>
      <c r="H305" s="45"/>
      <c r="I305" s="46"/>
    </row>
    <row r="306" customFormat="false" ht="15" hidden="false" customHeight="false" outlineLevel="0" collapsed="false">
      <c r="A306" s="42"/>
      <c r="B306" s="43"/>
      <c r="C306" s="43"/>
      <c r="D306" s="43"/>
      <c r="E306" s="44"/>
      <c r="F306" s="44"/>
      <c r="G306" s="45"/>
      <c r="H306" s="45"/>
      <c r="I306" s="46"/>
    </row>
  </sheetData>
  <dataValidations count="4">
    <dataValidation allowBlank="true" error="Bitte IoT, EDM, Parking oder LLM auswählen." errorStyle="stop" errorTitle="Ungültiges Themenfeld" operator="between" showDropDown="false" showErrorMessage="false" showInputMessage="false" sqref="B7:B506" type="list">
      <formula1>"IoT,EDM,Parking,LLM"</formula1>
      <formula2>0</formula2>
    </dataValidation>
    <dataValidation allowBlank="true" error="Bitte Hardware, Hardware + Dienstleistung, Lizenzen oder Dienstleistung auswählen." errorStyle="stop" errorTitle="Ungültige Kategorie" operator="between" showDropDown="false" showErrorMessage="false" showInputMessage="false" sqref="C7:C506" type="list">
      <formula1>"Hardware,Hardware + Dienstleistung,Lizenzen,Dienstleistung"</formula1>
      <formula2>0</formula2>
    </dataValidation>
    <dataValidation allowBlank="true" error="Bitte ein Datum im Format TT.MM.JJJJ eintragen." errorStyle="stop" errorTitle="Ungültiges Datum" operator="between" showDropDown="false" showErrorMessage="false" showInputMessage="false" sqref="E7:F506" type="date">
      <formula1>DATE(2020,1,1)</formula1>
      <formula2>DATE(2040,12,31)</formula2>
    </dataValidation>
    <dataValidation allowBlank="true" error="Zulässig sind 0 % bis 100 %. Eingabe z. B. als 20% oder als 0,2." errorStyle="stop" errorTitle="Ungültige Wahrscheinlichkeit" operator="between" showDropDown="false" showErrorMessage="false" showInputMessage="false" sqref="I7:I50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DusL Plus Autostrom – Aufträge  |  Seite &amp;P von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40" t="s">
        <v>157</v>
      </c>
    </row>
    <row r="2" customFormat="false" ht="15" hidden="false" customHeight="false" outlineLevel="0" collapsed="false">
      <c r="A2" s="47" t="s">
        <v>158</v>
      </c>
    </row>
    <row r="3" customFormat="false" ht="15" hidden="false" customHeight="false" outlineLevel="0" collapsed="false">
      <c r="A3" s="3" t="s">
        <v>159</v>
      </c>
    </row>
    <row r="5" customFormat="false" ht="15" hidden="false" customHeight="false" outlineLevel="0" collapsed="false">
      <c r="A5" s="48" t="s">
        <v>160</v>
      </c>
      <c r="B5" s="49" t="s">
        <v>161</v>
      </c>
    </row>
    <row r="6" customFormat="false" ht="15" hidden="false" customHeight="false" outlineLevel="0" collapsed="false">
      <c r="A6" s="50" t="s">
        <v>162</v>
      </c>
      <c r="B6" s="8"/>
    </row>
    <row r="7" customFormat="false" ht="15" hidden="false" customHeight="false" outlineLevel="0" collapsed="false">
      <c r="A7" s="51" t="s">
        <v>163</v>
      </c>
      <c r="B7" s="11" t="n">
        <f aca="false">Cashflow!BG116</f>
        <v>0</v>
      </c>
    </row>
    <row r="8" customFormat="false" ht="15" hidden="false" customHeight="false" outlineLevel="0" collapsed="false">
      <c r="A8" s="51" t="s">
        <v>164</v>
      </c>
      <c r="B8" s="11" t="n">
        <f aca="false">Cashflow!BG117</f>
        <v>0</v>
      </c>
    </row>
    <row r="9" customFormat="false" ht="15" hidden="false" customHeight="false" outlineLevel="0" collapsed="false">
      <c r="A9" s="52" t="s">
        <v>165</v>
      </c>
      <c r="B9" s="23" t="n">
        <f aca="false">Cashflow!BG118</f>
        <v>0</v>
      </c>
    </row>
    <row r="10" customFormat="false" ht="15" hidden="false" customHeight="false" outlineLevel="0" collapsed="false">
      <c r="A10" s="50" t="s">
        <v>166</v>
      </c>
      <c r="B10" s="8"/>
    </row>
    <row r="11" customFormat="false" ht="15" hidden="false" customHeight="false" outlineLevel="0" collapsed="false">
      <c r="A11" s="51" t="s">
        <v>167</v>
      </c>
      <c r="B11" s="11" t="n">
        <f aca="false">Cashflow!BH116</f>
        <v>0</v>
      </c>
    </row>
    <row r="12" customFormat="false" ht="15" hidden="false" customHeight="false" outlineLevel="0" collapsed="false">
      <c r="A12" s="51" t="s">
        <v>168</v>
      </c>
      <c r="B12" s="11" t="n">
        <f aca="false">Cashflow!BH117</f>
        <v>0</v>
      </c>
    </row>
    <row r="13" customFormat="false" ht="15" hidden="false" customHeight="false" outlineLevel="0" collapsed="false">
      <c r="A13" s="52" t="s">
        <v>169</v>
      </c>
      <c r="B13" s="23" t="n">
        <f aca="false">Cashflow!BH118</f>
        <v>0</v>
      </c>
    </row>
    <row r="14" customFormat="false" ht="15" hidden="false" customHeight="false" outlineLevel="0" collapsed="false">
      <c r="A14" s="50" t="s">
        <v>170</v>
      </c>
      <c r="B14" s="8"/>
    </row>
    <row r="15" customFormat="false" ht="15" hidden="false" customHeight="false" outlineLevel="0" collapsed="false">
      <c r="A15" s="51" t="s">
        <v>171</v>
      </c>
      <c r="B15" s="11" t="n">
        <f aca="false">Cashflow!BI116</f>
        <v>0</v>
      </c>
    </row>
    <row r="16" customFormat="false" ht="15" hidden="false" customHeight="false" outlineLevel="0" collapsed="false">
      <c r="A16" s="51" t="s">
        <v>172</v>
      </c>
      <c r="B16" s="11" t="n">
        <f aca="false">Cashflow!BI117</f>
        <v>0</v>
      </c>
    </row>
    <row r="17" customFormat="false" ht="15" hidden="false" customHeight="false" outlineLevel="0" collapsed="false">
      <c r="A17" s="52" t="s">
        <v>173</v>
      </c>
      <c r="B17" s="23" t="n">
        <f aca="false">Cashflow!BI118</f>
        <v>0</v>
      </c>
    </row>
    <row r="18" customFormat="false" ht="15" hidden="false" customHeight="false" outlineLevel="0" collapsed="false">
      <c r="A18" s="50" t="s">
        <v>174</v>
      </c>
      <c r="B18" s="8"/>
    </row>
    <row r="19" customFormat="false" ht="15" hidden="false" customHeight="false" outlineLevel="0" collapsed="false">
      <c r="A19" s="51" t="s">
        <v>175</v>
      </c>
      <c r="B19" s="11" t="n">
        <f aca="false">Cashflow!BJ116</f>
        <v>0</v>
      </c>
    </row>
    <row r="20" customFormat="false" ht="15" hidden="false" customHeight="false" outlineLevel="0" collapsed="false">
      <c r="A20" s="51" t="s">
        <v>176</v>
      </c>
      <c r="B20" s="11" t="n">
        <f aca="false">Cashflow!BJ117</f>
        <v>0</v>
      </c>
    </row>
    <row r="21" customFormat="false" ht="15" hidden="false" customHeight="false" outlineLevel="0" collapsed="false">
      <c r="A21" s="52" t="s">
        <v>177</v>
      </c>
      <c r="B21" s="23" t="n">
        <f aca="false">Cashflow!BJ118</f>
        <v>0</v>
      </c>
    </row>
    <row r="22" customFormat="false" ht="15" hidden="false" customHeight="false" outlineLevel="0" collapsed="false">
      <c r="A22" s="50" t="s">
        <v>178</v>
      </c>
      <c r="B22" s="8"/>
    </row>
    <row r="23" customFormat="false" ht="15" hidden="false" customHeight="false" outlineLevel="0" collapsed="false">
      <c r="A23" s="51" t="s">
        <v>179</v>
      </c>
      <c r="B23" s="11" t="n">
        <f aca="false">Cashflow!BK116</f>
        <v>0</v>
      </c>
    </row>
    <row r="24" customFormat="false" ht="15" hidden="false" customHeight="false" outlineLevel="0" collapsed="false">
      <c r="A24" s="51" t="s">
        <v>180</v>
      </c>
      <c r="B24" s="11" t="n">
        <f aca="false">Cashflow!BK117</f>
        <v>0</v>
      </c>
    </row>
    <row r="25" customFormat="false" ht="15" hidden="false" customHeight="false" outlineLevel="0" collapsed="false">
      <c r="A25" s="52" t="s">
        <v>181</v>
      </c>
      <c r="B25" s="23" t="n">
        <f aca="false">Cashflow!BK118</f>
        <v>0</v>
      </c>
    </row>
    <row r="26" customFormat="false" ht="15" hidden="false" customHeight="false" outlineLevel="0" collapsed="false">
      <c r="A26" s="50" t="s">
        <v>182</v>
      </c>
      <c r="B26" s="8"/>
    </row>
    <row r="27" customFormat="false" ht="15" hidden="false" customHeight="false" outlineLevel="0" collapsed="false">
      <c r="A27" s="51" t="s">
        <v>183</v>
      </c>
      <c r="B27" s="11" t="n">
        <f aca="false">Cashflow!BL116</f>
        <v>0</v>
      </c>
    </row>
    <row r="28" customFormat="false" ht="15" hidden="false" customHeight="false" outlineLevel="0" collapsed="false">
      <c r="A28" s="51" t="s">
        <v>184</v>
      </c>
      <c r="B28" s="11" t="n">
        <f aca="false">Cashflow!BL117</f>
        <v>0</v>
      </c>
    </row>
    <row r="29" customFormat="false" ht="15" hidden="false" customHeight="false" outlineLevel="0" collapsed="false">
      <c r="A29" s="52" t="s">
        <v>185</v>
      </c>
      <c r="B29" s="23" t="n">
        <f aca="false">Cashflow!BL118</f>
        <v>0</v>
      </c>
    </row>
  </sheetData>
  <conditionalFormatting sqref="B6:B29">
    <cfRule type="cellIs" priority="2" operator="lessThan" aboveAverage="0" equalAverage="0" bottom="0" percent="0" rank="0" text="" dxfId="2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2026-08-17T06:29:52Z</dcterms:created>
  <dc:creator>openpyxl</dc:creator>
  <dc:description/>
  <dc:language>en-US</dc:language>
  <cp:lastModifiedBy/>
  <dcterms:modified xsi:type="dcterms:W3CDTF">2026-08-17T06:29:56Z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