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flow" sheetId="1" state="visible" r:id="rId3"/>
    <sheet name="Übersicht" sheetId="2" state="visible" r:id="rId4"/>
  </sheets>
  <definedNames>
    <definedName function="false" hidden="false" localSheetId="0" name="_xlnm.Print_Area" vbProcedure="false">Cashflow!$A$1:$W$85</definedName>
    <definedName function="false" hidden="false" localSheetId="0" name="_xlnm.Print_Titles" vbProcedure="false">Cashflow!$A:$B,Cashflow!$6:$6</definedName>
    <definedName function="false" hidden="false" localSheetId="0" name="_xlnm.Print_Titles" vbProcedure="false">Cashflow!$6:$6,Cashflow!$A:$B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<sst xmlns="http://schemas.openxmlformats.org/spreadsheetml/2006/main" count="135" uniqueCount="64">
  <si>
    <t xml:space="preserve">Cashflow-Planung</t>
  </si>
  <si>
    <t xml:space="preserve">Bereich:  SmartInfra / IoT-Büro</t>
  </si>
  <si>
    <t xml:space="preserve">Zeitraum:  Juli 2026 – Dezember 2027  (18 Monate, monatliche Granularität)</t>
  </si>
  <si>
    <t xml:space="preserve">Blanko-Vorlage – bitte ausschließlich die gelb hinterlegten Zellen befüllen. Graue und grüne Zellen sind formelbasiert.</t>
  </si>
  <si>
    <t xml:space="preserve">Position</t>
  </si>
  <si>
    <t xml:space="preserve">Kategorie</t>
  </si>
  <si>
    <t xml:space="preserve">Jul 26</t>
  </si>
  <si>
    <t xml:space="preserve">Aug 26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</si>
  <si>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</si>
  <si>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</si>
  <si>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</si>
  <si>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</si>
  <si>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</si>
  <si>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</si>
  <si>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</si>
  <si>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</si>
  <si>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</si>
  <si>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</si>
  <si>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</si>
  <si>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</si>
  <si>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</si>
  <si>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</si>
  <si>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</si>
  <si>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</si>
  <si>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H2 2026</t>
  </si>
  <si>
    <t xml:space="preserve">Summe 2027</t>
  </si>
  <si>
    <t xml:space="preserve">Gesamt</t>
  </si>
  <si>
    <t xml:space="preserve">1  EINNAHMEN</t>
  </si>
  <si>
    <t xml:space="preserve">87004006 - LKW / Autostrom+</t>
  </si>
  <si>
    <t xml:space="preserve">Einnahmen</t>
  </si>
  <si>
    <t xml:space="preserve">87004006 - PKW / Autostrom+</t>
  </si>
  <si>
    <t xml:space="preserve">87105004 - HanseWerk Natur</t>
  </si>
  <si>
    <t xml:space="preserve">87001009 - Stadtwerke Husum</t>
  </si>
  <si>
    <t xml:space="preserve">85309000 - Bereichskostenstelle EDM</t>
  </si>
  <si>
    <t xml:space="preserve">Summe Einnahmen</t>
  </si>
  <si>
    <t xml:space="preserve">2  AUSGABEN</t>
  </si>
  <si>
    <t xml:space="preserve">Ausgaben</t>
  </si>
  <si>
    <t xml:space="preserve">Summe Ausgaben</t>
  </si>
  <si>
    <t xml:space="preserve">3  KENNZAHLEN (automatisch berechnet)</t>
  </si>
  <si>
    <t xml:space="preserve">Kennzahl</t>
  </si>
  <si>
    <t xml:space="preserve">Netto-Cashflow (Monat)</t>
  </si>
  <si>
    <t xml:space="preserve">Kumulierter Cashflow</t>
  </si>
  <si>
    <t xml:space="preserve">Legende</t>
  </si>
  <si>
    <t xml:space="preserve">Eingabezelle – bitte manuell befüllen (Plan- bzw. Ist-Werte, blaue Schrift)</t>
  </si>
  <si>
    <t xml:space="preserve">Automatisch berechnet – nicht überschreiben</t>
  </si>
  <si>
    <t xml:space="preserve">Ergebniszeile – automatisch berechnet</t>
  </si>
  <si>
    <t xml:space="preserve">Beispielformat einer Eingabe:  1234,50  →  Anzeige 1.234,50 €   (Ausgaben werden als positive Beträge erfasst)</t>
  </si>
  <si>
    <t xml:space="preserve">Freie Projektzeilen: Einnahmen Zeile 8–37, Ausgaben Zeile 41–70. Werden noch mehr Zeilen benötigt, innerhalb dieser Blöcke einfügen – alle Summen erweitern sich automatisch.</t>
  </si>
  <si>
    <t xml:space="preserve">Übersicht Cashflow – DusL Plus Autostrom</t>
  </si>
  <si>
    <t xml:space="preserve">SmartInfra / IoT-Büro  ·  Juli 2026 – Dezember 2027</t>
  </si>
  <si>
    <t xml:space="preserve">Alle Werte werden automatisch aus dem Blatt „Cashflow“ übernommen.</t>
  </si>
  <si>
    <t xml:space="preserve">Betrag</t>
  </si>
  <si>
    <t xml:space="preserve">H2 2026 (Jul – Dez 2026)</t>
  </si>
  <si>
    <t xml:space="preserve">Einnahmen H2 2026</t>
  </si>
  <si>
    <t xml:space="preserve">Ausgaben H2 2026</t>
  </si>
  <si>
    <t xml:space="preserve">Netto-Cashflow H2 2026</t>
  </si>
  <si>
    <t xml:space="preserve">Geschäftsjahr 2027</t>
  </si>
  <si>
    <t xml:space="preserve">Einnahmen 2027</t>
  </si>
  <si>
    <t xml:space="preserve">Ausgaben 2027</t>
  </si>
  <si>
    <t xml:space="preserve">Netto-Cashflow 2027</t>
  </si>
  <si>
    <t xml:space="preserve">Gesamtzeitraum (18 Monate)</t>
  </si>
  <si>
    <t xml:space="preserve">Gesamteinnahmen</t>
  </si>
  <si>
    <t xml:space="preserve">Gesamtausgaben</t>
  </si>
  <si>
    <t xml:space="preserve">Gesamt-Netto-Cashflow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</si>
</sst>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[RED]\-#,##0.00&quot; €&quot;;\–"/>
    <numFmt numFmtId="166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Cashflow!A74</c:f>
              <c:strCache>
                <c:ptCount val="1"/>
                <c:pt idx="0">
                  <c:v>Summe Einnahmen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Cashflow!$B$74:$T$74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20000</c:v>
                </c:pt>
                <c:pt idx="5">
                  <c:v>0</c:v>
                </c:pt>
                <c:pt idx="6">
                  <c:v>16500</c:v>
                </c:pt>
                <c:pt idx="7">
                  <c:v>20000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Cashflow!A75</c:f>
              <c:strCache>
                <c:ptCount val="1"/>
                <c:pt idx="0">
                  <c:v>Summe Ausgaben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Cashflow!$B$75:$T$75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15000</c:v>
                </c:pt>
                <c:pt idx="5">
                  <c:v>0</c:v>
                </c:pt>
                <c:pt idx="6">
                  <c:v>0</c:v>
                </c:pt>
                <c:pt idx="7">
                  <c:v>15000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40"/>
        <c:overlap val="0"/>
        <c:axId val="53981401"/>
        <c:axId val="40458638"/>
      </c:barChart>
      <c:catAx>
        <c:axId val="539814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58638"/>
        <c:crosses val="autoZero"/>
        <c:auto val="1"/>
        <c:lblAlgn val="ctr"/>
        <c:lblOffset val="100"/>
        <c:noMultiLvlLbl val="0"/>
      </c:catAx>
      <c:valAx>
        <c:axId val="404586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814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Netto-Cashflow und kumulierter Cashflow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Cashflow!A76</c:f>
              <c:strCache>
                <c:ptCount val="1"/>
                <c:pt idx="0">
                  <c:v>Netto-Cashflow (Monat)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Cashflow!$B$76:$T$76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5000</c:v>
                </c:pt>
                <c:pt idx="5">
                  <c:v>0</c:v>
                </c:pt>
                <c:pt idx="6">
                  <c:v>16500</c:v>
                </c:pt>
                <c:pt idx="7">
                  <c:v>5000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Cashflow!A77</c:f>
              <c:strCache>
                <c:ptCount val="1"/>
                <c:pt idx="0">
                  <c:v>Kumulierter Cashflow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Cashflow!$B$77:$T$77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5000</c:v>
                </c:pt>
                <c:pt idx="5">
                  <c:v>5000</c:v>
                </c:pt>
                <c:pt idx="6">
                  <c:v>21500</c:v>
                </c:pt>
                <c:pt idx="7">
                  <c:v>26500</c:v>
                </c:pt>
                <c:pt idx="8">
                  <c:v>26500</c:v>
                </c:pt>
                <c:pt idx="9">
                  <c:v>26500</c:v>
                </c:pt>
                <c:pt idx="10">
                  <c:v>26500</c:v>
                </c:pt>
                <c:pt idx="11">
                  <c:v>26500</c:v>
                </c:pt>
                <c:pt idx="12">
                  <c:v>26500</c:v>
                </c:pt>
                <c:pt idx="13">
                  <c:v>26500</c:v>
                </c:pt>
                <c:pt idx="14">
                  <c:v>26500</c:v>
                </c:pt>
                <c:pt idx="15">
                  <c:v>26500</c:v>
                </c:pt>
                <c:pt idx="16">
                  <c:v>26500</c:v>
                </c:pt>
                <c:pt idx="17">
                  <c:v>26500</c:v>
                </c:pt>
                <c:pt idx="18">
                  <c:v>26500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831196"/>
        <c:axId val="55401202"/>
      </c:lineChart>
      <c:catAx>
        <c:axId val="128311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01202"/>
        <c:crosses val="autoZero"/>
        <c:auto val="1"/>
        <c:lblAlgn val="ctr"/>
        <c:lblOffset val="100"/>
        <c:noMultiLvlLbl val="0"/>
      </c:catAx>
      <c:valAx>
        <c:axId val="554012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311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131040</xdr:rowOff>
    </xdr:from>
    <xdr:to>
      <xdr:col>15</xdr:col>
      <xdr:colOff>253800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5559480" y="762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20</xdr:row>
      <xdr:rowOff>131040</xdr:rowOff>
    </xdr:from>
    <xdr:to>
      <xdr:col>15</xdr:col>
      <xdr:colOff>253800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5559480" y="400068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20" min="3" style="0" width="13"/>
    <col collapsed="false" customWidth="true" hidden="false" outlineLevel="0" max="23" min="21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6" customFormat="false" ht="30" hidden="false" customHeight="true" outlineLevel="0" collapsed="false">
      <c r="A6" s="4" t="s">
        <v>4</v>
      </c>
      <c r="B6" s="4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O6" s="5" t="s">
        <v>18</v>
      </c>
      <c r="P6" s="5" t="s">
        <v>19</v>
      </c>
      <c r="Q6" s="5" t="s">
        <v>20</v>
      </c>
      <c r="R6" s="5" t="s">
        <v>21</v>
      </c>
      <c r="S6" s="5" t="s">
        <v>22</v>
      </c>
      <c r="T6" s="5" t="s">
        <v>23</v>
      </c>
      <c r="U6" s="5" t="s">
        <v>24</v>
      </c>
      <c r="V6" s="5" t="s">
        <v>25</v>
      </c>
      <c r="W6" s="5" t="s">
        <v>26</v>
      </c>
    </row>
    <row r="7" customFormat="false" ht="19.5" hidden="false" customHeight="true" outlineLevel="0" collapsed="false">
      <c r="A7" s="6" t="s">
        <v>27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5" hidden="false" customHeight="false" outlineLevel="0" collapsed="false">
      <c r="A8" s="8" t="s">
        <v>28</v>
      </c>
      <c r="B8" s="9" t="s">
        <v>29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1" t="n">
        <f aca="false">SUM(C8:H8)</f>
        <v>0</v>
      </c>
      <c r="V8" s="11" t="n">
        <f aca="false">SUM(I8:T8)</f>
        <v>0</v>
      </c>
      <c r="W8" s="12" t="n">
        <f aca="false">SUM(C8:T8)</f>
        <v>0</v>
      </c>
    </row>
    <row r="9" customFormat="false" ht="15" hidden="false" customHeight="false" outlineLevel="0" collapsed="false">
      <c r="A9" s="8" t="s">
        <v>30</v>
      </c>
      <c r="B9" s="9" t="s">
        <v>29</v>
      </c>
      <c r="C9" s="10"/>
      <c r="D9" s="10"/>
      <c r="E9" s="10"/>
      <c r="F9" s="10" t="n">
        <v>20000</v>
      </c>
      <c r="G9" s="10"/>
      <c r="H9" s="10"/>
      <c r="I9" s="10" t="n">
        <v>20000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 t="n">
        <f aca="false">SUM(C9:H9)</f>
        <v>20000</v>
      </c>
      <c r="V9" s="11" t="n">
        <f aca="false">SUM(I9:T9)</f>
        <v>20000</v>
      </c>
      <c r="W9" s="12" t="n">
        <f aca="false">SUM(C9:T9)</f>
        <v>40000</v>
      </c>
    </row>
    <row r="10" customFormat="false" ht="15" hidden="false" customHeight="false" outlineLevel="0" collapsed="false">
      <c r="A10" s="8" t="s">
        <v>31</v>
      </c>
      <c r="B10" s="9" t="s">
        <v>29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 t="n">
        <f aca="false">SUM(C10:H10)</f>
        <v>0</v>
      </c>
      <c r="V10" s="11" t="n">
        <f aca="false">SUM(I10:T10)</f>
        <v>0</v>
      </c>
      <c r="W10" s="12" t="n">
        <f aca="false">SUM(C10:T10)</f>
        <v>0</v>
      </c>
    </row>
    <row r="11" customFormat="false" ht="15" hidden="false" customHeight="false" outlineLevel="0" collapsed="false">
      <c r="A11" s="8" t="s">
        <v>32</v>
      </c>
      <c r="B11" s="9" t="s">
        <v>29</v>
      </c>
      <c r="C11" s="10"/>
      <c r="D11" s="10"/>
      <c r="E11" s="10"/>
      <c r="F11" s="10"/>
      <c r="G11" s="10"/>
      <c r="H11" s="10" t="n">
        <v>16500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1" t="n">
        <f aca="false">SUM(C11:H11)</f>
        <v>16500</v>
      </c>
      <c r="V11" s="11" t="n">
        <f aca="false">SUM(I11:T11)</f>
        <v>0</v>
      </c>
      <c r="W11" s="12" t="n">
        <f aca="false">SUM(C11:T11)</f>
        <v>16500</v>
      </c>
    </row>
    <row r="12" customFormat="false" ht="15" hidden="false" customHeight="false" outlineLevel="0" collapsed="false">
      <c r="A12" s="8" t="s">
        <v>33</v>
      </c>
      <c r="B12" s="9" t="s">
        <v>29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 t="n">
        <f aca="false">SUM(C12:H12)</f>
        <v>0</v>
      </c>
      <c r="V12" s="11" t="n">
        <f aca="false">SUM(I12:T12)</f>
        <v>0</v>
      </c>
      <c r="W12" s="12" t="n">
        <f aca="false">SUM(C12:T12)</f>
        <v>0</v>
      </c>
    </row>
    <row r="13" customFormat="false" ht="15" hidden="false" customHeight="false" outlineLevel="0" collapsed="false">
      <c r="A13" s="13"/>
      <c r="B13" s="9" t="s">
        <v>29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1" t="n">
        <f aca="false">SUM(C13:H13)</f>
        <v>0</v>
      </c>
      <c r="V13" s="11" t="n">
        <f aca="false">SUM(I13:T13)</f>
        <v>0</v>
      </c>
      <c r="W13" s="12" t="n">
        <f aca="false">SUM(C13:T13)</f>
        <v>0</v>
      </c>
    </row>
    <row r="14" customFormat="false" ht="15" hidden="false" customHeight="false" outlineLevel="0" collapsed="false">
      <c r="A14" s="13"/>
      <c r="B14" s="9" t="s">
        <v>29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1" t="n">
        <f aca="false">SUM(C14:H14)</f>
        <v>0</v>
      </c>
      <c r="V14" s="11" t="n">
        <f aca="false">SUM(I14:T14)</f>
        <v>0</v>
      </c>
      <c r="W14" s="12" t="n">
        <f aca="false">SUM(C14:T14)</f>
        <v>0</v>
      </c>
    </row>
    <row r="15" customFormat="false" ht="15" hidden="false" customHeight="false" outlineLevel="0" collapsed="false">
      <c r="A15" s="13"/>
      <c r="B15" s="9" t="s">
        <v>29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 t="n">
        <f aca="false">SUM(C15:H15)</f>
        <v>0</v>
      </c>
      <c r="V15" s="11" t="n">
        <f aca="false">SUM(I15:T15)</f>
        <v>0</v>
      </c>
      <c r="W15" s="12" t="n">
        <f aca="false">SUM(C15:T15)</f>
        <v>0</v>
      </c>
    </row>
    <row r="16" customFormat="false" ht="15" hidden="false" customHeight="false" outlineLevel="0" collapsed="false">
      <c r="A16" s="13"/>
      <c r="B16" s="9" t="s">
        <v>29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 t="n">
        <f aca="false">SUM(C16:H16)</f>
        <v>0</v>
      </c>
      <c r="V16" s="11" t="n">
        <f aca="false">SUM(I16:T16)</f>
        <v>0</v>
      </c>
      <c r="W16" s="12" t="n">
        <f aca="false">SUM(C16:T16)</f>
        <v>0</v>
      </c>
    </row>
    <row r="17" customFormat="false" ht="15" hidden="false" customHeight="false" outlineLevel="0" collapsed="false">
      <c r="A17" s="13"/>
      <c r="B17" s="9" t="s">
        <v>29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 t="n">
        <f aca="false">SUM(C17:H17)</f>
        <v>0</v>
      </c>
      <c r="V17" s="11" t="n">
        <f aca="false">SUM(I17:T17)</f>
        <v>0</v>
      </c>
      <c r="W17" s="12" t="n">
        <f aca="false">SUM(C17:T17)</f>
        <v>0</v>
      </c>
    </row>
    <row r="18" customFormat="false" ht="15" hidden="false" customHeight="false" outlineLevel="0" collapsed="false">
      <c r="A18" s="13"/>
      <c r="B18" s="9" t="s">
        <v>29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1" t="n">
        <f aca="false">SUM(C18:H18)</f>
        <v>0</v>
      </c>
      <c r="V18" s="11" t="n">
        <f aca="false">SUM(I18:T18)</f>
        <v>0</v>
      </c>
      <c r="W18" s="12" t="n">
        <f aca="false">SUM(C18:T18)</f>
        <v>0</v>
      </c>
    </row>
    <row r="19" customFormat="false" ht="15" hidden="false" customHeight="false" outlineLevel="0" collapsed="false">
      <c r="A19" s="13"/>
      <c r="B19" s="9" t="s">
        <v>29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1" t="n">
        <f aca="false">SUM(C19:H19)</f>
        <v>0</v>
      </c>
      <c r="V19" s="11" t="n">
        <f aca="false">SUM(I19:T19)</f>
        <v>0</v>
      </c>
      <c r="W19" s="12" t="n">
        <f aca="false">SUM(C19:T19)</f>
        <v>0</v>
      </c>
    </row>
    <row r="20" customFormat="false" ht="15" hidden="false" customHeight="false" outlineLevel="0" collapsed="false">
      <c r="A20" s="13"/>
      <c r="B20" s="9" t="s">
        <v>29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1" t="n">
        <f aca="false">SUM(C20:H20)</f>
        <v>0</v>
      </c>
      <c r="V20" s="11" t="n">
        <f aca="false">SUM(I20:T20)</f>
        <v>0</v>
      </c>
      <c r="W20" s="12" t="n">
        <f aca="false">SUM(C20:T20)</f>
        <v>0</v>
      </c>
    </row>
    <row r="21" customFormat="false" ht="15" hidden="false" customHeight="false" outlineLevel="0" collapsed="false">
      <c r="A21" s="13"/>
      <c r="B21" s="9" t="s">
        <v>29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 t="n">
        <f aca="false">SUM(C21:H21)</f>
        <v>0</v>
      </c>
      <c r="V21" s="11" t="n">
        <f aca="false">SUM(I21:T21)</f>
        <v>0</v>
      </c>
      <c r="W21" s="12" t="n">
        <f aca="false">SUM(C21:T21)</f>
        <v>0</v>
      </c>
    </row>
    <row r="22" customFormat="false" ht="15" hidden="false" customHeight="false" outlineLevel="0" collapsed="false">
      <c r="A22" s="13"/>
      <c r="B22" s="9" t="s">
        <v>29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 t="n">
        <f aca="false">SUM(C22:H22)</f>
        <v>0</v>
      </c>
      <c r="V22" s="11" t="n">
        <f aca="false">SUM(I22:T22)</f>
        <v>0</v>
      </c>
      <c r="W22" s="12" t="n">
        <f aca="false">SUM(C22:T22)</f>
        <v>0</v>
      </c>
    </row>
    <row r="23" customFormat="false" ht="15" hidden="false" customHeight="false" outlineLevel="0" collapsed="false">
      <c r="A23" s="13"/>
      <c r="B23" s="9" t="s">
        <v>29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1" t="n">
        <f aca="false">SUM(C23:H23)</f>
        <v>0</v>
      </c>
      <c r="V23" s="11" t="n">
        <f aca="false">SUM(I23:T23)</f>
        <v>0</v>
      </c>
      <c r="W23" s="12" t="n">
        <f aca="false">SUM(C23:T23)</f>
        <v>0</v>
      </c>
    </row>
    <row r="24" customFormat="false" ht="15" hidden="false" customHeight="false" outlineLevel="0" collapsed="false">
      <c r="A24" s="13"/>
      <c r="B24" s="9" t="s">
        <v>29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 t="n">
        <f aca="false">SUM(C24:H24)</f>
        <v>0</v>
      </c>
      <c r="V24" s="11" t="n">
        <f aca="false">SUM(I24:T24)</f>
        <v>0</v>
      </c>
      <c r="W24" s="12" t="n">
        <f aca="false">SUM(C24:T24)</f>
        <v>0</v>
      </c>
    </row>
    <row r="25" customFormat="false" ht="15" hidden="false" customHeight="false" outlineLevel="0" collapsed="false">
      <c r="A25" s="13"/>
      <c r="B25" s="9" t="s">
        <v>29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 t="n">
        <f aca="false">SUM(C25:H25)</f>
        <v>0</v>
      </c>
      <c r="V25" s="11" t="n">
        <f aca="false">SUM(I25:T25)</f>
        <v>0</v>
      </c>
      <c r="W25" s="12" t="n">
        <f aca="false">SUM(C25:T25)</f>
        <v>0</v>
      </c>
    </row>
    <row r="26" customFormat="false" ht="15" hidden="false" customHeight="false" outlineLevel="0" collapsed="false">
      <c r="A26" s="13"/>
      <c r="B26" s="9" t="s">
        <v>29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 t="n">
        <f aca="false">SUM(C26:H26)</f>
        <v>0</v>
      </c>
      <c r="V26" s="11" t="n">
        <f aca="false">SUM(I26:T26)</f>
        <v>0</v>
      </c>
      <c r="W26" s="12" t="n">
        <f aca="false">SUM(C26:T26)</f>
        <v>0</v>
      </c>
    </row>
    <row r="27" customFormat="false" ht="15" hidden="false" customHeight="false" outlineLevel="0" collapsed="false">
      <c r="A27" s="13"/>
      <c r="B27" s="9" t="s">
        <v>29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1" t="n">
        <f aca="false">SUM(C27:H27)</f>
        <v>0</v>
      </c>
      <c r="V27" s="11" t="n">
        <f aca="false">SUM(I27:T27)</f>
        <v>0</v>
      </c>
      <c r="W27" s="12" t="n">
        <f aca="false">SUM(C27:T27)</f>
        <v>0</v>
      </c>
    </row>
    <row r="28" customFormat="false" ht="15" hidden="false" customHeight="false" outlineLevel="0" collapsed="false">
      <c r="A28" s="13"/>
      <c r="B28" s="9" t="s">
        <v>29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 t="n">
        <f aca="false">SUM(C28:H28)</f>
        <v>0</v>
      </c>
      <c r="V28" s="11" t="n">
        <f aca="false">SUM(I28:T28)</f>
        <v>0</v>
      </c>
      <c r="W28" s="12" t="n">
        <f aca="false">SUM(C28:T28)</f>
        <v>0</v>
      </c>
    </row>
    <row r="29" customFormat="false" ht="15" hidden="false" customHeight="false" outlineLevel="0" collapsed="false">
      <c r="A29" s="13"/>
      <c r="B29" s="9" t="s">
        <v>29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 t="n">
        <f aca="false">SUM(C29:H29)</f>
        <v>0</v>
      </c>
      <c r="V29" s="11" t="n">
        <f aca="false">SUM(I29:T29)</f>
        <v>0</v>
      </c>
      <c r="W29" s="12" t="n">
        <f aca="false">SUM(C29:T29)</f>
        <v>0</v>
      </c>
    </row>
    <row r="30" customFormat="false" ht="15" hidden="false" customHeight="false" outlineLevel="0" collapsed="false">
      <c r="A30" s="13"/>
      <c r="B30" s="9" t="s">
        <v>29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 t="n">
        <f aca="false">SUM(C30:H30)</f>
        <v>0</v>
      </c>
      <c r="V30" s="11" t="n">
        <f aca="false">SUM(I30:T30)</f>
        <v>0</v>
      </c>
      <c r="W30" s="12" t="n">
        <f aca="false">SUM(C30:T30)</f>
        <v>0</v>
      </c>
    </row>
    <row r="31" customFormat="false" ht="15" hidden="false" customHeight="false" outlineLevel="0" collapsed="false">
      <c r="A31" s="13"/>
      <c r="B31" s="9" t="s">
        <v>29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1" t="n">
        <f aca="false">SUM(C31:H31)</f>
        <v>0</v>
      </c>
      <c r="V31" s="11" t="n">
        <f aca="false">SUM(I31:T31)</f>
        <v>0</v>
      </c>
      <c r="W31" s="12" t="n">
        <f aca="false">SUM(C31:T31)</f>
        <v>0</v>
      </c>
    </row>
    <row r="32" customFormat="false" ht="15" hidden="false" customHeight="false" outlineLevel="0" collapsed="false">
      <c r="A32" s="13"/>
      <c r="B32" s="9" t="s">
        <v>29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 t="n">
        <f aca="false">SUM(C32:H32)</f>
        <v>0</v>
      </c>
      <c r="V32" s="11" t="n">
        <f aca="false">SUM(I32:T32)</f>
        <v>0</v>
      </c>
      <c r="W32" s="12" t="n">
        <f aca="false">SUM(C32:T32)</f>
        <v>0</v>
      </c>
    </row>
    <row r="33" customFormat="false" ht="15" hidden="false" customHeight="false" outlineLevel="0" collapsed="false">
      <c r="A33" s="13"/>
      <c r="B33" s="9" t="s">
        <v>29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1" t="n">
        <f aca="false">SUM(C33:H33)</f>
        <v>0</v>
      </c>
      <c r="V33" s="11" t="n">
        <f aca="false">SUM(I33:T33)</f>
        <v>0</v>
      </c>
      <c r="W33" s="12" t="n">
        <f aca="false">SUM(C33:T33)</f>
        <v>0</v>
      </c>
    </row>
    <row r="34" customFormat="false" ht="15" hidden="false" customHeight="false" outlineLevel="0" collapsed="false">
      <c r="A34" s="13"/>
      <c r="B34" s="9" t="s">
        <v>29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1" t="n">
        <f aca="false">SUM(C34:H34)</f>
        <v>0</v>
      </c>
      <c r="V34" s="11" t="n">
        <f aca="false">SUM(I34:T34)</f>
        <v>0</v>
      </c>
      <c r="W34" s="12" t="n">
        <f aca="false">SUM(C34:T34)</f>
        <v>0</v>
      </c>
    </row>
    <row r="35" customFormat="false" ht="15" hidden="false" customHeight="false" outlineLevel="0" collapsed="false">
      <c r="A35" s="13"/>
      <c r="B35" s="9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 t="n">
        <f aca="false">SUM(C35:H35)</f>
        <v>0</v>
      </c>
      <c r="V35" s="11" t="n">
        <f aca="false">SUM(I35:T35)</f>
        <v>0</v>
      </c>
      <c r="W35" s="12" t="n">
        <f aca="false">SUM(C35:T35)</f>
        <v>0</v>
      </c>
    </row>
    <row r="36" customFormat="false" ht="15" hidden="false" customHeight="false" outlineLevel="0" collapsed="false">
      <c r="A36" s="13"/>
      <c r="B36" s="9" t="s">
        <v>29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1" t="n">
        <f aca="false">SUM(C36:H36)</f>
        <v>0</v>
      </c>
      <c r="V36" s="11" t="n">
        <f aca="false">SUM(I36:T36)</f>
        <v>0</v>
      </c>
      <c r="W36" s="12" t="n">
        <f aca="false">SUM(C36:T36)</f>
        <v>0</v>
      </c>
    </row>
    <row r="37" customFormat="false" ht="15" hidden="false" customHeight="false" outlineLevel="0" collapsed="false">
      <c r="A37" s="13"/>
      <c r="B37" s="9" t="s">
        <v>29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 t="n">
        <f aca="false">SUM(C37:H37)</f>
        <v>0</v>
      </c>
      <c r="V37" s="11" t="n">
        <f aca="false">SUM(I37:T37)</f>
        <v>0</v>
      </c>
      <c r="W37" s="12" t="n">
        <f aca="false">SUM(C37:T37)</f>
        <v>0</v>
      </c>
    </row>
    <row r="38" customFormat="false" ht="15" hidden="false" customHeight="false" outlineLevel="0" collapsed="false">
      <c r="A38" s="14" t="s">
        <v>34</v>
      </c>
      <c r="B38" s="15" t="s">
        <v>29</v>
      </c>
      <c r="C38" s="16" t="n">
        <f aca="false">SUM(C8:C37)</f>
        <v>0</v>
      </c>
      <c r="D38" s="16" t="n">
        <f aca="false">SUM(D8:D37)</f>
        <v>0</v>
      </c>
      <c r="E38" s="16" t="n">
        <f aca="false">SUM(E8:E37)</f>
        <v>0</v>
      </c>
      <c r="F38" s="16" t="n">
        <f aca="false">SUM(F8:F37)</f>
        <v>20000</v>
      </c>
      <c r="G38" s="16" t="n">
        <f aca="false">SUM(G8:G37)</f>
        <v>0</v>
      </c>
      <c r="H38" s="16" t="n">
        <f aca="false">SUM(H8:H37)</f>
        <v>16500</v>
      </c>
      <c r="I38" s="16" t="n">
        <f aca="false">SUM(I8:I37)</f>
        <v>20000</v>
      </c>
      <c r="J38" s="16" t="n">
        <f aca="false">SUM(J8:J37)</f>
        <v>0</v>
      </c>
      <c r="K38" s="16" t="n">
        <f aca="false">SUM(K8:K37)</f>
        <v>0</v>
      </c>
      <c r="L38" s="16" t="n">
        <f aca="false">SUM(L8:L37)</f>
        <v>0</v>
      </c>
      <c r="M38" s="16" t="n">
        <f aca="false">SUM(M8:M37)</f>
        <v>0</v>
      </c>
      <c r="N38" s="16" t="n">
        <f aca="false">SUM(N8:N37)</f>
        <v>0</v>
      </c>
      <c r="O38" s="16" t="n">
        <f aca="false">SUM(O8:O37)</f>
        <v>0</v>
      </c>
      <c r="P38" s="16" t="n">
        <f aca="false">SUM(P8:P37)</f>
        <v>0</v>
      </c>
      <c r="Q38" s="16" t="n">
        <f aca="false">SUM(Q8:Q37)</f>
        <v>0</v>
      </c>
      <c r="R38" s="16" t="n">
        <f aca="false">SUM(R8:R37)</f>
        <v>0</v>
      </c>
      <c r="S38" s="16" t="n">
        <f aca="false">SUM(S8:S37)</f>
        <v>0</v>
      </c>
      <c r="T38" s="16" t="n">
        <f aca="false">SUM(T8:T37)</f>
        <v>0</v>
      </c>
      <c r="U38" s="16" t="n">
        <f aca="false">SUM(U8:U37)</f>
        <v>36500</v>
      </c>
      <c r="V38" s="16" t="n">
        <f aca="false">SUM(V8:V37)</f>
        <v>20000</v>
      </c>
      <c r="W38" s="16" t="n">
        <f aca="false">SUM(W8:W37)</f>
        <v>56500</v>
      </c>
    </row>
    <row r="40" customFormat="false" ht="19.5" hidden="false" customHeight="true" outlineLevel="0" collapsed="false">
      <c r="A40" s="6" t="s">
        <v>35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customFormat="false" ht="15" hidden="false" customHeight="false" outlineLevel="0" collapsed="false">
      <c r="A41" s="8" t="s">
        <v>28</v>
      </c>
      <c r="B41" s="9" t="s">
        <v>36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1" t="n">
        <f aca="false">SUM(C41:H41)</f>
        <v>0</v>
      </c>
      <c r="V41" s="11" t="n">
        <f aca="false">SUM(I41:T41)</f>
        <v>0</v>
      </c>
      <c r="W41" s="12" t="n">
        <f aca="false">SUM(C41:T41)</f>
        <v>0</v>
      </c>
    </row>
    <row r="42" customFormat="false" ht="15" hidden="false" customHeight="false" outlineLevel="0" collapsed="false">
      <c r="A42" s="8" t="s">
        <v>30</v>
      </c>
      <c r="B42" s="9" t="s">
        <v>36</v>
      </c>
      <c r="C42" s="10"/>
      <c r="D42" s="10"/>
      <c r="E42" s="10"/>
      <c r="F42" s="10" t="n">
        <v>15000</v>
      </c>
      <c r="G42" s="10"/>
      <c r="H42" s="10"/>
      <c r="I42" s="10" t="n">
        <v>15000</v>
      </c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1" t="n">
        <f aca="false">SUM(C42:H42)</f>
        <v>15000</v>
      </c>
      <c r="V42" s="11" t="n">
        <f aca="false">SUM(I42:T42)</f>
        <v>15000</v>
      </c>
      <c r="W42" s="12" t="n">
        <f aca="false">SUM(C42:T42)</f>
        <v>30000</v>
      </c>
    </row>
    <row r="43" customFormat="false" ht="15" hidden="false" customHeight="false" outlineLevel="0" collapsed="false">
      <c r="A43" s="8" t="s">
        <v>31</v>
      </c>
      <c r="B43" s="9" t="s">
        <v>36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1" t="n">
        <f aca="false">SUM(C43:H43)</f>
        <v>0</v>
      </c>
      <c r="V43" s="11" t="n">
        <f aca="false">SUM(I43:T43)</f>
        <v>0</v>
      </c>
      <c r="W43" s="12" t="n">
        <f aca="false">SUM(C43:T43)</f>
        <v>0</v>
      </c>
    </row>
    <row r="44" customFormat="false" ht="15" hidden="false" customHeight="false" outlineLevel="0" collapsed="false">
      <c r="A44" s="8" t="s">
        <v>32</v>
      </c>
      <c r="B44" s="9" t="s">
        <v>36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1" t="n">
        <f aca="false">SUM(C44:H44)</f>
        <v>0</v>
      </c>
      <c r="V44" s="11" t="n">
        <f aca="false">SUM(I44:T44)</f>
        <v>0</v>
      </c>
      <c r="W44" s="12" t="n">
        <f aca="false">SUM(C44:T44)</f>
        <v>0</v>
      </c>
    </row>
    <row r="45" customFormat="false" ht="15" hidden="false" customHeight="false" outlineLevel="0" collapsed="false">
      <c r="A45" s="8" t="s">
        <v>33</v>
      </c>
      <c r="B45" s="9" t="s">
        <v>36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1" t="n">
        <f aca="false">SUM(C45:H45)</f>
        <v>0</v>
      </c>
      <c r="V45" s="11" t="n">
        <f aca="false">SUM(I45:T45)</f>
        <v>0</v>
      </c>
      <c r="W45" s="12" t="n">
        <f aca="false">SUM(C45:T45)</f>
        <v>0</v>
      </c>
    </row>
    <row r="46" customFormat="false" ht="15" hidden="false" customHeight="false" outlineLevel="0" collapsed="false">
      <c r="A46" s="13"/>
      <c r="B46" s="9" t="s">
        <v>36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1" t="n">
        <f aca="false">SUM(C46:H46)</f>
        <v>0</v>
      </c>
      <c r="V46" s="11" t="n">
        <f aca="false">SUM(I46:T46)</f>
        <v>0</v>
      </c>
      <c r="W46" s="12" t="n">
        <f aca="false">SUM(C46:T46)</f>
        <v>0</v>
      </c>
    </row>
    <row r="47" customFormat="false" ht="15" hidden="false" customHeight="false" outlineLevel="0" collapsed="false">
      <c r="A47" s="13"/>
      <c r="B47" s="9" t="s">
        <v>36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1" t="n">
        <f aca="false">SUM(C47:H47)</f>
        <v>0</v>
      </c>
      <c r="V47" s="11" t="n">
        <f aca="false">SUM(I47:T47)</f>
        <v>0</v>
      </c>
      <c r="W47" s="12" t="n">
        <f aca="false">SUM(C47:T47)</f>
        <v>0</v>
      </c>
    </row>
    <row r="48" customFormat="false" ht="15" hidden="false" customHeight="false" outlineLevel="0" collapsed="false">
      <c r="A48" s="13"/>
      <c r="B48" s="9" t="s">
        <v>36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1" t="n">
        <f aca="false">SUM(C48:H48)</f>
        <v>0</v>
      </c>
      <c r="V48" s="11" t="n">
        <f aca="false">SUM(I48:T48)</f>
        <v>0</v>
      </c>
      <c r="W48" s="12" t="n">
        <f aca="false">SUM(C48:T48)</f>
        <v>0</v>
      </c>
    </row>
    <row r="49" customFormat="false" ht="15" hidden="false" customHeight="false" outlineLevel="0" collapsed="false">
      <c r="A49" s="13"/>
      <c r="B49" s="9" t="s">
        <v>36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1" t="n">
        <f aca="false">SUM(C49:H49)</f>
        <v>0</v>
      </c>
      <c r="V49" s="11" t="n">
        <f aca="false">SUM(I49:T49)</f>
        <v>0</v>
      </c>
      <c r="W49" s="12" t="n">
        <f aca="false">SUM(C49:T49)</f>
        <v>0</v>
      </c>
    </row>
    <row r="50" customFormat="false" ht="15" hidden="false" customHeight="false" outlineLevel="0" collapsed="false">
      <c r="A50" s="13"/>
      <c r="B50" s="9" t="s">
        <v>36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1" t="n">
        <f aca="false">SUM(C50:H50)</f>
        <v>0</v>
      </c>
      <c r="V50" s="11" t="n">
        <f aca="false">SUM(I50:T50)</f>
        <v>0</v>
      </c>
      <c r="W50" s="12" t="n">
        <f aca="false">SUM(C50:T50)</f>
        <v>0</v>
      </c>
    </row>
    <row r="51" customFormat="false" ht="15" hidden="false" customHeight="false" outlineLevel="0" collapsed="false">
      <c r="A51" s="13"/>
      <c r="B51" s="9" t="s">
        <v>36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1" t="n">
        <f aca="false">SUM(C51:H51)</f>
        <v>0</v>
      </c>
      <c r="V51" s="11" t="n">
        <f aca="false">SUM(I51:T51)</f>
        <v>0</v>
      </c>
      <c r="W51" s="12" t="n">
        <f aca="false">SUM(C51:T51)</f>
        <v>0</v>
      </c>
    </row>
    <row r="52" customFormat="false" ht="15" hidden="false" customHeight="false" outlineLevel="0" collapsed="false">
      <c r="A52" s="13"/>
      <c r="B52" s="9" t="s">
        <v>36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1" t="n">
        <f aca="false">SUM(C52:H52)</f>
        <v>0</v>
      </c>
      <c r="V52" s="11" t="n">
        <f aca="false">SUM(I52:T52)</f>
        <v>0</v>
      </c>
      <c r="W52" s="12" t="n">
        <f aca="false">SUM(C52:T52)</f>
        <v>0</v>
      </c>
    </row>
    <row r="53" customFormat="false" ht="15" hidden="false" customHeight="false" outlineLevel="0" collapsed="false">
      <c r="A53" s="13"/>
      <c r="B53" s="9" t="s">
        <v>36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1" t="n">
        <f aca="false">SUM(C53:H53)</f>
        <v>0</v>
      </c>
      <c r="V53" s="11" t="n">
        <f aca="false">SUM(I53:T53)</f>
        <v>0</v>
      </c>
      <c r="W53" s="12" t="n">
        <f aca="false">SUM(C53:T53)</f>
        <v>0</v>
      </c>
    </row>
    <row r="54" customFormat="false" ht="15" hidden="false" customHeight="false" outlineLevel="0" collapsed="false">
      <c r="A54" s="13"/>
      <c r="B54" s="9" t="s">
        <v>36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1" t="n">
        <f aca="false">SUM(C54:H54)</f>
        <v>0</v>
      </c>
      <c r="V54" s="11" t="n">
        <f aca="false">SUM(I54:T54)</f>
        <v>0</v>
      </c>
      <c r="W54" s="12" t="n">
        <f aca="false">SUM(C54:T54)</f>
        <v>0</v>
      </c>
    </row>
    <row r="55" customFormat="false" ht="15" hidden="false" customHeight="false" outlineLevel="0" collapsed="false">
      <c r="A55" s="13"/>
      <c r="B55" s="9" t="s">
        <v>36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1" t="n">
        <f aca="false">SUM(C55:H55)</f>
        <v>0</v>
      </c>
      <c r="V55" s="11" t="n">
        <f aca="false">SUM(I55:T55)</f>
        <v>0</v>
      </c>
      <c r="W55" s="12" t="n">
        <f aca="false">SUM(C55:T55)</f>
        <v>0</v>
      </c>
    </row>
    <row r="56" customFormat="false" ht="15" hidden="false" customHeight="false" outlineLevel="0" collapsed="false">
      <c r="A56" s="13"/>
      <c r="B56" s="9" t="s">
        <v>36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1" t="n">
        <f aca="false">SUM(C56:H56)</f>
        <v>0</v>
      </c>
      <c r="V56" s="11" t="n">
        <f aca="false">SUM(I56:T56)</f>
        <v>0</v>
      </c>
      <c r="W56" s="12" t="n">
        <f aca="false">SUM(C56:T56)</f>
        <v>0</v>
      </c>
    </row>
    <row r="57" customFormat="false" ht="15" hidden="false" customHeight="false" outlineLevel="0" collapsed="false">
      <c r="A57" s="13"/>
      <c r="B57" s="9" t="s">
        <v>36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1" t="n">
        <f aca="false">SUM(C57:H57)</f>
        <v>0</v>
      </c>
      <c r="V57" s="11" t="n">
        <f aca="false">SUM(I57:T57)</f>
        <v>0</v>
      </c>
      <c r="W57" s="12" t="n">
        <f aca="false">SUM(C57:T57)</f>
        <v>0</v>
      </c>
    </row>
    <row r="58" customFormat="false" ht="15" hidden="false" customHeight="false" outlineLevel="0" collapsed="false">
      <c r="A58" s="13"/>
      <c r="B58" s="9" t="s">
        <v>36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1" t="n">
        <f aca="false">SUM(C58:H58)</f>
        <v>0</v>
      </c>
      <c r="V58" s="11" t="n">
        <f aca="false">SUM(I58:T58)</f>
        <v>0</v>
      </c>
      <c r="W58" s="12" t="n">
        <f aca="false">SUM(C58:T58)</f>
        <v>0</v>
      </c>
    </row>
    <row r="59" customFormat="false" ht="15" hidden="false" customHeight="false" outlineLevel="0" collapsed="false">
      <c r="A59" s="13"/>
      <c r="B59" s="9" t="s">
        <v>36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1" t="n">
        <f aca="false">SUM(C59:H59)</f>
        <v>0</v>
      </c>
      <c r="V59" s="11" t="n">
        <f aca="false">SUM(I59:T59)</f>
        <v>0</v>
      </c>
      <c r="W59" s="12" t="n">
        <f aca="false">SUM(C59:T59)</f>
        <v>0</v>
      </c>
    </row>
    <row r="60" customFormat="false" ht="15" hidden="false" customHeight="false" outlineLevel="0" collapsed="false">
      <c r="A60" s="13"/>
      <c r="B60" s="9" t="s">
        <v>36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1" t="n">
        <f aca="false">SUM(C60:H60)</f>
        <v>0</v>
      </c>
      <c r="V60" s="11" t="n">
        <f aca="false">SUM(I60:T60)</f>
        <v>0</v>
      </c>
      <c r="W60" s="12" t="n">
        <f aca="false">SUM(C60:T60)</f>
        <v>0</v>
      </c>
    </row>
    <row r="61" customFormat="false" ht="15" hidden="false" customHeight="false" outlineLevel="0" collapsed="false">
      <c r="A61" s="13"/>
      <c r="B61" s="9" t="s">
        <v>36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1" t="n">
        <f aca="false">SUM(C61:H61)</f>
        <v>0</v>
      </c>
      <c r="V61" s="11" t="n">
        <f aca="false">SUM(I61:T61)</f>
        <v>0</v>
      </c>
      <c r="W61" s="12" t="n">
        <f aca="false">SUM(C61:T61)</f>
        <v>0</v>
      </c>
    </row>
    <row r="62" customFormat="false" ht="15" hidden="false" customHeight="false" outlineLevel="0" collapsed="false">
      <c r="A62" s="13"/>
      <c r="B62" s="9" t="s">
        <v>36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1" t="n">
        <f aca="false">SUM(C62:H62)</f>
        <v>0</v>
      </c>
      <c r="V62" s="11" t="n">
        <f aca="false">SUM(I62:T62)</f>
        <v>0</v>
      </c>
      <c r="W62" s="12" t="n">
        <f aca="false">SUM(C62:T62)</f>
        <v>0</v>
      </c>
    </row>
    <row r="63" customFormat="false" ht="15" hidden="false" customHeight="false" outlineLevel="0" collapsed="false">
      <c r="A63" s="13"/>
      <c r="B63" s="9" t="s">
        <v>36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1" t="n">
        <f aca="false">SUM(C63:H63)</f>
        <v>0</v>
      </c>
      <c r="V63" s="11" t="n">
        <f aca="false">SUM(I63:T63)</f>
        <v>0</v>
      </c>
      <c r="W63" s="12" t="n">
        <f aca="false">SUM(C63:T63)</f>
        <v>0</v>
      </c>
    </row>
    <row r="64" customFormat="false" ht="15" hidden="false" customHeight="false" outlineLevel="0" collapsed="false">
      <c r="A64" s="13"/>
      <c r="B64" s="9" t="s">
        <v>36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1" t="n">
        <f aca="false">SUM(C64:H64)</f>
        <v>0</v>
      </c>
      <c r="V64" s="11" t="n">
        <f aca="false">SUM(I64:T64)</f>
        <v>0</v>
      </c>
      <c r="W64" s="12" t="n">
        <f aca="false">SUM(C64:T64)</f>
        <v>0</v>
      </c>
    </row>
    <row r="65" customFormat="false" ht="15" hidden="false" customHeight="false" outlineLevel="0" collapsed="false">
      <c r="A65" s="13"/>
      <c r="B65" s="9" t="s">
        <v>36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1" t="n">
        <f aca="false">SUM(C65:H65)</f>
        <v>0</v>
      </c>
      <c r="V65" s="11" t="n">
        <f aca="false">SUM(I65:T65)</f>
        <v>0</v>
      </c>
      <c r="W65" s="12" t="n">
        <f aca="false">SUM(C65:T65)</f>
        <v>0</v>
      </c>
    </row>
    <row r="66" customFormat="false" ht="15" hidden="false" customHeight="false" outlineLevel="0" collapsed="false">
      <c r="A66" s="13"/>
      <c r="B66" s="9" t="s">
        <v>36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1" t="n">
        <f aca="false">SUM(C66:H66)</f>
        <v>0</v>
      </c>
      <c r="V66" s="11" t="n">
        <f aca="false">SUM(I66:T66)</f>
        <v>0</v>
      </c>
      <c r="W66" s="12" t="n">
        <f aca="false">SUM(C66:T66)</f>
        <v>0</v>
      </c>
    </row>
    <row r="67" customFormat="false" ht="15" hidden="false" customHeight="false" outlineLevel="0" collapsed="false">
      <c r="A67" s="13"/>
      <c r="B67" s="9" t="s">
        <v>36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1" t="n">
        <f aca="false">SUM(C67:H67)</f>
        <v>0</v>
      </c>
      <c r="V67" s="11" t="n">
        <f aca="false">SUM(I67:T67)</f>
        <v>0</v>
      </c>
      <c r="W67" s="12" t="n">
        <f aca="false">SUM(C67:T67)</f>
        <v>0</v>
      </c>
    </row>
    <row r="68" customFormat="false" ht="15" hidden="false" customHeight="false" outlineLevel="0" collapsed="false">
      <c r="A68" s="13"/>
      <c r="B68" s="9" t="s">
        <v>36</v>
      </c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1" t="n">
        <f aca="false">SUM(C68:H68)</f>
        <v>0</v>
      </c>
      <c r="V68" s="11" t="n">
        <f aca="false">SUM(I68:T68)</f>
        <v>0</v>
      </c>
      <c r="W68" s="12" t="n">
        <f aca="false">SUM(C68:T68)</f>
        <v>0</v>
      </c>
    </row>
    <row r="69" customFormat="false" ht="15" hidden="false" customHeight="false" outlineLevel="0" collapsed="false">
      <c r="A69" s="13"/>
      <c r="B69" s="9" t="s">
        <v>36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1" t="n">
        <f aca="false">SUM(C69:H69)</f>
        <v>0</v>
      </c>
      <c r="V69" s="11" t="n">
        <f aca="false">SUM(I69:T69)</f>
        <v>0</v>
      </c>
      <c r="W69" s="12" t="n">
        <f aca="false">SUM(C69:T69)</f>
        <v>0</v>
      </c>
    </row>
    <row r="70" customFormat="false" ht="15" hidden="false" customHeight="false" outlineLevel="0" collapsed="false">
      <c r="A70" s="13"/>
      <c r="B70" s="9" t="s">
        <v>36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1" t="n">
        <f aca="false">SUM(C70:H70)</f>
        <v>0</v>
      </c>
      <c r="V70" s="11" t="n">
        <f aca="false">SUM(I70:T70)</f>
        <v>0</v>
      </c>
      <c r="W70" s="12" t="n">
        <f aca="false">SUM(C70:T70)</f>
        <v>0</v>
      </c>
    </row>
    <row r="71" customFormat="false" ht="15" hidden="false" customHeight="false" outlineLevel="0" collapsed="false">
      <c r="A71" s="14" t="s">
        <v>37</v>
      </c>
      <c r="B71" s="15" t="s">
        <v>36</v>
      </c>
      <c r="C71" s="16" t="n">
        <f aca="false">SUM(C41:C70)</f>
        <v>0</v>
      </c>
      <c r="D71" s="16" t="n">
        <f aca="false">SUM(D41:D70)</f>
        <v>0</v>
      </c>
      <c r="E71" s="16" t="n">
        <f aca="false">SUM(E41:E70)</f>
        <v>0</v>
      </c>
      <c r="F71" s="16" t="n">
        <f aca="false">SUM(F41:F70)</f>
        <v>15000</v>
      </c>
      <c r="G71" s="16" t="n">
        <f aca="false">SUM(G41:G70)</f>
        <v>0</v>
      </c>
      <c r="H71" s="16" t="n">
        <f aca="false">SUM(H41:H70)</f>
        <v>0</v>
      </c>
      <c r="I71" s="16" t="n">
        <f aca="false">SUM(I41:I70)</f>
        <v>15000</v>
      </c>
      <c r="J71" s="16" t="n">
        <f aca="false">SUM(J41:J70)</f>
        <v>0</v>
      </c>
      <c r="K71" s="16" t="n">
        <f aca="false">SUM(K41:K70)</f>
        <v>0</v>
      </c>
      <c r="L71" s="16" t="n">
        <f aca="false">SUM(L41:L70)</f>
        <v>0</v>
      </c>
      <c r="M71" s="16" t="n">
        <f aca="false">SUM(M41:M70)</f>
        <v>0</v>
      </c>
      <c r="N71" s="16" t="n">
        <f aca="false">SUM(N41:N70)</f>
        <v>0</v>
      </c>
      <c r="O71" s="16" t="n">
        <f aca="false">SUM(O41:O70)</f>
        <v>0</v>
      </c>
      <c r="P71" s="16" t="n">
        <f aca="false">SUM(P41:P70)</f>
        <v>0</v>
      </c>
      <c r="Q71" s="16" t="n">
        <f aca="false">SUM(Q41:Q70)</f>
        <v>0</v>
      </c>
      <c r="R71" s="16" t="n">
        <f aca="false">SUM(R41:R70)</f>
        <v>0</v>
      </c>
      <c r="S71" s="16" t="n">
        <f aca="false">SUM(S41:S70)</f>
        <v>0</v>
      </c>
      <c r="T71" s="16" t="n">
        <f aca="false">SUM(T41:T70)</f>
        <v>0</v>
      </c>
      <c r="U71" s="16" t="n">
        <f aca="false">SUM(U41:U70)</f>
        <v>15000</v>
      </c>
      <c r="V71" s="16" t="n">
        <f aca="false">SUM(V41:V70)</f>
        <v>15000</v>
      </c>
      <c r="W71" s="16" t="n">
        <f aca="false">SUM(W41:W70)</f>
        <v>30000</v>
      </c>
    </row>
    <row r="73" customFormat="false" ht="19.5" hidden="false" customHeight="true" outlineLevel="0" collapsed="false">
      <c r="A73" s="6" t="s">
        <v>38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customFormat="false" ht="15" hidden="false" customHeight="false" outlineLevel="0" collapsed="false">
      <c r="A74" s="17" t="s">
        <v>34</v>
      </c>
      <c r="B74" s="18" t="s">
        <v>39</v>
      </c>
      <c r="C74" s="11" t="n">
        <f aca="false">C38</f>
        <v>0</v>
      </c>
      <c r="D74" s="11" t="n">
        <f aca="false">D38</f>
        <v>0</v>
      </c>
      <c r="E74" s="11" t="n">
        <f aca="false">E38</f>
        <v>0</v>
      </c>
      <c r="F74" s="11" t="n">
        <f aca="false">F38</f>
        <v>20000</v>
      </c>
      <c r="G74" s="11" t="n">
        <f aca="false">G38</f>
        <v>0</v>
      </c>
      <c r="H74" s="11" t="n">
        <f aca="false">H38</f>
        <v>16500</v>
      </c>
      <c r="I74" s="11" t="n">
        <f aca="false">I38</f>
        <v>20000</v>
      </c>
      <c r="J74" s="11" t="n">
        <f aca="false">J38</f>
        <v>0</v>
      </c>
      <c r="K74" s="11" t="n">
        <f aca="false">K38</f>
        <v>0</v>
      </c>
      <c r="L74" s="11" t="n">
        <f aca="false">L38</f>
        <v>0</v>
      </c>
      <c r="M74" s="11" t="n">
        <f aca="false">M38</f>
        <v>0</v>
      </c>
      <c r="N74" s="11" t="n">
        <f aca="false">N38</f>
        <v>0</v>
      </c>
      <c r="O74" s="11" t="n">
        <f aca="false">O38</f>
        <v>0</v>
      </c>
      <c r="P74" s="11" t="n">
        <f aca="false">P38</f>
        <v>0</v>
      </c>
      <c r="Q74" s="11" t="n">
        <f aca="false">Q38</f>
        <v>0</v>
      </c>
      <c r="R74" s="11" t="n">
        <f aca="false">R38</f>
        <v>0</v>
      </c>
      <c r="S74" s="11" t="n">
        <f aca="false">S38</f>
        <v>0</v>
      </c>
      <c r="T74" s="11" t="n">
        <f aca="false">T38</f>
        <v>0</v>
      </c>
      <c r="U74" s="11" t="n">
        <f aca="false">U38</f>
        <v>36500</v>
      </c>
      <c r="V74" s="11" t="n">
        <f aca="false">V38</f>
        <v>20000</v>
      </c>
      <c r="W74" s="11" t="n">
        <f aca="false">W38</f>
        <v>56500</v>
      </c>
    </row>
    <row r="75" customFormat="false" ht="15" hidden="false" customHeight="false" outlineLevel="0" collapsed="false">
      <c r="A75" s="17" t="s">
        <v>37</v>
      </c>
      <c r="B75" s="18" t="s">
        <v>39</v>
      </c>
      <c r="C75" s="11" t="n">
        <f aca="false">C71</f>
        <v>0</v>
      </c>
      <c r="D75" s="11" t="n">
        <f aca="false">D71</f>
        <v>0</v>
      </c>
      <c r="E75" s="11" t="n">
        <f aca="false">E71</f>
        <v>0</v>
      </c>
      <c r="F75" s="11" t="n">
        <f aca="false">F71</f>
        <v>15000</v>
      </c>
      <c r="G75" s="11" t="n">
        <f aca="false">G71</f>
        <v>0</v>
      </c>
      <c r="H75" s="11" t="n">
        <f aca="false">H71</f>
        <v>0</v>
      </c>
      <c r="I75" s="11" t="n">
        <f aca="false">I71</f>
        <v>15000</v>
      </c>
      <c r="J75" s="11" t="n">
        <f aca="false">J71</f>
        <v>0</v>
      </c>
      <c r="K75" s="11" t="n">
        <f aca="false">K71</f>
        <v>0</v>
      </c>
      <c r="L75" s="11" t="n">
        <f aca="false">L71</f>
        <v>0</v>
      </c>
      <c r="M75" s="11" t="n">
        <f aca="false">M71</f>
        <v>0</v>
      </c>
      <c r="N75" s="11" t="n">
        <f aca="false">N71</f>
        <v>0</v>
      </c>
      <c r="O75" s="11" t="n">
        <f aca="false">O71</f>
        <v>0</v>
      </c>
      <c r="P75" s="11" t="n">
        <f aca="false">P71</f>
        <v>0</v>
      </c>
      <c r="Q75" s="11" t="n">
        <f aca="false">Q71</f>
        <v>0</v>
      </c>
      <c r="R75" s="11" t="n">
        <f aca="false">R71</f>
        <v>0</v>
      </c>
      <c r="S75" s="11" t="n">
        <f aca="false">S71</f>
        <v>0</v>
      </c>
      <c r="T75" s="11" t="n">
        <f aca="false">T71</f>
        <v>0</v>
      </c>
      <c r="U75" s="11" t="n">
        <f aca="false">U71</f>
        <v>15000</v>
      </c>
      <c r="V75" s="11" t="n">
        <f aca="false">V71</f>
        <v>15000</v>
      </c>
      <c r="W75" s="11" t="n">
        <f aca="false">W71</f>
        <v>30000</v>
      </c>
    </row>
    <row r="76" customFormat="false" ht="15" hidden="false" customHeight="false" outlineLevel="0" collapsed="false">
      <c r="A76" s="19" t="s">
        <v>40</v>
      </c>
      <c r="B76" s="20" t="s">
        <v>39</v>
      </c>
      <c r="C76" s="21" t="n">
        <f aca="false">C74-C75</f>
        <v>0</v>
      </c>
      <c r="D76" s="21" t="n">
        <f aca="false">D74-D75</f>
        <v>0</v>
      </c>
      <c r="E76" s="21" t="n">
        <f aca="false">E74-E75</f>
        <v>0</v>
      </c>
      <c r="F76" s="21" t="n">
        <f aca="false">F74-F75</f>
        <v>5000</v>
      </c>
      <c r="G76" s="21" t="n">
        <f aca="false">G74-G75</f>
        <v>0</v>
      </c>
      <c r="H76" s="21" t="n">
        <f aca="false">H74-H75</f>
        <v>16500</v>
      </c>
      <c r="I76" s="21" t="n">
        <f aca="false">I74-I75</f>
        <v>5000</v>
      </c>
      <c r="J76" s="21" t="n">
        <f aca="false">J74-J75</f>
        <v>0</v>
      </c>
      <c r="K76" s="21" t="n">
        <f aca="false">K74-K75</f>
        <v>0</v>
      </c>
      <c r="L76" s="21" t="n">
        <f aca="false">L74-L75</f>
        <v>0</v>
      </c>
      <c r="M76" s="21" t="n">
        <f aca="false">M74-M75</f>
        <v>0</v>
      </c>
      <c r="N76" s="21" t="n">
        <f aca="false">N74-N75</f>
        <v>0</v>
      </c>
      <c r="O76" s="21" t="n">
        <f aca="false">O74-O75</f>
        <v>0</v>
      </c>
      <c r="P76" s="21" t="n">
        <f aca="false">P74-P75</f>
        <v>0</v>
      </c>
      <c r="Q76" s="21" t="n">
        <f aca="false">Q74-Q75</f>
        <v>0</v>
      </c>
      <c r="R76" s="21" t="n">
        <f aca="false">R74-R75</f>
        <v>0</v>
      </c>
      <c r="S76" s="21" t="n">
        <f aca="false">S74-S75</f>
        <v>0</v>
      </c>
      <c r="T76" s="21" t="n">
        <f aca="false">T74-T75</f>
        <v>0</v>
      </c>
      <c r="U76" s="21" t="n">
        <f aca="false">U74-U75</f>
        <v>21500</v>
      </c>
      <c r="V76" s="21" t="n">
        <f aca="false">V74-V75</f>
        <v>5000</v>
      </c>
      <c r="W76" s="21" t="n">
        <f aca="false">W74-W75</f>
        <v>26500</v>
      </c>
    </row>
    <row r="77" customFormat="false" ht="15" hidden="false" customHeight="false" outlineLevel="0" collapsed="false">
      <c r="A77" s="19" t="s">
        <v>41</v>
      </c>
      <c r="B77" s="20" t="s">
        <v>39</v>
      </c>
      <c r="C77" s="21" t="n">
        <f aca="false">C76</f>
        <v>0</v>
      </c>
      <c r="D77" s="21" t="n">
        <f aca="false">C77+D76</f>
        <v>0</v>
      </c>
      <c r="E77" s="21" t="n">
        <f aca="false">D77+E76</f>
        <v>0</v>
      </c>
      <c r="F77" s="21" t="n">
        <f aca="false">E77+F76</f>
        <v>5000</v>
      </c>
      <c r="G77" s="21" t="n">
        <f aca="false">F77+G76</f>
        <v>5000</v>
      </c>
      <c r="H77" s="21" t="n">
        <f aca="false">G77+H76</f>
        <v>21500</v>
      </c>
      <c r="I77" s="21" t="n">
        <f aca="false">H77+I76</f>
        <v>26500</v>
      </c>
      <c r="J77" s="21" t="n">
        <f aca="false">I77+J76</f>
        <v>26500</v>
      </c>
      <c r="K77" s="21" t="n">
        <f aca="false">J77+K76</f>
        <v>26500</v>
      </c>
      <c r="L77" s="21" t="n">
        <f aca="false">K77+L76</f>
        <v>26500</v>
      </c>
      <c r="M77" s="21" t="n">
        <f aca="false">L77+M76</f>
        <v>26500</v>
      </c>
      <c r="N77" s="21" t="n">
        <f aca="false">M77+N76</f>
        <v>26500</v>
      </c>
      <c r="O77" s="21" t="n">
        <f aca="false">N77+O76</f>
        <v>26500</v>
      </c>
      <c r="P77" s="21" t="n">
        <f aca="false">O77+P76</f>
        <v>26500</v>
      </c>
      <c r="Q77" s="21" t="n">
        <f aca="false">P77+Q76</f>
        <v>26500</v>
      </c>
      <c r="R77" s="21" t="n">
        <f aca="false">Q77+R76</f>
        <v>26500</v>
      </c>
      <c r="S77" s="21" t="n">
        <f aca="false">R77+S76</f>
        <v>26500</v>
      </c>
      <c r="T77" s="21" t="n">
        <f aca="false">S77+T76</f>
        <v>26500</v>
      </c>
      <c r="U77" s="21" t="n">
        <f aca="false">H77</f>
        <v>21500</v>
      </c>
      <c r="V77" s="21" t="n">
        <f aca="false">T77</f>
        <v>26500</v>
      </c>
      <c r="W77" s="21" t="n">
        <f aca="false">T77</f>
        <v>26500</v>
      </c>
    </row>
    <row r="80" customFormat="false" ht="15" hidden="false" customHeight="false" outlineLevel="0" collapsed="false">
      <c r="A80" s="22" t="s">
        <v>42</v>
      </c>
    </row>
    <row r="81" customFormat="false" ht="15" hidden="false" customHeight="false" outlineLevel="0" collapsed="false">
      <c r="A81" s="23"/>
      <c r="B81" s="24" t="s">
        <v>43</v>
      </c>
    </row>
    <row r="82" customFormat="false" ht="15" hidden="false" customHeight="false" outlineLevel="0" collapsed="false">
      <c r="A82" s="25"/>
      <c r="B82" s="24" t="s">
        <v>44</v>
      </c>
    </row>
    <row r="83" customFormat="false" ht="15" hidden="false" customHeight="false" outlineLevel="0" collapsed="false">
      <c r="A83" s="26"/>
      <c r="B83" s="24" t="s">
        <v>45</v>
      </c>
    </row>
    <row r="84" customFormat="false" ht="15" hidden="false" customHeight="false" outlineLevel="0" collapsed="false">
      <c r="A84" s="27" t="s">
        <v>46</v>
      </c>
    </row>
    <row r="85" customFormat="false" ht="15" hidden="false" customHeight="false" outlineLevel="0" collapsed="false">
      <c r="A85" s="27" t="s">
        <v>47</v>
      </c>
    </row>
  </sheetData>
  <conditionalFormatting sqref="C8:W77">
    <cfRule type="cellIs" priority="2" operator="lessThan" aboveAverage="0" equalAverage="0" bottom="0" percent="0" rank="0" text="" dxfId="0">
      <formula>0</formula>
    </cfRule>
  </conditionalFormatting>
  <conditionalFormatting sqref="C76:W77">
    <cfRule type="cellIs" priority="3" operator="greaterThan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Cashflow  |  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28" t="s">
        <v>48</v>
      </c>
    </row>
    <row r="2" customFormat="false" ht="15" hidden="false" customHeight="false" outlineLevel="0" collapsed="false">
      <c r="A2" s="29" t="s">
        <v>49</v>
      </c>
    </row>
    <row r="3" customFormat="false" ht="15" hidden="false" customHeight="false" outlineLevel="0" collapsed="false">
      <c r="A3" s="27" t="s">
        <v>50</v>
      </c>
    </row>
    <row r="5" customFormat="false" ht="15" hidden="false" customHeight="false" outlineLevel="0" collapsed="false">
      <c r="A5" s="30" t="s">
        <v>39</v>
      </c>
      <c r="B5" s="31" t="s">
        <v>51</v>
      </c>
    </row>
    <row r="6" customFormat="false" ht="15" hidden="false" customHeight="false" outlineLevel="0" collapsed="false">
      <c r="A6" s="32" t="s">
        <v>52</v>
      </c>
      <c r="B6" s="7"/>
    </row>
    <row r="7" customFormat="false" ht="15" hidden="false" customHeight="false" outlineLevel="0" collapsed="false">
      <c r="A7" s="8" t="s">
        <v>53</v>
      </c>
      <c r="B7" s="11" t="n">
        <f aca="false">Cashflow!U74</f>
        <v>36500</v>
      </c>
    </row>
    <row r="8" customFormat="false" ht="15" hidden="false" customHeight="false" outlineLevel="0" collapsed="false">
      <c r="A8" s="8" t="s">
        <v>54</v>
      </c>
      <c r="B8" s="11" t="n">
        <f aca="false">Cashflow!U75</f>
        <v>15000</v>
      </c>
    </row>
    <row r="9" customFormat="false" ht="15" hidden="false" customHeight="false" outlineLevel="0" collapsed="false">
      <c r="A9" s="33" t="s">
        <v>55</v>
      </c>
      <c r="B9" s="21" t="n">
        <f aca="false">Cashflow!U76</f>
        <v>21500</v>
      </c>
    </row>
    <row r="10" customFormat="false" ht="15" hidden="false" customHeight="false" outlineLevel="0" collapsed="false">
      <c r="A10" s="32" t="s">
        <v>56</v>
      </c>
      <c r="B10" s="7"/>
    </row>
    <row r="11" customFormat="false" ht="15" hidden="false" customHeight="false" outlineLevel="0" collapsed="false">
      <c r="A11" s="8" t="s">
        <v>57</v>
      </c>
      <c r="B11" s="11" t="n">
        <f aca="false">Cashflow!V74</f>
        <v>20000</v>
      </c>
    </row>
    <row r="12" customFormat="false" ht="15" hidden="false" customHeight="false" outlineLevel="0" collapsed="false">
      <c r="A12" s="8" t="s">
        <v>58</v>
      </c>
      <c r="B12" s="11" t="n">
        <f aca="false">Cashflow!V75</f>
        <v>15000</v>
      </c>
    </row>
    <row r="13" customFormat="false" ht="15" hidden="false" customHeight="false" outlineLevel="0" collapsed="false">
      <c r="A13" s="33" t="s">
        <v>59</v>
      </c>
      <c r="B13" s="21" t="n">
        <f aca="false">Cashflow!V76</f>
        <v>5000</v>
      </c>
    </row>
    <row r="14" customFormat="false" ht="15" hidden="false" customHeight="false" outlineLevel="0" collapsed="false">
      <c r="A14" s="32" t="s">
        <v>60</v>
      </c>
      <c r="B14" s="7"/>
    </row>
    <row r="15" customFormat="false" ht="15" hidden="false" customHeight="false" outlineLevel="0" collapsed="false">
      <c r="A15" s="8" t="s">
        <v>61</v>
      </c>
      <c r="B15" s="11" t="n">
        <f aca="false">Cashflow!W74</f>
        <v>56500</v>
      </c>
    </row>
    <row r="16" customFormat="false" ht="15" hidden="false" customHeight="false" outlineLevel="0" collapsed="false">
      <c r="A16" s="8" t="s">
        <v>62</v>
      </c>
      <c r="B16" s="11" t="n">
        <f aca="false">Cashflow!W75</f>
        <v>30000</v>
      </c>
    </row>
    <row r="17" customFormat="false" ht="15" hidden="false" customHeight="false" outlineLevel="0" collapsed="false">
      <c r="A17" s="33" t="s">
        <v>63</v>
      </c>
      <c r="B17" s="21" t="n">
        <f aca="false">Cashflow!W76</f>
        <v>26500</v>
      </c>
    </row>
  </sheetData>
  <conditionalFormatting sqref="B6:B17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2026-08-12T09:57:05Z</dcterms:created>
  <dc:creator>openpyxl</dc:creator>
  <dc:description/>
  <dc:language>en-US</dc:language>
  <cp:lastModifiedBy/>
  <dcterms:modified xsi:type="dcterms:W3CDTF">2026-08-12T09:57:18Z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