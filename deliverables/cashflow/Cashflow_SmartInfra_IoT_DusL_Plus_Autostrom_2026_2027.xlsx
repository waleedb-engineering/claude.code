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flow" sheetId="1" state="visible" r:id="rId3"/>
    <sheet name="Aufträge" sheetId="2" state="visible" r:id="rId4"/>
    <sheet name="Übersicht" sheetId="3" state="visible" r:id="rId5"/>
  </sheets>
  <definedNames>
    <definedName function="false" hidden="false" localSheetId="1" name="_xlnm.Print_Area" vbProcedure="false">Aufträge!$A$1:$I$156</definedName>
    <definedName function="false" hidden="false" localSheetId="1" name="_xlnm.Print_Titles" vbProcedure="false">Aufträge!$6:$6</definedName>
    <definedName function="false" hidden="false" localSheetId="0" name="_xlnm.Print_Area" vbProcedure="false">Cashflow!$A$1:$W$109</definedName>
    <definedName function="false" hidden="false" localSheetId="0" name="_xlnm.Print_Titles" vbProcedure="false">Cashflow!$A:$B,Cashflow!$6:$6</definedName>
    <definedName function="false" hidden="false" localSheetId="0" name="_xlnm.Print_Titles" vbProcedure="false">Cashflow!$6:$6,Cashflow!$A:$B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<sst xmlns="http://schemas.openxmlformats.org/spreadsheetml/2006/main" count="128" uniqueCount="101">
  <si>
    <t xml:space="preserve">Cashflow-Planung</t>
  </si>
  <si>
    <t xml:space="preserve">Bereich:  SmartInfra / IoT-Büro</t>
  </si>
  <si>
    <t xml:space="preserve">Zeitraum:  Juli 2026 – Dezember 2027  (18 Monate, monatliche Granularität)</t>
  </si>
  <si>
    <t xml:space="preserve">Alle Beträge werden automatisch aus dem Reiter „Aufträge“ berechnet – im Cashflow werden nur Position und Kostenstelle (gelb) gepflegt.</t>
  </si>
  <si>
    <t xml:space="preserve">Position</t>
  </si>
  <si>
    <t xml:space="preserve">Kostenstelle</t>
  </si>
  <si>
    <t xml:space="preserve">Jul 26</t>
  </si>
  <si>
    <t xml:space="preserve">Aug 26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</si>
  <si>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</si>
  <si>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</si>
  <si>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</si>
  <si>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</si>
  <si>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</si>
  <si>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</si>
  <si>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</si>
  <si>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</si>
  <si>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</si>
  <si>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</si>
  <si>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</si>
  <si>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</si>
  <si>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</si>
  <si>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</si>
  <si>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</si>
  <si>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</si>
  <si>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H2 2026</t>
  </si>
  <si>
    <t xml:space="preserve">Summe 2027</t>
  </si>
  <si>
    <t xml:space="preserve">Gesamt</t>
  </si>
  <si>
    <t xml:space="preserve">1  EINNAHMEN  (Quelle: Reiter „Aufträge“)</t>
  </si>
  <si>
    <t xml:space="preserve">87004006 - LKW / Autostrom+</t>
  </si>
  <si>
    <t xml:space="preserve">87004006 - PKW / Autostrom+</t>
  </si>
  <si>
    <t xml:space="preserve">87105004 - HanseWerk Natur</t>
  </si>
  <si>
    <t xml:space="preserve">87001009 - Stadtwerke Husum</t>
  </si>
  <si>
    <t xml:space="preserve">85309000 - Bereichskostenstelle EDM</t>
  </si>
  <si>
    <t xml:space="preserve">87001004 - Airbus</t>
  </si>
  <si>
    <t xml:space="preserve">87002011 - Bayernwerk GmbH</t>
  </si>
  <si>
    <t xml:space="preserve">87001001 - Stadt Rendsburg</t>
  </si>
  <si>
    <t xml:space="preserve">87001011 - Neumünster</t>
  </si>
  <si>
    <t xml:space="preserve">Aufträge ohne Kostenstellen-Zuordnung</t>
  </si>
  <si>
    <t xml:space="preserve">Differenz</t>
  </si>
  <si>
    <t xml:space="preserve">Summe Einnahmen</t>
  </si>
  <si>
    <t xml:space="preserve">2  AUSGABEN  (Quelle: Reiter „Aufträge“)</t>
  </si>
  <si>
    <t xml:space="preserve">Summe Ausgaben</t>
  </si>
  <si>
    <t xml:space="preserve">3  KENNZAHLEN (automatisch berechnet)</t>
  </si>
  <si>
    <t xml:space="preserve">Netto-Cashflow (Monat)</t>
  </si>
  <si>
    <t xml:space="preserve">Kumulierter Cashflow</t>
  </si>
  <si>
    <t xml:space="preserve">4  AUSWERTUNG NACH THEMENFELD (nachrichtlich, nicht in der Cashflow-Summe enthalten)</t>
  </si>
  <si>
    <t xml:space="preserve">IoT – Einnahmen</t>
  </si>
  <si>
    <t xml:space="preserve">nachrichtlich</t>
  </si>
  <si>
    <t xml:space="preserve">IoT – Ausgaben</t>
  </si>
  <si>
    <t xml:space="preserve">EDM – Einnahmen</t>
  </si>
  <si>
    <t xml:space="preserve">EDM – Ausgaben</t>
  </si>
  <si>
    <t xml:space="preserve">Parking – Einnahmen</t>
  </si>
  <si>
    <t xml:space="preserve">Parking – Ausgaben</t>
  </si>
  <si>
    <t xml:space="preserve">LLM – Einnahmen</t>
  </si>
  <si>
    <t xml:space="preserve">LLM – Ausgaben</t>
  </si>
  <si>
    <t xml:space="preserve">5  AUSWERTUNG NACH KATEGORIE (nachrichtlich, nicht in der Cashflow-Summe enthalten)</t>
  </si>
  <si>
    <t xml:space="preserve">Hardware – Einnahmen</t>
  </si>
  <si>
    <t xml:space="preserve">Hardware – Ausgaben</t>
  </si>
  <si>
    <t xml:space="preserve">Hardware + Dienstleistung – Einnahmen</t>
  </si>
  <si>
    <t xml:space="preserve">Hardware + Dienstleistung – Ausgaben</t>
  </si>
  <si>
    <t xml:space="preserve">Lizenzen – Einnahmen</t>
  </si>
  <si>
    <t xml:space="preserve">Lizenzen – Ausgaben</t>
  </si>
  <si>
    <t xml:space="preserve">Dienstleistung – Einnahmen</t>
  </si>
  <si>
    <t xml:space="preserve">Dienstleistung – Ausgaben</t>
  </si>
  <si>
    <t xml:space="preserve">Legende</t>
  </si>
  <si>
    <t xml:space="preserve">Eingabezelle – nur Position und Kostenstelle werden hier gepflegt</t>
  </si>
  <si>
    <t xml:space="preserve">Automatisch aus dem Reiter „Aufträge“ berechnet – nicht überschreiben</t>
  </si>
  <si>
    <t xml:space="preserve">Ergebniszeile – automatisch berechnet</t>
  </si>
  <si>
    <t xml:space="preserve">Datenfluss:  Aufträge  →  Cashflow  →  Übersicht. Alle Beträge werden ausschließlich im Reiter „Aufträge“ erfasst.</t>
  </si>
  <si>
    <t xml:space="preserve">Die Zuordnung erfolgt über die Kostenstelle in Spalte B: Der Eintrag muss mit der Kostenstelle im Reiter „Aufträge“ übereinstimmen. Nicht zugeordnete Aufträge erscheinen in Zeile 38 bzw. 72 und sind in den Summen trotzdem enthalten.</t>
  </si>
  <si>
    <t xml:space="preserve">Zeile 5 ist ausgeblendet und enthält die echten Monatsanfänge (Datumswerte), mit denen die SUMMEWENNS-Formeln die Monatsgrenzen bilden.</t>
  </si>
  <si>
    <t xml:space="preserve">Die Auftragswahrscheinlichkeit wird im Reiter „Aufträge“ nur gespeichert und nicht eingerechnet. Ein gewichteter Forecast lässt sich später über SUMMENPRODUKT bzw. eine zusätzliche Kennzahlenzeile ergänzen.</t>
  </si>
  <si>
    <t xml:space="preserve">Aufträge – zentrale Datenerfassung</t>
  </si>
  <si>
    <t xml:space="preserve">SmartInfra / IoT-Büro  ·  DusL Plus Autostrom</t>
  </si>
  <si>
    <t xml:space="preserve">Jeder Auftrag bzw. finanzielle Vorgang wird hier einmalig erfasst. Der Reiter „Cashflow“ aggregiert daraus automatisch nach Monat.</t>
  </si>
  <si>
    <t xml:space="preserve">Datum Einnahmen und Datum Ausgaben sind unabhängig – ein Auftrag kann z. B. im September Ausgaben und erst im November Einnahmen haben. LLM = Lastmanagement.</t>
  </si>
  <si>
    <t xml:space="preserve">Themenfeld</t>
  </si>
  <si>
    <t xml:space="preserve">Kategorie</t>
  </si>
  <si>
    <t xml:space="preserve">Auftrag</t>
  </si>
  <si>
    <t xml:space="preserve">Datum Einnahmen</t>
  </si>
  <si>
    <t xml:space="preserve">Datum Ausgaben</t>
  </si>
  <si>
    <t xml:space="preserve">Einnahmen</t>
  </si>
  <si>
    <t xml:space="preserve">Ausgaben</t>
  </si>
  <si>
    <t xml:space="preserve">Auftragswahrscheinlichkeit</t>
  </si>
  <si>
    <t xml:space="preserve">Übersicht Cashflow – DusL Plus Autostrom</t>
  </si>
  <si>
    <t xml:space="preserve">SmartInfra / IoT-Büro  ·  Juli 2026 – Dezember 2027</t>
  </si>
  <si>
    <t xml:space="preserve">Alle Werte werden automatisch aus dem Blatt „Cashflow“ übernommen.</t>
  </si>
  <si>
    <t xml:space="preserve">Kennzahl</t>
  </si>
  <si>
    <t xml:space="preserve">Betrag</t>
  </si>
  <si>
    <t xml:space="preserve">H2 2026 (Jul – Dez 2026)</t>
  </si>
  <si>
    <t xml:space="preserve">Einnahmen H2 2026</t>
  </si>
  <si>
    <t xml:space="preserve">Ausgaben H2 2026</t>
  </si>
  <si>
    <t xml:space="preserve">Netto-Cashflow H2 2026</t>
  </si>
  <si>
    <t xml:space="preserve">Geschäftsjahr 2027</t>
  </si>
  <si>
    <t xml:space="preserve">Einnahmen 2027</t>
  </si>
  <si>
    <t xml:space="preserve">Ausgaben 2027</t>
  </si>
  <si>
    <t xml:space="preserve">Netto-Cashflow 2027</t>
  </si>
  <si>
    <t xml:space="preserve">Gesamtzeitraum (18 Monate)</t>
  </si>
  <si>
    <t xml:space="preserve">Gesamteinnahmen</t>
  </si>
  <si>
    <t xml:space="preserve">Gesamtausgaben</t>
  </si>
  <si>
    <t xml:space="preserve">Gesamt-Netto-Cashflow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</si>
</sst>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\.yyyy"/>
    <numFmt numFmtId="166" formatCode="#,##0.00&quot; €&quot;;[RED]\-#,##0.00&quot; €&quot;;\–"/>
    <numFmt numFmtId="167" formatCode="0\ %"/>
    <numFmt numFmtId="168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9E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Cashflow!A76</c:f>
              <c:strCache>
                <c:ptCount val="1"/>
                <c:pt idx="0">
                  <c:v>Summe Einnahmen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Cashflow!$B$76:$T$76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Cashflow!A77</c:f>
              <c:strCache>
                <c:ptCount val="1"/>
                <c:pt idx="0">
                  <c:v>Summe Ausgaben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Cashflow!$B$77:$T$77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40"/>
        <c:overlap val="0"/>
        <c:axId val="17726396"/>
        <c:axId val="11768911"/>
      </c:barChart>
      <c:catAx>
        <c:axId val="177263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68911"/>
        <c:crosses val="autoZero"/>
        <c:auto val="1"/>
        <c:lblAlgn val="ctr"/>
        <c:lblOffset val="100"/>
        <c:noMultiLvlLbl val="0"/>
      </c:catAx>
      <c:valAx>
        <c:axId val="117689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7263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Netto-Cashflow und kumulierter Cashflow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Cashflow!A78</c:f>
              <c:strCache>
                <c:ptCount val="1"/>
                <c:pt idx="0">
                  <c:v>Netto-Cashflow (Monat)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Cashflow!$B$78:$T$78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Cashflow!A79</c:f>
              <c:strCache>
                <c:ptCount val="1"/>
                <c:pt idx="0">
                  <c:v>Kumulierter Cashflow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Cashflow!$C$6:$T$6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Cashflow!$B$79:$T$79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808678"/>
        <c:axId val="43797594"/>
      </c:lineChart>
      <c:catAx>
        <c:axId val="728086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97594"/>
        <c:crosses val="autoZero"/>
        <c:auto val="1"/>
        <c:lblAlgn val="ctr"/>
        <c:lblOffset val="100"/>
        <c:noMultiLvlLbl val="0"/>
      </c:catAx>
      <c:valAx>
        <c:axId val="43797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8086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131040</xdr:rowOff>
    </xdr:from>
    <xdr:to>
      <xdr:col>15</xdr:col>
      <xdr:colOff>253800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5559480" y="762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20</xdr:row>
      <xdr:rowOff>131040</xdr:rowOff>
    </xdr:from>
    <xdr:to>
      <xdr:col>15</xdr:col>
      <xdr:colOff>253800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5559480" y="400068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uftraege" displayName="tblAuftraege" ref="A6:I156" headerRowCount="1" totalsRowCount="0" totalsRowShown="0">
  <autoFilter ref="A6:I156"/>
  <tableColumns count="9">
    <tableColumn id="1" name="Themenfeld"/>
    <tableColumn id="2" name="Kategorie"/>
    <tableColumn id="3" name="Auftrag"/>
    <tableColumn id="4" name="Kostenstelle"/>
    <tableColumn id="5" name="Datum Einnahmen"/>
    <tableColumn id="6" name="Datum Ausgaben"/>
    <tableColumn id="7" name="Einnahmen"/>
    <tableColumn id="8" name="Ausgaben"/>
    <tableColumn id="9" name="Auftragswahrscheinlichkei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10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20" min="3" style="0" width="13"/>
    <col collapsed="false" customWidth="true" hidden="false" outlineLevel="0" max="23" min="21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5" customFormat="false" ht="15" hidden="true" customHeight="false" outlineLevel="0" collapsed="false">
      <c r="C5" s="4" t="n">
        <v>46204</v>
      </c>
      <c r="D5" s="4" t="n">
        <v>46235</v>
      </c>
      <c r="E5" s="4" t="n">
        <v>46266</v>
      </c>
      <c r="F5" s="4" t="n">
        <v>46296</v>
      </c>
      <c r="G5" s="4" t="n">
        <v>46327</v>
      </c>
      <c r="H5" s="4" t="n">
        <v>46357</v>
      </c>
      <c r="I5" s="4" t="n">
        <v>46388</v>
      </c>
      <c r="J5" s="4" t="n">
        <v>46419</v>
      </c>
      <c r="K5" s="4" t="n">
        <v>46447</v>
      </c>
      <c r="L5" s="4" t="n">
        <v>46478</v>
      </c>
      <c r="M5" s="4" t="n">
        <v>46508</v>
      </c>
      <c r="N5" s="4" t="n">
        <v>46539</v>
      </c>
      <c r="O5" s="4" t="n">
        <v>46569</v>
      </c>
      <c r="P5" s="4" t="n">
        <v>46600</v>
      </c>
      <c r="Q5" s="4" t="n">
        <v>46631</v>
      </c>
      <c r="R5" s="4" t="n">
        <v>46661</v>
      </c>
      <c r="S5" s="4" t="n">
        <v>46692</v>
      </c>
      <c r="T5" s="4" t="n">
        <v>46722</v>
      </c>
    </row>
    <row r="6" customFormat="false" ht="30" hidden="false" customHeight="true" outlineLevel="0" collapsed="false">
      <c r="A6" s="5" t="s">
        <v>4</v>
      </c>
      <c r="B6" s="5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</row>
    <row r="7" customFormat="false" ht="19.5" hidden="false" customHeight="true" outlineLevel="0" collapsed="false">
      <c r="A7" s="7" t="s">
        <v>27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5" hidden="false" customHeight="false" outlineLevel="0" collapsed="false">
      <c r="A8" s="9" t="s">
        <v>28</v>
      </c>
      <c r="B8" s="10"/>
      <c r="C8" s="11" t="n">
        <f aca="false">IF($B8="",0,SUMIFS(tblAuftraege[Einnahmen],tblAuftraege[Datum Einnahmen],"&gt;="&amp;C$5,tblAuftraege[Datum Einnahmen],"&lt;"&amp;EDATE(C$5,1),tblAuftraege[Kostenstelle],$B8))</f>
        <v>0</v>
      </c>
      <c r="D8" s="11" t="n">
        <f aca="false">IF($B8="",0,SUMIFS(tblAuftraege[Einnahmen],tblAuftraege[Datum Einnahmen],"&gt;="&amp;D$5,tblAuftraege[Datum Einnahmen],"&lt;"&amp;EDATE(D$5,1),tblAuftraege[Kostenstelle],$B8))</f>
        <v>0</v>
      </c>
      <c r="E8" s="11" t="n">
        <f aca="false">IF($B8="",0,SUMIFS(tblAuftraege[Einnahmen],tblAuftraege[Datum Einnahmen],"&gt;="&amp;E$5,tblAuftraege[Datum Einnahmen],"&lt;"&amp;EDATE(E$5,1),tblAuftraege[Kostenstelle],$B8))</f>
        <v>0</v>
      </c>
      <c r="F8" s="11" t="n">
        <f aca="false">IF($B8="",0,SUMIFS(tblAuftraege[Einnahmen],tblAuftraege[Datum Einnahmen],"&gt;="&amp;F$5,tblAuftraege[Datum Einnahmen],"&lt;"&amp;EDATE(F$5,1),tblAuftraege[Kostenstelle],$B8))</f>
        <v>0</v>
      </c>
      <c r="G8" s="11" t="n">
        <f aca="false">IF($B8="",0,SUMIFS(tblAuftraege[Einnahmen],tblAuftraege[Datum Einnahmen],"&gt;="&amp;G$5,tblAuftraege[Datum Einnahmen],"&lt;"&amp;EDATE(G$5,1),tblAuftraege[Kostenstelle],$B8))</f>
        <v>0</v>
      </c>
      <c r="H8" s="11" t="n">
        <f aca="false">IF($B8="",0,SUMIFS(tblAuftraege[Einnahmen],tblAuftraege[Datum Einnahmen],"&gt;="&amp;H$5,tblAuftraege[Datum Einnahmen],"&lt;"&amp;EDATE(H$5,1),tblAuftraege[Kostenstelle],$B8))</f>
        <v>0</v>
      </c>
      <c r="I8" s="11" t="n">
        <f aca="false">IF($B8="",0,SUMIFS(tblAuftraege[Einnahmen],tblAuftraege[Datum Einnahmen],"&gt;="&amp;I$5,tblAuftraege[Datum Einnahmen],"&lt;"&amp;EDATE(I$5,1),tblAuftraege[Kostenstelle],$B8))</f>
        <v>0</v>
      </c>
      <c r="J8" s="11" t="n">
        <f aca="false">IF($B8="",0,SUMIFS(tblAuftraege[Einnahmen],tblAuftraege[Datum Einnahmen],"&gt;="&amp;J$5,tblAuftraege[Datum Einnahmen],"&lt;"&amp;EDATE(J$5,1),tblAuftraege[Kostenstelle],$B8))</f>
        <v>0</v>
      </c>
      <c r="K8" s="11" t="n">
        <f aca="false">IF($B8="",0,SUMIFS(tblAuftraege[Einnahmen],tblAuftraege[Datum Einnahmen],"&gt;="&amp;K$5,tblAuftraege[Datum Einnahmen],"&lt;"&amp;EDATE(K$5,1),tblAuftraege[Kostenstelle],$B8))</f>
        <v>0</v>
      </c>
      <c r="L8" s="11" t="n">
        <f aca="false">IF($B8="",0,SUMIFS(tblAuftraege[Einnahmen],tblAuftraege[Datum Einnahmen],"&gt;="&amp;L$5,tblAuftraege[Datum Einnahmen],"&lt;"&amp;EDATE(L$5,1),tblAuftraege[Kostenstelle],$B8))</f>
        <v>0</v>
      </c>
      <c r="M8" s="11" t="n">
        <f aca="false">IF($B8="",0,SUMIFS(tblAuftraege[Einnahmen],tblAuftraege[Datum Einnahmen],"&gt;="&amp;M$5,tblAuftraege[Datum Einnahmen],"&lt;"&amp;EDATE(M$5,1),tblAuftraege[Kostenstelle],$B8))</f>
        <v>0</v>
      </c>
      <c r="N8" s="11" t="n">
        <f aca="false">IF($B8="",0,SUMIFS(tblAuftraege[Einnahmen],tblAuftraege[Datum Einnahmen],"&gt;="&amp;N$5,tblAuftraege[Datum Einnahmen],"&lt;"&amp;EDATE(N$5,1),tblAuftraege[Kostenstelle],$B8))</f>
        <v>0</v>
      </c>
      <c r="O8" s="11" t="n">
        <f aca="false">IF($B8="",0,SUMIFS(tblAuftraege[Einnahmen],tblAuftraege[Datum Einnahmen],"&gt;="&amp;O$5,tblAuftraege[Datum Einnahmen],"&lt;"&amp;EDATE(O$5,1),tblAuftraege[Kostenstelle],$B8))</f>
        <v>0</v>
      </c>
      <c r="P8" s="11" t="n">
        <f aca="false">IF($B8="",0,SUMIFS(tblAuftraege[Einnahmen],tblAuftraege[Datum Einnahmen],"&gt;="&amp;P$5,tblAuftraege[Datum Einnahmen],"&lt;"&amp;EDATE(P$5,1),tblAuftraege[Kostenstelle],$B8))</f>
        <v>0</v>
      </c>
      <c r="Q8" s="11" t="n">
        <f aca="false">IF($B8="",0,SUMIFS(tblAuftraege[Einnahmen],tblAuftraege[Datum Einnahmen],"&gt;="&amp;Q$5,tblAuftraege[Datum Einnahmen],"&lt;"&amp;EDATE(Q$5,1),tblAuftraege[Kostenstelle],$B8))</f>
        <v>0</v>
      </c>
      <c r="R8" s="11" t="n">
        <f aca="false">IF($B8="",0,SUMIFS(tblAuftraege[Einnahmen],tblAuftraege[Datum Einnahmen],"&gt;="&amp;R$5,tblAuftraege[Datum Einnahmen],"&lt;"&amp;EDATE(R$5,1),tblAuftraege[Kostenstelle],$B8))</f>
        <v>0</v>
      </c>
      <c r="S8" s="11" t="n">
        <f aca="false">IF($B8="",0,SUMIFS(tblAuftraege[Einnahmen],tblAuftraege[Datum Einnahmen],"&gt;="&amp;S$5,tblAuftraege[Datum Einnahmen],"&lt;"&amp;EDATE(S$5,1),tblAuftraege[Kostenstelle],$B8))</f>
        <v>0</v>
      </c>
      <c r="T8" s="11" t="n">
        <f aca="false">IF($B8="",0,SUMIFS(tblAuftraege[Einnahmen],tblAuftraege[Datum Einnahmen],"&gt;="&amp;T$5,tblAuftraege[Datum Einnahmen],"&lt;"&amp;EDATE(T$5,1),tblAuftraege[Kostenstelle],$B8))</f>
        <v>0</v>
      </c>
      <c r="U8" s="11" t="n">
        <f aca="false">SUM(C8:H8)</f>
        <v>0</v>
      </c>
      <c r="V8" s="11" t="n">
        <f aca="false">SUM(I8:T8)</f>
        <v>0</v>
      </c>
      <c r="W8" s="12" t="n">
        <f aca="false">SUM(C8:T8)</f>
        <v>0</v>
      </c>
    </row>
    <row r="9" customFormat="false" ht="15" hidden="false" customHeight="false" outlineLevel="0" collapsed="false">
      <c r="A9" s="9" t="s">
        <v>29</v>
      </c>
      <c r="B9" s="10"/>
      <c r="C9" s="11" t="n">
        <f aca="false">IF($B9="",0,SUMIFS(tblAuftraege[Einnahmen],tblAuftraege[Datum Einnahmen],"&gt;="&amp;C$5,tblAuftraege[Datum Einnahmen],"&lt;"&amp;EDATE(C$5,1),tblAuftraege[Kostenstelle],$B9))</f>
        <v>0</v>
      </c>
      <c r="D9" s="11" t="n">
        <f aca="false">IF($B9="",0,SUMIFS(tblAuftraege[Einnahmen],tblAuftraege[Datum Einnahmen],"&gt;="&amp;D$5,tblAuftraege[Datum Einnahmen],"&lt;"&amp;EDATE(D$5,1),tblAuftraege[Kostenstelle],$B9))</f>
        <v>0</v>
      </c>
      <c r="E9" s="11" t="n">
        <f aca="false">IF($B9="",0,SUMIFS(tblAuftraege[Einnahmen],tblAuftraege[Datum Einnahmen],"&gt;="&amp;E$5,tblAuftraege[Datum Einnahmen],"&lt;"&amp;EDATE(E$5,1),tblAuftraege[Kostenstelle],$B9))</f>
        <v>0</v>
      </c>
      <c r="F9" s="11" t="n">
        <f aca="false">IF($B9="",0,SUMIFS(tblAuftraege[Einnahmen],tblAuftraege[Datum Einnahmen],"&gt;="&amp;F$5,tblAuftraege[Datum Einnahmen],"&lt;"&amp;EDATE(F$5,1),tblAuftraege[Kostenstelle],$B9))</f>
        <v>0</v>
      </c>
      <c r="G9" s="11" t="n">
        <f aca="false">IF($B9="",0,SUMIFS(tblAuftraege[Einnahmen],tblAuftraege[Datum Einnahmen],"&gt;="&amp;G$5,tblAuftraege[Datum Einnahmen],"&lt;"&amp;EDATE(G$5,1),tblAuftraege[Kostenstelle],$B9))</f>
        <v>0</v>
      </c>
      <c r="H9" s="11" t="n">
        <f aca="false">IF($B9="",0,SUMIFS(tblAuftraege[Einnahmen],tblAuftraege[Datum Einnahmen],"&gt;="&amp;H$5,tblAuftraege[Datum Einnahmen],"&lt;"&amp;EDATE(H$5,1),tblAuftraege[Kostenstelle],$B9))</f>
        <v>0</v>
      </c>
      <c r="I9" s="11" t="n">
        <f aca="false">IF($B9="",0,SUMIFS(tblAuftraege[Einnahmen],tblAuftraege[Datum Einnahmen],"&gt;="&amp;I$5,tblAuftraege[Datum Einnahmen],"&lt;"&amp;EDATE(I$5,1),tblAuftraege[Kostenstelle],$B9))</f>
        <v>0</v>
      </c>
      <c r="J9" s="11" t="n">
        <f aca="false">IF($B9="",0,SUMIFS(tblAuftraege[Einnahmen],tblAuftraege[Datum Einnahmen],"&gt;="&amp;J$5,tblAuftraege[Datum Einnahmen],"&lt;"&amp;EDATE(J$5,1),tblAuftraege[Kostenstelle],$B9))</f>
        <v>0</v>
      </c>
      <c r="K9" s="11" t="n">
        <f aca="false">IF($B9="",0,SUMIFS(tblAuftraege[Einnahmen],tblAuftraege[Datum Einnahmen],"&gt;="&amp;K$5,tblAuftraege[Datum Einnahmen],"&lt;"&amp;EDATE(K$5,1),tblAuftraege[Kostenstelle],$B9))</f>
        <v>0</v>
      </c>
      <c r="L9" s="11" t="n">
        <f aca="false">IF($B9="",0,SUMIFS(tblAuftraege[Einnahmen],tblAuftraege[Datum Einnahmen],"&gt;="&amp;L$5,tblAuftraege[Datum Einnahmen],"&lt;"&amp;EDATE(L$5,1),tblAuftraege[Kostenstelle],$B9))</f>
        <v>0</v>
      </c>
      <c r="M9" s="11" t="n">
        <f aca="false">IF($B9="",0,SUMIFS(tblAuftraege[Einnahmen],tblAuftraege[Datum Einnahmen],"&gt;="&amp;M$5,tblAuftraege[Datum Einnahmen],"&lt;"&amp;EDATE(M$5,1),tblAuftraege[Kostenstelle],$B9))</f>
        <v>0</v>
      </c>
      <c r="N9" s="11" t="n">
        <f aca="false">IF($B9="",0,SUMIFS(tblAuftraege[Einnahmen],tblAuftraege[Datum Einnahmen],"&gt;="&amp;N$5,tblAuftraege[Datum Einnahmen],"&lt;"&amp;EDATE(N$5,1),tblAuftraege[Kostenstelle],$B9))</f>
        <v>0</v>
      </c>
      <c r="O9" s="11" t="n">
        <f aca="false">IF($B9="",0,SUMIFS(tblAuftraege[Einnahmen],tblAuftraege[Datum Einnahmen],"&gt;="&amp;O$5,tblAuftraege[Datum Einnahmen],"&lt;"&amp;EDATE(O$5,1),tblAuftraege[Kostenstelle],$B9))</f>
        <v>0</v>
      </c>
      <c r="P9" s="11" t="n">
        <f aca="false">IF($B9="",0,SUMIFS(tblAuftraege[Einnahmen],tblAuftraege[Datum Einnahmen],"&gt;="&amp;P$5,tblAuftraege[Datum Einnahmen],"&lt;"&amp;EDATE(P$5,1),tblAuftraege[Kostenstelle],$B9))</f>
        <v>0</v>
      </c>
      <c r="Q9" s="11" t="n">
        <f aca="false">IF($B9="",0,SUMIFS(tblAuftraege[Einnahmen],tblAuftraege[Datum Einnahmen],"&gt;="&amp;Q$5,tblAuftraege[Datum Einnahmen],"&lt;"&amp;EDATE(Q$5,1),tblAuftraege[Kostenstelle],$B9))</f>
        <v>0</v>
      </c>
      <c r="R9" s="11" t="n">
        <f aca="false">IF($B9="",0,SUMIFS(tblAuftraege[Einnahmen],tblAuftraege[Datum Einnahmen],"&gt;="&amp;R$5,tblAuftraege[Datum Einnahmen],"&lt;"&amp;EDATE(R$5,1),tblAuftraege[Kostenstelle],$B9))</f>
        <v>0</v>
      </c>
      <c r="S9" s="11" t="n">
        <f aca="false">IF($B9="",0,SUMIFS(tblAuftraege[Einnahmen],tblAuftraege[Datum Einnahmen],"&gt;="&amp;S$5,tblAuftraege[Datum Einnahmen],"&lt;"&amp;EDATE(S$5,1),tblAuftraege[Kostenstelle],$B9))</f>
        <v>0</v>
      </c>
      <c r="T9" s="11" t="n">
        <f aca="false">IF($B9="",0,SUMIFS(tblAuftraege[Einnahmen],tblAuftraege[Datum Einnahmen],"&gt;="&amp;T$5,tblAuftraege[Datum Einnahmen],"&lt;"&amp;EDATE(T$5,1),tblAuftraege[Kostenstelle],$B9))</f>
        <v>0</v>
      </c>
      <c r="U9" s="11" t="n">
        <f aca="false">SUM(C9:H9)</f>
        <v>0</v>
      </c>
      <c r="V9" s="11" t="n">
        <f aca="false">SUM(I9:T9)</f>
        <v>0</v>
      </c>
      <c r="W9" s="12" t="n">
        <f aca="false">SUM(C9:T9)</f>
        <v>0</v>
      </c>
    </row>
    <row r="10" customFormat="false" ht="15" hidden="false" customHeight="false" outlineLevel="0" collapsed="false">
      <c r="A10" s="9" t="s">
        <v>30</v>
      </c>
      <c r="B10" s="10"/>
      <c r="C10" s="11" t="n">
        <f aca="false">IF($B10="",0,SUMIFS(tblAuftraege[Einnahmen],tblAuftraege[Datum Einnahmen],"&gt;="&amp;C$5,tblAuftraege[Datum Einnahmen],"&lt;"&amp;EDATE(C$5,1),tblAuftraege[Kostenstelle],$B10))</f>
        <v>0</v>
      </c>
      <c r="D10" s="11" t="n">
        <f aca="false">IF($B10="",0,SUMIFS(tblAuftraege[Einnahmen],tblAuftraege[Datum Einnahmen],"&gt;="&amp;D$5,tblAuftraege[Datum Einnahmen],"&lt;"&amp;EDATE(D$5,1),tblAuftraege[Kostenstelle],$B10))</f>
        <v>0</v>
      </c>
      <c r="E10" s="11" t="n">
        <f aca="false">IF($B10="",0,SUMIFS(tblAuftraege[Einnahmen],tblAuftraege[Datum Einnahmen],"&gt;="&amp;E$5,tblAuftraege[Datum Einnahmen],"&lt;"&amp;EDATE(E$5,1),tblAuftraege[Kostenstelle],$B10))</f>
        <v>0</v>
      </c>
      <c r="F10" s="11" t="n">
        <f aca="false">IF($B10="",0,SUMIFS(tblAuftraege[Einnahmen],tblAuftraege[Datum Einnahmen],"&gt;="&amp;F$5,tblAuftraege[Datum Einnahmen],"&lt;"&amp;EDATE(F$5,1),tblAuftraege[Kostenstelle],$B10))</f>
        <v>0</v>
      </c>
      <c r="G10" s="11" t="n">
        <f aca="false">IF($B10="",0,SUMIFS(tblAuftraege[Einnahmen],tblAuftraege[Datum Einnahmen],"&gt;="&amp;G$5,tblAuftraege[Datum Einnahmen],"&lt;"&amp;EDATE(G$5,1),tblAuftraege[Kostenstelle],$B10))</f>
        <v>0</v>
      </c>
      <c r="H10" s="11" t="n">
        <f aca="false">IF($B10="",0,SUMIFS(tblAuftraege[Einnahmen],tblAuftraege[Datum Einnahmen],"&gt;="&amp;H$5,tblAuftraege[Datum Einnahmen],"&lt;"&amp;EDATE(H$5,1),tblAuftraege[Kostenstelle],$B10))</f>
        <v>0</v>
      </c>
      <c r="I10" s="11" t="n">
        <f aca="false">IF($B10="",0,SUMIFS(tblAuftraege[Einnahmen],tblAuftraege[Datum Einnahmen],"&gt;="&amp;I$5,tblAuftraege[Datum Einnahmen],"&lt;"&amp;EDATE(I$5,1),tblAuftraege[Kostenstelle],$B10))</f>
        <v>0</v>
      </c>
      <c r="J10" s="11" t="n">
        <f aca="false">IF($B10="",0,SUMIFS(tblAuftraege[Einnahmen],tblAuftraege[Datum Einnahmen],"&gt;="&amp;J$5,tblAuftraege[Datum Einnahmen],"&lt;"&amp;EDATE(J$5,1),tblAuftraege[Kostenstelle],$B10))</f>
        <v>0</v>
      </c>
      <c r="K10" s="11" t="n">
        <f aca="false">IF($B10="",0,SUMIFS(tblAuftraege[Einnahmen],tblAuftraege[Datum Einnahmen],"&gt;="&amp;K$5,tblAuftraege[Datum Einnahmen],"&lt;"&amp;EDATE(K$5,1),tblAuftraege[Kostenstelle],$B10))</f>
        <v>0</v>
      </c>
      <c r="L10" s="11" t="n">
        <f aca="false">IF($B10="",0,SUMIFS(tblAuftraege[Einnahmen],tblAuftraege[Datum Einnahmen],"&gt;="&amp;L$5,tblAuftraege[Datum Einnahmen],"&lt;"&amp;EDATE(L$5,1),tblAuftraege[Kostenstelle],$B10))</f>
        <v>0</v>
      </c>
      <c r="M10" s="11" t="n">
        <f aca="false">IF($B10="",0,SUMIFS(tblAuftraege[Einnahmen],tblAuftraege[Datum Einnahmen],"&gt;="&amp;M$5,tblAuftraege[Datum Einnahmen],"&lt;"&amp;EDATE(M$5,1),tblAuftraege[Kostenstelle],$B10))</f>
        <v>0</v>
      </c>
      <c r="N10" s="11" t="n">
        <f aca="false">IF($B10="",0,SUMIFS(tblAuftraege[Einnahmen],tblAuftraege[Datum Einnahmen],"&gt;="&amp;N$5,tblAuftraege[Datum Einnahmen],"&lt;"&amp;EDATE(N$5,1),tblAuftraege[Kostenstelle],$B10))</f>
        <v>0</v>
      </c>
      <c r="O10" s="11" t="n">
        <f aca="false">IF($B10="",0,SUMIFS(tblAuftraege[Einnahmen],tblAuftraege[Datum Einnahmen],"&gt;="&amp;O$5,tblAuftraege[Datum Einnahmen],"&lt;"&amp;EDATE(O$5,1),tblAuftraege[Kostenstelle],$B10))</f>
        <v>0</v>
      </c>
      <c r="P10" s="11" t="n">
        <f aca="false">IF($B10="",0,SUMIFS(tblAuftraege[Einnahmen],tblAuftraege[Datum Einnahmen],"&gt;="&amp;P$5,tblAuftraege[Datum Einnahmen],"&lt;"&amp;EDATE(P$5,1),tblAuftraege[Kostenstelle],$B10))</f>
        <v>0</v>
      </c>
      <c r="Q10" s="11" t="n">
        <f aca="false">IF($B10="",0,SUMIFS(tblAuftraege[Einnahmen],tblAuftraege[Datum Einnahmen],"&gt;="&amp;Q$5,tblAuftraege[Datum Einnahmen],"&lt;"&amp;EDATE(Q$5,1),tblAuftraege[Kostenstelle],$B10))</f>
        <v>0</v>
      </c>
      <c r="R10" s="11" t="n">
        <f aca="false">IF($B10="",0,SUMIFS(tblAuftraege[Einnahmen],tblAuftraege[Datum Einnahmen],"&gt;="&amp;R$5,tblAuftraege[Datum Einnahmen],"&lt;"&amp;EDATE(R$5,1),tblAuftraege[Kostenstelle],$B10))</f>
        <v>0</v>
      </c>
      <c r="S10" s="11" t="n">
        <f aca="false">IF($B10="",0,SUMIFS(tblAuftraege[Einnahmen],tblAuftraege[Datum Einnahmen],"&gt;="&amp;S$5,tblAuftraege[Datum Einnahmen],"&lt;"&amp;EDATE(S$5,1),tblAuftraege[Kostenstelle],$B10))</f>
        <v>0</v>
      </c>
      <c r="T10" s="11" t="n">
        <f aca="false">IF($B10="",0,SUMIFS(tblAuftraege[Einnahmen],tblAuftraege[Datum Einnahmen],"&gt;="&amp;T$5,tblAuftraege[Datum Einnahmen],"&lt;"&amp;EDATE(T$5,1),tblAuftraege[Kostenstelle],$B10))</f>
        <v>0</v>
      </c>
      <c r="U10" s="11" t="n">
        <f aca="false">SUM(C10:H10)</f>
        <v>0</v>
      </c>
      <c r="V10" s="11" t="n">
        <f aca="false">SUM(I10:T10)</f>
        <v>0</v>
      </c>
      <c r="W10" s="12" t="n">
        <f aca="false">SUM(C10:T10)</f>
        <v>0</v>
      </c>
    </row>
    <row r="11" customFormat="false" ht="15" hidden="false" customHeight="false" outlineLevel="0" collapsed="false">
      <c r="A11" s="9" t="s">
        <v>31</v>
      </c>
      <c r="B11" s="10"/>
      <c r="C11" s="11" t="n">
        <f aca="false">IF($B11="",0,SUMIFS(tblAuftraege[Einnahmen],tblAuftraege[Datum Einnahmen],"&gt;="&amp;C$5,tblAuftraege[Datum Einnahmen],"&lt;"&amp;EDATE(C$5,1),tblAuftraege[Kostenstelle],$B11))</f>
        <v>0</v>
      </c>
      <c r="D11" s="11" t="n">
        <f aca="false">IF($B11="",0,SUMIFS(tblAuftraege[Einnahmen],tblAuftraege[Datum Einnahmen],"&gt;="&amp;D$5,tblAuftraege[Datum Einnahmen],"&lt;"&amp;EDATE(D$5,1),tblAuftraege[Kostenstelle],$B11))</f>
        <v>0</v>
      </c>
      <c r="E11" s="11" t="n">
        <f aca="false">IF($B11="",0,SUMIFS(tblAuftraege[Einnahmen],tblAuftraege[Datum Einnahmen],"&gt;="&amp;E$5,tblAuftraege[Datum Einnahmen],"&lt;"&amp;EDATE(E$5,1),tblAuftraege[Kostenstelle],$B11))</f>
        <v>0</v>
      </c>
      <c r="F11" s="11" t="n">
        <f aca="false">IF($B11="",0,SUMIFS(tblAuftraege[Einnahmen],tblAuftraege[Datum Einnahmen],"&gt;="&amp;F$5,tblAuftraege[Datum Einnahmen],"&lt;"&amp;EDATE(F$5,1),tblAuftraege[Kostenstelle],$B11))</f>
        <v>0</v>
      </c>
      <c r="G11" s="11" t="n">
        <f aca="false">IF($B11="",0,SUMIFS(tblAuftraege[Einnahmen],tblAuftraege[Datum Einnahmen],"&gt;="&amp;G$5,tblAuftraege[Datum Einnahmen],"&lt;"&amp;EDATE(G$5,1),tblAuftraege[Kostenstelle],$B11))</f>
        <v>0</v>
      </c>
      <c r="H11" s="11" t="n">
        <f aca="false">IF($B11="",0,SUMIFS(tblAuftraege[Einnahmen],tblAuftraege[Datum Einnahmen],"&gt;="&amp;H$5,tblAuftraege[Datum Einnahmen],"&lt;"&amp;EDATE(H$5,1),tblAuftraege[Kostenstelle],$B11))</f>
        <v>0</v>
      </c>
      <c r="I11" s="11" t="n">
        <f aca="false">IF($B11="",0,SUMIFS(tblAuftraege[Einnahmen],tblAuftraege[Datum Einnahmen],"&gt;="&amp;I$5,tblAuftraege[Datum Einnahmen],"&lt;"&amp;EDATE(I$5,1),tblAuftraege[Kostenstelle],$B11))</f>
        <v>0</v>
      </c>
      <c r="J11" s="11" t="n">
        <f aca="false">IF($B11="",0,SUMIFS(tblAuftraege[Einnahmen],tblAuftraege[Datum Einnahmen],"&gt;="&amp;J$5,tblAuftraege[Datum Einnahmen],"&lt;"&amp;EDATE(J$5,1),tblAuftraege[Kostenstelle],$B11))</f>
        <v>0</v>
      </c>
      <c r="K11" s="11" t="n">
        <f aca="false">IF($B11="",0,SUMIFS(tblAuftraege[Einnahmen],tblAuftraege[Datum Einnahmen],"&gt;="&amp;K$5,tblAuftraege[Datum Einnahmen],"&lt;"&amp;EDATE(K$5,1),tblAuftraege[Kostenstelle],$B11))</f>
        <v>0</v>
      </c>
      <c r="L11" s="11" t="n">
        <f aca="false">IF($B11="",0,SUMIFS(tblAuftraege[Einnahmen],tblAuftraege[Datum Einnahmen],"&gt;="&amp;L$5,tblAuftraege[Datum Einnahmen],"&lt;"&amp;EDATE(L$5,1),tblAuftraege[Kostenstelle],$B11))</f>
        <v>0</v>
      </c>
      <c r="M11" s="11" t="n">
        <f aca="false">IF($B11="",0,SUMIFS(tblAuftraege[Einnahmen],tblAuftraege[Datum Einnahmen],"&gt;="&amp;M$5,tblAuftraege[Datum Einnahmen],"&lt;"&amp;EDATE(M$5,1),tblAuftraege[Kostenstelle],$B11))</f>
        <v>0</v>
      </c>
      <c r="N11" s="11" t="n">
        <f aca="false">IF($B11="",0,SUMIFS(tblAuftraege[Einnahmen],tblAuftraege[Datum Einnahmen],"&gt;="&amp;N$5,tblAuftraege[Datum Einnahmen],"&lt;"&amp;EDATE(N$5,1),tblAuftraege[Kostenstelle],$B11))</f>
        <v>0</v>
      </c>
      <c r="O11" s="11" t="n">
        <f aca="false">IF($B11="",0,SUMIFS(tblAuftraege[Einnahmen],tblAuftraege[Datum Einnahmen],"&gt;="&amp;O$5,tblAuftraege[Datum Einnahmen],"&lt;"&amp;EDATE(O$5,1),tblAuftraege[Kostenstelle],$B11))</f>
        <v>0</v>
      </c>
      <c r="P11" s="11" t="n">
        <f aca="false">IF($B11="",0,SUMIFS(tblAuftraege[Einnahmen],tblAuftraege[Datum Einnahmen],"&gt;="&amp;P$5,tblAuftraege[Datum Einnahmen],"&lt;"&amp;EDATE(P$5,1),tblAuftraege[Kostenstelle],$B11))</f>
        <v>0</v>
      </c>
      <c r="Q11" s="11" t="n">
        <f aca="false">IF($B11="",0,SUMIFS(tblAuftraege[Einnahmen],tblAuftraege[Datum Einnahmen],"&gt;="&amp;Q$5,tblAuftraege[Datum Einnahmen],"&lt;"&amp;EDATE(Q$5,1),tblAuftraege[Kostenstelle],$B11))</f>
        <v>0</v>
      </c>
      <c r="R11" s="11" t="n">
        <f aca="false">IF($B11="",0,SUMIFS(tblAuftraege[Einnahmen],tblAuftraege[Datum Einnahmen],"&gt;="&amp;R$5,tblAuftraege[Datum Einnahmen],"&lt;"&amp;EDATE(R$5,1),tblAuftraege[Kostenstelle],$B11))</f>
        <v>0</v>
      </c>
      <c r="S11" s="11" t="n">
        <f aca="false">IF($B11="",0,SUMIFS(tblAuftraege[Einnahmen],tblAuftraege[Datum Einnahmen],"&gt;="&amp;S$5,tblAuftraege[Datum Einnahmen],"&lt;"&amp;EDATE(S$5,1),tblAuftraege[Kostenstelle],$B11))</f>
        <v>0</v>
      </c>
      <c r="T11" s="11" t="n">
        <f aca="false">IF($B11="",0,SUMIFS(tblAuftraege[Einnahmen],tblAuftraege[Datum Einnahmen],"&gt;="&amp;T$5,tblAuftraege[Datum Einnahmen],"&lt;"&amp;EDATE(T$5,1),tblAuftraege[Kostenstelle],$B11))</f>
        <v>0</v>
      </c>
      <c r="U11" s="11" t="n">
        <f aca="false">SUM(C11:H11)</f>
        <v>0</v>
      </c>
      <c r="V11" s="11" t="n">
        <f aca="false">SUM(I11:T11)</f>
        <v>0</v>
      </c>
      <c r="W11" s="12" t="n">
        <f aca="false">SUM(C11:T11)</f>
        <v>0</v>
      </c>
    </row>
    <row r="12" customFormat="false" ht="15" hidden="false" customHeight="false" outlineLevel="0" collapsed="false">
      <c r="A12" s="9" t="s">
        <v>32</v>
      </c>
      <c r="B12" s="10"/>
      <c r="C12" s="11" t="n">
        <f aca="false">IF($B12="",0,SUMIFS(tblAuftraege[Einnahmen],tblAuftraege[Datum Einnahmen],"&gt;="&amp;C$5,tblAuftraege[Datum Einnahmen],"&lt;"&amp;EDATE(C$5,1),tblAuftraege[Kostenstelle],$B12))</f>
        <v>0</v>
      </c>
      <c r="D12" s="11" t="n">
        <f aca="false">IF($B12="",0,SUMIFS(tblAuftraege[Einnahmen],tblAuftraege[Datum Einnahmen],"&gt;="&amp;D$5,tblAuftraege[Datum Einnahmen],"&lt;"&amp;EDATE(D$5,1),tblAuftraege[Kostenstelle],$B12))</f>
        <v>0</v>
      </c>
      <c r="E12" s="11" t="n">
        <f aca="false">IF($B12="",0,SUMIFS(tblAuftraege[Einnahmen],tblAuftraege[Datum Einnahmen],"&gt;="&amp;E$5,tblAuftraege[Datum Einnahmen],"&lt;"&amp;EDATE(E$5,1),tblAuftraege[Kostenstelle],$B12))</f>
        <v>0</v>
      </c>
      <c r="F12" s="11" t="n">
        <f aca="false">IF($B12="",0,SUMIFS(tblAuftraege[Einnahmen],tblAuftraege[Datum Einnahmen],"&gt;="&amp;F$5,tblAuftraege[Datum Einnahmen],"&lt;"&amp;EDATE(F$5,1),tblAuftraege[Kostenstelle],$B12))</f>
        <v>0</v>
      </c>
      <c r="G12" s="11" t="n">
        <f aca="false">IF($B12="",0,SUMIFS(tblAuftraege[Einnahmen],tblAuftraege[Datum Einnahmen],"&gt;="&amp;G$5,tblAuftraege[Datum Einnahmen],"&lt;"&amp;EDATE(G$5,1),tblAuftraege[Kostenstelle],$B12))</f>
        <v>0</v>
      </c>
      <c r="H12" s="11" t="n">
        <f aca="false">IF($B12="",0,SUMIFS(tblAuftraege[Einnahmen],tblAuftraege[Datum Einnahmen],"&gt;="&amp;H$5,tblAuftraege[Datum Einnahmen],"&lt;"&amp;EDATE(H$5,1),tblAuftraege[Kostenstelle],$B12))</f>
        <v>0</v>
      </c>
      <c r="I12" s="11" t="n">
        <f aca="false">IF($B12="",0,SUMIFS(tblAuftraege[Einnahmen],tblAuftraege[Datum Einnahmen],"&gt;="&amp;I$5,tblAuftraege[Datum Einnahmen],"&lt;"&amp;EDATE(I$5,1),tblAuftraege[Kostenstelle],$B12))</f>
        <v>0</v>
      </c>
      <c r="J12" s="11" t="n">
        <f aca="false">IF($B12="",0,SUMIFS(tblAuftraege[Einnahmen],tblAuftraege[Datum Einnahmen],"&gt;="&amp;J$5,tblAuftraege[Datum Einnahmen],"&lt;"&amp;EDATE(J$5,1),tblAuftraege[Kostenstelle],$B12))</f>
        <v>0</v>
      </c>
      <c r="K12" s="11" t="n">
        <f aca="false">IF($B12="",0,SUMIFS(tblAuftraege[Einnahmen],tblAuftraege[Datum Einnahmen],"&gt;="&amp;K$5,tblAuftraege[Datum Einnahmen],"&lt;"&amp;EDATE(K$5,1),tblAuftraege[Kostenstelle],$B12))</f>
        <v>0</v>
      </c>
      <c r="L12" s="11" t="n">
        <f aca="false">IF($B12="",0,SUMIFS(tblAuftraege[Einnahmen],tblAuftraege[Datum Einnahmen],"&gt;="&amp;L$5,tblAuftraege[Datum Einnahmen],"&lt;"&amp;EDATE(L$5,1),tblAuftraege[Kostenstelle],$B12))</f>
        <v>0</v>
      </c>
      <c r="M12" s="11" t="n">
        <f aca="false">IF($B12="",0,SUMIFS(tblAuftraege[Einnahmen],tblAuftraege[Datum Einnahmen],"&gt;="&amp;M$5,tblAuftraege[Datum Einnahmen],"&lt;"&amp;EDATE(M$5,1),tblAuftraege[Kostenstelle],$B12))</f>
        <v>0</v>
      </c>
      <c r="N12" s="11" t="n">
        <f aca="false">IF($B12="",0,SUMIFS(tblAuftraege[Einnahmen],tblAuftraege[Datum Einnahmen],"&gt;="&amp;N$5,tblAuftraege[Datum Einnahmen],"&lt;"&amp;EDATE(N$5,1),tblAuftraege[Kostenstelle],$B12))</f>
        <v>0</v>
      </c>
      <c r="O12" s="11" t="n">
        <f aca="false">IF($B12="",0,SUMIFS(tblAuftraege[Einnahmen],tblAuftraege[Datum Einnahmen],"&gt;="&amp;O$5,tblAuftraege[Datum Einnahmen],"&lt;"&amp;EDATE(O$5,1),tblAuftraege[Kostenstelle],$B12))</f>
        <v>0</v>
      </c>
      <c r="P12" s="11" t="n">
        <f aca="false">IF($B12="",0,SUMIFS(tblAuftraege[Einnahmen],tblAuftraege[Datum Einnahmen],"&gt;="&amp;P$5,tblAuftraege[Datum Einnahmen],"&lt;"&amp;EDATE(P$5,1),tblAuftraege[Kostenstelle],$B12))</f>
        <v>0</v>
      </c>
      <c r="Q12" s="11" t="n">
        <f aca="false">IF($B12="",0,SUMIFS(tblAuftraege[Einnahmen],tblAuftraege[Datum Einnahmen],"&gt;="&amp;Q$5,tblAuftraege[Datum Einnahmen],"&lt;"&amp;EDATE(Q$5,1),tblAuftraege[Kostenstelle],$B12))</f>
        <v>0</v>
      </c>
      <c r="R12" s="11" t="n">
        <f aca="false">IF($B12="",0,SUMIFS(tblAuftraege[Einnahmen],tblAuftraege[Datum Einnahmen],"&gt;="&amp;R$5,tblAuftraege[Datum Einnahmen],"&lt;"&amp;EDATE(R$5,1),tblAuftraege[Kostenstelle],$B12))</f>
        <v>0</v>
      </c>
      <c r="S12" s="11" t="n">
        <f aca="false">IF($B12="",0,SUMIFS(tblAuftraege[Einnahmen],tblAuftraege[Datum Einnahmen],"&gt;="&amp;S$5,tblAuftraege[Datum Einnahmen],"&lt;"&amp;EDATE(S$5,1),tblAuftraege[Kostenstelle],$B12))</f>
        <v>0</v>
      </c>
      <c r="T12" s="11" t="n">
        <f aca="false">IF($B12="",0,SUMIFS(tblAuftraege[Einnahmen],tblAuftraege[Datum Einnahmen],"&gt;="&amp;T$5,tblAuftraege[Datum Einnahmen],"&lt;"&amp;EDATE(T$5,1),tblAuftraege[Kostenstelle],$B12))</f>
        <v>0</v>
      </c>
      <c r="U12" s="11" t="n">
        <f aca="false">SUM(C12:H12)</f>
        <v>0</v>
      </c>
      <c r="V12" s="11" t="n">
        <f aca="false">SUM(I12:T12)</f>
        <v>0</v>
      </c>
      <c r="W12" s="12" t="n">
        <f aca="false">SUM(C12:T12)</f>
        <v>0</v>
      </c>
    </row>
    <row r="13" customFormat="false" ht="15" hidden="false" customHeight="false" outlineLevel="0" collapsed="false">
      <c r="A13" s="9" t="s">
        <v>33</v>
      </c>
      <c r="B13" s="10"/>
      <c r="C13" s="11" t="n">
        <f aca="false">IF($B13="",0,SUMIFS(tblAuftraege[Einnahmen],tblAuftraege[Datum Einnahmen],"&gt;="&amp;C$5,tblAuftraege[Datum Einnahmen],"&lt;"&amp;EDATE(C$5,1),tblAuftraege[Kostenstelle],$B13))</f>
        <v>0</v>
      </c>
      <c r="D13" s="11" t="n">
        <f aca="false">IF($B13="",0,SUMIFS(tblAuftraege[Einnahmen],tblAuftraege[Datum Einnahmen],"&gt;="&amp;D$5,tblAuftraege[Datum Einnahmen],"&lt;"&amp;EDATE(D$5,1),tblAuftraege[Kostenstelle],$B13))</f>
        <v>0</v>
      </c>
      <c r="E13" s="11" t="n">
        <f aca="false">IF($B13="",0,SUMIFS(tblAuftraege[Einnahmen],tblAuftraege[Datum Einnahmen],"&gt;="&amp;E$5,tblAuftraege[Datum Einnahmen],"&lt;"&amp;EDATE(E$5,1),tblAuftraege[Kostenstelle],$B13))</f>
        <v>0</v>
      </c>
      <c r="F13" s="11" t="n">
        <f aca="false">IF($B13="",0,SUMIFS(tblAuftraege[Einnahmen],tblAuftraege[Datum Einnahmen],"&gt;="&amp;F$5,tblAuftraege[Datum Einnahmen],"&lt;"&amp;EDATE(F$5,1),tblAuftraege[Kostenstelle],$B13))</f>
        <v>0</v>
      </c>
      <c r="G13" s="11" t="n">
        <f aca="false">IF($B13="",0,SUMIFS(tblAuftraege[Einnahmen],tblAuftraege[Datum Einnahmen],"&gt;="&amp;G$5,tblAuftraege[Datum Einnahmen],"&lt;"&amp;EDATE(G$5,1),tblAuftraege[Kostenstelle],$B13))</f>
        <v>0</v>
      </c>
      <c r="H13" s="11" t="n">
        <f aca="false">IF($B13="",0,SUMIFS(tblAuftraege[Einnahmen],tblAuftraege[Datum Einnahmen],"&gt;="&amp;H$5,tblAuftraege[Datum Einnahmen],"&lt;"&amp;EDATE(H$5,1),tblAuftraege[Kostenstelle],$B13))</f>
        <v>0</v>
      </c>
      <c r="I13" s="11" t="n">
        <f aca="false">IF($B13="",0,SUMIFS(tblAuftraege[Einnahmen],tblAuftraege[Datum Einnahmen],"&gt;="&amp;I$5,tblAuftraege[Datum Einnahmen],"&lt;"&amp;EDATE(I$5,1),tblAuftraege[Kostenstelle],$B13))</f>
        <v>0</v>
      </c>
      <c r="J13" s="11" t="n">
        <f aca="false">IF($B13="",0,SUMIFS(tblAuftraege[Einnahmen],tblAuftraege[Datum Einnahmen],"&gt;="&amp;J$5,tblAuftraege[Datum Einnahmen],"&lt;"&amp;EDATE(J$5,1),tblAuftraege[Kostenstelle],$B13))</f>
        <v>0</v>
      </c>
      <c r="K13" s="11" t="n">
        <f aca="false">IF($B13="",0,SUMIFS(tblAuftraege[Einnahmen],tblAuftraege[Datum Einnahmen],"&gt;="&amp;K$5,tblAuftraege[Datum Einnahmen],"&lt;"&amp;EDATE(K$5,1),tblAuftraege[Kostenstelle],$B13))</f>
        <v>0</v>
      </c>
      <c r="L13" s="11" t="n">
        <f aca="false">IF($B13="",0,SUMIFS(tblAuftraege[Einnahmen],tblAuftraege[Datum Einnahmen],"&gt;="&amp;L$5,tblAuftraege[Datum Einnahmen],"&lt;"&amp;EDATE(L$5,1),tblAuftraege[Kostenstelle],$B13))</f>
        <v>0</v>
      </c>
      <c r="M13" s="11" t="n">
        <f aca="false">IF($B13="",0,SUMIFS(tblAuftraege[Einnahmen],tblAuftraege[Datum Einnahmen],"&gt;="&amp;M$5,tblAuftraege[Datum Einnahmen],"&lt;"&amp;EDATE(M$5,1),tblAuftraege[Kostenstelle],$B13))</f>
        <v>0</v>
      </c>
      <c r="N13" s="11" t="n">
        <f aca="false">IF($B13="",0,SUMIFS(tblAuftraege[Einnahmen],tblAuftraege[Datum Einnahmen],"&gt;="&amp;N$5,tblAuftraege[Datum Einnahmen],"&lt;"&amp;EDATE(N$5,1),tblAuftraege[Kostenstelle],$B13))</f>
        <v>0</v>
      </c>
      <c r="O13" s="11" t="n">
        <f aca="false">IF($B13="",0,SUMIFS(tblAuftraege[Einnahmen],tblAuftraege[Datum Einnahmen],"&gt;="&amp;O$5,tblAuftraege[Datum Einnahmen],"&lt;"&amp;EDATE(O$5,1),tblAuftraege[Kostenstelle],$B13))</f>
        <v>0</v>
      </c>
      <c r="P13" s="11" t="n">
        <f aca="false">IF($B13="",0,SUMIFS(tblAuftraege[Einnahmen],tblAuftraege[Datum Einnahmen],"&gt;="&amp;P$5,tblAuftraege[Datum Einnahmen],"&lt;"&amp;EDATE(P$5,1),tblAuftraege[Kostenstelle],$B13))</f>
        <v>0</v>
      </c>
      <c r="Q13" s="11" t="n">
        <f aca="false">IF($B13="",0,SUMIFS(tblAuftraege[Einnahmen],tblAuftraege[Datum Einnahmen],"&gt;="&amp;Q$5,tblAuftraege[Datum Einnahmen],"&lt;"&amp;EDATE(Q$5,1),tblAuftraege[Kostenstelle],$B13))</f>
        <v>0</v>
      </c>
      <c r="R13" s="11" t="n">
        <f aca="false">IF($B13="",0,SUMIFS(tblAuftraege[Einnahmen],tblAuftraege[Datum Einnahmen],"&gt;="&amp;R$5,tblAuftraege[Datum Einnahmen],"&lt;"&amp;EDATE(R$5,1),tblAuftraege[Kostenstelle],$B13))</f>
        <v>0</v>
      </c>
      <c r="S13" s="11" t="n">
        <f aca="false">IF($B13="",0,SUMIFS(tblAuftraege[Einnahmen],tblAuftraege[Datum Einnahmen],"&gt;="&amp;S$5,tblAuftraege[Datum Einnahmen],"&lt;"&amp;EDATE(S$5,1),tblAuftraege[Kostenstelle],$B13))</f>
        <v>0</v>
      </c>
      <c r="T13" s="11" t="n">
        <f aca="false">IF($B13="",0,SUMIFS(tblAuftraege[Einnahmen],tblAuftraege[Datum Einnahmen],"&gt;="&amp;T$5,tblAuftraege[Datum Einnahmen],"&lt;"&amp;EDATE(T$5,1),tblAuftraege[Kostenstelle],$B13))</f>
        <v>0</v>
      </c>
      <c r="U13" s="11" t="n">
        <f aca="false">SUM(C13:H13)</f>
        <v>0</v>
      </c>
      <c r="V13" s="11" t="n">
        <f aca="false">SUM(I13:T13)</f>
        <v>0</v>
      </c>
      <c r="W13" s="12" t="n">
        <f aca="false">SUM(C13:T13)</f>
        <v>0</v>
      </c>
    </row>
    <row r="14" customFormat="false" ht="15" hidden="false" customHeight="false" outlineLevel="0" collapsed="false">
      <c r="A14" s="9" t="s">
        <v>34</v>
      </c>
      <c r="B14" s="10"/>
      <c r="C14" s="11" t="n">
        <f aca="false">IF($B14="",0,SUMIFS(tblAuftraege[Einnahmen],tblAuftraege[Datum Einnahmen],"&gt;="&amp;C$5,tblAuftraege[Datum Einnahmen],"&lt;"&amp;EDATE(C$5,1),tblAuftraege[Kostenstelle],$B14))</f>
        <v>0</v>
      </c>
      <c r="D14" s="11" t="n">
        <f aca="false">IF($B14="",0,SUMIFS(tblAuftraege[Einnahmen],tblAuftraege[Datum Einnahmen],"&gt;="&amp;D$5,tblAuftraege[Datum Einnahmen],"&lt;"&amp;EDATE(D$5,1),tblAuftraege[Kostenstelle],$B14))</f>
        <v>0</v>
      </c>
      <c r="E14" s="11" t="n">
        <f aca="false">IF($B14="",0,SUMIFS(tblAuftraege[Einnahmen],tblAuftraege[Datum Einnahmen],"&gt;="&amp;E$5,tblAuftraege[Datum Einnahmen],"&lt;"&amp;EDATE(E$5,1),tblAuftraege[Kostenstelle],$B14))</f>
        <v>0</v>
      </c>
      <c r="F14" s="11" t="n">
        <f aca="false">IF($B14="",0,SUMIFS(tblAuftraege[Einnahmen],tblAuftraege[Datum Einnahmen],"&gt;="&amp;F$5,tblAuftraege[Datum Einnahmen],"&lt;"&amp;EDATE(F$5,1),tblAuftraege[Kostenstelle],$B14))</f>
        <v>0</v>
      </c>
      <c r="G14" s="11" t="n">
        <f aca="false">IF($B14="",0,SUMIFS(tblAuftraege[Einnahmen],tblAuftraege[Datum Einnahmen],"&gt;="&amp;G$5,tblAuftraege[Datum Einnahmen],"&lt;"&amp;EDATE(G$5,1),tblAuftraege[Kostenstelle],$B14))</f>
        <v>0</v>
      </c>
      <c r="H14" s="11" t="n">
        <f aca="false">IF($B14="",0,SUMIFS(tblAuftraege[Einnahmen],tblAuftraege[Datum Einnahmen],"&gt;="&amp;H$5,tblAuftraege[Datum Einnahmen],"&lt;"&amp;EDATE(H$5,1),tblAuftraege[Kostenstelle],$B14))</f>
        <v>0</v>
      </c>
      <c r="I14" s="11" t="n">
        <f aca="false">IF($B14="",0,SUMIFS(tblAuftraege[Einnahmen],tblAuftraege[Datum Einnahmen],"&gt;="&amp;I$5,tblAuftraege[Datum Einnahmen],"&lt;"&amp;EDATE(I$5,1),tblAuftraege[Kostenstelle],$B14))</f>
        <v>0</v>
      </c>
      <c r="J14" s="11" t="n">
        <f aca="false">IF($B14="",0,SUMIFS(tblAuftraege[Einnahmen],tblAuftraege[Datum Einnahmen],"&gt;="&amp;J$5,tblAuftraege[Datum Einnahmen],"&lt;"&amp;EDATE(J$5,1),tblAuftraege[Kostenstelle],$B14))</f>
        <v>0</v>
      </c>
      <c r="K14" s="11" t="n">
        <f aca="false">IF($B14="",0,SUMIFS(tblAuftraege[Einnahmen],tblAuftraege[Datum Einnahmen],"&gt;="&amp;K$5,tblAuftraege[Datum Einnahmen],"&lt;"&amp;EDATE(K$5,1),tblAuftraege[Kostenstelle],$B14))</f>
        <v>0</v>
      </c>
      <c r="L14" s="11" t="n">
        <f aca="false">IF($B14="",0,SUMIFS(tblAuftraege[Einnahmen],tblAuftraege[Datum Einnahmen],"&gt;="&amp;L$5,tblAuftraege[Datum Einnahmen],"&lt;"&amp;EDATE(L$5,1),tblAuftraege[Kostenstelle],$B14))</f>
        <v>0</v>
      </c>
      <c r="M14" s="11" t="n">
        <f aca="false">IF($B14="",0,SUMIFS(tblAuftraege[Einnahmen],tblAuftraege[Datum Einnahmen],"&gt;="&amp;M$5,tblAuftraege[Datum Einnahmen],"&lt;"&amp;EDATE(M$5,1),tblAuftraege[Kostenstelle],$B14))</f>
        <v>0</v>
      </c>
      <c r="N14" s="11" t="n">
        <f aca="false">IF($B14="",0,SUMIFS(tblAuftraege[Einnahmen],tblAuftraege[Datum Einnahmen],"&gt;="&amp;N$5,tblAuftraege[Datum Einnahmen],"&lt;"&amp;EDATE(N$5,1),tblAuftraege[Kostenstelle],$B14))</f>
        <v>0</v>
      </c>
      <c r="O14" s="11" t="n">
        <f aca="false">IF($B14="",0,SUMIFS(tblAuftraege[Einnahmen],tblAuftraege[Datum Einnahmen],"&gt;="&amp;O$5,tblAuftraege[Datum Einnahmen],"&lt;"&amp;EDATE(O$5,1),tblAuftraege[Kostenstelle],$B14))</f>
        <v>0</v>
      </c>
      <c r="P14" s="11" t="n">
        <f aca="false">IF($B14="",0,SUMIFS(tblAuftraege[Einnahmen],tblAuftraege[Datum Einnahmen],"&gt;="&amp;P$5,tblAuftraege[Datum Einnahmen],"&lt;"&amp;EDATE(P$5,1),tblAuftraege[Kostenstelle],$B14))</f>
        <v>0</v>
      </c>
      <c r="Q14" s="11" t="n">
        <f aca="false">IF($B14="",0,SUMIFS(tblAuftraege[Einnahmen],tblAuftraege[Datum Einnahmen],"&gt;="&amp;Q$5,tblAuftraege[Datum Einnahmen],"&lt;"&amp;EDATE(Q$5,1),tblAuftraege[Kostenstelle],$B14))</f>
        <v>0</v>
      </c>
      <c r="R14" s="11" t="n">
        <f aca="false">IF($B14="",0,SUMIFS(tblAuftraege[Einnahmen],tblAuftraege[Datum Einnahmen],"&gt;="&amp;R$5,tblAuftraege[Datum Einnahmen],"&lt;"&amp;EDATE(R$5,1),tblAuftraege[Kostenstelle],$B14))</f>
        <v>0</v>
      </c>
      <c r="S14" s="11" t="n">
        <f aca="false">IF($B14="",0,SUMIFS(tblAuftraege[Einnahmen],tblAuftraege[Datum Einnahmen],"&gt;="&amp;S$5,tblAuftraege[Datum Einnahmen],"&lt;"&amp;EDATE(S$5,1),tblAuftraege[Kostenstelle],$B14))</f>
        <v>0</v>
      </c>
      <c r="T14" s="11" t="n">
        <f aca="false">IF($B14="",0,SUMIFS(tblAuftraege[Einnahmen],tblAuftraege[Datum Einnahmen],"&gt;="&amp;T$5,tblAuftraege[Datum Einnahmen],"&lt;"&amp;EDATE(T$5,1),tblAuftraege[Kostenstelle],$B14))</f>
        <v>0</v>
      </c>
      <c r="U14" s="11" t="n">
        <f aca="false">SUM(C14:H14)</f>
        <v>0</v>
      </c>
      <c r="V14" s="11" t="n">
        <f aca="false">SUM(I14:T14)</f>
        <v>0</v>
      </c>
      <c r="W14" s="12" t="n">
        <f aca="false">SUM(C14:T14)</f>
        <v>0</v>
      </c>
    </row>
    <row r="15" customFormat="false" ht="15" hidden="false" customHeight="false" outlineLevel="0" collapsed="false">
      <c r="A15" s="9" t="s">
        <v>35</v>
      </c>
      <c r="B15" s="10"/>
      <c r="C15" s="11" t="n">
        <f aca="false">IF($B15="",0,SUMIFS(tblAuftraege[Einnahmen],tblAuftraege[Datum Einnahmen],"&gt;="&amp;C$5,tblAuftraege[Datum Einnahmen],"&lt;"&amp;EDATE(C$5,1),tblAuftraege[Kostenstelle],$B15))</f>
        <v>0</v>
      </c>
      <c r="D15" s="11" t="n">
        <f aca="false">IF($B15="",0,SUMIFS(tblAuftraege[Einnahmen],tblAuftraege[Datum Einnahmen],"&gt;="&amp;D$5,tblAuftraege[Datum Einnahmen],"&lt;"&amp;EDATE(D$5,1),tblAuftraege[Kostenstelle],$B15))</f>
        <v>0</v>
      </c>
      <c r="E15" s="11" t="n">
        <f aca="false">IF($B15="",0,SUMIFS(tblAuftraege[Einnahmen],tblAuftraege[Datum Einnahmen],"&gt;="&amp;E$5,tblAuftraege[Datum Einnahmen],"&lt;"&amp;EDATE(E$5,1),tblAuftraege[Kostenstelle],$B15))</f>
        <v>0</v>
      </c>
      <c r="F15" s="11" t="n">
        <f aca="false">IF($B15="",0,SUMIFS(tblAuftraege[Einnahmen],tblAuftraege[Datum Einnahmen],"&gt;="&amp;F$5,tblAuftraege[Datum Einnahmen],"&lt;"&amp;EDATE(F$5,1),tblAuftraege[Kostenstelle],$B15))</f>
        <v>0</v>
      </c>
      <c r="G15" s="11" t="n">
        <f aca="false">IF($B15="",0,SUMIFS(tblAuftraege[Einnahmen],tblAuftraege[Datum Einnahmen],"&gt;="&amp;G$5,tblAuftraege[Datum Einnahmen],"&lt;"&amp;EDATE(G$5,1),tblAuftraege[Kostenstelle],$B15))</f>
        <v>0</v>
      </c>
      <c r="H15" s="11" t="n">
        <f aca="false">IF($B15="",0,SUMIFS(tblAuftraege[Einnahmen],tblAuftraege[Datum Einnahmen],"&gt;="&amp;H$5,tblAuftraege[Datum Einnahmen],"&lt;"&amp;EDATE(H$5,1),tblAuftraege[Kostenstelle],$B15))</f>
        <v>0</v>
      </c>
      <c r="I15" s="11" t="n">
        <f aca="false">IF($B15="",0,SUMIFS(tblAuftraege[Einnahmen],tblAuftraege[Datum Einnahmen],"&gt;="&amp;I$5,tblAuftraege[Datum Einnahmen],"&lt;"&amp;EDATE(I$5,1),tblAuftraege[Kostenstelle],$B15))</f>
        <v>0</v>
      </c>
      <c r="J15" s="11" t="n">
        <f aca="false">IF($B15="",0,SUMIFS(tblAuftraege[Einnahmen],tblAuftraege[Datum Einnahmen],"&gt;="&amp;J$5,tblAuftraege[Datum Einnahmen],"&lt;"&amp;EDATE(J$5,1),tblAuftraege[Kostenstelle],$B15))</f>
        <v>0</v>
      </c>
      <c r="K15" s="11" t="n">
        <f aca="false">IF($B15="",0,SUMIFS(tblAuftraege[Einnahmen],tblAuftraege[Datum Einnahmen],"&gt;="&amp;K$5,tblAuftraege[Datum Einnahmen],"&lt;"&amp;EDATE(K$5,1),tblAuftraege[Kostenstelle],$B15))</f>
        <v>0</v>
      </c>
      <c r="L15" s="11" t="n">
        <f aca="false">IF($B15="",0,SUMIFS(tblAuftraege[Einnahmen],tblAuftraege[Datum Einnahmen],"&gt;="&amp;L$5,tblAuftraege[Datum Einnahmen],"&lt;"&amp;EDATE(L$5,1),tblAuftraege[Kostenstelle],$B15))</f>
        <v>0</v>
      </c>
      <c r="M15" s="11" t="n">
        <f aca="false">IF($B15="",0,SUMIFS(tblAuftraege[Einnahmen],tblAuftraege[Datum Einnahmen],"&gt;="&amp;M$5,tblAuftraege[Datum Einnahmen],"&lt;"&amp;EDATE(M$5,1),tblAuftraege[Kostenstelle],$B15))</f>
        <v>0</v>
      </c>
      <c r="N15" s="11" t="n">
        <f aca="false">IF($B15="",0,SUMIFS(tblAuftraege[Einnahmen],tblAuftraege[Datum Einnahmen],"&gt;="&amp;N$5,tblAuftraege[Datum Einnahmen],"&lt;"&amp;EDATE(N$5,1),tblAuftraege[Kostenstelle],$B15))</f>
        <v>0</v>
      </c>
      <c r="O15" s="11" t="n">
        <f aca="false">IF($B15="",0,SUMIFS(tblAuftraege[Einnahmen],tblAuftraege[Datum Einnahmen],"&gt;="&amp;O$5,tblAuftraege[Datum Einnahmen],"&lt;"&amp;EDATE(O$5,1),tblAuftraege[Kostenstelle],$B15))</f>
        <v>0</v>
      </c>
      <c r="P15" s="11" t="n">
        <f aca="false">IF($B15="",0,SUMIFS(tblAuftraege[Einnahmen],tblAuftraege[Datum Einnahmen],"&gt;="&amp;P$5,tblAuftraege[Datum Einnahmen],"&lt;"&amp;EDATE(P$5,1),tblAuftraege[Kostenstelle],$B15))</f>
        <v>0</v>
      </c>
      <c r="Q15" s="11" t="n">
        <f aca="false">IF($B15="",0,SUMIFS(tblAuftraege[Einnahmen],tblAuftraege[Datum Einnahmen],"&gt;="&amp;Q$5,tblAuftraege[Datum Einnahmen],"&lt;"&amp;EDATE(Q$5,1),tblAuftraege[Kostenstelle],$B15))</f>
        <v>0</v>
      </c>
      <c r="R15" s="11" t="n">
        <f aca="false">IF($B15="",0,SUMIFS(tblAuftraege[Einnahmen],tblAuftraege[Datum Einnahmen],"&gt;="&amp;R$5,tblAuftraege[Datum Einnahmen],"&lt;"&amp;EDATE(R$5,1),tblAuftraege[Kostenstelle],$B15))</f>
        <v>0</v>
      </c>
      <c r="S15" s="11" t="n">
        <f aca="false">IF($B15="",0,SUMIFS(tblAuftraege[Einnahmen],tblAuftraege[Datum Einnahmen],"&gt;="&amp;S$5,tblAuftraege[Datum Einnahmen],"&lt;"&amp;EDATE(S$5,1),tblAuftraege[Kostenstelle],$B15))</f>
        <v>0</v>
      </c>
      <c r="T15" s="11" t="n">
        <f aca="false">IF($B15="",0,SUMIFS(tblAuftraege[Einnahmen],tblAuftraege[Datum Einnahmen],"&gt;="&amp;T$5,tblAuftraege[Datum Einnahmen],"&lt;"&amp;EDATE(T$5,1),tblAuftraege[Kostenstelle],$B15))</f>
        <v>0</v>
      </c>
      <c r="U15" s="11" t="n">
        <f aca="false">SUM(C15:H15)</f>
        <v>0</v>
      </c>
      <c r="V15" s="11" t="n">
        <f aca="false">SUM(I15:T15)</f>
        <v>0</v>
      </c>
      <c r="W15" s="12" t="n">
        <f aca="false">SUM(C15:T15)</f>
        <v>0</v>
      </c>
    </row>
    <row r="16" customFormat="false" ht="15" hidden="false" customHeight="false" outlineLevel="0" collapsed="false">
      <c r="A16" s="9" t="s">
        <v>36</v>
      </c>
      <c r="B16" s="10"/>
      <c r="C16" s="11" t="n">
        <f aca="false">IF($B16="",0,SUMIFS(tblAuftraege[Einnahmen],tblAuftraege[Datum Einnahmen],"&gt;="&amp;C$5,tblAuftraege[Datum Einnahmen],"&lt;"&amp;EDATE(C$5,1),tblAuftraege[Kostenstelle],$B16))</f>
        <v>0</v>
      </c>
      <c r="D16" s="11" t="n">
        <f aca="false">IF($B16="",0,SUMIFS(tblAuftraege[Einnahmen],tblAuftraege[Datum Einnahmen],"&gt;="&amp;D$5,tblAuftraege[Datum Einnahmen],"&lt;"&amp;EDATE(D$5,1),tblAuftraege[Kostenstelle],$B16))</f>
        <v>0</v>
      </c>
      <c r="E16" s="11" t="n">
        <f aca="false">IF($B16="",0,SUMIFS(tblAuftraege[Einnahmen],tblAuftraege[Datum Einnahmen],"&gt;="&amp;E$5,tblAuftraege[Datum Einnahmen],"&lt;"&amp;EDATE(E$5,1),tblAuftraege[Kostenstelle],$B16))</f>
        <v>0</v>
      </c>
      <c r="F16" s="11" t="n">
        <f aca="false">IF($B16="",0,SUMIFS(tblAuftraege[Einnahmen],tblAuftraege[Datum Einnahmen],"&gt;="&amp;F$5,tblAuftraege[Datum Einnahmen],"&lt;"&amp;EDATE(F$5,1),tblAuftraege[Kostenstelle],$B16))</f>
        <v>0</v>
      </c>
      <c r="G16" s="11" t="n">
        <f aca="false">IF($B16="",0,SUMIFS(tblAuftraege[Einnahmen],tblAuftraege[Datum Einnahmen],"&gt;="&amp;G$5,tblAuftraege[Datum Einnahmen],"&lt;"&amp;EDATE(G$5,1),tblAuftraege[Kostenstelle],$B16))</f>
        <v>0</v>
      </c>
      <c r="H16" s="11" t="n">
        <f aca="false">IF($B16="",0,SUMIFS(tblAuftraege[Einnahmen],tblAuftraege[Datum Einnahmen],"&gt;="&amp;H$5,tblAuftraege[Datum Einnahmen],"&lt;"&amp;EDATE(H$5,1),tblAuftraege[Kostenstelle],$B16))</f>
        <v>0</v>
      </c>
      <c r="I16" s="11" t="n">
        <f aca="false">IF($B16="",0,SUMIFS(tblAuftraege[Einnahmen],tblAuftraege[Datum Einnahmen],"&gt;="&amp;I$5,tblAuftraege[Datum Einnahmen],"&lt;"&amp;EDATE(I$5,1),tblAuftraege[Kostenstelle],$B16))</f>
        <v>0</v>
      </c>
      <c r="J16" s="11" t="n">
        <f aca="false">IF($B16="",0,SUMIFS(tblAuftraege[Einnahmen],tblAuftraege[Datum Einnahmen],"&gt;="&amp;J$5,tblAuftraege[Datum Einnahmen],"&lt;"&amp;EDATE(J$5,1),tblAuftraege[Kostenstelle],$B16))</f>
        <v>0</v>
      </c>
      <c r="K16" s="11" t="n">
        <f aca="false">IF($B16="",0,SUMIFS(tblAuftraege[Einnahmen],tblAuftraege[Datum Einnahmen],"&gt;="&amp;K$5,tblAuftraege[Datum Einnahmen],"&lt;"&amp;EDATE(K$5,1),tblAuftraege[Kostenstelle],$B16))</f>
        <v>0</v>
      </c>
      <c r="L16" s="11" t="n">
        <f aca="false">IF($B16="",0,SUMIFS(tblAuftraege[Einnahmen],tblAuftraege[Datum Einnahmen],"&gt;="&amp;L$5,tblAuftraege[Datum Einnahmen],"&lt;"&amp;EDATE(L$5,1),tblAuftraege[Kostenstelle],$B16))</f>
        <v>0</v>
      </c>
      <c r="M16" s="11" t="n">
        <f aca="false">IF($B16="",0,SUMIFS(tblAuftraege[Einnahmen],tblAuftraege[Datum Einnahmen],"&gt;="&amp;M$5,tblAuftraege[Datum Einnahmen],"&lt;"&amp;EDATE(M$5,1),tblAuftraege[Kostenstelle],$B16))</f>
        <v>0</v>
      </c>
      <c r="N16" s="11" t="n">
        <f aca="false">IF($B16="",0,SUMIFS(tblAuftraege[Einnahmen],tblAuftraege[Datum Einnahmen],"&gt;="&amp;N$5,tblAuftraege[Datum Einnahmen],"&lt;"&amp;EDATE(N$5,1),tblAuftraege[Kostenstelle],$B16))</f>
        <v>0</v>
      </c>
      <c r="O16" s="11" t="n">
        <f aca="false">IF($B16="",0,SUMIFS(tblAuftraege[Einnahmen],tblAuftraege[Datum Einnahmen],"&gt;="&amp;O$5,tblAuftraege[Datum Einnahmen],"&lt;"&amp;EDATE(O$5,1),tblAuftraege[Kostenstelle],$B16))</f>
        <v>0</v>
      </c>
      <c r="P16" s="11" t="n">
        <f aca="false">IF($B16="",0,SUMIFS(tblAuftraege[Einnahmen],tblAuftraege[Datum Einnahmen],"&gt;="&amp;P$5,tblAuftraege[Datum Einnahmen],"&lt;"&amp;EDATE(P$5,1),tblAuftraege[Kostenstelle],$B16))</f>
        <v>0</v>
      </c>
      <c r="Q16" s="11" t="n">
        <f aca="false">IF($B16="",0,SUMIFS(tblAuftraege[Einnahmen],tblAuftraege[Datum Einnahmen],"&gt;="&amp;Q$5,tblAuftraege[Datum Einnahmen],"&lt;"&amp;EDATE(Q$5,1),tblAuftraege[Kostenstelle],$B16))</f>
        <v>0</v>
      </c>
      <c r="R16" s="11" t="n">
        <f aca="false">IF($B16="",0,SUMIFS(tblAuftraege[Einnahmen],tblAuftraege[Datum Einnahmen],"&gt;="&amp;R$5,tblAuftraege[Datum Einnahmen],"&lt;"&amp;EDATE(R$5,1),tblAuftraege[Kostenstelle],$B16))</f>
        <v>0</v>
      </c>
      <c r="S16" s="11" t="n">
        <f aca="false">IF($B16="",0,SUMIFS(tblAuftraege[Einnahmen],tblAuftraege[Datum Einnahmen],"&gt;="&amp;S$5,tblAuftraege[Datum Einnahmen],"&lt;"&amp;EDATE(S$5,1),tblAuftraege[Kostenstelle],$B16))</f>
        <v>0</v>
      </c>
      <c r="T16" s="11" t="n">
        <f aca="false">IF($B16="",0,SUMIFS(tblAuftraege[Einnahmen],tblAuftraege[Datum Einnahmen],"&gt;="&amp;T$5,tblAuftraege[Datum Einnahmen],"&lt;"&amp;EDATE(T$5,1),tblAuftraege[Kostenstelle],$B16))</f>
        <v>0</v>
      </c>
      <c r="U16" s="11" t="n">
        <f aca="false">SUM(C16:H16)</f>
        <v>0</v>
      </c>
      <c r="V16" s="11" t="n">
        <f aca="false">SUM(I16:T16)</f>
        <v>0</v>
      </c>
      <c r="W16" s="12" t="n">
        <f aca="false">SUM(C16:T16)</f>
        <v>0</v>
      </c>
    </row>
    <row r="17" customFormat="false" ht="15" hidden="false" customHeight="false" outlineLevel="0" collapsed="false">
      <c r="A17" s="9"/>
      <c r="B17" s="10"/>
      <c r="C17" s="11" t="n">
        <f aca="false">IF($B17="",0,SUMIFS(tblAuftraege[Einnahmen],tblAuftraege[Datum Einnahmen],"&gt;="&amp;C$5,tblAuftraege[Datum Einnahmen],"&lt;"&amp;EDATE(C$5,1),tblAuftraege[Kostenstelle],$B17))</f>
        <v>0</v>
      </c>
      <c r="D17" s="11" t="n">
        <f aca="false">IF($B17="",0,SUMIFS(tblAuftraege[Einnahmen],tblAuftraege[Datum Einnahmen],"&gt;="&amp;D$5,tblAuftraege[Datum Einnahmen],"&lt;"&amp;EDATE(D$5,1),tblAuftraege[Kostenstelle],$B17))</f>
        <v>0</v>
      </c>
      <c r="E17" s="11" t="n">
        <f aca="false">IF($B17="",0,SUMIFS(tblAuftraege[Einnahmen],tblAuftraege[Datum Einnahmen],"&gt;="&amp;E$5,tblAuftraege[Datum Einnahmen],"&lt;"&amp;EDATE(E$5,1),tblAuftraege[Kostenstelle],$B17))</f>
        <v>0</v>
      </c>
      <c r="F17" s="11" t="n">
        <f aca="false">IF($B17="",0,SUMIFS(tblAuftraege[Einnahmen],tblAuftraege[Datum Einnahmen],"&gt;="&amp;F$5,tblAuftraege[Datum Einnahmen],"&lt;"&amp;EDATE(F$5,1),tblAuftraege[Kostenstelle],$B17))</f>
        <v>0</v>
      </c>
      <c r="G17" s="11" t="n">
        <f aca="false">IF($B17="",0,SUMIFS(tblAuftraege[Einnahmen],tblAuftraege[Datum Einnahmen],"&gt;="&amp;G$5,tblAuftraege[Datum Einnahmen],"&lt;"&amp;EDATE(G$5,1),tblAuftraege[Kostenstelle],$B17))</f>
        <v>0</v>
      </c>
      <c r="H17" s="11" t="n">
        <f aca="false">IF($B17="",0,SUMIFS(tblAuftraege[Einnahmen],tblAuftraege[Datum Einnahmen],"&gt;="&amp;H$5,tblAuftraege[Datum Einnahmen],"&lt;"&amp;EDATE(H$5,1),tblAuftraege[Kostenstelle],$B17))</f>
        <v>0</v>
      </c>
      <c r="I17" s="11" t="n">
        <f aca="false">IF($B17="",0,SUMIFS(tblAuftraege[Einnahmen],tblAuftraege[Datum Einnahmen],"&gt;="&amp;I$5,tblAuftraege[Datum Einnahmen],"&lt;"&amp;EDATE(I$5,1),tblAuftraege[Kostenstelle],$B17))</f>
        <v>0</v>
      </c>
      <c r="J17" s="11" t="n">
        <f aca="false">IF($B17="",0,SUMIFS(tblAuftraege[Einnahmen],tblAuftraege[Datum Einnahmen],"&gt;="&amp;J$5,tblAuftraege[Datum Einnahmen],"&lt;"&amp;EDATE(J$5,1),tblAuftraege[Kostenstelle],$B17))</f>
        <v>0</v>
      </c>
      <c r="K17" s="11" t="n">
        <f aca="false">IF($B17="",0,SUMIFS(tblAuftraege[Einnahmen],tblAuftraege[Datum Einnahmen],"&gt;="&amp;K$5,tblAuftraege[Datum Einnahmen],"&lt;"&amp;EDATE(K$5,1),tblAuftraege[Kostenstelle],$B17))</f>
        <v>0</v>
      </c>
      <c r="L17" s="11" t="n">
        <f aca="false">IF($B17="",0,SUMIFS(tblAuftraege[Einnahmen],tblAuftraege[Datum Einnahmen],"&gt;="&amp;L$5,tblAuftraege[Datum Einnahmen],"&lt;"&amp;EDATE(L$5,1),tblAuftraege[Kostenstelle],$B17))</f>
        <v>0</v>
      </c>
      <c r="M17" s="11" t="n">
        <f aca="false">IF($B17="",0,SUMIFS(tblAuftraege[Einnahmen],tblAuftraege[Datum Einnahmen],"&gt;="&amp;M$5,tblAuftraege[Datum Einnahmen],"&lt;"&amp;EDATE(M$5,1),tblAuftraege[Kostenstelle],$B17))</f>
        <v>0</v>
      </c>
      <c r="N17" s="11" t="n">
        <f aca="false">IF($B17="",0,SUMIFS(tblAuftraege[Einnahmen],tblAuftraege[Datum Einnahmen],"&gt;="&amp;N$5,tblAuftraege[Datum Einnahmen],"&lt;"&amp;EDATE(N$5,1),tblAuftraege[Kostenstelle],$B17))</f>
        <v>0</v>
      </c>
      <c r="O17" s="11" t="n">
        <f aca="false">IF($B17="",0,SUMIFS(tblAuftraege[Einnahmen],tblAuftraege[Datum Einnahmen],"&gt;="&amp;O$5,tblAuftraege[Datum Einnahmen],"&lt;"&amp;EDATE(O$5,1),tblAuftraege[Kostenstelle],$B17))</f>
        <v>0</v>
      </c>
      <c r="P17" s="11" t="n">
        <f aca="false">IF($B17="",0,SUMIFS(tblAuftraege[Einnahmen],tblAuftraege[Datum Einnahmen],"&gt;="&amp;P$5,tblAuftraege[Datum Einnahmen],"&lt;"&amp;EDATE(P$5,1),tblAuftraege[Kostenstelle],$B17))</f>
        <v>0</v>
      </c>
      <c r="Q17" s="11" t="n">
        <f aca="false">IF($B17="",0,SUMIFS(tblAuftraege[Einnahmen],tblAuftraege[Datum Einnahmen],"&gt;="&amp;Q$5,tblAuftraege[Datum Einnahmen],"&lt;"&amp;EDATE(Q$5,1),tblAuftraege[Kostenstelle],$B17))</f>
        <v>0</v>
      </c>
      <c r="R17" s="11" t="n">
        <f aca="false">IF($B17="",0,SUMIFS(tblAuftraege[Einnahmen],tblAuftraege[Datum Einnahmen],"&gt;="&amp;R$5,tblAuftraege[Datum Einnahmen],"&lt;"&amp;EDATE(R$5,1),tblAuftraege[Kostenstelle],$B17))</f>
        <v>0</v>
      </c>
      <c r="S17" s="11" t="n">
        <f aca="false">IF($B17="",0,SUMIFS(tblAuftraege[Einnahmen],tblAuftraege[Datum Einnahmen],"&gt;="&amp;S$5,tblAuftraege[Datum Einnahmen],"&lt;"&amp;EDATE(S$5,1),tblAuftraege[Kostenstelle],$B17))</f>
        <v>0</v>
      </c>
      <c r="T17" s="11" t="n">
        <f aca="false">IF($B17="",0,SUMIFS(tblAuftraege[Einnahmen],tblAuftraege[Datum Einnahmen],"&gt;="&amp;T$5,tblAuftraege[Datum Einnahmen],"&lt;"&amp;EDATE(T$5,1),tblAuftraege[Kostenstelle],$B17))</f>
        <v>0</v>
      </c>
      <c r="U17" s="11" t="n">
        <f aca="false">SUM(C17:H17)</f>
        <v>0</v>
      </c>
      <c r="V17" s="11" t="n">
        <f aca="false">SUM(I17:T17)</f>
        <v>0</v>
      </c>
      <c r="W17" s="12" t="n">
        <f aca="false">SUM(C17:T17)</f>
        <v>0</v>
      </c>
    </row>
    <row r="18" customFormat="false" ht="15" hidden="false" customHeight="false" outlineLevel="0" collapsed="false">
      <c r="A18" s="9"/>
      <c r="B18" s="10"/>
      <c r="C18" s="11" t="n">
        <f aca="false">IF($B18="",0,SUMIFS(tblAuftraege[Einnahmen],tblAuftraege[Datum Einnahmen],"&gt;="&amp;C$5,tblAuftraege[Datum Einnahmen],"&lt;"&amp;EDATE(C$5,1),tblAuftraege[Kostenstelle],$B18))</f>
        <v>0</v>
      </c>
      <c r="D18" s="11" t="n">
        <f aca="false">IF($B18="",0,SUMIFS(tblAuftraege[Einnahmen],tblAuftraege[Datum Einnahmen],"&gt;="&amp;D$5,tblAuftraege[Datum Einnahmen],"&lt;"&amp;EDATE(D$5,1),tblAuftraege[Kostenstelle],$B18))</f>
        <v>0</v>
      </c>
      <c r="E18" s="11" t="n">
        <f aca="false">IF($B18="",0,SUMIFS(tblAuftraege[Einnahmen],tblAuftraege[Datum Einnahmen],"&gt;="&amp;E$5,tblAuftraege[Datum Einnahmen],"&lt;"&amp;EDATE(E$5,1),tblAuftraege[Kostenstelle],$B18))</f>
        <v>0</v>
      </c>
      <c r="F18" s="11" t="n">
        <f aca="false">IF($B18="",0,SUMIFS(tblAuftraege[Einnahmen],tblAuftraege[Datum Einnahmen],"&gt;="&amp;F$5,tblAuftraege[Datum Einnahmen],"&lt;"&amp;EDATE(F$5,1),tblAuftraege[Kostenstelle],$B18))</f>
        <v>0</v>
      </c>
      <c r="G18" s="11" t="n">
        <f aca="false">IF($B18="",0,SUMIFS(tblAuftraege[Einnahmen],tblAuftraege[Datum Einnahmen],"&gt;="&amp;G$5,tblAuftraege[Datum Einnahmen],"&lt;"&amp;EDATE(G$5,1),tblAuftraege[Kostenstelle],$B18))</f>
        <v>0</v>
      </c>
      <c r="H18" s="11" t="n">
        <f aca="false">IF($B18="",0,SUMIFS(tblAuftraege[Einnahmen],tblAuftraege[Datum Einnahmen],"&gt;="&amp;H$5,tblAuftraege[Datum Einnahmen],"&lt;"&amp;EDATE(H$5,1),tblAuftraege[Kostenstelle],$B18))</f>
        <v>0</v>
      </c>
      <c r="I18" s="11" t="n">
        <f aca="false">IF($B18="",0,SUMIFS(tblAuftraege[Einnahmen],tblAuftraege[Datum Einnahmen],"&gt;="&amp;I$5,tblAuftraege[Datum Einnahmen],"&lt;"&amp;EDATE(I$5,1),tblAuftraege[Kostenstelle],$B18))</f>
        <v>0</v>
      </c>
      <c r="J18" s="11" t="n">
        <f aca="false">IF($B18="",0,SUMIFS(tblAuftraege[Einnahmen],tblAuftraege[Datum Einnahmen],"&gt;="&amp;J$5,tblAuftraege[Datum Einnahmen],"&lt;"&amp;EDATE(J$5,1),tblAuftraege[Kostenstelle],$B18))</f>
        <v>0</v>
      </c>
      <c r="K18" s="11" t="n">
        <f aca="false">IF($B18="",0,SUMIFS(tblAuftraege[Einnahmen],tblAuftraege[Datum Einnahmen],"&gt;="&amp;K$5,tblAuftraege[Datum Einnahmen],"&lt;"&amp;EDATE(K$5,1),tblAuftraege[Kostenstelle],$B18))</f>
        <v>0</v>
      </c>
      <c r="L18" s="11" t="n">
        <f aca="false">IF($B18="",0,SUMIFS(tblAuftraege[Einnahmen],tblAuftraege[Datum Einnahmen],"&gt;="&amp;L$5,tblAuftraege[Datum Einnahmen],"&lt;"&amp;EDATE(L$5,1),tblAuftraege[Kostenstelle],$B18))</f>
        <v>0</v>
      </c>
      <c r="M18" s="11" t="n">
        <f aca="false">IF($B18="",0,SUMIFS(tblAuftraege[Einnahmen],tblAuftraege[Datum Einnahmen],"&gt;="&amp;M$5,tblAuftraege[Datum Einnahmen],"&lt;"&amp;EDATE(M$5,1),tblAuftraege[Kostenstelle],$B18))</f>
        <v>0</v>
      </c>
      <c r="N18" s="11" t="n">
        <f aca="false">IF($B18="",0,SUMIFS(tblAuftraege[Einnahmen],tblAuftraege[Datum Einnahmen],"&gt;="&amp;N$5,tblAuftraege[Datum Einnahmen],"&lt;"&amp;EDATE(N$5,1),tblAuftraege[Kostenstelle],$B18))</f>
        <v>0</v>
      </c>
      <c r="O18" s="11" t="n">
        <f aca="false">IF($B18="",0,SUMIFS(tblAuftraege[Einnahmen],tblAuftraege[Datum Einnahmen],"&gt;="&amp;O$5,tblAuftraege[Datum Einnahmen],"&lt;"&amp;EDATE(O$5,1),tblAuftraege[Kostenstelle],$B18))</f>
        <v>0</v>
      </c>
      <c r="P18" s="11" t="n">
        <f aca="false">IF($B18="",0,SUMIFS(tblAuftraege[Einnahmen],tblAuftraege[Datum Einnahmen],"&gt;="&amp;P$5,tblAuftraege[Datum Einnahmen],"&lt;"&amp;EDATE(P$5,1),tblAuftraege[Kostenstelle],$B18))</f>
        <v>0</v>
      </c>
      <c r="Q18" s="11" t="n">
        <f aca="false">IF($B18="",0,SUMIFS(tblAuftraege[Einnahmen],tblAuftraege[Datum Einnahmen],"&gt;="&amp;Q$5,tblAuftraege[Datum Einnahmen],"&lt;"&amp;EDATE(Q$5,1),tblAuftraege[Kostenstelle],$B18))</f>
        <v>0</v>
      </c>
      <c r="R18" s="11" t="n">
        <f aca="false">IF($B18="",0,SUMIFS(tblAuftraege[Einnahmen],tblAuftraege[Datum Einnahmen],"&gt;="&amp;R$5,tblAuftraege[Datum Einnahmen],"&lt;"&amp;EDATE(R$5,1),tblAuftraege[Kostenstelle],$B18))</f>
        <v>0</v>
      </c>
      <c r="S18" s="11" t="n">
        <f aca="false">IF($B18="",0,SUMIFS(tblAuftraege[Einnahmen],tblAuftraege[Datum Einnahmen],"&gt;="&amp;S$5,tblAuftraege[Datum Einnahmen],"&lt;"&amp;EDATE(S$5,1),tblAuftraege[Kostenstelle],$B18))</f>
        <v>0</v>
      </c>
      <c r="T18" s="11" t="n">
        <f aca="false">IF($B18="",0,SUMIFS(tblAuftraege[Einnahmen],tblAuftraege[Datum Einnahmen],"&gt;="&amp;T$5,tblAuftraege[Datum Einnahmen],"&lt;"&amp;EDATE(T$5,1),tblAuftraege[Kostenstelle],$B18))</f>
        <v>0</v>
      </c>
      <c r="U18" s="11" t="n">
        <f aca="false">SUM(C18:H18)</f>
        <v>0</v>
      </c>
      <c r="V18" s="11" t="n">
        <f aca="false">SUM(I18:T18)</f>
        <v>0</v>
      </c>
      <c r="W18" s="12" t="n">
        <f aca="false">SUM(C18:T18)</f>
        <v>0</v>
      </c>
    </row>
    <row r="19" customFormat="false" ht="15" hidden="false" customHeight="false" outlineLevel="0" collapsed="false">
      <c r="A19" s="9"/>
      <c r="B19" s="10"/>
      <c r="C19" s="11" t="n">
        <f aca="false">IF($B19="",0,SUMIFS(tblAuftraege[Einnahmen],tblAuftraege[Datum Einnahmen],"&gt;="&amp;C$5,tblAuftraege[Datum Einnahmen],"&lt;"&amp;EDATE(C$5,1),tblAuftraege[Kostenstelle],$B19))</f>
        <v>0</v>
      </c>
      <c r="D19" s="11" t="n">
        <f aca="false">IF($B19="",0,SUMIFS(tblAuftraege[Einnahmen],tblAuftraege[Datum Einnahmen],"&gt;="&amp;D$5,tblAuftraege[Datum Einnahmen],"&lt;"&amp;EDATE(D$5,1),tblAuftraege[Kostenstelle],$B19))</f>
        <v>0</v>
      </c>
      <c r="E19" s="11" t="n">
        <f aca="false">IF($B19="",0,SUMIFS(tblAuftraege[Einnahmen],tblAuftraege[Datum Einnahmen],"&gt;="&amp;E$5,tblAuftraege[Datum Einnahmen],"&lt;"&amp;EDATE(E$5,1),tblAuftraege[Kostenstelle],$B19))</f>
        <v>0</v>
      </c>
      <c r="F19" s="11" t="n">
        <f aca="false">IF($B19="",0,SUMIFS(tblAuftraege[Einnahmen],tblAuftraege[Datum Einnahmen],"&gt;="&amp;F$5,tblAuftraege[Datum Einnahmen],"&lt;"&amp;EDATE(F$5,1),tblAuftraege[Kostenstelle],$B19))</f>
        <v>0</v>
      </c>
      <c r="G19" s="11" t="n">
        <f aca="false">IF($B19="",0,SUMIFS(tblAuftraege[Einnahmen],tblAuftraege[Datum Einnahmen],"&gt;="&amp;G$5,tblAuftraege[Datum Einnahmen],"&lt;"&amp;EDATE(G$5,1),tblAuftraege[Kostenstelle],$B19))</f>
        <v>0</v>
      </c>
      <c r="H19" s="11" t="n">
        <f aca="false">IF($B19="",0,SUMIFS(tblAuftraege[Einnahmen],tblAuftraege[Datum Einnahmen],"&gt;="&amp;H$5,tblAuftraege[Datum Einnahmen],"&lt;"&amp;EDATE(H$5,1),tblAuftraege[Kostenstelle],$B19))</f>
        <v>0</v>
      </c>
      <c r="I19" s="11" t="n">
        <f aca="false">IF($B19="",0,SUMIFS(tblAuftraege[Einnahmen],tblAuftraege[Datum Einnahmen],"&gt;="&amp;I$5,tblAuftraege[Datum Einnahmen],"&lt;"&amp;EDATE(I$5,1),tblAuftraege[Kostenstelle],$B19))</f>
        <v>0</v>
      </c>
      <c r="J19" s="11" t="n">
        <f aca="false">IF($B19="",0,SUMIFS(tblAuftraege[Einnahmen],tblAuftraege[Datum Einnahmen],"&gt;="&amp;J$5,tblAuftraege[Datum Einnahmen],"&lt;"&amp;EDATE(J$5,1),tblAuftraege[Kostenstelle],$B19))</f>
        <v>0</v>
      </c>
      <c r="K19" s="11" t="n">
        <f aca="false">IF($B19="",0,SUMIFS(tblAuftraege[Einnahmen],tblAuftraege[Datum Einnahmen],"&gt;="&amp;K$5,tblAuftraege[Datum Einnahmen],"&lt;"&amp;EDATE(K$5,1),tblAuftraege[Kostenstelle],$B19))</f>
        <v>0</v>
      </c>
      <c r="L19" s="11" t="n">
        <f aca="false">IF($B19="",0,SUMIFS(tblAuftraege[Einnahmen],tblAuftraege[Datum Einnahmen],"&gt;="&amp;L$5,tblAuftraege[Datum Einnahmen],"&lt;"&amp;EDATE(L$5,1),tblAuftraege[Kostenstelle],$B19))</f>
        <v>0</v>
      </c>
      <c r="M19" s="11" t="n">
        <f aca="false">IF($B19="",0,SUMIFS(tblAuftraege[Einnahmen],tblAuftraege[Datum Einnahmen],"&gt;="&amp;M$5,tblAuftraege[Datum Einnahmen],"&lt;"&amp;EDATE(M$5,1),tblAuftraege[Kostenstelle],$B19))</f>
        <v>0</v>
      </c>
      <c r="N19" s="11" t="n">
        <f aca="false">IF($B19="",0,SUMIFS(tblAuftraege[Einnahmen],tblAuftraege[Datum Einnahmen],"&gt;="&amp;N$5,tblAuftraege[Datum Einnahmen],"&lt;"&amp;EDATE(N$5,1),tblAuftraege[Kostenstelle],$B19))</f>
        <v>0</v>
      </c>
      <c r="O19" s="11" t="n">
        <f aca="false">IF($B19="",0,SUMIFS(tblAuftraege[Einnahmen],tblAuftraege[Datum Einnahmen],"&gt;="&amp;O$5,tblAuftraege[Datum Einnahmen],"&lt;"&amp;EDATE(O$5,1),tblAuftraege[Kostenstelle],$B19))</f>
        <v>0</v>
      </c>
      <c r="P19" s="11" t="n">
        <f aca="false">IF($B19="",0,SUMIFS(tblAuftraege[Einnahmen],tblAuftraege[Datum Einnahmen],"&gt;="&amp;P$5,tblAuftraege[Datum Einnahmen],"&lt;"&amp;EDATE(P$5,1),tblAuftraege[Kostenstelle],$B19))</f>
        <v>0</v>
      </c>
      <c r="Q19" s="11" t="n">
        <f aca="false">IF($B19="",0,SUMIFS(tblAuftraege[Einnahmen],tblAuftraege[Datum Einnahmen],"&gt;="&amp;Q$5,tblAuftraege[Datum Einnahmen],"&lt;"&amp;EDATE(Q$5,1),tblAuftraege[Kostenstelle],$B19))</f>
        <v>0</v>
      </c>
      <c r="R19" s="11" t="n">
        <f aca="false">IF($B19="",0,SUMIFS(tblAuftraege[Einnahmen],tblAuftraege[Datum Einnahmen],"&gt;="&amp;R$5,tblAuftraege[Datum Einnahmen],"&lt;"&amp;EDATE(R$5,1),tblAuftraege[Kostenstelle],$B19))</f>
        <v>0</v>
      </c>
      <c r="S19" s="11" t="n">
        <f aca="false">IF($B19="",0,SUMIFS(tblAuftraege[Einnahmen],tblAuftraege[Datum Einnahmen],"&gt;="&amp;S$5,tblAuftraege[Datum Einnahmen],"&lt;"&amp;EDATE(S$5,1),tblAuftraege[Kostenstelle],$B19))</f>
        <v>0</v>
      </c>
      <c r="T19" s="11" t="n">
        <f aca="false">IF($B19="",0,SUMIFS(tblAuftraege[Einnahmen],tblAuftraege[Datum Einnahmen],"&gt;="&amp;T$5,tblAuftraege[Datum Einnahmen],"&lt;"&amp;EDATE(T$5,1),tblAuftraege[Kostenstelle],$B19))</f>
        <v>0</v>
      </c>
      <c r="U19" s="11" t="n">
        <f aca="false">SUM(C19:H19)</f>
        <v>0</v>
      </c>
      <c r="V19" s="11" t="n">
        <f aca="false">SUM(I19:T19)</f>
        <v>0</v>
      </c>
      <c r="W19" s="12" t="n">
        <f aca="false">SUM(C19:T19)</f>
        <v>0</v>
      </c>
    </row>
    <row r="20" customFormat="false" ht="15" hidden="false" customHeight="false" outlineLevel="0" collapsed="false">
      <c r="A20" s="9"/>
      <c r="B20" s="10"/>
      <c r="C20" s="11" t="n">
        <f aca="false">IF($B20="",0,SUMIFS(tblAuftraege[Einnahmen],tblAuftraege[Datum Einnahmen],"&gt;="&amp;C$5,tblAuftraege[Datum Einnahmen],"&lt;"&amp;EDATE(C$5,1),tblAuftraege[Kostenstelle],$B20))</f>
        <v>0</v>
      </c>
      <c r="D20" s="11" t="n">
        <f aca="false">IF($B20="",0,SUMIFS(tblAuftraege[Einnahmen],tblAuftraege[Datum Einnahmen],"&gt;="&amp;D$5,tblAuftraege[Datum Einnahmen],"&lt;"&amp;EDATE(D$5,1),tblAuftraege[Kostenstelle],$B20))</f>
        <v>0</v>
      </c>
      <c r="E20" s="11" t="n">
        <f aca="false">IF($B20="",0,SUMIFS(tblAuftraege[Einnahmen],tblAuftraege[Datum Einnahmen],"&gt;="&amp;E$5,tblAuftraege[Datum Einnahmen],"&lt;"&amp;EDATE(E$5,1),tblAuftraege[Kostenstelle],$B20))</f>
        <v>0</v>
      </c>
      <c r="F20" s="11" t="n">
        <f aca="false">IF($B20="",0,SUMIFS(tblAuftraege[Einnahmen],tblAuftraege[Datum Einnahmen],"&gt;="&amp;F$5,tblAuftraege[Datum Einnahmen],"&lt;"&amp;EDATE(F$5,1),tblAuftraege[Kostenstelle],$B20))</f>
        <v>0</v>
      </c>
      <c r="G20" s="11" t="n">
        <f aca="false">IF($B20="",0,SUMIFS(tblAuftraege[Einnahmen],tblAuftraege[Datum Einnahmen],"&gt;="&amp;G$5,tblAuftraege[Datum Einnahmen],"&lt;"&amp;EDATE(G$5,1),tblAuftraege[Kostenstelle],$B20))</f>
        <v>0</v>
      </c>
      <c r="H20" s="11" t="n">
        <f aca="false">IF($B20="",0,SUMIFS(tblAuftraege[Einnahmen],tblAuftraege[Datum Einnahmen],"&gt;="&amp;H$5,tblAuftraege[Datum Einnahmen],"&lt;"&amp;EDATE(H$5,1),tblAuftraege[Kostenstelle],$B20))</f>
        <v>0</v>
      </c>
      <c r="I20" s="11" t="n">
        <f aca="false">IF($B20="",0,SUMIFS(tblAuftraege[Einnahmen],tblAuftraege[Datum Einnahmen],"&gt;="&amp;I$5,tblAuftraege[Datum Einnahmen],"&lt;"&amp;EDATE(I$5,1),tblAuftraege[Kostenstelle],$B20))</f>
        <v>0</v>
      </c>
      <c r="J20" s="11" t="n">
        <f aca="false">IF($B20="",0,SUMIFS(tblAuftraege[Einnahmen],tblAuftraege[Datum Einnahmen],"&gt;="&amp;J$5,tblAuftraege[Datum Einnahmen],"&lt;"&amp;EDATE(J$5,1),tblAuftraege[Kostenstelle],$B20))</f>
        <v>0</v>
      </c>
      <c r="K20" s="11" t="n">
        <f aca="false">IF($B20="",0,SUMIFS(tblAuftraege[Einnahmen],tblAuftraege[Datum Einnahmen],"&gt;="&amp;K$5,tblAuftraege[Datum Einnahmen],"&lt;"&amp;EDATE(K$5,1),tblAuftraege[Kostenstelle],$B20))</f>
        <v>0</v>
      </c>
      <c r="L20" s="11" t="n">
        <f aca="false">IF($B20="",0,SUMIFS(tblAuftraege[Einnahmen],tblAuftraege[Datum Einnahmen],"&gt;="&amp;L$5,tblAuftraege[Datum Einnahmen],"&lt;"&amp;EDATE(L$5,1),tblAuftraege[Kostenstelle],$B20))</f>
        <v>0</v>
      </c>
      <c r="M20" s="11" t="n">
        <f aca="false">IF($B20="",0,SUMIFS(tblAuftraege[Einnahmen],tblAuftraege[Datum Einnahmen],"&gt;="&amp;M$5,tblAuftraege[Datum Einnahmen],"&lt;"&amp;EDATE(M$5,1),tblAuftraege[Kostenstelle],$B20))</f>
        <v>0</v>
      </c>
      <c r="N20" s="11" t="n">
        <f aca="false">IF($B20="",0,SUMIFS(tblAuftraege[Einnahmen],tblAuftraege[Datum Einnahmen],"&gt;="&amp;N$5,tblAuftraege[Datum Einnahmen],"&lt;"&amp;EDATE(N$5,1),tblAuftraege[Kostenstelle],$B20))</f>
        <v>0</v>
      </c>
      <c r="O20" s="11" t="n">
        <f aca="false">IF($B20="",0,SUMIFS(tblAuftraege[Einnahmen],tblAuftraege[Datum Einnahmen],"&gt;="&amp;O$5,tblAuftraege[Datum Einnahmen],"&lt;"&amp;EDATE(O$5,1),tblAuftraege[Kostenstelle],$B20))</f>
        <v>0</v>
      </c>
      <c r="P20" s="11" t="n">
        <f aca="false">IF($B20="",0,SUMIFS(tblAuftraege[Einnahmen],tblAuftraege[Datum Einnahmen],"&gt;="&amp;P$5,tblAuftraege[Datum Einnahmen],"&lt;"&amp;EDATE(P$5,1),tblAuftraege[Kostenstelle],$B20))</f>
        <v>0</v>
      </c>
      <c r="Q20" s="11" t="n">
        <f aca="false">IF($B20="",0,SUMIFS(tblAuftraege[Einnahmen],tblAuftraege[Datum Einnahmen],"&gt;="&amp;Q$5,tblAuftraege[Datum Einnahmen],"&lt;"&amp;EDATE(Q$5,1),tblAuftraege[Kostenstelle],$B20))</f>
        <v>0</v>
      </c>
      <c r="R20" s="11" t="n">
        <f aca="false">IF($B20="",0,SUMIFS(tblAuftraege[Einnahmen],tblAuftraege[Datum Einnahmen],"&gt;="&amp;R$5,tblAuftraege[Datum Einnahmen],"&lt;"&amp;EDATE(R$5,1),tblAuftraege[Kostenstelle],$B20))</f>
        <v>0</v>
      </c>
      <c r="S20" s="11" t="n">
        <f aca="false">IF($B20="",0,SUMIFS(tblAuftraege[Einnahmen],tblAuftraege[Datum Einnahmen],"&gt;="&amp;S$5,tblAuftraege[Datum Einnahmen],"&lt;"&amp;EDATE(S$5,1),tblAuftraege[Kostenstelle],$B20))</f>
        <v>0</v>
      </c>
      <c r="T20" s="11" t="n">
        <f aca="false">IF($B20="",0,SUMIFS(tblAuftraege[Einnahmen],tblAuftraege[Datum Einnahmen],"&gt;="&amp;T$5,tblAuftraege[Datum Einnahmen],"&lt;"&amp;EDATE(T$5,1),tblAuftraege[Kostenstelle],$B20))</f>
        <v>0</v>
      </c>
      <c r="U20" s="11" t="n">
        <f aca="false">SUM(C20:H20)</f>
        <v>0</v>
      </c>
      <c r="V20" s="11" t="n">
        <f aca="false">SUM(I20:T20)</f>
        <v>0</v>
      </c>
      <c r="W20" s="12" t="n">
        <f aca="false">SUM(C20:T20)</f>
        <v>0</v>
      </c>
    </row>
    <row r="21" customFormat="false" ht="15" hidden="false" customHeight="false" outlineLevel="0" collapsed="false">
      <c r="A21" s="9"/>
      <c r="B21" s="10"/>
      <c r="C21" s="11" t="n">
        <f aca="false">IF($B21="",0,SUMIFS(tblAuftraege[Einnahmen],tblAuftraege[Datum Einnahmen],"&gt;="&amp;C$5,tblAuftraege[Datum Einnahmen],"&lt;"&amp;EDATE(C$5,1),tblAuftraege[Kostenstelle],$B21))</f>
        <v>0</v>
      </c>
      <c r="D21" s="11" t="n">
        <f aca="false">IF($B21="",0,SUMIFS(tblAuftraege[Einnahmen],tblAuftraege[Datum Einnahmen],"&gt;="&amp;D$5,tblAuftraege[Datum Einnahmen],"&lt;"&amp;EDATE(D$5,1),tblAuftraege[Kostenstelle],$B21))</f>
        <v>0</v>
      </c>
      <c r="E21" s="11" t="n">
        <f aca="false">IF($B21="",0,SUMIFS(tblAuftraege[Einnahmen],tblAuftraege[Datum Einnahmen],"&gt;="&amp;E$5,tblAuftraege[Datum Einnahmen],"&lt;"&amp;EDATE(E$5,1),tblAuftraege[Kostenstelle],$B21))</f>
        <v>0</v>
      </c>
      <c r="F21" s="11" t="n">
        <f aca="false">IF($B21="",0,SUMIFS(tblAuftraege[Einnahmen],tblAuftraege[Datum Einnahmen],"&gt;="&amp;F$5,tblAuftraege[Datum Einnahmen],"&lt;"&amp;EDATE(F$5,1),tblAuftraege[Kostenstelle],$B21))</f>
        <v>0</v>
      </c>
      <c r="G21" s="11" t="n">
        <f aca="false">IF($B21="",0,SUMIFS(tblAuftraege[Einnahmen],tblAuftraege[Datum Einnahmen],"&gt;="&amp;G$5,tblAuftraege[Datum Einnahmen],"&lt;"&amp;EDATE(G$5,1),tblAuftraege[Kostenstelle],$B21))</f>
        <v>0</v>
      </c>
      <c r="H21" s="11" t="n">
        <f aca="false">IF($B21="",0,SUMIFS(tblAuftraege[Einnahmen],tblAuftraege[Datum Einnahmen],"&gt;="&amp;H$5,tblAuftraege[Datum Einnahmen],"&lt;"&amp;EDATE(H$5,1),tblAuftraege[Kostenstelle],$B21))</f>
        <v>0</v>
      </c>
      <c r="I21" s="11" t="n">
        <f aca="false">IF($B21="",0,SUMIFS(tblAuftraege[Einnahmen],tblAuftraege[Datum Einnahmen],"&gt;="&amp;I$5,tblAuftraege[Datum Einnahmen],"&lt;"&amp;EDATE(I$5,1),tblAuftraege[Kostenstelle],$B21))</f>
        <v>0</v>
      </c>
      <c r="J21" s="11" t="n">
        <f aca="false">IF($B21="",0,SUMIFS(tblAuftraege[Einnahmen],tblAuftraege[Datum Einnahmen],"&gt;="&amp;J$5,tblAuftraege[Datum Einnahmen],"&lt;"&amp;EDATE(J$5,1),tblAuftraege[Kostenstelle],$B21))</f>
        <v>0</v>
      </c>
      <c r="K21" s="11" t="n">
        <f aca="false">IF($B21="",0,SUMIFS(tblAuftraege[Einnahmen],tblAuftraege[Datum Einnahmen],"&gt;="&amp;K$5,tblAuftraege[Datum Einnahmen],"&lt;"&amp;EDATE(K$5,1),tblAuftraege[Kostenstelle],$B21))</f>
        <v>0</v>
      </c>
      <c r="L21" s="11" t="n">
        <f aca="false">IF($B21="",0,SUMIFS(tblAuftraege[Einnahmen],tblAuftraege[Datum Einnahmen],"&gt;="&amp;L$5,tblAuftraege[Datum Einnahmen],"&lt;"&amp;EDATE(L$5,1),tblAuftraege[Kostenstelle],$B21))</f>
        <v>0</v>
      </c>
      <c r="M21" s="11" t="n">
        <f aca="false">IF($B21="",0,SUMIFS(tblAuftraege[Einnahmen],tblAuftraege[Datum Einnahmen],"&gt;="&amp;M$5,tblAuftraege[Datum Einnahmen],"&lt;"&amp;EDATE(M$5,1),tblAuftraege[Kostenstelle],$B21))</f>
        <v>0</v>
      </c>
      <c r="N21" s="11" t="n">
        <f aca="false">IF($B21="",0,SUMIFS(tblAuftraege[Einnahmen],tblAuftraege[Datum Einnahmen],"&gt;="&amp;N$5,tblAuftraege[Datum Einnahmen],"&lt;"&amp;EDATE(N$5,1),tblAuftraege[Kostenstelle],$B21))</f>
        <v>0</v>
      </c>
      <c r="O21" s="11" t="n">
        <f aca="false">IF($B21="",0,SUMIFS(tblAuftraege[Einnahmen],tblAuftraege[Datum Einnahmen],"&gt;="&amp;O$5,tblAuftraege[Datum Einnahmen],"&lt;"&amp;EDATE(O$5,1),tblAuftraege[Kostenstelle],$B21))</f>
        <v>0</v>
      </c>
      <c r="P21" s="11" t="n">
        <f aca="false">IF($B21="",0,SUMIFS(tblAuftraege[Einnahmen],tblAuftraege[Datum Einnahmen],"&gt;="&amp;P$5,tblAuftraege[Datum Einnahmen],"&lt;"&amp;EDATE(P$5,1),tblAuftraege[Kostenstelle],$B21))</f>
        <v>0</v>
      </c>
      <c r="Q21" s="11" t="n">
        <f aca="false">IF($B21="",0,SUMIFS(tblAuftraege[Einnahmen],tblAuftraege[Datum Einnahmen],"&gt;="&amp;Q$5,tblAuftraege[Datum Einnahmen],"&lt;"&amp;EDATE(Q$5,1),tblAuftraege[Kostenstelle],$B21))</f>
        <v>0</v>
      </c>
      <c r="R21" s="11" t="n">
        <f aca="false">IF($B21="",0,SUMIFS(tblAuftraege[Einnahmen],tblAuftraege[Datum Einnahmen],"&gt;="&amp;R$5,tblAuftraege[Datum Einnahmen],"&lt;"&amp;EDATE(R$5,1),tblAuftraege[Kostenstelle],$B21))</f>
        <v>0</v>
      </c>
      <c r="S21" s="11" t="n">
        <f aca="false">IF($B21="",0,SUMIFS(tblAuftraege[Einnahmen],tblAuftraege[Datum Einnahmen],"&gt;="&amp;S$5,tblAuftraege[Datum Einnahmen],"&lt;"&amp;EDATE(S$5,1),tblAuftraege[Kostenstelle],$B21))</f>
        <v>0</v>
      </c>
      <c r="T21" s="11" t="n">
        <f aca="false">IF($B21="",0,SUMIFS(tblAuftraege[Einnahmen],tblAuftraege[Datum Einnahmen],"&gt;="&amp;T$5,tblAuftraege[Datum Einnahmen],"&lt;"&amp;EDATE(T$5,1),tblAuftraege[Kostenstelle],$B21))</f>
        <v>0</v>
      </c>
      <c r="U21" s="11" t="n">
        <f aca="false">SUM(C21:H21)</f>
        <v>0</v>
      </c>
      <c r="V21" s="11" t="n">
        <f aca="false">SUM(I21:T21)</f>
        <v>0</v>
      </c>
      <c r="W21" s="12" t="n">
        <f aca="false">SUM(C21:T21)</f>
        <v>0</v>
      </c>
    </row>
    <row r="22" customFormat="false" ht="15" hidden="false" customHeight="false" outlineLevel="0" collapsed="false">
      <c r="A22" s="9"/>
      <c r="B22" s="10"/>
      <c r="C22" s="11" t="n">
        <f aca="false">IF($B22="",0,SUMIFS(tblAuftraege[Einnahmen],tblAuftraege[Datum Einnahmen],"&gt;="&amp;C$5,tblAuftraege[Datum Einnahmen],"&lt;"&amp;EDATE(C$5,1),tblAuftraege[Kostenstelle],$B22))</f>
        <v>0</v>
      </c>
      <c r="D22" s="11" t="n">
        <f aca="false">IF($B22="",0,SUMIFS(tblAuftraege[Einnahmen],tblAuftraege[Datum Einnahmen],"&gt;="&amp;D$5,tblAuftraege[Datum Einnahmen],"&lt;"&amp;EDATE(D$5,1),tblAuftraege[Kostenstelle],$B22))</f>
        <v>0</v>
      </c>
      <c r="E22" s="11" t="n">
        <f aca="false">IF($B22="",0,SUMIFS(tblAuftraege[Einnahmen],tblAuftraege[Datum Einnahmen],"&gt;="&amp;E$5,tblAuftraege[Datum Einnahmen],"&lt;"&amp;EDATE(E$5,1),tblAuftraege[Kostenstelle],$B22))</f>
        <v>0</v>
      </c>
      <c r="F22" s="11" t="n">
        <f aca="false">IF($B22="",0,SUMIFS(tblAuftraege[Einnahmen],tblAuftraege[Datum Einnahmen],"&gt;="&amp;F$5,tblAuftraege[Datum Einnahmen],"&lt;"&amp;EDATE(F$5,1),tblAuftraege[Kostenstelle],$B22))</f>
        <v>0</v>
      </c>
      <c r="G22" s="11" t="n">
        <f aca="false">IF($B22="",0,SUMIFS(tblAuftraege[Einnahmen],tblAuftraege[Datum Einnahmen],"&gt;="&amp;G$5,tblAuftraege[Datum Einnahmen],"&lt;"&amp;EDATE(G$5,1),tblAuftraege[Kostenstelle],$B22))</f>
        <v>0</v>
      </c>
      <c r="H22" s="11" t="n">
        <f aca="false">IF($B22="",0,SUMIFS(tblAuftraege[Einnahmen],tblAuftraege[Datum Einnahmen],"&gt;="&amp;H$5,tblAuftraege[Datum Einnahmen],"&lt;"&amp;EDATE(H$5,1),tblAuftraege[Kostenstelle],$B22))</f>
        <v>0</v>
      </c>
      <c r="I22" s="11" t="n">
        <f aca="false">IF($B22="",0,SUMIFS(tblAuftraege[Einnahmen],tblAuftraege[Datum Einnahmen],"&gt;="&amp;I$5,tblAuftraege[Datum Einnahmen],"&lt;"&amp;EDATE(I$5,1),tblAuftraege[Kostenstelle],$B22))</f>
        <v>0</v>
      </c>
      <c r="J22" s="11" t="n">
        <f aca="false">IF($B22="",0,SUMIFS(tblAuftraege[Einnahmen],tblAuftraege[Datum Einnahmen],"&gt;="&amp;J$5,tblAuftraege[Datum Einnahmen],"&lt;"&amp;EDATE(J$5,1),tblAuftraege[Kostenstelle],$B22))</f>
        <v>0</v>
      </c>
      <c r="K22" s="11" t="n">
        <f aca="false">IF($B22="",0,SUMIFS(tblAuftraege[Einnahmen],tblAuftraege[Datum Einnahmen],"&gt;="&amp;K$5,tblAuftraege[Datum Einnahmen],"&lt;"&amp;EDATE(K$5,1),tblAuftraege[Kostenstelle],$B22))</f>
        <v>0</v>
      </c>
      <c r="L22" s="11" t="n">
        <f aca="false">IF($B22="",0,SUMIFS(tblAuftraege[Einnahmen],tblAuftraege[Datum Einnahmen],"&gt;="&amp;L$5,tblAuftraege[Datum Einnahmen],"&lt;"&amp;EDATE(L$5,1),tblAuftraege[Kostenstelle],$B22))</f>
        <v>0</v>
      </c>
      <c r="M22" s="11" t="n">
        <f aca="false">IF($B22="",0,SUMIFS(tblAuftraege[Einnahmen],tblAuftraege[Datum Einnahmen],"&gt;="&amp;M$5,tblAuftraege[Datum Einnahmen],"&lt;"&amp;EDATE(M$5,1),tblAuftraege[Kostenstelle],$B22))</f>
        <v>0</v>
      </c>
      <c r="N22" s="11" t="n">
        <f aca="false">IF($B22="",0,SUMIFS(tblAuftraege[Einnahmen],tblAuftraege[Datum Einnahmen],"&gt;="&amp;N$5,tblAuftraege[Datum Einnahmen],"&lt;"&amp;EDATE(N$5,1),tblAuftraege[Kostenstelle],$B22))</f>
        <v>0</v>
      </c>
      <c r="O22" s="11" t="n">
        <f aca="false">IF($B22="",0,SUMIFS(tblAuftraege[Einnahmen],tblAuftraege[Datum Einnahmen],"&gt;="&amp;O$5,tblAuftraege[Datum Einnahmen],"&lt;"&amp;EDATE(O$5,1),tblAuftraege[Kostenstelle],$B22))</f>
        <v>0</v>
      </c>
      <c r="P22" s="11" t="n">
        <f aca="false">IF($B22="",0,SUMIFS(tblAuftraege[Einnahmen],tblAuftraege[Datum Einnahmen],"&gt;="&amp;P$5,tblAuftraege[Datum Einnahmen],"&lt;"&amp;EDATE(P$5,1),tblAuftraege[Kostenstelle],$B22))</f>
        <v>0</v>
      </c>
      <c r="Q22" s="11" t="n">
        <f aca="false">IF($B22="",0,SUMIFS(tblAuftraege[Einnahmen],tblAuftraege[Datum Einnahmen],"&gt;="&amp;Q$5,tblAuftraege[Datum Einnahmen],"&lt;"&amp;EDATE(Q$5,1),tblAuftraege[Kostenstelle],$B22))</f>
        <v>0</v>
      </c>
      <c r="R22" s="11" t="n">
        <f aca="false">IF($B22="",0,SUMIFS(tblAuftraege[Einnahmen],tblAuftraege[Datum Einnahmen],"&gt;="&amp;R$5,tblAuftraege[Datum Einnahmen],"&lt;"&amp;EDATE(R$5,1),tblAuftraege[Kostenstelle],$B22))</f>
        <v>0</v>
      </c>
      <c r="S22" s="11" t="n">
        <f aca="false">IF($B22="",0,SUMIFS(tblAuftraege[Einnahmen],tblAuftraege[Datum Einnahmen],"&gt;="&amp;S$5,tblAuftraege[Datum Einnahmen],"&lt;"&amp;EDATE(S$5,1),tblAuftraege[Kostenstelle],$B22))</f>
        <v>0</v>
      </c>
      <c r="T22" s="11" t="n">
        <f aca="false">IF($B22="",0,SUMIFS(tblAuftraege[Einnahmen],tblAuftraege[Datum Einnahmen],"&gt;="&amp;T$5,tblAuftraege[Datum Einnahmen],"&lt;"&amp;EDATE(T$5,1),tblAuftraege[Kostenstelle],$B22))</f>
        <v>0</v>
      </c>
      <c r="U22" s="11" t="n">
        <f aca="false">SUM(C22:H22)</f>
        <v>0</v>
      </c>
      <c r="V22" s="11" t="n">
        <f aca="false">SUM(I22:T22)</f>
        <v>0</v>
      </c>
      <c r="W22" s="12" t="n">
        <f aca="false">SUM(C22:T22)</f>
        <v>0</v>
      </c>
    </row>
    <row r="23" customFormat="false" ht="15" hidden="false" customHeight="false" outlineLevel="0" collapsed="false">
      <c r="A23" s="9"/>
      <c r="B23" s="10"/>
      <c r="C23" s="11" t="n">
        <f aca="false">IF($B23="",0,SUMIFS(tblAuftraege[Einnahmen],tblAuftraege[Datum Einnahmen],"&gt;="&amp;C$5,tblAuftraege[Datum Einnahmen],"&lt;"&amp;EDATE(C$5,1),tblAuftraege[Kostenstelle],$B23))</f>
        <v>0</v>
      </c>
      <c r="D23" s="11" t="n">
        <f aca="false">IF($B23="",0,SUMIFS(tblAuftraege[Einnahmen],tblAuftraege[Datum Einnahmen],"&gt;="&amp;D$5,tblAuftraege[Datum Einnahmen],"&lt;"&amp;EDATE(D$5,1),tblAuftraege[Kostenstelle],$B23))</f>
        <v>0</v>
      </c>
      <c r="E23" s="11" t="n">
        <f aca="false">IF($B23="",0,SUMIFS(tblAuftraege[Einnahmen],tblAuftraege[Datum Einnahmen],"&gt;="&amp;E$5,tblAuftraege[Datum Einnahmen],"&lt;"&amp;EDATE(E$5,1),tblAuftraege[Kostenstelle],$B23))</f>
        <v>0</v>
      </c>
      <c r="F23" s="11" t="n">
        <f aca="false">IF($B23="",0,SUMIFS(tblAuftraege[Einnahmen],tblAuftraege[Datum Einnahmen],"&gt;="&amp;F$5,tblAuftraege[Datum Einnahmen],"&lt;"&amp;EDATE(F$5,1),tblAuftraege[Kostenstelle],$B23))</f>
        <v>0</v>
      </c>
      <c r="G23" s="11" t="n">
        <f aca="false">IF($B23="",0,SUMIFS(tblAuftraege[Einnahmen],tblAuftraege[Datum Einnahmen],"&gt;="&amp;G$5,tblAuftraege[Datum Einnahmen],"&lt;"&amp;EDATE(G$5,1),tblAuftraege[Kostenstelle],$B23))</f>
        <v>0</v>
      </c>
      <c r="H23" s="11" t="n">
        <f aca="false">IF($B23="",0,SUMIFS(tblAuftraege[Einnahmen],tblAuftraege[Datum Einnahmen],"&gt;="&amp;H$5,tblAuftraege[Datum Einnahmen],"&lt;"&amp;EDATE(H$5,1),tblAuftraege[Kostenstelle],$B23))</f>
        <v>0</v>
      </c>
      <c r="I23" s="11" t="n">
        <f aca="false">IF($B23="",0,SUMIFS(tblAuftraege[Einnahmen],tblAuftraege[Datum Einnahmen],"&gt;="&amp;I$5,tblAuftraege[Datum Einnahmen],"&lt;"&amp;EDATE(I$5,1),tblAuftraege[Kostenstelle],$B23))</f>
        <v>0</v>
      </c>
      <c r="J23" s="11" t="n">
        <f aca="false">IF($B23="",0,SUMIFS(tblAuftraege[Einnahmen],tblAuftraege[Datum Einnahmen],"&gt;="&amp;J$5,tblAuftraege[Datum Einnahmen],"&lt;"&amp;EDATE(J$5,1),tblAuftraege[Kostenstelle],$B23))</f>
        <v>0</v>
      </c>
      <c r="K23" s="11" t="n">
        <f aca="false">IF($B23="",0,SUMIFS(tblAuftraege[Einnahmen],tblAuftraege[Datum Einnahmen],"&gt;="&amp;K$5,tblAuftraege[Datum Einnahmen],"&lt;"&amp;EDATE(K$5,1),tblAuftraege[Kostenstelle],$B23))</f>
        <v>0</v>
      </c>
      <c r="L23" s="11" t="n">
        <f aca="false">IF($B23="",0,SUMIFS(tblAuftraege[Einnahmen],tblAuftraege[Datum Einnahmen],"&gt;="&amp;L$5,tblAuftraege[Datum Einnahmen],"&lt;"&amp;EDATE(L$5,1),tblAuftraege[Kostenstelle],$B23))</f>
        <v>0</v>
      </c>
      <c r="M23" s="11" t="n">
        <f aca="false">IF($B23="",0,SUMIFS(tblAuftraege[Einnahmen],tblAuftraege[Datum Einnahmen],"&gt;="&amp;M$5,tblAuftraege[Datum Einnahmen],"&lt;"&amp;EDATE(M$5,1),tblAuftraege[Kostenstelle],$B23))</f>
        <v>0</v>
      </c>
      <c r="N23" s="11" t="n">
        <f aca="false">IF($B23="",0,SUMIFS(tblAuftraege[Einnahmen],tblAuftraege[Datum Einnahmen],"&gt;="&amp;N$5,tblAuftraege[Datum Einnahmen],"&lt;"&amp;EDATE(N$5,1),tblAuftraege[Kostenstelle],$B23))</f>
        <v>0</v>
      </c>
      <c r="O23" s="11" t="n">
        <f aca="false">IF($B23="",0,SUMIFS(tblAuftraege[Einnahmen],tblAuftraege[Datum Einnahmen],"&gt;="&amp;O$5,tblAuftraege[Datum Einnahmen],"&lt;"&amp;EDATE(O$5,1),tblAuftraege[Kostenstelle],$B23))</f>
        <v>0</v>
      </c>
      <c r="P23" s="11" t="n">
        <f aca="false">IF($B23="",0,SUMIFS(tblAuftraege[Einnahmen],tblAuftraege[Datum Einnahmen],"&gt;="&amp;P$5,tblAuftraege[Datum Einnahmen],"&lt;"&amp;EDATE(P$5,1),tblAuftraege[Kostenstelle],$B23))</f>
        <v>0</v>
      </c>
      <c r="Q23" s="11" t="n">
        <f aca="false">IF($B23="",0,SUMIFS(tblAuftraege[Einnahmen],tblAuftraege[Datum Einnahmen],"&gt;="&amp;Q$5,tblAuftraege[Datum Einnahmen],"&lt;"&amp;EDATE(Q$5,1),tblAuftraege[Kostenstelle],$B23))</f>
        <v>0</v>
      </c>
      <c r="R23" s="11" t="n">
        <f aca="false">IF($B23="",0,SUMIFS(tblAuftraege[Einnahmen],tblAuftraege[Datum Einnahmen],"&gt;="&amp;R$5,tblAuftraege[Datum Einnahmen],"&lt;"&amp;EDATE(R$5,1),tblAuftraege[Kostenstelle],$B23))</f>
        <v>0</v>
      </c>
      <c r="S23" s="11" t="n">
        <f aca="false">IF($B23="",0,SUMIFS(tblAuftraege[Einnahmen],tblAuftraege[Datum Einnahmen],"&gt;="&amp;S$5,tblAuftraege[Datum Einnahmen],"&lt;"&amp;EDATE(S$5,1),tblAuftraege[Kostenstelle],$B23))</f>
        <v>0</v>
      </c>
      <c r="T23" s="11" t="n">
        <f aca="false">IF($B23="",0,SUMIFS(tblAuftraege[Einnahmen],tblAuftraege[Datum Einnahmen],"&gt;="&amp;T$5,tblAuftraege[Datum Einnahmen],"&lt;"&amp;EDATE(T$5,1),tblAuftraege[Kostenstelle],$B23))</f>
        <v>0</v>
      </c>
      <c r="U23" s="11" t="n">
        <f aca="false">SUM(C23:H23)</f>
        <v>0</v>
      </c>
      <c r="V23" s="11" t="n">
        <f aca="false">SUM(I23:T23)</f>
        <v>0</v>
      </c>
      <c r="W23" s="12" t="n">
        <f aca="false">SUM(C23:T23)</f>
        <v>0</v>
      </c>
    </row>
    <row r="24" customFormat="false" ht="15" hidden="false" customHeight="false" outlineLevel="0" collapsed="false">
      <c r="A24" s="9"/>
      <c r="B24" s="10"/>
      <c r="C24" s="11" t="n">
        <f aca="false">IF($B24="",0,SUMIFS(tblAuftraege[Einnahmen],tblAuftraege[Datum Einnahmen],"&gt;="&amp;C$5,tblAuftraege[Datum Einnahmen],"&lt;"&amp;EDATE(C$5,1),tblAuftraege[Kostenstelle],$B24))</f>
        <v>0</v>
      </c>
      <c r="D24" s="11" t="n">
        <f aca="false">IF($B24="",0,SUMIFS(tblAuftraege[Einnahmen],tblAuftraege[Datum Einnahmen],"&gt;="&amp;D$5,tblAuftraege[Datum Einnahmen],"&lt;"&amp;EDATE(D$5,1),tblAuftraege[Kostenstelle],$B24))</f>
        <v>0</v>
      </c>
      <c r="E24" s="11" t="n">
        <f aca="false">IF($B24="",0,SUMIFS(tblAuftraege[Einnahmen],tblAuftraege[Datum Einnahmen],"&gt;="&amp;E$5,tblAuftraege[Datum Einnahmen],"&lt;"&amp;EDATE(E$5,1),tblAuftraege[Kostenstelle],$B24))</f>
        <v>0</v>
      </c>
      <c r="F24" s="11" t="n">
        <f aca="false">IF($B24="",0,SUMIFS(tblAuftraege[Einnahmen],tblAuftraege[Datum Einnahmen],"&gt;="&amp;F$5,tblAuftraege[Datum Einnahmen],"&lt;"&amp;EDATE(F$5,1),tblAuftraege[Kostenstelle],$B24))</f>
        <v>0</v>
      </c>
      <c r="G24" s="11" t="n">
        <f aca="false">IF($B24="",0,SUMIFS(tblAuftraege[Einnahmen],tblAuftraege[Datum Einnahmen],"&gt;="&amp;G$5,tblAuftraege[Datum Einnahmen],"&lt;"&amp;EDATE(G$5,1),tblAuftraege[Kostenstelle],$B24))</f>
        <v>0</v>
      </c>
      <c r="H24" s="11" t="n">
        <f aca="false">IF($B24="",0,SUMIFS(tblAuftraege[Einnahmen],tblAuftraege[Datum Einnahmen],"&gt;="&amp;H$5,tblAuftraege[Datum Einnahmen],"&lt;"&amp;EDATE(H$5,1),tblAuftraege[Kostenstelle],$B24))</f>
        <v>0</v>
      </c>
      <c r="I24" s="11" t="n">
        <f aca="false">IF($B24="",0,SUMIFS(tblAuftraege[Einnahmen],tblAuftraege[Datum Einnahmen],"&gt;="&amp;I$5,tblAuftraege[Datum Einnahmen],"&lt;"&amp;EDATE(I$5,1),tblAuftraege[Kostenstelle],$B24))</f>
        <v>0</v>
      </c>
      <c r="J24" s="11" t="n">
        <f aca="false">IF($B24="",0,SUMIFS(tblAuftraege[Einnahmen],tblAuftraege[Datum Einnahmen],"&gt;="&amp;J$5,tblAuftraege[Datum Einnahmen],"&lt;"&amp;EDATE(J$5,1),tblAuftraege[Kostenstelle],$B24))</f>
        <v>0</v>
      </c>
      <c r="K24" s="11" t="n">
        <f aca="false">IF($B24="",0,SUMIFS(tblAuftraege[Einnahmen],tblAuftraege[Datum Einnahmen],"&gt;="&amp;K$5,tblAuftraege[Datum Einnahmen],"&lt;"&amp;EDATE(K$5,1),tblAuftraege[Kostenstelle],$B24))</f>
        <v>0</v>
      </c>
      <c r="L24" s="11" t="n">
        <f aca="false">IF($B24="",0,SUMIFS(tblAuftraege[Einnahmen],tblAuftraege[Datum Einnahmen],"&gt;="&amp;L$5,tblAuftraege[Datum Einnahmen],"&lt;"&amp;EDATE(L$5,1),tblAuftraege[Kostenstelle],$B24))</f>
        <v>0</v>
      </c>
      <c r="M24" s="11" t="n">
        <f aca="false">IF($B24="",0,SUMIFS(tblAuftraege[Einnahmen],tblAuftraege[Datum Einnahmen],"&gt;="&amp;M$5,tblAuftraege[Datum Einnahmen],"&lt;"&amp;EDATE(M$5,1),tblAuftraege[Kostenstelle],$B24))</f>
        <v>0</v>
      </c>
      <c r="N24" s="11" t="n">
        <f aca="false">IF($B24="",0,SUMIFS(tblAuftraege[Einnahmen],tblAuftraege[Datum Einnahmen],"&gt;="&amp;N$5,tblAuftraege[Datum Einnahmen],"&lt;"&amp;EDATE(N$5,1),tblAuftraege[Kostenstelle],$B24))</f>
        <v>0</v>
      </c>
      <c r="O24" s="11" t="n">
        <f aca="false">IF($B24="",0,SUMIFS(tblAuftraege[Einnahmen],tblAuftraege[Datum Einnahmen],"&gt;="&amp;O$5,tblAuftraege[Datum Einnahmen],"&lt;"&amp;EDATE(O$5,1),tblAuftraege[Kostenstelle],$B24))</f>
        <v>0</v>
      </c>
      <c r="P24" s="11" t="n">
        <f aca="false">IF($B24="",0,SUMIFS(tblAuftraege[Einnahmen],tblAuftraege[Datum Einnahmen],"&gt;="&amp;P$5,tblAuftraege[Datum Einnahmen],"&lt;"&amp;EDATE(P$5,1),tblAuftraege[Kostenstelle],$B24))</f>
        <v>0</v>
      </c>
      <c r="Q24" s="11" t="n">
        <f aca="false">IF($B24="",0,SUMIFS(tblAuftraege[Einnahmen],tblAuftraege[Datum Einnahmen],"&gt;="&amp;Q$5,tblAuftraege[Datum Einnahmen],"&lt;"&amp;EDATE(Q$5,1),tblAuftraege[Kostenstelle],$B24))</f>
        <v>0</v>
      </c>
      <c r="R24" s="11" t="n">
        <f aca="false">IF($B24="",0,SUMIFS(tblAuftraege[Einnahmen],tblAuftraege[Datum Einnahmen],"&gt;="&amp;R$5,tblAuftraege[Datum Einnahmen],"&lt;"&amp;EDATE(R$5,1),tblAuftraege[Kostenstelle],$B24))</f>
        <v>0</v>
      </c>
      <c r="S24" s="11" t="n">
        <f aca="false">IF($B24="",0,SUMIFS(tblAuftraege[Einnahmen],tblAuftraege[Datum Einnahmen],"&gt;="&amp;S$5,tblAuftraege[Datum Einnahmen],"&lt;"&amp;EDATE(S$5,1),tblAuftraege[Kostenstelle],$B24))</f>
        <v>0</v>
      </c>
      <c r="T24" s="11" t="n">
        <f aca="false">IF($B24="",0,SUMIFS(tblAuftraege[Einnahmen],tblAuftraege[Datum Einnahmen],"&gt;="&amp;T$5,tblAuftraege[Datum Einnahmen],"&lt;"&amp;EDATE(T$5,1),tblAuftraege[Kostenstelle],$B24))</f>
        <v>0</v>
      </c>
      <c r="U24" s="11" t="n">
        <f aca="false">SUM(C24:H24)</f>
        <v>0</v>
      </c>
      <c r="V24" s="11" t="n">
        <f aca="false">SUM(I24:T24)</f>
        <v>0</v>
      </c>
      <c r="W24" s="12" t="n">
        <f aca="false">SUM(C24:T24)</f>
        <v>0</v>
      </c>
    </row>
    <row r="25" customFormat="false" ht="15" hidden="false" customHeight="false" outlineLevel="0" collapsed="false">
      <c r="A25" s="9"/>
      <c r="B25" s="10"/>
      <c r="C25" s="11" t="n">
        <f aca="false">IF($B25="",0,SUMIFS(tblAuftraege[Einnahmen],tblAuftraege[Datum Einnahmen],"&gt;="&amp;C$5,tblAuftraege[Datum Einnahmen],"&lt;"&amp;EDATE(C$5,1),tblAuftraege[Kostenstelle],$B25))</f>
        <v>0</v>
      </c>
      <c r="D25" s="11" t="n">
        <f aca="false">IF($B25="",0,SUMIFS(tblAuftraege[Einnahmen],tblAuftraege[Datum Einnahmen],"&gt;="&amp;D$5,tblAuftraege[Datum Einnahmen],"&lt;"&amp;EDATE(D$5,1),tblAuftraege[Kostenstelle],$B25))</f>
        <v>0</v>
      </c>
      <c r="E25" s="11" t="n">
        <f aca="false">IF($B25="",0,SUMIFS(tblAuftraege[Einnahmen],tblAuftraege[Datum Einnahmen],"&gt;="&amp;E$5,tblAuftraege[Datum Einnahmen],"&lt;"&amp;EDATE(E$5,1),tblAuftraege[Kostenstelle],$B25))</f>
        <v>0</v>
      </c>
      <c r="F25" s="11" t="n">
        <f aca="false">IF($B25="",0,SUMIFS(tblAuftraege[Einnahmen],tblAuftraege[Datum Einnahmen],"&gt;="&amp;F$5,tblAuftraege[Datum Einnahmen],"&lt;"&amp;EDATE(F$5,1),tblAuftraege[Kostenstelle],$B25))</f>
        <v>0</v>
      </c>
      <c r="G25" s="11" t="n">
        <f aca="false">IF($B25="",0,SUMIFS(tblAuftraege[Einnahmen],tblAuftraege[Datum Einnahmen],"&gt;="&amp;G$5,tblAuftraege[Datum Einnahmen],"&lt;"&amp;EDATE(G$5,1),tblAuftraege[Kostenstelle],$B25))</f>
        <v>0</v>
      </c>
      <c r="H25" s="11" t="n">
        <f aca="false">IF($B25="",0,SUMIFS(tblAuftraege[Einnahmen],tblAuftraege[Datum Einnahmen],"&gt;="&amp;H$5,tblAuftraege[Datum Einnahmen],"&lt;"&amp;EDATE(H$5,1),tblAuftraege[Kostenstelle],$B25))</f>
        <v>0</v>
      </c>
      <c r="I25" s="11" t="n">
        <f aca="false">IF($B25="",0,SUMIFS(tblAuftraege[Einnahmen],tblAuftraege[Datum Einnahmen],"&gt;="&amp;I$5,tblAuftraege[Datum Einnahmen],"&lt;"&amp;EDATE(I$5,1),tblAuftraege[Kostenstelle],$B25))</f>
        <v>0</v>
      </c>
      <c r="J25" s="11" t="n">
        <f aca="false">IF($B25="",0,SUMIFS(tblAuftraege[Einnahmen],tblAuftraege[Datum Einnahmen],"&gt;="&amp;J$5,tblAuftraege[Datum Einnahmen],"&lt;"&amp;EDATE(J$5,1),tblAuftraege[Kostenstelle],$B25))</f>
        <v>0</v>
      </c>
      <c r="K25" s="11" t="n">
        <f aca="false">IF($B25="",0,SUMIFS(tblAuftraege[Einnahmen],tblAuftraege[Datum Einnahmen],"&gt;="&amp;K$5,tblAuftraege[Datum Einnahmen],"&lt;"&amp;EDATE(K$5,1),tblAuftraege[Kostenstelle],$B25))</f>
        <v>0</v>
      </c>
      <c r="L25" s="11" t="n">
        <f aca="false">IF($B25="",0,SUMIFS(tblAuftraege[Einnahmen],tblAuftraege[Datum Einnahmen],"&gt;="&amp;L$5,tblAuftraege[Datum Einnahmen],"&lt;"&amp;EDATE(L$5,1),tblAuftraege[Kostenstelle],$B25))</f>
        <v>0</v>
      </c>
      <c r="M25" s="11" t="n">
        <f aca="false">IF($B25="",0,SUMIFS(tblAuftraege[Einnahmen],tblAuftraege[Datum Einnahmen],"&gt;="&amp;M$5,tblAuftraege[Datum Einnahmen],"&lt;"&amp;EDATE(M$5,1),tblAuftraege[Kostenstelle],$B25))</f>
        <v>0</v>
      </c>
      <c r="N25" s="11" t="n">
        <f aca="false">IF($B25="",0,SUMIFS(tblAuftraege[Einnahmen],tblAuftraege[Datum Einnahmen],"&gt;="&amp;N$5,tblAuftraege[Datum Einnahmen],"&lt;"&amp;EDATE(N$5,1),tblAuftraege[Kostenstelle],$B25))</f>
        <v>0</v>
      </c>
      <c r="O25" s="11" t="n">
        <f aca="false">IF($B25="",0,SUMIFS(tblAuftraege[Einnahmen],tblAuftraege[Datum Einnahmen],"&gt;="&amp;O$5,tblAuftraege[Datum Einnahmen],"&lt;"&amp;EDATE(O$5,1),tblAuftraege[Kostenstelle],$B25))</f>
        <v>0</v>
      </c>
      <c r="P25" s="11" t="n">
        <f aca="false">IF($B25="",0,SUMIFS(tblAuftraege[Einnahmen],tblAuftraege[Datum Einnahmen],"&gt;="&amp;P$5,tblAuftraege[Datum Einnahmen],"&lt;"&amp;EDATE(P$5,1),tblAuftraege[Kostenstelle],$B25))</f>
        <v>0</v>
      </c>
      <c r="Q25" s="11" t="n">
        <f aca="false">IF($B25="",0,SUMIFS(tblAuftraege[Einnahmen],tblAuftraege[Datum Einnahmen],"&gt;="&amp;Q$5,tblAuftraege[Datum Einnahmen],"&lt;"&amp;EDATE(Q$5,1),tblAuftraege[Kostenstelle],$B25))</f>
        <v>0</v>
      </c>
      <c r="R25" s="11" t="n">
        <f aca="false">IF($B25="",0,SUMIFS(tblAuftraege[Einnahmen],tblAuftraege[Datum Einnahmen],"&gt;="&amp;R$5,tblAuftraege[Datum Einnahmen],"&lt;"&amp;EDATE(R$5,1),tblAuftraege[Kostenstelle],$B25))</f>
        <v>0</v>
      </c>
      <c r="S25" s="11" t="n">
        <f aca="false">IF($B25="",0,SUMIFS(tblAuftraege[Einnahmen],tblAuftraege[Datum Einnahmen],"&gt;="&amp;S$5,tblAuftraege[Datum Einnahmen],"&lt;"&amp;EDATE(S$5,1),tblAuftraege[Kostenstelle],$B25))</f>
        <v>0</v>
      </c>
      <c r="T25" s="11" t="n">
        <f aca="false">IF($B25="",0,SUMIFS(tblAuftraege[Einnahmen],tblAuftraege[Datum Einnahmen],"&gt;="&amp;T$5,tblAuftraege[Datum Einnahmen],"&lt;"&amp;EDATE(T$5,1),tblAuftraege[Kostenstelle],$B25))</f>
        <v>0</v>
      </c>
      <c r="U25" s="11" t="n">
        <f aca="false">SUM(C25:H25)</f>
        <v>0</v>
      </c>
      <c r="V25" s="11" t="n">
        <f aca="false">SUM(I25:T25)</f>
        <v>0</v>
      </c>
      <c r="W25" s="12" t="n">
        <f aca="false">SUM(C25:T25)</f>
        <v>0</v>
      </c>
    </row>
    <row r="26" customFormat="false" ht="15" hidden="false" customHeight="false" outlineLevel="0" collapsed="false">
      <c r="A26" s="9"/>
      <c r="B26" s="10"/>
      <c r="C26" s="11" t="n">
        <f aca="false">IF($B26="",0,SUMIFS(tblAuftraege[Einnahmen],tblAuftraege[Datum Einnahmen],"&gt;="&amp;C$5,tblAuftraege[Datum Einnahmen],"&lt;"&amp;EDATE(C$5,1),tblAuftraege[Kostenstelle],$B26))</f>
        <v>0</v>
      </c>
      <c r="D26" s="11" t="n">
        <f aca="false">IF($B26="",0,SUMIFS(tblAuftraege[Einnahmen],tblAuftraege[Datum Einnahmen],"&gt;="&amp;D$5,tblAuftraege[Datum Einnahmen],"&lt;"&amp;EDATE(D$5,1),tblAuftraege[Kostenstelle],$B26))</f>
        <v>0</v>
      </c>
      <c r="E26" s="11" t="n">
        <f aca="false">IF($B26="",0,SUMIFS(tblAuftraege[Einnahmen],tblAuftraege[Datum Einnahmen],"&gt;="&amp;E$5,tblAuftraege[Datum Einnahmen],"&lt;"&amp;EDATE(E$5,1),tblAuftraege[Kostenstelle],$B26))</f>
        <v>0</v>
      </c>
      <c r="F26" s="11" t="n">
        <f aca="false">IF($B26="",0,SUMIFS(tblAuftraege[Einnahmen],tblAuftraege[Datum Einnahmen],"&gt;="&amp;F$5,tblAuftraege[Datum Einnahmen],"&lt;"&amp;EDATE(F$5,1),tblAuftraege[Kostenstelle],$B26))</f>
        <v>0</v>
      </c>
      <c r="G26" s="11" t="n">
        <f aca="false">IF($B26="",0,SUMIFS(tblAuftraege[Einnahmen],tblAuftraege[Datum Einnahmen],"&gt;="&amp;G$5,tblAuftraege[Datum Einnahmen],"&lt;"&amp;EDATE(G$5,1),tblAuftraege[Kostenstelle],$B26))</f>
        <v>0</v>
      </c>
      <c r="H26" s="11" t="n">
        <f aca="false">IF($B26="",0,SUMIFS(tblAuftraege[Einnahmen],tblAuftraege[Datum Einnahmen],"&gt;="&amp;H$5,tblAuftraege[Datum Einnahmen],"&lt;"&amp;EDATE(H$5,1),tblAuftraege[Kostenstelle],$B26))</f>
        <v>0</v>
      </c>
      <c r="I26" s="11" t="n">
        <f aca="false">IF($B26="",0,SUMIFS(tblAuftraege[Einnahmen],tblAuftraege[Datum Einnahmen],"&gt;="&amp;I$5,tblAuftraege[Datum Einnahmen],"&lt;"&amp;EDATE(I$5,1),tblAuftraege[Kostenstelle],$B26))</f>
        <v>0</v>
      </c>
      <c r="J26" s="11" t="n">
        <f aca="false">IF($B26="",0,SUMIFS(tblAuftraege[Einnahmen],tblAuftraege[Datum Einnahmen],"&gt;="&amp;J$5,tblAuftraege[Datum Einnahmen],"&lt;"&amp;EDATE(J$5,1),tblAuftraege[Kostenstelle],$B26))</f>
        <v>0</v>
      </c>
      <c r="K26" s="11" t="n">
        <f aca="false">IF($B26="",0,SUMIFS(tblAuftraege[Einnahmen],tblAuftraege[Datum Einnahmen],"&gt;="&amp;K$5,tblAuftraege[Datum Einnahmen],"&lt;"&amp;EDATE(K$5,1),tblAuftraege[Kostenstelle],$B26))</f>
        <v>0</v>
      </c>
      <c r="L26" s="11" t="n">
        <f aca="false">IF($B26="",0,SUMIFS(tblAuftraege[Einnahmen],tblAuftraege[Datum Einnahmen],"&gt;="&amp;L$5,tblAuftraege[Datum Einnahmen],"&lt;"&amp;EDATE(L$5,1),tblAuftraege[Kostenstelle],$B26))</f>
        <v>0</v>
      </c>
      <c r="M26" s="11" t="n">
        <f aca="false">IF($B26="",0,SUMIFS(tblAuftraege[Einnahmen],tblAuftraege[Datum Einnahmen],"&gt;="&amp;M$5,tblAuftraege[Datum Einnahmen],"&lt;"&amp;EDATE(M$5,1),tblAuftraege[Kostenstelle],$B26))</f>
        <v>0</v>
      </c>
      <c r="N26" s="11" t="n">
        <f aca="false">IF($B26="",0,SUMIFS(tblAuftraege[Einnahmen],tblAuftraege[Datum Einnahmen],"&gt;="&amp;N$5,tblAuftraege[Datum Einnahmen],"&lt;"&amp;EDATE(N$5,1),tblAuftraege[Kostenstelle],$B26))</f>
        <v>0</v>
      </c>
      <c r="O26" s="11" t="n">
        <f aca="false">IF($B26="",0,SUMIFS(tblAuftraege[Einnahmen],tblAuftraege[Datum Einnahmen],"&gt;="&amp;O$5,tblAuftraege[Datum Einnahmen],"&lt;"&amp;EDATE(O$5,1),tblAuftraege[Kostenstelle],$B26))</f>
        <v>0</v>
      </c>
      <c r="P26" s="11" t="n">
        <f aca="false">IF($B26="",0,SUMIFS(tblAuftraege[Einnahmen],tblAuftraege[Datum Einnahmen],"&gt;="&amp;P$5,tblAuftraege[Datum Einnahmen],"&lt;"&amp;EDATE(P$5,1),tblAuftraege[Kostenstelle],$B26))</f>
        <v>0</v>
      </c>
      <c r="Q26" s="11" t="n">
        <f aca="false">IF($B26="",0,SUMIFS(tblAuftraege[Einnahmen],tblAuftraege[Datum Einnahmen],"&gt;="&amp;Q$5,tblAuftraege[Datum Einnahmen],"&lt;"&amp;EDATE(Q$5,1),tblAuftraege[Kostenstelle],$B26))</f>
        <v>0</v>
      </c>
      <c r="R26" s="11" t="n">
        <f aca="false">IF($B26="",0,SUMIFS(tblAuftraege[Einnahmen],tblAuftraege[Datum Einnahmen],"&gt;="&amp;R$5,tblAuftraege[Datum Einnahmen],"&lt;"&amp;EDATE(R$5,1),tblAuftraege[Kostenstelle],$B26))</f>
        <v>0</v>
      </c>
      <c r="S26" s="11" t="n">
        <f aca="false">IF($B26="",0,SUMIFS(tblAuftraege[Einnahmen],tblAuftraege[Datum Einnahmen],"&gt;="&amp;S$5,tblAuftraege[Datum Einnahmen],"&lt;"&amp;EDATE(S$5,1),tblAuftraege[Kostenstelle],$B26))</f>
        <v>0</v>
      </c>
      <c r="T26" s="11" t="n">
        <f aca="false">IF($B26="",0,SUMIFS(tblAuftraege[Einnahmen],tblAuftraege[Datum Einnahmen],"&gt;="&amp;T$5,tblAuftraege[Datum Einnahmen],"&lt;"&amp;EDATE(T$5,1),tblAuftraege[Kostenstelle],$B26))</f>
        <v>0</v>
      </c>
      <c r="U26" s="11" t="n">
        <f aca="false">SUM(C26:H26)</f>
        <v>0</v>
      </c>
      <c r="V26" s="11" t="n">
        <f aca="false">SUM(I26:T26)</f>
        <v>0</v>
      </c>
      <c r="W26" s="12" t="n">
        <f aca="false">SUM(C26:T26)</f>
        <v>0</v>
      </c>
    </row>
    <row r="27" customFormat="false" ht="15" hidden="false" customHeight="false" outlineLevel="0" collapsed="false">
      <c r="A27" s="9"/>
      <c r="B27" s="10"/>
      <c r="C27" s="11" t="n">
        <f aca="false">IF($B27="",0,SUMIFS(tblAuftraege[Einnahmen],tblAuftraege[Datum Einnahmen],"&gt;="&amp;C$5,tblAuftraege[Datum Einnahmen],"&lt;"&amp;EDATE(C$5,1),tblAuftraege[Kostenstelle],$B27))</f>
        <v>0</v>
      </c>
      <c r="D27" s="11" t="n">
        <f aca="false">IF($B27="",0,SUMIFS(tblAuftraege[Einnahmen],tblAuftraege[Datum Einnahmen],"&gt;="&amp;D$5,tblAuftraege[Datum Einnahmen],"&lt;"&amp;EDATE(D$5,1),tblAuftraege[Kostenstelle],$B27))</f>
        <v>0</v>
      </c>
      <c r="E27" s="11" t="n">
        <f aca="false">IF($B27="",0,SUMIFS(tblAuftraege[Einnahmen],tblAuftraege[Datum Einnahmen],"&gt;="&amp;E$5,tblAuftraege[Datum Einnahmen],"&lt;"&amp;EDATE(E$5,1),tblAuftraege[Kostenstelle],$B27))</f>
        <v>0</v>
      </c>
      <c r="F27" s="11" t="n">
        <f aca="false">IF($B27="",0,SUMIFS(tblAuftraege[Einnahmen],tblAuftraege[Datum Einnahmen],"&gt;="&amp;F$5,tblAuftraege[Datum Einnahmen],"&lt;"&amp;EDATE(F$5,1),tblAuftraege[Kostenstelle],$B27))</f>
        <v>0</v>
      </c>
      <c r="G27" s="11" t="n">
        <f aca="false">IF($B27="",0,SUMIFS(tblAuftraege[Einnahmen],tblAuftraege[Datum Einnahmen],"&gt;="&amp;G$5,tblAuftraege[Datum Einnahmen],"&lt;"&amp;EDATE(G$5,1),tblAuftraege[Kostenstelle],$B27))</f>
        <v>0</v>
      </c>
      <c r="H27" s="11" t="n">
        <f aca="false">IF($B27="",0,SUMIFS(tblAuftraege[Einnahmen],tblAuftraege[Datum Einnahmen],"&gt;="&amp;H$5,tblAuftraege[Datum Einnahmen],"&lt;"&amp;EDATE(H$5,1),tblAuftraege[Kostenstelle],$B27))</f>
        <v>0</v>
      </c>
      <c r="I27" s="11" t="n">
        <f aca="false">IF($B27="",0,SUMIFS(tblAuftraege[Einnahmen],tblAuftraege[Datum Einnahmen],"&gt;="&amp;I$5,tblAuftraege[Datum Einnahmen],"&lt;"&amp;EDATE(I$5,1),tblAuftraege[Kostenstelle],$B27))</f>
        <v>0</v>
      </c>
      <c r="J27" s="11" t="n">
        <f aca="false">IF($B27="",0,SUMIFS(tblAuftraege[Einnahmen],tblAuftraege[Datum Einnahmen],"&gt;="&amp;J$5,tblAuftraege[Datum Einnahmen],"&lt;"&amp;EDATE(J$5,1),tblAuftraege[Kostenstelle],$B27))</f>
        <v>0</v>
      </c>
      <c r="K27" s="11" t="n">
        <f aca="false">IF($B27="",0,SUMIFS(tblAuftraege[Einnahmen],tblAuftraege[Datum Einnahmen],"&gt;="&amp;K$5,tblAuftraege[Datum Einnahmen],"&lt;"&amp;EDATE(K$5,1),tblAuftraege[Kostenstelle],$B27))</f>
        <v>0</v>
      </c>
      <c r="L27" s="11" t="n">
        <f aca="false">IF($B27="",0,SUMIFS(tblAuftraege[Einnahmen],tblAuftraege[Datum Einnahmen],"&gt;="&amp;L$5,tblAuftraege[Datum Einnahmen],"&lt;"&amp;EDATE(L$5,1),tblAuftraege[Kostenstelle],$B27))</f>
        <v>0</v>
      </c>
      <c r="M27" s="11" t="n">
        <f aca="false">IF($B27="",0,SUMIFS(tblAuftraege[Einnahmen],tblAuftraege[Datum Einnahmen],"&gt;="&amp;M$5,tblAuftraege[Datum Einnahmen],"&lt;"&amp;EDATE(M$5,1),tblAuftraege[Kostenstelle],$B27))</f>
        <v>0</v>
      </c>
      <c r="N27" s="11" t="n">
        <f aca="false">IF($B27="",0,SUMIFS(tblAuftraege[Einnahmen],tblAuftraege[Datum Einnahmen],"&gt;="&amp;N$5,tblAuftraege[Datum Einnahmen],"&lt;"&amp;EDATE(N$5,1),tblAuftraege[Kostenstelle],$B27))</f>
        <v>0</v>
      </c>
      <c r="O27" s="11" t="n">
        <f aca="false">IF($B27="",0,SUMIFS(tblAuftraege[Einnahmen],tblAuftraege[Datum Einnahmen],"&gt;="&amp;O$5,tblAuftraege[Datum Einnahmen],"&lt;"&amp;EDATE(O$5,1),tblAuftraege[Kostenstelle],$B27))</f>
        <v>0</v>
      </c>
      <c r="P27" s="11" t="n">
        <f aca="false">IF($B27="",0,SUMIFS(tblAuftraege[Einnahmen],tblAuftraege[Datum Einnahmen],"&gt;="&amp;P$5,tblAuftraege[Datum Einnahmen],"&lt;"&amp;EDATE(P$5,1),tblAuftraege[Kostenstelle],$B27))</f>
        <v>0</v>
      </c>
      <c r="Q27" s="11" t="n">
        <f aca="false">IF($B27="",0,SUMIFS(tblAuftraege[Einnahmen],tblAuftraege[Datum Einnahmen],"&gt;="&amp;Q$5,tblAuftraege[Datum Einnahmen],"&lt;"&amp;EDATE(Q$5,1),tblAuftraege[Kostenstelle],$B27))</f>
        <v>0</v>
      </c>
      <c r="R27" s="11" t="n">
        <f aca="false">IF($B27="",0,SUMIFS(tblAuftraege[Einnahmen],tblAuftraege[Datum Einnahmen],"&gt;="&amp;R$5,tblAuftraege[Datum Einnahmen],"&lt;"&amp;EDATE(R$5,1),tblAuftraege[Kostenstelle],$B27))</f>
        <v>0</v>
      </c>
      <c r="S27" s="11" t="n">
        <f aca="false">IF($B27="",0,SUMIFS(tblAuftraege[Einnahmen],tblAuftraege[Datum Einnahmen],"&gt;="&amp;S$5,tblAuftraege[Datum Einnahmen],"&lt;"&amp;EDATE(S$5,1),tblAuftraege[Kostenstelle],$B27))</f>
        <v>0</v>
      </c>
      <c r="T27" s="11" t="n">
        <f aca="false">IF($B27="",0,SUMIFS(tblAuftraege[Einnahmen],tblAuftraege[Datum Einnahmen],"&gt;="&amp;T$5,tblAuftraege[Datum Einnahmen],"&lt;"&amp;EDATE(T$5,1),tblAuftraege[Kostenstelle],$B27))</f>
        <v>0</v>
      </c>
      <c r="U27" s="11" t="n">
        <f aca="false">SUM(C27:H27)</f>
        <v>0</v>
      </c>
      <c r="V27" s="11" t="n">
        <f aca="false">SUM(I27:T27)</f>
        <v>0</v>
      </c>
      <c r="W27" s="12" t="n">
        <f aca="false">SUM(C27:T27)</f>
        <v>0</v>
      </c>
    </row>
    <row r="28" customFormat="false" ht="15" hidden="false" customHeight="false" outlineLevel="0" collapsed="false">
      <c r="A28" s="9"/>
      <c r="B28" s="10"/>
      <c r="C28" s="11" t="n">
        <f aca="false">IF($B28="",0,SUMIFS(tblAuftraege[Einnahmen],tblAuftraege[Datum Einnahmen],"&gt;="&amp;C$5,tblAuftraege[Datum Einnahmen],"&lt;"&amp;EDATE(C$5,1),tblAuftraege[Kostenstelle],$B28))</f>
        <v>0</v>
      </c>
      <c r="D28" s="11" t="n">
        <f aca="false">IF($B28="",0,SUMIFS(tblAuftraege[Einnahmen],tblAuftraege[Datum Einnahmen],"&gt;="&amp;D$5,tblAuftraege[Datum Einnahmen],"&lt;"&amp;EDATE(D$5,1),tblAuftraege[Kostenstelle],$B28))</f>
        <v>0</v>
      </c>
      <c r="E28" s="11" t="n">
        <f aca="false">IF($B28="",0,SUMIFS(tblAuftraege[Einnahmen],tblAuftraege[Datum Einnahmen],"&gt;="&amp;E$5,tblAuftraege[Datum Einnahmen],"&lt;"&amp;EDATE(E$5,1),tblAuftraege[Kostenstelle],$B28))</f>
        <v>0</v>
      </c>
      <c r="F28" s="11" t="n">
        <f aca="false">IF($B28="",0,SUMIFS(tblAuftraege[Einnahmen],tblAuftraege[Datum Einnahmen],"&gt;="&amp;F$5,tblAuftraege[Datum Einnahmen],"&lt;"&amp;EDATE(F$5,1),tblAuftraege[Kostenstelle],$B28))</f>
        <v>0</v>
      </c>
      <c r="G28" s="11" t="n">
        <f aca="false">IF($B28="",0,SUMIFS(tblAuftraege[Einnahmen],tblAuftraege[Datum Einnahmen],"&gt;="&amp;G$5,tblAuftraege[Datum Einnahmen],"&lt;"&amp;EDATE(G$5,1),tblAuftraege[Kostenstelle],$B28))</f>
        <v>0</v>
      </c>
      <c r="H28" s="11" t="n">
        <f aca="false">IF($B28="",0,SUMIFS(tblAuftraege[Einnahmen],tblAuftraege[Datum Einnahmen],"&gt;="&amp;H$5,tblAuftraege[Datum Einnahmen],"&lt;"&amp;EDATE(H$5,1),tblAuftraege[Kostenstelle],$B28))</f>
        <v>0</v>
      </c>
      <c r="I28" s="11" t="n">
        <f aca="false">IF($B28="",0,SUMIFS(tblAuftraege[Einnahmen],tblAuftraege[Datum Einnahmen],"&gt;="&amp;I$5,tblAuftraege[Datum Einnahmen],"&lt;"&amp;EDATE(I$5,1),tblAuftraege[Kostenstelle],$B28))</f>
        <v>0</v>
      </c>
      <c r="J28" s="11" t="n">
        <f aca="false">IF($B28="",0,SUMIFS(tblAuftraege[Einnahmen],tblAuftraege[Datum Einnahmen],"&gt;="&amp;J$5,tblAuftraege[Datum Einnahmen],"&lt;"&amp;EDATE(J$5,1),tblAuftraege[Kostenstelle],$B28))</f>
        <v>0</v>
      </c>
      <c r="K28" s="11" t="n">
        <f aca="false">IF($B28="",0,SUMIFS(tblAuftraege[Einnahmen],tblAuftraege[Datum Einnahmen],"&gt;="&amp;K$5,tblAuftraege[Datum Einnahmen],"&lt;"&amp;EDATE(K$5,1),tblAuftraege[Kostenstelle],$B28))</f>
        <v>0</v>
      </c>
      <c r="L28" s="11" t="n">
        <f aca="false">IF($B28="",0,SUMIFS(tblAuftraege[Einnahmen],tblAuftraege[Datum Einnahmen],"&gt;="&amp;L$5,tblAuftraege[Datum Einnahmen],"&lt;"&amp;EDATE(L$5,1),tblAuftraege[Kostenstelle],$B28))</f>
        <v>0</v>
      </c>
      <c r="M28" s="11" t="n">
        <f aca="false">IF($B28="",0,SUMIFS(tblAuftraege[Einnahmen],tblAuftraege[Datum Einnahmen],"&gt;="&amp;M$5,tblAuftraege[Datum Einnahmen],"&lt;"&amp;EDATE(M$5,1),tblAuftraege[Kostenstelle],$B28))</f>
        <v>0</v>
      </c>
      <c r="N28" s="11" t="n">
        <f aca="false">IF($B28="",0,SUMIFS(tblAuftraege[Einnahmen],tblAuftraege[Datum Einnahmen],"&gt;="&amp;N$5,tblAuftraege[Datum Einnahmen],"&lt;"&amp;EDATE(N$5,1),tblAuftraege[Kostenstelle],$B28))</f>
        <v>0</v>
      </c>
      <c r="O28" s="11" t="n">
        <f aca="false">IF($B28="",0,SUMIFS(tblAuftraege[Einnahmen],tblAuftraege[Datum Einnahmen],"&gt;="&amp;O$5,tblAuftraege[Datum Einnahmen],"&lt;"&amp;EDATE(O$5,1),tblAuftraege[Kostenstelle],$B28))</f>
        <v>0</v>
      </c>
      <c r="P28" s="11" t="n">
        <f aca="false">IF($B28="",0,SUMIFS(tblAuftraege[Einnahmen],tblAuftraege[Datum Einnahmen],"&gt;="&amp;P$5,tblAuftraege[Datum Einnahmen],"&lt;"&amp;EDATE(P$5,1),tblAuftraege[Kostenstelle],$B28))</f>
        <v>0</v>
      </c>
      <c r="Q28" s="11" t="n">
        <f aca="false">IF($B28="",0,SUMIFS(tblAuftraege[Einnahmen],tblAuftraege[Datum Einnahmen],"&gt;="&amp;Q$5,tblAuftraege[Datum Einnahmen],"&lt;"&amp;EDATE(Q$5,1),tblAuftraege[Kostenstelle],$B28))</f>
        <v>0</v>
      </c>
      <c r="R28" s="11" t="n">
        <f aca="false">IF($B28="",0,SUMIFS(tblAuftraege[Einnahmen],tblAuftraege[Datum Einnahmen],"&gt;="&amp;R$5,tblAuftraege[Datum Einnahmen],"&lt;"&amp;EDATE(R$5,1),tblAuftraege[Kostenstelle],$B28))</f>
        <v>0</v>
      </c>
      <c r="S28" s="11" t="n">
        <f aca="false">IF($B28="",0,SUMIFS(tblAuftraege[Einnahmen],tblAuftraege[Datum Einnahmen],"&gt;="&amp;S$5,tblAuftraege[Datum Einnahmen],"&lt;"&amp;EDATE(S$5,1),tblAuftraege[Kostenstelle],$B28))</f>
        <v>0</v>
      </c>
      <c r="T28" s="11" t="n">
        <f aca="false">IF($B28="",0,SUMIFS(tblAuftraege[Einnahmen],tblAuftraege[Datum Einnahmen],"&gt;="&amp;T$5,tblAuftraege[Datum Einnahmen],"&lt;"&amp;EDATE(T$5,1),tblAuftraege[Kostenstelle],$B28))</f>
        <v>0</v>
      </c>
      <c r="U28" s="11" t="n">
        <f aca="false">SUM(C28:H28)</f>
        <v>0</v>
      </c>
      <c r="V28" s="11" t="n">
        <f aca="false">SUM(I28:T28)</f>
        <v>0</v>
      </c>
      <c r="W28" s="12" t="n">
        <f aca="false">SUM(C28:T28)</f>
        <v>0</v>
      </c>
    </row>
    <row r="29" customFormat="false" ht="15" hidden="false" customHeight="false" outlineLevel="0" collapsed="false">
      <c r="A29" s="9"/>
      <c r="B29" s="10"/>
      <c r="C29" s="11" t="n">
        <f aca="false">IF($B29="",0,SUMIFS(tblAuftraege[Einnahmen],tblAuftraege[Datum Einnahmen],"&gt;="&amp;C$5,tblAuftraege[Datum Einnahmen],"&lt;"&amp;EDATE(C$5,1),tblAuftraege[Kostenstelle],$B29))</f>
        <v>0</v>
      </c>
      <c r="D29" s="11" t="n">
        <f aca="false">IF($B29="",0,SUMIFS(tblAuftraege[Einnahmen],tblAuftraege[Datum Einnahmen],"&gt;="&amp;D$5,tblAuftraege[Datum Einnahmen],"&lt;"&amp;EDATE(D$5,1),tblAuftraege[Kostenstelle],$B29))</f>
        <v>0</v>
      </c>
      <c r="E29" s="11" t="n">
        <f aca="false">IF($B29="",0,SUMIFS(tblAuftraege[Einnahmen],tblAuftraege[Datum Einnahmen],"&gt;="&amp;E$5,tblAuftraege[Datum Einnahmen],"&lt;"&amp;EDATE(E$5,1),tblAuftraege[Kostenstelle],$B29))</f>
        <v>0</v>
      </c>
      <c r="F29" s="11" t="n">
        <f aca="false">IF($B29="",0,SUMIFS(tblAuftraege[Einnahmen],tblAuftraege[Datum Einnahmen],"&gt;="&amp;F$5,tblAuftraege[Datum Einnahmen],"&lt;"&amp;EDATE(F$5,1),tblAuftraege[Kostenstelle],$B29))</f>
        <v>0</v>
      </c>
      <c r="G29" s="11" t="n">
        <f aca="false">IF($B29="",0,SUMIFS(tblAuftraege[Einnahmen],tblAuftraege[Datum Einnahmen],"&gt;="&amp;G$5,tblAuftraege[Datum Einnahmen],"&lt;"&amp;EDATE(G$5,1),tblAuftraege[Kostenstelle],$B29))</f>
        <v>0</v>
      </c>
      <c r="H29" s="11" t="n">
        <f aca="false">IF($B29="",0,SUMIFS(tblAuftraege[Einnahmen],tblAuftraege[Datum Einnahmen],"&gt;="&amp;H$5,tblAuftraege[Datum Einnahmen],"&lt;"&amp;EDATE(H$5,1),tblAuftraege[Kostenstelle],$B29))</f>
        <v>0</v>
      </c>
      <c r="I29" s="11" t="n">
        <f aca="false">IF($B29="",0,SUMIFS(tblAuftraege[Einnahmen],tblAuftraege[Datum Einnahmen],"&gt;="&amp;I$5,tblAuftraege[Datum Einnahmen],"&lt;"&amp;EDATE(I$5,1),tblAuftraege[Kostenstelle],$B29))</f>
        <v>0</v>
      </c>
      <c r="J29" s="11" t="n">
        <f aca="false">IF($B29="",0,SUMIFS(tblAuftraege[Einnahmen],tblAuftraege[Datum Einnahmen],"&gt;="&amp;J$5,tblAuftraege[Datum Einnahmen],"&lt;"&amp;EDATE(J$5,1),tblAuftraege[Kostenstelle],$B29))</f>
        <v>0</v>
      </c>
      <c r="K29" s="11" t="n">
        <f aca="false">IF($B29="",0,SUMIFS(tblAuftraege[Einnahmen],tblAuftraege[Datum Einnahmen],"&gt;="&amp;K$5,tblAuftraege[Datum Einnahmen],"&lt;"&amp;EDATE(K$5,1),tblAuftraege[Kostenstelle],$B29))</f>
        <v>0</v>
      </c>
      <c r="L29" s="11" t="n">
        <f aca="false">IF($B29="",0,SUMIFS(tblAuftraege[Einnahmen],tblAuftraege[Datum Einnahmen],"&gt;="&amp;L$5,tblAuftraege[Datum Einnahmen],"&lt;"&amp;EDATE(L$5,1),tblAuftraege[Kostenstelle],$B29))</f>
        <v>0</v>
      </c>
      <c r="M29" s="11" t="n">
        <f aca="false">IF($B29="",0,SUMIFS(tblAuftraege[Einnahmen],tblAuftraege[Datum Einnahmen],"&gt;="&amp;M$5,tblAuftraege[Datum Einnahmen],"&lt;"&amp;EDATE(M$5,1),tblAuftraege[Kostenstelle],$B29))</f>
        <v>0</v>
      </c>
      <c r="N29" s="11" t="n">
        <f aca="false">IF($B29="",0,SUMIFS(tblAuftraege[Einnahmen],tblAuftraege[Datum Einnahmen],"&gt;="&amp;N$5,tblAuftraege[Datum Einnahmen],"&lt;"&amp;EDATE(N$5,1),tblAuftraege[Kostenstelle],$B29))</f>
        <v>0</v>
      </c>
      <c r="O29" s="11" t="n">
        <f aca="false">IF($B29="",0,SUMIFS(tblAuftraege[Einnahmen],tblAuftraege[Datum Einnahmen],"&gt;="&amp;O$5,tblAuftraege[Datum Einnahmen],"&lt;"&amp;EDATE(O$5,1),tblAuftraege[Kostenstelle],$B29))</f>
        <v>0</v>
      </c>
      <c r="P29" s="11" t="n">
        <f aca="false">IF($B29="",0,SUMIFS(tblAuftraege[Einnahmen],tblAuftraege[Datum Einnahmen],"&gt;="&amp;P$5,tblAuftraege[Datum Einnahmen],"&lt;"&amp;EDATE(P$5,1),tblAuftraege[Kostenstelle],$B29))</f>
        <v>0</v>
      </c>
      <c r="Q29" s="11" t="n">
        <f aca="false">IF($B29="",0,SUMIFS(tblAuftraege[Einnahmen],tblAuftraege[Datum Einnahmen],"&gt;="&amp;Q$5,tblAuftraege[Datum Einnahmen],"&lt;"&amp;EDATE(Q$5,1),tblAuftraege[Kostenstelle],$B29))</f>
        <v>0</v>
      </c>
      <c r="R29" s="11" t="n">
        <f aca="false">IF($B29="",0,SUMIFS(tblAuftraege[Einnahmen],tblAuftraege[Datum Einnahmen],"&gt;="&amp;R$5,tblAuftraege[Datum Einnahmen],"&lt;"&amp;EDATE(R$5,1),tblAuftraege[Kostenstelle],$B29))</f>
        <v>0</v>
      </c>
      <c r="S29" s="11" t="n">
        <f aca="false">IF($B29="",0,SUMIFS(tblAuftraege[Einnahmen],tblAuftraege[Datum Einnahmen],"&gt;="&amp;S$5,tblAuftraege[Datum Einnahmen],"&lt;"&amp;EDATE(S$5,1),tblAuftraege[Kostenstelle],$B29))</f>
        <v>0</v>
      </c>
      <c r="T29" s="11" t="n">
        <f aca="false">IF($B29="",0,SUMIFS(tblAuftraege[Einnahmen],tblAuftraege[Datum Einnahmen],"&gt;="&amp;T$5,tblAuftraege[Datum Einnahmen],"&lt;"&amp;EDATE(T$5,1),tblAuftraege[Kostenstelle],$B29))</f>
        <v>0</v>
      </c>
      <c r="U29" s="11" t="n">
        <f aca="false">SUM(C29:H29)</f>
        <v>0</v>
      </c>
      <c r="V29" s="11" t="n">
        <f aca="false">SUM(I29:T29)</f>
        <v>0</v>
      </c>
      <c r="W29" s="12" t="n">
        <f aca="false">SUM(C29:T29)</f>
        <v>0</v>
      </c>
    </row>
    <row r="30" customFormat="false" ht="15" hidden="false" customHeight="false" outlineLevel="0" collapsed="false">
      <c r="A30" s="9"/>
      <c r="B30" s="10"/>
      <c r="C30" s="11" t="n">
        <f aca="false">IF($B30="",0,SUMIFS(tblAuftraege[Einnahmen],tblAuftraege[Datum Einnahmen],"&gt;="&amp;C$5,tblAuftraege[Datum Einnahmen],"&lt;"&amp;EDATE(C$5,1),tblAuftraege[Kostenstelle],$B30))</f>
        <v>0</v>
      </c>
      <c r="D30" s="11" t="n">
        <f aca="false">IF($B30="",0,SUMIFS(tblAuftraege[Einnahmen],tblAuftraege[Datum Einnahmen],"&gt;="&amp;D$5,tblAuftraege[Datum Einnahmen],"&lt;"&amp;EDATE(D$5,1),tblAuftraege[Kostenstelle],$B30))</f>
        <v>0</v>
      </c>
      <c r="E30" s="11" t="n">
        <f aca="false">IF($B30="",0,SUMIFS(tblAuftraege[Einnahmen],tblAuftraege[Datum Einnahmen],"&gt;="&amp;E$5,tblAuftraege[Datum Einnahmen],"&lt;"&amp;EDATE(E$5,1),tblAuftraege[Kostenstelle],$B30))</f>
        <v>0</v>
      </c>
      <c r="F30" s="11" t="n">
        <f aca="false">IF($B30="",0,SUMIFS(tblAuftraege[Einnahmen],tblAuftraege[Datum Einnahmen],"&gt;="&amp;F$5,tblAuftraege[Datum Einnahmen],"&lt;"&amp;EDATE(F$5,1),tblAuftraege[Kostenstelle],$B30))</f>
        <v>0</v>
      </c>
      <c r="G30" s="11" t="n">
        <f aca="false">IF($B30="",0,SUMIFS(tblAuftraege[Einnahmen],tblAuftraege[Datum Einnahmen],"&gt;="&amp;G$5,tblAuftraege[Datum Einnahmen],"&lt;"&amp;EDATE(G$5,1),tblAuftraege[Kostenstelle],$B30))</f>
        <v>0</v>
      </c>
      <c r="H30" s="11" t="n">
        <f aca="false">IF($B30="",0,SUMIFS(tblAuftraege[Einnahmen],tblAuftraege[Datum Einnahmen],"&gt;="&amp;H$5,tblAuftraege[Datum Einnahmen],"&lt;"&amp;EDATE(H$5,1),tblAuftraege[Kostenstelle],$B30))</f>
        <v>0</v>
      </c>
      <c r="I30" s="11" t="n">
        <f aca="false">IF($B30="",0,SUMIFS(tblAuftraege[Einnahmen],tblAuftraege[Datum Einnahmen],"&gt;="&amp;I$5,tblAuftraege[Datum Einnahmen],"&lt;"&amp;EDATE(I$5,1),tblAuftraege[Kostenstelle],$B30))</f>
        <v>0</v>
      </c>
      <c r="J30" s="11" t="n">
        <f aca="false">IF($B30="",0,SUMIFS(tblAuftraege[Einnahmen],tblAuftraege[Datum Einnahmen],"&gt;="&amp;J$5,tblAuftraege[Datum Einnahmen],"&lt;"&amp;EDATE(J$5,1),tblAuftraege[Kostenstelle],$B30))</f>
        <v>0</v>
      </c>
      <c r="K30" s="11" t="n">
        <f aca="false">IF($B30="",0,SUMIFS(tblAuftraege[Einnahmen],tblAuftraege[Datum Einnahmen],"&gt;="&amp;K$5,tblAuftraege[Datum Einnahmen],"&lt;"&amp;EDATE(K$5,1),tblAuftraege[Kostenstelle],$B30))</f>
        <v>0</v>
      </c>
      <c r="L30" s="11" t="n">
        <f aca="false">IF($B30="",0,SUMIFS(tblAuftraege[Einnahmen],tblAuftraege[Datum Einnahmen],"&gt;="&amp;L$5,tblAuftraege[Datum Einnahmen],"&lt;"&amp;EDATE(L$5,1),tblAuftraege[Kostenstelle],$B30))</f>
        <v>0</v>
      </c>
      <c r="M30" s="11" t="n">
        <f aca="false">IF($B30="",0,SUMIFS(tblAuftraege[Einnahmen],tblAuftraege[Datum Einnahmen],"&gt;="&amp;M$5,tblAuftraege[Datum Einnahmen],"&lt;"&amp;EDATE(M$5,1),tblAuftraege[Kostenstelle],$B30))</f>
        <v>0</v>
      </c>
      <c r="N30" s="11" t="n">
        <f aca="false">IF($B30="",0,SUMIFS(tblAuftraege[Einnahmen],tblAuftraege[Datum Einnahmen],"&gt;="&amp;N$5,tblAuftraege[Datum Einnahmen],"&lt;"&amp;EDATE(N$5,1),tblAuftraege[Kostenstelle],$B30))</f>
        <v>0</v>
      </c>
      <c r="O30" s="11" t="n">
        <f aca="false">IF($B30="",0,SUMIFS(tblAuftraege[Einnahmen],tblAuftraege[Datum Einnahmen],"&gt;="&amp;O$5,tblAuftraege[Datum Einnahmen],"&lt;"&amp;EDATE(O$5,1),tblAuftraege[Kostenstelle],$B30))</f>
        <v>0</v>
      </c>
      <c r="P30" s="11" t="n">
        <f aca="false">IF($B30="",0,SUMIFS(tblAuftraege[Einnahmen],tblAuftraege[Datum Einnahmen],"&gt;="&amp;P$5,tblAuftraege[Datum Einnahmen],"&lt;"&amp;EDATE(P$5,1),tblAuftraege[Kostenstelle],$B30))</f>
        <v>0</v>
      </c>
      <c r="Q30" s="11" t="n">
        <f aca="false">IF($B30="",0,SUMIFS(tblAuftraege[Einnahmen],tblAuftraege[Datum Einnahmen],"&gt;="&amp;Q$5,tblAuftraege[Datum Einnahmen],"&lt;"&amp;EDATE(Q$5,1),tblAuftraege[Kostenstelle],$B30))</f>
        <v>0</v>
      </c>
      <c r="R30" s="11" t="n">
        <f aca="false">IF($B30="",0,SUMIFS(tblAuftraege[Einnahmen],tblAuftraege[Datum Einnahmen],"&gt;="&amp;R$5,tblAuftraege[Datum Einnahmen],"&lt;"&amp;EDATE(R$5,1),tblAuftraege[Kostenstelle],$B30))</f>
        <v>0</v>
      </c>
      <c r="S30" s="11" t="n">
        <f aca="false">IF($B30="",0,SUMIFS(tblAuftraege[Einnahmen],tblAuftraege[Datum Einnahmen],"&gt;="&amp;S$5,tblAuftraege[Datum Einnahmen],"&lt;"&amp;EDATE(S$5,1),tblAuftraege[Kostenstelle],$B30))</f>
        <v>0</v>
      </c>
      <c r="T30" s="11" t="n">
        <f aca="false">IF($B30="",0,SUMIFS(tblAuftraege[Einnahmen],tblAuftraege[Datum Einnahmen],"&gt;="&amp;T$5,tblAuftraege[Datum Einnahmen],"&lt;"&amp;EDATE(T$5,1),tblAuftraege[Kostenstelle],$B30))</f>
        <v>0</v>
      </c>
      <c r="U30" s="11" t="n">
        <f aca="false">SUM(C30:H30)</f>
        <v>0</v>
      </c>
      <c r="V30" s="11" t="n">
        <f aca="false">SUM(I30:T30)</f>
        <v>0</v>
      </c>
      <c r="W30" s="12" t="n">
        <f aca="false">SUM(C30:T30)</f>
        <v>0</v>
      </c>
    </row>
    <row r="31" customFormat="false" ht="15" hidden="false" customHeight="false" outlineLevel="0" collapsed="false">
      <c r="A31" s="9"/>
      <c r="B31" s="10"/>
      <c r="C31" s="11" t="n">
        <f aca="false">IF($B31="",0,SUMIFS(tblAuftraege[Einnahmen],tblAuftraege[Datum Einnahmen],"&gt;="&amp;C$5,tblAuftraege[Datum Einnahmen],"&lt;"&amp;EDATE(C$5,1),tblAuftraege[Kostenstelle],$B31))</f>
        <v>0</v>
      </c>
      <c r="D31" s="11" t="n">
        <f aca="false">IF($B31="",0,SUMIFS(tblAuftraege[Einnahmen],tblAuftraege[Datum Einnahmen],"&gt;="&amp;D$5,tblAuftraege[Datum Einnahmen],"&lt;"&amp;EDATE(D$5,1),tblAuftraege[Kostenstelle],$B31))</f>
        <v>0</v>
      </c>
      <c r="E31" s="11" t="n">
        <f aca="false">IF($B31="",0,SUMIFS(tblAuftraege[Einnahmen],tblAuftraege[Datum Einnahmen],"&gt;="&amp;E$5,tblAuftraege[Datum Einnahmen],"&lt;"&amp;EDATE(E$5,1),tblAuftraege[Kostenstelle],$B31))</f>
        <v>0</v>
      </c>
      <c r="F31" s="11" t="n">
        <f aca="false">IF($B31="",0,SUMIFS(tblAuftraege[Einnahmen],tblAuftraege[Datum Einnahmen],"&gt;="&amp;F$5,tblAuftraege[Datum Einnahmen],"&lt;"&amp;EDATE(F$5,1),tblAuftraege[Kostenstelle],$B31))</f>
        <v>0</v>
      </c>
      <c r="G31" s="11" t="n">
        <f aca="false">IF($B31="",0,SUMIFS(tblAuftraege[Einnahmen],tblAuftraege[Datum Einnahmen],"&gt;="&amp;G$5,tblAuftraege[Datum Einnahmen],"&lt;"&amp;EDATE(G$5,1),tblAuftraege[Kostenstelle],$B31))</f>
        <v>0</v>
      </c>
      <c r="H31" s="11" t="n">
        <f aca="false">IF($B31="",0,SUMIFS(tblAuftraege[Einnahmen],tblAuftraege[Datum Einnahmen],"&gt;="&amp;H$5,tblAuftraege[Datum Einnahmen],"&lt;"&amp;EDATE(H$5,1),tblAuftraege[Kostenstelle],$B31))</f>
        <v>0</v>
      </c>
      <c r="I31" s="11" t="n">
        <f aca="false">IF($B31="",0,SUMIFS(tblAuftraege[Einnahmen],tblAuftraege[Datum Einnahmen],"&gt;="&amp;I$5,tblAuftraege[Datum Einnahmen],"&lt;"&amp;EDATE(I$5,1),tblAuftraege[Kostenstelle],$B31))</f>
        <v>0</v>
      </c>
      <c r="J31" s="11" t="n">
        <f aca="false">IF($B31="",0,SUMIFS(tblAuftraege[Einnahmen],tblAuftraege[Datum Einnahmen],"&gt;="&amp;J$5,tblAuftraege[Datum Einnahmen],"&lt;"&amp;EDATE(J$5,1),tblAuftraege[Kostenstelle],$B31))</f>
        <v>0</v>
      </c>
      <c r="K31" s="11" t="n">
        <f aca="false">IF($B31="",0,SUMIFS(tblAuftraege[Einnahmen],tblAuftraege[Datum Einnahmen],"&gt;="&amp;K$5,tblAuftraege[Datum Einnahmen],"&lt;"&amp;EDATE(K$5,1),tblAuftraege[Kostenstelle],$B31))</f>
        <v>0</v>
      </c>
      <c r="L31" s="11" t="n">
        <f aca="false">IF($B31="",0,SUMIFS(tblAuftraege[Einnahmen],tblAuftraege[Datum Einnahmen],"&gt;="&amp;L$5,tblAuftraege[Datum Einnahmen],"&lt;"&amp;EDATE(L$5,1),tblAuftraege[Kostenstelle],$B31))</f>
        <v>0</v>
      </c>
      <c r="M31" s="11" t="n">
        <f aca="false">IF($B31="",0,SUMIFS(tblAuftraege[Einnahmen],tblAuftraege[Datum Einnahmen],"&gt;="&amp;M$5,tblAuftraege[Datum Einnahmen],"&lt;"&amp;EDATE(M$5,1),tblAuftraege[Kostenstelle],$B31))</f>
        <v>0</v>
      </c>
      <c r="N31" s="11" t="n">
        <f aca="false">IF($B31="",0,SUMIFS(tblAuftraege[Einnahmen],tblAuftraege[Datum Einnahmen],"&gt;="&amp;N$5,tblAuftraege[Datum Einnahmen],"&lt;"&amp;EDATE(N$5,1),tblAuftraege[Kostenstelle],$B31))</f>
        <v>0</v>
      </c>
      <c r="O31" s="11" t="n">
        <f aca="false">IF($B31="",0,SUMIFS(tblAuftraege[Einnahmen],tblAuftraege[Datum Einnahmen],"&gt;="&amp;O$5,tblAuftraege[Datum Einnahmen],"&lt;"&amp;EDATE(O$5,1),tblAuftraege[Kostenstelle],$B31))</f>
        <v>0</v>
      </c>
      <c r="P31" s="11" t="n">
        <f aca="false">IF($B31="",0,SUMIFS(tblAuftraege[Einnahmen],tblAuftraege[Datum Einnahmen],"&gt;="&amp;P$5,tblAuftraege[Datum Einnahmen],"&lt;"&amp;EDATE(P$5,1),tblAuftraege[Kostenstelle],$B31))</f>
        <v>0</v>
      </c>
      <c r="Q31" s="11" t="n">
        <f aca="false">IF($B31="",0,SUMIFS(tblAuftraege[Einnahmen],tblAuftraege[Datum Einnahmen],"&gt;="&amp;Q$5,tblAuftraege[Datum Einnahmen],"&lt;"&amp;EDATE(Q$5,1),tblAuftraege[Kostenstelle],$B31))</f>
        <v>0</v>
      </c>
      <c r="R31" s="11" t="n">
        <f aca="false">IF($B31="",0,SUMIFS(tblAuftraege[Einnahmen],tblAuftraege[Datum Einnahmen],"&gt;="&amp;R$5,tblAuftraege[Datum Einnahmen],"&lt;"&amp;EDATE(R$5,1),tblAuftraege[Kostenstelle],$B31))</f>
        <v>0</v>
      </c>
      <c r="S31" s="11" t="n">
        <f aca="false">IF($B31="",0,SUMIFS(tblAuftraege[Einnahmen],tblAuftraege[Datum Einnahmen],"&gt;="&amp;S$5,tblAuftraege[Datum Einnahmen],"&lt;"&amp;EDATE(S$5,1),tblAuftraege[Kostenstelle],$B31))</f>
        <v>0</v>
      </c>
      <c r="T31" s="11" t="n">
        <f aca="false">IF($B31="",0,SUMIFS(tblAuftraege[Einnahmen],tblAuftraege[Datum Einnahmen],"&gt;="&amp;T$5,tblAuftraege[Datum Einnahmen],"&lt;"&amp;EDATE(T$5,1),tblAuftraege[Kostenstelle],$B31))</f>
        <v>0</v>
      </c>
      <c r="U31" s="11" t="n">
        <f aca="false">SUM(C31:H31)</f>
        <v>0</v>
      </c>
      <c r="V31" s="11" t="n">
        <f aca="false">SUM(I31:T31)</f>
        <v>0</v>
      </c>
      <c r="W31" s="12" t="n">
        <f aca="false">SUM(C31:T31)</f>
        <v>0</v>
      </c>
    </row>
    <row r="32" customFormat="false" ht="15" hidden="false" customHeight="false" outlineLevel="0" collapsed="false">
      <c r="A32" s="9"/>
      <c r="B32" s="10"/>
      <c r="C32" s="11" t="n">
        <f aca="false">IF($B32="",0,SUMIFS(tblAuftraege[Einnahmen],tblAuftraege[Datum Einnahmen],"&gt;="&amp;C$5,tblAuftraege[Datum Einnahmen],"&lt;"&amp;EDATE(C$5,1),tblAuftraege[Kostenstelle],$B32))</f>
        <v>0</v>
      </c>
      <c r="D32" s="11" t="n">
        <f aca="false">IF($B32="",0,SUMIFS(tblAuftraege[Einnahmen],tblAuftraege[Datum Einnahmen],"&gt;="&amp;D$5,tblAuftraege[Datum Einnahmen],"&lt;"&amp;EDATE(D$5,1),tblAuftraege[Kostenstelle],$B32))</f>
        <v>0</v>
      </c>
      <c r="E32" s="11" t="n">
        <f aca="false">IF($B32="",0,SUMIFS(tblAuftraege[Einnahmen],tblAuftraege[Datum Einnahmen],"&gt;="&amp;E$5,tblAuftraege[Datum Einnahmen],"&lt;"&amp;EDATE(E$5,1),tblAuftraege[Kostenstelle],$B32))</f>
        <v>0</v>
      </c>
      <c r="F32" s="11" t="n">
        <f aca="false">IF($B32="",0,SUMIFS(tblAuftraege[Einnahmen],tblAuftraege[Datum Einnahmen],"&gt;="&amp;F$5,tblAuftraege[Datum Einnahmen],"&lt;"&amp;EDATE(F$5,1),tblAuftraege[Kostenstelle],$B32))</f>
        <v>0</v>
      </c>
      <c r="G32" s="11" t="n">
        <f aca="false">IF($B32="",0,SUMIFS(tblAuftraege[Einnahmen],tblAuftraege[Datum Einnahmen],"&gt;="&amp;G$5,tblAuftraege[Datum Einnahmen],"&lt;"&amp;EDATE(G$5,1),tblAuftraege[Kostenstelle],$B32))</f>
        <v>0</v>
      </c>
      <c r="H32" s="11" t="n">
        <f aca="false">IF($B32="",0,SUMIFS(tblAuftraege[Einnahmen],tblAuftraege[Datum Einnahmen],"&gt;="&amp;H$5,tblAuftraege[Datum Einnahmen],"&lt;"&amp;EDATE(H$5,1),tblAuftraege[Kostenstelle],$B32))</f>
        <v>0</v>
      </c>
      <c r="I32" s="11" t="n">
        <f aca="false">IF($B32="",0,SUMIFS(tblAuftraege[Einnahmen],tblAuftraege[Datum Einnahmen],"&gt;="&amp;I$5,tblAuftraege[Datum Einnahmen],"&lt;"&amp;EDATE(I$5,1),tblAuftraege[Kostenstelle],$B32))</f>
        <v>0</v>
      </c>
      <c r="J32" s="11" t="n">
        <f aca="false">IF($B32="",0,SUMIFS(tblAuftraege[Einnahmen],tblAuftraege[Datum Einnahmen],"&gt;="&amp;J$5,tblAuftraege[Datum Einnahmen],"&lt;"&amp;EDATE(J$5,1),tblAuftraege[Kostenstelle],$B32))</f>
        <v>0</v>
      </c>
      <c r="K32" s="11" t="n">
        <f aca="false">IF($B32="",0,SUMIFS(tblAuftraege[Einnahmen],tblAuftraege[Datum Einnahmen],"&gt;="&amp;K$5,tblAuftraege[Datum Einnahmen],"&lt;"&amp;EDATE(K$5,1),tblAuftraege[Kostenstelle],$B32))</f>
        <v>0</v>
      </c>
      <c r="L32" s="11" t="n">
        <f aca="false">IF($B32="",0,SUMIFS(tblAuftraege[Einnahmen],tblAuftraege[Datum Einnahmen],"&gt;="&amp;L$5,tblAuftraege[Datum Einnahmen],"&lt;"&amp;EDATE(L$5,1),tblAuftraege[Kostenstelle],$B32))</f>
        <v>0</v>
      </c>
      <c r="M32" s="11" t="n">
        <f aca="false">IF($B32="",0,SUMIFS(tblAuftraege[Einnahmen],tblAuftraege[Datum Einnahmen],"&gt;="&amp;M$5,tblAuftraege[Datum Einnahmen],"&lt;"&amp;EDATE(M$5,1),tblAuftraege[Kostenstelle],$B32))</f>
        <v>0</v>
      </c>
      <c r="N32" s="11" t="n">
        <f aca="false">IF($B32="",0,SUMIFS(tblAuftraege[Einnahmen],tblAuftraege[Datum Einnahmen],"&gt;="&amp;N$5,tblAuftraege[Datum Einnahmen],"&lt;"&amp;EDATE(N$5,1),tblAuftraege[Kostenstelle],$B32))</f>
        <v>0</v>
      </c>
      <c r="O32" s="11" t="n">
        <f aca="false">IF($B32="",0,SUMIFS(tblAuftraege[Einnahmen],tblAuftraege[Datum Einnahmen],"&gt;="&amp;O$5,tblAuftraege[Datum Einnahmen],"&lt;"&amp;EDATE(O$5,1),tblAuftraege[Kostenstelle],$B32))</f>
        <v>0</v>
      </c>
      <c r="P32" s="11" t="n">
        <f aca="false">IF($B32="",0,SUMIFS(tblAuftraege[Einnahmen],tblAuftraege[Datum Einnahmen],"&gt;="&amp;P$5,tblAuftraege[Datum Einnahmen],"&lt;"&amp;EDATE(P$5,1),tblAuftraege[Kostenstelle],$B32))</f>
        <v>0</v>
      </c>
      <c r="Q32" s="11" t="n">
        <f aca="false">IF($B32="",0,SUMIFS(tblAuftraege[Einnahmen],tblAuftraege[Datum Einnahmen],"&gt;="&amp;Q$5,tblAuftraege[Datum Einnahmen],"&lt;"&amp;EDATE(Q$5,1),tblAuftraege[Kostenstelle],$B32))</f>
        <v>0</v>
      </c>
      <c r="R32" s="11" t="n">
        <f aca="false">IF($B32="",0,SUMIFS(tblAuftraege[Einnahmen],tblAuftraege[Datum Einnahmen],"&gt;="&amp;R$5,tblAuftraege[Datum Einnahmen],"&lt;"&amp;EDATE(R$5,1),tblAuftraege[Kostenstelle],$B32))</f>
        <v>0</v>
      </c>
      <c r="S32" s="11" t="n">
        <f aca="false">IF($B32="",0,SUMIFS(tblAuftraege[Einnahmen],tblAuftraege[Datum Einnahmen],"&gt;="&amp;S$5,tblAuftraege[Datum Einnahmen],"&lt;"&amp;EDATE(S$5,1),tblAuftraege[Kostenstelle],$B32))</f>
        <v>0</v>
      </c>
      <c r="T32" s="11" t="n">
        <f aca="false">IF($B32="",0,SUMIFS(tblAuftraege[Einnahmen],tblAuftraege[Datum Einnahmen],"&gt;="&amp;T$5,tblAuftraege[Datum Einnahmen],"&lt;"&amp;EDATE(T$5,1),tblAuftraege[Kostenstelle],$B32))</f>
        <v>0</v>
      </c>
      <c r="U32" s="11" t="n">
        <f aca="false">SUM(C32:H32)</f>
        <v>0</v>
      </c>
      <c r="V32" s="11" t="n">
        <f aca="false">SUM(I32:T32)</f>
        <v>0</v>
      </c>
      <c r="W32" s="12" t="n">
        <f aca="false">SUM(C32:T32)</f>
        <v>0</v>
      </c>
    </row>
    <row r="33" customFormat="false" ht="15" hidden="false" customHeight="false" outlineLevel="0" collapsed="false">
      <c r="A33" s="9"/>
      <c r="B33" s="10"/>
      <c r="C33" s="11" t="n">
        <f aca="false">IF($B33="",0,SUMIFS(tblAuftraege[Einnahmen],tblAuftraege[Datum Einnahmen],"&gt;="&amp;C$5,tblAuftraege[Datum Einnahmen],"&lt;"&amp;EDATE(C$5,1),tblAuftraege[Kostenstelle],$B33))</f>
        <v>0</v>
      </c>
      <c r="D33" s="11" t="n">
        <f aca="false">IF($B33="",0,SUMIFS(tblAuftraege[Einnahmen],tblAuftraege[Datum Einnahmen],"&gt;="&amp;D$5,tblAuftraege[Datum Einnahmen],"&lt;"&amp;EDATE(D$5,1),tblAuftraege[Kostenstelle],$B33))</f>
        <v>0</v>
      </c>
      <c r="E33" s="11" t="n">
        <f aca="false">IF($B33="",0,SUMIFS(tblAuftraege[Einnahmen],tblAuftraege[Datum Einnahmen],"&gt;="&amp;E$5,tblAuftraege[Datum Einnahmen],"&lt;"&amp;EDATE(E$5,1),tblAuftraege[Kostenstelle],$B33))</f>
        <v>0</v>
      </c>
      <c r="F33" s="11" t="n">
        <f aca="false">IF($B33="",0,SUMIFS(tblAuftraege[Einnahmen],tblAuftraege[Datum Einnahmen],"&gt;="&amp;F$5,tblAuftraege[Datum Einnahmen],"&lt;"&amp;EDATE(F$5,1),tblAuftraege[Kostenstelle],$B33))</f>
        <v>0</v>
      </c>
      <c r="G33" s="11" t="n">
        <f aca="false">IF($B33="",0,SUMIFS(tblAuftraege[Einnahmen],tblAuftraege[Datum Einnahmen],"&gt;="&amp;G$5,tblAuftraege[Datum Einnahmen],"&lt;"&amp;EDATE(G$5,1),tblAuftraege[Kostenstelle],$B33))</f>
        <v>0</v>
      </c>
      <c r="H33" s="11" t="n">
        <f aca="false">IF($B33="",0,SUMIFS(tblAuftraege[Einnahmen],tblAuftraege[Datum Einnahmen],"&gt;="&amp;H$5,tblAuftraege[Datum Einnahmen],"&lt;"&amp;EDATE(H$5,1),tblAuftraege[Kostenstelle],$B33))</f>
        <v>0</v>
      </c>
      <c r="I33" s="11" t="n">
        <f aca="false">IF($B33="",0,SUMIFS(tblAuftraege[Einnahmen],tblAuftraege[Datum Einnahmen],"&gt;="&amp;I$5,tblAuftraege[Datum Einnahmen],"&lt;"&amp;EDATE(I$5,1),tblAuftraege[Kostenstelle],$B33))</f>
        <v>0</v>
      </c>
      <c r="J33" s="11" t="n">
        <f aca="false">IF($B33="",0,SUMIFS(tblAuftraege[Einnahmen],tblAuftraege[Datum Einnahmen],"&gt;="&amp;J$5,tblAuftraege[Datum Einnahmen],"&lt;"&amp;EDATE(J$5,1),tblAuftraege[Kostenstelle],$B33))</f>
        <v>0</v>
      </c>
      <c r="K33" s="11" t="n">
        <f aca="false">IF($B33="",0,SUMIFS(tblAuftraege[Einnahmen],tblAuftraege[Datum Einnahmen],"&gt;="&amp;K$5,tblAuftraege[Datum Einnahmen],"&lt;"&amp;EDATE(K$5,1),tblAuftraege[Kostenstelle],$B33))</f>
        <v>0</v>
      </c>
      <c r="L33" s="11" t="n">
        <f aca="false">IF($B33="",0,SUMIFS(tblAuftraege[Einnahmen],tblAuftraege[Datum Einnahmen],"&gt;="&amp;L$5,tblAuftraege[Datum Einnahmen],"&lt;"&amp;EDATE(L$5,1),tblAuftraege[Kostenstelle],$B33))</f>
        <v>0</v>
      </c>
      <c r="M33" s="11" t="n">
        <f aca="false">IF($B33="",0,SUMIFS(tblAuftraege[Einnahmen],tblAuftraege[Datum Einnahmen],"&gt;="&amp;M$5,tblAuftraege[Datum Einnahmen],"&lt;"&amp;EDATE(M$5,1),tblAuftraege[Kostenstelle],$B33))</f>
        <v>0</v>
      </c>
      <c r="N33" s="11" t="n">
        <f aca="false">IF($B33="",0,SUMIFS(tblAuftraege[Einnahmen],tblAuftraege[Datum Einnahmen],"&gt;="&amp;N$5,tblAuftraege[Datum Einnahmen],"&lt;"&amp;EDATE(N$5,1),tblAuftraege[Kostenstelle],$B33))</f>
        <v>0</v>
      </c>
      <c r="O33" s="11" t="n">
        <f aca="false">IF($B33="",0,SUMIFS(tblAuftraege[Einnahmen],tblAuftraege[Datum Einnahmen],"&gt;="&amp;O$5,tblAuftraege[Datum Einnahmen],"&lt;"&amp;EDATE(O$5,1),tblAuftraege[Kostenstelle],$B33))</f>
        <v>0</v>
      </c>
      <c r="P33" s="11" t="n">
        <f aca="false">IF($B33="",0,SUMIFS(tblAuftraege[Einnahmen],tblAuftraege[Datum Einnahmen],"&gt;="&amp;P$5,tblAuftraege[Datum Einnahmen],"&lt;"&amp;EDATE(P$5,1),tblAuftraege[Kostenstelle],$B33))</f>
        <v>0</v>
      </c>
      <c r="Q33" s="11" t="n">
        <f aca="false">IF($B33="",0,SUMIFS(tblAuftraege[Einnahmen],tblAuftraege[Datum Einnahmen],"&gt;="&amp;Q$5,tblAuftraege[Datum Einnahmen],"&lt;"&amp;EDATE(Q$5,1),tblAuftraege[Kostenstelle],$B33))</f>
        <v>0</v>
      </c>
      <c r="R33" s="11" t="n">
        <f aca="false">IF($B33="",0,SUMIFS(tblAuftraege[Einnahmen],tblAuftraege[Datum Einnahmen],"&gt;="&amp;R$5,tblAuftraege[Datum Einnahmen],"&lt;"&amp;EDATE(R$5,1),tblAuftraege[Kostenstelle],$B33))</f>
        <v>0</v>
      </c>
      <c r="S33" s="11" t="n">
        <f aca="false">IF($B33="",0,SUMIFS(tblAuftraege[Einnahmen],tblAuftraege[Datum Einnahmen],"&gt;="&amp;S$5,tblAuftraege[Datum Einnahmen],"&lt;"&amp;EDATE(S$5,1),tblAuftraege[Kostenstelle],$B33))</f>
        <v>0</v>
      </c>
      <c r="T33" s="11" t="n">
        <f aca="false">IF($B33="",0,SUMIFS(tblAuftraege[Einnahmen],tblAuftraege[Datum Einnahmen],"&gt;="&amp;T$5,tblAuftraege[Datum Einnahmen],"&lt;"&amp;EDATE(T$5,1),tblAuftraege[Kostenstelle],$B33))</f>
        <v>0</v>
      </c>
      <c r="U33" s="11" t="n">
        <f aca="false">SUM(C33:H33)</f>
        <v>0</v>
      </c>
      <c r="V33" s="11" t="n">
        <f aca="false">SUM(I33:T33)</f>
        <v>0</v>
      </c>
      <c r="W33" s="12" t="n">
        <f aca="false">SUM(C33:T33)</f>
        <v>0</v>
      </c>
    </row>
    <row r="34" customFormat="false" ht="15" hidden="false" customHeight="false" outlineLevel="0" collapsed="false">
      <c r="A34" s="9"/>
      <c r="B34" s="10"/>
      <c r="C34" s="11" t="n">
        <f aca="false">IF($B34="",0,SUMIFS(tblAuftraege[Einnahmen],tblAuftraege[Datum Einnahmen],"&gt;="&amp;C$5,tblAuftraege[Datum Einnahmen],"&lt;"&amp;EDATE(C$5,1),tblAuftraege[Kostenstelle],$B34))</f>
        <v>0</v>
      </c>
      <c r="D34" s="11" t="n">
        <f aca="false">IF($B34="",0,SUMIFS(tblAuftraege[Einnahmen],tblAuftraege[Datum Einnahmen],"&gt;="&amp;D$5,tblAuftraege[Datum Einnahmen],"&lt;"&amp;EDATE(D$5,1),tblAuftraege[Kostenstelle],$B34))</f>
        <v>0</v>
      </c>
      <c r="E34" s="11" t="n">
        <f aca="false">IF($B34="",0,SUMIFS(tblAuftraege[Einnahmen],tblAuftraege[Datum Einnahmen],"&gt;="&amp;E$5,tblAuftraege[Datum Einnahmen],"&lt;"&amp;EDATE(E$5,1),tblAuftraege[Kostenstelle],$B34))</f>
        <v>0</v>
      </c>
      <c r="F34" s="11" t="n">
        <f aca="false">IF($B34="",0,SUMIFS(tblAuftraege[Einnahmen],tblAuftraege[Datum Einnahmen],"&gt;="&amp;F$5,tblAuftraege[Datum Einnahmen],"&lt;"&amp;EDATE(F$5,1),tblAuftraege[Kostenstelle],$B34))</f>
        <v>0</v>
      </c>
      <c r="G34" s="11" t="n">
        <f aca="false">IF($B34="",0,SUMIFS(tblAuftraege[Einnahmen],tblAuftraege[Datum Einnahmen],"&gt;="&amp;G$5,tblAuftraege[Datum Einnahmen],"&lt;"&amp;EDATE(G$5,1),tblAuftraege[Kostenstelle],$B34))</f>
        <v>0</v>
      </c>
      <c r="H34" s="11" t="n">
        <f aca="false">IF($B34="",0,SUMIFS(tblAuftraege[Einnahmen],tblAuftraege[Datum Einnahmen],"&gt;="&amp;H$5,tblAuftraege[Datum Einnahmen],"&lt;"&amp;EDATE(H$5,1),tblAuftraege[Kostenstelle],$B34))</f>
        <v>0</v>
      </c>
      <c r="I34" s="11" t="n">
        <f aca="false">IF($B34="",0,SUMIFS(tblAuftraege[Einnahmen],tblAuftraege[Datum Einnahmen],"&gt;="&amp;I$5,tblAuftraege[Datum Einnahmen],"&lt;"&amp;EDATE(I$5,1),tblAuftraege[Kostenstelle],$B34))</f>
        <v>0</v>
      </c>
      <c r="J34" s="11" t="n">
        <f aca="false">IF($B34="",0,SUMIFS(tblAuftraege[Einnahmen],tblAuftraege[Datum Einnahmen],"&gt;="&amp;J$5,tblAuftraege[Datum Einnahmen],"&lt;"&amp;EDATE(J$5,1),tblAuftraege[Kostenstelle],$B34))</f>
        <v>0</v>
      </c>
      <c r="K34" s="11" t="n">
        <f aca="false">IF($B34="",0,SUMIFS(tblAuftraege[Einnahmen],tblAuftraege[Datum Einnahmen],"&gt;="&amp;K$5,tblAuftraege[Datum Einnahmen],"&lt;"&amp;EDATE(K$5,1),tblAuftraege[Kostenstelle],$B34))</f>
        <v>0</v>
      </c>
      <c r="L34" s="11" t="n">
        <f aca="false">IF($B34="",0,SUMIFS(tblAuftraege[Einnahmen],tblAuftraege[Datum Einnahmen],"&gt;="&amp;L$5,tblAuftraege[Datum Einnahmen],"&lt;"&amp;EDATE(L$5,1),tblAuftraege[Kostenstelle],$B34))</f>
        <v>0</v>
      </c>
      <c r="M34" s="11" t="n">
        <f aca="false">IF($B34="",0,SUMIFS(tblAuftraege[Einnahmen],tblAuftraege[Datum Einnahmen],"&gt;="&amp;M$5,tblAuftraege[Datum Einnahmen],"&lt;"&amp;EDATE(M$5,1),tblAuftraege[Kostenstelle],$B34))</f>
        <v>0</v>
      </c>
      <c r="N34" s="11" t="n">
        <f aca="false">IF($B34="",0,SUMIFS(tblAuftraege[Einnahmen],tblAuftraege[Datum Einnahmen],"&gt;="&amp;N$5,tblAuftraege[Datum Einnahmen],"&lt;"&amp;EDATE(N$5,1),tblAuftraege[Kostenstelle],$B34))</f>
        <v>0</v>
      </c>
      <c r="O34" s="11" t="n">
        <f aca="false">IF($B34="",0,SUMIFS(tblAuftraege[Einnahmen],tblAuftraege[Datum Einnahmen],"&gt;="&amp;O$5,tblAuftraege[Datum Einnahmen],"&lt;"&amp;EDATE(O$5,1),tblAuftraege[Kostenstelle],$B34))</f>
        <v>0</v>
      </c>
      <c r="P34" s="11" t="n">
        <f aca="false">IF($B34="",0,SUMIFS(tblAuftraege[Einnahmen],tblAuftraege[Datum Einnahmen],"&gt;="&amp;P$5,tblAuftraege[Datum Einnahmen],"&lt;"&amp;EDATE(P$5,1),tblAuftraege[Kostenstelle],$B34))</f>
        <v>0</v>
      </c>
      <c r="Q34" s="11" t="n">
        <f aca="false">IF($B34="",0,SUMIFS(tblAuftraege[Einnahmen],tblAuftraege[Datum Einnahmen],"&gt;="&amp;Q$5,tblAuftraege[Datum Einnahmen],"&lt;"&amp;EDATE(Q$5,1),tblAuftraege[Kostenstelle],$B34))</f>
        <v>0</v>
      </c>
      <c r="R34" s="11" t="n">
        <f aca="false">IF($B34="",0,SUMIFS(tblAuftraege[Einnahmen],tblAuftraege[Datum Einnahmen],"&gt;="&amp;R$5,tblAuftraege[Datum Einnahmen],"&lt;"&amp;EDATE(R$5,1),tblAuftraege[Kostenstelle],$B34))</f>
        <v>0</v>
      </c>
      <c r="S34" s="11" t="n">
        <f aca="false">IF($B34="",0,SUMIFS(tblAuftraege[Einnahmen],tblAuftraege[Datum Einnahmen],"&gt;="&amp;S$5,tblAuftraege[Datum Einnahmen],"&lt;"&amp;EDATE(S$5,1),tblAuftraege[Kostenstelle],$B34))</f>
        <v>0</v>
      </c>
      <c r="T34" s="11" t="n">
        <f aca="false">IF($B34="",0,SUMIFS(tblAuftraege[Einnahmen],tblAuftraege[Datum Einnahmen],"&gt;="&amp;T$5,tblAuftraege[Datum Einnahmen],"&lt;"&amp;EDATE(T$5,1),tblAuftraege[Kostenstelle],$B34))</f>
        <v>0</v>
      </c>
      <c r="U34" s="11" t="n">
        <f aca="false">SUM(C34:H34)</f>
        <v>0</v>
      </c>
      <c r="V34" s="11" t="n">
        <f aca="false">SUM(I34:T34)</f>
        <v>0</v>
      </c>
      <c r="W34" s="12" t="n">
        <f aca="false">SUM(C34:T34)</f>
        <v>0</v>
      </c>
    </row>
    <row r="35" customFormat="false" ht="15" hidden="false" customHeight="false" outlineLevel="0" collapsed="false">
      <c r="A35" s="9"/>
      <c r="B35" s="10"/>
      <c r="C35" s="11" t="n">
        <f aca="false">IF($B35="",0,SUMIFS(tblAuftraege[Einnahmen],tblAuftraege[Datum Einnahmen],"&gt;="&amp;C$5,tblAuftraege[Datum Einnahmen],"&lt;"&amp;EDATE(C$5,1),tblAuftraege[Kostenstelle],$B35))</f>
        <v>0</v>
      </c>
      <c r="D35" s="11" t="n">
        <f aca="false">IF($B35="",0,SUMIFS(tblAuftraege[Einnahmen],tblAuftraege[Datum Einnahmen],"&gt;="&amp;D$5,tblAuftraege[Datum Einnahmen],"&lt;"&amp;EDATE(D$5,1),tblAuftraege[Kostenstelle],$B35))</f>
        <v>0</v>
      </c>
      <c r="E35" s="11" t="n">
        <f aca="false">IF($B35="",0,SUMIFS(tblAuftraege[Einnahmen],tblAuftraege[Datum Einnahmen],"&gt;="&amp;E$5,tblAuftraege[Datum Einnahmen],"&lt;"&amp;EDATE(E$5,1),tblAuftraege[Kostenstelle],$B35))</f>
        <v>0</v>
      </c>
      <c r="F35" s="11" t="n">
        <f aca="false">IF($B35="",0,SUMIFS(tblAuftraege[Einnahmen],tblAuftraege[Datum Einnahmen],"&gt;="&amp;F$5,tblAuftraege[Datum Einnahmen],"&lt;"&amp;EDATE(F$5,1),tblAuftraege[Kostenstelle],$B35))</f>
        <v>0</v>
      </c>
      <c r="G35" s="11" t="n">
        <f aca="false">IF($B35="",0,SUMIFS(tblAuftraege[Einnahmen],tblAuftraege[Datum Einnahmen],"&gt;="&amp;G$5,tblAuftraege[Datum Einnahmen],"&lt;"&amp;EDATE(G$5,1),tblAuftraege[Kostenstelle],$B35))</f>
        <v>0</v>
      </c>
      <c r="H35" s="11" t="n">
        <f aca="false">IF($B35="",0,SUMIFS(tblAuftraege[Einnahmen],tblAuftraege[Datum Einnahmen],"&gt;="&amp;H$5,tblAuftraege[Datum Einnahmen],"&lt;"&amp;EDATE(H$5,1),tblAuftraege[Kostenstelle],$B35))</f>
        <v>0</v>
      </c>
      <c r="I35" s="11" t="n">
        <f aca="false">IF($B35="",0,SUMIFS(tblAuftraege[Einnahmen],tblAuftraege[Datum Einnahmen],"&gt;="&amp;I$5,tblAuftraege[Datum Einnahmen],"&lt;"&amp;EDATE(I$5,1),tblAuftraege[Kostenstelle],$B35))</f>
        <v>0</v>
      </c>
      <c r="J35" s="11" t="n">
        <f aca="false">IF($B35="",0,SUMIFS(tblAuftraege[Einnahmen],tblAuftraege[Datum Einnahmen],"&gt;="&amp;J$5,tblAuftraege[Datum Einnahmen],"&lt;"&amp;EDATE(J$5,1),tblAuftraege[Kostenstelle],$B35))</f>
        <v>0</v>
      </c>
      <c r="K35" s="11" t="n">
        <f aca="false">IF($B35="",0,SUMIFS(tblAuftraege[Einnahmen],tblAuftraege[Datum Einnahmen],"&gt;="&amp;K$5,tblAuftraege[Datum Einnahmen],"&lt;"&amp;EDATE(K$5,1),tblAuftraege[Kostenstelle],$B35))</f>
        <v>0</v>
      </c>
      <c r="L35" s="11" t="n">
        <f aca="false">IF($B35="",0,SUMIFS(tblAuftraege[Einnahmen],tblAuftraege[Datum Einnahmen],"&gt;="&amp;L$5,tblAuftraege[Datum Einnahmen],"&lt;"&amp;EDATE(L$5,1),tblAuftraege[Kostenstelle],$B35))</f>
        <v>0</v>
      </c>
      <c r="M35" s="11" t="n">
        <f aca="false">IF($B35="",0,SUMIFS(tblAuftraege[Einnahmen],tblAuftraege[Datum Einnahmen],"&gt;="&amp;M$5,tblAuftraege[Datum Einnahmen],"&lt;"&amp;EDATE(M$5,1),tblAuftraege[Kostenstelle],$B35))</f>
        <v>0</v>
      </c>
      <c r="N35" s="11" t="n">
        <f aca="false">IF($B35="",0,SUMIFS(tblAuftraege[Einnahmen],tblAuftraege[Datum Einnahmen],"&gt;="&amp;N$5,tblAuftraege[Datum Einnahmen],"&lt;"&amp;EDATE(N$5,1),tblAuftraege[Kostenstelle],$B35))</f>
        <v>0</v>
      </c>
      <c r="O35" s="11" t="n">
        <f aca="false">IF($B35="",0,SUMIFS(tblAuftraege[Einnahmen],tblAuftraege[Datum Einnahmen],"&gt;="&amp;O$5,tblAuftraege[Datum Einnahmen],"&lt;"&amp;EDATE(O$5,1),tblAuftraege[Kostenstelle],$B35))</f>
        <v>0</v>
      </c>
      <c r="P35" s="11" t="n">
        <f aca="false">IF($B35="",0,SUMIFS(tblAuftraege[Einnahmen],tblAuftraege[Datum Einnahmen],"&gt;="&amp;P$5,tblAuftraege[Datum Einnahmen],"&lt;"&amp;EDATE(P$5,1),tblAuftraege[Kostenstelle],$B35))</f>
        <v>0</v>
      </c>
      <c r="Q35" s="11" t="n">
        <f aca="false">IF($B35="",0,SUMIFS(tblAuftraege[Einnahmen],tblAuftraege[Datum Einnahmen],"&gt;="&amp;Q$5,tblAuftraege[Datum Einnahmen],"&lt;"&amp;EDATE(Q$5,1),tblAuftraege[Kostenstelle],$B35))</f>
        <v>0</v>
      </c>
      <c r="R35" s="11" t="n">
        <f aca="false">IF($B35="",0,SUMIFS(tblAuftraege[Einnahmen],tblAuftraege[Datum Einnahmen],"&gt;="&amp;R$5,tblAuftraege[Datum Einnahmen],"&lt;"&amp;EDATE(R$5,1),tblAuftraege[Kostenstelle],$B35))</f>
        <v>0</v>
      </c>
      <c r="S35" s="11" t="n">
        <f aca="false">IF($B35="",0,SUMIFS(tblAuftraege[Einnahmen],tblAuftraege[Datum Einnahmen],"&gt;="&amp;S$5,tblAuftraege[Datum Einnahmen],"&lt;"&amp;EDATE(S$5,1),tblAuftraege[Kostenstelle],$B35))</f>
        <v>0</v>
      </c>
      <c r="T35" s="11" t="n">
        <f aca="false">IF($B35="",0,SUMIFS(tblAuftraege[Einnahmen],tblAuftraege[Datum Einnahmen],"&gt;="&amp;T$5,tblAuftraege[Datum Einnahmen],"&lt;"&amp;EDATE(T$5,1),tblAuftraege[Kostenstelle],$B35))</f>
        <v>0</v>
      </c>
      <c r="U35" s="11" t="n">
        <f aca="false">SUM(C35:H35)</f>
        <v>0</v>
      </c>
      <c r="V35" s="11" t="n">
        <f aca="false">SUM(I35:T35)</f>
        <v>0</v>
      </c>
      <c r="W35" s="12" t="n">
        <f aca="false">SUM(C35:T35)</f>
        <v>0</v>
      </c>
    </row>
    <row r="36" customFormat="false" ht="15" hidden="false" customHeight="false" outlineLevel="0" collapsed="false">
      <c r="A36" s="9"/>
      <c r="B36" s="10"/>
      <c r="C36" s="11" t="n">
        <f aca="false">IF($B36="",0,SUMIFS(tblAuftraege[Einnahmen],tblAuftraege[Datum Einnahmen],"&gt;="&amp;C$5,tblAuftraege[Datum Einnahmen],"&lt;"&amp;EDATE(C$5,1),tblAuftraege[Kostenstelle],$B36))</f>
        <v>0</v>
      </c>
      <c r="D36" s="11" t="n">
        <f aca="false">IF($B36="",0,SUMIFS(tblAuftraege[Einnahmen],tblAuftraege[Datum Einnahmen],"&gt;="&amp;D$5,tblAuftraege[Datum Einnahmen],"&lt;"&amp;EDATE(D$5,1),tblAuftraege[Kostenstelle],$B36))</f>
        <v>0</v>
      </c>
      <c r="E36" s="11" t="n">
        <f aca="false">IF($B36="",0,SUMIFS(tblAuftraege[Einnahmen],tblAuftraege[Datum Einnahmen],"&gt;="&amp;E$5,tblAuftraege[Datum Einnahmen],"&lt;"&amp;EDATE(E$5,1),tblAuftraege[Kostenstelle],$B36))</f>
        <v>0</v>
      </c>
      <c r="F36" s="11" t="n">
        <f aca="false">IF($B36="",0,SUMIFS(tblAuftraege[Einnahmen],tblAuftraege[Datum Einnahmen],"&gt;="&amp;F$5,tblAuftraege[Datum Einnahmen],"&lt;"&amp;EDATE(F$5,1),tblAuftraege[Kostenstelle],$B36))</f>
        <v>0</v>
      </c>
      <c r="G36" s="11" t="n">
        <f aca="false">IF($B36="",0,SUMIFS(tblAuftraege[Einnahmen],tblAuftraege[Datum Einnahmen],"&gt;="&amp;G$5,tblAuftraege[Datum Einnahmen],"&lt;"&amp;EDATE(G$5,1),tblAuftraege[Kostenstelle],$B36))</f>
        <v>0</v>
      </c>
      <c r="H36" s="11" t="n">
        <f aca="false">IF($B36="",0,SUMIFS(tblAuftraege[Einnahmen],tblAuftraege[Datum Einnahmen],"&gt;="&amp;H$5,tblAuftraege[Datum Einnahmen],"&lt;"&amp;EDATE(H$5,1),tblAuftraege[Kostenstelle],$B36))</f>
        <v>0</v>
      </c>
      <c r="I36" s="11" t="n">
        <f aca="false">IF($B36="",0,SUMIFS(tblAuftraege[Einnahmen],tblAuftraege[Datum Einnahmen],"&gt;="&amp;I$5,tblAuftraege[Datum Einnahmen],"&lt;"&amp;EDATE(I$5,1),tblAuftraege[Kostenstelle],$B36))</f>
        <v>0</v>
      </c>
      <c r="J36" s="11" t="n">
        <f aca="false">IF($B36="",0,SUMIFS(tblAuftraege[Einnahmen],tblAuftraege[Datum Einnahmen],"&gt;="&amp;J$5,tblAuftraege[Datum Einnahmen],"&lt;"&amp;EDATE(J$5,1),tblAuftraege[Kostenstelle],$B36))</f>
        <v>0</v>
      </c>
      <c r="K36" s="11" t="n">
        <f aca="false">IF($B36="",0,SUMIFS(tblAuftraege[Einnahmen],tblAuftraege[Datum Einnahmen],"&gt;="&amp;K$5,tblAuftraege[Datum Einnahmen],"&lt;"&amp;EDATE(K$5,1),tblAuftraege[Kostenstelle],$B36))</f>
        <v>0</v>
      </c>
      <c r="L36" s="11" t="n">
        <f aca="false">IF($B36="",0,SUMIFS(tblAuftraege[Einnahmen],tblAuftraege[Datum Einnahmen],"&gt;="&amp;L$5,tblAuftraege[Datum Einnahmen],"&lt;"&amp;EDATE(L$5,1),tblAuftraege[Kostenstelle],$B36))</f>
        <v>0</v>
      </c>
      <c r="M36" s="11" t="n">
        <f aca="false">IF($B36="",0,SUMIFS(tblAuftraege[Einnahmen],tblAuftraege[Datum Einnahmen],"&gt;="&amp;M$5,tblAuftraege[Datum Einnahmen],"&lt;"&amp;EDATE(M$5,1),tblAuftraege[Kostenstelle],$B36))</f>
        <v>0</v>
      </c>
      <c r="N36" s="11" t="n">
        <f aca="false">IF($B36="",0,SUMIFS(tblAuftraege[Einnahmen],tblAuftraege[Datum Einnahmen],"&gt;="&amp;N$5,tblAuftraege[Datum Einnahmen],"&lt;"&amp;EDATE(N$5,1),tblAuftraege[Kostenstelle],$B36))</f>
        <v>0</v>
      </c>
      <c r="O36" s="11" t="n">
        <f aca="false">IF($B36="",0,SUMIFS(tblAuftraege[Einnahmen],tblAuftraege[Datum Einnahmen],"&gt;="&amp;O$5,tblAuftraege[Datum Einnahmen],"&lt;"&amp;EDATE(O$5,1),tblAuftraege[Kostenstelle],$B36))</f>
        <v>0</v>
      </c>
      <c r="P36" s="11" t="n">
        <f aca="false">IF($B36="",0,SUMIFS(tblAuftraege[Einnahmen],tblAuftraege[Datum Einnahmen],"&gt;="&amp;P$5,tblAuftraege[Datum Einnahmen],"&lt;"&amp;EDATE(P$5,1),tblAuftraege[Kostenstelle],$B36))</f>
        <v>0</v>
      </c>
      <c r="Q36" s="11" t="n">
        <f aca="false">IF($B36="",0,SUMIFS(tblAuftraege[Einnahmen],tblAuftraege[Datum Einnahmen],"&gt;="&amp;Q$5,tblAuftraege[Datum Einnahmen],"&lt;"&amp;EDATE(Q$5,1),tblAuftraege[Kostenstelle],$B36))</f>
        <v>0</v>
      </c>
      <c r="R36" s="11" t="n">
        <f aca="false">IF($B36="",0,SUMIFS(tblAuftraege[Einnahmen],tblAuftraege[Datum Einnahmen],"&gt;="&amp;R$5,tblAuftraege[Datum Einnahmen],"&lt;"&amp;EDATE(R$5,1),tblAuftraege[Kostenstelle],$B36))</f>
        <v>0</v>
      </c>
      <c r="S36" s="11" t="n">
        <f aca="false">IF($B36="",0,SUMIFS(tblAuftraege[Einnahmen],tblAuftraege[Datum Einnahmen],"&gt;="&amp;S$5,tblAuftraege[Datum Einnahmen],"&lt;"&amp;EDATE(S$5,1),tblAuftraege[Kostenstelle],$B36))</f>
        <v>0</v>
      </c>
      <c r="T36" s="11" t="n">
        <f aca="false">IF($B36="",0,SUMIFS(tblAuftraege[Einnahmen],tblAuftraege[Datum Einnahmen],"&gt;="&amp;T$5,tblAuftraege[Datum Einnahmen],"&lt;"&amp;EDATE(T$5,1),tblAuftraege[Kostenstelle],$B36))</f>
        <v>0</v>
      </c>
      <c r="U36" s="11" t="n">
        <f aca="false">SUM(C36:H36)</f>
        <v>0</v>
      </c>
      <c r="V36" s="11" t="n">
        <f aca="false">SUM(I36:T36)</f>
        <v>0</v>
      </c>
      <c r="W36" s="12" t="n">
        <f aca="false">SUM(C36:T36)</f>
        <v>0</v>
      </c>
    </row>
    <row r="37" customFormat="false" ht="15" hidden="false" customHeight="false" outlineLevel="0" collapsed="false">
      <c r="A37" s="9"/>
      <c r="B37" s="10"/>
      <c r="C37" s="11" t="n">
        <f aca="false">IF($B37="",0,SUMIFS(tblAuftraege[Einnahmen],tblAuftraege[Datum Einnahmen],"&gt;="&amp;C$5,tblAuftraege[Datum Einnahmen],"&lt;"&amp;EDATE(C$5,1),tblAuftraege[Kostenstelle],$B37))</f>
        <v>0</v>
      </c>
      <c r="D37" s="11" t="n">
        <f aca="false">IF($B37="",0,SUMIFS(tblAuftraege[Einnahmen],tblAuftraege[Datum Einnahmen],"&gt;="&amp;D$5,tblAuftraege[Datum Einnahmen],"&lt;"&amp;EDATE(D$5,1),tblAuftraege[Kostenstelle],$B37))</f>
        <v>0</v>
      </c>
      <c r="E37" s="11" t="n">
        <f aca="false">IF($B37="",0,SUMIFS(tblAuftraege[Einnahmen],tblAuftraege[Datum Einnahmen],"&gt;="&amp;E$5,tblAuftraege[Datum Einnahmen],"&lt;"&amp;EDATE(E$5,1),tblAuftraege[Kostenstelle],$B37))</f>
        <v>0</v>
      </c>
      <c r="F37" s="11" t="n">
        <f aca="false">IF($B37="",0,SUMIFS(tblAuftraege[Einnahmen],tblAuftraege[Datum Einnahmen],"&gt;="&amp;F$5,tblAuftraege[Datum Einnahmen],"&lt;"&amp;EDATE(F$5,1),tblAuftraege[Kostenstelle],$B37))</f>
        <v>0</v>
      </c>
      <c r="G37" s="11" t="n">
        <f aca="false">IF($B37="",0,SUMIFS(tblAuftraege[Einnahmen],tblAuftraege[Datum Einnahmen],"&gt;="&amp;G$5,tblAuftraege[Datum Einnahmen],"&lt;"&amp;EDATE(G$5,1),tblAuftraege[Kostenstelle],$B37))</f>
        <v>0</v>
      </c>
      <c r="H37" s="11" t="n">
        <f aca="false">IF($B37="",0,SUMIFS(tblAuftraege[Einnahmen],tblAuftraege[Datum Einnahmen],"&gt;="&amp;H$5,tblAuftraege[Datum Einnahmen],"&lt;"&amp;EDATE(H$5,1),tblAuftraege[Kostenstelle],$B37))</f>
        <v>0</v>
      </c>
      <c r="I37" s="11" t="n">
        <f aca="false">IF($B37="",0,SUMIFS(tblAuftraege[Einnahmen],tblAuftraege[Datum Einnahmen],"&gt;="&amp;I$5,tblAuftraege[Datum Einnahmen],"&lt;"&amp;EDATE(I$5,1),tblAuftraege[Kostenstelle],$B37))</f>
        <v>0</v>
      </c>
      <c r="J37" s="11" t="n">
        <f aca="false">IF($B37="",0,SUMIFS(tblAuftraege[Einnahmen],tblAuftraege[Datum Einnahmen],"&gt;="&amp;J$5,tblAuftraege[Datum Einnahmen],"&lt;"&amp;EDATE(J$5,1),tblAuftraege[Kostenstelle],$B37))</f>
        <v>0</v>
      </c>
      <c r="K37" s="11" t="n">
        <f aca="false">IF($B37="",0,SUMIFS(tblAuftraege[Einnahmen],tblAuftraege[Datum Einnahmen],"&gt;="&amp;K$5,tblAuftraege[Datum Einnahmen],"&lt;"&amp;EDATE(K$5,1),tblAuftraege[Kostenstelle],$B37))</f>
        <v>0</v>
      </c>
      <c r="L37" s="11" t="n">
        <f aca="false">IF($B37="",0,SUMIFS(tblAuftraege[Einnahmen],tblAuftraege[Datum Einnahmen],"&gt;="&amp;L$5,tblAuftraege[Datum Einnahmen],"&lt;"&amp;EDATE(L$5,1),tblAuftraege[Kostenstelle],$B37))</f>
        <v>0</v>
      </c>
      <c r="M37" s="11" t="n">
        <f aca="false">IF($B37="",0,SUMIFS(tblAuftraege[Einnahmen],tblAuftraege[Datum Einnahmen],"&gt;="&amp;M$5,tblAuftraege[Datum Einnahmen],"&lt;"&amp;EDATE(M$5,1),tblAuftraege[Kostenstelle],$B37))</f>
        <v>0</v>
      </c>
      <c r="N37" s="11" t="n">
        <f aca="false">IF($B37="",0,SUMIFS(tblAuftraege[Einnahmen],tblAuftraege[Datum Einnahmen],"&gt;="&amp;N$5,tblAuftraege[Datum Einnahmen],"&lt;"&amp;EDATE(N$5,1),tblAuftraege[Kostenstelle],$B37))</f>
        <v>0</v>
      </c>
      <c r="O37" s="11" t="n">
        <f aca="false">IF($B37="",0,SUMIFS(tblAuftraege[Einnahmen],tblAuftraege[Datum Einnahmen],"&gt;="&amp;O$5,tblAuftraege[Datum Einnahmen],"&lt;"&amp;EDATE(O$5,1),tblAuftraege[Kostenstelle],$B37))</f>
        <v>0</v>
      </c>
      <c r="P37" s="11" t="n">
        <f aca="false">IF($B37="",0,SUMIFS(tblAuftraege[Einnahmen],tblAuftraege[Datum Einnahmen],"&gt;="&amp;P$5,tblAuftraege[Datum Einnahmen],"&lt;"&amp;EDATE(P$5,1),tblAuftraege[Kostenstelle],$B37))</f>
        <v>0</v>
      </c>
      <c r="Q37" s="11" t="n">
        <f aca="false">IF($B37="",0,SUMIFS(tblAuftraege[Einnahmen],tblAuftraege[Datum Einnahmen],"&gt;="&amp;Q$5,tblAuftraege[Datum Einnahmen],"&lt;"&amp;EDATE(Q$5,1),tblAuftraege[Kostenstelle],$B37))</f>
        <v>0</v>
      </c>
      <c r="R37" s="11" t="n">
        <f aca="false">IF($B37="",0,SUMIFS(tblAuftraege[Einnahmen],tblAuftraege[Datum Einnahmen],"&gt;="&amp;R$5,tblAuftraege[Datum Einnahmen],"&lt;"&amp;EDATE(R$5,1),tblAuftraege[Kostenstelle],$B37))</f>
        <v>0</v>
      </c>
      <c r="S37" s="11" t="n">
        <f aca="false">IF($B37="",0,SUMIFS(tblAuftraege[Einnahmen],tblAuftraege[Datum Einnahmen],"&gt;="&amp;S$5,tblAuftraege[Datum Einnahmen],"&lt;"&amp;EDATE(S$5,1),tblAuftraege[Kostenstelle],$B37))</f>
        <v>0</v>
      </c>
      <c r="T37" s="11" t="n">
        <f aca="false">IF($B37="",0,SUMIFS(tblAuftraege[Einnahmen],tblAuftraege[Datum Einnahmen],"&gt;="&amp;T$5,tblAuftraege[Datum Einnahmen],"&lt;"&amp;EDATE(T$5,1),tblAuftraege[Kostenstelle],$B37))</f>
        <v>0</v>
      </c>
      <c r="U37" s="11" t="n">
        <f aca="false">SUM(C37:H37)</f>
        <v>0</v>
      </c>
      <c r="V37" s="11" t="n">
        <f aca="false">SUM(I37:T37)</f>
        <v>0</v>
      </c>
      <c r="W37" s="12" t="n">
        <f aca="false">SUM(C37:T37)</f>
        <v>0</v>
      </c>
    </row>
    <row r="38" customFormat="false" ht="15" hidden="false" customHeight="false" outlineLevel="0" collapsed="false">
      <c r="A38" s="13" t="s">
        <v>37</v>
      </c>
      <c r="B38" s="14" t="s">
        <v>38</v>
      </c>
      <c r="C38" s="11" t="n">
        <f aca="false">C39-SUM(C8:C37)</f>
        <v>0</v>
      </c>
      <c r="D38" s="11" t="n">
        <f aca="false">D39-SUM(D8:D37)</f>
        <v>0</v>
      </c>
      <c r="E38" s="11" t="n">
        <f aca="false">E39-SUM(E8:E37)</f>
        <v>0</v>
      </c>
      <c r="F38" s="11" t="n">
        <f aca="false">F39-SUM(F8:F37)</f>
        <v>0</v>
      </c>
      <c r="G38" s="11" t="n">
        <f aca="false">G39-SUM(G8:G37)</f>
        <v>0</v>
      </c>
      <c r="H38" s="11" t="n">
        <f aca="false">H39-SUM(H8:H37)</f>
        <v>0</v>
      </c>
      <c r="I38" s="11" t="n">
        <f aca="false">I39-SUM(I8:I37)</f>
        <v>0</v>
      </c>
      <c r="J38" s="11" t="n">
        <f aca="false">J39-SUM(J8:J37)</f>
        <v>0</v>
      </c>
      <c r="K38" s="11" t="n">
        <f aca="false">K39-SUM(K8:K37)</f>
        <v>0</v>
      </c>
      <c r="L38" s="11" t="n">
        <f aca="false">L39-SUM(L8:L37)</f>
        <v>0</v>
      </c>
      <c r="M38" s="11" t="n">
        <f aca="false">M39-SUM(M8:M37)</f>
        <v>0</v>
      </c>
      <c r="N38" s="11" t="n">
        <f aca="false">N39-SUM(N8:N37)</f>
        <v>0</v>
      </c>
      <c r="O38" s="11" t="n">
        <f aca="false">O39-SUM(O8:O37)</f>
        <v>0</v>
      </c>
      <c r="P38" s="11" t="n">
        <f aca="false">P39-SUM(P8:P37)</f>
        <v>0</v>
      </c>
      <c r="Q38" s="11" t="n">
        <f aca="false">Q39-SUM(Q8:Q37)</f>
        <v>0</v>
      </c>
      <c r="R38" s="11" t="n">
        <f aca="false">R39-SUM(R8:R37)</f>
        <v>0</v>
      </c>
      <c r="S38" s="11" t="n">
        <f aca="false">S39-SUM(S8:S37)</f>
        <v>0</v>
      </c>
      <c r="T38" s="11" t="n">
        <f aca="false">T39-SUM(T8:T37)</f>
        <v>0</v>
      </c>
      <c r="U38" s="11" t="n">
        <f aca="false">U39-SUM(U8:U37)</f>
        <v>0</v>
      </c>
      <c r="V38" s="11" t="n">
        <f aca="false">V39-SUM(V8:V37)</f>
        <v>0</v>
      </c>
      <c r="W38" s="11" t="n">
        <f aca="false">W39-SUM(W8:W37)</f>
        <v>0</v>
      </c>
    </row>
    <row r="39" customFormat="false" ht="15" hidden="false" customHeight="false" outlineLevel="0" collapsed="false">
      <c r="A39" s="15" t="s">
        <v>39</v>
      </c>
      <c r="B39" s="16"/>
      <c r="C39" s="17" t="n">
        <f aca="false">SUMIFS(tblAuftraege[Einnahmen],tblAuftraege[Datum Einnahmen],"&gt;="&amp;C$5,tblAuftraege[Datum Einnahmen],"&lt;"&amp;EDATE(C$5,1))</f>
        <v>0</v>
      </c>
      <c r="D39" s="17" t="n">
        <f aca="false">SUMIFS(tblAuftraege[Einnahmen],tblAuftraege[Datum Einnahmen],"&gt;="&amp;D$5,tblAuftraege[Datum Einnahmen],"&lt;"&amp;EDATE(D$5,1))</f>
        <v>0</v>
      </c>
      <c r="E39" s="17" t="n">
        <f aca="false">SUMIFS(tblAuftraege[Einnahmen],tblAuftraege[Datum Einnahmen],"&gt;="&amp;E$5,tblAuftraege[Datum Einnahmen],"&lt;"&amp;EDATE(E$5,1))</f>
        <v>0</v>
      </c>
      <c r="F39" s="17" t="n">
        <f aca="false">SUMIFS(tblAuftraege[Einnahmen],tblAuftraege[Datum Einnahmen],"&gt;="&amp;F$5,tblAuftraege[Datum Einnahmen],"&lt;"&amp;EDATE(F$5,1))</f>
        <v>0</v>
      </c>
      <c r="G39" s="17" t="n">
        <f aca="false">SUMIFS(tblAuftraege[Einnahmen],tblAuftraege[Datum Einnahmen],"&gt;="&amp;G$5,tblAuftraege[Datum Einnahmen],"&lt;"&amp;EDATE(G$5,1))</f>
        <v>0</v>
      </c>
      <c r="H39" s="17" t="n">
        <f aca="false">SUMIFS(tblAuftraege[Einnahmen],tblAuftraege[Datum Einnahmen],"&gt;="&amp;H$5,tblAuftraege[Datum Einnahmen],"&lt;"&amp;EDATE(H$5,1))</f>
        <v>0</v>
      </c>
      <c r="I39" s="17" t="n">
        <f aca="false">SUMIFS(tblAuftraege[Einnahmen],tblAuftraege[Datum Einnahmen],"&gt;="&amp;I$5,tblAuftraege[Datum Einnahmen],"&lt;"&amp;EDATE(I$5,1))</f>
        <v>0</v>
      </c>
      <c r="J39" s="17" t="n">
        <f aca="false">SUMIFS(tblAuftraege[Einnahmen],tblAuftraege[Datum Einnahmen],"&gt;="&amp;J$5,tblAuftraege[Datum Einnahmen],"&lt;"&amp;EDATE(J$5,1))</f>
        <v>0</v>
      </c>
      <c r="K39" s="17" t="n">
        <f aca="false">SUMIFS(tblAuftraege[Einnahmen],tblAuftraege[Datum Einnahmen],"&gt;="&amp;K$5,tblAuftraege[Datum Einnahmen],"&lt;"&amp;EDATE(K$5,1))</f>
        <v>0</v>
      </c>
      <c r="L39" s="17" t="n">
        <f aca="false">SUMIFS(tblAuftraege[Einnahmen],tblAuftraege[Datum Einnahmen],"&gt;="&amp;L$5,tblAuftraege[Datum Einnahmen],"&lt;"&amp;EDATE(L$5,1))</f>
        <v>0</v>
      </c>
      <c r="M39" s="17" t="n">
        <f aca="false">SUMIFS(tblAuftraege[Einnahmen],tblAuftraege[Datum Einnahmen],"&gt;="&amp;M$5,tblAuftraege[Datum Einnahmen],"&lt;"&amp;EDATE(M$5,1))</f>
        <v>0</v>
      </c>
      <c r="N39" s="17" t="n">
        <f aca="false">SUMIFS(tblAuftraege[Einnahmen],tblAuftraege[Datum Einnahmen],"&gt;="&amp;N$5,tblAuftraege[Datum Einnahmen],"&lt;"&amp;EDATE(N$5,1))</f>
        <v>0</v>
      </c>
      <c r="O39" s="17" t="n">
        <f aca="false">SUMIFS(tblAuftraege[Einnahmen],tblAuftraege[Datum Einnahmen],"&gt;="&amp;O$5,tblAuftraege[Datum Einnahmen],"&lt;"&amp;EDATE(O$5,1))</f>
        <v>0</v>
      </c>
      <c r="P39" s="17" t="n">
        <f aca="false">SUMIFS(tblAuftraege[Einnahmen],tblAuftraege[Datum Einnahmen],"&gt;="&amp;P$5,tblAuftraege[Datum Einnahmen],"&lt;"&amp;EDATE(P$5,1))</f>
        <v>0</v>
      </c>
      <c r="Q39" s="17" t="n">
        <f aca="false">SUMIFS(tblAuftraege[Einnahmen],tblAuftraege[Datum Einnahmen],"&gt;="&amp;Q$5,tblAuftraege[Datum Einnahmen],"&lt;"&amp;EDATE(Q$5,1))</f>
        <v>0</v>
      </c>
      <c r="R39" s="17" t="n">
        <f aca="false">SUMIFS(tblAuftraege[Einnahmen],tblAuftraege[Datum Einnahmen],"&gt;="&amp;R$5,tblAuftraege[Datum Einnahmen],"&lt;"&amp;EDATE(R$5,1))</f>
        <v>0</v>
      </c>
      <c r="S39" s="17" t="n">
        <f aca="false">SUMIFS(tblAuftraege[Einnahmen],tblAuftraege[Datum Einnahmen],"&gt;="&amp;S$5,tblAuftraege[Datum Einnahmen],"&lt;"&amp;EDATE(S$5,1))</f>
        <v>0</v>
      </c>
      <c r="T39" s="17" t="n">
        <f aca="false">SUMIFS(tblAuftraege[Einnahmen],tblAuftraege[Datum Einnahmen],"&gt;="&amp;T$5,tblAuftraege[Datum Einnahmen],"&lt;"&amp;EDATE(T$5,1))</f>
        <v>0</v>
      </c>
      <c r="U39" s="17" t="n">
        <f aca="false">SUM(C39:H39)</f>
        <v>0</v>
      </c>
      <c r="V39" s="17" t="n">
        <f aca="false">SUM(I39:T39)</f>
        <v>0</v>
      </c>
      <c r="W39" s="17" t="n">
        <f aca="false">SUM(C39:T39)</f>
        <v>0</v>
      </c>
    </row>
    <row r="41" customFormat="false" ht="19.5" hidden="false" customHeight="true" outlineLevel="0" collapsed="false">
      <c r="A41" s="7" t="s">
        <v>40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 customFormat="false" ht="15" hidden="false" customHeight="false" outlineLevel="0" collapsed="false">
      <c r="A42" s="9" t="s">
        <v>28</v>
      </c>
      <c r="B42" s="10"/>
      <c r="C42" s="11" t="n">
        <f aca="false">IF($B42="",0,SUMIFS(tblAuftraege[Ausgaben],tblAuftraege[Datum Ausgaben],"&gt;="&amp;C$5,tblAuftraege[Datum Ausgaben],"&lt;"&amp;EDATE(C$5,1),tblAuftraege[Kostenstelle],$B42))</f>
        <v>0</v>
      </c>
      <c r="D42" s="11" t="n">
        <f aca="false">IF($B42="",0,SUMIFS(tblAuftraege[Ausgaben],tblAuftraege[Datum Ausgaben],"&gt;="&amp;D$5,tblAuftraege[Datum Ausgaben],"&lt;"&amp;EDATE(D$5,1),tblAuftraege[Kostenstelle],$B42))</f>
        <v>0</v>
      </c>
      <c r="E42" s="11" t="n">
        <f aca="false">IF($B42="",0,SUMIFS(tblAuftraege[Ausgaben],tblAuftraege[Datum Ausgaben],"&gt;="&amp;E$5,tblAuftraege[Datum Ausgaben],"&lt;"&amp;EDATE(E$5,1),tblAuftraege[Kostenstelle],$B42))</f>
        <v>0</v>
      </c>
      <c r="F42" s="11" t="n">
        <f aca="false">IF($B42="",0,SUMIFS(tblAuftraege[Ausgaben],tblAuftraege[Datum Ausgaben],"&gt;="&amp;F$5,tblAuftraege[Datum Ausgaben],"&lt;"&amp;EDATE(F$5,1),tblAuftraege[Kostenstelle],$B42))</f>
        <v>0</v>
      </c>
      <c r="G42" s="11" t="n">
        <f aca="false">IF($B42="",0,SUMIFS(tblAuftraege[Ausgaben],tblAuftraege[Datum Ausgaben],"&gt;="&amp;G$5,tblAuftraege[Datum Ausgaben],"&lt;"&amp;EDATE(G$5,1),tblAuftraege[Kostenstelle],$B42))</f>
        <v>0</v>
      </c>
      <c r="H42" s="11" t="n">
        <f aca="false">IF($B42="",0,SUMIFS(tblAuftraege[Ausgaben],tblAuftraege[Datum Ausgaben],"&gt;="&amp;H$5,tblAuftraege[Datum Ausgaben],"&lt;"&amp;EDATE(H$5,1),tblAuftraege[Kostenstelle],$B42))</f>
        <v>0</v>
      </c>
      <c r="I42" s="11" t="n">
        <f aca="false">IF($B42="",0,SUMIFS(tblAuftraege[Ausgaben],tblAuftraege[Datum Ausgaben],"&gt;="&amp;I$5,tblAuftraege[Datum Ausgaben],"&lt;"&amp;EDATE(I$5,1),tblAuftraege[Kostenstelle],$B42))</f>
        <v>0</v>
      </c>
      <c r="J42" s="11" t="n">
        <f aca="false">IF($B42="",0,SUMIFS(tblAuftraege[Ausgaben],tblAuftraege[Datum Ausgaben],"&gt;="&amp;J$5,tblAuftraege[Datum Ausgaben],"&lt;"&amp;EDATE(J$5,1),tblAuftraege[Kostenstelle],$B42))</f>
        <v>0</v>
      </c>
      <c r="K42" s="11" t="n">
        <f aca="false">IF($B42="",0,SUMIFS(tblAuftraege[Ausgaben],tblAuftraege[Datum Ausgaben],"&gt;="&amp;K$5,tblAuftraege[Datum Ausgaben],"&lt;"&amp;EDATE(K$5,1),tblAuftraege[Kostenstelle],$B42))</f>
        <v>0</v>
      </c>
      <c r="L42" s="11" t="n">
        <f aca="false">IF($B42="",0,SUMIFS(tblAuftraege[Ausgaben],tblAuftraege[Datum Ausgaben],"&gt;="&amp;L$5,tblAuftraege[Datum Ausgaben],"&lt;"&amp;EDATE(L$5,1),tblAuftraege[Kostenstelle],$B42))</f>
        <v>0</v>
      </c>
      <c r="M42" s="11" t="n">
        <f aca="false">IF($B42="",0,SUMIFS(tblAuftraege[Ausgaben],tblAuftraege[Datum Ausgaben],"&gt;="&amp;M$5,tblAuftraege[Datum Ausgaben],"&lt;"&amp;EDATE(M$5,1),tblAuftraege[Kostenstelle],$B42))</f>
        <v>0</v>
      </c>
      <c r="N42" s="11" t="n">
        <f aca="false">IF($B42="",0,SUMIFS(tblAuftraege[Ausgaben],tblAuftraege[Datum Ausgaben],"&gt;="&amp;N$5,tblAuftraege[Datum Ausgaben],"&lt;"&amp;EDATE(N$5,1),tblAuftraege[Kostenstelle],$B42))</f>
        <v>0</v>
      </c>
      <c r="O42" s="11" t="n">
        <f aca="false">IF($B42="",0,SUMIFS(tblAuftraege[Ausgaben],tblAuftraege[Datum Ausgaben],"&gt;="&amp;O$5,tblAuftraege[Datum Ausgaben],"&lt;"&amp;EDATE(O$5,1),tblAuftraege[Kostenstelle],$B42))</f>
        <v>0</v>
      </c>
      <c r="P42" s="11" t="n">
        <f aca="false">IF($B42="",0,SUMIFS(tblAuftraege[Ausgaben],tblAuftraege[Datum Ausgaben],"&gt;="&amp;P$5,tblAuftraege[Datum Ausgaben],"&lt;"&amp;EDATE(P$5,1),tblAuftraege[Kostenstelle],$B42))</f>
        <v>0</v>
      </c>
      <c r="Q42" s="11" t="n">
        <f aca="false">IF($B42="",0,SUMIFS(tblAuftraege[Ausgaben],tblAuftraege[Datum Ausgaben],"&gt;="&amp;Q$5,tblAuftraege[Datum Ausgaben],"&lt;"&amp;EDATE(Q$5,1),tblAuftraege[Kostenstelle],$B42))</f>
        <v>0</v>
      </c>
      <c r="R42" s="11" t="n">
        <f aca="false">IF($B42="",0,SUMIFS(tblAuftraege[Ausgaben],tblAuftraege[Datum Ausgaben],"&gt;="&amp;R$5,tblAuftraege[Datum Ausgaben],"&lt;"&amp;EDATE(R$5,1),tblAuftraege[Kostenstelle],$B42))</f>
        <v>0</v>
      </c>
      <c r="S42" s="11" t="n">
        <f aca="false">IF($B42="",0,SUMIFS(tblAuftraege[Ausgaben],tblAuftraege[Datum Ausgaben],"&gt;="&amp;S$5,tblAuftraege[Datum Ausgaben],"&lt;"&amp;EDATE(S$5,1),tblAuftraege[Kostenstelle],$B42))</f>
        <v>0</v>
      </c>
      <c r="T42" s="11" t="n">
        <f aca="false">IF($B42="",0,SUMIFS(tblAuftraege[Ausgaben],tblAuftraege[Datum Ausgaben],"&gt;="&amp;T$5,tblAuftraege[Datum Ausgaben],"&lt;"&amp;EDATE(T$5,1),tblAuftraege[Kostenstelle],$B42))</f>
        <v>0</v>
      </c>
      <c r="U42" s="11" t="n">
        <f aca="false">SUM(C42:H42)</f>
        <v>0</v>
      </c>
      <c r="V42" s="11" t="n">
        <f aca="false">SUM(I42:T42)</f>
        <v>0</v>
      </c>
      <c r="W42" s="12" t="n">
        <f aca="false">SUM(C42:T42)</f>
        <v>0</v>
      </c>
    </row>
    <row r="43" customFormat="false" ht="15" hidden="false" customHeight="false" outlineLevel="0" collapsed="false">
      <c r="A43" s="9" t="s">
        <v>29</v>
      </c>
      <c r="B43" s="10"/>
      <c r="C43" s="11" t="n">
        <f aca="false">IF($B43="",0,SUMIFS(tblAuftraege[Ausgaben],tblAuftraege[Datum Ausgaben],"&gt;="&amp;C$5,tblAuftraege[Datum Ausgaben],"&lt;"&amp;EDATE(C$5,1),tblAuftraege[Kostenstelle],$B43))</f>
        <v>0</v>
      </c>
      <c r="D43" s="11" t="n">
        <f aca="false">IF($B43="",0,SUMIFS(tblAuftraege[Ausgaben],tblAuftraege[Datum Ausgaben],"&gt;="&amp;D$5,tblAuftraege[Datum Ausgaben],"&lt;"&amp;EDATE(D$5,1),tblAuftraege[Kostenstelle],$B43))</f>
        <v>0</v>
      </c>
      <c r="E43" s="11" t="n">
        <f aca="false">IF($B43="",0,SUMIFS(tblAuftraege[Ausgaben],tblAuftraege[Datum Ausgaben],"&gt;="&amp;E$5,tblAuftraege[Datum Ausgaben],"&lt;"&amp;EDATE(E$5,1),tblAuftraege[Kostenstelle],$B43))</f>
        <v>0</v>
      </c>
      <c r="F43" s="11" t="n">
        <f aca="false">IF($B43="",0,SUMIFS(tblAuftraege[Ausgaben],tblAuftraege[Datum Ausgaben],"&gt;="&amp;F$5,tblAuftraege[Datum Ausgaben],"&lt;"&amp;EDATE(F$5,1),tblAuftraege[Kostenstelle],$B43))</f>
        <v>0</v>
      </c>
      <c r="G43" s="11" t="n">
        <f aca="false">IF($B43="",0,SUMIFS(tblAuftraege[Ausgaben],tblAuftraege[Datum Ausgaben],"&gt;="&amp;G$5,tblAuftraege[Datum Ausgaben],"&lt;"&amp;EDATE(G$5,1),tblAuftraege[Kostenstelle],$B43))</f>
        <v>0</v>
      </c>
      <c r="H43" s="11" t="n">
        <f aca="false">IF($B43="",0,SUMIFS(tblAuftraege[Ausgaben],tblAuftraege[Datum Ausgaben],"&gt;="&amp;H$5,tblAuftraege[Datum Ausgaben],"&lt;"&amp;EDATE(H$5,1),tblAuftraege[Kostenstelle],$B43))</f>
        <v>0</v>
      </c>
      <c r="I43" s="11" t="n">
        <f aca="false">IF($B43="",0,SUMIFS(tblAuftraege[Ausgaben],tblAuftraege[Datum Ausgaben],"&gt;="&amp;I$5,tblAuftraege[Datum Ausgaben],"&lt;"&amp;EDATE(I$5,1),tblAuftraege[Kostenstelle],$B43))</f>
        <v>0</v>
      </c>
      <c r="J43" s="11" t="n">
        <f aca="false">IF($B43="",0,SUMIFS(tblAuftraege[Ausgaben],tblAuftraege[Datum Ausgaben],"&gt;="&amp;J$5,tblAuftraege[Datum Ausgaben],"&lt;"&amp;EDATE(J$5,1),tblAuftraege[Kostenstelle],$B43))</f>
        <v>0</v>
      </c>
      <c r="K43" s="11" t="n">
        <f aca="false">IF($B43="",0,SUMIFS(tblAuftraege[Ausgaben],tblAuftraege[Datum Ausgaben],"&gt;="&amp;K$5,tblAuftraege[Datum Ausgaben],"&lt;"&amp;EDATE(K$5,1),tblAuftraege[Kostenstelle],$B43))</f>
        <v>0</v>
      </c>
      <c r="L43" s="11" t="n">
        <f aca="false">IF($B43="",0,SUMIFS(tblAuftraege[Ausgaben],tblAuftraege[Datum Ausgaben],"&gt;="&amp;L$5,tblAuftraege[Datum Ausgaben],"&lt;"&amp;EDATE(L$5,1),tblAuftraege[Kostenstelle],$B43))</f>
        <v>0</v>
      </c>
      <c r="M43" s="11" t="n">
        <f aca="false">IF($B43="",0,SUMIFS(tblAuftraege[Ausgaben],tblAuftraege[Datum Ausgaben],"&gt;="&amp;M$5,tblAuftraege[Datum Ausgaben],"&lt;"&amp;EDATE(M$5,1),tblAuftraege[Kostenstelle],$B43))</f>
        <v>0</v>
      </c>
      <c r="N43" s="11" t="n">
        <f aca="false">IF($B43="",0,SUMIFS(tblAuftraege[Ausgaben],tblAuftraege[Datum Ausgaben],"&gt;="&amp;N$5,tblAuftraege[Datum Ausgaben],"&lt;"&amp;EDATE(N$5,1),tblAuftraege[Kostenstelle],$B43))</f>
        <v>0</v>
      </c>
      <c r="O43" s="11" t="n">
        <f aca="false">IF($B43="",0,SUMIFS(tblAuftraege[Ausgaben],tblAuftraege[Datum Ausgaben],"&gt;="&amp;O$5,tblAuftraege[Datum Ausgaben],"&lt;"&amp;EDATE(O$5,1),tblAuftraege[Kostenstelle],$B43))</f>
        <v>0</v>
      </c>
      <c r="P43" s="11" t="n">
        <f aca="false">IF($B43="",0,SUMIFS(tblAuftraege[Ausgaben],tblAuftraege[Datum Ausgaben],"&gt;="&amp;P$5,tblAuftraege[Datum Ausgaben],"&lt;"&amp;EDATE(P$5,1),tblAuftraege[Kostenstelle],$B43))</f>
        <v>0</v>
      </c>
      <c r="Q43" s="11" t="n">
        <f aca="false">IF($B43="",0,SUMIFS(tblAuftraege[Ausgaben],tblAuftraege[Datum Ausgaben],"&gt;="&amp;Q$5,tblAuftraege[Datum Ausgaben],"&lt;"&amp;EDATE(Q$5,1),tblAuftraege[Kostenstelle],$B43))</f>
        <v>0</v>
      </c>
      <c r="R43" s="11" t="n">
        <f aca="false">IF($B43="",0,SUMIFS(tblAuftraege[Ausgaben],tblAuftraege[Datum Ausgaben],"&gt;="&amp;R$5,tblAuftraege[Datum Ausgaben],"&lt;"&amp;EDATE(R$5,1),tblAuftraege[Kostenstelle],$B43))</f>
        <v>0</v>
      </c>
      <c r="S43" s="11" t="n">
        <f aca="false">IF($B43="",0,SUMIFS(tblAuftraege[Ausgaben],tblAuftraege[Datum Ausgaben],"&gt;="&amp;S$5,tblAuftraege[Datum Ausgaben],"&lt;"&amp;EDATE(S$5,1),tblAuftraege[Kostenstelle],$B43))</f>
        <v>0</v>
      </c>
      <c r="T43" s="11" t="n">
        <f aca="false">IF($B43="",0,SUMIFS(tblAuftraege[Ausgaben],tblAuftraege[Datum Ausgaben],"&gt;="&amp;T$5,tblAuftraege[Datum Ausgaben],"&lt;"&amp;EDATE(T$5,1),tblAuftraege[Kostenstelle],$B43))</f>
        <v>0</v>
      </c>
      <c r="U43" s="11" t="n">
        <f aca="false">SUM(C43:H43)</f>
        <v>0</v>
      </c>
      <c r="V43" s="11" t="n">
        <f aca="false">SUM(I43:T43)</f>
        <v>0</v>
      </c>
      <c r="W43" s="12" t="n">
        <f aca="false">SUM(C43:T43)</f>
        <v>0</v>
      </c>
    </row>
    <row r="44" customFormat="false" ht="15" hidden="false" customHeight="false" outlineLevel="0" collapsed="false">
      <c r="A44" s="9" t="s">
        <v>30</v>
      </c>
      <c r="B44" s="10"/>
      <c r="C44" s="11" t="n">
        <f aca="false">IF($B44="",0,SUMIFS(tblAuftraege[Ausgaben],tblAuftraege[Datum Ausgaben],"&gt;="&amp;C$5,tblAuftraege[Datum Ausgaben],"&lt;"&amp;EDATE(C$5,1),tblAuftraege[Kostenstelle],$B44))</f>
        <v>0</v>
      </c>
      <c r="D44" s="11" t="n">
        <f aca="false">IF($B44="",0,SUMIFS(tblAuftraege[Ausgaben],tblAuftraege[Datum Ausgaben],"&gt;="&amp;D$5,tblAuftraege[Datum Ausgaben],"&lt;"&amp;EDATE(D$5,1),tblAuftraege[Kostenstelle],$B44))</f>
        <v>0</v>
      </c>
      <c r="E44" s="11" t="n">
        <f aca="false">IF($B44="",0,SUMIFS(tblAuftraege[Ausgaben],tblAuftraege[Datum Ausgaben],"&gt;="&amp;E$5,tblAuftraege[Datum Ausgaben],"&lt;"&amp;EDATE(E$5,1),tblAuftraege[Kostenstelle],$B44))</f>
        <v>0</v>
      </c>
      <c r="F44" s="11" t="n">
        <f aca="false">IF($B44="",0,SUMIFS(tblAuftraege[Ausgaben],tblAuftraege[Datum Ausgaben],"&gt;="&amp;F$5,tblAuftraege[Datum Ausgaben],"&lt;"&amp;EDATE(F$5,1),tblAuftraege[Kostenstelle],$B44))</f>
        <v>0</v>
      </c>
      <c r="G44" s="11" t="n">
        <f aca="false">IF($B44="",0,SUMIFS(tblAuftraege[Ausgaben],tblAuftraege[Datum Ausgaben],"&gt;="&amp;G$5,tblAuftraege[Datum Ausgaben],"&lt;"&amp;EDATE(G$5,1),tblAuftraege[Kostenstelle],$B44))</f>
        <v>0</v>
      </c>
      <c r="H44" s="11" t="n">
        <f aca="false">IF($B44="",0,SUMIFS(tblAuftraege[Ausgaben],tblAuftraege[Datum Ausgaben],"&gt;="&amp;H$5,tblAuftraege[Datum Ausgaben],"&lt;"&amp;EDATE(H$5,1),tblAuftraege[Kostenstelle],$B44))</f>
        <v>0</v>
      </c>
      <c r="I44" s="11" t="n">
        <f aca="false">IF($B44="",0,SUMIFS(tblAuftraege[Ausgaben],tblAuftraege[Datum Ausgaben],"&gt;="&amp;I$5,tblAuftraege[Datum Ausgaben],"&lt;"&amp;EDATE(I$5,1),tblAuftraege[Kostenstelle],$B44))</f>
        <v>0</v>
      </c>
      <c r="J44" s="11" t="n">
        <f aca="false">IF($B44="",0,SUMIFS(tblAuftraege[Ausgaben],tblAuftraege[Datum Ausgaben],"&gt;="&amp;J$5,tblAuftraege[Datum Ausgaben],"&lt;"&amp;EDATE(J$5,1),tblAuftraege[Kostenstelle],$B44))</f>
        <v>0</v>
      </c>
      <c r="K44" s="11" t="n">
        <f aca="false">IF($B44="",0,SUMIFS(tblAuftraege[Ausgaben],tblAuftraege[Datum Ausgaben],"&gt;="&amp;K$5,tblAuftraege[Datum Ausgaben],"&lt;"&amp;EDATE(K$5,1),tblAuftraege[Kostenstelle],$B44))</f>
        <v>0</v>
      </c>
      <c r="L44" s="11" t="n">
        <f aca="false">IF($B44="",0,SUMIFS(tblAuftraege[Ausgaben],tblAuftraege[Datum Ausgaben],"&gt;="&amp;L$5,tblAuftraege[Datum Ausgaben],"&lt;"&amp;EDATE(L$5,1),tblAuftraege[Kostenstelle],$B44))</f>
        <v>0</v>
      </c>
      <c r="M44" s="11" t="n">
        <f aca="false">IF($B44="",0,SUMIFS(tblAuftraege[Ausgaben],tblAuftraege[Datum Ausgaben],"&gt;="&amp;M$5,tblAuftraege[Datum Ausgaben],"&lt;"&amp;EDATE(M$5,1),tblAuftraege[Kostenstelle],$B44))</f>
        <v>0</v>
      </c>
      <c r="N44" s="11" t="n">
        <f aca="false">IF($B44="",0,SUMIFS(tblAuftraege[Ausgaben],tblAuftraege[Datum Ausgaben],"&gt;="&amp;N$5,tblAuftraege[Datum Ausgaben],"&lt;"&amp;EDATE(N$5,1),tblAuftraege[Kostenstelle],$B44))</f>
        <v>0</v>
      </c>
      <c r="O44" s="11" t="n">
        <f aca="false">IF($B44="",0,SUMIFS(tblAuftraege[Ausgaben],tblAuftraege[Datum Ausgaben],"&gt;="&amp;O$5,tblAuftraege[Datum Ausgaben],"&lt;"&amp;EDATE(O$5,1),tblAuftraege[Kostenstelle],$B44))</f>
        <v>0</v>
      </c>
      <c r="P44" s="11" t="n">
        <f aca="false">IF($B44="",0,SUMIFS(tblAuftraege[Ausgaben],tblAuftraege[Datum Ausgaben],"&gt;="&amp;P$5,tblAuftraege[Datum Ausgaben],"&lt;"&amp;EDATE(P$5,1),tblAuftraege[Kostenstelle],$B44))</f>
        <v>0</v>
      </c>
      <c r="Q44" s="11" t="n">
        <f aca="false">IF($B44="",0,SUMIFS(tblAuftraege[Ausgaben],tblAuftraege[Datum Ausgaben],"&gt;="&amp;Q$5,tblAuftraege[Datum Ausgaben],"&lt;"&amp;EDATE(Q$5,1),tblAuftraege[Kostenstelle],$B44))</f>
        <v>0</v>
      </c>
      <c r="R44" s="11" t="n">
        <f aca="false">IF($B44="",0,SUMIFS(tblAuftraege[Ausgaben],tblAuftraege[Datum Ausgaben],"&gt;="&amp;R$5,tblAuftraege[Datum Ausgaben],"&lt;"&amp;EDATE(R$5,1),tblAuftraege[Kostenstelle],$B44))</f>
        <v>0</v>
      </c>
      <c r="S44" s="11" t="n">
        <f aca="false">IF($B44="",0,SUMIFS(tblAuftraege[Ausgaben],tblAuftraege[Datum Ausgaben],"&gt;="&amp;S$5,tblAuftraege[Datum Ausgaben],"&lt;"&amp;EDATE(S$5,1),tblAuftraege[Kostenstelle],$B44))</f>
        <v>0</v>
      </c>
      <c r="T44" s="11" t="n">
        <f aca="false">IF($B44="",0,SUMIFS(tblAuftraege[Ausgaben],tblAuftraege[Datum Ausgaben],"&gt;="&amp;T$5,tblAuftraege[Datum Ausgaben],"&lt;"&amp;EDATE(T$5,1),tblAuftraege[Kostenstelle],$B44))</f>
        <v>0</v>
      </c>
      <c r="U44" s="11" t="n">
        <f aca="false">SUM(C44:H44)</f>
        <v>0</v>
      </c>
      <c r="V44" s="11" t="n">
        <f aca="false">SUM(I44:T44)</f>
        <v>0</v>
      </c>
      <c r="W44" s="12" t="n">
        <f aca="false">SUM(C44:T44)</f>
        <v>0</v>
      </c>
    </row>
    <row r="45" customFormat="false" ht="15" hidden="false" customHeight="false" outlineLevel="0" collapsed="false">
      <c r="A45" s="9" t="s">
        <v>31</v>
      </c>
      <c r="B45" s="10"/>
      <c r="C45" s="11" t="n">
        <f aca="false">IF($B45="",0,SUMIFS(tblAuftraege[Ausgaben],tblAuftraege[Datum Ausgaben],"&gt;="&amp;C$5,tblAuftraege[Datum Ausgaben],"&lt;"&amp;EDATE(C$5,1),tblAuftraege[Kostenstelle],$B45))</f>
        <v>0</v>
      </c>
      <c r="D45" s="11" t="n">
        <f aca="false">IF($B45="",0,SUMIFS(tblAuftraege[Ausgaben],tblAuftraege[Datum Ausgaben],"&gt;="&amp;D$5,tblAuftraege[Datum Ausgaben],"&lt;"&amp;EDATE(D$5,1),tblAuftraege[Kostenstelle],$B45))</f>
        <v>0</v>
      </c>
      <c r="E45" s="11" t="n">
        <f aca="false">IF($B45="",0,SUMIFS(tblAuftraege[Ausgaben],tblAuftraege[Datum Ausgaben],"&gt;="&amp;E$5,tblAuftraege[Datum Ausgaben],"&lt;"&amp;EDATE(E$5,1),tblAuftraege[Kostenstelle],$B45))</f>
        <v>0</v>
      </c>
      <c r="F45" s="11" t="n">
        <f aca="false">IF($B45="",0,SUMIFS(tblAuftraege[Ausgaben],tblAuftraege[Datum Ausgaben],"&gt;="&amp;F$5,tblAuftraege[Datum Ausgaben],"&lt;"&amp;EDATE(F$5,1),tblAuftraege[Kostenstelle],$B45))</f>
        <v>0</v>
      </c>
      <c r="G45" s="11" t="n">
        <f aca="false">IF($B45="",0,SUMIFS(tblAuftraege[Ausgaben],tblAuftraege[Datum Ausgaben],"&gt;="&amp;G$5,tblAuftraege[Datum Ausgaben],"&lt;"&amp;EDATE(G$5,1),tblAuftraege[Kostenstelle],$B45))</f>
        <v>0</v>
      </c>
      <c r="H45" s="11" t="n">
        <f aca="false">IF($B45="",0,SUMIFS(tblAuftraege[Ausgaben],tblAuftraege[Datum Ausgaben],"&gt;="&amp;H$5,tblAuftraege[Datum Ausgaben],"&lt;"&amp;EDATE(H$5,1),tblAuftraege[Kostenstelle],$B45))</f>
        <v>0</v>
      </c>
      <c r="I45" s="11" t="n">
        <f aca="false">IF($B45="",0,SUMIFS(tblAuftraege[Ausgaben],tblAuftraege[Datum Ausgaben],"&gt;="&amp;I$5,tblAuftraege[Datum Ausgaben],"&lt;"&amp;EDATE(I$5,1),tblAuftraege[Kostenstelle],$B45))</f>
        <v>0</v>
      </c>
      <c r="J45" s="11" t="n">
        <f aca="false">IF($B45="",0,SUMIFS(tblAuftraege[Ausgaben],tblAuftraege[Datum Ausgaben],"&gt;="&amp;J$5,tblAuftraege[Datum Ausgaben],"&lt;"&amp;EDATE(J$5,1),tblAuftraege[Kostenstelle],$B45))</f>
        <v>0</v>
      </c>
      <c r="K45" s="11" t="n">
        <f aca="false">IF($B45="",0,SUMIFS(tblAuftraege[Ausgaben],tblAuftraege[Datum Ausgaben],"&gt;="&amp;K$5,tblAuftraege[Datum Ausgaben],"&lt;"&amp;EDATE(K$5,1),tblAuftraege[Kostenstelle],$B45))</f>
        <v>0</v>
      </c>
      <c r="L45" s="11" t="n">
        <f aca="false">IF($B45="",0,SUMIFS(tblAuftraege[Ausgaben],tblAuftraege[Datum Ausgaben],"&gt;="&amp;L$5,tblAuftraege[Datum Ausgaben],"&lt;"&amp;EDATE(L$5,1),tblAuftraege[Kostenstelle],$B45))</f>
        <v>0</v>
      </c>
      <c r="M45" s="11" t="n">
        <f aca="false">IF($B45="",0,SUMIFS(tblAuftraege[Ausgaben],tblAuftraege[Datum Ausgaben],"&gt;="&amp;M$5,tblAuftraege[Datum Ausgaben],"&lt;"&amp;EDATE(M$5,1),tblAuftraege[Kostenstelle],$B45))</f>
        <v>0</v>
      </c>
      <c r="N45" s="11" t="n">
        <f aca="false">IF($B45="",0,SUMIFS(tblAuftraege[Ausgaben],tblAuftraege[Datum Ausgaben],"&gt;="&amp;N$5,tblAuftraege[Datum Ausgaben],"&lt;"&amp;EDATE(N$5,1),tblAuftraege[Kostenstelle],$B45))</f>
        <v>0</v>
      </c>
      <c r="O45" s="11" t="n">
        <f aca="false">IF($B45="",0,SUMIFS(tblAuftraege[Ausgaben],tblAuftraege[Datum Ausgaben],"&gt;="&amp;O$5,tblAuftraege[Datum Ausgaben],"&lt;"&amp;EDATE(O$5,1),tblAuftraege[Kostenstelle],$B45))</f>
        <v>0</v>
      </c>
      <c r="P45" s="11" t="n">
        <f aca="false">IF($B45="",0,SUMIFS(tblAuftraege[Ausgaben],tblAuftraege[Datum Ausgaben],"&gt;="&amp;P$5,tblAuftraege[Datum Ausgaben],"&lt;"&amp;EDATE(P$5,1),tblAuftraege[Kostenstelle],$B45))</f>
        <v>0</v>
      </c>
      <c r="Q45" s="11" t="n">
        <f aca="false">IF($B45="",0,SUMIFS(tblAuftraege[Ausgaben],tblAuftraege[Datum Ausgaben],"&gt;="&amp;Q$5,tblAuftraege[Datum Ausgaben],"&lt;"&amp;EDATE(Q$5,1),tblAuftraege[Kostenstelle],$B45))</f>
        <v>0</v>
      </c>
      <c r="R45" s="11" t="n">
        <f aca="false">IF($B45="",0,SUMIFS(tblAuftraege[Ausgaben],tblAuftraege[Datum Ausgaben],"&gt;="&amp;R$5,tblAuftraege[Datum Ausgaben],"&lt;"&amp;EDATE(R$5,1),tblAuftraege[Kostenstelle],$B45))</f>
        <v>0</v>
      </c>
      <c r="S45" s="11" t="n">
        <f aca="false">IF($B45="",0,SUMIFS(tblAuftraege[Ausgaben],tblAuftraege[Datum Ausgaben],"&gt;="&amp;S$5,tblAuftraege[Datum Ausgaben],"&lt;"&amp;EDATE(S$5,1),tblAuftraege[Kostenstelle],$B45))</f>
        <v>0</v>
      </c>
      <c r="T45" s="11" t="n">
        <f aca="false">IF($B45="",0,SUMIFS(tblAuftraege[Ausgaben],tblAuftraege[Datum Ausgaben],"&gt;="&amp;T$5,tblAuftraege[Datum Ausgaben],"&lt;"&amp;EDATE(T$5,1),tblAuftraege[Kostenstelle],$B45))</f>
        <v>0</v>
      </c>
      <c r="U45" s="11" t="n">
        <f aca="false">SUM(C45:H45)</f>
        <v>0</v>
      </c>
      <c r="V45" s="11" t="n">
        <f aca="false">SUM(I45:T45)</f>
        <v>0</v>
      </c>
      <c r="W45" s="12" t="n">
        <f aca="false">SUM(C45:T45)</f>
        <v>0</v>
      </c>
    </row>
    <row r="46" customFormat="false" ht="15" hidden="false" customHeight="false" outlineLevel="0" collapsed="false">
      <c r="A46" s="9" t="s">
        <v>32</v>
      </c>
      <c r="B46" s="10"/>
      <c r="C46" s="11" t="n">
        <f aca="false">IF($B46="",0,SUMIFS(tblAuftraege[Ausgaben],tblAuftraege[Datum Ausgaben],"&gt;="&amp;C$5,tblAuftraege[Datum Ausgaben],"&lt;"&amp;EDATE(C$5,1),tblAuftraege[Kostenstelle],$B46))</f>
        <v>0</v>
      </c>
      <c r="D46" s="11" t="n">
        <f aca="false">IF($B46="",0,SUMIFS(tblAuftraege[Ausgaben],tblAuftraege[Datum Ausgaben],"&gt;="&amp;D$5,tblAuftraege[Datum Ausgaben],"&lt;"&amp;EDATE(D$5,1),tblAuftraege[Kostenstelle],$B46))</f>
        <v>0</v>
      </c>
      <c r="E46" s="11" t="n">
        <f aca="false">IF($B46="",0,SUMIFS(tblAuftraege[Ausgaben],tblAuftraege[Datum Ausgaben],"&gt;="&amp;E$5,tblAuftraege[Datum Ausgaben],"&lt;"&amp;EDATE(E$5,1),tblAuftraege[Kostenstelle],$B46))</f>
        <v>0</v>
      </c>
      <c r="F46" s="11" t="n">
        <f aca="false">IF($B46="",0,SUMIFS(tblAuftraege[Ausgaben],tblAuftraege[Datum Ausgaben],"&gt;="&amp;F$5,tblAuftraege[Datum Ausgaben],"&lt;"&amp;EDATE(F$5,1),tblAuftraege[Kostenstelle],$B46))</f>
        <v>0</v>
      </c>
      <c r="G46" s="11" t="n">
        <f aca="false">IF($B46="",0,SUMIFS(tblAuftraege[Ausgaben],tblAuftraege[Datum Ausgaben],"&gt;="&amp;G$5,tblAuftraege[Datum Ausgaben],"&lt;"&amp;EDATE(G$5,1),tblAuftraege[Kostenstelle],$B46))</f>
        <v>0</v>
      </c>
      <c r="H46" s="11" t="n">
        <f aca="false">IF($B46="",0,SUMIFS(tblAuftraege[Ausgaben],tblAuftraege[Datum Ausgaben],"&gt;="&amp;H$5,tblAuftraege[Datum Ausgaben],"&lt;"&amp;EDATE(H$5,1),tblAuftraege[Kostenstelle],$B46))</f>
        <v>0</v>
      </c>
      <c r="I46" s="11" t="n">
        <f aca="false">IF($B46="",0,SUMIFS(tblAuftraege[Ausgaben],tblAuftraege[Datum Ausgaben],"&gt;="&amp;I$5,tblAuftraege[Datum Ausgaben],"&lt;"&amp;EDATE(I$5,1),tblAuftraege[Kostenstelle],$B46))</f>
        <v>0</v>
      </c>
      <c r="J46" s="11" t="n">
        <f aca="false">IF($B46="",0,SUMIFS(tblAuftraege[Ausgaben],tblAuftraege[Datum Ausgaben],"&gt;="&amp;J$5,tblAuftraege[Datum Ausgaben],"&lt;"&amp;EDATE(J$5,1),tblAuftraege[Kostenstelle],$B46))</f>
        <v>0</v>
      </c>
      <c r="K46" s="11" t="n">
        <f aca="false">IF($B46="",0,SUMIFS(tblAuftraege[Ausgaben],tblAuftraege[Datum Ausgaben],"&gt;="&amp;K$5,tblAuftraege[Datum Ausgaben],"&lt;"&amp;EDATE(K$5,1),tblAuftraege[Kostenstelle],$B46))</f>
        <v>0</v>
      </c>
      <c r="L46" s="11" t="n">
        <f aca="false">IF($B46="",0,SUMIFS(tblAuftraege[Ausgaben],tblAuftraege[Datum Ausgaben],"&gt;="&amp;L$5,tblAuftraege[Datum Ausgaben],"&lt;"&amp;EDATE(L$5,1),tblAuftraege[Kostenstelle],$B46))</f>
        <v>0</v>
      </c>
      <c r="M46" s="11" t="n">
        <f aca="false">IF($B46="",0,SUMIFS(tblAuftraege[Ausgaben],tblAuftraege[Datum Ausgaben],"&gt;="&amp;M$5,tblAuftraege[Datum Ausgaben],"&lt;"&amp;EDATE(M$5,1),tblAuftraege[Kostenstelle],$B46))</f>
        <v>0</v>
      </c>
      <c r="N46" s="11" t="n">
        <f aca="false">IF($B46="",0,SUMIFS(tblAuftraege[Ausgaben],tblAuftraege[Datum Ausgaben],"&gt;="&amp;N$5,tblAuftraege[Datum Ausgaben],"&lt;"&amp;EDATE(N$5,1),tblAuftraege[Kostenstelle],$B46))</f>
        <v>0</v>
      </c>
      <c r="O46" s="11" t="n">
        <f aca="false">IF($B46="",0,SUMIFS(tblAuftraege[Ausgaben],tblAuftraege[Datum Ausgaben],"&gt;="&amp;O$5,tblAuftraege[Datum Ausgaben],"&lt;"&amp;EDATE(O$5,1),tblAuftraege[Kostenstelle],$B46))</f>
        <v>0</v>
      </c>
      <c r="P46" s="11" t="n">
        <f aca="false">IF($B46="",0,SUMIFS(tblAuftraege[Ausgaben],tblAuftraege[Datum Ausgaben],"&gt;="&amp;P$5,tblAuftraege[Datum Ausgaben],"&lt;"&amp;EDATE(P$5,1),tblAuftraege[Kostenstelle],$B46))</f>
        <v>0</v>
      </c>
      <c r="Q46" s="11" t="n">
        <f aca="false">IF($B46="",0,SUMIFS(tblAuftraege[Ausgaben],tblAuftraege[Datum Ausgaben],"&gt;="&amp;Q$5,tblAuftraege[Datum Ausgaben],"&lt;"&amp;EDATE(Q$5,1),tblAuftraege[Kostenstelle],$B46))</f>
        <v>0</v>
      </c>
      <c r="R46" s="11" t="n">
        <f aca="false">IF($B46="",0,SUMIFS(tblAuftraege[Ausgaben],tblAuftraege[Datum Ausgaben],"&gt;="&amp;R$5,tblAuftraege[Datum Ausgaben],"&lt;"&amp;EDATE(R$5,1),tblAuftraege[Kostenstelle],$B46))</f>
        <v>0</v>
      </c>
      <c r="S46" s="11" t="n">
        <f aca="false">IF($B46="",0,SUMIFS(tblAuftraege[Ausgaben],tblAuftraege[Datum Ausgaben],"&gt;="&amp;S$5,tblAuftraege[Datum Ausgaben],"&lt;"&amp;EDATE(S$5,1),tblAuftraege[Kostenstelle],$B46))</f>
        <v>0</v>
      </c>
      <c r="T46" s="11" t="n">
        <f aca="false">IF($B46="",0,SUMIFS(tblAuftraege[Ausgaben],tblAuftraege[Datum Ausgaben],"&gt;="&amp;T$5,tblAuftraege[Datum Ausgaben],"&lt;"&amp;EDATE(T$5,1),tblAuftraege[Kostenstelle],$B46))</f>
        <v>0</v>
      </c>
      <c r="U46" s="11" t="n">
        <f aca="false">SUM(C46:H46)</f>
        <v>0</v>
      </c>
      <c r="V46" s="11" t="n">
        <f aca="false">SUM(I46:T46)</f>
        <v>0</v>
      </c>
      <c r="W46" s="12" t="n">
        <f aca="false">SUM(C46:T46)</f>
        <v>0</v>
      </c>
    </row>
    <row r="47" customFormat="false" ht="15" hidden="false" customHeight="false" outlineLevel="0" collapsed="false">
      <c r="A47" s="9" t="s">
        <v>33</v>
      </c>
      <c r="B47" s="10"/>
      <c r="C47" s="11" t="n">
        <f aca="false">IF($B47="",0,SUMIFS(tblAuftraege[Ausgaben],tblAuftraege[Datum Ausgaben],"&gt;="&amp;C$5,tblAuftraege[Datum Ausgaben],"&lt;"&amp;EDATE(C$5,1),tblAuftraege[Kostenstelle],$B47))</f>
        <v>0</v>
      </c>
      <c r="D47" s="11" t="n">
        <f aca="false">IF($B47="",0,SUMIFS(tblAuftraege[Ausgaben],tblAuftraege[Datum Ausgaben],"&gt;="&amp;D$5,tblAuftraege[Datum Ausgaben],"&lt;"&amp;EDATE(D$5,1),tblAuftraege[Kostenstelle],$B47))</f>
        <v>0</v>
      </c>
      <c r="E47" s="11" t="n">
        <f aca="false">IF($B47="",0,SUMIFS(tblAuftraege[Ausgaben],tblAuftraege[Datum Ausgaben],"&gt;="&amp;E$5,tblAuftraege[Datum Ausgaben],"&lt;"&amp;EDATE(E$5,1),tblAuftraege[Kostenstelle],$B47))</f>
        <v>0</v>
      </c>
      <c r="F47" s="11" t="n">
        <f aca="false">IF($B47="",0,SUMIFS(tblAuftraege[Ausgaben],tblAuftraege[Datum Ausgaben],"&gt;="&amp;F$5,tblAuftraege[Datum Ausgaben],"&lt;"&amp;EDATE(F$5,1),tblAuftraege[Kostenstelle],$B47))</f>
        <v>0</v>
      </c>
      <c r="G47" s="11" t="n">
        <f aca="false">IF($B47="",0,SUMIFS(tblAuftraege[Ausgaben],tblAuftraege[Datum Ausgaben],"&gt;="&amp;G$5,tblAuftraege[Datum Ausgaben],"&lt;"&amp;EDATE(G$5,1),tblAuftraege[Kostenstelle],$B47))</f>
        <v>0</v>
      </c>
      <c r="H47" s="11" t="n">
        <f aca="false">IF($B47="",0,SUMIFS(tblAuftraege[Ausgaben],tblAuftraege[Datum Ausgaben],"&gt;="&amp;H$5,tblAuftraege[Datum Ausgaben],"&lt;"&amp;EDATE(H$5,1),tblAuftraege[Kostenstelle],$B47))</f>
        <v>0</v>
      </c>
      <c r="I47" s="11" t="n">
        <f aca="false">IF($B47="",0,SUMIFS(tblAuftraege[Ausgaben],tblAuftraege[Datum Ausgaben],"&gt;="&amp;I$5,tblAuftraege[Datum Ausgaben],"&lt;"&amp;EDATE(I$5,1),tblAuftraege[Kostenstelle],$B47))</f>
        <v>0</v>
      </c>
      <c r="J47" s="11" t="n">
        <f aca="false">IF($B47="",0,SUMIFS(tblAuftraege[Ausgaben],tblAuftraege[Datum Ausgaben],"&gt;="&amp;J$5,tblAuftraege[Datum Ausgaben],"&lt;"&amp;EDATE(J$5,1),tblAuftraege[Kostenstelle],$B47))</f>
        <v>0</v>
      </c>
      <c r="K47" s="11" t="n">
        <f aca="false">IF($B47="",0,SUMIFS(tblAuftraege[Ausgaben],tblAuftraege[Datum Ausgaben],"&gt;="&amp;K$5,tblAuftraege[Datum Ausgaben],"&lt;"&amp;EDATE(K$5,1),tblAuftraege[Kostenstelle],$B47))</f>
        <v>0</v>
      </c>
      <c r="L47" s="11" t="n">
        <f aca="false">IF($B47="",0,SUMIFS(tblAuftraege[Ausgaben],tblAuftraege[Datum Ausgaben],"&gt;="&amp;L$5,tblAuftraege[Datum Ausgaben],"&lt;"&amp;EDATE(L$5,1),tblAuftraege[Kostenstelle],$B47))</f>
        <v>0</v>
      </c>
      <c r="M47" s="11" t="n">
        <f aca="false">IF($B47="",0,SUMIFS(tblAuftraege[Ausgaben],tblAuftraege[Datum Ausgaben],"&gt;="&amp;M$5,tblAuftraege[Datum Ausgaben],"&lt;"&amp;EDATE(M$5,1),tblAuftraege[Kostenstelle],$B47))</f>
        <v>0</v>
      </c>
      <c r="N47" s="11" t="n">
        <f aca="false">IF($B47="",0,SUMIFS(tblAuftraege[Ausgaben],tblAuftraege[Datum Ausgaben],"&gt;="&amp;N$5,tblAuftraege[Datum Ausgaben],"&lt;"&amp;EDATE(N$5,1),tblAuftraege[Kostenstelle],$B47))</f>
        <v>0</v>
      </c>
      <c r="O47" s="11" t="n">
        <f aca="false">IF($B47="",0,SUMIFS(tblAuftraege[Ausgaben],tblAuftraege[Datum Ausgaben],"&gt;="&amp;O$5,tblAuftraege[Datum Ausgaben],"&lt;"&amp;EDATE(O$5,1),tblAuftraege[Kostenstelle],$B47))</f>
        <v>0</v>
      </c>
      <c r="P47" s="11" t="n">
        <f aca="false">IF($B47="",0,SUMIFS(tblAuftraege[Ausgaben],tblAuftraege[Datum Ausgaben],"&gt;="&amp;P$5,tblAuftraege[Datum Ausgaben],"&lt;"&amp;EDATE(P$5,1),tblAuftraege[Kostenstelle],$B47))</f>
        <v>0</v>
      </c>
      <c r="Q47" s="11" t="n">
        <f aca="false">IF($B47="",0,SUMIFS(tblAuftraege[Ausgaben],tblAuftraege[Datum Ausgaben],"&gt;="&amp;Q$5,tblAuftraege[Datum Ausgaben],"&lt;"&amp;EDATE(Q$5,1),tblAuftraege[Kostenstelle],$B47))</f>
        <v>0</v>
      </c>
      <c r="R47" s="11" t="n">
        <f aca="false">IF($B47="",0,SUMIFS(tblAuftraege[Ausgaben],tblAuftraege[Datum Ausgaben],"&gt;="&amp;R$5,tblAuftraege[Datum Ausgaben],"&lt;"&amp;EDATE(R$5,1),tblAuftraege[Kostenstelle],$B47))</f>
        <v>0</v>
      </c>
      <c r="S47" s="11" t="n">
        <f aca="false">IF($B47="",0,SUMIFS(tblAuftraege[Ausgaben],tblAuftraege[Datum Ausgaben],"&gt;="&amp;S$5,tblAuftraege[Datum Ausgaben],"&lt;"&amp;EDATE(S$5,1),tblAuftraege[Kostenstelle],$B47))</f>
        <v>0</v>
      </c>
      <c r="T47" s="11" t="n">
        <f aca="false">IF($B47="",0,SUMIFS(tblAuftraege[Ausgaben],tblAuftraege[Datum Ausgaben],"&gt;="&amp;T$5,tblAuftraege[Datum Ausgaben],"&lt;"&amp;EDATE(T$5,1),tblAuftraege[Kostenstelle],$B47))</f>
        <v>0</v>
      </c>
      <c r="U47" s="11" t="n">
        <f aca="false">SUM(C47:H47)</f>
        <v>0</v>
      </c>
      <c r="V47" s="11" t="n">
        <f aca="false">SUM(I47:T47)</f>
        <v>0</v>
      </c>
      <c r="W47" s="12" t="n">
        <f aca="false">SUM(C47:T47)</f>
        <v>0</v>
      </c>
    </row>
    <row r="48" customFormat="false" ht="15" hidden="false" customHeight="false" outlineLevel="0" collapsed="false">
      <c r="A48" s="9" t="s">
        <v>34</v>
      </c>
      <c r="B48" s="10"/>
      <c r="C48" s="11" t="n">
        <f aca="false">IF($B48="",0,SUMIFS(tblAuftraege[Ausgaben],tblAuftraege[Datum Ausgaben],"&gt;="&amp;C$5,tblAuftraege[Datum Ausgaben],"&lt;"&amp;EDATE(C$5,1),tblAuftraege[Kostenstelle],$B48))</f>
        <v>0</v>
      </c>
      <c r="D48" s="11" t="n">
        <f aca="false">IF($B48="",0,SUMIFS(tblAuftraege[Ausgaben],tblAuftraege[Datum Ausgaben],"&gt;="&amp;D$5,tblAuftraege[Datum Ausgaben],"&lt;"&amp;EDATE(D$5,1),tblAuftraege[Kostenstelle],$B48))</f>
        <v>0</v>
      </c>
      <c r="E48" s="11" t="n">
        <f aca="false">IF($B48="",0,SUMIFS(tblAuftraege[Ausgaben],tblAuftraege[Datum Ausgaben],"&gt;="&amp;E$5,tblAuftraege[Datum Ausgaben],"&lt;"&amp;EDATE(E$5,1),tblAuftraege[Kostenstelle],$B48))</f>
        <v>0</v>
      </c>
      <c r="F48" s="11" t="n">
        <f aca="false">IF($B48="",0,SUMIFS(tblAuftraege[Ausgaben],tblAuftraege[Datum Ausgaben],"&gt;="&amp;F$5,tblAuftraege[Datum Ausgaben],"&lt;"&amp;EDATE(F$5,1),tblAuftraege[Kostenstelle],$B48))</f>
        <v>0</v>
      </c>
      <c r="G48" s="11" t="n">
        <f aca="false">IF($B48="",0,SUMIFS(tblAuftraege[Ausgaben],tblAuftraege[Datum Ausgaben],"&gt;="&amp;G$5,tblAuftraege[Datum Ausgaben],"&lt;"&amp;EDATE(G$5,1),tblAuftraege[Kostenstelle],$B48))</f>
        <v>0</v>
      </c>
      <c r="H48" s="11" t="n">
        <f aca="false">IF($B48="",0,SUMIFS(tblAuftraege[Ausgaben],tblAuftraege[Datum Ausgaben],"&gt;="&amp;H$5,tblAuftraege[Datum Ausgaben],"&lt;"&amp;EDATE(H$5,1),tblAuftraege[Kostenstelle],$B48))</f>
        <v>0</v>
      </c>
      <c r="I48" s="11" t="n">
        <f aca="false">IF($B48="",0,SUMIFS(tblAuftraege[Ausgaben],tblAuftraege[Datum Ausgaben],"&gt;="&amp;I$5,tblAuftraege[Datum Ausgaben],"&lt;"&amp;EDATE(I$5,1),tblAuftraege[Kostenstelle],$B48))</f>
        <v>0</v>
      </c>
      <c r="J48" s="11" t="n">
        <f aca="false">IF($B48="",0,SUMIFS(tblAuftraege[Ausgaben],tblAuftraege[Datum Ausgaben],"&gt;="&amp;J$5,tblAuftraege[Datum Ausgaben],"&lt;"&amp;EDATE(J$5,1),tblAuftraege[Kostenstelle],$B48))</f>
        <v>0</v>
      </c>
      <c r="K48" s="11" t="n">
        <f aca="false">IF($B48="",0,SUMIFS(tblAuftraege[Ausgaben],tblAuftraege[Datum Ausgaben],"&gt;="&amp;K$5,tblAuftraege[Datum Ausgaben],"&lt;"&amp;EDATE(K$5,1),tblAuftraege[Kostenstelle],$B48))</f>
        <v>0</v>
      </c>
      <c r="L48" s="11" t="n">
        <f aca="false">IF($B48="",0,SUMIFS(tblAuftraege[Ausgaben],tblAuftraege[Datum Ausgaben],"&gt;="&amp;L$5,tblAuftraege[Datum Ausgaben],"&lt;"&amp;EDATE(L$5,1),tblAuftraege[Kostenstelle],$B48))</f>
        <v>0</v>
      </c>
      <c r="M48" s="11" t="n">
        <f aca="false">IF($B48="",0,SUMIFS(tblAuftraege[Ausgaben],tblAuftraege[Datum Ausgaben],"&gt;="&amp;M$5,tblAuftraege[Datum Ausgaben],"&lt;"&amp;EDATE(M$5,1),tblAuftraege[Kostenstelle],$B48))</f>
        <v>0</v>
      </c>
      <c r="N48" s="11" t="n">
        <f aca="false">IF($B48="",0,SUMIFS(tblAuftraege[Ausgaben],tblAuftraege[Datum Ausgaben],"&gt;="&amp;N$5,tblAuftraege[Datum Ausgaben],"&lt;"&amp;EDATE(N$5,1),tblAuftraege[Kostenstelle],$B48))</f>
        <v>0</v>
      </c>
      <c r="O48" s="11" t="n">
        <f aca="false">IF($B48="",0,SUMIFS(tblAuftraege[Ausgaben],tblAuftraege[Datum Ausgaben],"&gt;="&amp;O$5,tblAuftraege[Datum Ausgaben],"&lt;"&amp;EDATE(O$5,1),tblAuftraege[Kostenstelle],$B48))</f>
        <v>0</v>
      </c>
      <c r="P48" s="11" t="n">
        <f aca="false">IF($B48="",0,SUMIFS(tblAuftraege[Ausgaben],tblAuftraege[Datum Ausgaben],"&gt;="&amp;P$5,tblAuftraege[Datum Ausgaben],"&lt;"&amp;EDATE(P$5,1),tblAuftraege[Kostenstelle],$B48))</f>
        <v>0</v>
      </c>
      <c r="Q48" s="11" t="n">
        <f aca="false">IF($B48="",0,SUMIFS(tblAuftraege[Ausgaben],tblAuftraege[Datum Ausgaben],"&gt;="&amp;Q$5,tblAuftraege[Datum Ausgaben],"&lt;"&amp;EDATE(Q$5,1),tblAuftraege[Kostenstelle],$B48))</f>
        <v>0</v>
      </c>
      <c r="R48" s="11" t="n">
        <f aca="false">IF($B48="",0,SUMIFS(tblAuftraege[Ausgaben],tblAuftraege[Datum Ausgaben],"&gt;="&amp;R$5,tblAuftraege[Datum Ausgaben],"&lt;"&amp;EDATE(R$5,1),tblAuftraege[Kostenstelle],$B48))</f>
        <v>0</v>
      </c>
      <c r="S48" s="11" t="n">
        <f aca="false">IF($B48="",0,SUMIFS(tblAuftraege[Ausgaben],tblAuftraege[Datum Ausgaben],"&gt;="&amp;S$5,tblAuftraege[Datum Ausgaben],"&lt;"&amp;EDATE(S$5,1),tblAuftraege[Kostenstelle],$B48))</f>
        <v>0</v>
      </c>
      <c r="T48" s="11" t="n">
        <f aca="false">IF($B48="",0,SUMIFS(tblAuftraege[Ausgaben],tblAuftraege[Datum Ausgaben],"&gt;="&amp;T$5,tblAuftraege[Datum Ausgaben],"&lt;"&amp;EDATE(T$5,1),tblAuftraege[Kostenstelle],$B48))</f>
        <v>0</v>
      </c>
      <c r="U48" s="11" t="n">
        <f aca="false">SUM(C48:H48)</f>
        <v>0</v>
      </c>
      <c r="V48" s="11" t="n">
        <f aca="false">SUM(I48:T48)</f>
        <v>0</v>
      </c>
      <c r="W48" s="12" t="n">
        <f aca="false">SUM(C48:T48)</f>
        <v>0</v>
      </c>
    </row>
    <row r="49" customFormat="false" ht="15" hidden="false" customHeight="false" outlineLevel="0" collapsed="false">
      <c r="A49" s="9"/>
      <c r="B49" s="10"/>
      <c r="C49" s="11" t="n">
        <f aca="false">IF($B49="",0,SUMIFS(tblAuftraege[Ausgaben],tblAuftraege[Datum Ausgaben],"&gt;="&amp;C$5,tblAuftraege[Datum Ausgaben],"&lt;"&amp;EDATE(C$5,1),tblAuftraege[Kostenstelle],$B49))</f>
        <v>0</v>
      </c>
      <c r="D49" s="11" t="n">
        <f aca="false">IF($B49="",0,SUMIFS(tblAuftraege[Ausgaben],tblAuftraege[Datum Ausgaben],"&gt;="&amp;D$5,tblAuftraege[Datum Ausgaben],"&lt;"&amp;EDATE(D$5,1),tblAuftraege[Kostenstelle],$B49))</f>
        <v>0</v>
      </c>
      <c r="E49" s="11" t="n">
        <f aca="false">IF($B49="",0,SUMIFS(tblAuftraege[Ausgaben],tblAuftraege[Datum Ausgaben],"&gt;="&amp;E$5,tblAuftraege[Datum Ausgaben],"&lt;"&amp;EDATE(E$5,1),tblAuftraege[Kostenstelle],$B49))</f>
        <v>0</v>
      </c>
      <c r="F49" s="11" t="n">
        <f aca="false">IF($B49="",0,SUMIFS(tblAuftraege[Ausgaben],tblAuftraege[Datum Ausgaben],"&gt;="&amp;F$5,tblAuftraege[Datum Ausgaben],"&lt;"&amp;EDATE(F$5,1),tblAuftraege[Kostenstelle],$B49))</f>
        <v>0</v>
      </c>
      <c r="G49" s="11" t="n">
        <f aca="false">IF($B49="",0,SUMIFS(tblAuftraege[Ausgaben],tblAuftraege[Datum Ausgaben],"&gt;="&amp;G$5,tblAuftraege[Datum Ausgaben],"&lt;"&amp;EDATE(G$5,1),tblAuftraege[Kostenstelle],$B49))</f>
        <v>0</v>
      </c>
      <c r="H49" s="11" t="n">
        <f aca="false">IF($B49="",0,SUMIFS(tblAuftraege[Ausgaben],tblAuftraege[Datum Ausgaben],"&gt;="&amp;H$5,tblAuftraege[Datum Ausgaben],"&lt;"&amp;EDATE(H$5,1),tblAuftraege[Kostenstelle],$B49))</f>
        <v>0</v>
      </c>
      <c r="I49" s="11" t="n">
        <f aca="false">IF($B49="",0,SUMIFS(tblAuftraege[Ausgaben],tblAuftraege[Datum Ausgaben],"&gt;="&amp;I$5,tblAuftraege[Datum Ausgaben],"&lt;"&amp;EDATE(I$5,1),tblAuftraege[Kostenstelle],$B49))</f>
        <v>0</v>
      </c>
      <c r="J49" s="11" t="n">
        <f aca="false">IF($B49="",0,SUMIFS(tblAuftraege[Ausgaben],tblAuftraege[Datum Ausgaben],"&gt;="&amp;J$5,tblAuftraege[Datum Ausgaben],"&lt;"&amp;EDATE(J$5,1),tblAuftraege[Kostenstelle],$B49))</f>
        <v>0</v>
      </c>
      <c r="K49" s="11" t="n">
        <f aca="false">IF($B49="",0,SUMIFS(tblAuftraege[Ausgaben],tblAuftraege[Datum Ausgaben],"&gt;="&amp;K$5,tblAuftraege[Datum Ausgaben],"&lt;"&amp;EDATE(K$5,1),tblAuftraege[Kostenstelle],$B49))</f>
        <v>0</v>
      </c>
      <c r="L49" s="11" t="n">
        <f aca="false">IF($B49="",0,SUMIFS(tblAuftraege[Ausgaben],tblAuftraege[Datum Ausgaben],"&gt;="&amp;L$5,tblAuftraege[Datum Ausgaben],"&lt;"&amp;EDATE(L$5,1),tblAuftraege[Kostenstelle],$B49))</f>
        <v>0</v>
      </c>
      <c r="M49" s="11" t="n">
        <f aca="false">IF($B49="",0,SUMIFS(tblAuftraege[Ausgaben],tblAuftraege[Datum Ausgaben],"&gt;="&amp;M$5,tblAuftraege[Datum Ausgaben],"&lt;"&amp;EDATE(M$5,1),tblAuftraege[Kostenstelle],$B49))</f>
        <v>0</v>
      </c>
      <c r="N49" s="11" t="n">
        <f aca="false">IF($B49="",0,SUMIFS(tblAuftraege[Ausgaben],tblAuftraege[Datum Ausgaben],"&gt;="&amp;N$5,tblAuftraege[Datum Ausgaben],"&lt;"&amp;EDATE(N$5,1),tblAuftraege[Kostenstelle],$B49))</f>
        <v>0</v>
      </c>
      <c r="O49" s="11" t="n">
        <f aca="false">IF($B49="",0,SUMIFS(tblAuftraege[Ausgaben],tblAuftraege[Datum Ausgaben],"&gt;="&amp;O$5,tblAuftraege[Datum Ausgaben],"&lt;"&amp;EDATE(O$5,1),tblAuftraege[Kostenstelle],$B49))</f>
        <v>0</v>
      </c>
      <c r="P49" s="11" t="n">
        <f aca="false">IF($B49="",0,SUMIFS(tblAuftraege[Ausgaben],tblAuftraege[Datum Ausgaben],"&gt;="&amp;P$5,tblAuftraege[Datum Ausgaben],"&lt;"&amp;EDATE(P$5,1),tblAuftraege[Kostenstelle],$B49))</f>
        <v>0</v>
      </c>
      <c r="Q49" s="11" t="n">
        <f aca="false">IF($B49="",0,SUMIFS(tblAuftraege[Ausgaben],tblAuftraege[Datum Ausgaben],"&gt;="&amp;Q$5,tblAuftraege[Datum Ausgaben],"&lt;"&amp;EDATE(Q$5,1),tblAuftraege[Kostenstelle],$B49))</f>
        <v>0</v>
      </c>
      <c r="R49" s="11" t="n">
        <f aca="false">IF($B49="",0,SUMIFS(tblAuftraege[Ausgaben],tblAuftraege[Datum Ausgaben],"&gt;="&amp;R$5,tblAuftraege[Datum Ausgaben],"&lt;"&amp;EDATE(R$5,1),tblAuftraege[Kostenstelle],$B49))</f>
        <v>0</v>
      </c>
      <c r="S49" s="11" t="n">
        <f aca="false">IF($B49="",0,SUMIFS(tblAuftraege[Ausgaben],tblAuftraege[Datum Ausgaben],"&gt;="&amp;S$5,tblAuftraege[Datum Ausgaben],"&lt;"&amp;EDATE(S$5,1),tblAuftraege[Kostenstelle],$B49))</f>
        <v>0</v>
      </c>
      <c r="T49" s="11" t="n">
        <f aca="false">IF($B49="",0,SUMIFS(tblAuftraege[Ausgaben],tblAuftraege[Datum Ausgaben],"&gt;="&amp;T$5,tblAuftraege[Datum Ausgaben],"&lt;"&amp;EDATE(T$5,1),tblAuftraege[Kostenstelle],$B49))</f>
        <v>0</v>
      </c>
      <c r="U49" s="11" t="n">
        <f aca="false">SUM(C49:H49)</f>
        <v>0</v>
      </c>
      <c r="V49" s="11" t="n">
        <f aca="false">SUM(I49:T49)</f>
        <v>0</v>
      </c>
      <c r="W49" s="12" t="n">
        <f aca="false">SUM(C49:T49)</f>
        <v>0</v>
      </c>
    </row>
    <row r="50" customFormat="false" ht="15" hidden="false" customHeight="false" outlineLevel="0" collapsed="false">
      <c r="A50" s="9"/>
      <c r="B50" s="10"/>
      <c r="C50" s="11" t="n">
        <f aca="false">IF($B50="",0,SUMIFS(tblAuftraege[Ausgaben],tblAuftraege[Datum Ausgaben],"&gt;="&amp;C$5,tblAuftraege[Datum Ausgaben],"&lt;"&amp;EDATE(C$5,1),tblAuftraege[Kostenstelle],$B50))</f>
        <v>0</v>
      </c>
      <c r="D50" s="11" t="n">
        <f aca="false">IF($B50="",0,SUMIFS(tblAuftraege[Ausgaben],tblAuftraege[Datum Ausgaben],"&gt;="&amp;D$5,tblAuftraege[Datum Ausgaben],"&lt;"&amp;EDATE(D$5,1),tblAuftraege[Kostenstelle],$B50))</f>
        <v>0</v>
      </c>
      <c r="E50" s="11" t="n">
        <f aca="false">IF($B50="",0,SUMIFS(tblAuftraege[Ausgaben],tblAuftraege[Datum Ausgaben],"&gt;="&amp;E$5,tblAuftraege[Datum Ausgaben],"&lt;"&amp;EDATE(E$5,1),tblAuftraege[Kostenstelle],$B50))</f>
        <v>0</v>
      </c>
      <c r="F50" s="11" t="n">
        <f aca="false">IF($B50="",0,SUMIFS(tblAuftraege[Ausgaben],tblAuftraege[Datum Ausgaben],"&gt;="&amp;F$5,tblAuftraege[Datum Ausgaben],"&lt;"&amp;EDATE(F$5,1),tblAuftraege[Kostenstelle],$B50))</f>
        <v>0</v>
      </c>
      <c r="G50" s="11" t="n">
        <f aca="false">IF($B50="",0,SUMIFS(tblAuftraege[Ausgaben],tblAuftraege[Datum Ausgaben],"&gt;="&amp;G$5,tblAuftraege[Datum Ausgaben],"&lt;"&amp;EDATE(G$5,1),tblAuftraege[Kostenstelle],$B50))</f>
        <v>0</v>
      </c>
      <c r="H50" s="11" t="n">
        <f aca="false">IF($B50="",0,SUMIFS(tblAuftraege[Ausgaben],tblAuftraege[Datum Ausgaben],"&gt;="&amp;H$5,tblAuftraege[Datum Ausgaben],"&lt;"&amp;EDATE(H$5,1),tblAuftraege[Kostenstelle],$B50))</f>
        <v>0</v>
      </c>
      <c r="I50" s="11" t="n">
        <f aca="false">IF($B50="",0,SUMIFS(tblAuftraege[Ausgaben],tblAuftraege[Datum Ausgaben],"&gt;="&amp;I$5,tblAuftraege[Datum Ausgaben],"&lt;"&amp;EDATE(I$5,1),tblAuftraege[Kostenstelle],$B50))</f>
        <v>0</v>
      </c>
      <c r="J50" s="11" t="n">
        <f aca="false">IF($B50="",0,SUMIFS(tblAuftraege[Ausgaben],tblAuftraege[Datum Ausgaben],"&gt;="&amp;J$5,tblAuftraege[Datum Ausgaben],"&lt;"&amp;EDATE(J$5,1),tblAuftraege[Kostenstelle],$B50))</f>
        <v>0</v>
      </c>
      <c r="K50" s="11" t="n">
        <f aca="false">IF($B50="",0,SUMIFS(tblAuftraege[Ausgaben],tblAuftraege[Datum Ausgaben],"&gt;="&amp;K$5,tblAuftraege[Datum Ausgaben],"&lt;"&amp;EDATE(K$5,1),tblAuftraege[Kostenstelle],$B50))</f>
        <v>0</v>
      </c>
      <c r="L50" s="11" t="n">
        <f aca="false">IF($B50="",0,SUMIFS(tblAuftraege[Ausgaben],tblAuftraege[Datum Ausgaben],"&gt;="&amp;L$5,tblAuftraege[Datum Ausgaben],"&lt;"&amp;EDATE(L$5,1),tblAuftraege[Kostenstelle],$B50))</f>
        <v>0</v>
      </c>
      <c r="M50" s="11" t="n">
        <f aca="false">IF($B50="",0,SUMIFS(tblAuftraege[Ausgaben],tblAuftraege[Datum Ausgaben],"&gt;="&amp;M$5,tblAuftraege[Datum Ausgaben],"&lt;"&amp;EDATE(M$5,1),tblAuftraege[Kostenstelle],$B50))</f>
        <v>0</v>
      </c>
      <c r="N50" s="11" t="n">
        <f aca="false">IF($B50="",0,SUMIFS(tblAuftraege[Ausgaben],tblAuftraege[Datum Ausgaben],"&gt;="&amp;N$5,tblAuftraege[Datum Ausgaben],"&lt;"&amp;EDATE(N$5,1),tblAuftraege[Kostenstelle],$B50))</f>
        <v>0</v>
      </c>
      <c r="O50" s="11" t="n">
        <f aca="false">IF($B50="",0,SUMIFS(tblAuftraege[Ausgaben],tblAuftraege[Datum Ausgaben],"&gt;="&amp;O$5,tblAuftraege[Datum Ausgaben],"&lt;"&amp;EDATE(O$5,1),tblAuftraege[Kostenstelle],$B50))</f>
        <v>0</v>
      </c>
      <c r="P50" s="11" t="n">
        <f aca="false">IF($B50="",0,SUMIFS(tblAuftraege[Ausgaben],tblAuftraege[Datum Ausgaben],"&gt;="&amp;P$5,tblAuftraege[Datum Ausgaben],"&lt;"&amp;EDATE(P$5,1),tblAuftraege[Kostenstelle],$B50))</f>
        <v>0</v>
      </c>
      <c r="Q50" s="11" t="n">
        <f aca="false">IF($B50="",0,SUMIFS(tblAuftraege[Ausgaben],tblAuftraege[Datum Ausgaben],"&gt;="&amp;Q$5,tblAuftraege[Datum Ausgaben],"&lt;"&amp;EDATE(Q$5,1),tblAuftraege[Kostenstelle],$B50))</f>
        <v>0</v>
      </c>
      <c r="R50" s="11" t="n">
        <f aca="false">IF($B50="",0,SUMIFS(tblAuftraege[Ausgaben],tblAuftraege[Datum Ausgaben],"&gt;="&amp;R$5,tblAuftraege[Datum Ausgaben],"&lt;"&amp;EDATE(R$5,1),tblAuftraege[Kostenstelle],$B50))</f>
        <v>0</v>
      </c>
      <c r="S50" s="11" t="n">
        <f aca="false">IF($B50="",0,SUMIFS(tblAuftraege[Ausgaben],tblAuftraege[Datum Ausgaben],"&gt;="&amp;S$5,tblAuftraege[Datum Ausgaben],"&lt;"&amp;EDATE(S$5,1),tblAuftraege[Kostenstelle],$B50))</f>
        <v>0</v>
      </c>
      <c r="T50" s="11" t="n">
        <f aca="false">IF($B50="",0,SUMIFS(tblAuftraege[Ausgaben],tblAuftraege[Datum Ausgaben],"&gt;="&amp;T$5,tblAuftraege[Datum Ausgaben],"&lt;"&amp;EDATE(T$5,1),tblAuftraege[Kostenstelle],$B50))</f>
        <v>0</v>
      </c>
      <c r="U50" s="11" t="n">
        <f aca="false">SUM(C50:H50)</f>
        <v>0</v>
      </c>
      <c r="V50" s="11" t="n">
        <f aca="false">SUM(I50:T50)</f>
        <v>0</v>
      </c>
      <c r="W50" s="12" t="n">
        <f aca="false">SUM(C50:T50)</f>
        <v>0</v>
      </c>
    </row>
    <row r="51" customFormat="false" ht="15" hidden="false" customHeight="false" outlineLevel="0" collapsed="false">
      <c r="A51" s="9"/>
      <c r="B51" s="10"/>
      <c r="C51" s="11" t="n">
        <f aca="false">IF($B51="",0,SUMIFS(tblAuftraege[Ausgaben],tblAuftraege[Datum Ausgaben],"&gt;="&amp;C$5,tblAuftraege[Datum Ausgaben],"&lt;"&amp;EDATE(C$5,1),tblAuftraege[Kostenstelle],$B51))</f>
        <v>0</v>
      </c>
      <c r="D51" s="11" t="n">
        <f aca="false">IF($B51="",0,SUMIFS(tblAuftraege[Ausgaben],tblAuftraege[Datum Ausgaben],"&gt;="&amp;D$5,tblAuftraege[Datum Ausgaben],"&lt;"&amp;EDATE(D$5,1),tblAuftraege[Kostenstelle],$B51))</f>
        <v>0</v>
      </c>
      <c r="E51" s="11" t="n">
        <f aca="false">IF($B51="",0,SUMIFS(tblAuftraege[Ausgaben],tblAuftraege[Datum Ausgaben],"&gt;="&amp;E$5,tblAuftraege[Datum Ausgaben],"&lt;"&amp;EDATE(E$5,1),tblAuftraege[Kostenstelle],$B51))</f>
        <v>0</v>
      </c>
      <c r="F51" s="11" t="n">
        <f aca="false">IF($B51="",0,SUMIFS(tblAuftraege[Ausgaben],tblAuftraege[Datum Ausgaben],"&gt;="&amp;F$5,tblAuftraege[Datum Ausgaben],"&lt;"&amp;EDATE(F$5,1),tblAuftraege[Kostenstelle],$B51))</f>
        <v>0</v>
      </c>
      <c r="G51" s="11" t="n">
        <f aca="false">IF($B51="",0,SUMIFS(tblAuftraege[Ausgaben],tblAuftraege[Datum Ausgaben],"&gt;="&amp;G$5,tblAuftraege[Datum Ausgaben],"&lt;"&amp;EDATE(G$5,1),tblAuftraege[Kostenstelle],$B51))</f>
        <v>0</v>
      </c>
      <c r="H51" s="11" t="n">
        <f aca="false">IF($B51="",0,SUMIFS(tblAuftraege[Ausgaben],tblAuftraege[Datum Ausgaben],"&gt;="&amp;H$5,tblAuftraege[Datum Ausgaben],"&lt;"&amp;EDATE(H$5,1),tblAuftraege[Kostenstelle],$B51))</f>
        <v>0</v>
      </c>
      <c r="I51" s="11" t="n">
        <f aca="false">IF($B51="",0,SUMIFS(tblAuftraege[Ausgaben],tblAuftraege[Datum Ausgaben],"&gt;="&amp;I$5,tblAuftraege[Datum Ausgaben],"&lt;"&amp;EDATE(I$5,1),tblAuftraege[Kostenstelle],$B51))</f>
        <v>0</v>
      </c>
      <c r="J51" s="11" t="n">
        <f aca="false">IF($B51="",0,SUMIFS(tblAuftraege[Ausgaben],tblAuftraege[Datum Ausgaben],"&gt;="&amp;J$5,tblAuftraege[Datum Ausgaben],"&lt;"&amp;EDATE(J$5,1),tblAuftraege[Kostenstelle],$B51))</f>
        <v>0</v>
      </c>
      <c r="K51" s="11" t="n">
        <f aca="false">IF($B51="",0,SUMIFS(tblAuftraege[Ausgaben],tblAuftraege[Datum Ausgaben],"&gt;="&amp;K$5,tblAuftraege[Datum Ausgaben],"&lt;"&amp;EDATE(K$5,1),tblAuftraege[Kostenstelle],$B51))</f>
        <v>0</v>
      </c>
      <c r="L51" s="11" t="n">
        <f aca="false">IF($B51="",0,SUMIFS(tblAuftraege[Ausgaben],tblAuftraege[Datum Ausgaben],"&gt;="&amp;L$5,tblAuftraege[Datum Ausgaben],"&lt;"&amp;EDATE(L$5,1),tblAuftraege[Kostenstelle],$B51))</f>
        <v>0</v>
      </c>
      <c r="M51" s="11" t="n">
        <f aca="false">IF($B51="",0,SUMIFS(tblAuftraege[Ausgaben],tblAuftraege[Datum Ausgaben],"&gt;="&amp;M$5,tblAuftraege[Datum Ausgaben],"&lt;"&amp;EDATE(M$5,1),tblAuftraege[Kostenstelle],$B51))</f>
        <v>0</v>
      </c>
      <c r="N51" s="11" t="n">
        <f aca="false">IF($B51="",0,SUMIFS(tblAuftraege[Ausgaben],tblAuftraege[Datum Ausgaben],"&gt;="&amp;N$5,tblAuftraege[Datum Ausgaben],"&lt;"&amp;EDATE(N$5,1),tblAuftraege[Kostenstelle],$B51))</f>
        <v>0</v>
      </c>
      <c r="O51" s="11" t="n">
        <f aca="false">IF($B51="",0,SUMIFS(tblAuftraege[Ausgaben],tblAuftraege[Datum Ausgaben],"&gt;="&amp;O$5,tblAuftraege[Datum Ausgaben],"&lt;"&amp;EDATE(O$5,1),tblAuftraege[Kostenstelle],$B51))</f>
        <v>0</v>
      </c>
      <c r="P51" s="11" t="n">
        <f aca="false">IF($B51="",0,SUMIFS(tblAuftraege[Ausgaben],tblAuftraege[Datum Ausgaben],"&gt;="&amp;P$5,tblAuftraege[Datum Ausgaben],"&lt;"&amp;EDATE(P$5,1),tblAuftraege[Kostenstelle],$B51))</f>
        <v>0</v>
      </c>
      <c r="Q51" s="11" t="n">
        <f aca="false">IF($B51="",0,SUMIFS(tblAuftraege[Ausgaben],tblAuftraege[Datum Ausgaben],"&gt;="&amp;Q$5,tblAuftraege[Datum Ausgaben],"&lt;"&amp;EDATE(Q$5,1),tblAuftraege[Kostenstelle],$B51))</f>
        <v>0</v>
      </c>
      <c r="R51" s="11" t="n">
        <f aca="false">IF($B51="",0,SUMIFS(tblAuftraege[Ausgaben],tblAuftraege[Datum Ausgaben],"&gt;="&amp;R$5,tblAuftraege[Datum Ausgaben],"&lt;"&amp;EDATE(R$5,1),tblAuftraege[Kostenstelle],$B51))</f>
        <v>0</v>
      </c>
      <c r="S51" s="11" t="n">
        <f aca="false">IF($B51="",0,SUMIFS(tblAuftraege[Ausgaben],tblAuftraege[Datum Ausgaben],"&gt;="&amp;S$5,tblAuftraege[Datum Ausgaben],"&lt;"&amp;EDATE(S$5,1),tblAuftraege[Kostenstelle],$B51))</f>
        <v>0</v>
      </c>
      <c r="T51" s="11" t="n">
        <f aca="false">IF($B51="",0,SUMIFS(tblAuftraege[Ausgaben],tblAuftraege[Datum Ausgaben],"&gt;="&amp;T$5,tblAuftraege[Datum Ausgaben],"&lt;"&amp;EDATE(T$5,1),tblAuftraege[Kostenstelle],$B51))</f>
        <v>0</v>
      </c>
      <c r="U51" s="11" t="n">
        <f aca="false">SUM(C51:H51)</f>
        <v>0</v>
      </c>
      <c r="V51" s="11" t="n">
        <f aca="false">SUM(I51:T51)</f>
        <v>0</v>
      </c>
      <c r="W51" s="12" t="n">
        <f aca="false">SUM(C51:T51)</f>
        <v>0</v>
      </c>
    </row>
    <row r="52" customFormat="false" ht="15" hidden="false" customHeight="false" outlineLevel="0" collapsed="false">
      <c r="A52" s="9"/>
      <c r="B52" s="10"/>
      <c r="C52" s="11" t="n">
        <f aca="false">IF($B52="",0,SUMIFS(tblAuftraege[Ausgaben],tblAuftraege[Datum Ausgaben],"&gt;="&amp;C$5,tblAuftraege[Datum Ausgaben],"&lt;"&amp;EDATE(C$5,1),tblAuftraege[Kostenstelle],$B52))</f>
        <v>0</v>
      </c>
      <c r="D52" s="11" t="n">
        <f aca="false">IF($B52="",0,SUMIFS(tblAuftraege[Ausgaben],tblAuftraege[Datum Ausgaben],"&gt;="&amp;D$5,tblAuftraege[Datum Ausgaben],"&lt;"&amp;EDATE(D$5,1),tblAuftraege[Kostenstelle],$B52))</f>
        <v>0</v>
      </c>
      <c r="E52" s="11" t="n">
        <f aca="false">IF($B52="",0,SUMIFS(tblAuftraege[Ausgaben],tblAuftraege[Datum Ausgaben],"&gt;="&amp;E$5,tblAuftraege[Datum Ausgaben],"&lt;"&amp;EDATE(E$5,1),tblAuftraege[Kostenstelle],$B52))</f>
        <v>0</v>
      </c>
      <c r="F52" s="11" t="n">
        <f aca="false">IF($B52="",0,SUMIFS(tblAuftraege[Ausgaben],tblAuftraege[Datum Ausgaben],"&gt;="&amp;F$5,tblAuftraege[Datum Ausgaben],"&lt;"&amp;EDATE(F$5,1),tblAuftraege[Kostenstelle],$B52))</f>
        <v>0</v>
      </c>
      <c r="G52" s="11" t="n">
        <f aca="false">IF($B52="",0,SUMIFS(tblAuftraege[Ausgaben],tblAuftraege[Datum Ausgaben],"&gt;="&amp;G$5,tblAuftraege[Datum Ausgaben],"&lt;"&amp;EDATE(G$5,1),tblAuftraege[Kostenstelle],$B52))</f>
        <v>0</v>
      </c>
      <c r="H52" s="11" t="n">
        <f aca="false">IF($B52="",0,SUMIFS(tblAuftraege[Ausgaben],tblAuftraege[Datum Ausgaben],"&gt;="&amp;H$5,tblAuftraege[Datum Ausgaben],"&lt;"&amp;EDATE(H$5,1),tblAuftraege[Kostenstelle],$B52))</f>
        <v>0</v>
      </c>
      <c r="I52" s="11" t="n">
        <f aca="false">IF($B52="",0,SUMIFS(tblAuftraege[Ausgaben],tblAuftraege[Datum Ausgaben],"&gt;="&amp;I$5,tblAuftraege[Datum Ausgaben],"&lt;"&amp;EDATE(I$5,1),tblAuftraege[Kostenstelle],$B52))</f>
        <v>0</v>
      </c>
      <c r="J52" s="11" t="n">
        <f aca="false">IF($B52="",0,SUMIFS(tblAuftraege[Ausgaben],tblAuftraege[Datum Ausgaben],"&gt;="&amp;J$5,tblAuftraege[Datum Ausgaben],"&lt;"&amp;EDATE(J$5,1),tblAuftraege[Kostenstelle],$B52))</f>
        <v>0</v>
      </c>
      <c r="K52" s="11" t="n">
        <f aca="false">IF($B52="",0,SUMIFS(tblAuftraege[Ausgaben],tblAuftraege[Datum Ausgaben],"&gt;="&amp;K$5,tblAuftraege[Datum Ausgaben],"&lt;"&amp;EDATE(K$5,1),tblAuftraege[Kostenstelle],$B52))</f>
        <v>0</v>
      </c>
      <c r="L52" s="11" t="n">
        <f aca="false">IF($B52="",0,SUMIFS(tblAuftraege[Ausgaben],tblAuftraege[Datum Ausgaben],"&gt;="&amp;L$5,tblAuftraege[Datum Ausgaben],"&lt;"&amp;EDATE(L$5,1),tblAuftraege[Kostenstelle],$B52))</f>
        <v>0</v>
      </c>
      <c r="M52" s="11" t="n">
        <f aca="false">IF($B52="",0,SUMIFS(tblAuftraege[Ausgaben],tblAuftraege[Datum Ausgaben],"&gt;="&amp;M$5,tblAuftraege[Datum Ausgaben],"&lt;"&amp;EDATE(M$5,1),tblAuftraege[Kostenstelle],$B52))</f>
        <v>0</v>
      </c>
      <c r="N52" s="11" t="n">
        <f aca="false">IF($B52="",0,SUMIFS(tblAuftraege[Ausgaben],tblAuftraege[Datum Ausgaben],"&gt;="&amp;N$5,tblAuftraege[Datum Ausgaben],"&lt;"&amp;EDATE(N$5,1),tblAuftraege[Kostenstelle],$B52))</f>
        <v>0</v>
      </c>
      <c r="O52" s="11" t="n">
        <f aca="false">IF($B52="",0,SUMIFS(tblAuftraege[Ausgaben],tblAuftraege[Datum Ausgaben],"&gt;="&amp;O$5,tblAuftraege[Datum Ausgaben],"&lt;"&amp;EDATE(O$5,1),tblAuftraege[Kostenstelle],$B52))</f>
        <v>0</v>
      </c>
      <c r="P52" s="11" t="n">
        <f aca="false">IF($B52="",0,SUMIFS(tblAuftraege[Ausgaben],tblAuftraege[Datum Ausgaben],"&gt;="&amp;P$5,tblAuftraege[Datum Ausgaben],"&lt;"&amp;EDATE(P$5,1),tblAuftraege[Kostenstelle],$B52))</f>
        <v>0</v>
      </c>
      <c r="Q52" s="11" t="n">
        <f aca="false">IF($B52="",0,SUMIFS(tblAuftraege[Ausgaben],tblAuftraege[Datum Ausgaben],"&gt;="&amp;Q$5,tblAuftraege[Datum Ausgaben],"&lt;"&amp;EDATE(Q$5,1),tblAuftraege[Kostenstelle],$B52))</f>
        <v>0</v>
      </c>
      <c r="R52" s="11" t="n">
        <f aca="false">IF($B52="",0,SUMIFS(tblAuftraege[Ausgaben],tblAuftraege[Datum Ausgaben],"&gt;="&amp;R$5,tblAuftraege[Datum Ausgaben],"&lt;"&amp;EDATE(R$5,1),tblAuftraege[Kostenstelle],$B52))</f>
        <v>0</v>
      </c>
      <c r="S52" s="11" t="n">
        <f aca="false">IF($B52="",0,SUMIFS(tblAuftraege[Ausgaben],tblAuftraege[Datum Ausgaben],"&gt;="&amp;S$5,tblAuftraege[Datum Ausgaben],"&lt;"&amp;EDATE(S$5,1),tblAuftraege[Kostenstelle],$B52))</f>
        <v>0</v>
      </c>
      <c r="T52" s="11" t="n">
        <f aca="false">IF($B52="",0,SUMIFS(tblAuftraege[Ausgaben],tblAuftraege[Datum Ausgaben],"&gt;="&amp;T$5,tblAuftraege[Datum Ausgaben],"&lt;"&amp;EDATE(T$5,1),tblAuftraege[Kostenstelle],$B52))</f>
        <v>0</v>
      </c>
      <c r="U52" s="11" t="n">
        <f aca="false">SUM(C52:H52)</f>
        <v>0</v>
      </c>
      <c r="V52" s="11" t="n">
        <f aca="false">SUM(I52:T52)</f>
        <v>0</v>
      </c>
      <c r="W52" s="12" t="n">
        <f aca="false">SUM(C52:T52)</f>
        <v>0</v>
      </c>
    </row>
    <row r="53" customFormat="false" ht="15" hidden="false" customHeight="false" outlineLevel="0" collapsed="false">
      <c r="A53" s="9"/>
      <c r="B53" s="10"/>
      <c r="C53" s="11" t="n">
        <f aca="false">IF($B53="",0,SUMIFS(tblAuftraege[Ausgaben],tblAuftraege[Datum Ausgaben],"&gt;="&amp;C$5,tblAuftraege[Datum Ausgaben],"&lt;"&amp;EDATE(C$5,1),tblAuftraege[Kostenstelle],$B53))</f>
        <v>0</v>
      </c>
      <c r="D53" s="11" t="n">
        <f aca="false">IF($B53="",0,SUMIFS(tblAuftraege[Ausgaben],tblAuftraege[Datum Ausgaben],"&gt;="&amp;D$5,tblAuftraege[Datum Ausgaben],"&lt;"&amp;EDATE(D$5,1),tblAuftraege[Kostenstelle],$B53))</f>
        <v>0</v>
      </c>
      <c r="E53" s="11" t="n">
        <f aca="false">IF($B53="",0,SUMIFS(tblAuftraege[Ausgaben],tblAuftraege[Datum Ausgaben],"&gt;="&amp;E$5,tblAuftraege[Datum Ausgaben],"&lt;"&amp;EDATE(E$5,1),tblAuftraege[Kostenstelle],$B53))</f>
        <v>0</v>
      </c>
      <c r="F53" s="11" t="n">
        <f aca="false">IF($B53="",0,SUMIFS(tblAuftraege[Ausgaben],tblAuftraege[Datum Ausgaben],"&gt;="&amp;F$5,tblAuftraege[Datum Ausgaben],"&lt;"&amp;EDATE(F$5,1),tblAuftraege[Kostenstelle],$B53))</f>
        <v>0</v>
      </c>
      <c r="G53" s="11" t="n">
        <f aca="false">IF($B53="",0,SUMIFS(tblAuftraege[Ausgaben],tblAuftraege[Datum Ausgaben],"&gt;="&amp;G$5,tblAuftraege[Datum Ausgaben],"&lt;"&amp;EDATE(G$5,1),tblAuftraege[Kostenstelle],$B53))</f>
        <v>0</v>
      </c>
      <c r="H53" s="11" t="n">
        <f aca="false">IF($B53="",0,SUMIFS(tblAuftraege[Ausgaben],tblAuftraege[Datum Ausgaben],"&gt;="&amp;H$5,tblAuftraege[Datum Ausgaben],"&lt;"&amp;EDATE(H$5,1),tblAuftraege[Kostenstelle],$B53))</f>
        <v>0</v>
      </c>
      <c r="I53" s="11" t="n">
        <f aca="false">IF($B53="",0,SUMIFS(tblAuftraege[Ausgaben],tblAuftraege[Datum Ausgaben],"&gt;="&amp;I$5,tblAuftraege[Datum Ausgaben],"&lt;"&amp;EDATE(I$5,1),tblAuftraege[Kostenstelle],$B53))</f>
        <v>0</v>
      </c>
      <c r="J53" s="11" t="n">
        <f aca="false">IF($B53="",0,SUMIFS(tblAuftraege[Ausgaben],tblAuftraege[Datum Ausgaben],"&gt;="&amp;J$5,tblAuftraege[Datum Ausgaben],"&lt;"&amp;EDATE(J$5,1),tblAuftraege[Kostenstelle],$B53))</f>
        <v>0</v>
      </c>
      <c r="K53" s="11" t="n">
        <f aca="false">IF($B53="",0,SUMIFS(tblAuftraege[Ausgaben],tblAuftraege[Datum Ausgaben],"&gt;="&amp;K$5,tblAuftraege[Datum Ausgaben],"&lt;"&amp;EDATE(K$5,1),tblAuftraege[Kostenstelle],$B53))</f>
        <v>0</v>
      </c>
      <c r="L53" s="11" t="n">
        <f aca="false">IF($B53="",0,SUMIFS(tblAuftraege[Ausgaben],tblAuftraege[Datum Ausgaben],"&gt;="&amp;L$5,tblAuftraege[Datum Ausgaben],"&lt;"&amp;EDATE(L$5,1),tblAuftraege[Kostenstelle],$B53))</f>
        <v>0</v>
      </c>
      <c r="M53" s="11" t="n">
        <f aca="false">IF($B53="",0,SUMIFS(tblAuftraege[Ausgaben],tblAuftraege[Datum Ausgaben],"&gt;="&amp;M$5,tblAuftraege[Datum Ausgaben],"&lt;"&amp;EDATE(M$5,1),tblAuftraege[Kostenstelle],$B53))</f>
        <v>0</v>
      </c>
      <c r="N53" s="11" t="n">
        <f aca="false">IF($B53="",0,SUMIFS(tblAuftraege[Ausgaben],tblAuftraege[Datum Ausgaben],"&gt;="&amp;N$5,tblAuftraege[Datum Ausgaben],"&lt;"&amp;EDATE(N$5,1),tblAuftraege[Kostenstelle],$B53))</f>
        <v>0</v>
      </c>
      <c r="O53" s="11" t="n">
        <f aca="false">IF($B53="",0,SUMIFS(tblAuftraege[Ausgaben],tblAuftraege[Datum Ausgaben],"&gt;="&amp;O$5,tblAuftraege[Datum Ausgaben],"&lt;"&amp;EDATE(O$5,1),tblAuftraege[Kostenstelle],$B53))</f>
        <v>0</v>
      </c>
      <c r="P53" s="11" t="n">
        <f aca="false">IF($B53="",0,SUMIFS(tblAuftraege[Ausgaben],tblAuftraege[Datum Ausgaben],"&gt;="&amp;P$5,tblAuftraege[Datum Ausgaben],"&lt;"&amp;EDATE(P$5,1),tblAuftraege[Kostenstelle],$B53))</f>
        <v>0</v>
      </c>
      <c r="Q53" s="11" t="n">
        <f aca="false">IF($B53="",0,SUMIFS(tblAuftraege[Ausgaben],tblAuftraege[Datum Ausgaben],"&gt;="&amp;Q$5,tblAuftraege[Datum Ausgaben],"&lt;"&amp;EDATE(Q$5,1),tblAuftraege[Kostenstelle],$B53))</f>
        <v>0</v>
      </c>
      <c r="R53" s="11" t="n">
        <f aca="false">IF($B53="",0,SUMIFS(tblAuftraege[Ausgaben],tblAuftraege[Datum Ausgaben],"&gt;="&amp;R$5,tblAuftraege[Datum Ausgaben],"&lt;"&amp;EDATE(R$5,1),tblAuftraege[Kostenstelle],$B53))</f>
        <v>0</v>
      </c>
      <c r="S53" s="11" t="n">
        <f aca="false">IF($B53="",0,SUMIFS(tblAuftraege[Ausgaben],tblAuftraege[Datum Ausgaben],"&gt;="&amp;S$5,tblAuftraege[Datum Ausgaben],"&lt;"&amp;EDATE(S$5,1),tblAuftraege[Kostenstelle],$B53))</f>
        <v>0</v>
      </c>
      <c r="T53" s="11" t="n">
        <f aca="false">IF($B53="",0,SUMIFS(tblAuftraege[Ausgaben],tblAuftraege[Datum Ausgaben],"&gt;="&amp;T$5,tblAuftraege[Datum Ausgaben],"&lt;"&amp;EDATE(T$5,1),tblAuftraege[Kostenstelle],$B53))</f>
        <v>0</v>
      </c>
      <c r="U53" s="11" t="n">
        <f aca="false">SUM(C53:H53)</f>
        <v>0</v>
      </c>
      <c r="V53" s="11" t="n">
        <f aca="false">SUM(I53:T53)</f>
        <v>0</v>
      </c>
      <c r="W53" s="12" t="n">
        <f aca="false">SUM(C53:T53)</f>
        <v>0</v>
      </c>
    </row>
    <row r="54" customFormat="false" ht="15" hidden="false" customHeight="false" outlineLevel="0" collapsed="false">
      <c r="A54" s="9"/>
      <c r="B54" s="10"/>
      <c r="C54" s="11" t="n">
        <f aca="false">IF($B54="",0,SUMIFS(tblAuftraege[Ausgaben],tblAuftraege[Datum Ausgaben],"&gt;="&amp;C$5,tblAuftraege[Datum Ausgaben],"&lt;"&amp;EDATE(C$5,1),tblAuftraege[Kostenstelle],$B54))</f>
        <v>0</v>
      </c>
      <c r="D54" s="11" t="n">
        <f aca="false">IF($B54="",0,SUMIFS(tblAuftraege[Ausgaben],tblAuftraege[Datum Ausgaben],"&gt;="&amp;D$5,tblAuftraege[Datum Ausgaben],"&lt;"&amp;EDATE(D$5,1),tblAuftraege[Kostenstelle],$B54))</f>
        <v>0</v>
      </c>
      <c r="E54" s="11" t="n">
        <f aca="false">IF($B54="",0,SUMIFS(tblAuftraege[Ausgaben],tblAuftraege[Datum Ausgaben],"&gt;="&amp;E$5,tblAuftraege[Datum Ausgaben],"&lt;"&amp;EDATE(E$5,1),tblAuftraege[Kostenstelle],$B54))</f>
        <v>0</v>
      </c>
      <c r="F54" s="11" t="n">
        <f aca="false">IF($B54="",0,SUMIFS(tblAuftraege[Ausgaben],tblAuftraege[Datum Ausgaben],"&gt;="&amp;F$5,tblAuftraege[Datum Ausgaben],"&lt;"&amp;EDATE(F$5,1),tblAuftraege[Kostenstelle],$B54))</f>
        <v>0</v>
      </c>
      <c r="G54" s="11" t="n">
        <f aca="false">IF($B54="",0,SUMIFS(tblAuftraege[Ausgaben],tblAuftraege[Datum Ausgaben],"&gt;="&amp;G$5,tblAuftraege[Datum Ausgaben],"&lt;"&amp;EDATE(G$5,1),tblAuftraege[Kostenstelle],$B54))</f>
        <v>0</v>
      </c>
      <c r="H54" s="11" t="n">
        <f aca="false">IF($B54="",0,SUMIFS(tblAuftraege[Ausgaben],tblAuftraege[Datum Ausgaben],"&gt;="&amp;H$5,tblAuftraege[Datum Ausgaben],"&lt;"&amp;EDATE(H$5,1),tblAuftraege[Kostenstelle],$B54))</f>
        <v>0</v>
      </c>
      <c r="I54" s="11" t="n">
        <f aca="false">IF($B54="",0,SUMIFS(tblAuftraege[Ausgaben],tblAuftraege[Datum Ausgaben],"&gt;="&amp;I$5,tblAuftraege[Datum Ausgaben],"&lt;"&amp;EDATE(I$5,1),tblAuftraege[Kostenstelle],$B54))</f>
        <v>0</v>
      </c>
      <c r="J54" s="11" t="n">
        <f aca="false">IF($B54="",0,SUMIFS(tblAuftraege[Ausgaben],tblAuftraege[Datum Ausgaben],"&gt;="&amp;J$5,tblAuftraege[Datum Ausgaben],"&lt;"&amp;EDATE(J$5,1),tblAuftraege[Kostenstelle],$B54))</f>
        <v>0</v>
      </c>
      <c r="K54" s="11" t="n">
        <f aca="false">IF($B54="",0,SUMIFS(tblAuftraege[Ausgaben],tblAuftraege[Datum Ausgaben],"&gt;="&amp;K$5,tblAuftraege[Datum Ausgaben],"&lt;"&amp;EDATE(K$5,1),tblAuftraege[Kostenstelle],$B54))</f>
        <v>0</v>
      </c>
      <c r="L54" s="11" t="n">
        <f aca="false">IF($B54="",0,SUMIFS(tblAuftraege[Ausgaben],tblAuftraege[Datum Ausgaben],"&gt;="&amp;L$5,tblAuftraege[Datum Ausgaben],"&lt;"&amp;EDATE(L$5,1),tblAuftraege[Kostenstelle],$B54))</f>
        <v>0</v>
      </c>
      <c r="M54" s="11" t="n">
        <f aca="false">IF($B54="",0,SUMIFS(tblAuftraege[Ausgaben],tblAuftraege[Datum Ausgaben],"&gt;="&amp;M$5,tblAuftraege[Datum Ausgaben],"&lt;"&amp;EDATE(M$5,1),tblAuftraege[Kostenstelle],$B54))</f>
        <v>0</v>
      </c>
      <c r="N54" s="11" t="n">
        <f aca="false">IF($B54="",0,SUMIFS(tblAuftraege[Ausgaben],tblAuftraege[Datum Ausgaben],"&gt;="&amp;N$5,tblAuftraege[Datum Ausgaben],"&lt;"&amp;EDATE(N$5,1),tblAuftraege[Kostenstelle],$B54))</f>
        <v>0</v>
      </c>
      <c r="O54" s="11" t="n">
        <f aca="false">IF($B54="",0,SUMIFS(tblAuftraege[Ausgaben],tblAuftraege[Datum Ausgaben],"&gt;="&amp;O$5,tblAuftraege[Datum Ausgaben],"&lt;"&amp;EDATE(O$5,1),tblAuftraege[Kostenstelle],$B54))</f>
        <v>0</v>
      </c>
      <c r="P54" s="11" t="n">
        <f aca="false">IF($B54="",0,SUMIFS(tblAuftraege[Ausgaben],tblAuftraege[Datum Ausgaben],"&gt;="&amp;P$5,tblAuftraege[Datum Ausgaben],"&lt;"&amp;EDATE(P$5,1),tblAuftraege[Kostenstelle],$B54))</f>
        <v>0</v>
      </c>
      <c r="Q54" s="11" t="n">
        <f aca="false">IF($B54="",0,SUMIFS(tblAuftraege[Ausgaben],tblAuftraege[Datum Ausgaben],"&gt;="&amp;Q$5,tblAuftraege[Datum Ausgaben],"&lt;"&amp;EDATE(Q$5,1),tblAuftraege[Kostenstelle],$B54))</f>
        <v>0</v>
      </c>
      <c r="R54" s="11" t="n">
        <f aca="false">IF($B54="",0,SUMIFS(tblAuftraege[Ausgaben],tblAuftraege[Datum Ausgaben],"&gt;="&amp;R$5,tblAuftraege[Datum Ausgaben],"&lt;"&amp;EDATE(R$5,1),tblAuftraege[Kostenstelle],$B54))</f>
        <v>0</v>
      </c>
      <c r="S54" s="11" t="n">
        <f aca="false">IF($B54="",0,SUMIFS(tblAuftraege[Ausgaben],tblAuftraege[Datum Ausgaben],"&gt;="&amp;S$5,tblAuftraege[Datum Ausgaben],"&lt;"&amp;EDATE(S$5,1),tblAuftraege[Kostenstelle],$B54))</f>
        <v>0</v>
      </c>
      <c r="T54" s="11" t="n">
        <f aca="false">IF($B54="",0,SUMIFS(tblAuftraege[Ausgaben],tblAuftraege[Datum Ausgaben],"&gt;="&amp;T$5,tblAuftraege[Datum Ausgaben],"&lt;"&amp;EDATE(T$5,1),tblAuftraege[Kostenstelle],$B54))</f>
        <v>0</v>
      </c>
      <c r="U54" s="11" t="n">
        <f aca="false">SUM(C54:H54)</f>
        <v>0</v>
      </c>
      <c r="V54" s="11" t="n">
        <f aca="false">SUM(I54:T54)</f>
        <v>0</v>
      </c>
      <c r="W54" s="12" t="n">
        <f aca="false">SUM(C54:T54)</f>
        <v>0</v>
      </c>
    </row>
    <row r="55" customFormat="false" ht="15" hidden="false" customHeight="false" outlineLevel="0" collapsed="false">
      <c r="A55" s="9"/>
      <c r="B55" s="10"/>
      <c r="C55" s="11" t="n">
        <f aca="false">IF($B55="",0,SUMIFS(tblAuftraege[Ausgaben],tblAuftraege[Datum Ausgaben],"&gt;="&amp;C$5,tblAuftraege[Datum Ausgaben],"&lt;"&amp;EDATE(C$5,1),tblAuftraege[Kostenstelle],$B55))</f>
        <v>0</v>
      </c>
      <c r="D55" s="11" t="n">
        <f aca="false">IF($B55="",0,SUMIFS(tblAuftraege[Ausgaben],tblAuftraege[Datum Ausgaben],"&gt;="&amp;D$5,tblAuftraege[Datum Ausgaben],"&lt;"&amp;EDATE(D$5,1),tblAuftraege[Kostenstelle],$B55))</f>
        <v>0</v>
      </c>
      <c r="E55" s="11" t="n">
        <f aca="false">IF($B55="",0,SUMIFS(tblAuftraege[Ausgaben],tblAuftraege[Datum Ausgaben],"&gt;="&amp;E$5,tblAuftraege[Datum Ausgaben],"&lt;"&amp;EDATE(E$5,1),tblAuftraege[Kostenstelle],$B55))</f>
        <v>0</v>
      </c>
      <c r="F55" s="11" t="n">
        <f aca="false">IF($B55="",0,SUMIFS(tblAuftraege[Ausgaben],tblAuftraege[Datum Ausgaben],"&gt;="&amp;F$5,tblAuftraege[Datum Ausgaben],"&lt;"&amp;EDATE(F$5,1),tblAuftraege[Kostenstelle],$B55))</f>
        <v>0</v>
      </c>
      <c r="G55" s="11" t="n">
        <f aca="false">IF($B55="",0,SUMIFS(tblAuftraege[Ausgaben],tblAuftraege[Datum Ausgaben],"&gt;="&amp;G$5,tblAuftraege[Datum Ausgaben],"&lt;"&amp;EDATE(G$5,1),tblAuftraege[Kostenstelle],$B55))</f>
        <v>0</v>
      </c>
      <c r="H55" s="11" t="n">
        <f aca="false">IF($B55="",0,SUMIFS(tblAuftraege[Ausgaben],tblAuftraege[Datum Ausgaben],"&gt;="&amp;H$5,tblAuftraege[Datum Ausgaben],"&lt;"&amp;EDATE(H$5,1),tblAuftraege[Kostenstelle],$B55))</f>
        <v>0</v>
      </c>
      <c r="I55" s="11" t="n">
        <f aca="false">IF($B55="",0,SUMIFS(tblAuftraege[Ausgaben],tblAuftraege[Datum Ausgaben],"&gt;="&amp;I$5,tblAuftraege[Datum Ausgaben],"&lt;"&amp;EDATE(I$5,1),tblAuftraege[Kostenstelle],$B55))</f>
        <v>0</v>
      </c>
      <c r="J55" s="11" t="n">
        <f aca="false">IF($B55="",0,SUMIFS(tblAuftraege[Ausgaben],tblAuftraege[Datum Ausgaben],"&gt;="&amp;J$5,tblAuftraege[Datum Ausgaben],"&lt;"&amp;EDATE(J$5,1),tblAuftraege[Kostenstelle],$B55))</f>
        <v>0</v>
      </c>
      <c r="K55" s="11" t="n">
        <f aca="false">IF($B55="",0,SUMIFS(tblAuftraege[Ausgaben],tblAuftraege[Datum Ausgaben],"&gt;="&amp;K$5,tblAuftraege[Datum Ausgaben],"&lt;"&amp;EDATE(K$5,1),tblAuftraege[Kostenstelle],$B55))</f>
        <v>0</v>
      </c>
      <c r="L55" s="11" t="n">
        <f aca="false">IF($B55="",0,SUMIFS(tblAuftraege[Ausgaben],tblAuftraege[Datum Ausgaben],"&gt;="&amp;L$5,tblAuftraege[Datum Ausgaben],"&lt;"&amp;EDATE(L$5,1),tblAuftraege[Kostenstelle],$B55))</f>
        <v>0</v>
      </c>
      <c r="M55" s="11" t="n">
        <f aca="false">IF($B55="",0,SUMIFS(tblAuftraege[Ausgaben],tblAuftraege[Datum Ausgaben],"&gt;="&amp;M$5,tblAuftraege[Datum Ausgaben],"&lt;"&amp;EDATE(M$5,1),tblAuftraege[Kostenstelle],$B55))</f>
        <v>0</v>
      </c>
      <c r="N55" s="11" t="n">
        <f aca="false">IF($B55="",0,SUMIFS(tblAuftraege[Ausgaben],tblAuftraege[Datum Ausgaben],"&gt;="&amp;N$5,tblAuftraege[Datum Ausgaben],"&lt;"&amp;EDATE(N$5,1),tblAuftraege[Kostenstelle],$B55))</f>
        <v>0</v>
      </c>
      <c r="O55" s="11" t="n">
        <f aca="false">IF($B55="",0,SUMIFS(tblAuftraege[Ausgaben],tblAuftraege[Datum Ausgaben],"&gt;="&amp;O$5,tblAuftraege[Datum Ausgaben],"&lt;"&amp;EDATE(O$5,1),tblAuftraege[Kostenstelle],$B55))</f>
        <v>0</v>
      </c>
      <c r="P55" s="11" t="n">
        <f aca="false">IF($B55="",0,SUMIFS(tblAuftraege[Ausgaben],tblAuftraege[Datum Ausgaben],"&gt;="&amp;P$5,tblAuftraege[Datum Ausgaben],"&lt;"&amp;EDATE(P$5,1),tblAuftraege[Kostenstelle],$B55))</f>
        <v>0</v>
      </c>
      <c r="Q55" s="11" t="n">
        <f aca="false">IF($B55="",0,SUMIFS(tblAuftraege[Ausgaben],tblAuftraege[Datum Ausgaben],"&gt;="&amp;Q$5,tblAuftraege[Datum Ausgaben],"&lt;"&amp;EDATE(Q$5,1),tblAuftraege[Kostenstelle],$B55))</f>
        <v>0</v>
      </c>
      <c r="R55" s="11" t="n">
        <f aca="false">IF($B55="",0,SUMIFS(tblAuftraege[Ausgaben],tblAuftraege[Datum Ausgaben],"&gt;="&amp;R$5,tblAuftraege[Datum Ausgaben],"&lt;"&amp;EDATE(R$5,1),tblAuftraege[Kostenstelle],$B55))</f>
        <v>0</v>
      </c>
      <c r="S55" s="11" t="n">
        <f aca="false">IF($B55="",0,SUMIFS(tblAuftraege[Ausgaben],tblAuftraege[Datum Ausgaben],"&gt;="&amp;S$5,tblAuftraege[Datum Ausgaben],"&lt;"&amp;EDATE(S$5,1),tblAuftraege[Kostenstelle],$B55))</f>
        <v>0</v>
      </c>
      <c r="T55" s="11" t="n">
        <f aca="false">IF($B55="",0,SUMIFS(tblAuftraege[Ausgaben],tblAuftraege[Datum Ausgaben],"&gt;="&amp;T$5,tblAuftraege[Datum Ausgaben],"&lt;"&amp;EDATE(T$5,1),tblAuftraege[Kostenstelle],$B55))</f>
        <v>0</v>
      </c>
      <c r="U55" s="11" t="n">
        <f aca="false">SUM(C55:H55)</f>
        <v>0</v>
      </c>
      <c r="V55" s="11" t="n">
        <f aca="false">SUM(I55:T55)</f>
        <v>0</v>
      </c>
      <c r="W55" s="12" t="n">
        <f aca="false">SUM(C55:T55)</f>
        <v>0</v>
      </c>
    </row>
    <row r="56" customFormat="false" ht="15" hidden="false" customHeight="false" outlineLevel="0" collapsed="false">
      <c r="A56" s="9"/>
      <c r="B56" s="10"/>
      <c r="C56" s="11" t="n">
        <f aca="false">IF($B56="",0,SUMIFS(tblAuftraege[Ausgaben],tblAuftraege[Datum Ausgaben],"&gt;="&amp;C$5,tblAuftraege[Datum Ausgaben],"&lt;"&amp;EDATE(C$5,1),tblAuftraege[Kostenstelle],$B56))</f>
        <v>0</v>
      </c>
      <c r="D56" s="11" t="n">
        <f aca="false">IF($B56="",0,SUMIFS(tblAuftraege[Ausgaben],tblAuftraege[Datum Ausgaben],"&gt;="&amp;D$5,tblAuftraege[Datum Ausgaben],"&lt;"&amp;EDATE(D$5,1),tblAuftraege[Kostenstelle],$B56))</f>
        <v>0</v>
      </c>
      <c r="E56" s="11" t="n">
        <f aca="false">IF($B56="",0,SUMIFS(tblAuftraege[Ausgaben],tblAuftraege[Datum Ausgaben],"&gt;="&amp;E$5,tblAuftraege[Datum Ausgaben],"&lt;"&amp;EDATE(E$5,1),tblAuftraege[Kostenstelle],$B56))</f>
        <v>0</v>
      </c>
      <c r="F56" s="11" t="n">
        <f aca="false">IF($B56="",0,SUMIFS(tblAuftraege[Ausgaben],tblAuftraege[Datum Ausgaben],"&gt;="&amp;F$5,tblAuftraege[Datum Ausgaben],"&lt;"&amp;EDATE(F$5,1),tblAuftraege[Kostenstelle],$B56))</f>
        <v>0</v>
      </c>
      <c r="G56" s="11" t="n">
        <f aca="false">IF($B56="",0,SUMIFS(tblAuftraege[Ausgaben],tblAuftraege[Datum Ausgaben],"&gt;="&amp;G$5,tblAuftraege[Datum Ausgaben],"&lt;"&amp;EDATE(G$5,1),tblAuftraege[Kostenstelle],$B56))</f>
        <v>0</v>
      </c>
      <c r="H56" s="11" t="n">
        <f aca="false">IF($B56="",0,SUMIFS(tblAuftraege[Ausgaben],tblAuftraege[Datum Ausgaben],"&gt;="&amp;H$5,tblAuftraege[Datum Ausgaben],"&lt;"&amp;EDATE(H$5,1),tblAuftraege[Kostenstelle],$B56))</f>
        <v>0</v>
      </c>
      <c r="I56" s="11" t="n">
        <f aca="false">IF($B56="",0,SUMIFS(tblAuftraege[Ausgaben],tblAuftraege[Datum Ausgaben],"&gt;="&amp;I$5,tblAuftraege[Datum Ausgaben],"&lt;"&amp;EDATE(I$5,1),tblAuftraege[Kostenstelle],$B56))</f>
        <v>0</v>
      </c>
      <c r="J56" s="11" t="n">
        <f aca="false">IF($B56="",0,SUMIFS(tblAuftraege[Ausgaben],tblAuftraege[Datum Ausgaben],"&gt;="&amp;J$5,tblAuftraege[Datum Ausgaben],"&lt;"&amp;EDATE(J$5,1),tblAuftraege[Kostenstelle],$B56))</f>
        <v>0</v>
      </c>
      <c r="K56" s="11" t="n">
        <f aca="false">IF($B56="",0,SUMIFS(tblAuftraege[Ausgaben],tblAuftraege[Datum Ausgaben],"&gt;="&amp;K$5,tblAuftraege[Datum Ausgaben],"&lt;"&amp;EDATE(K$5,1),tblAuftraege[Kostenstelle],$B56))</f>
        <v>0</v>
      </c>
      <c r="L56" s="11" t="n">
        <f aca="false">IF($B56="",0,SUMIFS(tblAuftraege[Ausgaben],tblAuftraege[Datum Ausgaben],"&gt;="&amp;L$5,tblAuftraege[Datum Ausgaben],"&lt;"&amp;EDATE(L$5,1),tblAuftraege[Kostenstelle],$B56))</f>
        <v>0</v>
      </c>
      <c r="M56" s="11" t="n">
        <f aca="false">IF($B56="",0,SUMIFS(tblAuftraege[Ausgaben],tblAuftraege[Datum Ausgaben],"&gt;="&amp;M$5,tblAuftraege[Datum Ausgaben],"&lt;"&amp;EDATE(M$5,1),tblAuftraege[Kostenstelle],$B56))</f>
        <v>0</v>
      </c>
      <c r="N56" s="11" t="n">
        <f aca="false">IF($B56="",0,SUMIFS(tblAuftraege[Ausgaben],tblAuftraege[Datum Ausgaben],"&gt;="&amp;N$5,tblAuftraege[Datum Ausgaben],"&lt;"&amp;EDATE(N$5,1),tblAuftraege[Kostenstelle],$B56))</f>
        <v>0</v>
      </c>
      <c r="O56" s="11" t="n">
        <f aca="false">IF($B56="",0,SUMIFS(tblAuftraege[Ausgaben],tblAuftraege[Datum Ausgaben],"&gt;="&amp;O$5,tblAuftraege[Datum Ausgaben],"&lt;"&amp;EDATE(O$5,1),tblAuftraege[Kostenstelle],$B56))</f>
        <v>0</v>
      </c>
      <c r="P56" s="11" t="n">
        <f aca="false">IF($B56="",0,SUMIFS(tblAuftraege[Ausgaben],tblAuftraege[Datum Ausgaben],"&gt;="&amp;P$5,tblAuftraege[Datum Ausgaben],"&lt;"&amp;EDATE(P$5,1),tblAuftraege[Kostenstelle],$B56))</f>
        <v>0</v>
      </c>
      <c r="Q56" s="11" t="n">
        <f aca="false">IF($B56="",0,SUMIFS(tblAuftraege[Ausgaben],tblAuftraege[Datum Ausgaben],"&gt;="&amp;Q$5,tblAuftraege[Datum Ausgaben],"&lt;"&amp;EDATE(Q$5,1),tblAuftraege[Kostenstelle],$B56))</f>
        <v>0</v>
      </c>
      <c r="R56" s="11" t="n">
        <f aca="false">IF($B56="",0,SUMIFS(tblAuftraege[Ausgaben],tblAuftraege[Datum Ausgaben],"&gt;="&amp;R$5,tblAuftraege[Datum Ausgaben],"&lt;"&amp;EDATE(R$5,1),tblAuftraege[Kostenstelle],$B56))</f>
        <v>0</v>
      </c>
      <c r="S56" s="11" t="n">
        <f aca="false">IF($B56="",0,SUMIFS(tblAuftraege[Ausgaben],tblAuftraege[Datum Ausgaben],"&gt;="&amp;S$5,tblAuftraege[Datum Ausgaben],"&lt;"&amp;EDATE(S$5,1),tblAuftraege[Kostenstelle],$B56))</f>
        <v>0</v>
      </c>
      <c r="T56" s="11" t="n">
        <f aca="false">IF($B56="",0,SUMIFS(tblAuftraege[Ausgaben],tblAuftraege[Datum Ausgaben],"&gt;="&amp;T$5,tblAuftraege[Datum Ausgaben],"&lt;"&amp;EDATE(T$5,1),tblAuftraege[Kostenstelle],$B56))</f>
        <v>0</v>
      </c>
      <c r="U56" s="11" t="n">
        <f aca="false">SUM(C56:H56)</f>
        <v>0</v>
      </c>
      <c r="V56" s="11" t="n">
        <f aca="false">SUM(I56:T56)</f>
        <v>0</v>
      </c>
      <c r="W56" s="12" t="n">
        <f aca="false">SUM(C56:T56)</f>
        <v>0</v>
      </c>
    </row>
    <row r="57" customFormat="false" ht="15" hidden="false" customHeight="false" outlineLevel="0" collapsed="false">
      <c r="A57" s="9"/>
      <c r="B57" s="10"/>
      <c r="C57" s="11" t="n">
        <f aca="false">IF($B57="",0,SUMIFS(tblAuftraege[Ausgaben],tblAuftraege[Datum Ausgaben],"&gt;="&amp;C$5,tblAuftraege[Datum Ausgaben],"&lt;"&amp;EDATE(C$5,1),tblAuftraege[Kostenstelle],$B57))</f>
        <v>0</v>
      </c>
      <c r="D57" s="11" t="n">
        <f aca="false">IF($B57="",0,SUMIFS(tblAuftraege[Ausgaben],tblAuftraege[Datum Ausgaben],"&gt;="&amp;D$5,tblAuftraege[Datum Ausgaben],"&lt;"&amp;EDATE(D$5,1),tblAuftraege[Kostenstelle],$B57))</f>
        <v>0</v>
      </c>
      <c r="E57" s="11" t="n">
        <f aca="false">IF($B57="",0,SUMIFS(tblAuftraege[Ausgaben],tblAuftraege[Datum Ausgaben],"&gt;="&amp;E$5,tblAuftraege[Datum Ausgaben],"&lt;"&amp;EDATE(E$5,1),tblAuftraege[Kostenstelle],$B57))</f>
        <v>0</v>
      </c>
      <c r="F57" s="11" t="n">
        <f aca="false">IF($B57="",0,SUMIFS(tblAuftraege[Ausgaben],tblAuftraege[Datum Ausgaben],"&gt;="&amp;F$5,tblAuftraege[Datum Ausgaben],"&lt;"&amp;EDATE(F$5,1),tblAuftraege[Kostenstelle],$B57))</f>
        <v>0</v>
      </c>
      <c r="G57" s="11" t="n">
        <f aca="false">IF($B57="",0,SUMIFS(tblAuftraege[Ausgaben],tblAuftraege[Datum Ausgaben],"&gt;="&amp;G$5,tblAuftraege[Datum Ausgaben],"&lt;"&amp;EDATE(G$5,1),tblAuftraege[Kostenstelle],$B57))</f>
        <v>0</v>
      </c>
      <c r="H57" s="11" t="n">
        <f aca="false">IF($B57="",0,SUMIFS(tblAuftraege[Ausgaben],tblAuftraege[Datum Ausgaben],"&gt;="&amp;H$5,tblAuftraege[Datum Ausgaben],"&lt;"&amp;EDATE(H$5,1),tblAuftraege[Kostenstelle],$B57))</f>
        <v>0</v>
      </c>
      <c r="I57" s="11" t="n">
        <f aca="false">IF($B57="",0,SUMIFS(tblAuftraege[Ausgaben],tblAuftraege[Datum Ausgaben],"&gt;="&amp;I$5,tblAuftraege[Datum Ausgaben],"&lt;"&amp;EDATE(I$5,1),tblAuftraege[Kostenstelle],$B57))</f>
        <v>0</v>
      </c>
      <c r="J57" s="11" t="n">
        <f aca="false">IF($B57="",0,SUMIFS(tblAuftraege[Ausgaben],tblAuftraege[Datum Ausgaben],"&gt;="&amp;J$5,tblAuftraege[Datum Ausgaben],"&lt;"&amp;EDATE(J$5,1),tblAuftraege[Kostenstelle],$B57))</f>
        <v>0</v>
      </c>
      <c r="K57" s="11" t="n">
        <f aca="false">IF($B57="",0,SUMIFS(tblAuftraege[Ausgaben],tblAuftraege[Datum Ausgaben],"&gt;="&amp;K$5,tblAuftraege[Datum Ausgaben],"&lt;"&amp;EDATE(K$5,1),tblAuftraege[Kostenstelle],$B57))</f>
        <v>0</v>
      </c>
      <c r="L57" s="11" t="n">
        <f aca="false">IF($B57="",0,SUMIFS(tblAuftraege[Ausgaben],tblAuftraege[Datum Ausgaben],"&gt;="&amp;L$5,tblAuftraege[Datum Ausgaben],"&lt;"&amp;EDATE(L$5,1),tblAuftraege[Kostenstelle],$B57))</f>
        <v>0</v>
      </c>
      <c r="M57" s="11" t="n">
        <f aca="false">IF($B57="",0,SUMIFS(tblAuftraege[Ausgaben],tblAuftraege[Datum Ausgaben],"&gt;="&amp;M$5,tblAuftraege[Datum Ausgaben],"&lt;"&amp;EDATE(M$5,1),tblAuftraege[Kostenstelle],$B57))</f>
        <v>0</v>
      </c>
      <c r="N57" s="11" t="n">
        <f aca="false">IF($B57="",0,SUMIFS(tblAuftraege[Ausgaben],tblAuftraege[Datum Ausgaben],"&gt;="&amp;N$5,tblAuftraege[Datum Ausgaben],"&lt;"&amp;EDATE(N$5,1),tblAuftraege[Kostenstelle],$B57))</f>
        <v>0</v>
      </c>
      <c r="O57" s="11" t="n">
        <f aca="false">IF($B57="",0,SUMIFS(tblAuftraege[Ausgaben],tblAuftraege[Datum Ausgaben],"&gt;="&amp;O$5,tblAuftraege[Datum Ausgaben],"&lt;"&amp;EDATE(O$5,1),tblAuftraege[Kostenstelle],$B57))</f>
        <v>0</v>
      </c>
      <c r="P57" s="11" t="n">
        <f aca="false">IF($B57="",0,SUMIFS(tblAuftraege[Ausgaben],tblAuftraege[Datum Ausgaben],"&gt;="&amp;P$5,tblAuftraege[Datum Ausgaben],"&lt;"&amp;EDATE(P$5,1),tblAuftraege[Kostenstelle],$B57))</f>
        <v>0</v>
      </c>
      <c r="Q57" s="11" t="n">
        <f aca="false">IF($B57="",0,SUMIFS(tblAuftraege[Ausgaben],tblAuftraege[Datum Ausgaben],"&gt;="&amp;Q$5,tblAuftraege[Datum Ausgaben],"&lt;"&amp;EDATE(Q$5,1),tblAuftraege[Kostenstelle],$B57))</f>
        <v>0</v>
      </c>
      <c r="R57" s="11" t="n">
        <f aca="false">IF($B57="",0,SUMIFS(tblAuftraege[Ausgaben],tblAuftraege[Datum Ausgaben],"&gt;="&amp;R$5,tblAuftraege[Datum Ausgaben],"&lt;"&amp;EDATE(R$5,1),tblAuftraege[Kostenstelle],$B57))</f>
        <v>0</v>
      </c>
      <c r="S57" s="11" t="n">
        <f aca="false">IF($B57="",0,SUMIFS(tblAuftraege[Ausgaben],tblAuftraege[Datum Ausgaben],"&gt;="&amp;S$5,tblAuftraege[Datum Ausgaben],"&lt;"&amp;EDATE(S$5,1),tblAuftraege[Kostenstelle],$B57))</f>
        <v>0</v>
      </c>
      <c r="T57" s="11" t="n">
        <f aca="false">IF($B57="",0,SUMIFS(tblAuftraege[Ausgaben],tblAuftraege[Datum Ausgaben],"&gt;="&amp;T$5,tblAuftraege[Datum Ausgaben],"&lt;"&amp;EDATE(T$5,1),tblAuftraege[Kostenstelle],$B57))</f>
        <v>0</v>
      </c>
      <c r="U57" s="11" t="n">
        <f aca="false">SUM(C57:H57)</f>
        <v>0</v>
      </c>
      <c r="V57" s="11" t="n">
        <f aca="false">SUM(I57:T57)</f>
        <v>0</v>
      </c>
      <c r="W57" s="12" t="n">
        <f aca="false">SUM(C57:T57)</f>
        <v>0</v>
      </c>
    </row>
    <row r="58" customFormat="false" ht="15" hidden="false" customHeight="false" outlineLevel="0" collapsed="false">
      <c r="A58" s="9"/>
      <c r="B58" s="10"/>
      <c r="C58" s="11" t="n">
        <f aca="false">IF($B58="",0,SUMIFS(tblAuftraege[Ausgaben],tblAuftraege[Datum Ausgaben],"&gt;="&amp;C$5,tblAuftraege[Datum Ausgaben],"&lt;"&amp;EDATE(C$5,1),tblAuftraege[Kostenstelle],$B58))</f>
        <v>0</v>
      </c>
      <c r="D58" s="11" t="n">
        <f aca="false">IF($B58="",0,SUMIFS(tblAuftraege[Ausgaben],tblAuftraege[Datum Ausgaben],"&gt;="&amp;D$5,tblAuftraege[Datum Ausgaben],"&lt;"&amp;EDATE(D$5,1),tblAuftraege[Kostenstelle],$B58))</f>
        <v>0</v>
      </c>
      <c r="E58" s="11" t="n">
        <f aca="false">IF($B58="",0,SUMIFS(tblAuftraege[Ausgaben],tblAuftraege[Datum Ausgaben],"&gt;="&amp;E$5,tblAuftraege[Datum Ausgaben],"&lt;"&amp;EDATE(E$5,1),tblAuftraege[Kostenstelle],$B58))</f>
        <v>0</v>
      </c>
      <c r="F58" s="11" t="n">
        <f aca="false">IF($B58="",0,SUMIFS(tblAuftraege[Ausgaben],tblAuftraege[Datum Ausgaben],"&gt;="&amp;F$5,tblAuftraege[Datum Ausgaben],"&lt;"&amp;EDATE(F$5,1),tblAuftraege[Kostenstelle],$B58))</f>
        <v>0</v>
      </c>
      <c r="G58" s="11" t="n">
        <f aca="false">IF($B58="",0,SUMIFS(tblAuftraege[Ausgaben],tblAuftraege[Datum Ausgaben],"&gt;="&amp;G$5,tblAuftraege[Datum Ausgaben],"&lt;"&amp;EDATE(G$5,1),tblAuftraege[Kostenstelle],$B58))</f>
        <v>0</v>
      </c>
      <c r="H58" s="11" t="n">
        <f aca="false">IF($B58="",0,SUMIFS(tblAuftraege[Ausgaben],tblAuftraege[Datum Ausgaben],"&gt;="&amp;H$5,tblAuftraege[Datum Ausgaben],"&lt;"&amp;EDATE(H$5,1),tblAuftraege[Kostenstelle],$B58))</f>
        <v>0</v>
      </c>
      <c r="I58" s="11" t="n">
        <f aca="false">IF($B58="",0,SUMIFS(tblAuftraege[Ausgaben],tblAuftraege[Datum Ausgaben],"&gt;="&amp;I$5,tblAuftraege[Datum Ausgaben],"&lt;"&amp;EDATE(I$5,1),tblAuftraege[Kostenstelle],$B58))</f>
        <v>0</v>
      </c>
      <c r="J58" s="11" t="n">
        <f aca="false">IF($B58="",0,SUMIFS(tblAuftraege[Ausgaben],tblAuftraege[Datum Ausgaben],"&gt;="&amp;J$5,tblAuftraege[Datum Ausgaben],"&lt;"&amp;EDATE(J$5,1),tblAuftraege[Kostenstelle],$B58))</f>
        <v>0</v>
      </c>
      <c r="K58" s="11" t="n">
        <f aca="false">IF($B58="",0,SUMIFS(tblAuftraege[Ausgaben],tblAuftraege[Datum Ausgaben],"&gt;="&amp;K$5,tblAuftraege[Datum Ausgaben],"&lt;"&amp;EDATE(K$5,1),tblAuftraege[Kostenstelle],$B58))</f>
        <v>0</v>
      </c>
      <c r="L58" s="11" t="n">
        <f aca="false">IF($B58="",0,SUMIFS(tblAuftraege[Ausgaben],tblAuftraege[Datum Ausgaben],"&gt;="&amp;L$5,tblAuftraege[Datum Ausgaben],"&lt;"&amp;EDATE(L$5,1),tblAuftraege[Kostenstelle],$B58))</f>
        <v>0</v>
      </c>
      <c r="M58" s="11" t="n">
        <f aca="false">IF($B58="",0,SUMIFS(tblAuftraege[Ausgaben],tblAuftraege[Datum Ausgaben],"&gt;="&amp;M$5,tblAuftraege[Datum Ausgaben],"&lt;"&amp;EDATE(M$5,1),tblAuftraege[Kostenstelle],$B58))</f>
        <v>0</v>
      </c>
      <c r="N58" s="11" t="n">
        <f aca="false">IF($B58="",0,SUMIFS(tblAuftraege[Ausgaben],tblAuftraege[Datum Ausgaben],"&gt;="&amp;N$5,tblAuftraege[Datum Ausgaben],"&lt;"&amp;EDATE(N$5,1),tblAuftraege[Kostenstelle],$B58))</f>
        <v>0</v>
      </c>
      <c r="O58" s="11" t="n">
        <f aca="false">IF($B58="",0,SUMIFS(tblAuftraege[Ausgaben],tblAuftraege[Datum Ausgaben],"&gt;="&amp;O$5,tblAuftraege[Datum Ausgaben],"&lt;"&amp;EDATE(O$5,1),tblAuftraege[Kostenstelle],$B58))</f>
        <v>0</v>
      </c>
      <c r="P58" s="11" t="n">
        <f aca="false">IF($B58="",0,SUMIFS(tblAuftraege[Ausgaben],tblAuftraege[Datum Ausgaben],"&gt;="&amp;P$5,tblAuftraege[Datum Ausgaben],"&lt;"&amp;EDATE(P$5,1),tblAuftraege[Kostenstelle],$B58))</f>
        <v>0</v>
      </c>
      <c r="Q58" s="11" t="n">
        <f aca="false">IF($B58="",0,SUMIFS(tblAuftraege[Ausgaben],tblAuftraege[Datum Ausgaben],"&gt;="&amp;Q$5,tblAuftraege[Datum Ausgaben],"&lt;"&amp;EDATE(Q$5,1),tblAuftraege[Kostenstelle],$B58))</f>
        <v>0</v>
      </c>
      <c r="R58" s="11" t="n">
        <f aca="false">IF($B58="",0,SUMIFS(tblAuftraege[Ausgaben],tblAuftraege[Datum Ausgaben],"&gt;="&amp;R$5,tblAuftraege[Datum Ausgaben],"&lt;"&amp;EDATE(R$5,1),tblAuftraege[Kostenstelle],$B58))</f>
        <v>0</v>
      </c>
      <c r="S58" s="11" t="n">
        <f aca="false">IF($B58="",0,SUMIFS(tblAuftraege[Ausgaben],tblAuftraege[Datum Ausgaben],"&gt;="&amp;S$5,tblAuftraege[Datum Ausgaben],"&lt;"&amp;EDATE(S$5,1),tblAuftraege[Kostenstelle],$B58))</f>
        <v>0</v>
      </c>
      <c r="T58" s="11" t="n">
        <f aca="false">IF($B58="",0,SUMIFS(tblAuftraege[Ausgaben],tblAuftraege[Datum Ausgaben],"&gt;="&amp;T$5,tblAuftraege[Datum Ausgaben],"&lt;"&amp;EDATE(T$5,1),tblAuftraege[Kostenstelle],$B58))</f>
        <v>0</v>
      </c>
      <c r="U58" s="11" t="n">
        <f aca="false">SUM(C58:H58)</f>
        <v>0</v>
      </c>
      <c r="V58" s="11" t="n">
        <f aca="false">SUM(I58:T58)</f>
        <v>0</v>
      </c>
      <c r="W58" s="12" t="n">
        <f aca="false">SUM(C58:T58)</f>
        <v>0</v>
      </c>
    </row>
    <row r="59" customFormat="false" ht="15" hidden="false" customHeight="false" outlineLevel="0" collapsed="false">
      <c r="A59" s="9"/>
      <c r="B59" s="10"/>
      <c r="C59" s="11" t="n">
        <f aca="false">IF($B59="",0,SUMIFS(tblAuftraege[Ausgaben],tblAuftraege[Datum Ausgaben],"&gt;="&amp;C$5,tblAuftraege[Datum Ausgaben],"&lt;"&amp;EDATE(C$5,1),tblAuftraege[Kostenstelle],$B59))</f>
        <v>0</v>
      </c>
      <c r="D59" s="11" t="n">
        <f aca="false">IF($B59="",0,SUMIFS(tblAuftraege[Ausgaben],tblAuftraege[Datum Ausgaben],"&gt;="&amp;D$5,tblAuftraege[Datum Ausgaben],"&lt;"&amp;EDATE(D$5,1),tblAuftraege[Kostenstelle],$B59))</f>
        <v>0</v>
      </c>
      <c r="E59" s="11" t="n">
        <f aca="false">IF($B59="",0,SUMIFS(tblAuftraege[Ausgaben],tblAuftraege[Datum Ausgaben],"&gt;="&amp;E$5,tblAuftraege[Datum Ausgaben],"&lt;"&amp;EDATE(E$5,1),tblAuftraege[Kostenstelle],$B59))</f>
        <v>0</v>
      </c>
      <c r="F59" s="11" t="n">
        <f aca="false">IF($B59="",0,SUMIFS(tblAuftraege[Ausgaben],tblAuftraege[Datum Ausgaben],"&gt;="&amp;F$5,tblAuftraege[Datum Ausgaben],"&lt;"&amp;EDATE(F$5,1),tblAuftraege[Kostenstelle],$B59))</f>
        <v>0</v>
      </c>
      <c r="G59" s="11" t="n">
        <f aca="false">IF($B59="",0,SUMIFS(tblAuftraege[Ausgaben],tblAuftraege[Datum Ausgaben],"&gt;="&amp;G$5,tblAuftraege[Datum Ausgaben],"&lt;"&amp;EDATE(G$5,1),tblAuftraege[Kostenstelle],$B59))</f>
        <v>0</v>
      </c>
      <c r="H59" s="11" t="n">
        <f aca="false">IF($B59="",0,SUMIFS(tblAuftraege[Ausgaben],tblAuftraege[Datum Ausgaben],"&gt;="&amp;H$5,tblAuftraege[Datum Ausgaben],"&lt;"&amp;EDATE(H$5,1),tblAuftraege[Kostenstelle],$B59))</f>
        <v>0</v>
      </c>
      <c r="I59" s="11" t="n">
        <f aca="false">IF($B59="",0,SUMIFS(tblAuftraege[Ausgaben],tblAuftraege[Datum Ausgaben],"&gt;="&amp;I$5,tblAuftraege[Datum Ausgaben],"&lt;"&amp;EDATE(I$5,1),tblAuftraege[Kostenstelle],$B59))</f>
        <v>0</v>
      </c>
      <c r="J59" s="11" t="n">
        <f aca="false">IF($B59="",0,SUMIFS(tblAuftraege[Ausgaben],tblAuftraege[Datum Ausgaben],"&gt;="&amp;J$5,tblAuftraege[Datum Ausgaben],"&lt;"&amp;EDATE(J$5,1),tblAuftraege[Kostenstelle],$B59))</f>
        <v>0</v>
      </c>
      <c r="K59" s="11" t="n">
        <f aca="false">IF($B59="",0,SUMIFS(tblAuftraege[Ausgaben],tblAuftraege[Datum Ausgaben],"&gt;="&amp;K$5,tblAuftraege[Datum Ausgaben],"&lt;"&amp;EDATE(K$5,1),tblAuftraege[Kostenstelle],$B59))</f>
        <v>0</v>
      </c>
      <c r="L59" s="11" t="n">
        <f aca="false">IF($B59="",0,SUMIFS(tblAuftraege[Ausgaben],tblAuftraege[Datum Ausgaben],"&gt;="&amp;L$5,tblAuftraege[Datum Ausgaben],"&lt;"&amp;EDATE(L$5,1),tblAuftraege[Kostenstelle],$B59))</f>
        <v>0</v>
      </c>
      <c r="M59" s="11" t="n">
        <f aca="false">IF($B59="",0,SUMIFS(tblAuftraege[Ausgaben],tblAuftraege[Datum Ausgaben],"&gt;="&amp;M$5,tblAuftraege[Datum Ausgaben],"&lt;"&amp;EDATE(M$5,1),tblAuftraege[Kostenstelle],$B59))</f>
        <v>0</v>
      </c>
      <c r="N59" s="11" t="n">
        <f aca="false">IF($B59="",0,SUMIFS(tblAuftraege[Ausgaben],tblAuftraege[Datum Ausgaben],"&gt;="&amp;N$5,tblAuftraege[Datum Ausgaben],"&lt;"&amp;EDATE(N$5,1),tblAuftraege[Kostenstelle],$B59))</f>
        <v>0</v>
      </c>
      <c r="O59" s="11" t="n">
        <f aca="false">IF($B59="",0,SUMIFS(tblAuftraege[Ausgaben],tblAuftraege[Datum Ausgaben],"&gt;="&amp;O$5,tblAuftraege[Datum Ausgaben],"&lt;"&amp;EDATE(O$5,1),tblAuftraege[Kostenstelle],$B59))</f>
        <v>0</v>
      </c>
      <c r="P59" s="11" t="n">
        <f aca="false">IF($B59="",0,SUMIFS(tblAuftraege[Ausgaben],tblAuftraege[Datum Ausgaben],"&gt;="&amp;P$5,tblAuftraege[Datum Ausgaben],"&lt;"&amp;EDATE(P$5,1),tblAuftraege[Kostenstelle],$B59))</f>
        <v>0</v>
      </c>
      <c r="Q59" s="11" t="n">
        <f aca="false">IF($B59="",0,SUMIFS(tblAuftraege[Ausgaben],tblAuftraege[Datum Ausgaben],"&gt;="&amp;Q$5,tblAuftraege[Datum Ausgaben],"&lt;"&amp;EDATE(Q$5,1),tblAuftraege[Kostenstelle],$B59))</f>
        <v>0</v>
      </c>
      <c r="R59" s="11" t="n">
        <f aca="false">IF($B59="",0,SUMIFS(tblAuftraege[Ausgaben],tblAuftraege[Datum Ausgaben],"&gt;="&amp;R$5,tblAuftraege[Datum Ausgaben],"&lt;"&amp;EDATE(R$5,1),tblAuftraege[Kostenstelle],$B59))</f>
        <v>0</v>
      </c>
      <c r="S59" s="11" t="n">
        <f aca="false">IF($B59="",0,SUMIFS(tblAuftraege[Ausgaben],tblAuftraege[Datum Ausgaben],"&gt;="&amp;S$5,tblAuftraege[Datum Ausgaben],"&lt;"&amp;EDATE(S$5,1),tblAuftraege[Kostenstelle],$B59))</f>
        <v>0</v>
      </c>
      <c r="T59" s="11" t="n">
        <f aca="false">IF($B59="",0,SUMIFS(tblAuftraege[Ausgaben],tblAuftraege[Datum Ausgaben],"&gt;="&amp;T$5,tblAuftraege[Datum Ausgaben],"&lt;"&amp;EDATE(T$5,1),tblAuftraege[Kostenstelle],$B59))</f>
        <v>0</v>
      </c>
      <c r="U59" s="11" t="n">
        <f aca="false">SUM(C59:H59)</f>
        <v>0</v>
      </c>
      <c r="V59" s="11" t="n">
        <f aca="false">SUM(I59:T59)</f>
        <v>0</v>
      </c>
      <c r="W59" s="12" t="n">
        <f aca="false">SUM(C59:T59)</f>
        <v>0</v>
      </c>
    </row>
    <row r="60" customFormat="false" ht="15" hidden="false" customHeight="false" outlineLevel="0" collapsed="false">
      <c r="A60" s="9"/>
      <c r="B60" s="10"/>
      <c r="C60" s="11" t="n">
        <f aca="false">IF($B60="",0,SUMIFS(tblAuftraege[Ausgaben],tblAuftraege[Datum Ausgaben],"&gt;="&amp;C$5,tblAuftraege[Datum Ausgaben],"&lt;"&amp;EDATE(C$5,1),tblAuftraege[Kostenstelle],$B60))</f>
        <v>0</v>
      </c>
      <c r="D60" s="11" t="n">
        <f aca="false">IF($B60="",0,SUMIFS(tblAuftraege[Ausgaben],tblAuftraege[Datum Ausgaben],"&gt;="&amp;D$5,tblAuftraege[Datum Ausgaben],"&lt;"&amp;EDATE(D$5,1),tblAuftraege[Kostenstelle],$B60))</f>
        <v>0</v>
      </c>
      <c r="E60" s="11" t="n">
        <f aca="false">IF($B60="",0,SUMIFS(tblAuftraege[Ausgaben],tblAuftraege[Datum Ausgaben],"&gt;="&amp;E$5,tblAuftraege[Datum Ausgaben],"&lt;"&amp;EDATE(E$5,1),tblAuftraege[Kostenstelle],$B60))</f>
        <v>0</v>
      </c>
      <c r="F60" s="11" t="n">
        <f aca="false">IF($B60="",0,SUMIFS(tblAuftraege[Ausgaben],tblAuftraege[Datum Ausgaben],"&gt;="&amp;F$5,tblAuftraege[Datum Ausgaben],"&lt;"&amp;EDATE(F$5,1),tblAuftraege[Kostenstelle],$B60))</f>
        <v>0</v>
      </c>
      <c r="G60" s="11" t="n">
        <f aca="false">IF($B60="",0,SUMIFS(tblAuftraege[Ausgaben],tblAuftraege[Datum Ausgaben],"&gt;="&amp;G$5,tblAuftraege[Datum Ausgaben],"&lt;"&amp;EDATE(G$5,1),tblAuftraege[Kostenstelle],$B60))</f>
        <v>0</v>
      </c>
      <c r="H60" s="11" t="n">
        <f aca="false">IF($B60="",0,SUMIFS(tblAuftraege[Ausgaben],tblAuftraege[Datum Ausgaben],"&gt;="&amp;H$5,tblAuftraege[Datum Ausgaben],"&lt;"&amp;EDATE(H$5,1),tblAuftraege[Kostenstelle],$B60))</f>
        <v>0</v>
      </c>
      <c r="I60" s="11" t="n">
        <f aca="false">IF($B60="",0,SUMIFS(tblAuftraege[Ausgaben],tblAuftraege[Datum Ausgaben],"&gt;="&amp;I$5,tblAuftraege[Datum Ausgaben],"&lt;"&amp;EDATE(I$5,1),tblAuftraege[Kostenstelle],$B60))</f>
        <v>0</v>
      </c>
      <c r="J60" s="11" t="n">
        <f aca="false">IF($B60="",0,SUMIFS(tblAuftraege[Ausgaben],tblAuftraege[Datum Ausgaben],"&gt;="&amp;J$5,tblAuftraege[Datum Ausgaben],"&lt;"&amp;EDATE(J$5,1),tblAuftraege[Kostenstelle],$B60))</f>
        <v>0</v>
      </c>
      <c r="K60" s="11" t="n">
        <f aca="false">IF($B60="",0,SUMIFS(tblAuftraege[Ausgaben],tblAuftraege[Datum Ausgaben],"&gt;="&amp;K$5,tblAuftraege[Datum Ausgaben],"&lt;"&amp;EDATE(K$5,1),tblAuftraege[Kostenstelle],$B60))</f>
        <v>0</v>
      </c>
      <c r="L60" s="11" t="n">
        <f aca="false">IF($B60="",0,SUMIFS(tblAuftraege[Ausgaben],tblAuftraege[Datum Ausgaben],"&gt;="&amp;L$5,tblAuftraege[Datum Ausgaben],"&lt;"&amp;EDATE(L$5,1),tblAuftraege[Kostenstelle],$B60))</f>
        <v>0</v>
      </c>
      <c r="M60" s="11" t="n">
        <f aca="false">IF($B60="",0,SUMIFS(tblAuftraege[Ausgaben],tblAuftraege[Datum Ausgaben],"&gt;="&amp;M$5,tblAuftraege[Datum Ausgaben],"&lt;"&amp;EDATE(M$5,1),tblAuftraege[Kostenstelle],$B60))</f>
        <v>0</v>
      </c>
      <c r="N60" s="11" t="n">
        <f aca="false">IF($B60="",0,SUMIFS(tblAuftraege[Ausgaben],tblAuftraege[Datum Ausgaben],"&gt;="&amp;N$5,tblAuftraege[Datum Ausgaben],"&lt;"&amp;EDATE(N$5,1),tblAuftraege[Kostenstelle],$B60))</f>
        <v>0</v>
      </c>
      <c r="O60" s="11" t="n">
        <f aca="false">IF($B60="",0,SUMIFS(tblAuftraege[Ausgaben],tblAuftraege[Datum Ausgaben],"&gt;="&amp;O$5,tblAuftraege[Datum Ausgaben],"&lt;"&amp;EDATE(O$5,1),tblAuftraege[Kostenstelle],$B60))</f>
        <v>0</v>
      </c>
      <c r="P60" s="11" t="n">
        <f aca="false">IF($B60="",0,SUMIFS(tblAuftraege[Ausgaben],tblAuftraege[Datum Ausgaben],"&gt;="&amp;P$5,tblAuftraege[Datum Ausgaben],"&lt;"&amp;EDATE(P$5,1),tblAuftraege[Kostenstelle],$B60))</f>
        <v>0</v>
      </c>
      <c r="Q60" s="11" t="n">
        <f aca="false">IF($B60="",0,SUMIFS(tblAuftraege[Ausgaben],tblAuftraege[Datum Ausgaben],"&gt;="&amp;Q$5,tblAuftraege[Datum Ausgaben],"&lt;"&amp;EDATE(Q$5,1),tblAuftraege[Kostenstelle],$B60))</f>
        <v>0</v>
      </c>
      <c r="R60" s="11" t="n">
        <f aca="false">IF($B60="",0,SUMIFS(tblAuftraege[Ausgaben],tblAuftraege[Datum Ausgaben],"&gt;="&amp;R$5,tblAuftraege[Datum Ausgaben],"&lt;"&amp;EDATE(R$5,1),tblAuftraege[Kostenstelle],$B60))</f>
        <v>0</v>
      </c>
      <c r="S60" s="11" t="n">
        <f aca="false">IF($B60="",0,SUMIFS(tblAuftraege[Ausgaben],tblAuftraege[Datum Ausgaben],"&gt;="&amp;S$5,tblAuftraege[Datum Ausgaben],"&lt;"&amp;EDATE(S$5,1),tblAuftraege[Kostenstelle],$B60))</f>
        <v>0</v>
      </c>
      <c r="T60" s="11" t="n">
        <f aca="false">IF($B60="",0,SUMIFS(tblAuftraege[Ausgaben],tblAuftraege[Datum Ausgaben],"&gt;="&amp;T$5,tblAuftraege[Datum Ausgaben],"&lt;"&amp;EDATE(T$5,1),tblAuftraege[Kostenstelle],$B60))</f>
        <v>0</v>
      </c>
      <c r="U60" s="11" t="n">
        <f aca="false">SUM(C60:H60)</f>
        <v>0</v>
      </c>
      <c r="V60" s="11" t="n">
        <f aca="false">SUM(I60:T60)</f>
        <v>0</v>
      </c>
      <c r="W60" s="12" t="n">
        <f aca="false">SUM(C60:T60)</f>
        <v>0</v>
      </c>
    </row>
    <row r="61" customFormat="false" ht="15" hidden="false" customHeight="false" outlineLevel="0" collapsed="false">
      <c r="A61" s="9"/>
      <c r="B61" s="10"/>
      <c r="C61" s="11" t="n">
        <f aca="false">IF($B61="",0,SUMIFS(tblAuftraege[Ausgaben],tblAuftraege[Datum Ausgaben],"&gt;="&amp;C$5,tblAuftraege[Datum Ausgaben],"&lt;"&amp;EDATE(C$5,1),tblAuftraege[Kostenstelle],$B61))</f>
        <v>0</v>
      </c>
      <c r="D61" s="11" t="n">
        <f aca="false">IF($B61="",0,SUMIFS(tblAuftraege[Ausgaben],tblAuftraege[Datum Ausgaben],"&gt;="&amp;D$5,tblAuftraege[Datum Ausgaben],"&lt;"&amp;EDATE(D$5,1),tblAuftraege[Kostenstelle],$B61))</f>
        <v>0</v>
      </c>
      <c r="E61" s="11" t="n">
        <f aca="false">IF($B61="",0,SUMIFS(tblAuftraege[Ausgaben],tblAuftraege[Datum Ausgaben],"&gt;="&amp;E$5,tblAuftraege[Datum Ausgaben],"&lt;"&amp;EDATE(E$5,1),tblAuftraege[Kostenstelle],$B61))</f>
        <v>0</v>
      </c>
      <c r="F61" s="11" t="n">
        <f aca="false">IF($B61="",0,SUMIFS(tblAuftraege[Ausgaben],tblAuftraege[Datum Ausgaben],"&gt;="&amp;F$5,tblAuftraege[Datum Ausgaben],"&lt;"&amp;EDATE(F$5,1),tblAuftraege[Kostenstelle],$B61))</f>
        <v>0</v>
      </c>
      <c r="G61" s="11" t="n">
        <f aca="false">IF($B61="",0,SUMIFS(tblAuftraege[Ausgaben],tblAuftraege[Datum Ausgaben],"&gt;="&amp;G$5,tblAuftraege[Datum Ausgaben],"&lt;"&amp;EDATE(G$5,1),tblAuftraege[Kostenstelle],$B61))</f>
        <v>0</v>
      </c>
      <c r="H61" s="11" t="n">
        <f aca="false">IF($B61="",0,SUMIFS(tblAuftraege[Ausgaben],tblAuftraege[Datum Ausgaben],"&gt;="&amp;H$5,tblAuftraege[Datum Ausgaben],"&lt;"&amp;EDATE(H$5,1),tblAuftraege[Kostenstelle],$B61))</f>
        <v>0</v>
      </c>
      <c r="I61" s="11" t="n">
        <f aca="false">IF($B61="",0,SUMIFS(tblAuftraege[Ausgaben],tblAuftraege[Datum Ausgaben],"&gt;="&amp;I$5,tblAuftraege[Datum Ausgaben],"&lt;"&amp;EDATE(I$5,1),tblAuftraege[Kostenstelle],$B61))</f>
        <v>0</v>
      </c>
      <c r="J61" s="11" t="n">
        <f aca="false">IF($B61="",0,SUMIFS(tblAuftraege[Ausgaben],tblAuftraege[Datum Ausgaben],"&gt;="&amp;J$5,tblAuftraege[Datum Ausgaben],"&lt;"&amp;EDATE(J$5,1),tblAuftraege[Kostenstelle],$B61))</f>
        <v>0</v>
      </c>
      <c r="K61" s="11" t="n">
        <f aca="false">IF($B61="",0,SUMIFS(tblAuftraege[Ausgaben],tblAuftraege[Datum Ausgaben],"&gt;="&amp;K$5,tblAuftraege[Datum Ausgaben],"&lt;"&amp;EDATE(K$5,1),tblAuftraege[Kostenstelle],$B61))</f>
        <v>0</v>
      </c>
      <c r="L61" s="11" t="n">
        <f aca="false">IF($B61="",0,SUMIFS(tblAuftraege[Ausgaben],tblAuftraege[Datum Ausgaben],"&gt;="&amp;L$5,tblAuftraege[Datum Ausgaben],"&lt;"&amp;EDATE(L$5,1),tblAuftraege[Kostenstelle],$B61))</f>
        <v>0</v>
      </c>
      <c r="M61" s="11" t="n">
        <f aca="false">IF($B61="",0,SUMIFS(tblAuftraege[Ausgaben],tblAuftraege[Datum Ausgaben],"&gt;="&amp;M$5,tblAuftraege[Datum Ausgaben],"&lt;"&amp;EDATE(M$5,1),tblAuftraege[Kostenstelle],$B61))</f>
        <v>0</v>
      </c>
      <c r="N61" s="11" t="n">
        <f aca="false">IF($B61="",0,SUMIFS(tblAuftraege[Ausgaben],tblAuftraege[Datum Ausgaben],"&gt;="&amp;N$5,tblAuftraege[Datum Ausgaben],"&lt;"&amp;EDATE(N$5,1),tblAuftraege[Kostenstelle],$B61))</f>
        <v>0</v>
      </c>
      <c r="O61" s="11" t="n">
        <f aca="false">IF($B61="",0,SUMIFS(tblAuftraege[Ausgaben],tblAuftraege[Datum Ausgaben],"&gt;="&amp;O$5,tblAuftraege[Datum Ausgaben],"&lt;"&amp;EDATE(O$5,1),tblAuftraege[Kostenstelle],$B61))</f>
        <v>0</v>
      </c>
      <c r="P61" s="11" t="n">
        <f aca="false">IF($B61="",0,SUMIFS(tblAuftraege[Ausgaben],tblAuftraege[Datum Ausgaben],"&gt;="&amp;P$5,tblAuftraege[Datum Ausgaben],"&lt;"&amp;EDATE(P$5,1),tblAuftraege[Kostenstelle],$B61))</f>
        <v>0</v>
      </c>
      <c r="Q61" s="11" t="n">
        <f aca="false">IF($B61="",0,SUMIFS(tblAuftraege[Ausgaben],tblAuftraege[Datum Ausgaben],"&gt;="&amp;Q$5,tblAuftraege[Datum Ausgaben],"&lt;"&amp;EDATE(Q$5,1),tblAuftraege[Kostenstelle],$B61))</f>
        <v>0</v>
      </c>
      <c r="R61" s="11" t="n">
        <f aca="false">IF($B61="",0,SUMIFS(tblAuftraege[Ausgaben],tblAuftraege[Datum Ausgaben],"&gt;="&amp;R$5,tblAuftraege[Datum Ausgaben],"&lt;"&amp;EDATE(R$5,1),tblAuftraege[Kostenstelle],$B61))</f>
        <v>0</v>
      </c>
      <c r="S61" s="11" t="n">
        <f aca="false">IF($B61="",0,SUMIFS(tblAuftraege[Ausgaben],tblAuftraege[Datum Ausgaben],"&gt;="&amp;S$5,tblAuftraege[Datum Ausgaben],"&lt;"&amp;EDATE(S$5,1),tblAuftraege[Kostenstelle],$B61))</f>
        <v>0</v>
      </c>
      <c r="T61" s="11" t="n">
        <f aca="false">IF($B61="",0,SUMIFS(tblAuftraege[Ausgaben],tblAuftraege[Datum Ausgaben],"&gt;="&amp;T$5,tblAuftraege[Datum Ausgaben],"&lt;"&amp;EDATE(T$5,1),tblAuftraege[Kostenstelle],$B61))</f>
        <v>0</v>
      </c>
      <c r="U61" s="11" t="n">
        <f aca="false">SUM(C61:H61)</f>
        <v>0</v>
      </c>
      <c r="V61" s="11" t="n">
        <f aca="false">SUM(I61:T61)</f>
        <v>0</v>
      </c>
      <c r="W61" s="12" t="n">
        <f aca="false">SUM(C61:T61)</f>
        <v>0</v>
      </c>
    </row>
    <row r="62" customFormat="false" ht="15" hidden="false" customHeight="false" outlineLevel="0" collapsed="false">
      <c r="A62" s="9"/>
      <c r="B62" s="10"/>
      <c r="C62" s="11" t="n">
        <f aca="false">IF($B62="",0,SUMIFS(tblAuftraege[Ausgaben],tblAuftraege[Datum Ausgaben],"&gt;="&amp;C$5,tblAuftraege[Datum Ausgaben],"&lt;"&amp;EDATE(C$5,1),tblAuftraege[Kostenstelle],$B62))</f>
        <v>0</v>
      </c>
      <c r="D62" s="11" t="n">
        <f aca="false">IF($B62="",0,SUMIFS(tblAuftraege[Ausgaben],tblAuftraege[Datum Ausgaben],"&gt;="&amp;D$5,tblAuftraege[Datum Ausgaben],"&lt;"&amp;EDATE(D$5,1),tblAuftraege[Kostenstelle],$B62))</f>
        <v>0</v>
      </c>
      <c r="E62" s="11" t="n">
        <f aca="false">IF($B62="",0,SUMIFS(tblAuftraege[Ausgaben],tblAuftraege[Datum Ausgaben],"&gt;="&amp;E$5,tblAuftraege[Datum Ausgaben],"&lt;"&amp;EDATE(E$5,1),tblAuftraege[Kostenstelle],$B62))</f>
        <v>0</v>
      </c>
      <c r="F62" s="11" t="n">
        <f aca="false">IF($B62="",0,SUMIFS(tblAuftraege[Ausgaben],tblAuftraege[Datum Ausgaben],"&gt;="&amp;F$5,tblAuftraege[Datum Ausgaben],"&lt;"&amp;EDATE(F$5,1),tblAuftraege[Kostenstelle],$B62))</f>
        <v>0</v>
      </c>
      <c r="G62" s="11" t="n">
        <f aca="false">IF($B62="",0,SUMIFS(tblAuftraege[Ausgaben],tblAuftraege[Datum Ausgaben],"&gt;="&amp;G$5,tblAuftraege[Datum Ausgaben],"&lt;"&amp;EDATE(G$5,1),tblAuftraege[Kostenstelle],$B62))</f>
        <v>0</v>
      </c>
      <c r="H62" s="11" t="n">
        <f aca="false">IF($B62="",0,SUMIFS(tblAuftraege[Ausgaben],tblAuftraege[Datum Ausgaben],"&gt;="&amp;H$5,tblAuftraege[Datum Ausgaben],"&lt;"&amp;EDATE(H$5,1),tblAuftraege[Kostenstelle],$B62))</f>
        <v>0</v>
      </c>
      <c r="I62" s="11" t="n">
        <f aca="false">IF($B62="",0,SUMIFS(tblAuftraege[Ausgaben],tblAuftraege[Datum Ausgaben],"&gt;="&amp;I$5,tblAuftraege[Datum Ausgaben],"&lt;"&amp;EDATE(I$5,1),tblAuftraege[Kostenstelle],$B62))</f>
        <v>0</v>
      </c>
      <c r="J62" s="11" t="n">
        <f aca="false">IF($B62="",0,SUMIFS(tblAuftraege[Ausgaben],tblAuftraege[Datum Ausgaben],"&gt;="&amp;J$5,tblAuftraege[Datum Ausgaben],"&lt;"&amp;EDATE(J$5,1),tblAuftraege[Kostenstelle],$B62))</f>
        <v>0</v>
      </c>
      <c r="K62" s="11" t="n">
        <f aca="false">IF($B62="",0,SUMIFS(tblAuftraege[Ausgaben],tblAuftraege[Datum Ausgaben],"&gt;="&amp;K$5,tblAuftraege[Datum Ausgaben],"&lt;"&amp;EDATE(K$5,1),tblAuftraege[Kostenstelle],$B62))</f>
        <v>0</v>
      </c>
      <c r="L62" s="11" t="n">
        <f aca="false">IF($B62="",0,SUMIFS(tblAuftraege[Ausgaben],tblAuftraege[Datum Ausgaben],"&gt;="&amp;L$5,tblAuftraege[Datum Ausgaben],"&lt;"&amp;EDATE(L$5,1),tblAuftraege[Kostenstelle],$B62))</f>
        <v>0</v>
      </c>
      <c r="M62" s="11" t="n">
        <f aca="false">IF($B62="",0,SUMIFS(tblAuftraege[Ausgaben],tblAuftraege[Datum Ausgaben],"&gt;="&amp;M$5,tblAuftraege[Datum Ausgaben],"&lt;"&amp;EDATE(M$5,1),tblAuftraege[Kostenstelle],$B62))</f>
        <v>0</v>
      </c>
      <c r="N62" s="11" t="n">
        <f aca="false">IF($B62="",0,SUMIFS(tblAuftraege[Ausgaben],tblAuftraege[Datum Ausgaben],"&gt;="&amp;N$5,tblAuftraege[Datum Ausgaben],"&lt;"&amp;EDATE(N$5,1),tblAuftraege[Kostenstelle],$B62))</f>
        <v>0</v>
      </c>
      <c r="O62" s="11" t="n">
        <f aca="false">IF($B62="",0,SUMIFS(tblAuftraege[Ausgaben],tblAuftraege[Datum Ausgaben],"&gt;="&amp;O$5,tblAuftraege[Datum Ausgaben],"&lt;"&amp;EDATE(O$5,1),tblAuftraege[Kostenstelle],$B62))</f>
        <v>0</v>
      </c>
      <c r="P62" s="11" t="n">
        <f aca="false">IF($B62="",0,SUMIFS(tblAuftraege[Ausgaben],tblAuftraege[Datum Ausgaben],"&gt;="&amp;P$5,tblAuftraege[Datum Ausgaben],"&lt;"&amp;EDATE(P$5,1),tblAuftraege[Kostenstelle],$B62))</f>
        <v>0</v>
      </c>
      <c r="Q62" s="11" t="n">
        <f aca="false">IF($B62="",0,SUMIFS(tblAuftraege[Ausgaben],tblAuftraege[Datum Ausgaben],"&gt;="&amp;Q$5,tblAuftraege[Datum Ausgaben],"&lt;"&amp;EDATE(Q$5,1),tblAuftraege[Kostenstelle],$B62))</f>
        <v>0</v>
      </c>
      <c r="R62" s="11" t="n">
        <f aca="false">IF($B62="",0,SUMIFS(tblAuftraege[Ausgaben],tblAuftraege[Datum Ausgaben],"&gt;="&amp;R$5,tblAuftraege[Datum Ausgaben],"&lt;"&amp;EDATE(R$5,1),tblAuftraege[Kostenstelle],$B62))</f>
        <v>0</v>
      </c>
      <c r="S62" s="11" t="n">
        <f aca="false">IF($B62="",0,SUMIFS(tblAuftraege[Ausgaben],tblAuftraege[Datum Ausgaben],"&gt;="&amp;S$5,tblAuftraege[Datum Ausgaben],"&lt;"&amp;EDATE(S$5,1),tblAuftraege[Kostenstelle],$B62))</f>
        <v>0</v>
      </c>
      <c r="T62" s="11" t="n">
        <f aca="false">IF($B62="",0,SUMIFS(tblAuftraege[Ausgaben],tblAuftraege[Datum Ausgaben],"&gt;="&amp;T$5,tblAuftraege[Datum Ausgaben],"&lt;"&amp;EDATE(T$5,1),tblAuftraege[Kostenstelle],$B62))</f>
        <v>0</v>
      </c>
      <c r="U62" s="11" t="n">
        <f aca="false">SUM(C62:H62)</f>
        <v>0</v>
      </c>
      <c r="V62" s="11" t="n">
        <f aca="false">SUM(I62:T62)</f>
        <v>0</v>
      </c>
      <c r="W62" s="12" t="n">
        <f aca="false">SUM(C62:T62)</f>
        <v>0</v>
      </c>
    </row>
    <row r="63" customFormat="false" ht="15" hidden="false" customHeight="false" outlineLevel="0" collapsed="false">
      <c r="A63" s="9"/>
      <c r="B63" s="10"/>
      <c r="C63" s="11" t="n">
        <f aca="false">IF($B63="",0,SUMIFS(tblAuftraege[Ausgaben],tblAuftraege[Datum Ausgaben],"&gt;="&amp;C$5,tblAuftraege[Datum Ausgaben],"&lt;"&amp;EDATE(C$5,1),tblAuftraege[Kostenstelle],$B63))</f>
        <v>0</v>
      </c>
      <c r="D63" s="11" t="n">
        <f aca="false">IF($B63="",0,SUMIFS(tblAuftraege[Ausgaben],tblAuftraege[Datum Ausgaben],"&gt;="&amp;D$5,tblAuftraege[Datum Ausgaben],"&lt;"&amp;EDATE(D$5,1),tblAuftraege[Kostenstelle],$B63))</f>
        <v>0</v>
      </c>
      <c r="E63" s="11" t="n">
        <f aca="false">IF($B63="",0,SUMIFS(tblAuftraege[Ausgaben],tblAuftraege[Datum Ausgaben],"&gt;="&amp;E$5,tblAuftraege[Datum Ausgaben],"&lt;"&amp;EDATE(E$5,1),tblAuftraege[Kostenstelle],$B63))</f>
        <v>0</v>
      </c>
      <c r="F63" s="11" t="n">
        <f aca="false">IF($B63="",0,SUMIFS(tblAuftraege[Ausgaben],tblAuftraege[Datum Ausgaben],"&gt;="&amp;F$5,tblAuftraege[Datum Ausgaben],"&lt;"&amp;EDATE(F$5,1),tblAuftraege[Kostenstelle],$B63))</f>
        <v>0</v>
      </c>
      <c r="G63" s="11" t="n">
        <f aca="false">IF($B63="",0,SUMIFS(tblAuftraege[Ausgaben],tblAuftraege[Datum Ausgaben],"&gt;="&amp;G$5,tblAuftraege[Datum Ausgaben],"&lt;"&amp;EDATE(G$5,1),tblAuftraege[Kostenstelle],$B63))</f>
        <v>0</v>
      </c>
      <c r="H63" s="11" t="n">
        <f aca="false">IF($B63="",0,SUMIFS(tblAuftraege[Ausgaben],tblAuftraege[Datum Ausgaben],"&gt;="&amp;H$5,tblAuftraege[Datum Ausgaben],"&lt;"&amp;EDATE(H$5,1),tblAuftraege[Kostenstelle],$B63))</f>
        <v>0</v>
      </c>
      <c r="I63" s="11" t="n">
        <f aca="false">IF($B63="",0,SUMIFS(tblAuftraege[Ausgaben],tblAuftraege[Datum Ausgaben],"&gt;="&amp;I$5,tblAuftraege[Datum Ausgaben],"&lt;"&amp;EDATE(I$5,1),tblAuftraege[Kostenstelle],$B63))</f>
        <v>0</v>
      </c>
      <c r="J63" s="11" t="n">
        <f aca="false">IF($B63="",0,SUMIFS(tblAuftraege[Ausgaben],tblAuftraege[Datum Ausgaben],"&gt;="&amp;J$5,tblAuftraege[Datum Ausgaben],"&lt;"&amp;EDATE(J$5,1),tblAuftraege[Kostenstelle],$B63))</f>
        <v>0</v>
      </c>
      <c r="K63" s="11" t="n">
        <f aca="false">IF($B63="",0,SUMIFS(tblAuftraege[Ausgaben],tblAuftraege[Datum Ausgaben],"&gt;="&amp;K$5,tblAuftraege[Datum Ausgaben],"&lt;"&amp;EDATE(K$5,1),tblAuftraege[Kostenstelle],$B63))</f>
        <v>0</v>
      </c>
      <c r="L63" s="11" t="n">
        <f aca="false">IF($B63="",0,SUMIFS(tblAuftraege[Ausgaben],tblAuftraege[Datum Ausgaben],"&gt;="&amp;L$5,tblAuftraege[Datum Ausgaben],"&lt;"&amp;EDATE(L$5,1),tblAuftraege[Kostenstelle],$B63))</f>
        <v>0</v>
      </c>
      <c r="M63" s="11" t="n">
        <f aca="false">IF($B63="",0,SUMIFS(tblAuftraege[Ausgaben],tblAuftraege[Datum Ausgaben],"&gt;="&amp;M$5,tblAuftraege[Datum Ausgaben],"&lt;"&amp;EDATE(M$5,1),tblAuftraege[Kostenstelle],$B63))</f>
        <v>0</v>
      </c>
      <c r="N63" s="11" t="n">
        <f aca="false">IF($B63="",0,SUMIFS(tblAuftraege[Ausgaben],tblAuftraege[Datum Ausgaben],"&gt;="&amp;N$5,tblAuftraege[Datum Ausgaben],"&lt;"&amp;EDATE(N$5,1),tblAuftraege[Kostenstelle],$B63))</f>
        <v>0</v>
      </c>
      <c r="O63" s="11" t="n">
        <f aca="false">IF($B63="",0,SUMIFS(tblAuftraege[Ausgaben],tblAuftraege[Datum Ausgaben],"&gt;="&amp;O$5,tblAuftraege[Datum Ausgaben],"&lt;"&amp;EDATE(O$5,1),tblAuftraege[Kostenstelle],$B63))</f>
        <v>0</v>
      </c>
      <c r="P63" s="11" t="n">
        <f aca="false">IF($B63="",0,SUMIFS(tblAuftraege[Ausgaben],tblAuftraege[Datum Ausgaben],"&gt;="&amp;P$5,tblAuftraege[Datum Ausgaben],"&lt;"&amp;EDATE(P$5,1),tblAuftraege[Kostenstelle],$B63))</f>
        <v>0</v>
      </c>
      <c r="Q63" s="11" t="n">
        <f aca="false">IF($B63="",0,SUMIFS(tblAuftraege[Ausgaben],tblAuftraege[Datum Ausgaben],"&gt;="&amp;Q$5,tblAuftraege[Datum Ausgaben],"&lt;"&amp;EDATE(Q$5,1),tblAuftraege[Kostenstelle],$B63))</f>
        <v>0</v>
      </c>
      <c r="R63" s="11" t="n">
        <f aca="false">IF($B63="",0,SUMIFS(tblAuftraege[Ausgaben],tblAuftraege[Datum Ausgaben],"&gt;="&amp;R$5,tblAuftraege[Datum Ausgaben],"&lt;"&amp;EDATE(R$5,1),tblAuftraege[Kostenstelle],$B63))</f>
        <v>0</v>
      </c>
      <c r="S63" s="11" t="n">
        <f aca="false">IF($B63="",0,SUMIFS(tblAuftraege[Ausgaben],tblAuftraege[Datum Ausgaben],"&gt;="&amp;S$5,tblAuftraege[Datum Ausgaben],"&lt;"&amp;EDATE(S$5,1),tblAuftraege[Kostenstelle],$B63))</f>
        <v>0</v>
      </c>
      <c r="T63" s="11" t="n">
        <f aca="false">IF($B63="",0,SUMIFS(tblAuftraege[Ausgaben],tblAuftraege[Datum Ausgaben],"&gt;="&amp;T$5,tblAuftraege[Datum Ausgaben],"&lt;"&amp;EDATE(T$5,1),tblAuftraege[Kostenstelle],$B63))</f>
        <v>0</v>
      </c>
      <c r="U63" s="11" t="n">
        <f aca="false">SUM(C63:H63)</f>
        <v>0</v>
      </c>
      <c r="V63" s="11" t="n">
        <f aca="false">SUM(I63:T63)</f>
        <v>0</v>
      </c>
      <c r="W63" s="12" t="n">
        <f aca="false">SUM(C63:T63)</f>
        <v>0</v>
      </c>
    </row>
    <row r="64" customFormat="false" ht="15" hidden="false" customHeight="false" outlineLevel="0" collapsed="false">
      <c r="A64" s="9"/>
      <c r="B64" s="10"/>
      <c r="C64" s="11" t="n">
        <f aca="false">IF($B64="",0,SUMIFS(tblAuftraege[Ausgaben],tblAuftraege[Datum Ausgaben],"&gt;="&amp;C$5,tblAuftraege[Datum Ausgaben],"&lt;"&amp;EDATE(C$5,1),tblAuftraege[Kostenstelle],$B64))</f>
        <v>0</v>
      </c>
      <c r="D64" s="11" t="n">
        <f aca="false">IF($B64="",0,SUMIFS(tblAuftraege[Ausgaben],tblAuftraege[Datum Ausgaben],"&gt;="&amp;D$5,tblAuftraege[Datum Ausgaben],"&lt;"&amp;EDATE(D$5,1),tblAuftraege[Kostenstelle],$B64))</f>
        <v>0</v>
      </c>
      <c r="E64" s="11" t="n">
        <f aca="false">IF($B64="",0,SUMIFS(tblAuftraege[Ausgaben],tblAuftraege[Datum Ausgaben],"&gt;="&amp;E$5,tblAuftraege[Datum Ausgaben],"&lt;"&amp;EDATE(E$5,1),tblAuftraege[Kostenstelle],$B64))</f>
        <v>0</v>
      </c>
      <c r="F64" s="11" t="n">
        <f aca="false">IF($B64="",0,SUMIFS(tblAuftraege[Ausgaben],tblAuftraege[Datum Ausgaben],"&gt;="&amp;F$5,tblAuftraege[Datum Ausgaben],"&lt;"&amp;EDATE(F$5,1),tblAuftraege[Kostenstelle],$B64))</f>
        <v>0</v>
      </c>
      <c r="G64" s="11" t="n">
        <f aca="false">IF($B64="",0,SUMIFS(tblAuftraege[Ausgaben],tblAuftraege[Datum Ausgaben],"&gt;="&amp;G$5,tblAuftraege[Datum Ausgaben],"&lt;"&amp;EDATE(G$5,1),tblAuftraege[Kostenstelle],$B64))</f>
        <v>0</v>
      </c>
      <c r="H64" s="11" t="n">
        <f aca="false">IF($B64="",0,SUMIFS(tblAuftraege[Ausgaben],tblAuftraege[Datum Ausgaben],"&gt;="&amp;H$5,tblAuftraege[Datum Ausgaben],"&lt;"&amp;EDATE(H$5,1),tblAuftraege[Kostenstelle],$B64))</f>
        <v>0</v>
      </c>
      <c r="I64" s="11" t="n">
        <f aca="false">IF($B64="",0,SUMIFS(tblAuftraege[Ausgaben],tblAuftraege[Datum Ausgaben],"&gt;="&amp;I$5,tblAuftraege[Datum Ausgaben],"&lt;"&amp;EDATE(I$5,1),tblAuftraege[Kostenstelle],$B64))</f>
        <v>0</v>
      </c>
      <c r="J64" s="11" t="n">
        <f aca="false">IF($B64="",0,SUMIFS(tblAuftraege[Ausgaben],tblAuftraege[Datum Ausgaben],"&gt;="&amp;J$5,tblAuftraege[Datum Ausgaben],"&lt;"&amp;EDATE(J$5,1),tblAuftraege[Kostenstelle],$B64))</f>
        <v>0</v>
      </c>
      <c r="K64" s="11" t="n">
        <f aca="false">IF($B64="",0,SUMIFS(tblAuftraege[Ausgaben],tblAuftraege[Datum Ausgaben],"&gt;="&amp;K$5,tblAuftraege[Datum Ausgaben],"&lt;"&amp;EDATE(K$5,1),tblAuftraege[Kostenstelle],$B64))</f>
        <v>0</v>
      </c>
      <c r="L64" s="11" t="n">
        <f aca="false">IF($B64="",0,SUMIFS(tblAuftraege[Ausgaben],tblAuftraege[Datum Ausgaben],"&gt;="&amp;L$5,tblAuftraege[Datum Ausgaben],"&lt;"&amp;EDATE(L$5,1),tblAuftraege[Kostenstelle],$B64))</f>
        <v>0</v>
      </c>
      <c r="M64" s="11" t="n">
        <f aca="false">IF($B64="",0,SUMIFS(tblAuftraege[Ausgaben],tblAuftraege[Datum Ausgaben],"&gt;="&amp;M$5,tblAuftraege[Datum Ausgaben],"&lt;"&amp;EDATE(M$5,1),tblAuftraege[Kostenstelle],$B64))</f>
        <v>0</v>
      </c>
      <c r="N64" s="11" t="n">
        <f aca="false">IF($B64="",0,SUMIFS(tblAuftraege[Ausgaben],tblAuftraege[Datum Ausgaben],"&gt;="&amp;N$5,tblAuftraege[Datum Ausgaben],"&lt;"&amp;EDATE(N$5,1),tblAuftraege[Kostenstelle],$B64))</f>
        <v>0</v>
      </c>
      <c r="O64" s="11" t="n">
        <f aca="false">IF($B64="",0,SUMIFS(tblAuftraege[Ausgaben],tblAuftraege[Datum Ausgaben],"&gt;="&amp;O$5,tblAuftraege[Datum Ausgaben],"&lt;"&amp;EDATE(O$5,1),tblAuftraege[Kostenstelle],$B64))</f>
        <v>0</v>
      </c>
      <c r="P64" s="11" t="n">
        <f aca="false">IF($B64="",0,SUMIFS(tblAuftraege[Ausgaben],tblAuftraege[Datum Ausgaben],"&gt;="&amp;P$5,tblAuftraege[Datum Ausgaben],"&lt;"&amp;EDATE(P$5,1),tblAuftraege[Kostenstelle],$B64))</f>
        <v>0</v>
      </c>
      <c r="Q64" s="11" t="n">
        <f aca="false">IF($B64="",0,SUMIFS(tblAuftraege[Ausgaben],tblAuftraege[Datum Ausgaben],"&gt;="&amp;Q$5,tblAuftraege[Datum Ausgaben],"&lt;"&amp;EDATE(Q$5,1),tblAuftraege[Kostenstelle],$B64))</f>
        <v>0</v>
      </c>
      <c r="R64" s="11" t="n">
        <f aca="false">IF($B64="",0,SUMIFS(tblAuftraege[Ausgaben],tblAuftraege[Datum Ausgaben],"&gt;="&amp;R$5,tblAuftraege[Datum Ausgaben],"&lt;"&amp;EDATE(R$5,1),tblAuftraege[Kostenstelle],$B64))</f>
        <v>0</v>
      </c>
      <c r="S64" s="11" t="n">
        <f aca="false">IF($B64="",0,SUMIFS(tblAuftraege[Ausgaben],tblAuftraege[Datum Ausgaben],"&gt;="&amp;S$5,tblAuftraege[Datum Ausgaben],"&lt;"&amp;EDATE(S$5,1),tblAuftraege[Kostenstelle],$B64))</f>
        <v>0</v>
      </c>
      <c r="T64" s="11" t="n">
        <f aca="false">IF($B64="",0,SUMIFS(tblAuftraege[Ausgaben],tblAuftraege[Datum Ausgaben],"&gt;="&amp;T$5,tblAuftraege[Datum Ausgaben],"&lt;"&amp;EDATE(T$5,1),tblAuftraege[Kostenstelle],$B64))</f>
        <v>0</v>
      </c>
      <c r="U64" s="11" t="n">
        <f aca="false">SUM(C64:H64)</f>
        <v>0</v>
      </c>
      <c r="V64" s="11" t="n">
        <f aca="false">SUM(I64:T64)</f>
        <v>0</v>
      </c>
      <c r="W64" s="12" t="n">
        <f aca="false">SUM(C64:T64)</f>
        <v>0</v>
      </c>
    </row>
    <row r="65" customFormat="false" ht="15" hidden="false" customHeight="false" outlineLevel="0" collapsed="false">
      <c r="A65" s="9"/>
      <c r="B65" s="10"/>
      <c r="C65" s="11" t="n">
        <f aca="false">IF($B65="",0,SUMIFS(tblAuftraege[Ausgaben],tblAuftraege[Datum Ausgaben],"&gt;="&amp;C$5,tblAuftraege[Datum Ausgaben],"&lt;"&amp;EDATE(C$5,1),tblAuftraege[Kostenstelle],$B65))</f>
        <v>0</v>
      </c>
      <c r="D65" s="11" t="n">
        <f aca="false">IF($B65="",0,SUMIFS(tblAuftraege[Ausgaben],tblAuftraege[Datum Ausgaben],"&gt;="&amp;D$5,tblAuftraege[Datum Ausgaben],"&lt;"&amp;EDATE(D$5,1),tblAuftraege[Kostenstelle],$B65))</f>
        <v>0</v>
      </c>
      <c r="E65" s="11" t="n">
        <f aca="false">IF($B65="",0,SUMIFS(tblAuftraege[Ausgaben],tblAuftraege[Datum Ausgaben],"&gt;="&amp;E$5,tblAuftraege[Datum Ausgaben],"&lt;"&amp;EDATE(E$5,1),tblAuftraege[Kostenstelle],$B65))</f>
        <v>0</v>
      </c>
      <c r="F65" s="11" t="n">
        <f aca="false">IF($B65="",0,SUMIFS(tblAuftraege[Ausgaben],tblAuftraege[Datum Ausgaben],"&gt;="&amp;F$5,tblAuftraege[Datum Ausgaben],"&lt;"&amp;EDATE(F$5,1),tblAuftraege[Kostenstelle],$B65))</f>
        <v>0</v>
      </c>
      <c r="G65" s="11" t="n">
        <f aca="false">IF($B65="",0,SUMIFS(tblAuftraege[Ausgaben],tblAuftraege[Datum Ausgaben],"&gt;="&amp;G$5,tblAuftraege[Datum Ausgaben],"&lt;"&amp;EDATE(G$5,1),tblAuftraege[Kostenstelle],$B65))</f>
        <v>0</v>
      </c>
      <c r="H65" s="11" t="n">
        <f aca="false">IF($B65="",0,SUMIFS(tblAuftraege[Ausgaben],tblAuftraege[Datum Ausgaben],"&gt;="&amp;H$5,tblAuftraege[Datum Ausgaben],"&lt;"&amp;EDATE(H$5,1),tblAuftraege[Kostenstelle],$B65))</f>
        <v>0</v>
      </c>
      <c r="I65" s="11" t="n">
        <f aca="false">IF($B65="",0,SUMIFS(tblAuftraege[Ausgaben],tblAuftraege[Datum Ausgaben],"&gt;="&amp;I$5,tblAuftraege[Datum Ausgaben],"&lt;"&amp;EDATE(I$5,1),tblAuftraege[Kostenstelle],$B65))</f>
        <v>0</v>
      </c>
      <c r="J65" s="11" t="n">
        <f aca="false">IF($B65="",0,SUMIFS(tblAuftraege[Ausgaben],tblAuftraege[Datum Ausgaben],"&gt;="&amp;J$5,tblAuftraege[Datum Ausgaben],"&lt;"&amp;EDATE(J$5,1),tblAuftraege[Kostenstelle],$B65))</f>
        <v>0</v>
      </c>
      <c r="K65" s="11" t="n">
        <f aca="false">IF($B65="",0,SUMIFS(tblAuftraege[Ausgaben],tblAuftraege[Datum Ausgaben],"&gt;="&amp;K$5,tblAuftraege[Datum Ausgaben],"&lt;"&amp;EDATE(K$5,1),tblAuftraege[Kostenstelle],$B65))</f>
        <v>0</v>
      </c>
      <c r="L65" s="11" t="n">
        <f aca="false">IF($B65="",0,SUMIFS(tblAuftraege[Ausgaben],tblAuftraege[Datum Ausgaben],"&gt;="&amp;L$5,tblAuftraege[Datum Ausgaben],"&lt;"&amp;EDATE(L$5,1),tblAuftraege[Kostenstelle],$B65))</f>
        <v>0</v>
      </c>
      <c r="M65" s="11" t="n">
        <f aca="false">IF($B65="",0,SUMIFS(tblAuftraege[Ausgaben],tblAuftraege[Datum Ausgaben],"&gt;="&amp;M$5,tblAuftraege[Datum Ausgaben],"&lt;"&amp;EDATE(M$5,1),tblAuftraege[Kostenstelle],$B65))</f>
        <v>0</v>
      </c>
      <c r="N65" s="11" t="n">
        <f aca="false">IF($B65="",0,SUMIFS(tblAuftraege[Ausgaben],tblAuftraege[Datum Ausgaben],"&gt;="&amp;N$5,tblAuftraege[Datum Ausgaben],"&lt;"&amp;EDATE(N$5,1),tblAuftraege[Kostenstelle],$B65))</f>
        <v>0</v>
      </c>
      <c r="O65" s="11" t="n">
        <f aca="false">IF($B65="",0,SUMIFS(tblAuftraege[Ausgaben],tblAuftraege[Datum Ausgaben],"&gt;="&amp;O$5,tblAuftraege[Datum Ausgaben],"&lt;"&amp;EDATE(O$5,1),tblAuftraege[Kostenstelle],$B65))</f>
        <v>0</v>
      </c>
      <c r="P65" s="11" t="n">
        <f aca="false">IF($B65="",0,SUMIFS(tblAuftraege[Ausgaben],tblAuftraege[Datum Ausgaben],"&gt;="&amp;P$5,tblAuftraege[Datum Ausgaben],"&lt;"&amp;EDATE(P$5,1),tblAuftraege[Kostenstelle],$B65))</f>
        <v>0</v>
      </c>
      <c r="Q65" s="11" t="n">
        <f aca="false">IF($B65="",0,SUMIFS(tblAuftraege[Ausgaben],tblAuftraege[Datum Ausgaben],"&gt;="&amp;Q$5,tblAuftraege[Datum Ausgaben],"&lt;"&amp;EDATE(Q$5,1),tblAuftraege[Kostenstelle],$B65))</f>
        <v>0</v>
      </c>
      <c r="R65" s="11" t="n">
        <f aca="false">IF($B65="",0,SUMIFS(tblAuftraege[Ausgaben],tblAuftraege[Datum Ausgaben],"&gt;="&amp;R$5,tblAuftraege[Datum Ausgaben],"&lt;"&amp;EDATE(R$5,1),tblAuftraege[Kostenstelle],$B65))</f>
        <v>0</v>
      </c>
      <c r="S65" s="11" t="n">
        <f aca="false">IF($B65="",0,SUMIFS(tblAuftraege[Ausgaben],tblAuftraege[Datum Ausgaben],"&gt;="&amp;S$5,tblAuftraege[Datum Ausgaben],"&lt;"&amp;EDATE(S$5,1),tblAuftraege[Kostenstelle],$B65))</f>
        <v>0</v>
      </c>
      <c r="T65" s="11" t="n">
        <f aca="false">IF($B65="",0,SUMIFS(tblAuftraege[Ausgaben],tblAuftraege[Datum Ausgaben],"&gt;="&amp;T$5,tblAuftraege[Datum Ausgaben],"&lt;"&amp;EDATE(T$5,1),tblAuftraege[Kostenstelle],$B65))</f>
        <v>0</v>
      </c>
      <c r="U65" s="11" t="n">
        <f aca="false">SUM(C65:H65)</f>
        <v>0</v>
      </c>
      <c r="V65" s="11" t="n">
        <f aca="false">SUM(I65:T65)</f>
        <v>0</v>
      </c>
      <c r="W65" s="12" t="n">
        <f aca="false">SUM(C65:T65)</f>
        <v>0</v>
      </c>
    </row>
    <row r="66" customFormat="false" ht="15" hidden="false" customHeight="false" outlineLevel="0" collapsed="false">
      <c r="A66" s="9"/>
      <c r="B66" s="10"/>
      <c r="C66" s="11" t="n">
        <f aca="false">IF($B66="",0,SUMIFS(tblAuftraege[Ausgaben],tblAuftraege[Datum Ausgaben],"&gt;="&amp;C$5,tblAuftraege[Datum Ausgaben],"&lt;"&amp;EDATE(C$5,1),tblAuftraege[Kostenstelle],$B66))</f>
        <v>0</v>
      </c>
      <c r="D66" s="11" t="n">
        <f aca="false">IF($B66="",0,SUMIFS(tblAuftraege[Ausgaben],tblAuftraege[Datum Ausgaben],"&gt;="&amp;D$5,tblAuftraege[Datum Ausgaben],"&lt;"&amp;EDATE(D$5,1),tblAuftraege[Kostenstelle],$B66))</f>
        <v>0</v>
      </c>
      <c r="E66" s="11" t="n">
        <f aca="false">IF($B66="",0,SUMIFS(tblAuftraege[Ausgaben],tblAuftraege[Datum Ausgaben],"&gt;="&amp;E$5,tblAuftraege[Datum Ausgaben],"&lt;"&amp;EDATE(E$5,1),tblAuftraege[Kostenstelle],$B66))</f>
        <v>0</v>
      </c>
      <c r="F66" s="11" t="n">
        <f aca="false">IF($B66="",0,SUMIFS(tblAuftraege[Ausgaben],tblAuftraege[Datum Ausgaben],"&gt;="&amp;F$5,tblAuftraege[Datum Ausgaben],"&lt;"&amp;EDATE(F$5,1),tblAuftraege[Kostenstelle],$B66))</f>
        <v>0</v>
      </c>
      <c r="G66" s="11" t="n">
        <f aca="false">IF($B66="",0,SUMIFS(tblAuftraege[Ausgaben],tblAuftraege[Datum Ausgaben],"&gt;="&amp;G$5,tblAuftraege[Datum Ausgaben],"&lt;"&amp;EDATE(G$5,1),tblAuftraege[Kostenstelle],$B66))</f>
        <v>0</v>
      </c>
      <c r="H66" s="11" t="n">
        <f aca="false">IF($B66="",0,SUMIFS(tblAuftraege[Ausgaben],tblAuftraege[Datum Ausgaben],"&gt;="&amp;H$5,tblAuftraege[Datum Ausgaben],"&lt;"&amp;EDATE(H$5,1),tblAuftraege[Kostenstelle],$B66))</f>
        <v>0</v>
      </c>
      <c r="I66" s="11" t="n">
        <f aca="false">IF($B66="",0,SUMIFS(tblAuftraege[Ausgaben],tblAuftraege[Datum Ausgaben],"&gt;="&amp;I$5,tblAuftraege[Datum Ausgaben],"&lt;"&amp;EDATE(I$5,1),tblAuftraege[Kostenstelle],$B66))</f>
        <v>0</v>
      </c>
      <c r="J66" s="11" t="n">
        <f aca="false">IF($B66="",0,SUMIFS(tblAuftraege[Ausgaben],tblAuftraege[Datum Ausgaben],"&gt;="&amp;J$5,tblAuftraege[Datum Ausgaben],"&lt;"&amp;EDATE(J$5,1),tblAuftraege[Kostenstelle],$B66))</f>
        <v>0</v>
      </c>
      <c r="K66" s="11" t="n">
        <f aca="false">IF($B66="",0,SUMIFS(tblAuftraege[Ausgaben],tblAuftraege[Datum Ausgaben],"&gt;="&amp;K$5,tblAuftraege[Datum Ausgaben],"&lt;"&amp;EDATE(K$5,1),tblAuftraege[Kostenstelle],$B66))</f>
        <v>0</v>
      </c>
      <c r="L66" s="11" t="n">
        <f aca="false">IF($B66="",0,SUMIFS(tblAuftraege[Ausgaben],tblAuftraege[Datum Ausgaben],"&gt;="&amp;L$5,tblAuftraege[Datum Ausgaben],"&lt;"&amp;EDATE(L$5,1),tblAuftraege[Kostenstelle],$B66))</f>
        <v>0</v>
      </c>
      <c r="M66" s="11" t="n">
        <f aca="false">IF($B66="",0,SUMIFS(tblAuftraege[Ausgaben],tblAuftraege[Datum Ausgaben],"&gt;="&amp;M$5,tblAuftraege[Datum Ausgaben],"&lt;"&amp;EDATE(M$5,1),tblAuftraege[Kostenstelle],$B66))</f>
        <v>0</v>
      </c>
      <c r="N66" s="11" t="n">
        <f aca="false">IF($B66="",0,SUMIFS(tblAuftraege[Ausgaben],tblAuftraege[Datum Ausgaben],"&gt;="&amp;N$5,tblAuftraege[Datum Ausgaben],"&lt;"&amp;EDATE(N$5,1),tblAuftraege[Kostenstelle],$B66))</f>
        <v>0</v>
      </c>
      <c r="O66" s="11" t="n">
        <f aca="false">IF($B66="",0,SUMIFS(tblAuftraege[Ausgaben],tblAuftraege[Datum Ausgaben],"&gt;="&amp;O$5,tblAuftraege[Datum Ausgaben],"&lt;"&amp;EDATE(O$5,1),tblAuftraege[Kostenstelle],$B66))</f>
        <v>0</v>
      </c>
      <c r="P66" s="11" t="n">
        <f aca="false">IF($B66="",0,SUMIFS(tblAuftraege[Ausgaben],tblAuftraege[Datum Ausgaben],"&gt;="&amp;P$5,tblAuftraege[Datum Ausgaben],"&lt;"&amp;EDATE(P$5,1),tblAuftraege[Kostenstelle],$B66))</f>
        <v>0</v>
      </c>
      <c r="Q66" s="11" t="n">
        <f aca="false">IF($B66="",0,SUMIFS(tblAuftraege[Ausgaben],tblAuftraege[Datum Ausgaben],"&gt;="&amp;Q$5,tblAuftraege[Datum Ausgaben],"&lt;"&amp;EDATE(Q$5,1),tblAuftraege[Kostenstelle],$B66))</f>
        <v>0</v>
      </c>
      <c r="R66" s="11" t="n">
        <f aca="false">IF($B66="",0,SUMIFS(tblAuftraege[Ausgaben],tblAuftraege[Datum Ausgaben],"&gt;="&amp;R$5,tblAuftraege[Datum Ausgaben],"&lt;"&amp;EDATE(R$5,1),tblAuftraege[Kostenstelle],$B66))</f>
        <v>0</v>
      </c>
      <c r="S66" s="11" t="n">
        <f aca="false">IF($B66="",0,SUMIFS(tblAuftraege[Ausgaben],tblAuftraege[Datum Ausgaben],"&gt;="&amp;S$5,tblAuftraege[Datum Ausgaben],"&lt;"&amp;EDATE(S$5,1),tblAuftraege[Kostenstelle],$B66))</f>
        <v>0</v>
      </c>
      <c r="T66" s="11" t="n">
        <f aca="false">IF($B66="",0,SUMIFS(tblAuftraege[Ausgaben],tblAuftraege[Datum Ausgaben],"&gt;="&amp;T$5,tblAuftraege[Datum Ausgaben],"&lt;"&amp;EDATE(T$5,1),tblAuftraege[Kostenstelle],$B66))</f>
        <v>0</v>
      </c>
      <c r="U66" s="11" t="n">
        <f aca="false">SUM(C66:H66)</f>
        <v>0</v>
      </c>
      <c r="V66" s="11" t="n">
        <f aca="false">SUM(I66:T66)</f>
        <v>0</v>
      </c>
      <c r="W66" s="12" t="n">
        <f aca="false">SUM(C66:T66)</f>
        <v>0</v>
      </c>
    </row>
    <row r="67" customFormat="false" ht="15" hidden="false" customHeight="false" outlineLevel="0" collapsed="false">
      <c r="A67" s="9"/>
      <c r="B67" s="10"/>
      <c r="C67" s="11" t="n">
        <f aca="false">IF($B67="",0,SUMIFS(tblAuftraege[Ausgaben],tblAuftraege[Datum Ausgaben],"&gt;="&amp;C$5,tblAuftraege[Datum Ausgaben],"&lt;"&amp;EDATE(C$5,1),tblAuftraege[Kostenstelle],$B67))</f>
        <v>0</v>
      </c>
      <c r="D67" s="11" t="n">
        <f aca="false">IF($B67="",0,SUMIFS(tblAuftraege[Ausgaben],tblAuftraege[Datum Ausgaben],"&gt;="&amp;D$5,tblAuftraege[Datum Ausgaben],"&lt;"&amp;EDATE(D$5,1),tblAuftraege[Kostenstelle],$B67))</f>
        <v>0</v>
      </c>
      <c r="E67" s="11" t="n">
        <f aca="false">IF($B67="",0,SUMIFS(tblAuftraege[Ausgaben],tblAuftraege[Datum Ausgaben],"&gt;="&amp;E$5,tblAuftraege[Datum Ausgaben],"&lt;"&amp;EDATE(E$5,1),tblAuftraege[Kostenstelle],$B67))</f>
        <v>0</v>
      </c>
      <c r="F67" s="11" t="n">
        <f aca="false">IF($B67="",0,SUMIFS(tblAuftraege[Ausgaben],tblAuftraege[Datum Ausgaben],"&gt;="&amp;F$5,tblAuftraege[Datum Ausgaben],"&lt;"&amp;EDATE(F$5,1),tblAuftraege[Kostenstelle],$B67))</f>
        <v>0</v>
      </c>
      <c r="G67" s="11" t="n">
        <f aca="false">IF($B67="",0,SUMIFS(tblAuftraege[Ausgaben],tblAuftraege[Datum Ausgaben],"&gt;="&amp;G$5,tblAuftraege[Datum Ausgaben],"&lt;"&amp;EDATE(G$5,1),tblAuftraege[Kostenstelle],$B67))</f>
        <v>0</v>
      </c>
      <c r="H67" s="11" t="n">
        <f aca="false">IF($B67="",0,SUMIFS(tblAuftraege[Ausgaben],tblAuftraege[Datum Ausgaben],"&gt;="&amp;H$5,tblAuftraege[Datum Ausgaben],"&lt;"&amp;EDATE(H$5,1),tblAuftraege[Kostenstelle],$B67))</f>
        <v>0</v>
      </c>
      <c r="I67" s="11" t="n">
        <f aca="false">IF($B67="",0,SUMIFS(tblAuftraege[Ausgaben],tblAuftraege[Datum Ausgaben],"&gt;="&amp;I$5,tblAuftraege[Datum Ausgaben],"&lt;"&amp;EDATE(I$5,1),tblAuftraege[Kostenstelle],$B67))</f>
        <v>0</v>
      </c>
      <c r="J67" s="11" t="n">
        <f aca="false">IF($B67="",0,SUMIFS(tblAuftraege[Ausgaben],tblAuftraege[Datum Ausgaben],"&gt;="&amp;J$5,tblAuftraege[Datum Ausgaben],"&lt;"&amp;EDATE(J$5,1),tblAuftraege[Kostenstelle],$B67))</f>
        <v>0</v>
      </c>
      <c r="K67" s="11" t="n">
        <f aca="false">IF($B67="",0,SUMIFS(tblAuftraege[Ausgaben],tblAuftraege[Datum Ausgaben],"&gt;="&amp;K$5,tblAuftraege[Datum Ausgaben],"&lt;"&amp;EDATE(K$5,1),tblAuftraege[Kostenstelle],$B67))</f>
        <v>0</v>
      </c>
      <c r="L67" s="11" t="n">
        <f aca="false">IF($B67="",0,SUMIFS(tblAuftraege[Ausgaben],tblAuftraege[Datum Ausgaben],"&gt;="&amp;L$5,tblAuftraege[Datum Ausgaben],"&lt;"&amp;EDATE(L$5,1),tblAuftraege[Kostenstelle],$B67))</f>
        <v>0</v>
      </c>
      <c r="M67" s="11" t="n">
        <f aca="false">IF($B67="",0,SUMIFS(tblAuftraege[Ausgaben],tblAuftraege[Datum Ausgaben],"&gt;="&amp;M$5,tblAuftraege[Datum Ausgaben],"&lt;"&amp;EDATE(M$5,1),tblAuftraege[Kostenstelle],$B67))</f>
        <v>0</v>
      </c>
      <c r="N67" s="11" t="n">
        <f aca="false">IF($B67="",0,SUMIFS(tblAuftraege[Ausgaben],tblAuftraege[Datum Ausgaben],"&gt;="&amp;N$5,tblAuftraege[Datum Ausgaben],"&lt;"&amp;EDATE(N$5,1),tblAuftraege[Kostenstelle],$B67))</f>
        <v>0</v>
      </c>
      <c r="O67" s="11" t="n">
        <f aca="false">IF($B67="",0,SUMIFS(tblAuftraege[Ausgaben],tblAuftraege[Datum Ausgaben],"&gt;="&amp;O$5,tblAuftraege[Datum Ausgaben],"&lt;"&amp;EDATE(O$5,1),tblAuftraege[Kostenstelle],$B67))</f>
        <v>0</v>
      </c>
      <c r="P67" s="11" t="n">
        <f aca="false">IF($B67="",0,SUMIFS(tblAuftraege[Ausgaben],tblAuftraege[Datum Ausgaben],"&gt;="&amp;P$5,tblAuftraege[Datum Ausgaben],"&lt;"&amp;EDATE(P$5,1),tblAuftraege[Kostenstelle],$B67))</f>
        <v>0</v>
      </c>
      <c r="Q67" s="11" t="n">
        <f aca="false">IF($B67="",0,SUMIFS(tblAuftraege[Ausgaben],tblAuftraege[Datum Ausgaben],"&gt;="&amp;Q$5,tblAuftraege[Datum Ausgaben],"&lt;"&amp;EDATE(Q$5,1),tblAuftraege[Kostenstelle],$B67))</f>
        <v>0</v>
      </c>
      <c r="R67" s="11" t="n">
        <f aca="false">IF($B67="",0,SUMIFS(tblAuftraege[Ausgaben],tblAuftraege[Datum Ausgaben],"&gt;="&amp;R$5,tblAuftraege[Datum Ausgaben],"&lt;"&amp;EDATE(R$5,1),tblAuftraege[Kostenstelle],$B67))</f>
        <v>0</v>
      </c>
      <c r="S67" s="11" t="n">
        <f aca="false">IF($B67="",0,SUMIFS(tblAuftraege[Ausgaben],tblAuftraege[Datum Ausgaben],"&gt;="&amp;S$5,tblAuftraege[Datum Ausgaben],"&lt;"&amp;EDATE(S$5,1),tblAuftraege[Kostenstelle],$B67))</f>
        <v>0</v>
      </c>
      <c r="T67" s="11" t="n">
        <f aca="false">IF($B67="",0,SUMIFS(tblAuftraege[Ausgaben],tblAuftraege[Datum Ausgaben],"&gt;="&amp;T$5,tblAuftraege[Datum Ausgaben],"&lt;"&amp;EDATE(T$5,1),tblAuftraege[Kostenstelle],$B67))</f>
        <v>0</v>
      </c>
      <c r="U67" s="11" t="n">
        <f aca="false">SUM(C67:H67)</f>
        <v>0</v>
      </c>
      <c r="V67" s="11" t="n">
        <f aca="false">SUM(I67:T67)</f>
        <v>0</v>
      </c>
      <c r="W67" s="12" t="n">
        <f aca="false">SUM(C67:T67)</f>
        <v>0</v>
      </c>
    </row>
    <row r="68" customFormat="false" ht="15" hidden="false" customHeight="false" outlineLevel="0" collapsed="false">
      <c r="A68" s="9"/>
      <c r="B68" s="10"/>
      <c r="C68" s="11" t="n">
        <f aca="false">IF($B68="",0,SUMIFS(tblAuftraege[Ausgaben],tblAuftraege[Datum Ausgaben],"&gt;="&amp;C$5,tblAuftraege[Datum Ausgaben],"&lt;"&amp;EDATE(C$5,1),tblAuftraege[Kostenstelle],$B68))</f>
        <v>0</v>
      </c>
      <c r="D68" s="11" t="n">
        <f aca="false">IF($B68="",0,SUMIFS(tblAuftraege[Ausgaben],tblAuftraege[Datum Ausgaben],"&gt;="&amp;D$5,tblAuftraege[Datum Ausgaben],"&lt;"&amp;EDATE(D$5,1),tblAuftraege[Kostenstelle],$B68))</f>
        <v>0</v>
      </c>
      <c r="E68" s="11" t="n">
        <f aca="false">IF($B68="",0,SUMIFS(tblAuftraege[Ausgaben],tblAuftraege[Datum Ausgaben],"&gt;="&amp;E$5,tblAuftraege[Datum Ausgaben],"&lt;"&amp;EDATE(E$5,1),tblAuftraege[Kostenstelle],$B68))</f>
        <v>0</v>
      </c>
      <c r="F68" s="11" t="n">
        <f aca="false">IF($B68="",0,SUMIFS(tblAuftraege[Ausgaben],tblAuftraege[Datum Ausgaben],"&gt;="&amp;F$5,tblAuftraege[Datum Ausgaben],"&lt;"&amp;EDATE(F$5,1),tblAuftraege[Kostenstelle],$B68))</f>
        <v>0</v>
      </c>
      <c r="G68" s="11" t="n">
        <f aca="false">IF($B68="",0,SUMIFS(tblAuftraege[Ausgaben],tblAuftraege[Datum Ausgaben],"&gt;="&amp;G$5,tblAuftraege[Datum Ausgaben],"&lt;"&amp;EDATE(G$5,1),tblAuftraege[Kostenstelle],$B68))</f>
        <v>0</v>
      </c>
      <c r="H68" s="11" t="n">
        <f aca="false">IF($B68="",0,SUMIFS(tblAuftraege[Ausgaben],tblAuftraege[Datum Ausgaben],"&gt;="&amp;H$5,tblAuftraege[Datum Ausgaben],"&lt;"&amp;EDATE(H$5,1),tblAuftraege[Kostenstelle],$B68))</f>
        <v>0</v>
      </c>
      <c r="I68" s="11" t="n">
        <f aca="false">IF($B68="",0,SUMIFS(tblAuftraege[Ausgaben],tblAuftraege[Datum Ausgaben],"&gt;="&amp;I$5,tblAuftraege[Datum Ausgaben],"&lt;"&amp;EDATE(I$5,1),tblAuftraege[Kostenstelle],$B68))</f>
        <v>0</v>
      </c>
      <c r="J68" s="11" t="n">
        <f aca="false">IF($B68="",0,SUMIFS(tblAuftraege[Ausgaben],tblAuftraege[Datum Ausgaben],"&gt;="&amp;J$5,tblAuftraege[Datum Ausgaben],"&lt;"&amp;EDATE(J$5,1),tblAuftraege[Kostenstelle],$B68))</f>
        <v>0</v>
      </c>
      <c r="K68" s="11" t="n">
        <f aca="false">IF($B68="",0,SUMIFS(tblAuftraege[Ausgaben],tblAuftraege[Datum Ausgaben],"&gt;="&amp;K$5,tblAuftraege[Datum Ausgaben],"&lt;"&amp;EDATE(K$5,1),tblAuftraege[Kostenstelle],$B68))</f>
        <v>0</v>
      </c>
      <c r="L68" s="11" t="n">
        <f aca="false">IF($B68="",0,SUMIFS(tblAuftraege[Ausgaben],tblAuftraege[Datum Ausgaben],"&gt;="&amp;L$5,tblAuftraege[Datum Ausgaben],"&lt;"&amp;EDATE(L$5,1),tblAuftraege[Kostenstelle],$B68))</f>
        <v>0</v>
      </c>
      <c r="M68" s="11" t="n">
        <f aca="false">IF($B68="",0,SUMIFS(tblAuftraege[Ausgaben],tblAuftraege[Datum Ausgaben],"&gt;="&amp;M$5,tblAuftraege[Datum Ausgaben],"&lt;"&amp;EDATE(M$5,1),tblAuftraege[Kostenstelle],$B68))</f>
        <v>0</v>
      </c>
      <c r="N68" s="11" t="n">
        <f aca="false">IF($B68="",0,SUMIFS(tblAuftraege[Ausgaben],tblAuftraege[Datum Ausgaben],"&gt;="&amp;N$5,tblAuftraege[Datum Ausgaben],"&lt;"&amp;EDATE(N$5,1),tblAuftraege[Kostenstelle],$B68))</f>
        <v>0</v>
      </c>
      <c r="O68" s="11" t="n">
        <f aca="false">IF($B68="",0,SUMIFS(tblAuftraege[Ausgaben],tblAuftraege[Datum Ausgaben],"&gt;="&amp;O$5,tblAuftraege[Datum Ausgaben],"&lt;"&amp;EDATE(O$5,1),tblAuftraege[Kostenstelle],$B68))</f>
        <v>0</v>
      </c>
      <c r="P68" s="11" t="n">
        <f aca="false">IF($B68="",0,SUMIFS(tblAuftraege[Ausgaben],tblAuftraege[Datum Ausgaben],"&gt;="&amp;P$5,tblAuftraege[Datum Ausgaben],"&lt;"&amp;EDATE(P$5,1),tblAuftraege[Kostenstelle],$B68))</f>
        <v>0</v>
      </c>
      <c r="Q68" s="11" t="n">
        <f aca="false">IF($B68="",0,SUMIFS(tblAuftraege[Ausgaben],tblAuftraege[Datum Ausgaben],"&gt;="&amp;Q$5,tblAuftraege[Datum Ausgaben],"&lt;"&amp;EDATE(Q$5,1),tblAuftraege[Kostenstelle],$B68))</f>
        <v>0</v>
      </c>
      <c r="R68" s="11" t="n">
        <f aca="false">IF($B68="",0,SUMIFS(tblAuftraege[Ausgaben],tblAuftraege[Datum Ausgaben],"&gt;="&amp;R$5,tblAuftraege[Datum Ausgaben],"&lt;"&amp;EDATE(R$5,1),tblAuftraege[Kostenstelle],$B68))</f>
        <v>0</v>
      </c>
      <c r="S68" s="11" t="n">
        <f aca="false">IF($B68="",0,SUMIFS(tblAuftraege[Ausgaben],tblAuftraege[Datum Ausgaben],"&gt;="&amp;S$5,tblAuftraege[Datum Ausgaben],"&lt;"&amp;EDATE(S$5,1),tblAuftraege[Kostenstelle],$B68))</f>
        <v>0</v>
      </c>
      <c r="T68" s="11" t="n">
        <f aca="false">IF($B68="",0,SUMIFS(tblAuftraege[Ausgaben],tblAuftraege[Datum Ausgaben],"&gt;="&amp;T$5,tblAuftraege[Datum Ausgaben],"&lt;"&amp;EDATE(T$5,1),tblAuftraege[Kostenstelle],$B68))</f>
        <v>0</v>
      </c>
      <c r="U68" s="11" t="n">
        <f aca="false">SUM(C68:H68)</f>
        <v>0</v>
      </c>
      <c r="V68" s="11" t="n">
        <f aca="false">SUM(I68:T68)</f>
        <v>0</v>
      </c>
      <c r="W68" s="12" t="n">
        <f aca="false">SUM(C68:T68)</f>
        <v>0</v>
      </c>
    </row>
    <row r="69" customFormat="false" ht="15" hidden="false" customHeight="false" outlineLevel="0" collapsed="false">
      <c r="A69" s="9"/>
      <c r="B69" s="10"/>
      <c r="C69" s="11" t="n">
        <f aca="false">IF($B69="",0,SUMIFS(tblAuftraege[Ausgaben],tblAuftraege[Datum Ausgaben],"&gt;="&amp;C$5,tblAuftraege[Datum Ausgaben],"&lt;"&amp;EDATE(C$5,1),tblAuftraege[Kostenstelle],$B69))</f>
        <v>0</v>
      </c>
      <c r="D69" s="11" t="n">
        <f aca="false">IF($B69="",0,SUMIFS(tblAuftraege[Ausgaben],tblAuftraege[Datum Ausgaben],"&gt;="&amp;D$5,tblAuftraege[Datum Ausgaben],"&lt;"&amp;EDATE(D$5,1),tblAuftraege[Kostenstelle],$B69))</f>
        <v>0</v>
      </c>
      <c r="E69" s="11" t="n">
        <f aca="false">IF($B69="",0,SUMIFS(tblAuftraege[Ausgaben],tblAuftraege[Datum Ausgaben],"&gt;="&amp;E$5,tblAuftraege[Datum Ausgaben],"&lt;"&amp;EDATE(E$5,1),tblAuftraege[Kostenstelle],$B69))</f>
        <v>0</v>
      </c>
      <c r="F69" s="11" t="n">
        <f aca="false">IF($B69="",0,SUMIFS(tblAuftraege[Ausgaben],tblAuftraege[Datum Ausgaben],"&gt;="&amp;F$5,tblAuftraege[Datum Ausgaben],"&lt;"&amp;EDATE(F$5,1),tblAuftraege[Kostenstelle],$B69))</f>
        <v>0</v>
      </c>
      <c r="G69" s="11" t="n">
        <f aca="false">IF($B69="",0,SUMIFS(tblAuftraege[Ausgaben],tblAuftraege[Datum Ausgaben],"&gt;="&amp;G$5,tblAuftraege[Datum Ausgaben],"&lt;"&amp;EDATE(G$5,1),tblAuftraege[Kostenstelle],$B69))</f>
        <v>0</v>
      </c>
      <c r="H69" s="11" t="n">
        <f aca="false">IF($B69="",0,SUMIFS(tblAuftraege[Ausgaben],tblAuftraege[Datum Ausgaben],"&gt;="&amp;H$5,tblAuftraege[Datum Ausgaben],"&lt;"&amp;EDATE(H$5,1),tblAuftraege[Kostenstelle],$B69))</f>
        <v>0</v>
      </c>
      <c r="I69" s="11" t="n">
        <f aca="false">IF($B69="",0,SUMIFS(tblAuftraege[Ausgaben],tblAuftraege[Datum Ausgaben],"&gt;="&amp;I$5,tblAuftraege[Datum Ausgaben],"&lt;"&amp;EDATE(I$5,1),tblAuftraege[Kostenstelle],$B69))</f>
        <v>0</v>
      </c>
      <c r="J69" s="11" t="n">
        <f aca="false">IF($B69="",0,SUMIFS(tblAuftraege[Ausgaben],tblAuftraege[Datum Ausgaben],"&gt;="&amp;J$5,tblAuftraege[Datum Ausgaben],"&lt;"&amp;EDATE(J$5,1),tblAuftraege[Kostenstelle],$B69))</f>
        <v>0</v>
      </c>
      <c r="K69" s="11" t="n">
        <f aca="false">IF($B69="",0,SUMIFS(tblAuftraege[Ausgaben],tblAuftraege[Datum Ausgaben],"&gt;="&amp;K$5,tblAuftraege[Datum Ausgaben],"&lt;"&amp;EDATE(K$5,1),tblAuftraege[Kostenstelle],$B69))</f>
        <v>0</v>
      </c>
      <c r="L69" s="11" t="n">
        <f aca="false">IF($B69="",0,SUMIFS(tblAuftraege[Ausgaben],tblAuftraege[Datum Ausgaben],"&gt;="&amp;L$5,tblAuftraege[Datum Ausgaben],"&lt;"&amp;EDATE(L$5,1),tblAuftraege[Kostenstelle],$B69))</f>
        <v>0</v>
      </c>
      <c r="M69" s="11" t="n">
        <f aca="false">IF($B69="",0,SUMIFS(tblAuftraege[Ausgaben],tblAuftraege[Datum Ausgaben],"&gt;="&amp;M$5,tblAuftraege[Datum Ausgaben],"&lt;"&amp;EDATE(M$5,1),tblAuftraege[Kostenstelle],$B69))</f>
        <v>0</v>
      </c>
      <c r="N69" s="11" t="n">
        <f aca="false">IF($B69="",0,SUMIFS(tblAuftraege[Ausgaben],tblAuftraege[Datum Ausgaben],"&gt;="&amp;N$5,tblAuftraege[Datum Ausgaben],"&lt;"&amp;EDATE(N$5,1),tblAuftraege[Kostenstelle],$B69))</f>
        <v>0</v>
      </c>
      <c r="O69" s="11" t="n">
        <f aca="false">IF($B69="",0,SUMIFS(tblAuftraege[Ausgaben],tblAuftraege[Datum Ausgaben],"&gt;="&amp;O$5,tblAuftraege[Datum Ausgaben],"&lt;"&amp;EDATE(O$5,1),tblAuftraege[Kostenstelle],$B69))</f>
        <v>0</v>
      </c>
      <c r="P69" s="11" t="n">
        <f aca="false">IF($B69="",0,SUMIFS(tblAuftraege[Ausgaben],tblAuftraege[Datum Ausgaben],"&gt;="&amp;P$5,tblAuftraege[Datum Ausgaben],"&lt;"&amp;EDATE(P$5,1),tblAuftraege[Kostenstelle],$B69))</f>
        <v>0</v>
      </c>
      <c r="Q69" s="11" t="n">
        <f aca="false">IF($B69="",0,SUMIFS(tblAuftraege[Ausgaben],tblAuftraege[Datum Ausgaben],"&gt;="&amp;Q$5,tblAuftraege[Datum Ausgaben],"&lt;"&amp;EDATE(Q$5,1),tblAuftraege[Kostenstelle],$B69))</f>
        <v>0</v>
      </c>
      <c r="R69" s="11" t="n">
        <f aca="false">IF($B69="",0,SUMIFS(tblAuftraege[Ausgaben],tblAuftraege[Datum Ausgaben],"&gt;="&amp;R$5,tblAuftraege[Datum Ausgaben],"&lt;"&amp;EDATE(R$5,1),tblAuftraege[Kostenstelle],$B69))</f>
        <v>0</v>
      </c>
      <c r="S69" s="11" t="n">
        <f aca="false">IF($B69="",0,SUMIFS(tblAuftraege[Ausgaben],tblAuftraege[Datum Ausgaben],"&gt;="&amp;S$5,tblAuftraege[Datum Ausgaben],"&lt;"&amp;EDATE(S$5,1),tblAuftraege[Kostenstelle],$B69))</f>
        <v>0</v>
      </c>
      <c r="T69" s="11" t="n">
        <f aca="false">IF($B69="",0,SUMIFS(tblAuftraege[Ausgaben],tblAuftraege[Datum Ausgaben],"&gt;="&amp;T$5,tblAuftraege[Datum Ausgaben],"&lt;"&amp;EDATE(T$5,1),tblAuftraege[Kostenstelle],$B69))</f>
        <v>0</v>
      </c>
      <c r="U69" s="11" t="n">
        <f aca="false">SUM(C69:H69)</f>
        <v>0</v>
      </c>
      <c r="V69" s="11" t="n">
        <f aca="false">SUM(I69:T69)</f>
        <v>0</v>
      </c>
      <c r="W69" s="12" t="n">
        <f aca="false">SUM(C69:T69)</f>
        <v>0</v>
      </c>
    </row>
    <row r="70" customFormat="false" ht="15" hidden="false" customHeight="false" outlineLevel="0" collapsed="false">
      <c r="A70" s="9"/>
      <c r="B70" s="10"/>
      <c r="C70" s="11" t="n">
        <f aca="false">IF($B70="",0,SUMIFS(tblAuftraege[Ausgaben],tblAuftraege[Datum Ausgaben],"&gt;="&amp;C$5,tblAuftraege[Datum Ausgaben],"&lt;"&amp;EDATE(C$5,1),tblAuftraege[Kostenstelle],$B70))</f>
        <v>0</v>
      </c>
      <c r="D70" s="11" t="n">
        <f aca="false">IF($B70="",0,SUMIFS(tblAuftraege[Ausgaben],tblAuftraege[Datum Ausgaben],"&gt;="&amp;D$5,tblAuftraege[Datum Ausgaben],"&lt;"&amp;EDATE(D$5,1),tblAuftraege[Kostenstelle],$B70))</f>
        <v>0</v>
      </c>
      <c r="E70" s="11" t="n">
        <f aca="false">IF($B70="",0,SUMIFS(tblAuftraege[Ausgaben],tblAuftraege[Datum Ausgaben],"&gt;="&amp;E$5,tblAuftraege[Datum Ausgaben],"&lt;"&amp;EDATE(E$5,1),tblAuftraege[Kostenstelle],$B70))</f>
        <v>0</v>
      </c>
      <c r="F70" s="11" t="n">
        <f aca="false">IF($B70="",0,SUMIFS(tblAuftraege[Ausgaben],tblAuftraege[Datum Ausgaben],"&gt;="&amp;F$5,tblAuftraege[Datum Ausgaben],"&lt;"&amp;EDATE(F$5,1),tblAuftraege[Kostenstelle],$B70))</f>
        <v>0</v>
      </c>
      <c r="G70" s="11" t="n">
        <f aca="false">IF($B70="",0,SUMIFS(tblAuftraege[Ausgaben],tblAuftraege[Datum Ausgaben],"&gt;="&amp;G$5,tblAuftraege[Datum Ausgaben],"&lt;"&amp;EDATE(G$5,1),tblAuftraege[Kostenstelle],$B70))</f>
        <v>0</v>
      </c>
      <c r="H70" s="11" t="n">
        <f aca="false">IF($B70="",0,SUMIFS(tblAuftraege[Ausgaben],tblAuftraege[Datum Ausgaben],"&gt;="&amp;H$5,tblAuftraege[Datum Ausgaben],"&lt;"&amp;EDATE(H$5,1),tblAuftraege[Kostenstelle],$B70))</f>
        <v>0</v>
      </c>
      <c r="I70" s="11" t="n">
        <f aca="false">IF($B70="",0,SUMIFS(tblAuftraege[Ausgaben],tblAuftraege[Datum Ausgaben],"&gt;="&amp;I$5,tblAuftraege[Datum Ausgaben],"&lt;"&amp;EDATE(I$5,1),tblAuftraege[Kostenstelle],$B70))</f>
        <v>0</v>
      </c>
      <c r="J70" s="11" t="n">
        <f aca="false">IF($B70="",0,SUMIFS(tblAuftraege[Ausgaben],tblAuftraege[Datum Ausgaben],"&gt;="&amp;J$5,tblAuftraege[Datum Ausgaben],"&lt;"&amp;EDATE(J$5,1),tblAuftraege[Kostenstelle],$B70))</f>
        <v>0</v>
      </c>
      <c r="K70" s="11" t="n">
        <f aca="false">IF($B70="",0,SUMIFS(tblAuftraege[Ausgaben],tblAuftraege[Datum Ausgaben],"&gt;="&amp;K$5,tblAuftraege[Datum Ausgaben],"&lt;"&amp;EDATE(K$5,1),tblAuftraege[Kostenstelle],$B70))</f>
        <v>0</v>
      </c>
      <c r="L70" s="11" t="n">
        <f aca="false">IF($B70="",0,SUMIFS(tblAuftraege[Ausgaben],tblAuftraege[Datum Ausgaben],"&gt;="&amp;L$5,tblAuftraege[Datum Ausgaben],"&lt;"&amp;EDATE(L$5,1),tblAuftraege[Kostenstelle],$B70))</f>
        <v>0</v>
      </c>
      <c r="M70" s="11" t="n">
        <f aca="false">IF($B70="",0,SUMIFS(tblAuftraege[Ausgaben],tblAuftraege[Datum Ausgaben],"&gt;="&amp;M$5,tblAuftraege[Datum Ausgaben],"&lt;"&amp;EDATE(M$5,1),tblAuftraege[Kostenstelle],$B70))</f>
        <v>0</v>
      </c>
      <c r="N70" s="11" t="n">
        <f aca="false">IF($B70="",0,SUMIFS(tblAuftraege[Ausgaben],tblAuftraege[Datum Ausgaben],"&gt;="&amp;N$5,tblAuftraege[Datum Ausgaben],"&lt;"&amp;EDATE(N$5,1),tblAuftraege[Kostenstelle],$B70))</f>
        <v>0</v>
      </c>
      <c r="O70" s="11" t="n">
        <f aca="false">IF($B70="",0,SUMIFS(tblAuftraege[Ausgaben],tblAuftraege[Datum Ausgaben],"&gt;="&amp;O$5,tblAuftraege[Datum Ausgaben],"&lt;"&amp;EDATE(O$5,1),tblAuftraege[Kostenstelle],$B70))</f>
        <v>0</v>
      </c>
      <c r="P70" s="11" t="n">
        <f aca="false">IF($B70="",0,SUMIFS(tblAuftraege[Ausgaben],tblAuftraege[Datum Ausgaben],"&gt;="&amp;P$5,tblAuftraege[Datum Ausgaben],"&lt;"&amp;EDATE(P$5,1),tblAuftraege[Kostenstelle],$B70))</f>
        <v>0</v>
      </c>
      <c r="Q70" s="11" t="n">
        <f aca="false">IF($B70="",0,SUMIFS(tblAuftraege[Ausgaben],tblAuftraege[Datum Ausgaben],"&gt;="&amp;Q$5,tblAuftraege[Datum Ausgaben],"&lt;"&amp;EDATE(Q$5,1),tblAuftraege[Kostenstelle],$B70))</f>
        <v>0</v>
      </c>
      <c r="R70" s="11" t="n">
        <f aca="false">IF($B70="",0,SUMIFS(tblAuftraege[Ausgaben],tblAuftraege[Datum Ausgaben],"&gt;="&amp;R$5,tblAuftraege[Datum Ausgaben],"&lt;"&amp;EDATE(R$5,1),tblAuftraege[Kostenstelle],$B70))</f>
        <v>0</v>
      </c>
      <c r="S70" s="11" t="n">
        <f aca="false">IF($B70="",0,SUMIFS(tblAuftraege[Ausgaben],tblAuftraege[Datum Ausgaben],"&gt;="&amp;S$5,tblAuftraege[Datum Ausgaben],"&lt;"&amp;EDATE(S$5,1),tblAuftraege[Kostenstelle],$B70))</f>
        <v>0</v>
      </c>
      <c r="T70" s="11" t="n">
        <f aca="false">IF($B70="",0,SUMIFS(tblAuftraege[Ausgaben],tblAuftraege[Datum Ausgaben],"&gt;="&amp;T$5,tblAuftraege[Datum Ausgaben],"&lt;"&amp;EDATE(T$5,1),tblAuftraege[Kostenstelle],$B70))</f>
        <v>0</v>
      </c>
      <c r="U70" s="11" t="n">
        <f aca="false">SUM(C70:H70)</f>
        <v>0</v>
      </c>
      <c r="V70" s="11" t="n">
        <f aca="false">SUM(I70:T70)</f>
        <v>0</v>
      </c>
      <c r="W70" s="12" t="n">
        <f aca="false">SUM(C70:T70)</f>
        <v>0</v>
      </c>
    </row>
    <row r="71" customFormat="false" ht="15" hidden="false" customHeight="false" outlineLevel="0" collapsed="false">
      <c r="A71" s="9"/>
      <c r="B71" s="10"/>
      <c r="C71" s="11" t="n">
        <f aca="false">IF($B71="",0,SUMIFS(tblAuftraege[Ausgaben],tblAuftraege[Datum Ausgaben],"&gt;="&amp;C$5,tblAuftraege[Datum Ausgaben],"&lt;"&amp;EDATE(C$5,1),tblAuftraege[Kostenstelle],$B71))</f>
        <v>0</v>
      </c>
      <c r="D71" s="11" t="n">
        <f aca="false">IF($B71="",0,SUMIFS(tblAuftraege[Ausgaben],tblAuftraege[Datum Ausgaben],"&gt;="&amp;D$5,tblAuftraege[Datum Ausgaben],"&lt;"&amp;EDATE(D$5,1),tblAuftraege[Kostenstelle],$B71))</f>
        <v>0</v>
      </c>
      <c r="E71" s="11" t="n">
        <f aca="false">IF($B71="",0,SUMIFS(tblAuftraege[Ausgaben],tblAuftraege[Datum Ausgaben],"&gt;="&amp;E$5,tblAuftraege[Datum Ausgaben],"&lt;"&amp;EDATE(E$5,1),tblAuftraege[Kostenstelle],$B71))</f>
        <v>0</v>
      </c>
      <c r="F71" s="11" t="n">
        <f aca="false">IF($B71="",0,SUMIFS(tblAuftraege[Ausgaben],tblAuftraege[Datum Ausgaben],"&gt;="&amp;F$5,tblAuftraege[Datum Ausgaben],"&lt;"&amp;EDATE(F$5,1),tblAuftraege[Kostenstelle],$B71))</f>
        <v>0</v>
      </c>
      <c r="G71" s="11" t="n">
        <f aca="false">IF($B71="",0,SUMIFS(tblAuftraege[Ausgaben],tblAuftraege[Datum Ausgaben],"&gt;="&amp;G$5,tblAuftraege[Datum Ausgaben],"&lt;"&amp;EDATE(G$5,1),tblAuftraege[Kostenstelle],$B71))</f>
        <v>0</v>
      </c>
      <c r="H71" s="11" t="n">
        <f aca="false">IF($B71="",0,SUMIFS(tblAuftraege[Ausgaben],tblAuftraege[Datum Ausgaben],"&gt;="&amp;H$5,tblAuftraege[Datum Ausgaben],"&lt;"&amp;EDATE(H$5,1),tblAuftraege[Kostenstelle],$B71))</f>
        <v>0</v>
      </c>
      <c r="I71" s="11" t="n">
        <f aca="false">IF($B71="",0,SUMIFS(tblAuftraege[Ausgaben],tblAuftraege[Datum Ausgaben],"&gt;="&amp;I$5,tblAuftraege[Datum Ausgaben],"&lt;"&amp;EDATE(I$5,1),tblAuftraege[Kostenstelle],$B71))</f>
        <v>0</v>
      </c>
      <c r="J71" s="11" t="n">
        <f aca="false">IF($B71="",0,SUMIFS(tblAuftraege[Ausgaben],tblAuftraege[Datum Ausgaben],"&gt;="&amp;J$5,tblAuftraege[Datum Ausgaben],"&lt;"&amp;EDATE(J$5,1),tblAuftraege[Kostenstelle],$B71))</f>
        <v>0</v>
      </c>
      <c r="K71" s="11" t="n">
        <f aca="false">IF($B71="",0,SUMIFS(tblAuftraege[Ausgaben],tblAuftraege[Datum Ausgaben],"&gt;="&amp;K$5,tblAuftraege[Datum Ausgaben],"&lt;"&amp;EDATE(K$5,1),tblAuftraege[Kostenstelle],$B71))</f>
        <v>0</v>
      </c>
      <c r="L71" s="11" t="n">
        <f aca="false">IF($B71="",0,SUMIFS(tblAuftraege[Ausgaben],tblAuftraege[Datum Ausgaben],"&gt;="&amp;L$5,tblAuftraege[Datum Ausgaben],"&lt;"&amp;EDATE(L$5,1),tblAuftraege[Kostenstelle],$B71))</f>
        <v>0</v>
      </c>
      <c r="M71" s="11" t="n">
        <f aca="false">IF($B71="",0,SUMIFS(tblAuftraege[Ausgaben],tblAuftraege[Datum Ausgaben],"&gt;="&amp;M$5,tblAuftraege[Datum Ausgaben],"&lt;"&amp;EDATE(M$5,1),tblAuftraege[Kostenstelle],$B71))</f>
        <v>0</v>
      </c>
      <c r="N71" s="11" t="n">
        <f aca="false">IF($B71="",0,SUMIFS(tblAuftraege[Ausgaben],tblAuftraege[Datum Ausgaben],"&gt;="&amp;N$5,tblAuftraege[Datum Ausgaben],"&lt;"&amp;EDATE(N$5,1),tblAuftraege[Kostenstelle],$B71))</f>
        <v>0</v>
      </c>
      <c r="O71" s="11" t="n">
        <f aca="false">IF($B71="",0,SUMIFS(tblAuftraege[Ausgaben],tblAuftraege[Datum Ausgaben],"&gt;="&amp;O$5,tblAuftraege[Datum Ausgaben],"&lt;"&amp;EDATE(O$5,1),tblAuftraege[Kostenstelle],$B71))</f>
        <v>0</v>
      </c>
      <c r="P71" s="11" t="n">
        <f aca="false">IF($B71="",0,SUMIFS(tblAuftraege[Ausgaben],tblAuftraege[Datum Ausgaben],"&gt;="&amp;P$5,tblAuftraege[Datum Ausgaben],"&lt;"&amp;EDATE(P$5,1),tblAuftraege[Kostenstelle],$B71))</f>
        <v>0</v>
      </c>
      <c r="Q71" s="11" t="n">
        <f aca="false">IF($B71="",0,SUMIFS(tblAuftraege[Ausgaben],tblAuftraege[Datum Ausgaben],"&gt;="&amp;Q$5,tblAuftraege[Datum Ausgaben],"&lt;"&amp;EDATE(Q$5,1),tblAuftraege[Kostenstelle],$B71))</f>
        <v>0</v>
      </c>
      <c r="R71" s="11" t="n">
        <f aca="false">IF($B71="",0,SUMIFS(tblAuftraege[Ausgaben],tblAuftraege[Datum Ausgaben],"&gt;="&amp;R$5,tblAuftraege[Datum Ausgaben],"&lt;"&amp;EDATE(R$5,1),tblAuftraege[Kostenstelle],$B71))</f>
        <v>0</v>
      </c>
      <c r="S71" s="11" t="n">
        <f aca="false">IF($B71="",0,SUMIFS(tblAuftraege[Ausgaben],tblAuftraege[Datum Ausgaben],"&gt;="&amp;S$5,tblAuftraege[Datum Ausgaben],"&lt;"&amp;EDATE(S$5,1),tblAuftraege[Kostenstelle],$B71))</f>
        <v>0</v>
      </c>
      <c r="T71" s="11" t="n">
        <f aca="false">IF($B71="",0,SUMIFS(tblAuftraege[Ausgaben],tblAuftraege[Datum Ausgaben],"&gt;="&amp;T$5,tblAuftraege[Datum Ausgaben],"&lt;"&amp;EDATE(T$5,1),tblAuftraege[Kostenstelle],$B71))</f>
        <v>0</v>
      </c>
      <c r="U71" s="11" t="n">
        <f aca="false">SUM(C71:H71)</f>
        <v>0</v>
      </c>
      <c r="V71" s="11" t="n">
        <f aca="false">SUM(I71:T71)</f>
        <v>0</v>
      </c>
      <c r="W71" s="12" t="n">
        <f aca="false">SUM(C71:T71)</f>
        <v>0</v>
      </c>
    </row>
    <row r="72" customFormat="false" ht="15" hidden="false" customHeight="false" outlineLevel="0" collapsed="false">
      <c r="A72" s="13" t="s">
        <v>37</v>
      </c>
      <c r="B72" s="14" t="s">
        <v>38</v>
      </c>
      <c r="C72" s="11" t="n">
        <f aca="false">C73-SUM(C42:C71)</f>
        <v>0</v>
      </c>
      <c r="D72" s="11" t="n">
        <f aca="false">D73-SUM(D42:D71)</f>
        <v>0</v>
      </c>
      <c r="E72" s="11" t="n">
        <f aca="false">E73-SUM(E42:E71)</f>
        <v>0</v>
      </c>
      <c r="F72" s="11" t="n">
        <f aca="false">F73-SUM(F42:F71)</f>
        <v>0</v>
      </c>
      <c r="G72" s="11" t="n">
        <f aca="false">G73-SUM(G42:G71)</f>
        <v>0</v>
      </c>
      <c r="H72" s="11" t="n">
        <f aca="false">H73-SUM(H42:H71)</f>
        <v>0</v>
      </c>
      <c r="I72" s="11" t="n">
        <f aca="false">I73-SUM(I42:I71)</f>
        <v>0</v>
      </c>
      <c r="J72" s="11" t="n">
        <f aca="false">J73-SUM(J42:J71)</f>
        <v>0</v>
      </c>
      <c r="K72" s="11" t="n">
        <f aca="false">K73-SUM(K42:K71)</f>
        <v>0</v>
      </c>
      <c r="L72" s="11" t="n">
        <f aca="false">L73-SUM(L42:L71)</f>
        <v>0</v>
      </c>
      <c r="M72" s="11" t="n">
        <f aca="false">M73-SUM(M42:M71)</f>
        <v>0</v>
      </c>
      <c r="N72" s="11" t="n">
        <f aca="false">N73-SUM(N42:N71)</f>
        <v>0</v>
      </c>
      <c r="O72" s="11" t="n">
        <f aca="false">O73-SUM(O42:O71)</f>
        <v>0</v>
      </c>
      <c r="P72" s="11" t="n">
        <f aca="false">P73-SUM(P42:P71)</f>
        <v>0</v>
      </c>
      <c r="Q72" s="11" t="n">
        <f aca="false">Q73-SUM(Q42:Q71)</f>
        <v>0</v>
      </c>
      <c r="R72" s="11" t="n">
        <f aca="false">R73-SUM(R42:R71)</f>
        <v>0</v>
      </c>
      <c r="S72" s="11" t="n">
        <f aca="false">S73-SUM(S42:S71)</f>
        <v>0</v>
      </c>
      <c r="T72" s="11" t="n">
        <f aca="false">T73-SUM(T42:T71)</f>
        <v>0</v>
      </c>
      <c r="U72" s="11" t="n">
        <f aca="false">U73-SUM(U42:U71)</f>
        <v>0</v>
      </c>
      <c r="V72" s="11" t="n">
        <f aca="false">V73-SUM(V42:V71)</f>
        <v>0</v>
      </c>
      <c r="W72" s="11" t="n">
        <f aca="false">W73-SUM(W42:W71)</f>
        <v>0</v>
      </c>
    </row>
    <row r="73" customFormat="false" ht="15" hidden="false" customHeight="false" outlineLevel="0" collapsed="false">
      <c r="A73" s="15" t="s">
        <v>41</v>
      </c>
      <c r="B73" s="16"/>
      <c r="C73" s="17" t="n">
        <f aca="false">SUMIFS(tblAuftraege[Ausgaben],tblAuftraege[Datum Ausgaben],"&gt;="&amp;C$5,tblAuftraege[Datum Ausgaben],"&lt;"&amp;EDATE(C$5,1))</f>
        <v>0</v>
      </c>
      <c r="D73" s="17" t="n">
        <f aca="false">SUMIFS(tblAuftraege[Ausgaben],tblAuftraege[Datum Ausgaben],"&gt;="&amp;D$5,tblAuftraege[Datum Ausgaben],"&lt;"&amp;EDATE(D$5,1))</f>
        <v>0</v>
      </c>
      <c r="E73" s="17" t="n">
        <f aca="false">SUMIFS(tblAuftraege[Ausgaben],tblAuftraege[Datum Ausgaben],"&gt;="&amp;E$5,tblAuftraege[Datum Ausgaben],"&lt;"&amp;EDATE(E$5,1))</f>
        <v>0</v>
      </c>
      <c r="F73" s="17" t="n">
        <f aca="false">SUMIFS(tblAuftraege[Ausgaben],tblAuftraege[Datum Ausgaben],"&gt;="&amp;F$5,tblAuftraege[Datum Ausgaben],"&lt;"&amp;EDATE(F$5,1))</f>
        <v>0</v>
      </c>
      <c r="G73" s="17" t="n">
        <f aca="false">SUMIFS(tblAuftraege[Ausgaben],tblAuftraege[Datum Ausgaben],"&gt;="&amp;G$5,tblAuftraege[Datum Ausgaben],"&lt;"&amp;EDATE(G$5,1))</f>
        <v>0</v>
      </c>
      <c r="H73" s="17" t="n">
        <f aca="false">SUMIFS(tblAuftraege[Ausgaben],tblAuftraege[Datum Ausgaben],"&gt;="&amp;H$5,tblAuftraege[Datum Ausgaben],"&lt;"&amp;EDATE(H$5,1))</f>
        <v>0</v>
      </c>
      <c r="I73" s="17" t="n">
        <f aca="false">SUMIFS(tblAuftraege[Ausgaben],tblAuftraege[Datum Ausgaben],"&gt;="&amp;I$5,tblAuftraege[Datum Ausgaben],"&lt;"&amp;EDATE(I$5,1))</f>
        <v>0</v>
      </c>
      <c r="J73" s="17" t="n">
        <f aca="false">SUMIFS(tblAuftraege[Ausgaben],tblAuftraege[Datum Ausgaben],"&gt;="&amp;J$5,tblAuftraege[Datum Ausgaben],"&lt;"&amp;EDATE(J$5,1))</f>
        <v>0</v>
      </c>
      <c r="K73" s="17" t="n">
        <f aca="false">SUMIFS(tblAuftraege[Ausgaben],tblAuftraege[Datum Ausgaben],"&gt;="&amp;K$5,tblAuftraege[Datum Ausgaben],"&lt;"&amp;EDATE(K$5,1))</f>
        <v>0</v>
      </c>
      <c r="L73" s="17" t="n">
        <f aca="false">SUMIFS(tblAuftraege[Ausgaben],tblAuftraege[Datum Ausgaben],"&gt;="&amp;L$5,tblAuftraege[Datum Ausgaben],"&lt;"&amp;EDATE(L$5,1))</f>
        <v>0</v>
      </c>
      <c r="M73" s="17" t="n">
        <f aca="false">SUMIFS(tblAuftraege[Ausgaben],tblAuftraege[Datum Ausgaben],"&gt;="&amp;M$5,tblAuftraege[Datum Ausgaben],"&lt;"&amp;EDATE(M$5,1))</f>
        <v>0</v>
      </c>
      <c r="N73" s="17" t="n">
        <f aca="false">SUMIFS(tblAuftraege[Ausgaben],tblAuftraege[Datum Ausgaben],"&gt;="&amp;N$5,tblAuftraege[Datum Ausgaben],"&lt;"&amp;EDATE(N$5,1))</f>
        <v>0</v>
      </c>
      <c r="O73" s="17" t="n">
        <f aca="false">SUMIFS(tblAuftraege[Ausgaben],tblAuftraege[Datum Ausgaben],"&gt;="&amp;O$5,tblAuftraege[Datum Ausgaben],"&lt;"&amp;EDATE(O$5,1))</f>
        <v>0</v>
      </c>
      <c r="P73" s="17" t="n">
        <f aca="false">SUMIFS(tblAuftraege[Ausgaben],tblAuftraege[Datum Ausgaben],"&gt;="&amp;P$5,tblAuftraege[Datum Ausgaben],"&lt;"&amp;EDATE(P$5,1))</f>
        <v>0</v>
      </c>
      <c r="Q73" s="17" t="n">
        <f aca="false">SUMIFS(tblAuftraege[Ausgaben],tblAuftraege[Datum Ausgaben],"&gt;="&amp;Q$5,tblAuftraege[Datum Ausgaben],"&lt;"&amp;EDATE(Q$5,1))</f>
        <v>0</v>
      </c>
      <c r="R73" s="17" t="n">
        <f aca="false">SUMIFS(tblAuftraege[Ausgaben],tblAuftraege[Datum Ausgaben],"&gt;="&amp;R$5,tblAuftraege[Datum Ausgaben],"&lt;"&amp;EDATE(R$5,1))</f>
        <v>0</v>
      </c>
      <c r="S73" s="17" t="n">
        <f aca="false">SUMIFS(tblAuftraege[Ausgaben],tblAuftraege[Datum Ausgaben],"&gt;="&amp;S$5,tblAuftraege[Datum Ausgaben],"&lt;"&amp;EDATE(S$5,1))</f>
        <v>0</v>
      </c>
      <c r="T73" s="17" t="n">
        <f aca="false">SUMIFS(tblAuftraege[Ausgaben],tblAuftraege[Datum Ausgaben],"&gt;="&amp;T$5,tblAuftraege[Datum Ausgaben],"&lt;"&amp;EDATE(T$5,1))</f>
        <v>0</v>
      </c>
      <c r="U73" s="17" t="n">
        <f aca="false">SUM(C73:H73)</f>
        <v>0</v>
      </c>
      <c r="V73" s="17" t="n">
        <f aca="false">SUM(I73:T73)</f>
        <v>0</v>
      </c>
      <c r="W73" s="17" t="n">
        <f aca="false">SUM(C73:T73)</f>
        <v>0</v>
      </c>
    </row>
    <row r="75" customFormat="false" ht="19.5" hidden="false" customHeight="true" outlineLevel="0" collapsed="false">
      <c r="A75" s="7" t="s">
        <v>42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 customFormat="false" ht="15" hidden="false" customHeight="false" outlineLevel="0" collapsed="false">
      <c r="A76" s="13" t="s">
        <v>39</v>
      </c>
      <c r="B76" s="14"/>
      <c r="C76" s="11" t="n">
        <f aca="false">C39</f>
        <v>0</v>
      </c>
      <c r="D76" s="11" t="n">
        <f aca="false">D39</f>
        <v>0</v>
      </c>
      <c r="E76" s="11" t="n">
        <f aca="false">E39</f>
        <v>0</v>
      </c>
      <c r="F76" s="11" t="n">
        <f aca="false">F39</f>
        <v>0</v>
      </c>
      <c r="G76" s="11" t="n">
        <f aca="false">G39</f>
        <v>0</v>
      </c>
      <c r="H76" s="11" t="n">
        <f aca="false">H39</f>
        <v>0</v>
      </c>
      <c r="I76" s="11" t="n">
        <f aca="false">I39</f>
        <v>0</v>
      </c>
      <c r="J76" s="11" t="n">
        <f aca="false">J39</f>
        <v>0</v>
      </c>
      <c r="K76" s="11" t="n">
        <f aca="false">K39</f>
        <v>0</v>
      </c>
      <c r="L76" s="11" t="n">
        <f aca="false">L39</f>
        <v>0</v>
      </c>
      <c r="M76" s="11" t="n">
        <f aca="false">M39</f>
        <v>0</v>
      </c>
      <c r="N76" s="11" t="n">
        <f aca="false">N39</f>
        <v>0</v>
      </c>
      <c r="O76" s="11" t="n">
        <f aca="false">O39</f>
        <v>0</v>
      </c>
      <c r="P76" s="11" t="n">
        <f aca="false">P39</f>
        <v>0</v>
      </c>
      <c r="Q76" s="11" t="n">
        <f aca="false">Q39</f>
        <v>0</v>
      </c>
      <c r="R76" s="11" t="n">
        <f aca="false">R39</f>
        <v>0</v>
      </c>
      <c r="S76" s="11" t="n">
        <f aca="false">S39</f>
        <v>0</v>
      </c>
      <c r="T76" s="11" t="n">
        <f aca="false">T39</f>
        <v>0</v>
      </c>
      <c r="U76" s="11" t="n">
        <f aca="false">U39</f>
        <v>0</v>
      </c>
      <c r="V76" s="11" t="n">
        <f aca="false">V39</f>
        <v>0</v>
      </c>
      <c r="W76" s="11" t="n">
        <f aca="false">W39</f>
        <v>0</v>
      </c>
    </row>
    <row r="77" customFormat="false" ht="15" hidden="false" customHeight="false" outlineLevel="0" collapsed="false">
      <c r="A77" s="13" t="s">
        <v>41</v>
      </c>
      <c r="B77" s="14"/>
      <c r="C77" s="11" t="n">
        <f aca="false">C73</f>
        <v>0</v>
      </c>
      <c r="D77" s="11" t="n">
        <f aca="false">D73</f>
        <v>0</v>
      </c>
      <c r="E77" s="11" t="n">
        <f aca="false">E73</f>
        <v>0</v>
      </c>
      <c r="F77" s="11" t="n">
        <f aca="false">F73</f>
        <v>0</v>
      </c>
      <c r="G77" s="11" t="n">
        <f aca="false">G73</f>
        <v>0</v>
      </c>
      <c r="H77" s="11" t="n">
        <f aca="false">H73</f>
        <v>0</v>
      </c>
      <c r="I77" s="11" t="n">
        <f aca="false">I73</f>
        <v>0</v>
      </c>
      <c r="J77" s="11" t="n">
        <f aca="false">J73</f>
        <v>0</v>
      </c>
      <c r="K77" s="11" t="n">
        <f aca="false">K73</f>
        <v>0</v>
      </c>
      <c r="L77" s="11" t="n">
        <f aca="false">L73</f>
        <v>0</v>
      </c>
      <c r="M77" s="11" t="n">
        <f aca="false">M73</f>
        <v>0</v>
      </c>
      <c r="N77" s="11" t="n">
        <f aca="false">N73</f>
        <v>0</v>
      </c>
      <c r="O77" s="11" t="n">
        <f aca="false">O73</f>
        <v>0</v>
      </c>
      <c r="P77" s="11" t="n">
        <f aca="false">P73</f>
        <v>0</v>
      </c>
      <c r="Q77" s="11" t="n">
        <f aca="false">Q73</f>
        <v>0</v>
      </c>
      <c r="R77" s="11" t="n">
        <f aca="false">R73</f>
        <v>0</v>
      </c>
      <c r="S77" s="11" t="n">
        <f aca="false">S73</f>
        <v>0</v>
      </c>
      <c r="T77" s="11" t="n">
        <f aca="false">T73</f>
        <v>0</v>
      </c>
      <c r="U77" s="11" t="n">
        <f aca="false">U73</f>
        <v>0</v>
      </c>
      <c r="V77" s="11" t="n">
        <f aca="false">V73</f>
        <v>0</v>
      </c>
      <c r="W77" s="11" t="n">
        <f aca="false">W73</f>
        <v>0</v>
      </c>
    </row>
    <row r="78" customFormat="false" ht="15" hidden="false" customHeight="false" outlineLevel="0" collapsed="false">
      <c r="A78" s="18" t="s">
        <v>43</v>
      </c>
      <c r="B78" s="19"/>
      <c r="C78" s="20" t="n">
        <f aca="false">C76-C77</f>
        <v>0</v>
      </c>
      <c r="D78" s="20" t="n">
        <f aca="false">D76-D77</f>
        <v>0</v>
      </c>
      <c r="E78" s="20" t="n">
        <f aca="false">E76-E77</f>
        <v>0</v>
      </c>
      <c r="F78" s="20" t="n">
        <f aca="false">F76-F77</f>
        <v>0</v>
      </c>
      <c r="G78" s="20" t="n">
        <f aca="false">G76-G77</f>
        <v>0</v>
      </c>
      <c r="H78" s="20" t="n">
        <f aca="false">H76-H77</f>
        <v>0</v>
      </c>
      <c r="I78" s="20" t="n">
        <f aca="false">I76-I77</f>
        <v>0</v>
      </c>
      <c r="J78" s="20" t="n">
        <f aca="false">J76-J77</f>
        <v>0</v>
      </c>
      <c r="K78" s="20" t="n">
        <f aca="false">K76-K77</f>
        <v>0</v>
      </c>
      <c r="L78" s="20" t="n">
        <f aca="false">L76-L77</f>
        <v>0</v>
      </c>
      <c r="M78" s="20" t="n">
        <f aca="false">M76-M77</f>
        <v>0</v>
      </c>
      <c r="N78" s="20" t="n">
        <f aca="false">N76-N77</f>
        <v>0</v>
      </c>
      <c r="O78" s="20" t="n">
        <f aca="false">O76-O77</f>
        <v>0</v>
      </c>
      <c r="P78" s="20" t="n">
        <f aca="false">P76-P77</f>
        <v>0</v>
      </c>
      <c r="Q78" s="20" t="n">
        <f aca="false">Q76-Q77</f>
        <v>0</v>
      </c>
      <c r="R78" s="20" t="n">
        <f aca="false">R76-R77</f>
        <v>0</v>
      </c>
      <c r="S78" s="20" t="n">
        <f aca="false">S76-S77</f>
        <v>0</v>
      </c>
      <c r="T78" s="20" t="n">
        <f aca="false">T76-T77</f>
        <v>0</v>
      </c>
      <c r="U78" s="20" t="n">
        <f aca="false">U76-U77</f>
        <v>0</v>
      </c>
      <c r="V78" s="20" t="n">
        <f aca="false">V76-V77</f>
        <v>0</v>
      </c>
      <c r="W78" s="20" t="n">
        <f aca="false">W76-W77</f>
        <v>0</v>
      </c>
    </row>
    <row r="79" customFormat="false" ht="15" hidden="false" customHeight="false" outlineLevel="0" collapsed="false">
      <c r="A79" s="18" t="s">
        <v>44</v>
      </c>
      <c r="B79" s="19"/>
      <c r="C79" s="20" t="n">
        <f aca="false">C78</f>
        <v>0</v>
      </c>
      <c r="D79" s="20" t="n">
        <f aca="false">C79+D78</f>
        <v>0</v>
      </c>
      <c r="E79" s="20" t="n">
        <f aca="false">D79+E78</f>
        <v>0</v>
      </c>
      <c r="F79" s="20" t="n">
        <f aca="false">E79+F78</f>
        <v>0</v>
      </c>
      <c r="G79" s="20" t="n">
        <f aca="false">F79+G78</f>
        <v>0</v>
      </c>
      <c r="H79" s="20" t="n">
        <f aca="false">G79+H78</f>
        <v>0</v>
      </c>
      <c r="I79" s="20" t="n">
        <f aca="false">H79+I78</f>
        <v>0</v>
      </c>
      <c r="J79" s="20" t="n">
        <f aca="false">I79+J78</f>
        <v>0</v>
      </c>
      <c r="K79" s="20" t="n">
        <f aca="false">J79+K78</f>
        <v>0</v>
      </c>
      <c r="L79" s="20" t="n">
        <f aca="false">K79+L78</f>
        <v>0</v>
      </c>
      <c r="M79" s="20" t="n">
        <f aca="false">L79+M78</f>
        <v>0</v>
      </c>
      <c r="N79" s="20" t="n">
        <f aca="false">M79+N78</f>
        <v>0</v>
      </c>
      <c r="O79" s="20" t="n">
        <f aca="false">N79+O78</f>
        <v>0</v>
      </c>
      <c r="P79" s="20" t="n">
        <f aca="false">O79+P78</f>
        <v>0</v>
      </c>
      <c r="Q79" s="20" t="n">
        <f aca="false">P79+Q78</f>
        <v>0</v>
      </c>
      <c r="R79" s="20" t="n">
        <f aca="false">Q79+R78</f>
        <v>0</v>
      </c>
      <c r="S79" s="20" t="n">
        <f aca="false">R79+S78</f>
        <v>0</v>
      </c>
      <c r="T79" s="20" t="n">
        <f aca="false">S79+T78</f>
        <v>0</v>
      </c>
      <c r="U79" s="20" t="n">
        <f aca="false">H79</f>
        <v>0</v>
      </c>
      <c r="V79" s="20" t="n">
        <f aca="false">T79</f>
        <v>0</v>
      </c>
      <c r="W79" s="20" t="n">
        <f aca="false">T79</f>
        <v>0</v>
      </c>
    </row>
    <row r="81" customFormat="false" ht="19.5" hidden="false" customHeight="true" outlineLevel="0" collapsed="false">
      <c r="A81" s="7" t="s">
        <v>45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 customFormat="false" ht="15" hidden="false" customHeight="false" outlineLevel="0" collapsed="false">
      <c r="A82" s="13" t="s">
        <v>46</v>
      </c>
      <c r="B82" s="14" t="s">
        <v>47</v>
      </c>
      <c r="C82" s="11" t="n">
        <f aca="false">SUMIFS(tblAuftraege[Einnahmen],tblAuftraege[Datum Einnahmen],"&gt;="&amp;C$5,tblAuftraege[Datum Einnahmen],"&lt;"&amp;EDATE(C$5,1),tblAuftraege[Themenfeld],"IoT")</f>
        <v>0</v>
      </c>
      <c r="D82" s="11" t="n">
        <f aca="false">SUMIFS(tblAuftraege[Einnahmen],tblAuftraege[Datum Einnahmen],"&gt;="&amp;D$5,tblAuftraege[Datum Einnahmen],"&lt;"&amp;EDATE(D$5,1),tblAuftraege[Themenfeld],"IoT")</f>
        <v>0</v>
      </c>
      <c r="E82" s="11" t="n">
        <f aca="false">SUMIFS(tblAuftraege[Einnahmen],tblAuftraege[Datum Einnahmen],"&gt;="&amp;E$5,tblAuftraege[Datum Einnahmen],"&lt;"&amp;EDATE(E$5,1),tblAuftraege[Themenfeld],"IoT")</f>
        <v>0</v>
      </c>
      <c r="F82" s="11" t="n">
        <f aca="false">SUMIFS(tblAuftraege[Einnahmen],tblAuftraege[Datum Einnahmen],"&gt;="&amp;F$5,tblAuftraege[Datum Einnahmen],"&lt;"&amp;EDATE(F$5,1),tblAuftraege[Themenfeld],"IoT")</f>
        <v>0</v>
      </c>
      <c r="G82" s="11" t="n">
        <f aca="false">SUMIFS(tblAuftraege[Einnahmen],tblAuftraege[Datum Einnahmen],"&gt;="&amp;G$5,tblAuftraege[Datum Einnahmen],"&lt;"&amp;EDATE(G$5,1),tblAuftraege[Themenfeld],"IoT")</f>
        <v>0</v>
      </c>
      <c r="H82" s="11" t="n">
        <f aca="false">SUMIFS(tblAuftraege[Einnahmen],tblAuftraege[Datum Einnahmen],"&gt;="&amp;H$5,tblAuftraege[Datum Einnahmen],"&lt;"&amp;EDATE(H$5,1),tblAuftraege[Themenfeld],"IoT")</f>
        <v>0</v>
      </c>
      <c r="I82" s="11" t="n">
        <f aca="false">SUMIFS(tblAuftraege[Einnahmen],tblAuftraege[Datum Einnahmen],"&gt;="&amp;I$5,tblAuftraege[Datum Einnahmen],"&lt;"&amp;EDATE(I$5,1),tblAuftraege[Themenfeld],"IoT")</f>
        <v>0</v>
      </c>
      <c r="J82" s="11" t="n">
        <f aca="false">SUMIFS(tblAuftraege[Einnahmen],tblAuftraege[Datum Einnahmen],"&gt;="&amp;J$5,tblAuftraege[Datum Einnahmen],"&lt;"&amp;EDATE(J$5,1),tblAuftraege[Themenfeld],"IoT")</f>
        <v>0</v>
      </c>
      <c r="K82" s="11" t="n">
        <f aca="false">SUMIFS(tblAuftraege[Einnahmen],tblAuftraege[Datum Einnahmen],"&gt;="&amp;K$5,tblAuftraege[Datum Einnahmen],"&lt;"&amp;EDATE(K$5,1),tblAuftraege[Themenfeld],"IoT")</f>
        <v>0</v>
      </c>
      <c r="L82" s="11" t="n">
        <f aca="false">SUMIFS(tblAuftraege[Einnahmen],tblAuftraege[Datum Einnahmen],"&gt;="&amp;L$5,tblAuftraege[Datum Einnahmen],"&lt;"&amp;EDATE(L$5,1),tblAuftraege[Themenfeld],"IoT")</f>
        <v>0</v>
      </c>
      <c r="M82" s="11" t="n">
        <f aca="false">SUMIFS(tblAuftraege[Einnahmen],tblAuftraege[Datum Einnahmen],"&gt;="&amp;M$5,tblAuftraege[Datum Einnahmen],"&lt;"&amp;EDATE(M$5,1),tblAuftraege[Themenfeld],"IoT")</f>
        <v>0</v>
      </c>
      <c r="N82" s="11" t="n">
        <f aca="false">SUMIFS(tblAuftraege[Einnahmen],tblAuftraege[Datum Einnahmen],"&gt;="&amp;N$5,tblAuftraege[Datum Einnahmen],"&lt;"&amp;EDATE(N$5,1),tblAuftraege[Themenfeld],"IoT")</f>
        <v>0</v>
      </c>
      <c r="O82" s="11" t="n">
        <f aca="false">SUMIFS(tblAuftraege[Einnahmen],tblAuftraege[Datum Einnahmen],"&gt;="&amp;O$5,tblAuftraege[Datum Einnahmen],"&lt;"&amp;EDATE(O$5,1),tblAuftraege[Themenfeld],"IoT")</f>
        <v>0</v>
      </c>
      <c r="P82" s="11" t="n">
        <f aca="false">SUMIFS(tblAuftraege[Einnahmen],tblAuftraege[Datum Einnahmen],"&gt;="&amp;P$5,tblAuftraege[Datum Einnahmen],"&lt;"&amp;EDATE(P$5,1),tblAuftraege[Themenfeld],"IoT")</f>
        <v>0</v>
      </c>
      <c r="Q82" s="11" t="n">
        <f aca="false">SUMIFS(tblAuftraege[Einnahmen],tblAuftraege[Datum Einnahmen],"&gt;="&amp;Q$5,tblAuftraege[Datum Einnahmen],"&lt;"&amp;EDATE(Q$5,1),tblAuftraege[Themenfeld],"IoT")</f>
        <v>0</v>
      </c>
      <c r="R82" s="11" t="n">
        <f aca="false">SUMIFS(tblAuftraege[Einnahmen],tblAuftraege[Datum Einnahmen],"&gt;="&amp;R$5,tblAuftraege[Datum Einnahmen],"&lt;"&amp;EDATE(R$5,1),tblAuftraege[Themenfeld],"IoT")</f>
        <v>0</v>
      </c>
      <c r="S82" s="11" t="n">
        <f aca="false">SUMIFS(tblAuftraege[Einnahmen],tblAuftraege[Datum Einnahmen],"&gt;="&amp;S$5,tblAuftraege[Datum Einnahmen],"&lt;"&amp;EDATE(S$5,1),tblAuftraege[Themenfeld],"IoT")</f>
        <v>0</v>
      </c>
      <c r="T82" s="11" t="n">
        <f aca="false">SUMIFS(tblAuftraege[Einnahmen],tblAuftraege[Datum Einnahmen],"&gt;="&amp;T$5,tblAuftraege[Datum Einnahmen],"&lt;"&amp;EDATE(T$5,1),tblAuftraege[Themenfeld],"IoT")</f>
        <v>0</v>
      </c>
      <c r="U82" s="11" t="n">
        <f aca="false">SUM(C82:H82)</f>
        <v>0</v>
      </c>
      <c r="V82" s="11" t="n">
        <f aca="false">SUM(I82:T82)</f>
        <v>0</v>
      </c>
      <c r="W82" s="11" t="n">
        <f aca="false">SUM(C82:T82)</f>
        <v>0</v>
      </c>
    </row>
    <row r="83" customFormat="false" ht="15" hidden="false" customHeight="false" outlineLevel="0" collapsed="false">
      <c r="A83" s="13" t="s">
        <v>48</v>
      </c>
      <c r="B83" s="14" t="s">
        <v>47</v>
      </c>
      <c r="C83" s="11" t="n">
        <f aca="false">SUMIFS(tblAuftraege[Ausgaben],tblAuftraege[Datum Ausgaben],"&gt;="&amp;C$5,tblAuftraege[Datum Ausgaben],"&lt;"&amp;EDATE(C$5,1),tblAuftraege[Themenfeld],"IoT")</f>
        <v>0</v>
      </c>
      <c r="D83" s="11" t="n">
        <f aca="false">SUMIFS(tblAuftraege[Ausgaben],tblAuftraege[Datum Ausgaben],"&gt;="&amp;D$5,tblAuftraege[Datum Ausgaben],"&lt;"&amp;EDATE(D$5,1),tblAuftraege[Themenfeld],"IoT")</f>
        <v>0</v>
      </c>
      <c r="E83" s="11" t="n">
        <f aca="false">SUMIFS(tblAuftraege[Ausgaben],tblAuftraege[Datum Ausgaben],"&gt;="&amp;E$5,tblAuftraege[Datum Ausgaben],"&lt;"&amp;EDATE(E$5,1),tblAuftraege[Themenfeld],"IoT")</f>
        <v>0</v>
      </c>
      <c r="F83" s="11" t="n">
        <f aca="false">SUMIFS(tblAuftraege[Ausgaben],tblAuftraege[Datum Ausgaben],"&gt;="&amp;F$5,tblAuftraege[Datum Ausgaben],"&lt;"&amp;EDATE(F$5,1),tblAuftraege[Themenfeld],"IoT")</f>
        <v>0</v>
      </c>
      <c r="G83" s="11" t="n">
        <f aca="false">SUMIFS(tblAuftraege[Ausgaben],tblAuftraege[Datum Ausgaben],"&gt;="&amp;G$5,tblAuftraege[Datum Ausgaben],"&lt;"&amp;EDATE(G$5,1),tblAuftraege[Themenfeld],"IoT")</f>
        <v>0</v>
      </c>
      <c r="H83" s="11" t="n">
        <f aca="false">SUMIFS(tblAuftraege[Ausgaben],tblAuftraege[Datum Ausgaben],"&gt;="&amp;H$5,tblAuftraege[Datum Ausgaben],"&lt;"&amp;EDATE(H$5,1),tblAuftraege[Themenfeld],"IoT")</f>
        <v>0</v>
      </c>
      <c r="I83" s="11" t="n">
        <f aca="false">SUMIFS(tblAuftraege[Ausgaben],tblAuftraege[Datum Ausgaben],"&gt;="&amp;I$5,tblAuftraege[Datum Ausgaben],"&lt;"&amp;EDATE(I$5,1),tblAuftraege[Themenfeld],"IoT")</f>
        <v>0</v>
      </c>
      <c r="J83" s="11" t="n">
        <f aca="false">SUMIFS(tblAuftraege[Ausgaben],tblAuftraege[Datum Ausgaben],"&gt;="&amp;J$5,tblAuftraege[Datum Ausgaben],"&lt;"&amp;EDATE(J$5,1),tblAuftraege[Themenfeld],"IoT")</f>
        <v>0</v>
      </c>
      <c r="K83" s="11" t="n">
        <f aca="false">SUMIFS(tblAuftraege[Ausgaben],tblAuftraege[Datum Ausgaben],"&gt;="&amp;K$5,tblAuftraege[Datum Ausgaben],"&lt;"&amp;EDATE(K$5,1),tblAuftraege[Themenfeld],"IoT")</f>
        <v>0</v>
      </c>
      <c r="L83" s="11" t="n">
        <f aca="false">SUMIFS(tblAuftraege[Ausgaben],tblAuftraege[Datum Ausgaben],"&gt;="&amp;L$5,tblAuftraege[Datum Ausgaben],"&lt;"&amp;EDATE(L$5,1),tblAuftraege[Themenfeld],"IoT")</f>
        <v>0</v>
      </c>
      <c r="M83" s="11" t="n">
        <f aca="false">SUMIFS(tblAuftraege[Ausgaben],tblAuftraege[Datum Ausgaben],"&gt;="&amp;M$5,tblAuftraege[Datum Ausgaben],"&lt;"&amp;EDATE(M$5,1),tblAuftraege[Themenfeld],"IoT")</f>
        <v>0</v>
      </c>
      <c r="N83" s="11" t="n">
        <f aca="false">SUMIFS(tblAuftraege[Ausgaben],tblAuftraege[Datum Ausgaben],"&gt;="&amp;N$5,tblAuftraege[Datum Ausgaben],"&lt;"&amp;EDATE(N$5,1),tblAuftraege[Themenfeld],"IoT")</f>
        <v>0</v>
      </c>
      <c r="O83" s="11" t="n">
        <f aca="false">SUMIFS(tblAuftraege[Ausgaben],tblAuftraege[Datum Ausgaben],"&gt;="&amp;O$5,tblAuftraege[Datum Ausgaben],"&lt;"&amp;EDATE(O$5,1),tblAuftraege[Themenfeld],"IoT")</f>
        <v>0</v>
      </c>
      <c r="P83" s="11" t="n">
        <f aca="false">SUMIFS(tblAuftraege[Ausgaben],tblAuftraege[Datum Ausgaben],"&gt;="&amp;P$5,tblAuftraege[Datum Ausgaben],"&lt;"&amp;EDATE(P$5,1),tblAuftraege[Themenfeld],"IoT")</f>
        <v>0</v>
      </c>
      <c r="Q83" s="11" t="n">
        <f aca="false">SUMIFS(tblAuftraege[Ausgaben],tblAuftraege[Datum Ausgaben],"&gt;="&amp;Q$5,tblAuftraege[Datum Ausgaben],"&lt;"&amp;EDATE(Q$5,1),tblAuftraege[Themenfeld],"IoT")</f>
        <v>0</v>
      </c>
      <c r="R83" s="11" t="n">
        <f aca="false">SUMIFS(tblAuftraege[Ausgaben],tblAuftraege[Datum Ausgaben],"&gt;="&amp;R$5,tblAuftraege[Datum Ausgaben],"&lt;"&amp;EDATE(R$5,1),tblAuftraege[Themenfeld],"IoT")</f>
        <v>0</v>
      </c>
      <c r="S83" s="11" t="n">
        <f aca="false">SUMIFS(tblAuftraege[Ausgaben],tblAuftraege[Datum Ausgaben],"&gt;="&amp;S$5,tblAuftraege[Datum Ausgaben],"&lt;"&amp;EDATE(S$5,1),tblAuftraege[Themenfeld],"IoT")</f>
        <v>0</v>
      </c>
      <c r="T83" s="11" t="n">
        <f aca="false">SUMIFS(tblAuftraege[Ausgaben],tblAuftraege[Datum Ausgaben],"&gt;="&amp;T$5,tblAuftraege[Datum Ausgaben],"&lt;"&amp;EDATE(T$5,1),tblAuftraege[Themenfeld],"IoT")</f>
        <v>0</v>
      </c>
      <c r="U83" s="11" t="n">
        <f aca="false">SUM(C83:H83)</f>
        <v>0</v>
      </c>
      <c r="V83" s="11" t="n">
        <f aca="false">SUM(I83:T83)</f>
        <v>0</v>
      </c>
      <c r="W83" s="11" t="n">
        <f aca="false">SUM(C83:T83)</f>
        <v>0</v>
      </c>
    </row>
    <row r="84" customFormat="false" ht="15" hidden="false" customHeight="false" outlineLevel="0" collapsed="false">
      <c r="A84" s="13" t="s">
        <v>49</v>
      </c>
      <c r="B84" s="14" t="s">
        <v>47</v>
      </c>
      <c r="C84" s="11" t="n">
        <f aca="false">SUMIFS(tblAuftraege[Einnahmen],tblAuftraege[Datum Einnahmen],"&gt;="&amp;C$5,tblAuftraege[Datum Einnahmen],"&lt;"&amp;EDATE(C$5,1),tblAuftraege[Themenfeld],"EDM")</f>
        <v>0</v>
      </c>
      <c r="D84" s="11" t="n">
        <f aca="false">SUMIFS(tblAuftraege[Einnahmen],tblAuftraege[Datum Einnahmen],"&gt;="&amp;D$5,tblAuftraege[Datum Einnahmen],"&lt;"&amp;EDATE(D$5,1),tblAuftraege[Themenfeld],"EDM")</f>
        <v>0</v>
      </c>
      <c r="E84" s="11" t="n">
        <f aca="false">SUMIFS(tblAuftraege[Einnahmen],tblAuftraege[Datum Einnahmen],"&gt;="&amp;E$5,tblAuftraege[Datum Einnahmen],"&lt;"&amp;EDATE(E$5,1),tblAuftraege[Themenfeld],"EDM")</f>
        <v>0</v>
      </c>
      <c r="F84" s="11" t="n">
        <f aca="false">SUMIFS(tblAuftraege[Einnahmen],tblAuftraege[Datum Einnahmen],"&gt;="&amp;F$5,tblAuftraege[Datum Einnahmen],"&lt;"&amp;EDATE(F$5,1),tblAuftraege[Themenfeld],"EDM")</f>
        <v>0</v>
      </c>
      <c r="G84" s="11" t="n">
        <f aca="false">SUMIFS(tblAuftraege[Einnahmen],tblAuftraege[Datum Einnahmen],"&gt;="&amp;G$5,tblAuftraege[Datum Einnahmen],"&lt;"&amp;EDATE(G$5,1),tblAuftraege[Themenfeld],"EDM")</f>
        <v>0</v>
      </c>
      <c r="H84" s="11" t="n">
        <f aca="false">SUMIFS(tblAuftraege[Einnahmen],tblAuftraege[Datum Einnahmen],"&gt;="&amp;H$5,tblAuftraege[Datum Einnahmen],"&lt;"&amp;EDATE(H$5,1),tblAuftraege[Themenfeld],"EDM")</f>
        <v>0</v>
      </c>
      <c r="I84" s="11" t="n">
        <f aca="false">SUMIFS(tblAuftraege[Einnahmen],tblAuftraege[Datum Einnahmen],"&gt;="&amp;I$5,tblAuftraege[Datum Einnahmen],"&lt;"&amp;EDATE(I$5,1),tblAuftraege[Themenfeld],"EDM")</f>
        <v>0</v>
      </c>
      <c r="J84" s="11" t="n">
        <f aca="false">SUMIFS(tblAuftraege[Einnahmen],tblAuftraege[Datum Einnahmen],"&gt;="&amp;J$5,tblAuftraege[Datum Einnahmen],"&lt;"&amp;EDATE(J$5,1),tblAuftraege[Themenfeld],"EDM")</f>
        <v>0</v>
      </c>
      <c r="K84" s="11" t="n">
        <f aca="false">SUMIFS(tblAuftraege[Einnahmen],tblAuftraege[Datum Einnahmen],"&gt;="&amp;K$5,tblAuftraege[Datum Einnahmen],"&lt;"&amp;EDATE(K$5,1),tblAuftraege[Themenfeld],"EDM")</f>
        <v>0</v>
      </c>
      <c r="L84" s="11" t="n">
        <f aca="false">SUMIFS(tblAuftraege[Einnahmen],tblAuftraege[Datum Einnahmen],"&gt;="&amp;L$5,tblAuftraege[Datum Einnahmen],"&lt;"&amp;EDATE(L$5,1),tblAuftraege[Themenfeld],"EDM")</f>
        <v>0</v>
      </c>
      <c r="M84" s="11" t="n">
        <f aca="false">SUMIFS(tblAuftraege[Einnahmen],tblAuftraege[Datum Einnahmen],"&gt;="&amp;M$5,tblAuftraege[Datum Einnahmen],"&lt;"&amp;EDATE(M$5,1),tblAuftraege[Themenfeld],"EDM")</f>
        <v>0</v>
      </c>
      <c r="N84" s="11" t="n">
        <f aca="false">SUMIFS(tblAuftraege[Einnahmen],tblAuftraege[Datum Einnahmen],"&gt;="&amp;N$5,tblAuftraege[Datum Einnahmen],"&lt;"&amp;EDATE(N$5,1),tblAuftraege[Themenfeld],"EDM")</f>
        <v>0</v>
      </c>
      <c r="O84" s="11" t="n">
        <f aca="false">SUMIFS(tblAuftraege[Einnahmen],tblAuftraege[Datum Einnahmen],"&gt;="&amp;O$5,tblAuftraege[Datum Einnahmen],"&lt;"&amp;EDATE(O$5,1),tblAuftraege[Themenfeld],"EDM")</f>
        <v>0</v>
      </c>
      <c r="P84" s="11" t="n">
        <f aca="false">SUMIFS(tblAuftraege[Einnahmen],tblAuftraege[Datum Einnahmen],"&gt;="&amp;P$5,tblAuftraege[Datum Einnahmen],"&lt;"&amp;EDATE(P$5,1),tblAuftraege[Themenfeld],"EDM")</f>
        <v>0</v>
      </c>
      <c r="Q84" s="11" t="n">
        <f aca="false">SUMIFS(tblAuftraege[Einnahmen],tblAuftraege[Datum Einnahmen],"&gt;="&amp;Q$5,tblAuftraege[Datum Einnahmen],"&lt;"&amp;EDATE(Q$5,1),tblAuftraege[Themenfeld],"EDM")</f>
        <v>0</v>
      </c>
      <c r="R84" s="11" t="n">
        <f aca="false">SUMIFS(tblAuftraege[Einnahmen],tblAuftraege[Datum Einnahmen],"&gt;="&amp;R$5,tblAuftraege[Datum Einnahmen],"&lt;"&amp;EDATE(R$5,1),tblAuftraege[Themenfeld],"EDM")</f>
        <v>0</v>
      </c>
      <c r="S84" s="11" t="n">
        <f aca="false">SUMIFS(tblAuftraege[Einnahmen],tblAuftraege[Datum Einnahmen],"&gt;="&amp;S$5,tblAuftraege[Datum Einnahmen],"&lt;"&amp;EDATE(S$5,1),tblAuftraege[Themenfeld],"EDM")</f>
        <v>0</v>
      </c>
      <c r="T84" s="11" t="n">
        <f aca="false">SUMIFS(tblAuftraege[Einnahmen],tblAuftraege[Datum Einnahmen],"&gt;="&amp;T$5,tblAuftraege[Datum Einnahmen],"&lt;"&amp;EDATE(T$5,1),tblAuftraege[Themenfeld],"EDM")</f>
        <v>0</v>
      </c>
      <c r="U84" s="11" t="n">
        <f aca="false">SUM(C84:H84)</f>
        <v>0</v>
      </c>
      <c r="V84" s="11" t="n">
        <f aca="false">SUM(I84:T84)</f>
        <v>0</v>
      </c>
      <c r="W84" s="11" t="n">
        <f aca="false">SUM(C84:T84)</f>
        <v>0</v>
      </c>
    </row>
    <row r="85" customFormat="false" ht="15" hidden="false" customHeight="false" outlineLevel="0" collapsed="false">
      <c r="A85" s="13" t="s">
        <v>50</v>
      </c>
      <c r="B85" s="14" t="s">
        <v>47</v>
      </c>
      <c r="C85" s="11" t="n">
        <f aca="false">SUMIFS(tblAuftraege[Ausgaben],tblAuftraege[Datum Ausgaben],"&gt;="&amp;C$5,tblAuftraege[Datum Ausgaben],"&lt;"&amp;EDATE(C$5,1),tblAuftraege[Themenfeld],"EDM")</f>
        <v>0</v>
      </c>
      <c r="D85" s="11" t="n">
        <f aca="false">SUMIFS(tblAuftraege[Ausgaben],tblAuftraege[Datum Ausgaben],"&gt;="&amp;D$5,tblAuftraege[Datum Ausgaben],"&lt;"&amp;EDATE(D$5,1),tblAuftraege[Themenfeld],"EDM")</f>
        <v>0</v>
      </c>
      <c r="E85" s="11" t="n">
        <f aca="false">SUMIFS(tblAuftraege[Ausgaben],tblAuftraege[Datum Ausgaben],"&gt;="&amp;E$5,tblAuftraege[Datum Ausgaben],"&lt;"&amp;EDATE(E$5,1),tblAuftraege[Themenfeld],"EDM")</f>
        <v>0</v>
      </c>
      <c r="F85" s="11" t="n">
        <f aca="false">SUMIFS(tblAuftraege[Ausgaben],tblAuftraege[Datum Ausgaben],"&gt;="&amp;F$5,tblAuftraege[Datum Ausgaben],"&lt;"&amp;EDATE(F$5,1),tblAuftraege[Themenfeld],"EDM")</f>
        <v>0</v>
      </c>
      <c r="G85" s="11" t="n">
        <f aca="false">SUMIFS(tblAuftraege[Ausgaben],tblAuftraege[Datum Ausgaben],"&gt;="&amp;G$5,tblAuftraege[Datum Ausgaben],"&lt;"&amp;EDATE(G$5,1),tblAuftraege[Themenfeld],"EDM")</f>
        <v>0</v>
      </c>
      <c r="H85" s="11" t="n">
        <f aca="false">SUMIFS(tblAuftraege[Ausgaben],tblAuftraege[Datum Ausgaben],"&gt;="&amp;H$5,tblAuftraege[Datum Ausgaben],"&lt;"&amp;EDATE(H$5,1),tblAuftraege[Themenfeld],"EDM")</f>
        <v>0</v>
      </c>
      <c r="I85" s="11" t="n">
        <f aca="false">SUMIFS(tblAuftraege[Ausgaben],tblAuftraege[Datum Ausgaben],"&gt;="&amp;I$5,tblAuftraege[Datum Ausgaben],"&lt;"&amp;EDATE(I$5,1),tblAuftraege[Themenfeld],"EDM")</f>
        <v>0</v>
      </c>
      <c r="J85" s="11" t="n">
        <f aca="false">SUMIFS(tblAuftraege[Ausgaben],tblAuftraege[Datum Ausgaben],"&gt;="&amp;J$5,tblAuftraege[Datum Ausgaben],"&lt;"&amp;EDATE(J$5,1),tblAuftraege[Themenfeld],"EDM")</f>
        <v>0</v>
      </c>
      <c r="K85" s="11" t="n">
        <f aca="false">SUMIFS(tblAuftraege[Ausgaben],tblAuftraege[Datum Ausgaben],"&gt;="&amp;K$5,tblAuftraege[Datum Ausgaben],"&lt;"&amp;EDATE(K$5,1),tblAuftraege[Themenfeld],"EDM")</f>
        <v>0</v>
      </c>
      <c r="L85" s="11" t="n">
        <f aca="false">SUMIFS(tblAuftraege[Ausgaben],tblAuftraege[Datum Ausgaben],"&gt;="&amp;L$5,tblAuftraege[Datum Ausgaben],"&lt;"&amp;EDATE(L$5,1),tblAuftraege[Themenfeld],"EDM")</f>
        <v>0</v>
      </c>
      <c r="M85" s="11" t="n">
        <f aca="false">SUMIFS(tblAuftraege[Ausgaben],tblAuftraege[Datum Ausgaben],"&gt;="&amp;M$5,tblAuftraege[Datum Ausgaben],"&lt;"&amp;EDATE(M$5,1),tblAuftraege[Themenfeld],"EDM")</f>
        <v>0</v>
      </c>
      <c r="N85" s="11" t="n">
        <f aca="false">SUMIFS(tblAuftraege[Ausgaben],tblAuftraege[Datum Ausgaben],"&gt;="&amp;N$5,tblAuftraege[Datum Ausgaben],"&lt;"&amp;EDATE(N$5,1),tblAuftraege[Themenfeld],"EDM")</f>
        <v>0</v>
      </c>
      <c r="O85" s="11" t="n">
        <f aca="false">SUMIFS(tblAuftraege[Ausgaben],tblAuftraege[Datum Ausgaben],"&gt;="&amp;O$5,tblAuftraege[Datum Ausgaben],"&lt;"&amp;EDATE(O$5,1),tblAuftraege[Themenfeld],"EDM")</f>
        <v>0</v>
      </c>
      <c r="P85" s="11" t="n">
        <f aca="false">SUMIFS(tblAuftraege[Ausgaben],tblAuftraege[Datum Ausgaben],"&gt;="&amp;P$5,tblAuftraege[Datum Ausgaben],"&lt;"&amp;EDATE(P$5,1),tblAuftraege[Themenfeld],"EDM")</f>
        <v>0</v>
      </c>
      <c r="Q85" s="11" t="n">
        <f aca="false">SUMIFS(tblAuftraege[Ausgaben],tblAuftraege[Datum Ausgaben],"&gt;="&amp;Q$5,tblAuftraege[Datum Ausgaben],"&lt;"&amp;EDATE(Q$5,1),tblAuftraege[Themenfeld],"EDM")</f>
        <v>0</v>
      </c>
      <c r="R85" s="11" t="n">
        <f aca="false">SUMIFS(tblAuftraege[Ausgaben],tblAuftraege[Datum Ausgaben],"&gt;="&amp;R$5,tblAuftraege[Datum Ausgaben],"&lt;"&amp;EDATE(R$5,1),tblAuftraege[Themenfeld],"EDM")</f>
        <v>0</v>
      </c>
      <c r="S85" s="11" t="n">
        <f aca="false">SUMIFS(tblAuftraege[Ausgaben],tblAuftraege[Datum Ausgaben],"&gt;="&amp;S$5,tblAuftraege[Datum Ausgaben],"&lt;"&amp;EDATE(S$5,1),tblAuftraege[Themenfeld],"EDM")</f>
        <v>0</v>
      </c>
      <c r="T85" s="11" t="n">
        <f aca="false">SUMIFS(tblAuftraege[Ausgaben],tblAuftraege[Datum Ausgaben],"&gt;="&amp;T$5,tblAuftraege[Datum Ausgaben],"&lt;"&amp;EDATE(T$5,1),tblAuftraege[Themenfeld],"EDM")</f>
        <v>0</v>
      </c>
      <c r="U85" s="11" t="n">
        <f aca="false">SUM(C85:H85)</f>
        <v>0</v>
      </c>
      <c r="V85" s="11" t="n">
        <f aca="false">SUM(I85:T85)</f>
        <v>0</v>
      </c>
      <c r="W85" s="11" t="n">
        <f aca="false">SUM(C85:T85)</f>
        <v>0</v>
      </c>
    </row>
    <row r="86" customFormat="false" ht="15" hidden="false" customHeight="false" outlineLevel="0" collapsed="false">
      <c r="A86" s="13" t="s">
        <v>51</v>
      </c>
      <c r="B86" s="14" t="s">
        <v>47</v>
      </c>
      <c r="C86" s="11" t="n">
        <f aca="false">SUMIFS(tblAuftraege[Einnahmen],tblAuftraege[Datum Einnahmen],"&gt;="&amp;C$5,tblAuftraege[Datum Einnahmen],"&lt;"&amp;EDATE(C$5,1),tblAuftraege[Themenfeld],"Parking")</f>
        <v>0</v>
      </c>
      <c r="D86" s="11" t="n">
        <f aca="false">SUMIFS(tblAuftraege[Einnahmen],tblAuftraege[Datum Einnahmen],"&gt;="&amp;D$5,tblAuftraege[Datum Einnahmen],"&lt;"&amp;EDATE(D$5,1),tblAuftraege[Themenfeld],"Parking")</f>
        <v>0</v>
      </c>
      <c r="E86" s="11" t="n">
        <f aca="false">SUMIFS(tblAuftraege[Einnahmen],tblAuftraege[Datum Einnahmen],"&gt;="&amp;E$5,tblAuftraege[Datum Einnahmen],"&lt;"&amp;EDATE(E$5,1),tblAuftraege[Themenfeld],"Parking")</f>
        <v>0</v>
      </c>
      <c r="F86" s="11" t="n">
        <f aca="false">SUMIFS(tblAuftraege[Einnahmen],tblAuftraege[Datum Einnahmen],"&gt;="&amp;F$5,tblAuftraege[Datum Einnahmen],"&lt;"&amp;EDATE(F$5,1),tblAuftraege[Themenfeld],"Parking")</f>
        <v>0</v>
      </c>
      <c r="G86" s="11" t="n">
        <f aca="false">SUMIFS(tblAuftraege[Einnahmen],tblAuftraege[Datum Einnahmen],"&gt;="&amp;G$5,tblAuftraege[Datum Einnahmen],"&lt;"&amp;EDATE(G$5,1),tblAuftraege[Themenfeld],"Parking")</f>
        <v>0</v>
      </c>
      <c r="H86" s="11" t="n">
        <f aca="false">SUMIFS(tblAuftraege[Einnahmen],tblAuftraege[Datum Einnahmen],"&gt;="&amp;H$5,tblAuftraege[Datum Einnahmen],"&lt;"&amp;EDATE(H$5,1),tblAuftraege[Themenfeld],"Parking")</f>
        <v>0</v>
      </c>
      <c r="I86" s="11" t="n">
        <f aca="false">SUMIFS(tblAuftraege[Einnahmen],tblAuftraege[Datum Einnahmen],"&gt;="&amp;I$5,tblAuftraege[Datum Einnahmen],"&lt;"&amp;EDATE(I$5,1),tblAuftraege[Themenfeld],"Parking")</f>
        <v>0</v>
      </c>
      <c r="J86" s="11" t="n">
        <f aca="false">SUMIFS(tblAuftraege[Einnahmen],tblAuftraege[Datum Einnahmen],"&gt;="&amp;J$5,tblAuftraege[Datum Einnahmen],"&lt;"&amp;EDATE(J$5,1),tblAuftraege[Themenfeld],"Parking")</f>
        <v>0</v>
      </c>
      <c r="K86" s="11" t="n">
        <f aca="false">SUMIFS(tblAuftraege[Einnahmen],tblAuftraege[Datum Einnahmen],"&gt;="&amp;K$5,tblAuftraege[Datum Einnahmen],"&lt;"&amp;EDATE(K$5,1),tblAuftraege[Themenfeld],"Parking")</f>
        <v>0</v>
      </c>
      <c r="L86" s="11" t="n">
        <f aca="false">SUMIFS(tblAuftraege[Einnahmen],tblAuftraege[Datum Einnahmen],"&gt;="&amp;L$5,tblAuftraege[Datum Einnahmen],"&lt;"&amp;EDATE(L$5,1),tblAuftraege[Themenfeld],"Parking")</f>
        <v>0</v>
      </c>
      <c r="M86" s="11" t="n">
        <f aca="false">SUMIFS(tblAuftraege[Einnahmen],tblAuftraege[Datum Einnahmen],"&gt;="&amp;M$5,tblAuftraege[Datum Einnahmen],"&lt;"&amp;EDATE(M$5,1),tblAuftraege[Themenfeld],"Parking")</f>
        <v>0</v>
      </c>
      <c r="N86" s="11" t="n">
        <f aca="false">SUMIFS(tblAuftraege[Einnahmen],tblAuftraege[Datum Einnahmen],"&gt;="&amp;N$5,tblAuftraege[Datum Einnahmen],"&lt;"&amp;EDATE(N$5,1),tblAuftraege[Themenfeld],"Parking")</f>
        <v>0</v>
      </c>
      <c r="O86" s="11" t="n">
        <f aca="false">SUMIFS(tblAuftraege[Einnahmen],tblAuftraege[Datum Einnahmen],"&gt;="&amp;O$5,tblAuftraege[Datum Einnahmen],"&lt;"&amp;EDATE(O$5,1),tblAuftraege[Themenfeld],"Parking")</f>
        <v>0</v>
      </c>
      <c r="P86" s="11" t="n">
        <f aca="false">SUMIFS(tblAuftraege[Einnahmen],tblAuftraege[Datum Einnahmen],"&gt;="&amp;P$5,tblAuftraege[Datum Einnahmen],"&lt;"&amp;EDATE(P$5,1),tblAuftraege[Themenfeld],"Parking")</f>
        <v>0</v>
      </c>
      <c r="Q86" s="11" t="n">
        <f aca="false">SUMIFS(tblAuftraege[Einnahmen],tblAuftraege[Datum Einnahmen],"&gt;="&amp;Q$5,tblAuftraege[Datum Einnahmen],"&lt;"&amp;EDATE(Q$5,1),tblAuftraege[Themenfeld],"Parking")</f>
        <v>0</v>
      </c>
      <c r="R86" s="11" t="n">
        <f aca="false">SUMIFS(tblAuftraege[Einnahmen],tblAuftraege[Datum Einnahmen],"&gt;="&amp;R$5,tblAuftraege[Datum Einnahmen],"&lt;"&amp;EDATE(R$5,1),tblAuftraege[Themenfeld],"Parking")</f>
        <v>0</v>
      </c>
      <c r="S86" s="11" t="n">
        <f aca="false">SUMIFS(tblAuftraege[Einnahmen],tblAuftraege[Datum Einnahmen],"&gt;="&amp;S$5,tblAuftraege[Datum Einnahmen],"&lt;"&amp;EDATE(S$5,1),tblAuftraege[Themenfeld],"Parking")</f>
        <v>0</v>
      </c>
      <c r="T86" s="11" t="n">
        <f aca="false">SUMIFS(tblAuftraege[Einnahmen],tblAuftraege[Datum Einnahmen],"&gt;="&amp;T$5,tblAuftraege[Datum Einnahmen],"&lt;"&amp;EDATE(T$5,1),tblAuftraege[Themenfeld],"Parking")</f>
        <v>0</v>
      </c>
      <c r="U86" s="11" t="n">
        <f aca="false">SUM(C86:H86)</f>
        <v>0</v>
      </c>
      <c r="V86" s="11" t="n">
        <f aca="false">SUM(I86:T86)</f>
        <v>0</v>
      </c>
      <c r="W86" s="11" t="n">
        <f aca="false">SUM(C86:T86)</f>
        <v>0</v>
      </c>
    </row>
    <row r="87" customFormat="false" ht="15" hidden="false" customHeight="false" outlineLevel="0" collapsed="false">
      <c r="A87" s="13" t="s">
        <v>52</v>
      </c>
      <c r="B87" s="14" t="s">
        <v>47</v>
      </c>
      <c r="C87" s="11" t="n">
        <f aca="false">SUMIFS(tblAuftraege[Ausgaben],tblAuftraege[Datum Ausgaben],"&gt;="&amp;C$5,tblAuftraege[Datum Ausgaben],"&lt;"&amp;EDATE(C$5,1),tblAuftraege[Themenfeld],"Parking")</f>
        <v>0</v>
      </c>
      <c r="D87" s="11" t="n">
        <f aca="false">SUMIFS(tblAuftraege[Ausgaben],tblAuftraege[Datum Ausgaben],"&gt;="&amp;D$5,tblAuftraege[Datum Ausgaben],"&lt;"&amp;EDATE(D$5,1),tblAuftraege[Themenfeld],"Parking")</f>
        <v>0</v>
      </c>
      <c r="E87" s="11" t="n">
        <f aca="false">SUMIFS(tblAuftraege[Ausgaben],tblAuftraege[Datum Ausgaben],"&gt;="&amp;E$5,tblAuftraege[Datum Ausgaben],"&lt;"&amp;EDATE(E$5,1),tblAuftraege[Themenfeld],"Parking")</f>
        <v>0</v>
      </c>
      <c r="F87" s="11" t="n">
        <f aca="false">SUMIFS(tblAuftraege[Ausgaben],tblAuftraege[Datum Ausgaben],"&gt;="&amp;F$5,tblAuftraege[Datum Ausgaben],"&lt;"&amp;EDATE(F$5,1),tblAuftraege[Themenfeld],"Parking")</f>
        <v>0</v>
      </c>
      <c r="G87" s="11" t="n">
        <f aca="false">SUMIFS(tblAuftraege[Ausgaben],tblAuftraege[Datum Ausgaben],"&gt;="&amp;G$5,tblAuftraege[Datum Ausgaben],"&lt;"&amp;EDATE(G$5,1),tblAuftraege[Themenfeld],"Parking")</f>
        <v>0</v>
      </c>
      <c r="H87" s="11" t="n">
        <f aca="false">SUMIFS(tblAuftraege[Ausgaben],tblAuftraege[Datum Ausgaben],"&gt;="&amp;H$5,tblAuftraege[Datum Ausgaben],"&lt;"&amp;EDATE(H$5,1),tblAuftraege[Themenfeld],"Parking")</f>
        <v>0</v>
      </c>
      <c r="I87" s="11" t="n">
        <f aca="false">SUMIFS(tblAuftraege[Ausgaben],tblAuftraege[Datum Ausgaben],"&gt;="&amp;I$5,tblAuftraege[Datum Ausgaben],"&lt;"&amp;EDATE(I$5,1),tblAuftraege[Themenfeld],"Parking")</f>
        <v>0</v>
      </c>
      <c r="J87" s="11" t="n">
        <f aca="false">SUMIFS(tblAuftraege[Ausgaben],tblAuftraege[Datum Ausgaben],"&gt;="&amp;J$5,tblAuftraege[Datum Ausgaben],"&lt;"&amp;EDATE(J$5,1),tblAuftraege[Themenfeld],"Parking")</f>
        <v>0</v>
      </c>
      <c r="K87" s="11" t="n">
        <f aca="false">SUMIFS(tblAuftraege[Ausgaben],tblAuftraege[Datum Ausgaben],"&gt;="&amp;K$5,tblAuftraege[Datum Ausgaben],"&lt;"&amp;EDATE(K$5,1),tblAuftraege[Themenfeld],"Parking")</f>
        <v>0</v>
      </c>
      <c r="L87" s="11" t="n">
        <f aca="false">SUMIFS(tblAuftraege[Ausgaben],tblAuftraege[Datum Ausgaben],"&gt;="&amp;L$5,tblAuftraege[Datum Ausgaben],"&lt;"&amp;EDATE(L$5,1),tblAuftraege[Themenfeld],"Parking")</f>
        <v>0</v>
      </c>
      <c r="M87" s="11" t="n">
        <f aca="false">SUMIFS(tblAuftraege[Ausgaben],tblAuftraege[Datum Ausgaben],"&gt;="&amp;M$5,tblAuftraege[Datum Ausgaben],"&lt;"&amp;EDATE(M$5,1),tblAuftraege[Themenfeld],"Parking")</f>
        <v>0</v>
      </c>
      <c r="N87" s="11" t="n">
        <f aca="false">SUMIFS(tblAuftraege[Ausgaben],tblAuftraege[Datum Ausgaben],"&gt;="&amp;N$5,tblAuftraege[Datum Ausgaben],"&lt;"&amp;EDATE(N$5,1),tblAuftraege[Themenfeld],"Parking")</f>
        <v>0</v>
      </c>
      <c r="O87" s="11" t="n">
        <f aca="false">SUMIFS(tblAuftraege[Ausgaben],tblAuftraege[Datum Ausgaben],"&gt;="&amp;O$5,tblAuftraege[Datum Ausgaben],"&lt;"&amp;EDATE(O$5,1),tblAuftraege[Themenfeld],"Parking")</f>
        <v>0</v>
      </c>
      <c r="P87" s="11" t="n">
        <f aca="false">SUMIFS(tblAuftraege[Ausgaben],tblAuftraege[Datum Ausgaben],"&gt;="&amp;P$5,tblAuftraege[Datum Ausgaben],"&lt;"&amp;EDATE(P$5,1),tblAuftraege[Themenfeld],"Parking")</f>
        <v>0</v>
      </c>
      <c r="Q87" s="11" t="n">
        <f aca="false">SUMIFS(tblAuftraege[Ausgaben],tblAuftraege[Datum Ausgaben],"&gt;="&amp;Q$5,tblAuftraege[Datum Ausgaben],"&lt;"&amp;EDATE(Q$5,1),tblAuftraege[Themenfeld],"Parking")</f>
        <v>0</v>
      </c>
      <c r="R87" s="11" t="n">
        <f aca="false">SUMIFS(tblAuftraege[Ausgaben],tblAuftraege[Datum Ausgaben],"&gt;="&amp;R$5,tblAuftraege[Datum Ausgaben],"&lt;"&amp;EDATE(R$5,1),tblAuftraege[Themenfeld],"Parking")</f>
        <v>0</v>
      </c>
      <c r="S87" s="11" t="n">
        <f aca="false">SUMIFS(tblAuftraege[Ausgaben],tblAuftraege[Datum Ausgaben],"&gt;="&amp;S$5,tblAuftraege[Datum Ausgaben],"&lt;"&amp;EDATE(S$5,1),tblAuftraege[Themenfeld],"Parking")</f>
        <v>0</v>
      </c>
      <c r="T87" s="11" t="n">
        <f aca="false">SUMIFS(tblAuftraege[Ausgaben],tblAuftraege[Datum Ausgaben],"&gt;="&amp;T$5,tblAuftraege[Datum Ausgaben],"&lt;"&amp;EDATE(T$5,1),tblAuftraege[Themenfeld],"Parking")</f>
        <v>0</v>
      </c>
      <c r="U87" s="11" t="n">
        <f aca="false">SUM(C87:H87)</f>
        <v>0</v>
      </c>
      <c r="V87" s="11" t="n">
        <f aca="false">SUM(I87:T87)</f>
        <v>0</v>
      </c>
      <c r="W87" s="11" t="n">
        <f aca="false">SUM(C87:T87)</f>
        <v>0</v>
      </c>
    </row>
    <row r="88" customFormat="false" ht="15" hidden="false" customHeight="false" outlineLevel="0" collapsed="false">
      <c r="A88" s="13" t="s">
        <v>53</v>
      </c>
      <c r="B88" s="14" t="s">
        <v>47</v>
      </c>
      <c r="C88" s="11" t="n">
        <f aca="false">SUMIFS(tblAuftraege[Einnahmen],tblAuftraege[Datum Einnahmen],"&gt;="&amp;C$5,tblAuftraege[Datum Einnahmen],"&lt;"&amp;EDATE(C$5,1),tblAuftraege[Themenfeld],"LLM")</f>
        <v>0</v>
      </c>
      <c r="D88" s="11" t="n">
        <f aca="false">SUMIFS(tblAuftraege[Einnahmen],tblAuftraege[Datum Einnahmen],"&gt;="&amp;D$5,tblAuftraege[Datum Einnahmen],"&lt;"&amp;EDATE(D$5,1),tblAuftraege[Themenfeld],"LLM")</f>
        <v>0</v>
      </c>
      <c r="E88" s="11" t="n">
        <f aca="false">SUMIFS(tblAuftraege[Einnahmen],tblAuftraege[Datum Einnahmen],"&gt;="&amp;E$5,tblAuftraege[Datum Einnahmen],"&lt;"&amp;EDATE(E$5,1),tblAuftraege[Themenfeld],"LLM")</f>
        <v>0</v>
      </c>
      <c r="F88" s="11" t="n">
        <f aca="false">SUMIFS(tblAuftraege[Einnahmen],tblAuftraege[Datum Einnahmen],"&gt;="&amp;F$5,tblAuftraege[Datum Einnahmen],"&lt;"&amp;EDATE(F$5,1),tblAuftraege[Themenfeld],"LLM")</f>
        <v>0</v>
      </c>
      <c r="G88" s="11" t="n">
        <f aca="false">SUMIFS(tblAuftraege[Einnahmen],tblAuftraege[Datum Einnahmen],"&gt;="&amp;G$5,tblAuftraege[Datum Einnahmen],"&lt;"&amp;EDATE(G$5,1),tblAuftraege[Themenfeld],"LLM")</f>
        <v>0</v>
      </c>
      <c r="H88" s="11" t="n">
        <f aca="false">SUMIFS(tblAuftraege[Einnahmen],tblAuftraege[Datum Einnahmen],"&gt;="&amp;H$5,tblAuftraege[Datum Einnahmen],"&lt;"&amp;EDATE(H$5,1),tblAuftraege[Themenfeld],"LLM")</f>
        <v>0</v>
      </c>
      <c r="I88" s="11" t="n">
        <f aca="false">SUMIFS(tblAuftraege[Einnahmen],tblAuftraege[Datum Einnahmen],"&gt;="&amp;I$5,tblAuftraege[Datum Einnahmen],"&lt;"&amp;EDATE(I$5,1),tblAuftraege[Themenfeld],"LLM")</f>
        <v>0</v>
      </c>
      <c r="J88" s="11" t="n">
        <f aca="false">SUMIFS(tblAuftraege[Einnahmen],tblAuftraege[Datum Einnahmen],"&gt;="&amp;J$5,tblAuftraege[Datum Einnahmen],"&lt;"&amp;EDATE(J$5,1),tblAuftraege[Themenfeld],"LLM")</f>
        <v>0</v>
      </c>
      <c r="K88" s="11" t="n">
        <f aca="false">SUMIFS(tblAuftraege[Einnahmen],tblAuftraege[Datum Einnahmen],"&gt;="&amp;K$5,tblAuftraege[Datum Einnahmen],"&lt;"&amp;EDATE(K$5,1),tblAuftraege[Themenfeld],"LLM")</f>
        <v>0</v>
      </c>
      <c r="L88" s="11" t="n">
        <f aca="false">SUMIFS(tblAuftraege[Einnahmen],tblAuftraege[Datum Einnahmen],"&gt;="&amp;L$5,tblAuftraege[Datum Einnahmen],"&lt;"&amp;EDATE(L$5,1),tblAuftraege[Themenfeld],"LLM")</f>
        <v>0</v>
      </c>
      <c r="M88" s="11" t="n">
        <f aca="false">SUMIFS(tblAuftraege[Einnahmen],tblAuftraege[Datum Einnahmen],"&gt;="&amp;M$5,tblAuftraege[Datum Einnahmen],"&lt;"&amp;EDATE(M$5,1),tblAuftraege[Themenfeld],"LLM")</f>
        <v>0</v>
      </c>
      <c r="N88" s="11" t="n">
        <f aca="false">SUMIFS(tblAuftraege[Einnahmen],tblAuftraege[Datum Einnahmen],"&gt;="&amp;N$5,tblAuftraege[Datum Einnahmen],"&lt;"&amp;EDATE(N$5,1),tblAuftraege[Themenfeld],"LLM")</f>
        <v>0</v>
      </c>
      <c r="O88" s="11" t="n">
        <f aca="false">SUMIFS(tblAuftraege[Einnahmen],tblAuftraege[Datum Einnahmen],"&gt;="&amp;O$5,tblAuftraege[Datum Einnahmen],"&lt;"&amp;EDATE(O$5,1),tblAuftraege[Themenfeld],"LLM")</f>
        <v>0</v>
      </c>
      <c r="P88" s="11" t="n">
        <f aca="false">SUMIFS(tblAuftraege[Einnahmen],tblAuftraege[Datum Einnahmen],"&gt;="&amp;P$5,tblAuftraege[Datum Einnahmen],"&lt;"&amp;EDATE(P$5,1),tblAuftraege[Themenfeld],"LLM")</f>
        <v>0</v>
      </c>
      <c r="Q88" s="11" t="n">
        <f aca="false">SUMIFS(tblAuftraege[Einnahmen],tblAuftraege[Datum Einnahmen],"&gt;="&amp;Q$5,tblAuftraege[Datum Einnahmen],"&lt;"&amp;EDATE(Q$5,1),tblAuftraege[Themenfeld],"LLM")</f>
        <v>0</v>
      </c>
      <c r="R88" s="11" t="n">
        <f aca="false">SUMIFS(tblAuftraege[Einnahmen],tblAuftraege[Datum Einnahmen],"&gt;="&amp;R$5,tblAuftraege[Datum Einnahmen],"&lt;"&amp;EDATE(R$5,1),tblAuftraege[Themenfeld],"LLM")</f>
        <v>0</v>
      </c>
      <c r="S88" s="11" t="n">
        <f aca="false">SUMIFS(tblAuftraege[Einnahmen],tblAuftraege[Datum Einnahmen],"&gt;="&amp;S$5,tblAuftraege[Datum Einnahmen],"&lt;"&amp;EDATE(S$5,1),tblAuftraege[Themenfeld],"LLM")</f>
        <v>0</v>
      </c>
      <c r="T88" s="11" t="n">
        <f aca="false">SUMIFS(tblAuftraege[Einnahmen],tblAuftraege[Datum Einnahmen],"&gt;="&amp;T$5,tblAuftraege[Datum Einnahmen],"&lt;"&amp;EDATE(T$5,1),tblAuftraege[Themenfeld],"LLM")</f>
        <v>0</v>
      </c>
      <c r="U88" s="11" t="n">
        <f aca="false">SUM(C88:H88)</f>
        <v>0</v>
      </c>
      <c r="V88" s="11" t="n">
        <f aca="false">SUM(I88:T88)</f>
        <v>0</v>
      </c>
      <c r="W88" s="11" t="n">
        <f aca="false">SUM(C88:T88)</f>
        <v>0</v>
      </c>
    </row>
    <row r="89" customFormat="false" ht="15" hidden="false" customHeight="false" outlineLevel="0" collapsed="false">
      <c r="A89" s="13" t="s">
        <v>54</v>
      </c>
      <c r="B89" s="14" t="s">
        <v>47</v>
      </c>
      <c r="C89" s="11" t="n">
        <f aca="false">SUMIFS(tblAuftraege[Ausgaben],tblAuftraege[Datum Ausgaben],"&gt;="&amp;C$5,tblAuftraege[Datum Ausgaben],"&lt;"&amp;EDATE(C$5,1),tblAuftraege[Themenfeld],"LLM")</f>
        <v>0</v>
      </c>
      <c r="D89" s="11" t="n">
        <f aca="false">SUMIFS(tblAuftraege[Ausgaben],tblAuftraege[Datum Ausgaben],"&gt;="&amp;D$5,tblAuftraege[Datum Ausgaben],"&lt;"&amp;EDATE(D$5,1),tblAuftraege[Themenfeld],"LLM")</f>
        <v>0</v>
      </c>
      <c r="E89" s="11" t="n">
        <f aca="false">SUMIFS(tblAuftraege[Ausgaben],tblAuftraege[Datum Ausgaben],"&gt;="&amp;E$5,tblAuftraege[Datum Ausgaben],"&lt;"&amp;EDATE(E$5,1),tblAuftraege[Themenfeld],"LLM")</f>
        <v>0</v>
      </c>
      <c r="F89" s="11" t="n">
        <f aca="false">SUMIFS(tblAuftraege[Ausgaben],tblAuftraege[Datum Ausgaben],"&gt;="&amp;F$5,tblAuftraege[Datum Ausgaben],"&lt;"&amp;EDATE(F$5,1),tblAuftraege[Themenfeld],"LLM")</f>
        <v>0</v>
      </c>
      <c r="G89" s="11" t="n">
        <f aca="false">SUMIFS(tblAuftraege[Ausgaben],tblAuftraege[Datum Ausgaben],"&gt;="&amp;G$5,tblAuftraege[Datum Ausgaben],"&lt;"&amp;EDATE(G$5,1),tblAuftraege[Themenfeld],"LLM")</f>
        <v>0</v>
      </c>
      <c r="H89" s="11" t="n">
        <f aca="false">SUMIFS(tblAuftraege[Ausgaben],tblAuftraege[Datum Ausgaben],"&gt;="&amp;H$5,tblAuftraege[Datum Ausgaben],"&lt;"&amp;EDATE(H$5,1),tblAuftraege[Themenfeld],"LLM")</f>
        <v>0</v>
      </c>
      <c r="I89" s="11" t="n">
        <f aca="false">SUMIFS(tblAuftraege[Ausgaben],tblAuftraege[Datum Ausgaben],"&gt;="&amp;I$5,tblAuftraege[Datum Ausgaben],"&lt;"&amp;EDATE(I$5,1),tblAuftraege[Themenfeld],"LLM")</f>
        <v>0</v>
      </c>
      <c r="J89" s="11" t="n">
        <f aca="false">SUMIFS(tblAuftraege[Ausgaben],tblAuftraege[Datum Ausgaben],"&gt;="&amp;J$5,tblAuftraege[Datum Ausgaben],"&lt;"&amp;EDATE(J$5,1),tblAuftraege[Themenfeld],"LLM")</f>
        <v>0</v>
      </c>
      <c r="K89" s="11" t="n">
        <f aca="false">SUMIFS(tblAuftraege[Ausgaben],tblAuftraege[Datum Ausgaben],"&gt;="&amp;K$5,tblAuftraege[Datum Ausgaben],"&lt;"&amp;EDATE(K$5,1),tblAuftraege[Themenfeld],"LLM")</f>
        <v>0</v>
      </c>
      <c r="L89" s="11" t="n">
        <f aca="false">SUMIFS(tblAuftraege[Ausgaben],tblAuftraege[Datum Ausgaben],"&gt;="&amp;L$5,tblAuftraege[Datum Ausgaben],"&lt;"&amp;EDATE(L$5,1),tblAuftraege[Themenfeld],"LLM")</f>
        <v>0</v>
      </c>
      <c r="M89" s="11" t="n">
        <f aca="false">SUMIFS(tblAuftraege[Ausgaben],tblAuftraege[Datum Ausgaben],"&gt;="&amp;M$5,tblAuftraege[Datum Ausgaben],"&lt;"&amp;EDATE(M$5,1),tblAuftraege[Themenfeld],"LLM")</f>
        <v>0</v>
      </c>
      <c r="N89" s="11" t="n">
        <f aca="false">SUMIFS(tblAuftraege[Ausgaben],tblAuftraege[Datum Ausgaben],"&gt;="&amp;N$5,tblAuftraege[Datum Ausgaben],"&lt;"&amp;EDATE(N$5,1),tblAuftraege[Themenfeld],"LLM")</f>
        <v>0</v>
      </c>
      <c r="O89" s="11" t="n">
        <f aca="false">SUMIFS(tblAuftraege[Ausgaben],tblAuftraege[Datum Ausgaben],"&gt;="&amp;O$5,tblAuftraege[Datum Ausgaben],"&lt;"&amp;EDATE(O$5,1),tblAuftraege[Themenfeld],"LLM")</f>
        <v>0</v>
      </c>
      <c r="P89" s="11" t="n">
        <f aca="false">SUMIFS(tblAuftraege[Ausgaben],tblAuftraege[Datum Ausgaben],"&gt;="&amp;P$5,tblAuftraege[Datum Ausgaben],"&lt;"&amp;EDATE(P$5,1),tblAuftraege[Themenfeld],"LLM")</f>
        <v>0</v>
      </c>
      <c r="Q89" s="11" t="n">
        <f aca="false">SUMIFS(tblAuftraege[Ausgaben],tblAuftraege[Datum Ausgaben],"&gt;="&amp;Q$5,tblAuftraege[Datum Ausgaben],"&lt;"&amp;EDATE(Q$5,1),tblAuftraege[Themenfeld],"LLM")</f>
        <v>0</v>
      </c>
      <c r="R89" s="11" t="n">
        <f aca="false">SUMIFS(tblAuftraege[Ausgaben],tblAuftraege[Datum Ausgaben],"&gt;="&amp;R$5,tblAuftraege[Datum Ausgaben],"&lt;"&amp;EDATE(R$5,1),tblAuftraege[Themenfeld],"LLM")</f>
        <v>0</v>
      </c>
      <c r="S89" s="11" t="n">
        <f aca="false">SUMIFS(tblAuftraege[Ausgaben],tblAuftraege[Datum Ausgaben],"&gt;="&amp;S$5,tblAuftraege[Datum Ausgaben],"&lt;"&amp;EDATE(S$5,1),tblAuftraege[Themenfeld],"LLM")</f>
        <v>0</v>
      </c>
      <c r="T89" s="11" t="n">
        <f aca="false">SUMIFS(tblAuftraege[Ausgaben],tblAuftraege[Datum Ausgaben],"&gt;="&amp;T$5,tblAuftraege[Datum Ausgaben],"&lt;"&amp;EDATE(T$5,1),tblAuftraege[Themenfeld],"LLM")</f>
        <v>0</v>
      </c>
      <c r="U89" s="11" t="n">
        <f aca="false">SUM(C89:H89)</f>
        <v>0</v>
      </c>
      <c r="V89" s="11" t="n">
        <f aca="false">SUM(I89:T89)</f>
        <v>0</v>
      </c>
      <c r="W89" s="11" t="n">
        <f aca="false">SUM(C89:T89)</f>
        <v>0</v>
      </c>
    </row>
    <row r="91" customFormat="false" ht="19.5" hidden="false" customHeight="true" outlineLevel="0" collapsed="false">
      <c r="A91" s="7" t="s">
        <v>55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 customFormat="false" ht="15" hidden="false" customHeight="false" outlineLevel="0" collapsed="false">
      <c r="A92" s="13" t="s">
        <v>56</v>
      </c>
      <c r="B92" s="14" t="s">
        <v>47</v>
      </c>
      <c r="C92" s="11" t="n">
        <f aca="false">SUMIFS(tblAuftraege[Einnahmen],tblAuftraege[Datum Einnahmen],"&gt;="&amp;C$5,tblAuftraege[Datum Einnahmen],"&lt;"&amp;EDATE(C$5,1),tblAuftraege[Kategorie],"Hardware")</f>
        <v>0</v>
      </c>
      <c r="D92" s="11" t="n">
        <f aca="false">SUMIFS(tblAuftraege[Einnahmen],tblAuftraege[Datum Einnahmen],"&gt;="&amp;D$5,tblAuftraege[Datum Einnahmen],"&lt;"&amp;EDATE(D$5,1),tblAuftraege[Kategorie],"Hardware")</f>
        <v>0</v>
      </c>
      <c r="E92" s="11" t="n">
        <f aca="false">SUMIFS(tblAuftraege[Einnahmen],tblAuftraege[Datum Einnahmen],"&gt;="&amp;E$5,tblAuftraege[Datum Einnahmen],"&lt;"&amp;EDATE(E$5,1),tblAuftraege[Kategorie],"Hardware")</f>
        <v>0</v>
      </c>
      <c r="F92" s="11" t="n">
        <f aca="false">SUMIFS(tblAuftraege[Einnahmen],tblAuftraege[Datum Einnahmen],"&gt;="&amp;F$5,tblAuftraege[Datum Einnahmen],"&lt;"&amp;EDATE(F$5,1),tblAuftraege[Kategorie],"Hardware")</f>
        <v>0</v>
      </c>
      <c r="G92" s="11" t="n">
        <f aca="false">SUMIFS(tblAuftraege[Einnahmen],tblAuftraege[Datum Einnahmen],"&gt;="&amp;G$5,tblAuftraege[Datum Einnahmen],"&lt;"&amp;EDATE(G$5,1),tblAuftraege[Kategorie],"Hardware")</f>
        <v>0</v>
      </c>
      <c r="H92" s="11" t="n">
        <f aca="false">SUMIFS(tblAuftraege[Einnahmen],tblAuftraege[Datum Einnahmen],"&gt;="&amp;H$5,tblAuftraege[Datum Einnahmen],"&lt;"&amp;EDATE(H$5,1),tblAuftraege[Kategorie],"Hardware")</f>
        <v>0</v>
      </c>
      <c r="I92" s="11" t="n">
        <f aca="false">SUMIFS(tblAuftraege[Einnahmen],tblAuftraege[Datum Einnahmen],"&gt;="&amp;I$5,tblAuftraege[Datum Einnahmen],"&lt;"&amp;EDATE(I$5,1),tblAuftraege[Kategorie],"Hardware")</f>
        <v>0</v>
      </c>
      <c r="J92" s="11" t="n">
        <f aca="false">SUMIFS(tblAuftraege[Einnahmen],tblAuftraege[Datum Einnahmen],"&gt;="&amp;J$5,tblAuftraege[Datum Einnahmen],"&lt;"&amp;EDATE(J$5,1),tblAuftraege[Kategorie],"Hardware")</f>
        <v>0</v>
      </c>
      <c r="K92" s="11" t="n">
        <f aca="false">SUMIFS(tblAuftraege[Einnahmen],tblAuftraege[Datum Einnahmen],"&gt;="&amp;K$5,tblAuftraege[Datum Einnahmen],"&lt;"&amp;EDATE(K$5,1),tblAuftraege[Kategorie],"Hardware")</f>
        <v>0</v>
      </c>
      <c r="L92" s="11" t="n">
        <f aca="false">SUMIFS(tblAuftraege[Einnahmen],tblAuftraege[Datum Einnahmen],"&gt;="&amp;L$5,tblAuftraege[Datum Einnahmen],"&lt;"&amp;EDATE(L$5,1),tblAuftraege[Kategorie],"Hardware")</f>
        <v>0</v>
      </c>
      <c r="M92" s="11" t="n">
        <f aca="false">SUMIFS(tblAuftraege[Einnahmen],tblAuftraege[Datum Einnahmen],"&gt;="&amp;M$5,tblAuftraege[Datum Einnahmen],"&lt;"&amp;EDATE(M$5,1),tblAuftraege[Kategorie],"Hardware")</f>
        <v>0</v>
      </c>
      <c r="N92" s="11" t="n">
        <f aca="false">SUMIFS(tblAuftraege[Einnahmen],tblAuftraege[Datum Einnahmen],"&gt;="&amp;N$5,tblAuftraege[Datum Einnahmen],"&lt;"&amp;EDATE(N$5,1),tblAuftraege[Kategorie],"Hardware")</f>
        <v>0</v>
      </c>
      <c r="O92" s="11" t="n">
        <f aca="false">SUMIFS(tblAuftraege[Einnahmen],tblAuftraege[Datum Einnahmen],"&gt;="&amp;O$5,tblAuftraege[Datum Einnahmen],"&lt;"&amp;EDATE(O$5,1),tblAuftraege[Kategorie],"Hardware")</f>
        <v>0</v>
      </c>
      <c r="P92" s="11" t="n">
        <f aca="false">SUMIFS(tblAuftraege[Einnahmen],tblAuftraege[Datum Einnahmen],"&gt;="&amp;P$5,tblAuftraege[Datum Einnahmen],"&lt;"&amp;EDATE(P$5,1),tblAuftraege[Kategorie],"Hardware")</f>
        <v>0</v>
      </c>
      <c r="Q92" s="11" t="n">
        <f aca="false">SUMIFS(tblAuftraege[Einnahmen],tblAuftraege[Datum Einnahmen],"&gt;="&amp;Q$5,tblAuftraege[Datum Einnahmen],"&lt;"&amp;EDATE(Q$5,1),tblAuftraege[Kategorie],"Hardware")</f>
        <v>0</v>
      </c>
      <c r="R92" s="11" t="n">
        <f aca="false">SUMIFS(tblAuftraege[Einnahmen],tblAuftraege[Datum Einnahmen],"&gt;="&amp;R$5,tblAuftraege[Datum Einnahmen],"&lt;"&amp;EDATE(R$5,1),tblAuftraege[Kategorie],"Hardware")</f>
        <v>0</v>
      </c>
      <c r="S92" s="11" t="n">
        <f aca="false">SUMIFS(tblAuftraege[Einnahmen],tblAuftraege[Datum Einnahmen],"&gt;="&amp;S$5,tblAuftraege[Datum Einnahmen],"&lt;"&amp;EDATE(S$5,1),tblAuftraege[Kategorie],"Hardware")</f>
        <v>0</v>
      </c>
      <c r="T92" s="11" t="n">
        <f aca="false">SUMIFS(tblAuftraege[Einnahmen],tblAuftraege[Datum Einnahmen],"&gt;="&amp;T$5,tblAuftraege[Datum Einnahmen],"&lt;"&amp;EDATE(T$5,1),tblAuftraege[Kategorie],"Hardware")</f>
        <v>0</v>
      </c>
      <c r="U92" s="11" t="n">
        <f aca="false">SUM(C92:H92)</f>
        <v>0</v>
      </c>
      <c r="V92" s="11" t="n">
        <f aca="false">SUM(I92:T92)</f>
        <v>0</v>
      </c>
      <c r="W92" s="11" t="n">
        <f aca="false">SUM(C92:T92)</f>
        <v>0</v>
      </c>
    </row>
    <row r="93" customFormat="false" ht="15" hidden="false" customHeight="false" outlineLevel="0" collapsed="false">
      <c r="A93" s="13" t="s">
        <v>57</v>
      </c>
      <c r="B93" s="14" t="s">
        <v>47</v>
      </c>
      <c r="C93" s="11" t="n">
        <f aca="false">SUMIFS(tblAuftraege[Ausgaben],tblAuftraege[Datum Ausgaben],"&gt;="&amp;C$5,tblAuftraege[Datum Ausgaben],"&lt;"&amp;EDATE(C$5,1),tblAuftraege[Kategorie],"Hardware")</f>
        <v>0</v>
      </c>
      <c r="D93" s="11" t="n">
        <f aca="false">SUMIFS(tblAuftraege[Ausgaben],tblAuftraege[Datum Ausgaben],"&gt;="&amp;D$5,tblAuftraege[Datum Ausgaben],"&lt;"&amp;EDATE(D$5,1),tblAuftraege[Kategorie],"Hardware")</f>
        <v>0</v>
      </c>
      <c r="E93" s="11" t="n">
        <f aca="false">SUMIFS(tblAuftraege[Ausgaben],tblAuftraege[Datum Ausgaben],"&gt;="&amp;E$5,tblAuftraege[Datum Ausgaben],"&lt;"&amp;EDATE(E$5,1),tblAuftraege[Kategorie],"Hardware")</f>
        <v>0</v>
      </c>
      <c r="F93" s="11" t="n">
        <f aca="false">SUMIFS(tblAuftraege[Ausgaben],tblAuftraege[Datum Ausgaben],"&gt;="&amp;F$5,tblAuftraege[Datum Ausgaben],"&lt;"&amp;EDATE(F$5,1),tblAuftraege[Kategorie],"Hardware")</f>
        <v>0</v>
      </c>
      <c r="G93" s="11" t="n">
        <f aca="false">SUMIFS(tblAuftraege[Ausgaben],tblAuftraege[Datum Ausgaben],"&gt;="&amp;G$5,tblAuftraege[Datum Ausgaben],"&lt;"&amp;EDATE(G$5,1),tblAuftraege[Kategorie],"Hardware")</f>
        <v>0</v>
      </c>
      <c r="H93" s="11" t="n">
        <f aca="false">SUMIFS(tblAuftraege[Ausgaben],tblAuftraege[Datum Ausgaben],"&gt;="&amp;H$5,tblAuftraege[Datum Ausgaben],"&lt;"&amp;EDATE(H$5,1),tblAuftraege[Kategorie],"Hardware")</f>
        <v>0</v>
      </c>
      <c r="I93" s="11" t="n">
        <f aca="false">SUMIFS(tblAuftraege[Ausgaben],tblAuftraege[Datum Ausgaben],"&gt;="&amp;I$5,tblAuftraege[Datum Ausgaben],"&lt;"&amp;EDATE(I$5,1),tblAuftraege[Kategorie],"Hardware")</f>
        <v>0</v>
      </c>
      <c r="J93" s="11" t="n">
        <f aca="false">SUMIFS(tblAuftraege[Ausgaben],tblAuftraege[Datum Ausgaben],"&gt;="&amp;J$5,tblAuftraege[Datum Ausgaben],"&lt;"&amp;EDATE(J$5,1),tblAuftraege[Kategorie],"Hardware")</f>
        <v>0</v>
      </c>
      <c r="K93" s="11" t="n">
        <f aca="false">SUMIFS(tblAuftraege[Ausgaben],tblAuftraege[Datum Ausgaben],"&gt;="&amp;K$5,tblAuftraege[Datum Ausgaben],"&lt;"&amp;EDATE(K$5,1),tblAuftraege[Kategorie],"Hardware")</f>
        <v>0</v>
      </c>
      <c r="L93" s="11" t="n">
        <f aca="false">SUMIFS(tblAuftraege[Ausgaben],tblAuftraege[Datum Ausgaben],"&gt;="&amp;L$5,tblAuftraege[Datum Ausgaben],"&lt;"&amp;EDATE(L$5,1),tblAuftraege[Kategorie],"Hardware")</f>
        <v>0</v>
      </c>
      <c r="M93" s="11" t="n">
        <f aca="false">SUMIFS(tblAuftraege[Ausgaben],tblAuftraege[Datum Ausgaben],"&gt;="&amp;M$5,tblAuftraege[Datum Ausgaben],"&lt;"&amp;EDATE(M$5,1),tblAuftraege[Kategorie],"Hardware")</f>
        <v>0</v>
      </c>
      <c r="N93" s="11" t="n">
        <f aca="false">SUMIFS(tblAuftraege[Ausgaben],tblAuftraege[Datum Ausgaben],"&gt;="&amp;N$5,tblAuftraege[Datum Ausgaben],"&lt;"&amp;EDATE(N$5,1),tblAuftraege[Kategorie],"Hardware")</f>
        <v>0</v>
      </c>
      <c r="O93" s="11" t="n">
        <f aca="false">SUMIFS(tblAuftraege[Ausgaben],tblAuftraege[Datum Ausgaben],"&gt;="&amp;O$5,tblAuftraege[Datum Ausgaben],"&lt;"&amp;EDATE(O$5,1),tblAuftraege[Kategorie],"Hardware")</f>
        <v>0</v>
      </c>
      <c r="P93" s="11" t="n">
        <f aca="false">SUMIFS(tblAuftraege[Ausgaben],tblAuftraege[Datum Ausgaben],"&gt;="&amp;P$5,tblAuftraege[Datum Ausgaben],"&lt;"&amp;EDATE(P$5,1),tblAuftraege[Kategorie],"Hardware")</f>
        <v>0</v>
      </c>
      <c r="Q93" s="11" t="n">
        <f aca="false">SUMIFS(tblAuftraege[Ausgaben],tblAuftraege[Datum Ausgaben],"&gt;="&amp;Q$5,tblAuftraege[Datum Ausgaben],"&lt;"&amp;EDATE(Q$5,1),tblAuftraege[Kategorie],"Hardware")</f>
        <v>0</v>
      </c>
      <c r="R93" s="11" t="n">
        <f aca="false">SUMIFS(tblAuftraege[Ausgaben],tblAuftraege[Datum Ausgaben],"&gt;="&amp;R$5,tblAuftraege[Datum Ausgaben],"&lt;"&amp;EDATE(R$5,1),tblAuftraege[Kategorie],"Hardware")</f>
        <v>0</v>
      </c>
      <c r="S93" s="11" t="n">
        <f aca="false">SUMIFS(tblAuftraege[Ausgaben],tblAuftraege[Datum Ausgaben],"&gt;="&amp;S$5,tblAuftraege[Datum Ausgaben],"&lt;"&amp;EDATE(S$5,1),tblAuftraege[Kategorie],"Hardware")</f>
        <v>0</v>
      </c>
      <c r="T93" s="11" t="n">
        <f aca="false">SUMIFS(tblAuftraege[Ausgaben],tblAuftraege[Datum Ausgaben],"&gt;="&amp;T$5,tblAuftraege[Datum Ausgaben],"&lt;"&amp;EDATE(T$5,1),tblAuftraege[Kategorie],"Hardware")</f>
        <v>0</v>
      </c>
      <c r="U93" s="11" t="n">
        <f aca="false">SUM(C93:H93)</f>
        <v>0</v>
      </c>
      <c r="V93" s="11" t="n">
        <f aca="false">SUM(I93:T93)</f>
        <v>0</v>
      </c>
      <c r="W93" s="11" t="n">
        <f aca="false">SUM(C93:T93)</f>
        <v>0</v>
      </c>
    </row>
    <row r="94" customFormat="false" ht="15" hidden="false" customHeight="false" outlineLevel="0" collapsed="false">
      <c r="A94" s="13" t="s">
        <v>58</v>
      </c>
      <c r="B94" s="14" t="s">
        <v>47</v>
      </c>
      <c r="C94" s="11" t="n">
        <f aca="false">SUMIFS(tblAuftraege[Einnahmen],tblAuftraege[Datum Einnahmen],"&gt;="&amp;C$5,tblAuftraege[Datum Einnahmen],"&lt;"&amp;EDATE(C$5,1),tblAuftraege[Kategorie],"Hardware + Dienstleistung")</f>
        <v>0</v>
      </c>
      <c r="D94" s="11" t="n">
        <f aca="false">SUMIFS(tblAuftraege[Einnahmen],tblAuftraege[Datum Einnahmen],"&gt;="&amp;D$5,tblAuftraege[Datum Einnahmen],"&lt;"&amp;EDATE(D$5,1),tblAuftraege[Kategorie],"Hardware + Dienstleistung")</f>
        <v>0</v>
      </c>
      <c r="E94" s="11" t="n">
        <f aca="false">SUMIFS(tblAuftraege[Einnahmen],tblAuftraege[Datum Einnahmen],"&gt;="&amp;E$5,tblAuftraege[Datum Einnahmen],"&lt;"&amp;EDATE(E$5,1),tblAuftraege[Kategorie],"Hardware + Dienstleistung")</f>
        <v>0</v>
      </c>
      <c r="F94" s="11" t="n">
        <f aca="false">SUMIFS(tblAuftraege[Einnahmen],tblAuftraege[Datum Einnahmen],"&gt;="&amp;F$5,tblAuftraege[Datum Einnahmen],"&lt;"&amp;EDATE(F$5,1),tblAuftraege[Kategorie],"Hardware + Dienstleistung")</f>
        <v>0</v>
      </c>
      <c r="G94" s="11" t="n">
        <f aca="false">SUMIFS(tblAuftraege[Einnahmen],tblAuftraege[Datum Einnahmen],"&gt;="&amp;G$5,tblAuftraege[Datum Einnahmen],"&lt;"&amp;EDATE(G$5,1),tblAuftraege[Kategorie],"Hardware + Dienstleistung")</f>
        <v>0</v>
      </c>
      <c r="H94" s="11" t="n">
        <f aca="false">SUMIFS(tblAuftraege[Einnahmen],tblAuftraege[Datum Einnahmen],"&gt;="&amp;H$5,tblAuftraege[Datum Einnahmen],"&lt;"&amp;EDATE(H$5,1),tblAuftraege[Kategorie],"Hardware + Dienstleistung")</f>
        <v>0</v>
      </c>
      <c r="I94" s="11" t="n">
        <f aca="false">SUMIFS(tblAuftraege[Einnahmen],tblAuftraege[Datum Einnahmen],"&gt;="&amp;I$5,tblAuftraege[Datum Einnahmen],"&lt;"&amp;EDATE(I$5,1),tblAuftraege[Kategorie],"Hardware + Dienstleistung")</f>
        <v>0</v>
      </c>
      <c r="J94" s="11" t="n">
        <f aca="false">SUMIFS(tblAuftraege[Einnahmen],tblAuftraege[Datum Einnahmen],"&gt;="&amp;J$5,tblAuftraege[Datum Einnahmen],"&lt;"&amp;EDATE(J$5,1),tblAuftraege[Kategorie],"Hardware + Dienstleistung")</f>
        <v>0</v>
      </c>
      <c r="K94" s="11" t="n">
        <f aca="false">SUMIFS(tblAuftraege[Einnahmen],tblAuftraege[Datum Einnahmen],"&gt;="&amp;K$5,tblAuftraege[Datum Einnahmen],"&lt;"&amp;EDATE(K$5,1),tblAuftraege[Kategorie],"Hardware + Dienstleistung")</f>
        <v>0</v>
      </c>
      <c r="L94" s="11" t="n">
        <f aca="false">SUMIFS(tblAuftraege[Einnahmen],tblAuftraege[Datum Einnahmen],"&gt;="&amp;L$5,tblAuftraege[Datum Einnahmen],"&lt;"&amp;EDATE(L$5,1),tblAuftraege[Kategorie],"Hardware + Dienstleistung")</f>
        <v>0</v>
      </c>
      <c r="M94" s="11" t="n">
        <f aca="false">SUMIFS(tblAuftraege[Einnahmen],tblAuftraege[Datum Einnahmen],"&gt;="&amp;M$5,tblAuftraege[Datum Einnahmen],"&lt;"&amp;EDATE(M$5,1),tblAuftraege[Kategorie],"Hardware + Dienstleistung")</f>
        <v>0</v>
      </c>
      <c r="N94" s="11" t="n">
        <f aca="false">SUMIFS(tblAuftraege[Einnahmen],tblAuftraege[Datum Einnahmen],"&gt;="&amp;N$5,tblAuftraege[Datum Einnahmen],"&lt;"&amp;EDATE(N$5,1),tblAuftraege[Kategorie],"Hardware + Dienstleistung")</f>
        <v>0</v>
      </c>
      <c r="O94" s="11" t="n">
        <f aca="false">SUMIFS(tblAuftraege[Einnahmen],tblAuftraege[Datum Einnahmen],"&gt;="&amp;O$5,tblAuftraege[Datum Einnahmen],"&lt;"&amp;EDATE(O$5,1),tblAuftraege[Kategorie],"Hardware + Dienstleistung")</f>
        <v>0</v>
      </c>
      <c r="P94" s="11" t="n">
        <f aca="false">SUMIFS(tblAuftraege[Einnahmen],tblAuftraege[Datum Einnahmen],"&gt;="&amp;P$5,tblAuftraege[Datum Einnahmen],"&lt;"&amp;EDATE(P$5,1),tblAuftraege[Kategorie],"Hardware + Dienstleistung")</f>
        <v>0</v>
      </c>
      <c r="Q94" s="11" t="n">
        <f aca="false">SUMIFS(tblAuftraege[Einnahmen],tblAuftraege[Datum Einnahmen],"&gt;="&amp;Q$5,tblAuftraege[Datum Einnahmen],"&lt;"&amp;EDATE(Q$5,1),tblAuftraege[Kategorie],"Hardware + Dienstleistung")</f>
        <v>0</v>
      </c>
      <c r="R94" s="11" t="n">
        <f aca="false">SUMIFS(tblAuftraege[Einnahmen],tblAuftraege[Datum Einnahmen],"&gt;="&amp;R$5,tblAuftraege[Datum Einnahmen],"&lt;"&amp;EDATE(R$5,1),tblAuftraege[Kategorie],"Hardware + Dienstleistung")</f>
        <v>0</v>
      </c>
      <c r="S94" s="11" t="n">
        <f aca="false">SUMIFS(tblAuftraege[Einnahmen],tblAuftraege[Datum Einnahmen],"&gt;="&amp;S$5,tblAuftraege[Datum Einnahmen],"&lt;"&amp;EDATE(S$5,1),tblAuftraege[Kategorie],"Hardware + Dienstleistung")</f>
        <v>0</v>
      </c>
      <c r="T94" s="11" t="n">
        <f aca="false">SUMIFS(tblAuftraege[Einnahmen],tblAuftraege[Datum Einnahmen],"&gt;="&amp;T$5,tblAuftraege[Datum Einnahmen],"&lt;"&amp;EDATE(T$5,1),tblAuftraege[Kategorie],"Hardware + Dienstleistung")</f>
        <v>0</v>
      </c>
      <c r="U94" s="11" t="n">
        <f aca="false">SUM(C94:H94)</f>
        <v>0</v>
      </c>
      <c r="V94" s="11" t="n">
        <f aca="false">SUM(I94:T94)</f>
        <v>0</v>
      </c>
      <c r="W94" s="11" t="n">
        <f aca="false">SUM(C94:T94)</f>
        <v>0</v>
      </c>
    </row>
    <row r="95" customFormat="false" ht="15" hidden="false" customHeight="false" outlineLevel="0" collapsed="false">
      <c r="A95" s="13" t="s">
        <v>59</v>
      </c>
      <c r="B95" s="14" t="s">
        <v>47</v>
      </c>
      <c r="C95" s="11" t="n">
        <f aca="false">SUMIFS(tblAuftraege[Ausgaben],tblAuftraege[Datum Ausgaben],"&gt;="&amp;C$5,tblAuftraege[Datum Ausgaben],"&lt;"&amp;EDATE(C$5,1),tblAuftraege[Kategorie],"Hardware + Dienstleistung")</f>
        <v>0</v>
      </c>
      <c r="D95" s="11" t="n">
        <f aca="false">SUMIFS(tblAuftraege[Ausgaben],tblAuftraege[Datum Ausgaben],"&gt;="&amp;D$5,tblAuftraege[Datum Ausgaben],"&lt;"&amp;EDATE(D$5,1),tblAuftraege[Kategorie],"Hardware + Dienstleistung")</f>
        <v>0</v>
      </c>
      <c r="E95" s="11" t="n">
        <f aca="false">SUMIFS(tblAuftraege[Ausgaben],tblAuftraege[Datum Ausgaben],"&gt;="&amp;E$5,tblAuftraege[Datum Ausgaben],"&lt;"&amp;EDATE(E$5,1),tblAuftraege[Kategorie],"Hardware + Dienstleistung")</f>
        <v>0</v>
      </c>
      <c r="F95" s="11" t="n">
        <f aca="false">SUMIFS(tblAuftraege[Ausgaben],tblAuftraege[Datum Ausgaben],"&gt;="&amp;F$5,tblAuftraege[Datum Ausgaben],"&lt;"&amp;EDATE(F$5,1),tblAuftraege[Kategorie],"Hardware + Dienstleistung")</f>
        <v>0</v>
      </c>
      <c r="G95" s="11" t="n">
        <f aca="false">SUMIFS(tblAuftraege[Ausgaben],tblAuftraege[Datum Ausgaben],"&gt;="&amp;G$5,tblAuftraege[Datum Ausgaben],"&lt;"&amp;EDATE(G$5,1),tblAuftraege[Kategorie],"Hardware + Dienstleistung")</f>
        <v>0</v>
      </c>
      <c r="H95" s="11" t="n">
        <f aca="false">SUMIFS(tblAuftraege[Ausgaben],tblAuftraege[Datum Ausgaben],"&gt;="&amp;H$5,tblAuftraege[Datum Ausgaben],"&lt;"&amp;EDATE(H$5,1),tblAuftraege[Kategorie],"Hardware + Dienstleistung")</f>
        <v>0</v>
      </c>
      <c r="I95" s="11" t="n">
        <f aca="false">SUMIFS(tblAuftraege[Ausgaben],tblAuftraege[Datum Ausgaben],"&gt;="&amp;I$5,tblAuftraege[Datum Ausgaben],"&lt;"&amp;EDATE(I$5,1),tblAuftraege[Kategorie],"Hardware + Dienstleistung")</f>
        <v>0</v>
      </c>
      <c r="J95" s="11" t="n">
        <f aca="false">SUMIFS(tblAuftraege[Ausgaben],tblAuftraege[Datum Ausgaben],"&gt;="&amp;J$5,tblAuftraege[Datum Ausgaben],"&lt;"&amp;EDATE(J$5,1),tblAuftraege[Kategorie],"Hardware + Dienstleistung")</f>
        <v>0</v>
      </c>
      <c r="K95" s="11" t="n">
        <f aca="false">SUMIFS(tblAuftraege[Ausgaben],tblAuftraege[Datum Ausgaben],"&gt;="&amp;K$5,tblAuftraege[Datum Ausgaben],"&lt;"&amp;EDATE(K$5,1),tblAuftraege[Kategorie],"Hardware + Dienstleistung")</f>
        <v>0</v>
      </c>
      <c r="L95" s="11" t="n">
        <f aca="false">SUMIFS(tblAuftraege[Ausgaben],tblAuftraege[Datum Ausgaben],"&gt;="&amp;L$5,tblAuftraege[Datum Ausgaben],"&lt;"&amp;EDATE(L$5,1),tblAuftraege[Kategorie],"Hardware + Dienstleistung")</f>
        <v>0</v>
      </c>
      <c r="M95" s="11" t="n">
        <f aca="false">SUMIFS(tblAuftraege[Ausgaben],tblAuftraege[Datum Ausgaben],"&gt;="&amp;M$5,tblAuftraege[Datum Ausgaben],"&lt;"&amp;EDATE(M$5,1),tblAuftraege[Kategorie],"Hardware + Dienstleistung")</f>
        <v>0</v>
      </c>
      <c r="N95" s="11" t="n">
        <f aca="false">SUMIFS(tblAuftraege[Ausgaben],tblAuftraege[Datum Ausgaben],"&gt;="&amp;N$5,tblAuftraege[Datum Ausgaben],"&lt;"&amp;EDATE(N$5,1),tblAuftraege[Kategorie],"Hardware + Dienstleistung")</f>
        <v>0</v>
      </c>
      <c r="O95" s="11" t="n">
        <f aca="false">SUMIFS(tblAuftraege[Ausgaben],tblAuftraege[Datum Ausgaben],"&gt;="&amp;O$5,tblAuftraege[Datum Ausgaben],"&lt;"&amp;EDATE(O$5,1),tblAuftraege[Kategorie],"Hardware + Dienstleistung")</f>
        <v>0</v>
      </c>
      <c r="P95" s="11" t="n">
        <f aca="false">SUMIFS(tblAuftraege[Ausgaben],tblAuftraege[Datum Ausgaben],"&gt;="&amp;P$5,tblAuftraege[Datum Ausgaben],"&lt;"&amp;EDATE(P$5,1),tblAuftraege[Kategorie],"Hardware + Dienstleistung")</f>
        <v>0</v>
      </c>
      <c r="Q95" s="11" t="n">
        <f aca="false">SUMIFS(tblAuftraege[Ausgaben],tblAuftraege[Datum Ausgaben],"&gt;="&amp;Q$5,tblAuftraege[Datum Ausgaben],"&lt;"&amp;EDATE(Q$5,1),tblAuftraege[Kategorie],"Hardware + Dienstleistung")</f>
        <v>0</v>
      </c>
      <c r="R95" s="11" t="n">
        <f aca="false">SUMIFS(tblAuftraege[Ausgaben],tblAuftraege[Datum Ausgaben],"&gt;="&amp;R$5,tblAuftraege[Datum Ausgaben],"&lt;"&amp;EDATE(R$5,1),tblAuftraege[Kategorie],"Hardware + Dienstleistung")</f>
        <v>0</v>
      </c>
      <c r="S95" s="11" t="n">
        <f aca="false">SUMIFS(tblAuftraege[Ausgaben],tblAuftraege[Datum Ausgaben],"&gt;="&amp;S$5,tblAuftraege[Datum Ausgaben],"&lt;"&amp;EDATE(S$5,1),tblAuftraege[Kategorie],"Hardware + Dienstleistung")</f>
        <v>0</v>
      </c>
      <c r="T95" s="11" t="n">
        <f aca="false">SUMIFS(tblAuftraege[Ausgaben],tblAuftraege[Datum Ausgaben],"&gt;="&amp;T$5,tblAuftraege[Datum Ausgaben],"&lt;"&amp;EDATE(T$5,1),tblAuftraege[Kategorie],"Hardware + Dienstleistung")</f>
        <v>0</v>
      </c>
      <c r="U95" s="11" t="n">
        <f aca="false">SUM(C95:H95)</f>
        <v>0</v>
      </c>
      <c r="V95" s="11" t="n">
        <f aca="false">SUM(I95:T95)</f>
        <v>0</v>
      </c>
      <c r="W95" s="11" t="n">
        <f aca="false">SUM(C95:T95)</f>
        <v>0</v>
      </c>
    </row>
    <row r="96" customFormat="false" ht="15" hidden="false" customHeight="false" outlineLevel="0" collapsed="false">
      <c r="A96" s="13" t="s">
        <v>60</v>
      </c>
      <c r="B96" s="14" t="s">
        <v>47</v>
      </c>
      <c r="C96" s="11" t="n">
        <f aca="false">SUMIFS(tblAuftraege[Einnahmen],tblAuftraege[Datum Einnahmen],"&gt;="&amp;C$5,tblAuftraege[Datum Einnahmen],"&lt;"&amp;EDATE(C$5,1),tblAuftraege[Kategorie],"Lizenzen")</f>
        <v>0</v>
      </c>
      <c r="D96" s="11" t="n">
        <f aca="false">SUMIFS(tblAuftraege[Einnahmen],tblAuftraege[Datum Einnahmen],"&gt;="&amp;D$5,tblAuftraege[Datum Einnahmen],"&lt;"&amp;EDATE(D$5,1),tblAuftraege[Kategorie],"Lizenzen")</f>
        <v>0</v>
      </c>
      <c r="E96" s="11" t="n">
        <f aca="false">SUMIFS(tblAuftraege[Einnahmen],tblAuftraege[Datum Einnahmen],"&gt;="&amp;E$5,tblAuftraege[Datum Einnahmen],"&lt;"&amp;EDATE(E$5,1),tblAuftraege[Kategorie],"Lizenzen")</f>
        <v>0</v>
      </c>
      <c r="F96" s="11" t="n">
        <f aca="false">SUMIFS(tblAuftraege[Einnahmen],tblAuftraege[Datum Einnahmen],"&gt;="&amp;F$5,tblAuftraege[Datum Einnahmen],"&lt;"&amp;EDATE(F$5,1),tblAuftraege[Kategorie],"Lizenzen")</f>
        <v>0</v>
      </c>
      <c r="G96" s="11" t="n">
        <f aca="false">SUMIFS(tblAuftraege[Einnahmen],tblAuftraege[Datum Einnahmen],"&gt;="&amp;G$5,tblAuftraege[Datum Einnahmen],"&lt;"&amp;EDATE(G$5,1),tblAuftraege[Kategorie],"Lizenzen")</f>
        <v>0</v>
      </c>
      <c r="H96" s="11" t="n">
        <f aca="false">SUMIFS(tblAuftraege[Einnahmen],tblAuftraege[Datum Einnahmen],"&gt;="&amp;H$5,tblAuftraege[Datum Einnahmen],"&lt;"&amp;EDATE(H$5,1),tblAuftraege[Kategorie],"Lizenzen")</f>
        <v>0</v>
      </c>
      <c r="I96" s="11" t="n">
        <f aca="false">SUMIFS(tblAuftraege[Einnahmen],tblAuftraege[Datum Einnahmen],"&gt;="&amp;I$5,tblAuftraege[Datum Einnahmen],"&lt;"&amp;EDATE(I$5,1),tblAuftraege[Kategorie],"Lizenzen")</f>
        <v>0</v>
      </c>
      <c r="J96" s="11" t="n">
        <f aca="false">SUMIFS(tblAuftraege[Einnahmen],tblAuftraege[Datum Einnahmen],"&gt;="&amp;J$5,tblAuftraege[Datum Einnahmen],"&lt;"&amp;EDATE(J$5,1),tblAuftraege[Kategorie],"Lizenzen")</f>
        <v>0</v>
      </c>
      <c r="K96" s="11" t="n">
        <f aca="false">SUMIFS(tblAuftraege[Einnahmen],tblAuftraege[Datum Einnahmen],"&gt;="&amp;K$5,tblAuftraege[Datum Einnahmen],"&lt;"&amp;EDATE(K$5,1),tblAuftraege[Kategorie],"Lizenzen")</f>
        <v>0</v>
      </c>
      <c r="L96" s="11" t="n">
        <f aca="false">SUMIFS(tblAuftraege[Einnahmen],tblAuftraege[Datum Einnahmen],"&gt;="&amp;L$5,tblAuftraege[Datum Einnahmen],"&lt;"&amp;EDATE(L$5,1),tblAuftraege[Kategorie],"Lizenzen")</f>
        <v>0</v>
      </c>
      <c r="M96" s="11" t="n">
        <f aca="false">SUMIFS(tblAuftraege[Einnahmen],tblAuftraege[Datum Einnahmen],"&gt;="&amp;M$5,tblAuftraege[Datum Einnahmen],"&lt;"&amp;EDATE(M$5,1),tblAuftraege[Kategorie],"Lizenzen")</f>
        <v>0</v>
      </c>
      <c r="N96" s="11" t="n">
        <f aca="false">SUMIFS(tblAuftraege[Einnahmen],tblAuftraege[Datum Einnahmen],"&gt;="&amp;N$5,tblAuftraege[Datum Einnahmen],"&lt;"&amp;EDATE(N$5,1),tblAuftraege[Kategorie],"Lizenzen")</f>
        <v>0</v>
      </c>
      <c r="O96" s="11" t="n">
        <f aca="false">SUMIFS(tblAuftraege[Einnahmen],tblAuftraege[Datum Einnahmen],"&gt;="&amp;O$5,tblAuftraege[Datum Einnahmen],"&lt;"&amp;EDATE(O$5,1),tblAuftraege[Kategorie],"Lizenzen")</f>
        <v>0</v>
      </c>
      <c r="P96" s="11" t="n">
        <f aca="false">SUMIFS(tblAuftraege[Einnahmen],tblAuftraege[Datum Einnahmen],"&gt;="&amp;P$5,tblAuftraege[Datum Einnahmen],"&lt;"&amp;EDATE(P$5,1),tblAuftraege[Kategorie],"Lizenzen")</f>
        <v>0</v>
      </c>
      <c r="Q96" s="11" t="n">
        <f aca="false">SUMIFS(tblAuftraege[Einnahmen],tblAuftraege[Datum Einnahmen],"&gt;="&amp;Q$5,tblAuftraege[Datum Einnahmen],"&lt;"&amp;EDATE(Q$5,1),tblAuftraege[Kategorie],"Lizenzen")</f>
        <v>0</v>
      </c>
      <c r="R96" s="11" t="n">
        <f aca="false">SUMIFS(tblAuftraege[Einnahmen],tblAuftraege[Datum Einnahmen],"&gt;="&amp;R$5,tblAuftraege[Datum Einnahmen],"&lt;"&amp;EDATE(R$5,1),tblAuftraege[Kategorie],"Lizenzen")</f>
        <v>0</v>
      </c>
      <c r="S96" s="11" t="n">
        <f aca="false">SUMIFS(tblAuftraege[Einnahmen],tblAuftraege[Datum Einnahmen],"&gt;="&amp;S$5,tblAuftraege[Datum Einnahmen],"&lt;"&amp;EDATE(S$5,1),tblAuftraege[Kategorie],"Lizenzen")</f>
        <v>0</v>
      </c>
      <c r="T96" s="11" t="n">
        <f aca="false">SUMIFS(tblAuftraege[Einnahmen],tblAuftraege[Datum Einnahmen],"&gt;="&amp;T$5,tblAuftraege[Datum Einnahmen],"&lt;"&amp;EDATE(T$5,1),tblAuftraege[Kategorie],"Lizenzen")</f>
        <v>0</v>
      </c>
      <c r="U96" s="11" t="n">
        <f aca="false">SUM(C96:H96)</f>
        <v>0</v>
      </c>
      <c r="V96" s="11" t="n">
        <f aca="false">SUM(I96:T96)</f>
        <v>0</v>
      </c>
      <c r="W96" s="11" t="n">
        <f aca="false">SUM(C96:T96)</f>
        <v>0</v>
      </c>
    </row>
    <row r="97" customFormat="false" ht="15" hidden="false" customHeight="false" outlineLevel="0" collapsed="false">
      <c r="A97" s="13" t="s">
        <v>61</v>
      </c>
      <c r="B97" s="14" t="s">
        <v>47</v>
      </c>
      <c r="C97" s="11" t="n">
        <f aca="false">SUMIFS(tblAuftraege[Ausgaben],tblAuftraege[Datum Ausgaben],"&gt;="&amp;C$5,tblAuftraege[Datum Ausgaben],"&lt;"&amp;EDATE(C$5,1),tblAuftraege[Kategorie],"Lizenzen")</f>
        <v>0</v>
      </c>
      <c r="D97" s="11" t="n">
        <f aca="false">SUMIFS(tblAuftraege[Ausgaben],tblAuftraege[Datum Ausgaben],"&gt;="&amp;D$5,tblAuftraege[Datum Ausgaben],"&lt;"&amp;EDATE(D$5,1),tblAuftraege[Kategorie],"Lizenzen")</f>
        <v>0</v>
      </c>
      <c r="E97" s="11" t="n">
        <f aca="false">SUMIFS(tblAuftraege[Ausgaben],tblAuftraege[Datum Ausgaben],"&gt;="&amp;E$5,tblAuftraege[Datum Ausgaben],"&lt;"&amp;EDATE(E$5,1),tblAuftraege[Kategorie],"Lizenzen")</f>
        <v>0</v>
      </c>
      <c r="F97" s="11" t="n">
        <f aca="false">SUMIFS(tblAuftraege[Ausgaben],tblAuftraege[Datum Ausgaben],"&gt;="&amp;F$5,tblAuftraege[Datum Ausgaben],"&lt;"&amp;EDATE(F$5,1),tblAuftraege[Kategorie],"Lizenzen")</f>
        <v>0</v>
      </c>
      <c r="G97" s="11" t="n">
        <f aca="false">SUMIFS(tblAuftraege[Ausgaben],tblAuftraege[Datum Ausgaben],"&gt;="&amp;G$5,tblAuftraege[Datum Ausgaben],"&lt;"&amp;EDATE(G$5,1),tblAuftraege[Kategorie],"Lizenzen")</f>
        <v>0</v>
      </c>
      <c r="H97" s="11" t="n">
        <f aca="false">SUMIFS(tblAuftraege[Ausgaben],tblAuftraege[Datum Ausgaben],"&gt;="&amp;H$5,tblAuftraege[Datum Ausgaben],"&lt;"&amp;EDATE(H$5,1),tblAuftraege[Kategorie],"Lizenzen")</f>
        <v>0</v>
      </c>
      <c r="I97" s="11" t="n">
        <f aca="false">SUMIFS(tblAuftraege[Ausgaben],tblAuftraege[Datum Ausgaben],"&gt;="&amp;I$5,tblAuftraege[Datum Ausgaben],"&lt;"&amp;EDATE(I$5,1),tblAuftraege[Kategorie],"Lizenzen")</f>
        <v>0</v>
      </c>
      <c r="J97" s="11" t="n">
        <f aca="false">SUMIFS(tblAuftraege[Ausgaben],tblAuftraege[Datum Ausgaben],"&gt;="&amp;J$5,tblAuftraege[Datum Ausgaben],"&lt;"&amp;EDATE(J$5,1),tblAuftraege[Kategorie],"Lizenzen")</f>
        <v>0</v>
      </c>
      <c r="K97" s="11" t="n">
        <f aca="false">SUMIFS(tblAuftraege[Ausgaben],tblAuftraege[Datum Ausgaben],"&gt;="&amp;K$5,tblAuftraege[Datum Ausgaben],"&lt;"&amp;EDATE(K$5,1),tblAuftraege[Kategorie],"Lizenzen")</f>
        <v>0</v>
      </c>
      <c r="L97" s="11" t="n">
        <f aca="false">SUMIFS(tblAuftraege[Ausgaben],tblAuftraege[Datum Ausgaben],"&gt;="&amp;L$5,tblAuftraege[Datum Ausgaben],"&lt;"&amp;EDATE(L$5,1),tblAuftraege[Kategorie],"Lizenzen")</f>
        <v>0</v>
      </c>
      <c r="M97" s="11" t="n">
        <f aca="false">SUMIFS(tblAuftraege[Ausgaben],tblAuftraege[Datum Ausgaben],"&gt;="&amp;M$5,tblAuftraege[Datum Ausgaben],"&lt;"&amp;EDATE(M$5,1),tblAuftraege[Kategorie],"Lizenzen")</f>
        <v>0</v>
      </c>
      <c r="N97" s="11" t="n">
        <f aca="false">SUMIFS(tblAuftraege[Ausgaben],tblAuftraege[Datum Ausgaben],"&gt;="&amp;N$5,tblAuftraege[Datum Ausgaben],"&lt;"&amp;EDATE(N$5,1),tblAuftraege[Kategorie],"Lizenzen")</f>
        <v>0</v>
      </c>
      <c r="O97" s="11" t="n">
        <f aca="false">SUMIFS(tblAuftraege[Ausgaben],tblAuftraege[Datum Ausgaben],"&gt;="&amp;O$5,tblAuftraege[Datum Ausgaben],"&lt;"&amp;EDATE(O$5,1),tblAuftraege[Kategorie],"Lizenzen")</f>
        <v>0</v>
      </c>
      <c r="P97" s="11" t="n">
        <f aca="false">SUMIFS(tblAuftraege[Ausgaben],tblAuftraege[Datum Ausgaben],"&gt;="&amp;P$5,tblAuftraege[Datum Ausgaben],"&lt;"&amp;EDATE(P$5,1),tblAuftraege[Kategorie],"Lizenzen")</f>
        <v>0</v>
      </c>
      <c r="Q97" s="11" t="n">
        <f aca="false">SUMIFS(tblAuftraege[Ausgaben],tblAuftraege[Datum Ausgaben],"&gt;="&amp;Q$5,tblAuftraege[Datum Ausgaben],"&lt;"&amp;EDATE(Q$5,1),tblAuftraege[Kategorie],"Lizenzen")</f>
        <v>0</v>
      </c>
      <c r="R97" s="11" t="n">
        <f aca="false">SUMIFS(tblAuftraege[Ausgaben],tblAuftraege[Datum Ausgaben],"&gt;="&amp;R$5,tblAuftraege[Datum Ausgaben],"&lt;"&amp;EDATE(R$5,1),tblAuftraege[Kategorie],"Lizenzen")</f>
        <v>0</v>
      </c>
      <c r="S97" s="11" t="n">
        <f aca="false">SUMIFS(tblAuftraege[Ausgaben],tblAuftraege[Datum Ausgaben],"&gt;="&amp;S$5,tblAuftraege[Datum Ausgaben],"&lt;"&amp;EDATE(S$5,1),tblAuftraege[Kategorie],"Lizenzen")</f>
        <v>0</v>
      </c>
      <c r="T97" s="11" t="n">
        <f aca="false">SUMIFS(tblAuftraege[Ausgaben],tblAuftraege[Datum Ausgaben],"&gt;="&amp;T$5,tblAuftraege[Datum Ausgaben],"&lt;"&amp;EDATE(T$5,1),tblAuftraege[Kategorie],"Lizenzen")</f>
        <v>0</v>
      </c>
      <c r="U97" s="11" t="n">
        <f aca="false">SUM(C97:H97)</f>
        <v>0</v>
      </c>
      <c r="V97" s="11" t="n">
        <f aca="false">SUM(I97:T97)</f>
        <v>0</v>
      </c>
      <c r="W97" s="11" t="n">
        <f aca="false">SUM(C97:T97)</f>
        <v>0</v>
      </c>
    </row>
    <row r="98" customFormat="false" ht="15" hidden="false" customHeight="false" outlineLevel="0" collapsed="false">
      <c r="A98" s="13" t="s">
        <v>62</v>
      </c>
      <c r="B98" s="14" t="s">
        <v>47</v>
      </c>
      <c r="C98" s="11" t="n">
        <f aca="false">SUMIFS(tblAuftraege[Einnahmen],tblAuftraege[Datum Einnahmen],"&gt;="&amp;C$5,tblAuftraege[Datum Einnahmen],"&lt;"&amp;EDATE(C$5,1),tblAuftraege[Kategorie],"Dienstleistung")</f>
        <v>0</v>
      </c>
      <c r="D98" s="11" t="n">
        <f aca="false">SUMIFS(tblAuftraege[Einnahmen],tblAuftraege[Datum Einnahmen],"&gt;="&amp;D$5,tblAuftraege[Datum Einnahmen],"&lt;"&amp;EDATE(D$5,1),tblAuftraege[Kategorie],"Dienstleistung")</f>
        <v>0</v>
      </c>
      <c r="E98" s="11" t="n">
        <f aca="false">SUMIFS(tblAuftraege[Einnahmen],tblAuftraege[Datum Einnahmen],"&gt;="&amp;E$5,tblAuftraege[Datum Einnahmen],"&lt;"&amp;EDATE(E$5,1),tblAuftraege[Kategorie],"Dienstleistung")</f>
        <v>0</v>
      </c>
      <c r="F98" s="11" t="n">
        <f aca="false">SUMIFS(tblAuftraege[Einnahmen],tblAuftraege[Datum Einnahmen],"&gt;="&amp;F$5,tblAuftraege[Datum Einnahmen],"&lt;"&amp;EDATE(F$5,1),tblAuftraege[Kategorie],"Dienstleistung")</f>
        <v>0</v>
      </c>
      <c r="G98" s="11" t="n">
        <f aca="false">SUMIFS(tblAuftraege[Einnahmen],tblAuftraege[Datum Einnahmen],"&gt;="&amp;G$5,tblAuftraege[Datum Einnahmen],"&lt;"&amp;EDATE(G$5,1),tblAuftraege[Kategorie],"Dienstleistung")</f>
        <v>0</v>
      </c>
      <c r="H98" s="11" t="n">
        <f aca="false">SUMIFS(tblAuftraege[Einnahmen],tblAuftraege[Datum Einnahmen],"&gt;="&amp;H$5,tblAuftraege[Datum Einnahmen],"&lt;"&amp;EDATE(H$5,1),tblAuftraege[Kategorie],"Dienstleistung")</f>
        <v>0</v>
      </c>
      <c r="I98" s="11" t="n">
        <f aca="false">SUMIFS(tblAuftraege[Einnahmen],tblAuftraege[Datum Einnahmen],"&gt;="&amp;I$5,tblAuftraege[Datum Einnahmen],"&lt;"&amp;EDATE(I$5,1),tblAuftraege[Kategorie],"Dienstleistung")</f>
        <v>0</v>
      </c>
      <c r="J98" s="11" t="n">
        <f aca="false">SUMIFS(tblAuftraege[Einnahmen],tblAuftraege[Datum Einnahmen],"&gt;="&amp;J$5,tblAuftraege[Datum Einnahmen],"&lt;"&amp;EDATE(J$5,1),tblAuftraege[Kategorie],"Dienstleistung")</f>
        <v>0</v>
      </c>
      <c r="K98" s="11" t="n">
        <f aca="false">SUMIFS(tblAuftraege[Einnahmen],tblAuftraege[Datum Einnahmen],"&gt;="&amp;K$5,tblAuftraege[Datum Einnahmen],"&lt;"&amp;EDATE(K$5,1),tblAuftraege[Kategorie],"Dienstleistung")</f>
        <v>0</v>
      </c>
      <c r="L98" s="11" t="n">
        <f aca="false">SUMIFS(tblAuftraege[Einnahmen],tblAuftraege[Datum Einnahmen],"&gt;="&amp;L$5,tblAuftraege[Datum Einnahmen],"&lt;"&amp;EDATE(L$5,1),tblAuftraege[Kategorie],"Dienstleistung")</f>
        <v>0</v>
      </c>
      <c r="M98" s="11" t="n">
        <f aca="false">SUMIFS(tblAuftraege[Einnahmen],tblAuftraege[Datum Einnahmen],"&gt;="&amp;M$5,tblAuftraege[Datum Einnahmen],"&lt;"&amp;EDATE(M$5,1),tblAuftraege[Kategorie],"Dienstleistung")</f>
        <v>0</v>
      </c>
      <c r="N98" s="11" t="n">
        <f aca="false">SUMIFS(tblAuftraege[Einnahmen],tblAuftraege[Datum Einnahmen],"&gt;="&amp;N$5,tblAuftraege[Datum Einnahmen],"&lt;"&amp;EDATE(N$5,1),tblAuftraege[Kategorie],"Dienstleistung")</f>
        <v>0</v>
      </c>
      <c r="O98" s="11" t="n">
        <f aca="false">SUMIFS(tblAuftraege[Einnahmen],tblAuftraege[Datum Einnahmen],"&gt;="&amp;O$5,tblAuftraege[Datum Einnahmen],"&lt;"&amp;EDATE(O$5,1),tblAuftraege[Kategorie],"Dienstleistung")</f>
        <v>0</v>
      </c>
      <c r="P98" s="11" t="n">
        <f aca="false">SUMIFS(tblAuftraege[Einnahmen],tblAuftraege[Datum Einnahmen],"&gt;="&amp;P$5,tblAuftraege[Datum Einnahmen],"&lt;"&amp;EDATE(P$5,1),tblAuftraege[Kategorie],"Dienstleistung")</f>
        <v>0</v>
      </c>
      <c r="Q98" s="11" t="n">
        <f aca="false">SUMIFS(tblAuftraege[Einnahmen],tblAuftraege[Datum Einnahmen],"&gt;="&amp;Q$5,tblAuftraege[Datum Einnahmen],"&lt;"&amp;EDATE(Q$5,1),tblAuftraege[Kategorie],"Dienstleistung")</f>
        <v>0</v>
      </c>
      <c r="R98" s="11" t="n">
        <f aca="false">SUMIFS(tblAuftraege[Einnahmen],tblAuftraege[Datum Einnahmen],"&gt;="&amp;R$5,tblAuftraege[Datum Einnahmen],"&lt;"&amp;EDATE(R$5,1),tblAuftraege[Kategorie],"Dienstleistung")</f>
        <v>0</v>
      </c>
      <c r="S98" s="11" t="n">
        <f aca="false">SUMIFS(tblAuftraege[Einnahmen],tblAuftraege[Datum Einnahmen],"&gt;="&amp;S$5,tblAuftraege[Datum Einnahmen],"&lt;"&amp;EDATE(S$5,1),tblAuftraege[Kategorie],"Dienstleistung")</f>
        <v>0</v>
      </c>
      <c r="T98" s="11" t="n">
        <f aca="false">SUMIFS(tblAuftraege[Einnahmen],tblAuftraege[Datum Einnahmen],"&gt;="&amp;T$5,tblAuftraege[Datum Einnahmen],"&lt;"&amp;EDATE(T$5,1),tblAuftraege[Kategorie],"Dienstleistung")</f>
        <v>0</v>
      </c>
      <c r="U98" s="11" t="n">
        <f aca="false">SUM(C98:H98)</f>
        <v>0</v>
      </c>
      <c r="V98" s="11" t="n">
        <f aca="false">SUM(I98:T98)</f>
        <v>0</v>
      </c>
      <c r="W98" s="11" t="n">
        <f aca="false">SUM(C98:T98)</f>
        <v>0</v>
      </c>
    </row>
    <row r="99" customFormat="false" ht="15" hidden="false" customHeight="false" outlineLevel="0" collapsed="false">
      <c r="A99" s="13" t="s">
        <v>63</v>
      </c>
      <c r="B99" s="14" t="s">
        <v>47</v>
      </c>
      <c r="C99" s="11" t="n">
        <f aca="false">SUMIFS(tblAuftraege[Ausgaben],tblAuftraege[Datum Ausgaben],"&gt;="&amp;C$5,tblAuftraege[Datum Ausgaben],"&lt;"&amp;EDATE(C$5,1),tblAuftraege[Kategorie],"Dienstleistung")</f>
        <v>0</v>
      </c>
      <c r="D99" s="11" t="n">
        <f aca="false">SUMIFS(tblAuftraege[Ausgaben],tblAuftraege[Datum Ausgaben],"&gt;="&amp;D$5,tblAuftraege[Datum Ausgaben],"&lt;"&amp;EDATE(D$5,1),tblAuftraege[Kategorie],"Dienstleistung")</f>
        <v>0</v>
      </c>
      <c r="E99" s="11" t="n">
        <f aca="false">SUMIFS(tblAuftraege[Ausgaben],tblAuftraege[Datum Ausgaben],"&gt;="&amp;E$5,tblAuftraege[Datum Ausgaben],"&lt;"&amp;EDATE(E$5,1),tblAuftraege[Kategorie],"Dienstleistung")</f>
        <v>0</v>
      </c>
      <c r="F99" s="11" t="n">
        <f aca="false">SUMIFS(tblAuftraege[Ausgaben],tblAuftraege[Datum Ausgaben],"&gt;="&amp;F$5,tblAuftraege[Datum Ausgaben],"&lt;"&amp;EDATE(F$5,1),tblAuftraege[Kategorie],"Dienstleistung")</f>
        <v>0</v>
      </c>
      <c r="G99" s="11" t="n">
        <f aca="false">SUMIFS(tblAuftraege[Ausgaben],tblAuftraege[Datum Ausgaben],"&gt;="&amp;G$5,tblAuftraege[Datum Ausgaben],"&lt;"&amp;EDATE(G$5,1),tblAuftraege[Kategorie],"Dienstleistung")</f>
        <v>0</v>
      </c>
      <c r="H99" s="11" t="n">
        <f aca="false">SUMIFS(tblAuftraege[Ausgaben],tblAuftraege[Datum Ausgaben],"&gt;="&amp;H$5,tblAuftraege[Datum Ausgaben],"&lt;"&amp;EDATE(H$5,1),tblAuftraege[Kategorie],"Dienstleistung")</f>
        <v>0</v>
      </c>
      <c r="I99" s="11" t="n">
        <f aca="false">SUMIFS(tblAuftraege[Ausgaben],tblAuftraege[Datum Ausgaben],"&gt;="&amp;I$5,tblAuftraege[Datum Ausgaben],"&lt;"&amp;EDATE(I$5,1),tblAuftraege[Kategorie],"Dienstleistung")</f>
        <v>0</v>
      </c>
      <c r="J99" s="11" t="n">
        <f aca="false">SUMIFS(tblAuftraege[Ausgaben],tblAuftraege[Datum Ausgaben],"&gt;="&amp;J$5,tblAuftraege[Datum Ausgaben],"&lt;"&amp;EDATE(J$5,1),tblAuftraege[Kategorie],"Dienstleistung")</f>
        <v>0</v>
      </c>
      <c r="K99" s="11" t="n">
        <f aca="false">SUMIFS(tblAuftraege[Ausgaben],tblAuftraege[Datum Ausgaben],"&gt;="&amp;K$5,tblAuftraege[Datum Ausgaben],"&lt;"&amp;EDATE(K$5,1),tblAuftraege[Kategorie],"Dienstleistung")</f>
        <v>0</v>
      </c>
      <c r="L99" s="11" t="n">
        <f aca="false">SUMIFS(tblAuftraege[Ausgaben],tblAuftraege[Datum Ausgaben],"&gt;="&amp;L$5,tblAuftraege[Datum Ausgaben],"&lt;"&amp;EDATE(L$5,1),tblAuftraege[Kategorie],"Dienstleistung")</f>
        <v>0</v>
      </c>
      <c r="M99" s="11" t="n">
        <f aca="false">SUMIFS(tblAuftraege[Ausgaben],tblAuftraege[Datum Ausgaben],"&gt;="&amp;M$5,tblAuftraege[Datum Ausgaben],"&lt;"&amp;EDATE(M$5,1),tblAuftraege[Kategorie],"Dienstleistung")</f>
        <v>0</v>
      </c>
      <c r="N99" s="11" t="n">
        <f aca="false">SUMIFS(tblAuftraege[Ausgaben],tblAuftraege[Datum Ausgaben],"&gt;="&amp;N$5,tblAuftraege[Datum Ausgaben],"&lt;"&amp;EDATE(N$5,1),tblAuftraege[Kategorie],"Dienstleistung")</f>
        <v>0</v>
      </c>
      <c r="O99" s="11" t="n">
        <f aca="false">SUMIFS(tblAuftraege[Ausgaben],tblAuftraege[Datum Ausgaben],"&gt;="&amp;O$5,tblAuftraege[Datum Ausgaben],"&lt;"&amp;EDATE(O$5,1),tblAuftraege[Kategorie],"Dienstleistung")</f>
        <v>0</v>
      </c>
      <c r="P99" s="11" t="n">
        <f aca="false">SUMIFS(tblAuftraege[Ausgaben],tblAuftraege[Datum Ausgaben],"&gt;="&amp;P$5,tblAuftraege[Datum Ausgaben],"&lt;"&amp;EDATE(P$5,1),tblAuftraege[Kategorie],"Dienstleistung")</f>
        <v>0</v>
      </c>
      <c r="Q99" s="11" t="n">
        <f aca="false">SUMIFS(tblAuftraege[Ausgaben],tblAuftraege[Datum Ausgaben],"&gt;="&amp;Q$5,tblAuftraege[Datum Ausgaben],"&lt;"&amp;EDATE(Q$5,1),tblAuftraege[Kategorie],"Dienstleistung")</f>
        <v>0</v>
      </c>
      <c r="R99" s="11" t="n">
        <f aca="false">SUMIFS(tblAuftraege[Ausgaben],tblAuftraege[Datum Ausgaben],"&gt;="&amp;R$5,tblAuftraege[Datum Ausgaben],"&lt;"&amp;EDATE(R$5,1),tblAuftraege[Kategorie],"Dienstleistung")</f>
        <v>0</v>
      </c>
      <c r="S99" s="11" t="n">
        <f aca="false">SUMIFS(tblAuftraege[Ausgaben],tblAuftraege[Datum Ausgaben],"&gt;="&amp;S$5,tblAuftraege[Datum Ausgaben],"&lt;"&amp;EDATE(S$5,1),tblAuftraege[Kategorie],"Dienstleistung")</f>
        <v>0</v>
      </c>
      <c r="T99" s="11" t="n">
        <f aca="false">SUMIFS(tblAuftraege[Ausgaben],tblAuftraege[Datum Ausgaben],"&gt;="&amp;T$5,tblAuftraege[Datum Ausgaben],"&lt;"&amp;EDATE(T$5,1),tblAuftraege[Kategorie],"Dienstleistung")</f>
        <v>0</v>
      </c>
      <c r="U99" s="11" t="n">
        <f aca="false">SUM(C99:H99)</f>
        <v>0</v>
      </c>
      <c r="V99" s="11" t="n">
        <f aca="false">SUM(I99:T99)</f>
        <v>0</v>
      </c>
      <c r="W99" s="11" t="n">
        <f aca="false">SUM(C99:T99)</f>
        <v>0</v>
      </c>
    </row>
    <row r="102" customFormat="false" ht="15" hidden="false" customHeight="false" outlineLevel="0" collapsed="false">
      <c r="A102" s="21" t="s">
        <v>64</v>
      </c>
    </row>
    <row r="103" customFormat="false" ht="15" hidden="false" customHeight="false" outlineLevel="0" collapsed="false">
      <c r="A103" s="22"/>
      <c r="B103" s="23" t="s">
        <v>65</v>
      </c>
    </row>
    <row r="104" customFormat="false" ht="15" hidden="false" customHeight="false" outlineLevel="0" collapsed="false">
      <c r="A104" s="24"/>
      <c r="B104" s="23" t="s">
        <v>66</v>
      </c>
    </row>
    <row r="105" customFormat="false" ht="15" hidden="false" customHeight="false" outlineLevel="0" collapsed="false">
      <c r="A105" s="25"/>
      <c r="B105" s="23" t="s">
        <v>67</v>
      </c>
    </row>
    <row r="106" customFormat="false" ht="15" hidden="false" customHeight="false" outlineLevel="0" collapsed="false">
      <c r="A106" s="3" t="s">
        <v>68</v>
      </c>
    </row>
    <row r="107" customFormat="false" ht="15" hidden="false" customHeight="false" outlineLevel="0" collapsed="false">
      <c r="A107" s="3" t="s">
        <v>69</v>
      </c>
    </row>
    <row r="108" customFormat="false" ht="15" hidden="false" customHeight="false" outlineLevel="0" collapsed="false">
      <c r="A108" s="3" t="s">
        <v>70</v>
      </c>
    </row>
    <row r="109" customFormat="false" ht="15" hidden="false" customHeight="false" outlineLevel="0" collapsed="false">
      <c r="A109" s="3" t="s">
        <v>71</v>
      </c>
    </row>
  </sheetData>
  <conditionalFormatting sqref="C8:W99">
    <cfRule type="cellIs" priority="2" operator="lessThan" aboveAverage="0" equalAverage="0" bottom="0" percent="0" rank="0" text="" dxfId="0">
      <formula>0</formula>
    </cfRule>
  </conditionalFormatting>
  <conditionalFormatting sqref="C78:W79">
    <cfRule type="cellIs" priority="3" operator="greaterThan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Cashflow  |  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5" style="0" width="17"/>
    <col collapsed="false" customWidth="true" hidden="false" outlineLevel="0" max="8" min="7" style="0" width="16"/>
    <col collapsed="false" customWidth="true" hidden="false" outlineLevel="0" max="9" min="9" style="0" width="22"/>
  </cols>
  <sheetData>
    <row r="1" customFormat="false" ht="19.7" hidden="false" customHeight="false" outlineLevel="0" collapsed="false">
      <c r="A1" s="26" t="s">
        <v>72</v>
      </c>
    </row>
    <row r="2" customFormat="false" ht="15" hidden="false" customHeight="false" outlineLevel="0" collapsed="false">
      <c r="A2" s="27" t="s">
        <v>73</v>
      </c>
    </row>
    <row r="3" customFormat="false" ht="15" hidden="false" customHeight="false" outlineLevel="0" collapsed="false">
      <c r="A3" s="3" t="s">
        <v>74</v>
      </c>
    </row>
    <row r="4" customFormat="false" ht="15" hidden="false" customHeight="false" outlineLevel="0" collapsed="false">
      <c r="A4" s="3" t="s">
        <v>75</v>
      </c>
    </row>
    <row r="6" customFormat="false" ht="30" hidden="false" customHeight="true" outlineLevel="0" collapsed="false">
      <c r="A6" s="6" t="s">
        <v>76</v>
      </c>
      <c r="B6" s="6" t="s">
        <v>77</v>
      </c>
      <c r="C6" s="6" t="s">
        <v>78</v>
      </c>
      <c r="D6" s="6" t="s">
        <v>5</v>
      </c>
      <c r="E6" s="6" t="s">
        <v>79</v>
      </c>
      <c r="F6" s="6" t="s">
        <v>80</v>
      </c>
      <c r="G6" s="6" t="s">
        <v>81</v>
      </c>
      <c r="H6" s="6" t="s">
        <v>82</v>
      </c>
      <c r="I6" s="6" t="s">
        <v>83</v>
      </c>
    </row>
    <row r="7" customFormat="false" ht="15" hidden="false" customHeight="false" outlineLevel="0" collapsed="false">
      <c r="A7" s="28"/>
      <c r="B7" s="28"/>
      <c r="C7" s="28"/>
      <c r="D7" s="28"/>
      <c r="E7" s="29"/>
      <c r="F7" s="29"/>
      <c r="G7" s="30"/>
      <c r="H7" s="30"/>
      <c r="I7" s="31"/>
    </row>
    <row r="8" customFormat="false" ht="15" hidden="false" customHeight="false" outlineLevel="0" collapsed="false">
      <c r="A8" s="28"/>
      <c r="B8" s="28"/>
      <c r="C8" s="28"/>
      <c r="D8" s="28"/>
      <c r="E8" s="29"/>
      <c r="F8" s="29"/>
      <c r="G8" s="30"/>
      <c r="H8" s="30"/>
      <c r="I8" s="31"/>
    </row>
    <row r="9" customFormat="false" ht="15" hidden="false" customHeight="false" outlineLevel="0" collapsed="false">
      <c r="A9" s="28"/>
      <c r="B9" s="28"/>
      <c r="C9" s="28"/>
      <c r="D9" s="28"/>
      <c r="E9" s="29"/>
      <c r="F9" s="29"/>
      <c r="G9" s="30"/>
      <c r="H9" s="30"/>
      <c r="I9" s="31"/>
    </row>
    <row r="10" customFormat="false" ht="15" hidden="false" customHeight="false" outlineLevel="0" collapsed="false">
      <c r="A10" s="28"/>
      <c r="B10" s="28"/>
      <c r="C10" s="28"/>
      <c r="D10" s="28"/>
      <c r="E10" s="29"/>
      <c r="F10" s="29"/>
      <c r="G10" s="30"/>
      <c r="H10" s="30"/>
      <c r="I10" s="31"/>
    </row>
    <row r="11" customFormat="false" ht="15" hidden="false" customHeight="false" outlineLevel="0" collapsed="false">
      <c r="A11" s="28"/>
      <c r="B11" s="28"/>
      <c r="C11" s="28"/>
      <c r="D11" s="28"/>
      <c r="E11" s="29"/>
      <c r="F11" s="29"/>
      <c r="G11" s="30"/>
      <c r="H11" s="30"/>
      <c r="I11" s="31"/>
    </row>
    <row r="12" customFormat="false" ht="15" hidden="false" customHeight="false" outlineLevel="0" collapsed="false">
      <c r="A12" s="28"/>
      <c r="B12" s="28"/>
      <c r="C12" s="28"/>
      <c r="D12" s="28"/>
      <c r="E12" s="29"/>
      <c r="F12" s="29"/>
      <c r="G12" s="30"/>
      <c r="H12" s="30"/>
      <c r="I12" s="31"/>
    </row>
    <row r="13" customFormat="false" ht="15" hidden="false" customHeight="false" outlineLevel="0" collapsed="false">
      <c r="A13" s="28"/>
      <c r="B13" s="28"/>
      <c r="C13" s="28"/>
      <c r="D13" s="28"/>
      <c r="E13" s="29"/>
      <c r="F13" s="29"/>
      <c r="G13" s="30"/>
      <c r="H13" s="30"/>
      <c r="I13" s="31"/>
    </row>
    <row r="14" customFormat="false" ht="15" hidden="false" customHeight="false" outlineLevel="0" collapsed="false">
      <c r="A14" s="28"/>
      <c r="B14" s="28"/>
      <c r="C14" s="28"/>
      <c r="D14" s="28"/>
      <c r="E14" s="29"/>
      <c r="F14" s="29"/>
      <c r="G14" s="30"/>
      <c r="H14" s="30"/>
      <c r="I14" s="31"/>
    </row>
    <row r="15" customFormat="false" ht="15" hidden="false" customHeight="false" outlineLevel="0" collapsed="false">
      <c r="A15" s="28"/>
      <c r="B15" s="28"/>
      <c r="C15" s="28"/>
      <c r="D15" s="28"/>
      <c r="E15" s="29"/>
      <c r="F15" s="29"/>
      <c r="G15" s="30"/>
      <c r="H15" s="30"/>
      <c r="I15" s="31"/>
    </row>
    <row r="16" customFormat="false" ht="15" hidden="false" customHeight="false" outlineLevel="0" collapsed="false">
      <c r="A16" s="28"/>
      <c r="B16" s="28"/>
      <c r="C16" s="28"/>
      <c r="D16" s="28"/>
      <c r="E16" s="29"/>
      <c r="F16" s="29"/>
      <c r="G16" s="30"/>
      <c r="H16" s="30"/>
      <c r="I16" s="31"/>
    </row>
    <row r="17" customFormat="false" ht="15" hidden="false" customHeight="false" outlineLevel="0" collapsed="false">
      <c r="A17" s="28"/>
      <c r="B17" s="28"/>
      <c r="C17" s="28"/>
      <c r="D17" s="28"/>
      <c r="E17" s="29"/>
      <c r="F17" s="29"/>
      <c r="G17" s="30"/>
      <c r="H17" s="30"/>
      <c r="I17" s="31"/>
    </row>
    <row r="18" customFormat="false" ht="15" hidden="false" customHeight="false" outlineLevel="0" collapsed="false">
      <c r="A18" s="28"/>
      <c r="B18" s="28"/>
      <c r="C18" s="28"/>
      <c r="D18" s="28"/>
      <c r="E18" s="29"/>
      <c r="F18" s="29"/>
      <c r="G18" s="30"/>
      <c r="H18" s="30"/>
      <c r="I18" s="31"/>
    </row>
    <row r="19" customFormat="false" ht="15" hidden="false" customHeight="false" outlineLevel="0" collapsed="false">
      <c r="A19" s="28"/>
      <c r="B19" s="28"/>
      <c r="C19" s="28"/>
      <c r="D19" s="28"/>
      <c r="E19" s="29"/>
      <c r="F19" s="29"/>
      <c r="G19" s="30"/>
      <c r="H19" s="30"/>
      <c r="I19" s="31"/>
    </row>
    <row r="20" customFormat="false" ht="15" hidden="false" customHeight="false" outlineLevel="0" collapsed="false">
      <c r="A20" s="28"/>
      <c r="B20" s="28"/>
      <c r="C20" s="28"/>
      <c r="D20" s="28"/>
      <c r="E20" s="29"/>
      <c r="F20" s="29"/>
      <c r="G20" s="30"/>
      <c r="H20" s="30"/>
      <c r="I20" s="31"/>
    </row>
    <row r="21" customFormat="false" ht="15" hidden="false" customHeight="false" outlineLevel="0" collapsed="false">
      <c r="A21" s="28"/>
      <c r="B21" s="28"/>
      <c r="C21" s="28"/>
      <c r="D21" s="28"/>
      <c r="E21" s="29"/>
      <c r="F21" s="29"/>
      <c r="G21" s="30"/>
      <c r="H21" s="30"/>
      <c r="I21" s="31"/>
    </row>
    <row r="22" customFormat="false" ht="15" hidden="false" customHeight="false" outlineLevel="0" collapsed="false">
      <c r="A22" s="28"/>
      <c r="B22" s="28"/>
      <c r="C22" s="28"/>
      <c r="D22" s="28"/>
      <c r="E22" s="29"/>
      <c r="F22" s="29"/>
      <c r="G22" s="30"/>
      <c r="H22" s="30"/>
      <c r="I22" s="31"/>
    </row>
    <row r="23" customFormat="false" ht="15" hidden="false" customHeight="false" outlineLevel="0" collapsed="false">
      <c r="A23" s="28"/>
      <c r="B23" s="28"/>
      <c r="C23" s="28"/>
      <c r="D23" s="28"/>
      <c r="E23" s="29"/>
      <c r="F23" s="29"/>
      <c r="G23" s="30"/>
      <c r="H23" s="30"/>
      <c r="I23" s="31"/>
    </row>
    <row r="24" customFormat="false" ht="15" hidden="false" customHeight="false" outlineLevel="0" collapsed="false">
      <c r="A24" s="28"/>
      <c r="B24" s="28"/>
      <c r="C24" s="28"/>
      <c r="D24" s="28"/>
      <c r="E24" s="29"/>
      <c r="F24" s="29"/>
      <c r="G24" s="30"/>
      <c r="H24" s="30"/>
      <c r="I24" s="31"/>
    </row>
    <row r="25" customFormat="false" ht="15" hidden="false" customHeight="false" outlineLevel="0" collapsed="false">
      <c r="A25" s="28"/>
      <c r="B25" s="28"/>
      <c r="C25" s="28"/>
      <c r="D25" s="28"/>
      <c r="E25" s="29"/>
      <c r="F25" s="29"/>
      <c r="G25" s="30"/>
      <c r="H25" s="30"/>
      <c r="I25" s="31"/>
    </row>
    <row r="26" customFormat="false" ht="15" hidden="false" customHeight="false" outlineLevel="0" collapsed="false">
      <c r="A26" s="28"/>
      <c r="B26" s="28"/>
      <c r="C26" s="28"/>
      <c r="D26" s="28"/>
      <c r="E26" s="29"/>
      <c r="F26" s="29"/>
      <c r="G26" s="30"/>
      <c r="H26" s="30"/>
      <c r="I26" s="31"/>
    </row>
    <row r="27" customFormat="false" ht="15" hidden="false" customHeight="false" outlineLevel="0" collapsed="false">
      <c r="A27" s="28"/>
      <c r="B27" s="28"/>
      <c r="C27" s="28"/>
      <c r="D27" s="28"/>
      <c r="E27" s="29"/>
      <c r="F27" s="29"/>
      <c r="G27" s="30"/>
      <c r="H27" s="30"/>
      <c r="I27" s="31"/>
    </row>
    <row r="28" customFormat="false" ht="15" hidden="false" customHeight="false" outlineLevel="0" collapsed="false">
      <c r="A28" s="28"/>
      <c r="B28" s="28"/>
      <c r="C28" s="28"/>
      <c r="D28" s="28"/>
      <c r="E28" s="29"/>
      <c r="F28" s="29"/>
      <c r="G28" s="30"/>
      <c r="H28" s="30"/>
      <c r="I28" s="31"/>
    </row>
    <row r="29" customFormat="false" ht="15" hidden="false" customHeight="false" outlineLevel="0" collapsed="false">
      <c r="A29" s="28"/>
      <c r="B29" s="28"/>
      <c r="C29" s="28"/>
      <c r="D29" s="28"/>
      <c r="E29" s="29"/>
      <c r="F29" s="29"/>
      <c r="G29" s="30"/>
      <c r="H29" s="30"/>
      <c r="I29" s="31"/>
    </row>
    <row r="30" customFormat="false" ht="15" hidden="false" customHeight="false" outlineLevel="0" collapsed="false">
      <c r="A30" s="28"/>
      <c r="B30" s="28"/>
      <c r="C30" s="28"/>
      <c r="D30" s="28"/>
      <c r="E30" s="29"/>
      <c r="F30" s="29"/>
      <c r="G30" s="30"/>
      <c r="H30" s="30"/>
      <c r="I30" s="31"/>
    </row>
    <row r="31" customFormat="false" ht="15" hidden="false" customHeight="false" outlineLevel="0" collapsed="false">
      <c r="A31" s="28"/>
      <c r="B31" s="28"/>
      <c r="C31" s="28"/>
      <c r="D31" s="28"/>
      <c r="E31" s="29"/>
      <c r="F31" s="29"/>
      <c r="G31" s="30"/>
      <c r="H31" s="30"/>
      <c r="I31" s="31"/>
    </row>
    <row r="32" customFormat="false" ht="15" hidden="false" customHeight="false" outlineLevel="0" collapsed="false">
      <c r="A32" s="28"/>
      <c r="B32" s="28"/>
      <c r="C32" s="28"/>
      <c r="D32" s="28"/>
      <c r="E32" s="29"/>
      <c r="F32" s="29"/>
      <c r="G32" s="30"/>
      <c r="H32" s="30"/>
      <c r="I32" s="31"/>
    </row>
    <row r="33" customFormat="false" ht="15" hidden="false" customHeight="false" outlineLevel="0" collapsed="false">
      <c r="A33" s="28"/>
      <c r="B33" s="28"/>
      <c r="C33" s="28"/>
      <c r="D33" s="28"/>
      <c r="E33" s="29"/>
      <c r="F33" s="29"/>
      <c r="G33" s="30"/>
      <c r="H33" s="30"/>
      <c r="I33" s="31"/>
    </row>
    <row r="34" customFormat="false" ht="15" hidden="false" customHeight="false" outlineLevel="0" collapsed="false">
      <c r="A34" s="28"/>
      <c r="B34" s="28"/>
      <c r="C34" s="28"/>
      <c r="D34" s="28"/>
      <c r="E34" s="29"/>
      <c r="F34" s="29"/>
      <c r="G34" s="30"/>
      <c r="H34" s="30"/>
      <c r="I34" s="31"/>
    </row>
    <row r="35" customFormat="false" ht="15" hidden="false" customHeight="false" outlineLevel="0" collapsed="false">
      <c r="A35" s="28"/>
      <c r="B35" s="28"/>
      <c r="C35" s="28"/>
      <c r="D35" s="28"/>
      <c r="E35" s="29"/>
      <c r="F35" s="29"/>
      <c r="G35" s="30"/>
      <c r="H35" s="30"/>
      <c r="I35" s="31"/>
    </row>
    <row r="36" customFormat="false" ht="15" hidden="false" customHeight="false" outlineLevel="0" collapsed="false">
      <c r="A36" s="28"/>
      <c r="B36" s="28"/>
      <c r="C36" s="28"/>
      <c r="D36" s="28"/>
      <c r="E36" s="29"/>
      <c r="F36" s="29"/>
      <c r="G36" s="30"/>
      <c r="H36" s="30"/>
      <c r="I36" s="31"/>
    </row>
    <row r="37" customFormat="false" ht="15" hidden="false" customHeight="false" outlineLevel="0" collapsed="false">
      <c r="A37" s="28"/>
      <c r="B37" s="28"/>
      <c r="C37" s="28"/>
      <c r="D37" s="28"/>
      <c r="E37" s="29"/>
      <c r="F37" s="29"/>
      <c r="G37" s="30"/>
      <c r="H37" s="30"/>
      <c r="I37" s="31"/>
    </row>
    <row r="38" customFormat="false" ht="15" hidden="false" customHeight="false" outlineLevel="0" collapsed="false">
      <c r="A38" s="28"/>
      <c r="B38" s="28"/>
      <c r="C38" s="28"/>
      <c r="D38" s="28"/>
      <c r="E38" s="29"/>
      <c r="F38" s="29"/>
      <c r="G38" s="30"/>
      <c r="H38" s="30"/>
      <c r="I38" s="31"/>
    </row>
    <row r="39" customFormat="false" ht="15" hidden="false" customHeight="false" outlineLevel="0" collapsed="false">
      <c r="A39" s="28"/>
      <c r="B39" s="28"/>
      <c r="C39" s="28"/>
      <c r="D39" s="28"/>
      <c r="E39" s="29"/>
      <c r="F39" s="29"/>
      <c r="G39" s="30"/>
      <c r="H39" s="30"/>
      <c r="I39" s="31"/>
    </row>
    <row r="40" customFormat="false" ht="15" hidden="false" customHeight="false" outlineLevel="0" collapsed="false">
      <c r="A40" s="28"/>
      <c r="B40" s="28"/>
      <c r="C40" s="28"/>
      <c r="D40" s="28"/>
      <c r="E40" s="29"/>
      <c r="F40" s="29"/>
      <c r="G40" s="30"/>
      <c r="H40" s="30"/>
      <c r="I40" s="31"/>
    </row>
    <row r="41" customFormat="false" ht="15" hidden="false" customHeight="false" outlineLevel="0" collapsed="false">
      <c r="A41" s="28"/>
      <c r="B41" s="28"/>
      <c r="C41" s="28"/>
      <c r="D41" s="28"/>
      <c r="E41" s="29"/>
      <c r="F41" s="29"/>
      <c r="G41" s="30"/>
      <c r="H41" s="30"/>
      <c r="I41" s="31"/>
    </row>
    <row r="42" customFormat="false" ht="15" hidden="false" customHeight="false" outlineLevel="0" collapsed="false">
      <c r="A42" s="28"/>
      <c r="B42" s="28"/>
      <c r="C42" s="28"/>
      <c r="D42" s="28"/>
      <c r="E42" s="29"/>
      <c r="F42" s="29"/>
      <c r="G42" s="30"/>
      <c r="H42" s="30"/>
      <c r="I42" s="31"/>
    </row>
    <row r="43" customFormat="false" ht="15" hidden="false" customHeight="false" outlineLevel="0" collapsed="false">
      <c r="A43" s="28"/>
      <c r="B43" s="28"/>
      <c r="C43" s="28"/>
      <c r="D43" s="28"/>
      <c r="E43" s="29"/>
      <c r="F43" s="29"/>
      <c r="G43" s="30"/>
      <c r="H43" s="30"/>
      <c r="I43" s="31"/>
    </row>
    <row r="44" customFormat="false" ht="15" hidden="false" customHeight="false" outlineLevel="0" collapsed="false">
      <c r="A44" s="28"/>
      <c r="B44" s="28"/>
      <c r="C44" s="28"/>
      <c r="D44" s="28"/>
      <c r="E44" s="29"/>
      <c r="F44" s="29"/>
      <c r="G44" s="30"/>
      <c r="H44" s="30"/>
      <c r="I44" s="31"/>
    </row>
    <row r="45" customFormat="false" ht="15" hidden="false" customHeight="false" outlineLevel="0" collapsed="false">
      <c r="A45" s="28"/>
      <c r="B45" s="28"/>
      <c r="C45" s="28"/>
      <c r="D45" s="28"/>
      <c r="E45" s="29"/>
      <c r="F45" s="29"/>
      <c r="G45" s="30"/>
      <c r="H45" s="30"/>
      <c r="I45" s="31"/>
    </row>
    <row r="46" customFormat="false" ht="15" hidden="false" customHeight="false" outlineLevel="0" collapsed="false">
      <c r="A46" s="28"/>
      <c r="B46" s="28"/>
      <c r="C46" s="28"/>
      <c r="D46" s="28"/>
      <c r="E46" s="29"/>
      <c r="F46" s="29"/>
      <c r="G46" s="30"/>
      <c r="H46" s="30"/>
      <c r="I46" s="31"/>
    </row>
    <row r="47" customFormat="false" ht="15" hidden="false" customHeight="false" outlineLevel="0" collapsed="false">
      <c r="A47" s="28"/>
      <c r="B47" s="28"/>
      <c r="C47" s="28"/>
      <c r="D47" s="28"/>
      <c r="E47" s="29"/>
      <c r="F47" s="29"/>
      <c r="G47" s="30"/>
      <c r="H47" s="30"/>
      <c r="I47" s="31"/>
    </row>
    <row r="48" customFormat="false" ht="15" hidden="false" customHeight="false" outlineLevel="0" collapsed="false">
      <c r="A48" s="28"/>
      <c r="B48" s="28"/>
      <c r="C48" s="28"/>
      <c r="D48" s="28"/>
      <c r="E48" s="29"/>
      <c r="F48" s="29"/>
      <c r="G48" s="30"/>
      <c r="H48" s="30"/>
      <c r="I48" s="31"/>
    </row>
    <row r="49" customFormat="false" ht="15" hidden="false" customHeight="false" outlineLevel="0" collapsed="false">
      <c r="A49" s="28"/>
      <c r="B49" s="28"/>
      <c r="C49" s="28"/>
      <c r="D49" s="28"/>
      <c r="E49" s="29"/>
      <c r="F49" s="29"/>
      <c r="G49" s="30"/>
      <c r="H49" s="30"/>
      <c r="I49" s="31"/>
    </row>
    <row r="50" customFormat="false" ht="15" hidden="false" customHeight="false" outlineLevel="0" collapsed="false">
      <c r="A50" s="28"/>
      <c r="B50" s="28"/>
      <c r="C50" s="28"/>
      <c r="D50" s="28"/>
      <c r="E50" s="29"/>
      <c r="F50" s="29"/>
      <c r="G50" s="30"/>
      <c r="H50" s="30"/>
      <c r="I50" s="31"/>
    </row>
    <row r="51" customFormat="false" ht="15" hidden="false" customHeight="false" outlineLevel="0" collapsed="false">
      <c r="A51" s="28"/>
      <c r="B51" s="28"/>
      <c r="C51" s="28"/>
      <c r="D51" s="28"/>
      <c r="E51" s="29"/>
      <c r="F51" s="29"/>
      <c r="G51" s="30"/>
      <c r="H51" s="30"/>
      <c r="I51" s="31"/>
    </row>
    <row r="52" customFormat="false" ht="15" hidden="false" customHeight="false" outlineLevel="0" collapsed="false">
      <c r="A52" s="28"/>
      <c r="B52" s="28"/>
      <c r="C52" s="28"/>
      <c r="D52" s="28"/>
      <c r="E52" s="29"/>
      <c r="F52" s="29"/>
      <c r="G52" s="30"/>
      <c r="H52" s="30"/>
      <c r="I52" s="31"/>
    </row>
    <row r="53" customFormat="false" ht="15" hidden="false" customHeight="false" outlineLevel="0" collapsed="false">
      <c r="A53" s="28"/>
      <c r="B53" s="28"/>
      <c r="C53" s="28"/>
      <c r="D53" s="28"/>
      <c r="E53" s="29"/>
      <c r="F53" s="29"/>
      <c r="G53" s="30"/>
      <c r="H53" s="30"/>
      <c r="I53" s="31"/>
    </row>
    <row r="54" customFormat="false" ht="15" hidden="false" customHeight="false" outlineLevel="0" collapsed="false">
      <c r="A54" s="28"/>
      <c r="B54" s="28"/>
      <c r="C54" s="28"/>
      <c r="D54" s="28"/>
      <c r="E54" s="29"/>
      <c r="F54" s="29"/>
      <c r="G54" s="30"/>
      <c r="H54" s="30"/>
      <c r="I54" s="31"/>
    </row>
    <row r="55" customFormat="false" ht="15" hidden="false" customHeight="false" outlineLevel="0" collapsed="false">
      <c r="A55" s="28"/>
      <c r="B55" s="28"/>
      <c r="C55" s="28"/>
      <c r="D55" s="28"/>
      <c r="E55" s="29"/>
      <c r="F55" s="29"/>
      <c r="G55" s="30"/>
      <c r="H55" s="30"/>
      <c r="I55" s="31"/>
    </row>
    <row r="56" customFormat="false" ht="15" hidden="false" customHeight="false" outlineLevel="0" collapsed="false">
      <c r="A56" s="28"/>
      <c r="B56" s="28"/>
      <c r="C56" s="28"/>
      <c r="D56" s="28"/>
      <c r="E56" s="29"/>
      <c r="F56" s="29"/>
      <c r="G56" s="30"/>
      <c r="H56" s="30"/>
      <c r="I56" s="31"/>
    </row>
    <row r="57" customFormat="false" ht="15" hidden="false" customHeight="false" outlineLevel="0" collapsed="false">
      <c r="A57" s="28"/>
      <c r="B57" s="28"/>
      <c r="C57" s="28"/>
      <c r="D57" s="28"/>
      <c r="E57" s="29"/>
      <c r="F57" s="29"/>
      <c r="G57" s="30"/>
      <c r="H57" s="30"/>
      <c r="I57" s="31"/>
    </row>
    <row r="58" customFormat="false" ht="15" hidden="false" customHeight="false" outlineLevel="0" collapsed="false">
      <c r="A58" s="28"/>
      <c r="B58" s="28"/>
      <c r="C58" s="28"/>
      <c r="D58" s="28"/>
      <c r="E58" s="29"/>
      <c r="F58" s="29"/>
      <c r="G58" s="30"/>
      <c r="H58" s="30"/>
      <c r="I58" s="31"/>
    </row>
    <row r="59" customFormat="false" ht="15" hidden="false" customHeight="false" outlineLevel="0" collapsed="false">
      <c r="A59" s="28"/>
      <c r="B59" s="28"/>
      <c r="C59" s="28"/>
      <c r="D59" s="28"/>
      <c r="E59" s="29"/>
      <c r="F59" s="29"/>
      <c r="G59" s="30"/>
      <c r="H59" s="30"/>
      <c r="I59" s="31"/>
    </row>
    <row r="60" customFormat="false" ht="15" hidden="false" customHeight="false" outlineLevel="0" collapsed="false">
      <c r="A60" s="28"/>
      <c r="B60" s="28"/>
      <c r="C60" s="28"/>
      <c r="D60" s="28"/>
      <c r="E60" s="29"/>
      <c r="F60" s="29"/>
      <c r="G60" s="30"/>
      <c r="H60" s="30"/>
      <c r="I60" s="31"/>
    </row>
    <row r="61" customFormat="false" ht="15" hidden="false" customHeight="false" outlineLevel="0" collapsed="false">
      <c r="A61" s="28"/>
      <c r="B61" s="28"/>
      <c r="C61" s="28"/>
      <c r="D61" s="28"/>
      <c r="E61" s="29"/>
      <c r="F61" s="29"/>
      <c r="G61" s="30"/>
      <c r="H61" s="30"/>
      <c r="I61" s="31"/>
    </row>
    <row r="62" customFormat="false" ht="15" hidden="false" customHeight="false" outlineLevel="0" collapsed="false">
      <c r="A62" s="28"/>
      <c r="B62" s="28"/>
      <c r="C62" s="28"/>
      <c r="D62" s="28"/>
      <c r="E62" s="29"/>
      <c r="F62" s="29"/>
      <c r="G62" s="30"/>
      <c r="H62" s="30"/>
      <c r="I62" s="31"/>
    </row>
    <row r="63" customFormat="false" ht="15" hidden="false" customHeight="false" outlineLevel="0" collapsed="false">
      <c r="A63" s="28"/>
      <c r="B63" s="28"/>
      <c r="C63" s="28"/>
      <c r="D63" s="28"/>
      <c r="E63" s="29"/>
      <c r="F63" s="29"/>
      <c r="G63" s="30"/>
      <c r="H63" s="30"/>
      <c r="I63" s="31"/>
    </row>
    <row r="64" customFormat="false" ht="15" hidden="false" customHeight="false" outlineLevel="0" collapsed="false">
      <c r="A64" s="28"/>
      <c r="B64" s="28"/>
      <c r="C64" s="28"/>
      <c r="D64" s="28"/>
      <c r="E64" s="29"/>
      <c r="F64" s="29"/>
      <c r="G64" s="30"/>
      <c r="H64" s="30"/>
      <c r="I64" s="31"/>
    </row>
    <row r="65" customFormat="false" ht="15" hidden="false" customHeight="false" outlineLevel="0" collapsed="false">
      <c r="A65" s="28"/>
      <c r="B65" s="28"/>
      <c r="C65" s="28"/>
      <c r="D65" s="28"/>
      <c r="E65" s="29"/>
      <c r="F65" s="29"/>
      <c r="G65" s="30"/>
      <c r="H65" s="30"/>
      <c r="I65" s="31"/>
    </row>
    <row r="66" customFormat="false" ht="15" hidden="false" customHeight="false" outlineLevel="0" collapsed="false">
      <c r="A66" s="28"/>
      <c r="B66" s="28"/>
      <c r="C66" s="28"/>
      <c r="D66" s="28"/>
      <c r="E66" s="29"/>
      <c r="F66" s="29"/>
      <c r="G66" s="30"/>
      <c r="H66" s="30"/>
      <c r="I66" s="31"/>
    </row>
    <row r="67" customFormat="false" ht="15" hidden="false" customHeight="false" outlineLevel="0" collapsed="false">
      <c r="A67" s="28"/>
      <c r="B67" s="28"/>
      <c r="C67" s="28"/>
      <c r="D67" s="28"/>
      <c r="E67" s="29"/>
      <c r="F67" s="29"/>
      <c r="G67" s="30"/>
      <c r="H67" s="30"/>
      <c r="I67" s="31"/>
    </row>
    <row r="68" customFormat="false" ht="15" hidden="false" customHeight="false" outlineLevel="0" collapsed="false">
      <c r="A68" s="28"/>
      <c r="B68" s="28"/>
      <c r="C68" s="28"/>
      <c r="D68" s="28"/>
      <c r="E68" s="29"/>
      <c r="F68" s="29"/>
      <c r="G68" s="30"/>
      <c r="H68" s="30"/>
      <c r="I68" s="31"/>
    </row>
    <row r="69" customFormat="false" ht="15" hidden="false" customHeight="false" outlineLevel="0" collapsed="false">
      <c r="A69" s="28"/>
      <c r="B69" s="28"/>
      <c r="C69" s="28"/>
      <c r="D69" s="28"/>
      <c r="E69" s="29"/>
      <c r="F69" s="29"/>
      <c r="G69" s="30"/>
      <c r="H69" s="30"/>
      <c r="I69" s="31"/>
    </row>
    <row r="70" customFormat="false" ht="15" hidden="false" customHeight="false" outlineLevel="0" collapsed="false">
      <c r="A70" s="28"/>
      <c r="B70" s="28"/>
      <c r="C70" s="28"/>
      <c r="D70" s="28"/>
      <c r="E70" s="29"/>
      <c r="F70" s="29"/>
      <c r="G70" s="30"/>
      <c r="H70" s="30"/>
      <c r="I70" s="31"/>
    </row>
    <row r="71" customFormat="false" ht="15" hidden="false" customHeight="false" outlineLevel="0" collapsed="false">
      <c r="A71" s="28"/>
      <c r="B71" s="28"/>
      <c r="C71" s="28"/>
      <c r="D71" s="28"/>
      <c r="E71" s="29"/>
      <c r="F71" s="29"/>
      <c r="G71" s="30"/>
      <c r="H71" s="30"/>
      <c r="I71" s="31"/>
    </row>
    <row r="72" customFormat="false" ht="15" hidden="false" customHeight="false" outlineLevel="0" collapsed="false">
      <c r="A72" s="28"/>
      <c r="B72" s="28"/>
      <c r="C72" s="28"/>
      <c r="D72" s="28"/>
      <c r="E72" s="29"/>
      <c r="F72" s="29"/>
      <c r="G72" s="30"/>
      <c r="H72" s="30"/>
      <c r="I72" s="31"/>
    </row>
    <row r="73" customFormat="false" ht="15" hidden="false" customHeight="false" outlineLevel="0" collapsed="false">
      <c r="A73" s="28"/>
      <c r="B73" s="28"/>
      <c r="C73" s="28"/>
      <c r="D73" s="28"/>
      <c r="E73" s="29"/>
      <c r="F73" s="29"/>
      <c r="G73" s="30"/>
      <c r="H73" s="30"/>
      <c r="I73" s="31"/>
    </row>
    <row r="74" customFormat="false" ht="15" hidden="false" customHeight="false" outlineLevel="0" collapsed="false">
      <c r="A74" s="28"/>
      <c r="B74" s="28"/>
      <c r="C74" s="28"/>
      <c r="D74" s="28"/>
      <c r="E74" s="29"/>
      <c r="F74" s="29"/>
      <c r="G74" s="30"/>
      <c r="H74" s="30"/>
      <c r="I74" s="31"/>
    </row>
    <row r="75" customFormat="false" ht="15" hidden="false" customHeight="false" outlineLevel="0" collapsed="false">
      <c r="A75" s="28"/>
      <c r="B75" s="28"/>
      <c r="C75" s="28"/>
      <c r="D75" s="28"/>
      <c r="E75" s="29"/>
      <c r="F75" s="29"/>
      <c r="G75" s="30"/>
      <c r="H75" s="30"/>
      <c r="I75" s="31"/>
    </row>
    <row r="76" customFormat="false" ht="15" hidden="false" customHeight="false" outlineLevel="0" collapsed="false">
      <c r="A76" s="28"/>
      <c r="B76" s="28"/>
      <c r="C76" s="28"/>
      <c r="D76" s="28"/>
      <c r="E76" s="29"/>
      <c r="F76" s="29"/>
      <c r="G76" s="30"/>
      <c r="H76" s="30"/>
      <c r="I76" s="31"/>
    </row>
    <row r="77" customFormat="false" ht="15" hidden="false" customHeight="false" outlineLevel="0" collapsed="false">
      <c r="A77" s="28"/>
      <c r="B77" s="28"/>
      <c r="C77" s="28"/>
      <c r="D77" s="28"/>
      <c r="E77" s="29"/>
      <c r="F77" s="29"/>
      <c r="G77" s="30"/>
      <c r="H77" s="30"/>
      <c r="I77" s="31"/>
    </row>
    <row r="78" customFormat="false" ht="15" hidden="false" customHeight="false" outlineLevel="0" collapsed="false">
      <c r="A78" s="28"/>
      <c r="B78" s="28"/>
      <c r="C78" s="28"/>
      <c r="D78" s="28"/>
      <c r="E78" s="29"/>
      <c r="F78" s="29"/>
      <c r="G78" s="30"/>
      <c r="H78" s="30"/>
      <c r="I78" s="31"/>
    </row>
    <row r="79" customFormat="false" ht="15" hidden="false" customHeight="false" outlineLevel="0" collapsed="false">
      <c r="A79" s="28"/>
      <c r="B79" s="28"/>
      <c r="C79" s="28"/>
      <c r="D79" s="28"/>
      <c r="E79" s="29"/>
      <c r="F79" s="29"/>
      <c r="G79" s="30"/>
      <c r="H79" s="30"/>
      <c r="I79" s="31"/>
    </row>
    <row r="80" customFormat="false" ht="15" hidden="false" customHeight="false" outlineLevel="0" collapsed="false">
      <c r="A80" s="28"/>
      <c r="B80" s="28"/>
      <c r="C80" s="28"/>
      <c r="D80" s="28"/>
      <c r="E80" s="29"/>
      <c r="F80" s="29"/>
      <c r="G80" s="30"/>
      <c r="H80" s="30"/>
      <c r="I80" s="31"/>
    </row>
    <row r="81" customFormat="false" ht="15" hidden="false" customHeight="false" outlineLevel="0" collapsed="false">
      <c r="A81" s="28"/>
      <c r="B81" s="28"/>
      <c r="C81" s="28"/>
      <c r="D81" s="28"/>
      <c r="E81" s="29"/>
      <c r="F81" s="29"/>
      <c r="G81" s="30"/>
      <c r="H81" s="30"/>
      <c r="I81" s="31"/>
    </row>
    <row r="82" customFormat="false" ht="15" hidden="false" customHeight="false" outlineLevel="0" collapsed="false">
      <c r="A82" s="28"/>
      <c r="B82" s="28"/>
      <c r="C82" s="28"/>
      <c r="D82" s="28"/>
      <c r="E82" s="29"/>
      <c r="F82" s="29"/>
      <c r="G82" s="30"/>
      <c r="H82" s="30"/>
      <c r="I82" s="31"/>
    </row>
    <row r="83" customFormat="false" ht="15" hidden="false" customHeight="false" outlineLevel="0" collapsed="false">
      <c r="A83" s="28"/>
      <c r="B83" s="28"/>
      <c r="C83" s="28"/>
      <c r="D83" s="28"/>
      <c r="E83" s="29"/>
      <c r="F83" s="29"/>
      <c r="G83" s="30"/>
      <c r="H83" s="30"/>
      <c r="I83" s="31"/>
    </row>
    <row r="84" customFormat="false" ht="15" hidden="false" customHeight="false" outlineLevel="0" collapsed="false">
      <c r="A84" s="28"/>
      <c r="B84" s="28"/>
      <c r="C84" s="28"/>
      <c r="D84" s="28"/>
      <c r="E84" s="29"/>
      <c r="F84" s="29"/>
      <c r="G84" s="30"/>
      <c r="H84" s="30"/>
      <c r="I84" s="31"/>
    </row>
    <row r="85" customFormat="false" ht="15" hidden="false" customHeight="false" outlineLevel="0" collapsed="false">
      <c r="A85" s="28"/>
      <c r="B85" s="28"/>
      <c r="C85" s="28"/>
      <c r="D85" s="28"/>
      <c r="E85" s="29"/>
      <c r="F85" s="29"/>
      <c r="G85" s="30"/>
      <c r="H85" s="30"/>
      <c r="I85" s="31"/>
    </row>
    <row r="86" customFormat="false" ht="15" hidden="false" customHeight="false" outlineLevel="0" collapsed="false">
      <c r="A86" s="28"/>
      <c r="B86" s="28"/>
      <c r="C86" s="28"/>
      <c r="D86" s="28"/>
      <c r="E86" s="29"/>
      <c r="F86" s="29"/>
      <c r="G86" s="30"/>
      <c r="H86" s="30"/>
      <c r="I86" s="31"/>
    </row>
    <row r="87" customFormat="false" ht="15" hidden="false" customHeight="false" outlineLevel="0" collapsed="false">
      <c r="A87" s="28"/>
      <c r="B87" s="28"/>
      <c r="C87" s="28"/>
      <c r="D87" s="28"/>
      <c r="E87" s="29"/>
      <c r="F87" s="29"/>
      <c r="G87" s="30"/>
      <c r="H87" s="30"/>
      <c r="I87" s="31"/>
    </row>
    <row r="88" customFormat="false" ht="15" hidden="false" customHeight="false" outlineLevel="0" collapsed="false">
      <c r="A88" s="28"/>
      <c r="B88" s="28"/>
      <c r="C88" s="28"/>
      <c r="D88" s="28"/>
      <c r="E88" s="29"/>
      <c r="F88" s="29"/>
      <c r="G88" s="30"/>
      <c r="H88" s="30"/>
      <c r="I88" s="31"/>
    </row>
    <row r="89" customFormat="false" ht="15" hidden="false" customHeight="false" outlineLevel="0" collapsed="false">
      <c r="A89" s="28"/>
      <c r="B89" s="28"/>
      <c r="C89" s="28"/>
      <c r="D89" s="28"/>
      <c r="E89" s="29"/>
      <c r="F89" s="29"/>
      <c r="G89" s="30"/>
      <c r="H89" s="30"/>
      <c r="I89" s="31"/>
    </row>
    <row r="90" customFormat="false" ht="15" hidden="false" customHeight="false" outlineLevel="0" collapsed="false">
      <c r="A90" s="28"/>
      <c r="B90" s="28"/>
      <c r="C90" s="28"/>
      <c r="D90" s="28"/>
      <c r="E90" s="29"/>
      <c r="F90" s="29"/>
      <c r="G90" s="30"/>
      <c r="H90" s="30"/>
      <c r="I90" s="31"/>
    </row>
    <row r="91" customFormat="false" ht="15" hidden="false" customHeight="false" outlineLevel="0" collapsed="false">
      <c r="A91" s="28"/>
      <c r="B91" s="28"/>
      <c r="C91" s="28"/>
      <c r="D91" s="28"/>
      <c r="E91" s="29"/>
      <c r="F91" s="29"/>
      <c r="G91" s="30"/>
      <c r="H91" s="30"/>
      <c r="I91" s="31"/>
    </row>
    <row r="92" customFormat="false" ht="15" hidden="false" customHeight="false" outlineLevel="0" collapsed="false">
      <c r="A92" s="28"/>
      <c r="B92" s="28"/>
      <c r="C92" s="28"/>
      <c r="D92" s="28"/>
      <c r="E92" s="29"/>
      <c r="F92" s="29"/>
      <c r="G92" s="30"/>
      <c r="H92" s="30"/>
      <c r="I92" s="31"/>
    </row>
    <row r="93" customFormat="false" ht="15" hidden="false" customHeight="false" outlineLevel="0" collapsed="false">
      <c r="A93" s="28"/>
      <c r="B93" s="28"/>
      <c r="C93" s="28"/>
      <c r="D93" s="28"/>
      <c r="E93" s="29"/>
      <c r="F93" s="29"/>
      <c r="G93" s="30"/>
      <c r="H93" s="30"/>
      <c r="I93" s="31"/>
    </row>
    <row r="94" customFormat="false" ht="15" hidden="false" customHeight="false" outlineLevel="0" collapsed="false">
      <c r="A94" s="28"/>
      <c r="B94" s="28"/>
      <c r="C94" s="28"/>
      <c r="D94" s="28"/>
      <c r="E94" s="29"/>
      <c r="F94" s="29"/>
      <c r="G94" s="30"/>
      <c r="H94" s="30"/>
      <c r="I94" s="31"/>
    </row>
    <row r="95" customFormat="false" ht="15" hidden="false" customHeight="false" outlineLevel="0" collapsed="false">
      <c r="A95" s="28"/>
      <c r="B95" s="28"/>
      <c r="C95" s="28"/>
      <c r="D95" s="28"/>
      <c r="E95" s="29"/>
      <c r="F95" s="29"/>
      <c r="G95" s="30"/>
      <c r="H95" s="30"/>
      <c r="I95" s="31"/>
    </row>
    <row r="96" customFormat="false" ht="15" hidden="false" customHeight="false" outlineLevel="0" collapsed="false">
      <c r="A96" s="28"/>
      <c r="B96" s="28"/>
      <c r="C96" s="28"/>
      <c r="D96" s="28"/>
      <c r="E96" s="29"/>
      <c r="F96" s="29"/>
      <c r="G96" s="30"/>
      <c r="H96" s="30"/>
      <c r="I96" s="31"/>
    </row>
    <row r="97" customFormat="false" ht="15" hidden="false" customHeight="false" outlineLevel="0" collapsed="false">
      <c r="A97" s="28"/>
      <c r="B97" s="28"/>
      <c r="C97" s="28"/>
      <c r="D97" s="28"/>
      <c r="E97" s="29"/>
      <c r="F97" s="29"/>
      <c r="G97" s="30"/>
      <c r="H97" s="30"/>
      <c r="I97" s="31"/>
    </row>
    <row r="98" customFormat="false" ht="15" hidden="false" customHeight="false" outlineLevel="0" collapsed="false">
      <c r="A98" s="28"/>
      <c r="B98" s="28"/>
      <c r="C98" s="28"/>
      <c r="D98" s="28"/>
      <c r="E98" s="29"/>
      <c r="F98" s="29"/>
      <c r="G98" s="30"/>
      <c r="H98" s="30"/>
      <c r="I98" s="31"/>
    </row>
    <row r="99" customFormat="false" ht="15" hidden="false" customHeight="false" outlineLevel="0" collapsed="false">
      <c r="A99" s="28"/>
      <c r="B99" s="28"/>
      <c r="C99" s="28"/>
      <c r="D99" s="28"/>
      <c r="E99" s="29"/>
      <c r="F99" s="29"/>
      <c r="G99" s="30"/>
      <c r="H99" s="30"/>
      <c r="I99" s="31"/>
    </row>
    <row r="100" customFormat="false" ht="15" hidden="false" customHeight="false" outlineLevel="0" collapsed="false">
      <c r="A100" s="28"/>
      <c r="B100" s="28"/>
      <c r="C100" s="28"/>
      <c r="D100" s="28"/>
      <c r="E100" s="29"/>
      <c r="F100" s="29"/>
      <c r="G100" s="30"/>
      <c r="H100" s="30"/>
      <c r="I100" s="31"/>
    </row>
    <row r="101" customFormat="false" ht="15" hidden="false" customHeight="false" outlineLevel="0" collapsed="false">
      <c r="A101" s="28"/>
      <c r="B101" s="28"/>
      <c r="C101" s="28"/>
      <c r="D101" s="28"/>
      <c r="E101" s="29"/>
      <c r="F101" s="29"/>
      <c r="G101" s="30"/>
      <c r="H101" s="30"/>
      <c r="I101" s="31"/>
    </row>
    <row r="102" customFormat="false" ht="15" hidden="false" customHeight="false" outlineLevel="0" collapsed="false">
      <c r="A102" s="28"/>
      <c r="B102" s="28"/>
      <c r="C102" s="28"/>
      <c r="D102" s="28"/>
      <c r="E102" s="29"/>
      <c r="F102" s="29"/>
      <c r="G102" s="30"/>
      <c r="H102" s="30"/>
      <c r="I102" s="31"/>
    </row>
    <row r="103" customFormat="false" ht="15" hidden="false" customHeight="false" outlineLevel="0" collapsed="false">
      <c r="A103" s="28"/>
      <c r="B103" s="28"/>
      <c r="C103" s="28"/>
      <c r="D103" s="28"/>
      <c r="E103" s="29"/>
      <c r="F103" s="29"/>
      <c r="G103" s="30"/>
      <c r="H103" s="30"/>
      <c r="I103" s="31"/>
    </row>
    <row r="104" customFormat="false" ht="15" hidden="false" customHeight="false" outlineLevel="0" collapsed="false">
      <c r="A104" s="28"/>
      <c r="B104" s="28"/>
      <c r="C104" s="28"/>
      <c r="D104" s="28"/>
      <c r="E104" s="29"/>
      <c r="F104" s="29"/>
      <c r="G104" s="30"/>
      <c r="H104" s="30"/>
      <c r="I104" s="31"/>
    </row>
    <row r="105" customFormat="false" ht="15" hidden="false" customHeight="false" outlineLevel="0" collapsed="false">
      <c r="A105" s="28"/>
      <c r="B105" s="28"/>
      <c r="C105" s="28"/>
      <c r="D105" s="28"/>
      <c r="E105" s="29"/>
      <c r="F105" s="29"/>
      <c r="G105" s="30"/>
      <c r="H105" s="30"/>
      <c r="I105" s="31"/>
    </row>
    <row r="106" customFormat="false" ht="15" hidden="false" customHeight="false" outlineLevel="0" collapsed="false">
      <c r="A106" s="28"/>
      <c r="B106" s="28"/>
      <c r="C106" s="28"/>
      <c r="D106" s="28"/>
      <c r="E106" s="29"/>
      <c r="F106" s="29"/>
      <c r="G106" s="30"/>
      <c r="H106" s="30"/>
      <c r="I106" s="31"/>
    </row>
    <row r="107" customFormat="false" ht="15" hidden="false" customHeight="false" outlineLevel="0" collapsed="false">
      <c r="A107" s="28"/>
      <c r="B107" s="28"/>
      <c r="C107" s="28"/>
      <c r="D107" s="28"/>
      <c r="E107" s="29"/>
      <c r="F107" s="29"/>
      <c r="G107" s="30"/>
      <c r="H107" s="30"/>
      <c r="I107" s="31"/>
    </row>
    <row r="108" customFormat="false" ht="15" hidden="false" customHeight="false" outlineLevel="0" collapsed="false">
      <c r="A108" s="28"/>
      <c r="B108" s="28"/>
      <c r="C108" s="28"/>
      <c r="D108" s="28"/>
      <c r="E108" s="29"/>
      <c r="F108" s="29"/>
      <c r="G108" s="30"/>
      <c r="H108" s="30"/>
      <c r="I108" s="31"/>
    </row>
    <row r="109" customFormat="false" ht="15" hidden="false" customHeight="false" outlineLevel="0" collapsed="false">
      <c r="A109" s="28"/>
      <c r="B109" s="28"/>
      <c r="C109" s="28"/>
      <c r="D109" s="28"/>
      <c r="E109" s="29"/>
      <c r="F109" s="29"/>
      <c r="G109" s="30"/>
      <c r="H109" s="30"/>
      <c r="I109" s="31"/>
    </row>
    <row r="110" customFormat="false" ht="15" hidden="false" customHeight="false" outlineLevel="0" collapsed="false">
      <c r="A110" s="28"/>
      <c r="B110" s="28"/>
      <c r="C110" s="28"/>
      <c r="D110" s="28"/>
      <c r="E110" s="29"/>
      <c r="F110" s="29"/>
      <c r="G110" s="30"/>
      <c r="H110" s="30"/>
      <c r="I110" s="31"/>
    </row>
    <row r="111" customFormat="false" ht="15" hidden="false" customHeight="false" outlineLevel="0" collapsed="false">
      <c r="A111" s="28"/>
      <c r="B111" s="28"/>
      <c r="C111" s="28"/>
      <c r="D111" s="28"/>
      <c r="E111" s="29"/>
      <c r="F111" s="29"/>
      <c r="G111" s="30"/>
      <c r="H111" s="30"/>
      <c r="I111" s="31"/>
    </row>
    <row r="112" customFormat="false" ht="15" hidden="false" customHeight="false" outlineLevel="0" collapsed="false">
      <c r="A112" s="28"/>
      <c r="B112" s="28"/>
      <c r="C112" s="28"/>
      <c r="D112" s="28"/>
      <c r="E112" s="29"/>
      <c r="F112" s="29"/>
      <c r="G112" s="30"/>
      <c r="H112" s="30"/>
      <c r="I112" s="31"/>
    </row>
    <row r="113" customFormat="false" ht="15" hidden="false" customHeight="false" outlineLevel="0" collapsed="false">
      <c r="A113" s="28"/>
      <c r="B113" s="28"/>
      <c r="C113" s="28"/>
      <c r="D113" s="28"/>
      <c r="E113" s="29"/>
      <c r="F113" s="29"/>
      <c r="G113" s="30"/>
      <c r="H113" s="30"/>
      <c r="I113" s="31"/>
    </row>
    <row r="114" customFormat="false" ht="15" hidden="false" customHeight="false" outlineLevel="0" collapsed="false">
      <c r="A114" s="28"/>
      <c r="B114" s="28"/>
      <c r="C114" s="28"/>
      <c r="D114" s="28"/>
      <c r="E114" s="29"/>
      <c r="F114" s="29"/>
      <c r="G114" s="30"/>
      <c r="H114" s="30"/>
      <c r="I114" s="31"/>
    </row>
    <row r="115" customFormat="false" ht="15" hidden="false" customHeight="false" outlineLevel="0" collapsed="false">
      <c r="A115" s="28"/>
      <c r="B115" s="28"/>
      <c r="C115" s="28"/>
      <c r="D115" s="28"/>
      <c r="E115" s="29"/>
      <c r="F115" s="29"/>
      <c r="G115" s="30"/>
      <c r="H115" s="30"/>
      <c r="I115" s="31"/>
    </row>
    <row r="116" customFormat="false" ht="15" hidden="false" customHeight="false" outlineLevel="0" collapsed="false">
      <c r="A116" s="28"/>
      <c r="B116" s="28"/>
      <c r="C116" s="28"/>
      <c r="D116" s="28"/>
      <c r="E116" s="29"/>
      <c r="F116" s="29"/>
      <c r="G116" s="30"/>
      <c r="H116" s="30"/>
      <c r="I116" s="31"/>
    </row>
    <row r="117" customFormat="false" ht="15" hidden="false" customHeight="false" outlineLevel="0" collapsed="false">
      <c r="A117" s="28"/>
      <c r="B117" s="28"/>
      <c r="C117" s="28"/>
      <c r="D117" s="28"/>
      <c r="E117" s="29"/>
      <c r="F117" s="29"/>
      <c r="G117" s="30"/>
      <c r="H117" s="30"/>
      <c r="I117" s="31"/>
    </row>
    <row r="118" customFormat="false" ht="15" hidden="false" customHeight="false" outlineLevel="0" collapsed="false">
      <c r="A118" s="28"/>
      <c r="B118" s="28"/>
      <c r="C118" s="28"/>
      <c r="D118" s="28"/>
      <c r="E118" s="29"/>
      <c r="F118" s="29"/>
      <c r="G118" s="30"/>
      <c r="H118" s="30"/>
      <c r="I118" s="31"/>
    </row>
    <row r="119" customFormat="false" ht="15" hidden="false" customHeight="false" outlineLevel="0" collapsed="false">
      <c r="A119" s="28"/>
      <c r="B119" s="28"/>
      <c r="C119" s="28"/>
      <c r="D119" s="28"/>
      <c r="E119" s="29"/>
      <c r="F119" s="29"/>
      <c r="G119" s="30"/>
      <c r="H119" s="30"/>
      <c r="I119" s="31"/>
    </row>
    <row r="120" customFormat="false" ht="15" hidden="false" customHeight="false" outlineLevel="0" collapsed="false">
      <c r="A120" s="28"/>
      <c r="B120" s="28"/>
      <c r="C120" s="28"/>
      <c r="D120" s="28"/>
      <c r="E120" s="29"/>
      <c r="F120" s="29"/>
      <c r="G120" s="30"/>
      <c r="H120" s="30"/>
      <c r="I120" s="31"/>
    </row>
    <row r="121" customFormat="false" ht="15" hidden="false" customHeight="false" outlineLevel="0" collapsed="false">
      <c r="A121" s="28"/>
      <c r="B121" s="28"/>
      <c r="C121" s="28"/>
      <c r="D121" s="28"/>
      <c r="E121" s="29"/>
      <c r="F121" s="29"/>
      <c r="G121" s="30"/>
      <c r="H121" s="30"/>
      <c r="I121" s="31"/>
    </row>
    <row r="122" customFormat="false" ht="15" hidden="false" customHeight="false" outlineLevel="0" collapsed="false">
      <c r="A122" s="28"/>
      <c r="B122" s="28"/>
      <c r="C122" s="28"/>
      <c r="D122" s="28"/>
      <c r="E122" s="29"/>
      <c r="F122" s="29"/>
      <c r="G122" s="30"/>
      <c r="H122" s="30"/>
      <c r="I122" s="31"/>
    </row>
    <row r="123" customFormat="false" ht="15" hidden="false" customHeight="false" outlineLevel="0" collapsed="false">
      <c r="A123" s="28"/>
      <c r="B123" s="28"/>
      <c r="C123" s="28"/>
      <c r="D123" s="28"/>
      <c r="E123" s="29"/>
      <c r="F123" s="29"/>
      <c r="G123" s="30"/>
      <c r="H123" s="30"/>
      <c r="I123" s="31"/>
    </row>
    <row r="124" customFormat="false" ht="15" hidden="false" customHeight="false" outlineLevel="0" collapsed="false">
      <c r="A124" s="28"/>
      <c r="B124" s="28"/>
      <c r="C124" s="28"/>
      <c r="D124" s="28"/>
      <c r="E124" s="29"/>
      <c r="F124" s="29"/>
      <c r="G124" s="30"/>
      <c r="H124" s="30"/>
      <c r="I124" s="31"/>
    </row>
    <row r="125" customFormat="false" ht="15" hidden="false" customHeight="false" outlineLevel="0" collapsed="false">
      <c r="A125" s="28"/>
      <c r="B125" s="28"/>
      <c r="C125" s="28"/>
      <c r="D125" s="28"/>
      <c r="E125" s="29"/>
      <c r="F125" s="29"/>
      <c r="G125" s="30"/>
      <c r="H125" s="30"/>
      <c r="I125" s="31"/>
    </row>
    <row r="126" customFormat="false" ht="15" hidden="false" customHeight="false" outlineLevel="0" collapsed="false">
      <c r="A126" s="28"/>
      <c r="B126" s="28"/>
      <c r="C126" s="28"/>
      <c r="D126" s="28"/>
      <c r="E126" s="29"/>
      <c r="F126" s="29"/>
      <c r="G126" s="30"/>
      <c r="H126" s="30"/>
      <c r="I126" s="31"/>
    </row>
    <row r="127" customFormat="false" ht="15" hidden="false" customHeight="false" outlineLevel="0" collapsed="false">
      <c r="A127" s="28"/>
      <c r="B127" s="28"/>
      <c r="C127" s="28"/>
      <c r="D127" s="28"/>
      <c r="E127" s="29"/>
      <c r="F127" s="29"/>
      <c r="G127" s="30"/>
      <c r="H127" s="30"/>
      <c r="I127" s="31"/>
    </row>
    <row r="128" customFormat="false" ht="15" hidden="false" customHeight="false" outlineLevel="0" collapsed="false">
      <c r="A128" s="28"/>
      <c r="B128" s="28"/>
      <c r="C128" s="28"/>
      <c r="D128" s="28"/>
      <c r="E128" s="29"/>
      <c r="F128" s="29"/>
      <c r="G128" s="30"/>
      <c r="H128" s="30"/>
      <c r="I128" s="31"/>
    </row>
    <row r="129" customFormat="false" ht="15" hidden="false" customHeight="false" outlineLevel="0" collapsed="false">
      <c r="A129" s="28"/>
      <c r="B129" s="28"/>
      <c r="C129" s="28"/>
      <c r="D129" s="28"/>
      <c r="E129" s="29"/>
      <c r="F129" s="29"/>
      <c r="G129" s="30"/>
      <c r="H129" s="30"/>
      <c r="I129" s="31"/>
    </row>
    <row r="130" customFormat="false" ht="15" hidden="false" customHeight="false" outlineLevel="0" collapsed="false">
      <c r="A130" s="28"/>
      <c r="B130" s="28"/>
      <c r="C130" s="28"/>
      <c r="D130" s="28"/>
      <c r="E130" s="29"/>
      <c r="F130" s="29"/>
      <c r="G130" s="30"/>
      <c r="H130" s="30"/>
      <c r="I130" s="31"/>
    </row>
    <row r="131" customFormat="false" ht="15" hidden="false" customHeight="false" outlineLevel="0" collapsed="false">
      <c r="A131" s="28"/>
      <c r="B131" s="28"/>
      <c r="C131" s="28"/>
      <c r="D131" s="28"/>
      <c r="E131" s="29"/>
      <c r="F131" s="29"/>
      <c r="G131" s="30"/>
      <c r="H131" s="30"/>
      <c r="I131" s="31"/>
    </row>
    <row r="132" customFormat="false" ht="15" hidden="false" customHeight="false" outlineLevel="0" collapsed="false">
      <c r="A132" s="28"/>
      <c r="B132" s="28"/>
      <c r="C132" s="28"/>
      <c r="D132" s="28"/>
      <c r="E132" s="29"/>
      <c r="F132" s="29"/>
      <c r="G132" s="30"/>
      <c r="H132" s="30"/>
      <c r="I132" s="31"/>
    </row>
    <row r="133" customFormat="false" ht="15" hidden="false" customHeight="false" outlineLevel="0" collapsed="false">
      <c r="A133" s="28"/>
      <c r="B133" s="28"/>
      <c r="C133" s="28"/>
      <c r="D133" s="28"/>
      <c r="E133" s="29"/>
      <c r="F133" s="29"/>
      <c r="G133" s="30"/>
      <c r="H133" s="30"/>
      <c r="I133" s="31"/>
    </row>
    <row r="134" customFormat="false" ht="15" hidden="false" customHeight="false" outlineLevel="0" collapsed="false">
      <c r="A134" s="28"/>
      <c r="B134" s="28"/>
      <c r="C134" s="28"/>
      <c r="D134" s="28"/>
      <c r="E134" s="29"/>
      <c r="F134" s="29"/>
      <c r="G134" s="30"/>
      <c r="H134" s="30"/>
      <c r="I134" s="31"/>
    </row>
    <row r="135" customFormat="false" ht="15" hidden="false" customHeight="false" outlineLevel="0" collapsed="false">
      <c r="A135" s="28"/>
      <c r="B135" s="28"/>
      <c r="C135" s="28"/>
      <c r="D135" s="28"/>
      <c r="E135" s="29"/>
      <c r="F135" s="29"/>
      <c r="G135" s="30"/>
      <c r="H135" s="30"/>
      <c r="I135" s="31"/>
    </row>
    <row r="136" customFormat="false" ht="15" hidden="false" customHeight="false" outlineLevel="0" collapsed="false">
      <c r="A136" s="28"/>
      <c r="B136" s="28"/>
      <c r="C136" s="28"/>
      <c r="D136" s="28"/>
      <c r="E136" s="29"/>
      <c r="F136" s="29"/>
      <c r="G136" s="30"/>
      <c r="H136" s="30"/>
      <c r="I136" s="31"/>
    </row>
    <row r="137" customFormat="false" ht="15" hidden="false" customHeight="false" outlineLevel="0" collapsed="false">
      <c r="A137" s="28"/>
      <c r="B137" s="28"/>
      <c r="C137" s="28"/>
      <c r="D137" s="28"/>
      <c r="E137" s="29"/>
      <c r="F137" s="29"/>
      <c r="G137" s="30"/>
      <c r="H137" s="30"/>
      <c r="I137" s="31"/>
    </row>
    <row r="138" customFormat="false" ht="15" hidden="false" customHeight="false" outlineLevel="0" collapsed="false">
      <c r="A138" s="28"/>
      <c r="B138" s="28"/>
      <c r="C138" s="28"/>
      <c r="D138" s="28"/>
      <c r="E138" s="29"/>
      <c r="F138" s="29"/>
      <c r="G138" s="30"/>
      <c r="H138" s="30"/>
      <c r="I138" s="31"/>
    </row>
    <row r="139" customFormat="false" ht="15" hidden="false" customHeight="false" outlineLevel="0" collapsed="false">
      <c r="A139" s="28"/>
      <c r="B139" s="28"/>
      <c r="C139" s="28"/>
      <c r="D139" s="28"/>
      <c r="E139" s="29"/>
      <c r="F139" s="29"/>
      <c r="G139" s="30"/>
      <c r="H139" s="30"/>
      <c r="I139" s="31"/>
    </row>
    <row r="140" customFormat="false" ht="15" hidden="false" customHeight="false" outlineLevel="0" collapsed="false">
      <c r="A140" s="28"/>
      <c r="B140" s="28"/>
      <c r="C140" s="28"/>
      <c r="D140" s="28"/>
      <c r="E140" s="29"/>
      <c r="F140" s="29"/>
      <c r="G140" s="30"/>
      <c r="H140" s="30"/>
      <c r="I140" s="31"/>
    </row>
    <row r="141" customFormat="false" ht="15" hidden="false" customHeight="false" outlineLevel="0" collapsed="false">
      <c r="A141" s="28"/>
      <c r="B141" s="28"/>
      <c r="C141" s="28"/>
      <c r="D141" s="28"/>
      <c r="E141" s="29"/>
      <c r="F141" s="29"/>
      <c r="G141" s="30"/>
      <c r="H141" s="30"/>
      <c r="I141" s="31"/>
    </row>
    <row r="142" customFormat="false" ht="15" hidden="false" customHeight="false" outlineLevel="0" collapsed="false">
      <c r="A142" s="28"/>
      <c r="B142" s="28"/>
      <c r="C142" s="28"/>
      <c r="D142" s="28"/>
      <c r="E142" s="29"/>
      <c r="F142" s="29"/>
      <c r="G142" s="30"/>
      <c r="H142" s="30"/>
      <c r="I142" s="31"/>
    </row>
    <row r="143" customFormat="false" ht="15" hidden="false" customHeight="false" outlineLevel="0" collapsed="false">
      <c r="A143" s="28"/>
      <c r="B143" s="28"/>
      <c r="C143" s="28"/>
      <c r="D143" s="28"/>
      <c r="E143" s="29"/>
      <c r="F143" s="29"/>
      <c r="G143" s="30"/>
      <c r="H143" s="30"/>
      <c r="I143" s="31"/>
    </row>
    <row r="144" customFormat="false" ht="15" hidden="false" customHeight="false" outlineLevel="0" collapsed="false">
      <c r="A144" s="28"/>
      <c r="B144" s="28"/>
      <c r="C144" s="28"/>
      <c r="D144" s="28"/>
      <c r="E144" s="29"/>
      <c r="F144" s="29"/>
      <c r="G144" s="30"/>
      <c r="H144" s="30"/>
      <c r="I144" s="31"/>
    </row>
    <row r="145" customFormat="false" ht="15" hidden="false" customHeight="false" outlineLevel="0" collapsed="false">
      <c r="A145" s="28"/>
      <c r="B145" s="28"/>
      <c r="C145" s="28"/>
      <c r="D145" s="28"/>
      <c r="E145" s="29"/>
      <c r="F145" s="29"/>
      <c r="G145" s="30"/>
      <c r="H145" s="30"/>
      <c r="I145" s="31"/>
    </row>
    <row r="146" customFormat="false" ht="15" hidden="false" customHeight="false" outlineLevel="0" collapsed="false">
      <c r="A146" s="28"/>
      <c r="B146" s="28"/>
      <c r="C146" s="28"/>
      <c r="D146" s="28"/>
      <c r="E146" s="29"/>
      <c r="F146" s="29"/>
      <c r="G146" s="30"/>
      <c r="H146" s="30"/>
      <c r="I146" s="31"/>
    </row>
    <row r="147" customFormat="false" ht="15" hidden="false" customHeight="false" outlineLevel="0" collapsed="false">
      <c r="A147" s="28"/>
      <c r="B147" s="28"/>
      <c r="C147" s="28"/>
      <c r="D147" s="28"/>
      <c r="E147" s="29"/>
      <c r="F147" s="29"/>
      <c r="G147" s="30"/>
      <c r="H147" s="30"/>
      <c r="I147" s="31"/>
    </row>
    <row r="148" customFormat="false" ht="15" hidden="false" customHeight="false" outlineLevel="0" collapsed="false">
      <c r="A148" s="28"/>
      <c r="B148" s="28"/>
      <c r="C148" s="28"/>
      <c r="D148" s="28"/>
      <c r="E148" s="29"/>
      <c r="F148" s="29"/>
      <c r="G148" s="30"/>
      <c r="H148" s="30"/>
      <c r="I148" s="31"/>
    </row>
    <row r="149" customFormat="false" ht="15" hidden="false" customHeight="false" outlineLevel="0" collapsed="false">
      <c r="A149" s="28"/>
      <c r="B149" s="28"/>
      <c r="C149" s="28"/>
      <c r="D149" s="28"/>
      <c r="E149" s="29"/>
      <c r="F149" s="29"/>
      <c r="G149" s="30"/>
      <c r="H149" s="30"/>
      <c r="I149" s="31"/>
    </row>
    <row r="150" customFormat="false" ht="15" hidden="false" customHeight="false" outlineLevel="0" collapsed="false">
      <c r="A150" s="28"/>
      <c r="B150" s="28"/>
      <c r="C150" s="28"/>
      <c r="D150" s="28"/>
      <c r="E150" s="29"/>
      <c r="F150" s="29"/>
      <c r="G150" s="30"/>
      <c r="H150" s="30"/>
      <c r="I150" s="31"/>
    </row>
    <row r="151" customFormat="false" ht="15" hidden="false" customHeight="false" outlineLevel="0" collapsed="false">
      <c r="A151" s="28"/>
      <c r="B151" s="28"/>
      <c r="C151" s="28"/>
      <c r="D151" s="28"/>
      <c r="E151" s="29"/>
      <c r="F151" s="29"/>
      <c r="G151" s="30"/>
      <c r="H151" s="30"/>
      <c r="I151" s="31"/>
    </row>
    <row r="152" customFormat="false" ht="15" hidden="false" customHeight="false" outlineLevel="0" collapsed="false">
      <c r="A152" s="28"/>
      <c r="B152" s="28"/>
      <c r="C152" s="28"/>
      <c r="D152" s="28"/>
      <c r="E152" s="29"/>
      <c r="F152" s="29"/>
      <c r="G152" s="30"/>
      <c r="H152" s="30"/>
      <c r="I152" s="31"/>
    </row>
    <row r="153" customFormat="false" ht="15" hidden="false" customHeight="false" outlineLevel="0" collapsed="false">
      <c r="A153" s="28"/>
      <c r="B153" s="28"/>
      <c r="C153" s="28"/>
      <c r="D153" s="28"/>
      <c r="E153" s="29"/>
      <c r="F153" s="29"/>
      <c r="G153" s="30"/>
      <c r="H153" s="30"/>
      <c r="I153" s="31"/>
    </row>
    <row r="154" customFormat="false" ht="15" hidden="false" customHeight="false" outlineLevel="0" collapsed="false">
      <c r="A154" s="28"/>
      <c r="B154" s="28"/>
      <c r="C154" s="28"/>
      <c r="D154" s="28"/>
      <c r="E154" s="29"/>
      <c r="F154" s="29"/>
      <c r="G154" s="30"/>
      <c r="H154" s="30"/>
      <c r="I154" s="31"/>
    </row>
    <row r="155" customFormat="false" ht="15" hidden="false" customHeight="false" outlineLevel="0" collapsed="false">
      <c r="A155" s="28"/>
      <c r="B155" s="28"/>
      <c r="C155" s="28"/>
      <c r="D155" s="28"/>
      <c r="E155" s="29"/>
      <c r="F155" s="29"/>
      <c r="G155" s="30"/>
      <c r="H155" s="30"/>
      <c r="I155" s="31"/>
    </row>
    <row r="156" customFormat="false" ht="15" hidden="false" customHeight="false" outlineLevel="0" collapsed="false">
      <c r="A156" s="28"/>
      <c r="B156" s="28"/>
      <c r="C156" s="28"/>
      <c r="D156" s="28"/>
      <c r="E156" s="29"/>
      <c r="F156" s="29"/>
      <c r="G156" s="30"/>
      <c r="H156" s="30"/>
      <c r="I156" s="31"/>
    </row>
  </sheetData>
  <dataValidations count="4">
    <dataValidation allowBlank="true" error="Bitte IoT, EDM, Parking oder LLM auswählen." errorStyle="stop" errorTitle="Ungültiges Themenfeld" operator="between" showDropDown="false" showErrorMessage="false" showInputMessage="false" sqref="A7:A356" type="list">
      <formula1>"IoT,EDM,Parking,LLM"</formula1>
      <formula2>0</formula2>
    </dataValidation>
    <dataValidation allowBlank="true" error="Bitte Hardware, Hardware + Dienstleistung, Lizenzen oder Dienstleistung auswählen." errorStyle="stop" errorTitle="Ungültige Kategorie" operator="between" showDropDown="false" showErrorMessage="false" showInputMessage="false" sqref="B7:B356" type="list">
      <formula1>"Hardware,Hardware + Dienstleistung,Lizenzen,Dienstleistung"</formula1>
      <formula2>0</formula2>
    </dataValidation>
    <dataValidation allowBlank="true" error="Bitte ein Datum im Format TT.MM.JJJJ eintragen." errorStyle="stop" errorTitle="Ungültiges Datum" operator="between" showDropDown="false" showErrorMessage="false" showInputMessage="false" sqref="E7:F356" type="date">
      <formula1>DATE(2020,1,1)</formula1>
      <formula2>DATE(2040,12,31)</formula2>
    </dataValidation>
    <dataValidation allowBlank="true" error="Zulässig sind 0 % bis 100 %. Eingabe z. B. als 20% oder als 0,2." errorStyle="stop" errorTitle="Ungültige Wahrscheinlichkeit" operator="between" showDropDown="false" showErrorMessage="false" showInputMessage="false" sqref="I7:I35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Aufträge  |  Seite &amp;P von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26" t="s">
        <v>84</v>
      </c>
    </row>
    <row r="2" customFormat="false" ht="15" hidden="false" customHeight="false" outlineLevel="0" collapsed="false">
      <c r="A2" s="32" t="s">
        <v>85</v>
      </c>
    </row>
    <row r="3" customFormat="false" ht="15" hidden="false" customHeight="false" outlineLevel="0" collapsed="false">
      <c r="A3" s="3" t="s">
        <v>86</v>
      </c>
    </row>
    <row r="5" customFormat="false" ht="15" hidden="false" customHeight="false" outlineLevel="0" collapsed="false">
      <c r="A5" s="33" t="s">
        <v>87</v>
      </c>
      <c r="B5" s="34" t="s">
        <v>88</v>
      </c>
    </row>
    <row r="6" customFormat="false" ht="15" hidden="false" customHeight="false" outlineLevel="0" collapsed="false">
      <c r="A6" s="35" t="s">
        <v>89</v>
      </c>
      <c r="B6" s="8"/>
    </row>
    <row r="7" customFormat="false" ht="15" hidden="false" customHeight="false" outlineLevel="0" collapsed="false">
      <c r="A7" s="36" t="s">
        <v>90</v>
      </c>
      <c r="B7" s="11" t="n">
        <f aca="false">Cashflow!U76</f>
        <v>0</v>
      </c>
    </row>
    <row r="8" customFormat="false" ht="15" hidden="false" customHeight="false" outlineLevel="0" collapsed="false">
      <c r="A8" s="36" t="s">
        <v>91</v>
      </c>
      <c r="B8" s="11" t="n">
        <f aca="false">Cashflow!U77</f>
        <v>0</v>
      </c>
    </row>
    <row r="9" customFormat="false" ht="15" hidden="false" customHeight="false" outlineLevel="0" collapsed="false">
      <c r="A9" s="37" t="s">
        <v>92</v>
      </c>
      <c r="B9" s="20" t="n">
        <f aca="false">Cashflow!U78</f>
        <v>0</v>
      </c>
    </row>
    <row r="10" customFormat="false" ht="15" hidden="false" customHeight="false" outlineLevel="0" collapsed="false">
      <c r="A10" s="35" t="s">
        <v>93</v>
      </c>
      <c r="B10" s="8"/>
    </row>
    <row r="11" customFormat="false" ht="15" hidden="false" customHeight="false" outlineLevel="0" collapsed="false">
      <c r="A11" s="36" t="s">
        <v>94</v>
      </c>
      <c r="B11" s="11" t="n">
        <f aca="false">Cashflow!V76</f>
        <v>0</v>
      </c>
    </row>
    <row r="12" customFormat="false" ht="15" hidden="false" customHeight="false" outlineLevel="0" collapsed="false">
      <c r="A12" s="36" t="s">
        <v>95</v>
      </c>
      <c r="B12" s="11" t="n">
        <f aca="false">Cashflow!V77</f>
        <v>0</v>
      </c>
    </row>
    <row r="13" customFormat="false" ht="15" hidden="false" customHeight="false" outlineLevel="0" collapsed="false">
      <c r="A13" s="37" t="s">
        <v>96</v>
      </c>
      <c r="B13" s="20" t="n">
        <f aca="false">Cashflow!V78</f>
        <v>0</v>
      </c>
    </row>
    <row r="14" customFormat="false" ht="15" hidden="false" customHeight="false" outlineLevel="0" collapsed="false">
      <c r="A14" s="35" t="s">
        <v>97</v>
      </c>
      <c r="B14" s="8"/>
    </row>
    <row r="15" customFormat="false" ht="15" hidden="false" customHeight="false" outlineLevel="0" collapsed="false">
      <c r="A15" s="36" t="s">
        <v>98</v>
      </c>
      <c r="B15" s="11" t="n">
        <f aca="false">Cashflow!W76</f>
        <v>0</v>
      </c>
    </row>
    <row r="16" customFormat="false" ht="15" hidden="false" customHeight="false" outlineLevel="0" collapsed="false">
      <c r="A16" s="36" t="s">
        <v>99</v>
      </c>
      <c r="B16" s="11" t="n">
        <f aca="false">Cashflow!W77</f>
        <v>0</v>
      </c>
    </row>
    <row r="17" customFormat="false" ht="15" hidden="false" customHeight="false" outlineLevel="0" collapsed="false">
      <c r="A17" s="37" t="s">
        <v>100</v>
      </c>
      <c r="B17" s="20" t="n">
        <f aca="false">Cashflow!W78</f>
        <v>0</v>
      </c>
    </row>
  </sheetData>
  <conditionalFormatting sqref="B6:B17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2026-08-12T11:03:44Z</dcterms:created>
  <dc:creator>openpyxl</dc:creator>
  <dc:description/>
  <dc:language>en-US</dc:language>
  <cp:lastModifiedBy/>
  <dcterms:modified xsi:type="dcterms:W3CDTF">2026-08-12T11:03:46Z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