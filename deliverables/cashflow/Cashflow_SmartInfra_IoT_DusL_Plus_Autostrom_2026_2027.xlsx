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flow" sheetId="1" state="visible" r:id="rId3"/>
    <sheet name="Aufträge" sheetId="2" state="visible" r:id="rId4"/>
    <sheet name="Übersicht" sheetId="3" state="visible" r:id="rId5"/>
  </sheets>
  <definedNames>
    <definedName function="false" hidden="false" localSheetId="1" name="_xlnm.Print_Area" vbProcedure="false">Aufträge!$A$1:$I$156</definedName>
    <definedName function="false" hidden="false" localSheetId="1" name="_xlnm.Print_Titles" vbProcedure="false">Aufträge!$6:$6</definedName>
    <definedName function="false" hidden="false" localSheetId="0" name="_xlnm.Print_Area" vbProcedure="false">Cashflow!$A$1:$Y$184</definedName>
    <definedName function="false" hidden="false" localSheetId="0" name="_xlnm.Print_Titles" vbProcedure="false">Cashflow!$A:$D,Cashflow!$6:$6</definedName>
    <definedName function="false" hidden="false" localSheetId="0" name="_xlnm.Print_Titles" vbProcedure="false">Cashflow!$6:$6,Cashflow!$A:$D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<sst xmlns="http://schemas.openxmlformats.org/spreadsheetml/2006/main" count="133" uniqueCount="109">
  <si>
    <t xml:space="preserve">Cashflow-Planung</t>
  </si>
  <si>
    <t xml:space="preserve">Bereich:  SmartInfra / IoT-Büro</t>
  </si>
  <si>
    <t xml:space="preserve">Zeitraum:  Juli 2026 – Dezember 2027  (18 Monate, monatliche Granularität)</t>
  </si>
  <si>
    <t xml:space="preserve">Alle Beträge werden automatisch aus dem Reiter „Aufträge“ berechnet – hier wird links nur die Auftragsnummer (gelb) eingetragen.</t>
  </si>
  <si>
    <t xml:space="preserve">Auftrag</t>
  </si>
  <si>
    <t xml:space="preserve">Kostenstelle</t>
  </si>
  <si>
    <t xml:space="preserve">Themenfeld</t>
  </si>
  <si>
    <t xml:space="preserve">Kategorie</t>
  </si>
  <si>
    <t xml:space="preserve">Jul 26</t>
  </si>
  <si>
    <t xml:space="preserve">Aug 26</t>
  </si>
  <si>
    <t xml:space="preserve">Sep 26</t>
  </si>
  <si>
    <t xml:space="preserve">Okt 26</t>
  </si>
  <si>
    <t xml:space="preserve">Nov 26</t>
  </si>
  <si>
    <t xml:space="preserve">Dez 26</t>
  </si>
  <si>
    <t xml:space="preserve">Jan 27</t>
  </si>
  <si>
    <t xml:space="preserve">Feb 27</t>
  </si>
  <si>
    <t xml:space="preserve">Mär 27</t>
  </si>
  <si>
    <t xml:space="preserve">Apr 27</t>
  </si>
  <si>
    <t xml:space="preserve">Mai 27</t>
  </si>
  <si>
    <t xml:space="preserve">Jun 27</t>
  </si>
  <si>
    <t xml:space="preserve">Jul 27</t>
  </si>
  <si>
    <t xml:space="preserve">Aug 27</t>
  </si>
  <si>
    <t xml:space="preserve">Sep 27</t>
  </si>
  <si>
    <t xml:space="preserve">Okt 27</t>
  </si>
  <si>
    <t xml:space="preserve">Nov 27</t>
  </si>
  <si>
    <t xml:space="preserve">Dez 27</t>
  </si>
  <si>
    <t xml:space="preserve">Summe H2 2026</t>
  </si>
  <si>
    <t xml:space="preserve">Summe 2027</t>
  </si>
  <si>
    <t xml:space="preserve">Gesamt</t>
  </si>
  <si>
    <t xml:space="preserve">1  EINNAHMEN JE AUFTRAG  (Quelle: Reiter „Aufträge“)</t>
  </si>
  <si>
    <t xml:space="preserve">Noch nicht erfasste Aufträge</t>
  </si>
  <si>
    <t xml:space="preserve">Differenz</t>
  </si>
  <si>
    <t xml:space="preserve">Summe Einnahmen</t>
  </si>
  <si>
    <t xml:space="preserve">2  AUSGABEN JE AUFTRAG  (Quelle: Reiter „Aufträge“)</t>
  </si>
  <si>
    <t xml:space="preserve">Summe Ausgaben</t>
  </si>
  <si>
    <t xml:space="preserve">3  KENNZAHLEN (automatisch berechnet)</t>
  </si>
  <si>
    <t xml:space="preserve">Netto-Cashflow (Monat)</t>
  </si>
  <si>
    <t xml:space="preserve">Kumulierter Cashflow</t>
  </si>
  <si>
    <t xml:space="preserve">4  AUSWERTUNG NACH THEMENFELD (nachrichtlich, nicht in der Cashflow-Summe enthalten)</t>
  </si>
  <si>
    <t xml:space="preserve">IoT – Einnahmen</t>
  </si>
  <si>
    <t xml:space="preserve">IoT – Ausgaben</t>
  </si>
  <si>
    <t xml:space="preserve">EDM – Einnahmen</t>
  </si>
  <si>
    <t xml:space="preserve">EDM – Ausgaben</t>
  </si>
  <si>
    <t xml:space="preserve">Parking – Einnahmen</t>
  </si>
  <si>
    <t xml:space="preserve">Parking – Ausgaben</t>
  </si>
  <si>
    <t xml:space="preserve">LLM – Einnahmen</t>
  </si>
  <si>
    <t xml:space="preserve">LLM – Ausgaben</t>
  </si>
  <si>
    <t xml:space="preserve">5  AUSWERTUNG NACH KATEGORIE (nachrichtlich, nicht in der Cashflow-Summe enthalten)</t>
  </si>
  <si>
    <t xml:space="preserve">Hardware – Einnahmen</t>
  </si>
  <si>
    <t xml:space="preserve">Hardware – Ausgaben</t>
  </si>
  <si>
    <t xml:space="preserve">Hardware + Dienstleistung – Einnahmen</t>
  </si>
  <si>
    <t xml:space="preserve">Hardware + Dienstleistung – Ausgaben</t>
  </si>
  <si>
    <t xml:space="preserve">Lizenzen – Einnahmen</t>
  </si>
  <si>
    <t xml:space="preserve">Lizenzen – Ausgaben</t>
  </si>
  <si>
    <t xml:space="preserve">Dienstleistung – Einnahmen</t>
  </si>
  <si>
    <t xml:space="preserve">Dienstleistung – Ausgaben</t>
  </si>
  <si>
    <t xml:space="preserve">6  EINNAHMEN NACH KOSTENSTELLE (nachrichtlich, nicht in der Cashflow-Summe enthalten)</t>
  </si>
  <si>
    <t xml:space="preserve">87004006</t>
  </si>
  <si>
    <t xml:space="preserve">LKW / Autostrom+ / PKW / Autostrom+</t>
  </si>
  <si>
    <t xml:space="preserve">87105004</t>
  </si>
  <si>
    <t xml:space="preserve">HanseWerk Natur</t>
  </si>
  <si>
    <t xml:space="preserve">87001009</t>
  </si>
  <si>
    <t xml:space="preserve">Stadtwerke Husum</t>
  </si>
  <si>
    <t xml:space="preserve">85309000</t>
  </si>
  <si>
    <t xml:space="preserve">Bereichskostenstelle EDM</t>
  </si>
  <si>
    <t xml:space="preserve">87001004</t>
  </si>
  <si>
    <t xml:space="preserve">Airbus</t>
  </si>
  <si>
    <t xml:space="preserve">87002011</t>
  </si>
  <si>
    <t xml:space="preserve">Bayernwerk GmbH</t>
  </si>
  <si>
    <t xml:space="preserve">87001001</t>
  </si>
  <si>
    <t xml:space="preserve">Stadt Rendsburg</t>
  </si>
  <si>
    <t xml:space="preserve">87001011</t>
  </si>
  <si>
    <t xml:space="preserve">Neumünster</t>
  </si>
  <si>
    <t xml:space="preserve">7  AUSGABEN NACH KOSTENSTELLE (nachrichtlich, nicht in der Cashflow-Summe enthalten)</t>
  </si>
  <si>
    <t xml:space="preserve">Legende</t>
  </si>
  <si>
    <t xml:space="preserve">Eingabezelle – hier wird die Auftragsnummer bzw. die Kostenstelle eingetragen</t>
  </si>
  <si>
    <t xml:space="preserve">Automatisch aus dem Reiter „Aufträge“ berechnet – nicht überschreiben</t>
  </si>
  <si>
    <t xml:space="preserve">Ergebniszeile – automatisch berechnet</t>
  </si>
  <si>
    <t xml:space="preserve">Datenfluss:  Aufträge  →  Cashflow  →  Übersicht. Alle Beträge werden ausschließlich im Reiter „Aufträge“ erfasst.</t>
  </si>
  <si>
    <t xml:space="preserve">Spalte A: Auftragsnummer aus dem Reiter „Aufträge“ eintragen – Kostenstelle, Themenfeld und Kategorie werden automatisch daneben ergänzt, die Monatswerte über das jeweilige Datum zugeordnet.</t>
  </si>
  <si>
    <t xml:space="preserve">Zeile 58 bzw. 112 zeigt Beträge aus Aufträgen, die oben noch keine eigene Zeile haben. Die Summenzeilen enthalten immer den vollständigen Monatswert, es geht also nie ein Betrag verloren.</t>
  </si>
  <si>
    <t xml:space="preserve">Zeile 5 ist ausgeblendet und enthält die echten Monatsanfänge (Datumswerte), mit denen die SUMMEWENNS-Formeln die Monatsgrenzen bilden.</t>
  </si>
  <si>
    <t xml:space="preserve">Die Auftragswahrscheinlichkeit wird im Reiter „Aufträge“ nur gespeichert und nicht eingerechnet. Ein gewichteter Forecast lässt sich später über SUMMENPRODUKT bzw. eine zusätzliche Kennzahlenzeile ergänzen.</t>
  </si>
  <si>
    <t xml:space="preserve">Aufträge – zentrale Datenerfassung</t>
  </si>
  <si>
    <t xml:space="preserve">SmartInfra / IoT-Büro  ·  DusL Plus Autostrom</t>
  </si>
  <si>
    <t xml:space="preserve">Jeder Auftrag bzw. finanzielle Vorgang wird hier einmalig erfasst. Der Reiter „Cashflow“ aggregiert daraus automatisch nach Monat.</t>
  </si>
  <si>
    <t xml:space="preserve">Datum Einnahmen und Datum Ausgaben sind unabhängig – ein Auftrag kann z. B. im September Ausgaben und erst im November Einnahmen haben. LLM = Lastmanagement.</t>
  </si>
  <si>
    <t xml:space="preserve">Datum Einnahmen</t>
  </si>
  <si>
    <t xml:space="preserve">Datum Ausgaben</t>
  </si>
  <si>
    <t xml:space="preserve">Einnahmen</t>
  </si>
  <si>
    <t xml:space="preserve">Ausgaben</t>
  </si>
  <si>
    <t xml:space="preserve">Auftragswahrscheinlichkeit</t>
  </si>
  <si>
    <t xml:space="preserve">Übersicht Cashflow – DusL Plus Autostrom</t>
  </si>
  <si>
    <t xml:space="preserve">SmartInfra / IoT-Büro  ·  Juli 2026 – Dezember 2027</t>
  </si>
  <si>
    <t xml:space="preserve">Alle Werte werden automatisch aus dem Blatt „Cashflow“ übernommen.</t>
  </si>
  <si>
    <t xml:space="preserve">Kennzahl</t>
  </si>
  <si>
    <t xml:space="preserve">Betrag</t>
  </si>
  <si>
    <t xml:space="preserve">H2 2026 (Jul – Dez 2026)</t>
  </si>
  <si>
    <t xml:space="preserve">Einnahmen H2 2026</t>
  </si>
  <si>
    <t xml:space="preserve">Ausgaben H2 2026</t>
  </si>
  <si>
    <t xml:space="preserve">Netto-Cashflow H2 2026</t>
  </si>
  <si>
    <t xml:space="preserve">Geschäftsjahr 2027</t>
  </si>
  <si>
    <t xml:space="preserve">Einnahmen 2027</t>
  </si>
  <si>
    <t xml:space="preserve">Ausgaben 2027</t>
  </si>
  <si>
    <t xml:space="preserve">Netto-Cashflow 2027</t>
  </si>
  <si>
    <t xml:space="preserve">Gesamtzeitraum (18 Monate)</t>
  </si>
  <si>
    <t xml:space="preserve">Gesamteinnahmen</t>
  </si>
  <si>
    <t xml:space="preserve">Gesamtausgaben</t>
  </si>
  <si>
    <t xml:space="preserve">Gesamt-Netto-Cashflow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</si>
</sst>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.00&quot; €&quot;;[RED]\-#,##0.00&quot; €&quot;;\–"/>
    <numFmt numFmtId="167" formatCode="0\ %"/>
    <numFmt numFmtId="168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9E1"/>
        <bgColor rgb="FFF2F2F2"/>
      </patternFill>
    </fill>
    <fill>
      <patternFill patternType="solid">
        <fgColor rgb="FFF2F2F2"/>
        <bgColor rgb="FFFFF9E1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EA9DB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9E1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E2F3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Einnahmen vs. Ausgaben (monatlich)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Cashflow!A116</c:f>
              <c:strCache>
                <c:ptCount val="1"/>
                <c:pt idx="0">
                  <c:v>Summe Einnahmen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Cashflow!$E$6:$V$6</c:f>
              <c:strCache>
                <c:ptCount val="18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</c:strCache>
            </c:strRef>
          </c:cat>
          <c:val>
            <c:numRef>
              <c:f>Cashflow!$B$116:$V$116</c:f>
              <c:numCache>
                <c:formatCode>#,##0.00" €";[RED]\-#,##0.00" €";\–</c:formatCode>
                <c:ptCount val="21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Cashflow!A117</c:f>
              <c:strCache>
                <c:ptCount val="1"/>
                <c:pt idx="0">
                  <c:v>Summe Ausgaben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Cashflow!$E$6:$V$6</c:f>
              <c:strCache>
                <c:ptCount val="18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</c:strCache>
            </c:strRef>
          </c:cat>
          <c:val>
            <c:numRef>
              <c:f>Cashflow!$B$117:$V$117</c:f>
              <c:numCache>
                <c:formatCode>#,##0.00" €";[RED]\-#,##0.00" €";\–</c:formatCode>
                <c:ptCount val="21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gapWidth val="40"/>
        <c:overlap val="0"/>
        <c:axId val="26784114"/>
        <c:axId val="86750637"/>
      </c:barChart>
      <c:catAx>
        <c:axId val="26784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50637"/>
        <c:crosses val="autoZero"/>
        <c:auto val="1"/>
        <c:lblAlgn val="ctr"/>
        <c:lblOffset val="100"/>
        <c:noMultiLvlLbl val="0"/>
      </c:catAx>
      <c:valAx>
        <c:axId val="86750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4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Netto-Cashflow und kumulierter Cashflow (monatlich)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Cashflow!A118</c:f>
              <c:strCache>
                <c:ptCount val="1"/>
                <c:pt idx="0">
                  <c:v>Netto-Cashflow (Monat)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Cashflow!$E$6:$V$6</c:f>
              <c:strCache>
                <c:ptCount val="18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</c:strCache>
            </c:strRef>
          </c:cat>
          <c:val>
            <c:numRef>
              <c:f>Cashflow!$B$118:$V$118</c:f>
              <c:numCache>
                <c:formatCode>#,##0.00" €";[RED]\-#,##0.00" €";\–</c:formatCode>
                <c:ptCount val="21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Cashflow!A119</c:f>
              <c:strCache>
                <c:ptCount val="1"/>
                <c:pt idx="0">
                  <c:v>Kumulierter Cashflow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Cashflow!$E$6:$V$6</c:f>
              <c:strCache>
                <c:ptCount val="18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</c:strCache>
            </c:strRef>
          </c:cat>
          <c:val>
            <c:numRef>
              <c:f>Cashflow!$B$119:$V$119</c:f>
              <c:numCache>
                <c:formatCode>#,##0.00" €";[RED]\-#,##0.00" €";\–</c:formatCode>
                <c:ptCount val="21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973330"/>
        <c:axId val="78151108"/>
      </c:lineChart>
      <c:catAx>
        <c:axId val="52973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51108"/>
        <c:crosses val="autoZero"/>
        <c:auto val="1"/>
        <c:lblAlgn val="ctr"/>
        <c:lblOffset val="100"/>
        <c:noMultiLvlLbl val="0"/>
      </c:catAx>
      <c:valAx>
        <c:axId val="78151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733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131040</xdr:rowOff>
    </xdr:from>
    <xdr:to>
      <xdr:col>15</xdr:col>
      <xdr:colOff>253800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5559480" y="76212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131040</xdr:rowOff>
    </xdr:from>
    <xdr:to>
      <xdr:col>15</xdr:col>
      <xdr:colOff>253800</xdr:colOff>
      <xdr:row>35</xdr:row>
      <xdr:rowOff>153000</xdr:rowOff>
    </xdr:to>
    <xdr:graphicFrame>
      <xdr:nvGraphicFramePr>
        <xdr:cNvPr id="1" name="Chart 2"/>
        <xdr:cNvGraphicFramePr/>
      </xdr:nvGraphicFramePr>
      <xdr:xfrm>
        <a:off x="5559480" y="40006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uftraege" displayName="tblAuftraege" ref="A6:I156" headerRowCount="1" totalsRowCount="0" totalsRowShown="0">
  <autoFilter ref="A6:I156"/>
  <tableColumns count="9">
    <tableColumn id="1" name="Themenfeld"/>
    <tableColumn id="2" name="Kategorie"/>
    <tableColumn id="3" name="Auftrag"/>
    <tableColumn id="4" name="Kostenstelle"/>
    <tableColumn id="5" name="Datum Einnahmen"/>
    <tableColumn id="6" name="Datum Ausgaben"/>
    <tableColumn id="7" name="Einnahmen"/>
    <tableColumn id="8" name="Ausgaben"/>
    <tableColumn id="9" name="Auftragswahrscheinlichke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E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22" min="5" style="0" width="13"/>
    <col collapsed="false" customWidth="true" hidden="false" outlineLevel="0" max="25" min="2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true" customHeight="false" outlineLevel="0" collapsed="false">
      <c r="E5" s="4" t="n">
        <v>46204</v>
      </c>
      <c r="F5" s="4" t="n">
        <v>46235</v>
      </c>
      <c r="G5" s="4" t="n">
        <v>46266</v>
      </c>
      <c r="H5" s="4" t="n">
        <v>46296</v>
      </c>
      <c r="I5" s="4" t="n">
        <v>46327</v>
      </c>
      <c r="J5" s="4" t="n">
        <v>46357</v>
      </c>
      <c r="K5" s="4" t="n">
        <v>46388</v>
      </c>
      <c r="L5" s="4" t="n">
        <v>46419</v>
      </c>
      <c r="M5" s="4" t="n">
        <v>46447</v>
      </c>
      <c r="N5" s="4" t="n">
        <v>46478</v>
      </c>
      <c r="O5" s="4" t="n">
        <v>46508</v>
      </c>
      <c r="P5" s="4" t="n">
        <v>46539</v>
      </c>
      <c r="Q5" s="4" t="n">
        <v>46569</v>
      </c>
      <c r="R5" s="4" t="n">
        <v>46600</v>
      </c>
      <c r="S5" s="4" t="n">
        <v>46631</v>
      </c>
      <c r="T5" s="4" t="n">
        <v>46661</v>
      </c>
      <c r="U5" s="4" t="n">
        <v>46692</v>
      </c>
      <c r="V5" s="4" t="n">
        <v>46722</v>
      </c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  <c r="W6" s="6" t="s">
        <v>26</v>
      </c>
      <c r="X6" s="6" t="s">
        <v>27</v>
      </c>
      <c r="Y6" s="6" t="s">
        <v>28</v>
      </c>
    </row>
    <row r="7" customFormat="false" ht="19.5" hidden="false" customHeight="true" outlineLevel="0" collapsed="false">
      <c r="A7" s="7" t="s">
        <v>29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customFormat="false" ht="15" hidden="false" customHeight="false" outlineLevel="0" collapsed="false">
      <c r="A8" s="9"/>
      <c r="B8" s="10" t="str">
        <f aca="false">IF($A8="","",IFERROR(INDEX(tblAuftraege[Kostenstelle],MATCH($A8,tblAuftraege[Auftrag],0)),""))</f>
        <v/>
      </c>
      <c r="C8" s="10" t="str">
        <f aca="false">IF($A8="","",IFERROR(INDEX(tblAuftraege[Themenfeld],MATCH($A8,tblAuftraege[Auftrag],0)),""))</f>
        <v/>
      </c>
      <c r="D8" s="10" t="str">
        <f aca="false">IF($A8="","",IFERROR(INDEX(tblAuftraege[Kategorie],MATCH($A8,tblAuftraege[Auftrag],0)),""))</f>
        <v/>
      </c>
      <c r="E8" s="11" t="n">
        <f aca="false">IF($A8="",0,SUMIFS(tblAuftraege[Einnahmen],tblAuftraege[Datum Einnahmen],"&gt;="&amp;E$5,tblAuftraege[Datum Einnahmen],"&lt;"&amp;EDATE(E$5,1),tblAuftraege[Auftrag],$A8))</f>
        <v>0</v>
      </c>
      <c r="F8" s="11" t="n">
        <f aca="false">IF($A8="",0,SUMIFS(tblAuftraege[Einnahmen],tblAuftraege[Datum Einnahmen],"&gt;="&amp;F$5,tblAuftraege[Datum Einnahmen],"&lt;"&amp;EDATE(F$5,1),tblAuftraege[Auftrag],$A8))</f>
        <v>0</v>
      </c>
      <c r="G8" s="11" t="n">
        <f aca="false">IF($A8="",0,SUMIFS(tblAuftraege[Einnahmen],tblAuftraege[Datum Einnahmen],"&gt;="&amp;G$5,tblAuftraege[Datum Einnahmen],"&lt;"&amp;EDATE(G$5,1),tblAuftraege[Auftrag],$A8))</f>
        <v>0</v>
      </c>
      <c r="H8" s="11" t="n">
        <f aca="false">IF($A8="",0,SUMIFS(tblAuftraege[Einnahmen],tblAuftraege[Datum Einnahmen],"&gt;="&amp;H$5,tblAuftraege[Datum Einnahmen],"&lt;"&amp;EDATE(H$5,1),tblAuftraege[Auftrag],$A8))</f>
        <v>0</v>
      </c>
      <c r="I8" s="11" t="n">
        <f aca="false">IF($A8="",0,SUMIFS(tblAuftraege[Einnahmen],tblAuftraege[Datum Einnahmen],"&gt;="&amp;I$5,tblAuftraege[Datum Einnahmen],"&lt;"&amp;EDATE(I$5,1),tblAuftraege[Auftrag],$A8))</f>
        <v>0</v>
      </c>
      <c r="J8" s="11" t="n">
        <f aca="false">IF($A8="",0,SUMIFS(tblAuftraege[Einnahmen],tblAuftraege[Datum Einnahmen],"&gt;="&amp;J$5,tblAuftraege[Datum Einnahmen],"&lt;"&amp;EDATE(J$5,1),tblAuftraege[Auftrag],$A8))</f>
        <v>0</v>
      </c>
      <c r="K8" s="11" t="n">
        <f aca="false">IF($A8="",0,SUMIFS(tblAuftraege[Einnahmen],tblAuftraege[Datum Einnahmen],"&gt;="&amp;K$5,tblAuftraege[Datum Einnahmen],"&lt;"&amp;EDATE(K$5,1),tblAuftraege[Auftrag],$A8))</f>
        <v>0</v>
      </c>
      <c r="L8" s="11" t="n">
        <f aca="false">IF($A8="",0,SUMIFS(tblAuftraege[Einnahmen],tblAuftraege[Datum Einnahmen],"&gt;="&amp;L$5,tblAuftraege[Datum Einnahmen],"&lt;"&amp;EDATE(L$5,1),tblAuftraege[Auftrag],$A8))</f>
        <v>0</v>
      </c>
      <c r="M8" s="11" t="n">
        <f aca="false">IF($A8="",0,SUMIFS(tblAuftraege[Einnahmen],tblAuftraege[Datum Einnahmen],"&gt;="&amp;M$5,tblAuftraege[Datum Einnahmen],"&lt;"&amp;EDATE(M$5,1),tblAuftraege[Auftrag],$A8))</f>
        <v>0</v>
      </c>
      <c r="N8" s="11" t="n">
        <f aca="false">IF($A8="",0,SUMIFS(tblAuftraege[Einnahmen],tblAuftraege[Datum Einnahmen],"&gt;="&amp;N$5,tblAuftraege[Datum Einnahmen],"&lt;"&amp;EDATE(N$5,1),tblAuftraege[Auftrag],$A8))</f>
        <v>0</v>
      </c>
      <c r="O8" s="11" t="n">
        <f aca="false">IF($A8="",0,SUMIFS(tblAuftraege[Einnahmen],tblAuftraege[Datum Einnahmen],"&gt;="&amp;O$5,tblAuftraege[Datum Einnahmen],"&lt;"&amp;EDATE(O$5,1),tblAuftraege[Auftrag],$A8))</f>
        <v>0</v>
      </c>
      <c r="P8" s="11" t="n">
        <f aca="false">IF($A8="",0,SUMIFS(tblAuftraege[Einnahmen],tblAuftraege[Datum Einnahmen],"&gt;="&amp;P$5,tblAuftraege[Datum Einnahmen],"&lt;"&amp;EDATE(P$5,1),tblAuftraege[Auftrag],$A8))</f>
        <v>0</v>
      </c>
      <c r="Q8" s="11" t="n">
        <f aca="false">IF($A8="",0,SUMIFS(tblAuftraege[Einnahmen],tblAuftraege[Datum Einnahmen],"&gt;="&amp;Q$5,tblAuftraege[Datum Einnahmen],"&lt;"&amp;EDATE(Q$5,1),tblAuftraege[Auftrag],$A8))</f>
        <v>0</v>
      </c>
      <c r="R8" s="11" t="n">
        <f aca="false">IF($A8="",0,SUMIFS(tblAuftraege[Einnahmen],tblAuftraege[Datum Einnahmen],"&gt;="&amp;R$5,tblAuftraege[Datum Einnahmen],"&lt;"&amp;EDATE(R$5,1),tblAuftraege[Auftrag],$A8))</f>
        <v>0</v>
      </c>
      <c r="S8" s="11" t="n">
        <f aca="false">IF($A8="",0,SUMIFS(tblAuftraege[Einnahmen],tblAuftraege[Datum Einnahmen],"&gt;="&amp;S$5,tblAuftraege[Datum Einnahmen],"&lt;"&amp;EDATE(S$5,1),tblAuftraege[Auftrag],$A8))</f>
        <v>0</v>
      </c>
      <c r="T8" s="11" t="n">
        <f aca="false">IF($A8="",0,SUMIFS(tblAuftraege[Einnahmen],tblAuftraege[Datum Einnahmen],"&gt;="&amp;T$5,tblAuftraege[Datum Einnahmen],"&lt;"&amp;EDATE(T$5,1),tblAuftraege[Auftrag],$A8))</f>
        <v>0</v>
      </c>
      <c r="U8" s="11" t="n">
        <f aca="false">IF($A8="",0,SUMIFS(tblAuftraege[Einnahmen],tblAuftraege[Datum Einnahmen],"&gt;="&amp;U$5,tblAuftraege[Datum Einnahmen],"&lt;"&amp;EDATE(U$5,1),tblAuftraege[Auftrag],$A8))</f>
        <v>0</v>
      </c>
      <c r="V8" s="11" t="n">
        <f aca="false">IF($A8="",0,SUMIFS(tblAuftraege[Einnahmen],tblAuftraege[Datum Einnahmen],"&gt;="&amp;V$5,tblAuftraege[Datum Einnahmen],"&lt;"&amp;EDATE(V$5,1),tblAuftraege[Auftrag],$A8))</f>
        <v>0</v>
      </c>
      <c r="W8" s="11" t="n">
        <f aca="false">SUM(E8:J8)</f>
        <v>0</v>
      </c>
      <c r="X8" s="11" t="n">
        <f aca="false">SUM(K8:V8)</f>
        <v>0</v>
      </c>
      <c r="Y8" s="12" t="n">
        <f aca="false">SUM(E8:V8)</f>
        <v>0</v>
      </c>
    </row>
    <row r="9" customFormat="false" ht="15" hidden="false" customHeight="false" outlineLevel="0" collapsed="false">
      <c r="A9" s="9"/>
      <c r="B9" s="10" t="str">
        <f aca="false">IF($A9="","",IFERROR(INDEX(tblAuftraege[Kostenstelle],MATCH($A9,tblAuftraege[Auftrag],0)),""))</f>
        <v/>
      </c>
      <c r="C9" s="10" t="str">
        <f aca="false">IF($A9="","",IFERROR(INDEX(tblAuftraege[Themenfeld],MATCH($A9,tblAuftraege[Auftrag],0)),""))</f>
        <v/>
      </c>
      <c r="D9" s="10" t="str">
        <f aca="false">IF($A9="","",IFERROR(INDEX(tblAuftraege[Kategorie],MATCH($A9,tblAuftraege[Auftrag],0)),""))</f>
        <v/>
      </c>
      <c r="E9" s="11" t="n">
        <f aca="false">IF($A9="",0,SUMIFS(tblAuftraege[Einnahmen],tblAuftraege[Datum Einnahmen],"&gt;="&amp;E$5,tblAuftraege[Datum Einnahmen],"&lt;"&amp;EDATE(E$5,1),tblAuftraege[Auftrag],$A9))</f>
        <v>0</v>
      </c>
      <c r="F9" s="11" t="n">
        <f aca="false">IF($A9="",0,SUMIFS(tblAuftraege[Einnahmen],tblAuftraege[Datum Einnahmen],"&gt;="&amp;F$5,tblAuftraege[Datum Einnahmen],"&lt;"&amp;EDATE(F$5,1),tblAuftraege[Auftrag],$A9))</f>
        <v>0</v>
      </c>
      <c r="G9" s="11" t="n">
        <f aca="false">IF($A9="",0,SUMIFS(tblAuftraege[Einnahmen],tblAuftraege[Datum Einnahmen],"&gt;="&amp;G$5,tblAuftraege[Datum Einnahmen],"&lt;"&amp;EDATE(G$5,1),tblAuftraege[Auftrag],$A9))</f>
        <v>0</v>
      </c>
      <c r="H9" s="11" t="n">
        <f aca="false">IF($A9="",0,SUMIFS(tblAuftraege[Einnahmen],tblAuftraege[Datum Einnahmen],"&gt;="&amp;H$5,tblAuftraege[Datum Einnahmen],"&lt;"&amp;EDATE(H$5,1),tblAuftraege[Auftrag],$A9))</f>
        <v>0</v>
      </c>
      <c r="I9" s="11" t="n">
        <f aca="false">IF($A9="",0,SUMIFS(tblAuftraege[Einnahmen],tblAuftraege[Datum Einnahmen],"&gt;="&amp;I$5,tblAuftraege[Datum Einnahmen],"&lt;"&amp;EDATE(I$5,1),tblAuftraege[Auftrag],$A9))</f>
        <v>0</v>
      </c>
      <c r="J9" s="11" t="n">
        <f aca="false">IF($A9="",0,SUMIFS(tblAuftraege[Einnahmen],tblAuftraege[Datum Einnahmen],"&gt;="&amp;J$5,tblAuftraege[Datum Einnahmen],"&lt;"&amp;EDATE(J$5,1),tblAuftraege[Auftrag],$A9))</f>
        <v>0</v>
      </c>
      <c r="K9" s="11" t="n">
        <f aca="false">IF($A9="",0,SUMIFS(tblAuftraege[Einnahmen],tblAuftraege[Datum Einnahmen],"&gt;="&amp;K$5,tblAuftraege[Datum Einnahmen],"&lt;"&amp;EDATE(K$5,1),tblAuftraege[Auftrag],$A9))</f>
        <v>0</v>
      </c>
      <c r="L9" s="11" t="n">
        <f aca="false">IF($A9="",0,SUMIFS(tblAuftraege[Einnahmen],tblAuftraege[Datum Einnahmen],"&gt;="&amp;L$5,tblAuftraege[Datum Einnahmen],"&lt;"&amp;EDATE(L$5,1),tblAuftraege[Auftrag],$A9))</f>
        <v>0</v>
      </c>
      <c r="M9" s="11" t="n">
        <f aca="false">IF($A9="",0,SUMIFS(tblAuftraege[Einnahmen],tblAuftraege[Datum Einnahmen],"&gt;="&amp;M$5,tblAuftraege[Datum Einnahmen],"&lt;"&amp;EDATE(M$5,1),tblAuftraege[Auftrag],$A9))</f>
        <v>0</v>
      </c>
      <c r="N9" s="11" t="n">
        <f aca="false">IF($A9="",0,SUMIFS(tblAuftraege[Einnahmen],tblAuftraege[Datum Einnahmen],"&gt;="&amp;N$5,tblAuftraege[Datum Einnahmen],"&lt;"&amp;EDATE(N$5,1),tblAuftraege[Auftrag],$A9))</f>
        <v>0</v>
      </c>
      <c r="O9" s="11" t="n">
        <f aca="false">IF($A9="",0,SUMIFS(tblAuftraege[Einnahmen],tblAuftraege[Datum Einnahmen],"&gt;="&amp;O$5,tblAuftraege[Datum Einnahmen],"&lt;"&amp;EDATE(O$5,1),tblAuftraege[Auftrag],$A9))</f>
        <v>0</v>
      </c>
      <c r="P9" s="11" t="n">
        <f aca="false">IF($A9="",0,SUMIFS(tblAuftraege[Einnahmen],tblAuftraege[Datum Einnahmen],"&gt;="&amp;P$5,tblAuftraege[Datum Einnahmen],"&lt;"&amp;EDATE(P$5,1),tblAuftraege[Auftrag],$A9))</f>
        <v>0</v>
      </c>
      <c r="Q9" s="11" t="n">
        <f aca="false">IF($A9="",0,SUMIFS(tblAuftraege[Einnahmen],tblAuftraege[Datum Einnahmen],"&gt;="&amp;Q$5,tblAuftraege[Datum Einnahmen],"&lt;"&amp;EDATE(Q$5,1),tblAuftraege[Auftrag],$A9))</f>
        <v>0</v>
      </c>
      <c r="R9" s="11" t="n">
        <f aca="false">IF($A9="",0,SUMIFS(tblAuftraege[Einnahmen],tblAuftraege[Datum Einnahmen],"&gt;="&amp;R$5,tblAuftraege[Datum Einnahmen],"&lt;"&amp;EDATE(R$5,1),tblAuftraege[Auftrag],$A9))</f>
        <v>0</v>
      </c>
      <c r="S9" s="11" t="n">
        <f aca="false">IF($A9="",0,SUMIFS(tblAuftraege[Einnahmen],tblAuftraege[Datum Einnahmen],"&gt;="&amp;S$5,tblAuftraege[Datum Einnahmen],"&lt;"&amp;EDATE(S$5,1),tblAuftraege[Auftrag],$A9))</f>
        <v>0</v>
      </c>
      <c r="T9" s="11" t="n">
        <f aca="false">IF($A9="",0,SUMIFS(tblAuftraege[Einnahmen],tblAuftraege[Datum Einnahmen],"&gt;="&amp;T$5,tblAuftraege[Datum Einnahmen],"&lt;"&amp;EDATE(T$5,1),tblAuftraege[Auftrag],$A9))</f>
        <v>0</v>
      </c>
      <c r="U9" s="11" t="n">
        <f aca="false">IF($A9="",0,SUMIFS(tblAuftraege[Einnahmen],tblAuftraege[Datum Einnahmen],"&gt;="&amp;U$5,tblAuftraege[Datum Einnahmen],"&lt;"&amp;EDATE(U$5,1),tblAuftraege[Auftrag],$A9))</f>
        <v>0</v>
      </c>
      <c r="V9" s="11" t="n">
        <f aca="false">IF($A9="",0,SUMIFS(tblAuftraege[Einnahmen],tblAuftraege[Datum Einnahmen],"&gt;="&amp;V$5,tblAuftraege[Datum Einnahmen],"&lt;"&amp;EDATE(V$5,1),tblAuftraege[Auftrag],$A9))</f>
        <v>0</v>
      </c>
      <c r="W9" s="11" t="n">
        <f aca="false">SUM(E9:J9)</f>
        <v>0</v>
      </c>
      <c r="X9" s="11" t="n">
        <f aca="false">SUM(K9:V9)</f>
        <v>0</v>
      </c>
      <c r="Y9" s="12" t="n">
        <f aca="false">SUM(E9:V9)</f>
        <v>0</v>
      </c>
    </row>
    <row r="10" customFormat="false" ht="15" hidden="false" customHeight="false" outlineLevel="0" collapsed="false">
      <c r="A10" s="9"/>
      <c r="B10" s="10" t="str">
        <f aca="false">IF($A10="","",IFERROR(INDEX(tblAuftraege[Kostenstelle],MATCH($A10,tblAuftraege[Auftrag],0)),""))</f>
        <v/>
      </c>
      <c r="C10" s="10" t="str">
        <f aca="false">IF($A10="","",IFERROR(INDEX(tblAuftraege[Themenfeld],MATCH($A10,tblAuftraege[Auftrag],0)),""))</f>
        <v/>
      </c>
      <c r="D10" s="10" t="str">
        <f aca="false">IF($A10="","",IFERROR(INDEX(tblAuftraege[Kategorie],MATCH($A10,tblAuftraege[Auftrag],0)),""))</f>
        <v/>
      </c>
      <c r="E10" s="11" t="n">
        <f aca="false">IF($A10="",0,SUMIFS(tblAuftraege[Einnahmen],tblAuftraege[Datum Einnahmen],"&gt;="&amp;E$5,tblAuftraege[Datum Einnahmen],"&lt;"&amp;EDATE(E$5,1),tblAuftraege[Auftrag],$A10))</f>
        <v>0</v>
      </c>
      <c r="F10" s="11" t="n">
        <f aca="false">IF($A10="",0,SUMIFS(tblAuftraege[Einnahmen],tblAuftraege[Datum Einnahmen],"&gt;="&amp;F$5,tblAuftraege[Datum Einnahmen],"&lt;"&amp;EDATE(F$5,1),tblAuftraege[Auftrag],$A10))</f>
        <v>0</v>
      </c>
      <c r="G10" s="11" t="n">
        <f aca="false">IF($A10="",0,SUMIFS(tblAuftraege[Einnahmen],tblAuftraege[Datum Einnahmen],"&gt;="&amp;G$5,tblAuftraege[Datum Einnahmen],"&lt;"&amp;EDATE(G$5,1),tblAuftraege[Auftrag],$A10))</f>
        <v>0</v>
      </c>
      <c r="H10" s="11" t="n">
        <f aca="false">IF($A10="",0,SUMIFS(tblAuftraege[Einnahmen],tblAuftraege[Datum Einnahmen],"&gt;="&amp;H$5,tblAuftraege[Datum Einnahmen],"&lt;"&amp;EDATE(H$5,1),tblAuftraege[Auftrag],$A10))</f>
        <v>0</v>
      </c>
      <c r="I10" s="11" t="n">
        <f aca="false">IF($A10="",0,SUMIFS(tblAuftraege[Einnahmen],tblAuftraege[Datum Einnahmen],"&gt;="&amp;I$5,tblAuftraege[Datum Einnahmen],"&lt;"&amp;EDATE(I$5,1),tblAuftraege[Auftrag],$A10))</f>
        <v>0</v>
      </c>
      <c r="J10" s="11" t="n">
        <f aca="false">IF($A10="",0,SUMIFS(tblAuftraege[Einnahmen],tblAuftraege[Datum Einnahmen],"&gt;="&amp;J$5,tblAuftraege[Datum Einnahmen],"&lt;"&amp;EDATE(J$5,1),tblAuftraege[Auftrag],$A10))</f>
        <v>0</v>
      </c>
      <c r="K10" s="11" t="n">
        <f aca="false">IF($A10="",0,SUMIFS(tblAuftraege[Einnahmen],tblAuftraege[Datum Einnahmen],"&gt;="&amp;K$5,tblAuftraege[Datum Einnahmen],"&lt;"&amp;EDATE(K$5,1),tblAuftraege[Auftrag],$A10))</f>
        <v>0</v>
      </c>
      <c r="L10" s="11" t="n">
        <f aca="false">IF($A10="",0,SUMIFS(tblAuftraege[Einnahmen],tblAuftraege[Datum Einnahmen],"&gt;="&amp;L$5,tblAuftraege[Datum Einnahmen],"&lt;"&amp;EDATE(L$5,1),tblAuftraege[Auftrag],$A10))</f>
        <v>0</v>
      </c>
      <c r="M10" s="11" t="n">
        <f aca="false">IF($A10="",0,SUMIFS(tblAuftraege[Einnahmen],tblAuftraege[Datum Einnahmen],"&gt;="&amp;M$5,tblAuftraege[Datum Einnahmen],"&lt;"&amp;EDATE(M$5,1),tblAuftraege[Auftrag],$A10))</f>
        <v>0</v>
      </c>
      <c r="N10" s="11" t="n">
        <f aca="false">IF($A10="",0,SUMIFS(tblAuftraege[Einnahmen],tblAuftraege[Datum Einnahmen],"&gt;="&amp;N$5,tblAuftraege[Datum Einnahmen],"&lt;"&amp;EDATE(N$5,1),tblAuftraege[Auftrag],$A10))</f>
        <v>0</v>
      </c>
      <c r="O10" s="11" t="n">
        <f aca="false">IF($A10="",0,SUMIFS(tblAuftraege[Einnahmen],tblAuftraege[Datum Einnahmen],"&gt;="&amp;O$5,tblAuftraege[Datum Einnahmen],"&lt;"&amp;EDATE(O$5,1),tblAuftraege[Auftrag],$A10))</f>
        <v>0</v>
      </c>
      <c r="P10" s="11" t="n">
        <f aca="false">IF($A10="",0,SUMIFS(tblAuftraege[Einnahmen],tblAuftraege[Datum Einnahmen],"&gt;="&amp;P$5,tblAuftraege[Datum Einnahmen],"&lt;"&amp;EDATE(P$5,1),tblAuftraege[Auftrag],$A10))</f>
        <v>0</v>
      </c>
      <c r="Q10" s="11" t="n">
        <f aca="false">IF($A10="",0,SUMIFS(tblAuftraege[Einnahmen],tblAuftraege[Datum Einnahmen],"&gt;="&amp;Q$5,tblAuftraege[Datum Einnahmen],"&lt;"&amp;EDATE(Q$5,1),tblAuftraege[Auftrag],$A10))</f>
        <v>0</v>
      </c>
      <c r="R10" s="11" t="n">
        <f aca="false">IF($A10="",0,SUMIFS(tblAuftraege[Einnahmen],tblAuftraege[Datum Einnahmen],"&gt;="&amp;R$5,tblAuftraege[Datum Einnahmen],"&lt;"&amp;EDATE(R$5,1),tblAuftraege[Auftrag],$A10))</f>
        <v>0</v>
      </c>
      <c r="S10" s="11" t="n">
        <f aca="false">IF($A10="",0,SUMIFS(tblAuftraege[Einnahmen],tblAuftraege[Datum Einnahmen],"&gt;="&amp;S$5,tblAuftraege[Datum Einnahmen],"&lt;"&amp;EDATE(S$5,1),tblAuftraege[Auftrag],$A10))</f>
        <v>0</v>
      </c>
      <c r="T10" s="11" t="n">
        <f aca="false">IF($A10="",0,SUMIFS(tblAuftraege[Einnahmen],tblAuftraege[Datum Einnahmen],"&gt;="&amp;T$5,tblAuftraege[Datum Einnahmen],"&lt;"&amp;EDATE(T$5,1),tblAuftraege[Auftrag],$A10))</f>
        <v>0</v>
      </c>
      <c r="U10" s="11" t="n">
        <f aca="false">IF($A10="",0,SUMIFS(tblAuftraege[Einnahmen],tblAuftraege[Datum Einnahmen],"&gt;="&amp;U$5,tblAuftraege[Datum Einnahmen],"&lt;"&amp;EDATE(U$5,1),tblAuftraege[Auftrag],$A10))</f>
        <v>0</v>
      </c>
      <c r="V10" s="11" t="n">
        <f aca="false">IF($A10="",0,SUMIFS(tblAuftraege[Einnahmen],tblAuftraege[Datum Einnahmen],"&gt;="&amp;V$5,tblAuftraege[Datum Einnahmen],"&lt;"&amp;EDATE(V$5,1),tblAuftraege[Auftrag],$A10))</f>
        <v>0</v>
      </c>
      <c r="W10" s="11" t="n">
        <f aca="false">SUM(E10:J10)</f>
        <v>0</v>
      </c>
      <c r="X10" s="11" t="n">
        <f aca="false">SUM(K10:V10)</f>
        <v>0</v>
      </c>
      <c r="Y10" s="12" t="n">
        <f aca="false">SUM(E10:V10)</f>
        <v>0</v>
      </c>
    </row>
    <row r="11" customFormat="false" ht="15" hidden="false" customHeight="false" outlineLevel="0" collapsed="false">
      <c r="A11" s="9"/>
      <c r="B11" s="10" t="str">
        <f aca="false">IF($A11="","",IFERROR(INDEX(tblAuftraege[Kostenstelle],MATCH($A11,tblAuftraege[Auftrag],0)),""))</f>
        <v/>
      </c>
      <c r="C11" s="10" t="str">
        <f aca="false">IF($A11="","",IFERROR(INDEX(tblAuftraege[Themenfeld],MATCH($A11,tblAuftraege[Auftrag],0)),""))</f>
        <v/>
      </c>
      <c r="D11" s="10" t="str">
        <f aca="false">IF($A11="","",IFERROR(INDEX(tblAuftraege[Kategorie],MATCH($A11,tblAuftraege[Auftrag],0)),""))</f>
        <v/>
      </c>
      <c r="E11" s="11" t="n">
        <f aca="false">IF($A11="",0,SUMIFS(tblAuftraege[Einnahmen],tblAuftraege[Datum Einnahmen],"&gt;="&amp;E$5,tblAuftraege[Datum Einnahmen],"&lt;"&amp;EDATE(E$5,1),tblAuftraege[Auftrag],$A11))</f>
        <v>0</v>
      </c>
      <c r="F11" s="11" t="n">
        <f aca="false">IF($A11="",0,SUMIFS(tblAuftraege[Einnahmen],tblAuftraege[Datum Einnahmen],"&gt;="&amp;F$5,tblAuftraege[Datum Einnahmen],"&lt;"&amp;EDATE(F$5,1),tblAuftraege[Auftrag],$A11))</f>
        <v>0</v>
      </c>
      <c r="G11" s="11" t="n">
        <f aca="false">IF($A11="",0,SUMIFS(tblAuftraege[Einnahmen],tblAuftraege[Datum Einnahmen],"&gt;="&amp;G$5,tblAuftraege[Datum Einnahmen],"&lt;"&amp;EDATE(G$5,1),tblAuftraege[Auftrag],$A11))</f>
        <v>0</v>
      </c>
      <c r="H11" s="11" t="n">
        <f aca="false">IF($A11="",0,SUMIFS(tblAuftraege[Einnahmen],tblAuftraege[Datum Einnahmen],"&gt;="&amp;H$5,tblAuftraege[Datum Einnahmen],"&lt;"&amp;EDATE(H$5,1),tblAuftraege[Auftrag],$A11))</f>
        <v>0</v>
      </c>
      <c r="I11" s="11" t="n">
        <f aca="false">IF($A11="",0,SUMIFS(tblAuftraege[Einnahmen],tblAuftraege[Datum Einnahmen],"&gt;="&amp;I$5,tblAuftraege[Datum Einnahmen],"&lt;"&amp;EDATE(I$5,1),tblAuftraege[Auftrag],$A11))</f>
        <v>0</v>
      </c>
      <c r="J11" s="11" t="n">
        <f aca="false">IF($A11="",0,SUMIFS(tblAuftraege[Einnahmen],tblAuftraege[Datum Einnahmen],"&gt;="&amp;J$5,tblAuftraege[Datum Einnahmen],"&lt;"&amp;EDATE(J$5,1),tblAuftraege[Auftrag],$A11))</f>
        <v>0</v>
      </c>
      <c r="K11" s="11" t="n">
        <f aca="false">IF($A11="",0,SUMIFS(tblAuftraege[Einnahmen],tblAuftraege[Datum Einnahmen],"&gt;="&amp;K$5,tblAuftraege[Datum Einnahmen],"&lt;"&amp;EDATE(K$5,1),tblAuftraege[Auftrag],$A11))</f>
        <v>0</v>
      </c>
      <c r="L11" s="11" t="n">
        <f aca="false">IF($A11="",0,SUMIFS(tblAuftraege[Einnahmen],tblAuftraege[Datum Einnahmen],"&gt;="&amp;L$5,tblAuftraege[Datum Einnahmen],"&lt;"&amp;EDATE(L$5,1),tblAuftraege[Auftrag],$A11))</f>
        <v>0</v>
      </c>
      <c r="M11" s="11" t="n">
        <f aca="false">IF($A11="",0,SUMIFS(tblAuftraege[Einnahmen],tblAuftraege[Datum Einnahmen],"&gt;="&amp;M$5,tblAuftraege[Datum Einnahmen],"&lt;"&amp;EDATE(M$5,1),tblAuftraege[Auftrag],$A11))</f>
        <v>0</v>
      </c>
      <c r="N11" s="11" t="n">
        <f aca="false">IF($A11="",0,SUMIFS(tblAuftraege[Einnahmen],tblAuftraege[Datum Einnahmen],"&gt;="&amp;N$5,tblAuftraege[Datum Einnahmen],"&lt;"&amp;EDATE(N$5,1),tblAuftraege[Auftrag],$A11))</f>
        <v>0</v>
      </c>
      <c r="O11" s="11" t="n">
        <f aca="false">IF($A11="",0,SUMIFS(tblAuftraege[Einnahmen],tblAuftraege[Datum Einnahmen],"&gt;="&amp;O$5,tblAuftraege[Datum Einnahmen],"&lt;"&amp;EDATE(O$5,1),tblAuftraege[Auftrag],$A11))</f>
        <v>0</v>
      </c>
      <c r="P11" s="11" t="n">
        <f aca="false">IF($A11="",0,SUMIFS(tblAuftraege[Einnahmen],tblAuftraege[Datum Einnahmen],"&gt;="&amp;P$5,tblAuftraege[Datum Einnahmen],"&lt;"&amp;EDATE(P$5,1),tblAuftraege[Auftrag],$A11))</f>
        <v>0</v>
      </c>
      <c r="Q11" s="11" t="n">
        <f aca="false">IF($A11="",0,SUMIFS(tblAuftraege[Einnahmen],tblAuftraege[Datum Einnahmen],"&gt;="&amp;Q$5,tblAuftraege[Datum Einnahmen],"&lt;"&amp;EDATE(Q$5,1),tblAuftraege[Auftrag],$A11))</f>
        <v>0</v>
      </c>
      <c r="R11" s="11" t="n">
        <f aca="false">IF($A11="",0,SUMIFS(tblAuftraege[Einnahmen],tblAuftraege[Datum Einnahmen],"&gt;="&amp;R$5,tblAuftraege[Datum Einnahmen],"&lt;"&amp;EDATE(R$5,1),tblAuftraege[Auftrag],$A11))</f>
        <v>0</v>
      </c>
      <c r="S11" s="11" t="n">
        <f aca="false">IF($A11="",0,SUMIFS(tblAuftraege[Einnahmen],tblAuftraege[Datum Einnahmen],"&gt;="&amp;S$5,tblAuftraege[Datum Einnahmen],"&lt;"&amp;EDATE(S$5,1),tblAuftraege[Auftrag],$A11))</f>
        <v>0</v>
      </c>
      <c r="T11" s="11" t="n">
        <f aca="false">IF($A11="",0,SUMIFS(tblAuftraege[Einnahmen],tblAuftraege[Datum Einnahmen],"&gt;="&amp;T$5,tblAuftraege[Datum Einnahmen],"&lt;"&amp;EDATE(T$5,1),tblAuftraege[Auftrag],$A11))</f>
        <v>0</v>
      </c>
      <c r="U11" s="11" t="n">
        <f aca="false">IF($A11="",0,SUMIFS(tblAuftraege[Einnahmen],tblAuftraege[Datum Einnahmen],"&gt;="&amp;U$5,tblAuftraege[Datum Einnahmen],"&lt;"&amp;EDATE(U$5,1),tblAuftraege[Auftrag],$A11))</f>
        <v>0</v>
      </c>
      <c r="V11" s="11" t="n">
        <f aca="false">IF($A11="",0,SUMIFS(tblAuftraege[Einnahmen],tblAuftraege[Datum Einnahmen],"&gt;="&amp;V$5,tblAuftraege[Datum Einnahmen],"&lt;"&amp;EDATE(V$5,1),tblAuftraege[Auftrag],$A11))</f>
        <v>0</v>
      </c>
      <c r="W11" s="11" t="n">
        <f aca="false">SUM(E11:J11)</f>
        <v>0</v>
      </c>
      <c r="X11" s="11" t="n">
        <f aca="false">SUM(K11:V11)</f>
        <v>0</v>
      </c>
      <c r="Y11" s="12" t="n">
        <f aca="false">SUM(E11:V11)</f>
        <v>0</v>
      </c>
    </row>
    <row r="12" customFormat="false" ht="15" hidden="false" customHeight="false" outlineLevel="0" collapsed="false">
      <c r="A12" s="9"/>
      <c r="B12" s="10" t="str">
        <f aca="false">IF($A12="","",IFERROR(INDEX(tblAuftraege[Kostenstelle],MATCH($A12,tblAuftraege[Auftrag],0)),""))</f>
        <v/>
      </c>
      <c r="C12" s="10" t="str">
        <f aca="false">IF($A12="","",IFERROR(INDEX(tblAuftraege[Themenfeld],MATCH($A12,tblAuftraege[Auftrag],0)),""))</f>
        <v/>
      </c>
      <c r="D12" s="10" t="str">
        <f aca="false">IF($A12="","",IFERROR(INDEX(tblAuftraege[Kategorie],MATCH($A12,tblAuftraege[Auftrag],0)),""))</f>
        <v/>
      </c>
      <c r="E12" s="11" t="n">
        <f aca="false">IF($A12="",0,SUMIFS(tblAuftraege[Einnahmen],tblAuftraege[Datum Einnahmen],"&gt;="&amp;E$5,tblAuftraege[Datum Einnahmen],"&lt;"&amp;EDATE(E$5,1),tblAuftraege[Auftrag],$A12))</f>
        <v>0</v>
      </c>
      <c r="F12" s="11" t="n">
        <f aca="false">IF($A12="",0,SUMIFS(tblAuftraege[Einnahmen],tblAuftraege[Datum Einnahmen],"&gt;="&amp;F$5,tblAuftraege[Datum Einnahmen],"&lt;"&amp;EDATE(F$5,1),tblAuftraege[Auftrag],$A12))</f>
        <v>0</v>
      </c>
      <c r="G12" s="11" t="n">
        <f aca="false">IF($A12="",0,SUMIFS(tblAuftraege[Einnahmen],tblAuftraege[Datum Einnahmen],"&gt;="&amp;G$5,tblAuftraege[Datum Einnahmen],"&lt;"&amp;EDATE(G$5,1),tblAuftraege[Auftrag],$A12))</f>
        <v>0</v>
      </c>
      <c r="H12" s="11" t="n">
        <f aca="false">IF($A12="",0,SUMIFS(tblAuftraege[Einnahmen],tblAuftraege[Datum Einnahmen],"&gt;="&amp;H$5,tblAuftraege[Datum Einnahmen],"&lt;"&amp;EDATE(H$5,1),tblAuftraege[Auftrag],$A12))</f>
        <v>0</v>
      </c>
      <c r="I12" s="11" t="n">
        <f aca="false">IF($A12="",0,SUMIFS(tblAuftraege[Einnahmen],tblAuftraege[Datum Einnahmen],"&gt;="&amp;I$5,tblAuftraege[Datum Einnahmen],"&lt;"&amp;EDATE(I$5,1),tblAuftraege[Auftrag],$A12))</f>
        <v>0</v>
      </c>
      <c r="J12" s="11" t="n">
        <f aca="false">IF($A12="",0,SUMIFS(tblAuftraege[Einnahmen],tblAuftraege[Datum Einnahmen],"&gt;="&amp;J$5,tblAuftraege[Datum Einnahmen],"&lt;"&amp;EDATE(J$5,1),tblAuftraege[Auftrag],$A12))</f>
        <v>0</v>
      </c>
      <c r="K12" s="11" t="n">
        <f aca="false">IF($A12="",0,SUMIFS(tblAuftraege[Einnahmen],tblAuftraege[Datum Einnahmen],"&gt;="&amp;K$5,tblAuftraege[Datum Einnahmen],"&lt;"&amp;EDATE(K$5,1),tblAuftraege[Auftrag],$A12))</f>
        <v>0</v>
      </c>
      <c r="L12" s="11" t="n">
        <f aca="false">IF($A12="",0,SUMIFS(tblAuftraege[Einnahmen],tblAuftraege[Datum Einnahmen],"&gt;="&amp;L$5,tblAuftraege[Datum Einnahmen],"&lt;"&amp;EDATE(L$5,1),tblAuftraege[Auftrag],$A12))</f>
        <v>0</v>
      </c>
      <c r="M12" s="11" t="n">
        <f aca="false">IF($A12="",0,SUMIFS(tblAuftraege[Einnahmen],tblAuftraege[Datum Einnahmen],"&gt;="&amp;M$5,tblAuftraege[Datum Einnahmen],"&lt;"&amp;EDATE(M$5,1),tblAuftraege[Auftrag],$A12))</f>
        <v>0</v>
      </c>
      <c r="N12" s="11" t="n">
        <f aca="false">IF($A12="",0,SUMIFS(tblAuftraege[Einnahmen],tblAuftraege[Datum Einnahmen],"&gt;="&amp;N$5,tblAuftraege[Datum Einnahmen],"&lt;"&amp;EDATE(N$5,1),tblAuftraege[Auftrag],$A12))</f>
        <v>0</v>
      </c>
      <c r="O12" s="11" t="n">
        <f aca="false">IF($A12="",0,SUMIFS(tblAuftraege[Einnahmen],tblAuftraege[Datum Einnahmen],"&gt;="&amp;O$5,tblAuftraege[Datum Einnahmen],"&lt;"&amp;EDATE(O$5,1),tblAuftraege[Auftrag],$A12))</f>
        <v>0</v>
      </c>
      <c r="P12" s="11" t="n">
        <f aca="false">IF($A12="",0,SUMIFS(tblAuftraege[Einnahmen],tblAuftraege[Datum Einnahmen],"&gt;="&amp;P$5,tblAuftraege[Datum Einnahmen],"&lt;"&amp;EDATE(P$5,1),tblAuftraege[Auftrag],$A12))</f>
        <v>0</v>
      </c>
      <c r="Q12" s="11" t="n">
        <f aca="false">IF($A12="",0,SUMIFS(tblAuftraege[Einnahmen],tblAuftraege[Datum Einnahmen],"&gt;="&amp;Q$5,tblAuftraege[Datum Einnahmen],"&lt;"&amp;EDATE(Q$5,1),tblAuftraege[Auftrag],$A12))</f>
        <v>0</v>
      </c>
      <c r="R12" s="11" t="n">
        <f aca="false">IF($A12="",0,SUMIFS(tblAuftraege[Einnahmen],tblAuftraege[Datum Einnahmen],"&gt;="&amp;R$5,tblAuftraege[Datum Einnahmen],"&lt;"&amp;EDATE(R$5,1),tblAuftraege[Auftrag],$A12))</f>
        <v>0</v>
      </c>
      <c r="S12" s="11" t="n">
        <f aca="false">IF($A12="",0,SUMIFS(tblAuftraege[Einnahmen],tblAuftraege[Datum Einnahmen],"&gt;="&amp;S$5,tblAuftraege[Datum Einnahmen],"&lt;"&amp;EDATE(S$5,1),tblAuftraege[Auftrag],$A12))</f>
        <v>0</v>
      </c>
      <c r="T12" s="11" t="n">
        <f aca="false">IF($A12="",0,SUMIFS(tblAuftraege[Einnahmen],tblAuftraege[Datum Einnahmen],"&gt;="&amp;T$5,tblAuftraege[Datum Einnahmen],"&lt;"&amp;EDATE(T$5,1),tblAuftraege[Auftrag],$A12))</f>
        <v>0</v>
      </c>
      <c r="U12" s="11" t="n">
        <f aca="false">IF($A12="",0,SUMIFS(tblAuftraege[Einnahmen],tblAuftraege[Datum Einnahmen],"&gt;="&amp;U$5,tblAuftraege[Datum Einnahmen],"&lt;"&amp;EDATE(U$5,1),tblAuftraege[Auftrag],$A12))</f>
        <v>0</v>
      </c>
      <c r="V12" s="11" t="n">
        <f aca="false">IF($A12="",0,SUMIFS(tblAuftraege[Einnahmen],tblAuftraege[Datum Einnahmen],"&gt;="&amp;V$5,tblAuftraege[Datum Einnahmen],"&lt;"&amp;EDATE(V$5,1),tblAuftraege[Auftrag],$A12))</f>
        <v>0</v>
      </c>
      <c r="W12" s="11" t="n">
        <f aca="false">SUM(E12:J12)</f>
        <v>0</v>
      </c>
      <c r="X12" s="11" t="n">
        <f aca="false">SUM(K12:V12)</f>
        <v>0</v>
      </c>
      <c r="Y12" s="12" t="n">
        <f aca="false">SUM(E12:V12)</f>
        <v>0</v>
      </c>
    </row>
    <row r="13" customFormat="false" ht="15" hidden="false" customHeight="false" outlineLevel="0" collapsed="false">
      <c r="A13" s="9"/>
      <c r="B13" s="10" t="str">
        <f aca="false">IF($A13="","",IFERROR(INDEX(tblAuftraege[Kostenstelle],MATCH($A13,tblAuftraege[Auftrag],0)),""))</f>
        <v/>
      </c>
      <c r="C13" s="10" t="str">
        <f aca="false">IF($A13="","",IFERROR(INDEX(tblAuftraege[Themenfeld],MATCH($A13,tblAuftraege[Auftrag],0)),""))</f>
        <v/>
      </c>
      <c r="D13" s="10" t="str">
        <f aca="false">IF($A13="","",IFERROR(INDEX(tblAuftraege[Kategorie],MATCH($A13,tblAuftraege[Auftrag],0)),""))</f>
        <v/>
      </c>
      <c r="E13" s="11" t="n">
        <f aca="false">IF($A13="",0,SUMIFS(tblAuftraege[Einnahmen],tblAuftraege[Datum Einnahmen],"&gt;="&amp;E$5,tblAuftraege[Datum Einnahmen],"&lt;"&amp;EDATE(E$5,1),tblAuftraege[Auftrag],$A13))</f>
        <v>0</v>
      </c>
      <c r="F13" s="11" t="n">
        <f aca="false">IF($A13="",0,SUMIFS(tblAuftraege[Einnahmen],tblAuftraege[Datum Einnahmen],"&gt;="&amp;F$5,tblAuftraege[Datum Einnahmen],"&lt;"&amp;EDATE(F$5,1),tblAuftraege[Auftrag],$A13))</f>
        <v>0</v>
      </c>
      <c r="G13" s="11" t="n">
        <f aca="false">IF($A13="",0,SUMIFS(tblAuftraege[Einnahmen],tblAuftraege[Datum Einnahmen],"&gt;="&amp;G$5,tblAuftraege[Datum Einnahmen],"&lt;"&amp;EDATE(G$5,1),tblAuftraege[Auftrag],$A13))</f>
        <v>0</v>
      </c>
      <c r="H13" s="11" t="n">
        <f aca="false">IF($A13="",0,SUMIFS(tblAuftraege[Einnahmen],tblAuftraege[Datum Einnahmen],"&gt;="&amp;H$5,tblAuftraege[Datum Einnahmen],"&lt;"&amp;EDATE(H$5,1),tblAuftraege[Auftrag],$A13))</f>
        <v>0</v>
      </c>
      <c r="I13" s="11" t="n">
        <f aca="false">IF($A13="",0,SUMIFS(tblAuftraege[Einnahmen],tblAuftraege[Datum Einnahmen],"&gt;="&amp;I$5,tblAuftraege[Datum Einnahmen],"&lt;"&amp;EDATE(I$5,1),tblAuftraege[Auftrag],$A13))</f>
        <v>0</v>
      </c>
      <c r="J13" s="11" t="n">
        <f aca="false">IF($A13="",0,SUMIFS(tblAuftraege[Einnahmen],tblAuftraege[Datum Einnahmen],"&gt;="&amp;J$5,tblAuftraege[Datum Einnahmen],"&lt;"&amp;EDATE(J$5,1),tblAuftraege[Auftrag],$A13))</f>
        <v>0</v>
      </c>
      <c r="K13" s="11" t="n">
        <f aca="false">IF($A13="",0,SUMIFS(tblAuftraege[Einnahmen],tblAuftraege[Datum Einnahmen],"&gt;="&amp;K$5,tblAuftraege[Datum Einnahmen],"&lt;"&amp;EDATE(K$5,1),tblAuftraege[Auftrag],$A13))</f>
        <v>0</v>
      </c>
      <c r="L13" s="11" t="n">
        <f aca="false">IF($A13="",0,SUMIFS(tblAuftraege[Einnahmen],tblAuftraege[Datum Einnahmen],"&gt;="&amp;L$5,tblAuftraege[Datum Einnahmen],"&lt;"&amp;EDATE(L$5,1),tblAuftraege[Auftrag],$A13))</f>
        <v>0</v>
      </c>
      <c r="M13" s="11" t="n">
        <f aca="false">IF($A13="",0,SUMIFS(tblAuftraege[Einnahmen],tblAuftraege[Datum Einnahmen],"&gt;="&amp;M$5,tblAuftraege[Datum Einnahmen],"&lt;"&amp;EDATE(M$5,1),tblAuftraege[Auftrag],$A13))</f>
        <v>0</v>
      </c>
      <c r="N13" s="11" t="n">
        <f aca="false">IF($A13="",0,SUMIFS(tblAuftraege[Einnahmen],tblAuftraege[Datum Einnahmen],"&gt;="&amp;N$5,tblAuftraege[Datum Einnahmen],"&lt;"&amp;EDATE(N$5,1),tblAuftraege[Auftrag],$A13))</f>
        <v>0</v>
      </c>
      <c r="O13" s="11" t="n">
        <f aca="false">IF($A13="",0,SUMIFS(tblAuftraege[Einnahmen],tblAuftraege[Datum Einnahmen],"&gt;="&amp;O$5,tblAuftraege[Datum Einnahmen],"&lt;"&amp;EDATE(O$5,1),tblAuftraege[Auftrag],$A13))</f>
        <v>0</v>
      </c>
      <c r="P13" s="11" t="n">
        <f aca="false">IF($A13="",0,SUMIFS(tblAuftraege[Einnahmen],tblAuftraege[Datum Einnahmen],"&gt;="&amp;P$5,tblAuftraege[Datum Einnahmen],"&lt;"&amp;EDATE(P$5,1),tblAuftraege[Auftrag],$A13))</f>
        <v>0</v>
      </c>
      <c r="Q13" s="11" t="n">
        <f aca="false">IF($A13="",0,SUMIFS(tblAuftraege[Einnahmen],tblAuftraege[Datum Einnahmen],"&gt;="&amp;Q$5,tblAuftraege[Datum Einnahmen],"&lt;"&amp;EDATE(Q$5,1),tblAuftraege[Auftrag],$A13))</f>
        <v>0</v>
      </c>
      <c r="R13" s="11" t="n">
        <f aca="false">IF($A13="",0,SUMIFS(tblAuftraege[Einnahmen],tblAuftraege[Datum Einnahmen],"&gt;="&amp;R$5,tblAuftraege[Datum Einnahmen],"&lt;"&amp;EDATE(R$5,1),tblAuftraege[Auftrag],$A13))</f>
        <v>0</v>
      </c>
      <c r="S13" s="11" t="n">
        <f aca="false">IF($A13="",0,SUMIFS(tblAuftraege[Einnahmen],tblAuftraege[Datum Einnahmen],"&gt;="&amp;S$5,tblAuftraege[Datum Einnahmen],"&lt;"&amp;EDATE(S$5,1),tblAuftraege[Auftrag],$A13))</f>
        <v>0</v>
      </c>
      <c r="T13" s="11" t="n">
        <f aca="false">IF($A13="",0,SUMIFS(tblAuftraege[Einnahmen],tblAuftraege[Datum Einnahmen],"&gt;="&amp;T$5,tblAuftraege[Datum Einnahmen],"&lt;"&amp;EDATE(T$5,1),tblAuftraege[Auftrag],$A13))</f>
        <v>0</v>
      </c>
      <c r="U13" s="11" t="n">
        <f aca="false">IF($A13="",0,SUMIFS(tblAuftraege[Einnahmen],tblAuftraege[Datum Einnahmen],"&gt;="&amp;U$5,tblAuftraege[Datum Einnahmen],"&lt;"&amp;EDATE(U$5,1),tblAuftraege[Auftrag],$A13))</f>
        <v>0</v>
      </c>
      <c r="V13" s="11" t="n">
        <f aca="false">IF($A13="",0,SUMIFS(tblAuftraege[Einnahmen],tblAuftraege[Datum Einnahmen],"&gt;="&amp;V$5,tblAuftraege[Datum Einnahmen],"&lt;"&amp;EDATE(V$5,1),tblAuftraege[Auftrag],$A13))</f>
        <v>0</v>
      </c>
      <c r="W13" s="11" t="n">
        <f aca="false">SUM(E13:J13)</f>
        <v>0</v>
      </c>
      <c r="X13" s="11" t="n">
        <f aca="false">SUM(K13:V13)</f>
        <v>0</v>
      </c>
      <c r="Y13" s="12" t="n">
        <f aca="false">SUM(E13:V13)</f>
        <v>0</v>
      </c>
    </row>
    <row r="14" customFormat="false" ht="15" hidden="false" customHeight="false" outlineLevel="0" collapsed="false">
      <c r="A14" s="9"/>
      <c r="B14" s="10" t="str">
        <f aca="false">IF($A14="","",IFERROR(INDEX(tblAuftraege[Kostenstelle],MATCH($A14,tblAuftraege[Auftrag],0)),""))</f>
        <v/>
      </c>
      <c r="C14" s="10" t="str">
        <f aca="false">IF($A14="","",IFERROR(INDEX(tblAuftraege[Themenfeld],MATCH($A14,tblAuftraege[Auftrag],0)),""))</f>
        <v/>
      </c>
      <c r="D14" s="10" t="str">
        <f aca="false">IF($A14="","",IFERROR(INDEX(tblAuftraege[Kategorie],MATCH($A14,tblAuftraege[Auftrag],0)),""))</f>
        <v/>
      </c>
      <c r="E14" s="11" t="n">
        <f aca="false">IF($A14="",0,SUMIFS(tblAuftraege[Einnahmen],tblAuftraege[Datum Einnahmen],"&gt;="&amp;E$5,tblAuftraege[Datum Einnahmen],"&lt;"&amp;EDATE(E$5,1),tblAuftraege[Auftrag],$A14))</f>
        <v>0</v>
      </c>
      <c r="F14" s="11" t="n">
        <f aca="false">IF($A14="",0,SUMIFS(tblAuftraege[Einnahmen],tblAuftraege[Datum Einnahmen],"&gt;="&amp;F$5,tblAuftraege[Datum Einnahmen],"&lt;"&amp;EDATE(F$5,1),tblAuftraege[Auftrag],$A14))</f>
        <v>0</v>
      </c>
      <c r="G14" s="11" t="n">
        <f aca="false">IF($A14="",0,SUMIFS(tblAuftraege[Einnahmen],tblAuftraege[Datum Einnahmen],"&gt;="&amp;G$5,tblAuftraege[Datum Einnahmen],"&lt;"&amp;EDATE(G$5,1),tblAuftraege[Auftrag],$A14))</f>
        <v>0</v>
      </c>
      <c r="H14" s="11" t="n">
        <f aca="false">IF($A14="",0,SUMIFS(tblAuftraege[Einnahmen],tblAuftraege[Datum Einnahmen],"&gt;="&amp;H$5,tblAuftraege[Datum Einnahmen],"&lt;"&amp;EDATE(H$5,1),tblAuftraege[Auftrag],$A14))</f>
        <v>0</v>
      </c>
      <c r="I14" s="11" t="n">
        <f aca="false">IF($A14="",0,SUMIFS(tblAuftraege[Einnahmen],tblAuftraege[Datum Einnahmen],"&gt;="&amp;I$5,tblAuftraege[Datum Einnahmen],"&lt;"&amp;EDATE(I$5,1),tblAuftraege[Auftrag],$A14))</f>
        <v>0</v>
      </c>
      <c r="J14" s="11" t="n">
        <f aca="false">IF($A14="",0,SUMIFS(tblAuftraege[Einnahmen],tblAuftraege[Datum Einnahmen],"&gt;="&amp;J$5,tblAuftraege[Datum Einnahmen],"&lt;"&amp;EDATE(J$5,1),tblAuftraege[Auftrag],$A14))</f>
        <v>0</v>
      </c>
      <c r="K14" s="11" t="n">
        <f aca="false">IF($A14="",0,SUMIFS(tblAuftraege[Einnahmen],tblAuftraege[Datum Einnahmen],"&gt;="&amp;K$5,tblAuftraege[Datum Einnahmen],"&lt;"&amp;EDATE(K$5,1),tblAuftraege[Auftrag],$A14))</f>
        <v>0</v>
      </c>
      <c r="L14" s="11" t="n">
        <f aca="false">IF($A14="",0,SUMIFS(tblAuftraege[Einnahmen],tblAuftraege[Datum Einnahmen],"&gt;="&amp;L$5,tblAuftraege[Datum Einnahmen],"&lt;"&amp;EDATE(L$5,1),tblAuftraege[Auftrag],$A14))</f>
        <v>0</v>
      </c>
      <c r="M14" s="11" t="n">
        <f aca="false">IF($A14="",0,SUMIFS(tblAuftraege[Einnahmen],tblAuftraege[Datum Einnahmen],"&gt;="&amp;M$5,tblAuftraege[Datum Einnahmen],"&lt;"&amp;EDATE(M$5,1),tblAuftraege[Auftrag],$A14))</f>
        <v>0</v>
      </c>
      <c r="N14" s="11" t="n">
        <f aca="false">IF($A14="",0,SUMIFS(tblAuftraege[Einnahmen],tblAuftraege[Datum Einnahmen],"&gt;="&amp;N$5,tblAuftraege[Datum Einnahmen],"&lt;"&amp;EDATE(N$5,1),tblAuftraege[Auftrag],$A14))</f>
        <v>0</v>
      </c>
      <c r="O14" s="11" t="n">
        <f aca="false">IF($A14="",0,SUMIFS(tblAuftraege[Einnahmen],tblAuftraege[Datum Einnahmen],"&gt;="&amp;O$5,tblAuftraege[Datum Einnahmen],"&lt;"&amp;EDATE(O$5,1),tblAuftraege[Auftrag],$A14))</f>
        <v>0</v>
      </c>
      <c r="P14" s="11" t="n">
        <f aca="false">IF($A14="",0,SUMIFS(tblAuftraege[Einnahmen],tblAuftraege[Datum Einnahmen],"&gt;="&amp;P$5,tblAuftraege[Datum Einnahmen],"&lt;"&amp;EDATE(P$5,1),tblAuftraege[Auftrag],$A14))</f>
        <v>0</v>
      </c>
      <c r="Q14" s="11" t="n">
        <f aca="false">IF($A14="",0,SUMIFS(tblAuftraege[Einnahmen],tblAuftraege[Datum Einnahmen],"&gt;="&amp;Q$5,tblAuftraege[Datum Einnahmen],"&lt;"&amp;EDATE(Q$5,1),tblAuftraege[Auftrag],$A14))</f>
        <v>0</v>
      </c>
      <c r="R14" s="11" t="n">
        <f aca="false">IF($A14="",0,SUMIFS(tblAuftraege[Einnahmen],tblAuftraege[Datum Einnahmen],"&gt;="&amp;R$5,tblAuftraege[Datum Einnahmen],"&lt;"&amp;EDATE(R$5,1),tblAuftraege[Auftrag],$A14))</f>
        <v>0</v>
      </c>
      <c r="S14" s="11" t="n">
        <f aca="false">IF($A14="",0,SUMIFS(tblAuftraege[Einnahmen],tblAuftraege[Datum Einnahmen],"&gt;="&amp;S$5,tblAuftraege[Datum Einnahmen],"&lt;"&amp;EDATE(S$5,1),tblAuftraege[Auftrag],$A14))</f>
        <v>0</v>
      </c>
      <c r="T14" s="11" t="n">
        <f aca="false">IF($A14="",0,SUMIFS(tblAuftraege[Einnahmen],tblAuftraege[Datum Einnahmen],"&gt;="&amp;T$5,tblAuftraege[Datum Einnahmen],"&lt;"&amp;EDATE(T$5,1),tblAuftraege[Auftrag],$A14))</f>
        <v>0</v>
      </c>
      <c r="U14" s="11" t="n">
        <f aca="false">IF($A14="",0,SUMIFS(tblAuftraege[Einnahmen],tblAuftraege[Datum Einnahmen],"&gt;="&amp;U$5,tblAuftraege[Datum Einnahmen],"&lt;"&amp;EDATE(U$5,1),tblAuftraege[Auftrag],$A14))</f>
        <v>0</v>
      </c>
      <c r="V14" s="11" t="n">
        <f aca="false">IF($A14="",0,SUMIFS(tblAuftraege[Einnahmen],tblAuftraege[Datum Einnahmen],"&gt;="&amp;V$5,tblAuftraege[Datum Einnahmen],"&lt;"&amp;EDATE(V$5,1),tblAuftraege[Auftrag],$A14))</f>
        <v>0</v>
      </c>
      <c r="W14" s="11" t="n">
        <f aca="false">SUM(E14:J14)</f>
        <v>0</v>
      </c>
      <c r="X14" s="11" t="n">
        <f aca="false">SUM(K14:V14)</f>
        <v>0</v>
      </c>
      <c r="Y14" s="12" t="n">
        <f aca="false">SUM(E14:V14)</f>
        <v>0</v>
      </c>
    </row>
    <row r="15" customFormat="false" ht="15" hidden="false" customHeight="false" outlineLevel="0" collapsed="false">
      <c r="A15" s="9"/>
      <c r="B15" s="10" t="str">
        <f aca="false">IF($A15="","",IFERROR(INDEX(tblAuftraege[Kostenstelle],MATCH($A15,tblAuftraege[Auftrag],0)),""))</f>
        <v/>
      </c>
      <c r="C15" s="10" t="str">
        <f aca="false">IF($A15="","",IFERROR(INDEX(tblAuftraege[Themenfeld],MATCH($A15,tblAuftraege[Auftrag],0)),""))</f>
        <v/>
      </c>
      <c r="D15" s="10" t="str">
        <f aca="false">IF($A15="","",IFERROR(INDEX(tblAuftraege[Kategorie],MATCH($A15,tblAuftraege[Auftrag],0)),""))</f>
        <v/>
      </c>
      <c r="E15" s="11" t="n">
        <f aca="false">IF($A15="",0,SUMIFS(tblAuftraege[Einnahmen],tblAuftraege[Datum Einnahmen],"&gt;="&amp;E$5,tblAuftraege[Datum Einnahmen],"&lt;"&amp;EDATE(E$5,1),tblAuftraege[Auftrag],$A15))</f>
        <v>0</v>
      </c>
      <c r="F15" s="11" t="n">
        <f aca="false">IF($A15="",0,SUMIFS(tblAuftraege[Einnahmen],tblAuftraege[Datum Einnahmen],"&gt;="&amp;F$5,tblAuftraege[Datum Einnahmen],"&lt;"&amp;EDATE(F$5,1),tblAuftraege[Auftrag],$A15))</f>
        <v>0</v>
      </c>
      <c r="G15" s="11" t="n">
        <f aca="false">IF($A15="",0,SUMIFS(tblAuftraege[Einnahmen],tblAuftraege[Datum Einnahmen],"&gt;="&amp;G$5,tblAuftraege[Datum Einnahmen],"&lt;"&amp;EDATE(G$5,1),tblAuftraege[Auftrag],$A15))</f>
        <v>0</v>
      </c>
      <c r="H15" s="11" t="n">
        <f aca="false">IF($A15="",0,SUMIFS(tblAuftraege[Einnahmen],tblAuftraege[Datum Einnahmen],"&gt;="&amp;H$5,tblAuftraege[Datum Einnahmen],"&lt;"&amp;EDATE(H$5,1),tblAuftraege[Auftrag],$A15))</f>
        <v>0</v>
      </c>
      <c r="I15" s="11" t="n">
        <f aca="false">IF($A15="",0,SUMIFS(tblAuftraege[Einnahmen],tblAuftraege[Datum Einnahmen],"&gt;="&amp;I$5,tblAuftraege[Datum Einnahmen],"&lt;"&amp;EDATE(I$5,1),tblAuftraege[Auftrag],$A15))</f>
        <v>0</v>
      </c>
      <c r="J15" s="11" t="n">
        <f aca="false">IF($A15="",0,SUMIFS(tblAuftraege[Einnahmen],tblAuftraege[Datum Einnahmen],"&gt;="&amp;J$5,tblAuftraege[Datum Einnahmen],"&lt;"&amp;EDATE(J$5,1),tblAuftraege[Auftrag],$A15))</f>
        <v>0</v>
      </c>
      <c r="K15" s="11" t="n">
        <f aca="false">IF($A15="",0,SUMIFS(tblAuftraege[Einnahmen],tblAuftraege[Datum Einnahmen],"&gt;="&amp;K$5,tblAuftraege[Datum Einnahmen],"&lt;"&amp;EDATE(K$5,1),tblAuftraege[Auftrag],$A15))</f>
        <v>0</v>
      </c>
      <c r="L15" s="11" t="n">
        <f aca="false">IF($A15="",0,SUMIFS(tblAuftraege[Einnahmen],tblAuftraege[Datum Einnahmen],"&gt;="&amp;L$5,tblAuftraege[Datum Einnahmen],"&lt;"&amp;EDATE(L$5,1),tblAuftraege[Auftrag],$A15))</f>
        <v>0</v>
      </c>
      <c r="M15" s="11" t="n">
        <f aca="false">IF($A15="",0,SUMIFS(tblAuftraege[Einnahmen],tblAuftraege[Datum Einnahmen],"&gt;="&amp;M$5,tblAuftraege[Datum Einnahmen],"&lt;"&amp;EDATE(M$5,1),tblAuftraege[Auftrag],$A15))</f>
        <v>0</v>
      </c>
      <c r="N15" s="11" t="n">
        <f aca="false">IF($A15="",0,SUMIFS(tblAuftraege[Einnahmen],tblAuftraege[Datum Einnahmen],"&gt;="&amp;N$5,tblAuftraege[Datum Einnahmen],"&lt;"&amp;EDATE(N$5,1),tblAuftraege[Auftrag],$A15))</f>
        <v>0</v>
      </c>
      <c r="O15" s="11" t="n">
        <f aca="false">IF($A15="",0,SUMIFS(tblAuftraege[Einnahmen],tblAuftraege[Datum Einnahmen],"&gt;="&amp;O$5,tblAuftraege[Datum Einnahmen],"&lt;"&amp;EDATE(O$5,1),tblAuftraege[Auftrag],$A15))</f>
        <v>0</v>
      </c>
      <c r="P15" s="11" t="n">
        <f aca="false">IF($A15="",0,SUMIFS(tblAuftraege[Einnahmen],tblAuftraege[Datum Einnahmen],"&gt;="&amp;P$5,tblAuftraege[Datum Einnahmen],"&lt;"&amp;EDATE(P$5,1),tblAuftraege[Auftrag],$A15))</f>
        <v>0</v>
      </c>
      <c r="Q15" s="11" t="n">
        <f aca="false">IF($A15="",0,SUMIFS(tblAuftraege[Einnahmen],tblAuftraege[Datum Einnahmen],"&gt;="&amp;Q$5,tblAuftraege[Datum Einnahmen],"&lt;"&amp;EDATE(Q$5,1),tblAuftraege[Auftrag],$A15))</f>
        <v>0</v>
      </c>
      <c r="R15" s="11" t="n">
        <f aca="false">IF($A15="",0,SUMIFS(tblAuftraege[Einnahmen],tblAuftraege[Datum Einnahmen],"&gt;="&amp;R$5,tblAuftraege[Datum Einnahmen],"&lt;"&amp;EDATE(R$5,1),tblAuftraege[Auftrag],$A15))</f>
        <v>0</v>
      </c>
      <c r="S15" s="11" t="n">
        <f aca="false">IF($A15="",0,SUMIFS(tblAuftraege[Einnahmen],tblAuftraege[Datum Einnahmen],"&gt;="&amp;S$5,tblAuftraege[Datum Einnahmen],"&lt;"&amp;EDATE(S$5,1),tblAuftraege[Auftrag],$A15))</f>
        <v>0</v>
      </c>
      <c r="T15" s="11" t="n">
        <f aca="false">IF($A15="",0,SUMIFS(tblAuftraege[Einnahmen],tblAuftraege[Datum Einnahmen],"&gt;="&amp;T$5,tblAuftraege[Datum Einnahmen],"&lt;"&amp;EDATE(T$5,1),tblAuftraege[Auftrag],$A15))</f>
        <v>0</v>
      </c>
      <c r="U15" s="11" t="n">
        <f aca="false">IF($A15="",0,SUMIFS(tblAuftraege[Einnahmen],tblAuftraege[Datum Einnahmen],"&gt;="&amp;U$5,tblAuftraege[Datum Einnahmen],"&lt;"&amp;EDATE(U$5,1),tblAuftraege[Auftrag],$A15))</f>
        <v>0</v>
      </c>
      <c r="V15" s="11" t="n">
        <f aca="false">IF($A15="",0,SUMIFS(tblAuftraege[Einnahmen],tblAuftraege[Datum Einnahmen],"&gt;="&amp;V$5,tblAuftraege[Datum Einnahmen],"&lt;"&amp;EDATE(V$5,1),tblAuftraege[Auftrag],$A15))</f>
        <v>0</v>
      </c>
      <c r="W15" s="11" t="n">
        <f aca="false">SUM(E15:J15)</f>
        <v>0</v>
      </c>
      <c r="X15" s="11" t="n">
        <f aca="false">SUM(K15:V15)</f>
        <v>0</v>
      </c>
      <c r="Y15" s="12" t="n">
        <f aca="false">SUM(E15:V15)</f>
        <v>0</v>
      </c>
    </row>
    <row r="16" customFormat="false" ht="15" hidden="false" customHeight="false" outlineLevel="0" collapsed="false">
      <c r="A16" s="9"/>
      <c r="B16" s="10" t="str">
        <f aca="false">IF($A16="","",IFERROR(INDEX(tblAuftraege[Kostenstelle],MATCH($A16,tblAuftraege[Auftrag],0)),""))</f>
        <v/>
      </c>
      <c r="C16" s="10" t="str">
        <f aca="false">IF($A16="","",IFERROR(INDEX(tblAuftraege[Themenfeld],MATCH($A16,tblAuftraege[Auftrag],0)),""))</f>
        <v/>
      </c>
      <c r="D16" s="10" t="str">
        <f aca="false">IF($A16="","",IFERROR(INDEX(tblAuftraege[Kategorie],MATCH($A16,tblAuftraege[Auftrag],0)),""))</f>
        <v/>
      </c>
      <c r="E16" s="11" t="n">
        <f aca="false">IF($A16="",0,SUMIFS(tblAuftraege[Einnahmen],tblAuftraege[Datum Einnahmen],"&gt;="&amp;E$5,tblAuftraege[Datum Einnahmen],"&lt;"&amp;EDATE(E$5,1),tblAuftraege[Auftrag],$A16))</f>
        <v>0</v>
      </c>
      <c r="F16" s="11" t="n">
        <f aca="false">IF($A16="",0,SUMIFS(tblAuftraege[Einnahmen],tblAuftraege[Datum Einnahmen],"&gt;="&amp;F$5,tblAuftraege[Datum Einnahmen],"&lt;"&amp;EDATE(F$5,1),tblAuftraege[Auftrag],$A16))</f>
        <v>0</v>
      </c>
      <c r="G16" s="11" t="n">
        <f aca="false">IF($A16="",0,SUMIFS(tblAuftraege[Einnahmen],tblAuftraege[Datum Einnahmen],"&gt;="&amp;G$5,tblAuftraege[Datum Einnahmen],"&lt;"&amp;EDATE(G$5,1),tblAuftraege[Auftrag],$A16))</f>
        <v>0</v>
      </c>
      <c r="H16" s="11" t="n">
        <f aca="false">IF($A16="",0,SUMIFS(tblAuftraege[Einnahmen],tblAuftraege[Datum Einnahmen],"&gt;="&amp;H$5,tblAuftraege[Datum Einnahmen],"&lt;"&amp;EDATE(H$5,1),tblAuftraege[Auftrag],$A16))</f>
        <v>0</v>
      </c>
      <c r="I16" s="11" t="n">
        <f aca="false">IF($A16="",0,SUMIFS(tblAuftraege[Einnahmen],tblAuftraege[Datum Einnahmen],"&gt;="&amp;I$5,tblAuftraege[Datum Einnahmen],"&lt;"&amp;EDATE(I$5,1),tblAuftraege[Auftrag],$A16))</f>
        <v>0</v>
      </c>
      <c r="J16" s="11" t="n">
        <f aca="false">IF($A16="",0,SUMIFS(tblAuftraege[Einnahmen],tblAuftraege[Datum Einnahmen],"&gt;="&amp;J$5,tblAuftraege[Datum Einnahmen],"&lt;"&amp;EDATE(J$5,1),tblAuftraege[Auftrag],$A16))</f>
        <v>0</v>
      </c>
      <c r="K16" s="11" t="n">
        <f aca="false">IF($A16="",0,SUMIFS(tblAuftraege[Einnahmen],tblAuftraege[Datum Einnahmen],"&gt;="&amp;K$5,tblAuftraege[Datum Einnahmen],"&lt;"&amp;EDATE(K$5,1),tblAuftraege[Auftrag],$A16))</f>
        <v>0</v>
      </c>
      <c r="L16" s="11" t="n">
        <f aca="false">IF($A16="",0,SUMIFS(tblAuftraege[Einnahmen],tblAuftraege[Datum Einnahmen],"&gt;="&amp;L$5,tblAuftraege[Datum Einnahmen],"&lt;"&amp;EDATE(L$5,1),tblAuftraege[Auftrag],$A16))</f>
        <v>0</v>
      </c>
      <c r="M16" s="11" t="n">
        <f aca="false">IF($A16="",0,SUMIFS(tblAuftraege[Einnahmen],tblAuftraege[Datum Einnahmen],"&gt;="&amp;M$5,tblAuftraege[Datum Einnahmen],"&lt;"&amp;EDATE(M$5,1),tblAuftraege[Auftrag],$A16))</f>
        <v>0</v>
      </c>
      <c r="N16" s="11" t="n">
        <f aca="false">IF($A16="",0,SUMIFS(tblAuftraege[Einnahmen],tblAuftraege[Datum Einnahmen],"&gt;="&amp;N$5,tblAuftraege[Datum Einnahmen],"&lt;"&amp;EDATE(N$5,1),tblAuftraege[Auftrag],$A16))</f>
        <v>0</v>
      </c>
      <c r="O16" s="11" t="n">
        <f aca="false">IF($A16="",0,SUMIFS(tblAuftraege[Einnahmen],tblAuftraege[Datum Einnahmen],"&gt;="&amp;O$5,tblAuftraege[Datum Einnahmen],"&lt;"&amp;EDATE(O$5,1),tblAuftraege[Auftrag],$A16))</f>
        <v>0</v>
      </c>
      <c r="P16" s="11" t="n">
        <f aca="false">IF($A16="",0,SUMIFS(tblAuftraege[Einnahmen],tblAuftraege[Datum Einnahmen],"&gt;="&amp;P$5,tblAuftraege[Datum Einnahmen],"&lt;"&amp;EDATE(P$5,1),tblAuftraege[Auftrag],$A16))</f>
        <v>0</v>
      </c>
      <c r="Q16" s="11" t="n">
        <f aca="false">IF($A16="",0,SUMIFS(tblAuftraege[Einnahmen],tblAuftraege[Datum Einnahmen],"&gt;="&amp;Q$5,tblAuftraege[Datum Einnahmen],"&lt;"&amp;EDATE(Q$5,1),tblAuftraege[Auftrag],$A16))</f>
        <v>0</v>
      </c>
      <c r="R16" s="11" t="n">
        <f aca="false">IF($A16="",0,SUMIFS(tblAuftraege[Einnahmen],tblAuftraege[Datum Einnahmen],"&gt;="&amp;R$5,tblAuftraege[Datum Einnahmen],"&lt;"&amp;EDATE(R$5,1),tblAuftraege[Auftrag],$A16))</f>
        <v>0</v>
      </c>
      <c r="S16" s="11" t="n">
        <f aca="false">IF($A16="",0,SUMIFS(tblAuftraege[Einnahmen],tblAuftraege[Datum Einnahmen],"&gt;="&amp;S$5,tblAuftraege[Datum Einnahmen],"&lt;"&amp;EDATE(S$5,1),tblAuftraege[Auftrag],$A16))</f>
        <v>0</v>
      </c>
      <c r="T16" s="11" t="n">
        <f aca="false">IF($A16="",0,SUMIFS(tblAuftraege[Einnahmen],tblAuftraege[Datum Einnahmen],"&gt;="&amp;T$5,tblAuftraege[Datum Einnahmen],"&lt;"&amp;EDATE(T$5,1),tblAuftraege[Auftrag],$A16))</f>
        <v>0</v>
      </c>
      <c r="U16" s="11" t="n">
        <f aca="false">IF($A16="",0,SUMIFS(tblAuftraege[Einnahmen],tblAuftraege[Datum Einnahmen],"&gt;="&amp;U$5,tblAuftraege[Datum Einnahmen],"&lt;"&amp;EDATE(U$5,1),tblAuftraege[Auftrag],$A16))</f>
        <v>0</v>
      </c>
      <c r="V16" s="11" t="n">
        <f aca="false">IF($A16="",0,SUMIFS(tblAuftraege[Einnahmen],tblAuftraege[Datum Einnahmen],"&gt;="&amp;V$5,tblAuftraege[Datum Einnahmen],"&lt;"&amp;EDATE(V$5,1),tblAuftraege[Auftrag],$A16))</f>
        <v>0</v>
      </c>
      <c r="W16" s="11" t="n">
        <f aca="false">SUM(E16:J16)</f>
        <v>0</v>
      </c>
      <c r="X16" s="11" t="n">
        <f aca="false">SUM(K16:V16)</f>
        <v>0</v>
      </c>
      <c r="Y16" s="12" t="n">
        <f aca="false">SUM(E16:V16)</f>
        <v>0</v>
      </c>
    </row>
    <row r="17" customFormat="false" ht="15" hidden="false" customHeight="false" outlineLevel="0" collapsed="false">
      <c r="A17" s="9"/>
      <c r="B17" s="10" t="str">
        <f aca="false">IF($A17="","",IFERROR(INDEX(tblAuftraege[Kostenstelle],MATCH($A17,tblAuftraege[Auftrag],0)),""))</f>
        <v/>
      </c>
      <c r="C17" s="10" t="str">
        <f aca="false">IF($A17="","",IFERROR(INDEX(tblAuftraege[Themenfeld],MATCH($A17,tblAuftraege[Auftrag],0)),""))</f>
        <v/>
      </c>
      <c r="D17" s="10" t="str">
        <f aca="false">IF($A17="","",IFERROR(INDEX(tblAuftraege[Kategorie],MATCH($A17,tblAuftraege[Auftrag],0)),""))</f>
        <v/>
      </c>
      <c r="E17" s="11" t="n">
        <f aca="false">IF($A17="",0,SUMIFS(tblAuftraege[Einnahmen],tblAuftraege[Datum Einnahmen],"&gt;="&amp;E$5,tblAuftraege[Datum Einnahmen],"&lt;"&amp;EDATE(E$5,1),tblAuftraege[Auftrag],$A17))</f>
        <v>0</v>
      </c>
      <c r="F17" s="11" t="n">
        <f aca="false">IF($A17="",0,SUMIFS(tblAuftraege[Einnahmen],tblAuftraege[Datum Einnahmen],"&gt;="&amp;F$5,tblAuftraege[Datum Einnahmen],"&lt;"&amp;EDATE(F$5,1),tblAuftraege[Auftrag],$A17))</f>
        <v>0</v>
      </c>
      <c r="G17" s="11" t="n">
        <f aca="false">IF($A17="",0,SUMIFS(tblAuftraege[Einnahmen],tblAuftraege[Datum Einnahmen],"&gt;="&amp;G$5,tblAuftraege[Datum Einnahmen],"&lt;"&amp;EDATE(G$5,1),tblAuftraege[Auftrag],$A17))</f>
        <v>0</v>
      </c>
      <c r="H17" s="11" t="n">
        <f aca="false">IF($A17="",0,SUMIFS(tblAuftraege[Einnahmen],tblAuftraege[Datum Einnahmen],"&gt;="&amp;H$5,tblAuftraege[Datum Einnahmen],"&lt;"&amp;EDATE(H$5,1),tblAuftraege[Auftrag],$A17))</f>
        <v>0</v>
      </c>
      <c r="I17" s="11" t="n">
        <f aca="false">IF($A17="",0,SUMIFS(tblAuftraege[Einnahmen],tblAuftraege[Datum Einnahmen],"&gt;="&amp;I$5,tblAuftraege[Datum Einnahmen],"&lt;"&amp;EDATE(I$5,1),tblAuftraege[Auftrag],$A17))</f>
        <v>0</v>
      </c>
      <c r="J17" s="11" t="n">
        <f aca="false">IF($A17="",0,SUMIFS(tblAuftraege[Einnahmen],tblAuftraege[Datum Einnahmen],"&gt;="&amp;J$5,tblAuftraege[Datum Einnahmen],"&lt;"&amp;EDATE(J$5,1),tblAuftraege[Auftrag],$A17))</f>
        <v>0</v>
      </c>
      <c r="K17" s="11" t="n">
        <f aca="false">IF($A17="",0,SUMIFS(tblAuftraege[Einnahmen],tblAuftraege[Datum Einnahmen],"&gt;="&amp;K$5,tblAuftraege[Datum Einnahmen],"&lt;"&amp;EDATE(K$5,1),tblAuftraege[Auftrag],$A17))</f>
        <v>0</v>
      </c>
      <c r="L17" s="11" t="n">
        <f aca="false">IF($A17="",0,SUMIFS(tblAuftraege[Einnahmen],tblAuftraege[Datum Einnahmen],"&gt;="&amp;L$5,tblAuftraege[Datum Einnahmen],"&lt;"&amp;EDATE(L$5,1),tblAuftraege[Auftrag],$A17))</f>
        <v>0</v>
      </c>
      <c r="M17" s="11" t="n">
        <f aca="false">IF($A17="",0,SUMIFS(tblAuftraege[Einnahmen],tblAuftraege[Datum Einnahmen],"&gt;="&amp;M$5,tblAuftraege[Datum Einnahmen],"&lt;"&amp;EDATE(M$5,1),tblAuftraege[Auftrag],$A17))</f>
        <v>0</v>
      </c>
      <c r="N17" s="11" t="n">
        <f aca="false">IF($A17="",0,SUMIFS(tblAuftraege[Einnahmen],tblAuftraege[Datum Einnahmen],"&gt;="&amp;N$5,tblAuftraege[Datum Einnahmen],"&lt;"&amp;EDATE(N$5,1),tblAuftraege[Auftrag],$A17))</f>
        <v>0</v>
      </c>
      <c r="O17" s="11" t="n">
        <f aca="false">IF($A17="",0,SUMIFS(tblAuftraege[Einnahmen],tblAuftraege[Datum Einnahmen],"&gt;="&amp;O$5,tblAuftraege[Datum Einnahmen],"&lt;"&amp;EDATE(O$5,1),tblAuftraege[Auftrag],$A17))</f>
        <v>0</v>
      </c>
      <c r="P17" s="11" t="n">
        <f aca="false">IF($A17="",0,SUMIFS(tblAuftraege[Einnahmen],tblAuftraege[Datum Einnahmen],"&gt;="&amp;P$5,tblAuftraege[Datum Einnahmen],"&lt;"&amp;EDATE(P$5,1),tblAuftraege[Auftrag],$A17))</f>
        <v>0</v>
      </c>
      <c r="Q17" s="11" t="n">
        <f aca="false">IF($A17="",0,SUMIFS(tblAuftraege[Einnahmen],tblAuftraege[Datum Einnahmen],"&gt;="&amp;Q$5,tblAuftraege[Datum Einnahmen],"&lt;"&amp;EDATE(Q$5,1),tblAuftraege[Auftrag],$A17))</f>
        <v>0</v>
      </c>
      <c r="R17" s="11" t="n">
        <f aca="false">IF($A17="",0,SUMIFS(tblAuftraege[Einnahmen],tblAuftraege[Datum Einnahmen],"&gt;="&amp;R$5,tblAuftraege[Datum Einnahmen],"&lt;"&amp;EDATE(R$5,1),tblAuftraege[Auftrag],$A17))</f>
        <v>0</v>
      </c>
      <c r="S17" s="11" t="n">
        <f aca="false">IF($A17="",0,SUMIFS(tblAuftraege[Einnahmen],tblAuftraege[Datum Einnahmen],"&gt;="&amp;S$5,tblAuftraege[Datum Einnahmen],"&lt;"&amp;EDATE(S$5,1),tblAuftraege[Auftrag],$A17))</f>
        <v>0</v>
      </c>
      <c r="T17" s="11" t="n">
        <f aca="false">IF($A17="",0,SUMIFS(tblAuftraege[Einnahmen],tblAuftraege[Datum Einnahmen],"&gt;="&amp;T$5,tblAuftraege[Datum Einnahmen],"&lt;"&amp;EDATE(T$5,1),tblAuftraege[Auftrag],$A17))</f>
        <v>0</v>
      </c>
      <c r="U17" s="11" t="n">
        <f aca="false">IF($A17="",0,SUMIFS(tblAuftraege[Einnahmen],tblAuftraege[Datum Einnahmen],"&gt;="&amp;U$5,tblAuftraege[Datum Einnahmen],"&lt;"&amp;EDATE(U$5,1),tblAuftraege[Auftrag],$A17))</f>
        <v>0</v>
      </c>
      <c r="V17" s="11" t="n">
        <f aca="false">IF($A17="",0,SUMIFS(tblAuftraege[Einnahmen],tblAuftraege[Datum Einnahmen],"&gt;="&amp;V$5,tblAuftraege[Datum Einnahmen],"&lt;"&amp;EDATE(V$5,1),tblAuftraege[Auftrag],$A17))</f>
        <v>0</v>
      </c>
      <c r="W17" s="11" t="n">
        <f aca="false">SUM(E17:J17)</f>
        <v>0</v>
      </c>
      <c r="X17" s="11" t="n">
        <f aca="false">SUM(K17:V17)</f>
        <v>0</v>
      </c>
      <c r="Y17" s="12" t="n">
        <f aca="false">SUM(E17:V17)</f>
        <v>0</v>
      </c>
    </row>
    <row r="18" customFormat="false" ht="15" hidden="false" customHeight="false" outlineLevel="0" collapsed="false">
      <c r="A18" s="9"/>
      <c r="B18" s="10" t="str">
        <f aca="false">IF($A18="","",IFERROR(INDEX(tblAuftraege[Kostenstelle],MATCH($A18,tblAuftraege[Auftrag],0)),""))</f>
        <v/>
      </c>
      <c r="C18" s="10" t="str">
        <f aca="false">IF($A18="","",IFERROR(INDEX(tblAuftraege[Themenfeld],MATCH($A18,tblAuftraege[Auftrag],0)),""))</f>
        <v/>
      </c>
      <c r="D18" s="10" t="str">
        <f aca="false">IF($A18="","",IFERROR(INDEX(tblAuftraege[Kategorie],MATCH($A18,tblAuftraege[Auftrag],0)),""))</f>
        <v/>
      </c>
      <c r="E18" s="11" t="n">
        <f aca="false">IF($A18="",0,SUMIFS(tblAuftraege[Einnahmen],tblAuftraege[Datum Einnahmen],"&gt;="&amp;E$5,tblAuftraege[Datum Einnahmen],"&lt;"&amp;EDATE(E$5,1),tblAuftraege[Auftrag],$A18))</f>
        <v>0</v>
      </c>
      <c r="F18" s="11" t="n">
        <f aca="false">IF($A18="",0,SUMIFS(tblAuftraege[Einnahmen],tblAuftraege[Datum Einnahmen],"&gt;="&amp;F$5,tblAuftraege[Datum Einnahmen],"&lt;"&amp;EDATE(F$5,1),tblAuftraege[Auftrag],$A18))</f>
        <v>0</v>
      </c>
      <c r="G18" s="11" t="n">
        <f aca="false">IF($A18="",0,SUMIFS(tblAuftraege[Einnahmen],tblAuftraege[Datum Einnahmen],"&gt;="&amp;G$5,tblAuftraege[Datum Einnahmen],"&lt;"&amp;EDATE(G$5,1),tblAuftraege[Auftrag],$A18))</f>
        <v>0</v>
      </c>
      <c r="H18" s="11" t="n">
        <f aca="false">IF($A18="",0,SUMIFS(tblAuftraege[Einnahmen],tblAuftraege[Datum Einnahmen],"&gt;="&amp;H$5,tblAuftraege[Datum Einnahmen],"&lt;"&amp;EDATE(H$5,1),tblAuftraege[Auftrag],$A18))</f>
        <v>0</v>
      </c>
      <c r="I18" s="11" t="n">
        <f aca="false">IF($A18="",0,SUMIFS(tblAuftraege[Einnahmen],tblAuftraege[Datum Einnahmen],"&gt;="&amp;I$5,tblAuftraege[Datum Einnahmen],"&lt;"&amp;EDATE(I$5,1),tblAuftraege[Auftrag],$A18))</f>
        <v>0</v>
      </c>
      <c r="J18" s="11" t="n">
        <f aca="false">IF($A18="",0,SUMIFS(tblAuftraege[Einnahmen],tblAuftraege[Datum Einnahmen],"&gt;="&amp;J$5,tblAuftraege[Datum Einnahmen],"&lt;"&amp;EDATE(J$5,1),tblAuftraege[Auftrag],$A18))</f>
        <v>0</v>
      </c>
      <c r="K18" s="11" t="n">
        <f aca="false">IF($A18="",0,SUMIFS(tblAuftraege[Einnahmen],tblAuftraege[Datum Einnahmen],"&gt;="&amp;K$5,tblAuftraege[Datum Einnahmen],"&lt;"&amp;EDATE(K$5,1),tblAuftraege[Auftrag],$A18))</f>
        <v>0</v>
      </c>
      <c r="L18" s="11" t="n">
        <f aca="false">IF($A18="",0,SUMIFS(tblAuftraege[Einnahmen],tblAuftraege[Datum Einnahmen],"&gt;="&amp;L$5,tblAuftraege[Datum Einnahmen],"&lt;"&amp;EDATE(L$5,1),tblAuftraege[Auftrag],$A18))</f>
        <v>0</v>
      </c>
      <c r="M18" s="11" t="n">
        <f aca="false">IF($A18="",0,SUMIFS(tblAuftraege[Einnahmen],tblAuftraege[Datum Einnahmen],"&gt;="&amp;M$5,tblAuftraege[Datum Einnahmen],"&lt;"&amp;EDATE(M$5,1),tblAuftraege[Auftrag],$A18))</f>
        <v>0</v>
      </c>
      <c r="N18" s="11" t="n">
        <f aca="false">IF($A18="",0,SUMIFS(tblAuftraege[Einnahmen],tblAuftraege[Datum Einnahmen],"&gt;="&amp;N$5,tblAuftraege[Datum Einnahmen],"&lt;"&amp;EDATE(N$5,1),tblAuftraege[Auftrag],$A18))</f>
        <v>0</v>
      </c>
      <c r="O18" s="11" t="n">
        <f aca="false">IF($A18="",0,SUMIFS(tblAuftraege[Einnahmen],tblAuftraege[Datum Einnahmen],"&gt;="&amp;O$5,tblAuftraege[Datum Einnahmen],"&lt;"&amp;EDATE(O$5,1),tblAuftraege[Auftrag],$A18))</f>
        <v>0</v>
      </c>
      <c r="P18" s="11" t="n">
        <f aca="false">IF($A18="",0,SUMIFS(tblAuftraege[Einnahmen],tblAuftraege[Datum Einnahmen],"&gt;="&amp;P$5,tblAuftraege[Datum Einnahmen],"&lt;"&amp;EDATE(P$5,1),tblAuftraege[Auftrag],$A18))</f>
        <v>0</v>
      </c>
      <c r="Q18" s="11" t="n">
        <f aca="false">IF($A18="",0,SUMIFS(tblAuftraege[Einnahmen],tblAuftraege[Datum Einnahmen],"&gt;="&amp;Q$5,tblAuftraege[Datum Einnahmen],"&lt;"&amp;EDATE(Q$5,1),tblAuftraege[Auftrag],$A18))</f>
        <v>0</v>
      </c>
      <c r="R18" s="11" t="n">
        <f aca="false">IF($A18="",0,SUMIFS(tblAuftraege[Einnahmen],tblAuftraege[Datum Einnahmen],"&gt;="&amp;R$5,tblAuftraege[Datum Einnahmen],"&lt;"&amp;EDATE(R$5,1),tblAuftraege[Auftrag],$A18))</f>
        <v>0</v>
      </c>
      <c r="S18" s="11" t="n">
        <f aca="false">IF($A18="",0,SUMIFS(tblAuftraege[Einnahmen],tblAuftraege[Datum Einnahmen],"&gt;="&amp;S$5,tblAuftraege[Datum Einnahmen],"&lt;"&amp;EDATE(S$5,1),tblAuftraege[Auftrag],$A18))</f>
        <v>0</v>
      </c>
      <c r="T18" s="11" t="n">
        <f aca="false">IF($A18="",0,SUMIFS(tblAuftraege[Einnahmen],tblAuftraege[Datum Einnahmen],"&gt;="&amp;T$5,tblAuftraege[Datum Einnahmen],"&lt;"&amp;EDATE(T$5,1),tblAuftraege[Auftrag],$A18))</f>
        <v>0</v>
      </c>
      <c r="U18" s="11" t="n">
        <f aca="false">IF($A18="",0,SUMIFS(tblAuftraege[Einnahmen],tblAuftraege[Datum Einnahmen],"&gt;="&amp;U$5,tblAuftraege[Datum Einnahmen],"&lt;"&amp;EDATE(U$5,1),tblAuftraege[Auftrag],$A18))</f>
        <v>0</v>
      </c>
      <c r="V18" s="11" t="n">
        <f aca="false">IF($A18="",0,SUMIFS(tblAuftraege[Einnahmen],tblAuftraege[Datum Einnahmen],"&gt;="&amp;V$5,tblAuftraege[Datum Einnahmen],"&lt;"&amp;EDATE(V$5,1),tblAuftraege[Auftrag],$A18))</f>
        <v>0</v>
      </c>
      <c r="W18" s="11" t="n">
        <f aca="false">SUM(E18:J18)</f>
        <v>0</v>
      </c>
      <c r="X18" s="11" t="n">
        <f aca="false">SUM(K18:V18)</f>
        <v>0</v>
      </c>
      <c r="Y18" s="12" t="n">
        <f aca="false">SUM(E18:V18)</f>
        <v>0</v>
      </c>
    </row>
    <row r="19" customFormat="false" ht="15" hidden="false" customHeight="false" outlineLevel="0" collapsed="false">
      <c r="A19" s="9"/>
      <c r="B19" s="10" t="str">
        <f aca="false">IF($A19="","",IFERROR(INDEX(tblAuftraege[Kostenstelle],MATCH($A19,tblAuftraege[Auftrag],0)),""))</f>
        <v/>
      </c>
      <c r="C19" s="10" t="str">
        <f aca="false">IF($A19="","",IFERROR(INDEX(tblAuftraege[Themenfeld],MATCH($A19,tblAuftraege[Auftrag],0)),""))</f>
        <v/>
      </c>
      <c r="D19" s="10" t="str">
        <f aca="false">IF($A19="","",IFERROR(INDEX(tblAuftraege[Kategorie],MATCH($A19,tblAuftraege[Auftrag],0)),""))</f>
        <v/>
      </c>
      <c r="E19" s="11" t="n">
        <f aca="false">IF($A19="",0,SUMIFS(tblAuftraege[Einnahmen],tblAuftraege[Datum Einnahmen],"&gt;="&amp;E$5,tblAuftraege[Datum Einnahmen],"&lt;"&amp;EDATE(E$5,1),tblAuftraege[Auftrag],$A19))</f>
        <v>0</v>
      </c>
      <c r="F19" s="11" t="n">
        <f aca="false">IF($A19="",0,SUMIFS(tblAuftraege[Einnahmen],tblAuftraege[Datum Einnahmen],"&gt;="&amp;F$5,tblAuftraege[Datum Einnahmen],"&lt;"&amp;EDATE(F$5,1),tblAuftraege[Auftrag],$A19))</f>
        <v>0</v>
      </c>
      <c r="G19" s="11" t="n">
        <f aca="false">IF($A19="",0,SUMIFS(tblAuftraege[Einnahmen],tblAuftraege[Datum Einnahmen],"&gt;="&amp;G$5,tblAuftraege[Datum Einnahmen],"&lt;"&amp;EDATE(G$5,1),tblAuftraege[Auftrag],$A19))</f>
        <v>0</v>
      </c>
      <c r="H19" s="11" t="n">
        <f aca="false">IF($A19="",0,SUMIFS(tblAuftraege[Einnahmen],tblAuftraege[Datum Einnahmen],"&gt;="&amp;H$5,tblAuftraege[Datum Einnahmen],"&lt;"&amp;EDATE(H$5,1),tblAuftraege[Auftrag],$A19))</f>
        <v>0</v>
      </c>
      <c r="I19" s="11" t="n">
        <f aca="false">IF($A19="",0,SUMIFS(tblAuftraege[Einnahmen],tblAuftraege[Datum Einnahmen],"&gt;="&amp;I$5,tblAuftraege[Datum Einnahmen],"&lt;"&amp;EDATE(I$5,1),tblAuftraege[Auftrag],$A19))</f>
        <v>0</v>
      </c>
      <c r="J19" s="11" t="n">
        <f aca="false">IF($A19="",0,SUMIFS(tblAuftraege[Einnahmen],tblAuftraege[Datum Einnahmen],"&gt;="&amp;J$5,tblAuftraege[Datum Einnahmen],"&lt;"&amp;EDATE(J$5,1),tblAuftraege[Auftrag],$A19))</f>
        <v>0</v>
      </c>
      <c r="K19" s="11" t="n">
        <f aca="false">IF($A19="",0,SUMIFS(tblAuftraege[Einnahmen],tblAuftraege[Datum Einnahmen],"&gt;="&amp;K$5,tblAuftraege[Datum Einnahmen],"&lt;"&amp;EDATE(K$5,1),tblAuftraege[Auftrag],$A19))</f>
        <v>0</v>
      </c>
      <c r="L19" s="11" t="n">
        <f aca="false">IF($A19="",0,SUMIFS(tblAuftraege[Einnahmen],tblAuftraege[Datum Einnahmen],"&gt;="&amp;L$5,tblAuftraege[Datum Einnahmen],"&lt;"&amp;EDATE(L$5,1),tblAuftraege[Auftrag],$A19))</f>
        <v>0</v>
      </c>
      <c r="M19" s="11" t="n">
        <f aca="false">IF($A19="",0,SUMIFS(tblAuftraege[Einnahmen],tblAuftraege[Datum Einnahmen],"&gt;="&amp;M$5,tblAuftraege[Datum Einnahmen],"&lt;"&amp;EDATE(M$5,1),tblAuftraege[Auftrag],$A19))</f>
        <v>0</v>
      </c>
      <c r="N19" s="11" t="n">
        <f aca="false">IF($A19="",0,SUMIFS(tblAuftraege[Einnahmen],tblAuftraege[Datum Einnahmen],"&gt;="&amp;N$5,tblAuftraege[Datum Einnahmen],"&lt;"&amp;EDATE(N$5,1),tblAuftraege[Auftrag],$A19))</f>
        <v>0</v>
      </c>
      <c r="O19" s="11" t="n">
        <f aca="false">IF($A19="",0,SUMIFS(tblAuftraege[Einnahmen],tblAuftraege[Datum Einnahmen],"&gt;="&amp;O$5,tblAuftraege[Datum Einnahmen],"&lt;"&amp;EDATE(O$5,1),tblAuftraege[Auftrag],$A19))</f>
        <v>0</v>
      </c>
      <c r="P19" s="11" t="n">
        <f aca="false">IF($A19="",0,SUMIFS(tblAuftraege[Einnahmen],tblAuftraege[Datum Einnahmen],"&gt;="&amp;P$5,tblAuftraege[Datum Einnahmen],"&lt;"&amp;EDATE(P$5,1),tblAuftraege[Auftrag],$A19))</f>
        <v>0</v>
      </c>
      <c r="Q19" s="11" t="n">
        <f aca="false">IF($A19="",0,SUMIFS(tblAuftraege[Einnahmen],tblAuftraege[Datum Einnahmen],"&gt;="&amp;Q$5,tblAuftraege[Datum Einnahmen],"&lt;"&amp;EDATE(Q$5,1),tblAuftraege[Auftrag],$A19))</f>
        <v>0</v>
      </c>
      <c r="R19" s="11" t="n">
        <f aca="false">IF($A19="",0,SUMIFS(tblAuftraege[Einnahmen],tblAuftraege[Datum Einnahmen],"&gt;="&amp;R$5,tblAuftraege[Datum Einnahmen],"&lt;"&amp;EDATE(R$5,1),tblAuftraege[Auftrag],$A19))</f>
        <v>0</v>
      </c>
      <c r="S19" s="11" t="n">
        <f aca="false">IF($A19="",0,SUMIFS(tblAuftraege[Einnahmen],tblAuftraege[Datum Einnahmen],"&gt;="&amp;S$5,tblAuftraege[Datum Einnahmen],"&lt;"&amp;EDATE(S$5,1),tblAuftraege[Auftrag],$A19))</f>
        <v>0</v>
      </c>
      <c r="T19" s="11" t="n">
        <f aca="false">IF($A19="",0,SUMIFS(tblAuftraege[Einnahmen],tblAuftraege[Datum Einnahmen],"&gt;="&amp;T$5,tblAuftraege[Datum Einnahmen],"&lt;"&amp;EDATE(T$5,1),tblAuftraege[Auftrag],$A19))</f>
        <v>0</v>
      </c>
      <c r="U19" s="11" t="n">
        <f aca="false">IF($A19="",0,SUMIFS(tblAuftraege[Einnahmen],tblAuftraege[Datum Einnahmen],"&gt;="&amp;U$5,tblAuftraege[Datum Einnahmen],"&lt;"&amp;EDATE(U$5,1),tblAuftraege[Auftrag],$A19))</f>
        <v>0</v>
      </c>
      <c r="V19" s="11" t="n">
        <f aca="false">IF($A19="",0,SUMIFS(tblAuftraege[Einnahmen],tblAuftraege[Datum Einnahmen],"&gt;="&amp;V$5,tblAuftraege[Datum Einnahmen],"&lt;"&amp;EDATE(V$5,1),tblAuftraege[Auftrag],$A19))</f>
        <v>0</v>
      </c>
      <c r="W19" s="11" t="n">
        <f aca="false">SUM(E19:J19)</f>
        <v>0</v>
      </c>
      <c r="X19" s="11" t="n">
        <f aca="false">SUM(K19:V19)</f>
        <v>0</v>
      </c>
      <c r="Y19" s="12" t="n">
        <f aca="false">SUM(E19:V19)</f>
        <v>0</v>
      </c>
    </row>
    <row r="20" customFormat="false" ht="15" hidden="false" customHeight="false" outlineLevel="0" collapsed="false">
      <c r="A20" s="9"/>
      <c r="B20" s="10" t="str">
        <f aca="false">IF($A20="","",IFERROR(INDEX(tblAuftraege[Kostenstelle],MATCH($A20,tblAuftraege[Auftrag],0)),""))</f>
        <v/>
      </c>
      <c r="C20" s="10" t="str">
        <f aca="false">IF($A20="","",IFERROR(INDEX(tblAuftraege[Themenfeld],MATCH($A20,tblAuftraege[Auftrag],0)),""))</f>
        <v/>
      </c>
      <c r="D20" s="10" t="str">
        <f aca="false">IF($A20="","",IFERROR(INDEX(tblAuftraege[Kategorie],MATCH($A20,tblAuftraege[Auftrag],0)),""))</f>
        <v/>
      </c>
      <c r="E20" s="11" t="n">
        <f aca="false">IF($A20="",0,SUMIFS(tblAuftraege[Einnahmen],tblAuftraege[Datum Einnahmen],"&gt;="&amp;E$5,tblAuftraege[Datum Einnahmen],"&lt;"&amp;EDATE(E$5,1),tblAuftraege[Auftrag],$A20))</f>
        <v>0</v>
      </c>
      <c r="F20" s="11" t="n">
        <f aca="false">IF($A20="",0,SUMIFS(tblAuftraege[Einnahmen],tblAuftraege[Datum Einnahmen],"&gt;="&amp;F$5,tblAuftraege[Datum Einnahmen],"&lt;"&amp;EDATE(F$5,1),tblAuftraege[Auftrag],$A20))</f>
        <v>0</v>
      </c>
      <c r="G20" s="11" t="n">
        <f aca="false">IF($A20="",0,SUMIFS(tblAuftraege[Einnahmen],tblAuftraege[Datum Einnahmen],"&gt;="&amp;G$5,tblAuftraege[Datum Einnahmen],"&lt;"&amp;EDATE(G$5,1),tblAuftraege[Auftrag],$A20))</f>
        <v>0</v>
      </c>
      <c r="H20" s="11" t="n">
        <f aca="false">IF($A20="",0,SUMIFS(tblAuftraege[Einnahmen],tblAuftraege[Datum Einnahmen],"&gt;="&amp;H$5,tblAuftraege[Datum Einnahmen],"&lt;"&amp;EDATE(H$5,1),tblAuftraege[Auftrag],$A20))</f>
        <v>0</v>
      </c>
      <c r="I20" s="11" t="n">
        <f aca="false">IF($A20="",0,SUMIFS(tblAuftraege[Einnahmen],tblAuftraege[Datum Einnahmen],"&gt;="&amp;I$5,tblAuftraege[Datum Einnahmen],"&lt;"&amp;EDATE(I$5,1),tblAuftraege[Auftrag],$A20))</f>
        <v>0</v>
      </c>
      <c r="J20" s="11" t="n">
        <f aca="false">IF($A20="",0,SUMIFS(tblAuftraege[Einnahmen],tblAuftraege[Datum Einnahmen],"&gt;="&amp;J$5,tblAuftraege[Datum Einnahmen],"&lt;"&amp;EDATE(J$5,1),tblAuftraege[Auftrag],$A20))</f>
        <v>0</v>
      </c>
      <c r="K20" s="11" t="n">
        <f aca="false">IF($A20="",0,SUMIFS(tblAuftraege[Einnahmen],tblAuftraege[Datum Einnahmen],"&gt;="&amp;K$5,tblAuftraege[Datum Einnahmen],"&lt;"&amp;EDATE(K$5,1),tblAuftraege[Auftrag],$A20))</f>
        <v>0</v>
      </c>
      <c r="L20" s="11" t="n">
        <f aca="false">IF($A20="",0,SUMIFS(tblAuftraege[Einnahmen],tblAuftraege[Datum Einnahmen],"&gt;="&amp;L$5,tblAuftraege[Datum Einnahmen],"&lt;"&amp;EDATE(L$5,1),tblAuftraege[Auftrag],$A20))</f>
        <v>0</v>
      </c>
      <c r="M20" s="11" t="n">
        <f aca="false">IF($A20="",0,SUMIFS(tblAuftraege[Einnahmen],tblAuftraege[Datum Einnahmen],"&gt;="&amp;M$5,tblAuftraege[Datum Einnahmen],"&lt;"&amp;EDATE(M$5,1),tblAuftraege[Auftrag],$A20))</f>
        <v>0</v>
      </c>
      <c r="N20" s="11" t="n">
        <f aca="false">IF($A20="",0,SUMIFS(tblAuftraege[Einnahmen],tblAuftraege[Datum Einnahmen],"&gt;="&amp;N$5,tblAuftraege[Datum Einnahmen],"&lt;"&amp;EDATE(N$5,1),tblAuftraege[Auftrag],$A20))</f>
        <v>0</v>
      </c>
      <c r="O20" s="11" t="n">
        <f aca="false">IF($A20="",0,SUMIFS(tblAuftraege[Einnahmen],tblAuftraege[Datum Einnahmen],"&gt;="&amp;O$5,tblAuftraege[Datum Einnahmen],"&lt;"&amp;EDATE(O$5,1),tblAuftraege[Auftrag],$A20))</f>
        <v>0</v>
      </c>
      <c r="P20" s="11" t="n">
        <f aca="false">IF($A20="",0,SUMIFS(tblAuftraege[Einnahmen],tblAuftraege[Datum Einnahmen],"&gt;="&amp;P$5,tblAuftraege[Datum Einnahmen],"&lt;"&amp;EDATE(P$5,1),tblAuftraege[Auftrag],$A20))</f>
        <v>0</v>
      </c>
      <c r="Q20" s="11" t="n">
        <f aca="false">IF($A20="",0,SUMIFS(tblAuftraege[Einnahmen],tblAuftraege[Datum Einnahmen],"&gt;="&amp;Q$5,tblAuftraege[Datum Einnahmen],"&lt;"&amp;EDATE(Q$5,1),tblAuftraege[Auftrag],$A20))</f>
        <v>0</v>
      </c>
      <c r="R20" s="11" t="n">
        <f aca="false">IF($A20="",0,SUMIFS(tblAuftraege[Einnahmen],tblAuftraege[Datum Einnahmen],"&gt;="&amp;R$5,tblAuftraege[Datum Einnahmen],"&lt;"&amp;EDATE(R$5,1),tblAuftraege[Auftrag],$A20))</f>
        <v>0</v>
      </c>
      <c r="S20" s="11" t="n">
        <f aca="false">IF($A20="",0,SUMIFS(tblAuftraege[Einnahmen],tblAuftraege[Datum Einnahmen],"&gt;="&amp;S$5,tblAuftraege[Datum Einnahmen],"&lt;"&amp;EDATE(S$5,1),tblAuftraege[Auftrag],$A20))</f>
        <v>0</v>
      </c>
      <c r="T20" s="11" t="n">
        <f aca="false">IF($A20="",0,SUMIFS(tblAuftraege[Einnahmen],tblAuftraege[Datum Einnahmen],"&gt;="&amp;T$5,tblAuftraege[Datum Einnahmen],"&lt;"&amp;EDATE(T$5,1),tblAuftraege[Auftrag],$A20))</f>
        <v>0</v>
      </c>
      <c r="U20" s="11" t="n">
        <f aca="false">IF($A20="",0,SUMIFS(tblAuftraege[Einnahmen],tblAuftraege[Datum Einnahmen],"&gt;="&amp;U$5,tblAuftraege[Datum Einnahmen],"&lt;"&amp;EDATE(U$5,1),tblAuftraege[Auftrag],$A20))</f>
        <v>0</v>
      </c>
      <c r="V20" s="11" t="n">
        <f aca="false">IF($A20="",0,SUMIFS(tblAuftraege[Einnahmen],tblAuftraege[Datum Einnahmen],"&gt;="&amp;V$5,tblAuftraege[Datum Einnahmen],"&lt;"&amp;EDATE(V$5,1),tblAuftraege[Auftrag],$A20))</f>
        <v>0</v>
      </c>
      <c r="W20" s="11" t="n">
        <f aca="false">SUM(E20:J20)</f>
        <v>0</v>
      </c>
      <c r="X20" s="11" t="n">
        <f aca="false">SUM(K20:V20)</f>
        <v>0</v>
      </c>
      <c r="Y20" s="12" t="n">
        <f aca="false">SUM(E20:V20)</f>
        <v>0</v>
      </c>
    </row>
    <row r="21" customFormat="false" ht="15" hidden="false" customHeight="false" outlineLevel="0" collapsed="false">
      <c r="A21" s="9"/>
      <c r="B21" s="10" t="str">
        <f aca="false">IF($A21="","",IFERROR(INDEX(tblAuftraege[Kostenstelle],MATCH($A21,tblAuftraege[Auftrag],0)),""))</f>
        <v/>
      </c>
      <c r="C21" s="10" t="str">
        <f aca="false">IF($A21="","",IFERROR(INDEX(tblAuftraege[Themenfeld],MATCH($A21,tblAuftraege[Auftrag],0)),""))</f>
        <v/>
      </c>
      <c r="D21" s="10" t="str">
        <f aca="false">IF($A21="","",IFERROR(INDEX(tblAuftraege[Kategorie],MATCH($A21,tblAuftraege[Auftrag],0)),""))</f>
        <v/>
      </c>
      <c r="E21" s="11" t="n">
        <f aca="false">IF($A21="",0,SUMIFS(tblAuftraege[Einnahmen],tblAuftraege[Datum Einnahmen],"&gt;="&amp;E$5,tblAuftraege[Datum Einnahmen],"&lt;"&amp;EDATE(E$5,1),tblAuftraege[Auftrag],$A21))</f>
        <v>0</v>
      </c>
      <c r="F21" s="11" t="n">
        <f aca="false">IF($A21="",0,SUMIFS(tblAuftraege[Einnahmen],tblAuftraege[Datum Einnahmen],"&gt;="&amp;F$5,tblAuftraege[Datum Einnahmen],"&lt;"&amp;EDATE(F$5,1),tblAuftraege[Auftrag],$A21))</f>
        <v>0</v>
      </c>
      <c r="G21" s="11" t="n">
        <f aca="false">IF($A21="",0,SUMIFS(tblAuftraege[Einnahmen],tblAuftraege[Datum Einnahmen],"&gt;="&amp;G$5,tblAuftraege[Datum Einnahmen],"&lt;"&amp;EDATE(G$5,1),tblAuftraege[Auftrag],$A21))</f>
        <v>0</v>
      </c>
      <c r="H21" s="11" t="n">
        <f aca="false">IF($A21="",0,SUMIFS(tblAuftraege[Einnahmen],tblAuftraege[Datum Einnahmen],"&gt;="&amp;H$5,tblAuftraege[Datum Einnahmen],"&lt;"&amp;EDATE(H$5,1),tblAuftraege[Auftrag],$A21))</f>
        <v>0</v>
      </c>
      <c r="I21" s="11" t="n">
        <f aca="false">IF($A21="",0,SUMIFS(tblAuftraege[Einnahmen],tblAuftraege[Datum Einnahmen],"&gt;="&amp;I$5,tblAuftraege[Datum Einnahmen],"&lt;"&amp;EDATE(I$5,1),tblAuftraege[Auftrag],$A21))</f>
        <v>0</v>
      </c>
      <c r="J21" s="11" t="n">
        <f aca="false">IF($A21="",0,SUMIFS(tblAuftraege[Einnahmen],tblAuftraege[Datum Einnahmen],"&gt;="&amp;J$5,tblAuftraege[Datum Einnahmen],"&lt;"&amp;EDATE(J$5,1),tblAuftraege[Auftrag],$A21))</f>
        <v>0</v>
      </c>
      <c r="K21" s="11" t="n">
        <f aca="false">IF($A21="",0,SUMIFS(tblAuftraege[Einnahmen],tblAuftraege[Datum Einnahmen],"&gt;="&amp;K$5,tblAuftraege[Datum Einnahmen],"&lt;"&amp;EDATE(K$5,1),tblAuftraege[Auftrag],$A21))</f>
        <v>0</v>
      </c>
      <c r="L21" s="11" t="n">
        <f aca="false">IF($A21="",0,SUMIFS(tblAuftraege[Einnahmen],tblAuftraege[Datum Einnahmen],"&gt;="&amp;L$5,tblAuftraege[Datum Einnahmen],"&lt;"&amp;EDATE(L$5,1),tblAuftraege[Auftrag],$A21))</f>
        <v>0</v>
      </c>
      <c r="M21" s="11" t="n">
        <f aca="false">IF($A21="",0,SUMIFS(tblAuftraege[Einnahmen],tblAuftraege[Datum Einnahmen],"&gt;="&amp;M$5,tblAuftraege[Datum Einnahmen],"&lt;"&amp;EDATE(M$5,1),tblAuftraege[Auftrag],$A21))</f>
        <v>0</v>
      </c>
      <c r="N21" s="11" t="n">
        <f aca="false">IF($A21="",0,SUMIFS(tblAuftraege[Einnahmen],tblAuftraege[Datum Einnahmen],"&gt;="&amp;N$5,tblAuftraege[Datum Einnahmen],"&lt;"&amp;EDATE(N$5,1),tblAuftraege[Auftrag],$A21))</f>
        <v>0</v>
      </c>
      <c r="O21" s="11" t="n">
        <f aca="false">IF($A21="",0,SUMIFS(tblAuftraege[Einnahmen],tblAuftraege[Datum Einnahmen],"&gt;="&amp;O$5,tblAuftraege[Datum Einnahmen],"&lt;"&amp;EDATE(O$5,1),tblAuftraege[Auftrag],$A21))</f>
        <v>0</v>
      </c>
      <c r="P21" s="11" t="n">
        <f aca="false">IF($A21="",0,SUMIFS(tblAuftraege[Einnahmen],tblAuftraege[Datum Einnahmen],"&gt;="&amp;P$5,tblAuftraege[Datum Einnahmen],"&lt;"&amp;EDATE(P$5,1),tblAuftraege[Auftrag],$A21))</f>
        <v>0</v>
      </c>
      <c r="Q21" s="11" t="n">
        <f aca="false">IF($A21="",0,SUMIFS(tblAuftraege[Einnahmen],tblAuftraege[Datum Einnahmen],"&gt;="&amp;Q$5,tblAuftraege[Datum Einnahmen],"&lt;"&amp;EDATE(Q$5,1),tblAuftraege[Auftrag],$A21))</f>
        <v>0</v>
      </c>
      <c r="R21" s="11" t="n">
        <f aca="false">IF($A21="",0,SUMIFS(tblAuftraege[Einnahmen],tblAuftraege[Datum Einnahmen],"&gt;="&amp;R$5,tblAuftraege[Datum Einnahmen],"&lt;"&amp;EDATE(R$5,1),tblAuftraege[Auftrag],$A21))</f>
        <v>0</v>
      </c>
      <c r="S21" s="11" t="n">
        <f aca="false">IF($A21="",0,SUMIFS(tblAuftraege[Einnahmen],tblAuftraege[Datum Einnahmen],"&gt;="&amp;S$5,tblAuftraege[Datum Einnahmen],"&lt;"&amp;EDATE(S$5,1),tblAuftraege[Auftrag],$A21))</f>
        <v>0</v>
      </c>
      <c r="T21" s="11" t="n">
        <f aca="false">IF($A21="",0,SUMIFS(tblAuftraege[Einnahmen],tblAuftraege[Datum Einnahmen],"&gt;="&amp;T$5,tblAuftraege[Datum Einnahmen],"&lt;"&amp;EDATE(T$5,1),tblAuftraege[Auftrag],$A21))</f>
        <v>0</v>
      </c>
      <c r="U21" s="11" t="n">
        <f aca="false">IF($A21="",0,SUMIFS(tblAuftraege[Einnahmen],tblAuftraege[Datum Einnahmen],"&gt;="&amp;U$5,tblAuftraege[Datum Einnahmen],"&lt;"&amp;EDATE(U$5,1),tblAuftraege[Auftrag],$A21))</f>
        <v>0</v>
      </c>
      <c r="V21" s="11" t="n">
        <f aca="false">IF($A21="",0,SUMIFS(tblAuftraege[Einnahmen],tblAuftraege[Datum Einnahmen],"&gt;="&amp;V$5,tblAuftraege[Datum Einnahmen],"&lt;"&amp;EDATE(V$5,1),tblAuftraege[Auftrag],$A21))</f>
        <v>0</v>
      </c>
      <c r="W21" s="11" t="n">
        <f aca="false">SUM(E21:J21)</f>
        <v>0</v>
      </c>
      <c r="X21" s="11" t="n">
        <f aca="false">SUM(K21:V21)</f>
        <v>0</v>
      </c>
      <c r="Y21" s="12" t="n">
        <f aca="false">SUM(E21:V21)</f>
        <v>0</v>
      </c>
    </row>
    <row r="22" customFormat="false" ht="15" hidden="false" customHeight="false" outlineLevel="0" collapsed="false">
      <c r="A22" s="9"/>
      <c r="B22" s="10" t="str">
        <f aca="false">IF($A22="","",IFERROR(INDEX(tblAuftraege[Kostenstelle],MATCH($A22,tblAuftraege[Auftrag],0)),""))</f>
        <v/>
      </c>
      <c r="C22" s="10" t="str">
        <f aca="false">IF($A22="","",IFERROR(INDEX(tblAuftraege[Themenfeld],MATCH($A22,tblAuftraege[Auftrag],0)),""))</f>
        <v/>
      </c>
      <c r="D22" s="10" t="str">
        <f aca="false">IF($A22="","",IFERROR(INDEX(tblAuftraege[Kategorie],MATCH($A22,tblAuftraege[Auftrag],0)),""))</f>
        <v/>
      </c>
      <c r="E22" s="11" t="n">
        <f aca="false">IF($A22="",0,SUMIFS(tblAuftraege[Einnahmen],tblAuftraege[Datum Einnahmen],"&gt;="&amp;E$5,tblAuftraege[Datum Einnahmen],"&lt;"&amp;EDATE(E$5,1),tblAuftraege[Auftrag],$A22))</f>
        <v>0</v>
      </c>
      <c r="F22" s="11" t="n">
        <f aca="false">IF($A22="",0,SUMIFS(tblAuftraege[Einnahmen],tblAuftraege[Datum Einnahmen],"&gt;="&amp;F$5,tblAuftraege[Datum Einnahmen],"&lt;"&amp;EDATE(F$5,1),tblAuftraege[Auftrag],$A22))</f>
        <v>0</v>
      </c>
      <c r="G22" s="11" t="n">
        <f aca="false">IF($A22="",0,SUMIFS(tblAuftraege[Einnahmen],tblAuftraege[Datum Einnahmen],"&gt;="&amp;G$5,tblAuftraege[Datum Einnahmen],"&lt;"&amp;EDATE(G$5,1),tblAuftraege[Auftrag],$A22))</f>
        <v>0</v>
      </c>
      <c r="H22" s="11" t="n">
        <f aca="false">IF($A22="",0,SUMIFS(tblAuftraege[Einnahmen],tblAuftraege[Datum Einnahmen],"&gt;="&amp;H$5,tblAuftraege[Datum Einnahmen],"&lt;"&amp;EDATE(H$5,1),tblAuftraege[Auftrag],$A22))</f>
        <v>0</v>
      </c>
      <c r="I22" s="11" t="n">
        <f aca="false">IF($A22="",0,SUMIFS(tblAuftraege[Einnahmen],tblAuftraege[Datum Einnahmen],"&gt;="&amp;I$5,tblAuftraege[Datum Einnahmen],"&lt;"&amp;EDATE(I$5,1),tblAuftraege[Auftrag],$A22))</f>
        <v>0</v>
      </c>
      <c r="J22" s="11" t="n">
        <f aca="false">IF($A22="",0,SUMIFS(tblAuftraege[Einnahmen],tblAuftraege[Datum Einnahmen],"&gt;="&amp;J$5,tblAuftraege[Datum Einnahmen],"&lt;"&amp;EDATE(J$5,1),tblAuftraege[Auftrag],$A22))</f>
        <v>0</v>
      </c>
      <c r="K22" s="11" t="n">
        <f aca="false">IF($A22="",0,SUMIFS(tblAuftraege[Einnahmen],tblAuftraege[Datum Einnahmen],"&gt;="&amp;K$5,tblAuftraege[Datum Einnahmen],"&lt;"&amp;EDATE(K$5,1),tblAuftraege[Auftrag],$A22))</f>
        <v>0</v>
      </c>
      <c r="L22" s="11" t="n">
        <f aca="false">IF($A22="",0,SUMIFS(tblAuftraege[Einnahmen],tblAuftraege[Datum Einnahmen],"&gt;="&amp;L$5,tblAuftraege[Datum Einnahmen],"&lt;"&amp;EDATE(L$5,1),tblAuftraege[Auftrag],$A22))</f>
        <v>0</v>
      </c>
      <c r="M22" s="11" t="n">
        <f aca="false">IF($A22="",0,SUMIFS(tblAuftraege[Einnahmen],tblAuftraege[Datum Einnahmen],"&gt;="&amp;M$5,tblAuftraege[Datum Einnahmen],"&lt;"&amp;EDATE(M$5,1),tblAuftraege[Auftrag],$A22))</f>
        <v>0</v>
      </c>
      <c r="N22" s="11" t="n">
        <f aca="false">IF($A22="",0,SUMIFS(tblAuftraege[Einnahmen],tblAuftraege[Datum Einnahmen],"&gt;="&amp;N$5,tblAuftraege[Datum Einnahmen],"&lt;"&amp;EDATE(N$5,1),tblAuftraege[Auftrag],$A22))</f>
        <v>0</v>
      </c>
      <c r="O22" s="11" t="n">
        <f aca="false">IF($A22="",0,SUMIFS(tblAuftraege[Einnahmen],tblAuftraege[Datum Einnahmen],"&gt;="&amp;O$5,tblAuftraege[Datum Einnahmen],"&lt;"&amp;EDATE(O$5,1),tblAuftraege[Auftrag],$A22))</f>
        <v>0</v>
      </c>
      <c r="P22" s="11" t="n">
        <f aca="false">IF($A22="",0,SUMIFS(tblAuftraege[Einnahmen],tblAuftraege[Datum Einnahmen],"&gt;="&amp;P$5,tblAuftraege[Datum Einnahmen],"&lt;"&amp;EDATE(P$5,1),tblAuftraege[Auftrag],$A22))</f>
        <v>0</v>
      </c>
      <c r="Q22" s="11" t="n">
        <f aca="false">IF($A22="",0,SUMIFS(tblAuftraege[Einnahmen],tblAuftraege[Datum Einnahmen],"&gt;="&amp;Q$5,tblAuftraege[Datum Einnahmen],"&lt;"&amp;EDATE(Q$5,1),tblAuftraege[Auftrag],$A22))</f>
        <v>0</v>
      </c>
      <c r="R22" s="11" t="n">
        <f aca="false">IF($A22="",0,SUMIFS(tblAuftraege[Einnahmen],tblAuftraege[Datum Einnahmen],"&gt;="&amp;R$5,tblAuftraege[Datum Einnahmen],"&lt;"&amp;EDATE(R$5,1),tblAuftraege[Auftrag],$A22))</f>
        <v>0</v>
      </c>
      <c r="S22" s="11" t="n">
        <f aca="false">IF($A22="",0,SUMIFS(tblAuftraege[Einnahmen],tblAuftraege[Datum Einnahmen],"&gt;="&amp;S$5,tblAuftraege[Datum Einnahmen],"&lt;"&amp;EDATE(S$5,1),tblAuftraege[Auftrag],$A22))</f>
        <v>0</v>
      </c>
      <c r="T22" s="11" t="n">
        <f aca="false">IF($A22="",0,SUMIFS(tblAuftraege[Einnahmen],tblAuftraege[Datum Einnahmen],"&gt;="&amp;T$5,tblAuftraege[Datum Einnahmen],"&lt;"&amp;EDATE(T$5,1),tblAuftraege[Auftrag],$A22))</f>
        <v>0</v>
      </c>
      <c r="U22" s="11" t="n">
        <f aca="false">IF($A22="",0,SUMIFS(tblAuftraege[Einnahmen],tblAuftraege[Datum Einnahmen],"&gt;="&amp;U$5,tblAuftraege[Datum Einnahmen],"&lt;"&amp;EDATE(U$5,1),tblAuftraege[Auftrag],$A22))</f>
        <v>0</v>
      </c>
      <c r="V22" s="11" t="n">
        <f aca="false">IF($A22="",0,SUMIFS(tblAuftraege[Einnahmen],tblAuftraege[Datum Einnahmen],"&gt;="&amp;V$5,tblAuftraege[Datum Einnahmen],"&lt;"&amp;EDATE(V$5,1),tblAuftraege[Auftrag],$A22))</f>
        <v>0</v>
      </c>
      <c r="W22" s="11" t="n">
        <f aca="false">SUM(E22:J22)</f>
        <v>0</v>
      </c>
      <c r="X22" s="11" t="n">
        <f aca="false">SUM(K22:V22)</f>
        <v>0</v>
      </c>
      <c r="Y22" s="12" t="n">
        <f aca="false">SUM(E22:V22)</f>
        <v>0</v>
      </c>
    </row>
    <row r="23" customFormat="false" ht="15" hidden="false" customHeight="false" outlineLevel="0" collapsed="false">
      <c r="A23" s="9"/>
      <c r="B23" s="10" t="str">
        <f aca="false">IF($A23="","",IFERROR(INDEX(tblAuftraege[Kostenstelle],MATCH($A23,tblAuftraege[Auftrag],0)),""))</f>
        <v/>
      </c>
      <c r="C23" s="10" t="str">
        <f aca="false">IF($A23="","",IFERROR(INDEX(tblAuftraege[Themenfeld],MATCH($A23,tblAuftraege[Auftrag],0)),""))</f>
        <v/>
      </c>
      <c r="D23" s="10" t="str">
        <f aca="false">IF($A23="","",IFERROR(INDEX(tblAuftraege[Kategorie],MATCH($A23,tblAuftraege[Auftrag],0)),""))</f>
        <v/>
      </c>
      <c r="E23" s="11" t="n">
        <f aca="false">IF($A23="",0,SUMIFS(tblAuftraege[Einnahmen],tblAuftraege[Datum Einnahmen],"&gt;="&amp;E$5,tblAuftraege[Datum Einnahmen],"&lt;"&amp;EDATE(E$5,1),tblAuftraege[Auftrag],$A23))</f>
        <v>0</v>
      </c>
      <c r="F23" s="11" t="n">
        <f aca="false">IF($A23="",0,SUMIFS(tblAuftraege[Einnahmen],tblAuftraege[Datum Einnahmen],"&gt;="&amp;F$5,tblAuftraege[Datum Einnahmen],"&lt;"&amp;EDATE(F$5,1),tblAuftraege[Auftrag],$A23))</f>
        <v>0</v>
      </c>
      <c r="G23" s="11" t="n">
        <f aca="false">IF($A23="",0,SUMIFS(tblAuftraege[Einnahmen],tblAuftraege[Datum Einnahmen],"&gt;="&amp;G$5,tblAuftraege[Datum Einnahmen],"&lt;"&amp;EDATE(G$5,1),tblAuftraege[Auftrag],$A23))</f>
        <v>0</v>
      </c>
      <c r="H23" s="11" t="n">
        <f aca="false">IF($A23="",0,SUMIFS(tblAuftraege[Einnahmen],tblAuftraege[Datum Einnahmen],"&gt;="&amp;H$5,tblAuftraege[Datum Einnahmen],"&lt;"&amp;EDATE(H$5,1),tblAuftraege[Auftrag],$A23))</f>
        <v>0</v>
      </c>
      <c r="I23" s="11" t="n">
        <f aca="false">IF($A23="",0,SUMIFS(tblAuftraege[Einnahmen],tblAuftraege[Datum Einnahmen],"&gt;="&amp;I$5,tblAuftraege[Datum Einnahmen],"&lt;"&amp;EDATE(I$5,1),tblAuftraege[Auftrag],$A23))</f>
        <v>0</v>
      </c>
      <c r="J23" s="11" t="n">
        <f aca="false">IF($A23="",0,SUMIFS(tblAuftraege[Einnahmen],tblAuftraege[Datum Einnahmen],"&gt;="&amp;J$5,tblAuftraege[Datum Einnahmen],"&lt;"&amp;EDATE(J$5,1),tblAuftraege[Auftrag],$A23))</f>
        <v>0</v>
      </c>
      <c r="K23" s="11" t="n">
        <f aca="false">IF($A23="",0,SUMIFS(tblAuftraege[Einnahmen],tblAuftraege[Datum Einnahmen],"&gt;="&amp;K$5,tblAuftraege[Datum Einnahmen],"&lt;"&amp;EDATE(K$5,1),tblAuftraege[Auftrag],$A23))</f>
        <v>0</v>
      </c>
      <c r="L23" s="11" t="n">
        <f aca="false">IF($A23="",0,SUMIFS(tblAuftraege[Einnahmen],tblAuftraege[Datum Einnahmen],"&gt;="&amp;L$5,tblAuftraege[Datum Einnahmen],"&lt;"&amp;EDATE(L$5,1),tblAuftraege[Auftrag],$A23))</f>
        <v>0</v>
      </c>
      <c r="M23" s="11" t="n">
        <f aca="false">IF($A23="",0,SUMIFS(tblAuftraege[Einnahmen],tblAuftraege[Datum Einnahmen],"&gt;="&amp;M$5,tblAuftraege[Datum Einnahmen],"&lt;"&amp;EDATE(M$5,1),tblAuftraege[Auftrag],$A23))</f>
        <v>0</v>
      </c>
      <c r="N23" s="11" t="n">
        <f aca="false">IF($A23="",0,SUMIFS(tblAuftraege[Einnahmen],tblAuftraege[Datum Einnahmen],"&gt;="&amp;N$5,tblAuftraege[Datum Einnahmen],"&lt;"&amp;EDATE(N$5,1),tblAuftraege[Auftrag],$A23))</f>
        <v>0</v>
      </c>
      <c r="O23" s="11" t="n">
        <f aca="false">IF($A23="",0,SUMIFS(tblAuftraege[Einnahmen],tblAuftraege[Datum Einnahmen],"&gt;="&amp;O$5,tblAuftraege[Datum Einnahmen],"&lt;"&amp;EDATE(O$5,1),tblAuftraege[Auftrag],$A23))</f>
        <v>0</v>
      </c>
      <c r="P23" s="11" t="n">
        <f aca="false">IF($A23="",0,SUMIFS(tblAuftraege[Einnahmen],tblAuftraege[Datum Einnahmen],"&gt;="&amp;P$5,tblAuftraege[Datum Einnahmen],"&lt;"&amp;EDATE(P$5,1),tblAuftraege[Auftrag],$A23))</f>
        <v>0</v>
      </c>
      <c r="Q23" s="11" t="n">
        <f aca="false">IF($A23="",0,SUMIFS(tblAuftraege[Einnahmen],tblAuftraege[Datum Einnahmen],"&gt;="&amp;Q$5,tblAuftraege[Datum Einnahmen],"&lt;"&amp;EDATE(Q$5,1),tblAuftraege[Auftrag],$A23))</f>
        <v>0</v>
      </c>
      <c r="R23" s="11" t="n">
        <f aca="false">IF($A23="",0,SUMIFS(tblAuftraege[Einnahmen],tblAuftraege[Datum Einnahmen],"&gt;="&amp;R$5,tblAuftraege[Datum Einnahmen],"&lt;"&amp;EDATE(R$5,1),tblAuftraege[Auftrag],$A23))</f>
        <v>0</v>
      </c>
      <c r="S23" s="11" t="n">
        <f aca="false">IF($A23="",0,SUMIFS(tblAuftraege[Einnahmen],tblAuftraege[Datum Einnahmen],"&gt;="&amp;S$5,tblAuftraege[Datum Einnahmen],"&lt;"&amp;EDATE(S$5,1),tblAuftraege[Auftrag],$A23))</f>
        <v>0</v>
      </c>
      <c r="T23" s="11" t="n">
        <f aca="false">IF($A23="",0,SUMIFS(tblAuftraege[Einnahmen],tblAuftraege[Datum Einnahmen],"&gt;="&amp;T$5,tblAuftraege[Datum Einnahmen],"&lt;"&amp;EDATE(T$5,1),tblAuftraege[Auftrag],$A23))</f>
        <v>0</v>
      </c>
      <c r="U23" s="11" t="n">
        <f aca="false">IF($A23="",0,SUMIFS(tblAuftraege[Einnahmen],tblAuftraege[Datum Einnahmen],"&gt;="&amp;U$5,tblAuftraege[Datum Einnahmen],"&lt;"&amp;EDATE(U$5,1),tblAuftraege[Auftrag],$A23))</f>
        <v>0</v>
      </c>
      <c r="V23" s="11" t="n">
        <f aca="false">IF($A23="",0,SUMIFS(tblAuftraege[Einnahmen],tblAuftraege[Datum Einnahmen],"&gt;="&amp;V$5,tblAuftraege[Datum Einnahmen],"&lt;"&amp;EDATE(V$5,1),tblAuftraege[Auftrag],$A23))</f>
        <v>0</v>
      </c>
      <c r="W23" s="11" t="n">
        <f aca="false">SUM(E23:J23)</f>
        <v>0</v>
      </c>
      <c r="X23" s="11" t="n">
        <f aca="false">SUM(K23:V23)</f>
        <v>0</v>
      </c>
      <c r="Y23" s="12" t="n">
        <f aca="false">SUM(E23:V23)</f>
        <v>0</v>
      </c>
    </row>
    <row r="24" customFormat="false" ht="15" hidden="false" customHeight="false" outlineLevel="0" collapsed="false">
      <c r="A24" s="9"/>
      <c r="B24" s="10" t="str">
        <f aca="false">IF($A24="","",IFERROR(INDEX(tblAuftraege[Kostenstelle],MATCH($A24,tblAuftraege[Auftrag],0)),""))</f>
        <v/>
      </c>
      <c r="C24" s="10" t="str">
        <f aca="false">IF($A24="","",IFERROR(INDEX(tblAuftraege[Themenfeld],MATCH($A24,tblAuftraege[Auftrag],0)),""))</f>
        <v/>
      </c>
      <c r="D24" s="10" t="str">
        <f aca="false">IF($A24="","",IFERROR(INDEX(tblAuftraege[Kategorie],MATCH($A24,tblAuftraege[Auftrag],0)),""))</f>
        <v/>
      </c>
      <c r="E24" s="11" t="n">
        <f aca="false">IF($A24="",0,SUMIFS(tblAuftraege[Einnahmen],tblAuftraege[Datum Einnahmen],"&gt;="&amp;E$5,tblAuftraege[Datum Einnahmen],"&lt;"&amp;EDATE(E$5,1),tblAuftraege[Auftrag],$A24))</f>
        <v>0</v>
      </c>
      <c r="F24" s="11" t="n">
        <f aca="false">IF($A24="",0,SUMIFS(tblAuftraege[Einnahmen],tblAuftraege[Datum Einnahmen],"&gt;="&amp;F$5,tblAuftraege[Datum Einnahmen],"&lt;"&amp;EDATE(F$5,1),tblAuftraege[Auftrag],$A24))</f>
        <v>0</v>
      </c>
      <c r="G24" s="11" t="n">
        <f aca="false">IF($A24="",0,SUMIFS(tblAuftraege[Einnahmen],tblAuftraege[Datum Einnahmen],"&gt;="&amp;G$5,tblAuftraege[Datum Einnahmen],"&lt;"&amp;EDATE(G$5,1),tblAuftraege[Auftrag],$A24))</f>
        <v>0</v>
      </c>
      <c r="H24" s="11" t="n">
        <f aca="false">IF($A24="",0,SUMIFS(tblAuftraege[Einnahmen],tblAuftraege[Datum Einnahmen],"&gt;="&amp;H$5,tblAuftraege[Datum Einnahmen],"&lt;"&amp;EDATE(H$5,1),tblAuftraege[Auftrag],$A24))</f>
        <v>0</v>
      </c>
      <c r="I24" s="11" t="n">
        <f aca="false">IF($A24="",0,SUMIFS(tblAuftraege[Einnahmen],tblAuftraege[Datum Einnahmen],"&gt;="&amp;I$5,tblAuftraege[Datum Einnahmen],"&lt;"&amp;EDATE(I$5,1),tblAuftraege[Auftrag],$A24))</f>
        <v>0</v>
      </c>
      <c r="J24" s="11" t="n">
        <f aca="false">IF($A24="",0,SUMIFS(tblAuftraege[Einnahmen],tblAuftraege[Datum Einnahmen],"&gt;="&amp;J$5,tblAuftraege[Datum Einnahmen],"&lt;"&amp;EDATE(J$5,1),tblAuftraege[Auftrag],$A24))</f>
        <v>0</v>
      </c>
      <c r="K24" s="11" t="n">
        <f aca="false">IF($A24="",0,SUMIFS(tblAuftraege[Einnahmen],tblAuftraege[Datum Einnahmen],"&gt;="&amp;K$5,tblAuftraege[Datum Einnahmen],"&lt;"&amp;EDATE(K$5,1),tblAuftraege[Auftrag],$A24))</f>
        <v>0</v>
      </c>
      <c r="L24" s="11" t="n">
        <f aca="false">IF($A24="",0,SUMIFS(tblAuftraege[Einnahmen],tblAuftraege[Datum Einnahmen],"&gt;="&amp;L$5,tblAuftraege[Datum Einnahmen],"&lt;"&amp;EDATE(L$5,1),tblAuftraege[Auftrag],$A24))</f>
        <v>0</v>
      </c>
      <c r="M24" s="11" t="n">
        <f aca="false">IF($A24="",0,SUMIFS(tblAuftraege[Einnahmen],tblAuftraege[Datum Einnahmen],"&gt;="&amp;M$5,tblAuftraege[Datum Einnahmen],"&lt;"&amp;EDATE(M$5,1),tblAuftraege[Auftrag],$A24))</f>
        <v>0</v>
      </c>
      <c r="N24" s="11" t="n">
        <f aca="false">IF($A24="",0,SUMIFS(tblAuftraege[Einnahmen],tblAuftraege[Datum Einnahmen],"&gt;="&amp;N$5,tblAuftraege[Datum Einnahmen],"&lt;"&amp;EDATE(N$5,1),tblAuftraege[Auftrag],$A24))</f>
        <v>0</v>
      </c>
      <c r="O24" s="11" t="n">
        <f aca="false">IF($A24="",0,SUMIFS(tblAuftraege[Einnahmen],tblAuftraege[Datum Einnahmen],"&gt;="&amp;O$5,tblAuftraege[Datum Einnahmen],"&lt;"&amp;EDATE(O$5,1),tblAuftraege[Auftrag],$A24))</f>
        <v>0</v>
      </c>
      <c r="P24" s="11" t="n">
        <f aca="false">IF($A24="",0,SUMIFS(tblAuftraege[Einnahmen],tblAuftraege[Datum Einnahmen],"&gt;="&amp;P$5,tblAuftraege[Datum Einnahmen],"&lt;"&amp;EDATE(P$5,1),tblAuftraege[Auftrag],$A24))</f>
        <v>0</v>
      </c>
      <c r="Q24" s="11" t="n">
        <f aca="false">IF($A24="",0,SUMIFS(tblAuftraege[Einnahmen],tblAuftraege[Datum Einnahmen],"&gt;="&amp;Q$5,tblAuftraege[Datum Einnahmen],"&lt;"&amp;EDATE(Q$5,1),tblAuftraege[Auftrag],$A24))</f>
        <v>0</v>
      </c>
      <c r="R24" s="11" t="n">
        <f aca="false">IF($A24="",0,SUMIFS(tblAuftraege[Einnahmen],tblAuftraege[Datum Einnahmen],"&gt;="&amp;R$5,tblAuftraege[Datum Einnahmen],"&lt;"&amp;EDATE(R$5,1),tblAuftraege[Auftrag],$A24))</f>
        <v>0</v>
      </c>
      <c r="S24" s="11" t="n">
        <f aca="false">IF($A24="",0,SUMIFS(tblAuftraege[Einnahmen],tblAuftraege[Datum Einnahmen],"&gt;="&amp;S$5,tblAuftraege[Datum Einnahmen],"&lt;"&amp;EDATE(S$5,1),tblAuftraege[Auftrag],$A24))</f>
        <v>0</v>
      </c>
      <c r="T24" s="11" t="n">
        <f aca="false">IF($A24="",0,SUMIFS(tblAuftraege[Einnahmen],tblAuftraege[Datum Einnahmen],"&gt;="&amp;T$5,tblAuftraege[Datum Einnahmen],"&lt;"&amp;EDATE(T$5,1),tblAuftraege[Auftrag],$A24))</f>
        <v>0</v>
      </c>
      <c r="U24" s="11" t="n">
        <f aca="false">IF($A24="",0,SUMIFS(tblAuftraege[Einnahmen],tblAuftraege[Datum Einnahmen],"&gt;="&amp;U$5,tblAuftraege[Datum Einnahmen],"&lt;"&amp;EDATE(U$5,1),tblAuftraege[Auftrag],$A24))</f>
        <v>0</v>
      </c>
      <c r="V24" s="11" t="n">
        <f aca="false">IF($A24="",0,SUMIFS(tblAuftraege[Einnahmen],tblAuftraege[Datum Einnahmen],"&gt;="&amp;V$5,tblAuftraege[Datum Einnahmen],"&lt;"&amp;EDATE(V$5,1),tblAuftraege[Auftrag],$A24))</f>
        <v>0</v>
      </c>
      <c r="W24" s="11" t="n">
        <f aca="false">SUM(E24:J24)</f>
        <v>0</v>
      </c>
      <c r="X24" s="11" t="n">
        <f aca="false">SUM(K24:V24)</f>
        <v>0</v>
      </c>
      <c r="Y24" s="12" t="n">
        <f aca="false">SUM(E24:V24)</f>
        <v>0</v>
      </c>
    </row>
    <row r="25" customFormat="false" ht="15" hidden="false" customHeight="false" outlineLevel="0" collapsed="false">
      <c r="A25" s="9"/>
      <c r="B25" s="10" t="str">
        <f aca="false">IF($A25="","",IFERROR(INDEX(tblAuftraege[Kostenstelle],MATCH($A25,tblAuftraege[Auftrag],0)),""))</f>
        <v/>
      </c>
      <c r="C25" s="10" t="str">
        <f aca="false">IF($A25="","",IFERROR(INDEX(tblAuftraege[Themenfeld],MATCH($A25,tblAuftraege[Auftrag],0)),""))</f>
        <v/>
      </c>
      <c r="D25" s="10" t="str">
        <f aca="false">IF($A25="","",IFERROR(INDEX(tblAuftraege[Kategorie],MATCH($A25,tblAuftraege[Auftrag],0)),""))</f>
        <v/>
      </c>
      <c r="E25" s="11" t="n">
        <f aca="false">IF($A25="",0,SUMIFS(tblAuftraege[Einnahmen],tblAuftraege[Datum Einnahmen],"&gt;="&amp;E$5,tblAuftraege[Datum Einnahmen],"&lt;"&amp;EDATE(E$5,1),tblAuftraege[Auftrag],$A25))</f>
        <v>0</v>
      </c>
      <c r="F25" s="11" t="n">
        <f aca="false">IF($A25="",0,SUMIFS(tblAuftraege[Einnahmen],tblAuftraege[Datum Einnahmen],"&gt;="&amp;F$5,tblAuftraege[Datum Einnahmen],"&lt;"&amp;EDATE(F$5,1),tblAuftraege[Auftrag],$A25))</f>
        <v>0</v>
      </c>
      <c r="G25" s="11" t="n">
        <f aca="false">IF($A25="",0,SUMIFS(tblAuftraege[Einnahmen],tblAuftraege[Datum Einnahmen],"&gt;="&amp;G$5,tblAuftraege[Datum Einnahmen],"&lt;"&amp;EDATE(G$5,1),tblAuftraege[Auftrag],$A25))</f>
        <v>0</v>
      </c>
      <c r="H25" s="11" t="n">
        <f aca="false">IF($A25="",0,SUMIFS(tblAuftraege[Einnahmen],tblAuftraege[Datum Einnahmen],"&gt;="&amp;H$5,tblAuftraege[Datum Einnahmen],"&lt;"&amp;EDATE(H$5,1),tblAuftraege[Auftrag],$A25))</f>
        <v>0</v>
      </c>
      <c r="I25" s="11" t="n">
        <f aca="false">IF($A25="",0,SUMIFS(tblAuftraege[Einnahmen],tblAuftraege[Datum Einnahmen],"&gt;="&amp;I$5,tblAuftraege[Datum Einnahmen],"&lt;"&amp;EDATE(I$5,1),tblAuftraege[Auftrag],$A25))</f>
        <v>0</v>
      </c>
      <c r="J25" s="11" t="n">
        <f aca="false">IF($A25="",0,SUMIFS(tblAuftraege[Einnahmen],tblAuftraege[Datum Einnahmen],"&gt;="&amp;J$5,tblAuftraege[Datum Einnahmen],"&lt;"&amp;EDATE(J$5,1),tblAuftraege[Auftrag],$A25))</f>
        <v>0</v>
      </c>
      <c r="K25" s="11" t="n">
        <f aca="false">IF($A25="",0,SUMIFS(tblAuftraege[Einnahmen],tblAuftraege[Datum Einnahmen],"&gt;="&amp;K$5,tblAuftraege[Datum Einnahmen],"&lt;"&amp;EDATE(K$5,1),tblAuftraege[Auftrag],$A25))</f>
        <v>0</v>
      </c>
      <c r="L25" s="11" t="n">
        <f aca="false">IF($A25="",0,SUMIFS(tblAuftraege[Einnahmen],tblAuftraege[Datum Einnahmen],"&gt;="&amp;L$5,tblAuftraege[Datum Einnahmen],"&lt;"&amp;EDATE(L$5,1),tblAuftraege[Auftrag],$A25))</f>
        <v>0</v>
      </c>
      <c r="M25" s="11" t="n">
        <f aca="false">IF($A25="",0,SUMIFS(tblAuftraege[Einnahmen],tblAuftraege[Datum Einnahmen],"&gt;="&amp;M$5,tblAuftraege[Datum Einnahmen],"&lt;"&amp;EDATE(M$5,1),tblAuftraege[Auftrag],$A25))</f>
        <v>0</v>
      </c>
      <c r="N25" s="11" t="n">
        <f aca="false">IF($A25="",0,SUMIFS(tblAuftraege[Einnahmen],tblAuftraege[Datum Einnahmen],"&gt;="&amp;N$5,tblAuftraege[Datum Einnahmen],"&lt;"&amp;EDATE(N$5,1),tblAuftraege[Auftrag],$A25))</f>
        <v>0</v>
      </c>
      <c r="O25" s="11" t="n">
        <f aca="false">IF($A25="",0,SUMIFS(tblAuftraege[Einnahmen],tblAuftraege[Datum Einnahmen],"&gt;="&amp;O$5,tblAuftraege[Datum Einnahmen],"&lt;"&amp;EDATE(O$5,1),tblAuftraege[Auftrag],$A25))</f>
        <v>0</v>
      </c>
      <c r="P25" s="11" t="n">
        <f aca="false">IF($A25="",0,SUMIFS(tblAuftraege[Einnahmen],tblAuftraege[Datum Einnahmen],"&gt;="&amp;P$5,tblAuftraege[Datum Einnahmen],"&lt;"&amp;EDATE(P$5,1),tblAuftraege[Auftrag],$A25))</f>
        <v>0</v>
      </c>
      <c r="Q25" s="11" t="n">
        <f aca="false">IF($A25="",0,SUMIFS(tblAuftraege[Einnahmen],tblAuftraege[Datum Einnahmen],"&gt;="&amp;Q$5,tblAuftraege[Datum Einnahmen],"&lt;"&amp;EDATE(Q$5,1),tblAuftraege[Auftrag],$A25))</f>
        <v>0</v>
      </c>
      <c r="R25" s="11" t="n">
        <f aca="false">IF($A25="",0,SUMIFS(tblAuftraege[Einnahmen],tblAuftraege[Datum Einnahmen],"&gt;="&amp;R$5,tblAuftraege[Datum Einnahmen],"&lt;"&amp;EDATE(R$5,1),tblAuftraege[Auftrag],$A25))</f>
        <v>0</v>
      </c>
      <c r="S25" s="11" t="n">
        <f aca="false">IF($A25="",0,SUMIFS(tblAuftraege[Einnahmen],tblAuftraege[Datum Einnahmen],"&gt;="&amp;S$5,tblAuftraege[Datum Einnahmen],"&lt;"&amp;EDATE(S$5,1),tblAuftraege[Auftrag],$A25))</f>
        <v>0</v>
      </c>
      <c r="T25" s="11" t="n">
        <f aca="false">IF($A25="",0,SUMIFS(tblAuftraege[Einnahmen],tblAuftraege[Datum Einnahmen],"&gt;="&amp;T$5,tblAuftraege[Datum Einnahmen],"&lt;"&amp;EDATE(T$5,1),tblAuftraege[Auftrag],$A25))</f>
        <v>0</v>
      </c>
      <c r="U25" s="11" t="n">
        <f aca="false">IF($A25="",0,SUMIFS(tblAuftraege[Einnahmen],tblAuftraege[Datum Einnahmen],"&gt;="&amp;U$5,tblAuftraege[Datum Einnahmen],"&lt;"&amp;EDATE(U$5,1),tblAuftraege[Auftrag],$A25))</f>
        <v>0</v>
      </c>
      <c r="V25" s="11" t="n">
        <f aca="false">IF($A25="",0,SUMIFS(tblAuftraege[Einnahmen],tblAuftraege[Datum Einnahmen],"&gt;="&amp;V$5,tblAuftraege[Datum Einnahmen],"&lt;"&amp;EDATE(V$5,1),tblAuftraege[Auftrag],$A25))</f>
        <v>0</v>
      </c>
      <c r="W25" s="11" t="n">
        <f aca="false">SUM(E25:J25)</f>
        <v>0</v>
      </c>
      <c r="X25" s="11" t="n">
        <f aca="false">SUM(K25:V25)</f>
        <v>0</v>
      </c>
      <c r="Y25" s="12" t="n">
        <f aca="false">SUM(E25:V25)</f>
        <v>0</v>
      </c>
    </row>
    <row r="26" customFormat="false" ht="15" hidden="false" customHeight="false" outlineLevel="0" collapsed="false">
      <c r="A26" s="9"/>
      <c r="B26" s="10" t="str">
        <f aca="false">IF($A26="","",IFERROR(INDEX(tblAuftraege[Kostenstelle],MATCH($A26,tblAuftraege[Auftrag],0)),""))</f>
        <v/>
      </c>
      <c r="C26" s="10" t="str">
        <f aca="false">IF($A26="","",IFERROR(INDEX(tblAuftraege[Themenfeld],MATCH($A26,tblAuftraege[Auftrag],0)),""))</f>
        <v/>
      </c>
      <c r="D26" s="10" t="str">
        <f aca="false">IF($A26="","",IFERROR(INDEX(tblAuftraege[Kategorie],MATCH($A26,tblAuftraege[Auftrag],0)),""))</f>
        <v/>
      </c>
      <c r="E26" s="11" t="n">
        <f aca="false">IF($A26="",0,SUMIFS(tblAuftraege[Einnahmen],tblAuftraege[Datum Einnahmen],"&gt;="&amp;E$5,tblAuftraege[Datum Einnahmen],"&lt;"&amp;EDATE(E$5,1),tblAuftraege[Auftrag],$A26))</f>
        <v>0</v>
      </c>
      <c r="F26" s="11" t="n">
        <f aca="false">IF($A26="",0,SUMIFS(tblAuftraege[Einnahmen],tblAuftraege[Datum Einnahmen],"&gt;="&amp;F$5,tblAuftraege[Datum Einnahmen],"&lt;"&amp;EDATE(F$5,1),tblAuftraege[Auftrag],$A26))</f>
        <v>0</v>
      </c>
      <c r="G26" s="11" t="n">
        <f aca="false">IF($A26="",0,SUMIFS(tblAuftraege[Einnahmen],tblAuftraege[Datum Einnahmen],"&gt;="&amp;G$5,tblAuftraege[Datum Einnahmen],"&lt;"&amp;EDATE(G$5,1),tblAuftraege[Auftrag],$A26))</f>
        <v>0</v>
      </c>
      <c r="H26" s="11" t="n">
        <f aca="false">IF($A26="",0,SUMIFS(tblAuftraege[Einnahmen],tblAuftraege[Datum Einnahmen],"&gt;="&amp;H$5,tblAuftraege[Datum Einnahmen],"&lt;"&amp;EDATE(H$5,1),tblAuftraege[Auftrag],$A26))</f>
        <v>0</v>
      </c>
      <c r="I26" s="11" t="n">
        <f aca="false">IF($A26="",0,SUMIFS(tblAuftraege[Einnahmen],tblAuftraege[Datum Einnahmen],"&gt;="&amp;I$5,tblAuftraege[Datum Einnahmen],"&lt;"&amp;EDATE(I$5,1),tblAuftraege[Auftrag],$A26))</f>
        <v>0</v>
      </c>
      <c r="J26" s="11" t="n">
        <f aca="false">IF($A26="",0,SUMIFS(tblAuftraege[Einnahmen],tblAuftraege[Datum Einnahmen],"&gt;="&amp;J$5,tblAuftraege[Datum Einnahmen],"&lt;"&amp;EDATE(J$5,1),tblAuftraege[Auftrag],$A26))</f>
        <v>0</v>
      </c>
      <c r="K26" s="11" t="n">
        <f aca="false">IF($A26="",0,SUMIFS(tblAuftraege[Einnahmen],tblAuftraege[Datum Einnahmen],"&gt;="&amp;K$5,tblAuftraege[Datum Einnahmen],"&lt;"&amp;EDATE(K$5,1),tblAuftraege[Auftrag],$A26))</f>
        <v>0</v>
      </c>
      <c r="L26" s="11" t="n">
        <f aca="false">IF($A26="",0,SUMIFS(tblAuftraege[Einnahmen],tblAuftraege[Datum Einnahmen],"&gt;="&amp;L$5,tblAuftraege[Datum Einnahmen],"&lt;"&amp;EDATE(L$5,1),tblAuftraege[Auftrag],$A26))</f>
        <v>0</v>
      </c>
      <c r="M26" s="11" t="n">
        <f aca="false">IF($A26="",0,SUMIFS(tblAuftraege[Einnahmen],tblAuftraege[Datum Einnahmen],"&gt;="&amp;M$5,tblAuftraege[Datum Einnahmen],"&lt;"&amp;EDATE(M$5,1),tblAuftraege[Auftrag],$A26))</f>
        <v>0</v>
      </c>
      <c r="N26" s="11" t="n">
        <f aca="false">IF($A26="",0,SUMIFS(tblAuftraege[Einnahmen],tblAuftraege[Datum Einnahmen],"&gt;="&amp;N$5,tblAuftraege[Datum Einnahmen],"&lt;"&amp;EDATE(N$5,1),tblAuftraege[Auftrag],$A26))</f>
        <v>0</v>
      </c>
      <c r="O26" s="11" t="n">
        <f aca="false">IF($A26="",0,SUMIFS(tblAuftraege[Einnahmen],tblAuftraege[Datum Einnahmen],"&gt;="&amp;O$5,tblAuftraege[Datum Einnahmen],"&lt;"&amp;EDATE(O$5,1),tblAuftraege[Auftrag],$A26))</f>
        <v>0</v>
      </c>
      <c r="P26" s="11" t="n">
        <f aca="false">IF($A26="",0,SUMIFS(tblAuftraege[Einnahmen],tblAuftraege[Datum Einnahmen],"&gt;="&amp;P$5,tblAuftraege[Datum Einnahmen],"&lt;"&amp;EDATE(P$5,1),tblAuftraege[Auftrag],$A26))</f>
        <v>0</v>
      </c>
      <c r="Q26" s="11" t="n">
        <f aca="false">IF($A26="",0,SUMIFS(tblAuftraege[Einnahmen],tblAuftraege[Datum Einnahmen],"&gt;="&amp;Q$5,tblAuftraege[Datum Einnahmen],"&lt;"&amp;EDATE(Q$5,1),tblAuftraege[Auftrag],$A26))</f>
        <v>0</v>
      </c>
      <c r="R26" s="11" t="n">
        <f aca="false">IF($A26="",0,SUMIFS(tblAuftraege[Einnahmen],tblAuftraege[Datum Einnahmen],"&gt;="&amp;R$5,tblAuftraege[Datum Einnahmen],"&lt;"&amp;EDATE(R$5,1),tblAuftraege[Auftrag],$A26))</f>
        <v>0</v>
      </c>
      <c r="S26" s="11" t="n">
        <f aca="false">IF($A26="",0,SUMIFS(tblAuftraege[Einnahmen],tblAuftraege[Datum Einnahmen],"&gt;="&amp;S$5,tblAuftraege[Datum Einnahmen],"&lt;"&amp;EDATE(S$5,1),tblAuftraege[Auftrag],$A26))</f>
        <v>0</v>
      </c>
      <c r="T26" s="11" t="n">
        <f aca="false">IF($A26="",0,SUMIFS(tblAuftraege[Einnahmen],tblAuftraege[Datum Einnahmen],"&gt;="&amp;T$5,tblAuftraege[Datum Einnahmen],"&lt;"&amp;EDATE(T$5,1),tblAuftraege[Auftrag],$A26))</f>
        <v>0</v>
      </c>
      <c r="U26" s="11" t="n">
        <f aca="false">IF($A26="",0,SUMIFS(tblAuftraege[Einnahmen],tblAuftraege[Datum Einnahmen],"&gt;="&amp;U$5,tblAuftraege[Datum Einnahmen],"&lt;"&amp;EDATE(U$5,1),tblAuftraege[Auftrag],$A26))</f>
        <v>0</v>
      </c>
      <c r="V26" s="11" t="n">
        <f aca="false">IF($A26="",0,SUMIFS(tblAuftraege[Einnahmen],tblAuftraege[Datum Einnahmen],"&gt;="&amp;V$5,tblAuftraege[Datum Einnahmen],"&lt;"&amp;EDATE(V$5,1),tblAuftraege[Auftrag],$A26))</f>
        <v>0</v>
      </c>
      <c r="W26" s="11" t="n">
        <f aca="false">SUM(E26:J26)</f>
        <v>0</v>
      </c>
      <c r="X26" s="11" t="n">
        <f aca="false">SUM(K26:V26)</f>
        <v>0</v>
      </c>
      <c r="Y26" s="12" t="n">
        <f aca="false">SUM(E26:V26)</f>
        <v>0</v>
      </c>
    </row>
    <row r="27" customFormat="false" ht="15" hidden="false" customHeight="false" outlineLevel="0" collapsed="false">
      <c r="A27" s="9"/>
      <c r="B27" s="10" t="str">
        <f aca="false">IF($A27="","",IFERROR(INDEX(tblAuftraege[Kostenstelle],MATCH($A27,tblAuftraege[Auftrag],0)),""))</f>
        <v/>
      </c>
      <c r="C27" s="10" t="str">
        <f aca="false">IF($A27="","",IFERROR(INDEX(tblAuftraege[Themenfeld],MATCH($A27,tblAuftraege[Auftrag],0)),""))</f>
        <v/>
      </c>
      <c r="D27" s="10" t="str">
        <f aca="false">IF($A27="","",IFERROR(INDEX(tblAuftraege[Kategorie],MATCH($A27,tblAuftraege[Auftrag],0)),""))</f>
        <v/>
      </c>
      <c r="E27" s="11" t="n">
        <f aca="false">IF($A27="",0,SUMIFS(tblAuftraege[Einnahmen],tblAuftraege[Datum Einnahmen],"&gt;="&amp;E$5,tblAuftraege[Datum Einnahmen],"&lt;"&amp;EDATE(E$5,1),tblAuftraege[Auftrag],$A27))</f>
        <v>0</v>
      </c>
      <c r="F27" s="11" t="n">
        <f aca="false">IF($A27="",0,SUMIFS(tblAuftraege[Einnahmen],tblAuftraege[Datum Einnahmen],"&gt;="&amp;F$5,tblAuftraege[Datum Einnahmen],"&lt;"&amp;EDATE(F$5,1),tblAuftraege[Auftrag],$A27))</f>
        <v>0</v>
      </c>
      <c r="G27" s="11" t="n">
        <f aca="false">IF($A27="",0,SUMIFS(tblAuftraege[Einnahmen],tblAuftraege[Datum Einnahmen],"&gt;="&amp;G$5,tblAuftraege[Datum Einnahmen],"&lt;"&amp;EDATE(G$5,1),tblAuftraege[Auftrag],$A27))</f>
        <v>0</v>
      </c>
      <c r="H27" s="11" t="n">
        <f aca="false">IF($A27="",0,SUMIFS(tblAuftraege[Einnahmen],tblAuftraege[Datum Einnahmen],"&gt;="&amp;H$5,tblAuftraege[Datum Einnahmen],"&lt;"&amp;EDATE(H$5,1),tblAuftraege[Auftrag],$A27))</f>
        <v>0</v>
      </c>
      <c r="I27" s="11" t="n">
        <f aca="false">IF($A27="",0,SUMIFS(tblAuftraege[Einnahmen],tblAuftraege[Datum Einnahmen],"&gt;="&amp;I$5,tblAuftraege[Datum Einnahmen],"&lt;"&amp;EDATE(I$5,1),tblAuftraege[Auftrag],$A27))</f>
        <v>0</v>
      </c>
      <c r="J27" s="11" t="n">
        <f aca="false">IF($A27="",0,SUMIFS(tblAuftraege[Einnahmen],tblAuftraege[Datum Einnahmen],"&gt;="&amp;J$5,tblAuftraege[Datum Einnahmen],"&lt;"&amp;EDATE(J$5,1),tblAuftraege[Auftrag],$A27))</f>
        <v>0</v>
      </c>
      <c r="K27" s="11" t="n">
        <f aca="false">IF($A27="",0,SUMIFS(tblAuftraege[Einnahmen],tblAuftraege[Datum Einnahmen],"&gt;="&amp;K$5,tblAuftraege[Datum Einnahmen],"&lt;"&amp;EDATE(K$5,1),tblAuftraege[Auftrag],$A27))</f>
        <v>0</v>
      </c>
      <c r="L27" s="11" t="n">
        <f aca="false">IF($A27="",0,SUMIFS(tblAuftraege[Einnahmen],tblAuftraege[Datum Einnahmen],"&gt;="&amp;L$5,tblAuftraege[Datum Einnahmen],"&lt;"&amp;EDATE(L$5,1),tblAuftraege[Auftrag],$A27))</f>
        <v>0</v>
      </c>
      <c r="M27" s="11" t="n">
        <f aca="false">IF($A27="",0,SUMIFS(tblAuftraege[Einnahmen],tblAuftraege[Datum Einnahmen],"&gt;="&amp;M$5,tblAuftraege[Datum Einnahmen],"&lt;"&amp;EDATE(M$5,1),tblAuftraege[Auftrag],$A27))</f>
        <v>0</v>
      </c>
      <c r="N27" s="11" t="n">
        <f aca="false">IF($A27="",0,SUMIFS(tblAuftraege[Einnahmen],tblAuftraege[Datum Einnahmen],"&gt;="&amp;N$5,tblAuftraege[Datum Einnahmen],"&lt;"&amp;EDATE(N$5,1),tblAuftraege[Auftrag],$A27))</f>
        <v>0</v>
      </c>
      <c r="O27" s="11" t="n">
        <f aca="false">IF($A27="",0,SUMIFS(tblAuftraege[Einnahmen],tblAuftraege[Datum Einnahmen],"&gt;="&amp;O$5,tblAuftraege[Datum Einnahmen],"&lt;"&amp;EDATE(O$5,1),tblAuftraege[Auftrag],$A27))</f>
        <v>0</v>
      </c>
      <c r="P27" s="11" t="n">
        <f aca="false">IF($A27="",0,SUMIFS(tblAuftraege[Einnahmen],tblAuftraege[Datum Einnahmen],"&gt;="&amp;P$5,tblAuftraege[Datum Einnahmen],"&lt;"&amp;EDATE(P$5,1),tblAuftraege[Auftrag],$A27))</f>
        <v>0</v>
      </c>
      <c r="Q27" s="11" t="n">
        <f aca="false">IF($A27="",0,SUMIFS(tblAuftraege[Einnahmen],tblAuftraege[Datum Einnahmen],"&gt;="&amp;Q$5,tblAuftraege[Datum Einnahmen],"&lt;"&amp;EDATE(Q$5,1),tblAuftraege[Auftrag],$A27))</f>
        <v>0</v>
      </c>
      <c r="R27" s="11" t="n">
        <f aca="false">IF($A27="",0,SUMIFS(tblAuftraege[Einnahmen],tblAuftraege[Datum Einnahmen],"&gt;="&amp;R$5,tblAuftraege[Datum Einnahmen],"&lt;"&amp;EDATE(R$5,1),tblAuftraege[Auftrag],$A27))</f>
        <v>0</v>
      </c>
      <c r="S27" s="11" t="n">
        <f aca="false">IF($A27="",0,SUMIFS(tblAuftraege[Einnahmen],tblAuftraege[Datum Einnahmen],"&gt;="&amp;S$5,tblAuftraege[Datum Einnahmen],"&lt;"&amp;EDATE(S$5,1),tblAuftraege[Auftrag],$A27))</f>
        <v>0</v>
      </c>
      <c r="T27" s="11" t="n">
        <f aca="false">IF($A27="",0,SUMIFS(tblAuftraege[Einnahmen],tblAuftraege[Datum Einnahmen],"&gt;="&amp;T$5,tblAuftraege[Datum Einnahmen],"&lt;"&amp;EDATE(T$5,1),tblAuftraege[Auftrag],$A27))</f>
        <v>0</v>
      </c>
      <c r="U27" s="11" t="n">
        <f aca="false">IF($A27="",0,SUMIFS(tblAuftraege[Einnahmen],tblAuftraege[Datum Einnahmen],"&gt;="&amp;U$5,tblAuftraege[Datum Einnahmen],"&lt;"&amp;EDATE(U$5,1),tblAuftraege[Auftrag],$A27))</f>
        <v>0</v>
      </c>
      <c r="V27" s="11" t="n">
        <f aca="false">IF($A27="",0,SUMIFS(tblAuftraege[Einnahmen],tblAuftraege[Datum Einnahmen],"&gt;="&amp;V$5,tblAuftraege[Datum Einnahmen],"&lt;"&amp;EDATE(V$5,1),tblAuftraege[Auftrag],$A27))</f>
        <v>0</v>
      </c>
      <c r="W27" s="11" t="n">
        <f aca="false">SUM(E27:J27)</f>
        <v>0</v>
      </c>
      <c r="X27" s="11" t="n">
        <f aca="false">SUM(K27:V27)</f>
        <v>0</v>
      </c>
      <c r="Y27" s="12" t="n">
        <f aca="false">SUM(E27:V27)</f>
        <v>0</v>
      </c>
    </row>
    <row r="28" customFormat="false" ht="15" hidden="false" customHeight="false" outlineLevel="0" collapsed="false">
      <c r="A28" s="9"/>
      <c r="B28" s="10" t="str">
        <f aca="false">IF($A28="","",IFERROR(INDEX(tblAuftraege[Kostenstelle],MATCH($A28,tblAuftraege[Auftrag],0)),""))</f>
        <v/>
      </c>
      <c r="C28" s="10" t="str">
        <f aca="false">IF($A28="","",IFERROR(INDEX(tblAuftraege[Themenfeld],MATCH($A28,tblAuftraege[Auftrag],0)),""))</f>
        <v/>
      </c>
      <c r="D28" s="10" t="str">
        <f aca="false">IF($A28="","",IFERROR(INDEX(tblAuftraege[Kategorie],MATCH($A28,tblAuftraege[Auftrag],0)),""))</f>
        <v/>
      </c>
      <c r="E28" s="11" t="n">
        <f aca="false">IF($A28="",0,SUMIFS(tblAuftraege[Einnahmen],tblAuftraege[Datum Einnahmen],"&gt;="&amp;E$5,tblAuftraege[Datum Einnahmen],"&lt;"&amp;EDATE(E$5,1),tblAuftraege[Auftrag],$A28))</f>
        <v>0</v>
      </c>
      <c r="F28" s="11" t="n">
        <f aca="false">IF($A28="",0,SUMIFS(tblAuftraege[Einnahmen],tblAuftraege[Datum Einnahmen],"&gt;="&amp;F$5,tblAuftraege[Datum Einnahmen],"&lt;"&amp;EDATE(F$5,1),tblAuftraege[Auftrag],$A28))</f>
        <v>0</v>
      </c>
      <c r="G28" s="11" t="n">
        <f aca="false">IF($A28="",0,SUMIFS(tblAuftraege[Einnahmen],tblAuftraege[Datum Einnahmen],"&gt;="&amp;G$5,tblAuftraege[Datum Einnahmen],"&lt;"&amp;EDATE(G$5,1),tblAuftraege[Auftrag],$A28))</f>
        <v>0</v>
      </c>
      <c r="H28" s="11" t="n">
        <f aca="false">IF($A28="",0,SUMIFS(tblAuftraege[Einnahmen],tblAuftraege[Datum Einnahmen],"&gt;="&amp;H$5,tblAuftraege[Datum Einnahmen],"&lt;"&amp;EDATE(H$5,1),tblAuftraege[Auftrag],$A28))</f>
        <v>0</v>
      </c>
      <c r="I28" s="11" t="n">
        <f aca="false">IF($A28="",0,SUMIFS(tblAuftraege[Einnahmen],tblAuftraege[Datum Einnahmen],"&gt;="&amp;I$5,tblAuftraege[Datum Einnahmen],"&lt;"&amp;EDATE(I$5,1),tblAuftraege[Auftrag],$A28))</f>
        <v>0</v>
      </c>
      <c r="J28" s="11" t="n">
        <f aca="false">IF($A28="",0,SUMIFS(tblAuftraege[Einnahmen],tblAuftraege[Datum Einnahmen],"&gt;="&amp;J$5,tblAuftraege[Datum Einnahmen],"&lt;"&amp;EDATE(J$5,1),tblAuftraege[Auftrag],$A28))</f>
        <v>0</v>
      </c>
      <c r="K28" s="11" t="n">
        <f aca="false">IF($A28="",0,SUMIFS(tblAuftraege[Einnahmen],tblAuftraege[Datum Einnahmen],"&gt;="&amp;K$5,tblAuftraege[Datum Einnahmen],"&lt;"&amp;EDATE(K$5,1),tblAuftraege[Auftrag],$A28))</f>
        <v>0</v>
      </c>
      <c r="L28" s="11" t="n">
        <f aca="false">IF($A28="",0,SUMIFS(tblAuftraege[Einnahmen],tblAuftraege[Datum Einnahmen],"&gt;="&amp;L$5,tblAuftraege[Datum Einnahmen],"&lt;"&amp;EDATE(L$5,1),tblAuftraege[Auftrag],$A28))</f>
        <v>0</v>
      </c>
      <c r="M28" s="11" t="n">
        <f aca="false">IF($A28="",0,SUMIFS(tblAuftraege[Einnahmen],tblAuftraege[Datum Einnahmen],"&gt;="&amp;M$5,tblAuftraege[Datum Einnahmen],"&lt;"&amp;EDATE(M$5,1),tblAuftraege[Auftrag],$A28))</f>
        <v>0</v>
      </c>
      <c r="N28" s="11" t="n">
        <f aca="false">IF($A28="",0,SUMIFS(tblAuftraege[Einnahmen],tblAuftraege[Datum Einnahmen],"&gt;="&amp;N$5,tblAuftraege[Datum Einnahmen],"&lt;"&amp;EDATE(N$5,1),tblAuftraege[Auftrag],$A28))</f>
        <v>0</v>
      </c>
      <c r="O28" s="11" t="n">
        <f aca="false">IF($A28="",0,SUMIFS(tblAuftraege[Einnahmen],tblAuftraege[Datum Einnahmen],"&gt;="&amp;O$5,tblAuftraege[Datum Einnahmen],"&lt;"&amp;EDATE(O$5,1),tblAuftraege[Auftrag],$A28))</f>
        <v>0</v>
      </c>
      <c r="P28" s="11" t="n">
        <f aca="false">IF($A28="",0,SUMIFS(tblAuftraege[Einnahmen],tblAuftraege[Datum Einnahmen],"&gt;="&amp;P$5,tblAuftraege[Datum Einnahmen],"&lt;"&amp;EDATE(P$5,1),tblAuftraege[Auftrag],$A28))</f>
        <v>0</v>
      </c>
      <c r="Q28" s="11" t="n">
        <f aca="false">IF($A28="",0,SUMIFS(tblAuftraege[Einnahmen],tblAuftraege[Datum Einnahmen],"&gt;="&amp;Q$5,tblAuftraege[Datum Einnahmen],"&lt;"&amp;EDATE(Q$5,1),tblAuftraege[Auftrag],$A28))</f>
        <v>0</v>
      </c>
      <c r="R28" s="11" t="n">
        <f aca="false">IF($A28="",0,SUMIFS(tblAuftraege[Einnahmen],tblAuftraege[Datum Einnahmen],"&gt;="&amp;R$5,tblAuftraege[Datum Einnahmen],"&lt;"&amp;EDATE(R$5,1),tblAuftraege[Auftrag],$A28))</f>
        <v>0</v>
      </c>
      <c r="S28" s="11" t="n">
        <f aca="false">IF($A28="",0,SUMIFS(tblAuftraege[Einnahmen],tblAuftraege[Datum Einnahmen],"&gt;="&amp;S$5,tblAuftraege[Datum Einnahmen],"&lt;"&amp;EDATE(S$5,1),tblAuftraege[Auftrag],$A28))</f>
        <v>0</v>
      </c>
      <c r="T28" s="11" t="n">
        <f aca="false">IF($A28="",0,SUMIFS(tblAuftraege[Einnahmen],tblAuftraege[Datum Einnahmen],"&gt;="&amp;T$5,tblAuftraege[Datum Einnahmen],"&lt;"&amp;EDATE(T$5,1),tblAuftraege[Auftrag],$A28))</f>
        <v>0</v>
      </c>
      <c r="U28" s="11" t="n">
        <f aca="false">IF($A28="",0,SUMIFS(tblAuftraege[Einnahmen],tblAuftraege[Datum Einnahmen],"&gt;="&amp;U$5,tblAuftraege[Datum Einnahmen],"&lt;"&amp;EDATE(U$5,1),tblAuftraege[Auftrag],$A28))</f>
        <v>0</v>
      </c>
      <c r="V28" s="11" t="n">
        <f aca="false">IF($A28="",0,SUMIFS(tblAuftraege[Einnahmen],tblAuftraege[Datum Einnahmen],"&gt;="&amp;V$5,tblAuftraege[Datum Einnahmen],"&lt;"&amp;EDATE(V$5,1),tblAuftraege[Auftrag],$A28))</f>
        <v>0</v>
      </c>
      <c r="W28" s="11" t="n">
        <f aca="false">SUM(E28:J28)</f>
        <v>0</v>
      </c>
      <c r="X28" s="11" t="n">
        <f aca="false">SUM(K28:V28)</f>
        <v>0</v>
      </c>
      <c r="Y28" s="12" t="n">
        <f aca="false">SUM(E28:V28)</f>
        <v>0</v>
      </c>
    </row>
    <row r="29" customFormat="false" ht="15" hidden="false" customHeight="false" outlineLevel="0" collapsed="false">
      <c r="A29" s="9"/>
      <c r="B29" s="10" t="str">
        <f aca="false">IF($A29="","",IFERROR(INDEX(tblAuftraege[Kostenstelle],MATCH($A29,tblAuftraege[Auftrag],0)),""))</f>
        <v/>
      </c>
      <c r="C29" s="10" t="str">
        <f aca="false">IF($A29="","",IFERROR(INDEX(tblAuftraege[Themenfeld],MATCH($A29,tblAuftraege[Auftrag],0)),""))</f>
        <v/>
      </c>
      <c r="D29" s="10" t="str">
        <f aca="false">IF($A29="","",IFERROR(INDEX(tblAuftraege[Kategorie],MATCH($A29,tblAuftraege[Auftrag],0)),""))</f>
        <v/>
      </c>
      <c r="E29" s="11" t="n">
        <f aca="false">IF($A29="",0,SUMIFS(tblAuftraege[Einnahmen],tblAuftraege[Datum Einnahmen],"&gt;="&amp;E$5,tblAuftraege[Datum Einnahmen],"&lt;"&amp;EDATE(E$5,1),tblAuftraege[Auftrag],$A29))</f>
        <v>0</v>
      </c>
      <c r="F29" s="11" t="n">
        <f aca="false">IF($A29="",0,SUMIFS(tblAuftraege[Einnahmen],tblAuftraege[Datum Einnahmen],"&gt;="&amp;F$5,tblAuftraege[Datum Einnahmen],"&lt;"&amp;EDATE(F$5,1),tblAuftraege[Auftrag],$A29))</f>
        <v>0</v>
      </c>
      <c r="G29" s="11" t="n">
        <f aca="false">IF($A29="",0,SUMIFS(tblAuftraege[Einnahmen],tblAuftraege[Datum Einnahmen],"&gt;="&amp;G$5,tblAuftraege[Datum Einnahmen],"&lt;"&amp;EDATE(G$5,1),tblAuftraege[Auftrag],$A29))</f>
        <v>0</v>
      </c>
      <c r="H29" s="11" t="n">
        <f aca="false">IF($A29="",0,SUMIFS(tblAuftraege[Einnahmen],tblAuftraege[Datum Einnahmen],"&gt;="&amp;H$5,tblAuftraege[Datum Einnahmen],"&lt;"&amp;EDATE(H$5,1),tblAuftraege[Auftrag],$A29))</f>
        <v>0</v>
      </c>
      <c r="I29" s="11" t="n">
        <f aca="false">IF($A29="",0,SUMIFS(tblAuftraege[Einnahmen],tblAuftraege[Datum Einnahmen],"&gt;="&amp;I$5,tblAuftraege[Datum Einnahmen],"&lt;"&amp;EDATE(I$5,1),tblAuftraege[Auftrag],$A29))</f>
        <v>0</v>
      </c>
      <c r="J29" s="11" t="n">
        <f aca="false">IF($A29="",0,SUMIFS(tblAuftraege[Einnahmen],tblAuftraege[Datum Einnahmen],"&gt;="&amp;J$5,tblAuftraege[Datum Einnahmen],"&lt;"&amp;EDATE(J$5,1),tblAuftraege[Auftrag],$A29))</f>
        <v>0</v>
      </c>
      <c r="K29" s="11" t="n">
        <f aca="false">IF($A29="",0,SUMIFS(tblAuftraege[Einnahmen],tblAuftraege[Datum Einnahmen],"&gt;="&amp;K$5,tblAuftraege[Datum Einnahmen],"&lt;"&amp;EDATE(K$5,1),tblAuftraege[Auftrag],$A29))</f>
        <v>0</v>
      </c>
      <c r="L29" s="11" t="n">
        <f aca="false">IF($A29="",0,SUMIFS(tblAuftraege[Einnahmen],tblAuftraege[Datum Einnahmen],"&gt;="&amp;L$5,tblAuftraege[Datum Einnahmen],"&lt;"&amp;EDATE(L$5,1),tblAuftraege[Auftrag],$A29))</f>
        <v>0</v>
      </c>
      <c r="M29" s="11" t="n">
        <f aca="false">IF($A29="",0,SUMIFS(tblAuftraege[Einnahmen],tblAuftraege[Datum Einnahmen],"&gt;="&amp;M$5,tblAuftraege[Datum Einnahmen],"&lt;"&amp;EDATE(M$5,1),tblAuftraege[Auftrag],$A29))</f>
        <v>0</v>
      </c>
      <c r="N29" s="11" t="n">
        <f aca="false">IF($A29="",0,SUMIFS(tblAuftraege[Einnahmen],tblAuftraege[Datum Einnahmen],"&gt;="&amp;N$5,tblAuftraege[Datum Einnahmen],"&lt;"&amp;EDATE(N$5,1),tblAuftraege[Auftrag],$A29))</f>
        <v>0</v>
      </c>
      <c r="O29" s="11" t="n">
        <f aca="false">IF($A29="",0,SUMIFS(tblAuftraege[Einnahmen],tblAuftraege[Datum Einnahmen],"&gt;="&amp;O$5,tblAuftraege[Datum Einnahmen],"&lt;"&amp;EDATE(O$5,1),tblAuftraege[Auftrag],$A29))</f>
        <v>0</v>
      </c>
      <c r="P29" s="11" t="n">
        <f aca="false">IF($A29="",0,SUMIFS(tblAuftraege[Einnahmen],tblAuftraege[Datum Einnahmen],"&gt;="&amp;P$5,tblAuftraege[Datum Einnahmen],"&lt;"&amp;EDATE(P$5,1),tblAuftraege[Auftrag],$A29))</f>
        <v>0</v>
      </c>
      <c r="Q29" s="11" t="n">
        <f aca="false">IF($A29="",0,SUMIFS(tblAuftraege[Einnahmen],tblAuftraege[Datum Einnahmen],"&gt;="&amp;Q$5,tblAuftraege[Datum Einnahmen],"&lt;"&amp;EDATE(Q$5,1),tblAuftraege[Auftrag],$A29))</f>
        <v>0</v>
      </c>
      <c r="R29" s="11" t="n">
        <f aca="false">IF($A29="",0,SUMIFS(tblAuftraege[Einnahmen],tblAuftraege[Datum Einnahmen],"&gt;="&amp;R$5,tblAuftraege[Datum Einnahmen],"&lt;"&amp;EDATE(R$5,1),tblAuftraege[Auftrag],$A29))</f>
        <v>0</v>
      </c>
      <c r="S29" s="11" t="n">
        <f aca="false">IF($A29="",0,SUMIFS(tblAuftraege[Einnahmen],tblAuftraege[Datum Einnahmen],"&gt;="&amp;S$5,tblAuftraege[Datum Einnahmen],"&lt;"&amp;EDATE(S$5,1),tblAuftraege[Auftrag],$A29))</f>
        <v>0</v>
      </c>
      <c r="T29" s="11" t="n">
        <f aca="false">IF($A29="",0,SUMIFS(tblAuftraege[Einnahmen],tblAuftraege[Datum Einnahmen],"&gt;="&amp;T$5,tblAuftraege[Datum Einnahmen],"&lt;"&amp;EDATE(T$5,1),tblAuftraege[Auftrag],$A29))</f>
        <v>0</v>
      </c>
      <c r="U29" s="11" t="n">
        <f aca="false">IF($A29="",0,SUMIFS(tblAuftraege[Einnahmen],tblAuftraege[Datum Einnahmen],"&gt;="&amp;U$5,tblAuftraege[Datum Einnahmen],"&lt;"&amp;EDATE(U$5,1),tblAuftraege[Auftrag],$A29))</f>
        <v>0</v>
      </c>
      <c r="V29" s="11" t="n">
        <f aca="false">IF($A29="",0,SUMIFS(tblAuftraege[Einnahmen],tblAuftraege[Datum Einnahmen],"&gt;="&amp;V$5,tblAuftraege[Datum Einnahmen],"&lt;"&amp;EDATE(V$5,1),tblAuftraege[Auftrag],$A29))</f>
        <v>0</v>
      </c>
      <c r="W29" s="11" t="n">
        <f aca="false">SUM(E29:J29)</f>
        <v>0</v>
      </c>
      <c r="X29" s="11" t="n">
        <f aca="false">SUM(K29:V29)</f>
        <v>0</v>
      </c>
      <c r="Y29" s="12" t="n">
        <f aca="false">SUM(E29:V29)</f>
        <v>0</v>
      </c>
    </row>
    <row r="30" customFormat="false" ht="15" hidden="false" customHeight="false" outlineLevel="0" collapsed="false">
      <c r="A30" s="9"/>
      <c r="B30" s="10" t="str">
        <f aca="false">IF($A30="","",IFERROR(INDEX(tblAuftraege[Kostenstelle],MATCH($A30,tblAuftraege[Auftrag],0)),""))</f>
        <v/>
      </c>
      <c r="C30" s="10" t="str">
        <f aca="false">IF($A30="","",IFERROR(INDEX(tblAuftraege[Themenfeld],MATCH($A30,tblAuftraege[Auftrag],0)),""))</f>
        <v/>
      </c>
      <c r="D30" s="10" t="str">
        <f aca="false">IF($A30="","",IFERROR(INDEX(tblAuftraege[Kategorie],MATCH($A30,tblAuftraege[Auftrag],0)),""))</f>
        <v/>
      </c>
      <c r="E30" s="11" t="n">
        <f aca="false">IF($A30="",0,SUMIFS(tblAuftraege[Einnahmen],tblAuftraege[Datum Einnahmen],"&gt;="&amp;E$5,tblAuftraege[Datum Einnahmen],"&lt;"&amp;EDATE(E$5,1),tblAuftraege[Auftrag],$A30))</f>
        <v>0</v>
      </c>
      <c r="F30" s="11" t="n">
        <f aca="false">IF($A30="",0,SUMIFS(tblAuftraege[Einnahmen],tblAuftraege[Datum Einnahmen],"&gt;="&amp;F$5,tblAuftraege[Datum Einnahmen],"&lt;"&amp;EDATE(F$5,1),tblAuftraege[Auftrag],$A30))</f>
        <v>0</v>
      </c>
      <c r="G30" s="11" t="n">
        <f aca="false">IF($A30="",0,SUMIFS(tblAuftraege[Einnahmen],tblAuftraege[Datum Einnahmen],"&gt;="&amp;G$5,tblAuftraege[Datum Einnahmen],"&lt;"&amp;EDATE(G$5,1),tblAuftraege[Auftrag],$A30))</f>
        <v>0</v>
      </c>
      <c r="H30" s="11" t="n">
        <f aca="false">IF($A30="",0,SUMIFS(tblAuftraege[Einnahmen],tblAuftraege[Datum Einnahmen],"&gt;="&amp;H$5,tblAuftraege[Datum Einnahmen],"&lt;"&amp;EDATE(H$5,1),tblAuftraege[Auftrag],$A30))</f>
        <v>0</v>
      </c>
      <c r="I30" s="11" t="n">
        <f aca="false">IF($A30="",0,SUMIFS(tblAuftraege[Einnahmen],tblAuftraege[Datum Einnahmen],"&gt;="&amp;I$5,tblAuftraege[Datum Einnahmen],"&lt;"&amp;EDATE(I$5,1),tblAuftraege[Auftrag],$A30))</f>
        <v>0</v>
      </c>
      <c r="J30" s="11" t="n">
        <f aca="false">IF($A30="",0,SUMIFS(tblAuftraege[Einnahmen],tblAuftraege[Datum Einnahmen],"&gt;="&amp;J$5,tblAuftraege[Datum Einnahmen],"&lt;"&amp;EDATE(J$5,1),tblAuftraege[Auftrag],$A30))</f>
        <v>0</v>
      </c>
      <c r="K30" s="11" t="n">
        <f aca="false">IF($A30="",0,SUMIFS(tblAuftraege[Einnahmen],tblAuftraege[Datum Einnahmen],"&gt;="&amp;K$5,tblAuftraege[Datum Einnahmen],"&lt;"&amp;EDATE(K$5,1),tblAuftraege[Auftrag],$A30))</f>
        <v>0</v>
      </c>
      <c r="L30" s="11" t="n">
        <f aca="false">IF($A30="",0,SUMIFS(tblAuftraege[Einnahmen],tblAuftraege[Datum Einnahmen],"&gt;="&amp;L$5,tblAuftraege[Datum Einnahmen],"&lt;"&amp;EDATE(L$5,1),tblAuftraege[Auftrag],$A30))</f>
        <v>0</v>
      </c>
      <c r="M30" s="11" t="n">
        <f aca="false">IF($A30="",0,SUMIFS(tblAuftraege[Einnahmen],tblAuftraege[Datum Einnahmen],"&gt;="&amp;M$5,tblAuftraege[Datum Einnahmen],"&lt;"&amp;EDATE(M$5,1),tblAuftraege[Auftrag],$A30))</f>
        <v>0</v>
      </c>
      <c r="N30" s="11" t="n">
        <f aca="false">IF($A30="",0,SUMIFS(tblAuftraege[Einnahmen],tblAuftraege[Datum Einnahmen],"&gt;="&amp;N$5,tblAuftraege[Datum Einnahmen],"&lt;"&amp;EDATE(N$5,1),tblAuftraege[Auftrag],$A30))</f>
        <v>0</v>
      </c>
      <c r="O30" s="11" t="n">
        <f aca="false">IF($A30="",0,SUMIFS(tblAuftraege[Einnahmen],tblAuftraege[Datum Einnahmen],"&gt;="&amp;O$5,tblAuftraege[Datum Einnahmen],"&lt;"&amp;EDATE(O$5,1),tblAuftraege[Auftrag],$A30))</f>
        <v>0</v>
      </c>
      <c r="P30" s="11" t="n">
        <f aca="false">IF($A30="",0,SUMIFS(tblAuftraege[Einnahmen],tblAuftraege[Datum Einnahmen],"&gt;="&amp;P$5,tblAuftraege[Datum Einnahmen],"&lt;"&amp;EDATE(P$5,1),tblAuftraege[Auftrag],$A30))</f>
        <v>0</v>
      </c>
      <c r="Q30" s="11" t="n">
        <f aca="false">IF($A30="",0,SUMIFS(tblAuftraege[Einnahmen],tblAuftraege[Datum Einnahmen],"&gt;="&amp;Q$5,tblAuftraege[Datum Einnahmen],"&lt;"&amp;EDATE(Q$5,1),tblAuftraege[Auftrag],$A30))</f>
        <v>0</v>
      </c>
      <c r="R30" s="11" t="n">
        <f aca="false">IF($A30="",0,SUMIFS(tblAuftraege[Einnahmen],tblAuftraege[Datum Einnahmen],"&gt;="&amp;R$5,tblAuftraege[Datum Einnahmen],"&lt;"&amp;EDATE(R$5,1),tblAuftraege[Auftrag],$A30))</f>
        <v>0</v>
      </c>
      <c r="S30" s="11" t="n">
        <f aca="false">IF($A30="",0,SUMIFS(tblAuftraege[Einnahmen],tblAuftraege[Datum Einnahmen],"&gt;="&amp;S$5,tblAuftraege[Datum Einnahmen],"&lt;"&amp;EDATE(S$5,1),tblAuftraege[Auftrag],$A30))</f>
        <v>0</v>
      </c>
      <c r="T30" s="11" t="n">
        <f aca="false">IF($A30="",0,SUMIFS(tblAuftraege[Einnahmen],tblAuftraege[Datum Einnahmen],"&gt;="&amp;T$5,tblAuftraege[Datum Einnahmen],"&lt;"&amp;EDATE(T$5,1),tblAuftraege[Auftrag],$A30))</f>
        <v>0</v>
      </c>
      <c r="U30" s="11" t="n">
        <f aca="false">IF($A30="",0,SUMIFS(tblAuftraege[Einnahmen],tblAuftraege[Datum Einnahmen],"&gt;="&amp;U$5,tblAuftraege[Datum Einnahmen],"&lt;"&amp;EDATE(U$5,1),tblAuftraege[Auftrag],$A30))</f>
        <v>0</v>
      </c>
      <c r="V30" s="11" t="n">
        <f aca="false">IF($A30="",0,SUMIFS(tblAuftraege[Einnahmen],tblAuftraege[Datum Einnahmen],"&gt;="&amp;V$5,tblAuftraege[Datum Einnahmen],"&lt;"&amp;EDATE(V$5,1),tblAuftraege[Auftrag],$A30))</f>
        <v>0</v>
      </c>
      <c r="W30" s="11" t="n">
        <f aca="false">SUM(E30:J30)</f>
        <v>0</v>
      </c>
      <c r="X30" s="11" t="n">
        <f aca="false">SUM(K30:V30)</f>
        <v>0</v>
      </c>
      <c r="Y30" s="12" t="n">
        <f aca="false">SUM(E30:V30)</f>
        <v>0</v>
      </c>
    </row>
    <row r="31" customFormat="false" ht="15" hidden="false" customHeight="false" outlineLevel="0" collapsed="false">
      <c r="A31" s="9"/>
      <c r="B31" s="10" t="str">
        <f aca="false">IF($A31="","",IFERROR(INDEX(tblAuftraege[Kostenstelle],MATCH($A31,tblAuftraege[Auftrag],0)),""))</f>
        <v/>
      </c>
      <c r="C31" s="10" t="str">
        <f aca="false">IF($A31="","",IFERROR(INDEX(tblAuftraege[Themenfeld],MATCH($A31,tblAuftraege[Auftrag],0)),""))</f>
        <v/>
      </c>
      <c r="D31" s="10" t="str">
        <f aca="false">IF($A31="","",IFERROR(INDEX(tblAuftraege[Kategorie],MATCH($A31,tblAuftraege[Auftrag],0)),""))</f>
        <v/>
      </c>
      <c r="E31" s="11" t="n">
        <f aca="false">IF($A31="",0,SUMIFS(tblAuftraege[Einnahmen],tblAuftraege[Datum Einnahmen],"&gt;="&amp;E$5,tblAuftraege[Datum Einnahmen],"&lt;"&amp;EDATE(E$5,1),tblAuftraege[Auftrag],$A31))</f>
        <v>0</v>
      </c>
      <c r="F31" s="11" t="n">
        <f aca="false">IF($A31="",0,SUMIFS(tblAuftraege[Einnahmen],tblAuftraege[Datum Einnahmen],"&gt;="&amp;F$5,tblAuftraege[Datum Einnahmen],"&lt;"&amp;EDATE(F$5,1),tblAuftraege[Auftrag],$A31))</f>
        <v>0</v>
      </c>
      <c r="G31" s="11" t="n">
        <f aca="false">IF($A31="",0,SUMIFS(tblAuftraege[Einnahmen],tblAuftraege[Datum Einnahmen],"&gt;="&amp;G$5,tblAuftraege[Datum Einnahmen],"&lt;"&amp;EDATE(G$5,1),tblAuftraege[Auftrag],$A31))</f>
        <v>0</v>
      </c>
      <c r="H31" s="11" t="n">
        <f aca="false">IF($A31="",0,SUMIFS(tblAuftraege[Einnahmen],tblAuftraege[Datum Einnahmen],"&gt;="&amp;H$5,tblAuftraege[Datum Einnahmen],"&lt;"&amp;EDATE(H$5,1),tblAuftraege[Auftrag],$A31))</f>
        <v>0</v>
      </c>
      <c r="I31" s="11" t="n">
        <f aca="false">IF($A31="",0,SUMIFS(tblAuftraege[Einnahmen],tblAuftraege[Datum Einnahmen],"&gt;="&amp;I$5,tblAuftraege[Datum Einnahmen],"&lt;"&amp;EDATE(I$5,1),tblAuftraege[Auftrag],$A31))</f>
        <v>0</v>
      </c>
      <c r="J31" s="11" t="n">
        <f aca="false">IF($A31="",0,SUMIFS(tblAuftraege[Einnahmen],tblAuftraege[Datum Einnahmen],"&gt;="&amp;J$5,tblAuftraege[Datum Einnahmen],"&lt;"&amp;EDATE(J$5,1),tblAuftraege[Auftrag],$A31))</f>
        <v>0</v>
      </c>
      <c r="K31" s="11" t="n">
        <f aca="false">IF($A31="",0,SUMIFS(tblAuftraege[Einnahmen],tblAuftraege[Datum Einnahmen],"&gt;="&amp;K$5,tblAuftraege[Datum Einnahmen],"&lt;"&amp;EDATE(K$5,1),tblAuftraege[Auftrag],$A31))</f>
        <v>0</v>
      </c>
      <c r="L31" s="11" t="n">
        <f aca="false">IF($A31="",0,SUMIFS(tblAuftraege[Einnahmen],tblAuftraege[Datum Einnahmen],"&gt;="&amp;L$5,tblAuftraege[Datum Einnahmen],"&lt;"&amp;EDATE(L$5,1),tblAuftraege[Auftrag],$A31))</f>
        <v>0</v>
      </c>
      <c r="M31" s="11" t="n">
        <f aca="false">IF($A31="",0,SUMIFS(tblAuftraege[Einnahmen],tblAuftraege[Datum Einnahmen],"&gt;="&amp;M$5,tblAuftraege[Datum Einnahmen],"&lt;"&amp;EDATE(M$5,1),tblAuftraege[Auftrag],$A31))</f>
        <v>0</v>
      </c>
      <c r="N31" s="11" t="n">
        <f aca="false">IF($A31="",0,SUMIFS(tblAuftraege[Einnahmen],tblAuftraege[Datum Einnahmen],"&gt;="&amp;N$5,tblAuftraege[Datum Einnahmen],"&lt;"&amp;EDATE(N$5,1),tblAuftraege[Auftrag],$A31))</f>
        <v>0</v>
      </c>
      <c r="O31" s="11" t="n">
        <f aca="false">IF($A31="",0,SUMIFS(tblAuftraege[Einnahmen],tblAuftraege[Datum Einnahmen],"&gt;="&amp;O$5,tblAuftraege[Datum Einnahmen],"&lt;"&amp;EDATE(O$5,1),tblAuftraege[Auftrag],$A31))</f>
        <v>0</v>
      </c>
      <c r="P31" s="11" t="n">
        <f aca="false">IF($A31="",0,SUMIFS(tblAuftraege[Einnahmen],tblAuftraege[Datum Einnahmen],"&gt;="&amp;P$5,tblAuftraege[Datum Einnahmen],"&lt;"&amp;EDATE(P$5,1),tblAuftraege[Auftrag],$A31))</f>
        <v>0</v>
      </c>
      <c r="Q31" s="11" t="n">
        <f aca="false">IF($A31="",0,SUMIFS(tblAuftraege[Einnahmen],tblAuftraege[Datum Einnahmen],"&gt;="&amp;Q$5,tblAuftraege[Datum Einnahmen],"&lt;"&amp;EDATE(Q$5,1),tblAuftraege[Auftrag],$A31))</f>
        <v>0</v>
      </c>
      <c r="R31" s="11" t="n">
        <f aca="false">IF($A31="",0,SUMIFS(tblAuftraege[Einnahmen],tblAuftraege[Datum Einnahmen],"&gt;="&amp;R$5,tblAuftraege[Datum Einnahmen],"&lt;"&amp;EDATE(R$5,1),tblAuftraege[Auftrag],$A31))</f>
        <v>0</v>
      </c>
      <c r="S31" s="11" t="n">
        <f aca="false">IF($A31="",0,SUMIFS(tblAuftraege[Einnahmen],tblAuftraege[Datum Einnahmen],"&gt;="&amp;S$5,tblAuftraege[Datum Einnahmen],"&lt;"&amp;EDATE(S$5,1),tblAuftraege[Auftrag],$A31))</f>
        <v>0</v>
      </c>
      <c r="T31" s="11" t="n">
        <f aca="false">IF($A31="",0,SUMIFS(tblAuftraege[Einnahmen],tblAuftraege[Datum Einnahmen],"&gt;="&amp;T$5,tblAuftraege[Datum Einnahmen],"&lt;"&amp;EDATE(T$5,1),tblAuftraege[Auftrag],$A31))</f>
        <v>0</v>
      </c>
      <c r="U31" s="11" t="n">
        <f aca="false">IF($A31="",0,SUMIFS(tblAuftraege[Einnahmen],tblAuftraege[Datum Einnahmen],"&gt;="&amp;U$5,tblAuftraege[Datum Einnahmen],"&lt;"&amp;EDATE(U$5,1),tblAuftraege[Auftrag],$A31))</f>
        <v>0</v>
      </c>
      <c r="V31" s="11" t="n">
        <f aca="false">IF($A31="",0,SUMIFS(tblAuftraege[Einnahmen],tblAuftraege[Datum Einnahmen],"&gt;="&amp;V$5,tblAuftraege[Datum Einnahmen],"&lt;"&amp;EDATE(V$5,1),tblAuftraege[Auftrag],$A31))</f>
        <v>0</v>
      </c>
      <c r="W31" s="11" t="n">
        <f aca="false">SUM(E31:J31)</f>
        <v>0</v>
      </c>
      <c r="X31" s="11" t="n">
        <f aca="false">SUM(K31:V31)</f>
        <v>0</v>
      </c>
      <c r="Y31" s="12" t="n">
        <f aca="false">SUM(E31:V31)</f>
        <v>0</v>
      </c>
    </row>
    <row r="32" customFormat="false" ht="15" hidden="false" customHeight="false" outlineLevel="0" collapsed="false">
      <c r="A32" s="9"/>
      <c r="B32" s="10" t="str">
        <f aca="false">IF($A32="","",IFERROR(INDEX(tblAuftraege[Kostenstelle],MATCH($A32,tblAuftraege[Auftrag],0)),""))</f>
        <v/>
      </c>
      <c r="C32" s="10" t="str">
        <f aca="false">IF($A32="","",IFERROR(INDEX(tblAuftraege[Themenfeld],MATCH($A32,tblAuftraege[Auftrag],0)),""))</f>
        <v/>
      </c>
      <c r="D32" s="10" t="str">
        <f aca="false">IF($A32="","",IFERROR(INDEX(tblAuftraege[Kategorie],MATCH($A32,tblAuftraege[Auftrag],0)),""))</f>
        <v/>
      </c>
      <c r="E32" s="11" t="n">
        <f aca="false">IF($A32="",0,SUMIFS(tblAuftraege[Einnahmen],tblAuftraege[Datum Einnahmen],"&gt;="&amp;E$5,tblAuftraege[Datum Einnahmen],"&lt;"&amp;EDATE(E$5,1),tblAuftraege[Auftrag],$A32))</f>
        <v>0</v>
      </c>
      <c r="F32" s="11" t="n">
        <f aca="false">IF($A32="",0,SUMIFS(tblAuftraege[Einnahmen],tblAuftraege[Datum Einnahmen],"&gt;="&amp;F$5,tblAuftraege[Datum Einnahmen],"&lt;"&amp;EDATE(F$5,1),tblAuftraege[Auftrag],$A32))</f>
        <v>0</v>
      </c>
      <c r="G32" s="11" t="n">
        <f aca="false">IF($A32="",0,SUMIFS(tblAuftraege[Einnahmen],tblAuftraege[Datum Einnahmen],"&gt;="&amp;G$5,tblAuftraege[Datum Einnahmen],"&lt;"&amp;EDATE(G$5,1),tblAuftraege[Auftrag],$A32))</f>
        <v>0</v>
      </c>
      <c r="H32" s="11" t="n">
        <f aca="false">IF($A32="",0,SUMIFS(tblAuftraege[Einnahmen],tblAuftraege[Datum Einnahmen],"&gt;="&amp;H$5,tblAuftraege[Datum Einnahmen],"&lt;"&amp;EDATE(H$5,1),tblAuftraege[Auftrag],$A32))</f>
        <v>0</v>
      </c>
      <c r="I32" s="11" t="n">
        <f aca="false">IF($A32="",0,SUMIFS(tblAuftraege[Einnahmen],tblAuftraege[Datum Einnahmen],"&gt;="&amp;I$5,tblAuftraege[Datum Einnahmen],"&lt;"&amp;EDATE(I$5,1),tblAuftraege[Auftrag],$A32))</f>
        <v>0</v>
      </c>
      <c r="J32" s="11" t="n">
        <f aca="false">IF($A32="",0,SUMIFS(tblAuftraege[Einnahmen],tblAuftraege[Datum Einnahmen],"&gt;="&amp;J$5,tblAuftraege[Datum Einnahmen],"&lt;"&amp;EDATE(J$5,1),tblAuftraege[Auftrag],$A32))</f>
        <v>0</v>
      </c>
      <c r="K32" s="11" t="n">
        <f aca="false">IF($A32="",0,SUMIFS(tblAuftraege[Einnahmen],tblAuftraege[Datum Einnahmen],"&gt;="&amp;K$5,tblAuftraege[Datum Einnahmen],"&lt;"&amp;EDATE(K$5,1),tblAuftraege[Auftrag],$A32))</f>
        <v>0</v>
      </c>
      <c r="L32" s="11" t="n">
        <f aca="false">IF($A32="",0,SUMIFS(tblAuftraege[Einnahmen],tblAuftraege[Datum Einnahmen],"&gt;="&amp;L$5,tblAuftraege[Datum Einnahmen],"&lt;"&amp;EDATE(L$5,1),tblAuftraege[Auftrag],$A32))</f>
        <v>0</v>
      </c>
      <c r="M32" s="11" t="n">
        <f aca="false">IF($A32="",0,SUMIFS(tblAuftraege[Einnahmen],tblAuftraege[Datum Einnahmen],"&gt;="&amp;M$5,tblAuftraege[Datum Einnahmen],"&lt;"&amp;EDATE(M$5,1),tblAuftraege[Auftrag],$A32))</f>
        <v>0</v>
      </c>
      <c r="N32" s="11" t="n">
        <f aca="false">IF($A32="",0,SUMIFS(tblAuftraege[Einnahmen],tblAuftraege[Datum Einnahmen],"&gt;="&amp;N$5,tblAuftraege[Datum Einnahmen],"&lt;"&amp;EDATE(N$5,1),tblAuftraege[Auftrag],$A32))</f>
        <v>0</v>
      </c>
      <c r="O32" s="11" t="n">
        <f aca="false">IF($A32="",0,SUMIFS(tblAuftraege[Einnahmen],tblAuftraege[Datum Einnahmen],"&gt;="&amp;O$5,tblAuftraege[Datum Einnahmen],"&lt;"&amp;EDATE(O$5,1),tblAuftraege[Auftrag],$A32))</f>
        <v>0</v>
      </c>
      <c r="P32" s="11" t="n">
        <f aca="false">IF($A32="",0,SUMIFS(tblAuftraege[Einnahmen],tblAuftraege[Datum Einnahmen],"&gt;="&amp;P$5,tblAuftraege[Datum Einnahmen],"&lt;"&amp;EDATE(P$5,1),tblAuftraege[Auftrag],$A32))</f>
        <v>0</v>
      </c>
      <c r="Q32" s="11" t="n">
        <f aca="false">IF($A32="",0,SUMIFS(tblAuftraege[Einnahmen],tblAuftraege[Datum Einnahmen],"&gt;="&amp;Q$5,tblAuftraege[Datum Einnahmen],"&lt;"&amp;EDATE(Q$5,1),tblAuftraege[Auftrag],$A32))</f>
        <v>0</v>
      </c>
      <c r="R32" s="11" t="n">
        <f aca="false">IF($A32="",0,SUMIFS(tblAuftraege[Einnahmen],tblAuftraege[Datum Einnahmen],"&gt;="&amp;R$5,tblAuftraege[Datum Einnahmen],"&lt;"&amp;EDATE(R$5,1),tblAuftraege[Auftrag],$A32))</f>
        <v>0</v>
      </c>
      <c r="S32" s="11" t="n">
        <f aca="false">IF($A32="",0,SUMIFS(tblAuftraege[Einnahmen],tblAuftraege[Datum Einnahmen],"&gt;="&amp;S$5,tblAuftraege[Datum Einnahmen],"&lt;"&amp;EDATE(S$5,1),tblAuftraege[Auftrag],$A32))</f>
        <v>0</v>
      </c>
      <c r="T32" s="11" t="n">
        <f aca="false">IF($A32="",0,SUMIFS(tblAuftraege[Einnahmen],tblAuftraege[Datum Einnahmen],"&gt;="&amp;T$5,tblAuftraege[Datum Einnahmen],"&lt;"&amp;EDATE(T$5,1),tblAuftraege[Auftrag],$A32))</f>
        <v>0</v>
      </c>
      <c r="U32" s="11" t="n">
        <f aca="false">IF($A32="",0,SUMIFS(tblAuftraege[Einnahmen],tblAuftraege[Datum Einnahmen],"&gt;="&amp;U$5,tblAuftraege[Datum Einnahmen],"&lt;"&amp;EDATE(U$5,1),tblAuftraege[Auftrag],$A32))</f>
        <v>0</v>
      </c>
      <c r="V32" s="11" t="n">
        <f aca="false">IF($A32="",0,SUMIFS(tblAuftraege[Einnahmen],tblAuftraege[Datum Einnahmen],"&gt;="&amp;V$5,tblAuftraege[Datum Einnahmen],"&lt;"&amp;EDATE(V$5,1),tblAuftraege[Auftrag],$A32))</f>
        <v>0</v>
      </c>
      <c r="W32" s="11" t="n">
        <f aca="false">SUM(E32:J32)</f>
        <v>0</v>
      </c>
      <c r="X32" s="11" t="n">
        <f aca="false">SUM(K32:V32)</f>
        <v>0</v>
      </c>
      <c r="Y32" s="12" t="n">
        <f aca="false">SUM(E32:V32)</f>
        <v>0</v>
      </c>
    </row>
    <row r="33" customFormat="false" ht="15" hidden="false" customHeight="false" outlineLevel="0" collapsed="false">
      <c r="A33" s="9"/>
      <c r="B33" s="10" t="str">
        <f aca="false">IF($A33="","",IFERROR(INDEX(tblAuftraege[Kostenstelle],MATCH($A33,tblAuftraege[Auftrag],0)),""))</f>
        <v/>
      </c>
      <c r="C33" s="10" t="str">
        <f aca="false">IF($A33="","",IFERROR(INDEX(tblAuftraege[Themenfeld],MATCH($A33,tblAuftraege[Auftrag],0)),""))</f>
        <v/>
      </c>
      <c r="D33" s="10" t="str">
        <f aca="false">IF($A33="","",IFERROR(INDEX(tblAuftraege[Kategorie],MATCH($A33,tblAuftraege[Auftrag],0)),""))</f>
        <v/>
      </c>
      <c r="E33" s="11" t="n">
        <f aca="false">IF($A33="",0,SUMIFS(tblAuftraege[Einnahmen],tblAuftraege[Datum Einnahmen],"&gt;="&amp;E$5,tblAuftraege[Datum Einnahmen],"&lt;"&amp;EDATE(E$5,1),tblAuftraege[Auftrag],$A33))</f>
        <v>0</v>
      </c>
      <c r="F33" s="11" t="n">
        <f aca="false">IF($A33="",0,SUMIFS(tblAuftraege[Einnahmen],tblAuftraege[Datum Einnahmen],"&gt;="&amp;F$5,tblAuftraege[Datum Einnahmen],"&lt;"&amp;EDATE(F$5,1),tblAuftraege[Auftrag],$A33))</f>
        <v>0</v>
      </c>
      <c r="G33" s="11" t="n">
        <f aca="false">IF($A33="",0,SUMIFS(tblAuftraege[Einnahmen],tblAuftraege[Datum Einnahmen],"&gt;="&amp;G$5,tblAuftraege[Datum Einnahmen],"&lt;"&amp;EDATE(G$5,1),tblAuftraege[Auftrag],$A33))</f>
        <v>0</v>
      </c>
      <c r="H33" s="11" t="n">
        <f aca="false">IF($A33="",0,SUMIFS(tblAuftraege[Einnahmen],tblAuftraege[Datum Einnahmen],"&gt;="&amp;H$5,tblAuftraege[Datum Einnahmen],"&lt;"&amp;EDATE(H$5,1),tblAuftraege[Auftrag],$A33))</f>
        <v>0</v>
      </c>
      <c r="I33" s="11" t="n">
        <f aca="false">IF($A33="",0,SUMIFS(tblAuftraege[Einnahmen],tblAuftraege[Datum Einnahmen],"&gt;="&amp;I$5,tblAuftraege[Datum Einnahmen],"&lt;"&amp;EDATE(I$5,1),tblAuftraege[Auftrag],$A33))</f>
        <v>0</v>
      </c>
      <c r="J33" s="11" t="n">
        <f aca="false">IF($A33="",0,SUMIFS(tblAuftraege[Einnahmen],tblAuftraege[Datum Einnahmen],"&gt;="&amp;J$5,tblAuftraege[Datum Einnahmen],"&lt;"&amp;EDATE(J$5,1),tblAuftraege[Auftrag],$A33))</f>
        <v>0</v>
      </c>
      <c r="K33" s="11" t="n">
        <f aca="false">IF($A33="",0,SUMIFS(tblAuftraege[Einnahmen],tblAuftraege[Datum Einnahmen],"&gt;="&amp;K$5,tblAuftraege[Datum Einnahmen],"&lt;"&amp;EDATE(K$5,1),tblAuftraege[Auftrag],$A33))</f>
        <v>0</v>
      </c>
      <c r="L33" s="11" t="n">
        <f aca="false">IF($A33="",0,SUMIFS(tblAuftraege[Einnahmen],tblAuftraege[Datum Einnahmen],"&gt;="&amp;L$5,tblAuftraege[Datum Einnahmen],"&lt;"&amp;EDATE(L$5,1),tblAuftraege[Auftrag],$A33))</f>
        <v>0</v>
      </c>
      <c r="M33" s="11" t="n">
        <f aca="false">IF($A33="",0,SUMIFS(tblAuftraege[Einnahmen],tblAuftraege[Datum Einnahmen],"&gt;="&amp;M$5,tblAuftraege[Datum Einnahmen],"&lt;"&amp;EDATE(M$5,1),tblAuftraege[Auftrag],$A33))</f>
        <v>0</v>
      </c>
      <c r="N33" s="11" t="n">
        <f aca="false">IF($A33="",0,SUMIFS(tblAuftraege[Einnahmen],tblAuftraege[Datum Einnahmen],"&gt;="&amp;N$5,tblAuftraege[Datum Einnahmen],"&lt;"&amp;EDATE(N$5,1),tblAuftraege[Auftrag],$A33))</f>
        <v>0</v>
      </c>
      <c r="O33" s="11" t="n">
        <f aca="false">IF($A33="",0,SUMIFS(tblAuftraege[Einnahmen],tblAuftraege[Datum Einnahmen],"&gt;="&amp;O$5,tblAuftraege[Datum Einnahmen],"&lt;"&amp;EDATE(O$5,1),tblAuftraege[Auftrag],$A33))</f>
        <v>0</v>
      </c>
      <c r="P33" s="11" t="n">
        <f aca="false">IF($A33="",0,SUMIFS(tblAuftraege[Einnahmen],tblAuftraege[Datum Einnahmen],"&gt;="&amp;P$5,tblAuftraege[Datum Einnahmen],"&lt;"&amp;EDATE(P$5,1),tblAuftraege[Auftrag],$A33))</f>
        <v>0</v>
      </c>
      <c r="Q33" s="11" t="n">
        <f aca="false">IF($A33="",0,SUMIFS(tblAuftraege[Einnahmen],tblAuftraege[Datum Einnahmen],"&gt;="&amp;Q$5,tblAuftraege[Datum Einnahmen],"&lt;"&amp;EDATE(Q$5,1),tblAuftraege[Auftrag],$A33))</f>
        <v>0</v>
      </c>
      <c r="R33" s="11" t="n">
        <f aca="false">IF($A33="",0,SUMIFS(tblAuftraege[Einnahmen],tblAuftraege[Datum Einnahmen],"&gt;="&amp;R$5,tblAuftraege[Datum Einnahmen],"&lt;"&amp;EDATE(R$5,1),tblAuftraege[Auftrag],$A33))</f>
        <v>0</v>
      </c>
      <c r="S33" s="11" t="n">
        <f aca="false">IF($A33="",0,SUMIFS(tblAuftraege[Einnahmen],tblAuftraege[Datum Einnahmen],"&gt;="&amp;S$5,tblAuftraege[Datum Einnahmen],"&lt;"&amp;EDATE(S$5,1),tblAuftraege[Auftrag],$A33))</f>
        <v>0</v>
      </c>
      <c r="T33" s="11" t="n">
        <f aca="false">IF($A33="",0,SUMIFS(tblAuftraege[Einnahmen],tblAuftraege[Datum Einnahmen],"&gt;="&amp;T$5,tblAuftraege[Datum Einnahmen],"&lt;"&amp;EDATE(T$5,1),tblAuftraege[Auftrag],$A33))</f>
        <v>0</v>
      </c>
      <c r="U33" s="11" t="n">
        <f aca="false">IF($A33="",0,SUMIFS(tblAuftraege[Einnahmen],tblAuftraege[Datum Einnahmen],"&gt;="&amp;U$5,tblAuftraege[Datum Einnahmen],"&lt;"&amp;EDATE(U$5,1),tblAuftraege[Auftrag],$A33))</f>
        <v>0</v>
      </c>
      <c r="V33" s="11" t="n">
        <f aca="false">IF($A33="",0,SUMIFS(tblAuftraege[Einnahmen],tblAuftraege[Datum Einnahmen],"&gt;="&amp;V$5,tblAuftraege[Datum Einnahmen],"&lt;"&amp;EDATE(V$5,1),tblAuftraege[Auftrag],$A33))</f>
        <v>0</v>
      </c>
      <c r="W33" s="11" t="n">
        <f aca="false">SUM(E33:J33)</f>
        <v>0</v>
      </c>
      <c r="X33" s="11" t="n">
        <f aca="false">SUM(K33:V33)</f>
        <v>0</v>
      </c>
      <c r="Y33" s="12" t="n">
        <f aca="false">SUM(E33:V33)</f>
        <v>0</v>
      </c>
    </row>
    <row r="34" customFormat="false" ht="15" hidden="false" customHeight="false" outlineLevel="0" collapsed="false">
      <c r="A34" s="9"/>
      <c r="B34" s="10" t="str">
        <f aca="false">IF($A34="","",IFERROR(INDEX(tblAuftraege[Kostenstelle],MATCH($A34,tblAuftraege[Auftrag],0)),""))</f>
        <v/>
      </c>
      <c r="C34" s="10" t="str">
        <f aca="false">IF($A34="","",IFERROR(INDEX(tblAuftraege[Themenfeld],MATCH($A34,tblAuftraege[Auftrag],0)),""))</f>
        <v/>
      </c>
      <c r="D34" s="10" t="str">
        <f aca="false">IF($A34="","",IFERROR(INDEX(tblAuftraege[Kategorie],MATCH($A34,tblAuftraege[Auftrag],0)),""))</f>
        <v/>
      </c>
      <c r="E34" s="11" t="n">
        <f aca="false">IF($A34="",0,SUMIFS(tblAuftraege[Einnahmen],tblAuftraege[Datum Einnahmen],"&gt;="&amp;E$5,tblAuftraege[Datum Einnahmen],"&lt;"&amp;EDATE(E$5,1),tblAuftraege[Auftrag],$A34))</f>
        <v>0</v>
      </c>
      <c r="F34" s="11" t="n">
        <f aca="false">IF($A34="",0,SUMIFS(tblAuftraege[Einnahmen],tblAuftraege[Datum Einnahmen],"&gt;="&amp;F$5,tblAuftraege[Datum Einnahmen],"&lt;"&amp;EDATE(F$5,1),tblAuftraege[Auftrag],$A34))</f>
        <v>0</v>
      </c>
      <c r="G34" s="11" t="n">
        <f aca="false">IF($A34="",0,SUMIFS(tblAuftraege[Einnahmen],tblAuftraege[Datum Einnahmen],"&gt;="&amp;G$5,tblAuftraege[Datum Einnahmen],"&lt;"&amp;EDATE(G$5,1),tblAuftraege[Auftrag],$A34))</f>
        <v>0</v>
      </c>
      <c r="H34" s="11" t="n">
        <f aca="false">IF($A34="",0,SUMIFS(tblAuftraege[Einnahmen],tblAuftraege[Datum Einnahmen],"&gt;="&amp;H$5,tblAuftraege[Datum Einnahmen],"&lt;"&amp;EDATE(H$5,1),tblAuftraege[Auftrag],$A34))</f>
        <v>0</v>
      </c>
      <c r="I34" s="11" t="n">
        <f aca="false">IF($A34="",0,SUMIFS(tblAuftraege[Einnahmen],tblAuftraege[Datum Einnahmen],"&gt;="&amp;I$5,tblAuftraege[Datum Einnahmen],"&lt;"&amp;EDATE(I$5,1),tblAuftraege[Auftrag],$A34))</f>
        <v>0</v>
      </c>
      <c r="J34" s="11" t="n">
        <f aca="false">IF($A34="",0,SUMIFS(tblAuftraege[Einnahmen],tblAuftraege[Datum Einnahmen],"&gt;="&amp;J$5,tblAuftraege[Datum Einnahmen],"&lt;"&amp;EDATE(J$5,1),tblAuftraege[Auftrag],$A34))</f>
        <v>0</v>
      </c>
      <c r="K34" s="11" t="n">
        <f aca="false">IF($A34="",0,SUMIFS(tblAuftraege[Einnahmen],tblAuftraege[Datum Einnahmen],"&gt;="&amp;K$5,tblAuftraege[Datum Einnahmen],"&lt;"&amp;EDATE(K$5,1),tblAuftraege[Auftrag],$A34))</f>
        <v>0</v>
      </c>
      <c r="L34" s="11" t="n">
        <f aca="false">IF($A34="",0,SUMIFS(tblAuftraege[Einnahmen],tblAuftraege[Datum Einnahmen],"&gt;="&amp;L$5,tblAuftraege[Datum Einnahmen],"&lt;"&amp;EDATE(L$5,1),tblAuftraege[Auftrag],$A34))</f>
        <v>0</v>
      </c>
      <c r="M34" s="11" t="n">
        <f aca="false">IF($A34="",0,SUMIFS(tblAuftraege[Einnahmen],tblAuftraege[Datum Einnahmen],"&gt;="&amp;M$5,tblAuftraege[Datum Einnahmen],"&lt;"&amp;EDATE(M$5,1),tblAuftraege[Auftrag],$A34))</f>
        <v>0</v>
      </c>
      <c r="N34" s="11" t="n">
        <f aca="false">IF($A34="",0,SUMIFS(tblAuftraege[Einnahmen],tblAuftraege[Datum Einnahmen],"&gt;="&amp;N$5,tblAuftraege[Datum Einnahmen],"&lt;"&amp;EDATE(N$5,1),tblAuftraege[Auftrag],$A34))</f>
        <v>0</v>
      </c>
      <c r="O34" s="11" t="n">
        <f aca="false">IF($A34="",0,SUMIFS(tblAuftraege[Einnahmen],tblAuftraege[Datum Einnahmen],"&gt;="&amp;O$5,tblAuftraege[Datum Einnahmen],"&lt;"&amp;EDATE(O$5,1),tblAuftraege[Auftrag],$A34))</f>
        <v>0</v>
      </c>
      <c r="P34" s="11" t="n">
        <f aca="false">IF($A34="",0,SUMIFS(tblAuftraege[Einnahmen],tblAuftraege[Datum Einnahmen],"&gt;="&amp;P$5,tblAuftraege[Datum Einnahmen],"&lt;"&amp;EDATE(P$5,1),tblAuftraege[Auftrag],$A34))</f>
        <v>0</v>
      </c>
      <c r="Q34" s="11" t="n">
        <f aca="false">IF($A34="",0,SUMIFS(tblAuftraege[Einnahmen],tblAuftraege[Datum Einnahmen],"&gt;="&amp;Q$5,tblAuftraege[Datum Einnahmen],"&lt;"&amp;EDATE(Q$5,1),tblAuftraege[Auftrag],$A34))</f>
        <v>0</v>
      </c>
      <c r="R34" s="11" t="n">
        <f aca="false">IF($A34="",0,SUMIFS(tblAuftraege[Einnahmen],tblAuftraege[Datum Einnahmen],"&gt;="&amp;R$5,tblAuftraege[Datum Einnahmen],"&lt;"&amp;EDATE(R$5,1),tblAuftraege[Auftrag],$A34))</f>
        <v>0</v>
      </c>
      <c r="S34" s="11" t="n">
        <f aca="false">IF($A34="",0,SUMIFS(tblAuftraege[Einnahmen],tblAuftraege[Datum Einnahmen],"&gt;="&amp;S$5,tblAuftraege[Datum Einnahmen],"&lt;"&amp;EDATE(S$5,1),tblAuftraege[Auftrag],$A34))</f>
        <v>0</v>
      </c>
      <c r="T34" s="11" t="n">
        <f aca="false">IF($A34="",0,SUMIFS(tblAuftraege[Einnahmen],tblAuftraege[Datum Einnahmen],"&gt;="&amp;T$5,tblAuftraege[Datum Einnahmen],"&lt;"&amp;EDATE(T$5,1),tblAuftraege[Auftrag],$A34))</f>
        <v>0</v>
      </c>
      <c r="U34" s="11" t="n">
        <f aca="false">IF($A34="",0,SUMIFS(tblAuftraege[Einnahmen],tblAuftraege[Datum Einnahmen],"&gt;="&amp;U$5,tblAuftraege[Datum Einnahmen],"&lt;"&amp;EDATE(U$5,1),tblAuftraege[Auftrag],$A34))</f>
        <v>0</v>
      </c>
      <c r="V34" s="11" t="n">
        <f aca="false">IF($A34="",0,SUMIFS(tblAuftraege[Einnahmen],tblAuftraege[Datum Einnahmen],"&gt;="&amp;V$5,tblAuftraege[Datum Einnahmen],"&lt;"&amp;EDATE(V$5,1),tblAuftraege[Auftrag],$A34))</f>
        <v>0</v>
      </c>
      <c r="W34" s="11" t="n">
        <f aca="false">SUM(E34:J34)</f>
        <v>0</v>
      </c>
      <c r="X34" s="11" t="n">
        <f aca="false">SUM(K34:V34)</f>
        <v>0</v>
      </c>
      <c r="Y34" s="12" t="n">
        <f aca="false">SUM(E34:V34)</f>
        <v>0</v>
      </c>
    </row>
    <row r="35" customFormat="false" ht="15" hidden="false" customHeight="false" outlineLevel="0" collapsed="false">
      <c r="A35" s="9"/>
      <c r="B35" s="10" t="str">
        <f aca="false">IF($A35="","",IFERROR(INDEX(tblAuftraege[Kostenstelle],MATCH($A35,tblAuftraege[Auftrag],0)),""))</f>
        <v/>
      </c>
      <c r="C35" s="10" t="str">
        <f aca="false">IF($A35="","",IFERROR(INDEX(tblAuftraege[Themenfeld],MATCH($A35,tblAuftraege[Auftrag],0)),""))</f>
        <v/>
      </c>
      <c r="D35" s="10" t="str">
        <f aca="false">IF($A35="","",IFERROR(INDEX(tblAuftraege[Kategorie],MATCH($A35,tblAuftraege[Auftrag],0)),""))</f>
        <v/>
      </c>
      <c r="E35" s="11" t="n">
        <f aca="false">IF($A35="",0,SUMIFS(tblAuftraege[Einnahmen],tblAuftraege[Datum Einnahmen],"&gt;="&amp;E$5,tblAuftraege[Datum Einnahmen],"&lt;"&amp;EDATE(E$5,1),tblAuftraege[Auftrag],$A35))</f>
        <v>0</v>
      </c>
      <c r="F35" s="11" t="n">
        <f aca="false">IF($A35="",0,SUMIFS(tblAuftraege[Einnahmen],tblAuftraege[Datum Einnahmen],"&gt;="&amp;F$5,tblAuftraege[Datum Einnahmen],"&lt;"&amp;EDATE(F$5,1),tblAuftraege[Auftrag],$A35))</f>
        <v>0</v>
      </c>
      <c r="G35" s="11" t="n">
        <f aca="false">IF($A35="",0,SUMIFS(tblAuftraege[Einnahmen],tblAuftraege[Datum Einnahmen],"&gt;="&amp;G$5,tblAuftraege[Datum Einnahmen],"&lt;"&amp;EDATE(G$5,1),tblAuftraege[Auftrag],$A35))</f>
        <v>0</v>
      </c>
      <c r="H35" s="11" t="n">
        <f aca="false">IF($A35="",0,SUMIFS(tblAuftraege[Einnahmen],tblAuftraege[Datum Einnahmen],"&gt;="&amp;H$5,tblAuftraege[Datum Einnahmen],"&lt;"&amp;EDATE(H$5,1),tblAuftraege[Auftrag],$A35))</f>
        <v>0</v>
      </c>
      <c r="I35" s="11" t="n">
        <f aca="false">IF($A35="",0,SUMIFS(tblAuftraege[Einnahmen],tblAuftraege[Datum Einnahmen],"&gt;="&amp;I$5,tblAuftraege[Datum Einnahmen],"&lt;"&amp;EDATE(I$5,1),tblAuftraege[Auftrag],$A35))</f>
        <v>0</v>
      </c>
      <c r="J35" s="11" t="n">
        <f aca="false">IF($A35="",0,SUMIFS(tblAuftraege[Einnahmen],tblAuftraege[Datum Einnahmen],"&gt;="&amp;J$5,tblAuftraege[Datum Einnahmen],"&lt;"&amp;EDATE(J$5,1),tblAuftraege[Auftrag],$A35))</f>
        <v>0</v>
      </c>
      <c r="K35" s="11" t="n">
        <f aca="false">IF($A35="",0,SUMIFS(tblAuftraege[Einnahmen],tblAuftraege[Datum Einnahmen],"&gt;="&amp;K$5,tblAuftraege[Datum Einnahmen],"&lt;"&amp;EDATE(K$5,1),tblAuftraege[Auftrag],$A35))</f>
        <v>0</v>
      </c>
      <c r="L35" s="11" t="n">
        <f aca="false">IF($A35="",0,SUMIFS(tblAuftraege[Einnahmen],tblAuftraege[Datum Einnahmen],"&gt;="&amp;L$5,tblAuftraege[Datum Einnahmen],"&lt;"&amp;EDATE(L$5,1),tblAuftraege[Auftrag],$A35))</f>
        <v>0</v>
      </c>
      <c r="M35" s="11" t="n">
        <f aca="false">IF($A35="",0,SUMIFS(tblAuftraege[Einnahmen],tblAuftraege[Datum Einnahmen],"&gt;="&amp;M$5,tblAuftraege[Datum Einnahmen],"&lt;"&amp;EDATE(M$5,1),tblAuftraege[Auftrag],$A35))</f>
        <v>0</v>
      </c>
      <c r="N35" s="11" t="n">
        <f aca="false">IF($A35="",0,SUMIFS(tblAuftraege[Einnahmen],tblAuftraege[Datum Einnahmen],"&gt;="&amp;N$5,tblAuftraege[Datum Einnahmen],"&lt;"&amp;EDATE(N$5,1),tblAuftraege[Auftrag],$A35))</f>
        <v>0</v>
      </c>
      <c r="O35" s="11" t="n">
        <f aca="false">IF($A35="",0,SUMIFS(tblAuftraege[Einnahmen],tblAuftraege[Datum Einnahmen],"&gt;="&amp;O$5,tblAuftraege[Datum Einnahmen],"&lt;"&amp;EDATE(O$5,1),tblAuftraege[Auftrag],$A35))</f>
        <v>0</v>
      </c>
      <c r="P35" s="11" t="n">
        <f aca="false">IF($A35="",0,SUMIFS(tblAuftraege[Einnahmen],tblAuftraege[Datum Einnahmen],"&gt;="&amp;P$5,tblAuftraege[Datum Einnahmen],"&lt;"&amp;EDATE(P$5,1),tblAuftraege[Auftrag],$A35))</f>
        <v>0</v>
      </c>
      <c r="Q35" s="11" t="n">
        <f aca="false">IF($A35="",0,SUMIFS(tblAuftraege[Einnahmen],tblAuftraege[Datum Einnahmen],"&gt;="&amp;Q$5,tblAuftraege[Datum Einnahmen],"&lt;"&amp;EDATE(Q$5,1),tblAuftraege[Auftrag],$A35))</f>
        <v>0</v>
      </c>
      <c r="R35" s="11" t="n">
        <f aca="false">IF($A35="",0,SUMIFS(tblAuftraege[Einnahmen],tblAuftraege[Datum Einnahmen],"&gt;="&amp;R$5,tblAuftraege[Datum Einnahmen],"&lt;"&amp;EDATE(R$5,1),tblAuftraege[Auftrag],$A35))</f>
        <v>0</v>
      </c>
      <c r="S35" s="11" t="n">
        <f aca="false">IF($A35="",0,SUMIFS(tblAuftraege[Einnahmen],tblAuftraege[Datum Einnahmen],"&gt;="&amp;S$5,tblAuftraege[Datum Einnahmen],"&lt;"&amp;EDATE(S$5,1),tblAuftraege[Auftrag],$A35))</f>
        <v>0</v>
      </c>
      <c r="T35" s="11" t="n">
        <f aca="false">IF($A35="",0,SUMIFS(tblAuftraege[Einnahmen],tblAuftraege[Datum Einnahmen],"&gt;="&amp;T$5,tblAuftraege[Datum Einnahmen],"&lt;"&amp;EDATE(T$5,1),tblAuftraege[Auftrag],$A35))</f>
        <v>0</v>
      </c>
      <c r="U35" s="11" t="n">
        <f aca="false">IF($A35="",0,SUMIFS(tblAuftraege[Einnahmen],tblAuftraege[Datum Einnahmen],"&gt;="&amp;U$5,tblAuftraege[Datum Einnahmen],"&lt;"&amp;EDATE(U$5,1),tblAuftraege[Auftrag],$A35))</f>
        <v>0</v>
      </c>
      <c r="V35" s="11" t="n">
        <f aca="false">IF($A35="",0,SUMIFS(tblAuftraege[Einnahmen],tblAuftraege[Datum Einnahmen],"&gt;="&amp;V$5,tblAuftraege[Datum Einnahmen],"&lt;"&amp;EDATE(V$5,1),tblAuftraege[Auftrag],$A35))</f>
        <v>0</v>
      </c>
      <c r="W35" s="11" t="n">
        <f aca="false">SUM(E35:J35)</f>
        <v>0</v>
      </c>
      <c r="X35" s="11" t="n">
        <f aca="false">SUM(K35:V35)</f>
        <v>0</v>
      </c>
      <c r="Y35" s="12" t="n">
        <f aca="false">SUM(E35:V35)</f>
        <v>0</v>
      </c>
    </row>
    <row r="36" customFormat="false" ht="15" hidden="false" customHeight="false" outlineLevel="0" collapsed="false">
      <c r="A36" s="9"/>
      <c r="B36" s="10" t="str">
        <f aca="false">IF($A36="","",IFERROR(INDEX(tblAuftraege[Kostenstelle],MATCH($A36,tblAuftraege[Auftrag],0)),""))</f>
        <v/>
      </c>
      <c r="C36" s="10" t="str">
        <f aca="false">IF($A36="","",IFERROR(INDEX(tblAuftraege[Themenfeld],MATCH($A36,tblAuftraege[Auftrag],0)),""))</f>
        <v/>
      </c>
      <c r="D36" s="10" t="str">
        <f aca="false">IF($A36="","",IFERROR(INDEX(tblAuftraege[Kategorie],MATCH($A36,tblAuftraege[Auftrag],0)),""))</f>
        <v/>
      </c>
      <c r="E36" s="11" t="n">
        <f aca="false">IF($A36="",0,SUMIFS(tblAuftraege[Einnahmen],tblAuftraege[Datum Einnahmen],"&gt;="&amp;E$5,tblAuftraege[Datum Einnahmen],"&lt;"&amp;EDATE(E$5,1),tblAuftraege[Auftrag],$A36))</f>
        <v>0</v>
      </c>
      <c r="F36" s="11" t="n">
        <f aca="false">IF($A36="",0,SUMIFS(tblAuftraege[Einnahmen],tblAuftraege[Datum Einnahmen],"&gt;="&amp;F$5,tblAuftraege[Datum Einnahmen],"&lt;"&amp;EDATE(F$5,1),tblAuftraege[Auftrag],$A36))</f>
        <v>0</v>
      </c>
      <c r="G36" s="11" t="n">
        <f aca="false">IF($A36="",0,SUMIFS(tblAuftraege[Einnahmen],tblAuftraege[Datum Einnahmen],"&gt;="&amp;G$5,tblAuftraege[Datum Einnahmen],"&lt;"&amp;EDATE(G$5,1),tblAuftraege[Auftrag],$A36))</f>
        <v>0</v>
      </c>
      <c r="H36" s="11" t="n">
        <f aca="false">IF($A36="",0,SUMIFS(tblAuftraege[Einnahmen],tblAuftraege[Datum Einnahmen],"&gt;="&amp;H$5,tblAuftraege[Datum Einnahmen],"&lt;"&amp;EDATE(H$5,1),tblAuftraege[Auftrag],$A36))</f>
        <v>0</v>
      </c>
      <c r="I36" s="11" t="n">
        <f aca="false">IF($A36="",0,SUMIFS(tblAuftraege[Einnahmen],tblAuftraege[Datum Einnahmen],"&gt;="&amp;I$5,tblAuftraege[Datum Einnahmen],"&lt;"&amp;EDATE(I$5,1),tblAuftraege[Auftrag],$A36))</f>
        <v>0</v>
      </c>
      <c r="J36" s="11" t="n">
        <f aca="false">IF($A36="",0,SUMIFS(tblAuftraege[Einnahmen],tblAuftraege[Datum Einnahmen],"&gt;="&amp;J$5,tblAuftraege[Datum Einnahmen],"&lt;"&amp;EDATE(J$5,1),tblAuftraege[Auftrag],$A36))</f>
        <v>0</v>
      </c>
      <c r="K36" s="11" t="n">
        <f aca="false">IF($A36="",0,SUMIFS(tblAuftraege[Einnahmen],tblAuftraege[Datum Einnahmen],"&gt;="&amp;K$5,tblAuftraege[Datum Einnahmen],"&lt;"&amp;EDATE(K$5,1),tblAuftraege[Auftrag],$A36))</f>
        <v>0</v>
      </c>
      <c r="L36" s="11" t="n">
        <f aca="false">IF($A36="",0,SUMIFS(tblAuftraege[Einnahmen],tblAuftraege[Datum Einnahmen],"&gt;="&amp;L$5,tblAuftraege[Datum Einnahmen],"&lt;"&amp;EDATE(L$5,1),tblAuftraege[Auftrag],$A36))</f>
        <v>0</v>
      </c>
      <c r="M36" s="11" t="n">
        <f aca="false">IF($A36="",0,SUMIFS(tblAuftraege[Einnahmen],tblAuftraege[Datum Einnahmen],"&gt;="&amp;M$5,tblAuftraege[Datum Einnahmen],"&lt;"&amp;EDATE(M$5,1),tblAuftraege[Auftrag],$A36))</f>
        <v>0</v>
      </c>
      <c r="N36" s="11" t="n">
        <f aca="false">IF($A36="",0,SUMIFS(tblAuftraege[Einnahmen],tblAuftraege[Datum Einnahmen],"&gt;="&amp;N$5,tblAuftraege[Datum Einnahmen],"&lt;"&amp;EDATE(N$5,1),tblAuftraege[Auftrag],$A36))</f>
        <v>0</v>
      </c>
      <c r="O36" s="11" t="n">
        <f aca="false">IF($A36="",0,SUMIFS(tblAuftraege[Einnahmen],tblAuftraege[Datum Einnahmen],"&gt;="&amp;O$5,tblAuftraege[Datum Einnahmen],"&lt;"&amp;EDATE(O$5,1),tblAuftraege[Auftrag],$A36))</f>
        <v>0</v>
      </c>
      <c r="P36" s="11" t="n">
        <f aca="false">IF($A36="",0,SUMIFS(tblAuftraege[Einnahmen],tblAuftraege[Datum Einnahmen],"&gt;="&amp;P$5,tblAuftraege[Datum Einnahmen],"&lt;"&amp;EDATE(P$5,1),tblAuftraege[Auftrag],$A36))</f>
        <v>0</v>
      </c>
      <c r="Q36" s="11" t="n">
        <f aca="false">IF($A36="",0,SUMIFS(tblAuftraege[Einnahmen],tblAuftraege[Datum Einnahmen],"&gt;="&amp;Q$5,tblAuftraege[Datum Einnahmen],"&lt;"&amp;EDATE(Q$5,1),tblAuftraege[Auftrag],$A36))</f>
        <v>0</v>
      </c>
      <c r="R36" s="11" t="n">
        <f aca="false">IF($A36="",0,SUMIFS(tblAuftraege[Einnahmen],tblAuftraege[Datum Einnahmen],"&gt;="&amp;R$5,tblAuftraege[Datum Einnahmen],"&lt;"&amp;EDATE(R$5,1),tblAuftraege[Auftrag],$A36))</f>
        <v>0</v>
      </c>
      <c r="S36" s="11" t="n">
        <f aca="false">IF($A36="",0,SUMIFS(tblAuftraege[Einnahmen],tblAuftraege[Datum Einnahmen],"&gt;="&amp;S$5,tblAuftraege[Datum Einnahmen],"&lt;"&amp;EDATE(S$5,1),tblAuftraege[Auftrag],$A36))</f>
        <v>0</v>
      </c>
      <c r="T36" s="11" t="n">
        <f aca="false">IF($A36="",0,SUMIFS(tblAuftraege[Einnahmen],tblAuftraege[Datum Einnahmen],"&gt;="&amp;T$5,tblAuftraege[Datum Einnahmen],"&lt;"&amp;EDATE(T$5,1),tblAuftraege[Auftrag],$A36))</f>
        <v>0</v>
      </c>
      <c r="U36" s="11" t="n">
        <f aca="false">IF($A36="",0,SUMIFS(tblAuftraege[Einnahmen],tblAuftraege[Datum Einnahmen],"&gt;="&amp;U$5,tblAuftraege[Datum Einnahmen],"&lt;"&amp;EDATE(U$5,1),tblAuftraege[Auftrag],$A36))</f>
        <v>0</v>
      </c>
      <c r="V36" s="11" t="n">
        <f aca="false">IF($A36="",0,SUMIFS(tblAuftraege[Einnahmen],tblAuftraege[Datum Einnahmen],"&gt;="&amp;V$5,tblAuftraege[Datum Einnahmen],"&lt;"&amp;EDATE(V$5,1),tblAuftraege[Auftrag],$A36))</f>
        <v>0</v>
      </c>
      <c r="W36" s="11" t="n">
        <f aca="false">SUM(E36:J36)</f>
        <v>0</v>
      </c>
      <c r="X36" s="11" t="n">
        <f aca="false">SUM(K36:V36)</f>
        <v>0</v>
      </c>
      <c r="Y36" s="12" t="n">
        <f aca="false">SUM(E36:V36)</f>
        <v>0</v>
      </c>
    </row>
    <row r="37" customFormat="false" ht="15" hidden="false" customHeight="false" outlineLevel="0" collapsed="false">
      <c r="A37" s="9"/>
      <c r="B37" s="10" t="str">
        <f aca="false">IF($A37="","",IFERROR(INDEX(tblAuftraege[Kostenstelle],MATCH($A37,tblAuftraege[Auftrag],0)),""))</f>
        <v/>
      </c>
      <c r="C37" s="10" t="str">
        <f aca="false">IF($A37="","",IFERROR(INDEX(tblAuftraege[Themenfeld],MATCH($A37,tblAuftraege[Auftrag],0)),""))</f>
        <v/>
      </c>
      <c r="D37" s="10" t="str">
        <f aca="false">IF($A37="","",IFERROR(INDEX(tblAuftraege[Kategorie],MATCH($A37,tblAuftraege[Auftrag],0)),""))</f>
        <v/>
      </c>
      <c r="E37" s="11" t="n">
        <f aca="false">IF($A37="",0,SUMIFS(tblAuftraege[Einnahmen],tblAuftraege[Datum Einnahmen],"&gt;="&amp;E$5,tblAuftraege[Datum Einnahmen],"&lt;"&amp;EDATE(E$5,1),tblAuftraege[Auftrag],$A37))</f>
        <v>0</v>
      </c>
      <c r="F37" s="11" t="n">
        <f aca="false">IF($A37="",0,SUMIFS(tblAuftraege[Einnahmen],tblAuftraege[Datum Einnahmen],"&gt;="&amp;F$5,tblAuftraege[Datum Einnahmen],"&lt;"&amp;EDATE(F$5,1),tblAuftraege[Auftrag],$A37))</f>
        <v>0</v>
      </c>
      <c r="G37" s="11" t="n">
        <f aca="false">IF($A37="",0,SUMIFS(tblAuftraege[Einnahmen],tblAuftraege[Datum Einnahmen],"&gt;="&amp;G$5,tblAuftraege[Datum Einnahmen],"&lt;"&amp;EDATE(G$5,1),tblAuftraege[Auftrag],$A37))</f>
        <v>0</v>
      </c>
      <c r="H37" s="11" t="n">
        <f aca="false">IF($A37="",0,SUMIFS(tblAuftraege[Einnahmen],tblAuftraege[Datum Einnahmen],"&gt;="&amp;H$5,tblAuftraege[Datum Einnahmen],"&lt;"&amp;EDATE(H$5,1),tblAuftraege[Auftrag],$A37))</f>
        <v>0</v>
      </c>
      <c r="I37" s="11" t="n">
        <f aca="false">IF($A37="",0,SUMIFS(tblAuftraege[Einnahmen],tblAuftraege[Datum Einnahmen],"&gt;="&amp;I$5,tblAuftraege[Datum Einnahmen],"&lt;"&amp;EDATE(I$5,1),tblAuftraege[Auftrag],$A37))</f>
        <v>0</v>
      </c>
      <c r="J37" s="11" t="n">
        <f aca="false">IF($A37="",0,SUMIFS(tblAuftraege[Einnahmen],tblAuftraege[Datum Einnahmen],"&gt;="&amp;J$5,tblAuftraege[Datum Einnahmen],"&lt;"&amp;EDATE(J$5,1),tblAuftraege[Auftrag],$A37))</f>
        <v>0</v>
      </c>
      <c r="K37" s="11" t="n">
        <f aca="false">IF($A37="",0,SUMIFS(tblAuftraege[Einnahmen],tblAuftraege[Datum Einnahmen],"&gt;="&amp;K$5,tblAuftraege[Datum Einnahmen],"&lt;"&amp;EDATE(K$5,1),tblAuftraege[Auftrag],$A37))</f>
        <v>0</v>
      </c>
      <c r="L37" s="11" t="n">
        <f aca="false">IF($A37="",0,SUMIFS(tblAuftraege[Einnahmen],tblAuftraege[Datum Einnahmen],"&gt;="&amp;L$5,tblAuftraege[Datum Einnahmen],"&lt;"&amp;EDATE(L$5,1),tblAuftraege[Auftrag],$A37))</f>
        <v>0</v>
      </c>
      <c r="M37" s="11" t="n">
        <f aca="false">IF($A37="",0,SUMIFS(tblAuftraege[Einnahmen],tblAuftraege[Datum Einnahmen],"&gt;="&amp;M$5,tblAuftraege[Datum Einnahmen],"&lt;"&amp;EDATE(M$5,1),tblAuftraege[Auftrag],$A37))</f>
        <v>0</v>
      </c>
      <c r="N37" s="11" t="n">
        <f aca="false">IF($A37="",0,SUMIFS(tblAuftraege[Einnahmen],tblAuftraege[Datum Einnahmen],"&gt;="&amp;N$5,tblAuftraege[Datum Einnahmen],"&lt;"&amp;EDATE(N$5,1),tblAuftraege[Auftrag],$A37))</f>
        <v>0</v>
      </c>
      <c r="O37" s="11" t="n">
        <f aca="false">IF($A37="",0,SUMIFS(tblAuftraege[Einnahmen],tblAuftraege[Datum Einnahmen],"&gt;="&amp;O$5,tblAuftraege[Datum Einnahmen],"&lt;"&amp;EDATE(O$5,1),tblAuftraege[Auftrag],$A37))</f>
        <v>0</v>
      </c>
      <c r="P37" s="11" t="n">
        <f aca="false">IF($A37="",0,SUMIFS(tblAuftraege[Einnahmen],tblAuftraege[Datum Einnahmen],"&gt;="&amp;P$5,tblAuftraege[Datum Einnahmen],"&lt;"&amp;EDATE(P$5,1),tblAuftraege[Auftrag],$A37))</f>
        <v>0</v>
      </c>
      <c r="Q37" s="11" t="n">
        <f aca="false">IF($A37="",0,SUMIFS(tblAuftraege[Einnahmen],tblAuftraege[Datum Einnahmen],"&gt;="&amp;Q$5,tblAuftraege[Datum Einnahmen],"&lt;"&amp;EDATE(Q$5,1),tblAuftraege[Auftrag],$A37))</f>
        <v>0</v>
      </c>
      <c r="R37" s="11" t="n">
        <f aca="false">IF($A37="",0,SUMIFS(tblAuftraege[Einnahmen],tblAuftraege[Datum Einnahmen],"&gt;="&amp;R$5,tblAuftraege[Datum Einnahmen],"&lt;"&amp;EDATE(R$5,1),tblAuftraege[Auftrag],$A37))</f>
        <v>0</v>
      </c>
      <c r="S37" s="11" t="n">
        <f aca="false">IF($A37="",0,SUMIFS(tblAuftraege[Einnahmen],tblAuftraege[Datum Einnahmen],"&gt;="&amp;S$5,tblAuftraege[Datum Einnahmen],"&lt;"&amp;EDATE(S$5,1),tblAuftraege[Auftrag],$A37))</f>
        <v>0</v>
      </c>
      <c r="T37" s="11" t="n">
        <f aca="false">IF($A37="",0,SUMIFS(tblAuftraege[Einnahmen],tblAuftraege[Datum Einnahmen],"&gt;="&amp;T$5,tblAuftraege[Datum Einnahmen],"&lt;"&amp;EDATE(T$5,1),tblAuftraege[Auftrag],$A37))</f>
        <v>0</v>
      </c>
      <c r="U37" s="11" t="n">
        <f aca="false">IF($A37="",0,SUMIFS(tblAuftraege[Einnahmen],tblAuftraege[Datum Einnahmen],"&gt;="&amp;U$5,tblAuftraege[Datum Einnahmen],"&lt;"&amp;EDATE(U$5,1),tblAuftraege[Auftrag],$A37))</f>
        <v>0</v>
      </c>
      <c r="V37" s="11" t="n">
        <f aca="false">IF($A37="",0,SUMIFS(tblAuftraege[Einnahmen],tblAuftraege[Datum Einnahmen],"&gt;="&amp;V$5,tblAuftraege[Datum Einnahmen],"&lt;"&amp;EDATE(V$5,1),tblAuftraege[Auftrag],$A37))</f>
        <v>0</v>
      </c>
      <c r="W37" s="11" t="n">
        <f aca="false">SUM(E37:J37)</f>
        <v>0</v>
      </c>
      <c r="X37" s="11" t="n">
        <f aca="false">SUM(K37:V37)</f>
        <v>0</v>
      </c>
      <c r="Y37" s="12" t="n">
        <f aca="false">SUM(E37:V37)</f>
        <v>0</v>
      </c>
    </row>
    <row r="38" customFormat="false" ht="15" hidden="false" customHeight="false" outlineLevel="0" collapsed="false">
      <c r="A38" s="9"/>
      <c r="B38" s="10" t="str">
        <f aca="false">IF($A38="","",IFERROR(INDEX(tblAuftraege[Kostenstelle],MATCH($A38,tblAuftraege[Auftrag],0)),""))</f>
        <v/>
      </c>
      <c r="C38" s="10" t="str">
        <f aca="false">IF($A38="","",IFERROR(INDEX(tblAuftraege[Themenfeld],MATCH($A38,tblAuftraege[Auftrag],0)),""))</f>
        <v/>
      </c>
      <c r="D38" s="10" t="str">
        <f aca="false">IF($A38="","",IFERROR(INDEX(tblAuftraege[Kategorie],MATCH($A38,tblAuftraege[Auftrag],0)),""))</f>
        <v/>
      </c>
      <c r="E38" s="11" t="n">
        <f aca="false">IF($A38="",0,SUMIFS(tblAuftraege[Einnahmen],tblAuftraege[Datum Einnahmen],"&gt;="&amp;E$5,tblAuftraege[Datum Einnahmen],"&lt;"&amp;EDATE(E$5,1),tblAuftraege[Auftrag],$A38))</f>
        <v>0</v>
      </c>
      <c r="F38" s="11" t="n">
        <f aca="false">IF($A38="",0,SUMIFS(tblAuftraege[Einnahmen],tblAuftraege[Datum Einnahmen],"&gt;="&amp;F$5,tblAuftraege[Datum Einnahmen],"&lt;"&amp;EDATE(F$5,1),tblAuftraege[Auftrag],$A38))</f>
        <v>0</v>
      </c>
      <c r="G38" s="11" t="n">
        <f aca="false">IF($A38="",0,SUMIFS(tblAuftraege[Einnahmen],tblAuftraege[Datum Einnahmen],"&gt;="&amp;G$5,tblAuftraege[Datum Einnahmen],"&lt;"&amp;EDATE(G$5,1),tblAuftraege[Auftrag],$A38))</f>
        <v>0</v>
      </c>
      <c r="H38" s="11" t="n">
        <f aca="false">IF($A38="",0,SUMIFS(tblAuftraege[Einnahmen],tblAuftraege[Datum Einnahmen],"&gt;="&amp;H$5,tblAuftraege[Datum Einnahmen],"&lt;"&amp;EDATE(H$5,1),tblAuftraege[Auftrag],$A38))</f>
        <v>0</v>
      </c>
      <c r="I38" s="11" t="n">
        <f aca="false">IF($A38="",0,SUMIFS(tblAuftraege[Einnahmen],tblAuftraege[Datum Einnahmen],"&gt;="&amp;I$5,tblAuftraege[Datum Einnahmen],"&lt;"&amp;EDATE(I$5,1),tblAuftraege[Auftrag],$A38))</f>
        <v>0</v>
      </c>
      <c r="J38" s="11" t="n">
        <f aca="false">IF($A38="",0,SUMIFS(tblAuftraege[Einnahmen],tblAuftraege[Datum Einnahmen],"&gt;="&amp;J$5,tblAuftraege[Datum Einnahmen],"&lt;"&amp;EDATE(J$5,1),tblAuftraege[Auftrag],$A38))</f>
        <v>0</v>
      </c>
      <c r="K38" s="11" t="n">
        <f aca="false">IF($A38="",0,SUMIFS(tblAuftraege[Einnahmen],tblAuftraege[Datum Einnahmen],"&gt;="&amp;K$5,tblAuftraege[Datum Einnahmen],"&lt;"&amp;EDATE(K$5,1),tblAuftraege[Auftrag],$A38))</f>
        <v>0</v>
      </c>
      <c r="L38" s="11" t="n">
        <f aca="false">IF($A38="",0,SUMIFS(tblAuftraege[Einnahmen],tblAuftraege[Datum Einnahmen],"&gt;="&amp;L$5,tblAuftraege[Datum Einnahmen],"&lt;"&amp;EDATE(L$5,1),tblAuftraege[Auftrag],$A38))</f>
        <v>0</v>
      </c>
      <c r="M38" s="11" t="n">
        <f aca="false">IF($A38="",0,SUMIFS(tblAuftraege[Einnahmen],tblAuftraege[Datum Einnahmen],"&gt;="&amp;M$5,tblAuftraege[Datum Einnahmen],"&lt;"&amp;EDATE(M$5,1),tblAuftraege[Auftrag],$A38))</f>
        <v>0</v>
      </c>
      <c r="N38" s="11" t="n">
        <f aca="false">IF($A38="",0,SUMIFS(tblAuftraege[Einnahmen],tblAuftraege[Datum Einnahmen],"&gt;="&amp;N$5,tblAuftraege[Datum Einnahmen],"&lt;"&amp;EDATE(N$5,1),tblAuftraege[Auftrag],$A38))</f>
        <v>0</v>
      </c>
      <c r="O38" s="11" t="n">
        <f aca="false">IF($A38="",0,SUMIFS(tblAuftraege[Einnahmen],tblAuftraege[Datum Einnahmen],"&gt;="&amp;O$5,tblAuftraege[Datum Einnahmen],"&lt;"&amp;EDATE(O$5,1),tblAuftraege[Auftrag],$A38))</f>
        <v>0</v>
      </c>
      <c r="P38" s="11" t="n">
        <f aca="false">IF($A38="",0,SUMIFS(tblAuftraege[Einnahmen],tblAuftraege[Datum Einnahmen],"&gt;="&amp;P$5,tblAuftraege[Datum Einnahmen],"&lt;"&amp;EDATE(P$5,1),tblAuftraege[Auftrag],$A38))</f>
        <v>0</v>
      </c>
      <c r="Q38" s="11" t="n">
        <f aca="false">IF($A38="",0,SUMIFS(tblAuftraege[Einnahmen],tblAuftraege[Datum Einnahmen],"&gt;="&amp;Q$5,tblAuftraege[Datum Einnahmen],"&lt;"&amp;EDATE(Q$5,1),tblAuftraege[Auftrag],$A38))</f>
        <v>0</v>
      </c>
      <c r="R38" s="11" t="n">
        <f aca="false">IF($A38="",0,SUMIFS(tblAuftraege[Einnahmen],tblAuftraege[Datum Einnahmen],"&gt;="&amp;R$5,tblAuftraege[Datum Einnahmen],"&lt;"&amp;EDATE(R$5,1),tblAuftraege[Auftrag],$A38))</f>
        <v>0</v>
      </c>
      <c r="S38" s="11" t="n">
        <f aca="false">IF($A38="",0,SUMIFS(tblAuftraege[Einnahmen],tblAuftraege[Datum Einnahmen],"&gt;="&amp;S$5,tblAuftraege[Datum Einnahmen],"&lt;"&amp;EDATE(S$5,1),tblAuftraege[Auftrag],$A38))</f>
        <v>0</v>
      </c>
      <c r="T38" s="11" t="n">
        <f aca="false">IF($A38="",0,SUMIFS(tblAuftraege[Einnahmen],tblAuftraege[Datum Einnahmen],"&gt;="&amp;T$5,tblAuftraege[Datum Einnahmen],"&lt;"&amp;EDATE(T$5,1),tblAuftraege[Auftrag],$A38))</f>
        <v>0</v>
      </c>
      <c r="U38" s="11" t="n">
        <f aca="false">IF($A38="",0,SUMIFS(tblAuftraege[Einnahmen],tblAuftraege[Datum Einnahmen],"&gt;="&amp;U$5,tblAuftraege[Datum Einnahmen],"&lt;"&amp;EDATE(U$5,1),tblAuftraege[Auftrag],$A38))</f>
        <v>0</v>
      </c>
      <c r="V38" s="11" t="n">
        <f aca="false">IF($A38="",0,SUMIFS(tblAuftraege[Einnahmen],tblAuftraege[Datum Einnahmen],"&gt;="&amp;V$5,tblAuftraege[Datum Einnahmen],"&lt;"&amp;EDATE(V$5,1),tblAuftraege[Auftrag],$A38))</f>
        <v>0</v>
      </c>
      <c r="W38" s="11" t="n">
        <f aca="false">SUM(E38:J38)</f>
        <v>0</v>
      </c>
      <c r="X38" s="11" t="n">
        <f aca="false">SUM(K38:V38)</f>
        <v>0</v>
      </c>
      <c r="Y38" s="12" t="n">
        <f aca="false">SUM(E38:V38)</f>
        <v>0</v>
      </c>
    </row>
    <row r="39" customFormat="false" ht="15" hidden="false" customHeight="false" outlineLevel="0" collapsed="false">
      <c r="A39" s="9"/>
      <c r="B39" s="10" t="str">
        <f aca="false">IF($A39="","",IFERROR(INDEX(tblAuftraege[Kostenstelle],MATCH($A39,tblAuftraege[Auftrag],0)),""))</f>
        <v/>
      </c>
      <c r="C39" s="10" t="str">
        <f aca="false">IF($A39="","",IFERROR(INDEX(tblAuftraege[Themenfeld],MATCH($A39,tblAuftraege[Auftrag],0)),""))</f>
        <v/>
      </c>
      <c r="D39" s="10" t="str">
        <f aca="false">IF($A39="","",IFERROR(INDEX(tblAuftraege[Kategorie],MATCH($A39,tblAuftraege[Auftrag],0)),""))</f>
        <v/>
      </c>
      <c r="E39" s="11" t="n">
        <f aca="false">IF($A39="",0,SUMIFS(tblAuftraege[Einnahmen],tblAuftraege[Datum Einnahmen],"&gt;="&amp;E$5,tblAuftraege[Datum Einnahmen],"&lt;"&amp;EDATE(E$5,1),tblAuftraege[Auftrag],$A39))</f>
        <v>0</v>
      </c>
      <c r="F39" s="11" t="n">
        <f aca="false">IF($A39="",0,SUMIFS(tblAuftraege[Einnahmen],tblAuftraege[Datum Einnahmen],"&gt;="&amp;F$5,tblAuftraege[Datum Einnahmen],"&lt;"&amp;EDATE(F$5,1),tblAuftraege[Auftrag],$A39))</f>
        <v>0</v>
      </c>
      <c r="G39" s="11" t="n">
        <f aca="false">IF($A39="",0,SUMIFS(tblAuftraege[Einnahmen],tblAuftraege[Datum Einnahmen],"&gt;="&amp;G$5,tblAuftraege[Datum Einnahmen],"&lt;"&amp;EDATE(G$5,1),tblAuftraege[Auftrag],$A39))</f>
        <v>0</v>
      </c>
      <c r="H39" s="11" t="n">
        <f aca="false">IF($A39="",0,SUMIFS(tblAuftraege[Einnahmen],tblAuftraege[Datum Einnahmen],"&gt;="&amp;H$5,tblAuftraege[Datum Einnahmen],"&lt;"&amp;EDATE(H$5,1),tblAuftraege[Auftrag],$A39))</f>
        <v>0</v>
      </c>
      <c r="I39" s="11" t="n">
        <f aca="false">IF($A39="",0,SUMIFS(tblAuftraege[Einnahmen],tblAuftraege[Datum Einnahmen],"&gt;="&amp;I$5,tblAuftraege[Datum Einnahmen],"&lt;"&amp;EDATE(I$5,1),tblAuftraege[Auftrag],$A39))</f>
        <v>0</v>
      </c>
      <c r="J39" s="11" t="n">
        <f aca="false">IF($A39="",0,SUMIFS(tblAuftraege[Einnahmen],tblAuftraege[Datum Einnahmen],"&gt;="&amp;J$5,tblAuftraege[Datum Einnahmen],"&lt;"&amp;EDATE(J$5,1),tblAuftraege[Auftrag],$A39))</f>
        <v>0</v>
      </c>
      <c r="K39" s="11" t="n">
        <f aca="false">IF($A39="",0,SUMIFS(tblAuftraege[Einnahmen],tblAuftraege[Datum Einnahmen],"&gt;="&amp;K$5,tblAuftraege[Datum Einnahmen],"&lt;"&amp;EDATE(K$5,1),tblAuftraege[Auftrag],$A39))</f>
        <v>0</v>
      </c>
      <c r="L39" s="11" t="n">
        <f aca="false">IF($A39="",0,SUMIFS(tblAuftraege[Einnahmen],tblAuftraege[Datum Einnahmen],"&gt;="&amp;L$5,tblAuftraege[Datum Einnahmen],"&lt;"&amp;EDATE(L$5,1),tblAuftraege[Auftrag],$A39))</f>
        <v>0</v>
      </c>
      <c r="M39" s="11" t="n">
        <f aca="false">IF($A39="",0,SUMIFS(tblAuftraege[Einnahmen],tblAuftraege[Datum Einnahmen],"&gt;="&amp;M$5,tblAuftraege[Datum Einnahmen],"&lt;"&amp;EDATE(M$5,1),tblAuftraege[Auftrag],$A39))</f>
        <v>0</v>
      </c>
      <c r="N39" s="11" t="n">
        <f aca="false">IF($A39="",0,SUMIFS(tblAuftraege[Einnahmen],tblAuftraege[Datum Einnahmen],"&gt;="&amp;N$5,tblAuftraege[Datum Einnahmen],"&lt;"&amp;EDATE(N$5,1),tblAuftraege[Auftrag],$A39))</f>
        <v>0</v>
      </c>
      <c r="O39" s="11" t="n">
        <f aca="false">IF($A39="",0,SUMIFS(tblAuftraege[Einnahmen],tblAuftraege[Datum Einnahmen],"&gt;="&amp;O$5,tblAuftraege[Datum Einnahmen],"&lt;"&amp;EDATE(O$5,1),tblAuftraege[Auftrag],$A39))</f>
        <v>0</v>
      </c>
      <c r="P39" s="11" t="n">
        <f aca="false">IF($A39="",0,SUMIFS(tblAuftraege[Einnahmen],tblAuftraege[Datum Einnahmen],"&gt;="&amp;P$5,tblAuftraege[Datum Einnahmen],"&lt;"&amp;EDATE(P$5,1),tblAuftraege[Auftrag],$A39))</f>
        <v>0</v>
      </c>
      <c r="Q39" s="11" t="n">
        <f aca="false">IF($A39="",0,SUMIFS(tblAuftraege[Einnahmen],tblAuftraege[Datum Einnahmen],"&gt;="&amp;Q$5,tblAuftraege[Datum Einnahmen],"&lt;"&amp;EDATE(Q$5,1),tblAuftraege[Auftrag],$A39))</f>
        <v>0</v>
      </c>
      <c r="R39" s="11" t="n">
        <f aca="false">IF($A39="",0,SUMIFS(tblAuftraege[Einnahmen],tblAuftraege[Datum Einnahmen],"&gt;="&amp;R$5,tblAuftraege[Datum Einnahmen],"&lt;"&amp;EDATE(R$5,1),tblAuftraege[Auftrag],$A39))</f>
        <v>0</v>
      </c>
      <c r="S39" s="11" t="n">
        <f aca="false">IF($A39="",0,SUMIFS(tblAuftraege[Einnahmen],tblAuftraege[Datum Einnahmen],"&gt;="&amp;S$5,tblAuftraege[Datum Einnahmen],"&lt;"&amp;EDATE(S$5,1),tblAuftraege[Auftrag],$A39))</f>
        <v>0</v>
      </c>
      <c r="T39" s="11" t="n">
        <f aca="false">IF($A39="",0,SUMIFS(tblAuftraege[Einnahmen],tblAuftraege[Datum Einnahmen],"&gt;="&amp;T$5,tblAuftraege[Datum Einnahmen],"&lt;"&amp;EDATE(T$5,1),tblAuftraege[Auftrag],$A39))</f>
        <v>0</v>
      </c>
      <c r="U39" s="11" t="n">
        <f aca="false">IF($A39="",0,SUMIFS(tblAuftraege[Einnahmen],tblAuftraege[Datum Einnahmen],"&gt;="&amp;U$5,tblAuftraege[Datum Einnahmen],"&lt;"&amp;EDATE(U$5,1),tblAuftraege[Auftrag],$A39))</f>
        <v>0</v>
      </c>
      <c r="V39" s="11" t="n">
        <f aca="false">IF($A39="",0,SUMIFS(tblAuftraege[Einnahmen],tblAuftraege[Datum Einnahmen],"&gt;="&amp;V$5,tblAuftraege[Datum Einnahmen],"&lt;"&amp;EDATE(V$5,1),tblAuftraege[Auftrag],$A39))</f>
        <v>0</v>
      </c>
      <c r="W39" s="11" t="n">
        <f aca="false">SUM(E39:J39)</f>
        <v>0</v>
      </c>
      <c r="X39" s="11" t="n">
        <f aca="false">SUM(K39:V39)</f>
        <v>0</v>
      </c>
      <c r="Y39" s="12" t="n">
        <f aca="false">SUM(E39:V39)</f>
        <v>0</v>
      </c>
    </row>
    <row r="40" customFormat="false" ht="15" hidden="false" customHeight="false" outlineLevel="0" collapsed="false">
      <c r="A40" s="9"/>
      <c r="B40" s="10" t="str">
        <f aca="false">IF($A40="","",IFERROR(INDEX(tblAuftraege[Kostenstelle],MATCH($A40,tblAuftraege[Auftrag],0)),""))</f>
        <v/>
      </c>
      <c r="C40" s="10" t="str">
        <f aca="false">IF($A40="","",IFERROR(INDEX(tblAuftraege[Themenfeld],MATCH($A40,tblAuftraege[Auftrag],0)),""))</f>
        <v/>
      </c>
      <c r="D40" s="10" t="str">
        <f aca="false">IF($A40="","",IFERROR(INDEX(tblAuftraege[Kategorie],MATCH($A40,tblAuftraege[Auftrag],0)),""))</f>
        <v/>
      </c>
      <c r="E40" s="11" t="n">
        <f aca="false">IF($A40="",0,SUMIFS(tblAuftraege[Einnahmen],tblAuftraege[Datum Einnahmen],"&gt;="&amp;E$5,tblAuftraege[Datum Einnahmen],"&lt;"&amp;EDATE(E$5,1),tblAuftraege[Auftrag],$A40))</f>
        <v>0</v>
      </c>
      <c r="F40" s="11" t="n">
        <f aca="false">IF($A40="",0,SUMIFS(tblAuftraege[Einnahmen],tblAuftraege[Datum Einnahmen],"&gt;="&amp;F$5,tblAuftraege[Datum Einnahmen],"&lt;"&amp;EDATE(F$5,1),tblAuftraege[Auftrag],$A40))</f>
        <v>0</v>
      </c>
      <c r="G40" s="11" t="n">
        <f aca="false">IF($A40="",0,SUMIFS(tblAuftraege[Einnahmen],tblAuftraege[Datum Einnahmen],"&gt;="&amp;G$5,tblAuftraege[Datum Einnahmen],"&lt;"&amp;EDATE(G$5,1),tblAuftraege[Auftrag],$A40))</f>
        <v>0</v>
      </c>
      <c r="H40" s="11" t="n">
        <f aca="false">IF($A40="",0,SUMIFS(tblAuftraege[Einnahmen],tblAuftraege[Datum Einnahmen],"&gt;="&amp;H$5,tblAuftraege[Datum Einnahmen],"&lt;"&amp;EDATE(H$5,1),tblAuftraege[Auftrag],$A40))</f>
        <v>0</v>
      </c>
      <c r="I40" s="11" t="n">
        <f aca="false">IF($A40="",0,SUMIFS(tblAuftraege[Einnahmen],tblAuftraege[Datum Einnahmen],"&gt;="&amp;I$5,tblAuftraege[Datum Einnahmen],"&lt;"&amp;EDATE(I$5,1),tblAuftraege[Auftrag],$A40))</f>
        <v>0</v>
      </c>
      <c r="J40" s="11" t="n">
        <f aca="false">IF($A40="",0,SUMIFS(tblAuftraege[Einnahmen],tblAuftraege[Datum Einnahmen],"&gt;="&amp;J$5,tblAuftraege[Datum Einnahmen],"&lt;"&amp;EDATE(J$5,1),tblAuftraege[Auftrag],$A40))</f>
        <v>0</v>
      </c>
      <c r="K40" s="11" t="n">
        <f aca="false">IF($A40="",0,SUMIFS(tblAuftraege[Einnahmen],tblAuftraege[Datum Einnahmen],"&gt;="&amp;K$5,tblAuftraege[Datum Einnahmen],"&lt;"&amp;EDATE(K$5,1),tblAuftraege[Auftrag],$A40))</f>
        <v>0</v>
      </c>
      <c r="L40" s="11" t="n">
        <f aca="false">IF($A40="",0,SUMIFS(tblAuftraege[Einnahmen],tblAuftraege[Datum Einnahmen],"&gt;="&amp;L$5,tblAuftraege[Datum Einnahmen],"&lt;"&amp;EDATE(L$5,1),tblAuftraege[Auftrag],$A40))</f>
        <v>0</v>
      </c>
      <c r="M40" s="11" t="n">
        <f aca="false">IF($A40="",0,SUMIFS(tblAuftraege[Einnahmen],tblAuftraege[Datum Einnahmen],"&gt;="&amp;M$5,tblAuftraege[Datum Einnahmen],"&lt;"&amp;EDATE(M$5,1),tblAuftraege[Auftrag],$A40))</f>
        <v>0</v>
      </c>
      <c r="N40" s="11" t="n">
        <f aca="false">IF($A40="",0,SUMIFS(tblAuftraege[Einnahmen],tblAuftraege[Datum Einnahmen],"&gt;="&amp;N$5,tblAuftraege[Datum Einnahmen],"&lt;"&amp;EDATE(N$5,1),tblAuftraege[Auftrag],$A40))</f>
        <v>0</v>
      </c>
      <c r="O40" s="11" t="n">
        <f aca="false">IF($A40="",0,SUMIFS(tblAuftraege[Einnahmen],tblAuftraege[Datum Einnahmen],"&gt;="&amp;O$5,tblAuftraege[Datum Einnahmen],"&lt;"&amp;EDATE(O$5,1),tblAuftraege[Auftrag],$A40))</f>
        <v>0</v>
      </c>
      <c r="P40" s="11" t="n">
        <f aca="false">IF($A40="",0,SUMIFS(tblAuftraege[Einnahmen],tblAuftraege[Datum Einnahmen],"&gt;="&amp;P$5,tblAuftraege[Datum Einnahmen],"&lt;"&amp;EDATE(P$5,1),tblAuftraege[Auftrag],$A40))</f>
        <v>0</v>
      </c>
      <c r="Q40" s="11" t="n">
        <f aca="false">IF($A40="",0,SUMIFS(tblAuftraege[Einnahmen],tblAuftraege[Datum Einnahmen],"&gt;="&amp;Q$5,tblAuftraege[Datum Einnahmen],"&lt;"&amp;EDATE(Q$5,1),tblAuftraege[Auftrag],$A40))</f>
        <v>0</v>
      </c>
      <c r="R40" s="11" t="n">
        <f aca="false">IF($A40="",0,SUMIFS(tblAuftraege[Einnahmen],tblAuftraege[Datum Einnahmen],"&gt;="&amp;R$5,tblAuftraege[Datum Einnahmen],"&lt;"&amp;EDATE(R$5,1),tblAuftraege[Auftrag],$A40))</f>
        <v>0</v>
      </c>
      <c r="S40" s="11" t="n">
        <f aca="false">IF($A40="",0,SUMIFS(tblAuftraege[Einnahmen],tblAuftraege[Datum Einnahmen],"&gt;="&amp;S$5,tblAuftraege[Datum Einnahmen],"&lt;"&amp;EDATE(S$5,1),tblAuftraege[Auftrag],$A40))</f>
        <v>0</v>
      </c>
      <c r="T40" s="11" t="n">
        <f aca="false">IF($A40="",0,SUMIFS(tblAuftraege[Einnahmen],tblAuftraege[Datum Einnahmen],"&gt;="&amp;T$5,tblAuftraege[Datum Einnahmen],"&lt;"&amp;EDATE(T$5,1),tblAuftraege[Auftrag],$A40))</f>
        <v>0</v>
      </c>
      <c r="U40" s="11" t="n">
        <f aca="false">IF($A40="",0,SUMIFS(tblAuftraege[Einnahmen],tblAuftraege[Datum Einnahmen],"&gt;="&amp;U$5,tblAuftraege[Datum Einnahmen],"&lt;"&amp;EDATE(U$5,1),tblAuftraege[Auftrag],$A40))</f>
        <v>0</v>
      </c>
      <c r="V40" s="11" t="n">
        <f aca="false">IF($A40="",0,SUMIFS(tblAuftraege[Einnahmen],tblAuftraege[Datum Einnahmen],"&gt;="&amp;V$5,tblAuftraege[Datum Einnahmen],"&lt;"&amp;EDATE(V$5,1),tblAuftraege[Auftrag],$A40))</f>
        <v>0</v>
      </c>
      <c r="W40" s="11" t="n">
        <f aca="false">SUM(E40:J40)</f>
        <v>0</v>
      </c>
      <c r="X40" s="11" t="n">
        <f aca="false">SUM(K40:V40)</f>
        <v>0</v>
      </c>
      <c r="Y40" s="12" t="n">
        <f aca="false">SUM(E40:V40)</f>
        <v>0</v>
      </c>
    </row>
    <row r="41" customFormat="false" ht="15" hidden="false" customHeight="false" outlineLevel="0" collapsed="false">
      <c r="A41" s="9"/>
      <c r="B41" s="10" t="str">
        <f aca="false">IF($A41="","",IFERROR(INDEX(tblAuftraege[Kostenstelle],MATCH($A41,tblAuftraege[Auftrag],0)),""))</f>
        <v/>
      </c>
      <c r="C41" s="10" t="str">
        <f aca="false">IF($A41="","",IFERROR(INDEX(tblAuftraege[Themenfeld],MATCH($A41,tblAuftraege[Auftrag],0)),""))</f>
        <v/>
      </c>
      <c r="D41" s="10" t="str">
        <f aca="false">IF($A41="","",IFERROR(INDEX(tblAuftraege[Kategorie],MATCH($A41,tblAuftraege[Auftrag],0)),""))</f>
        <v/>
      </c>
      <c r="E41" s="11" t="n">
        <f aca="false">IF($A41="",0,SUMIFS(tblAuftraege[Einnahmen],tblAuftraege[Datum Einnahmen],"&gt;="&amp;E$5,tblAuftraege[Datum Einnahmen],"&lt;"&amp;EDATE(E$5,1),tblAuftraege[Auftrag],$A41))</f>
        <v>0</v>
      </c>
      <c r="F41" s="11" t="n">
        <f aca="false">IF($A41="",0,SUMIFS(tblAuftraege[Einnahmen],tblAuftraege[Datum Einnahmen],"&gt;="&amp;F$5,tblAuftraege[Datum Einnahmen],"&lt;"&amp;EDATE(F$5,1),tblAuftraege[Auftrag],$A41))</f>
        <v>0</v>
      </c>
      <c r="G41" s="11" t="n">
        <f aca="false">IF($A41="",0,SUMIFS(tblAuftraege[Einnahmen],tblAuftraege[Datum Einnahmen],"&gt;="&amp;G$5,tblAuftraege[Datum Einnahmen],"&lt;"&amp;EDATE(G$5,1),tblAuftraege[Auftrag],$A41))</f>
        <v>0</v>
      </c>
      <c r="H41" s="11" t="n">
        <f aca="false">IF($A41="",0,SUMIFS(tblAuftraege[Einnahmen],tblAuftraege[Datum Einnahmen],"&gt;="&amp;H$5,tblAuftraege[Datum Einnahmen],"&lt;"&amp;EDATE(H$5,1),tblAuftraege[Auftrag],$A41))</f>
        <v>0</v>
      </c>
      <c r="I41" s="11" t="n">
        <f aca="false">IF($A41="",0,SUMIFS(tblAuftraege[Einnahmen],tblAuftraege[Datum Einnahmen],"&gt;="&amp;I$5,tblAuftraege[Datum Einnahmen],"&lt;"&amp;EDATE(I$5,1),tblAuftraege[Auftrag],$A41))</f>
        <v>0</v>
      </c>
      <c r="J41" s="11" t="n">
        <f aca="false">IF($A41="",0,SUMIFS(tblAuftraege[Einnahmen],tblAuftraege[Datum Einnahmen],"&gt;="&amp;J$5,tblAuftraege[Datum Einnahmen],"&lt;"&amp;EDATE(J$5,1),tblAuftraege[Auftrag],$A41))</f>
        <v>0</v>
      </c>
      <c r="K41" s="11" t="n">
        <f aca="false">IF($A41="",0,SUMIFS(tblAuftraege[Einnahmen],tblAuftraege[Datum Einnahmen],"&gt;="&amp;K$5,tblAuftraege[Datum Einnahmen],"&lt;"&amp;EDATE(K$5,1),tblAuftraege[Auftrag],$A41))</f>
        <v>0</v>
      </c>
      <c r="L41" s="11" t="n">
        <f aca="false">IF($A41="",0,SUMIFS(tblAuftraege[Einnahmen],tblAuftraege[Datum Einnahmen],"&gt;="&amp;L$5,tblAuftraege[Datum Einnahmen],"&lt;"&amp;EDATE(L$5,1),tblAuftraege[Auftrag],$A41))</f>
        <v>0</v>
      </c>
      <c r="M41" s="11" t="n">
        <f aca="false">IF($A41="",0,SUMIFS(tblAuftraege[Einnahmen],tblAuftraege[Datum Einnahmen],"&gt;="&amp;M$5,tblAuftraege[Datum Einnahmen],"&lt;"&amp;EDATE(M$5,1),tblAuftraege[Auftrag],$A41))</f>
        <v>0</v>
      </c>
      <c r="N41" s="11" t="n">
        <f aca="false">IF($A41="",0,SUMIFS(tblAuftraege[Einnahmen],tblAuftraege[Datum Einnahmen],"&gt;="&amp;N$5,tblAuftraege[Datum Einnahmen],"&lt;"&amp;EDATE(N$5,1),tblAuftraege[Auftrag],$A41))</f>
        <v>0</v>
      </c>
      <c r="O41" s="11" t="n">
        <f aca="false">IF($A41="",0,SUMIFS(tblAuftraege[Einnahmen],tblAuftraege[Datum Einnahmen],"&gt;="&amp;O$5,tblAuftraege[Datum Einnahmen],"&lt;"&amp;EDATE(O$5,1),tblAuftraege[Auftrag],$A41))</f>
        <v>0</v>
      </c>
      <c r="P41" s="11" t="n">
        <f aca="false">IF($A41="",0,SUMIFS(tblAuftraege[Einnahmen],tblAuftraege[Datum Einnahmen],"&gt;="&amp;P$5,tblAuftraege[Datum Einnahmen],"&lt;"&amp;EDATE(P$5,1),tblAuftraege[Auftrag],$A41))</f>
        <v>0</v>
      </c>
      <c r="Q41" s="11" t="n">
        <f aca="false">IF($A41="",0,SUMIFS(tblAuftraege[Einnahmen],tblAuftraege[Datum Einnahmen],"&gt;="&amp;Q$5,tblAuftraege[Datum Einnahmen],"&lt;"&amp;EDATE(Q$5,1),tblAuftraege[Auftrag],$A41))</f>
        <v>0</v>
      </c>
      <c r="R41" s="11" t="n">
        <f aca="false">IF($A41="",0,SUMIFS(tblAuftraege[Einnahmen],tblAuftraege[Datum Einnahmen],"&gt;="&amp;R$5,tblAuftraege[Datum Einnahmen],"&lt;"&amp;EDATE(R$5,1),tblAuftraege[Auftrag],$A41))</f>
        <v>0</v>
      </c>
      <c r="S41" s="11" t="n">
        <f aca="false">IF($A41="",0,SUMIFS(tblAuftraege[Einnahmen],tblAuftraege[Datum Einnahmen],"&gt;="&amp;S$5,tblAuftraege[Datum Einnahmen],"&lt;"&amp;EDATE(S$5,1),tblAuftraege[Auftrag],$A41))</f>
        <v>0</v>
      </c>
      <c r="T41" s="11" t="n">
        <f aca="false">IF($A41="",0,SUMIFS(tblAuftraege[Einnahmen],tblAuftraege[Datum Einnahmen],"&gt;="&amp;T$5,tblAuftraege[Datum Einnahmen],"&lt;"&amp;EDATE(T$5,1),tblAuftraege[Auftrag],$A41))</f>
        <v>0</v>
      </c>
      <c r="U41" s="11" t="n">
        <f aca="false">IF($A41="",0,SUMIFS(tblAuftraege[Einnahmen],tblAuftraege[Datum Einnahmen],"&gt;="&amp;U$5,tblAuftraege[Datum Einnahmen],"&lt;"&amp;EDATE(U$5,1),tblAuftraege[Auftrag],$A41))</f>
        <v>0</v>
      </c>
      <c r="V41" s="11" t="n">
        <f aca="false">IF($A41="",0,SUMIFS(tblAuftraege[Einnahmen],tblAuftraege[Datum Einnahmen],"&gt;="&amp;V$5,tblAuftraege[Datum Einnahmen],"&lt;"&amp;EDATE(V$5,1),tblAuftraege[Auftrag],$A41))</f>
        <v>0</v>
      </c>
      <c r="W41" s="11" t="n">
        <f aca="false">SUM(E41:J41)</f>
        <v>0</v>
      </c>
      <c r="X41" s="11" t="n">
        <f aca="false">SUM(K41:V41)</f>
        <v>0</v>
      </c>
      <c r="Y41" s="12" t="n">
        <f aca="false">SUM(E41:V41)</f>
        <v>0</v>
      </c>
    </row>
    <row r="42" customFormat="false" ht="15" hidden="false" customHeight="false" outlineLevel="0" collapsed="false">
      <c r="A42" s="9"/>
      <c r="B42" s="10" t="str">
        <f aca="false">IF($A42="","",IFERROR(INDEX(tblAuftraege[Kostenstelle],MATCH($A42,tblAuftraege[Auftrag],0)),""))</f>
        <v/>
      </c>
      <c r="C42" s="10" t="str">
        <f aca="false">IF($A42="","",IFERROR(INDEX(tblAuftraege[Themenfeld],MATCH($A42,tblAuftraege[Auftrag],0)),""))</f>
        <v/>
      </c>
      <c r="D42" s="10" t="str">
        <f aca="false">IF($A42="","",IFERROR(INDEX(tblAuftraege[Kategorie],MATCH($A42,tblAuftraege[Auftrag],0)),""))</f>
        <v/>
      </c>
      <c r="E42" s="11" t="n">
        <f aca="false">IF($A42="",0,SUMIFS(tblAuftraege[Einnahmen],tblAuftraege[Datum Einnahmen],"&gt;="&amp;E$5,tblAuftraege[Datum Einnahmen],"&lt;"&amp;EDATE(E$5,1),tblAuftraege[Auftrag],$A42))</f>
        <v>0</v>
      </c>
      <c r="F42" s="11" t="n">
        <f aca="false">IF($A42="",0,SUMIFS(tblAuftraege[Einnahmen],tblAuftraege[Datum Einnahmen],"&gt;="&amp;F$5,tblAuftraege[Datum Einnahmen],"&lt;"&amp;EDATE(F$5,1),tblAuftraege[Auftrag],$A42))</f>
        <v>0</v>
      </c>
      <c r="G42" s="11" t="n">
        <f aca="false">IF($A42="",0,SUMIFS(tblAuftraege[Einnahmen],tblAuftraege[Datum Einnahmen],"&gt;="&amp;G$5,tblAuftraege[Datum Einnahmen],"&lt;"&amp;EDATE(G$5,1),tblAuftraege[Auftrag],$A42))</f>
        <v>0</v>
      </c>
      <c r="H42" s="11" t="n">
        <f aca="false">IF($A42="",0,SUMIFS(tblAuftraege[Einnahmen],tblAuftraege[Datum Einnahmen],"&gt;="&amp;H$5,tblAuftraege[Datum Einnahmen],"&lt;"&amp;EDATE(H$5,1),tblAuftraege[Auftrag],$A42))</f>
        <v>0</v>
      </c>
      <c r="I42" s="11" t="n">
        <f aca="false">IF($A42="",0,SUMIFS(tblAuftraege[Einnahmen],tblAuftraege[Datum Einnahmen],"&gt;="&amp;I$5,tblAuftraege[Datum Einnahmen],"&lt;"&amp;EDATE(I$5,1),tblAuftraege[Auftrag],$A42))</f>
        <v>0</v>
      </c>
      <c r="J42" s="11" t="n">
        <f aca="false">IF($A42="",0,SUMIFS(tblAuftraege[Einnahmen],tblAuftraege[Datum Einnahmen],"&gt;="&amp;J$5,tblAuftraege[Datum Einnahmen],"&lt;"&amp;EDATE(J$5,1),tblAuftraege[Auftrag],$A42))</f>
        <v>0</v>
      </c>
      <c r="K42" s="11" t="n">
        <f aca="false">IF($A42="",0,SUMIFS(tblAuftraege[Einnahmen],tblAuftraege[Datum Einnahmen],"&gt;="&amp;K$5,tblAuftraege[Datum Einnahmen],"&lt;"&amp;EDATE(K$5,1),tblAuftraege[Auftrag],$A42))</f>
        <v>0</v>
      </c>
      <c r="L42" s="11" t="n">
        <f aca="false">IF($A42="",0,SUMIFS(tblAuftraege[Einnahmen],tblAuftraege[Datum Einnahmen],"&gt;="&amp;L$5,tblAuftraege[Datum Einnahmen],"&lt;"&amp;EDATE(L$5,1),tblAuftraege[Auftrag],$A42))</f>
        <v>0</v>
      </c>
      <c r="M42" s="11" t="n">
        <f aca="false">IF($A42="",0,SUMIFS(tblAuftraege[Einnahmen],tblAuftraege[Datum Einnahmen],"&gt;="&amp;M$5,tblAuftraege[Datum Einnahmen],"&lt;"&amp;EDATE(M$5,1),tblAuftraege[Auftrag],$A42))</f>
        <v>0</v>
      </c>
      <c r="N42" s="11" t="n">
        <f aca="false">IF($A42="",0,SUMIFS(tblAuftraege[Einnahmen],tblAuftraege[Datum Einnahmen],"&gt;="&amp;N$5,tblAuftraege[Datum Einnahmen],"&lt;"&amp;EDATE(N$5,1),tblAuftraege[Auftrag],$A42))</f>
        <v>0</v>
      </c>
      <c r="O42" s="11" t="n">
        <f aca="false">IF($A42="",0,SUMIFS(tblAuftraege[Einnahmen],tblAuftraege[Datum Einnahmen],"&gt;="&amp;O$5,tblAuftraege[Datum Einnahmen],"&lt;"&amp;EDATE(O$5,1),tblAuftraege[Auftrag],$A42))</f>
        <v>0</v>
      </c>
      <c r="P42" s="11" t="n">
        <f aca="false">IF($A42="",0,SUMIFS(tblAuftraege[Einnahmen],tblAuftraege[Datum Einnahmen],"&gt;="&amp;P$5,tblAuftraege[Datum Einnahmen],"&lt;"&amp;EDATE(P$5,1),tblAuftraege[Auftrag],$A42))</f>
        <v>0</v>
      </c>
      <c r="Q42" s="11" t="n">
        <f aca="false">IF($A42="",0,SUMIFS(tblAuftraege[Einnahmen],tblAuftraege[Datum Einnahmen],"&gt;="&amp;Q$5,tblAuftraege[Datum Einnahmen],"&lt;"&amp;EDATE(Q$5,1),tblAuftraege[Auftrag],$A42))</f>
        <v>0</v>
      </c>
      <c r="R42" s="11" t="n">
        <f aca="false">IF($A42="",0,SUMIFS(tblAuftraege[Einnahmen],tblAuftraege[Datum Einnahmen],"&gt;="&amp;R$5,tblAuftraege[Datum Einnahmen],"&lt;"&amp;EDATE(R$5,1),tblAuftraege[Auftrag],$A42))</f>
        <v>0</v>
      </c>
      <c r="S42" s="11" t="n">
        <f aca="false">IF($A42="",0,SUMIFS(tblAuftraege[Einnahmen],tblAuftraege[Datum Einnahmen],"&gt;="&amp;S$5,tblAuftraege[Datum Einnahmen],"&lt;"&amp;EDATE(S$5,1),tblAuftraege[Auftrag],$A42))</f>
        <v>0</v>
      </c>
      <c r="T42" s="11" t="n">
        <f aca="false">IF($A42="",0,SUMIFS(tblAuftraege[Einnahmen],tblAuftraege[Datum Einnahmen],"&gt;="&amp;T$5,tblAuftraege[Datum Einnahmen],"&lt;"&amp;EDATE(T$5,1),tblAuftraege[Auftrag],$A42))</f>
        <v>0</v>
      </c>
      <c r="U42" s="11" t="n">
        <f aca="false">IF($A42="",0,SUMIFS(tblAuftraege[Einnahmen],tblAuftraege[Datum Einnahmen],"&gt;="&amp;U$5,tblAuftraege[Datum Einnahmen],"&lt;"&amp;EDATE(U$5,1),tblAuftraege[Auftrag],$A42))</f>
        <v>0</v>
      </c>
      <c r="V42" s="11" t="n">
        <f aca="false">IF($A42="",0,SUMIFS(tblAuftraege[Einnahmen],tblAuftraege[Datum Einnahmen],"&gt;="&amp;V$5,tblAuftraege[Datum Einnahmen],"&lt;"&amp;EDATE(V$5,1),tblAuftraege[Auftrag],$A42))</f>
        <v>0</v>
      </c>
      <c r="W42" s="11" t="n">
        <f aca="false">SUM(E42:J42)</f>
        <v>0</v>
      </c>
      <c r="X42" s="11" t="n">
        <f aca="false">SUM(K42:V42)</f>
        <v>0</v>
      </c>
      <c r="Y42" s="12" t="n">
        <f aca="false">SUM(E42:V42)</f>
        <v>0</v>
      </c>
    </row>
    <row r="43" customFormat="false" ht="15" hidden="false" customHeight="false" outlineLevel="0" collapsed="false">
      <c r="A43" s="9"/>
      <c r="B43" s="10" t="str">
        <f aca="false">IF($A43="","",IFERROR(INDEX(tblAuftraege[Kostenstelle],MATCH($A43,tblAuftraege[Auftrag],0)),""))</f>
        <v/>
      </c>
      <c r="C43" s="10" t="str">
        <f aca="false">IF($A43="","",IFERROR(INDEX(tblAuftraege[Themenfeld],MATCH($A43,tblAuftraege[Auftrag],0)),""))</f>
        <v/>
      </c>
      <c r="D43" s="10" t="str">
        <f aca="false">IF($A43="","",IFERROR(INDEX(tblAuftraege[Kategorie],MATCH($A43,tblAuftraege[Auftrag],0)),""))</f>
        <v/>
      </c>
      <c r="E43" s="11" t="n">
        <f aca="false">IF($A43="",0,SUMIFS(tblAuftraege[Einnahmen],tblAuftraege[Datum Einnahmen],"&gt;="&amp;E$5,tblAuftraege[Datum Einnahmen],"&lt;"&amp;EDATE(E$5,1),tblAuftraege[Auftrag],$A43))</f>
        <v>0</v>
      </c>
      <c r="F43" s="11" t="n">
        <f aca="false">IF($A43="",0,SUMIFS(tblAuftraege[Einnahmen],tblAuftraege[Datum Einnahmen],"&gt;="&amp;F$5,tblAuftraege[Datum Einnahmen],"&lt;"&amp;EDATE(F$5,1),tblAuftraege[Auftrag],$A43))</f>
        <v>0</v>
      </c>
      <c r="G43" s="11" t="n">
        <f aca="false">IF($A43="",0,SUMIFS(tblAuftraege[Einnahmen],tblAuftraege[Datum Einnahmen],"&gt;="&amp;G$5,tblAuftraege[Datum Einnahmen],"&lt;"&amp;EDATE(G$5,1),tblAuftraege[Auftrag],$A43))</f>
        <v>0</v>
      </c>
      <c r="H43" s="11" t="n">
        <f aca="false">IF($A43="",0,SUMIFS(tblAuftraege[Einnahmen],tblAuftraege[Datum Einnahmen],"&gt;="&amp;H$5,tblAuftraege[Datum Einnahmen],"&lt;"&amp;EDATE(H$5,1),tblAuftraege[Auftrag],$A43))</f>
        <v>0</v>
      </c>
      <c r="I43" s="11" t="n">
        <f aca="false">IF($A43="",0,SUMIFS(tblAuftraege[Einnahmen],tblAuftraege[Datum Einnahmen],"&gt;="&amp;I$5,tblAuftraege[Datum Einnahmen],"&lt;"&amp;EDATE(I$5,1),tblAuftraege[Auftrag],$A43))</f>
        <v>0</v>
      </c>
      <c r="J43" s="11" t="n">
        <f aca="false">IF($A43="",0,SUMIFS(tblAuftraege[Einnahmen],tblAuftraege[Datum Einnahmen],"&gt;="&amp;J$5,tblAuftraege[Datum Einnahmen],"&lt;"&amp;EDATE(J$5,1),tblAuftraege[Auftrag],$A43))</f>
        <v>0</v>
      </c>
      <c r="K43" s="11" t="n">
        <f aca="false">IF($A43="",0,SUMIFS(tblAuftraege[Einnahmen],tblAuftraege[Datum Einnahmen],"&gt;="&amp;K$5,tblAuftraege[Datum Einnahmen],"&lt;"&amp;EDATE(K$5,1),tblAuftraege[Auftrag],$A43))</f>
        <v>0</v>
      </c>
      <c r="L43" s="11" t="n">
        <f aca="false">IF($A43="",0,SUMIFS(tblAuftraege[Einnahmen],tblAuftraege[Datum Einnahmen],"&gt;="&amp;L$5,tblAuftraege[Datum Einnahmen],"&lt;"&amp;EDATE(L$5,1),tblAuftraege[Auftrag],$A43))</f>
        <v>0</v>
      </c>
      <c r="M43" s="11" t="n">
        <f aca="false">IF($A43="",0,SUMIFS(tblAuftraege[Einnahmen],tblAuftraege[Datum Einnahmen],"&gt;="&amp;M$5,tblAuftraege[Datum Einnahmen],"&lt;"&amp;EDATE(M$5,1),tblAuftraege[Auftrag],$A43))</f>
        <v>0</v>
      </c>
      <c r="N43" s="11" t="n">
        <f aca="false">IF($A43="",0,SUMIFS(tblAuftraege[Einnahmen],tblAuftraege[Datum Einnahmen],"&gt;="&amp;N$5,tblAuftraege[Datum Einnahmen],"&lt;"&amp;EDATE(N$5,1),tblAuftraege[Auftrag],$A43))</f>
        <v>0</v>
      </c>
      <c r="O43" s="11" t="n">
        <f aca="false">IF($A43="",0,SUMIFS(tblAuftraege[Einnahmen],tblAuftraege[Datum Einnahmen],"&gt;="&amp;O$5,tblAuftraege[Datum Einnahmen],"&lt;"&amp;EDATE(O$5,1),tblAuftraege[Auftrag],$A43))</f>
        <v>0</v>
      </c>
      <c r="P43" s="11" t="n">
        <f aca="false">IF($A43="",0,SUMIFS(tblAuftraege[Einnahmen],tblAuftraege[Datum Einnahmen],"&gt;="&amp;P$5,tblAuftraege[Datum Einnahmen],"&lt;"&amp;EDATE(P$5,1),tblAuftraege[Auftrag],$A43))</f>
        <v>0</v>
      </c>
      <c r="Q43" s="11" t="n">
        <f aca="false">IF($A43="",0,SUMIFS(tblAuftraege[Einnahmen],tblAuftraege[Datum Einnahmen],"&gt;="&amp;Q$5,tblAuftraege[Datum Einnahmen],"&lt;"&amp;EDATE(Q$5,1),tblAuftraege[Auftrag],$A43))</f>
        <v>0</v>
      </c>
      <c r="R43" s="11" t="n">
        <f aca="false">IF($A43="",0,SUMIFS(tblAuftraege[Einnahmen],tblAuftraege[Datum Einnahmen],"&gt;="&amp;R$5,tblAuftraege[Datum Einnahmen],"&lt;"&amp;EDATE(R$5,1),tblAuftraege[Auftrag],$A43))</f>
        <v>0</v>
      </c>
      <c r="S43" s="11" t="n">
        <f aca="false">IF($A43="",0,SUMIFS(tblAuftraege[Einnahmen],tblAuftraege[Datum Einnahmen],"&gt;="&amp;S$5,tblAuftraege[Datum Einnahmen],"&lt;"&amp;EDATE(S$5,1),tblAuftraege[Auftrag],$A43))</f>
        <v>0</v>
      </c>
      <c r="T43" s="11" t="n">
        <f aca="false">IF($A43="",0,SUMIFS(tblAuftraege[Einnahmen],tblAuftraege[Datum Einnahmen],"&gt;="&amp;T$5,tblAuftraege[Datum Einnahmen],"&lt;"&amp;EDATE(T$5,1),tblAuftraege[Auftrag],$A43))</f>
        <v>0</v>
      </c>
      <c r="U43" s="11" t="n">
        <f aca="false">IF($A43="",0,SUMIFS(tblAuftraege[Einnahmen],tblAuftraege[Datum Einnahmen],"&gt;="&amp;U$5,tblAuftraege[Datum Einnahmen],"&lt;"&amp;EDATE(U$5,1),tblAuftraege[Auftrag],$A43))</f>
        <v>0</v>
      </c>
      <c r="V43" s="11" t="n">
        <f aca="false">IF($A43="",0,SUMIFS(tblAuftraege[Einnahmen],tblAuftraege[Datum Einnahmen],"&gt;="&amp;V$5,tblAuftraege[Datum Einnahmen],"&lt;"&amp;EDATE(V$5,1),tblAuftraege[Auftrag],$A43))</f>
        <v>0</v>
      </c>
      <c r="W43" s="11" t="n">
        <f aca="false">SUM(E43:J43)</f>
        <v>0</v>
      </c>
      <c r="X43" s="11" t="n">
        <f aca="false">SUM(K43:V43)</f>
        <v>0</v>
      </c>
      <c r="Y43" s="12" t="n">
        <f aca="false">SUM(E43:V43)</f>
        <v>0</v>
      </c>
    </row>
    <row r="44" customFormat="false" ht="15" hidden="false" customHeight="false" outlineLevel="0" collapsed="false">
      <c r="A44" s="9"/>
      <c r="B44" s="10" t="str">
        <f aca="false">IF($A44="","",IFERROR(INDEX(tblAuftraege[Kostenstelle],MATCH($A44,tblAuftraege[Auftrag],0)),""))</f>
        <v/>
      </c>
      <c r="C44" s="10" t="str">
        <f aca="false">IF($A44="","",IFERROR(INDEX(tblAuftraege[Themenfeld],MATCH($A44,tblAuftraege[Auftrag],0)),""))</f>
        <v/>
      </c>
      <c r="D44" s="10" t="str">
        <f aca="false">IF($A44="","",IFERROR(INDEX(tblAuftraege[Kategorie],MATCH($A44,tblAuftraege[Auftrag],0)),""))</f>
        <v/>
      </c>
      <c r="E44" s="11" t="n">
        <f aca="false">IF($A44="",0,SUMIFS(tblAuftraege[Einnahmen],tblAuftraege[Datum Einnahmen],"&gt;="&amp;E$5,tblAuftraege[Datum Einnahmen],"&lt;"&amp;EDATE(E$5,1),tblAuftraege[Auftrag],$A44))</f>
        <v>0</v>
      </c>
      <c r="F44" s="11" t="n">
        <f aca="false">IF($A44="",0,SUMIFS(tblAuftraege[Einnahmen],tblAuftraege[Datum Einnahmen],"&gt;="&amp;F$5,tblAuftraege[Datum Einnahmen],"&lt;"&amp;EDATE(F$5,1),tblAuftraege[Auftrag],$A44))</f>
        <v>0</v>
      </c>
      <c r="G44" s="11" t="n">
        <f aca="false">IF($A44="",0,SUMIFS(tblAuftraege[Einnahmen],tblAuftraege[Datum Einnahmen],"&gt;="&amp;G$5,tblAuftraege[Datum Einnahmen],"&lt;"&amp;EDATE(G$5,1),tblAuftraege[Auftrag],$A44))</f>
        <v>0</v>
      </c>
      <c r="H44" s="11" t="n">
        <f aca="false">IF($A44="",0,SUMIFS(tblAuftraege[Einnahmen],tblAuftraege[Datum Einnahmen],"&gt;="&amp;H$5,tblAuftraege[Datum Einnahmen],"&lt;"&amp;EDATE(H$5,1),tblAuftraege[Auftrag],$A44))</f>
        <v>0</v>
      </c>
      <c r="I44" s="11" t="n">
        <f aca="false">IF($A44="",0,SUMIFS(tblAuftraege[Einnahmen],tblAuftraege[Datum Einnahmen],"&gt;="&amp;I$5,tblAuftraege[Datum Einnahmen],"&lt;"&amp;EDATE(I$5,1),tblAuftraege[Auftrag],$A44))</f>
        <v>0</v>
      </c>
      <c r="J44" s="11" t="n">
        <f aca="false">IF($A44="",0,SUMIFS(tblAuftraege[Einnahmen],tblAuftraege[Datum Einnahmen],"&gt;="&amp;J$5,tblAuftraege[Datum Einnahmen],"&lt;"&amp;EDATE(J$5,1),tblAuftraege[Auftrag],$A44))</f>
        <v>0</v>
      </c>
      <c r="K44" s="11" t="n">
        <f aca="false">IF($A44="",0,SUMIFS(tblAuftraege[Einnahmen],tblAuftraege[Datum Einnahmen],"&gt;="&amp;K$5,tblAuftraege[Datum Einnahmen],"&lt;"&amp;EDATE(K$5,1),tblAuftraege[Auftrag],$A44))</f>
        <v>0</v>
      </c>
      <c r="L44" s="11" t="n">
        <f aca="false">IF($A44="",0,SUMIFS(tblAuftraege[Einnahmen],tblAuftraege[Datum Einnahmen],"&gt;="&amp;L$5,tblAuftraege[Datum Einnahmen],"&lt;"&amp;EDATE(L$5,1),tblAuftraege[Auftrag],$A44))</f>
        <v>0</v>
      </c>
      <c r="M44" s="11" t="n">
        <f aca="false">IF($A44="",0,SUMIFS(tblAuftraege[Einnahmen],tblAuftraege[Datum Einnahmen],"&gt;="&amp;M$5,tblAuftraege[Datum Einnahmen],"&lt;"&amp;EDATE(M$5,1),tblAuftraege[Auftrag],$A44))</f>
        <v>0</v>
      </c>
      <c r="N44" s="11" t="n">
        <f aca="false">IF($A44="",0,SUMIFS(tblAuftraege[Einnahmen],tblAuftraege[Datum Einnahmen],"&gt;="&amp;N$5,tblAuftraege[Datum Einnahmen],"&lt;"&amp;EDATE(N$5,1),tblAuftraege[Auftrag],$A44))</f>
        <v>0</v>
      </c>
      <c r="O44" s="11" t="n">
        <f aca="false">IF($A44="",0,SUMIFS(tblAuftraege[Einnahmen],tblAuftraege[Datum Einnahmen],"&gt;="&amp;O$5,tblAuftraege[Datum Einnahmen],"&lt;"&amp;EDATE(O$5,1),tblAuftraege[Auftrag],$A44))</f>
        <v>0</v>
      </c>
      <c r="P44" s="11" t="n">
        <f aca="false">IF($A44="",0,SUMIFS(tblAuftraege[Einnahmen],tblAuftraege[Datum Einnahmen],"&gt;="&amp;P$5,tblAuftraege[Datum Einnahmen],"&lt;"&amp;EDATE(P$5,1),tblAuftraege[Auftrag],$A44))</f>
        <v>0</v>
      </c>
      <c r="Q44" s="11" t="n">
        <f aca="false">IF($A44="",0,SUMIFS(tblAuftraege[Einnahmen],tblAuftraege[Datum Einnahmen],"&gt;="&amp;Q$5,tblAuftraege[Datum Einnahmen],"&lt;"&amp;EDATE(Q$5,1),tblAuftraege[Auftrag],$A44))</f>
        <v>0</v>
      </c>
      <c r="R44" s="11" t="n">
        <f aca="false">IF($A44="",0,SUMIFS(tblAuftraege[Einnahmen],tblAuftraege[Datum Einnahmen],"&gt;="&amp;R$5,tblAuftraege[Datum Einnahmen],"&lt;"&amp;EDATE(R$5,1),tblAuftraege[Auftrag],$A44))</f>
        <v>0</v>
      </c>
      <c r="S44" s="11" t="n">
        <f aca="false">IF($A44="",0,SUMIFS(tblAuftraege[Einnahmen],tblAuftraege[Datum Einnahmen],"&gt;="&amp;S$5,tblAuftraege[Datum Einnahmen],"&lt;"&amp;EDATE(S$5,1),tblAuftraege[Auftrag],$A44))</f>
        <v>0</v>
      </c>
      <c r="T44" s="11" t="n">
        <f aca="false">IF($A44="",0,SUMIFS(tblAuftraege[Einnahmen],tblAuftraege[Datum Einnahmen],"&gt;="&amp;T$5,tblAuftraege[Datum Einnahmen],"&lt;"&amp;EDATE(T$5,1),tblAuftraege[Auftrag],$A44))</f>
        <v>0</v>
      </c>
      <c r="U44" s="11" t="n">
        <f aca="false">IF($A44="",0,SUMIFS(tblAuftraege[Einnahmen],tblAuftraege[Datum Einnahmen],"&gt;="&amp;U$5,tblAuftraege[Datum Einnahmen],"&lt;"&amp;EDATE(U$5,1),tblAuftraege[Auftrag],$A44))</f>
        <v>0</v>
      </c>
      <c r="V44" s="11" t="n">
        <f aca="false">IF($A44="",0,SUMIFS(tblAuftraege[Einnahmen],tblAuftraege[Datum Einnahmen],"&gt;="&amp;V$5,tblAuftraege[Datum Einnahmen],"&lt;"&amp;EDATE(V$5,1),tblAuftraege[Auftrag],$A44))</f>
        <v>0</v>
      </c>
      <c r="W44" s="11" t="n">
        <f aca="false">SUM(E44:J44)</f>
        <v>0</v>
      </c>
      <c r="X44" s="11" t="n">
        <f aca="false">SUM(K44:V44)</f>
        <v>0</v>
      </c>
      <c r="Y44" s="12" t="n">
        <f aca="false">SUM(E44:V44)</f>
        <v>0</v>
      </c>
    </row>
    <row r="45" customFormat="false" ht="15" hidden="false" customHeight="false" outlineLevel="0" collapsed="false">
      <c r="A45" s="9"/>
      <c r="B45" s="10" t="str">
        <f aca="false">IF($A45="","",IFERROR(INDEX(tblAuftraege[Kostenstelle],MATCH($A45,tblAuftraege[Auftrag],0)),""))</f>
        <v/>
      </c>
      <c r="C45" s="10" t="str">
        <f aca="false">IF($A45="","",IFERROR(INDEX(tblAuftraege[Themenfeld],MATCH($A45,tblAuftraege[Auftrag],0)),""))</f>
        <v/>
      </c>
      <c r="D45" s="10" t="str">
        <f aca="false">IF($A45="","",IFERROR(INDEX(tblAuftraege[Kategorie],MATCH($A45,tblAuftraege[Auftrag],0)),""))</f>
        <v/>
      </c>
      <c r="E45" s="11" t="n">
        <f aca="false">IF($A45="",0,SUMIFS(tblAuftraege[Einnahmen],tblAuftraege[Datum Einnahmen],"&gt;="&amp;E$5,tblAuftraege[Datum Einnahmen],"&lt;"&amp;EDATE(E$5,1),tblAuftraege[Auftrag],$A45))</f>
        <v>0</v>
      </c>
      <c r="F45" s="11" t="n">
        <f aca="false">IF($A45="",0,SUMIFS(tblAuftraege[Einnahmen],tblAuftraege[Datum Einnahmen],"&gt;="&amp;F$5,tblAuftraege[Datum Einnahmen],"&lt;"&amp;EDATE(F$5,1),tblAuftraege[Auftrag],$A45))</f>
        <v>0</v>
      </c>
      <c r="G45" s="11" t="n">
        <f aca="false">IF($A45="",0,SUMIFS(tblAuftraege[Einnahmen],tblAuftraege[Datum Einnahmen],"&gt;="&amp;G$5,tblAuftraege[Datum Einnahmen],"&lt;"&amp;EDATE(G$5,1),tblAuftraege[Auftrag],$A45))</f>
        <v>0</v>
      </c>
      <c r="H45" s="11" t="n">
        <f aca="false">IF($A45="",0,SUMIFS(tblAuftraege[Einnahmen],tblAuftraege[Datum Einnahmen],"&gt;="&amp;H$5,tblAuftraege[Datum Einnahmen],"&lt;"&amp;EDATE(H$5,1),tblAuftraege[Auftrag],$A45))</f>
        <v>0</v>
      </c>
      <c r="I45" s="11" t="n">
        <f aca="false">IF($A45="",0,SUMIFS(tblAuftraege[Einnahmen],tblAuftraege[Datum Einnahmen],"&gt;="&amp;I$5,tblAuftraege[Datum Einnahmen],"&lt;"&amp;EDATE(I$5,1),tblAuftraege[Auftrag],$A45))</f>
        <v>0</v>
      </c>
      <c r="J45" s="11" t="n">
        <f aca="false">IF($A45="",0,SUMIFS(tblAuftraege[Einnahmen],tblAuftraege[Datum Einnahmen],"&gt;="&amp;J$5,tblAuftraege[Datum Einnahmen],"&lt;"&amp;EDATE(J$5,1),tblAuftraege[Auftrag],$A45))</f>
        <v>0</v>
      </c>
      <c r="K45" s="11" t="n">
        <f aca="false">IF($A45="",0,SUMIFS(tblAuftraege[Einnahmen],tblAuftraege[Datum Einnahmen],"&gt;="&amp;K$5,tblAuftraege[Datum Einnahmen],"&lt;"&amp;EDATE(K$5,1),tblAuftraege[Auftrag],$A45))</f>
        <v>0</v>
      </c>
      <c r="L45" s="11" t="n">
        <f aca="false">IF($A45="",0,SUMIFS(tblAuftraege[Einnahmen],tblAuftraege[Datum Einnahmen],"&gt;="&amp;L$5,tblAuftraege[Datum Einnahmen],"&lt;"&amp;EDATE(L$5,1),tblAuftraege[Auftrag],$A45))</f>
        <v>0</v>
      </c>
      <c r="M45" s="11" t="n">
        <f aca="false">IF($A45="",0,SUMIFS(tblAuftraege[Einnahmen],tblAuftraege[Datum Einnahmen],"&gt;="&amp;M$5,tblAuftraege[Datum Einnahmen],"&lt;"&amp;EDATE(M$5,1),tblAuftraege[Auftrag],$A45))</f>
        <v>0</v>
      </c>
      <c r="N45" s="11" t="n">
        <f aca="false">IF($A45="",0,SUMIFS(tblAuftraege[Einnahmen],tblAuftraege[Datum Einnahmen],"&gt;="&amp;N$5,tblAuftraege[Datum Einnahmen],"&lt;"&amp;EDATE(N$5,1),tblAuftraege[Auftrag],$A45))</f>
        <v>0</v>
      </c>
      <c r="O45" s="11" t="n">
        <f aca="false">IF($A45="",0,SUMIFS(tblAuftraege[Einnahmen],tblAuftraege[Datum Einnahmen],"&gt;="&amp;O$5,tblAuftraege[Datum Einnahmen],"&lt;"&amp;EDATE(O$5,1),tblAuftraege[Auftrag],$A45))</f>
        <v>0</v>
      </c>
      <c r="P45" s="11" t="n">
        <f aca="false">IF($A45="",0,SUMIFS(tblAuftraege[Einnahmen],tblAuftraege[Datum Einnahmen],"&gt;="&amp;P$5,tblAuftraege[Datum Einnahmen],"&lt;"&amp;EDATE(P$5,1),tblAuftraege[Auftrag],$A45))</f>
        <v>0</v>
      </c>
      <c r="Q45" s="11" t="n">
        <f aca="false">IF($A45="",0,SUMIFS(tblAuftraege[Einnahmen],tblAuftraege[Datum Einnahmen],"&gt;="&amp;Q$5,tblAuftraege[Datum Einnahmen],"&lt;"&amp;EDATE(Q$5,1),tblAuftraege[Auftrag],$A45))</f>
        <v>0</v>
      </c>
      <c r="R45" s="11" t="n">
        <f aca="false">IF($A45="",0,SUMIFS(tblAuftraege[Einnahmen],tblAuftraege[Datum Einnahmen],"&gt;="&amp;R$5,tblAuftraege[Datum Einnahmen],"&lt;"&amp;EDATE(R$5,1),tblAuftraege[Auftrag],$A45))</f>
        <v>0</v>
      </c>
      <c r="S45" s="11" t="n">
        <f aca="false">IF($A45="",0,SUMIFS(tblAuftraege[Einnahmen],tblAuftraege[Datum Einnahmen],"&gt;="&amp;S$5,tblAuftraege[Datum Einnahmen],"&lt;"&amp;EDATE(S$5,1),tblAuftraege[Auftrag],$A45))</f>
        <v>0</v>
      </c>
      <c r="T45" s="11" t="n">
        <f aca="false">IF($A45="",0,SUMIFS(tblAuftraege[Einnahmen],tblAuftraege[Datum Einnahmen],"&gt;="&amp;T$5,tblAuftraege[Datum Einnahmen],"&lt;"&amp;EDATE(T$5,1),tblAuftraege[Auftrag],$A45))</f>
        <v>0</v>
      </c>
      <c r="U45" s="11" t="n">
        <f aca="false">IF($A45="",0,SUMIFS(tblAuftraege[Einnahmen],tblAuftraege[Datum Einnahmen],"&gt;="&amp;U$5,tblAuftraege[Datum Einnahmen],"&lt;"&amp;EDATE(U$5,1),tblAuftraege[Auftrag],$A45))</f>
        <v>0</v>
      </c>
      <c r="V45" s="11" t="n">
        <f aca="false">IF($A45="",0,SUMIFS(tblAuftraege[Einnahmen],tblAuftraege[Datum Einnahmen],"&gt;="&amp;V$5,tblAuftraege[Datum Einnahmen],"&lt;"&amp;EDATE(V$5,1),tblAuftraege[Auftrag],$A45))</f>
        <v>0</v>
      </c>
      <c r="W45" s="11" t="n">
        <f aca="false">SUM(E45:J45)</f>
        <v>0</v>
      </c>
      <c r="X45" s="11" t="n">
        <f aca="false">SUM(K45:V45)</f>
        <v>0</v>
      </c>
      <c r="Y45" s="12" t="n">
        <f aca="false">SUM(E45:V45)</f>
        <v>0</v>
      </c>
    </row>
    <row r="46" customFormat="false" ht="15" hidden="false" customHeight="false" outlineLevel="0" collapsed="false">
      <c r="A46" s="9"/>
      <c r="B46" s="10" t="str">
        <f aca="false">IF($A46="","",IFERROR(INDEX(tblAuftraege[Kostenstelle],MATCH($A46,tblAuftraege[Auftrag],0)),""))</f>
        <v/>
      </c>
      <c r="C46" s="10" t="str">
        <f aca="false">IF($A46="","",IFERROR(INDEX(tblAuftraege[Themenfeld],MATCH($A46,tblAuftraege[Auftrag],0)),""))</f>
        <v/>
      </c>
      <c r="D46" s="10" t="str">
        <f aca="false">IF($A46="","",IFERROR(INDEX(tblAuftraege[Kategorie],MATCH($A46,tblAuftraege[Auftrag],0)),""))</f>
        <v/>
      </c>
      <c r="E46" s="11" t="n">
        <f aca="false">IF($A46="",0,SUMIFS(tblAuftraege[Einnahmen],tblAuftraege[Datum Einnahmen],"&gt;="&amp;E$5,tblAuftraege[Datum Einnahmen],"&lt;"&amp;EDATE(E$5,1),tblAuftraege[Auftrag],$A46))</f>
        <v>0</v>
      </c>
      <c r="F46" s="11" t="n">
        <f aca="false">IF($A46="",0,SUMIFS(tblAuftraege[Einnahmen],tblAuftraege[Datum Einnahmen],"&gt;="&amp;F$5,tblAuftraege[Datum Einnahmen],"&lt;"&amp;EDATE(F$5,1),tblAuftraege[Auftrag],$A46))</f>
        <v>0</v>
      </c>
      <c r="G46" s="11" t="n">
        <f aca="false">IF($A46="",0,SUMIFS(tblAuftraege[Einnahmen],tblAuftraege[Datum Einnahmen],"&gt;="&amp;G$5,tblAuftraege[Datum Einnahmen],"&lt;"&amp;EDATE(G$5,1),tblAuftraege[Auftrag],$A46))</f>
        <v>0</v>
      </c>
      <c r="H46" s="11" t="n">
        <f aca="false">IF($A46="",0,SUMIFS(tblAuftraege[Einnahmen],tblAuftraege[Datum Einnahmen],"&gt;="&amp;H$5,tblAuftraege[Datum Einnahmen],"&lt;"&amp;EDATE(H$5,1),tblAuftraege[Auftrag],$A46))</f>
        <v>0</v>
      </c>
      <c r="I46" s="11" t="n">
        <f aca="false">IF($A46="",0,SUMIFS(tblAuftraege[Einnahmen],tblAuftraege[Datum Einnahmen],"&gt;="&amp;I$5,tblAuftraege[Datum Einnahmen],"&lt;"&amp;EDATE(I$5,1),tblAuftraege[Auftrag],$A46))</f>
        <v>0</v>
      </c>
      <c r="J46" s="11" t="n">
        <f aca="false">IF($A46="",0,SUMIFS(tblAuftraege[Einnahmen],tblAuftraege[Datum Einnahmen],"&gt;="&amp;J$5,tblAuftraege[Datum Einnahmen],"&lt;"&amp;EDATE(J$5,1),tblAuftraege[Auftrag],$A46))</f>
        <v>0</v>
      </c>
      <c r="K46" s="11" t="n">
        <f aca="false">IF($A46="",0,SUMIFS(tblAuftraege[Einnahmen],tblAuftraege[Datum Einnahmen],"&gt;="&amp;K$5,tblAuftraege[Datum Einnahmen],"&lt;"&amp;EDATE(K$5,1),tblAuftraege[Auftrag],$A46))</f>
        <v>0</v>
      </c>
      <c r="L46" s="11" t="n">
        <f aca="false">IF($A46="",0,SUMIFS(tblAuftraege[Einnahmen],tblAuftraege[Datum Einnahmen],"&gt;="&amp;L$5,tblAuftraege[Datum Einnahmen],"&lt;"&amp;EDATE(L$5,1),tblAuftraege[Auftrag],$A46))</f>
        <v>0</v>
      </c>
      <c r="M46" s="11" t="n">
        <f aca="false">IF($A46="",0,SUMIFS(tblAuftraege[Einnahmen],tblAuftraege[Datum Einnahmen],"&gt;="&amp;M$5,tblAuftraege[Datum Einnahmen],"&lt;"&amp;EDATE(M$5,1),tblAuftraege[Auftrag],$A46))</f>
        <v>0</v>
      </c>
      <c r="N46" s="11" t="n">
        <f aca="false">IF($A46="",0,SUMIFS(tblAuftraege[Einnahmen],tblAuftraege[Datum Einnahmen],"&gt;="&amp;N$5,tblAuftraege[Datum Einnahmen],"&lt;"&amp;EDATE(N$5,1),tblAuftraege[Auftrag],$A46))</f>
        <v>0</v>
      </c>
      <c r="O46" s="11" t="n">
        <f aca="false">IF($A46="",0,SUMIFS(tblAuftraege[Einnahmen],tblAuftraege[Datum Einnahmen],"&gt;="&amp;O$5,tblAuftraege[Datum Einnahmen],"&lt;"&amp;EDATE(O$5,1),tblAuftraege[Auftrag],$A46))</f>
        <v>0</v>
      </c>
      <c r="P46" s="11" t="n">
        <f aca="false">IF($A46="",0,SUMIFS(tblAuftraege[Einnahmen],tblAuftraege[Datum Einnahmen],"&gt;="&amp;P$5,tblAuftraege[Datum Einnahmen],"&lt;"&amp;EDATE(P$5,1),tblAuftraege[Auftrag],$A46))</f>
        <v>0</v>
      </c>
      <c r="Q46" s="11" t="n">
        <f aca="false">IF($A46="",0,SUMIFS(tblAuftraege[Einnahmen],tblAuftraege[Datum Einnahmen],"&gt;="&amp;Q$5,tblAuftraege[Datum Einnahmen],"&lt;"&amp;EDATE(Q$5,1),tblAuftraege[Auftrag],$A46))</f>
        <v>0</v>
      </c>
      <c r="R46" s="11" t="n">
        <f aca="false">IF($A46="",0,SUMIFS(tblAuftraege[Einnahmen],tblAuftraege[Datum Einnahmen],"&gt;="&amp;R$5,tblAuftraege[Datum Einnahmen],"&lt;"&amp;EDATE(R$5,1),tblAuftraege[Auftrag],$A46))</f>
        <v>0</v>
      </c>
      <c r="S46" s="11" t="n">
        <f aca="false">IF($A46="",0,SUMIFS(tblAuftraege[Einnahmen],tblAuftraege[Datum Einnahmen],"&gt;="&amp;S$5,tblAuftraege[Datum Einnahmen],"&lt;"&amp;EDATE(S$5,1),tblAuftraege[Auftrag],$A46))</f>
        <v>0</v>
      </c>
      <c r="T46" s="11" t="n">
        <f aca="false">IF($A46="",0,SUMIFS(tblAuftraege[Einnahmen],tblAuftraege[Datum Einnahmen],"&gt;="&amp;T$5,tblAuftraege[Datum Einnahmen],"&lt;"&amp;EDATE(T$5,1),tblAuftraege[Auftrag],$A46))</f>
        <v>0</v>
      </c>
      <c r="U46" s="11" t="n">
        <f aca="false">IF($A46="",0,SUMIFS(tblAuftraege[Einnahmen],tblAuftraege[Datum Einnahmen],"&gt;="&amp;U$5,tblAuftraege[Datum Einnahmen],"&lt;"&amp;EDATE(U$5,1),tblAuftraege[Auftrag],$A46))</f>
        <v>0</v>
      </c>
      <c r="V46" s="11" t="n">
        <f aca="false">IF($A46="",0,SUMIFS(tblAuftraege[Einnahmen],tblAuftraege[Datum Einnahmen],"&gt;="&amp;V$5,tblAuftraege[Datum Einnahmen],"&lt;"&amp;EDATE(V$5,1),tblAuftraege[Auftrag],$A46))</f>
        <v>0</v>
      </c>
      <c r="W46" s="11" t="n">
        <f aca="false">SUM(E46:J46)</f>
        <v>0</v>
      </c>
      <c r="X46" s="11" t="n">
        <f aca="false">SUM(K46:V46)</f>
        <v>0</v>
      </c>
      <c r="Y46" s="12" t="n">
        <f aca="false">SUM(E46:V46)</f>
        <v>0</v>
      </c>
    </row>
    <row r="47" customFormat="false" ht="15" hidden="false" customHeight="false" outlineLevel="0" collapsed="false">
      <c r="A47" s="9"/>
      <c r="B47" s="10" t="str">
        <f aca="false">IF($A47="","",IFERROR(INDEX(tblAuftraege[Kostenstelle],MATCH($A47,tblAuftraege[Auftrag],0)),""))</f>
        <v/>
      </c>
      <c r="C47" s="10" t="str">
        <f aca="false">IF($A47="","",IFERROR(INDEX(tblAuftraege[Themenfeld],MATCH($A47,tblAuftraege[Auftrag],0)),""))</f>
        <v/>
      </c>
      <c r="D47" s="10" t="str">
        <f aca="false">IF($A47="","",IFERROR(INDEX(tblAuftraege[Kategorie],MATCH($A47,tblAuftraege[Auftrag],0)),""))</f>
        <v/>
      </c>
      <c r="E47" s="11" t="n">
        <f aca="false">IF($A47="",0,SUMIFS(tblAuftraege[Einnahmen],tblAuftraege[Datum Einnahmen],"&gt;="&amp;E$5,tblAuftraege[Datum Einnahmen],"&lt;"&amp;EDATE(E$5,1),tblAuftraege[Auftrag],$A47))</f>
        <v>0</v>
      </c>
      <c r="F47" s="11" t="n">
        <f aca="false">IF($A47="",0,SUMIFS(tblAuftraege[Einnahmen],tblAuftraege[Datum Einnahmen],"&gt;="&amp;F$5,tblAuftraege[Datum Einnahmen],"&lt;"&amp;EDATE(F$5,1),tblAuftraege[Auftrag],$A47))</f>
        <v>0</v>
      </c>
      <c r="G47" s="11" t="n">
        <f aca="false">IF($A47="",0,SUMIFS(tblAuftraege[Einnahmen],tblAuftraege[Datum Einnahmen],"&gt;="&amp;G$5,tblAuftraege[Datum Einnahmen],"&lt;"&amp;EDATE(G$5,1),tblAuftraege[Auftrag],$A47))</f>
        <v>0</v>
      </c>
      <c r="H47" s="11" t="n">
        <f aca="false">IF($A47="",0,SUMIFS(tblAuftraege[Einnahmen],tblAuftraege[Datum Einnahmen],"&gt;="&amp;H$5,tblAuftraege[Datum Einnahmen],"&lt;"&amp;EDATE(H$5,1),tblAuftraege[Auftrag],$A47))</f>
        <v>0</v>
      </c>
      <c r="I47" s="11" t="n">
        <f aca="false">IF($A47="",0,SUMIFS(tblAuftraege[Einnahmen],tblAuftraege[Datum Einnahmen],"&gt;="&amp;I$5,tblAuftraege[Datum Einnahmen],"&lt;"&amp;EDATE(I$5,1),tblAuftraege[Auftrag],$A47))</f>
        <v>0</v>
      </c>
      <c r="J47" s="11" t="n">
        <f aca="false">IF($A47="",0,SUMIFS(tblAuftraege[Einnahmen],tblAuftraege[Datum Einnahmen],"&gt;="&amp;J$5,tblAuftraege[Datum Einnahmen],"&lt;"&amp;EDATE(J$5,1),tblAuftraege[Auftrag],$A47))</f>
        <v>0</v>
      </c>
      <c r="K47" s="11" t="n">
        <f aca="false">IF($A47="",0,SUMIFS(tblAuftraege[Einnahmen],tblAuftraege[Datum Einnahmen],"&gt;="&amp;K$5,tblAuftraege[Datum Einnahmen],"&lt;"&amp;EDATE(K$5,1),tblAuftraege[Auftrag],$A47))</f>
        <v>0</v>
      </c>
      <c r="L47" s="11" t="n">
        <f aca="false">IF($A47="",0,SUMIFS(tblAuftraege[Einnahmen],tblAuftraege[Datum Einnahmen],"&gt;="&amp;L$5,tblAuftraege[Datum Einnahmen],"&lt;"&amp;EDATE(L$5,1),tblAuftraege[Auftrag],$A47))</f>
        <v>0</v>
      </c>
      <c r="M47" s="11" t="n">
        <f aca="false">IF($A47="",0,SUMIFS(tblAuftraege[Einnahmen],tblAuftraege[Datum Einnahmen],"&gt;="&amp;M$5,tblAuftraege[Datum Einnahmen],"&lt;"&amp;EDATE(M$5,1),tblAuftraege[Auftrag],$A47))</f>
        <v>0</v>
      </c>
      <c r="N47" s="11" t="n">
        <f aca="false">IF($A47="",0,SUMIFS(tblAuftraege[Einnahmen],tblAuftraege[Datum Einnahmen],"&gt;="&amp;N$5,tblAuftraege[Datum Einnahmen],"&lt;"&amp;EDATE(N$5,1),tblAuftraege[Auftrag],$A47))</f>
        <v>0</v>
      </c>
      <c r="O47" s="11" t="n">
        <f aca="false">IF($A47="",0,SUMIFS(tblAuftraege[Einnahmen],tblAuftraege[Datum Einnahmen],"&gt;="&amp;O$5,tblAuftraege[Datum Einnahmen],"&lt;"&amp;EDATE(O$5,1),tblAuftraege[Auftrag],$A47))</f>
        <v>0</v>
      </c>
      <c r="P47" s="11" t="n">
        <f aca="false">IF($A47="",0,SUMIFS(tblAuftraege[Einnahmen],tblAuftraege[Datum Einnahmen],"&gt;="&amp;P$5,tblAuftraege[Datum Einnahmen],"&lt;"&amp;EDATE(P$5,1),tblAuftraege[Auftrag],$A47))</f>
        <v>0</v>
      </c>
      <c r="Q47" s="11" t="n">
        <f aca="false">IF($A47="",0,SUMIFS(tblAuftraege[Einnahmen],tblAuftraege[Datum Einnahmen],"&gt;="&amp;Q$5,tblAuftraege[Datum Einnahmen],"&lt;"&amp;EDATE(Q$5,1),tblAuftraege[Auftrag],$A47))</f>
        <v>0</v>
      </c>
      <c r="R47" s="11" t="n">
        <f aca="false">IF($A47="",0,SUMIFS(tblAuftraege[Einnahmen],tblAuftraege[Datum Einnahmen],"&gt;="&amp;R$5,tblAuftraege[Datum Einnahmen],"&lt;"&amp;EDATE(R$5,1),tblAuftraege[Auftrag],$A47))</f>
        <v>0</v>
      </c>
      <c r="S47" s="11" t="n">
        <f aca="false">IF($A47="",0,SUMIFS(tblAuftraege[Einnahmen],tblAuftraege[Datum Einnahmen],"&gt;="&amp;S$5,tblAuftraege[Datum Einnahmen],"&lt;"&amp;EDATE(S$5,1),tblAuftraege[Auftrag],$A47))</f>
        <v>0</v>
      </c>
      <c r="T47" s="11" t="n">
        <f aca="false">IF($A47="",0,SUMIFS(tblAuftraege[Einnahmen],tblAuftraege[Datum Einnahmen],"&gt;="&amp;T$5,tblAuftraege[Datum Einnahmen],"&lt;"&amp;EDATE(T$5,1),tblAuftraege[Auftrag],$A47))</f>
        <v>0</v>
      </c>
      <c r="U47" s="11" t="n">
        <f aca="false">IF($A47="",0,SUMIFS(tblAuftraege[Einnahmen],tblAuftraege[Datum Einnahmen],"&gt;="&amp;U$5,tblAuftraege[Datum Einnahmen],"&lt;"&amp;EDATE(U$5,1),tblAuftraege[Auftrag],$A47))</f>
        <v>0</v>
      </c>
      <c r="V47" s="11" t="n">
        <f aca="false">IF($A47="",0,SUMIFS(tblAuftraege[Einnahmen],tblAuftraege[Datum Einnahmen],"&gt;="&amp;V$5,tblAuftraege[Datum Einnahmen],"&lt;"&amp;EDATE(V$5,1),tblAuftraege[Auftrag],$A47))</f>
        <v>0</v>
      </c>
      <c r="W47" s="11" t="n">
        <f aca="false">SUM(E47:J47)</f>
        <v>0</v>
      </c>
      <c r="X47" s="11" t="n">
        <f aca="false">SUM(K47:V47)</f>
        <v>0</v>
      </c>
      <c r="Y47" s="12" t="n">
        <f aca="false">SUM(E47:V47)</f>
        <v>0</v>
      </c>
    </row>
    <row r="48" customFormat="false" ht="15" hidden="false" customHeight="false" outlineLevel="0" collapsed="false">
      <c r="A48" s="9"/>
      <c r="B48" s="10" t="str">
        <f aca="false">IF($A48="","",IFERROR(INDEX(tblAuftraege[Kostenstelle],MATCH($A48,tblAuftraege[Auftrag],0)),""))</f>
        <v/>
      </c>
      <c r="C48" s="10" t="str">
        <f aca="false">IF($A48="","",IFERROR(INDEX(tblAuftraege[Themenfeld],MATCH($A48,tblAuftraege[Auftrag],0)),""))</f>
        <v/>
      </c>
      <c r="D48" s="10" t="str">
        <f aca="false">IF($A48="","",IFERROR(INDEX(tblAuftraege[Kategorie],MATCH($A48,tblAuftraege[Auftrag],0)),""))</f>
        <v/>
      </c>
      <c r="E48" s="11" t="n">
        <f aca="false">IF($A48="",0,SUMIFS(tblAuftraege[Einnahmen],tblAuftraege[Datum Einnahmen],"&gt;="&amp;E$5,tblAuftraege[Datum Einnahmen],"&lt;"&amp;EDATE(E$5,1),tblAuftraege[Auftrag],$A48))</f>
        <v>0</v>
      </c>
      <c r="F48" s="11" t="n">
        <f aca="false">IF($A48="",0,SUMIFS(tblAuftraege[Einnahmen],tblAuftraege[Datum Einnahmen],"&gt;="&amp;F$5,tblAuftraege[Datum Einnahmen],"&lt;"&amp;EDATE(F$5,1),tblAuftraege[Auftrag],$A48))</f>
        <v>0</v>
      </c>
      <c r="G48" s="11" t="n">
        <f aca="false">IF($A48="",0,SUMIFS(tblAuftraege[Einnahmen],tblAuftraege[Datum Einnahmen],"&gt;="&amp;G$5,tblAuftraege[Datum Einnahmen],"&lt;"&amp;EDATE(G$5,1),tblAuftraege[Auftrag],$A48))</f>
        <v>0</v>
      </c>
      <c r="H48" s="11" t="n">
        <f aca="false">IF($A48="",0,SUMIFS(tblAuftraege[Einnahmen],tblAuftraege[Datum Einnahmen],"&gt;="&amp;H$5,tblAuftraege[Datum Einnahmen],"&lt;"&amp;EDATE(H$5,1),tblAuftraege[Auftrag],$A48))</f>
        <v>0</v>
      </c>
      <c r="I48" s="11" t="n">
        <f aca="false">IF($A48="",0,SUMIFS(tblAuftraege[Einnahmen],tblAuftraege[Datum Einnahmen],"&gt;="&amp;I$5,tblAuftraege[Datum Einnahmen],"&lt;"&amp;EDATE(I$5,1),tblAuftraege[Auftrag],$A48))</f>
        <v>0</v>
      </c>
      <c r="J48" s="11" t="n">
        <f aca="false">IF($A48="",0,SUMIFS(tblAuftraege[Einnahmen],tblAuftraege[Datum Einnahmen],"&gt;="&amp;J$5,tblAuftraege[Datum Einnahmen],"&lt;"&amp;EDATE(J$5,1),tblAuftraege[Auftrag],$A48))</f>
        <v>0</v>
      </c>
      <c r="K48" s="11" t="n">
        <f aca="false">IF($A48="",0,SUMIFS(tblAuftraege[Einnahmen],tblAuftraege[Datum Einnahmen],"&gt;="&amp;K$5,tblAuftraege[Datum Einnahmen],"&lt;"&amp;EDATE(K$5,1),tblAuftraege[Auftrag],$A48))</f>
        <v>0</v>
      </c>
      <c r="L48" s="11" t="n">
        <f aca="false">IF($A48="",0,SUMIFS(tblAuftraege[Einnahmen],tblAuftraege[Datum Einnahmen],"&gt;="&amp;L$5,tblAuftraege[Datum Einnahmen],"&lt;"&amp;EDATE(L$5,1),tblAuftraege[Auftrag],$A48))</f>
        <v>0</v>
      </c>
      <c r="M48" s="11" t="n">
        <f aca="false">IF($A48="",0,SUMIFS(tblAuftraege[Einnahmen],tblAuftraege[Datum Einnahmen],"&gt;="&amp;M$5,tblAuftraege[Datum Einnahmen],"&lt;"&amp;EDATE(M$5,1),tblAuftraege[Auftrag],$A48))</f>
        <v>0</v>
      </c>
      <c r="N48" s="11" t="n">
        <f aca="false">IF($A48="",0,SUMIFS(tblAuftraege[Einnahmen],tblAuftraege[Datum Einnahmen],"&gt;="&amp;N$5,tblAuftraege[Datum Einnahmen],"&lt;"&amp;EDATE(N$5,1),tblAuftraege[Auftrag],$A48))</f>
        <v>0</v>
      </c>
      <c r="O48" s="11" t="n">
        <f aca="false">IF($A48="",0,SUMIFS(tblAuftraege[Einnahmen],tblAuftraege[Datum Einnahmen],"&gt;="&amp;O$5,tblAuftraege[Datum Einnahmen],"&lt;"&amp;EDATE(O$5,1),tblAuftraege[Auftrag],$A48))</f>
        <v>0</v>
      </c>
      <c r="P48" s="11" t="n">
        <f aca="false">IF($A48="",0,SUMIFS(tblAuftraege[Einnahmen],tblAuftraege[Datum Einnahmen],"&gt;="&amp;P$5,tblAuftraege[Datum Einnahmen],"&lt;"&amp;EDATE(P$5,1),tblAuftraege[Auftrag],$A48))</f>
        <v>0</v>
      </c>
      <c r="Q48" s="11" t="n">
        <f aca="false">IF($A48="",0,SUMIFS(tblAuftraege[Einnahmen],tblAuftraege[Datum Einnahmen],"&gt;="&amp;Q$5,tblAuftraege[Datum Einnahmen],"&lt;"&amp;EDATE(Q$5,1),tblAuftraege[Auftrag],$A48))</f>
        <v>0</v>
      </c>
      <c r="R48" s="11" t="n">
        <f aca="false">IF($A48="",0,SUMIFS(tblAuftraege[Einnahmen],tblAuftraege[Datum Einnahmen],"&gt;="&amp;R$5,tblAuftraege[Datum Einnahmen],"&lt;"&amp;EDATE(R$5,1),tblAuftraege[Auftrag],$A48))</f>
        <v>0</v>
      </c>
      <c r="S48" s="11" t="n">
        <f aca="false">IF($A48="",0,SUMIFS(tblAuftraege[Einnahmen],tblAuftraege[Datum Einnahmen],"&gt;="&amp;S$5,tblAuftraege[Datum Einnahmen],"&lt;"&amp;EDATE(S$5,1),tblAuftraege[Auftrag],$A48))</f>
        <v>0</v>
      </c>
      <c r="T48" s="11" t="n">
        <f aca="false">IF($A48="",0,SUMIFS(tblAuftraege[Einnahmen],tblAuftraege[Datum Einnahmen],"&gt;="&amp;T$5,tblAuftraege[Datum Einnahmen],"&lt;"&amp;EDATE(T$5,1),tblAuftraege[Auftrag],$A48))</f>
        <v>0</v>
      </c>
      <c r="U48" s="11" t="n">
        <f aca="false">IF($A48="",0,SUMIFS(tblAuftraege[Einnahmen],tblAuftraege[Datum Einnahmen],"&gt;="&amp;U$5,tblAuftraege[Datum Einnahmen],"&lt;"&amp;EDATE(U$5,1),tblAuftraege[Auftrag],$A48))</f>
        <v>0</v>
      </c>
      <c r="V48" s="11" t="n">
        <f aca="false">IF($A48="",0,SUMIFS(tblAuftraege[Einnahmen],tblAuftraege[Datum Einnahmen],"&gt;="&amp;V$5,tblAuftraege[Datum Einnahmen],"&lt;"&amp;EDATE(V$5,1),tblAuftraege[Auftrag],$A48))</f>
        <v>0</v>
      </c>
      <c r="W48" s="11" t="n">
        <f aca="false">SUM(E48:J48)</f>
        <v>0</v>
      </c>
      <c r="X48" s="11" t="n">
        <f aca="false">SUM(K48:V48)</f>
        <v>0</v>
      </c>
      <c r="Y48" s="12" t="n">
        <f aca="false">SUM(E48:V48)</f>
        <v>0</v>
      </c>
    </row>
    <row r="49" customFormat="false" ht="15" hidden="false" customHeight="false" outlineLevel="0" collapsed="false">
      <c r="A49" s="9"/>
      <c r="B49" s="10" t="str">
        <f aca="false">IF($A49="","",IFERROR(INDEX(tblAuftraege[Kostenstelle],MATCH($A49,tblAuftraege[Auftrag],0)),""))</f>
        <v/>
      </c>
      <c r="C49" s="10" t="str">
        <f aca="false">IF($A49="","",IFERROR(INDEX(tblAuftraege[Themenfeld],MATCH($A49,tblAuftraege[Auftrag],0)),""))</f>
        <v/>
      </c>
      <c r="D49" s="10" t="str">
        <f aca="false">IF($A49="","",IFERROR(INDEX(tblAuftraege[Kategorie],MATCH($A49,tblAuftraege[Auftrag],0)),""))</f>
        <v/>
      </c>
      <c r="E49" s="11" t="n">
        <f aca="false">IF($A49="",0,SUMIFS(tblAuftraege[Einnahmen],tblAuftraege[Datum Einnahmen],"&gt;="&amp;E$5,tblAuftraege[Datum Einnahmen],"&lt;"&amp;EDATE(E$5,1),tblAuftraege[Auftrag],$A49))</f>
        <v>0</v>
      </c>
      <c r="F49" s="11" t="n">
        <f aca="false">IF($A49="",0,SUMIFS(tblAuftraege[Einnahmen],tblAuftraege[Datum Einnahmen],"&gt;="&amp;F$5,tblAuftraege[Datum Einnahmen],"&lt;"&amp;EDATE(F$5,1),tblAuftraege[Auftrag],$A49))</f>
        <v>0</v>
      </c>
      <c r="G49" s="11" t="n">
        <f aca="false">IF($A49="",0,SUMIFS(tblAuftraege[Einnahmen],tblAuftraege[Datum Einnahmen],"&gt;="&amp;G$5,tblAuftraege[Datum Einnahmen],"&lt;"&amp;EDATE(G$5,1),tblAuftraege[Auftrag],$A49))</f>
        <v>0</v>
      </c>
      <c r="H49" s="11" t="n">
        <f aca="false">IF($A49="",0,SUMIFS(tblAuftraege[Einnahmen],tblAuftraege[Datum Einnahmen],"&gt;="&amp;H$5,tblAuftraege[Datum Einnahmen],"&lt;"&amp;EDATE(H$5,1),tblAuftraege[Auftrag],$A49))</f>
        <v>0</v>
      </c>
      <c r="I49" s="11" t="n">
        <f aca="false">IF($A49="",0,SUMIFS(tblAuftraege[Einnahmen],tblAuftraege[Datum Einnahmen],"&gt;="&amp;I$5,tblAuftraege[Datum Einnahmen],"&lt;"&amp;EDATE(I$5,1),tblAuftraege[Auftrag],$A49))</f>
        <v>0</v>
      </c>
      <c r="J49" s="11" t="n">
        <f aca="false">IF($A49="",0,SUMIFS(tblAuftraege[Einnahmen],tblAuftraege[Datum Einnahmen],"&gt;="&amp;J$5,tblAuftraege[Datum Einnahmen],"&lt;"&amp;EDATE(J$5,1),tblAuftraege[Auftrag],$A49))</f>
        <v>0</v>
      </c>
      <c r="K49" s="11" t="n">
        <f aca="false">IF($A49="",0,SUMIFS(tblAuftraege[Einnahmen],tblAuftraege[Datum Einnahmen],"&gt;="&amp;K$5,tblAuftraege[Datum Einnahmen],"&lt;"&amp;EDATE(K$5,1),tblAuftraege[Auftrag],$A49))</f>
        <v>0</v>
      </c>
      <c r="L49" s="11" t="n">
        <f aca="false">IF($A49="",0,SUMIFS(tblAuftraege[Einnahmen],tblAuftraege[Datum Einnahmen],"&gt;="&amp;L$5,tblAuftraege[Datum Einnahmen],"&lt;"&amp;EDATE(L$5,1),tblAuftraege[Auftrag],$A49))</f>
        <v>0</v>
      </c>
      <c r="M49" s="11" t="n">
        <f aca="false">IF($A49="",0,SUMIFS(tblAuftraege[Einnahmen],tblAuftraege[Datum Einnahmen],"&gt;="&amp;M$5,tblAuftraege[Datum Einnahmen],"&lt;"&amp;EDATE(M$5,1),tblAuftraege[Auftrag],$A49))</f>
        <v>0</v>
      </c>
      <c r="N49" s="11" t="n">
        <f aca="false">IF($A49="",0,SUMIFS(tblAuftraege[Einnahmen],tblAuftraege[Datum Einnahmen],"&gt;="&amp;N$5,tblAuftraege[Datum Einnahmen],"&lt;"&amp;EDATE(N$5,1),tblAuftraege[Auftrag],$A49))</f>
        <v>0</v>
      </c>
      <c r="O49" s="11" t="n">
        <f aca="false">IF($A49="",0,SUMIFS(tblAuftraege[Einnahmen],tblAuftraege[Datum Einnahmen],"&gt;="&amp;O$5,tblAuftraege[Datum Einnahmen],"&lt;"&amp;EDATE(O$5,1),tblAuftraege[Auftrag],$A49))</f>
        <v>0</v>
      </c>
      <c r="P49" s="11" t="n">
        <f aca="false">IF($A49="",0,SUMIFS(tblAuftraege[Einnahmen],tblAuftraege[Datum Einnahmen],"&gt;="&amp;P$5,tblAuftraege[Datum Einnahmen],"&lt;"&amp;EDATE(P$5,1),tblAuftraege[Auftrag],$A49))</f>
        <v>0</v>
      </c>
      <c r="Q49" s="11" t="n">
        <f aca="false">IF($A49="",0,SUMIFS(tblAuftraege[Einnahmen],tblAuftraege[Datum Einnahmen],"&gt;="&amp;Q$5,tblAuftraege[Datum Einnahmen],"&lt;"&amp;EDATE(Q$5,1),tblAuftraege[Auftrag],$A49))</f>
        <v>0</v>
      </c>
      <c r="R49" s="11" t="n">
        <f aca="false">IF($A49="",0,SUMIFS(tblAuftraege[Einnahmen],tblAuftraege[Datum Einnahmen],"&gt;="&amp;R$5,tblAuftraege[Datum Einnahmen],"&lt;"&amp;EDATE(R$5,1),tblAuftraege[Auftrag],$A49))</f>
        <v>0</v>
      </c>
      <c r="S49" s="11" t="n">
        <f aca="false">IF($A49="",0,SUMIFS(tblAuftraege[Einnahmen],tblAuftraege[Datum Einnahmen],"&gt;="&amp;S$5,tblAuftraege[Datum Einnahmen],"&lt;"&amp;EDATE(S$5,1),tblAuftraege[Auftrag],$A49))</f>
        <v>0</v>
      </c>
      <c r="T49" s="11" t="n">
        <f aca="false">IF($A49="",0,SUMIFS(tblAuftraege[Einnahmen],tblAuftraege[Datum Einnahmen],"&gt;="&amp;T$5,tblAuftraege[Datum Einnahmen],"&lt;"&amp;EDATE(T$5,1),tblAuftraege[Auftrag],$A49))</f>
        <v>0</v>
      </c>
      <c r="U49" s="11" t="n">
        <f aca="false">IF($A49="",0,SUMIFS(tblAuftraege[Einnahmen],tblAuftraege[Datum Einnahmen],"&gt;="&amp;U$5,tblAuftraege[Datum Einnahmen],"&lt;"&amp;EDATE(U$5,1),tblAuftraege[Auftrag],$A49))</f>
        <v>0</v>
      </c>
      <c r="V49" s="11" t="n">
        <f aca="false">IF($A49="",0,SUMIFS(tblAuftraege[Einnahmen],tblAuftraege[Datum Einnahmen],"&gt;="&amp;V$5,tblAuftraege[Datum Einnahmen],"&lt;"&amp;EDATE(V$5,1),tblAuftraege[Auftrag],$A49))</f>
        <v>0</v>
      </c>
      <c r="W49" s="11" t="n">
        <f aca="false">SUM(E49:J49)</f>
        <v>0</v>
      </c>
      <c r="X49" s="11" t="n">
        <f aca="false">SUM(K49:V49)</f>
        <v>0</v>
      </c>
      <c r="Y49" s="12" t="n">
        <f aca="false">SUM(E49:V49)</f>
        <v>0</v>
      </c>
    </row>
    <row r="50" customFormat="false" ht="15" hidden="false" customHeight="false" outlineLevel="0" collapsed="false">
      <c r="A50" s="9"/>
      <c r="B50" s="10" t="str">
        <f aca="false">IF($A50="","",IFERROR(INDEX(tblAuftraege[Kostenstelle],MATCH($A50,tblAuftraege[Auftrag],0)),""))</f>
        <v/>
      </c>
      <c r="C50" s="10" t="str">
        <f aca="false">IF($A50="","",IFERROR(INDEX(tblAuftraege[Themenfeld],MATCH($A50,tblAuftraege[Auftrag],0)),""))</f>
        <v/>
      </c>
      <c r="D50" s="10" t="str">
        <f aca="false">IF($A50="","",IFERROR(INDEX(tblAuftraege[Kategorie],MATCH($A50,tblAuftraege[Auftrag],0)),""))</f>
        <v/>
      </c>
      <c r="E50" s="11" t="n">
        <f aca="false">IF($A50="",0,SUMIFS(tblAuftraege[Einnahmen],tblAuftraege[Datum Einnahmen],"&gt;="&amp;E$5,tblAuftraege[Datum Einnahmen],"&lt;"&amp;EDATE(E$5,1),tblAuftraege[Auftrag],$A50))</f>
        <v>0</v>
      </c>
      <c r="F50" s="11" t="n">
        <f aca="false">IF($A50="",0,SUMIFS(tblAuftraege[Einnahmen],tblAuftraege[Datum Einnahmen],"&gt;="&amp;F$5,tblAuftraege[Datum Einnahmen],"&lt;"&amp;EDATE(F$5,1),tblAuftraege[Auftrag],$A50))</f>
        <v>0</v>
      </c>
      <c r="G50" s="11" t="n">
        <f aca="false">IF($A50="",0,SUMIFS(tblAuftraege[Einnahmen],tblAuftraege[Datum Einnahmen],"&gt;="&amp;G$5,tblAuftraege[Datum Einnahmen],"&lt;"&amp;EDATE(G$5,1),tblAuftraege[Auftrag],$A50))</f>
        <v>0</v>
      </c>
      <c r="H50" s="11" t="n">
        <f aca="false">IF($A50="",0,SUMIFS(tblAuftraege[Einnahmen],tblAuftraege[Datum Einnahmen],"&gt;="&amp;H$5,tblAuftraege[Datum Einnahmen],"&lt;"&amp;EDATE(H$5,1),tblAuftraege[Auftrag],$A50))</f>
        <v>0</v>
      </c>
      <c r="I50" s="11" t="n">
        <f aca="false">IF($A50="",0,SUMIFS(tblAuftraege[Einnahmen],tblAuftraege[Datum Einnahmen],"&gt;="&amp;I$5,tblAuftraege[Datum Einnahmen],"&lt;"&amp;EDATE(I$5,1),tblAuftraege[Auftrag],$A50))</f>
        <v>0</v>
      </c>
      <c r="J50" s="11" t="n">
        <f aca="false">IF($A50="",0,SUMIFS(tblAuftraege[Einnahmen],tblAuftraege[Datum Einnahmen],"&gt;="&amp;J$5,tblAuftraege[Datum Einnahmen],"&lt;"&amp;EDATE(J$5,1),tblAuftraege[Auftrag],$A50))</f>
        <v>0</v>
      </c>
      <c r="K50" s="11" t="n">
        <f aca="false">IF($A50="",0,SUMIFS(tblAuftraege[Einnahmen],tblAuftraege[Datum Einnahmen],"&gt;="&amp;K$5,tblAuftraege[Datum Einnahmen],"&lt;"&amp;EDATE(K$5,1),tblAuftraege[Auftrag],$A50))</f>
        <v>0</v>
      </c>
      <c r="L50" s="11" t="n">
        <f aca="false">IF($A50="",0,SUMIFS(tblAuftraege[Einnahmen],tblAuftraege[Datum Einnahmen],"&gt;="&amp;L$5,tblAuftraege[Datum Einnahmen],"&lt;"&amp;EDATE(L$5,1),tblAuftraege[Auftrag],$A50))</f>
        <v>0</v>
      </c>
      <c r="M50" s="11" t="n">
        <f aca="false">IF($A50="",0,SUMIFS(tblAuftraege[Einnahmen],tblAuftraege[Datum Einnahmen],"&gt;="&amp;M$5,tblAuftraege[Datum Einnahmen],"&lt;"&amp;EDATE(M$5,1),tblAuftraege[Auftrag],$A50))</f>
        <v>0</v>
      </c>
      <c r="N50" s="11" t="n">
        <f aca="false">IF($A50="",0,SUMIFS(tblAuftraege[Einnahmen],tblAuftraege[Datum Einnahmen],"&gt;="&amp;N$5,tblAuftraege[Datum Einnahmen],"&lt;"&amp;EDATE(N$5,1),tblAuftraege[Auftrag],$A50))</f>
        <v>0</v>
      </c>
      <c r="O50" s="11" t="n">
        <f aca="false">IF($A50="",0,SUMIFS(tblAuftraege[Einnahmen],tblAuftraege[Datum Einnahmen],"&gt;="&amp;O$5,tblAuftraege[Datum Einnahmen],"&lt;"&amp;EDATE(O$5,1),tblAuftraege[Auftrag],$A50))</f>
        <v>0</v>
      </c>
      <c r="P50" s="11" t="n">
        <f aca="false">IF($A50="",0,SUMIFS(tblAuftraege[Einnahmen],tblAuftraege[Datum Einnahmen],"&gt;="&amp;P$5,tblAuftraege[Datum Einnahmen],"&lt;"&amp;EDATE(P$5,1),tblAuftraege[Auftrag],$A50))</f>
        <v>0</v>
      </c>
      <c r="Q50" s="11" t="n">
        <f aca="false">IF($A50="",0,SUMIFS(tblAuftraege[Einnahmen],tblAuftraege[Datum Einnahmen],"&gt;="&amp;Q$5,tblAuftraege[Datum Einnahmen],"&lt;"&amp;EDATE(Q$5,1),tblAuftraege[Auftrag],$A50))</f>
        <v>0</v>
      </c>
      <c r="R50" s="11" t="n">
        <f aca="false">IF($A50="",0,SUMIFS(tblAuftraege[Einnahmen],tblAuftraege[Datum Einnahmen],"&gt;="&amp;R$5,tblAuftraege[Datum Einnahmen],"&lt;"&amp;EDATE(R$5,1),tblAuftraege[Auftrag],$A50))</f>
        <v>0</v>
      </c>
      <c r="S50" s="11" t="n">
        <f aca="false">IF($A50="",0,SUMIFS(tblAuftraege[Einnahmen],tblAuftraege[Datum Einnahmen],"&gt;="&amp;S$5,tblAuftraege[Datum Einnahmen],"&lt;"&amp;EDATE(S$5,1),tblAuftraege[Auftrag],$A50))</f>
        <v>0</v>
      </c>
      <c r="T50" s="11" t="n">
        <f aca="false">IF($A50="",0,SUMIFS(tblAuftraege[Einnahmen],tblAuftraege[Datum Einnahmen],"&gt;="&amp;T$5,tblAuftraege[Datum Einnahmen],"&lt;"&amp;EDATE(T$5,1),tblAuftraege[Auftrag],$A50))</f>
        <v>0</v>
      </c>
      <c r="U50" s="11" t="n">
        <f aca="false">IF($A50="",0,SUMIFS(tblAuftraege[Einnahmen],tblAuftraege[Datum Einnahmen],"&gt;="&amp;U$5,tblAuftraege[Datum Einnahmen],"&lt;"&amp;EDATE(U$5,1),tblAuftraege[Auftrag],$A50))</f>
        <v>0</v>
      </c>
      <c r="V50" s="11" t="n">
        <f aca="false">IF($A50="",0,SUMIFS(tblAuftraege[Einnahmen],tblAuftraege[Datum Einnahmen],"&gt;="&amp;V$5,tblAuftraege[Datum Einnahmen],"&lt;"&amp;EDATE(V$5,1),tblAuftraege[Auftrag],$A50))</f>
        <v>0</v>
      </c>
      <c r="W50" s="11" t="n">
        <f aca="false">SUM(E50:J50)</f>
        <v>0</v>
      </c>
      <c r="X50" s="11" t="n">
        <f aca="false">SUM(K50:V50)</f>
        <v>0</v>
      </c>
      <c r="Y50" s="12" t="n">
        <f aca="false">SUM(E50:V50)</f>
        <v>0</v>
      </c>
    </row>
    <row r="51" customFormat="false" ht="15" hidden="false" customHeight="false" outlineLevel="0" collapsed="false">
      <c r="A51" s="9"/>
      <c r="B51" s="10" t="str">
        <f aca="false">IF($A51="","",IFERROR(INDEX(tblAuftraege[Kostenstelle],MATCH($A51,tblAuftraege[Auftrag],0)),""))</f>
        <v/>
      </c>
      <c r="C51" s="10" t="str">
        <f aca="false">IF($A51="","",IFERROR(INDEX(tblAuftraege[Themenfeld],MATCH($A51,tblAuftraege[Auftrag],0)),""))</f>
        <v/>
      </c>
      <c r="D51" s="10" t="str">
        <f aca="false">IF($A51="","",IFERROR(INDEX(tblAuftraege[Kategorie],MATCH($A51,tblAuftraege[Auftrag],0)),""))</f>
        <v/>
      </c>
      <c r="E51" s="11" t="n">
        <f aca="false">IF($A51="",0,SUMIFS(tblAuftraege[Einnahmen],tblAuftraege[Datum Einnahmen],"&gt;="&amp;E$5,tblAuftraege[Datum Einnahmen],"&lt;"&amp;EDATE(E$5,1),tblAuftraege[Auftrag],$A51))</f>
        <v>0</v>
      </c>
      <c r="F51" s="11" t="n">
        <f aca="false">IF($A51="",0,SUMIFS(tblAuftraege[Einnahmen],tblAuftraege[Datum Einnahmen],"&gt;="&amp;F$5,tblAuftraege[Datum Einnahmen],"&lt;"&amp;EDATE(F$5,1),tblAuftraege[Auftrag],$A51))</f>
        <v>0</v>
      </c>
      <c r="G51" s="11" t="n">
        <f aca="false">IF($A51="",0,SUMIFS(tblAuftraege[Einnahmen],tblAuftraege[Datum Einnahmen],"&gt;="&amp;G$5,tblAuftraege[Datum Einnahmen],"&lt;"&amp;EDATE(G$5,1),tblAuftraege[Auftrag],$A51))</f>
        <v>0</v>
      </c>
      <c r="H51" s="11" t="n">
        <f aca="false">IF($A51="",0,SUMIFS(tblAuftraege[Einnahmen],tblAuftraege[Datum Einnahmen],"&gt;="&amp;H$5,tblAuftraege[Datum Einnahmen],"&lt;"&amp;EDATE(H$5,1),tblAuftraege[Auftrag],$A51))</f>
        <v>0</v>
      </c>
      <c r="I51" s="11" t="n">
        <f aca="false">IF($A51="",0,SUMIFS(tblAuftraege[Einnahmen],tblAuftraege[Datum Einnahmen],"&gt;="&amp;I$5,tblAuftraege[Datum Einnahmen],"&lt;"&amp;EDATE(I$5,1),tblAuftraege[Auftrag],$A51))</f>
        <v>0</v>
      </c>
      <c r="J51" s="11" t="n">
        <f aca="false">IF($A51="",0,SUMIFS(tblAuftraege[Einnahmen],tblAuftraege[Datum Einnahmen],"&gt;="&amp;J$5,tblAuftraege[Datum Einnahmen],"&lt;"&amp;EDATE(J$5,1),tblAuftraege[Auftrag],$A51))</f>
        <v>0</v>
      </c>
      <c r="K51" s="11" t="n">
        <f aca="false">IF($A51="",0,SUMIFS(tblAuftraege[Einnahmen],tblAuftraege[Datum Einnahmen],"&gt;="&amp;K$5,tblAuftraege[Datum Einnahmen],"&lt;"&amp;EDATE(K$5,1),tblAuftraege[Auftrag],$A51))</f>
        <v>0</v>
      </c>
      <c r="L51" s="11" t="n">
        <f aca="false">IF($A51="",0,SUMIFS(tblAuftraege[Einnahmen],tblAuftraege[Datum Einnahmen],"&gt;="&amp;L$5,tblAuftraege[Datum Einnahmen],"&lt;"&amp;EDATE(L$5,1),tblAuftraege[Auftrag],$A51))</f>
        <v>0</v>
      </c>
      <c r="M51" s="11" t="n">
        <f aca="false">IF($A51="",0,SUMIFS(tblAuftraege[Einnahmen],tblAuftraege[Datum Einnahmen],"&gt;="&amp;M$5,tblAuftraege[Datum Einnahmen],"&lt;"&amp;EDATE(M$5,1),tblAuftraege[Auftrag],$A51))</f>
        <v>0</v>
      </c>
      <c r="N51" s="11" t="n">
        <f aca="false">IF($A51="",0,SUMIFS(tblAuftraege[Einnahmen],tblAuftraege[Datum Einnahmen],"&gt;="&amp;N$5,tblAuftraege[Datum Einnahmen],"&lt;"&amp;EDATE(N$5,1),tblAuftraege[Auftrag],$A51))</f>
        <v>0</v>
      </c>
      <c r="O51" s="11" t="n">
        <f aca="false">IF($A51="",0,SUMIFS(tblAuftraege[Einnahmen],tblAuftraege[Datum Einnahmen],"&gt;="&amp;O$5,tblAuftraege[Datum Einnahmen],"&lt;"&amp;EDATE(O$5,1),tblAuftraege[Auftrag],$A51))</f>
        <v>0</v>
      </c>
      <c r="P51" s="11" t="n">
        <f aca="false">IF($A51="",0,SUMIFS(tblAuftraege[Einnahmen],tblAuftraege[Datum Einnahmen],"&gt;="&amp;P$5,tblAuftraege[Datum Einnahmen],"&lt;"&amp;EDATE(P$5,1),tblAuftraege[Auftrag],$A51))</f>
        <v>0</v>
      </c>
      <c r="Q51" s="11" t="n">
        <f aca="false">IF($A51="",0,SUMIFS(tblAuftraege[Einnahmen],tblAuftraege[Datum Einnahmen],"&gt;="&amp;Q$5,tblAuftraege[Datum Einnahmen],"&lt;"&amp;EDATE(Q$5,1),tblAuftraege[Auftrag],$A51))</f>
        <v>0</v>
      </c>
      <c r="R51" s="11" t="n">
        <f aca="false">IF($A51="",0,SUMIFS(tblAuftraege[Einnahmen],tblAuftraege[Datum Einnahmen],"&gt;="&amp;R$5,tblAuftraege[Datum Einnahmen],"&lt;"&amp;EDATE(R$5,1),tblAuftraege[Auftrag],$A51))</f>
        <v>0</v>
      </c>
      <c r="S51" s="11" t="n">
        <f aca="false">IF($A51="",0,SUMIFS(tblAuftraege[Einnahmen],tblAuftraege[Datum Einnahmen],"&gt;="&amp;S$5,tblAuftraege[Datum Einnahmen],"&lt;"&amp;EDATE(S$5,1),tblAuftraege[Auftrag],$A51))</f>
        <v>0</v>
      </c>
      <c r="T51" s="11" t="n">
        <f aca="false">IF($A51="",0,SUMIFS(tblAuftraege[Einnahmen],tblAuftraege[Datum Einnahmen],"&gt;="&amp;T$5,tblAuftraege[Datum Einnahmen],"&lt;"&amp;EDATE(T$5,1),tblAuftraege[Auftrag],$A51))</f>
        <v>0</v>
      </c>
      <c r="U51" s="11" t="n">
        <f aca="false">IF($A51="",0,SUMIFS(tblAuftraege[Einnahmen],tblAuftraege[Datum Einnahmen],"&gt;="&amp;U$5,tblAuftraege[Datum Einnahmen],"&lt;"&amp;EDATE(U$5,1),tblAuftraege[Auftrag],$A51))</f>
        <v>0</v>
      </c>
      <c r="V51" s="11" t="n">
        <f aca="false">IF($A51="",0,SUMIFS(tblAuftraege[Einnahmen],tblAuftraege[Datum Einnahmen],"&gt;="&amp;V$5,tblAuftraege[Datum Einnahmen],"&lt;"&amp;EDATE(V$5,1),tblAuftraege[Auftrag],$A51))</f>
        <v>0</v>
      </c>
      <c r="W51" s="11" t="n">
        <f aca="false">SUM(E51:J51)</f>
        <v>0</v>
      </c>
      <c r="X51" s="11" t="n">
        <f aca="false">SUM(K51:V51)</f>
        <v>0</v>
      </c>
      <c r="Y51" s="12" t="n">
        <f aca="false">SUM(E51:V51)</f>
        <v>0</v>
      </c>
    </row>
    <row r="52" customFormat="false" ht="15" hidden="false" customHeight="false" outlineLevel="0" collapsed="false">
      <c r="A52" s="9"/>
      <c r="B52" s="10" t="str">
        <f aca="false">IF($A52="","",IFERROR(INDEX(tblAuftraege[Kostenstelle],MATCH($A52,tblAuftraege[Auftrag],0)),""))</f>
        <v/>
      </c>
      <c r="C52" s="10" t="str">
        <f aca="false">IF($A52="","",IFERROR(INDEX(tblAuftraege[Themenfeld],MATCH($A52,tblAuftraege[Auftrag],0)),""))</f>
        <v/>
      </c>
      <c r="D52" s="10" t="str">
        <f aca="false">IF($A52="","",IFERROR(INDEX(tblAuftraege[Kategorie],MATCH($A52,tblAuftraege[Auftrag],0)),""))</f>
        <v/>
      </c>
      <c r="E52" s="11" t="n">
        <f aca="false">IF($A52="",0,SUMIFS(tblAuftraege[Einnahmen],tblAuftraege[Datum Einnahmen],"&gt;="&amp;E$5,tblAuftraege[Datum Einnahmen],"&lt;"&amp;EDATE(E$5,1),tblAuftraege[Auftrag],$A52))</f>
        <v>0</v>
      </c>
      <c r="F52" s="11" t="n">
        <f aca="false">IF($A52="",0,SUMIFS(tblAuftraege[Einnahmen],tblAuftraege[Datum Einnahmen],"&gt;="&amp;F$5,tblAuftraege[Datum Einnahmen],"&lt;"&amp;EDATE(F$5,1),tblAuftraege[Auftrag],$A52))</f>
        <v>0</v>
      </c>
      <c r="G52" s="11" t="n">
        <f aca="false">IF($A52="",0,SUMIFS(tblAuftraege[Einnahmen],tblAuftraege[Datum Einnahmen],"&gt;="&amp;G$5,tblAuftraege[Datum Einnahmen],"&lt;"&amp;EDATE(G$5,1),tblAuftraege[Auftrag],$A52))</f>
        <v>0</v>
      </c>
      <c r="H52" s="11" t="n">
        <f aca="false">IF($A52="",0,SUMIFS(tblAuftraege[Einnahmen],tblAuftraege[Datum Einnahmen],"&gt;="&amp;H$5,tblAuftraege[Datum Einnahmen],"&lt;"&amp;EDATE(H$5,1),tblAuftraege[Auftrag],$A52))</f>
        <v>0</v>
      </c>
      <c r="I52" s="11" t="n">
        <f aca="false">IF($A52="",0,SUMIFS(tblAuftraege[Einnahmen],tblAuftraege[Datum Einnahmen],"&gt;="&amp;I$5,tblAuftraege[Datum Einnahmen],"&lt;"&amp;EDATE(I$5,1),tblAuftraege[Auftrag],$A52))</f>
        <v>0</v>
      </c>
      <c r="J52" s="11" t="n">
        <f aca="false">IF($A52="",0,SUMIFS(tblAuftraege[Einnahmen],tblAuftraege[Datum Einnahmen],"&gt;="&amp;J$5,tblAuftraege[Datum Einnahmen],"&lt;"&amp;EDATE(J$5,1),tblAuftraege[Auftrag],$A52))</f>
        <v>0</v>
      </c>
      <c r="K52" s="11" t="n">
        <f aca="false">IF($A52="",0,SUMIFS(tblAuftraege[Einnahmen],tblAuftraege[Datum Einnahmen],"&gt;="&amp;K$5,tblAuftraege[Datum Einnahmen],"&lt;"&amp;EDATE(K$5,1),tblAuftraege[Auftrag],$A52))</f>
        <v>0</v>
      </c>
      <c r="L52" s="11" t="n">
        <f aca="false">IF($A52="",0,SUMIFS(tblAuftraege[Einnahmen],tblAuftraege[Datum Einnahmen],"&gt;="&amp;L$5,tblAuftraege[Datum Einnahmen],"&lt;"&amp;EDATE(L$5,1),tblAuftraege[Auftrag],$A52))</f>
        <v>0</v>
      </c>
      <c r="M52" s="11" t="n">
        <f aca="false">IF($A52="",0,SUMIFS(tblAuftraege[Einnahmen],tblAuftraege[Datum Einnahmen],"&gt;="&amp;M$5,tblAuftraege[Datum Einnahmen],"&lt;"&amp;EDATE(M$5,1),tblAuftraege[Auftrag],$A52))</f>
        <v>0</v>
      </c>
      <c r="N52" s="11" t="n">
        <f aca="false">IF($A52="",0,SUMIFS(tblAuftraege[Einnahmen],tblAuftraege[Datum Einnahmen],"&gt;="&amp;N$5,tblAuftraege[Datum Einnahmen],"&lt;"&amp;EDATE(N$5,1),tblAuftraege[Auftrag],$A52))</f>
        <v>0</v>
      </c>
      <c r="O52" s="11" t="n">
        <f aca="false">IF($A52="",0,SUMIFS(tblAuftraege[Einnahmen],tblAuftraege[Datum Einnahmen],"&gt;="&amp;O$5,tblAuftraege[Datum Einnahmen],"&lt;"&amp;EDATE(O$5,1),tblAuftraege[Auftrag],$A52))</f>
        <v>0</v>
      </c>
      <c r="P52" s="11" t="n">
        <f aca="false">IF($A52="",0,SUMIFS(tblAuftraege[Einnahmen],tblAuftraege[Datum Einnahmen],"&gt;="&amp;P$5,tblAuftraege[Datum Einnahmen],"&lt;"&amp;EDATE(P$5,1),tblAuftraege[Auftrag],$A52))</f>
        <v>0</v>
      </c>
      <c r="Q52" s="11" t="n">
        <f aca="false">IF($A52="",0,SUMIFS(tblAuftraege[Einnahmen],tblAuftraege[Datum Einnahmen],"&gt;="&amp;Q$5,tblAuftraege[Datum Einnahmen],"&lt;"&amp;EDATE(Q$5,1),tblAuftraege[Auftrag],$A52))</f>
        <v>0</v>
      </c>
      <c r="R52" s="11" t="n">
        <f aca="false">IF($A52="",0,SUMIFS(tblAuftraege[Einnahmen],tblAuftraege[Datum Einnahmen],"&gt;="&amp;R$5,tblAuftraege[Datum Einnahmen],"&lt;"&amp;EDATE(R$5,1),tblAuftraege[Auftrag],$A52))</f>
        <v>0</v>
      </c>
      <c r="S52" s="11" t="n">
        <f aca="false">IF($A52="",0,SUMIFS(tblAuftraege[Einnahmen],tblAuftraege[Datum Einnahmen],"&gt;="&amp;S$5,tblAuftraege[Datum Einnahmen],"&lt;"&amp;EDATE(S$5,1),tblAuftraege[Auftrag],$A52))</f>
        <v>0</v>
      </c>
      <c r="T52" s="11" t="n">
        <f aca="false">IF($A52="",0,SUMIFS(tblAuftraege[Einnahmen],tblAuftraege[Datum Einnahmen],"&gt;="&amp;T$5,tblAuftraege[Datum Einnahmen],"&lt;"&amp;EDATE(T$5,1),tblAuftraege[Auftrag],$A52))</f>
        <v>0</v>
      </c>
      <c r="U52" s="11" t="n">
        <f aca="false">IF($A52="",0,SUMIFS(tblAuftraege[Einnahmen],tblAuftraege[Datum Einnahmen],"&gt;="&amp;U$5,tblAuftraege[Datum Einnahmen],"&lt;"&amp;EDATE(U$5,1),tblAuftraege[Auftrag],$A52))</f>
        <v>0</v>
      </c>
      <c r="V52" s="11" t="n">
        <f aca="false">IF($A52="",0,SUMIFS(tblAuftraege[Einnahmen],tblAuftraege[Datum Einnahmen],"&gt;="&amp;V$5,tblAuftraege[Datum Einnahmen],"&lt;"&amp;EDATE(V$5,1),tblAuftraege[Auftrag],$A52))</f>
        <v>0</v>
      </c>
      <c r="W52" s="11" t="n">
        <f aca="false">SUM(E52:J52)</f>
        <v>0</v>
      </c>
      <c r="X52" s="11" t="n">
        <f aca="false">SUM(K52:V52)</f>
        <v>0</v>
      </c>
      <c r="Y52" s="12" t="n">
        <f aca="false">SUM(E52:V52)</f>
        <v>0</v>
      </c>
    </row>
    <row r="53" customFormat="false" ht="15" hidden="false" customHeight="false" outlineLevel="0" collapsed="false">
      <c r="A53" s="9"/>
      <c r="B53" s="10" t="str">
        <f aca="false">IF($A53="","",IFERROR(INDEX(tblAuftraege[Kostenstelle],MATCH($A53,tblAuftraege[Auftrag],0)),""))</f>
        <v/>
      </c>
      <c r="C53" s="10" t="str">
        <f aca="false">IF($A53="","",IFERROR(INDEX(tblAuftraege[Themenfeld],MATCH($A53,tblAuftraege[Auftrag],0)),""))</f>
        <v/>
      </c>
      <c r="D53" s="10" t="str">
        <f aca="false">IF($A53="","",IFERROR(INDEX(tblAuftraege[Kategorie],MATCH($A53,tblAuftraege[Auftrag],0)),""))</f>
        <v/>
      </c>
      <c r="E53" s="11" t="n">
        <f aca="false">IF($A53="",0,SUMIFS(tblAuftraege[Einnahmen],tblAuftraege[Datum Einnahmen],"&gt;="&amp;E$5,tblAuftraege[Datum Einnahmen],"&lt;"&amp;EDATE(E$5,1),tblAuftraege[Auftrag],$A53))</f>
        <v>0</v>
      </c>
      <c r="F53" s="11" t="n">
        <f aca="false">IF($A53="",0,SUMIFS(tblAuftraege[Einnahmen],tblAuftraege[Datum Einnahmen],"&gt;="&amp;F$5,tblAuftraege[Datum Einnahmen],"&lt;"&amp;EDATE(F$5,1),tblAuftraege[Auftrag],$A53))</f>
        <v>0</v>
      </c>
      <c r="G53" s="11" t="n">
        <f aca="false">IF($A53="",0,SUMIFS(tblAuftraege[Einnahmen],tblAuftraege[Datum Einnahmen],"&gt;="&amp;G$5,tblAuftraege[Datum Einnahmen],"&lt;"&amp;EDATE(G$5,1),tblAuftraege[Auftrag],$A53))</f>
        <v>0</v>
      </c>
      <c r="H53" s="11" t="n">
        <f aca="false">IF($A53="",0,SUMIFS(tblAuftraege[Einnahmen],tblAuftraege[Datum Einnahmen],"&gt;="&amp;H$5,tblAuftraege[Datum Einnahmen],"&lt;"&amp;EDATE(H$5,1),tblAuftraege[Auftrag],$A53))</f>
        <v>0</v>
      </c>
      <c r="I53" s="11" t="n">
        <f aca="false">IF($A53="",0,SUMIFS(tblAuftraege[Einnahmen],tblAuftraege[Datum Einnahmen],"&gt;="&amp;I$5,tblAuftraege[Datum Einnahmen],"&lt;"&amp;EDATE(I$5,1),tblAuftraege[Auftrag],$A53))</f>
        <v>0</v>
      </c>
      <c r="J53" s="11" t="n">
        <f aca="false">IF($A53="",0,SUMIFS(tblAuftraege[Einnahmen],tblAuftraege[Datum Einnahmen],"&gt;="&amp;J$5,tblAuftraege[Datum Einnahmen],"&lt;"&amp;EDATE(J$5,1),tblAuftraege[Auftrag],$A53))</f>
        <v>0</v>
      </c>
      <c r="K53" s="11" t="n">
        <f aca="false">IF($A53="",0,SUMIFS(tblAuftraege[Einnahmen],tblAuftraege[Datum Einnahmen],"&gt;="&amp;K$5,tblAuftraege[Datum Einnahmen],"&lt;"&amp;EDATE(K$5,1),tblAuftraege[Auftrag],$A53))</f>
        <v>0</v>
      </c>
      <c r="L53" s="11" t="n">
        <f aca="false">IF($A53="",0,SUMIFS(tblAuftraege[Einnahmen],tblAuftraege[Datum Einnahmen],"&gt;="&amp;L$5,tblAuftraege[Datum Einnahmen],"&lt;"&amp;EDATE(L$5,1),tblAuftraege[Auftrag],$A53))</f>
        <v>0</v>
      </c>
      <c r="M53" s="11" t="n">
        <f aca="false">IF($A53="",0,SUMIFS(tblAuftraege[Einnahmen],tblAuftraege[Datum Einnahmen],"&gt;="&amp;M$5,tblAuftraege[Datum Einnahmen],"&lt;"&amp;EDATE(M$5,1),tblAuftraege[Auftrag],$A53))</f>
        <v>0</v>
      </c>
      <c r="N53" s="11" t="n">
        <f aca="false">IF($A53="",0,SUMIFS(tblAuftraege[Einnahmen],tblAuftraege[Datum Einnahmen],"&gt;="&amp;N$5,tblAuftraege[Datum Einnahmen],"&lt;"&amp;EDATE(N$5,1),tblAuftraege[Auftrag],$A53))</f>
        <v>0</v>
      </c>
      <c r="O53" s="11" t="n">
        <f aca="false">IF($A53="",0,SUMIFS(tblAuftraege[Einnahmen],tblAuftraege[Datum Einnahmen],"&gt;="&amp;O$5,tblAuftraege[Datum Einnahmen],"&lt;"&amp;EDATE(O$5,1),tblAuftraege[Auftrag],$A53))</f>
        <v>0</v>
      </c>
      <c r="P53" s="11" t="n">
        <f aca="false">IF($A53="",0,SUMIFS(tblAuftraege[Einnahmen],tblAuftraege[Datum Einnahmen],"&gt;="&amp;P$5,tblAuftraege[Datum Einnahmen],"&lt;"&amp;EDATE(P$5,1),tblAuftraege[Auftrag],$A53))</f>
        <v>0</v>
      </c>
      <c r="Q53" s="11" t="n">
        <f aca="false">IF($A53="",0,SUMIFS(tblAuftraege[Einnahmen],tblAuftraege[Datum Einnahmen],"&gt;="&amp;Q$5,tblAuftraege[Datum Einnahmen],"&lt;"&amp;EDATE(Q$5,1),tblAuftraege[Auftrag],$A53))</f>
        <v>0</v>
      </c>
      <c r="R53" s="11" t="n">
        <f aca="false">IF($A53="",0,SUMIFS(tblAuftraege[Einnahmen],tblAuftraege[Datum Einnahmen],"&gt;="&amp;R$5,tblAuftraege[Datum Einnahmen],"&lt;"&amp;EDATE(R$5,1),tblAuftraege[Auftrag],$A53))</f>
        <v>0</v>
      </c>
      <c r="S53" s="11" t="n">
        <f aca="false">IF($A53="",0,SUMIFS(tblAuftraege[Einnahmen],tblAuftraege[Datum Einnahmen],"&gt;="&amp;S$5,tblAuftraege[Datum Einnahmen],"&lt;"&amp;EDATE(S$5,1),tblAuftraege[Auftrag],$A53))</f>
        <v>0</v>
      </c>
      <c r="T53" s="11" t="n">
        <f aca="false">IF($A53="",0,SUMIFS(tblAuftraege[Einnahmen],tblAuftraege[Datum Einnahmen],"&gt;="&amp;T$5,tblAuftraege[Datum Einnahmen],"&lt;"&amp;EDATE(T$5,1),tblAuftraege[Auftrag],$A53))</f>
        <v>0</v>
      </c>
      <c r="U53" s="11" t="n">
        <f aca="false">IF($A53="",0,SUMIFS(tblAuftraege[Einnahmen],tblAuftraege[Datum Einnahmen],"&gt;="&amp;U$5,tblAuftraege[Datum Einnahmen],"&lt;"&amp;EDATE(U$5,1),tblAuftraege[Auftrag],$A53))</f>
        <v>0</v>
      </c>
      <c r="V53" s="11" t="n">
        <f aca="false">IF($A53="",0,SUMIFS(tblAuftraege[Einnahmen],tblAuftraege[Datum Einnahmen],"&gt;="&amp;V$5,tblAuftraege[Datum Einnahmen],"&lt;"&amp;EDATE(V$5,1),tblAuftraege[Auftrag],$A53))</f>
        <v>0</v>
      </c>
      <c r="W53" s="11" t="n">
        <f aca="false">SUM(E53:J53)</f>
        <v>0</v>
      </c>
      <c r="X53" s="11" t="n">
        <f aca="false">SUM(K53:V53)</f>
        <v>0</v>
      </c>
      <c r="Y53" s="12" t="n">
        <f aca="false">SUM(E53:V53)</f>
        <v>0</v>
      </c>
    </row>
    <row r="54" customFormat="false" ht="15" hidden="false" customHeight="false" outlineLevel="0" collapsed="false">
      <c r="A54" s="9"/>
      <c r="B54" s="10" t="str">
        <f aca="false">IF($A54="","",IFERROR(INDEX(tblAuftraege[Kostenstelle],MATCH($A54,tblAuftraege[Auftrag],0)),""))</f>
        <v/>
      </c>
      <c r="C54" s="10" t="str">
        <f aca="false">IF($A54="","",IFERROR(INDEX(tblAuftraege[Themenfeld],MATCH($A54,tblAuftraege[Auftrag],0)),""))</f>
        <v/>
      </c>
      <c r="D54" s="10" t="str">
        <f aca="false">IF($A54="","",IFERROR(INDEX(tblAuftraege[Kategorie],MATCH($A54,tblAuftraege[Auftrag],0)),""))</f>
        <v/>
      </c>
      <c r="E54" s="11" t="n">
        <f aca="false">IF($A54="",0,SUMIFS(tblAuftraege[Einnahmen],tblAuftraege[Datum Einnahmen],"&gt;="&amp;E$5,tblAuftraege[Datum Einnahmen],"&lt;"&amp;EDATE(E$5,1),tblAuftraege[Auftrag],$A54))</f>
        <v>0</v>
      </c>
      <c r="F54" s="11" t="n">
        <f aca="false">IF($A54="",0,SUMIFS(tblAuftraege[Einnahmen],tblAuftraege[Datum Einnahmen],"&gt;="&amp;F$5,tblAuftraege[Datum Einnahmen],"&lt;"&amp;EDATE(F$5,1),tblAuftraege[Auftrag],$A54))</f>
        <v>0</v>
      </c>
      <c r="G54" s="11" t="n">
        <f aca="false">IF($A54="",0,SUMIFS(tblAuftraege[Einnahmen],tblAuftraege[Datum Einnahmen],"&gt;="&amp;G$5,tblAuftraege[Datum Einnahmen],"&lt;"&amp;EDATE(G$5,1),tblAuftraege[Auftrag],$A54))</f>
        <v>0</v>
      </c>
      <c r="H54" s="11" t="n">
        <f aca="false">IF($A54="",0,SUMIFS(tblAuftraege[Einnahmen],tblAuftraege[Datum Einnahmen],"&gt;="&amp;H$5,tblAuftraege[Datum Einnahmen],"&lt;"&amp;EDATE(H$5,1),tblAuftraege[Auftrag],$A54))</f>
        <v>0</v>
      </c>
      <c r="I54" s="11" t="n">
        <f aca="false">IF($A54="",0,SUMIFS(tblAuftraege[Einnahmen],tblAuftraege[Datum Einnahmen],"&gt;="&amp;I$5,tblAuftraege[Datum Einnahmen],"&lt;"&amp;EDATE(I$5,1),tblAuftraege[Auftrag],$A54))</f>
        <v>0</v>
      </c>
      <c r="J54" s="11" t="n">
        <f aca="false">IF($A54="",0,SUMIFS(tblAuftraege[Einnahmen],tblAuftraege[Datum Einnahmen],"&gt;="&amp;J$5,tblAuftraege[Datum Einnahmen],"&lt;"&amp;EDATE(J$5,1),tblAuftraege[Auftrag],$A54))</f>
        <v>0</v>
      </c>
      <c r="K54" s="11" t="n">
        <f aca="false">IF($A54="",0,SUMIFS(tblAuftraege[Einnahmen],tblAuftraege[Datum Einnahmen],"&gt;="&amp;K$5,tblAuftraege[Datum Einnahmen],"&lt;"&amp;EDATE(K$5,1),tblAuftraege[Auftrag],$A54))</f>
        <v>0</v>
      </c>
      <c r="L54" s="11" t="n">
        <f aca="false">IF($A54="",0,SUMIFS(tblAuftraege[Einnahmen],tblAuftraege[Datum Einnahmen],"&gt;="&amp;L$5,tblAuftraege[Datum Einnahmen],"&lt;"&amp;EDATE(L$5,1),tblAuftraege[Auftrag],$A54))</f>
        <v>0</v>
      </c>
      <c r="M54" s="11" t="n">
        <f aca="false">IF($A54="",0,SUMIFS(tblAuftraege[Einnahmen],tblAuftraege[Datum Einnahmen],"&gt;="&amp;M$5,tblAuftraege[Datum Einnahmen],"&lt;"&amp;EDATE(M$5,1),tblAuftraege[Auftrag],$A54))</f>
        <v>0</v>
      </c>
      <c r="N54" s="11" t="n">
        <f aca="false">IF($A54="",0,SUMIFS(tblAuftraege[Einnahmen],tblAuftraege[Datum Einnahmen],"&gt;="&amp;N$5,tblAuftraege[Datum Einnahmen],"&lt;"&amp;EDATE(N$5,1),tblAuftraege[Auftrag],$A54))</f>
        <v>0</v>
      </c>
      <c r="O54" s="11" t="n">
        <f aca="false">IF($A54="",0,SUMIFS(tblAuftraege[Einnahmen],tblAuftraege[Datum Einnahmen],"&gt;="&amp;O$5,tblAuftraege[Datum Einnahmen],"&lt;"&amp;EDATE(O$5,1),tblAuftraege[Auftrag],$A54))</f>
        <v>0</v>
      </c>
      <c r="P54" s="11" t="n">
        <f aca="false">IF($A54="",0,SUMIFS(tblAuftraege[Einnahmen],tblAuftraege[Datum Einnahmen],"&gt;="&amp;P$5,tblAuftraege[Datum Einnahmen],"&lt;"&amp;EDATE(P$5,1),tblAuftraege[Auftrag],$A54))</f>
        <v>0</v>
      </c>
      <c r="Q54" s="11" t="n">
        <f aca="false">IF($A54="",0,SUMIFS(tblAuftraege[Einnahmen],tblAuftraege[Datum Einnahmen],"&gt;="&amp;Q$5,tblAuftraege[Datum Einnahmen],"&lt;"&amp;EDATE(Q$5,1),tblAuftraege[Auftrag],$A54))</f>
        <v>0</v>
      </c>
      <c r="R54" s="11" t="n">
        <f aca="false">IF($A54="",0,SUMIFS(tblAuftraege[Einnahmen],tblAuftraege[Datum Einnahmen],"&gt;="&amp;R$5,tblAuftraege[Datum Einnahmen],"&lt;"&amp;EDATE(R$5,1),tblAuftraege[Auftrag],$A54))</f>
        <v>0</v>
      </c>
      <c r="S54" s="11" t="n">
        <f aca="false">IF($A54="",0,SUMIFS(tblAuftraege[Einnahmen],tblAuftraege[Datum Einnahmen],"&gt;="&amp;S$5,tblAuftraege[Datum Einnahmen],"&lt;"&amp;EDATE(S$5,1),tblAuftraege[Auftrag],$A54))</f>
        <v>0</v>
      </c>
      <c r="T54" s="11" t="n">
        <f aca="false">IF($A54="",0,SUMIFS(tblAuftraege[Einnahmen],tblAuftraege[Datum Einnahmen],"&gt;="&amp;T$5,tblAuftraege[Datum Einnahmen],"&lt;"&amp;EDATE(T$5,1),tblAuftraege[Auftrag],$A54))</f>
        <v>0</v>
      </c>
      <c r="U54" s="11" t="n">
        <f aca="false">IF($A54="",0,SUMIFS(tblAuftraege[Einnahmen],tblAuftraege[Datum Einnahmen],"&gt;="&amp;U$5,tblAuftraege[Datum Einnahmen],"&lt;"&amp;EDATE(U$5,1),tblAuftraege[Auftrag],$A54))</f>
        <v>0</v>
      </c>
      <c r="V54" s="11" t="n">
        <f aca="false">IF($A54="",0,SUMIFS(tblAuftraege[Einnahmen],tblAuftraege[Datum Einnahmen],"&gt;="&amp;V$5,tblAuftraege[Datum Einnahmen],"&lt;"&amp;EDATE(V$5,1),tblAuftraege[Auftrag],$A54))</f>
        <v>0</v>
      </c>
      <c r="W54" s="11" t="n">
        <f aca="false">SUM(E54:J54)</f>
        <v>0</v>
      </c>
      <c r="X54" s="11" t="n">
        <f aca="false">SUM(K54:V54)</f>
        <v>0</v>
      </c>
      <c r="Y54" s="12" t="n">
        <f aca="false">SUM(E54:V54)</f>
        <v>0</v>
      </c>
    </row>
    <row r="55" customFormat="false" ht="15" hidden="false" customHeight="false" outlineLevel="0" collapsed="false">
      <c r="A55" s="9"/>
      <c r="B55" s="10" t="str">
        <f aca="false">IF($A55="","",IFERROR(INDEX(tblAuftraege[Kostenstelle],MATCH($A55,tblAuftraege[Auftrag],0)),""))</f>
        <v/>
      </c>
      <c r="C55" s="10" t="str">
        <f aca="false">IF($A55="","",IFERROR(INDEX(tblAuftraege[Themenfeld],MATCH($A55,tblAuftraege[Auftrag],0)),""))</f>
        <v/>
      </c>
      <c r="D55" s="10" t="str">
        <f aca="false">IF($A55="","",IFERROR(INDEX(tblAuftraege[Kategorie],MATCH($A55,tblAuftraege[Auftrag],0)),""))</f>
        <v/>
      </c>
      <c r="E55" s="11" t="n">
        <f aca="false">IF($A55="",0,SUMIFS(tblAuftraege[Einnahmen],tblAuftraege[Datum Einnahmen],"&gt;="&amp;E$5,tblAuftraege[Datum Einnahmen],"&lt;"&amp;EDATE(E$5,1),tblAuftraege[Auftrag],$A55))</f>
        <v>0</v>
      </c>
      <c r="F55" s="11" t="n">
        <f aca="false">IF($A55="",0,SUMIFS(tblAuftraege[Einnahmen],tblAuftraege[Datum Einnahmen],"&gt;="&amp;F$5,tblAuftraege[Datum Einnahmen],"&lt;"&amp;EDATE(F$5,1),tblAuftraege[Auftrag],$A55))</f>
        <v>0</v>
      </c>
      <c r="G55" s="11" t="n">
        <f aca="false">IF($A55="",0,SUMIFS(tblAuftraege[Einnahmen],tblAuftraege[Datum Einnahmen],"&gt;="&amp;G$5,tblAuftraege[Datum Einnahmen],"&lt;"&amp;EDATE(G$5,1),tblAuftraege[Auftrag],$A55))</f>
        <v>0</v>
      </c>
      <c r="H55" s="11" t="n">
        <f aca="false">IF($A55="",0,SUMIFS(tblAuftraege[Einnahmen],tblAuftraege[Datum Einnahmen],"&gt;="&amp;H$5,tblAuftraege[Datum Einnahmen],"&lt;"&amp;EDATE(H$5,1),tblAuftraege[Auftrag],$A55))</f>
        <v>0</v>
      </c>
      <c r="I55" s="11" t="n">
        <f aca="false">IF($A55="",0,SUMIFS(tblAuftraege[Einnahmen],tblAuftraege[Datum Einnahmen],"&gt;="&amp;I$5,tblAuftraege[Datum Einnahmen],"&lt;"&amp;EDATE(I$5,1),tblAuftraege[Auftrag],$A55))</f>
        <v>0</v>
      </c>
      <c r="J55" s="11" t="n">
        <f aca="false">IF($A55="",0,SUMIFS(tblAuftraege[Einnahmen],tblAuftraege[Datum Einnahmen],"&gt;="&amp;J$5,tblAuftraege[Datum Einnahmen],"&lt;"&amp;EDATE(J$5,1),tblAuftraege[Auftrag],$A55))</f>
        <v>0</v>
      </c>
      <c r="K55" s="11" t="n">
        <f aca="false">IF($A55="",0,SUMIFS(tblAuftraege[Einnahmen],tblAuftraege[Datum Einnahmen],"&gt;="&amp;K$5,tblAuftraege[Datum Einnahmen],"&lt;"&amp;EDATE(K$5,1),tblAuftraege[Auftrag],$A55))</f>
        <v>0</v>
      </c>
      <c r="L55" s="11" t="n">
        <f aca="false">IF($A55="",0,SUMIFS(tblAuftraege[Einnahmen],tblAuftraege[Datum Einnahmen],"&gt;="&amp;L$5,tblAuftraege[Datum Einnahmen],"&lt;"&amp;EDATE(L$5,1),tblAuftraege[Auftrag],$A55))</f>
        <v>0</v>
      </c>
      <c r="M55" s="11" t="n">
        <f aca="false">IF($A55="",0,SUMIFS(tblAuftraege[Einnahmen],tblAuftraege[Datum Einnahmen],"&gt;="&amp;M$5,tblAuftraege[Datum Einnahmen],"&lt;"&amp;EDATE(M$5,1),tblAuftraege[Auftrag],$A55))</f>
        <v>0</v>
      </c>
      <c r="N55" s="11" t="n">
        <f aca="false">IF($A55="",0,SUMIFS(tblAuftraege[Einnahmen],tblAuftraege[Datum Einnahmen],"&gt;="&amp;N$5,tblAuftraege[Datum Einnahmen],"&lt;"&amp;EDATE(N$5,1),tblAuftraege[Auftrag],$A55))</f>
        <v>0</v>
      </c>
      <c r="O55" s="11" t="n">
        <f aca="false">IF($A55="",0,SUMIFS(tblAuftraege[Einnahmen],tblAuftraege[Datum Einnahmen],"&gt;="&amp;O$5,tblAuftraege[Datum Einnahmen],"&lt;"&amp;EDATE(O$5,1),tblAuftraege[Auftrag],$A55))</f>
        <v>0</v>
      </c>
      <c r="P55" s="11" t="n">
        <f aca="false">IF($A55="",0,SUMIFS(tblAuftraege[Einnahmen],tblAuftraege[Datum Einnahmen],"&gt;="&amp;P$5,tblAuftraege[Datum Einnahmen],"&lt;"&amp;EDATE(P$5,1),tblAuftraege[Auftrag],$A55))</f>
        <v>0</v>
      </c>
      <c r="Q55" s="11" t="n">
        <f aca="false">IF($A55="",0,SUMIFS(tblAuftraege[Einnahmen],tblAuftraege[Datum Einnahmen],"&gt;="&amp;Q$5,tblAuftraege[Datum Einnahmen],"&lt;"&amp;EDATE(Q$5,1),tblAuftraege[Auftrag],$A55))</f>
        <v>0</v>
      </c>
      <c r="R55" s="11" t="n">
        <f aca="false">IF($A55="",0,SUMIFS(tblAuftraege[Einnahmen],tblAuftraege[Datum Einnahmen],"&gt;="&amp;R$5,tblAuftraege[Datum Einnahmen],"&lt;"&amp;EDATE(R$5,1),tblAuftraege[Auftrag],$A55))</f>
        <v>0</v>
      </c>
      <c r="S55" s="11" t="n">
        <f aca="false">IF($A55="",0,SUMIFS(tblAuftraege[Einnahmen],tblAuftraege[Datum Einnahmen],"&gt;="&amp;S$5,tblAuftraege[Datum Einnahmen],"&lt;"&amp;EDATE(S$5,1),tblAuftraege[Auftrag],$A55))</f>
        <v>0</v>
      </c>
      <c r="T55" s="11" t="n">
        <f aca="false">IF($A55="",0,SUMIFS(tblAuftraege[Einnahmen],tblAuftraege[Datum Einnahmen],"&gt;="&amp;T$5,tblAuftraege[Datum Einnahmen],"&lt;"&amp;EDATE(T$5,1),tblAuftraege[Auftrag],$A55))</f>
        <v>0</v>
      </c>
      <c r="U55" s="11" t="n">
        <f aca="false">IF($A55="",0,SUMIFS(tblAuftraege[Einnahmen],tblAuftraege[Datum Einnahmen],"&gt;="&amp;U$5,tblAuftraege[Datum Einnahmen],"&lt;"&amp;EDATE(U$5,1),tblAuftraege[Auftrag],$A55))</f>
        <v>0</v>
      </c>
      <c r="V55" s="11" t="n">
        <f aca="false">IF($A55="",0,SUMIFS(tblAuftraege[Einnahmen],tblAuftraege[Datum Einnahmen],"&gt;="&amp;V$5,tblAuftraege[Datum Einnahmen],"&lt;"&amp;EDATE(V$5,1),tblAuftraege[Auftrag],$A55))</f>
        <v>0</v>
      </c>
      <c r="W55" s="11" t="n">
        <f aca="false">SUM(E55:J55)</f>
        <v>0</v>
      </c>
      <c r="X55" s="11" t="n">
        <f aca="false">SUM(K55:V55)</f>
        <v>0</v>
      </c>
      <c r="Y55" s="12" t="n">
        <f aca="false">SUM(E55:V55)</f>
        <v>0</v>
      </c>
    </row>
    <row r="56" customFormat="false" ht="15" hidden="false" customHeight="false" outlineLevel="0" collapsed="false">
      <c r="A56" s="9"/>
      <c r="B56" s="10" t="str">
        <f aca="false">IF($A56="","",IFERROR(INDEX(tblAuftraege[Kostenstelle],MATCH($A56,tblAuftraege[Auftrag],0)),""))</f>
        <v/>
      </c>
      <c r="C56" s="10" t="str">
        <f aca="false">IF($A56="","",IFERROR(INDEX(tblAuftraege[Themenfeld],MATCH($A56,tblAuftraege[Auftrag],0)),""))</f>
        <v/>
      </c>
      <c r="D56" s="10" t="str">
        <f aca="false">IF($A56="","",IFERROR(INDEX(tblAuftraege[Kategorie],MATCH($A56,tblAuftraege[Auftrag],0)),""))</f>
        <v/>
      </c>
      <c r="E56" s="11" t="n">
        <f aca="false">IF($A56="",0,SUMIFS(tblAuftraege[Einnahmen],tblAuftraege[Datum Einnahmen],"&gt;="&amp;E$5,tblAuftraege[Datum Einnahmen],"&lt;"&amp;EDATE(E$5,1),tblAuftraege[Auftrag],$A56))</f>
        <v>0</v>
      </c>
      <c r="F56" s="11" t="n">
        <f aca="false">IF($A56="",0,SUMIFS(tblAuftraege[Einnahmen],tblAuftraege[Datum Einnahmen],"&gt;="&amp;F$5,tblAuftraege[Datum Einnahmen],"&lt;"&amp;EDATE(F$5,1),tblAuftraege[Auftrag],$A56))</f>
        <v>0</v>
      </c>
      <c r="G56" s="11" t="n">
        <f aca="false">IF($A56="",0,SUMIFS(tblAuftraege[Einnahmen],tblAuftraege[Datum Einnahmen],"&gt;="&amp;G$5,tblAuftraege[Datum Einnahmen],"&lt;"&amp;EDATE(G$5,1),tblAuftraege[Auftrag],$A56))</f>
        <v>0</v>
      </c>
      <c r="H56" s="11" t="n">
        <f aca="false">IF($A56="",0,SUMIFS(tblAuftraege[Einnahmen],tblAuftraege[Datum Einnahmen],"&gt;="&amp;H$5,tblAuftraege[Datum Einnahmen],"&lt;"&amp;EDATE(H$5,1),tblAuftraege[Auftrag],$A56))</f>
        <v>0</v>
      </c>
      <c r="I56" s="11" t="n">
        <f aca="false">IF($A56="",0,SUMIFS(tblAuftraege[Einnahmen],tblAuftraege[Datum Einnahmen],"&gt;="&amp;I$5,tblAuftraege[Datum Einnahmen],"&lt;"&amp;EDATE(I$5,1),tblAuftraege[Auftrag],$A56))</f>
        <v>0</v>
      </c>
      <c r="J56" s="11" t="n">
        <f aca="false">IF($A56="",0,SUMIFS(tblAuftraege[Einnahmen],tblAuftraege[Datum Einnahmen],"&gt;="&amp;J$5,tblAuftraege[Datum Einnahmen],"&lt;"&amp;EDATE(J$5,1),tblAuftraege[Auftrag],$A56))</f>
        <v>0</v>
      </c>
      <c r="K56" s="11" t="n">
        <f aca="false">IF($A56="",0,SUMIFS(tblAuftraege[Einnahmen],tblAuftraege[Datum Einnahmen],"&gt;="&amp;K$5,tblAuftraege[Datum Einnahmen],"&lt;"&amp;EDATE(K$5,1),tblAuftraege[Auftrag],$A56))</f>
        <v>0</v>
      </c>
      <c r="L56" s="11" t="n">
        <f aca="false">IF($A56="",0,SUMIFS(tblAuftraege[Einnahmen],tblAuftraege[Datum Einnahmen],"&gt;="&amp;L$5,tblAuftraege[Datum Einnahmen],"&lt;"&amp;EDATE(L$5,1),tblAuftraege[Auftrag],$A56))</f>
        <v>0</v>
      </c>
      <c r="M56" s="11" t="n">
        <f aca="false">IF($A56="",0,SUMIFS(tblAuftraege[Einnahmen],tblAuftraege[Datum Einnahmen],"&gt;="&amp;M$5,tblAuftraege[Datum Einnahmen],"&lt;"&amp;EDATE(M$5,1),tblAuftraege[Auftrag],$A56))</f>
        <v>0</v>
      </c>
      <c r="N56" s="11" t="n">
        <f aca="false">IF($A56="",0,SUMIFS(tblAuftraege[Einnahmen],tblAuftraege[Datum Einnahmen],"&gt;="&amp;N$5,tblAuftraege[Datum Einnahmen],"&lt;"&amp;EDATE(N$5,1),tblAuftraege[Auftrag],$A56))</f>
        <v>0</v>
      </c>
      <c r="O56" s="11" t="n">
        <f aca="false">IF($A56="",0,SUMIFS(tblAuftraege[Einnahmen],tblAuftraege[Datum Einnahmen],"&gt;="&amp;O$5,tblAuftraege[Datum Einnahmen],"&lt;"&amp;EDATE(O$5,1),tblAuftraege[Auftrag],$A56))</f>
        <v>0</v>
      </c>
      <c r="P56" s="11" t="n">
        <f aca="false">IF($A56="",0,SUMIFS(tblAuftraege[Einnahmen],tblAuftraege[Datum Einnahmen],"&gt;="&amp;P$5,tblAuftraege[Datum Einnahmen],"&lt;"&amp;EDATE(P$5,1),tblAuftraege[Auftrag],$A56))</f>
        <v>0</v>
      </c>
      <c r="Q56" s="11" t="n">
        <f aca="false">IF($A56="",0,SUMIFS(tblAuftraege[Einnahmen],tblAuftraege[Datum Einnahmen],"&gt;="&amp;Q$5,tblAuftraege[Datum Einnahmen],"&lt;"&amp;EDATE(Q$5,1),tblAuftraege[Auftrag],$A56))</f>
        <v>0</v>
      </c>
      <c r="R56" s="11" t="n">
        <f aca="false">IF($A56="",0,SUMIFS(tblAuftraege[Einnahmen],tblAuftraege[Datum Einnahmen],"&gt;="&amp;R$5,tblAuftraege[Datum Einnahmen],"&lt;"&amp;EDATE(R$5,1),tblAuftraege[Auftrag],$A56))</f>
        <v>0</v>
      </c>
      <c r="S56" s="11" t="n">
        <f aca="false">IF($A56="",0,SUMIFS(tblAuftraege[Einnahmen],tblAuftraege[Datum Einnahmen],"&gt;="&amp;S$5,tblAuftraege[Datum Einnahmen],"&lt;"&amp;EDATE(S$5,1),tblAuftraege[Auftrag],$A56))</f>
        <v>0</v>
      </c>
      <c r="T56" s="11" t="n">
        <f aca="false">IF($A56="",0,SUMIFS(tblAuftraege[Einnahmen],tblAuftraege[Datum Einnahmen],"&gt;="&amp;T$5,tblAuftraege[Datum Einnahmen],"&lt;"&amp;EDATE(T$5,1),tblAuftraege[Auftrag],$A56))</f>
        <v>0</v>
      </c>
      <c r="U56" s="11" t="n">
        <f aca="false">IF($A56="",0,SUMIFS(tblAuftraege[Einnahmen],tblAuftraege[Datum Einnahmen],"&gt;="&amp;U$5,tblAuftraege[Datum Einnahmen],"&lt;"&amp;EDATE(U$5,1),tblAuftraege[Auftrag],$A56))</f>
        <v>0</v>
      </c>
      <c r="V56" s="11" t="n">
        <f aca="false">IF($A56="",0,SUMIFS(tblAuftraege[Einnahmen],tblAuftraege[Datum Einnahmen],"&gt;="&amp;V$5,tblAuftraege[Datum Einnahmen],"&lt;"&amp;EDATE(V$5,1),tblAuftraege[Auftrag],$A56))</f>
        <v>0</v>
      </c>
      <c r="W56" s="11" t="n">
        <f aca="false">SUM(E56:J56)</f>
        <v>0</v>
      </c>
      <c r="X56" s="11" t="n">
        <f aca="false">SUM(K56:V56)</f>
        <v>0</v>
      </c>
      <c r="Y56" s="12" t="n">
        <f aca="false">SUM(E56:V56)</f>
        <v>0</v>
      </c>
    </row>
    <row r="57" customFormat="false" ht="15" hidden="false" customHeight="false" outlineLevel="0" collapsed="false">
      <c r="A57" s="9"/>
      <c r="B57" s="10" t="str">
        <f aca="false">IF($A57="","",IFERROR(INDEX(tblAuftraege[Kostenstelle],MATCH($A57,tblAuftraege[Auftrag],0)),""))</f>
        <v/>
      </c>
      <c r="C57" s="10" t="str">
        <f aca="false">IF($A57="","",IFERROR(INDEX(tblAuftraege[Themenfeld],MATCH($A57,tblAuftraege[Auftrag],0)),""))</f>
        <v/>
      </c>
      <c r="D57" s="10" t="str">
        <f aca="false">IF($A57="","",IFERROR(INDEX(tblAuftraege[Kategorie],MATCH($A57,tblAuftraege[Auftrag],0)),""))</f>
        <v/>
      </c>
      <c r="E57" s="11" t="n">
        <f aca="false">IF($A57="",0,SUMIFS(tblAuftraege[Einnahmen],tblAuftraege[Datum Einnahmen],"&gt;="&amp;E$5,tblAuftraege[Datum Einnahmen],"&lt;"&amp;EDATE(E$5,1),tblAuftraege[Auftrag],$A57))</f>
        <v>0</v>
      </c>
      <c r="F57" s="11" t="n">
        <f aca="false">IF($A57="",0,SUMIFS(tblAuftraege[Einnahmen],tblAuftraege[Datum Einnahmen],"&gt;="&amp;F$5,tblAuftraege[Datum Einnahmen],"&lt;"&amp;EDATE(F$5,1),tblAuftraege[Auftrag],$A57))</f>
        <v>0</v>
      </c>
      <c r="G57" s="11" t="n">
        <f aca="false">IF($A57="",0,SUMIFS(tblAuftraege[Einnahmen],tblAuftraege[Datum Einnahmen],"&gt;="&amp;G$5,tblAuftraege[Datum Einnahmen],"&lt;"&amp;EDATE(G$5,1),tblAuftraege[Auftrag],$A57))</f>
        <v>0</v>
      </c>
      <c r="H57" s="11" t="n">
        <f aca="false">IF($A57="",0,SUMIFS(tblAuftraege[Einnahmen],tblAuftraege[Datum Einnahmen],"&gt;="&amp;H$5,tblAuftraege[Datum Einnahmen],"&lt;"&amp;EDATE(H$5,1),tblAuftraege[Auftrag],$A57))</f>
        <v>0</v>
      </c>
      <c r="I57" s="11" t="n">
        <f aca="false">IF($A57="",0,SUMIFS(tblAuftraege[Einnahmen],tblAuftraege[Datum Einnahmen],"&gt;="&amp;I$5,tblAuftraege[Datum Einnahmen],"&lt;"&amp;EDATE(I$5,1),tblAuftraege[Auftrag],$A57))</f>
        <v>0</v>
      </c>
      <c r="J57" s="11" t="n">
        <f aca="false">IF($A57="",0,SUMIFS(tblAuftraege[Einnahmen],tblAuftraege[Datum Einnahmen],"&gt;="&amp;J$5,tblAuftraege[Datum Einnahmen],"&lt;"&amp;EDATE(J$5,1),tblAuftraege[Auftrag],$A57))</f>
        <v>0</v>
      </c>
      <c r="K57" s="11" t="n">
        <f aca="false">IF($A57="",0,SUMIFS(tblAuftraege[Einnahmen],tblAuftraege[Datum Einnahmen],"&gt;="&amp;K$5,tblAuftraege[Datum Einnahmen],"&lt;"&amp;EDATE(K$5,1),tblAuftraege[Auftrag],$A57))</f>
        <v>0</v>
      </c>
      <c r="L57" s="11" t="n">
        <f aca="false">IF($A57="",0,SUMIFS(tblAuftraege[Einnahmen],tblAuftraege[Datum Einnahmen],"&gt;="&amp;L$5,tblAuftraege[Datum Einnahmen],"&lt;"&amp;EDATE(L$5,1),tblAuftraege[Auftrag],$A57))</f>
        <v>0</v>
      </c>
      <c r="M57" s="11" t="n">
        <f aca="false">IF($A57="",0,SUMIFS(tblAuftraege[Einnahmen],tblAuftraege[Datum Einnahmen],"&gt;="&amp;M$5,tblAuftraege[Datum Einnahmen],"&lt;"&amp;EDATE(M$5,1),tblAuftraege[Auftrag],$A57))</f>
        <v>0</v>
      </c>
      <c r="N57" s="11" t="n">
        <f aca="false">IF($A57="",0,SUMIFS(tblAuftraege[Einnahmen],tblAuftraege[Datum Einnahmen],"&gt;="&amp;N$5,tblAuftraege[Datum Einnahmen],"&lt;"&amp;EDATE(N$5,1),tblAuftraege[Auftrag],$A57))</f>
        <v>0</v>
      </c>
      <c r="O57" s="11" t="n">
        <f aca="false">IF($A57="",0,SUMIFS(tblAuftraege[Einnahmen],tblAuftraege[Datum Einnahmen],"&gt;="&amp;O$5,tblAuftraege[Datum Einnahmen],"&lt;"&amp;EDATE(O$5,1),tblAuftraege[Auftrag],$A57))</f>
        <v>0</v>
      </c>
      <c r="P57" s="11" t="n">
        <f aca="false">IF($A57="",0,SUMIFS(tblAuftraege[Einnahmen],tblAuftraege[Datum Einnahmen],"&gt;="&amp;P$5,tblAuftraege[Datum Einnahmen],"&lt;"&amp;EDATE(P$5,1),tblAuftraege[Auftrag],$A57))</f>
        <v>0</v>
      </c>
      <c r="Q57" s="11" t="n">
        <f aca="false">IF($A57="",0,SUMIFS(tblAuftraege[Einnahmen],tblAuftraege[Datum Einnahmen],"&gt;="&amp;Q$5,tblAuftraege[Datum Einnahmen],"&lt;"&amp;EDATE(Q$5,1),tblAuftraege[Auftrag],$A57))</f>
        <v>0</v>
      </c>
      <c r="R57" s="11" t="n">
        <f aca="false">IF($A57="",0,SUMIFS(tblAuftraege[Einnahmen],tblAuftraege[Datum Einnahmen],"&gt;="&amp;R$5,tblAuftraege[Datum Einnahmen],"&lt;"&amp;EDATE(R$5,1),tblAuftraege[Auftrag],$A57))</f>
        <v>0</v>
      </c>
      <c r="S57" s="11" t="n">
        <f aca="false">IF($A57="",0,SUMIFS(tblAuftraege[Einnahmen],tblAuftraege[Datum Einnahmen],"&gt;="&amp;S$5,tblAuftraege[Datum Einnahmen],"&lt;"&amp;EDATE(S$5,1),tblAuftraege[Auftrag],$A57))</f>
        <v>0</v>
      </c>
      <c r="T57" s="11" t="n">
        <f aca="false">IF($A57="",0,SUMIFS(tblAuftraege[Einnahmen],tblAuftraege[Datum Einnahmen],"&gt;="&amp;T$5,tblAuftraege[Datum Einnahmen],"&lt;"&amp;EDATE(T$5,1),tblAuftraege[Auftrag],$A57))</f>
        <v>0</v>
      </c>
      <c r="U57" s="11" t="n">
        <f aca="false">IF($A57="",0,SUMIFS(tblAuftraege[Einnahmen],tblAuftraege[Datum Einnahmen],"&gt;="&amp;U$5,tblAuftraege[Datum Einnahmen],"&lt;"&amp;EDATE(U$5,1),tblAuftraege[Auftrag],$A57))</f>
        <v>0</v>
      </c>
      <c r="V57" s="11" t="n">
        <f aca="false">IF($A57="",0,SUMIFS(tblAuftraege[Einnahmen],tblAuftraege[Datum Einnahmen],"&gt;="&amp;V$5,tblAuftraege[Datum Einnahmen],"&lt;"&amp;EDATE(V$5,1),tblAuftraege[Auftrag],$A57))</f>
        <v>0</v>
      </c>
      <c r="W57" s="11" t="n">
        <f aca="false">SUM(E57:J57)</f>
        <v>0</v>
      </c>
      <c r="X57" s="11" t="n">
        <f aca="false">SUM(K57:V57)</f>
        <v>0</v>
      </c>
      <c r="Y57" s="12" t="n">
        <f aca="false">SUM(E57:V57)</f>
        <v>0</v>
      </c>
    </row>
    <row r="58" customFormat="false" ht="15" hidden="false" customHeight="false" outlineLevel="0" collapsed="false">
      <c r="A58" s="13" t="s">
        <v>30</v>
      </c>
      <c r="B58" s="14" t="s">
        <v>31</v>
      </c>
      <c r="C58" s="15"/>
      <c r="D58" s="15"/>
      <c r="E58" s="11" t="n">
        <f aca="false">E59-SUM(E8:E57)</f>
        <v>0</v>
      </c>
      <c r="F58" s="11" t="n">
        <f aca="false">F59-SUM(F8:F57)</f>
        <v>0</v>
      </c>
      <c r="G58" s="11" t="n">
        <f aca="false">G59-SUM(G8:G57)</f>
        <v>0</v>
      </c>
      <c r="H58" s="11" t="n">
        <f aca="false">H59-SUM(H8:H57)</f>
        <v>0</v>
      </c>
      <c r="I58" s="11" t="n">
        <f aca="false">I59-SUM(I8:I57)</f>
        <v>0</v>
      </c>
      <c r="J58" s="11" t="n">
        <f aca="false">J59-SUM(J8:J57)</f>
        <v>0</v>
      </c>
      <c r="K58" s="11" t="n">
        <f aca="false">K59-SUM(K8:K57)</f>
        <v>0</v>
      </c>
      <c r="L58" s="11" t="n">
        <f aca="false">L59-SUM(L8:L57)</f>
        <v>0</v>
      </c>
      <c r="M58" s="11" t="n">
        <f aca="false">M59-SUM(M8:M57)</f>
        <v>0</v>
      </c>
      <c r="N58" s="11" t="n">
        <f aca="false">N59-SUM(N8:N57)</f>
        <v>0</v>
      </c>
      <c r="O58" s="11" t="n">
        <f aca="false">O59-SUM(O8:O57)</f>
        <v>0</v>
      </c>
      <c r="P58" s="11" t="n">
        <f aca="false">P59-SUM(P8:P57)</f>
        <v>0</v>
      </c>
      <c r="Q58" s="11" t="n">
        <f aca="false">Q59-SUM(Q8:Q57)</f>
        <v>0</v>
      </c>
      <c r="R58" s="11" t="n">
        <f aca="false">R59-SUM(R8:R57)</f>
        <v>0</v>
      </c>
      <c r="S58" s="11" t="n">
        <f aca="false">S59-SUM(S8:S57)</f>
        <v>0</v>
      </c>
      <c r="T58" s="11" t="n">
        <f aca="false">T59-SUM(T8:T57)</f>
        <v>0</v>
      </c>
      <c r="U58" s="11" t="n">
        <f aca="false">U59-SUM(U8:U57)</f>
        <v>0</v>
      </c>
      <c r="V58" s="11" t="n">
        <f aca="false">V59-SUM(V8:V57)</f>
        <v>0</v>
      </c>
      <c r="W58" s="11" t="n">
        <f aca="false">W59-SUM(W8:W57)</f>
        <v>0</v>
      </c>
      <c r="X58" s="11" t="n">
        <f aca="false">X59-SUM(X8:X57)</f>
        <v>0</v>
      </c>
      <c r="Y58" s="11" t="n">
        <f aca="false">Y59-SUM(Y8:Y57)</f>
        <v>0</v>
      </c>
    </row>
    <row r="59" customFormat="false" ht="15" hidden="false" customHeight="false" outlineLevel="0" collapsed="false">
      <c r="A59" s="16" t="s">
        <v>32</v>
      </c>
      <c r="B59" s="17"/>
      <c r="C59" s="18"/>
      <c r="D59" s="18"/>
      <c r="E59" s="19" t="n">
        <f aca="false">SUMIFS(tblAuftraege[Einnahmen],tblAuftraege[Datum Einnahmen],"&gt;="&amp;E$5,tblAuftraege[Datum Einnahmen],"&lt;"&amp;EDATE(E$5,1))</f>
        <v>0</v>
      </c>
      <c r="F59" s="19" t="n">
        <f aca="false">SUMIFS(tblAuftraege[Einnahmen],tblAuftraege[Datum Einnahmen],"&gt;="&amp;F$5,tblAuftraege[Datum Einnahmen],"&lt;"&amp;EDATE(F$5,1))</f>
        <v>0</v>
      </c>
      <c r="G59" s="19" t="n">
        <f aca="false">SUMIFS(tblAuftraege[Einnahmen],tblAuftraege[Datum Einnahmen],"&gt;="&amp;G$5,tblAuftraege[Datum Einnahmen],"&lt;"&amp;EDATE(G$5,1))</f>
        <v>0</v>
      </c>
      <c r="H59" s="19" t="n">
        <f aca="false">SUMIFS(tblAuftraege[Einnahmen],tblAuftraege[Datum Einnahmen],"&gt;="&amp;H$5,tblAuftraege[Datum Einnahmen],"&lt;"&amp;EDATE(H$5,1))</f>
        <v>0</v>
      </c>
      <c r="I59" s="19" t="n">
        <f aca="false">SUMIFS(tblAuftraege[Einnahmen],tblAuftraege[Datum Einnahmen],"&gt;="&amp;I$5,tblAuftraege[Datum Einnahmen],"&lt;"&amp;EDATE(I$5,1))</f>
        <v>0</v>
      </c>
      <c r="J59" s="19" t="n">
        <f aca="false">SUMIFS(tblAuftraege[Einnahmen],tblAuftraege[Datum Einnahmen],"&gt;="&amp;J$5,tblAuftraege[Datum Einnahmen],"&lt;"&amp;EDATE(J$5,1))</f>
        <v>0</v>
      </c>
      <c r="K59" s="19" t="n">
        <f aca="false">SUMIFS(tblAuftraege[Einnahmen],tblAuftraege[Datum Einnahmen],"&gt;="&amp;K$5,tblAuftraege[Datum Einnahmen],"&lt;"&amp;EDATE(K$5,1))</f>
        <v>0</v>
      </c>
      <c r="L59" s="19" t="n">
        <f aca="false">SUMIFS(tblAuftraege[Einnahmen],tblAuftraege[Datum Einnahmen],"&gt;="&amp;L$5,tblAuftraege[Datum Einnahmen],"&lt;"&amp;EDATE(L$5,1))</f>
        <v>0</v>
      </c>
      <c r="M59" s="19" t="n">
        <f aca="false">SUMIFS(tblAuftraege[Einnahmen],tblAuftraege[Datum Einnahmen],"&gt;="&amp;M$5,tblAuftraege[Datum Einnahmen],"&lt;"&amp;EDATE(M$5,1))</f>
        <v>0</v>
      </c>
      <c r="N59" s="19" t="n">
        <f aca="false">SUMIFS(tblAuftraege[Einnahmen],tblAuftraege[Datum Einnahmen],"&gt;="&amp;N$5,tblAuftraege[Datum Einnahmen],"&lt;"&amp;EDATE(N$5,1))</f>
        <v>0</v>
      </c>
      <c r="O59" s="19" t="n">
        <f aca="false">SUMIFS(tblAuftraege[Einnahmen],tblAuftraege[Datum Einnahmen],"&gt;="&amp;O$5,tblAuftraege[Datum Einnahmen],"&lt;"&amp;EDATE(O$5,1))</f>
        <v>0</v>
      </c>
      <c r="P59" s="19" t="n">
        <f aca="false">SUMIFS(tblAuftraege[Einnahmen],tblAuftraege[Datum Einnahmen],"&gt;="&amp;P$5,tblAuftraege[Datum Einnahmen],"&lt;"&amp;EDATE(P$5,1))</f>
        <v>0</v>
      </c>
      <c r="Q59" s="19" t="n">
        <f aca="false">SUMIFS(tblAuftraege[Einnahmen],tblAuftraege[Datum Einnahmen],"&gt;="&amp;Q$5,tblAuftraege[Datum Einnahmen],"&lt;"&amp;EDATE(Q$5,1))</f>
        <v>0</v>
      </c>
      <c r="R59" s="19" t="n">
        <f aca="false">SUMIFS(tblAuftraege[Einnahmen],tblAuftraege[Datum Einnahmen],"&gt;="&amp;R$5,tblAuftraege[Datum Einnahmen],"&lt;"&amp;EDATE(R$5,1))</f>
        <v>0</v>
      </c>
      <c r="S59" s="19" t="n">
        <f aca="false">SUMIFS(tblAuftraege[Einnahmen],tblAuftraege[Datum Einnahmen],"&gt;="&amp;S$5,tblAuftraege[Datum Einnahmen],"&lt;"&amp;EDATE(S$5,1))</f>
        <v>0</v>
      </c>
      <c r="T59" s="19" t="n">
        <f aca="false">SUMIFS(tblAuftraege[Einnahmen],tblAuftraege[Datum Einnahmen],"&gt;="&amp;T$5,tblAuftraege[Datum Einnahmen],"&lt;"&amp;EDATE(T$5,1))</f>
        <v>0</v>
      </c>
      <c r="U59" s="19" t="n">
        <f aca="false">SUMIFS(tblAuftraege[Einnahmen],tblAuftraege[Datum Einnahmen],"&gt;="&amp;U$5,tblAuftraege[Datum Einnahmen],"&lt;"&amp;EDATE(U$5,1))</f>
        <v>0</v>
      </c>
      <c r="V59" s="19" t="n">
        <f aca="false">SUMIFS(tblAuftraege[Einnahmen],tblAuftraege[Datum Einnahmen],"&gt;="&amp;V$5,tblAuftraege[Datum Einnahmen],"&lt;"&amp;EDATE(V$5,1))</f>
        <v>0</v>
      </c>
      <c r="W59" s="19" t="n">
        <f aca="false">SUM(E59:J59)</f>
        <v>0</v>
      </c>
      <c r="X59" s="19" t="n">
        <f aca="false">SUM(K59:V59)</f>
        <v>0</v>
      </c>
      <c r="Y59" s="19" t="n">
        <f aca="false">SUM(E59:V59)</f>
        <v>0</v>
      </c>
    </row>
    <row r="61" customFormat="false" ht="19.5" hidden="false" customHeight="true" outlineLevel="0" collapsed="false">
      <c r="A61" s="7" t="s">
        <v>33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customFormat="false" ht="15" hidden="false" customHeight="false" outlineLevel="0" collapsed="false">
      <c r="A62" s="9"/>
      <c r="B62" s="10" t="str">
        <f aca="false">IF($A62="","",IFERROR(INDEX(tblAuftraege[Kostenstelle],MATCH($A62,tblAuftraege[Auftrag],0)),""))</f>
        <v/>
      </c>
      <c r="C62" s="10" t="str">
        <f aca="false">IF($A62="","",IFERROR(INDEX(tblAuftraege[Themenfeld],MATCH($A62,tblAuftraege[Auftrag],0)),""))</f>
        <v/>
      </c>
      <c r="D62" s="10" t="str">
        <f aca="false">IF($A62="","",IFERROR(INDEX(tblAuftraege[Kategorie],MATCH($A62,tblAuftraege[Auftrag],0)),""))</f>
        <v/>
      </c>
      <c r="E62" s="11" t="n">
        <f aca="false">IF($A62="",0,SUMIFS(tblAuftraege[Ausgaben],tblAuftraege[Datum Ausgaben],"&gt;="&amp;E$5,tblAuftraege[Datum Ausgaben],"&lt;"&amp;EDATE(E$5,1),tblAuftraege[Auftrag],$A62))</f>
        <v>0</v>
      </c>
      <c r="F62" s="11" t="n">
        <f aca="false">IF($A62="",0,SUMIFS(tblAuftraege[Ausgaben],tblAuftraege[Datum Ausgaben],"&gt;="&amp;F$5,tblAuftraege[Datum Ausgaben],"&lt;"&amp;EDATE(F$5,1),tblAuftraege[Auftrag],$A62))</f>
        <v>0</v>
      </c>
      <c r="G62" s="11" t="n">
        <f aca="false">IF($A62="",0,SUMIFS(tblAuftraege[Ausgaben],tblAuftraege[Datum Ausgaben],"&gt;="&amp;G$5,tblAuftraege[Datum Ausgaben],"&lt;"&amp;EDATE(G$5,1),tblAuftraege[Auftrag],$A62))</f>
        <v>0</v>
      </c>
      <c r="H62" s="11" t="n">
        <f aca="false">IF($A62="",0,SUMIFS(tblAuftraege[Ausgaben],tblAuftraege[Datum Ausgaben],"&gt;="&amp;H$5,tblAuftraege[Datum Ausgaben],"&lt;"&amp;EDATE(H$5,1),tblAuftraege[Auftrag],$A62))</f>
        <v>0</v>
      </c>
      <c r="I62" s="11" t="n">
        <f aca="false">IF($A62="",0,SUMIFS(tblAuftraege[Ausgaben],tblAuftraege[Datum Ausgaben],"&gt;="&amp;I$5,tblAuftraege[Datum Ausgaben],"&lt;"&amp;EDATE(I$5,1),tblAuftraege[Auftrag],$A62))</f>
        <v>0</v>
      </c>
      <c r="J62" s="11" t="n">
        <f aca="false">IF($A62="",0,SUMIFS(tblAuftraege[Ausgaben],tblAuftraege[Datum Ausgaben],"&gt;="&amp;J$5,tblAuftraege[Datum Ausgaben],"&lt;"&amp;EDATE(J$5,1),tblAuftraege[Auftrag],$A62))</f>
        <v>0</v>
      </c>
      <c r="K62" s="11" t="n">
        <f aca="false">IF($A62="",0,SUMIFS(tblAuftraege[Ausgaben],tblAuftraege[Datum Ausgaben],"&gt;="&amp;K$5,tblAuftraege[Datum Ausgaben],"&lt;"&amp;EDATE(K$5,1),tblAuftraege[Auftrag],$A62))</f>
        <v>0</v>
      </c>
      <c r="L62" s="11" t="n">
        <f aca="false">IF($A62="",0,SUMIFS(tblAuftraege[Ausgaben],tblAuftraege[Datum Ausgaben],"&gt;="&amp;L$5,tblAuftraege[Datum Ausgaben],"&lt;"&amp;EDATE(L$5,1),tblAuftraege[Auftrag],$A62))</f>
        <v>0</v>
      </c>
      <c r="M62" s="11" t="n">
        <f aca="false">IF($A62="",0,SUMIFS(tblAuftraege[Ausgaben],tblAuftraege[Datum Ausgaben],"&gt;="&amp;M$5,tblAuftraege[Datum Ausgaben],"&lt;"&amp;EDATE(M$5,1),tblAuftraege[Auftrag],$A62))</f>
        <v>0</v>
      </c>
      <c r="N62" s="11" t="n">
        <f aca="false">IF($A62="",0,SUMIFS(tblAuftraege[Ausgaben],tblAuftraege[Datum Ausgaben],"&gt;="&amp;N$5,tblAuftraege[Datum Ausgaben],"&lt;"&amp;EDATE(N$5,1),tblAuftraege[Auftrag],$A62))</f>
        <v>0</v>
      </c>
      <c r="O62" s="11" t="n">
        <f aca="false">IF($A62="",0,SUMIFS(tblAuftraege[Ausgaben],tblAuftraege[Datum Ausgaben],"&gt;="&amp;O$5,tblAuftraege[Datum Ausgaben],"&lt;"&amp;EDATE(O$5,1),tblAuftraege[Auftrag],$A62))</f>
        <v>0</v>
      </c>
      <c r="P62" s="11" t="n">
        <f aca="false">IF($A62="",0,SUMIFS(tblAuftraege[Ausgaben],tblAuftraege[Datum Ausgaben],"&gt;="&amp;P$5,tblAuftraege[Datum Ausgaben],"&lt;"&amp;EDATE(P$5,1),tblAuftraege[Auftrag],$A62))</f>
        <v>0</v>
      </c>
      <c r="Q62" s="11" t="n">
        <f aca="false">IF($A62="",0,SUMIFS(tblAuftraege[Ausgaben],tblAuftraege[Datum Ausgaben],"&gt;="&amp;Q$5,tblAuftraege[Datum Ausgaben],"&lt;"&amp;EDATE(Q$5,1),tblAuftraege[Auftrag],$A62))</f>
        <v>0</v>
      </c>
      <c r="R62" s="11" t="n">
        <f aca="false">IF($A62="",0,SUMIFS(tblAuftraege[Ausgaben],tblAuftraege[Datum Ausgaben],"&gt;="&amp;R$5,tblAuftraege[Datum Ausgaben],"&lt;"&amp;EDATE(R$5,1),tblAuftraege[Auftrag],$A62))</f>
        <v>0</v>
      </c>
      <c r="S62" s="11" t="n">
        <f aca="false">IF($A62="",0,SUMIFS(tblAuftraege[Ausgaben],tblAuftraege[Datum Ausgaben],"&gt;="&amp;S$5,tblAuftraege[Datum Ausgaben],"&lt;"&amp;EDATE(S$5,1),tblAuftraege[Auftrag],$A62))</f>
        <v>0</v>
      </c>
      <c r="T62" s="11" t="n">
        <f aca="false">IF($A62="",0,SUMIFS(tblAuftraege[Ausgaben],tblAuftraege[Datum Ausgaben],"&gt;="&amp;T$5,tblAuftraege[Datum Ausgaben],"&lt;"&amp;EDATE(T$5,1),tblAuftraege[Auftrag],$A62))</f>
        <v>0</v>
      </c>
      <c r="U62" s="11" t="n">
        <f aca="false">IF($A62="",0,SUMIFS(tblAuftraege[Ausgaben],tblAuftraege[Datum Ausgaben],"&gt;="&amp;U$5,tblAuftraege[Datum Ausgaben],"&lt;"&amp;EDATE(U$5,1),tblAuftraege[Auftrag],$A62))</f>
        <v>0</v>
      </c>
      <c r="V62" s="11" t="n">
        <f aca="false">IF($A62="",0,SUMIFS(tblAuftraege[Ausgaben],tblAuftraege[Datum Ausgaben],"&gt;="&amp;V$5,tblAuftraege[Datum Ausgaben],"&lt;"&amp;EDATE(V$5,1),tblAuftraege[Auftrag],$A62))</f>
        <v>0</v>
      </c>
      <c r="W62" s="11" t="n">
        <f aca="false">SUM(E62:J62)</f>
        <v>0</v>
      </c>
      <c r="X62" s="11" t="n">
        <f aca="false">SUM(K62:V62)</f>
        <v>0</v>
      </c>
      <c r="Y62" s="12" t="n">
        <f aca="false">SUM(E62:V62)</f>
        <v>0</v>
      </c>
    </row>
    <row r="63" customFormat="false" ht="15" hidden="false" customHeight="false" outlineLevel="0" collapsed="false">
      <c r="A63" s="9"/>
      <c r="B63" s="10" t="str">
        <f aca="false">IF($A63="","",IFERROR(INDEX(tblAuftraege[Kostenstelle],MATCH($A63,tblAuftraege[Auftrag],0)),""))</f>
        <v/>
      </c>
      <c r="C63" s="10" t="str">
        <f aca="false">IF($A63="","",IFERROR(INDEX(tblAuftraege[Themenfeld],MATCH($A63,tblAuftraege[Auftrag],0)),""))</f>
        <v/>
      </c>
      <c r="D63" s="10" t="str">
        <f aca="false">IF($A63="","",IFERROR(INDEX(tblAuftraege[Kategorie],MATCH($A63,tblAuftraege[Auftrag],0)),""))</f>
        <v/>
      </c>
      <c r="E63" s="11" t="n">
        <f aca="false">IF($A63="",0,SUMIFS(tblAuftraege[Ausgaben],tblAuftraege[Datum Ausgaben],"&gt;="&amp;E$5,tblAuftraege[Datum Ausgaben],"&lt;"&amp;EDATE(E$5,1),tblAuftraege[Auftrag],$A63))</f>
        <v>0</v>
      </c>
      <c r="F63" s="11" t="n">
        <f aca="false">IF($A63="",0,SUMIFS(tblAuftraege[Ausgaben],tblAuftraege[Datum Ausgaben],"&gt;="&amp;F$5,tblAuftraege[Datum Ausgaben],"&lt;"&amp;EDATE(F$5,1),tblAuftraege[Auftrag],$A63))</f>
        <v>0</v>
      </c>
      <c r="G63" s="11" t="n">
        <f aca="false">IF($A63="",0,SUMIFS(tblAuftraege[Ausgaben],tblAuftraege[Datum Ausgaben],"&gt;="&amp;G$5,tblAuftraege[Datum Ausgaben],"&lt;"&amp;EDATE(G$5,1),tblAuftraege[Auftrag],$A63))</f>
        <v>0</v>
      </c>
      <c r="H63" s="11" t="n">
        <f aca="false">IF($A63="",0,SUMIFS(tblAuftraege[Ausgaben],tblAuftraege[Datum Ausgaben],"&gt;="&amp;H$5,tblAuftraege[Datum Ausgaben],"&lt;"&amp;EDATE(H$5,1),tblAuftraege[Auftrag],$A63))</f>
        <v>0</v>
      </c>
      <c r="I63" s="11" t="n">
        <f aca="false">IF($A63="",0,SUMIFS(tblAuftraege[Ausgaben],tblAuftraege[Datum Ausgaben],"&gt;="&amp;I$5,tblAuftraege[Datum Ausgaben],"&lt;"&amp;EDATE(I$5,1),tblAuftraege[Auftrag],$A63))</f>
        <v>0</v>
      </c>
      <c r="J63" s="11" t="n">
        <f aca="false">IF($A63="",0,SUMIFS(tblAuftraege[Ausgaben],tblAuftraege[Datum Ausgaben],"&gt;="&amp;J$5,tblAuftraege[Datum Ausgaben],"&lt;"&amp;EDATE(J$5,1),tblAuftraege[Auftrag],$A63))</f>
        <v>0</v>
      </c>
      <c r="K63" s="11" t="n">
        <f aca="false">IF($A63="",0,SUMIFS(tblAuftraege[Ausgaben],tblAuftraege[Datum Ausgaben],"&gt;="&amp;K$5,tblAuftraege[Datum Ausgaben],"&lt;"&amp;EDATE(K$5,1),tblAuftraege[Auftrag],$A63))</f>
        <v>0</v>
      </c>
      <c r="L63" s="11" t="n">
        <f aca="false">IF($A63="",0,SUMIFS(tblAuftraege[Ausgaben],tblAuftraege[Datum Ausgaben],"&gt;="&amp;L$5,tblAuftraege[Datum Ausgaben],"&lt;"&amp;EDATE(L$5,1),tblAuftraege[Auftrag],$A63))</f>
        <v>0</v>
      </c>
      <c r="M63" s="11" t="n">
        <f aca="false">IF($A63="",0,SUMIFS(tblAuftraege[Ausgaben],tblAuftraege[Datum Ausgaben],"&gt;="&amp;M$5,tblAuftraege[Datum Ausgaben],"&lt;"&amp;EDATE(M$5,1),tblAuftraege[Auftrag],$A63))</f>
        <v>0</v>
      </c>
      <c r="N63" s="11" t="n">
        <f aca="false">IF($A63="",0,SUMIFS(tblAuftraege[Ausgaben],tblAuftraege[Datum Ausgaben],"&gt;="&amp;N$5,tblAuftraege[Datum Ausgaben],"&lt;"&amp;EDATE(N$5,1),tblAuftraege[Auftrag],$A63))</f>
        <v>0</v>
      </c>
      <c r="O63" s="11" t="n">
        <f aca="false">IF($A63="",0,SUMIFS(tblAuftraege[Ausgaben],tblAuftraege[Datum Ausgaben],"&gt;="&amp;O$5,tblAuftraege[Datum Ausgaben],"&lt;"&amp;EDATE(O$5,1),tblAuftraege[Auftrag],$A63))</f>
        <v>0</v>
      </c>
      <c r="P63" s="11" t="n">
        <f aca="false">IF($A63="",0,SUMIFS(tblAuftraege[Ausgaben],tblAuftraege[Datum Ausgaben],"&gt;="&amp;P$5,tblAuftraege[Datum Ausgaben],"&lt;"&amp;EDATE(P$5,1),tblAuftraege[Auftrag],$A63))</f>
        <v>0</v>
      </c>
      <c r="Q63" s="11" t="n">
        <f aca="false">IF($A63="",0,SUMIFS(tblAuftraege[Ausgaben],tblAuftraege[Datum Ausgaben],"&gt;="&amp;Q$5,tblAuftraege[Datum Ausgaben],"&lt;"&amp;EDATE(Q$5,1),tblAuftraege[Auftrag],$A63))</f>
        <v>0</v>
      </c>
      <c r="R63" s="11" t="n">
        <f aca="false">IF($A63="",0,SUMIFS(tblAuftraege[Ausgaben],tblAuftraege[Datum Ausgaben],"&gt;="&amp;R$5,tblAuftraege[Datum Ausgaben],"&lt;"&amp;EDATE(R$5,1),tblAuftraege[Auftrag],$A63))</f>
        <v>0</v>
      </c>
      <c r="S63" s="11" t="n">
        <f aca="false">IF($A63="",0,SUMIFS(tblAuftraege[Ausgaben],tblAuftraege[Datum Ausgaben],"&gt;="&amp;S$5,tblAuftraege[Datum Ausgaben],"&lt;"&amp;EDATE(S$5,1),tblAuftraege[Auftrag],$A63))</f>
        <v>0</v>
      </c>
      <c r="T63" s="11" t="n">
        <f aca="false">IF($A63="",0,SUMIFS(tblAuftraege[Ausgaben],tblAuftraege[Datum Ausgaben],"&gt;="&amp;T$5,tblAuftraege[Datum Ausgaben],"&lt;"&amp;EDATE(T$5,1),tblAuftraege[Auftrag],$A63))</f>
        <v>0</v>
      </c>
      <c r="U63" s="11" t="n">
        <f aca="false">IF($A63="",0,SUMIFS(tblAuftraege[Ausgaben],tblAuftraege[Datum Ausgaben],"&gt;="&amp;U$5,tblAuftraege[Datum Ausgaben],"&lt;"&amp;EDATE(U$5,1),tblAuftraege[Auftrag],$A63))</f>
        <v>0</v>
      </c>
      <c r="V63" s="11" t="n">
        <f aca="false">IF($A63="",0,SUMIFS(tblAuftraege[Ausgaben],tblAuftraege[Datum Ausgaben],"&gt;="&amp;V$5,tblAuftraege[Datum Ausgaben],"&lt;"&amp;EDATE(V$5,1),tblAuftraege[Auftrag],$A63))</f>
        <v>0</v>
      </c>
      <c r="W63" s="11" t="n">
        <f aca="false">SUM(E63:J63)</f>
        <v>0</v>
      </c>
      <c r="X63" s="11" t="n">
        <f aca="false">SUM(K63:V63)</f>
        <v>0</v>
      </c>
      <c r="Y63" s="12" t="n">
        <f aca="false">SUM(E63:V63)</f>
        <v>0</v>
      </c>
    </row>
    <row r="64" customFormat="false" ht="15" hidden="false" customHeight="false" outlineLevel="0" collapsed="false">
      <c r="A64" s="9"/>
      <c r="B64" s="10" t="str">
        <f aca="false">IF($A64="","",IFERROR(INDEX(tblAuftraege[Kostenstelle],MATCH($A64,tblAuftraege[Auftrag],0)),""))</f>
        <v/>
      </c>
      <c r="C64" s="10" t="str">
        <f aca="false">IF($A64="","",IFERROR(INDEX(tblAuftraege[Themenfeld],MATCH($A64,tblAuftraege[Auftrag],0)),""))</f>
        <v/>
      </c>
      <c r="D64" s="10" t="str">
        <f aca="false">IF($A64="","",IFERROR(INDEX(tblAuftraege[Kategorie],MATCH($A64,tblAuftraege[Auftrag],0)),""))</f>
        <v/>
      </c>
      <c r="E64" s="11" t="n">
        <f aca="false">IF($A64="",0,SUMIFS(tblAuftraege[Ausgaben],tblAuftraege[Datum Ausgaben],"&gt;="&amp;E$5,tblAuftraege[Datum Ausgaben],"&lt;"&amp;EDATE(E$5,1),tblAuftraege[Auftrag],$A64))</f>
        <v>0</v>
      </c>
      <c r="F64" s="11" t="n">
        <f aca="false">IF($A64="",0,SUMIFS(tblAuftraege[Ausgaben],tblAuftraege[Datum Ausgaben],"&gt;="&amp;F$5,tblAuftraege[Datum Ausgaben],"&lt;"&amp;EDATE(F$5,1),tblAuftraege[Auftrag],$A64))</f>
        <v>0</v>
      </c>
      <c r="G64" s="11" t="n">
        <f aca="false">IF($A64="",0,SUMIFS(tblAuftraege[Ausgaben],tblAuftraege[Datum Ausgaben],"&gt;="&amp;G$5,tblAuftraege[Datum Ausgaben],"&lt;"&amp;EDATE(G$5,1),tblAuftraege[Auftrag],$A64))</f>
        <v>0</v>
      </c>
      <c r="H64" s="11" t="n">
        <f aca="false">IF($A64="",0,SUMIFS(tblAuftraege[Ausgaben],tblAuftraege[Datum Ausgaben],"&gt;="&amp;H$5,tblAuftraege[Datum Ausgaben],"&lt;"&amp;EDATE(H$5,1),tblAuftraege[Auftrag],$A64))</f>
        <v>0</v>
      </c>
      <c r="I64" s="11" t="n">
        <f aca="false">IF($A64="",0,SUMIFS(tblAuftraege[Ausgaben],tblAuftraege[Datum Ausgaben],"&gt;="&amp;I$5,tblAuftraege[Datum Ausgaben],"&lt;"&amp;EDATE(I$5,1),tblAuftraege[Auftrag],$A64))</f>
        <v>0</v>
      </c>
      <c r="J64" s="11" t="n">
        <f aca="false">IF($A64="",0,SUMIFS(tblAuftraege[Ausgaben],tblAuftraege[Datum Ausgaben],"&gt;="&amp;J$5,tblAuftraege[Datum Ausgaben],"&lt;"&amp;EDATE(J$5,1),tblAuftraege[Auftrag],$A64))</f>
        <v>0</v>
      </c>
      <c r="K64" s="11" t="n">
        <f aca="false">IF($A64="",0,SUMIFS(tblAuftraege[Ausgaben],tblAuftraege[Datum Ausgaben],"&gt;="&amp;K$5,tblAuftraege[Datum Ausgaben],"&lt;"&amp;EDATE(K$5,1),tblAuftraege[Auftrag],$A64))</f>
        <v>0</v>
      </c>
      <c r="L64" s="11" t="n">
        <f aca="false">IF($A64="",0,SUMIFS(tblAuftraege[Ausgaben],tblAuftraege[Datum Ausgaben],"&gt;="&amp;L$5,tblAuftraege[Datum Ausgaben],"&lt;"&amp;EDATE(L$5,1),tblAuftraege[Auftrag],$A64))</f>
        <v>0</v>
      </c>
      <c r="M64" s="11" t="n">
        <f aca="false">IF($A64="",0,SUMIFS(tblAuftraege[Ausgaben],tblAuftraege[Datum Ausgaben],"&gt;="&amp;M$5,tblAuftraege[Datum Ausgaben],"&lt;"&amp;EDATE(M$5,1),tblAuftraege[Auftrag],$A64))</f>
        <v>0</v>
      </c>
      <c r="N64" s="11" t="n">
        <f aca="false">IF($A64="",0,SUMIFS(tblAuftraege[Ausgaben],tblAuftraege[Datum Ausgaben],"&gt;="&amp;N$5,tblAuftraege[Datum Ausgaben],"&lt;"&amp;EDATE(N$5,1),tblAuftraege[Auftrag],$A64))</f>
        <v>0</v>
      </c>
      <c r="O64" s="11" t="n">
        <f aca="false">IF($A64="",0,SUMIFS(tblAuftraege[Ausgaben],tblAuftraege[Datum Ausgaben],"&gt;="&amp;O$5,tblAuftraege[Datum Ausgaben],"&lt;"&amp;EDATE(O$5,1),tblAuftraege[Auftrag],$A64))</f>
        <v>0</v>
      </c>
      <c r="P64" s="11" t="n">
        <f aca="false">IF($A64="",0,SUMIFS(tblAuftraege[Ausgaben],tblAuftraege[Datum Ausgaben],"&gt;="&amp;P$5,tblAuftraege[Datum Ausgaben],"&lt;"&amp;EDATE(P$5,1),tblAuftraege[Auftrag],$A64))</f>
        <v>0</v>
      </c>
      <c r="Q64" s="11" t="n">
        <f aca="false">IF($A64="",0,SUMIFS(tblAuftraege[Ausgaben],tblAuftraege[Datum Ausgaben],"&gt;="&amp;Q$5,tblAuftraege[Datum Ausgaben],"&lt;"&amp;EDATE(Q$5,1),tblAuftraege[Auftrag],$A64))</f>
        <v>0</v>
      </c>
      <c r="R64" s="11" t="n">
        <f aca="false">IF($A64="",0,SUMIFS(tblAuftraege[Ausgaben],tblAuftraege[Datum Ausgaben],"&gt;="&amp;R$5,tblAuftraege[Datum Ausgaben],"&lt;"&amp;EDATE(R$5,1),tblAuftraege[Auftrag],$A64))</f>
        <v>0</v>
      </c>
      <c r="S64" s="11" t="n">
        <f aca="false">IF($A64="",0,SUMIFS(tblAuftraege[Ausgaben],tblAuftraege[Datum Ausgaben],"&gt;="&amp;S$5,tblAuftraege[Datum Ausgaben],"&lt;"&amp;EDATE(S$5,1),tblAuftraege[Auftrag],$A64))</f>
        <v>0</v>
      </c>
      <c r="T64" s="11" t="n">
        <f aca="false">IF($A64="",0,SUMIFS(tblAuftraege[Ausgaben],tblAuftraege[Datum Ausgaben],"&gt;="&amp;T$5,tblAuftraege[Datum Ausgaben],"&lt;"&amp;EDATE(T$5,1),tblAuftraege[Auftrag],$A64))</f>
        <v>0</v>
      </c>
      <c r="U64" s="11" t="n">
        <f aca="false">IF($A64="",0,SUMIFS(tblAuftraege[Ausgaben],tblAuftraege[Datum Ausgaben],"&gt;="&amp;U$5,tblAuftraege[Datum Ausgaben],"&lt;"&amp;EDATE(U$5,1),tblAuftraege[Auftrag],$A64))</f>
        <v>0</v>
      </c>
      <c r="V64" s="11" t="n">
        <f aca="false">IF($A64="",0,SUMIFS(tblAuftraege[Ausgaben],tblAuftraege[Datum Ausgaben],"&gt;="&amp;V$5,tblAuftraege[Datum Ausgaben],"&lt;"&amp;EDATE(V$5,1),tblAuftraege[Auftrag],$A64))</f>
        <v>0</v>
      </c>
      <c r="W64" s="11" t="n">
        <f aca="false">SUM(E64:J64)</f>
        <v>0</v>
      </c>
      <c r="X64" s="11" t="n">
        <f aca="false">SUM(K64:V64)</f>
        <v>0</v>
      </c>
      <c r="Y64" s="12" t="n">
        <f aca="false">SUM(E64:V64)</f>
        <v>0</v>
      </c>
    </row>
    <row r="65" customFormat="false" ht="15" hidden="false" customHeight="false" outlineLevel="0" collapsed="false">
      <c r="A65" s="9"/>
      <c r="B65" s="10" t="str">
        <f aca="false">IF($A65="","",IFERROR(INDEX(tblAuftraege[Kostenstelle],MATCH($A65,tblAuftraege[Auftrag],0)),""))</f>
        <v/>
      </c>
      <c r="C65" s="10" t="str">
        <f aca="false">IF($A65="","",IFERROR(INDEX(tblAuftraege[Themenfeld],MATCH($A65,tblAuftraege[Auftrag],0)),""))</f>
        <v/>
      </c>
      <c r="D65" s="10" t="str">
        <f aca="false">IF($A65="","",IFERROR(INDEX(tblAuftraege[Kategorie],MATCH($A65,tblAuftraege[Auftrag],0)),""))</f>
        <v/>
      </c>
      <c r="E65" s="11" t="n">
        <f aca="false">IF($A65="",0,SUMIFS(tblAuftraege[Ausgaben],tblAuftraege[Datum Ausgaben],"&gt;="&amp;E$5,tblAuftraege[Datum Ausgaben],"&lt;"&amp;EDATE(E$5,1),tblAuftraege[Auftrag],$A65))</f>
        <v>0</v>
      </c>
      <c r="F65" s="11" t="n">
        <f aca="false">IF($A65="",0,SUMIFS(tblAuftraege[Ausgaben],tblAuftraege[Datum Ausgaben],"&gt;="&amp;F$5,tblAuftraege[Datum Ausgaben],"&lt;"&amp;EDATE(F$5,1),tblAuftraege[Auftrag],$A65))</f>
        <v>0</v>
      </c>
      <c r="G65" s="11" t="n">
        <f aca="false">IF($A65="",0,SUMIFS(tblAuftraege[Ausgaben],tblAuftraege[Datum Ausgaben],"&gt;="&amp;G$5,tblAuftraege[Datum Ausgaben],"&lt;"&amp;EDATE(G$5,1),tblAuftraege[Auftrag],$A65))</f>
        <v>0</v>
      </c>
      <c r="H65" s="11" t="n">
        <f aca="false">IF($A65="",0,SUMIFS(tblAuftraege[Ausgaben],tblAuftraege[Datum Ausgaben],"&gt;="&amp;H$5,tblAuftraege[Datum Ausgaben],"&lt;"&amp;EDATE(H$5,1),tblAuftraege[Auftrag],$A65))</f>
        <v>0</v>
      </c>
      <c r="I65" s="11" t="n">
        <f aca="false">IF($A65="",0,SUMIFS(tblAuftraege[Ausgaben],tblAuftraege[Datum Ausgaben],"&gt;="&amp;I$5,tblAuftraege[Datum Ausgaben],"&lt;"&amp;EDATE(I$5,1),tblAuftraege[Auftrag],$A65))</f>
        <v>0</v>
      </c>
      <c r="J65" s="11" t="n">
        <f aca="false">IF($A65="",0,SUMIFS(tblAuftraege[Ausgaben],tblAuftraege[Datum Ausgaben],"&gt;="&amp;J$5,tblAuftraege[Datum Ausgaben],"&lt;"&amp;EDATE(J$5,1),tblAuftraege[Auftrag],$A65))</f>
        <v>0</v>
      </c>
      <c r="K65" s="11" t="n">
        <f aca="false">IF($A65="",0,SUMIFS(tblAuftraege[Ausgaben],tblAuftraege[Datum Ausgaben],"&gt;="&amp;K$5,tblAuftraege[Datum Ausgaben],"&lt;"&amp;EDATE(K$5,1),tblAuftraege[Auftrag],$A65))</f>
        <v>0</v>
      </c>
      <c r="L65" s="11" t="n">
        <f aca="false">IF($A65="",0,SUMIFS(tblAuftraege[Ausgaben],tblAuftraege[Datum Ausgaben],"&gt;="&amp;L$5,tblAuftraege[Datum Ausgaben],"&lt;"&amp;EDATE(L$5,1),tblAuftraege[Auftrag],$A65))</f>
        <v>0</v>
      </c>
      <c r="M65" s="11" t="n">
        <f aca="false">IF($A65="",0,SUMIFS(tblAuftraege[Ausgaben],tblAuftraege[Datum Ausgaben],"&gt;="&amp;M$5,tblAuftraege[Datum Ausgaben],"&lt;"&amp;EDATE(M$5,1),tblAuftraege[Auftrag],$A65))</f>
        <v>0</v>
      </c>
      <c r="N65" s="11" t="n">
        <f aca="false">IF($A65="",0,SUMIFS(tblAuftraege[Ausgaben],tblAuftraege[Datum Ausgaben],"&gt;="&amp;N$5,tblAuftraege[Datum Ausgaben],"&lt;"&amp;EDATE(N$5,1),tblAuftraege[Auftrag],$A65))</f>
        <v>0</v>
      </c>
      <c r="O65" s="11" t="n">
        <f aca="false">IF($A65="",0,SUMIFS(tblAuftraege[Ausgaben],tblAuftraege[Datum Ausgaben],"&gt;="&amp;O$5,tblAuftraege[Datum Ausgaben],"&lt;"&amp;EDATE(O$5,1),tblAuftraege[Auftrag],$A65))</f>
        <v>0</v>
      </c>
      <c r="P65" s="11" t="n">
        <f aca="false">IF($A65="",0,SUMIFS(tblAuftraege[Ausgaben],tblAuftraege[Datum Ausgaben],"&gt;="&amp;P$5,tblAuftraege[Datum Ausgaben],"&lt;"&amp;EDATE(P$5,1),tblAuftraege[Auftrag],$A65))</f>
        <v>0</v>
      </c>
      <c r="Q65" s="11" t="n">
        <f aca="false">IF($A65="",0,SUMIFS(tblAuftraege[Ausgaben],tblAuftraege[Datum Ausgaben],"&gt;="&amp;Q$5,tblAuftraege[Datum Ausgaben],"&lt;"&amp;EDATE(Q$5,1),tblAuftraege[Auftrag],$A65))</f>
        <v>0</v>
      </c>
      <c r="R65" s="11" t="n">
        <f aca="false">IF($A65="",0,SUMIFS(tblAuftraege[Ausgaben],tblAuftraege[Datum Ausgaben],"&gt;="&amp;R$5,tblAuftraege[Datum Ausgaben],"&lt;"&amp;EDATE(R$5,1),tblAuftraege[Auftrag],$A65))</f>
        <v>0</v>
      </c>
      <c r="S65" s="11" t="n">
        <f aca="false">IF($A65="",0,SUMIFS(tblAuftraege[Ausgaben],tblAuftraege[Datum Ausgaben],"&gt;="&amp;S$5,tblAuftraege[Datum Ausgaben],"&lt;"&amp;EDATE(S$5,1),tblAuftraege[Auftrag],$A65))</f>
        <v>0</v>
      </c>
      <c r="T65" s="11" t="n">
        <f aca="false">IF($A65="",0,SUMIFS(tblAuftraege[Ausgaben],tblAuftraege[Datum Ausgaben],"&gt;="&amp;T$5,tblAuftraege[Datum Ausgaben],"&lt;"&amp;EDATE(T$5,1),tblAuftraege[Auftrag],$A65))</f>
        <v>0</v>
      </c>
      <c r="U65" s="11" t="n">
        <f aca="false">IF($A65="",0,SUMIFS(tblAuftraege[Ausgaben],tblAuftraege[Datum Ausgaben],"&gt;="&amp;U$5,tblAuftraege[Datum Ausgaben],"&lt;"&amp;EDATE(U$5,1),tblAuftraege[Auftrag],$A65))</f>
        <v>0</v>
      </c>
      <c r="V65" s="11" t="n">
        <f aca="false">IF($A65="",0,SUMIFS(tblAuftraege[Ausgaben],tblAuftraege[Datum Ausgaben],"&gt;="&amp;V$5,tblAuftraege[Datum Ausgaben],"&lt;"&amp;EDATE(V$5,1),tblAuftraege[Auftrag],$A65))</f>
        <v>0</v>
      </c>
      <c r="W65" s="11" t="n">
        <f aca="false">SUM(E65:J65)</f>
        <v>0</v>
      </c>
      <c r="X65" s="11" t="n">
        <f aca="false">SUM(K65:V65)</f>
        <v>0</v>
      </c>
      <c r="Y65" s="12" t="n">
        <f aca="false">SUM(E65:V65)</f>
        <v>0</v>
      </c>
    </row>
    <row r="66" customFormat="false" ht="15" hidden="false" customHeight="false" outlineLevel="0" collapsed="false">
      <c r="A66" s="9"/>
      <c r="B66" s="10" t="str">
        <f aca="false">IF($A66="","",IFERROR(INDEX(tblAuftraege[Kostenstelle],MATCH($A66,tblAuftraege[Auftrag],0)),""))</f>
        <v/>
      </c>
      <c r="C66" s="10" t="str">
        <f aca="false">IF($A66="","",IFERROR(INDEX(tblAuftraege[Themenfeld],MATCH($A66,tblAuftraege[Auftrag],0)),""))</f>
        <v/>
      </c>
      <c r="D66" s="10" t="str">
        <f aca="false">IF($A66="","",IFERROR(INDEX(tblAuftraege[Kategorie],MATCH($A66,tblAuftraege[Auftrag],0)),""))</f>
        <v/>
      </c>
      <c r="E66" s="11" t="n">
        <f aca="false">IF($A66="",0,SUMIFS(tblAuftraege[Ausgaben],tblAuftraege[Datum Ausgaben],"&gt;="&amp;E$5,tblAuftraege[Datum Ausgaben],"&lt;"&amp;EDATE(E$5,1),tblAuftraege[Auftrag],$A66))</f>
        <v>0</v>
      </c>
      <c r="F66" s="11" t="n">
        <f aca="false">IF($A66="",0,SUMIFS(tblAuftraege[Ausgaben],tblAuftraege[Datum Ausgaben],"&gt;="&amp;F$5,tblAuftraege[Datum Ausgaben],"&lt;"&amp;EDATE(F$5,1),tblAuftraege[Auftrag],$A66))</f>
        <v>0</v>
      </c>
      <c r="G66" s="11" t="n">
        <f aca="false">IF($A66="",0,SUMIFS(tblAuftraege[Ausgaben],tblAuftraege[Datum Ausgaben],"&gt;="&amp;G$5,tblAuftraege[Datum Ausgaben],"&lt;"&amp;EDATE(G$5,1),tblAuftraege[Auftrag],$A66))</f>
        <v>0</v>
      </c>
      <c r="H66" s="11" t="n">
        <f aca="false">IF($A66="",0,SUMIFS(tblAuftraege[Ausgaben],tblAuftraege[Datum Ausgaben],"&gt;="&amp;H$5,tblAuftraege[Datum Ausgaben],"&lt;"&amp;EDATE(H$5,1),tblAuftraege[Auftrag],$A66))</f>
        <v>0</v>
      </c>
      <c r="I66" s="11" t="n">
        <f aca="false">IF($A66="",0,SUMIFS(tblAuftraege[Ausgaben],tblAuftraege[Datum Ausgaben],"&gt;="&amp;I$5,tblAuftraege[Datum Ausgaben],"&lt;"&amp;EDATE(I$5,1),tblAuftraege[Auftrag],$A66))</f>
        <v>0</v>
      </c>
      <c r="J66" s="11" t="n">
        <f aca="false">IF($A66="",0,SUMIFS(tblAuftraege[Ausgaben],tblAuftraege[Datum Ausgaben],"&gt;="&amp;J$5,tblAuftraege[Datum Ausgaben],"&lt;"&amp;EDATE(J$5,1),tblAuftraege[Auftrag],$A66))</f>
        <v>0</v>
      </c>
      <c r="K66" s="11" t="n">
        <f aca="false">IF($A66="",0,SUMIFS(tblAuftraege[Ausgaben],tblAuftraege[Datum Ausgaben],"&gt;="&amp;K$5,tblAuftraege[Datum Ausgaben],"&lt;"&amp;EDATE(K$5,1),tblAuftraege[Auftrag],$A66))</f>
        <v>0</v>
      </c>
      <c r="L66" s="11" t="n">
        <f aca="false">IF($A66="",0,SUMIFS(tblAuftraege[Ausgaben],tblAuftraege[Datum Ausgaben],"&gt;="&amp;L$5,tblAuftraege[Datum Ausgaben],"&lt;"&amp;EDATE(L$5,1),tblAuftraege[Auftrag],$A66))</f>
        <v>0</v>
      </c>
      <c r="M66" s="11" t="n">
        <f aca="false">IF($A66="",0,SUMIFS(tblAuftraege[Ausgaben],tblAuftraege[Datum Ausgaben],"&gt;="&amp;M$5,tblAuftraege[Datum Ausgaben],"&lt;"&amp;EDATE(M$5,1),tblAuftraege[Auftrag],$A66))</f>
        <v>0</v>
      </c>
      <c r="N66" s="11" t="n">
        <f aca="false">IF($A66="",0,SUMIFS(tblAuftraege[Ausgaben],tblAuftraege[Datum Ausgaben],"&gt;="&amp;N$5,tblAuftraege[Datum Ausgaben],"&lt;"&amp;EDATE(N$5,1),tblAuftraege[Auftrag],$A66))</f>
        <v>0</v>
      </c>
      <c r="O66" s="11" t="n">
        <f aca="false">IF($A66="",0,SUMIFS(tblAuftraege[Ausgaben],tblAuftraege[Datum Ausgaben],"&gt;="&amp;O$5,tblAuftraege[Datum Ausgaben],"&lt;"&amp;EDATE(O$5,1),tblAuftraege[Auftrag],$A66))</f>
        <v>0</v>
      </c>
      <c r="P66" s="11" t="n">
        <f aca="false">IF($A66="",0,SUMIFS(tblAuftraege[Ausgaben],tblAuftraege[Datum Ausgaben],"&gt;="&amp;P$5,tblAuftraege[Datum Ausgaben],"&lt;"&amp;EDATE(P$5,1),tblAuftraege[Auftrag],$A66))</f>
        <v>0</v>
      </c>
      <c r="Q66" s="11" t="n">
        <f aca="false">IF($A66="",0,SUMIFS(tblAuftraege[Ausgaben],tblAuftraege[Datum Ausgaben],"&gt;="&amp;Q$5,tblAuftraege[Datum Ausgaben],"&lt;"&amp;EDATE(Q$5,1),tblAuftraege[Auftrag],$A66))</f>
        <v>0</v>
      </c>
      <c r="R66" s="11" t="n">
        <f aca="false">IF($A66="",0,SUMIFS(tblAuftraege[Ausgaben],tblAuftraege[Datum Ausgaben],"&gt;="&amp;R$5,tblAuftraege[Datum Ausgaben],"&lt;"&amp;EDATE(R$5,1),tblAuftraege[Auftrag],$A66))</f>
        <v>0</v>
      </c>
      <c r="S66" s="11" t="n">
        <f aca="false">IF($A66="",0,SUMIFS(tblAuftraege[Ausgaben],tblAuftraege[Datum Ausgaben],"&gt;="&amp;S$5,tblAuftraege[Datum Ausgaben],"&lt;"&amp;EDATE(S$5,1),tblAuftraege[Auftrag],$A66))</f>
        <v>0</v>
      </c>
      <c r="T66" s="11" t="n">
        <f aca="false">IF($A66="",0,SUMIFS(tblAuftraege[Ausgaben],tblAuftraege[Datum Ausgaben],"&gt;="&amp;T$5,tblAuftraege[Datum Ausgaben],"&lt;"&amp;EDATE(T$5,1),tblAuftraege[Auftrag],$A66))</f>
        <v>0</v>
      </c>
      <c r="U66" s="11" t="n">
        <f aca="false">IF($A66="",0,SUMIFS(tblAuftraege[Ausgaben],tblAuftraege[Datum Ausgaben],"&gt;="&amp;U$5,tblAuftraege[Datum Ausgaben],"&lt;"&amp;EDATE(U$5,1),tblAuftraege[Auftrag],$A66))</f>
        <v>0</v>
      </c>
      <c r="V66" s="11" t="n">
        <f aca="false">IF($A66="",0,SUMIFS(tblAuftraege[Ausgaben],tblAuftraege[Datum Ausgaben],"&gt;="&amp;V$5,tblAuftraege[Datum Ausgaben],"&lt;"&amp;EDATE(V$5,1),tblAuftraege[Auftrag],$A66))</f>
        <v>0</v>
      </c>
      <c r="W66" s="11" t="n">
        <f aca="false">SUM(E66:J66)</f>
        <v>0</v>
      </c>
      <c r="X66" s="11" t="n">
        <f aca="false">SUM(K66:V66)</f>
        <v>0</v>
      </c>
      <c r="Y66" s="12" t="n">
        <f aca="false">SUM(E66:V66)</f>
        <v>0</v>
      </c>
    </row>
    <row r="67" customFormat="false" ht="15" hidden="false" customHeight="false" outlineLevel="0" collapsed="false">
      <c r="A67" s="9"/>
      <c r="B67" s="10" t="str">
        <f aca="false">IF($A67="","",IFERROR(INDEX(tblAuftraege[Kostenstelle],MATCH($A67,tblAuftraege[Auftrag],0)),""))</f>
        <v/>
      </c>
      <c r="C67" s="10" t="str">
        <f aca="false">IF($A67="","",IFERROR(INDEX(tblAuftraege[Themenfeld],MATCH($A67,tblAuftraege[Auftrag],0)),""))</f>
        <v/>
      </c>
      <c r="D67" s="10" t="str">
        <f aca="false">IF($A67="","",IFERROR(INDEX(tblAuftraege[Kategorie],MATCH($A67,tblAuftraege[Auftrag],0)),""))</f>
        <v/>
      </c>
      <c r="E67" s="11" t="n">
        <f aca="false">IF($A67="",0,SUMIFS(tblAuftraege[Ausgaben],tblAuftraege[Datum Ausgaben],"&gt;="&amp;E$5,tblAuftraege[Datum Ausgaben],"&lt;"&amp;EDATE(E$5,1),tblAuftraege[Auftrag],$A67))</f>
        <v>0</v>
      </c>
      <c r="F67" s="11" t="n">
        <f aca="false">IF($A67="",0,SUMIFS(tblAuftraege[Ausgaben],tblAuftraege[Datum Ausgaben],"&gt;="&amp;F$5,tblAuftraege[Datum Ausgaben],"&lt;"&amp;EDATE(F$5,1),tblAuftraege[Auftrag],$A67))</f>
        <v>0</v>
      </c>
      <c r="G67" s="11" t="n">
        <f aca="false">IF($A67="",0,SUMIFS(tblAuftraege[Ausgaben],tblAuftraege[Datum Ausgaben],"&gt;="&amp;G$5,tblAuftraege[Datum Ausgaben],"&lt;"&amp;EDATE(G$5,1),tblAuftraege[Auftrag],$A67))</f>
        <v>0</v>
      </c>
      <c r="H67" s="11" t="n">
        <f aca="false">IF($A67="",0,SUMIFS(tblAuftraege[Ausgaben],tblAuftraege[Datum Ausgaben],"&gt;="&amp;H$5,tblAuftraege[Datum Ausgaben],"&lt;"&amp;EDATE(H$5,1),tblAuftraege[Auftrag],$A67))</f>
        <v>0</v>
      </c>
      <c r="I67" s="11" t="n">
        <f aca="false">IF($A67="",0,SUMIFS(tblAuftraege[Ausgaben],tblAuftraege[Datum Ausgaben],"&gt;="&amp;I$5,tblAuftraege[Datum Ausgaben],"&lt;"&amp;EDATE(I$5,1),tblAuftraege[Auftrag],$A67))</f>
        <v>0</v>
      </c>
      <c r="J67" s="11" t="n">
        <f aca="false">IF($A67="",0,SUMIFS(tblAuftraege[Ausgaben],tblAuftraege[Datum Ausgaben],"&gt;="&amp;J$5,tblAuftraege[Datum Ausgaben],"&lt;"&amp;EDATE(J$5,1),tblAuftraege[Auftrag],$A67))</f>
        <v>0</v>
      </c>
      <c r="K67" s="11" t="n">
        <f aca="false">IF($A67="",0,SUMIFS(tblAuftraege[Ausgaben],tblAuftraege[Datum Ausgaben],"&gt;="&amp;K$5,tblAuftraege[Datum Ausgaben],"&lt;"&amp;EDATE(K$5,1),tblAuftraege[Auftrag],$A67))</f>
        <v>0</v>
      </c>
      <c r="L67" s="11" t="n">
        <f aca="false">IF($A67="",0,SUMIFS(tblAuftraege[Ausgaben],tblAuftraege[Datum Ausgaben],"&gt;="&amp;L$5,tblAuftraege[Datum Ausgaben],"&lt;"&amp;EDATE(L$5,1),tblAuftraege[Auftrag],$A67))</f>
        <v>0</v>
      </c>
      <c r="M67" s="11" t="n">
        <f aca="false">IF($A67="",0,SUMIFS(tblAuftraege[Ausgaben],tblAuftraege[Datum Ausgaben],"&gt;="&amp;M$5,tblAuftraege[Datum Ausgaben],"&lt;"&amp;EDATE(M$5,1),tblAuftraege[Auftrag],$A67))</f>
        <v>0</v>
      </c>
      <c r="N67" s="11" t="n">
        <f aca="false">IF($A67="",0,SUMIFS(tblAuftraege[Ausgaben],tblAuftraege[Datum Ausgaben],"&gt;="&amp;N$5,tblAuftraege[Datum Ausgaben],"&lt;"&amp;EDATE(N$5,1),tblAuftraege[Auftrag],$A67))</f>
        <v>0</v>
      </c>
      <c r="O67" s="11" t="n">
        <f aca="false">IF($A67="",0,SUMIFS(tblAuftraege[Ausgaben],tblAuftraege[Datum Ausgaben],"&gt;="&amp;O$5,tblAuftraege[Datum Ausgaben],"&lt;"&amp;EDATE(O$5,1),tblAuftraege[Auftrag],$A67))</f>
        <v>0</v>
      </c>
      <c r="P67" s="11" t="n">
        <f aca="false">IF($A67="",0,SUMIFS(tblAuftraege[Ausgaben],tblAuftraege[Datum Ausgaben],"&gt;="&amp;P$5,tblAuftraege[Datum Ausgaben],"&lt;"&amp;EDATE(P$5,1),tblAuftraege[Auftrag],$A67))</f>
        <v>0</v>
      </c>
      <c r="Q67" s="11" t="n">
        <f aca="false">IF($A67="",0,SUMIFS(tblAuftraege[Ausgaben],tblAuftraege[Datum Ausgaben],"&gt;="&amp;Q$5,tblAuftraege[Datum Ausgaben],"&lt;"&amp;EDATE(Q$5,1),tblAuftraege[Auftrag],$A67))</f>
        <v>0</v>
      </c>
      <c r="R67" s="11" t="n">
        <f aca="false">IF($A67="",0,SUMIFS(tblAuftraege[Ausgaben],tblAuftraege[Datum Ausgaben],"&gt;="&amp;R$5,tblAuftraege[Datum Ausgaben],"&lt;"&amp;EDATE(R$5,1),tblAuftraege[Auftrag],$A67))</f>
        <v>0</v>
      </c>
      <c r="S67" s="11" t="n">
        <f aca="false">IF($A67="",0,SUMIFS(tblAuftraege[Ausgaben],tblAuftraege[Datum Ausgaben],"&gt;="&amp;S$5,tblAuftraege[Datum Ausgaben],"&lt;"&amp;EDATE(S$5,1),tblAuftraege[Auftrag],$A67))</f>
        <v>0</v>
      </c>
      <c r="T67" s="11" t="n">
        <f aca="false">IF($A67="",0,SUMIFS(tblAuftraege[Ausgaben],tblAuftraege[Datum Ausgaben],"&gt;="&amp;T$5,tblAuftraege[Datum Ausgaben],"&lt;"&amp;EDATE(T$5,1),tblAuftraege[Auftrag],$A67))</f>
        <v>0</v>
      </c>
      <c r="U67" s="11" t="n">
        <f aca="false">IF($A67="",0,SUMIFS(tblAuftraege[Ausgaben],tblAuftraege[Datum Ausgaben],"&gt;="&amp;U$5,tblAuftraege[Datum Ausgaben],"&lt;"&amp;EDATE(U$5,1),tblAuftraege[Auftrag],$A67))</f>
        <v>0</v>
      </c>
      <c r="V67" s="11" t="n">
        <f aca="false">IF($A67="",0,SUMIFS(tblAuftraege[Ausgaben],tblAuftraege[Datum Ausgaben],"&gt;="&amp;V$5,tblAuftraege[Datum Ausgaben],"&lt;"&amp;EDATE(V$5,1),tblAuftraege[Auftrag],$A67))</f>
        <v>0</v>
      </c>
      <c r="W67" s="11" t="n">
        <f aca="false">SUM(E67:J67)</f>
        <v>0</v>
      </c>
      <c r="X67" s="11" t="n">
        <f aca="false">SUM(K67:V67)</f>
        <v>0</v>
      </c>
      <c r="Y67" s="12" t="n">
        <f aca="false">SUM(E67:V67)</f>
        <v>0</v>
      </c>
    </row>
    <row r="68" customFormat="false" ht="15" hidden="false" customHeight="false" outlineLevel="0" collapsed="false">
      <c r="A68" s="9"/>
      <c r="B68" s="10" t="str">
        <f aca="false">IF($A68="","",IFERROR(INDEX(tblAuftraege[Kostenstelle],MATCH($A68,tblAuftraege[Auftrag],0)),""))</f>
        <v/>
      </c>
      <c r="C68" s="10" t="str">
        <f aca="false">IF($A68="","",IFERROR(INDEX(tblAuftraege[Themenfeld],MATCH($A68,tblAuftraege[Auftrag],0)),""))</f>
        <v/>
      </c>
      <c r="D68" s="10" t="str">
        <f aca="false">IF($A68="","",IFERROR(INDEX(tblAuftraege[Kategorie],MATCH($A68,tblAuftraege[Auftrag],0)),""))</f>
        <v/>
      </c>
      <c r="E68" s="11" t="n">
        <f aca="false">IF($A68="",0,SUMIFS(tblAuftraege[Ausgaben],tblAuftraege[Datum Ausgaben],"&gt;="&amp;E$5,tblAuftraege[Datum Ausgaben],"&lt;"&amp;EDATE(E$5,1),tblAuftraege[Auftrag],$A68))</f>
        <v>0</v>
      </c>
      <c r="F68" s="11" t="n">
        <f aca="false">IF($A68="",0,SUMIFS(tblAuftraege[Ausgaben],tblAuftraege[Datum Ausgaben],"&gt;="&amp;F$5,tblAuftraege[Datum Ausgaben],"&lt;"&amp;EDATE(F$5,1),tblAuftraege[Auftrag],$A68))</f>
        <v>0</v>
      </c>
      <c r="G68" s="11" t="n">
        <f aca="false">IF($A68="",0,SUMIFS(tblAuftraege[Ausgaben],tblAuftraege[Datum Ausgaben],"&gt;="&amp;G$5,tblAuftraege[Datum Ausgaben],"&lt;"&amp;EDATE(G$5,1),tblAuftraege[Auftrag],$A68))</f>
        <v>0</v>
      </c>
      <c r="H68" s="11" t="n">
        <f aca="false">IF($A68="",0,SUMIFS(tblAuftraege[Ausgaben],tblAuftraege[Datum Ausgaben],"&gt;="&amp;H$5,tblAuftraege[Datum Ausgaben],"&lt;"&amp;EDATE(H$5,1),tblAuftraege[Auftrag],$A68))</f>
        <v>0</v>
      </c>
      <c r="I68" s="11" t="n">
        <f aca="false">IF($A68="",0,SUMIFS(tblAuftraege[Ausgaben],tblAuftraege[Datum Ausgaben],"&gt;="&amp;I$5,tblAuftraege[Datum Ausgaben],"&lt;"&amp;EDATE(I$5,1),tblAuftraege[Auftrag],$A68))</f>
        <v>0</v>
      </c>
      <c r="J68" s="11" t="n">
        <f aca="false">IF($A68="",0,SUMIFS(tblAuftraege[Ausgaben],tblAuftraege[Datum Ausgaben],"&gt;="&amp;J$5,tblAuftraege[Datum Ausgaben],"&lt;"&amp;EDATE(J$5,1),tblAuftraege[Auftrag],$A68))</f>
        <v>0</v>
      </c>
      <c r="K68" s="11" t="n">
        <f aca="false">IF($A68="",0,SUMIFS(tblAuftraege[Ausgaben],tblAuftraege[Datum Ausgaben],"&gt;="&amp;K$5,tblAuftraege[Datum Ausgaben],"&lt;"&amp;EDATE(K$5,1),tblAuftraege[Auftrag],$A68))</f>
        <v>0</v>
      </c>
      <c r="L68" s="11" t="n">
        <f aca="false">IF($A68="",0,SUMIFS(tblAuftraege[Ausgaben],tblAuftraege[Datum Ausgaben],"&gt;="&amp;L$5,tblAuftraege[Datum Ausgaben],"&lt;"&amp;EDATE(L$5,1),tblAuftraege[Auftrag],$A68))</f>
        <v>0</v>
      </c>
      <c r="M68" s="11" t="n">
        <f aca="false">IF($A68="",0,SUMIFS(tblAuftraege[Ausgaben],tblAuftraege[Datum Ausgaben],"&gt;="&amp;M$5,tblAuftraege[Datum Ausgaben],"&lt;"&amp;EDATE(M$5,1),tblAuftraege[Auftrag],$A68))</f>
        <v>0</v>
      </c>
      <c r="N68" s="11" t="n">
        <f aca="false">IF($A68="",0,SUMIFS(tblAuftraege[Ausgaben],tblAuftraege[Datum Ausgaben],"&gt;="&amp;N$5,tblAuftraege[Datum Ausgaben],"&lt;"&amp;EDATE(N$5,1),tblAuftraege[Auftrag],$A68))</f>
        <v>0</v>
      </c>
      <c r="O68" s="11" t="n">
        <f aca="false">IF($A68="",0,SUMIFS(tblAuftraege[Ausgaben],tblAuftraege[Datum Ausgaben],"&gt;="&amp;O$5,tblAuftraege[Datum Ausgaben],"&lt;"&amp;EDATE(O$5,1),tblAuftraege[Auftrag],$A68))</f>
        <v>0</v>
      </c>
      <c r="P68" s="11" t="n">
        <f aca="false">IF($A68="",0,SUMIFS(tblAuftraege[Ausgaben],tblAuftraege[Datum Ausgaben],"&gt;="&amp;P$5,tblAuftraege[Datum Ausgaben],"&lt;"&amp;EDATE(P$5,1),tblAuftraege[Auftrag],$A68))</f>
        <v>0</v>
      </c>
      <c r="Q68" s="11" t="n">
        <f aca="false">IF($A68="",0,SUMIFS(tblAuftraege[Ausgaben],tblAuftraege[Datum Ausgaben],"&gt;="&amp;Q$5,tblAuftraege[Datum Ausgaben],"&lt;"&amp;EDATE(Q$5,1),tblAuftraege[Auftrag],$A68))</f>
        <v>0</v>
      </c>
      <c r="R68" s="11" t="n">
        <f aca="false">IF($A68="",0,SUMIFS(tblAuftraege[Ausgaben],tblAuftraege[Datum Ausgaben],"&gt;="&amp;R$5,tblAuftraege[Datum Ausgaben],"&lt;"&amp;EDATE(R$5,1),tblAuftraege[Auftrag],$A68))</f>
        <v>0</v>
      </c>
      <c r="S68" s="11" t="n">
        <f aca="false">IF($A68="",0,SUMIFS(tblAuftraege[Ausgaben],tblAuftraege[Datum Ausgaben],"&gt;="&amp;S$5,tblAuftraege[Datum Ausgaben],"&lt;"&amp;EDATE(S$5,1),tblAuftraege[Auftrag],$A68))</f>
        <v>0</v>
      </c>
      <c r="T68" s="11" t="n">
        <f aca="false">IF($A68="",0,SUMIFS(tblAuftraege[Ausgaben],tblAuftraege[Datum Ausgaben],"&gt;="&amp;T$5,tblAuftraege[Datum Ausgaben],"&lt;"&amp;EDATE(T$5,1),tblAuftraege[Auftrag],$A68))</f>
        <v>0</v>
      </c>
      <c r="U68" s="11" t="n">
        <f aca="false">IF($A68="",0,SUMIFS(tblAuftraege[Ausgaben],tblAuftraege[Datum Ausgaben],"&gt;="&amp;U$5,tblAuftraege[Datum Ausgaben],"&lt;"&amp;EDATE(U$5,1),tblAuftraege[Auftrag],$A68))</f>
        <v>0</v>
      </c>
      <c r="V68" s="11" t="n">
        <f aca="false">IF($A68="",0,SUMIFS(tblAuftraege[Ausgaben],tblAuftraege[Datum Ausgaben],"&gt;="&amp;V$5,tblAuftraege[Datum Ausgaben],"&lt;"&amp;EDATE(V$5,1),tblAuftraege[Auftrag],$A68))</f>
        <v>0</v>
      </c>
      <c r="W68" s="11" t="n">
        <f aca="false">SUM(E68:J68)</f>
        <v>0</v>
      </c>
      <c r="X68" s="11" t="n">
        <f aca="false">SUM(K68:V68)</f>
        <v>0</v>
      </c>
      <c r="Y68" s="12" t="n">
        <f aca="false">SUM(E68:V68)</f>
        <v>0</v>
      </c>
    </row>
    <row r="69" customFormat="false" ht="15" hidden="false" customHeight="false" outlineLevel="0" collapsed="false">
      <c r="A69" s="9"/>
      <c r="B69" s="10" t="str">
        <f aca="false">IF($A69="","",IFERROR(INDEX(tblAuftraege[Kostenstelle],MATCH($A69,tblAuftraege[Auftrag],0)),""))</f>
        <v/>
      </c>
      <c r="C69" s="10" t="str">
        <f aca="false">IF($A69="","",IFERROR(INDEX(tblAuftraege[Themenfeld],MATCH($A69,tblAuftraege[Auftrag],0)),""))</f>
        <v/>
      </c>
      <c r="D69" s="10" t="str">
        <f aca="false">IF($A69="","",IFERROR(INDEX(tblAuftraege[Kategorie],MATCH($A69,tblAuftraege[Auftrag],0)),""))</f>
        <v/>
      </c>
      <c r="E69" s="11" t="n">
        <f aca="false">IF($A69="",0,SUMIFS(tblAuftraege[Ausgaben],tblAuftraege[Datum Ausgaben],"&gt;="&amp;E$5,tblAuftraege[Datum Ausgaben],"&lt;"&amp;EDATE(E$5,1),tblAuftraege[Auftrag],$A69))</f>
        <v>0</v>
      </c>
      <c r="F69" s="11" t="n">
        <f aca="false">IF($A69="",0,SUMIFS(tblAuftraege[Ausgaben],tblAuftraege[Datum Ausgaben],"&gt;="&amp;F$5,tblAuftraege[Datum Ausgaben],"&lt;"&amp;EDATE(F$5,1),tblAuftraege[Auftrag],$A69))</f>
        <v>0</v>
      </c>
      <c r="G69" s="11" t="n">
        <f aca="false">IF($A69="",0,SUMIFS(tblAuftraege[Ausgaben],tblAuftraege[Datum Ausgaben],"&gt;="&amp;G$5,tblAuftraege[Datum Ausgaben],"&lt;"&amp;EDATE(G$5,1),tblAuftraege[Auftrag],$A69))</f>
        <v>0</v>
      </c>
      <c r="H69" s="11" t="n">
        <f aca="false">IF($A69="",0,SUMIFS(tblAuftraege[Ausgaben],tblAuftraege[Datum Ausgaben],"&gt;="&amp;H$5,tblAuftraege[Datum Ausgaben],"&lt;"&amp;EDATE(H$5,1),tblAuftraege[Auftrag],$A69))</f>
        <v>0</v>
      </c>
      <c r="I69" s="11" t="n">
        <f aca="false">IF($A69="",0,SUMIFS(tblAuftraege[Ausgaben],tblAuftraege[Datum Ausgaben],"&gt;="&amp;I$5,tblAuftraege[Datum Ausgaben],"&lt;"&amp;EDATE(I$5,1),tblAuftraege[Auftrag],$A69))</f>
        <v>0</v>
      </c>
      <c r="J69" s="11" t="n">
        <f aca="false">IF($A69="",0,SUMIFS(tblAuftraege[Ausgaben],tblAuftraege[Datum Ausgaben],"&gt;="&amp;J$5,tblAuftraege[Datum Ausgaben],"&lt;"&amp;EDATE(J$5,1),tblAuftraege[Auftrag],$A69))</f>
        <v>0</v>
      </c>
      <c r="K69" s="11" t="n">
        <f aca="false">IF($A69="",0,SUMIFS(tblAuftraege[Ausgaben],tblAuftraege[Datum Ausgaben],"&gt;="&amp;K$5,tblAuftraege[Datum Ausgaben],"&lt;"&amp;EDATE(K$5,1),tblAuftraege[Auftrag],$A69))</f>
        <v>0</v>
      </c>
      <c r="L69" s="11" t="n">
        <f aca="false">IF($A69="",0,SUMIFS(tblAuftraege[Ausgaben],tblAuftraege[Datum Ausgaben],"&gt;="&amp;L$5,tblAuftraege[Datum Ausgaben],"&lt;"&amp;EDATE(L$5,1),tblAuftraege[Auftrag],$A69))</f>
        <v>0</v>
      </c>
      <c r="M69" s="11" t="n">
        <f aca="false">IF($A69="",0,SUMIFS(tblAuftraege[Ausgaben],tblAuftraege[Datum Ausgaben],"&gt;="&amp;M$5,tblAuftraege[Datum Ausgaben],"&lt;"&amp;EDATE(M$5,1),tblAuftraege[Auftrag],$A69))</f>
        <v>0</v>
      </c>
      <c r="N69" s="11" t="n">
        <f aca="false">IF($A69="",0,SUMIFS(tblAuftraege[Ausgaben],tblAuftraege[Datum Ausgaben],"&gt;="&amp;N$5,tblAuftraege[Datum Ausgaben],"&lt;"&amp;EDATE(N$5,1),tblAuftraege[Auftrag],$A69))</f>
        <v>0</v>
      </c>
      <c r="O69" s="11" t="n">
        <f aca="false">IF($A69="",0,SUMIFS(tblAuftraege[Ausgaben],tblAuftraege[Datum Ausgaben],"&gt;="&amp;O$5,tblAuftraege[Datum Ausgaben],"&lt;"&amp;EDATE(O$5,1),tblAuftraege[Auftrag],$A69))</f>
        <v>0</v>
      </c>
      <c r="P69" s="11" t="n">
        <f aca="false">IF($A69="",0,SUMIFS(tblAuftraege[Ausgaben],tblAuftraege[Datum Ausgaben],"&gt;="&amp;P$5,tblAuftraege[Datum Ausgaben],"&lt;"&amp;EDATE(P$5,1),tblAuftraege[Auftrag],$A69))</f>
        <v>0</v>
      </c>
      <c r="Q69" s="11" t="n">
        <f aca="false">IF($A69="",0,SUMIFS(tblAuftraege[Ausgaben],tblAuftraege[Datum Ausgaben],"&gt;="&amp;Q$5,tblAuftraege[Datum Ausgaben],"&lt;"&amp;EDATE(Q$5,1),tblAuftraege[Auftrag],$A69))</f>
        <v>0</v>
      </c>
      <c r="R69" s="11" t="n">
        <f aca="false">IF($A69="",0,SUMIFS(tblAuftraege[Ausgaben],tblAuftraege[Datum Ausgaben],"&gt;="&amp;R$5,tblAuftraege[Datum Ausgaben],"&lt;"&amp;EDATE(R$5,1),tblAuftraege[Auftrag],$A69))</f>
        <v>0</v>
      </c>
      <c r="S69" s="11" t="n">
        <f aca="false">IF($A69="",0,SUMIFS(tblAuftraege[Ausgaben],tblAuftraege[Datum Ausgaben],"&gt;="&amp;S$5,tblAuftraege[Datum Ausgaben],"&lt;"&amp;EDATE(S$5,1),tblAuftraege[Auftrag],$A69))</f>
        <v>0</v>
      </c>
      <c r="T69" s="11" t="n">
        <f aca="false">IF($A69="",0,SUMIFS(tblAuftraege[Ausgaben],tblAuftraege[Datum Ausgaben],"&gt;="&amp;T$5,tblAuftraege[Datum Ausgaben],"&lt;"&amp;EDATE(T$5,1),tblAuftraege[Auftrag],$A69))</f>
        <v>0</v>
      </c>
      <c r="U69" s="11" t="n">
        <f aca="false">IF($A69="",0,SUMIFS(tblAuftraege[Ausgaben],tblAuftraege[Datum Ausgaben],"&gt;="&amp;U$5,tblAuftraege[Datum Ausgaben],"&lt;"&amp;EDATE(U$5,1),tblAuftraege[Auftrag],$A69))</f>
        <v>0</v>
      </c>
      <c r="V69" s="11" t="n">
        <f aca="false">IF($A69="",0,SUMIFS(tblAuftraege[Ausgaben],tblAuftraege[Datum Ausgaben],"&gt;="&amp;V$5,tblAuftraege[Datum Ausgaben],"&lt;"&amp;EDATE(V$5,1),tblAuftraege[Auftrag],$A69))</f>
        <v>0</v>
      </c>
      <c r="W69" s="11" t="n">
        <f aca="false">SUM(E69:J69)</f>
        <v>0</v>
      </c>
      <c r="X69" s="11" t="n">
        <f aca="false">SUM(K69:V69)</f>
        <v>0</v>
      </c>
      <c r="Y69" s="12" t="n">
        <f aca="false">SUM(E69:V69)</f>
        <v>0</v>
      </c>
    </row>
    <row r="70" customFormat="false" ht="15" hidden="false" customHeight="false" outlineLevel="0" collapsed="false">
      <c r="A70" s="9"/>
      <c r="B70" s="10" t="str">
        <f aca="false">IF($A70="","",IFERROR(INDEX(tblAuftraege[Kostenstelle],MATCH($A70,tblAuftraege[Auftrag],0)),""))</f>
        <v/>
      </c>
      <c r="C70" s="10" t="str">
        <f aca="false">IF($A70="","",IFERROR(INDEX(tblAuftraege[Themenfeld],MATCH($A70,tblAuftraege[Auftrag],0)),""))</f>
        <v/>
      </c>
      <c r="D70" s="10" t="str">
        <f aca="false">IF($A70="","",IFERROR(INDEX(tblAuftraege[Kategorie],MATCH($A70,tblAuftraege[Auftrag],0)),""))</f>
        <v/>
      </c>
      <c r="E70" s="11" t="n">
        <f aca="false">IF($A70="",0,SUMIFS(tblAuftraege[Ausgaben],tblAuftraege[Datum Ausgaben],"&gt;="&amp;E$5,tblAuftraege[Datum Ausgaben],"&lt;"&amp;EDATE(E$5,1),tblAuftraege[Auftrag],$A70))</f>
        <v>0</v>
      </c>
      <c r="F70" s="11" t="n">
        <f aca="false">IF($A70="",0,SUMIFS(tblAuftraege[Ausgaben],tblAuftraege[Datum Ausgaben],"&gt;="&amp;F$5,tblAuftraege[Datum Ausgaben],"&lt;"&amp;EDATE(F$5,1),tblAuftraege[Auftrag],$A70))</f>
        <v>0</v>
      </c>
      <c r="G70" s="11" t="n">
        <f aca="false">IF($A70="",0,SUMIFS(tblAuftraege[Ausgaben],tblAuftraege[Datum Ausgaben],"&gt;="&amp;G$5,tblAuftraege[Datum Ausgaben],"&lt;"&amp;EDATE(G$5,1),tblAuftraege[Auftrag],$A70))</f>
        <v>0</v>
      </c>
      <c r="H70" s="11" t="n">
        <f aca="false">IF($A70="",0,SUMIFS(tblAuftraege[Ausgaben],tblAuftraege[Datum Ausgaben],"&gt;="&amp;H$5,tblAuftraege[Datum Ausgaben],"&lt;"&amp;EDATE(H$5,1),tblAuftraege[Auftrag],$A70))</f>
        <v>0</v>
      </c>
      <c r="I70" s="11" t="n">
        <f aca="false">IF($A70="",0,SUMIFS(tblAuftraege[Ausgaben],tblAuftraege[Datum Ausgaben],"&gt;="&amp;I$5,tblAuftraege[Datum Ausgaben],"&lt;"&amp;EDATE(I$5,1),tblAuftraege[Auftrag],$A70))</f>
        <v>0</v>
      </c>
      <c r="J70" s="11" t="n">
        <f aca="false">IF($A70="",0,SUMIFS(tblAuftraege[Ausgaben],tblAuftraege[Datum Ausgaben],"&gt;="&amp;J$5,tblAuftraege[Datum Ausgaben],"&lt;"&amp;EDATE(J$5,1),tblAuftraege[Auftrag],$A70))</f>
        <v>0</v>
      </c>
      <c r="K70" s="11" t="n">
        <f aca="false">IF($A70="",0,SUMIFS(tblAuftraege[Ausgaben],tblAuftraege[Datum Ausgaben],"&gt;="&amp;K$5,tblAuftraege[Datum Ausgaben],"&lt;"&amp;EDATE(K$5,1),tblAuftraege[Auftrag],$A70))</f>
        <v>0</v>
      </c>
      <c r="L70" s="11" t="n">
        <f aca="false">IF($A70="",0,SUMIFS(tblAuftraege[Ausgaben],tblAuftraege[Datum Ausgaben],"&gt;="&amp;L$5,tblAuftraege[Datum Ausgaben],"&lt;"&amp;EDATE(L$5,1),tblAuftraege[Auftrag],$A70))</f>
        <v>0</v>
      </c>
      <c r="M70" s="11" t="n">
        <f aca="false">IF($A70="",0,SUMIFS(tblAuftraege[Ausgaben],tblAuftraege[Datum Ausgaben],"&gt;="&amp;M$5,tblAuftraege[Datum Ausgaben],"&lt;"&amp;EDATE(M$5,1),tblAuftraege[Auftrag],$A70))</f>
        <v>0</v>
      </c>
      <c r="N70" s="11" t="n">
        <f aca="false">IF($A70="",0,SUMIFS(tblAuftraege[Ausgaben],tblAuftraege[Datum Ausgaben],"&gt;="&amp;N$5,tblAuftraege[Datum Ausgaben],"&lt;"&amp;EDATE(N$5,1),tblAuftraege[Auftrag],$A70))</f>
        <v>0</v>
      </c>
      <c r="O70" s="11" t="n">
        <f aca="false">IF($A70="",0,SUMIFS(tblAuftraege[Ausgaben],tblAuftraege[Datum Ausgaben],"&gt;="&amp;O$5,tblAuftraege[Datum Ausgaben],"&lt;"&amp;EDATE(O$5,1),tblAuftraege[Auftrag],$A70))</f>
        <v>0</v>
      </c>
      <c r="P70" s="11" t="n">
        <f aca="false">IF($A70="",0,SUMIFS(tblAuftraege[Ausgaben],tblAuftraege[Datum Ausgaben],"&gt;="&amp;P$5,tblAuftraege[Datum Ausgaben],"&lt;"&amp;EDATE(P$5,1),tblAuftraege[Auftrag],$A70))</f>
        <v>0</v>
      </c>
      <c r="Q70" s="11" t="n">
        <f aca="false">IF($A70="",0,SUMIFS(tblAuftraege[Ausgaben],tblAuftraege[Datum Ausgaben],"&gt;="&amp;Q$5,tblAuftraege[Datum Ausgaben],"&lt;"&amp;EDATE(Q$5,1),tblAuftraege[Auftrag],$A70))</f>
        <v>0</v>
      </c>
      <c r="R70" s="11" t="n">
        <f aca="false">IF($A70="",0,SUMIFS(tblAuftraege[Ausgaben],tblAuftraege[Datum Ausgaben],"&gt;="&amp;R$5,tblAuftraege[Datum Ausgaben],"&lt;"&amp;EDATE(R$5,1),tblAuftraege[Auftrag],$A70))</f>
        <v>0</v>
      </c>
      <c r="S70" s="11" t="n">
        <f aca="false">IF($A70="",0,SUMIFS(tblAuftraege[Ausgaben],tblAuftraege[Datum Ausgaben],"&gt;="&amp;S$5,tblAuftraege[Datum Ausgaben],"&lt;"&amp;EDATE(S$5,1),tblAuftraege[Auftrag],$A70))</f>
        <v>0</v>
      </c>
      <c r="T70" s="11" t="n">
        <f aca="false">IF($A70="",0,SUMIFS(tblAuftraege[Ausgaben],tblAuftraege[Datum Ausgaben],"&gt;="&amp;T$5,tblAuftraege[Datum Ausgaben],"&lt;"&amp;EDATE(T$5,1),tblAuftraege[Auftrag],$A70))</f>
        <v>0</v>
      </c>
      <c r="U70" s="11" t="n">
        <f aca="false">IF($A70="",0,SUMIFS(tblAuftraege[Ausgaben],tblAuftraege[Datum Ausgaben],"&gt;="&amp;U$5,tblAuftraege[Datum Ausgaben],"&lt;"&amp;EDATE(U$5,1),tblAuftraege[Auftrag],$A70))</f>
        <v>0</v>
      </c>
      <c r="V70" s="11" t="n">
        <f aca="false">IF($A70="",0,SUMIFS(tblAuftraege[Ausgaben],tblAuftraege[Datum Ausgaben],"&gt;="&amp;V$5,tblAuftraege[Datum Ausgaben],"&lt;"&amp;EDATE(V$5,1),tblAuftraege[Auftrag],$A70))</f>
        <v>0</v>
      </c>
      <c r="W70" s="11" t="n">
        <f aca="false">SUM(E70:J70)</f>
        <v>0</v>
      </c>
      <c r="X70" s="11" t="n">
        <f aca="false">SUM(K70:V70)</f>
        <v>0</v>
      </c>
      <c r="Y70" s="12" t="n">
        <f aca="false">SUM(E70:V70)</f>
        <v>0</v>
      </c>
    </row>
    <row r="71" customFormat="false" ht="15" hidden="false" customHeight="false" outlineLevel="0" collapsed="false">
      <c r="A71" s="9"/>
      <c r="B71" s="10" t="str">
        <f aca="false">IF($A71="","",IFERROR(INDEX(tblAuftraege[Kostenstelle],MATCH($A71,tblAuftraege[Auftrag],0)),""))</f>
        <v/>
      </c>
      <c r="C71" s="10" t="str">
        <f aca="false">IF($A71="","",IFERROR(INDEX(tblAuftraege[Themenfeld],MATCH($A71,tblAuftraege[Auftrag],0)),""))</f>
        <v/>
      </c>
      <c r="D71" s="10" t="str">
        <f aca="false">IF($A71="","",IFERROR(INDEX(tblAuftraege[Kategorie],MATCH($A71,tblAuftraege[Auftrag],0)),""))</f>
        <v/>
      </c>
      <c r="E71" s="11" t="n">
        <f aca="false">IF($A71="",0,SUMIFS(tblAuftraege[Ausgaben],tblAuftraege[Datum Ausgaben],"&gt;="&amp;E$5,tblAuftraege[Datum Ausgaben],"&lt;"&amp;EDATE(E$5,1),tblAuftraege[Auftrag],$A71))</f>
        <v>0</v>
      </c>
      <c r="F71" s="11" t="n">
        <f aca="false">IF($A71="",0,SUMIFS(tblAuftraege[Ausgaben],tblAuftraege[Datum Ausgaben],"&gt;="&amp;F$5,tblAuftraege[Datum Ausgaben],"&lt;"&amp;EDATE(F$5,1),tblAuftraege[Auftrag],$A71))</f>
        <v>0</v>
      </c>
      <c r="G71" s="11" t="n">
        <f aca="false">IF($A71="",0,SUMIFS(tblAuftraege[Ausgaben],tblAuftraege[Datum Ausgaben],"&gt;="&amp;G$5,tblAuftraege[Datum Ausgaben],"&lt;"&amp;EDATE(G$5,1),tblAuftraege[Auftrag],$A71))</f>
        <v>0</v>
      </c>
      <c r="H71" s="11" t="n">
        <f aca="false">IF($A71="",0,SUMIFS(tblAuftraege[Ausgaben],tblAuftraege[Datum Ausgaben],"&gt;="&amp;H$5,tblAuftraege[Datum Ausgaben],"&lt;"&amp;EDATE(H$5,1),tblAuftraege[Auftrag],$A71))</f>
        <v>0</v>
      </c>
      <c r="I71" s="11" t="n">
        <f aca="false">IF($A71="",0,SUMIFS(tblAuftraege[Ausgaben],tblAuftraege[Datum Ausgaben],"&gt;="&amp;I$5,tblAuftraege[Datum Ausgaben],"&lt;"&amp;EDATE(I$5,1),tblAuftraege[Auftrag],$A71))</f>
        <v>0</v>
      </c>
      <c r="J71" s="11" t="n">
        <f aca="false">IF($A71="",0,SUMIFS(tblAuftraege[Ausgaben],tblAuftraege[Datum Ausgaben],"&gt;="&amp;J$5,tblAuftraege[Datum Ausgaben],"&lt;"&amp;EDATE(J$5,1),tblAuftraege[Auftrag],$A71))</f>
        <v>0</v>
      </c>
      <c r="K71" s="11" t="n">
        <f aca="false">IF($A71="",0,SUMIFS(tblAuftraege[Ausgaben],tblAuftraege[Datum Ausgaben],"&gt;="&amp;K$5,tblAuftraege[Datum Ausgaben],"&lt;"&amp;EDATE(K$5,1),tblAuftraege[Auftrag],$A71))</f>
        <v>0</v>
      </c>
      <c r="L71" s="11" t="n">
        <f aca="false">IF($A71="",0,SUMIFS(tblAuftraege[Ausgaben],tblAuftraege[Datum Ausgaben],"&gt;="&amp;L$5,tblAuftraege[Datum Ausgaben],"&lt;"&amp;EDATE(L$5,1),tblAuftraege[Auftrag],$A71))</f>
        <v>0</v>
      </c>
      <c r="M71" s="11" t="n">
        <f aca="false">IF($A71="",0,SUMIFS(tblAuftraege[Ausgaben],tblAuftraege[Datum Ausgaben],"&gt;="&amp;M$5,tblAuftraege[Datum Ausgaben],"&lt;"&amp;EDATE(M$5,1),tblAuftraege[Auftrag],$A71))</f>
        <v>0</v>
      </c>
      <c r="N71" s="11" t="n">
        <f aca="false">IF($A71="",0,SUMIFS(tblAuftraege[Ausgaben],tblAuftraege[Datum Ausgaben],"&gt;="&amp;N$5,tblAuftraege[Datum Ausgaben],"&lt;"&amp;EDATE(N$5,1),tblAuftraege[Auftrag],$A71))</f>
        <v>0</v>
      </c>
      <c r="O71" s="11" t="n">
        <f aca="false">IF($A71="",0,SUMIFS(tblAuftraege[Ausgaben],tblAuftraege[Datum Ausgaben],"&gt;="&amp;O$5,tblAuftraege[Datum Ausgaben],"&lt;"&amp;EDATE(O$5,1),tblAuftraege[Auftrag],$A71))</f>
        <v>0</v>
      </c>
      <c r="P71" s="11" t="n">
        <f aca="false">IF($A71="",0,SUMIFS(tblAuftraege[Ausgaben],tblAuftraege[Datum Ausgaben],"&gt;="&amp;P$5,tblAuftraege[Datum Ausgaben],"&lt;"&amp;EDATE(P$5,1),tblAuftraege[Auftrag],$A71))</f>
        <v>0</v>
      </c>
      <c r="Q71" s="11" t="n">
        <f aca="false">IF($A71="",0,SUMIFS(tblAuftraege[Ausgaben],tblAuftraege[Datum Ausgaben],"&gt;="&amp;Q$5,tblAuftraege[Datum Ausgaben],"&lt;"&amp;EDATE(Q$5,1),tblAuftraege[Auftrag],$A71))</f>
        <v>0</v>
      </c>
      <c r="R71" s="11" t="n">
        <f aca="false">IF($A71="",0,SUMIFS(tblAuftraege[Ausgaben],tblAuftraege[Datum Ausgaben],"&gt;="&amp;R$5,tblAuftraege[Datum Ausgaben],"&lt;"&amp;EDATE(R$5,1),tblAuftraege[Auftrag],$A71))</f>
        <v>0</v>
      </c>
      <c r="S71" s="11" t="n">
        <f aca="false">IF($A71="",0,SUMIFS(tblAuftraege[Ausgaben],tblAuftraege[Datum Ausgaben],"&gt;="&amp;S$5,tblAuftraege[Datum Ausgaben],"&lt;"&amp;EDATE(S$5,1),tblAuftraege[Auftrag],$A71))</f>
        <v>0</v>
      </c>
      <c r="T71" s="11" t="n">
        <f aca="false">IF($A71="",0,SUMIFS(tblAuftraege[Ausgaben],tblAuftraege[Datum Ausgaben],"&gt;="&amp;T$5,tblAuftraege[Datum Ausgaben],"&lt;"&amp;EDATE(T$5,1),tblAuftraege[Auftrag],$A71))</f>
        <v>0</v>
      </c>
      <c r="U71" s="11" t="n">
        <f aca="false">IF($A71="",0,SUMIFS(tblAuftraege[Ausgaben],tblAuftraege[Datum Ausgaben],"&gt;="&amp;U$5,tblAuftraege[Datum Ausgaben],"&lt;"&amp;EDATE(U$5,1),tblAuftraege[Auftrag],$A71))</f>
        <v>0</v>
      </c>
      <c r="V71" s="11" t="n">
        <f aca="false">IF($A71="",0,SUMIFS(tblAuftraege[Ausgaben],tblAuftraege[Datum Ausgaben],"&gt;="&amp;V$5,tblAuftraege[Datum Ausgaben],"&lt;"&amp;EDATE(V$5,1),tblAuftraege[Auftrag],$A71))</f>
        <v>0</v>
      </c>
      <c r="W71" s="11" t="n">
        <f aca="false">SUM(E71:J71)</f>
        <v>0</v>
      </c>
      <c r="X71" s="11" t="n">
        <f aca="false">SUM(K71:V71)</f>
        <v>0</v>
      </c>
      <c r="Y71" s="12" t="n">
        <f aca="false">SUM(E71:V71)</f>
        <v>0</v>
      </c>
    </row>
    <row r="72" customFormat="false" ht="15" hidden="false" customHeight="false" outlineLevel="0" collapsed="false">
      <c r="A72" s="9"/>
      <c r="B72" s="10" t="str">
        <f aca="false">IF($A72="","",IFERROR(INDEX(tblAuftraege[Kostenstelle],MATCH($A72,tblAuftraege[Auftrag],0)),""))</f>
        <v/>
      </c>
      <c r="C72" s="10" t="str">
        <f aca="false">IF($A72="","",IFERROR(INDEX(tblAuftraege[Themenfeld],MATCH($A72,tblAuftraege[Auftrag],0)),""))</f>
        <v/>
      </c>
      <c r="D72" s="10" t="str">
        <f aca="false">IF($A72="","",IFERROR(INDEX(tblAuftraege[Kategorie],MATCH($A72,tblAuftraege[Auftrag],0)),""))</f>
        <v/>
      </c>
      <c r="E72" s="11" t="n">
        <f aca="false">IF($A72="",0,SUMIFS(tblAuftraege[Ausgaben],tblAuftraege[Datum Ausgaben],"&gt;="&amp;E$5,tblAuftraege[Datum Ausgaben],"&lt;"&amp;EDATE(E$5,1),tblAuftraege[Auftrag],$A72))</f>
        <v>0</v>
      </c>
      <c r="F72" s="11" t="n">
        <f aca="false">IF($A72="",0,SUMIFS(tblAuftraege[Ausgaben],tblAuftraege[Datum Ausgaben],"&gt;="&amp;F$5,tblAuftraege[Datum Ausgaben],"&lt;"&amp;EDATE(F$5,1),tblAuftraege[Auftrag],$A72))</f>
        <v>0</v>
      </c>
      <c r="G72" s="11" t="n">
        <f aca="false">IF($A72="",0,SUMIFS(tblAuftraege[Ausgaben],tblAuftraege[Datum Ausgaben],"&gt;="&amp;G$5,tblAuftraege[Datum Ausgaben],"&lt;"&amp;EDATE(G$5,1),tblAuftraege[Auftrag],$A72))</f>
        <v>0</v>
      </c>
      <c r="H72" s="11" t="n">
        <f aca="false">IF($A72="",0,SUMIFS(tblAuftraege[Ausgaben],tblAuftraege[Datum Ausgaben],"&gt;="&amp;H$5,tblAuftraege[Datum Ausgaben],"&lt;"&amp;EDATE(H$5,1),tblAuftraege[Auftrag],$A72))</f>
        <v>0</v>
      </c>
      <c r="I72" s="11" t="n">
        <f aca="false">IF($A72="",0,SUMIFS(tblAuftraege[Ausgaben],tblAuftraege[Datum Ausgaben],"&gt;="&amp;I$5,tblAuftraege[Datum Ausgaben],"&lt;"&amp;EDATE(I$5,1),tblAuftraege[Auftrag],$A72))</f>
        <v>0</v>
      </c>
      <c r="J72" s="11" t="n">
        <f aca="false">IF($A72="",0,SUMIFS(tblAuftraege[Ausgaben],tblAuftraege[Datum Ausgaben],"&gt;="&amp;J$5,tblAuftraege[Datum Ausgaben],"&lt;"&amp;EDATE(J$5,1),tblAuftraege[Auftrag],$A72))</f>
        <v>0</v>
      </c>
      <c r="K72" s="11" t="n">
        <f aca="false">IF($A72="",0,SUMIFS(tblAuftraege[Ausgaben],tblAuftraege[Datum Ausgaben],"&gt;="&amp;K$5,tblAuftraege[Datum Ausgaben],"&lt;"&amp;EDATE(K$5,1),tblAuftraege[Auftrag],$A72))</f>
        <v>0</v>
      </c>
      <c r="L72" s="11" t="n">
        <f aca="false">IF($A72="",0,SUMIFS(tblAuftraege[Ausgaben],tblAuftraege[Datum Ausgaben],"&gt;="&amp;L$5,tblAuftraege[Datum Ausgaben],"&lt;"&amp;EDATE(L$5,1),tblAuftraege[Auftrag],$A72))</f>
        <v>0</v>
      </c>
      <c r="M72" s="11" t="n">
        <f aca="false">IF($A72="",0,SUMIFS(tblAuftraege[Ausgaben],tblAuftraege[Datum Ausgaben],"&gt;="&amp;M$5,tblAuftraege[Datum Ausgaben],"&lt;"&amp;EDATE(M$5,1),tblAuftraege[Auftrag],$A72))</f>
        <v>0</v>
      </c>
      <c r="N72" s="11" t="n">
        <f aca="false">IF($A72="",0,SUMIFS(tblAuftraege[Ausgaben],tblAuftraege[Datum Ausgaben],"&gt;="&amp;N$5,tblAuftraege[Datum Ausgaben],"&lt;"&amp;EDATE(N$5,1),tblAuftraege[Auftrag],$A72))</f>
        <v>0</v>
      </c>
      <c r="O72" s="11" t="n">
        <f aca="false">IF($A72="",0,SUMIFS(tblAuftraege[Ausgaben],tblAuftraege[Datum Ausgaben],"&gt;="&amp;O$5,tblAuftraege[Datum Ausgaben],"&lt;"&amp;EDATE(O$5,1),tblAuftraege[Auftrag],$A72))</f>
        <v>0</v>
      </c>
      <c r="P72" s="11" t="n">
        <f aca="false">IF($A72="",0,SUMIFS(tblAuftraege[Ausgaben],tblAuftraege[Datum Ausgaben],"&gt;="&amp;P$5,tblAuftraege[Datum Ausgaben],"&lt;"&amp;EDATE(P$5,1),tblAuftraege[Auftrag],$A72))</f>
        <v>0</v>
      </c>
      <c r="Q72" s="11" t="n">
        <f aca="false">IF($A72="",0,SUMIFS(tblAuftraege[Ausgaben],tblAuftraege[Datum Ausgaben],"&gt;="&amp;Q$5,tblAuftraege[Datum Ausgaben],"&lt;"&amp;EDATE(Q$5,1),tblAuftraege[Auftrag],$A72))</f>
        <v>0</v>
      </c>
      <c r="R72" s="11" t="n">
        <f aca="false">IF($A72="",0,SUMIFS(tblAuftraege[Ausgaben],tblAuftraege[Datum Ausgaben],"&gt;="&amp;R$5,tblAuftraege[Datum Ausgaben],"&lt;"&amp;EDATE(R$5,1),tblAuftraege[Auftrag],$A72))</f>
        <v>0</v>
      </c>
      <c r="S72" s="11" t="n">
        <f aca="false">IF($A72="",0,SUMIFS(tblAuftraege[Ausgaben],tblAuftraege[Datum Ausgaben],"&gt;="&amp;S$5,tblAuftraege[Datum Ausgaben],"&lt;"&amp;EDATE(S$5,1),tblAuftraege[Auftrag],$A72))</f>
        <v>0</v>
      </c>
      <c r="T72" s="11" t="n">
        <f aca="false">IF($A72="",0,SUMIFS(tblAuftraege[Ausgaben],tblAuftraege[Datum Ausgaben],"&gt;="&amp;T$5,tblAuftraege[Datum Ausgaben],"&lt;"&amp;EDATE(T$5,1),tblAuftraege[Auftrag],$A72))</f>
        <v>0</v>
      </c>
      <c r="U72" s="11" t="n">
        <f aca="false">IF($A72="",0,SUMIFS(tblAuftraege[Ausgaben],tblAuftraege[Datum Ausgaben],"&gt;="&amp;U$5,tblAuftraege[Datum Ausgaben],"&lt;"&amp;EDATE(U$5,1),tblAuftraege[Auftrag],$A72))</f>
        <v>0</v>
      </c>
      <c r="V72" s="11" t="n">
        <f aca="false">IF($A72="",0,SUMIFS(tblAuftraege[Ausgaben],tblAuftraege[Datum Ausgaben],"&gt;="&amp;V$5,tblAuftraege[Datum Ausgaben],"&lt;"&amp;EDATE(V$5,1),tblAuftraege[Auftrag],$A72))</f>
        <v>0</v>
      </c>
      <c r="W72" s="11" t="n">
        <f aca="false">SUM(E72:J72)</f>
        <v>0</v>
      </c>
      <c r="X72" s="11" t="n">
        <f aca="false">SUM(K72:V72)</f>
        <v>0</v>
      </c>
      <c r="Y72" s="12" t="n">
        <f aca="false">SUM(E72:V72)</f>
        <v>0</v>
      </c>
    </row>
    <row r="73" customFormat="false" ht="15" hidden="false" customHeight="false" outlineLevel="0" collapsed="false">
      <c r="A73" s="9"/>
      <c r="B73" s="10" t="str">
        <f aca="false">IF($A73="","",IFERROR(INDEX(tblAuftraege[Kostenstelle],MATCH($A73,tblAuftraege[Auftrag],0)),""))</f>
        <v/>
      </c>
      <c r="C73" s="10" t="str">
        <f aca="false">IF($A73="","",IFERROR(INDEX(tblAuftraege[Themenfeld],MATCH($A73,tblAuftraege[Auftrag],0)),""))</f>
        <v/>
      </c>
      <c r="D73" s="10" t="str">
        <f aca="false">IF($A73="","",IFERROR(INDEX(tblAuftraege[Kategorie],MATCH($A73,tblAuftraege[Auftrag],0)),""))</f>
        <v/>
      </c>
      <c r="E73" s="11" t="n">
        <f aca="false">IF($A73="",0,SUMIFS(tblAuftraege[Ausgaben],tblAuftraege[Datum Ausgaben],"&gt;="&amp;E$5,tblAuftraege[Datum Ausgaben],"&lt;"&amp;EDATE(E$5,1),tblAuftraege[Auftrag],$A73))</f>
        <v>0</v>
      </c>
      <c r="F73" s="11" t="n">
        <f aca="false">IF($A73="",0,SUMIFS(tblAuftraege[Ausgaben],tblAuftraege[Datum Ausgaben],"&gt;="&amp;F$5,tblAuftraege[Datum Ausgaben],"&lt;"&amp;EDATE(F$5,1),tblAuftraege[Auftrag],$A73))</f>
        <v>0</v>
      </c>
      <c r="G73" s="11" t="n">
        <f aca="false">IF($A73="",0,SUMIFS(tblAuftraege[Ausgaben],tblAuftraege[Datum Ausgaben],"&gt;="&amp;G$5,tblAuftraege[Datum Ausgaben],"&lt;"&amp;EDATE(G$5,1),tblAuftraege[Auftrag],$A73))</f>
        <v>0</v>
      </c>
      <c r="H73" s="11" t="n">
        <f aca="false">IF($A73="",0,SUMIFS(tblAuftraege[Ausgaben],tblAuftraege[Datum Ausgaben],"&gt;="&amp;H$5,tblAuftraege[Datum Ausgaben],"&lt;"&amp;EDATE(H$5,1),tblAuftraege[Auftrag],$A73))</f>
        <v>0</v>
      </c>
      <c r="I73" s="11" t="n">
        <f aca="false">IF($A73="",0,SUMIFS(tblAuftraege[Ausgaben],tblAuftraege[Datum Ausgaben],"&gt;="&amp;I$5,tblAuftraege[Datum Ausgaben],"&lt;"&amp;EDATE(I$5,1),tblAuftraege[Auftrag],$A73))</f>
        <v>0</v>
      </c>
      <c r="J73" s="11" t="n">
        <f aca="false">IF($A73="",0,SUMIFS(tblAuftraege[Ausgaben],tblAuftraege[Datum Ausgaben],"&gt;="&amp;J$5,tblAuftraege[Datum Ausgaben],"&lt;"&amp;EDATE(J$5,1),tblAuftraege[Auftrag],$A73))</f>
        <v>0</v>
      </c>
      <c r="K73" s="11" t="n">
        <f aca="false">IF($A73="",0,SUMIFS(tblAuftraege[Ausgaben],tblAuftraege[Datum Ausgaben],"&gt;="&amp;K$5,tblAuftraege[Datum Ausgaben],"&lt;"&amp;EDATE(K$5,1),tblAuftraege[Auftrag],$A73))</f>
        <v>0</v>
      </c>
      <c r="L73" s="11" t="n">
        <f aca="false">IF($A73="",0,SUMIFS(tblAuftraege[Ausgaben],tblAuftraege[Datum Ausgaben],"&gt;="&amp;L$5,tblAuftraege[Datum Ausgaben],"&lt;"&amp;EDATE(L$5,1),tblAuftraege[Auftrag],$A73))</f>
        <v>0</v>
      </c>
      <c r="M73" s="11" t="n">
        <f aca="false">IF($A73="",0,SUMIFS(tblAuftraege[Ausgaben],tblAuftraege[Datum Ausgaben],"&gt;="&amp;M$5,tblAuftraege[Datum Ausgaben],"&lt;"&amp;EDATE(M$5,1),tblAuftraege[Auftrag],$A73))</f>
        <v>0</v>
      </c>
      <c r="N73" s="11" t="n">
        <f aca="false">IF($A73="",0,SUMIFS(tblAuftraege[Ausgaben],tblAuftraege[Datum Ausgaben],"&gt;="&amp;N$5,tblAuftraege[Datum Ausgaben],"&lt;"&amp;EDATE(N$5,1),tblAuftraege[Auftrag],$A73))</f>
        <v>0</v>
      </c>
      <c r="O73" s="11" t="n">
        <f aca="false">IF($A73="",0,SUMIFS(tblAuftraege[Ausgaben],tblAuftraege[Datum Ausgaben],"&gt;="&amp;O$5,tblAuftraege[Datum Ausgaben],"&lt;"&amp;EDATE(O$5,1),tblAuftraege[Auftrag],$A73))</f>
        <v>0</v>
      </c>
      <c r="P73" s="11" t="n">
        <f aca="false">IF($A73="",0,SUMIFS(tblAuftraege[Ausgaben],tblAuftraege[Datum Ausgaben],"&gt;="&amp;P$5,tblAuftraege[Datum Ausgaben],"&lt;"&amp;EDATE(P$5,1),tblAuftraege[Auftrag],$A73))</f>
        <v>0</v>
      </c>
      <c r="Q73" s="11" t="n">
        <f aca="false">IF($A73="",0,SUMIFS(tblAuftraege[Ausgaben],tblAuftraege[Datum Ausgaben],"&gt;="&amp;Q$5,tblAuftraege[Datum Ausgaben],"&lt;"&amp;EDATE(Q$5,1),tblAuftraege[Auftrag],$A73))</f>
        <v>0</v>
      </c>
      <c r="R73" s="11" t="n">
        <f aca="false">IF($A73="",0,SUMIFS(tblAuftraege[Ausgaben],tblAuftraege[Datum Ausgaben],"&gt;="&amp;R$5,tblAuftraege[Datum Ausgaben],"&lt;"&amp;EDATE(R$5,1),tblAuftraege[Auftrag],$A73))</f>
        <v>0</v>
      </c>
      <c r="S73" s="11" t="n">
        <f aca="false">IF($A73="",0,SUMIFS(tblAuftraege[Ausgaben],tblAuftraege[Datum Ausgaben],"&gt;="&amp;S$5,tblAuftraege[Datum Ausgaben],"&lt;"&amp;EDATE(S$5,1),tblAuftraege[Auftrag],$A73))</f>
        <v>0</v>
      </c>
      <c r="T73" s="11" t="n">
        <f aca="false">IF($A73="",0,SUMIFS(tblAuftraege[Ausgaben],tblAuftraege[Datum Ausgaben],"&gt;="&amp;T$5,tblAuftraege[Datum Ausgaben],"&lt;"&amp;EDATE(T$5,1),tblAuftraege[Auftrag],$A73))</f>
        <v>0</v>
      </c>
      <c r="U73" s="11" t="n">
        <f aca="false">IF($A73="",0,SUMIFS(tblAuftraege[Ausgaben],tblAuftraege[Datum Ausgaben],"&gt;="&amp;U$5,tblAuftraege[Datum Ausgaben],"&lt;"&amp;EDATE(U$5,1),tblAuftraege[Auftrag],$A73))</f>
        <v>0</v>
      </c>
      <c r="V73" s="11" t="n">
        <f aca="false">IF($A73="",0,SUMIFS(tblAuftraege[Ausgaben],tblAuftraege[Datum Ausgaben],"&gt;="&amp;V$5,tblAuftraege[Datum Ausgaben],"&lt;"&amp;EDATE(V$5,1),tblAuftraege[Auftrag],$A73))</f>
        <v>0</v>
      </c>
      <c r="W73" s="11" t="n">
        <f aca="false">SUM(E73:J73)</f>
        <v>0</v>
      </c>
      <c r="X73" s="11" t="n">
        <f aca="false">SUM(K73:V73)</f>
        <v>0</v>
      </c>
      <c r="Y73" s="12" t="n">
        <f aca="false">SUM(E73:V73)</f>
        <v>0</v>
      </c>
    </row>
    <row r="74" customFormat="false" ht="15" hidden="false" customHeight="false" outlineLevel="0" collapsed="false">
      <c r="A74" s="9"/>
      <c r="B74" s="10" t="str">
        <f aca="false">IF($A74="","",IFERROR(INDEX(tblAuftraege[Kostenstelle],MATCH($A74,tblAuftraege[Auftrag],0)),""))</f>
        <v/>
      </c>
      <c r="C74" s="10" t="str">
        <f aca="false">IF($A74="","",IFERROR(INDEX(tblAuftraege[Themenfeld],MATCH($A74,tblAuftraege[Auftrag],0)),""))</f>
        <v/>
      </c>
      <c r="D74" s="10" t="str">
        <f aca="false">IF($A74="","",IFERROR(INDEX(tblAuftraege[Kategorie],MATCH($A74,tblAuftraege[Auftrag],0)),""))</f>
        <v/>
      </c>
      <c r="E74" s="11" t="n">
        <f aca="false">IF($A74="",0,SUMIFS(tblAuftraege[Ausgaben],tblAuftraege[Datum Ausgaben],"&gt;="&amp;E$5,tblAuftraege[Datum Ausgaben],"&lt;"&amp;EDATE(E$5,1),tblAuftraege[Auftrag],$A74))</f>
        <v>0</v>
      </c>
      <c r="F74" s="11" t="n">
        <f aca="false">IF($A74="",0,SUMIFS(tblAuftraege[Ausgaben],tblAuftraege[Datum Ausgaben],"&gt;="&amp;F$5,tblAuftraege[Datum Ausgaben],"&lt;"&amp;EDATE(F$5,1),tblAuftraege[Auftrag],$A74))</f>
        <v>0</v>
      </c>
      <c r="G74" s="11" t="n">
        <f aca="false">IF($A74="",0,SUMIFS(tblAuftraege[Ausgaben],tblAuftraege[Datum Ausgaben],"&gt;="&amp;G$5,tblAuftraege[Datum Ausgaben],"&lt;"&amp;EDATE(G$5,1),tblAuftraege[Auftrag],$A74))</f>
        <v>0</v>
      </c>
      <c r="H74" s="11" t="n">
        <f aca="false">IF($A74="",0,SUMIFS(tblAuftraege[Ausgaben],tblAuftraege[Datum Ausgaben],"&gt;="&amp;H$5,tblAuftraege[Datum Ausgaben],"&lt;"&amp;EDATE(H$5,1),tblAuftraege[Auftrag],$A74))</f>
        <v>0</v>
      </c>
      <c r="I74" s="11" t="n">
        <f aca="false">IF($A74="",0,SUMIFS(tblAuftraege[Ausgaben],tblAuftraege[Datum Ausgaben],"&gt;="&amp;I$5,tblAuftraege[Datum Ausgaben],"&lt;"&amp;EDATE(I$5,1),tblAuftraege[Auftrag],$A74))</f>
        <v>0</v>
      </c>
      <c r="J74" s="11" t="n">
        <f aca="false">IF($A74="",0,SUMIFS(tblAuftraege[Ausgaben],tblAuftraege[Datum Ausgaben],"&gt;="&amp;J$5,tblAuftraege[Datum Ausgaben],"&lt;"&amp;EDATE(J$5,1),tblAuftraege[Auftrag],$A74))</f>
        <v>0</v>
      </c>
      <c r="K74" s="11" t="n">
        <f aca="false">IF($A74="",0,SUMIFS(tblAuftraege[Ausgaben],tblAuftraege[Datum Ausgaben],"&gt;="&amp;K$5,tblAuftraege[Datum Ausgaben],"&lt;"&amp;EDATE(K$5,1),tblAuftraege[Auftrag],$A74))</f>
        <v>0</v>
      </c>
      <c r="L74" s="11" t="n">
        <f aca="false">IF($A74="",0,SUMIFS(tblAuftraege[Ausgaben],tblAuftraege[Datum Ausgaben],"&gt;="&amp;L$5,tblAuftraege[Datum Ausgaben],"&lt;"&amp;EDATE(L$5,1),tblAuftraege[Auftrag],$A74))</f>
        <v>0</v>
      </c>
      <c r="M74" s="11" t="n">
        <f aca="false">IF($A74="",0,SUMIFS(tblAuftraege[Ausgaben],tblAuftraege[Datum Ausgaben],"&gt;="&amp;M$5,tblAuftraege[Datum Ausgaben],"&lt;"&amp;EDATE(M$5,1),tblAuftraege[Auftrag],$A74))</f>
        <v>0</v>
      </c>
      <c r="N74" s="11" t="n">
        <f aca="false">IF($A74="",0,SUMIFS(tblAuftraege[Ausgaben],tblAuftraege[Datum Ausgaben],"&gt;="&amp;N$5,tblAuftraege[Datum Ausgaben],"&lt;"&amp;EDATE(N$5,1),tblAuftraege[Auftrag],$A74))</f>
        <v>0</v>
      </c>
      <c r="O74" s="11" t="n">
        <f aca="false">IF($A74="",0,SUMIFS(tblAuftraege[Ausgaben],tblAuftraege[Datum Ausgaben],"&gt;="&amp;O$5,tblAuftraege[Datum Ausgaben],"&lt;"&amp;EDATE(O$5,1),tblAuftraege[Auftrag],$A74))</f>
        <v>0</v>
      </c>
      <c r="P74" s="11" t="n">
        <f aca="false">IF($A74="",0,SUMIFS(tblAuftraege[Ausgaben],tblAuftraege[Datum Ausgaben],"&gt;="&amp;P$5,tblAuftraege[Datum Ausgaben],"&lt;"&amp;EDATE(P$5,1),tblAuftraege[Auftrag],$A74))</f>
        <v>0</v>
      </c>
      <c r="Q74" s="11" t="n">
        <f aca="false">IF($A74="",0,SUMIFS(tblAuftraege[Ausgaben],tblAuftraege[Datum Ausgaben],"&gt;="&amp;Q$5,tblAuftraege[Datum Ausgaben],"&lt;"&amp;EDATE(Q$5,1),tblAuftraege[Auftrag],$A74))</f>
        <v>0</v>
      </c>
      <c r="R74" s="11" t="n">
        <f aca="false">IF($A74="",0,SUMIFS(tblAuftraege[Ausgaben],tblAuftraege[Datum Ausgaben],"&gt;="&amp;R$5,tblAuftraege[Datum Ausgaben],"&lt;"&amp;EDATE(R$5,1),tblAuftraege[Auftrag],$A74))</f>
        <v>0</v>
      </c>
      <c r="S74" s="11" t="n">
        <f aca="false">IF($A74="",0,SUMIFS(tblAuftraege[Ausgaben],tblAuftraege[Datum Ausgaben],"&gt;="&amp;S$5,tblAuftraege[Datum Ausgaben],"&lt;"&amp;EDATE(S$5,1),tblAuftraege[Auftrag],$A74))</f>
        <v>0</v>
      </c>
      <c r="T74" s="11" t="n">
        <f aca="false">IF($A74="",0,SUMIFS(tblAuftraege[Ausgaben],tblAuftraege[Datum Ausgaben],"&gt;="&amp;T$5,tblAuftraege[Datum Ausgaben],"&lt;"&amp;EDATE(T$5,1),tblAuftraege[Auftrag],$A74))</f>
        <v>0</v>
      </c>
      <c r="U74" s="11" t="n">
        <f aca="false">IF($A74="",0,SUMIFS(tblAuftraege[Ausgaben],tblAuftraege[Datum Ausgaben],"&gt;="&amp;U$5,tblAuftraege[Datum Ausgaben],"&lt;"&amp;EDATE(U$5,1),tblAuftraege[Auftrag],$A74))</f>
        <v>0</v>
      </c>
      <c r="V74" s="11" t="n">
        <f aca="false">IF($A74="",0,SUMIFS(tblAuftraege[Ausgaben],tblAuftraege[Datum Ausgaben],"&gt;="&amp;V$5,tblAuftraege[Datum Ausgaben],"&lt;"&amp;EDATE(V$5,1),tblAuftraege[Auftrag],$A74))</f>
        <v>0</v>
      </c>
      <c r="W74" s="11" t="n">
        <f aca="false">SUM(E74:J74)</f>
        <v>0</v>
      </c>
      <c r="X74" s="11" t="n">
        <f aca="false">SUM(K74:V74)</f>
        <v>0</v>
      </c>
      <c r="Y74" s="12" t="n">
        <f aca="false">SUM(E74:V74)</f>
        <v>0</v>
      </c>
    </row>
    <row r="75" customFormat="false" ht="15" hidden="false" customHeight="false" outlineLevel="0" collapsed="false">
      <c r="A75" s="9"/>
      <c r="B75" s="10" t="str">
        <f aca="false">IF($A75="","",IFERROR(INDEX(tblAuftraege[Kostenstelle],MATCH($A75,tblAuftraege[Auftrag],0)),""))</f>
        <v/>
      </c>
      <c r="C75" s="10" t="str">
        <f aca="false">IF($A75="","",IFERROR(INDEX(tblAuftraege[Themenfeld],MATCH($A75,tblAuftraege[Auftrag],0)),""))</f>
        <v/>
      </c>
      <c r="D75" s="10" t="str">
        <f aca="false">IF($A75="","",IFERROR(INDEX(tblAuftraege[Kategorie],MATCH($A75,tblAuftraege[Auftrag],0)),""))</f>
        <v/>
      </c>
      <c r="E75" s="11" t="n">
        <f aca="false">IF($A75="",0,SUMIFS(tblAuftraege[Ausgaben],tblAuftraege[Datum Ausgaben],"&gt;="&amp;E$5,tblAuftraege[Datum Ausgaben],"&lt;"&amp;EDATE(E$5,1),tblAuftraege[Auftrag],$A75))</f>
        <v>0</v>
      </c>
      <c r="F75" s="11" t="n">
        <f aca="false">IF($A75="",0,SUMIFS(tblAuftraege[Ausgaben],tblAuftraege[Datum Ausgaben],"&gt;="&amp;F$5,tblAuftraege[Datum Ausgaben],"&lt;"&amp;EDATE(F$5,1),tblAuftraege[Auftrag],$A75))</f>
        <v>0</v>
      </c>
      <c r="G75" s="11" t="n">
        <f aca="false">IF($A75="",0,SUMIFS(tblAuftraege[Ausgaben],tblAuftraege[Datum Ausgaben],"&gt;="&amp;G$5,tblAuftraege[Datum Ausgaben],"&lt;"&amp;EDATE(G$5,1),tblAuftraege[Auftrag],$A75))</f>
        <v>0</v>
      </c>
      <c r="H75" s="11" t="n">
        <f aca="false">IF($A75="",0,SUMIFS(tblAuftraege[Ausgaben],tblAuftraege[Datum Ausgaben],"&gt;="&amp;H$5,tblAuftraege[Datum Ausgaben],"&lt;"&amp;EDATE(H$5,1),tblAuftraege[Auftrag],$A75))</f>
        <v>0</v>
      </c>
      <c r="I75" s="11" t="n">
        <f aca="false">IF($A75="",0,SUMIFS(tblAuftraege[Ausgaben],tblAuftraege[Datum Ausgaben],"&gt;="&amp;I$5,tblAuftraege[Datum Ausgaben],"&lt;"&amp;EDATE(I$5,1),tblAuftraege[Auftrag],$A75))</f>
        <v>0</v>
      </c>
      <c r="J75" s="11" t="n">
        <f aca="false">IF($A75="",0,SUMIFS(tblAuftraege[Ausgaben],tblAuftraege[Datum Ausgaben],"&gt;="&amp;J$5,tblAuftraege[Datum Ausgaben],"&lt;"&amp;EDATE(J$5,1),tblAuftraege[Auftrag],$A75))</f>
        <v>0</v>
      </c>
      <c r="K75" s="11" t="n">
        <f aca="false">IF($A75="",0,SUMIFS(tblAuftraege[Ausgaben],tblAuftraege[Datum Ausgaben],"&gt;="&amp;K$5,tblAuftraege[Datum Ausgaben],"&lt;"&amp;EDATE(K$5,1),tblAuftraege[Auftrag],$A75))</f>
        <v>0</v>
      </c>
      <c r="L75" s="11" t="n">
        <f aca="false">IF($A75="",0,SUMIFS(tblAuftraege[Ausgaben],tblAuftraege[Datum Ausgaben],"&gt;="&amp;L$5,tblAuftraege[Datum Ausgaben],"&lt;"&amp;EDATE(L$5,1),tblAuftraege[Auftrag],$A75))</f>
        <v>0</v>
      </c>
      <c r="M75" s="11" t="n">
        <f aca="false">IF($A75="",0,SUMIFS(tblAuftraege[Ausgaben],tblAuftraege[Datum Ausgaben],"&gt;="&amp;M$5,tblAuftraege[Datum Ausgaben],"&lt;"&amp;EDATE(M$5,1),tblAuftraege[Auftrag],$A75))</f>
        <v>0</v>
      </c>
      <c r="N75" s="11" t="n">
        <f aca="false">IF($A75="",0,SUMIFS(tblAuftraege[Ausgaben],tblAuftraege[Datum Ausgaben],"&gt;="&amp;N$5,tblAuftraege[Datum Ausgaben],"&lt;"&amp;EDATE(N$5,1),tblAuftraege[Auftrag],$A75))</f>
        <v>0</v>
      </c>
      <c r="O75" s="11" t="n">
        <f aca="false">IF($A75="",0,SUMIFS(tblAuftraege[Ausgaben],tblAuftraege[Datum Ausgaben],"&gt;="&amp;O$5,tblAuftraege[Datum Ausgaben],"&lt;"&amp;EDATE(O$5,1),tblAuftraege[Auftrag],$A75))</f>
        <v>0</v>
      </c>
      <c r="P75" s="11" t="n">
        <f aca="false">IF($A75="",0,SUMIFS(tblAuftraege[Ausgaben],tblAuftraege[Datum Ausgaben],"&gt;="&amp;P$5,tblAuftraege[Datum Ausgaben],"&lt;"&amp;EDATE(P$5,1),tblAuftraege[Auftrag],$A75))</f>
        <v>0</v>
      </c>
      <c r="Q75" s="11" t="n">
        <f aca="false">IF($A75="",0,SUMIFS(tblAuftraege[Ausgaben],tblAuftraege[Datum Ausgaben],"&gt;="&amp;Q$5,tblAuftraege[Datum Ausgaben],"&lt;"&amp;EDATE(Q$5,1),tblAuftraege[Auftrag],$A75))</f>
        <v>0</v>
      </c>
      <c r="R75" s="11" t="n">
        <f aca="false">IF($A75="",0,SUMIFS(tblAuftraege[Ausgaben],tblAuftraege[Datum Ausgaben],"&gt;="&amp;R$5,tblAuftraege[Datum Ausgaben],"&lt;"&amp;EDATE(R$5,1),tblAuftraege[Auftrag],$A75))</f>
        <v>0</v>
      </c>
      <c r="S75" s="11" t="n">
        <f aca="false">IF($A75="",0,SUMIFS(tblAuftraege[Ausgaben],tblAuftraege[Datum Ausgaben],"&gt;="&amp;S$5,tblAuftraege[Datum Ausgaben],"&lt;"&amp;EDATE(S$5,1),tblAuftraege[Auftrag],$A75))</f>
        <v>0</v>
      </c>
      <c r="T75" s="11" t="n">
        <f aca="false">IF($A75="",0,SUMIFS(tblAuftraege[Ausgaben],tblAuftraege[Datum Ausgaben],"&gt;="&amp;T$5,tblAuftraege[Datum Ausgaben],"&lt;"&amp;EDATE(T$5,1),tblAuftraege[Auftrag],$A75))</f>
        <v>0</v>
      </c>
      <c r="U75" s="11" t="n">
        <f aca="false">IF($A75="",0,SUMIFS(tblAuftraege[Ausgaben],tblAuftraege[Datum Ausgaben],"&gt;="&amp;U$5,tblAuftraege[Datum Ausgaben],"&lt;"&amp;EDATE(U$5,1),tblAuftraege[Auftrag],$A75))</f>
        <v>0</v>
      </c>
      <c r="V75" s="11" t="n">
        <f aca="false">IF($A75="",0,SUMIFS(tblAuftraege[Ausgaben],tblAuftraege[Datum Ausgaben],"&gt;="&amp;V$5,tblAuftraege[Datum Ausgaben],"&lt;"&amp;EDATE(V$5,1),tblAuftraege[Auftrag],$A75))</f>
        <v>0</v>
      </c>
      <c r="W75" s="11" t="n">
        <f aca="false">SUM(E75:J75)</f>
        <v>0</v>
      </c>
      <c r="X75" s="11" t="n">
        <f aca="false">SUM(K75:V75)</f>
        <v>0</v>
      </c>
      <c r="Y75" s="12" t="n">
        <f aca="false">SUM(E75:V75)</f>
        <v>0</v>
      </c>
    </row>
    <row r="76" customFormat="false" ht="15" hidden="false" customHeight="false" outlineLevel="0" collapsed="false">
      <c r="A76" s="9"/>
      <c r="B76" s="10" t="str">
        <f aca="false">IF($A76="","",IFERROR(INDEX(tblAuftraege[Kostenstelle],MATCH($A76,tblAuftraege[Auftrag],0)),""))</f>
        <v/>
      </c>
      <c r="C76" s="10" t="str">
        <f aca="false">IF($A76="","",IFERROR(INDEX(tblAuftraege[Themenfeld],MATCH($A76,tblAuftraege[Auftrag],0)),""))</f>
        <v/>
      </c>
      <c r="D76" s="10" t="str">
        <f aca="false">IF($A76="","",IFERROR(INDEX(tblAuftraege[Kategorie],MATCH($A76,tblAuftraege[Auftrag],0)),""))</f>
        <v/>
      </c>
      <c r="E76" s="11" t="n">
        <f aca="false">IF($A76="",0,SUMIFS(tblAuftraege[Ausgaben],tblAuftraege[Datum Ausgaben],"&gt;="&amp;E$5,tblAuftraege[Datum Ausgaben],"&lt;"&amp;EDATE(E$5,1),tblAuftraege[Auftrag],$A76))</f>
        <v>0</v>
      </c>
      <c r="F76" s="11" t="n">
        <f aca="false">IF($A76="",0,SUMIFS(tblAuftraege[Ausgaben],tblAuftraege[Datum Ausgaben],"&gt;="&amp;F$5,tblAuftraege[Datum Ausgaben],"&lt;"&amp;EDATE(F$5,1),tblAuftraege[Auftrag],$A76))</f>
        <v>0</v>
      </c>
      <c r="G76" s="11" t="n">
        <f aca="false">IF($A76="",0,SUMIFS(tblAuftraege[Ausgaben],tblAuftraege[Datum Ausgaben],"&gt;="&amp;G$5,tblAuftraege[Datum Ausgaben],"&lt;"&amp;EDATE(G$5,1),tblAuftraege[Auftrag],$A76))</f>
        <v>0</v>
      </c>
      <c r="H76" s="11" t="n">
        <f aca="false">IF($A76="",0,SUMIFS(tblAuftraege[Ausgaben],tblAuftraege[Datum Ausgaben],"&gt;="&amp;H$5,tblAuftraege[Datum Ausgaben],"&lt;"&amp;EDATE(H$5,1),tblAuftraege[Auftrag],$A76))</f>
        <v>0</v>
      </c>
      <c r="I76" s="11" t="n">
        <f aca="false">IF($A76="",0,SUMIFS(tblAuftraege[Ausgaben],tblAuftraege[Datum Ausgaben],"&gt;="&amp;I$5,tblAuftraege[Datum Ausgaben],"&lt;"&amp;EDATE(I$5,1),tblAuftraege[Auftrag],$A76))</f>
        <v>0</v>
      </c>
      <c r="J76" s="11" t="n">
        <f aca="false">IF($A76="",0,SUMIFS(tblAuftraege[Ausgaben],tblAuftraege[Datum Ausgaben],"&gt;="&amp;J$5,tblAuftraege[Datum Ausgaben],"&lt;"&amp;EDATE(J$5,1),tblAuftraege[Auftrag],$A76))</f>
        <v>0</v>
      </c>
      <c r="K76" s="11" t="n">
        <f aca="false">IF($A76="",0,SUMIFS(tblAuftraege[Ausgaben],tblAuftraege[Datum Ausgaben],"&gt;="&amp;K$5,tblAuftraege[Datum Ausgaben],"&lt;"&amp;EDATE(K$5,1),tblAuftraege[Auftrag],$A76))</f>
        <v>0</v>
      </c>
      <c r="L76" s="11" t="n">
        <f aca="false">IF($A76="",0,SUMIFS(tblAuftraege[Ausgaben],tblAuftraege[Datum Ausgaben],"&gt;="&amp;L$5,tblAuftraege[Datum Ausgaben],"&lt;"&amp;EDATE(L$5,1),tblAuftraege[Auftrag],$A76))</f>
        <v>0</v>
      </c>
      <c r="M76" s="11" t="n">
        <f aca="false">IF($A76="",0,SUMIFS(tblAuftraege[Ausgaben],tblAuftraege[Datum Ausgaben],"&gt;="&amp;M$5,tblAuftraege[Datum Ausgaben],"&lt;"&amp;EDATE(M$5,1),tblAuftraege[Auftrag],$A76))</f>
        <v>0</v>
      </c>
      <c r="N76" s="11" t="n">
        <f aca="false">IF($A76="",0,SUMIFS(tblAuftraege[Ausgaben],tblAuftraege[Datum Ausgaben],"&gt;="&amp;N$5,tblAuftraege[Datum Ausgaben],"&lt;"&amp;EDATE(N$5,1),tblAuftraege[Auftrag],$A76))</f>
        <v>0</v>
      </c>
      <c r="O76" s="11" t="n">
        <f aca="false">IF($A76="",0,SUMIFS(tblAuftraege[Ausgaben],tblAuftraege[Datum Ausgaben],"&gt;="&amp;O$5,tblAuftraege[Datum Ausgaben],"&lt;"&amp;EDATE(O$5,1),tblAuftraege[Auftrag],$A76))</f>
        <v>0</v>
      </c>
      <c r="P76" s="11" t="n">
        <f aca="false">IF($A76="",0,SUMIFS(tblAuftraege[Ausgaben],tblAuftraege[Datum Ausgaben],"&gt;="&amp;P$5,tblAuftraege[Datum Ausgaben],"&lt;"&amp;EDATE(P$5,1),tblAuftraege[Auftrag],$A76))</f>
        <v>0</v>
      </c>
      <c r="Q76" s="11" t="n">
        <f aca="false">IF($A76="",0,SUMIFS(tblAuftraege[Ausgaben],tblAuftraege[Datum Ausgaben],"&gt;="&amp;Q$5,tblAuftraege[Datum Ausgaben],"&lt;"&amp;EDATE(Q$5,1),tblAuftraege[Auftrag],$A76))</f>
        <v>0</v>
      </c>
      <c r="R76" s="11" t="n">
        <f aca="false">IF($A76="",0,SUMIFS(tblAuftraege[Ausgaben],tblAuftraege[Datum Ausgaben],"&gt;="&amp;R$5,tblAuftraege[Datum Ausgaben],"&lt;"&amp;EDATE(R$5,1),tblAuftraege[Auftrag],$A76))</f>
        <v>0</v>
      </c>
      <c r="S76" s="11" t="n">
        <f aca="false">IF($A76="",0,SUMIFS(tblAuftraege[Ausgaben],tblAuftraege[Datum Ausgaben],"&gt;="&amp;S$5,tblAuftraege[Datum Ausgaben],"&lt;"&amp;EDATE(S$5,1),tblAuftraege[Auftrag],$A76))</f>
        <v>0</v>
      </c>
      <c r="T76" s="11" t="n">
        <f aca="false">IF($A76="",0,SUMIFS(tblAuftraege[Ausgaben],tblAuftraege[Datum Ausgaben],"&gt;="&amp;T$5,tblAuftraege[Datum Ausgaben],"&lt;"&amp;EDATE(T$5,1),tblAuftraege[Auftrag],$A76))</f>
        <v>0</v>
      </c>
      <c r="U76" s="11" t="n">
        <f aca="false">IF($A76="",0,SUMIFS(tblAuftraege[Ausgaben],tblAuftraege[Datum Ausgaben],"&gt;="&amp;U$5,tblAuftraege[Datum Ausgaben],"&lt;"&amp;EDATE(U$5,1),tblAuftraege[Auftrag],$A76))</f>
        <v>0</v>
      </c>
      <c r="V76" s="11" t="n">
        <f aca="false">IF($A76="",0,SUMIFS(tblAuftraege[Ausgaben],tblAuftraege[Datum Ausgaben],"&gt;="&amp;V$5,tblAuftraege[Datum Ausgaben],"&lt;"&amp;EDATE(V$5,1),tblAuftraege[Auftrag],$A76))</f>
        <v>0</v>
      </c>
      <c r="W76" s="11" t="n">
        <f aca="false">SUM(E76:J76)</f>
        <v>0</v>
      </c>
      <c r="X76" s="11" t="n">
        <f aca="false">SUM(K76:V76)</f>
        <v>0</v>
      </c>
      <c r="Y76" s="12" t="n">
        <f aca="false">SUM(E76:V76)</f>
        <v>0</v>
      </c>
    </row>
    <row r="77" customFormat="false" ht="15" hidden="false" customHeight="false" outlineLevel="0" collapsed="false">
      <c r="A77" s="9"/>
      <c r="B77" s="10" t="str">
        <f aca="false">IF($A77="","",IFERROR(INDEX(tblAuftraege[Kostenstelle],MATCH($A77,tblAuftraege[Auftrag],0)),""))</f>
        <v/>
      </c>
      <c r="C77" s="10" t="str">
        <f aca="false">IF($A77="","",IFERROR(INDEX(tblAuftraege[Themenfeld],MATCH($A77,tblAuftraege[Auftrag],0)),""))</f>
        <v/>
      </c>
      <c r="D77" s="10" t="str">
        <f aca="false">IF($A77="","",IFERROR(INDEX(tblAuftraege[Kategorie],MATCH($A77,tblAuftraege[Auftrag],0)),""))</f>
        <v/>
      </c>
      <c r="E77" s="11" t="n">
        <f aca="false">IF($A77="",0,SUMIFS(tblAuftraege[Ausgaben],tblAuftraege[Datum Ausgaben],"&gt;="&amp;E$5,tblAuftraege[Datum Ausgaben],"&lt;"&amp;EDATE(E$5,1),tblAuftraege[Auftrag],$A77))</f>
        <v>0</v>
      </c>
      <c r="F77" s="11" t="n">
        <f aca="false">IF($A77="",0,SUMIFS(tblAuftraege[Ausgaben],tblAuftraege[Datum Ausgaben],"&gt;="&amp;F$5,tblAuftraege[Datum Ausgaben],"&lt;"&amp;EDATE(F$5,1),tblAuftraege[Auftrag],$A77))</f>
        <v>0</v>
      </c>
      <c r="G77" s="11" t="n">
        <f aca="false">IF($A77="",0,SUMIFS(tblAuftraege[Ausgaben],tblAuftraege[Datum Ausgaben],"&gt;="&amp;G$5,tblAuftraege[Datum Ausgaben],"&lt;"&amp;EDATE(G$5,1),tblAuftraege[Auftrag],$A77))</f>
        <v>0</v>
      </c>
      <c r="H77" s="11" t="n">
        <f aca="false">IF($A77="",0,SUMIFS(tblAuftraege[Ausgaben],tblAuftraege[Datum Ausgaben],"&gt;="&amp;H$5,tblAuftraege[Datum Ausgaben],"&lt;"&amp;EDATE(H$5,1),tblAuftraege[Auftrag],$A77))</f>
        <v>0</v>
      </c>
      <c r="I77" s="11" t="n">
        <f aca="false">IF($A77="",0,SUMIFS(tblAuftraege[Ausgaben],tblAuftraege[Datum Ausgaben],"&gt;="&amp;I$5,tblAuftraege[Datum Ausgaben],"&lt;"&amp;EDATE(I$5,1),tblAuftraege[Auftrag],$A77))</f>
        <v>0</v>
      </c>
      <c r="J77" s="11" t="n">
        <f aca="false">IF($A77="",0,SUMIFS(tblAuftraege[Ausgaben],tblAuftraege[Datum Ausgaben],"&gt;="&amp;J$5,tblAuftraege[Datum Ausgaben],"&lt;"&amp;EDATE(J$5,1),tblAuftraege[Auftrag],$A77))</f>
        <v>0</v>
      </c>
      <c r="K77" s="11" t="n">
        <f aca="false">IF($A77="",0,SUMIFS(tblAuftraege[Ausgaben],tblAuftraege[Datum Ausgaben],"&gt;="&amp;K$5,tblAuftraege[Datum Ausgaben],"&lt;"&amp;EDATE(K$5,1),tblAuftraege[Auftrag],$A77))</f>
        <v>0</v>
      </c>
      <c r="L77" s="11" t="n">
        <f aca="false">IF($A77="",0,SUMIFS(tblAuftraege[Ausgaben],tblAuftraege[Datum Ausgaben],"&gt;="&amp;L$5,tblAuftraege[Datum Ausgaben],"&lt;"&amp;EDATE(L$5,1),tblAuftraege[Auftrag],$A77))</f>
        <v>0</v>
      </c>
      <c r="M77" s="11" t="n">
        <f aca="false">IF($A77="",0,SUMIFS(tblAuftraege[Ausgaben],tblAuftraege[Datum Ausgaben],"&gt;="&amp;M$5,tblAuftraege[Datum Ausgaben],"&lt;"&amp;EDATE(M$5,1),tblAuftraege[Auftrag],$A77))</f>
        <v>0</v>
      </c>
      <c r="N77" s="11" t="n">
        <f aca="false">IF($A77="",0,SUMIFS(tblAuftraege[Ausgaben],tblAuftraege[Datum Ausgaben],"&gt;="&amp;N$5,tblAuftraege[Datum Ausgaben],"&lt;"&amp;EDATE(N$5,1),tblAuftraege[Auftrag],$A77))</f>
        <v>0</v>
      </c>
      <c r="O77" s="11" t="n">
        <f aca="false">IF($A77="",0,SUMIFS(tblAuftraege[Ausgaben],tblAuftraege[Datum Ausgaben],"&gt;="&amp;O$5,tblAuftraege[Datum Ausgaben],"&lt;"&amp;EDATE(O$5,1),tblAuftraege[Auftrag],$A77))</f>
        <v>0</v>
      </c>
      <c r="P77" s="11" t="n">
        <f aca="false">IF($A77="",0,SUMIFS(tblAuftraege[Ausgaben],tblAuftraege[Datum Ausgaben],"&gt;="&amp;P$5,tblAuftraege[Datum Ausgaben],"&lt;"&amp;EDATE(P$5,1),tblAuftraege[Auftrag],$A77))</f>
        <v>0</v>
      </c>
      <c r="Q77" s="11" t="n">
        <f aca="false">IF($A77="",0,SUMIFS(tblAuftraege[Ausgaben],tblAuftraege[Datum Ausgaben],"&gt;="&amp;Q$5,tblAuftraege[Datum Ausgaben],"&lt;"&amp;EDATE(Q$5,1),tblAuftraege[Auftrag],$A77))</f>
        <v>0</v>
      </c>
      <c r="R77" s="11" t="n">
        <f aca="false">IF($A77="",0,SUMIFS(tblAuftraege[Ausgaben],tblAuftraege[Datum Ausgaben],"&gt;="&amp;R$5,tblAuftraege[Datum Ausgaben],"&lt;"&amp;EDATE(R$5,1),tblAuftraege[Auftrag],$A77))</f>
        <v>0</v>
      </c>
      <c r="S77" s="11" t="n">
        <f aca="false">IF($A77="",0,SUMIFS(tblAuftraege[Ausgaben],tblAuftraege[Datum Ausgaben],"&gt;="&amp;S$5,tblAuftraege[Datum Ausgaben],"&lt;"&amp;EDATE(S$5,1),tblAuftraege[Auftrag],$A77))</f>
        <v>0</v>
      </c>
      <c r="T77" s="11" t="n">
        <f aca="false">IF($A77="",0,SUMIFS(tblAuftraege[Ausgaben],tblAuftraege[Datum Ausgaben],"&gt;="&amp;T$5,tblAuftraege[Datum Ausgaben],"&lt;"&amp;EDATE(T$5,1),tblAuftraege[Auftrag],$A77))</f>
        <v>0</v>
      </c>
      <c r="U77" s="11" t="n">
        <f aca="false">IF($A77="",0,SUMIFS(tblAuftraege[Ausgaben],tblAuftraege[Datum Ausgaben],"&gt;="&amp;U$5,tblAuftraege[Datum Ausgaben],"&lt;"&amp;EDATE(U$5,1),tblAuftraege[Auftrag],$A77))</f>
        <v>0</v>
      </c>
      <c r="V77" s="11" t="n">
        <f aca="false">IF($A77="",0,SUMIFS(tblAuftraege[Ausgaben],tblAuftraege[Datum Ausgaben],"&gt;="&amp;V$5,tblAuftraege[Datum Ausgaben],"&lt;"&amp;EDATE(V$5,1),tblAuftraege[Auftrag],$A77))</f>
        <v>0</v>
      </c>
      <c r="W77" s="11" t="n">
        <f aca="false">SUM(E77:J77)</f>
        <v>0</v>
      </c>
      <c r="X77" s="11" t="n">
        <f aca="false">SUM(K77:V77)</f>
        <v>0</v>
      </c>
      <c r="Y77" s="12" t="n">
        <f aca="false">SUM(E77:V77)</f>
        <v>0</v>
      </c>
    </row>
    <row r="78" customFormat="false" ht="15" hidden="false" customHeight="false" outlineLevel="0" collapsed="false">
      <c r="A78" s="9"/>
      <c r="B78" s="10" t="str">
        <f aca="false">IF($A78="","",IFERROR(INDEX(tblAuftraege[Kostenstelle],MATCH($A78,tblAuftraege[Auftrag],0)),""))</f>
        <v/>
      </c>
      <c r="C78" s="10" t="str">
        <f aca="false">IF($A78="","",IFERROR(INDEX(tblAuftraege[Themenfeld],MATCH($A78,tblAuftraege[Auftrag],0)),""))</f>
        <v/>
      </c>
      <c r="D78" s="10" t="str">
        <f aca="false">IF($A78="","",IFERROR(INDEX(tblAuftraege[Kategorie],MATCH($A78,tblAuftraege[Auftrag],0)),""))</f>
        <v/>
      </c>
      <c r="E78" s="11" t="n">
        <f aca="false">IF($A78="",0,SUMIFS(tblAuftraege[Ausgaben],tblAuftraege[Datum Ausgaben],"&gt;="&amp;E$5,tblAuftraege[Datum Ausgaben],"&lt;"&amp;EDATE(E$5,1),tblAuftraege[Auftrag],$A78))</f>
        <v>0</v>
      </c>
      <c r="F78" s="11" t="n">
        <f aca="false">IF($A78="",0,SUMIFS(tblAuftraege[Ausgaben],tblAuftraege[Datum Ausgaben],"&gt;="&amp;F$5,tblAuftraege[Datum Ausgaben],"&lt;"&amp;EDATE(F$5,1),tblAuftraege[Auftrag],$A78))</f>
        <v>0</v>
      </c>
      <c r="G78" s="11" t="n">
        <f aca="false">IF($A78="",0,SUMIFS(tblAuftraege[Ausgaben],tblAuftraege[Datum Ausgaben],"&gt;="&amp;G$5,tblAuftraege[Datum Ausgaben],"&lt;"&amp;EDATE(G$5,1),tblAuftraege[Auftrag],$A78))</f>
        <v>0</v>
      </c>
      <c r="H78" s="11" t="n">
        <f aca="false">IF($A78="",0,SUMIFS(tblAuftraege[Ausgaben],tblAuftraege[Datum Ausgaben],"&gt;="&amp;H$5,tblAuftraege[Datum Ausgaben],"&lt;"&amp;EDATE(H$5,1),tblAuftraege[Auftrag],$A78))</f>
        <v>0</v>
      </c>
      <c r="I78" s="11" t="n">
        <f aca="false">IF($A78="",0,SUMIFS(tblAuftraege[Ausgaben],tblAuftraege[Datum Ausgaben],"&gt;="&amp;I$5,tblAuftraege[Datum Ausgaben],"&lt;"&amp;EDATE(I$5,1),tblAuftraege[Auftrag],$A78))</f>
        <v>0</v>
      </c>
      <c r="J78" s="11" t="n">
        <f aca="false">IF($A78="",0,SUMIFS(tblAuftraege[Ausgaben],tblAuftraege[Datum Ausgaben],"&gt;="&amp;J$5,tblAuftraege[Datum Ausgaben],"&lt;"&amp;EDATE(J$5,1),tblAuftraege[Auftrag],$A78))</f>
        <v>0</v>
      </c>
      <c r="K78" s="11" t="n">
        <f aca="false">IF($A78="",0,SUMIFS(tblAuftraege[Ausgaben],tblAuftraege[Datum Ausgaben],"&gt;="&amp;K$5,tblAuftraege[Datum Ausgaben],"&lt;"&amp;EDATE(K$5,1),tblAuftraege[Auftrag],$A78))</f>
        <v>0</v>
      </c>
      <c r="L78" s="11" t="n">
        <f aca="false">IF($A78="",0,SUMIFS(tblAuftraege[Ausgaben],tblAuftraege[Datum Ausgaben],"&gt;="&amp;L$5,tblAuftraege[Datum Ausgaben],"&lt;"&amp;EDATE(L$5,1),tblAuftraege[Auftrag],$A78))</f>
        <v>0</v>
      </c>
      <c r="M78" s="11" t="n">
        <f aca="false">IF($A78="",0,SUMIFS(tblAuftraege[Ausgaben],tblAuftraege[Datum Ausgaben],"&gt;="&amp;M$5,tblAuftraege[Datum Ausgaben],"&lt;"&amp;EDATE(M$5,1),tblAuftraege[Auftrag],$A78))</f>
        <v>0</v>
      </c>
      <c r="N78" s="11" t="n">
        <f aca="false">IF($A78="",0,SUMIFS(tblAuftraege[Ausgaben],tblAuftraege[Datum Ausgaben],"&gt;="&amp;N$5,tblAuftraege[Datum Ausgaben],"&lt;"&amp;EDATE(N$5,1),tblAuftraege[Auftrag],$A78))</f>
        <v>0</v>
      </c>
      <c r="O78" s="11" t="n">
        <f aca="false">IF($A78="",0,SUMIFS(tblAuftraege[Ausgaben],tblAuftraege[Datum Ausgaben],"&gt;="&amp;O$5,tblAuftraege[Datum Ausgaben],"&lt;"&amp;EDATE(O$5,1),tblAuftraege[Auftrag],$A78))</f>
        <v>0</v>
      </c>
      <c r="P78" s="11" t="n">
        <f aca="false">IF($A78="",0,SUMIFS(tblAuftraege[Ausgaben],tblAuftraege[Datum Ausgaben],"&gt;="&amp;P$5,tblAuftraege[Datum Ausgaben],"&lt;"&amp;EDATE(P$5,1),tblAuftraege[Auftrag],$A78))</f>
        <v>0</v>
      </c>
      <c r="Q78" s="11" t="n">
        <f aca="false">IF($A78="",0,SUMIFS(tblAuftraege[Ausgaben],tblAuftraege[Datum Ausgaben],"&gt;="&amp;Q$5,tblAuftraege[Datum Ausgaben],"&lt;"&amp;EDATE(Q$5,1),tblAuftraege[Auftrag],$A78))</f>
        <v>0</v>
      </c>
      <c r="R78" s="11" t="n">
        <f aca="false">IF($A78="",0,SUMIFS(tblAuftraege[Ausgaben],tblAuftraege[Datum Ausgaben],"&gt;="&amp;R$5,tblAuftraege[Datum Ausgaben],"&lt;"&amp;EDATE(R$5,1),tblAuftraege[Auftrag],$A78))</f>
        <v>0</v>
      </c>
      <c r="S78" s="11" t="n">
        <f aca="false">IF($A78="",0,SUMIFS(tblAuftraege[Ausgaben],tblAuftraege[Datum Ausgaben],"&gt;="&amp;S$5,tblAuftraege[Datum Ausgaben],"&lt;"&amp;EDATE(S$5,1),tblAuftraege[Auftrag],$A78))</f>
        <v>0</v>
      </c>
      <c r="T78" s="11" t="n">
        <f aca="false">IF($A78="",0,SUMIFS(tblAuftraege[Ausgaben],tblAuftraege[Datum Ausgaben],"&gt;="&amp;T$5,tblAuftraege[Datum Ausgaben],"&lt;"&amp;EDATE(T$5,1),tblAuftraege[Auftrag],$A78))</f>
        <v>0</v>
      </c>
      <c r="U78" s="11" t="n">
        <f aca="false">IF($A78="",0,SUMIFS(tblAuftraege[Ausgaben],tblAuftraege[Datum Ausgaben],"&gt;="&amp;U$5,tblAuftraege[Datum Ausgaben],"&lt;"&amp;EDATE(U$5,1),tblAuftraege[Auftrag],$A78))</f>
        <v>0</v>
      </c>
      <c r="V78" s="11" t="n">
        <f aca="false">IF($A78="",0,SUMIFS(tblAuftraege[Ausgaben],tblAuftraege[Datum Ausgaben],"&gt;="&amp;V$5,tblAuftraege[Datum Ausgaben],"&lt;"&amp;EDATE(V$5,1),tblAuftraege[Auftrag],$A78))</f>
        <v>0</v>
      </c>
      <c r="W78" s="11" t="n">
        <f aca="false">SUM(E78:J78)</f>
        <v>0</v>
      </c>
      <c r="X78" s="11" t="n">
        <f aca="false">SUM(K78:V78)</f>
        <v>0</v>
      </c>
      <c r="Y78" s="12" t="n">
        <f aca="false">SUM(E78:V78)</f>
        <v>0</v>
      </c>
    </row>
    <row r="79" customFormat="false" ht="15" hidden="false" customHeight="false" outlineLevel="0" collapsed="false">
      <c r="A79" s="9"/>
      <c r="B79" s="10" t="str">
        <f aca="false">IF($A79="","",IFERROR(INDEX(tblAuftraege[Kostenstelle],MATCH($A79,tblAuftraege[Auftrag],0)),""))</f>
        <v/>
      </c>
      <c r="C79" s="10" t="str">
        <f aca="false">IF($A79="","",IFERROR(INDEX(tblAuftraege[Themenfeld],MATCH($A79,tblAuftraege[Auftrag],0)),""))</f>
        <v/>
      </c>
      <c r="D79" s="10" t="str">
        <f aca="false">IF($A79="","",IFERROR(INDEX(tblAuftraege[Kategorie],MATCH($A79,tblAuftraege[Auftrag],0)),""))</f>
        <v/>
      </c>
      <c r="E79" s="11" t="n">
        <f aca="false">IF($A79="",0,SUMIFS(tblAuftraege[Ausgaben],tblAuftraege[Datum Ausgaben],"&gt;="&amp;E$5,tblAuftraege[Datum Ausgaben],"&lt;"&amp;EDATE(E$5,1),tblAuftraege[Auftrag],$A79))</f>
        <v>0</v>
      </c>
      <c r="F79" s="11" t="n">
        <f aca="false">IF($A79="",0,SUMIFS(tblAuftraege[Ausgaben],tblAuftraege[Datum Ausgaben],"&gt;="&amp;F$5,tblAuftraege[Datum Ausgaben],"&lt;"&amp;EDATE(F$5,1),tblAuftraege[Auftrag],$A79))</f>
        <v>0</v>
      </c>
      <c r="G79" s="11" t="n">
        <f aca="false">IF($A79="",0,SUMIFS(tblAuftraege[Ausgaben],tblAuftraege[Datum Ausgaben],"&gt;="&amp;G$5,tblAuftraege[Datum Ausgaben],"&lt;"&amp;EDATE(G$5,1),tblAuftraege[Auftrag],$A79))</f>
        <v>0</v>
      </c>
      <c r="H79" s="11" t="n">
        <f aca="false">IF($A79="",0,SUMIFS(tblAuftraege[Ausgaben],tblAuftraege[Datum Ausgaben],"&gt;="&amp;H$5,tblAuftraege[Datum Ausgaben],"&lt;"&amp;EDATE(H$5,1),tblAuftraege[Auftrag],$A79))</f>
        <v>0</v>
      </c>
      <c r="I79" s="11" t="n">
        <f aca="false">IF($A79="",0,SUMIFS(tblAuftraege[Ausgaben],tblAuftraege[Datum Ausgaben],"&gt;="&amp;I$5,tblAuftraege[Datum Ausgaben],"&lt;"&amp;EDATE(I$5,1),tblAuftraege[Auftrag],$A79))</f>
        <v>0</v>
      </c>
      <c r="J79" s="11" t="n">
        <f aca="false">IF($A79="",0,SUMIFS(tblAuftraege[Ausgaben],tblAuftraege[Datum Ausgaben],"&gt;="&amp;J$5,tblAuftraege[Datum Ausgaben],"&lt;"&amp;EDATE(J$5,1),tblAuftraege[Auftrag],$A79))</f>
        <v>0</v>
      </c>
      <c r="K79" s="11" t="n">
        <f aca="false">IF($A79="",0,SUMIFS(tblAuftraege[Ausgaben],tblAuftraege[Datum Ausgaben],"&gt;="&amp;K$5,tblAuftraege[Datum Ausgaben],"&lt;"&amp;EDATE(K$5,1),tblAuftraege[Auftrag],$A79))</f>
        <v>0</v>
      </c>
      <c r="L79" s="11" t="n">
        <f aca="false">IF($A79="",0,SUMIFS(tblAuftraege[Ausgaben],tblAuftraege[Datum Ausgaben],"&gt;="&amp;L$5,tblAuftraege[Datum Ausgaben],"&lt;"&amp;EDATE(L$5,1),tblAuftraege[Auftrag],$A79))</f>
        <v>0</v>
      </c>
      <c r="M79" s="11" t="n">
        <f aca="false">IF($A79="",0,SUMIFS(tblAuftraege[Ausgaben],tblAuftraege[Datum Ausgaben],"&gt;="&amp;M$5,tblAuftraege[Datum Ausgaben],"&lt;"&amp;EDATE(M$5,1),tblAuftraege[Auftrag],$A79))</f>
        <v>0</v>
      </c>
      <c r="N79" s="11" t="n">
        <f aca="false">IF($A79="",0,SUMIFS(tblAuftraege[Ausgaben],tblAuftraege[Datum Ausgaben],"&gt;="&amp;N$5,tblAuftraege[Datum Ausgaben],"&lt;"&amp;EDATE(N$5,1),tblAuftraege[Auftrag],$A79))</f>
        <v>0</v>
      </c>
      <c r="O79" s="11" t="n">
        <f aca="false">IF($A79="",0,SUMIFS(tblAuftraege[Ausgaben],tblAuftraege[Datum Ausgaben],"&gt;="&amp;O$5,tblAuftraege[Datum Ausgaben],"&lt;"&amp;EDATE(O$5,1),tblAuftraege[Auftrag],$A79))</f>
        <v>0</v>
      </c>
      <c r="P79" s="11" t="n">
        <f aca="false">IF($A79="",0,SUMIFS(tblAuftraege[Ausgaben],tblAuftraege[Datum Ausgaben],"&gt;="&amp;P$5,tblAuftraege[Datum Ausgaben],"&lt;"&amp;EDATE(P$5,1),tblAuftraege[Auftrag],$A79))</f>
        <v>0</v>
      </c>
      <c r="Q79" s="11" t="n">
        <f aca="false">IF($A79="",0,SUMIFS(tblAuftraege[Ausgaben],tblAuftraege[Datum Ausgaben],"&gt;="&amp;Q$5,tblAuftraege[Datum Ausgaben],"&lt;"&amp;EDATE(Q$5,1),tblAuftraege[Auftrag],$A79))</f>
        <v>0</v>
      </c>
      <c r="R79" s="11" t="n">
        <f aca="false">IF($A79="",0,SUMIFS(tblAuftraege[Ausgaben],tblAuftraege[Datum Ausgaben],"&gt;="&amp;R$5,tblAuftraege[Datum Ausgaben],"&lt;"&amp;EDATE(R$5,1),tblAuftraege[Auftrag],$A79))</f>
        <v>0</v>
      </c>
      <c r="S79" s="11" t="n">
        <f aca="false">IF($A79="",0,SUMIFS(tblAuftraege[Ausgaben],tblAuftraege[Datum Ausgaben],"&gt;="&amp;S$5,tblAuftraege[Datum Ausgaben],"&lt;"&amp;EDATE(S$5,1),tblAuftraege[Auftrag],$A79))</f>
        <v>0</v>
      </c>
      <c r="T79" s="11" t="n">
        <f aca="false">IF($A79="",0,SUMIFS(tblAuftraege[Ausgaben],tblAuftraege[Datum Ausgaben],"&gt;="&amp;T$5,tblAuftraege[Datum Ausgaben],"&lt;"&amp;EDATE(T$5,1),tblAuftraege[Auftrag],$A79))</f>
        <v>0</v>
      </c>
      <c r="U79" s="11" t="n">
        <f aca="false">IF($A79="",0,SUMIFS(tblAuftraege[Ausgaben],tblAuftraege[Datum Ausgaben],"&gt;="&amp;U$5,tblAuftraege[Datum Ausgaben],"&lt;"&amp;EDATE(U$5,1),tblAuftraege[Auftrag],$A79))</f>
        <v>0</v>
      </c>
      <c r="V79" s="11" t="n">
        <f aca="false">IF($A79="",0,SUMIFS(tblAuftraege[Ausgaben],tblAuftraege[Datum Ausgaben],"&gt;="&amp;V$5,tblAuftraege[Datum Ausgaben],"&lt;"&amp;EDATE(V$5,1),tblAuftraege[Auftrag],$A79))</f>
        <v>0</v>
      </c>
      <c r="W79" s="11" t="n">
        <f aca="false">SUM(E79:J79)</f>
        <v>0</v>
      </c>
      <c r="X79" s="11" t="n">
        <f aca="false">SUM(K79:V79)</f>
        <v>0</v>
      </c>
      <c r="Y79" s="12" t="n">
        <f aca="false">SUM(E79:V79)</f>
        <v>0</v>
      </c>
    </row>
    <row r="80" customFormat="false" ht="15" hidden="false" customHeight="false" outlineLevel="0" collapsed="false">
      <c r="A80" s="9"/>
      <c r="B80" s="10" t="str">
        <f aca="false">IF($A80="","",IFERROR(INDEX(tblAuftraege[Kostenstelle],MATCH($A80,tblAuftraege[Auftrag],0)),""))</f>
        <v/>
      </c>
      <c r="C80" s="10" t="str">
        <f aca="false">IF($A80="","",IFERROR(INDEX(tblAuftraege[Themenfeld],MATCH($A80,tblAuftraege[Auftrag],0)),""))</f>
        <v/>
      </c>
      <c r="D80" s="10" t="str">
        <f aca="false">IF($A80="","",IFERROR(INDEX(tblAuftraege[Kategorie],MATCH($A80,tblAuftraege[Auftrag],0)),""))</f>
        <v/>
      </c>
      <c r="E80" s="11" t="n">
        <f aca="false">IF($A80="",0,SUMIFS(tblAuftraege[Ausgaben],tblAuftraege[Datum Ausgaben],"&gt;="&amp;E$5,tblAuftraege[Datum Ausgaben],"&lt;"&amp;EDATE(E$5,1),tblAuftraege[Auftrag],$A80))</f>
        <v>0</v>
      </c>
      <c r="F80" s="11" t="n">
        <f aca="false">IF($A80="",0,SUMIFS(tblAuftraege[Ausgaben],tblAuftraege[Datum Ausgaben],"&gt;="&amp;F$5,tblAuftraege[Datum Ausgaben],"&lt;"&amp;EDATE(F$5,1),tblAuftraege[Auftrag],$A80))</f>
        <v>0</v>
      </c>
      <c r="G80" s="11" t="n">
        <f aca="false">IF($A80="",0,SUMIFS(tblAuftraege[Ausgaben],tblAuftraege[Datum Ausgaben],"&gt;="&amp;G$5,tblAuftraege[Datum Ausgaben],"&lt;"&amp;EDATE(G$5,1),tblAuftraege[Auftrag],$A80))</f>
        <v>0</v>
      </c>
      <c r="H80" s="11" t="n">
        <f aca="false">IF($A80="",0,SUMIFS(tblAuftraege[Ausgaben],tblAuftraege[Datum Ausgaben],"&gt;="&amp;H$5,tblAuftraege[Datum Ausgaben],"&lt;"&amp;EDATE(H$5,1),tblAuftraege[Auftrag],$A80))</f>
        <v>0</v>
      </c>
      <c r="I80" s="11" t="n">
        <f aca="false">IF($A80="",0,SUMIFS(tblAuftraege[Ausgaben],tblAuftraege[Datum Ausgaben],"&gt;="&amp;I$5,tblAuftraege[Datum Ausgaben],"&lt;"&amp;EDATE(I$5,1),tblAuftraege[Auftrag],$A80))</f>
        <v>0</v>
      </c>
      <c r="J80" s="11" t="n">
        <f aca="false">IF($A80="",0,SUMIFS(tblAuftraege[Ausgaben],tblAuftraege[Datum Ausgaben],"&gt;="&amp;J$5,tblAuftraege[Datum Ausgaben],"&lt;"&amp;EDATE(J$5,1),tblAuftraege[Auftrag],$A80))</f>
        <v>0</v>
      </c>
      <c r="K80" s="11" t="n">
        <f aca="false">IF($A80="",0,SUMIFS(tblAuftraege[Ausgaben],tblAuftraege[Datum Ausgaben],"&gt;="&amp;K$5,tblAuftraege[Datum Ausgaben],"&lt;"&amp;EDATE(K$5,1),tblAuftraege[Auftrag],$A80))</f>
        <v>0</v>
      </c>
      <c r="L80" s="11" t="n">
        <f aca="false">IF($A80="",0,SUMIFS(tblAuftraege[Ausgaben],tblAuftraege[Datum Ausgaben],"&gt;="&amp;L$5,tblAuftraege[Datum Ausgaben],"&lt;"&amp;EDATE(L$5,1),tblAuftraege[Auftrag],$A80))</f>
        <v>0</v>
      </c>
      <c r="M80" s="11" t="n">
        <f aca="false">IF($A80="",0,SUMIFS(tblAuftraege[Ausgaben],tblAuftraege[Datum Ausgaben],"&gt;="&amp;M$5,tblAuftraege[Datum Ausgaben],"&lt;"&amp;EDATE(M$5,1),tblAuftraege[Auftrag],$A80))</f>
        <v>0</v>
      </c>
      <c r="N80" s="11" t="n">
        <f aca="false">IF($A80="",0,SUMIFS(tblAuftraege[Ausgaben],tblAuftraege[Datum Ausgaben],"&gt;="&amp;N$5,tblAuftraege[Datum Ausgaben],"&lt;"&amp;EDATE(N$5,1),tblAuftraege[Auftrag],$A80))</f>
        <v>0</v>
      </c>
      <c r="O80" s="11" t="n">
        <f aca="false">IF($A80="",0,SUMIFS(tblAuftraege[Ausgaben],tblAuftraege[Datum Ausgaben],"&gt;="&amp;O$5,tblAuftraege[Datum Ausgaben],"&lt;"&amp;EDATE(O$5,1),tblAuftraege[Auftrag],$A80))</f>
        <v>0</v>
      </c>
      <c r="P80" s="11" t="n">
        <f aca="false">IF($A80="",0,SUMIFS(tblAuftraege[Ausgaben],tblAuftraege[Datum Ausgaben],"&gt;="&amp;P$5,tblAuftraege[Datum Ausgaben],"&lt;"&amp;EDATE(P$5,1),tblAuftraege[Auftrag],$A80))</f>
        <v>0</v>
      </c>
      <c r="Q80" s="11" t="n">
        <f aca="false">IF($A80="",0,SUMIFS(tblAuftraege[Ausgaben],tblAuftraege[Datum Ausgaben],"&gt;="&amp;Q$5,tblAuftraege[Datum Ausgaben],"&lt;"&amp;EDATE(Q$5,1),tblAuftraege[Auftrag],$A80))</f>
        <v>0</v>
      </c>
      <c r="R80" s="11" t="n">
        <f aca="false">IF($A80="",0,SUMIFS(tblAuftraege[Ausgaben],tblAuftraege[Datum Ausgaben],"&gt;="&amp;R$5,tblAuftraege[Datum Ausgaben],"&lt;"&amp;EDATE(R$5,1),tblAuftraege[Auftrag],$A80))</f>
        <v>0</v>
      </c>
      <c r="S80" s="11" t="n">
        <f aca="false">IF($A80="",0,SUMIFS(tblAuftraege[Ausgaben],tblAuftraege[Datum Ausgaben],"&gt;="&amp;S$5,tblAuftraege[Datum Ausgaben],"&lt;"&amp;EDATE(S$5,1),tblAuftraege[Auftrag],$A80))</f>
        <v>0</v>
      </c>
      <c r="T80" s="11" t="n">
        <f aca="false">IF($A80="",0,SUMIFS(tblAuftraege[Ausgaben],tblAuftraege[Datum Ausgaben],"&gt;="&amp;T$5,tblAuftraege[Datum Ausgaben],"&lt;"&amp;EDATE(T$5,1),tblAuftraege[Auftrag],$A80))</f>
        <v>0</v>
      </c>
      <c r="U80" s="11" t="n">
        <f aca="false">IF($A80="",0,SUMIFS(tblAuftraege[Ausgaben],tblAuftraege[Datum Ausgaben],"&gt;="&amp;U$5,tblAuftraege[Datum Ausgaben],"&lt;"&amp;EDATE(U$5,1),tblAuftraege[Auftrag],$A80))</f>
        <v>0</v>
      </c>
      <c r="V80" s="11" t="n">
        <f aca="false">IF($A80="",0,SUMIFS(tblAuftraege[Ausgaben],tblAuftraege[Datum Ausgaben],"&gt;="&amp;V$5,tblAuftraege[Datum Ausgaben],"&lt;"&amp;EDATE(V$5,1),tblAuftraege[Auftrag],$A80))</f>
        <v>0</v>
      </c>
      <c r="W80" s="11" t="n">
        <f aca="false">SUM(E80:J80)</f>
        <v>0</v>
      </c>
      <c r="X80" s="11" t="n">
        <f aca="false">SUM(K80:V80)</f>
        <v>0</v>
      </c>
      <c r="Y80" s="12" t="n">
        <f aca="false">SUM(E80:V80)</f>
        <v>0</v>
      </c>
    </row>
    <row r="81" customFormat="false" ht="15" hidden="false" customHeight="false" outlineLevel="0" collapsed="false">
      <c r="A81" s="9"/>
      <c r="B81" s="10" t="str">
        <f aca="false">IF($A81="","",IFERROR(INDEX(tblAuftraege[Kostenstelle],MATCH($A81,tblAuftraege[Auftrag],0)),""))</f>
        <v/>
      </c>
      <c r="C81" s="10" t="str">
        <f aca="false">IF($A81="","",IFERROR(INDEX(tblAuftraege[Themenfeld],MATCH($A81,tblAuftraege[Auftrag],0)),""))</f>
        <v/>
      </c>
      <c r="D81" s="10" t="str">
        <f aca="false">IF($A81="","",IFERROR(INDEX(tblAuftraege[Kategorie],MATCH($A81,tblAuftraege[Auftrag],0)),""))</f>
        <v/>
      </c>
      <c r="E81" s="11" t="n">
        <f aca="false">IF($A81="",0,SUMIFS(tblAuftraege[Ausgaben],tblAuftraege[Datum Ausgaben],"&gt;="&amp;E$5,tblAuftraege[Datum Ausgaben],"&lt;"&amp;EDATE(E$5,1),tblAuftraege[Auftrag],$A81))</f>
        <v>0</v>
      </c>
      <c r="F81" s="11" t="n">
        <f aca="false">IF($A81="",0,SUMIFS(tblAuftraege[Ausgaben],tblAuftraege[Datum Ausgaben],"&gt;="&amp;F$5,tblAuftraege[Datum Ausgaben],"&lt;"&amp;EDATE(F$5,1),tblAuftraege[Auftrag],$A81))</f>
        <v>0</v>
      </c>
      <c r="G81" s="11" t="n">
        <f aca="false">IF($A81="",0,SUMIFS(tblAuftraege[Ausgaben],tblAuftraege[Datum Ausgaben],"&gt;="&amp;G$5,tblAuftraege[Datum Ausgaben],"&lt;"&amp;EDATE(G$5,1),tblAuftraege[Auftrag],$A81))</f>
        <v>0</v>
      </c>
      <c r="H81" s="11" t="n">
        <f aca="false">IF($A81="",0,SUMIFS(tblAuftraege[Ausgaben],tblAuftraege[Datum Ausgaben],"&gt;="&amp;H$5,tblAuftraege[Datum Ausgaben],"&lt;"&amp;EDATE(H$5,1),tblAuftraege[Auftrag],$A81))</f>
        <v>0</v>
      </c>
      <c r="I81" s="11" t="n">
        <f aca="false">IF($A81="",0,SUMIFS(tblAuftraege[Ausgaben],tblAuftraege[Datum Ausgaben],"&gt;="&amp;I$5,tblAuftraege[Datum Ausgaben],"&lt;"&amp;EDATE(I$5,1),tblAuftraege[Auftrag],$A81))</f>
        <v>0</v>
      </c>
      <c r="J81" s="11" t="n">
        <f aca="false">IF($A81="",0,SUMIFS(tblAuftraege[Ausgaben],tblAuftraege[Datum Ausgaben],"&gt;="&amp;J$5,tblAuftraege[Datum Ausgaben],"&lt;"&amp;EDATE(J$5,1),tblAuftraege[Auftrag],$A81))</f>
        <v>0</v>
      </c>
      <c r="K81" s="11" t="n">
        <f aca="false">IF($A81="",0,SUMIFS(tblAuftraege[Ausgaben],tblAuftraege[Datum Ausgaben],"&gt;="&amp;K$5,tblAuftraege[Datum Ausgaben],"&lt;"&amp;EDATE(K$5,1),tblAuftraege[Auftrag],$A81))</f>
        <v>0</v>
      </c>
      <c r="L81" s="11" t="n">
        <f aca="false">IF($A81="",0,SUMIFS(tblAuftraege[Ausgaben],tblAuftraege[Datum Ausgaben],"&gt;="&amp;L$5,tblAuftraege[Datum Ausgaben],"&lt;"&amp;EDATE(L$5,1),tblAuftraege[Auftrag],$A81))</f>
        <v>0</v>
      </c>
      <c r="M81" s="11" t="n">
        <f aca="false">IF($A81="",0,SUMIFS(tblAuftraege[Ausgaben],tblAuftraege[Datum Ausgaben],"&gt;="&amp;M$5,tblAuftraege[Datum Ausgaben],"&lt;"&amp;EDATE(M$5,1),tblAuftraege[Auftrag],$A81))</f>
        <v>0</v>
      </c>
      <c r="N81" s="11" t="n">
        <f aca="false">IF($A81="",0,SUMIFS(tblAuftraege[Ausgaben],tblAuftraege[Datum Ausgaben],"&gt;="&amp;N$5,tblAuftraege[Datum Ausgaben],"&lt;"&amp;EDATE(N$5,1),tblAuftraege[Auftrag],$A81))</f>
        <v>0</v>
      </c>
      <c r="O81" s="11" t="n">
        <f aca="false">IF($A81="",0,SUMIFS(tblAuftraege[Ausgaben],tblAuftraege[Datum Ausgaben],"&gt;="&amp;O$5,tblAuftraege[Datum Ausgaben],"&lt;"&amp;EDATE(O$5,1),tblAuftraege[Auftrag],$A81))</f>
        <v>0</v>
      </c>
      <c r="P81" s="11" t="n">
        <f aca="false">IF($A81="",0,SUMIFS(tblAuftraege[Ausgaben],tblAuftraege[Datum Ausgaben],"&gt;="&amp;P$5,tblAuftraege[Datum Ausgaben],"&lt;"&amp;EDATE(P$5,1),tblAuftraege[Auftrag],$A81))</f>
        <v>0</v>
      </c>
      <c r="Q81" s="11" t="n">
        <f aca="false">IF($A81="",0,SUMIFS(tblAuftraege[Ausgaben],tblAuftraege[Datum Ausgaben],"&gt;="&amp;Q$5,tblAuftraege[Datum Ausgaben],"&lt;"&amp;EDATE(Q$5,1),tblAuftraege[Auftrag],$A81))</f>
        <v>0</v>
      </c>
      <c r="R81" s="11" t="n">
        <f aca="false">IF($A81="",0,SUMIFS(tblAuftraege[Ausgaben],tblAuftraege[Datum Ausgaben],"&gt;="&amp;R$5,tblAuftraege[Datum Ausgaben],"&lt;"&amp;EDATE(R$5,1),tblAuftraege[Auftrag],$A81))</f>
        <v>0</v>
      </c>
      <c r="S81" s="11" t="n">
        <f aca="false">IF($A81="",0,SUMIFS(tblAuftraege[Ausgaben],tblAuftraege[Datum Ausgaben],"&gt;="&amp;S$5,tblAuftraege[Datum Ausgaben],"&lt;"&amp;EDATE(S$5,1),tblAuftraege[Auftrag],$A81))</f>
        <v>0</v>
      </c>
      <c r="T81" s="11" t="n">
        <f aca="false">IF($A81="",0,SUMIFS(tblAuftraege[Ausgaben],tblAuftraege[Datum Ausgaben],"&gt;="&amp;T$5,tblAuftraege[Datum Ausgaben],"&lt;"&amp;EDATE(T$5,1),tblAuftraege[Auftrag],$A81))</f>
        <v>0</v>
      </c>
      <c r="U81" s="11" t="n">
        <f aca="false">IF($A81="",0,SUMIFS(tblAuftraege[Ausgaben],tblAuftraege[Datum Ausgaben],"&gt;="&amp;U$5,tblAuftraege[Datum Ausgaben],"&lt;"&amp;EDATE(U$5,1),tblAuftraege[Auftrag],$A81))</f>
        <v>0</v>
      </c>
      <c r="V81" s="11" t="n">
        <f aca="false">IF($A81="",0,SUMIFS(tblAuftraege[Ausgaben],tblAuftraege[Datum Ausgaben],"&gt;="&amp;V$5,tblAuftraege[Datum Ausgaben],"&lt;"&amp;EDATE(V$5,1),tblAuftraege[Auftrag],$A81))</f>
        <v>0</v>
      </c>
      <c r="W81" s="11" t="n">
        <f aca="false">SUM(E81:J81)</f>
        <v>0</v>
      </c>
      <c r="X81" s="11" t="n">
        <f aca="false">SUM(K81:V81)</f>
        <v>0</v>
      </c>
      <c r="Y81" s="12" t="n">
        <f aca="false">SUM(E81:V81)</f>
        <v>0</v>
      </c>
    </row>
    <row r="82" customFormat="false" ht="15" hidden="false" customHeight="false" outlineLevel="0" collapsed="false">
      <c r="A82" s="9"/>
      <c r="B82" s="10" t="str">
        <f aca="false">IF($A82="","",IFERROR(INDEX(tblAuftraege[Kostenstelle],MATCH($A82,tblAuftraege[Auftrag],0)),""))</f>
        <v/>
      </c>
      <c r="C82" s="10" t="str">
        <f aca="false">IF($A82="","",IFERROR(INDEX(tblAuftraege[Themenfeld],MATCH($A82,tblAuftraege[Auftrag],0)),""))</f>
        <v/>
      </c>
      <c r="D82" s="10" t="str">
        <f aca="false">IF($A82="","",IFERROR(INDEX(tblAuftraege[Kategorie],MATCH($A82,tblAuftraege[Auftrag],0)),""))</f>
        <v/>
      </c>
      <c r="E82" s="11" t="n">
        <f aca="false">IF($A82="",0,SUMIFS(tblAuftraege[Ausgaben],tblAuftraege[Datum Ausgaben],"&gt;="&amp;E$5,tblAuftraege[Datum Ausgaben],"&lt;"&amp;EDATE(E$5,1),tblAuftraege[Auftrag],$A82))</f>
        <v>0</v>
      </c>
      <c r="F82" s="11" t="n">
        <f aca="false">IF($A82="",0,SUMIFS(tblAuftraege[Ausgaben],tblAuftraege[Datum Ausgaben],"&gt;="&amp;F$5,tblAuftraege[Datum Ausgaben],"&lt;"&amp;EDATE(F$5,1),tblAuftraege[Auftrag],$A82))</f>
        <v>0</v>
      </c>
      <c r="G82" s="11" t="n">
        <f aca="false">IF($A82="",0,SUMIFS(tblAuftraege[Ausgaben],tblAuftraege[Datum Ausgaben],"&gt;="&amp;G$5,tblAuftraege[Datum Ausgaben],"&lt;"&amp;EDATE(G$5,1),tblAuftraege[Auftrag],$A82))</f>
        <v>0</v>
      </c>
      <c r="H82" s="11" t="n">
        <f aca="false">IF($A82="",0,SUMIFS(tblAuftraege[Ausgaben],tblAuftraege[Datum Ausgaben],"&gt;="&amp;H$5,tblAuftraege[Datum Ausgaben],"&lt;"&amp;EDATE(H$5,1),tblAuftraege[Auftrag],$A82))</f>
        <v>0</v>
      </c>
      <c r="I82" s="11" t="n">
        <f aca="false">IF($A82="",0,SUMIFS(tblAuftraege[Ausgaben],tblAuftraege[Datum Ausgaben],"&gt;="&amp;I$5,tblAuftraege[Datum Ausgaben],"&lt;"&amp;EDATE(I$5,1),tblAuftraege[Auftrag],$A82))</f>
        <v>0</v>
      </c>
      <c r="J82" s="11" t="n">
        <f aca="false">IF($A82="",0,SUMIFS(tblAuftraege[Ausgaben],tblAuftraege[Datum Ausgaben],"&gt;="&amp;J$5,tblAuftraege[Datum Ausgaben],"&lt;"&amp;EDATE(J$5,1),tblAuftraege[Auftrag],$A82))</f>
        <v>0</v>
      </c>
      <c r="K82" s="11" t="n">
        <f aca="false">IF($A82="",0,SUMIFS(tblAuftraege[Ausgaben],tblAuftraege[Datum Ausgaben],"&gt;="&amp;K$5,tblAuftraege[Datum Ausgaben],"&lt;"&amp;EDATE(K$5,1),tblAuftraege[Auftrag],$A82))</f>
        <v>0</v>
      </c>
      <c r="L82" s="11" t="n">
        <f aca="false">IF($A82="",0,SUMIFS(tblAuftraege[Ausgaben],tblAuftraege[Datum Ausgaben],"&gt;="&amp;L$5,tblAuftraege[Datum Ausgaben],"&lt;"&amp;EDATE(L$5,1),tblAuftraege[Auftrag],$A82))</f>
        <v>0</v>
      </c>
      <c r="M82" s="11" t="n">
        <f aca="false">IF($A82="",0,SUMIFS(tblAuftraege[Ausgaben],tblAuftraege[Datum Ausgaben],"&gt;="&amp;M$5,tblAuftraege[Datum Ausgaben],"&lt;"&amp;EDATE(M$5,1),tblAuftraege[Auftrag],$A82))</f>
        <v>0</v>
      </c>
      <c r="N82" s="11" t="n">
        <f aca="false">IF($A82="",0,SUMIFS(tblAuftraege[Ausgaben],tblAuftraege[Datum Ausgaben],"&gt;="&amp;N$5,tblAuftraege[Datum Ausgaben],"&lt;"&amp;EDATE(N$5,1),tblAuftraege[Auftrag],$A82))</f>
        <v>0</v>
      </c>
      <c r="O82" s="11" t="n">
        <f aca="false">IF($A82="",0,SUMIFS(tblAuftraege[Ausgaben],tblAuftraege[Datum Ausgaben],"&gt;="&amp;O$5,tblAuftraege[Datum Ausgaben],"&lt;"&amp;EDATE(O$5,1),tblAuftraege[Auftrag],$A82))</f>
        <v>0</v>
      </c>
      <c r="P82" s="11" t="n">
        <f aca="false">IF($A82="",0,SUMIFS(tblAuftraege[Ausgaben],tblAuftraege[Datum Ausgaben],"&gt;="&amp;P$5,tblAuftraege[Datum Ausgaben],"&lt;"&amp;EDATE(P$5,1),tblAuftraege[Auftrag],$A82))</f>
        <v>0</v>
      </c>
      <c r="Q82" s="11" t="n">
        <f aca="false">IF($A82="",0,SUMIFS(tblAuftraege[Ausgaben],tblAuftraege[Datum Ausgaben],"&gt;="&amp;Q$5,tblAuftraege[Datum Ausgaben],"&lt;"&amp;EDATE(Q$5,1),tblAuftraege[Auftrag],$A82))</f>
        <v>0</v>
      </c>
      <c r="R82" s="11" t="n">
        <f aca="false">IF($A82="",0,SUMIFS(tblAuftraege[Ausgaben],tblAuftraege[Datum Ausgaben],"&gt;="&amp;R$5,tblAuftraege[Datum Ausgaben],"&lt;"&amp;EDATE(R$5,1),tblAuftraege[Auftrag],$A82))</f>
        <v>0</v>
      </c>
      <c r="S82" s="11" t="n">
        <f aca="false">IF($A82="",0,SUMIFS(tblAuftraege[Ausgaben],tblAuftraege[Datum Ausgaben],"&gt;="&amp;S$5,tblAuftraege[Datum Ausgaben],"&lt;"&amp;EDATE(S$5,1),tblAuftraege[Auftrag],$A82))</f>
        <v>0</v>
      </c>
      <c r="T82" s="11" t="n">
        <f aca="false">IF($A82="",0,SUMIFS(tblAuftraege[Ausgaben],tblAuftraege[Datum Ausgaben],"&gt;="&amp;T$5,tblAuftraege[Datum Ausgaben],"&lt;"&amp;EDATE(T$5,1),tblAuftraege[Auftrag],$A82))</f>
        <v>0</v>
      </c>
      <c r="U82" s="11" t="n">
        <f aca="false">IF($A82="",0,SUMIFS(tblAuftraege[Ausgaben],tblAuftraege[Datum Ausgaben],"&gt;="&amp;U$5,tblAuftraege[Datum Ausgaben],"&lt;"&amp;EDATE(U$5,1),tblAuftraege[Auftrag],$A82))</f>
        <v>0</v>
      </c>
      <c r="V82" s="11" t="n">
        <f aca="false">IF($A82="",0,SUMIFS(tblAuftraege[Ausgaben],tblAuftraege[Datum Ausgaben],"&gt;="&amp;V$5,tblAuftraege[Datum Ausgaben],"&lt;"&amp;EDATE(V$5,1),tblAuftraege[Auftrag],$A82))</f>
        <v>0</v>
      </c>
      <c r="W82" s="11" t="n">
        <f aca="false">SUM(E82:J82)</f>
        <v>0</v>
      </c>
      <c r="X82" s="11" t="n">
        <f aca="false">SUM(K82:V82)</f>
        <v>0</v>
      </c>
      <c r="Y82" s="12" t="n">
        <f aca="false">SUM(E82:V82)</f>
        <v>0</v>
      </c>
    </row>
    <row r="83" customFormat="false" ht="15" hidden="false" customHeight="false" outlineLevel="0" collapsed="false">
      <c r="A83" s="9"/>
      <c r="B83" s="10" t="str">
        <f aca="false">IF($A83="","",IFERROR(INDEX(tblAuftraege[Kostenstelle],MATCH($A83,tblAuftraege[Auftrag],0)),""))</f>
        <v/>
      </c>
      <c r="C83" s="10" t="str">
        <f aca="false">IF($A83="","",IFERROR(INDEX(tblAuftraege[Themenfeld],MATCH($A83,tblAuftraege[Auftrag],0)),""))</f>
        <v/>
      </c>
      <c r="D83" s="10" t="str">
        <f aca="false">IF($A83="","",IFERROR(INDEX(tblAuftraege[Kategorie],MATCH($A83,tblAuftraege[Auftrag],0)),""))</f>
        <v/>
      </c>
      <c r="E83" s="11" t="n">
        <f aca="false">IF($A83="",0,SUMIFS(tblAuftraege[Ausgaben],tblAuftraege[Datum Ausgaben],"&gt;="&amp;E$5,tblAuftraege[Datum Ausgaben],"&lt;"&amp;EDATE(E$5,1),tblAuftraege[Auftrag],$A83))</f>
        <v>0</v>
      </c>
      <c r="F83" s="11" t="n">
        <f aca="false">IF($A83="",0,SUMIFS(tblAuftraege[Ausgaben],tblAuftraege[Datum Ausgaben],"&gt;="&amp;F$5,tblAuftraege[Datum Ausgaben],"&lt;"&amp;EDATE(F$5,1),tblAuftraege[Auftrag],$A83))</f>
        <v>0</v>
      </c>
      <c r="G83" s="11" t="n">
        <f aca="false">IF($A83="",0,SUMIFS(tblAuftraege[Ausgaben],tblAuftraege[Datum Ausgaben],"&gt;="&amp;G$5,tblAuftraege[Datum Ausgaben],"&lt;"&amp;EDATE(G$5,1),tblAuftraege[Auftrag],$A83))</f>
        <v>0</v>
      </c>
      <c r="H83" s="11" t="n">
        <f aca="false">IF($A83="",0,SUMIFS(tblAuftraege[Ausgaben],tblAuftraege[Datum Ausgaben],"&gt;="&amp;H$5,tblAuftraege[Datum Ausgaben],"&lt;"&amp;EDATE(H$5,1),tblAuftraege[Auftrag],$A83))</f>
        <v>0</v>
      </c>
      <c r="I83" s="11" t="n">
        <f aca="false">IF($A83="",0,SUMIFS(tblAuftraege[Ausgaben],tblAuftraege[Datum Ausgaben],"&gt;="&amp;I$5,tblAuftraege[Datum Ausgaben],"&lt;"&amp;EDATE(I$5,1),tblAuftraege[Auftrag],$A83))</f>
        <v>0</v>
      </c>
      <c r="J83" s="11" t="n">
        <f aca="false">IF($A83="",0,SUMIFS(tblAuftraege[Ausgaben],tblAuftraege[Datum Ausgaben],"&gt;="&amp;J$5,tblAuftraege[Datum Ausgaben],"&lt;"&amp;EDATE(J$5,1),tblAuftraege[Auftrag],$A83))</f>
        <v>0</v>
      </c>
      <c r="K83" s="11" t="n">
        <f aca="false">IF($A83="",0,SUMIFS(tblAuftraege[Ausgaben],tblAuftraege[Datum Ausgaben],"&gt;="&amp;K$5,tblAuftraege[Datum Ausgaben],"&lt;"&amp;EDATE(K$5,1),tblAuftraege[Auftrag],$A83))</f>
        <v>0</v>
      </c>
      <c r="L83" s="11" t="n">
        <f aca="false">IF($A83="",0,SUMIFS(tblAuftraege[Ausgaben],tblAuftraege[Datum Ausgaben],"&gt;="&amp;L$5,tblAuftraege[Datum Ausgaben],"&lt;"&amp;EDATE(L$5,1),tblAuftraege[Auftrag],$A83))</f>
        <v>0</v>
      </c>
      <c r="M83" s="11" t="n">
        <f aca="false">IF($A83="",0,SUMIFS(tblAuftraege[Ausgaben],tblAuftraege[Datum Ausgaben],"&gt;="&amp;M$5,tblAuftraege[Datum Ausgaben],"&lt;"&amp;EDATE(M$5,1),tblAuftraege[Auftrag],$A83))</f>
        <v>0</v>
      </c>
      <c r="N83" s="11" t="n">
        <f aca="false">IF($A83="",0,SUMIFS(tblAuftraege[Ausgaben],tblAuftraege[Datum Ausgaben],"&gt;="&amp;N$5,tblAuftraege[Datum Ausgaben],"&lt;"&amp;EDATE(N$5,1),tblAuftraege[Auftrag],$A83))</f>
        <v>0</v>
      </c>
      <c r="O83" s="11" t="n">
        <f aca="false">IF($A83="",0,SUMIFS(tblAuftraege[Ausgaben],tblAuftraege[Datum Ausgaben],"&gt;="&amp;O$5,tblAuftraege[Datum Ausgaben],"&lt;"&amp;EDATE(O$5,1),tblAuftraege[Auftrag],$A83))</f>
        <v>0</v>
      </c>
      <c r="P83" s="11" t="n">
        <f aca="false">IF($A83="",0,SUMIFS(tblAuftraege[Ausgaben],tblAuftraege[Datum Ausgaben],"&gt;="&amp;P$5,tblAuftraege[Datum Ausgaben],"&lt;"&amp;EDATE(P$5,1),tblAuftraege[Auftrag],$A83))</f>
        <v>0</v>
      </c>
      <c r="Q83" s="11" t="n">
        <f aca="false">IF($A83="",0,SUMIFS(tblAuftraege[Ausgaben],tblAuftraege[Datum Ausgaben],"&gt;="&amp;Q$5,tblAuftraege[Datum Ausgaben],"&lt;"&amp;EDATE(Q$5,1),tblAuftraege[Auftrag],$A83))</f>
        <v>0</v>
      </c>
      <c r="R83" s="11" t="n">
        <f aca="false">IF($A83="",0,SUMIFS(tblAuftraege[Ausgaben],tblAuftraege[Datum Ausgaben],"&gt;="&amp;R$5,tblAuftraege[Datum Ausgaben],"&lt;"&amp;EDATE(R$5,1),tblAuftraege[Auftrag],$A83))</f>
        <v>0</v>
      </c>
      <c r="S83" s="11" t="n">
        <f aca="false">IF($A83="",0,SUMIFS(tblAuftraege[Ausgaben],tblAuftraege[Datum Ausgaben],"&gt;="&amp;S$5,tblAuftraege[Datum Ausgaben],"&lt;"&amp;EDATE(S$5,1),tblAuftraege[Auftrag],$A83))</f>
        <v>0</v>
      </c>
      <c r="T83" s="11" t="n">
        <f aca="false">IF($A83="",0,SUMIFS(tblAuftraege[Ausgaben],tblAuftraege[Datum Ausgaben],"&gt;="&amp;T$5,tblAuftraege[Datum Ausgaben],"&lt;"&amp;EDATE(T$5,1),tblAuftraege[Auftrag],$A83))</f>
        <v>0</v>
      </c>
      <c r="U83" s="11" t="n">
        <f aca="false">IF($A83="",0,SUMIFS(tblAuftraege[Ausgaben],tblAuftraege[Datum Ausgaben],"&gt;="&amp;U$5,tblAuftraege[Datum Ausgaben],"&lt;"&amp;EDATE(U$5,1),tblAuftraege[Auftrag],$A83))</f>
        <v>0</v>
      </c>
      <c r="V83" s="11" t="n">
        <f aca="false">IF($A83="",0,SUMIFS(tblAuftraege[Ausgaben],tblAuftraege[Datum Ausgaben],"&gt;="&amp;V$5,tblAuftraege[Datum Ausgaben],"&lt;"&amp;EDATE(V$5,1),tblAuftraege[Auftrag],$A83))</f>
        <v>0</v>
      </c>
      <c r="W83" s="11" t="n">
        <f aca="false">SUM(E83:J83)</f>
        <v>0</v>
      </c>
      <c r="X83" s="11" t="n">
        <f aca="false">SUM(K83:V83)</f>
        <v>0</v>
      </c>
      <c r="Y83" s="12" t="n">
        <f aca="false">SUM(E83:V83)</f>
        <v>0</v>
      </c>
    </row>
    <row r="84" customFormat="false" ht="15" hidden="false" customHeight="false" outlineLevel="0" collapsed="false">
      <c r="A84" s="9"/>
      <c r="B84" s="10" t="str">
        <f aca="false">IF($A84="","",IFERROR(INDEX(tblAuftraege[Kostenstelle],MATCH($A84,tblAuftraege[Auftrag],0)),""))</f>
        <v/>
      </c>
      <c r="C84" s="10" t="str">
        <f aca="false">IF($A84="","",IFERROR(INDEX(tblAuftraege[Themenfeld],MATCH($A84,tblAuftraege[Auftrag],0)),""))</f>
        <v/>
      </c>
      <c r="D84" s="10" t="str">
        <f aca="false">IF($A84="","",IFERROR(INDEX(tblAuftraege[Kategorie],MATCH($A84,tblAuftraege[Auftrag],0)),""))</f>
        <v/>
      </c>
      <c r="E84" s="11" t="n">
        <f aca="false">IF($A84="",0,SUMIFS(tblAuftraege[Ausgaben],tblAuftraege[Datum Ausgaben],"&gt;="&amp;E$5,tblAuftraege[Datum Ausgaben],"&lt;"&amp;EDATE(E$5,1),tblAuftraege[Auftrag],$A84))</f>
        <v>0</v>
      </c>
      <c r="F84" s="11" t="n">
        <f aca="false">IF($A84="",0,SUMIFS(tblAuftraege[Ausgaben],tblAuftraege[Datum Ausgaben],"&gt;="&amp;F$5,tblAuftraege[Datum Ausgaben],"&lt;"&amp;EDATE(F$5,1),tblAuftraege[Auftrag],$A84))</f>
        <v>0</v>
      </c>
      <c r="G84" s="11" t="n">
        <f aca="false">IF($A84="",0,SUMIFS(tblAuftraege[Ausgaben],tblAuftraege[Datum Ausgaben],"&gt;="&amp;G$5,tblAuftraege[Datum Ausgaben],"&lt;"&amp;EDATE(G$5,1),tblAuftraege[Auftrag],$A84))</f>
        <v>0</v>
      </c>
      <c r="H84" s="11" t="n">
        <f aca="false">IF($A84="",0,SUMIFS(tblAuftraege[Ausgaben],tblAuftraege[Datum Ausgaben],"&gt;="&amp;H$5,tblAuftraege[Datum Ausgaben],"&lt;"&amp;EDATE(H$5,1),tblAuftraege[Auftrag],$A84))</f>
        <v>0</v>
      </c>
      <c r="I84" s="11" t="n">
        <f aca="false">IF($A84="",0,SUMIFS(tblAuftraege[Ausgaben],tblAuftraege[Datum Ausgaben],"&gt;="&amp;I$5,tblAuftraege[Datum Ausgaben],"&lt;"&amp;EDATE(I$5,1),tblAuftraege[Auftrag],$A84))</f>
        <v>0</v>
      </c>
      <c r="J84" s="11" t="n">
        <f aca="false">IF($A84="",0,SUMIFS(tblAuftraege[Ausgaben],tblAuftraege[Datum Ausgaben],"&gt;="&amp;J$5,tblAuftraege[Datum Ausgaben],"&lt;"&amp;EDATE(J$5,1),tblAuftraege[Auftrag],$A84))</f>
        <v>0</v>
      </c>
      <c r="K84" s="11" t="n">
        <f aca="false">IF($A84="",0,SUMIFS(tblAuftraege[Ausgaben],tblAuftraege[Datum Ausgaben],"&gt;="&amp;K$5,tblAuftraege[Datum Ausgaben],"&lt;"&amp;EDATE(K$5,1),tblAuftraege[Auftrag],$A84))</f>
        <v>0</v>
      </c>
      <c r="L84" s="11" t="n">
        <f aca="false">IF($A84="",0,SUMIFS(tblAuftraege[Ausgaben],tblAuftraege[Datum Ausgaben],"&gt;="&amp;L$5,tblAuftraege[Datum Ausgaben],"&lt;"&amp;EDATE(L$5,1),tblAuftraege[Auftrag],$A84))</f>
        <v>0</v>
      </c>
      <c r="M84" s="11" t="n">
        <f aca="false">IF($A84="",0,SUMIFS(tblAuftraege[Ausgaben],tblAuftraege[Datum Ausgaben],"&gt;="&amp;M$5,tblAuftraege[Datum Ausgaben],"&lt;"&amp;EDATE(M$5,1),tblAuftraege[Auftrag],$A84))</f>
        <v>0</v>
      </c>
      <c r="N84" s="11" t="n">
        <f aca="false">IF($A84="",0,SUMIFS(tblAuftraege[Ausgaben],tblAuftraege[Datum Ausgaben],"&gt;="&amp;N$5,tblAuftraege[Datum Ausgaben],"&lt;"&amp;EDATE(N$5,1),tblAuftraege[Auftrag],$A84))</f>
        <v>0</v>
      </c>
      <c r="O84" s="11" t="n">
        <f aca="false">IF($A84="",0,SUMIFS(tblAuftraege[Ausgaben],tblAuftraege[Datum Ausgaben],"&gt;="&amp;O$5,tblAuftraege[Datum Ausgaben],"&lt;"&amp;EDATE(O$5,1),tblAuftraege[Auftrag],$A84))</f>
        <v>0</v>
      </c>
      <c r="P84" s="11" t="n">
        <f aca="false">IF($A84="",0,SUMIFS(tblAuftraege[Ausgaben],tblAuftraege[Datum Ausgaben],"&gt;="&amp;P$5,tblAuftraege[Datum Ausgaben],"&lt;"&amp;EDATE(P$5,1),tblAuftraege[Auftrag],$A84))</f>
        <v>0</v>
      </c>
      <c r="Q84" s="11" t="n">
        <f aca="false">IF($A84="",0,SUMIFS(tblAuftraege[Ausgaben],tblAuftraege[Datum Ausgaben],"&gt;="&amp;Q$5,tblAuftraege[Datum Ausgaben],"&lt;"&amp;EDATE(Q$5,1),tblAuftraege[Auftrag],$A84))</f>
        <v>0</v>
      </c>
      <c r="R84" s="11" t="n">
        <f aca="false">IF($A84="",0,SUMIFS(tblAuftraege[Ausgaben],tblAuftraege[Datum Ausgaben],"&gt;="&amp;R$5,tblAuftraege[Datum Ausgaben],"&lt;"&amp;EDATE(R$5,1),tblAuftraege[Auftrag],$A84))</f>
        <v>0</v>
      </c>
      <c r="S84" s="11" t="n">
        <f aca="false">IF($A84="",0,SUMIFS(tblAuftraege[Ausgaben],tblAuftraege[Datum Ausgaben],"&gt;="&amp;S$5,tblAuftraege[Datum Ausgaben],"&lt;"&amp;EDATE(S$5,1),tblAuftraege[Auftrag],$A84))</f>
        <v>0</v>
      </c>
      <c r="T84" s="11" t="n">
        <f aca="false">IF($A84="",0,SUMIFS(tblAuftraege[Ausgaben],tblAuftraege[Datum Ausgaben],"&gt;="&amp;T$5,tblAuftraege[Datum Ausgaben],"&lt;"&amp;EDATE(T$5,1),tblAuftraege[Auftrag],$A84))</f>
        <v>0</v>
      </c>
      <c r="U84" s="11" t="n">
        <f aca="false">IF($A84="",0,SUMIFS(tblAuftraege[Ausgaben],tblAuftraege[Datum Ausgaben],"&gt;="&amp;U$5,tblAuftraege[Datum Ausgaben],"&lt;"&amp;EDATE(U$5,1),tblAuftraege[Auftrag],$A84))</f>
        <v>0</v>
      </c>
      <c r="V84" s="11" t="n">
        <f aca="false">IF($A84="",0,SUMIFS(tblAuftraege[Ausgaben],tblAuftraege[Datum Ausgaben],"&gt;="&amp;V$5,tblAuftraege[Datum Ausgaben],"&lt;"&amp;EDATE(V$5,1),tblAuftraege[Auftrag],$A84))</f>
        <v>0</v>
      </c>
      <c r="W84" s="11" t="n">
        <f aca="false">SUM(E84:J84)</f>
        <v>0</v>
      </c>
      <c r="X84" s="11" t="n">
        <f aca="false">SUM(K84:V84)</f>
        <v>0</v>
      </c>
      <c r="Y84" s="12" t="n">
        <f aca="false">SUM(E84:V84)</f>
        <v>0</v>
      </c>
    </row>
    <row r="85" customFormat="false" ht="15" hidden="false" customHeight="false" outlineLevel="0" collapsed="false">
      <c r="A85" s="9"/>
      <c r="B85" s="10" t="str">
        <f aca="false">IF($A85="","",IFERROR(INDEX(tblAuftraege[Kostenstelle],MATCH($A85,tblAuftraege[Auftrag],0)),""))</f>
        <v/>
      </c>
      <c r="C85" s="10" t="str">
        <f aca="false">IF($A85="","",IFERROR(INDEX(tblAuftraege[Themenfeld],MATCH($A85,tblAuftraege[Auftrag],0)),""))</f>
        <v/>
      </c>
      <c r="D85" s="10" t="str">
        <f aca="false">IF($A85="","",IFERROR(INDEX(tblAuftraege[Kategorie],MATCH($A85,tblAuftraege[Auftrag],0)),""))</f>
        <v/>
      </c>
      <c r="E85" s="11" t="n">
        <f aca="false">IF($A85="",0,SUMIFS(tblAuftraege[Ausgaben],tblAuftraege[Datum Ausgaben],"&gt;="&amp;E$5,tblAuftraege[Datum Ausgaben],"&lt;"&amp;EDATE(E$5,1),tblAuftraege[Auftrag],$A85))</f>
        <v>0</v>
      </c>
      <c r="F85" s="11" t="n">
        <f aca="false">IF($A85="",0,SUMIFS(tblAuftraege[Ausgaben],tblAuftraege[Datum Ausgaben],"&gt;="&amp;F$5,tblAuftraege[Datum Ausgaben],"&lt;"&amp;EDATE(F$5,1),tblAuftraege[Auftrag],$A85))</f>
        <v>0</v>
      </c>
      <c r="G85" s="11" t="n">
        <f aca="false">IF($A85="",0,SUMIFS(tblAuftraege[Ausgaben],tblAuftraege[Datum Ausgaben],"&gt;="&amp;G$5,tblAuftraege[Datum Ausgaben],"&lt;"&amp;EDATE(G$5,1),tblAuftraege[Auftrag],$A85))</f>
        <v>0</v>
      </c>
      <c r="H85" s="11" t="n">
        <f aca="false">IF($A85="",0,SUMIFS(tblAuftraege[Ausgaben],tblAuftraege[Datum Ausgaben],"&gt;="&amp;H$5,tblAuftraege[Datum Ausgaben],"&lt;"&amp;EDATE(H$5,1),tblAuftraege[Auftrag],$A85))</f>
        <v>0</v>
      </c>
      <c r="I85" s="11" t="n">
        <f aca="false">IF($A85="",0,SUMIFS(tblAuftraege[Ausgaben],tblAuftraege[Datum Ausgaben],"&gt;="&amp;I$5,tblAuftraege[Datum Ausgaben],"&lt;"&amp;EDATE(I$5,1),tblAuftraege[Auftrag],$A85))</f>
        <v>0</v>
      </c>
      <c r="J85" s="11" t="n">
        <f aca="false">IF($A85="",0,SUMIFS(tblAuftraege[Ausgaben],tblAuftraege[Datum Ausgaben],"&gt;="&amp;J$5,tblAuftraege[Datum Ausgaben],"&lt;"&amp;EDATE(J$5,1),tblAuftraege[Auftrag],$A85))</f>
        <v>0</v>
      </c>
      <c r="K85" s="11" t="n">
        <f aca="false">IF($A85="",0,SUMIFS(tblAuftraege[Ausgaben],tblAuftraege[Datum Ausgaben],"&gt;="&amp;K$5,tblAuftraege[Datum Ausgaben],"&lt;"&amp;EDATE(K$5,1),tblAuftraege[Auftrag],$A85))</f>
        <v>0</v>
      </c>
      <c r="L85" s="11" t="n">
        <f aca="false">IF($A85="",0,SUMIFS(tblAuftraege[Ausgaben],tblAuftraege[Datum Ausgaben],"&gt;="&amp;L$5,tblAuftraege[Datum Ausgaben],"&lt;"&amp;EDATE(L$5,1),tblAuftraege[Auftrag],$A85))</f>
        <v>0</v>
      </c>
      <c r="M85" s="11" t="n">
        <f aca="false">IF($A85="",0,SUMIFS(tblAuftraege[Ausgaben],tblAuftraege[Datum Ausgaben],"&gt;="&amp;M$5,tblAuftraege[Datum Ausgaben],"&lt;"&amp;EDATE(M$5,1),tblAuftraege[Auftrag],$A85))</f>
        <v>0</v>
      </c>
      <c r="N85" s="11" t="n">
        <f aca="false">IF($A85="",0,SUMIFS(tblAuftraege[Ausgaben],tblAuftraege[Datum Ausgaben],"&gt;="&amp;N$5,tblAuftraege[Datum Ausgaben],"&lt;"&amp;EDATE(N$5,1),tblAuftraege[Auftrag],$A85))</f>
        <v>0</v>
      </c>
      <c r="O85" s="11" t="n">
        <f aca="false">IF($A85="",0,SUMIFS(tblAuftraege[Ausgaben],tblAuftraege[Datum Ausgaben],"&gt;="&amp;O$5,tblAuftraege[Datum Ausgaben],"&lt;"&amp;EDATE(O$5,1),tblAuftraege[Auftrag],$A85))</f>
        <v>0</v>
      </c>
      <c r="P85" s="11" t="n">
        <f aca="false">IF($A85="",0,SUMIFS(tblAuftraege[Ausgaben],tblAuftraege[Datum Ausgaben],"&gt;="&amp;P$5,tblAuftraege[Datum Ausgaben],"&lt;"&amp;EDATE(P$5,1),tblAuftraege[Auftrag],$A85))</f>
        <v>0</v>
      </c>
      <c r="Q85" s="11" t="n">
        <f aca="false">IF($A85="",0,SUMIFS(tblAuftraege[Ausgaben],tblAuftraege[Datum Ausgaben],"&gt;="&amp;Q$5,tblAuftraege[Datum Ausgaben],"&lt;"&amp;EDATE(Q$5,1),tblAuftraege[Auftrag],$A85))</f>
        <v>0</v>
      </c>
      <c r="R85" s="11" t="n">
        <f aca="false">IF($A85="",0,SUMIFS(tblAuftraege[Ausgaben],tblAuftraege[Datum Ausgaben],"&gt;="&amp;R$5,tblAuftraege[Datum Ausgaben],"&lt;"&amp;EDATE(R$5,1),tblAuftraege[Auftrag],$A85))</f>
        <v>0</v>
      </c>
      <c r="S85" s="11" t="n">
        <f aca="false">IF($A85="",0,SUMIFS(tblAuftraege[Ausgaben],tblAuftraege[Datum Ausgaben],"&gt;="&amp;S$5,tblAuftraege[Datum Ausgaben],"&lt;"&amp;EDATE(S$5,1),tblAuftraege[Auftrag],$A85))</f>
        <v>0</v>
      </c>
      <c r="T85" s="11" t="n">
        <f aca="false">IF($A85="",0,SUMIFS(tblAuftraege[Ausgaben],tblAuftraege[Datum Ausgaben],"&gt;="&amp;T$5,tblAuftraege[Datum Ausgaben],"&lt;"&amp;EDATE(T$5,1),tblAuftraege[Auftrag],$A85))</f>
        <v>0</v>
      </c>
      <c r="U85" s="11" t="n">
        <f aca="false">IF($A85="",0,SUMIFS(tblAuftraege[Ausgaben],tblAuftraege[Datum Ausgaben],"&gt;="&amp;U$5,tblAuftraege[Datum Ausgaben],"&lt;"&amp;EDATE(U$5,1),tblAuftraege[Auftrag],$A85))</f>
        <v>0</v>
      </c>
      <c r="V85" s="11" t="n">
        <f aca="false">IF($A85="",0,SUMIFS(tblAuftraege[Ausgaben],tblAuftraege[Datum Ausgaben],"&gt;="&amp;V$5,tblAuftraege[Datum Ausgaben],"&lt;"&amp;EDATE(V$5,1),tblAuftraege[Auftrag],$A85))</f>
        <v>0</v>
      </c>
      <c r="W85" s="11" t="n">
        <f aca="false">SUM(E85:J85)</f>
        <v>0</v>
      </c>
      <c r="X85" s="11" t="n">
        <f aca="false">SUM(K85:V85)</f>
        <v>0</v>
      </c>
      <c r="Y85" s="12" t="n">
        <f aca="false">SUM(E85:V85)</f>
        <v>0</v>
      </c>
    </row>
    <row r="86" customFormat="false" ht="15" hidden="false" customHeight="false" outlineLevel="0" collapsed="false">
      <c r="A86" s="9"/>
      <c r="B86" s="10" t="str">
        <f aca="false">IF($A86="","",IFERROR(INDEX(tblAuftraege[Kostenstelle],MATCH($A86,tblAuftraege[Auftrag],0)),""))</f>
        <v/>
      </c>
      <c r="C86" s="10" t="str">
        <f aca="false">IF($A86="","",IFERROR(INDEX(tblAuftraege[Themenfeld],MATCH($A86,tblAuftraege[Auftrag],0)),""))</f>
        <v/>
      </c>
      <c r="D86" s="10" t="str">
        <f aca="false">IF($A86="","",IFERROR(INDEX(tblAuftraege[Kategorie],MATCH($A86,tblAuftraege[Auftrag],0)),""))</f>
        <v/>
      </c>
      <c r="E86" s="11" t="n">
        <f aca="false">IF($A86="",0,SUMIFS(tblAuftraege[Ausgaben],tblAuftraege[Datum Ausgaben],"&gt;="&amp;E$5,tblAuftraege[Datum Ausgaben],"&lt;"&amp;EDATE(E$5,1),tblAuftraege[Auftrag],$A86))</f>
        <v>0</v>
      </c>
      <c r="F86" s="11" t="n">
        <f aca="false">IF($A86="",0,SUMIFS(tblAuftraege[Ausgaben],tblAuftraege[Datum Ausgaben],"&gt;="&amp;F$5,tblAuftraege[Datum Ausgaben],"&lt;"&amp;EDATE(F$5,1),tblAuftraege[Auftrag],$A86))</f>
        <v>0</v>
      </c>
      <c r="G86" s="11" t="n">
        <f aca="false">IF($A86="",0,SUMIFS(tblAuftraege[Ausgaben],tblAuftraege[Datum Ausgaben],"&gt;="&amp;G$5,tblAuftraege[Datum Ausgaben],"&lt;"&amp;EDATE(G$5,1),tblAuftraege[Auftrag],$A86))</f>
        <v>0</v>
      </c>
      <c r="H86" s="11" t="n">
        <f aca="false">IF($A86="",0,SUMIFS(tblAuftraege[Ausgaben],tblAuftraege[Datum Ausgaben],"&gt;="&amp;H$5,tblAuftraege[Datum Ausgaben],"&lt;"&amp;EDATE(H$5,1),tblAuftraege[Auftrag],$A86))</f>
        <v>0</v>
      </c>
      <c r="I86" s="11" t="n">
        <f aca="false">IF($A86="",0,SUMIFS(tblAuftraege[Ausgaben],tblAuftraege[Datum Ausgaben],"&gt;="&amp;I$5,tblAuftraege[Datum Ausgaben],"&lt;"&amp;EDATE(I$5,1),tblAuftraege[Auftrag],$A86))</f>
        <v>0</v>
      </c>
      <c r="J86" s="11" t="n">
        <f aca="false">IF($A86="",0,SUMIFS(tblAuftraege[Ausgaben],tblAuftraege[Datum Ausgaben],"&gt;="&amp;J$5,tblAuftraege[Datum Ausgaben],"&lt;"&amp;EDATE(J$5,1),tblAuftraege[Auftrag],$A86))</f>
        <v>0</v>
      </c>
      <c r="K86" s="11" t="n">
        <f aca="false">IF($A86="",0,SUMIFS(tblAuftraege[Ausgaben],tblAuftraege[Datum Ausgaben],"&gt;="&amp;K$5,tblAuftraege[Datum Ausgaben],"&lt;"&amp;EDATE(K$5,1),tblAuftraege[Auftrag],$A86))</f>
        <v>0</v>
      </c>
      <c r="L86" s="11" t="n">
        <f aca="false">IF($A86="",0,SUMIFS(tblAuftraege[Ausgaben],tblAuftraege[Datum Ausgaben],"&gt;="&amp;L$5,tblAuftraege[Datum Ausgaben],"&lt;"&amp;EDATE(L$5,1),tblAuftraege[Auftrag],$A86))</f>
        <v>0</v>
      </c>
      <c r="M86" s="11" t="n">
        <f aca="false">IF($A86="",0,SUMIFS(tblAuftraege[Ausgaben],tblAuftraege[Datum Ausgaben],"&gt;="&amp;M$5,tblAuftraege[Datum Ausgaben],"&lt;"&amp;EDATE(M$5,1),tblAuftraege[Auftrag],$A86))</f>
        <v>0</v>
      </c>
      <c r="N86" s="11" t="n">
        <f aca="false">IF($A86="",0,SUMIFS(tblAuftraege[Ausgaben],tblAuftraege[Datum Ausgaben],"&gt;="&amp;N$5,tblAuftraege[Datum Ausgaben],"&lt;"&amp;EDATE(N$5,1),tblAuftraege[Auftrag],$A86))</f>
        <v>0</v>
      </c>
      <c r="O86" s="11" t="n">
        <f aca="false">IF($A86="",0,SUMIFS(tblAuftraege[Ausgaben],tblAuftraege[Datum Ausgaben],"&gt;="&amp;O$5,tblAuftraege[Datum Ausgaben],"&lt;"&amp;EDATE(O$5,1),tblAuftraege[Auftrag],$A86))</f>
        <v>0</v>
      </c>
      <c r="P86" s="11" t="n">
        <f aca="false">IF($A86="",0,SUMIFS(tblAuftraege[Ausgaben],tblAuftraege[Datum Ausgaben],"&gt;="&amp;P$5,tblAuftraege[Datum Ausgaben],"&lt;"&amp;EDATE(P$5,1),tblAuftraege[Auftrag],$A86))</f>
        <v>0</v>
      </c>
      <c r="Q86" s="11" t="n">
        <f aca="false">IF($A86="",0,SUMIFS(tblAuftraege[Ausgaben],tblAuftraege[Datum Ausgaben],"&gt;="&amp;Q$5,tblAuftraege[Datum Ausgaben],"&lt;"&amp;EDATE(Q$5,1),tblAuftraege[Auftrag],$A86))</f>
        <v>0</v>
      </c>
      <c r="R86" s="11" t="n">
        <f aca="false">IF($A86="",0,SUMIFS(tblAuftraege[Ausgaben],tblAuftraege[Datum Ausgaben],"&gt;="&amp;R$5,tblAuftraege[Datum Ausgaben],"&lt;"&amp;EDATE(R$5,1),tblAuftraege[Auftrag],$A86))</f>
        <v>0</v>
      </c>
      <c r="S86" s="11" t="n">
        <f aca="false">IF($A86="",0,SUMIFS(tblAuftraege[Ausgaben],tblAuftraege[Datum Ausgaben],"&gt;="&amp;S$5,tblAuftraege[Datum Ausgaben],"&lt;"&amp;EDATE(S$5,1),tblAuftraege[Auftrag],$A86))</f>
        <v>0</v>
      </c>
      <c r="T86" s="11" t="n">
        <f aca="false">IF($A86="",0,SUMIFS(tblAuftraege[Ausgaben],tblAuftraege[Datum Ausgaben],"&gt;="&amp;T$5,tblAuftraege[Datum Ausgaben],"&lt;"&amp;EDATE(T$5,1),tblAuftraege[Auftrag],$A86))</f>
        <v>0</v>
      </c>
      <c r="U86" s="11" t="n">
        <f aca="false">IF($A86="",0,SUMIFS(tblAuftraege[Ausgaben],tblAuftraege[Datum Ausgaben],"&gt;="&amp;U$5,tblAuftraege[Datum Ausgaben],"&lt;"&amp;EDATE(U$5,1),tblAuftraege[Auftrag],$A86))</f>
        <v>0</v>
      </c>
      <c r="V86" s="11" t="n">
        <f aca="false">IF($A86="",0,SUMIFS(tblAuftraege[Ausgaben],tblAuftraege[Datum Ausgaben],"&gt;="&amp;V$5,tblAuftraege[Datum Ausgaben],"&lt;"&amp;EDATE(V$5,1),tblAuftraege[Auftrag],$A86))</f>
        <v>0</v>
      </c>
      <c r="W86" s="11" t="n">
        <f aca="false">SUM(E86:J86)</f>
        <v>0</v>
      </c>
      <c r="X86" s="11" t="n">
        <f aca="false">SUM(K86:V86)</f>
        <v>0</v>
      </c>
      <c r="Y86" s="12" t="n">
        <f aca="false">SUM(E86:V86)</f>
        <v>0</v>
      </c>
    </row>
    <row r="87" customFormat="false" ht="15" hidden="false" customHeight="false" outlineLevel="0" collapsed="false">
      <c r="A87" s="9"/>
      <c r="B87" s="10" t="str">
        <f aca="false">IF($A87="","",IFERROR(INDEX(tblAuftraege[Kostenstelle],MATCH($A87,tblAuftraege[Auftrag],0)),""))</f>
        <v/>
      </c>
      <c r="C87" s="10" t="str">
        <f aca="false">IF($A87="","",IFERROR(INDEX(tblAuftraege[Themenfeld],MATCH($A87,tblAuftraege[Auftrag],0)),""))</f>
        <v/>
      </c>
      <c r="D87" s="10" t="str">
        <f aca="false">IF($A87="","",IFERROR(INDEX(tblAuftraege[Kategorie],MATCH($A87,tblAuftraege[Auftrag],0)),""))</f>
        <v/>
      </c>
      <c r="E87" s="11" t="n">
        <f aca="false">IF($A87="",0,SUMIFS(tblAuftraege[Ausgaben],tblAuftraege[Datum Ausgaben],"&gt;="&amp;E$5,tblAuftraege[Datum Ausgaben],"&lt;"&amp;EDATE(E$5,1),tblAuftraege[Auftrag],$A87))</f>
        <v>0</v>
      </c>
      <c r="F87" s="11" t="n">
        <f aca="false">IF($A87="",0,SUMIFS(tblAuftraege[Ausgaben],tblAuftraege[Datum Ausgaben],"&gt;="&amp;F$5,tblAuftraege[Datum Ausgaben],"&lt;"&amp;EDATE(F$5,1),tblAuftraege[Auftrag],$A87))</f>
        <v>0</v>
      </c>
      <c r="G87" s="11" t="n">
        <f aca="false">IF($A87="",0,SUMIFS(tblAuftraege[Ausgaben],tblAuftraege[Datum Ausgaben],"&gt;="&amp;G$5,tblAuftraege[Datum Ausgaben],"&lt;"&amp;EDATE(G$5,1),tblAuftraege[Auftrag],$A87))</f>
        <v>0</v>
      </c>
      <c r="H87" s="11" t="n">
        <f aca="false">IF($A87="",0,SUMIFS(tblAuftraege[Ausgaben],tblAuftraege[Datum Ausgaben],"&gt;="&amp;H$5,tblAuftraege[Datum Ausgaben],"&lt;"&amp;EDATE(H$5,1),tblAuftraege[Auftrag],$A87))</f>
        <v>0</v>
      </c>
      <c r="I87" s="11" t="n">
        <f aca="false">IF($A87="",0,SUMIFS(tblAuftraege[Ausgaben],tblAuftraege[Datum Ausgaben],"&gt;="&amp;I$5,tblAuftraege[Datum Ausgaben],"&lt;"&amp;EDATE(I$5,1),tblAuftraege[Auftrag],$A87))</f>
        <v>0</v>
      </c>
      <c r="J87" s="11" t="n">
        <f aca="false">IF($A87="",0,SUMIFS(tblAuftraege[Ausgaben],tblAuftraege[Datum Ausgaben],"&gt;="&amp;J$5,tblAuftraege[Datum Ausgaben],"&lt;"&amp;EDATE(J$5,1),tblAuftraege[Auftrag],$A87))</f>
        <v>0</v>
      </c>
      <c r="K87" s="11" t="n">
        <f aca="false">IF($A87="",0,SUMIFS(tblAuftraege[Ausgaben],tblAuftraege[Datum Ausgaben],"&gt;="&amp;K$5,tblAuftraege[Datum Ausgaben],"&lt;"&amp;EDATE(K$5,1),tblAuftraege[Auftrag],$A87))</f>
        <v>0</v>
      </c>
      <c r="L87" s="11" t="n">
        <f aca="false">IF($A87="",0,SUMIFS(tblAuftraege[Ausgaben],tblAuftraege[Datum Ausgaben],"&gt;="&amp;L$5,tblAuftraege[Datum Ausgaben],"&lt;"&amp;EDATE(L$5,1),tblAuftraege[Auftrag],$A87))</f>
        <v>0</v>
      </c>
      <c r="M87" s="11" t="n">
        <f aca="false">IF($A87="",0,SUMIFS(tblAuftraege[Ausgaben],tblAuftraege[Datum Ausgaben],"&gt;="&amp;M$5,tblAuftraege[Datum Ausgaben],"&lt;"&amp;EDATE(M$5,1),tblAuftraege[Auftrag],$A87))</f>
        <v>0</v>
      </c>
      <c r="N87" s="11" t="n">
        <f aca="false">IF($A87="",0,SUMIFS(tblAuftraege[Ausgaben],tblAuftraege[Datum Ausgaben],"&gt;="&amp;N$5,tblAuftraege[Datum Ausgaben],"&lt;"&amp;EDATE(N$5,1),tblAuftraege[Auftrag],$A87))</f>
        <v>0</v>
      </c>
      <c r="O87" s="11" t="n">
        <f aca="false">IF($A87="",0,SUMIFS(tblAuftraege[Ausgaben],tblAuftraege[Datum Ausgaben],"&gt;="&amp;O$5,tblAuftraege[Datum Ausgaben],"&lt;"&amp;EDATE(O$5,1),tblAuftraege[Auftrag],$A87))</f>
        <v>0</v>
      </c>
      <c r="P87" s="11" t="n">
        <f aca="false">IF($A87="",0,SUMIFS(tblAuftraege[Ausgaben],tblAuftraege[Datum Ausgaben],"&gt;="&amp;P$5,tblAuftraege[Datum Ausgaben],"&lt;"&amp;EDATE(P$5,1),tblAuftraege[Auftrag],$A87))</f>
        <v>0</v>
      </c>
      <c r="Q87" s="11" t="n">
        <f aca="false">IF($A87="",0,SUMIFS(tblAuftraege[Ausgaben],tblAuftraege[Datum Ausgaben],"&gt;="&amp;Q$5,tblAuftraege[Datum Ausgaben],"&lt;"&amp;EDATE(Q$5,1),tblAuftraege[Auftrag],$A87))</f>
        <v>0</v>
      </c>
      <c r="R87" s="11" t="n">
        <f aca="false">IF($A87="",0,SUMIFS(tblAuftraege[Ausgaben],tblAuftraege[Datum Ausgaben],"&gt;="&amp;R$5,tblAuftraege[Datum Ausgaben],"&lt;"&amp;EDATE(R$5,1),tblAuftraege[Auftrag],$A87))</f>
        <v>0</v>
      </c>
      <c r="S87" s="11" t="n">
        <f aca="false">IF($A87="",0,SUMIFS(tblAuftraege[Ausgaben],tblAuftraege[Datum Ausgaben],"&gt;="&amp;S$5,tblAuftraege[Datum Ausgaben],"&lt;"&amp;EDATE(S$5,1),tblAuftraege[Auftrag],$A87))</f>
        <v>0</v>
      </c>
      <c r="T87" s="11" t="n">
        <f aca="false">IF($A87="",0,SUMIFS(tblAuftraege[Ausgaben],tblAuftraege[Datum Ausgaben],"&gt;="&amp;T$5,tblAuftraege[Datum Ausgaben],"&lt;"&amp;EDATE(T$5,1),tblAuftraege[Auftrag],$A87))</f>
        <v>0</v>
      </c>
      <c r="U87" s="11" t="n">
        <f aca="false">IF($A87="",0,SUMIFS(tblAuftraege[Ausgaben],tblAuftraege[Datum Ausgaben],"&gt;="&amp;U$5,tblAuftraege[Datum Ausgaben],"&lt;"&amp;EDATE(U$5,1),tblAuftraege[Auftrag],$A87))</f>
        <v>0</v>
      </c>
      <c r="V87" s="11" t="n">
        <f aca="false">IF($A87="",0,SUMIFS(tblAuftraege[Ausgaben],tblAuftraege[Datum Ausgaben],"&gt;="&amp;V$5,tblAuftraege[Datum Ausgaben],"&lt;"&amp;EDATE(V$5,1),tblAuftraege[Auftrag],$A87))</f>
        <v>0</v>
      </c>
      <c r="W87" s="11" t="n">
        <f aca="false">SUM(E87:J87)</f>
        <v>0</v>
      </c>
      <c r="X87" s="11" t="n">
        <f aca="false">SUM(K87:V87)</f>
        <v>0</v>
      </c>
      <c r="Y87" s="12" t="n">
        <f aca="false">SUM(E87:V87)</f>
        <v>0</v>
      </c>
    </row>
    <row r="88" customFormat="false" ht="15" hidden="false" customHeight="false" outlineLevel="0" collapsed="false">
      <c r="A88" s="9"/>
      <c r="B88" s="10" t="str">
        <f aca="false">IF($A88="","",IFERROR(INDEX(tblAuftraege[Kostenstelle],MATCH($A88,tblAuftraege[Auftrag],0)),""))</f>
        <v/>
      </c>
      <c r="C88" s="10" t="str">
        <f aca="false">IF($A88="","",IFERROR(INDEX(tblAuftraege[Themenfeld],MATCH($A88,tblAuftraege[Auftrag],0)),""))</f>
        <v/>
      </c>
      <c r="D88" s="10" t="str">
        <f aca="false">IF($A88="","",IFERROR(INDEX(tblAuftraege[Kategorie],MATCH($A88,tblAuftraege[Auftrag],0)),""))</f>
        <v/>
      </c>
      <c r="E88" s="11" t="n">
        <f aca="false">IF($A88="",0,SUMIFS(tblAuftraege[Ausgaben],tblAuftraege[Datum Ausgaben],"&gt;="&amp;E$5,tblAuftraege[Datum Ausgaben],"&lt;"&amp;EDATE(E$5,1),tblAuftraege[Auftrag],$A88))</f>
        <v>0</v>
      </c>
      <c r="F88" s="11" t="n">
        <f aca="false">IF($A88="",0,SUMIFS(tblAuftraege[Ausgaben],tblAuftraege[Datum Ausgaben],"&gt;="&amp;F$5,tblAuftraege[Datum Ausgaben],"&lt;"&amp;EDATE(F$5,1),tblAuftraege[Auftrag],$A88))</f>
        <v>0</v>
      </c>
      <c r="G88" s="11" t="n">
        <f aca="false">IF($A88="",0,SUMIFS(tblAuftraege[Ausgaben],tblAuftraege[Datum Ausgaben],"&gt;="&amp;G$5,tblAuftraege[Datum Ausgaben],"&lt;"&amp;EDATE(G$5,1),tblAuftraege[Auftrag],$A88))</f>
        <v>0</v>
      </c>
      <c r="H88" s="11" t="n">
        <f aca="false">IF($A88="",0,SUMIFS(tblAuftraege[Ausgaben],tblAuftraege[Datum Ausgaben],"&gt;="&amp;H$5,tblAuftraege[Datum Ausgaben],"&lt;"&amp;EDATE(H$5,1),tblAuftraege[Auftrag],$A88))</f>
        <v>0</v>
      </c>
      <c r="I88" s="11" t="n">
        <f aca="false">IF($A88="",0,SUMIFS(tblAuftraege[Ausgaben],tblAuftraege[Datum Ausgaben],"&gt;="&amp;I$5,tblAuftraege[Datum Ausgaben],"&lt;"&amp;EDATE(I$5,1),tblAuftraege[Auftrag],$A88))</f>
        <v>0</v>
      </c>
      <c r="J88" s="11" t="n">
        <f aca="false">IF($A88="",0,SUMIFS(tblAuftraege[Ausgaben],tblAuftraege[Datum Ausgaben],"&gt;="&amp;J$5,tblAuftraege[Datum Ausgaben],"&lt;"&amp;EDATE(J$5,1),tblAuftraege[Auftrag],$A88))</f>
        <v>0</v>
      </c>
      <c r="K88" s="11" t="n">
        <f aca="false">IF($A88="",0,SUMIFS(tblAuftraege[Ausgaben],tblAuftraege[Datum Ausgaben],"&gt;="&amp;K$5,tblAuftraege[Datum Ausgaben],"&lt;"&amp;EDATE(K$5,1),tblAuftraege[Auftrag],$A88))</f>
        <v>0</v>
      </c>
      <c r="L88" s="11" t="n">
        <f aca="false">IF($A88="",0,SUMIFS(tblAuftraege[Ausgaben],tblAuftraege[Datum Ausgaben],"&gt;="&amp;L$5,tblAuftraege[Datum Ausgaben],"&lt;"&amp;EDATE(L$5,1),tblAuftraege[Auftrag],$A88))</f>
        <v>0</v>
      </c>
      <c r="M88" s="11" t="n">
        <f aca="false">IF($A88="",0,SUMIFS(tblAuftraege[Ausgaben],tblAuftraege[Datum Ausgaben],"&gt;="&amp;M$5,tblAuftraege[Datum Ausgaben],"&lt;"&amp;EDATE(M$5,1),tblAuftraege[Auftrag],$A88))</f>
        <v>0</v>
      </c>
      <c r="N88" s="11" t="n">
        <f aca="false">IF($A88="",0,SUMIFS(tblAuftraege[Ausgaben],tblAuftraege[Datum Ausgaben],"&gt;="&amp;N$5,tblAuftraege[Datum Ausgaben],"&lt;"&amp;EDATE(N$5,1),tblAuftraege[Auftrag],$A88))</f>
        <v>0</v>
      </c>
      <c r="O88" s="11" t="n">
        <f aca="false">IF($A88="",0,SUMIFS(tblAuftraege[Ausgaben],tblAuftraege[Datum Ausgaben],"&gt;="&amp;O$5,tblAuftraege[Datum Ausgaben],"&lt;"&amp;EDATE(O$5,1),tblAuftraege[Auftrag],$A88))</f>
        <v>0</v>
      </c>
      <c r="P88" s="11" t="n">
        <f aca="false">IF($A88="",0,SUMIFS(tblAuftraege[Ausgaben],tblAuftraege[Datum Ausgaben],"&gt;="&amp;P$5,tblAuftraege[Datum Ausgaben],"&lt;"&amp;EDATE(P$5,1),tblAuftraege[Auftrag],$A88))</f>
        <v>0</v>
      </c>
      <c r="Q88" s="11" t="n">
        <f aca="false">IF($A88="",0,SUMIFS(tblAuftraege[Ausgaben],tblAuftraege[Datum Ausgaben],"&gt;="&amp;Q$5,tblAuftraege[Datum Ausgaben],"&lt;"&amp;EDATE(Q$5,1),tblAuftraege[Auftrag],$A88))</f>
        <v>0</v>
      </c>
      <c r="R88" s="11" t="n">
        <f aca="false">IF($A88="",0,SUMIFS(tblAuftraege[Ausgaben],tblAuftraege[Datum Ausgaben],"&gt;="&amp;R$5,tblAuftraege[Datum Ausgaben],"&lt;"&amp;EDATE(R$5,1),tblAuftraege[Auftrag],$A88))</f>
        <v>0</v>
      </c>
      <c r="S88" s="11" t="n">
        <f aca="false">IF($A88="",0,SUMIFS(tblAuftraege[Ausgaben],tblAuftraege[Datum Ausgaben],"&gt;="&amp;S$5,tblAuftraege[Datum Ausgaben],"&lt;"&amp;EDATE(S$5,1),tblAuftraege[Auftrag],$A88))</f>
        <v>0</v>
      </c>
      <c r="T88" s="11" t="n">
        <f aca="false">IF($A88="",0,SUMIFS(tblAuftraege[Ausgaben],tblAuftraege[Datum Ausgaben],"&gt;="&amp;T$5,tblAuftraege[Datum Ausgaben],"&lt;"&amp;EDATE(T$5,1),tblAuftraege[Auftrag],$A88))</f>
        <v>0</v>
      </c>
      <c r="U88" s="11" t="n">
        <f aca="false">IF($A88="",0,SUMIFS(tblAuftraege[Ausgaben],tblAuftraege[Datum Ausgaben],"&gt;="&amp;U$5,tblAuftraege[Datum Ausgaben],"&lt;"&amp;EDATE(U$5,1),tblAuftraege[Auftrag],$A88))</f>
        <v>0</v>
      </c>
      <c r="V88" s="11" t="n">
        <f aca="false">IF($A88="",0,SUMIFS(tblAuftraege[Ausgaben],tblAuftraege[Datum Ausgaben],"&gt;="&amp;V$5,tblAuftraege[Datum Ausgaben],"&lt;"&amp;EDATE(V$5,1),tblAuftraege[Auftrag],$A88))</f>
        <v>0</v>
      </c>
      <c r="W88" s="11" t="n">
        <f aca="false">SUM(E88:J88)</f>
        <v>0</v>
      </c>
      <c r="X88" s="11" t="n">
        <f aca="false">SUM(K88:V88)</f>
        <v>0</v>
      </c>
      <c r="Y88" s="12" t="n">
        <f aca="false">SUM(E88:V88)</f>
        <v>0</v>
      </c>
    </row>
    <row r="89" customFormat="false" ht="15" hidden="false" customHeight="false" outlineLevel="0" collapsed="false">
      <c r="A89" s="9"/>
      <c r="B89" s="10" t="str">
        <f aca="false">IF($A89="","",IFERROR(INDEX(tblAuftraege[Kostenstelle],MATCH($A89,tblAuftraege[Auftrag],0)),""))</f>
        <v/>
      </c>
      <c r="C89" s="10" t="str">
        <f aca="false">IF($A89="","",IFERROR(INDEX(tblAuftraege[Themenfeld],MATCH($A89,tblAuftraege[Auftrag],0)),""))</f>
        <v/>
      </c>
      <c r="D89" s="10" t="str">
        <f aca="false">IF($A89="","",IFERROR(INDEX(tblAuftraege[Kategorie],MATCH($A89,tblAuftraege[Auftrag],0)),""))</f>
        <v/>
      </c>
      <c r="E89" s="11" t="n">
        <f aca="false">IF($A89="",0,SUMIFS(tblAuftraege[Ausgaben],tblAuftraege[Datum Ausgaben],"&gt;="&amp;E$5,tblAuftraege[Datum Ausgaben],"&lt;"&amp;EDATE(E$5,1),tblAuftraege[Auftrag],$A89))</f>
        <v>0</v>
      </c>
      <c r="F89" s="11" t="n">
        <f aca="false">IF($A89="",0,SUMIFS(tblAuftraege[Ausgaben],tblAuftraege[Datum Ausgaben],"&gt;="&amp;F$5,tblAuftraege[Datum Ausgaben],"&lt;"&amp;EDATE(F$5,1),tblAuftraege[Auftrag],$A89))</f>
        <v>0</v>
      </c>
      <c r="G89" s="11" t="n">
        <f aca="false">IF($A89="",0,SUMIFS(tblAuftraege[Ausgaben],tblAuftraege[Datum Ausgaben],"&gt;="&amp;G$5,tblAuftraege[Datum Ausgaben],"&lt;"&amp;EDATE(G$5,1),tblAuftraege[Auftrag],$A89))</f>
        <v>0</v>
      </c>
      <c r="H89" s="11" t="n">
        <f aca="false">IF($A89="",0,SUMIFS(tblAuftraege[Ausgaben],tblAuftraege[Datum Ausgaben],"&gt;="&amp;H$5,tblAuftraege[Datum Ausgaben],"&lt;"&amp;EDATE(H$5,1),tblAuftraege[Auftrag],$A89))</f>
        <v>0</v>
      </c>
      <c r="I89" s="11" t="n">
        <f aca="false">IF($A89="",0,SUMIFS(tblAuftraege[Ausgaben],tblAuftraege[Datum Ausgaben],"&gt;="&amp;I$5,tblAuftraege[Datum Ausgaben],"&lt;"&amp;EDATE(I$5,1),tblAuftraege[Auftrag],$A89))</f>
        <v>0</v>
      </c>
      <c r="J89" s="11" t="n">
        <f aca="false">IF($A89="",0,SUMIFS(tblAuftraege[Ausgaben],tblAuftraege[Datum Ausgaben],"&gt;="&amp;J$5,tblAuftraege[Datum Ausgaben],"&lt;"&amp;EDATE(J$5,1),tblAuftraege[Auftrag],$A89))</f>
        <v>0</v>
      </c>
      <c r="K89" s="11" t="n">
        <f aca="false">IF($A89="",0,SUMIFS(tblAuftraege[Ausgaben],tblAuftraege[Datum Ausgaben],"&gt;="&amp;K$5,tblAuftraege[Datum Ausgaben],"&lt;"&amp;EDATE(K$5,1),tblAuftraege[Auftrag],$A89))</f>
        <v>0</v>
      </c>
      <c r="L89" s="11" t="n">
        <f aca="false">IF($A89="",0,SUMIFS(tblAuftraege[Ausgaben],tblAuftraege[Datum Ausgaben],"&gt;="&amp;L$5,tblAuftraege[Datum Ausgaben],"&lt;"&amp;EDATE(L$5,1),tblAuftraege[Auftrag],$A89))</f>
        <v>0</v>
      </c>
      <c r="M89" s="11" t="n">
        <f aca="false">IF($A89="",0,SUMIFS(tblAuftraege[Ausgaben],tblAuftraege[Datum Ausgaben],"&gt;="&amp;M$5,tblAuftraege[Datum Ausgaben],"&lt;"&amp;EDATE(M$5,1),tblAuftraege[Auftrag],$A89))</f>
        <v>0</v>
      </c>
      <c r="N89" s="11" t="n">
        <f aca="false">IF($A89="",0,SUMIFS(tblAuftraege[Ausgaben],tblAuftraege[Datum Ausgaben],"&gt;="&amp;N$5,tblAuftraege[Datum Ausgaben],"&lt;"&amp;EDATE(N$5,1),tblAuftraege[Auftrag],$A89))</f>
        <v>0</v>
      </c>
      <c r="O89" s="11" t="n">
        <f aca="false">IF($A89="",0,SUMIFS(tblAuftraege[Ausgaben],tblAuftraege[Datum Ausgaben],"&gt;="&amp;O$5,tblAuftraege[Datum Ausgaben],"&lt;"&amp;EDATE(O$5,1),tblAuftraege[Auftrag],$A89))</f>
        <v>0</v>
      </c>
      <c r="P89" s="11" t="n">
        <f aca="false">IF($A89="",0,SUMIFS(tblAuftraege[Ausgaben],tblAuftraege[Datum Ausgaben],"&gt;="&amp;P$5,tblAuftraege[Datum Ausgaben],"&lt;"&amp;EDATE(P$5,1),tblAuftraege[Auftrag],$A89))</f>
        <v>0</v>
      </c>
      <c r="Q89" s="11" t="n">
        <f aca="false">IF($A89="",0,SUMIFS(tblAuftraege[Ausgaben],tblAuftraege[Datum Ausgaben],"&gt;="&amp;Q$5,tblAuftraege[Datum Ausgaben],"&lt;"&amp;EDATE(Q$5,1),tblAuftraege[Auftrag],$A89))</f>
        <v>0</v>
      </c>
      <c r="R89" s="11" t="n">
        <f aca="false">IF($A89="",0,SUMIFS(tblAuftraege[Ausgaben],tblAuftraege[Datum Ausgaben],"&gt;="&amp;R$5,tblAuftraege[Datum Ausgaben],"&lt;"&amp;EDATE(R$5,1),tblAuftraege[Auftrag],$A89))</f>
        <v>0</v>
      </c>
      <c r="S89" s="11" t="n">
        <f aca="false">IF($A89="",0,SUMIFS(tblAuftraege[Ausgaben],tblAuftraege[Datum Ausgaben],"&gt;="&amp;S$5,tblAuftraege[Datum Ausgaben],"&lt;"&amp;EDATE(S$5,1),tblAuftraege[Auftrag],$A89))</f>
        <v>0</v>
      </c>
      <c r="T89" s="11" t="n">
        <f aca="false">IF($A89="",0,SUMIFS(tblAuftraege[Ausgaben],tblAuftraege[Datum Ausgaben],"&gt;="&amp;T$5,tblAuftraege[Datum Ausgaben],"&lt;"&amp;EDATE(T$5,1),tblAuftraege[Auftrag],$A89))</f>
        <v>0</v>
      </c>
      <c r="U89" s="11" t="n">
        <f aca="false">IF($A89="",0,SUMIFS(tblAuftraege[Ausgaben],tblAuftraege[Datum Ausgaben],"&gt;="&amp;U$5,tblAuftraege[Datum Ausgaben],"&lt;"&amp;EDATE(U$5,1),tblAuftraege[Auftrag],$A89))</f>
        <v>0</v>
      </c>
      <c r="V89" s="11" t="n">
        <f aca="false">IF($A89="",0,SUMIFS(tblAuftraege[Ausgaben],tblAuftraege[Datum Ausgaben],"&gt;="&amp;V$5,tblAuftraege[Datum Ausgaben],"&lt;"&amp;EDATE(V$5,1),tblAuftraege[Auftrag],$A89))</f>
        <v>0</v>
      </c>
      <c r="W89" s="11" t="n">
        <f aca="false">SUM(E89:J89)</f>
        <v>0</v>
      </c>
      <c r="X89" s="11" t="n">
        <f aca="false">SUM(K89:V89)</f>
        <v>0</v>
      </c>
      <c r="Y89" s="12" t="n">
        <f aca="false">SUM(E89:V89)</f>
        <v>0</v>
      </c>
    </row>
    <row r="90" customFormat="false" ht="15" hidden="false" customHeight="false" outlineLevel="0" collapsed="false">
      <c r="A90" s="9"/>
      <c r="B90" s="10" t="str">
        <f aca="false">IF($A90="","",IFERROR(INDEX(tblAuftraege[Kostenstelle],MATCH($A90,tblAuftraege[Auftrag],0)),""))</f>
        <v/>
      </c>
      <c r="C90" s="10" t="str">
        <f aca="false">IF($A90="","",IFERROR(INDEX(tblAuftraege[Themenfeld],MATCH($A90,tblAuftraege[Auftrag],0)),""))</f>
        <v/>
      </c>
      <c r="D90" s="10" t="str">
        <f aca="false">IF($A90="","",IFERROR(INDEX(tblAuftraege[Kategorie],MATCH($A90,tblAuftraege[Auftrag],0)),""))</f>
        <v/>
      </c>
      <c r="E90" s="11" t="n">
        <f aca="false">IF($A90="",0,SUMIFS(tblAuftraege[Ausgaben],tblAuftraege[Datum Ausgaben],"&gt;="&amp;E$5,tblAuftraege[Datum Ausgaben],"&lt;"&amp;EDATE(E$5,1),tblAuftraege[Auftrag],$A90))</f>
        <v>0</v>
      </c>
      <c r="F90" s="11" t="n">
        <f aca="false">IF($A90="",0,SUMIFS(tblAuftraege[Ausgaben],tblAuftraege[Datum Ausgaben],"&gt;="&amp;F$5,tblAuftraege[Datum Ausgaben],"&lt;"&amp;EDATE(F$5,1),tblAuftraege[Auftrag],$A90))</f>
        <v>0</v>
      </c>
      <c r="G90" s="11" t="n">
        <f aca="false">IF($A90="",0,SUMIFS(tblAuftraege[Ausgaben],tblAuftraege[Datum Ausgaben],"&gt;="&amp;G$5,tblAuftraege[Datum Ausgaben],"&lt;"&amp;EDATE(G$5,1),tblAuftraege[Auftrag],$A90))</f>
        <v>0</v>
      </c>
      <c r="H90" s="11" t="n">
        <f aca="false">IF($A90="",0,SUMIFS(tblAuftraege[Ausgaben],tblAuftraege[Datum Ausgaben],"&gt;="&amp;H$5,tblAuftraege[Datum Ausgaben],"&lt;"&amp;EDATE(H$5,1),tblAuftraege[Auftrag],$A90))</f>
        <v>0</v>
      </c>
      <c r="I90" s="11" t="n">
        <f aca="false">IF($A90="",0,SUMIFS(tblAuftraege[Ausgaben],tblAuftraege[Datum Ausgaben],"&gt;="&amp;I$5,tblAuftraege[Datum Ausgaben],"&lt;"&amp;EDATE(I$5,1),tblAuftraege[Auftrag],$A90))</f>
        <v>0</v>
      </c>
      <c r="J90" s="11" t="n">
        <f aca="false">IF($A90="",0,SUMIFS(tblAuftraege[Ausgaben],tblAuftraege[Datum Ausgaben],"&gt;="&amp;J$5,tblAuftraege[Datum Ausgaben],"&lt;"&amp;EDATE(J$5,1),tblAuftraege[Auftrag],$A90))</f>
        <v>0</v>
      </c>
      <c r="K90" s="11" t="n">
        <f aca="false">IF($A90="",0,SUMIFS(tblAuftraege[Ausgaben],tblAuftraege[Datum Ausgaben],"&gt;="&amp;K$5,tblAuftraege[Datum Ausgaben],"&lt;"&amp;EDATE(K$5,1),tblAuftraege[Auftrag],$A90))</f>
        <v>0</v>
      </c>
      <c r="L90" s="11" t="n">
        <f aca="false">IF($A90="",0,SUMIFS(tblAuftraege[Ausgaben],tblAuftraege[Datum Ausgaben],"&gt;="&amp;L$5,tblAuftraege[Datum Ausgaben],"&lt;"&amp;EDATE(L$5,1),tblAuftraege[Auftrag],$A90))</f>
        <v>0</v>
      </c>
      <c r="M90" s="11" t="n">
        <f aca="false">IF($A90="",0,SUMIFS(tblAuftraege[Ausgaben],tblAuftraege[Datum Ausgaben],"&gt;="&amp;M$5,tblAuftraege[Datum Ausgaben],"&lt;"&amp;EDATE(M$5,1),tblAuftraege[Auftrag],$A90))</f>
        <v>0</v>
      </c>
      <c r="N90" s="11" t="n">
        <f aca="false">IF($A90="",0,SUMIFS(tblAuftraege[Ausgaben],tblAuftraege[Datum Ausgaben],"&gt;="&amp;N$5,tblAuftraege[Datum Ausgaben],"&lt;"&amp;EDATE(N$5,1),tblAuftraege[Auftrag],$A90))</f>
        <v>0</v>
      </c>
      <c r="O90" s="11" t="n">
        <f aca="false">IF($A90="",0,SUMIFS(tblAuftraege[Ausgaben],tblAuftraege[Datum Ausgaben],"&gt;="&amp;O$5,tblAuftraege[Datum Ausgaben],"&lt;"&amp;EDATE(O$5,1),tblAuftraege[Auftrag],$A90))</f>
        <v>0</v>
      </c>
      <c r="P90" s="11" t="n">
        <f aca="false">IF($A90="",0,SUMIFS(tblAuftraege[Ausgaben],tblAuftraege[Datum Ausgaben],"&gt;="&amp;P$5,tblAuftraege[Datum Ausgaben],"&lt;"&amp;EDATE(P$5,1),tblAuftraege[Auftrag],$A90))</f>
        <v>0</v>
      </c>
      <c r="Q90" s="11" t="n">
        <f aca="false">IF($A90="",0,SUMIFS(tblAuftraege[Ausgaben],tblAuftraege[Datum Ausgaben],"&gt;="&amp;Q$5,tblAuftraege[Datum Ausgaben],"&lt;"&amp;EDATE(Q$5,1),tblAuftraege[Auftrag],$A90))</f>
        <v>0</v>
      </c>
      <c r="R90" s="11" t="n">
        <f aca="false">IF($A90="",0,SUMIFS(tblAuftraege[Ausgaben],tblAuftraege[Datum Ausgaben],"&gt;="&amp;R$5,tblAuftraege[Datum Ausgaben],"&lt;"&amp;EDATE(R$5,1),tblAuftraege[Auftrag],$A90))</f>
        <v>0</v>
      </c>
      <c r="S90" s="11" t="n">
        <f aca="false">IF($A90="",0,SUMIFS(tblAuftraege[Ausgaben],tblAuftraege[Datum Ausgaben],"&gt;="&amp;S$5,tblAuftraege[Datum Ausgaben],"&lt;"&amp;EDATE(S$5,1),tblAuftraege[Auftrag],$A90))</f>
        <v>0</v>
      </c>
      <c r="T90" s="11" t="n">
        <f aca="false">IF($A90="",0,SUMIFS(tblAuftraege[Ausgaben],tblAuftraege[Datum Ausgaben],"&gt;="&amp;T$5,tblAuftraege[Datum Ausgaben],"&lt;"&amp;EDATE(T$5,1),tblAuftraege[Auftrag],$A90))</f>
        <v>0</v>
      </c>
      <c r="U90" s="11" t="n">
        <f aca="false">IF($A90="",0,SUMIFS(tblAuftraege[Ausgaben],tblAuftraege[Datum Ausgaben],"&gt;="&amp;U$5,tblAuftraege[Datum Ausgaben],"&lt;"&amp;EDATE(U$5,1),tblAuftraege[Auftrag],$A90))</f>
        <v>0</v>
      </c>
      <c r="V90" s="11" t="n">
        <f aca="false">IF($A90="",0,SUMIFS(tblAuftraege[Ausgaben],tblAuftraege[Datum Ausgaben],"&gt;="&amp;V$5,tblAuftraege[Datum Ausgaben],"&lt;"&amp;EDATE(V$5,1),tblAuftraege[Auftrag],$A90))</f>
        <v>0</v>
      </c>
      <c r="W90" s="11" t="n">
        <f aca="false">SUM(E90:J90)</f>
        <v>0</v>
      </c>
      <c r="X90" s="11" t="n">
        <f aca="false">SUM(K90:V90)</f>
        <v>0</v>
      </c>
      <c r="Y90" s="12" t="n">
        <f aca="false">SUM(E90:V90)</f>
        <v>0</v>
      </c>
    </row>
    <row r="91" customFormat="false" ht="15" hidden="false" customHeight="false" outlineLevel="0" collapsed="false">
      <c r="A91" s="9"/>
      <c r="B91" s="10" t="str">
        <f aca="false">IF($A91="","",IFERROR(INDEX(tblAuftraege[Kostenstelle],MATCH($A91,tblAuftraege[Auftrag],0)),""))</f>
        <v/>
      </c>
      <c r="C91" s="10" t="str">
        <f aca="false">IF($A91="","",IFERROR(INDEX(tblAuftraege[Themenfeld],MATCH($A91,tblAuftraege[Auftrag],0)),""))</f>
        <v/>
      </c>
      <c r="D91" s="10" t="str">
        <f aca="false">IF($A91="","",IFERROR(INDEX(tblAuftraege[Kategorie],MATCH($A91,tblAuftraege[Auftrag],0)),""))</f>
        <v/>
      </c>
      <c r="E91" s="11" t="n">
        <f aca="false">IF($A91="",0,SUMIFS(tblAuftraege[Ausgaben],tblAuftraege[Datum Ausgaben],"&gt;="&amp;E$5,tblAuftraege[Datum Ausgaben],"&lt;"&amp;EDATE(E$5,1),tblAuftraege[Auftrag],$A91))</f>
        <v>0</v>
      </c>
      <c r="F91" s="11" t="n">
        <f aca="false">IF($A91="",0,SUMIFS(tblAuftraege[Ausgaben],tblAuftraege[Datum Ausgaben],"&gt;="&amp;F$5,tblAuftraege[Datum Ausgaben],"&lt;"&amp;EDATE(F$5,1),tblAuftraege[Auftrag],$A91))</f>
        <v>0</v>
      </c>
      <c r="G91" s="11" t="n">
        <f aca="false">IF($A91="",0,SUMIFS(tblAuftraege[Ausgaben],tblAuftraege[Datum Ausgaben],"&gt;="&amp;G$5,tblAuftraege[Datum Ausgaben],"&lt;"&amp;EDATE(G$5,1),tblAuftraege[Auftrag],$A91))</f>
        <v>0</v>
      </c>
      <c r="H91" s="11" t="n">
        <f aca="false">IF($A91="",0,SUMIFS(tblAuftraege[Ausgaben],tblAuftraege[Datum Ausgaben],"&gt;="&amp;H$5,tblAuftraege[Datum Ausgaben],"&lt;"&amp;EDATE(H$5,1),tblAuftraege[Auftrag],$A91))</f>
        <v>0</v>
      </c>
      <c r="I91" s="11" t="n">
        <f aca="false">IF($A91="",0,SUMIFS(tblAuftraege[Ausgaben],tblAuftraege[Datum Ausgaben],"&gt;="&amp;I$5,tblAuftraege[Datum Ausgaben],"&lt;"&amp;EDATE(I$5,1),tblAuftraege[Auftrag],$A91))</f>
        <v>0</v>
      </c>
      <c r="J91" s="11" t="n">
        <f aca="false">IF($A91="",0,SUMIFS(tblAuftraege[Ausgaben],tblAuftraege[Datum Ausgaben],"&gt;="&amp;J$5,tblAuftraege[Datum Ausgaben],"&lt;"&amp;EDATE(J$5,1),tblAuftraege[Auftrag],$A91))</f>
        <v>0</v>
      </c>
      <c r="K91" s="11" t="n">
        <f aca="false">IF($A91="",0,SUMIFS(tblAuftraege[Ausgaben],tblAuftraege[Datum Ausgaben],"&gt;="&amp;K$5,tblAuftraege[Datum Ausgaben],"&lt;"&amp;EDATE(K$5,1),tblAuftraege[Auftrag],$A91))</f>
        <v>0</v>
      </c>
      <c r="L91" s="11" t="n">
        <f aca="false">IF($A91="",0,SUMIFS(tblAuftraege[Ausgaben],tblAuftraege[Datum Ausgaben],"&gt;="&amp;L$5,tblAuftraege[Datum Ausgaben],"&lt;"&amp;EDATE(L$5,1),tblAuftraege[Auftrag],$A91))</f>
        <v>0</v>
      </c>
      <c r="M91" s="11" t="n">
        <f aca="false">IF($A91="",0,SUMIFS(tblAuftraege[Ausgaben],tblAuftraege[Datum Ausgaben],"&gt;="&amp;M$5,tblAuftraege[Datum Ausgaben],"&lt;"&amp;EDATE(M$5,1),tblAuftraege[Auftrag],$A91))</f>
        <v>0</v>
      </c>
      <c r="N91" s="11" t="n">
        <f aca="false">IF($A91="",0,SUMIFS(tblAuftraege[Ausgaben],tblAuftraege[Datum Ausgaben],"&gt;="&amp;N$5,tblAuftraege[Datum Ausgaben],"&lt;"&amp;EDATE(N$5,1),tblAuftraege[Auftrag],$A91))</f>
        <v>0</v>
      </c>
      <c r="O91" s="11" t="n">
        <f aca="false">IF($A91="",0,SUMIFS(tblAuftraege[Ausgaben],tblAuftraege[Datum Ausgaben],"&gt;="&amp;O$5,tblAuftraege[Datum Ausgaben],"&lt;"&amp;EDATE(O$5,1),tblAuftraege[Auftrag],$A91))</f>
        <v>0</v>
      </c>
      <c r="P91" s="11" t="n">
        <f aca="false">IF($A91="",0,SUMIFS(tblAuftraege[Ausgaben],tblAuftraege[Datum Ausgaben],"&gt;="&amp;P$5,tblAuftraege[Datum Ausgaben],"&lt;"&amp;EDATE(P$5,1),tblAuftraege[Auftrag],$A91))</f>
        <v>0</v>
      </c>
      <c r="Q91" s="11" t="n">
        <f aca="false">IF($A91="",0,SUMIFS(tblAuftraege[Ausgaben],tblAuftraege[Datum Ausgaben],"&gt;="&amp;Q$5,tblAuftraege[Datum Ausgaben],"&lt;"&amp;EDATE(Q$5,1),tblAuftraege[Auftrag],$A91))</f>
        <v>0</v>
      </c>
      <c r="R91" s="11" t="n">
        <f aca="false">IF($A91="",0,SUMIFS(tblAuftraege[Ausgaben],tblAuftraege[Datum Ausgaben],"&gt;="&amp;R$5,tblAuftraege[Datum Ausgaben],"&lt;"&amp;EDATE(R$5,1),tblAuftraege[Auftrag],$A91))</f>
        <v>0</v>
      </c>
      <c r="S91" s="11" t="n">
        <f aca="false">IF($A91="",0,SUMIFS(tblAuftraege[Ausgaben],tblAuftraege[Datum Ausgaben],"&gt;="&amp;S$5,tblAuftraege[Datum Ausgaben],"&lt;"&amp;EDATE(S$5,1),tblAuftraege[Auftrag],$A91))</f>
        <v>0</v>
      </c>
      <c r="T91" s="11" t="n">
        <f aca="false">IF($A91="",0,SUMIFS(tblAuftraege[Ausgaben],tblAuftraege[Datum Ausgaben],"&gt;="&amp;T$5,tblAuftraege[Datum Ausgaben],"&lt;"&amp;EDATE(T$5,1),tblAuftraege[Auftrag],$A91))</f>
        <v>0</v>
      </c>
      <c r="U91" s="11" t="n">
        <f aca="false">IF($A91="",0,SUMIFS(tblAuftraege[Ausgaben],tblAuftraege[Datum Ausgaben],"&gt;="&amp;U$5,tblAuftraege[Datum Ausgaben],"&lt;"&amp;EDATE(U$5,1),tblAuftraege[Auftrag],$A91))</f>
        <v>0</v>
      </c>
      <c r="V91" s="11" t="n">
        <f aca="false">IF($A91="",0,SUMIFS(tblAuftraege[Ausgaben],tblAuftraege[Datum Ausgaben],"&gt;="&amp;V$5,tblAuftraege[Datum Ausgaben],"&lt;"&amp;EDATE(V$5,1),tblAuftraege[Auftrag],$A91))</f>
        <v>0</v>
      </c>
      <c r="W91" s="11" t="n">
        <f aca="false">SUM(E91:J91)</f>
        <v>0</v>
      </c>
      <c r="X91" s="11" t="n">
        <f aca="false">SUM(K91:V91)</f>
        <v>0</v>
      </c>
      <c r="Y91" s="12" t="n">
        <f aca="false">SUM(E91:V91)</f>
        <v>0</v>
      </c>
    </row>
    <row r="92" customFormat="false" ht="15" hidden="false" customHeight="false" outlineLevel="0" collapsed="false">
      <c r="A92" s="9"/>
      <c r="B92" s="10" t="str">
        <f aca="false">IF($A92="","",IFERROR(INDEX(tblAuftraege[Kostenstelle],MATCH($A92,tblAuftraege[Auftrag],0)),""))</f>
        <v/>
      </c>
      <c r="C92" s="10" t="str">
        <f aca="false">IF($A92="","",IFERROR(INDEX(tblAuftraege[Themenfeld],MATCH($A92,tblAuftraege[Auftrag],0)),""))</f>
        <v/>
      </c>
      <c r="D92" s="10" t="str">
        <f aca="false">IF($A92="","",IFERROR(INDEX(tblAuftraege[Kategorie],MATCH($A92,tblAuftraege[Auftrag],0)),""))</f>
        <v/>
      </c>
      <c r="E92" s="11" t="n">
        <f aca="false">IF($A92="",0,SUMIFS(tblAuftraege[Ausgaben],tblAuftraege[Datum Ausgaben],"&gt;="&amp;E$5,tblAuftraege[Datum Ausgaben],"&lt;"&amp;EDATE(E$5,1),tblAuftraege[Auftrag],$A92))</f>
        <v>0</v>
      </c>
      <c r="F92" s="11" t="n">
        <f aca="false">IF($A92="",0,SUMIFS(tblAuftraege[Ausgaben],tblAuftraege[Datum Ausgaben],"&gt;="&amp;F$5,tblAuftraege[Datum Ausgaben],"&lt;"&amp;EDATE(F$5,1),tblAuftraege[Auftrag],$A92))</f>
        <v>0</v>
      </c>
      <c r="G92" s="11" t="n">
        <f aca="false">IF($A92="",0,SUMIFS(tblAuftraege[Ausgaben],tblAuftraege[Datum Ausgaben],"&gt;="&amp;G$5,tblAuftraege[Datum Ausgaben],"&lt;"&amp;EDATE(G$5,1),tblAuftraege[Auftrag],$A92))</f>
        <v>0</v>
      </c>
      <c r="H92" s="11" t="n">
        <f aca="false">IF($A92="",0,SUMIFS(tblAuftraege[Ausgaben],tblAuftraege[Datum Ausgaben],"&gt;="&amp;H$5,tblAuftraege[Datum Ausgaben],"&lt;"&amp;EDATE(H$5,1),tblAuftraege[Auftrag],$A92))</f>
        <v>0</v>
      </c>
      <c r="I92" s="11" t="n">
        <f aca="false">IF($A92="",0,SUMIFS(tblAuftraege[Ausgaben],tblAuftraege[Datum Ausgaben],"&gt;="&amp;I$5,tblAuftraege[Datum Ausgaben],"&lt;"&amp;EDATE(I$5,1),tblAuftraege[Auftrag],$A92))</f>
        <v>0</v>
      </c>
      <c r="J92" s="11" t="n">
        <f aca="false">IF($A92="",0,SUMIFS(tblAuftraege[Ausgaben],tblAuftraege[Datum Ausgaben],"&gt;="&amp;J$5,tblAuftraege[Datum Ausgaben],"&lt;"&amp;EDATE(J$5,1),tblAuftraege[Auftrag],$A92))</f>
        <v>0</v>
      </c>
      <c r="K92" s="11" t="n">
        <f aca="false">IF($A92="",0,SUMIFS(tblAuftraege[Ausgaben],tblAuftraege[Datum Ausgaben],"&gt;="&amp;K$5,tblAuftraege[Datum Ausgaben],"&lt;"&amp;EDATE(K$5,1),tblAuftraege[Auftrag],$A92))</f>
        <v>0</v>
      </c>
      <c r="L92" s="11" t="n">
        <f aca="false">IF($A92="",0,SUMIFS(tblAuftraege[Ausgaben],tblAuftraege[Datum Ausgaben],"&gt;="&amp;L$5,tblAuftraege[Datum Ausgaben],"&lt;"&amp;EDATE(L$5,1),tblAuftraege[Auftrag],$A92))</f>
        <v>0</v>
      </c>
      <c r="M92" s="11" t="n">
        <f aca="false">IF($A92="",0,SUMIFS(tblAuftraege[Ausgaben],tblAuftraege[Datum Ausgaben],"&gt;="&amp;M$5,tblAuftraege[Datum Ausgaben],"&lt;"&amp;EDATE(M$5,1),tblAuftraege[Auftrag],$A92))</f>
        <v>0</v>
      </c>
      <c r="N92" s="11" t="n">
        <f aca="false">IF($A92="",0,SUMIFS(tblAuftraege[Ausgaben],tblAuftraege[Datum Ausgaben],"&gt;="&amp;N$5,tblAuftraege[Datum Ausgaben],"&lt;"&amp;EDATE(N$5,1),tblAuftraege[Auftrag],$A92))</f>
        <v>0</v>
      </c>
      <c r="O92" s="11" t="n">
        <f aca="false">IF($A92="",0,SUMIFS(tblAuftraege[Ausgaben],tblAuftraege[Datum Ausgaben],"&gt;="&amp;O$5,tblAuftraege[Datum Ausgaben],"&lt;"&amp;EDATE(O$5,1),tblAuftraege[Auftrag],$A92))</f>
        <v>0</v>
      </c>
      <c r="P92" s="11" t="n">
        <f aca="false">IF($A92="",0,SUMIFS(tblAuftraege[Ausgaben],tblAuftraege[Datum Ausgaben],"&gt;="&amp;P$5,tblAuftraege[Datum Ausgaben],"&lt;"&amp;EDATE(P$5,1),tblAuftraege[Auftrag],$A92))</f>
        <v>0</v>
      </c>
      <c r="Q92" s="11" t="n">
        <f aca="false">IF($A92="",0,SUMIFS(tblAuftraege[Ausgaben],tblAuftraege[Datum Ausgaben],"&gt;="&amp;Q$5,tblAuftraege[Datum Ausgaben],"&lt;"&amp;EDATE(Q$5,1),tblAuftraege[Auftrag],$A92))</f>
        <v>0</v>
      </c>
      <c r="R92" s="11" t="n">
        <f aca="false">IF($A92="",0,SUMIFS(tblAuftraege[Ausgaben],tblAuftraege[Datum Ausgaben],"&gt;="&amp;R$5,tblAuftraege[Datum Ausgaben],"&lt;"&amp;EDATE(R$5,1),tblAuftraege[Auftrag],$A92))</f>
        <v>0</v>
      </c>
      <c r="S92" s="11" t="n">
        <f aca="false">IF($A92="",0,SUMIFS(tblAuftraege[Ausgaben],tblAuftraege[Datum Ausgaben],"&gt;="&amp;S$5,tblAuftraege[Datum Ausgaben],"&lt;"&amp;EDATE(S$5,1),tblAuftraege[Auftrag],$A92))</f>
        <v>0</v>
      </c>
      <c r="T92" s="11" t="n">
        <f aca="false">IF($A92="",0,SUMIFS(tblAuftraege[Ausgaben],tblAuftraege[Datum Ausgaben],"&gt;="&amp;T$5,tblAuftraege[Datum Ausgaben],"&lt;"&amp;EDATE(T$5,1),tblAuftraege[Auftrag],$A92))</f>
        <v>0</v>
      </c>
      <c r="U92" s="11" t="n">
        <f aca="false">IF($A92="",0,SUMIFS(tblAuftraege[Ausgaben],tblAuftraege[Datum Ausgaben],"&gt;="&amp;U$5,tblAuftraege[Datum Ausgaben],"&lt;"&amp;EDATE(U$5,1),tblAuftraege[Auftrag],$A92))</f>
        <v>0</v>
      </c>
      <c r="V92" s="11" t="n">
        <f aca="false">IF($A92="",0,SUMIFS(tblAuftraege[Ausgaben],tblAuftraege[Datum Ausgaben],"&gt;="&amp;V$5,tblAuftraege[Datum Ausgaben],"&lt;"&amp;EDATE(V$5,1),tblAuftraege[Auftrag],$A92))</f>
        <v>0</v>
      </c>
      <c r="W92" s="11" t="n">
        <f aca="false">SUM(E92:J92)</f>
        <v>0</v>
      </c>
      <c r="X92" s="11" t="n">
        <f aca="false">SUM(K92:V92)</f>
        <v>0</v>
      </c>
      <c r="Y92" s="12" t="n">
        <f aca="false">SUM(E92:V92)</f>
        <v>0</v>
      </c>
    </row>
    <row r="93" customFormat="false" ht="15" hidden="false" customHeight="false" outlineLevel="0" collapsed="false">
      <c r="A93" s="9"/>
      <c r="B93" s="10" t="str">
        <f aca="false">IF($A93="","",IFERROR(INDEX(tblAuftraege[Kostenstelle],MATCH($A93,tblAuftraege[Auftrag],0)),""))</f>
        <v/>
      </c>
      <c r="C93" s="10" t="str">
        <f aca="false">IF($A93="","",IFERROR(INDEX(tblAuftraege[Themenfeld],MATCH($A93,tblAuftraege[Auftrag],0)),""))</f>
        <v/>
      </c>
      <c r="D93" s="10" t="str">
        <f aca="false">IF($A93="","",IFERROR(INDEX(tblAuftraege[Kategorie],MATCH($A93,tblAuftraege[Auftrag],0)),""))</f>
        <v/>
      </c>
      <c r="E93" s="11" t="n">
        <f aca="false">IF($A93="",0,SUMIFS(tblAuftraege[Ausgaben],tblAuftraege[Datum Ausgaben],"&gt;="&amp;E$5,tblAuftraege[Datum Ausgaben],"&lt;"&amp;EDATE(E$5,1),tblAuftraege[Auftrag],$A93))</f>
        <v>0</v>
      </c>
      <c r="F93" s="11" t="n">
        <f aca="false">IF($A93="",0,SUMIFS(tblAuftraege[Ausgaben],tblAuftraege[Datum Ausgaben],"&gt;="&amp;F$5,tblAuftraege[Datum Ausgaben],"&lt;"&amp;EDATE(F$5,1),tblAuftraege[Auftrag],$A93))</f>
        <v>0</v>
      </c>
      <c r="G93" s="11" t="n">
        <f aca="false">IF($A93="",0,SUMIFS(tblAuftraege[Ausgaben],tblAuftraege[Datum Ausgaben],"&gt;="&amp;G$5,tblAuftraege[Datum Ausgaben],"&lt;"&amp;EDATE(G$5,1),tblAuftraege[Auftrag],$A93))</f>
        <v>0</v>
      </c>
      <c r="H93" s="11" t="n">
        <f aca="false">IF($A93="",0,SUMIFS(tblAuftraege[Ausgaben],tblAuftraege[Datum Ausgaben],"&gt;="&amp;H$5,tblAuftraege[Datum Ausgaben],"&lt;"&amp;EDATE(H$5,1),tblAuftraege[Auftrag],$A93))</f>
        <v>0</v>
      </c>
      <c r="I93" s="11" t="n">
        <f aca="false">IF($A93="",0,SUMIFS(tblAuftraege[Ausgaben],tblAuftraege[Datum Ausgaben],"&gt;="&amp;I$5,tblAuftraege[Datum Ausgaben],"&lt;"&amp;EDATE(I$5,1),tblAuftraege[Auftrag],$A93))</f>
        <v>0</v>
      </c>
      <c r="J93" s="11" t="n">
        <f aca="false">IF($A93="",0,SUMIFS(tblAuftraege[Ausgaben],tblAuftraege[Datum Ausgaben],"&gt;="&amp;J$5,tblAuftraege[Datum Ausgaben],"&lt;"&amp;EDATE(J$5,1),tblAuftraege[Auftrag],$A93))</f>
        <v>0</v>
      </c>
      <c r="K93" s="11" t="n">
        <f aca="false">IF($A93="",0,SUMIFS(tblAuftraege[Ausgaben],tblAuftraege[Datum Ausgaben],"&gt;="&amp;K$5,tblAuftraege[Datum Ausgaben],"&lt;"&amp;EDATE(K$5,1),tblAuftraege[Auftrag],$A93))</f>
        <v>0</v>
      </c>
      <c r="L93" s="11" t="n">
        <f aca="false">IF($A93="",0,SUMIFS(tblAuftraege[Ausgaben],tblAuftraege[Datum Ausgaben],"&gt;="&amp;L$5,tblAuftraege[Datum Ausgaben],"&lt;"&amp;EDATE(L$5,1),tblAuftraege[Auftrag],$A93))</f>
        <v>0</v>
      </c>
      <c r="M93" s="11" t="n">
        <f aca="false">IF($A93="",0,SUMIFS(tblAuftraege[Ausgaben],tblAuftraege[Datum Ausgaben],"&gt;="&amp;M$5,tblAuftraege[Datum Ausgaben],"&lt;"&amp;EDATE(M$5,1),tblAuftraege[Auftrag],$A93))</f>
        <v>0</v>
      </c>
      <c r="N93" s="11" t="n">
        <f aca="false">IF($A93="",0,SUMIFS(tblAuftraege[Ausgaben],tblAuftraege[Datum Ausgaben],"&gt;="&amp;N$5,tblAuftraege[Datum Ausgaben],"&lt;"&amp;EDATE(N$5,1),tblAuftraege[Auftrag],$A93))</f>
        <v>0</v>
      </c>
      <c r="O93" s="11" t="n">
        <f aca="false">IF($A93="",0,SUMIFS(tblAuftraege[Ausgaben],tblAuftraege[Datum Ausgaben],"&gt;="&amp;O$5,tblAuftraege[Datum Ausgaben],"&lt;"&amp;EDATE(O$5,1),tblAuftraege[Auftrag],$A93))</f>
        <v>0</v>
      </c>
      <c r="P93" s="11" t="n">
        <f aca="false">IF($A93="",0,SUMIFS(tblAuftraege[Ausgaben],tblAuftraege[Datum Ausgaben],"&gt;="&amp;P$5,tblAuftraege[Datum Ausgaben],"&lt;"&amp;EDATE(P$5,1),tblAuftraege[Auftrag],$A93))</f>
        <v>0</v>
      </c>
      <c r="Q93" s="11" t="n">
        <f aca="false">IF($A93="",0,SUMIFS(tblAuftraege[Ausgaben],tblAuftraege[Datum Ausgaben],"&gt;="&amp;Q$5,tblAuftraege[Datum Ausgaben],"&lt;"&amp;EDATE(Q$5,1),tblAuftraege[Auftrag],$A93))</f>
        <v>0</v>
      </c>
      <c r="R93" s="11" t="n">
        <f aca="false">IF($A93="",0,SUMIFS(tblAuftraege[Ausgaben],tblAuftraege[Datum Ausgaben],"&gt;="&amp;R$5,tblAuftraege[Datum Ausgaben],"&lt;"&amp;EDATE(R$5,1),tblAuftraege[Auftrag],$A93))</f>
        <v>0</v>
      </c>
      <c r="S93" s="11" t="n">
        <f aca="false">IF($A93="",0,SUMIFS(tblAuftraege[Ausgaben],tblAuftraege[Datum Ausgaben],"&gt;="&amp;S$5,tblAuftraege[Datum Ausgaben],"&lt;"&amp;EDATE(S$5,1),tblAuftraege[Auftrag],$A93))</f>
        <v>0</v>
      </c>
      <c r="T93" s="11" t="n">
        <f aca="false">IF($A93="",0,SUMIFS(tblAuftraege[Ausgaben],tblAuftraege[Datum Ausgaben],"&gt;="&amp;T$5,tblAuftraege[Datum Ausgaben],"&lt;"&amp;EDATE(T$5,1),tblAuftraege[Auftrag],$A93))</f>
        <v>0</v>
      </c>
      <c r="U93" s="11" t="n">
        <f aca="false">IF($A93="",0,SUMIFS(tblAuftraege[Ausgaben],tblAuftraege[Datum Ausgaben],"&gt;="&amp;U$5,tblAuftraege[Datum Ausgaben],"&lt;"&amp;EDATE(U$5,1),tblAuftraege[Auftrag],$A93))</f>
        <v>0</v>
      </c>
      <c r="V93" s="11" t="n">
        <f aca="false">IF($A93="",0,SUMIFS(tblAuftraege[Ausgaben],tblAuftraege[Datum Ausgaben],"&gt;="&amp;V$5,tblAuftraege[Datum Ausgaben],"&lt;"&amp;EDATE(V$5,1),tblAuftraege[Auftrag],$A93))</f>
        <v>0</v>
      </c>
      <c r="W93" s="11" t="n">
        <f aca="false">SUM(E93:J93)</f>
        <v>0</v>
      </c>
      <c r="X93" s="11" t="n">
        <f aca="false">SUM(K93:V93)</f>
        <v>0</v>
      </c>
      <c r="Y93" s="12" t="n">
        <f aca="false">SUM(E93:V93)</f>
        <v>0</v>
      </c>
    </row>
    <row r="94" customFormat="false" ht="15" hidden="false" customHeight="false" outlineLevel="0" collapsed="false">
      <c r="A94" s="9"/>
      <c r="B94" s="10" t="str">
        <f aca="false">IF($A94="","",IFERROR(INDEX(tblAuftraege[Kostenstelle],MATCH($A94,tblAuftraege[Auftrag],0)),""))</f>
        <v/>
      </c>
      <c r="C94" s="10" t="str">
        <f aca="false">IF($A94="","",IFERROR(INDEX(tblAuftraege[Themenfeld],MATCH($A94,tblAuftraege[Auftrag],0)),""))</f>
        <v/>
      </c>
      <c r="D94" s="10" t="str">
        <f aca="false">IF($A94="","",IFERROR(INDEX(tblAuftraege[Kategorie],MATCH($A94,tblAuftraege[Auftrag],0)),""))</f>
        <v/>
      </c>
      <c r="E94" s="11" t="n">
        <f aca="false">IF($A94="",0,SUMIFS(tblAuftraege[Ausgaben],tblAuftraege[Datum Ausgaben],"&gt;="&amp;E$5,tblAuftraege[Datum Ausgaben],"&lt;"&amp;EDATE(E$5,1),tblAuftraege[Auftrag],$A94))</f>
        <v>0</v>
      </c>
      <c r="F94" s="11" t="n">
        <f aca="false">IF($A94="",0,SUMIFS(tblAuftraege[Ausgaben],tblAuftraege[Datum Ausgaben],"&gt;="&amp;F$5,tblAuftraege[Datum Ausgaben],"&lt;"&amp;EDATE(F$5,1),tblAuftraege[Auftrag],$A94))</f>
        <v>0</v>
      </c>
      <c r="G94" s="11" t="n">
        <f aca="false">IF($A94="",0,SUMIFS(tblAuftraege[Ausgaben],tblAuftraege[Datum Ausgaben],"&gt;="&amp;G$5,tblAuftraege[Datum Ausgaben],"&lt;"&amp;EDATE(G$5,1),tblAuftraege[Auftrag],$A94))</f>
        <v>0</v>
      </c>
      <c r="H94" s="11" t="n">
        <f aca="false">IF($A94="",0,SUMIFS(tblAuftraege[Ausgaben],tblAuftraege[Datum Ausgaben],"&gt;="&amp;H$5,tblAuftraege[Datum Ausgaben],"&lt;"&amp;EDATE(H$5,1),tblAuftraege[Auftrag],$A94))</f>
        <v>0</v>
      </c>
      <c r="I94" s="11" t="n">
        <f aca="false">IF($A94="",0,SUMIFS(tblAuftraege[Ausgaben],tblAuftraege[Datum Ausgaben],"&gt;="&amp;I$5,tblAuftraege[Datum Ausgaben],"&lt;"&amp;EDATE(I$5,1),tblAuftraege[Auftrag],$A94))</f>
        <v>0</v>
      </c>
      <c r="J94" s="11" t="n">
        <f aca="false">IF($A94="",0,SUMIFS(tblAuftraege[Ausgaben],tblAuftraege[Datum Ausgaben],"&gt;="&amp;J$5,tblAuftraege[Datum Ausgaben],"&lt;"&amp;EDATE(J$5,1),tblAuftraege[Auftrag],$A94))</f>
        <v>0</v>
      </c>
      <c r="K94" s="11" t="n">
        <f aca="false">IF($A94="",0,SUMIFS(tblAuftraege[Ausgaben],tblAuftraege[Datum Ausgaben],"&gt;="&amp;K$5,tblAuftraege[Datum Ausgaben],"&lt;"&amp;EDATE(K$5,1),tblAuftraege[Auftrag],$A94))</f>
        <v>0</v>
      </c>
      <c r="L94" s="11" t="n">
        <f aca="false">IF($A94="",0,SUMIFS(tblAuftraege[Ausgaben],tblAuftraege[Datum Ausgaben],"&gt;="&amp;L$5,tblAuftraege[Datum Ausgaben],"&lt;"&amp;EDATE(L$5,1),tblAuftraege[Auftrag],$A94))</f>
        <v>0</v>
      </c>
      <c r="M94" s="11" t="n">
        <f aca="false">IF($A94="",0,SUMIFS(tblAuftraege[Ausgaben],tblAuftraege[Datum Ausgaben],"&gt;="&amp;M$5,tblAuftraege[Datum Ausgaben],"&lt;"&amp;EDATE(M$5,1),tblAuftraege[Auftrag],$A94))</f>
        <v>0</v>
      </c>
      <c r="N94" s="11" t="n">
        <f aca="false">IF($A94="",0,SUMIFS(tblAuftraege[Ausgaben],tblAuftraege[Datum Ausgaben],"&gt;="&amp;N$5,tblAuftraege[Datum Ausgaben],"&lt;"&amp;EDATE(N$5,1),tblAuftraege[Auftrag],$A94))</f>
        <v>0</v>
      </c>
      <c r="O94" s="11" t="n">
        <f aca="false">IF($A94="",0,SUMIFS(tblAuftraege[Ausgaben],tblAuftraege[Datum Ausgaben],"&gt;="&amp;O$5,tblAuftraege[Datum Ausgaben],"&lt;"&amp;EDATE(O$5,1),tblAuftraege[Auftrag],$A94))</f>
        <v>0</v>
      </c>
      <c r="P94" s="11" t="n">
        <f aca="false">IF($A94="",0,SUMIFS(tblAuftraege[Ausgaben],tblAuftraege[Datum Ausgaben],"&gt;="&amp;P$5,tblAuftraege[Datum Ausgaben],"&lt;"&amp;EDATE(P$5,1),tblAuftraege[Auftrag],$A94))</f>
        <v>0</v>
      </c>
      <c r="Q94" s="11" t="n">
        <f aca="false">IF($A94="",0,SUMIFS(tblAuftraege[Ausgaben],tblAuftraege[Datum Ausgaben],"&gt;="&amp;Q$5,tblAuftraege[Datum Ausgaben],"&lt;"&amp;EDATE(Q$5,1),tblAuftraege[Auftrag],$A94))</f>
        <v>0</v>
      </c>
      <c r="R94" s="11" t="n">
        <f aca="false">IF($A94="",0,SUMIFS(tblAuftraege[Ausgaben],tblAuftraege[Datum Ausgaben],"&gt;="&amp;R$5,tblAuftraege[Datum Ausgaben],"&lt;"&amp;EDATE(R$5,1),tblAuftraege[Auftrag],$A94))</f>
        <v>0</v>
      </c>
      <c r="S94" s="11" t="n">
        <f aca="false">IF($A94="",0,SUMIFS(tblAuftraege[Ausgaben],tblAuftraege[Datum Ausgaben],"&gt;="&amp;S$5,tblAuftraege[Datum Ausgaben],"&lt;"&amp;EDATE(S$5,1),tblAuftraege[Auftrag],$A94))</f>
        <v>0</v>
      </c>
      <c r="T94" s="11" t="n">
        <f aca="false">IF($A94="",0,SUMIFS(tblAuftraege[Ausgaben],tblAuftraege[Datum Ausgaben],"&gt;="&amp;T$5,tblAuftraege[Datum Ausgaben],"&lt;"&amp;EDATE(T$5,1),tblAuftraege[Auftrag],$A94))</f>
        <v>0</v>
      </c>
      <c r="U94" s="11" t="n">
        <f aca="false">IF($A94="",0,SUMIFS(tblAuftraege[Ausgaben],tblAuftraege[Datum Ausgaben],"&gt;="&amp;U$5,tblAuftraege[Datum Ausgaben],"&lt;"&amp;EDATE(U$5,1),tblAuftraege[Auftrag],$A94))</f>
        <v>0</v>
      </c>
      <c r="V94" s="11" t="n">
        <f aca="false">IF($A94="",0,SUMIFS(tblAuftraege[Ausgaben],tblAuftraege[Datum Ausgaben],"&gt;="&amp;V$5,tblAuftraege[Datum Ausgaben],"&lt;"&amp;EDATE(V$5,1),tblAuftraege[Auftrag],$A94))</f>
        <v>0</v>
      </c>
      <c r="W94" s="11" t="n">
        <f aca="false">SUM(E94:J94)</f>
        <v>0</v>
      </c>
      <c r="X94" s="11" t="n">
        <f aca="false">SUM(K94:V94)</f>
        <v>0</v>
      </c>
      <c r="Y94" s="12" t="n">
        <f aca="false">SUM(E94:V94)</f>
        <v>0</v>
      </c>
    </row>
    <row r="95" customFormat="false" ht="15" hidden="false" customHeight="false" outlineLevel="0" collapsed="false">
      <c r="A95" s="9"/>
      <c r="B95" s="10" t="str">
        <f aca="false">IF($A95="","",IFERROR(INDEX(tblAuftraege[Kostenstelle],MATCH($A95,tblAuftraege[Auftrag],0)),""))</f>
        <v/>
      </c>
      <c r="C95" s="10" t="str">
        <f aca="false">IF($A95="","",IFERROR(INDEX(tblAuftraege[Themenfeld],MATCH($A95,tblAuftraege[Auftrag],0)),""))</f>
        <v/>
      </c>
      <c r="D95" s="10" t="str">
        <f aca="false">IF($A95="","",IFERROR(INDEX(tblAuftraege[Kategorie],MATCH($A95,tblAuftraege[Auftrag],0)),""))</f>
        <v/>
      </c>
      <c r="E95" s="11" t="n">
        <f aca="false">IF($A95="",0,SUMIFS(tblAuftraege[Ausgaben],tblAuftraege[Datum Ausgaben],"&gt;="&amp;E$5,tblAuftraege[Datum Ausgaben],"&lt;"&amp;EDATE(E$5,1),tblAuftraege[Auftrag],$A95))</f>
        <v>0</v>
      </c>
      <c r="F95" s="11" t="n">
        <f aca="false">IF($A95="",0,SUMIFS(tblAuftraege[Ausgaben],tblAuftraege[Datum Ausgaben],"&gt;="&amp;F$5,tblAuftraege[Datum Ausgaben],"&lt;"&amp;EDATE(F$5,1),tblAuftraege[Auftrag],$A95))</f>
        <v>0</v>
      </c>
      <c r="G95" s="11" t="n">
        <f aca="false">IF($A95="",0,SUMIFS(tblAuftraege[Ausgaben],tblAuftraege[Datum Ausgaben],"&gt;="&amp;G$5,tblAuftraege[Datum Ausgaben],"&lt;"&amp;EDATE(G$5,1),tblAuftraege[Auftrag],$A95))</f>
        <v>0</v>
      </c>
      <c r="H95" s="11" t="n">
        <f aca="false">IF($A95="",0,SUMIFS(tblAuftraege[Ausgaben],tblAuftraege[Datum Ausgaben],"&gt;="&amp;H$5,tblAuftraege[Datum Ausgaben],"&lt;"&amp;EDATE(H$5,1),tblAuftraege[Auftrag],$A95))</f>
        <v>0</v>
      </c>
      <c r="I95" s="11" t="n">
        <f aca="false">IF($A95="",0,SUMIFS(tblAuftraege[Ausgaben],tblAuftraege[Datum Ausgaben],"&gt;="&amp;I$5,tblAuftraege[Datum Ausgaben],"&lt;"&amp;EDATE(I$5,1),tblAuftraege[Auftrag],$A95))</f>
        <v>0</v>
      </c>
      <c r="J95" s="11" t="n">
        <f aca="false">IF($A95="",0,SUMIFS(tblAuftraege[Ausgaben],tblAuftraege[Datum Ausgaben],"&gt;="&amp;J$5,tblAuftraege[Datum Ausgaben],"&lt;"&amp;EDATE(J$5,1),tblAuftraege[Auftrag],$A95))</f>
        <v>0</v>
      </c>
      <c r="K95" s="11" t="n">
        <f aca="false">IF($A95="",0,SUMIFS(tblAuftraege[Ausgaben],tblAuftraege[Datum Ausgaben],"&gt;="&amp;K$5,tblAuftraege[Datum Ausgaben],"&lt;"&amp;EDATE(K$5,1),tblAuftraege[Auftrag],$A95))</f>
        <v>0</v>
      </c>
      <c r="L95" s="11" t="n">
        <f aca="false">IF($A95="",0,SUMIFS(tblAuftraege[Ausgaben],tblAuftraege[Datum Ausgaben],"&gt;="&amp;L$5,tblAuftraege[Datum Ausgaben],"&lt;"&amp;EDATE(L$5,1),tblAuftraege[Auftrag],$A95))</f>
        <v>0</v>
      </c>
      <c r="M95" s="11" t="n">
        <f aca="false">IF($A95="",0,SUMIFS(tblAuftraege[Ausgaben],tblAuftraege[Datum Ausgaben],"&gt;="&amp;M$5,tblAuftraege[Datum Ausgaben],"&lt;"&amp;EDATE(M$5,1),tblAuftraege[Auftrag],$A95))</f>
        <v>0</v>
      </c>
      <c r="N95" s="11" t="n">
        <f aca="false">IF($A95="",0,SUMIFS(tblAuftraege[Ausgaben],tblAuftraege[Datum Ausgaben],"&gt;="&amp;N$5,tblAuftraege[Datum Ausgaben],"&lt;"&amp;EDATE(N$5,1),tblAuftraege[Auftrag],$A95))</f>
        <v>0</v>
      </c>
      <c r="O95" s="11" t="n">
        <f aca="false">IF($A95="",0,SUMIFS(tblAuftraege[Ausgaben],tblAuftraege[Datum Ausgaben],"&gt;="&amp;O$5,tblAuftraege[Datum Ausgaben],"&lt;"&amp;EDATE(O$5,1),tblAuftraege[Auftrag],$A95))</f>
        <v>0</v>
      </c>
      <c r="P95" s="11" t="n">
        <f aca="false">IF($A95="",0,SUMIFS(tblAuftraege[Ausgaben],tblAuftraege[Datum Ausgaben],"&gt;="&amp;P$5,tblAuftraege[Datum Ausgaben],"&lt;"&amp;EDATE(P$5,1),tblAuftraege[Auftrag],$A95))</f>
        <v>0</v>
      </c>
      <c r="Q95" s="11" t="n">
        <f aca="false">IF($A95="",0,SUMIFS(tblAuftraege[Ausgaben],tblAuftraege[Datum Ausgaben],"&gt;="&amp;Q$5,tblAuftraege[Datum Ausgaben],"&lt;"&amp;EDATE(Q$5,1),tblAuftraege[Auftrag],$A95))</f>
        <v>0</v>
      </c>
      <c r="R95" s="11" t="n">
        <f aca="false">IF($A95="",0,SUMIFS(tblAuftraege[Ausgaben],tblAuftraege[Datum Ausgaben],"&gt;="&amp;R$5,tblAuftraege[Datum Ausgaben],"&lt;"&amp;EDATE(R$5,1),tblAuftraege[Auftrag],$A95))</f>
        <v>0</v>
      </c>
      <c r="S95" s="11" t="n">
        <f aca="false">IF($A95="",0,SUMIFS(tblAuftraege[Ausgaben],tblAuftraege[Datum Ausgaben],"&gt;="&amp;S$5,tblAuftraege[Datum Ausgaben],"&lt;"&amp;EDATE(S$5,1),tblAuftraege[Auftrag],$A95))</f>
        <v>0</v>
      </c>
      <c r="T95" s="11" t="n">
        <f aca="false">IF($A95="",0,SUMIFS(tblAuftraege[Ausgaben],tblAuftraege[Datum Ausgaben],"&gt;="&amp;T$5,tblAuftraege[Datum Ausgaben],"&lt;"&amp;EDATE(T$5,1),tblAuftraege[Auftrag],$A95))</f>
        <v>0</v>
      </c>
      <c r="U95" s="11" t="n">
        <f aca="false">IF($A95="",0,SUMIFS(tblAuftraege[Ausgaben],tblAuftraege[Datum Ausgaben],"&gt;="&amp;U$5,tblAuftraege[Datum Ausgaben],"&lt;"&amp;EDATE(U$5,1),tblAuftraege[Auftrag],$A95))</f>
        <v>0</v>
      </c>
      <c r="V95" s="11" t="n">
        <f aca="false">IF($A95="",0,SUMIFS(tblAuftraege[Ausgaben],tblAuftraege[Datum Ausgaben],"&gt;="&amp;V$5,tblAuftraege[Datum Ausgaben],"&lt;"&amp;EDATE(V$5,1),tblAuftraege[Auftrag],$A95))</f>
        <v>0</v>
      </c>
      <c r="W95" s="11" t="n">
        <f aca="false">SUM(E95:J95)</f>
        <v>0</v>
      </c>
      <c r="X95" s="11" t="n">
        <f aca="false">SUM(K95:V95)</f>
        <v>0</v>
      </c>
      <c r="Y95" s="12" t="n">
        <f aca="false">SUM(E95:V95)</f>
        <v>0</v>
      </c>
    </row>
    <row r="96" customFormat="false" ht="15" hidden="false" customHeight="false" outlineLevel="0" collapsed="false">
      <c r="A96" s="9"/>
      <c r="B96" s="10" t="str">
        <f aca="false">IF($A96="","",IFERROR(INDEX(tblAuftraege[Kostenstelle],MATCH($A96,tblAuftraege[Auftrag],0)),""))</f>
        <v/>
      </c>
      <c r="C96" s="10" t="str">
        <f aca="false">IF($A96="","",IFERROR(INDEX(tblAuftraege[Themenfeld],MATCH($A96,tblAuftraege[Auftrag],0)),""))</f>
        <v/>
      </c>
      <c r="D96" s="10" t="str">
        <f aca="false">IF($A96="","",IFERROR(INDEX(tblAuftraege[Kategorie],MATCH($A96,tblAuftraege[Auftrag],0)),""))</f>
        <v/>
      </c>
      <c r="E96" s="11" t="n">
        <f aca="false">IF($A96="",0,SUMIFS(tblAuftraege[Ausgaben],tblAuftraege[Datum Ausgaben],"&gt;="&amp;E$5,tblAuftraege[Datum Ausgaben],"&lt;"&amp;EDATE(E$5,1),tblAuftraege[Auftrag],$A96))</f>
        <v>0</v>
      </c>
      <c r="F96" s="11" t="n">
        <f aca="false">IF($A96="",0,SUMIFS(tblAuftraege[Ausgaben],tblAuftraege[Datum Ausgaben],"&gt;="&amp;F$5,tblAuftraege[Datum Ausgaben],"&lt;"&amp;EDATE(F$5,1),tblAuftraege[Auftrag],$A96))</f>
        <v>0</v>
      </c>
      <c r="G96" s="11" t="n">
        <f aca="false">IF($A96="",0,SUMIFS(tblAuftraege[Ausgaben],tblAuftraege[Datum Ausgaben],"&gt;="&amp;G$5,tblAuftraege[Datum Ausgaben],"&lt;"&amp;EDATE(G$5,1),tblAuftraege[Auftrag],$A96))</f>
        <v>0</v>
      </c>
      <c r="H96" s="11" t="n">
        <f aca="false">IF($A96="",0,SUMIFS(tblAuftraege[Ausgaben],tblAuftraege[Datum Ausgaben],"&gt;="&amp;H$5,tblAuftraege[Datum Ausgaben],"&lt;"&amp;EDATE(H$5,1),tblAuftraege[Auftrag],$A96))</f>
        <v>0</v>
      </c>
      <c r="I96" s="11" t="n">
        <f aca="false">IF($A96="",0,SUMIFS(tblAuftraege[Ausgaben],tblAuftraege[Datum Ausgaben],"&gt;="&amp;I$5,tblAuftraege[Datum Ausgaben],"&lt;"&amp;EDATE(I$5,1),tblAuftraege[Auftrag],$A96))</f>
        <v>0</v>
      </c>
      <c r="J96" s="11" t="n">
        <f aca="false">IF($A96="",0,SUMIFS(tblAuftraege[Ausgaben],tblAuftraege[Datum Ausgaben],"&gt;="&amp;J$5,tblAuftraege[Datum Ausgaben],"&lt;"&amp;EDATE(J$5,1),tblAuftraege[Auftrag],$A96))</f>
        <v>0</v>
      </c>
      <c r="K96" s="11" t="n">
        <f aca="false">IF($A96="",0,SUMIFS(tblAuftraege[Ausgaben],tblAuftraege[Datum Ausgaben],"&gt;="&amp;K$5,tblAuftraege[Datum Ausgaben],"&lt;"&amp;EDATE(K$5,1),tblAuftraege[Auftrag],$A96))</f>
        <v>0</v>
      </c>
      <c r="L96" s="11" t="n">
        <f aca="false">IF($A96="",0,SUMIFS(tblAuftraege[Ausgaben],tblAuftraege[Datum Ausgaben],"&gt;="&amp;L$5,tblAuftraege[Datum Ausgaben],"&lt;"&amp;EDATE(L$5,1),tblAuftraege[Auftrag],$A96))</f>
        <v>0</v>
      </c>
      <c r="M96" s="11" t="n">
        <f aca="false">IF($A96="",0,SUMIFS(tblAuftraege[Ausgaben],tblAuftraege[Datum Ausgaben],"&gt;="&amp;M$5,tblAuftraege[Datum Ausgaben],"&lt;"&amp;EDATE(M$5,1),tblAuftraege[Auftrag],$A96))</f>
        <v>0</v>
      </c>
      <c r="N96" s="11" t="n">
        <f aca="false">IF($A96="",0,SUMIFS(tblAuftraege[Ausgaben],tblAuftraege[Datum Ausgaben],"&gt;="&amp;N$5,tblAuftraege[Datum Ausgaben],"&lt;"&amp;EDATE(N$5,1),tblAuftraege[Auftrag],$A96))</f>
        <v>0</v>
      </c>
      <c r="O96" s="11" t="n">
        <f aca="false">IF($A96="",0,SUMIFS(tblAuftraege[Ausgaben],tblAuftraege[Datum Ausgaben],"&gt;="&amp;O$5,tblAuftraege[Datum Ausgaben],"&lt;"&amp;EDATE(O$5,1),tblAuftraege[Auftrag],$A96))</f>
        <v>0</v>
      </c>
      <c r="P96" s="11" t="n">
        <f aca="false">IF($A96="",0,SUMIFS(tblAuftraege[Ausgaben],tblAuftraege[Datum Ausgaben],"&gt;="&amp;P$5,tblAuftraege[Datum Ausgaben],"&lt;"&amp;EDATE(P$5,1),tblAuftraege[Auftrag],$A96))</f>
        <v>0</v>
      </c>
      <c r="Q96" s="11" t="n">
        <f aca="false">IF($A96="",0,SUMIFS(tblAuftraege[Ausgaben],tblAuftraege[Datum Ausgaben],"&gt;="&amp;Q$5,tblAuftraege[Datum Ausgaben],"&lt;"&amp;EDATE(Q$5,1),tblAuftraege[Auftrag],$A96))</f>
        <v>0</v>
      </c>
      <c r="R96" s="11" t="n">
        <f aca="false">IF($A96="",0,SUMIFS(tblAuftraege[Ausgaben],tblAuftraege[Datum Ausgaben],"&gt;="&amp;R$5,tblAuftraege[Datum Ausgaben],"&lt;"&amp;EDATE(R$5,1),tblAuftraege[Auftrag],$A96))</f>
        <v>0</v>
      </c>
      <c r="S96" s="11" t="n">
        <f aca="false">IF($A96="",0,SUMIFS(tblAuftraege[Ausgaben],tblAuftraege[Datum Ausgaben],"&gt;="&amp;S$5,tblAuftraege[Datum Ausgaben],"&lt;"&amp;EDATE(S$5,1),tblAuftraege[Auftrag],$A96))</f>
        <v>0</v>
      </c>
      <c r="T96" s="11" t="n">
        <f aca="false">IF($A96="",0,SUMIFS(tblAuftraege[Ausgaben],tblAuftraege[Datum Ausgaben],"&gt;="&amp;T$5,tblAuftraege[Datum Ausgaben],"&lt;"&amp;EDATE(T$5,1),tblAuftraege[Auftrag],$A96))</f>
        <v>0</v>
      </c>
      <c r="U96" s="11" t="n">
        <f aca="false">IF($A96="",0,SUMIFS(tblAuftraege[Ausgaben],tblAuftraege[Datum Ausgaben],"&gt;="&amp;U$5,tblAuftraege[Datum Ausgaben],"&lt;"&amp;EDATE(U$5,1),tblAuftraege[Auftrag],$A96))</f>
        <v>0</v>
      </c>
      <c r="V96" s="11" t="n">
        <f aca="false">IF($A96="",0,SUMIFS(tblAuftraege[Ausgaben],tblAuftraege[Datum Ausgaben],"&gt;="&amp;V$5,tblAuftraege[Datum Ausgaben],"&lt;"&amp;EDATE(V$5,1),tblAuftraege[Auftrag],$A96))</f>
        <v>0</v>
      </c>
      <c r="W96" s="11" t="n">
        <f aca="false">SUM(E96:J96)</f>
        <v>0</v>
      </c>
      <c r="X96" s="11" t="n">
        <f aca="false">SUM(K96:V96)</f>
        <v>0</v>
      </c>
      <c r="Y96" s="12" t="n">
        <f aca="false">SUM(E96:V96)</f>
        <v>0</v>
      </c>
    </row>
    <row r="97" customFormat="false" ht="15" hidden="false" customHeight="false" outlineLevel="0" collapsed="false">
      <c r="A97" s="9"/>
      <c r="B97" s="10" t="str">
        <f aca="false">IF($A97="","",IFERROR(INDEX(tblAuftraege[Kostenstelle],MATCH($A97,tblAuftraege[Auftrag],0)),""))</f>
        <v/>
      </c>
      <c r="C97" s="10" t="str">
        <f aca="false">IF($A97="","",IFERROR(INDEX(tblAuftraege[Themenfeld],MATCH($A97,tblAuftraege[Auftrag],0)),""))</f>
        <v/>
      </c>
      <c r="D97" s="10" t="str">
        <f aca="false">IF($A97="","",IFERROR(INDEX(tblAuftraege[Kategorie],MATCH($A97,tblAuftraege[Auftrag],0)),""))</f>
        <v/>
      </c>
      <c r="E97" s="11" t="n">
        <f aca="false">IF($A97="",0,SUMIFS(tblAuftraege[Ausgaben],tblAuftraege[Datum Ausgaben],"&gt;="&amp;E$5,tblAuftraege[Datum Ausgaben],"&lt;"&amp;EDATE(E$5,1),tblAuftraege[Auftrag],$A97))</f>
        <v>0</v>
      </c>
      <c r="F97" s="11" t="n">
        <f aca="false">IF($A97="",0,SUMIFS(tblAuftraege[Ausgaben],tblAuftraege[Datum Ausgaben],"&gt;="&amp;F$5,tblAuftraege[Datum Ausgaben],"&lt;"&amp;EDATE(F$5,1),tblAuftraege[Auftrag],$A97))</f>
        <v>0</v>
      </c>
      <c r="G97" s="11" t="n">
        <f aca="false">IF($A97="",0,SUMIFS(tblAuftraege[Ausgaben],tblAuftraege[Datum Ausgaben],"&gt;="&amp;G$5,tblAuftraege[Datum Ausgaben],"&lt;"&amp;EDATE(G$5,1),tblAuftraege[Auftrag],$A97))</f>
        <v>0</v>
      </c>
      <c r="H97" s="11" t="n">
        <f aca="false">IF($A97="",0,SUMIFS(tblAuftraege[Ausgaben],tblAuftraege[Datum Ausgaben],"&gt;="&amp;H$5,tblAuftraege[Datum Ausgaben],"&lt;"&amp;EDATE(H$5,1),tblAuftraege[Auftrag],$A97))</f>
        <v>0</v>
      </c>
      <c r="I97" s="11" t="n">
        <f aca="false">IF($A97="",0,SUMIFS(tblAuftraege[Ausgaben],tblAuftraege[Datum Ausgaben],"&gt;="&amp;I$5,tblAuftraege[Datum Ausgaben],"&lt;"&amp;EDATE(I$5,1),tblAuftraege[Auftrag],$A97))</f>
        <v>0</v>
      </c>
      <c r="J97" s="11" t="n">
        <f aca="false">IF($A97="",0,SUMIFS(tblAuftraege[Ausgaben],tblAuftraege[Datum Ausgaben],"&gt;="&amp;J$5,tblAuftraege[Datum Ausgaben],"&lt;"&amp;EDATE(J$5,1),tblAuftraege[Auftrag],$A97))</f>
        <v>0</v>
      </c>
      <c r="K97" s="11" t="n">
        <f aca="false">IF($A97="",0,SUMIFS(tblAuftraege[Ausgaben],tblAuftraege[Datum Ausgaben],"&gt;="&amp;K$5,tblAuftraege[Datum Ausgaben],"&lt;"&amp;EDATE(K$5,1),tblAuftraege[Auftrag],$A97))</f>
        <v>0</v>
      </c>
      <c r="L97" s="11" t="n">
        <f aca="false">IF($A97="",0,SUMIFS(tblAuftraege[Ausgaben],tblAuftraege[Datum Ausgaben],"&gt;="&amp;L$5,tblAuftraege[Datum Ausgaben],"&lt;"&amp;EDATE(L$5,1),tblAuftraege[Auftrag],$A97))</f>
        <v>0</v>
      </c>
      <c r="M97" s="11" t="n">
        <f aca="false">IF($A97="",0,SUMIFS(tblAuftraege[Ausgaben],tblAuftraege[Datum Ausgaben],"&gt;="&amp;M$5,tblAuftraege[Datum Ausgaben],"&lt;"&amp;EDATE(M$5,1),tblAuftraege[Auftrag],$A97))</f>
        <v>0</v>
      </c>
      <c r="N97" s="11" t="n">
        <f aca="false">IF($A97="",0,SUMIFS(tblAuftraege[Ausgaben],tblAuftraege[Datum Ausgaben],"&gt;="&amp;N$5,tblAuftraege[Datum Ausgaben],"&lt;"&amp;EDATE(N$5,1),tblAuftraege[Auftrag],$A97))</f>
        <v>0</v>
      </c>
      <c r="O97" s="11" t="n">
        <f aca="false">IF($A97="",0,SUMIFS(tblAuftraege[Ausgaben],tblAuftraege[Datum Ausgaben],"&gt;="&amp;O$5,tblAuftraege[Datum Ausgaben],"&lt;"&amp;EDATE(O$5,1),tblAuftraege[Auftrag],$A97))</f>
        <v>0</v>
      </c>
      <c r="P97" s="11" t="n">
        <f aca="false">IF($A97="",0,SUMIFS(tblAuftraege[Ausgaben],tblAuftraege[Datum Ausgaben],"&gt;="&amp;P$5,tblAuftraege[Datum Ausgaben],"&lt;"&amp;EDATE(P$5,1),tblAuftraege[Auftrag],$A97))</f>
        <v>0</v>
      </c>
      <c r="Q97" s="11" t="n">
        <f aca="false">IF($A97="",0,SUMIFS(tblAuftraege[Ausgaben],tblAuftraege[Datum Ausgaben],"&gt;="&amp;Q$5,tblAuftraege[Datum Ausgaben],"&lt;"&amp;EDATE(Q$5,1),tblAuftraege[Auftrag],$A97))</f>
        <v>0</v>
      </c>
      <c r="R97" s="11" t="n">
        <f aca="false">IF($A97="",0,SUMIFS(tblAuftraege[Ausgaben],tblAuftraege[Datum Ausgaben],"&gt;="&amp;R$5,tblAuftraege[Datum Ausgaben],"&lt;"&amp;EDATE(R$5,1),tblAuftraege[Auftrag],$A97))</f>
        <v>0</v>
      </c>
      <c r="S97" s="11" t="n">
        <f aca="false">IF($A97="",0,SUMIFS(tblAuftraege[Ausgaben],tblAuftraege[Datum Ausgaben],"&gt;="&amp;S$5,tblAuftraege[Datum Ausgaben],"&lt;"&amp;EDATE(S$5,1),tblAuftraege[Auftrag],$A97))</f>
        <v>0</v>
      </c>
      <c r="T97" s="11" t="n">
        <f aca="false">IF($A97="",0,SUMIFS(tblAuftraege[Ausgaben],tblAuftraege[Datum Ausgaben],"&gt;="&amp;T$5,tblAuftraege[Datum Ausgaben],"&lt;"&amp;EDATE(T$5,1),tblAuftraege[Auftrag],$A97))</f>
        <v>0</v>
      </c>
      <c r="U97" s="11" t="n">
        <f aca="false">IF($A97="",0,SUMIFS(tblAuftraege[Ausgaben],tblAuftraege[Datum Ausgaben],"&gt;="&amp;U$5,tblAuftraege[Datum Ausgaben],"&lt;"&amp;EDATE(U$5,1),tblAuftraege[Auftrag],$A97))</f>
        <v>0</v>
      </c>
      <c r="V97" s="11" t="n">
        <f aca="false">IF($A97="",0,SUMIFS(tblAuftraege[Ausgaben],tblAuftraege[Datum Ausgaben],"&gt;="&amp;V$5,tblAuftraege[Datum Ausgaben],"&lt;"&amp;EDATE(V$5,1),tblAuftraege[Auftrag],$A97))</f>
        <v>0</v>
      </c>
      <c r="W97" s="11" t="n">
        <f aca="false">SUM(E97:J97)</f>
        <v>0</v>
      </c>
      <c r="X97" s="11" t="n">
        <f aca="false">SUM(K97:V97)</f>
        <v>0</v>
      </c>
      <c r="Y97" s="12" t="n">
        <f aca="false">SUM(E97:V97)</f>
        <v>0</v>
      </c>
    </row>
    <row r="98" customFormat="false" ht="15" hidden="false" customHeight="false" outlineLevel="0" collapsed="false">
      <c r="A98" s="9"/>
      <c r="B98" s="10" t="str">
        <f aca="false">IF($A98="","",IFERROR(INDEX(tblAuftraege[Kostenstelle],MATCH($A98,tblAuftraege[Auftrag],0)),""))</f>
        <v/>
      </c>
      <c r="C98" s="10" t="str">
        <f aca="false">IF($A98="","",IFERROR(INDEX(tblAuftraege[Themenfeld],MATCH($A98,tblAuftraege[Auftrag],0)),""))</f>
        <v/>
      </c>
      <c r="D98" s="10" t="str">
        <f aca="false">IF($A98="","",IFERROR(INDEX(tblAuftraege[Kategorie],MATCH($A98,tblAuftraege[Auftrag],0)),""))</f>
        <v/>
      </c>
      <c r="E98" s="11" t="n">
        <f aca="false">IF($A98="",0,SUMIFS(tblAuftraege[Ausgaben],tblAuftraege[Datum Ausgaben],"&gt;="&amp;E$5,tblAuftraege[Datum Ausgaben],"&lt;"&amp;EDATE(E$5,1),tblAuftraege[Auftrag],$A98))</f>
        <v>0</v>
      </c>
      <c r="F98" s="11" t="n">
        <f aca="false">IF($A98="",0,SUMIFS(tblAuftraege[Ausgaben],tblAuftraege[Datum Ausgaben],"&gt;="&amp;F$5,tblAuftraege[Datum Ausgaben],"&lt;"&amp;EDATE(F$5,1),tblAuftraege[Auftrag],$A98))</f>
        <v>0</v>
      </c>
      <c r="G98" s="11" t="n">
        <f aca="false">IF($A98="",0,SUMIFS(tblAuftraege[Ausgaben],tblAuftraege[Datum Ausgaben],"&gt;="&amp;G$5,tblAuftraege[Datum Ausgaben],"&lt;"&amp;EDATE(G$5,1),tblAuftraege[Auftrag],$A98))</f>
        <v>0</v>
      </c>
      <c r="H98" s="11" t="n">
        <f aca="false">IF($A98="",0,SUMIFS(tblAuftraege[Ausgaben],tblAuftraege[Datum Ausgaben],"&gt;="&amp;H$5,tblAuftraege[Datum Ausgaben],"&lt;"&amp;EDATE(H$5,1),tblAuftraege[Auftrag],$A98))</f>
        <v>0</v>
      </c>
      <c r="I98" s="11" t="n">
        <f aca="false">IF($A98="",0,SUMIFS(tblAuftraege[Ausgaben],tblAuftraege[Datum Ausgaben],"&gt;="&amp;I$5,tblAuftraege[Datum Ausgaben],"&lt;"&amp;EDATE(I$5,1),tblAuftraege[Auftrag],$A98))</f>
        <v>0</v>
      </c>
      <c r="J98" s="11" t="n">
        <f aca="false">IF($A98="",0,SUMIFS(tblAuftraege[Ausgaben],tblAuftraege[Datum Ausgaben],"&gt;="&amp;J$5,tblAuftraege[Datum Ausgaben],"&lt;"&amp;EDATE(J$5,1),tblAuftraege[Auftrag],$A98))</f>
        <v>0</v>
      </c>
      <c r="K98" s="11" t="n">
        <f aca="false">IF($A98="",0,SUMIFS(tblAuftraege[Ausgaben],tblAuftraege[Datum Ausgaben],"&gt;="&amp;K$5,tblAuftraege[Datum Ausgaben],"&lt;"&amp;EDATE(K$5,1),tblAuftraege[Auftrag],$A98))</f>
        <v>0</v>
      </c>
      <c r="L98" s="11" t="n">
        <f aca="false">IF($A98="",0,SUMIFS(tblAuftraege[Ausgaben],tblAuftraege[Datum Ausgaben],"&gt;="&amp;L$5,tblAuftraege[Datum Ausgaben],"&lt;"&amp;EDATE(L$5,1),tblAuftraege[Auftrag],$A98))</f>
        <v>0</v>
      </c>
      <c r="M98" s="11" t="n">
        <f aca="false">IF($A98="",0,SUMIFS(tblAuftraege[Ausgaben],tblAuftraege[Datum Ausgaben],"&gt;="&amp;M$5,tblAuftraege[Datum Ausgaben],"&lt;"&amp;EDATE(M$5,1),tblAuftraege[Auftrag],$A98))</f>
        <v>0</v>
      </c>
      <c r="N98" s="11" t="n">
        <f aca="false">IF($A98="",0,SUMIFS(tblAuftraege[Ausgaben],tblAuftraege[Datum Ausgaben],"&gt;="&amp;N$5,tblAuftraege[Datum Ausgaben],"&lt;"&amp;EDATE(N$5,1),tblAuftraege[Auftrag],$A98))</f>
        <v>0</v>
      </c>
      <c r="O98" s="11" t="n">
        <f aca="false">IF($A98="",0,SUMIFS(tblAuftraege[Ausgaben],tblAuftraege[Datum Ausgaben],"&gt;="&amp;O$5,tblAuftraege[Datum Ausgaben],"&lt;"&amp;EDATE(O$5,1),tblAuftraege[Auftrag],$A98))</f>
        <v>0</v>
      </c>
      <c r="P98" s="11" t="n">
        <f aca="false">IF($A98="",0,SUMIFS(tblAuftraege[Ausgaben],tblAuftraege[Datum Ausgaben],"&gt;="&amp;P$5,tblAuftraege[Datum Ausgaben],"&lt;"&amp;EDATE(P$5,1),tblAuftraege[Auftrag],$A98))</f>
        <v>0</v>
      </c>
      <c r="Q98" s="11" t="n">
        <f aca="false">IF($A98="",0,SUMIFS(tblAuftraege[Ausgaben],tblAuftraege[Datum Ausgaben],"&gt;="&amp;Q$5,tblAuftraege[Datum Ausgaben],"&lt;"&amp;EDATE(Q$5,1),tblAuftraege[Auftrag],$A98))</f>
        <v>0</v>
      </c>
      <c r="R98" s="11" t="n">
        <f aca="false">IF($A98="",0,SUMIFS(tblAuftraege[Ausgaben],tblAuftraege[Datum Ausgaben],"&gt;="&amp;R$5,tblAuftraege[Datum Ausgaben],"&lt;"&amp;EDATE(R$5,1),tblAuftraege[Auftrag],$A98))</f>
        <v>0</v>
      </c>
      <c r="S98" s="11" t="n">
        <f aca="false">IF($A98="",0,SUMIFS(tblAuftraege[Ausgaben],tblAuftraege[Datum Ausgaben],"&gt;="&amp;S$5,tblAuftraege[Datum Ausgaben],"&lt;"&amp;EDATE(S$5,1),tblAuftraege[Auftrag],$A98))</f>
        <v>0</v>
      </c>
      <c r="T98" s="11" t="n">
        <f aca="false">IF($A98="",0,SUMIFS(tblAuftraege[Ausgaben],tblAuftraege[Datum Ausgaben],"&gt;="&amp;T$5,tblAuftraege[Datum Ausgaben],"&lt;"&amp;EDATE(T$5,1),tblAuftraege[Auftrag],$A98))</f>
        <v>0</v>
      </c>
      <c r="U98" s="11" t="n">
        <f aca="false">IF($A98="",0,SUMIFS(tblAuftraege[Ausgaben],tblAuftraege[Datum Ausgaben],"&gt;="&amp;U$5,tblAuftraege[Datum Ausgaben],"&lt;"&amp;EDATE(U$5,1),tblAuftraege[Auftrag],$A98))</f>
        <v>0</v>
      </c>
      <c r="V98" s="11" t="n">
        <f aca="false">IF($A98="",0,SUMIFS(tblAuftraege[Ausgaben],tblAuftraege[Datum Ausgaben],"&gt;="&amp;V$5,tblAuftraege[Datum Ausgaben],"&lt;"&amp;EDATE(V$5,1),tblAuftraege[Auftrag],$A98))</f>
        <v>0</v>
      </c>
      <c r="W98" s="11" t="n">
        <f aca="false">SUM(E98:J98)</f>
        <v>0</v>
      </c>
      <c r="X98" s="11" t="n">
        <f aca="false">SUM(K98:V98)</f>
        <v>0</v>
      </c>
      <c r="Y98" s="12" t="n">
        <f aca="false">SUM(E98:V98)</f>
        <v>0</v>
      </c>
    </row>
    <row r="99" customFormat="false" ht="15" hidden="false" customHeight="false" outlineLevel="0" collapsed="false">
      <c r="A99" s="9"/>
      <c r="B99" s="10" t="str">
        <f aca="false">IF($A99="","",IFERROR(INDEX(tblAuftraege[Kostenstelle],MATCH($A99,tblAuftraege[Auftrag],0)),""))</f>
        <v/>
      </c>
      <c r="C99" s="10" t="str">
        <f aca="false">IF($A99="","",IFERROR(INDEX(tblAuftraege[Themenfeld],MATCH($A99,tblAuftraege[Auftrag],0)),""))</f>
        <v/>
      </c>
      <c r="D99" s="10" t="str">
        <f aca="false">IF($A99="","",IFERROR(INDEX(tblAuftraege[Kategorie],MATCH($A99,tblAuftraege[Auftrag],0)),""))</f>
        <v/>
      </c>
      <c r="E99" s="11" t="n">
        <f aca="false">IF($A99="",0,SUMIFS(tblAuftraege[Ausgaben],tblAuftraege[Datum Ausgaben],"&gt;="&amp;E$5,tblAuftraege[Datum Ausgaben],"&lt;"&amp;EDATE(E$5,1),tblAuftraege[Auftrag],$A99))</f>
        <v>0</v>
      </c>
      <c r="F99" s="11" t="n">
        <f aca="false">IF($A99="",0,SUMIFS(tblAuftraege[Ausgaben],tblAuftraege[Datum Ausgaben],"&gt;="&amp;F$5,tblAuftraege[Datum Ausgaben],"&lt;"&amp;EDATE(F$5,1),tblAuftraege[Auftrag],$A99))</f>
        <v>0</v>
      </c>
      <c r="G99" s="11" t="n">
        <f aca="false">IF($A99="",0,SUMIFS(tblAuftraege[Ausgaben],tblAuftraege[Datum Ausgaben],"&gt;="&amp;G$5,tblAuftraege[Datum Ausgaben],"&lt;"&amp;EDATE(G$5,1),tblAuftraege[Auftrag],$A99))</f>
        <v>0</v>
      </c>
      <c r="H99" s="11" t="n">
        <f aca="false">IF($A99="",0,SUMIFS(tblAuftraege[Ausgaben],tblAuftraege[Datum Ausgaben],"&gt;="&amp;H$5,tblAuftraege[Datum Ausgaben],"&lt;"&amp;EDATE(H$5,1),tblAuftraege[Auftrag],$A99))</f>
        <v>0</v>
      </c>
      <c r="I99" s="11" t="n">
        <f aca="false">IF($A99="",0,SUMIFS(tblAuftraege[Ausgaben],tblAuftraege[Datum Ausgaben],"&gt;="&amp;I$5,tblAuftraege[Datum Ausgaben],"&lt;"&amp;EDATE(I$5,1),tblAuftraege[Auftrag],$A99))</f>
        <v>0</v>
      </c>
      <c r="J99" s="11" t="n">
        <f aca="false">IF($A99="",0,SUMIFS(tblAuftraege[Ausgaben],tblAuftraege[Datum Ausgaben],"&gt;="&amp;J$5,tblAuftraege[Datum Ausgaben],"&lt;"&amp;EDATE(J$5,1),tblAuftraege[Auftrag],$A99))</f>
        <v>0</v>
      </c>
      <c r="K99" s="11" t="n">
        <f aca="false">IF($A99="",0,SUMIFS(tblAuftraege[Ausgaben],tblAuftraege[Datum Ausgaben],"&gt;="&amp;K$5,tblAuftraege[Datum Ausgaben],"&lt;"&amp;EDATE(K$5,1),tblAuftraege[Auftrag],$A99))</f>
        <v>0</v>
      </c>
      <c r="L99" s="11" t="n">
        <f aca="false">IF($A99="",0,SUMIFS(tblAuftraege[Ausgaben],tblAuftraege[Datum Ausgaben],"&gt;="&amp;L$5,tblAuftraege[Datum Ausgaben],"&lt;"&amp;EDATE(L$5,1),tblAuftraege[Auftrag],$A99))</f>
        <v>0</v>
      </c>
      <c r="M99" s="11" t="n">
        <f aca="false">IF($A99="",0,SUMIFS(tblAuftraege[Ausgaben],tblAuftraege[Datum Ausgaben],"&gt;="&amp;M$5,tblAuftraege[Datum Ausgaben],"&lt;"&amp;EDATE(M$5,1),tblAuftraege[Auftrag],$A99))</f>
        <v>0</v>
      </c>
      <c r="N99" s="11" t="n">
        <f aca="false">IF($A99="",0,SUMIFS(tblAuftraege[Ausgaben],tblAuftraege[Datum Ausgaben],"&gt;="&amp;N$5,tblAuftraege[Datum Ausgaben],"&lt;"&amp;EDATE(N$5,1),tblAuftraege[Auftrag],$A99))</f>
        <v>0</v>
      </c>
      <c r="O99" s="11" t="n">
        <f aca="false">IF($A99="",0,SUMIFS(tblAuftraege[Ausgaben],tblAuftraege[Datum Ausgaben],"&gt;="&amp;O$5,tblAuftraege[Datum Ausgaben],"&lt;"&amp;EDATE(O$5,1),tblAuftraege[Auftrag],$A99))</f>
        <v>0</v>
      </c>
      <c r="P99" s="11" t="n">
        <f aca="false">IF($A99="",0,SUMIFS(tblAuftraege[Ausgaben],tblAuftraege[Datum Ausgaben],"&gt;="&amp;P$5,tblAuftraege[Datum Ausgaben],"&lt;"&amp;EDATE(P$5,1),tblAuftraege[Auftrag],$A99))</f>
        <v>0</v>
      </c>
      <c r="Q99" s="11" t="n">
        <f aca="false">IF($A99="",0,SUMIFS(tblAuftraege[Ausgaben],tblAuftraege[Datum Ausgaben],"&gt;="&amp;Q$5,tblAuftraege[Datum Ausgaben],"&lt;"&amp;EDATE(Q$5,1),tblAuftraege[Auftrag],$A99))</f>
        <v>0</v>
      </c>
      <c r="R99" s="11" t="n">
        <f aca="false">IF($A99="",0,SUMIFS(tblAuftraege[Ausgaben],tblAuftraege[Datum Ausgaben],"&gt;="&amp;R$5,tblAuftraege[Datum Ausgaben],"&lt;"&amp;EDATE(R$5,1),tblAuftraege[Auftrag],$A99))</f>
        <v>0</v>
      </c>
      <c r="S99" s="11" t="n">
        <f aca="false">IF($A99="",0,SUMIFS(tblAuftraege[Ausgaben],tblAuftraege[Datum Ausgaben],"&gt;="&amp;S$5,tblAuftraege[Datum Ausgaben],"&lt;"&amp;EDATE(S$5,1),tblAuftraege[Auftrag],$A99))</f>
        <v>0</v>
      </c>
      <c r="T99" s="11" t="n">
        <f aca="false">IF($A99="",0,SUMIFS(tblAuftraege[Ausgaben],tblAuftraege[Datum Ausgaben],"&gt;="&amp;T$5,tblAuftraege[Datum Ausgaben],"&lt;"&amp;EDATE(T$5,1),tblAuftraege[Auftrag],$A99))</f>
        <v>0</v>
      </c>
      <c r="U99" s="11" t="n">
        <f aca="false">IF($A99="",0,SUMIFS(tblAuftraege[Ausgaben],tblAuftraege[Datum Ausgaben],"&gt;="&amp;U$5,tblAuftraege[Datum Ausgaben],"&lt;"&amp;EDATE(U$5,1),tblAuftraege[Auftrag],$A99))</f>
        <v>0</v>
      </c>
      <c r="V99" s="11" t="n">
        <f aca="false">IF($A99="",0,SUMIFS(tblAuftraege[Ausgaben],tblAuftraege[Datum Ausgaben],"&gt;="&amp;V$5,tblAuftraege[Datum Ausgaben],"&lt;"&amp;EDATE(V$5,1),tblAuftraege[Auftrag],$A99))</f>
        <v>0</v>
      </c>
      <c r="W99" s="11" t="n">
        <f aca="false">SUM(E99:J99)</f>
        <v>0</v>
      </c>
      <c r="X99" s="11" t="n">
        <f aca="false">SUM(K99:V99)</f>
        <v>0</v>
      </c>
      <c r="Y99" s="12" t="n">
        <f aca="false">SUM(E99:V99)</f>
        <v>0</v>
      </c>
    </row>
    <row r="100" customFormat="false" ht="15" hidden="false" customHeight="false" outlineLevel="0" collapsed="false">
      <c r="A100" s="9"/>
      <c r="B100" s="10" t="str">
        <f aca="false">IF($A100="","",IFERROR(INDEX(tblAuftraege[Kostenstelle],MATCH($A100,tblAuftraege[Auftrag],0)),""))</f>
        <v/>
      </c>
      <c r="C100" s="10" t="str">
        <f aca="false">IF($A100="","",IFERROR(INDEX(tblAuftraege[Themenfeld],MATCH($A100,tblAuftraege[Auftrag],0)),""))</f>
        <v/>
      </c>
      <c r="D100" s="10" t="str">
        <f aca="false">IF($A100="","",IFERROR(INDEX(tblAuftraege[Kategorie],MATCH($A100,tblAuftraege[Auftrag],0)),""))</f>
        <v/>
      </c>
      <c r="E100" s="11" t="n">
        <f aca="false">IF($A100="",0,SUMIFS(tblAuftraege[Ausgaben],tblAuftraege[Datum Ausgaben],"&gt;="&amp;E$5,tblAuftraege[Datum Ausgaben],"&lt;"&amp;EDATE(E$5,1),tblAuftraege[Auftrag],$A100))</f>
        <v>0</v>
      </c>
      <c r="F100" s="11" t="n">
        <f aca="false">IF($A100="",0,SUMIFS(tblAuftraege[Ausgaben],tblAuftraege[Datum Ausgaben],"&gt;="&amp;F$5,tblAuftraege[Datum Ausgaben],"&lt;"&amp;EDATE(F$5,1),tblAuftraege[Auftrag],$A100))</f>
        <v>0</v>
      </c>
      <c r="G100" s="11" t="n">
        <f aca="false">IF($A100="",0,SUMIFS(tblAuftraege[Ausgaben],tblAuftraege[Datum Ausgaben],"&gt;="&amp;G$5,tblAuftraege[Datum Ausgaben],"&lt;"&amp;EDATE(G$5,1),tblAuftraege[Auftrag],$A100))</f>
        <v>0</v>
      </c>
      <c r="H100" s="11" t="n">
        <f aca="false">IF($A100="",0,SUMIFS(tblAuftraege[Ausgaben],tblAuftraege[Datum Ausgaben],"&gt;="&amp;H$5,tblAuftraege[Datum Ausgaben],"&lt;"&amp;EDATE(H$5,1),tblAuftraege[Auftrag],$A100))</f>
        <v>0</v>
      </c>
      <c r="I100" s="11" t="n">
        <f aca="false">IF($A100="",0,SUMIFS(tblAuftraege[Ausgaben],tblAuftraege[Datum Ausgaben],"&gt;="&amp;I$5,tblAuftraege[Datum Ausgaben],"&lt;"&amp;EDATE(I$5,1),tblAuftraege[Auftrag],$A100))</f>
        <v>0</v>
      </c>
      <c r="J100" s="11" t="n">
        <f aca="false">IF($A100="",0,SUMIFS(tblAuftraege[Ausgaben],tblAuftraege[Datum Ausgaben],"&gt;="&amp;J$5,tblAuftraege[Datum Ausgaben],"&lt;"&amp;EDATE(J$5,1),tblAuftraege[Auftrag],$A100))</f>
        <v>0</v>
      </c>
      <c r="K100" s="11" t="n">
        <f aca="false">IF($A100="",0,SUMIFS(tblAuftraege[Ausgaben],tblAuftraege[Datum Ausgaben],"&gt;="&amp;K$5,tblAuftraege[Datum Ausgaben],"&lt;"&amp;EDATE(K$5,1),tblAuftraege[Auftrag],$A100))</f>
        <v>0</v>
      </c>
      <c r="L100" s="11" t="n">
        <f aca="false">IF($A100="",0,SUMIFS(tblAuftraege[Ausgaben],tblAuftraege[Datum Ausgaben],"&gt;="&amp;L$5,tblAuftraege[Datum Ausgaben],"&lt;"&amp;EDATE(L$5,1),tblAuftraege[Auftrag],$A100))</f>
        <v>0</v>
      </c>
      <c r="M100" s="11" t="n">
        <f aca="false">IF($A100="",0,SUMIFS(tblAuftraege[Ausgaben],tblAuftraege[Datum Ausgaben],"&gt;="&amp;M$5,tblAuftraege[Datum Ausgaben],"&lt;"&amp;EDATE(M$5,1),tblAuftraege[Auftrag],$A100))</f>
        <v>0</v>
      </c>
      <c r="N100" s="11" t="n">
        <f aca="false">IF($A100="",0,SUMIFS(tblAuftraege[Ausgaben],tblAuftraege[Datum Ausgaben],"&gt;="&amp;N$5,tblAuftraege[Datum Ausgaben],"&lt;"&amp;EDATE(N$5,1),tblAuftraege[Auftrag],$A100))</f>
        <v>0</v>
      </c>
      <c r="O100" s="11" t="n">
        <f aca="false">IF($A100="",0,SUMIFS(tblAuftraege[Ausgaben],tblAuftraege[Datum Ausgaben],"&gt;="&amp;O$5,tblAuftraege[Datum Ausgaben],"&lt;"&amp;EDATE(O$5,1),tblAuftraege[Auftrag],$A100))</f>
        <v>0</v>
      </c>
      <c r="P100" s="11" t="n">
        <f aca="false">IF($A100="",0,SUMIFS(tblAuftraege[Ausgaben],tblAuftraege[Datum Ausgaben],"&gt;="&amp;P$5,tblAuftraege[Datum Ausgaben],"&lt;"&amp;EDATE(P$5,1),tblAuftraege[Auftrag],$A100))</f>
        <v>0</v>
      </c>
      <c r="Q100" s="11" t="n">
        <f aca="false">IF($A100="",0,SUMIFS(tblAuftraege[Ausgaben],tblAuftraege[Datum Ausgaben],"&gt;="&amp;Q$5,tblAuftraege[Datum Ausgaben],"&lt;"&amp;EDATE(Q$5,1),tblAuftraege[Auftrag],$A100))</f>
        <v>0</v>
      </c>
      <c r="R100" s="11" t="n">
        <f aca="false">IF($A100="",0,SUMIFS(tblAuftraege[Ausgaben],tblAuftraege[Datum Ausgaben],"&gt;="&amp;R$5,tblAuftraege[Datum Ausgaben],"&lt;"&amp;EDATE(R$5,1),tblAuftraege[Auftrag],$A100))</f>
        <v>0</v>
      </c>
      <c r="S100" s="11" t="n">
        <f aca="false">IF($A100="",0,SUMIFS(tblAuftraege[Ausgaben],tblAuftraege[Datum Ausgaben],"&gt;="&amp;S$5,tblAuftraege[Datum Ausgaben],"&lt;"&amp;EDATE(S$5,1),tblAuftraege[Auftrag],$A100))</f>
        <v>0</v>
      </c>
      <c r="T100" s="11" t="n">
        <f aca="false">IF($A100="",0,SUMIFS(tblAuftraege[Ausgaben],tblAuftraege[Datum Ausgaben],"&gt;="&amp;T$5,tblAuftraege[Datum Ausgaben],"&lt;"&amp;EDATE(T$5,1),tblAuftraege[Auftrag],$A100))</f>
        <v>0</v>
      </c>
      <c r="U100" s="11" t="n">
        <f aca="false">IF($A100="",0,SUMIFS(tblAuftraege[Ausgaben],tblAuftraege[Datum Ausgaben],"&gt;="&amp;U$5,tblAuftraege[Datum Ausgaben],"&lt;"&amp;EDATE(U$5,1),tblAuftraege[Auftrag],$A100))</f>
        <v>0</v>
      </c>
      <c r="V100" s="11" t="n">
        <f aca="false">IF($A100="",0,SUMIFS(tblAuftraege[Ausgaben],tblAuftraege[Datum Ausgaben],"&gt;="&amp;V$5,tblAuftraege[Datum Ausgaben],"&lt;"&amp;EDATE(V$5,1),tblAuftraege[Auftrag],$A100))</f>
        <v>0</v>
      </c>
      <c r="W100" s="11" t="n">
        <f aca="false">SUM(E100:J100)</f>
        <v>0</v>
      </c>
      <c r="X100" s="11" t="n">
        <f aca="false">SUM(K100:V100)</f>
        <v>0</v>
      </c>
      <c r="Y100" s="12" t="n">
        <f aca="false">SUM(E100:V100)</f>
        <v>0</v>
      </c>
    </row>
    <row r="101" customFormat="false" ht="15" hidden="false" customHeight="false" outlineLevel="0" collapsed="false">
      <c r="A101" s="9"/>
      <c r="B101" s="10" t="str">
        <f aca="false">IF($A101="","",IFERROR(INDEX(tblAuftraege[Kostenstelle],MATCH($A101,tblAuftraege[Auftrag],0)),""))</f>
        <v/>
      </c>
      <c r="C101" s="10" t="str">
        <f aca="false">IF($A101="","",IFERROR(INDEX(tblAuftraege[Themenfeld],MATCH($A101,tblAuftraege[Auftrag],0)),""))</f>
        <v/>
      </c>
      <c r="D101" s="10" t="str">
        <f aca="false">IF($A101="","",IFERROR(INDEX(tblAuftraege[Kategorie],MATCH($A101,tblAuftraege[Auftrag],0)),""))</f>
        <v/>
      </c>
      <c r="E101" s="11" t="n">
        <f aca="false">IF($A101="",0,SUMIFS(tblAuftraege[Ausgaben],tblAuftraege[Datum Ausgaben],"&gt;="&amp;E$5,tblAuftraege[Datum Ausgaben],"&lt;"&amp;EDATE(E$5,1),tblAuftraege[Auftrag],$A101))</f>
        <v>0</v>
      </c>
      <c r="F101" s="11" t="n">
        <f aca="false">IF($A101="",0,SUMIFS(tblAuftraege[Ausgaben],tblAuftraege[Datum Ausgaben],"&gt;="&amp;F$5,tblAuftraege[Datum Ausgaben],"&lt;"&amp;EDATE(F$5,1),tblAuftraege[Auftrag],$A101))</f>
        <v>0</v>
      </c>
      <c r="G101" s="11" t="n">
        <f aca="false">IF($A101="",0,SUMIFS(tblAuftraege[Ausgaben],tblAuftraege[Datum Ausgaben],"&gt;="&amp;G$5,tblAuftraege[Datum Ausgaben],"&lt;"&amp;EDATE(G$5,1),tblAuftraege[Auftrag],$A101))</f>
        <v>0</v>
      </c>
      <c r="H101" s="11" t="n">
        <f aca="false">IF($A101="",0,SUMIFS(tblAuftraege[Ausgaben],tblAuftraege[Datum Ausgaben],"&gt;="&amp;H$5,tblAuftraege[Datum Ausgaben],"&lt;"&amp;EDATE(H$5,1),tblAuftraege[Auftrag],$A101))</f>
        <v>0</v>
      </c>
      <c r="I101" s="11" t="n">
        <f aca="false">IF($A101="",0,SUMIFS(tblAuftraege[Ausgaben],tblAuftraege[Datum Ausgaben],"&gt;="&amp;I$5,tblAuftraege[Datum Ausgaben],"&lt;"&amp;EDATE(I$5,1),tblAuftraege[Auftrag],$A101))</f>
        <v>0</v>
      </c>
      <c r="J101" s="11" t="n">
        <f aca="false">IF($A101="",0,SUMIFS(tblAuftraege[Ausgaben],tblAuftraege[Datum Ausgaben],"&gt;="&amp;J$5,tblAuftraege[Datum Ausgaben],"&lt;"&amp;EDATE(J$5,1),tblAuftraege[Auftrag],$A101))</f>
        <v>0</v>
      </c>
      <c r="K101" s="11" t="n">
        <f aca="false">IF($A101="",0,SUMIFS(tblAuftraege[Ausgaben],tblAuftraege[Datum Ausgaben],"&gt;="&amp;K$5,tblAuftraege[Datum Ausgaben],"&lt;"&amp;EDATE(K$5,1),tblAuftraege[Auftrag],$A101))</f>
        <v>0</v>
      </c>
      <c r="L101" s="11" t="n">
        <f aca="false">IF($A101="",0,SUMIFS(tblAuftraege[Ausgaben],tblAuftraege[Datum Ausgaben],"&gt;="&amp;L$5,tblAuftraege[Datum Ausgaben],"&lt;"&amp;EDATE(L$5,1),tblAuftraege[Auftrag],$A101))</f>
        <v>0</v>
      </c>
      <c r="M101" s="11" t="n">
        <f aca="false">IF($A101="",0,SUMIFS(tblAuftraege[Ausgaben],tblAuftraege[Datum Ausgaben],"&gt;="&amp;M$5,tblAuftraege[Datum Ausgaben],"&lt;"&amp;EDATE(M$5,1),tblAuftraege[Auftrag],$A101))</f>
        <v>0</v>
      </c>
      <c r="N101" s="11" t="n">
        <f aca="false">IF($A101="",0,SUMIFS(tblAuftraege[Ausgaben],tblAuftraege[Datum Ausgaben],"&gt;="&amp;N$5,tblAuftraege[Datum Ausgaben],"&lt;"&amp;EDATE(N$5,1),tblAuftraege[Auftrag],$A101))</f>
        <v>0</v>
      </c>
      <c r="O101" s="11" t="n">
        <f aca="false">IF($A101="",0,SUMIFS(tblAuftraege[Ausgaben],tblAuftraege[Datum Ausgaben],"&gt;="&amp;O$5,tblAuftraege[Datum Ausgaben],"&lt;"&amp;EDATE(O$5,1),tblAuftraege[Auftrag],$A101))</f>
        <v>0</v>
      </c>
      <c r="P101" s="11" t="n">
        <f aca="false">IF($A101="",0,SUMIFS(tblAuftraege[Ausgaben],tblAuftraege[Datum Ausgaben],"&gt;="&amp;P$5,tblAuftraege[Datum Ausgaben],"&lt;"&amp;EDATE(P$5,1),tblAuftraege[Auftrag],$A101))</f>
        <v>0</v>
      </c>
      <c r="Q101" s="11" t="n">
        <f aca="false">IF($A101="",0,SUMIFS(tblAuftraege[Ausgaben],tblAuftraege[Datum Ausgaben],"&gt;="&amp;Q$5,tblAuftraege[Datum Ausgaben],"&lt;"&amp;EDATE(Q$5,1),tblAuftraege[Auftrag],$A101))</f>
        <v>0</v>
      </c>
      <c r="R101" s="11" t="n">
        <f aca="false">IF($A101="",0,SUMIFS(tblAuftraege[Ausgaben],tblAuftraege[Datum Ausgaben],"&gt;="&amp;R$5,tblAuftraege[Datum Ausgaben],"&lt;"&amp;EDATE(R$5,1),tblAuftraege[Auftrag],$A101))</f>
        <v>0</v>
      </c>
      <c r="S101" s="11" t="n">
        <f aca="false">IF($A101="",0,SUMIFS(tblAuftraege[Ausgaben],tblAuftraege[Datum Ausgaben],"&gt;="&amp;S$5,tblAuftraege[Datum Ausgaben],"&lt;"&amp;EDATE(S$5,1),tblAuftraege[Auftrag],$A101))</f>
        <v>0</v>
      </c>
      <c r="T101" s="11" t="n">
        <f aca="false">IF($A101="",0,SUMIFS(tblAuftraege[Ausgaben],tblAuftraege[Datum Ausgaben],"&gt;="&amp;T$5,tblAuftraege[Datum Ausgaben],"&lt;"&amp;EDATE(T$5,1),tblAuftraege[Auftrag],$A101))</f>
        <v>0</v>
      </c>
      <c r="U101" s="11" t="n">
        <f aca="false">IF($A101="",0,SUMIFS(tblAuftraege[Ausgaben],tblAuftraege[Datum Ausgaben],"&gt;="&amp;U$5,tblAuftraege[Datum Ausgaben],"&lt;"&amp;EDATE(U$5,1),tblAuftraege[Auftrag],$A101))</f>
        <v>0</v>
      </c>
      <c r="V101" s="11" t="n">
        <f aca="false">IF($A101="",0,SUMIFS(tblAuftraege[Ausgaben],tblAuftraege[Datum Ausgaben],"&gt;="&amp;V$5,tblAuftraege[Datum Ausgaben],"&lt;"&amp;EDATE(V$5,1),tblAuftraege[Auftrag],$A101))</f>
        <v>0</v>
      </c>
      <c r="W101" s="11" t="n">
        <f aca="false">SUM(E101:J101)</f>
        <v>0</v>
      </c>
      <c r="X101" s="11" t="n">
        <f aca="false">SUM(K101:V101)</f>
        <v>0</v>
      </c>
      <c r="Y101" s="12" t="n">
        <f aca="false">SUM(E101:V101)</f>
        <v>0</v>
      </c>
    </row>
    <row r="102" customFormat="false" ht="15" hidden="false" customHeight="false" outlineLevel="0" collapsed="false">
      <c r="A102" s="9"/>
      <c r="B102" s="10" t="str">
        <f aca="false">IF($A102="","",IFERROR(INDEX(tblAuftraege[Kostenstelle],MATCH($A102,tblAuftraege[Auftrag],0)),""))</f>
        <v/>
      </c>
      <c r="C102" s="10" t="str">
        <f aca="false">IF($A102="","",IFERROR(INDEX(tblAuftraege[Themenfeld],MATCH($A102,tblAuftraege[Auftrag],0)),""))</f>
        <v/>
      </c>
      <c r="D102" s="10" t="str">
        <f aca="false">IF($A102="","",IFERROR(INDEX(tblAuftraege[Kategorie],MATCH($A102,tblAuftraege[Auftrag],0)),""))</f>
        <v/>
      </c>
      <c r="E102" s="11" t="n">
        <f aca="false">IF($A102="",0,SUMIFS(tblAuftraege[Ausgaben],tblAuftraege[Datum Ausgaben],"&gt;="&amp;E$5,tblAuftraege[Datum Ausgaben],"&lt;"&amp;EDATE(E$5,1),tblAuftraege[Auftrag],$A102))</f>
        <v>0</v>
      </c>
      <c r="F102" s="11" t="n">
        <f aca="false">IF($A102="",0,SUMIFS(tblAuftraege[Ausgaben],tblAuftraege[Datum Ausgaben],"&gt;="&amp;F$5,tblAuftraege[Datum Ausgaben],"&lt;"&amp;EDATE(F$5,1),tblAuftraege[Auftrag],$A102))</f>
        <v>0</v>
      </c>
      <c r="G102" s="11" t="n">
        <f aca="false">IF($A102="",0,SUMIFS(tblAuftraege[Ausgaben],tblAuftraege[Datum Ausgaben],"&gt;="&amp;G$5,tblAuftraege[Datum Ausgaben],"&lt;"&amp;EDATE(G$5,1),tblAuftraege[Auftrag],$A102))</f>
        <v>0</v>
      </c>
      <c r="H102" s="11" t="n">
        <f aca="false">IF($A102="",0,SUMIFS(tblAuftraege[Ausgaben],tblAuftraege[Datum Ausgaben],"&gt;="&amp;H$5,tblAuftraege[Datum Ausgaben],"&lt;"&amp;EDATE(H$5,1),tblAuftraege[Auftrag],$A102))</f>
        <v>0</v>
      </c>
      <c r="I102" s="11" t="n">
        <f aca="false">IF($A102="",0,SUMIFS(tblAuftraege[Ausgaben],tblAuftraege[Datum Ausgaben],"&gt;="&amp;I$5,tblAuftraege[Datum Ausgaben],"&lt;"&amp;EDATE(I$5,1),tblAuftraege[Auftrag],$A102))</f>
        <v>0</v>
      </c>
      <c r="J102" s="11" t="n">
        <f aca="false">IF($A102="",0,SUMIFS(tblAuftraege[Ausgaben],tblAuftraege[Datum Ausgaben],"&gt;="&amp;J$5,tblAuftraege[Datum Ausgaben],"&lt;"&amp;EDATE(J$5,1),tblAuftraege[Auftrag],$A102))</f>
        <v>0</v>
      </c>
      <c r="K102" s="11" t="n">
        <f aca="false">IF($A102="",0,SUMIFS(tblAuftraege[Ausgaben],tblAuftraege[Datum Ausgaben],"&gt;="&amp;K$5,tblAuftraege[Datum Ausgaben],"&lt;"&amp;EDATE(K$5,1),tblAuftraege[Auftrag],$A102))</f>
        <v>0</v>
      </c>
      <c r="L102" s="11" t="n">
        <f aca="false">IF($A102="",0,SUMIFS(tblAuftraege[Ausgaben],tblAuftraege[Datum Ausgaben],"&gt;="&amp;L$5,tblAuftraege[Datum Ausgaben],"&lt;"&amp;EDATE(L$5,1),tblAuftraege[Auftrag],$A102))</f>
        <v>0</v>
      </c>
      <c r="M102" s="11" t="n">
        <f aca="false">IF($A102="",0,SUMIFS(tblAuftraege[Ausgaben],tblAuftraege[Datum Ausgaben],"&gt;="&amp;M$5,tblAuftraege[Datum Ausgaben],"&lt;"&amp;EDATE(M$5,1),tblAuftraege[Auftrag],$A102))</f>
        <v>0</v>
      </c>
      <c r="N102" s="11" t="n">
        <f aca="false">IF($A102="",0,SUMIFS(tblAuftraege[Ausgaben],tblAuftraege[Datum Ausgaben],"&gt;="&amp;N$5,tblAuftraege[Datum Ausgaben],"&lt;"&amp;EDATE(N$5,1),tblAuftraege[Auftrag],$A102))</f>
        <v>0</v>
      </c>
      <c r="O102" s="11" t="n">
        <f aca="false">IF($A102="",0,SUMIFS(tblAuftraege[Ausgaben],tblAuftraege[Datum Ausgaben],"&gt;="&amp;O$5,tblAuftraege[Datum Ausgaben],"&lt;"&amp;EDATE(O$5,1),tblAuftraege[Auftrag],$A102))</f>
        <v>0</v>
      </c>
      <c r="P102" s="11" t="n">
        <f aca="false">IF($A102="",0,SUMIFS(tblAuftraege[Ausgaben],tblAuftraege[Datum Ausgaben],"&gt;="&amp;P$5,tblAuftraege[Datum Ausgaben],"&lt;"&amp;EDATE(P$5,1),tblAuftraege[Auftrag],$A102))</f>
        <v>0</v>
      </c>
      <c r="Q102" s="11" t="n">
        <f aca="false">IF($A102="",0,SUMIFS(tblAuftraege[Ausgaben],tblAuftraege[Datum Ausgaben],"&gt;="&amp;Q$5,tblAuftraege[Datum Ausgaben],"&lt;"&amp;EDATE(Q$5,1),tblAuftraege[Auftrag],$A102))</f>
        <v>0</v>
      </c>
      <c r="R102" s="11" t="n">
        <f aca="false">IF($A102="",0,SUMIFS(tblAuftraege[Ausgaben],tblAuftraege[Datum Ausgaben],"&gt;="&amp;R$5,tblAuftraege[Datum Ausgaben],"&lt;"&amp;EDATE(R$5,1),tblAuftraege[Auftrag],$A102))</f>
        <v>0</v>
      </c>
      <c r="S102" s="11" t="n">
        <f aca="false">IF($A102="",0,SUMIFS(tblAuftraege[Ausgaben],tblAuftraege[Datum Ausgaben],"&gt;="&amp;S$5,tblAuftraege[Datum Ausgaben],"&lt;"&amp;EDATE(S$5,1),tblAuftraege[Auftrag],$A102))</f>
        <v>0</v>
      </c>
      <c r="T102" s="11" t="n">
        <f aca="false">IF($A102="",0,SUMIFS(tblAuftraege[Ausgaben],tblAuftraege[Datum Ausgaben],"&gt;="&amp;T$5,tblAuftraege[Datum Ausgaben],"&lt;"&amp;EDATE(T$5,1),tblAuftraege[Auftrag],$A102))</f>
        <v>0</v>
      </c>
      <c r="U102" s="11" t="n">
        <f aca="false">IF($A102="",0,SUMIFS(tblAuftraege[Ausgaben],tblAuftraege[Datum Ausgaben],"&gt;="&amp;U$5,tblAuftraege[Datum Ausgaben],"&lt;"&amp;EDATE(U$5,1),tblAuftraege[Auftrag],$A102))</f>
        <v>0</v>
      </c>
      <c r="V102" s="11" t="n">
        <f aca="false">IF($A102="",0,SUMIFS(tblAuftraege[Ausgaben],tblAuftraege[Datum Ausgaben],"&gt;="&amp;V$5,tblAuftraege[Datum Ausgaben],"&lt;"&amp;EDATE(V$5,1),tblAuftraege[Auftrag],$A102))</f>
        <v>0</v>
      </c>
      <c r="W102" s="11" t="n">
        <f aca="false">SUM(E102:J102)</f>
        <v>0</v>
      </c>
      <c r="X102" s="11" t="n">
        <f aca="false">SUM(K102:V102)</f>
        <v>0</v>
      </c>
      <c r="Y102" s="12" t="n">
        <f aca="false">SUM(E102:V102)</f>
        <v>0</v>
      </c>
    </row>
    <row r="103" customFormat="false" ht="15" hidden="false" customHeight="false" outlineLevel="0" collapsed="false">
      <c r="A103" s="9"/>
      <c r="B103" s="10" t="str">
        <f aca="false">IF($A103="","",IFERROR(INDEX(tblAuftraege[Kostenstelle],MATCH($A103,tblAuftraege[Auftrag],0)),""))</f>
        <v/>
      </c>
      <c r="C103" s="10" t="str">
        <f aca="false">IF($A103="","",IFERROR(INDEX(tblAuftraege[Themenfeld],MATCH($A103,tblAuftraege[Auftrag],0)),""))</f>
        <v/>
      </c>
      <c r="D103" s="10" t="str">
        <f aca="false">IF($A103="","",IFERROR(INDEX(tblAuftraege[Kategorie],MATCH($A103,tblAuftraege[Auftrag],0)),""))</f>
        <v/>
      </c>
      <c r="E103" s="11" t="n">
        <f aca="false">IF($A103="",0,SUMIFS(tblAuftraege[Ausgaben],tblAuftraege[Datum Ausgaben],"&gt;="&amp;E$5,tblAuftraege[Datum Ausgaben],"&lt;"&amp;EDATE(E$5,1),tblAuftraege[Auftrag],$A103))</f>
        <v>0</v>
      </c>
      <c r="F103" s="11" t="n">
        <f aca="false">IF($A103="",0,SUMIFS(tblAuftraege[Ausgaben],tblAuftraege[Datum Ausgaben],"&gt;="&amp;F$5,tblAuftraege[Datum Ausgaben],"&lt;"&amp;EDATE(F$5,1),tblAuftraege[Auftrag],$A103))</f>
        <v>0</v>
      </c>
      <c r="G103" s="11" t="n">
        <f aca="false">IF($A103="",0,SUMIFS(tblAuftraege[Ausgaben],tblAuftraege[Datum Ausgaben],"&gt;="&amp;G$5,tblAuftraege[Datum Ausgaben],"&lt;"&amp;EDATE(G$5,1),tblAuftraege[Auftrag],$A103))</f>
        <v>0</v>
      </c>
      <c r="H103" s="11" t="n">
        <f aca="false">IF($A103="",0,SUMIFS(tblAuftraege[Ausgaben],tblAuftraege[Datum Ausgaben],"&gt;="&amp;H$5,tblAuftraege[Datum Ausgaben],"&lt;"&amp;EDATE(H$5,1),tblAuftraege[Auftrag],$A103))</f>
        <v>0</v>
      </c>
      <c r="I103" s="11" t="n">
        <f aca="false">IF($A103="",0,SUMIFS(tblAuftraege[Ausgaben],tblAuftraege[Datum Ausgaben],"&gt;="&amp;I$5,tblAuftraege[Datum Ausgaben],"&lt;"&amp;EDATE(I$5,1),tblAuftraege[Auftrag],$A103))</f>
        <v>0</v>
      </c>
      <c r="J103" s="11" t="n">
        <f aca="false">IF($A103="",0,SUMIFS(tblAuftraege[Ausgaben],tblAuftraege[Datum Ausgaben],"&gt;="&amp;J$5,tblAuftraege[Datum Ausgaben],"&lt;"&amp;EDATE(J$5,1),tblAuftraege[Auftrag],$A103))</f>
        <v>0</v>
      </c>
      <c r="K103" s="11" t="n">
        <f aca="false">IF($A103="",0,SUMIFS(tblAuftraege[Ausgaben],tblAuftraege[Datum Ausgaben],"&gt;="&amp;K$5,tblAuftraege[Datum Ausgaben],"&lt;"&amp;EDATE(K$5,1),tblAuftraege[Auftrag],$A103))</f>
        <v>0</v>
      </c>
      <c r="L103" s="11" t="n">
        <f aca="false">IF($A103="",0,SUMIFS(tblAuftraege[Ausgaben],tblAuftraege[Datum Ausgaben],"&gt;="&amp;L$5,tblAuftraege[Datum Ausgaben],"&lt;"&amp;EDATE(L$5,1),tblAuftraege[Auftrag],$A103))</f>
        <v>0</v>
      </c>
      <c r="M103" s="11" t="n">
        <f aca="false">IF($A103="",0,SUMIFS(tblAuftraege[Ausgaben],tblAuftraege[Datum Ausgaben],"&gt;="&amp;M$5,tblAuftraege[Datum Ausgaben],"&lt;"&amp;EDATE(M$5,1),tblAuftraege[Auftrag],$A103))</f>
        <v>0</v>
      </c>
      <c r="N103" s="11" t="n">
        <f aca="false">IF($A103="",0,SUMIFS(tblAuftraege[Ausgaben],tblAuftraege[Datum Ausgaben],"&gt;="&amp;N$5,tblAuftraege[Datum Ausgaben],"&lt;"&amp;EDATE(N$5,1),tblAuftraege[Auftrag],$A103))</f>
        <v>0</v>
      </c>
      <c r="O103" s="11" t="n">
        <f aca="false">IF($A103="",0,SUMIFS(tblAuftraege[Ausgaben],tblAuftraege[Datum Ausgaben],"&gt;="&amp;O$5,tblAuftraege[Datum Ausgaben],"&lt;"&amp;EDATE(O$5,1),tblAuftraege[Auftrag],$A103))</f>
        <v>0</v>
      </c>
      <c r="P103" s="11" t="n">
        <f aca="false">IF($A103="",0,SUMIFS(tblAuftraege[Ausgaben],tblAuftraege[Datum Ausgaben],"&gt;="&amp;P$5,tblAuftraege[Datum Ausgaben],"&lt;"&amp;EDATE(P$5,1),tblAuftraege[Auftrag],$A103))</f>
        <v>0</v>
      </c>
      <c r="Q103" s="11" t="n">
        <f aca="false">IF($A103="",0,SUMIFS(tblAuftraege[Ausgaben],tblAuftraege[Datum Ausgaben],"&gt;="&amp;Q$5,tblAuftraege[Datum Ausgaben],"&lt;"&amp;EDATE(Q$5,1),tblAuftraege[Auftrag],$A103))</f>
        <v>0</v>
      </c>
      <c r="R103" s="11" t="n">
        <f aca="false">IF($A103="",0,SUMIFS(tblAuftraege[Ausgaben],tblAuftraege[Datum Ausgaben],"&gt;="&amp;R$5,tblAuftraege[Datum Ausgaben],"&lt;"&amp;EDATE(R$5,1),tblAuftraege[Auftrag],$A103))</f>
        <v>0</v>
      </c>
      <c r="S103" s="11" t="n">
        <f aca="false">IF($A103="",0,SUMIFS(tblAuftraege[Ausgaben],tblAuftraege[Datum Ausgaben],"&gt;="&amp;S$5,tblAuftraege[Datum Ausgaben],"&lt;"&amp;EDATE(S$5,1),tblAuftraege[Auftrag],$A103))</f>
        <v>0</v>
      </c>
      <c r="T103" s="11" t="n">
        <f aca="false">IF($A103="",0,SUMIFS(tblAuftraege[Ausgaben],tblAuftraege[Datum Ausgaben],"&gt;="&amp;T$5,tblAuftraege[Datum Ausgaben],"&lt;"&amp;EDATE(T$5,1),tblAuftraege[Auftrag],$A103))</f>
        <v>0</v>
      </c>
      <c r="U103" s="11" t="n">
        <f aca="false">IF($A103="",0,SUMIFS(tblAuftraege[Ausgaben],tblAuftraege[Datum Ausgaben],"&gt;="&amp;U$5,tblAuftraege[Datum Ausgaben],"&lt;"&amp;EDATE(U$5,1),tblAuftraege[Auftrag],$A103))</f>
        <v>0</v>
      </c>
      <c r="V103" s="11" t="n">
        <f aca="false">IF($A103="",0,SUMIFS(tblAuftraege[Ausgaben],tblAuftraege[Datum Ausgaben],"&gt;="&amp;V$5,tblAuftraege[Datum Ausgaben],"&lt;"&amp;EDATE(V$5,1),tblAuftraege[Auftrag],$A103))</f>
        <v>0</v>
      </c>
      <c r="W103" s="11" t="n">
        <f aca="false">SUM(E103:J103)</f>
        <v>0</v>
      </c>
      <c r="X103" s="11" t="n">
        <f aca="false">SUM(K103:V103)</f>
        <v>0</v>
      </c>
      <c r="Y103" s="12" t="n">
        <f aca="false">SUM(E103:V103)</f>
        <v>0</v>
      </c>
    </row>
    <row r="104" customFormat="false" ht="15" hidden="false" customHeight="false" outlineLevel="0" collapsed="false">
      <c r="A104" s="9"/>
      <c r="B104" s="10" t="str">
        <f aca="false">IF($A104="","",IFERROR(INDEX(tblAuftraege[Kostenstelle],MATCH($A104,tblAuftraege[Auftrag],0)),""))</f>
        <v/>
      </c>
      <c r="C104" s="10" t="str">
        <f aca="false">IF($A104="","",IFERROR(INDEX(tblAuftraege[Themenfeld],MATCH($A104,tblAuftraege[Auftrag],0)),""))</f>
        <v/>
      </c>
      <c r="D104" s="10" t="str">
        <f aca="false">IF($A104="","",IFERROR(INDEX(tblAuftraege[Kategorie],MATCH($A104,tblAuftraege[Auftrag],0)),""))</f>
        <v/>
      </c>
      <c r="E104" s="11" t="n">
        <f aca="false">IF($A104="",0,SUMIFS(tblAuftraege[Ausgaben],tblAuftraege[Datum Ausgaben],"&gt;="&amp;E$5,tblAuftraege[Datum Ausgaben],"&lt;"&amp;EDATE(E$5,1),tblAuftraege[Auftrag],$A104))</f>
        <v>0</v>
      </c>
      <c r="F104" s="11" t="n">
        <f aca="false">IF($A104="",0,SUMIFS(tblAuftraege[Ausgaben],tblAuftraege[Datum Ausgaben],"&gt;="&amp;F$5,tblAuftraege[Datum Ausgaben],"&lt;"&amp;EDATE(F$5,1),tblAuftraege[Auftrag],$A104))</f>
        <v>0</v>
      </c>
      <c r="G104" s="11" t="n">
        <f aca="false">IF($A104="",0,SUMIFS(tblAuftraege[Ausgaben],tblAuftraege[Datum Ausgaben],"&gt;="&amp;G$5,tblAuftraege[Datum Ausgaben],"&lt;"&amp;EDATE(G$5,1),tblAuftraege[Auftrag],$A104))</f>
        <v>0</v>
      </c>
      <c r="H104" s="11" t="n">
        <f aca="false">IF($A104="",0,SUMIFS(tblAuftraege[Ausgaben],tblAuftraege[Datum Ausgaben],"&gt;="&amp;H$5,tblAuftraege[Datum Ausgaben],"&lt;"&amp;EDATE(H$5,1),tblAuftraege[Auftrag],$A104))</f>
        <v>0</v>
      </c>
      <c r="I104" s="11" t="n">
        <f aca="false">IF($A104="",0,SUMIFS(tblAuftraege[Ausgaben],tblAuftraege[Datum Ausgaben],"&gt;="&amp;I$5,tblAuftraege[Datum Ausgaben],"&lt;"&amp;EDATE(I$5,1),tblAuftraege[Auftrag],$A104))</f>
        <v>0</v>
      </c>
      <c r="J104" s="11" t="n">
        <f aca="false">IF($A104="",0,SUMIFS(tblAuftraege[Ausgaben],tblAuftraege[Datum Ausgaben],"&gt;="&amp;J$5,tblAuftraege[Datum Ausgaben],"&lt;"&amp;EDATE(J$5,1),tblAuftraege[Auftrag],$A104))</f>
        <v>0</v>
      </c>
      <c r="K104" s="11" t="n">
        <f aca="false">IF($A104="",0,SUMIFS(tblAuftraege[Ausgaben],tblAuftraege[Datum Ausgaben],"&gt;="&amp;K$5,tblAuftraege[Datum Ausgaben],"&lt;"&amp;EDATE(K$5,1),tblAuftraege[Auftrag],$A104))</f>
        <v>0</v>
      </c>
      <c r="L104" s="11" t="n">
        <f aca="false">IF($A104="",0,SUMIFS(tblAuftraege[Ausgaben],tblAuftraege[Datum Ausgaben],"&gt;="&amp;L$5,tblAuftraege[Datum Ausgaben],"&lt;"&amp;EDATE(L$5,1),tblAuftraege[Auftrag],$A104))</f>
        <v>0</v>
      </c>
      <c r="M104" s="11" t="n">
        <f aca="false">IF($A104="",0,SUMIFS(tblAuftraege[Ausgaben],tblAuftraege[Datum Ausgaben],"&gt;="&amp;M$5,tblAuftraege[Datum Ausgaben],"&lt;"&amp;EDATE(M$5,1),tblAuftraege[Auftrag],$A104))</f>
        <v>0</v>
      </c>
      <c r="N104" s="11" t="n">
        <f aca="false">IF($A104="",0,SUMIFS(tblAuftraege[Ausgaben],tblAuftraege[Datum Ausgaben],"&gt;="&amp;N$5,tblAuftraege[Datum Ausgaben],"&lt;"&amp;EDATE(N$5,1),tblAuftraege[Auftrag],$A104))</f>
        <v>0</v>
      </c>
      <c r="O104" s="11" t="n">
        <f aca="false">IF($A104="",0,SUMIFS(tblAuftraege[Ausgaben],tblAuftraege[Datum Ausgaben],"&gt;="&amp;O$5,tblAuftraege[Datum Ausgaben],"&lt;"&amp;EDATE(O$5,1),tblAuftraege[Auftrag],$A104))</f>
        <v>0</v>
      </c>
      <c r="P104" s="11" t="n">
        <f aca="false">IF($A104="",0,SUMIFS(tblAuftraege[Ausgaben],tblAuftraege[Datum Ausgaben],"&gt;="&amp;P$5,tblAuftraege[Datum Ausgaben],"&lt;"&amp;EDATE(P$5,1),tblAuftraege[Auftrag],$A104))</f>
        <v>0</v>
      </c>
      <c r="Q104" s="11" t="n">
        <f aca="false">IF($A104="",0,SUMIFS(tblAuftraege[Ausgaben],tblAuftraege[Datum Ausgaben],"&gt;="&amp;Q$5,tblAuftraege[Datum Ausgaben],"&lt;"&amp;EDATE(Q$5,1),tblAuftraege[Auftrag],$A104))</f>
        <v>0</v>
      </c>
      <c r="R104" s="11" t="n">
        <f aca="false">IF($A104="",0,SUMIFS(tblAuftraege[Ausgaben],tblAuftraege[Datum Ausgaben],"&gt;="&amp;R$5,tblAuftraege[Datum Ausgaben],"&lt;"&amp;EDATE(R$5,1),tblAuftraege[Auftrag],$A104))</f>
        <v>0</v>
      </c>
      <c r="S104" s="11" t="n">
        <f aca="false">IF($A104="",0,SUMIFS(tblAuftraege[Ausgaben],tblAuftraege[Datum Ausgaben],"&gt;="&amp;S$5,tblAuftraege[Datum Ausgaben],"&lt;"&amp;EDATE(S$5,1),tblAuftraege[Auftrag],$A104))</f>
        <v>0</v>
      </c>
      <c r="T104" s="11" t="n">
        <f aca="false">IF($A104="",0,SUMIFS(tblAuftraege[Ausgaben],tblAuftraege[Datum Ausgaben],"&gt;="&amp;T$5,tblAuftraege[Datum Ausgaben],"&lt;"&amp;EDATE(T$5,1),tblAuftraege[Auftrag],$A104))</f>
        <v>0</v>
      </c>
      <c r="U104" s="11" t="n">
        <f aca="false">IF($A104="",0,SUMIFS(tblAuftraege[Ausgaben],tblAuftraege[Datum Ausgaben],"&gt;="&amp;U$5,tblAuftraege[Datum Ausgaben],"&lt;"&amp;EDATE(U$5,1),tblAuftraege[Auftrag],$A104))</f>
        <v>0</v>
      </c>
      <c r="V104" s="11" t="n">
        <f aca="false">IF($A104="",0,SUMIFS(tblAuftraege[Ausgaben],tblAuftraege[Datum Ausgaben],"&gt;="&amp;V$5,tblAuftraege[Datum Ausgaben],"&lt;"&amp;EDATE(V$5,1),tblAuftraege[Auftrag],$A104))</f>
        <v>0</v>
      </c>
      <c r="W104" s="11" t="n">
        <f aca="false">SUM(E104:J104)</f>
        <v>0</v>
      </c>
      <c r="X104" s="11" t="n">
        <f aca="false">SUM(K104:V104)</f>
        <v>0</v>
      </c>
      <c r="Y104" s="12" t="n">
        <f aca="false">SUM(E104:V104)</f>
        <v>0</v>
      </c>
    </row>
    <row r="105" customFormat="false" ht="15" hidden="false" customHeight="false" outlineLevel="0" collapsed="false">
      <c r="A105" s="9"/>
      <c r="B105" s="10" t="str">
        <f aca="false">IF($A105="","",IFERROR(INDEX(tblAuftraege[Kostenstelle],MATCH($A105,tblAuftraege[Auftrag],0)),""))</f>
        <v/>
      </c>
      <c r="C105" s="10" t="str">
        <f aca="false">IF($A105="","",IFERROR(INDEX(tblAuftraege[Themenfeld],MATCH($A105,tblAuftraege[Auftrag],0)),""))</f>
        <v/>
      </c>
      <c r="D105" s="10" t="str">
        <f aca="false">IF($A105="","",IFERROR(INDEX(tblAuftraege[Kategorie],MATCH($A105,tblAuftraege[Auftrag],0)),""))</f>
        <v/>
      </c>
      <c r="E105" s="11" t="n">
        <f aca="false">IF($A105="",0,SUMIFS(tblAuftraege[Ausgaben],tblAuftraege[Datum Ausgaben],"&gt;="&amp;E$5,tblAuftraege[Datum Ausgaben],"&lt;"&amp;EDATE(E$5,1),tblAuftraege[Auftrag],$A105))</f>
        <v>0</v>
      </c>
      <c r="F105" s="11" t="n">
        <f aca="false">IF($A105="",0,SUMIFS(tblAuftraege[Ausgaben],tblAuftraege[Datum Ausgaben],"&gt;="&amp;F$5,tblAuftraege[Datum Ausgaben],"&lt;"&amp;EDATE(F$5,1),tblAuftraege[Auftrag],$A105))</f>
        <v>0</v>
      </c>
      <c r="G105" s="11" t="n">
        <f aca="false">IF($A105="",0,SUMIFS(tblAuftraege[Ausgaben],tblAuftraege[Datum Ausgaben],"&gt;="&amp;G$5,tblAuftraege[Datum Ausgaben],"&lt;"&amp;EDATE(G$5,1),tblAuftraege[Auftrag],$A105))</f>
        <v>0</v>
      </c>
      <c r="H105" s="11" t="n">
        <f aca="false">IF($A105="",0,SUMIFS(tblAuftraege[Ausgaben],tblAuftraege[Datum Ausgaben],"&gt;="&amp;H$5,tblAuftraege[Datum Ausgaben],"&lt;"&amp;EDATE(H$5,1),tblAuftraege[Auftrag],$A105))</f>
        <v>0</v>
      </c>
      <c r="I105" s="11" t="n">
        <f aca="false">IF($A105="",0,SUMIFS(tblAuftraege[Ausgaben],tblAuftraege[Datum Ausgaben],"&gt;="&amp;I$5,tblAuftraege[Datum Ausgaben],"&lt;"&amp;EDATE(I$5,1),tblAuftraege[Auftrag],$A105))</f>
        <v>0</v>
      </c>
      <c r="J105" s="11" t="n">
        <f aca="false">IF($A105="",0,SUMIFS(tblAuftraege[Ausgaben],tblAuftraege[Datum Ausgaben],"&gt;="&amp;J$5,tblAuftraege[Datum Ausgaben],"&lt;"&amp;EDATE(J$5,1),tblAuftraege[Auftrag],$A105))</f>
        <v>0</v>
      </c>
      <c r="K105" s="11" t="n">
        <f aca="false">IF($A105="",0,SUMIFS(tblAuftraege[Ausgaben],tblAuftraege[Datum Ausgaben],"&gt;="&amp;K$5,tblAuftraege[Datum Ausgaben],"&lt;"&amp;EDATE(K$5,1),tblAuftraege[Auftrag],$A105))</f>
        <v>0</v>
      </c>
      <c r="L105" s="11" t="n">
        <f aca="false">IF($A105="",0,SUMIFS(tblAuftraege[Ausgaben],tblAuftraege[Datum Ausgaben],"&gt;="&amp;L$5,tblAuftraege[Datum Ausgaben],"&lt;"&amp;EDATE(L$5,1),tblAuftraege[Auftrag],$A105))</f>
        <v>0</v>
      </c>
      <c r="M105" s="11" t="n">
        <f aca="false">IF($A105="",0,SUMIFS(tblAuftraege[Ausgaben],tblAuftraege[Datum Ausgaben],"&gt;="&amp;M$5,tblAuftraege[Datum Ausgaben],"&lt;"&amp;EDATE(M$5,1),tblAuftraege[Auftrag],$A105))</f>
        <v>0</v>
      </c>
      <c r="N105" s="11" t="n">
        <f aca="false">IF($A105="",0,SUMIFS(tblAuftraege[Ausgaben],tblAuftraege[Datum Ausgaben],"&gt;="&amp;N$5,tblAuftraege[Datum Ausgaben],"&lt;"&amp;EDATE(N$5,1),tblAuftraege[Auftrag],$A105))</f>
        <v>0</v>
      </c>
      <c r="O105" s="11" t="n">
        <f aca="false">IF($A105="",0,SUMIFS(tblAuftraege[Ausgaben],tblAuftraege[Datum Ausgaben],"&gt;="&amp;O$5,tblAuftraege[Datum Ausgaben],"&lt;"&amp;EDATE(O$5,1),tblAuftraege[Auftrag],$A105))</f>
        <v>0</v>
      </c>
      <c r="P105" s="11" t="n">
        <f aca="false">IF($A105="",0,SUMIFS(tblAuftraege[Ausgaben],tblAuftraege[Datum Ausgaben],"&gt;="&amp;P$5,tblAuftraege[Datum Ausgaben],"&lt;"&amp;EDATE(P$5,1),tblAuftraege[Auftrag],$A105))</f>
        <v>0</v>
      </c>
      <c r="Q105" s="11" t="n">
        <f aca="false">IF($A105="",0,SUMIFS(tblAuftraege[Ausgaben],tblAuftraege[Datum Ausgaben],"&gt;="&amp;Q$5,tblAuftraege[Datum Ausgaben],"&lt;"&amp;EDATE(Q$5,1),tblAuftraege[Auftrag],$A105))</f>
        <v>0</v>
      </c>
      <c r="R105" s="11" t="n">
        <f aca="false">IF($A105="",0,SUMIFS(tblAuftraege[Ausgaben],tblAuftraege[Datum Ausgaben],"&gt;="&amp;R$5,tblAuftraege[Datum Ausgaben],"&lt;"&amp;EDATE(R$5,1),tblAuftraege[Auftrag],$A105))</f>
        <v>0</v>
      </c>
      <c r="S105" s="11" t="n">
        <f aca="false">IF($A105="",0,SUMIFS(tblAuftraege[Ausgaben],tblAuftraege[Datum Ausgaben],"&gt;="&amp;S$5,tblAuftraege[Datum Ausgaben],"&lt;"&amp;EDATE(S$5,1),tblAuftraege[Auftrag],$A105))</f>
        <v>0</v>
      </c>
      <c r="T105" s="11" t="n">
        <f aca="false">IF($A105="",0,SUMIFS(tblAuftraege[Ausgaben],tblAuftraege[Datum Ausgaben],"&gt;="&amp;T$5,tblAuftraege[Datum Ausgaben],"&lt;"&amp;EDATE(T$5,1),tblAuftraege[Auftrag],$A105))</f>
        <v>0</v>
      </c>
      <c r="U105" s="11" t="n">
        <f aca="false">IF($A105="",0,SUMIFS(tblAuftraege[Ausgaben],tblAuftraege[Datum Ausgaben],"&gt;="&amp;U$5,tblAuftraege[Datum Ausgaben],"&lt;"&amp;EDATE(U$5,1),tblAuftraege[Auftrag],$A105))</f>
        <v>0</v>
      </c>
      <c r="V105" s="11" t="n">
        <f aca="false">IF($A105="",0,SUMIFS(tblAuftraege[Ausgaben],tblAuftraege[Datum Ausgaben],"&gt;="&amp;V$5,tblAuftraege[Datum Ausgaben],"&lt;"&amp;EDATE(V$5,1),tblAuftraege[Auftrag],$A105))</f>
        <v>0</v>
      </c>
      <c r="W105" s="11" t="n">
        <f aca="false">SUM(E105:J105)</f>
        <v>0</v>
      </c>
      <c r="X105" s="11" t="n">
        <f aca="false">SUM(K105:V105)</f>
        <v>0</v>
      </c>
      <c r="Y105" s="12" t="n">
        <f aca="false">SUM(E105:V105)</f>
        <v>0</v>
      </c>
    </row>
    <row r="106" customFormat="false" ht="15" hidden="false" customHeight="false" outlineLevel="0" collapsed="false">
      <c r="A106" s="9"/>
      <c r="B106" s="10" t="str">
        <f aca="false">IF($A106="","",IFERROR(INDEX(tblAuftraege[Kostenstelle],MATCH($A106,tblAuftraege[Auftrag],0)),""))</f>
        <v/>
      </c>
      <c r="C106" s="10" t="str">
        <f aca="false">IF($A106="","",IFERROR(INDEX(tblAuftraege[Themenfeld],MATCH($A106,tblAuftraege[Auftrag],0)),""))</f>
        <v/>
      </c>
      <c r="D106" s="10" t="str">
        <f aca="false">IF($A106="","",IFERROR(INDEX(tblAuftraege[Kategorie],MATCH($A106,tblAuftraege[Auftrag],0)),""))</f>
        <v/>
      </c>
      <c r="E106" s="11" t="n">
        <f aca="false">IF($A106="",0,SUMIFS(tblAuftraege[Ausgaben],tblAuftraege[Datum Ausgaben],"&gt;="&amp;E$5,tblAuftraege[Datum Ausgaben],"&lt;"&amp;EDATE(E$5,1),tblAuftraege[Auftrag],$A106))</f>
        <v>0</v>
      </c>
      <c r="F106" s="11" t="n">
        <f aca="false">IF($A106="",0,SUMIFS(tblAuftraege[Ausgaben],tblAuftraege[Datum Ausgaben],"&gt;="&amp;F$5,tblAuftraege[Datum Ausgaben],"&lt;"&amp;EDATE(F$5,1),tblAuftraege[Auftrag],$A106))</f>
        <v>0</v>
      </c>
      <c r="G106" s="11" t="n">
        <f aca="false">IF($A106="",0,SUMIFS(tblAuftraege[Ausgaben],tblAuftraege[Datum Ausgaben],"&gt;="&amp;G$5,tblAuftraege[Datum Ausgaben],"&lt;"&amp;EDATE(G$5,1),tblAuftraege[Auftrag],$A106))</f>
        <v>0</v>
      </c>
      <c r="H106" s="11" t="n">
        <f aca="false">IF($A106="",0,SUMIFS(tblAuftraege[Ausgaben],tblAuftraege[Datum Ausgaben],"&gt;="&amp;H$5,tblAuftraege[Datum Ausgaben],"&lt;"&amp;EDATE(H$5,1),tblAuftraege[Auftrag],$A106))</f>
        <v>0</v>
      </c>
      <c r="I106" s="11" t="n">
        <f aca="false">IF($A106="",0,SUMIFS(tblAuftraege[Ausgaben],tblAuftraege[Datum Ausgaben],"&gt;="&amp;I$5,tblAuftraege[Datum Ausgaben],"&lt;"&amp;EDATE(I$5,1),tblAuftraege[Auftrag],$A106))</f>
        <v>0</v>
      </c>
      <c r="J106" s="11" t="n">
        <f aca="false">IF($A106="",0,SUMIFS(tblAuftraege[Ausgaben],tblAuftraege[Datum Ausgaben],"&gt;="&amp;J$5,tblAuftraege[Datum Ausgaben],"&lt;"&amp;EDATE(J$5,1),tblAuftraege[Auftrag],$A106))</f>
        <v>0</v>
      </c>
      <c r="K106" s="11" t="n">
        <f aca="false">IF($A106="",0,SUMIFS(tblAuftraege[Ausgaben],tblAuftraege[Datum Ausgaben],"&gt;="&amp;K$5,tblAuftraege[Datum Ausgaben],"&lt;"&amp;EDATE(K$5,1),tblAuftraege[Auftrag],$A106))</f>
        <v>0</v>
      </c>
      <c r="L106" s="11" t="n">
        <f aca="false">IF($A106="",0,SUMIFS(tblAuftraege[Ausgaben],tblAuftraege[Datum Ausgaben],"&gt;="&amp;L$5,tblAuftraege[Datum Ausgaben],"&lt;"&amp;EDATE(L$5,1),tblAuftraege[Auftrag],$A106))</f>
        <v>0</v>
      </c>
      <c r="M106" s="11" t="n">
        <f aca="false">IF($A106="",0,SUMIFS(tblAuftraege[Ausgaben],tblAuftraege[Datum Ausgaben],"&gt;="&amp;M$5,tblAuftraege[Datum Ausgaben],"&lt;"&amp;EDATE(M$5,1),tblAuftraege[Auftrag],$A106))</f>
        <v>0</v>
      </c>
      <c r="N106" s="11" t="n">
        <f aca="false">IF($A106="",0,SUMIFS(tblAuftraege[Ausgaben],tblAuftraege[Datum Ausgaben],"&gt;="&amp;N$5,tblAuftraege[Datum Ausgaben],"&lt;"&amp;EDATE(N$5,1),tblAuftraege[Auftrag],$A106))</f>
        <v>0</v>
      </c>
      <c r="O106" s="11" t="n">
        <f aca="false">IF($A106="",0,SUMIFS(tblAuftraege[Ausgaben],tblAuftraege[Datum Ausgaben],"&gt;="&amp;O$5,tblAuftraege[Datum Ausgaben],"&lt;"&amp;EDATE(O$5,1),tblAuftraege[Auftrag],$A106))</f>
        <v>0</v>
      </c>
      <c r="P106" s="11" t="n">
        <f aca="false">IF($A106="",0,SUMIFS(tblAuftraege[Ausgaben],tblAuftraege[Datum Ausgaben],"&gt;="&amp;P$5,tblAuftraege[Datum Ausgaben],"&lt;"&amp;EDATE(P$5,1),tblAuftraege[Auftrag],$A106))</f>
        <v>0</v>
      </c>
      <c r="Q106" s="11" t="n">
        <f aca="false">IF($A106="",0,SUMIFS(tblAuftraege[Ausgaben],tblAuftraege[Datum Ausgaben],"&gt;="&amp;Q$5,tblAuftraege[Datum Ausgaben],"&lt;"&amp;EDATE(Q$5,1),tblAuftraege[Auftrag],$A106))</f>
        <v>0</v>
      </c>
      <c r="R106" s="11" t="n">
        <f aca="false">IF($A106="",0,SUMIFS(tblAuftraege[Ausgaben],tblAuftraege[Datum Ausgaben],"&gt;="&amp;R$5,tblAuftraege[Datum Ausgaben],"&lt;"&amp;EDATE(R$5,1),tblAuftraege[Auftrag],$A106))</f>
        <v>0</v>
      </c>
      <c r="S106" s="11" t="n">
        <f aca="false">IF($A106="",0,SUMIFS(tblAuftraege[Ausgaben],tblAuftraege[Datum Ausgaben],"&gt;="&amp;S$5,tblAuftraege[Datum Ausgaben],"&lt;"&amp;EDATE(S$5,1),tblAuftraege[Auftrag],$A106))</f>
        <v>0</v>
      </c>
      <c r="T106" s="11" t="n">
        <f aca="false">IF($A106="",0,SUMIFS(tblAuftraege[Ausgaben],tblAuftraege[Datum Ausgaben],"&gt;="&amp;T$5,tblAuftraege[Datum Ausgaben],"&lt;"&amp;EDATE(T$5,1),tblAuftraege[Auftrag],$A106))</f>
        <v>0</v>
      </c>
      <c r="U106" s="11" t="n">
        <f aca="false">IF($A106="",0,SUMIFS(tblAuftraege[Ausgaben],tblAuftraege[Datum Ausgaben],"&gt;="&amp;U$5,tblAuftraege[Datum Ausgaben],"&lt;"&amp;EDATE(U$5,1),tblAuftraege[Auftrag],$A106))</f>
        <v>0</v>
      </c>
      <c r="V106" s="11" t="n">
        <f aca="false">IF($A106="",0,SUMIFS(tblAuftraege[Ausgaben],tblAuftraege[Datum Ausgaben],"&gt;="&amp;V$5,tblAuftraege[Datum Ausgaben],"&lt;"&amp;EDATE(V$5,1),tblAuftraege[Auftrag],$A106))</f>
        <v>0</v>
      </c>
      <c r="W106" s="11" t="n">
        <f aca="false">SUM(E106:J106)</f>
        <v>0</v>
      </c>
      <c r="X106" s="11" t="n">
        <f aca="false">SUM(K106:V106)</f>
        <v>0</v>
      </c>
      <c r="Y106" s="12" t="n">
        <f aca="false">SUM(E106:V106)</f>
        <v>0</v>
      </c>
    </row>
    <row r="107" customFormat="false" ht="15" hidden="false" customHeight="false" outlineLevel="0" collapsed="false">
      <c r="A107" s="9"/>
      <c r="B107" s="10" t="str">
        <f aca="false">IF($A107="","",IFERROR(INDEX(tblAuftraege[Kostenstelle],MATCH($A107,tblAuftraege[Auftrag],0)),""))</f>
        <v/>
      </c>
      <c r="C107" s="10" t="str">
        <f aca="false">IF($A107="","",IFERROR(INDEX(tblAuftraege[Themenfeld],MATCH($A107,tblAuftraege[Auftrag],0)),""))</f>
        <v/>
      </c>
      <c r="D107" s="10" t="str">
        <f aca="false">IF($A107="","",IFERROR(INDEX(tblAuftraege[Kategorie],MATCH($A107,tblAuftraege[Auftrag],0)),""))</f>
        <v/>
      </c>
      <c r="E107" s="11" t="n">
        <f aca="false">IF($A107="",0,SUMIFS(tblAuftraege[Ausgaben],tblAuftraege[Datum Ausgaben],"&gt;="&amp;E$5,tblAuftraege[Datum Ausgaben],"&lt;"&amp;EDATE(E$5,1),tblAuftraege[Auftrag],$A107))</f>
        <v>0</v>
      </c>
      <c r="F107" s="11" t="n">
        <f aca="false">IF($A107="",0,SUMIFS(tblAuftraege[Ausgaben],tblAuftraege[Datum Ausgaben],"&gt;="&amp;F$5,tblAuftraege[Datum Ausgaben],"&lt;"&amp;EDATE(F$5,1),tblAuftraege[Auftrag],$A107))</f>
        <v>0</v>
      </c>
      <c r="G107" s="11" t="n">
        <f aca="false">IF($A107="",0,SUMIFS(tblAuftraege[Ausgaben],tblAuftraege[Datum Ausgaben],"&gt;="&amp;G$5,tblAuftraege[Datum Ausgaben],"&lt;"&amp;EDATE(G$5,1),tblAuftraege[Auftrag],$A107))</f>
        <v>0</v>
      </c>
      <c r="H107" s="11" t="n">
        <f aca="false">IF($A107="",0,SUMIFS(tblAuftraege[Ausgaben],tblAuftraege[Datum Ausgaben],"&gt;="&amp;H$5,tblAuftraege[Datum Ausgaben],"&lt;"&amp;EDATE(H$5,1),tblAuftraege[Auftrag],$A107))</f>
        <v>0</v>
      </c>
      <c r="I107" s="11" t="n">
        <f aca="false">IF($A107="",0,SUMIFS(tblAuftraege[Ausgaben],tblAuftraege[Datum Ausgaben],"&gt;="&amp;I$5,tblAuftraege[Datum Ausgaben],"&lt;"&amp;EDATE(I$5,1),tblAuftraege[Auftrag],$A107))</f>
        <v>0</v>
      </c>
      <c r="J107" s="11" t="n">
        <f aca="false">IF($A107="",0,SUMIFS(tblAuftraege[Ausgaben],tblAuftraege[Datum Ausgaben],"&gt;="&amp;J$5,tblAuftraege[Datum Ausgaben],"&lt;"&amp;EDATE(J$5,1),tblAuftraege[Auftrag],$A107))</f>
        <v>0</v>
      </c>
      <c r="K107" s="11" t="n">
        <f aca="false">IF($A107="",0,SUMIFS(tblAuftraege[Ausgaben],tblAuftraege[Datum Ausgaben],"&gt;="&amp;K$5,tblAuftraege[Datum Ausgaben],"&lt;"&amp;EDATE(K$5,1),tblAuftraege[Auftrag],$A107))</f>
        <v>0</v>
      </c>
      <c r="L107" s="11" t="n">
        <f aca="false">IF($A107="",0,SUMIFS(tblAuftraege[Ausgaben],tblAuftraege[Datum Ausgaben],"&gt;="&amp;L$5,tblAuftraege[Datum Ausgaben],"&lt;"&amp;EDATE(L$5,1),tblAuftraege[Auftrag],$A107))</f>
        <v>0</v>
      </c>
      <c r="M107" s="11" t="n">
        <f aca="false">IF($A107="",0,SUMIFS(tblAuftraege[Ausgaben],tblAuftraege[Datum Ausgaben],"&gt;="&amp;M$5,tblAuftraege[Datum Ausgaben],"&lt;"&amp;EDATE(M$5,1),tblAuftraege[Auftrag],$A107))</f>
        <v>0</v>
      </c>
      <c r="N107" s="11" t="n">
        <f aca="false">IF($A107="",0,SUMIFS(tblAuftraege[Ausgaben],tblAuftraege[Datum Ausgaben],"&gt;="&amp;N$5,tblAuftraege[Datum Ausgaben],"&lt;"&amp;EDATE(N$5,1),tblAuftraege[Auftrag],$A107))</f>
        <v>0</v>
      </c>
      <c r="O107" s="11" t="n">
        <f aca="false">IF($A107="",0,SUMIFS(tblAuftraege[Ausgaben],tblAuftraege[Datum Ausgaben],"&gt;="&amp;O$5,tblAuftraege[Datum Ausgaben],"&lt;"&amp;EDATE(O$5,1),tblAuftraege[Auftrag],$A107))</f>
        <v>0</v>
      </c>
      <c r="P107" s="11" t="n">
        <f aca="false">IF($A107="",0,SUMIFS(tblAuftraege[Ausgaben],tblAuftraege[Datum Ausgaben],"&gt;="&amp;P$5,tblAuftraege[Datum Ausgaben],"&lt;"&amp;EDATE(P$5,1),tblAuftraege[Auftrag],$A107))</f>
        <v>0</v>
      </c>
      <c r="Q107" s="11" t="n">
        <f aca="false">IF($A107="",0,SUMIFS(tblAuftraege[Ausgaben],tblAuftraege[Datum Ausgaben],"&gt;="&amp;Q$5,tblAuftraege[Datum Ausgaben],"&lt;"&amp;EDATE(Q$5,1),tblAuftraege[Auftrag],$A107))</f>
        <v>0</v>
      </c>
      <c r="R107" s="11" t="n">
        <f aca="false">IF($A107="",0,SUMIFS(tblAuftraege[Ausgaben],tblAuftraege[Datum Ausgaben],"&gt;="&amp;R$5,tblAuftraege[Datum Ausgaben],"&lt;"&amp;EDATE(R$5,1),tblAuftraege[Auftrag],$A107))</f>
        <v>0</v>
      </c>
      <c r="S107" s="11" t="n">
        <f aca="false">IF($A107="",0,SUMIFS(tblAuftraege[Ausgaben],tblAuftraege[Datum Ausgaben],"&gt;="&amp;S$5,tblAuftraege[Datum Ausgaben],"&lt;"&amp;EDATE(S$5,1),tblAuftraege[Auftrag],$A107))</f>
        <v>0</v>
      </c>
      <c r="T107" s="11" t="n">
        <f aca="false">IF($A107="",0,SUMIFS(tblAuftraege[Ausgaben],tblAuftraege[Datum Ausgaben],"&gt;="&amp;T$5,tblAuftraege[Datum Ausgaben],"&lt;"&amp;EDATE(T$5,1),tblAuftraege[Auftrag],$A107))</f>
        <v>0</v>
      </c>
      <c r="U107" s="11" t="n">
        <f aca="false">IF($A107="",0,SUMIFS(tblAuftraege[Ausgaben],tblAuftraege[Datum Ausgaben],"&gt;="&amp;U$5,tblAuftraege[Datum Ausgaben],"&lt;"&amp;EDATE(U$5,1),tblAuftraege[Auftrag],$A107))</f>
        <v>0</v>
      </c>
      <c r="V107" s="11" t="n">
        <f aca="false">IF($A107="",0,SUMIFS(tblAuftraege[Ausgaben],tblAuftraege[Datum Ausgaben],"&gt;="&amp;V$5,tblAuftraege[Datum Ausgaben],"&lt;"&amp;EDATE(V$5,1),tblAuftraege[Auftrag],$A107))</f>
        <v>0</v>
      </c>
      <c r="W107" s="11" t="n">
        <f aca="false">SUM(E107:J107)</f>
        <v>0</v>
      </c>
      <c r="X107" s="11" t="n">
        <f aca="false">SUM(K107:V107)</f>
        <v>0</v>
      </c>
      <c r="Y107" s="12" t="n">
        <f aca="false">SUM(E107:V107)</f>
        <v>0</v>
      </c>
    </row>
    <row r="108" customFormat="false" ht="15" hidden="false" customHeight="false" outlineLevel="0" collapsed="false">
      <c r="A108" s="9"/>
      <c r="B108" s="10" t="str">
        <f aca="false">IF($A108="","",IFERROR(INDEX(tblAuftraege[Kostenstelle],MATCH($A108,tblAuftraege[Auftrag],0)),""))</f>
        <v/>
      </c>
      <c r="C108" s="10" t="str">
        <f aca="false">IF($A108="","",IFERROR(INDEX(tblAuftraege[Themenfeld],MATCH($A108,tblAuftraege[Auftrag],0)),""))</f>
        <v/>
      </c>
      <c r="D108" s="10" t="str">
        <f aca="false">IF($A108="","",IFERROR(INDEX(tblAuftraege[Kategorie],MATCH($A108,tblAuftraege[Auftrag],0)),""))</f>
        <v/>
      </c>
      <c r="E108" s="11" t="n">
        <f aca="false">IF($A108="",0,SUMIFS(tblAuftraege[Ausgaben],tblAuftraege[Datum Ausgaben],"&gt;="&amp;E$5,tblAuftraege[Datum Ausgaben],"&lt;"&amp;EDATE(E$5,1),tblAuftraege[Auftrag],$A108))</f>
        <v>0</v>
      </c>
      <c r="F108" s="11" t="n">
        <f aca="false">IF($A108="",0,SUMIFS(tblAuftraege[Ausgaben],tblAuftraege[Datum Ausgaben],"&gt;="&amp;F$5,tblAuftraege[Datum Ausgaben],"&lt;"&amp;EDATE(F$5,1),tblAuftraege[Auftrag],$A108))</f>
        <v>0</v>
      </c>
      <c r="G108" s="11" t="n">
        <f aca="false">IF($A108="",0,SUMIFS(tblAuftraege[Ausgaben],tblAuftraege[Datum Ausgaben],"&gt;="&amp;G$5,tblAuftraege[Datum Ausgaben],"&lt;"&amp;EDATE(G$5,1),tblAuftraege[Auftrag],$A108))</f>
        <v>0</v>
      </c>
      <c r="H108" s="11" t="n">
        <f aca="false">IF($A108="",0,SUMIFS(tblAuftraege[Ausgaben],tblAuftraege[Datum Ausgaben],"&gt;="&amp;H$5,tblAuftraege[Datum Ausgaben],"&lt;"&amp;EDATE(H$5,1),tblAuftraege[Auftrag],$A108))</f>
        <v>0</v>
      </c>
      <c r="I108" s="11" t="n">
        <f aca="false">IF($A108="",0,SUMIFS(tblAuftraege[Ausgaben],tblAuftraege[Datum Ausgaben],"&gt;="&amp;I$5,tblAuftraege[Datum Ausgaben],"&lt;"&amp;EDATE(I$5,1),tblAuftraege[Auftrag],$A108))</f>
        <v>0</v>
      </c>
      <c r="J108" s="11" t="n">
        <f aca="false">IF($A108="",0,SUMIFS(tblAuftraege[Ausgaben],tblAuftraege[Datum Ausgaben],"&gt;="&amp;J$5,tblAuftraege[Datum Ausgaben],"&lt;"&amp;EDATE(J$5,1),tblAuftraege[Auftrag],$A108))</f>
        <v>0</v>
      </c>
      <c r="K108" s="11" t="n">
        <f aca="false">IF($A108="",0,SUMIFS(tblAuftraege[Ausgaben],tblAuftraege[Datum Ausgaben],"&gt;="&amp;K$5,tblAuftraege[Datum Ausgaben],"&lt;"&amp;EDATE(K$5,1),tblAuftraege[Auftrag],$A108))</f>
        <v>0</v>
      </c>
      <c r="L108" s="11" t="n">
        <f aca="false">IF($A108="",0,SUMIFS(tblAuftraege[Ausgaben],tblAuftraege[Datum Ausgaben],"&gt;="&amp;L$5,tblAuftraege[Datum Ausgaben],"&lt;"&amp;EDATE(L$5,1),tblAuftraege[Auftrag],$A108))</f>
        <v>0</v>
      </c>
      <c r="M108" s="11" t="n">
        <f aca="false">IF($A108="",0,SUMIFS(tblAuftraege[Ausgaben],tblAuftraege[Datum Ausgaben],"&gt;="&amp;M$5,tblAuftraege[Datum Ausgaben],"&lt;"&amp;EDATE(M$5,1),tblAuftraege[Auftrag],$A108))</f>
        <v>0</v>
      </c>
      <c r="N108" s="11" t="n">
        <f aca="false">IF($A108="",0,SUMIFS(tblAuftraege[Ausgaben],tblAuftraege[Datum Ausgaben],"&gt;="&amp;N$5,tblAuftraege[Datum Ausgaben],"&lt;"&amp;EDATE(N$5,1),tblAuftraege[Auftrag],$A108))</f>
        <v>0</v>
      </c>
      <c r="O108" s="11" t="n">
        <f aca="false">IF($A108="",0,SUMIFS(tblAuftraege[Ausgaben],tblAuftraege[Datum Ausgaben],"&gt;="&amp;O$5,tblAuftraege[Datum Ausgaben],"&lt;"&amp;EDATE(O$5,1),tblAuftraege[Auftrag],$A108))</f>
        <v>0</v>
      </c>
      <c r="P108" s="11" t="n">
        <f aca="false">IF($A108="",0,SUMIFS(tblAuftraege[Ausgaben],tblAuftraege[Datum Ausgaben],"&gt;="&amp;P$5,tblAuftraege[Datum Ausgaben],"&lt;"&amp;EDATE(P$5,1),tblAuftraege[Auftrag],$A108))</f>
        <v>0</v>
      </c>
      <c r="Q108" s="11" t="n">
        <f aca="false">IF($A108="",0,SUMIFS(tblAuftraege[Ausgaben],tblAuftraege[Datum Ausgaben],"&gt;="&amp;Q$5,tblAuftraege[Datum Ausgaben],"&lt;"&amp;EDATE(Q$5,1),tblAuftraege[Auftrag],$A108))</f>
        <v>0</v>
      </c>
      <c r="R108" s="11" t="n">
        <f aca="false">IF($A108="",0,SUMIFS(tblAuftraege[Ausgaben],tblAuftraege[Datum Ausgaben],"&gt;="&amp;R$5,tblAuftraege[Datum Ausgaben],"&lt;"&amp;EDATE(R$5,1),tblAuftraege[Auftrag],$A108))</f>
        <v>0</v>
      </c>
      <c r="S108" s="11" t="n">
        <f aca="false">IF($A108="",0,SUMIFS(tblAuftraege[Ausgaben],tblAuftraege[Datum Ausgaben],"&gt;="&amp;S$5,tblAuftraege[Datum Ausgaben],"&lt;"&amp;EDATE(S$5,1),tblAuftraege[Auftrag],$A108))</f>
        <v>0</v>
      </c>
      <c r="T108" s="11" t="n">
        <f aca="false">IF($A108="",0,SUMIFS(tblAuftraege[Ausgaben],tblAuftraege[Datum Ausgaben],"&gt;="&amp;T$5,tblAuftraege[Datum Ausgaben],"&lt;"&amp;EDATE(T$5,1),tblAuftraege[Auftrag],$A108))</f>
        <v>0</v>
      </c>
      <c r="U108" s="11" t="n">
        <f aca="false">IF($A108="",0,SUMIFS(tblAuftraege[Ausgaben],tblAuftraege[Datum Ausgaben],"&gt;="&amp;U$5,tblAuftraege[Datum Ausgaben],"&lt;"&amp;EDATE(U$5,1),tblAuftraege[Auftrag],$A108))</f>
        <v>0</v>
      </c>
      <c r="V108" s="11" t="n">
        <f aca="false">IF($A108="",0,SUMIFS(tblAuftraege[Ausgaben],tblAuftraege[Datum Ausgaben],"&gt;="&amp;V$5,tblAuftraege[Datum Ausgaben],"&lt;"&amp;EDATE(V$5,1),tblAuftraege[Auftrag],$A108))</f>
        <v>0</v>
      </c>
      <c r="W108" s="11" t="n">
        <f aca="false">SUM(E108:J108)</f>
        <v>0</v>
      </c>
      <c r="X108" s="11" t="n">
        <f aca="false">SUM(K108:V108)</f>
        <v>0</v>
      </c>
      <c r="Y108" s="12" t="n">
        <f aca="false">SUM(E108:V108)</f>
        <v>0</v>
      </c>
    </row>
    <row r="109" customFormat="false" ht="15" hidden="false" customHeight="false" outlineLevel="0" collapsed="false">
      <c r="A109" s="9"/>
      <c r="B109" s="10" t="str">
        <f aca="false">IF($A109="","",IFERROR(INDEX(tblAuftraege[Kostenstelle],MATCH($A109,tblAuftraege[Auftrag],0)),""))</f>
        <v/>
      </c>
      <c r="C109" s="10" t="str">
        <f aca="false">IF($A109="","",IFERROR(INDEX(tblAuftraege[Themenfeld],MATCH($A109,tblAuftraege[Auftrag],0)),""))</f>
        <v/>
      </c>
      <c r="D109" s="10" t="str">
        <f aca="false">IF($A109="","",IFERROR(INDEX(tblAuftraege[Kategorie],MATCH($A109,tblAuftraege[Auftrag],0)),""))</f>
        <v/>
      </c>
      <c r="E109" s="11" t="n">
        <f aca="false">IF($A109="",0,SUMIFS(tblAuftraege[Ausgaben],tblAuftraege[Datum Ausgaben],"&gt;="&amp;E$5,tblAuftraege[Datum Ausgaben],"&lt;"&amp;EDATE(E$5,1),tblAuftraege[Auftrag],$A109))</f>
        <v>0</v>
      </c>
      <c r="F109" s="11" t="n">
        <f aca="false">IF($A109="",0,SUMIFS(tblAuftraege[Ausgaben],tblAuftraege[Datum Ausgaben],"&gt;="&amp;F$5,tblAuftraege[Datum Ausgaben],"&lt;"&amp;EDATE(F$5,1),tblAuftraege[Auftrag],$A109))</f>
        <v>0</v>
      </c>
      <c r="G109" s="11" t="n">
        <f aca="false">IF($A109="",0,SUMIFS(tblAuftraege[Ausgaben],tblAuftraege[Datum Ausgaben],"&gt;="&amp;G$5,tblAuftraege[Datum Ausgaben],"&lt;"&amp;EDATE(G$5,1),tblAuftraege[Auftrag],$A109))</f>
        <v>0</v>
      </c>
      <c r="H109" s="11" t="n">
        <f aca="false">IF($A109="",0,SUMIFS(tblAuftraege[Ausgaben],tblAuftraege[Datum Ausgaben],"&gt;="&amp;H$5,tblAuftraege[Datum Ausgaben],"&lt;"&amp;EDATE(H$5,1),tblAuftraege[Auftrag],$A109))</f>
        <v>0</v>
      </c>
      <c r="I109" s="11" t="n">
        <f aca="false">IF($A109="",0,SUMIFS(tblAuftraege[Ausgaben],tblAuftraege[Datum Ausgaben],"&gt;="&amp;I$5,tblAuftraege[Datum Ausgaben],"&lt;"&amp;EDATE(I$5,1),tblAuftraege[Auftrag],$A109))</f>
        <v>0</v>
      </c>
      <c r="J109" s="11" t="n">
        <f aca="false">IF($A109="",0,SUMIFS(tblAuftraege[Ausgaben],tblAuftraege[Datum Ausgaben],"&gt;="&amp;J$5,tblAuftraege[Datum Ausgaben],"&lt;"&amp;EDATE(J$5,1),tblAuftraege[Auftrag],$A109))</f>
        <v>0</v>
      </c>
      <c r="K109" s="11" t="n">
        <f aca="false">IF($A109="",0,SUMIFS(tblAuftraege[Ausgaben],tblAuftraege[Datum Ausgaben],"&gt;="&amp;K$5,tblAuftraege[Datum Ausgaben],"&lt;"&amp;EDATE(K$5,1),tblAuftraege[Auftrag],$A109))</f>
        <v>0</v>
      </c>
      <c r="L109" s="11" t="n">
        <f aca="false">IF($A109="",0,SUMIFS(tblAuftraege[Ausgaben],tblAuftraege[Datum Ausgaben],"&gt;="&amp;L$5,tblAuftraege[Datum Ausgaben],"&lt;"&amp;EDATE(L$5,1),tblAuftraege[Auftrag],$A109))</f>
        <v>0</v>
      </c>
      <c r="M109" s="11" t="n">
        <f aca="false">IF($A109="",0,SUMIFS(tblAuftraege[Ausgaben],tblAuftraege[Datum Ausgaben],"&gt;="&amp;M$5,tblAuftraege[Datum Ausgaben],"&lt;"&amp;EDATE(M$5,1),tblAuftraege[Auftrag],$A109))</f>
        <v>0</v>
      </c>
      <c r="N109" s="11" t="n">
        <f aca="false">IF($A109="",0,SUMIFS(tblAuftraege[Ausgaben],tblAuftraege[Datum Ausgaben],"&gt;="&amp;N$5,tblAuftraege[Datum Ausgaben],"&lt;"&amp;EDATE(N$5,1),tblAuftraege[Auftrag],$A109))</f>
        <v>0</v>
      </c>
      <c r="O109" s="11" t="n">
        <f aca="false">IF($A109="",0,SUMIFS(tblAuftraege[Ausgaben],tblAuftraege[Datum Ausgaben],"&gt;="&amp;O$5,tblAuftraege[Datum Ausgaben],"&lt;"&amp;EDATE(O$5,1),tblAuftraege[Auftrag],$A109))</f>
        <v>0</v>
      </c>
      <c r="P109" s="11" t="n">
        <f aca="false">IF($A109="",0,SUMIFS(tblAuftraege[Ausgaben],tblAuftraege[Datum Ausgaben],"&gt;="&amp;P$5,tblAuftraege[Datum Ausgaben],"&lt;"&amp;EDATE(P$5,1),tblAuftraege[Auftrag],$A109))</f>
        <v>0</v>
      </c>
      <c r="Q109" s="11" t="n">
        <f aca="false">IF($A109="",0,SUMIFS(tblAuftraege[Ausgaben],tblAuftraege[Datum Ausgaben],"&gt;="&amp;Q$5,tblAuftraege[Datum Ausgaben],"&lt;"&amp;EDATE(Q$5,1),tblAuftraege[Auftrag],$A109))</f>
        <v>0</v>
      </c>
      <c r="R109" s="11" t="n">
        <f aca="false">IF($A109="",0,SUMIFS(tblAuftraege[Ausgaben],tblAuftraege[Datum Ausgaben],"&gt;="&amp;R$5,tblAuftraege[Datum Ausgaben],"&lt;"&amp;EDATE(R$5,1),tblAuftraege[Auftrag],$A109))</f>
        <v>0</v>
      </c>
      <c r="S109" s="11" t="n">
        <f aca="false">IF($A109="",0,SUMIFS(tblAuftraege[Ausgaben],tblAuftraege[Datum Ausgaben],"&gt;="&amp;S$5,tblAuftraege[Datum Ausgaben],"&lt;"&amp;EDATE(S$5,1),tblAuftraege[Auftrag],$A109))</f>
        <v>0</v>
      </c>
      <c r="T109" s="11" t="n">
        <f aca="false">IF($A109="",0,SUMIFS(tblAuftraege[Ausgaben],tblAuftraege[Datum Ausgaben],"&gt;="&amp;T$5,tblAuftraege[Datum Ausgaben],"&lt;"&amp;EDATE(T$5,1),tblAuftraege[Auftrag],$A109))</f>
        <v>0</v>
      </c>
      <c r="U109" s="11" t="n">
        <f aca="false">IF($A109="",0,SUMIFS(tblAuftraege[Ausgaben],tblAuftraege[Datum Ausgaben],"&gt;="&amp;U$5,tblAuftraege[Datum Ausgaben],"&lt;"&amp;EDATE(U$5,1),tblAuftraege[Auftrag],$A109))</f>
        <v>0</v>
      </c>
      <c r="V109" s="11" t="n">
        <f aca="false">IF($A109="",0,SUMIFS(tblAuftraege[Ausgaben],tblAuftraege[Datum Ausgaben],"&gt;="&amp;V$5,tblAuftraege[Datum Ausgaben],"&lt;"&amp;EDATE(V$5,1),tblAuftraege[Auftrag],$A109))</f>
        <v>0</v>
      </c>
      <c r="W109" s="11" t="n">
        <f aca="false">SUM(E109:J109)</f>
        <v>0</v>
      </c>
      <c r="X109" s="11" t="n">
        <f aca="false">SUM(K109:V109)</f>
        <v>0</v>
      </c>
      <c r="Y109" s="12" t="n">
        <f aca="false">SUM(E109:V109)</f>
        <v>0</v>
      </c>
    </row>
    <row r="110" customFormat="false" ht="15" hidden="false" customHeight="false" outlineLevel="0" collapsed="false">
      <c r="A110" s="9"/>
      <c r="B110" s="10" t="str">
        <f aca="false">IF($A110="","",IFERROR(INDEX(tblAuftraege[Kostenstelle],MATCH($A110,tblAuftraege[Auftrag],0)),""))</f>
        <v/>
      </c>
      <c r="C110" s="10" t="str">
        <f aca="false">IF($A110="","",IFERROR(INDEX(tblAuftraege[Themenfeld],MATCH($A110,tblAuftraege[Auftrag],0)),""))</f>
        <v/>
      </c>
      <c r="D110" s="10" t="str">
        <f aca="false">IF($A110="","",IFERROR(INDEX(tblAuftraege[Kategorie],MATCH($A110,tblAuftraege[Auftrag],0)),""))</f>
        <v/>
      </c>
      <c r="E110" s="11" t="n">
        <f aca="false">IF($A110="",0,SUMIFS(tblAuftraege[Ausgaben],tblAuftraege[Datum Ausgaben],"&gt;="&amp;E$5,tblAuftraege[Datum Ausgaben],"&lt;"&amp;EDATE(E$5,1),tblAuftraege[Auftrag],$A110))</f>
        <v>0</v>
      </c>
      <c r="F110" s="11" t="n">
        <f aca="false">IF($A110="",0,SUMIFS(tblAuftraege[Ausgaben],tblAuftraege[Datum Ausgaben],"&gt;="&amp;F$5,tblAuftraege[Datum Ausgaben],"&lt;"&amp;EDATE(F$5,1),tblAuftraege[Auftrag],$A110))</f>
        <v>0</v>
      </c>
      <c r="G110" s="11" t="n">
        <f aca="false">IF($A110="",0,SUMIFS(tblAuftraege[Ausgaben],tblAuftraege[Datum Ausgaben],"&gt;="&amp;G$5,tblAuftraege[Datum Ausgaben],"&lt;"&amp;EDATE(G$5,1),tblAuftraege[Auftrag],$A110))</f>
        <v>0</v>
      </c>
      <c r="H110" s="11" t="n">
        <f aca="false">IF($A110="",0,SUMIFS(tblAuftraege[Ausgaben],tblAuftraege[Datum Ausgaben],"&gt;="&amp;H$5,tblAuftraege[Datum Ausgaben],"&lt;"&amp;EDATE(H$5,1),tblAuftraege[Auftrag],$A110))</f>
        <v>0</v>
      </c>
      <c r="I110" s="11" t="n">
        <f aca="false">IF($A110="",0,SUMIFS(tblAuftraege[Ausgaben],tblAuftraege[Datum Ausgaben],"&gt;="&amp;I$5,tblAuftraege[Datum Ausgaben],"&lt;"&amp;EDATE(I$5,1),tblAuftraege[Auftrag],$A110))</f>
        <v>0</v>
      </c>
      <c r="J110" s="11" t="n">
        <f aca="false">IF($A110="",0,SUMIFS(tblAuftraege[Ausgaben],tblAuftraege[Datum Ausgaben],"&gt;="&amp;J$5,tblAuftraege[Datum Ausgaben],"&lt;"&amp;EDATE(J$5,1),tblAuftraege[Auftrag],$A110))</f>
        <v>0</v>
      </c>
      <c r="K110" s="11" t="n">
        <f aca="false">IF($A110="",0,SUMIFS(tblAuftraege[Ausgaben],tblAuftraege[Datum Ausgaben],"&gt;="&amp;K$5,tblAuftraege[Datum Ausgaben],"&lt;"&amp;EDATE(K$5,1),tblAuftraege[Auftrag],$A110))</f>
        <v>0</v>
      </c>
      <c r="L110" s="11" t="n">
        <f aca="false">IF($A110="",0,SUMIFS(tblAuftraege[Ausgaben],tblAuftraege[Datum Ausgaben],"&gt;="&amp;L$5,tblAuftraege[Datum Ausgaben],"&lt;"&amp;EDATE(L$5,1),tblAuftraege[Auftrag],$A110))</f>
        <v>0</v>
      </c>
      <c r="M110" s="11" t="n">
        <f aca="false">IF($A110="",0,SUMIFS(tblAuftraege[Ausgaben],tblAuftraege[Datum Ausgaben],"&gt;="&amp;M$5,tblAuftraege[Datum Ausgaben],"&lt;"&amp;EDATE(M$5,1),tblAuftraege[Auftrag],$A110))</f>
        <v>0</v>
      </c>
      <c r="N110" s="11" t="n">
        <f aca="false">IF($A110="",0,SUMIFS(tblAuftraege[Ausgaben],tblAuftraege[Datum Ausgaben],"&gt;="&amp;N$5,tblAuftraege[Datum Ausgaben],"&lt;"&amp;EDATE(N$5,1),tblAuftraege[Auftrag],$A110))</f>
        <v>0</v>
      </c>
      <c r="O110" s="11" t="n">
        <f aca="false">IF($A110="",0,SUMIFS(tblAuftraege[Ausgaben],tblAuftraege[Datum Ausgaben],"&gt;="&amp;O$5,tblAuftraege[Datum Ausgaben],"&lt;"&amp;EDATE(O$5,1),tblAuftraege[Auftrag],$A110))</f>
        <v>0</v>
      </c>
      <c r="P110" s="11" t="n">
        <f aca="false">IF($A110="",0,SUMIFS(tblAuftraege[Ausgaben],tblAuftraege[Datum Ausgaben],"&gt;="&amp;P$5,tblAuftraege[Datum Ausgaben],"&lt;"&amp;EDATE(P$5,1),tblAuftraege[Auftrag],$A110))</f>
        <v>0</v>
      </c>
      <c r="Q110" s="11" t="n">
        <f aca="false">IF($A110="",0,SUMIFS(tblAuftraege[Ausgaben],tblAuftraege[Datum Ausgaben],"&gt;="&amp;Q$5,tblAuftraege[Datum Ausgaben],"&lt;"&amp;EDATE(Q$5,1),tblAuftraege[Auftrag],$A110))</f>
        <v>0</v>
      </c>
      <c r="R110" s="11" t="n">
        <f aca="false">IF($A110="",0,SUMIFS(tblAuftraege[Ausgaben],tblAuftraege[Datum Ausgaben],"&gt;="&amp;R$5,tblAuftraege[Datum Ausgaben],"&lt;"&amp;EDATE(R$5,1),tblAuftraege[Auftrag],$A110))</f>
        <v>0</v>
      </c>
      <c r="S110" s="11" t="n">
        <f aca="false">IF($A110="",0,SUMIFS(tblAuftraege[Ausgaben],tblAuftraege[Datum Ausgaben],"&gt;="&amp;S$5,tblAuftraege[Datum Ausgaben],"&lt;"&amp;EDATE(S$5,1),tblAuftraege[Auftrag],$A110))</f>
        <v>0</v>
      </c>
      <c r="T110" s="11" t="n">
        <f aca="false">IF($A110="",0,SUMIFS(tblAuftraege[Ausgaben],tblAuftraege[Datum Ausgaben],"&gt;="&amp;T$5,tblAuftraege[Datum Ausgaben],"&lt;"&amp;EDATE(T$5,1),tblAuftraege[Auftrag],$A110))</f>
        <v>0</v>
      </c>
      <c r="U110" s="11" t="n">
        <f aca="false">IF($A110="",0,SUMIFS(tblAuftraege[Ausgaben],tblAuftraege[Datum Ausgaben],"&gt;="&amp;U$5,tblAuftraege[Datum Ausgaben],"&lt;"&amp;EDATE(U$5,1),tblAuftraege[Auftrag],$A110))</f>
        <v>0</v>
      </c>
      <c r="V110" s="11" t="n">
        <f aca="false">IF($A110="",0,SUMIFS(tblAuftraege[Ausgaben],tblAuftraege[Datum Ausgaben],"&gt;="&amp;V$5,tblAuftraege[Datum Ausgaben],"&lt;"&amp;EDATE(V$5,1),tblAuftraege[Auftrag],$A110))</f>
        <v>0</v>
      </c>
      <c r="W110" s="11" t="n">
        <f aca="false">SUM(E110:J110)</f>
        <v>0</v>
      </c>
      <c r="X110" s="11" t="n">
        <f aca="false">SUM(K110:V110)</f>
        <v>0</v>
      </c>
      <c r="Y110" s="12" t="n">
        <f aca="false">SUM(E110:V110)</f>
        <v>0</v>
      </c>
    </row>
    <row r="111" customFormat="false" ht="15" hidden="false" customHeight="false" outlineLevel="0" collapsed="false">
      <c r="A111" s="9"/>
      <c r="B111" s="10" t="str">
        <f aca="false">IF($A111="","",IFERROR(INDEX(tblAuftraege[Kostenstelle],MATCH($A111,tblAuftraege[Auftrag],0)),""))</f>
        <v/>
      </c>
      <c r="C111" s="10" t="str">
        <f aca="false">IF($A111="","",IFERROR(INDEX(tblAuftraege[Themenfeld],MATCH($A111,tblAuftraege[Auftrag],0)),""))</f>
        <v/>
      </c>
      <c r="D111" s="10" t="str">
        <f aca="false">IF($A111="","",IFERROR(INDEX(tblAuftraege[Kategorie],MATCH($A111,tblAuftraege[Auftrag],0)),""))</f>
        <v/>
      </c>
      <c r="E111" s="11" t="n">
        <f aca="false">IF($A111="",0,SUMIFS(tblAuftraege[Ausgaben],tblAuftraege[Datum Ausgaben],"&gt;="&amp;E$5,tblAuftraege[Datum Ausgaben],"&lt;"&amp;EDATE(E$5,1),tblAuftraege[Auftrag],$A111))</f>
        <v>0</v>
      </c>
      <c r="F111" s="11" t="n">
        <f aca="false">IF($A111="",0,SUMIFS(tblAuftraege[Ausgaben],tblAuftraege[Datum Ausgaben],"&gt;="&amp;F$5,tblAuftraege[Datum Ausgaben],"&lt;"&amp;EDATE(F$5,1),tblAuftraege[Auftrag],$A111))</f>
        <v>0</v>
      </c>
      <c r="G111" s="11" t="n">
        <f aca="false">IF($A111="",0,SUMIFS(tblAuftraege[Ausgaben],tblAuftraege[Datum Ausgaben],"&gt;="&amp;G$5,tblAuftraege[Datum Ausgaben],"&lt;"&amp;EDATE(G$5,1),tblAuftraege[Auftrag],$A111))</f>
        <v>0</v>
      </c>
      <c r="H111" s="11" t="n">
        <f aca="false">IF($A111="",0,SUMIFS(tblAuftraege[Ausgaben],tblAuftraege[Datum Ausgaben],"&gt;="&amp;H$5,tblAuftraege[Datum Ausgaben],"&lt;"&amp;EDATE(H$5,1),tblAuftraege[Auftrag],$A111))</f>
        <v>0</v>
      </c>
      <c r="I111" s="11" t="n">
        <f aca="false">IF($A111="",0,SUMIFS(tblAuftraege[Ausgaben],tblAuftraege[Datum Ausgaben],"&gt;="&amp;I$5,tblAuftraege[Datum Ausgaben],"&lt;"&amp;EDATE(I$5,1),tblAuftraege[Auftrag],$A111))</f>
        <v>0</v>
      </c>
      <c r="J111" s="11" t="n">
        <f aca="false">IF($A111="",0,SUMIFS(tblAuftraege[Ausgaben],tblAuftraege[Datum Ausgaben],"&gt;="&amp;J$5,tblAuftraege[Datum Ausgaben],"&lt;"&amp;EDATE(J$5,1),tblAuftraege[Auftrag],$A111))</f>
        <v>0</v>
      </c>
      <c r="K111" s="11" t="n">
        <f aca="false">IF($A111="",0,SUMIFS(tblAuftraege[Ausgaben],tblAuftraege[Datum Ausgaben],"&gt;="&amp;K$5,tblAuftraege[Datum Ausgaben],"&lt;"&amp;EDATE(K$5,1),tblAuftraege[Auftrag],$A111))</f>
        <v>0</v>
      </c>
      <c r="L111" s="11" t="n">
        <f aca="false">IF($A111="",0,SUMIFS(tblAuftraege[Ausgaben],tblAuftraege[Datum Ausgaben],"&gt;="&amp;L$5,tblAuftraege[Datum Ausgaben],"&lt;"&amp;EDATE(L$5,1),tblAuftraege[Auftrag],$A111))</f>
        <v>0</v>
      </c>
      <c r="M111" s="11" t="n">
        <f aca="false">IF($A111="",0,SUMIFS(tblAuftraege[Ausgaben],tblAuftraege[Datum Ausgaben],"&gt;="&amp;M$5,tblAuftraege[Datum Ausgaben],"&lt;"&amp;EDATE(M$5,1),tblAuftraege[Auftrag],$A111))</f>
        <v>0</v>
      </c>
      <c r="N111" s="11" t="n">
        <f aca="false">IF($A111="",0,SUMIFS(tblAuftraege[Ausgaben],tblAuftraege[Datum Ausgaben],"&gt;="&amp;N$5,tblAuftraege[Datum Ausgaben],"&lt;"&amp;EDATE(N$5,1),tblAuftraege[Auftrag],$A111))</f>
        <v>0</v>
      </c>
      <c r="O111" s="11" t="n">
        <f aca="false">IF($A111="",0,SUMIFS(tblAuftraege[Ausgaben],tblAuftraege[Datum Ausgaben],"&gt;="&amp;O$5,tblAuftraege[Datum Ausgaben],"&lt;"&amp;EDATE(O$5,1),tblAuftraege[Auftrag],$A111))</f>
        <v>0</v>
      </c>
      <c r="P111" s="11" t="n">
        <f aca="false">IF($A111="",0,SUMIFS(tblAuftraege[Ausgaben],tblAuftraege[Datum Ausgaben],"&gt;="&amp;P$5,tblAuftraege[Datum Ausgaben],"&lt;"&amp;EDATE(P$5,1),tblAuftraege[Auftrag],$A111))</f>
        <v>0</v>
      </c>
      <c r="Q111" s="11" t="n">
        <f aca="false">IF($A111="",0,SUMIFS(tblAuftraege[Ausgaben],tblAuftraege[Datum Ausgaben],"&gt;="&amp;Q$5,tblAuftraege[Datum Ausgaben],"&lt;"&amp;EDATE(Q$5,1),tblAuftraege[Auftrag],$A111))</f>
        <v>0</v>
      </c>
      <c r="R111" s="11" t="n">
        <f aca="false">IF($A111="",0,SUMIFS(tblAuftraege[Ausgaben],tblAuftraege[Datum Ausgaben],"&gt;="&amp;R$5,tblAuftraege[Datum Ausgaben],"&lt;"&amp;EDATE(R$5,1),tblAuftraege[Auftrag],$A111))</f>
        <v>0</v>
      </c>
      <c r="S111" s="11" t="n">
        <f aca="false">IF($A111="",0,SUMIFS(tblAuftraege[Ausgaben],tblAuftraege[Datum Ausgaben],"&gt;="&amp;S$5,tblAuftraege[Datum Ausgaben],"&lt;"&amp;EDATE(S$5,1),tblAuftraege[Auftrag],$A111))</f>
        <v>0</v>
      </c>
      <c r="T111" s="11" t="n">
        <f aca="false">IF($A111="",0,SUMIFS(tblAuftraege[Ausgaben],tblAuftraege[Datum Ausgaben],"&gt;="&amp;T$5,tblAuftraege[Datum Ausgaben],"&lt;"&amp;EDATE(T$5,1),tblAuftraege[Auftrag],$A111))</f>
        <v>0</v>
      </c>
      <c r="U111" s="11" t="n">
        <f aca="false">IF($A111="",0,SUMIFS(tblAuftraege[Ausgaben],tblAuftraege[Datum Ausgaben],"&gt;="&amp;U$5,tblAuftraege[Datum Ausgaben],"&lt;"&amp;EDATE(U$5,1),tblAuftraege[Auftrag],$A111))</f>
        <v>0</v>
      </c>
      <c r="V111" s="11" t="n">
        <f aca="false">IF($A111="",0,SUMIFS(tblAuftraege[Ausgaben],tblAuftraege[Datum Ausgaben],"&gt;="&amp;V$5,tblAuftraege[Datum Ausgaben],"&lt;"&amp;EDATE(V$5,1),tblAuftraege[Auftrag],$A111))</f>
        <v>0</v>
      </c>
      <c r="W111" s="11" t="n">
        <f aca="false">SUM(E111:J111)</f>
        <v>0</v>
      </c>
      <c r="X111" s="11" t="n">
        <f aca="false">SUM(K111:V111)</f>
        <v>0</v>
      </c>
      <c r="Y111" s="12" t="n">
        <f aca="false">SUM(E111:V111)</f>
        <v>0</v>
      </c>
    </row>
    <row r="112" customFormat="false" ht="15" hidden="false" customHeight="false" outlineLevel="0" collapsed="false">
      <c r="A112" s="13" t="s">
        <v>30</v>
      </c>
      <c r="B112" s="14" t="s">
        <v>31</v>
      </c>
      <c r="C112" s="15"/>
      <c r="D112" s="15"/>
      <c r="E112" s="11" t="n">
        <f aca="false">E113-SUM(E62:E111)</f>
        <v>0</v>
      </c>
      <c r="F112" s="11" t="n">
        <f aca="false">F113-SUM(F62:F111)</f>
        <v>0</v>
      </c>
      <c r="G112" s="11" t="n">
        <f aca="false">G113-SUM(G62:G111)</f>
        <v>0</v>
      </c>
      <c r="H112" s="11" t="n">
        <f aca="false">H113-SUM(H62:H111)</f>
        <v>0</v>
      </c>
      <c r="I112" s="11" t="n">
        <f aca="false">I113-SUM(I62:I111)</f>
        <v>0</v>
      </c>
      <c r="J112" s="11" t="n">
        <f aca="false">J113-SUM(J62:J111)</f>
        <v>0</v>
      </c>
      <c r="K112" s="11" t="n">
        <f aca="false">K113-SUM(K62:K111)</f>
        <v>0</v>
      </c>
      <c r="L112" s="11" t="n">
        <f aca="false">L113-SUM(L62:L111)</f>
        <v>0</v>
      </c>
      <c r="M112" s="11" t="n">
        <f aca="false">M113-SUM(M62:M111)</f>
        <v>0</v>
      </c>
      <c r="N112" s="11" t="n">
        <f aca="false">N113-SUM(N62:N111)</f>
        <v>0</v>
      </c>
      <c r="O112" s="11" t="n">
        <f aca="false">O113-SUM(O62:O111)</f>
        <v>0</v>
      </c>
      <c r="P112" s="11" t="n">
        <f aca="false">P113-SUM(P62:P111)</f>
        <v>0</v>
      </c>
      <c r="Q112" s="11" t="n">
        <f aca="false">Q113-SUM(Q62:Q111)</f>
        <v>0</v>
      </c>
      <c r="R112" s="11" t="n">
        <f aca="false">R113-SUM(R62:R111)</f>
        <v>0</v>
      </c>
      <c r="S112" s="11" t="n">
        <f aca="false">S113-SUM(S62:S111)</f>
        <v>0</v>
      </c>
      <c r="T112" s="11" t="n">
        <f aca="false">T113-SUM(T62:T111)</f>
        <v>0</v>
      </c>
      <c r="U112" s="11" t="n">
        <f aca="false">U113-SUM(U62:U111)</f>
        <v>0</v>
      </c>
      <c r="V112" s="11" t="n">
        <f aca="false">V113-SUM(V62:V111)</f>
        <v>0</v>
      </c>
      <c r="W112" s="11" t="n">
        <f aca="false">W113-SUM(W62:W111)</f>
        <v>0</v>
      </c>
      <c r="X112" s="11" t="n">
        <f aca="false">X113-SUM(X62:X111)</f>
        <v>0</v>
      </c>
      <c r="Y112" s="11" t="n">
        <f aca="false">Y113-SUM(Y62:Y111)</f>
        <v>0</v>
      </c>
    </row>
    <row r="113" customFormat="false" ht="15" hidden="false" customHeight="false" outlineLevel="0" collapsed="false">
      <c r="A113" s="16" t="s">
        <v>34</v>
      </c>
      <c r="B113" s="17"/>
      <c r="C113" s="18"/>
      <c r="D113" s="18"/>
      <c r="E113" s="19" t="n">
        <f aca="false">SUMIFS(tblAuftraege[Ausgaben],tblAuftraege[Datum Ausgaben],"&gt;="&amp;E$5,tblAuftraege[Datum Ausgaben],"&lt;"&amp;EDATE(E$5,1))</f>
        <v>0</v>
      </c>
      <c r="F113" s="19" t="n">
        <f aca="false">SUMIFS(tblAuftraege[Ausgaben],tblAuftraege[Datum Ausgaben],"&gt;="&amp;F$5,tblAuftraege[Datum Ausgaben],"&lt;"&amp;EDATE(F$5,1))</f>
        <v>0</v>
      </c>
      <c r="G113" s="19" t="n">
        <f aca="false">SUMIFS(tblAuftraege[Ausgaben],tblAuftraege[Datum Ausgaben],"&gt;="&amp;G$5,tblAuftraege[Datum Ausgaben],"&lt;"&amp;EDATE(G$5,1))</f>
        <v>0</v>
      </c>
      <c r="H113" s="19" t="n">
        <f aca="false">SUMIFS(tblAuftraege[Ausgaben],tblAuftraege[Datum Ausgaben],"&gt;="&amp;H$5,tblAuftraege[Datum Ausgaben],"&lt;"&amp;EDATE(H$5,1))</f>
        <v>0</v>
      </c>
      <c r="I113" s="19" t="n">
        <f aca="false">SUMIFS(tblAuftraege[Ausgaben],tblAuftraege[Datum Ausgaben],"&gt;="&amp;I$5,tblAuftraege[Datum Ausgaben],"&lt;"&amp;EDATE(I$5,1))</f>
        <v>0</v>
      </c>
      <c r="J113" s="19" t="n">
        <f aca="false">SUMIFS(tblAuftraege[Ausgaben],tblAuftraege[Datum Ausgaben],"&gt;="&amp;J$5,tblAuftraege[Datum Ausgaben],"&lt;"&amp;EDATE(J$5,1))</f>
        <v>0</v>
      </c>
      <c r="K113" s="19" t="n">
        <f aca="false">SUMIFS(tblAuftraege[Ausgaben],tblAuftraege[Datum Ausgaben],"&gt;="&amp;K$5,tblAuftraege[Datum Ausgaben],"&lt;"&amp;EDATE(K$5,1))</f>
        <v>0</v>
      </c>
      <c r="L113" s="19" t="n">
        <f aca="false">SUMIFS(tblAuftraege[Ausgaben],tblAuftraege[Datum Ausgaben],"&gt;="&amp;L$5,tblAuftraege[Datum Ausgaben],"&lt;"&amp;EDATE(L$5,1))</f>
        <v>0</v>
      </c>
      <c r="M113" s="19" t="n">
        <f aca="false">SUMIFS(tblAuftraege[Ausgaben],tblAuftraege[Datum Ausgaben],"&gt;="&amp;M$5,tblAuftraege[Datum Ausgaben],"&lt;"&amp;EDATE(M$5,1))</f>
        <v>0</v>
      </c>
      <c r="N113" s="19" t="n">
        <f aca="false">SUMIFS(tblAuftraege[Ausgaben],tblAuftraege[Datum Ausgaben],"&gt;="&amp;N$5,tblAuftraege[Datum Ausgaben],"&lt;"&amp;EDATE(N$5,1))</f>
        <v>0</v>
      </c>
      <c r="O113" s="19" t="n">
        <f aca="false">SUMIFS(tblAuftraege[Ausgaben],tblAuftraege[Datum Ausgaben],"&gt;="&amp;O$5,tblAuftraege[Datum Ausgaben],"&lt;"&amp;EDATE(O$5,1))</f>
        <v>0</v>
      </c>
      <c r="P113" s="19" t="n">
        <f aca="false">SUMIFS(tblAuftraege[Ausgaben],tblAuftraege[Datum Ausgaben],"&gt;="&amp;P$5,tblAuftraege[Datum Ausgaben],"&lt;"&amp;EDATE(P$5,1))</f>
        <v>0</v>
      </c>
      <c r="Q113" s="19" t="n">
        <f aca="false">SUMIFS(tblAuftraege[Ausgaben],tblAuftraege[Datum Ausgaben],"&gt;="&amp;Q$5,tblAuftraege[Datum Ausgaben],"&lt;"&amp;EDATE(Q$5,1))</f>
        <v>0</v>
      </c>
      <c r="R113" s="19" t="n">
        <f aca="false">SUMIFS(tblAuftraege[Ausgaben],tblAuftraege[Datum Ausgaben],"&gt;="&amp;R$5,tblAuftraege[Datum Ausgaben],"&lt;"&amp;EDATE(R$5,1))</f>
        <v>0</v>
      </c>
      <c r="S113" s="19" t="n">
        <f aca="false">SUMIFS(tblAuftraege[Ausgaben],tblAuftraege[Datum Ausgaben],"&gt;="&amp;S$5,tblAuftraege[Datum Ausgaben],"&lt;"&amp;EDATE(S$5,1))</f>
        <v>0</v>
      </c>
      <c r="T113" s="19" t="n">
        <f aca="false">SUMIFS(tblAuftraege[Ausgaben],tblAuftraege[Datum Ausgaben],"&gt;="&amp;T$5,tblAuftraege[Datum Ausgaben],"&lt;"&amp;EDATE(T$5,1))</f>
        <v>0</v>
      </c>
      <c r="U113" s="19" t="n">
        <f aca="false">SUMIFS(tblAuftraege[Ausgaben],tblAuftraege[Datum Ausgaben],"&gt;="&amp;U$5,tblAuftraege[Datum Ausgaben],"&lt;"&amp;EDATE(U$5,1))</f>
        <v>0</v>
      </c>
      <c r="V113" s="19" t="n">
        <f aca="false">SUMIFS(tblAuftraege[Ausgaben],tblAuftraege[Datum Ausgaben],"&gt;="&amp;V$5,tblAuftraege[Datum Ausgaben],"&lt;"&amp;EDATE(V$5,1))</f>
        <v>0</v>
      </c>
      <c r="W113" s="19" t="n">
        <f aca="false">SUM(E113:J113)</f>
        <v>0</v>
      </c>
      <c r="X113" s="19" t="n">
        <f aca="false">SUM(K113:V113)</f>
        <v>0</v>
      </c>
      <c r="Y113" s="19" t="n">
        <f aca="false">SUM(E113:V113)</f>
        <v>0</v>
      </c>
    </row>
    <row r="115" customFormat="false" ht="19.5" hidden="false" customHeight="true" outlineLevel="0" collapsed="false">
      <c r="A115" s="7" t="s">
        <v>35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customFormat="false" ht="15" hidden="false" customHeight="false" outlineLevel="0" collapsed="false">
      <c r="A116" s="13" t="s">
        <v>32</v>
      </c>
      <c r="B116" s="14"/>
      <c r="C116" s="15"/>
      <c r="D116" s="15"/>
      <c r="E116" s="11" t="n">
        <f aca="false">E59</f>
        <v>0</v>
      </c>
      <c r="F116" s="11" t="n">
        <f aca="false">F59</f>
        <v>0</v>
      </c>
      <c r="G116" s="11" t="n">
        <f aca="false">G59</f>
        <v>0</v>
      </c>
      <c r="H116" s="11" t="n">
        <f aca="false">H59</f>
        <v>0</v>
      </c>
      <c r="I116" s="11" t="n">
        <f aca="false">I59</f>
        <v>0</v>
      </c>
      <c r="J116" s="11" t="n">
        <f aca="false">J59</f>
        <v>0</v>
      </c>
      <c r="K116" s="11" t="n">
        <f aca="false">K59</f>
        <v>0</v>
      </c>
      <c r="L116" s="11" t="n">
        <f aca="false">L59</f>
        <v>0</v>
      </c>
      <c r="M116" s="11" t="n">
        <f aca="false">M59</f>
        <v>0</v>
      </c>
      <c r="N116" s="11" t="n">
        <f aca="false">N59</f>
        <v>0</v>
      </c>
      <c r="O116" s="11" t="n">
        <f aca="false">O59</f>
        <v>0</v>
      </c>
      <c r="P116" s="11" t="n">
        <f aca="false">P59</f>
        <v>0</v>
      </c>
      <c r="Q116" s="11" t="n">
        <f aca="false">Q59</f>
        <v>0</v>
      </c>
      <c r="R116" s="11" t="n">
        <f aca="false">R59</f>
        <v>0</v>
      </c>
      <c r="S116" s="11" t="n">
        <f aca="false">S59</f>
        <v>0</v>
      </c>
      <c r="T116" s="11" t="n">
        <f aca="false">T59</f>
        <v>0</v>
      </c>
      <c r="U116" s="11" t="n">
        <f aca="false">U59</f>
        <v>0</v>
      </c>
      <c r="V116" s="11" t="n">
        <f aca="false">V59</f>
        <v>0</v>
      </c>
      <c r="W116" s="11" t="n">
        <f aca="false">W59</f>
        <v>0</v>
      </c>
      <c r="X116" s="11" t="n">
        <f aca="false">X59</f>
        <v>0</v>
      </c>
      <c r="Y116" s="11" t="n">
        <f aca="false">Y59</f>
        <v>0</v>
      </c>
    </row>
    <row r="117" customFormat="false" ht="15" hidden="false" customHeight="false" outlineLevel="0" collapsed="false">
      <c r="A117" s="13" t="s">
        <v>34</v>
      </c>
      <c r="B117" s="14"/>
      <c r="C117" s="15"/>
      <c r="D117" s="15"/>
      <c r="E117" s="11" t="n">
        <f aca="false">E113</f>
        <v>0</v>
      </c>
      <c r="F117" s="11" t="n">
        <f aca="false">F113</f>
        <v>0</v>
      </c>
      <c r="G117" s="11" t="n">
        <f aca="false">G113</f>
        <v>0</v>
      </c>
      <c r="H117" s="11" t="n">
        <f aca="false">H113</f>
        <v>0</v>
      </c>
      <c r="I117" s="11" t="n">
        <f aca="false">I113</f>
        <v>0</v>
      </c>
      <c r="J117" s="11" t="n">
        <f aca="false">J113</f>
        <v>0</v>
      </c>
      <c r="K117" s="11" t="n">
        <f aca="false">K113</f>
        <v>0</v>
      </c>
      <c r="L117" s="11" t="n">
        <f aca="false">L113</f>
        <v>0</v>
      </c>
      <c r="M117" s="11" t="n">
        <f aca="false">M113</f>
        <v>0</v>
      </c>
      <c r="N117" s="11" t="n">
        <f aca="false">N113</f>
        <v>0</v>
      </c>
      <c r="O117" s="11" t="n">
        <f aca="false">O113</f>
        <v>0</v>
      </c>
      <c r="P117" s="11" t="n">
        <f aca="false">P113</f>
        <v>0</v>
      </c>
      <c r="Q117" s="11" t="n">
        <f aca="false">Q113</f>
        <v>0</v>
      </c>
      <c r="R117" s="11" t="n">
        <f aca="false">R113</f>
        <v>0</v>
      </c>
      <c r="S117" s="11" t="n">
        <f aca="false">S113</f>
        <v>0</v>
      </c>
      <c r="T117" s="11" t="n">
        <f aca="false">T113</f>
        <v>0</v>
      </c>
      <c r="U117" s="11" t="n">
        <f aca="false">U113</f>
        <v>0</v>
      </c>
      <c r="V117" s="11" t="n">
        <f aca="false">V113</f>
        <v>0</v>
      </c>
      <c r="W117" s="11" t="n">
        <f aca="false">W113</f>
        <v>0</v>
      </c>
      <c r="X117" s="11" t="n">
        <f aca="false">X113</f>
        <v>0</v>
      </c>
      <c r="Y117" s="11" t="n">
        <f aca="false">Y113</f>
        <v>0</v>
      </c>
    </row>
    <row r="118" customFormat="false" ht="15" hidden="false" customHeight="false" outlineLevel="0" collapsed="false">
      <c r="A118" s="20" t="s">
        <v>36</v>
      </c>
      <c r="B118" s="21"/>
      <c r="C118" s="22"/>
      <c r="D118" s="22"/>
      <c r="E118" s="23" t="n">
        <f aca="false">E116-E117</f>
        <v>0</v>
      </c>
      <c r="F118" s="23" t="n">
        <f aca="false">F116-F117</f>
        <v>0</v>
      </c>
      <c r="G118" s="23" t="n">
        <f aca="false">G116-G117</f>
        <v>0</v>
      </c>
      <c r="H118" s="23" t="n">
        <f aca="false">H116-H117</f>
        <v>0</v>
      </c>
      <c r="I118" s="23" t="n">
        <f aca="false">I116-I117</f>
        <v>0</v>
      </c>
      <c r="J118" s="23" t="n">
        <f aca="false">J116-J117</f>
        <v>0</v>
      </c>
      <c r="K118" s="23" t="n">
        <f aca="false">K116-K117</f>
        <v>0</v>
      </c>
      <c r="L118" s="23" t="n">
        <f aca="false">L116-L117</f>
        <v>0</v>
      </c>
      <c r="M118" s="23" t="n">
        <f aca="false">M116-M117</f>
        <v>0</v>
      </c>
      <c r="N118" s="23" t="n">
        <f aca="false">N116-N117</f>
        <v>0</v>
      </c>
      <c r="O118" s="23" t="n">
        <f aca="false">O116-O117</f>
        <v>0</v>
      </c>
      <c r="P118" s="23" t="n">
        <f aca="false">P116-P117</f>
        <v>0</v>
      </c>
      <c r="Q118" s="23" t="n">
        <f aca="false">Q116-Q117</f>
        <v>0</v>
      </c>
      <c r="R118" s="23" t="n">
        <f aca="false">R116-R117</f>
        <v>0</v>
      </c>
      <c r="S118" s="23" t="n">
        <f aca="false">S116-S117</f>
        <v>0</v>
      </c>
      <c r="T118" s="23" t="n">
        <f aca="false">T116-T117</f>
        <v>0</v>
      </c>
      <c r="U118" s="23" t="n">
        <f aca="false">U116-U117</f>
        <v>0</v>
      </c>
      <c r="V118" s="23" t="n">
        <f aca="false">V116-V117</f>
        <v>0</v>
      </c>
      <c r="W118" s="23" t="n">
        <f aca="false">W116-W117</f>
        <v>0</v>
      </c>
      <c r="X118" s="23" t="n">
        <f aca="false">X116-X117</f>
        <v>0</v>
      </c>
      <c r="Y118" s="23" t="n">
        <f aca="false">Y116-Y117</f>
        <v>0</v>
      </c>
    </row>
    <row r="119" customFormat="false" ht="15" hidden="false" customHeight="false" outlineLevel="0" collapsed="false">
      <c r="A119" s="20" t="s">
        <v>37</v>
      </c>
      <c r="B119" s="21"/>
      <c r="C119" s="22"/>
      <c r="D119" s="22"/>
      <c r="E119" s="23" t="n">
        <f aca="false">E118</f>
        <v>0</v>
      </c>
      <c r="F119" s="23" t="n">
        <f aca="false">E119+F118</f>
        <v>0</v>
      </c>
      <c r="G119" s="23" t="n">
        <f aca="false">F119+G118</f>
        <v>0</v>
      </c>
      <c r="H119" s="23" t="n">
        <f aca="false">G119+H118</f>
        <v>0</v>
      </c>
      <c r="I119" s="23" t="n">
        <f aca="false">H119+I118</f>
        <v>0</v>
      </c>
      <c r="J119" s="23" t="n">
        <f aca="false">I119+J118</f>
        <v>0</v>
      </c>
      <c r="K119" s="23" t="n">
        <f aca="false">J119+K118</f>
        <v>0</v>
      </c>
      <c r="L119" s="23" t="n">
        <f aca="false">K119+L118</f>
        <v>0</v>
      </c>
      <c r="M119" s="23" t="n">
        <f aca="false">L119+M118</f>
        <v>0</v>
      </c>
      <c r="N119" s="23" t="n">
        <f aca="false">M119+N118</f>
        <v>0</v>
      </c>
      <c r="O119" s="23" t="n">
        <f aca="false">N119+O118</f>
        <v>0</v>
      </c>
      <c r="P119" s="23" t="n">
        <f aca="false">O119+P118</f>
        <v>0</v>
      </c>
      <c r="Q119" s="23" t="n">
        <f aca="false">P119+Q118</f>
        <v>0</v>
      </c>
      <c r="R119" s="23" t="n">
        <f aca="false">Q119+R118</f>
        <v>0</v>
      </c>
      <c r="S119" s="23" t="n">
        <f aca="false">R119+S118</f>
        <v>0</v>
      </c>
      <c r="T119" s="23" t="n">
        <f aca="false">S119+T118</f>
        <v>0</v>
      </c>
      <c r="U119" s="23" t="n">
        <f aca="false">T119+U118</f>
        <v>0</v>
      </c>
      <c r="V119" s="23" t="n">
        <f aca="false">U119+V118</f>
        <v>0</v>
      </c>
      <c r="W119" s="23" t="n">
        <f aca="false">J119</f>
        <v>0</v>
      </c>
      <c r="X119" s="23" t="n">
        <f aca="false">V119</f>
        <v>0</v>
      </c>
      <c r="Y119" s="23" t="n">
        <f aca="false">V119</f>
        <v>0</v>
      </c>
    </row>
    <row r="121" customFormat="false" ht="19.5" hidden="false" customHeight="true" outlineLevel="0" collapsed="false">
      <c r="A121" s="7" t="s">
        <v>38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customFormat="false" ht="15" hidden="false" customHeight="false" outlineLevel="0" collapsed="false">
      <c r="A122" s="13" t="s">
        <v>39</v>
      </c>
      <c r="B122" s="14"/>
      <c r="C122" s="15"/>
      <c r="D122" s="15"/>
      <c r="E122" s="11" t="n">
        <f aca="false">SUMIFS(tblAuftraege[Einnahmen],tblAuftraege[Datum Einnahmen],"&gt;="&amp;E$5,tblAuftraege[Datum Einnahmen],"&lt;"&amp;EDATE(E$5,1),tblAuftraege[Themenfeld],"IoT")</f>
        <v>0</v>
      </c>
      <c r="F122" s="11" t="n">
        <f aca="false">SUMIFS(tblAuftraege[Einnahmen],tblAuftraege[Datum Einnahmen],"&gt;="&amp;F$5,tblAuftraege[Datum Einnahmen],"&lt;"&amp;EDATE(F$5,1),tblAuftraege[Themenfeld],"IoT")</f>
        <v>0</v>
      </c>
      <c r="G122" s="11" t="n">
        <f aca="false">SUMIFS(tblAuftraege[Einnahmen],tblAuftraege[Datum Einnahmen],"&gt;="&amp;G$5,tblAuftraege[Datum Einnahmen],"&lt;"&amp;EDATE(G$5,1),tblAuftraege[Themenfeld],"IoT")</f>
        <v>0</v>
      </c>
      <c r="H122" s="11" t="n">
        <f aca="false">SUMIFS(tblAuftraege[Einnahmen],tblAuftraege[Datum Einnahmen],"&gt;="&amp;H$5,tblAuftraege[Datum Einnahmen],"&lt;"&amp;EDATE(H$5,1),tblAuftraege[Themenfeld],"IoT")</f>
        <v>0</v>
      </c>
      <c r="I122" s="11" t="n">
        <f aca="false">SUMIFS(tblAuftraege[Einnahmen],tblAuftraege[Datum Einnahmen],"&gt;="&amp;I$5,tblAuftraege[Datum Einnahmen],"&lt;"&amp;EDATE(I$5,1),tblAuftraege[Themenfeld],"IoT")</f>
        <v>0</v>
      </c>
      <c r="J122" s="11" t="n">
        <f aca="false">SUMIFS(tblAuftraege[Einnahmen],tblAuftraege[Datum Einnahmen],"&gt;="&amp;J$5,tblAuftraege[Datum Einnahmen],"&lt;"&amp;EDATE(J$5,1),tblAuftraege[Themenfeld],"IoT")</f>
        <v>0</v>
      </c>
      <c r="K122" s="11" t="n">
        <f aca="false">SUMIFS(tblAuftraege[Einnahmen],tblAuftraege[Datum Einnahmen],"&gt;="&amp;K$5,tblAuftraege[Datum Einnahmen],"&lt;"&amp;EDATE(K$5,1),tblAuftraege[Themenfeld],"IoT")</f>
        <v>0</v>
      </c>
      <c r="L122" s="11" t="n">
        <f aca="false">SUMIFS(tblAuftraege[Einnahmen],tblAuftraege[Datum Einnahmen],"&gt;="&amp;L$5,tblAuftraege[Datum Einnahmen],"&lt;"&amp;EDATE(L$5,1),tblAuftraege[Themenfeld],"IoT")</f>
        <v>0</v>
      </c>
      <c r="M122" s="11" t="n">
        <f aca="false">SUMIFS(tblAuftraege[Einnahmen],tblAuftraege[Datum Einnahmen],"&gt;="&amp;M$5,tblAuftraege[Datum Einnahmen],"&lt;"&amp;EDATE(M$5,1),tblAuftraege[Themenfeld],"IoT")</f>
        <v>0</v>
      </c>
      <c r="N122" s="11" t="n">
        <f aca="false">SUMIFS(tblAuftraege[Einnahmen],tblAuftraege[Datum Einnahmen],"&gt;="&amp;N$5,tblAuftraege[Datum Einnahmen],"&lt;"&amp;EDATE(N$5,1),tblAuftraege[Themenfeld],"IoT")</f>
        <v>0</v>
      </c>
      <c r="O122" s="11" t="n">
        <f aca="false">SUMIFS(tblAuftraege[Einnahmen],tblAuftraege[Datum Einnahmen],"&gt;="&amp;O$5,tblAuftraege[Datum Einnahmen],"&lt;"&amp;EDATE(O$5,1),tblAuftraege[Themenfeld],"IoT")</f>
        <v>0</v>
      </c>
      <c r="P122" s="11" t="n">
        <f aca="false">SUMIFS(tblAuftraege[Einnahmen],tblAuftraege[Datum Einnahmen],"&gt;="&amp;P$5,tblAuftraege[Datum Einnahmen],"&lt;"&amp;EDATE(P$5,1),tblAuftraege[Themenfeld],"IoT")</f>
        <v>0</v>
      </c>
      <c r="Q122" s="11" t="n">
        <f aca="false">SUMIFS(tblAuftraege[Einnahmen],tblAuftraege[Datum Einnahmen],"&gt;="&amp;Q$5,tblAuftraege[Datum Einnahmen],"&lt;"&amp;EDATE(Q$5,1),tblAuftraege[Themenfeld],"IoT")</f>
        <v>0</v>
      </c>
      <c r="R122" s="11" t="n">
        <f aca="false">SUMIFS(tblAuftraege[Einnahmen],tblAuftraege[Datum Einnahmen],"&gt;="&amp;R$5,tblAuftraege[Datum Einnahmen],"&lt;"&amp;EDATE(R$5,1),tblAuftraege[Themenfeld],"IoT")</f>
        <v>0</v>
      </c>
      <c r="S122" s="11" t="n">
        <f aca="false">SUMIFS(tblAuftraege[Einnahmen],tblAuftraege[Datum Einnahmen],"&gt;="&amp;S$5,tblAuftraege[Datum Einnahmen],"&lt;"&amp;EDATE(S$5,1),tblAuftraege[Themenfeld],"IoT")</f>
        <v>0</v>
      </c>
      <c r="T122" s="11" t="n">
        <f aca="false">SUMIFS(tblAuftraege[Einnahmen],tblAuftraege[Datum Einnahmen],"&gt;="&amp;T$5,tblAuftraege[Datum Einnahmen],"&lt;"&amp;EDATE(T$5,1),tblAuftraege[Themenfeld],"IoT")</f>
        <v>0</v>
      </c>
      <c r="U122" s="11" t="n">
        <f aca="false">SUMIFS(tblAuftraege[Einnahmen],tblAuftraege[Datum Einnahmen],"&gt;="&amp;U$5,tblAuftraege[Datum Einnahmen],"&lt;"&amp;EDATE(U$5,1),tblAuftraege[Themenfeld],"IoT")</f>
        <v>0</v>
      </c>
      <c r="V122" s="11" t="n">
        <f aca="false">SUMIFS(tblAuftraege[Einnahmen],tblAuftraege[Datum Einnahmen],"&gt;="&amp;V$5,tblAuftraege[Datum Einnahmen],"&lt;"&amp;EDATE(V$5,1),tblAuftraege[Themenfeld],"IoT")</f>
        <v>0</v>
      </c>
      <c r="W122" s="11" t="n">
        <f aca="false">SUM(E122:J122)</f>
        <v>0</v>
      </c>
      <c r="X122" s="11" t="n">
        <f aca="false">SUM(K122:V122)</f>
        <v>0</v>
      </c>
      <c r="Y122" s="11" t="n">
        <f aca="false">SUM(E122:V122)</f>
        <v>0</v>
      </c>
    </row>
    <row r="123" customFormat="false" ht="15" hidden="false" customHeight="false" outlineLevel="0" collapsed="false">
      <c r="A123" s="13" t="s">
        <v>40</v>
      </c>
      <c r="B123" s="14"/>
      <c r="C123" s="15"/>
      <c r="D123" s="15"/>
      <c r="E123" s="11" t="n">
        <f aca="false">SUMIFS(tblAuftraege[Ausgaben],tblAuftraege[Datum Ausgaben],"&gt;="&amp;E$5,tblAuftraege[Datum Ausgaben],"&lt;"&amp;EDATE(E$5,1),tblAuftraege[Themenfeld],"IoT")</f>
        <v>0</v>
      </c>
      <c r="F123" s="11" t="n">
        <f aca="false">SUMIFS(tblAuftraege[Ausgaben],tblAuftraege[Datum Ausgaben],"&gt;="&amp;F$5,tblAuftraege[Datum Ausgaben],"&lt;"&amp;EDATE(F$5,1),tblAuftraege[Themenfeld],"IoT")</f>
        <v>0</v>
      </c>
      <c r="G123" s="11" t="n">
        <f aca="false">SUMIFS(tblAuftraege[Ausgaben],tblAuftraege[Datum Ausgaben],"&gt;="&amp;G$5,tblAuftraege[Datum Ausgaben],"&lt;"&amp;EDATE(G$5,1),tblAuftraege[Themenfeld],"IoT")</f>
        <v>0</v>
      </c>
      <c r="H123" s="11" t="n">
        <f aca="false">SUMIFS(tblAuftraege[Ausgaben],tblAuftraege[Datum Ausgaben],"&gt;="&amp;H$5,tblAuftraege[Datum Ausgaben],"&lt;"&amp;EDATE(H$5,1),tblAuftraege[Themenfeld],"IoT")</f>
        <v>0</v>
      </c>
      <c r="I123" s="11" t="n">
        <f aca="false">SUMIFS(tblAuftraege[Ausgaben],tblAuftraege[Datum Ausgaben],"&gt;="&amp;I$5,tblAuftraege[Datum Ausgaben],"&lt;"&amp;EDATE(I$5,1),tblAuftraege[Themenfeld],"IoT")</f>
        <v>0</v>
      </c>
      <c r="J123" s="11" t="n">
        <f aca="false">SUMIFS(tblAuftraege[Ausgaben],tblAuftraege[Datum Ausgaben],"&gt;="&amp;J$5,tblAuftraege[Datum Ausgaben],"&lt;"&amp;EDATE(J$5,1),tblAuftraege[Themenfeld],"IoT")</f>
        <v>0</v>
      </c>
      <c r="K123" s="11" t="n">
        <f aca="false">SUMIFS(tblAuftraege[Ausgaben],tblAuftraege[Datum Ausgaben],"&gt;="&amp;K$5,tblAuftraege[Datum Ausgaben],"&lt;"&amp;EDATE(K$5,1),tblAuftraege[Themenfeld],"IoT")</f>
        <v>0</v>
      </c>
      <c r="L123" s="11" t="n">
        <f aca="false">SUMIFS(tblAuftraege[Ausgaben],tblAuftraege[Datum Ausgaben],"&gt;="&amp;L$5,tblAuftraege[Datum Ausgaben],"&lt;"&amp;EDATE(L$5,1),tblAuftraege[Themenfeld],"IoT")</f>
        <v>0</v>
      </c>
      <c r="M123" s="11" t="n">
        <f aca="false">SUMIFS(tblAuftraege[Ausgaben],tblAuftraege[Datum Ausgaben],"&gt;="&amp;M$5,tblAuftraege[Datum Ausgaben],"&lt;"&amp;EDATE(M$5,1),tblAuftraege[Themenfeld],"IoT")</f>
        <v>0</v>
      </c>
      <c r="N123" s="11" t="n">
        <f aca="false">SUMIFS(tblAuftraege[Ausgaben],tblAuftraege[Datum Ausgaben],"&gt;="&amp;N$5,tblAuftraege[Datum Ausgaben],"&lt;"&amp;EDATE(N$5,1),tblAuftraege[Themenfeld],"IoT")</f>
        <v>0</v>
      </c>
      <c r="O123" s="11" t="n">
        <f aca="false">SUMIFS(tblAuftraege[Ausgaben],tblAuftraege[Datum Ausgaben],"&gt;="&amp;O$5,tblAuftraege[Datum Ausgaben],"&lt;"&amp;EDATE(O$5,1),tblAuftraege[Themenfeld],"IoT")</f>
        <v>0</v>
      </c>
      <c r="P123" s="11" t="n">
        <f aca="false">SUMIFS(tblAuftraege[Ausgaben],tblAuftraege[Datum Ausgaben],"&gt;="&amp;P$5,tblAuftraege[Datum Ausgaben],"&lt;"&amp;EDATE(P$5,1),tblAuftraege[Themenfeld],"IoT")</f>
        <v>0</v>
      </c>
      <c r="Q123" s="11" t="n">
        <f aca="false">SUMIFS(tblAuftraege[Ausgaben],tblAuftraege[Datum Ausgaben],"&gt;="&amp;Q$5,tblAuftraege[Datum Ausgaben],"&lt;"&amp;EDATE(Q$5,1),tblAuftraege[Themenfeld],"IoT")</f>
        <v>0</v>
      </c>
      <c r="R123" s="11" t="n">
        <f aca="false">SUMIFS(tblAuftraege[Ausgaben],tblAuftraege[Datum Ausgaben],"&gt;="&amp;R$5,tblAuftraege[Datum Ausgaben],"&lt;"&amp;EDATE(R$5,1),tblAuftraege[Themenfeld],"IoT")</f>
        <v>0</v>
      </c>
      <c r="S123" s="11" t="n">
        <f aca="false">SUMIFS(tblAuftraege[Ausgaben],tblAuftraege[Datum Ausgaben],"&gt;="&amp;S$5,tblAuftraege[Datum Ausgaben],"&lt;"&amp;EDATE(S$5,1),tblAuftraege[Themenfeld],"IoT")</f>
        <v>0</v>
      </c>
      <c r="T123" s="11" t="n">
        <f aca="false">SUMIFS(tblAuftraege[Ausgaben],tblAuftraege[Datum Ausgaben],"&gt;="&amp;T$5,tblAuftraege[Datum Ausgaben],"&lt;"&amp;EDATE(T$5,1),tblAuftraege[Themenfeld],"IoT")</f>
        <v>0</v>
      </c>
      <c r="U123" s="11" t="n">
        <f aca="false">SUMIFS(tblAuftraege[Ausgaben],tblAuftraege[Datum Ausgaben],"&gt;="&amp;U$5,tblAuftraege[Datum Ausgaben],"&lt;"&amp;EDATE(U$5,1),tblAuftraege[Themenfeld],"IoT")</f>
        <v>0</v>
      </c>
      <c r="V123" s="11" t="n">
        <f aca="false">SUMIFS(tblAuftraege[Ausgaben],tblAuftraege[Datum Ausgaben],"&gt;="&amp;V$5,tblAuftraege[Datum Ausgaben],"&lt;"&amp;EDATE(V$5,1),tblAuftraege[Themenfeld],"IoT")</f>
        <v>0</v>
      </c>
      <c r="W123" s="11" t="n">
        <f aca="false">SUM(E123:J123)</f>
        <v>0</v>
      </c>
      <c r="X123" s="11" t="n">
        <f aca="false">SUM(K123:V123)</f>
        <v>0</v>
      </c>
      <c r="Y123" s="11" t="n">
        <f aca="false">SUM(E123:V123)</f>
        <v>0</v>
      </c>
    </row>
    <row r="124" customFormat="false" ht="15" hidden="false" customHeight="false" outlineLevel="0" collapsed="false">
      <c r="A124" s="13" t="s">
        <v>41</v>
      </c>
      <c r="B124" s="14"/>
      <c r="C124" s="15"/>
      <c r="D124" s="15"/>
      <c r="E124" s="11" t="n">
        <f aca="false">SUMIFS(tblAuftraege[Einnahmen],tblAuftraege[Datum Einnahmen],"&gt;="&amp;E$5,tblAuftraege[Datum Einnahmen],"&lt;"&amp;EDATE(E$5,1),tblAuftraege[Themenfeld],"EDM")</f>
        <v>0</v>
      </c>
      <c r="F124" s="11" t="n">
        <f aca="false">SUMIFS(tblAuftraege[Einnahmen],tblAuftraege[Datum Einnahmen],"&gt;="&amp;F$5,tblAuftraege[Datum Einnahmen],"&lt;"&amp;EDATE(F$5,1),tblAuftraege[Themenfeld],"EDM")</f>
        <v>0</v>
      </c>
      <c r="G124" s="11" t="n">
        <f aca="false">SUMIFS(tblAuftraege[Einnahmen],tblAuftraege[Datum Einnahmen],"&gt;="&amp;G$5,tblAuftraege[Datum Einnahmen],"&lt;"&amp;EDATE(G$5,1),tblAuftraege[Themenfeld],"EDM")</f>
        <v>0</v>
      </c>
      <c r="H124" s="11" t="n">
        <f aca="false">SUMIFS(tblAuftraege[Einnahmen],tblAuftraege[Datum Einnahmen],"&gt;="&amp;H$5,tblAuftraege[Datum Einnahmen],"&lt;"&amp;EDATE(H$5,1),tblAuftraege[Themenfeld],"EDM")</f>
        <v>0</v>
      </c>
      <c r="I124" s="11" t="n">
        <f aca="false">SUMIFS(tblAuftraege[Einnahmen],tblAuftraege[Datum Einnahmen],"&gt;="&amp;I$5,tblAuftraege[Datum Einnahmen],"&lt;"&amp;EDATE(I$5,1),tblAuftraege[Themenfeld],"EDM")</f>
        <v>0</v>
      </c>
      <c r="J124" s="11" t="n">
        <f aca="false">SUMIFS(tblAuftraege[Einnahmen],tblAuftraege[Datum Einnahmen],"&gt;="&amp;J$5,tblAuftraege[Datum Einnahmen],"&lt;"&amp;EDATE(J$5,1),tblAuftraege[Themenfeld],"EDM")</f>
        <v>0</v>
      </c>
      <c r="K124" s="11" t="n">
        <f aca="false">SUMIFS(tblAuftraege[Einnahmen],tblAuftraege[Datum Einnahmen],"&gt;="&amp;K$5,tblAuftraege[Datum Einnahmen],"&lt;"&amp;EDATE(K$5,1),tblAuftraege[Themenfeld],"EDM")</f>
        <v>0</v>
      </c>
      <c r="L124" s="11" t="n">
        <f aca="false">SUMIFS(tblAuftraege[Einnahmen],tblAuftraege[Datum Einnahmen],"&gt;="&amp;L$5,tblAuftraege[Datum Einnahmen],"&lt;"&amp;EDATE(L$5,1),tblAuftraege[Themenfeld],"EDM")</f>
        <v>0</v>
      </c>
      <c r="M124" s="11" t="n">
        <f aca="false">SUMIFS(tblAuftraege[Einnahmen],tblAuftraege[Datum Einnahmen],"&gt;="&amp;M$5,tblAuftraege[Datum Einnahmen],"&lt;"&amp;EDATE(M$5,1),tblAuftraege[Themenfeld],"EDM")</f>
        <v>0</v>
      </c>
      <c r="N124" s="11" t="n">
        <f aca="false">SUMIFS(tblAuftraege[Einnahmen],tblAuftraege[Datum Einnahmen],"&gt;="&amp;N$5,tblAuftraege[Datum Einnahmen],"&lt;"&amp;EDATE(N$5,1),tblAuftraege[Themenfeld],"EDM")</f>
        <v>0</v>
      </c>
      <c r="O124" s="11" t="n">
        <f aca="false">SUMIFS(tblAuftraege[Einnahmen],tblAuftraege[Datum Einnahmen],"&gt;="&amp;O$5,tblAuftraege[Datum Einnahmen],"&lt;"&amp;EDATE(O$5,1),tblAuftraege[Themenfeld],"EDM")</f>
        <v>0</v>
      </c>
      <c r="P124" s="11" t="n">
        <f aca="false">SUMIFS(tblAuftraege[Einnahmen],tblAuftraege[Datum Einnahmen],"&gt;="&amp;P$5,tblAuftraege[Datum Einnahmen],"&lt;"&amp;EDATE(P$5,1),tblAuftraege[Themenfeld],"EDM")</f>
        <v>0</v>
      </c>
      <c r="Q124" s="11" t="n">
        <f aca="false">SUMIFS(tblAuftraege[Einnahmen],tblAuftraege[Datum Einnahmen],"&gt;="&amp;Q$5,tblAuftraege[Datum Einnahmen],"&lt;"&amp;EDATE(Q$5,1),tblAuftraege[Themenfeld],"EDM")</f>
        <v>0</v>
      </c>
      <c r="R124" s="11" t="n">
        <f aca="false">SUMIFS(tblAuftraege[Einnahmen],tblAuftraege[Datum Einnahmen],"&gt;="&amp;R$5,tblAuftraege[Datum Einnahmen],"&lt;"&amp;EDATE(R$5,1),tblAuftraege[Themenfeld],"EDM")</f>
        <v>0</v>
      </c>
      <c r="S124" s="11" t="n">
        <f aca="false">SUMIFS(tblAuftraege[Einnahmen],tblAuftraege[Datum Einnahmen],"&gt;="&amp;S$5,tblAuftraege[Datum Einnahmen],"&lt;"&amp;EDATE(S$5,1),tblAuftraege[Themenfeld],"EDM")</f>
        <v>0</v>
      </c>
      <c r="T124" s="11" t="n">
        <f aca="false">SUMIFS(tblAuftraege[Einnahmen],tblAuftraege[Datum Einnahmen],"&gt;="&amp;T$5,tblAuftraege[Datum Einnahmen],"&lt;"&amp;EDATE(T$5,1),tblAuftraege[Themenfeld],"EDM")</f>
        <v>0</v>
      </c>
      <c r="U124" s="11" t="n">
        <f aca="false">SUMIFS(tblAuftraege[Einnahmen],tblAuftraege[Datum Einnahmen],"&gt;="&amp;U$5,tblAuftraege[Datum Einnahmen],"&lt;"&amp;EDATE(U$5,1),tblAuftraege[Themenfeld],"EDM")</f>
        <v>0</v>
      </c>
      <c r="V124" s="11" t="n">
        <f aca="false">SUMIFS(tblAuftraege[Einnahmen],tblAuftraege[Datum Einnahmen],"&gt;="&amp;V$5,tblAuftraege[Datum Einnahmen],"&lt;"&amp;EDATE(V$5,1),tblAuftraege[Themenfeld],"EDM")</f>
        <v>0</v>
      </c>
      <c r="W124" s="11" t="n">
        <f aca="false">SUM(E124:J124)</f>
        <v>0</v>
      </c>
      <c r="X124" s="11" t="n">
        <f aca="false">SUM(K124:V124)</f>
        <v>0</v>
      </c>
      <c r="Y124" s="11" t="n">
        <f aca="false">SUM(E124:V124)</f>
        <v>0</v>
      </c>
    </row>
    <row r="125" customFormat="false" ht="15" hidden="false" customHeight="false" outlineLevel="0" collapsed="false">
      <c r="A125" s="13" t="s">
        <v>42</v>
      </c>
      <c r="B125" s="14"/>
      <c r="C125" s="15"/>
      <c r="D125" s="15"/>
      <c r="E125" s="11" t="n">
        <f aca="false">SUMIFS(tblAuftraege[Ausgaben],tblAuftraege[Datum Ausgaben],"&gt;="&amp;E$5,tblAuftraege[Datum Ausgaben],"&lt;"&amp;EDATE(E$5,1),tblAuftraege[Themenfeld],"EDM")</f>
        <v>0</v>
      </c>
      <c r="F125" s="11" t="n">
        <f aca="false">SUMIFS(tblAuftraege[Ausgaben],tblAuftraege[Datum Ausgaben],"&gt;="&amp;F$5,tblAuftraege[Datum Ausgaben],"&lt;"&amp;EDATE(F$5,1),tblAuftraege[Themenfeld],"EDM")</f>
        <v>0</v>
      </c>
      <c r="G125" s="11" t="n">
        <f aca="false">SUMIFS(tblAuftraege[Ausgaben],tblAuftraege[Datum Ausgaben],"&gt;="&amp;G$5,tblAuftraege[Datum Ausgaben],"&lt;"&amp;EDATE(G$5,1),tblAuftraege[Themenfeld],"EDM")</f>
        <v>0</v>
      </c>
      <c r="H125" s="11" t="n">
        <f aca="false">SUMIFS(tblAuftraege[Ausgaben],tblAuftraege[Datum Ausgaben],"&gt;="&amp;H$5,tblAuftraege[Datum Ausgaben],"&lt;"&amp;EDATE(H$5,1),tblAuftraege[Themenfeld],"EDM")</f>
        <v>0</v>
      </c>
      <c r="I125" s="11" t="n">
        <f aca="false">SUMIFS(tblAuftraege[Ausgaben],tblAuftraege[Datum Ausgaben],"&gt;="&amp;I$5,tblAuftraege[Datum Ausgaben],"&lt;"&amp;EDATE(I$5,1),tblAuftraege[Themenfeld],"EDM")</f>
        <v>0</v>
      </c>
      <c r="J125" s="11" t="n">
        <f aca="false">SUMIFS(tblAuftraege[Ausgaben],tblAuftraege[Datum Ausgaben],"&gt;="&amp;J$5,tblAuftraege[Datum Ausgaben],"&lt;"&amp;EDATE(J$5,1),tblAuftraege[Themenfeld],"EDM")</f>
        <v>0</v>
      </c>
      <c r="K125" s="11" t="n">
        <f aca="false">SUMIFS(tblAuftraege[Ausgaben],tblAuftraege[Datum Ausgaben],"&gt;="&amp;K$5,tblAuftraege[Datum Ausgaben],"&lt;"&amp;EDATE(K$5,1),tblAuftraege[Themenfeld],"EDM")</f>
        <v>0</v>
      </c>
      <c r="L125" s="11" t="n">
        <f aca="false">SUMIFS(tblAuftraege[Ausgaben],tblAuftraege[Datum Ausgaben],"&gt;="&amp;L$5,tblAuftraege[Datum Ausgaben],"&lt;"&amp;EDATE(L$5,1),tblAuftraege[Themenfeld],"EDM")</f>
        <v>0</v>
      </c>
      <c r="M125" s="11" t="n">
        <f aca="false">SUMIFS(tblAuftraege[Ausgaben],tblAuftraege[Datum Ausgaben],"&gt;="&amp;M$5,tblAuftraege[Datum Ausgaben],"&lt;"&amp;EDATE(M$5,1),tblAuftraege[Themenfeld],"EDM")</f>
        <v>0</v>
      </c>
      <c r="N125" s="11" t="n">
        <f aca="false">SUMIFS(tblAuftraege[Ausgaben],tblAuftraege[Datum Ausgaben],"&gt;="&amp;N$5,tblAuftraege[Datum Ausgaben],"&lt;"&amp;EDATE(N$5,1),tblAuftraege[Themenfeld],"EDM")</f>
        <v>0</v>
      </c>
      <c r="O125" s="11" t="n">
        <f aca="false">SUMIFS(tblAuftraege[Ausgaben],tblAuftraege[Datum Ausgaben],"&gt;="&amp;O$5,tblAuftraege[Datum Ausgaben],"&lt;"&amp;EDATE(O$5,1),tblAuftraege[Themenfeld],"EDM")</f>
        <v>0</v>
      </c>
      <c r="P125" s="11" t="n">
        <f aca="false">SUMIFS(tblAuftraege[Ausgaben],tblAuftraege[Datum Ausgaben],"&gt;="&amp;P$5,tblAuftraege[Datum Ausgaben],"&lt;"&amp;EDATE(P$5,1),tblAuftraege[Themenfeld],"EDM")</f>
        <v>0</v>
      </c>
      <c r="Q125" s="11" t="n">
        <f aca="false">SUMIFS(tblAuftraege[Ausgaben],tblAuftraege[Datum Ausgaben],"&gt;="&amp;Q$5,tblAuftraege[Datum Ausgaben],"&lt;"&amp;EDATE(Q$5,1),tblAuftraege[Themenfeld],"EDM")</f>
        <v>0</v>
      </c>
      <c r="R125" s="11" t="n">
        <f aca="false">SUMIFS(tblAuftraege[Ausgaben],tblAuftraege[Datum Ausgaben],"&gt;="&amp;R$5,tblAuftraege[Datum Ausgaben],"&lt;"&amp;EDATE(R$5,1),tblAuftraege[Themenfeld],"EDM")</f>
        <v>0</v>
      </c>
      <c r="S125" s="11" t="n">
        <f aca="false">SUMIFS(tblAuftraege[Ausgaben],tblAuftraege[Datum Ausgaben],"&gt;="&amp;S$5,tblAuftraege[Datum Ausgaben],"&lt;"&amp;EDATE(S$5,1),tblAuftraege[Themenfeld],"EDM")</f>
        <v>0</v>
      </c>
      <c r="T125" s="11" t="n">
        <f aca="false">SUMIFS(tblAuftraege[Ausgaben],tblAuftraege[Datum Ausgaben],"&gt;="&amp;T$5,tblAuftraege[Datum Ausgaben],"&lt;"&amp;EDATE(T$5,1),tblAuftraege[Themenfeld],"EDM")</f>
        <v>0</v>
      </c>
      <c r="U125" s="11" t="n">
        <f aca="false">SUMIFS(tblAuftraege[Ausgaben],tblAuftraege[Datum Ausgaben],"&gt;="&amp;U$5,tblAuftraege[Datum Ausgaben],"&lt;"&amp;EDATE(U$5,1),tblAuftraege[Themenfeld],"EDM")</f>
        <v>0</v>
      </c>
      <c r="V125" s="11" t="n">
        <f aca="false">SUMIFS(tblAuftraege[Ausgaben],tblAuftraege[Datum Ausgaben],"&gt;="&amp;V$5,tblAuftraege[Datum Ausgaben],"&lt;"&amp;EDATE(V$5,1),tblAuftraege[Themenfeld],"EDM")</f>
        <v>0</v>
      </c>
      <c r="W125" s="11" t="n">
        <f aca="false">SUM(E125:J125)</f>
        <v>0</v>
      </c>
      <c r="X125" s="11" t="n">
        <f aca="false">SUM(K125:V125)</f>
        <v>0</v>
      </c>
      <c r="Y125" s="11" t="n">
        <f aca="false">SUM(E125:V125)</f>
        <v>0</v>
      </c>
    </row>
    <row r="126" customFormat="false" ht="15" hidden="false" customHeight="false" outlineLevel="0" collapsed="false">
      <c r="A126" s="13" t="s">
        <v>43</v>
      </c>
      <c r="B126" s="14"/>
      <c r="C126" s="15"/>
      <c r="D126" s="15"/>
      <c r="E126" s="11" t="n">
        <f aca="false">SUMIFS(tblAuftraege[Einnahmen],tblAuftraege[Datum Einnahmen],"&gt;="&amp;E$5,tblAuftraege[Datum Einnahmen],"&lt;"&amp;EDATE(E$5,1),tblAuftraege[Themenfeld],"Parking")</f>
        <v>0</v>
      </c>
      <c r="F126" s="11" t="n">
        <f aca="false">SUMIFS(tblAuftraege[Einnahmen],tblAuftraege[Datum Einnahmen],"&gt;="&amp;F$5,tblAuftraege[Datum Einnahmen],"&lt;"&amp;EDATE(F$5,1),tblAuftraege[Themenfeld],"Parking")</f>
        <v>0</v>
      </c>
      <c r="G126" s="11" t="n">
        <f aca="false">SUMIFS(tblAuftraege[Einnahmen],tblAuftraege[Datum Einnahmen],"&gt;="&amp;G$5,tblAuftraege[Datum Einnahmen],"&lt;"&amp;EDATE(G$5,1),tblAuftraege[Themenfeld],"Parking")</f>
        <v>0</v>
      </c>
      <c r="H126" s="11" t="n">
        <f aca="false">SUMIFS(tblAuftraege[Einnahmen],tblAuftraege[Datum Einnahmen],"&gt;="&amp;H$5,tblAuftraege[Datum Einnahmen],"&lt;"&amp;EDATE(H$5,1),tblAuftraege[Themenfeld],"Parking")</f>
        <v>0</v>
      </c>
      <c r="I126" s="11" t="n">
        <f aca="false">SUMIFS(tblAuftraege[Einnahmen],tblAuftraege[Datum Einnahmen],"&gt;="&amp;I$5,tblAuftraege[Datum Einnahmen],"&lt;"&amp;EDATE(I$5,1),tblAuftraege[Themenfeld],"Parking")</f>
        <v>0</v>
      </c>
      <c r="J126" s="11" t="n">
        <f aca="false">SUMIFS(tblAuftraege[Einnahmen],tblAuftraege[Datum Einnahmen],"&gt;="&amp;J$5,tblAuftraege[Datum Einnahmen],"&lt;"&amp;EDATE(J$5,1),tblAuftraege[Themenfeld],"Parking")</f>
        <v>0</v>
      </c>
      <c r="K126" s="11" t="n">
        <f aca="false">SUMIFS(tblAuftraege[Einnahmen],tblAuftraege[Datum Einnahmen],"&gt;="&amp;K$5,tblAuftraege[Datum Einnahmen],"&lt;"&amp;EDATE(K$5,1),tblAuftraege[Themenfeld],"Parking")</f>
        <v>0</v>
      </c>
      <c r="L126" s="11" t="n">
        <f aca="false">SUMIFS(tblAuftraege[Einnahmen],tblAuftraege[Datum Einnahmen],"&gt;="&amp;L$5,tblAuftraege[Datum Einnahmen],"&lt;"&amp;EDATE(L$5,1),tblAuftraege[Themenfeld],"Parking")</f>
        <v>0</v>
      </c>
      <c r="M126" s="11" t="n">
        <f aca="false">SUMIFS(tblAuftraege[Einnahmen],tblAuftraege[Datum Einnahmen],"&gt;="&amp;M$5,tblAuftraege[Datum Einnahmen],"&lt;"&amp;EDATE(M$5,1),tblAuftraege[Themenfeld],"Parking")</f>
        <v>0</v>
      </c>
      <c r="N126" s="11" t="n">
        <f aca="false">SUMIFS(tblAuftraege[Einnahmen],tblAuftraege[Datum Einnahmen],"&gt;="&amp;N$5,tblAuftraege[Datum Einnahmen],"&lt;"&amp;EDATE(N$5,1),tblAuftraege[Themenfeld],"Parking")</f>
        <v>0</v>
      </c>
      <c r="O126" s="11" t="n">
        <f aca="false">SUMIFS(tblAuftraege[Einnahmen],tblAuftraege[Datum Einnahmen],"&gt;="&amp;O$5,tblAuftraege[Datum Einnahmen],"&lt;"&amp;EDATE(O$5,1),tblAuftraege[Themenfeld],"Parking")</f>
        <v>0</v>
      </c>
      <c r="P126" s="11" t="n">
        <f aca="false">SUMIFS(tblAuftraege[Einnahmen],tblAuftraege[Datum Einnahmen],"&gt;="&amp;P$5,tblAuftraege[Datum Einnahmen],"&lt;"&amp;EDATE(P$5,1),tblAuftraege[Themenfeld],"Parking")</f>
        <v>0</v>
      </c>
      <c r="Q126" s="11" t="n">
        <f aca="false">SUMIFS(tblAuftraege[Einnahmen],tblAuftraege[Datum Einnahmen],"&gt;="&amp;Q$5,tblAuftraege[Datum Einnahmen],"&lt;"&amp;EDATE(Q$5,1),tblAuftraege[Themenfeld],"Parking")</f>
        <v>0</v>
      </c>
      <c r="R126" s="11" t="n">
        <f aca="false">SUMIFS(tblAuftraege[Einnahmen],tblAuftraege[Datum Einnahmen],"&gt;="&amp;R$5,tblAuftraege[Datum Einnahmen],"&lt;"&amp;EDATE(R$5,1),tblAuftraege[Themenfeld],"Parking")</f>
        <v>0</v>
      </c>
      <c r="S126" s="11" t="n">
        <f aca="false">SUMIFS(tblAuftraege[Einnahmen],tblAuftraege[Datum Einnahmen],"&gt;="&amp;S$5,tblAuftraege[Datum Einnahmen],"&lt;"&amp;EDATE(S$5,1),tblAuftraege[Themenfeld],"Parking")</f>
        <v>0</v>
      </c>
      <c r="T126" s="11" t="n">
        <f aca="false">SUMIFS(tblAuftraege[Einnahmen],tblAuftraege[Datum Einnahmen],"&gt;="&amp;T$5,tblAuftraege[Datum Einnahmen],"&lt;"&amp;EDATE(T$5,1),tblAuftraege[Themenfeld],"Parking")</f>
        <v>0</v>
      </c>
      <c r="U126" s="11" t="n">
        <f aca="false">SUMIFS(tblAuftraege[Einnahmen],tblAuftraege[Datum Einnahmen],"&gt;="&amp;U$5,tblAuftraege[Datum Einnahmen],"&lt;"&amp;EDATE(U$5,1),tblAuftraege[Themenfeld],"Parking")</f>
        <v>0</v>
      </c>
      <c r="V126" s="11" t="n">
        <f aca="false">SUMIFS(tblAuftraege[Einnahmen],tblAuftraege[Datum Einnahmen],"&gt;="&amp;V$5,tblAuftraege[Datum Einnahmen],"&lt;"&amp;EDATE(V$5,1),tblAuftraege[Themenfeld],"Parking")</f>
        <v>0</v>
      </c>
      <c r="W126" s="11" t="n">
        <f aca="false">SUM(E126:J126)</f>
        <v>0</v>
      </c>
      <c r="X126" s="11" t="n">
        <f aca="false">SUM(K126:V126)</f>
        <v>0</v>
      </c>
      <c r="Y126" s="11" t="n">
        <f aca="false">SUM(E126:V126)</f>
        <v>0</v>
      </c>
    </row>
    <row r="127" customFormat="false" ht="15" hidden="false" customHeight="false" outlineLevel="0" collapsed="false">
      <c r="A127" s="13" t="s">
        <v>44</v>
      </c>
      <c r="B127" s="14"/>
      <c r="C127" s="15"/>
      <c r="D127" s="15"/>
      <c r="E127" s="11" t="n">
        <f aca="false">SUMIFS(tblAuftraege[Ausgaben],tblAuftraege[Datum Ausgaben],"&gt;="&amp;E$5,tblAuftraege[Datum Ausgaben],"&lt;"&amp;EDATE(E$5,1),tblAuftraege[Themenfeld],"Parking")</f>
        <v>0</v>
      </c>
      <c r="F127" s="11" t="n">
        <f aca="false">SUMIFS(tblAuftraege[Ausgaben],tblAuftraege[Datum Ausgaben],"&gt;="&amp;F$5,tblAuftraege[Datum Ausgaben],"&lt;"&amp;EDATE(F$5,1),tblAuftraege[Themenfeld],"Parking")</f>
        <v>0</v>
      </c>
      <c r="G127" s="11" t="n">
        <f aca="false">SUMIFS(tblAuftraege[Ausgaben],tblAuftraege[Datum Ausgaben],"&gt;="&amp;G$5,tblAuftraege[Datum Ausgaben],"&lt;"&amp;EDATE(G$5,1),tblAuftraege[Themenfeld],"Parking")</f>
        <v>0</v>
      </c>
      <c r="H127" s="11" t="n">
        <f aca="false">SUMIFS(tblAuftraege[Ausgaben],tblAuftraege[Datum Ausgaben],"&gt;="&amp;H$5,tblAuftraege[Datum Ausgaben],"&lt;"&amp;EDATE(H$5,1),tblAuftraege[Themenfeld],"Parking")</f>
        <v>0</v>
      </c>
      <c r="I127" s="11" t="n">
        <f aca="false">SUMIFS(tblAuftraege[Ausgaben],tblAuftraege[Datum Ausgaben],"&gt;="&amp;I$5,tblAuftraege[Datum Ausgaben],"&lt;"&amp;EDATE(I$5,1),tblAuftraege[Themenfeld],"Parking")</f>
        <v>0</v>
      </c>
      <c r="J127" s="11" t="n">
        <f aca="false">SUMIFS(tblAuftraege[Ausgaben],tblAuftraege[Datum Ausgaben],"&gt;="&amp;J$5,tblAuftraege[Datum Ausgaben],"&lt;"&amp;EDATE(J$5,1),tblAuftraege[Themenfeld],"Parking")</f>
        <v>0</v>
      </c>
      <c r="K127" s="11" t="n">
        <f aca="false">SUMIFS(tblAuftraege[Ausgaben],tblAuftraege[Datum Ausgaben],"&gt;="&amp;K$5,tblAuftraege[Datum Ausgaben],"&lt;"&amp;EDATE(K$5,1),tblAuftraege[Themenfeld],"Parking")</f>
        <v>0</v>
      </c>
      <c r="L127" s="11" t="n">
        <f aca="false">SUMIFS(tblAuftraege[Ausgaben],tblAuftraege[Datum Ausgaben],"&gt;="&amp;L$5,tblAuftraege[Datum Ausgaben],"&lt;"&amp;EDATE(L$5,1),tblAuftraege[Themenfeld],"Parking")</f>
        <v>0</v>
      </c>
      <c r="M127" s="11" t="n">
        <f aca="false">SUMIFS(tblAuftraege[Ausgaben],tblAuftraege[Datum Ausgaben],"&gt;="&amp;M$5,tblAuftraege[Datum Ausgaben],"&lt;"&amp;EDATE(M$5,1),tblAuftraege[Themenfeld],"Parking")</f>
        <v>0</v>
      </c>
      <c r="N127" s="11" t="n">
        <f aca="false">SUMIFS(tblAuftraege[Ausgaben],tblAuftraege[Datum Ausgaben],"&gt;="&amp;N$5,tblAuftraege[Datum Ausgaben],"&lt;"&amp;EDATE(N$5,1),tblAuftraege[Themenfeld],"Parking")</f>
        <v>0</v>
      </c>
      <c r="O127" s="11" t="n">
        <f aca="false">SUMIFS(tblAuftraege[Ausgaben],tblAuftraege[Datum Ausgaben],"&gt;="&amp;O$5,tblAuftraege[Datum Ausgaben],"&lt;"&amp;EDATE(O$5,1),tblAuftraege[Themenfeld],"Parking")</f>
        <v>0</v>
      </c>
      <c r="P127" s="11" t="n">
        <f aca="false">SUMIFS(tblAuftraege[Ausgaben],tblAuftraege[Datum Ausgaben],"&gt;="&amp;P$5,tblAuftraege[Datum Ausgaben],"&lt;"&amp;EDATE(P$5,1),tblAuftraege[Themenfeld],"Parking")</f>
        <v>0</v>
      </c>
      <c r="Q127" s="11" t="n">
        <f aca="false">SUMIFS(tblAuftraege[Ausgaben],tblAuftraege[Datum Ausgaben],"&gt;="&amp;Q$5,tblAuftraege[Datum Ausgaben],"&lt;"&amp;EDATE(Q$5,1),tblAuftraege[Themenfeld],"Parking")</f>
        <v>0</v>
      </c>
      <c r="R127" s="11" t="n">
        <f aca="false">SUMIFS(tblAuftraege[Ausgaben],tblAuftraege[Datum Ausgaben],"&gt;="&amp;R$5,tblAuftraege[Datum Ausgaben],"&lt;"&amp;EDATE(R$5,1),tblAuftraege[Themenfeld],"Parking")</f>
        <v>0</v>
      </c>
      <c r="S127" s="11" t="n">
        <f aca="false">SUMIFS(tblAuftraege[Ausgaben],tblAuftraege[Datum Ausgaben],"&gt;="&amp;S$5,tblAuftraege[Datum Ausgaben],"&lt;"&amp;EDATE(S$5,1),tblAuftraege[Themenfeld],"Parking")</f>
        <v>0</v>
      </c>
      <c r="T127" s="11" t="n">
        <f aca="false">SUMIFS(tblAuftraege[Ausgaben],tblAuftraege[Datum Ausgaben],"&gt;="&amp;T$5,tblAuftraege[Datum Ausgaben],"&lt;"&amp;EDATE(T$5,1),tblAuftraege[Themenfeld],"Parking")</f>
        <v>0</v>
      </c>
      <c r="U127" s="11" t="n">
        <f aca="false">SUMIFS(tblAuftraege[Ausgaben],tblAuftraege[Datum Ausgaben],"&gt;="&amp;U$5,tblAuftraege[Datum Ausgaben],"&lt;"&amp;EDATE(U$5,1),tblAuftraege[Themenfeld],"Parking")</f>
        <v>0</v>
      </c>
      <c r="V127" s="11" t="n">
        <f aca="false">SUMIFS(tblAuftraege[Ausgaben],tblAuftraege[Datum Ausgaben],"&gt;="&amp;V$5,tblAuftraege[Datum Ausgaben],"&lt;"&amp;EDATE(V$5,1),tblAuftraege[Themenfeld],"Parking")</f>
        <v>0</v>
      </c>
      <c r="W127" s="11" t="n">
        <f aca="false">SUM(E127:J127)</f>
        <v>0</v>
      </c>
      <c r="X127" s="11" t="n">
        <f aca="false">SUM(K127:V127)</f>
        <v>0</v>
      </c>
      <c r="Y127" s="11" t="n">
        <f aca="false">SUM(E127:V127)</f>
        <v>0</v>
      </c>
    </row>
    <row r="128" customFormat="false" ht="15" hidden="false" customHeight="false" outlineLevel="0" collapsed="false">
      <c r="A128" s="13" t="s">
        <v>45</v>
      </c>
      <c r="B128" s="14"/>
      <c r="C128" s="15"/>
      <c r="D128" s="15"/>
      <c r="E128" s="11" t="n">
        <f aca="false">SUMIFS(tblAuftraege[Einnahmen],tblAuftraege[Datum Einnahmen],"&gt;="&amp;E$5,tblAuftraege[Datum Einnahmen],"&lt;"&amp;EDATE(E$5,1),tblAuftraege[Themenfeld],"LLM")</f>
        <v>0</v>
      </c>
      <c r="F128" s="11" t="n">
        <f aca="false">SUMIFS(tblAuftraege[Einnahmen],tblAuftraege[Datum Einnahmen],"&gt;="&amp;F$5,tblAuftraege[Datum Einnahmen],"&lt;"&amp;EDATE(F$5,1),tblAuftraege[Themenfeld],"LLM")</f>
        <v>0</v>
      </c>
      <c r="G128" s="11" t="n">
        <f aca="false">SUMIFS(tblAuftraege[Einnahmen],tblAuftraege[Datum Einnahmen],"&gt;="&amp;G$5,tblAuftraege[Datum Einnahmen],"&lt;"&amp;EDATE(G$5,1),tblAuftraege[Themenfeld],"LLM")</f>
        <v>0</v>
      </c>
      <c r="H128" s="11" t="n">
        <f aca="false">SUMIFS(tblAuftraege[Einnahmen],tblAuftraege[Datum Einnahmen],"&gt;="&amp;H$5,tblAuftraege[Datum Einnahmen],"&lt;"&amp;EDATE(H$5,1),tblAuftraege[Themenfeld],"LLM")</f>
        <v>0</v>
      </c>
      <c r="I128" s="11" t="n">
        <f aca="false">SUMIFS(tblAuftraege[Einnahmen],tblAuftraege[Datum Einnahmen],"&gt;="&amp;I$5,tblAuftraege[Datum Einnahmen],"&lt;"&amp;EDATE(I$5,1),tblAuftraege[Themenfeld],"LLM")</f>
        <v>0</v>
      </c>
      <c r="J128" s="11" t="n">
        <f aca="false">SUMIFS(tblAuftraege[Einnahmen],tblAuftraege[Datum Einnahmen],"&gt;="&amp;J$5,tblAuftraege[Datum Einnahmen],"&lt;"&amp;EDATE(J$5,1),tblAuftraege[Themenfeld],"LLM")</f>
        <v>0</v>
      </c>
      <c r="K128" s="11" t="n">
        <f aca="false">SUMIFS(tblAuftraege[Einnahmen],tblAuftraege[Datum Einnahmen],"&gt;="&amp;K$5,tblAuftraege[Datum Einnahmen],"&lt;"&amp;EDATE(K$5,1),tblAuftraege[Themenfeld],"LLM")</f>
        <v>0</v>
      </c>
      <c r="L128" s="11" t="n">
        <f aca="false">SUMIFS(tblAuftraege[Einnahmen],tblAuftraege[Datum Einnahmen],"&gt;="&amp;L$5,tblAuftraege[Datum Einnahmen],"&lt;"&amp;EDATE(L$5,1),tblAuftraege[Themenfeld],"LLM")</f>
        <v>0</v>
      </c>
      <c r="M128" s="11" t="n">
        <f aca="false">SUMIFS(tblAuftraege[Einnahmen],tblAuftraege[Datum Einnahmen],"&gt;="&amp;M$5,tblAuftraege[Datum Einnahmen],"&lt;"&amp;EDATE(M$5,1),tblAuftraege[Themenfeld],"LLM")</f>
        <v>0</v>
      </c>
      <c r="N128" s="11" t="n">
        <f aca="false">SUMIFS(tblAuftraege[Einnahmen],tblAuftraege[Datum Einnahmen],"&gt;="&amp;N$5,tblAuftraege[Datum Einnahmen],"&lt;"&amp;EDATE(N$5,1),tblAuftraege[Themenfeld],"LLM")</f>
        <v>0</v>
      </c>
      <c r="O128" s="11" t="n">
        <f aca="false">SUMIFS(tblAuftraege[Einnahmen],tblAuftraege[Datum Einnahmen],"&gt;="&amp;O$5,tblAuftraege[Datum Einnahmen],"&lt;"&amp;EDATE(O$5,1),tblAuftraege[Themenfeld],"LLM")</f>
        <v>0</v>
      </c>
      <c r="P128" s="11" t="n">
        <f aca="false">SUMIFS(tblAuftraege[Einnahmen],tblAuftraege[Datum Einnahmen],"&gt;="&amp;P$5,tblAuftraege[Datum Einnahmen],"&lt;"&amp;EDATE(P$5,1),tblAuftraege[Themenfeld],"LLM")</f>
        <v>0</v>
      </c>
      <c r="Q128" s="11" t="n">
        <f aca="false">SUMIFS(tblAuftraege[Einnahmen],tblAuftraege[Datum Einnahmen],"&gt;="&amp;Q$5,tblAuftraege[Datum Einnahmen],"&lt;"&amp;EDATE(Q$5,1),tblAuftraege[Themenfeld],"LLM")</f>
        <v>0</v>
      </c>
      <c r="R128" s="11" t="n">
        <f aca="false">SUMIFS(tblAuftraege[Einnahmen],tblAuftraege[Datum Einnahmen],"&gt;="&amp;R$5,tblAuftraege[Datum Einnahmen],"&lt;"&amp;EDATE(R$5,1),tblAuftraege[Themenfeld],"LLM")</f>
        <v>0</v>
      </c>
      <c r="S128" s="11" t="n">
        <f aca="false">SUMIFS(tblAuftraege[Einnahmen],tblAuftraege[Datum Einnahmen],"&gt;="&amp;S$5,tblAuftraege[Datum Einnahmen],"&lt;"&amp;EDATE(S$5,1),tblAuftraege[Themenfeld],"LLM")</f>
        <v>0</v>
      </c>
      <c r="T128" s="11" t="n">
        <f aca="false">SUMIFS(tblAuftraege[Einnahmen],tblAuftraege[Datum Einnahmen],"&gt;="&amp;T$5,tblAuftraege[Datum Einnahmen],"&lt;"&amp;EDATE(T$5,1),tblAuftraege[Themenfeld],"LLM")</f>
        <v>0</v>
      </c>
      <c r="U128" s="11" t="n">
        <f aca="false">SUMIFS(tblAuftraege[Einnahmen],tblAuftraege[Datum Einnahmen],"&gt;="&amp;U$5,tblAuftraege[Datum Einnahmen],"&lt;"&amp;EDATE(U$5,1),tblAuftraege[Themenfeld],"LLM")</f>
        <v>0</v>
      </c>
      <c r="V128" s="11" t="n">
        <f aca="false">SUMIFS(tblAuftraege[Einnahmen],tblAuftraege[Datum Einnahmen],"&gt;="&amp;V$5,tblAuftraege[Datum Einnahmen],"&lt;"&amp;EDATE(V$5,1),tblAuftraege[Themenfeld],"LLM")</f>
        <v>0</v>
      </c>
      <c r="W128" s="11" t="n">
        <f aca="false">SUM(E128:J128)</f>
        <v>0</v>
      </c>
      <c r="X128" s="11" t="n">
        <f aca="false">SUM(K128:V128)</f>
        <v>0</v>
      </c>
      <c r="Y128" s="11" t="n">
        <f aca="false">SUM(E128:V128)</f>
        <v>0</v>
      </c>
    </row>
    <row r="129" customFormat="false" ht="15" hidden="false" customHeight="false" outlineLevel="0" collapsed="false">
      <c r="A129" s="13" t="s">
        <v>46</v>
      </c>
      <c r="B129" s="14"/>
      <c r="C129" s="15"/>
      <c r="D129" s="15"/>
      <c r="E129" s="11" t="n">
        <f aca="false">SUMIFS(tblAuftraege[Ausgaben],tblAuftraege[Datum Ausgaben],"&gt;="&amp;E$5,tblAuftraege[Datum Ausgaben],"&lt;"&amp;EDATE(E$5,1),tblAuftraege[Themenfeld],"LLM")</f>
        <v>0</v>
      </c>
      <c r="F129" s="11" t="n">
        <f aca="false">SUMIFS(tblAuftraege[Ausgaben],tblAuftraege[Datum Ausgaben],"&gt;="&amp;F$5,tblAuftraege[Datum Ausgaben],"&lt;"&amp;EDATE(F$5,1),tblAuftraege[Themenfeld],"LLM")</f>
        <v>0</v>
      </c>
      <c r="G129" s="11" t="n">
        <f aca="false">SUMIFS(tblAuftraege[Ausgaben],tblAuftraege[Datum Ausgaben],"&gt;="&amp;G$5,tblAuftraege[Datum Ausgaben],"&lt;"&amp;EDATE(G$5,1),tblAuftraege[Themenfeld],"LLM")</f>
        <v>0</v>
      </c>
      <c r="H129" s="11" t="n">
        <f aca="false">SUMIFS(tblAuftraege[Ausgaben],tblAuftraege[Datum Ausgaben],"&gt;="&amp;H$5,tblAuftraege[Datum Ausgaben],"&lt;"&amp;EDATE(H$5,1),tblAuftraege[Themenfeld],"LLM")</f>
        <v>0</v>
      </c>
      <c r="I129" s="11" t="n">
        <f aca="false">SUMIFS(tblAuftraege[Ausgaben],tblAuftraege[Datum Ausgaben],"&gt;="&amp;I$5,tblAuftraege[Datum Ausgaben],"&lt;"&amp;EDATE(I$5,1),tblAuftraege[Themenfeld],"LLM")</f>
        <v>0</v>
      </c>
      <c r="J129" s="11" t="n">
        <f aca="false">SUMIFS(tblAuftraege[Ausgaben],tblAuftraege[Datum Ausgaben],"&gt;="&amp;J$5,tblAuftraege[Datum Ausgaben],"&lt;"&amp;EDATE(J$5,1),tblAuftraege[Themenfeld],"LLM")</f>
        <v>0</v>
      </c>
      <c r="K129" s="11" t="n">
        <f aca="false">SUMIFS(tblAuftraege[Ausgaben],tblAuftraege[Datum Ausgaben],"&gt;="&amp;K$5,tblAuftraege[Datum Ausgaben],"&lt;"&amp;EDATE(K$5,1),tblAuftraege[Themenfeld],"LLM")</f>
        <v>0</v>
      </c>
      <c r="L129" s="11" t="n">
        <f aca="false">SUMIFS(tblAuftraege[Ausgaben],tblAuftraege[Datum Ausgaben],"&gt;="&amp;L$5,tblAuftraege[Datum Ausgaben],"&lt;"&amp;EDATE(L$5,1),tblAuftraege[Themenfeld],"LLM")</f>
        <v>0</v>
      </c>
      <c r="M129" s="11" t="n">
        <f aca="false">SUMIFS(tblAuftraege[Ausgaben],tblAuftraege[Datum Ausgaben],"&gt;="&amp;M$5,tblAuftraege[Datum Ausgaben],"&lt;"&amp;EDATE(M$5,1),tblAuftraege[Themenfeld],"LLM")</f>
        <v>0</v>
      </c>
      <c r="N129" s="11" t="n">
        <f aca="false">SUMIFS(tblAuftraege[Ausgaben],tblAuftraege[Datum Ausgaben],"&gt;="&amp;N$5,tblAuftraege[Datum Ausgaben],"&lt;"&amp;EDATE(N$5,1),tblAuftraege[Themenfeld],"LLM")</f>
        <v>0</v>
      </c>
      <c r="O129" s="11" t="n">
        <f aca="false">SUMIFS(tblAuftraege[Ausgaben],tblAuftraege[Datum Ausgaben],"&gt;="&amp;O$5,tblAuftraege[Datum Ausgaben],"&lt;"&amp;EDATE(O$5,1),tblAuftraege[Themenfeld],"LLM")</f>
        <v>0</v>
      </c>
      <c r="P129" s="11" t="n">
        <f aca="false">SUMIFS(tblAuftraege[Ausgaben],tblAuftraege[Datum Ausgaben],"&gt;="&amp;P$5,tblAuftraege[Datum Ausgaben],"&lt;"&amp;EDATE(P$5,1),tblAuftraege[Themenfeld],"LLM")</f>
        <v>0</v>
      </c>
      <c r="Q129" s="11" t="n">
        <f aca="false">SUMIFS(tblAuftraege[Ausgaben],tblAuftraege[Datum Ausgaben],"&gt;="&amp;Q$5,tblAuftraege[Datum Ausgaben],"&lt;"&amp;EDATE(Q$5,1),tblAuftraege[Themenfeld],"LLM")</f>
        <v>0</v>
      </c>
      <c r="R129" s="11" t="n">
        <f aca="false">SUMIFS(tblAuftraege[Ausgaben],tblAuftraege[Datum Ausgaben],"&gt;="&amp;R$5,tblAuftraege[Datum Ausgaben],"&lt;"&amp;EDATE(R$5,1),tblAuftraege[Themenfeld],"LLM")</f>
        <v>0</v>
      </c>
      <c r="S129" s="11" t="n">
        <f aca="false">SUMIFS(tblAuftraege[Ausgaben],tblAuftraege[Datum Ausgaben],"&gt;="&amp;S$5,tblAuftraege[Datum Ausgaben],"&lt;"&amp;EDATE(S$5,1),tblAuftraege[Themenfeld],"LLM")</f>
        <v>0</v>
      </c>
      <c r="T129" s="11" t="n">
        <f aca="false">SUMIFS(tblAuftraege[Ausgaben],tblAuftraege[Datum Ausgaben],"&gt;="&amp;T$5,tblAuftraege[Datum Ausgaben],"&lt;"&amp;EDATE(T$5,1),tblAuftraege[Themenfeld],"LLM")</f>
        <v>0</v>
      </c>
      <c r="U129" s="11" t="n">
        <f aca="false">SUMIFS(tblAuftraege[Ausgaben],tblAuftraege[Datum Ausgaben],"&gt;="&amp;U$5,tblAuftraege[Datum Ausgaben],"&lt;"&amp;EDATE(U$5,1),tblAuftraege[Themenfeld],"LLM")</f>
        <v>0</v>
      </c>
      <c r="V129" s="11" t="n">
        <f aca="false">SUMIFS(tblAuftraege[Ausgaben],tblAuftraege[Datum Ausgaben],"&gt;="&amp;V$5,tblAuftraege[Datum Ausgaben],"&lt;"&amp;EDATE(V$5,1),tblAuftraege[Themenfeld],"LLM")</f>
        <v>0</v>
      </c>
      <c r="W129" s="11" t="n">
        <f aca="false">SUM(E129:J129)</f>
        <v>0</v>
      </c>
      <c r="X129" s="11" t="n">
        <f aca="false">SUM(K129:V129)</f>
        <v>0</v>
      </c>
      <c r="Y129" s="11" t="n">
        <f aca="false">SUM(E129:V129)</f>
        <v>0</v>
      </c>
    </row>
    <row r="131" customFormat="false" ht="19.5" hidden="false" customHeight="true" outlineLevel="0" collapsed="false">
      <c r="A131" s="7" t="s">
        <v>47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customFormat="false" ht="15" hidden="false" customHeight="false" outlineLevel="0" collapsed="false">
      <c r="A132" s="13" t="s">
        <v>48</v>
      </c>
      <c r="B132" s="14"/>
      <c r="C132" s="15"/>
      <c r="D132" s="15"/>
      <c r="E132" s="11" t="n">
        <f aca="false">SUMIFS(tblAuftraege[Einnahmen],tblAuftraege[Datum Einnahmen],"&gt;="&amp;E$5,tblAuftraege[Datum Einnahmen],"&lt;"&amp;EDATE(E$5,1),tblAuftraege[Kategorie],"Hardware")</f>
        <v>0</v>
      </c>
      <c r="F132" s="11" t="n">
        <f aca="false">SUMIFS(tblAuftraege[Einnahmen],tblAuftraege[Datum Einnahmen],"&gt;="&amp;F$5,tblAuftraege[Datum Einnahmen],"&lt;"&amp;EDATE(F$5,1),tblAuftraege[Kategorie],"Hardware")</f>
        <v>0</v>
      </c>
      <c r="G132" s="11" t="n">
        <f aca="false">SUMIFS(tblAuftraege[Einnahmen],tblAuftraege[Datum Einnahmen],"&gt;="&amp;G$5,tblAuftraege[Datum Einnahmen],"&lt;"&amp;EDATE(G$5,1),tblAuftraege[Kategorie],"Hardware")</f>
        <v>0</v>
      </c>
      <c r="H132" s="11" t="n">
        <f aca="false">SUMIFS(tblAuftraege[Einnahmen],tblAuftraege[Datum Einnahmen],"&gt;="&amp;H$5,tblAuftraege[Datum Einnahmen],"&lt;"&amp;EDATE(H$5,1),tblAuftraege[Kategorie],"Hardware")</f>
        <v>0</v>
      </c>
      <c r="I132" s="11" t="n">
        <f aca="false">SUMIFS(tblAuftraege[Einnahmen],tblAuftraege[Datum Einnahmen],"&gt;="&amp;I$5,tblAuftraege[Datum Einnahmen],"&lt;"&amp;EDATE(I$5,1),tblAuftraege[Kategorie],"Hardware")</f>
        <v>0</v>
      </c>
      <c r="J132" s="11" t="n">
        <f aca="false">SUMIFS(tblAuftraege[Einnahmen],tblAuftraege[Datum Einnahmen],"&gt;="&amp;J$5,tblAuftraege[Datum Einnahmen],"&lt;"&amp;EDATE(J$5,1),tblAuftraege[Kategorie],"Hardware")</f>
        <v>0</v>
      </c>
      <c r="K132" s="11" t="n">
        <f aca="false">SUMIFS(tblAuftraege[Einnahmen],tblAuftraege[Datum Einnahmen],"&gt;="&amp;K$5,tblAuftraege[Datum Einnahmen],"&lt;"&amp;EDATE(K$5,1),tblAuftraege[Kategorie],"Hardware")</f>
        <v>0</v>
      </c>
      <c r="L132" s="11" t="n">
        <f aca="false">SUMIFS(tblAuftraege[Einnahmen],tblAuftraege[Datum Einnahmen],"&gt;="&amp;L$5,tblAuftraege[Datum Einnahmen],"&lt;"&amp;EDATE(L$5,1),tblAuftraege[Kategorie],"Hardware")</f>
        <v>0</v>
      </c>
      <c r="M132" s="11" t="n">
        <f aca="false">SUMIFS(tblAuftraege[Einnahmen],tblAuftraege[Datum Einnahmen],"&gt;="&amp;M$5,tblAuftraege[Datum Einnahmen],"&lt;"&amp;EDATE(M$5,1),tblAuftraege[Kategorie],"Hardware")</f>
        <v>0</v>
      </c>
      <c r="N132" s="11" t="n">
        <f aca="false">SUMIFS(tblAuftraege[Einnahmen],tblAuftraege[Datum Einnahmen],"&gt;="&amp;N$5,tblAuftraege[Datum Einnahmen],"&lt;"&amp;EDATE(N$5,1),tblAuftraege[Kategorie],"Hardware")</f>
        <v>0</v>
      </c>
      <c r="O132" s="11" t="n">
        <f aca="false">SUMIFS(tblAuftraege[Einnahmen],tblAuftraege[Datum Einnahmen],"&gt;="&amp;O$5,tblAuftraege[Datum Einnahmen],"&lt;"&amp;EDATE(O$5,1),tblAuftraege[Kategorie],"Hardware")</f>
        <v>0</v>
      </c>
      <c r="P132" s="11" t="n">
        <f aca="false">SUMIFS(tblAuftraege[Einnahmen],tblAuftraege[Datum Einnahmen],"&gt;="&amp;P$5,tblAuftraege[Datum Einnahmen],"&lt;"&amp;EDATE(P$5,1),tblAuftraege[Kategorie],"Hardware")</f>
        <v>0</v>
      </c>
      <c r="Q132" s="11" t="n">
        <f aca="false">SUMIFS(tblAuftraege[Einnahmen],tblAuftraege[Datum Einnahmen],"&gt;="&amp;Q$5,tblAuftraege[Datum Einnahmen],"&lt;"&amp;EDATE(Q$5,1),tblAuftraege[Kategorie],"Hardware")</f>
        <v>0</v>
      </c>
      <c r="R132" s="11" t="n">
        <f aca="false">SUMIFS(tblAuftraege[Einnahmen],tblAuftraege[Datum Einnahmen],"&gt;="&amp;R$5,tblAuftraege[Datum Einnahmen],"&lt;"&amp;EDATE(R$5,1),tblAuftraege[Kategorie],"Hardware")</f>
        <v>0</v>
      </c>
      <c r="S132" s="11" t="n">
        <f aca="false">SUMIFS(tblAuftraege[Einnahmen],tblAuftraege[Datum Einnahmen],"&gt;="&amp;S$5,tblAuftraege[Datum Einnahmen],"&lt;"&amp;EDATE(S$5,1),tblAuftraege[Kategorie],"Hardware")</f>
        <v>0</v>
      </c>
      <c r="T132" s="11" t="n">
        <f aca="false">SUMIFS(tblAuftraege[Einnahmen],tblAuftraege[Datum Einnahmen],"&gt;="&amp;T$5,tblAuftraege[Datum Einnahmen],"&lt;"&amp;EDATE(T$5,1),tblAuftraege[Kategorie],"Hardware")</f>
        <v>0</v>
      </c>
      <c r="U132" s="11" t="n">
        <f aca="false">SUMIFS(tblAuftraege[Einnahmen],tblAuftraege[Datum Einnahmen],"&gt;="&amp;U$5,tblAuftraege[Datum Einnahmen],"&lt;"&amp;EDATE(U$5,1),tblAuftraege[Kategorie],"Hardware")</f>
        <v>0</v>
      </c>
      <c r="V132" s="11" t="n">
        <f aca="false">SUMIFS(tblAuftraege[Einnahmen],tblAuftraege[Datum Einnahmen],"&gt;="&amp;V$5,tblAuftraege[Datum Einnahmen],"&lt;"&amp;EDATE(V$5,1),tblAuftraege[Kategorie],"Hardware")</f>
        <v>0</v>
      </c>
      <c r="W132" s="11" t="n">
        <f aca="false">SUM(E132:J132)</f>
        <v>0</v>
      </c>
      <c r="X132" s="11" t="n">
        <f aca="false">SUM(K132:V132)</f>
        <v>0</v>
      </c>
      <c r="Y132" s="11" t="n">
        <f aca="false">SUM(E132:V132)</f>
        <v>0</v>
      </c>
    </row>
    <row r="133" customFormat="false" ht="15" hidden="false" customHeight="false" outlineLevel="0" collapsed="false">
      <c r="A133" s="13" t="s">
        <v>49</v>
      </c>
      <c r="B133" s="14"/>
      <c r="C133" s="15"/>
      <c r="D133" s="15"/>
      <c r="E133" s="11" t="n">
        <f aca="false">SUMIFS(tblAuftraege[Ausgaben],tblAuftraege[Datum Ausgaben],"&gt;="&amp;E$5,tblAuftraege[Datum Ausgaben],"&lt;"&amp;EDATE(E$5,1),tblAuftraege[Kategorie],"Hardware")</f>
        <v>0</v>
      </c>
      <c r="F133" s="11" t="n">
        <f aca="false">SUMIFS(tblAuftraege[Ausgaben],tblAuftraege[Datum Ausgaben],"&gt;="&amp;F$5,tblAuftraege[Datum Ausgaben],"&lt;"&amp;EDATE(F$5,1),tblAuftraege[Kategorie],"Hardware")</f>
        <v>0</v>
      </c>
      <c r="G133" s="11" t="n">
        <f aca="false">SUMIFS(tblAuftraege[Ausgaben],tblAuftraege[Datum Ausgaben],"&gt;="&amp;G$5,tblAuftraege[Datum Ausgaben],"&lt;"&amp;EDATE(G$5,1),tblAuftraege[Kategorie],"Hardware")</f>
        <v>0</v>
      </c>
      <c r="H133" s="11" t="n">
        <f aca="false">SUMIFS(tblAuftraege[Ausgaben],tblAuftraege[Datum Ausgaben],"&gt;="&amp;H$5,tblAuftraege[Datum Ausgaben],"&lt;"&amp;EDATE(H$5,1),tblAuftraege[Kategorie],"Hardware")</f>
        <v>0</v>
      </c>
      <c r="I133" s="11" t="n">
        <f aca="false">SUMIFS(tblAuftraege[Ausgaben],tblAuftraege[Datum Ausgaben],"&gt;="&amp;I$5,tblAuftraege[Datum Ausgaben],"&lt;"&amp;EDATE(I$5,1),tblAuftraege[Kategorie],"Hardware")</f>
        <v>0</v>
      </c>
      <c r="J133" s="11" t="n">
        <f aca="false">SUMIFS(tblAuftraege[Ausgaben],tblAuftraege[Datum Ausgaben],"&gt;="&amp;J$5,tblAuftraege[Datum Ausgaben],"&lt;"&amp;EDATE(J$5,1),tblAuftraege[Kategorie],"Hardware")</f>
        <v>0</v>
      </c>
      <c r="K133" s="11" t="n">
        <f aca="false">SUMIFS(tblAuftraege[Ausgaben],tblAuftraege[Datum Ausgaben],"&gt;="&amp;K$5,tblAuftraege[Datum Ausgaben],"&lt;"&amp;EDATE(K$5,1),tblAuftraege[Kategorie],"Hardware")</f>
        <v>0</v>
      </c>
      <c r="L133" s="11" t="n">
        <f aca="false">SUMIFS(tblAuftraege[Ausgaben],tblAuftraege[Datum Ausgaben],"&gt;="&amp;L$5,tblAuftraege[Datum Ausgaben],"&lt;"&amp;EDATE(L$5,1),tblAuftraege[Kategorie],"Hardware")</f>
        <v>0</v>
      </c>
      <c r="M133" s="11" t="n">
        <f aca="false">SUMIFS(tblAuftraege[Ausgaben],tblAuftraege[Datum Ausgaben],"&gt;="&amp;M$5,tblAuftraege[Datum Ausgaben],"&lt;"&amp;EDATE(M$5,1),tblAuftraege[Kategorie],"Hardware")</f>
        <v>0</v>
      </c>
      <c r="N133" s="11" t="n">
        <f aca="false">SUMIFS(tblAuftraege[Ausgaben],tblAuftraege[Datum Ausgaben],"&gt;="&amp;N$5,tblAuftraege[Datum Ausgaben],"&lt;"&amp;EDATE(N$5,1),tblAuftraege[Kategorie],"Hardware")</f>
        <v>0</v>
      </c>
      <c r="O133" s="11" t="n">
        <f aca="false">SUMIFS(tblAuftraege[Ausgaben],tblAuftraege[Datum Ausgaben],"&gt;="&amp;O$5,tblAuftraege[Datum Ausgaben],"&lt;"&amp;EDATE(O$5,1),tblAuftraege[Kategorie],"Hardware")</f>
        <v>0</v>
      </c>
      <c r="P133" s="11" t="n">
        <f aca="false">SUMIFS(tblAuftraege[Ausgaben],tblAuftraege[Datum Ausgaben],"&gt;="&amp;P$5,tblAuftraege[Datum Ausgaben],"&lt;"&amp;EDATE(P$5,1),tblAuftraege[Kategorie],"Hardware")</f>
        <v>0</v>
      </c>
      <c r="Q133" s="11" t="n">
        <f aca="false">SUMIFS(tblAuftraege[Ausgaben],tblAuftraege[Datum Ausgaben],"&gt;="&amp;Q$5,tblAuftraege[Datum Ausgaben],"&lt;"&amp;EDATE(Q$5,1),tblAuftraege[Kategorie],"Hardware")</f>
        <v>0</v>
      </c>
      <c r="R133" s="11" t="n">
        <f aca="false">SUMIFS(tblAuftraege[Ausgaben],tblAuftraege[Datum Ausgaben],"&gt;="&amp;R$5,tblAuftraege[Datum Ausgaben],"&lt;"&amp;EDATE(R$5,1),tblAuftraege[Kategorie],"Hardware")</f>
        <v>0</v>
      </c>
      <c r="S133" s="11" t="n">
        <f aca="false">SUMIFS(tblAuftraege[Ausgaben],tblAuftraege[Datum Ausgaben],"&gt;="&amp;S$5,tblAuftraege[Datum Ausgaben],"&lt;"&amp;EDATE(S$5,1),tblAuftraege[Kategorie],"Hardware")</f>
        <v>0</v>
      </c>
      <c r="T133" s="11" t="n">
        <f aca="false">SUMIFS(tblAuftraege[Ausgaben],tblAuftraege[Datum Ausgaben],"&gt;="&amp;T$5,tblAuftraege[Datum Ausgaben],"&lt;"&amp;EDATE(T$5,1),tblAuftraege[Kategorie],"Hardware")</f>
        <v>0</v>
      </c>
      <c r="U133" s="11" t="n">
        <f aca="false">SUMIFS(tblAuftraege[Ausgaben],tblAuftraege[Datum Ausgaben],"&gt;="&amp;U$5,tblAuftraege[Datum Ausgaben],"&lt;"&amp;EDATE(U$5,1),tblAuftraege[Kategorie],"Hardware")</f>
        <v>0</v>
      </c>
      <c r="V133" s="11" t="n">
        <f aca="false">SUMIFS(tblAuftraege[Ausgaben],tblAuftraege[Datum Ausgaben],"&gt;="&amp;V$5,tblAuftraege[Datum Ausgaben],"&lt;"&amp;EDATE(V$5,1),tblAuftraege[Kategorie],"Hardware")</f>
        <v>0</v>
      </c>
      <c r="W133" s="11" t="n">
        <f aca="false">SUM(E133:J133)</f>
        <v>0</v>
      </c>
      <c r="X133" s="11" t="n">
        <f aca="false">SUM(K133:V133)</f>
        <v>0</v>
      </c>
      <c r="Y133" s="11" t="n">
        <f aca="false">SUM(E133:V133)</f>
        <v>0</v>
      </c>
    </row>
    <row r="134" customFormat="false" ht="15" hidden="false" customHeight="false" outlineLevel="0" collapsed="false">
      <c r="A134" s="13" t="s">
        <v>50</v>
      </c>
      <c r="B134" s="14"/>
      <c r="C134" s="15"/>
      <c r="D134" s="15"/>
      <c r="E134" s="11" t="n">
        <f aca="false">SUMIFS(tblAuftraege[Einnahmen],tblAuftraege[Datum Einnahmen],"&gt;="&amp;E$5,tblAuftraege[Datum Einnahmen],"&lt;"&amp;EDATE(E$5,1),tblAuftraege[Kategorie],"Hardware + Dienstleistung")</f>
        <v>0</v>
      </c>
      <c r="F134" s="11" t="n">
        <f aca="false">SUMIFS(tblAuftraege[Einnahmen],tblAuftraege[Datum Einnahmen],"&gt;="&amp;F$5,tblAuftraege[Datum Einnahmen],"&lt;"&amp;EDATE(F$5,1),tblAuftraege[Kategorie],"Hardware + Dienstleistung")</f>
        <v>0</v>
      </c>
      <c r="G134" s="11" t="n">
        <f aca="false">SUMIFS(tblAuftraege[Einnahmen],tblAuftraege[Datum Einnahmen],"&gt;="&amp;G$5,tblAuftraege[Datum Einnahmen],"&lt;"&amp;EDATE(G$5,1),tblAuftraege[Kategorie],"Hardware + Dienstleistung")</f>
        <v>0</v>
      </c>
      <c r="H134" s="11" t="n">
        <f aca="false">SUMIFS(tblAuftraege[Einnahmen],tblAuftraege[Datum Einnahmen],"&gt;="&amp;H$5,tblAuftraege[Datum Einnahmen],"&lt;"&amp;EDATE(H$5,1),tblAuftraege[Kategorie],"Hardware + Dienstleistung")</f>
        <v>0</v>
      </c>
      <c r="I134" s="11" t="n">
        <f aca="false">SUMIFS(tblAuftraege[Einnahmen],tblAuftraege[Datum Einnahmen],"&gt;="&amp;I$5,tblAuftraege[Datum Einnahmen],"&lt;"&amp;EDATE(I$5,1),tblAuftraege[Kategorie],"Hardware + Dienstleistung")</f>
        <v>0</v>
      </c>
      <c r="J134" s="11" t="n">
        <f aca="false">SUMIFS(tblAuftraege[Einnahmen],tblAuftraege[Datum Einnahmen],"&gt;="&amp;J$5,tblAuftraege[Datum Einnahmen],"&lt;"&amp;EDATE(J$5,1),tblAuftraege[Kategorie],"Hardware + Dienstleistung")</f>
        <v>0</v>
      </c>
      <c r="K134" s="11" t="n">
        <f aca="false">SUMIFS(tblAuftraege[Einnahmen],tblAuftraege[Datum Einnahmen],"&gt;="&amp;K$5,tblAuftraege[Datum Einnahmen],"&lt;"&amp;EDATE(K$5,1),tblAuftraege[Kategorie],"Hardware + Dienstleistung")</f>
        <v>0</v>
      </c>
      <c r="L134" s="11" t="n">
        <f aca="false">SUMIFS(tblAuftraege[Einnahmen],tblAuftraege[Datum Einnahmen],"&gt;="&amp;L$5,tblAuftraege[Datum Einnahmen],"&lt;"&amp;EDATE(L$5,1),tblAuftraege[Kategorie],"Hardware + Dienstleistung")</f>
        <v>0</v>
      </c>
      <c r="M134" s="11" t="n">
        <f aca="false">SUMIFS(tblAuftraege[Einnahmen],tblAuftraege[Datum Einnahmen],"&gt;="&amp;M$5,tblAuftraege[Datum Einnahmen],"&lt;"&amp;EDATE(M$5,1),tblAuftraege[Kategorie],"Hardware + Dienstleistung")</f>
        <v>0</v>
      </c>
      <c r="N134" s="11" t="n">
        <f aca="false">SUMIFS(tblAuftraege[Einnahmen],tblAuftraege[Datum Einnahmen],"&gt;="&amp;N$5,tblAuftraege[Datum Einnahmen],"&lt;"&amp;EDATE(N$5,1),tblAuftraege[Kategorie],"Hardware + Dienstleistung")</f>
        <v>0</v>
      </c>
      <c r="O134" s="11" t="n">
        <f aca="false">SUMIFS(tblAuftraege[Einnahmen],tblAuftraege[Datum Einnahmen],"&gt;="&amp;O$5,tblAuftraege[Datum Einnahmen],"&lt;"&amp;EDATE(O$5,1),tblAuftraege[Kategorie],"Hardware + Dienstleistung")</f>
        <v>0</v>
      </c>
      <c r="P134" s="11" t="n">
        <f aca="false">SUMIFS(tblAuftraege[Einnahmen],tblAuftraege[Datum Einnahmen],"&gt;="&amp;P$5,tblAuftraege[Datum Einnahmen],"&lt;"&amp;EDATE(P$5,1),tblAuftraege[Kategorie],"Hardware + Dienstleistung")</f>
        <v>0</v>
      </c>
      <c r="Q134" s="11" t="n">
        <f aca="false">SUMIFS(tblAuftraege[Einnahmen],tblAuftraege[Datum Einnahmen],"&gt;="&amp;Q$5,tblAuftraege[Datum Einnahmen],"&lt;"&amp;EDATE(Q$5,1),tblAuftraege[Kategorie],"Hardware + Dienstleistung")</f>
        <v>0</v>
      </c>
      <c r="R134" s="11" t="n">
        <f aca="false">SUMIFS(tblAuftraege[Einnahmen],tblAuftraege[Datum Einnahmen],"&gt;="&amp;R$5,tblAuftraege[Datum Einnahmen],"&lt;"&amp;EDATE(R$5,1),tblAuftraege[Kategorie],"Hardware + Dienstleistung")</f>
        <v>0</v>
      </c>
      <c r="S134" s="11" t="n">
        <f aca="false">SUMIFS(tblAuftraege[Einnahmen],tblAuftraege[Datum Einnahmen],"&gt;="&amp;S$5,tblAuftraege[Datum Einnahmen],"&lt;"&amp;EDATE(S$5,1),tblAuftraege[Kategorie],"Hardware + Dienstleistung")</f>
        <v>0</v>
      </c>
      <c r="T134" s="11" t="n">
        <f aca="false">SUMIFS(tblAuftraege[Einnahmen],tblAuftraege[Datum Einnahmen],"&gt;="&amp;T$5,tblAuftraege[Datum Einnahmen],"&lt;"&amp;EDATE(T$5,1),tblAuftraege[Kategorie],"Hardware + Dienstleistung")</f>
        <v>0</v>
      </c>
      <c r="U134" s="11" t="n">
        <f aca="false">SUMIFS(tblAuftraege[Einnahmen],tblAuftraege[Datum Einnahmen],"&gt;="&amp;U$5,tblAuftraege[Datum Einnahmen],"&lt;"&amp;EDATE(U$5,1),tblAuftraege[Kategorie],"Hardware + Dienstleistung")</f>
        <v>0</v>
      </c>
      <c r="V134" s="11" t="n">
        <f aca="false">SUMIFS(tblAuftraege[Einnahmen],tblAuftraege[Datum Einnahmen],"&gt;="&amp;V$5,tblAuftraege[Datum Einnahmen],"&lt;"&amp;EDATE(V$5,1),tblAuftraege[Kategorie],"Hardware + Dienstleistung")</f>
        <v>0</v>
      </c>
      <c r="W134" s="11" t="n">
        <f aca="false">SUM(E134:J134)</f>
        <v>0</v>
      </c>
      <c r="X134" s="11" t="n">
        <f aca="false">SUM(K134:V134)</f>
        <v>0</v>
      </c>
      <c r="Y134" s="11" t="n">
        <f aca="false">SUM(E134:V134)</f>
        <v>0</v>
      </c>
    </row>
    <row r="135" customFormat="false" ht="15" hidden="false" customHeight="false" outlineLevel="0" collapsed="false">
      <c r="A135" s="13" t="s">
        <v>51</v>
      </c>
      <c r="B135" s="14"/>
      <c r="C135" s="15"/>
      <c r="D135" s="15"/>
      <c r="E135" s="11" t="n">
        <f aca="false">SUMIFS(tblAuftraege[Ausgaben],tblAuftraege[Datum Ausgaben],"&gt;="&amp;E$5,tblAuftraege[Datum Ausgaben],"&lt;"&amp;EDATE(E$5,1),tblAuftraege[Kategorie],"Hardware + Dienstleistung")</f>
        <v>0</v>
      </c>
      <c r="F135" s="11" t="n">
        <f aca="false">SUMIFS(tblAuftraege[Ausgaben],tblAuftraege[Datum Ausgaben],"&gt;="&amp;F$5,tblAuftraege[Datum Ausgaben],"&lt;"&amp;EDATE(F$5,1),tblAuftraege[Kategorie],"Hardware + Dienstleistung")</f>
        <v>0</v>
      </c>
      <c r="G135" s="11" t="n">
        <f aca="false">SUMIFS(tblAuftraege[Ausgaben],tblAuftraege[Datum Ausgaben],"&gt;="&amp;G$5,tblAuftraege[Datum Ausgaben],"&lt;"&amp;EDATE(G$5,1),tblAuftraege[Kategorie],"Hardware + Dienstleistung")</f>
        <v>0</v>
      </c>
      <c r="H135" s="11" t="n">
        <f aca="false">SUMIFS(tblAuftraege[Ausgaben],tblAuftraege[Datum Ausgaben],"&gt;="&amp;H$5,tblAuftraege[Datum Ausgaben],"&lt;"&amp;EDATE(H$5,1),tblAuftraege[Kategorie],"Hardware + Dienstleistung")</f>
        <v>0</v>
      </c>
      <c r="I135" s="11" t="n">
        <f aca="false">SUMIFS(tblAuftraege[Ausgaben],tblAuftraege[Datum Ausgaben],"&gt;="&amp;I$5,tblAuftraege[Datum Ausgaben],"&lt;"&amp;EDATE(I$5,1),tblAuftraege[Kategorie],"Hardware + Dienstleistung")</f>
        <v>0</v>
      </c>
      <c r="J135" s="11" t="n">
        <f aca="false">SUMIFS(tblAuftraege[Ausgaben],tblAuftraege[Datum Ausgaben],"&gt;="&amp;J$5,tblAuftraege[Datum Ausgaben],"&lt;"&amp;EDATE(J$5,1),tblAuftraege[Kategorie],"Hardware + Dienstleistung")</f>
        <v>0</v>
      </c>
      <c r="K135" s="11" t="n">
        <f aca="false">SUMIFS(tblAuftraege[Ausgaben],tblAuftraege[Datum Ausgaben],"&gt;="&amp;K$5,tblAuftraege[Datum Ausgaben],"&lt;"&amp;EDATE(K$5,1),tblAuftraege[Kategorie],"Hardware + Dienstleistung")</f>
        <v>0</v>
      </c>
      <c r="L135" s="11" t="n">
        <f aca="false">SUMIFS(tblAuftraege[Ausgaben],tblAuftraege[Datum Ausgaben],"&gt;="&amp;L$5,tblAuftraege[Datum Ausgaben],"&lt;"&amp;EDATE(L$5,1),tblAuftraege[Kategorie],"Hardware + Dienstleistung")</f>
        <v>0</v>
      </c>
      <c r="M135" s="11" t="n">
        <f aca="false">SUMIFS(tblAuftraege[Ausgaben],tblAuftraege[Datum Ausgaben],"&gt;="&amp;M$5,tblAuftraege[Datum Ausgaben],"&lt;"&amp;EDATE(M$5,1),tblAuftraege[Kategorie],"Hardware + Dienstleistung")</f>
        <v>0</v>
      </c>
      <c r="N135" s="11" t="n">
        <f aca="false">SUMIFS(tblAuftraege[Ausgaben],tblAuftraege[Datum Ausgaben],"&gt;="&amp;N$5,tblAuftraege[Datum Ausgaben],"&lt;"&amp;EDATE(N$5,1),tblAuftraege[Kategorie],"Hardware + Dienstleistung")</f>
        <v>0</v>
      </c>
      <c r="O135" s="11" t="n">
        <f aca="false">SUMIFS(tblAuftraege[Ausgaben],tblAuftraege[Datum Ausgaben],"&gt;="&amp;O$5,tblAuftraege[Datum Ausgaben],"&lt;"&amp;EDATE(O$5,1),tblAuftraege[Kategorie],"Hardware + Dienstleistung")</f>
        <v>0</v>
      </c>
      <c r="P135" s="11" t="n">
        <f aca="false">SUMIFS(tblAuftraege[Ausgaben],tblAuftraege[Datum Ausgaben],"&gt;="&amp;P$5,tblAuftraege[Datum Ausgaben],"&lt;"&amp;EDATE(P$5,1),tblAuftraege[Kategorie],"Hardware + Dienstleistung")</f>
        <v>0</v>
      </c>
      <c r="Q135" s="11" t="n">
        <f aca="false">SUMIFS(tblAuftraege[Ausgaben],tblAuftraege[Datum Ausgaben],"&gt;="&amp;Q$5,tblAuftraege[Datum Ausgaben],"&lt;"&amp;EDATE(Q$5,1),tblAuftraege[Kategorie],"Hardware + Dienstleistung")</f>
        <v>0</v>
      </c>
      <c r="R135" s="11" t="n">
        <f aca="false">SUMIFS(tblAuftraege[Ausgaben],tblAuftraege[Datum Ausgaben],"&gt;="&amp;R$5,tblAuftraege[Datum Ausgaben],"&lt;"&amp;EDATE(R$5,1),tblAuftraege[Kategorie],"Hardware + Dienstleistung")</f>
        <v>0</v>
      </c>
      <c r="S135" s="11" t="n">
        <f aca="false">SUMIFS(tblAuftraege[Ausgaben],tblAuftraege[Datum Ausgaben],"&gt;="&amp;S$5,tblAuftraege[Datum Ausgaben],"&lt;"&amp;EDATE(S$5,1),tblAuftraege[Kategorie],"Hardware + Dienstleistung")</f>
        <v>0</v>
      </c>
      <c r="T135" s="11" t="n">
        <f aca="false">SUMIFS(tblAuftraege[Ausgaben],tblAuftraege[Datum Ausgaben],"&gt;="&amp;T$5,tblAuftraege[Datum Ausgaben],"&lt;"&amp;EDATE(T$5,1),tblAuftraege[Kategorie],"Hardware + Dienstleistung")</f>
        <v>0</v>
      </c>
      <c r="U135" s="11" t="n">
        <f aca="false">SUMIFS(tblAuftraege[Ausgaben],tblAuftraege[Datum Ausgaben],"&gt;="&amp;U$5,tblAuftraege[Datum Ausgaben],"&lt;"&amp;EDATE(U$5,1),tblAuftraege[Kategorie],"Hardware + Dienstleistung")</f>
        <v>0</v>
      </c>
      <c r="V135" s="11" t="n">
        <f aca="false">SUMIFS(tblAuftraege[Ausgaben],tblAuftraege[Datum Ausgaben],"&gt;="&amp;V$5,tblAuftraege[Datum Ausgaben],"&lt;"&amp;EDATE(V$5,1),tblAuftraege[Kategorie],"Hardware + Dienstleistung")</f>
        <v>0</v>
      </c>
      <c r="W135" s="11" t="n">
        <f aca="false">SUM(E135:J135)</f>
        <v>0</v>
      </c>
      <c r="X135" s="11" t="n">
        <f aca="false">SUM(K135:V135)</f>
        <v>0</v>
      </c>
      <c r="Y135" s="11" t="n">
        <f aca="false">SUM(E135:V135)</f>
        <v>0</v>
      </c>
    </row>
    <row r="136" customFormat="false" ht="15" hidden="false" customHeight="false" outlineLevel="0" collapsed="false">
      <c r="A136" s="13" t="s">
        <v>52</v>
      </c>
      <c r="B136" s="14"/>
      <c r="C136" s="15"/>
      <c r="D136" s="15"/>
      <c r="E136" s="11" t="n">
        <f aca="false">SUMIFS(tblAuftraege[Einnahmen],tblAuftraege[Datum Einnahmen],"&gt;="&amp;E$5,tblAuftraege[Datum Einnahmen],"&lt;"&amp;EDATE(E$5,1),tblAuftraege[Kategorie],"Lizenzen")</f>
        <v>0</v>
      </c>
      <c r="F136" s="11" t="n">
        <f aca="false">SUMIFS(tblAuftraege[Einnahmen],tblAuftraege[Datum Einnahmen],"&gt;="&amp;F$5,tblAuftraege[Datum Einnahmen],"&lt;"&amp;EDATE(F$5,1),tblAuftraege[Kategorie],"Lizenzen")</f>
        <v>0</v>
      </c>
      <c r="G136" s="11" t="n">
        <f aca="false">SUMIFS(tblAuftraege[Einnahmen],tblAuftraege[Datum Einnahmen],"&gt;="&amp;G$5,tblAuftraege[Datum Einnahmen],"&lt;"&amp;EDATE(G$5,1),tblAuftraege[Kategorie],"Lizenzen")</f>
        <v>0</v>
      </c>
      <c r="H136" s="11" t="n">
        <f aca="false">SUMIFS(tblAuftraege[Einnahmen],tblAuftraege[Datum Einnahmen],"&gt;="&amp;H$5,tblAuftraege[Datum Einnahmen],"&lt;"&amp;EDATE(H$5,1),tblAuftraege[Kategorie],"Lizenzen")</f>
        <v>0</v>
      </c>
      <c r="I136" s="11" t="n">
        <f aca="false">SUMIFS(tblAuftraege[Einnahmen],tblAuftraege[Datum Einnahmen],"&gt;="&amp;I$5,tblAuftraege[Datum Einnahmen],"&lt;"&amp;EDATE(I$5,1),tblAuftraege[Kategorie],"Lizenzen")</f>
        <v>0</v>
      </c>
      <c r="J136" s="11" t="n">
        <f aca="false">SUMIFS(tblAuftraege[Einnahmen],tblAuftraege[Datum Einnahmen],"&gt;="&amp;J$5,tblAuftraege[Datum Einnahmen],"&lt;"&amp;EDATE(J$5,1),tblAuftraege[Kategorie],"Lizenzen")</f>
        <v>0</v>
      </c>
      <c r="K136" s="11" t="n">
        <f aca="false">SUMIFS(tblAuftraege[Einnahmen],tblAuftraege[Datum Einnahmen],"&gt;="&amp;K$5,tblAuftraege[Datum Einnahmen],"&lt;"&amp;EDATE(K$5,1),tblAuftraege[Kategorie],"Lizenzen")</f>
        <v>0</v>
      </c>
      <c r="L136" s="11" t="n">
        <f aca="false">SUMIFS(tblAuftraege[Einnahmen],tblAuftraege[Datum Einnahmen],"&gt;="&amp;L$5,tblAuftraege[Datum Einnahmen],"&lt;"&amp;EDATE(L$5,1),tblAuftraege[Kategorie],"Lizenzen")</f>
        <v>0</v>
      </c>
      <c r="M136" s="11" t="n">
        <f aca="false">SUMIFS(tblAuftraege[Einnahmen],tblAuftraege[Datum Einnahmen],"&gt;="&amp;M$5,tblAuftraege[Datum Einnahmen],"&lt;"&amp;EDATE(M$5,1),tblAuftraege[Kategorie],"Lizenzen")</f>
        <v>0</v>
      </c>
      <c r="N136" s="11" t="n">
        <f aca="false">SUMIFS(tblAuftraege[Einnahmen],tblAuftraege[Datum Einnahmen],"&gt;="&amp;N$5,tblAuftraege[Datum Einnahmen],"&lt;"&amp;EDATE(N$5,1),tblAuftraege[Kategorie],"Lizenzen")</f>
        <v>0</v>
      </c>
      <c r="O136" s="11" t="n">
        <f aca="false">SUMIFS(tblAuftraege[Einnahmen],tblAuftraege[Datum Einnahmen],"&gt;="&amp;O$5,tblAuftraege[Datum Einnahmen],"&lt;"&amp;EDATE(O$5,1),tblAuftraege[Kategorie],"Lizenzen")</f>
        <v>0</v>
      </c>
      <c r="P136" s="11" t="n">
        <f aca="false">SUMIFS(tblAuftraege[Einnahmen],tblAuftraege[Datum Einnahmen],"&gt;="&amp;P$5,tblAuftraege[Datum Einnahmen],"&lt;"&amp;EDATE(P$5,1),tblAuftraege[Kategorie],"Lizenzen")</f>
        <v>0</v>
      </c>
      <c r="Q136" s="11" t="n">
        <f aca="false">SUMIFS(tblAuftraege[Einnahmen],tblAuftraege[Datum Einnahmen],"&gt;="&amp;Q$5,tblAuftraege[Datum Einnahmen],"&lt;"&amp;EDATE(Q$5,1),tblAuftraege[Kategorie],"Lizenzen")</f>
        <v>0</v>
      </c>
      <c r="R136" s="11" t="n">
        <f aca="false">SUMIFS(tblAuftraege[Einnahmen],tblAuftraege[Datum Einnahmen],"&gt;="&amp;R$5,tblAuftraege[Datum Einnahmen],"&lt;"&amp;EDATE(R$5,1),tblAuftraege[Kategorie],"Lizenzen")</f>
        <v>0</v>
      </c>
      <c r="S136" s="11" t="n">
        <f aca="false">SUMIFS(tblAuftraege[Einnahmen],tblAuftraege[Datum Einnahmen],"&gt;="&amp;S$5,tblAuftraege[Datum Einnahmen],"&lt;"&amp;EDATE(S$5,1),tblAuftraege[Kategorie],"Lizenzen")</f>
        <v>0</v>
      </c>
      <c r="T136" s="11" t="n">
        <f aca="false">SUMIFS(tblAuftraege[Einnahmen],tblAuftraege[Datum Einnahmen],"&gt;="&amp;T$5,tblAuftraege[Datum Einnahmen],"&lt;"&amp;EDATE(T$5,1),tblAuftraege[Kategorie],"Lizenzen")</f>
        <v>0</v>
      </c>
      <c r="U136" s="11" t="n">
        <f aca="false">SUMIFS(tblAuftraege[Einnahmen],tblAuftraege[Datum Einnahmen],"&gt;="&amp;U$5,tblAuftraege[Datum Einnahmen],"&lt;"&amp;EDATE(U$5,1),tblAuftraege[Kategorie],"Lizenzen")</f>
        <v>0</v>
      </c>
      <c r="V136" s="11" t="n">
        <f aca="false">SUMIFS(tblAuftraege[Einnahmen],tblAuftraege[Datum Einnahmen],"&gt;="&amp;V$5,tblAuftraege[Datum Einnahmen],"&lt;"&amp;EDATE(V$5,1),tblAuftraege[Kategorie],"Lizenzen")</f>
        <v>0</v>
      </c>
      <c r="W136" s="11" t="n">
        <f aca="false">SUM(E136:J136)</f>
        <v>0</v>
      </c>
      <c r="X136" s="11" t="n">
        <f aca="false">SUM(K136:V136)</f>
        <v>0</v>
      </c>
      <c r="Y136" s="11" t="n">
        <f aca="false">SUM(E136:V136)</f>
        <v>0</v>
      </c>
    </row>
    <row r="137" customFormat="false" ht="15" hidden="false" customHeight="false" outlineLevel="0" collapsed="false">
      <c r="A137" s="13" t="s">
        <v>53</v>
      </c>
      <c r="B137" s="14"/>
      <c r="C137" s="15"/>
      <c r="D137" s="15"/>
      <c r="E137" s="11" t="n">
        <f aca="false">SUMIFS(tblAuftraege[Ausgaben],tblAuftraege[Datum Ausgaben],"&gt;="&amp;E$5,tblAuftraege[Datum Ausgaben],"&lt;"&amp;EDATE(E$5,1),tblAuftraege[Kategorie],"Lizenzen")</f>
        <v>0</v>
      </c>
      <c r="F137" s="11" t="n">
        <f aca="false">SUMIFS(tblAuftraege[Ausgaben],tblAuftraege[Datum Ausgaben],"&gt;="&amp;F$5,tblAuftraege[Datum Ausgaben],"&lt;"&amp;EDATE(F$5,1),tblAuftraege[Kategorie],"Lizenzen")</f>
        <v>0</v>
      </c>
      <c r="G137" s="11" t="n">
        <f aca="false">SUMIFS(tblAuftraege[Ausgaben],tblAuftraege[Datum Ausgaben],"&gt;="&amp;G$5,tblAuftraege[Datum Ausgaben],"&lt;"&amp;EDATE(G$5,1),tblAuftraege[Kategorie],"Lizenzen")</f>
        <v>0</v>
      </c>
      <c r="H137" s="11" t="n">
        <f aca="false">SUMIFS(tblAuftraege[Ausgaben],tblAuftraege[Datum Ausgaben],"&gt;="&amp;H$5,tblAuftraege[Datum Ausgaben],"&lt;"&amp;EDATE(H$5,1),tblAuftraege[Kategorie],"Lizenzen")</f>
        <v>0</v>
      </c>
      <c r="I137" s="11" t="n">
        <f aca="false">SUMIFS(tblAuftraege[Ausgaben],tblAuftraege[Datum Ausgaben],"&gt;="&amp;I$5,tblAuftraege[Datum Ausgaben],"&lt;"&amp;EDATE(I$5,1),tblAuftraege[Kategorie],"Lizenzen")</f>
        <v>0</v>
      </c>
      <c r="J137" s="11" t="n">
        <f aca="false">SUMIFS(tblAuftraege[Ausgaben],tblAuftraege[Datum Ausgaben],"&gt;="&amp;J$5,tblAuftraege[Datum Ausgaben],"&lt;"&amp;EDATE(J$5,1),tblAuftraege[Kategorie],"Lizenzen")</f>
        <v>0</v>
      </c>
      <c r="K137" s="11" t="n">
        <f aca="false">SUMIFS(tblAuftraege[Ausgaben],tblAuftraege[Datum Ausgaben],"&gt;="&amp;K$5,tblAuftraege[Datum Ausgaben],"&lt;"&amp;EDATE(K$5,1),tblAuftraege[Kategorie],"Lizenzen")</f>
        <v>0</v>
      </c>
      <c r="L137" s="11" t="n">
        <f aca="false">SUMIFS(tblAuftraege[Ausgaben],tblAuftraege[Datum Ausgaben],"&gt;="&amp;L$5,tblAuftraege[Datum Ausgaben],"&lt;"&amp;EDATE(L$5,1),tblAuftraege[Kategorie],"Lizenzen")</f>
        <v>0</v>
      </c>
      <c r="M137" s="11" t="n">
        <f aca="false">SUMIFS(tblAuftraege[Ausgaben],tblAuftraege[Datum Ausgaben],"&gt;="&amp;M$5,tblAuftraege[Datum Ausgaben],"&lt;"&amp;EDATE(M$5,1),tblAuftraege[Kategorie],"Lizenzen")</f>
        <v>0</v>
      </c>
      <c r="N137" s="11" t="n">
        <f aca="false">SUMIFS(tblAuftraege[Ausgaben],tblAuftraege[Datum Ausgaben],"&gt;="&amp;N$5,tblAuftraege[Datum Ausgaben],"&lt;"&amp;EDATE(N$5,1),tblAuftraege[Kategorie],"Lizenzen")</f>
        <v>0</v>
      </c>
      <c r="O137" s="11" t="n">
        <f aca="false">SUMIFS(tblAuftraege[Ausgaben],tblAuftraege[Datum Ausgaben],"&gt;="&amp;O$5,tblAuftraege[Datum Ausgaben],"&lt;"&amp;EDATE(O$5,1),tblAuftraege[Kategorie],"Lizenzen")</f>
        <v>0</v>
      </c>
      <c r="P137" s="11" t="n">
        <f aca="false">SUMIFS(tblAuftraege[Ausgaben],tblAuftraege[Datum Ausgaben],"&gt;="&amp;P$5,tblAuftraege[Datum Ausgaben],"&lt;"&amp;EDATE(P$5,1),tblAuftraege[Kategorie],"Lizenzen")</f>
        <v>0</v>
      </c>
      <c r="Q137" s="11" t="n">
        <f aca="false">SUMIFS(tblAuftraege[Ausgaben],tblAuftraege[Datum Ausgaben],"&gt;="&amp;Q$5,tblAuftraege[Datum Ausgaben],"&lt;"&amp;EDATE(Q$5,1),tblAuftraege[Kategorie],"Lizenzen")</f>
        <v>0</v>
      </c>
      <c r="R137" s="11" t="n">
        <f aca="false">SUMIFS(tblAuftraege[Ausgaben],tblAuftraege[Datum Ausgaben],"&gt;="&amp;R$5,tblAuftraege[Datum Ausgaben],"&lt;"&amp;EDATE(R$5,1),tblAuftraege[Kategorie],"Lizenzen")</f>
        <v>0</v>
      </c>
      <c r="S137" s="11" t="n">
        <f aca="false">SUMIFS(tblAuftraege[Ausgaben],tblAuftraege[Datum Ausgaben],"&gt;="&amp;S$5,tblAuftraege[Datum Ausgaben],"&lt;"&amp;EDATE(S$5,1),tblAuftraege[Kategorie],"Lizenzen")</f>
        <v>0</v>
      </c>
      <c r="T137" s="11" t="n">
        <f aca="false">SUMIFS(tblAuftraege[Ausgaben],tblAuftraege[Datum Ausgaben],"&gt;="&amp;T$5,tblAuftraege[Datum Ausgaben],"&lt;"&amp;EDATE(T$5,1),tblAuftraege[Kategorie],"Lizenzen")</f>
        <v>0</v>
      </c>
      <c r="U137" s="11" t="n">
        <f aca="false">SUMIFS(tblAuftraege[Ausgaben],tblAuftraege[Datum Ausgaben],"&gt;="&amp;U$5,tblAuftraege[Datum Ausgaben],"&lt;"&amp;EDATE(U$5,1),tblAuftraege[Kategorie],"Lizenzen")</f>
        <v>0</v>
      </c>
      <c r="V137" s="11" t="n">
        <f aca="false">SUMIFS(tblAuftraege[Ausgaben],tblAuftraege[Datum Ausgaben],"&gt;="&amp;V$5,tblAuftraege[Datum Ausgaben],"&lt;"&amp;EDATE(V$5,1),tblAuftraege[Kategorie],"Lizenzen")</f>
        <v>0</v>
      </c>
      <c r="W137" s="11" t="n">
        <f aca="false">SUM(E137:J137)</f>
        <v>0</v>
      </c>
      <c r="X137" s="11" t="n">
        <f aca="false">SUM(K137:V137)</f>
        <v>0</v>
      </c>
      <c r="Y137" s="11" t="n">
        <f aca="false">SUM(E137:V137)</f>
        <v>0</v>
      </c>
    </row>
    <row r="138" customFormat="false" ht="15" hidden="false" customHeight="false" outlineLevel="0" collapsed="false">
      <c r="A138" s="13" t="s">
        <v>54</v>
      </c>
      <c r="B138" s="14"/>
      <c r="C138" s="15"/>
      <c r="D138" s="15"/>
      <c r="E138" s="11" t="n">
        <f aca="false">SUMIFS(tblAuftraege[Einnahmen],tblAuftraege[Datum Einnahmen],"&gt;="&amp;E$5,tblAuftraege[Datum Einnahmen],"&lt;"&amp;EDATE(E$5,1),tblAuftraege[Kategorie],"Dienstleistung")</f>
        <v>0</v>
      </c>
      <c r="F138" s="11" t="n">
        <f aca="false">SUMIFS(tblAuftraege[Einnahmen],tblAuftraege[Datum Einnahmen],"&gt;="&amp;F$5,tblAuftraege[Datum Einnahmen],"&lt;"&amp;EDATE(F$5,1),tblAuftraege[Kategorie],"Dienstleistung")</f>
        <v>0</v>
      </c>
      <c r="G138" s="11" t="n">
        <f aca="false">SUMIFS(tblAuftraege[Einnahmen],tblAuftraege[Datum Einnahmen],"&gt;="&amp;G$5,tblAuftraege[Datum Einnahmen],"&lt;"&amp;EDATE(G$5,1),tblAuftraege[Kategorie],"Dienstleistung")</f>
        <v>0</v>
      </c>
      <c r="H138" s="11" t="n">
        <f aca="false">SUMIFS(tblAuftraege[Einnahmen],tblAuftraege[Datum Einnahmen],"&gt;="&amp;H$5,tblAuftraege[Datum Einnahmen],"&lt;"&amp;EDATE(H$5,1),tblAuftraege[Kategorie],"Dienstleistung")</f>
        <v>0</v>
      </c>
      <c r="I138" s="11" t="n">
        <f aca="false">SUMIFS(tblAuftraege[Einnahmen],tblAuftraege[Datum Einnahmen],"&gt;="&amp;I$5,tblAuftraege[Datum Einnahmen],"&lt;"&amp;EDATE(I$5,1),tblAuftraege[Kategorie],"Dienstleistung")</f>
        <v>0</v>
      </c>
      <c r="J138" s="11" t="n">
        <f aca="false">SUMIFS(tblAuftraege[Einnahmen],tblAuftraege[Datum Einnahmen],"&gt;="&amp;J$5,tblAuftraege[Datum Einnahmen],"&lt;"&amp;EDATE(J$5,1),tblAuftraege[Kategorie],"Dienstleistung")</f>
        <v>0</v>
      </c>
      <c r="K138" s="11" t="n">
        <f aca="false">SUMIFS(tblAuftraege[Einnahmen],tblAuftraege[Datum Einnahmen],"&gt;="&amp;K$5,tblAuftraege[Datum Einnahmen],"&lt;"&amp;EDATE(K$5,1),tblAuftraege[Kategorie],"Dienstleistung")</f>
        <v>0</v>
      </c>
      <c r="L138" s="11" t="n">
        <f aca="false">SUMIFS(tblAuftraege[Einnahmen],tblAuftraege[Datum Einnahmen],"&gt;="&amp;L$5,tblAuftraege[Datum Einnahmen],"&lt;"&amp;EDATE(L$5,1),tblAuftraege[Kategorie],"Dienstleistung")</f>
        <v>0</v>
      </c>
      <c r="M138" s="11" t="n">
        <f aca="false">SUMIFS(tblAuftraege[Einnahmen],tblAuftraege[Datum Einnahmen],"&gt;="&amp;M$5,tblAuftraege[Datum Einnahmen],"&lt;"&amp;EDATE(M$5,1),tblAuftraege[Kategorie],"Dienstleistung")</f>
        <v>0</v>
      </c>
      <c r="N138" s="11" t="n">
        <f aca="false">SUMIFS(tblAuftraege[Einnahmen],tblAuftraege[Datum Einnahmen],"&gt;="&amp;N$5,tblAuftraege[Datum Einnahmen],"&lt;"&amp;EDATE(N$5,1),tblAuftraege[Kategorie],"Dienstleistung")</f>
        <v>0</v>
      </c>
      <c r="O138" s="11" t="n">
        <f aca="false">SUMIFS(tblAuftraege[Einnahmen],tblAuftraege[Datum Einnahmen],"&gt;="&amp;O$5,tblAuftraege[Datum Einnahmen],"&lt;"&amp;EDATE(O$5,1),tblAuftraege[Kategorie],"Dienstleistung")</f>
        <v>0</v>
      </c>
      <c r="P138" s="11" t="n">
        <f aca="false">SUMIFS(tblAuftraege[Einnahmen],tblAuftraege[Datum Einnahmen],"&gt;="&amp;P$5,tblAuftraege[Datum Einnahmen],"&lt;"&amp;EDATE(P$5,1),tblAuftraege[Kategorie],"Dienstleistung")</f>
        <v>0</v>
      </c>
      <c r="Q138" s="11" t="n">
        <f aca="false">SUMIFS(tblAuftraege[Einnahmen],tblAuftraege[Datum Einnahmen],"&gt;="&amp;Q$5,tblAuftraege[Datum Einnahmen],"&lt;"&amp;EDATE(Q$5,1),tblAuftraege[Kategorie],"Dienstleistung")</f>
        <v>0</v>
      </c>
      <c r="R138" s="11" t="n">
        <f aca="false">SUMIFS(tblAuftraege[Einnahmen],tblAuftraege[Datum Einnahmen],"&gt;="&amp;R$5,tblAuftraege[Datum Einnahmen],"&lt;"&amp;EDATE(R$5,1),tblAuftraege[Kategorie],"Dienstleistung")</f>
        <v>0</v>
      </c>
      <c r="S138" s="11" t="n">
        <f aca="false">SUMIFS(tblAuftraege[Einnahmen],tblAuftraege[Datum Einnahmen],"&gt;="&amp;S$5,tblAuftraege[Datum Einnahmen],"&lt;"&amp;EDATE(S$5,1),tblAuftraege[Kategorie],"Dienstleistung")</f>
        <v>0</v>
      </c>
      <c r="T138" s="11" t="n">
        <f aca="false">SUMIFS(tblAuftraege[Einnahmen],tblAuftraege[Datum Einnahmen],"&gt;="&amp;T$5,tblAuftraege[Datum Einnahmen],"&lt;"&amp;EDATE(T$5,1),tblAuftraege[Kategorie],"Dienstleistung")</f>
        <v>0</v>
      </c>
      <c r="U138" s="11" t="n">
        <f aca="false">SUMIFS(tblAuftraege[Einnahmen],tblAuftraege[Datum Einnahmen],"&gt;="&amp;U$5,tblAuftraege[Datum Einnahmen],"&lt;"&amp;EDATE(U$5,1),tblAuftraege[Kategorie],"Dienstleistung")</f>
        <v>0</v>
      </c>
      <c r="V138" s="11" t="n">
        <f aca="false">SUMIFS(tblAuftraege[Einnahmen],tblAuftraege[Datum Einnahmen],"&gt;="&amp;V$5,tblAuftraege[Datum Einnahmen],"&lt;"&amp;EDATE(V$5,1),tblAuftraege[Kategorie],"Dienstleistung")</f>
        <v>0</v>
      </c>
      <c r="W138" s="11" t="n">
        <f aca="false">SUM(E138:J138)</f>
        <v>0</v>
      </c>
      <c r="X138" s="11" t="n">
        <f aca="false">SUM(K138:V138)</f>
        <v>0</v>
      </c>
      <c r="Y138" s="11" t="n">
        <f aca="false">SUM(E138:V138)</f>
        <v>0</v>
      </c>
    </row>
    <row r="139" customFormat="false" ht="15" hidden="false" customHeight="false" outlineLevel="0" collapsed="false">
      <c r="A139" s="13" t="s">
        <v>55</v>
      </c>
      <c r="B139" s="14"/>
      <c r="C139" s="15"/>
      <c r="D139" s="15"/>
      <c r="E139" s="11" t="n">
        <f aca="false">SUMIFS(tblAuftraege[Ausgaben],tblAuftraege[Datum Ausgaben],"&gt;="&amp;E$5,tblAuftraege[Datum Ausgaben],"&lt;"&amp;EDATE(E$5,1),tblAuftraege[Kategorie],"Dienstleistung")</f>
        <v>0</v>
      </c>
      <c r="F139" s="11" t="n">
        <f aca="false">SUMIFS(tblAuftraege[Ausgaben],tblAuftraege[Datum Ausgaben],"&gt;="&amp;F$5,tblAuftraege[Datum Ausgaben],"&lt;"&amp;EDATE(F$5,1),tblAuftraege[Kategorie],"Dienstleistung")</f>
        <v>0</v>
      </c>
      <c r="G139" s="11" t="n">
        <f aca="false">SUMIFS(tblAuftraege[Ausgaben],tblAuftraege[Datum Ausgaben],"&gt;="&amp;G$5,tblAuftraege[Datum Ausgaben],"&lt;"&amp;EDATE(G$5,1),tblAuftraege[Kategorie],"Dienstleistung")</f>
        <v>0</v>
      </c>
      <c r="H139" s="11" t="n">
        <f aca="false">SUMIFS(tblAuftraege[Ausgaben],tblAuftraege[Datum Ausgaben],"&gt;="&amp;H$5,tblAuftraege[Datum Ausgaben],"&lt;"&amp;EDATE(H$5,1),tblAuftraege[Kategorie],"Dienstleistung")</f>
        <v>0</v>
      </c>
      <c r="I139" s="11" t="n">
        <f aca="false">SUMIFS(tblAuftraege[Ausgaben],tblAuftraege[Datum Ausgaben],"&gt;="&amp;I$5,tblAuftraege[Datum Ausgaben],"&lt;"&amp;EDATE(I$5,1),tblAuftraege[Kategorie],"Dienstleistung")</f>
        <v>0</v>
      </c>
      <c r="J139" s="11" t="n">
        <f aca="false">SUMIFS(tblAuftraege[Ausgaben],tblAuftraege[Datum Ausgaben],"&gt;="&amp;J$5,tblAuftraege[Datum Ausgaben],"&lt;"&amp;EDATE(J$5,1),tblAuftraege[Kategorie],"Dienstleistung")</f>
        <v>0</v>
      </c>
      <c r="K139" s="11" t="n">
        <f aca="false">SUMIFS(tblAuftraege[Ausgaben],tblAuftraege[Datum Ausgaben],"&gt;="&amp;K$5,tblAuftraege[Datum Ausgaben],"&lt;"&amp;EDATE(K$5,1),tblAuftraege[Kategorie],"Dienstleistung")</f>
        <v>0</v>
      </c>
      <c r="L139" s="11" t="n">
        <f aca="false">SUMIFS(tblAuftraege[Ausgaben],tblAuftraege[Datum Ausgaben],"&gt;="&amp;L$5,tblAuftraege[Datum Ausgaben],"&lt;"&amp;EDATE(L$5,1),tblAuftraege[Kategorie],"Dienstleistung")</f>
        <v>0</v>
      </c>
      <c r="M139" s="11" t="n">
        <f aca="false">SUMIFS(tblAuftraege[Ausgaben],tblAuftraege[Datum Ausgaben],"&gt;="&amp;M$5,tblAuftraege[Datum Ausgaben],"&lt;"&amp;EDATE(M$5,1),tblAuftraege[Kategorie],"Dienstleistung")</f>
        <v>0</v>
      </c>
      <c r="N139" s="11" t="n">
        <f aca="false">SUMIFS(tblAuftraege[Ausgaben],tblAuftraege[Datum Ausgaben],"&gt;="&amp;N$5,tblAuftraege[Datum Ausgaben],"&lt;"&amp;EDATE(N$5,1),tblAuftraege[Kategorie],"Dienstleistung")</f>
        <v>0</v>
      </c>
      <c r="O139" s="11" t="n">
        <f aca="false">SUMIFS(tblAuftraege[Ausgaben],tblAuftraege[Datum Ausgaben],"&gt;="&amp;O$5,tblAuftraege[Datum Ausgaben],"&lt;"&amp;EDATE(O$5,1),tblAuftraege[Kategorie],"Dienstleistung")</f>
        <v>0</v>
      </c>
      <c r="P139" s="11" t="n">
        <f aca="false">SUMIFS(tblAuftraege[Ausgaben],tblAuftraege[Datum Ausgaben],"&gt;="&amp;P$5,tblAuftraege[Datum Ausgaben],"&lt;"&amp;EDATE(P$5,1),tblAuftraege[Kategorie],"Dienstleistung")</f>
        <v>0</v>
      </c>
      <c r="Q139" s="11" t="n">
        <f aca="false">SUMIFS(tblAuftraege[Ausgaben],tblAuftraege[Datum Ausgaben],"&gt;="&amp;Q$5,tblAuftraege[Datum Ausgaben],"&lt;"&amp;EDATE(Q$5,1),tblAuftraege[Kategorie],"Dienstleistung")</f>
        <v>0</v>
      </c>
      <c r="R139" s="11" t="n">
        <f aca="false">SUMIFS(tblAuftraege[Ausgaben],tblAuftraege[Datum Ausgaben],"&gt;="&amp;R$5,tblAuftraege[Datum Ausgaben],"&lt;"&amp;EDATE(R$5,1),tblAuftraege[Kategorie],"Dienstleistung")</f>
        <v>0</v>
      </c>
      <c r="S139" s="11" t="n">
        <f aca="false">SUMIFS(tblAuftraege[Ausgaben],tblAuftraege[Datum Ausgaben],"&gt;="&amp;S$5,tblAuftraege[Datum Ausgaben],"&lt;"&amp;EDATE(S$5,1),tblAuftraege[Kategorie],"Dienstleistung")</f>
        <v>0</v>
      </c>
      <c r="T139" s="11" t="n">
        <f aca="false">SUMIFS(tblAuftraege[Ausgaben],tblAuftraege[Datum Ausgaben],"&gt;="&amp;T$5,tblAuftraege[Datum Ausgaben],"&lt;"&amp;EDATE(T$5,1),tblAuftraege[Kategorie],"Dienstleistung")</f>
        <v>0</v>
      </c>
      <c r="U139" s="11" t="n">
        <f aca="false">SUMIFS(tblAuftraege[Ausgaben],tblAuftraege[Datum Ausgaben],"&gt;="&amp;U$5,tblAuftraege[Datum Ausgaben],"&lt;"&amp;EDATE(U$5,1),tblAuftraege[Kategorie],"Dienstleistung")</f>
        <v>0</v>
      </c>
      <c r="V139" s="11" t="n">
        <f aca="false">SUMIFS(tblAuftraege[Ausgaben],tblAuftraege[Datum Ausgaben],"&gt;="&amp;V$5,tblAuftraege[Datum Ausgaben],"&lt;"&amp;EDATE(V$5,1),tblAuftraege[Kategorie],"Dienstleistung")</f>
        <v>0</v>
      </c>
      <c r="W139" s="11" t="n">
        <f aca="false">SUM(E139:J139)</f>
        <v>0</v>
      </c>
      <c r="X139" s="11" t="n">
        <f aca="false">SUM(K139:V139)</f>
        <v>0</v>
      </c>
      <c r="Y139" s="11" t="n">
        <f aca="false">SUM(E139:V139)</f>
        <v>0</v>
      </c>
    </row>
    <row r="141" customFormat="false" ht="19.5" hidden="false" customHeight="true" outlineLevel="0" collapsed="false">
      <c r="A141" s="7" t="s">
        <v>56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customFormat="false" ht="15" hidden="false" customHeight="false" outlineLevel="0" collapsed="false">
      <c r="A142" s="9" t="s">
        <v>57</v>
      </c>
      <c r="B142" s="24" t="s">
        <v>58</v>
      </c>
      <c r="C142" s="15"/>
      <c r="D142" s="15"/>
      <c r="E142" s="11" t="n">
        <f aca="false">IF($A142="",0,SUMIFS(tblAuftraege[Einnahmen],tblAuftraege[Datum Einnahmen],"&gt;="&amp;E$5,tblAuftraege[Datum Einnahmen],"&lt;"&amp;EDATE(E$5,1),tblAuftraege[Kostenstelle],$A142))</f>
        <v>0</v>
      </c>
      <c r="F142" s="11" t="n">
        <f aca="false">IF($A142="",0,SUMIFS(tblAuftraege[Einnahmen],tblAuftraege[Datum Einnahmen],"&gt;="&amp;F$5,tblAuftraege[Datum Einnahmen],"&lt;"&amp;EDATE(F$5,1),tblAuftraege[Kostenstelle],$A142))</f>
        <v>0</v>
      </c>
      <c r="G142" s="11" t="n">
        <f aca="false">IF($A142="",0,SUMIFS(tblAuftraege[Einnahmen],tblAuftraege[Datum Einnahmen],"&gt;="&amp;G$5,tblAuftraege[Datum Einnahmen],"&lt;"&amp;EDATE(G$5,1),tblAuftraege[Kostenstelle],$A142))</f>
        <v>0</v>
      </c>
      <c r="H142" s="11" t="n">
        <f aca="false">IF($A142="",0,SUMIFS(tblAuftraege[Einnahmen],tblAuftraege[Datum Einnahmen],"&gt;="&amp;H$5,tblAuftraege[Datum Einnahmen],"&lt;"&amp;EDATE(H$5,1),tblAuftraege[Kostenstelle],$A142))</f>
        <v>0</v>
      </c>
      <c r="I142" s="11" t="n">
        <f aca="false">IF($A142="",0,SUMIFS(tblAuftraege[Einnahmen],tblAuftraege[Datum Einnahmen],"&gt;="&amp;I$5,tblAuftraege[Datum Einnahmen],"&lt;"&amp;EDATE(I$5,1),tblAuftraege[Kostenstelle],$A142))</f>
        <v>0</v>
      </c>
      <c r="J142" s="11" t="n">
        <f aca="false">IF($A142="",0,SUMIFS(tblAuftraege[Einnahmen],tblAuftraege[Datum Einnahmen],"&gt;="&amp;J$5,tblAuftraege[Datum Einnahmen],"&lt;"&amp;EDATE(J$5,1),tblAuftraege[Kostenstelle],$A142))</f>
        <v>0</v>
      </c>
      <c r="K142" s="11" t="n">
        <f aca="false">IF($A142="",0,SUMIFS(tblAuftraege[Einnahmen],tblAuftraege[Datum Einnahmen],"&gt;="&amp;K$5,tblAuftraege[Datum Einnahmen],"&lt;"&amp;EDATE(K$5,1),tblAuftraege[Kostenstelle],$A142))</f>
        <v>0</v>
      </c>
      <c r="L142" s="11" t="n">
        <f aca="false">IF($A142="",0,SUMIFS(tblAuftraege[Einnahmen],tblAuftraege[Datum Einnahmen],"&gt;="&amp;L$5,tblAuftraege[Datum Einnahmen],"&lt;"&amp;EDATE(L$5,1),tblAuftraege[Kostenstelle],$A142))</f>
        <v>0</v>
      </c>
      <c r="M142" s="11" t="n">
        <f aca="false">IF($A142="",0,SUMIFS(tblAuftraege[Einnahmen],tblAuftraege[Datum Einnahmen],"&gt;="&amp;M$5,tblAuftraege[Datum Einnahmen],"&lt;"&amp;EDATE(M$5,1),tblAuftraege[Kostenstelle],$A142))</f>
        <v>0</v>
      </c>
      <c r="N142" s="11" t="n">
        <f aca="false">IF($A142="",0,SUMIFS(tblAuftraege[Einnahmen],tblAuftraege[Datum Einnahmen],"&gt;="&amp;N$5,tblAuftraege[Datum Einnahmen],"&lt;"&amp;EDATE(N$5,1),tblAuftraege[Kostenstelle],$A142))</f>
        <v>0</v>
      </c>
      <c r="O142" s="11" t="n">
        <f aca="false">IF($A142="",0,SUMIFS(tblAuftraege[Einnahmen],tblAuftraege[Datum Einnahmen],"&gt;="&amp;O$5,tblAuftraege[Datum Einnahmen],"&lt;"&amp;EDATE(O$5,1),tblAuftraege[Kostenstelle],$A142))</f>
        <v>0</v>
      </c>
      <c r="P142" s="11" t="n">
        <f aca="false">IF($A142="",0,SUMIFS(tblAuftraege[Einnahmen],tblAuftraege[Datum Einnahmen],"&gt;="&amp;P$5,tblAuftraege[Datum Einnahmen],"&lt;"&amp;EDATE(P$5,1),tblAuftraege[Kostenstelle],$A142))</f>
        <v>0</v>
      </c>
      <c r="Q142" s="11" t="n">
        <f aca="false">IF($A142="",0,SUMIFS(tblAuftraege[Einnahmen],tblAuftraege[Datum Einnahmen],"&gt;="&amp;Q$5,tblAuftraege[Datum Einnahmen],"&lt;"&amp;EDATE(Q$5,1),tblAuftraege[Kostenstelle],$A142))</f>
        <v>0</v>
      </c>
      <c r="R142" s="11" t="n">
        <f aca="false">IF($A142="",0,SUMIFS(tblAuftraege[Einnahmen],tblAuftraege[Datum Einnahmen],"&gt;="&amp;R$5,tblAuftraege[Datum Einnahmen],"&lt;"&amp;EDATE(R$5,1),tblAuftraege[Kostenstelle],$A142))</f>
        <v>0</v>
      </c>
      <c r="S142" s="11" t="n">
        <f aca="false">IF($A142="",0,SUMIFS(tblAuftraege[Einnahmen],tblAuftraege[Datum Einnahmen],"&gt;="&amp;S$5,tblAuftraege[Datum Einnahmen],"&lt;"&amp;EDATE(S$5,1),tblAuftraege[Kostenstelle],$A142))</f>
        <v>0</v>
      </c>
      <c r="T142" s="11" t="n">
        <f aca="false">IF($A142="",0,SUMIFS(tblAuftraege[Einnahmen],tblAuftraege[Datum Einnahmen],"&gt;="&amp;T$5,tblAuftraege[Datum Einnahmen],"&lt;"&amp;EDATE(T$5,1),tblAuftraege[Kostenstelle],$A142))</f>
        <v>0</v>
      </c>
      <c r="U142" s="11" t="n">
        <f aca="false">IF($A142="",0,SUMIFS(tblAuftraege[Einnahmen],tblAuftraege[Datum Einnahmen],"&gt;="&amp;U$5,tblAuftraege[Datum Einnahmen],"&lt;"&amp;EDATE(U$5,1),tblAuftraege[Kostenstelle],$A142))</f>
        <v>0</v>
      </c>
      <c r="V142" s="11" t="n">
        <f aca="false">IF($A142="",0,SUMIFS(tblAuftraege[Einnahmen],tblAuftraege[Datum Einnahmen],"&gt;="&amp;V$5,tblAuftraege[Datum Einnahmen],"&lt;"&amp;EDATE(V$5,1),tblAuftraege[Kostenstelle],$A142))</f>
        <v>0</v>
      </c>
      <c r="W142" s="11" t="n">
        <f aca="false">SUM(E142:J142)</f>
        <v>0</v>
      </c>
      <c r="X142" s="11" t="n">
        <f aca="false">SUM(K142:V142)</f>
        <v>0</v>
      </c>
      <c r="Y142" s="12" t="n">
        <f aca="false">SUM(E142:V142)</f>
        <v>0</v>
      </c>
    </row>
    <row r="143" customFormat="false" ht="15" hidden="false" customHeight="false" outlineLevel="0" collapsed="false">
      <c r="A143" s="9" t="s">
        <v>59</v>
      </c>
      <c r="B143" s="24" t="s">
        <v>60</v>
      </c>
      <c r="C143" s="15"/>
      <c r="D143" s="15"/>
      <c r="E143" s="11" t="n">
        <f aca="false">IF($A143="",0,SUMIFS(tblAuftraege[Einnahmen],tblAuftraege[Datum Einnahmen],"&gt;="&amp;E$5,tblAuftraege[Datum Einnahmen],"&lt;"&amp;EDATE(E$5,1),tblAuftraege[Kostenstelle],$A143))</f>
        <v>0</v>
      </c>
      <c r="F143" s="11" t="n">
        <f aca="false">IF($A143="",0,SUMIFS(tblAuftraege[Einnahmen],tblAuftraege[Datum Einnahmen],"&gt;="&amp;F$5,tblAuftraege[Datum Einnahmen],"&lt;"&amp;EDATE(F$5,1),tblAuftraege[Kostenstelle],$A143))</f>
        <v>0</v>
      </c>
      <c r="G143" s="11" t="n">
        <f aca="false">IF($A143="",0,SUMIFS(tblAuftraege[Einnahmen],tblAuftraege[Datum Einnahmen],"&gt;="&amp;G$5,tblAuftraege[Datum Einnahmen],"&lt;"&amp;EDATE(G$5,1),tblAuftraege[Kostenstelle],$A143))</f>
        <v>0</v>
      </c>
      <c r="H143" s="11" t="n">
        <f aca="false">IF($A143="",0,SUMIFS(tblAuftraege[Einnahmen],tblAuftraege[Datum Einnahmen],"&gt;="&amp;H$5,tblAuftraege[Datum Einnahmen],"&lt;"&amp;EDATE(H$5,1),tblAuftraege[Kostenstelle],$A143))</f>
        <v>0</v>
      </c>
      <c r="I143" s="11" t="n">
        <f aca="false">IF($A143="",0,SUMIFS(tblAuftraege[Einnahmen],tblAuftraege[Datum Einnahmen],"&gt;="&amp;I$5,tblAuftraege[Datum Einnahmen],"&lt;"&amp;EDATE(I$5,1),tblAuftraege[Kostenstelle],$A143))</f>
        <v>0</v>
      </c>
      <c r="J143" s="11" t="n">
        <f aca="false">IF($A143="",0,SUMIFS(tblAuftraege[Einnahmen],tblAuftraege[Datum Einnahmen],"&gt;="&amp;J$5,tblAuftraege[Datum Einnahmen],"&lt;"&amp;EDATE(J$5,1),tblAuftraege[Kostenstelle],$A143))</f>
        <v>0</v>
      </c>
      <c r="K143" s="11" t="n">
        <f aca="false">IF($A143="",0,SUMIFS(tblAuftraege[Einnahmen],tblAuftraege[Datum Einnahmen],"&gt;="&amp;K$5,tblAuftraege[Datum Einnahmen],"&lt;"&amp;EDATE(K$5,1),tblAuftraege[Kostenstelle],$A143))</f>
        <v>0</v>
      </c>
      <c r="L143" s="11" t="n">
        <f aca="false">IF($A143="",0,SUMIFS(tblAuftraege[Einnahmen],tblAuftraege[Datum Einnahmen],"&gt;="&amp;L$5,tblAuftraege[Datum Einnahmen],"&lt;"&amp;EDATE(L$5,1),tblAuftraege[Kostenstelle],$A143))</f>
        <v>0</v>
      </c>
      <c r="M143" s="11" t="n">
        <f aca="false">IF($A143="",0,SUMIFS(tblAuftraege[Einnahmen],tblAuftraege[Datum Einnahmen],"&gt;="&amp;M$5,tblAuftraege[Datum Einnahmen],"&lt;"&amp;EDATE(M$5,1),tblAuftraege[Kostenstelle],$A143))</f>
        <v>0</v>
      </c>
      <c r="N143" s="11" t="n">
        <f aca="false">IF($A143="",0,SUMIFS(tblAuftraege[Einnahmen],tblAuftraege[Datum Einnahmen],"&gt;="&amp;N$5,tblAuftraege[Datum Einnahmen],"&lt;"&amp;EDATE(N$5,1),tblAuftraege[Kostenstelle],$A143))</f>
        <v>0</v>
      </c>
      <c r="O143" s="11" t="n">
        <f aca="false">IF($A143="",0,SUMIFS(tblAuftraege[Einnahmen],tblAuftraege[Datum Einnahmen],"&gt;="&amp;O$5,tblAuftraege[Datum Einnahmen],"&lt;"&amp;EDATE(O$5,1),tblAuftraege[Kostenstelle],$A143))</f>
        <v>0</v>
      </c>
      <c r="P143" s="11" t="n">
        <f aca="false">IF($A143="",0,SUMIFS(tblAuftraege[Einnahmen],tblAuftraege[Datum Einnahmen],"&gt;="&amp;P$5,tblAuftraege[Datum Einnahmen],"&lt;"&amp;EDATE(P$5,1),tblAuftraege[Kostenstelle],$A143))</f>
        <v>0</v>
      </c>
      <c r="Q143" s="11" t="n">
        <f aca="false">IF($A143="",0,SUMIFS(tblAuftraege[Einnahmen],tblAuftraege[Datum Einnahmen],"&gt;="&amp;Q$5,tblAuftraege[Datum Einnahmen],"&lt;"&amp;EDATE(Q$5,1),tblAuftraege[Kostenstelle],$A143))</f>
        <v>0</v>
      </c>
      <c r="R143" s="11" t="n">
        <f aca="false">IF($A143="",0,SUMIFS(tblAuftraege[Einnahmen],tblAuftraege[Datum Einnahmen],"&gt;="&amp;R$5,tblAuftraege[Datum Einnahmen],"&lt;"&amp;EDATE(R$5,1),tblAuftraege[Kostenstelle],$A143))</f>
        <v>0</v>
      </c>
      <c r="S143" s="11" t="n">
        <f aca="false">IF($A143="",0,SUMIFS(tblAuftraege[Einnahmen],tblAuftraege[Datum Einnahmen],"&gt;="&amp;S$5,tblAuftraege[Datum Einnahmen],"&lt;"&amp;EDATE(S$5,1),tblAuftraege[Kostenstelle],$A143))</f>
        <v>0</v>
      </c>
      <c r="T143" s="11" t="n">
        <f aca="false">IF($A143="",0,SUMIFS(tblAuftraege[Einnahmen],tblAuftraege[Datum Einnahmen],"&gt;="&amp;T$5,tblAuftraege[Datum Einnahmen],"&lt;"&amp;EDATE(T$5,1),tblAuftraege[Kostenstelle],$A143))</f>
        <v>0</v>
      </c>
      <c r="U143" s="11" t="n">
        <f aca="false">IF($A143="",0,SUMIFS(tblAuftraege[Einnahmen],tblAuftraege[Datum Einnahmen],"&gt;="&amp;U$5,tblAuftraege[Datum Einnahmen],"&lt;"&amp;EDATE(U$5,1),tblAuftraege[Kostenstelle],$A143))</f>
        <v>0</v>
      </c>
      <c r="V143" s="11" t="n">
        <f aca="false">IF($A143="",0,SUMIFS(tblAuftraege[Einnahmen],tblAuftraege[Datum Einnahmen],"&gt;="&amp;V$5,tblAuftraege[Datum Einnahmen],"&lt;"&amp;EDATE(V$5,1),tblAuftraege[Kostenstelle],$A143))</f>
        <v>0</v>
      </c>
      <c r="W143" s="11" t="n">
        <f aca="false">SUM(E143:J143)</f>
        <v>0</v>
      </c>
      <c r="X143" s="11" t="n">
        <f aca="false">SUM(K143:V143)</f>
        <v>0</v>
      </c>
      <c r="Y143" s="12" t="n">
        <f aca="false">SUM(E143:V143)</f>
        <v>0</v>
      </c>
    </row>
    <row r="144" customFormat="false" ht="15" hidden="false" customHeight="false" outlineLevel="0" collapsed="false">
      <c r="A144" s="9" t="s">
        <v>61</v>
      </c>
      <c r="B144" s="24" t="s">
        <v>62</v>
      </c>
      <c r="C144" s="15"/>
      <c r="D144" s="15"/>
      <c r="E144" s="11" t="n">
        <f aca="false">IF($A144="",0,SUMIFS(tblAuftraege[Einnahmen],tblAuftraege[Datum Einnahmen],"&gt;="&amp;E$5,tblAuftraege[Datum Einnahmen],"&lt;"&amp;EDATE(E$5,1),tblAuftraege[Kostenstelle],$A144))</f>
        <v>0</v>
      </c>
      <c r="F144" s="11" t="n">
        <f aca="false">IF($A144="",0,SUMIFS(tblAuftraege[Einnahmen],tblAuftraege[Datum Einnahmen],"&gt;="&amp;F$5,tblAuftraege[Datum Einnahmen],"&lt;"&amp;EDATE(F$5,1),tblAuftraege[Kostenstelle],$A144))</f>
        <v>0</v>
      </c>
      <c r="G144" s="11" t="n">
        <f aca="false">IF($A144="",0,SUMIFS(tblAuftraege[Einnahmen],tblAuftraege[Datum Einnahmen],"&gt;="&amp;G$5,tblAuftraege[Datum Einnahmen],"&lt;"&amp;EDATE(G$5,1),tblAuftraege[Kostenstelle],$A144))</f>
        <v>0</v>
      </c>
      <c r="H144" s="11" t="n">
        <f aca="false">IF($A144="",0,SUMIFS(tblAuftraege[Einnahmen],tblAuftraege[Datum Einnahmen],"&gt;="&amp;H$5,tblAuftraege[Datum Einnahmen],"&lt;"&amp;EDATE(H$5,1),tblAuftraege[Kostenstelle],$A144))</f>
        <v>0</v>
      </c>
      <c r="I144" s="11" t="n">
        <f aca="false">IF($A144="",0,SUMIFS(tblAuftraege[Einnahmen],tblAuftraege[Datum Einnahmen],"&gt;="&amp;I$5,tblAuftraege[Datum Einnahmen],"&lt;"&amp;EDATE(I$5,1),tblAuftraege[Kostenstelle],$A144))</f>
        <v>0</v>
      </c>
      <c r="J144" s="11" t="n">
        <f aca="false">IF($A144="",0,SUMIFS(tblAuftraege[Einnahmen],tblAuftraege[Datum Einnahmen],"&gt;="&amp;J$5,tblAuftraege[Datum Einnahmen],"&lt;"&amp;EDATE(J$5,1),tblAuftraege[Kostenstelle],$A144))</f>
        <v>0</v>
      </c>
      <c r="K144" s="11" t="n">
        <f aca="false">IF($A144="",0,SUMIFS(tblAuftraege[Einnahmen],tblAuftraege[Datum Einnahmen],"&gt;="&amp;K$5,tblAuftraege[Datum Einnahmen],"&lt;"&amp;EDATE(K$5,1),tblAuftraege[Kostenstelle],$A144))</f>
        <v>0</v>
      </c>
      <c r="L144" s="11" t="n">
        <f aca="false">IF($A144="",0,SUMIFS(tblAuftraege[Einnahmen],tblAuftraege[Datum Einnahmen],"&gt;="&amp;L$5,tblAuftraege[Datum Einnahmen],"&lt;"&amp;EDATE(L$5,1),tblAuftraege[Kostenstelle],$A144))</f>
        <v>0</v>
      </c>
      <c r="M144" s="11" t="n">
        <f aca="false">IF($A144="",0,SUMIFS(tblAuftraege[Einnahmen],tblAuftraege[Datum Einnahmen],"&gt;="&amp;M$5,tblAuftraege[Datum Einnahmen],"&lt;"&amp;EDATE(M$5,1),tblAuftraege[Kostenstelle],$A144))</f>
        <v>0</v>
      </c>
      <c r="N144" s="11" t="n">
        <f aca="false">IF($A144="",0,SUMIFS(tblAuftraege[Einnahmen],tblAuftraege[Datum Einnahmen],"&gt;="&amp;N$5,tblAuftraege[Datum Einnahmen],"&lt;"&amp;EDATE(N$5,1),tblAuftraege[Kostenstelle],$A144))</f>
        <v>0</v>
      </c>
      <c r="O144" s="11" t="n">
        <f aca="false">IF($A144="",0,SUMIFS(tblAuftraege[Einnahmen],tblAuftraege[Datum Einnahmen],"&gt;="&amp;O$5,tblAuftraege[Datum Einnahmen],"&lt;"&amp;EDATE(O$5,1),tblAuftraege[Kostenstelle],$A144))</f>
        <v>0</v>
      </c>
      <c r="P144" s="11" t="n">
        <f aca="false">IF($A144="",0,SUMIFS(tblAuftraege[Einnahmen],tblAuftraege[Datum Einnahmen],"&gt;="&amp;P$5,tblAuftraege[Datum Einnahmen],"&lt;"&amp;EDATE(P$5,1),tblAuftraege[Kostenstelle],$A144))</f>
        <v>0</v>
      </c>
      <c r="Q144" s="11" t="n">
        <f aca="false">IF($A144="",0,SUMIFS(tblAuftraege[Einnahmen],tblAuftraege[Datum Einnahmen],"&gt;="&amp;Q$5,tblAuftraege[Datum Einnahmen],"&lt;"&amp;EDATE(Q$5,1),tblAuftraege[Kostenstelle],$A144))</f>
        <v>0</v>
      </c>
      <c r="R144" s="11" t="n">
        <f aca="false">IF($A144="",0,SUMIFS(tblAuftraege[Einnahmen],tblAuftraege[Datum Einnahmen],"&gt;="&amp;R$5,tblAuftraege[Datum Einnahmen],"&lt;"&amp;EDATE(R$5,1),tblAuftraege[Kostenstelle],$A144))</f>
        <v>0</v>
      </c>
      <c r="S144" s="11" t="n">
        <f aca="false">IF($A144="",0,SUMIFS(tblAuftraege[Einnahmen],tblAuftraege[Datum Einnahmen],"&gt;="&amp;S$5,tblAuftraege[Datum Einnahmen],"&lt;"&amp;EDATE(S$5,1),tblAuftraege[Kostenstelle],$A144))</f>
        <v>0</v>
      </c>
      <c r="T144" s="11" t="n">
        <f aca="false">IF($A144="",0,SUMIFS(tblAuftraege[Einnahmen],tblAuftraege[Datum Einnahmen],"&gt;="&amp;T$5,tblAuftraege[Datum Einnahmen],"&lt;"&amp;EDATE(T$5,1),tblAuftraege[Kostenstelle],$A144))</f>
        <v>0</v>
      </c>
      <c r="U144" s="11" t="n">
        <f aca="false">IF($A144="",0,SUMIFS(tblAuftraege[Einnahmen],tblAuftraege[Datum Einnahmen],"&gt;="&amp;U$5,tblAuftraege[Datum Einnahmen],"&lt;"&amp;EDATE(U$5,1),tblAuftraege[Kostenstelle],$A144))</f>
        <v>0</v>
      </c>
      <c r="V144" s="11" t="n">
        <f aca="false">IF($A144="",0,SUMIFS(tblAuftraege[Einnahmen],tblAuftraege[Datum Einnahmen],"&gt;="&amp;V$5,tblAuftraege[Datum Einnahmen],"&lt;"&amp;EDATE(V$5,1),tblAuftraege[Kostenstelle],$A144))</f>
        <v>0</v>
      </c>
      <c r="W144" s="11" t="n">
        <f aca="false">SUM(E144:J144)</f>
        <v>0</v>
      </c>
      <c r="X144" s="11" t="n">
        <f aca="false">SUM(K144:V144)</f>
        <v>0</v>
      </c>
      <c r="Y144" s="12" t="n">
        <f aca="false">SUM(E144:V144)</f>
        <v>0</v>
      </c>
    </row>
    <row r="145" customFormat="false" ht="15" hidden="false" customHeight="false" outlineLevel="0" collapsed="false">
      <c r="A145" s="9" t="s">
        <v>63</v>
      </c>
      <c r="B145" s="24" t="s">
        <v>64</v>
      </c>
      <c r="C145" s="15"/>
      <c r="D145" s="15"/>
      <c r="E145" s="11" t="n">
        <f aca="false">IF($A145="",0,SUMIFS(tblAuftraege[Einnahmen],tblAuftraege[Datum Einnahmen],"&gt;="&amp;E$5,tblAuftraege[Datum Einnahmen],"&lt;"&amp;EDATE(E$5,1),tblAuftraege[Kostenstelle],$A145))</f>
        <v>0</v>
      </c>
      <c r="F145" s="11" t="n">
        <f aca="false">IF($A145="",0,SUMIFS(tblAuftraege[Einnahmen],tblAuftraege[Datum Einnahmen],"&gt;="&amp;F$5,tblAuftraege[Datum Einnahmen],"&lt;"&amp;EDATE(F$5,1),tblAuftraege[Kostenstelle],$A145))</f>
        <v>0</v>
      </c>
      <c r="G145" s="11" t="n">
        <f aca="false">IF($A145="",0,SUMIFS(tblAuftraege[Einnahmen],tblAuftraege[Datum Einnahmen],"&gt;="&amp;G$5,tblAuftraege[Datum Einnahmen],"&lt;"&amp;EDATE(G$5,1),tblAuftraege[Kostenstelle],$A145))</f>
        <v>0</v>
      </c>
      <c r="H145" s="11" t="n">
        <f aca="false">IF($A145="",0,SUMIFS(tblAuftraege[Einnahmen],tblAuftraege[Datum Einnahmen],"&gt;="&amp;H$5,tblAuftraege[Datum Einnahmen],"&lt;"&amp;EDATE(H$5,1),tblAuftraege[Kostenstelle],$A145))</f>
        <v>0</v>
      </c>
      <c r="I145" s="11" t="n">
        <f aca="false">IF($A145="",0,SUMIFS(tblAuftraege[Einnahmen],tblAuftraege[Datum Einnahmen],"&gt;="&amp;I$5,tblAuftraege[Datum Einnahmen],"&lt;"&amp;EDATE(I$5,1),tblAuftraege[Kostenstelle],$A145))</f>
        <v>0</v>
      </c>
      <c r="J145" s="11" t="n">
        <f aca="false">IF($A145="",0,SUMIFS(tblAuftraege[Einnahmen],tblAuftraege[Datum Einnahmen],"&gt;="&amp;J$5,tblAuftraege[Datum Einnahmen],"&lt;"&amp;EDATE(J$5,1),tblAuftraege[Kostenstelle],$A145))</f>
        <v>0</v>
      </c>
      <c r="K145" s="11" t="n">
        <f aca="false">IF($A145="",0,SUMIFS(tblAuftraege[Einnahmen],tblAuftraege[Datum Einnahmen],"&gt;="&amp;K$5,tblAuftraege[Datum Einnahmen],"&lt;"&amp;EDATE(K$5,1),tblAuftraege[Kostenstelle],$A145))</f>
        <v>0</v>
      </c>
      <c r="L145" s="11" t="n">
        <f aca="false">IF($A145="",0,SUMIFS(tblAuftraege[Einnahmen],tblAuftraege[Datum Einnahmen],"&gt;="&amp;L$5,tblAuftraege[Datum Einnahmen],"&lt;"&amp;EDATE(L$5,1),tblAuftraege[Kostenstelle],$A145))</f>
        <v>0</v>
      </c>
      <c r="M145" s="11" t="n">
        <f aca="false">IF($A145="",0,SUMIFS(tblAuftraege[Einnahmen],tblAuftraege[Datum Einnahmen],"&gt;="&amp;M$5,tblAuftraege[Datum Einnahmen],"&lt;"&amp;EDATE(M$5,1),tblAuftraege[Kostenstelle],$A145))</f>
        <v>0</v>
      </c>
      <c r="N145" s="11" t="n">
        <f aca="false">IF($A145="",0,SUMIFS(tblAuftraege[Einnahmen],tblAuftraege[Datum Einnahmen],"&gt;="&amp;N$5,tblAuftraege[Datum Einnahmen],"&lt;"&amp;EDATE(N$5,1),tblAuftraege[Kostenstelle],$A145))</f>
        <v>0</v>
      </c>
      <c r="O145" s="11" t="n">
        <f aca="false">IF($A145="",0,SUMIFS(tblAuftraege[Einnahmen],tblAuftraege[Datum Einnahmen],"&gt;="&amp;O$5,tblAuftraege[Datum Einnahmen],"&lt;"&amp;EDATE(O$5,1),tblAuftraege[Kostenstelle],$A145))</f>
        <v>0</v>
      </c>
      <c r="P145" s="11" t="n">
        <f aca="false">IF($A145="",0,SUMIFS(tblAuftraege[Einnahmen],tblAuftraege[Datum Einnahmen],"&gt;="&amp;P$5,tblAuftraege[Datum Einnahmen],"&lt;"&amp;EDATE(P$5,1),tblAuftraege[Kostenstelle],$A145))</f>
        <v>0</v>
      </c>
      <c r="Q145" s="11" t="n">
        <f aca="false">IF($A145="",0,SUMIFS(tblAuftraege[Einnahmen],tblAuftraege[Datum Einnahmen],"&gt;="&amp;Q$5,tblAuftraege[Datum Einnahmen],"&lt;"&amp;EDATE(Q$5,1),tblAuftraege[Kostenstelle],$A145))</f>
        <v>0</v>
      </c>
      <c r="R145" s="11" t="n">
        <f aca="false">IF($A145="",0,SUMIFS(tblAuftraege[Einnahmen],tblAuftraege[Datum Einnahmen],"&gt;="&amp;R$5,tblAuftraege[Datum Einnahmen],"&lt;"&amp;EDATE(R$5,1),tblAuftraege[Kostenstelle],$A145))</f>
        <v>0</v>
      </c>
      <c r="S145" s="11" t="n">
        <f aca="false">IF($A145="",0,SUMIFS(tblAuftraege[Einnahmen],tblAuftraege[Datum Einnahmen],"&gt;="&amp;S$5,tblAuftraege[Datum Einnahmen],"&lt;"&amp;EDATE(S$5,1),tblAuftraege[Kostenstelle],$A145))</f>
        <v>0</v>
      </c>
      <c r="T145" s="11" t="n">
        <f aca="false">IF($A145="",0,SUMIFS(tblAuftraege[Einnahmen],tblAuftraege[Datum Einnahmen],"&gt;="&amp;T$5,tblAuftraege[Datum Einnahmen],"&lt;"&amp;EDATE(T$5,1),tblAuftraege[Kostenstelle],$A145))</f>
        <v>0</v>
      </c>
      <c r="U145" s="11" t="n">
        <f aca="false">IF($A145="",0,SUMIFS(tblAuftraege[Einnahmen],tblAuftraege[Datum Einnahmen],"&gt;="&amp;U$5,tblAuftraege[Datum Einnahmen],"&lt;"&amp;EDATE(U$5,1),tblAuftraege[Kostenstelle],$A145))</f>
        <v>0</v>
      </c>
      <c r="V145" s="11" t="n">
        <f aca="false">IF($A145="",0,SUMIFS(tblAuftraege[Einnahmen],tblAuftraege[Datum Einnahmen],"&gt;="&amp;V$5,tblAuftraege[Datum Einnahmen],"&lt;"&amp;EDATE(V$5,1),tblAuftraege[Kostenstelle],$A145))</f>
        <v>0</v>
      </c>
      <c r="W145" s="11" t="n">
        <f aca="false">SUM(E145:J145)</f>
        <v>0</v>
      </c>
      <c r="X145" s="11" t="n">
        <f aca="false">SUM(K145:V145)</f>
        <v>0</v>
      </c>
      <c r="Y145" s="12" t="n">
        <f aca="false">SUM(E145:V145)</f>
        <v>0</v>
      </c>
    </row>
    <row r="146" customFormat="false" ht="15" hidden="false" customHeight="false" outlineLevel="0" collapsed="false">
      <c r="A146" s="9" t="s">
        <v>65</v>
      </c>
      <c r="B146" s="24" t="s">
        <v>66</v>
      </c>
      <c r="C146" s="15"/>
      <c r="D146" s="15"/>
      <c r="E146" s="11" t="n">
        <f aca="false">IF($A146="",0,SUMIFS(tblAuftraege[Einnahmen],tblAuftraege[Datum Einnahmen],"&gt;="&amp;E$5,tblAuftraege[Datum Einnahmen],"&lt;"&amp;EDATE(E$5,1),tblAuftraege[Kostenstelle],$A146))</f>
        <v>0</v>
      </c>
      <c r="F146" s="11" t="n">
        <f aca="false">IF($A146="",0,SUMIFS(tblAuftraege[Einnahmen],tblAuftraege[Datum Einnahmen],"&gt;="&amp;F$5,tblAuftraege[Datum Einnahmen],"&lt;"&amp;EDATE(F$5,1),tblAuftraege[Kostenstelle],$A146))</f>
        <v>0</v>
      </c>
      <c r="G146" s="11" t="n">
        <f aca="false">IF($A146="",0,SUMIFS(tblAuftraege[Einnahmen],tblAuftraege[Datum Einnahmen],"&gt;="&amp;G$5,tblAuftraege[Datum Einnahmen],"&lt;"&amp;EDATE(G$5,1),tblAuftraege[Kostenstelle],$A146))</f>
        <v>0</v>
      </c>
      <c r="H146" s="11" t="n">
        <f aca="false">IF($A146="",0,SUMIFS(tblAuftraege[Einnahmen],tblAuftraege[Datum Einnahmen],"&gt;="&amp;H$5,tblAuftraege[Datum Einnahmen],"&lt;"&amp;EDATE(H$5,1),tblAuftraege[Kostenstelle],$A146))</f>
        <v>0</v>
      </c>
      <c r="I146" s="11" t="n">
        <f aca="false">IF($A146="",0,SUMIFS(tblAuftraege[Einnahmen],tblAuftraege[Datum Einnahmen],"&gt;="&amp;I$5,tblAuftraege[Datum Einnahmen],"&lt;"&amp;EDATE(I$5,1),tblAuftraege[Kostenstelle],$A146))</f>
        <v>0</v>
      </c>
      <c r="J146" s="11" t="n">
        <f aca="false">IF($A146="",0,SUMIFS(tblAuftraege[Einnahmen],tblAuftraege[Datum Einnahmen],"&gt;="&amp;J$5,tblAuftraege[Datum Einnahmen],"&lt;"&amp;EDATE(J$5,1),tblAuftraege[Kostenstelle],$A146))</f>
        <v>0</v>
      </c>
      <c r="K146" s="11" t="n">
        <f aca="false">IF($A146="",0,SUMIFS(tblAuftraege[Einnahmen],tblAuftraege[Datum Einnahmen],"&gt;="&amp;K$5,tblAuftraege[Datum Einnahmen],"&lt;"&amp;EDATE(K$5,1),tblAuftraege[Kostenstelle],$A146))</f>
        <v>0</v>
      </c>
      <c r="L146" s="11" t="n">
        <f aca="false">IF($A146="",0,SUMIFS(tblAuftraege[Einnahmen],tblAuftraege[Datum Einnahmen],"&gt;="&amp;L$5,tblAuftraege[Datum Einnahmen],"&lt;"&amp;EDATE(L$5,1),tblAuftraege[Kostenstelle],$A146))</f>
        <v>0</v>
      </c>
      <c r="M146" s="11" t="n">
        <f aca="false">IF($A146="",0,SUMIFS(tblAuftraege[Einnahmen],tblAuftraege[Datum Einnahmen],"&gt;="&amp;M$5,tblAuftraege[Datum Einnahmen],"&lt;"&amp;EDATE(M$5,1),tblAuftraege[Kostenstelle],$A146))</f>
        <v>0</v>
      </c>
      <c r="N146" s="11" t="n">
        <f aca="false">IF($A146="",0,SUMIFS(tblAuftraege[Einnahmen],tblAuftraege[Datum Einnahmen],"&gt;="&amp;N$5,tblAuftraege[Datum Einnahmen],"&lt;"&amp;EDATE(N$5,1),tblAuftraege[Kostenstelle],$A146))</f>
        <v>0</v>
      </c>
      <c r="O146" s="11" t="n">
        <f aca="false">IF($A146="",0,SUMIFS(tblAuftraege[Einnahmen],tblAuftraege[Datum Einnahmen],"&gt;="&amp;O$5,tblAuftraege[Datum Einnahmen],"&lt;"&amp;EDATE(O$5,1),tblAuftraege[Kostenstelle],$A146))</f>
        <v>0</v>
      </c>
      <c r="P146" s="11" t="n">
        <f aca="false">IF($A146="",0,SUMIFS(tblAuftraege[Einnahmen],tblAuftraege[Datum Einnahmen],"&gt;="&amp;P$5,tblAuftraege[Datum Einnahmen],"&lt;"&amp;EDATE(P$5,1),tblAuftraege[Kostenstelle],$A146))</f>
        <v>0</v>
      </c>
      <c r="Q146" s="11" t="n">
        <f aca="false">IF($A146="",0,SUMIFS(tblAuftraege[Einnahmen],tblAuftraege[Datum Einnahmen],"&gt;="&amp;Q$5,tblAuftraege[Datum Einnahmen],"&lt;"&amp;EDATE(Q$5,1),tblAuftraege[Kostenstelle],$A146))</f>
        <v>0</v>
      </c>
      <c r="R146" s="11" t="n">
        <f aca="false">IF($A146="",0,SUMIFS(tblAuftraege[Einnahmen],tblAuftraege[Datum Einnahmen],"&gt;="&amp;R$5,tblAuftraege[Datum Einnahmen],"&lt;"&amp;EDATE(R$5,1),tblAuftraege[Kostenstelle],$A146))</f>
        <v>0</v>
      </c>
      <c r="S146" s="11" t="n">
        <f aca="false">IF($A146="",0,SUMIFS(tblAuftraege[Einnahmen],tblAuftraege[Datum Einnahmen],"&gt;="&amp;S$5,tblAuftraege[Datum Einnahmen],"&lt;"&amp;EDATE(S$5,1),tblAuftraege[Kostenstelle],$A146))</f>
        <v>0</v>
      </c>
      <c r="T146" s="11" t="n">
        <f aca="false">IF($A146="",0,SUMIFS(tblAuftraege[Einnahmen],tblAuftraege[Datum Einnahmen],"&gt;="&amp;T$5,tblAuftraege[Datum Einnahmen],"&lt;"&amp;EDATE(T$5,1),tblAuftraege[Kostenstelle],$A146))</f>
        <v>0</v>
      </c>
      <c r="U146" s="11" t="n">
        <f aca="false">IF($A146="",0,SUMIFS(tblAuftraege[Einnahmen],tblAuftraege[Datum Einnahmen],"&gt;="&amp;U$5,tblAuftraege[Datum Einnahmen],"&lt;"&amp;EDATE(U$5,1),tblAuftraege[Kostenstelle],$A146))</f>
        <v>0</v>
      </c>
      <c r="V146" s="11" t="n">
        <f aca="false">IF($A146="",0,SUMIFS(tblAuftraege[Einnahmen],tblAuftraege[Datum Einnahmen],"&gt;="&amp;V$5,tblAuftraege[Datum Einnahmen],"&lt;"&amp;EDATE(V$5,1),tblAuftraege[Kostenstelle],$A146))</f>
        <v>0</v>
      </c>
      <c r="W146" s="11" t="n">
        <f aca="false">SUM(E146:J146)</f>
        <v>0</v>
      </c>
      <c r="X146" s="11" t="n">
        <f aca="false">SUM(K146:V146)</f>
        <v>0</v>
      </c>
      <c r="Y146" s="12" t="n">
        <f aca="false">SUM(E146:V146)</f>
        <v>0</v>
      </c>
    </row>
    <row r="147" customFormat="false" ht="15" hidden="false" customHeight="false" outlineLevel="0" collapsed="false">
      <c r="A147" s="9" t="s">
        <v>67</v>
      </c>
      <c r="B147" s="24" t="s">
        <v>68</v>
      </c>
      <c r="C147" s="15"/>
      <c r="D147" s="15"/>
      <c r="E147" s="11" t="n">
        <f aca="false">IF($A147="",0,SUMIFS(tblAuftraege[Einnahmen],tblAuftraege[Datum Einnahmen],"&gt;="&amp;E$5,tblAuftraege[Datum Einnahmen],"&lt;"&amp;EDATE(E$5,1),tblAuftraege[Kostenstelle],$A147))</f>
        <v>0</v>
      </c>
      <c r="F147" s="11" t="n">
        <f aca="false">IF($A147="",0,SUMIFS(tblAuftraege[Einnahmen],tblAuftraege[Datum Einnahmen],"&gt;="&amp;F$5,tblAuftraege[Datum Einnahmen],"&lt;"&amp;EDATE(F$5,1),tblAuftraege[Kostenstelle],$A147))</f>
        <v>0</v>
      </c>
      <c r="G147" s="11" t="n">
        <f aca="false">IF($A147="",0,SUMIFS(tblAuftraege[Einnahmen],tblAuftraege[Datum Einnahmen],"&gt;="&amp;G$5,tblAuftraege[Datum Einnahmen],"&lt;"&amp;EDATE(G$5,1),tblAuftraege[Kostenstelle],$A147))</f>
        <v>0</v>
      </c>
      <c r="H147" s="11" t="n">
        <f aca="false">IF($A147="",0,SUMIFS(tblAuftraege[Einnahmen],tblAuftraege[Datum Einnahmen],"&gt;="&amp;H$5,tblAuftraege[Datum Einnahmen],"&lt;"&amp;EDATE(H$5,1),tblAuftraege[Kostenstelle],$A147))</f>
        <v>0</v>
      </c>
      <c r="I147" s="11" t="n">
        <f aca="false">IF($A147="",0,SUMIFS(tblAuftraege[Einnahmen],tblAuftraege[Datum Einnahmen],"&gt;="&amp;I$5,tblAuftraege[Datum Einnahmen],"&lt;"&amp;EDATE(I$5,1),tblAuftraege[Kostenstelle],$A147))</f>
        <v>0</v>
      </c>
      <c r="J147" s="11" t="n">
        <f aca="false">IF($A147="",0,SUMIFS(tblAuftraege[Einnahmen],tblAuftraege[Datum Einnahmen],"&gt;="&amp;J$5,tblAuftraege[Datum Einnahmen],"&lt;"&amp;EDATE(J$5,1),tblAuftraege[Kostenstelle],$A147))</f>
        <v>0</v>
      </c>
      <c r="K147" s="11" t="n">
        <f aca="false">IF($A147="",0,SUMIFS(tblAuftraege[Einnahmen],tblAuftraege[Datum Einnahmen],"&gt;="&amp;K$5,tblAuftraege[Datum Einnahmen],"&lt;"&amp;EDATE(K$5,1),tblAuftraege[Kostenstelle],$A147))</f>
        <v>0</v>
      </c>
      <c r="L147" s="11" t="n">
        <f aca="false">IF($A147="",0,SUMIFS(tblAuftraege[Einnahmen],tblAuftraege[Datum Einnahmen],"&gt;="&amp;L$5,tblAuftraege[Datum Einnahmen],"&lt;"&amp;EDATE(L$5,1),tblAuftraege[Kostenstelle],$A147))</f>
        <v>0</v>
      </c>
      <c r="M147" s="11" t="n">
        <f aca="false">IF($A147="",0,SUMIFS(tblAuftraege[Einnahmen],tblAuftraege[Datum Einnahmen],"&gt;="&amp;M$5,tblAuftraege[Datum Einnahmen],"&lt;"&amp;EDATE(M$5,1),tblAuftraege[Kostenstelle],$A147))</f>
        <v>0</v>
      </c>
      <c r="N147" s="11" t="n">
        <f aca="false">IF($A147="",0,SUMIFS(tblAuftraege[Einnahmen],tblAuftraege[Datum Einnahmen],"&gt;="&amp;N$5,tblAuftraege[Datum Einnahmen],"&lt;"&amp;EDATE(N$5,1),tblAuftraege[Kostenstelle],$A147))</f>
        <v>0</v>
      </c>
      <c r="O147" s="11" t="n">
        <f aca="false">IF($A147="",0,SUMIFS(tblAuftraege[Einnahmen],tblAuftraege[Datum Einnahmen],"&gt;="&amp;O$5,tblAuftraege[Datum Einnahmen],"&lt;"&amp;EDATE(O$5,1),tblAuftraege[Kostenstelle],$A147))</f>
        <v>0</v>
      </c>
      <c r="P147" s="11" t="n">
        <f aca="false">IF($A147="",0,SUMIFS(tblAuftraege[Einnahmen],tblAuftraege[Datum Einnahmen],"&gt;="&amp;P$5,tblAuftraege[Datum Einnahmen],"&lt;"&amp;EDATE(P$5,1),tblAuftraege[Kostenstelle],$A147))</f>
        <v>0</v>
      </c>
      <c r="Q147" s="11" t="n">
        <f aca="false">IF($A147="",0,SUMIFS(tblAuftraege[Einnahmen],tblAuftraege[Datum Einnahmen],"&gt;="&amp;Q$5,tblAuftraege[Datum Einnahmen],"&lt;"&amp;EDATE(Q$5,1),tblAuftraege[Kostenstelle],$A147))</f>
        <v>0</v>
      </c>
      <c r="R147" s="11" t="n">
        <f aca="false">IF($A147="",0,SUMIFS(tblAuftraege[Einnahmen],tblAuftraege[Datum Einnahmen],"&gt;="&amp;R$5,tblAuftraege[Datum Einnahmen],"&lt;"&amp;EDATE(R$5,1),tblAuftraege[Kostenstelle],$A147))</f>
        <v>0</v>
      </c>
      <c r="S147" s="11" t="n">
        <f aca="false">IF($A147="",0,SUMIFS(tblAuftraege[Einnahmen],tblAuftraege[Datum Einnahmen],"&gt;="&amp;S$5,tblAuftraege[Datum Einnahmen],"&lt;"&amp;EDATE(S$5,1),tblAuftraege[Kostenstelle],$A147))</f>
        <v>0</v>
      </c>
      <c r="T147" s="11" t="n">
        <f aca="false">IF($A147="",0,SUMIFS(tblAuftraege[Einnahmen],tblAuftraege[Datum Einnahmen],"&gt;="&amp;T$5,tblAuftraege[Datum Einnahmen],"&lt;"&amp;EDATE(T$5,1),tblAuftraege[Kostenstelle],$A147))</f>
        <v>0</v>
      </c>
      <c r="U147" s="11" t="n">
        <f aca="false">IF($A147="",0,SUMIFS(tblAuftraege[Einnahmen],tblAuftraege[Datum Einnahmen],"&gt;="&amp;U$5,tblAuftraege[Datum Einnahmen],"&lt;"&amp;EDATE(U$5,1),tblAuftraege[Kostenstelle],$A147))</f>
        <v>0</v>
      </c>
      <c r="V147" s="11" t="n">
        <f aca="false">IF($A147="",0,SUMIFS(tblAuftraege[Einnahmen],tblAuftraege[Datum Einnahmen],"&gt;="&amp;V$5,tblAuftraege[Datum Einnahmen],"&lt;"&amp;EDATE(V$5,1),tblAuftraege[Kostenstelle],$A147))</f>
        <v>0</v>
      </c>
      <c r="W147" s="11" t="n">
        <f aca="false">SUM(E147:J147)</f>
        <v>0</v>
      </c>
      <c r="X147" s="11" t="n">
        <f aca="false">SUM(K147:V147)</f>
        <v>0</v>
      </c>
      <c r="Y147" s="12" t="n">
        <f aca="false">SUM(E147:V147)</f>
        <v>0</v>
      </c>
    </row>
    <row r="148" customFormat="false" ht="15" hidden="false" customHeight="false" outlineLevel="0" collapsed="false">
      <c r="A148" s="9" t="s">
        <v>69</v>
      </c>
      <c r="B148" s="24" t="s">
        <v>70</v>
      </c>
      <c r="C148" s="15"/>
      <c r="D148" s="15"/>
      <c r="E148" s="11" t="n">
        <f aca="false">IF($A148="",0,SUMIFS(tblAuftraege[Einnahmen],tblAuftraege[Datum Einnahmen],"&gt;="&amp;E$5,tblAuftraege[Datum Einnahmen],"&lt;"&amp;EDATE(E$5,1),tblAuftraege[Kostenstelle],$A148))</f>
        <v>0</v>
      </c>
      <c r="F148" s="11" t="n">
        <f aca="false">IF($A148="",0,SUMIFS(tblAuftraege[Einnahmen],tblAuftraege[Datum Einnahmen],"&gt;="&amp;F$5,tblAuftraege[Datum Einnahmen],"&lt;"&amp;EDATE(F$5,1),tblAuftraege[Kostenstelle],$A148))</f>
        <v>0</v>
      </c>
      <c r="G148" s="11" t="n">
        <f aca="false">IF($A148="",0,SUMIFS(tblAuftraege[Einnahmen],tblAuftraege[Datum Einnahmen],"&gt;="&amp;G$5,tblAuftraege[Datum Einnahmen],"&lt;"&amp;EDATE(G$5,1),tblAuftraege[Kostenstelle],$A148))</f>
        <v>0</v>
      </c>
      <c r="H148" s="11" t="n">
        <f aca="false">IF($A148="",0,SUMIFS(tblAuftraege[Einnahmen],tblAuftraege[Datum Einnahmen],"&gt;="&amp;H$5,tblAuftraege[Datum Einnahmen],"&lt;"&amp;EDATE(H$5,1),tblAuftraege[Kostenstelle],$A148))</f>
        <v>0</v>
      </c>
      <c r="I148" s="11" t="n">
        <f aca="false">IF($A148="",0,SUMIFS(tblAuftraege[Einnahmen],tblAuftraege[Datum Einnahmen],"&gt;="&amp;I$5,tblAuftraege[Datum Einnahmen],"&lt;"&amp;EDATE(I$5,1),tblAuftraege[Kostenstelle],$A148))</f>
        <v>0</v>
      </c>
      <c r="J148" s="11" t="n">
        <f aca="false">IF($A148="",0,SUMIFS(tblAuftraege[Einnahmen],tblAuftraege[Datum Einnahmen],"&gt;="&amp;J$5,tblAuftraege[Datum Einnahmen],"&lt;"&amp;EDATE(J$5,1),tblAuftraege[Kostenstelle],$A148))</f>
        <v>0</v>
      </c>
      <c r="K148" s="11" t="n">
        <f aca="false">IF($A148="",0,SUMIFS(tblAuftraege[Einnahmen],tblAuftraege[Datum Einnahmen],"&gt;="&amp;K$5,tblAuftraege[Datum Einnahmen],"&lt;"&amp;EDATE(K$5,1),tblAuftraege[Kostenstelle],$A148))</f>
        <v>0</v>
      </c>
      <c r="L148" s="11" t="n">
        <f aca="false">IF($A148="",0,SUMIFS(tblAuftraege[Einnahmen],tblAuftraege[Datum Einnahmen],"&gt;="&amp;L$5,tblAuftraege[Datum Einnahmen],"&lt;"&amp;EDATE(L$5,1),tblAuftraege[Kostenstelle],$A148))</f>
        <v>0</v>
      </c>
      <c r="M148" s="11" t="n">
        <f aca="false">IF($A148="",0,SUMIFS(tblAuftraege[Einnahmen],tblAuftraege[Datum Einnahmen],"&gt;="&amp;M$5,tblAuftraege[Datum Einnahmen],"&lt;"&amp;EDATE(M$5,1),tblAuftraege[Kostenstelle],$A148))</f>
        <v>0</v>
      </c>
      <c r="N148" s="11" t="n">
        <f aca="false">IF($A148="",0,SUMIFS(tblAuftraege[Einnahmen],tblAuftraege[Datum Einnahmen],"&gt;="&amp;N$5,tblAuftraege[Datum Einnahmen],"&lt;"&amp;EDATE(N$5,1),tblAuftraege[Kostenstelle],$A148))</f>
        <v>0</v>
      </c>
      <c r="O148" s="11" t="n">
        <f aca="false">IF($A148="",0,SUMIFS(tblAuftraege[Einnahmen],tblAuftraege[Datum Einnahmen],"&gt;="&amp;O$5,tblAuftraege[Datum Einnahmen],"&lt;"&amp;EDATE(O$5,1),tblAuftraege[Kostenstelle],$A148))</f>
        <v>0</v>
      </c>
      <c r="P148" s="11" t="n">
        <f aca="false">IF($A148="",0,SUMIFS(tblAuftraege[Einnahmen],tblAuftraege[Datum Einnahmen],"&gt;="&amp;P$5,tblAuftraege[Datum Einnahmen],"&lt;"&amp;EDATE(P$5,1),tblAuftraege[Kostenstelle],$A148))</f>
        <v>0</v>
      </c>
      <c r="Q148" s="11" t="n">
        <f aca="false">IF($A148="",0,SUMIFS(tblAuftraege[Einnahmen],tblAuftraege[Datum Einnahmen],"&gt;="&amp;Q$5,tblAuftraege[Datum Einnahmen],"&lt;"&amp;EDATE(Q$5,1),tblAuftraege[Kostenstelle],$A148))</f>
        <v>0</v>
      </c>
      <c r="R148" s="11" t="n">
        <f aca="false">IF($A148="",0,SUMIFS(tblAuftraege[Einnahmen],tblAuftraege[Datum Einnahmen],"&gt;="&amp;R$5,tblAuftraege[Datum Einnahmen],"&lt;"&amp;EDATE(R$5,1),tblAuftraege[Kostenstelle],$A148))</f>
        <v>0</v>
      </c>
      <c r="S148" s="11" t="n">
        <f aca="false">IF($A148="",0,SUMIFS(tblAuftraege[Einnahmen],tblAuftraege[Datum Einnahmen],"&gt;="&amp;S$5,tblAuftraege[Datum Einnahmen],"&lt;"&amp;EDATE(S$5,1),tblAuftraege[Kostenstelle],$A148))</f>
        <v>0</v>
      </c>
      <c r="T148" s="11" t="n">
        <f aca="false">IF($A148="",0,SUMIFS(tblAuftraege[Einnahmen],tblAuftraege[Datum Einnahmen],"&gt;="&amp;T$5,tblAuftraege[Datum Einnahmen],"&lt;"&amp;EDATE(T$5,1),tblAuftraege[Kostenstelle],$A148))</f>
        <v>0</v>
      </c>
      <c r="U148" s="11" t="n">
        <f aca="false">IF($A148="",0,SUMIFS(tblAuftraege[Einnahmen],tblAuftraege[Datum Einnahmen],"&gt;="&amp;U$5,tblAuftraege[Datum Einnahmen],"&lt;"&amp;EDATE(U$5,1),tblAuftraege[Kostenstelle],$A148))</f>
        <v>0</v>
      </c>
      <c r="V148" s="11" t="n">
        <f aca="false">IF($A148="",0,SUMIFS(tblAuftraege[Einnahmen],tblAuftraege[Datum Einnahmen],"&gt;="&amp;V$5,tblAuftraege[Datum Einnahmen],"&lt;"&amp;EDATE(V$5,1),tblAuftraege[Kostenstelle],$A148))</f>
        <v>0</v>
      </c>
      <c r="W148" s="11" t="n">
        <f aca="false">SUM(E148:J148)</f>
        <v>0</v>
      </c>
      <c r="X148" s="11" t="n">
        <f aca="false">SUM(K148:V148)</f>
        <v>0</v>
      </c>
      <c r="Y148" s="12" t="n">
        <f aca="false">SUM(E148:V148)</f>
        <v>0</v>
      </c>
    </row>
    <row r="149" customFormat="false" ht="15" hidden="false" customHeight="false" outlineLevel="0" collapsed="false">
      <c r="A149" s="9" t="s">
        <v>71</v>
      </c>
      <c r="B149" s="24" t="s">
        <v>72</v>
      </c>
      <c r="C149" s="15"/>
      <c r="D149" s="15"/>
      <c r="E149" s="11" t="n">
        <f aca="false">IF($A149="",0,SUMIFS(tblAuftraege[Einnahmen],tblAuftraege[Datum Einnahmen],"&gt;="&amp;E$5,tblAuftraege[Datum Einnahmen],"&lt;"&amp;EDATE(E$5,1),tblAuftraege[Kostenstelle],$A149))</f>
        <v>0</v>
      </c>
      <c r="F149" s="11" t="n">
        <f aca="false">IF($A149="",0,SUMIFS(tblAuftraege[Einnahmen],tblAuftraege[Datum Einnahmen],"&gt;="&amp;F$5,tblAuftraege[Datum Einnahmen],"&lt;"&amp;EDATE(F$5,1),tblAuftraege[Kostenstelle],$A149))</f>
        <v>0</v>
      </c>
      <c r="G149" s="11" t="n">
        <f aca="false">IF($A149="",0,SUMIFS(tblAuftraege[Einnahmen],tblAuftraege[Datum Einnahmen],"&gt;="&amp;G$5,tblAuftraege[Datum Einnahmen],"&lt;"&amp;EDATE(G$5,1),tblAuftraege[Kostenstelle],$A149))</f>
        <v>0</v>
      </c>
      <c r="H149" s="11" t="n">
        <f aca="false">IF($A149="",0,SUMIFS(tblAuftraege[Einnahmen],tblAuftraege[Datum Einnahmen],"&gt;="&amp;H$5,tblAuftraege[Datum Einnahmen],"&lt;"&amp;EDATE(H$5,1),tblAuftraege[Kostenstelle],$A149))</f>
        <v>0</v>
      </c>
      <c r="I149" s="11" t="n">
        <f aca="false">IF($A149="",0,SUMIFS(tblAuftraege[Einnahmen],tblAuftraege[Datum Einnahmen],"&gt;="&amp;I$5,tblAuftraege[Datum Einnahmen],"&lt;"&amp;EDATE(I$5,1),tblAuftraege[Kostenstelle],$A149))</f>
        <v>0</v>
      </c>
      <c r="J149" s="11" t="n">
        <f aca="false">IF($A149="",0,SUMIFS(tblAuftraege[Einnahmen],tblAuftraege[Datum Einnahmen],"&gt;="&amp;J$5,tblAuftraege[Datum Einnahmen],"&lt;"&amp;EDATE(J$5,1),tblAuftraege[Kostenstelle],$A149))</f>
        <v>0</v>
      </c>
      <c r="K149" s="11" t="n">
        <f aca="false">IF($A149="",0,SUMIFS(tblAuftraege[Einnahmen],tblAuftraege[Datum Einnahmen],"&gt;="&amp;K$5,tblAuftraege[Datum Einnahmen],"&lt;"&amp;EDATE(K$5,1),tblAuftraege[Kostenstelle],$A149))</f>
        <v>0</v>
      </c>
      <c r="L149" s="11" t="n">
        <f aca="false">IF($A149="",0,SUMIFS(tblAuftraege[Einnahmen],tblAuftraege[Datum Einnahmen],"&gt;="&amp;L$5,tblAuftraege[Datum Einnahmen],"&lt;"&amp;EDATE(L$5,1),tblAuftraege[Kostenstelle],$A149))</f>
        <v>0</v>
      </c>
      <c r="M149" s="11" t="n">
        <f aca="false">IF($A149="",0,SUMIFS(tblAuftraege[Einnahmen],tblAuftraege[Datum Einnahmen],"&gt;="&amp;M$5,tblAuftraege[Datum Einnahmen],"&lt;"&amp;EDATE(M$5,1),tblAuftraege[Kostenstelle],$A149))</f>
        <v>0</v>
      </c>
      <c r="N149" s="11" t="n">
        <f aca="false">IF($A149="",0,SUMIFS(tblAuftraege[Einnahmen],tblAuftraege[Datum Einnahmen],"&gt;="&amp;N$5,tblAuftraege[Datum Einnahmen],"&lt;"&amp;EDATE(N$5,1),tblAuftraege[Kostenstelle],$A149))</f>
        <v>0</v>
      </c>
      <c r="O149" s="11" t="n">
        <f aca="false">IF($A149="",0,SUMIFS(tblAuftraege[Einnahmen],tblAuftraege[Datum Einnahmen],"&gt;="&amp;O$5,tblAuftraege[Datum Einnahmen],"&lt;"&amp;EDATE(O$5,1),tblAuftraege[Kostenstelle],$A149))</f>
        <v>0</v>
      </c>
      <c r="P149" s="11" t="n">
        <f aca="false">IF($A149="",0,SUMIFS(tblAuftraege[Einnahmen],tblAuftraege[Datum Einnahmen],"&gt;="&amp;P$5,tblAuftraege[Datum Einnahmen],"&lt;"&amp;EDATE(P$5,1),tblAuftraege[Kostenstelle],$A149))</f>
        <v>0</v>
      </c>
      <c r="Q149" s="11" t="n">
        <f aca="false">IF($A149="",0,SUMIFS(tblAuftraege[Einnahmen],tblAuftraege[Datum Einnahmen],"&gt;="&amp;Q$5,tblAuftraege[Datum Einnahmen],"&lt;"&amp;EDATE(Q$5,1),tblAuftraege[Kostenstelle],$A149))</f>
        <v>0</v>
      </c>
      <c r="R149" s="11" t="n">
        <f aca="false">IF($A149="",0,SUMIFS(tblAuftraege[Einnahmen],tblAuftraege[Datum Einnahmen],"&gt;="&amp;R$5,tblAuftraege[Datum Einnahmen],"&lt;"&amp;EDATE(R$5,1),tblAuftraege[Kostenstelle],$A149))</f>
        <v>0</v>
      </c>
      <c r="S149" s="11" t="n">
        <f aca="false">IF($A149="",0,SUMIFS(tblAuftraege[Einnahmen],tblAuftraege[Datum Einnahmen],"&gt;="&amp;S$5,tblAuftraege[Datum Einnahmen],"&lt;"&amp;EDATE(S$5,1),tblAuftraege[Kostenstelle],$A149))</f>
        <v>0</v>
      </c>
      <c r="T149" s="11" t="n">
        <f aca="false">IF($A149="",0,SUMIFS(tblAuftraege[Einnahmen],tblAuftraege[Datum Einnahmen],"&gt;="&amp;T$5,tblAuftraege[Datum Einnahmen],"&lt;"&amp;EDATE(T$5,1),tblAuftraege[Kostenstelle],$A149))</f>
        <v>0</v>
      </c>
      <c r="U149" s="11" t="n">
        <f aca="false">IF($A149="",0,SUMIFS(tblAuftraege[Einnahmen],tblAuftraege[Datum Einnahmen],"&gt;="&amp;U$5,tblAuftraege[Datum Einnahmen],"&lt;"&amp;EDATE(U$5,1),tblAuftraege[Kostenstelle],$A149))</f>
        <v>0</v>
      </c>
      <c r="V149" s="11" t="n">
        <f aca="false">IF($A149="",0,SUMIFS(tblAuftraege[Einnahmen],tblAuftraege[Datum Einnahmen],"&gt;="&amp;V$5,tblAuftraege[Datum Einnahmen],"&lt;"&amp;EDATE(V$5,1),tblAuftraege[Kostenstelle],$A149))</f>
        <v>0</v>
      </c>
      <c r="W149" s="11" t="n">
        <f aca="false">SUM(E149:J149)</f>
        <v>0</v>
      </c>
      <c r="X149" s="11" t="n">
        <f aca="false">SUM(K149:V149)</f>
        <v>0</v>
      </c>
      <c r="Y149" s="12" t="n">
        <f aca="false">SUM(E149:V149)</f>
        <v>0</v>
      </c>
    </row>
    <row r="150" customFormat="false" ht="15" hidden="false" customHeight="false" outlineLevel="0" collapsed="false">
      <c r="A150" s="9"/>
      <c r="B150" s="15"/>
      <c r="C150" s="15"/>
      <c r="D150" s="15"/>
      <c r="E150" s="11" t="n">
        <f aca="false">IF($A150="",0,SUMIFS(tblAuftraege[Einnahmen],tblAuftraege[Datum Einnahmen],"&gt;="&amp;E$5,tblAuftraege[Datum Einnahmen],"&lt;"&amp;EDATE(E$5,1),tblAuftraege[Kostenstelle],$A150))</f>
        <v>0</v>
      </c>
      <c r="F150" s="11" t="n">
        <f aca="false">IF($A150="",0,SUMIFS(tblAuftraege[Einnahmen],tblAuftraege[Datum Einnahmen],"&gt;="&amp;F$5,tblAuftraege[Datum Einnahmen],"&lt;"&amp;EDATE(F$5,1),tblAuftraege[Kostenstelle],$A150))</f>
        <v>0</v>
      </c>
      <c r="G150" s="11" t="n">
        <f aca="false">IF($A150="",0,SUMIFS(tblAuftraege[Einnahmen],tblAuftraege[Datum Einnahmen],"&gt;="&amp;G$5,tblAuftraege[Datum Einnahmen],"&lt;"&amp;EDATE(G$5,1),tblAuftraege[Kostenstelle],$A150))</f>
        <v>0</v>
      </c>
      <c r="H150" s="11" t="n">
        <f aca="false">IF($A150="",0,SUMIFS(tblAuftraege[Einnahmen],tblAuftraege[Datum Einnahmen],"&gt;="&amp;H$5,tblAuftraege[Datum Einnahmen],"&lt;"&amp;EDATE(H$5,1),tblAuftraege[Kostenstelle],$A150))</f>
        <v>0</v>
      </c>
      <c r="I150" s="11" t="n">
        <f aca="false">IF($A150="",0,SUMIFS(tblAuftraege[Einnahmen],tblAuftraege[Datum Einnahmen],"&gt;="&amp;I$5,tblAuftraege[Datum Einnahmen],"&lt;"&amp;EDATE(I$5,1),tblAuftraege[Kostenstelle],$A150))</f>
        <v>0</v>
      </c>
      <c r="J150" s="11" t="n">
        <f aca="false">IF($A150="",0,SUMIFS(tblAuftraege[Einnahmen],tblAuftraege[Datum Einnahmen],"&gt;="&amp;J$5,tblAuftraege[Datum Einnahmen],"&lt;"&amp;EDATE(J$5,1),tblAuftraege[Kostenstelle],$A150))</f>
        <v>0</v>
      </c>
      <c r="K150" s="11" t="n">
        <f aca="false">IF($A150="",0,SUMIFS(tblAuftraege[Einnahmen],tblAuftraege[Datum Einnahmen],"&gt;="&amp;K$5,tblAuftraege[Datum Einnahmen],"&lt;"&amp;EDATE(K$5,1),tblAuftraege[Kostenstelle],$A150))</f>
        <v>0</v>
      </c>
      <c r="L150" s="11" t="n">
        <f aca="false">IF($A150="",0,SUMIFS(tblAuftraege[Einnahmen],tblAuftraege[Datum Einnahmen],"&gt;="&amp;L$5,tblAuftraege[Datum Einnahmen],"&lt;"&amp;EDATE(L$5,1),tblAuftraege[Kostenstelle],$A150))</f>
        <v>0</v>
      </c>
      <c r="M150" s="11" t="n">
        <f aca="false">IF($A150="",0,SUMIFS(tblAuftraege[Einnahmen],tblAuftraege[Datum Einnahmen],"&gt;="&amp;M$5,tblAuftraege[Datum Einnahmen],"&lt;"&amp;EDATE(M$5,1),tblAuftraege[Kostenstelle],$A150))</f>
        <v>0</v>
      </c>
      <c r="N150" s="11" t="n">
        <f aca="false">IF($A150="",0,SUMIFS(tblAuftraege[Einnahmen],tblAuftraege[Datum Einnahmen],"&gt;="&amp;N$5,tblAuftraege[Datum Einnahmen],"&lt;"&amp;EDATE(N$5,1),tblAuftraege[Kostenstelle],$A150))</f>
        <v>0</v>
      </c>
      <c r="O150" s="11" t="n">
        <f aca="false">IF($A150="",0,SUMIFS(tblAuftraege[Einnahmen],tblAuftraege[Datum Einnahmen],"&gt;="&amp;O$5,tblAuftraege[Datum Einnahmen],"&lt;"&amp;EDATE(O$5,1),tblAuftraege[Kostenstelle],$A150))</f>
        <v>0</v>
      </c>
      <c r="P150" s="11" t="n">
        <f aca="false">IF($A150="",0,SUMIFS(tblAuftraege[Einnahmen],tblAuftraege[Datum Einnahmen],"&gt;="&amp;P$5,tblAuftraege[Datum Einnahmen],"&lt;"&amp;EDATE(P$5,1),tblAuftraege[Kostenstelle],$A150))</f>
        <v>0</v>
      </c>
      <c r="Q150" s="11" t="n">
        <f aca="false">IF($A150="",0,SUMIFS(tblAuftraege[Einnahmen],tblAuftraege[Datum Einnahmen],"&gt;="&amp;Q$5,tblAuftraege[Datum Einnahmen],"&lt;"&amp;EDATE(Q$5,1),tblAuftraege[Kostenstelle],$A150))</f>
        <v>0</v>
      </c>
      <c r="R150" s="11" t="n">
        <f aca="false">IF($A150="",0,SUMIFS(tblAuftraege[Einnahmen],tblAuftraege[Datum Einnahmen],"&gt;="&amp;R$5,tblAuftraege[Datum Einnahmen],"&lt;"&amp;EDATE(R$5,1),tblAuftraege[Kostenstelle],$A150))</f>
        <v>0</v>
      </c>
      <c r="S150" s="11" t="n">
        <f aca="false">IF($A150="",0,SUMIFS(tblAuftraege[Einnahmen],tblAuftraege[Datum Einnahmen],"&gt;="&amp;S$5,tblAuftraege[Datum Einnahmen],"&lt;"&amp;EDATE(S$5,1),tblAuftraege[Kostenstelle],$A150))</f>
        <v>0</v>
      </c>
      <c r="T150" s="11" t="n">
        <f aca="false">IF($A150="",0,SUMIFS(tblAuftraege[Einnahmen],tblAuftraege[Datum Einnahmen],"&gt;="&amp;T$5,tblAuftraege[Datum Einnahmen],"&lt;"&amp;EDATE(T$5,1),tblAuftraege[Kostenstelle],$A150))</f>
        <v>0</v>
      </c>
      <c r="U150" s="11" t="n">
        <f aca="false">IF($A150="",0,SUMIFS(tblAuftraege[Einnahmen],tblAuftraege[Datum Einnahmen],"&gt;="&amp;U$5,tblAuftraege[Datum Einnahmen],"&lt;"&amp;EDATE(U$5,1),tblAuftraege[Kostenstelle],$A150))</f>
        <v>0</v>
      </c>
      <c r="V150" s="11" t="n">
        <f aca="false">IF($A150="",0,SUMIFS(tblAuftraege[Einnahmen],tblAuftraege[Datum Einnahmen],"&gt;="&amp;V$5,tblAuftraege[Datum Einnahmen],"&lt;"&amp;EDATE(V$5,1),tblAuftraege[Kostenstelle],$A150))</f>
        <v>0</v>
      </c>
      <c r="W150" s="11" t="n">
        <f aca="false">SUM(E150:J150)</f>
        <v>0</v>
      </c>
      <c r="X150" s="11" t="n">
        <f aca="false">SUM(K150:V150)</f>
        <v>0</v>
      </c>
      <c r="Y150" s="12" t="n">
        <f aca="false">SUM(E150:V150)</f>
        <v>0</v>
      </c>
    </row>
    <row r="151" customFormat="false" ht="15" hidden="false" customHeight="false" outlineLevel="0" collapsed="false">
      <c r="A151" s="9"/>
      <c r="B151" s="15"/>
      <c r="C151" s="15"/>
      <c r="D151" s="15"/>
      <c r="E151" s="11" t="n">
        <f aca="false">IF($A151="",0,SUMIFS(tblAuftraege[Einnahmen],tblAuftraege[Datum Einnahmen],"&gt;="&amp;E$5,tblAuftraege[Datum Einnahmen],"&lt;"&amp;EDATE(E$5,1),tblAuftraege[Kostenstelle],$A151))</f>
        <v>0</v>
      </c>
      <c r="F151" s="11" t="n">
        <f aca="false">IF($A151="",0,SUMIFS(tblAuftraege[Einnahmen],tblAuftraege[Datum Einnahmen],"&gt;="&amp;F$5,tblAuftraege[Datum Einnahmen],"&lt;"&amp;EDATE(F$5,1),tblAuftraege[Kostenstelle],$A151))</f>
        <v>0</v>
      </c>
      <c r="G151" s="11" t="n">
        <f aca="false">IF($A151="",0,SUMIFS(tblAuftraege[Einnahmen],tblAuftraege[Datum Einnahmen],"&gt;="&amp;G$5,tblAuftraege[Datum Einnahmen],"&lt;"&amp;EDATE(G$5,1),tblAuftraege[Kostenstelle],$A151))</f>
        <v>0</v>
      </c>
      <c r="H151" s="11" t="n">
        <f aca="false">IF($A151="",0,SUMIFS(tblAuftraege[Einnahmen],tblAuftraege[Datum Einnahmen],"&gt;="&amp;H$5,tblAuftraege[Datum Einnahmen],"&lt;"&amp;EDATE(H$5,1),tblAuftraege[Kostenstelle],$A151))</f>
        <v>0</v>
      </c>
      <c r="I151" s="11" t="n">
        <f aca="false">IF($A151="",0,SUMIFS(tblAuftraege[Einnahmen],tblAuftraege[Datum Einnahmen],"&gt;="&amp;I$5,tblAuftraege[Datum Einnahmen],"&lt;"&amp;EDATE(I$5,1),tblAuftraege[Kostenstelle],$A151))</f>
        <v>0</v>
      </c>
      <c r="J151" s="11" t="n">
        <f aca="false">IF($A151="",0,SUMIFS(tblAuftraege[Einnahmen],tblAuftraege[Datum Einnahmen],"&gt;="&amp;J$5,tblAuftraege[Datum Einnahmen],"&lt;"&amp;EDATE(J$5,1),tblAuftraege[Kostenstelle],$A151))</f>
        <v>0</v>
      </c>
      <c r="K151" s="11" t="n">
        <f aca="false">IF($A151="",0,SUMIFS(tblAuftraege[Einnahmen],tblAuftraege[Datum Einnahmen],"&gt;="&amp;K$5,tblAuftraege[Datum Einnahmen],"&lt;"&amp;EDATE(K$5,1),tblAuftraege[Kostenstelle],$A151))</f>
        <v>0</v>
      </c>
      <c r="L151" s="11" t="n">
        <f aca="false">IF($A151="",0,SUMIFS(tblAuftraege[Einnahmen],tblAuftraege[Datum Einnahmen],"&gt;="&amp;L$5,tblAuftraege[Datum Einnahmen],"&lt;"&amp;EDATE(L$5,1),tblAuftraege[Kostenstelle],$A151))</f>
        <v>0</v>
      </c>
      <c r="M151" s="11" t="n">
        <f aca="false">IF($A151="",0,SUMIFS(tblAuftraege[Einnahmen],tblAuftraege[Datum Einnahmen],"&gt;="&amp;M$5,tblAuftraege[Datum Einnahmen],"&lt;"&amp;EDATE(M$5,1),tblAuftraege[Kostenstelle],$A151))</f>
        <v>0</v>
      </c>
      <c r="N151" s="11" t="n">
        <f aca="false">IF($A151="",0,SUMIFS(tblAuftraege[Einnahmen],tblAuftraege[Datum Einnahmen],"&gt;="&amp;N$5,tblAuftraege[Datum Einnahmen],"&lt;"&amp;EDATE(N$5,1),tblAuftraege[Kostenstelle],$A151))</f>
        <v>0</v>
      </c>
      <c r="O151" s="11" t="n">
        <f aca="false">IF($A151="",0,SUMIFS(tblAuftraege[Einnahmen],tblAuftraege[Datum Einnahmen],"&gt;="&amp;O$5,tblAuftraege[Datum Einnahmen],"&lt;"&amp;EDATE(O$5,1),tblAuftraege[Kostenstelle],$A151))</f>
        <v>0</v>
      </c>
      <c r="P151" s="11" t="n">
        <f aca="false">IF($A151="",0,SUMIFS(tblAuftraege[Einnahmen],tblAuftraege[Datum Einnahmen],"&gt;="&amp;P$5,tblAuftraege[Datum Einnahmen],"&lt;"&amp;EDATE(P$5,1),tblAuftraege[Kostenstelle],$A151))</f>
        <v>0</v>
      </c>
      <c r="Q151" s="11" t="n">
        <f aca="false">IF($A151="",0,SUMIFS(tblAuftraege[Einnahmen],tblAuftraege[Datum Einnahmen],"&gt;="&amp;Q$5,tblAuftraege[Datum Einnahmen],"&lt;"&amp;EDATE(Q$5,1),tblAuftraege[Kostenstelle],$A151))</f>
        <v>0</v>
      </c>
      <c r="R151" s="11" t="n">
        <f aca="false">IF($A151="",0,SUMIFS(tblAuftraege[Einnahmen],tblAuftraege[Datum Einnahmen],"&gt;="&amp;R$5,tblAuftraege[Datum Einnahmen],"&lt;"&amp;EDATE(R$5,1),tblAuftraege[Kostenstelle],$A151))</f>
        <v>0</v>
      </c>
      <c r="S151" s="11" t="n">
        <f aca="false">IF($A151="",0,SUMIFS(tblAuftraege[Einnahmen],tblAuftraege[Datum Einnahmen],"&gt;="&amp;S$5,tblAuftraege[Datum Einnahmen],"&lt;"&amp;EDATE(S$5,1),tblAuftraege[Kostenstelle],$A151))</f>
        <v>0</v>
      </c>
      <c r="T151" s="11" t="n">
        <f aca="false">IF($A151="",0,SUMIFS(tblAuftraege[Einnahmen],tblAuftraege[Datum Einnahmen],"&gt;="&amp;T$5,tblAuftraege[Datum Einnahmen],"&lt;"&amp;EDATE(T$5,1),tblAuftraege[Kostenstelle],$A151))</f>
        <v>0</v>
      </c>
      <c r="U151" s="11" t="n">
        <f aca="false">IF($A151="",0,SUMIFS(tblAuftraege[Einnahmen],tblAuftraege[Datum Einnahmen],"&gt;="&amp;U$5,tblAuftraege[Datum Einnahmen],"&lt;"&amp;EDATE(U$5,1),tblAuftraege[Kostenstelle],$A151))</f>
        <v>0</v>
      </c>
      <c r="V151" s="11" t="n">
        <f aca="false">IF($A151="",0,SUMIFS(tblAuftraege[Einnahmen],tblAuftraege[Datum Einnahmen],"&gt;="&amp;V$5,tblAuftraege[Datum Einnahmen],"&lt;"&amp;EDATE(V$5,1),tblAuftraege[Kostenstelle],$A151))</f>
        <v>0</v>
      </c>
      <c r="W151" s="11" t="n">
        <f aca="false">SUM(E151:J151)</f>
        <v>0</v>
      </c>
      <c r="X151" s="11" t="n">
        <f aca="false">SUM(K151:V151)</f>
        <v>0</v>
      </c>
      <c r="Y151" s="12" t="n">
        <f aca="false">SUM(E151:V151)</f>
        <v>0</v>
      </c>
    </row>
    <row r="152" customFormat="false" ht="15" hidden="false" customHeight="false" outlineLevel="0" collapsed="false">
      <c r="A152" s="9"/>
      <c r="B152" s="15"/>
      <c r="C152" s="15"/>
      <c r="D152" s="15"/>
      <c r="E152" s="11" t="n">
        <f aca="false">IF($A152="",0,SUMIFS(tblAuftraege[Einnahmen],tblAuftraege[Datum Einnahmen],"&gt;="&amp;E$5,tblAuftraege[Datum Einnahmen],"&lt;"&amp;EDATE(E$5,1),tblAuftraege[Kostenstelle],$A152))</f>
        <v>0</v>
      </c>
      <c r="F152" s="11" t="n">
        <f aca="false">IF($A152="",0,SUMIFS(tblAuftraege[Einnahmen],tblAuftraege[Datum Einnahmen],"&gt;="&amp;F$5,tblAuftraege[Datum Einnahmen],"&lt;"&amp;EDATE(F$5,1),tblAuftraege[Kostenstelle],$A152))</f>
        <v>0</v>
      </c>
      <c r="G152" s="11" t="n">
        <f aca="false">IF($A152="",0,SUMIFS(tblAuftraege[Einnahmen],tblAuftraege[Datum Einnahmen],"&gt;="&amp;G$5,tblAuftraege[Datum Einnahmen],"&lt;"&amp;EDATE(G$5,1),tblAuftraege[Kostenstelle],$A152))</f>
        <v>0</v>
      </c>
      <c r="H152" s="11" t="n">
        <f aca="false">IF($A152="",0,SUMIFS(tblAuftraege[Einnahmen],tblAuftraege[Datum Einnahmen],"&gt;="&amp;H$5,tblAuftraege[Datum Einnahmen],"&lt;"&amp;EDATE(H$5,1),tblAuftraege[Kostenstelle],$A152))</f>
        <v>0</v>
      </c>
      <c r="I152" s="11" t="n">
        <f aca="false">IF($A152="",0,SUMIFS(tblAuftraege[Einnahmen],tblAuftraege[Datum Einnahmen],"&gt;="&amp;I$5,tblAuftraege[Datum Einnahmen],"&lt;"&amp;EDATE(I$5,1),tblAuftraege[Kostenstelle],$A152))</f>
        <v>0</v>
      </c>
      <c r="J152" s="11" t="n">
        <f aca="false">IF($A152="",0,SUMIFS(tblAuftraege[Einnahmen],tblAuftraege[Datum Einnahmen],"&gt;="&amp;J$5,tblAuftraege[Datum Einnahmen],"&lt;"&amp;EDATE(J$5,1),tblAuftraege[Kostenstelle],$A152))</f>
        <v>0</v>
      </c>
      <c r="K152" s="11" t="n">
        <f aca="false">IF($A152="",0,SUMIFS(tblAuftraege[Einnahmen],tblAuftraege[Datum Einnahmen],"&gt;="&amp;K$5,tblAuftraege[Datum Einnahmen],"&lt;"&amp;EDATE(K$5,1),tblAuftraege[Kostenstelle],$A152))</f>
        <v>0</v>
      </c>
      <c r="L152" s="11" t="n">
        <f aca="false">IF($A152="",0,SUMIFS(tblAuftraege[Einnahmen],tblAuftraege[Datum Einnahmen],"&gt;="&amp;L$5,tblAuftraege[Datum Einnahmen],"&lt;"&amp;EDATE(L$5,1),tblAuftraege[Kostenstelle],$A152))</f>
        <v>0</v>
      </c>
      <c r="M152" s="11" t="n">
        <f aca="false">IF($A152="",0,SUMIFS(tblAuftraege[Einnahmen],tblAuftraege[Datum Einnahmen],"&gt;="&amp;M$5,tblAuftraege[Datum Einnahmen],"&lt;"&amp;EDATE(M$5,1),tblAuftraege[Kostenstelle],$A152))</f>
        <v>0</v>
      </c>
      <c r="N152" s="11" t="n">
        <f aca="false">IF($A152="",0,SUMIFS(tblAuftraege[Einnahmen],tblAuftraege[Datum Einnahmen],"&gt;="&amp;N$5,tblAuftraege[Datum Einnahmen],"&lt;"&amp;EDATE(N$5,1),tblAuftraege[Kostenstelle],$A152))</f>
        <v>0</v>
      </c>
      <c r="O152" s="11" t="n">
        <f aca="false">IF($A152="",0,SUMIFS(tblAuftraege[Einnahmen],tblAuftraege[Datum Einnahmen],"&gt;="&amp;O$5,tblAuftraege[Datum Einnahmen],"&lt;"&amp;EDATE(O$5,1),tblAuftraege[Kostenstelle],$A152))</f>
        <v>0</v>
      </c>
      <c r="P152" s="11" t="n">
        <f aca="false">IF($A152="",0,SUMIFS(tblAuftraege[Einnahmen],tblAuftraege[Datum Einnahmen],"&gt;="&amp;P$5,tblAuftraege[Datum Einnahmen],"&lt;"&amp;EDATE(P$5,1),tblAuftraege[Kostenstelle],$A152))</f>
        <v>0</v>
      </c>
      <c r="Q152" s="11" t="n">
        <f aca="false">IF($A152="",0,SUMIFS(tblAuftraege[Einnahmen],tblAuftraege[Datum Einnahmen],"&gt;="&amp;Q$5,tblAuftraege[Datum Einnahmen],"&lt;"&amp;EDATE(Q$5,1),tblAuftraege[Kostenstelle],$A152))</f>
        <v>0</v>
      </c>
      <c r="R152" s="11" t="n">
        <f aca="false">IF($A152="",0,SUMIFS(tblAuftraege[Einnahmen],tblAuftraege[Datum Einnahmen],"&gt;="&amp;R$5,tblAuftraege[Datum Einnahmen],"&lt;"&amp;EDATE(R$5,1),tblAuftraege[Kostenstelle],$A152))</f>
        <v>0</v>
      </c>
      <c r="S152" s="11" t="n">
        <f aca="false">IF($A152="",0,SUMIFS(tblAuftraege[Einnahmen],tblAuftraege[Datum Einnahmen],"&gt;="&amp;S$5,tblAuftraege[Datum Einnahmen],"&lt;"&amp;EDATE(S$5,1),tblAuftraege[Kostenstelle],$A152))</f>
        <v>0</v>
      </c>
      <c r="T152" s="11" t="n">
        <f aca="false">IF($A152="",0,SUMIFS(tblAuftraege[Einnahmen],tblAuftraege[Datum Einnahmen],"&gt;="&amp;T$5,tblAuftraege[Datum Einnahmen],"&lt;"&amp;EDATE(T$5,1),tblAuftraege[Kostenstelle],$A152))</f>
        <v>0</v>
      </c>
      <c r="U152" s="11" t="n">
        <f aca="false">IF($A152="",0,SUMIFS(tblAuftraege[Einnahmen],tblAuftraege[Datum Einnahmen],"&gt;="&amp;U$5,tblAuftraege[Datum Einnahmen],"&lt;"&amp;EDATE(U$5,1),tblAuftraege[Kostenstelle],$A152))</f>
        <v>0</v>
      </c>
      <c r="V152" s="11" t="n">
        <f aca="false">IF($A152="",0,SUMIFS(tblAuftraege[Einnahmen],tblAuftraege[Datum Einnahmen],"&gt;="&amp;V$5,tblAuftraege[Datum Einnahmen],"&lt;"&amp;EDATE(V$5,1),tblAuftraege[Kostenstelle],$A152))</f>
        <v>0</v>
      </c>
      <c r="W152" s="11" t="n">
        <f aca="false">SUM(E152:J152)</f>
        <v>0</v>
      </c>
      <c r="X152" s="11" t="n">
        <f aca="false">SUM(K152:V152)</f>
        <v>0</v>
      </c>
      <c r="Y152" s="12" t="n">
        <f aca="false">SUM(E152:V152)</f>
        <v>0</v>
      </c>
    </row>
    <row r="153" customFormat="false" ht="15" hidden="false" customHeight="false" outlineLevel="0" collapsed="false">
      <c r="A153" s="9"/>
      <c r="B153" s="15"/>
      <c r="C153" s="15"/>
      <c r="D153" s="15"/>
      <c r="E153" s="11" t="n">
        <f aca="false">IF($A153="",0,SUMIFS(tblAuftraege[Einnahmen],tblAuftraege[Datum Einnahmen],"&gt;="&amp;E$5,tblAuftraege[Datum Einnahmen],"&lt;"&amp;EDATE(E$5,1),tblAuftraege[Kostenstelle],$A153))</f>
        <v>0</v>
      </c>
      <c r="F153" s="11" t="n">
        <f aca="false">IF($A153="",0,SUMIFS(tblAuftraege[Einnahmen],tblAuftraege[Datum Einnahmen],"&gt;="&amp;F$5,tblAuftraege[Datum Einnahmen],"&lt;"&amp;EDATE(F$5,1),tblAuftraege[Kostenstelle],$A153))</f>
        <v>0</v>
      </c>
      <c r="G153" s="11" t="n">
        <f aca="false">IF($A153="",0,SUMIFS(tblAuftraege[Einnahmen],tblAuftraege[Datum Einnahmen],"&gt;="&amp;G$5,tblAuftraege[Datum Einnahmen],"&lt;"&amp;EDATE(G$5,1),tblAuftraege[Kostenstelle],$A153))</f>
        <v>0</v>
      </c>
      <c r="H153" s="11" t="n">
        <f aca="false">IF($A153="",0,SUMIFS(tblAuftraege[Einnahmen],tblAuftraege[Datum Einnahmen],"&gt;="&amp;H$5,tblAuftraege[Datum Einnahmen],"&lt;"&amp;EDATE(H$5,1),tblAuftraege[Kostenstelle],$A153))</f>
        <v>0</v>
      </c>
      <c r="I153" s="11" t="n">
        <f aca="false">IF($A153="",0,SUMIFS(tblAuftraege[Einnahmen],tblAuftraege[Datum Einnahmen],"&gt;="&amp;I$5,tblAuftraege[Datum Einnahmen],"&lt;"&amp;EDATE(I$5,1),tblAuftraege[Kostenstelle],$A153))</f>
        <v>0</v>
      </c>
      <c r="J153" s="11" t="n">
        <f aca="false">IF($A153="",0,SUMIFS(tblAuftraege[Einnahmen],tblAuftraege[Datum Einnahmen],"&gt;="&amp;J$5,tblAuftraege[Datum Einnahmen],"&lt;"&amp;EDATE(J$5,1),tblAuftraege[Kostenstelle],$A153))</f>
        <v>0</v>
      </c>
      <c r="K153" s="11" t="n">
        <f aca="false">IF($A153="",0,SUMIFS(tblAuftraege[Einnahmen],tblAuftraege[Datum Einnahmen],"&gt;="&amp;K$5,tblAuftraege[Datum Einnahmen],"&lt;"&amp;EDATE(K$5,1),tblAuftraege[Kostenstelle],$A153))</f>
        <v>0</v>
      </c>
      <c r="L153" s="11" t="n">
        <f aca="false">IF($A153="",0,SUMIFS(tblAuftraege[Einnahmen],tblAuftraege[Datum Einnahmen],"&gt;="&amp;L$5,tblAuftraege[Datum Einnahmen],"&lt;"&amp;EDATE(L$5,1),tblAuftraege[Kostenstelle],$A153))</f>
        <v>0</v>
      </c>
      <c r="M153" s="11" t="n">
        <f aca="false">IF($A153="",0,SUMIFS(tblAuftraege[Einnahmen],tblAuftraege[Datum Einnahmen],"&gt;="&amp;M$5,tblAuftraege[Datum Einnahmen],"&lt;"&amp;EDATE(M$5,1),tblAuftraege[Kostenstelle],$A153))</f>
        <v>0</v>
      </c>
      <c r="N153" s="11" t="n">
        <f aca="false">IF($A153="",0,SUMIFS(tblAuftraege[Einnahmen],tblAuftraege[Datum Einnahmen],"&gt;="&amp;N$5,tblAuftraege[Datum Einnahmen],"&lt;"&amp;EDATE(N$5,1),tblAuftraege[Kostenstelle],$A153))</f>
        <v>0</v>
      </c>
      <c r="O153" s="11" t="n">
        <f aca="false">IF($A153="",0,SUMIFS(tblAuftraege[Einnahmen],tblAuftraege[Datum Einnahmen],"&gt;="&amp;O$5,tblAuftraege[Datum Einnahmen],"&lt;"&amp;EDATE(O$5,1),tblAuftraege[Kostenstelle],$A153))</f>
        <v>0</v>
      </c>
      <c r="P153" s="11" t="n">
        <f aca="false">IF($A153="",0,SUMIFS(tblAuftraege[Einnahmen],tblAuftraege[Datum Einnahmen],"&gt;="&amp;P$5,tblAuftraege[Datum Einnahmen],"&lt;"&amp;EDATE(P$5,1),tblAuftraege[Kostenstelle],$A153))</f>
        <v>0</v>
      </c>
      <c r="Q153" s="11" t="n">
        <f aca="false">IF($A153="",0,SUMIFS(tblAuftraege[Einnahmen],tblAuftraege[Datum Einnahmen],"&gt;="&amp;Q$5,tblAuftraege[Datum Einnahmen],"&lt;"&amp;EDATE(Q$5,1),tblAuftraege[Kostenstelle],$A153))</f>
        <v>0</v>
      </c>
      <c r="R153" s="11" t="n">
        <f aca="false">IF($A153="",0,SUMIFS(tblAuftraege[Einnahmen],tblAuftraege[Datum Einnahmen],"&gt;="&amp;R$5,tblAuftraege[Datum Einnahmen],"&lt;"&amp;EDATE(R$5,1),tblAuftraege[Kostenstelle],$A153))</f>
        <v>0</v>
      </c>
      <c r="S153" s="11" t="n">
        <f aca="false">IF($A153="",0,SUMIFS(tblAuftraege[Einnahmen],tblAuftraege[Datum Einnahmen],"&gt;="&amp;S$5,tblAuftraege[Datum Einnahmen],"&lt;"&amp;EDATE(S$5,1),tblAuftraege[Kostenstelle],$A153))</f>
        <v>0</v>
      </c>
      <c r="T153" s="11" t="n">
        <f aca="false">IF($A153="",0,SUMIFS(tblAuftraege[Einnahmen],tblAuftraege[Datum Einnahmen],"&gt;="&amp;T$5,tblAuftraege[Datum Einnahmen],"&lt;"&amp;EDATE(T$5,1),tblAuftraege[Kostenstelle],$A153))</f>
        <v>0</v>
      </c>
      <c r="U153" s="11" t="n">
        <f aca="false">IF($A153="",0,SUMIFS(tblAuftraege[Einnahmen],tblAuftraege[Datum Einnahmen],"&gt;="&amp;U$5,tblAuftraege[Datum Einnahmen],"&lt;"&amp;EDATE(U$5,1),tblAuftraege[Kostenstelle],$A153))</f>
        <v>0</v>
      </c>
      <c r="V153" s="11" t="n">
        <f aca="false">IF($A153="",0,SUMIFS(tblAuftraege[Einnahmen],tblAuftraege[Datum Einnahmen],"&gt;="&amp;V$5,tblAuftraege[Datum Einnahmen],"&lt;"&amp;EDATE(V$5,1),tblAuftraege[Kostenstelle],$A153))</f>
        <v>0</v>
      </c>
      <c r="W153" s="11" t="n">
        <f aca="false">SUM(E153:J153)</f>
        <v>0</v>
      </c>
      <c r="X153" s="11" t="n">
        <f aca="false">SUM(K153:V153)</f>
        <v>0</v>
      </c>
      <c r="Y153" s="12" t="n">
        <f aca="false">SUM(E153:V153)</f>
        <v>0</v>
      </c>
    </row>
    <row r="154" customFormat="false" ht="15" hidden="false" customHeight="false" outlineLevel="0" collapsed="false">
      <c r="A154" s="9"/>
      <c r="B154" s="15"/>
      <c r="C154" s="15"/>
      <c r="D154" s="15"/>
      <c r="E154" s="11" t="n">
        <f aca="false">IF($A154="",0,SUMIFS(tblAuftraege[Einnahmen],tblAuftraege[Datum Einnahmen],"&gt;="&amp;E$5,tblAuftraege[Datum Einnahmen],"&lt;"&amp;EDATE(E$5,1),tblAuftraege[Kostenstelle],$A154))</f>
        <v>0</v>
      </c>
      <c r="F154" s="11" t="n">
        <f aca="false">IF($A154="",0,SUMIFS(tblAuftraege[Einnahmen],tblAuftraege[Datum Einnahmen],"&gt;="&amp;F$5,tblAuftraege[Datum Einnahmen],"&lt;"&amp;EDATE(F$5,1),tblAuftraege[Kostenstelle],$A154))</f>
        <v>0</v>
      </c>
      <c r="G154" s="11" t="n">
        <f aca="false">IF($A154="",0,SUMIFS(tblAuftraege[Einnahmen],tblAuftraege[Datum Einnahmen],"&gt;="&amp;G$5,tblAuftraege[Datum Einnahmen],"&lt;"&amp;EDATE(G$5,1),tblAuftraege[Kostenstelle],$A154))</f>
        <v>0</v>
      </c>
      <c r="H154" s="11" t="n">
        <f aca="false">IF($A154="",0,SUMIFS(tblAuftraege[Einnahmen],tblAuftraege[Datum Einnahmen],"&gt;="&amp;H$5,tblAuftraege[Datum Einnahmen],"&lt;"&amp;EDATE(H$5,1),tblAuftraege[Kostenstelle],$A154))</f>
        <v>0</v>
      </c>
      <c r="I154" s="11" t="n">
        <f aca="false">IF($A154="",0,SUMIFS(tblAuftraege[Einnahmen],tblAuftraege[Datum Einnahmen],"&gt;="&amp;I$5,tblAuftraege[Datum Einnahmen],"&lt;"&amp;EDATE(I$5,1),tblAuftraege[Kostenstelle],$A154))</f>
        <v>0</v>
      </c>
      <c r="J154" s="11" t="n">
        <f aca="false">IF($A154="",0,SUMIFS(tblAuftraege[Einnahmen],tblAuftraege[Datum Einnahmen],"&gt;="&amp;J$5,tblAuftraege[Datum Einnahmen],"&lt;"&amp;EDATE(J$5,1),tblAuftraege[Kostenstelle],$A154))</f>
        <v>0</v>
      </c>
      <c r="K154" s="11" t="n">
        <f aca="false">IF($A154="",0,SUMIFS(tblAuftraege[Einnahmen],tblAuftraege[Datum Einnahmen],"&gt;="&amp;K$5,tblAuftraege[Datum Einnahmen],"&lt;"&amp;EDATE(K$5,1),tblAuftraege[Kostenstelle],$A154))</f>
        <v>0</v>
      </c>
      <c r="L154" s="11" t="n">
        <f aca="false">IF($A154="",0,SUMIFS(tblAuftraege[Einnahmen],tblAuftraege[Datum Einnahmen],"&gt;="&amp;L$5,tblAuftraege[Datum Einnahmen],"&lt;"&amp;EDATE(L$5,1),tblAuftraege[Kostenstelle],$A154))</f>
        <v>0</v>
      </c>
      <c r="M154" s="11" t="n">
        <f aca="false">IF($A154="",0,SUMIFS(tblAuftraege[Einnahmen],tblAuftraege[Datum Einnahmen],"&gt;="&amp;M$5,tblAuftraege[Datum Einnahmen],"&lt;"&amp;EDATE(M$5,1),tblAuftraege[Kostenstelle],$A154))</f>
        <v>0</v>
      </c>
      <c r="N154" s="11" t="n">
        <f aca="false">IF($A154="",0,SUMIFS(tblAuftraege[Einnahmen],tblAuftraege[Datum Einnahmen],"&gt;="&amp;N$5,tblAuftraege[Datum Einnahmen],"&lt;"&amp;EDATE(N$5,1),tblAuftraege[Kostenstelle],$A154))</f>
        <v>0</v>
      </c>
      <c r="O154" s="11" t="n">
        <f aca="false">IF($A154="",0,SUMIFS(tblAuftraege[Einnahmen],tblAuftraege[Datum Einnahmen],"&gt;="&amp;O$5,tblAuftraege[Datum Einnahmen],"&lt;"&amp;EDATE(O$5,1),tblAuftraege[Kostenstelle],$A154))</f>
        <v>0</v>
      </c>
      <c r="P154" s="11" t="n">
        <f aca="false">IF($A154="",0,SUMIFS(tblAuftraege[Einnahmen],tblAuftraege[Datum Einnahmen],"&gt;="&amp;P$5,tblAuftraege[Datum Einnahmen],"&lt;"&amp;EDATE(P$5,1),tblAuftraege[Kostenstelle],$A154))</f>
        <v>0</v>
      </c>
      <c r="Q154" s="11" t="n">
        <f aca="false">IF($A154="",0,SUMIFS(tblAuftraege[Einnahmen],tblAuftraege[Datum Einnahmen],"&gt;="&amp;Q$5,tblAuftraege[Datum Einnahmen],"&lt;"&amp;EDATE(Q$5,1),tblAuftraege[Kostenstelle],$A154))</f>
        <v>0</v>
      </c>
      <c r="R154" s="11" t="n">
        <f aca="false">IF($A154="",0,SUMIFS(tblAuftraege[Einnahmen],tblAuftraege[Datum Einnahmen],"&gt;="&amp;R$5,tblAuftraege[Datum Einnahmen],"&lt;"&amp;EDATE(R$5,1),tblAuftraege[Kostenstelle],$A154))</f>
        <v>0</v>
      </c>
      <c r="S154" s="11" t="n">
        <f aca="false">IF($A154="",0,SUMIFS(tblAuftraege[Einnahmen],tblAuftraege[Datum Einnahmen],"&gt;="&amp;S$5,tblAuftraege[Datum Einnahmen],"&lt;"&amp;EDATE(S$5,1),tblAuftraege[Kostenstelle],$A154))</f>
        <v>0</v>
      </c>
      <c r="T154" s="11" t="n">
        <f aca="false">IF($A154="",0,SUMIFS(tblAuftraege[Einnahmen],tblAuftraege[Datum Einnahmen],"&gt;="&amp;T$5,tblAuftraege[Datum Einnahmen],"&lt;"&amp;EDATE(T$5,1),tblAuftraege[Kostenstelle],$A154))</f>
        <v>0</v>
      </c>
      <c r="U154" s="11" t="n">
        <f aca="false">IF($A154="",0,SUMIFS(tblAuftraege[Einnahmen],tblAuftraege[Datum Einnahmen],"&gt;="&amp;U$5,tblAuftraege[Datum Einnahmen],"&lt;"&amp;EDATE(U$5,1),tblAuftraege[Kostenstelle],$A154))</f>
        <v>0</v>
      </c>
      <c r="V154" s="11" t="n">
        <f aca="false">IF($A154="",0,SUMIFS(tblAuftraege[Einnahmen],tblAuftraege[Datum Einnahmen],"&gt;="&amp;V$5,tblAuftraege[Datum Einnahmen],"&lt;"&amp;EDATE(V$5,1),tblAuftraege[Kostenstelle],$A154))</f>
        <v>0</v>
      </c>
      <c r="W154" s="11" t="n">
        <f aca="false">SUM(E154:J154)</f>
        <v>0</v>
      </c>
      <c r="X154" s="11" t="n">
        <f aca="false">SUM(K154:V154)</f>
        <v>0</v>
      </c>
      <c r="Y154" s="12" t="n">
        <f aca="false">SUM(E154:V154)</f>
        <v>0</v>
      </c>
    </row>
    <row r="155" customFormat="false" ht="15" hidden="false" customHeight="false" outlineLevel="0" collapsed="false">
      <c r="A155" s="9"/>
      <c r="B155" s="15"/>
      <c r="C155" s="15"/>
      <c r="D155" s="15"/>
      <c r="E155" s="11" t="n">
        <f aca="false">IF($A155="",0,SUMIFS(tblAuftraege[Einnahmen],tblAuftraege[Datum Einnahmen],"&gt;="&amp;E$5,tblAuftraege[Datum Einnahmen],"&lt;"&amp;EDATE(E$5,1),tblAuftraege[Kostenstelle],$A155))</f>
        <v>0</v>
      </c>
      <c r="F155" s="11" t="n">
        <f aca="false">IF($A155="",0,SUMIFS(tblAuftraege[Einnahmen],tblAuftraege[Datum Einnahmen],"&gt;="&amp;F$5,tblAuftraege[Datum Einnahmen],"&lt;"&amp;EDATE(F$5,1),tblAuftraege[Kostenstelle],$A155))</f>
        <v>0</v>
      </c>
      <c r="G155" s="11" t="n">
        <f aca="false">IF($A155="",0,SUMIFS(tblAuftraege[Einnahmen],tblAuftraege[Datum Einnahmen],"&gt;="&amp;G$5,tblAuftraege[Datum Einnahmen],"&lt;"&amp;EDATE(G$5,1),tblAuftraege[Kostenstelle],$A155))</f>
        <v>0</v>
      </c>
      <c r="H155" s="11" t="n">
        <f aca="false">IF($A155="",0,SUMIFS(tblAuftraege[Einnahmen],tblAuftraege[Datum Einnahmen],"&gt;="&amp;H$5,tblAuftraege[Datum Einnahmen],"&lt;"&amp;EDATE(H$5,1),tblAuftraege[Kostenstelle],$A155))</f>
        <v>0</v>
      </c>
      <c r="I155" s="11" t="n">
        <f aca="false">IF($A155="",0,SUMIFS(tblAuftraege[Einnahmen],tblAuftraege[Datum Einnahmen],"&gt;="&amp;I$5,tblAuftraege[Datum Einnahmen],"&lt;"&amp;EDATE(I$5,1),tblAuftraege[Kostenstelle],$A155))</f>
        <v>0</v>
      </c>
      <c r="J155" s="11" t="n">
        <f aca="false">IF($A155="",0,SUMIFS(tblAuftraege[Einnahmen],tblAuftraege[Datum Einnahmen],"&gt;="&amp;J$5,tblAuftraege[Datum Einnahmen],"&lt;"&amp;EDATE(J$5,1),tblAuftraege[Kostenstelle],$A155))</f>
        <v>0</v>
      </c>
      <c r="K155" s="11" t="n">
        <f aca="false">IF($A155="",0,SUMIFS(tblAuftraege[Einnahmen],tblAuftraege[Datum Einnahmen],"&gt;="&amp;K$5,tblAuftraege[Datum Einnahmen],"&lt;"&amp;EDATE(K$5,1),tblAuftraege[Kostenstelle],$A155))</f>
        <v>0</v>
      </c>
      <c r="L155" s="11" t="n">
        <f aca="false">IF($A155="",0,SUMIFS(tblAuftraege[Einnahmen],tblAuftraege[Datum Einnahmen],"&gt;="&amp;L$5,tblAuftraege[Datum Einnahmen],"&lt;"&amp;EDATE(L$5,1),tblAuftraege[Kostenstelle],$A155))</f>
        <v>0</v>
      </c>
      <c r="M155" s="11" t="n">
        <f aca="false">IF($A155="",0,SUMIFS(tblAuftraege[Einnahmen],tblAuftraege[Datum Einnahmen],"&gt;="&amp;M$5,tblAuftraege[Datum Einnahmen],"&lt;"&amp;EDATE(M$5,1),tblAuftraege[Kostenstelle],$A155))</f>
        <v>0</v>
      </c>
      <c r="N155" s="11" t="n">
        <f aca="false">IF($A155="",0,SUMIFS(tblAuftraege[Einnahmen],tblAuftraege[Datum Einnahmen],"&gt;="&amp;N$5,tblAuftraege[Datum Einnahmen],"&lt;"&amp;EDATE(N$5,1),tblAuftraege[Kostenstelle],$A155))</f>
        <v>0</v>
      </c>
      <c r="O155" s="11" t="n">
        <f aca="false">IF($A155="",0,SUMIFS(tblAuftraege[Einnahmen],tblAuftraege[Datum Einnahmen],"&gt;="&amp;O$5,tblAuftraege[Datum Einnahmen],"&lt;"&amp;EDATE(O$5,1),tblAuftraege[Kostenstelle],$A155))</f>
        <v>0</v>
      </c>
      <c r="P155" s="11" t="n">
        <f aca="false">IF($A155="",0,SUMIFS(tblAuftraege[Einnahmen],tblAuftraege[Datum Einnahmen],"&gt;="&amp;P$5,tblAuftraege[Datum Einnahmen],"&lt;"&amp;EDATE(P$5,1),tblAuftraege[Kostenstelle],$A155))</f>
        <v>0</v>
      </c>
      <c r="Q155" s="11" t="n">
        <f aca="false">IF($A155="",0,SUMIFS(tblAuftraege[Einnahmen],tblAuftraege[Datum Einnahmen],"&gt;="&amp;Q$5,tblAuftraege[Datum Einnahmen],"&lt;"&amp;EDATE(Q$5,1),tblAuftraege[Kostenstelle],$A155))</f>
        <v>0</v>
      </c>
      <c r="R155" s="11" t="n">
        <f aca="false">IF($A155="",0,SUMIFS(tblAuftraege[Einnahmen],tblAuftraege[Datum Einnahmen],"&gt;="&amp;R$5,tblAuftraege[Datum Einnahmen],"&lt;"&amp;EDATE(R$5,1),tblAuftraege[Kostenstelle],$A155))</f>
        <v>0</v>
      </c>
      <c r="S155" s="11" t="n">
        <f aca="false">IF($A155="",0,SUMIFS(tblAuftraege[Einnahmen],tblAuftraege[Datum Einnahmen],"&gt;="&amp;S$5,tblAuftraege[Datum Einnahmen],"&lt;"&amp;EDATE(S$5,1),tblAuftraege[Kostenstelle],$A155))</f>
        <v>0</v>
      </c>
      <c r="T155" s="11" t="n">
        <f aca="false">IF($A155="",0,SUMIFS(tblAuftraege[Einnahmen],tblAuftraege[Datum Einnahmen],"&gt;="&amp;T$5,tblAuftraege[Datum Einnahmen],"&lt;"&amp;EDATE(T$5,1),tblAuftraege[Kostenstelle],$A155))</f>
        <v>0</v>
      </c>
      <c r="U155" s="11" t="n">
        <f aca="false">IF($A155="",0,SUMIFS(tblAuftraege[Einnahmen],tblAuftraege[Datum Einnahmen],"&gt;="&amp;U$5,tblAuftraege[Datum Einnahmen],"&lt;"&amp;EDATE(U$5,1),tblAuftraege[Kostenstelle],$A155))</f>
        <v>0</v>
      </c>
      <c r="V155" s="11" t="n">
        <f aca="false">IF($A155="",0,SUMIFS(tblAuftraege[Einnahmen],tblAuftraege[Datum Einnahmen],"&gt;="&amp;V$5,tblAuftraege[Datum Einnahmen],"&lt;"&amp;EDATE(V$5,1),tblAuftraege[Kostenstelle],$A155))</f>
        <v>0</v>
      </c>
      <c r="W155" s="11" t="n">
        <f aca="false">SUM(E155:J155)</f>
        <v>0</v>
      </c>
      <c r="X155" s="11" t="n">
        <f aca="false">SUM(K155:V155)</f>
        <v>0</v>
      </c>
      <c r="Y155" s="12" t="n">
        <f aca="false">SUM(E155:V155)</f>
        <v>0</v>
      </c>
    </row>
    <row r="156" customFormat="false" ht="15" hidden="false" customHeight="false" outlineLevel="0" collapsed="false">
      <c r="A156" s="9"/>
      <c r="B156" s="15"/>
      <c r="C156" s="15"/>
      <c r="D156" s="15"/>
      <c r="E156" s="11" t="n">
        <f aca="false">IF($A156="",0,SUMIFS(tblAuftraege[Einnahmen],tblAuftraege[Datum Einnahmen],"&gt;="&amp;E$5,tblAuftraege[Datum Einnahmen],"&lt;"&amp;EDATE(E$5,1),tblAuftraege[Kostenstelle],$A156))</f>
        <v>0</v>
      </c>
      <c r="F156" s="11" t="n">
        <f aca="false">IF($A156="",0,SUMIFS(tblAuftraege[Einnahmen],tblAuftraege[Datum Einnahmen],"&gt;="&amp;F$5,tblAuftraege[Datum Einnahmen],"&lt;"&amp;EDATE(F$5,1),tblAuftraege[Kostenstelle],$A156))</f>
        <v>0</v>
      </c>
      <c r="G156" s="11" t="n">
        <f aca="false">IF($A156="",0,SUMIFS(tblAuftraege[Einnahmen],tblAuftraege[Datum Einnahmen],"&gt;="&amp;G$5,tblAuftraege[Datum Einnahmen],"&lt;"&amp;EDATE(G$5,1),tblAuftraege[Kostenstelle],$A156))</f>
        <v>0</v>
      </c>
      <c r="H156" s="11" t="n">
        <f aca="false">IF($A156="",0,SUMIFS(tblAuftraege[Einnahmen],tblAuftraege[Datum Einnahmen],"&gt;="&amp;H$5,tblAuftraege[Datum Einnahmen],"&lt;"&amp;EDATE(H$5,1),tblAuftraege[Kostenstelle],$A156))</f>
        <v>0</v>
      </c>
      <c r="I156" s="11" t="n">
        <f aca="false">IF($A156="",0,SUMIFS(tblAuftraege[Einnahmen],tblAuftraege[Datum Einnahmen],"&gt;="&amp;I$5,tblAuftraege[Datum Einnahmen],"&lt;"&amp;EDATE(I$5,1),tblAuftraege[Kostenstelle],$A156))</f>
        <v>0</v>
      </c>
      <c r="J156" s="11" t="n">
        <f aca="false">IF($A156="",0,SUMIFS(tblAuftraege[Einnahmen],tblAuftraege[Datum Einnahmen],"&gt;="&amp;J$5,tblAuftraege[Datum Einnahmen],"&lt;"&amp;EDATE(J$5,1),tblAuftraege[Kostenstelle],$A156))</f>
        <v>0</v>
      </c>
      <c r="K156" s="11" t="n">
        <f aca="false">IF($A156="",0,SUMIFS(tblAuftraege[Einnahmen],tblAuftraege[Datum Einnahmen],"&gt;="&amp;K$5,tblAuftraege[Datum Einnahmen],"&lt;"&amp;EDATE(K$5,1),tblAuftraege[Kostenstelle],$A156))</f>
        <v>0</v>
      </c>
      <c r="L156" s="11" t="n">
        <f aca="false">IF($A156="",0,SUMIFS(tblAuftraege[Einnahmen],tblAuftraege[Datum Einnahmen],"&gt;="&amp;L$5,tblAuftraege[Datum Einnahmen],"&lt;"&amp;EDATE(L$5,1),tblAuftraege[Kostenstelle],$A156))</f>
        <v>0</v>
      </c>
      <c r="M156" s="11" t="n">
        <f aca="false">IF($A156="",0,SUMIFS(tblAuftraege[Einnahmen],tblAuftraege[Datum Einnahmen],"&gt;="&amp;M$5,tblAuftraege[Datum Einnahmen],"&lt;"&amp;EDATE(M$5,1),tblAuftraege[Kostenstelle],$A156))</f>
        <v>0</v>
      </c>
      <c r="N156" s="11" t="n">
        <f aca="false">IF($A156="",0,SUMIFS(tblAuftraege[Einnahmen],tblAuftraege[Datum Einnahmen],"&gt;="&amp;N$5,tblAuftraege[Datum Einnahmen],"&lt;"&amp;EDATE(N$5,1),tblAuftraege[Kostenstelle],$A156))</f>
        <v>0</v>
      </c>
      <c r="O156" s="11" t="n">
        <f aca="false">IF($A156="",0,SUMIFS(tblAuftraege[Einnahmen],tblAuftraege[Datum Einnahmen],"&gt;="&amp;O$5,tblAuftraege[Datum Einnahmen],"&lt;"&amp;EDATE(O$5,1),tblAuftraege[Kostenstelle],$A156))</f>
        <v>0</v>
      </c>
      <c r="P156" s="11" t="n">
        <f aca="false">IF($A156="",0,SUMIFS(tblAuftraege[Einnahmen],tblAuftraege[Datum Einnahmen],"&gt;="&amp;P$5,tblAuftraege[Datum Einnahmen],"&lt;"&amp;EDATE(P$5,1),tblAuftraege[Kostenstelle],$A156))</f>
        <v>0</v>
      </c>
      <c r="Q156" s="11" t="n">
        <f aca="false">IF($A156="",0,SUMIFS(tblAuftraege[Einnahmen],tblAuftraege[Datum Einnahmen],"&gt;="&amp;Q$5,tblAuftraege[Datum Einnahmen],"&lt;"&amp;EDATE(Q$5,1),tblAuftraege[Kostenstelle],$A156))</f>
        <v>0</v>
      </c>
      <c r="R156" s="11" t="n">
        <f aca="false">IF($A156="",0,SUMIFS(tblAuftraege[Einnahmen],tblAuftraege[Datum Einnahmen],"&gt;="&amp;R$5,tblAuftraege[Datum Einnahmen],"&lt;"&amp;EDATE(R$5,1),tblAuftraege[Kostenstelle],$A156))</f>
        <v>0</v>
      </c>
      <c r="S156" s="11" t="n">
        <f aca="false">IF($A156="",0,SUMIFS(tblAuftraege[Einnahmen],tblAuftraege[Datum Einnahmen],"&gt;="&amp;S$5,tblAuftraege[Datum Einnahmen],"&lt;"&amp;EDATE(S$5,1),tblAuftraege[Kostenstelle],$A156))</f>
        <v>0</v>
      </c>
      <c r="T156" s="11" t="n">
        <f aca="false">IF($A156="",0,SUMIFS(tblAuftraege[Einnahmen],tblAuftraege[Datum Einnahmen],"&gt;="&amp;T$5,tblAuftraege[Datum Einnahmen],"&lt;"&amp;EDATE(T$5,1),tblAuftraege[Kostenstelle],$A156))</f>
        <v>0</v>
      </c>
      <c r="U156" s="11" t="n">
        <f aca="false">IF($A156="",0,SUMIFS(tblAuftraege[Einnahmen],tblAuftraege[Datum Einnahmen],"&gt;="&amp;U$5,tblAuftraege[Datum Einnahmen],"&lt;"&amp;EDATE(U$5,1),tblAuftraege[Kostenstelle],$A156))</f>
        <v>0</v>
      </c>
      <c r="V156" s="11" t="n">
        <f aca="false">IF($A156="",0,SUMIFS(tblAuftraege[Einnahmen],tblAuftraege[Datum Einnahmen],"&gt;="&amp;V$5,tblAuftraege[Datum Einnahmen],"&lt;"&amp;EDATE(V$5,1),tblAuftraege[Kostenstelle],$A156))</f>
        <v>0</v>
      </c>
      <c r="W156" s="11" t="n">
        <f aca="false">SUM(E156:J156)</f>
        <v>0</v>
      </c>
      <c r="X156" s="11" t="n">
        <f aca="false">SUM(K156:V156)</f>
        <v>0</v>
      </c>
      <c r="Y156" s="12" t="n">
        <f aca="false">SUM(E156:V156)</f>
        <v>0</v>
      </c>
    </row>
    <row r="158" customFormat="false" ht="19.5" hidden="false" customHeight="true" outlineLevel="0" collapsed="false">
      <c r="A158" s="7" t="s">
        <v>73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customFormat="false" ht="15" hidden="false" customHeight="false" outlineLevel="0" collapsed="false">
      <c r="A159" s="9" t="s">
        <v>57</v>
      </c>
      <c r="B159" s="24" t="s">
        <v>58</v>
      </c>
      <c r="C159" s="15"/>
      <c r="D159" s="15"/>
      <c r="E159" s="11" t="n">
        <f aca="false">IF($A159="",0,SUMIFS(tblAuftraege[Ausgaben],tblAuftraege[Datum Ausgaben],"&gt;="&amp;E$5,tblAuftraege[Datum Ausgaben],"&lt;"&amp;EDATE(E$5,1),tblAuftraege[Kostenstelle],$A159))</f>
        <v>0</v>
      </c>
      <c r="F159" s="11" t="n">
        <f aca="false">IF($A159="",0,SUMIFS(tblAuftraege[Ausgaben],tblAuftraege[Datum Ausgaben],"&gt;="&amp;F$5,tblAuftraege[Datum Ausgaben],"&lt;"&amp;EDATE(F$5,1),tblAuftraege[Kostenstelle],$A159))</f>
        <v>0</v>
      </c>
      <c r="G159" s="11" t="n">
        <f aca="false">IF($A159="",0,SUMIFS(tblAuftraege[Ausgaben],tblAuftraege[Datum Ausgaben],"&gt;="&amp;G$5,tblAuftraege[Datum Ausgaben],"&lt;"&amp;EDATE(G$5,1),tblAuftraege[Kostenstelle],$A159))</f>
        <v>0</v>
      </c>
      <c r="H159" s="11" t="n">
        <f aca="false">IF($A159="",0,SUMIFS(tblAuftraege[Ausgaben],tblAuftraege[Datum Ausgaben],"&gt;="&amp;H$5,tblAuftraege[Datum Ausgaben],"&lt;"&amp;EDATE(H$5,1),tblAuftraege[Kostenstelle],$A159))</f>
        <v>0</v>
      </c>
      <c r="I159" s="11" t="n">
        <f aca="false">IF($A159="",0,SUMIFS(tblAuftraege[Ausgaben],tblAuftraege[Datum Ausgaben],"&gt;="&amp;I$5,tblAuftraege[Datum Ausgaben],"&lt;"&amp;EDATE(I$5,1),tblAuftraege[Kostenstelle],$A159))</f>
        <v>0</v>
      </c>
      <c r="J159" s="11" t="n">
        <f aca="false">IF($A159="",0,SUMIFS(tblAuftraege[Ausgaben],tblAuftraege[Datum Ausgaben],"&gt;="&amp;J$5,tblAuftraege[Datum Ausgaben],"&lt;"&amp;EDATE(J$5,1),tblAuftraege[Kostenstelle],$A159))</f>
        <v>0</v>
      </c>
      <c r="K159" s="11" t="n">
        <f aca="false">IF($A159="",0,SUMIFS(tblAuftraege[Ausgaben],tblAuftraege[Datum Ausgaben],"&gt;="&amp;K$5,tblAuftraege[Datum Ausgaben],"&lt;"&amp;EDATE(K$5,1),tblAuftraege[Kostenstelle],$A159))</f>
        <v>0</v>
      </c>
      <c r="L159" s="11" t="n">
        <f aca="false">IF($A159="",0,SUMIFS(tblAuftraege[Ausgaben],tblAuftraege[Datum Ausgaben],"&gt;="&amp;L$5,tblAuftraege[Datum Ausgaben],"&lt;"&amp;EDATE(L$5,1),tblAuftraege[Kostenstelle],$A159))</f>
        <v>0</v>
      </c>
      <c r="M159" s="11" t="n">
        <f aca="false">IF($A159="",0,SUMIFS(tblAuftraege[Ausgaben],tblAuftraege[Datum Ausgaben],"&gt;="&amp;M$5,tblAuftraege[Datum Ausgaben],"&lt;"&amp;EDATE(M$5,1),tblAuftraege[Kostenstelle],$A159))</f>
        <v>0</v>
      </c>
      <c r="N159" s="11" t="n">
        <f aca="false">IF($A159="",0,SUMIFS(tblAuftraege[Ausgaben],tblAuftraege[Datum Ausgaben],"&gt;="&amp;N$5,tblAuftraege[Datum Ausgaben],"&lt;"&amp;EDATE(N$5,1),tblAuftraege[Kostenstelle],$A159))</f>
        <v>0</v>
      </c>
      <c r="O159" s="11" t="n">
        <f aca="false">IF($A159="",0,SUMIFS(tblAuftraege[Ausgaben],tblAuftraege[Datum Ausgaben],"&gt;="&amp;O$5,tblAuftraege[Datum Ausgaben],"&lt;"&amp;EDATE(O$5,1),tblAuftraege[Kostenstelle],$A159))</f>
        <v>0</v>
      </c>
      <c r="P159" s="11" t="n">
        <f aca="false">IF($A159="",0,SUMIFS(tblAuftraege[Ausgaben],tblAuftraege[Datum Ausgaben],"&gt;="&amp;P$5,tblAuftraege[Datum Ausgaben],"&lt;"&amp;EDATE(P$5,1),tblAuftraege[Kostenstelle],$A159))</f>
        <v>0</v>
      </c>
      <c r="Q159" s="11" t="n">
        <f aca="false">IF($A159="",0,SUMIFS(tblAuftraege[Ausgaben],tblAuftraege[Datum Ausgaben],"&gt;="&amp;Q$5,tblAuftraege[Datum Ausgaben],"&lt;"&amp;EDATE(Q$5,1),tblAuftraege[Kostenstelle],$A159))</f>
        <v>0</v>
      </c>
      <c r="R159" s="11" t="n">
        <f aca="false">IF($A159="",0,SUMIFS(tblAuftraege[Ausgaben],tblAuftraege[Datum Ausgaben],"&gt;="&amp;R$5,tblAuftraege[Datum Ausgaben],"&lt;"&amp;EDATE(R$5,1),tblAuftraege[Kostenstelle],$A159))</f>
        <v>0</v>
      </c>
      <c r="S159" s="11" t="n">
        <f aca="false">IF($A159="",0,SUMIFS(tblAuftraege[Ausgaben],tblAuftraege[Datum Ausgaben],"&gt;="&amp;S$5,tblAuftraege[Datum Ausgaben],"&lt;"&amp;EDATE(S$5,1),tblAuftraege[Kostenstelle],$A159))</f>
        <v>0</v>
      </c>
      <c r="T159" s="11" t="n">
        <f aca="false">IF($A159="",0,SUMIFS(tblAuftraege[Ausgaben],tblAuftraege[Datum Ausgaben],"&gt;="&amp;T$5,tblAuftraege[Datum Ausgaben],"&lt;"&amp;EDATE(T$5,1),tblAuftraege[Kostenstelle],$A159))</f>
        <v>0</v>
      </c>
      <c r="U159" s="11" t="n">
        <f aca="false">IF($A159="",0,SUMIFS(tblAuftraege[Ausgaben],tblAuftraege[Datum Ausgaben],"&gt;="&amp;U$5,tblAuftraege[Datum Ausgaben],"&lt;"&amp;EDATE(U$5,1),tblAuftraege[Kostenstelle],$A159))</f>
        <v>0</v>
      </c>
      <c r="V159" s="11" t="n">
        <f aca="false">IF($A159="",0,SUMIFS(tblAuftraege[Ausgaben],tblAuftraege[Datum Ausgaben],"&gt;="&amp;V$5,tblAuftraege[Datum Ausgaben],"&lt;"&amp;EDATE(V$5,1),tblAuftraege[Kostenstelle],$A159))</f>
        <v>0</v>
      </c>
      <c r="W159" s="11" t="n">
        <f aca="false">SUM(E159:J159)</f>
        <v>0</v>
      </c>
      <c r="X159" s="11" t="n">
        <f aca="false">SUM(K159:V159)</f>
        <v>0</v>
      </c>
      <c r="Y159" s="12" t="n">
        <f aca="false">SUM(E159:V159)</f>
        <v>0</v>
      </c>
    </row>
    <row r="160" customFormat="false" ht="15" hidden="false" customHeight="false" outlineLevel="0" collapsed="false">
      <c r="A160" s="9" t="s">
        <v>59</v>
      </c>
      <c r="B160" s="24" t="s">
        <v>60</v>
      </c>
      <c r="C160" s="15"/>
      <c r="D160" s="15"/>
      <c r="E160" s="11" t="n">
        <f aca="false">IF($A160="",0,SUMIFS(tblAuftraege[Ausgaben],tblAuftraege[Datum Ausgaben],"&gt;="&amp;E$5,tblAuftraege[Datum Ausgaben],"&lt;"&amp;EDATE(E$5,1),tblAuftraege[Kostenstelle],$A160))</f>
        <v>0</v>
      </c>
      <c r="F160" s="11" t="n">
        <f aca="false">IF($A160="",0,SUMIFS(tblAuftraege[Ausgaben],tblAuftraege[Datum Ausgaben],"&gt;="&amp;F$5,tblAuftraege[Datum Ausgaben],"&lt;"&amp;EDATE(F$5,1),tblAuftraege[Kostenstelle],$A160))</f>
        <v>0</v>
      </c>
      <c r="G160" s="11" t="n">
        <f aca="false">IF($A160="",0,SUMIFS(tblAuftraege[Ausgaben],tblAuftraege[Datum Ausgaben],"&gt;="&amp;G$5,tblAuftraege[Datum Ausgaben],"&lt;"&amp;EDATE(G$5,1),tblAuftraege[Kostenstelle],$A160))</f>
        <v>0</v>
      </c>
      <c r="H160" s="11" t="n">
        <f aca="false">IF($A160="",0,SUMIFS(tblAuftraege[Ausgaben],tblAuftraege[Datum Ausgaben],"&gt;="&amp;H$5,tblAuftraege[Datum Ausgaben],"&lt;"&amp;EDATE(H$5,1),tblAuftraege[Kostenstelle],$A160))</f>
        <v>0</v>
      </c>
      <c r="I160" s="11" t="n">
        <f aca="false">IF($A160="",0,SUMIFS(tblAuftraege[Ausgaben],tblAuftraege[Datum Ausgaben],"&gt;="&amp;I$5,tblAuftraege[Datum Ausgaben],"&lt;"&amp;EDATE(I$5,1),tblAuftraege[Kostenstelle],$A160))</f>
        <v>0</v>
      </c>
      <c r="J160" s="11" t="n">
        <f aca="false">IF($A160="",0,SUMIFS(tblAuftraege[Ausgaben],tblAuftraege[Datum Ausgaben],"&gt;="&amp;J$5,tblAuftraege[Datum Ausgaben],"&lt;"&amp;EDATE(J$5,1),tblAuftraege[Kostenstelle],$A160))</f>
        <v>0</v>
      </c>
      <c r="K160" s="11" t="n">
        <f aca="false">IF($A160="",0,SUMIFS(tblAuftraege[Ausgaben],tblAuftraege[Datum Ausgaben],"&gt;="&amp;K$5,tblAuftraege[Datum Ausgaben],"&lt;"&amp;EDATE(K$5,1),tblAuftraege[Kostenstelle],$A160))</f>
        <v>0</v>
      </c>
      <c r="L160" s="11" t="n">
        <f aca="false">IF($A160="",0,SUMIFS(tblAuftraege[Ausgaben],tblAuftraege[Datum Ausgaben],"&gt;="&amp;L$5,tblAuftraege[Datum Ausgaben],"&lt;"&amp;EDATE(L$5,1),tblAuftraege[Kostenstelle],$A160))</f>
        <v>0</v>
      </c>
      <c r="M160" s="11" t="n">
        <f aca="false">IF($A160="",0,SUMIFS(tblAuftraege[Ausgaben],tblAuftraege[Datum Ausgaben],"&gt;="&amp;M$5,tblAuftraege[Datum Ausgaben],"&lt;"&amp;EDATE(M$5,1),tblAuftraege[Kostenstelle],$A160))</f>
        <v>0</v>
      </c>
      <c r="N160" s="11" t="n">
        <f aca="false">IF($A160="",0,SUMIFS(tblAuftraege[Ausgaben],tblAuftraege[Datum Ausgaben],"&gt;="&amp;N$5,tblAuftraege[Datum Ausgaben],"&lt;"&amp;EDATE(N$5,1),tblAuftraege[Kostenstelle],$A160))</f>
        <v>0</v>
      </c>
      <c r="O160" s="11" t="n">
        <f aca="false">IF($A160="",0,SUMIFS(tblAuftraege[Ausgaben],tblAuftraege[Datum Ausgaben],"&gt;="&amp;O$5,tblAuftraege[Datum Ausgaben],"&lt;"&amp;EDATE(O$5,1),tblAuftraege[Kostenstelle],$A160))</f>
        <v>0</v>
      </c>
      <c r="P160" s="11" t="n">
        <f aca="false">IF($A160="",0,SUMIFS(tblAuftraege[Ausgaben],tblAuftraege[Datum Ausgaben],"&gt;="&amp;P$5,tblAuftraege[Datum Ausgaben],"&lt;"&amp;EDATE(P$5,1),tblAuftraege[Kostenstelle],$A160))</f>
        <v>0</v>
      </c>
      <c r="Q160" s="11" t="n">
        <f aca="false">IF($A160="",0,SUMIFS(tblAuftraege[Ausgaben],tblAuftraege[Datum Ausgaben],"&gt;="&amp;Q$5,tblAuftraege[Datum Ausgaben],"&lt;"&amp;EDATE(Q$5,1),tblAuftraege[Kostenstelle],$A160))</f>
        <v>0</v>
      </c>
      <c r="R160" s="11" t="n">
        <f aca="false">IF($A160="",0,SUMIFS(tblAuftraege[Ausgaben],tblAuftraege[Datum Ausgaben],"&gt;="&amp;R$5,tblAuftraege[Datum Ausgaben],"&lt;"&amp;EDATE(R$5,1),tblAuftraege[Kostenstelle],$A160))</f>
        <v>0</v>
      </c>
      <c r="S160" s="11" t="n">
        <f aca="false">IF($A160="",0,SUMIFS(tblAuftraege[Ausgaben],tblAuftraege[Datum Ausgaben],"&gt;="&amp;S$5,tblAuftraege[Datum Ausgaben],"&lt;"&amp;EDATE(S$5,1),tblAuftraege[Kostenstelle],$A160))</f>
        <v>0</v>
      </c>
      <c r="T160" s="11" t="n">
        <f aca="false">IF($A160="",0,SUMIFS(tblAuftraege[Ausgaben],tblAuftraege[Datum Ausgaben],"&gt;="&amp;T$5,tblAuftraege[Datum Ausgaben],"&lt;"&amp;EDATE(T$5,1),tblAuftraege[Kostenstelle],$A160))</f>
        <v>0</v>
      </c>
      <c r="U160" s="11" t="n">
        <f aca="false">IF($A160="",0,SUMIFS(tblAuftraege[Ausgaben],tblAuftraege[Datum Ausgaben],"&gt;="&amp;U$5,tblAuftraege[Datum Ausgaben],"&lt;"&amp;EDATE(U$5,1),tblAuftraege[Kostenstelle],$A160))</f>
        <v>0</v>
      </c>
      <c r="V160" s="11" t="n">
        <f aca="false">IF($A160="",0,SUMIFS(tblAuftraege[Ausgaben],tblAuftraege[Datum Ausgaben],"&gt;="&amp;V$5,tblAuftraege[Datum Ausgaben],"&lt;"&amp;EDATE(V$5,1),tblAuftraege[Kostenstelle],$A160))</f>
        <v>0</v>
      </c>
      <c r="W160" s="11" t="n">
        <f aca="false">SUM(E160:J160)</f>
        <v>0</v>
      </c>
      <c r="X160" s="11" t="n">
        <f aca="false">SUM(K160:V160)</f>
        <v>0</v>
      </c>
      <c r="Y160" s="12" t="n">
        <f aca="false">SUM(E160:V160)</f>
        <v>0</v>
      </c>
    </row>
    <row r="161" customFormat="false" ht="15" hidden="false" customHeight="false" outlineLevel="0" collapsed="false">
      <c r="A161" s="9" t="s">
        <v>61</v>
      </c>
      <c r="B161" s="24" t="s">
        <v>62</v>
      </c>
      <c r="C161" s="15"/>
      <c r="D161" s="15"/>
      <c r="E161" s="11" t="n">
        <f aca="false">IF($A161="",0,SUMIFS(tblAuftraege[Ausgaben],tblAuftraege[Datum Ausgaben],"&gt;="&amp;E$5,tblAuftraege[Datum Ausgaben],"&lt;"&amp;EDATE(E$5,1),tblAuftraege[Kostenstelle],$A161))</f>
        <v>0</v>
      </c>
      <c r="F161" s="11" t="n">
        <f aca="false">IF($A161="",0,SUMIFS(tblAuftraege[Ausgaben],tblAuftraege[Datum Ausgaben],"&gt;="&amp;F$5,tblAuftraege[Datum Ausgaben],"&lt;"&amp;EDATE(F$5,1),tblAuftraege[Kostenstelle],$A161))</f>
        <v>0</v>
      </c>
      <c r="G161" s="11" t="n">
        <f aca="false">IF($A161="",0,SUMIFS(tblAuftraege[Ausgaben],tblAuftraege[Datum Ausgaben],"&gt;="&amp;G$5,tblAuftraege[Datum Ausgaben],"&lt;"&amp;EDATE(G$5,1),tblAuftraege[Kostenstelle],$A161))</f>
        <v>0</v>
      </c>
      <c r="H161" s="11" t="n">
        <f aca="false">IF($A161="",0,SUMIFS(tblAuftraege[Ausgaben],tblAuftraege[Datum Ausgaben],"&gt;="&amp;H$5,tblAuftraege[Datum Ausgaben],"&lt;"&amp;EDATE(H$5,1),tblAuftraege[Kostenstelle],$A161))</f>
        <v>0</v>
      </c>
      <c r="I161" s="11" t="n">
        <f aca="false">IF($A161="",0,SUMIFS(tblAuftraege[Ausgaben],tblAuftraege[Datum Ausgaben],"&gt;="&amp;I$5,tblAuftraege[Datum Ausgaben],"&lt;"&amp;EDATE(I$5,1),tblAuftraege[Kostenstelle],$A161))</f>
        <v>0</v>
      </c>
      <c r="J161" s="11" t="n">
        <f aca="false">IF($A161="",0,SUMIFS(tblAuftraege[Ausgaben],tblAuftraege[Datum Ausgaben],"&gt;="&amp;J$5,tblAuftraege[Datum Ausgaben],"&lt;"&amp;EDATE(J$5,1),tblAuftraege[Kostenstelle],$A161))</f>
        <v>0</v>
      </c>
      <c r="K161" s="11" t="n">
        <f aca="false">IF($A161="",0,SUMIFS(tblAuftraege[Ausgaben],tblAuftraege[Datum Ausgaben],"&gt;="&amp;K$5,tblAuftraege[Datum Ausgaben],"&lt;"&amp;EDATE(K$5,1),tblAuftraege[Kostenstelle],$A161))</f>
        <v>0</v>
      </c>
      <c r="L161" s="11" t="n">
        <f aca="false">IF($A161="",0,SUMIFS(tblAuftraege[Ausgaben],tblAuftraege[Datum Ausgaben],"&gt;="&amp;L$5,tblAuftraege[Datum Ausgaben],"&lt;"&amp;EDATE(L$5,1),tblAuftraege[Kostenstelle],$A161))</f>
        <v>0</v>
      </c>
      <c r="M161" s="11" t="n">
        <f aca="false">IF($A161="",0,SUMIFS(tblAuftraege[Ausgaben],tblAuftraege[Datum Ausgaben],"&gt;="&amp;M$5,tblAuftraege[Datum Ausgaben],"&lt;"&amp;EDATE(M$5,1),tblAuftraege[Kostenstelle],$A161))</f>
        <v>0</v>
      </c>
      <c r="N161" s="11" t="n">
        <f aca="false">IF($A161="",0,SUMIFS(tblAuftraege[Ausgaben],tblAuftraege[Datum Ausgaben],"&gt;="&amp;N$5,tblAuftraege[Datum Ausgaben],"&lt;"&amp;EDATE(N$5,1),tblAuftraege[Kostenstelle],$A161))</f>
        <v>0</v>
      </c>
      <c r="O161" s="11" t="n">
        <f aca="false">IF($A161="",0,SUMIFS(tblAuftraege[Ausgaben],tblAuftraege[Datum Ausgaben],"&gt;="&amp;O$5,tblAuftraege[Datum Ausgaben],"&lt;"&amp;EDATE(O$5,1),tblAuftraege[Kostenstelle],$A161))</f>
        <v>0</v>
      </c>
      <c r="P161" s="11" t="n">
        <f aca="false">IF($A161="",0,SUMIFS(tblAuftraege[Ausgaben],tblAuftraege[Datum Ausgaben],"&gt;="&amp;P$5,tblAuftraege[Datum Ausgaben],"&lt;"&amp;EDATE(P$5,1),tblAuftraege[Kostenstelle],$A161))</f>
        <v>0</v>
      </c>
      <c r="Q161" s="11" t="n">
        <f aca="false">IF($A161="",0,SUMIFS(tblAuftraege[Ausgaben],tblAuftraege[Datum Ausgaben],"&gt;="&amp;Q$5,tblAuftraege[Datum Ausgaben],"&lt;"&amp;EDATE(Q$5,1),tblAuftraege[Kostenstelle],$A161))</f>
        <v>0</v>
      </c>
      <c r="R161" s="11" t="n">
        <f aca="false">IF($A161="",0,SUMIFS(tblAuftraege[Ausgaben],tblAuftraege[Datum Ausgaben],"&gt;="&amp;R$5,tblAuftraege[Datum Ausgaben],"&lt;"&amp;EDATE(R$5,1),tblAuftraege[Kostenstelle],$A161))</f>
        <v>0</v>
      </c>
      <c r="S161" s="11" t="n">
        <f aca="false">IF($A161="",0,SUMIFS(tblAuftraege[Ausgaben],tblAuftraege[Datum Ausgaben],"&gt;="&amp;S$5,tblAuftraege[Datum Ausgaben],"&lt;"&amp;EDATE(S$5,1),tblAuftraege[Kostenstelle],$A161))</f>
        <v>0</v>
      </c>
      <c r="T161" s="11" t="n">
        <f aca="false">IF($A161="",0,SUMIFS(tblAuftraege[Ausgaben],tblAuftraege[Datum Ausgaben],"&gt;="&amp;T$5,tblAuftraege[Datum Ausgaben],"&lt;"&amp;EDATE(T$5,1),tblAuftraege[Kostenstelle],$A161))</f>
        <v>0</v>
      </c>
      <c r="U161" s="11" t="n">
        <f aca="false">IF($A161="",0,SUMIFS(tblAuftraege[Ausgaben],tblAuftraege[Datum Ausgaben],"&gt;="&amp;U$5,tblAuftraege[Datum Ausgaben],"&lt;"&amp;EDATE(U$5,1),tblAuftraege[Kostenstelle],$A161))</f>
        <v>0</v>
      </c>
      <c r="V161" s="11" t="n">
        <f aca="false">IF($A161="",0,SUMIFS(tblAuftraege[Ausgaben],tblAuftraege[Datum Ausgaben],"&gt;="&amp;V$5,tblAuftraege[Datum Ausgaben],"&lt;"&amp;EDATE(V$5,1),tblAuftraege[Kostenstelle],$A161))</f>
        <v>0</v>
      </c>
      <c r="W161" s="11" t="n">
        <f aca="false">SUM(E161:J161)</f>
        <v>0</v>
      </c>
      <c r="X161" s="11" t="n">
        <f aca="false">SUM(K161:V161)</f>
        <v>0</v>
      </c>
      <c r="Y161" s="12" t="n">
        <f aca="false">SUM(E161:V161)</f>
        <v>0</v>
      </c>
    </row>
    <row r="162" customFormat="false" ht="15" hidden="false" customHeight="false" outlineLevel="0" collapsed="false">
      <c r="A162" s="9" t="s">
        <v>63</v>
      </c>
      <c r="B162" s="24" t="s">
        <v>64</v>
      </c>
      <c r="C162" s="15"/>
      <c r="D162" s="15"/>
      <c r="E162" s="11" t="n">
        <f aca="false">IF($A162="",0,SUMIFS(tblAuftraege[Ausgaben],tblAuftraege[Datum Ausgaben],"&gt;="&amp;E$5,tblAuftraege[Datum Ausgaben],"&lt;"&amp;EDATE(E$5,1),tblAuftraege[Kostenstelle],$A162))</f>
        <v>0</v>
      </c>
      <c r="F162" s="11" t="n">
        <f aca="false">IF($A162="",0,SUMIFS(tblAuftraege[Ausgaben],tblAuftraege[Datum Ausgaben],"&gt;="&amp;F$5,tblAuftraege[Datum Ausgaben],"&lt;"&amp;EDATE(F$5,1),tblAuftraege[Kostenstelle],$A162))</f>
        <v>0</v>
      </c>
      <c r="G162" s="11" t="n">
        <f aca="false">IF($A162="",0,SUMIFS(tblAuftraege[Ausgaben],tblAuftraege[Datum Ausgaben],"&gt;="&amp;G$5,tblAuftraege[Datum Ausgaben],"&lt;"&amp;EDATE(G$5,1),tblAuftraege[Kostenstelle],$A162))</f>
        <v>0</v>
      </c>
      <c r="H162" s="11" t="n">
        <f aca="false">IF($A162="",0,SUMIFS(tblAuftraege[Ausgaben],tblAuftraege[Datum Ausgaben],"&gt;="&amp;H$5,tblAuftraege[Datum Ausgaben],"&lt;"&amp;EDATE(H$5,1),tblAuftraege[Kostenstelle],$A162))</f>
        <v>0</v>
      </c>
      <c r="I162" s="11" t="n">
        <f aca="false">IF($A162="",0,SUMIFS(tblAuftraege[Ausgaben],tblAuftraege[Datum Ausgaben],"&gt;="&amp;I$5,tblAuftraege[Datum Ausgaben],"&lt;"&amp;EDATE(I$5,1),tblAuftraege[Kostenstelle],$A162))</f>
        <v>0</v>
      </c>
      <c r="J162" s="11" t="n">
        <f aca="false">IF($A162="",0,SUMIFS(tblAuftraege[Ausgaben],tblAuftraege[Datum Ausgaben],"&gt;="&amp;J$5,tblAuftraege[Datum Ausgaben],"&lt;"&amp;EDATE(J$5,1),tblAuftraege[Kostenstelle],$A162))</f>
        <v>0</v>
      </c>
      <c r="K162" s="11" t="n">
        <f aca="false">IF($A162="",0,SUMIFS(tblAuftraege[Ausgaben],tblAuftraege[Datum Ausgaben],"&gt;="&amp;K$5,tblAuftraege[Datum Ausgaben],"&lt;"&amp;EDATE(K$5,1),tblAuftraege[Kostenstelle],$A162))</f>
        <v>0</v>
      </c>
      <c r="L162" s="11" t="n">
        <f aca="false">IF($A162="",0,SUMIFS(tblAuftraege[Ausgaben],tblAuftraege[Datum Ausgaben],"&gt;="&amp;L$5,tblAuftraege[Datum Ausgaben],"&lt;"&amp;EDATE(L$5,1),tblAuftraege[Kostenstelle],$A162))</f>
        <v>0</v>
      </c>
      <c r="M162" s="11" t="n">
        <f aca="false">IF($A162="",0,SUMIFS(tblAuftraege[Ausgaben],tblAuftraege[Datum Ausgaben],"&gt;="&amp;M$5,tblAuftraege[Datum Ausgaben],"&lt;"&amp;EDATE(M$5,1),tblAuftraege[Kostenstelle],$A162))</f>
        <v>0</v>
      </c>
      <c r="N162" s="11" t="n">
        <f aca="false">IF($A162="",0,SUMIFS(tblAuftraege[Ausgaben],tblAuftraege[Datum Ausgaben],"&gt;="&amp;N$5,tblAuftraege[Datum Ausgaben],"&lt;"&amp;EDATE(N$5,1),tblAuftraege[Kostenstelle],$A162))</f>
        <v>0</v>
      </c>
      <c r="O162" s="11" t="n">
        <f aca="false">IF($A162="",0,SUMIFS(tblAuftraege[Ausgaben],tblAuftraege[Datum Ausgaben],"&gt;="&amp;O$5,tblAuftraege[Datum Ausgaben],"&lt;"&amp;EDATE(O$5,1),tblAuftraege[Kostenstelle],$A162))</f>
        <v>0</v>
      </c>
      <c r="P162" s="11" t="n">
        <f aca="false">IF($A162="",0,SUMIFS(tblAuftraege[Ausgaben],tblAuftraege[Datum Ausgaben],"&gt;="&amp;P$5,tblAuftraege[Datum Ausgaben],"&lt;"&amp;EDATE(P$5,1),tblAuftraege[Kostenstelle],$A162))</f>
        <v>0</v>
      </c>
      <c r="Q162" s="11" t="n">
        <f aca="false">IF($A162="",0,SUMIFS(tblAuftraege[Ausgaben],tblAuftraege[Datum Ausgaben],"&gt;="&amp;Q$5,tblAuftraege[Datum Ausgaben],"&lt;"&amp;EDATE(Q$5,1),tblAuftraege[Kostenstelle],$A162))</f>
        <v>0</v>
      </c>
      <c r="R162" s="11" t="n">
        <f aca="false">IF($A162="",0,SUMIFS(tblAuftraege[Ausgaben],tblAuftraege[Datum Ausgaben],"&gt;="&amp;R$5,tblAuftraege[Datum Ausgaben],"&lt;"&amp;EDATE(R$5,1),tblAuftraege[Kostenstelle],$A162))</f>
        <v>0</v>
      </c>
      <c r="S162" s="11" t="n">
        <f aca="false">IF($A162="",0,SUMIFS(tblAuftraege[Ausgaben],tblAuftraege[Datum Ausgaben],"&gt;="&amp;S$5,tblAuftraege[Datum Ausgaben],"&lt;"&amp;EDATE(S$5,1),tblAuftraege[Kostenstelle],$A162))</f>
        <v>0</v>
      </c>
      <c r="T162" s="11" t="n">
        <f aca="false">IF($A162="",0,SUMIFS(tblAuftraege[Ausgaben],tblAuftraege[Datum Ausgaben],"&gt;="&amp;T$5,tblAuftraege[Datum Ausgaben],"&lt;"&amp;EDATE(T$5,1),tblAuftraege[Kostenstelle],$A162))</f>
        <v>0</v>
      </c>
      <c r="U162" s="11" t="n">
        <f aca="false">IF($A162="",0,SUMIFS(tblAuftraege[Ausgaben],tblAuftraege[Datum Ausgaben],"&gt;="&amp;U$5,tblAuftraege[Datum Ausgaben],"&lt;"&amp;EDATE(U$5,1),tblAuftraege[Kostenstelle],$A162))</f>
        <v>0</v>
      </c>
      <c r="V162" s="11" t="n">
        <f aca="false">IF($A162="",0,SUMIFS(tblAuftraege[Ausgaben],tblAuftraege[Datum Ausgaben],"&gt;="&amp;V$5,tblAuftraege[Datum Ausgaben],"&lt;"&amp;EDATE(V$5,1),tblAuftraege[Kostenstelle],$A162))</f>
        <v>0</v>
      </c>
      <c r="W162" s="11" t="n">
        <f aca="false">SUM(E162:J162)</f>
        <v>0</v>
      </c>
      <c r="X162" s="11" t="n">
        <f aca="false">SUM(K162:V162)</f>
        <v>0</v>
      </c>
      <c r="Y162" s="12" t="n">
        <f aca="false">SUM(E162:V162)</f>
        <v>0</v>
      </c>
    </row>
    <row r="163" customFormat="false" ht="15" hidden="false" customHeight="false" outlineLevel="0" collapsed="false">
      <c r="A163" s="9" t="s">
        <v>65</v>
      </c>
      <c r="B163" s="24" t="s">
        <v>66</v>
      </c>
      <c r="C163" s="15"/>
      <c r="D163" s="15"/>
      <c r="E163" s="11" t="n">
        <f aca="false">IF($A163="",0,SUMIFS(tblAuftraege[Ausgaben],tblAuftraege[Datum Ausgaben],"&gt;="&amp;E$5,tblAuftraege[Datum Ausgaben],"&lt;"&amp;EDATE(E$5,1),tblAuftraege[Kostenstelle],$A163))</f>
        <v>0</v>
      </c>
      <c r="F163" s="11" t="n">
        <f aca="false">IF($A163="",0,SUMIFS(tblAuftraege[Ausgaben],tblAuftraege[Datum Ausgaben],"&gt;="&amp;F$5,tblAuftraege[Datum Ausgaben],"&lt;"&amp;EDATE(F$5,1),tblAuftraege[Kostenstelle],$A163))</f>
        <v>0</v>
      </c>
      <c r="G163" s="11" t="n">
        <f aca="false">IF($A163="",0,SUMIFS(tblAuftraege[Ausgaben],tblAuftraege[Datum Ausgaben],"&gt;="&amp;G$5,tblAuftraege[Datum Ausgaben],"&lt;"&amp;EDATE(G$5,1),tblAuftraege[Kostenstelle],$A163))</f>
        <v>0</v>
      </c>
      <c r="H163" s="11" t="n">
        <f aca="false">IF($A163="",0,SUMIFS(tblAuftraege[Ausgaben],tblAuftraege[Datum Ausgaben],"&gt;="&amp;H$5,tblAuftraege[Datum Ausgaben],"&lt;"&amp;EDATE(H$5,1),tblAuftraege[Kostenstelle],$A163))</f>
        <v>0</v>
      </c>
      <c r="I163" s="11" t="n">
        <f aca="false">IF($A163="",0,SUMIFS(tblAuftraege[Ausgaben],tblAuftraege[Datum Ausgaben],"&gt;="&amp;I$5,tblAuftraege[Datum Ausgaben],"&lt;"&amp;EDATE(I$5,1),tblAuftraege[Kostenstelle],$A163))</f>
        <v>0</v>
      </c>
      <c r="J163" s="11" t="n">
        <f aca="false">IF($A163="",0,SUMIFS(tblAuftraege[Ausgaben],tblAuftraege[Datum Ausgaben],"&gt;="&amp;J$5,tblAuftraege[Datum Ausgaben],"&lt;"&amp;EDATE(J$5,1),tblAuftraege[Kostenstelle],$A163))</f>
        <v>0</v>
      </c>
      <c r="K163" s="11" t="n">
        <f aca="false">IF($A163="",0,SUMIFS(tblAuftraege[Ausgaben],tblAuftraege[Datum Ausgaben],"&gt;="&amp;K$5,tblAuftraege[Datum Ausgaben],"&lt;"&amp;EDATE(K$5,1),tblAuftraege[Kostenstelle],$A163))</f>
        <v>0</v>
      </c>
      <c r="L163" s="11" t="n">
        <f aca="false">IF($A163="",0,SUMIFS(tblAuftraege[Ausgaben],tblAuftraege[Datum Ausgaben],"&gt;="&amp;L$5,tblAuftraege[Datum Ausgaben],"&lt;"&amp;EDATE(L$5,1),tblAuftraege[Kostenstelle],$A163))</f>
        <v>0</v>
      </c>
      <c r="M163" s="11" t="n">
        <f aca="false">IF($A163="",0,SUMIFS(tblAuftraege[Ausgaben],tblAuftraege[Datum Ausgaben],"&gt;="&amp;M$5,tblAuftraege[Datum Ausgaben],"&lt;"&amp;EDATE(M$5,1),tblAuftraege[Kostenstelle],$A163))</f>
        <v>0</v>
      </c>
      <c r="N163" s="11" t="n">
        <f aca="false">IF($A163="",0,SUMIFS(tblAuftraege[Ausgaben],tblAuftraege[Datum Ausgaben],"&gt;="&amp;N$5,tblAuftraege[Datum Ausgaben],"&lt;"&amp;EDATE(N$5,1),tblAuftraege[Kostenstelle],$A163))</f>
        <v>0</v>
      </c>
      <c r="O163" s="11" t="n">
        <f aca="false">IF($A163="",0,SUMIFS(tblAuftraege[Ausgaben],tblAuftraege[Datum Ausgaben],"&gt;="&amp;O$5,tblAuftraege[Datum Ausgaben],"&lt;"&amp;EDATE(O$5,1),tblAuftraege[Kostenstelle],$A163))</f>
        <v>0</v>
      </c>
      <c r="P163" s="11" t="n">
        <f aca="false">IF($A163="",0,SUMIFS(tblAuftraege[Ausgaben],tblAuftraege[Datum Ausgaben],"&gt;="&amp;P$5,tblAuftraege[Datum Ausgaben],"&lt;"&amp;EDATE(P$5,1),tblAuftraege[Kostenstelle],$A163))</f>
        <v>0</v>
      </c>
      <c r="Q163" s="11" t="n">
        <f aca="false">IF($A163="",0,SUMIFS(tblAuftraege[Ausgaben],tblAuftraege[Datum Ausgaben],"&gt;="&amp;Q$5,tblAuftraege[Datum Ausgaben],"&lt;"&amp;EDATE(Q$5,1),tblAuftraege[Kostenstelle],$A163))</f>
        <v>0</v>
      </c>
      <c r="R163" s="11" t="n">
        <f aca="false">IF($A163="",0,SUMIFS(tblAuftraege[Ausgaben],tblAuftraege[Datum Ausgaben],"&gt;="&amp;R$5,tblAuftraege[Datum Ausgaben],"&lt;"&amp;EDATE(R$5,1),tblAuftraege[Kostenstelle],$A163))</f>
        <v>0</v>
      </c>
      <c r="S163" s="11" t="n">
        <f aca="false">IF($A163="",0,SUMIFS(tblAuftraege[Ausgaben],tblAuftraege[Datum Ausgaben],"&gt;="&amp;S$5,tblAuftraege[Datum Ausgaben],"&lt;"&amp;EDATE(S$5,1),tblAuftraege[Kostenstelle],$A163))</f>
        <v>0</v>
      </c>
      <c r="T163" s="11" t="n">
        <f aca="false">IF($A163="",0,SUMIFS(tblAuftraege[Ausgaben],tblAuftraege[Datum Ausgaben],"&gt;="&amp;T$5,tblAuftraege[Datum Ausgaben],"&lt;"&amp;EDATE(T$5,1),tblAuftraege[Kostenstelle],$A163))</f>
        <v>0</v>
      </c>
      <c r="U163" s="11" t="n">
        <f aca="false">IF($A163="",0,SUMIFS(tblAuftraege[Ausgaben],tblAuftraege[Datum Ausgaben],"&gt;="&amp;U$5,tblAuftraege[Datum Ausgaben],"&lt;"&amp;EDATE(U$5,1),tblAuftraege[Kostenstelle],$A163))</f>
        <v>0</v>
      </c>
      <c r="V163" s="11" t="n">
        <f aca="false">IF($A163="",0,SUMIFS(tblAuftraege[Ausgaben],tblAuftraege[Datum Ausgaben],"&gt;="&amp;V$5,tblAuftraege[Datum Ausgaben],"&lt;"&amp;EDATE(V$5,1),tblAuftraege[Kostenstelle],$A163))</f>
        <v>0</v>
      </c>
      <c r="W163" s="11" t="n">
        <f aca="false">SUM(E163:J163)</f>
        <v>0</v>
      </c>
      <c r="X163" s="11" t="n">
        <f aca="false">SUM(K163:V163)</f>
        <v>0</v>
      </c>
      <c r="Y163" s="12" t="n">
        <f aca="false">SUM(E163:V163)</f>
        <v>0</v>
      </c>
    </row>
    <row r="164" customFormat="false" ht="15" hidden="false" customHeight="false" outlineLevel="0" collapsed="false">
      <c r="A164" s="9" t="s">
        <v>67</v>
      </c>
      <c r="B164" s="24" t="s">
        <v>68</v>
      </c>
      <c r="C164" s="15"/>
      <c r="D164" s="15"/>
      <c r="E164" s="11" t="n">
        <f aca="false">IF($A164="",0,SUMIFS(tblAuftraege[Ausgaben],tblAuftraege[Datum Ausgaben],"&gt;="&amp;E$5,tblAuftraege[Datum Ausgaben],"&lt;"&amp;EDATE(E$5,1),tblAuftraege[Kostenstelle],$A164))</f>
        <v>0</v>
      </c>
      <c r="F164" s="11" t="n">
        <f aca="false">IF($A164="",0,SUMIFS(tblAuftraege[Ausgaben],tblAuftraege[Datum Ausgaben],"&gt;="&amp;F$5,tblAuftraege[Datum Ausgaben],"&lt;"&amp;EDATE(F$5,1),tblAuftraege[Kostenstelle],$A164))</f>
        <v>0</v>
      </c>
      <c r="G164" s="11" t="n">
        <f aca="false">IF($A164="",0,SUMIFS(tblAuftraege[Ausgaben],tblAuftraege[Datum Ausgaben],"&gt;="&amp;G$5,tblAuftraege[Datum Ausgaben],"&lt;"&amp;EDATE(G$5,1),tblAuftraege[Kostenstelle],$A164))</f>
        <v>0</v>
      </c>
      <c r="H164" s="11" t="n">
        <f aca="false">IF($A164="",0,SUMIFS(tblAuftraege[Ausgaben],tblAuftraege[Datum Ausgaben],"&gt;="&amp;H$5,tblAuftraege[Datum Ausgaben],"&lt;"&amp;EDATE(H$5,1),tblAuftraege[Kostenstelle],$A164))</f>
        <v>0</v>
      </c>
      <c r="I164" s="11" t="n">
        <f aca="false">IF($A164="",0,SUMIFS(tblAuftraege[Ausgaben],tblAuftraege[Datum Ausgaben],"&gt;="&amp;I$5,tblAuftraege[Datum Ausgaben],"&lt;"&amp;EDATE(I$5,1),tblAuftraege[Kostenstelle],$A164))</f>
        <v>0</v>
      </c>
      <c r="J164" s="11" t="n">
        <f aca="false">IF($A164="",0,SUMIFS(tblAuftraege[Ausgaben],tblAuftraege[Datum Ausgaben],"&gt;="&amp;J$5,tblAuftraege[Datum Ausgaben],"&lt;"&amp;EDATE(J$5,1),tblAuftraege[Kostenstelle],$A164))</f>
        <v>0</v>
      </c>
      <c r="K164" s="11" t="n">
        <f aca="false">IF($A164="",0,SUMIFS(tblAuftraege[Ausgaben],tblAuftraege[Datum Ausgaben],"&gt;="&amp;K$5,tblAuftraege[Datum Ausgaben],"&lt;"&amp;EDATE(K$5,1),tblAuftraege[Kostenstelle],$A164))</f>
        <v>0</v>
      </c>
      <c r="L164" s="11" t="n">
        <f aca="false">IF($A164="",0,SUMIFS(tblAuftraege[Ausgaben],tblAuftraege[Datum Ausgaben],"&gt;="&amp;L$5,tblAuftraege[Datum Ausgaben],"&lt;"&amp;EDATE(L$5,1),tblAuftraege[Kostenstelle],$A164))</f>
        <v>0</v>
      </c>
      <c r="M164" s="11" t="n">
        <f aca="false">IF($A164="",0,SUMIFS(tblAuftraege[Ausgaben],tblAuftraege[Datum Ausgaben],"&gt;="&amp;M$5,tblAuftraege[Datum Ausgaben],"&lt;"&amp;EDATE(M$5,1),tblAuftraege[Kostenstelle],$A164))</f>
        <v>0</v>
      </c>
      <c r="N164" s="11" t="n">
        <f aca="false">IF($A164="",0,SUMIFS(tblAuftraege[Ausgaben],tblAuftraege[Datum Ausgaben],"&gt;="&amp;N$5,tblAuftraege[Datum Ausgaben],"&lt;"&amp;EDATE(N$5,1),tblAuftraege[Kostenstelle],$A164))</f>
        <v>0</v>
      </c>
      <c r="O164" s="11" t="n">
        <f aca="false">IF($A164="",0,SUMIFS(tblAuftraege[Ausgaben],tblAuftraege[Datum Ausgaben],"&gt;="&amp;O$5,tblAuftraege[Datum Ausgaben],"&lt;"&amp;EDATE(O$5,1),tblAuftraege[Kostenstelle],$A164))</f>
        <v>0</v>
      </c>
      <c r="P164" s="11" t="n">
        <f aca="false">IF($A164="",0,SUMIFS(tblAuftraege[Ausgaben],tblAuftraege[Datum Ausgaben],"&gt;="&amp;P$5,tblAuftraege[Datum Ausgaben],"&lt;"&amp;EDATE(P$5,1),tblAuftraege[Kostenstelle],$A164))</f>
        <v>0</v>
      </c>
      <c r="Q164" s="11" t="n">
        <f aca="false">IF($A164="",0,SUMIFS(tblAuftraege[Ausgaben],tblAuftraege[Datum Ausgaben],"&gt;="&amp;Q$5,tblAuftraege[Datum Ausgaben],"&lt;"&amp;EDATE(Q$5,1),tblAuftraege[Kostenstelle],$A164))</f>
        <v>0</v>
      </c>
      <c r="R164" s="11" t="n">
        <f aca="false">IF($A164="",0,SUMIFS(tblAuftraege[Ausgaben],tblAuftraege[Datum Ausgaben],"&gt;="&amp;R$5,tblAuftraege[Datum Ausgaben],"&lt;"&amp;EDATE(R$5,1),tblAuftraege[Kostenstelle],$A164))</f>
        <v>0</v>
      </c>
      <c r="S164" s="11" t="n">
        <f aca="false">IF($A164="",0,SUMIFS(tblAuftraege[Ausgaben],tblAuftraege[Datum Ausgaben],"&gt;="&amp;S$5,tblAuftraege[Datum Ausgaben],"&lt;"&amp;EDATE(S$5,1),tblAuftraege[Kostenstelle],$A164))</f>
        <v>0</v>
      </c>
      <c r="T164" s="11" t="n">
        <f aca="false">IF($A164="",0,SUMIFS(tblAuftraege[Ausgaben],tblAuftraege[Datum Ausgaben],"&gt;="&amp;T$5,tblAuftraege[Datum Ausgaben],"&lt;"&amp;EDATE(T$5,1),tblAuftraege[Kostenstelle],$A164))</f>
        <v>0</v>
      </c>
      <c r="U164" s="11" t="n">
        <f aca="false">IF($A164="",0,SUMIFS(tblAuftraege[Ausgaben],tblAuftraege[Datum Ausgaben],"&gt;="&amp;U$5,tblAuftraege[Datum Ausgaben],"&lt;"&amp;EDATE(U$5,1),tblAuftraege[Kostenstelle],$A164))</f>
        <v>0</v>
      </c>
      <c r="V164" s="11" t="n">
        <f aca="false">IF($A164="",0,SUMIFS(tblAuftraege[Ausgaben],tblAuftraege[Datum Ausgaben],"&gt;="&amp;V$5,tblAuftraege[Datum Ausgaben],"&lt;"&amp;EDATE(V$5,1),tblAuftraege[Kostenstelle],$A164))</f>
        <v>0</v>
      </c>
      <c r="W164" s="11" t="n">
        <f aca="false">SUM(E164:J164)</f>
        <v>0</v>
      </c>
      <c r="X164" s="11" t="n">
        <f aca="false">SUM(K164:V164)</f>
        <v>0</v>
      </c>
      <c r="Y164" s="12" t="n">
        <f aca="false">SUM(E164:V164)</f>
        <v>0</v>
      </c>
    </row>
    <row r="165" customFormat="false" ht="15" hidden="false" customHeight="false" outlineLevel="0" collapsed="false">
      <c r="A165" s="9" t="s">
        <v>69</v>
      </c>
      <c r="B165" s="24" t="s">
        <v>70</v>
      </c>
      <c r="C165" s="15"/>
      <c r="D165" s="15"/>
      <c r="E165" s="11" t="n">
        <f aca="false">IF($A165="",0,SUMIFS(tblAuftraege[Ausgaben],tblAuftraege[Datum Ausgaben],"&gt;="&amp;E$5,tblAuftraege[Datum Ausgaben],"&lt;"&amp;EDATE(E$5,1),tblAuftraege[Kostenstelle],$A165))</f>
        <v>0</v>
      </c>
      <c r="F165" s="11" t="n">
        <f aca="false">IF($A165="",0,SUMIFS(tblAuftraege[Ausgaben],tblAuftraege[Datum Ausgaben],"&gt;="&amp;F$5,tblAuftraege[Datum Ausgaben],"&lt;"&amp;EDATE(F$5,1),tblAuftraege[Kostenstelle],$A165))</f>
        <v>0</v>
      </c>
      <c r="G165" s="11" t="n">
        <f aca="false">IF($A165="",0,SUMIFS(tblAuftraege[Ausgaben],tblAuftraege[Datum Ausgaben],"&gt;="&amp;G$5,tblAuftraege[Datum Ausgaben],"&lt;"&amp;EDATE(G$5,1),tblAuftraege[Kostenstelle],$A165))</f>
        <v>0</v>
      </c>
      <c r="H165" s="11" t="n">
        <f aca="false">IF($A165="",0,SUMIFS(tblAuftraege[Ausgaben],tblAuftraege[Datum Ausgaben],"&gt;="&amp;H$5,tblAuftraege[Datum Ausgaben],"&lt;"&amp;EDATE(H$5,1),tblAuftraege[Kostenstelle],$A165))</f>
        <v>0</v>
      </c>
      <c r="I165" s="11" t="n">
        <f aca="false">IF($A165="",0,SUMIFS(tblAuftraege[Ausgaben],tblAuftraege[Datum Ausgaben],"&gt;="&amp;I$5,tblAuftraege[Datum Ausgaben],"&lt;"&amp;EDATE(I$5,1),tblAuftraege[Kostenstelle],$A165))</f>
        <v>0</v>
      </c>
      <c r="J165" s="11" t="n">
        <f aca="false">IF($A165="",0,SUMIFS(tblAuftraege[Ausgaben],tblAuftraege[Datum Ausgaben],"&gt;="&amp;J$5,tblAuftraege[Datum Ausgaben],"&lt;"&amp;EDATE(J$5,1),tblAuftraege[Kostenstelle],$A165))</f>
        <v>0</v>
      </c>
      <c r="K165" s="11" t="n">
        <f aca="false">IF($A165="",0,SUMIFS(tblAuftraege[Ausgaben],tblAuftraege[Datum Ausgaben],"&gt;="&amp;K$5,tblAuftraege[Datum Ausgaben],"&lt;"&amp;EDATE(K$5,1),tblAuftraege[Kostenstelle],$A165))</f>
        <v>0</v>
      </c>
      <c r="L165" s="11" t="n">
        <f aca="false">IF($A165="",0,SUMIFS(tblAuftraege[Ausgaben],tblAuftraege[Datum Ausgaben],"&gt;="&amp;L$5,tblAuftraege[Datum Ausgaben],"&lt;"&amp;EDATE(L$5,1),tblAuftraege[Kostenstelle],$A165))</f>
        <v>0</v>
      </c>
      <c r="M165" s="11" t="n">
        <f aca="false">IF($A165="",0,SUMIFS(tblAuftraege[Ausgaben],tblAuftraege[Datum Ausgaben],"&gt;="&amp;M$5,tblAuftraege[Datum Ausgaben],"&lt;"&amp;EDATE(M$5,1),tblAuftraege[Kostenstelle],$A165))</f>
        <v>0</v>
      </c>
      <c r="N165" s="11" t="n">
        <f aca="false">IF($A165="",0,SUMIFS(tblAuftraege[Ausgaben],tblAuftraege[Datum Ausgaben],"&gt;="&amp;N$5,tblAuftraege[Datum Ausgaben],"&lt;"&amp;EDATE(N$5,1),tblAuftraege[Kostenstelle],$A165))</f>
        <v>0</v>
      </c>
      <c r="O165" s="11" t="n">
        <f aca="false">IF($A165="",0,SUMIFS(tblAuftraege[Ausgaben],tblAuftraege[Datum Ausgaben],"&gt;="&amp;O$5,tblAuftraege[Datum Ausgaben],"&lt;"&amp;EDATE(O$5,1),tblAuftraege[Kostenstelle],$A165))</f>
        <v>0</v>
      </c>
      <c r="P165" s="11" t="n">
        <f aca="false">IF($A165="",0,SUMIFS(tblAuftraege[Ausgaben],tblAuftraege[Datum Ausgaben],"&gt;="&amp;P$5,tblAuftraege[Datum Ausgaben],"&lt;"&amp;EDATE(P$5,1),tblAuftraege[Kostenstelle],$A165))</f>
        <v>0</v>
      </c>
      <c r="Q165" s="11" t="n">
        <f aca="false">IF($A165="",0,SUMIFS(tblAuftraege[Ausgaben],tblAuftraege[Datum Ausgaben],"&gt;="&amp;Q$5,tblAuftraege[Datum Ausgaben],"&lt;"&amp;EDATE(Q$5,1),tblAuftraege[Kostenstelle],$A165))</f>
        <v>0</v>
      </c>
      <c r="R165" s="11" t="n">
        <f aca="false">IF($A165="",0,SUMIFS(tblAuftraege[Ausgaben],tblAuftraege[Datum Ausgaben],"&gt;="&amp;R$5,tblAuftraege[Datum Ausgaben],"&lt;"&amp;EDATE(R$5,1),tblAuftraege[Kostenstelle],$A165))</f>
        <v>0</v>
      </c>
      <c r="S165" s="11" t="n">
        <f aca="false">IF($A165="",0,SUMIFS(tblAuftraege[Ausgaben],tblAuftraege[Datum Ausgaben],"&gt;="&amp;S$5,tblAuftraege[Datum Ausgaben],"&lt;"&amp;EDATE(S$5,1),tblAuftraege[Kostenstelle],$A165))</f>
        <v>0</v>
      </c>
      <c r="T165" s="11" t="n">
        <f aca="false">IF($A165="",0,SUMIFS(tblAuftraege[Ausgaben],tblAuftraege[Datum Ausgaben],"&gt;="&amp;T$5,tblAuftraege[Datum Ausgaben],"&lt;"&amp;EDATE(T$5,1),tblAuftraege[Kostenstelle],$A165))</f>
        <v>0</v>
      </c>
      <c r="U165" s="11" t="n">
        <f aca="false">IF($A165="",0,SUMIFS(tblAuftraege[Ausgaben],tblAuftraege[Datum Ausgaben],"&gt;="&amp;U$5,tblAuftraege[Datum Ausgaben],"&lt;"&amp;EDATE(U$5,1),tblAuftraege[Kostenstelle],$A165))</f>
        <v>0</v>
      </c>
      <c r="V165" s="11" t="n">
        <f aca="false">IF($A165="",0,SUMIFS(tblAuftraege[Ausgaben],tblAuftraege[Datum Ausgaben],"&gt;="&amp;V$5,tblAuftraege[Datum Ausgaben],"&lt;"&amp;EDATE(V$5,1),tblAuftraege[Kostenstelle],$A165))</f>
        <v>0</v>
      </c>
      <c r="W165" s="11" t="n">
        <f aca="false">SUM(E165:J165)</f>
        <v>0</v>
      </c>
      <c r="X165" s="11" t="n">
        <f aca="false">SUM(K165:V165)</f>
        <v>0</v>
      </c>
      <c r="Y165" s="12" t="n">
        <f aca="false">SUM(E165:V165)</f>
        <v>0</v>
      </c>
    </row>
    <row r="166" customFormat="false" ht="15" hidden="false" customHeight="false" outlineLevel="0" collapsed="false">
      <c r="A166" s="9" t="s">
        <v>71</v>
      </c>
      <c r="B166" s="24" t="s">
        <v>72</v>
      </c>
      <c r="C166" s="15"/>
      <c r="D166" s="15"/>
      <c r="E166" s="11" t="n">
        <f aca="false">IF($A166="",0,SUMIFS(tblAuftraege[Ausgaben],tblAuftraege[Datum Ausgaben],"&gt;="&amp;E$5,tblAuftraege[Datum Ausgaben],"&lt;"&amp;EDATE(E$5,1),tblAuftraege[Kostenstelle],$A166))</f>
        <v>0</v>
      </c>
      <c r="F166" s="11" t="n">
        <f aca="false">IF($A166="",0,SUMIFS(tblAuftraege[Ausgaben],tblAuftraege[Datum Ausgaben],"&gt;="&amp;F$5,tblAuftraege[Datum Ausgaben],"&lt;"&amp;EDATE(F$5,1),tblAuftraege[Kostenstelle],$A166))</f>
        <v>0</v>
      </c>
      <c r="G166" s="11" t="n">
        <f aca="false">IF($A166="",0,SUMIFS(tblAuftraege[Ausgaben],tblAuftraege[Datum Ausgaben],"&gt;="&amp;G$5,tblAuftraege[Datum Ausgaben],"&lt;"&amp;EDATE(G$5,1),tblAuftraege[Kostenstelle],$A166))</f>
        <v>0</v>
      </c>
      <c r="H166" s="11" t="n">
        <f aca="false">IF($A166="",0,SUMIFS(tblAuftraege[Ausgaben],tblAuftraege[Datum Ausgaben],"&gt;="&amp;H$5,tblAuftraege[Datum Ausgaben],"&lt;"&amp;EDATE(H$5,1),tblAuftraege[Kostenstelle],$A166))</f>
        <v>0</v>
      </c>
      <c r="I166" s="11" t="n">
        <f aca="false">IF($A166="",0,SUMIFS(tblAuftraege[Ausgaben],tblAuftraege[Datum Ausgaben],"&gt;="&amp;I$5,tblAuftraege[Datum Ausgaben],"&lt;"&amp;EDATE(I$5,1),tblAuftraege[Kostenstelle],$A166))</f>
        <v>0</v>
      </c>
      <c r="J166" s="11" t="n">
        <f aca="false">IF($A166="",0,SUMIFS(tblAuftraege[Ausgaben],tblAuftraege[Datum Ausgaben],"&gt;="&amp;J$5,tblAuftraege[Datum Ausgaben],"&lt;"&amp;EDATE(J$5,1),tblAuftraege[Kostenstelle],$A166))</f>
        <v>0</v>
      </c>
      <c r="K166" s="11" t="n">
        <f aca="false">IF($A166="",0,SUMIFS(tblAuftraege[Ausgaben],tblAuftraege[Datum Ausgaben],"&gt;="&amp;K$5,tblAuftraege[Datum Ausgaben],"&lt;"&amp;EDATE(K$5,1),tblAuftraege[Kostenstelle],$A166))</f>
        <v>0</v>
      </c>
      <c r="L166" s="11" t="n">
        <f aca="false">IF($A166="",0,SUMIFS(tblAuftraege[Ausgaben],tblAuftraege[Datum Ausgaben],"&gt;="&amp;L$5,tblAuftraege[Datum Ausgaben],"&lt;"&amp;EDATE(L$5,1),tblAuftraege[Kostenstelle],$A166))</f>
        <v>0</v>
      </c>
      <c r="M166" s="11" t="n">
        <f aca="false">IF($A166="",0,SUMIFS(tblAuftraege[Ausgaben],tblAuftraege[Datum Ausgaben],"&gt;="&amp;M$5,tblAuftraege[Datum Ausgaben],"&lt;"&amp;EDATE(M$5,1),tblAuftraege[Kostenstelle],$A166))</f>
        <v>0</v>
      </c>
      <c r="N166" s="11" t="n">
        <f aca="false">IF($A166="",0,SUMIFS(tblAuftraege[Ausgaben],tblAuftraege[Datum Ausgaben],"&gt;="&amp;N$5,tblAuftraege[Datum Ausgaben],"&lt;"&amp;EDATE(N$5,1),tblAuftraege[Kostenstelle],$A166))</f>
        <v>0</v>
      </c>
      <c r="O166" s="11" t="n">
        <f aca="false">IF($A166="",0,SUMIFS(tblAuftraege[Ausgaben],tblAuftraege[Datum Ausgaben],"&gt;="&amp;O$5,tblAuftraege[Datum Ausgaben],"&lt;"&amp;EDATE(O$5,1),tblAuftraege[Kostenstelle],$A166))</f>
        <v>0</v>
      </c>
      <c r="P166" s="11" t="n">
        <f aca="false">IF($A166="",0,SUMIFS(tblAuftraege[Ausgaben],tblAuftraege[Datum Ausgaben],"&gt;="&amp;P$5,tblAuftraege[Datum Ausgaben],"&lt;"&amp;EDATE(P$5,1),tblAuftraege[Kostenstelle],$A166))</f>
        <v>0</v>
      </c>
      <c r="Q166" s="11" t="n">
        <f aca="false">IF($A166="",0,SUMIFS(tblAuftraege[Ausgaben],tblAuftraege[Datum Ausgaben],"&gt;="&amp;Q$5,tblAuftraege[Datum Ausgaben],"&lt;"&amp;EDATE(Q$5,1),tblAuftraege[Kostenstelle],$A166))</f>
        <v>0</v>
      </c>
      <c r="R166" s="11" t="n">
        <f aca="false">IF($A166="",0,SUMIFS(tblAuftraege[Ausgaben],tblAuftraege[Datum Ausgaben],"&gt;="&amp;R$5,tblAuftraege[Datum Ausgaben],"&lt;"&amp;EDATE(R$5,1),tblAuftraege[Kostenstelle],$A166))</f>
        <v>0</v>
      </c>
      <c r="S166" s="11" t="n">
        <f aca="false">IF($A166="",0,SUMIFS(tblAuftraege[Ausgaben],tblAuftraege[Datum Ausgaben],"&gt;="&amp;S$5,tblAuftraege[Datum Ausgaben],"&lt;"&amp;EDATE(S$5,1),tblAuftraege[Kostenstelle],$A166))</f>
        <v>0</v>
      </c>
      <c r="T166" s="11" t="n">
        <f aca="false">IF($A166="",0,SUMIFS(tblAuftraege[Ausgaben],tblAuftraege[Datum Ausgaben],"&gt;="&amp;T$5,tblAuftraege[Datum Ausgaben],"&lt;"&amp;EDATE(T$5,1),tblAuftraege[Kostenstelle],$A166))</f>
        <v>0</v>
      </c>
      <c r="U166" s="11" t="n">
        <f aca="false">IF($A166="",0,SUMIFS(tblAuftraege[Ausgaben],tblAuftraege[Datum Ausgaben],"&gt;="&amp;U$5,tblAuftraege[Datum Ausgaben],"&lt;"&amp;EDATE(U$5,1),tblAuftraege[Kostenstelle],$A166))</f>
        <v>0</v>
      </c>
      <c r="V166" s="11" t="n">
        <f aca="false">IF($A166="",0,SUMIFS(tblAuftraege[Ausgaben],tblAuftraege[Datum Ausgaben],"&gt;="&amp;V$5,tblAuftraege[Datum Ausgaben],"&lt;"&amp;EDATE(V$5,1),tblAuftraege[Kostenstelle],$A166))</f>
        <v>0</v>
      </c>
      <c r="W166" s="11" t="n">
        <f aca="false">SUM(E166:J166)</f>
        <v>0</v>
      </c>
      <c r="X166" s="11" t="n">
        <f aca="false">SUM(K166:V166)</f>
        <v>0</v>
      </c>
      <c r="Y166" s="12" t="n">
        <f aca="false">SUM(E166:V166)</f>
        <v>0</v>
      </c>
    </row>
    <row r="167" customFormat="false" ht="15" hidden="false" customHeight="false" outlineLevel="0" collapsed="false">
      <c r="A167" s="9"/>
      <c r="B167" s="15"/>
      <c r="C167" s="15"/>
      <c r="D167" s="15"/>
      <c r="E167" s="11" t="n">
        <f aca="false">IF($A167="",0,SUMIFS(tblAuftraege[Ausgaben],tblAuftraege[Datum Ausgaben],"&gt;="&amp;E$5,tblAuftraege[Datum Ausgaben],"&lt;"&amp;EDATE(E$5,1),tblAuftraege[Kostenstelle],$A167))</f>
        <v>0</v>
      </c>
      <c r="F167" s="11" t="n">
        <f aca="false">IF($A167="",0,SUMIFS(tblAuftraege[Ausgaben],tblAuftraege[Datum Ausgaben],"&gt;="&amp;F$5,tblAuftraege[Datum Ausgaben],"&lt;"&amp;EDATE(F$5,1),tblAuftraege[Kostenstelle],$A167))</f>
        <v>0</v>
      </c>
      <c r="G167" s="11" t="n">
        <f aca="false">IF($A167="",0,SUMIFS(tblAuftraege[Ausgaben],tblAuftraege[Datum Ausgaben],"&gt;="&amp;G$5,tblAuftraege[Datum Ausgaben],"&lt;"&amp;EDATE(G$5,1),tblAuftraege[Kostenstelle],$A167))</f>
        <v>0</v>
      </c>
      <c r="H167" s="11" t="n">
        <f aca="false">IF($A167="",0,SUMIFS(tblAuftraege[Ausgaben],tblAuftraege[Datum Ausgaben],"&gt;="&amp;H$5,tblAuftraege[Datum Ausgaben],"&lt;"&amp;EDATE(H$5,1),tblAuftraege[Kostenstelle],$A167))</f>
        <v>0</v>
      </c>
      <c r="I167" s="11" t="n">
        <f aca="false">IF($A167="",0,SUMIFS(tblAuftraege[Ausgaben],tblAuftraege[Datum Ausgaben],"&gt;="&amp;I$5,tblAuftraege[Datum Ausgaben],"&lt;"&amp;EDATE(I$5,1),tblAuftraege[Kostenstelle],$A167))</f>
        <v>0</v>
      </c>
      <c r="J167" s="11" t="n">
        <f aca="false">IF($A167="",0,SUMIFS(tblAuftraege[Ausgaben],tblAuftraege[Datum Ausgaben],"&gt;="&amp;J$5,tblAuftraege[Datum Ausgaben],"&lt;"&amp;EDATE(J$5,1),tblAuftraege[Kostenstelle],$A167))</f>
        <v>0</v>
      </c>
      <c r="K167" s="11" t="n">
        <f aca="false">IF($A167="",0,SUMIFS(tblAuftraege[Ausgaben],tblAuftraege[Datum Ausgaben],"&gt;="&amp;K$5,tblAuftraege[Datum Ausgaben],"&lt;"&amp;EDATE(K$5,1),tblAuftraege[Kostenstelle],$A167))</f>
        <v>0</v>
      </c>
      <c r="L167" s="11" t="n">
        <f aca="false">IF($A167="",0,SUMIFS(tblAuftraege[Ausgaben],tblAuftraege[Datum Ausgaben],"&gt;="&amp;L$5,tblAuftraege[Datum Ausgaben],"&lt;"&amp;EDATE(L$5,1),tblAuftraege[Kostenstelle],$A167))</f>
        <v>0</v>
      </c>
      <c r="M167" s="11" t="n">
        <f aca="false">IF($A167="",0,SUMIFS(tblAuftraege[Ausgaben],tblAuftraege[Datum Ausgaben],"&gt;="&amp;M$5,tblAuftraege[Datum Ausgaben],"&lt;"&amp;EDATE(M$5,1),tblAuftraege[Kostenstelle],$A167))</f>
        <v>0</v>
      </c>
      <c r="N167" s="11" t="n">
        <f aca="false">IF($A167="",0,SUMIFS(tblAuftraege[Ausgaben],tblAuftraege[Datum Ausgaben],"&gt;="&amp;N$5,tblAuftraege[Datum Ausgaben],"&lt;"&amp;EDATE(N$5,1),tblAuftraege[Kostenstelle],$A167))</f>
        <v>0</v>
      </c>
      <c r="O167" s="11" t="n">
        <f aca="false">IF($A167="",0,SUMIFS(tblAuftraege[Ausgaben],tblAuftraege[Datum Ausgaben],"&gt;="&amp;O$5,tblAuftraege[Datum Ausgaben],"&lt;"&amp;EDATE(O$5,1),tblAuftraege[Kostenstelle],$A167))</f>
        <v>0</v>
      </c>
      <c r="P167" s="11" t="n">
        <f aca="false">IF($A167="",0,SUMIFS(tblAuftraege[Ausgaben],tblAuftraege[Datum Ausgaben],"&gt;="&amp;P$5,tblAuftraege[Datum Ausgaben],"&lt;"&amp;EDATE(P$5,1),tblAuftraege[Kostenstelle],$A167))</f>
        <v>0</v>
      </c>
      <c r="Q167" s="11" t="n">
        <f aca="false">IF($A167="",0,SUMIFS(tblAuftraege[Ausgaben],tblAuftraege[Datum Ausgaben],"&gt;="&amp;Q$5,tblAuftraege[Datum Ausgaben],"&lt;"&amp;EDATE(Q$5,1),tblAuftraege[Kostenstelle],$A167))</f>
        <v>0</v>
      </c>
      <c r="R167" s="11" t="n">
        <f aca="false">IF($A167="",0,SUMIFS(tblAuftraege[Ausgaben],tblAuftraege[Datum Ausgaben],"&gt;="&amp;R$5,tblAuftraege[Datum Ausgaben],"&lt;"&amp;EDATE(R$5,1),tblAuftraege[Kostenstelle],$A167))</f>
        <v>0</v>
      </c>
      <c r="S167" s="11" t="n">
        <f aca="false">IF($A167="",0,SUMIFS(tblAuftraege[Ausgaben],tblAuftraege[Datum Ausgaben],"&gt;="&amp;S$5,tblAuftraege[Datum Ausgaben],"&lt;"&amp;EDATE(S$5,1),tblAuftraege[Kostenstelle],$A167))</f>
        <v>0</v>
      </c>
      <c r="T167" s="11" t="n">
        <f aca="false">IF($A167="",0,SUMIFS(tblAuftraege[Ausgaben],tblAuftraege[Datum Ausgaben],"&gt;="&amp;T$5,tblAuftraege[Datum Ausgaben],"&lt;"&amp;EDATE(T$5,1),tblAuftraege[Kostenstelle],$A167))</f>
        <v>0</v>
      </c>
      <c r="U167" s="11" t="n">
        <f aca="false">IF($A167="",0,SUMIFS(tblAuftraege[Ausgaben],tblAuftraege[Datum Ausgaben],"&gt;="&amp;U$5,tblAuftraege[Datum Ausgaben],"&lt;"&amp;EDATE(U$5,1),tblAuftraege[Kostenstelle],$A167))</f>
        <v>0</v>
      </c>
      <c r="V167" s="11" t="n">
        <f aca="false">IF($A167="",0,SUMIFS(tblAuftraege[Ausgaben],tblAuftraege[Datum Ausgaben],"&gt;="&amp;V$5,tblAuftraege[Datum Ausgaben],"&lt;"&amp;EDATE(V$5,1),tblAuftraege[Kostenstelle],$A167))</f>
        <v>0</v>
      </c>
      <c r="W167" s="11" t="n">
        <f aca="false">SUM(E167:J167)</f>
        <v>0</v>
      </c>
      <c r="X167" s="11" t="n">
        <f aca="false">SUM(K167:V167)</f>
        <v>0</v>
      </c>
      <c r="Y167" s="12" t="n">
        <f aca="false">SUM(E167:V167)</f>
        <v>0</v>
      </c>
    </row>
    <row r="168" customFormat="false" ht="15" hidden="false" customHeight="false" outlineLevel="0" collapsed="false">
      <c r="A168" s="9"/>
      <c r="B168" s="15"/>
      <c r="C168" s="15"/>
      <c r="D168" s="15"/>
      <c r="E168" s="11" t="n">
        <f aca="false">IF($A168="",0,SUMIFS(tblAuftraege[Ausgaben],tblAuftraege[Datum Ausgaben],"&gt;="&amp;E$5,tblAuftraege[Datum Ausgaben],"&lt;"&amp;EDATE(E$5,1),tblAuftraege[Kostenstelle],$A168))</f>
        <v>0</v>
      </c>
      <c r="F168" s="11" t="n">
        <f aca="false">IF($A168="",0,SUMIFS(tblAuftraege[Ausgaben],tblAuftraege[Datum Ausgaben],"&gt;="&amp;F$5,tblAuftraege[Datum Ausgaben],"&lt;"&amp;EDATE(F$5,1),tblAuftraege[Kostenstelle],$A168))</f>
        <v>0</v>
      </c>
      <c r="G168" s="11" t="n">
        <f aca="false">IF($A168="",0,SUMIFS(tblAuftraege[Ausgaben],tblAuftraege[Datum Ausgaben],"&gt;="&amp;G$5,tblAuftraege[Datum Ausgaben],"&lt;"&amp;EDATE(G$5,1),tblAuftraege[Kostenstelle],$A168))</f>
        <v>0</v>
      </c>
      <c r="H168" s="11" t="n">
        <f aca="false">IF($A168="",0,SUMIFS(tblAuftraege[Ausgaben],tblAuftraege[Datum Ausgaben],"&gt;="&amp;H$5,tblAuftraege[Datum Ausgaben],"&lt;"&amp;EDATE(H$5,1),tblAuftraege[Kostenstelle],$A168))</f>
        <v>0</v>
      </c>
      <c r="I168" s="11" t="n">
        <f aca="false">IF($A168="",0,SUMIFS(tblAuftraege[Ausgaben],tblAuftraege[Datum Ausgaben],"&gt;="&amp;I$5,tblAuftraege[Datum Ausgaben],"&lt;"&amp;EDATE(I$5,1),tblAuftraege[Kostenstelle],$A168))</f>
        <v>0</v>
      </c>
      <c r="J168" s="11" t="n">
        <f aca="false">IF($A168="",0,SUMIFS(tblAuftraege[Ausgaben],tblAuftraege[Datum Ausgaben],"&gt;="&amp;J$5,tblAuftraege[Datum Ausgaben],"&lt;"&amp;EDATE(J$5,1),tblAuftraege[Kostenstelle],$A168))</f>
        <v>0</v>
      </c>
      <c r="K168" s="11" t="n">
        <f aca="false">IF($A168="",0,SUMIFS(tblAuftraege[Ausgaben],tblAuftraege[Datum Ausgaben],"&gt;="&amp;K$5,tblAuftraege[Datum Ausgaben],"&lt;"&amp;EDATE(K$5,1),tblAuftraege[Kostenstelle],$A168))</f>
        <v>0</v>
      </c>
      <c r="L168" s="11" t="n">
        <f aca="false">IF($A168="",0,SUMIFS(tblAuftraege[Ausgaben],tblAuftraege[Datum Ausgaben],"&gt;="&amp;L$5,tblAuftraege[Datum Ausgaben],"&lt;"&amp;EDATE(L$5,1),tblAuftraege[Kostenstelle],$A168))</f>
        <v>0</v>
      </c>
      <c r="M168" s="11" t="n">
        <f aca="false">IF($A168="",0,SUMIFS(tblAuftraege[Ausgaben],tblAuftraege[Datum Ausgaben],"&gt;="&amp;M$5,tblAuftraege[Datum Ausgaben],"&lt;"&amp;EDATE(M$5,1),tblAuftraege[Kostenstelle],$A168))</f>
        <v>0</v>
      </c>
      <c r="N168" s="11" t="n">
        <f aca="false">IF($A168="",0,SUMIFS(tblAuftraege[Ausgaben],tblAuftraege[Datum Ausgaben],"&gt;="&amp;N$5,tblAuftraege[Datum Ausgaben],"&lt;"&amp;EDATE(N$5,1),tblAuftraege[Kostenstelle],$A168))</f>
        <v>0</v>
      </c>
      <c r="O168" s="11" t="n">
        <f aca="false">IF($A168="",0,SUMIFS(tblAuftraege[Ausgaben],tblAuftraege[Datum Ausgaben],"&gt;="&amp;O$5,tblAuftraege[Datum Ausgaben],"&lt;"&amp;EDATE(O$5,1),tblAuftraege[Kostenstelle],$A168))</f>
        <v>0</v>
      </c>
      <c r="P168" s="11" t="n">
        <f aca="false">IF($A168="",0,SUMIFS(tblAuftraege[Ausgaben],tblAuftraege[Datum Ausgaben],"&gt;="&amp;P$5,tblAuftraege[Datum Ausgaben],"&lt;"&amp;EDATE(P$5,1),tblAuftraege[Kostenstelle],$A168))</f>
        <v>0</v>
      </c>
      <c r="Q168" s="11" t="n">
        <f aca="false">IF($A168="",0,SUMIFS(tblAuftraege[Ausgaben],tblAuftraege[Datum Ausgaben],"&gt;="&amp;Q$5,tblAuftraege[Datum Ausgaben],"&lt;"&amp;EDATE(Q$5,1),tblAuftraege[Kostenstelle],$A168))</f>
        <v>0</v>
      </c>
      <c r="R168" s="11" t="n">
        <f aca="false">IF($A168="",0,SUMIFS(tblAuftraege[Ausgaben],tblAuftraege[Datum Ausgaben],"&gt;="&amp;R$5,tblAuftraege[Datum Ausgaben],"&lt;"&amp;EDATE(R$5,1),tblAuftraege[Kostenstelle],$A168))</f>
        <v>0</v>
      </c>
      <c r="S168" s="11" t="n">
        <f aca="false">IF($A168="",0,SUMIFS(tblAuftraege[Ausgaben],tblAuftraege[Datum Ausgaben],"&gt;="&amp;S$5,tblAuftraege[Datum Ausgaben],"&lt;"&amp;EDATE(S$5,1),tblAuftraege[Kostenstelle],$A168))</f>
        <v>0</v>
      </c>
      <c r="T168" s="11" t="n">
        <f aca="false">IF($A168="",0,SUMIFS(tblAuftraege[Ausgaben],tblAuftraege[Datum Ausgaben],"&gt;="&amp;T$5,tblAuftraege[Datum Ausgaben],"&lt;"&amp;EDATE(T$5,1),tblAuftraege[Kostenstelle],$A168))</f>
        <v>0</v>
      </c>
      <c r="U168" s="11" t="n">
        <f aca="false">IF($A168="",0,SUMIFS(tblAuftraege[Ausgaben],tblAuftraege[Datum Ausgaben],"&gt;="&amp;U$5,tblAuftraege[Datum Ausgaben],"&lt;"&amp;EDATE(U$5,1),tblAuftraege[Kostenstelle],$A168))</f>
        <v>0</v>
      </c>
      <c r="V168" s="11" t="n">
        <f aca="false">IF($A168="",0,SUMIFS(tblAuftraege[Ausgaben],tblAuftraege[Datum Ausgaben],"&gt;="&amp;V$5,tblAuftraege[Datum Ausgaben],"&lt;"&amp;EDATE(V$5,1),tblAuftraege[Kostenstelle],$A168))</f>
        <v>0</v>
      </c>
      <c r="W168" s="11" t="n">
        <f aca="false">SUM(E168:J168)</f>
        <v>0</v>
      </c>
      <c r="X168" s="11" t="n">
        <f aca="false">SUM(K168:V168)</f>
        <v>0</v>
      </c>
      <c r="Y168" s="12" t="n">
        <f aca="false">SUM(E168:V168)</f>
        <v>0</v>
      </c>
    </row>
    <row r="169" customFormat="false" ht="15" hidden="false" customHeight="false" outlineLevel="0" collapsed="false">
      <c r="A169" s="9"/>
      <c r="B169" s="15"/>
      <c r="C169" s="15"/>
      <c r="D169" s="15"/>
      <c r="E169" s="11" t="n">
        <f aca="false">IF($A169="",0,SUMIFS(tblAuftraege[Ausgaben],tblAuftraege[Datum Ausgaben],"&gt;="&amp;E$5,tblAuftraege[Datum Ausgaben],"&lt;"&amp;EDATE(E$5,1),tblAuftraege[Kostenstelle],$A169))</f>
        <v>0</v>
      </c>
      <c r="F169" s="11" t="n">
        <f aca="false">IF($A169="",0,SUMIFS(tblAuftraege[Ausgaben],tblAuftraege[Datum Ausgaben],"&gt;="&amp;F$5,tblAuftraege[Datum Ausgaben],"&lt;"&amp;EDATE(F$5,1),tblAuftraege[Kostenstelle],$A169))</f>
        <v>0</v>
      </c>
      <c r="G169" s="11" t="n">
        <f aca="false">IF($A169="",0,SUMIFS(tblAuftraege[Ausgaben],tblAuftraege[Datum Ausgaben],"&gt;="&amp;G$5,tblAuftraege[Datum Ausgaben],"&lt;"&amp;EDATE(G$5,1),tblAuftraege[Kostenstelle],$A169))</f>
        <v>0</v>
      </c>
      <c r="H169" s="11" t="n">
        <f aca="false">IF($A169="",0,SUMIFS(tblAuftraege[Ausgaben],tblAuftraege[Datum Ausgaben],"&gt;="&amp;H$5,tblAuftraege[Datum Ausgaben],"&lt;"&amp;EDATE(H$5,1),tblAuftraege[Kostenstelle],$A169))</f>
        <v>0</v>
      </c>
      <c r="I169" s="11" t="n">
        <f aca="false">IF($A169="",0,SUMIFS(tblAuftraege[Ausgaben],tblAuftraege[Datum Ausgaben],"&gt;="&amp;I$5,tblAuftraege[Datum Ausgaben],"&lt;"&amp;EDATE(I$5,1),tblAuftraege[Kostenstelle],$A169))</f>
        <v>0</v>
      </c>
      <c r="J169" s="11" t="n">
        <f aca="false">IF($A169="",0,SUMIFS(tblAuftraege[Ausgaben],tblAuftraege[Datum Ausgaben],"&gt;="&amp;J$5,tblAuftraege[Datum Ausgaben],"&lt;"&amp;EDATE(J$5,1),tblAuftraege[Kostenstelle],$A169))</f>
        <v>0</v>
      </c>
      <c r="K169" s="11" t="n">
        <f aca="false">IF($A169="",0,SUMIFS(tblAuftraege[Ausgaben],tblAuftraege[Datum Ausgaben],"&gt;="&amp;K$5,tblAuftraege[Datum Ausgaben],"&lt;"&amp;EDATE(K$5,1),tblAuftraege[Kostenstelle],$A169))</f>
        <v>0</v>
      </c>
      <c r="L169" s="11" t="n">
        <f aca="false">IF($A169="",0,SUMIFS(tblAuftraege[Ausgaben],tblAuftraege[Datum Ausgaben],"&gt;="&amp;L$5,tblAuftraege[Datum Ausgaben],"&lt;"&amp;EDATE(L$5,1),tblAuftraege[Kostenstelle],$A169))</f>
        <v>0</v>
      </c>
      <c r="M169" s="11" t="n">
        <f aca="false">IF($A169="",0,SUMIFS(tblAuftraege[Ausgaben],tblAuftraege[Datum Ausgaben],"&gt;="&amp;M$5,tblAuftraege[Datum Ausgaben],"&lt;"&amp;EDATE(M$5,1),tblAuftraege[Kostenstelle],$A169))</f>
        <v>0</v>
      </c>
      <c r="N169" s="11" t="n">
        <f aca="false">IF($A169="",0,SUMIFS(tblAuftraege[Ausgaben],tblAuftraege[Datum Ausgaben],"&gt;="&amp;N$5,tblAuftraege[Datum Ausgaben],"&lt;"&amp;EDATE(N$5,1),tblAuftraege[Kostenstelle],$A169))</f>
        <v>0</v>
      </c>
      <c r="O169" s="11" t="n">
        <f aca="false">IF($A169="",0,SUMIFS(tblAuftraege[Ausgaben],tblAuftraege[Datum Ausgaben],"&gt;="&amp;O$5,tblAuftraege[Datum Ausgaben],"&lt;"&amp;EDATE(O$5,1),tblAuftraege[Kostenstelle],$A169))</f>
        <v>0</v>
      </c>
      <c r="P169" s="11" t="n">
        <f aca="false">IF($A169="",0,SUMIFS(tblAuftraege[Ausgaben],tblAuftraege[Datum Ausgaben],"&gt;="&amp;P$5,tblAuftraege[Datum Ausgaben],"&lt;"&amp;EDATE(P$5,1),tblAuftraege[Kostenstelle],$A169))</f>
        <v>0</v>
      </c>
      <c r="Q169" s="11" t="n">
        <f aca="false">IF($A169="",0,SUMIFS(tblAuftraege[Ausgaben],tblAuftraege[Datum Ausgaben],"&gt;="&amp;Q$5,tblAuftraege[Datum Ausgaben],"&lt;"&amp;EDATE(Q$5,1),tblAuftraege[Kostenstelle],$A169))</f>
        <v>0</v>
      </c>
      <c r="R169" s="11" t="n">
        <f aca="false">IF($A169="",0,SUMIFS(tblAuftraege[Ausgaben],tblAuftraege[Datum Ausgaben],"&gt;="&amp;R$5,tblAuftraege[Datum Ausgaben],"&lt;"&amp;EDATE(R$5,1),tblAuftraege[Kostenstelle],$A169))</f>
        <v>0</v>
      </c>
      <c r="S169" s="11" t="n">
        <f aca="false">IF($A169="",0,SUMIFS(tblAuftraege[Ausgaben],tblAuftraege[Datum Ausgaben],"&gt;="&amp;S$5,tblAuftraege[Datum Ausgaben],"&lt;"&amp;EDATE(S$5,1),tblAuftraege[Kostenstelle],$A169))</f>
        <v>0</v>
      </c>
      <c r="T169" s="11" t="n">
        <f aca="false">IF($A169="",0,SUMIFS(tblAuftraege[Ausgaben],tblAuftraege[Datum Ausgaben],"&gt;="&amp;T$5,tblAuftraege[Datum Ausgaben],"&lt;"&amp;EDATE(T$5,1),tblAuftraege[Kostenstelle],$A169))</f>
        <v>0</v>
      </c>
      <c r="U169" s="11" t="n">
        <f aca="false">IF($A169="",0,SUMIFS(tblAuftraege[Ausgaben],tblAuftraege[Datum Ausgaben],"&gt;="&amp;U$5,tblAuftraege[Datum Ausgaben],"&lt;"&amp;EDATE(U$5,1),tblAuftraege[Kostenstelle],$A169))</f>
        <v>0</v>
      </c>
      <c r="V169" s="11" t="n">
        <f aca="false">IF($A169="",0,SUMIFS(tblAuftraege[Ausgaben],tblAuftraege[Datum Ausgaben],"&gt;="&amp;V$5,tblAuftraege[Datum Ausgaben],"&lt;"&amp;EDATE(V$5,1),tblAuftraege[Kostenstelle],$A169))</f>
        <v>0</v>
      </c>
      <c r="W169" s="11" t="n">
        <f aca="false">SUM(E169:J169)</f>
        <v>0</v>
      </c>
      <c r="X169" s="11" t="n">
        <f aca="false">SUM(K169:V169)</f>
        <v>0</v>
      </c>
      <c r="Y169" s="12" t="n">
        <f aca="false">SUM(E169:V169)</f>
        <v>0</v>
      </c>
    </row>
    <row r="170" customFormat="false" ht="15" hidden="false" customHeight="false" outlineLevel="0" collapsed="false">
      <c r="A170" s="9"/>
      <c r="B170" s="15"/>
      <c r="C170" s="15"/>
      <c r="D170" s="15"/>
      <c r="E170" s="11" t="n">
        <f aca="false">IF($A170="",0,SUMIFS(tblAuftraege[Ausgaben],tblAuftraege[Datum Ausgaben],"&gt;="&amp;E$5,tblAuftraege[Datum Ausgaben],"&lt;"&amp;EDATE(E$5,1),tblAuftraege[Kostenstelle],$A170))</f>
        <v>0</v>
      </c>
      <c r="F170" s="11" t="n">
        <f aca="false">IF($A170="",0,SUMIFS(tblAuftraege[Ausgaben],tblAuftraege[Datum Ausgaben],"&gt;="&amp;F$5,tblAuftraege[Datum Ausgaben],"&lt;"&amp;EDATE(F$5,1),tblAuftraege[Kostenstelle],$A170))</f>
        <v>0</v>
      </c>
      <c r="G170" s="11" t="n">
        <f aca="false">IF($A170="",0,SUMIFS(tblAuftraege[Ausgaben],tblAuftraege[Datum Ausgaben],"&gt;="&amp;G$5,tblAuftraege[Datum Ausgaben],"&lt;"&amp;EDATE(G$5,1),tblAuftraege[Kostenstelle],$A170))</f>
        <v>0</v>
      </c>
      <c r="H170" s="11" t="n">
        <f aca="false">IF($A170="",0,SUMIFS(tblAuftraege[Ausgaben],tblAuftraege[Datum Ausgaben],"&gt;="&amp;H$5,tblAuftraege[Datum Ausgaben],"&lt;"&amp;EDATE(H$5,1),tblAuftraege[Kostenstelle],$A170))</f>
        <v>0</v>
      </c>
      <c r="I170" s="11" t="n">
        <f aca="false">IF($A170="",0,SUMIFS(tblAuftraege[Ausgaben],tblAuftraege[Datum Ausgaben],"&gt;="&amp;I$5,tblAuftraege[Datum Ausgaben],"&lt;"&amp;EDATE(I$5,1),tblAuftraege[Kostenstelle],$A170))</f>
        <v>0</v>
      </c>
      <c r="J170" s="11" t="n">
        <f aca="false">IF($A170="",0,SUMIFS(tblAuftraege[Ausgaben],tblAuftraege[Datum Ausgaben],"&gt;="&amp;J$5,tblAuftraege[Datum Ausgaben],"&lt;"&amp;EDATE(J$5,1),tblAuftraege[Kostenstelle],$A170))</f>
        <v>0</v>
      </c>
      <c r="K170" s="11" t="n">
        <f aca="false">IF($A170="",0,SUMIFS(tblAuftraege[Ausgaben],tblAuftraege[Datum Ausgaben],"&gt;="&amp;K$5,tblAuftraege[Datum Ausgaben],"&lt;"&amp;EDATE(K$5,1),tblAuftraege[Kostenstelle],$A170))</f>
        <v>0</v>
      </c>
      <c r="L170" s="11" t="n">
        <f aca="false">IF($A170="",0,SUMIFS(tblAuftraege[Ausgaben],tblAuftraege[Datum Ausgaben],"&gt;="&amp;L$5,tblAuftraege[Datum Ausgaben],"&lt;"&amp;EDATE(L$5,1),tblAuftraege[Kostenstelle],$A170))</f>
        <v>0</v>
      </c>
      <c r="M170" s="11" t="n">
        <f aca="false">IF($A170="",0,SUMIFS(tblAuftraege[Ausgaben],tblAuftraege[Datum Ausgaben],"&gt;="&amp;M$5,tblAuftraege[Datum Ausgaben],"&lt;"&amp;EDATE(M$5,1),tblAuftraege[Kostenstelle],$A170))</f>
        <v>0</v>
      </c>
      <c r="N170" s="11" t="n">
        <f aca="false">IF($A170="",0,SUMIFS(tblAuftraege[Ausgaben],tblAuftraege[Datum Ausgaben],"&gt;="&amp;N$5,tblAuftraege[Datum Ausgaben],"&lt;"&amp;EDATE(N$5,1),tblAuftraege[Kostenstelle],$A170))</f>
        <v>0</v>
      </c>
      <c r="O170" s="11" t="n">
        <f aca="false">IF($A170="",0,SUMIFS(tblAuftraege[Ausgaben],tblAuftraege[Datum Ausgaben],"&gt;="&amp;O$5,tblAuftraege[Datum Ausgaben],"&lt;"&amp;EDATE(O$5,1),tblAuftraege[Kostenstelle],$A170))</f>
        <v>0</v>
      </c>
      <c r="P170" s="11" t="n">
        <f aca="false">IF($A170="",0,SUMIFS(tblAuftraege[Ausgaben],tblAuftraege[Datum Ausgaben],"&gt;="&amp;P$5,tblAuftraege[Datum Ausgaben],"&lt;"&amp;EDATE(P$5,1),tblAuftraege[Kostenstelle],$A170))</f>
        <v>0</v>
      </c>
      <c r="Q170" s="11" t="n">
        <f aca="false">IF($A170="",0,SUMIFS(tblAuftraege[Ausgaben],tblAuftraege[Datum Ausgaben],"&gt;="&amp;Q$5,tblAuftraege[Datum Ausgaben],"&lt;"&amp;EDATE(Q$5,1),tblAuftraege[Kostenstelle],$A170))</f>
        <v>0</v>
      </c>
      <c r="R170" s="11" t="n">
        <f aca="false">IF($A170="",0,SUMIFS(tblAuftraege[Ausgaben],tblAuftraege[Datum Ausgaben],"&gt;="&amp;R$5,tblAuftraege[Datum Ausgaben],"&lt;"&amp;EDATE(R$5,1),tblAuftraege[Kostenstelle],$A170))</f>
        <v>0</v>
      </c>
      <c r="S170" s="11" t="n">
        <f aca="false">IF($A170="",0,SUMIFS(tblAuftraege[Ausgaben],tblAuftraege[Datum Ausgaben],"&gt;="&amp;S$5,tblAuftraege[Datum Ausgaben],"&lt;"&amp;EDATE(S$5,1),tblAuftraege[Kostenstelle],$A170))</f>
        <v>0</v>
      </c>
      <c r="T170" s="11" t="n">
        <f aca="false">IF($A170="",0,SUMIFS(tblAuftraege[Ausgaben],tblAuftraege[Datum Ausgaben],"&gt;="&amp;T$5,tblAuftraege[Datum Ausgaben],"&lt;"&amp;EDATE(T$5,1),tblAuftraege[Kostenstelle],$A170))</f>
        <v>0</v>
      </c>
      <c r="U170" s="11" t="n">
        <f aca="false">IF($A170="",0,SUMIFS(tblAuftraege[Ausgaben],tblAuftraege[Datum Ausgaben],"&gt;="&amp;U$5,tblAuftraege[Datum Ausgaben],"&lt;"&amp;EDATE(U$5,1),tblAuftraege[Kostenstelle],$A170))</f>
        <v>0</v>
      </c>
      <c r="V170" s="11" t="n">
        <f aca="false">IF($A170="",0,SUMIFS(tblAuftraege[Ausgaben],tblAuftraege[Datum Ausgaben],"&gt;="&amp;V$5,tblAuftraege[Datum Ausgaben],"&lt;"&amp;EDATE(V$5,1),tblAuftraege[Kostenstelle],$A170))</f>
        <v>0</v>
      </c>
      <c r="W170" s="11" t="n">
        <f aca="false">SUM(E170:J170)</f>
        <v>0</v>
      </c>
      <c r="X170" s="11" t="n">
        <f aca="false">SUM(K170:V170)</f>
        <v>0</v>
      </c>
      <c r="Y170" s="12" t="n">
        <f aca="false">SUM(E170:V170)</f>
        <v>0</v>
      </c>
    </row>
    <row r="171" customFormat="false" ht="15" hidden="false" customHeight="false" outlineLevel="0" collapsed="false">
      <c r="A171" s="9"/>
      <c r="B171" s="15"/>
      <c r="C171" s="15"/>
      <c r="D171" s="15"/>
      <c r="E171" s="11" t="n">
        <f aca="false">IF($A171="",0,SUMIFS(tblAuftraege[Ausgaben],tblAuftraege[Datum Ausgaben],"&gt;="&amp;E$5,tblAuftraege[Datum Ausgaben],"&lt;"&amp;EDATE(E$5,1),tblAuftraege[Kostenstelle],$A171))</f>
        <v>0</v>
      </c>
      <c r="F171" s="11" t="n">
        <f aca="false">IF($A171="",0,SUMIFS(tblAuftraege[Ausgaben],tblAuftraege[Datum Ausgaben],"&gt;="&amp;F$5,tblAuftraege[Datum Ausgaben],"&lt;"&amp;EDATE(F$5,1),tblAuftraege[Kostenstelle],$A171))</f>
        <v>0</v>
      </c>
      <c r="G171" s="11" t="n">
        <f aca="false">IF($A171="",0,SUMIFS(tblAuftraege[Ausgaben],tblAuftraege[Datum Ausgaben],"&gt;="&amp;G$5,tblAuftraege[Datum Ausgaben],"&lt;"&amp;EDATE(G$5,1),tblAuftraege[Kostenstelle],$A171))</f>
        <v>0</v>
      </c>
      <c r="H171" s="11" t="n">
        <f aca="false">IF($A171="",0,SUMIFS(tblAuftraege[Ausgaben],tblAuftraege[Datum Ausgaben],"&gt;="&amp;H$5,tblAuftraege[Datum Ausgaben],"&lt;"&amp;EDATE(H$5,1),tblAuftraege[Kostenstelle],$A171))</f>
        <v>0</v>
      </c>
      <c r="I171" s="11" t="n">
        <f aca="false">IF($A171="",0,SUMIFS(tblAuftraege[Ausgaben],tblAuftraege[Datum Ausgaben],"&gt;="&amp;I$5,tblAuftraege[Datum Ausgaben],"&lt;"&amp;EDATE(I$5,1),tblAuftraege[Kostenstelle],$A171))</f>
        <v>0</v>
      </c>
      <c r="J171" s="11" t="n">
        <f aca="false">IF($A171="",0,SUMIFS(tblAuftraege[Ausgaben],tblAuftraege[Datum Ausgaben],"&gt;="&amp;J$5,tblAuftraege[Datum Ausgaben],"&lt;"&amp;EDATE(J$5,1),tblAuftraege[Kostenstelle],$A171))</f>
        <v>0</v>
      </c>
      <c r="K171" s="11" t="n">
        <f aca="false">IF($A171="",0,SUMIFS(tblAuftraege[Ausgaben],tblAuftraege[Datum Ausgaben],"&gt;="&amp;K$5,tblAuftraege[Datum Ausgaben],"&lt;"&amp;EDATE(K$5,1),tblAuftraege[Kostenstelle],$A171))</f>
        <v>0</v>
      </c>
      <c r="L171" s="11" t="n">
        <f aca="false">IF($A171="",0,SUMIFS(tblAuftraege[Ausgaben],tblAuftraege[Datum Ausgaben],"&gt;="&amp;L$5,tblAuftraege[Datum Ausgaben],"&lt;"&amp;EDATE(L$5,1),tblAuftraege[Kostenstelle],$A171))</f>
        <v>0</v>
      </c>
      <c r="M171" s="11" t="n">
        <f aca="false">IF($A171="",0,SUMIFS(tblAuftraege[Ausgaben],tblAuftraege[Datum Ausgaben],"&gt;="&amp;M$5,tblAuftraege[Datum Ausgaben],"&lt;"&amp;EDATE(M$5,1),tblAuftraege[Kostenstelle],$A171))</f>
        <v>0</v>
      </c>
      <c r="N171" s="11" t="n">
        <f aca="false">IF($A171="",0,SUMIFS(tblAuftraege[Ausgaben],tblAuftraege[Datum Ausgaben],"&gt;="&amp;N$5,tblAuftraege[Datum Ausgaben],"&lt;"&amp;EDATE(N$5,1),tblAuftraege[Kostenstelle],$A171))</f>
        <v>0</v>
      </c>
      <c r="O171" s="11" t="n">
        <f aca="false">IF($A171="",0,SUMIFS(tblAuftraege[Ausgaben],tblAuftraege[Datum Ausgaben],"&gt;="&amp;O$5,tblAuftraege[Datum Ausgaben],"&lt;"&amp;EDATE(O$5,1),tblAuftraege[Kostenstelle],$A171))</f>
        <v>0</v>
      </c>
      <c r="P171" s="11" t="n">
        <f aca="false">IF($A171="",0,SUMIFS(tblAuftraege[Ausgaben],tblAuftraege[Datum Ausgaben],"&gt;="&amp;P$5,tblAuftraege[Datum Ausgaben],"&lt;"&amp;EDATE(P$5,1),tblAuftraege[Kostenstelle],$A171))</f>
        <v>0</v>
      </c>
      <c r="Q171" s="11" t="n">
        <f aca="false">IF($A171="",0,SUMIFS(tblAuftraege[Ausgaben],tblAuftraege[Datum Ausgaben],"&gt;="&amp;Q$5,tblAuftraege[Datum Ausgaben],"&lt;"&amp;EDATE(Q$5,1),tblAuftraege[Kostenstelle],$A171))</f>
        <v>0</v>
      </c>
      <c r="R171" s="11" t="n">
        <f aca="false">IF($A171="",0,SUMIFS(tblAuftraege[Ausgaben],tblAuftraege[Datum Ausgaben],"&gt;="&amp;R$5,tblAuftraege[Datum Ausgaben],"&lt;"&amp;EDATE(R$5,1),tblAuftraege[Kostenstelle],$A171))</f>
        <v>0</v>
      </c>
      <c r="S171" s="11" t="n">
        <f aca="false">IF($A171="",0,SUMIFS(tblAuftraege[Ausgaben],tblAuftraege[Datum Ausgaben],"&gt;="&amp;S$5,tblAuftraege[Datum Ausgaben],"&lt;"&amp;EDATE(S$5,1),tblAuftraege[Kostenstelle],$A171))</f>
        <v>0</v>
      </c>
      <c r="T171" s="11" t="n">
        <f aca="false">IF($A171="",0,SUMIFS(tblAuftraege[Ausgaben],tblAuftraege[Datum Ausgaben],"&gt;="&amp;T$5,tblAuftraege[Datum Ausgaben],"&lt;"&amp;EDATE(T$5,1),tblAuftraege[Kostenstelle],$A171))</f>
        <v>0</v>
      </c>
      <c r="U171" s="11" t="n">
        <f aca="false">IF($A171="",0,SUMIFS(tblAuftraege[Ausgaben],tblAuftraege[Datum Ausgaben],"&gt;="&amp;U$5,tblAuftraege[Datum Ausgaben],"&lt;"&amp;EDATE(U$5,1),tblAuftraege[Kostenstelle],$A171))</f>
        <v>0</v>
      </c>
      <c r="V171" s="11" t="n">
        <f aca="false">IF($A171="",0,SUMIFS(tblAuftraege[Ausgaben],tblAuftraege[Datum Ausgaben],"&gt;="&amp;V$5,tblAuftraege[Datum Ausgaben],"&lt;"&amp;EDATE(V$5,1),tblAuftraege[Kostenstelle],$A171))</f>
        <v>0</v>
      </c>
      <c r="W171" s="11" t="n">
        <f aca="false">SUM(E171:J171)</f>
        <v>0</v>
      </c>
      <c r="X171" s="11" t="n">
        <f aca="false">SUM(K171:V171)</f>
        <v>0</v>
      </c>
      <c r="Y171" s="12" t="n">
        <f aca="false">SUM(E171:V171)</f>
        <v>0</v>
      </c>
    </row>
    <row r="172" customFormat="false" ht="15" hidden="false" customHeight="false" outlineLevel="0" collapsed="false">
      <c r="A172" s="9"/>
      <c r="B172" s="15"/>
      <c r="C172" s="15"/>
      <c r="D172" s="15"/>
      <c r="E172" s="11" t="n">
        <f aca="false">IF($A172="",0,SUMIFS(tblAuftraege[Ausgaben],tblAuftraege[Datum Ausgaben],"&gt;="&amp;E$5,tblAuftraege[Datum Ausgaben],"&lt;"&amp;EDATE(E$5,1),tblAuftraege[Kostenstelle],$A172))</f>
        <v>0</v>
      </c>
      <c r="F172" s="11" t="n">
        <f aca="false">IF($A172="",0,SUMIFS(tblAuftraege[Ausgaben],tblAuftraege[Datum Ausgaben],"&gt;="&amp;F$5,tblAuftraege[Datum Ausgaben],"&lt;"&amp;EDATE(F$5,1),tblAuftraege[Kostenstelle],$A172))</f>
        <v>0</v>
      </c>
      <c r="G172" s="11" t="n">
        <f aca="false">IF($A172="",0,SUMIFS(tblAuftraege[Ausgaben],tblAuftraege[Datum Ausgaben],"&gt;="&amp;G$5,tblAuftraege[Datum Ausgaben],"&lt;"&amp;EDATE(G$5,1),tblAuftraege[Kostenstelle],$A172))</f>
        <v>0</v>
      </c>
      <c r="H172" s="11" t="n">
        <f aca="false">IF($A172="",0,SUMIFS(tblAuftraege[Ausgaben],tblAuftraege[Datum Ausgaben],"&gt;="&amp;H$5,tblAuftraege[Datum Ausgaben],"&lt;"&amp;EDATE(H$5,1),tblAuftraege[Kostenstelle],$A172))</f>
        <v>0</v>
      </c>
      <c r="I172" s="11" t="n">
        <f aca="false">IF($A172="",0,SUMIFS(tblAuftraege[Ausgaben],tblAuftraege[Datum Ausgaben],"&gt;="&amp;I$5,tblAuftraege[Datum Ausgaben],"&lt;"&amp;EDATE(I$5,1),tblAuftraege[Kostenstelle],$A172))</f>
        <v>0</v>
      </c>
      <c r="J172" s="11" t="n">
        <f aca="false">IF($A172="",0,SUMIFS(tblAuftraege[Ausgaben],tblAuftraege[Datum Ausgaben],"&gt;="&amp;J$5,tblAuftraege[Datum Ausgaben],"&lt;"&amp;EDATE(J$5,1),tblAuftraege[Kostenstelle],$A172))</f>
        <v>0</v>
      </c>
      <c r="K172" s="11" t="n">
        <f aca="false">IF($A172="",0,SUMIFS(tblAuftraege[Ausgaben],tblAuftraege[Datum Ausgaben],"&gt;="&amp;K$5,tblAuftraege[Datum Ausgaben],"&lt;"&amp;EDATE(K$5,1),tblAuftraege[Kostenstelle],$A172))</f>
        <v>0</v>
      </c>
      <c r="L172" s="11" t="n">
        <f aca="false">IF($A172="",0,SUMIFS(tblAuftraege[Ausgaben],tblAuftraege[Datum Ausgaben],"&gt;="&amp;L$5,tblAuftraege[Datum Ausgaben],"&lt;"&amp;EDATE(L$5,1),tblAuftraege[Kostenstelle],$A172))</f>
        <v>0</v>
      </c>
      <c r="M172" s="11" t="n">
        <f aca="false">IF($A172="",0,SUMIFS(tblAuftraege[Ausgaben],tblAuftraege[Datum Ausgaben],"&gt;="&amp;M$5,tblAuftraege[Datum Ausgaben],"&lt;"&amp;EDATE(M$5,1),tblAuftraege[Kostenstelle],$A172))</f>
        <v>0</v>
      </c>
      <c r="N172" s="11" t="n">
        <f aca="false">IF($A172="",0,SUMIFS(tblAuftraege[Ausgaben],tblAuftraege[Datum Ausgaben],"&gt;="&amp;N$5,tblAuftraege[Datum Ausgaben],"&lt;"&amp;EDATE(N$5,1),tblAuftraege[Kostenstelle],$A172))</f>
        <v>0</v>
      </c>
      <c r="O172" s="11" t="n">
        <f aca="false">IF($A172="",0,SUMIFS(tblAuftraege[Ausgaben],tblAuftraege[Datum Ausgaben],"&gt;="&amp;O$5,tblAuftraege[Datum Ausgaben],"&lt;"&amp;EDATE(O$5,1),tblAuftraege[Kostenstelle],$A172))</f>
        <v>0</v>
      </c>
      <c r="P172" s="11" t="n">
        <f aca="false">IF($A172="",0,SUMIFS(tblAuftraege[Ausgaben],tblAuftraege[Datum Ausgaben],"&gt;="&amp;P$5,tblAuftraege[Datum Ausgaben],"&lt;"&amp;EDATE(P$5,1),tblAuftraege[Kostenstelle],$A172))</f>
        <v>0</v>
      </c>
      <c r="Q172" s="11" t="n">
        <f aca="false">IF($A172="",0,SUMIFS(tblAuftraege[Ausgaben],tblAuftraege[Datum Ausgaben],"&gt;="&amp;Q$5,tblAuftraege[Datum Ausgaben],"&lt;"&amp;EDATE(Q$5,1),tblAuftraege[Kostenstelle],$A172))</f>
        <v>0</v>
      </c>
      <c r="R172" s="11" t="n">
        <f aca="false">IF($A172="",0,SUMIFS(tblAuftraege[Ausgaben],tblAuftraege[Datum Ausgaben],"&gt;="&amp;R$5,tblAuftraege[Datum Ausgaben],"&lt;"&amp;EDATE(R$5,1),tblAuftraege[Kostenstelle],$A172))</f>
        <v>0</v>
      </c>
      <c r="S172" s="11" t="n">
        <f aca="false">IF($A172="",0,SUMIFS(tblAuftraege[Ausgaben],tblAuftraege[Datum Ausgaben],"&gt;="&amp;S$5,tblAuftraege[Datum Ausgaben],"&lt;"&amp;EDATE(S$5,1),tblAuftraege[Kostenstelle],$A172))</f>
        <v>0</v>
      </c>
      <c r="T172" s="11" t="n">
        <f aca="false">IF($A172="",0,SUMIFS(tblAuftraege[Ausgaben],tblAuftraege[Datum Ausgaben],"&gt;="&amp;T$5,tblAuftraege[Datum Ausgaben],"&lt;"&amp;EDATE(T$5,1),tblAuftraege[Kostenstelle],$A172))</f>
        <v>0</v>
      </c>
      <c r="U172" s="11" t="n">
        <f aca="false">IF($A172="",0,SUMIFS(tblAuftraege[Ausgaben],tblAuftraege[Datum Ausgaben],"&gt;="&amp;U$5,tblAuftraege[Datum Ausgaben],"&lt;"&amp;EDATE(U$5,1),tblAuftraege[Kostenstelle],$A172))</f>
        <v>0</v>
      </c>
      <c r="V172" s="11" t="n">
        <f aca="false">IF($A172="",0,SUMIFS(tblAuftraege[Ausgaben],tblAuftraege[Datum Ausgaben],"&gt;="&amp;V$5,tblAuftraege[Datum Ausgaben],"&lt;"&amp;EDATE(V$5,1),tblAuftraege[Kostenstelle],$A172))</f>
        <v>0</v>
      </c>
      <c r="W172" s="11" t="n">
        <f aca="false">SUM(E172:J172)</f>
        <v>0</v>
      </c>
      <c r="X172" s="11" t="n">
        <f aca="false">SUM(K172:V172)</f>
        <v>0</v>
      </c>
      <c r="Y172" s="12" t="n">
        <f aca="false">SUM(E172:V172)</f>
        <v>0</v>
      </c>
    </row>
    <row r="173" customFormat="false" ht="15" hidden="false" customHeight="false" outlineLevel="0" collapsed="false">
      <c r="A173" s="9"/>
      <c r="B173" s="15"/>
      <c r="C173" s="15"/>
      <c r="D173" s="15"/>
      <c r="E173" s="11" t="n">
        <f aca="false">IF($A173="",0,SUMIFS(tblAuftraege[Ausgaben],tblAuftraege[Datum Ausgaben],"&gt;="&amp;E$5,tblAuftraege[Datum Ausgaben],"&lt;"&amp;EDATE(E$5,1),tblAuftraege[Kostenstelle],$A173))</f>
        <v>0</v>
      </c>
      <c r="F173" s="11" t="n">
        <f aca="false">IF($A173="",0,SUMIFS(tblAuftraege[Ausgaben],tblAuftraege[Datum Ausgaben],"&gt;="&amp;F$5,tblAuftraege[Datum Ausgaben],"&lt;"&amp;EDATE(F$5,1),tblAuftraege[Kostenstelle],$A173))</f>
        <v>0</v>
      </c>
      <c r="G173" s="11" t="n">
        <f aca="false">IF($A173="",0,SUMIFS(tblAuftraege[Ausgaben],tblAuftraege[Datum Ausgaben],"&gt;="&amp;G$5,tblAuftraege[Datum Ausgaben],"&lt;"&amp;EDATE(G$5,1),tblAuftraege[Kostenstelle],$A173))</f>
        <v>0</v>
      </c>
      <c r="H173" s="11" t="n">
        <f aca="false">IF($A173="",0,SUMIFS(tblAuftraege[Ausgaben],tblAuftraege[Datum Ausgaben],"&gt;="&amp;H$5,tblAuftraege[Datum Ausgaben],"&lt;"&amp;EDATE(H$5,1),tblAuftraege[Kostenstelle],$A173))</f>
        <v>0</v>
      </c>
      <c r="I173" s="11" t="n">
        <f aca="false">IF($A173="",0,SUMIFS(tblAuftraege[Ausgaben],tblAuftraege[Datum Ausgaben],"&gt;="&amp;I$5,tblAuftraege[Datum Ausgaben],"&lt;"&amp;EDATE(I$5,1),tblAuftraege[Kostenstelle],$A173))</f>
        <v>0</v>
      </c>
      <c r="J173" s="11" t="n">
        <f aca="false">IF($A173="",0,SUMIFS(tblAuftraege[Ausgaben],tblAuftraege[Datum Ausgaben],"&gt;="&amp;J$5,tblAuftraege[Datum Ausgaben],"&lt;"&amp;EDATE(J$5,1),tblAuftraege[Kostenstelle],$A173))</f>
        <v>0</v>
      </c>
      <c r="K173" s="11" t="n">
        <f aca="false">IF($A173="",0,SUMIFS(tblAuftraege[Ausgaben],tblAuftraege[Datum Ausgaben],"&gt;="&amp;K$5,tblAuftraege[Datum Ausgaben],"&lt;"&amp;EDATE(K$5,1),tblAuftraege[Kostenstelle],$A173))</f>
        <v>0</v>
      </c>
      <c r="L173" s="11" t="n">
        <f aca="false">IF($A173="",0,SUMIFS(tblAuftraege[Ausgaben],tblAuftraege[Datum Ausgaben],"&gt;="&amp;L$5,tblAuftraege[Datum Ausgaben],"&lt;"&amp;EDATE(L$5,1),tblAuftraege[Kostenstelle],$A173))</f>
        <v>0</v>
      </c>
      <c r="M173" s="11" t="n">
        <f aca="false">IF($A173="",0,SUMIFS(tblAuftraege[Ausgaben],tblAuftraege[Datum Ausgaben],"&gt;="&amp;M$5,tblAuftraege[Datum Ausgaben],"&lt;"&amp;EDATE(M$5,1),tblAuftraege[Kostenstelle],$A173))</f>
        <v>0</v>
      </c>
      <c r="N173" s="11" t="n">
        <f aca="false">IF($A173="",0,SUMIFS(tblAuftraege[Ausgaben],tblAuftraege[Datum Ausgaben],"&gt;="&amp;N$5,tblAuftraege[Datum Ausgaben],"&lt;"&amp;EDATE(N$5,1),tblAuftraege[Kostenstelle],$A173))</f>
        <v>0</v>
      </c>
      <c r="O173" s="11" t="n">
        <f aca="false">IF($A173="",0,SUMIFS(tblAuftraege[Ausgaben],tblAuftraege[Datum Ausgaben],"&gt;="&amp;O$5,tblAuftraege[Datum Ausgaben],"&lt;"&amp;EDATE(O$5,1),tblAuftraege[Kostenstelle],$A173))</f>
        <v>0</v>
      </c>
      <c r="P173" s="11" t="n">
        <f aca="false">IF($A173="",0,SUMIFS(tblAuftraege[Ausgaben],tblAuftraege[Datum Ausgaben],"&gt;="&amp;P$5,tblAuftraege[Datum Ausgaben],"&lt;"&amp;EDATE(P$5,1),tblAuftraege[Kostenstelle],$A173))</f>
        <v>0</v>
      </c>
      <c r="Q173" s="11" t="n">
        <f aca="false">IF($A173="",0,SUMIFS(tblAuftraege[Ausgaben],tblAuftraege[Datum Ausgaben],"&gt;="&amp;Q$5,tblAuftraege[Datum Ausgaben],"&lt;"&amp;EDATE(Q$5,1),tblAuftraege[Kostenstelle],$A173))</f>
        <v>0</v>
      </c>
      <c r="R173" s="11" t="n">
        <f aca="false">IF($A173="",0,SUMIFS(tblAuftraege[Ausgaben],tblAuftraege[Datum Ausgaben],"&gt;="&amp;R$5,tblAuftraege[Datum Ausgaben],"&lt;"&amp;EDATE(R$5,1),tblAuftraege[Kostenstelle],$A173))</f>
        <v>0</v>
      </c>
      <c r="S173" s="11" t="n">
        <f aca="false">IF($A173="",0,SUMIFS(tblAuftraege[Ausgaben],tblAuftraege[Datum Ausgaben],"&gt;="&amp;S$5,tblAuftraege[Datum Ausgaben],"&lt;"&amp;EDATE(S$5,1),tblAuftraege[Kostenstelle],$A173))</f>
        <v>0</v>
      </c>
      <c r="T173" s="11" t="n">
        <f aca="false">IF($A173="",0,SUMIFS(tblAuftraege[Ausgaben],tblAuftraege[Datum Ausgaben],"&gt;="&amp;T$5,tblAuftraege[Datum Ausgaben],"&lt;"&amp;EDATE(T$5,1),tblAuftraege[Kostenstelle],$A173))</f>
        <v>0</v>
      </c>
      <c r="U173" s="11" t="n">
        <f aca="false">IF($A173="",0,SUMIFS(tblAuftraege[Ausgaben],tblAuftraege[Datum Ausgaben],"&gt;="&amp;U$5,tblAuftraege[Datum Ausgaben],"&lt;"&amp;EDATE(U$5,1),tblAuftraege[Kostenstelle],$A173))</f>
        <v>0</v>
      </c>
      <c r="V173" s="11" t="n">
        <f aca="false">IF($A173="",0,SUMIFS(tblAuftraege[Ausgaben],tblAuftraege[Datum Ausgaben],"&gt;="&amp;V$5,tblAuftraege[Datum Ausgaben],"&lt;"&amp;EDATE(V$5,1),tblAuftraege[Kostenstelle],$A173))</f>
        <v>0</v>
      </c>
      <c r="W173" s="11" t="n">
        <f aca="false">SUM(E173:J173)</f>
        <v>0</v>
      </c>
      <c r="X173" s="11" t="n">
        <f aca="false">SUM(K173:V173)</f>
        <v>0</v>
      </c>
      <c r="Y173" s="12" t="n">
        <f aca="false">SUM(E173:V173)</f>
        <v>0</v>
      </c>
    </row>
    <row r="176" customFormat="false" ht="15" hidden="false" customHeight="false" outlineLevel="0" collapsed="false">
      <c r="A176" s="25" t="s">
        <v>74</v>
      </c>
    </row>
    <row r="177" customFormat="false" ht="15" hidden="false" customHeight="false" outlineLevel="0" collapsed="false">
      <c r="A177" s="26"/>
      <c r="B177" s="27" t="s">
        <v>75</v>
      </c>
    </row>
    <row r="178" customFormat="false" ht="15" hidden="false" customHeight="false" outlineLevel="0" collapsed="false">
      <c r="A178" s="15"/>
      <c r="B178" s="27" t="s">
        <v>76</v>
      </c>
    </row>
    <row r="179" customFormat="false" ht="15" hidden="false" customHeight="false" outlineLevel="0" collapsed="false">
      <c r="A179" s="22"/>
      <c r="B179" s="27" t="s">
        <v>77</v>
      </c>
    </row>
    <row r="180" customFormat="false" ht="15" hidden="false" customHeight="false" outlineLevel="0" collapsed="false">
      <c r="A180" s="3" t="s">
        <v>78</v>
      </c>
    </row>
    <row r="181" customFormat="false" ht="15" hidden="false" customHeight="false" outlineLevel="0" collapsed="false">
      <c r="A181" s="3" t="s">
        <v>79</v>
      </c>
    </row>
    <row r="182" customFormat="false" ht="15" hidden="false" customHeight="false" outlineLevel="0" collapsed="false">
      <c r="A182" s="3" t="s">
        <v>80</v>
      </c>
    </row>
    <row r="183" customFormat="false" ht="15" hidden="false" customHeight="false" outlineLevel="0" collapsed="false">
      <c r="A183" s="3" t="s">
        <v>81</v>
      </c>
    </row>
    <row r="184" customFormat="false" ht="15" hidden="false" customHeight="false" outlineLevel="0" collapsed="false">
      <c r="A184" s="3" t="s">
        <v>82</v>
      </c>
    </row>
  </sheetData>
  <conditionalFormatting sqref="E8:Y173">
    <cfRule type="cellIs" priority="2" operator="lessThan" aboveAverage="0" equalAverage="0" bottom="0" percent="0" rank="0" text="" dxfId="0">
      <formula>0</formula>
    </cfRule>
  </conditionalFormatting>
  <conditionalFormatting sqref="E118:Y119">
    <cfRule type="cellIs" priority="3" operator="greaterThan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DusL Plus Autostrom – Cashflow  |  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7"/>
    <col collapsed="false" customWidth="true" hidden="false" outlineLevel="0" max="8" min="7" style="0" width="16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28" t="s">
        <v>83</v>
      </c>
    </row>
    <row r="2" customFormat="false" ht="15" hidden="false" customHeight="false" outlineLevel="0" collapsed="false">
      <c r="A2" s="29" t="s">
        <v>84</v>
      </c>
    </row>
    <row r="3" customFormat="false" ht="15" hidden="false" customHeight="false" outlineLevel="0" collapsed="false">
      <c r="A3" s="3" t="s">
        <v>85</v>
      </c>
    </row>
    <row r="4" customFormat="false" ht="15" hidden="false" customHeight="false" outlineLevel="0" collapsed="false">
      <c r="A4" s="3" t="s">
        <v>86</v>
      </c>
    </row>
    <row r="6" customFormat="false" ht="30" hidden="false" customHeight="true" outlineLevel="0" collapsed="false">
      <c r="A6" s="6" t="s">
        <v>6</v>
      </c>
      <c r="B6" s="6" t="s">
        <v>7</v>
      </c>
      <c r="C6" s="6" t="s">
        <v>4</v>
      </c>
      <c r="D6" s="6" t="s">
        <v>5</v>
      </c>
      <c r="E6" s="6" t="s">
        <v>87</v>
      </c>
      <c r="F6" s="6" t="s">
        <v>88</v>
      </c>
      <c r="G6" s="6" t="s">
        <v>89</v>
      </c>
      <c r="H6" s="6" t="s">
        <v>90</v>
      </c>
      <c r="I6" s="6" t="s">
        <v>91</v>
      </c>
    </row>
    <row r="7" customFormat="false" ht="15" hidden="false" customHeight="false" outlineLevel="0" collapsed="false">
      <c r="A7" s="30"/>
      <c r="B7" s="30"/>
      <c r="C7" s="30"/>
      <c r="D7" s="30"/>
      <c r="E7" s="31"/>
      <c r="F7" s="31"/>
      <c r="G7" s="32"/>
      <c r="H7" s="32"/>
      <c r="I7" s="33"/>
    </row>
    <row r="8" customFormat="false" ht="15" hidden="false" customHeight="false" outlineLevel="0" collapsed="false">
      <c r="A8" s="30"/>
      <c r="B8" s="30"/>
      <c r="C8" s="30"/>
      <c r="D8" s="30"/>
      <c r="E8" s="31"/>
      <c r="F8" s="31"/>
      <c r="G8" s="32"/>
      <c r="H8" s="32"/>
      <c r="I8" s="33"/>
    </row>
    <row r="9" customFormat="false" ht="15" hidden="false" customHeight="false" outlineLevel="0" collapsed="false">
      <c r="A9" s="30"/>
      <c r="B9" s="30"/>
      <c r="C9" s="30"/>
      <c r="D9" s="30"/>
      <c r="E9" s="31"/>
      <c r="F9" s="31"/>
      <c r="G9" s="32"/>
      <c r="H9" s="32"/>
      <c r="I9" s="33"/>
    </row>
    <row r="10" customFormat="false" ht="15" hidden="false" customHeight="false" outlineLevel="0" collapsed="false">
      <c r="A10" s="30"/>
      <c r="B10" s="30"/>
      <c r="C10" s="30"/>
      <c r="D10" s="30"/>
      <c r="E10" s="31"/>
      <c r="F10" s="31"/>
      <c r="G10" s="32"/>
      <c r="H10" s="32"/>
      <c r="I10" s="33"/>
    </row>
    <row r="11" customFormat="false" ht="15" hidden="false" customHeight="false" outlineLevel="0" collapsed="false">
      <c r="A11" s="30"/>
      <c r="B11" s="30"/>
      <c r="C11" s="30"/>
      <c r="D11" s="30"/>
      <c r="E11" s="31"/>
      <c r="F11" s="31"/>
      <c r="G11" s="32"/>
      <c r="H11" s="32"/>
      <c r="I11" s="33"/>
    </row>
    <row r="12" customFormat="false" ht="15" hidden="false" customHeight="false" outlineLevel="0" collapsed="false">
      <c r="A12" s="30"/>
      <c r="B12" s="30"/>
      <c r="C12" s="30"/>
      <c r="D12" s="30"/>
      <c r="E12" s="31"/>
      <c r="F12" s="31"/>
      <c r="G12" s="32"/>
      <c r="H12" s="32"/>
      <c r="I12" s="33"/>
    </row>
    <row r="13" customFormat="false" ht="15" hidden="false" customHeight="false" outlineLevel="0" collapsed="false">
      <c r="A13" s="30"/>
      <c r="B13" s="30"/>
      <c r="C13" s="30"/>
      <c r="D13" s="30"/>
      <c r="E13" s="31"/>
      <c r="F13" s="31"/>
      <c r="G13" s="32"/>
      <c r="H13" s="32"/>
      <c r="I13" s="33"/>
    </row>
    <row r="14" customFormat="false" ht="15" hidden="false" customHeight="false" outlineLevel="0" collapsed="false">
      <c r="A14" s="30"/>
      <c r="B14" s="30"/>
      <c r="C14" s="30"/>
      <c r="D14" s="30"/>
      <c r="E14" s="31"/>
      <c r="F14" s="31"/>
      <c r="G14" s="32"/>
      <c r="H14" s="32"/>
      <c r="I14" s="33"/>
    </row>
    <row r="15" customFormat="false" ht="15" hidden="false" customHeight="false" outlineLevel="0" collapsed="false">
      <c r="A15" s="30"/>
      <c r="B15" s="30"/>
      <c r="C15" s="30"/>
      <c r="D15" s="30"/>
      <c r="E15" s="31"/>
      <c r="F15" s="31"/>
      <c r="G15" s="32"/>
      <c r="H15" s="32"/>
      <c r="I15" s="33"/>
    </row>
    <row r="16" customFormat="false" ht="15" hidden="false" customHeight="false" outlineLevel="0" collapsed="false">
      <c r="A16" s="30"/>
      <c r="B16" s="30"/>
      <c r="C16" s="30"/>
      <c r="D16" s="30"/>
      <c r="E16" s="31"/>
      <c r="F16" s="31"/>
      <c r="G16" s="32"/>
      <c r="H16" s="32"/>
      <c r="I16" s="33"/>
    </row>
    <row r="17" customFormat="false" ht="15" hidden="false" customHeight="false" outlineLevel="0" collapsed="false">
      <c r="A17" s="30"/>
      <c r="B17" s="30"/>
      <c r="C17" s="30"/>
      <c r="D17" s="30"/>
      <c r="E17" s="31"/>
      <c r="F17" s="31"/>
      <c r="G17" s="32"/>
      <c r="H17" s="32"/>
      <c r="I17" s="33"/>
    </row>
    <row r="18" customFormat="false" ht="15" hidden="false" customHeight="false" outlineLevel="0" collapsed="false">
      <c r="A18" s="30"/>
      <c r="B18" s="30"/>
      <c r="C18" s="30"/>
      <c r="D18" s="30"/>
      <c r="E18" s="31"/>
      <c r="F18" s="31"/>
      <c r="G18" s="32"/>
      <c r="H18" s="32"/>
      <c r="I18" s="33"/>
    </row>
    <row r="19" customFormat="false" ht="15" hidden="false" customHeight="false" outlineLevel="0" collapsed="false">
      <c r="A19" s="30"/>
      <c r="B19" s="30"/>
      <c r="C19" s="30"/>
      <c r="D19" s="30"/>
      <c r="E19" s="31"/>
      <c r="F19" s="31"/>
      <c r="G19" s="32"/>
      <c r="H19" s="32"/>
      <c r="I19" s="33"/>
    </row>
    <row r="20" customFormat="false" ht="15" hidden="false" customHeight="false" outlineLevel="0" collapsed="false">
      <c r="A20" s="30"/>
      <c r="B20" s="30"/>
      <c r="C20" s="30"/>
      <c r="D20" s="30"/>
      <c r="E20" s="31"/>
      <c r="F20" s="31"/>
      <c r="G20" s="32"/>
      <c r="H20" s="32"/>
      <c r="I20" s="33"/>
    </row>
    <row r="21" customFormat="false" ht="15" hidden="false" customHeight="false" outlineLevel="0" collapsed="false">
      <c r="A21" s="30"/>
      <c r="B21" s="30"/>
      <c r="C21" s="30"/>
      <c r="D21" s="30"/>
      <c r="E21" s="31"/>
      <c r="F21" s="31"/>
      <c r="G21" s="32"/>
      <c r="H21" s="32"/>
      <c r="I21" s="33"/>
    </row>
    <row r="22" customFormat="false" ht="15" hidden="false" customHeight="false" outlineLevel="0" collapsed="false">
      <c r="A22" s="30"/>
      <c r="B22" s="30"/>
      <c r="C22" s="30"/>
      <c r="D22" s="30"/>
      <c r="E22" s="31"/>
      <c r="F22" s="31"/>
      <c r="G22" s="32"/>
      <c r="H22" s="32"/>
      <c r="I22" s="33"/>
    </row>
    <row r="23" customFormat="false" ht="15" hidden="false" customHeight="false" outlineLevel="0" collapsed="false">
      <c r="A23" s="30"/>
      <c r="B23" s="30"/>
      <c r="C23" s="30"/>
      <c r="D23" s="30"/>
      <c r="E23" s="31"/>
      <c r="F23" s="31"/>
      <c r="G23" s="32"/>
      <c r="H23" s="32"/>
      <c r="I23" s="33"/>
    </row>
    <row r="24" customFormat="false" ht="15" hidden="false" customHeight="false" outlineLevel="0" collapsed="false">
      <c r="A24" s="30"/>
      <c r="B24" s="30"/>
      <c r="C24" s="30"/>
      <c r="D24" s="30"/>
      <c r="E24" s="31"/>
      <c r="F24" s="31"/>
      <c r="G24" s="32"/>
      <c r="H24" s="32"/>
      <c r="I24" s="33"/>
    </row>
    <row r="25" customFormat="false" ht="15" hidden="false" customHeight="false" outlineLevel="0" collapsed="false">
      <c r="A25" s="30"/>
      <c r="B25" s="30"/>
      <c r="C25" s="30"/>
      <c r="D25" s="30"/>
      <c r="E25" s="31"/>
      <c r="F25" s="31"/>
      <c r="G25" s="32"/>
      <c r="H25" s="32"/>
      <c r="I25" s="33"/>
    </row>
    <row r="26" customFormat="false" ht="15" hidden="false" customHeight="false" outlineLevel="0" collapsed="false">
      <c r="A26" s="30"/>
      <c r="B26" s="30"/>
      <c r="C26" s="30"/>
      <c r="D26" s="30"/>
      <c r="E26" s="31"/>
      <c r="F26" s="31"/>
      <c r="G26" s="32"/>
      <c r="H26" s="32"/>
      <c r="I26" s="33"/>
    </row>
    <row r="27" customFormat="false" ht="15" hidden="false" customHeight="false" outlineLevel="0" collapsed="false">
      <c r="A27" s="30"/>
      <c r="B27" s="30"/>
      <c r="C27" s="30"/>
      <c r="D27" s="30"/>
      <c r="E27" s="31"/>
      <c r="F27" s="31"/>
      <c r="G27" s="32"/>
      <c r="H27" s="32"/>
      <c r="I27" s="33"/>
    </row>
    <row r="28" customFormat="false" ht="15" hidden="false" customHeight="false" outlineLevel="0" collapsed="false">
      <c r="A28" s="30"/>
      <c r="B28" s="30"/>
      <c r="C28" s="30"/>
      <c r="D28" s="30"/>
      <c r="E28" s="31"/>
      <c r="F28" s="31"/>
      <c r="G28" s="32"/>
      <c r="H28" s="32"/>
      <c r="I28" s="33"/>
    </row>
    <row r="29" customFormat="false" ht="15" hidden="false" customHeight="false" outlineLevel="0" collapsed="false">
      <c r="A29" s="30"/>
      <c r="B29" s="30"/>
      <c r="C29" s="30"/>
      <c r="D29" s="30"/>
      <c r="E29" s="31"/>
      <c r="F29" s="31"/>
      <c r="G29" s="32"/>
      <c r="H29" s="32"/>
      <c r="I29" s="33"/>
    </row>
    <row r="30" customFormat="false" ht="15" hidden="false" customHeight="false" outlineLevel="0" collapsed="false">
      <c r="A30" s="30"/>
      <c r="B30" s="30"/>
      <c r="C30" s="30"/>
      <c r="D30" s="30"/>
      <c r="E30" s="31"/>
      <c r="F30" s="31"/>
      <c r="G30" s="32"/>
      <c r="H30" s="32"/>
      <c r="I30" s="33"/>
    </row>
    <row r="31" customFormat="false" ht="15" hidden="false" customHeight="false" outlineLevel="0" collapsed="false">
      <c r="A31" s="30"/>
      <c r="B31" s="30"/>
      <c r="C31" s="30"/>
      <c r="D31" s="30"/>
      <c r="E31" s="31"/>
      <c r="F31" s="31"/>
      <c r="G31" s="32"/>
      <c r="H31" s="32"/>
      <c r="I31" s="33"/>
    </row>
    <row r="32" customFormat="false" ht="15" hidden="false" customHeight="false" outlineLevel="0" collapsed="false">
      <c r="A32" s="30"/>
      <c r="B32" s="30"/>
      <c r="C32" s="30"/>
      <c r="D32" s="30"/>
      <c r="E32" s="31"/>
      <c r="F32" s="31"/>
      <c r="G32" s="32"/>
      <c r="H32" s="32"/>
      <c r="I32" s="33"/>
    </row>
    <row r="33" customFormat="false" ht="15" hidden="false" customHeight="false" outlineLevel="0" collapsed="false">
      <c r="A33" s="30"/>
      <c r="B33" s="30"/>
      <c r="C33" s="30"/>
      <c r="D33" s="30"/>
      <c r="E33" s="31"/>
      <c r="F33" s="31"/>
      <c r="G33" s="32"/>
      <c r="H33" s="32"/>
      <c r="I33" s="33"/>
    </row>
    <row r="34" customFormat="false" ht="15" hidden="false" customHeight="false" outlineLevel="0" collapsed="false">
      <c r="A34" s="30"/>
      <c r="B34" s="30"/>
      <c r="C34" s="30"/>
      <c r="D34" s="30"/>
      <c r="E34" s="31"/>
      <c r="F34" s="31"/>
      <c r="G34" s="32"/>
      <c r="H34" s="32"/>
      <c r="I34" s="33"/>
    </row>
    <row r="35" customFormat="false" ht="15" hidden="false" customHeight="false" outlineLevel="0" collapsed="false">
      <c r="A35" s="30"/>
      <c r="B35" s="30"/>
      <c r="C35" s="30"/>
      <c r="D35" s="30"/>
      <c r="E35" s="31"/>
      <c r="F35" s="31"/>
      <c r="G35" s="32"/>
      <c r="H35" s="32"/>
      <c r="I35" s="33"/>
    </row>
    <row r="36" customFormat="false" ht="15" hidden="false" customHeight="false" outlineLevel="0" collapsed="false">
      <c r="A36" s="30"/>
      <c r="B36" s="30"/>
      <c r="C36" s="30"/>
      <c r="D36" s="30"/>
      <c r="E36" s="31"/>
      <c r="F36" s="31"/>
      <c r="G36" s="32"/>
      <c r="H36" s="32"/>
      <c r="I36" s="33"/>
    </row>
    <row r="37" customFormat="false" ht="15" hidden="false" customHeight="false" outlineLevel="0" collapsed="false">
      <c r="A37" s="30"/>
      <c r="B37" s="30"/>
      <c r="C37" s="30"/>
      <c r="D37" s="30"/>
      <c r="E37" s="31"/>
      <c r="F37" s="31"/>
      <c r="G37" s="32"/>
      <c r="H37" s="32"/>
      <c r="I37" s="33"/>
    </row>
    <row r="38" customFormat="false" ht="15" hidden="false" customHeight="false" outlineLevel="0" collapsed="false">
      <c r="A38" s="30"/>
      <c r="B38" s="30"/>
      <c r="C38" s="30"/>
      <c r="D38" s="30"/>
      <c r="E38" s="31"/>
      <c r="F38" s="31"/>
      <c r="G38" s="32"/>
      <c r="H38" s="32"/>
      <c r="I38" s="33"/>
    </row>
    <row r="39" customFormat="false" ht="15" hidden="false" customHeight="false" outlineLevel="0" collapsed="false">
      <c r="A39" s="30"/>
      <c r="B39" s="30"/>
      <c r="C39" s="30"/>
      <c r="D39" s="30"/>
      <c r="E39" s="31"/>
      <c r="F39" s="31"/>
      <c r="G39" s="32"/>
      <c r="H39" s="32"/>
      <c r="I39" s="33"/>
    </row>
    <row r="40" customFormat="false" ht="15" hidden="false" customHeight="false" outlineLevel="0" collapsed="false">
      <c r="A40" s="30"/>
      <c r="B40" s="30"/>
      <c r="C40" s="30"/>
      <c r="D40" s="30"/>
      <c r="E40" s="31"/>
      <c r="F40" s="31"/>
      <c r="G40" s="32"/>
      <c r="H40" s="32"/>
      <c r="I40" s="33"/>
    </row>
    <row r="41" customFormat="false" ht="15" hidden="false" customHeight="false" outlineLevel="0" collapsed="false">
      <c r="A41" s="30"/>
      <c r="B41" s="30"/>
      <c r="C41" s="30"/>
      <c r="D41" s="30"/>
      <c r="E41" s="31"/>
      <c r="F41" s="31"/>
      <c r="G41" s="32"/>
      <c r="H41" s="32"/>
      <c r="I41" s="33"/>
    </row>
    <row r="42" customFormat="false" ht="15" hidden="false" customHeight="false" outlineLevel="0" collapsed="false">
      <c r="A42" s="30"/>
      <c r="B42" s="30"/>
      <c r="C42" s="30"/>
      <c r="D42" s="30"/>
      <c r="E42" s="31"/>
      <c r="F42" s="31"/>
      <c r="G42" s="32"/>
      <c r="H42" s="32"/>
      <c r="I42" s="33"/>
    </row>
    <row r="43" customFormat="false" ht="15" hidden="false" customHeight="false" outlineLevel="0" collapsed="false">
      <c r="A43" s="30"/>
      <c r="B43" s="30"/>
      <c r="C43" s="30"/>
      <c r="D43" s="30"/>
      <c r="E43" s="31"/>
      <c r="F43" s="31"/>
      <c r="G43" s="32"/>
      <c r="H43" s="32"/>
      <c r="I43" s="33"/>
    </row>
    <row r="44" customFormat="false" ht="15" hidden="false" customHeight="false" outlineLevel="0" collapsed="false">
      <c r="A44" s="30"/>
      <c r="B44" s="30"/>
      <c r="C44" s="30"/>
      <c r="D44" s="30"/>
      <c r="E44" s="31"/>
      <c r="F44" s="31"/>
      <c r="G44" s="32"/>
      <c r="H44" s="32"/>
      <c r="I44" s="33"/>
    </row>
    <row r="45" customFormat="false" ht="15" hidden="false" customHeight="false" outlineLevel="0" collapsed="false">
      <c r="A45" s="30"/>
      <c r="B45" s="30"/>
      <c r="C45" s="30"/>
      <c r="D45" s="30"/>
      <c r="E45" s="31"/>
      <c r="F45" s="31"/>
      <c r="G45" s="32"/>
      <c r="H45" s="32"/>
      <c r="I45" s="33"/>
    </row>
    <row r="46" customFormat="false" ht="15" hidden="false" customHeight="false" outlineLevel="0" collapsed="false">
      <c r="A46" s="30"/>
      <c r="B46" s="30"/>
      <c r="C46" s="30"/>
      <c r="D46" s="30"/>
      <c r="E46" s="31"/>
      <c r="F46" s="31"/>
      <c r="G46" s="32"/>
      <c r="H46" s="32"/>
      <c r="I46" s="33"/>
    </row>
    <row r="47" customFormat="false" ht="15" hidden="false" customHeight="false" outlineLevel="0" collapsed="false">
      <c r="A47" s="30"/>
      <c r="B47" s="30"/>
      <c r="C47" s="30"/>
      <c r="D47" s="30"/>
      <c r="E47" s="31"/>
      <c r="F47" s="31"/>
      <c r="G47" s="32"/>
      <c r="H47" s="32"/>
      <c r="I47" s="33"/>
    </row>
    <row r="48" customFormat="false" ht="15" hidden="false" customHeight="false" outlineLevel="0" collapsed="false">
      <c r="A48" s="30"/>
      <c r="B48" s="30"/>
      <c r="C48" s="30"/>
      <c r="D48" s="30"/>
      <c r="E48" s="31"/>
      <c r="F48" s="31"/>
      <c r="G48" s="32"/>
      <c r="H48" s="32"/>
      <c r="I48" s="33"/>
    </row>
    <row r="49" customFormat="false" ht="15" hidden="false" customHeight="false" outlineLevel="0" collapsed="false">
      <c r="A49" s="30"/>
      <c r="B49" s="30"/>
      <c r="C49" s="30"/>
      <c r="D49" s="30"/>
      <c r="E49" s="31"/>
      <c r="F49" s="31"/>
      <c r="G49" s="32"/>
      <c r="H49" s="32"/>
      <c r="I49" s="33"/>
    </row>
    <row r="50" customFormat="false" ht="15" hidden="false" customHeight="false" outlineLevel="0" collapsed="false">
      <c r="A50" s="30"/>
      <c r="B50" s="30"/>
      <c r="C50" s="30"/>
      <c r="D50" s="30"/>
      <c r="E50" s="31"/>
      <c r="F50" s="31"/>
      <c r="G50" s="32"/>
      <c r="H50" s="32"/>
      <c r="I50" s="33"/>
    </row>
    <row r="51" customFormat="false" ht="15" hidden="false" customHeight="false" outlineLevel="0" collapsed="false">
      <c r="A51" s="30"/>
      <c r="B51" s="30"/>
      <c r="C51" s="30"/>
      <c r="D51" s="30"/>
      <c r="E51" s="31"/>
      <c r="F51" s="31"/>
      <c r="G51" s="32"/>
      <c r="H51" s="32"/>
      <c r="I51" s="33"/>
    </row>
    <row r="52" customFormat="false" ht="15" hidden="false" customHeight="false" outlineLevel="0" collapsed="false">
      <c r="A52" s="30"/>
      <c r="B52" s="30"/>
      <c r="C52" s="30"/>
      <c r="D52" s="30"/>
      <c r="E52" s="31"/>
      <c r="F52" s="31"/>
      <c r="G52" s="32"/>
      <c r="H52" s="32"/>
      <c r="I52" s="33"/>
    </row>
    <row r="53" customFormat="false" ht="15" hidden="false" customHeight="false" outlineLevel="0" collapsed="false">
      <c r="A53" s="30"/>
      <c r="B53" s="30"/>
      <c r="C53" s="30"/>
      <c r="D53" s="30"/>
      <c r="E53" s="31"/>
      <c r="F53" s="31"/>
      <c r="G53" s="32"/>
      <c r="H53" s="32"/>
      <c r="I53" s="33"/>
    </row>
    <row r="54" customFormat="false" ht="15" hidden="false" customHeight="false" outlineLevel="0" collapsed="false">
      <c r="A54" s="30"/>
      <c r="B54" s="30"/>
      <c r="C54" s="30"/>
      <c r="D54" s="30"/>
      <c r="E54" s="31"/>
      <c r="F54" s="31"/>
      <c r="G54" s="32"/>
      <c r="H54" s="32"/>
      <c r="I54" s="33"/>
    </row>
    <row r="55" customFormat="false" ht="15" hidden="false" customHeight="false" outlineLevel="0" collapsed="false">
      <c r="A55" s="30"/>
      <c r="B55" s="30"/>
      <c r="C55" s="30"/>
      <c r="D55" s="30"/>
      <c r="E55" s="31"/>
      <c r="F55" s="31"/>
      <c r="G55" s="32"/>
      <c r="H55" s="32"/>
      <c r="I55" s="33"/>
    </row>
    <row r="56" customFormat="false" ht="15" hidden="false" customHeight="false" outlineLevel="0" collapsed="false">
      <c r="A56" s="30"/>
      <c r="B56" s="30"/>
      <c r="C56" s="30"/>
      <c r="D56" s="30"/>
      <c r="E56" s="31"/>
      <c r="F56" s="31"/>
      <c r="G56" s="32"/>
      <c r="H56" s="32"/>
      <c r="I56" s="33"/>
    </row>
    <row r="57" customFormat="false" ht="15" hidden="false" customHeight="false" outlineLevel="0" collapsed="false">
      <c r="A57" s="30"/>
      <c r="B57" s="30"/>
      <c r="C57" s="30"/>
      <c r="D57" s="30"/>
      <c r="E57" s="31"/>
      <c r="F57" s="31"/>
      <c r="G57" s="32"/>
      <c r="H57" s="32"/>
      <c r="I57" s="33"/>
    </row>
    <row r="58" customFormat="false" ht="15" hidden="false" customHeight="false" outlineLevel="0" collapsed="false">
      <c r="A58" s="30"/>
      <c r="B58" s="30"/>
      <c r="C58" s="30"/>
      <c r="D58" s="30"/>
      <c r="E58" s="31"/>
      <c r="F58" s="31"/>
      <c r="G58" s="32"/>
      <c r="H58" s="32"/>
      <c r="I58" s="33"/>
    </row>
    <row r="59" customFormat="false" ht="15" hidden="false" customHeight="false" outlineLevel="0" collapsed="false">
      <c r="A59" s="30"/>
      <c r="B59" s="30"/>
      <c r="C59" s="30"/>
      <c r="D59" s="30"/>
      <c r="E59" s="31"/>
      <c r="F59" s="31"/>
      <c r="G59" s="32"/>
      <c r="H59" s="32"/>
      <c r="I59" s="33"/>
    </row>
    <row r="60" customFormat="false" ht="15" hidden="false" customHeight="false" outlineLevel="0" collapsed="false">
      <c r="A60" s="30"/>
      <c r="B60" s="30"/>
      <c r="C60" s="30"/>
      <c r="D60" s="30"/>
      <c r="E60" s="31"/>
      <c r="F60" s="31"/>
      <c r="G60" s="32"/>
      <c r="H60" s="32"/>
      <c r="I60" s="33"/>
    </row>
    <row r="61" customFormat="false" ht="15" hidden="false" customHeight="false" outlineLevel="0" collapsed="false">
      <c r="A61" s="30"/>
      <c r="B61" s="30"/>
      <c r="C61" s="30"/>
      <c r="D61" s="30"/>
      <c r="E61" s="31"/>
      <c r="F61" s="31"/>
      <c r="G61" s="32"/>
      <c r="H61" s="32"/>
      <c r="I61" s="33"/>
    </row>
    <row r="62" customFormat="false" ht="15" hidden="false" customHeight="false" outlineLevel="0" collapsed="false">
      <c r="A62" s="30"/>
      <c r="B62" s="30"/>
      <c r="C62" s="30"/>
      <c r="D62" s="30"/>
      <c r="E62" s="31"/>
      <c r="F62" s="31"/>
      <c r="G62" s="32"/>
      <c r="H62" s="32"/>
      <c r="I62" s="33"/>
    </row>
    <row r="63" customFormat="false" ht="15" hidden="false" customHeight="false" outlineLevel="0" collapsed="false">
      <c r="A63" s="30"/>
      <c r="B63" s="30"/>
      <c r="C63" s="30"/>
      <c r="D63" s="30"/>
      <c r="E63" s="31"/>
      <c r="F63" s="31"/>
      <c r="G63" s="32"/>
      <c r="H63" s="32"/>
      <c r="I63" s="33"/>
    </row>
    <row r="64" customFormat="false" ht="15" hidden="false" customHeight="false" outlineLevel="0" collapsed="false">
      <c r="A64" s="30"/>
      <c r="B64" s="30"/>
      <c r="C64" s="30"/>
      <c r="D64" s="30"/>
      <c r="E64" s="31"/>
      <c r="F64" s="31"/>
      <c r="G64" s="32"/>
      <c r="H64" s="32"/>
      <c r="I64" s="33"/>
    </row>
    <row r="65" customFormat="false" ht="15" hidden="false" customHeight="false" outlineLevel="0" collapsed="false">
      <c r="A65" s="30"/>
      <c r="B65" s="30"/>
      <c r="C65" s="30"/>
      <c r="D65" s="30"/>
      <c r="E65" s="31"/>
      <c r="F65" s="31"/>
      <c r="G65" s="32"/>
      <c r="H65" s="32"/>
      <c r="I65" s="33"/>
    </row>
    <row r="66" customFormat="false" ht="15" hidden="false" customHeight="false" outlineLevel="0" collapsed="false">
      <c r="A66" s="30"/>
      <c r="B66" s="30"/>
      <c r="C66" s="30"/>
      <c r="D66" s="30"/>
      <c r="E66" s="31"/>
      <c r="F66" s="31"/>
      <c r="G66" s="32"/>
      <c r="H66" s="32"/>
      <c r="I66" s="33"/>
    </row>
    <row r="67" customFormat="false" ht="15" hidden="false" customHeight="false" outlineLevel="0" collapsed="false">
      <c r="A67" s="30"/>
      <c r="B67" s="30"/>
      <c r="C67" s="30"/>
      <c r="D67" s="30"/>
      <c r="E67" s="31"/>
      <c r="F67" s="31"/>
      <c r="G67" s="32"/>
      <c r="H67" s="32"/>
      <c r="I67" s="33"/>
    </row>
    <row r="68" customFormat="false" ht="15" hidden="false" customHeight="false" outlineLevel="0" collapsed="false">
      <c r="A68" s="30"/>
      <c r="B68" s="30"/>
      <c r="C68" s="30"/>
      <c r="D68" s="30"/>
      <c r="E68" s="31"/>
      <c r="F68" s="31"/>
      <c r="G68" s="32"/>
      <c r="H68" s="32"/>
      <c r="I68" s="33"/>
    </row>
    <row r="69" customFormat="false" ht="15" hidden="false" customHeight="false" outlineLevel="0" collapsed="false">
      <c r="A69" s="30"/>
      <c r="B69" s="30"/>
      <c r="C69" s="30"/>
      <c r="D69" s="30"/>
      <c r="E69" s="31"/>
      <c r="F69" s="31"/>
      <c r="G69" s="32"/>
      <c r="H69" s="32"/>
      <c r="I69" s="33"/>
    </row>
    <row r="70" customFormat="false" ht="15" hidden="false" customHeight="false" outlineLevel="0" collapsed="false">
      <c r="A70" s="30"/>
      <c r="B70" s="30"/>
      <c r="C70" s="30"/>
      <c r="D70" s="30"/>
      <c r="E70" s="31"/>
      <c r="F70" s="31"/>
      <c r="G70" s="32"/>
      <c r="H70" s="32"/>
      <c r="I70" s="33"/>
    </row>
    <row r="71" customFormat="false" ht="15" hidden="false" customHeight="false" outlineLevel="0" collapsed="false">
      <c r="A71" s="30"/>
      <c r="B71" s="30"/>
      <c r="C71" s="30"/>
      <c r="D71" s="30"/>
      <c r="E71" s="31"/>
      <c r="F71" s="31"/>
      <c r="G71" s="32"/>
      <c r="H71" s="32"/>
      <c r="I71" s="33"/>
    </row>
    <row r="72" customFormat="false" ht="15" hidden="false" customHeight="false" outlineLevel="0" collapsed="false">
      <c r="A72" s="30"/>
      <c r="B72" s="30"/>
      <c r="C72" s="30"/>
      <c r="D72" s="30"/>
      <c r="E72" s="31"/>
      <c r="F72" s="31"/>
      <c r="G72" s="32"/>
      <c r="H72" s="32"/>
      <c r="I72" s="33"/>
    </row>
    <row r="73" customFormat="false" ht="15" hidden="false" customHeight="false" outlineLevel="0" collapsed="false">
      <c r="A73" s="30"/>
      <c r="B73" s="30"/>
      <c r="C73" s="30"/>
      <c r="D73" s="30"/>
      <c r="E73" s="31"/>
      <c r="F73" s="31"/>
      <c r="G73" s="32"/>
      <c r="H73" s="32"/>
      <c r="I73" s="33"/>
    </row>
    <row r="74" customFormat="false" ht="15" hidden="false" customHeight="false" outlineLevel="0" collapsed="false">
      <c r="A74" s="30"/>
      <c r="B74" s="30"/>
      <c r="C74" s="30"/>
      <c r="D74" s="30"/>
      <c r="E74" s="31"/>
      <c r="F74" s="31"/>
      <c r="G74" s="32"/>
      <c r="H74" s="32"/>
      <c r="I74" s="33"/>
    </row>
    <row r="75" customFormat="false" ht="15" hidden="false" customHeight="false" outlineLevel="0" collapsed="false">
      <c r="A75" s="30"/>
      <c r="B75" s="30"/>
      <c r="C75" s="30"/>
      <c r="D75" s="30"/>
      <c r="E75" s="31"/>
      <c r="F75" s="31"/>
      <c r="G75" s="32"/>
      <c r="H75" s="32"/>
      <c r="I75" s="33"/>
    </row>
    <row r="76" customFormat="false" ht="15" hidden="false" customHeight="false" outlineLevel="0" collapsed="false">
      <c r="A76" s="30"/>
      <c r="B76" s="30"/>
      <c r="C76" s="30"/>
      <c r="D76" s="30"/>
      <c r="E76" s="31"/>
      <c r="F76" s="31"/>
      <c r="G76" s="32"/>
      <c r="H76" s="32"/>
      <c r="I76" s="33"/>
    </row>
    <row r="77" customFormat="false" ht="15" hidden="false" customHeight="false" outlineLevel="0" collapsed="false">
      <c r="A77" s="30"/>
      <c r="B77" s="30"/>
      <c r="C77" s="30"/>
      <c r="D77" s="30"/>
      <c r="E77" s="31"/>
      <c r="F77" s="31"/>
      <c r="G77" s="32"/>
      <c r="H77" s="32"/>
      <c r="I77" s="33"/>
    </row>
    <row r="78" customFormat="false" ht="15" hidden="false" customHeight="false" outlineLevel="0" collapsed="false">
      <c r="A78" s="30"/>
      <c r="B78" s="30"/>
      <c r="C78" s="30"/>
      <c r="D78" s="30"/>
      <c r="E78" s="31"/>
      <c r="F78" s="31"/>
      <c r="G78" s="32"/>
      <c r="H78" s="32"/>
      <c r="I78" s="33"/>
    </row>
    <row r="79" customFormat="false" ht="15" hidden="false" customHeight="false" outlineLevel="0" collapsed="false">
      <c r="A79" s="30"/>
      <c r="B79" s="30"/>
      <c r="C79" s="30"/>
      <c r="D79" s="30"/>
      <c r="E79" s="31"/>
      <c r="F79" s="31"/>
      <c r="G79" s="32"/>
      <c r="H79" s="32"/>
      <c r="I79" s="33"/>
    </row>
    <row r="80" customFormat="false" ht="15" hidden="false" customHeight="false" outlineLevel="0" collapsed="false">
      <c r="A80" s="30"/>
      <c r="B80" s="30"/>
      <c r="C80" s="30"/>
      <c r="D80" s="30"/>
      <c r="E80" s="31"/>
      <c r="F80" s="31"/>
      <c r="G80" s="32"/>
      <c r="H80" s="32"/>
      <c r="I80" s="33"/>
    </row>
    <row r="81" customFormat="false" ht="15" hidden="false" customHeight="false" outlineLevel="0" collapsed="false">
      <c r="A81" s="30"/>
      <c r="B81" s="30"/>
      <c r="C81" s="30"/>
      <c r="D81" s="30"/>
      <c r="E81" s="31"/>
      <c r="F81" s="31"/>
      <c r="G81" s="32"/>
      <c r="H81" s="32"/>
      <c r="I81" s="33"/>
    </row>
    <row r="82" customFormat="false" ht="15" hidden="false" customHeight="false" outlineLevel="0" collapsed="false">
      <c r="A82" s="30"/>
      <c r="B82" s="30"/>
      <c r="C82" s="30"/>
      <c r="D82" s="30"/>
      <c r="E82" s="31"/>
      <c r="F82" s="31"/>
      <c r="G82" s="32"/>
      <c r="H82" s="32"/>
      <c r="I82" s="33"/>
    </row>
    <row r="83" customFormat="false" ht="15" hidden="false" customHeight="false" outlineLevel="0" collapsed="false">
      <c r="A83" s="30"/>
      <c r="B83" s="30"/>
      <c r="C83" s="30"/>
      <c r="D83" s="30"/>
      <c r="E83" s="31"/>
      <c r="F83" s="31"/>
      <c r="G83" s="32"/>
      <c r="H83" s="32"/>
      <c r="I83" s="33"/>
    </row>
    <row r="84" customFormat="false" ht="15" hidden="false" customHeight="false" outlineLevel="0" collapsed="false">
      <c r="A84" s="30"/>
      <c r="B84" s="30"/>
      <c r="C84" s="30"/>
      <c r="D84" s="30"/>
      <c r="E84" s="31"/>
      <c r="F84" s="31"/>
      <c r="G84" s="32"/>
      <c r="H84" s="32"/>
      <c r="I84" s="33"/>
    </row>
    <row r="85" customFormat="false" ht="15" hidden="false" customHeight="false" outlineLevel="0" collapsed="false">
      <c r="A85" s="30"/>
      <c r="B85" s="30"/>
      <c r="C85" s="30"/>
      <c r="D85" s="30"/>
      <c r="E85" s="31"/>
      <c r="F85" s="31"/>
      <c r="G85" s="32"/>
      <c r="H85" s="32"/>
      <c r="I85" s="33"/>
    </row>
    <row r="86" customFormat="false" ht="15" hidden="false" customHeight="false" outlineLevel="0" collapsed="false">
      <c r="A86" s="30"/>
      <c r="B86" s="30"/>
      <c r="C86" s="30"/>
      <c r="D86" s="30"/>
      <c r="E86" s="31"/>
      <c r="F86" s="31"/>
      <c r="G86" s="32"/>
      <c r="H86" s="32"/>
      <c r="I86" s="33"/>
    </row>
    <row r="87" customFormat="false" ht="15" hidden="false" customHeight="false" outlineLevel="0" collapsed="false">
      <c r="A87" s="30"/>
      <c r="B87" s="30"/>
      <c r="C87" s="30"/>
      <c r="D87" s="30"/>
      <c r="E87" s="31"/>
      <c r="F87" s="31"/>
      <c r="G87" s="32"/>
      <c r="H87" s="32"/>
      <c r="I87" s="33"/>
    </row>
    <row r="88" customFormat="false" ht="15" hidden="false" customHeight="false" outlineLevel="0" collapsed="false">
      <c r="A88" s="30"/>
      <c r="B88" s="30"/>
      <c r="C88" s="30"/>
      <c r="D88" s="30"/>
      <c r="E88" s="31"/>
      <c r="F88" s="31"/>
      <c r="G88" s="32"/>
      <c r="H88" s="32"/>
      <c r="I88" s="33"/>
    </row>
    <row r="89" customFormat="false" ht="15" hidden="false" customHeight="false" outlineLevel="0" collapsed="false">
      <c r="A89" s="30"/>
      <c r="B89" s="30"/>
      <c r="C89" s="30"/>
      <c r="D89" s="30"/>
      <c r="E89" s="31"/>
      <c r="F89" s="31"/>
      <c r="G89" s="32"/>
      <c r="H89" s="32"/>
      <c r="I89" s="33"/>
    </row>
    <row r="90" customFormat="false" ht="15" hidden="false" customHeight="false" outlineLevel="0" collapsed="false">
      <c r="A90" s="30"/>
      <c r="B90" s="30"/>
      <c r="C90" s="30"/>
      <c r="D90" s="30"/>
      <c r="E90" s="31"/>
      <c r="F90" s="31"/>
      <c r="G90" s="32"/>
      <c r="H90" s="32"/>
      <c r="I90" s="33"/>
    </row>
    <row r="91" customFormat="false" ht="15" hidden="false" customHeight="false" outlineLevel="0" collapsed="false">
      <c r="A91" s="30"/>
      <c r="B91" s="30"/>
      <c r="C91" s="30"/>
      <c r="D91" s="30"/>
      <c r="E91" s="31"/>
      <c r="F91" s="31"/>
      <c r="G91" s="32"/>
      <c r="H91" s="32"/>
      <c r="I91" s="33"/>
    </row>
    <row r="92" customFormat="false" ht="15" hidden="false" customHeight="false" outlineLevel="0" collapsed="false">
      <c r="A92" s="30"/>
      <c r="B92" s="30"/>
      <c r="C92" s="30"/>
      <c r="D92" s="30"/>
      <c r="E92" s="31"/>
      <c r="F92" s="31"/>
      <c r="G92" s="32"/>
      <c r="H92" s="32"/>
      <c r="I92" s="33"/>
    </row>
    <row r="93" customFormat="false" ht="15" hidden="false" customHeight="false" outlineLevel="0" collapsed="false">
      <c r="A93" s="30"/>
      <c r="B93" s="30"/>
      <c r="C93" s="30"/>
      <c r="D93" s="30"/>
      <c r="E93" s="31"/>
      <c r="F93" s="31"/>
      <c r="G93" s="32"/>
      <c r="H93" s="32"/>
      <c r="I93" s="33"/>
    </row>
    <row r="94" customFormat="false" ht="15" hidden="false" customHeight="false" outlineLevel="0" collapsed="false">
      <c r="A94" s="30"/>
      <c r="B94" s="30"/>
      <c r="C94" s="30"/>
      <c r="D94" s="30"/>
      <c r="E94" s="31"/>
      <c r="F94" s="31"/>
      <c r="G94" s="32"/>
      <c r="H94" s="32"/>
      <c r="I94" s="33"/>
    </row>
    <row r="95" customFormat="false" ht="15" hidden="false" customHeight="false" outlineLevel="0" collapsed="false">
      <c r="A95" s="30"/>
      <c r="B95" s="30"/>
      <c r="C95" s="30"/>
      <c r="D95" s="30"/>
      <c r="E95" s="31"/>
      <c r="F95" s="31"/>
      <c r="G95" s="32"/>
      <c r="H95" s="32"/>
      <c r="I95" s="33"/>
    </row>
    <row r="96" customFormat="false" ht="15" hidden="false" customHeight="false" outlineLevel="0" collapsed="false">
      <c r="A96" s="30"/>
      <c r="B96" s="30"/>
      <c r="C96" s="30"/>
      <c r="D96" s="30"/>
      <c r="E96" s="31"/>
      <c r="F96" s="31"/>
      <c r="G96" s="32"/>
      <c r="H96" s="32"/>
      <c r="I96" s="33"/>
    </row>
    <row r="97" customFormat="false" ht="15" hidden="false" customHeight="false" outlineLevel="0" collapsed="false">
      <c r="A97" s="30"/>
      <c r="B97" s="30"/>
      <c r="C97" s="30"/>
      <c r="D97" s="30"/>
      <c r="E97" s="31"/>
      <c r="F97" s="31"/>
      <c r="G97" s="32"/>
      <c r="H97" s="32"/>
      <c r="I97" s="33"/>
    </row>
    <row r="98" customFormat="false" ht="15" hidden="false" customHeight="false" outlineLevel="0" collapsed="false">
      <c r="A98" s="30"/>
      <c r="B98" s="30"/>
      <c r="C98" s="30"/>
      <c r="D98" s="30"/>
      <c r="E98" s="31"/>
      <c r="F98" s="31"/>
      <c r="G98" s="32"/>
      <c r="H98" s="32"/>
      <c r="I98" s="33"/>
    </row>
    <row r="99" customFormat="false" ht="15" hidden="false" customHeight="false" outlineLevel="0" collapsed="false">
      <c r="A99" s="30"/>
      <c r="B99" s="30"/>
      <c r="C99" s="30"/>
      <c r="D99" s="30"/>
      <c r="E99" s="31"/>
      <c r="F99" s="31"/>
      <c r="G99" s="32"/>
      <c r="H99" s="32"/>
      <c r="I99" s="33"/>
    </row>
    <row r="100" customFormat="false" ht="15" hidden="false" customHeight="false" outlineLevel="0" collapsed="false">
      <c r="A100" s="30"/>
      <c r="B100" s="30"/>
      <c r="C100" s="30"/>
      <c r="D100" s="30"/>
      <c r="E100" s="31"/>
      <c r="F100" s="31"/>
      <c r="G100" s="32"/>
      <c r="H100" s="32"/>
      <c r="I100" s="33"/>
    </row>
    <row r="101" customFormat="false" ht="15" hidden="false" customHeight="false" outlineLevel="0" collapsed="false">
      <c r="A101" s="30"/>
      <c r="B101" s="30"/>
      <c r="C101" s="30"/>
      <c r="D101" s="30"/>
      <c r="E101" s="31"/>
      <c r="F101" s="31"/>
      <c r="G101" s="32"/>
      <c r="H101" s="32"/>
      <c r="I101" s="33"/>
    </row>
    <row r="102" customFormat="false" ht="15" hidden="false" customHeight="false" outlineLevel="0" collapsed="false">
      <c r="A102" s="30"/>
      <c r="B102" s="30"/>
      <c r="C102" s="30"/>
      <c r="D102" s="30"/>
      <c r="E102" s="31"/>
      <c r="F102" s="31"/>
      <c r="G102" s="32"/>
      <c r="H102" s="32"/>
      <c r="I102" s="33"/>
    </row>
    <row r="103" customFormat="false" ht="15" hidden="false" customHeight="false" outlineLevel="0" collapsed="false">
      <c r="A103" s="30"/>
      <c r="B103" s="30"/>
      <c r="C103" s="30"/>
      <c r="D103" s="30"/>
      <c r="E103" s="31"/>
      <c r="F103" s="31"/>
      <c r="G103" s="32"/>
      <c r="H103" s="32"/>
      <c r="I103" s="33"/>
    </row>
    <row r="104" customFormat="false" ht="15" hidden="false" customHeight="false" outlineLevel="0" collapsed="false">
      <c r="A104" s="30"/>
      <c r="B104" s="30"/>
      <c r="C104" s="30"/>
      <c r="D104" s="30"/>
      <c r="E104" s="31"/>
      <c r="F104" s="31"/>
      <c r="G104" s="32"/>
      <c r="H104" s="32"/>
      <c r="I104" s="33"/>
    </row>
    <row r="105" customFormat="false" ht="15" hidden="false" customHeight="false" outlineLevel="0" collapsed="false">
      <c r="A105" s="30"/>
      <c r="B105" s="30"/>
      <c r="C105" s="30"/>
      <c r="D105" s="30"/>
      <c r="E105" s="31"/>
      <c r="F105" s="31"/>
      <c r="G105" s="32"/>
      <c r="H105" s="32"/>
      <c r="I105" s="33"/>
    </row>
    <row r="106" customFormat="false" ht="15" hidden="false" customHeight="false" outlineLevel="0" collapsed="false">
      <c r="A106" s="30"/>
      <c r="B106" s="30"/>
      <c r="C106" s="30"/>
      <c r="D106" s="30"/>
      <c r="E106" s="31"/>
      <c r="F106" s="31"/>
      <c r="G106" s="32"/>
      <c r="H106" s="32"/>
      <c r="I106" s="33"/>
    </row>
    <row r="107" customFormat="false" ht="15" hidden="false" customHeight="false" outlineLevel="0" collapsed="false">
      <c r="A107" s="30"/>
      <c r="B107" s="30"/>
      <c r="C107" s="30"/>
      <c r="D107" s="30"/>
      <c r="E107" s="31"/>
      <c r="F107" s="31"/>
      <c r="G107" s="32"/>
      <c r="H107" s="32"/>
      <c r="I107" s="33"/>
    </row>
    <row r="108" customFormat="false" ht="15" hidden="false" customHeight="false" outlineLevel="0" collapsed="false">
      <c r="A108" s="30"/>
      <c r="B108" s="30"/>
      <c r="C108" s="30"/>
      <c r="D108" s="30"/>
      <c r="E108" s="31"/>
      <c r="F108" s="31"/>
      <c r="G108" s="32"/>
      <c r="H108" s="32"/>
      <c r="I108" s="33"/>
    </row>
    <row r="109" customFormat="false" ht="15" hidden="false" customHeight="false" outlineLevel="0" collapsed="false">
      <c r="A109" s="30"/>
      <c r="B109" s="30"/>
      <c r="C109" s="30"/>
      <c r="D109" s="30"/>
      <c r="E109" s="31"/>
      <c r="F109" s="31"/>
      <c r="G109" s="32"/>
      <c r="H109" s="32"/>
      <c r="I109" s="33"/>
    </row>
    <row r="110" customFormat="false" ht="15" hidden="false" customHeight="false" outlineLevel="0" collapsed="false">
      <c r="A110" s="30"/>
      <c r="B110" s="30"/>
      <c r="C110" s="30"/>
      <c r="D110" s="30"/>
      <c r="E110" s="31"/>
      <c r="F110" s="31"/>
      <c r="G110" s="32"/>
      <c r="H110" s="32"/>
      <c r="I110" s="33"/>
    </row>
    <row r="111" customFormat="false" ht="15" hidden="false" customHeight="false" outlineLevel="0" collapsed="false">
      <c r="A111" s="30"/>
      <c r="B111" s="30"/>
      <c r="C111" s="30"/>
      <c r="D111" s="30"/>
      <c r="E111" s="31"/>
      <c r="F111" s="31"/>
      <c r="G111" s="32"/>
      <c r="H111" s="32"/>
      <c r="I111" s="33"/>
    </row>
    <row r="112" customFormat="false" ht="15" hidden="false" customHeight="false" outlineLevel="0" collapsed="false">
      <c r="A112" s="30"/>
      <c r="B112" s="30"/>
      <c r="C112" s="30"/>
      <c r="D112" s="30"/>
      <c r="E112" s="31"/>
      <c r="F112" s="31"/>
      <c r="G112" s="32"/>
      <c r="H112" s="32"/>
      <c r="I112" s="33"/>
    </row>
    <row r="113" customFormat="false" ht="15" hidden="false" customHeight="false" outlineLevel="0" collapsed="false">
      <c r="A113" s="30"/>
      <c r="B113" s="30"/>
      <c r="C113" s="30"/>
      <c r="D113" s="30"/>
      <c r="E113" s="31"/>
      <c r="F113" s="31"/>
      <c r="G113" s="32"/>
      <c r="H113" s="32"/>
      <c r="I113" s="33"/>
    </row>
    <row r="114" customFormat="false" ht="15" hidden="false" customHeight="false" outlineLevel="0" collapsed="false">
      <c r="A114" s="30"/>
      <c r="B114" s="30"/>
      <c r="C114" s="30"/>
      <c r="D114" s="30"/>
      <c r="E114" s="31"/>
      <c r="F114" s="31"/>
      <c r="G114" s="32"/>
      <c r="H114" s="32"/>
      <c r="I114" s="33"/>
    </row>
    <row r="115" customFormat="false" ht="15" hidden="false" customHeight="false" outlineLevel="0" collapsed="false">
      <c r="A115" s="30"/>
      <c r="B115" s="30"/>
      <c r="C115" s="30"/>
      <c r="D115" s="30"/>
      <c r="E115" s="31"/>
      <c r="F115" s="31"/>
      <c r="G115" s="32"/>
      <c r="H115" s="32"/>
      <c r="I115" s="33"/>
    </row>
    <row r="116" customFormat="false" ht="15" hidden="false" customHeight="false" outlineLevel="0" collapsed="false">
      <c r="A116" s="30"/>
      <c r="B116" s="30"/>
      <c r="C116" s="30"/>
      <c r="D116" s="30"/>
      <c r="E116" s="31"/>
      <c r="F116" s="31"/>
      <c r="G116" s="32"/>
      <c r="H116" s="32"/>
      <c r="I116" s="33"/>
    </row>
    <row r="117" customFormat="false" ht="15" hidden="false" customHeight="false" outlineLevel="0" collapsed="false">
      <c r="A117" s="30"/>
      <c r="B117" s="30"/>
      <c r="C117" s="30"/>
      <c r="D117" s="30"/>
      <c r="E117" s="31"/>
      <c r="F117" s="31"/>
      <c r="G117" s="32"/>
      <c r="H117" s="32"/>
      <c r="I117" s="33"/>
    </row>
    <row r="118" customFormat="false" ht="15" hidden="false" customHeight="false" outlineLevel="0" collapsed="false">
      <c r="A118" s="30"/>
      <c r="B118" s="30"/>
      <c r="C118" s="30"/>
      <c r="D118" s="30"/>
      <c r="E118" s="31"/>
      <c r="F118" s="31"/>
      <c r="G118" s="32"/>
      <c r="H118" s="32"/>
      <c r="I118" s="33"/>
    </row>
    <row r="119" customFormat="false" ht="15" hidden="false" customHeight="false" outlineLevel="0" collapsed="false">
      <c r="A119" s="30"/>
      <c r="B119" s="30"/>
      <c r="C119" s="30"/>
      <c r="D119" s="30"/>
      <c r="E119" s="31"/>
      <c r="F119" s="31"/>
      <c r="G119" s="32"/>
      <c r="H119" s="32"/>
      <c r="I119" s="33"/>
    </row>
    <row r="120" customFormat="false" ht="15" hidden="false" customHeight="false" outlineLevel="0" collapsed="false">
      <c r="A120" s="30"/>
      <c r="B120" s="30"/>
      <c r="C120" s="30"/>
      <c r="D120" s="30"/>
      <c r="E120" s="31"/>
      <c r="F120" s="31"/>
      <c r="G120" s="32"/>
      <c r="H120" s="32"/>
      <c r="I120" s="33"/>
    </row>
    <row r="121" customFormat="false" ht="15" hidden="false" customHeight="false" outlineLevel="0" collapsed="false">
      <c r="A121" s="30"/>
      <c r="B121" s="30"/>
      <c r="C121" s="30"/>
      <c r="D121" s="30"/>
      <c r="E121" s="31"/>
      <c r="F121" s="31"/>
      <c r="G121" s="32"/>
      <c r="H121" s="32"/>
      <c r="I121" s="33"/>
    </row>
    <row r="122" customFormat="false" ht="15" hidden="false" customHeight="false" outlineLevel="0" collapsed="false">
      <c r="A122" s="30"/>
      <c r="B122" s="30"/>
      <c r="C122" s="30"/>
      <c r="D122" s="30"/>
      <c r="E122" s="31"/>
      <c r="F122" s="31"/>
      <c r="G122" s="32"/>
      <c r="H122" s="32"/>
      <c r="I122" s="33"/>
    </row>
    <row r="123" customFormat="false" ht="15" hidden="false" customHeight="false" outlineLevel="0" collapsed="false">
      <c r="A123" s="30"/>
      <c r="B123" s="30"/>
      <c r="C123" s="30"/>
      <c r="D123" s="30"/>
      <c r="E123" s="31"/>
      <c r="F123" s="31"/>
      <c r="G123" s="32"/>
      <c r="H123" s="32"/>
      <c r="I123" s="33"/>
    </row>
    <row r="124" customFormat="false" ht="15" hidden="false" customHeight="false" outlineLevel="0" collapsed="false">
      <c r="A124" s="30"/>
      <c r="B124" s="30"/>
      <c r="C124" s="30"/>
      <c r="D124" s="30"/>
      <c r="E124" s="31"/>
      <c r="F124" s="31"/>
      <c r="G124" s="32"/>
      <c r="H124" s="32"/>
      <c r="I124" s="33"/>
    </row>
    <row r="125" customFormat="false" ht="15" hidden="false" customHeight="false" outlineLevel="0" collapsed="false">
      <c r="A125" s="30"/>
      <c r="B125" s="30"/>
      <c r="C125" s="30"/>
      <c r="D125" s="30"/>
      <c r="E125" s="31"/>
      <c r="F125" s="31"/>
      <c r="G125" s="32"/>
      <c r="H125" s="32"/>
      <c r="I125" s="33"/>
    </row>
    <row r="126" customFormat="false" ht="15" hidden="false" customHeight="false" outlineLevel="0" collapsed="false">
      <c r="A126" s="30"/>
      <c r="B126" s="30"/>
      <c r="C126" s="30"/>
      <c r="D126" s="30"/>
      <c r="E126" s="31"/>
      <c r="F126" s="31"/>
      <c r="G126" s="32"/>
      <c r="H126" s="32"/>
      <c r="I126" s="33"/>
    </row>
    <row r="127" customFormat="false" ht="15" hidden="false" customHeight="false" outlineLevel="0" collapsed="false">
      <c r="A127" s="30"/>
      <c r="B127" s="30"/>
      <c r="C127" s="30"/>
      <c r="D127" s="30"/>
      <c r="E127" s="31"/>
      <c r="F127" s="31"/>
      <c r="G127" s="32"/>
      <c r="H127" s="32"/>
      <c r="I127" s="33"/>
    </row>
    <row r="128" customFormat="false" ht="15" hidden="false" customHeight="false" outlineLevel="0" collapsed="false">
      <c r="A128" s="30"/>
      <c r="B128" s="30"/>
      <c r="C128" s="30"/>
      <c r="D128" s="30"/>
      <c r="E128" s="31"/>
      <c r="F128" s="31"/>
      <c r="G128" s="32"/>
      <c r="H128" s="32"/>
      <c r="I128" s="33"/>
    </row>
    <row r="129" customFormat="false" ht="15" hidden="false" customHeight="false" outlineLevel="0" collapsed="false">
      <c r="A129" s="30"/>
      <c r="B129" s="30"/>
      <c r="C129" s="30"/>
      <c r="D129" s="30"/>
      <c r="E129" s="31"/>
      <c r="F129" s="31"/>
      <c r="G129" s="32"/>
      <c r="H129" s="32"/>
      <c r="I129" s="33"/>
    </row>
    <row r="130" customFormat="false" ht="15" hidden="false" customHeight="false" outlineLevel="0" collapsed="false">
      <c r="A130" s="30"/>
      <c r="B130" s="30"/>
      <c r="C130" s="30"/>
      <c r="D130" s="30"/>
      <c r="E130" s="31"/>
      <c r="F130" s="31"/>
      <c r="G130" s="32"/>
      <c r="H130" s="32"/>
      <c r="I130" s="33"/>
    </row>
    <row r="131" customFormat="false" ht="15" hidden="false" customHeight="false" outlineLevel="0" collapsed="false">
      <c r="A131" s="30"/>
      <c r="B131" s="30"/>
      <c r="C131" s="30"/>
      <c r="D131" s="30"/>
      <c r="E131" s="31"/>
      <c r="F131" s="31"/>
      <c r="G131" s="32"/>
      <c r="H131" s="32"/>
      <c r="I131" s="33"/>
    </row>
    <row r="132" customFormat="false" ht="15" hidden="false" customHeight="false" outlineLevel="0" collapsed="false">
      <c r="A132" s="30"/>
      <c r="B132" s="30"/>
      <c r="C132" s="30"/>
      <c r="D132" s="30"/>
      <c r="E132" s="31"/>
      <c r="F132" s="31"/>
      <c r="G132" s="32"/>
      <c r="H132" s="32"/>
      <c r="I132" s="33"/>
    </row>
    <row r="133" customFormat="false" ht="15" hidden="false" customHeight="false" outlineLevel="0" collapsed="false">
      <c r="A133" s="30"/>
      <c r="B133" s="30"/>
      <c r="C133" s="30"/>
      <c r="D133" s="30"/>
      <c r="E133" s="31"/>
      <c r="F133" s="31"/>
      <c r="G133" s="32"/>
      <c r="H133" s="32"/>
      <c r="I133" s="33"/>
    </row>
    <row r="134" customFormat="false" ht="15" hidden="false" customHeight="false" outlineLevel="0" collapsed="false">
      <c r="A134" s="30"/>
      <c r="B134" s="30"/>
      <c r="C134" s="30"/>
      <c r="D134" s="30"/>
      <c r="E134" s="31"/>
      <c r="F134" s="31"/>
      <c r="G134" s="32"/>
      <c r="H134" s="32"/>
      <c r="I134" s="33"/>
    </row>
    <row r="135" customFormat="false" ht="15" hidden="false" customHeight="false" outlineLevel="0" collapsed="false">
      <c r="A135" s="30"/>
      <c r="B135" s="30"/>
      <c r="C135" s="30"/>
      <c r="D135" s="30"/>
      <c r="E135" s="31"/>
      <c r="F135" s="31"/>
      <c r="G135" s="32"/>
      <c r="H135" s="32"/>
      <c r="I135" s="33"/>
    </row>
    <row r="136" customFormat="false" ht="15" hidden="false" customHeight="false" outlineLevel="0" collapsed="false">
      <c r="A136" s="30"/>
      <c r="B136" s="30"/>
      <c r="C136" s="30"/>
      <c r="D136" s="30"/>
      <c r="E136" s="31"/>
      <c r="F136" s="31"/>
      <c r="G136" s="32"/>
      <c r="H136" s="32"/>
      <c r="I136" s="33"/>
    </row>
    <row r="137" customFormat="false" ht="15" hidden="false" customHeight="false" outlineLevel="0" collapsed="false">
      <c r="A137" s="30"/>
      <c r="B137" s="30"/>
      <c r="C137" s="30"/>
      <c r="D137" s="30"/>
      <c r="E137" s="31"/>
      <c r="F137" s="31"/>
      <c r="G137" s="32"/>
      <c r="H137" s="32"/>
      <c r="I137" s="33"/>
    </row>
    <row r="138" customFormat="false" ht="15" hidden="false" customHeight="false" outlineLevel="0" collapsed="false">
      <c r="A138" s="30"/>
      <c r="B138" s="30"/>
      <c r="C138" s="30"/>
      <c r="D138" s="30"/>
      <c r="E138" s="31"/>
      <c r="F138" s="31"/>
      <c r="G138" s="32"/>
      <c r="H138" s="32"/>
      <c r="I138" s="33"/>
    </row>
    <row r="139" customFormat="false" ht="15" hidden="false" customHeight="false" outlineLevel="0" collapsed="false">
      <c r="A139" s="30"/>
      <c r="B139" s="30"/>
      <c r="C139" s="30"/>
      <c r="D139" s="30"/>
      <c r="E139" s="31"/>
      <c r="F139" s="31"/>
      <c r="G139" s="32"/>
      <c r="H139" s="32"/>
      <c r="I139" s="33"/>
    </row>
    <row r="140" customFormat="false" ht="15" hidden="false" customHeight="false" outlineLevel="0" collapsed="false">
      <c r="A140" s="30"/>
      <c r="B140" s="30"/>
      <c r="C140" s="30"/>
      <c r="D140" s="30"/>
      <c r="E140" s="31"/>
      <c r="F140" s="31"/>
      <c r="G140" s="32"/>
      <c r="H140" s="32"/>
      <c r="I140" s="33"/>
    </row>
    <row r="141" customFormat="false" ht="15" hidden="false" customHeight="false" outlineLevel="0" collapsed="false">
      <c r="A141" s="30"/>
      <c r="B141" s="30"/>
      <c r="C141" s="30"/>
      <c r="D141" s="30"/>
      <c r="E141" s="31"/>
      <c r="F141" s="31"/>
      <c r="G141" s="32"/>
      <c r="H141" s="32"/>
      <c r="I141" s="33"/>
    </row>
    <row r="142" customFormat="false" ht="15" hidden="false" customHeight="false" outlineLevel="0" collapsed="false">
      <c r="A142" s="30"/>
      <c r="B142" s="30"/>
      <c r="C142" s="30"/>
      <c r="D142" s="30"/>
      <c r="E142" s="31"/>
      <c r="F142" s="31"/>
      <c r="G142" s="32"/>
      <c r="H142" s="32"/>
      <c r="I142" s="33"/>
    </row>
    <row r="143" customFormat="false" ht="15" hidden="false" customHeight="false" outlineLevel="0" collapsed="false">
      <c r="A143" s="30"/>
      <c r="B143" s="30"/>
      <c r="C143" s="30"/>
      <c r="D143" s="30"/>
      <c r="E143" s="31"/>
      <c r="F143" s="31"/>
      <c r="G143" s="32"/>
      <c r="H143" s="32"/>
      <c r="I143" s="33"/>
    </row>
    <row r="144" customFormat="false" ht="15" hidden="false" customHeight="false" outlineLevel="0" collapsed="false">
      <c r="A144" s="30"/>
      <c r="B144" s="30"/>
      <c r="C144" s="30"/>
      <c r="D144" s="30"/>
      <c r="E144" s="31"/>
      <c r="F144" s="31"/>
      <c r="G144" s="32"/>
      <c r="H144" s="32"/>
      <c r="I144" s="33"/>
    </row>
    <row r="145" customFormat="false" ht="15" hidden="false" customHeight="false" outlineLevel="0" collapsed="false">
      <c r="A145" s="30"/>
      <c r="B145" s="30"/>
      <c r="C145" s="30"/>
      <c r="D145" s="30"/>
      <c r="E145" s="31"/>
      <c r="F145" s="31"/>
      <c r="G145" s="32"/>
      <c r="H145" s="32"/>
      <c r="I145" s="33"/>
    </row>
    <row r="146" customFormat="false" ht="15" hidden="false" customHeight="false" outlineLevel="0" collapsed="false">
      <c r="A146" s="30"/>
      <c r="B146" s="30"/>
      <c r="C146" s="30"/>
      <c r="D146" s="30"/>
      <c r="E146" s="31"/>
      <c r="F146" s="31"/>
      <c r="G146" s="32"/>
      <c r="H146" s="32"/>
      <c r="I146" s="33"/>
    </row>
    <row r="147" customFormat="false" ht="15" hidden="false" customHeight="false" outlineLevel="0" collapsed="false">
      <c r="A147" s="30"/>
      <c r="B147" s="30"/>
      <c r="C147" s="30"/>
      <c r="D147" s="30"/>
      <c r="E147" s="31"/>
      <c r="F147" s="31"/>
      <c r="G147" s="32"/>
      <c r="H147" s="32"/>
      <c r="I147" s="33"/>
    </row>
    <row r="148" customFormat="false" ht="15" hidden="false" customHeight="false" outlineLevel="0" collapsed="false">
      <c r="A148" s="30"/>
      <c r="B148" s="30"/>
      <c r="C148" s="30"/>
      <c r="D148" s="30"/>
      <c r="E148" s="31"/>
      <c r="F148" s="31"/>
      <c r="G148" s="32"/>
      <c r="H148" s="32"/>
      <c r="I148" s="33"/>
    </row>
    <row r="149" customFormat="false" ht="15" hidden="false" customHeight="false" outlineLevel="0" collapsed="false">
      <c r="A149" s="30"/>
      <c r="B149" s="30"/>
      <c r="C149" s="30"/>
      <c r="D149" s="30"/>
      <c r="E149" s="31"/>
      <c r="F149" s="31"/>
      <c r="G149" s="32"/>
      <c r="H149" s="32"/>
      <c r="I149" s="33"/>
    </row>
    <row r="150" customFormat="false" ht="15" hidden="false" customHeight="false" outlineLevel="0" collapsed="false">
      <c r="A150" s="30"/>
      <c r="B150" s="30"/>
      <c r="C150" s="30"/>
      <c r="D150" s="30"/>
      <c r="E150" s="31"/>
      <c r="F150" s="31"/>
      <c r="G150" s="32"/>
      <c r="H150" s="32"/>
      <c r="I150" s="33"/>
    </row>
    <row r="151" customFormat="false" ht="15" hidden="false" customHeight="false" outlineLevel="0" collapsed="false">
      <c r="A151" s="30"/>
      <c r="B151" s="30"/>
      <c r="C151" s="30"/>
      <c r="D151" s="30"/>
      <c r="E151" s="31"/>
      <c r="F151" s="31"/>
      <c r="G151" s="32"/>
      <c r="H151" s="32"/>
      <c r="I151" s="33"/>
    </row>
    <row r="152" customFormat="false" ht="15" hidden="false" customHeight="false" outlineLevel="0" collapsed="false">
      <c r="A152" s="30"/>
      <c r="B152" s="30"/>
      <c r="C152" s="30"/>
      <c r="D152" s="30"/>
      <c r="E152" s="31"/>
      <c r="F152" s="31"/>
      <c r="G152" s="32"/>
      <c r="H152" s="32"/>
      <c r="I152" s="33"/>
    </row>
    <row r="153" customFormat="false" ht="15" hidden="false" customHeight="false" outlineLevel="0" collapsed="false">
      <c r="A153" s="30"/>
      <c r="B153" s="30"/>
      <c r="C153" s="30"/>
      <c r="D153" s="30"/>
      <c r="E153" s="31"/>
      <c r="F153" s="31"/>
      <c r="G153" s="32"/>
      <c r="H153" s="32"/>
      <c r="I153" s="33"/>
    </row>
    <row r="154" customFormat="false" ht="15" hidden="false" customHeight="false" outlineLevel="0" collapsed="false">
      <c r="A154" s="30"/>
      <c r="B154" s="30"/>
      <c r="C154" s="30"/>
      <c r="D154" s="30"/>
      <c r="E154" s="31"/>
      <c r="F154" s="31"/>
      <c r="G154" s="32"/>
      <c r="H154" s="32"/>
      <c r="I154" s="33"/>
    </row>
    <row r="155" customFormat="false" ht="15" hidden="false" customHeight="false" outlineLevel="0" collapsed="false">
      <c r="A155" s="30"/>
      <c r="B155" s="30"/>
      <c r="C155" s="30"/>
      <c r="D155" s="30"/>
      <c r="E155" s="31"/>
      <c r="F155" s="31"/>
      <c r="G155" s="32"/>
      <c r="H155" s="32"/>
      <c r="I155" s="33"/>
    </row>
    <row r="156" customFormat="false" ht="15" hidden="false" customHeight="false" outlineLevel="0" collapsed="false">
      <c r="A156" s="30"/>
      <c r="B156" s="30"/>
      <c r="C156" s="30"/>
      <c r="D156" s="30"/>
      <c r="E156" s="31"/>
      <c r="F156" s="31"/>
      <c r="G156" s="32"/>
      <c r="H156" s="32"/>
      <c r="I156" s="33"/>
    </row>
  </sheetData>
  <dataValidations count="4">
    <dataValidation allowBlank="true" error="Bitte IoT, EDM, Parking oder LLM auswählen." errorStyle="stop" errorTitle="Ungültiges Themenfeld" operator="between" showDropDown="false" showErrorMessage="false" showInputMessage="false" sqref="A7:A356" type="list">
      <formula1>"IoT,EDM,Parking,LLM"</formula1>
      <formula2>0</formula2>
    </dataValidation>
    <dataValidation allowBlank="true" error="Bitte Hardware, Hardware + Dienstleistung, Lizenzen oder Dienstleistung auswählen." errorStyle="stop" errorTitle="Ungültige Kategorie" operator="between" showDropDown="false" showErrorMessage="false" showInputMessage="false" sqref="B7:B356" type="list">
      <formula1>"Hardware,Hardware + Dienstleistung,Lizenzen,Dienstleistung"</formula1>
      <formula2>0</formula2>
    </dataValidation>
    <dataValidation allowBlank="true" error="Bitte ein Datum im Format TT.MM.JJJJ eintragen." errorStyle="stop" errorTitle="Ungültiges Datum" operator="between" showDropDown="false" showErrorMessage="false" showInputMessage="false" sqref="E7:F356" type="date">
      <formula1>DATE(2020,1,1)</formula1>
      <formula2>DATE(2040,12,31)</formula2>
    </dataValidation>
    <dataValidation allowBlank="true" error="Zulässig sind 0 % bis 100 %. Eingabe z. B. als 20% oder als 0,2." errorStyle="stop" errorTitle="Ungültige Wahrscheinlichkeit" operator="between" showDropDown="false" showErrorMessage="false" showInputMessage="false" sqref="I7:I35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DusL Plus Autostrom – Aufträge  |  Seite &amp;P von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28" t="s">
        <v>92</v>
      </c>
    </row>
    <row r="2" customFormat="false" ht="15" hidden="false" customHeight="false" outlineLevel="0" collapsed="false">
      <c r="A2" s="34" t="s">
        <v>93</v>
      </c>
    </row>
    <row r="3" customFormat="false" ht="15" hidden="false" customHeight="false" outlineLevel="0" collapsed="false">
      <c r="A3" s="3" t="s">
        <v>94</v>
      </c>
    </row>
    <row r="5" customFormat="false" ht="15" hidden="false" customHeight="false" outlineLevel="0" collapsed="false">
      <c r="A5" s="35" t="s">
        <v>95</v>
      </c>
      <c r="B5" s="36" t="s">
        <v>96</v>
      </c>
    </row>
    <row r="6" customFormat="false" ht="15" hidden="false" customHeight="false" outlineLevel="0" collapsed="false">
      <c r="A6" s="37" t="s">
        <v>97</v>
      </c>
      <c r="B6" s="8"/>
    </row>
    <row r="7" customFormat="false" ht="15" hidden="false" customHeight="false" outlineLevel="0" collapsed="false">
      <c r="A7" s="38" t="s">
        <v>98</v>
      </c>
      <c r="B7" s="11" t="n">
        <f aca="false">Cashflow!W116</f>
        <v>0</v>
      </c>
    </row>
    <row r="8" customFormat="false" ht="15" hidden="false" customHeight="false" outlineLevel="0" collapsed="false">
      <c r="A8" s="38" t="s">
        <v>99</v>
      </c>
      <c r="B8" s="11" t="n">
        <f aca="false">Cashflow!W117</f>
        <v>0</v>
      </c>
    </row>
    <row r="9" customFormat="false" ht="15" hidden="false" customHeight="false" outlineLevel="0" collapsed="false">
      <c r="A9" s="39" t="s">
        <v>100</v>
      </c>
      <c r="B9" s="23" t="n">
        <f aca="false">Cashflow!W118</f>
        <v>0</v>
      </c>
    </row>
    <row r="10" customFormat="false" ht="15" hidden="false" customHeight="false" outlineLevel="0" collapsed="false">
      <c r="A10" s="37" t="s">
        <v>101</v>
      </c>
      <c r="B10" s="8"/>
    </row>
    <row r="11" customFormat="false" ht="15" hidden="false" customHeight="false" outlineLevel="0" collapsed="false">
      <c r="A11" s="38" t="s">
        <v>102</v>
      </c>
      <c r="B11" s="11" t="n">
        <f aca="false">Cashflow!X116</f>
        <v>0</v>
      </c>
    </row>
    <row r="12" customFormat="false" ht="15" hidden="false" customHeight="false" outlineLevel="0" collapsed="false">
      <c r="A12" s="38" t="s">
        <v>103</v>
      </c>
      <c r="B12" s="11" t="n">
        <f aca="false">Cashflow!X117</f>
        <v>0</v>
      </c>
    </row>
    <row r="13" customFormat="false" ht="15" hidden="false" customHeight="false" outlineLevel="0" collapsed="false">
      <c r="A13" s="39" t="s">
        <v>104</v>
      </c>
      <c r="B13" s="23" t="n">
        <f aca="false">Cashflow!X118</f>
        <v>0</v>
      </c>
    </row>
    <row r="14" customFormat="false" ht="15" hidden="false" customHeight="false" outlineLevel="0" collapsed="false">
      <c r="A14" s="37" t="s">
        <v>105</v>
      </c>
      <c r="B14" s="8"/>
    </row>
    <row r="15" customFormat="false" ht="15" hidden="false" customHeight="false" outlineLevel="0" collapsed="false">
      <c r="A15" s="38" t="s">
        <v>106</v>
      </c>
      <c r="B15" s="11" t="n">
        <f aca="false">Cashflow!Y116</f>
        <v>0</v>
      </c>
    </row>
    <row r="16" customFormat="false" ht="15" hidden="false" customHeight="false" outlineLevel="0" collapsed="false">
      <c r="A16" s="38" t="s">
        <v>107</v>
      </c>
      <c r="B16" s="11" t="n">
        <f aca="false">Cashflow!Y117</f>
        <v>0</v>
      </c>
    </row>
    <row r="17" customFormat="false" ht="15" hidden="false" customHeight="false" outlineLevel="0" collapsed="false">
      <c r="A17" s="39" t="s">
        <v>108</v>
      </c>
      <c r="B17" s="23" t="n">
        <f aca="false">Cashflow!Y118</f>
        <v>0</v>
      </c>
    </row>
  </sheetData>
  <conditionalFormatting sqref="B6:B17">
    <cfRule type="cellIs" priority="2" operator="lessThan" aboveAverage="0" equalAverage="0" bottom="0" percent="0" rank="0" text="" dxfId="2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2026-08-12T11:14:02Z</dcterms:created>
  <dc:creator>openpyxl</dc:creator>
  <dc:description/>
  <dc:language>en-US</dc:language>
  <cp:lastModifiedBy/>
  <dcterms:modified xsi:type="dcterms:W3CDTF">2026-08-12T11:14:04Z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